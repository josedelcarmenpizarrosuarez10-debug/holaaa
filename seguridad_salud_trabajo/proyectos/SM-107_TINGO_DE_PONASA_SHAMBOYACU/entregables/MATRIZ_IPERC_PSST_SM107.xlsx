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CE" sheetId="1" state="visible" r:id="rId1"/>
    <sheet xmlns:r="http://schemas.openxmlformats.org/officeDocument/2006/relationships" name="DATOS" sheetId="2" state="visible" r:id="rId2"/>
    <sheet xmlns:r="http://schemas.openxmlformats.org/officeDocument/2006/relationships" name="CRITERIOS" sheetId="3" state="visible" r:id="rId3"/>
    <sheet xmlns:r="http://schemas.openxmlformats.org/officeDocument/2006/relationships" name="IPERC" sheetId="4" state="visible" r:id="rId4"/>
    <sheet xmlns:r="http://schemas.openxmlformats.org/officeDocument/2006/relationships" name="RESUMEN" sheetId="5" state="visible" r:id="rId5"/>
    <sheet xmlns:r="http://schemas.openxmlformats.org/officeDocument/2006/relationships" name="MAPA DE CALOR" sheetId="6" state="visible" r:id="rId6"/>
    <sheet xmlns:r="http://schemas.openxmlformats.org/officeDocument/2006/relationships" name="EPP" sheetId="7" state="visible" r:id="rId7"/>
    <sheet xmlns:r="http://schemas.openxmlformats.org/officeDocument/2006/relationships" name="PETS-PETAR" sheetId="8" state="visible" r:id="rId8"/>
    <sheet xmlns:r="http://schemas.openxmlformats.org/officeDocument/2006/relationships" name="CAPACITACION" sheetId="9" state="visible" r:id="rId9"/>
    <sheet xmlns:r="http://schemas.openxmlformats.org/officeDocument/2006/relationships" name="INSPECCIONES" sheetId="10" state="visible" r:id="rId10"/>
    <sheet xmlns:r="http://schemas.openxmlformats.org/officeDocument/2006/relationships" name="MONITOREO" sheetId="11" state="visible" r:id="rId11"/>
    <sheet xmlns:r="http://schemas.openxmlformats.org/officeDocument/2006/relationships" name="INDICADORES" sheetId="12" state="visible" r:id="rId12"/>
    <sheet xmlns:r="http://schemas.openxmlformats.org/officeDocument/2006/relationships" name="PARTIDAS" sheetId="13" state="visible" r:id="rId13"/>
    <sheet xmlns:r="http://schemas.openxmlformats.org/officeDocument/2006/relationships" name="EMERGENCIA" sheetId="14" state="visible" r:id="rId14"/>
  </sheets>
  <definedNames>
    <definedName name="_xlnm._FilterDatabase" localSheetId="3" hidden="1">'IPERC'!$A$5:$AH$114</definedName>
    <definedName name="_xlnm.Print_Titles" localSheetId="3">'IPERC'!$4:$5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1F4E79"/>
      <sz val="12"/>
    </font>
    <font>
      <name val="Arial"/>
      <i val="1"/>
      <sz val="8"/>
    </font>
    <font>
      <name val="Arial"/>
      <b val="1"/>
      <color rgb="00FFFFFF"/>
      <sz val="8"/>
    </font>
    <font>
      <name val="Arial"/>
      <sz val="8"/>
    </font>
    <font>
      <name val="Arial"/>
      <b val="1"/>
      <sz val="8"/>
    </font>
    <font>
      <name val="Arial"/>
      <b val="1"/>
      <color rgb="000563C1"/>
      <sz val="8"/>
      <u val="single"/>
    </font>
    <font>
      <name val="Arial"/>
      <b val="1"/>
      <color rgb="00000000"/>
      <sz val="8"/>
    </font>
  </fonts>
  <fills count="13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A9D08E"/>
      </patternFill>
    </fill>
    <fill>
      <patternFill patternType="solid">
        <fgColor rgb="00C6E0B4"/>
      </patternFill>
    </fill>
    <fill>
      <patternFill patternType="solid">
        <fgColor rgb="00FFD966"/>
      </patternFill>
    </fill>
    <fill>
      <patternFill patternType="solid">
        <fgColor rgb="00F4B183"/>
      </patternFill>
    </fill>
    <fill>
      <patternFill patternType="solid">
        <fgColor rgb="00FF7C80"/>
      </patternFill>
    </fill>
    <fill>
      <patternFill patternType="solid">
        <fgColor rgb="00F2F2F2"/>
      </patternFill>
    </fill>
    <fill>
      <patternFill patternType="solid">
        <fgColor rgb="002E75B6"/>
      </patternFill>
    </fill>
    <fill>
      <patternFill patternType="solid">
        <fgColor rgb="00E2EFDA"/>
      </patternFill>
    </fill>
    <fill>
      <patternFill patternType="solid">
        <fgColor rgb="00DDEBF7"/>
      </patternFill>
    </fill>
  </fills>
  <borders count="6">
    <border>
      <left/>
      <right/>
      <top/>
      <bottom/>
      <diagonal/>
    </border>
    <border>
      <left style="thin">
        <color rgb="008C8C8C"/>
      </left>
      <right style="thin">
        <color rgb="008C8C8C"/>
      </right>
      <top style="thin">
        <color rgb="008C8C8C"/>
      </top>
      <bottom style="thin">
        <color rgb="008C8C8C"/>
      </bottom>
    </border>
    <border>
      <left/>
      <right/>
      <top style="thin">
        <color rgb="008C8C8C"/>
      </top>
      <bottom/>
      <diagonal/>
    </border>
    <border>
      <left/>
      <right style="thin">
        <color rgb="008C8C8C"/>
      </right>
      <top style="thin">
        <color rgb="008C8C8C"/>
      </top>
      <bottom/>
      <diagonal/>
    </border>
    <border>
      <left/>
      <right style="thin">
        <color rgb="008C8C8C"/>
      </right>
      <top style="thin">
        <color rgb="008C8C8C"/>
      </top>
      <bottom style="thin">
        <color rgb="008C8C8C"/>
      </bottom>
      <diagonal/>
    </border>
    <border>
      <left/>
      <right/>
      <top style="thin">
        <color rgb="008C8C8C"/>
      </top>
      <bottom style="thin">
        <color rgb="008C8C8C"/>
      </bottom>
      <diagonal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left" vertical="center" wrapText="1"/>
    </xf>
    <xf numFmtId="3" fontId="4" fillId="0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5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center" vertical="center" wrapText="1"/>
    </xf>
    <xf numFmtId="0" fontId="4" fillId="9" borderId="1" applyAlignment="1" pivotButton="0" quotePrefix="0" xfId="0">
      <alignment horizontal="left" vertical="center" wrapText="1"/>
    </xf>
    <xf numFmtId="0" fontId="0" fillId="0" borderId="5" pivotButton="0" quotePrefix="0" xfId="0"/>
    <xf numFmtId="0" fontId="0" fillId="0" borderId="4" pivotButton="0" quotePrefix="0" xfId="0"/>
    <xf numFmtId="0" fontId="3" fillId="10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11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center" vertical="center" wrapText="1"/>
    </xf>
    <xf numFmtId="0" fontId="5" fillId="12" borderId="1" applyAlignment="1" pivotButton="0" quotePrefix="0" xfId="0">
      <alignment horizontal="left" vertical="center" wrapText="1"/>
    </xf>
    <xf numFmtId="0" fontId="5" fillId="1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3" fontId="4" fillId="11" borderId="1" applyAlignment="1" pivotButton="0" quotePrefix="0" xfId="0">
      <alignment horizontal="center" vertical="center" wrapText="1"/>
    </xf>
    <xf numFmtId="2" fontId="4" fillId="11" borderId="1" applyAlignment="1" pivotButton="0" quotePrefix="0" xfId="0">
      <alignment horizontal="center" vertical="center" wrapText="1"/>
    </xf>
    <xf numFmtId="9" fontId="4" fillId="3" borderId="1" applyAlignment="1" pivotButton="0" quotePrefix="0" xfId="0">
      <alignment horizontal="center" vertical="center" wrapText="1"/>
    </xf>
    <xf numFmtId="3" fontId="5" fillId="12" borderId="1" applyAlignment="1" pivotButton="0" quotePrefix="0" xfId="0">
      <alignment horizontal="center" vertical="center" wrapText="1"/>
    </xf>
    <xf numFmtId="2" fontId="5" fillId="12" borderId="1" applyAlignment="1" pivotButton="0" quotePrefix="0" xfId="0">
      <alignment horizontal="center" vertical="center" wrapText="1"/>
    </xf>
    <xf numFmtId="9" fontId="5" fillId="12" borderId="1" applyAlignment="1" pivotButton="0" quotePrefix="0" xfId="0">
      <alignment horizontal="center" vertical="center" wrapText="1"/>
    </xf>
  </cellXfs>
  <cellStyles count="1">
    <cellStyle name="Normal" xfId="0" builtinId="0" hidden="0"/>
  </cellStyles>
  <dxfs count="5">
    <dxf>
      <font>
        <b val="1"/>
      </font>
      <fill>
        <patternFill patternType="solid">
          <fgColor rgb="00A9D08E"/>
        </patternFill>
      </fill>
    </dxf>
    <dxf>
      <font>
        <b val="1"/>
      </font>
      <fill>
        <patternFill patternType="solid">
          <fgColor rgb="00C6E0B4"/>
        </patternFill>
      </fill>
    </dxf>
    <dxf>
      <font>
        <b val="1"/>
      </font>
      <fill>
        <patternFill patternType="solid">
          <fgColor rgb="00FFD966"/>
        </patternFill>
      </fill>
    </dxf>
    <dxf>
      <font>
        <b val="1"/>
      </font>
      <fill>
        <patternFill patternType="solid">
          <fgColor rgb="00F4B183"/>
        </patternFill>
      </fill>
    </dxf>
    <dxf>
      <font>
        <b val="1"/>
      </font>
      <fill>
        <patternFill patternType="solid">
          <fgColor rgb="00FF7C8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DATOS'!A1" TargetMode="External" Id="rId1"/><Relationship Type="http://schemas.openxmlformats.org/officeDocument/2006/relationships/hyperlink" Target="#'CRITERIOS'!A1" TargetMode="External" Id="rId2"/><Relationship Type="http://schemas.openxmlformats.org/officeDocument/2006/relationships/hyperlink" Target="#'IPERC'!A1" TargetMode="External" Id="rId3"/><Relationship Type="http://schemas.openxmlformats.org/officeDocument/2006/relationships/hyperlink" Target="#'RESUMEN'!A1" TargetMode="External" Id="rId4"/><Relationship Type="http://schemas.openxmlformats.org/officeDocument/2006/relationships/hyperlink" Target="#'MAPA DE CALOR'!A1" TargetMode="External" Id="rId5"/><Relationship Type="http://schemas.openxmlformats.org/officeDocument/2006/relationships/hyperlink" Target="#'EPP'!A1" TargetMode="External" Id="rId6"/><Relationship Type="http://schemas.openxmlformats.org/officeDocument/2006/relationships/hyperlink" Target="#'PETS-PETAR'!A1" TargetMode="External" Id="rId7"/><Relationship Type="http://schemas.openxmlformats.org/officeDocument/2006/relationships/hyperlink" Target="#'CAPACITACION'!A1" TargetMode="External" Id="rId8"/><Relationship Type="http://schemas.openxmlformats.org/officeDocument/2006/relationships/hyperlink" Target="#'INSPECCIONES'!A1" TargetMode="External" Id="rId9"/><Relationship Type="http://schemas.openxmlformats.org/officeDocument/2006/relationships/hyperlink" Target="#'MONITOREO'!A1" TargetMode="External" Id="rId10"/><Relationship Type="http://schemas.openxmlformats.org/officeDocument/2006/relationships/hyperlink" Target="#'INDICADORES'!A1" TargetMode="External" Id="rId11"/><Relationship Type="http://schemas.openxmlformats.org/officeDocument/2006/relationships/hyperlink" Target="#'PARTIDAS'!A1" TargetMode="External" Id="rId12"/><Relationship Type="http://schemas.openxmlformats.org/officeDocument/2006/relationships/hyperlink" Target="#'EMERGENCIA'!A1" TargetMode="External" Id="rId1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18" customWidth="1" min="2" max="2"/>
    <col width="90" customWidth="1" min="3" max="3"/>
  </cols>
  <sheetData>
    <row r="1">
      <c r="A1" s="1" t="inlineStr">
        <is>
          <t>PLAN DE SEGURIDAD Y SALUD EN EL TRABAJO - MATRIZ IPERC Y PROGRAMAS</t>
        </is>
      </c>
    </row>
    <row r="2" ht="24" customHeight="1">
      <c r="A2" s="2" t="inlineStr">
        <is>
          <t>MEJORAMIENTO DEL SERVICIO DE TRANSITABILIDAD VIAL INTERURBANA EN LA VÍA DEPARTAMENTAL SM-107, TRAMO TINGO DE PONASA - SHAMBOYACU, DISTRITO DE SHAMBOYACU, PROVINCIA DE PICOTA, DEPARTAMENTO DE SAN MARTÍN - CUI N.° 2673852</t>
        </is>
      </c>
    </row>
    <row r="4">
      <c r="A4" s="3" t="inlineStr">
        <is>
          <t>N.°</t>
        </is>
      </c>
      <c r="B4" s="3" t="inlineStr">
        <is>
          <t>HOJA</t>
        </is>
      </c>
      <c r="C4" s="3" t="inlineStr">
        <is>
          <t>CONTENIDO</t>
        </is>
      </c>
    </row>
    <row r="5">
      <c r="A5" s="4" t="n">
        <v>1</v>
      </c>
      <c r="B5" s="5" t="inlineStr">
        <is>
          <t>DATOS</t>
        </is>
      </c>
      <c r="C5" s="6" t="inlineStr">
        <is>
          <t>Datos generales de la obra</t>
        </is>
      </c>
    </row>
    <row r="6">
      <c r="A6" s="4" t="n">
        <v>2</v>
      </c>
      <c r="B6" s="5" t="inlineStr">
        <is>
          <t>CRITERIOS</t>
        </is>
      </c>
      <c r="C6" s="6" t="inlineStr">
        <is>
          <t>Criterios de evaluación de la R.M. N.° 050-2013-TR</t>
        </is>
      </c>
    </row>
    <row r="7">
      <c r="A7" s="4" t="n">
        <v>3</v>
      </c>
      <c r="B7" s="5" t="inlineStr">
        <is>
          <t>IPERC</t>
        </is>
      </c>
      <c r="C7" s="6" t="inlineStr">
        <is>
          <t>Matriz de identificación de peligros, evaluación de riesgos y medidas de control (con fórmulas)</t>
        </is>
      </c>
    </row>
    <row r="8">
      <c r="A8" s="4" t="n">
        <v>4</v>
      </c>
      <c r="B8" s="5" t="inlineStr">
        <is>
          <t>RESUMEN</t>
        </is>
      </c>
      <c r="C8" s="6" t="inlineStr">
        <is>
          <t>Resumen de niveles de riesgo por proceso (fórmulas sobre el IPERC)</t>
        </is>
      </c>
    </row>
    <row r="9">
      <c r="A9" s="4" t="n">
        <v>5</v>
      </c>
      <c r="B9" s="5" t="inlineStr">
        <is>
          <t>MAPA DE CALOR</t>
        </is>
      </c>
      <c r="C9" s="6" t="inlineStr">
        <is>
          <t>Probabilidad x severidad antes y después de los controles</t>
        </is>
      </c>
    </row>
    <row r="10">
      <c r="A10" s="4" t="n">
        <v>6</v>
      </c>
      <c r="B10" s="5" t="inlineStr">
        <is>
          <t>EPP</t>
        </is>
      </c>
      <c r="C10" s="6" t="inlineStr">
        <is>
          <t>Matriz de equipos de protección personal por puesto</t>
        </is>
      </c>
    </row>
    <row r="11">
      <c r="A11" s="4" t="n">
        <v>7</v>
      </c>
      <c r="B11" s="5" t="inlineStr">
        <is>
          <t>PETS-PETAR</t>
        </is>
      </c>
      <c r="C11" s="6" t="inlineStr">
        <is>
          <t>Procedimientos escritos de trabajo seguro y permisos de trabajo de alto riesgo</t>
        </is>
      </c>
    </row>
    <row r="12">
      <c r="A12" s="4" t="n">
        <v>8</v>
      </c>
      <c r="B12" s="5" t="inlineStr">
        <is>
          <t>CAPACITACION</t>
        </is>
      </c>
      <c r="C12" s="6" t="inlineStr">
        <is>
          <t>Programa de capacitación y sensibilización</t>
        </is>
      </c>
    </row>
    <row r="13">
      <c r="A13" s="4" t="n">
        <v>9</v>
      </c>
      <c r="B13" s="5" t="inlineStr">
        <is>
          <t>INSPECCIONES</t>
        </is>
      </c>
      <c r="C13" s="6" t="inlineStr">
        <is>
          <t>Programa de inspecciones</t>
        </is>
      </c>
    </row>
    <row r="14">
      <c r="A14" s="4" t="n">
        <v>10</v>
      </c>
      <c r="B14" s="5" t="inlineStr">
        <is>
          <t>MONITOREO</t>
        </is>
      </c>
      <c r="C14" s="6" t="inlineStr">
        <is>
          <t>Monitoreo de agentes ocupacionales</t>
        </is>
      </c>
    </row>
    <row r="15">
      <c r="A15" s="4" t="n">
        <v>11</v>
      </c>
      <c r="B15" s="5" t="inlineStr">
        <is>
          <t>INDICADORES</t>
        </is>
      </c>
      <c r="C15" s="6" t="inlineStr">
        <is>
          <t>Objetivos, metas e indicadores de SST (fórmulas)</t>
        </is>
      </c>
    </row>
    <row r="16">
      <c r="A16" s="4" t="n">
        <v>12</v>
      </c>
      <c r="B16" s="5" t="inlineStr">
        <is>
          <t>PARTIDAS</t>
        </is>
      </c>
      <c r="C16" s="6" t="inlineStr">
        <is>
          <t>Relación de partidas del presupuesto y actividades evaluadas</t>
        </is>
      </c>
    </row>
    <row r="17">
      <c r="A17" s="4" t="n">
        <v>13</v>
      </c>
      <c r="B17" s="5" t="inlineStr">
        <is>
          <t>EMERGENCIA</t>
        </is>
      </c>
      <c r="C17" s="6" t="inlineStr">
        <is>
          <t>Directorio de emergencia</t>
        </is>
      </c>
    </row>
    <row r="19">
      <c r="B19" s="7" t="inlineStr">
        <is>
          <t>Leyenda:</t>
        </is>
      </c>
      <c r="C19" s="8" t="inlineStr">
        <is>
          <t>Celda amarilla = dato que se puede cambiar; celda verde = fórmula</t>
        </is>
      </c>
    </row>
  </sheetData>
  <mergeCells count="2">
    <mergeCell ref="A1:C1"/>
    <mergeCell ref="A2:C2"/>
  </mergeCells>
  <hyperlinks>
    <hyperlink xmlns:r="http://schemas.openxmlformats.org/officeDocument/2006/relationships" ref="B5" r:id="rId1"/>
    <hyperlink xmlns:r="http://schemas.openxmlformats.org/officeDocument/2006/relationships" ref="B6" r:id="rId2"/>
    <hyperlink xmlns:r="http://schemas.openxmlformats.org/officeDocument/2006/relationships" ref="B7" r:id="rId3"/>
    <hyperlink xmlns:r="http://schemas.openxmlformats.org/officeDocument/2006/relationships" ref="B8" r:id="rId4"/>
    <hyperlink xmlns:r="http://schemas.openxmlformats.org/officeDocument/2006/relationships" ref="B9" r:id="rId5"/>
    <hyperlink xmlns:r="http://schemas.openxmlformats.org/officeDocument/2006/relationships" ref="B10" r:id="rId6"/>
    <hyperlink xmlns:r="http://schemas.openxmlformats.org/officeDocument/2006/relationships" ref="B11" r:id="rId7"/>
    <hyperlink xmlns:r="http://schemas.openxmlformats.org/officeDocument/2006/relationships" ref="B12" r:id="rId8"/>
    <hyperlink xmlns:r="http://schemas.openxmlformats.org/officeDocument/2006/relationships" ref="B13" r:id="rId9"/>
    <hyperlink xmlns:r="http://schemas.openxmlformats.org/officeDocument/2006/relationships" ref="B14" r:id="rId10"/>
    <hyperlink xmlns:r="http://schemas.openxmlformats.org/officeDocument/2006/relationships" ref="B15" r:id="rId11"/>
    <hyperlink xmlns:r="http://schemas.openxmlformats.org/officeDocument/2006/relationships" ref="B16" r:id="rId12"/>
    <hyperlink xmlns:r="http://schemas.openxmlformats.org/officeDocument/2006/relationships" ref="B17" r:id="rId13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10" customWidth="1" min="2" max="2"/>
  </cols>
  <sheetData>
    <row r="1">
      <c r="A1" s="1" t="inlineStr">
        <is>
          <t>DATOS GENERALES DE LA OBRA</t>
        </is>
      </c>
    </row>
    <row r="2" ht="24" customHeight="1">
      <c r="A2" s="2" t="inlineStr">
        <is>
          <t>MEJORAMIENTO DEL SERVICIO DE TRANSITABILIDAD VIAL INTERURBANA EN LA VÍA DEPARTAMENTAL SM-107, TRAMO TINGO DE PONASA - SHAMBOYACU, DISTRITO DE SHAMBOYACU, PROVINCIA DE PICOTA, DEPARTAMENTO DE SAN MARTÍN - CUI N.° 2673852</t>
        </is>
      </c>
    </row>
    <row r="4">
      <c r="A4" s="3" t="inlineStr">
        <is>
          <t>CONCEPTO</t>
        </is>
      </c>
      <c r="B4" s="3" t="inlineStr">
        <is>
          <t>VALOR</t>
        </is>
      </c>
    </row>
    <row r="5">
      <c r="A5" s="7" t="inlineStr">
        <is>
          <t>Proyecto</t>
        </is>
      </c>
      <c r="B5" s="6" t="inlineStr">
        <is>
          <t>MEJORAMIENTO DEL SERVICIO DE TRANSITABILIDAD VIAL INTERURBANA EN LA VÍA DEPARTAMENTAL SM-107, TRAMO TINGO DE PONASA - SHAMBOYACU, DISTRITO DE SHAMBOYACU, PROVINCIA DE PICOTA, DEPARTAMENTO DE SAN MARTÍN</t>
        </is>
      </c>
    </row>
    <row r="6">
      <c r="A6" s="7" t="inlineStr">
        <is>
          <t>CUI</t>
        </is>
      </c>
      <c r="B6" s="6" t="inlineStr">
        <is>
          <t>2673852</t>
        </is>
      </c>
    </row>
    <row r="7">
      <c r="A7" s="7" t="inlineStr">
        <is>
          <t>Entidad</t>
        </is>
      </c>
      <c r="B7" s="6" t="inlineStr">
        <is>
          <t>Gobierno Regional San Martín</t>
        </is>
      </c>
    </row>
    <row r="8">
      <c r="A8" s="7" t="inlineStr">
        <is>
          <t>Unidad ejecutora</t>
        </is>
      </c>
      <c r="B8" s="6" t="inlineStr">
        <is>
          <t>Dirección Regional de Transportes y Comunicaciones San Martín</t>
        </is>
      </c>
    </row>
    <row r="9">
      <c r="A9" s="7" t="inlineStr">
        <is>
          <t>Ubicación</t>
        </is>
      </c>
      <c r="B9" s="6" t="inlineStr">
        <is>
          <t>Distrito de Shamboyacu, provincia de Picota, departamento de San Martín</t>
        </is>
      </c>
    </row>
    <row r="10">
      <c r="A10" s="7" t="inlineStr">
        <is>
          <t>Tipo de obra</t>
        </is>
      </c>
      <c r="B10" s="6" t="inlineStr">
        <is>
          <t>vial</t>
        </is>
      </c>
    </row>
    <row r="11">
      <c r="A11" s="7" t="inlineStr">
        <is>
          <t>Descripción</t>
        </is>
      </c>
      <c r="B11" s="6" t="inlineStr">
        <is>
          <t>Mejoramiento de 25.35 km de la vía departamental SM-107 entre Tingo de Ponasa (km 19+343.39) y Shamboyacu (km 44+693.39): movimiento de tierras, pavimento de concreto asfáltico en caliente, alcantarillas, cunetas, muros de contención y de gaviones, señalización, reemplazo de cinco puentes (Tingo de Ponasa, Barco, Paucarillo, Apangurayco y Chanchamayco) y plan de manejo ambiental.</t>
        </is>
      </c>
    </row>
    <row r="12">
      <c r="A12" s="7" t="inlineStr">
        <is>
          <t>Plazo de ejecución (días calendario)</t>
        </is>
      </c>
      <c r="B12" s="6" t="inlineStr">
        <is>
          <t>720</t>
        </is>
      </c>
    </row>
    <row r="13">
      <c r="A13" s="7" t="inlineStr">
        <is>
          <t>Modalidad</t>
        </is>
      </c>
      <c r="B13" s="6" t="inlineStr">
        <is>
          <t>Por contrata</t>
        </is>
      </c>
    </row>
    <row r="14">
      <c r="A14" s="7" t="inlineStr">
        <is>
          <t>Altitud (msnm)</t>
        </is>
      </c>
      <c r="B14" s="6" t="inlineStr">
        <is>
          <t>250 a 330</t>
        </is>
      </c>
    </row>
    <row r="15">
      <c r="A15" s="7" t="inlineStr">
        <is>
          <t>Clima</t>
        </is>
      </c>
      <c r="B15" s="6" t="inlineStr">
        <is>
          <t>Cálido y húmedo de selva alta, con lluvias de octubre a abril</t>
        </is>
      </c>
    </row>
    <row r="16">
      <c r="A16" s="7" t="inlineStr">
        <is>
          <t>Jornada de trabajo</t>
        </is>
      </c>
      <c r="B16" s="6" t="inlineStr">
        <is>
          <t>Lunes a sábado de 07:00 a 17:00 (48 horas semanales)</t>
        </is>
      </c>
    </row>
    <row r="17">
      <c r="A17" s="7" t="inlineStr">
        <is>
          <t>Personal máximo previsto</t>
        </is>
      </c>
      <c r="B17" s="9" t="n">
        <v>160</v>
      </c>
    </row>
    <row r="18">
      <c r="A18" s="7" t="inlineStr">
        <is>
          <t>Horas hombre previstas</t>
        </is>
      </c>
      <c r="B18" s="9" t="n">
        <v>594880</v>
      </c>
    </row>
    <row r="19">
      <c r="A19" s="7" t="inlineStr">
        <is>
          <t>Órgano de SST</t>
        </is>
      </c>
      <c r="B19" s="6" t="inlineStr">
        <is>
          <t>Comité de SST (20 o más trabajadores)</t>
        </is>
      </c>
    </row>
    <row r="20">
      <c r="A20" s="7" t="inlineStr">
        <is>
          <t>Actividades evaluadas</t>
        </is>
      </c>
      <c r="B20" s="9" t="n">
        <v>28</v>
      </c>
    </row>
    <row r="21">
      <c r="A21" s="7" t="inlineStr">
        <is>
          <t>Peligros evaluados</t>
        </is>
      </c>
      <c r="B21" s="9" t="n">
        <v>109</v>
      </c>
    </row>
  </sheetData>
  <mergeCells count="2">
    <mergeCell ref="A2:B2"/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6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22" customWidth="1" min="2" max="2"/>
    <col width="34" customWidth="1" min="3" max="3"/>
    <col width="34" customWidth="1" min="4" max="4"/>
    <col width="30" customWidth="1" min="5" max="5"/>
    <col width="34" customWidth="1" min="6" max="6"/>
  </cols>
  <sheetData>
    <row r="1">
      <c r="A1" s="1" t="inlineStr">
        <is>
          <t>CRITERIOS DE EVALUACIÓN DE RIESGOS (R.M. N.° 050-2013-TR)</t>
        </is>
      </c>
    </row>
    <row r="2" ht="24" customHeight="1">
      <c r="A2" s="2" t="inlineStr">
        <is>
          <t>Probabilidad = A + B + C + D; nivel de riesgo = probabilidad x severidad</t>
        </is>
      </c>
    </row>
    <row r="4" ht="30" customHeight="1">
      <c r="A4" s="3" t="inlineStr">
        <is>
          <t>ÍNDICE</t>
        </is>
      </c>
      <c r="B4" s="3" t="inlineStr">
        <is>
          <t>A. PERSONAS EXPUESTAS</t>
        </is>
      </c>
      <c r="C4" s="3" t="inlineStr">
        <is>
          <t>B. PROCEDIMIENTOS EXISTENTES</t>
        </is>
      </c>
      <c r="D4" s="3" t="inlineStr">
        <is>
          <t>C. CAPACITACIÓN</t>
        </is>
      </c>
      <c r="E4" s="3" t="inlineStr">
        <is>
          <t>D. EXPOSICIÓN AL RIESGO</t>
        </is>
      </c>
      <c r="F4" s="3" t="inlineStr">
        <is>
          <t>SEVERIDAD</t>
        </is>
      </c>
    </row>
    <row r="5" ht="32" customHeight="1">
      <c r="A5" s="4" t="n">
        <v>1</v>
      </c>
      <c r="B5" s="6" t="inlineStr">
        <is>
          <t>1 a 3</t>
        </is>
      </c>
      <c r="C5" s="6" t="inlineStr">
        <is>
          <t>Existen, son satisfactorios y suficientes</t>
        </is>
      </c>
      <c r="D5" s="6" t="inlineStr">
        <is>
          <t>Personal entrenado; conoce el peligro y lo previene</t>
        </is>
      </c>
      <c r="E5" s="6" t="inlineStr">
        <is>
          <t>Al menos una vez al año (S) / esporádicamente (SO)</t>
        </is>
      </c>
      <c r="F5" s="6" t="inlineStr">
        <is>
          <t>Lesión sin incapacidad (S) / disconfort o incomodidad (SO)</t>
        </is>
      </c>
    </row>
    <row r="6" ht="32" customHeight="1">
      <c r="A6" s="4" t="n">
        <v>2</v>
      </c>
      <c r="B6" s="6" t="inlineStr">
        <is>
          <t>4 a 12</t>
        </is>
      </c>
      <c r="C6" s="6" t="inlineStr">
        <is>
          <t>Existen parcialmente y no son satisfactorios o suficientes</t>
        </is>
      </c>
      <c r="D6" s="6" t="inlineStr">
        <is>
          <t>Personal parcialmente entrenado; conoce el peligro pero no toma acciones de control</t>
        </is>
      </c>
      <c r="E6" s="6" t="inlineStr">
        <is>
          <t>Al menos una vez al mes (S) / eventualmente (SO)</t>
        </is>
      </c>
      <c r="F6" s="6" t="inlineStr">
        <is>
          <t>Lesión con incapacidad temporal (S) / daño a la salud reversible (SO)</t>
        </is>
      </c>
    </row>
    <row r="7" ht="32" customHeight="1">
      <c r="A7" s="4" t="n">
        <v>3</v>
      </c>
      <c r="B7" s="6" t="inlineStr">
        <is>
          <t>Más de 12</t>
        </is>
      </c>
      <c r="C7" s="6" t="inlineStr">
        <is>
          <t>No existen</t>
        </is>
      </c>
      <c r="D7" s="6" t="inlineStr">
        <is>
          <t>Personal no entrenado; no conoce el peligro ni toma acciones de control</t>
        </is>
      </c>
      <c r="E7" s="6" t="inlineStr">
        <is>
          <t>Al menos una vez al día (S) / permanentemente (SO)</t>
        </is>
      </c>
      <c r="F7" s="6" t="inlineStr">
        <is>
          <t>Lesión con incapacidad permanente (S) / daño a la salud irreversible (SO)</t>
        </is>
      </c>
    </row>
    <row r="9">
      <c r="A9" s="3" t="inlineStr">
        <is>
          <t>NIVEL</t>
        </is>
      </c>
      <c r="B9" s="10" t="n"/>
      <c r="C9" s="3" t="inlineStr">
        <is>
          <t>RANGO (P x S)</t>
        </is>
      </c>
      <c r="D9" s="3" t="inlineStr">
        <is>
          <t>INTERPRETACIÓN</t>
        </is>
      </c>
      <c r="E9" s="10" t="n"/>
      <c r="F9" s="10" t="n"/>
    </row>
    <row r="10" ht="40" customHeight="1">
      <c r="A10" s="11" t="inlineStr">
        <is>
          <t>Trivial</t>
        </is>
      </c>
      <c r="B10" s="10" t="n"/>
      <c r="C10" s="4" t="inlineStr">
        <is>
          <t>4</t>
        </is>
      </c>
      <c r="D10" s="6" t="inlineStr">
        <is>
          <t>No se necesita adoptar ninguna acción.</t>
        </is>
      </c>
      <c r="E10" s="10" t="n"/>
      <c r="F10" s="10" t="n"/>
    </row>
    <row r="11" ht="40" customHeight="1">
      <c r="A11" s="12" t="inlineStr">
        <is>
          <t>Tolerable</t>
        </is>
      </c>
      <c r="B11" s="10" t="n"/>
      <c r="C11" s="4" t="inlineStr">
        <is>
          <t>5 a 8</t>
        </is>
      </c>
      <c r="D11" s="6" t="inlineStr">
        <is>
          <t>No se necesita mejorar la acción preventiva; se consideran soluciones más rentables o mejoras sin carga económica importante y se hacen comprobaciones periódicas para asegurar que se mantiene la eficacia de los controles.</t>
        </is>
      </c>
      <c r="E11" s="10" t="n"/>
      <c r="F11" s="10" t="n"/>
    </row>
    <row r="12" ht="40" customHeight="1">
      <c r="A12" s="13" t="inlineStr">
        <is>
          <t>Moderado</t>
        </is>
      </c>
      <c r="B12" s="10" t="n"/>
      <c r="C12" s="4" t="inlineStr">
        <is>
          <t>9 a 16</t>
        </is>
      </c>
      <c r="D12" s="6" t="inlineStr">
        <is>
          <t>Se deben hacer esfuerzos para reducir el riesgo, con medidas implementadas en un periodo determinado. Cuando está asociado a consecuencias extremadamente dañinas, se precisa una acción posterior para establecer con más precisión la probabilidad de daño.</t>
        </is>
      </c>
      <c r="E12" s="10" t="n"/>
      <c r="F12" s="10" t="n"/>
    </row>
    <row r="13" ht="40" customHeight="1">
      <c r="A13" s="14" t="inlineStr">
        <is>
          <t>Importante</t>
        </is>
      </c>
      <c r="B13" s="10" t="n"/>
      <c r="C13" s="4" t="inlineStr">
        <is>
          <t>17 a 24</t>
        </is>
      </c>
      <c r="D13" s="6" t="inlineStr">
        <is>
          <t>No debe comenzarse el trabajo hasta que se haya reducido el riesgo. Puede que se precisen recursos considerables. Cuando el riesgo corresponde a un trabajo que se está realizando, debe remediarse el problema en un tiempo inferior al de los riesgos moderados.</t>
        </is>
      </c>
      <c r="E13" s="10" t="n"/>
      <c r="F13" s="10" t="n"/>
    </row>
    <row r="14" ht="40" customHeight="1">
      <c r="A14" s="15" t="inlineStr">
        <is>
          <t>Intolerable</t>
        </is>
      </c>
      <c r="B14" s="10" t="n"/>
      <c r="C14" s="4" t="inlineStr">
        <is>
          <t>25 a 36</t>
        </is>
      </c>
      <c r="D14" s="6" t="inlineStr">
        <is>
          <t>No se debe comenzar ni continuar el trabajo hasta que se reduzca el riesgo. Si no es posible reducirlo, incluso con recursos ilimitados, debe prohibirse el trabajo.</t>
        </is>
      </c>
      <c r="E14" s="10" t="n"/>
      <c r="F14" s="10" t="n"/>
    </row>
    <row r="16" ht="30" customHeight="1">
      <c r="A16" s="16" t="inlineStr">
        <is>
          <t>Riesgo significativo: nivel Importante o Intolerable. Evaluación inicial con B = 2 y C = 2 (procedimientos y capacitación parciales); evaluación residual con B = 1 y C = 1 (PETS, ATS, capacitación y supervisión implementados).</t>
        </is>
      </c>
      <c r="B16" s="17" t="n"/>
      <c r="C16" s="17" t="n"/>
      <c r="D16" s="17" t="n"/>
      <c r="E16" s="17" t="n"/>
      <c r="F16" s="18" t="n"/>
    </row>
  </sheetData>
  <mergeCells count="15">
    <mergeCell ref="A2:F2"/>
    <mergeCell ref="A16:F16"/>
    <mergeCell ref="D11:F11"/>
    <mergeCell ref="D13:F13"/>
    <mergeCell ref="D14:F14"/>
    <mergeCell ref="A1:F1"/>
    <mergeCell ref="A11:B11"/>
    <mergeCell ref="A10:B10"/>
    <mergeCell ref="D12:F12"/>
    <mergeCell ref="A13:B13"/>
    <mergeCell ref="D9:F9"/>
    <mergeCell ref="A14:B14"/>
    <mergeCell ref="A12:B12"/>
    <mergeCell ref="A9:B9"/>
    <mergeCell ref="D10:F10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AH114"/>
  <sheetViews>
    <sheetView showGridLines="0" zoomScale="85" workbookViewId="0">
      <pane xSplit="6" ySplit="5" topLeftCell="G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4" customWidth="1" min="2" max="2"/>
    <col width="22" customWidth="1" min="3" max="3"/>
    <col width="16" customWidth="1" min="4" max="4"/>
    <col width="5" customWidth="1" min="5" max="5"/>
    <col width="24" customWidth="1" min="6" max="6"/>
    <col width="24" customWidth="1" min="7" max="7"/>
    <col width="18" customWidth="1" min="8" max="8"/>
    <col width="5" customWidth="1" min="9" max="9"/>
    <col width="6" customWidth="1" min="10" max="10"/>
    <col width="6" customWidth="1" min="11" max="11"/>
    <col width="6" customWidth="1" min="12" max="12"/>
    <col width="6" customWidth="1" min="13" max="13"/>
    <col width="7" customWidth="1" min="14" max="14"/>
    <col width="6" customWidth="1" min="15" max="15"/>
    <col width="6" customWidth="1" min="16" max="16"/>
    <col width="11" customWidth="1" min="17" max="17"/>
    <col width="7" customWidth="1" min="18" max="18"/>
    <col width="14" customWidth="1" min="19" max="19"/>
    <col width="16" customWidth="1" min="20" max="20"/>
    <col width="28" customWidth="1" min="21" max="21"/>
    <col width="34" customWidth="1" min="22" max="22"/>
    <col width="24" customWidth="1" min="23" max="23"/>
    <col width="5" customWidth="1" min="24" max="24"/>
    <col width="5" customWidth="1" min="25" max="25"/>
    <col width="5" customWidth="1" min="26" max="26"/>
    <col width="5" customWidth="1" min="27" max="27"/>
    <col width="7" customWidth="1" min="28" max="28"/>
    <col width="6" customWidth="1" min="29" max="29"/>
    <col width="6" customWidth="1" min="30" max="30"/>
    <col width="11" customWidth="1" min="31" max="31"/>
    <col width="7" customWidth="1" min="32" max="32"/>
    <col width="26" customWidth="1" min="33" max="33"/>
    <col width="22" customWidth="1" min="34" max="34"/>
  </cols>
  <sheetData>
    <row r="1">
      <c r="A1" s="1" t="inlineStr">
        <is>
          <t>MATRIZ DE IDENTIFICACIÓN DE PELIGROS, EVALUACIÓN DE RIESGOS Y MEDIDAS DE CONTROL (IPERC LÍNEA BASE)</t>
        </is>
      </c>
    </row>
    <row r="2" ht="24" customHeight="1">
      <c r="A2" s="2" t="inlineStr">
        <is>
          <t>MEJORAMIENTO DEL SERVICIO DE TRANSITABILIDAD VIAL INTERURBANA EN LA VÍA DEPARTAMENTAL SM-107, TRAMO TINGO DE PONASA - SHAMBOYACU, DISTRITO DE SHAMBOYACU, PROVINCIA DE PICOTA, DEPARTAMENTO DE SAN MARTÍN - CUI N.° 2673852</t>
        </is>
      </c>
    </row>
    <row r="4">
      <c r="A4" s="19" t="inlineStr">
        <is>
          <t>IDENTIFICACIÓN</t>
        </is>
      </c>
      <c r="B4" s="10" t="n"/>
      <c r="C4" s="10" t="n"/>
      <c r="D4" s="10" t="n"/>
      <c r="E4" s="10" t="n"/>
      <c r="F4" s="10" t="n"/>
      <c r="G4" s="10" t="n"/>
      <c r="H4" s="10" t="n"/>
      <c r="I4" s="10" t="n"/>
      <c r="J4" s="19" t="inlineStr">
        <is>
          <t>EVALUACIÓN INICIAL</t>
        </is>
      </c>
      <c r="K4" s="10" t="n"/>
      <c r="L4" s="10" t="n"/>
      <c r="M4" s="10" t="n"/>
      <c r="N4" s="10" t="n"/>
      <c r="O4" s="10" t="n"/>
      <c r="P4" s="10" t="n"/>
      <c r="Q4" s="10" t="n"/>
      <c r="R4" s="10" t="n"/>
      <c r="S4" s="19" t="inlineStr">
        <is>
          <t>MEDIDAS DE CONTROL (JERARQUÍA)</t>
        </is>
      </c>
      <c r="T4" s="10" t="n"/>
      <c r="U4" s="10" t="n"/>
      <c r="V4" s="10" t="n"/>
      <c r="W4" s="10" t="n"/>
      <c r="X4" s="19" t="inlineStr">
        <is>
          <t>EVALUACIÓN RESIDUAL</t>
        </is>
      </c>
      <c r="Y4" s="10" t="n"/>
      <c r="Z4" s="10" t="n"/>
      <c r="AA4" s="10" t="n"/>
      <c r="AB4" s="10" t="n"/>
      <c r="AC4" s="10" t="n"/>
      <c r="AD4" s="10" t="n"/>
      <c r="AE4" s="10" t="n"/>
      <c r="AF4" s="10" t="n"/>
      <c r="AG4" s="19" t="inlineStr">
        <is>
          <t>PROCEDIMIENTOS</t>
        </is>
      </c>
      <c r="AH4" s="10" t="n"/>
    </row>
    <row r="5" ht="36" customHeight="1">
      <c r="A5" s="3" t="inlineStr">
        <is>
          <t>N.°</t>
        </is>
      </c>
      <c r="B5" s="3" t="inlineStr">
        <is>
          <t>PROCESO</t>
        </is>
      </c>
      <c r="C5" s="3" t="inlineStr">
        <is>
          <t>ACTIVIDAD</t>
        </is>
      </c>
      <c r="D5" s="3" t="inlineStr">
        <is>
          <t>PUESTOS</t>
        </is>
      </c>
      <c r="E5" s="3" t="inlineStr">
        <is>
          <t>R / NR</t>
        </is>
      </c>
      <c r="F5" s="3" t="inlineStr">
        <is>
          <t>PELIGRO</t>
        </is>
      </c>
      <c r="G5" s="3" t="inlineStr">
        <is>
          <t>RIESGO</t>
        </is>
      </c>
      <c r="H5" s="3" t="inlineStr">
        <is>
          <t>CONSECUENCIA</t>
        </is>
      </c>
      <c r="I5" s="3" t="inlineStr">
        <is>
          <t>S / SO</t>
        </is>
      </c>
      <c r="J5" s="3" t="inlineStr">
        <is>
          <t>A
PERSONAS</t>
        </is>
      </c>
      <c r="K5" s="3" t="inlineStr">
        <is>
          <t>B
PROCED.</t>
        </is>
      </c>
      <c r="L5" s="3" t="inlineStr">
        <is>
          <t>C
CAPACIT.</t>
        </is>
      </c>
      <c r="M5" s="3" t="inlineStr">
        <is>
          <t>D
EXPOSIC.</t>
        </is>
      </c>
      <c r="N5" s="3" t="inlineStr">
        <is>
          <t>PROBAB.
A+B+C+D</t>
        </is>
      </c>
      <c r="O5" s="3" t="inlineStr">
        <is>
          <t>SEVERI-
DAD</t>
        </is>
      </c>
      <c r="P5" s="3" t="inlineStr">
        <is>
          <t>P x S</t>
        </is>
      </c>
      <c r="Q5" s="3" t="inlineStr">
        <is>
          <t>NIVEL</t>
        </is>
      </c>
      <c r="R5" s="3" t="inlineStr">
        <is>
          <t>SIGNIFI-
CATIVO</t>
        </is>
      </c>
      <c r="S5" s="3" t="inlineStr">
        <is>
          <t>ELIMINACIÓN</t>
        </is>
      </c>
      <c r="T5" s="3" t="inlineStr">
        <is>
          <t>SUSTITUCIÓN</t>
        </is>
      </c>
      <c r="U5" s="3" t="inlineStr">
        <is>
          <t>CONTROLES DE INGENIERÍA</t>
        </is>
      </c>
      <c r="V5" s="3" t="inlineStr">
        <is>
          <t>CONTROLES ADMINISTRATIVOS</t>
        </is>
      </c>
      <c r="W5" s="3" t="inlineStr">
        <is>
          <t>EPP</t>
        </is>
      </c>
      <c r="X5" s="3" t="inlineStr">
        <is>
          <t>A</t>
        </is>
      </c>
      <c r="Y5" s="3" t="inlineStr">
        <is>
          <t>B</t>
        </is>
      </c>
      <c r="Z5" s="3" t="inlineStr">
        <is>
          <t>C</t>
        </is>
      </c>
      <c r="AA5" s="3" t="inlineStr">
        <is>
          <t>D</t>
        </is>
      </c>
      <c r="AB5" s="3" t="inlineStr">
        <is>
          <t>PROBAB.</t>
        </is>
      </c>
      <c r="AC5" s="3" t="inlineStr">
        <is>
          <t>SEVERI-
DAD</t>
        </is>
      </c>
      <c r="AD5" s="3" t="inlineStr">
        <is>
          <t>P x S</t>
        </is>
      </c>
      <c r="AE5" s="3" t="inlineStr">
        <is>
          <t>NIVEL</t>
        </is>
      </c>
      <c r="AF5" s="3" t="inlineStr">
        <is>
          <t>SIGNIFI-
CATIVO</t>
        </is>
      </c>
      <c r="AG5" s="3" t="inlineStr">
        <is>
          <t>PETS</t>
        </is>
      </c>
      <c r="AH5" s="3" t="inlineStr">
        <is>
          <t>PETAR</t>
        </is>
      </c>
    </row>
    <row r="6" ht="58" customHeight="1">
      <c r="A6" s="4" t="n">
        <v>1</v>
      </c>
      <c r="B6" s="6" t="inlineStr">
        <is>
          <t>Actividades generales</t>
        </is>
      </c>
      <c r="C6" s="6" t="inlineStr">
        <is>
          <t>Trabajos generales a campo abierto</t>
        </is>
      </c>
      <c r="D6" s="6" t="inlineStr">
        <is>
          <t>Todo el personal</t>
        </is>
      </c>
      <c r="E6" s="4" t="inlineStr">
        <is>
          <t>R</t>
        </is>
      </c>
      <c r="F6" s="6" t="inlineStr">
        <is>
          <t>Radiación solar y temperatura ambiente elevada</t>
        </is>
      </c>
      <c r="G6" s="6" t="inlineStr">
        <is>
          <t>Exposición prolongada a radiación UV y a calor</t>
        </is>
      </c>
      <c r="H6" s="6" t="inlineStr">
        <is>
          <t>Golpe de calor, deshidratación, quemaduras de piel</t>
        </is>
      </c>
      <c r="I6" s="4" t="inlineStr">
        <is>
          <t>SO</t>
        </is>
      </c>
      <c r="J6" s="20" t="n">
        <v>3</v>
      </c>
      <c r="K6" s="20" t="n">
        <v>2</v>
      </c>
      <c r="L6" s="20" t="n">
        <v>2</v>
      </c>
      <c r="M6" s="20" t="n">
        <v>3</v>
      </c>
      <c r="N6" s="21">
        <f>SUM(J6:M6)</f>
        <v/>
      </c>
      <c r="O6" s="20" t="n">
        <v>2</v>
      </c>
      <c r="P6" s="21">
        <f>N6*O6</f>
        <v/>
      </c>
      <c r="Q6" s="4">
        <f>IF(P6&lt;=4,"Trivial",IF(P6&lt;=8,"Tolerable",IF(P6&lt;=16,"Moderado",IF(P6&lt;=24,"Importante","Intolerable"))))</f>
        <v/>
      </c>
      <c r="R6" s="21">
        <f>IF(OR(Q6="Importante",Q6="Intolerable"),"Sí","No")</f>
        <v/>
      </c>
      <c r="S6" s="6" t="inlineStr">
        <is>
          <t>No aplica</t>
        </is>
      </c>
      <c r="T6" s="6" t="inlineStr">
        <is>
          <t>No aplica</t>
        </is>
      </c>
      <c r="U6" s="6" t="inlineStr">
        <is>
          <t>Toldos o sombras en las zonas de descanso; puntos de hidratación con agua potable en cada frente</t>
        </is>
      </c>
      <c r="V6" s="6" t="inlineStr">
        <is>
          <t>Pausas de hidratación; rotación del personal en las horas de mayor radiación (11:00 a 15:00); charla de estrés térmico</t>
        </is>
      </c>
      <c r="W6" s="6" t="inlineStr">
        <is>
          <t>Bloqueador solar FPS 50+ y cortasol para casco</t>
        </is>
      </c>
      <c r="X6" s="20" t="n">
        <v>3</v>
      </c>
      <c r="Y6" s="20" t="n">
        <v>1</v>
      </c>
      <c r="Z6" s="20" t="n">
        <v>1</v>
      </c>
      <c r="AA6" s="20" t="n">
        <v>3</v>
      </c>
      <c r="AB6" s="21">
        <f>SUM(X6:AA6)</f>
        <v/>
      </c>
      <c r="AC6" s="20" t="n">
        <v>1</v>
      </c>
      <c r="AD6" s="21">
        <f>AB6*AC6</f>
        <v/>
      </c>
      <c r="AE6" s="4">
        <f>IF(AD6&lt;=4,"Trivial",IF(AD6&lt;=8,"Tolerable",IF(AD6&lt;=16,"Moderado",IF(AD6&lt;=24,"Importante","Intolerable"))))</f>
        <v/>
      </c>
      <c r="AF6" s="21">
        <f>IF(OR(AE6="Importante",AE6="Intolerable"),"Sí","No")</f>
        <v/>
      </c>
      <c r="AG6" s="6" t="inlineStr">
        <is>
          <t>Reglamento interno de SST y charla diaria de 5 minutos</t>
        </is>
      </c>
      <c r="AH6" s="4" t="inlineStr">
        <is>
          <t>—</t>
        </is>
      </c>
    </row>
    <row r="7" ht="58" customHeight="1">
      <c r="A7" s="4" t="n">
        <v>2</v>
      </c>
      <c r="B7" s="6" t="inlineStr">
        <is>
          <t>Actividades generales</t>
        </is>
      </c>
      <c r="C7" s="6" t="inlineStr">
        <is>
          <t>Trabajos generales a campo abierto</t>
        </is>
      </c>
      <c r="D7" s="6" t="inlineStr">
        <is>
          <t>Todo el personal</t>
        </is>
      </c>
      <c r="E7" s="4" t="inlineStr">
        <is>
          <t>R</t>
        </is>
      </c>
      <c r="F7" s="6" t="inlineStr">
        <is>
          <t>Lluvia intensa y tormenta eléctrica</t>
        </is>
      </c>
      <c r="G7" s="6" t="inlineStr">
        <is>
          <t>Resbalones y caídas; descarga eléctrica atmosférica</t>
        </is>
      </c>
      <c r="H7" s="6" t="inlineStr">
        <is>
          <t>Contusiones, fracturas, electrocución</t>
        </is>
      </c>
      <c r="I7" s="4" t="inlineStr">
        <is>
          <t>S</t>
        </is>
      </c>
      <c r="J7" s="20" t="n">
        <v>3</v>
      </c>
      <c r="K7" s="20" t="n">
        <v>2</v>
      </c>
      <c r="L7" s="20" t="n">
        <v>2</v>
      </c>
      <c r="M7" s="20" t="n">
        <v>2</v>
      </c>
      <c r="N7" s="21">
        <f>SUM(J7:M7)</f>
        <v/>
      </c>
      <c r="O7" s="20" t="n">
        <v>3</v>
      </c>
      <c r="P7" s="21">
        <f>N7*O7</f>
        <v/>
      </c>
      <c r="Q7" s="4">
        <f>IF(P7&lt;=4,"Trivial",IF(P7&lt;=8,"Tolerable",IF(P7&lt;=16,"Moderado",IF(P7&lt;=24,"Importante","Intolerable"))))</f>
        <v/>
      </c>
      <c r="R7" s="21">
        <f>IF(OR(Q7="Importante",Q7="Intolerable"),"Sí","No")</f>
        <v/>
      </c>
      <c r="S7" s="6" t="inlineStr">
        <is>
          <t>No aplica</t>
        </is>
      </c>
      <c r="T7" s="6" t="inlineStr">
        <is>
          <t>No aplica</t>
        </is>
      </c>
      <c r="U7" s="6" t="inlineStr">
        <is>
          <t>Refugios temporales y vehículos cerrados en el frente</t>
        </is>
      </c>
      <c r="V7" s="6" t="inlineStr">
        <is>
          <t>Suspensión de trabajos a campo abierto con tormenta eléctrica (regla 30-30); monitoreo del pronóstico del SENAMHI; orden y limpieza de accesos</t>
        </is>
      </c>
      <c r="W7" s="6" t="inlineStr">
        <is>
          <t>Ropa impermeable (poncho o traje de agua)</t>
        </is>
      </c>
      <c r="X7" s="20" t="n">
        <v>3</v>
      </c>
      <c r="Y7" s="20" t="n">
        <v>1</v>
      </c>
      <c r="Z7" s="20" t="n">
        <v>1</v>
      </c>
      <c r="AA7" s="20" t="n">
        <v>1</v>
      </c>
      <c r="AB7" s="21">
        <f>SUM(X7:AA7)</f>
        <v/>
      </c>
      <c r="AC7" s="20" t="n">
        <v>2</v>
      </c>
      <c r="AD7" s="21">
        <f>AB7*AC7</f>
        <v/>
      </c>
      <c r="AE7" s="4">
        <f>IF(AD7&lt;=4,"Trivial",IF(AD7&lt;=8,"Tolerable",IF(AD7&lt;=16,"Moderado",IF(AD7&lt;=24,"Importante","Intolerable"))))</f>
        <v/>
      </c>
      <c r="AF7" s="21">
        <f>IF(OR(AE7="Importante",AE7="Intolerable"),"Sí","No")</f>
        <v/>
      </c>
      <c r="AG7" s="6" t="inlineStr">
        <is>
          <t>Reglamento interno de SST y charla diaria de 5 minutos</t>
        </is>
      </c>
      <c r="AH7" s="4" t="inlineStr">
        <is>
          <t>—</t>
        </is>
      </c>
    </row>
    <row r="8" ht="58" customHeight="1">
      <c r="A8" s="4" t="n">
        <v>3</v>
      </c>
      <c r="B8" s="6" t="inlineStr">
        <is>
          <t>Actividades generales</t>
        </is>
      </c>
      <c r="C8" s="6" t="inlineStr">
        <is>
          <t>Trabajos generales a campo abierto</t>
        </is>
      </c>
      <c r="D8" s="6" t="inlineStr">
        <is>
          <t>Todo el personal</t>
        </is>
      </c>
      <c r="E8" s="4" t="inlineStr">
        <is>
          <t>R</t>
        </is>
      </c>
      <c r="F8" s="6" t="inlineStr">
        <is>
          <t>Sismo</t>
        </is>
      </c>
      <c r="G8" s="6" t="inlineStr">
        <is>
          <t>Caída de objetos, colapso de estructuras provisionales o derrumbes</t>
        </is>
      </c>
      <c r="H8" s="6" t="inlineStr">
        <is>
          <t>Contusiones, aplastamiento, muerte</t>
        </is>
      </c>
      <c r="I8" s="4" t="inlineStr">
        <is>
          <t>S</t>
        </is>
      </c>
      <c r="J8" s="20" t="n">
        <v>3</v>
      </c>
      <c r="K8" s="20" t="n">
        <v>2</v>
      </c>
      <c r="L8" s="20" t="n">
        <v>2</v>
      </c>
      <c r="M8" s="20" t="n">
        <v>1</v>
      </c>
      <c r="N8" s="21">
        <f>SUM(J8:M8)</f>
        <v/>
      </c>
      <c r="O8" s="20" t="n">
        <v>3</v>
      </c>
      <c r="P8" s="21">
        <f>N8*O8</f>
        <v/>
      </c>
      <c r="Q8" s="4">
        <f>IF(P8&lt;=4,"Trivial",IF(P8&lt;=8,"Tolerable",IF(P8&lt;=16,"Moderado",IF(P8&lt;=24,"Importante","Intolerable"))))</f>
        <v/>
      </c>
      <c r="R8" s="21">
        <f>IF(OR(Q8="Importante",Q8="Intolerable"),"Sí","No")</f>
        <v/>
      </c>
      <c r="S8" s="6" t="inlineStr">
        <is>
          <t>No aplica</t>
        </is>
      </c>
      <c r="T8" s="6" t="inlineStr">
        <is>
          <t>No aplica</t>
        </is>
      </c>
      <c r="U8" s="6" t="inlineStr">
        <is>
          <t>Estructuras provisionales arriostradas; almacenamiento estable de materiales</t>
        </is>
      </c>
      <c r="V8" s="6" t="inlineStr">
        <is>
          <t>Plan de respuesta ante emergencias; zonas seguras señalizadas; simulacros</t>
        </is>
      </c>
      <c r="W8" s="6" t="inlineStr">
        <is>
          <t>EPP básico</t>
        </is>
      </c>
      <c r="X8" s="20" t="n">
        <v>3</v>
      </c>
      <c r="Y8" s="20" t="n">
        <v>1</v>
      </c>
      <c r="Z8" s="20" t="n">
        <v>1</v>
      </c>
      <c r="AA8" s="20" t="n">
        <v>1</v>
      </c>
      <c r="AB8" s="21">
        <f>SUM(X8:AA8)</f>
        <v/>
      </c>
      <c r="AC8" s="20" t="n">
        <v>2</v>
      </c>
      <c r="AD8" s="21">
        <f>AB8*AC8</f>
        <v/>
      </c>
      <c r="AE8" s="4">
        <f>IF(AD8&lt;=4,"Trivial",IF(AD8&lt;=8,"Tolerable",IF(AD8&lt;=16,"Moderado",IF(AD8&lt;=24,"Importante","Intolerable"))))</f>
        <v/>
      </c>
      <c r="AF8" s="21">
        <f>IF(OR(AE8="Importante",AE8="Intolerable"),"Sí","No")</f>
        <v/>
      </c>
      <c r="AG8" s="6" t="inlineStr">
        <is>
          <t>Reglamento interno de SST y charla diaria de 5 minutos</t>
        </is>
      </c>
      <c r="AH8" s="4" t="inlineStr">
        <is>
          <t>—</t>
        </is>
      </c>
    </row>
    <row r="9" ht="58" customHeight="1">
      <c r="A9" s="4" t="n">
        <v>4</v>
      </c>
      <c r="B9" s="6" t="inlineStr">
        <is>
          <t>Actividades generales</t>
        </is>
      </c>
      <c r="C9" s="6" t="inlineStr">
        <is>
          <t>Trabajos generales a campo abierto</t>
        </is>
      </c>
      <c r="D9" s="6" t="inlineStr">
        <is>
          <t>Todo el personal</t>
        </is>
      </c>
      <c r="E9" s="4" t="inlineStr">
        <is>
          <t>R</t>
        </is>
      </c>
      <c r="F9" s="6" t="inlineStr">
        <is>
          <t>Carga de trabajo, jornadas extensas y trabajo lejos del hogar</t>
        </is>
      </c>
      <c r="G9" s="6" t="inlineStr">
        <is>
          <t>Fatiga y estrés laboral</t>
        </is>
      </c>
      <c r="H9" s="6" t="inlineStr">
        <is>
          <t>Trastornos psicosociales, errores y accidentes</t>
        </is>
      </c>
      <c r="I9" s="4" t="inlineStr">
        <is>
          <t>SO</t>
        </is>
      </c>
      <c r="J9" s="20" t="n">
        <v>3</v>
      </c>
      <c r="K9" s="20" t="n">
        <v>2</v>
      </c>
      <c r="L9" s="20" t="n">
        <v>2</v>
      </c>
      <c r="M9" s="20" t="n">
        <v>3</v>
      </c>
      <c r="N9" s="21">
        <f>SUM(J9:M9)</f>
        <v/>
      </c>
      <c r="O9" s="20" t="n">
        <v>2</v>
      </c>
      <c r="P9" s="21">
        <f>N9*O9</f>
        <v/>
      </c>
      <c r="Q9" s="4">
        <f>IF(P9&lt;=4,"Trivial",IF(P9&lt;=8,"Tolerable",IF(P9&lt;=16,"Moderado",IF(P9&lt;=24,"Importante","Intolerable"))))</f>
        <v/>
      </c>
      <c r="R9" s="21">
        <f>IF(OR(Q9="Importante",Q9="Intolerable"),"Sí","No")</f>
        <v/>
      </c>
      <c r="S9" s="6" t="inlineStr">
        <is>
          <t>No aplica</t>
        </is>
      </c>
      <c r="T9" s="6" t="inlineStr">
        <is>
          <t>No aplica</t>
        </is>
      </c>
      <c r="U9" s="6" t="inlineStr">
        <is>
          <t>Campamento con condiciones adecuadas de descanso y alimentación</t>
        </is>
      </c>
      <c r="V9" s="6" t="inlineStr">
        <is>
          <t>Control de jornada y horas extras; programa de bienestar; canal de atención de quejas y hostigamiento</t>
        </is>
      </c>
      <c r="W9" s="6" t="inlineStr">
        <is>
          <t>No aplica</t>
        </is>
      </c>
      <c r="X9" s="20" t="n">
        <v>3</v>
      </c>
      <c r="Y9" s="20" t="n">
        <v>1</v>
      </c>
      <c r="Z9" s="20" t="n">
        <v>1</v>
      </c>
      <c r="AA9" s="20" t="n">
        <v>3</v>
      </c>
      <c r="AB9" s="21">
        <f>SUM(X9:AA9)</f>
        <v/>
      </c>
      <c r="AC9" s="20" t="n">
        <v>1</v>
      </c>
      <c r="AD9" s="21">
        <f>AB9*AC9</f>
        <v/>
      </c>
      <c r="AE9" s="4">
        <f>IF(AD9&lt;=4,"Trivial",IF(AD9&lt;=8,"Tolerable",IF(AD9&lt;=16,"Moderado",IF(AD9&lt;=24,"Importante","Intolerable"))))</f>
        <v/>
      </c>
      <c r="AF9" s="21">
        <f>IF(OR(AE9="Importante",AE9="Intolerable"),"Sí","No")</f>
        <v/>
      </c>
      <c r="AG9" s="6" t="inlineStr">
        <is>
          <t>Reglamento interno de SST y charla diaria de 5 minutos</t>
        </is>
      </c>
      <c r="AH9" s="4" t="inlineStr">
        <is>
          <t>—</t>
        </is>
      </c>
    </row>
    <row r="10" ht="58" customHeight="1">
      <c r="A10" s="4" t="n">
        <v>5</v>
      </c>
      <c r="B10" s="6" t="inlineStr">
        <is>
          <t>Actividades generales</t>
        </is>
      </c>
      <c r="C10" s="6" t="inlineStr">
        <is>
          <t>Trabajos en zona de selva (fauna y vectores)</t>
        </is>
      </c>
      <c r="D10" s="6" t="inlineStr">
        <is>
          <t>Todo el personal</t>
        </is>
      </c>
      <c r="E10" s="4" t="inlineStr">
        <is>
          <t>R</t>
        </is>
      </c>
      <c r="F10" s="6" t="inlineStr">
        <is>
          <t>Ofidios, arácnidos e insectos ponzoñosos</t>
        </is>
      </c>
      <c r="G10" s="6" t="inlineStr">
        <is>
          <t>Mordedura o picadura durante el trabajo en vegetación</t>
        </is>
      </c>
      <c r="H10" s="6" t="inlineStr">
        <is>
          <t>Envenenamiento, reacción alérgica, muerte</t>
        </is>
      </c>
      <c r="I10" s="4" t="inlineStr">
        <is>
          <t>S</t>
        </is>
      </c>
      <c r="J10" s="20" t="n">
        <v>3</v>
      </c>
      <c r="K10" s="20" t="n">
        <v>2</v>
      </c>
      <c r="L10" s="20" t="n">
        <v>2</v>
      </c>
      <c r="M10" s="20" t="n">
        <v>2</v>
      </c>
      <c r="N10" s="21">
        <f>SUM(J10:M10)</f>
        <v/>
      </c>
      <c r="O10" s="20" t="n">
        <v>3</v>
      </c>
      <c r="P10" s="21">
        <f>N10*O10</f>
        <v/>
      </c>
      <c r="Q10" s="4">
        <f>IF(P10&lt;=4,"Trivial",IF(P10&lt;=8,"Tolerable",IF(P10&lt;=16,"Moderado",IF(P10&lt;=24,"Importante","Intolerable"))))</f>
        <v/>
      </c>
      <c r="R10" s="21">
        <f>IF(OR(Q10="Importante",Q10="Intolerable"),"Sí","No")</f>
        <v/>
      </c>
      <c r="S10" s="6" t="inlineStr">
        <is>
          <t>No aplica</t>
        </is>
      </c>
      <c r="T10" s="6" t="inlineStr">
        <is>
          <t>No aplica</t>
        </is>
      </c>
      <c r="U10" s="6" t="inlineStr">
        <is>
          <t>Desbroce y limpieza previa de las áreas de trabajo y de tránsito</t>
        </is>
      </c>
      <c r="V10" s="6" t="inlineStr">
        <is>
          <t>Inspección visual antes de iniciar; coordinación con el establecimiento de salud sobre suero antiofídico; plan de evacuación inmediata</t>
        </is>
      </c>
      <c r="W10" s="6" t="inlineStr">
        <is>
          <t>Polainas de protección contra mordeduras y botas de caña alta</t>
        </is>
      </c>
      <c r="X10" s="20" t="n">
        <v>3</v>
      </c>
      <c r="Y10" s="20" t="n">
        <v>1</v>
      </c>
      <c r="Z10" s="20" t="n">
        <v>1</v>
      </c>
      <c r="AA10" s="20" t="n">
        <v>2</v>
      </c>
      <c r="AB10" s="21">
        <f>SUM(X10:AA10)</f>
        <v/>
      </c>
      <c r="AC10" s="20" t="n">
        <v>2</v>
      </c>
      <c r="AD10" s="21">
        <f>AB10*AC10</f>
        <v/>
      </c>
      <c r="AE10" s="4">
        <f>IF(AD10&lt;=4,"Trivial",IF(AD10&lt;=8,"Tolerable",IF(AD10&lt;=16,"Moderado",IF(AD10&lt;=24,"Importante","Intolerable"))))</f>
        <v/>
      </c>
      <c r="AF10" s="21">
        <f>IF(OR(AE10="Importante",AE10="Intolerable"),"Sí","No")</f>
        <v/>
      </c>
      <c r="AG10" s="6" t="inlineStr">
        <is>
          <t>PETS - Prevención de mordeduras de ofidios y enfermedades metaxénicas</t>
        </is>
      </c>
      <c r="AH10" s="4" t="inlineStr">
        <is>
          <t>—</t>
        </is>
      </c>
    </row>
    <row r="11" ht="58" customHeight="1">
      <c r="A11" s="4" t="n">
        <v>6</v>
      </c>
      <c r="B11" s="6" t="inlineStr">
        <is>
          <t>Actividades generales</t>
        </is>
      </c>
      <c r="C11" s="6" t="inlineStr">
        <is>
          <t>Trabajos en zona de selva (fauna y vectores)</t>
        </is>
      </c>
      <c r="D11" s="6" t="inlineStr">
        <is>
          <t>Todo el personal</t>
        </is>
      </c>
      <c r="E11" s="4" t="inlineStr">
        <is>
          <t>R</t>
        </is>
      </c>
      <c r="F11" s="6" t="inlineStr">
        <is>
          <t>Mosquitos vectores (dengue, malaria, zika)</t>
        </is>
      </c>
      <c r="G11" s="6" t="inlineStr">
        <is>
          <t>Picadura de mosquitos infectados</t>
        </is>
      </c>
      <c r="H11" s="6" t="inlineStr">
        <is>
          <t>Enfermedad metaxénica</t>
        </is>
      </c>
      <c r="I11" s="4" t="inlineStr">
        <is>
          <t>SO</t>
        </is>
      </c>
      <c r="J11" s="20" t="n">
        <v>3</v>
      </c>
      <c r="K11" s="20" t="n">
        <v>2</v>
      </c>
      <c r="L11" s="20" t="n">
        <v>2</v>
      </c>
      <c r="M11" s="20" t="n">
        <v>3</v>
      </c>
      <c r="N11" s="21">
        <f>SUM(J11:M11)</f>
        <v/>
      </c>
      <c r="O11" s="20" t="n">
        <v>2</v>
      </c>
      <c r="P11" s="21">
        <f>N11*O11</f>
        <v/>
      </c>
      <c r="Q11" s="4">
        <f>IF(P11&lt;=4,"Trivial",IF(P11&lt;=8,"Tolerable",IF(P11&lt;=16,"Moderado",IF(P11&lt;=24,"Importante","Intolerable"))))</f>
        <v/>
      </c>
      <c r="R11" s="21">
        <f>IF(OR(Q11="Importante",Q11="Intolerable"),"Sí","No")</f>
        <v/>
      </c>
      <c r="S11" s="6" t="inlineStr">
        <is>
          <t>No aplica</t>
        </is>
      </c>
      <c r="T11" s="6" t="inlineStr">
        <is>
          <t>No aplica</t>
        </is>
      </c>
      <c r="U11" s="6" t="inlineStr">
        <is>
          <t>Mallas mosquiteras en campamento; eliminación de recipientes con agua estancada</t>
        </is>
      </c>
      <c r="V11" s="6" t="inlineStr">
        <is>
          <t>Campaña de prevención con el establecimiento de salud; vigilancia de casos febriles</t>
        </is>
      </c>
      <c r="W11" s="6" t="inlineStr">
        <is>
          <t>Repelente de insectos y ropa de manga larga</t>
        </is>
      </c>
      <c r="X11" s="20" t="n">
        <v>3</v>
      </c>
      <c r="Y11" s="20" t="n">
        <v>1</v>
      </c>
      <c r="Z11" s="20" t="n">
        <v>1</v>
      </c>
      <c r="AA11" s="20" t="n">
        <v>3</v>
      </c>
      <c r="AB11" s="21">
        <f>SUM(X11:AA11)</f>
        <v/>
      </c>
      <c r="AC11" s="20" t="n">
        <v>2</v>
      </c>
      <c r="AD11" s="21">
        <f>AB11*AC11</f>
        <v/>
      </c>
      <c r="AE11" s="4">
        <f>IF(AD11&lt;=4,"Trivial",IF(AD11&lt;=8,"Tolerable",IF(AD11&lt;=16,"Moderado",IF(AD11&lt;=24,"Importante","Intolerable"))))</f>
        <v/>
      </c>
      <c r="AF11" s="21">
        <f>IF(OR(AE11="Importante",AE11="Intolerable"),"Sí","No")</f>
        <v/>
      </c>
      <c r="AG11" s="6" t="inlineStr">
        <is>
          <t>PETS - Prevención de mordeduras de ofidios y enfermedades metaxénicas</t>
        </is>
      </c>
      <c r="AH11" s="4" t="inlineStr">
        <is>
          <t>—</t>
        </is>
      </c>
    </row>
    <row r="12" ht="58" customHeight="1">
      <c r="A12" s="4" t="n">
        <v>7</v>
      </c>
      <c r="B12" s="6" t="inlineStr">
        <is>
          <t>Actividades generales</t>
        </is>
      </c>
      <c r="C12" s="6" t="inlineStr">
        <is>
          <t>Traslado de personal y materiales en vehículos</t>
        </is>
      </c>
      <c r="D12" s="6" t="inlineStr">
        <is>
          <t>Chofer, Todo el personal</t>
        </is>
      </c>
      <c r="E12" s="4" t="inlineStr">
        <is>
          <t>R</t>
        </is>
      </c>
      <c r="F12" s="6" t="inlineStr">
        <is>
          <t>Vehículos de transporte de personal en vías afirmadas y con pendiente</t>
        </is>
      </c>
      <c r="G12" s="6" t="inlineStr">
        <is>
          <t>Choque, despiste o volcadura</t>
        </is>
      </c>
      <c r="H12" s="6" t="inlineStr">
        <is>
          <t>Politraumatismo, muerte</t>
        </is>
      </c>
      <c r="I12" s="4" t="inlineStr">
        <is>
          <t>S</t>
        </is>
      </c>
      <c r="J12" s="20" t="n">
        <v>3</v>
      </c>
      <c r="K12" s="20" t="n">
        <v>2</v>
      </c>
      <c r="L12" s="20" t="n">
        <v>2</v>
      </c>
      <c r="M12" s="20" t="n">
        <v>3</v>
      </c>
      <c r="N12" s="21">
        <f>SUM(J12:M12)</f>
        <v/>
      </c>
      <c r="O12" s="20" t="n">
        <v>3</v>
      </c>
      <c r="P12" s="21">
        <f>N12*O12</f>
        <v/>
      </c>
      <c r="Q12" s="4">
        <f>IF(P12&lt;=4,"Trivial",IF(P12&lt;=8,"Tolerable",IF(P12&lt;=16,"Moderado",IF(P12&lt;=24,"Importante","Intolerable"))))</f>
        <v/>
      </c>
      <c r="R12" s="21">
        <f>IF(OR(Q12="Importante",Q12="Intolerable"),"Sí","No")</f>
        <v/>
      </c>
      <c r="S12" s="6" t="inlineStr">
        <is>
          <t>No aplica</t>
        </is>
      </c>
      <c r="T12" s="6" t="inlineStr">
        <is>
          <t>No aplica</t>
        </is>
      </c>
      <c r="U12" s="6" t="inlineStr">
        <is>
          <t>Vehículos con cinturones, barras antivuelco en camionetas, GPS con control de velocidad; mantenimiento preventivo</t>
        </is>
      </c>
      <c r="V12" s="6" t="inlineStr">
        <is>
          <t>Conductores con licencia y capacitación en manejo defensivo; límite de velocidad; prohibido trasladar personal en tolvas; check-list diario</t>
        </is>
      </c>
      <c r="W12" s="6" t="inlineStr">
        <is>
          <t>Cinturón de seguridad</t>
        </is>
      </c>
      <c r="X12" s="20" t="n">
        <v>3</v>
      </c>
      <c r="Y12" s="20" t="n">
        <v>1</v>
      </c>
      <c r="Z12" s="20" t="n">
        <v>1</v>
      </c>
      <c r="AA12" s="20" t="n">
        <v>3</v>
      </c>
      <c r="AB12" s="21">
        <f>SUM(X12:AA12)</f>
        <v/>
      </c>
      <c r="AC12" s="20" t="n">
        <v>2</v>
      </c>
      <c r="AD12" s="21">
        <f>AB12*AC12</f>
        <v/>
      </c>
      <c r="AE12" s="4">
        <f>IF(AD12&lt;=4,"Trivial",IF(AD12&lt;=8,"Tolerable",IF(AD12&lt;=16,"Moderado",IF(AD12&lt;=24,"Importante","Intolerable"))))</f>
        <v/>
      </c>
      <c r="AF12" s="21">
        <f>IF(OR(AE12="Importante",AE12="Intolerable"),"Sí","No")</f>
        <v/>
      </c>
      <c r="AG12" s="6" t="inlineStr">
        <is>
          <t>PETS - Transporte de personal y manejo defensivo</t>
        </is>
      </c>
      <c r="AH12" s="4" t="inlineStr">
        <is>
          <t>—</t>
        </is>
      </c>
    </row>
    <row r="13" ht="58" customHeight="1">
      <c r="A13" s="4" t="n">
        <v>8</v>
      </c>
      <c r="B13" s="6" t="inlineStr">
        <is>
          <t>Actividades generales</t>
        </is>
      </c>
      <c r="C13" s="6" t="inlineStr">
        <is>
          <t>Traslado de personal y materiales en vehículos</t>
        </is>
      </c>
      <c r="D13" s="6" t="inlineStr">
        <is>
          <t>Chofer, Todo el personal</t>
        </is>
      </c>
      <c r="E13" s="4" t="inlineStr">
        <is>
          <t>R</t>
        </is>
      </c>
      <c r="F13" s="6" t="inlineStr">
        <is>
          <t>Conducción prolongada</t>
        </is>
      </c>
      <c r="G13" s="6" t="inlineStr">
        <is>
          <t>Fatiga y somnolencia del conductor</t>
        </is>
      </c>
      <c r="H13" s="6" t="inlineStr">
        <is>
          <t>Accidente de tránsito</t>
        </is>
      </c>
      <c r="I13" s="4" t="inlineStr">
        <is>
          <t>S</t>
        </is>
      </c>
      <c r="J13" s="20" t="n">
        <v>3</v>
      </c>
      <c r="K13" s="20" t="n">
        <v>2</v>
      </c>
      <c r="L13" s="20" t="n">
        <v>2</v>
      </c>
      <c r="M13" s="20" t="n">
        <v>2</v>
      </c>
      <c r="N13" s="21">
        <f>SUM(J13:M13)</f>
        <v/>
      </c>
      <c r="O13" s="20" t="n">
        <v>3</v>
      </c>
      <c r="P13" s="21">
        <f>N13*O13</f>
        <v/>
      </c>
      <c r="Q13" s="4">
        <f>IF(P13&lt;=4,"Trivial",IF(P13&lt;=8,"Tolerable",IF(P13&lt;=16,"Moderado",IF(P13&lt;=24,"Importante","Intolerable"))))</f>
        <v/>
      </c>
      <c r="R13" s="21">
        <f>IF(OR(Q13="Importante",Q13="Intolerable"),"Sí","No")</f>
        <v/>
      </c>
      <c r="S13" s="6" t="inlineStr">
        <is>
          <t>No aplica</t>
        </is>
      </c>
      <c r="T13" s="6" t="inlineStr">
        <is>
          <t>No aplica</t>
        </is>
      </c>
      <c r="U13" s="6" t="inlineStr">
        <is>
          <t>No aplica</t>
        </is>
      </c>
      <c r="V13" s="6" t="inlineStr">
        <is>
          <t>Control de horas de manejo y descanso; prueba de alcoholemia aleatoria</t>
        </is>
      </c>
      <c r="W13" s="6" t="inlineStr">
        <is>
          <t>No aplica</t>
        </is>
      </c>
      <c r="X13" s="20" t="n">
        <v>3</v>
      </c>
      <c r="Y13" s="20" t="n">
        <v>1</v>
      </c>
      <c r="Z13" s="20" t="n">
        <v>1</v>
      </c>
      <c r="AA13" s="20" t="n">
        <v>2</v>
      </c>
      <c r="AB13" s="21">
        <f>SUM(X13:AA13)</f>
        <v/>
      </c>
      <c r="AC13" s="20" t="n">
        <v>2</v>
      </c>
      <c r="AD13" s="21">
        <f>AB13*AC13</f>
        <v/>
      </c>
      <c r="AE13" s="4">
        <f>IF(AD13&lt;=4,"Trivial",IF(AD13&lt;=8,"Tolerable",IF(AD13&lt;=16,"Moderado",IF(AD13&lt;=24,"Importante","Intolerable"))))</f>
        <v/>
      </c>
      <c r="AF13" s="21">
        <f>IF(OR(AE13="Importante",AE13="Intolerable"),"Sí","No")</f>
        <v/>
      </c>
      <c r="AG13" s="6" t="inlineStr">
        <is>
          <t>PETS - Transporte de personal y manejo defensivo</t>
        </is>
      </c>
      <c r="AH13" s="4" t="inlineStr">
        <is>
          <t>—</t>
        </is>
      </c>
    </row>
    <row r="14" ht="58" customHeight="1">
      <c r="A14" s="4" t="n">
        <v>9</v>
      </c>
      <c r="B14" s="6" t="inlineStr">
        <is>
          <t>Obras provisionales</t>
        </is>
      </c>
      <c r="C14" s="6" t="inlineStr">
        <is>
          <t>Campamento, almacenes, comedor, servicios higiénicos y cartel de obra</t>
        </is>
      </c>
      <c r="D14" s="6" t="inlineStr">
        <is>
          <t>Operario, Oficial, Peón, Almacenero</t>
        </is>
      </c>
      <c r="E14" s="4" t="inlineStr">
        <is>
          <t>R</t>
        </is>
      </c>
      <c r="F14" s="6" t="inlineStr">
        <is>
          <t>Manipulación manual de cargas</t>
        </is>
      </c>
      <c r="G14" s="6" t="inlineStr">
        <is>
          <t>Sobreesfuerzo por levantar o trasladar cargas pesadas o en mala postura</t>
        </is>
      </c>
      <c r="H14" s="6" t="inlineStr">
        <is>
          <t>Lumbalgia, hernias, lesiones musculoesqueléticas</t>
        </is>
      </c>
      <c r="I14" s="4" t="inlineStr">
        <is>
          <t>SO</t>
        </is>
      </c>
      <c r="J14" s="20" t="n">
        <v>2</v>
      </c>
      <c r="K14" s="20" t="n">
        <v>2</v>
      </c>
      <c r="L14" s="20" t="n">
        <v>2</v>
      </c>
      <c r="M14" s="20" t="n">
        <v>3</v>
      </c>
      <c r="N14" s="21">
        <f>SUM(J14:M14)</f>
        <v/>
      </c>
      <c r="O14" s="20" t="n">
        <v>2</v>
      </c>
      <c r="P14" s="21">
        <f>N14*O14</f>
        <v/>
      </c>
      <c r="Q14" s="4">
        <f>IF(P14&lt;=4,"Trivial",IF(P14&lt;=8,"Tolerable",IF(P14&lt;=16,"Moderado",IF(P14&lt;=24,"Importante","Intolerable"))))</f>
        <v/>
      </c>
      <c r="R14" s="21">
        <f>IF(OR(Q14="Importante",Q14="Intolerable"),"Sí","No")</f>
        <v/>
      </c>
      <c r="S14" s="6" t="inlineStr">
        <is>
          <t>No aplica</t>
        </is>
      </c>
      <c r="T14" s="6" t="inlineStr">
        <is>
          <t>Uso de carretillas, montacargas o equipo para cargas mayores de 25 kg</t>
        </is>
      </c>
      <c r="U14" s="6" t="inlineStr">
        <is>
          <t>Puntos de acopio cerca del frente de trabajo</t>
        </is>
      </c>
      <c r="V14" s="6" t="inlineStr">
        <is>
          <t>Capacitación en levantamiento seguro (R.M. N.° 375-2008-TR); trabajo en pareja; pausas activas</t>
        </is>
      </c>
      <c r="W14" s="6" t="inlineStr">
        <is>
          <t>EPP básico; faja lumbar solo con indicación médica</t>
        </is>
      </c>
      <c r="X14" s="20" t="n">
        <v>2</v>
      </c>
      <c r="Y14" s="20" t="n">
        <v>1</v>
      </c>
      <c r="Z14" s="20" t="n">
        <v>1</v>
      </c>
      <c r="AA14" s="20" t="n">
        <v>3</v>
      </c>
      <c r="AB14" s="21">
        <f>SUM(X14:AA14)</f>
        <v/>
      </c>
      <c r="AC14" s="20" t="n">
        <v>1</v>
      </c>
      <c r="AD14" s="21">
        <f>AB14*AC14</f>
        <v/>
      </c>
      <c r="AE14" s="4">
        <f>IF(AD14&lt;=4,"Trivial",IF(AD14&lt;=8,"Tolerable",IF(AD14&lt;=16,"Moderado",IF(AD14&lt;=24,"Importante","Intolerable"))))</f>
        <v/>
      </c>
      <c r="AF14" s="21">
        <f>IF(OR(AE14="Importante",AE14="Intolerable"),"Sí","No")</f>
        <v/>
      </c>
      <c r="AG14" s="6" t="inlineStr">
        <is>
          <t>PETS - Instalación de campamento y almacenamiento de materiales</t>
        </is>
      </c>
      <c r="AH14" s="4" t="inlineStr">
        <is>
          <t>—</t>
        </is>
      </c>
    </row>
    <row r="15" ht="58" customHeight="1">
      <c r="A15" s="4" t="n">
        <v>10</v>
      </c>
      <c r="B15" s="6" t="inlineStr">
        <is>
          <t>Obras provisionales</t>
        </is>
      </c>
      <c r="C15" s="6" t="inlineStr">
        <is>
          <t>Campamento, almacenes, comedor, servicios higiénicos y cartel de obra</t>
        </is>
      </c>
      <c r="D15" s="6" t="inlineStr">
        <is>
          <t>Operario, Oficial, Peón, Almacenero</t>
        </is>
      </c>
      <c r="E15" s="4" t="inlineStr">
        <is>
          <t>R</t>
        </is>
      </c>
      <c r="F15" s="6" t="inlineStr">
        <is>
          <t>Herramientas manuales</t>
        </is>
      </c>
      <c r="G15" s="6" t="inlineStr">
        <is>
          <t>Golpes, cortes o atrapamiento al usar herramientas</t>
        </is>
      </c>
      <c r="H15" s="6" t="inlineStr">
        <is>
          <t>Contusiones, cortes, fracturas de dedos</t>
        </is>
      </c>
      <c r="I15" s="4" t="inlineStr">
        <is>
          <t>S</t>
        </is>
      </c>
      <c r="J15" s="20" t="n">
        <v>2</v>
      </c>
      <c r="K15" s="20" t="n">
        <v>2</v>
      </c>
      <c r="L15" s="20" t="n">
        <v>2</v>
      </c>
      <c r="M15" s="20" t="n">
        <v>3</v>
      </c>
      <c r="N15" s="21">
        <f>SUM(J15:M15)</f>
        <v/>
      </c>
      <c r="O15" s="20" t="n">
        <v>2</v>
      </c>
      <c r="P15" s="21">
        <f>N15*O15</f>
        <v/>
      </c>
      <c r="Q15" s="4">
        <f>IF(P15&lt;=4,"Trivial",IF(P15&lt;=8,"Tolerable",IF(P15&lt;=16,"Moderado",IF(P15&lt;=24,"Importante","Intolerable"))))</f>
        <v/>
      </c>
      <c r="R15" s="21">
        <f>IF(OR(Q15="Importante",Q15="Intolerable"),"Sí","No")</f>
        <v/>
      </c>
      <c r="S15" s="6" t="inlineStr">
        <is>
          <t>No aplica</t>
        </is>
      </c>
      <c r="T15" s="6" t="inlineStr">
        <is>
          <t>No aplica</t>
        </is>
      </c>
      <c r="U15" s="6" t="inlineStr">
        <is>
          <t>Herramientas con mangos y guardas en buen estado</t>
        </is>
      </c>
      <c r="V15" s="6" t="inlineStr">
        <is>
          <t>Inspección de herramientas con cinta de color del mes; retiro de las defectuosas; ATS diario</t>
        </is>
      </c>
      <c r="W15" s="6" t="inlineStr">
        <is>
          <t>Guantes de cuero o badana, lentes de seguridad</t>
        </is>
      </c>
      <c r="X15" s="20" t="n">
        <v>2</v>
      </c>
      <c r="Y15" s="20" t="n">
        <v>1</v>
      </c>
      <c r="Z15" s="20" t="n">
        <v>1</v>
      </c>
      <c r="AA15" s="20" t="n">
        <v>3</v>
      </c>
      <c r="AB15" s="21">
        <f>SUM(X15:AA15)</f>
        <v/>
      </c>
      <c r="AC15" s="20" t="n">
        <v>1</v>
      </c>
      <c r="AD15" s="21">
        <f>AB15*AC15</f>
        <v/>
      </c>
      <c r="AE15" s="4">
        <f>IF(AD15&lt;=4,"Trivial",IF(AD15&lt;=8,"Tolerable",IF(AD15&lt;=16,"Moderado",IF(AD15&lt;=24,"Importante","Intolerable"))))</f>
        <v/>
      </c>
      <c r="AF15" s="21">
        <f>IF(OR(AE15="Importante",AE15="Intolerable"),"Sí","No")</f>
        <v/>
      </c>
      <c r="AG15" s="6" t="inlineStr">
        <is>
          <t>PETS - Instalación de campamento y almacenamiento de materiales</t>
        </is>
      </c>
      <c r="AH15" s="4" t="inlineStr">
        <is>
          <t>—</t>
        </is>
      </c>
    </row>
    <row r="16" ht="58" customHeight="1">
      <c r="A16" s="4" t="n">
        <v>11</v>
      </c>
      <c r="B16" s="6" t="inlineStr">
        <is>
          <t>Obras provisionales</t>
        </is>
      </c>
      <c r="C16" s="6" t="inlineStr">
        <is>
          <t>Campamento, almacenes, comedor, servicios higiénicos y cartel de obra</t>
        </is>
      </c>
      <c r="D16" s="6" t="inlineStr">
        <is>
          <t>Operario, Oficial, Peón, Almacenero</t>
        </is>
      </c>
      <c r="E16" s="4" t="inlineStr">
        <is>
          <t>R</t>
        </is>
      </c>
      <c r="F16" s="6" t="inlineStr">
        <is>
          <t>Combustibles y materiales inflamables</t>
        </is>
      </c>
      <c r="G16" s="6" t="inlineStr">
        <is>
          <t>Incendio o explosión</t>
        </is>
      </c>
      <c r="H16" s="6" t="inlineStr">
        <is>
          <t>Quemaduras, muerte, daño a instalaciones</t>
        </is>
      </c>
      <c r="I16" s="4" t="inlineStr">
        <is>
          <t>S</t>
        </is>
      </c>
      <c r="J16" s="20" t="n">
        <v>2</v>
      </c>
      <c r="K16" s="20" t="n">
        <v>2</v>
      </c>
      <c r="L16" s="20" t="n">
        <v>2</v>
      </c>
      <c r="M16" s="20" t="n">
        <v>2</v>
      </c>
      <c r="N16" s="21">
        <f>SUM(J16:M16)</f>
        <v/>
      </c>
      <c r="O16" s="20" t="n">
        <v>3</v>
      </c>
      <c r="P16" s="21">
        <f>N16*O16</f>
        <v/>
      </c>
      <c r="Q16" s="4">
        <f>IF(P16&lt;=4,"Trivial",IF(P16&lt;=8,"Tolerable",IF(P16&lt;=16,"Moderado",IF(P16&lt;=24,"Importante","Intolerable"))))</f>
        <v/>
      </c>
      <c r="R16" s="21">
        <f>IF(OR(Q16="Importante",Q16="Intolerable"),"Sí","No")</f>
        <v/>
      </c>
      <c r="S16" s="6" t="inlineStr">
        <is>
          <t>No aplica</t>
        </is>
      </c>
      <c r="T16" s="6" t="inlineStr">
        <is>
          <t>No aplica</t>
        </is>
      </c>
      <c r="U16" s="6" t="inlineStr">
        <is>
          <t>Almacén ventilado con bandeja antiderrame, extintores PQS y señalización; distancia a fuentes de ignición</t>
        </is>
      </c>
      <c r="V16" s="6" t="inlineStr">
        <is>
          <t>Prohibido fumar; hojas de datos de seguridad (SDS) en el almacén; inspección mensual de extintores</t>
        </is>
      </c>
      <c r="W16" s="6" t="inlineStr">
        <is>
          <t>EPP básico</t>
        </is>
      </c>
      <c r="X16" s="20" t="n">
        <v>2</v>
      </c>
      <c r="Y16" s="20" t="n">
        <v>1</v>
      </c>
      <c r="Z16" s="20" t="n">
        <v>1</v>
      </c>
      <c r="AA16" s="20" t="n">
        <v>1</v>
      </c>
      <c r="AB16" s="21">
        <f>SUM(X16:AA16)</f>
        <v/>
      </c>
      <c r="AC16" s="20" t="n">
        <v>3</v>
      </c>
      <c r="AD16" s="21">
        <f>AB16*AC16</f>
        <v/>
      </c>
      <c r="AE16" s="4">
        <f>IF(AD16&lt;=4,"Trivial",IF(AD16&lt;=8,"Tolerable",IF(AD16&lt;=16,"Moderado",IF(AD16&lt;=24,"Importante","Intolerable"))))</f>
        <v/>
      </c>
      <c r="AF16" s="21">
        <f>IF(OR(AE16="Importante",AE16="Intolerable"),"Sí","No")</f>
        <v/>
      </c>
      <c r="AG16" s="6" t="inlineStr">
        <is>
          <t>PETS - Instalación de campamento y almacenamiento de materiales</t>
        </is>
      </c>
      <c r="AH16" s="4" t="inlineStr">
        <is>
          <t>—</t>
        </is>
      </c>
    </row>
    <row r="17" ht="58" customHeight="1">
      <c r="A17" s="4" t="n">
        <v>12</v>
      </c>
      <c r="B17" s="6" t="inlineStr">
        <is>
          <t>Obras provisionales</t>
        </is>
      </c>
      <c r="C17" s="6" t="inlineStr">
        <is>
          <t>Campamento, almacenes, comedor, servicios higiénicos y cartel de obra</t>
        </is>
      </c>
      <c r="D17" s="6" t="inlineStr">
        <is>
          <t>Operario, Oficial, Peón, Almacenero</t>
        </is>
      </c>
      <c r="E17" s="4" t="inlineStr">
        <is>
          <t>R</t>
        </is>
      </c>
      <c r="F17" s="6" t="inlineStr">
        <is>
          <t>Equipos eléctricos portátiles y extensiones</t>
        </is>
      </c>
      <c r="G17" s="6" t="inlineStr">
        <is>
          <t>Contacto eléctrico directo o indirecto</t>
        </is>
      </c>
      <c r="H17" s="6" t="inlineStr">
        <is>
          <t>Quemaduras, electrocución</t>
        </is>
      </c>
      <c r="I17" s="4" t="inlineStr">
        <is>
          <t>S</t>
        </is>
      </c>
      <c r="J17" s="20" t="n">
        <v>2</v>
      </c>
      <c r="K17" s="20" t="n">
        <v>2</v>
      </c>
      <c r="L17" s="20" t="n">
        <v>2</v>
      </c>
      <c r="M17" s="20" t="n">
        <v>2</v>
      </c>
      <c r="N17" s="21">
        <f>SUM(J17:M17)</f>
        <v/>
      </c>
      <c r="O17" s="20" t="n">
        <v>3</v>
      </c>
      <c r="P17" s="21">
        <f>N17*O17</f>
        <v/>
      </c>
      <c r="Q17" s="4">
        <f>IF(P17&lt;=4,"Trivial",IF(P17&lt;=8,"Tolerable",IF(P17&lt;=16,"Moderado",IF(P17&lt;=24,"Importante","Intolerable"))))</f>
        <v/>
      </c>
      <c r="R17" s="21">
        <f>IF(OR(Q17="Importante",Q17="Intolerable"),"Sí","No")</f>
        <v/>
      </c>
      <c r="S17" s="6" t="inlineStr">
        <is>
          <t>No aplica</t>
        </is>
      </c>
      <c r="T17" s="6" t="inlineStr">
        <is>
          <t>No aplica</t>
        </is>
      </c>
      <c r="U17" s="6" t="inlineStr">
        <is>
          <t>Tablero provisional con interruptor diferencial y puesta a tierra; cables y enchufes industriales</t>
        </is>
      </c>
      <c r="V17" s="6" t="inlineStr">
        <is>
          <t>Inspección de equipos y extensiones; bloqueo y etiquetado; solo personal autorizado manipula el tablero</t>
        </is>
      </c>
      <c r="W17" s="6" t="inlineStr">
        <is>
          <t>Guantes de cuero o badana</t>
        </is>
      </c>
      <c r="X17" s="20" t="n">
        <v>2</v>
      </c>
      <c r="Y17" s="20" t="n">
        <v>1</v>
      </c>
      <c r="Z17" s="20" t="n">
        <v>1</v>
      </c>
      <c r="AA17" s="20" t="n">
        <v>2</v>
      </c>
      <c r="AB17" s="21">
        <f>SUM(X17:AA17)</f>
        <v/>
      </c>
      <c r="AC17" s="20" t="n">
        <v>2</v>
      </c>
      <c r="AD17" s="21">
        <f>AB17*AC17</f>
        <v/>
      </c>
      <c r="AE17" s="4">
        <f>IF(AD17&lt;=4,"Trivial",IF(AD17&lt;=8,"Tolerable",IF(AD17&lt;=16,"Moderado",IF(AD17&lt;=24,"Importante","Intolerable"))))</f>
        <v/>
      </c>
      <c r="AF17" s="21">
        <f>IF(OR(AE17="Importante",AE17="Intolerable"),"Sí","No")</f>
        <v/>
      </c>
      <c r="AG17" s="6" t="inlineStr">
        <is>
          <t>PETS - Instalación de campamento y almacenamiento de materiales</t>
        </is>
      </c>
      <c r="AH17" s="4" t="inlineStr">
        <is>
          <t>—</t>
        </is>
      </c>
    </row>
    <row r="18" ht="58" customHeight="1">
      <c r="A18" s="4" t="n">
        <v>13</v>
      </c>
      <c r="B18" s="6" t="inlineStr">
        <is>
          <t>Obras provisionales</t>
        </is>
      </c>
      <c r="C18" s="6" t="inlineStr">
        <is>
          <t>Campamento, almacenes, comedor, servicios higiénicos y cartel de obra</t>
        </is>
      </c>
      <c r="D18" s="6" t="inlineStr">
        <is>
          <t>Operario, Oficial, Peón, Almacenero</t>
        </is>
      </c>
      <c r="E18" s="4" t="inlineStr">
        <is>
          <t>R</t>
        </is>
      </c>
      <c r="F18" s="6" t="inlineStr">
        <is>
          <t>Agua y alimentos para consumo del personal</t>
        </is>
      </c>
      <c r="G18" s="6" t="inlineStr">
        <is>
          <t>Consumo de agua o alimentos contaminados</t>
        </is>
      </c>
      <c r="H18" s="6" t="inlineStr">
        <is>
          <t>Enfermedades diarreicas agudas, intoxicación</t>
        </is>
      </c>
      <c r="I18" s="4" t="inlineStr">
        <is>
          <t>SO</t>
        </is>
      </c>
      <c r="J18" s="20" t="n">
        <v>2</v>
      </c>
      <c r="K18" s="20" t="n">
        <v>2</v>
      </c>
      <c r="L18" s="20" t="n">
        <v>2</v>
      </c>
      <c r="M18" s="20" t="n">
        <v>3</v>
      </c>
      <c r="N18" s="21">
        <f>SUM(J18:M18)</f>
        <v/>
      </c>
      <c r="O18" s="20" t="n">
        <v>2</v>
      </c>
      <c r="P18" s="21">
        <f>N18*O18</f>
        <v/>
      </c>
      <c r="Q18" s="4">
        <f>IF(P18&lt;=4,"Trivial",IF(P18&lt;=8,"Tolerable",IF(P18&lt;=16,"Moderado",IF(P18&lt;=24,"Importante","Intolerable"))))</f>
        <v/>
      </c>
      <c r="R18" s="21">
        <f>IF(OR(Q18="Importante",Q18="Intolerable"),"Sí","No")</f>
        <v/>
      </c>
      <c r="S18" s="6" t="inlineStr">
        <is>
          <t>No aplica</t>
        </is>
      </c>
      <c r="T18" s="6" t="inlineStr">
        <is>
          <t>No aplica</t>
        </is>
      </c>
      <c r="U18" s="6" t="inlineStr">
        <is>
          <t>Agua potable o tratada en dispensadores; servicios higiénicos y lavamanos (1 por cada 15 trabajadores como mínimo)</t>
        </is>
      </c>
      <c r="V18" s="6" t="inlineStr">
        <is>
          <t>Control sanitario del comedor y del concesionario de alimentos; limpieza diaria de servicios</t>
        </is>
      </c>
      <c r="W18" s="6" t="inlineStr">
        <is>
          <t>No aplica</t>
        </is>
      </c>
      <c r="X18" s="20" t="n">
        <v>2</v>
      </c>
      <c r="Y18" s="20" t="n">
        <v>1</v>
      </c>
      <c r="Z18" s="20" t="n">
        <v>1</v>
      </c>
      <c r="AA18" s="20" t="n">
        <v>3</v>
      </c>
      <c r="AB18" s="21">
        <f>SUM(X18:AA18)</f>
        <v/>
      </c>
      <c r="AC18" s="20" t="n">
        <v>1</v>
      </c>
      <c r="AD18" s="21">
        <f>AB18*AC18</f>
        <v/>
      </c>
      <c r="AE18" s="4">
        <f>IF(AD18&lt;=4,"Trivial",IF(AD18&lt;=8,"Tolerable",IF(AD18&lt;=16,"Moderado",IF(AD18&lt;=24,"Importante","Intolerable"))))</f>
        <v/>
      </c>
      <c r="AF18" s="21">
        <f>IF(OR(AE18="Importante",AE18="Intolerable"),"Sí","No")</f>
        <v/>
      </c>
      <c r="AG18" s="6" t="inlineStr">
        <is>
          <t>PETS - Instalación de campamento y almacenamiento de materiales</t>
        </is>
      </c>
      <c r="AH18" s="4" t="inlineStr">
        <is>
          <t>—</t>
        </is>
      </c>
    </row>
    <row r="19" ht="58" customHeight="1">
      <c r="A19" s="4" t="n">
        <v>14</v>
      </c>
      <c r="B19" s="6" t="inlineStr">
        <is>
          <t>Obras provisionales</t>
        </is>
      </c>
      <c r="C19" s="6" t="inlineStr">
        <is>
          <t>Movilización y desmovilización de equipos y fletes</t>
        </is>
      </c>
      <c r="D19" s="6" t="inlineStr">
        <is>
          <t>Chofer, Operador de equipo, Rigger</t>
        </is>
      </c>
      <c r="E19" s="4" t="inlineStr">
        <is>
          <t>R</t>
        </is>
      </c>
      <c r="F19" s="6" t="inlineStr">
        <is>
          <t>Carga y descarga de maquinaria en cama baja</t>
        </is>
      </c>
      <c r="G19" s="6" t="inlineStr">
        <is>
          <t>Volcadura del equipo o atrapamiento durante el embarque</t>
        </is>
      </c>
      <c r="H19" s="6" t="inlineStr">
        <is>
          <t>Aplastamiento, muerte</t>
        </is>
      </c>
      <c r="I19" s="4" t="inlineStr">
        <is>
          <t>S</t>
        </is>
      </c>
      <c r="J19" s="20" t="n">
        <v>2</v>
      </c>
      <c r="K19" s="20" t="n">
        <v>2</v>
      </c>
      <c r="L19" s="20" t="n">
        <v>2</v>
      </c>
      <c r="M19" s="20" t="n">
        <v>1</v>
      </c>
      <c r="N19" s="21">
        <f>SUM(J19:M19)</f>
        <v/>
      </c>
      <c r="O19" s="20" t="n">
        <v>3</v>
      </c>
      <c r="P19" s="21">
        <f>N19*O19</f>
        <v/>
      </c>
      <c r="Q19" s="4">
        <f>IF(P19&lt;=4,"Trivial",IF(P19&lt;=8,"Tolerable",IF(P19&lt;=16,"Moderado",IF(P19&lt;=24,"Importante","Intolerable"))))</f>
        <v/>
      </c>
      <c r="R19" s="21">
        <f>IF(OR(Q19="Importante",Q19="Intolerable"),"Sí","No")</f>
        <v/>
      </c>
      <c r="S19" s="6" t="inlineStr">
        <is>
          <t>No aplica</t>
        </is>
      </c>
      <c r="T19" s="6" t="inlineStr">
        <is>
          <t>No aplica</t>
        </is>
      </c>
      <c r="U19" s="6" t="inlineStr">
        <is>
          <t>Rampas firmes y calzas; cadenas y tensores certificados</t>
        </is>
      </c>
      <c r="V19" s="6" t="inlineStr">
        <is>
          <t>Procedimiento de embarque con vigía; zona de exclusión; escolta en la ruta</t>
        </is>
      </c>
      <c r="W19" s="6" t="inlineStr">
        <is>
          <t>Chaleco o uniforme con cintas reflectivas (ANSI/ISEA 107)</t>
        </is>
      </c>
      <c r="X19" s="20" t="n">
        <v>2</v>
      </c>
      <c r="Y19" s="20" t="n">
        <v>1</v>
      </c>
      <c r="Z19" s="20" t="n">
        <v>1</v>
      </c>
      <c r="AA19" s="20" t="n">
        <v>1</v>
      </c>
      <c r="AB19" s="21">
        <f>SUM(X19:AA19)</f>
        <v/>
      </c>
      <c r="AC19" s="20" t="n">
        <v>2</v>
      </c>
      <c r="AD19" s="21">
        <f>AB19*AC19</f>
        <v/>
      </c>
      <c r="AE19" s="4">
        <f>IF(AD19&lt;=4,"Trivial",IF(AD19&lt;=8,"Tolerable",IF(AD19&lt;=16,"Moderado",IF(AD19&lt;=24,"Importante","Intolerable"))))</f>
        <v/>
      </c>
      <c r="AF19" s="21">
        <f>IF(OR(AE19="Importante",AE19="Intolerable"),"Sí","No")</f>
        <v/>
      </c>
      <c r="AG19" s="6" t="inlineStr">
        <is>
          <t>PETS - Movilización de equipos en cama baja</t>
        </is>
      </c>
      <c r="AH19" s="4" t="inlineStr">
        <is>
          <t>—</t>
        </is>
      </c>
    </row>
    <row r="20" ht="58" customHeight="1">
      <c r="A20" s="4" t="n">
        <v>15</v>
      </c>
      <c r="B20" s="6" t="inlineStr">
        <is>
          <t>Obras provisionales</t>
        </is>
      </c>
      <c r="C20" s="6" t="inlineStr">
        <is>
          <t>Movilización y desmovilización de equipos y fletes</t>
        </is>
      </c>
      <c r="D20" s="6" t="inlineStr">
        <is>
          <t>Chofer, Operador de equipo, Rigger</t>
        </is>
      </c>
      <c r="E20" s="4" t="inlineStr">
        <is>
          <t>R</t>
        </is>
      </c>
      <c r="F20" s="6" t="inlineStr">
        <is>
          <t>Manipulación manual de cargas</t>
        </is>
      </c>
      <c r="G20" s="6" t="inlineStr">
        <is>
          <t>Sobreesfuerzo por levantar o trasladar cargas pesadas o en mala postura</t>
        </is>
      </c>
      <c r="H20" s="6" t="inlineStr">
        <is>
          <t>Lumbalgia, hernias, lesiones musculoesqueléticas</t>
        </is>
      </c>
      <c r="I20" s="4" t="inlineStr">
        <is>
          <t>SO</t>
        </is>
      </c>
      <c r="J20" s="20" t="n">
        <v>2</v>
      </c>
      <c r="K20" s="20" t="n">
        <v>2</v>
      </c>
      <c r="L20" s="20" t="n">
        <v>2</v>
      </c>
      <c r="M20" s="20" t="n">
        <v>3</v>
      </c>
      <c r="N20" s="21">
        <f>SUM(J20:M20)</f>
        <v/>
      </c>
      <c r="O20" s="20" t="n">
        <v>2</v>
      </c>
      <c r="P20" s="21">
        <f>N20*O20</f>
        <v/>
      </c>
      <c r="Q20" s="4">
        <f>IF(P20&lt;=4,"Trivial",IF(P20&lt;=8,"Tolerable",IF(P20&lt;=16,"Moderado",IF(P20&lt;=24,"Importante","Intolerable"))))</f>
        <v/>
      </c>
      <c r="R20" s="21">
        <f>IF(OR(Q20="Importante",Q20="Intolerable"),"Sí","No")</f>
        <v/>
      </c>
      <c r="S20" s="6" t="inlineStr">
        <is>
          <t>No aplica</t>
        </is>
      </c>
      <c r="T20" s="6" t="inlineStr">
        <is>
          <t>Uso de carretillas, montacargas o equipo para cargas mayores de 25 kg</t>
        </is>
      </c>
      <c r="U20" s="6" t="inlineStr">
        <is>
          <t>Puntos de acopio cerca del frente de trabajo</t>
        </is>
      </c>
      <c r="V20" s="6" t="inlineStr">
        <is>
          <t>Capacitación en levantamiento seguro (R.M. N.° 375-2008-TR); trabajo en pareja; pausas activas</t>
        </is>
      </c>
      <c r="W20" s="6" t="inlineStr">
        <is>
          <t>EPP básico; faja lumbar solo con indicación médica</t>
        </is>
      </c>
      <c r="X20" s="20" t="n">
        <v>2</v>
      </c>
      <c r="Y20" s="20" t="n">
        <v>1</v>
      </c>
      <c r="Z20" s="20" t="n">
        <v>1</v>
      </c>
      <c r="AA20" s="20" t="n">
        <v>3</v>
      </c>
      <c r="AB20" s="21">
        <f>SUM(X20:AA20)</f>
        <v/>
      </c>
      <c r="AC20" s="20" t="n">
        <v>1</v>
      </c>
      <c r="AD20" s="21">
        <f>AB20*AC20</f>
        <v/>
      </c>
      <c r="AE20" s="4">
        <f>IF(AD20&lt;=4,"Trivial",IF(AD20&lt;=8,"Tolerable",IF(AD20&lt;=16,"Moderado",IF(AD20&lt;=24,"Importante","Intolerable"))))</f>
        <v/>
      </c>
      <c r="AF20" s="21">
        <f>IF(OR(AE20="Importante",AE20="Intolerable"),"Sí","No")</f>
        <v/>
      </c>
      <c r="AG20" s="6" t="inlineStr">
        <is>
          <t>PETS - Movilización de equipos en cama baja</t>
        </is>
      </c>
      <c r="AH20" s="4" t="inlineStr">
        <is>
          <t>—</t>
        </is>
      </c>
    </row>
    <row r="21" ht="58" customHeight="1">
      <c r="A21" s="4" t="n">
        <v>16</v>
      </c>
      <c r="B21" s="6" t="inlineStr">
        <is>
          <t>Obras preliminares</t>
        </is>
      </c>
      <c r="C21" s="6" t="inlineStr">
        <is>
          <t>Topografía, trazo, nivelación y replanteo</t>
        </is>
      </c>
      <c r="D21" s="6" t="inlineStr">
        <is>
          <t>Topógrafo, Ayudante de topografía</t>
        </is>
      </c>
      <c r="E21" s="4" t="inlineStr">
        <is>
          <t>R</t>
        </is>
      </c>
      <c r="F21" s="6" t="inlineStr">
        <is>
          <t>Tránsito vehicular de terceros</t>
        </is>
      </c>
      <c r="G21" s="6" t="inlineStr">
        <is>
          <t>Atropello o colisión con vehículos que circulan por la vía</t>
        </is>
      </c>
      <c r="H21" s="6" t="inlineStr">
        <is>
          <t>Politraumatismo, muerte</t>
        </is>
      </c>
      <c r="I21" s="4" t="inlineStr">
        <is>
          <t>S</t>
        </is>
      </c>
      <c r="J21" s="20" t="n">
        <v>1</v>
      </c>
      <c r="K21" s="20" t="n">
        <v>2</v>
      </c>
      <c r="L21" s="20" t="n">
        <v>2</v>
      </c>
      <c r="M21" s="20" t="n">
        <v>3</v>
      </c>
      <c r="N21" s="21">
        <f>SUM(J21:M21)</f>
        <v/>
      </c>
      <c r="O21" s="20" t="n">
        <v>3</v>
      </c>
      <c r="P21" s="21">
        <f>N21*O21</f>
        <v/>
      </c>
      <c r="Q21" s="4">
        <f>IF(P21&lt;=4,"Trivial",IF(P21&lt;=8,"Tolerable",IF(P21&lt;=16,"Moderado",IF(P21&lt;=24,"Importante","Intolerable"))))</f>
        <v/>
      </c>
      <c r="R21" s="21">
        <f>IF(OR(Q21="Importante",Q21="Intolerable"),"Sí","No")</f>
        <v/>
      </c>
      <c r="S21" s="6" t="inlineStr">
        <is>
          <t>No aplica</t>
        </is>
      </c>
      <c r="T21" s="6" t="inlineStr">
        <is>
          <t>No aplica</t>
        </is>
      </c>
      <c r="U21" s="6" t="inlineStr">
        <is>
          <t>Dispositivos de control de tránsito (conos, barreras, tranqueras, señales) según el Manual de Dispositivos de Control del Tránsito del MTC</t>
        </is>
      </c>
      <c r="V21" s="6" t="inlineStr">
        <is>
          <t>Plan de desvíos y control de tránsito; controladores con paletas PARE/SIGA y radio; trabajos nocturnos solo con iluminación</t>
        </is>
      </c>
      <c r="W21" s="6" t="inlineStr">
        <is>
          <t>Chaleco o uniforme con cintas reflectivas (ANSI/ISEA 107)</t>
        </is>
      </c>
      <c r="X21" s="20" t="n">
        <v>1</v>
      </c>
      <c r="Y21" s="20" t="n">
        <v>1</v>
      </c>
      <c r="Z21" s="20" t="n">
        <v>1</v>
      </c>
      <c r="AA21" s="20" t="n">
        <v>1</v>
      </c>
      <c r="AB21" s="21">
        <f>SUM(X21:AA21)</f>
        <v/>
      </c>
      <c r="AC21" s="20" t="n">
        <v>3</v>
      </c>
      <c r="AD21" s="21">
        <f>AB21*AC21</f>
        <v/>
      </c>
      <c r="AE21" s="4">
        <f>IF(AD21&lt;=4,"Trivial",IF(AD21&lt;=8,"Tolerable",IF(AD21&lt;=16,"Moderado",IF(AD21&lt;=24,"Importante","Intolerable"))))</f>
        <v/>
      </c>
      <c r="AF21" s="21">
        <f>IF(OR(AE21="Importante",AE21="Intolerable"),"Sí","No")</f>
        <v/>
      </c>
      <c r="AG21" s="6" t="inlineStr">
        <is>
          <t>PETS - Trabajos de topografía en vía con tránsito</t>
        </is>
      </c>
      <c r="AH21" s="4" t="inlineStr">
        <is>
          <t>—</t>
        </is>
      </c>
    </row>
    <row r="22" ht="58" customHeight="1">
      <c r="A22" s="4" t="n">
        <v>17</v>
      </c>
      <c r="B22" s="6" t="inlineStr">
        <is>
          <t>Obras preliminares</t>
        </is>
      </c>
      <c r="C22" s="6" t="inlineStr">
        <is>
          <t>Topografía, trazo, nivelación y replanteo</t>
        </is>
      </c>
      <c r="D22" s="6" t="inlineStr">
        <is>
          <t>Topógrafo, Ayudante de topografía</t>
        </is>
      </c>
      <c r="E22" s="4" t="inlineStr">
        <is>
          <t>R</t>
        </is>
      </c>
      <c r="F22" s="6" t="inlineStr">
        <is>
          <t>Superficies irregulares, desniveles y desorden</t>
        </is>
      </c>
      <c r="G22" s="6" t="inlineStr">
        <is>
          <t>Caída al mismo nivel por tropiezo o resbalón</t>
        </is>
      </c>
      <c r="H22" s="6" t="inlineStr">
        <is>
          <t>Contusiones, esguinces, fracturas</t>
        </is>
      </c>
      <c r="I22" s="4" t="inlineStr">
        <is>
          <t>S</t>
        </is>
      </c>
      <c r="J22" s="20" t="n">
        <v>1</v>
      </c>
      <c r="K22" s="20" t="n">
        <v>2</v>
      </c>
      <c r="L22" s="20" t="n">
        <v>2</v>
      </c>
      <c r="M22" s="20" t="n">
        <v>3</v>
      </c>
      <c r="N22" s="21">
        <f>SUM(J22:M22)</f>
        <v/>
      </c>
      <c r="O22" s="20" t="n">
        <v>2</v>
      </c>
      <c r="P22" s="21">
        <f>N22*O22</f>
        <v/>
      </c>
      <c r="Q22" s="4">
        <f>IF(P22&lt;=4,"Trivial",IF(P22&lt;=8,"Tolerable",IF(P22&lt;=16,"Moderado",IF(P22&lt;=24,"Importante","Intolerable"))))</f>
        <v/>
      </c>
      <c r="R22" s="21">
        <f>IF(OR(Q22="Importante",Q22="Intolerable"),"Sí","No")</f>
        <v/>
      </c>
      <c r="S22" s="6" t="inlineStr">
        <is>
          <t>No aplica</t>
        </is>
      </c>
      <c r="T22" s="6" t="inlineStr">
        <is>
          <t>No aplica</t>
        </is>
      </c>
      <c r="U22" s="6" t="inlineStr">
        <is>
          <t>Accesos y pasarelas habilitados</t>
        </is>
      </c>
      <c r="V22" s="6" t="inlineStr">
        <is>
          <t>Orden y limpieza diaria; señalización de desniveles</t>
        </is>
      </c>
      <c r="W22" s="6" t="inlineStr">
        <is>
          <t>Calzado de seguridad con puntera (ASTM F2413)</t>
        </is>
      </c>
      <c r="X22" s="20" t="n">
        <v>1</v>
      </c>
      <c r="Y22" s="20" t="n">
        <v>1</v>
      </c>
      <c r="Z22" s="20" t="n">
        <v>1</v>
      </c>
      <c r="AA22" s="20" t="n">
        <v>3</v>
      </c>
      <c r="AB22" s="21">
        <f>SUM(X22:AA22)</f>
        <v/>
      </c>
      <c r="AC22" s="20" t="n">
        <v>1</v>
      </c>
      <c r="AD22" s="21">
        <f>AB22*AC22</f>
        <v/>
      </c>
      <c r="AE22" s="4">
        <f>IF(AD22&lt;=4,"Trivial",IF(AD22&lt;=8,"Tolerable",IF(AD22&lt;=16,"Moderado",IF(AD22&lt;=24,"Importante","Intolerable"))))</f>
        <v/>
      </c>
      <c r="AF22" s="21">
        <f>IF(OR(AE22="Importante",AE22="Intolerable"),"Sí","No")</f>
        <v/>
      </c>
      <c r="AG22" s="6" t="inlineStr">
        <is>
          <t>PETS - Trabajos de topografía en vía con tránsito</t>
        </is>
      </c>
      <c r="AH22" s="4" t="inlineStr">
        <is>
          <t>—</t>
        </is>
      </c>
    </row>
    <row r="23" ht="58" customHeight="1">
      <c r="A23" s="4" t="n">
        <v>18</v>
      </c>
      <c r="B23" s="6" t="inlineStr">
        <is>
          <t>Obras preliminares</t>
        </is>
      </c>
      <c r="C23" s="6" t="inlineStr">
        <is>
          <t>Topografía, trazo, nivelación y replanteo</t>
        </is>
      </c>
      <c r="D23" s="6" t="inlineStr">
        <is>
          <t>Topógrafo, Ayudante de topografía</t>
        </is>
      </c>
      <c r="E23" s="4" t="inlineStr">
        <is>
          <t>R</t>
        </is>
      </c>
      <c r="F23" s="6" t="inlineStr">
        <is>
          <t>Herramientas manuales</t>
        </is>
      </c>
      <c r="G23" s="6" t="inlineStr">
        <is>
          <t>Golpes, cortes o atrapamiento al usar herramientas</t>
        </is>
      </c>
      <c r="H23" s="6" t="inlineStr">
        <is>
          <t>Contusiones, cortes, fracturas de dedos</t>
        </is>
      </c>
      <c r="I23" s="4" t="inlineStr">
        <is>
          <t>S</t>
        </is>
      </c>
      <c r="J23" s="20" t="n">
        <v>1</v>
      </c>
      <c r="K23" s="20" t="n">
        <v>2</v>
      </c>
      <c r="L23" s="20" t="n">
        <v>2</v>
      </c>
      <c r="M23" s="20" t="n">
        <v>3</v>
      </c>
      <c r="N23" s="21">
        <f>SUM(J23:M23)</f>
        <v/>
      </c>
      <c r="O23" s="20" t="n">
        <v>2</v>
      </c>
      <c r="P23" s="21">
        <f>N23*O23</f>
        <v/>
      </c>
      <c r="Q23" s="4">
        <f>IF(P23&lt;=4,"Trivial",IF(P23&lt;=8,"Tolerable",IF(P23&lt;=16,"Moderado",IF(P23&lt;=24,"Importante","Intolerable"))))</f>
        <v/>
      </c>
      <c r="R23" s="21">
        <f>IF(OR(Q23="Importante",Q23="Intolerable"),"Sí","No")</f>
        <v/>
      </c>
      <c r="S23" s="6" t="inlineStr">
        <is>
          <t>No aplica</t>
        </is>
      </c>
      <c r="T23" s="6" t="inlineStr">
        <is>
          <t>No aplica</t>
        </is>
      </c>
      <c r="U23" s="6" t="inlineStr">
        <is>
          <t>Herramientas con mangos y guardas en buen estado</t>
        </is>
      </c>
      <c r="V23" s="6" t="inlineStr">
        <is>
          <t>Inspección de herramientas con cinta de color del mes; retiro de las defectuosas; ATS diario</t>
        </is>
      </c>
      <c r="W23" s="6" t="inlineStr">
        <is>
          <t>Guantes de cuero o badana, lentes de seguridad</t>
        </is>
      </c>
      <c r="X23" s="20" t="n">
        <v>1</v>
      </c>
      <c r="Y23" s="20" t="n">
        <v>1</v>
      </c>
      <c r="Z23" s="20" t="n">
        <v>1</v>
      </c>
      <c r="AA23" s="20" t="n">
        <v>3</v>
      </c>
      <c r="AB23" s="21">
        <f>SUM(X23:AA23)</f>
        <v/>
      </c>
      <c r="AC23" s="20" t="n">
        <v>1</v>
      </c>
      <c r="AD23" s="21">
        <f>AB23*AC23</f>
        <v/>
      </c>
      <c r="AE23" s="4">
        <f>IF(AD23&lt;=4,"Trivial",IF(AD23&lt;=8,"Tolerable",IF(AD23&lt;=16,"Moderado",IF(AD23&lt;=24,"Importante","Intolerable"))))</f>
        <v/>
      </c>
      <c r="AF23" s="21">
        <f>IF(OR(AE23="Importante",AE23="Intolerable"),"Sí","No")</f>
        <v/>
      </c>
      <c r="AG23" s="6" t="inlineStr">
        <is>
          <t>PETS - Trabajos de topografía en vía con tránsito</t>
        </is>
      </c>
      <c r="AH23" s="4" t="inlineStr">
        <is>
          <t>—</t>
        </is>
      </c>
    </row>
    <row r="24" ht="58" customHeight="1">
      <c r="A24" s="4" t="n">
        <v>19</v>
      </c>
      <c r="B24" s="6" t="inlineStr">
        <is>
          <t>Obras preliminares</t>
        </is>
      </c>
      <c r="C24" s="6" t="inlineStr">
        <is>
          <t>Mantenimiento del tránsito, desvíos y señalización temporal</t>
        </is>
      </c>
      <c r="D24" s="6" t="inlineStr">
        <is>
          <t>Controlador de tránsito (vigía), Peón, Operador de equipo</t>
        </is>
      </c>
      <c r="E24" s="4" t="inlineStr">
        <is>
          <t>R</t>
        </is>
      </c>
      <c r="F24" s="6" t="inlineStr">
        <is>
          <t>Tránsito vehicular de terceros</t>
        </is>
      </c>
      <c r="G24" s="6" t="inlineStr">
        <is>
          <t>Atropello o colisión con vehículos que circulan por la vía</t>
        </is>
      </c>
      <c r="H24" s="6" t="inlineStr">
        <is>
          <t>Politraumatismo, muerte</t>
        </is>
      </c>
      <c r="I24" s="4" t="inlineStr">
        <is>
          <t>S</t>
        </is>
      </c>
      <c r="J24" s="20" t="n">
        <v>2</v>
      </c>
      <c r="K24" s="20" t="n">
        <v>2</v>
      </c>
      <c r="L24" s="20" t="n">
        <v>2</v>
      </c>
      <c r="M24" s="20" t="n">
        <v>3</v>
      </c>
      <c r="N24" s="21">
        <f>SUM(J24:M24)</f>
        <v/>
      </c>
      <c r="O24" s="20" t="n">
        <v>3</v>
      </c>
      <c r="P24" s="21">
        <f>N24*O24</f>
        <v/>
      </c>
      <c r="Q24" s="4">
        <f>IF(P24&lt;=4,"Trivial",IF(P24&lt;=8,"Tolerable",IF(P24&lt;=16,"Moderado",IF(P24&lt;=24,"Importante","Intolerable"))))</f>
        <v/>
      </c>
      <c r="R24" s="21">
        <f>IF(OR(Q24="Importante",Q24="Intolerable"),"Sí","No")</f>
        <v/>
      </c>
      <c r="S24" s="6" t="inlineStr">
        <is>
          <t>No aplica</t>
        </is>
      </c>
      <c r="T24" s="6" t="inlineStr">
        <is>
          <t>No aplica</t>
        </is>
      </c>
      <c r="U24" s="6" t="inlineStr">
        <is>
          <t>Dispositivos de control de tránsito (conos, barreras, tranqueras, señales) según el Manual de Dispositivos de Control del Tránsito del MTC</t>
        </is>
      </c>
      <c r="V24" s="6" t="inlineStr">
        <is>
          <t>Plan de desvíos y control de tránsito; controladores con paletas PARE/SIGA y radio; trabajos nocturnos solo con iluminación</t>
        </is>
      </c>
      <c r="W24" s="6" t="inlineStr">
        <is>
          <t>Chaleco o uniforme con cintas reflectivas (ANSI/ISEA 107)</t>
        </is>
      </c>
      <c r="X24" s="20" t="n">
        <v>2</v>
      </c>
      <c r="Y24" s="20" t="n">
        <v>1</v>
      </c>
      <c r="Z24" s="20" t="n">
        <v>1</v>
      </c>
      <c r="AA24" s="20" t="n">
        <v>1</v>
      </c>
      <c r="AB24" s="21">
        <f>SUM(X24:AA24)</f>
        <v/>
      </c>
      <c r="AC24" s="20" t="n">
        <v>3</v>
      </c>
      <c r="AD24" s="21">
        <f>AB24*AC24</f>
        <v/>
      </c>
      <c r="AE24" s="4">
        <f>IF(AD24&lt;=4,"Trivial",IF(AD24&lt;=8,"Tolerable",IF(AD24&lt;=16,"Moderado",IF(AD24&lt;=24,"Importante","Intolerable"))))</f>
        <v/>
      </c>
      <c r="AF24" s="21">
        <f>IF(OR(AE24="Importante",AE24="Intolerable"),"Sí","No")</f>
        <v/>
      </c>
      <c r="AG24" s="6" t="inlineStr">
        <is>
          <t>Plan de desvíos y PETS - Control de tránsito en zona de trabajo</t>
        </is>
      </c>
      <c r="AH24" s="4" t="inlineStr">
        <is>
          <t>—</t>
        </is>
      </c>
    </row>
    <row r="25" ht="58" customHeight="1">
      <c r="A25" s="4" t="n">
        <v>20</v>
      </c>
      <c r="B25" s="6" t="inlineStr">
        <is>
          <t>Obras preliminares</t>
        </is>
      </c>
      <c r="C25" s="6" t="inlineStr">
        <is>
          <t>Mantenimiento del tránsito, desvíos y señalización temporal</t>
        </is>
      </c>
      <c r="D25" s="6" t="inlineStr">
        <is>
          <t>Controlador de tránsito (vigía), Peón, Operador de equipo</t>
        </is>
      </c>
      <c r="E25" s="4" t="inlineStr">
        <is>
          <t>R</t>
        </is>
      </c>
      <c r="F25" s="6" t="inlineStr">
        <is>
          <t>Usuarios de la vía en espera o en desvío</t>
        </is>
      </c>
      <c r="G25" s="6" t="inlineStr">
        <is>
          <t>Agresión verbal o física por demoras del tránsito</t>
        </is>
      </c>
      <c r="H25" s="6" t="inlineStr">
        <is>
          <t>Estrés, lesiones</t>
        </is>
      </c>
      <c r="I25" s="4" t="inlineStr">
        <is>
          <t>SO</t>
        </is>
      </c>
      <c r="J25" s="20" t="n">
        <v>2</v>
      </c>
      <c r="K25" s="20" t="n">
        <v>2</v>
      </c>
      <c r="L25" s="20" t="n">
        <v>2</v>
      </c>
      <c r="M25" s="20" t="n">
        <v>2</v>
      </c>
      <c r="N25" s="21">
        <f>SUM(J25:M25)</f>
        <v/>
      </c>
      <c r="O25" s="20" t="n">
        <v>2</v>
      </c>
      <c r="P25" s="21">
        <f>N25*O25</f>
        <v/>
      </c>
      <c r="Q25" s="4">
        <f>IF(P25&lt;=4,"Trivial",IF(P25&lt;=8,"Tolerable",IF(P25&lt;=16,"Moderado",IF(P25&lt;=24,"Importante","Intolerable"))))</f>
        <v/>
      </c>
      <c r="R25" s="21">
        <f>IF(OR(Q25="Importante",Q25="Intolerable"),"Sí","No")</f>
        <v/>
      </c>
      <c r="S25" s="6" t="inlineStr">
        <is>
          <t>No aplica</t>
        </is>
      </c>
      <c r="T25" s="6" t="inlineStr">
        <is>
          <t>No aplica</t>
        </is>
      </c>
      <c r="U25" s="6" t="inlineStr">
        <is>
          <t>Desvíos habilitados para no detener el tránsito por más de 15 minutos</t>
        </is>
      </c>
      <c r="V25" s="6" t="inlineStr">
        <is>
          <t>Comunicación a la población de horarios de cierre; coordinación con la PNP</t>
        </is>
      </c>
      <c r="W25" s="6" t="inlineStr">
        <is>
          <t>No aplica</t>
        </is>
      </c>
      <c r="X25" s="20" t="n">
        <v>2</v>
      </c>
      <c r="Y25" s="20" t="n">
        <v>1</v>
      </c>
      <c r="Z25" s="20" t="n">
        <v>1</v>
      </c>
      <c r="AA25" s="20" t="n">
        <v>2</v>
      </c>
      <c r="AB25" s="21">
        <f>SUM(X25:AA25)</f>
        <v/>
      </c>
      <c r="AC25" s="20" t="n">
        <v>1</v>
      </c>
      <c r="AD25" s="21">
        <f>AB25*AC25</f>
        <v/>
      </c>
      <c r="AE25" s="4">
        <f>IF(AD25&lt;=4,"Trivial",IF(AD25&lt;=8,"Tolerable",IF(AD25&lt;=16,"Moderado",IF(AD25&lt;=24,"Importante","Intolerable"))))</f>
        <v/>
      </c>
      <c r="AF25" s="21">
        <f>IF(OR(AE25="Importante",AE25="Intolerable"),"Sí","No")</f>
        <v/>
      </c>
      <c r="AG25" s="6" t="inlineStr">
        <is>
          <t>Plan de desvíos y PETS - Control de tránsito en zona de trabajo</t>
        </is>
      </c>
      <c r="AH25" s="4" t="inlineStr">
        <is>
          <t>—</t>
        </is>
      </c>
    </row>
    <row r="26" ht="58" customHeight="1">
      <c r="A26" s="4" t="n">
        <v>21</v>
      </c>
      <c r="B26" s="6" t="inlineStr">
        <is>
          <t>Obras preliminares</t>
        </is>
      </c>
      <c r="C26" s="6" t="inlineStr">
        <is>
          <t>Mantenimiento del tránsito, desvíos y señalización temporal</t>
        </is>
      </c>
      <c r="D26" s="6" t="inlineStr">
        <is>
          <t>Controlador de tránsito (vigía), Peón, Operador de equipo</t>
        </is>
      </c>
      <c r="E26" s="4" t="inlineStr">
        <is>
          <t>R</t>
        </is>
      </c>
      <c r="F26" s="6" t="inlineStr">
        <is>
          <t>Radiación solar y temperatura ambiente elevada</t>
        </is>
      </c>
      <c r="G26" s="6" t="inlineStr">
        <is>
          <t>Exposición prolongada a radiación UV y a calor</t>
        </is>
      </c>
      <c r="H26" s="6" t="inlineStr">
        <is>
          <t>Golpe de calor, deshidratación, quemaduras de piel</t>
        </is>
      </c>
      <c r="I26" s="4" t="inlineStr">
        <is>
          <t>SO</t>
        </is>
      </c>
      <c r="J26" s="20" t="n">
        <v>2</v>
      </c>
      <c r="K26" s="20" t="n">
        <v>2</v>
      </c>
      <c r="L26" s="20" t="n">
        <v>2</v>
      </c>
      <c r="M26" s="20" t="n">
        <v>3</v>
      </c>
      <c r="N26" s="21">
        <f>SUM(J26:M26)</f>
        <v/>
      </c>
      <c r="O26" s="20" t="n">
        <v>2</v>
      </c>
      <c r="P26" s="21">
        <f>N26*O26</f>
        <v/>
      </c>
      <c r="Q26" s="4">
        <f>IF(P26&lt;=4,"Trivial",IF(P26&lt;=8,"Tolerable",IF(P26&lt;=16,"Moderado",IF(P26&lt;=24,"Importante","Intolerable"))))</f>
        <v/>
      </c>
      <c r="R26" s="21">
        <f>IF(OR(Q26="Importante",Q26="Intolerable"),"Sí","No")</f>
        <v/>
      </c>
      <c r="S26" s="6" t="inlineStr">
        <is>
          <t>No aplica</t>
        </is>
      </c>
      <c r="T26" s="6" t="inlineStr">
        <is>
          <t>No aplica</t>
        </is>
      </c>
      <c r="U26" s="6" t="inlineStr">
        <is>
          <t>Toldos o sombras en las zonas de descanso; puntos de hidratación con agua potable en cada frente</t>
        </is>
      </c>
      <c r="V26" s="6" t="inlineStr">
        <is>
          <t>Pausas de hidratación; rotación del personal en las horas de mayor radiación (11:00 a 15:00); charla de estrés térmico</t>
        </is>
      </c>
      <c r="W26" s="6" t="inlineStr">
        <is>
          <t>Bloqueador solar FPS 50+ y cortasol para casco</t>
        </is>
      </c>
      <c r="X26" s="20" t="n">
        <v>2</v>
      </c>
      <c r="Y26" s="20" t="n">
        <v>1</v>
      </c>
      <c r="Z26" s="20" t="n">
        <v>1</v>
      </c>
      <c r="AA26" s="20" t="n">
        <v>3</v>
      </c>
      <c r="AB26" s="21">
        <f>SUM(X26:AA26)</f>
        <v/>
      </c>
      <c r="AC26" s="20" t="n">
        <v>1</v>
      </c>
      <c r="AD26" s="21">
        <f>AB26*AC26</f>
        <v/>
      </c>
      <c r="AE26" s="4">
        <f>IF(AD26&lt;=4,"Trivial",IF(AD26&lt;=8,"Tolerable",IF(AD26&lt;=16,"Moderado",IF(AD26&lt;=24,"Importante","Intolerable"))))</f>
        <v/>
      </c>
      <c r="AF26" s="21">
        <f>IF(OR(AE26="Importante",AE26="Intolerable"),"Sí","No")</f>
        <v/>
      </c>
      <c r="AG26" s="6" t="inlineStr">
        <is>
          <t>Plan de desvíos y PETS - Control de tránsito en zona de trabajo</t>
        </is>
      </c>
      <c r="AH26" s="4" t="inlineStr">
        <is>
          <t>—</t>
        </is>
      </c>
    </row>
    <row r="27" ht="58" customHeight="1">
      <c r="A27" s="4" t="n">
        <v>22</v>
      </c>
      <c r="B27" s="6" t="inlineStr">
        <is>
          <t>Obras preliminares</t>
        </is>
      </c>
      <c r="C27" s="6" t="inlineStr">
        <is>
          <t>Desbroce, limpieza de terreno y tala de árboles</t>
        </is>
      </c>
      <c r="D27" s="6" t="inlineStr">
        <is>
          <t>Peón, Motosierrista, Operador de equipo</t>
        </is>
      </c>
      <c r="E27" s="4" t="inlineStr">
        <is>
          <t>R</t>
        </is>
      </c>
      <c r="F27" s="6" t="inlineStr">
        <is>
          <t>Machetes, motosierras y desbrozadoras</t>
        </is>
      </c>
      <c r="G27" s="6" t="inlineStr">
        <is>
          <t>Cortes y proyección de partículas</t>
        </is>
      </c>
      <c r="H27" s="6" t="inlineStr">
        <is>
          <t>Heridas cortantes, amputaciones, lesión ocular</t>
        </is>
      </c>
      <c r="I27" s="4" t="inlineStr">
        <is>
          <t>S</t>
        </is>
      </c>
      <c r="J27" s="20" t="n">
        <v>2</v>
      </c>
      <c r="K27" s="20" t="n">
        <v>2</v>
      </c>
      <c r="L27" s="20" t="n">
        <v>2</v>
      </c>
      <c r="M27" s="20" t="n">
        <v>3</v>
      </c>
      <c r="N27" s="21">
        <f>SUM(J27:M27)</f>
        <v/>
      </c>
      <c r="O27" s="20" t="n">
        <v>3</v>
      </c>
      <c r="P27" s="21">
        <f>N27*O27</f>
        <v/>
      </c>
      <c r="Q27" s="4">
        <f>IF(P27&lt;=4,"Trivial",IF(P27&lt;=8,"Tolerable",IF(P27&lt;=16,"Moderado",IF(P27&lt;=24,"Importante","Intolerable"))))</f>
        <v/>
      </c>
      <c r="R27" s="21">
        <f>IF(OR(Q27="Importante",Q27="Intolerable"),"Sí","No")</f>
        <v/>
      </c>
      <c r="S27" s="6" t="inlineStr">
        <is>
          <t>No aplica</t>
        </is>
      </c>
      <c r="T27" s="6" t="inlineStr">
        <is>
          <t>No aplica</t>
        </is>
      </c>
      <c r="U27" s="6" t="inlineStr">
        <is>
          <t>Motosierra con freno de cadena y guardas</t>
        </is>
      </c>
      <c r="V27" s="6" t="inlineStr">
        <is>
          <t>Operador capacitado y autorizado; distancia entre trabajadores de 3 m como mínimo</t>
        </is>
      </c>
      <c r="W27" s="6" t="inlineStr">
        <is>
          <t>Careta de malla, pantalón anticorte, protector auditivo y guantes</t>
        </is>
      </c>
      <c r="X27" s="20" t="n">
        <v>2</v>
      </c>
      <c r="Y27" s="20" t="n">
        <v>1</v>
      </c>
      <c r="Z27" s="20" t="n">
        <v>1</v>
      </c>
      <c r="AA27" s="20" t="n">
        <v>3</v>
      </c>
      <c r="AB27" s="21">
        <f>SUM(X27:AA27)</f>
        <v/>
      </c>
      <c r="AC27" s="20" t="n">
        <v>2</v>
      </c>
      <c r="AD27" s="21">
        <f>AB27*AC27</f>
        <v/>
      </c>
      <c r="AE27" s="4">
        <f>IF(AD27&lt;=4,"Trivial",IF(AD27&lt;=8,"Tolerable",IF(AD27&lt;=16,"Moderado",IF(AD27&lt;=24,"Importante","Intolerable"))))</f>
        <v/>
      </c>
      <c r="AF27" s="21">
        <f>IF(OR(AE27="Importante",AE27="Intolerable"),"Sí","No")</f>
        <v/>
      </c>
      <c r="AG27" s="6" t="inlineStr">
        <is>
          <t>PETS - Desbroce y tala de árboles</t>
        </is>
      </c>
      <c r="AH27" s="4" t="inlineStr">
        <is>
          <t>—</t>
        </is>
      </c>
    </row>
    <row r="28" ht="58" customHeight="1">
      <c r="A28" s="4" t="n">
        <v>23</v>
      </c>
      <c r="B28" s="6" t="inlineStr">
        <is>
          <t>Obras preliminares</t>
        </is>
      </c>
      <c r="C28" s="6" t="inlineStr">
        <is>
          <t>Desbroce, limpieza de terreno y tala de árboles</t>
        </is>
      </c>
      <c r="D28" s="6" t="inlineStr">
        <is>
          <t>Peón, Motosierrista, Operador de equipo</t>
        </is>
      </c>
      <c r="E28" s="4" t="inlineStr">
        <is>
          <t>R</t>
        </is>
      </c>
      <c r="F28" s="6" t="inlineStr">
        <is>
          <t>Caída de árboles y ramas durante la tala</t>
        </is>
      </c>
      <c r="G28" s="6" t="inlineStr">
        <is>
          <t>Golpe o aplastamiento por el árbol</t>
        </is>
      </c>
      <c r="H28" s="6" t="inlineStr">
        <is>
          <t>Fracturas, muerte</t>
        </is>
      </c>
      <c r="I28" s="4" t="inlineStr">
        <is>
          <t>S</t>
        </is>
      </c>
      <c r="J28" s="20" t="n">
        <v>2</v>
      </c>
      <c r="K28" s="20" t="n">
        <v>2</v>
      </c>
      <c r="L28" s="20" t="n">
        <v>2</v>
      </c>
      <c r="M28" s="20" t="n">
        <v>2</v>
      </c>
      <c r="N28" s="21">
        <f>SUM(J28:M28)</f>
        <v/>
      </c>
      <c r="O28" s="20" t="n">
        <v>3</v>
      </c>
      <c r="P28" s="21">
        <f>N28*O28</f>
        <v/>
      </c>
      <c r="Q28" s="4">
        <f>IF(P28&lt;=4,"Trivial",IF(P28&lt;=8,"Tolerable",IF(P28&lt;=16,"Moderado",IF(P28&lt;=24,"Importante","Intolerable"))))</f>
        <v/>
      </c>
      <c r="R28" s="21">
        <f>IF(OR(Q28="Importante",Q28="Intolerable"),"Sí","No")</f>
        <v/>
      </c>
      <c r="S28" s="6" t="inlineStr">
        <is>
          <t>No aplica</t>
        </is>
      </c>
      <c r="T28" s="6" t="inlineStr">
        <is>
          <t>No aplica</t>
        </is>
      </c>
      <c r="U28" s="6" t="inlineStr">
        <is>
          <t>Corte direccional con cuñas y vía de escape</t>
        </is>
      </c>
      <c r="V28" s="6" t="inlineStr">
        <is>
          <t>Zona de exclusión de 2 veces la altura del árbol; vigía</t>
        </is>
      </c>
      <c r="W28" s="6" t="inlineStr">
        <is>
          <t>Casco de seguridad con barbiquejo (ANSI Z89.1)</t>
        </is>
      </c>
      <c r="X28" s="20" t="n">
        <v>2</v>
      </c>
      <c r="Y28" s="20" t="n">
        <v>1</v>
      </c>
      <c r="Z28" s="20" t="n">
        <v>1</v>
      </c>
      <c r="AA28" s="20" t="n">
        <v>1</v>
      </c>
      <c r="AB28" s="21">
        <f>SUM(X28:AA28)</f>
        <v/>
      </c>
      <c r="AC28" s="20" t="n">
        <v>3</v>
      </c>
      <c r="AD28" s="21">
        <f>AB28*AC28</f>
        <v/>
      </c>
      <c r="AE28" s="4">
        <f>IF(AD28&lt;=4,"Trivial",IF(AD28&lt;=8,"Tolerable",IF(AD28&lt;=16,"Moderado",IF(AD28&lt;=24,"Importante","Intolerable"))))</f>
        <v/>
      </c>
      <c r="AF28" s="21">
        <f>IF(OR(AE28="Importante",AE28="Intolerable"),"Sí","No")</f>
        <v/>
      </c>
      <c r="AG28" s="6" t="inlineStr">
        <is>
          <t>PETS - Desbroce y tala de árboles</t>
        </is>
      </c>
      <c r="AH28" s="4" t="inlineStr">
        <is>
          <t>—</t>
        </is>
      </c>
    </row>
    <row r="29" ht="58" customHeight="1">
      <c r="A29" s="4" t="n">
        <v>24</v>
      </c>
      <c r="B29" s="6" t="inlineStr">
        <is>
          <t>Obras preliminares</t>
        </is>
      </c>
      <c r="C29" s="6" t="inlineStr">
        <is>
          <t>Desbroce, limpieza de terreno y tala de árboles</t>
        </is>
      </c>
      <c r="D29" s="6" t="inlineStr">
        <is>
          <t>Peón, Motosierrista, Operador de equipo</t>
        </is>
      </c>
      <c r="E29" s="4" t="inlineStr">
        <is>
          <t>R</t>
        </is>
      </c>
      <c r="F29" s="6" t="inlineStr">
        <is>
          <t>Herramientas manuales</t>
        </is>
      </c>
      <c r="G29" s="6" t="inlineStr">
        <is>
          <t>Golpes, cortes o atrapamiento al usar herramientas</t>
        </is>
      </c>
      <c r="H29" s="6" t="inlineStr">
        <is>
          <t>Contusiones, cortes, fracturas de dedos</t>
        </is>
      </c>
      <c r="I29" s="4" t="inlineStr">
        <is>
          <t>S</t>
        </is>
      </c>
      <c r="J29" s="20" t="n">
        <v>2</v>
      </c>
      <c r="K29" s="20" t="n">
        <v>2</v>
      </c>
      <c r="L29" s="20" t="n">
        <v>2</v>
      </c>
      <c r="M29" s="20" t="n">
        <v>3</v>
      </c>
      <c r="N29" s="21">
        <f>SUM(J29:M29)</f>
        <v/>
      </c>
      <c r="O29" s="20" t="n">
        <v>2</v>
      </c>
      <c r="P29" s="21">
        <f>N29*O29</f>
        <v/>
      </c>
      <c r="Q29" s="4">
        <f>IF(P29&lt;=4,"Trivial",IF(P29&lt;=8,"Tolerable",IF(P29&lt;=16,"Moderado",IF(P29&lt;=24,"Importante","Intolerable"))))</f>
        <v/>
      </c>
      <c r="R29" s="21">
        <f>IF(OR(Q29="Importante",Q29="Intolerable"),"Sí","No")</f>
        <v/>
      </c>
      <c r="S29" s="6" t="inlineStr">
        <is>
          <t>No aplica</t>
        </is>
      </c>
      <c r="T29" s="6" t="inlineStr">
        <is>
          <t>No aplica</t>
        </is>
      </c>
      <c r="U29" s="6" t="inlineStr">
        <is>
          <t>Herramientas con mangos y guardas en buen estado</t>
        </is>
      </c>
      <c r="V29" s="6" t="inlineStr">
        <is>
          <t>Inspección de herramientas con cinta de color del mes; retiro de las defectuosas; ATS diario</t>
        </is>
      </c>
      <c r="W29" s="6" t="inlineStr">
        <is>
          <t>Guantes de cuero o badana, lentes de seguridad</t>
        </is>
      </c>
      <c r="X29" s="20" t="n">
        <v>2</v>
      </c>
      <c r="Y29" s="20" t="n">
        <v>1</v>
      </c>
      <c r="Z29" s="20" t="n">
        <v>1</v>
      </c>
      <c r="AA29" s="20" t="n">
        <v>3</v>
      </c>
      <c r="AB29" s="21">
        <f>SUM(X29:AA29)</f>
        <v/>
      </c>
      <c r="AC29" s="20" t="n">
        <v>1</v>
      </c>
      <c r="AD29" s="21">
        <f>AB29*AC29</f>
        <v/>
      </c>
      <c r="AE29" s="4">
        <f>IF(AD29&lt;=4,"Trivial",IF(AD29&lt;=8,"Tolerable",IF(AD29&lt;=16,"Moderado",IF(AD29&lt;=24,"Importante","Intolerable"))))</f>
        <v/>
      </c>
      <c r="AF29" s="21">
        <f>IF(OR(AE29="Importante",AE29="Intolerable"),"Sí","No")</f>
        <v/>
      </c>
      <c r="AG29" s="6" t="inlineStr">
        <is>
          <t>PETS - Desbroce y tala de árboles</t>
        </is>
      </c>
      <c r="AH29" s="4" t="inlineStr">
        <is>
          <t>—</t>
        </is>
      </c>
    </row>
    <row r="30" ht="58" customHeight="1">
      <c r="A30" s="4" t="n">
        <v>25</v>
      </c>
      <c r="B30" s="6" t="inlineStr">
        <is>
          <t>Obras preliminares</t>
        </is>
      </c>
      <c r="C30" s="6" t="inlineStr">
        <is>
          <t>Desbroce, limpieza de terreno y tala de árboles</t>
        </is>
      </c>
      <c r="D30" s="6" t="inlineStr">
        <is>
          <t>Peón, Motosierrista, Operador de equipo</t>
        </is>
      </c>
      <c r="E30" s="4" t="inlineStr">
        <is>
          <t>R</t>
        </is>
      </c>
      <c r="F30" s="6" t="inlineStr">
        <is>
          <t>Manipulación manual de cargas</t>
        </is>
      </c>
      <c r="G30" s="6" t="inlineStr">
        <is>
          <t>Sobreesfuerzo por levantar o trasladar cargas pesadas o en mala postura</t>
        </is>
      </c>
      <c r="H30" s="6" t="inlineStr">
        <is>
          <t>Lumbalgia, hernias, lesiones musculoesqueléticas</t>
        </is>
      </c>
      <c r="I30" s="4" t="inlineStr">
        <is>
          <t>SO</t>
        </is>
      </c>
      <c r="J30" s="20" t="n">
        <v>2</v>
      </c>
      <c r="K30" s="20" t="n">
        <v>2</v>
      </c>
      <c r="L30" s="20" t="n">
        <v>2</v>
      </c>
      <c r="M30" s="20" t="n">
        <v>3</v>
      </c>
      <c r="N30" s="21">
        <f>SUM(J30:M30)</f>
        <v/>
      </c>
      <c r="O30" s="20" t="n">
        <v>2</v>
      </c>
      <c r="P30" s="21">
        <f>N30*O30</f>
        <v/>
      </c>
      <c r="Q30" s="4">
        <f>IF(P30&lt;=4,"Trivial",IF(P30&lt;=8,"Tolerable",IF(P30&lt;=16,"Moderado",IF(P30&lt;=24,"Importante","Intolerable"))))</f>
        <v/>
      </c>
      <c r="R30" s="21">
        <f>IF(OR(Q30="Importante",Q30="Intolerable"),"Sí","No")</f>
        <v/>
      </c>
      <c r="S30" s="6" t="inlineStr">
        <is>
          <t>No aplica</t>
        </is>
      </c>
      <c r="T30" s="6" t="inlineStr">
        <is>
          <t>Uso de carretillas, montacargas o equipo para cargas mayores de 25 kg</t>
        </is>
      </c>
      <c r="U30" s="6" t="inlineStr">
        <is>
          <t>Puntos de acopio cerca del frente de trabajo</t>
        </is>
      </c>
      <c r="V30" s="6" t="inlineStr">
        <is>
          <t>Capacitación en levantamiento seguro (R.M. N.° 375-2008-TR); trabajo en pareja; pausas activas</t>
        </is>
      </c>
      <c r="W30" s="6" t="inlineStr">
        <is>
          <t>EPP básico; faja lumbar solo con indicación médica</t>
        </is>
      </c>
      <c r="X30" s="20" t="n">
        <v>2</v>
      </c>
      <c r="Y30" s="20" t="n">
        <v>1</v>
      </c>
      <c r="Z30" s="20" t="n">
        <v>1</v>
      </c>
      <c r="AA30" s="20" t="n">
        <v>3</v>
      </c>
      <c r="AB30" s="21">
        <f>SUM(X30:AA30)</f>
        <v/>
      </c>
      <c r="AC30" s="20" t="n">
        <v>1</v>
      </c>
      <c r="AD30" s="21">
        <f>AB30*AC30</f>
        <v/>
      </c>
      <c r="AE30" s="4">
        <f>IF(AD30&lt;=4,"Trivial",IF(AD30&lt;=8,"Tolerable",IF(AD30&lt;=16,"Moderado",IF(AD30&lt;=24,"Importante","Intolerable"))))</f>
        <v/>
      </c>
      <c r="AF30" s="21">
        <f>IF(OR(AE30="Importante",AE30="Intolerable"),"Sí","No")</f>
        <v/>
      </c>
      <c r="AG30" s="6" t="inlineStr">
        <is>
          <t>PETS - Desbroce y tala de árboles</t>
        </is>
      </c>
      <c r="AH30" s="4" t="inlineStr">
        <is>
          <t>—</t>
        </is>
      </c>
    </row>
    <row r="31" ht="58" customHeight="1">
      <c r="A31" s="4" t="n">
        <v>26</v>
      </c>
      <c r="B31" s="6" t="inlineStr">
        <is>
          <t>Demoliciones</t>
        </is>
      </c>
      <c r="C31" s="6" t="inlineStr">
        <is>
          <t>Demolición de estructuras, escarificado y desmontaje</t>
        </is>
      </c>
      <c r="D31" s="6" t="inlineStr">
        <is>
          <t>Operario, Peón, Operador de equipo</t>
        </is>
      </c>
      <c r="E31" s="4" t="inlineStr">
        <is>
          <t>R</t>
        </is>
      </c>
      <c r="F31" s="6" t="inlineStr">
        <is>
          <t>Fragmentos de concreto, asfalto y acero</t>
        </is>
      </c>
      <c r="G31" s="6" t="inlineStr">
        <is>
          <t>Proyección de partículas y fragmentos</t>
        </is>
      </c>
      <c r="H31" s="6" t="inlineStr">
        <is>
          <t>Lesión ocular, cortes, contusiones</t>
        </is>
      </c>
      <c r="I31" s="4" t="inlineStr">
        <is>
          <t>S</t>
        </is>
      </c>
      <c r="J31" s="20" t="n">
        <v>2</v>
      </c>
      <c r="K31" s="20" t="n">
        <v>2</v>
      </c>
      <c r="L31" s="20" t="n">
        <v>2</v>
      </c>
      <c r="M31" s="20" t="n">
        <v>3</v>
      </c>
      <c r="N31" s="21">
        <f>SUM(J31:M31)</f>
        <v/>
      </c>
      <c r="O31" s="20" t="n">
        <v>2</v>
      </c>
      <c r="P31" s="21">
        <f>N31*O31</f>
        <v/>
      </c>
      <c r="Q31" s="4">
        <f>IF(P31&lt;=4,"Trivial",IF(P31&lt;=8,"Tolerable",IF(P31&lt;=16,"Moderado",IF(P31&lt;=24,"Importante","Intolerable"))))</f>
        <v/>
      </c>
      <c r="R31" s="21">
        <f>IF(OR(Q31="Importante",Q31="Intolerable"),"Sí","No")</f>
        <v/>
      </c>
      <c r="S31" s="6" t="inlineStr">
        <is>
          <t>No aplica</t>
        </is>
      </c>
      <c r="T31" s="6" t="inlineStr">
        <is>
          <t>No aplica</t>
        </is>
      </c>
      <c r="U31" s="6" t="inlineStr">
        <is>
          <t>Pantallas o mallas de contención</t>
        </is>
      </c>
      <c r="V31" s="6" t="inlineStr">
        <is>
          <t>Área delimitada; distancia segura a la zona de demolición</t>
        </is>
      </c>
      <c r="W31" s="6" t="inlineStr">
        <is>
          <t>Lentes y careta facial</t>
        </is>
      </c>
      <c r="X31" s="20" t="n">
        <v>2</v>
      </c>
      <c r="Y31" s="20" t="n">
        <v>1</v>
      </c>
      <c r="Z31" s="20" t="n">
        <v>1</v>
      </c>
      <c r="AA31" s="20" t="n">
        <v>3</v>
      </c>
      <c r="AB31" s="21">
        <f>SUM(X31:AA31)</f>
        <v/>
      </c>
      <c r="AC31" s="20" t="n">
        <v>1</v>
      </c>
      <c r="AD31" s="21">
        <f>AB31*AC31</f>
        <v/>
      </c>
      <c r="AE31" s="4">
        <f>IF(AD31&lt;=4,"Trivial",IF(AD31&lt;=8,"Tolerable",IF(AD31&lt;=16,"Moderado",IF(AD31&lt;=24,"Importante","Intolerable"))))</f>
        <v/>
      </c>
      <c r="AF31" s="21">
        <f>IF(OR(AE31="Importante",AE31="Intolerable"),"Sí","No")</f>
        <v/>
      </c>
      <c r="AG31" s="6" t="inlineStr">
        <is>
          <t>PETS - Demolición de estructuras existentes</t>
        </is>
      </c>
      <c r="AH31" s="4" t="inlineStr">
        <is>
          <t>Trabajos en altura</t>
        </is>
      </c>
    </row>
    <row r="32" ht="58" customHeight="1">
      <c r="A32" s="4" t="n">
        <v>27</v>
      </c>
      <c r="B32" s="6" t="inlineStr">
        <is>
          <t>Demoliciones</t>
        </is>
      </c>
      <c r="C32" s="6" t="inlineStr">
        <is>
          <t>Demolición de estructuras, escarificado y desmontaje</t>
        </is>
      </c>
      <c r="D32" s="6" t="inlineStr">
        <is>
          <t>Operario, Peón, Operador de equipo</t>
        </is>
      </c>
      <c r="E32" s="4" t="inlineStr">
        <is>
          <t>R</t>
        </is>
      </c>
      <c r="F32" s="6" t="inlineStr">
        <is>
          <t>Estructura existente debilitada</t>
        </is>
      </c>
      <c r="G32" s="6" t="inlineStr">
        <is>
          <t>Colapso no controlado de la estructura en demolición</t>
        </is>
      </c>
      <c r="H32" s="6" t="inlineStr">
        <is>
          <t>Aplastamiento, muerte</t>
        </is>
      </c>
      <c r="I32" s="4" t="inlineStr">
        <is>
          <t>S</t>
        </is>
      </c>
      <c r="J32" s="20" t="n">
        <v>2</v>
      </c>
      <c r="K32" s="20" t="n">
        <v>2</v>
      </c>
      <c r="L32" s="20" t="n">
        <v>2</v>
      </c>
      <c r="M32" s="20" t="n">
        <v>2</v>
      </c>
      <c r="N32" s="21">
        <f>SUM(J32:M32)</f>
        <v/>
      </c>
      <c r="O32" s="20" t="n">
        <v>3</v>
      </c>
      <c r="P32" s="21">
        <f>N32*O32</f>
        <v/>
      </c>
      <c r="Q32" s="4">
        <f>IF(P32&lt;=4,"Trivial",IF(P32&lt;=8,"Tolerable",IF(P32&lt;=16,"Moderado",IF(P32&lt;=24,"Importante","Intolerable"))))</f>
        <v/>
      </c>
      <c r="R32" s="21">
        <f>IF(OR(Q32="Importante",Q32="Intolerable"),"Sí","No")</f>
        <v/>
      </c>
      <c r="S32" s="6" t="inlineStr">
        <is>
          <t>No aplica</t>
        </is>
      </c>
      <c r="T32" s="6" t="inlineStr">
        <is>
          <t>No aplica</t>
        </is>
      </c>
      <c r="U32" s="6" t="inlineStr">
        <is>
          <t>Apuntalamiento previo; demolición mecánica a distancia</t>
        </is>
      </c>
      <c r="V32" s="6" t="inlineStr">
        <is>
          <t>Evaluación estructural previa y secuencia escrita de demolición; PETAR</t>
        </is>
      </c>
      <c r="W32" s="6" t="inlineStr">
        <is>
          <t>Casco de seguridad con barbiquejo (ANSI Z89.1)</t>
        </is>
      </c>
      <c r="X32" s="20" t="n">
        <v>2</v>
      </c>
      <c r="Y32" s="20" t="n">
        <v>1</v>
      </c>
      <c r="Z32" s="20" t="n">
        <v>1</v>
      </c>
      <c r="AA32" s="20" t="n">
        <v>1</v>
      </c>
      <c r="AB32" s="21">
        <f>SUM(X32:AA32)</f>
        <v/>
      </c>
      <c r="AC32" s="20" t="n">
        <v>3</v>
      </c>
      <c r="AD32" s="21">
        <f>AB32*AC32</f>
        <v/>
      </c>
      <c r="AE32" s="4">
        <f>IF(AD32&lt;=4,"Trivial",IF(AD32&lt;=8,"Tolerable",IF(AD32&lt;=16,"Moderado",IF(AD32&lt;=24,"Importante","Intolerable"))))</f>
        <v/>
      </c>
      <c r="AF32" s="21">
        <f>IF(OR(AE32="Importante",AE32="Intolerable"),"Sí","No")</f>
        <v/>
      </c>
      <c r="AG32" s="6" t="inlineStr">
        <is>
          <t>PETS - Demolición de estructuras existentes</t>
        </is>
      </c>
      <c r="AH32" s="4" t="inlineStr">
        <is>
          <t>Trabajos en altura</t>
        </is>
      </c>
    </row>
    <row r="33" ht="58" customHeight="1">
      <c r="A33" s="4" t="n">
        <v>28</v>
      </c>
      <c r="B33" s="6" t="inlineStr">
        <is>
          <t>Demoliciones</t>
        </is>
      </c>
      <c r="C33" s="6" t="inlineStr">
        <is>
          <t>Demolición de estructuras, escarificado y desmontaje</t>
        </is>
      </c>
      <c r="D33" s="6" t="inlineStr">
        <is>
          <t>Operario, Peón, Operador de equipo</t>
        </is>
      </c>
      <c r="E33" s="4" t="inlineStr">
        <is>
          <t>R</t>
        </is>
      </c>
      <c r="F33" s="6" t="inlineStr">
        <is>
          <t>Material particulado (polvo)</t>
        </is>
      </c>
      <c r="G33" s="6" t="inlineStr">
        <is>
          <t>Inhalación de polvo y contacto con los ojos</t>
        </is>
      </c>
      <c r="H33" s="6" t="inlineStr">
        <is>
          <t>Irritación ocular, enfermedades respiratorias</t>
        </is>
      </c>
      <c r="I33" s="4" t="inlineStr">
        <is>
          <t>SO</t>
        </is>
      </c>
      <c r="J33" s="20" t="n">
        <v>2</v>
      </c>
      <c r="K33" s="20" t="n">
        <v>2</v>
      </c>
      <c r="L33" s="20" t="n">
        <v>2</v>
      </c>
      <c r="M33" s="20" t="n">
        <v>3</v>
      </c>
      <c r="N33" s="21">
        <f>SUM(J33:M33)</f>
        <v/>
      </c>
      <c r="O33" s="20" t="n">
        <v>2</v>
      </c>
      <c r="P33" s="21">
        <f>N33*O33</f>
        <v/>
      </c>
      <c r="Q33" s="4">
        <f>IF(P33&lt;=4,"Trivial",IF(P33&lt;=8,"Tolerable",IF(P33&lt;=16,"Moderado",IF(P33&lt;=24,"Importante","Intolerable"))))</f>
        <v/>
      </c>
      <c r="R33" s="21">
        <f>IF(OR(Q33="Importante",Q33="Intolerable"),"Sí","No")</f>
        <v/>
      </c>
      <c r="S33" s="6" t="inlineStr">
        <is>
          <t>No aplica</t>
        </is>
      </c>
      <c r="T33" s="6" t="inlineStr">
        <is>
          <t>No aplica</t>
        </is>
      </c>
      <c r="U33" s="6" t="inlineStr">
        <is>
          <t>Riego de vías y frentes con cisterna</t>
        </is>
      </c>
      <c r="V33" s="6" t="inlineStr">
        <is>
          <t>Ubicación del personal a barlovento; monitoreo de polvo</t>
        </is>
      </c>
      <c r="W33" s="6" t="inlineStr">
        <is>
          <t>Respirador de media cara con filtros para polvo P100 (NIOSH), lentes</t>
        </is>
      </c>
      <c r="X33" s="20" t="n">
        <v>2</v>
      </c>
      <c r="Y33" s="20" t="n">
        <v>1</v>
      </c>
      <c r="Z33" s="20" t="n">
        <v>1</v>
      </c>
      <c r="AA33" s="20" t="n">
        <v>3</v>
      </c>
      <c r="AB33" s="21">
        <f>SUM(X33:AA33)</f>
        <v/>
      </c>
      <c r="AC33" s="20" t="n">
        <v>2</v>
      </c>
      <c r="AD33" s="21">
        <f>AB33*AC33</f>
        <v/>
      </c>
      <c r="AE33" s="4">
        <f>IF(AD33&lt;=4,"Trivial",IF(AD33&lt;=8,"Tolerable",IF(AD33&lt;=16,"Moderado",IF(AD33&lt;=24,"Importante","Intolerable"))))</f>
        <v/>
      </c>
      <c r="AF33" s="21">
        <f>IF(OR(AE33="Importante",AE33="Intolerable"),"Sí","No")</f>
        <v/>
      </c>
      <c r="AG33" s="6" t="inlineStr">
        <is>
          <t>PETS - Demolición de estructuras existentes</t>
        </is>
      </c>
      <c r="AH33" s="4" t="inlineStr">
        <is>
          <t>Trabajos en altura</t>
        </is>
      </c>
    </row>
    <row r="34" ht="58" customHeight="1">
      <c r="A34" s="4" t="n">
        <v>29</v>
      </c>
      <c r="B34" s="6" t="inlineStr">
        <is>
          <t>Demoliciones</t>
        </is>
      </c>
      <c r="C34" s="6" t="inlineStr">
        <is>
          <t>Demolición de estructuras, escarificado y desmontaje</t>
        </is>
      </c>
      <c r="D34" s="6" t="inlineStr">
        <is>
          <t>Operario, Peón, Operador de equipo</t>
        </is>
      </c>
      <c r="E34" s="4" t="inlineStr">
        <is>
          <t>R</t>
        </is>
      </c>
      <c r="F34" s="6" t="inlineStr">
        <is>
          <t>Ruido de maquinaria y equipos</t>
        </is>
      </c>
      <c r="G34" s="6" t="inlineStr">
        <is>
          <t>Exposición a ruido mayor de 85 dB(A)</t>
        </is>
      </c>
      <c r="H34" s="6" t="inlineStr">
        <is>
          <t>Hipoacusia inducida por ruido</t>
        </is>
      </c>
      <c r="I34" s="4" t="inlineStr">
        <is>
          <t>SO</t>
        </is>
      </c>
      <c r="J34" s="20" t="n">
        <v>2</v>
      </c>
      <c r="K34" s="20" t="n">
        <v>2</v>
      </c>
      <c r="L34" s="20" t="n">
        <v>2</v>
      </c>
      <c r="M34" s="20" t="n">
        <v>3</v>
      </c>
      <c r="N34" s="21">
        <f>SUM(J34:M34)</f>
        <v/>
      </c>
      <c r="O34" s="20" t="n">
        <v>2</v>
      </c>
      <c r="P34" s="21">
        <f>N34*O34</f>
        <v/>
      </c>
      <c r="Q34" s="4">
        <f>IF(P34&lt;=4,"Trivial",IF(P34&lt;=8,"Tolerable",IF(P34&lt;=16,"Moderado",IF(P34&lt;=24,"Importante","Intolerable"))))</f>
        <v/>
      </c>
      <c r="R34" s="21">
        <f>IF(OR(Q34="Importante",Q34="Intolerable"),"Sí","No")</f>
        <v/>
      </c>
      <c r="S34" s="6" t="inlineStr">
        <is>
          <t>No aplica</t>
        </is>
      </c>
      <c r="T34" s="6" t="inlineStr">
        <is>
          <t>No aplica</t>
        </is>
      </c>
      <c r="U34" s="6" t="inlineStr">
        <is>
          <t>Equipos con silenciadores y mantenimiento al día</t>
        </is>
      </c>
      <c r="V34" s="6" t="inlineStr">
        <is>
          <t>Monitoreo de ruido; rotación del personal; señalización de uso obligatorio de protección auditiva</t>
        </is>
      </c>
      <c r="W34" s="6" t="inlineStr">
        <is>
          <t>Protector auditivo tipo tapón u orejera (ANSI S3.19)</t>
        </is>
      </c>
      <c r="X34" s="20" t="n">
        <v>2</v>
      </c>
      <c r="Y34" s="20" t="n">
        <v>1</v>
      </c>
      <c r="Z34" s="20" t="n">
        <v>1</v>
      </c>
      <c r="AA34" s="20" t="n">
        <v>3</v>
      </c>
      <c r="AB34" s="21">
        <f>SUM(X34:AA34)</f>
        <v/>
      </c>
      <c r="AC34" s="20" t="n">
        <v>2</v>
      </c>
      <c r="AD34" s="21">
        <f>AB34*AC34</f>
        <v/>
      </c>
      <c r="AE34" s="4">
        <f>IF(AD34&lt;=4,"Trivial",IF(AD34&lt;=8,"Tolerable",IF(AD34&lt;=16,"Moderado",IF(AD34&lt;=24,"Importante","Intolerable"))))</f>
        <v/>
      </c>
      <c r="AF34" s="21">
        <f>IF(OR(AE34="Importante",AE34="Intolerable"),"Sí","No")</f>
        <v/>
      </c>
      <c r="AG34" s="6" t="inlineStr">
        <is>
          <t>PETS - Demolición de estructuras existentes</t>
        </is>
      </c>
      <c r="AH34" s="4" t="inlineStr">
        <is>
          <t>Trabajos en altura</t>
        </is>
      </c>
    </row>
    <row r="35" ht="58" customHeight="1">
      <c r="A35" s="4" t="n">
        <v>30</v>
      </c>
      <c r="B35" s="6" t="inlineStr">
        <is>
          <t>Demoliciones</t>
        </is>
      </c>
      <c r="C35" s="6" t="inlineStr">
        <is>
          <t>Demolición de estructuras, escarificado y desmontaje</t>
        </is>
      </c>
      <c r="D35" s="6" t="inlineStr">
        <is>
          <t>Operario, Peón, Operador de equipo</t>
        </is>
      </c>
      <c r="E35" s="4" t="inlineStr">
        <is>
          <t>R</t>
        </is>
      </c>
      <c r="F35" s="6" t="inlineStr">
        <is>
          <t>Vibración mano-brazo</t>
        </is>
      </c>
      <c r="G35" s="6" t="inlineStr">
        <is>
          <t>Exposición a vibración de equipos manuales (compactadoras, martillos, vibradores)</t>
        </is>
      </c>
      <c r="H35" s="6" t="inlineStr">
        <is>
          <t>Trastornos vasculares y osteomusculares</t>
        </is>
      </c>
      <c r="I35" s="4" t="inlineStr">
        <is>
          <t>SO</t>
        </is>
      </c>
      <c r="J35" s="20" t="n">
        <v>2</v>
      </c>
      <c r="K35" s="20" t="n">
        <v>2</v>
      </c>
      <c r="L35" s="20" t="n">
        <v>2</v>
      </c>
      <c r="M35" s="20" t="n">
        <v>3</v>
      </c>
      <c r="N35" s="21">
        <f>SUM(J35:M35)</f>
        <v/>
      </c>
      <c r="O35" s="20" t="n">
        <v>2</v>
      </c>
      <c r="P35" s="21">
        <f>N35*O35</f>
        <v/>
      </c>
      <c r="Q35" s="4">
        <f>IF(P35&lt;=4,"Trivial",IF(P35&lt;=8,"Tolerable",IF(P35&lt;=16,"Moderado",IF(P35&lt;=24,"Importante","Intolerable"))))</f>
        <v/>
      </c>
      <c r="R35" s="21">
        <f>IF(OR(Q35="Importante",Q35="Intolerable"),"Sí","No")</f>
        <v/>
      </c>
      <c r="S35" s="6" t="inlineStr">
        <is>
          <t>No aplica</t>
        </is>
      </c>
      <c r="T35" s="6" t="inlineStr">
        <is>
          <t>Equipos con mangos antivibratorios</t>
        </is>
      </c>
      <c r="U35" s="6" t="inlineStr">
        <is>
          <t>Mantenimiento de amortiguadores</t>
        </is>
      </c>
      <c r="V35" s="6" t="inlineStr">
        <is>
          <t>Rotación del personal y pausas</t>
        </is>
      </c>
      <c r="W35" s="6" t="inlineStr">
        <is>
          <t>Guantes antivibración</t>
        </is>
      </c>
      <c r="X35" s="20" t="n">
        <v>2</v>
      </c>
      <c r="Y35" s="20" t="n">
        <v>1</v>
      </c>
      <c r="Z35" s="20" t="n">
        <v>1</v>
      </c>
      <c r="AA35" s="20" t="n">
        <v>3</v>
      </c>
      <c r="AB35" s="21">
        <f>SUM(X35:AA35)</f>
        <v/>
      </c>
      <c r="AC35" s="20" t="n">
        <v>1</v>
      </c>
      <c r="AD35" s="21">
        <f>AB35*AC35</f>
        <v/>
      </c>
      <c r="AE35" s="4">
        <f>IF(AD35&lt;=4,"Trivial",IF(AD35&lt;=8,"Tolerable",IF(AD35&lt;=16,"Moderado",IF(AD35&lt;=24,"Importante","Intolerable"))))</f>
        <v/>
      </c>
      <c r="AF35" s="21">
        <f>IF(OR(AE35="Importante",AE35="Intolerable"),"Sí","No")</f>
        <v/>
      </c>
      <c r="AG35" s="6" t="inlineStr">
        <is>
          <t>PETS - Demolición de estructuras existentes</t>
        </is>
      </c>
      <c r="AH35" s="4" t="inlineStr">
        <is>
          <t>Trabajos en altura</t>
        </is>
      </c>
    </row>
    <row r="36" ht="58" customHeight="1">
      <c r="A36" s="4" t="n">
        <v>31</v>
      </c>
      <c r="B36" s="6" t="inlineStr">
        <is>
          <t>Movimiento de tierras</t>
        </is>
      </c>
      <c r="C36" s="6" t="inlineStr">
        <is>
          <t>Movimiento de tierras con maquinaria (corte, terraplén, eliminación, canteras y DME)</t>
        </is>
      </c>
      <c r="D36" s="6" t="inlineStr">
        <is>
          <t>Operador de equipo, Vigía de maquinaria, Peón, Chofer</t>
        </is>
      </c>
      <c r="E36" s="4" t="inlineStr">
        <is>
          <t>R</t>
        </is>
      </c>
      <c r="F36" s="6" t="inlineStr">
        <is>
          <t>Maquinaria pesada en movimiento</t>
        </is>
      </c>
      <c r="G36" s="6" t="inlineStr">
        <is>
          <t>Atropello o golpe por maquinaria (retroceso, giro)</t>
        </is>
      </c>
      <c r="H36" s="6" t="inlineStr">
        <is>
          <t>Aplastamiento, fracturas, muerte</t>
        </is>
      </c>
      <c r="I36" s="4" t="inlineStr">
        <is>
          <t>S</t>
        </is>
      </c>
      <c r="J36" s="20" t="n">
        <v>2</v>
      </c>
      <c r="K36" s="20" t="n">
        <v>2</v>
      </c>
      <c r="L36" s="20" t="n">
        <v>2</v>
      </c>
      <c r="M36" s="20" t="n">
        <v>3</v>
      </c>
      <c r="N36" s="21">
        <f>SUM(J36:M36)</f>
        <v/>
      </c>
      <c r="O36" s="20" t="n">
        <v>3</v>
      </c>
      <c r="P36" s="21">
        <f>N36*O36</f>
        <v/>
      </c>
      <c r="Q36" s="4">
        <f>IF(P36&lt;=4,"Trivial",IF(P36&lt;=8,"Tolerable",IF(P36&lt;=16,"Moderado",IF(P36&lt;=24,"Importante","Intolerable"))))</f>
        <v/>
      </c>
      <c r="R36" s="21">
        <f>IF(OR(Q36="Importante",Q36="Intolerable"),"Sí","No")</f>
        <v/>
      </c>
      <c r="S36" s="6" t="inlineStr">
        <is>
          <t>No aplica</t>
        </is>
      </c>
      <c r="T36" s="6" t="inlineStr">
        <is>
          <t>No aplica</t>
        </is>
      </c>
      <c r="U36" s="6" t="inlineStr">
        <is>
          <t>Alarma de retroceso y luces en los equipos; zona de trabajo delimitada</t>
        </is>
      </c>
      <c r="V36" s="6" t="inlineStr">
        <is>
          <t>Vigía o señalero; distancia mínima al radio de giro; prohibido el ingreso de peatones al área de operación; operadores autorizados</t>
        </is>
      </c>
      <c r="W36" s="6" t="inlineStr">
        <is>
          <t>Chaleco o uniforme con cintas reflectivas (ANSI/ISEA 107)</t>
        </is>
      </c>
      <c r="X36" s="20" t="n">
        <v>2</v>
      </c>
      <c r="Y36" s="20" t="n">
        <v>1</v>
      </c>
      <c r="Z36" s="20" t="n">
        <v>1</v>
      </c>
      <c r="AA36" s="20" t="n">
        <v>1</v>
      </c>
      <c r="AB36" s="21">
        <f>SUM(X36:AA36)</f>
        <v/>
      </c>
      <c r="AC36" s="20" t="n">
        <v>3</v>
      </c>
      <c r="AD36" s="21">
        <f>AB36*AC36</f>
        <v/>
      </c>
      <c r="AE36" s="4">
        <f>IF(AD36&lt;=4,"Trivial",IF(AD36&lt;=8,"Tolerable",IF(AD36&lt;=16,"Moderado",IF(AD36&lt;=24,"Importante","Intolerable"))))</f>
        <v/>
      </c>
      <c r="AF36" s="21">
        <f>IF(OR(AE36="Importante",AE36="Intolerable"),"Sí","No")</f>
        <v/>
      </c>
      <c r="AG36" s="6" t="inlineStr">
        <is>
          <t>PETS - Movimiento de tierras con maquinaria pesada</t>
        </is>
      </c>
      <c r="AH36" s="4" t="inlineStr">
        <is>
          <t>—</t>
        </is>
      </c>
    </row>
    <row r="37" ht="58" customHeight="1">
      <c r="A37" s="4" t="n">
        <v>32</v>
      </c>
      <c r="B37" s="6" t="inlineStr">
        <is>
          <t>Movimiento de tierras</t>
        </is>
      </c>
      <c r="C37" s="6" t="inlineStr">
        <is>
          <t>Movimiento de tierras con maquinaria (corte, terraplén, eliminación, canteras y DME)</t>
        </is>
      </c>
      <c r="D37" s="6" t="inlineStr">
        <is>
          <t>Operador de equipo, Vigía de maquinaria, Peón, Chofer</t>
        </is>
      </c>
      <c r="E37" s="4" t="inlineStr">
        <is>
          <t>R</t>
        </is>
      </c>
      <c r="F37" s="6" t="inlineStr">
        <is>
          <t>Equipos operando en taludes, bordes de terraplén y pendientes</t>
        </is>
      </c>
      <c r="G37" s="6" t="inlineStr">
        <is>
          <t>Volcadura de la maquinaria</t>
        </is>
      </c>
      <c r="H37" s="6" t="inlineStr">
        <is>
          <t>Aplastamiento del operador, muerte</t>
        </is>
      </c>
      <c r="I37" s="4" t="inlineStr">
        <is>
          <t>S</t>
        </is>
      </c>
      <c r="J37" s="20" t="n">
        <v>2</v>
      </c>
      <c r="K37" s="20" t="n">
        <v>2</v>
      </c>
      <c r="L37" s="20" t="n">
        <v>2</v>
      </c>
      <c r="M37" s="20" t="n">
        <v>2</v>
      </c>
      <c r="N37" s="21">
        <f>SUM(J37:M37)</f>
        <v/>
      </c>
      <c r="O37" s="20" t="n">
        <v>3</v>
      </c>
      <c r="P37" s="21">
        <f>N37*O37</f>
        <v/>
      </c>
      <c r="Q37" s="4">
        <f>IF(P37&lt;=4,"Trivial",IF(P37&lt;=8,"Tolerable",IF(P37&lt;=16,"Moderado",IF(P37&lt;=24,"Importante","Intolerable"))))</f>
        <v/>
      </c>
      <c r="R37" s="21">
        <f>IF(OR(Q37="Importante",Q37="Intolerable"),"Sí","No")</f>
        <v/>
      </c>
      <c r="S37" s="6" t="inlineStr">
        <is>
          <t>No aplica</t>
        </is>
      </c>
      <c r="T37" s="6" t="inlineStr">
        <is>
          <t>No aplica</t>
        </is>
      </c>
      <c r="U37" s="6" t="inlineStr">
        <is>
          <t>Equipos con estructura ROPS/FOPS y cinturón; bermas de seguridad en bordes</t>
        </is>
      </c>
      <c r="V37" s="6" t="inlineStr">
        <is>
          <t>Inspección del terreno antes de operar; operadores certificados</t>
        </is>
      </c>
      <c r="W37" s="6" t="inlineStr">
        <is>
          <t>Cinturón de seguridad</t>
        </is>
      </c>
      <c r="X37" s="20" t="n">
        <v>2</v>
      </c>
      <c r="Y37" s="20" t="n">
        <v>1</v>
      </c>
      <c r="Z37" s="20" t="n">
        <v>1</v>
      </c>
      <c r="AA37" s="20" t="n">
        <v>2</v>
      </c>
      <c r="AB37" s="21">
        <f>SUM(X37:AA37)</f>
        <v/>
      </c>
      <c r="AC37" s="20" t="n">
        <v>2</v>
      </c>
      <c r="AD37" s="21">
        <f>AB37*AC37</f>
        <v/>
      </c>
      <c r="AE37" s="4">
        <f>IF(AD37&lt;=4,"Trivial",IF(AD37&lt;=8,"Tolerable",IF(AD37&lt;=16,"Moderado",IF(AD37&lt;=24,"Importante","Intolerable"))))</f>
        <v/>
      </c>
      <c r="AF37" s="21">
        <f>IF(OR(AE37="Importante",AE37="Intolerable"),"Sí","No")</f>
        <v/>
      </c>
      <c r="AG37" s="6" t="inlineStr">
        <is>
          <t>PETS - Movimiento de tierras con maquinaria pesada</t>
        </is>
      </c>
      <c r="AH37" s="4" t="inlineStr">
        <is>
          <t>—</t>
        </is>
      </c>
    </row>
    <row r="38" ht="58" customHeight="1">
      <c r="A38" s="4" t="n">
        <v>33</v>
      </c>
      <c r="B38" s="6" t="inlineStr">
        <is>
          <t>Movimiento de tierras</t>
        </is>
      </c>
      <c r="C38" s="6" t="inlineStr">
        <is>
          <t>Movimiento de tierras con maquinaria (corte, terraplén, eliminación, canteras y DME)</t>
        </is>
      </c>
      <c r="D38" s="6" t="inlineStr">
        <is>
          <t>Operador de equipo, Vigía de maquinaria, Peón, Chofer</t>
        </is>
      </c>
      <c r="E38" s="4" t="inlineStr">
        <is>
          <t>R</t>
        </is>
      </c>
      <c r="F38" s="6" t="inlineStr">
        <is>
          <t>Taludes de corte inestables</t>
        </is>
      </c>
      <c r="G38" s="6" t="inlineStr">
        <is>
          <t>Desprendimiento de rocas o deslizamiento sobre personas y equipos</t>
        </is>
      </c>
      <c r="H38" s="6" t="inlineStr">
        <is>
          <t>Aplastamiento, muerte</t>
        </is>
      </c>
      <c r="I38" s="4" t="inlineStr">
        <is>
          <t>S</t>
        </is>
      </c>
      <c r="J38" s="20" t="n">
        <v>2</v>
      </c>
      <c r="K38" s="20" t="n">
        <v>2</v>
      </c>
      <c r="L38" s="20" t="n">
        <v>2</v>
      </c>
      <c r="M38" s="20" t="n">
        <v>2</v>
      </c>
      <c r="N38" s="21">
        <f>SUM(J38:M38)</f>
        <v/>
      </c>
      <c r="O38" s="20" t="n">
        <v>3</v>
      </c>
      <c r="P38" s="21">
        <f>N38*O38</f>
        <v/>
      </c>
      <c r="Q38" s="4">
        <f>IF(P38&lt;=4,"Trivial",IF(P38&lt;=8,"Tolerable",IF(P38&lt;=16,"Moderado",IF(P38&lt;=24,"Importante","Intolerable"))))</f>
        <v/>
      </c>
      <c r="R38" s="21">
        <f>IF(OR(Q38="Importante",Q38="Intolerable"),"Sí","No")</f>
        <v/>
      </c>
      <c r="S38" s="6" t="inlineStr">
        <is>
          <t>No aplica</t>
        </is>
      </c>
      <c r="T38" s="6" t="inlineStr">
        <is>
          <t>No aplica</t>
        </is>
      </c>
      <c r="U38" s="6" t="inlineStr">
        <is>
          <t>Desquinche de taludes; banquetas</t>
        </is>
      </c>
      <c r="V38" s="6" t="inlineStr">
        <is>
          <t>Inspección de taludes después de lluvias; vigía; prohibido trabajar al pie de taludes sin evaluar</t>
        </is>
      </c>
      <c r="W38" s="6" t="inlineStr">
        <is>
          <t>Casco de seguridad con barbiquejo (ANSI Z89.1)</t>
        </is>
      </c>
      <c r="X38" s="20" t="n">
        <v>2</v>
      </c>
      <c r="Y38" s="20" t="n">
        <v>1</v>
      </c>
      <c r="Z38" s="20" t="n">
        <v>1</v>
      </c>
      <c r="AA38" s="20" t="n">
        <v>1</v>
      </c>
      <c r="AB38" s="21">
        <f>SUM(X38:AA38)</f>
        <v/>
      </c>
      <c r="AC38" s="20" t="n">
        <v>3</v>
      </c>
      <c r="AD38" s="21">
        <f>AB38*AC38</f>
        <v/>
      </c>
      <c r="AE38" s="4">
        <f>IF(AD38&lt;=4,"Trivial",IF(AD38&lt;=8,"Tolerable",IF(AD38&lt;=16,"Moderado",IF(AD38&lt;=24,"Importante","Intolerable"))))</f>
        <v/>
      </c>
      <c r="AF38" s="21">
        <f>IF(OR(AE38="Importante",AE38="Intolerable"),"Sí","No")</f>
        <v/>
      </c>
      <c r="AG38" s="6" t="inlineStr">
        <is>
          <t>PETS - Movimiento de tierras con maquinaria pesada</t>
        </is>
      </c>
      <c r="AH38" s="4" t="inlineStr">
        <is>
          <t>—</t>
        </is>
      </c>
    </row>
    <row r="39" ht="58" customHeight="1">
      <c r="A39" s="4" t="n">
        <v>34</v>
      </c>
      <c r="B39" s="6" t="inlineStr">
        <is>
          <t>Movimiento de tierras</t>
        </is>
      </c>
      <c r="C39" s="6" t="inlineStr">
        <is>
          <t>Movimiento de tierras con maquinaria (corte, terraplén, eliminación, canteras y DME)</t>
        </is>
      </c>
      <c r="D39" s="6" t="inlineStr">
        <is>
          <t>Operador de equipo, Vigía de maquinaria, Peón, Chofer</t>
        </is>
      </c>
      <c r="E39" s="4" t="inlineStr">
        <is>
          <t>R</t>
        </is>
      </c>
      <c r="F39" s="6" t="inlineStr">
        <is>
          <t>Material particulado (polvo)</t>
        </is>
      </c>
      <c r="G39" s="6" t="inlineStr">
        <is>
          <t>Inhalación de polvo y contacto con los ojos</t>
        </is>
      </c>
      <c r="H39" s="6" t="inlineStr">
        <is>
          <t>Irritación ocular, enfermedades respiratorias</t>
        </is>
      </c>
      <c r="I39" s="4" t="inlineStr">
        <is>
          <t>SO</t>
        </is>
      </c>
      <c r="J39" s="20" t="n">
        <v>2</v>
      </c>
      <c r="K39" s="20" t="n">
        <v>2</v>
      </c>
      <c r="L39" s="20" t="n">
        <v>2</v>
      </c>
      <c r="M39" s="20" t="n">
        <v>3</v>
      </c>
      <c r="N39" s="21">
        <f>SUM(J39:M39)</f>
        <v/>
      </c>
      <c r="O39" s="20" t="n">
        <v>2</v>
      </c>
      <c r="P39" s="21">
        <f>N39*O39</f>
        <v/>
      </c>
      <c r="Q39" s="4">
        <f>IF(P39&lt;=4,"Trivial",IF(P39&lt;=8,"Tolerable",IF(P39&lt;=16,"Moderado",IF(P39&lt;=24,"Importante","Intolerable"))))</f>
        <v/>
      </c>
      <c r="R39" s="21">
        <f>IF(OR(Q39="Importante",Q39="Intolerable"),"Sí","No")</f>
        <v/>
      </c>
      <c r="S39" s="6" t="inlineStr">
        <is>
          <t>No aplica</t>
        </is>
      </c>
      <c r="T39" s="6" t="inlineStr">
        <is>
          <t>No aplica</t>
        </is>
      </c>
      <c r="U39" s="6" t="inlineStr">
        <is>
          <t>Riego de vías y frentes con cisterna</t>
        </is>
      </c>
      <c r="V39" s="6" t="inlineStr">
        <is>
          <t>Ubicación del personal a barlovento; monitoreo de polvo</t>
        </is>
      </c>
      <c r="W39" s="6" t="inlineStr">
        <is>
          <t>Respirador de media cara con filtros para polvo P100 (NIOSH), lentes</t>
        </is>
      </c>
      <c r="X39" s="20" t="n">
        <v>2</v>
      </c>
      <c r="Y39" s="20" t="n">
        <v>1</v>
      </c>
      <c r="Z39" s="20" t="n">
        <v>1</v>
      </c>
      <c r="AA39" s="20" t="n">
        <v>3</v>
      </c>
      <c r="AB39" s="21">
        <f>SUM(X39:AA39)</f>
        <v/>
      </c>
      <c r="AC39" s="20" t="n">
        <v>2</v>
      </c>
      <c r="AD39" s="21">
        <f>AB39*AC39</f>
        <v/>
      </c>
      <c r="AE39" s="4">
        <f>IF(AD39&lt;=4,"Trivial",IF(AD39&lt;=8,"Tolerable",IF(AD39&lt;=16,"Moderado",IF(AD39&lt;=24,"Importante","Intolerable"))))</f>
        <v/>
      </c>
      <c r="AF39" s="21">
        <f>IF(OR(AE39="Importante",AE39="Intolerable"),"Sí","No")</f>
        <v/>
      </c>
      <c r="AG39" s="6" t="inlineStr">
        <is>
          <t>PETS - Movimiento de tierras con maquinaria pesada</t>
        </is>
      </c>
      <c r="AH39" s="4" t="inlineStr">
        <is>
          <t>—</t>
        </is>
      </c>
    </row>
    <row r="40" ht="58" customHeight="1">
      <c r="A40" s="4" t="n">
        <v>35</v>
      </c>
      <c r="B40" s="6" t="inlineStr">
        <is>
          <t>Movimiento de tierras</t>
        </is>
      </c>
      <c r="C40" s="6" t="inlineStr">
        <is>
          <t>Movimiento de tierras con maquinaria (corte, terraplén, eliminación, canteras y DME)</t>
        </is>
      </c>
      <c r="D40" s="6" t="inlineStr">
        <is>
          <t>Operador de equipo, Vigía de maquinaria, Peón, Chofer</t>
        </is>
      </c>
      <c r="E40" s="4" t="inlineStr">
        <is>
          <t>R</t>
        </is>
      </c>
      <c r="F40" s="6" t="inlineStr">
        <is>
          <t>Ruido de maquinaria y equipos</t>
        </is>
      </c>
      <c r="G40" s="6" t="inlineStr">
        <is>
          <t>Exposición a ruido mayor de 85 dB(A)</t>
        </is>
      </c>
      <c r="H40" s="6" t="inlineStr">
        <is>
          <t>Hipoacusia inducida por ruido</t>
        </is>
      </c>
      <c r="I40" s="4" t="inlineStr">
        <is>
          <t>SO</t>
        </is>
      </c>
      <c r="J40" s="20" t="n">
        <v>2</v>
      </c>
      <c r="K40" s="20" t="n">
        <v>2</v>
      </c>
      <c r="L40" s="20" t="n">
        <v>2</v>
      </c>
      <c r="M40" s="20" t="n">
        <v>3</v>
      </c>
      <c r="N40" s="21">
        <f>SUM(J40:M40)</f>
        <v/>
      </c>
      <c r="O40" s="20" t="n">
        <v>2</v>
      </c>
      <c r="P40" s="21">
        <f>N40*O40</f>
        <v/>
      </c>
      <c r="Q40" s="4">
        <f>IF(P40&lt;=4,"Trivial",IF(P40&lt;=8,"Tolerable",IF(P40&lt;=16,"Moderado",IF(P40&lt;=24,"Importante","Intolerable"))))</f>
        <v/>
      </c>
      <c r="R40" s="21">
        <f>IF(OR(Q40="Importante",Q40="Intolerable"),"Sí","No")</f>
        <v/>
      </c>
      <c r="S40" s="6" t="inlineStr">
        <is>
          <t>No aplica</t>
        </is>
      </c>
      <c r="T40" s="6" t="inlineStr">
        <is>
          <t>No aplica</t>
        </is>
      </c>
      <c r="U40" s="6" t="inlineStr">
        <is>
          <t>Equipos con silenciadores y mantenimiento al día</t>
        </is>
      </c>
      <c r="V40" s="6" t="inlineStr">
        <is>
          <t>Monitoreo de ruido; rotación del personal; señalización de uso obligatorio de protección auditiva</t>
        </is>
      </c>
      <c r="W40" s="6" t="inlineStr">
        <is>
          <t>Protector auditivo tipo tapón u orejera (ANSI S3.19)</t>
        </is>
      </c>
      <c r="X40" s="20" t="n">
        <v>2</v>
      </c>
      <c r="Y40" s="20" t="n">
        <v>1</v>
      </c>
      <c r="Z40" s="20" t="n">
        <v>1</v>
      </c>
      <c r="AA40" s="20" t="n">
        <v>3</v>
      </c>
      <c r="AB40" s="21">
        <f>SUM(X40:AA40)</f>
        <v/>
      </c>
      <c r="AC40" s="20" t="n">
        <v>2</v>
      </c>
      <c r="AD40" s="21">
        <f>AB40*AC40</f>
        <v/>
      </c>
      <c r="AE40" s="4">
        <f>IF(AD40&lt;=4,"Trivial",IF(AD40&lt;=8,"Tolerable",IF(AD40&lt;=16,"Moderado",IF(AD40&lt;=24,"Importante","Intolerable"))))</f>
        <v/>
      </c>
      <c r="AF40" s="21">
        <f>IF(OR(AE40="Importante",AE40="Intolerable"),"Sí","No")</f>
        <v/>
      </c>
      <c r="AG40" s="6" t="inlineStr">
        <is>
          <t>PETS - Movimiento de tierras con maquinaria pesada</t>
        </is>
      </c>
      <c r="AH40" s="4" t="inlineStr">
        <is>
          <t>—</t>
        </is>
      </c>
    </row>
    <row r="41" ht="58" customHeight="1">
      <c r="A41" s="4" t="n">
        <v>36</v>
      </c>
      <c r="B41" s="6" t="inlineStr">
        <is>
          <t>Movimiento de tierras</t>
        </is>
      </c>
      <c r="C41" s="6" t="inlineStr">
        <is>
          <t>Movimiento de tierras con maquinaria (corte, terraplén, eliminación, canteras y DME)</t>
        </is>
      </c>
      <c r="D41" s="6" t="inlineStr">
        <is>
          <t>Operador de equipo, Vigía de maquinaria, Peón, Chofer</t>
        </is>
      </c>
      <c r="E41" s="4" t="inlineStr">
        <is>
          <t>R</t>
        </is>
      </c>
      <c r="F41" s="6" t="inlineStr">
        <is>
          <t>Vibración de cuerpo entero en la cabina</t>
        </is>
      </c>
      <c r="G41" s="6" t="inlineStr">
        <is>
          <t>Exposición del operador a vibración</t>
        </is>
      </c>
      <c r="H41" s="6" t="inlineStr">
        <is>
          <t>Lumbalgias, trastornos de columna</t>
        </is>
      </c>
      <c r="I41" s="4" t="inlineStr">
        <is>
          <t>SO</t>
        </is>
      </c>
      <c r="J41" s="20" t="n">
        <v>2</v>
      </c>
      <c r="K41" s="20" t="n">
        <v>2</v>
      </c>
      <c r="L41" s="20" t="n">
        <v>2</v>
      </c>
      <c r="M41" s="20" t="n">
        <v>3</v>
      </c>
      <c r="N41" s="21">
        <f>SUM(J41:M41)</f>
        <v/>
      </c>
      <c r="O41" s="20" t="n">
        <v>2</v>
      </c>
      <c r="P41" s="21">
        <f>N41*O41</f>
        <v/>
      </c>
      <c r="Q41" s="4">
        <f>IF(P41&lt;=4,"Trivial",IF(P41&lt;=8,"Tolerable",IF(P41&lt;=16,"Moderado",IF(P41&lt;=24,"Importante","Intolerable"))))</f>
        <v/>
      </c>
      <c r="R41" s="21">
        <f>IF(OR(Q41="Importante",Q41="Intolerable"),"Sí","No")</f>
        <v/>
      </c>
      <c r="S41" s="6" t="inlineStr">
        <is>
          <t>No aplica</t>
        </is>
      </c>
      <c r="T41" s="6" t="inlineStr">
        <is>
          <t>No aplica</t>
        </is>
      </c>
      <c r="U41" s="6" t="inlineStr">
        <is>
          <t>Asientos con suspensión en buen estado</t>
        </is>
      </c>
      <c r="V41" s="6" t="inlineStr">
        <is>
          <t>Pausas y rotación; mantenimiento de vías de circulación</t>
        </is>
      </c>
      <c r="W41" s="6" t="inlineStr">
        <is>
          <t>No aplica</t>
        </is>
      </c>
      <c r="X41" s="20" t="n">
        <v>2</v>
      </c>
      <c r="Y41" s="20" t="n">
        <v>1</v>
      </c>
      <c r="Z41" s="20" t="n">
        <v>1</v>
      </c>
      <c r="AA41" s="20" t="n">
        <v>3</v>
      </c>
      <c r="AB41" s="21">
        <f>SUM(X41:AA41)</f>
        <v/>
      </c>
      <c r="AC41" s="20" t="n">
        <v>1</v>
      </c>
      <c r="AD41" s="21">
        <f>AB41*AC41</f>
        <v/>
      </c>
      <c r="AE41" s="4">
        <f>IF(AD41&lt;=4,"Trivial",IF(AD41&lt;=8,"Tolerable",IF(AD41&lt;=16,"Moderado",IF(AD41&lt;=24,"Importante","Intolerable"))))</f>
        <v/>
      </c>
      <c r="AF41" s="21">
        <f>IF(OR(AE41="Importante",AE41="Intolerable"),"Sí","No")</f>
        <v/>
      </c>
      <c r="AG41" s="6" t="inlineStr">
        <is>
          <t>PETS - Movimiento de tierras con maquinaria pesada</t>
        </is>
      </c>
      <c r="AH41" s="4" t="inlineStr">
        <is>
          <t>—</t>
        </is>
      </c>
    </row>
    <row r="42" ht="58" customHeight="1">
      <c r="A42" s="4" t="n">
        <v>37</v>
      </c>
      <c r="B42" s="6" t="inlineStr">
        <is>
          <t>Movimiento de tierras</t>
        </is>
      </c>
      <c r="C42" s="6" t="inlineStr">
        <is>
          <t>Corte en roca (martillo hidráulico o voladura controlada)</t>
        </is>
      </c>
      <c r="D42" s="6" t="inlineStr">
        <is>
          <t>Operador de equipo, Perforista, Disparador autorizado, Peón</t>
        </is>
      </c>
      <c r="E42" s="4" t="inlineStr">
        <is>
          <t>R</t>
        </is>
      </c>
      <c r="F42" s="6" t="inlineStr">
        <is>
          <t>Explosivos y accesorios de voladura (si el procedimiento lo requiere)</t>
        </is>
      </c>
      <c r="G42" s="6" t="inlineStr">
        <is>
          <t>Detonación prematura o proyección de rocas</t>
        </is>
      </c>
      <c r="H42" s="6" t="inlineStr">
        <is>
          <t>Politraumatismo, muerte</t>
        </is>
      </c>
      <c r="I42" s="4" t="inlineStr">
        <is>
          <t>S</t>
        </is>
      </c>
      <c r="J42" s="20" t="n">
        <v>2</v>
      </c>
      <c r="K42" s="20" t="n">
        <v>2</v>
      </c>
      <c r="L42" s="20" t="n">
        <v>2</v>
      </c>
      <c r="M42" s="20" t="n">
        <v>1</v>
      </c>
      <c r="N42" s="21">
        <f>SUM(J42:M42)</f>
        <v/>
      </c>
      <c r="O42" s="20" t="n">
        <v>3</v>
      </c>
      <c r="P42" s="21">
        <f>N42*O42</f>
        <v/>
      </c>
      <c r="Q42" s="4">
        <f>IF(P42&lt;=4,"Trivial",IF(P42&lt;=8,"Tolerable",IF(P42&lt;=16,"Moderado",IF(P42&lt;=24,"Importante","Intolerable"))))</f>
        <v/>
      </c>
      <c r="R42" s="21">
        <f>IF(OR(Q42="Importante",Q42="Intolerable"),"Sí","No")</f>
        <v/>
      </c>
      <c r="S42" s="6" t="inlineStr">
        <is>
          <t>No aplica</t>
        </is>
      </c>
      <c r="T42" s="6" t="inlineStr">
        <is>
          <t>Uso de martillo hidráulico o métodos sin explosivos cuando sea factible</t>
        </is>
      </c>
      <c r="U42" s="6" t="inlineStr">
        <is>
          <t>Polvorín autorizado; mantas de voladura</t>
        </is>
      </c>
      <c r="V42" s="6" t="inlineStr">
        <is>
          <t>Licencias y autorizaciones de la SUCAMEC; disparador autorizado; PETAR; evacuación y cierre de vía en un radio de 500 m</t>
        </is>
      </c>
      <c r="W42" s="6" t="inlineStr">
        <is>
          <t>Protector auditivo tipo tapón u orejera (ANSI S3.19)</t>
        </is>
      </c>
      <c r="X42" s="20" t="n">
        <v>2</v>
      </c>
      <c r="Y42" s="20" t="n">
        <v>1</v>
      </c>
      <c r="Z42" s="20" t="n">
        <v>1</v>
      </c>
      <c r="AA42" s="20" t="n">
        <v>1</v>
      </c>
      <c r="AB42" s="21">
        <f>SUM(X42:AA42)</f>
        <v/>
      </c>
      <c r="AC42" s="20" t="n">
        <v>3</v>
      </c>
      <c r="AD42" s="21">
        <f>AB42*AC42</f>
        <v/>
      </c>
      <c r="AE42" s="4">
        <f>IF(AD42&lt;=4,"Trivial",IF(AD42&lt;=8,"Tolerable",IF(AD42&lt;=16,"Moderado",IF(AD42&lt;=24,"Importante","Intolerable"))))</f>
        <v/>
      </c>
      <c r="AF42" s="21">
        <f>IF(OR(AE42="Importante",AE42="Intolerable"),"Sí","No")</f>
        <v/>
      </c>
      <c r="AG42" s="6" t="inlineStr">
        <is>
          <t>PETS - Corte en roca y voladura controlada</t>
        </is>
      </c>
      <c r="AH42" s="4" t="inlineStr">
        <is>
          <t>Uso de explosivos</t>
        </is>
      </c>
    </row>
    <row r="43" ht="58" customHeight="1">
      <c r="A43" s="4" t="n">
        <v>38</v>
      </c>
      <c r="B43" s="6" t="inlineStr">
        <is>
          <t>Movimiento de tierras</t>
        </is>
      </c>
      <c r="C43" s="6" t="inlineStr">
        <is>
          <t>Corte en roca (martillo hidráulico o voladura controlada)</t>
        </is>
      </c>
      <c r="D43" s="6" t="inlineStr">
        <is>
          <t>Operador de equipo, Perforista, Disparador autorizado, Peón</t>
        </is>
      </c>
      <c r="E43" s="4" t="inlineStr">
        <is>
          <t>R</t>
        </is>
      </c>
      <c r="F43" s="6" t="inlineStr">
        <is>
          <t>Ruido de maquinaria y equipos</t>
        </is>
      </c>
      <c r="G43" s="6" t="inlineStr">
        <is>
          <t>Exposición a ruido mayor de 85 dB(A)</t>
        </is>
      </c>
      <c r="H43" s="6" t="inlineStr">
        <is>
          <t>Hipoacusia inducida por ruido</t>
        </is>
      </c>
      <c r="I43" s="4" t="inlineStr">
        <is>
          <t>SO</t>
        </is>
      </c>
      <c r="J43" s="20" t="n">
        <v>2</v>
      </c>
      <c r="K43" s="20" t="n">
        <v>2</v>
      </c>
      <c r="L43" s="20" t="n">
        <v>2</v>
      </c>
      <c r="M43" s="20" t="n">
        <v>3</v>
      </c>
      <c r="N43" s="21">
        <f>SUM(J43:M43)</f>
        <v/>
      </c>
      <c r="O43" s="20" t="n">
        <v>2</v>
      </c>
      <c r="P43" s="21">
        <f>N43*O43</f>
        <v/>
      </c>
      <c r="Q43" s="4">
        <f>IF(P43&lt;=4,"Trivial",IF(P43&lt;=8,"Tolerable",IF(P43&lt;=16,"Moderado",IF(P43&lt;=24,"Importante","Intolerable"))))</f>
        <v/>
      </c>
      <c r="R43" s="21">
        <f>IF(OR(Q43="Importante",Q43="Intolerable"),"Sí","No")</f>
        <v/>
      </c>
      <c r="S43" s="6" t="inlineStr">
        <is>
          <t>No aplica</t>
        </is>
      </c>
      <c r="T43" s="6" t="inlineStr">
        <is>
          <t>No aplica</t>
        </is>
      </c>
      <c r="U43" s="6" t="inlineStr">
        <is>
          <t>Equipos con silenciadores y mantenimiento al día</t>
        </is>
      </c>
      <c r="V43" s="6" t="inlineStr">
        <is>
          <t>Monitoreo de ruido; rotación del personal; señalización de uso obligatorio de protección auditiva</t>
        </is>
      </c>
      <c r="W43" s="6" t="inlineStr">
        <is>
          <t>Protector auditivo tipo tapón u orejera (ANSI S3.19)</t>
        </is>
      </c>
      <c r="X43" s="20" t="n">
        <v>2</v>
      </c>
      <c r="Y43" s="20" t="n">
        <v>1</v>
      </c>
      <c r="Z43" s="20" t="n">
        <v>1</v>
      </c>
      <c r="AA43" s="20" t="n">
        <v>3</v>
      </c>
      <c r="AB43" s="21">
        <f>SUM(X43:AA43)</f>
        <v/>
      </c>
      <c r="AC43" s="20" t="n">
        <v>2</v>
      </c>
      <c r="AD43" s="21">
        <f>AB43*AC43</f>
        <v/>
      </c>
      <c r="AE43" s="4">
        <f>IF(AD43&lt;=4,"Trivial",IF(AD43&lt;=8,"Tolerable",IF(AD43&lt;=16,"Moderado",IF(AD43&lt;=24,"Importante","Intolerable"))))</f>
        <v/>
      </c>
      <c r="AF43" s="21">
        <f>IF(OR(AE43="Importante",AE43="Intolerable"),"Sí","No")</f>
        <v/>
      </c>
      <c r="AG43" s="6" t="inlineStr">
        <is>
          <t>PETS - Corte en roca y voladura controlada</t>
        </is>
      </c>
      <c r="AH43" s="4" t="inlineStr">
        <is>
          <t>Uso de explosivos</t>
        </is>
      </c>
    </row>
    <row r="44" ht="58" customHeight="1">
      <c r="A44" s="4" t="n">
        <v>39</v>
      </c>
      <c r="B44" s="6" t="inlineStr">
        <is>
          <t>Movimiento de tierras</t>
        </is>
      </c>
      <c r="C44" s="6" t="inlineStr">
        <is>
          <t>Corte en roca (martillo hidráulico o voladura controlada)</t>
        </is>
      </c>
      <c r="D44" s="6" t="inlineStr">
        <is>
          <t>Operador de equipo, Perforista, Disparador autorizado, Peón</t>
        </is>
      </c>
      <c r="E44" s="4" t="inlineStr">
        <is>
          <t>R</t>
        </is>
      </c>
      <c r="F44" s="6" t="inlineStr">
        <is>
          <t>Material particulado (polvo)</t>
        </is>
      </c>
      <c r="G44" s="6" t="inlineStr">
        <is>
          <t>Inhalación de polvo y contacto con los ojos</t>
        </is>
      </c>
      <c r="H44" s="6" t="inlineStr">
        <is>
          <t>Irritación ocular, enfermedades respiratorias</t>
        </is>
      </c>
      <c r="I44" s="4" t="inlineStr">
        <is>
          <t>SO</t>
        </is>
      </c>
      <c r="J44" s="20" t="n">
        <v>2</v>
      </c>
      <c r="K44" s="20" t="n">
        <v>2</v>
      </c>
      <c r="L44" s="20" t="n">
        <v>2</v>
      </c>
      <c r="M44" s="20" t="n">
        <v>3</v>
      </c>
      <c r="N44" s="21">
        <f>SUM(J44:M44)</f>
        <v/>
      </c>
      <c r="O44" s="20" t="n">
        <v>2</v>
      </c>
      <c r="P44" s="21">
        <f>N44*O44</f>
        <v/>
      </c>
      <c r="Q44" s="4">
        <f>IF(P44&lt;=4,"Trivial",IF(P44&lt;=8,"Tolerable",IF(P44&lt;=16,"Moderado",IF(P44&lt;=24,"Importante","Intolerable"))))</f>
        <v/>
      </c>
      <c r="R44" s="21">
        <f>IF(OR(Q44="Importante",Q44="Intolerable"),"Sí","No")</f>
        <v/>
      </c>
      <c r="S44" s="6" t="inlineStr">
        <is>
          <t>No aplica</t>
        </is>
      </c>
      <c r="T44" s="6" t="inlineStr">
        <is>
          <t>No aplica</t>
        </is>
      </c>
      <c r="U44" s="6" t="inlineStr">
        <is>
          <t>Riego de vías y frentes con cisterna</t>
        </is>
      </c>
      <c r="V44" s="6" t="inlineStr">
        <is>
          <t>Ubicación del personal a barlovento; monitoreo de polvo</t>
        </is>
      </c>
      <c r="W44" s="6" t="inlineStr">
        <is>
          <t>Respirador de media cara con filtros para polvo P100 (NIOSH), lentes</t>
        </is>
      </c>
      <c r="X44" s="20" t="n">
        <v>2</v>
      </c>
      <c r="Y44" s="20" t="n">
        <v>1</v>
      </c>
      <c r="Z44" s="20" t="n">
        <v>1</v>
      </c>
      <c r="AA44" s="20" t="n">
        <v>3</v>
      </c>
      <c r="AB44" s="21">
        <f>SUM(X44:AA44)</f>
        <v/>
      </c>
      <c r="AC44" s="20" t="n">
        <v>2</v>
      </c>
      <c r="AD44" s="21">
        <f>AB44*AC44</f>
        <v/>
      </c>
      <c r="AE44" s="4">
        <f>IF(AD44&lt;=4,"Trivial",IF(AD44&lt;=8,"Tolerable",IF(AD44&lt;=16,"Moderado",IF(AD44&lt;=24,"Importante","Intolerable"))))</f>
        <v/>
      </c>
      <c r="AF44" s="21">
        <f>IF(OR(AE44="Importante",AE44="Intolerable"),"Sí","No")</f>
        <v/>
      </c>
      <c r="AG44" s="6" t="inlineStr">
        <is>
          <t>PETS - Corte en roca y voladura controlada</t>
        </is>
      </c>
      <c r="AH44" s="4" t="inlineStr">
        <is>
          <t>Uso de explosivos</t>
        </is>
      </c>
    </row>
    <row r="45" ht="58" customHeight="1">
      <c r="A45" s="4" t="n">
        <v>40</v>
      </c>
      <c r="B45" s="6" t="inlineStr">
        <is>
          <t>Movimiento de tierras</t>
        </is>
      </c>
      <c r="C45" s="6" t="inlineStr">
        <is>
          <t>Corte en roca (martillo hidráulico o voladura controlada)</t>
        </is>
      </c>
      <c r="D45" s="6" t="inlineStr">
        <is>
          <t>Operador de equipo, Perforista, Disparador autorizado, Peón</t>
        </is>
      </c>
      <c r="E45" s="4" t="inlineStr">
        <is>
          <t>R</t>
        </is>
      </c>
      <c r="F45" s="6" t="inlineStr">
        <is>
          <t>Maquinaria pesada en movimiento</t>
        </is>
      </c>
      <c r="G45" s="6" t="inlineStr">
        <is>
          <t>Atropello o golpe por maquinaria (retroceso, giro)</t>
        </is>
      </c>
      <c r="H45" s="6" t="inlineStr">
        <is>
          <t>Aplastamiento, fracturas, muerte</t>
        </is>
      </c>
      <c r="I45" s="4" t="inlineStr">
        <is>
          <t>S</t>
        </is>
      </c>
      <c r="J45" s="20" t="n">
        <v>2</v>
      </c>
      <c r="K45" s="20" t="n">
        <v>2</v>
      </c>
      <c r="L45" s="20" t="n">
        <v>2</v>
      </c>
      <c r="M45" s="20" t="n">
        <v>3</v>
      </c>
      <c r="N45" s="21">
        <f>SUM(J45:M45)</f>
        <v/>
      </c>
      <c r="O45" s="20" t="n">
        <v>3</v>
      </c>
      <c r="P45" s="21">
        <f>N45*O45</f>
        <v/>
      </c>
      <c r="Q45" s="4">
        <f>IF(P45&lt;=4,"Trivial",IF(P45&lt;=8,"Tolerable",IF(P45&lt;=16,"Moderado",IF(P45&lt;=24,"Importante","Intolerable"))))</f>
        <v/>
      </c>
      <c r="R45" s="21">
        <f>IF(OR(Q45="Importante",Q45="Intolerable"),"Sí","No")</f>
        <v/>
      </c>
      <c r="S45" s="6" t="inlineStr">
        <is>
          <t>No aplica</t>
        </is>
      </c>
      <c r="T45" s="6" t="inlineStr">
        <is>
          <t>No aplica</t>
        </is>
      </c>
      <c r="U45" s="6" t="inlineStr">
        <is>
          <t>Alarma de retroceso y luces en los equipos; zona de trabajo delimitada</t>
        </is>
      </c>
      <c r="V45" s="6" t="inlineStr">
        <is>
          <t>Vigía o señalero; distancia mínima al radio de giro; prohibido el ingreso de peatones al área de operación; operadores autorizados</t>
        </is>
      </c>
      <c r="W45" s="6" t="inlineStr">
        <is>
          <t>Chaleco o uniforme con cintas reflectivas (ANSI/ISEA 107)</t>
        </is>
      </c>
      <c r="X45" s="20" t="n">
        <v>2</v>
      </c>
      <c r="Y45" s="20" t="n">
        <v>1</v>
      </c>
      <c r="Z45" s="20" t="n">
        <v>1</v>
      </c>
      <c r="AA45" s="20" t="n">
        <v>1</v>
      </c>
      <c r="AB45" s="21">
        <f>SUM(X45:AA45)</f>
        <v/>
      </c>
      <c r="AC45" s="20" t="n">
        <v>3</v>
      </c>
      <c r="AD45" s="21">
        <f>AB45*AC45</f>
        <v/>
      </c>
      <c r="AE45" s="4">
        <f>IF(AD45&lt;=4,"Trivial",IF(AD45&lt;=8,"Tolerable",IF(AD45&lt;=16,"Moderado",IF(AD45&lt;=24,"Importante","Intolerable"))))</f>
        <v/>
      </c>
      <c r="AF45" s="21">
        <f>IF(OR(AE45="Importante",AE45="Intolerable"),"Sí","No")</f>
        <v/>
      </c>
      <c r="AG45" s="6" t="inlineStr">
        <is>
          <t>PETS - Corte en roca y voladura controlada</t>
        </is>
      </c>
      <c r="AH45" s="4" t="inlineStr">
        <is>
          <t>Uso de explosivos</t>
        </is>
      </c>
    </row>
    <row r="46" ht="58" customHeight="1">
      <c r="A46" s="4" t="n">
        <v>41</v>
      </c>
      <c r="B46" s="6" t="inlineStr">
        <is>
          <t>Movimiento de tierras</t>
        </is>
      </c>
      <c r="C46" s="6" t="inlineStr">
        <is>
          <t>Excavación de zanjas y para estructuras</t>
        </is>
      </c>
      <c r="D46" s="6" t="inlineStr">
        <is>
          <t>Operario, Peón, Operador de equipo</t>
        </is>
      </c>
      <c r="E46" s="4" t="inlineStr">
        <is>
          <t>R</t>
        </is>
      </c>
      <c r="F46" s="6" t="inlineStr">
        <is>
          <t>Paredes de excavación sin talud ni entibado</t>
        </is>
      </c>
      <c r="G46" s="6" t="inlineStr">
        <is>
          <t>Derrumbe y sepultamiento</t>
        </is>
      </c>
      <c r="H46" s="6" t="inlineStr">
        <is>
          <t>Asfixia, aplastamiento, muerte</t>
        </is>
      </c>
      <c r="I46" s="4" t="inlineStr">
        <is>
          <t>S</t>
        </is>
      </c>
      <c r="J46" s="20" t="n">
        <v>2</v>
      </c>
      <c r="K46" s="20" t="n">
        <v>2</v>
      </c>
      <c r="L46" s="20" t="n">
        <v>2</v>
      </c>
      <c r="M46" s="20" t="n">
        <v>3</v>
      </c>
      <c r="N46" s="21">
        <f>SUM(J46:M46)</f>
        <v/>
      </c>
      <c r="O46" s="20" t="n">
        <v>3</v>
      </c>
      <c r="P46" s="21">
        <f>N46*O46</f>
        <v/>
      </c>
      <c r="Q46" s="4">
        <f>IF(P46&lt;=4,"Trivial",IF(P46&lt;=8,"Tolerable",IF(P46&lt;=16,"Moderado",IF(P46&lt;=24,"Importante","Intolerable"))))</f>
        <v/>
      </c>
      <c r="R46" s="21">
        <f>IF(OR(Q46="Importante",Q46="Intolerable"),"Sí","No")</f>
        <v/>
      </c>
      <c r="S46" s="6" t="inlineStr">
        <is>
          <t>No aplica</t>
        </is>
      </c>
      <c r="T46" s="6" t="inlineStr">
        <is>
          <t>No aplica</t>
        </is>
      </c>
      <c r="U46" s="6" t="inlineStr">
        <is>
          <t>Talud estable o entibado en excavaciones mayores de 1.50 m; material excavado a 0.60 m del borde como mínimo</t>
        </is>
      </c>
      <c r="V46" s="6" t="inlineStr">
        <is>
          <t>PETAR de excavación; inspección diaria por persona competente; evaluación después de lluvias</t>
        </is>
      </c>
      <c r="W46" s="6" t="inlineStr">
        <is>
          <t>Casco de seguridad con barbiquejo (ANSI Z89.1)</t>
        </is>
      </c>
      <c r="X46" s="20" t="n">
        <v>2</v>
      </c>
      <c r="Y46" s="20" t="n">
        <v>1</v>
      </c>
      <c r="Z46" s="20" t="n">
        <v>1</v>
      </c>
      <c r="AA46" s="20" t="n">
        <v>1</v>
      </c>
      <c r="AB46" s="21">
        <f>SUM(X46:AA46)</f>
        <v/>
      </c>
      <c r="AC46" s="20" t="n">
        <v>3</v>
      </c>
      <c r="AD46" s="21">
        <f>AB46*AC46</f>
        <v/>
      </c>
      <c r="AE46" s="4">
        <f>IF(AD46&lt;=4,"Trivial",IF(AD46&lt;=8,"Tolerable",IF(AD46&lt;=16,"Moderado",IF(AD46&lt;=24,"Importante","Intolerable"))))</f>
        <v/>
      </c>
      <c r="AF46" s="21">
        <f>IF(OR(AE46="Importante",AE46="Intolerable"),"Sí","No")</f>
        <v/>
      </c>
      <c r="AG46" s="6" t="inlineStr">
        <is>
          <t>PETS - Excavación de zanjas y estructuras</t>
        </is>
      </c>
      <c r="AH46" s="4" t="inlineStr">
        <is>
          <t>Excavaciones y zanjas</t>
        </is>
      </c>
    </row>
    <row r="47" ht="58" customHeight="1">
      <c r="A47" s="4" t="n">
        <v>42</v>
      </c>
      <c r="B47" s="6" t="inlineStr">
        <is>
          <t>Movimiento de tierras</t>
        </is>
      </c>
      <c r="C47" s="6" t="inlineStr">
        <is>
          <t>Excavación de zanjas y para estructuras</t>
        </is>
      </c>
      <c r="D47" s="6" t="inlineStr">
        <is>
          <t>Operario, Peón, Operador de equipo</t>
        </is>
      </c>
      <c r="E47" s="4" t="inlineStr">
        <is>
          <t>R</t>
        </is>
      </c>
      <c r="F47" s="6" t="inlineStr">
        <is>
          <t>Bordes de excavación abiertos</t>
        </is>
      </c>
      <c r="G47" s="6" t="inlineStr">
        <is>
          <t>Caída de personas o equipos a la excavación</t>
        </is>
      </c>
      <c r="H47" s="6" t="inlineStr">
        <is>
          <t>Fracturas, contusiones</t>
        </is>
      </c>
      <c r="I47" s="4" t="inlineStr">
        <is>
          <t>S</t>
        </is>
      </c>
      <c r="J47" s="20" t="n">
        <v>2</v>
      </c>
      <c r="K47" s="20" t="n">
        <v>2</v>
      </c>
      <c r="L47" s="20" t="n">
        <v>2</v>
      </c>
      <c r="M47" s="20" t="n">
        <v>3</v>
      </c>
      <c r="N47" s="21">
        <f>SUM(J47:M47)</f>
        <v/>
      </c>
      <c r="O47" s="20" t="n">
        <v>2</v>
      </c>
      <c r="P47" s="21">
        <f>N47*O47</f>
        <v/>
      </c>
      <c r="Q47" s="4">
        <f>IF(P47&lt;=4,"Trivial",IF(P47&lt;=8,"Tolerable",IF(P47&lt;=16,"Moderado",IF(P47&lt;=24,"Importante","Intolerable"))))</f>
        <v/>
      </c>
      <c r="R47" s="21">
        <f>IF(OR(Q47="Importante",Q47="Intolerable"),"Sí","No")</f>
        <v/>
      </c>
      <c r="S47" s="6" t="inlineStr">
        <is>
          <t>No aplica</t>
        </is>
      </c>
      <c r="T47" s="6" t="inlineStr">
        <is>
          <t>No aplica</t>
        </is>
      </c>
      <c r="U47" s="6" t="inlineStr">
        <is>
          <t>Barandas o cinta de señalización a 1.00 m del borde; escaleras de acceso cada 15 m</t>
        </is>
      </c>
      <c r="V47" s="6" t="inlineStr">
        <is>
          <t>Pasarelas para cruzar; iluminación nocturna</t>
        </is>
      </c>
      <c r="W47" s="6" t="inlineStr">
        <is>
          <t>Calzado de seguridad con puntera (ASTM F2413)</t>
        </is>
      </c>
      <c r="X47" s="20" t="n">
        <v>2</v>
      </c>
      <c r="Y47" s="20" t="n">
        <v>1</v>
      </c>
      <c r="Z47" s="20" t="n">
        <v>1</v>
      </c>
      <c r="AA47" s="20" t="n">
        <v>3</v>
      </c>
      <c r="AB47" s="21">
        <f>SUM(X47:AA47)</f>
        <v/>
      </c>
      <c r="AC47" s="20" t="n">
        <v>1</v>
      </c>
      <c r="AD47" s="21">
        <f>AB47*AC47</f>
        <v/>
      </c>
      <c r="AE47" s="4">
        <f>IF(AD47&lt;=4,"Trivial",IF(AD47&lt;=8,"Tolerable",IF(AD47&lt;=16,"Moderado",IF(AD47&lt;=24,"Importante","Intolerable"))))</f>
        <v/>
      </c>
      <c r="AF47" s="21">
        <f>IF(OR(AE47="Importante",AE47="Intolerable"),"Sí","No")</f>
        <v/>
      </c>
      <c r="AG47" s="6" t="inlineStr">
        <is>
          <t>PETS - Excavación de zanjas y estructuras</t>
        </is>
      </c>
      <c r="AH47" s="4" t="inlineStr">
        <is>
          <t>Excavaciones y zanjas</t>
        </is>
      </c>
    </row>
    <row r="48" ht="58" customHeight="1">
      <c r="A48" s="4" t="n">
        <v>43</v>
      </c>
      <c r="B48" s="6" t="inlineStr">
        <is>
          <t>Movimiento de tierras</t>
        </is>
      </c>
      <c r="C48" s="6" t="inlineStr">
        <is>
          <t>Excavación de zanjas y para estructuras</t>
        </is>
      </c>
      <c r="D48" s="6" t="inlineStr">
        <is>
          <t>Operario, Peón, Operador de equipo</t>
        </is>
      </c>
      <c r="E48" s="4" t="inlineStr">
        <is>
          <t>R</t>
        </is>
      </c>
      <c r="F48" s="6" t="inlineStr">
        <is>
          <t>Redes enterradas de servicios (electricidad, agua, desagüe, telecomunicaciones)</t>
        </is>
      </c>
      <c r="G48" s="6" t="inlineStr">
        <is>
          <t>Contacto con cables energizados o rotura de tuberías</t>
        </is>
      </c>
      <c r="H48" s="6" t="inlineStr">
        <is>
          <t>Electrocución, inundación de la zanja</t>
        </is>
      </c>
      <c r="I48" s="4" t="inlineStr">
        <is>
          <t>S</t>
        </is>
      </c>
      <c r="J48" s="20" t="n">
        <v>2</v>
      </c>
      <c r="K48" s="20" t="n">
        <v>2</v>
      </c>
      <c r="L48" s="20" t="n">
        <v>2</v>
      </c>
      <c r="M48" s="20" t="n">
        <v>1</v>
      </c>
      <c r="N48" s="21">
        <f>SUM(J48:M48)</f>
        <v/>
      </c>
      <c r="O48" s="20" t="n">
        <v>3</v>
      </c>
      <c r="P48" s="21">
        <f>N48*O48</f>
        <v/>
      </c>
      <c r="Q48" s="4">
        <f>IF(P48&lt;=4,"Trivial",IF(P48&lt;=8,"Tolerable",IF(P48&lt;=16,"Moderado",IF(P48&lt;=24,"Importante","Intolerable"))))</f>
        <v/>
      </c>
      <c r="R48" s="21">
        <f>IF(OR(Q48="Importante",Q48="Intolerable"),"Sí","No")</f>
        <v/>
      </c>
      <c r="S48" s="6" t="inlineStr">
        <is>
          <t>No aplica</t>
        </is>
      </c>
      <c r="T48" s="6" t="inlineStr">
        <is>
          <t>No aplica</t>
        </is>
      </c>
      <c r="U48" s="6" t="inlineStr">
        <is>
          <t>Detección de redes y calicatas manuales antes de excavar</t>
        </is>
      </c>
      <c r="V48" s="6" t="inlineStr">
        <is>
          <t>Planos de interferencias; coordinación con las empresas de servicios</t>
        </is>
      </c>
      <c r="W48" s="6" t="inlineStr">
        <is>
          <t>Guantes de cuero o badana</t>
        </is>
      </c>
      <c r="X48" s="20" t="n">
        <v>2</v>
      </c>
      <c r="Y48" s="20" t="n">
        <v>1</v>
      </c>
      <c r="Z48" s="20" t="n">
        <v>1</v>
      </c>
      <c r="AA48" s="20" t="n">
        <v>1</v>
      </c>
      <c r="AB48" s="21">
        <f>SUM(X48:AA48)</f>
        <v/>
      </c>
      <c r="AC48" s="20" t="n">
        <v>2</v>
      </c>
      <c r="AD48" s="21">
        <f>AB48*AC48</f>
        <v/>
      </c>
      <c r="AE48" s="4">
        <f>IF(AD48&lt;=4,"Trivial",IF(AD48&lt;=8,"Tolerable",IF(AD48&lt;=16,"Moderado",IF(AD48&lt;=24,"Importante","Intolerable"))))</f>
        <v/>
      </c>
      <c r="AF48" s="21">
        <f>IF(OR(AE48="Importante",AE48="Intolerable"),"Sí","No")</f>
        <v/>
      </c>
      <c r="AG48" s="6" t="inlineStr">
        <is>
          <t>PETS - Excavación de zanjas y estructuras</t>
        </is>
      </c>
      <c r="AH48" s="4" t="inlineStr">
        <is>
          <t>Excavaciones y zanjas</t>
        </is>
      </c>
    </row>
    <row r="49" ht="58" customHeight="1">
      <c r="A49" s="4" t="n">
        <v>44</v>
      </c>
      <c r="B49" s="6" t="inlineStr">
        <is>
          <t>Movimiento de tierras</t>
        </is>
      </c>
      <c r="C49" s="6" t="inlineStr">
        <is>
          <t>Excavación de zanjas y para estructuras</t>
        </is>
      </c>
      <c r="D49" s="6" t="inlineStr">
        <is>
          <t>Operario, Peón, Operador de equipo</t>
        </is>
      </c>
      <c r="E49" s="4" t="inlineStr">
        <is>
          <t>R</t>
        </is>
      </c>
      <c r="F49" s="6" t="inlineStr">
        <is>
          <t>Manipulación manual de cargas</t>
        </is>
      </c>
      <c r="G49" s="6" t="inlineStr">
        <is>
          <t>Sobreesfuerzo por levantar o trasladar cargas pesadas o en mala postura</t>
        </is>
      </c>
      <c r="H49" s="6" t="inlineStr">
        <is>
          <t>Lumbalgia, hernias, lesiones musculoesqueléticas</t>
        </is>
      </c>
      <c r="I49" s="4" t="inlineStr">
        <is>
          <t>SO</t>
        </is>
      </c>
      <c r="J49" s="20" t="n">
        <v>2</v>
      </c>
      <c r="K49" s="20" t="n">
        <v>2</v>
      </c>
      <c r="L49" s="20" t="n">
        <v>2</v>
      </c>
      <c r="M49" s="20" t="n">
        <v>3</v>
      </c>
      <c r="N49" s="21">
        <f>SUM(J49:M49)</f>
        <v/>
      </c>
      <c r="O49" s="20" t="n">
        <v>2</v>
      </c>
      <c r="P49" s="21">
        <f>N49*O49</f>
        <v/>
      </c>
      <c r="Q49" s="4">
        <f>IF(P49&lt;=4,"Trivial",IF(P49&lt;=8,"Tolerable",IF(P49&lt;=16,"Moderado",IF(P49&lt;=24,"Importante","Intolerable"))))</f>
        <v/>
      </c>
      <c r="R49" s="21">
        <f>IF(OR(Q49="Importante",Q49="Intolerable"),"Sí","No")</f>
        <v/>
      </c>
      <c r="S49" s="6" t="inlineStr">
        <is>
          <t>No aplica</t>
        </is>
      </c>
      <c r="T49" s="6" t="inlineStr">
        <is>
          <t>Uso de carretillas, montacargas o equipo para cargas mayores de 25 kg</t>
        </is>
      </c>
      <c r="U49" s="6" t="inlineStr">
        <is>
          <t>Puntos de acopio cerca del frente de trabajo</t>
        </is>
      </c>
      <c r="V49" s="6" t="inlineStr">
        <is>
          <t>Capacitación en levantamiento seguro (R.M. N.° 375-2008-TR); trabajo en pareja; pausas activas</t>
        </is>
      </c>
      <c r="W49" s="6" t="inlineStr">
        <is>
          <t>EPP básico; faja lumbar solo con indicación médica</t>
        </is>
      </c>
      <c r="X49" s="20" t="n">
        <v>2</v>
      </c>
      <c r="Y49" s="20" t="n">
        <v>1</v>
      </c>
      <c r="Z49" s="20" t="n">
        <v>1</v>
      </c>
      <c r="AA49" s="20" t="n">
        <v>3</v>
      </c>
      <c r="AB49" s="21">
        <f>SUM(X49:AA49)</f>
        <v/>
      </c>
      <c r="AC49" s="20" t="n">
        <v>1</v>
      </c>
      <c r="AD49" s="21">
        <f>AB49*AC49</f>
        <v/>
      </c>
      <c r="AE49" s="4">
        <f>IF(AD49&lt;=4,"Trivial",IF(AD49&lt;=8,"Tolerable",IF(AD49&lt;=16,"Moderado",IF(AD49&lt;=24,"Importante","Intolerable"))))</f>
        <v/>
      </c>
      <c r="AF49" s="21">
        <f>IF(OR(AE49="Importante",AE49="Intolerable"),"Sí","No")</f>
        <v/>
      </c>
      <c r="AG49" s="6" t="inlineStr">
        <is>
          <t>PETS - Excavación de zanjas y estructuras</t>
        </is>
      </c>
      <c r="AH49" s="4" t="inlineStr">
        <is>
          <t>Excavaciones y zanjas</t>
        </is>
      </c>
    </row>
    <row r="50" ht="58" customHeight="1">
      <c r="A50" s="4" t="n">
        <v>45</v>
      </c>
      <c r="B50" s="6" t="inlineStr">
        <is>
          <t>Movimiento de tierras</t>
        </is>
      </c>
      <c r="C50" s="6" t="inlineStr">
        <is>
          <t>Excavación de zanjas y para estructuras</t>
        </is>
      </c>
      <c r="D50" s="6" t="inlineStr">
        <is>
          <t>Operario, Peón, Operador de equipo</t>
        </is>
      </c>
      <c r="E50" s="4" t="inlineStr">
        <is>
          <t>R</t>
        </is>
      </c>
      <c r="F50" s="6" t="inlineStr">
        <is>
          <t>Herramientas manuales</t>
        </is>
      </c>
      <c r="G50" s="6" t="inlineStr">
        <is>
          <t>Golpes, cortes o atrapamiento al usar herramientas</t>
        </is>
      </c>
      <c r="H50" s="6" t="inlineStr">
        <is>
          <t>Contusiones, cortes, fracturas de dedos</t>
        </is>
      </c>
      <c r="I50" s="4" t="inlineStr">
        <is>
          <t>S</t>
        </is>
      </c>
      <c r="J50" s="20" t="n">
        <v>2</v>
      </c>
      <c r="K50" s="20" t="n">
        <v>2</v>
      </c>
      <c r="L50" s="20" t="n">
        <v>2</v>
      </c>
      <c r="M50" s="20" t="n">
        <v>3</v>
      </c>
      <c r="N50" s="21">
        <f>SUM(J50:M50)</f>
        <v/>
      </c>
      <c r="O50" s="20" t="n">
        <v>2</v>
      </c>
      <c r="P50" s="21">
        <f>N50*O50</f>
        <v/>
      </c>
      <c r="Q50" s="4">
        <f>IF(P50&lt;=4,"Trivial",IF(P50&lt;=8,"Tolerable",IF(P50&lt;=16,"Moderado",IF(P50&lt;=24,"Importante","Intolerable"))))</f>
        <v/>
      </c>
      <c r="R50" s="21">
        <f>IF(OR(Q50="Importante",Q50="Intolerable"),"Sí","No")</f>
        <v/>
      </c>
      <c r="S50" s="6" t="inlineStr">
        <is>
          <t>No aplica</t>
        </is>
      </c>
      <c r="T50" s="6" t="inlineStr">
        <is>
          <t>No aplica</t>
        </is>
      </c>
      <c r="U50" s="6" t="inlineStr">
        <is>
          <t>Herramientas con mangos y guardas en buen estado</t>
        </is>
      </c>
      <c r="V50" s="6" t="inlineStr">
        <is>
          <t>Inspección de herramientas con cinta de color del mes; retiro de las defectuosas; ATS diario</t>
        </is>
      </c>
      <c r="W50" s="6" t="inlineStr">
        <is>
          <t>Guantes de cuero o badana, lentes de seguridad</t>
        </is>
      </c>
      <c r="X50" s="20" t="n">
        <v>2</v>
      </c>
      <c r="Y50" s="20" t="n">
        <v>1</v>
      </c>
      <c r="Z50" s="20" t="n">
        <v>1</v>
      </c>
      <c r="AA50" s="20" t="n">
        <v>3</v>
      </c>
      <c r="AB50" s="21">
        <f>SUM(X50:AA50)</f>
        <v/>
      </c>
      <c r="AC50" s="20" t="n">
        <v>1</v>
      </c>
      <c r="AD50" s="21">
        <f>AB50*AC50</f>
        <v/>
      </c>
      <c r="AE50" s="4">
        <f>IF(AD50&lt;=4,"Trivial",IF(AD50&lt;=8,"Tolerable",IF(AD50&lt;=16,"Moderado",IF(AD50&lt;=24,"Importante","Intolerable"))))</f>
        <v/>
      </c>
      <c r="AF50" s="21">
        <f>IF(OR(AE50="Importante",AE50="Intolerable"),"Sí","No")</f>
        <v/>
      </c>
      <c r="AG50" s="6" t="inlineStr">
        <is>
          <t>PETS - Excavación de zanjas y estructuras</t>
        </is>
      </c>
      <c r="AH50" s="4" t="inlineStr">
        <is>
          <t>Excavaciones y zanjas</t>
        </is>
      </c>
    </row>
    <row r="51" ht="58" customHeight="1">
      <c r="A51" s="4" t="n">
        <v>46</v>
      </c>
      <c r="B51" s="6" t="inlineStr">
        <is>
          <t>Movimiento de tierras</t>
        </is>
      </c>
      <c r="C51" s="6" t="inlineStr">
        <is>
          <t>Trabajos en cauces, excavación bajo agua y encauzamiento</t>
        </is>
      </c>
      <c r="D51" s="6" t="inlineStr">
        <is>
          <t>Operario, Peón, Operador de equipo</t>
        </is>
      </c>
      <c r="E51" s="4" t="inlineStr">
        <is>
          <t>R</t>
        </is>
      </c>
      <c r="F51" s="6" t="inlineStr">
        <is>
          <t>Cauces de ríos y quebradas</t>
        </is>
      </c>
      <c r="G51" s="6" t="inlineStr">
        <is>
          <t>Caída al agua y arrastre por la corriente</t>
        </is>
      </c>
      <c r="H51" s="6" t="inlineStr">
        <is>
          <t>Ahogamiento, muerte</t>
        </is>
      </c>
      <c r="I51" s="4" t="inlineStr">
        <is>
          <t>S</t>
        </is>
      </c>
      <c r="J51" s="20" t="n">
        <v>2</v>
      </c>
      <c r="K51" s="20" t="n">
        <v>2</v>
      </c>
      <c r="L51" s="20" t="n">
        <v>2</v>
      </c>
      <c r="M51" s="20" t="n">
        <v>2</v>
      </c>
      <c r="N51" s="21">
        <f>SUM(J51:M51)</f>
        <v/>
      </c>
      <c r="O51" s="20" t="n">
        <v>3</v>
      </c>
      <c r="P51" s="21">
        <f>N51*O51</f>
        <v/>
      </c>
      <c r="Q51" s="4">
        <f>IF(P51&lt;=4,"Trivial",IF(P51&lt;=8,"Tolerable",IF(P51&lt;=16,"Moderado",IF(P51&lt;=24,"Importante","Intolerable"))))</f>
        <v/>
      </c>
      <c r="R51" s="21">
        <f>IF(OR(Q51="Importante",Q51="Intolerable"),"Sí","No")</f>
        <v/>
      </c>
      <c r="S51" s="6" t="inlineStr">
        <is>
          <t>No aplica</t>
        </is>
      </c>
      <c r="T51" s="6" t="inlineStr">
        <is>
          <t>No aplica</t>
        </is>
      </c>
      <c r="U51" s="6" t="inlineStr">
        <is>
          <t>Atagüías y desvíos; cuerdas de vida y aros salvavidas en la orilla</t>
        </is>
      </c>
      <c r="V51" s="6" t="inlineStr">
        <is>
          <t>PETAR; trabajo en parejas; vigía en la orilla</t>
        </is>
      </c>
      <c r="W51" s="6" t="inlineStr">
        <is>
          <t>Chaleco salvavidas</t>
        </is>
      </c>
      <c r="X51" s="20" t="n">
        <v>2</v>
      </c>
      <c r="Y51" s="20" t="n">
        <v>1</v>
      </c>
      <c r="Z51" s="20" t="n">
        <v>1</v>
      </c>
      <c r="AA51" s="20" t="n">
        <v>2</v>
      </c>
      <c r="AB51" s="21">
        <f>SUM(X51:AA51)</f>
        <v/>
      </c>
      <c r="AC51" s="20" t="n">
        <v>2</v>
      </c>
      <c r="AD51" s="21">
        <f>AB51*AC51</f>
        <v/>
      </c>
      <c r="AE51" s="4">
        <f>IF(AD51&lt;=4,"Trivial",IF(AD51&lt;=8,"Tolerable",IF(AD51&lt;=16,"Moderado",IF(AD51&lt;=24,"Importante","Intolerable"))))</f>
        <v/>
      </c>
      <c r="AF51" s="21">
        <f>IF(OR(AE51="Importante",AE51="Intolerable"),"Sí","No")</f>
        <v/>
      </c>
      <c r="AG51" s="6" t="inlineStr">
        <is>
          <t>PETS - Trabajos en cauces y bajo agua</t>
        </is>
      </c>
      <c r="AH51" s="4" t="inlineStr">
        <is>
          <t>Trabajos en cauces, sobre agua o con riesgo de ahogamiento</t>
        </is>
      </c>
    </row>
    <row r="52" ht="58" customHeight="1">
      <c r="A52" s="4" t="n">
        <v>47</v>
      </c>
      <c r="B52" s="6" t="inlineStr">
        <is>
          <t>Movimiento de tierras</t>
        </is>
      </c>
      <c r="C52" s="6" t="inlineStr">
        <is>
          <t>Trabajos en cauces, excavación bajo agua y encauzamiento</t>
        </is>
      </c>
      <c r="D52" s="6" t="inlineStr">
        <is>
          <t>Operario, Peón, Operador de equipo</t>
        </is>
      </c>
      <c r="E52" s="4" t="inlineStr">
        <is>
          <t>R</t>
        </is>
      </c>
      <c r="F52" s="6" t="inlineStr">
        <is>
          <t>Crecida súbita del cauce</t>
        </is>
      </c>
      <c r="G52" s="6" t="inlineStr">
        <is>
          <t>Inundación del área de trabajo</t>
        </is>
      </c>
      <c r="H52" s="6" t="inlineStr">
        <is>
          <t>Ahogamiento, pérdida de equipos</t>
        </is>
      </c>
      <c r="I52" s="4" t="inlineStr">
        <is>
          <t>S</t>
        </is>
      </c>
      <c r="J52" s="20" t="n">
        <v>2</v>
      </c>
      <c r="K52" s="20" t="n">
        <v>2</v>
      </c>
      <c r="L52" s="20" t="n">
        <v>2</v>
      </c>
      <c r="M52" s="20" t="n">
        <v>2</v>
      </c>
      <c r="N52" s="21">
        <f>SUM(J52:M52)</f>
        <v/>
      </c>
      <c r="O52" s="20" t="n">
        <v>3</v>
      </c>
      <c r="P52" s="21">
        <f>N52*O52</f>
        <v/>
      </c>
      <c r="Q52" s="4">
        <f>IF(P52&lt;=4,"Trivial",IF(P52&lt;=8,"Tolerable",IF(P52&lt;=16,"Moderado",IF(P52&lt;=24,"Importante","Intolerable"))))</f>
        <v/>
      </c>
      <c r="R52" s="21">
        <f>IF(OR(Q52="Importante",Q52="Intolerable"),"Sí","No")</f>
        <v/>
      </c>
      <c r="S52" s="6" t="inlineStr">
        <is>
          <t>No aplica</t>
        </is>
      </c>
      <c r="T52" s="6" t="inlineStr">
        <is>
          <t>No aplica</t>
        </is>
      </c>
      <c r="U52" s="6" t="inlineStr">
        <is>
          <t>Ubicación de equipos y materiales fuera del nivel de crecida</t>
        </is>
      </c>
      <c r="V52" s="6" t="inlineStr">
        <is>
          <t>Alerta temprana con observador aguas arriba y pronóstico del SENAMHI; evacuación</t>
        </is>
      </c>
      <c r="W52" s="6" t="inlineStr">
        <is>
          <t>No aplica</t>
        </is>
      </c>
      <c r="X52" s="20" t="n">
        <v>2</v>
      </c>
      <c r="Y52" s="20" t="n">
        <v>1</v>
      </c>
      <c r="Z52" s="20" t="n">
        <v>1</v>
      </c>
      <c r="AA52" s="20" t="n">
        <v>1</v>
      </c>
      <c r="AB52" s="21">
        <f>SUM(X52:AA52)</f>
        <v/>
      </c>
      <c r="AC52" s="20" t="n">
        <v>3</v>
      </c>
      <c r="AD52" s="21">
        <f>AB52*AC52</f>
        <v/>
      </c>
      <c r="AE52" s="4">
        <f>IF(AD52&lt;=4,"Trivial",IF(AD52&lt;=8,"Tolerable",IF(AD52&lt;=16,"Moderado",IF(AD52&lt;=24,"Importante","Intolerable"))))</f>
        <v/>
      </c>
      <c r="AF52" s="21">
        <f>IF(OR(AE52="Importante",AE52="Intolerable"),"Sí","No")</f>
        <v/>
      </c>
      <c r="AG52" s="6" t="inlineStr">
        <is>
          <t>PETS - Trabajos en cauces y bajo agua</t>
        </is>
      </c>
      <c r="AH52" s="4" t="inlineStr">
        <is>
          <t>Trabajos en cauces, sobre agua o con riesgo de ahogamiento</t>
        </is>
      </c>
    </row>
    <row r="53" ht="58" customHeight="1">
      <c r="A53" s="4" t="n">
        <v>48</v>
      </c>
      <c r="B53" s="6" t="inlineStr">
        <is>
          <t>Movimiento de tierras</t>
        </is>
      </c>
      <c r="C53" s="6" t="inlineStr">
        <is>
          <t>Trabajos en cauces, excavación bajo agua y encauzamiento</t>
        </is>
      </c>
      <c r="D53" s="6" t="inlineStr">
        <is>
          <t>Operario, Peón, Operador de equipo</t>
        </is>
      </c>
      <c r="E53" s="4" t="inlineStr">
        <is>
          <t>R</t>
        </is>
      </c>
      <c r="F53" s="6" t="inlineStr">
        <is>
          <t>Motobombas de combustión</t>
        </is>
      </c>
      <c r="G53" s="6" t="inlineStr">
        <is>
          <t>Inhalación de monóxido de carbono en zanjas y pozas</t>
        </is>
      </c>
      <c r="H53" s="6" t="inlineStr">
        <is>
          <t>Intoxicación</t>
        </is>
      </c>
      <c r="I53" s="4" t="inlineStr">
        <is>
          <t>SO</t>
        </is>
      </c>
      <c r="J53" s="20" t="n">
        <v>2</v>
      </c>
      <c r="K53" s="20" t="n">
        <v>2</v>
      </c>
      <c r="L53" s="20" t="n">
        <v>2</v>
      </c>
      <c r="M53" s="20" t="n">
        <v>2</v>
      </c>
      <c r="N53" s="21">
        <f>SUM(J53:M53)</f>
        <v/>
      </c>
      <c r="O53" s="20" t="n">
        <v>3</v>
      </c>
      <c r="P53" s="21">
        <f>N53*O53</f>
        <v/>
      </c>
      <c r="Q53" s="4">
        <f>IF(P53&lt;=4,"Trivial",IF(P53&lt;=8,"Tolerable",IF(P53&lt;=16,"Moderado",IF(P53&lt;=24,"Importante","Intolerable"))))</f>
        <v/>
      </c>
      <c r="R53" s="21">
        <f>IF(OR(Q53="Importante",Q53="Intolerable"),"Sí","No")</f>
        <v/>
      </c>
      <c r="S53" s="6" t="inlineStr">
        <is>
          <t>No aplica</t>
        </is>
      </c>
      <c r="T53" s="6" t="inlineStr">
        <is>
          <t>Bombas eléctricas sumergibles con diferencial</t>
        </is>
      </c>
      <c r="U53" s="6" t="inlineStr">
        <is>
          <t>Motobombas fuera de la excavación y a sotavento</t>
        </is>
      </c>
      <c r="V53" s="6" t="inlineStr">
        <is>
          <t>Monitoreo de gases</t>
        </is>
      </c>
      <c r="W53" s="6" t="inlineStr">
        <is>
          <t>No aplica</t>
        </is>
      </c>
      <c r="X53" s="20" t="n">
        <v>2</v>
      </c>
      <c r="Y53" s="20" t="n">
        <v>1</v>
      </c>
      <c r="Z53" s="20" t="n">
        <v>1</v>
      </c>
      <c r="AA53" s="20" t="n">
        <v>2</v>
      </c>
      <c r="AB53" s="21">
        <f>SUM(X53:AA53)</f>
        <v/>
      </c>
      <c r="AC53" s="20" t="n">
        <v>2</v>
      </c>
      <c r="AD53" s="21">
        <f>AB53*AC53</f>
        <v/>
      </c>
      <c r="AE53" s="4">
        <f>IF(AD53&lt;=4,"Trivial",IF(AD53&lt;=8,"Tolerable",IF(AD53&lt;=16,"Moderado",IF(AD53&lt;=24,"Importante","Intolerable"))))</f>
        <v/>
      </c>
      <c r="AF53" s="21">
        <f>IF(OR(AE53="Importante",AE53="Intolerable"),"Sí","No")</f>
        <v/>
      </c>
      <c r="AG53" s="6" t="inlineStr">
        <is>
          <t>PETS - Trabajos en cauces y bajo agua</t>
        </is>
      </c>
      <c r="AH53" s="4" t="inlineStr">
        <is>
          <t>Trabajos en cauces, sobre agua o con riesgo de ahogamiento</t>
        </is>
      </c>
    </row>
    <row r="54" ht="58" customHeight="1">
      <c r="A54" s="4" t="n">
        <v>49</v>
      </c>
      <c r="B54" s="6" t="inlineStr">
        <is>
          <t>Movimiento de tierras</t>
        </is>
      </c>
      <c r="C54" s="6" t="inlineStr">
        <is>
          <t>Trabajos en cauces, excavación bajo agua y encauzamiento</t>
        </is>
      </c>
      <c r="D54" s="6" t="inlineStr">
        <is>
          <t>Operario, Peón, Operador de equipo</t>
        </is>
      </c>
      <c r="E54" s="4" t="inlineStr">
        <is>
          <t>R</t>
        </is>
      </c>
      <c r="F54" s="6" t="inlineStr">
        <is>
          <t>Superficies irregulares, desniveles y desorden</t>
        </is>
      </c>
      <c r="G54" s="6" t="inlineStr">
        <is>
          <t>Caída al mismo nivel por tropiezo o resbalón</t>
        </is>
      </c>
      <c r="H54" s="6" t="inlineStr">
        <is>
          <t>Contusiones, esguinces, fracturas</t>
        </is>
      </c>
      <c r="I54" s="4" t="inlineStr">
        <is>
          <t>S</t>
        </is>
      </c>
      <c r="J54" s="20" t="n">
        <v>2</v>
      </c>
      <c r="K54" s="20" t="n">
        <v>2</v>
      </c>
      <c r="L54" s="20" t="n">
        <v>2</v>
      </c>
      <c r="M54" s="20" t="n">
        <v>3</v>
      </c>
      <c r="N54" s="21">
        <f>SUM(J54:M54)</f>
        <v/>
      </c>
      <c r="O54" s="20" t="n">
        <v>2</v>
      </c>
      <c r="P54" s="21">
        <f>N54*O54</f>
        <v/>
      </c>
      <c r="Q54" s="4">
        <f>IF(P54&lt;=4,"Trivial",IF(P54&lt;=8,"Tolerable",IF(P54&lt;=16,"Moderado",IF(P54&lt;=24,"Importante","Intolerable"))))</f>
        <v/>
      </c>
      <c r="R54" s="21">
        <f>IF(OR(Q54="Importante",Q54="Intolerable"),"Sí","No")</f>
        <v/>
      </c>
      <c r="S54" s="6" t="inlineStr">
        <is>
          <t>No aplica</t>
        </is>
      </c>
      <c r="T54" s="6" t="inlineStr">
        <is>
          <t>No aplica</t>
        </is>
      </c>
      <c r="U54" s="6" t="inlineStr">
        <is>
          <t>Accesos y pasarelas habilitados</t>
        </is>
      </c>
      <c r="V54" s="6" t="inlineStr">
        <is>
          <t>Orden y limpieza diaria; señalización de desniveles</t>
        </is>
      </c>
      <c r="W54" s="6" t="inlineStr">
        <is>
          <t>Calzado de seguridad con puntera (ASTM F2413)</t>
        </is>
      </c>
      <c r="X54" s="20" t="n">
        <v>2</v>
      </c>
      <c r="Y54" s="20" t="n">
        <v>1</v>
      </c>
      <c r="Z54" s="20" t="n">
        <v>1</v>
      </c>
      <c r="AA54" s="20" t="n">
        <v>3</v>
      </c>
      <c r="AB54" s="21">
        <f>SUM(X54:AA54)</f>
        <v/>
      </c>
      <c r="AC54" s="20" t="n">
        <v>1</v>
      </c>
      <c r="AD54" s="21">
        <f>AB54*AC54</f>
        <v/>
      </c>
      <c r="AE54" s="4">
        <f>IF(AD54&lt;=4,"Trivial",IF(AD54&lt;=8,"Tolerable",IF(AD54&lt;=16,"Moderado",IF(AD54&lt;=24,"Importante","Intolerable"))))</f>
        <v/>
      </c>
      <c r="AF54" s="21">
        <f>IF(OR(AE54="Importante",AE54="Intolerable"),"Sí","No")</f>
        <v/>
      </c>
      <c r="AG54" s="6" t="inlineStr">
        <is>
          <t>PETS - Trabajos en cauces y bajo agua</t>
        </is>
      </c>
      <c r="AH54" s="4" t="inlineStr">
        <is>
          <t>Trabajos en cauces, sobre agua o con riesgo de ahogamiento</t>
        </is>
      </c>
    </row>
    <row r="55" ht="58" customHeight="1">
      <c r="A55" s="4" t="n">
        <v>50</v>
      </c>
      <c r="B55" s="6" t="inlineStr">
        <is>
          <t>Movimiento de tierras</t>
        </is>
      </c>
      <c r="C55" s="6" t="inlineStr">
        <is>
          <t>Rellenos, refine, nivelación y compactación</t>
        </is>
      </c>
      <c r="D55" s="6" t="inlineStr">
        <is>
          <t>Operario, Peón, Operador de equipo</t>
        </is>
      </c>
      <c r="E55" s="4" t="inlineStr">
        <is>
          <t>R</t>
        </is>
      </c>
      <c r="F55" s="6" t="inlineStr">
        <is>
          <t>Vibración mano-brazo</t>
        </is>
      </c>
      <c r="G55" s="6" t="inlineStr">
        <is>
          <t>Exposición a vibración de equipos manuales (compactadoras, martillos, vibradores)</t>
        </is>
      </c>
      <c r="H55" s="6" t="inlineStr">
        <is>
          <t>Trastornos vasculares y osteomusculares</t>
        </is>
      </c>
      <c r="I55" s="4" t="inlineStr">
        <is>
          <t>SO</t>
        </is>
      </c>
      <c r="J55" s="20" t="n">
        <v>2</v>
      </c>
      <c r="K55" s="20" t="n">
        <v>2</v>
      </c>
      <c r="L55" s="20" t="n">
        <v>2</v>
      </c>
      <c r="M55" s="20" t="n">
        <v>3</v>
      </c>
      <c r="N55" s="21">
        <f>SUM(J55:M55)</f>
        <v/>
      </c>
      <c r="O55" s="20" t="n">
        <v>2</v>
      </c>
      <c r="P55" s="21">
        <f>N55*O55</f>
        <v/>
      </c>
      <c r="Q55" s="4">
        <f>IF(P55&lt;=4,"Trivial",IF(P55&lt;=8,"Tolerable",IF(P55&lt;=16,"Moderado",IF(P55&lt;=24,"Importante","Intolerable"))))</f>
        <v/>
      </c>
      <c r="R55" s="21">
        <f>IF(OR(Q55="Importante",Q55="Intolerable"),"Sí","No")</f>
        <v/>
      </c>
      <c r="S55" s="6" t="inlineStr">
        <is>
          <t>No aplica</t>
        </is>
      </c>
      <c r="T55" s="6" t="inlineStr">
        <is>
          <t>Equipos con mangos antivibratorios</t>
        </is>
      </c>
      <c r="U55" s="6" t="inlineStr">
        <is>
          <t>Mantenimiento de amortiguadores</t>
        </is>
      </c>
      <c r="V55" s="6" t="inlineStr">
        <is>
          <t>Rotación del personal y pausas</t>
        </is>
      </c>
      <c r="W55" s="6" t="inlineStr">
        <is>
          <t>Guantes antivibración</t>
        </is>
      </c>
      <c r="X55" s="20" t="n">
        <v>2</v>
      </c>
      <c r="Y55" s="20" t="n">
        <v>1</v>
      </c>
      <c r="Z55" s="20" t="n">
        <v>1</v>
      </c>
      <c r="AA55" s="20" t="n">
        <v>3</v>
      </c>
      <c r="AB55" s="21">
        <f>SUM(X55:AA55)</f>
        <v/>
      </c>
      <c r="AC55" s="20" t="n">
        <v>1</v>
      </c>
      <c r="AD55" s="21">
        <f>AB55*AC55</f>
        <v/>
      </c>
      <c r="AE55" s="4">
        <f>IF(AD55&lt;=4,"Trivial",IF(AD55&lt;=8,"Tolerable",IF(AD55&lt;=16,"Moderado",IF(AD55&lt;=24,"Importante","Intolerable"))))</f>
        <v/>
      </c>
      <c r="AF55" s="21">
        <f>IF(OR(AE55="Importante",AE55="Intolerable"),"Sí","No")</f>
        <v/>
      </c>
      <c r="AG55" s="6" t="inlineStr">
        <is>
          <t>PETS - Relleno y compactación</t>
        </is>
      </c>
      <c r="AH55" s="4" t="inlineStr">
        <is>
          <t>—</t>
        </is>
      </c>
    </row>
    <row r="56" ht="58" customHeight="1">
      <c r="A56" s="4" t="n">
        <v>51</v>
      </c>
      <c r="B56" s="6" t="inlineStr">
        <is>
          <t>Movimiento de tierras</t>
        </is>
      </c>
      <c r="C56" s="6" t="inlineStr">
        <is>
          <t>Rellenos, refine, nivelación y compactación</t>
        </is>
      </c>
      <c r="D56" s="6" t="inlineStr">
        <is>
          <t>Operario, Peón, Operador de equipo</t>
        </is>
      </c>
      <c r="E56" s="4" t="inlineStr">
        <is>
          <t>R</t>
        </is>
      </c>
      <c r="F56" s="6" t="inlineStr">
        <is>
          <t>Ruido de maquinaria y equipos</t>
        </is>
      </c>
      <c r="G56" s="6" t="inlineStr">
        <is>
          <t>Exposición a ruido mayor de 85 dB(A)</t>
        </is>
      </c>
      <c r="H56" s="6" t="inlineStr">
        <is>
          <t>Hipoacusia inducida por ruido</t>
        </is>
      </c>
      <c r="I56" s="4" t="inlineStr">
        <is>
          <t>SO</t>
        </is>
      </c>
      <c r="J56" s="20" t="n">
        <v>2</v>
      </c>
      <c r="K56" s="20" t="n">
        <v>2</v>
      </c>
      <c r="L56" s="20" t="n">
        <v>2</v>
      </c>
      <c r="M56" s="20" t="n">
        <v>3</v>
      </c>
      <c r="N56" s="21">
        <f>SUM(J56:M56)</f>
        <v/>
      </c>
      <c r="O56" s="20" t="n">
        <v>2</v>
      </c>
      <c r="P56" s="21">
        <f>N56*O56</f>
        <v/>
      </c>
      <c r="Q56" s="4">
        <f>IF(P56&lt;=4,"Trivial",IF(P56&lt;=8,"Tolerable",IF(P56&lt;=16,"Moderado",IF(P56&lt;=24,"Importante","Intolerable"))))</f>
        <v/>
      </c>
      <c r="R56" s="21">
        <f>IF(OR(Q56="Importante",Q56="Intolerable"),"Sí","No")</f>
        <v/>
      </c>
      <c r="S56" s="6" t="inlineStr">
        <is>
          <t>No aplica</t>
        </is>
      </c>
      <c r="T56" s="6" t="inlineStr">
        <is>
          <t>No aplica</t>
        </is>
      </c>
      <c r="U56" s="6" t="inlineStr">
        <is>
          <t>Equipos con silenciadores y mantenimiento al día</t>
        </is>
      </c>
      <c r="V56" s="6" t="inlineStr">
        <is>
          <t>Monitoreo de ruido; rotación del personal; señalización de uso obligatorio de protección auditiva</t>
        </is>
      </c>
      <c r="W56" s="6" t="inlineStr">
        <is>
          <t>Protector auditivo tipo tapón u orejera (ANSI S3.19)</t>
        </is>
      </c>
      <c r="X56" s="20" t="n">
        <v>2</v>
      </c>
      <c r="Y56" s="20" t="n">
        <v>1</v>
      </c>
      <c r="Z56" s="20" t="n">
        <v>1</v>
      </c>
      <c r="AA56" s="20" t="n">
        <v>3</v>
      </c>
      <c r="AB56" s="21">
        <f>SUM(X56:AA56)</f>
        <v/>
      </c>
      <c r="AC56" s="20" t="n">
        <v>2</v>
      </c>
      <c r="AD56" s="21">
        <f>AB56*AC56</f>
        <v/>
      </c>
      <c r="AE56" s="4">
        <f>IF(AD56&lt;=4,"Trivial",IF(AD56&lt;=8,"Tolerable",IF(AD56&lt;=16,"Moderado",IF(AD56&lt;=24,"Importante","Intolerable"))))</f>
        <v/>
      </c>
      <c r="AF56" s="21">
        <f>IF(OR(AE56="Importante",AE56="Intolerable"),"Sí","No")</f>
        <v/>
      </c>
      <c r="AG56" s="6" t="inlineStr">
        <is>
          <t>PETS - Relleno y compactación</t>
        </is>
      </c>
      <c r="AH56" s="4" t="inlineStr">
        <is>
          <t>—</t>
        </is>
      </c>
    </row>
    <row r="57" ht="58" customHeight="1">
      <c r="A57" s="4" t="n">
        <v>52</v>
      </c>
      <c r="B57" s="6" t="inlineStr">
        <is>
          <t>Movimiento de tierras</t>
        </is>
      </c>
      <c r="C57" s="6" t="inlineStr">
        <is>
          <t>Rellenos, refine, nivelación y compactación</t>
        </is>
      </c>
      <c r="D57" s="6" t="inlineStr">
        <is>
          <t>Operario, Peón, Operador de equipo</t>
        </is>
      </c>
      <c r="E57" s="4" t="inlineStr">
        <is>
          <t>R</t>
        </is>
      </c>
      <c r="F57" s="6" t="inlineStr">
        <is>
          <t>Manipulación manual de cargas</t>
        </is>
      </c>
      <c r="G57" s="6" t="inlineStr">
        <is>
          <t>Sobreesfuerzo por levantar o trasladar cargas pesadas o en mala postura</t>
        </is>
      </c>
      <c r="H57" s="6" t="inlineStr">
        <is>
          <t>Lumbalgia, hernias, lesiones musculoesqueléticas</t>
        </is>
      </c>
      <c r="I57" s="4" t="inlineStr">
        <is>
          <t>SO</t>
        </is>
      </c>
      <c r="J57" s="20" t="n">
        <v>2</v>
      </c>
      <c r="K57" s="20" t="n">
        <v>2</v>
      </c>
      <c r="L57" s="20" t="n">
        <v>2</v>
      </c>
      <c r="M57" s="20" t="n">
        <v>3</v>
      </c>
      <c r="N57" s="21">
        <f>SUM(J57:M57)</f>
        <v/>
      </c>
      <c r="O57" s="20" t="n">
        <v>2</v>
      </c>
      <c r="P57" s="21">
        <f>N57*O57</f>
        <v/>
      </c>
      <c r="Q57" s="4">
        <f>IF(P57&lt;=4,"Trivial",IF(P57&lt;=8,"Tolerable",IF(P57&lt;=16,"Moderado",IF(P57&lt;=24,"Importante","Intolerable"))))</f>
        <v/>
      </c>
      <c r="R57" s="21">
        <f>IF(OR(Q57="Importante",Q57="Intolerable"),"Sí","No")</f>
        <v/>
      </c>
      <c r="S57" s="6" t="inlineStr">
        <is>
          <t>No aplica</t>
        </is>
      </c>
      <c r="T57" s="6" t="inlineStr">
        <is>
          <t>Uso de carretillas, montacargas o equipo para cargas mayores de 25 kg</t>
        </is>
      </c>
      <c r="U57" s="6" t="inlineStr">
        <is>
          <t>Puntos de acopio cerca del frente de trabajo</t>
        </is>
      </c>
      <c r="V57" s="6" t="inlineStr">
        <is>
          <t>Capacitación en levantamiento seguro (R.M. N.° 375-2008-TR); trabajo en pareja; pausas activas</t>
        </is>
      </c>
      <c r="W57" s="6" t="inlineStr">
        <is>
          <t>EPP básico; faja lumbar solo con indicación médica</t>
        </is>
      </c>
      <c r="X57" s="20" t="n">
        <v>2</v>
      </c>
      <c r="Y57" s="20" t="n">
        <v>1</v>
      </c>
      <c r="Z57" s="20" t="n">
        <v>1</v>
      </c>
      <c r="AA57" s="20" t="n">
        <v>3</v>
      </c>
      <c r="AB57" s="21">
        <f>SUM(X57:AA57)</f>
        <v/>
      </c>
      <c r="AC57" s="20" t="n">
        <v>1</v>
      </c>
      <c r="AD57" s="21">
        <f>AB57*AC57</f>
        <v/>
      </c>
      <c r="AE57" s="4">
        <f>IF(AD57&lt;=4,"Trivial",IF(AD57&lt;=8,"Tolerable",IF(AD57&lt;=16,"Moderado",IF(AD57&lt;=24,"Importante","Intolerable"))))</f>
        <v/>
      </c>
      <c r="AF57" s="21">
        <f>IF(OR(AE57="Importante",AE57="Intolerable"),"Sí","No")</f>
        <v/>
      </c>
      <c r="AG57" s="6" t="inlineStr">
        <is>
          <t>PETS - Relleno y compactación</t>
        </is>
      </c>
      <c r="AH57" s="4" t="inlineStr">
        <is>
          <t>—</t>
        </is>
      </c>
    </row>
    <row r="58" ht="58" customHeight="1">
      <c r="A58" s="4" t="n">
        <v>53</v>
      </c>
      <c r="B58" s="6" t="inlineStr">
        <is>
          <t>Movimiento de tierras</t>
        </is>
      </c>
      <c r="C58" s="6" t="inlineStr">
        <is>
          <t>Rellenos, refine, nivelación y compactación</t>
        </is>
      </c>
      <c r="D58" s="6" t="inlineStr">
        <is>
          <t>Operario, Peón, Operador de equipo</t>
        </is>
      </c>
      <c r="E58" s="4" t="inlineStr">
        <is>
          <t>R</t>
        </is>
      </c>
      <c r="F58" s="6" t="inlineStr">
        <is>
          <t>Rodillo y plancha compactadora</t>
        </is>
      </c>
      <c r="G58" s="6" t="inlineStr">
        <is>
          <t>Atrapamiento de pies o golpe por el equipo</t>
        </is>
      </c>
      <c r="H58" s="6" t="inlineStr">
        <is>
          <t>Fracturas</t>
        </is>
      </c>
      <c r="I58" s="4" t="inlineStr">
        <is>
          <t>S</t>
        </is>
      </c>
      <c r="J58" s="20" t="n">
        <v>2</v>
      </c>
      <c r="K58" s="20" t="n">
        <v>2</v>
      </c>
      <c r="L58" s="20" t="n">
        <v>2</v>
      </c>
      <c r="M58" s="20" t="n">
        <v>2</v>
      </c>
      <c r="N58" s="21">
        <f>SUM(J58:M58)</f>
        <v/>
      </c>
      <c r="O58" s="20" t="n">
        <v>2</v>
      </c>
      <c r="P58" s="21">
        <f>N58*O58</f>
        <v/>
      </c>
      <c r="Q58" s="4">
        <f>IF(P58&lt;=4,"Trivial",IF(P58&lt;=8,"Tolerable",IF(P58&lt;=16,"Moderado",IF(P58&lt;=24,"Importante","Intolerable"))))</f>
        <v/>
      </c>
      <c r="R58" s="21">
        <f>IF(OR(Q58="Importante",Q58="Intolerable"),"Sí","No")</f>
        <v/>
      </c>
      <c r="S58" s="6" t="inlineStr">
        <is>
          <t>No aplica</t>
        </is>
      </c>
      <c r="T58" s="6" t="inlineStr">
        <is>
          <t>No aplica</t>
        </is>
      </c>
      <c r="U58" s="6" t="inlineStr">
        <is>
          <t>Equipos con guardas y parada de emergencia</t>
        </is>
      </c>
      <c r="V58" s="6" t="inlineStr">
        <is>
          <t>Operador capacitado; distancia al borde de taludes</t>
        </is>
      </c>
      <c r="W58" s="6" t="inlineStr">
        <is>
          <t>Calzado de seguridad con puntera (ASTM F2413)</t>
        </is>
      </c>
      <c r="X58" s="20" t="n">
        <v>2</v>
      </c>
      <c r="Y58" s="20" t="n">
        <v>1</v>
      </c>
      <c r="Z58" s="20" t="n">
        <v>1</v>
      </c>
      <c r="AA58" s="20" t="n">
        <v>2</v>
      </c>
      <c r="AB58" s="21">
        <f>SUM(X58:AA58)</f>
        <v/>
      </c>
      <c r="AC58" s="20" t="n">
        <v>1</v>
      </c>
      <c r="AD58" s="21">
        <f>AB58*AC58</f>
        <v/>
      </c>
      <c r="AE58" s="4">
        <f>IF(AD58&lt;=4,"Trivial",IF(AD58&lt;=8,"Tolerable",IF(AD58&lt;=16,"Moderado",IF(AD58&lt;=24,"Importante","Intolerable"))))</f>
        <v/>
      </c>
      <c r="AF58" s="21">
        <f>IF(OR(AE58="Importante",AE58="Intolerable"),"Sí","No")</f>
        <v/>
      </c>
      <c r="AG58" s="6" t="inlineStr">
        <is>
          <t>PETS - Relleno y compactación</t>
        </is>
      </c>
      <c r="AH58" s="4" t="inlineStr">
        <is>
          <t>—</t>
        </is>
      </c>
    </row>
    <row r="59" ht="58" customHeight="1">
      <c r="A59" s="4" t="n">
        <v>54</v>
      </c>
      <c r="B59" s="6" t="inlineStr">
        <is>
          <t>Movimiento de tierras</t>
        </is>
      </c>
      <c r="C59" s="6" t="inlineStr">
        <is>
          <t>Geosintéticos y subdrenaje</t>
        </is>
      </c>
      <c r="D59" s="6" t="inlineStr">
        <is>
          <t>Operario, Peón</t>
        </is>
      </c>
      <c r="E59" s="4" t="inlineStr">
        <is>
          <t>R</t>
        </is>
      </c>
      <c r="F59" s="6" t="inlineStr">
        <is>
          <t>Manipulación manual de cargas</t>
        </is>
      </c>
      <c r="G59" s="6" t="inlineStr">
        <is>
          <t>Sobreesfuerzo por levantar o trasladar cargas pesadas o en mala postura</t>
        </is>
      </c>
      <c r="H59" s="6" t="inlineStr">
        <is>
          <t>Lumbalgia, hernias, lesiones musculoesqueléticas</t>
        </is>
      </c>
      <c r="I59" s="4" t="inlineStr">
        <is>
          <t>SO</t>
        </is>
      </c>
      <c r="J59" s="20" t="n">
        <v>2</v>
      </c>
      <c r="K59" s="20" t="n">
        <v>2</v>
      </c>
      <c r="L59" s="20" t="n">
        <v>2</v>
      </c>
      <c r="M59" s="20" t="n">
        <v>3</v>
      </c>
      <c r="N59" s="21">
        <f>SUM(J59:M59)</f>
        <v/>
      </c>
      <c r="O59" s="20" t="n">
        <v>2</v>
      </c>
      <c r="P59" s="21">
        <f>N59*O59</f>
        <v/>
      </c>
      <c r="Q59" s="4">
        <f>IF(P59&lt;=4,"Trivial",IF(P59&lt;=8,"Tolerable",IF(P59&lt;=16,"Moderado",IF(P59&lt;=24,"Importante","Intolerable"))))</f>
        <v/>
      </c>
      <c r="R59" s="21">
        <f>IF(OR(Q59="Importante",Q59="Intolerable"),"Sí","No")</f>
        <v/>
      </c>
      <c r="S59" s="6" t="inlineStr">
        <is>
          <t>No aplica</t>
        </is>
      </c>
      <c r="T59" s="6" t="inlineStr">
        <is>
          <t>Uso de carretillas, montacargas o equipo para cargas mayores de 25 kg</t>
        </is>
      </c>
      <c r="U59" s="6" t="inlineStr">
        <is>
          <t>Puntos de acopio cerca del frente de trabajo</t>
        </is>
      </c>
      <c r="V59" s="6" t="inlineStr">
        <is>
          <t>Capacitación en levantamiento seguro (R.M. N.° 375-2008-TR); trabajo en pareja; pausas activas</t>
        </is>
      </c>
      <c r="W59" s="6" t="inlineStr">
        <is>
          <t>EPP básico; faja lumbar solo con indicación médica</t>
        </is>
      </c>
      <c r="X59" s="20" t="n">
        <v>2</v>
      </c>
      <c r="Y59" s="20" t="n">
        <v>1</v>
      </c>
      <c r="Z59" s="20" t="n">
        <v>1</v>
      </c>
      <c r="AA59" s="20" t="n">
        <v>3</v>
      </c>
      <c r="AB59" s="21">
        <f>SUM(X59:AA59)</f>
        <v/>
      </c>
      <c r="AC59" s="20" t="n">
        <v>1</v>
      </c>
      <c r="AD59" s="21">
        <f>AB59*AC59</f>
        <v/>
      </c>
      <c r="AE59" s="4">
        <f>IF(AD59&lt;=4,"Trivial",IF(AD59&lt;=8,"Tolerable",IF(AD59&lt;=16,"Moderado",IF(AD59&lt;=24,"Importante","Intolerable"))))</f>
        <v/>
      </c>
      <c r="AF59" s="21">
        <f>IF(OR(AE59="Importante",AE59="Intolerable"),"Sí","No")</f>
        <v/>
      </c>
      <c r="AG59" s="6" t="inlineStr">
        <is>
          <t>PETS - Instalación de geosintéticos</t>
        </is>
      </c>
      <c r="AH59" s="4" t="inlineStr">
        <is>
          <t>—</t>
        </is>
      </c>
    </row>
    <row r="60" ht="58" customHeight="1">
      <c r="A60" s="4" t="n">
        <v>55</v>
      </c>
      <c r="B60" s="6" t="inlineStr">
        <is>
          <t>Movimiento de tierras</t>
        </is>
      </c>
      <c r="C60" s="6" t="inlineStr">
        <is>
          <t>Geosintéticos y subdrenaje</t>
        </is>
      </c>
      <c r="D60" s="6" t="inlineStr">
        <is>
          <t>Operario, Peón</t>
        </is>
      </c>
      <c r="E60" s="4" t="inlineStr">
        <is>
          <t>R</t>
        </is>
      </c>
      <c r="F60" s="6" t="inlineStr">
        <is>
          <t>Herramientas manuales</t>
        </is>
      </c>
      <c r="G60" s="6" t="inlineStr">
        <is>
          <t>Golpes, cortes o atrapamiento al usar herramientas</t>
        </is>
      </c>
      <c r="H60" s="6" t="inlineStr">
        <is>
          <t>Contusiones, cortes, fracturas de dedos</t>
        </is>
      </c>
      <c r="I60" s="4" t="inlineStr">
        <is>
          <t>S</t>
        </is>
      </c>
      <c r="J60" s="20" t="n">
        <v>2</v>
      </c>
      <c r="K60" s="20" t="n">
        <v>2</v>
      </c>
      <c r="L60" s="20" t="n">
        <v>2</v>
      </c>
      <c r="M60" s="20" t="n">
        <v>3</v>
      </c>
      <c r="N60" s="21">
        <f>SUM(J60:M60)</f>
        <v/>
      </c>
      <c r="O60" s="20" t="n">
        <v>2</v>
      </c>
      <c r="P60" s="21">
        <f>N60*O60</f>
        <v/>
      </c>
      <c r="Q60" s="4">
        <f>IF(P60&lt;=4,"Trivial",IF(P60&lt;=8,"Tolerable",IF(P60&lt;=16,"Moderado",IF(P60&lt;=24,"Importante","Intolerable"))))</f>
        <v/>
      </c>
      <c r="R60" s="21">
        <f>IF(OR(Q60="Importante",Q60="Intolerable"),"Sí","No")</f>
        <v/>
      </c>
      <c r="S60" s="6" t="inlineStr">
        <is>
          <t>No aplica</t>
        </is>
      </c>
      <c r="T60" s="6" t="inlineStr">
        <is>
          <t>No aplica</t>
        </is>
      </c>
      <c r="U60" s="6" t="inlineStr">
        <is>
          <t>Herramientas con mangos y guardas en buen estado</t>
        </is>
      </c>
      <c r="V60" s="6" t="inlineStr">
        <is>
          <t>Inspección de herramientas con cinta de color del mes; retiro de las defectuosas; ATS diario</t>
        </is>
      </c>
      <c r="W60" s="6" t="inlineStr">
        <is>
          <t>Guantes de cuero o badana, lentes de seguridad</t>
        </is>
      </c>
      <c r="X60" s="20" t="n">
        <v>2</v>
      </c>
      <c r="Y60" s="20" t="n">
        <v>1</v>
      </c>
      <c r="Z60" s="20" t="n">
        <v>1</v>
      </c>
      <c r="AA60" s="20" t="n">
        <v>3</v>
      </c>
      <c r="AB60" s="21">
        <f>SUM(X60:AA60)</f>
        <v/>
      </c>
      <c r="AC60" s="20" t="n">
        <v>1</v>
      </c>
      <c r="AD60" s="21">
        <f>AB60*AC60</f>
        <v/>
      </c>
      <c r="AE60" s="4">
        <f>IF(AD60&lt;=4,"Trivial",IF(AD60&lt;=8,"Tolerable",IF(AD60&lt;=16,"Moderado",IF(AD60&lt;=24,"Importante","Intolerable"))))</f>
        <v/>
      </c>
      <c r="AF60" s="21">
        <f>IF(OR(AE60="Importante",AE60="Intolerable"),"Sí","No")</f>
        <v/>
      </c>
      <c r="AG60" s="6" t="inlineStr">
        <is>
          <t>PETS - Instalación de geosintéticos</t>
        </is>
      </c>
      <c r="AH60" s="4" t="inlineStr">
        <is>
          <t>—</t>
        </is>
      </c>
    </row>
    <row r="61" ht="58" customHeight="1">
      <c r="A61" s="4" t="n">
        <v>56</v>
      </c>
      <c r="B61" s="6" t="inlineStr">
        <is>
          <t>Movimiento de tierras</t>
        </is>
      </c>
      <c r="C61" s="6" t="inlineStr">
        <is>
          <t>Geosintéticos y subdrenaje</t>
        </is>
      </c>
      <c r="D61" s="6" t="inlineStr">
        <is>
          <t>Operario, Peón</t>
        </is>
      </c>
      <c r="E61" s="4" t="inlineStr">
        <is>
          <t>R</t>
        </is>
      </c>
      <c r="F61" s="6" t="inlineStr">
        <is>
          <t>Superficies irregulares, desniveles y desorden</t>
        </is>
      </c>
      <c r="G61" s="6" t="inlineStr">
        <is>
          <t>Caída al mismo nivel por tropiezo o resbalón</t>
        </is>
      </c>
      <c r="H61" s="6" t="inlineStr">
        <is>
          <t>Contusiones, esguinces, fracturas</t>
        </is>
      </c>
      <c r="I61" s="4" t="inlineStr">
        <is>
          <t>S</t>
        </is>
      </c>
      <c r="J61" s="20" t="n">
        <v>2</v>
      </c>
      <c r="K61" s="20" t="n">
        <v>2</v>
      </c>
      <c r="L61" s="20" t="n">
        <v>2</v>
      </c>
      <c r="M61" s="20" t="n">
        <v>3</v>
      </c>
      <c r="N61" s="21">
        <f>SUM(J61:M61)</f>
        <v/>
      </c>
      <c r="O61" s="20" t="n">
        <v>2</v>
      </c>
      <c r="P61" s="21">
        <f>N61*O61</f>
        <v/>
      </c>
      <c r="Q61" s="4">
        <f>IF(P61&lt;=4,"Trivial",IF(P61&lt;=8,"Tolerable",IF(P61&lt;=16,"Moderado",IF(P61&lt;=24,"Importante","Intolerable"))))</f>
        <v/>
      </c>
      <c r="R61" s="21">
        <f>IF(OR(Q61="Importante",Q61="Intolerable"),"Sí","No")</f>
        <v/>
      </c>
      <c r="S61" s="6" t="inlineStr">
        <is>
          <t>No aplica</t>
        </is>
      </c>
      <c r="T61" s="6" t="inlineStr">
        <is>
          <t>No aplica</t>
        </is>
      </c>
      <c r="U61" s="6" t="inlineStr">
        <is>
          <t>Accesos y pasarelas habilitados</t>
        </is>
      </c>
      <c r="V61" s="6" t="inlineStr">
        <is>
          <t>Orden y limpieza diaria; señalización de desniveles</t>
        </is>
      </c>
      <c r="W61" s="6" t="inlineStr">
        <is>
          <t>Calzado de seguridad con puntera (ASTM F2413)</t>
        </is>
      </c>
      <c r="X61" s="20" t="n">
        <v>2</v>
      </c>
      <c r="Y61" s="20" t="n">
        <v>1</v>
      </c>
      <c r="Z61" s="20" t="n">
        <v>1</v>
      </c>
      <c r="AA61" s="20" t="n">
        <v>3</v>
      </c>
      <c r="AB61" s="21">
        <f>SUM(X61:AA61)</f>
        <v/>
      </c>
      <c r="AC61" s="20" t="n">
        <v>1</v>
      </c>
      <c r="AD61" s="21">
        <f>AB61*AC61</f>
        <v/>
      </c>
      <c r="AE61" s="4">
        <f>IF(AD61&lt;=4,"Trivial",IF(AD61&lt;=8,"Tolerable",IF(AD61&lt;=16,"Moderado",IF(AD61&lt;=24,"Importante","Intolerable"))))</f>
        <v/>
      </c>
      <c r="AF61" s="21">
        <f>IF(OR(AE61="Importante",AE61="Intolerable"),"Sí","No")</f>
        <v/>
      </c>
      <c r="AG61" s="6" t="inlineStr">
        <is>
          <t>PETS - Instalación de geosintéticos</t>
        </is>
      </c>
      <c r="AH61" s="4" t="inlineStr">
        <is>
          <t>—</t>
        </is>
      </c>
    </row>
    <row r="62" ht="58" customHeight="1">
      <c r="A62" s="4" t="n">
        <v>57</v>
      </c>
      <c r="B62" s="6" t="inlineStr">
        <is>
          <t>Transporte</t>
        </is>
      </c>
      <c r="C62" s="6" t="inlineStr">
        <is>
          <t>Transporte de materiales con volquetes</t>
        </is>
      </c>
      <c r="D62" s="6" t="inlineStr">
        <is>
          <t>Chofer, Operador de cargador, Vigía de maquinaria</t>
        </is>
      </c>
      <c r="E62" s="4" t="inlineStr">
        <is>
          <t>R</t>
        </is>
      </c>
      <c r="F62" s="6" t="inlineStr">
        <is>
          <t>Volquetes en vías con tránsito y pendiente</t>
        </is>
      </c>
      <c r="G62" s="6" t="inlineStr">
        <is>
          <t>Choque, despiste o volcadura del volquete</t>
        </is>
      </c>
      <c r="H62" s="6" t="inlineStr">
        <is>
          <t>Politraumatismo, muerte</t>
        </is>
      </c>
      <c r="I62" s="4" t="inlineStr">
        <is>
          <t>S</t>
        </is>
      </c>
      <c r="J62" s="20" t="n">
        <v>2</v>
      </c>
      <c r="K62" s="20" t="n">
        <v>2</v>
      </c>
      <c r="L62" s="20" t="n">
        <v>2</v>
      </c>
      <c r="M62" s="20" t="n">
        <v>3</v>
      </c>
      <c r="N62" s="21">
        <f>SUM(J62:M62)</f>
        <v/>
      </c>
      <c r="O62" s="20" t="n">
        <v>3</v>
      </c>
      <c r="P62" s="21">
        <f>N62*O62</f>
        <v/>
      </c>
      <c r="Q62" s="4">
        <f>IF(P62&lt;=4,"Trivial",IF(P62&lt;=8,"Tolerable",IF(P62&lt;=16,"Moderado",IF(P62&lt;=24,"Importante","Intolerable"))))</f>
        <v/>
      </c>
      <c r="R62" s="21">
        <f>IF(OR(Q62="Importante",Q62="Intolerable"),"Sí","No")</f>
        <v/>
      </c>
      <c r="S62" s="6" t="inlineStr">
        <is>
          <t>No aplica</t>
        </is>
      </c>
      <c r="T62" s="6" t="inlineStr">
        <is>
          <t>No aplica</t>
        </is>
      </c>
      <c r="U62" s="6" t="inlineStr">
        <is>
          <t>Volquetes con mantenimiento, alarma de retroceso y tolva con cubierta</t>
        </is>
      </c>
      <c r="V62" s="6" t="inlineStr">
        <is>
          <t>Límite de velocidad; check-list diario; choferes con licencia A-IIIb o la que corresponda</t>
        </is>
      </c>
      <c r="W62" s="6" t="inlineStr">
        <is>
          <t>Cinturón de seguridad</t>
        </is>
      </c>
      <c r="X62" s="20" t="n">
        <v>2</v>
      </c>
      <c r="Y62" s="20" t="n">
        <v>1</v>
      </c>
      <c r="Z62" s="20" t="n">
        <v>1</v>
      </c>
      <c r="AA62" s="20" t="n">
        <v>3</v>
      </c>
      <c r="AB62" s="21">
        <f>SUM(X62:AA62)</f>
        <v/>
      </c>
      <c r="AC62" s="20" t="n">
        <v>2</v>
      </c>
      <c r="AD62" s="21">
        <f>AB62*AC62</f>
        <v/>
      </c>
      <c r="AE62" s="4">
        <f>IF(AD62&lt;=4,"Trivial",IF(AD62&lt;=8,"Tolerable",IF(AD62&lt;=16,"Moderado",IF(AD62&lt;=24,"Importante","Intolerable"))))</f>
        <v/>
      </c>
      <c r="AF62" s="21">
        <f>IF(OR(AE62="Importante",AE62="Intolerable"),"Sí","No")</f>
        <v/>
      </c>
      <c r="AG62" s="6" t="inlineStr">
        <is>
          <t>PETS - Transporte de materiales en volquetes</t>
        </is>
      </c>
      <c r="AH62" s="4" t="inlineStr">
        <is>
          <t>—</t>
        </is>
      </c>
    </row>
    <row r="63" ht="58" customHeight="1">
      <c r="A63" s="4" t="n">
        <v>58</v>
      </c>
      <c r="B63" s="6" t="inlineStr">
        <is>
          <t>Transporte</t>
        </is>
      </c>
      <c r="C63" s="6" t="inlineStr">
        <is>
          <t>Transporte de materiales con volquetes</t>
        </is>
      </c>
      <c r="D63" s="6" t="inlineStr">
        <is>
          <t>Chofer, Operador de cargador, Vigía de maquinaria</t>
        </is>
      </c>
      <c r="E63" s="4" t="inlineStr">
        <is>
          <t>R</t>
        </is>
      </c>
      <c r="F63" s="6" t="inlineStr">
        <is>
          <t>Carguío con cargador frontal o excavadora</t>
        </is>
      </c>
      <c r="G63" s="6" t="inlineStr">
        <is>
          <t>Golpe por el cucharón o caída de material de la tolva</t>
        </is>
      </c>
      <c r="H63" s="6" t="inlineStr">
        <is>
          <t>Contusiones, fracturas</t>
        </is>
      </c>
      <c r="I63" s="4" t="inlineStr">
        <is>
          <t>S</t>
        </is>
      </c>
      <c r="J63" s="20" t="n">
        <v>2</v>
      </c>
      <c r="K63" s="20" t="n">
        <v>2</v>
      </c>
      <c r="L63" s="20" t="n">
        <v>2</v>
      </c>
      <c r="M63" s="20" t="n">
        <v>3</v>
      </c>
      <c r="N63" s="21">
        <f>SUM(J63:M63)</f>
        <v/>
      </c>
      <c r="O63" s="20" t="n">
        <v>2</v>
      </c>
      <c r="P63" s="21">
        <f>N63*O63</f>
        <v/>
      </c>
      <c r="Q63" s="4">
        <f>IF(P63&lt;=4,"Trivial",IF(P63&lt;=8,"Tolerable",IF(P63&lt;=16,"Moderado",IF(P63&lt;=24,"Importante","Intolerable"))))</f>
        <v/>
      </c>
      <c r="R63" s="21">
        <f>IF(OR(Q63="Importante",Q63="Intolerable"),"Sí","No")</f>
        <v/>
      </c>
      <c r="S63" s="6" t="inlineStr">
        <is>
          <t>No aplica</t>
        </is>
      </c>
      <c r="T63" s="6" t="inlineStr">
        <is>
          <t>No aplica</t>
        </is>
      </c>
      <c r="U63" s="6" t="inlineStr">
        <is>
          <t>Zona de carguío delimitada</t>
        </is>
      </c>
      <c r="V63" s="6" t="inlineStr">
        <is>
          <t>Chofer dentro de la cabina durante el carguío; vigía</t>
        </is>
      </c>
      <c r="W63" s="6" t="inlineStr">
        <is>
          <t>Casco de seguridad con barbiquejo (ANSI Z89.1)</t>
        </is>
      </c>
      <c r="X63" s="20" t="n">
        <v>2</v>
      </c>
      <c r="Y63" s="20" t="n">
        <v>1</v>
      </c>
      <c r="Z63" s="20" t="n">
        <v>1</v>
      </c>
      <c r="AA63" s="20" t="n">
        <v>3</v>
      </c>
      <c r="AB63" s="21">
        <f>SUM(X63:AA63)</f>
        <v/>
      </c>
      <c r="AC63" s="20" t="n">
        <v>1</v>
      </c>
      <c r="AD63" s="21">
        <f>AB63*AC63</f>
        <v/>
      </c>
      <c r="AE63" s="4">
        <f>IF(AD63&lt;=4,"Trivial",IF(AD63&lt;=8,"Tolerable",IF(AD63&lt;=16,"Moderado",IF(AD63&lt;=24,"Importante","Intolerable"))))</f>
        <v/>
      </c>
      <c r="AF63" s="21">
        <f>IF(OR(AE63="Importante",AE63="Intolerable"),"Sí","No")</f>
        <v/>
      </c>
      <c r="AG63" s="6" t="inlineStr">
        <is>
          <t>PETS - Transporte de materiales en volquetes</t>
        </is>
      </c>
      <c r="AH63" s="4" t="inlineStr">
        <is>
          <t>—</t>
        </is>
      </c>
    </row>
    <row r="64" ht="58" customHeight="1">
      <c r="A64" s="4" t="n">
        <v>59</v>
      </c>
      <c r="B64" s="6" t="inlineStr">
        <is>
          <t>Transporte</t>
        </is>
      </c>
      <c r="C64" s="6" t="inlineStr">
        <is>
          <t>Transporte de materiales con volquetes</t>
        </is>
      </c>
      <c r="D64" s="6" t="inlineStr">
        <is>
          <t>Chofer, Operador de cargador, Vigía de maquinaria</t>
        </is>
      </c>
      <c r="E64" s="4" t="inlineStr">
        <is>
          <t>R</t>
        </is>
      </c>
      <c r="F64" s="6" t="inlineStr">
        <is>
          <t>Material particulado (polvo)</t>
        </is>
      </c>
      <c r="G64" s="6" t="inlineStr">
        <is>
          <t>Inhalación de polvo y contacto con los ojos</t>
        </is>
      </c>
      <c r="H64" s="6" t="inlineStr">
        <is>
          <t>Irritación ocular, enfermedades respiratorias</t>
        </is>
      </c>
      <c r="I64" s="4" t="inlineStr">
        <is>
          <t>SO</t>
        </is>
      </c>
      <c r="J64" s="20" t="n">
        <v>2</v>
      </c>
      <c r="K64" s="20" t="n">
        <v>2</v>
      </c>
      <c r="L64" s="20" t="n">
        <v>2</v>
      </c>
      <c r="M64" s="20" t="n">
        <v>3</v>
      </c>
      <c r="N64" s="21">
        <f>SUM(J64:M64)</f>
        <v/>
      </c>
      <c r="O64" s="20" t="n">
        <v>2</v>
      </c>
      <c r="P64" s="21">
        <f>N64*O64</f>
        <v/>
      </c>
      <c r="Q64" s="4">
        <f>IF(P64&lt;=4,"Trivial",IF(P64&lt;=8,"Tolerable",IF(P64&lt;=16,"Moderado",IF(P64&lt;=24,"Importante","Intolerable"))))</f>
        <v/>
      </c>
      <c r="R64" s="21">
        <f>IF(OR(Q64="Importante",Q64="Intolerable"),"Sí","No")</f>
        <v/>
      </c>
      <c r="S64" s="6" t="inlineStr">
        <is>
          <t>No aplica</t>
        </is>
      </c>
      <c r="T64" s="6" t="inlineStr">
        <is>
          <t>No aplica</t>
        </is>
      </c>
      <c r="U64" s="6" t="inlineStr">
        <is>
          <t>Riego de vías y frentes con cisterna</t>
        </is>
      </c>
      <c r="V64" s="6" t="inlineStr">
        <is>
          <t>Ubicación del personal a barlovento; monitoreo de polvo</t>
        </is>
      </c>
      <c r="W64" s="6" t="inlineStr">
        <is>
          <t>Respirador de media cara con filtros para polvo P100 (NIOSH), lentes</t>
        </is>
      </c>
      <c r="X64" s="20" t="n">
        <v>2</v>
      </c>
      <c r="Y64" s="20" t="n">
        <v>1</v>
      </c>
      <c r="Z64" s="20" t="n">
        <v>1</v>
      </c>
      <c r="AA64" s="20" t="n">
        <v>3</v>
      </c>
      <c r="AB64" s="21">
        <f>SUM(X64:AA64)</f>
        <v/>
      </c>
      <c r="AC64" s="20" t="n">
        <v>2</v>
      </c>
      <c r="AD64" s="21">
        <f>AB64*AC64</f>
        <v/>
      </c>
      <c r="AE64" s="4">
        <f>IF(AD64&lt;=4,"Trivial",IF(AD64&lt;=8,"Tolerable",IF(AD64&lt;=16,"Moderado",IF(AD64&lt;=24,"Importante","Intolerable"))))</f>
        <v/>
      </c>
      <c r="AF64" s="21">
        <f>IF(OR(AE64="Importante",AE64="Intolerable"),"Sí","No")</f>
        <v/>
      </c>
      <c r="AG64" s="6" t="inlineStr">
        <is>
          <t>PETS - Transporte de materiales en volquetes</t>
        </is>
      </c>
      <c r="AH64" s="4" t="inlineStr">
        <is>
          <t>—</t>
        </is>
      </c>
    </row>
    <row r="65" ht="58" customHeight="1">
      <c r="A65" s="4" t="n">
        <v>60</v>
      </c>
      <c r="B65" s="6" t="inlineStr">
        <is>
          <t>Transporte</t>
        </is>
      </c>
      <c r="C65" s="6" t="inlineStr">
        <is>
          <t>Transporte de materiales con volquetes</t>
        </is>
      </c>
      <c r="D65" s="6" t="inlineStr">
        <is>
          <t>Chofer, Operador de cargador, Vigía de maquinaria</t>
        </is>
      </c>
      <c r="E65" s="4" t="inlineStr">
        <is>
          <t>R</t>
        </is>
      </c>
      <c r="F65" s="6" t="inlineStr">
        <is>
          <t>Maquinaria pesada en movimiento</t>
        </is>
      </c>
      <c r="G65" s="6" t="inlineStr">
        <is>
          <t>Atropello o golpe por maquinaria (retroceso, giro)</t>
        </is>
      </c>
      <c r="H65" s="6" t="inlineStr">
        <is>
          <t>Aplastamiento, fracturas, muerte</t>
        </is>
      </c>
      <c r="I65" s="4" t="inlineStr">
        <is>
          <t>S</t>
        </is>
      </c>
      <c r="J65" s="20" t="n">
        <v>2</v>
      </c>
      <c r="K65" s="20" t="n">
        <v>2</v>
      </c>
      <c r="L65" s="20" t="n">
        <v>2</v>
      </c>
      <c r="M65" s="20" t="n">
        <v>3</v>
      </c>
      <c r="N65" s="21">
        <f>SUM(J65:M65)</f>
        <v/>
      </c>
      <c r="O65" s="20" t="n">
        <v>3</v>
      </c>
      <c r="P65" s="21">
        <f>N65*O65</f>
        <v/>
      </c>
      <c r="Q65" s="4">
        <f>IF(P65&lt;=4,"Trivial",IF(P65&lt;=8,"Tolerable",IF(P65&lt;=16,"Moderado",IF(P65&lt;=24,"Importante","Intolerable"))))</f>
        <v/>
      </c>
      <c r="R65" s="21">
        <f>IF(OR(Q65="Importante",Q65="Intolerable"),"Sí","No")</f>
        <v/>
      </c>
      <c r="S65" s="6" t="inlineStr">
        <is>
          <t>No aplica</t>
        </is>
      </c>
      <c r="T65" s="6" t="inlineStr">
        <is>
          <t>No aplica</t>
        </is>
      </c>
      <c r="U65" s="6" t="inlineStr">
        <is>
          <t>Alarma de retroceso y luces en los equipos; zona de trabajo delimitada</t>
        </is>
      </c>
      <c r="V65" s="6" t="inlineStr">
        <is>
          <t>Vigía o señalero; distancia mínima al radio de giro; prohibido el ingreso de peatones al área de operación; operadores autorizados</t>
        </is>
      </c>
      <c r="W65" s="6" t="inlineStr">
        <is>
          <t>Chaleco o uniforme con cintas reflectivas (ANSI/ISEA 107)</t>
        </is>
      </c>
      <c r="X65" s="20" t="n">
        <v>2</v>
      </c>
      <c r="Y65" s="20" t="n">
        <v>1</v>
      </c>
      <c r="Z65" s="20" t="n">
        <v>1</v>
      </c>
      <c r="AA65" s="20" t="n">
        <v>1</v>
      </c>
      <c r="AB65" s="21">
        <f>SUM(X65:AA65)</f>
        <v/>
      </c>
      <c r="AC65" s="20" t="n">
        <v>3</v>
      </c>
      <c r="AD65" s="21">
        <f>AB65*AC65</f>
        <v/>
      </c>
      <c r="AE65" s="4">
        <f>IF(AD65&lt;=4,"Trivial",IF(AD65&lt;=8,"Tolerable",IF(AD65&lt;=16,"Moderado",IF(AD65&lt;=24,"Importante","Intolerable"))))</f>
        <v/>
      </c>
      <c r="AF65" s="21">
        <f>IF(OR(AE65="Importante",AE65="Intolerable"),"Sí","No")</f>
        <v/>
      </c>
      <c r="AG65" s="6" t="inlineStr">
        <is>
          <t>PETS - Transporte de materiales en volquetes</t>
        </is>
      </c>
      <c r="AH65" s="4" t="inlineStr">
        <is>
          <t>—</t>
        </is>
      </c>
    </row>
    <row r="66" ht="58" customHeight="1">
      <c r="A66" s="4" t="n">
        <v>61</v>
      </c>
      <c r="B66" s="6" t="inlineStr">
        <is>
          <t>Obras de concreto</t>
        </is>
      </c>
      <c r="C66" s="6" t="inlineStr">
        <is>
          <t>Habilitación y colocación de acero de refuerzo</t>
        </is>
      </c>
      <c r="D66" s="6" t="inlineStr">
        <is>
          <t>Operario fierrero, Oficial, Peón</t>
        </is>
      </c>
      <c r="E66" s="4" t="inlineStr">
        <is>
          <t>R</t>
        </is>
      </c>
      <c r="F66" s="6" t="inlineStr">
        <is>
          <t>Varillas de acero y extremos expuestos</t>
        </is>
      </c>
      <c r="G66" s="6" t="inlineStr">
        <is>
          <t>Cortes, punzonamiento y golpes</t>
        </is>
      </c>
      <c r="H66" s="6" t="inlineStr">
        <is>
          <t>Heridas, empalamiento</t>
        </is>
      </c>
      <c r="I66" s="4" t="inlineStr">
        <is>
          <t>S</t>
        </is>
      </c>
      <c r="J66" s="20" t="n">
        <v>2</v>
      </c>
      <c r="K66" s="20" t="n">
        <v>2</v>
      </c>
      <c r="L66" s="20" t="n">
        <v>2</v>
      </c>
      <c r="M66" s="20" t="n">
        <v>3</v>
      </c>
      <c r="N66" s="21">
        <f>SUM(J66:M66)</f>
        <v/>
      </c>
      <c r="O66" s="20" t="n">
        <v>3</v>
      </c>
      <c r="P66" s="21">
        <f>N66*O66</f>
        <v/>
      </c>
      <c r="Q66" s="4">
        <f>IF(P66&lt;=4,"Trivial",IF(P66&lt;=8,"Tolerable",IF(P66&lt;=16,"Moderado",IF(P66&lt;=24,"Importante","Intolerable"))))</f>
        <v/>
      </c>
      <c r="R66" s="21">
        <f>IF(OR(Q66="Importante",Q66="Intolerable"),"Sí","No")</f>
        <v/>
      </c>
      <c r="S66" s="6" t="inlineStr">
        <is>
          <t>No aplica</t>
        </is>
      </c>
      <c r="T66" s="6" t="inlineStr">
        <is>
          <t>No aplica</t>
        </is>
      </c>
      <c r="U66" s="6" t="inlineStr">
        <is>
          <t>Capuchones o protectores en los extremos de varillas</t>
        </is>
      </c>
      <c r="V66" s="6" t="inlineStr">
        <is>
          <t>Orden en el área de habilitado; transporte en pareja</t>
        </is>
      </c>
      <c r="W66" s="6" t="inlineStr">
        <is>
          <t>Guantes de cuero o badana</t>
        </is>
      </c>
      <c r="X66" s="20" t="n">
        <v>2</v>
      </c>
      <c r="Y66" s="20" t="n">
        <v>1</v>
      </c>
      <c r="Z66" s="20" t="n">
        <v>1</v>
      </c>
      <c r="AA66" s="20" t="n">
        <v>3</v>
      </c>
      <c r="AB66" s="21">
        <f>SUM(X66:AA66)</f>
        <v/>
      </c>
      <c r="AC66" s="20" t="n">
        <v>2</v>
      </c>
      <c r="AD66" s="21">
        <f>AB66*AC66</f>
        <v/>
      </c>
      <c r="AE66" s="4">
        <f>IF(AD66&lt;=4,"Trivial",IF(AD66&lt;=8,"Tolerable",IF(AD66&lt;=16,"Moderado",IF(AD66&lt;=24,"Importante","Intolerable"))))</f>
        <v/>
      </c>
      <c r="AF66" s="21">
        <f>IF(OR(AE66="Importante",AE66="Intolerable"),"Sí","No")</f>
        <v/>
      </c>
      <c r="AG66" s="6" t="inlineStr">
        <is>
          <t>PETS - Habilitación y colocación de acero de refuerzo</t>
        </is>
      </c>
      <c r="AH66" s="4" t="inlineStr">
        <is>
          <t>—</t>
        </is>
      </c>
    </row>
    <row r="67" ht="58" customHeight="1">
      <c r="A67" s="4" t="n">
        <v>62</v>
      </c>
      <c r="B67" s="6" t="inlineStr">
        <is>
          <t>Obras de concreto</t>
        </is>
      </c>
      <c r="C67" s="6" t="inlineStr">
        <is>
          <t>Habilitación y colocación de acero de refuerzo</t>
        </is>
      </c>
      <c r="D67" s="6" t="inlineStr">
        <is>
          <t>Operario fierrero, Oficial, Peón</t>
        </is>
      </c>
      <c r="E67" s="4" t="inlineStr">
        <is>
          <t>R</t>
        </is>
      </c>
      <c r="F67" s="6" t="inlineStr">
        <is>
          <t>Cizalla y dobladora de fierro</t>
        </is>
      </c>
      <c r="G67" s="6" t="inlineStr">
        <is>
          <t>Atrapamiento de manos</t>
        </is>
      </c>
      <c r="H67" s="6" t="inlineStr">
        <is>
          <t>Fracturas, amputación de dedos</t>
        </is>
      </c>
      <c r="I67" s="4" t="inlineStr">
        <is>
          <t>S</t>
        </is>
      </c>
      <c r="J67" s="20" t="n">
        <v>2</v>
      </c>
      <c r="K67" s="20" t="n">
        <v>2</v>
      </c>
      <c r="L67" s="20" t="n">
        <v>2</v>
      </c>
      <c r="M67" s="20" t="n">
        <v>3</v>
      </c>
      <c r="N67" s="21">
        <f>SUM(J67:M67)</f>
        <v/>
      </c>
      <c r="O67" s="20" t="n">
        <v>2</v>
      </c>
      <c r="P67" s="21">
        <f>N67*O67</f>
        <v/>
      </c>
      <c r="Q67" s="4">
        <f>IF(P67&lt;=4,"Trivial",IF(P67&lt;=8,"Tolerable",IF(P67&lt;=16,"Moderado",IF(P67&lt;=24,"Importante","Intolerable"))))</f>
        <v/>
      </c>
      <c r="R67" s="21">
        <f>IF(OR(Q67="Importante",Q67="Intolerable"),"Sí","No")</f>
        <v/>
      </c>
      <c r="S67" s="6" t="inlineStr">
        <is>
          <t>No aplica</t>
        </is>
      </c>
      <c r="T67" s="6" t="inlineStr">
        <is>
          <t>No aplica</t>
        </is>
      </c>
      <c r="U67" s="6" t="inlineStr">
        <is>
          <t>Banco de habilitado con guardas</t>
        </is>
      </c>
      <c r="V67" s="6" t="inlineStr">
        <is>
          <t>Solo personal capacitado; inspección de equipos</t>
        </is>
      </c>
      <c r="W67" s="6" t="inlineStr">
        <is>
          <t>Guantes de cuero o badana</t>
        </is>
      </c>
      <c r="X67" s="20" t="n">
        <v>2</v>
      </c>
      <c r="Y67" s="20" t="n">
        <v>1</v>
      </c>
      <c r="Z67" s="20" t="n">
        <v>1</v>
      </c>
      <c r="AA67" s="20" t="n">
        <v>3</v>
      </c>
      <c r="AB67" s="21">
        <f>SUM(X67:AA67)</f>
        <v/>
      </c>
      <c r="AC67" s="20" t="n">
        <v>1</v>
      </c>
      <c r="AD67" s="21">
        <f>AB67*AC67</f>
        <v/>
      </c>
      <c r="AE67" s="4">
        <f>IF(AD67&lt;=4,"Trivial",IF(AD67&lt;=8,"Tolerable",IF(AD67&lt;=16,"Moderado",IF(AD67&lt;=24,"Importante","Intolerable"))))</f>
        <v/>
      </c>
      <c r="AF67" s="21">
        <f>IF(OR(AE67="Importante",AE67="Intolerable"),"Sí","No")</f>
        <v/>
      </c>
      <c r="AG67" s="6" t="inlineStr">
        <is>
          <t>PETS - Habilitación y colocación de acero de refuerzo</t>
        </is>
      </c>
      <c r="AH67" s="4" t="inlineStr">
        <is>
          <t>—</t>
        </is>
      </c>
    </row>
    <row r="68" ht="58" customHeight="1">
      <c r="A68" s="4" t="n">
        <v>63</v>
      </c>
      <c r="B68" s="6" t="inlineStr">
        <is>
          <t>Obras de concreto</t>
        </is>
      </c>
      <c r="C68" s="6" t="inlineStr">
        <is>
          <t>Habilitación y colocación de acero de refuerzo</t>
        </is>
      </c>
      <c r="D68" s="6" t="inlineStr">
        <is>
          <t>Operario fierrero, Oficial, Peón</t>
        </is>
      </c>
      <c r="E68" s="4" t="inlineStr">
        <is>
          <t>R</t>
        </is>
      </c>
      <c r="F68" s="6" t="inlineStr">
        <is>
          <t>Manipulación manual de cargas</t>
        </is>
      </c>
      <c r="G68" s="6" t="inlineStr">
        <is>
          <t>Sobreesfuerzo por levantar o trasladar cargas pesadas o en mala postura</t>
        </is>
      </c>
      <c r="H68" s="6" t="inlineStr">
        <is>
          <t>Lumbalgia, hernias, lesiones musculoesqueléticas</t>
        </is>
      </c>
      <c r="I68" s="4" t="inlineStr">
        <is>
          <t>SO</t>
        </is>
      </c>
      <c r="J68" s="20" t="n">
        <v>2</v>
      </c>
      <c r="K68" s="20" t="n">
        <v>2</v>
      </c>
      <c r="L68" s="20" t="n">
        <v>2</v>
      </c>
      <c r="M68" s="20" t="n">
        <v>3</v>
      </c>
      <c r="N68" s="21">
        <f>SUM(J68:M68)</f>
        <v/>
      </c>
      <c r="O68" s="20" t="n">
        <v>2</v>
      </c>
      <c r="P68" s="21">
        <f>N68*O68</f>
        <v/>
      </c>
      <c r="Q68" s="4">
        <f>IF(P68&lt;=4,"Trivial",IF(P68&lt;=8,"Tolerable",IF(P68&lt;=16,"Moderado",IF(P68&lt;=24,"Importante","Intolerable"))))</f>
        <v/>
      </c>
      <c r="R68" s="21">
        <f>IF(OR(Q68="Importante",Q68="Intolerable"),"Sí","No")</f>
        <v/>
      </c>
      <c r="S68" s="6" t="inlineStr">
        <is>
          <t>No aplica</t>
        </is>
      </c>
      <c r="T68" s="6" t="inlineStr">
        <is>
          <t>Uso de carretillas, montacargas o equipo para cargas mayores de 25 kg</t>
        </is>
      </c>
      <c r="U68" s="6" t="inlineStr">
        <is>
          <t>Puntos de acopio cerca del frente de trabajo</t>
        </is>
      </c>
      <c r="V68" s="6" t="inlineStr">
        <is>
          <t>Capacitación en levantamiento seguro (R.M. N.° 375-2008-TR); trabajo en pareja; pausas activas</t>
        </is>
      </c>
      <c r="W68" s="6" t="inlineStr">
        <is>
          <t>EPP básico; faja lumbar solo con indicación médica</t>
        </is>
      </c>
      <c r="X68" s="20" t="n">
        <v>2</v>
      </c>
      <c r="Y68" s="20" t="n">
        <v>1</v>
      </c>
      <c r="Z68" s="20" t="n">
        <v>1</v>
      </c>
      <c r="AA68" s="20" t="n">
        <v>3</v>
      </c>
      <c r="AB68" s="21">
        <f>SUM(X68:AA68)</f>
        <v/>
      </c>
      <c r="AC68" s="20" t="n">
        <v>1</v>
      </c>
      <c r="AD68" s="21">
        <f>AB68*AC68</f>
        <v/>
      </c>
      <c r="AE68" s="4">
        <f>IF(AD68&lt;=4,"Trivial",IF(AD68&lt;=8,"Tolerable",IF(AD68&lt;=16,"Moderado",IF(AD68&lt;=24,"Importante","Intolerable"))))</f>
        <v/>
      </c>
      <c r="AF68" s="21">
        <f>IF(OR(AE68="Importante",AE68="Intolerable"),"Sí","No")</f>
        <v/>
      </c>
      <c r="AG68" s="6" t="inlineStr">
        <is>
          <t>PETS - Habilitación y colocación de acero de refuerzo</t>
        </is>
      </c>
      <c r="AH68" s="4" t="inlineStr">
        <is>
          <t>—</t>
        </is>
      </c>
    </row>
    <row r="69" ht="58" customHeight="1">
      <c r="A69" s="4" t="n">
        <v>64</v>
      </c>
      <c r="B69" s="6" t="inlineStr">
        <is>
          <t>Obras de concreto</t>
        </is>
      </c>
      <c r="C69" s="6" t="inlineStr">
        <is>
          <t>Encofrado y desencofrado</t>
        </is>
      </c>
      <c r="D69" s="6" t="inlineStr">
        <is>
          <t>Operario carpintero, Oficial, Peón</t>
        </is>
      </c>
      <c r="E69" s="4" t="inlineStr">
        <is>
          <t>R</t>
        </is>
      </c>
      <c r="F69" s="6" t="inlineStr">
        <is>
          <t>Sierra circular de mesa y herramientas de corte</t>
        </is>
      </c>
      <c r="G69" s="6" t="inlineStr">
        <is>
          <t>Contacto con el disco y proyección de astillas</t>
        </is>
      </c>
      <c r="H69" s="6" t="inlineStr">
        <is>
          <t>Amputación, cortes, lesión ocular</t>
        </is>
      </c>
      <c r="I69" s="4" t="inlineStr">
        <is>
          <t>S</t>
        </is>
      </c>
      <c r="J69" s="20" t="n">
        <v>2</v>
      </c>
      <c r="K69" s="20" t="n">
        <v>2</v>
      </c>
      <c r="L69" s="20" t="n">
        <v>2</v>
      </c>
      <c r="M69" s="20" t="n">
        <v>3</v>
      </c>
      <c r="N69" s="21">
        <f>SUM(J69:M69)</f>
        <v/>
      </c>
      <c r="O69" s="20" t="n">
        <v>3</v>
      </c>
      <c r="P69" s="21">
        <f>N69*O69</f>
        <v/>
      </c>
      <c r="Q69" s="4">
        <f>IF(P69&lt;=4,"Trivial",IF(P69&lt;=8,"Tolerable",IF(P69&lt;=16,"Moderado",IF(P69&lt;=24,"Importante","Intolerable"))))</f>
        <v/>
      </c>
      <c r="R69" s="21">
        <f>IF(OR(Q69="Importante",Q69="Intolerable"),"Sí","No")</f>
        <v/>
      </c>
      <c r="S69" s="6" t="inlineStr">
        <is>
          <t>No aplica</t>
        </is>
      </c>
      <c r="T69" s="6" t="inlineStr">
        <is>
          <t>No aplica</t>
        </is>
      </c>
      <c r="U69" s="6" t="inlineStr">
        <is>
          <t>Sierra con guarda del disco, cuchillo divisor y empujador</t>
        </is>
      </c>
      <c r="V69" s="6" t="inlineStr">
        <is>
          <t>Solo operador autorizado; inspección diaria</t>
        </is>
      </c>
      <c r="W69" s="6" t="inlineStr">
        <is>
          <t>Lentes, careta facial y protector auditivo</t>
        </is>
      </c>
      <c r="X69" s="20" t="n">
        <v>2</v>
      </c>
      <c r="Y69" s="20" t="n">
        <v>1</v>
      </c>
      <c r="Z69" s="20" t="n">
        <v>1</v>
      </c>
      <c r="AA69" s="20" t="n">
        <v>3</v>
      </c>
      <c r="AB69" s="21">
        <f>SUM(X69:AA69)</f>
        <v/>
      </c>
      <c r="AC69" s="20" t="n">
        <v>2</v>
      </c>
      <c r="AD69" s="21">
        <f>AB69*AC69</f>
        <v/>
      </c>
      <c r="AE69" s="4">
        <f>IF(AD69&lt;=4,"Trivial",IF(AD69&lt;=8,"Tolerable",IF(AD69&lt;=16,"Moderado",IF(AD69&lt;=24,"Importante","Intolerable"))))</f>
        <v/>
      </c>
      <c r="AF69" s="21">
        <f>IF(OR(AE69="Importante",AE69="Intolerable"),"Sí","No")</f>
        <v/>
      </c>
      <c r="AG69" s="6" t="inlineStr">
        <is>
          <t>PETS - Encofrado y desencofrado</t>
        </is>
      </c>
      <c r="AH69" s="4" t="inlineStr">
        <is>
          <t>Trabajos en altura</t>
        </is>
      </c>
    </row>
    <row r="70" ht="58" customHeight="1">
      <c r="A70" s="4" t="n">
        <v>65</v>
      </c>
      <c r="B70" s="6" t="inlineStr">
        <is>
          <t>Obras de concreto</t>
        </is>
      </c>
      <c r="C70" s="6" t="inlineStr">
        <is>
          <t>Encofrado y desencofrado</t>
        </is>
      </c>
      <c r="D70" s="6" t="inlineStr">
        <is>
          <t>Operario carpintero, Oficial, Peón</t>
        </is>
      </c>
      <c r="E70" s="4" t="inlineStr">
        <is>
          <t>R</t>
        </is>
      </c>
      <c r="F70" s="6" t="inlineStr">
        <is>
          <t>Encofrados y puntales</t>
        </is>
      </c>
      <c r="G70" s="6" t="inlineStr">
        <is>
          <t>Colapso del encofrado durante el vaciado</t>
        </is>
      </c>
      <c r="H70" s="6" t="inlineStr">
        <is>
          <t>Aplastamiento, caída</t>
        </is>
      </c>
      <c r="I70" s="4" t="inlineStr">
        <is>
          <t>S</t>
        </is>
      </c>
      <c r="J70" s="20" t="n">
        <v>2</v>
      </c>
      <c r="K70" s="20" t="n">
        <v>2</v>
      </c>
      <c r="L70" s="20" t="n">
        <v>2</v>
      </c>
      <c r="M70" s="20" t="n">
        <v>2</v>
      </c>
      <c r="N70" s="21">
        <f>SUM(J70:M70)</f>
        <v/>
      </c>
      <c r="O70" s="20" t="n">
        <v>3</v>
      </c>
      <c r="P70" s="21">
        <f>N70*O70</f>
        <v/>
      </c>
      <c r="Q70" s="4">
        <f>IF(P70&lt;=4,"Trivial",IF(P70&lt;=8,"Tolerable",IF(P70&lt;=16,"Moderado",IF(P70&lt;=24,"Importante","Intolerable"))))</f>
        <v/>
      </c>
      <c r="R70" s="21">
        <f>IF(OR(Q70="Importante",Q70="Intolerable"),"Sí","No")</f>
        <v/>
      </c>
      <c r="S70" s="6" t="inlineStr">
        <is>
          <t>No aplica</t>
        </is>
      </c>
      <c r="T70" s="6" t="inlineStr">
        <is>
          <t>Encofrado metálico modular cuando sea posible</t>
        </is>
      </c>
      <c r="U70" s="6" t="inlineStr">
        <is>
          <t>Diseño del encofrado y apuntalamiento; puntales certificados</t>
        </is>
      </c>
      <c r="V70" s="6" t="inlineStr">
        <is>
          <t>Inspección y liberación antes del vaciado</t>
        </is>
      </c>
      <c r="W70" s="6" t="inlineStr">
        <is>
          <t>Casco de seguridad con barbiquejo (ANSI Z89.1)</t>
        </is>
      </c>
      <c r="X70" s="20" t="n">
        <v>2</v>
      </c>
      <c r="Y70" s="20" t="n">
        <v>1</v>
      </c>
      <c r="Z70" s="20" t="n">
        <v>1</v>
      </c>
      <c r="AA70" s="20" t="n">
        <v>1</v>
      </c>
      <c r="AB70" s="21">
        <f>SUM(X70:AA70)</f>
        <v/>
      </c>
      <c r="AC70" s="20" t="n">
        <v>3</v>
      </c>
      <c r="AD70" s="21">
        <f>AB70*AC70</f>
        <v/>
      </c>
      <c r="AE70" s="4">
        <f>IF(AD70&lt;=4,"Trivial",IF(AD70&lt;=8,"Tolerable",IF(AD70&lt;=16,"Moderado",IF(AD70&lt;=24,"Importante","Intolerable"))))</f>
        <v/>
      </c>
      <c r="AF70" s="21">
        <f>IF(OR(AE70="Importante",AE70="Intolerable"),"Sí","No")</f>
        <v/>
      </c>
      <c r="AG70" s="6" t="inlineStr">
        <is>
          <t>PETS - Encofrado y desencofrado</t>
        </is>
      </c>
      <c r="AH70" s="4" t="inlineStr">
        <is>
          <t>Trabajos en altura</t>
        </is>
      </c>
    </row>
    <row r="71" ht="58" customHeight="1">
      <c r="A71" s="4" t="n">
        <v>66</v>
      </c>
      <c r="B71" s="6" t="inlineStr">
        <is>
          <t>Obras de concreto</t>
        </is>
      </c>
      <c r="C71" s="6" t="inlineStr">
        <is>
          <t>Encofrado y desencofrado</t>
        </is>
      </c>
      <c r="D71" s="6" t="inlineStr">
        <is>
          <t>Operario carpintero, Oficial, Peón</t>
        </is>
      </c>
      <c r="E71" s="4" t="inlineStr">
        <is>
          <t>R</t>
        </is>
      </c>
      <c r="F71" s="6" t="inlineStr">
        <is>
          <t>Clavos expuestos en maderas desencofradas</t>
        </is>
      </c>
      <c r="G71" s="6" t="inlineStr">
        <is>
          <t>Punzonamiento de pies y manos</t>
        </is>
      </c>
      <c r="H71" s="6" t="inlineStr">
        <is>
          <t>Heridas, infección</t>
        </is>
      </c>
      <c r="I71" s="4" t="inlineStr">
        <is>
          <t>S</t>
        </is>
      </c>
      <c r="J71" s="20" t="n">
        <v>2</v>
      </c>
      <c r="K71" s="20" t="n">
        <v>2</v>
      </c>
      <c r="L71" s="20" t="n">
        <v>2</v>
      </c>
      <c r="M71" s="20" t="n">
        <v>3</v>
      </c>
      <c r="N71" s="21">
        <f>SUM(J71:M71)</f>
        <v/>
      </c>
      <c r="O71" s="20" t="n">
        <v>2</v>
      </c>
      <c r="P71" s="21">
        <f>N71*O71</f>
        <v/>
      </c>
      <c r="Q71" s="4">
        <f>IF(P71&lt;=4,"Trivial",IF(P71&lt;=8,"Tolerable",IF(P71&lt;=16,"Moderado",IF(P71&lt;=24,"Importante","Intolerable"))))</f>
        <v/>
      </c>
      <c r="R71" s="21">
        <f>IF(OR(Q71="Importante",Q71="Intolerable"),"Sí","No")</f>
        <v/>
      </c>
      <c r="S71" s="6" t="inlineStr">
        <is>
          <t>No aplica</t>
        </is>
      </c>
      <c r="T71" s="6" t="inlineStr">
        <is>
          <t>No aplica</t>
        </is>
      </c>
      <c r="U71" s="6" t="inlineStr">
        <is>
          <t>No aplica</t>
        </is>
      </c>
      <c r="V71" s="6" t="inlineStr">
        <is>
          <t>Retiro de clavos y apilamiento ordenado de maderas</t>
        </is>
      </c>
      <c r="W71" s="6" t="inlineStr">
        <is>
          <t>Calzado de seguridad con puntera (ASTM F2413)</t>
        </is>
      </c>
      <c r="X71" s="20" t="n">
        <v>2</v>
      </c>
      <c r="Y71" s="20" t="n">
        <v>1</v>
      </c>
      <c r="Z71" s="20" t="n">
        <v>1</v>
      </c>
      <c r="AA71" s="20" t="n">
        <v>3</v>
      </c>
      <c r="AB71" s="21">
        <f>SUM(X71:AA71)</f>
        <v/>
      </c>
      <c r="AC71" s="20" t="n">
        <v>1</v>
      </c>
      <c r="AD71" s="21">
        <f>AB71*AC71</f>
        <v/>
      </c>
      <c r="AE71" s="4">
        <f>IF(AD71&lt;=4,"Trivial",IF(AD71&lt;=8,"Tolerable",IF(AD71&lt;=16,"Moderado",IF(AD71&lt;=24,"Importante","Intolerable"))))</f>
        <v/>
      </c>
      <c r="AF71" s="21">
        <f>IF(OR(AE71="Importante",AE71="Intolerable"),"Sí","No")</f>
        <v/>
      </c>
      <c r="AG71" s="6" t="inlineStr">
        <is>
          <t>PETS - Encofrado y desencofrado</t>
        </is>
      </c>
      <c r="AH71" s="4" t="inlineStr">
        <is>
          <t>Trabajos en altura</t>
        </is>
      </c>
    </row>
    <row r="72" ht="58" customHeight="1">
      <c r="A72" s="4" t="n">
        <v>67</v>
      </c>
      <c r="B72" s="6" t="inlineStr">
        <is>
          <t>Obras de concreto</t>
        </is>
      </c>
      <c r="C72" s="6" t="inlineStr">
        <is>
          <t>Encofrado y desencofrado</t>
        </is>
      </c>
      <c r="D72" s="6" t="inlineStr">
        <is>
          <t>Operario carpintero, Oficial, Peón</t>
        </is>
      </c>
      <c r="E72" s="4" t="inlineStr">
        <is>
          <t>R</t>
        </is>
      </c>
      <c r="F72" s="6" t="inlineStr">
        <is>
          <t>Trabajo en bordes, plataformas o estructuras a más de 1.80 m</t>
        </is>
      </c>
      <c r="G72" s="6" t="inlineStr">
        <is>
          <t>Caída a distinto nivel</t>
        </is>
      </c>
      <c r="H72" s="6" t="inlineStr">
        <is>
          <t>Fracturas, traumatismo encéfalo craneano, muerte</t>
        </is>
      </c>
      <c r="I72" s="4" t="inlineStr">
        <is>
          <t>S</t>
        </is>
      </c>
      <c r="J72" s="20" t="n">
        <v>2</v>
      </c>
      <c r="K72" s="20" t="n">
        <v>2</v>
      </c>
      <c r="L72" s="20" t="n">
        <v>2</v>
      </c>
      <c r="M72" s="20" t="n">
        <v>3</v>
      </c>
      <c r="N72" s="21">
        <f>SUM(J72:M72)</f>
        <v/>
      </c>
      <c r="O72" s="20" t="n">
        <v>3</v>
      </c>
      <c r="P72" s="21">
        <f>N72*O72</f>
        <v/>
      </c>
      <c r="Q72" s="4">
        <f>IF(P72&lt;=4,"Trivial",IF(P72&lt;=8,"Tolerable",IF(P72&lt;=16,"Moderado",IF(P72&lt;=24,"Importante","Intolerable"))))</f>
        <v/>
      </c>
      <c r="R72" s="21">
        <f>IF(OR(Q72="Importante",Q72="Intolerable"),"Sí","No")</f>
        <v/>
      </c>
      <c r="S72" s="6" t="inlineStr">
        <is>
          <t>No aplica</t>
        </is>
      </c>
      <c r="T72" s="6" t="inlineStr">
        <is>
          <t>No aplica</t>
        </is>
      </c>
      <c r="U72" s="6" t="inlineStr">
        <is>
          <t>Barandas perimetrales de 1.00 m con rodapié; plataformas y andamios certificados; líneas de vida y puntos de anclaje</t>
        </is>
      </c>
      <c r="V72" s="6" t="inlineStr">
        <is>
          <t>PETAR de trabajo en altura; inspección diaria de andamios (tarjeta verde/roja); personal capacitado y apto</t>
        </is>
      </c>
      <c r="W72" s="6" t="inlineStr">
        <is>
          <t>Arnés de cuerpo entero y línea de anclaje con absorbedor de impacto (ANSI Z359.11)</t>
        </is>
      </c>
      <c r="X72" s="20" t="n">
        <v>2</v>
      </c>
      <c r="Y72" s="20" t="n">
        <v>1</v>
      </c>
      <c r="Z72" s="20" t="n">
        <v>1</v>
      </c>
      <c r="AA72" s="20" t="n">
        <v>3</v>
      </c>
      <c r="AB72" s="21">
        <f>SUM(X72:AA72)</f>
        <v/>
      </c>
      <c r="AC72" s="20" t="n">
        <v>2</v>
      </c>
      <c r="AD72" s="21">
        <f>AB72*AC72</f>
        <v/>
      </c>
      <c r="AE72" s="4">
        <f>IF(AD72&lt;=4,"Trivial",IF(AD72&lt;=8,"Tolerable",IF(AD72&lt;=16,"Moderado",IF(AD72&lt;=24,"Importante","Intolerable"))))</f>
        <v/>
      </c>
      <c r="AF72" s="21">
        <f>IF(OR(AE72="Importante",AE72="Intolerable"),"Sí","No")</f>
        <v/>
      </c>
      <c r="AG72" s="6" t="inlineStr">
        <is>
          <t>PETS - Encofrado y desencofrado</t>
        </is>
      </c>
      <c r="AH72" s="4" t="inlineStr">
        <is>
          <t>Trabajos en altura</t>
        </is>
      </c>
    </row>
    <row r="73" ht="58" customHeight="1">
      <c r="A73" s="4" t="n">
        <v>68</v>
      </c>
      <c r="B73" s="6" t="inlineStr">
        <is>
          <t>Obras de concreto</t>
        </is>
      </c>
      <c r="C73" s="6" t="inlineStr">
        <is>
          <t>Encofrado y desencofrado</t>
        </is>
      </c>
      <c r="D73" s="6" t="inlineStr">
        <is>
          <t>Operario carpintero, Oficial, Peón</t>
        </is>
      </c>
      <c r="E73" s="4" t="inlineStr">
        <is>
          <t>R</t>
        </is>
      </c>
      <c r="F73" s="6" t="inlineStr">
        <is>
          <t>Manipulación manual de cargas</t>
        </is>
      </c>
      <c r="G73" s="6" t="inlineStr">
        <is>
          <t>Sobreesfuerzo por levantar o trasladar cargas pesadas o en mala postura</t>
        </is>
      </c>
      <c r="H73" s="6" t="inlineStr">
        <is>
          <t>Lumbalgia, hernias, lesiones musculoesqueléticas</t>
        </is>
      </c>
      <c r="I73" s="4" t="inlineStr">
        <is>
          <t>SO</t>
        </is>
      </c>
      <c r="J73" s="20" t="n">
        <v>2</v>
      </c>
      <c r="K73" s="20" t="n">
        <v>2</v>
      </c>
      <c r="L73" s="20" t="n">
        <v>2</v>
      </c>
      <c r="M73" s="20" t="n">
        <v>3</v>
      </c>
      <c r="N73" s="21">
        <f>SUM(J73:M73)</f>
        <v/>
      </c>
      <c r="O73" s="20" t="n">
        <v>2</v>
      </c>
      <c r="P73" s="21">
        <f>N73*O73</f>
        <v/>
      </c>
      <c r="Q73" s="4">
        <f>IF(P73&lt;=4,"Trivial",IF(P73&lt;=8,"Tolerable",IF(P73&lt;=16,"Moderado",IF(P73&lt;=24,"Importante","Intolerable"))))</f>
        <v/>
      </c>
      <c r="R73" s="21">
        <f>IF(OR(Q73="Importante",Q73="Intolerable"),"Sí","No")</f>
        <v/>
      </c>
      <c r="S73" s="6" t="inlineStr">
        <is>
          <t>No aplica</t>
        </is>
      </c>
      <c r="T73" s="6" t="inlineStr">
        <is>
          <t>Uso de carretillas, montacargas o equipo para cargas mayores de 25 kg</t>
        </is>
      </c>
      <c r="U73" s="6" t="inlineStr">
        <is>
          <t>Puntos de acopio cerca del frente de trabajo</t>
        </is>
      </c>
      <c r="V73" s="6" t="inlineStr">
        <is>
          <t>Capacitación en levantamiento seguro (R.M. N.° 375-2008-TR); trabajo en pareja; pausas activas</t>
        </is>
      </c>
      <c r="W73" s="6" t="inlineStr">
        <is>
          <t>EPP básico; faja lumbar solo con indicación médica</t>
        </is>
      </c>
      <c r="X73" s="20" t="n">
        <v>2</v>
      </c>
      <c r="Y73" s="20" t="n">
        <v>1</v>
      </c>
      <c r="Z73" s="20" t="n">
        <v>1</v>
      </c>
      <c r="AA73" s="20" t="n">
        <v>3</v>
      </c>
      <c r="AB73" s="21">
        <f>SUM(X73:AA73)</f>
        <v/>
      </c>
      <c r="AC73" s="20" t="n">
        <v>1</v>
      </c>
      <c r="AD73" s="21">
        <f>AB73*AC73</f>
        <v/>
      </c>
      <c r="AE73" s="4">
        <f>IF(AD73&lt;=4,"Trivial",IF(AD73&lt;=8,"Tolerable",IF(AD73&lt;=16,"Moderado",IF(AD73&lt;=24,"Importante","Intolerable"))))</f>
        <v/>
      </c>
      <c r="AF73" s="21">
        <f>IF(OR(AE73="Importante",AE73="Intolerable"),"Sí","No")</f>
        <v/>
      </c>
      <c r="AG73" s="6" t="inlineStr">
        <is>
          <t>PETS - Encofrado y desencofrado</t>
        </is>
      </c>
      <c r="AH73" s="4" t="inlineStr">
        <is>
          <t>Trabajos en altura</t>
        </is>
      </c>
    </row>
    <row r="74" ht="58" customHeight="1">
      <c r="A74" s="4" t="n">
        <v>69</v>
      </c>
      <c r="B74" s="6" t="inlineStr">
        <is>
          <t>Obras de concreto</t>
        </is>
      </c>
      <c r="C74" s="6" t="inlineStr">
        <is>
          <t>Preparación, vaciado y curado de concreto</t>
        </is>
      </c>
      <c r="D74" s="6" t="inlineStr">
        <is>
          <t>Operario, Oficial, Peón, Operador de mezcladora</t>
        </is>
      </c>
      <c r="E74" s="4" t="inlineStr">
        <is>
          <t>R</t>
        </is>
      </c>
      <c r="F74" s="6" t="inlineStr">
        <is>
          <t>Cemento y concreto fresco</t>
        </is>
      </c>
      <c r="G74" s="6" t="inlineStr">
        <is>
          <t>Contacto dérmico y salpicaduras en los ojos</t>
        </is>
      </c>
      <c r="H74" s="6" t="inlineStr">
        <is>
          <t>Dermatitis, quemaduras químicas, lesión ocular</t>
        </is>
      </c>
      <c r="I74" s="4" t="inlineStr">
        <is>
          <t>SO</t>
        </is>
      </c>
      <c r="J74" s="20" t="n">
        <v>2</v>
      </c>
      <c r="K74" s="20" t="n">
        <v>2</v>
      </c>
      <c r="L74" s="20" t="n">
        <v>2</v>
      </c>
      <c r="M74" s="20" t="n">
        <v>3</v>
      </c>
      <c r="N74" s="21">
        <f>SUM(J74:M74)</f>
        <v/>
      </c>
      <c r="O74" s="20" t="n">
        <v>2</v>
      </c>
      <c r="P74" s="21">
        <f>N74*O74</f>
        <v/>
      </c>
      <c r="Q74" s="4">
        <f>IF(P74&lt;=4,"Trivial",IF(P74&lt;=8,"Tolerable",IF(P74&lt;=16,"Moderado",IF(P74&lt;=24,"Importante","Intolerable"))))</f>
        <v/>
      </c>
      <c r="R74" s="21">
        <f>IF(OR(Q74="Importante",Q74="Intolerable"),"Sí","No")</f>
        <v/>
      </c>
      <c r="S74" s="6" t="inlineStr">
        <is>
          <t>No aplica</t>
        </is>
      </c>
      <c r="T74" s="6" t="inlineStr">
        <is>
          <t>No aplica</t>
        </is>
      </c>
      <c r="U74" s="6" t="inlineStr">
        <is>
          <t>Lavaojos portátil en el frente</t>
        </is>
      </c>
      <c r="V74" s="6" t="inlineStr">
        <is>
          <t>Higiene personal al terminar la tarea; charla sobre dermatitis por cemento</t>
        </is>
      </c>
      <c r="W74" s="6" t="inlineStr">
        <is>
          <t>Guantes de nitrilo o neopreno (químicos, cemento, asfalto), botas de jebe, lentes</t>
        </is>
      </c>
      <c r="X74" s="20" t="n">
        <v>2</v>
      </c>
      <c r="Y74" s="20" t="n">
        <v>1</v>
      </c>
      <c r="Z74" s="20" t="n">
        <v>1</v>
      </c>
      <c r="AA74" s="20" t="n">
        <v>3</v>
      </c>
      <c r="AB74" s="21">
        <f>SUM(X74:AA74)</f>
        <v/>
      </c>
      <c r="AC74" s="20" t="n">
        <v>1</v>
      </c>
      <c r="AD74" s="21">
        <f>AB74*AC74</f>
        <v/>
      </c>
      <c r="AE74" s="4">
        <f>IF(AD74&lt;=4,"Trivial",IF(AD74&lt;=8,"Tolerable",IF(AD74&lt;=16,"Moderado",IF(AD74&lt;=24,"Importante","Intolerable"))))</f>
        <v/>
      </c>
      <c r="AF74" s="21">
        <f>IF(OR(AE74="Importante",AE74="Intolerable"),"Sí","No")</f>
        <v/>
      </c>
      <c r="AG74" s="6" t="inlineStr">
        <is>
          <t>PETS - Vaciado y curado de concreto</t>
        </is>
      </c>
      <c r="AH74" s="4" t="inlineStr">
        <is>
          <t>—</t>
        </is>
      </c>
    </row>
    <row r="75" ht="58" customHeight="1">
      <c r="A75" s="4" t="n">
        <v>70</v>
      </c>
      <c r="B75" s="6" t="inlineStr">
        <is>
          <t>Obras de concreto</t>
        </is>
      </c>
      <c r="C75" s="6" t="inlineStr">
        <is>
          <t>Preparación, vaciado y curado de concreto</t>
        </is>
      </c>
      <c r="D75" s="6" t="inlineStr">
        <is>
          <t>Operario, Oficial, Peón, Operador de mezcladora</t>
        </is>
      </c>
      <c r="E75" s="4" t="inlineStr">
        <is>
          <t>R</t>
        </is>
      </c>
      <c r="F75" s="6" t="inlineStr">
        <is>
          <t>Mezcladora y vibrador de concreto</t>
        </is>
      </c>
      <c r="G75" s="6" t="inlineStr">
        <is>
          <t>Atrapamiento con partes móviles o contacto eléctrico</t>
        </is>
      </c>
      <c r="H75" s="6" t="inlineStr">
        <is>
          <t>Fracturas, electrocución</t>
        </is>
      </c>
      <c r="I75" s="4" t="inlineStr">
        <is>
          <t>S</t>
        </is>
      </c>
      <c r="J75" s="20" t="n">
        <v>2</v>
      </c>
      <c r="K75" s="20" t="n">
        <v>2</v>
      </c>
      <c r="L75" s="20" t="n">
        <v>2</v>
      </c>
      <c r="M75" s="20" t="n">
        <v>3</v>
      </c>
      <c r="N75" s="21">
        <f>SUM(J75:M75)</f>
        <v/>
      </c>
      <c r="O75" s="20" t="n">
        <v>2</v>
      </c>
      <c r="P75" s="21">
        <f>N75*O75</f>
        <v/>
      </c>
      <c r="Q75" s="4">
        <f>IF(P75&lt;=4,"Trivial",IF(P75&lt;=8,"Tolerable",IF(P75&lt;=16,"Moderado",IF(P75&lt;=24,"Importante","Intolerable"))))</f>
        <v/>
      </c>
      <c r="R75" s="21">
        <f>IF(OR(Q75="Importante",Q75="Intolerable"),"Sí","No")</f>
        <v/>
      </c>
      <c r="S75" s="6" t="inlineStr">
        <is>
          <t>No aplica</t>
        </is>
      </c>
      <c r="T75" s="6" t="inlineStr">
        <is>
          <t>No aplica</t>
        </is>
      </c>
      <c r="U75" s="6" t="inlineStr">
        <is>
          <t>Guardas en transmisiones; vibrador con aislamiento y diferencial</t>
        </is>
      </c>
      <c r="V75" s="6" t="inlineStr">
        <is>
          <t>Operador capacitado; no limpiar el tambor en movimiento</t>
        </is>
      </c>
      <c r="W75" s="6" t="inlineStr">
        <is>
          <t>Guantes de nitrilo o neopreno (químicos, cemento, asfalto)</t>
        </is>
      </c>
      <c r="X75" s="20" t="n">
        <v>2</v>
      </c>
      <c r="Y75" s="20" t="n">
        <v>1</v>
      </c>
      <c r="Z75" s="20" t="n">
        <v>1</v>
      </c>
      <c r="AA75" s="20" t="n">
        <v>3</v>
      </c>
      <c r="AB75" s="21">
        <f>SUM(X75:AA75)</f>
        <v/>
      </c>
      <c r="AC75" s="20" t="n">
        <v>1</v>
      </c>
      <c r="AD75" s="21">
        <f>AB75*AC75</f>
        <v/>
      </c>
      <c r="AE75" s="4">
        <f>IF(AD75&lt;=4,"Trivial",IF(AD75&lt;=8,"Tolerable",IF(AD75&lt;=16,"Moderado",IF(AD75&lt;=24,"Importante","Intolerable"))))</f>
        <v/>
      </c>
      <c r="AF75" s="21">
        <f>IF(OR(AE75="Importante",AE75="Intolerable"),"Sí","No")</f>
        <v/>
      </c>
      <c r="AG75" s="6" t="inlineStr">
        <is>
          <t>PETS - Vaciado y curado de concreto</t>
        </is>
      </c>
      <c r="AH75" s="4" t="inlineStr">
        <is>
          <t>—</t>
        </is>
      </c>
    </row>
    <row r="76" ht="58" customHeight="1">
      <c r="A76" s="4" t="n">
        <v>71</v>
      </c>
      <c r="B76" s="6" t="inlineStr">
        <is>
          <t>Obras de concreto</t>
        </is>
      </c>
      <c r="C76" s="6" t="inlineStr">
        <is>
          <t>Preparación, vaciado y curado de concreto</t>
        </is>
      </c>
      <c r="D76" s="6" t="inlineStr">
        <is>
          <t>Operario, Oficial, Peón, Operador de mezcladora</t>
        </is>
      </c>
      <c r="E76" s="4" t="inlineStr">
        <is>
          <t>R</t>
        </is>
      </c>
      <c r="F76" s="6" t="inlineStr">
        <is>
          <t>Manipulación manual de cargas</t>
        </is>
      </c>
      <c r="G76" s="6" t="inlineStr">
        <is>
          <t>Sobreesfuerzo por levantar o trasladar cargas pesadas o en mala postura</t>
        </is>
      </c>
      <c r="H76" s="6" t="inlineStr">
        <is>
          <t>Lumbalgia, hernias, lesiones musculoesqueléticas</t>
        </is>
      </c>
      <c r="I76" s="4" t="inlineStr">
        <is>
          <t>SO</t>
        </is>
      </c>
      <c r="J76" s="20" t="n">
        <v>2</v>
      </c>
      <c r="K76" s="20" t="n">
        <v>2</v>
      </c>
      <c r="L76" s="20" t="n">
        <v>2</v>
      </c>
      <c r="M76" s="20" t="n">
        <v>3</v>
      </c>
      <c r="N76" s="21">
        <f>SUM(J76:M76)</f>
        <v/>
      </c>
      <c r="O76" s="20" t="n">
        <v>2</v>
      </c>
      <c r="P76" s="21">
        <f>N76*O76</f>
        <v/>
      </c>
      <c r="Q76" s="4">
        <f>IF(P76&lt;=4,"Trivial",IF(P76&lt;=8,"Tolerable",IF(P76&lt;=16,"Moderado",IF(P76&lt;=24,"Importante","Intolerable"))))</f>
        <v/>
      </c>
      <c r="R76" s="21">
        <f>IF(OR(Q76="Importante",Q76="Intolerable"),"Sí","No")</f>
        <v/>
      </c>
      <c r="S76" s="6" t="inlineStr">
        <is>
          <t>No aplica</t>
        </is>
      </c>
      <c r="T76" s="6" t="inlineStr">
        <is>
          <t>Uso de carretillas, montacargas o equipo para cargas mayores de 25 kg</t>
        </is>
      </c>
      <c r="U76" s="6" t="inlineStr">
        <is>
          <t>Puntos de acopio cerca del frente de trabajo</t>
        </is>
      </c>
      <c r="V76" s="6" t="inlineStr">
        <is>
          <t>Capacitación en levantamiento seguro (R.M. N.° 375-2008-TR); trabajo en pareja; pausas activas</t>
        </is>
      </c>
      <c r="W76" s="6" t="inlineStr">
        <is>
          <t>EPP básico; faja lumbar solo con indicación médica</t>
        </is>
      </c>
      <c r="X76" s="20" t="n">
        <v>2</v>
      </c>
      <c r="Y76" s="20" t="n">
        <v>1</v>
      </c>
      <c r="Z76" s="20" t="n">
        <v>1</v>
      </c>
      <c r="AA76" s="20" t="n">
        <v>3</v>
      </c>
      <c r="AB76" s="21">
        <f>SUM(X76:AA76)</f>
        <v/>
      </c>
      <c r="AC76" s="20" t="n">
        <v>1</v>
      </c>
      <c r="AD76" s="21">
        <f>AB76*AC76</f>
        <v/>
      </c>
      <c r="AE76" s="4">
        <f>IF(AD76&lt;=4,"Trivial",IF(AD76&lt;=8,"Tolerable",IF(AD76&lt;=16,"Moderado",IF(AD76&lt;=24,"Importante","Intolerable"))))</f>
        <v/>
      </c>
      <c r="AF76" s="21">
        <f>IF(OR(AE76="Importante",AE76="Intolerable"),"Sí","No")</f>
        <v/>
      </c>
      <c r="AG76" s="6" t="inlineStr">
        <is>
          <t>PETS - Vaciado y curado de concreto</t>
        </is>
      </c>
      <c r="AH76" s="4" t="inlineStr">
        <is>
          <t>—</t>
        </is>
      </c>
    </row>
    <row r="77" ht="58" customHeight="1">
      <c r="A77" s="4" t="n">
        <v>72</v>
      </c>
      <c r="B77" s="6" t="inlineStr">
        <is>
          <t>Obras de concreto</t>
        </is>
      </c>
      <c r="C77" s="6" t="inlineStr">
        <is>
          <t>Preparación, vaciado y curado de concreto</t>
        </is>
      </c>
      <c r="D77" s="6" t="inlineStr">
        <is>
          <t>Operario, Oficial, Peón, Operador de mezcladora</t>
        </is>
      </c>
      <c r="E77" s="4" t="inlineStr">
        <is>
          <t>R</t>
        </is>
      </c>
      <c r="F77" s="6" t="inlineStr">
        <is>
          <t>Vibración mano-brazo</t>
        </is>
      </c>
      <c r="G77" s="6" t="inlineStr">
        <is>
          <t>Exposición a vibración de equipos manuales (compactadoras, martillos, vibradores)</t>
        </is>
      </c>
      <c r="H77" s="6" t="inlineStr">
        <is>
          <t>Trastornos vasculares y osteomusculares</t>
        </is>
      </c>
      <c r="I77" s="4" t="inlineStr">
        <is>
          <t>SO</t>
        </is>
      </c>
      <c r="J77" s="20" t="n">
        <v>2</v>
      </c>
      <c r="K77" s="20" t="n">
        <v>2</v>
      </c>
      <c r="L77" s="20" t="n">
        <v>2</v>
      </c>
      <c r="M77" s="20" t="n">
        <v>3</v>
      </c>
      <c r="N77" s="21">
        <f>SUM(J77:M77)</f>
        <v/>
      </c>
      <c r="O77" s="20" t="n">
        <v>2</v>
      </c>
      <c r="P77" s="21">
        <f>N77*O77</f>
        <v/>
      </c>
      <c r="Q77" s="4">
        <f>IF(P77&lt;=4,"Trivial",IF(P77&lt;=8,"Tolerable",IF(P77&lt;=16,"Moderado",IF(P77&lt;=24,"Importante","Intolerable"))))</f>
        <v/>
      </c>
      <c r="R77" s="21">
        <f>IF(OR(Q77="Importante",Q77="Intolerable"),"Sí","No")</f>
        <v/>
      </c>
      <c r="S77" s="6" t="inlineStr">
        <is>
          <t>No aplica</t>
        </is>
      </c>
      <c r="T77" s="6" t="inlineStr">
        <is>
          <t>Equipos con mangos antivibratorios</t>
        </is>
      </c>
      <c r="U77" s="6" t="inlineStr">
        <is>
          <t>Mantenimiento de amortiguadores</t>
        </is>
      </c>
      <c r="V77" s="6" t="inlineStr">
        <is>
          <t>Rotación del personal y pausas</t>
        </is>
      </c>
      <c r="W77" s="6" t="inlineStr">
        <is>
          <t>Guantes antivibración</t>
        </is>
      </c>
      <c r="X77" s="20" t="n">
        <v>2</v>
      </c>
      <c r="Y77" s="20" t="n">
        <v>1</v>
      </c>
      <c r="Z77" s="20" t="n">
        <v>1</v>
      </c>
      <c r="AA77" s="20" t="n">
        <v>3</v>
      </c>
      <c r="AB77" s="21">
        <f>SUM(X77:AA77)</f>
        <v/>
      </c>
      <c r="AC77" s="20" t="n">
        <v>1</v>
      </c>
      <c r="AD77" s="21">
        <f>AB77*AC77</f>
        <v/>
      </c>
      <c r="AE77" s="4">
        <f>IF(AD77&lt;=4,"Trivial",IF(AD77&lt;=8,"Tolerable",IF(AD77&lt;=16,"Moderado",IF(AD77&lt;=24,"Importante","Intolerable"))))</f>
        <v/>
      </c>
      <c r="AF77" s="21">
        <f>IF(OR(AE77="Importante",AE77="Intolerable"),"Sí","No")</f>
        <v/>
      </c>
      <c r="AG77" s="6" t="inlineStr">
        <is>
          <t>PETS - Vaciado y curado de concreto</t>
        </is>
      </c>
      <c r="AH77" s="4" t="inlineStr">
        <is>
          <t>—</t>
        </is>
      </c>
    </row>
    <row r="78" ht="58" customHeight="1">
      <c r="A78" s="4" t="n">
        <v>73</v>
      </c>
      <c r="B78" s="6" t="inlineStr">
        <is>
          <t>Obras de concreto</t>
        </is>
      </c>
      <c r="C78" s="6" t="inlineStr">
        <is>
          <t>Preparación, vaciado y curado de concreto</t>
        </is>
      </c>
      <c r="D78" s="6" t="inlineStr">
        <is>
          <t>Operario, Oficial, Peón, Operador de mezcladora</t>
        </is>
      </c>
      <c r="E78" s="4" t="inlineStr">
        <is>
          <t>R</t>
        </is>
      </c>
      <c r="F78" s="6" t="inlineStr">
        <is>
          <t>Superficies irregulares, desniveles y desorden</t>
        </is>
      </c>
      <c r="G78" s="6" t="inlineStr">
        <is>
          <t>Caída al mismo nivel por tropiezo o resbalón</t>
        </is>
      </c>
      <c r="H78" s="6" t="inlineStr">
        <is>
          <t>Contusiones, esguinces, fracturas</t>
        </is>
      </c>
      <c r="I78" s="4" t="inlineStr">
        <is>
          <t>S</t>
        </is>
      </c>
      <c r="J78" s="20" t="n">
        <v>2</v>
      </c>
      <c r="K78" s="20" t="n">
        <v>2</v>
      </c>
      <c r="L78" s="20" t="n">
        <v>2</v>
      </c>
      <c r="M78" s="20" t="n">
        <v>3</v>
      </c>
      <c r="N78" s="21">
        <f>SUM(J78:M78)</f>
        <v/>
      </c>
      <c r="O78" s="20" t="n">
        <v>2</v>
      </c>
      <c r="P78" s="21">
        <f>N78*O78</f>
        <v/>
      </c>
      <c r="Q78" s="4">
        <f>IF(P78&lt;=4,"Trivial",IF(P78&lt;=8,"Tolerable",IF(P78&lt;=16,"Moderado",IF(P78&lt;=24,"Importante","Intolerable"))))</f>
        <v/>
      </c>
      <c r="R78" s="21">
        <f>IF(OR(Q78="Importante",Q78="Intolerable"),"Sí","No")</f>
        <v/>
      </c>
      <c r="S78" s="6" t="inlineStr">
        <is>
          <t>No aplica</t>
        </is>
      </c>
      <c r="T78" s="6" t="inlineStr">
        <is>
          <t>No aplica</t>
        </is>
      </c>
      <c r="U78" s="6" t="inlineStr">
        <is>
          <t>Accesos y pasarelas habilitados</t>
        </is>
      </c>
      <c r="V78" s="6" t="inlineStr">
        <is>
          <t>Orden y limpieza diaria; señalización de desniveles</t>
        </is>
      </c>
      <c r="W78" s="6" t="inlineStr">
        <is>
          <t>Calzado de seguridad con puntera (ASTM F2413)</t>
        </is>
      </c>
      <c r="X78" s="20" t="n">
        <v>2</v>
      </c>
      <c r="Y78" s="20" t="n">
        <v>1</v>
      </c>
      <c r="Z78" s="20" t="n">
        <v>1</v>
      </c>
      <c r="AA78" s="20" t="n">
        <v>3</v>
      </c>
      <c r="AB78" s="21">
        <f>SUM(X78:AA78)</f>
        <v/>
      </c>
      <c r="AC78" s="20" t="n">
        <v>1</v>
      </c>
      <c r="AD78" s="21">
        <f>AB78*AC78</f>
        <v/>
      </c>
      <c r="AE78" s="4">
        <f>IF(AD78&lt;=4,"Trivial",IF(AD78&lt;=8,"Tolerable",IF(AD78&lt;=16,"Moderado",IF(AD78&lt;=24,"Importante","Intolerable"))))</f>
        <v/>
      </c>
      <c r="AF78" s="21">
        <f>IF(OR(AE78="Importante",AE78="Intolerable"),"Sí","No")</f>
        <v/>
      </c>
      <c r="AG78" s="6" t="inlineStr">
        <is>
          <t>PETS - Vaciado y curado de concreto</t>
        </is>
      </c>
      <c r="AH78" s="4" t="inlineStr">
        <is>
          <t>—</t>
        </is>
      </c>
    </row>
    <row r="79" ht="58" customHeight="1">
      <c r="A79" s="4" t="n">
        <v>74</v>
      </c>
      <c r="B79" s="6" t="inlineStr">
        <is>
          <t>Obras de concreto</t>
        </is>
      </c>
      <c r="C79" s="6" t="inlineStr">
        <is>
          <t>Gaviones y mampostería de piedra</t>
        </is>
      </c>
      <c r="D79" s="6" t="inlineStr">
        <is>
          <t>Operario, Peón</t>
        </is>
      </c>
      <c r="E79" s="4" t="inlineStr">
        <is>
          <t>R</t>
        </is>
      </c>
      <c r="F79" s="6" t="inlineStr">
        <is>
          <t>Manipulación manual de cargas</t>
        </is>
      </c>
      <c r="G79" s="6" t="inlineStr">
        <is>
          <t>Sobreesfuerzo por levantar o trasladar cargas pesadas o en mala postura</t>
        </is>
      </c>
      <c r="H79" s="6" t="inlineStr">
        <is>
          <t>Lumbalgia, hernias, lesiones musculoesqueléticas</t>
        </is>
      </c>
      <c r="I79" s="4" t="inlineStr">
        <is>
          <t>SO</t>
        </is>
      </c>
      <c r="J79" s="20" t="n">
        <v>2</v>
      </c>
      <c r="K79" s="20" t="n">
        <v>2</v>
      </c>
      <c r="L79" s="20" t="n">
        <v>2</v>
      </c>
      <c r="M79" s="20" t="n">
        <v>3</v>
      </c>
      <c r="N79" s="21">
        <f>SUM(J79:M79)</f>
        <v/>
      </c>
      <c r="O79" s="20" t="n">
        <v>2</v>
      </c>
      <c r="P79" s="21">
        <f>N79*O79</f>
        <v/>
      </c>
      <c r="Q79" s="4">
        <f>IF(P79&lt;=4,"Trivial",IF(P79&lt;=8,"Tolerable",IF(P79&lt;=16,"Moderado",IF(P79&lt;=24,"Importante","Intolerable"))))</f>
        <v/>
      </c>
      <c r="R79" s="21">
        <f>IF(OR(Q79="Importante",Q79="Intolerable"),"Sí","No")</f>
        <v/>
      </c>
      <c r="S79" s="6" t="inlineStr">
        <is>
          <t>No aplica</t>
        </is>
      </c>
      <c r="T79" s="6" t="inlineStr">
        <is>
          <t>Uso de carretillas, montacargas o equipo para cargas mayores de 25 kg</t>
        </is>
      </c>
      <c r="U79" s="6" t="inlineStr">
        <is>
          <t>Puntos de acopio cerca del frente de trabajo</t>
        </is>
      </c>
      <c r="V79" s="6" t="inlineStr">
        <is>
          <t>Capacitación en levantamiento seguro (R.M. N.° 375-2008-TR); trabajo en pareja; pausas activas</t>
        </is>
      </c>
      <c r="W79" s="6" t="inlineStr">
        <is>
          <t>EPP básico; faja lumbar solo con indicación médica</t>
        </is>
      </c>
      <c r="X79" s="20" t="n">
        <v>2</v>
      </c>
      <c r="Y79" s="20" t="n">
        <v>1</v>
      </c>
      <c r="Z79" s="20" t="n">
        <v>1</v>
      </c>
      <c r="AA79" s="20" t="n">
        <v>3</v>
      </c>
      <c r="AB79" s="21">
        <f>SUM(X79:AA79)</f>
        <v/>
      </c>
      <c r="AC79" s="20" t="n">
        <v>1</v>
      </c>
      <c r="AD79" s="21">
        <f>AB79*AC79</f>
        <v/>
      </c>
      <c r="AE79" s="4">
        <f>IF(AD79&lt;=4,"Trivial",IF(AD79&lt;=8,"Tolerable",IF(AD79&lt;=16,"Moderado",IF(AD79&lt;=24,"Importante","Intolerable"))))</f>
        <v/>
      </c>
      <c r="AF79" s="21">
        <f>IF(OR(AE79="Importante",AE79="Intolerable"),"Sí","No")</f>
        <v/>
      </c>
      <c r="AG79" s="6" t="inlineStr">
        <is>
          <t>PETS - Armado y llenado de gaviones</t>
        </is>
      </c>
      <c r="AH79" s="4" t="inlineStr">
        <is>
          <t>—</t>
        </is>
      </c>
    </row>
    <row r="80" ht="58" customHeight="1">
      <c r="A80" s="4" t="n">
        <v>75</v>
      </c>
      <c r="B80" s="6" t="inlineStr">
        <is>
          <t>Obras de concreto</t>
        </is>
      </c>
      <c r="C80" s="6" t="inlineStr">
        <is>
          <t>Gaviones y mampostería de piedra</t>
        </is>
      </c>
      <c r="D80" s="6" t="inlineStr">
        <is>
          <t>Operario, Peón</t>
        </is>
      </c>
      <c r="E80" s="4" t="inlineStr">
        <is>
          <t>R</t>
        </is>
      </c>
      <c r="F80" s="6" t="inlineStr">
        <is>
          <t>Piedras de gran tamaño</t>
        </is>
      </c>
      <c r="G80" s="6" t="inlineStr">
        <is>
          <t>Golpe o aplastamiento de manos y pies</t>
        </is>
      </c>
      <c r="H80" s="6" t="inlineStr">
        <is>
          <t>Contusiones, fracturas</t>
        </is>
      </c>
      <c r="I80" s="4" t="inlineStr">
        <is>
          <t>S</t>
        </is>
      </c>
      <c r="J80" s="20" t="n">
        <v>2</v>
      </c>
      <c r="K80" s="20" t="n">
        <v>2</v>
      </c>
      <c r="L80" s="20" t="n">
        <v>2</v>
      </c>
      <c r="M80" s="20" t="n">
        <v>3</v>
      </c>
      <c r="N80" s="21">
        <f>SUM(J80:M80)</f>
        <v/>
      </c>
      <c r="O80" s="20" t="n">
        <v>2</v>
      </c>
      <c r="P80" s="21">
        <f>N80*O80</f>
        <v/>
      </c>
      <c r="Q80" s="4">
        <f>IF(P80&lt;=4,"Trivial",IF(P80&lt;=8,"Tolerable",IF(P80&lt;=16,"Moderado",IF(P80&lt;=24,"Importante","Intolerable"))))</f>
        <v/>
      </c>
      <c r="R80" s="21">
        <f>IF(OR(Q80="Importante",Q80="Intolerable"),"Sí","No")</f>
        <v/>
      </c>
      <c r="S80" s="6" t="inlineStr">
        <is>
          <t>No aplica</t>
        </is>
      </c>
      <c r="T80" s="6" t="inlineStr">
        <is>
          <t>No aplica</t>
        </is>
      </c>
      <c r="U80" s="6" t="inlineStr">
        <is>
          <t>No aplica</t>
        </is>
      </c>
      <c r="V80" s="6" t="inlineStr">
        <is>
          <t>Selección y acarreo en pareja; uso de barretas</t>
        </is>
      </c>
      <c r="W80" s="6" t="inlineStr">
        <is>
          <t>Guantes de cuero o badana</t>
        </is>
      </c>
      <c r="X80" s="20" t="n">
        <v>2</v>
      </c>
      <c r="Y80" s="20" t="n">
        <v>1</v>
      </c>
      <c r="Z80" s="20" t="n">
        <v>1</v>
      </c>
      <c r="AA80" s="20" t="n">
        <v>3</v>
      </c>
      <c r="AB80" s="21">
        <f>SUM(X80:AA80)</f>
        <v/>
      </c>
      <c r="AC80" s="20" t="n">
        <v>1</v>
      </c>
      <c r="AD80" s="21">
        <f>AB80*AC80</f>
        <v/>
      </c>
      <c r="AE80" s="4">
        <f>IF(AD80&lt;=4,"Trivial",IF(AD80&lt;=8,"Tolerable",IF(AD80&lt;=16,"Moderado",IF(AD80&lt;=24,"Importante","Intolerable"))))</f>
        <v/>
      </c>
      <c r="AF80" s="21">
        <f>IF(OR(AE80="Importante",AE80="Intolerable"),"Sí","No")</f>
        <v/>
      </c>
      <c r="AG80" s="6" t="inlineStr">
        <is>
          <t>PETS - Armado y llenado de gaviones</t>
        </is>
      </c>
      <c r="AH80" s="4" t="inlineStr">
        <is>
          <t>—</t>
        </is>
      </c>
    </row>
    <row r="81" ht="58" customHeight="1">
      <c r="A81" s="4" t="n">
        <v>76</v>
      </c>
      <c r="B81" s="6" t="inlineStr">
        <is>
          <t>Obras de concreto</t>
        </is>
      </c>
      <c r="C81" s="6" t="inlineStr">
        <is>
          <t>Gaviones y mampostería de piedra</t>
        </is>
      </c>
      <c r="D81" s="6" t="inlineStr">
        <is>
          <t>Operario, Peón</t>
        </is>
      </c>
      <c r="E81" s="4" t="inlineStr">
        <is>
          <t>R</t>
        </is>
      </c>
      <c r="F81" s="6" t="inlineStr">
        <is>
          <t>Alambre galvanizado de las canastas</t>
        </is>
      </c>
      <c r="G81" s="6" t="inlineStr">
        <is>
          <t>Cortes y punzonamiento</t>
        </is>
      </c>
      <c r="H81" s="6" t="inlineStr">
        <is>
          <t>Heridas</t>
        </is>
      </c>
      <c r="I81" s="4" t="inlineStr">
        <is>
          <t>S</t>
        </is>
      </c>
      <c r="J81" s="20" t="n">
        <v>2</v>
      </c>
      <c r="K81" s="20" t="n">
        <v>2</v>
      </c>
      <c r="L81" s="20" t="n">
        <v>2</v>
      </c>
      <c r="M81" s="20" t="n">
        <v>3</v>
      </c>
      <c r="N81" s="21">
        <f>SUM(J81:M81)</f>
        <v/>
      </c>
      <c r="O81" s="20" t="n">
        <v>1</v>
      </c>
      <c r="P81" s="21">
        <f>N81*O81</f>
        <v/>
      </c>
      <c r="Q81" s="4">
        <f>IF(P81&lt;=4,"Trivial",IF(P81&lt;=8,"Tolerable",IF(P81&lt;=16,"Moderado",IF(P81&lt;=24,"Importante","Intolerable"))))</f>
        <v/>
      </c>
      <c r="R81" s="21">
        <f>IF(OR(Q81="Importante",Q81="Intolerable"),"Sí","No")</f>
        <v/>
      </c>
      <c r="S81" s="6" t="inlineStr">
        <is>
          <t>No aplica</t>
        </is>
      </c>
      <c r="T81" s="6" t="inlineStr">
        <is>
          <t>No aplica</t>
        </is>
      </c>
      <c r="U81" s="6" t="inlineStr">
        <is>
          <t>No aplica</t>
        </is>
      </c>
      <c r="V81" s="6" t="inlineStr">
        <is>
          <t>Uso de alicates y tenazas adecuadas</t>
        </is>
      </c>
      <c r="W81" s="6" t="inlineStr">
        <is>
          <t>Guantes de cuero o badana</t>
        </is>
      </c>
      <c r="X81" s="20" t="n">
        <v>2</v>
      </c>
      <c r="Y81" s="20" t="n">
        <v>1</v>
      </c>
      <c r="Z81" s="20" t="n">
        <v>1</v>
      </c>
      <c r="AA81" s="20" t="n">
        <v>3</v>
      </c>
      <c r="AB81" s="21">
        <f>SUM(X81:AA81)</f>
        <v/>
      </c>
      <c r="AC81" s="20" t="n">
        <v>1</v>
      </c>
      <c r="AD81" s="21">
        <f>AB81*AC81</f>
        <v/>
      </c>
      <c r="AE81" s="4">
        <f>IF(AD81&lt;=4,"Trivial",IF(AD81&lt;=8,"Tolerable",IF(AD81&lt;=16,"Moderado",IF(AD81&lt;=24,"Importante","Intolerable"))))</f>
        <v/>
      </c>
      <c r="AF81" s="21">
        <f>IF(OR(AE81="Importante",AE81="Intolerable"),"Sí","No")</f>
        <v/>
      </c>
      <c r="AG81" s="6" t="inlineStr">
        <is>
          <t>PETS - Armado y llenado de gaviones</t>
        </is>
      </c>
      <c r="AH81" s="4" t="inlineStr">
        <is>
          <t>—</t>
        </is>
      </c>
    </row>
    <row r="82" ht="58" customHeight="1">
      <c r="A82" s="4" t="n">
        <v>77</v>
      </c>
      <c r="B82" s="6" t="inlineStr">
        <is>
          <t>Obras de concreto</t>
        </is>
      </c>
      <c r="C82" s="6" t="inlineStr">
        <is>
          <t>Gaviones y mampostería de piedra</t>
        </is>
      </c>
      <c r="D82" s="6" t="inlineStr">
        <is>
          <t>Operario, Peón</t>
        </is>
      </c>
      <c r="E82" s="4" t="inlineStr">
        <is>
          <t>R</t>
        </is>
      </c>
      <c r="F82" s="6" t="inlineStr">
        <is>
          <t>Radiación solar y temperatura ambiente elevada</t>
        </is>
      </c>
      <c r="G82" s="6" t="inlineStr">
        <is>
          <t>Exposición prolongada a radiación UV y a calor</t>
        </is>
      </c>
      <c r="H82" s="6" t="inlineStr">
        <is>
          <t>Golpe de calor, deshidratación, quemaduras de piel</t>
        </is>
      </c>
      <c r="I82" s="4" t="inlineStr">
        <is>
          <t>SO</t>
        </is>
      </c>
      <c r="J82" s="20" t="n">
        <v>2</v>
      </c>
      <c r="K82" s="20" t="n">
        <v>2</v>
      </c>
      <c r="L82" s="20" t="n">
        <v>2</v>
      </c>
      <c r="M82" s="20" t="n">
        <v>3</v>
      </c>
      <c r="N82" s="21">
        <f>SUM(J82:M82)</f>
        <v/>
      </c>
      <c r="O82" s="20" t="n">
        <v>2</v>
      </c>
      <c r="P82" s="21">
        <f>N82*O82</f>
        <v/>
      </c>
      <c r="Q82" s="4">
        <f>IF(P82&lt;=4,"Trivial",IF(P82&lt;=8,"Tolerable",IF(P82&lt;=16,"Moderado",IF(P82&lt;=24,"Importante","Intolerable"))))</f>
        <v/>
      </c>
      <c r="R82" s="21">
        <f>IF(OR(Q82="Importante",Q82="Intolerable"),"Sí","No")</f>
        <v/>
      </c>
      <c r="S82" s="6" t="inlineStr">
        <is>
          <t>No aplica</t>
        </is>
      </c>
      <c r="T82" s="6" t="inlineStr">
        <is>
          <t>No aplica</t>
        </is>
      </c>
      <c r="U82" s="6" t="inlineStr">
        <is>
          <t>Toldos o sombras en las zonas de descanso; puntos de hidratación con agua potable en cada frente</t>
        </is>
      </c>
      <c r="V82" s="6" t="inlineStr">
        <is>
          <t>Pausas de hidratación; rotación del personal en las horas de mayor radiación (11:00 a 15:00); charla de estrés térmico</t>
        </is>
      </c>
      <c r="W82" s="6" t="inlineStr">
        <is>
          <t>Bloqueador solar FPS 50+ y cortasol para casco</t>
        </is>
      </c>
      <c r="X82" s="20" t="n">
        <v>2</v>
      </c>
      <c r="Y82" s="20" t="n">
        <v>1</v>
      </c>
      <c r="Z82" s="20" t="n">
        <v>1</v>
      </c>
      <c r="AA82" s="20" t="n">
        <v>3</v>
      </c>
      <c r="AB82" s="21">
        <f>SUM(X82:AA82)</f>
        <v/>
      </c>
      <c r="AC82" s="20" t="n">
        <v>1</v>
      </c>
      <c r="AD82" s="21">
        <f>AB82*AC82</f>
        <v/>
      </c>
      <c r="AE82" s="4">
        <f>IF(AD82&lt;=4,"Trivial",IF(AD82&lt;=8,"Tolerable",IF(AD82&lt;=16,"Moderado",IF(AD82&lt;=24,"Importante","Intolerable"))))</f>
        <v/>
      </c>
      <c r="AF82" s="21">
        <f>IF(OR(AE82="Importante",AE82="Intolerable"),"Sí","No")</f>
        <v/>
      </c>
      <c r="AG82" s="6" t="inlineStr">
        <is>
          <t>PETS - Armado y llenado de gaviones</t>
        </is>
      </c>
      <c r="AH82" s="4" t="inlineStr">
        <is>
          <t>—</t>
        </is>
      </c>
    </row>
    <row r="83" ht="58" customHeight="1">
      <c r="A83" s="4" t="n">
        <v>78</v>
      </c>
      <c r="B83" s="6" t="inlineStr">
        <is>
          <t>Obras de arte y drenaje</t>
        </is>
      </c>
      <c r="C83" s="6" t="inlineStr">
        <is>
          <t>Instalación de alcantarillas, tuberías y elementos prefabricados</t>
        </is>
      </c>
      <c r="D83" s="6" t="inlineStr">
        <is>
          <t>Operario, Peón, Operador de equipo</t>
        </is>
      </c>
      <c r="E83" s="4" t="inlineStr">
        <is>
          <t>R</t>
        </is>
      </c>
      <c r="F83" s="6" t="inlineStr">
        <is>
          <t>Izaje de cargas con grúa o equipo de levante</t>
        </is>
      </c>
      <c r="G83" s="6" t="inlineStr">
        <is>
          <t>Caída de la carga, volteo de la grúa o contacto con la carga suspendida</t>
        </is>
      </c>
      <c r="H83" s="6" t="inlineStr">
        <is>
          <t>Aplastamiento, muerte</t>
        </is>
      </c>
      <c r="I83" s="4" t="inlineStr">
        <is>
          <t>S</t>
        </is>
      </c>
      <c r="J83" s="20" t="n">
        <v>2</v>
      </c>
      <c r="K83" s="20" t="n">
        <v>2</v>
      </c>
      <c r="L83" s="20" t="n">
        <v>2</v>
      </c>
      <c r="M83" s="20" t="n">
        <v>2</v>
      </c>
      <c r="N83" s="21">
        <f>SUM(J83:M83)</f>
        <v/>
      </c>
      <c r="O83" s="20" t="n">
        <v>3</v>
      </c>
      <c r="P83" s="21">
        <f>N83*O83</f>
        <v/>
      </c>
      <c r="Q83" s="4">
        <f>IF(P83&lt;=4,"Trivial",IF(P83&lt;=8,"Tolerable",IF(P83&lt;=16,"Moderado",IF(P83&lt;=24,"Importante","Intolerable"))))</f>
        <v/>
      </c>
      <c r="R83" s="21">
        <f>IF(OR(Q83="Importante",Q83="Intolerable"),"Sí","No")</f>
        <v/>
      </c>
      <c r="S83" s="6" t="inlineStr">
        <is>
          <t>No aplica</t>
        </is>
      </c>
      <c r="T83" s="6" t="inlineStr">
        <is>
          <t>No aplica</t>
        </is>
      </c>
      <c r="U83" s="6" t="inlineStr">
        <is>
          <t>Grúa con certificado de operatividad; aparejos certificados; estabilizadores sobre terreno firme; vientos de guía</t>
        </is>
      </c>
      <c r="V83" s="6" t="inlineStr">
        <is>
          <t>PETAR de izaje y plan de izaje; rigger y operador certificados; zona de exclusión bajo la carga</t>
        </is>
      </c>
      <c r="W83" s="6" t="inlineStr">
        <is>
          <t>Casco de seguridad con barbiquejo (ANSI Z89.1), Guantes de cuero o badana</t>
        </is>
      </c>
      <c r="X83" s="20" t="n">
        <v>2</v>
      </c>
      <c r="Y83" s="20" t="n">
        <v>1</v>
      </c>
      <c r="Z83" s="20" t="n">
        <v>1</v>
      </c>
      <c r="AA83" s="20" t="n">
        <v>1</v>
      </c>
      <c r="AB83" s="21">
        <f>SUM(X83:AA83)</f>
        <v/>
      </c>
      <c r="AC83" s="20" t="n">
        <v>3</v>
      </c>
      <c r="AD83" s="21">
        <f>AB83*AC83</f>
        <v/>
      </c>
      <c r="AE83" s="4">
        <f>IF(AD83&lt;=4,"Trivial",IF(AD83&lt;=8,"Tolerable",IF(AD83&lt;=16,"Moderado",IF(AD83&lt;=24,"Importante","Intolerable"))))</f>
        <v/>
      </c>
      <c r="AF83" s="21">
        <f>IF(OR(AE83="Importante",AE83="Intolerable"),"Sí","No")</f>
        <v/>
      </c>
      <c r="AG83" s="6" t="inlineStr">
        <is>
          <t>PETS - Instalación de alcantarillas y tuberías</t>
        </is>
      </c>
      <c r="AH83" s="4" t="inlineStr">
        <is>
          <t>Izaje de cargas con grúa o equipo de levante</t>
        </is>
      </c>
    </row>
    <row r="84" ht="58" customHeight="1">
      <c r="A84" s="4" t="n">
        <v>79</v>
      </c>
      <c r="B84" s="6" t="inlineStr">
        <is>
          <t>Obras de arte y drenaje</t>
        </is>
      </c>
      <c r="C84" s="6" t="inlineStr">
        <is>
          <t>Instalación de alcantarillas, tuberías y elementos prefabricados</t>
        </is>
      </c>
      <c r="D84" s="6" t="inlineStr">
        <is>
          <t>Operario, Peón, Operador de equipo</t>
        </is>
      </c>
      <c r="E84" s="4" t="inlineStr">
        <is>
          <t>R</t>
        </is>
      </c>
      <c r="F84" s="6" t="inlineStr">
        <is>
          <t>Planchas y tubos de acero corrugado</t>
        </is>
      </c>
      <c r="G84" s="6" t="inlineStr">
        <is>
          <t>Cortes y atrapamiento de manos durante el armado</t>
        </is>
      </c>
      <c r="H84" s="6" t="inlineStr">
        <is>
          <t>Heridas, fracturas</t>
        </is>
      </c>
      <c r="I84" s="4" t="inlineStr">
        <is>
          <t>S</t>
        </is>
      </c>
      <c r="J84" s="20" t="n">
        <v>2</v>
      </c>
      <c r="K84" s="20" t="n">
        <v>2</v>
      </c>
      <c r="L84" s="20" t="n">
        <v>2</v>
      </c>
      <c r="M84" s="20" t="n">
        <v>3</v>
      </c>
      <c r="N84" s="21">
        <f>SUM(J84:M84)</f>
        <v/>
      </c>
      <c r="O84" s="20" t="n">
        <v>2</v>
      </c>
      <c r="P84" s="21">
        <f>N84*O84</f>
        <v/>
      </c>
      <c r="Q84" s="4">
        <f>IF(P84&lt;=4,"Trivial",IF(P84&lt;=8,"Tolerable",IF(P84&lt;=16,"Moderado",IF(P84&lt;=24,"Importante","Intolerable"))))</f>
        <v/>
      </c>
      <c r="R84" s="21">
        <f>IF(OR(Q84="Importante",Q84="Intolerable"),"Sí","No")</f>
        <v/>
      </c>
      <c r="S84" s="6" t="inlineStr">
        <is>
          <t>No aplica</t>
        </is>
      </c>
      <c r="T84" s="6" t="inlineStr">
        <is>
          <t>No aplica</t>
        </is>
      </c>
      <c r="U84" s="6" t="inlineStr">
        <is>
          <t>No aplica</t>
        </is>
      </c>
      <c r="V84" s="6" t="inlineStr">
        <is>
          <t>Armado con herramientas adecuadas; coordinación con el operador</t>
        </is>
      </c>
      <c r="W84" s="6" t="inlineStr">
        <is>
          <t>Guantes de cuero o badana</t>
        </is>
      </c>
      <c r="X84" s="20" t="n">
        <v>2</v>
      </c>
      <c r="Y84" s="20" t="n">
        <v>1</v>
      </c>
      <c r="Z84" s="20" t="n">
        <v>1</v>
      </c>
      <c r="AA84" s="20" t="n">
        <v>3</v>
      </c>
      <c r="AB84" s="21">
        <f>SUM(X84:AA84)</f>
        <v/>
      </c>
      <c r="AC84" s="20" t="n">
        <v>1</v>
      </c>
      <c r="AD84" s="21">
        <f>AB84*AC84</f>
        <v/>
      </c>
      <c r="AE84" s="4">
        <f>IF(AD84&lt;=4,"Trivial",IF(AD84&lt;=8,"Tolerable",IF(AD84&lt;=16,"Moderado",IF(AD84&lt;=24,"Importante","Intolerable"))))</f>
        <v/>
      </c>
      <c r="AF84" s="21">
        <f>IF(OR(AE84="Importante",AE84="Intolerable"),"Sí","No")</f>
        <v/>
      </c>
      <c r="AG84" s="6" t="inlineStr">
        <is>
          <t>PETS - Instalación de alcantarillas y tuberías</t>
        </is>
      </c>
      <c r="AH84" s="4" t="inlineStr">
        <is>
          <t>Izaje de cargas con grúa o equipo de levante</t>
        </is>
      </c>
    </row>
    <row r="85" ht="58" customHeight="1">
      <c r="A85" s="4" t="n">
        <v>80</v>
      </c>
      <c r="B85" s="6" t="inlineStr">
        <is>
          <t>Obras de arte y drenaje</t>
        </is>
      </c>
      <c r="C85" s="6" t="inlineStr">
        <is>
          <t>Instalación de alcantarillas, tuberías y elementos prefabricados</t>
        </is>
      </c>
      <c r="D85" s="6" t="inlineStr">
        <is>
          <t>Operario, Peón, Operador de equipo</t>
        </is>
      </c>
      <c r="E85" s="4" t="inlineStr">
        <is>
          <t>R</t>
        </is>
      </c>
      <c r="F85" s="6" t="inlineStr">
        <is>
          <t>Manipulación manual de cargas</t>
        </is>
      </c>
      <c r="G85" s="6" t="inlineStr">
        <is>
          <t>Sobreesfuerzo por levantar o trasladar cargas pesadas o en mala postura</t>
        </is>
      </c>
      <c r="H85" s="6" t="inlineStr">
        <is>
          <t>Lumbalgia, hernias, lesiones musculoesqueléticas</t>
        </is>
      </c>
      <c r="I85" s="4" t="inlineStr">
        <is>
          <t>SO</t>
        </is>
      </c>
      <c r="J85" s="20" t="n">
        <v>2</v>
      </c>
      <c r="K85" s="20" t="n">
        <v>2</v>
      </c>
      <c r="L85" s="20" t="n">
        <v>2</v>
      </c>
      <c r="M85" s="20" t="n">
        <v>3</v>
      </c>
      <c r="N85" s="21">
        <f>SUM(J85:M85)</f>
        <v/>
      </c>
      <c r="O85" s="20" t="n">
        <v>2</v>
      </c>
      <c r="P85" s="21">
        <f>N85*O85</f>
        <v/>
      </c>
      <c r="Q85" s="4">
        <f>IF(P85&lt;=4,"Trivial",IF(P85&lt;=8,"Tolerable",IF(P85&lt;=16,"Moderado",IF(P85&lt;=24,"Importante","Intolerable"))))</f>
        <v/>
      </c>
      <c r="R85" s="21">
        <f>IF(OR(Q85="Importante",Q85="Intolerable"),"Sí","No")</f>
        <v/>
      </c>
      <c r="S85" s="6" t="inlineStr">
        <is>
          <t>No aplica</t>
        </is>
      </c>
      <c r="T85" s="6" t="inlineStr">
        <is>
          <t>Uso de carretillas, montacargas o equipo para cargas mayores de 25 kg</t>
        </is>
      </c>
      <c r="U85" s="6" t="inlineStr">
        <is>
          <t>Puntos de acopio cerca del frente de trabajo</t>
        </is>
      </c>
      <c r="V85" s="6" t="inlineStr">
        <is>
          <t>Capacitación en levantamiento seguro (R.M. N.° 375-2008-TR); trabajo en pareja; pausas activas</t>
        </is>
      </c>
      <c r="W85" s="6" t="inlineStr">
        <is>
          <t>EPP básico; faja lumbar solo con indicación médica</t>
        </is>
      </c>
      <c r="X85" s="20" t="n">
        <v>2</v>
      </c>
      <c r="Y85" s="20" t="n">
        <v>1</v>
      </c>
      <c r="Z85" s="20" t="n">
        <v>1</v>
      </c>
      <c r="AA85" s="20" t="n">
        <v>3</v>
      </c>
      <c r="AB85" s="21">
        <f>SUM(X85:AA85)</f>
        <v/>
      </c>
      <c r="AC85" s="20" t="n">
        <v>1</v>
      </c>
      <c r="AD85" s="21">
        <f>AB85*AC85</f>
        <v/>
      </c>
      <c r="AE85" s="4">
        <f>IF(AD85&lt;=4,"Trivial",IF(AD85&lt;=8,"Tolerable",IF(AD85&lt;=16,"Moderado",IF(AD85&lt;=24,"Importante","Intolerable"))))</f>
        <v/>
      </c>
      <c r="AF85" s="21">
        <f>IF(OR(AE85="Importante",AE85="Intolerable"),"Sí","No")</f>
        <v/>
      </c>
      <c r="AG85" s="6" t="inlineStr">
        <is>
          <t>PETS - Instalación de alcantarillas y tuberías</t>
        </is>
      </c>
      <c r="AH85" s="4" t="inlineStr">
        <is>
          <t>Izaje de cargas con grúa o equipo de levante</t>
        </is>
      </c>
    </row>
    <row r="86" ht="58" customHeight="1">
      <c r="A86" s="4" t="n">
        <v>81</v>
      </c>
      <c r="B86" s="6" t="inlineStr">
        <is>
          <t>Pavimentos</t>
        </is>
      </c>
      <c r="C86" s="6" t="inlineStr">
        <is>
          <t>Imprimación, riego de liga y pavimento asfáltico en caliente</t>
        </is>
      </c>
      <c r="D86" s="6" t="inlineStr">
        <is>
          <t>Operador de pavimentadora, Operador de rodillo, Rastrillero, Peón, Chofer de imprimadora</t>
        </is>
      </c>
      <c r="E86" s="4" t="inlineStr">
        <is>
          <t>R</t>
        </is>
      </c>
      <c r="F86" s="6" t="inlineStr">
        <is>
          <t>Mezcla asfáltica y cemento asfáltico a alta temperatura</t>
        </is>
      </c>
      <c r="G86" s="6" t="inlineStr">
        <is>
          <t>Contacto con material caliente</t>
        </is>
      </c>
      <c r="H86" s="6" t="inlineStr">
        <is>
          <t>Quemaduras de segundo y tercer grado</t>
        </is>
      </c>
      <c r="I86" s="4" t="inlineStr">
        <is>
          <t>S</t>
        </is>
      </c>
      <c r="J86" s="20" t="n">
        <v>2</v>
      </c>
      <c r="K86" s="20" t="n">
        <v>2</v>
      </c>
      <c r="L86" s="20" t="n">
        <v>2</v>
      </c>
      <c r="M86" s="20" t="n">
        <v>3</v>
      </c>
      <c r="N86" s="21">
        <f>SUM(J86:M86)</f>
        <v/>
      </c>
      <c r="O86" s="20" t="n">
        <v>3</v>
      </c>
      <c r="P86" s="21">
        <f>N86*O86</f>
        <v/>
      </c>
      <c r="Q86" s="4">
        <f>IF(P86&lt;=4,"Trivial",IF(P86&lt;=8,"Tolerable",IF(P86&lt;=16,"Moderado",IF(P86&lt;=24,"Importante","Intolerable"))))</f>
        <v/>
      </c>
      <c r="R86" s="21">
        <f>IF(OR(Q86="Importante",Q86="Intolerable"),"Sí","No")</f>
        <v/>
      </c>
      <c r="S86" s="6" t="inlineStr">
        <is>
          <t>No aplica</t>
        </is>
      </c>
      <c r="T86" s="6" t="inlineStr">
        <is>
          <t>No aplica</t>
        </is>
      </c>
      <c r="U86" s="6" t="inlineStr">
        <is>
          <t>Pavimentadora con plataforma y barandas</t>
        </is>
      </c>
      <c r="V86" s="6" t="inlineStr">
        <is>
          <t>Distancia a la tolva; procedimiento de descarga</t>
        </is>
      </c>
      <c r="W86" s="6" t="inlineStr">
        <is>
          <t>Ropa de manga larga de algodón y guantes de caña larga resistentes al calor</t>
        </is>
      </c>
      <c r="X86" s="20" t="n">
        <v>2</v>
      </c>
      <c r="Y86" s="20" t="n">
        <v>1</v>
      </c>
      <c r="Z86" s="20" t="n">
        <v>1</v>
      </c>
      <c r="AA86" s="20" t="n">
        <v>3</v>
      </c>
      <c r="AB86" s="21">
        <f>SUM(X86:AA86)</f>
        <v/>
      </c>
      <c r="AC86" s="20" t="n">
        <v>2</v>
      </c>
      <c r="AD86" s="21">
        <f>AB86*AC86</f>
        <v/>
      </c>
      <c r="AE86" s="4">
        <f>IF(AD86&lt;=4,"Trivial",IF(AD86&lt;=8,"Tolerable",IF(AD86&lt;=16,"Moderado",IF(AD86&lt;=24,"Importante","Intolerable"))))</f>
        <v/>
      </c>
      <c r="AF86" s="21">
        <f>IF(OR(AE86="Importante",AE86="Intolerable"),"Sí","No")</f>
        <v/>
      </c>
      <c r="AG86" s="6" t="inlineStr">
        <is>
          <t>PETS - Imprimación y colocación de carpeta asfáltica</t>
        </is>
      </c>
      <c r="AH86" s="4" t="inlineStr">
        <is>
          <t>Trabajos en caliente</t>
        </is>
      </c>
    </row>
    <row r="87" ht="58" customHeight="1">
      <c r="A87" s="4" t="n">
        <v>82</v>
      </c>
      <c r="B87" s="6" t="inlineStr">
        <is>
          <t>Pavimentos</t>
        </is>
      </c>
      <c r="C87" s="6" t="inlineStr">
        <is>
          <t>Imprimación, riego de liga y pavimento asfáltico en caliente</t>
        </is>
      </c>
      <c r="D87" s="6" t="inlineStr">
        <is>
          <t>Operador de pavimentadora, Operador de rodillo, Rastrillero, Peón, Chofer de imprimadora</t>
        </is>
      </c>
      <c r="E87" s="4" t="inlineStr">
        <is>
          <t>R</t>
        </is>
      </c>
      <c r="F87" s="6" t="inlineStr">
        <is>
          <t>Asfalto diluido MC-30 y vapores de asfalto</t>
        </is>
      </c>
      <c r="G87" s="6" t="inlineStr">
        <is>
          <t>Inhalación de vapores y contacto dérmico</t>
        </is>
      </c>
      <c r="H87" s="6" t="inlineStr">
        <is>
          <t>Irritación respiratoria, dermatitis</t>
        </is>
      </c>
      <c r="I87" s="4" t="inlineStr">
        <is>
          <t>SO</t>
        </is>
      </c>
      <c r="J87" s="20" t="n">
        <v>2</v>
      </c>
      <c r="K87" s="20" t="n">
        <v>2</v>
      </c>
      <c r="L87" s="20" t="n">
        <v>2</v>
      </c>
      <c r="M87" s="20" t="n">
        <v>3</v>
      </c>
      <c r="N87" s="21">
        <f>SUM(J87:M87)</f>
        <v/>
      </c>
      <c r="O87" s="20" t="n">
        <v>2</v>
      </c>
      <c r="P87" s="21">
        <f>N87*O87</f>
        <v/>
      </c>
      <c r="Q87" s="4">
        <f>IF(P87&lt;=4,"Trivial",IF(P87&lt;=8,"Tolerable",IF(P87&lt;=16,"Moderado",IF(P87&lt;=24,"Importante","Intolerable"))))</f>
        <v/>
      </c>
      <c r="R87" s="21">
        <f>IF(OR(Q87="Importante",Q87="Intolerable"),"Sí","No")</f>
        <v/>
      </c>
      <c r="S87" s="6" t="inlineStr">
        <is>
          <t>No aplica</t>
        </is>
      </c>
      <c r="T87" s="6" t="inlineStr">
        <is>
          <t>Emulsión asfáltica en lugar de asfalto diluido cuando las especificaciones lo permitan</t>
        </is>
      </c>
      <c r="U87" s="6" t="inlineStr">
        <is>
          <t>No aplica</t>
        </is>
      </c>
      <c r="V87" s="6" t="inlineStr">
        <is>
          <t>Trabajo a barlovento; SDS en el frente</t>
        </is>
      </c>
      <c r="W87" s="6" t="inlineStr">
        <is>
          <t>Respirador de media cara con cartuchos para vapores orgánicos (NIOSH)</t>
        </is>
      </c>
      <c r="X87" s="20" t="n">
        <v>2</v>
      </c>
      <c r="Y87" s="20" t="n">
        <v>1</v>
      </c>
      <c r="Z87" s="20" t="n">
        <v>1</v>
      </c>
      <c r="AA87" s="20" t="n">
        <v>3</v>
      </c>
      <c r="AB87" s="21">
        <f>SUM(X87:AA87)</f>
        <v/>
      </c>
      <c r="AC87" s="20" t="n">
        <v>1</v>
      </c>
      <c r="AD87" s="21">
        <f>AB87*AC87</f>
        <v/>
      </c>
      <c r="AE87" s="4">
        <f>IF(AD87&lt;=4,"Trivial",IF(AD87&lt;=8,"Tolerable",IF(AD87&lt;=16,"Moderado",IF(AD87&lt;=24,"Importante","Intolerable"))))</f>
        <v/>
      </c>
      <c r="AF87" s="21">
        <f>IF(OR(AE87="Importante",AE87="Intolerable"),"Sí","No")</f>
        <v/>
      </c>
      <c r="AG87" s="6" t="inlineStr">
        <is>
          <t>PETS - Imprimación y colocación de carpeta asfáltica</t>
        </is>
      </c>
      <c r="AH87" s="4" t="inlineStr">
        <is>
          <t>Trabajos en caliente</t>
        </is>
      </c>
    </row>
    <row r="88" ht="58" customHeight="1">
      <c r="A88" s="4" t="n">
        <v>83</v>
      </c>
      <c r="B88" s="6" t="inlineStr">
        <is>
          <t>Pavimentos</t>
        </is>
      </c>
      <c r="C88" s="6" t="inlineStr">
        <is>
          <t>Imprimación, riego de liga y pavimento asfáltico en caliente</t>
        </is>
      </c>
      <c r="D88" s="6" t="inlineStr">
        <is>
          <t>Operador de pavimentadora, Operador de rodillo, Rastrillero, Peón, Chofer de imprimadora</t>
        </is>
      </c>
      <c r="E88" s="4" t="inlineStr">
        <is>
          <t>R</t>
        </is>
      </c>
      <c r="F88" s="6" t="inlineStr">
        <is>
          <t>Asfalto diluido (inflamable) y calentadores</t>
        </is>
      </c>
      <c r="G88" s="6" t="inlineStr">
        <is>
          <t>Incendio del producto o del equipo de riego</t>
        </is>
      </c>
      <c r="H88" s="6" t="inlineStr">
        <is>
          <t>Quemaduras, muerte</t>
        </is>
      </c>
      <c r="I88" s="4" t="inlineStr">
        <is>
          <t>S</t>
        </is>
      </c>
      <c r="J88" s="20" t="n">
        <v>2</v>
      </c>
      <c r="K88" s="20" t="n">
        <v>2</v>
      </c>
      <c r="L88" s="20" t="n">
        <v>2</v>
      </c>
      <c r="M88" s="20" t="n">
        <v>2</v>
      </c>
      <c r="N88" s="21">
        <f>SUM(J88:M88)</f>
        <v/>
      </c>
      <c r="O88" s="20" t="n">
        <v>3</v>
      </c>
      <c r="P88" s="21">
        <f>N88*O88</f>
        <v/>
      </c>
      <c r="Q88" s="4">
        <f>IF(P88&lt;=4,"Trivial",IF(P88&lt;=8,"Tolerable",IF(P88&lt;=16,"Moderado",IF(P88&lt;=24,"Importante","Intolerable"))))</f>
        <v/>
      </c>
      <c r="R88" s="21">
        <f>IF(OR(Q88="Importante",Q88="Intolerable"),"Sí","No")</f>
        <v/>
      </c>
      <c r="S88" s="6" t="inlineStr">
        <is>
          <t>No aplica</t>
        </is>
      </c>
      <c r="T88" s="6" t="inlineStr">
        <is>
          <t>No aplica</t>
        </is>
      </c>
      <c r="U88" s="6" t="inlineStr">
        <is>
          <t>Extintores PQS en imprimadora y frente</t>
        </is>
      </c>
      <c r="V88" s="6" t="inlineStr">
        <is>
          <t>Prohibido fumar y llamas abiertas; PETAR de trabajo en caliente</t>
        </is>
      </c>
      <c r="W88" s="6" t="inlineStr">
        <is>
          <t>EPP básico</t>
        </is>
      </c>
      <c r="X88" s="20" t="n">
        <v>2</v>
      </c>
      <c r="Y88" s="20" t="n">
        <v>1</v>
      </c>
      <c r="Z88" s="20" t="n">
        <v>1</v>
      </c>
      <c r="AA88" s="20" t="n">
        <v>1</v>
      </c>
      <c r="AB88" s="21">
        <f>SUM(X88:AA88)</f>
        <v/>
      </c>
      <c r="AC88" s="20" t="n">
        <v>3</v>
      </c>
      <c r="AD88" s="21">
        <f>AB88*AC88</f>
        <v/>
      </c>
      <c r="AE88" s="4">
        <f>IF(AD88&lt;=4,"Trivial",IF(AD88&lt;=8,"Tolerable",IF(AD88&lt;=16,"Moderado",IF(AD88&lt;=24,"Importante","Intolerable"))))</f>
        <v/>
      </c>
      <c r="AF88" s="21">
        <f>IF(OR(AE88="Importante",AE88="Intolerable"),"Sí","No")</f>
        <v/>
      </c>
      <c r="AG88" s="6" t="inlineStr">
        <is>
          <t>PETS - Imprimación y colocación de carpeta asfáltica</t>
        </is>
      </c>
      <c r="AH88" s="4" t="inlineStr">
        <is>
          <t>Trabajos en caliente</t>
        </is>
      </c>
    </row>
    <row r="89" ht="58" customHeight="1">
      <c r="A89" s="4" t="n">
        <v>84</v>
      </c>
      <c r="B89" s="6" t="inlineStr">
        <is>
          <t>Pavimentos</t>
        </is>
      </c>
      <c r="C89" s="6" t="inlineStr">
        <is>
          <t>Imprimación, riego de liga y pavimento asfáltico en caliente</t>
        </is>
      </c>
      <c r="D89" s="6" t="inlineStr">
        <is>
          <t>Operador de pavimentadora, Operador de rodillo, Rastrillero, Peón, Chofer de imprimadora</t>
        </is>
      </c>
      <c r="E89" s="4" t="inlineStr">
        <is>
          <t>R</t>
        </is>
      </c>
      <c r="F89" s="6" t="inlineStr">
        <is>
          <t>Maquinaria pesada en movimiento</t>
        </is>
      </c>
      <c r="G89" s="6" t="inlineStr">
        <is>
          <t>Atropello o golpe por maquinaria (retroceso, giro)</t>
        </is>
      </c>
      <c r="H89" s="6" t="inlineStr">
        <is>
          <t>Aplastamiento, fracturas, muerte</t>
        </is>
      </c>
      <c r="I89" s="4" t="inlineStr">
        <is>
          <t>S</t>
        </is>
      </c>
      <c r="J89" s="20" t="n">
        <v>2</v>
      </c>
      <c r="K89" s="20" t="n">
        <v>2</v>
      </c>
      <c r="L89" s="20" t="n">
        <v>2</v>
      </c>
      <c r="M89" s="20" t="n">
        <v>3</v>
      </c>
      <c r="N89" s="21">
        <f>SUM(J89:M89)</f>
        <v/>
      </c>
      <c r="O89" s="20" t="n">
        <v>3</v>
      </c>
      <c r="P89" s="21">
        <f>N89*O89</f>
        <v/>
      </c>
      <c r="Q89" s="4">
        <f>IF(P89&lt;=4,"Trivial",IF(P89&lt;=8,"Tolerable",IF(P89&lt;=16,"Moderado",IF(P89&lt;=24,"Importante","Intolerable"))))</f>
        <v/>
      </c>
      <c r="R89" s="21">
        <f>IF(OR(Q89="Importante",Q89="Intolerable"),"Sí","No")</f>
        <v/>
      </c>
      <c r="S89" s="6" t="inlineStr">
        <is>
          <t>No aplica</t>
        </is>
      </c>
      <c r="T89" s="6" t="inlineStr">
        <is>
          <t>No aplica</t>
        </is>
      </c>
      <c r="U89" s="6" t="inlineStr">
        <is>
          <t>Alarma de retroceso y luces en los equipos; zona de trabajo delimitada</t>
        </is>
      </c>
      <c r="V89" s="6" t="inlineStr">
        <is>
          <t>Vigía o señalero; distancia mínima al radio de giro; prohibido el ingreso de peatones al área de operación; operadores autorizados</t>
        </is>
      </c>
      <c r="W89" s="6" t="inlineStr">
        <is>
          <t>Chaleco o uniforme con cintas reflectivas (ANSI/ISEA 107)</t>
        </is>
      </c>
      <c r="X89" s="20" t="n">
        <v>2</v>
      </c>
      <c r="Y89" s="20" t="n">
        <v>1</v>
      </c>
      <c r="Z89" s="20" t="n">
        <v>1</v>
      </c>
      <c r="AA89" s="20" t="n">
        <v>1</v>
      </c>
      <c r="AB89" s="21">
        <f>SUM(X89:AA89)</f>
        <v/>
      </c>
      <c r="AC89" s="20" t="n">
        <v>3</v>
      </c>
      <c r="AD89" s="21">
        <f>AB89*AC89</f>
        <v/>
      </c>
      <c r="AE89" s="4">
        <f>IF(AD89&lt;=4,"Trivial",IF(AD89&lt;=8,"Tolerable",IF(AD89&lt;=16,"Moderado",IF(AD89&lt;=24,"Importante","Intolerable"))))</f>
        <v/>
      </c>
      <c r="AF89" s="21">
        <f>IF(OR(AE89="Importante",AE89="Intolerable"),"Sí","No")</f>
        <v/>
      </c>
      <c r="AG89" s="6" t="inlineStr">
        <is>
          <t>PETS - Imprimación y colocación de carpeta asfáltica</t>
        </is>
      </c>
      <c r="AH89" s="4" t="inlineStr">
        <is>
          <t>Trabajos en caliente</t>
        </is>
      </c>
    </row>
    <row r="90" ht="58" customHeight="1">
      <c r="A90" s="4" t="n">
        <v>85</v>
      </c>
      <c r="B90" s="6" t="inlineStr">
        <is>
          <t>Pavimentos</t>
        </is>
      </c>
      <c r="C90" s="6" t="inlineStr">
        <is>
          <t>Imprimación, riego de liga y pavimento asfáltico en caliente</t>
        </is>
      </c>
      <c r="D90" s="6" t="inlineStr">
        <is>
          <t>Operador de pavimentadora, Operador de rodillo, Rastrillero, Peón, Chofer de imprimadora</t>
        </is>
      </c>
      <c r="E90" s="4" t="inlineStr">
        <is>
          <t>R</t>
        </is>
      </c>
      <c r="F90" s="6" t="inlineStr">
        <is>
          <t>Tránsito vehicular de terceros</t>
        </is>
      </c>
      <c r="G90" s="6" t="inlineStr">
        <is>
          <t>Atropello o colisión con vehículos que circulan por la vía</t>
        </is>
      </c>
      <c r="H90" s="6" t="inlineStr">
        <is>
          <t>Politraumatismo, muerte</t>
        </is>
      </c>
      <c r="I90" s="4" t="inlineStr">
        <is>
          <t>S</t>
        </is>
      </c>
      <c r="J90" s="20" t="n">
        <v>2</v>
      </c>
      <c r="K90" s="20" t="n">
        <v>2</v>
      </c>
      <c r="L90" s="20" t="n">
        <v>2</v>
      </c>
      <c r="M90" s="20" t="n">
        <v>3</v>
      </c>
      <c r="N90" s="21">
        <f>SUM(J90:M90)</f>
        <v/>
      </c>
      <c r="O90" s="20" t="n">
        <v>3</v>
      </c>
      <c r="P90" s="21">
        <f>N90*O90</f>
        <v/>
      </c>
      <c r="Q90" s="4">
        <f>IF(P90&lt;=4,"Trivial",IF(P90&lt;=8,"Tolerable",IF(P90&lt;=16,"Moderado",IF(P90&lt;=24,"Importante","Intolerable"))))</f>
        <v/>
      </c>
      <c r="R90" s="21">
        <f>IF(OR(Q90="Importante",Q90="Intolerable"),"Sí","No")</f>
        <v/>
      </c>
      <c r="S90" s="6" t="inlineStr">
        <is>
          <t>No aplica</t>
        </is>
      </c>
      <c r="T90" s="6" t="inlineStr">
        <is>
          <t>No aplica</t>
        </is>
      </c>
      <c r="U90" s="6" t="inlineStr">
        <is>
          <t>Dispositivos de control de tránsito (conos, barreras, tranqueras, señales) según el Manual de Dispositivos de Control del Tránsito del MTC</t>
        </is>
      </c>
      <c r="V90" s="6" t="inlineStr">
        <is>
          <t>Plan de desvíos y control de tránsito; controladores con paletas PARE/SIGA y radio; trabajos nocturnos solo con iluminación</t>
        </is>
      </c>
      <c r="W90" s="6" t="inlineStr">
        <is>
          <t>Chaleco o uniforme con cintas reflectivas (ANSI/ISEA 107)</t>
        </is>
      </c>
      <c r="X90" s="20" t="n">
        <v>2</v>
      </c>
      <c r="Y90" s="20" t="n">
        <v>1</v>
      </c>
      <c r="Z90" s="20" t="n">
        <v>1</v>
      </c>
      <c r="AA90" s="20" t="n">
        <v>1</v>
      </c>
      <c r="AB90" s="21">
        <f>SUM(X90:AA90)</f>
        <v/>
      </c>
      <c r="AC90" s="20" t="n">
        <v>3</v>
      </c>
      <c r="AD90" s="21">
        <f>AB90*AC90</f>
        <v/>
      </c>
      <c r="AE90" s="4">
        <f>IF(AD90&lt;=4,"Trivial",IF(AD90&lt;=8,"Tolerable",IF(AD90&lt;=16,"Moderado",IF(AD90&lt;=24,"Importante","Intolerable"))))</f>
        <v/>
      </c>
      <c r="AF90" s="21">
        <f>IF(OR(AE90="Importante",AE90="Intolerable"),"Sí","No")</f>
        <v/>
      </c>
      <c r="AG90" s="6" t="inlineStr">
        <is>
          <t>PETS - Imprimación y colocación de carpeta asfáltica</t>
        </is>
      </c>
      <c r="AH90" s="4" t="inlineStr">
        <is>
          <t>Trabajos en caliente</t>
        </is>
      </c>
    </row>
    <row r="91" ht="58" customHeight="1">
      <c r="A91" s="4" t="n">
        <v>86</v>
      </c>
      <c r="B91" s="6" t="inlineStr">
        <is>
          <t>Pavimentos</t>
        </is>
      </c>
      <c r="C91" s="6" t="inlineStr">
        <is>
          <t>Imprimación, riego de liga y pavimento asfáltico en caliente</t>
        </is>
      </c>
      <c r="D91" s="6" t="inlineStr">
        <is>
          <t>Operador de pavimentadora, Operador de rodillo, Rastrillero, Peón, Chofer de imprimadora</t>
        </is>
      </c>
      <c r="E91" s="4" t="inlineStr">
        <is>
          <t>R</t>
        </is>
      </c>
      <c r="F91" s="6" t="inlineStr">
        <is>
          <t>Radiación solar y temperatura ambiente elevada</t>
        </is>
      </c>
      <c r="G91" s="6" t="inlineStr">
        <is>
          <t>Exposición prolongada a radiación UV y a calor</t>
        </is>
      </c>
      <c r="H91" s="6" t="inlineStr">
        <is>
          <t>Golpe de calor, deshidratación, quemaduras de piel</t>
        </is>
      </c>
      <c r="I91" s="4" t="inlineStr">
        <is>
          <t>SO</t>
        </is>
      </c>
      <c r="J91" s="20" t="n">
        <v>2</v>
      </c>
      <c r="K91" s="20" t="n">
        <v>2</v>
      </c>
      <c r="L91" s="20" t="n">
        <v>2</v>
      </c>
      <c r="M91" s="20" t="n">
        <v>3</v>
      </c>
      <c r="N91" s="21">
        <f>SUM(J91:M91)</f>
        <v/>
      </c>
      <c r="O91" s="20" t="n">
        <v>2</v>
      </c>
      <c r="P91" s="21">
        <f>N91*O91</f>
        <v/>
      </c>
      <c r="Q91" s="4">
        <f>IF(P91&lt;=4,"Trivial",IF(P91&lt;=8,"Tolerable",IF(P91&lt;=16,"Moderado",IF(P91&lt;=24,"Importante","Intolerable"))))</f>
        <v/>
      </c>
      <c r="R91" s="21">
        <f>IF(OR(Q91="Importante",Q91="Intolerable"),"Sí","No")</f>
        <v/>
      </c>
      <c r="S91" s="6" t="inlineStr">
        <is>
          <t>No aplica</t>
        </is>
      </c>
      <c r="T91" s="6" t="inlineStr">
        <is>
          <t>No aplica</t>
        </is>
      </c>
      <c r="U91" s="6" t="inlineStr">
        <is>
          <t>Toldos o sombras en las zonas de descanso; puntos de hidratación con agua potable en cada frente</t>
        </is>
      </c>
      <c r="V91" s="6" t="inlineStr">
        <is>
          <t>Pausas de hidratación; rotación del personal en las horas de mayor radiación (11:00 a 15:00); charla de estrés térmico</t>
        </is>
      </c>
      <c r="W91" s="6" t="inlineStr">
        <is>
          <t>Bloqueador solar FPS 50+ y cortasol para casco</t>
        </is>
      </c>
      <c r="X91" s="20" t="n">
        <v>2</v>
      </c>
      <c r="Y91" s="20" t="n">
        <v>1</v>
      </c>
      <c r="Z91" s="20" t="n">
        <v>1</v>
      </c>
      <c r="AA91" s="20" t="n">
        <v>3</v>
      </c>
      <c r="AB91" s="21">
        <f>SUM(X91:AA91)</f>
        <v/>
      </c>
      <c r="AC91" s="20" t="n">
        <v>1</v>
      </c>
      <c r="AD91" s="21">
        <f>AB91*AC91</f>
        <v/>
      </c>
      <c r="AE91" s="4">
        <f>IF(AD91&lt;=4,"Trivial",IF(AD91&lt;=8,"Tolerable",IF(AD91&lt;=16,"Moderado",IF(AD91&lt;=24,"Importante","Intolerable"))))</f>
        <v/>
      </c>
      <c r="AF91" s="21">
        <f>IF(OR(AE91="Importante",AE91="Intolerable"),"Sí","No")</f>
        <v/>
      </c>
      <c r="AG91" s="6" t="inlineStr">
        <is>
          <t>PETS - Imprimación y colocación de carpeta asfáltica</t>
        </is>
      </c>
      <c r="AH91" s="4" t="inlineStr">
        <is>
          <t>Trabajos en caliente</t>
        </is>
      </c>
    </row>
    <row r="92" ht="58" customHeight="1">
      <c r="A92" s="4" t="n">
        <v>87</v>
      </c>
      <c r="B92" s="6" t="inlineStr">
        <is>
          <t>Puentes y estructuras</t>
        </is>
      </c>
      <c r="C92" s="6" t="inlineStr">
        <is>
          <t>Fabricación, arenado, pintura y montaje de estructuras metálicas</t>
        </is>
      </c>
      <c r="D92" s="6" t="inlineStr">
        <is>
          <t>Operario soldador, Montajista, Rigger, Operador de grúa, Peón</t>
        </is>
      </c>
      <c r="E92" s="4" t="inlineStr">
        <is>
          <t>R</t>
        </is>
      </c>
      <c r="F92" s="6" t="inlineStr">
        <is>
          <t>Soldadura eléctrica y oxicorte</t>
        </is>
      </c>
      <c r="G92" s="6" t="inlineStr">
        <is>
          <t>Radiación UV, chispas, humos metálicos y contacto con piezas calientes</t>
        </is>
      </c>
      <c r="H92" s="6" t="inlineStr">
        <is>
          <t>Quemaduras, conjuntivitis actínica, intoxicación por humos, incendio</t>
        </is>
      </c>
      <c r="I92" s="4" t="inlineStr">
        <is>
          <t>S</t>
        </is>
      </c>
      <c r="J92" s="20" t="n">
        <v>2</v>
      </c>
      <c r="K92" s="20" t="n">
        <v>2</v>
      </c>
      <c r="L92" s="20" t="n">
        <v>2</v>
      </c>
      <c r="M92" s="20" t="n">
        <v>3</v>
      </c>
      <c r="N92" s="21">
        <f>SUM(J92:M92)</f>
        <v/>
      </c>
      <c r="O92" s="20" t="n">
        <v>2</v>
      </c>
      <c r="P92" s="21">
        <f>N92*O92</f>
        <v/>
      </c>
      <c r="Q92" s="4">
        <f>IF(P92&lt;=4,"Trivial",IF(P92&lt;=8,"Tolerable",IF(P92&lt;=16,"Moderado",IF(P92&lt;=24,"Importante","Intolerable"))))</f>
        <v/>
      </c>
      <c r="R92" s="21">
        <f>IF(OR(Q92="Importante",Q92="Intolerable"),"Sí","No")</f>
        <v/>
      </c>
      <c r="S92" s="6" t="inlineStr">
        <is>
          <t>No aplica</t>
        </is>
      </c>
      <c r="T92" s="6" t="inlineStr">
        <is>
          <t>No aplica</t>
        </is>
      </c>
      <c r="U92" s="6" t="inlineStr">
        <is>
          <t>Biombos o pantallas; ventilación o extracción localizada; extintor PQS a menos de 10 m</t>
        </is>
      </c>
      <c r="V92" s="6" t="inlineStr">
        <is>
          <t>PETAR de trabajo en caliente; retiro de material combustible; vigía contra incendio</t>
        </is>
      </c>
      <c r="W92" s="6" t="inlineStr">
        <is>
          <t>Careta de soldar con filtro adecuado, mandil, escarpines y guantes de caña larga de cuero</t>
        </is>
      </c>
      <c r="X92" s="20" t="n">
        <v>2</v>
      </c>
      <c r="Y92" s="20" t="n">
        <v>1</v>
      </c>
      <c r="Z92" s="20" t="n">
        <v>1</v>
      </c>
      <c r="AA92" s="20" t="n">
        <v>3</v>
      </c>
      <c r="AB92" s="21">
        <f>SUM(X92:AA92)</f>
        <v/>
      </c>
      <c r="AC92" s="20" t="n">
        <v>1</v>
      </c>
      <c r="AD92" s="21">
        <f>AB92*AC92</f>
        <v/>
      </c>
      <c r="AE92" s="4">
        <f>IF(AD92&lt;=4,"Trivial",IF(AD92&lt;=8,"Tolerable",IF(AD92&lt;=16,"Moderado",IF(AD92&lt;=24,"Importante","Intolerable"))))</f>
        <v/>
      </c>
      <c r="AF92" s="21">
        <f>IF(OR(AE92="Importante",AE92="Intolerable"),"Sí","No")</f>
        <v/>
      </c>
      <c r="AG92" s="6" t="inlineStr">
        <is>
          <t>PETS - Montaje de estructuras metálicas</t>
        </is>
      </c>
      <c r="AH92" s="4" t="inlineStr">
        <is>
          <t>Trabajos en caliente, Izaje de cargas con grúa o equipo de levante, Trabajos en altura</t>
        </is>
      </c>
    </row>
    <row r="93" ht="58" customHeight="1">
      <c r="A93" s="4" t="n">
        <v>88</v>
      </c>
      <c r="B93" s="6" t="inlineStr">
        <is>
          <t>Puentes y estructuras</t>
        </is>
      </c>
      <c r="C93" s="6" t="inlineStr">
        <is>
          <t>Fabricación, arenado, pintura y montaje de estructuras metálicas</t>
        </is>
      </c>
      <c r="D93" s="6" t="inlineStr">
        <is>
          <t>Operario soldador, Montajista, Rigger, Operador de grúa, Peón</t>
        </is>
      </c>
      <c r="E93" s="4" t="inlineStr">
        <is>
          <t>R</t>
        </is>
      </c>
      <c r="F93" s="6" t="inlineStr">
        <is>
          <t>Izaje de cargas con grúa o equipo de levante</t>
        </is>
      </c>
      <c r="G93" s="6" t="inlineStr">
        <is>
          <t>Caída de la carga, volteo de la grúa o contacto con la carga suspendida</t>
        </is>
      </c>
      <c r="H93" s="6" t="inlineStr">
        <is>
          <t>Aplastamiento, muerte</t>
        </is>
      </c>
      <c r="I93" s="4" t="inlineStr">
        <is>
          <t>S</t>
        </is>
      </c>
      <c r="J93" s="20" t="n">
        <v>2</v>
      </c>
      <c r="K93" s="20" t="n">
        <v>2</v>
      </c>
      <c r="L93" s="20" t="n">
        <v>2</v>
      </c>
      <c r="M93" s="20" t="n">
        <v>2</v>
      </c>
      <c r="N93" s="21">
        <f>SUM(J93:M93)</f>
        <v/>
      </c>
      <c r="O93" s="20" t="n">
        <v>3</v>
      </c>
      <c r="P93" s="21">
        <f>N93*O93</f>
        <v/>
      </c>
      <c r="Q93" s="4">
        <f>IF(P93&lt;=4,"Trivial",IF(P93&lt;=8,"Tolerable",IF(P93&lt;=16,"Moderado",IF(P93&lt;=24,"Importante","Intolerable"))))</f>
        <v/>
      </c>
      <c r="R93" s="21">
        <f>IF(OR(Q93="Importante",Q93="Intolerable"),"Sí","No")</f>
        <v/>
      </c>
      <c r="S93" s="6" t="inlineStr">
        <is>
          <t>No aplica</t>
        </is>
      </c>
      <c r="T93" s="6" t="inlineStr">
        <is>
          <t>No aplica</t>
        </is>
      </c>
      <c r="U93" s="6" t="inlineStr">
        <is>
          <t>Grúa con certificado de operatividad; aparejos certificados; estabilizadores sobre terreno firme; vientos de guía</t>
        </is>
      </c>
      <c r="V93" s="6" t="inlineStr">
        <is>
          <t>PETAR de izaje y plan de izaje; rigger y operador certificados; zona de exclusión bajo la carga</t>
        </is>
      </c>
      <c r="W93" s="6" t="inlineStr">
        <is>
          <t>Casco de seguridad con barbiquejo (ANSI Z89.1), Guantes de cuero o badana</t>
        </is>
      </c>
      <c r="X93" s="20" t="n">
        <v>2</v>
      </c>
      <c r="Y93" s="20" t="n">
        <v>1</v>
      </c>
      <c r="Z93" s="20" t="n">
        <v>1</v>
      </c>
      <c r="AA93" s="20" t="n">
        <v>1</v>
      </c>
      <c r="AB93" s="21">
        <f>SUM(X93:AA93)</f>
        <v/>
      </c>
      <c r="AC93" s="20" t="n">
        <v>3</v>
      </c>
      <c r="AD93" s="21">
        <f>AB93*AC93</f>
        <v/>
      </c>
      <c r="AE93" s="4">
        <f>IF(AD93&lt;=4,"Trivial",IF(AD93&lt;=8,"Tolerable",IF(AD93&lt;=16,"Moderado",IF(AD93&lt;=24,"Importante","Intolerable"))))</f>
        <v/>
      </c>
      <c r="AF93" s="21">
        <f>IF(OR(AE93="Importante",AE93="Intolerable"),"Sí","No")</f>
        <v/>
      </c>
      <c r="AG93" s="6" t="inlineStr">
        <is>
          <t>PETS - Montaje de estructuras metálicas</t>
        </is>
      </c>
      <c r="AH93" s="4" t="inlineStr">
        <is>
          <t>Trabajos en caliente, Izaje de cargas con grúa o equipo de levante, Trabajos en altura</t>
        </is>
      </c>
    </row>
    <row r="94" ht="58" customHeight="1">
      <c r="A94" s="4" t="n">
        <v>89</v>
      </c>
      <c r="B94" s="6" t="inlineStr">
        <is>
          <t>Puentes y estructuras</t>
        </is>
      </c>
      <c r="C94" s="6" t="inlineStr">
        <is>
          <t>Fabricación, arenado, pintura y montaje de estructuras metálicas</t>
        </is>
      </c>
      <c r="D94" s="6" t="inlineStr">
        <is>
          <t>Operario soldador, Montajista, Rigger, Operador de grúa, Peón</t>
        </is>
      </c>
      <c r="E94" s="4" t="inlineStr">
        <is>
          <t>R</t>
        </is>
      </c>
      <c r="F94" s="6" t="inlineStr">
        <is>
          <t>Trabajo en bordes, plataformas o estructuras a más de 1.80 m</t>
        </is>
      </c>
      <c r="G94" s="6" t="inlineStr">
        <is>
          <t>Caída a distinto nivel</t>
        </is>
      </c>
      <c r="H94" s="6" t="inlineStr">
        <is>
          <t>Fracturas, traumatismo encéfalo craneano, muerte</t>
        </is>
      </c>
      <c r="I94" s="4" t="inlineStr">
        <is>
          <t>S</t>
        </is>
      </c>
      <c r="J94" s="20" t="n">
        <v>2</v>
      </c>
      <c r="K94" s="20" t="n">
        <v>2</v>
      </c>
      <c r="L94" s="20" t="n">
        <v>2</v>
      </c>
      <c r="M94" s="20" t="n">
        <v>3</v>
      </c>
      <c r="N94" s="21">
        <f>SUM(J94:M94)</f>
        <v/>
      </c>
      <c r="O94" s="20" t="n">
        <v>3</v>
      </c>
      <c r="P94" s="21">
        <f>N94*O94</f>
        <v/>
      </c>
      <c r="Q94" s="4">
        <f>IF(P94&lt;=4,"Trivial",IF(P94&lt;=8,"Tolerable",IF(P94&lt;=16,"Moderado",IF(P94&lt;=24,"Importante","Intolerable"))))</f>
        <v/>
      </c>
      <c r="R94" s="21">
        <f>IF(OR(Q94="Importante",Q94="Intolerable"),"Sí","No")</f>
        <v/>
      </c>
      <c r="S94" s="6" t="inlineStr">
        <is>
          <t>No aplica</t>
        </is>
      </c>
      <c r="T94" s="6" t="inlineStr">
        <is>
          <t>No aplica</t>
        </is>
      </c>
      <c r="U94" s="6" t="inlineStr">
        <is>
          <t>Barandas perimetrales de 1.00 m con rodapié; plataformas y andamios certificados; líneas de vida y puntos de anclaje</t>
        </is>
      </c>
      <c r="V94" s="6" t="inlineStr">
        <is>
          <t>PETAR de trabajo en altura; inspección diaria de andamios (tarjeta verde/roja); personal capacitado y apto</t>
        </is>
      </c>
      <c r="W94" s="6" t="inlineStr">
        <is>
          <t>Arnés de cuerpo entero y línea de anclaje con absorbedor de impacto (ANSI Z359.11)</t>
        </is>
      </c>
      <c r="X94" s="20" t="n">
        <v>2</v>
      </c>
      <c r="Y94" s="20" t="n">
        <v>1</v>
      </c>
      <c r="Z94" s="20" t="n">
        <v>1</v>
      </c>
      <c r="AA94" s="20" t="n">
        <v>3</v>
      </c>
      <c r="AB94" s="21">
        <f>SUM(X94:AA94)</f>
        <v/>
      </c>
      <c r="AC94" s="20" t="n">
        <v>2</v>
      </c>
      <c r="AD94" s="21">
        <f>AB94*AC94</f>
        <v/>
      </c>
      <c r="AE94" s="4">
        <f>IF(AD94&lt;=4,"Trivial",IF(AD94&lt;=8,"Tolerable",IF(AD94&lt;=16,"Moderado",IF(AD94&lt;=24,"Importante","Intolerable"))))</f>
        <v/>
      </c>
      <c r="AF94" s="21">
        <f>IF(OR(AE94="Importante",AE94="Intolerable"),"Sí","No")</f>
        <v/>
      </c>
      <c r="AG94" s="6" t="inlineStr">
        <is>
          <t>PETS - Montaje de estructuras metálicas</t>
        </is>
      </c>
      <c r="AH94" s="4" t="inlineStr">
        <is>
          <t>Trabajos en caliente, Izaje de cargas con grúa o equipo de levante, Trabajos en altura</t>
        </is>
      </c>
    </row>
    <row r="95" ht="58" customHeight="1">
      <c r="A95" s="4" t="n">
        <v>90</v>
      </c>
      <c r="B95" s="6" t="inlineStr">
        <is>
          <t>Puentes y estructuras</t>
        </is>
      </c>
      <c r="C95" s="6" t="inlineStr">
        <is>
          <t>Fabricación, arenado, pintura y montaje de estructuras metálicas</t>
        </is>
      </c>
      <c r="D95" s="6" t="inlineStr">
        <is>
          <t>Operario soldador, Montajista, Rigger, Operador de grúa, Peón</t>
        </is>
      </c>
      <c r="E95" s="4" t="inlineStr">
        <is>
          <t>R</t>
        </is>
      </c>
      <c r="F95" s="6" t="inlineStr">
        <is>
          <t>Arenado con abrasivo</t>
        </is>
      </c>
      <c r="G95" s="6" t="inlineStr">
        <is>
          <t>Inhalación de polvo de abrasivo y sílice</t>
        </is>
      </c>
      <c r="H95" s="6" t="inlineStr">
        <is>
          <t>Silicosis, enfermedades respiratorias</t>
        </is>
      </c>
      <c r="I95" s="4" t="inlineStr">
        <is>
          <t>SO</t>
        </is>
      </c>
      <c r="J95" s="20" t="n">
        <v>2</v>
      </c>
      <c r="K95" s="20" t="n">
        <v>2</v>
      </c>
      <c r="L95" s="20" t="n">
        <v>2</v>
      </c>
      <c r="M95" s="20" t="n">
        <v>2</v>
      </c>
      <c r="N95" s="21">
        <f>SUM(J95:M95)</f>
        <v/>
      </c>
      <c r="O95" s="20" t="n">
        <v>3</v>
      </c>
      <c r="P95" s="21">
        <f>N95*O95</f>
        <v/>
      </c>
      <c r="Q95" s="4">
        <f>IF(P95&lt;=4,"Trivial",IF(P95&lt;=8,"Tolerable",IF(P95&lt;=16,"Moderado",IF(P95&lt;=24,"Importante","Intolerable"))))</f>
        <v/>
      </c>
      <c r="R95" s="21">
        <f>IF(OR(Q95="Importante",Q95="Intolerable"),"Sí","No")</f>
        <v/>
      </c>
      <c r="S95" s="6" t="inlineStr">
        <is>
          <t>No aplica</t>
        </is>
      </c>
      <c r="T95" s="6" t="inlineStr">
        <is>
          <t>Abrasivo sin sílice libre (granalla de acero o escoria)</t>
        </is>
      </c>
      <c r="U95" s="6" t="inlineStr">
        <is>
          <t>Cabina o zona de arenado aislada</t>
        </is>
      </c>
      <c r="V95" s="6" t="inlineStr">
        <is>
          <t>Monitoreo de polvo respirable</t>
        </is>
      </c>
      <c r="W95" s="6" t="inlineStr">
        <is>
          <t>Casco de arenador con suministro de aire</t>
        </is>
      </c>
      <c r="X95" s="20" t="n">
        <v>2</v>
      </c>
      <c r="Y95" s="20" t="n">
        <v>1</v>
      </c>
      <c r="Z95" s="20" t="n">
        <v>1</v>
      </c>
      <c r="AA95" s="20" t="n">
        <v>2</v>
      </c>
      <c r="AB95" s="21">
        <f>SUM(X95:AA95)</f>
        <v/>
      </c>
      <c r="AC95" s="20" t="n">
        <v>2</v>
      </c>
      <c r="AD95" s="21">
        <f>AB95*AC95</f>
        <v/>
      </c>
      <c r="AE95" s="4">
        <f>IF(AD95&lt;=4,"Trivial",IF(AD95&lt;=8,"Tolerable",IF(AD95&lt;=16,"Moderado",IF(AD95&lt;=24,"Importante","Intolerable"))))</f>
        <v/>
      </c>
      <c r="AF95" s="21">
        <f>IF(OR(AE95="Importante",AE95="Intolerable"),"Sí","No")</f>
        <v/>
      </c>
      <c r="AG95" s="6" t="inlineStr">
        <is>
          <t>PETS - Montaje de estructuras metálicas</t>
        </is>
      </c>
      <c r="AH95" s="4" t="inlineStr">
        <is>
          <t>Trabajos en caliente, Izaje de cargas con grúa o equipo de levante, Trabajos en altura</t>
        </is>
      </c>
    </row>
    <row r="96" ht="58" customHeight="1">
      <c r="A96" s="4" t="n">
        <v>91</v>
      </c>
      <c r="B96" s="6" t="inlineStr">
        <is>
          <t>Puentes y estructuras</t>
        </is>
      </c>
      <c r="C96" s="6" t="inlineStr">
        <is>
          <t>Fabricación, arenado, pintura y montaje de estructuras metálicas</t>
        </is>
      </c>
      <c r="D96" s="6" t="inlineStr">
        <is>
          <t>Operario soldador, Montajista, Rigger, Operador de grúa, Peón</t>
        </is>
      </c>
      <c r="E96" s="4" t="inlineStr">
        <is>
          <t>R</t>
        </is>
      </c>
      <c r="F96" s="6" t="inlineStr">
        <is>
          <t>Pintura anticorrosiva y solventes</t>
        </is>
      </c>
      <c r="G96" s="6" t="inlineStr">
        <is>
          <t>Inhalación de vapores orgánicos</t>
        </is>
      </c>
      <c r="H96" s="6" t="inlineStr">
        <is>
          <t>Intoxicación, dermatitis</t>
        </is>
      </c>
      <c r="I96" s="4" t="inlineStr">
        <is>
          <t>SO</t>
        </is>
      </c>
      <c r="J96" s="20" t="n">
        <v>2</v>
      </c>
      <c r="K96" s="20" t="n">
        <v>2</v>
      </c>
      <c r="L96" s="20" t="n">
        <v>2</v>
      </c>
      <c r="M96" s="20" t="n">
        <v>2</v>
      </c>
      <c r="N96" s="21">
        <f>SUM(J96:M96)</f>
        <v/>
      </c>
      <c r="O96" s="20" t="n">
        <v>2</v>
      </c>
      <c r="P96" s="21">
        <f>N96*O96</f>
        <v/>
      </c>
      <c r="Q96" s="4">
        <f>IF(P96&lt;=4,"Trivial",IF(P96&lt;=8,"Tolerable",IF(P96&lt;=16,"Moderado",IF(P96&lt;=24,"Importante","Intolerable"))))</f>
        <v/>
      </c>
      <c r="R96" s="21">
        <f>IF(OR(Q96="Importante",Q96="Intolerable"),"Sí","No")</f>
        <v/>
      </c>
      <c r="S96" s="6" t="inlineStr">
        <is>
          <t>No aplica</t>
        </is>
      </c>
      <c r="T96" s="6" t="inlineStr">
        <is>
          <t>Pinturas de bajo contenido de solventes</t>
        </is>
      </c>
      <c r="U96" s="6" t="inlineStr">
        <is>
          <t>Ventilación</t>
        </is>
      </c>
      <c r="V96" s="6" t="inlineStr">
        <is>
          <t>SDS; almacenamiento lejos de fuentes de ignición</t>
        </is>
      </c>
      <c r="W96" s="6" t="inlineStr">
        <is>
          <t>Respirador de media cara con cartuchos para vapores orgánicos (NIOSH)</t>
        </is>
      </c>
      <c r="X96" s="20" t="n">
        <v>2</v>
      </c>
      <c r="Y96" s="20" t="n">
        <v>1</v>
      </c>
      <c r="Z96" s="20" t="n">
        <v>1</v>
      </c>
      <c r="AA96" s="20" t="n">
        <v>2</v>
      </c>
      <c r="AB96" s="21">
        <f>SUM(X96:AA96)</f>
        <v/>
      </c>
      <c r="AC96" s="20" t="n">
        <v>1</v>
      </c>
      <c r="AD96" s="21">
        <f>AB96*AC96</f>
        <v/>
      </c>
      <c r="AE96" s="4">
        <f>IF(AD96&lt;=4,"Trivial",IF(AD96&lt;=8,"Tolerable",IF(AD96&lt;=16,"Moderado",IF(AD96&lt;=24,"Importante","Intolerable"))))</f>
        <v/>
      </c>
      <c r="AF96" s="21">
        <f>IF(OR(AE96="Importante",AE96="Intolerable"),"Sí","No")</f>
        <v/>
      </c>
      <c r="AG96" s="6" t="inlineStr">
        <is>
          <t>PETS - Montaje de estructuras metálicas</t>
        </is>
      </c>
      <c r="AH96" s="4" t="inlineStr">
        <is>
          <t>Trabajos en caliente, Izaje de cargas con grúa o equipo de levante, Trabajos en altura</t>
        </is>
      </c>
    </row>
    <row r="97" ht="58" customHeight="1">
      <c r="A97" s="4" t="n">
        <v>92</v>
      </c>
      <c r="B97" s="6" t="inlineStr">
        <is>
          <t>Puentes y estructuras</t>
        </is>
      </c>
      <c r="C97" s="6" t="inlineStr">
        <is>
          <t>Fabricación, arenado, pintura y montaje de estructuras metálicas</t>
        </is>
      </c>
      <c r="D97" s="6" t="inlineStr">
        <is>
          <t>Operario soldador, Montajista, Rigger, Operador de grúa, Peón</t>
        </is>
      </c>
      <c r="E97" s="4" t="inlineStr">
        <is>
          <t>R</t>
        </is>
      </c>
      <c r="F97" s="6" t="inlineStr">
        <is>
          <t>Ruido de maquinaria y equipos</t>
        </is>
      </c>
      <c r="G97" s="6" t="inlineStr">
        <is>
          <t>Exposición a ruido mayor de 85 dB(A)</t>
        </is>
      </c>
      <c r="H97" s="6" t="inlineStr">
        <is>
          <t>Hipoacusia inducida por ruido</t>
        </is>
      </c>
      <c r="I97" s="4" t="inlineStr">
        <is>
          <t>SO</t>
        </is>
      </c>
      <c r="J97" s="20" t="n">
        <v>2</v>
      </c>
      <c r="K97" s="20" t="n">
        <v>2</v>
      </c>
      <c r="L97" s="20" t="n">
        <v>2</v>
      </c>
      <c r="M97" s="20" t="n">
        <v>3</v>
      </c>
      <c r="N97" s="21">
        <f>SUM(J97:M97)</f>
        <v/>
      </c>
      <c r="O97" s="20" t="n">
        <v>2</v>
      </c>
      <c r="P97" s="21">
        <f>N97*O97</f>
        <v/>
      </c>
      <c r="Q97" s="4">
        <f>IF(P97&lt;=4,"Trivial",IF(P97&lt;=8,"Tolerable",IF(P97&lt;=16,"Moderado",IF(P97&lt;=24,"Importante","Intolerable"))))</f>
        <v/>
      </c>
      <c r="R97" s="21">
        <f>IF(OR(Q97="Importante",Q97="Intolerable"),"Sí","No")</f>
        <v/>
      </c>
      <c r="S97" s="6" t="inlineStr">
        <is>
          <t>No aplica</t>
        </is>
      </c>
      <c r="T97" s="6" t="inlineStr">
        <is>
          <t>No aplica</t>
        </is>
      </c>
      <c r="U97" s="6" t="inlineStr">
        <is>
          <t>Equipos con silenciadores y mantenimiento al día</t>
        </is>
      </c>
      <c r="V97" s="6" t="inlineStr">
        <is>
          <t>Monitoreo de ruido; rotación del personal; señalización de uso obligatorio de protección auditiva</t>
        </is>
      </c>
      <c r="W97" s="6" t="inlineStr">
        <is>
          <t>Protector auditivo tipo tapón u orejera (ANSI S3.19)</t>
        </is>
      </c>
      <c r="X97" s="20" t="n">
        <v>2</v>
      </c>
      <c r="Y97" s="20" t="n">
        <v>1</v>
      </c>
      <c r="Z97" s="20" t="n">
        <v>1</v>
      </c>
      <c r="AA97" s="20" t="n">
        <v>3</v>
      </c>
      <c r="AB97" s="21">
        <f>SUM(X97:AA97)</f>
        <v/>
      </c>
      <c r="AC97" s="20" t="n">
        <v>2</v>
      </c>
      <c r="AD97" s="21">
        <f>AB97*AC97</f>
        <v/>
      </c>
      <c r="AE97" s="4">
        <f>IF(AD97&lt;=4,"Trivial",IF(AD97&lt;=8,"Tolerable",IF(AD97&lt;=16,"Moderado",IF(AD97&lt;=24,"Importante","Intolerable"))))</f>
        <v/>
      </c>
      <c r="AF97" s="21">
        <f>IF(OR(AE97="Importante",AE97="Intolerable"),"Sí","No")</f>
        <v/>
      </c>
      <c r="AG97" s="6" t="inlineStr">
        <is>
          <t>PETS - Montaje de estructuras metálicas</t>
        </is>
      </c>
      <c r="AH97" s="4" t="inlineStr">
        <is>
          <t>Trabajos en caliente, Izaje de cargas con grúa o equipo de levante, Trabajos en altura</t>
        </is>
      </c>
    </row>
    <row r="98" ht="58" customHeight="1">
      <c r="A98" s="4" t="n">
        <v>93</v>
      </c>
      <c r="B98" s="6" t="inlineStr">
        <is>
          <t>Puentes y estructuras</t>
        </is>
      </c>
      <c r="C98" s="6" t="inlineStr">
        <is>
          <t>Trabajos en puentes sobre cauces (estribos, superestructura, prueba de carga)</t>
        </is>
      </c>
      <c r="D98" s="6" t="inlineStr">
        <is>
          <t>Operario, Oficial, Peón, Operador de grúa</t>
        </is>
      </c>
      <c r="E98" s="4" t="inlineStr">
        <is>
          <t>R</t>
        </is>
      </c>
      <c r="F98" s="6" t="inlineStr">
        <is>
          <t>Trabajo en bordes, plataformas o estructuras a más de 1.80 m</t>
        </is>
      </c>
      <c r="G98" s="6" t="inlineStr">
        <is>
          <t>Caída a distinto nivel</t>
        </is>
      </c>
      <c r="H98" s="6" t="inlineStr">
        <is>
          <t>Fracturas, traumatismo encéfalo craneano, muerte</t>
        </is>
      </c>
      <c r="I98" s="4" t="inlineStr">
        <is>
          <t>S</t>
        </is>
      </c>
      <c r="J98" s="20" t="n">
        <v>2</v>
      </c>
      <c r="K98" s="20" t="n">
        <v>2</v>
      </c>
      <c r="L98" s="20" t="n">
        <v>2</v>
      </c>
      <c r="M98" s="20" t="n">
        <v>3</v>
      </c>
      <c r="N98" s="21">
        <f>SUM(J98:M98)</f>
        <v/>
      </c>
      <c r="O98" s="20" t="n">
        <v>3</v>
      </c>
      <c r="P98" s="21">
        <f>N98*O98</f>
        <v/>
      </c>
      <c r="Q98" s="4">
        <f>IF(P98&lt;=4,"Trivial",IF(P98&lt;=8,"Tolerable",IF(P98&lt;=16,"Moderado",IF(P98&lt;=24,"Importante","Intolerable"))))</f>
        <v/>
      </c>
      <c r="R98" s="21">
        <f>IF(OR(Q98="Importante",Q98="Intolerable"),"Sí","No")</f>
        <v/>
      </c>
      <c r="S98" s="6" t="inlineStr">
        <is>
          <t>No aplica</t>
        </is>
      </c>
      <c r="T98" s="6" t="inlineStr">
        <is>
          <t>No aplica</t>
        </is>
      </c>
      <c r="U98" s="6" t="inlineStr">
        <is>
          <t>Barandas perimetrales de 1.00 m con rodapié; plataformas y andamios certificados; líneas de vida y puntos de anclaje</t>
        </is>
      </c>
      <c r="V98" s="6" t="inlineStr">
        <is>
          <t>PETAR de trabajo en altura; inspección diaria de andamios (tarjeta verde/roja); personal capacitado y apto</t>
        </is>
      </c>
      <c r="W98" s="6" t="inlineStr">
        <is>
          <t>Arnés de cuerpo entero y línea de anclaje con absorbedor de impacto (ANSI Z359.11)</t>
        </is>
      </c>
      <c r="X98" s="20" t="n">
        <v>2</v>
      </c>
      <c r="Y98" s="20" t="n">
        <v>1</v>
      </c>
      <c r="Z98" s="20" t="n">
        <v>1</v>
      </c>
      <c r="AA98" s="20" t="n">
        <v>3</v>
      </c>
      <c r="AB98" s="21">
        <f>SUM(X98:AA98)</f>
        <v/>
      </c>
      <c r="AC98" s="20" t="n">
        <v>2</v>
      </c>
      <c r="AD98" s="21">
        <f>AB98*AC98</f>
        <v/>
      </c>
      <c r="AE98" s="4">
        <f>IF(AD98&lt;=4,"Trivial",IF(AD98&lt;=8,"Tolerable",IF(AD98&lt;=16,"Moderado",IF(AD98&lt;=24,"Importante","Intolerable"))))</f>
        <v/>
      </c>
      <c r="AF98" s="21">
        <f>IF(OR(AE98="Importante",AE98="Intolerable"),"Sí","No")</f>
        <v/>
      </c>
      <c r="AG98" s="6" t="inlineStr">
        <is>
          <t>PETS - Trabajos en puentes sobre cauces</t>
        </is>
      </c>
      <c r="AH98" s="4" t="inlineStr">
        <is>
          <t>Trabajos en altura, Trabajos en cauces, sobre agua o con riesgo de ahogamiento</t>
        </is>
      </c>
    </row>
    <row r="99" ht="58" customHeight="1">
      <c r="A99" s="4" t="n">
        <v>94</v>
      </c>
      <c r="B99" s="6" t="inlineStr">
        <is>
          <t>Puentes y estructuras</t>
        </is>
      </c>
      <c r="C99" s="6" t="inlineStr">
        <is>
          <t>Trabajos en puentes sobre cauces (estribos, superestructura, prueba de carga)</t>
        </is>
      </c>
      <c r="D99" s="6" t="inlineStr">
        <is>
          <t>Operario, Oficial, Peón, Operador de grúa</t>
        </is>
      </c>
      <c r="E99" s="4" t="inlineStr">
        <is>
          <t>R</t>
        </is>
      </c>
      <c r="F99" s="6" t="inlineStr">
        <is>
          <t>Objetos y materiales en altura</t>
        </is>
      </c>
      <c r="G99" s="6" t="inlineStr">
        <is>
          <t>Caída de herramientas o materiales sobre personas</t>
        </is>
      </c>
      <c r="H99" s="6" t="inlineStr">
        <is>
          <t>Contusiones, traumatismo encéfalo craneano</t>
        </is>
      </c>
      <c r="I99" s="4" t="inlineStr">
        <is>
          <t>S</t>
        </is>
      </c>
      <c r="J99" s="20" t="n">
        <v>2</v>
      </c>
      <c r="K99" s="20" t="n">
        <v>2</v>
      </c>
      <c r="L99" s="20" t="n">
        <v>2</v>
      </c>
      <c r="M99" s="20" t="n">
        <v>2</v>
      </c>
      <c r="N99" s="21">
        <f>SUM(J99:M99)</f>
        <v/>
      </c>
      <c r="O99" s="20" t="n">
        <v>3</v>
      </c>
      <c r="P99" s="21">
        <f>N99*O99</f>
        <v/>
      </c>
      <c r="Q99" s="4">
        <f>IF(P99&lt;=4,"Trivial",IF(P99&lt;=8,"Tolerable",IF(P99&lt;=16,"Moderado",IF(P99&lt;=24,"Importante","Intolerable"))))</f>
        <v/>
      </c>
      <c r="R99" s="21">
        <f>IF(OR(Q99="Importante",Q99="Intolerable"),"Sí","No")</f>
        <v/>
      </c>
      <c r="S99" s="6" t="inlineStr">
        <is>
          <t>No aplica</t>
        </is>
      </c>
      <c r="T99" s="6" t="inlineStr">
        <is>
          <t>No aplica</t>
        </is>
      </c>
      <c r="U99" s="6" t="inlineStr">
        <is>
          <t>Rodapiés, mallas y portaherramientas; área inferior delimitada</t>
        </is>
      </c>
      <c r="V99" s="6" t="inlineStr">
        <is>
          <t>Prohibido el tránsito bajo la zona de trabajo; amarre de herramientas</t>
        </is>
      </c>
      <c r="W99" s="6" t="inlineStr">
        <is>
          <t>Casco de seguridad con barbiquejo (ANSI Z89.1)</t>
        </is>
      </c>
      <c r="X99" s="20" t="n">
        <v>2</v>
      </c>
      <c r="Y99" s="20" t="n">
        <v>1</v>
      </c>
      <c r="Z99" s="20" t="n">
        <v>1</v>
      </c>
      <c r="AA99" s="20" t="n">
        <v>2</v>
      </c>
      <c r="AB99" s="21">
        <f>SUM(X99:AA99)</f>
        <v/>
      </c>
      <c r="AC99" s="20" t="n">
        <v>2</v>
      </c>
      <c r="AD99" s="21">
        <f>AB99*AC99</f>
        <v/>
      </c>
      <c r="AE99" s="4">
        <f>IF(AD99&lt;=4,"Trivial",IF(AD99&lt;=8,"Tolerable",IF(AD99&lt;=16,"Moderado",IF(AD99&lt;=24,"Importante","Intolerable"))))</f>
        <v/>
      </c>
      <c r="AF99" s="21">
        <f>IF(OR(AE99="Importante",AE99="Intolerable"),"Sí","No")</f>
        <v/>
      </c>
      <c r="AG99" s="6" t="inlineStr">
        <is>
          <t>PETS - Trabajos en puentes sobre cauces</t>
        </is>
      </c>
      <c r="AH99" s="4" t="inlineStr">
        <is>
          <t>Trabajos en altura, Trabajos en cauces, sobre agua o con riesgo de ahogamiento</t>
        </is>
      </c>
    </row>
    <row r="100" ht="58" customHeight="1">
      <c r="A100" s="4" t="n">
        <v>95</v>
      </c>
      <c r="B100" s="6" t="inlineStr">
        <is>
          <t>Puentes y estructuras</t>
        </is>
      </c>
      <c r="C100" s="6" t="inlineStr">
        <is>
          <t>Trabajos en puentes sobre cauces (estribos, superestructura, prueba de carga)</t>
        </is>
      </c>
      <c r="D100" s="6" t="inlineStr">
        <is>
          <t>Operario, Oficial, Peón, Operador de grúa</t>
        </is>
      </c>
      <c r="E100" s="4" t="inlineStr">
        <is>
          <t>R</t>
        </is>
      </c>
      <c r="F100" s="6" t="inlineStr">
        <is>
          <t>Trabajo sobre el cauce</t>
        </is>
      </c>
      <c r="G100" s="6" t="inlineStr">
        <is>
          <t>Caída al río desde el tablero o la obra falsa</t>
        </is>
      </c>
      <c r="H100" s="6" t="inlineStr">
        <is>
          <t>Ahogamiento, muerte</t>
        </is>
      </c>
      <c r="I100" s="4" t="inlineStr">
        <is>
          <t>S</t>
        </is>
      </c>
      <c r="J100" s="20" t="n">
        <v>2</v>
      </c>
      <c r="K100" s="20" t="n">
        <v>2</v>
      </c>
      <c r="L100" s="20" t="n">
        <v>2</v>
      </c>
      <c r="M100" s="20" t="n">
        <v>2</v>
      </c>
      <c r="N100" s="21">
        <f>SUM(J100:M100)</f>
        <v/>
      </c>
      <c r="O100" s="20" t="n">
        <v>3</v>
      </c>
      <c r="P100" s="21">
        <f>N100*O100</f>
        <v/>
      </c>
      <c r="Q100" s="4">
        <f>IF(P100&lt;=4,"Trivial",IF(P100&lt;=8,"Tolerable",IF(P100&lt;=16,"Moderado",IF(P100&lt;=24,"Importante","Intolerable"))))</f>
        <v/>
      </c>
      <c r="R100" s="21">
        <f>IF(OR(Q100="Importante",Q100="Intolerable"),"Sí","No")</f>
        <v/>
      </c>
      <c r="S100" s="6" t="inlineStr">
        <is>
          <t>No aplica</t>
        </is>
      </c>
      <c r="T100" s="6" t="inlineStr">
        <is>
          <t>No aplica</t>
        </is>
      </c>
      <c r="U100" s="6" t="inlineStr">
        <is>
          <t>Redes o barandas perimetrales; aros salvavidas y cuerda en la orilla</t>
        </is>
      </c>
      <c r="V100" s="6" t="inlineStr">
        <is>
          <t>Bote o rescatista en la orilla durante trabajos sobre el agua</t>
        </is>
      </c>
      <c r="W100" s="6" t="inlineStr">
        <is>
          <t>Chaleco salvavidas</t>
        </is>
      </c>
      <c r="X100" s="20" t="n">
        <v>2</v>
      </c>
      <c r="Y100" s="20" t="n">
        <v>1</v>
      </c>
      <c r="Z100" s="20" t="n">
        <v>1</v>
      </c>
      <c r="AA100" s="20" t="n">
        <v>2</v>
      </c>
      <c r="AB100" s="21">
        <f>SUM(X100:AA100)</f>
        <v/>
      </c>
      <c r="AC100" s="20" t="n">
        <v>2</v>
      </c>
      <c r="AD100" s="21">
        <f>AB100*AC100</f>
        <v/>
      </c>
      <c r="AE100" s="4">
        <f>IF(AD100&lt;=4,"Trivial",IF(AD100&lt;=8,"Tolerable",IF(AD100&lt;=16,"Moderado",IF(AD100&lt;=24,"Importante","Intolerable"))))</f>
        <v/>
      </c>
      <c r="AF100" s="21">
        <f>IF(OR(AE100="Importante",AE100="Intolerable"),"Sí","No")</f>
        <v/>
      </c>
      <c r="AG100" s="6" t="inlineStr">
        <is>
          <t>PETS - Trabajos en puentes sobre cauces</t>
        </is>
      </c>
      <c r="AH100" s="4" t="inlineStr">
        <is>
          <t>Trabajos en altura, Trabajos en cauces, sobre agua o con riesgo de ahogamiento</t>
        </is>
      </c>
    </row>
    <row r="101" ht="58" customHeight="1">
      <c r="A101" s="4" t="n">
        <v>96</v>
      </c>
      <c r="B101" s="6" t="inlineStr">
        <is>
          <t>Puentes y estructuras</t>
        </is>
      </c>
      <c r="C101" s="6" t="inlineStr">
        <is>
          <t>Trabajos en puentes sobre cauces (estribos, superestructura, prueba de carga)</t>
        </is>
      </c>
      <c r="D101" s="6" t="inlineStr">
        <is>
          <t>Operario, Oficial, Peón, Operador de grúa</t>
        </is>
      </c>
      <c r="E101" s="4" t="inlineStr">
        <is>
          <t>R</t>
        </is>
      </c>
      <c r="F101" s="6" t="inlineStr">
        <is>
          <t>Prueba de carga con camiones</t>
        </is>
      </c>
      <c r="G101" s="6" t="inlineStr">
        <is>
          <t>Falla de la estructura o movimiento de vehículos sobre el tablero</t>
        </is>
      </c>
      <c r="H101" s="6" t="inlineStr">
        <is>
          <t>Aplastamiento</t>
        </is>
      </c>
      <c r="I101" s="4" t="inlineStr">
        <is>
          <t>S</t>
        </is>
      </c>
      <c r="J101" s="20" t="n">
        <v>2</v>
      </c>
      <c r="K101" s="20" t="n">
        <v>2</v>
      </c>
      <c r="L101" s="20" t="n">
        <v>2</v>
      </c>
      <c r="M101" s="20" t="n">
        <v>1</v>
      </c>
      <c r="N101" s="21">
        <f>SUM(J101:M101)</f>
        <v/>
      </c>
      <c r="O101" s="20" t="n">
        <v>3</v>
      </c>
      <c r="P101" s="21">
        <f>N101*O101</f>
        <v/>
      </c>
      <c r="Q101" s="4">
        <f>IF(P101&lt;=4,"Trivial",IF(P101&lt;=8,"Tolerable",IF(P101&lt;=16,"Moderado",IF(P101&lt;=24,"Importante","Intolerable"))))</f>
        <v/>
      </c>
      <c r="R101" s="21">
        <f>IF(OR(Q101="Importante",Q101="Intolerable"),"Sí","No")</f>
        <v/>
      </c>
      <c r="S101" s="6" t="inlineStr">
        <is>
          <t>No aplica</t>
        </is>
      </c>
      <c r="T101" s="6" t="inlineStr">
        <is>
          <t>No aplica</t>
        </is>
      </c>
      <c r="U101" s="6" t="inlineStr">
        <is>
          <t>Instrumentación y control a distancia</t>
        </is>
      </c>
      <c r="V101" s="6" t="inlineStr">
        <is>
          <t>Procedimiento de prueba aprobado; personal fuera del tablero durante la carga</t>
        </is>
      </c>
      <c r="W101" s="6" t="inlineStr">
        <is>
          <t>Chaleco o uniforme con cintas reflectivas (ANSI/ISEA 107)</t>
        </is>
      </c>
      <c r="X101" s="20" t="n">
        <v>2</v>
      </c>
      <c r="Y101" s="20" t="n">
        <v>1</v>
      </c>
      <c r="Z101" s="20" t="n">
        <v>1</v>
      </c>
      <c r="AA101" s="20" t="n">
        <v>1</v>
      </c>
      <c r="AB101" s="21">
        <f>SUM(X101:AA101)</f>
        <v/>
      </c>
      <c r="AC101" s="20" t="n">
        <v>2</v>
      </c>
      <c r="AD101" s="21">
        <f>AB101*AC101</f>
        <v/>
      </c>
      <c r="AE101" s="4">
        <f>IF(AD101&lt;=4,"Trivial",IF(AD101&lt;=8,"Tolerable",IF(AD101&lt;=16,"Moderado",IF(AD101&lt;=24,"Importante","Intolerable"))))</f>
        <v/>
      </c>
      <c r="AF101" s="21">
        <f>IF(OR(AE101="Importante",AE101="Intolerable"),"Sí","No")</f>
        <v/>
      </c>
      <c r="AG101" s="6" t="inlineStr">
        <is>
          <t>PETS - Trabajos en puentes sobre cauces</t>
        </is>
      </c>
      <c r="AH101" s="4" t="inlineStr">
        <is>
          <t>Trabajos en altura, Trabajos en cauces, sobre agua o con riesgo de ahogamiento</t>
        </is>
      </c>
    </row>
    <row r="102" ht="58" customHeight="1">
      <c r="A102" s="4" t="n">
        <v>97</v>
      </c>
      <c r="B102" s="6" t="inlineStr">
        <is>
          <t>Señalización y seguridad vial</t>
        </is>
      </c>
      <c r="C102" s="6" t="inlineStr">
        <is>
          <t>Señalización vial definitiva, pintura de tráfico y barreras</t>
        </is>
      </c>
      <c r="D102" s="6" t="inlineStr">
        <is>
          <t>Operario, Peón, Controlador de tránsito (vigía)</t>
        </is>
      </c>
      <c r="E102" s="4" t="inlineStr">
        <is>
          <t>R</t>
        </is>
      </c>
      <c r="F102" s="6" t="inlineStr">
        <is>
          <t>Tránsito vehicular de terceros</t>
        </is>
      </c>
      <c r="G102" s="6" t="inlineStr">
        <is>
          <t>Atropello o colisión con vehículos que circulan por la vía</t>
        </is>
      </c>
      <c r="H102" s="6" t="inlineStr">
        <is>
          <t>Politraumatismo, muerte</t>
        </is>
      </c>
      <c r="I102" s="4" t="inlineStr">
        <is>
          <t>S</t>
        </is>
      </c>
      <c r="J102" s="20" t="n">
        <v>2</v>
      </c>
      <c r="K102" s="20" t="n">
        <v>2</v>
      </c>
      <c r="L102" s="20" t="n">
        <v>2</v>
      </c>
      <c r="M102" s="20" t="n">
        <v>3</v>
      </c>
      <c r="N102" s="21">
        <f>SUM(J102:M102)</f>
        <v/>
      </c>
      <c r="O102" s="20" t="n">
        <v>3</v>
      </c>
      <c r="P102" s="21">
        <f>N102*O102</f>
        <v/>
      </c>
      <c r="Q102" s="4">
        <f>IF(P102&lt;=4,"Trivial",IF(P102&lt;=8,"Tolerable",IF(P102&lt;=16,"Moderado",IF(P102&lt;=24,"Importante","Intolerable"))))</f>
        <v/>
      </c>
      <c r="R102" s="21">
        <f>IF(OR(Q102="Importante",Q102="Intolerable"),"Sí","No")</f>
        <v/>
      </c>
      <c r="S102" s="6" t="inlineStr">
        <is>
          <t>No aplica</t>
        </is>
      </c>
      <c r="T102" s="6" t="inlineStr">
        <is>
          <t>No aplica</t>
        </is>
      </c>
      <c r="U102" s="6" t="inlineStr">
        <is>
          <t>Dispositivos de control de tránsito (conos, barreras, tranqueras, señales) según el Manual de Dispositivos de Control del Tránsito del MTC</t>
        </is>
      </c>
      <c r="V102" s="6" t="inlineStr">
        <is>
          <t>Plan de desvíos y control de tránsito; controladores con paletas PARE/SIGA y radio; trabajos nocturnos solo con iluminación</t>
        </is>
      </c>
      <c r="W102" s="6" t="inlineStr">
        <is>
          <t>Chaleco o uniforme con cintas reflectivas (ANSI/ISEA 107)</t>
        </is>
      </c>
      <c r="X102" s="20" t="n">
        <v>2</v>
      </c>
      <c r="Y102" s="20" t="n">
        <v>1</v>
      </c>
      <c r="Z102" s="20" t="n">
        <v>1</v>
      </c>
      <c r="AA102" s="20" t="n">
        <v>1</v>
      </c>
      <c r="AB102" s="21">
        <f>SUM(X102:AA102)</f>
        <v/>
      </c>
      <c r="AC102" s="20" t="n">
        <v>3</v>
      </c>
      <c r="AD102" s="21">
        <f>AB102*AC102</f>
        <v/>
      </c>
      <c r="AE102" s="4">
        <f>IF(AD102&lt;=4,"Trivial",IF(AD102&lt;=8,"Tolerable",IF(AD102&lt;=16,"Moderado",IF(AD102&lt;=24,"Importante","Intolerable"))))</f>
        <v/>
      </c>
      <c r="AF102" s="21">
        <f>IF(OR(AE102="Importante",AE102="Intolerable"),"Sí","No")</f>
        <v/>
      </c>
      <c r="AG102" s="6" t="inlineStr">
        <is>
          <t>PETS - Señalización vial y pintura de tráfico</t>
        </is>
      </c>
      <c r="AH102" s="4" t="inlineStr">
        <is>
          <t>—</t>
        </is>
      </c>
    </row>
    <row r="103" ht="58" customHeight="1">
      <c r="A103" s="4" t="n">
        <v>98</v>
      </c>
      <c r="B103" s="6" t="inlineStr">
        <is>
          <t>Señalización y seguridad vial</t>
        </is>
      </c>
      <c r="C103" s="6" t="inlineStr">
        <is>
          <t>Señalización vial definitiva, pintura de tráfico y barreras</t>
        </is>
      </c>
      <c r="D103" s="6" t="inlineStr">
        <is>
          <t>Operario, Peón, Controlador de tránsito (vigía)</t>
        </is>
      </c>
      <c r="E103" s="4" t="inlineStr">
        <is>
          <t>R</t>
        </is>
      </c>
      <c r="F103" s="6" t="inlineStr">
        <is>
          <t>Pintura de tráfico y solventes</t>
        </is>
      </c>
      <c r="G103" s="6" t="inlineStr">
        <is>
          <t>Inhalación de vapores y contacto dérmico</t>
        </is>
      </c>
      <c r="H103" s="6" t="inlineStr">
        <is>
          <t>Irritación, intoxicación leve</t>
        </is>
      </c>
      <c r="I103" s="4" t="inlineStr">
        <is>
          <t>SO</t>
        </is>
      </c>
      <c r="J103" s="20" t="n">
        <v>2</v>
      </c>
      <c r="K103" s="20" t="n">
        <v>2</v>
      </c>
      <c r="L103" s="20" t="n">
        <v>2</v>
      </c>
      <c r="M103" s="20" t="n">
        <v>2</v>
      </c>
      <c r="N103" s="21">
        <f>SUM(J103:M103)</f>
        <v/>
      </c>
      <c r="O103" s="20" t="n">
        <v>2</v>
      </c>
      <c r="P103" s="21">
        <f>N103*O103</f>
        <v/>
      </c>
      <c r="Q103" s="4">
        <f>IF(P103&lt;=4,"Trivial",IF(P103&lt;=8,"Tolerable",IF(P103&lt;=16,"Moderado",IF(P103&lt;=24,"Importante","Intolerable"))))</f>
        <v/>
      </c>
      <c r="R103" s="21">
        <f>IF(OR(Q103="Importante",Q103="Intolerable"),"Sí","No")</f>
        <v/>
      </c>
      <c r="S103" s="6" t="inlineStr">
        <is>
          <t>No aplica</t>
        </is>
      </c>
      <c r="T103" s="6" t="inlineStr">
        <is>
          <t>Pintura base agua cuando las especificaciones lo permitan</t>
        </is>
      </c>
      <c r="U103" s="6" t="inlineStr">
        <is>
          <t>No aplica</t>
        </is>
      </c>
      <c r="V103" s="6" t="inlineStr">
        <is>
          <t>SDS en el frente</t>
        </is>
      </c>
      <c r="W103" s="6" t="inlineStr">
        <is>
          <t>Respirador de media cara con cartuchos para vapores orgánicos (NIOSH)</t>
        </is>
      </c>
      <c r="X103" s="20" t="n">
        <v>2</v>
      </c>
      <c r="Y103" s="20" t="n">
        <v>1</v>
      </c>
      <c r="Z103" s="20" t="n">
        <v>1</v>
      </c>
      <c r="AA103" s="20" t="n">
        <v>2</v>
      </c>
      <c r="AB103" s="21">
        <f>SUM(X103:AA103)</f>
        <v/>
      </c>
      <c r="AC103" s="20" t="n">
        <v>1</v>
      </c>
      <c r="AD103" s="21">
        <f>AB103*AC103</f>
        <v/>
      </c>
      <c r="AE103" s="4">
        <f>IF(AD103&lt;=4,"Trivial",IF(AD103&lt;=8,"Tolerable",IF(AD103&lt;=16,"Moderado",IF(AD103&lt;=24,"Importante","Intolerable"))))</f>
        <v/>
      </c>
      <c r="AF103" s="21">
        <f>IF(OR(AE103="Importante",AE103="Intolerable"),"Sí","No")</f>
        <v/>
      </c>
      <c r="AG103" s="6" t="inlineStr">
        <is>
          <t>PETS - Señalización vial y pintura de tráfico</t>
        </is>
      </c>
      <c r="AH103" s="4" t="inlineStr">
        <is>
          <t>—</t>
        </is>
      </c>
    </row>
    <row r="104" ht="58" customHeight="1">
      <c r="A104" s="4" t="n">
        <v>99</v>
      </c>
      <c r="B104" s="6" t="inlineStr">
        <is>
          <t>Señalización y seguridad vial</t>
        </is>
      </c>
      <c r="C104" s="6" t="inlineStr">
        <is>
          <t>Señalización vial definitiva, pintura de tráfico y barreras</t>
        </is>
      </c>
      <c r="D104" s="6" t="inlineStr">
        <is>
          <t>Operario, Peón, Controlador de tránsito (vigía)</t>
        </is>
      </c>
      <c r="E104" s="4" t="inlineStr">
        <is>
          <t>R</t>
        </is>
      </c>
      <c r="F104" s="6" t="inlineStr">
        <is>
          <t>Manipulación manual de cargas</t>
        </is>
      </c>
      <c r="G104" s="6" t="inlineStr">
        <is>
          <t>Sobreesfuerzo por levantar o trasladar cargas pesadas o en mala postura</t>
        </is>
      </c>
      <c r="H104" s="6" t="inlineStr">
        <is>
          <t>Lumbalgia, hernias, lesiones musculoesqueléticas</t>
        </is>
      </c>
      <c r="I104" s="4" t="inlineStr">
        <is>
          <t>SO</t>
        </is>
      </c>
      <c r="J104" s="20" t="n">
        <v>2</v>
      </c>
      <c r="K104" s="20" t="n">
        <v>2</v>
      </c>
      <c r="L104" s="20" t="n">
        <v>2</v>
      </c>
      <c r="M104" s="20" t="n">
        <v>3</v>
      </c>
      <c r="N104" s="21">
        <f>SUM(J104:M104)</f>
        <v/>
      </c>
      <c r="O104" s="20" t="n">
        <v>2</v>
      </c>
      <c r="P104" s="21">
        <f>N104*O104</f>
        <v/>
      </c>
      <c r="Q104" s="4">
        <f>IF(P104&lt;=4,"Trivial",IF(P104&lt;=8,"Tolerable",IF(P104&lt;=16,"Moderado",IF(P104&lt;=24,"Importante","Intolerable"))))</f>
        <v/>
      </c>
      <c r="R104" s="21">
        <f>IF(OR(Q104="Importante",Q104="Intolerable"),"Sí","No")</f>
        <v/>
      </c>
      <c r="S104" s="6" t="inlineStr">
        <is>
          <t>No aplica</t>
        </is>
      </c>
      <c r="T104" s="6" t="inlineStr">
        <is>
          <t>Uso de carretillas, montacargas o equipo para cargas mayores de 25 kg</t>
        </is>
      </c>
      <c r="U104" s="6" t="inlineStr">
        <is>
          <t>Puntos de acopio cerca del frente de trabajo</t>
        </is>
      </c>
      <c r="V104" s="6" t="inlineStr">
        <is>
          <t>Capacitación en levantamiento seguro (R.M. N.° 375-2008-TR); trabajo en pareja; pausas activas</t>
        </is>
      </c>
      <c r="W104" s="6" t="inlineStr">
        <is>
          <t>EPP básico; faja lumbar solo con indicación médica</t>
        </is>
      </c>
      <c r="X104" s="20" t="n">
        <v>2</v>
      </c>
      <c r="Y104" s="20" t="n">
        <v>1</v>
      </c>
      <c r="Z104" s="20" t="n">
        <v>1</v>
      </c>
      <c r="AA104" s="20" t="n">
        <v>3</v>
      </c>
      <c r="AB104" s="21">
        <f>SUM(X104:AA104)</f>
        <v/>
      </c>
      <c r="AC104" s="20" t="n">
        <v>1</v>
      </c>
      <c r="AD104" s="21">
        <f>AB104*AC104</f>
        <v/>
      </c>
      <c r="AE104" s="4">
        <f>IF(AD104&lt;=4,"Trivial",IF(AD104&lt;=8,"Tolerable",IF(AD104&lt;=16,"Moderado",IF(AD104&lt;=24,"Importante","Intolerable"))))</f>
        <v/>
      </c>
      <c r="AF104" s="21">
        <f>IF(OR(AE104="Importante",AE104="Intolerable"),"Sí","No")</f>
        <v/>
      </c>
      <c r="AG104" s="6" t="inlineStr">
        <is>
          <t>PETS - Señalización vial y pintura de tráfico</t>
        </is>
      </c>
      <c r="AH104" s="4" t="inlineStr">
        <is>
          <t>—</t>
        </is>
      </c>
    </row>
    <row r="105" ht="58" customHeight="1">
      <c r="A105" s="4" t="n">
        <v>100</v>
      </c>
      <c r="B105" s="6" t="inlineStr">
        <is>
          <t>Señalización y seguridad vial</t>
        </is>
      </c>
      <c r="C105" s="6" t="inlineStr">
        <is>
          <t>Señalización vial definitiva, pintura de tráfico y barreras</t>
        </is>
      </c>
      <c r="D105" s="6" t="inlineStr">
        <is>
          <t>Operario, Peón, Controlador de tránsito (vigía)</t>
        </is>
      </c>
      <c r="E105" s="4" t="inlineStr">
        <is>
          <t>R</t>
        </is>
      </c>
      <c r="F105" s="6" t="inlineStr">
        <is>
          <t>Herramientas manuales</t>
        </is>
      </c>
      <c r="G105" s="6" t="inlineStr">
        <is>
          <t>Golpes, cortes o atrapamiento al usar herramientas</t>
        </is>
      </c>
      <c r="H105" s="6" t="inlineStr">
        <is>
          <t>Contusiones, cortes, fracturas de dedos</t>
        </is>
      </c>
      <c r="I105" s="4" t="inlineStr">
        <is>
          <t>S</t>
        </is>
      </c>
      <c r="J105" s="20" t="n">
        <v>2</v>
      </c>
      <c r="K105" s="20" t="n">
        <v>2</v>
      </c>
      <c r="L105" s="20" t="n">
        <v>2</v>
      </c>
      <c r="M105" s="20" t="n">
        <v>3</v>
      </c>
      <c r="N105" s="21">
        <f>SUM(J105:M105)</f>
        <v/>
      </c>
      <c r="O105" s="20" t="n">
        <v>2</v>
      </c>
      <c r="P105" s="21">
        <f>N105*O105</f>
        <v/>
      </c>
      <c r="Q105" s="4">
        <f>IF(P105&lt;=4,"Trivial",IF(P105&lt;=8,"Tolerable",IF(P105&lt;=16,"Moderado",IF(P105&lt;=24,"Importante","Intolerable"))))</f>
        <v/>
      </c>
      <c r="R105" s="21">
        <f>IF(OR(Q105="Importante",Q105="Intolerable"),"Sí","No")</f>
        <v/>
      </c>
      <c r="S105" s="6" t="inlineStr">
        <is>
          <t>No aplica</t>
        </is>
      </c>
      <c r="T105" s="6" t="inlineStr">
        <is>
          <t>No aplica</t>
        </is>
      </c>
      <c r="U105" s="6" t="inlineStr">
        <is>
          <t>Herramientas con mangos y guardas en buen estado</t>
        </is>
      </c>
      <c r="V105" s="6" t="inlineStr">
        <is>
          <t>Inspección de herramientas con cinta de color del mes; retiro de las defectuosas; ATS diario</t>
        </is>
      </c>
      <c r="W105" s="6" t="inlineStr">
        <is>
          <t>Guantes de cuero o badana, lentes de seguridad</t>
        </is>
      </c>
      <c r="X105" s="20" t="n">
        <v>2</v>
      </c>
      <c r="Y105" s="20" t="n">
        <v>1</v>
      </c>
      <c r="Z105" s="20" t="n">
        <v>1</v>
      </c>
      <c r="AA105" s="20" t="n">
        <v>3</v>
      </c>
      <c r="AB105" s="21">
        <f>SUM(X105:AA105)</f>
        <v/>
      </c>
      <c r="AC105" s="20" t="n">
        <v>1</v>
      </c>
      <c r="AD105" s="21">
        <f>AB105*AC105</f>
        <v/>
      </c>
      <c r="AE105" s="4">
        <f>IF(AD105&lt;=4,"Trivial",IF(AD105&lt;=8,"Tolerable",IF(AD105&lt;=16,"Moderado",IF(AD105&lt;=24,"Importante","Intolerable"))))</f>
        <v/>
      </c>
      <c r="AF105" s="21">
        <f>IF(OR(AE105="Importante",AE105="Intolerable"),"Sí","No")</f>
        <v/>
      </c>
      <c r="AG105" s="6" t="inlineStr">
        <is>
          <t>PETS - Señalización vial y pintura de tráfico</t>
        </is>
      </c>
      <c r="AH105" s="4" t="inlineStr">
        <is>
          <t>—</t>
        </is>
      </c>
    </row>
    <row r="106" ht="58" customHeight="1">
      <c r="A106" s="4" t="n">
        <v>101</v>
      </c>
      <c r="B106" s="6" t="inlineStr">
        <is>
          <t>Obras preliminares</t>
        </is>
      </c>
      <c r="C106" s="6" t="inlineStr">
        <is>
          <t>Reubicación de postes e interferencias con redes eléctricas</t>
        </is>
      </c>
      <c r="D106" s="6" t="inlineStr">
        <is>
          <t>Electricista, Operario, Peón, Operador de grúa</t>
        </is>
      </c>
      <c r="E106" s="4" t="inlineStr">
        <is>
          <t>R</t>
        </is>
      </c>
      <c r="F106" s="6" t="inlineStr">
        <is>
          <t>Líneas eléctricas aéreas energizadas</t>
        </is>
      </c>
      <c r="G106" s="6" t="inlineStr">
        <is>
          <t>Contacto directo o arco eléctrico con equipos o personas</t>
        </is>
      </c>
      <c r="H106" s="6" t="inlineStr">
        <is>
          <t>Electrocución, quemaduras, muerte</t>
        </is>
      </c>
      <c r="I106" s="4" t="inlineStr">
        <is>
          <t>S</t>
        </is>
      </c>
      <c r="J106" s="20" t="n">
        <v>2</v>
      </c>
      <c r="K106" s="20" t="n">
        <v>2</v>
      </c>
      <c r="L106" s="20" t="n">
        <v>2</v>
      </c>
      <c r="M106" s="20" t="n">
        <v>2</v>
      </c>
      <c r="N106" s="21">
        <f>SUM(J106:M106)</f>
        <v/>
      </c>
      <c r="O106" s="20" t="n">
        <v>3</v>
      </c>
      <c r="P106" s="21">
        <f>N106*O106</f>
        <v/>
      </c>
      <c r="Q106" s="4">
        <f>IF(P106&lt;=4,"Trivial",IF(P106&lt;=8,"Tolerable",IF(P106&lt;=16,"Moderado",IF(P106&lt;=24,"Importante","Intolerable"))))</f>
        <v/>
      </c>
      <c r="R106" s="21">
        <f>IF(OR(Q106="Importante",Q106="Intolerable"),"Sí","No")</f>
        <v/>
      </c>
      <c r="S106" s="6" t="inlineStr">
        <is>
          <t>No aplica</t>
        </is>
      </c>
      <c r="T106" s="6" t="inlineStr">
        <is>
          <t>No aplica</t>
        </is>
      </c>
      <c r="U106" s="6" t="inlineStr">
        <is>
          <t>Corte de energía y puesta a tierra temporal por la concesionaria; distancias mínimas de seguridad a líneas energizadas</t>
        </is>
      </c>
      <c r="V106" s="6" t="inlineStr">
        <is>
          <t>PETAR eléctrico; coordinación con la concesionaria; vigía para equipos con pluma</t>
        </is>
      </c>
      <c r="W106" s="6" t="inlineStr">
        <is>
          <t>Guantes dieléctricos clase según tensión y guantes de cuero de protección</t>
        </is>
      </c>
      <c r="X106" s="20" t="n">
        <v>2</v>
      </c>
      <c r="Y106" s="20" t="n">
        <v>1</v>
      </c>
      <c r="Z106" s="20" t="n">
        <v>1</v>
      </c>
      <c r="AA106" s="20" t="n">
        <v>1</v>
      </c>
      <c r="AB106" s="21">
        <f>SUM(X106:AA106)</f>
        <v/>
      </c>
      <c r="AC106" s="20" t="n">
        <v>3</v>
      </c>
      <c r="AD106" s="21">
        <f>AB106*AC106</f>
        <v/>
      </c>
      <c r="AE106" s="4">
        <f>IF(AD106&lt;=4,"Trivial",IF(AD106&lt;=8,"Tolerable",IF(AD106&lt;=16,"Moderado",IF(AD106&lt;=24,"Importante","Intolerable"))))</f>
        <v/>
      </c>
      <c r="AF106" s="21">
        <f>IF(OR(AE106="Importante",AE106="Intolerable"),"Sí","No")</f>
        <v/>
      </c>
      <c r="AG106" s="6" t="inlineStr">
        <is>
          <t>PETS - Reubicación de postes con la concesionaria eléctrica</t>
        </is>
      </c>
      <c r="AH106" s="4" t="inlineStr">
        <is>
          <t>Trabajos con energía eléctrica y cerca de líneas energizadas, Izaje de cargas con grúa o equipo de levante, Trabajos en altura</t>
        </is>
      </c>
    </row>
    <row r="107" ht="58" customHeight="1">
      <c r="A107" s="4" t="n">
        <v>102</v>
      </c>
      <c r="B107" s="6" t="inlineStr">
        <is>
          <t>Obras preliminares</t>
        </is>
      </c>
      <c r="C107" s="6" t="inlineStr">
        <is>
          <t>Reubicación de postes e interferencias con redes eléctricas</t>
        </is>
      </c>
      <c r="D107" s="6" t="inlineStr">
        <is>
          <t>Electricista, Operario, Peón, Operador de grúa</t>
        </is>
      </c>
      <c r="E107" s="4" t="inlineStr">
        <is>
          <t>R</t>
        </is>
      </c>
      <c r="F107" s="6" t="inlineStr">
        <is>
          <t>Izaje de cargas con grúa o equipo de levante</t>
        </is>
      </c>
      <c r="G107" s="6" t="inlineStr">
        <is>
          <t>Caída de la carga, volteo de la grúa o contacto con la carga suspendida</t>
        </is>
      </c>
      <c r="H107" s="6" t="inlineStr">
        <is>
          <t>Aplastamiento, muerte</t>
        </is>
      </c>
      <c r="I107" s="4" t="inlineStr">
        <is>
          <t>S</t>
        </is>
      </c>
      <c r="J107" s="20" t="n">
        <v>2</v>
      </c>
      <c r="K107" s="20" t="n">
        <v>2</v>
      </c>
      <c r="L107" s="20" t="n">
        <v>2</v>
      </c>
      <c r="M107" s="20" t="n">
        <v>2</v>
      </c>
      <c r="N107" s="21">
        <f>SUM(J107:M107)</f>
        <v/>
      </c>
      <c r="O107" s="20" t="n">
        <v>3</v>
      </c>
      <c r="P107" s="21">
        <f>N107*O107</f>
        <v/>
      </c>
      <c r="Q107" s="4">
        <f>IF(P107&lt;=4,"Trivial",IF(P107&lt;=8,"Tolerable",IF(P107&lt;=16,"Moderado",IF(P107&lt;=24,"Importante","Intolerable"))))</f>
        <v/>
      </c>
      <c r="R107" s="21">
        <f>IF(OR(Q107="Importante",Q107="Intolerable"),"Sí","No")</f>
        <v/>
      </c>
      <c r="S107" s="6" t="inlineStr">
        <is>
          <t>No aplica</t>
        </is>
      </c>
      <c r="T107" s="6" t="inlineStr">
        <is>
          <t>No aplica</t>
        </is>
      </c>
      <c r="U107" s="6" t="inlineStr">
        <is>
          <t>Grúa con certificado de operatividad; aparejos certificados; estabilizadores sobre terreno firme; vientos de guía</t>
        </is>
      </c>
      <c r="V107" s="6" t="inlineStr">
        <is>
          <t>PETAR de izaje y plan de izaje; rigger y operador certificados; zona de exclusión bajo la carga</t>
        </is>
      </c>
      <c r="W107" s="6" t="inlineStr">
        <is>
          <t>Casco de seguridad con barbiquejo (ANSI Z89.1), Guantes de cuero o badana</t>
        </is>
      </c>
      <c r="X107" s="20" t="n">
        <v>2</v>
      </c>
      <c r="Y107" s="20" t="n">
        <v>1</v>
      </c>
      <c r="Z107" s="20" t="n">
        <v>1</v>
      </c>
      <c r="AA107" s="20" t="n">
        <v>1</v>
      </c>
      <c r="AB107" s="21">
        <f>SUM(X107:AA107)</f>
        <v/>
      </c>
      <c r="AC107" s="20" t="n">
        <v>3</v>
      </c>
      <c r="AD107" s="21">
        <f>AB107*AC107</f>
        <v/>
      </c>
      <c r="AE107" s="4">
        <f>IF(AD107&lt;=4,"Trivial",IF(AD107&lt;=8,"Tolerable",IF(AD107&lt;=16,"Moderado",IF(AD107&lt;=24,"Importante","Intolerable"))))</f>
        <v/>
      </c>
      <c r="AF107" s="21">
        <f>IF(OR(AE107="Importante",AE107="Intolerable"),"Sí","No")</f>
        <v/>
      </c>
      <c r="AG107" s="6" t="inlineStr">
        <is>
          <t>PETS - Reubicación de postes con la concesionaria eléctrica</t>
        </is>
      </c>
      <c r="AH107" s="4" t="inlineStr">
        <is>
          <t>Trabajos con energía eléctrica y cerca de líneas energizadas, Izaje de cargas con grúa o equipo de levante, Trabajos en altura</t>
        </is>
      </c>
    </row>
    <row r="108" ht="58" customHeight="1">
      <c r="A108" s="4" t="n">
        <v>103</v>
      </c>
      <c r="B108" s="6" t="inlineStr">
        <is>
          <t>Obras preliminares</t>
        </is>
      </c>
      <c r="C108" s="6" t="inlineStr">
        <is>
          <t>Reubicación de postes e interferencias con redes eléctricas</t>
        </is>
      </c>
      <c r="D108" s="6" t="inlineStr">
        <is>
          <t>Electricista, Operario, Peón, Operador de grúa</t>
        </is>
      </c>
      <c r="E108" s="4" t="inlineStr">
        <is>
          <t>R</t>
        </is>
      </c>
      <c r="F108" s="6" t="inlineStr">
        <is>
          <t>Trabajo en bordes, plataformas o estructuras a más de 1.80 m</t>
        </is>
      </c>
      <c r="G108" s="6" t="inlineStr">
        <is>
          <t>Caída a distinto nivel</t>
        </is>
      </c>
      <c r="H108" s="6" t="inlineStr">
        <is>
          <t>Fracturas, traumatismo encéfalo craneano, muerte</t>
        </is>
      </c>
      <c r="I108" s="4" t="inlineStr">
        <is>
          <t>S</t>
        </is>
      </c>
      <c r="J108" s="20" t="n">
        <v>2</v>
      </c>
      <c r="K108" s="20" t="n">
        <v>2</v>
      </c>
      <c r="L108" s="20" t="n">
        <v>2</v>
      </c>
      <c r="M108" s="20" t="n">
        <v>3</v>
      </c>
      <c r="N108" s="21">
        <f>SUM(J108:M108)</f>
        <v/>
      </c>
      <c r="O108" s="20" t="n">
        <v>3</v>
      </c>
      <c r="P108" s="21">
        <f>N108*O108</f>
        <v/>
      </c>
      <c r="Q108" s="4">
        <f>IF(P108&lt;=4,"Trivial",IF(P108&lt;=8,"Tolerable",IF(P108&lt;=16,"Moderado",IF(P108&lt;=24,"Importante","Intolerable"))))</f>
        <v/>
      </c>
      <c r="R108" s="21">
        <f>IF(OR(Q108="Importante",Q108="Intolerable"),"Sí","No")</f>
        <v/>
      </c>
      <c r="S108" s="6" t="inlineStr">
        <is>
          <t>No aplica</t>
        </is>
      </c>
      <c r="T108" s="6" t="inlineStr">
        <is>
          <t>No aplica</t>
        </is>
      </c>
      <c r="U108" s="6" t="inlineStr">
        <is>
          <t>Barandas perimetrales de 1.00 m con rodapié; plataformas y andamios certificados; líneas de vida y puntos de anclaje</t>
        </is>
      </c>
      <c r="V108" s="6" t="inlineStr">
        <is>
          <t>PETAR de trabajo en altura; inspección diaria de andamios (tarjeta verde/roja); personal capacitado y apto</t>
        </is>
      </c>
      <c r="W108" s="6" t="inlineStr">
        <is>
          <t>Arnés de cuerpo entero y línea de anclaje con absorbedor de impacto (ANSI Z359.11)</t>
        </is>
      </c>
      <c r="X108" s="20" t="n">
        <v>2</v>
      </c>
      <c r="Y108" s="20" t="n">
        <v>1</v>
      </c>
      <c r="Z108" s="20" t="n">
        <v>1</v>
      </c>
      <c r="AA108" s="20" t="n">
        <v>3</v>
      </c>
      <c r="AB108" s="21">
        <f>SUM(X108:AA108)</f>
        <v/>
      </c>
      <c r="AC108" s="20" t="n">
        <v>2</v>
      </c>
      <c r="AD108" s="21">
        <f>AB108*AC108</f>
        <v/>
      </c>
      <c r="AE108" s="4">
        <f>IF(AD108&lt;=4,"Trivial",IF(AD108&lt;=8,"Tolerable",IF(AD108&lt;=16,"Moderado",IF(AD108&lt;=24,"Importante","Intolerable"))))</f>
        <v/>
      </c>
      <c r="AF108" s="21">
        <f>IF(OR(AE108="Importante",AE108="Intolerable"),"Sí","No")</f>
        <v/>
      </c>
      <c r="AG108" s="6" t="inlineStr">
        <is>
          <t>PETS - Reubicación de postes con la concesionaria eléctrica</t>
        </is>
      </c>
      <c r="AH108" s="4" t="inlineStr">
        <is>
          <t>Trabajos con energía eléctrica y cerca de líneas energizadas, Izaje de cargas con grúa o equipo de levante, Trabajos en altura</t>
        </is>
      </c>
    </row>
    <row r="109" ht="58" customHeight="1">
      <c r="A109" s="4" t="n">
        <v>104</v>
      </c>
      <c r="B109" s="6" t="inlineStr">
        <is>
          <t>Obras provisionales</t>
        </is>
      </c>
      <c r="C109" s="6" t="inlineStr">
        <is>
          <t>Mantenimiento y abastecimiento de combustible de maquinaria</t>
        </is>
      </c>
      <c r="D109" s="6" t="inlineStr">
        <is>
          <t>Mecánico, Abastecedor, Operador de equipo</t>
        </is>
      </c>
      <c r="E109" s="4" t="inlineStr">
        <is>
          <t>R</t>
        </is>
      </c>
      <c r="F109" s="6" t="inlineStr">
        <is>
          <t>Combustibles y materiales inflamables</t>
        </is>
      </c>
      <c r="G109" s="6" t="inlineStr">
        <is>
          <t>Incendio o explosión</t>
        </is>
      </c>
      <c r="H109" s="6" t="inlineStr">
        <is>
          <t>Quemaduras, muerte, daño a instalaciones</t>
        </is>
      </c>
      <c r="I109" s="4" t="inlineStr">
        <is>
          <t>S</t>
        </is>
      </c>
      <c r="J109" s="20" t="n">
        <v>2</v>
      </c>
      <c r="K109" s="20" t="n">
        <v>2</v>
      </c>
      <c r="L109" s="20" t="n">
        <v>2</v>
      </c>
      <c r="M109" s="20" t="n">
        <v>2</v>
      </c>
      <c r="N109" s="21">
        <f>SUM(J109:M109)</f>
        <v/>
      </c>
      <c r="O109" s="20" t="n">
        <v>3</v>
      </c>
      <c r="P109" s="21">
        <f>N109*O109</f>
        <v/>
      </c>
      <c r="Q109" s="4">
        <f>IF(P109&lt;=4,"Trivial",IF(P109&lt;=8,"Tolerable",IF(P109&lt;=16,"Moderado",IF(P109&lt;=24,"Importante","Intolerable"))))</f>
        <v/>
      </c>
      <c r="R109" s="21">
        <f>IF(OR(Q109="Importante",Q109="Intolerable"),"Sí","No")</f>
        <v/>
      </c>
      <c r="S109" s="6" t="inlineStr">
        <is>
          <t>No aplica</t>
        </is>
      </c>
      <c r="T109" s="6" t="inlineStr">
        <is>
          <t>No aplica</t>
        </is>
      </c>
      <c r="U109" s="6" t="inlineStr">
        <is>
          <t>Almacén ventilado con bandeja antiderrame, extintores PQS y señalización; distancia a fuentes de ignición</t>
        </is>
      </c>
      <c r="V109" s="6" t="inlineStr">
        <is>
          <t>Prohibido fumar; hojas de datos de seguridad (SDS) en el almacén; inspección mensual de extintores</t>
        </is>
      </c>
      <c r="W109" s="6" t="inlineStr">
        <is>
          <t>EPP básico</t>
        </is>
      </c>
      <c r="X109" s="20" t="n">
        <v>2</v>
      </c>
      <c r="Y109" s="20" t="n">
        <v>1</v>
      </c>
      <c r="Z109" s="20" t="n">
        <v>1</v>
      </c>
      <c r="AA109" s="20" t="n">
        <v>1</v>
      </c>
      <c r="AB109" s="21">
        <f>SUM(X109:AA109)</f>
        <v/>
      </c>
      <c r="AC109" s="20" t="n">
        <v>3</v>
      </c>
      <c r="AD109" s="21">
        <f>AB109*AC109</f>
        <v/>
      </c>
      <c r="AE109" s="4">
        <f>IF(AD109&lt;=4,"Trivial",IF(AD109&lt;=8,"Tolerable",IF(AD109&lt;=16,"Moderado",IF(AD109&lt;=24,"Importante","Intolerable"))))</f>
        <v/>
      </c>
      <c r="AF109" s="21">
        <f>IF(OR(AE109="Importante",AE109="Intolerable"),"Sí","No")</f>
        <v/>
      </c>
      <c r="AG109" s="6" t="inlineStr">
        <is>
          <t>PETS - Mantenimiento y abastecimiento de combustible</t>
        </is>
      </c>
      <c r="AH109" s="4" t="inlineStr">
        <is>
          <t>—</t>
        </is>
      </c>
    </row>
    <row r="110" ht="58" customHeight="1">
      <c r="A110" s="4" t="n">
        <v>105</v>
      </c>
      <c r="B110" s="6" t="inlineStr">
        <is>
          <t>Obras provisionales</t>
        </is>
      </c>
      <c r="C110" s="6" t="inlineStr">
        <is>
          <t>Mantenimiento y abastecimiento de combustible de maquinaria</t>
        </is>
      </c>
      <c r="D110" s="6" t="inlineStr">
        <is>
          <t>Mecánico, Abastecedor, Operador de equipo</t>
        </is>
      </c>
      <c r="E110" s="4" t="inlineStr">
        <is>
          <t>R</t>
        </is>
      </c>
      <c r="F110" s="6" t="inlineStr">
        <is>
          <t>Partes móviles y sistemas presurizados de la maquinaria</t>
        </is>
      </c>
      <c r="G110" s="6" t="inlineStr">
        <is>
          <t>Atrapamiento o golpe durante el mantenimiento</t>
        </is>
      </c>
      <c r="H110" s="6" t="inlineStr">
        <is>
          <t>Fracturas, amputaciones</t>
        </is>
      </c>
      <c r="I110" s="4" t="inlineStr">
        <is>
          <t>S</t>
        </is>
      </c>
      <c r="J110" s="20" t="n">
        <v>2</v>
      </c>
      <c r="K110" s="20" t="n">
        <v>2</v>
      </c>
      <c r="L110" s="20" t="n">
        <v>2</v>
      </c>
      <c r="M110" s="20" t="n">
        <v>2</v>
      </c>
      <c r="N110" s="21">
        <f>SUM(J110:M110)</f>
        <v/>
      </c>
      <c r="O110" s="20" t="n">
        <v>3</v>
      </c>
      <c r="P110" s="21">
        <f>N110*O110</f>
        <v/>
      </c>
      <c r="Q110" s="4">
        <f>IF(P110&lt;=4,"Trivial",IF(P110&lt;=8,"Tolerable",IF(P110&lt;=16,"Moderado",IF(P110&lt;=24,"Importante","Intolerable"))))</f>
        <v/>
      </c>
      <c r="R110" s="21">
        <f>IF(OR(Q110="Importante",Q110="Intolerable"),"Sí","No")</f>
        <v/>
      </c>
      <c r="S110" s="6" t="inlineStr">
        <is>
          <t>No aplica</t>
        </is>
      </c>
      <c r="T110" s="6" t="inlineStr">
        <is>
          <t>No aplica</t>
        </is>
      </c>
      <c r="U110" s="6" t="inlineStr">
        <is>
          <t>Calzas y bloqueo de implementos</t>
        </is>
      </c>
      <c r="V110" s="6" t="inlineStr">
        <is>
          <t>Bloqueo y etiquetado (LOTO) antes de intervenir; motor apagado</t>
        </is>
      </c>
      <c r="W110" s="6" t="inlineStr">
        <is>
          <t>Guantes de cuero o badana</t>
        </is>
      </c>
      <c r="X110" s="20" t="n">
        <v>2</v>
      </c>
      <c r="Y110" s="20" t="n">
        <v>1</v>
      </c>
      <c r="Z110" s="20" t="n">
        <v>1</v>
      </c>
      <c r="AA110" s="20" t="n">
        <v>2</v>
      </c>
      <c r="AB110" s="21">
        <f>SUM(X110:AA110)</f>
        <v/>
      </c>
      <c r="AC110" s="20" t="n">
        <v>2</v>
      </c>
      <c r="AD110" s="21">
        <f>AB110*AC110</f>
        <v/>
      </c>
      <c r="AE110" s="4">
        <f>IF(AD110&lt;=4,"Trivial",IF(AD110&lt;=8,"Tolerable",IF(AD110&lt;=16,"Moderado",IF(AD110&lt;=24,"Importante","Intolerable"))))</f>
        <v/>
      </c>
      <c r="AF110" s="21">
        <f>IF(OR(AE110="Importante",AE110="Intolerable"),"Sí","No")</f>
        <v/>
      </c>
      <c r="AG110" s="6" t="inlineStr">
        <is>
          <t>PETS - Mantenimiento y abastecimiento de combustible</t>
        </is>
      </c>
      <c r="AH110" s="4" t="inlineStr">
        <is>
          <t>—</t>
        </is>
      </c>
    </row>
    <row r="111" ht="58" customHeight="1">
      <c r="A111" s="4" t="n">
        <v>106</v>
      </c>
      <c r="B111" s="6" t="inlineStr">
        <is>
          <t>Obras provisionales</t>
        </is>
      </c>
      <c r="C111" s="6" t="inlineStr">
        <is>
          <t>Mantenimiento y abastecimiento de combustible de maquinaria</t>
        </is>
      </c>
      <c r="D111" s="6" t="inlineStr">
        <is>
          <t>Mecánico, Abastecedor, Operador de equipo</t>
        </is>
      </c>
      <c r="E111" s="4" t="inlineStr">
        <is>
          <t>R</t>
        </is>
      </c>
      <c r="F111" s="6" t="inlineStr">
        <is>
          <t>Hidrocarburos y lubricantes</t>
        </is>
      </c>
      <c r="G111" s="6" t="inlineStr">
        <is>
          <t>Derrame y contacto dérmico</t>
        </is>
      </c>
      <c r="H111" s="6" t="inlineStr">
        <is>
          <t>Dermatitis, contaminación de suelo y agua</t>
        </is>
      </c>
      <c r="I111" s="4" t="inlineStr">
        <is>
          <t>SO</t>
        </is>
      </c>
      <c r="J111" s="20" t="n">
        <v>2</v>
      </c>
      <c r="K111" s="20" t="n">
        <v>2</v>
      </c>
      <c r="L111" s="20" t="n">
        <v>2</v>
      </c>
      <c r="M111" s="20" t="n">
        <v>3</v>
      </c>
      <c r="N111" s="21">
        <f>SUM(J111:M111)</f>
        <v/>
      </c>
      <c r="O111" s="20" t="n">
        <v>1</v>
      </c>
      <c r="P111" s="21">
        <f>N111*O111</f>
        <v/>
      </c>
      <c r="Q111" s="4">
        <f>IF(P111&lt;=4,"Trivial",IF(P111&lt;=8,"Tolerable",IF(P111&lt;=16,"Moderado",IF(P111&lt;=24,"Importante","Intolerable"))))</f>
        <v/>
      </c>
      <c r="R111" s="21">
        <f>IF(OR(Q111="Importante",Q111="Intolerable"),"Sí","No")</f>
        <v/>
      </c>
      <c r="S111" s="6" t="inlineStr">
        <is>
          <t>No aplica</t>
        </is>
      </c>
      <c r="T111" s="6" t="inlineStr">
        <is>
          <t>No aplica</t>
        </is>
      </c>
      <c r="U111" s="6" t="inlineStr">
        <is>
          <t>Bandejas y kit antiderrame</t>
        </is>
      </c>
      <c r="V111" s="6" t="inlineStr">
        <is>
          <t>Manejo de residuos peligrosos con EO-RS</t>
        </is>
      </c>
      <c r="W111" s="6" t="inlineStr">
        <is>
          <t>Guantes de nitrilo o neopreno (químicos, cemento, asfalto)</t>
        </is>
      </c>
      <c r="X111" s="20" t="n">
        <v>2</v>
      </c>
      <c r="Y111" s="20" t="n">
        <v>1</v>
      </c>
      <c r="Z111" s="20" t="n">
        <v>1</v>
      </c>
      <c r="AA111" s="20" t="n">
        <v>3</v>
      </c>
      <c r="AB111" s="21">
        <f>SUM(X111:AA111)</f>
        <v/>
      </c>
      <c r="AC111" s="20" t="n">
        <v>1</v>
      </c>
      <c r="AD111" s="21">
        <f>AB111*AC111</f>
        <v/>
      </c>
      <c r="AE111" s="4">
        <f>IF(AD111&lt;=4,"Trivial",IF(AD111&lt;=8,"Tolerable",IF(AD111&lt;=16,"Moderado",IF(AD111&lt;=24,"Importante","Intolerable"))))</f>
        <v/>
      </c>
      <c r="AF111" s="21">
        <f>IF(OR(AE111="Importante",AE111="Intolerable"),"Sí","No")</f>
        <v/>
      </c>
      <c r="AG111" s="6" t="inlineStr">
        <is>
          <t>PETS - Mantenimiento y abastecimiento de combustible</t>
        </is>
      </c>
      <c r="AH111" s="4" t="inlineStr">
        <is>
          <t>—</t>
        </is>
      </c>
    </row>
    <row r="112" ht="58" customHeight="1">
      <c r="A112" s="4" t="n">
        <v>107</v>
      </c>
      <c r="B112" s="6" t="inlineStr">
        <is>
          <t>Gestión ambiental</t>
        </is>
      </c>
      <c r="C112" s="6" t="inlineStr">
        <is>
          <t>Manejo de residuos, servicios higiénicos portátiles y revegetación</t>
        </is>
      </c>
      <c r="D112" s="6" t="inlineStr">
        <is>
          <t>Peón, Operario</t>
        </is>
      </c>
      <c r="E112" s="4" t="inlineStr">
        <is>
          <t>R</t>
        </is>
      </c>
      <c r="F112" s="6" t="inlineStr">
        <is>
          <t>Residuos sólidos y peligrosos</t>
        </is>
      </c>
      <c r="G112" s="6" t="inlineStr">
        <is>
          <t>Contacto con residuos contaminados o punzocortantes</t>
        </is>
      </c>
      <c r="H112" s="6" t="inlineStr">
        <is>
          <t>Infecciones, dermatitis, cortes</t>
        </is>
      </c>
      <c r="I112" s="4" t="inlineStr">
        <is>
          <t>SO</t>
        </is>
      </c>
      <c r="J112" s="20" t="n">
        <v>2</v>
      </c>
      <c r="K112" s="20" t="n">
        <v>2</v>
      </c>
      <c r="L112" s="20" t="n">
        <v>2</v>
      </c>
      <c r="M112" s="20" t="n">
        <v>2</v>
      </c>
      <c r="N112" s="21">
        <f>SUM(J112:M112)</f>
        <v/>
      </c>
      <c r="O112" s="20" t="n">
        <v>2</v>
      </c>
      <c r="P112" s="21">
        <f>N112*O112</f>
        <v/>
      </c>
      <c r="Q112" s="4">
        <f>IF(P112&lt;=4,"Trivial",IF(P112&lt;=8,"Tolerable",IF(P112&lt;=16,"Moderado",IF(P112&lt;=24,"Importante","Intolerable"))))</f>
        <v/>
      </c>
      <c r="R112" s="21">
        <f>IF(OR(Q112="Importante",Q112="Intolerable"),"Sí","No")</f>
        <v/>
      </c>
      <c r="S112" s="6" t="inlineStr">
        <is>
          <t>No aplica</t>
        </is>
      </c>
      <c r="T112" s="6" t="inlineStr">
        <is>
          <t>No aplica</t>
        </is>
      </c>
      <c r="U112" s="6" t="inlineStr">
        <is>
          <t>Contenedores rotulados por tipo de residuo; almacén de residuos peligrosos con losa y techo</t>
        </is>
      </c>
      <c r="V112" s="6" t="inlineStr">
        <is>
          <t>Segregación en la fuente; disposición con EO-RS registrada</t>
        </is>
      </c>
      <c r="W112" s="6" t="inlineStr">
        <is>
          <t>Guantes de nitrilo o neopreno (químicos, cemento, asfalto)</t>
        </is>
      </c>
      <c r="X112" s="20" t="n">
        <v>2</v>
      </c>
      <c r="Y112" s="20" t="n">
        <v>1</v>
      </c>
      <c r="Z112" s="20" t="n">
        <v>1</v>
      </c>
      <c r="AA112" s="20" t="n">
        <v>2</v>
      </c>
      <c r="AB112" s="21">
        <f>SUM(X112:AA112)</f>
        <v/>
      </c>
      <c r="AC112" s="20" t="n">
        <v>1</v>
      </c>
      <c r="AD112" s="21">
        <f>AB112*AC112</f>
        <v/>
      </c>
      <c r="AE112" s="4">
        <f>IF(AD112&lt;=4,"Trivial",IF(AD112&lt;=8,"Tolerable",IF(AD112&lt;=16,"Moderado",IF(AD112&lt;=24,"Importante","Intolerable"))))</f>
        <v/>
      </c>
      <c r="AF112" s="21">
        <f>IF(OR(AE112="Importante",AE112="Intolerable"),"Sí","No")</f>
        <v/>
      </c>
      <c r="AG112" s="6" t="inlineStr">
        <is>
          <t>PETS - Manejo de residuos sólidos y peligrosos</t>
        </is>
      </c>
      <c r="AH112" s="4" t="inlineStr">
        <is>
          <t>—</t>
        </is>
      </c>
    </row>
    <row r="113" ht="58" customHeight="1">
      <c r="A113" s="4" t="n">
        <v>108</v>
      </c>
      <c r="B113" s="6" t="inlineStr">
        <is>
          <t>Gestión ambiental</t>
        </is>
      </c>
      <c r="C113" s="6" t="inlineStr">
        <is>
          <t>Manejo de residuos, servicios higiénicos portátiles y revegetación</t>
        </is>
      </c>
      <c r="D113" s="6" t="inlineStr">
        <is>
          <t>Peón, Operario</t>
        </is>
      </c>
      <c r="E113" s="4" t="inlineStr">
        <is>
          <t>R</t>
        </is>
      </c>
      <c r="F113" s="6" t="inlineStr">
        <is>
          <t>Servicios higiénicos portátiles</t>
        </is>
      </c>
      <c r="G113" s="6" t="inlineStr">
        <is>
          <t>Exposición a agentes biológicos</t>
        </is>
      </c>
      <c r="H113" s="6" t="inlineStr">
        <is>
          <t>Enfermedades infecciosas</t>
        </is>
      </c>
      <c r="I113" s="4" t="inlineStr">
        <is>
          <t>SO</t>
        </is>
      </c>
      <c r="J113" s="20" t="n">
        <v>2</v>
      </c>
      <c r="K113" s="20" t="n">
        <v>2</v>
      </c>
      <c r="L113" s="20" t="n">
        <v>2</v>
      </c>
      <c r="M113" s="20" t="n">
        <v>2</v>
      </c>
      <c r="N113" s="21">
        <f>SUM(J113:M113)</f>
        <v/>
      </c>
      <c r="O113" s="20" t="n">
        <v>2</v>
      </c>
      <c r="P113" s="21">
        <f>N113*O113</f>
        <v/>
      </c>
      <c r="Q113" s="4">
        <f>IF(P113&lt;=4,"Trivial",IF(P113&lt;=8,"Tolerable",IF(P113&lt;=16,"Moderado",IF(P113&lt;=24,"Importante","Intolerable"))))</f>
        <v/>
      </c>
      <c r="R113" s="21">
        <f>IF(OR(Q113="Importante",Q113="Intolerable"),"Sí","No")</f>
        <v/>
      </c>
      <c r="S113" s="6" t="inlineStr">
        <is>
          <t>No aplica</t>
        </is>
      </c>
      <c r="T113" s="6" t="inlineStr">
        <is>
          <t>No aplica</t>
        </is>
      </c>
      <c r="U113" s="6" t="inlineStr">
        <is>
          <t>No aplica</t>
        </is>
      </c>
      <c r="V113" s="6" t="inlineStr">
        <is>
          <t>Mantenimiento y limpieza por empresa autorizada</t>
        </is>
      </c>
      <c r="W113" s="6" t="inlineStr">
        <is>
          <t>Guantes de nitrilo o neopreno (químicos, cemento, asfalto)</t>
        </is>
      </c>
      <c r="X113" s="20" t="n">
        <v>2</v>
      </c>
      <c r="Y113" s="20" t="n">
        <v>1</v>
      </c>
      <c r="Z113" s="20" t="n">
        <v>1</v>
      </c>
      <c r="AA113" s="20" t="n">
        <v>2</v>
      </c>
      <c r="AB113" s="21">
        <f>SUM(X113:AA113)</f>
        <v/>
      </c>
      <c r="AC113" s="20" t="n">
        <v>1</v>
      </c>
      <c r="AD113" s="21">
        <f>AB113*AC113</f>
        <v/>
      </c>
      <c r="AE113" s="4">
        <f>IF(AD113&lt;=4,"Trivial",IF(AD113&lt;=8,"Tolerable",IF(AD113&lt;=16,"Moderado",IF(AD113&lt;=24,"Importante","Intolerable"))))</f>
        <v/>
      </c>
      <c r="AF113" s="21">
        <f>IF(OR(AE113="Importante",AE113="Intolerable"),"Sí","No")</f>
        <v/>
      </c>
      <c r="AG113" s="6" t="inlineStr">
        <is>
          <t>PETS - Manejo de residuos sólidos y peligrosos</t>
        </is>
      </c>
      <c r="AH113" s="4" t="inlineStr">
        <is>
          <t>—</t>
        </is>
      </c>
    </row>
    <row r="114" ht="58" customHeight="1">
      <c r="A114" s="4" t="n">
        <v>109</v>
      </c>
      <c r="B114" s="6" t="inlineStr">
        <is>
          <t>Gestión ambiental</t>
        </is>
      </c>
      <c r="C114" s="6" t="inlineStr">
        <is>
          <t>Manejo de residuos, servicios higiénicos portátiles y revegetación</t>
        </is>
      </c>
      <c r="D114" s="6" t="inlineStr">
        <is>
          <t>Peón, Operario</t>
        </is>
      </c>
      <c r="E114" s="4" t="inlineStr">
        <is>
          <t>R</t>
        </is>
      </c>
      <c r="F114" s="6" t="inlineStr">
        <is>
          <t>Manipulación manual de cargas</t>
        </is>
      </c>
      <c r="G114" s="6" t="inlineStr">
        <is>
          <t>Sobreesfuerzo por levantar o trasladar cargas pesadas o en mala postura</t>
        </is>
      </c>
      <c r="H114" s="6" t="inlineStr">
        <is>
          <t>Lumbalgia, hernias, lesiones musculoesqueléticas</t>
        </is>
      </c>
      <c r="I114" s="4" t="inlineStr">
        <is>
          <t>SO</t>
        </is>
      </c>
      <c r="J114" s="20" t="n">
        <v>2</v>
      </c>
      <c r="K114" s="20" t="n">
        <v>2</v>
      </c>
      <c r="L114" s="20" t="n">
        <v>2</v>
      </c>
      <c r="M114" s="20" t="n">
        <v>3</v>
      </c>
      <c r="N114" s="21">
        <f>SUM(J114:M114)</f>
        <v/>
      </c>
      <c r="O114" s="20" t="n">
        <v>2</v>
      </c>
      <c r="P114" s="21">
        <f>N114*O114</f>
        <v/>
      </c>
      <c r="Q114" s="4">
        <f>IF(P114&lt;=4,"Trivial",IF(P114&lt;=8,"Tolerable",IF(P114&lt;=16,"Moderado",IF(P114&lt;=24,"Importante","Intolerable"))))</f>
        <v/>
      </c>
      <c r="R114" s="21">
        <f>IF(OR(Q114="Importante",Q114="Intolerable"),"Sí","No")</f>
        <v/>
      </c>
      <c r="S114" s="6" t="inlineStr">
        <is>
          <t>No aplica</t>
        </is>
      </c>
      <c r="T114" s="6" t="inlineStr">
        <is>
          <t>Uso de carretillas, montacargas o equipo para cargas mayores de 25 kg</t>
        </is>
      </c>
      <c r="U114" s="6" t="inlineStr">
        <is>
          <t>Puntos de acopio cerca del frente de trabajo</t>
        </is>
      </c>
      <c r="V114" s="6" t="inlineStr">
        <is>
          <t>Capacitación en levantamiento seguro (R.M. N.° 375-2008-TR); trabajo en pareja; pausas activas</t>
        </is>
      </c>
      <c r="W114" s="6" t="inlineStr">
        <is>
          <t>EPP básico; faja lumbar solo con indicación médica</t>
        </is>
      </c>
      <c r="X114" s="20" t="n">
        <v>2</v>
      </c>
      <c r="Y114" s="20" t="n">
        <v>1</v>
      </c>
      <c r="Z114" s="20" t="n">
        <v>1</v>
      </c>
      <c r="AA114" s="20" t="n">
        <v>3</v>
      </c>
      <c r="AB114" s="21">
        <f>SUM(X114:AA114)</f>
        <v/>
      </c>
      <c r="AC114" s="20" t="n">
        <v>1</v>
      </c>
      <c r="AD114" s="21">
        <f>AB114*AC114</f>
        <v/>
      </c>
      <c r="AE114" s="4">
        <f>IF(AD114&lt;=4,"Trivial",IF(AD114&lt;=8,"Tolerable",IF(AD114&lt;=16,"Moderado",IF(AD114&lt;=24,"Importante","Intolerable"))))</f>
        <v/>
      </c>
      <c r="AF114" s="21">
        <f>IF(OR(AE114="Importante",AE114="Intolerable"),"Sí","No")</f>
        <v/>
      </c>
      <c r="AG114" s="6" t="inlineStr">
        <is>
          <t>PETS - Manejo de residuos sólidos y peligrosos</t>
        </is>
      </c>
      <c r="AH114" s="4" t="inlineStr">
        <is>
          <t>—</t>
        </is>
      </c>
    </row>
  </sheetData>
  <autoFilter ref="A5:AH114"/>
  <mergeCells count="7">
    <mergeCell ref="AG4:AH4"/>
    <mergeCell ref="A2:AH2"/>
    <mergeCell ref="A1:AH1"/>
    <mergeCell ref="S4:W4"/>
    <mergeCell ref="A4:I4"/>
    <mergeCell ref="X4:AF4"/>
    <mergeCell ref="J4:R4"/>
  </mergeCells>
  <conditionalFormatting sqref="Q6:Q114">
    <cfRule type="expression" priority="1" dxfId="0">
      <formula>Q6="Trivial"</formula>
    </cfRule>
    <cfRule type="expression" priority="2" dxfId="1">
      <formula>Q6="Tolerable"</formula>
    </cfRule>
    <cfRule type="expression" priority="3" dxfId="2">
      <formula>Q6="Moderado"</formula>
    </cfRule>
    <cfRule type="expression" priority="4" dxfId="3">
      <formula>Q6="Importante"</formula>
    </cfRule>
    <cfRule type="expression" priority="5" dxfId="4">
      <formula>Q6="Intolerable"</formula>
    </cfRule>
  </conditionalFormatting>
  <conditionalFormatting sqref="AE6:AE114">
    <cfRule type="expression" priority="6" dxfId="0">
      <formula>AE6="Trivial"</formula>
    </cfRule>
    <cfRule type="expression" priority="7" dxfId="1">
      <formula>AE6="Tolerable"</formula>
    </cfRule>
    <cfRule type="expression" priority="8" dxfId="2">
      <formula>AE6="Moderado"</formula>
    </cfRule>
    <cfRule type="expression" priority="9" dxfId="3">
      <formula>AE6="Importante"</formula>
    </cfRule>
    <cfRule type="expression" priority="10" dxfId="4">
      <formula>AE6="Intolerable"</formula>
    </cfRule>
  </conditionalFormatting>
  <pageMargins left="0.75" right="0.75" top="1" bottom="1" header="0.5" footer="0.5"/>
  <pageSetup orientation="landscape" paperSize="8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0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9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</cols>
  <sheetData>
    <row r="1">
      <c r="A1" s="1" t="inlineStr">
        <is>
          <t>RESUMEN DE NIVELES DE RIESGO</t>
        </is>
      </c>
    </row>
    <row r="2" ht="24" customHeight="1">
      <c r="A2" s="2" t="inlineStr">
        <is>
          <t>Fórmulas sobre la hoja IPERC: se actualiza al cambiar los índices</t>
        </is>
      </c>
    </row>
    <row r="4" ht="30" customHeight="1">
      <c r="A4" s="3" t="inlineStr">
        <is>
          <t>PROCESO</t>
        </is>
      </c>
      <c r="B4" s="3" t="inlineStr">
        <is>
          <t>PELIGROS</t>
        </is>
      </c>
      <c r="C4" s="22" t="inlineStr">
        <is>
          <t>INICIAL
TRIVIAL</t>
        </is>
      </c>
      <c r="D4" s="23" t="inlineStr">
        <is>
          <t>INICIAL
TOLERABLE</t>
        </is>
      </c>
      <c r="E4" s="24" t="inlineStr">
        <is>
          <t>INICIAL
MODERADO</t>
        </is>
      </c>
      <c r="F4" s="25" t="inlineStr">
        <is>
          <t>INICIAL
IMPORTANTE</t>
        </is>
      </c>
      <c r="G4" s="26" t="inlineStr">
        <is>
          <t>INICIAL
INTOLERABLE</t>
        </is>
      </c>
      <c r="H4" s="22" t="inlineStr">
        <is>
          <t>RESIDUAL
TRIVIAL</t>
        </is>
      </c>
      <c r="I4" s="23" t="inlineStr">
        <is>
          <t>RESIDUAL
TOLERABLE</t>
        </is>
      </c>
      <c r="J4" s="24" t="inlineStr">
        <is>
          <t>RESIDUAL
MODERADO</t>
        </is>
      </c>
      <c r="K4" s="25" t="inlineStr">
        <is>
          <t>RESIDUAL
IMPORTANTE</t>
        </is>
      </c>
      <c r="L4" s="26" t="inlineStr">
        <is>
          <t>RESIDUAL
INTOLERABLE</t>
        </is>
      </c>
    </row>
    <row r="5">
      <c r="A5" s="7" t="inlineStr">
        <is>
          <t>Actividades generales</t>
        </is>
      </c>
      <c r="B5" s="21">
        <f>COUNTIF(IPERC!$B$6:$B$114,A5)</f>
        <v/>
      </c>
      <c r="C5" s="21">
        <f>COUNTIFS(IPERC!$B$6:$B$114,$A5,IPERC!$Q$6:$Q$114,"Trivial")</f>
        <v/>
      </c>
      <c r="D5" s="21">
        <f>COUNTIFS(IPERC!$B$6:$B$114,$A5,IPERC!$Q$6:$Q$114,"Tolerable")</f>
        <v/>
      </c>
      <c r="E5" s="21">
        <f>COUNTIFS(IPERC!$B$6:$B$114,$A5,IPERC!$Q$6:$Q$114,"Moderado")</f>
        <v/>
      </c>
      <c r="F5" s="21">
        <f>COUNTIFS(IPERC!$B$6:$B$114,$A5,IPERC!$Q$6:$Q$114,"Importante")</f>
        <v/>
      </c>
      <c r="G5" s="21">
        <f>COUNTIFS(IPERC!$B$6:$B$114,$A5,IPERC!$Q$6:$Q$114,"Intolerable")</f>
        <v/>
      </c>
      <c r="H5" s="21">
        <f>COUNTIFS(IPERC!$B$6:$B$114,$A5,IPERC!$AE$6:$AE$114,"Trivial")</f>
        <v/>
      </c>
      <c r="I5" s="21">
        <f>COUNTIFS(IPERC!$B$6:$B$114,$A5,IPERC!$AE$6:$AE$114,"Tolerable")</f>
        <v/>
      </c>
      <c r="J5" s="21">
        <f>COUNTIFS(IPERC!$B$6:$B$114,$A5,IPERC!$AE$6:$AE$114,"Moderado")</f>
        <v/>
      </c>
      <c r="K5" s="21">
        <f>COUNTIFS(IPERC!$B$6:$B$114,$A5,IPERC!$AE$6:$AE$114,"Importante")</f>
        <v/>
      </c>
      <c r="L5" s="21">
        <f>COUNTIFS(IPERC!$B$6:$B$114,$A5,IPERC!$AE$6:$AE$114,"Intolerable")</f>
        <v/>
      </c>
    </row>
    <row r="6">
      <c r="A6" s="7" t="inlineStr">
        <is>
          <t>Obras provisionales</t>
        </is>
      </c>
      <c r="B6" s="21">
        <f>COUNTIF(IPERC!$B$6:$B$114,A6)</f>
        <v/>
      </c>
      <c r="C6" s="21">
        <f>COUNTIFS(IPERC!$B$6:$B$114,$A6,IPERC!$Q$6:$Q$114,"Trivial")</f>
        <v/>
      </c>
      <c r="D6" s="21">
        <f>COUNTIFS(IPERC!$B$6:$B$114,$A6,IPERC!$Q$6:$Q$114,"Tolerable")</f>
        <v/>
      </c>
      <c r="E6" s="21">
        <f>COUNTIFS(IPERC!$B$6:$B$114,$A6,IPERC!$Q$6:$Q$114,"Moderado")</f>
        <v/>
      </c>
      <c r="F6" s="21">
        <f>COUNTIFS(IPERC!$B$6:$B$114,$A6,IPERC!$Q$6:$Q$114,"Importante")</f>
        <v/>
      </c>
      <c r="G6" s="21">
        <f>COUNTIFS(IPERC!$B$6:$B$114,$A6,IPERC!$Q$6:$Q$114,"Intolerable")</f>
        <v/>
      </c>
      <c r="H6" s="21">
        <f>COUNTIFS(IPERC!$B$6:$B$114,$A6,IPERC!$AE$6:$AE$114,"Trivial")</f>
        <v/>
      </c>
      <c r="I6" s="21">
        <f>COUNTIFS(IPERC!$B$6:$B$114,$A6,IPERC!$AE$6:$AE$114,"Tolerable")</f>
        <v/>
      </c>
      <c r="J6" s="21">
        <f>COUNTIFS(IPERC!$B$6:$B$114,$A6,IPERC!$AE$6:$AE$114,"Moderado")</f>
        <v/>
      </c>
      <c r="K6" s="21">
        <f>COUNTIFS(IPERC!$B$6:$B$114,$A6,IPERC!$AE$6:$AE$114,"Importante")</f>
        <v/>
      </c>
      <c r="L6" s="21">
        <f>COUNTIFS(IPERC!$B$6:$B$114,$A6,IPERC!$AE$6:$AE$114,"Intolerable")</f>
        <v/>
      </c>
    </row>
    <row r="7">
      <c r="A7" s="7" t="inlineStr">
        <is>
          <t>Obras preliminares</t>
        </is>
      </c>
      <c r="B7" s="21">
        <f>COUNTIF(IPERC!$B$6:$B$114,A7)</f>
        <v/>
      </c>
      <c r="C7" s="21">
        <f>COUNTIFS(IPERC!$B$6:$B$114,$A7,IPERC!$Q$6:$Q$114,"Trivial")</f>
        <v/>
      </c>
      <c r="D7" s="21">
        <f>COUNTIFS(IPERC!$B$6:$B$114,$A7,IPERC!$Q$6:$Q$114,"Tolerable")</f>
        <v/>
      </c>
      <c r="E7" s="21">
        <f>COUNTIFS(IPERC!$B$6:$B$114,$A7,IPERC!$Q$6:$Q$114,"Moderado")</f>
        <v/>
      </c>
      <c r="F7" s="21">
        <f>COUNTIFS(IPERC!$B$6:$B$114,$A7,IPERC!$Q$6:$Q$114,"Importante")</f>
        <v/>
      </c>
      <c r="G7" s="21">
        <f>COUNTIFS(IPERC!$B$6:$B$114,$A7,IPERC!$Q$6:$Q$114,"Intolerable")</f>
        <v/>
      </c>
      <c r="H7" s="21">
        <f>COUNTIFS(IPERC!$B$6:$B$114,$A7,IPERC!$AE$6:$AE$114,"Trivial")</f>
        <v/>
      </c>
      <c r="I7" s="21">
        <f>COUNTIFS(IPERC!$B$6:$B$114,$A7,IPERC!$AE$6:$AE$114,"Tolerable")</f>
        <v/>
      </c>
      <c r="J7" s="21">
        <f>COUNTIFS(IPERC!$B$6:$B$114,$A7,IPERC!$AE$6:$AE$114,"Moderado")</f>
        <v/>
      </c>
      <c r="K7" s="21">
        <f>COUNTIFS(IPERC!$B$6:$B$114,$A7,IPERC!$AE$6:$AE$114,"Importante")</f>
        <v/>
      </c>
      <c r="L7" s="21">
        <f>COUNTIFS(IPERC!$B$6:$B$114,$A7,IPERC!$AE$6:$AE$114,"Intolerable")</f>
        <v/>
      </c>
    </row>
    <row r="8">
      <c r="A8" s="7" t="inlineStr">
        <is>
          <t>Demoliciones</t>
        </is>
      </c>
      <c r="B8" s="21">
        <f>COUNTIF(IPERC!$B$6:$B$114,A8)</f>
        <v/>
      </c>
      <c r="C8" s="21">
        <f>COUNTIFS(IPERC!$B$6:$B$114,$A8,IPERC!$Q$6:$Q$114,"Trivial")</f>
        <v/>
      </c>
      <c r="D8" s="21">
        <f>COUNTIFS(IPERC!$B$6:$B$114,$A8,IPERC!$Q$6:$Q$114,"Tolerable")</f>
        <v/>
      </c>
      <c r="E8" s="21">
        <f>COUNTIFS(IPERC!$B$6:$B$114,$A8,IPERC!$Q$6:$Q$114,"Moderado")</f>
        <v/>
      </c>
      <c r="F8" s="21">
        <f>COUNTIFS(IPERC!$B$6:$B$114,$A8,IPERC!$Q$6:$Q$114,"Importante")</f>
        <v/>
      </c>
      <c r="G8" s="21">
        <f>COUNTIFS(IPERC!$B$6:$B$114,$A8,IPERC!$Q$6:$Q$114,"Intolerable")</f>
        <v/>
      </c>
      <c r="H8" s="21">
        <f>COUNTIFS(IPERC!$B$6:$B$114,$A8,IPERC!$AE$6:$AE$114,"Trivial")</f>
        <v/>
      </c>
      <c r="I8" s="21">
        <f>COUNTIFS(IPERC!$B$6:$B$114,$A8,IPERC!$AE$6:$AE$114,"Tolerable")</f>
        <v/>
      </c>
      <c r="J8" s="21">
        <f>COUNTIFS(IPERC!$B$6:$B$114,$A8,IPERC!$AE$6:$AE$114,"Moderado")</f>
        <v/>
      </c>
      <c r="K8" s="21">
        <f>COUNTIFS(IPERC!$B$6:$B$114,$A8,IPERC!$AE$6:$AE$114,"Importante")</f>
        <v/>
      </c>
      <c r="L8" s="21">
        <f>COUNTIFS(IPERC!$B$6:$B$114,$A8,IPERC!$AE$6:$AE$114,"Intolerable")</f>
        <v/>
      </c>
    </row>
    <row r="9">
      <c r="A9" s="7" t="inlineStr">
        <is>
          <t>Movimiento de tierras</t>
        </is>
      </c>
      <c r="B9" s="21">
        <f>COUNTIF(IPERC!$B$6:$B$114,A9)</f>
        <v/>
      </c>
      <c r="C9" s="21">
        <f>COUNTIFS(IPERC!$B$6:$B$114,$A9,IPERC!$Q$6:$Q$114,"Trivial")</f>
        <v/>
      </c>
      <c r="D9" s="21">
        <f>COUNTIFS(IPERC!$B$6:$B$114,$A9,IPERC!$Q$6:$Q$114,"Tolerable")</f>
        <v/>
      </c>
      <c r="E9" s="21">
        <f>COUNTIFS(IPERC!$B$6:$B$114,$A9,IPERC!$Q$6:$Q$114,"Moderado")</f>
        <v/>
      </c>
      <c r="F9" s="21">
        <f>COUNTIFS(IPERC!$B$6:$B$114,$A9,IPERC!$Q$6:$Q$114,"Importante")</f>
        <v/>
      </c>
      <c r="G9" s="21">
        <f>COUNTIFS(IPERC!$B$6:$B$114,$A9,IPERC!$Q$6:$Q$114,"Intolerable")</f>
        <v/>
      </c>
      <c r="H9" s="21">
        <f>COUNTIFS(IPERC!$B$6:$B$114,$A9,IPERC!$AE$6:$AE$114,"Trivial")</f>
        <v/>
      </c>
      <c r="I9" s="21">
        <f>COUNTIFS(IPERC!$B$6:$B$114,$A9,IPERC!$AE$6:$AE$114,"Tolerable")</f>
        <v/>
      </c>
      <c r="J9" s="21">
        <f>COUNTIFS(IPERC!$B$6:$B$114,$A9,IPERC!$AE$6:$AE$114,"Moderado")</f>
        <v/>
      </c>
      <c r="K9" s="21">
        <f>COUNTIFS(IPERC!$B$6:$B$114,$A9,IPERC!$AE$6:$AE$114,"Importante")</f>
        <v/>
      </c>
      <c r="L9" s="21">
        <f>COUNTIFS(IPERC!$B$6:$B$114,$A9,IPERC!$AE$6:$AE$114,"Intolerable")</f>
        <v/>
      </c>
    </row>
    <row r="10">
      <c r="A10" s="7" t="inlineStr">
        <is>
          <t>Transporte</t>
        </is>
      </c>
      <c r="B10" s="21">
        <f>COUNTIF(IPERC!$B$6:$B$114,A10)</f>
        <v/>
      </c>
      <c r="C10" s="21">
        <f>COUNTIFS(IPERC!$B$6:$B$114,$A10,IPERC!$Q$6:$Q$114,"Trivial")</f>
        <v/>
      </c>
      <c r="D10" s="21">
        <f>COUNTIFS(IPERC!$B$6:$B$114,$A10,IPERC!$Q$6:$Q$114,"Tolerable")</f>
        <v/>
      </c>
      <c r="E10" s="21">
        <f>COUNTIFS(IPERC!$B$6:$B$114,$A10,IPERC!$Q$6:$Q$114,"Moderado")</f>
        <v/>
      </c>
      <c r="F10" s="21">
        <f>COUNTIFS(IPERC!$B$6:$B$114,$A10,IPERC!$Q$6:$Q$114,"Importante")</f>
        <v/>
      </c>
      <c r="G10" s="21">
        <f>COUNTIFS(IPERC!$B$6:$B$114,$A10,IPERC!$Q$6:$Q$114,"Intolerable")</f>
        <v/>
      </c>
      <c r="H10" s="21">
        <f>COUNTIFS(IPERC!$B$6:$B$114,$A10,IPERC!$AE$6:$AE$114,"Trivial")</f>
        <v/>
      </c>
      <c r="I10" s="21">
        <f>COUNTIFS(IPERC!$B$6:$B$114,$A10,IPERC!$AE$6:$AE$114,"Tolerable")</f>
        <v/>
      </c>
      <c r="J10" s="21">
        <f>COUNTIFS(IPERC!$B$6:$B$114,$A10,IPERC!$AE$6:$AE$114,"Moderado")</f>
        <v/>
      </c>
      <c r="K10" s="21">
        <f>COUNTIFS(IPERC!$B$6:$B$114,$A10,IPERC!$AE$6:$AE$114,"Importante")</f>
        <v/>
      </c>
      <c r="L10" s="21">
        <f>COUNTIFS(IPERC!$B$6:$B$114,$A10,IPERC!$AE$6:$AE$114,"Intolerable")</f>
        <v/>
      </c>
    </row>
    <row r="11">
      <c r="A11" s="7" t="inlineStr">
        <is>
          <t>Obras de concreto</t>
        </is>
      </c>
      <c r="B11" s="21">
        <f>COUNTIF(IPERC!$B$6:$B$114,A11)</f>
        <v/>
      </c>
      <c r="C11" s="21">
        <f>COUNTIFS(IPERC!$B$6:$B$114,$A11,IPERC!$Q$6:$Q$114,"Trivial")</f>
        <v/>
      </c>
      <c r="D11" s="21">
        <f>COUNTIFS(IPERC!$B$6:$B$114,$A11,IPERC!$Q$6:$Q$114,"Tolerable")</f>
        <v/>
      </c>
      <c r="E11" s="21">
        <f>COUNTIFS(IPERC!$B$6:$B$114,$A11,IPERC!$Q$6:$Q$114,"Moderado")</f>
        <v/>
      </c>
      <c r="F11" s="21">
        <f>COUNTIFS(IPERC!$B$6:$B$114,$A11,IPERC!$Q$6:$Q$114,"Importante")</f>
        <v/>
      </c>
      <c r="G11" s="21">
        <f>COUNTIFS(IPERC!$B$6:$B$114,$A11,IPERC!$Q$6:$Q$114,"Intolerable")</f>
        <v/>
      </c>
      <c r="H11" s="21">
        <f>COUNTIFS(IPERC!$B$6:$B$114,$A11,IPERC!$AE$6:$AE$114,"Trivial")</f>
        <v/>
      </c>
      <c r="I11" s="21">
        <f>COUNTIFS(IPERC!$B$6:$B$114,$A11,IPERC!$AE$6:$AE$114,"Tolerable")</f>
        <v/>
      </c>
      <c r="J11" s="21">
        <f>COUNTIFS(IPERC!$B$6:$B$114,$A11,IPERC!$AE$6:$AE$114,"Moderado")</f>
        <v/>
      </c>
      <c r="K11" s="21">
        <f>COUNTIFS(IPERC!$B$6:$B$114,$A11,IPERC!$AE$6:$AE$114,"Importante")</f>
        <v/>
      </c>
      <c r="L11" s="21">
        <f>COUNTIFS(IPERC!$B$6:$B$114,$A11,IPERC!$AE$6:$AE$114,"Intolerable")</f>
        <v/>
      </c>
    </row>
    <row r="12">
      <c r="A12" s="7" t="inlineStr">
        <is>
          <t>Obras de arte y drenaje</t>
        </is>
      </c>
      <c r="B12" s="21">
        <f>COUNTIF(IPERC!$B$6:$B$114,A12)</f>
        <v/>
      </c>
      <c r="C12" s="21">
        <f>COUNTIFS(IPERC!$B$6:$B$114,$A12,IPERC!$Q$6:$Q$114,"Trivial")</f>
        <v/>
      </c>
      <c r="D12" s="21">
        <f>COUNTIFS(IPERC!$B$6:$B$114,$A12,IPERC!$Q$6:$Q$114,"Tolerable")</f>
        <v/>
      </c>
      <c r="E12" s="21">
        <f>COUNTIFS(IPERC!$B$6:$B$114,$A12,IPERC!$Q$6:$Q$114,"Moderado")</f>
        <v/>
      </c>
      <c r="F12" s="21">
        <f>COUNTIFS(IPERC!$B$6:$B$114,$A12,IPERC!$Q$6:$Q$114,"Importante")</f>
        <v/>
      </c>
      <c r="G12" s="21">
        <f>COUNTIFS(IPERC!$B$6:$B$114,$A12,IPERC!$Q$6:$Q$114,"Intolerable")</f>
        <v/>
      </c>
      <c r="H12" s="21">
        <f>COUNTIFS(IPERC!$B$6:$B$114,$A12,IPERC!$AE$6:$AE$114,"Trivial")</f>
        <v/>
      </c>
      <c r="I12" s="21">
        <f>COUNTIFS(IPERC!$B$6:$B$114,$A12,IPERC!$AE$6:$AE$114,"Tolerable")</f>
        <v/>
      </c>
      <c r="J12" s="21">
        <f>COUNTIFS(IPERC!$B$6:$B$114,$A12,IPERC!$AE$6:$AE$114,"Moderado")</f>
        <v/>
      </c>
      <c r="K12" s="21">
        <f>COUNTIFS(IPERC!$B$6:$B$114,$A12,IPERC!$AE$6:$AE$114,"Importante")</f>
        <v/>
      </c>
      <c r="L12" s="21">
        <f>COUNTIFS(IPERC!$B$6:$B$114,$A12,IPERC!$AE$6:$AE$114,"Intolerable")</f>
        <v/>
      </c>
    </row>
    <row r="13">
      <c r="A13" s="7" t="inlineStr">
        <is>
          <t>Pavimentos</t>
        </is>
      </c>
      <c r="B13" s="21">
        <f>COUNTIF(IPERC!$B$6:$B$114,A13)</f>
        <v/>
      </c>
      <c r="C13" s="21">
        <f>COUNTIFS(IPERC!$B$6:$B$114,$A13,IPERC!$Q$6:$Q$114,"Trivial")</f>
        <v/>
      </c>
      <c r="D13" s="21">
        <f>COUNTIFS(IPERC!$B$6:$B$114,$A13,IPERC!$Q$6:$Q$114,"Tolerable")</f>
        <v/>
      </c>
      <c r="E13" s="21">
        <f>COUNTIFS(IPERC!$B$6:$B$114,$A13,IPERC!$Q$6:$Q$114,"Moderado")</f>
        <v/>
      </c>
      <c r="F13" s="21">
        <f>COUNTIFS(IPERC!$B$6:$B$114,$A13,IPERC!$Q$6:$Q$114,"Importante")</f>
        <v/>
      </c>
      <c r="G13" s="21">
        <f>COUNTIFS(IPERC!$B$6:$B$114,$A13,IPERC!$Q$6:$Q$114,"Intolerable")</f>
        <v/>
      </c>
      <c r="H13" s="21">
        <f>COUNTIFS(IPERC!$B$6:$B$114,$A13,IPERC!$AE$6:$AE$114,"Trivial")</f>
        <v/>
      </c>
      <c r="I13" s="21">
        <f>COUNTIFS(IPERC!$B$6:$B$114,$A13,IPERC!$AE$6:$AE$114,"Tolerable")</f>
        <v/>
      </c>
      <c r="J13" s="21">
        <f>COUNTIFS(IPERC!$B$6:$B$114,$A13,IPERC!$AE$6:$AE$114,"Moderado")</f>
        <v/>
      </c>
      <c r="K13" s="21">
        <f>COUNTIFS(IPERC!$B$6:$B$114,$A13,IPERC!$AE$6:$AE$114,"Importante")</f>
        <v/>
      </c>
      <c r="L13" s="21">
        <f>COUNTIFS(IPERC!$B$6:$B$114,$A13,IPERC!$AE$6:$AE$114,"Intolerable")</f>
        <v/>
      </c>
    </row>
    <row r="14">
      <c r="A14" s="7" t="inlineStr">
        <is>
          <t>Puentes y estructuras</t>
        </is>
      </c>
      <c r="B14" s="21">
        <f>COUNTIF(IPERC!$B$6:$B$114,A14)</f>
        <v/>
      </c>
      <c r="C14" s="21">
        <f>COUNTIFS(IPERC!$B$6:$B$114,$A14,IPERC!$Q$6:$Q$114,"Trivial")</f>
        <v/>
      </c>
      <c r="D14" s="21">
        <f>COUNTIFS(IPERC!$B$6:$B$114,$A14,IPERC!$Q$6:$Q$114,"Tolerable")</f>
        <v/>
      </c>
      <c r="E14" s="21">
        <f>COUNTIFS(IPERC!$B$6:$B$114,$A14,IPERC!$Q$6:$Q$114,"Moderado")</f>
        <v/>
      </c>
      <c r="F14" s="21">
        <f>COUNTIFS(IPERC!$B$6:$B$114,$A14,IPERC!$Q$6:$Q$114,"Importante")</f>
        <v/>
      </c>
      <c r="G14" s="21">
        <f>COUNTIFS(IPERC!$B$6:$B$114,$A14,IPERC!$Q$6:$Q$114,"Intolerable")</f>
        <v/>
      </c>
      <c r="H14" s="21">
        <f>COUNTIFS(IPERC!$B$6:$B$114,$A14,IPERC!$AE$6:$AE$114,"Trivial")</f>
        <v/>
      </c>
      <c r="I14" s="21">
        <f>COUNTIFS(IPERC!$B$6:$B$114,$A14,IPERC!$AE$6:$AE$114,"Tolerable")</f>
        <v/>
      </c>
      <c r="J14" s="21">
        <f>COUNTIFS(IPERC!$B$6:$B$114,$A14,IPERC!$AE$6:$AE$114,"Moderado")</f>
        <v/>
      </c>
      <c r="K14" s="21">
        <f>COUNTIFS(IPERC!$B$6:$B$114,$A14,IPERC!$AE$6:$AE$114,"Importante")</f>
        <v/>
      </c>
      <c r="L14" s="21">
        <f>COUNTIFS(IPERC!$B$6:$B$114,$A14,IPERC!$AE$6:$AE$114,"Intolerable")</f>
        <v/>
      </c>
    </row>
    <row r="15">
      <c r="A15" s="7" t="inlineStr">
        <is>
          <t>Señalización y seguridad vial</t>
        </is>
      </c>
      <c r="B15" s="21">
        <f>COUNTIF(IPERC!$B$6:$B$114,A15)</f>
        <v/>
      </c>
      <c r="C15" s="21">
        <f>COUNTIFS(IPERC!$B$6:$B$114,$A15,IPERC!$Q$6:$Q$114,"Trivial")</f>
        <v/>
      </c>
      <c r="D15" s="21">
        <f>COUNTIFS(IPERC!$B$6:$B$114,$A15,IPERC!$Q$6:$Q$114,"Tolerable")</f>
        <v/>
      </c>
      <c r="E15" s="21">
        <f>COUNTIFS(IPERC!$B$6:$B$114,$A15,IPERC!$Q$6:$Q$114,"Moderado")</f>
        <v/>
      </c>
      <c r="F15" s="21">
        <f>COUNTIFS(IPERC!$B$6:$B$114,$A15,IPERC!$Q$6:$Q$114,"Importante")</f>
        <v/>
      </c>
      <c r="G15" s="21">
        <f>COUNTIFS(IPERC!$B$6:$B$114,$A15,IPERC!$Q$6:$Q$114,"Intolerable")</f>
        <v/>
      </c>
      <c r="H15" s="21">
        <f>COUNTIFS(IPERC!$B$6:$B$114,$A15,IPERC!$AE$6:$AE$114,"Trivial")</f>
        <v/>
      </c>
      <c r="I15" s="21">
        <f>COUNTIFS(IPERC!$B$6:$B$114,$A15,IPERC!$AE$6:$AE$114,"Tolerable")</f>
        <v/>
      </c>
      <c r="J15" s="21">
        <f>COUNTIFS(IPERC!$B$6:$B$114,$A15,IPERC!$AE$6:$AE$114,"Moderado")</f>
        <v/>
      </c>
      <c r="K15" s="21">
        <f>COUNTIFS(IPERC!$B$6:$B$114,$A15,IPERC!$AE$6:$AE$114,"Importante")</f>
        <v/>
      </c>
      <c r="L15" s="21">
        <f>COUNTIFS(IPERC!$B$6:$B$114,$A15,IPERC!$AE$6:$AE$114,"Intolerable")</f>
        <v/>
      </c>
    </row>
    <row r="16">
      <c r="A16" s="7" t="inlineStr">
        <is>
          <t>Gestión ambiental</t>
        </is>
      </c>
      <c r="B16" s="21">
        <f>COUNTIF(IPERC!$B$6:$B$114,A16)</f>
        <v/>
      </c>
      <c r="C16" s="21">
        <f>COUNTIFS(IPERC!$B$6:$B$114,$A16,IPERC!$Q$6:$Q$114,"Trivial")</f>
        <v/>
      </c>
      <c r="D16" s="21">
        <f>COUNTIFS(IPERC!$B$6:$B$114,$A16,IPERC!$Q$6:$Q$114,"Tolerable")</f>
        <v/>
      </c>
      <c r="E16" s="21">
        <f>COUNTIFS(IPERC!$B$6:$B$114,$A16,IPERC!$Q$6:$Q$114,"Moderado")</f>
        <v/>
      </c>
      <c r="F16" s="21">
        <f>COUNTIFS(IPERC!$B$6:$B$114,$A16,IPERC!$Q$6:$Q$114,"Importante")</f>
        <v/>
      </c>
      <c r="G16" s="21">
        <f>COUNTIFS(IPERC!$B$6:$B$114,$A16,IPERC!$Q$6:$Q$114,"Intolerable")</f>
        <v/>
      </c>
      <c r="H16" s="21">
        <f>COUNTIFS(IPERC!$B$6:$B$114,$A16,IPERC!$AE$6:$AE$114,"Trivial")</f>
        <v/>
      </c>
      <c r="I16" s="21">
        <f>COUNTIFS(IPERC!$B$6:$B$114,$A16,IPERC!$AE$6:$AE$114,"Tolerable")</f>
        <v/>
      </c>
      <c r="J16" s="21">
        <f>COUNTIFS(IPERC!$B$6:$B$114,$A16,IPERC!$AE$6:$AE$114,"Moderado")</f>
        <v/>
      </c>
      <c r="K16" s="21">
        <f>COUNTIFS(IPERC!$B$6:$B$114,$A16,IPERC!$AE$6:$AE$114,"Importante")</f>
        <v/>
      </c>
      <c r="L16" s="21">
        <f>COUNTIFS(IPERC!$B$6:$B$114,$A16,IPERC!$AE$6:$AE$114,"Intolerable")</f>
        <v/>
      </c>
    </row>
    <row r="17">
      <c r="A17" s="27" t="inlineStr">
        <is>
          <t>TOTAL</t>
        </is>
      </c>
      <c r="B17" s="28">
        <f>SUM(B5:B16)</f>
        <v/>
      </c>
      <c r="C17" s="28">
        <f>SUM(C5:C16)</f>
        <v/>
      </c>
      <c r="D17" s="28">
        <f>SUM(D5:D16)</f>
        <v/>
      </c>
      <c r="E17" s="28">
        <f>SUM(E5:E16)</f>
        <v/>
      </c>
      <c r="F17" s="28">
        <f>SUM(F5:F16)</f>
        <v/>
      </c>
      <c r="G17" s="28">
        <f>SUM(G5:G16)</f>
        <v/>
      </c>
      <c r="H17" s="28">
        <f>SUM(H5:H16)</f>
        <v/>
      </c>
      <c r="I17" s="28">
        <f>SUM(I5:I16)</f>
        <v/>
      </c>
      <c r="J17" s="28">
        <f>SUM(J5:J16)</f>
        <v/>
      </c>
      <c r="K17" s="28">
        <f>SUM(K5:K16)</f>
        <v/>
      </c>
      <c r="L17" s="28">
        <f>SUM(L5:L16)</f>
        <v/>
      </c>
    </row>
    <row r="19">
      <c r="A19" s="7" t="inlineStr">
        <is>
          <t>Riesgos significativos antes de los controles</t>
        </is>
      </c>
      <c r="B19" s="21">
        <f>COUNTIF(IPERC!$R$6:$R$114,"Sí")</f>
        <v/>
      </c>
    </row>
    <row r="20">
      <c r="A20" s="7" t="inlineStr">
        <is>
          <t>Riesgos significativos después de los controles</t>
        </is>
      </c>
      <c r="B20" s="21">
        <f>COUNTIF(IPERC!$AF$6:$AF$114,"Sí")</f>
        <v/>
      </c>
    </row>
  </sheetData>
  <mergeCells count="2">
    <mergeCell ref="A2:L2"/>
    <mergeCell ref="A1:L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4"/>
  <sheetViews>
    <sheetView showGridLines="0" workbookViewId="0">
      <selection activeCell="A1" sqref="A1"/>
    </sheetView>
  </sheetViews>
  <sheetFormatPr baseColWidth="8" defaultRowHeight="15"/>
  <cols>
    <col width="13" customWidth="1" min="1" max="1"/>
    <col width="12" customWidth="1" min="2" max="2"/>
    <col width="12" customWidth="1" min="3" max="3"/>
    <col width="12" customWidth="1" min="4" max="4"/>
    <col width="4" customWidth="1" min="5" max="5"/>
    <col width="13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MAPA DE CALOR: PROBABILIDAD x SEVERIDAD</t>
        </is>
      </c>
    </row>
    <row r="2" ht="24" customHeight="1">
      <c r="A2" s="2" t="inlineStr">
        <is>
          <t>Número de peligros en cada celda (fórmulas sobre el IPERC)</t>
        </is>
      </c>
    </row>
    <row r="4">
      <c r="A4" s="3" t="inlineStr">
        <is>
          <t>EVALUACIÓN INICIAL</t>
        </is>
      </c>
      <c r="B4" s="10" t="n"/>
      <c r="C4" s="10" t="n"/>
      <c r="D4" s="10" t="n"/>
      <c r="F4" s="3" t="inlineStr">
        <is>
          <t>EVALUACIÓN RESIDUAL</t>
        </is>
      </c>
      <c r="G4" s="10" t="n"/>
      <c r="H4" s="10" t="n"/>
      <c r="I4" s="10" t="n"/>
    </row>
    <row r="5">
      <c r="A5" s="3" t="inlineStr">
        <is>
          <t>PROBABILIDAD</t>
        </is>
      </c>
      <c r="B5" s="3" t="inlineStr">
        <is>
          <t>SEVERIDAD 1</t>
        </is>
      </c>
      <c r="C5" s="3" t="inlineStr">
        <is>
          <t>SEVERIDAD 2</t>
        </is>
      </c>
      <c r="D5" s="3" t="inlineStr">
        <is>
          <t>SEVERIDAD 3</t>
        </is>
      </c>
      <c r="F5" s="3" t="inlineStr">
        <is>
          <t>PROBABILIDAD</t>
        </is>
      </c>
      <c r="G5" s="3" t="inlineStr">
        <is>
          <t>SEVERIDAD 1</t>
        </is>
      </c>
      <c r="H5" s="3" t="inlineStr">
        <is>
          <t>SEVERIDAD 2</t>
        </is>
      </c>
      <c r="I5" s="3" t="inlineStr">
        <is>
          <t>SEVERIDAD 3</t>
        </is>
      </c>
    </row>
    <row r="6">
      <c r="A6" s="29" t="n">
        <v>12</v>
      </c>
      <c r="B6" s="13">
        <f>COUNTIFS(IPERC!$N$6:$N$114,12,IPERC!$O$6:$O$114,1)</f>
        <v/>
      </c>
      <c r="C6" s="14">
        <f>COUNTIFS(IPERC!$N$6:$N$114,12,IPERC!$O$6:$O$114,2)</f>
        <v/>
      </c>
      <c r="D6" s="15">
        <f>COUNTIFS(IPERC!$N$6:$N$114,12,IPERC!$O$6:$O$114,3)</f>
        <v/>
      </c>
      <c r="F6" s="29" t="n">
        <v>12</v>
      </c>
      <c r="G6" s="13">
        <f>COUNTIFS(IPERC!$AB$6:$AB$114,12,IPERC!$AC$6:$AC$114,1)</f>
        <v/>
      </c>
      <c r="H6" s="14">
        <f>COUNTIFS(IPERC!$AB$6:$AB$114,12,IPERC!$AC$6:$AC$114,2)</f>
        <v/>
      </c>
      <c r="I6" s="15">
        <f>COUNTIFS(IPERC!$AB$6:$AB$114,12,IPERC!$AC$6:$AC$114,3)</f>
        <v/>
      </c>
    </row>
    <row r="7">
      <c r="A7" s="29" t="n">
        <v>11</v>
      </c>
      <c r="B7" s="13">
        <f>COUNTIFS(IPERC!$N$6:$N$114,11,IPERC!$O$6:$O$114,1)</f>
        <v/>
      </c>
      <c r="C7" s="14">
        <f>COUNTIFS(IPERC!$N$6:$N$114,11,IPERC!$O$6:$O$114,2)</f>
        <v/>
      </c>
      <c r="D7" s="15">
        <f>COUNTIFS(IPERC!$N$6:$N$114,11,IPERC!$O$6:$O$114,3)</f>
        <v/>
      </c>
      <c r="F7" s="29" t="n">
        <v>11</v>
      </c>
      <c r="G7" s="13">
        <f>COUNTIFS(IPERC!$AB$6:$AB$114,11,IPERC!$AC$6:$AC$114,1)</f>
        <v/>
      </c>
      <c r="H7" s="14">
        <f>COUNTIFS(IPERC!$AB$6:$AB$114,11,IPERC!$AC$6:$AC$114,2)</f>
        <v/>
      </c>
      <c r="I7" s="15">
        <f>COUNTIFS(IPERC!$AB$6:$AB$114,11,IPERC!$AC$6:$AC$114,3)</f>
        <v/>
      </c>
    </row>
    <row r="8">
      <c r="A8" s="29" t="n">
        <v>10</v>
      </c>
      <c r="B8" s="13">
        <f>COUNTIFS(IPERC!$N$6:$N$114,10,IPERC!$O$6:$O$114,1)</f>
        <v/>
      </c>
      <c r="C8" s="14">
        <f>COUNTIFS(IPERC!$N$6:$N$114,10,IPERC!$O$6:$O$114,2)</f>
        <v/>
      </c>
      <c r="D8" s="15">
        <f>COUNTIFS(IPERC!$N$6:$N$114,10,IPERC!$O$6:$O$114,3)</f>
        <v/>
      </c>
      <c r="F8" s="29" t="n">
        <v>10</v>
      </c>
      <c r="G8" s="13">
        <f>COUNTIFS(IPERC!$AB$6:$AB$114,10,IPERC!$AC$6:$AC$114,1)</f>
        <v/>
      </c>
      <c r="H8" s="14">
        <f>COUNTIFS(IPERC!$AB$6:$AB$114,10,IPERC!$AC$6:$AC$114,2)</f>
        <v/>
      </c>
      <c r="I8" s="15">
        <f>COUNTIFS(IPERC!$AB$6:$AB$114,10,IPERC!$AC$6:$AC$114,3)</f>
        <v/>
      </c>
    </row>
    <row r="9">
      <c r="A9" s="29" t="n">
        <v>9</v>
      </c>
      <c r="B9" s="13">
        <f>COUNTIFS(IPERC!$N$6:$N$114,9,IPERC!$O$6:$O$114,1)</f>
        <v/>
      </c>
      <c r="C9" s="14">
        <f>COUNTIFS(IPERC!$N$6:$N$114,9,IPERC!$O$6:$O$114,2)</f>
        <v/>
      </c>
      <c r="D9" s="15">
        <f>COUNTIFS(IPERC!$N$6:$N$114,9,IPERC!$O$6:$O$114,3)</f>
        <v/>
      </c>
      <c r="F9" s="29" t="n">
        <v>9</v>
      </c>
      <c r="G9" s="13">
        <f>COUNTIFS(IPERC!$AB$6:$AB$114,9,IPERC!$AC$6:$AC$114,1)</f>
        <v/>
      </c>
      <c r="H9" s="14">
        <f>COUNTIFS(IPERC!$AB$6:$AB$114,9,IPERC!$AC$6:$AC$114,2)</f>
        <v/>
      </c>
      <c r="I9" s="15">
        <f>COUNTIFS(IPERC!$AB$6:$AB$114,9,IPERC!$AC$6:$AC$114,3)</f>
        <v/>
      </c>
    </row>
    <row r="10">
      <c r="A10" s="29" t="n">
        <v>8</v>
      </c>
      <c r="B10" s="12">
        <f>COUNTIFS(IPERC!$N$6:$N$114,8,IPERC!$O$6:$O$114,1)</f>
        <v/>
      </c>
      <c r="C10" s="13">
        <f>COUNTIFS(IPERC!$N$6:$N$114,8,IPERC!$O$6:$O$114,2)</f>
        <v/>
      </c>
      <c r="D10" s="14">
        <f>COUNTIFS(IPERC!$N$6:$N$114,8,IPERC!$O$6:$O$114,3)</f>
        <v/>
      </c>
      <c r="F10" s="29" t="n">
        <v>8</v>
      </c>
      <c r="G10" s="12">
        <f>COUNTIFS(IPERC!$AB$6:$AB$114,8,IPERC!$AC$6:$AC$114,1)</f>
        <v/>
      </c>
      <c r="H10" s="13">
        <f>COUNTIFS(IPERC!$AB$6:$AB$114,8,IPERC!$AC$6:$AC$114,2)</f>
        <v/>
      </c>
      <c r="I10" s="14">
        <f>COUNTIFS(IPERC!$AB$6:$AB$114,8,IPERC!$AC$6:$AC$114,3)</f>
        <v/>
      </c>
    </row>
    <row r="11">
      <c r="A11" s="29" t="n">
        <v>7</v>
      </c>
      <c r="B11" s="12">
        <f>COUNTIFS(IPERC!$N$6:$N$114,7,IPERC!$O$6:$O$114,1)</f>
        <v/>
      </c>
      <c r="C11" s="13">
        <f>COUNTIFS(IPERC!$N$6:$N$114,7,IPERC!$O$6:$O$114,2)</f>
        <v/>
      </c>
      <c r="D11" s="14">
        <f>COUNTIFS(IPERC!$N$6:$N$114,7,IPERC!$O$6:$O$114,3)</f>
        <v/>
      </c>
      <c r="F11" s="29" t="n">
        <v>7</v>
      </c>
      <c r="G11" s="12">
        <f>COUNTIFS(IPERC!$AB$6:$AB$114,7,IPERC!$AC$6:$AC$114,1)</f>
        <v/>
      </c>
      <c r="H11" s="13">
        <f>COUNTIFS(IPERC!$AB$6:$AB$114,7,IPERC!$AC$6:$AC$114,2)</f>
        <v/>
      </c>
      <c r="I11" s="14">
        <f>COUNTIFS(IPERC!$AB$6:$AB$114,7,IPERC!$AC$6:$AC$114,3)</f>
        <v/>
      </c>
    </row>
    <row r="12">
      <c r="A12" s="29" t="n">
        <v>6</v>
      </c>
      <c r="B12" s="12">
        <f>COUNTIFS(IPERC!$N$6:$N$114,6,IPERC!$O$6:$O$114,1)</f>
        <v/>
      </c>
      <c r="C12" s="13">
        <f>COUNTIFS(IPERC!$N$6:$N$114,6,IPERC!$O$6:$O$114,2)</f>
        <v/>
      </c>
      <c r="D12" s="14">
        <f>COUNTIFS(IPERC!$N$6:$N$114,6,IPERC!$O$6:$O$114,3)</f>
        <v/>
      </c>
      <c r="F12" s="29" t="n">
        <v>6</v>
      </c>
      <c r="G12" s="12">
        <f>COUNTIFS(IPERC!$AB$6:$AB$114,6,IPERC!$AC$6:$AC$114,1)</f>
        <v/>
      </c>
      <c r="H12" s="13">
        <f>COUNTIFS(IPERC!$AB$6:$AB$114,6,IPERC!$AC$6:$AC$114,2)</f>
        <v/>
      </c>
      <c r="I12" s="14">
        <f>COUNTIFS(IPERC!$AB$6:$AB$114,6,IPERC!$AC$6:$AC$114,3)</f>
        <v/>
      </c>
    </row>
    <row r="13">
      <c r="A13" s="29" t="n">
        <v>5</v>
      </c>
      <c r="B13" s="12">
        <f>COUNTIFS(IPERC!$N$6:$N$114,5,IPERC!$O$6:$O$114,1)</f>
        <v/>
      </c>
      <c r="C13" s="13">
        <f>COUNTIFS(IPERC!$N$6:$N$114,5,IPERC!$O$6:$O$114,2)</f>
        <v/>
      </c>
      <c r="D13" s="13">
        <f>COUNTIFS(IPERC!$N$6:$N$114,5,IPERC!$O$6:$O$114,3)</f>
        <v/>
      </c>
      <c r="F13" s="29" t="n">
        <v>5</v>
      </c>
      <c r="G13" s="12">
        <f>COUNTIFS(IPERC!$AB$6:$AB$114,5,IPERC!$AC$6:$AC$114,1)</f>
        <v/>
      </c>
      <c r="H13" s="13">
        <f>COUNTIFS(IPERC!$AB$6:$AB$114,5,IPERC!$AC$6:$AC$114,2)</f>
        <v/>
      </c>
      <c r="I13" s="13">
        <f>COUNTIFS(IPERC!$AB$6:$AB$114,5,IPERC!$AC$6:$AC$114,3)</f>
        <v/>
      </c>
    </row>
    <row r="14">
      <c r="A14" s="29" t="n">
        <v>4</v>
      </c>
      <c r="B14" s="11">
        <f>COUNTIFS(IPERC!$N$6:$N$114,4,IPERC!$O$6:$O$114,1)</f>
        <v/>
      </c>
      <c r="C14" s="12">
        <f>COUNTIFS(IPERC!$N$6:$N$114,4,IPERC!$O$6:$O$114,2)</f>
        <v/>
      </c>
      <c r="D14" s="13">
        <f>COUNTIFS(IPERC!$N$6:$N$114,4,IPERC!$O$6:$O$114,3)</f>
        <v/>
      </c>
      <c r="F14" s="29" t="n">
        <v>4</v>
      </c>
      <c r="G14" s="11">
        <f>COUNTIFS(IPERC!$AB$6:$AB$114,4,IPERC!$AC$6:$AC$114,1)</f>
        <v/>
      </c>
      <c r="H14" s="12">
        <f>COUNTIFS(IPERC!$AB$6:$AB$114,4,IPERC!$AC$6:$AC$114,2)</f>
        <v/>
      </c>
      <c r="I14" s="13">
        <f>COUNTIFS(IPERC!$AB$6:$AB$114,4,IPERC!$AC$6:$AC$114,3)</f>
        <v/>
      </c>
    </row>
  </sheetData>
  <mergeCells count="4">
    <mergeCell ref="A1:I1"/>
    <mergeCell ref="A4:D4"/>
    <mergeCell ref="F4:I4"/>
    <mergeCell ref="A2:I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V33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</cols>
  <sheetData>
    <row r="1">
      <c r="A1" s="1" t="inlineStr">
        <is>
          <t>MATRIZ DE EQUIPOS DE PROTECCIÓN PERSONAL POR PUESTO</t>
        </is>
      </c>
    </row>
    <row r="2" ht="24" customHeight="1">
      <c r="A2" s="2" t="inlineStr">
        <is>
          <t>X = uso obligatorio; según las actividades del IPERC</t>
        </is>
      </c>
    </row>
    <row r="4" ht="110" customHeight="1">
      <c r="A4" s="3" t="inlineStr">
        <is>
          <t>PUESTO</t>
        </is>
      </c>
      <c r="B4" s="3" t="inlineStr">
        <is>
          <t>Casco de seguridad con barbiquejo (ANSI Z89.1)</t>
        </is>
      </c>
      <c r="C4" s="3" t="inlineStr">
        <is>
          <t>Lentes de seguridad claros u oscuros (ANSI Z87.1)</t>
        </is>
      </c>
      <c r="D4" s="3" t="inlineStr">
        <is>
          <t>Calzado de seguridad con puntera (ASTM F2413)</t>
        </is>
      </c>
      <c r="E4" s="3" t="inlineStr">
        <is>
          <t>Botas de jebe con puntera de acero</t>
        </is>
      </c>
      <c r="F4" s="3" t="inlineStr">
        <is>
          <t>Chaleco o uniforme con cintas reflectivas (ANSI/ISEA 107)</t>
        </is>
      </c>
      <c r="G4" s="3" t="inlineStr">
        <is>
          <t>Guantes de cuero o badana</t>
        </is>
      </c>
      <c r="H4" s="3" t="inlineStr">
        <is>
          <t>Guantes de nitrilo o neopreno (químicos, cemento, asfalto)</t>
        </is>
      </c>
      <c r="I4" s="3" t="inlineStr">
        <is>
          <t>Guantes dieléctricos clase según tensión y guantes de cuero de protección</t>
        </is>
      </c>
      <c r="J4" s="3" t="inlineStr">
        <is>
          <t>Protector auditivo tipo tapón u orejera (ANSI S3.19)</t>
        </is>
      </c>
      <c r="K4" s="3" t="inlineStr">
        <is>
          <t>Respirador de media cara con filtros para polvo P100 (NIOSH)</t>
        </is>
      </c>
      <c r="L4" s="3" t="inlineStr">
        <is>
          <t>Respirador de media cara con cartuchos para vapores orgánicos (NIOSH)</t>
        </is>
      </c>
      <c r="M4" s="3" t="inlineStr">
        <is>
          <t>Arnés de cuerpo entero y línea de anclaje con absorbedor de impacto (ANSI Z359.11)</t>
        </is>
      </c>
      <c r="N4" s="3" t="inlineStr">
        <is>
          <t>Careta de soldar con filtro adecuado, mandil, escarpines y guantes de caña larga de cuero</t>
        </is>
      </c>
      <c r="O4" s="3" t="inlineStr">
        <is>
          <t>Careta facial de policarbonato</t>
        </is>
      </c>
      <c r="P4" s="3" t="inlineStr">
        <is>
          <t>Bloqueador solar FPS 50+ y cortasol para casco</t>
        </is>
      </c>
      <c r="Q4" s="3" t="inlineStr">
        <is>
          <t>Polainas de protección contra mordeduras y botas de caña alta</t>
        </is>
      </c>
      <c r="R4" s="3" t="inlineStr">
        <is>
          <t>Chaleco salvavidas</t>
        </is>
      </c>
      <c r="S4" s="3" t="inlineStr">
        <is>
          <t>Ropa de manga larga de algodón y guantes de caña larga resistentes al calor</t>
        </is>
      </c>
      <c r="T4" s="3" t="inlineStr">
        <is>
          <t>Repelente de insectos y ropa de manga larga</t>
        </is>
      </c>
      <c r="U4" s="3" t="inlineStr">
        <is>
          <t>Ropa impermeable (poncho o traje de agua)</t>
        </is>
      </c>
    </row>
    <row r="5">
      <c r="A5" s="7" t="inlineStr">
        <is>
          <t>Todo el personal</t>
        </is>
      </c>
      <c r="B5" s="28" t="inlineStr">
        <is>
          <t>X</t>
        </is>
      </c>
      <c r="C5" s="28" t="inlineStr">
        <is>
          <t>X</t>
        </is>
      </c>
      <c r="D5" s="28" t="inlineStr">
        <is>
          <t>X</t>
        </is>
      </c>
      <c r="E5" s="29" t="inlineStr"/>
      <c r="F5" s="28" t="inlineStr">
        <is>
          <t>X</t>
        </is>
      </c>
      <c r="G5" s="28" t="inlineStr">
        <is>
          <t>X</t>
        </is>
      </c>
      <c r="H5" s="29" t="inlineStr"/>
      <c r="I5" s="29" t="inlineStr"/>
      <c r="J5" s="29" t="inlineStr"/>
      <c r="K5" s="29" t="inlineStr"/>
      <c r="L5" s="29" t="inlineStr"/>
      <c r="M5" s="29" t="inlineStr"/>
      <c r="N5" s="29" t="inlineStr"/>
      <c r="O5" s="29" t="inlineStr"/>
      <c r="P5" s="28" t="inlineStr">
        <is>
          <t>X</t>
        </is>
      </c>
      <c r="Q5" s="28" t="inlineStr">
        <is>
          <t>X</t>
        </is>
      </c>
      <c r="R5" s="29" t="inlineStr"/>
      <c r="S5" s="29" t="inlineStr"/>
      <c r="T5" s="28" t="inlineStr">
        <is>
          <t>X</t>
        </is>
      </c>
      <c r="U5" s="28" t="inlineStr">
        <is>
          <t>X</t>
        </is>
      </c>
    </row>
    <row r="6">
      <c r="A6" s="7" t="inlineStr">
        <is>
          <t>Chofer</t>
        </is>
      </c>
      <c r="B6" s="28" t="inlineStr">
        <is>
          <t>X</t>
        </is>
      </c>
      <c r="C6" s="28" t="inlineStr">
        <is>
          <t>X</t>
        </is>
      </c>
      <c r="D6" s="28" t="inlineStr">
        <is>
          <t>X</t>
        </is>
      </c>
      <c r="E6" s="29" t="inlineStr"/>
      <c r="F6" s="28" t="inlineStr">
        <is>
          <t>X</t>
        </is>
      </c>
      <c r="G6" s="28" t="inlineStr">
        <is>
          <t>X</t>
        </is>
      </c>
      <c r="H6" s="29" t="inlineStr"/>
      <c r="I6" s="29" t="inlineStr"/>
      <c r="J6" s="28" t="inlineStr">
        <is>
          <t>X</t>
        </is>
      </c>
      <c r="K6" s="28" t="inlineStr">
        <is>
          <t>X</t>
        </is>
      </c>
      <c r="L6" s="29" t="inlineStr"/>
      <c r="M6" s="29" t="inlineStr"/>
      <c r="N6" s="29" t="inlineStr"/>
      <c r="O6" s="29" t="inlineStr"/>
      <c r="P6" s="29" t="inlineStr"/>
      <c r="Q6" s="29" t="inlineStr"/>
      <c r="R6" s="29" t="inlineStr"/>
      <c r="S6" s="29" t="inlineStr"/>
      <c r="T6" s="29" t="inlineStr"/>
      <c r="U6" s="29" t="inlineStr"/>
    </row>
    <row r="7">
      <c r="A7" s="7" t="inlineStr">
        <is>
          <t>Operario</t>
        </is>
      </c>
      <c r="B7" s="28" t="inlineStr">
        <is>
          <t>X</t>
        </is>
      </c>
      <c r="C7" s="28" t="inlineStr">
        <is>
          <t>X</t>
        </is>
      </c>
      <c r="D7" s="28" t="inlineStr">
        <is>
          <t>X</t>
        </is>
      </c>
      <c r="E7" s="28" t="inlineStr">
        <is>
          <t>X</t>
        </is>
      </c>
      <c r="F7" s="28" t="inlineStr">
        <is>
          <t>X</t>
        </is>
      </c>
      <c r="G7" s="28" t="inlineStr">
        <is>
          <t>X</t>
        </is>
      </c>
      <c r="H7" s="28" t="inlineStr">
        <is>
          <t>X</t>
        </is>
      </c>
      <c r="I7" s="28" t="inlineStr">
        <is>
          <t>X</t>
        </is>
      </c>
      <c r="J7" s="28" t="inlineStr">
        <is>
          <t>X</t>
        </is>
      </c>
      <c r="K7" s="28" t="inlineStr">
        <is>
          <t>X</t>
        </is>
      </c>
      <c r="L7" s="28" t="inlineStr">
        <is>
          <t>X</t>
        </is>
      </c>
      <c r="M7" s="28" t="inlineStr">
        <is>
          <t>X</t>
        </is>
      </c>
      <c r="N7" s="29" t="inlineStr"/>
      <c r="O7" s="28" t="inlineStr">
        <is>
          <t>X</t>
        </is>
      </c>
      <c r="P7" s="29" t="inlineStr"/>
      <c r="Q7" s="29" t="inlineStr"/>
      <c r="R7" s="28" t="inlineStr">
        <is>
          <t>X</t>
        </is>
      </c>
      <c r="S7" s="29" t="inlineStr"/>
      <c r="T7" s="29" t="inlineStr"/>
      <c r="U7" s="29" t="inlineStr"/>
    </row>
    <row r="8">
      <c r="A8" s="7" t="inlineStr">
        <is>
          <t>Oficial</t>
        </is>
      </c>
      <c r="B8" s="28" t="inlineStr">
        <is>
          <t>X</t>
        </is>
      </c>
      <c r="C8" s="28" t="inlineStr">
        <is>
          <t>X</t>
        </is>
      </c>
      <c r="D8" s="28" t="inlineStr">
        <is>
          <t>X</t>
        </is>
      </c>
      <c r="E8" s="28" t="inlineStr">
        <is>
          <t>X</t>
        </is>
      </c>
      <c r="F8" s="28" t="inlineStr">
        <is>
          <t>X</t>
        </is>
      </c>
      <c r="G8" s="28" t="inlineStr">
        <is>
          <t>X</t>
        </is>
      </c>
      <c r="H8" s="28" t="inlineStr">
        <is>
          <t>X</t>
        </is>
      </c>
      <c r="I8" s="29" t="inlineStr"/>
      <c r="J8" s="28" t="inlineStr">
        <is>
          <t>X</t>
        </is>
      </c>
      <c r="K8" s="29" t="inlineStr"/>
      <c r="L8" s="29" t="inlineStr"/>
      <c r="M8" s="28" t="inlineStr">
        <is>
          <t>X</t>
        </is>
      </c>
      <c r="N8" s="29" t="inlineStr"/>
      <c r="O8" s="29" t="inlineStr"/>
      <c r="P8" s="29" t="inlineStr"/>
      <c r="Q8" s="29" t="inlineStr"/>
      <c r="R8" s="28" t="inlineStr">
        <is>
          <t>X</t>
        </is>
      </c>
      <c r="S8" s="29" t="inlineStr"/>
      <c r="T8" s="29" t="inlineStr"/>
      <c r="U8" s="29" t="inlineStr"/>
    </row>
    <row r="9">
      <c r="A9" s="7" t="inlineStr">
        <is>
          <t>Peón</t>
        </is>
      </c>
      <c r="B9" s="28" t="inlineStr">
        <is>
          <t>X</t>
        </is>
      </c>
      <c r="C9" s="28" t="inlineStr">
        <is>
          <t>X</t>
        </is>
      </c>
      <c r="D9" s="28" t="inlineStr">
        <is>
          <t>X</t>
        </is>
      </c>
      <c r="E9" s="28" t="inlineStr">
        <is>
          <t>X</t>
        </is>
      </c>
      <c r="F9" s="28" t="inlineStr">
        <is>
          <t>X</t>
        </is>
      </c>
      <c r="G9" s="28" t="inlineStr">
        <is>
          <t>X</t>
        </is>
      </c>
      <c r="H9" s="28" t="inlineStr">
        <is>
          <t>X</t>
        </is>
      </c>
      <c r="I9" s="28" t="inlineStr">
        <is>
          <t>X</t>
        </is>
      </c>
      <c r="J9" s="28" t="inlineStr">
        <is>
          <t>X</t>
        </is>
      </c>
      <c r="K9" s="28" t="inlineStr">
        <is>
          <t>X</t>
        </is>
      </c>
      <c r="L9" s="28" t="inlineStr">
        <is>
          <t>X</t>
        </is>
      </c>
      <c r="M9" s="28" t="inlineStr">
        <is>
          <t>X</t>
        </is>
      </c>
      <c r="N9" s="28" t="inlineStr">
        <is>
          <t>X</t>
        </is>
      </c>
      <c r="O9" s="28" t="inlineStr">
        <is>
          <t>X</t>
        </is>
      </c>
      <c r="P9" s="28" t="inlineStr">
        <is>
          <t>X</t>
        </is>
      </c>
      <c r="Q9" s="29" t="inlineStr"/>
      <c r="R9" s="28" t="inlineStr">
        <is>
          <t>X</t>
        </is>
      </c>
      <c r="S9" s="28" t="inlineStr">
        <is>
          <t>X</t>
        </is>
      </c>
      <c r="T9" s="29" t="inlineStr"/>
      <c r="U9" s="29" t="inlineStr"/>
    </row>
    <row r="10">
      <c r="A10" s="7" t="inlineStr">
        <is>
          <t>Almacenero</t>
        </is>
      </c>
      <c r="B10" s="28" t="inlineStr">
        <is>
          <t>X</t>
        </is>
      </c>
      <c r="C10" s="28" t="inlineStr">
        <is>
          <t>X</t>
        </is>
      </c>
      <c r="D10" s="28" t="inlineStr">
        <is>
          <t>X</t>
        </is>
      </c>
      <c r="E10" s="29" t="inlineStr"/>
      <c r="F10" s="28" t="inlineStr">
        <is>
          <t>X</t>
        </is>
      </c>
      <c r="G10" s="28" t="inlineStr">
        <is>
          <t>X</t>
        </is>
      </c>
      <c r="H10" s="29" t="inlineStr"/>
      <c r="I10" s="29" t="inlineStr"/>
      <c r="J10" s="29" t="inlineStr"/>
      <c r="K10" s="29" t="inlineStr"/>
      <c r="L10" s="29" t="inlineStr"/>
      <c r="M10" s="29" t="inlineStr"/>
      <c r="N10" s="29" t="inlineStr"/>
      <c r="O10" s="29" t="inlineStr"/>
      <c r="P10" s="29" t="inlineStr"/>
      <c r="Q10" s="29" t="inlineStr"/>
      <c r="R10" s="29" t="inlineStr"/>
      <c r="S10" s="29" t="inlineStr"/>
      <c r="T10" s="29" t="inlineStr"/>
      <c r="U10" s="29" t="inlineStr"/>
    </row>
    <row r="11">
      <c r="A11" s="7" t="inlineStr">
        <is>
          <t>Operador de equipo</t>
        </is>
      </c>
      <c r="B11" s="28" t="inlineStr">
        <is>
          <t>X</t>
        </is>
      </c>
      <c r="C11" s="28" t="inlineStr">
        <is>
          <t>X</t>
        </is>
      </c>
      <c r="D11" s="28" t="inlineStr">
        <is>
          <t>X</t>
        </is>
      </c>
      <c r="E11" s="28" t="inlineStr">
        <is>
          <t>X</t>
        </is>
      </c>
      <c r="F11" s="28" t="inlineStr">
        <is>
          <t>X</t>
        </is>
      </c>
      <c r="G11" s="28" t="inlineStr">
        <is>
          <t>X</t>
        </is>
      </c>
      <c r="H11" s="29" t="inlineStr"/>
      <c r="I11" s="29" t="inlineStr"/>
      <c r="J11" s="28" t="inlineStr">
        <is>
          <t>X</t>
        </is>
      </c>
      <c r="K11" s="28" t="inlineStr">
        <is>
          <t>X</t>
        </is>
      </c>
      <c r="L11" s="29" t="inlineStr"/>
      <c r="M11" s="29" t="inlineStr"/>
      <c r="N11" s="29" t="inlineStr"/>
      <c r="O11" s="28" t="inlineStr">
        <is>
          <t>X</t>
        </is>
      </c>
      <c r="P11" s="28" t="inlineStr">
        <is>
          <t>X</t>
        </is>
      </c>
      <c r="Q11" s="29" t="inlineStr"/>
      <c r="R11" s="28" t="inlineStr">
        <is>
          <t>X</t>
        </is>
      </c>
      <c r="S11" s="29" t="inlineStr"/>
      <c r="T11" s="29" t="inlineStr"/>
      <c r="U11" s="29" t="inlineStr"/>
    </row>
    <row r="12">
      <c r="A12" s="7" t="inlineStr">
        <is>
          <t>Rigger</t>
        </is>
      </c>
      <c r="B12" s="28" t="inlineStr">
        <is>
          <t>X</t>
        </is>
      </c>
      <c r="C12" s="28" t="inlineStr">
        <is>
          <t>X</t>
        </is>
      </c>
      <c r="D12" s="28" t="inlineStr">
        <is>
          <t>X</t>
        </is>
      </c>
      <c r="E12" s="29" t="inlineStr"/>
      <c r="F12" s="28" t="inlineStr">
        <is>
          <t>X</t>
        </is>
      </c>
      <c r="G12" s="28" t="inlineStr">
        <is>
          <t>X</t>
        </is>
      </c>
      <c r="H12" s="29" t="inlineStr"/>
      <c r="I12" s="29" t="inlineStr"/>
      <c r="J12" s="28" t="inlineStr">
        <is>
          <t>X</t>
        </is>
      </c>
      <c r="K12" s="29" t="inlineStr"/>
      <c r="L12" s="28" t="inlineStr">
        <is>
          <t>X</t>
        </is>
      </c>
      <c r="M12" s="28" t="inlineStr">
        <is>
          <t>X</t>
        </is>
      </c>
      <c r="N12" s="28" t="inlineStr">
        <is>
          <t>X</t>
        </is>
      </c>
      <c r="O12" s="29" t="inlineStr"/>
      <c r="P12" s="29" t="inlineStr"/>
      <c r="Q12" s="29" t="inlineStr"/>
      <c r="R12" s="29" t="inlineStr"/>
      <c r="S12" s="29" t="inlineStr"/>
      <c r="T12" s="29" t="inlineStr"/>
      <c r="U12" s="29" t="inlineStr"/>
    </row>
    <row r="13">
      <c r="A13" s="7" t="inlineStr">
        <is>
          <t>Topógrafo</t>
        </is>
      </c>
      <c r="B13" s="28" t="inlineStr">
        <is>
          <t>X</t>
        </is>
      </c>
      <c r="C13" s="28" t="inlineStr">
        <is>
          <t>X</t>
        </is>
      </c>
      <c r="D13" s="28" t="inlineStr">
        <is>
          <t>X</t>
        </is>
      </c>
      <c r="E13" s="29" t="inlineStr"/>
      <c r="F13" s="28" t="inlineStr">
        <is>
          <t>X</t>
        </is>
      </c>
      <c r="G13" s="28" t="inlineStr">
        <is>
          <t>X</t>
        </is>
      </c>
      <c r="H13" s="29" t="inlineStr"/>
      <c r="I13" s="29" t="inlineStr"/>
      <c r="J13" s="29" t="inlineStr"/>
      <c r="K13" s="29" t="inlineStr"/>
      <c r="L13" s="29" t="inlineStr"/>
      <c r="M13" s="29" t="inlineStr"/>
      <c r="N13" s="29" t="inlineStr"/>
      <c r="O13" s="29" t="inlineStr"/>
      <c r="P13" s="29" t="inlineStr"/>
      <c r="Q13" s="29" t="inlineStr"/>
      <c r="R13" s="29" t="inlineStr"/>
      <c r="S13" s="29" t="inlineStr"/>
      <c r="T13" s="29" t="inlineStr"/>
      <c r="U13" s="29" t="inlineStr"/>
    </row>
    <row r="14">
      <c r="A14" s="7" t="inlineStr">
        <is>
          <t>Ayudante de topografía</t>
        </is>
      </c>
      <c r="B14" s="28" t="inlineStr">
        <is>
          <t>X</t>
        </is>
      </c>
      <c r="C14" s="28" t="inlineStr">
        <is>
          <t>X</t>
        </is>
      </c>
      <c r="D14" s="28" t="inlineStr">
        <is>
          <t>X</t>
        </is>
      </c>
      <c r="E14" s="29" t="inlineStr"/>
      <c r="F14" s="28" t="inlineStr">
        <is>
          <t>X</t>
        </is>
      </c>
      <c r="G14" s="28" t="inlineStr">
        <is>
          <t>X</t>
        </is>
      </c>
      <c r="H14" s="29" t="inlineStr"/>
      <c r="I14" s="29" t="inlineStr"/>
      <c r="J14" s="29" t="inlineStr"/>
      <c r="K14" s="29" t="inlineStr"/>
      <c r="L14" s="29" t="inlineStr"/>
      <c r="M14" s="29" t="inlineStr"/>
      <c r="N14" s="29" t="inlineStr"/>
      <c r="O14" s="29" t="inlineStr"/>
      <c r="P14" s="29" t="inlineStr"/>
      <c r="Q14" s="29" t="inlineStr"/>
      <c r="R14" s="29" t="inlineStr"/>
      <c r="S14" s="29" t="inlineStr"/>
      <c r="T14" s="29" t="inlineStr"/>
      <c r="U14" s="29" t="inlineStr"/>
    </row>
    <row r="15">
      <c r="A15" s="7" t="inlineStr">
        <is>
          <t>Controlador de tránsito (vigía)</t>
        </is>
      </c>
      <c r="B15" s="28" t="inlineStr">
        <is>
          <t>X</t>
        </is>
      </c>
      <c r="C15" s="28" t="inlineStr">
        <is>
          <t>X</t>
        </is>
      </c>
      <c r="D15" s="28" t="inlineStr">
        <is>
          <t>X</t>
        </is>
      </c>
      <c r="E15" s="29" t="inlineStr"/>
      <c r="F15" s="28" t="inlineStr">
        <is>
          <t>X</t>
        </is>
      </c>
      <c r="G15" s="28" t="inlineStr">
        <is>
          <t>X</t>
        </is>
      </c>
      <c r="H15" s="29" t="inlineStr"/>
      <c r="I15" s="29" t="inlineStr"/>
      <c r="J15" s="29" t="inlineStr"/>
      <c r="K15" s="29" t="inlineStr"/>
      <c r="L15" s="28" t="inlineStr">
        <is>
          <t>X</t>
        </is>
      </c>
      <c r="M15" s="29" t="inlineStr"/>
      <c r="N15" s="29" t="inlineStr"/>
      <c r="O15" s="29" t="inlineStr"/>
      <c r="P15" s="28" t="inlineStr">
        <is>
          <t>X</t>
        </is>
      </c>
      <c r="Q15" s="29" t="inlineStr"/>
      <c r="R15" s="29" t="inlineStr"/>
      <c r="S15" s="29" t="inlineStr"/>
      <c r="T15" s="29" t="inlineStr"/>
      <c r="U15" s="29" t="inlineStr"/>
    </row>
    <row r="16">
      <c r="A16" s="7" t="inlineStr">
        <is>
          <t>Motosierrista</t>
        </is>
      </c>
      <c r="B16" s="28" t="inlineStr">
        <is>
          <t>X</t>
        </is>
      </c>
      <c r="C16" s="28" t="inlineStr">
        <is>
          <t>X</t>
        </is>
      </c>
      <c r="D16" s="28" t="inlineStr">
        <is>
          <t>X</t>
        </is>
      </c>
      <c r="E16" s="29" t="inlineStr"/>
      <c r="F16" s="28" t="inlineStr">
        <is>
          <t>X</t>
        </is>
      </c>
      <c r="G16" s="28" t="inlineStr">
        <is>
          <t>X</t>
        </is>
      </c>
      <c r="H16" s="29" t="inlineStr"/>
      <c r="I16" s="29" t="inlineStr"/>
      <c r="J16" s="28" t="inlineStr">
        <is>
          <t>X</t>
        </is>
      </c>
      <c r="K16" s="29" t="inlineStr"/>
      <c r="L16" s="29" t="inlineStr"/>
      <c r="M16" s="29" t="inlineStr"/>
      <c r="N16" s="29" t="inlineStr"/>
      <c r="O16" s="28" t="inlineStr">
        <is>
          <t>X</t>
        </is>
      </c>
      <c r="P16" s="29" t="inlineStr"/>
      <c r="Q16" s="29" t="inlineStr"/>
      <c r="R16" s="29" t="inlineStr"/>
      <c r="S16" s="29" t="inlineStr"/>
      <c r="T16" s="29" t="inlineStr"/>
      <c r="U16" s="29" t="inlineStr"/>
    </row>
    <row r="17">
      <c r="A17" s="7" t="inlineStr">
        <is>
          <t>Vigía de maquinaria</t>
        </is>
      </c>
      <c r="B17" s="28" t="inlineStr">
        <is>
          <t>X</t>
        </is>
      </c>
      <c r="C17" s="28" t="inlineStr">
        <is>
          <t>X</t>
        </is>
      </c>
      <c r="D17" s="28" t="inlineStr">
        <is>
          <t>X</t>
        </is>
      </c>
      <c r="E17" s="29" t="inlineStr"/>
      <c r="F17" s="28" t="inlineStr">
        <is>
          <t>X</t>
        </is>
      </c>
      <c r="G17" s="28" t="inlineStr">
        <is>
          <t>X</t>
        </is>
      </c>
      <c r="H17" s="29" t="inlineStr"/>
      <c r="I17" s="29" t="inlineStr"/>
      <c r="J17" s="28" t="inlineStr">
        <is>
          <t>X</t>
        </is>
      </c>
      <c r="K17" s="28" t="inlineStr">
        <is>
          <t>X</t>
        </is>
      </c>
      <c r="L17" s="29" t="inlineStr"/>
      <c r="M17" s="29" t="inlineStr"/>
      <c r="N17" s="29" t="inlineStr"/>
      <c r="O17" s="29" t="inlineStr"/>
      <c r="P17" s="29" t="inlineStr"/>
      <c r="Q17" s="29" t="inlineStr"/>
      <c r="R17" s="29" t="inlineStr"/>
      <c r="S17" s="29" t="inlineStr"/>
      <c r="T17" s="29" t="inlineStr"/>
      <c r="U17" s="29" t="inlineStr"/>
    </row>
    <row r="18">
      <c r="A18" s="7" t="inlineStr">
        <is>
          <t>Perforista</t>
        </is>
      </c>
      <c r="B18" s="28" t="inlineStr">
        <is>
          <t>X</t>
        </is>
      </c>
      <c r="C18" s="28" t="inlineStr">
        <is>
          <t>X</t>
        </is>
      </c>
      <c r="D18" s="28" t="inlineStr">
        <is>
          <t>X</t>
        </is>
      </c>
      <c r="E18" s="29" t="inlineStr"/>
      <c r="F18" s="28" t="inlineStr">
        <is>
          <t>X</t>
        </is>
      </c>
      <c r="G18" s="28" t="inlineStr">
        <is>
          <t>X</t>
        </is>
      </c>
      <c r="H18" s="29" t="inlineStr"/>
      <c r="I18" s="29" t="inlineStr"/>
      <c r="J18" s="28" t="inlineStr">
        <is>
          <t>X</t>
        </is>
      </c>
      <c r="K18" s="28" t="inlineStr">
        <is>
          <t>X</t>
        </is>
      </c>
      <c r="L18" s="29" t="inlineStr"/>
      <c r="M18" s="29" t="inlineStr"/>
      <c r="N18" s="29" t="inlineStr"/>
      <c r="O18" s="29" t="inlineStr"/>
      <c r="P18" s="29" t="inlineStr"/>
      <c r="Q18" s="29" t="inlineStr"/>
      <c r="R18" s="29" t="inlineStr"/>
      <c r="S18" s="29" t="inlineStr"/>
      <c r="T18" s="29" t="inlineStr"/>
      <c r="U18" s="29" t="inlineStr"/>
    </row>
    <row r="19">
      <c r="A19" s="7" t="inlineStr">
        <is>
          <t>Disparador autorizado</t>
        </is>
      </c>
      <c r="B19" s="28" t="inlineStr">
        <is>
          <t>X</t>
        </is>
      </c>
      <c r="C19" s="28" t="inlineStr">
        <is>
          <t>X</t>
        </is>
      </c>
      <c r="D19" s="28" t="inlineStr">
        <is>
          <t>X</t>
        </is>
      </c>
      <c r="E19" s="29" t="inlineStr"/>
      <c r="F19" s="28" t="inlineStr">
        <is>
          <t>X</t>
        </is>
      </c>
      <c r="G19" s="28" t="inlineStr">
        <is>
          <t>X</t>
        </is>
      </c>
      <c r="H19" s="29" t="inlineStr"/>
      <c r="I19" s="29" t="inlineStr"/>
      <c r="J19" s="28" t="inlineStr">
        <is>
          <t>X</t>
        </is>
      </c>
      <c r="K19" s="28" t="inlineStr">
        <is>
          <t>X</t>
        </is>
      </c>
      <c r="L19" s="29" t="inlineStr"/>
      <c r="M19" s="29" t="inlineStr"/>
      <c r="N19" s="29" t="inlineStr"/>
      <c r="O19" s="29" t="inlineStr"/>
      <c r="P19" s="29" t="inlineStr"/>
      <c r="Q19" s="29" t="inlineStr"/>
      <c r="R19" s="29" t="inlineStr"/>
      <c r="S19" s="29" t="inlineStr"/>
      <c r="T19" s="29" t="inlineStr"/>
      <c r="U19" s="29" t="inlineStr"/>
    </row>
    <row r="20">
      <c r="A20" s="7" t="inlineStr">
        <is>
          <t>Operador de cargador</t>
        </is>
      </c>
      <c r="B20" s="28" t="inlineStr">
        <is>
          <t>X</t>
        </is>
      </c>
      <c r="C20" s="28" t="inlineStr">
        <is>
          <t>X</t>
        </is>
      </c>
      <c r="D20" s="28" t="inlineStr">
        <is>
          <t>X</t>
        </is>
      </c>
      <c r="E20" s="29" t="inlineStr"/>
      <c r="F20" s="28" t="inlineStr">
        <is>
          <t>X</t>
        </is>
      </c>
      <c r="G20" s="28" t="inlineStr">
        <is>
          <t>X</t>
        </is>
      </c>
      <c r="H20" s="29" t="inlineStr"/>
      <c r="I20" s="29" t="inlineStr"/>
      <c r="J20" s="29" t="inlineStr"/>
      <c r="K20" s="29" t="inlineStr"/>
      <c r="L20" s="29" t="inlineStr"/>
      <c r="M20" s="29" t="inlineStr"/>
      <c r="N20" s="29" t="inlineStr"/>
      <c r="O20" s="29" t="inlineStr"/>
      <c r="P20" s="29" t="inlineStr"/>
      <c r="Q20" s="29" t="inlineStr"/>
      <c r="R20" s="29" t="inlineStr"/>
      <c r="S20" s="29" t="inlineStr"/>
      <c r="T20" s="29" t="inlineStr"/>
      <c r="U20" s="29" t="inlineStr"/>
    </row>
    <row r="21">
      <c r="A21" s="7" t="inlineStr">
        <is>
          <t>Operario fierrero</t>
        </is>
      </c>
      <c r="B21" s="28" t="inlineStr">
        <is>
          <t>X</t>
        </is>
      </c>
      <c r="C21" s="28" t="inlineStr">
        <is>
          <t>X</t>
        </is>
      </c>
      <c r="D21" s="28" t="inlineStr">
        <is>
          <t>X</t>
        </is>
      </c>
      <c r="E21" s="29" t="inlineStr"/>
      <c r="F21" s="28" t="inlineStr">
        <is>
          <t>X</t>
        </is>
      </c>
      <c r="G21" s="28" t="inlineStr">
        <is>
          <t>X</t>
        </is>
      </c>
      <c r="H21" s="29" t="inlineStr"/>
      <c r="I21" s="29" t="inlineStr"/>
      <c r="J21" s="29" t="inlineStr"/>
      <c r="K21" s="29" t="inlineStr"/>
      <c r="L21" s="29" t="inlineStr"/>
      <c r="M21" s="29" t="inlineStr"/>
      <c r="N21" s="29" t="inlineStr"/>
      <c r="O21" s="29" t="inlineStr"/>
      <c r="P21" s="29" t="inlineStr"/>
      <c r="Q21" s="29" t="inlineStr"/>
      <c r="R21" s="29" t="inlineStr"/>
      <c r="S21" s="29" t="inlineStr"/>
      <c r="T21" s="29" t="inlineStr"/>
      <c r="U21" s="29" t="inlineStr"/>
    </row>
    <row r="22">
      <c r="A22" s="7" t="inlineStr">
        <is>
          <t>Operario carpintero</t>
        </is>
      </c>
      <c r="B22" s="28" t="inlineStr">
        <is>
          <t>X</t>
        </is>
      </c>
      <c r="C22" s="28" t="inlineStr">
        <is>
          <t>X</t>
        </is>
      </c>
      <c r="D22" s="28" t="inlineStr">
        <is>
          <t>X</t>
        </is>
      </c>
      <c r="E22" s="29" t="inlineStr"/>
      <c r="F22" s="28" t="inlineStr">
        <is>
          <t>X</t>
        </is>
      </c>
      <c r="G22" s="28" t="inlineStr">
        <is>
          <t>X</t>
        </is>
      </c>
      <c r="H22" s="29" t="inlineStr"/>
      <c r="I22" s="29" t="inlineStr"/>
      <c r="J22" s="28" t="inlineStr">
        <is>
          <t>X</t>
        </is>
      </c>
      <c r="K22" s="29" t="inlineStr"/>
      <c r="L22" s="29" t="inlineStr"/>
      <c r="M22" s="28" t="inlineStr">
        <is>
          <t>X</t>
        </is>
      </c>
      <c r="N22" s="29" t="inlineStr"/>
      <c r="O22" s="29" t="inlineStr"/>
      <c r="P22" s="29" t="inlineStr"/>
      <c r="Q22" s="29" t="inlineStr"/>
      <c r="R22" s="29" t="inlineStr"/>
      <c r="S22" s="29" t="inlineStr"/>
      <c r="T22" s="29" t="inlineStr"/>
      <c r="U22" s="29" t="inlineStr"/>
    </row>
    <row r="23">
      <c r="A23" s="7" t="inlineStr">
        <is>
          <t>Operador de mezcladora</t>
        </is>
      </c>
      <c r="B23" s="28" t="inlineStr">
        <is>
          <t>X</t>
        </is>
      </c>
      <c r="C23" s="28" t="inlineStr">
        <is>
          <t>X</t>
        </is>
      </c>
      <c r="D23" s="28" t="inlineStr">
        <is>
          <t>X</t>
        </is>
      </c>
      <c r="E23" s="28" t="inlineStr">
        <is>
          <t>X</t>
        </is>
      </c>
      <c r="F23" s="28" t="inlineStr">
        <is>
          <t>X</t>
        </is>
      </c>
      <c r="G23" s="28" t="inlineStr">
        <is>
          <t>X</t>
        </is>
      </c>
      <c r="H23" s="28" t="inlineStr">
        <is>
          <t>X</t>
        </is>
      </c>
      <c r="I23" s="29" t="inlineStr"/>
      <c r="J23" s="29" t="inlineStr"/>
      <c r="K23" s="29" t="inlineStr"/>
      <c r="L23" s="29" t="inlineStr"/>
      <c r="M23" s="29" t="inlineStr"/>
      <c r="N23" s="29" t="inlineStr"/>
      <c r="O23" s="29" t="inlineStr"/>
      <c r="P23" s="29" t="inlineStr"/>
      <c r="Q23" s="29" t="inlineStr"/>
      <c r="R23" s="29" t="inlineStr"/>
      <c r="S23" s="29" t="inlineStr"/>
      <c r="T23" s="29" t="inlineStr"/>
      <c r="U23" s="29" t="inlineStr"/>
    </row>
    <row r="24">
      <c r="A24" s="7" t="inlineStr">
        <is>
          <t>Operador de pavimentadora</t>
        </is>
      </c>
      <c r="B24" s="28" t="inlineStr">
        <is>
          <t>X</t>
        </is>
      </c>
      <c r="C24" s="28" t="inlineStr">
        <is>
          <t>X</t>
        </is>
      </c>
      <c r="D24" s="28" t="inlineStr">
        <is>
          <t>X</t>
        </is>
      </c>
      <c r="E24" s="29" t="inlineStr"/>
      <c r="F24" s="28" t="inlineStr">
        <is>
          <t>X</t>
        </is>
      </c>
      <c r="G24" s="28" t="inlineStr">
        <is>
          <t>X</t>
        </is>
      </c>
      <c r="H24" s="29" t="inlineStr"/>
      <c r="I24" s="29" t="inlineStr"/>
      <c r="J24" s="29" t="inlineStr"/>
      <c r="K24" s="29" t="inlineStr"/>
      <c r="L24" s="28" t="inlineStr">
        <is>
          <t>X</t>
        </is>
      </c>
      <c r="M24" s="29" t="inlineStr"/>
      <c r="N24" s="29" t="inlineStr"/>
      <c r="O24" s="29" t="inlineStr"/>
      <c r="P24" s="28" t="inlineStr">
        <is>
          <t>X</t>
        </is>
      </c>
      <c r="Q24" s="29" t="inlineStr"/>
      <c r="R24" s="29" t="inlineStr"/>
      <c r="S24" s="28" t="inlineStr">
        <is>
          <t>X</t>
        </is>
      </c>
      <c r="T24" s="29" t="inlineStr"/>
      <c r="U24" s="29" t="inlineStr"/>
    </row>
    <row r="25">
      <c r="A25" s="7" t="inlineStr">
        <is>
          <t>Operador de rodillo</t>
        </is>
      </c>
      <c r="B25" s="28" t="inlineStr">
        <is>
          <t>X</t>
        </is>
      </c>
      <c r="C25" s="28" t="inlineStr">
        <is>
          <t>X</t>
        </is>
      </c>
      <c r="D25" s="28" t="inlineStr">
        <is>
          <t>X</t>
        </is>
      </c>
      <c r="E25" s="29" t="inlineStr"/>
      <c r="F25" s="28" t="inlineStr">
        <is>
          <t>X</t>
        </is>
      </c>
      <c r="G25" s="28" t="inlineStr">
        <is>
          <t>X</t>
        </is>
      </c>
      <c r="H25" s="29" t="inlineStr"/>
      <c r="I25" s="29" t="inlineStr"/>
      <c r="J25" s="29" t="inlineStr"/>
      <c r="K25" s="29" t="inlineStr"/>
      <c r="L25" s="28" t="inlineStr">
        <is>
          <t>X</t>
        </is>
      </c>
      <c r="M25" s="29" t="inlineStr"/>
      <c r="N25" s="29" t="inlineStr"/>
      <c r="O25" s="29" t="inlineStr"/>
      <c r="P25" s="28" t="inlineStr">
        <is>
          <t>X</t>
        </is>
      </c>
      <c r="Q25" s="29" t="inlineStr"/>
      <c r="R25" s="29" t="inlineStr"/>
      <c r="S25" s="28" t="inlineStr">
        <is>
          <t>X</t>
        </is>
      </c>
      <c r="T25" s="29" t="inlineStr"/>
      <c r="U25" s="29" t="inlineStr"/>
    </row>
    <row r="26">
      <c r="A26" s="7" t="inlineStr">
        <is>
          <t>Rastrillero</t>
        </is>
      </c>
      <c r="B26" s="28" t="inlineStr">
        <is>
          <t>X</t>
        </is>
      </c>
      <c r="C26" s="28" t="inlineStr">
        <is>
          <t>X</t>
        </is>
      </c>
      <c r="D26" s="28" t="inlineStr">
        <is>
          <t>X</t>
        </is>
      </c>
      <c r="E26" s="29" t="inlineStr"/>
      <c r="F26" s="28" t="inlineStr">
        <is>
          <t>X</t>
        </is>
      </c>
      <c r="G26" s="28" t="inlineStr">
        <is>
          <t>X</t>
        </is>
      </c>
      <c r="H26" s="29" t="inlineStr"/>
      <c r="I26" s="29" t="inlineStr"/>
      <c r="J26" s="29" t="inlineStr"/>
      <c r="K26" s="29" t="inlineStr"/>
      <c r="L26" s="28" t="inlineStr">
        <is>
          <t>X</t>
        </is>
      </c>
      <c r="M26" s="29" t="inlineStr"/>
      <c r="N26" s="29" t="inlineStr"/>
      <c r="O26" s="29" t="inlineStr"/>
      <c r="P26" s="28" t="inlineStr">
        <is>
          <t>X</t>
        </is>
      </c>
      <c r="Q26" s="29" t="inlineStr"/>
      <c r="R26" s="29" t="inlineStr"/>
      <c r="S26" s="28" t="inlineStr">
        <is>
          <t>X</t>
        </is>
      </c>
      <c r="T26" s="29" t="inlineStr"/>
      <c r="U26" s="29" t="inlineStr"/>
    </row>
    <row r="27">
      <c r="A27" s="7" t="inlineStr">
        <is>
          <t>Chofer de imprimadora</t>
        </is>
      </c>
      <c r="B27" s="28" t="inlineStr">
        <is>
          <t>X</t>
        </is>
      </c>
      <c r="C27" s="28" t="inlineStr">
        <is>
          <t>X</t>
        </is>
      </c>
      <c r="D27" s="28" t="inlineStr">
        <is>
          <t>X</t>
        </is>
      </c>
      <c r="E27" s="29" t="inlineStr"/>
      <c r="F27" s="28" t="inlineStr">
        <is>
          <t>X</t>
        </is>
      </c>
      <c r="G27" s="28" t="inlineStr">
        <is>
          <t>X</t>
        </is>
      </c>
      <c r="H27" s="29" t="inlineStr"/>
      <c r="I27" s="29" t="inlineStr"/>
      <c r="J27" s="29" t="inlineStr"/>
      <c r="K27" s="29" t="inlineStr"/>
      <c r="L27" s="28" t="inlineStr">
        <is>
          <t>X</t>
        </is>
      </c>
      <c r="M27" s="29" t="inlineStr"/>
      <c r="N27" s="29" t="inlineStr"/>
      <c r="O27" s="29" t="inlineStr"/>
      <c r="P27" s="28" t="inlineStr">
        <is>
          <t>X</t>
        </is>
      </c>
      <c r="Q27" s="29" t="inlineStr"/>
      <c r="R27" s="29" t="inlineStr"/>
      <c r="S27" s="28" t="inlineStr">
        <is>
          <t>X</t>
        </is>
      </c>
      <c r="T27" s="29" t="inlineStr"/>
      <c r="U27" s="29" t="inlineStr"/>
    </row>
    <row r="28">
      <c r="A28" s="7" t="inlineStr">
        <is>
          <t>Operario soldador</t>
        </is>
      </c>
      <c r="B28" s="28" t="inlineStr">
        <is>
          <t>X</t>
        </is>
      </c>
      <c r="C28" s="28" t="inlineStr">
        <is>
          <t>X</t>
        </is>
      </c>
      <c r="D28" s="28" t="inlineStr">
        <is>
          <t>X</t>
        </is>
      </c>
      <c r="E28" s="29" t="inlineStr"/>
      <c r="F28" s="28" t="inlineStr">
        <is>
          <t>X</t>
        </is>
      </c>
      <c r="G28" s="28" t="inlineStr">
        <is>
          <t>X</t>
        </is>
      </c>
      <c r="H28" s="29" t="inlineStr"/>
      <c r="I28" s="29" t="inlineStr"/>
      <c r="J28" s="28" t="inlineStr">
        <is>
          <t>X</t>
        </is>
      </c>
      <c r="K28" s="29" t="inlineStr"/>
      <c r="L28" s="28" t="inlineStr">
        <is>
          <t>X</t>
        </is>
      </c>
      <c r="M28" s="28" t="inlineStr">
        <is>
          <t>X</t>
        </is>
      </c>
      <c r="N28" s="28" t="inlineStr">
        <is>
          <t>X</t>
        </is>
      </c>
      <c r="O28" s="29" t="inlineStr"/>
      <c r="P28" s="29" t="inlineStr"/>
      <c r="Q28" s="29" t="inlineStr"/>
      <c r="R28" s="29" t="inlineStr"/>
      <c r="S28" s="29" t="inlineStr"/>
      <c r="T28" s="29" t="inlineStr"/>
      <c r="U28" s="29" t="inlineStr"/>
    </row>
    <row r="29">
      <c r="A29" s="7" t="inlineStr">
        <is>
          <t>Montajista</t>
        </is>
      </c>
      <c r="B29" s="28" t="inlineStr">
        <is>
          <t>X</t>
        </is>
      </c>
      <c r="C29" s="28" t="inlineStr">
        <is>
          <t>X</t>
        </is>
      </c>
      <c r="D29" s="28" t="inlineStr">
        <is>
          <t>X</t>
        </is>
      </c>
      <c r="E29" s="29" t="inlineStr"/>
      <c r="F29" s="28" t="inlineStr">
        <is>
          <t>X</t>
        </is>
      </c>
      <c r="G29" s="28" t="inlineStr">
        <is>
          <t>X</t>
        </is>
      </c>
      <c r="H29" s="29" t="inlineStr"/>
      <c r="I29" s="29" t="inlineStr"/>
      <c r="J29" s="28" t="inlineStr">
        <is>
          <t>X</t>
        </is>
      </c>
      <c r="K29" s="29" t="inlineStr"/>
      <c r="L29" s="28" t="inlineStr">
        <is>
          <t>X</t>
        </is>
      </c>
      <c r="M29" s="28" t="inlineStr">
        <is>
          <t>X</t>
        </is>
      </c>
      <c r="N29" s="28" t="inlineStr">
        <is>
          <t>X</t>
        </is>
      </c>
      <c r="O29" s="29" t="inlineStr"/>
      <c r="P29" s="29" t="inlineStr"/>
      <c r="Q29" s="29" t="inlineStr"/>
      <c r="R29" s="29" t="inlineStr"/>
      <c r="S29" s="29" t="inlineStr"/>
      <c r="T29" s="29" t="inlineStr"/>
      <c r="U29" s="29" t="inlineStr"/>
    </row>
    <row r="30">
      <c r="A30" s="7" t="inlineStr">
        <is>
          <t>Operador de grúa</t>
        </is>
      </c>
      <c r="B30" s="28" t="inlineStr">
        <is>
          <t>X</t>
        </is>
      </c>
      <c r="C30" s="28" t="inlineStr">
        <is>
          <t>X</t>
        </is>
      </c>
      <c r="D30" s="28" t="inlineStr">
        <is>
          <t>X</t>
        </is>
      </c>
      <c r="E30" s="29" t="inlineStr"/>
      <c r="F30" s="28" t="inlineStr">
        <is>
          <t>X</t>
        </is>
      </c>
      <c r="G30" s="28" t="inlineStr">
        <is>
          <t>X</t>
        </is>
      </c>
      <c r="H30" s="29" t="inlineStr"/>
      <c r="I30" s="28" t="inlineStr">
        <is>
          <t>X</t>
        </is>
      </c>
      <c r="J30" s="28" t="inlineStr">
        <is>
          <t>X</t>
        </is>
      </c>
      <c r="K30" s="29" t="inlineStr"/>
      <c r="L30" s="28" t="inlineStr">
        <is>
          <t>X</t>
        </is>
      </c>
      <c r="M30" s="28" t="inlineStr">
        <is>
          <t>X</t>
        </is>
      </c>
      <c r="N30" s="28" t="inlineStr">
        <is>
          <t>X</t>
        </is>
      </c>
      <c r="O30" s="29" t="inlineStr"/>
      <c r="P30" s="29" t="inlineStr"/>
      <c r="Q30" s="29" t="inlineStr"/>
      <c r="R30" s="28" t="inlineStr">
        <is>
          <t>X</t>
        </is>
      </c>
      <c r="S30" s="29" t="inlineStr"/>
      <c r="T30" s="29" t="inlineStr"/>
      <c r="U30" s="29" t="inlineStr"/>
    </row>
    <row r="31">
      <c r="A31" s="7" t="inlineStr">
        <is>
          <t>Electricista</t>
        </is>
      </c>
      <c r="B31" s="28" t="inlineStr">
        <is>
          <t>X</t>
        </is>
      </c>
      <c r="C31" s="28" t="inlineStr">
        <is>
          <t>X</t>
        </is>
      </c>
      <c r="D31" s="28" t="inlineStr">
        <is>
          <t>X</t>
        </is>
      </c>
      <c r="E31" s="29" t="inlineStr"/>
      <c r="F31" s="28" t="inlineStr">
        <is>
          <t>X</t>
        </is>
      </c>
      <c r="G31" s="28" t="inlineStr">
        <is>
          <t>X</t>
        </is>
      </c>
      <c r="H31" s="29" t="inlineStr"/>
      <c r="I31" s="28" t="inlineStr">
        <is>
          <t>X</t>
        </is>
      </c>
      <c r="J31" s="29" t="inlineStr"/>
      <c r="K31" s="29" t="inlineStr"/>
      <c r="L31" s="29" t="inlineStr"/>
      <c r="M31" s="28" t="inlineStr">
        <is>
          <t>X</t>
        </is>
      </c>
      <c r="N31" s="29" t="inlineStr"/>
      <c r="O31" s="29" t="inlineStr"/>
      <c r="P31" s="29" t="inlineStr"/>
      <c r="Q31" s="29" t="inlineStr"/>
      <c r="R31" s="29" t="inlineStr"/>
      <c r="S31" s="29" t="inlineStr"/>
      <c r="T31" s="29" t="inlineStr"/>
      <c r="U31" s="29" t="inlineStr"/>
    </row>
    <row r="32">
      <c r="A32" s="7" t="inlineStr">
        <is>
          <t>Mecánico</t>
        </is>
      </c>
      <c r="B32" s="28" t="inlineStr">
        <is>
          <t>X</t>
        </is>
      </c>
      <c r="C32" s="28" t="inlineStr">
        <is>
          <t>X</t>
        </is>
      </c>
      <c r="D32" s="28" t="inlineStr">
        <is>
          <t>X</t>
        </is>
      </c>
      <c r="E32" s="29" t="inlineStr"/>
      <c r="F32" s="28" t="inlineStr">
        <is>
          <t>X</t>
        </is>
      </c>
      <c r="G32" s="28" t="inlineStr">
        <is>
          <t>X</t>
        </is>
      </c>
      <c r="H32" s="29" t="inlineStr"/>
      <c r="I32" s="29" t="inlineStr"/>
      <c r="J32" s="29" t="inlineStr"/>
      <c r="K32" s="29" t="inlineStr"/>
      <c r="L32" s="29" t="inlineStr"/>
      <c r="M32" s="29" t="inlineStr"/>
      <c r="N32" s="29" t="inlineStr"/>
      <c r="O32" s="29" t="inlineStr"/>
      <c r="P32" s="29" t="inlineStr"/>
      <c r="Q32" s="29" t="inlineStr"/>
      <c r="R32" s="29" t="inlineStr"/>
      <c r="S32" s="29" t="inlineStr"/>
      <c r="T32" s="29" t="inlineStr"/>
      <c r="U32" s="29" t="inlineStr"/>
    </row>
    <row r="33">
      <c r="A33" s="7" t="inlineStr">
        <is>
          <t>Abastecedor</t>
        </is>
      </c>
      <c r="B33" s="28" t="inlineStr">
        <is>
          <t>X</t>
        </is>
      </c>
      <c r="C33" s="28" t="inlineStr">
        <is>
          <t>X</t>
        </is>
      </c>
      <c r="D33" s="28" t="inlineStr">
        <is>
          <t>X</t>
        </is>
      </c>
      <c r="E33" s="29" t="inlineStr"/>
      <c r="F33" s="28" t="inlineStr">
        <is>
          <t>X</t>
        </is>
      </c>
      <c r="G33" s="28" t="inlineStr">
        <is>
          <t>X</t>
        </is>
      </c>
      <c r="H33" s="29" t="inlineStr"/>
      <c r="I33" s="29" t="inlineStr"/>
      <c r="J33" s="29" t="inlineStr"/>
      <c r="K33" s="29" t="inlineStr"/>
      <c r="L33" s="29" t="inlineStr"/>
      <c r="M33" s="29" t="inlineStr"/>
      <c r="N33" s="29" t="inlineStr"/>
      <c r="O33" s="29" t="inlineStr"/>
      <c r="P33" s="29" t="inlineStr"/>
      <c r="Q33" s="29" t="inlineStr"/>
      <c r="R33" s="29" t="inlineStr"/>
      <c r="S33" s="29" t="inlineStr"/>
      <c r="T33" s="29" t="inlineStr"/>
      <c r="U33" s="29" t="inlineStr"/>
    </row>
  </sheetData>
  <mergeCells count="2">
    <mergeCell ref="A2:V2"/>
    <mergeCell ref="A1:V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41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55" customWidth="1" min="2" max="2"/>
    <col width="50" customWidth="1" min="3" max="3"/>
    <col width="50" customWidth="1" min="4" max="4"/>
  </cols>
  <sheetData>
    <row r="1">
      <c r="A1" s="1" t="inlineStr">
        <is>
          <t>PROCEDIMIENTOS ESCRITOS DE TRABAJO SEGURO Y PERMISOS DE TRABAJO DE ALTO RIESGO</t>
        </is>
      </c>
    </row>
    <row r="2" ht="24" customHeight="1">
      <c r="A2" s="2" t="inlineStr">
        <is>
          <t>MEJORAMIENTO DEL SERVICIO DE TRANSITABILIDAD VIAL INTERURBANA EN LA VÍA DEPARTAMENTAL SM-107, TRAMO TINGO DE PONASA - SHAMBOYACU, DISTRITO DE SHAMBOYACU, PROVINCIA DE PICOTA, DEPARTAMENTO DE SAN MARTÍN - CUI N.° 2673852</t>
        </is>
      </c>
    </row>
    <row r="4">
      <c r="A4" s="3" t="inlineStr">
        <is>
          <t>CÓDIGO</t>
        </is>
      </c>
      <c r="B4" s="3" t="inlineStr">
        <is>
          <t>PROCEDIMIENTO</t>
        </is>
      </c>
      <c r="C4" s="3" t="inlineStr">
        <is>
          <t>ACTIVIDAD</t>
        </is>
      </c>
      <c r="D4" s="3" t="inlineStr">
        <is>
          <t>REQUIERE PETAR</t>
        </is>
      </c>
    </row>
    <row r="5">
      <c r="A5" s="4" t="inlineStr">
        <is>
          <t>PETS-01</t>
        </is>
      </c>
      <c r="B5" s="6" t="inlineStr">
        <is>
          <t>Reglamento interno de SST y charla diaria de 5 minutos</t>
        </is>
      </c>
      <c r="C5" s="6" t="inlineStr">
        <is>
          <t>Trabajos generales a campo abierto</t>
        </is>
      </c>
      <c r="D5" s="6" t="inlineStr">
        <is>
          <t>No</t>
        </is>
      </c>
    </row>
    <row r="6">
      <c r="A6" s="4" t="inlineStr">
        <is>
          <t>PETS-02</t>
        </is>
      </c>
      <c r="B6" s="6" t="inlineStr">
        <is>
          <t>PETS - Prevención de mordeduras de ofidios y enfermedades metaxénicas</t>
        </is>
      </c>
      <c r="C6" s="6" t="inlineStr">
        <is>
          <t>Trabajos en zona de selva (fauna y vectores)</t>
        </is>
      </c>
      <c r="D6" s="6" t="inlineStr">
        <is>
          <t>No</t>
        </is>
      </c>
    </row>
    <row r="7">
      <c r="A7" s="4" t="inlineStr">
        <is>
          <t>PETS-03</t>
        </is>
      </c>
      <c r="B7" s="6" t="inlineStr">
        <is>
          <t>PETS - Transporte de personal y manejo defensivo</t>
        </is>
      </c>
      <c r="C7" s="6" t="inlineStr">
        <is>
          <t>Traslado de personal y materiales en vehículos</t>
        </is>
      </c>
      <c r="D7" s="6" t="inlineStr">
        <is>
          <t>No</t>
        </is>
      </c>
    </row>
    <row r="8">
      <c r="A8" s="4" t="inlineStr">
        <is>
          <t>PETS-04</t>
        </is>
      </c>
      <c r="B8" s="6" t="inlineStr">
        <is>
          <t>PETS - Instalación de campamento y almacenamiento de materiales</t>
        </is>
      </c>
      <c r="C8" s="6" t="inlineStr">
        <is>
          <t>Campamento, almacenes, comedor, servicios higiénicos y cartel de obra</t>
        </is>
      </c>
      <c r="D8" s="6" t="inlineStr">
        <is>
          <t>No</t>
        </is>
      </c>
    </row>
    <row r="9">
      <c r="A9" s="4" t="inlineStr">
        <is>
          <t>PETS-05</t>
        </is>
      </c>
      <c r="B9" s="6" t="inlineStr">
        <is>
          <t>PETS - Movilización de equipos en cama baja</t>
        </is>
      </c>
      <c r="C9" s="6" t="inlineStr">
        <is>
          <t>Movilización y desmovilización de equipos y fletes</t>
        </is>
      </c>
      <c r="D9" s="6" t="inlineStr">
        <is>
          <t>No</t>
        </is>
      </c>
    </row>
    <row r="10">
      <c r="A10" s="4" t="inlineStr">
        <is>
          <t>PETS-06</t>
        </is>
      </c>
      <c r="B10" s="6" t="inlineStr">
        <is>
          <t>PETS - Trabajos de topografía en vía con tránsito</t>
        </is>
      </c>
      <c r="C10" s="6" t="inlineStr">
        <is>
          <t>Topografía, trazo, nivelación y replanteo</t>
        </is>
      </c>
      <c r="D10" s="6" t="inlineStr">
        <is>
          <t>No</t>
        </is>
      </c>
    </row>
    <row r="11">
      <c r="A11" s="4" t="inlineStr">
        <is>
          <t>PETS-07</t>
        </is>
      </c>
      <c r="B11" s="6" t="inlineStr">
        <is>
          <t>Plan de desvíos y PETS - Control de tránsito en zona de trabajo</t>
        </is>
      </c>
      <c r="C11" s="6" t="inlineStr">
        <is>
          <t>Mantenimiento del tránsito, desvíos y señalización temporal</t>
        </is>
      </c>
      <c r="D11" s="6" t="inlineStr">
        <is>
          <t>No</t>
        </is>
      </c>
    </row>
    <row r="12">
      <c r="A12" s="4" t="inlineStr">
        <is>
          <t>PETS-08</t>
        </is>
      </c>
      <c r="B12" s="6" t="inlineStr">
        <is>
          <t>PETS - Desbroce y tala de árboles</t>
        </is>
      </c>
      <c r="C12" s="6" t="inlineStr">
        <is>
          <t>Desbroce, limpieza de terreno y tala de árboles</t>
        </is>
      </c>
      <c r="D12" s="6" t="inlineStr">
        <is>
          <t>No</t>
        </is>
      </c>
    </row>
    <row r="13">
      <c r="A13" s="4" t="inlineStr">
        <is>
          <t>PETS-09</t>
        </is>
      </c>
      <c r="B13" s="6" t="inlineStr">
        <is>
          <t>PETS - Demolición de estructuras existentes</t>
        </is>
      </c>
      <c r="C13" s="6" t="inlineStr">
        <is>
          <t>Demolición de estructuras, escarificado y desmontaje</t>
        </is>
      </c>
      <c r="D13" s="6" t="inlineStr">
        <is>
          <t>Trabajos en altura (a partir de 1.80 m)</t>
        </is>
      </c>
    </row>
    <row r="14">
      <c r="A14" s="4" t="inlineStr">
        <is>
          <t>PETS-10</t>
        </is>
      </c>
      <c r="B14" s="6" t="inlineStr">
        <is>
          <t>PETS - Movimiento de tierras con maquinaria pesada</t>
        </is>
      </c>
      <c r="C14" s="6" t="inlineStr">
        <is>
          <t>Movimiento de tierras con maquinaria (corte, terraplén, eliminación, canteras y DME)</t>
        </is>
      </c>
      <c r="D14" s="6" t="inlineStr">
        <is>
          <t>No</t>
        </is>
      </c>
    </row>
    <row r="15">
      <c r="A15" s="4" t="inlineStr">
        <is>
          <t>PETS-11</t>
        </is>
      </c>
      <c r="B15" s="6" t="inlineStr">
        <is>
          <t>PETS - Corte en roca y voladura controlada</t>
        </is>
      </c>
      <c r="C15" s="6" t="inlineStr">
        <is>
          <t>Corte en roca (martillo hidráulico o voladura controlada)</t>
        </is>
      </c>
      <c r="D15" s="6" t="inlineStr">
        <is>
          <t>Uso de explosivos (voladura)</t>
        </is>
      </c>
    </row>
    <row r="16">
      <c r="A16" s="4" t="inlineStr">
        <is>
          <t>PETS-12</t>
        </is>
      </c>
      <c r="B16" s="6" t="inlineStr">
        <is>
          <t>PETS - Excavación de zanjas y estructuras</t>
        </is>
      </c>
      <c r="C16" s="6" t="inlineStr">
        <is>
          <t>Excavación de zanjas y para estructuras</t>
        </is>
      </c>
      <c r="D16" s="6" t="inlineStr">
        <is>
          <t>Excavaciones y zanjas (profundidad mayor de 1.50 m)</t>
        </is>
      </c>
    </row>
    <row r="17">
      <c r="A17" s="4" t="inlineStr">
        <is>
          <t>PETS-13</t>
        </is>
      </c>
      <c r="B17" s="6" t="inlineStr">
        <is>
          <t>PETS - Trabajos en cauces y bajo agua</t>
        </is>
      </c>
      <c r="C17" s="6" t="inlineStr">
        <is>
          <t>Trabajos en cauces, excavación bajo agua y encauzamiento</t>
        </is>
      </c>
      <c r="D17" s="6" t="inlineStr">
        <is>
          <t>Trabajos en cauces, sobre agua o con riesgo de ahogamiento</t>
        </is>
      </c>
    </row>
    <row r="18">
      <c r="A18" s="4" t="inlineStr">
        <is>
          <t>PETS-14</t>
        </is>
      </c>
      <c r="B18" s="6" t="inlineStr">
        <is>
          <t>PETS - Relleno y compactación</t>
        </is>
      </c>
      <c r="C18" s="6" t="inlineStr">
        <is>
          <t>Rellenos, refine, nivelación y compactación</t>
        </is>
      </c>
      <c r="D18" s="6" t="inlineStr">
        <is>
          <t>No</t>
        </is>
      </c>
    </row>
    <row r="19">
      <c r="A19" s="4" t="inlineStr">
        <is>
          <t>PETS-15</t>
        </is>
      </c>
      <c r="B19" s="6" t="inlineStr">
        <is>
          <t>PETS - Instalación de geosintéticos</t>
        </is>
      </c>
      <c r="C19" s="6" t="inlineStr">
        <is>
          <t>Geosintéticos y subdrenaje</t>
        </is>
      </c>
      <c r="D19" s="6" t="inlineStr">
        <is>
          <t>No</t>
        </is>
      </c>
    </row>
    <row r="20">
      <c r="A20" s="4" t="inlineStr">
        <is>
          <t>PETS-16</t>
        </is>
      </c>
      <c r="B20" s="6" t="inlineStr">
        <is>
          <t>PETS - Transporte de materiales en volquetes</t>
        </is>
      </c>
      <c r="C20" s="6" t="inlineStr">
        <is>
          <t>Transporte de materiales con volquetes</t>
        </is>
      </c>
      <c r="D20" s="6" t="inlineStr">
        <is>
          <t>No</t>
        </is>
      </c>
    </row>
    <row r="21">
      <c r="A21" s="4" t="inlineStr">
        <is>
          <t>PETS-17</t>
        </is>
      </c>
      <c r="B21" s="6" t="inlineStr">
        <is>
          <t>PETS - Habilitación y colocación de acero de refuerzo</t>
        </is>
      </c>
      <c r="C21" s="6" t="inlineStr">
        <is>
          <t>Habilitación y colocación de acero de refuerzo</t>
        </is>
      </c>
      <c r="D21" s="6" t="inlineStr">
        <is>
          <t>No</t>
        </is>
      </c>
    </row>
    <row r="22">
      <c r="A22" s="4" t="inlineStr">
        <is>
          <t>PETS-18</t>
        </is>
      </c>
      <c r="B22" s="6" t="inlineStr">
        <is>
          <t>PETS - Encofrado y desencofrado</t>
        </is>
      </c>
      <c r="C22" s="6" t="inlineStr">
        <is>
          <t>Encofrado y desencofrado</t>
        </is>
      </c>
      <c r="D22" s="6" t="inlineStr">
        <is>
          <t>Trabajos en altura (a partir de 1.80 m)</t>
        </is>
      </c>
    </row>
    <row r="23">
      <c r="A23" s="4" t="inlineStr">
        <is>
          <t>PETS-19</t>
        </is>
      </c>
      <c r="B23" s="6" t="inlineStr">
        <is>
          <t>PETS - Vaciado y curado de concreto</t>
        </is>
      </c>
      <c r="C23" s="6" t="inlineStr">
        <is>
          <t>Preparación, vaciado y curado de concreto</t>
        </is>
      </c>
      <c r="D23" s="6" t="inlineStr">
        <is>
          <t>No</t>
        </is>
      </c>
    </row>
    <row r="24">
      <c r="A24" s="4" t="inlineStr">
        <is>
          <t>PETS-20</t>
        </is>
      </c>
      <c r="B24" s="6" t="inlineStr">
        <is>
          <t>PETS - Armado y llenado de gaviones</t>
        </is>
      </c>
      <c r="C24" s="6" t="inlineStr">
        <is>
          <t>Gaviones y mampostería de piedra</t>
        </is>
      </c>
      <c r="D24" s="6" t="inlineStr">
        <is>
          <t>No</t>
        </is>
      </c>
    </row>
    <row r="25">
      <c r="A25" s="4" t="inlineStr">
        <is>
          <t>PETS-21</t>
        </is>
      </c>
      <c r="B25" s="6" t="inlineStr">
        <is>
          <t>PETS - Instalación de alcantarillas y tuberías</t>
        </is>
      </c>
      <c r="C25" s="6" t="inlineStr">
        <is>
          <t>Instalación de alcantarillas, tuberías y elementos prefabricados</t>
        </is>
      </c>
      <c r="D25" s="6" t="inlineStr">
        <is>
          <t>Izaje de cargas con grúa o equipo de levante</t>
        </is>
      </c>
    </row>
    <row r="26">
      <c r="A26" s="4" t="inlineStr">
        <is>
          <t>PETS-22</t>
        </is>
      </c>
      <c r="B26" s="6" t="inlineStr">
        <is>
          <t>PETS - Imprimación y colocación de carpeta asfáltica</t>
        </is>
      </c>
      <c r="C26" s="6" t="inlineStr">
        <is>
          <t>Imprimación, riego de liga y pavimento asfáltico en caliente</t>
        </is>
      </c>
      <c r="D26" s="6" t="inlineStr">
        <is>
          <t>Trabajos en caliente (soldadura, oxicorte, esmerilado, asfalto caliente)</t>
        </is>
      </c>
    </row>
    <row r="27">
      <c r="A27" s="4" t="inlineStr">
        <is>
          <t>PETS-23</t>
        </is>
      </c>
      <c r="B27" s="6" t="inlineStr">
        <is>
          <t>PETS - Montaje de estructuras metálicas</t>
        </is>
      </c>
      <c r="C27" s="6" t="inlineStr">
        <is>
          <t>Fabricación, arenado, pintura y montaje de estructuras metálicas</t>
        </is>
      </c>
      <c r="D27" s="6" t="inlineStr">
        <is>
          <t>Trabajos en caliente (soldadura, oxicorte, esmerilado, asfalto caliente); Izaje de cargas con grúa o equipo de levante; Trabajos en altura (a partir de 1.80 m)</t>
        </is>
      </c>
    </row>
    <row r="28">
      <c r="A28" s="4" t="inlineStr">
        <is>
          <t>PETS-24</t>
        </is>
      </c>
      <c r="B28" s="6" t="inlineStr">
        <is>
          <t>PETS - Trabajos en puentes sobre cauces</t>
        </is>
      </c>
      <c r="C28" s="6" t="inlineStr">
        <is>
          <t>Trabajos en puentes sobre cauces (estribos, superestructura, prueba de carga)</t>
        </is>
      </c>
      <c r="D28" s="6" t="inlineStr">
        <is>
          <t>Trabajos en altura (a partir de 1.80 m); Trabajos en cauces, sobre agua o con riesgo de ahogamiento</t>
        </is>
      </c>
    </row>
    <row r="29">
      <c r="A29" s="4" t="inlineStr">
        <is>
          <t>PETS-25</t>
        </is>
      </c>
      <c r="B29" s="6" t="inlineStr">
        <is>
          <t>PETS - Señalización vial y pintura de tráfico</t>
        </is>
      </c>
      <c r="C29" s="6" t="inlineStr">
        <is>
          <t>Señalización vial definitiva, pintura de tráfico y barreras</t>
        </is>
      </c>
      <c r="D29" s="6" t="inlineStr">
        <is>
          <t>No</t>
        </is>
      </c>
    </row>
    <row r="30">
      <c r="A30" s="4" t="inlineStr">
        <is>
          <t>PETS-26</t>
        </is>
      </c>
      <c r="B30" s="6" t="inlineStr">
        <is>
          <t>PETS - Reubicación de postes con la concesionaria eléctrica</t>
        </is>
      </c>
      <c r="C30" s="6" t="inlineStr">
        <is>
          <t>Reubicación de postes e interferencias con redes eléctricas</t>
        </is>
      </c>
      <c r="D30" s="6" t="inlineStr">
        <is>
          <t>Trabajos con energía eléctrica y cerca de líneas energizadas; Izaje de cargas con grúa o equipo de levante; Trabajos en altura (a partir de 1.80 m)</t>
        </is>
      </c>
    </row>
    <row r="31">
      <c r="A31" s="4" t="inlineStr">
        <is>
          <t>PETS-27</t>
        </is>
      </c>
      <c r="B31" s="6" t="inlineStr">
        <is>
          <t>PETS - Mantenimiento y abastecimiento de combustible</t>
        </is>
      </c>
      <c r="C31" s="6" t="inlineStr">
        <is>
          <t>Mantenimiento y abastecimiento de combustible de maquinaria</t>
        </is>
      </c>
      <c r="D31" s="6" t="inlineStr">
        <is>
          <t>No</t>
        </is>
      </c>
    </row>
    <row r="32">
      <c r="A32" s="4" t="inlineStr">
        <is>
          <t>PETS-28</t>
        </is>
      </c>
      <c r="B32" s="6" t="inlineStr">
        <is>
          <t>PETS - Manejo de residuos sólidos y peligrosos</t>
        </is>
      </c>
      <c r="C32" s="6" t="inlineStr">
        <is>
          <t>Manejo de residuos, servicios higiénicos portátiles y revegetación</t>
        </is>
      </c>
      <c r="D32" s="6" t="inlineStr">
        <is>
          <t>No</t>
        </is>
      </c>
    </row>
    <row r="34">
      <c r="A34" s="3" t="inlineStr">
        <is>
          <t>N.°</t>
        </is>
      </c>
      <c r="B34" s="3" t="inlineStr">
        <is>
          <t>PETAR</t>
        </is>
      </c>
      <c r="C34" s="3" t="inlineStr">
        <is>
          <t>ACTIVIDADES</t>
        </is>
      </c>
    </row>
    <row r="35">
      <c r="A35" s="4" t="n">
        <v>1</v>
      </c>
      <c r="B35" s="6" t="inlineStr">
        <is>
          <t>Trabajos en altura (a partir de 1.80 m)</t>
        </is>
      </c>
      <c r="C35" s="6" t="inlineStr">
        <is>
          <t>Demolición de estructuras, escarificado y desmontaje; Encofrado y desencofrado; Fabricación, arenado, pintura y montaje de estructuras metálicas; Trabajos en puentes sobre cauces (estribos, superestructura, prueba de carga); Reubicación de postes e interferencias con redes eléctricas</t>
        </is>
      </c>
    </row>
    <row r="36">
      <c r="A36" s="4" t="n">
        <v>2</v>
      </c>
      <c r="B36" s="6" t="inlineStr">
        <is>
          <t>Uso de explosivos (voladura)</t>
        </is>
      </c>
      <c r="C36" s="6" t="inlineStr">
        <is>
          <t>Corte en roca (martillo hidráulico o voladura controlada)</t>
        </is>
      </c>
    </row>
    <row r="37">
      <c r="A37" s="4" t="n">
        <v>3</v>
      </c>
      <c r="B37" s="6" t="inlineStr">
        <is>
          <t>Excavaciones y zanjas (profundidad mayor de 1.50 m)</t>
        </is>
      </c>
      <c r="C37" s="6" t="inlineStr">
        <is>
          <t>Excavación de zanjas y para estructuras</t>
        </is>
      </c>
    </row>
    <row r="38">
      <c r="A38" s="4" t="n">
        <v>4</v>
      </c>
      <c r="B38" s="6" t="inlineStr">
        <is>
          <t>Trabajos en cauces, sobre agua o con riesgo de ahogamiento</t>
        </is>
      </c>
      <c r="C38" s="6" t="inlineStr">
        <is>
          <t>Trabajos en cauces, excavación bajo agua y encauzamiento; Trabajos en puentes sobre cauces (estribos, superestructura, prueba de carga)</t>
        </is>
      </c>
    </row>
    <row r="39">
      <c r="A39" s="4" t="n">
        <v>5</v>
      </c>
      <c r="B39" s="6" t="inlineStr">
        <is>
          <t>Izaje de cargas con grúa o equipo de levante</t>
        </is>
      </c>
      <c r="C39" s="6" t="inlineStr">
        <is>
          <t>Instalación de alcantarillas, tuberías y elementos prefabricados; Fabricación, arenado, pintura y montaje de estructuras metálicas; Reubicación de postes e interferencias con redes eléctricas</t>
        </is>
      </c>
    </row>
    <row r="40">
      <c r="A40" s="4" t="n">
        <v>6</v>
      </c>
      <c r="B40" s="6" t="inlineStr">
        <is>
          <t>Trabajos en caliente (soldadura, oxicorte, esmerilado, asfalto caliente)</t>
        </is>
      </c>
      <c r="C40" s="6" t="inlineStr">
        <is>
          <t>Imprimación, riego de liga y pavimento asfáltico en caliente; Fabricación, arenado, pintura y montaje de estructuras metálicas</t>
        </is>
      </c>
    </row>
    <row r="41">
      <c r="A41" s="4" t="n">
        <v>7</v>
      </c>
      <c r="B41" s="6" t="inlineStr">
        <is>
          <t>Trabajos con energía eléctrica y cerca de líneas energizadas</t>
        </is>
      </c>
      <c r="C41" s="6" t="inlineStr">
        <is>
          <t>Reubicación de postes e interferencias con redes eléctricas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E25"/>
  <sheetViews>
    <sheetView showGridLines="0" workbookViewId="0">
      <pane xSplit="5" ySplit="4" topLeftCell="F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50" customWidth="1" min="2" max="2"/>
    <col width="26" customWidth="1" min="3" max="3"/>
    <col width="7" customWidth="1" min="4" max="4"/>
    <col width="11" customWidth="1" min="5" max="5"/>
    <col width="4.2" customWidth="1" min="6" max="6"/>
    <col width="4.2" customWidth="1" min="7" max="7"/>
    <col width="4.2" customWidth="1" min="8" max="8"/>
    <col width="4.2" customWidth="1" min="9" max="9"/>
    <col width="4.2" customWidth="1" min="10" max="10"/>
    <col width="4.2" customWidth="1" min="11" max="11"/>
    <col width="4.2" customWidth="1" min="12" max="12"/>
    <col width="4.2" customWidth="1" min="13" max="13"/>
    <col width="4.2" customWidth="1" min="14" max="14"/>
    <col width="4.2" customWidth="1" min="15" max="15"/>
    <col width="4.2" customWidth="1" min="16" max="16"/>
    <col width="4.2" customWidth="1" min="17" max="17"/>
    <col width="4.2" customWidth="1" min="18" max="18"/>
    <col width="4.2" customWidth="1" min="19" max="19"/>
    <col width="4.2" customWidth="1" min="20" max="20"/>
    <col width="4.2" customWidth="1" min="21" max="21"/>
    <col width="4.2" customWidth="1" min="22" max="22"/>
    <col width="4.2" customWidth="1" min="23" max="23"/>
    <col width="4.2" customWidth="1" min="24" max="24"/>
    <col width="4.2" customWidth="1" min="25" max="25"/>
    <col width="4.2" customWidth="1" min="26" max="26"/>
    <col width="4.2" customWidth="1" min="27" max="27"/>
    <col width="4.2" customWidth="1" min="28" max="28"/>
    <col width="4.2" customWidth="1" min="29" max="29"/>
    <col width="7" customWidth="1" min="30" max="30"/>
    <col width="8" customWidth="1" min="31" max="31"/>
  </cols>
  <sheetData>
    <row r="1">
      <c r="A1" s="1" t="inlineStr">
        <is>
          <t>PROGRAMA DE CAPACITACIÓN Y SENSIBILIZACIÓN EN SST</t>
        </is>
      </c>
    </row>
    <row r="2" ht="24" customHeight="1">
      <c r="A2" s="2" t="inlineStr">
        <is>
          <t>X = mes programado; total de horas por fórmula</t>
        </is>
      </c>
    </row>
    <row r="4" ht="30" customHeight="1">
      <c r="A4" s="3" t="inlineStr">
        <is>
          <t>N.°</t>
        </is>
      </c>
      <c r="B4" s="3" t="inlineStr">
        <is>
          <t>TEMA</t>
        </is>
      </c>
      <c r="C4" s="3" t="inlineStr">
        <is>
          <t>DIRIGIDO A</t>
        </is>
      </c>
      <c r="D4" s="3" t="inlineStr">
        <is>
          <t>HORAS</t>
        </is>
      </c>
      <c r="E4" s="3" t="inlineStr">
        <is>
          <t>FRECUENCIA</t>
        </is>
      </c>
      <c r="F4" s="3" t="inlineStr">
        <is>
          <t>M1</t>
        </is>
      </c>
      <c r="G4" s="3" t="inlineStr">
        <is>
          <t>M2</t>
        </is>
      </c>
      <c r="H4" s="3" t="inlineStr">
        <is>
          <t>M3</t>
        </is>
      </c>
      <c r="I4" s="3" t="inlineStr">
        <is>
          <t>M4</t>
        </is>
      </c>
      <c r="J4" s="3" t="inlineStr">
        <is>
          <t>M5</t>
        </is>
      </c>
      <c r="K4" s="3" t="inlineStr">
        <is>
          <t>M6</t>
        </is>
      </c>
      <c r="L4" s="3" t="inlineStr">
        <is>
          <t>M7</t>
        </is>
      </c>
      <c r="M4" s="3" t="inlineStr">
        <is>
          <t>M8</t>
        </is>
      </c>
      <c r="N4" s="3" t="inlineStr">
        <is>
          <t>M9</t>
        </is>
      </c>
      <c r="O4" s="3" t="inlineStr">
        <is>
          <t>M10</t>
        </is>
      </c>
      <c r="P4" s="3" t="inlineStr">
        <is>
          <t>M11</t>
        </is>
      </c>
      <c r="Q4" s="3" t="inlineStr">
        <is>
          <t>M12</t>
        </is>
      </c>
      <c r="R4" s="3" t="inlineStr">
        <is>
          <t>M13</t>
        </is>
      </c>
      <c r="S4" s="3" t="inlineStr">
        <is>
          <t>M14</t>
        </is>
      </c>
      <c r="T4" s="3" t="inlineStr">
        <is>
          <t>M15</t>
        </is>
      </c>
      <c r="U4" s="3" t="inlineStr">
        <is>
          <t>M16</t>
        </is>
      </c>
      <c r="V4" s="3" t="inlineStr">
        <is>
          <t>M17</t>
        </is>
      </c>
      <c r="W4" s="3" t="inlineStr">
        <is>
          <t>M18</t>
        </is>
      </c>
      <c r="X4" s="3" t="inlineStr">
        <is>
          <t>M19</t>
        </is>
      </c>
      <c r="Y4" s="3" t="inlineStr">
        <is>
          <t>M20</t>
        </is>
      </c>
      <c r="Z4" s="3" t="inlineStr">
        <is>
          <t>M21</t>
        </is>
      </c>
      <c r="AA4" s="3" t="inlineStr">
        <is>
          <t>M22</t>
        </is>
      </c>
      <c r="AB4" s="3" t="inlineStr">
        <is>
          <t>M23</t>
        </is>
      </c>
      <c r="AC4" s="3" t="inlineStr">
        <is>
          <t>M24</t>
        </is>
      </c>
      <c r="AD4" s="3" t="inlineStr">
        <is>
          <t>VECES</t>
        </is>
      </c>
      <c r="AE4" s="3" t="inlineStr">
        <is>
          <t>HORAS TOTAL</t>
        </is>
      </c>
    </row>
    <row r="5">
      <c r="A5" s="4" t="n">
        <v>1</v>
      </c>
      <c r="B5" s="6" t="inlineStr">
        <is>
          <t>Inducción en SST para trabajadores nuevos (reglamento interno, IPERC del puesto, derechos y obligaciones)</t>
        </is>
      </c>
      <c r="C5" s="6" t="inlineStr">
        <is>
          <t>Todo el personal nuevo</t>
        </is>
      </c>
      <c r="D5" s="20" t="n">
        <v>4</v>
      </c>
      <c r="E5" s="4" t="inlineStr">
        <is>
          <t>al ingreso</t>
        </is>
      </c>
      <c r="F5" s="20" t="inlineStr">
        <is>
          <t>X</t>
        </is>
      </c>
      <c r="G5" s="20" t="inlineStr">
        <is>
          <t>X</t>
        </is>
      </c>
      <c r="H5" s="20" t="inlineStr">
        <is>
          <t>X</t>
        </is>
      </c>
      <c r="I5" s="20" t="inlineStr">
        <is>
          <t>X</t>
        </is>
      </c>
      <c r="J5" s="20" t="inlineStr">
        <is>
          <t>X</t>
        </is>
      </c>
      <c r="K5" s="20" t="inlineStr">
        <is>
          <t>X</t>
        </is>
      </c>
      <c r="L5" s="20" t="inlineStr">
        <is>
          <t>X</t>
        </is>
      </c>
      <c r="M5" s="20" t="inlineStr">
        <is>
          <t>X</t>
        </is>
      </c>
      <c r="N5" s="20" t="inlineStr">
        <is>
          <t>X</t>
        </is>
      </c>
      <c r="O5" s="20" t="inlineStr">
        <is>
          <t>X</t>
        </is>
      </c>
      <c r="P5" s="20" t="inlineStr">
        <is>
          <t>X</t>
        </is>
      </c>
      <c r="Q5" s="20" t="inlineStr">
        <is>
          <t>X</t>
        </is>
      </c>
      <c r="R5" s="20" t="inlineStr">
        <is>
          <t>X</t>
        </is>
      </c>
      <c r="S5" s="20" t="inlineStr">
        <is>
          <t>X</t>
        </is>
      </c>
      <c r="T5" s="20" t="inlineStr">
        <is>
          <t>X</t>
        </is>
      </c>
      <c r="U5" s="20" t="inlineStr">
        <is>
          <t>X</t>
        </is>
      </c>
      <c r="V5" s="20" t="inlineStr">
        <is>
          <t>X</t>
        </is>
      </c>
      <c r="W5" s="20" t="inlineStr">
        <is>
          <t>X</t>
        </is>
      </c>
      <c r="X5" s="20" t="inlineStr">
        <is>
          <t>X</t>
        </is>
      </c>
      <c r="Y5" s="20" t="inlineStr">
        <is>
          <t>X</t>
        </is>
      </c>
      <c r="Z5" s="20" t="inlineStr">
        <is>
          <t>X</t>
        </is>
      </c>
      <c r="AA5" s="20" t="inlineStr">
        <is>
          <t>X</t>
        </is>
      </c>
      <c r="AB5" s="20" t="inlineStr">
        <is>
          <t>X</t>
        </is>
      </c>
      <c r="AC5" s="20" t="inlineStr">
        <is>
          <t>X</t>
        </is>
      </c>
      <c r="AD5" s="21">
        <f>COUNTIF(F5:AC5,"X")</f>
        <v/>
      </c>
      <c r="AE5" s="21">
        <f>D5*AD5</f>
        <v/>
      </c>
    </row>
    <row r="6">
      <c r="A6" s="4" t="n">
        <v>2</v>
      </c>
      <c r="B6" s="6" t="inlineStr">
        <is>
          <t>Identificación de peligros, evaluación de riesgos y uso del ATS</t>
        </is>
      </c>
      <c r="C6" s="6" t="inlineStr">
        <is>
          <t>Todo el personal</t>
        </is>
      </c>
      <c r="D6" s="20" t="n">
        <v>2</v>
      </c>
      <c r="E6" s="4" t="inlineStr">
        <is>
          <t>trimestral</t>
        </is>
      </c>
      <c r="F6" s="20" t="inlineStr">
        <is>
          <t>X</t>
        </is>
      </c>
      <c r="G6" s="20" t="inlineStr"/>
      <c r="H6" s="20" t="inlineStr"/>
      <c r="I6" s="20" t="inlineStr">
        <is>
          <t>X</t>
        </is>
      </c>
      <c r="J6" s="20" t="inlineStr"/>
      <c r="K6" s="20" t="inlineStr"/>
      <c r="L6" s="20" t="inlineStr">
        <is>
          <t>X</t>
        </is>
      </c>
      <c r="M6" s="20" t="inlineStr"/>
      <c r="N6" s="20" t="inlineStr"/>
      <c r="O6" s="20" t="inlineStr">
        <is>
          <t>X</t>
        </is>
      </c>
      <c r="P6" s="20" t="inlineStr"/>
      <c r="Q6" s="20" t="inlineStr"/>
      <c r="R6" s="20" t="inlineStr">
        <is>
          <t>X</t>
        </is>
      </c>
      <c r="S6" s="20" t="inlineStr"/>
      <c r="T6" s="20" t="inlineStr"/>
      <c r="U6" s="20" t="inlineStr">
        <is>
          <t>X</t>
        </is>
      </c>
      <c r="V6" s="20" t="inlineStr"/>
      <c r="W6" s="20" t="inlineStr"/>
      <c r="X6" s="20" t="inlineStr">
        <is>
          <t>X</t>
        </is>
      </c>
      <c r="Y6" s="20" t="inlineStr"/>
      <c r="Z6" s="20" t="inlineStr"/>
      <c r="AA6" s="20" t="inlineStr">
        <is>
          <t>X</t>
        </is>
      </c>
      <c r="AB6" s="20" t="inlineStr"/>
      <c r="AC6" s="20" t="inlineStr"/>
      <c r="AD6" s="21">
        <f>COUNTIF(F6:AC6,"X")</f>
        <v/>
      </c>
      <c r="AE6" s="21">
        <f>D6*AD6</f>
        <v/>
      </c>
    </row>
    <row r="7">
      <c r="A7" s="4" t="n">
        <v>3</v>
      </c>
      <c r="B7" s="6" t="inlineStr">
        <is>
          <t>Uso, conservación y reposición de EPP</t>
        </is>
      </c>
      <c r="C7" s="6" t="inlineStr">
        <is>
          <t>Todo el personal</t>
        </is>
      </c>
      <c r="D7" s="20" t="n">
        <v>1</v>
      </c>
      <c r="E7" s="4" t="inlineStr">
        <is>
          <t>trimestral</t>
        </is>
      </c>
      <c r="F7" s="20" t="inlineStr">
        <is>
          <t>X</t>
        </is>
      </c>
      <c r="G7" s="20" t="inlineStr"/>
      <c r="H7" s="20" t="inlineStr"/>
      <c r="I7" s="20" t="inlineStr">
        <is>
          <t>X</t>
        </is>
      </c>
      <c r="J7" s="20" t="inlineStr"/>
      <c r="K7" s="20" t="inlineStr"/>
      <c r="L7" s="20" t="inlineStr">
        <is>
          <t>X</t>
        </is>
      </c>
      <c r="M7" s="20" t="inlineStr"/>
      <c r="N7" s="20" t="inlineStr"/>
      <c r="O7" s="20" t="inlineStr">
        <is>
          <t>X</t>
        </is>
      </c>
      <c r="P7" s="20" t="inlineStr"/>
      <c r="Q7" s="20" t="inlineStr"/>
      <c r="R7" s="20" t="inlineStr">
        <is>
          <t>X</t>
        </is>
      </c>
      <c r="S7" s="20" t="inlineStr"/>
      <c r="T7" s="20" t="inlineStr"/>
      <c r="U7" s="20" t="inlineStr">
        <is>
          <t>X</t>
        </is>
      </c>
      <c r="V7" s="20" t="inlineStr"/>
      <c r="W7" s="20" t="inlineStr"/>
      <c r="X7" s="20" t="inlineStr">
        <is>
          <t>X</t>
        </is>
      </c>
      <c r="Y7" s="20" t="inlineStr"/>
      <c r="Z7" s="20" t="inlineStr"/>
      <c r="AA7" s="20" t="inlineStr">
        <is>
          <t>X</t>
        </is>
      </c>
      <c r="AB7" s="20" t="inlineStr"/>
      <c r="AC7" s="20" t="inlineStr"/>
      <c r="AD7" s="21">
        <f>COUNTIF(F7:AC7,"X")</f>
        <v/>
      </c>
      <c r="AE7" s="21">
        <f>D7*AD7</f>
        <v/>
      </c>
    </row>
    <row r="8">
      <c r="A8" s="4" t="n">
        <v>4</v>
      </c>
      <c r="B8" s="6" t="inlineStr">
        <is>
          <t>Orden y limpieza en obra</t>
        </is>
      </c>
      <c r="C8" s="6" t="inlineStr">
        <is>
          <t>Todo el personal</t>
        </is>
      </c>
      <c r="D8" s="20" t="n">
        <v>1</v>
      </c>
      <c r="E8" s="4" t="inlineStr">
        <is>
          <t>semestral</t>
        </is>
      </c>
      <c r="F8" s="20" t="inlineStr">
        <is>
          <t>X</t>
        </is>
      </c>
      <c r="G8" s="20" t="inlineStr"/>
      <c r="H8" s="20" t="inlineStr"/>
      <c r="I8" s="20" t="inlineStr"/>
      <c r="J8" s="20" t="inlineStr"/>
      <c r="K8" s="20" t="inlineStr"/>
      <c r="L8" s="20" t="inlineStr">
        <is>
          <t>X</t>
        </is>
      </c>
      <c r="M8" s="20" t="inlineStr"/>
      <c r="N8" s="20" t="inlineStr"/>
      <c r="O8" s="20" t="inlineStr"/>
      <c r="P8" s="20" t="inlineStr"/>
      <c r="Q8" s="20" t="inlineStr"/>
      <c r="R8" s="20" t="inlineStr">
        <is>
          <t>X</t>
        </is>
      </c>
      <c r="S8" s="20" t="inlineStr"/>
      <c r="T8" s="20" t="inlineStr"/>
      <c r="U8" s="20" t="inlineStr"/>
      <c r="V8" s="20" t="inlineStr"/>
      <c r="W8" s="20" t="inlineStr"/>
      <c r="X8" s="20" t="inlineStr">
        <is>
          <t>X</t>
        </is>
      </c>
      <c r="Y8" s="20" t="inlineStr"/>
      <c r="Z8" s="20" t="inlineStr"/>
      <c r="AA8" s="20" t="inlineStr"/>
      <c r="AB8" s="20" t="inlineStr"/>
      <c r="AC8" s="20" t="inlineStr"/>
      <c r="AD8" s="21">
        <f>COUNTIF(F8:AC8,"X")</f>
        <v/>
      </c>
      <c r="AE8" s="21">
        <f>D8*AD8</f>
        <v/>
      </c>
    </row>
    <row r="9">
      <c r="A9" s="4" t="n">
        <v>5</v>
      </c>
      <c r="B9" s="6" t="inlineStr">
        <is>
          <t>Primeros auxilios y evacuación de heridos</t>
        </is>
      </c>
      <c r="C9" s="6" t="inlineStr">
        <is>
          <t>Brigadistas y capataces</t>
        </is>
      </c>
      <c r="D9" s="20" t="n">
        <v>4</v>
      </c>
      <c r="E9" s="4" t="inlineStr">
        <is>
          <t>semestral</t>
        </is>
      </c>
      <c r="F9" s="20" t="inlineStr">
        <is>
          <t>X</t>
        </is>
      </c>
      <c r="G9" s="20" t="inlineStr"/>
      <c r="H9" s="20" t="inlineStr"/>
      <c r="I9" s="20" t="inlineStr"/>
      <c r="J9" s="20" t="inlineStr"/>
      <c r="K9" s="20" t="inlineStr"/>
      <c r="L9" s="20" t="inlineStr">
        <is>
          <t>X</t>
        </is>
      </c>
      <c r="M9" s="20" t="inlineStr"/>
      <c r="N9" s="20" t="inlineStr"/>
      <c r="O9" s="20" t="inlineStr"/>
      <c r="P9" s="20" t="inlineStr"/>
      <c r="Q9" s="20" t="inlineStr"/>
      <c r="R9" s="20" t="inlineStr">
        <is>
          <t>X</t>
        </is>
      </c>
      <c r="S9" s="20" t="inlineStr"/>
      <c r="T9" s="20" t="inlineStr"/>
      <c r="U9" s="20" t="inlineStr"/>
      <c r="V9" s="20" t="inlineStr"/>
      <c r="W9" s="20" t="inlineStr"/>
      <c r="X9" s="20" t="inlineStr">
        <is>
          <t>X</t>
        </is>
      </c>
      <c r="Y9" s="20" t="inlineStr"/>
      <c r="Z9" s="20" t="inlineStr"/>
      <c r="AA9" s="20" t="inlineStr"/>
      <c r="AB9" s="20" t="inlineStr"/>
      <c r="AC9" s="20" t="inlineStr"/>
      <c r="AD9" s="21">
        <f>COUNTIF(F9:AC9,"X")</f>
        <v/>
      </c>
      <c r="AE9" s="21">
        <f>D9*AD9</f>
        <v/>
      </c>
    </row>
    <row r="10">
      <c r="A10" s="4" t="n">
        <v>6</v>
      </c>
      <c r="B10" s="6" t="inlineStr">
        <is>
          <t>Prevención y uso de extintores</t>
        </is>
      </c>
      <c r="C10" s="6" t="inlineStr">
        <is>
          <t>Brigadistas y almaceneros</t>
        </is>
      </c>
      <c r="D10" s="20" t="n">
        <v>2</v>
      </c>
      <c r="E10" s="4" t="inlineStr">
        <is>
          <t>semestral</t>
        </is>
      </c>
      <c r="F10" s="20" t="inlineStr">
        <is>
          <t>X</t>
        </is>
      </c>
      <c r="G10" s="20" t="inlineStr"/>
      <c r="H10" s="20" t="inlineStr"/>
      <c r="I10" s="20" t="inlineStr"/>
      <c r="J10" s="20" t="inlineStr"/>
      <c r="K10" s="20" t="inlineStr"/>
      <c r="L10" s="20" t="inlineStr">
        <is>
          <t>X</t>
        </is>
      </c>
      <c r="M10" s="20" t="inlineStr"/>
      <c r="N10" s="20" t="inlineStr"/>
      <c r="O10" s="20" t="inlineStr"/>
      <c r="P10" s="20" t="inlineStr"/>
      <c r="Q10" s="20" t="inlineStr"/>
      <c r="R10" s="20" t="inlineStr">
        <is>
          <t>X</t>
        </is>
      </c>
      <c r="S10" s="20" t="inlineStr"/>
      <c r="T10" s="20" t="inlineStr"/>
      <c r="U10" s="20" t="inlineStr"/>
      <c r="V10" s="20" t="inlineStr"/>
      <c r="W10" s="20" t="inlineStr"/>
      <c r="X10" s="20" t="inlineStr">
        <is>
          <t>X</t>
        </is>
      </c>
      <c r="Y10" s="20" t="inlineStr"/>
      <c r="Z10" s="20" t="inlineStr"/>
      <c r="AA10" s="20" t="inlineStr"/>
      <c r="AB10" s="20" t="inlineStr"/>
      <c r="AC10" s="20" t="inlineStr"/>
      <c r="AD10" s="21">
        <f>COUNTIF(F10:AC10,"X")</f>
        <v/>
      </c>
      <c r="AE10" s="21">
        <f>D10*AD10</f>
        <v/>
      </c>
    </row>
    <row r="11">
      <c r="A11" s="4" t="n">
        <v>7</v>
      </c>
      <c r="B11" s="6" t="inlineStr">
        <is>
          <t>Plan de respuesta ante emergencias y simulacros</t>
        </is>
      </c>
      <c r="C11" s="6" t="inlineStr">
        <is>
          <t>Todo el personal</t>
        </is>
      </c>
      <c r="D11" s="20" t="n">
        <v>2</v>
      </c>
      <c r="E11" s="4" t="inlineStr">
        <is>
          <t>semestral</t>
        </is>
      </c>
      <c r="F11" s="20" t="inlineStr">
        <is>
          <t>X</t>
        </is>
      </c>
      <c r="G11" s="20" t="inlineStr"/>
      <c r="H11" s="20" t="inlineStr"/>
      <c r="I11" s="20" t="inlineStr"/>
      <c r="J11" s="20" t="inlineStr"/>
      <c r="K11" s="20" t="inlineStr"/>
      <c r="L11" s="20" t="inlineStr">
        <is>
          <t>X</t>
        </is>
      </c>
      <c r="M11" s="20" t="inlineStr"/>
      <c r="N11" s="20" t="inlineStr"/>
      <c r="O11" s="20" t="inlineStr"/>
      <c r="P11" s="20" t="inlineStr"/>
      <c r="Q11" s="20" t="inlineStr"/>
      <c r="R11" s="20" t="inlineStr">
        <is>
          <t>X</t>
        </is>
      </c>
      <c r="S11" s="20" t="inlineStr"/>
      <c r="T11" s="20" t="inlineStr"/>
      <c r="U11" s="20" t="inlineStr"/>
      <c r="V11" s="20" t="inlineStr"/>
      <c r="W11" s="20" t="inlineStr"/>
      <c r="X11" s="20" t="inlineStr">
        <is>
          <t>X</t>
        </is>
      </c>
      <c r="Y11" s="20" t="inlineStr"/>
      <c r="Z11" s="20" t="inlineStr"/>
      <c r="AA11" s="20" t="inlineStr"/>
      <c r="AB11" s="20" t="inlineStr"/>
      <c r="AC11" s="20" t="inlineStr"/>
      <c r="AD11" s="21">
        <f>COUNTIF(F11:AC11,"X")</f>
        <v/>
      </c>
      <c r="AE11" s="21">
        <f>D11*AD11</f>
        <v/>
      </c>
    </row>
    <row r="12">
      <c r="A12" s="4" t="n">
        <v>8</v>
      </c>
      <c r="B12" s="6" t="inlineStr">
        <is>
          <t>Manejo defensivo y reglamento de tránsito</t>
        </is>
      </c>
      <c r="C12" s="6" t="inlineStr">
        <is>
          <t>Choferes y operadores</t>
        </is>
      </c>
      <c r="D12" s="20" t="n">
        <v>4</v>
      </c>
      <c r="E12" s="4" t="inlineStr">
        <is>
          <t>semestral</t>
        </is>
      </c>
      <c r="F12" s="20" t="inlineStr">
        <is>
          <t>X</t>
        </is>
      </c>
      <c r="G12" s="20" t="inlineStr"/>
      <c r="H12" s="20" t="inlineStr"/>
      <c r="I12" s="20" t="inlineStr"/>
      <c r="J12" s="20" t="inlineStr"/>
      <c r="K12" s="20" t="inlineStr"/>
      <c r="L12" s="20" t="inlineStr">
        <is>
          <t>X</t>
        </is>
      </c>
      <c r="M12" s="20" t="inlineStr"/>
      <c r="N12" s="20" t="inlineStr"/>
      <c r="O12" s="20" t="inlineStr"/>
      <c r="P12" s="20" t="inlineStr"/>
      <c r="Q12" s="20" t="inlineStr"/>
      <c r="R12" s="20" t="inlineStr">
        <is>
          <t>X</t>
        </is>
      </c>
      <c r="S12" s="20" t="inlineStr"/>
      <c r="T12" s="20" t="inlineStr"/>
      <c r="U12" s="20" t="inlineStr"/>
      <c r="V12" s="20" t="inlineStr"/>
      <c r="W12" s="20" t="inlineStr"/>
      <c r="X12" s="20" t="inlineStr">
        <is>
          <t>X</t>
        </is>
      </c>
      <c r="Y12" s="20" t="inlineStr"/>
      <c r="Z12" s="20" t="inlineStr"/>
      <c r="AA12" s="20" t="inlineStr"/>
      <c r="AB12" s="20" t="inlineStr"/>
      <c r="AC12" s="20" t="inlineStr"/>
      <c r="AD12" s="21">
        <f>COUNTIF(F12:AC12,"X")</f>
        <v/>
      </c>
      <c r="AE12" s="21">
        <f>D12*AD12</f>
        <v/>
      </c>
    </row>
    <row r="13">
      <c r="A13" s="4" t="n">
        <v>9</v>
      </c>
      <c r="B13" s="6" t="inlineStr">
        <is>
          <t>Ergonomía y levantamiento manual de cargas (R.M. N.° 375-2008-TR)</t>
        </is>
      </c>
      <c r="C13" s="6" t="inlineStr">
        <is>
          <t>Todo el personal</t>
        </is>
      </c>
      <c r="D13" s="20" t="n">
        <v>1</v>
      </c>
      <c r="E13" s="4" t="inlineStr">
        <is>
          <t>semestral</t>
        </is>
      </c>
      <c r="F13" s="20" t="inlineStr">
        <is>
          <t>X</t>
        </is>
      </c>
      <c r="G13" s="20" t="inlineStr"/>
      <c r="H13" s="20" t="inlineStr"/>
      <c r="I13" s="20" t="inlineStr"/>
      <c r="J13" s="20" t="inlineStr"/>
      <c r="K13" s="20" t="inlineStr"/>
      <c r="L13" s="20" t="inlineStr">
        <is>
          <t>X</t>
        </is>
      </c>
      <c r="M13" s="20" t="inlineStr"/>
      <c r="N13" s="20" t="inlineStr"/>
      <c r="O13" s="20" t="inlineStr"/>
      <c r="P13" s="20" t="inlineStr"/>
      <c r="Q13" s="20" t="inlineStr"/>
      <c r="R13" s="20" t="inlineStr">
        <is>
          <t>X</t>
        </is>
      </c>
      <c r="S13" s="20" t="inlineStr"/>
      <c r="T13" s="20" t="inlineStr"/>
      <c r="U13" s="20" t="inlineStr"/>
      <c r="V13" s="20" t="inlineStr"/>
      <c r="W13" s="20" t="inlineStr"/>
      <c r="X13" s="20" t="inlineStr">
        <is>
          <t>X</t>
        </is>
      </c>
      <c r="Y13" s="20" t="inlineStr"/>
      <c r="Z13" s="20" t="inlineStr"/>
      <c r="AA13" s="20" t="inlineStr"/>
      <c r="AB13" s="20" t="inlineStr"/>
      <c r="AC13" s="20" t="inlineStr"/>
      <c r="AD13" s="21">
        <f>COUNTIF(F13:AC13,"X")</f>
        <v/>
      </c>
      <c r="AE13" s="21">
        <f>D13*AD13</f>
        <v/>
      </c>
    </row>
    <row r="14">
      <c r="A14" s="4" t="n">
        <v>10</v>
      </c>
      <c r="B14" s="6" t="inlineStr">
        <is>
          <t>Riesgos psicosociales, hostigamiento sexual y bienestar</t>
        </is>
      </c>
      <c r="C14" s="6" t="inlineStr">
        <is>
          <t>Todo el personal</t>
        </is>
      </c>
      <c r="D14" s="20" t="n">
        <v>1</v>
      </c>
      <c r="E14" s="4" t="inlineStr">
        <is>
          <t>anual</t>
        </is>
      </c>
      <c r="F14" s="20" t="inlineStr">
        <is>
          <t>X</t>
        </is>
      </c>
      <c r="G14" s="20" t="inlineStr"/>
      <c r="H14" s="20" t="inlineStr"/>
      <c r="I14" s="20" t="inlineStr"/>
      <c r="J14" s="20" t="inlineStr"/>
      <c r="K14" s="20" t="inlineStr"/>
      <c r="L14" s="20" t="inlineStr"/>
      <c r="M14" s="20" t="inlineStr"/>
      <c r="N14" s="20" t="inlineStr"/>
      <c r="O14" s="20" t="inlineStr"/>
      <c r="P14" s="20" t="inlineStr"/>
      <c r="Q14" s="20" t="inlineStr"/>
      <c r="R14" s="20" t="inlineStr">
        <is>
          <t>X</t>
        </is>
      </c>
      <c r="S14" s="20" t="inlineStr"/>
      <c r="T14" s="20" t="inlineStr"/>
      <c r="U14" s="20" t="inlineStr"/>
      <c r="V14" s="20" t="inlineStr"/>
      <c r="W14" s="20" t="inlineStr"/>
      <c r="X14" s="20" t="inlineStr"/>
      <c r="Y14" s="20" t="inlineStr"/>
      <c r="Z14" s="20" t="inlineStr"/>
      <c r="AA14" s="20" t="inlineStr"/>
      <c r="AB14" s="20" t="inlineStr"/>
      <c r="AC14" s="20" t="inlineStr"/>
      <c r="AD14" s="21">
        <f>COUNTIF(F14:AC14,"X")</f>
        <v/>
      </c>
      <c r="AE14" s="21">
        <f>D14*AD14</f>
        <v/>
      </c>
    </row>
    <row r="15">
      <c r="A15" s="4" t="n">
        <v>11</v>
      </c>
      <c r="B15" s="6" t="inlineStr">
        <is>
          <t>Investigación de incidentes y accidentes</t>
        </is>
      </c>
      <c r="C15" s="6" t="inlineStr">
        <is>
          <t>Supervisores, capataces y comité</t>
        </is>
      </c>
      <c r="D15" s="20" t="n">
        <v>2</v>
      </c>
      <c r="E15" s="4" t="inlineStr">
        <is>
          <t>anual</t>
        </is>
      </c>
      <c r="F15" s="20" t="inlineStr">
        <is>
          <t>X</t>
        </is>
      </c>
      <c r="G15" s="20" t="inlineStr"/>
      <c r="H15" s="20" t="inlineStr"/>
      <c r="I15" s="20" t="inlineStr"/>
      <c r="J15" s="20" t="inlineStr"/>
      <c r="K15" s="20" t="inlineStr"/>
      <c r="L15" s="20" t="inlineStr"/>
      <c r="M15" s="20" t="inlineStr"/>
      <c r="N15" s="20" t="inlineStr"/>
      <c r="O15" s="20" t="inlineStr"/>
      <c r="P15" s="20" t="inlineStr"/>
      <c r="Q15" s="20" t="inlineStr"/>
      <c r="R15" s="20" t="inlineStr">
        <is>
          <t>X</t>
        </is>
      </c>
      <c r="S15" s="20" t="inlineStr"/>
      <c r="T15" s="20" t="inlineStr"/>
      <c r="U15" s="20" t="inlineStr"/>
      <c r="V15" s="20" t="inlineStr"/>
      <c r="W15" s="20" t="inlineStr"/>
      <c r="X15" s="20" t="inlineStr"/>
      <c r="Y15" s="20" t="inlineStr"/>
      <c r="Z15" s="20" t="inlineStr"/>
      <c r="AA15" s="20" t="inlineStr"/>
      <c r="AB15" s="20" t="inlineStr"/>
      <c r="AC15" s="20" t="inlineStr"/>
      <c r="AD15" s="21">
        <f>COUNTIF(F15:AC15,"X")</f>
        <v/>
      </c>
      <c r="AE15" s="21">
        <f>D15*AD15</f>
        <v/>
      </c>
    </row>
    <row r="16">
      <c r="A16" s="4" t="n">
        <v>12</v>
      </c>
      <c r="B16" s="6" t="inlineStr">
        <is>
          <t>Trabajos en altura y uso del sistema de protección contra caídas</t>
        </is>
      </c>
      <c r="C16" s="6" t="inlineStr">
        <is>
          <t>Personal que trabaja en altura</t>
        </is>
      </c>
      <c r="D16" s="20" t="n">
        <v>4</v>
      </c>
      <c r="E16" s="4" t="inlineStr">
        <is>
          <t>semestral</t>
        </is>
      </c>
      <c r="F16" s="20" t="inlineStr">
        <is>
          <t>X</t>
        </is>
      </c>
      <c r="G16" s="20" t="inlineStr"/>
      <c r="H16" s="20" t="inlineStr"/>
      <c r="I16" s="20" t="inlineStr"/>
      <c r="J16" s="20" t="inlineStr"/>
      <c r="K16" s="20" t="inlineStr"/>
      <c r="L16" s="20" t="inlineStr">
        <is>
          <t>X</t>
        </is>
      </c>
      <c r="M16" s="20" t="inlineStr"/>
      <c r="N16" s="20" t="inlineStr"/>
      <c r="O16" s="20" t="inlineStr"/>
      <c r="P16" s="20" t="inlineStr"/>
      <c r="Q16" s="20" t="inlineStr"/>
      <c r="R16" s="20" t="inlineStr">
        <is>
          <t>X</t>
        </is>
      </c>
      <c r="S16" s="20" t="inlineStr"/>
      <c r="T16" s="20" t="inlineStr"/>
      <c r="U16" s="20" t="inlineStr"/>
      <c r="V16" s="20" t="inlineStr"/>
      <c r="W16" s="20" t="inlineStr"/>
      <c r="X16" s="20" t="inlineStr">
        <is>
          <t>X</t>
        </is>
      </c>
      <c r="Y16" s="20" t="inlineStr"/>
      <c r="Z16" s="20" t="inlineStr"/>
      <c r="AA16" s="20" t="inlineStr"/>
      <c r="AB16" s="20" t="inlineStr"/>
      <c r="AC16" s="20" t="inlineStr"/>
      <c r="AD16" s="21">
        <f>COUNTIF(F16:AC16,"X")</f>
        <v/>
      </c>
      <c r="AE16" s="21">
        <f>D16*AD16</f>
        <v/>
      </c>
    </row>
    <row r="17">
      <c r="A17" s="4" t="n">
        <v>13</v>
      </c>
      <c r="B17" s="6" t="inlineStr">
        <is>
          <t>Manipulación de explosivos y voladura controlada</t>
        </is>
      </c>
      <c r="C17" s="6" t="inlineStr">
        <is>
          <t>Perforistas y disparadores autorizados</t>
        </is>
      </c>
      <c r="D17" s="20" t="n">
        <v>4</v>
      </c>
      <c r="E17" s="4" t="inlineStr">
        <is>
          <t>semestral</t>
        </is>
      </c>
      <c r="F17" s="20" t="inlineStr">
        <is>
          <t>X</t>
        </is>
      </c>
      <c r="G17" s="20" t="inlineStr"/>
      <c r="H17" s="20" t="inlineStr"/>
      <c r="I17" s="20" t="inlineStr"/>
      <c r="J17" s="20" t="inlineStr"/>
      <c r="K17" s="20" t="inlineStr"/>
      <c r="L17" s="20" t="inlineStr">
        <is>
          <t>X</t>
        </is>
      </c>
      <c r="M17" s="20" t="inlineStr"/>
      <c r="N17" s="20" t="inlineStr"/>
      <c r="O17" s="20" t="inlineStr"/>
      <c r="P17" s="20" t="inlineStr"/>
      <c r="Q17" s="20" t="inlineStr"/>
      <c r="R17" s="20" t="inlineStr">
        <is>
          <t>X</t>
        </is>
      </c>
      <c r="S17" s="20" t="inlineStr"/>
      <c r="T17" s="20" t="inlineStr"/>
      <c r="U17" s="20" t="inlineStr"/>
      <c r="V17" s="20" t="inlineStr"/>
      <c r="W17" s="20" t="inlineStr"/>
      <c r="X17" s="20" t="inlineStr">
        <is>
          <t>X</t>
        </is>
      </c>
      <c r="Y17" s="20" t="inlineStr"/>
      <c r="Z17" s="20" t="inlineStr"/>
      <c r="AA17" s="20" t="inlineStr"/>
      <c r="AB17" s="20" t="inlineStr"/>
      <c r="AC17" s="20" t="inlineStr"/>
      <c r="AD17" s="21">
        <f>COUNTIF(F17:AC17,"X")</f>
        <v/>
      </c>
      <c r="AE17" s="21">
        <f>D17*AD17</f>
        <v/>
      </c>
    </row>
    <row r="18">
      <c r="A18" s="4" t="n">
        <v>14</v>
      </c>
      <c r="B18" s="6" t="inlineStr">
        <is>
          <t>Excavaciones y zanjas: taludes, entibados y PETAR</t>
        </is>
      </c>
      <c r="C18" s="6" t="inlineStr">
        <is>
          <t>Personal de excavaciones</t>
        </is>
      </c>
      <c r="D18" s="20" t="n">
        <v>2</v>
      </c>
      <c r="E18" s="4" t="inlineStr">
        <is>
          <t>semestral</t>
        </is>
      </c>
      <c r="F18" s="20" t="inlineStr">
        <is>
          <t>X</t>
        </is>
      </c>
      <c r="G18" s="20" t="inlineStr"/>
      <c r="H18" s="20" t="inlineStr"/>
      <c r="I18" s="20" t="inlineStr"/>
      <c r="J18" s="20" t="inlineStr"/>
      <c r="K18" s="20" t="inlineStr"/>
      <c r="L18" s="20" t="inlineStr">
        <is>
          <t>X</t>
        </is>
      </c>
      <c r="M18" s="20" t="inlineStr"/>
      <c r="N18" s="20" t="inlineStr"/>
      <c r="O18" s="20" t="inlineStr"/>
      <c r="P18" s="20" t="inlineStr"/>
      <c r="Q18" s="20" t="inlineStr"/>
      <c r="R18" s="20" t="inlineStr">
        <is>
          <t>X</t>
        </is>
      </c>
      <c r="S18" s="20" t="inlineStr"/>
      <c r="T18" s="20" t="inlineStr"/>
      <c r="U18" s="20" t="inlineStr"/>
      <c r="V18" s="20" t="inlineStr"/>
      <c r="W18" s="20" t="inlineStr"/>
      <c r="X18" s="20" t="inlineStr">
        <is>
          <t>X</t>
        </is>
      </c>
      <c r="Y18" s="20" t="inlineStr"/>
      <c r="Z18" s="20" t="inlineStr"/>
      <c r="AA18" s="20" t="inlineStr"/>
      <c r="AB18" s="20" t="inlineStr"/>
      <c r="AC18" s="20" t="inlineStr"/>
      <c r="AD18" s="21">
        <f>COUNTIF(F18:AC18,"X")</f>
        <v/>
      </c>
      <c r="AE18" s="21">
        <f>D18*AD18</f>
        <v/>
      </c>
    </row>
    <row r="19">
      <c r="A19" s="4" t="n">
        <v>15</v>
      </c>
      <c r="B19" s="6" t="inlineStr">
        <is>
          <t>Trabajos en cauces y rescate acuático básico</t>
        </is>
      </c>
      <c r="C19" s="6" t="inlineStr">
        <is>
          <t>Personal que trabaja sobre o junto a cauces</t>
        </is>
      </c>
      <c r="D19" s="20" t="n">
        <v>2</v>
      </c>
      <c r="E19" s="4" t="inlineStr">
        <is>
          <t>semestral</t>
        </is>
      </c>
      <c r="F19" s="20" t="inlineStr">
        <is>
          <t>X</t>
        </is>
      </c>
      <c r="G19" s="20" t="inlineStr"/>
      <c r="H19" s="20" t="inlineStr"/>
      <c r="I19" s="20" t="inlineStr"/>
      <c r="J19" s="20" t="inlineStr"/>
      <c r="K19" s="20" t="inlineStr"/>
      <c r="L19" s="20" t="inlineStr">
        <is>
          <t>X</t>
        </is>
      </c>
      <c r="M19" s="20" t="inlineStr"/>
      <c r="N19" s="20" t="inlineStr"/>
      <c r="O19" s="20" t="inlineStr"/>
      <c r="P19" s="20" t="inlineStr"/>
      <c r="Q19" s="20" t="inlineStr"/>
      <c r="R19" s="20" t="inlineStr">
        <is>
          <t>X</t>
        </is>
      </c>
      <c r="S19" s="20" t="inlineStr"/>
      <c r="T19" s="20" t="inlineStr"/>
      <c r="U19" s="20" t="inlineStr"/>
      <c r="V19" s="20" t="inlineStr"/>
      <c r="W19" s="20" t="inlineStr"/>
      <c r="X19" s="20" t="inlineStr">
        <is>
          <t>X</t>
        </is>
      </c>
      <c r="Y19" s="20" t="inlineStr"/>
      <c r="Z19" s="20" t="inlineStr"/>
      <c r="AA19" s="20" t="inlineStr"/>
      <c r="AB19" s="20" t="inlineStr"/>
      <c r="AC19" s="20" t="inlineStr"/>
      <c r="AD19" s="21">
        <f>COUNTIF(F19:AC19,"X")</f>
        <v/>
      </c>
      <c r="AE19" s="21">
        <f>D19*AD19</f>
        <v/>
      </c>
    </row>
    <row r="20">
      <c r="A20" s="4" t="n">
        <v>16</v>
      </c>
      <c r="B20" s="6" t="inlineStr">
        <is>
          <t>Izaje de cargas, señales al operador y aparejos</t>
        </is>
      </c>
      <c r="C20" s="6" t="inlineStr">
        <is>
          <t>Riggers, operadores de grúa y montajistas</t>
        </is>
      </c>
      <c r="D20" s="20" t="n">
        <v>4</v>
      </c>
      <c r="E20" s="4" t="inlineStr">
        <is>
          <t>semestral</t>
        </is>
      </c>
      <c r="F20" s="20" t="inlineStr">
        <is>
          <t>X</t>
        </is>
      </c>
      <c r="G20" s="20" t="inlineStr"/>
      <c r="H20" s="20" t="inlineStr"/>
      <c r="I20" s="20" t="inlineStr"/>
      <c r="J20" s="20" t="inlineStr"/>
      <c r="K20" s="20" t="inlineStr"/>
      <c r="L20" s="20" t="inlineStr">
        <is>
          <t>X</t>
        </is>
      </c>
      <c r="M20" s="20" t="inlineStr"/>
      <c r="N20" s="20" t="inlineStr"/>
      <c r="O20" s="20" t="inlineStr"/>
      <c r="P20" s="20" t="inlineStr"/>
      <c r="Q20" s="20" t="inlineStr"/>
      <c r="R20" s="20" t="inlineStr">
        <is>
          <t>X</t>
        </is>
      </c>
      <c r="S20" s="20" t="inlineStr"/>
      <c r="T20" s="20" t="inlineStr"/>
      <c r="U20" s="20" t="inlineStr"/>
      <c r="V20" s="20" t="inlineStr"/>
      <c r="W20" s="20" t="inlineStr"/>
      <c r="X20" s="20" t="inlineStr">
        <is>
          <t>X</t>
        </is>
      </c>
      <c r="Y20" s="20" t="inlineStr"/>
      <c r="Z20" s="20" t="inlineStr"/>
      <c r="AA20" s="20" t="inlineStr"/>
      <c r="AB20" s="20" t="inlineStr"/>
      <c r="AC20" s="20" t="inlineStr"/>
      <c r="AD20" s="21">
        <f>COUNTIF(F20:AC20,"X")</f>
        <v/>
      </c>
      <c r="AE20" s="21">
        <f>D20*AD20</f>
        <v/>
      </c>
    </row>
    <row r="21">
      <c r="A21" s="4" t="n">
        <v>17</v>
      </c>
      <c r="B21" s="6" t="inlineStr">
        <is>
          <t>Trabajos en caliente y prevención de incendios</t>
        </is>
      </c>
      <c r="C21" s="6" t="inlineStr">
        <is>
          <t>Soldadores, asfaltadores y vigías</t>
        </is>
      </c>
      <c r="D21" s="20" t="n">
        <v>2</v>
      </c>
      <c r="E21" s="4" t="inlineStr">
        <is>
          <t>semestral</t>
        </is>
      </c>
      <c r="F21" s="20" t="inlineStr">
        <is>
          <t>X</t>
        </is>
      </c>
      <c r="G21" s="20" t="inlineStr"/>
      <c r="H21" s="20" t="inlineStr"/>
      <c r="I21" s="20" t="inlineStr"/>
      <c r="J21" s="20" t="inlineStr"/>
      <c r="K21" s="20" t="inlineStr"/>
      <c r="L21" s="20" t="inlineStr">
        <is>
          <t>X</t>
        </is>
      </c>
      <c r="M21" s="20" t="inlineStr"/>
      <c r="N21" s="20" t="inlineStr"/>
      <c r="O21" s="20" t="inlineStr"/>
      <c r="P21" s="20" t="inlineStr"/>
      <c r="Q21" s="20" t="inlineStr"/>
      <c r="R21" s="20" t="inlineStr">
        <is>
          <t>X</t>
        </is>
      </c>
      <c r="S21" s="20" t="inlineStr"/>
      <c r="T21" s="20" t="inlineStr"/>
      <c r="U21" s="20" t="inlineStr"/>
      <c r="V21" s="20" t="inlineStr"/>
      <c r="W21" s="20" t="inlineStr"/>
      <c r="X21" s="20" t="inlineStr">
        <is>
          <t>X</t>
        </is>
      </c>
      <c r="Y21" s="20" t="inlineStr"/>
      <c r="Z21" s="20" t="inlineStr"/>
      <c r="AA21" s="20" t="inlineStr"/>
      <c r="AB21" s="20" t="inlineStr"/>
      <c r="AC21" s="20" t="inlineStr"/>
      <c r="AD21" s="21">
        <f>COUNTIF(F21:AC21,"X")</f>
        <v/>
      </c>
      <c r="AE21" s="21">
        <f>D21*AD21</f>
        <v/>
      </c>
    </row>
    <row r="22">
      <c r="A22" s="4" t="n">
        <v>18</v>
      </c>
      <c r="B22" s="6" t="inlineStr">
        <is>
          <t>Riesgo eléctrico, bloqueo y etiquetado (LOTO)</t>
        </is>
      </c>
      <c r="C22" s="6" t="inlineStr">
        <is>
          <t>Electricistas y personal autorizado</t>
        </is>
      </c>
      <c r="D22" s="20" t="n">
        <v>4</v>
      </c>
      <c r="E22" s="4" t="inlineStr">
        <is>
          <t>semestral</t>
        </is>
      </c>
      <c r="F22" s="20" t="inlineStr">
        <is>
          <t>X</t>
        </is>
      </c>
      <c r="G22" s="20" t="inlineStr"/>
      <c r="H22" s="20" t="inlineStr"/>
      <c r="I22" s="20" t="inlineStr"/>
      <c r="J22" s="20" t="inlineStr"/>
      <c r="K22" s="20" t="inlineStr"/>
      <c r="L22" s="20" t="inlineStr">
        <is>
          <t>X</t>
        </is>
      </c>
      <c r="M22" s="20" t="inlineStr"/>
      <c r="N22" s="20" t="inlineStr"/>
      <c r="O22" s="20" t="inlineStr"/>
      <c r="P22" s="20" t="inlineStr"/>
      <c r="Q22" s="20" t="inlineStr"/>
      <c r="R22" s="20" t="inlineStr">
        <is>
          <t>X</t>
        </is>
      </c>
      <c r="S22" s="20" t="inlineStr"/>
      <c r="T22" s="20" t="inlineStr"/>
      <c r="U22" s="20" t="inlineStr"/>
      <c r="V22" s="20" t="inlineStr"/>
      <c r="W22" s="20" t="inlineStr"/>
      <c r="X22" s="20" t="inlineStr">
        <is>
          <t>X</t>
        </is>
      </c>
      <c r="Y22" s="20" t="inlineStr"/>
      <c r="Z22" s="20" t="inlineStr"/>
      <c r="AA22" s="20" t="inlineStr"/>
      <c r="AB22" s="20" t="inlineStr"/>
      <c r="AC22" s="20" t="inlineStr"/>
      <c r="AD22" s="21">
        <f>COUNTIF(F22:AC22,"X")</f>
        <v/>
      </c>
      <c r="AE22" s="21">
        <f>D22*AD22</f>
        <v/>
      </c>
    </row>
    <row r="23">
      <c r="A23" s="4" t="n">
        <v>19</v>
      </c>
      <c r="B23" s="6" t="inlineStr">
        <is>
          <t>Prevención de mordeduras de ofidios, picaduras y enfermedades metaxénicas</t>
        </is>
      </c>
      <c r="C23" s="6" t="inlineStr">
        <is>
          <t>Todo el personal</t>
        </is>
      </c>
      <c r="D23" s="20" t="n">
        <v>1</v>
      </c>
      <c r="E23" s="4" t="inlineStr">
        <is>
          <t>semestral</t>
        </is>
      </c>
      <c r="F23" s="20" t="inlineStr">
        <is>
          <t>X</t>
        </is>
      </c>
      <c r="G23" s="20" t="inlineStr"/>
      <c r="H23" s="20" t="inlineStr"/>
      <c r="I23" s="20" t="inlineStr"/>
      <c r="J23" s="20" t="inlineStr"/>
      <c r="K23" s="20" t="inlineStr"/>
      <c r="L23" s="20" t="inlineStr">
        <is>
          <t>X</t>
        </is>
      </c>
      <c r="M23" s="20" t="inlineStr"/>
      <c r="N23" s="20" t="inlineStr"/>
      <c r="O23" s="20" t="inlineStr"/>
      <c r="P23" s="20" t="inlineStr"/>
      <c r="Q23" s="20" t="inlineStr"/>
      <c r="R23" s="20" t="inlineStr">
        <is>
          <t>X</t>
        </is>
      </c>
      <c r="S23" s="20" t="inlineStr"/>
      <c r="T23" s="20" t="inlineStr"/>
      <c r="U23" s="20" t="inlineStr"/>
      <c r="V23" s="20" t="inlineStr"/>
      <c r="W23" s="20" t="inlineStr"/>
      <c r="X23" s="20" t="inlineStr">
        <is>
          <t>X</t>
        </is>
      </c>
      <c r="Y23" s="20" t="inlineStr"/>
      <c r="Z23" s="20" t="inlineStr"/>
      <c r="AA23" s="20" t="inlineStr"/>
      <c r="AB23" s="20" t="inlineStr"/>
      <c r="AC23" s="20" t="inlineStr"/>
      <c r="AD23" s="21">
        <f>COUNTIF(F23:AC23,"X")</f>
        <v/>
      </c>
      <c r="AE23" s="21">
        <f>D23*AD23</f>
        <v/>
      </c>
    </row>
    <row r="24">
      <c r="A24" s="4" t="n">
        <v>20</v>
      </c>
      <c r="B24" s="6" t="inlineStr">
        <is>
          <t>Operación segura de maquinaria pesada, puntos ciegos y señales con el vigía</t>
        </is>
      </c>
      <c r="C24" s="6" t="inlineStr">
        <is>
          <t>Operadores, choferes y vigías</t>
        </is>
      </c>
      <c r="D24" s="20" t="n">
        <v>2</v>
      </c>
      <c r="E24" s="4" t="inlineStr">
        <is>
          <t>semestral</t>
        </is>
      </c>
      <c r="F24" s="20" t="inlineStr">
        <is>
          <t>X</t>
        </is>
      </c>
      <c r="G24" s="20" t="inlineStr"/>
      <c r="H24" s="20" t="inlineStr"/>
      <c r="I24" s="20" t="inlineStr"/>
      <c r="J24" s="20" t="inlineStr"/>
      <c r="K24" s="20" t="inlineStr"/>
      <c r="L24" s="20" t="inlineStr">
        <is>
          <t>X</t>
        </is>
      </c>
      <c r="M24" s="20" t="inlineStr"/>
      <c r="N24" s="20" t="inlineStr"/>
      <c r="O24" s="20" t="inlineStr"/>
      <c r="P24" s="20" t="inlineStr"/>
      <c r="Q24" s="20" t="inlineStr"/>
      <c r="R24" s="20" t="inlineStr">
        <is>
          <t>X</t>
        </is>
      </c>
      <c r="S24" s="20" t="inlineStr"/>
      <c r="T24" s="20" t="inlineStr"/>
      <c r="U24" s="20" t="inlineStr"/>
      <c r="V24" s="20" t="inlineStr"/>
      <c r="W24" s="20" t="inlineStr"/>
      <c r="X24" s="20" t="inlineStr">
        <is>
          <t>X</t>
        </is>
      </c>
      <c r="Y24" s="20" t="inlineStr"/>
      <c r="Z24" s="20" t="inlineStr"/>
      <c r="AA24" s="20" t="inlineStr"/>
      <c r="AB24" s="20" t="inlineStr"/>
      <c r="AC24" s="20" t="inlineStr"/>
      <c r="AD24" s="21">
        <f>COUNTIF(F24:AC24,"X")</f>
        <v/>
      </c>
      <c r="AE24" s="21">
        <f>D24*AD24</f>
        <v/>
      </c>
    </row>
    <row r="25">
      <c r="A25" s="4" t="n">
        <v>21</v>
      </c>
      <c r="B25" s="6" t="inlineStr">
        <is>
          <t>Control de tránsito en zona de trabajo (Manual de Dispositivos de Control del Tránsito del MTC)</t>
        </is>
      </c>
      <c r="C25" s="6" t="inlineStr">
        <is>
          <t>Controladores de tránsito y capataces</t>
        </is>
      </c>
      <c r="D25" s="20" t="n">
        <v>2</v>
      </c>
      <c r="E25" s="4" t="inlineStr">
        <is>
          <t>semestral</t>
        </is>
      </c>
      <c r="F25" s="20" t="inlineStr">
        <is>
          <t>X</t>
        </is>
      </c>
      <c r="G25" s="20" t="inlineStr"/>
      <c r="H25" s="20" t="inlineStr"/>
      <c r="I25" s="20" t="inlineStr"/>
      <c r="J25" s="20" t="inlineStr"/>
      <c r="K25" s="20" t="inlineStr"/>
      <c r="L25" s="20" t="inlineStr">
        <is>
          <t>X</t>
        </is>
      </c>
      <c r="M25" s="20" t="inlineStr"/>
      <c r="N25" s="20" t="inlineStr"/>
      <c r="O25" s="20" t="inlineStr"/>
      <c r="P25" s="20" t="inlineStr"/>
      <c r="Q25" s="20" t="inlineStr"/>
      <c r="R25" s="20" t="inlineStr">
        <is>
          <t>X</t>
        </is>
      </c>
      <c r="S25" s="20" t="inlineStr"/>
      <c r="T25" s="20" t="inlineStr"/>
      <c r="U25" s="20" t="inlineStr"/>
      <c r="V25" s="20" t="inlineStr"/>
      <c r="W25" s="20" t="inlineStr"/>
      <c r="X25" s="20" t="inlineStr">
        <is>
          <t>X</t>
        </is>
      </c>
      <c r="Y25" s="20" t="inlineStr"/>
      <c r="Z25" s="20" t="inlineStr"/>
      <c r="AA25" s="20" t="inlineStr"/>
      <c r="AB25" s="20" t="inlineStr"/>
      <c r="AC25" s="20" t="inlineStr"/>
      <c r="AD25" s="21">
        <f>COUNTIF(F25:AC25,"X")</f>
        <v/>
      </c>
      <c r="AE25" s="21">
        <f>D25*AD25</f>
        <v/>
      </c>
    </row>
  </sheetData>
  <mergeCells count="2">
    <mergeCell ref="A2:AD2"/>
    <mergeCell ref="A1:AD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8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60" customWidth="1" min="2" max="2"/>
    <col width="40" customWidth="1" min="3" max="3"/>
    <col width="28" customWidth="1" min="4" max="4"/>
  </cols>
  <sheetData>
    <row r="1">
      <c r="A1" s="1" t="inlineStr">
        <is>
          <t>PROGRAMA DE INSPECCIONES DE SST</t>
        </is>
      </c>
    </row>
    <row r="2" ht="24" customHeight="1">
      <c r="A2" s="2" t="inlineStr">
        <is>
          <t>MEJORAMIENTO DEL SERVICIO DE TRANSITABILIDAD VIAL INTERURBANA EN LA VÍA DEPARTAMENTAL SM-107, TRAMO TINGO DE PONASA - SHAMBOYACU, DISTRITO DE SHAMBOYACU, PROVINCIA DE PICOTA, DEPARTAMENTO DE SAN MARTÍN - CUI N.° 2673852</t>
        </is>
      </c>
    </row>
    <row r="4">
      <c r="A4" s="3" t="inlineStr">
        <is>
          <t>N.°</t>
        </is>
      </c>
      <c r="B4" s="3" t="inlineStr">
        <is>
          <t>INSPECCIÓN</t>
        </is>
      </c>
      <c r="C4" s="3" t="inlineStr">
        <is>
          <t>RESPONSABLE</t>
        </is>
      </c>
      <c r="D4" s="3" t="inlineStr">
        <is>
          <t>FRECUENCIA</t>
        </is>
      </c>
    </row>
    <row r="5">
      <c r="A5" s="4" t="n">
        <v>1</v>
      </c>
      <c r="B5" s="6" t="inlineStr">
        <is>
          <t>Pre-uso de maquinaria y vehículos (check-list)</t>
        </is>
      </c>
      <c r="C5" s="6" t="inlineStr">
        <is>
          <t>Operador / chofer</t>
        </is>
      </c>
      <c r="D5" s="4" t="inlineStr">
        <is>
          <t>Diaria</t>
        </is>
      </c>
    </row>
    <row r="6">
      <c r="A6" s="4" t="n">
        <v>2</v>
      </c>
      <c r="B6" s="6" t="inlineStr">
        <is>
          <t>Frentes de trabajo: orden, señalización y cumplimiento del ATS</t>
        </is>
      </c>
      <c r="C6" s="6" t="inlineStr">
        <is>
          <t>Supervisor de SST / capataz</t>
        </is>
      </c>
      <c r="D6" s="4" t="inlineStr">
        <is>
          <t>Diaria</t>
        </is>
      </c>
    </row>
    <row r="7">
      <c r="A7" s="4" t="n">
        <v>3</v>
      </c>
      <c r="B7" s="6" t="inlineStr">
        <is>
          <t>Herramientas manuales y eléctricas (cinta de color del mes)</t>
        </is>
      </c>
      <c r="C7" s="6" t="inlineStr">
        <is>
          <t>Capataz</t>
        </is>
      </c>
      <c r="D7" s="4" t="inlineStr">
        <is>
          <t>Mensual</t>
        </is>
      </c>
    </row>
    <row r="8">
      <c r="A8" s="4" t="n">
        <v>4</v>
      </c>
      <c r="B8" s="6" t="inlineStr">
        <is>
          <t>Equipos de protección personal</t>
        </is>
      </c>
      <c r="C8" s="6" t="inlineStr">
        <is>
          <t>Supervisor de SST</t>
        </is>
      </c>
      <c r="D8" s="4" t="inlineStr">
        <is>
          <t>Mensual</t>
        </is>
      </c>
    </row>
    <row r="9">
      <c r="A9" s="4" t="n">
        <v>5</v>
      </c>
      <c r="B9" s="6" t="inlineStr">
        <is>
          <t>Extintores, botiquines y camilla</t>
        </is>
      </c>
      <c r="C9" s="6" t="inlineStr">
        <is>
          <t>Supervisor de SST / brigadas</t>
        </is>
      </c>
      <c r="D9" s="4" t="inlineStr">
        <is>
          <t>Mensual</t>
        </is>
      </c>
    </row>
    <row r="10">
      <c r="A10" s="4" t="n">
        <v>6</v>
      </c>
      <c r="B10" s="6" t="inlineStr">
        <is>
          <t>Campamento, almacenes, comedor y servicios higiénicos</t>
        </is>
      </c>
      <c r="C10" s="6" t="inlineStr">
        <is>
          <t>Supervisor de SST / administración</t>
        </is>
      </c>
      <c r="D10" s="4" t="inlineStr">
        <is>
          <t>Mensual</t>
        </is>
      </c>
    </row>
    <row r="11">
      <c r="A11" s="4" t="n">
        <v>7</v>
      </c>
      <c r="B11" s="6" t="inlineStr">
        <is>
          <t>Instalaciones eléctricas provisionales y tableros</t>
        </is>
      </c>
      <c r="C11" s="6" t="inlineStr">
        <is>
          <t>Electricista</t>
        </is>
      </c>
      <c r="D11" s="4" t="inlineStr">
        <is>
          <t>Mensual</t>
        </is>
      </c>
    </row>
    <row r="12">
      <c r="A12" s="4" t="n">
        <v>8</v>
      </c>
      <c r="B12" s="6" t="inlineStr">
        <is>
          <t>Inspección planeada general de la obra con el comité</t>
        </is>
      </c>
      <c r="C12" s="6" t="inlineStr">
        <is>
          <t>Comité o supervisor de SST</t>
        </is>
      </c>
      <c r="D12" s="4" t="inlineStr">
        <is>
          <t>Mensual</t>
        </is>
      </c>
    </row>
    <row r="13">
      <c r="A13" s="4" t="n">
        <v>9</v>
      </c>
      <c r="B13" s="6" t="inlineStr">
        <is>
          <t>Almacén de combustibles y materiales peligrosos</t>
        </is>
      </c>
      <c r="C13" s="6" t="inlineStr">
        <is>
          <t>Almacenero / supervisor de SST</t>
        </is>
      </c>
      <c r="D13" s="4" t="inlineStr">
        <is>
          <t>Semanal</t>
        </is>
      </c>
    </row>
    <row r="14">
      <c r="A14" s="4" t="n">
        <v>10</v>
      </c>
      <c r="B14" s="6" t="inlineStr">
        <is>
          <t>Andamios, escaleras, líneas de vida y arneses</t>
        </is>
      </c>
      <c r="C14" s="6" t="inlineStr">
        <is>
          <t>Supervisor de SST</t>
        </is>
      </c>
      <c r="D14" s="4" t="inlineStr">
        <is>
          <t>Diaria (tarjeta) / semanal</t>
        </is>
      </c>
    </row>
    <row r="15">
      <c r="A15" s="4" t="n">
        <v>11</v>
      </c>
      <c r="B15" s="6" t="inlineStr">
        <is>
          <t>Excavaciones, taludes y entibados</t>
        </is>
      </c>
      <c r="C15" s="6" t="inlineStr">
        <is>
          <t>Persona competente designada</t>
        </is>
      </c>
      <c r="D15" s="4" t="inlineStr">
        <is>
          <t>Diaria y después de lluvias</t>
        </is>
      </c>
    </row>
    <row r="16">
      <c r="A16" s="4" t="n">
        <v>12</v>
      </c>
      <c r="B16" s="6" t="inlineStr">
        <is>
          <t>Grúas, aparejos y accesorios de izaje</t>
        </is>
      </c>
      <c r="C16" s="6" t="inlineStr">
        <is>
          <t>Rigger / operador</t>
        </is>
      </c>
      <c r="D16" s="4" t="inlineStr">
        <is>
          <t>Antes de cada izaje</t>
        </is>
      </c>
    </row>
    <row r="17">
      <c r="A17" s="4" t="n">
        <v>13</v>
      </c>
      <c r="B17" s="6" t="inlineStr">
        <is>
          <t>Equipos de rescate acuático y nivel de los cauces</t>
        </is>
      </c>
      <c r="C17" s="6" t="inlineStr">
        <is>
          <t>Supervisor de SST</t>
        </is>
      </c>
      <c r="D17" s="4" t="inlineStr">
        <is>
          <t>Diaria en temporada de lluvias</t>
        </is>
      </c>
    </row>
    <row r="18">
      <c r="A18" s="4" t="n">
        <v>14</v>
      </c>
      <c r="B18" s="6" t="inlineStr">
        <is>
          <t>Dispositivos de control de tránsito y desvíos</t>
        </is>
      </c>
      <c r="C18" s="6" t="inlineStr">
        <is>
          <t>Supervisor de SST / responsable de tránsito</t>
        </is>
      </c>
      <c r="D18" s="4" t="inlineStr">
        <is>
          <t>Diaria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3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60" customWidth="1" min="3" max="3"/>
    <col width="30" customWidth="1" min="4" max="4"/>
  </cols>
  <sheetData>
    <row r="1">
      <c r="A1" s="1" t="inlineStr">
        <is>
          <t>MONITOREO DE AGENTES OCUPACIONALES</t>
        </is>
      </c>
    </row>
    <row r="2" ht="24" customHeight="1">
      <c r="A2" s="2" t="inlineStr">
        <is>
          <t>Según los peligros de salud ocupacional del IPERC</t>
        </is>
      </c>
    </row>
    <row r="4">
      <c r="A4" s="3" t="inlineStr">
        <is>
          <t>N.°</t>
        </is>
      </c>
      <c r="B4" s="3" t="inlineStr">
        <is>
          <t>AGENTE</t>
        </is>
      </c>
      <c r="C4" s="3" t="inlineStr">
        <is>
          <t>MÉTODO</t>
        </is>
      </c>
      <c r="D4" s="3" t="inlineStr">
        <is>
          <t>FRECUENCIA</t>
        </is>
      </c>
    </row>
    <row r="5">
      <c r="A5" s="4" t="n">
        <v>1</v>
      </c>
      <c r="B5" s="6" t="inlineStr">
        <is>
          <t>Ruido</t>
        </is>
      </c>
      <c r="C5" s="6" t="inlineStr">
        <is>
          <t>Dosimetría de ruido por puesto (TLV 85 dB(A) para 8 h)</t>
        </is>
      </c>
      <c r="D5" s="4" t="inlineStr">
        <is>
          <t>Semestral</t>
        </is>
      </c>
    </row>
    <row r="6">
      <c r="A6" s="4" t="n">
        <v>2</v>
      </c>
      <c r="B6" s="6" t="inlineStr">
        <is>
          <t>Polvo inhalable y respirable</t>
        </is>
      </c>
      <c r="C6" s="6" t="inlineStr">
        <is>
          <t>Muestreo gravimétrico personal</t>
        </is>
      </c>
      <c r="D6" s="4" t="inlineStr">
        <is>
          <t>Semestral</t>
        </is>
      </c>
    </row>
    <row r="7">
      <c r="A7" s="4" t="n">
        <v>3</v>
      </c>
      <c r="B7" s="6" t="inlineStr">
        <is>
          <t>Sílice cristalina respirable</t>
        </is>
      </c>
      <c r="C7" s="6" t="inlineStr">
        <is>
          <t>Muestreo personal y análisis de laboratorio</t>
        </is>
      </c>
      <c r="D7" s="4" t="inlineStr">
        <is>
          <t>Semestral</t>
        </is>
      </c>
    </row>
    <row r="8">
      <c r="A8" s="4" t="n">
        <v>4</v>
      </c>
      <c r="B8" s="6" t="inlineStr">
        <is>
          <t>Vibración mano-brazo y cuerpo entero</t>
        </is>
      </c>
      <c r="C8" s="6" t="inlineStr">
        <is>
          <t>Medición con acelerómetro (ISO 5349 / ISO 2631)</t>
        </is>
      </c>
      <c r="D8" s="4" t="inlineStr">
        <is>
          <t>Anual</t>
        </is>
      </c>
    </row>
    <row r="9">
      <c r="A9" s="4" t="n">
        <v>5</v>
      </c>
      <c r="B9" s="6" t="inlineStr">
        <is>
          <t>Estrés térmico</t>
        </is>
      </c>
      <c r="C9" s="6" t="inlineStr">
        <is>
          <t>Índice WBGT en frentes a campo abierto</t>
        </is>
      </c>
      <c r="D9" s="4" t="inlineStr">
        <is>
          <t>En época de mayor temperatura</t>
        </is>
      </c>
    </row>
    <row r="10">
      <c r="A10" s="4" t="n">
        <v>6</v>
      </c>
      <c r="B10" s="6" t="inlineStr">
        <is>
          <t>Vapores orgánicos y humos de asfalto</t>
        </is>
      </c>
      <c r="C10" s="6" t="inlineStr">
        <is>
          <t>Muestreo personal con tubos adsorbentes</t>
        </is>
      </c>
      <c r="D10" s="4" t="inlineStr">
        <is>
          <t>Semestral</t>
        </is>
      </c>
    </row>
    <row r="11">
      <c r="A11" s="4" t="n">
        <v>7</v>
      </c>
      <c r="B11" s="6" t="inlineStr">
        <is>
          <t>Monóxido de carbono</t>
        </is>
      </c>
      <c r="C11" s="6" t="inlineStr">
        <is>
          <t>Detector de gases de lectura directa</t>
        </is>
      </c>
      <c r="D11" s="4" t="inlineStr">
        <is>
          <t>Antes de cada tarea con motobombas</t>
        </is>
      </c>
    </row>
    <row r="12">
      <c r="A12" s="4" t="n">
        <v>8</v>
      </c>
      <c r="B12" s="6" t="inlineStr">
        <is>
          <t>Radiación ultravioleta solar</t>
        </is>
      </c>
      <c r="C12" s="6" t="inlineStr">
        <is>
          <t>Índice UV del SENAMHI y control de exposición</t>
        </is>
      </c>
      <c r="D12" s="4" t="inlineStr">
        <is>
          <t>Diaria</t>
        </is>
      </c>
    </row>
    <row r="13">
      <c r="A13" s="4" t="n">
        <v>9</v>
      </c>
      <c r="B13" s="6" t="inlineStr">
        <is>
          <t>Factores ergonómicos (manipulación de cargas y posturas)</t>
        </is>
      </c>
      <c r="C13" s="6" t="inlineStr">
        <is>
          <t>Evaluación ergonómica (R.M. N.° 375-2008-TR)</t>
        </is>
      </c>
      <c r="D13" s="4" t="inlineStr">
        <is>
          <t>Anual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31"/>
  <sheetViews>
    <sheetView showGridLines="0" workbookViewId="0">
      <selection activeCell="A1" sqref="A1"/>
    </sheetView>
  </sheetViews>
  <sheetFormatPr baseColWidth="8" defaultRowHeight="15"/>
  <cols>
    <col width="7" customWidth="1" min="1" max="1"/>
    <col width="13" customWidth="1" min="2" max="2"/>
    <col width="14" customWidth="1" min="3" max="3"/>
    <col width="14" customWidth="1" min="4" max="4"/>
    <col width="11" customWidth="1" min="5" max="5"/>
    <col width="12" customWidth="1" min="6" max="6"/>
    <col width="12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OBJETIVOS, METAS E INDICADORES DE SST</t>
        </is>
      </c>
    </row>
    <row r="2" ht="24" customHeight="1">
      <c r="A2" s="2" t="inlineStr">
        <is>
          <t>Registrar cada mes los accidentes y días perdidos (celdas amarillas)</t>
        </is>
      </c>
    </row>
    <row r="4" ht="42" customHeight="1">
      <c r="A4" s="3" t="inlineStr">
        <is>
          <t>MES</t>
        </is>
      </c>
      <c r="B4" s="3" t="inlineStr">
        <is>
          <t>TRABAJADORES</t>
        </is>
      </c>
      <c r="C4" s="3" t="inlineStr">
        <is>
          <t>HORAS HOMBRE TRABAJADAS</t>
        </is>
      </c>
      <c r="D4" s="3" t="inlineStr">
        <is>
          <t>ACCIDENTES INCAPACITANTES</t>
        </is>
      </c>
      <c r="E4" s="3" t="inlineStr">
        <is>
          <t>DÍAS PERDIDOS</t>
        </is>
      </c>
      <c r="F4" s="3" t="inlineStr">
        <is>
          <t>ÍNDICE DE FRECUENCIA</t>
        </is>
      </c>
      <c r="G4" s="3" t="inlineStr">
        <is>
          <t>ÍNDICE DE GRAVEDAD</t>
        </is>
      </c>
      <c r="H4" s="3" t="inlineStr">
        <is>
          <t>ÍNDICE DE ACCIDENTABILIDAD</t>
        </is>
      </c>
      <c r="I4" s="3" t="inlineStr">
        <is>
          <t>CAPACITACIONES EJECUTADAS (%)</t>
        </is>
      </c>
      <c r="J4" s="3" t="inlineStr">
        <is>
          <t>INSPECCIONES EJECUTADAS (%)</t>
        </is>
      </c>
    </row>
    <row r="5">
      <c r="A5" s="4" t="n">
        <v>1</v>
      </c>
      <c r="B5" s="20" t="n">
        <v>35</v>
      </c>
      <c r="C5" s="30">
        <f>B5*8*26</f>
        <v/>
      </c>
      <c r="D5" s="20" t="n">
        <v>0</v>
      </c>
      <c r="E5" s="20" t="n">
        <v>0</v>
      </c>
      <c r="F5" s="31">
        <f>IF(C5=0,0,D5*1000000/C5)</f>
        <v/>
      </c>
      <c r="G5" s="31">
        <f>IF(C5=0,0,E5*1000000/C5)</f>
        <v/>
      </c>
      <c r="H5" s="31">
        <f>F5*G5/1000</f>
        <v/>
      </c>
      <c r="I5" s="32" t="n">
        <v>1</v>
      </c>
      <c r="J5" s="32" t="n">
        <v>1</v>
      </c>
    </row>
    <row r="6">
      <c r="A6" s="4" t="n">
        <v>2</v>
      </c>
      <c r="B6" s="20" t="n">
        <v>60</v>
      </c>
      <c r="C6" s="30">
        <f>B6*8*26</f>
        <v/>
      </c>
      <c r="D6" s="20" t="n">
        <v>0</v>
      </c>
      <c r="E6" s="20" t="n">
        <v>0</v>
      </c>
      <c r="F6" s="31">
        <f>IF(C6=0,0,D6*1000000/C6)</f>
        <v/>
      </c>
      <c r="G6" s="31">
        <f>IF(C6=0,0,E6*1000000/C6)</f>
        <v/>
      </c>
      <c r="H6" s="31">
        <f>F6*G6/1000</f>
        <v/>
      </c>
      <c r="I6" s="32" t="n">
        <v>1</v>
      </c>
      <c r="J6" s="32" t="n">
        <v>1</v>
      </c>
    </row>
    <row r="7">
      <c r="A7" s="4" t="n">
        <v>3</v>
      </c>
      <c r="B7" s="20" t="n">
        <v>95</v>
      </c>
      <c r="C7" s="30">
        <f>B7*8*26</f>
        <v/>
      </c>
      <c r="D7" s="20" t="n">
        <v>0</v>
      </c>
      <c r="E7" s="20" t="n">
        <v>0</v>
      </c>
      <c r="F7" s="31">
        <f>IF(C7=0,0,D7*1000000/C7)</f>
        <v/>
      </c>
      <c r="G7" s="31">
        <f>IF(C7=0,0,E7*1000000/C7)</f>
        <v/>
      </c>
      <c r="H7" s="31">
        <f>F7*G7/1000</f>
        <v/>
      </c>
      <c r="I7" s="32" t="n">
        <v>1</v>
      </c>
      <c r="J7" s="32" t="n">
        <v>1</v>
      </c>
    </row>
    <row r="8">
      <c r="A8" s="4" t="n">
        <v>4</v>
      </c>
      <c r="B8" s="20" t="n">
        <v>120</v>
      </c>
      <c r="C8" s="30">
        <f>B8*8*26</f>
        <v/>
      </c>
      <c r="D8" s="20" t="n">
        <v>0</v>
      </c>
      <c r="E8" s="20" t="n">
        <v>0</v>
      </c>
      <c r="F8" s="31">
        <f>IF(C8=0,0,D8*1000000/C8)</f>
        <v/>
      </c>
      <c r="G8" s="31">
        <f>IF(C8=0,0,E8*1000000/C8)</f>
        <v/>
      </c>
      <c r="H8" s="31">
        <f>F8*G8/1000</f>
        <v/>
      </c>
      <c r="I8" s="32" t="n">
        <v>1</v>
      </c>
      <c r="J8" s="32" t="n">
        <v>1</v>
      </c>
    </row>
    <row r="9">
      <c r="A9" s="4" t="n">
        <v>5</v>
      </c>
      <c r="B9" s="20" t="n">
        <v>140</v>
      </c>
      <c r="C9" s="30">
        <f>B9*8*26</f>
        <v/>
      </c>
      <c r="D9" s="20" t="n">
        <v>0</v>
      </c>
      <c r="E9" s="20" t="n">
        <v>0</v>
      </c>
      <c r="F9" s="31">
        <f>IF(C9=0,0,D9*1000000/C9)</f>
        <v/>
      </c>
      <c r="G9" s="31">
        <f>IF(C9=0,0,E9*1000000/C9)</f>
        <v/>
      </c>
      <c r="H9" s="31">
        <f>F9*G9/1000</f>
        <v/>
      </c>
      <c r="I9" s="32" t="n">
        <v>1</v>
      </c>
      <c r="J9" s="32" t="n">
        <v>1</v>
      </c>
    </row>
    <row r="10">
      <c r="A10" s="4" t="n">
        <v>6</v>
      </c>
      <c r="B10" s="20" t="n">
        <v>150</v>
      </c>
      <c r="C10" s="30">
        <f>B10*8*26</f>
        <v/>
      </c>
      <c r="D10" s="20" t="n">
        <v>0</v>
      </c>
      <c r="E10" s="20" t="n">
        <v>0</v>
      </c>
      <c r="F10" s="31">
        <f>IF(C10=0,0,D10*1000000/C10)</f>
        <v/>
      </c>
      <c r="G10" s="31">
        <f>IF(C10=0,0,E10*1000000/C10)</f>
        <v/>
      </c>
      <c r="H10" s="31">
        <f>F10*G10/1000</f>
        <v/>
      </c>
      <c r="I10" s="32" t="n">
        <v>1</v>
      </c>
      <c r="J10" s="32" t="n">
        <v>1</v>
      </c>
    </row>
    <row r="11">
      <c r="A11" s="4" t="n">
        <v>7</v>
      </c>
      <c r="B11" s="20" t="n">
        <v>155</v>
      </c>
      <c r="C11" s="30">
        <f>B11*8*26</f>
        <v/>
      </c>
      <c r="D11" s="20" t="n">
        <v>0</v>
      </c>
      <c r="E11" s="20" t="n">
        <v>0</v>
      </c>
      <c r="F11" s="31">
        <f>IF(C11=0,0,D11*1000000/C11)</f>
        <v/>
      </c>
      <c r="G11" s="31">
        <f>IF(C11=0,0,E11*1000000/C11)</f>
        <v/>
      </c>
      <c r="H11" s="31">
        <f>F11*G11/1000</f>
        <v/>
      </c>
      <c r="I11" s="32" t="n">
        <v>1</v>
      </c>
      <c r="J11" s="32" t="n">
        <v>1</v>
      </c>
    </row>
    <row r="12">
      <c r="A12" s="4" t="n">
        <v>8</v>
      </c>
      <c r="B12" s="20" t="n">
        <v>160</v>
      </c>
      <c r="C12" s="30">
        <f>B12*8*26</f>
        <v/>
      </c>
      <c r="D12" s="20" t="n">
        <v>0</v>
      </c>
      <c r="E12" s="20" t="n">
        <v>0</v>
      </c>
      <c r="F12" s="31">
        <f>IF(C12=0,0,D12*1000000/C12)</f>
        <v/>
      </c>
      <c r="G12" s="31">
        <f>IF(C12=0,0,E12*1000000/C12)</f>
        <v/>
      </c>
      <c r="H12" s="31">
        <f>F12*G12/1000</f>
        <v/>
      </c>
      <c r="I12" s="32" t="n">
        <v>1</v>
      </c>
      <c r="J12" s="32" t="n">
        <v>1</v>
      </c>
    </row>
    <row r="13">
      <c r="A13" s="4" t="n">
        <v>9</v>
      </c>
      <c r="B13" s="20" t="n">
        <v>160</v>
      </c>
      <c r="C13" s="30">
        <f>B13*8*26</f>
        <v/>
      </c>
      <c r="D13" s="20" t="n">
        <v>0</v>
      </c>
      <c r="E13" s="20" t="n">
        <v>0</v>
      </c>
      <c r="F13" s="31">
        <f>IF(C13=0,0,D13*1000000/C13)</f>
        <v/>
      </c>
      <c r="G13" s="31">
        <f>IF(C13=0,0,E13*1000000/C13)</f>
        <v/>
      </c>
      <c r="H13" s="31">
        <f>F13*G13/1000</f>
        <v/>
      </c>
      <c r="I13" s="32" t="n">
        <v>1</v>
      </c>
      <c r="J13" s="32" t="n">
        <v>1</v>
      </c>
    </row>
    <row r="14">
      <c r="A14" s="4" t="n">
        <v>10</v>
      </c>
      <c r="B14" s="20" t="n">
        <v>160</v>
      </c>
      <c r="C14" s="30">
        <f>B14*8*26</f>
        <v/>
      </c>
      <c r="D14" s="20" t="n">
        <v>0</v>
      </c>
      <c r="E14" s="20" t="n">
        <v>0</v>
      </c>
      <c r="F14" s="31">
        <f>IF(C14=0,0,D14*1000000/C14)</f>
        <v/>
      </c>
      <c r="G14" s="31">
        <f>IF(C14=0,0,E14*1000000/C14)</f>
        <v/>
      </c>
      <c r="H14" s="31">
        <f>F14*G14/1000</f>
        <v/>
      </c>
      <c r="I14" s="32" t="n">
        <v>1</v>
      </c>
      <c r="J14" s="32" t="n">
        <v>1</v>
      </c>
    </row>
    <row r="15">
      <c r="A15" s="4" t="n">
        <v>11</v>
      </c>
      <c r="B15" s="20" t="n">
        <v>160</v>
      </c>
      <c r="C15" s="30">
        <f>B15*8*26</f>
        <v/>
      </c>
      <c r="D15" s="20" t="n">
        <v>0</v>
      </c>
      <c r="E15" s="20" t="n">
        <v>0</v>
      </c>
      <c r="F15" s="31">
        <f>IF(C15=0,0,D15*1000000/C15)</f>
        <v/>
      </c>
      <c r="G15" s="31">
        <f>IF(C15=0,0,E15*1000000/C15)</f>
        <v/>
      </c>
      <c r="H15" s="31">
        <f>F15*G15/1000</f>
        <v/>
      </c>
      <c r="I15" s="32" t="n">
        <v>1</v>
      </c>
      <c r="J15" s="32" t="n">
        <v>1</v>
      </c>
    </row>
    <row r="16">
      <c r="A16" s="4" t="n">
        <v>12</v>
      </c>
      <c r="B16" s="20" t="n">
        <v>155</v>
      </c>
      <c r="C16" s="30">
        <f>B16*8*26</f>
        <v/>
      </c>
      <c r="D16" s="20" t="n">
        <v>0</v>
      </c>
      <c r="E16" s="20" t="n">
        <v>0</v>
      </c>
      <c r="F16" s="31">
        <f>IF(C16=0,0,D16*1000000/C16)</f>
        <v/>
      </c>
      <c r="G16" s="31">
        <f>IF(C16=0,0,E16*1000000/C16)</f>
        <v/>
      </c>
      <c r="H16" s="31">
        <f>F16*G16/1000</f>
        <v/>
      </c>
      <c r="I16" s="32" t="n">
        <v>1</v>
      </c>
      <c r="J16" s="32" t="n">
        <v>1</v>
      </c>
    </row>
    <row r="17">
      <c r="A17" s="4" t="n">
        <v>13</v>
      </c>
      <c r="B17" s="20" t="n">
        <v>150</v>
      </c>
      <c r="C17" s="30">
        <f>B17*8*26</f>
        <v/>
      </c>
      <c r="D17" s="20" t="n">
        <v>0</v>
      </c>
      <c r="E17" s="20" t="n">
        <v>0</v>
      </c>
      <c r="F17" s="31">
        <f>IF(C17=0,0,D17*1000000/C17)</f>
        <v/>
      </c>
      <c r="G17" s="31">
        <f>IF(C17=0,0,E17*1000000/C17)</f>
        <v/>
      </c>
      <c r="H17" s="31">
        <f>F17*G17/1000</f>
        <v/>
      </c>
      <c r="I17" s="32" t="n">
        <v>1</v>
      </c>
      <c r="J17" s="32" t="n">
        <v>1</v>
      </c>
    </row>
    <row r="18">
      <c r="A18" s="4" t="n">
        <v>14</v>
      </c>
      <c r="B18" s="20" t="n">
        <v>150</v>
      </c>
      <c r="C18" s="30">
        <f>B18*8*26</f>
        <v/>
      </c>
      <c r="D18" s="20" t="n">
        <v>0</v>
      </c>
      <c r="E18" s="20" t="n">
        <v>0</v>
      </c>
      <c r="F18" s="31">
        <f>IF(C18=0,0,D18*1000000/C18)</f>
        <v/>
      </c>
      <c r="G18" s="31">
        <f>IF(C18=0,0,E18*1000000/C18)</f>
        <v/>
      </c>
      <c r="H18" s="31">
        <f>F18*G18/1000</f>
        <v/>
      </c>
      <c r="I18" s="32" t="n">
        <v>1</v>
      </c>
      <c r="J18" s="32" t="n">
        <v>1</v>
      </c>
    </row>
    <row r="19">
      <c r="A19" s="4" t="n">
        <v>15</v>
      </c>
      <c r="B19" s="20" t="n">
        <v>145</v>
      </c>
      <c r="C19" s="30">
        <f>B19*8*26</f>
        <v/>
      </c>
      <c r="D19" s="20" t="n">
        <v>0</v>
      </c>
      <c r="E19" s="20" t="n">
        <v>0</v>
      </c>
      <c r="F19" s="31">
        <f>IF(C19=0,0,D19*1000000/C19)</f>
        <v/>
      </c>
      <c r="G19" s="31">
        <f>IF(C19=0,0,E19*1000000/C19)</f>
        <v/>
      </c>
      <c r="H19" s="31">
        <f>F19*G19/1000</f>
        <v/>
      </c>
      <c r="I19" s="32" t="n">
        <v>1</v>
      </c>
      <c r="J19" s="32" t="n">
        <v>1</v>
      </c>
    </row>
    <row r="20">
      <c r="A20" s="4" t="n">
        <v>16</v>
      </c>
      <c r="B20" s="20" t="n">
        <v>140</v>
      </c>
      <c r="C20" s="30">
        <f>B20*8*26</f>
        <v/>
      </c>
      <c r="D20" s="20" t="n">
        <v>0</v>
      </c>
      <c r="E20" s="20" t="n">
        <v>0</v>
      </c>
      <c r="F20" s="31">
        <f>IF(C20=0,0,D20*1000000/C20)</f>
        <v/>
      </c>
      <c r="G20" s="31">
        <f>IF(C20=0,0,E20*1000000/C20)</f>
        <v/>
      </c>
      <c r="H20" s="31">
        <f>F20*G20/1000</f>
        <v/>
      </c>
      <c r="I20" s="32" t="n">
        <v>1</v>
      </c>
      <c r="J20" s="32" t="n">
        <v>1</v>
      </c>
    </row>
    <row r="21">
      <c r="A21" s="4" t="n">
        <v>17</v>
      </c>
      <c r="B21" s="20" t="n">
        <v>130</v>
      </c>
      <c r="C21" s="30">
        <f>B21*8*26</f>
        <v/>
      </c>
      <c r="D21" s="20" t="n">
        <v>0</v>
      </c>
      <c r="E21" s="20" t="n">
        <v>0</v>
      </c>
      <c r="F21" s="31">
        <f>IF(C21=0,0,D21*1000000/C21)</f>
        <v/>
      </c>
      <c r="G21" s="31">
        <f>IF(C21=0,0,E21*1000000/C21)</f>
        <v/>
      </c>
      <c r="H21" s="31">
        <f>F21*G21/1000</f>
        <v/>
      </c>
      <c r="I21" s="32" t="n">
        <v>1</v>
      </c>
      <c r="J21" s="32" t="n">
        <v>1</v>
      </c>
    </row>
    <row r="22">
      <c r="A22" s="4" t="n">
        <v>18</v>
      </c>
      <c r="B22" s="20" t="n">
        <v>125</v>
      </c>
      <c r="C22" s="30">
        <f>B22*8*26</f>
        <v/>
      </c>
      <c r="D22" s="20" t="n">
        <v>0</v>
      </c>
      <c r="E22" s="20" t="n">
        <v>0</v>
      </c>
      <c r="F22" s="31">
        <f>IF(C22=0,0,D22*1000000/C22)</f>
        <v/>
      </c>
      <c r="G22" s="31">
        <f>IF(C22=0,0,E22*1000000/C22)</f>
        <v/>
      </c>
      <c r="H22" s="31">
        <f>F22*G22/1000</f>
        <v/>
      </c>
      <c r="I22" s="32" t="n">
        <v>1</v>
      </c>
      <c r="J22" s="32" t="n">
        <v>1</v>
      </c>
    </row>
    <row r="23">
      <c r="A23" s="4" t="n">
        <v>19</v>
      </c>
      <c r="B23" s="20" t="n">
        <v>120</v>
      </c>
      <c r="C23" s="30">
        <f>B23*8*26</f>
        <v/>
      </c>
      <c r="D23" s="20" t="n">
        <v>0</v>
      </c>
      <c r="E23" s="20" t="n">
        <v>0</v>
      </c>
      <c r="F23" s="31">
        <f>IF(C23=0,0,D23*1000000/C23)</f>
        <v/>
      </c>
      <c r="G23" s="31">
        <f>IF(C23=0,0,E23*1000000/C23)</f>
        <v/>
      </c>
      <c r="H23" s="31">
        <f>F23*G23/1000</f>
        <v/>
      </c>
      <c r="I23" s="32" t="n">
        <v>1</v>
      </c>
      <c r="J23" s="32" t="n">
        <v>1</v>
      </c>
    </row>
    <row r="24">
      <c r="A24" s="4" t="n">
        <v>20</v>
      </c>
      <c r="B24" s="20" t="n">
        <v>110</v>
      </c>
      <c r="C24" s="30">
        <f>B24*8*26</f>
        <v/>
      </c>
      <c r="D24" s="20" t="n">
        <v>0</v>
      </c>
      <c r="E24" s="20" t="n">
        <v>0</v>
      </c>
      <c r="F24" s="31">
        <f>IF(C24=0,0,D24*1000000/C24)</f>
        <v/>
      </c>
      <c r="G24" s="31">
        <f>IF(C24=0,0,E24*1000000/C24)</f>
        <v/>
      </c>
      <c r="H24" s="31">
        <f>F24*G24/1000</f>
        <v/>
      </c>
      <c r="I24" s="32" t="n">
        <v>1</v>
      </c>
      <c r="J24" s="32" t="n">
        <v>1</v>
      </c>
    </row>
    <row r="25">
      <c r="A25" s="4" t="n">
        <v>21</v>
      </c>
      <c r="B25" s="20" t="n">
        <v>90</v>
      </c>
      <c r="C25" s="30">
        <f>B25*8*26</f>
        <v/>
      </c>
      <c r="D25" s="20" t="n">
        <v>0</v>
      </c>
      <c r="E25" s="20" t="n">
        <v>0</v>
      </c>
      <c r="F25" s="31">
        <f>IF(C25=0,0,D25*1000000/C25)</f>
        <v/>
      </c>
      <c r="G25" s="31">
        <f>IF(C25=0,0,E25*1000000/C25)</f>
        <v/>
      </c>
      <c r="H25" s="31">
        <f>F25*G25/1000</f>
        <v/>
      </c>
      <c r="I25" s="32" t="n">
        <v>1</v>
      </c>
      <c r="J25" s="32" t="n">
        <v>1</v>
      </c>
    </row>
    <row r="26">
      <c r="A26" s="4" t="n">
        <v>22</v>
      </c>
      <c r="B26" s="20" t="n">
        <v>70</v>
      </c>
      <c r="C26" s="30">
        <f>B26*8*26</f>
        <v/>
      </c>
      <c r="D26" s="20" t="n">
        <v>0</v>
      </c>
      <c r="E26" s="20" t="n">
        <v>0</v>
      </c>
      <c r="F26" s="31">
        <f>IF(C26=0,0,D26*1000000/C26)</f>
        <v/>
      </c>
      <c r="G26" s="31">
        <f>IF(C26=0,0,E26*1000000/C26)</f>
        <v/>
      </c>
      <c r="H26" s="31">
        <f>F26*G26/1000</f>
        <v/>
      </c>
      <c r="I26" s="32" t="n">
        <v>1</v>
      </c>
      <c r="J26" s="32" t="n">
        <v>1</v>
      </c>
    </row>
    <row r="27">
      <c r="A27" s="4" t="n">
        <v>23</v>
      </c>
      <c r="B27" s="20" t="n">
        <v>50</v>
      </c>
      <c r="C27" s="30">
        <f>B27*8*26</f>
        <v/>
      </c>
      <c r="D27" s="20" t="n">
        <v>0</v>
      </c>
      <c r="E27" s="20" t="n">
        <v>0</v>
      </c>
      <c r="F27" s="31">
        <f>IF(C27=0,0,D27*1000000/C27)</f>
        <v/>
      </c>
      <c r="G27" s="31">
        <f>IF(C27=0,0,E27*1000000/C27)</f>
        <v/>
      </c>
      <c r="H27" s="31">
        <f>F27*G27/1000</f>
        <v/>
      </c>
      <c r="I27" s="32" t="n">
        <v>1</v>
      </c>
      <c r="J27" s="32" t="n">
        <v>1</v>
      </c>
    </row>
    <row r="28">
      <c r="A28" s="4" t="n">
        <v>24</v>
      </c>
      <c r="B28" s="20" t="n">
        <v>30</v>
      </c>
      <c r="C28" s="30">
        <f>B28*8*26</f>
        <v/>
      </c>
      <c r="D28" s="20" t="n">
        <v>0</v>
      </c>
      <c r="E28" s="20" t="n">
        <v>0</v>
      </c>
      <c r="F28" s="31">
        <f>IF(C28=0,0,D28*1000000/C28)</f>
        <v/>
      </c>
      <c r="G28" s="31">
        <f>IF(C28=0,0,E28*1000000/C28)</f>
        <v/>
      </c>
      <c r="H28" s="31">
        <f>F28*G28/1000</f>
        <v/>
      </c>
      <c r="I28" s="32" t="n">
        <v>1</v>
      </c>
      <c r="J28" s="32" t="n">
        <v>1</v>
      </c>
    </row>
    <row r="29">
      <c r="A29" s="27" t="inlineStr">
        <is>
          <t>TOTAL</t>
        </is>
      </c>
      <c r="B29" s="33">
        <f>MAX(B5:B28)</f>
        <v/>
      </c>
      <c r="C29" s="33">
        <f>SUM(C5:C28)</f>
        <v/>
      </c>
      <c r="D29" s="33">
        <f>SUM(D5:D28)</f>
        <v/>
      </c>
      <c r="E29" s="33">
        <f>SUM(E5:E28)</f>
        <v/>
      </c>
      <c r="F29" s="34">
        <f>IF(C29=0,0,D29*1000000/C29)</f>
        <v/>
      </c>
      <c r="G29" s="34">
        <f>IF(C29=0,0,E29*1000000/C29)</f>
        <v/>
      </c>
      <c r="H29" s="34">
        <f>F29*G29/1000</f>
        <v/>
      </c>
      <c r="I29" s="35">
        <f>AVERAGE(I5:I28)</f>
        <v/>
      </c>
      <c r="J29" s="35">
        <f>AVERAGE(J5:J28)</f>
        <v/>
      </c>
    </row>
    <row r="31" ht="30" customHeight="1">
      <c r="A31" s="16" t="inlineStr">
        <is>
          <t>Índice de frecuencia = accidentes incapacitantes x 1,000,000 / horas hombre trabajadas. Índice de gravedad = días perdidos x 1,000,000 / horas hombre trabajadas. Índice de accidentabilidad = IF x IG / 1,000. Horas hombre = trabajadores x 8 h x 26 días.</t>
        </is>
      </c>
      <c r="B31" s="17" t="n"/>
      <c r="C31" s="17" t="n"/>
      <c r="D31" s="17" t="n"/>
      <c r="E31" s="17" t="n"/>
      <c r="F31" s="17" t="n"/>
      <c r="G31" s="17" t="n"/>
      <c r="H31" s="17" t="n"/>
      <c r="I31" s="17" t="n"/>
      <c r="J31" s="18" t="n"/>
    </row>
  </sheetData>
  <mergeCells count="3">
    <mergeCell ref="A1:J1"/>
    <mergeCell ref="A31:J31"/>
    <mergeCell ref="A2:J2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32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50" customWidth="1" min="2" max="2"/>
    <col width="110" customWidth="1" min="3" max="3"/>
  </cols>
  <sheetData>
    <row r="1">
      <c r="A1" s="1" t="inlineStr">
        <is>
          <t>PARTIDAS DEL PRESUPUESTO Y ACTIVIDADES EVALUADAS EN EL IPERC</t>
        </is>
      </c>
    </row>
    <row r="2" ht="24" customHeight="1">
      <c r="A2" s="2" t="inlineStr">
        <is>
          <t>Trazabilidad entre el presupuesto y el IPERC</t>
        </is>
      </c>
    </row>
    <row r="4">
      <c r="A4" s="3" t="inlineStr">
        <is>
          <t>CÓDIGO</t>
        </is>
      </c>
      <c r="B4" s="3" t="inlineStr">
        <is>
          <t>ACTIVIDAD DEL IPERC</t>
        </is>
      </c>
      <c r="C4" s="3" t="inlineStr">
        <is>
          <t>PARTIDAS DEL PRESUPUESTO</t>
        </is>
      </c>
    </row>
    <row r="5" ht="14" customHeight="1">
      <c r="A5" s="4" t="inlineStr">
        <is>
          <t>GEN</t>
        </is>
      </c>
      <c r="B5" s="7" t="inlineStr">
        <is>
          <t>Trabajos generales a campo abierto</t>
        </is>
      </c>
      <c r="C5" s="6" t="inlineStr">
        <is>
          <t>Actividad transversal a toda la obra</t>
        </is>
      </c>
    </row>
    <row r="6" ht="14" customHeight="1">
      <c r="A6" s="4" t="inlineStr">
        <is>
          <t>GEN-SEL</t>
        </is>
      </c>
      <c r="B6" s="7" t="inlineStr">
        <is>
          <t>Trabajos en zona de selva (fauna y vectores)</t>
        </is>
      </c>
      <c r="C6" s="6" t="inlineStr">
        <is>
          <t>Actividad transversal a toda la obra</t>
        </is>
      </c>
    </row>
    <row r="7" ht="14" customHeight="1">
      <c r="A7" s="4" t="inlineStr">
        <is>
          <t>TRAS</t>
        </is>
      </c>
      <c r="B7" s="7" t="inlineStr">
        <is>
          <t>Traslado de personal y materiales en vehículos</t>
        </is>
      </c>
      <c r="C7" s="6" t="inlineStr">
        <is>
          <t>Actividad transversal a toda la obra</t>
        </is>
      </c>
    </row>
    <row r="8" ht="36" customHeight="1">
      <c r="A8" s="4" t="inlineStr">
        <is>
          <t>CAMP</t>
        </is>
      </c>
      <c r="B8" s="7" t="inlineStr">
        <is>
          <t>Campamento, almacenes, comedor, servicios higiénicos y cartel de obra</t>
        </is>
      </c>
      <c r="C8" s="6" t="inlineStr">
        <is>
          <t>5 partidas: 1.01.01 CAMPAMENTO Y ALMACENES OBRA; 1.01.02 CARTEL DE IDENTIFICACION DE OBRA (3.60mx4.80m); 1.04.05 HABILITACION DE ACCESO A CAMPAMENTO Y PATIO DE MAQUINAS; 1.04.06 HABILITACION DE CAMPAMENTO Y PATIO DE MAQUINAS; 1.11.07.01 READECUCACION DE AMBIENTES DE AREAS AUXILIARES (DME, PATIO DE MAQUINAS, CAMPAMENTO, OTROS)</t>
        </is>
      </c>
    </row>
    <row r="9" ht="14" customHeight="1">
      <c r="A9" s="4" t="inlineStr">
        <is>
          <t>MOVI</t>
        </is>
      </c>
      <c r="B9" s="7" t="inlineStr">
        <is>
          <t>Movilización y desmovilización de equipos y fletes</t>
        </is>
      </c>
      <c r="C9" s="6" t="inlineStr">
        <is>
          <t>2 partidas: 1.01.03 MOVLIZACION DE EQUIPO Y MAQUINARIA PESADA; 1.01.04 FLETE TERRESTRE DE MATERIALES</t>
        </is>
      </c>
    </row>
    <row r="10" ht="47" customHeight="1">
      <c r="A10" s="4" t="inlineStr">
        <is>
          <t>TOPO</t>
        </is>
      </c>
      <c r="B10" s="7" t="inlineStr">
        <is>
          <t>Topografía, trazo, nivelación y replanteo</t>
        </is>
      </c>
      <c r="C10" s="6" t="inlineStr">
        <is>
          <t>12 partidas: 1.04.01 TOPOGRAFIA Y GEORREFERENCIACION; 1.08.01.02 TRAZO Y REPLANTEO; 1.08.02.02 TRAZO Y REPLANTEO; 1.08.03.02 TRAZO Y REPLANTEO; 1.08.04.02 TRAZO Y REPLANTEO; 1.08.05.02 TRAZO Y REPLANTEO; 1.08.06.02 TRAZO Y REPLANTEO; 1.10.01.01.02 TRAZO Y REPLANTEO; 1.10.02.01.02 TRAZO Y REPLANTEO; 1.10.03.01.02 TRAZO Y REPLANTEO TOPOGRAFICO; 1.10.04.01.02 TRAZO Y REPLANTEO TOPOGRAFICO; 1.10.05.01.02 TRAZO Y REPLANTEO TOPOGRAFICO</t>
        </is>
      </c>
    </row>
    <row r="11" ht="58" customHeight="1">
      <c r="A11" s="4" t="inlineStr">
        <is>
          <t>TRAN</t>
        </is>
      </c>
      <c r="B11" s="7" t="inlineStr">
        <is>
          <t>Mantenimiento del tránsito, desvíos y señalización temporal</t>
        </is>
      </c>
      <c r="C11" s="6" t="inlineStr">
        <is>
          <t>10 partidas: 1.02.03 SEÑALIZACION TRANSITORIA DE SEGURIDAD EN OBRA; 1.04.02 MANTENIMIENTO DE TRANSITO TEMPORAL Y SEGURIDAD VIAL; 1.04.11 DESVIO TEMPORAL DURANTE EJECUCION; 1.10.01.01.06 DESVIO TEMPORAL DURANTE LA EJECUCION; 1.10.02.01.06 DESVIO TEMPORAL DURANTE LA EJECUCION; 1.10.03.01.05 DESVIO TEMPORAL DURANTE LA EJECUCION; 1.10.04.01.05 DESVIO TEMPORAL DURANTE LA EJECUCION; 1.10.05.01.05 DESVIO TEMPORAL DURANTE LA EJECUCION; 1.11.06.01 SEÑALES TEMPORALES; 1.11.06.02 POSTES PARA SEÑALES TEMPORALES</t>
        </is>
      </c>
    </row>
    <row r="12" ht="58" customHeight="1">
      <c r="A12" s="4" t="inlineStr">
        <is>
          <t>DESB</t>
        </is>
      </c>
      <c r="B12" s="7" t="inlineStr">
        <is>
          <t>Desbroce, limpieza de terreno y tala de árboles</t>
        </is>
      </c>
      <c r="C12" s="6" t="inlineStr">
        <is>
          <t>12 partidas: 1.05.01 DESBROCE Y LIMPIEZA DE TERRENO; 1.08.01.01 LIMPIEZA DEL TERRENO; 1.08.02.01 LIMPIEZA DEL TERRENO; 1.08.03.01 LIMPIEZA DEL TERRENO; 1.08.04.01 LIMPIEZA Y DESBROCE DE TERRENO; 1.08.05.01 LIMPIEZA DEL TERRENO; 1.08.06.01 LIMPIEZA DEL TERRENO; 1.10.01.01.01 LIMPIEZA DEL TERRENO; 1.10.02.01.01 LIMPIEZA DEL TERRENO; 1.10.03.01.01 LIMPIEZA Y DESBROCE DE TERRENO NATURAL; 1.10.04.01.01 LIMPIEZA Y DESBROCE DE TERRENO NATURAL; 1.10.05.01.01 LIMPIEZA Y DESBROCE DE TERRENO NATURAL</t>
        </is>
      </c>
    </row>
    <row r="13" ht="69" customHeight="1">
      <c r="A13" s="4" t="inlineStr">
        <is>
          <t>DEMO</t>
        </is>
      </c>
      <c r="B13" s="7" t="inlineStr">
        <is>
          <t>Demolición de estructuras, escarificado y desmontaje</t>
        </is>
      </c>
      <c r="C13" s="6" t="inlineStr">
        <is>
          <t>12 partidas: 1.03.01 DEMOLICION DE ALCANTARILLA TIPO TMC EXISTENTE; 1.03.02 ESCARIFICADO DE CARPETA ASFALTICA EXISTENTE; 1.03.03 DEMOLICION DE CUNETAS EXISTENTE; 1.03.04 DEMOLICION DE BADEN EXISTENTE; 1.03.05 ELIMINACION DEMOLICION; 1.10.01.01.03 DEMOLICION DE ESTRIBO Y VIGA LOSA EXISTENTE; 1.10.01.01.04 DESMONTAJE Y TRASLADO DE DE VIGAS METALICAS; 1.10.02.01.03 DEMOLICION DE ESTRIBO Y VIGA LOSA EXISTENTE; 1.10.02.01.04 DESMONTAJE Y TRASLADO DE DE VIGAS METALICAS; 1.10.03.01.03 DEMOLICION DE ESTRIBO Y VIGA LOSA EXISTENTE; 1.10.04.01.03 DEMOLICION DE ESTRIBO Y VIGA LOSA EXISTENTE; 1.10.05.01.03 DEMOLICION DE ESTRIBO Y VIGA LOSA EXISTENTE</t>
        </is>
      </c>
    </row>
    <row r="14" ht="113" customHeight="1">
      <c r="A14" s="4" t="inlineStr">
        <is>
          <t>MTMQ</t>
        </is>
      </c>
      <c r="B14" s="7" t="inlineStr">
        <is>
          <t>Movimiento de tierras con maquinaria (corte, terraplén, eliminación, canteras y DME)</t>
        </is>
      </c>
      <c r="C14" s="6" t="inlineStr">
        <is>
          <t>25 partidas: 1.03.05 ELIMINACION DEMOLICION; 1.04.03 HABILITACION DE ACCESO A DEPOSITO DE MATERIAL EXCEDENTE DME; 1.04.04 HABILITACION DE DEPOSITO DE MATERIAL EXCEDENTE DME; 1.04.05 HABILITACION DE ACCESO A CAMPAMENTO Y PATIO DE MAQUINAS; 1.04.07 HABILITACION DE ACCESO A CANTERA; 1.04.08 HABILITACION DE CANTERA DE RIO; 1.04.09 HABILITACION DE ACCESO A FUENTE DE AGUA; 1.05.02 CORTE EN ROCA FIJA; 1.05.03 CORTE EN ROCA SUELTA; 1.05.04 CORTE DE MATERIAL SUELTO; 1.05.05 CONFORMACION DE TERRAPLENES; 1.05.06 MEJORAMIENTO DE SUELOS A NIVEL DE SUB RASANTE C/MATERIAL DE PRESTAMO; 1.06.01.01 SUB-BASE GRANULAR; 1.06.01.02 BASE GRANULAR; 1.08.04.03 CORTE DE TERRENO C/MAQUINARIA PESADA; 1.08.04.11 EXTRACCION DE PIEDRAS CON EQUIPO; 1.08.04.12 APILAMIENTO DE MATERIAL COLMATADO; 1.08.04.14 CARGUIO Y TRANSPORTE; 1.10.01.02.11 ELIMINACION DE MATERIAL EXCEDENTE D&lt;1 Km; 1.10.02.02.11 ELIMINACION DE MATERIAL EXCEDENTE D&lt;1 Km; 1.10.03.02.01.04 ELIMINACION DE MATERIAL EXCEDENTE D&lt;1 Km; 1.10.04.02.01.04 ELIMINACION DE MATERIAL EXCEDENTE D&lt;1 Km; 1.10.05.02.01.04 ELIMINACION DE MATERIAL EXCEDENTE D&lt;1 Km; 1.11.01.01 DEPOSITO DE MATERIAL EXCEDENTE (ACOMODO); 1.11.04.01 RIEGO PARA CONTROL DE MATERIAL PARTICULADO</t>
        </is>
      </c>
    </row>
    <row r="15" ht="14" customHeight="1">
      <c r="A15" s="4" t="inlineStr">
        <is>
          <t>ROCA</t>
        </is>
      </c>
      <c r="B15" s="7" t="inlineStr">
        <is>
          <t>Corte en roca (martillo hidráulico o voladura controlada)</t>
        </is>
      </c>
      <c r="C15" s="6" t="inlineStr">
        <is>
          <t>2 partidas: 1.05.02 CORTE EN ROCA FIJA; 1.05.03 CORTE EN ROCA SUELTA</t>
        </is>
      </c>
    </row>
    <row r="16" ht="102" customHeight="1">
      <c r="A16" s="4" t="inlineStr">
        <is>
          <t>EXCA</t>
        </is>
      </c>
      <c r="B16" s="7" t="inlineStr">
        <is>
          <t>Excavación de zanjas y para estructuras</t>
        </is>
      </c>
      <c r="C16" s="6" t="inlineStr">
        <is>
          <t>15 partidas: 1.08.01.03 EXCAVACION PARA ESTRUCTURAS EN MATERIAL EN SECO C/MAQUINARIA; 1.08.02.03 EXCAVACION PARA ESTRUCTURAS EN MATERIAL EN SECO C/MAQUINARIA; 1.08.03.03 EXCAVACION PARA ESTRUCTURAS EN MATERIAL EN SECO C/MAQUINARIA; 1.08.05.03 EXCAVACION PARA ESTRUCTURAS EN MATERIAL EN SECO C/MAQUINARIA; 1.08.06.03 EXCAVACION PARA ESTRUCTURAS MANUAL; 1.10.01.02.01 EXCAVACION P/ESTRUCTURAS EN MATERIAL COMUN EN SECO; 1.10.01.02.02 EXCAVACION P/ESTRUCTURAS EN MATERIAL COMUN BAJO AGUA; 1.10.02.02.01 EXCAVACION P/ESTRUCTURAS EN MATERIAL COMUN EN SECO; 1.10.02.02.02 EXCAVACION P/ESTRUCTURAS EN MATERIAL COMUN BAJO AGUA; 1.10.03.02.01.01 EXCAVACION P/ESTRUCTURAS EN MATERIAL COMUN EN SECO; 1.10.03.02.01.02 EXCAVACION P/ESTRUCTURAS EN MATERIAL COMUN BAJO AGUA; 1.10.04.02.01.01 EXCAVACION P/ESTRUCTURAS EN MATERIAL COMUN EN SECO; 1.10.04.02.01.02 EXCAVACION P/ESTRUCTURAS EN MATERIAL COMUN BAJO AGUA; 1.10.05.02.01.01 EXCAVACION P/ESTRUCTURAS EN MATERIAL COMUN EN SECO; 1.10.05.02.01.02 EXCAVACION P/ESTRUCTURAS EN MATERIAL COMUN BAJO AGUA</t>
        </is>
      </c>
    </row>
    <row r="17" ht="91" customHeight="1">
      <c r="A17" s="4" t="inlineStr">
        <is>
          <t>CAUC</t>
        </is>
      </c>
      <c r="B17" s="7" t="inlineStr">
        <is>
          <t>Trabajos en cauces, excavación bajo agua y encauzamiento</t>
        </is>
      </c>
      <c r="C17" s="6" t="inlineStr">
        <is>
          <t>18 partidas: 1.04.08 HABILITACION DE CANTERA DE RIO; 1.04.09 HABILITACION DE ACCESO A FUENTE DE AGUA; 1.04.10 DESVIO PROVISIONAL DE CURSO DE AGUA; 1.10.01.01.05 ENCAUSAMIENTO DE QUEBRADA; 1.10.01.02.02 EXCAVACION P/ESTRUCTURAS EN MATERIAL COMUN BAJO AGUA; 1.10.01.02.05 ENCOFRADO CARA SUCIA BAJO AGUA; 1.10.02.01.05 ENCAUSAMIENTO DE QUEBRADA; 1.10.02.02.02 EXCAVACION P/ESTRUCTURAS EN MATERIAL COMUN BAJO AGUA; 1.10.02.02.05 ENCOFRADO CARA SUCIA BAJO AGUA; 1.10.03.01.04 ENCAUSAMIENTO DE QUEBRADA; 1.10.03.02.01.02 EXCAVACION P/ESTRUCTURAS EN MATERIAL COMUN BAJO AGUA; 1.10.03.02.03.02 ENCOFRADO CARA SUCIA BAJO AGUA; 1.10.04.01.04 ENCAUSAMIENTO DE QUEBRADA; 1.10.04.02.01.02 EXCAVACION P/ESTRUCTURAS EN MATERIAL COMUN BAJO AGUA; 1.10.04.02.03.02 ENCOFRADO CARA SUCIA BAJO AGUA; 1.10.05.01.04 ENCAUSAMIENTO DE QUEBRADA; 1.10.05.02.01.02 EXCAVACION P/ESTRUCTURAS EN MATERIAL COMUN BAJO AGUA; 1.10.05.02.03.02 ENCOFRADO CARA SUCIA BAJO AGUA</t>
        </is>
      </c>
    </row>
    <row r="18" ht="135" customHeight="1">
      <c r="A18" s="4" t="inlineStr">
        <is>
          <t>RELL</t>
        </is>
      </c>
      <c r="B18" s="7" t="inlineStr">
        <is>
          <t>Rellenos, refine, nivelación y compactación</t>
        </is>
      </c>
      <c r="C18" s="6" t="inlineStr">
        <is>
          <t>24 partidas: 1.08.01.04 REFINE Y NIVELACION Y COMPACTACION DE TERRENO NATURAL; 1.08.01.05 CAMA DE GRAVA ARENOSA E=0.15 m.; 1.08.01.06 RELLENO CON MATERIAL DE PRESTAMO SELECCIONADO; 1.08.02.04 REFINE Y NIVELACION Y COMPACTACION DE TERRENO NATURAL; 1.08.02.05 RELLENO DE ESTRUCTURAS CON MATERIAL OVER; 1.08.02.06 RELLENO CON MATERIAL DE PRESTAMO SELECCIONADO; 1.08.03.04 REFINE Y NIVELACION Y COMPACTACION DE TERRENO NATURAL; 1.08.03.05 RELLENO CON MATERIAL DE PRESTAMO SELECCIONADO; 1.08.04.04 RELLENO CON MATERIAL PROPIO; 1.08.04.05 NIVELACION Y COMPACTACION DE SUBRASANTE CON EQUIPO LIVIANO; 1.08.04.09 NIVELACION, TEJIDO Y CIERRE DE GAVIONES; 1.08.05.04 REFINE Y NIVELACION Y COMPACTACION DE TERRENO NATURAL; 1.08.05.05 RELLENO CON MATERIAL DE PRESTAMO SELECCIONADO; 1.08.06.04 REFINE Y NIVELACION Y COMPACTACION DE TERRENO NATURAL; 1.10.01.02.09 RELLENO FILTRO DE GRAVA DE 3/4"; 1.10.01.02.10 RELLENO DE ESTRUCTURAS CON MATERIAL GRANULAR; 1.10.02.02.09 RELLENO FILTRO DE GRAVA DE 3/4"; 1.10.02.02.10 RELLENO DE ESTRUCTURAS CON MATERIAL GRANULAR; 1.10.03.02.01.03 RELLENO DE ESTRUCTURAS CON MATERIAL GRANULAR; 1.10.03.02.01.05 RELLENO FILTRO DE GRAVA DE 3/4"; 1.10.04.02.01.03 RELLENO DE ESTRUCTURAS CON MATERIAL GRANULAR; 1.10.04.02.01.05 RELLENO FILTRO DE GRAVA DE 3/4"; 1.10.05.02.01.03 RELLENO DE ESTRUCTURAS CON MATERIAL GRANULAR; 1.10.05.02.01.05 RELLENO FILTRO DE GRAVA DE 3/4"</t>
        </is>
      </c>
    </row>
    <row r="19" ht="80" customHeight="1">
      <c r="A19" s="4" t="inlineStr">
        <is>
          <t>GEOS</t>
        </is>
      </c>
      <c r="B19" s="7" t="inlineStr">
        <is>
          <t>Geosintéticos y subdrenaje</t>
        </is>
      </c>
      <c r="C19" s="6" t="inlineStr">
        <is>
          <t>13 partidas: 1.05.07 SUMINISTRO E INSTALACION DE GEOMALLA BIAXIAL; 1.05.08 SUMINISTRO E INSTALACION DE GEOBOLSAS PROPYBAG; 1.05.09 SUMINISTRO E INSTALACION DE GEOTEXTIL FORTEX BX50; 1.05.10 SUMINISTRO E INSTALACION DE GEOTEXTIL FORTES BX 30; 1.05.11 SUMINISTRO E INSTALACION PERMADRAIN 450 PLANAR 0.5 PARA SUBDRENAJE HORIZONTAL; 1.05.12 SUMINISTRO E INSTALACION DE PERMADRAIN 450 PLANAR 1.0 PARA SUBDRENAJE EN EL ESPALDAR; 1.05.13 SUMINISTRO E INSTALACION DE TUBERIA DRAINPIPE DE 4" DE DIAMETRO PARA SUBDRENAJE EN LA BASE; 1.08.04.10 SUMINISTRO E INSTALACION DE GEOTEXTIL FORTEX; 1.10.01.05.05 GEOCOMPUESTO PARA DRENAJE DE ESTRIBOS; 1.10.02.05.05 GEOCOMPUESTO PARA DRENAJE DE ESTRIBOS; 1.10.03.04.05 GEOCOMPUESTO PARA DRENAJE DE ESTRIBOS; 1.10.04.04.05 GEOCOMPUESTO PARA DRENAJE DE ESTRIBOS; 1.10.05.04.05 GEOCOMPUESTO PARA DRENAJE DE ESTRIBOS</t>
        </is>
      </c>
    </row>
    <row r="20" ht="124" customHeight="1">
      <c r="A20" s="4" t="inlineStr">
        <is>
          <t>TRSP</t>
        </is>
      </c>
      <c r="B20" s="7" t="inlineStr">
        <is>
          <t>Transporte de materiales con volquetes</t>
        </is>
      </c>
      <c r="C20" s="6" t="inlineStr">
        <is>
          <t>22 partidas: 1.07.01 TRANSPORTE DE MATERIAL GRANULAR HASTA D&lt;1 km; 1.07.02 TRANSPORTE DE MATERIAL GRANULAR MAYOR D&gt;1 km; 1.07.03 TRANSPORTE DE MATERIAL EXCEDENTE DME HASTA D&lt;1 km; 1.07.04 TRANSPORTE DE MATERIAL EXCEDENTE DME MAYOR D&gt;1 km; 1.07.05 TRANSPORTE DE MEZCLA ASFALTICA HASTA D&lt;1 km; 1.07.06 TRANSPORTE DE MEZCLA ASFALTICA MAYOR D&gt;1 km; 1.07.07 TRANSPORTE DE PIEDRA PARA GAVION; 1.08.04.13 ACARREO MANUAL DE P.G. (4" - 6'' ) D &gt;1 Km; 1.08.04.14 CARGUIO Y TRANSPORTE; 1.10.01.03.01 TRANSPORTE DE MATERIAL EXCEDENTE DME MAYOR D&gt;1 km; 1.10.01.03.02 TRANSPORTE DE MATERIAL GRANULAR MAYOR D&gt;1 km; 1.10.01.04.01.03 TRANSPORTE DE ESTRUCTURA METALICA A OBRA; 1.10.02.03.01 TRANSPORTE DE MATERIAL EXCEDENTE DME MAYOR D&gt;1 km; 1.10.02.03.02 TRANSPORTE DE MATERIAL GRANULAR MAYOR D&gt;1 km; 1.10.02.04.01.03 TRANSPORTE DE ESTRUCTURA METALICA A OBRA; 1.10.03.02.02.01 TRANSPORTE DE MATERIAL EXCEDENTE DME MAYOR D&gt;1 km; 1.10.03.02.02.02 TRANSPORTE DE MATERIAL GRANULAR MAYOR D&gt;1 km; 1.10.04.02.02.01 TRANSPORTE DE MATERIAL EXCEDENTE DME MAYOR D&gt;1 km; 1.10.04.02.02.02 TRANSPORTE DE MATERIAL GRANULAR MAYOR D&gt;1 km; 1.10.05.02.02.01 TRANSPORTE DE MATERIAL EXCEDENTE DME MAYOR D&gt;1 km; 1.10.05.02.02.02 TRANSPORTE DE MATERIAL GRANULAR MAYOR D&gt;1 km; 1.11.02.01.02 ALMACENAMIENTO Y TRANSPORTE DE DE RESIDUOS SOLIDOS</t>
        </is>
      </c>
    </row>
    <row r="21" ht="124" customHeight="1">
      <c r="A21" s="4" t="inlineStr">
        <is>
          <t>ACER</t>
        </is>
      </c>
      <c r="B21" s="7" t="inlineStr">
        <is>
          <t>Habilitación y colocación de acero de refuerzo</t>
        </is>
      </c>
      <c r="C21" s="6" t="inlineStr">
        <is>
          <t>23 partidas: 1.08.01.11 ACERO DE REFUERZO fy=4,200 kg/cm2; 1.08.02.11 ACERO DE REFUERZO fy=4,200 kg/cm2; 1.08.03.09 ACERO DE REFUERZO fy=4,200 kg/cm2; 1.08.05.11 ACERO DE REFUERZO fy=4,200 kg/cm2; 1.08.06.08 ACERO DE REFUERZO fy=4,200 kg/cm2; 1.10.01.02.04 ACERO DE REFUERZO fy=4,200 kg/cm2; 1.10.01.04.02.02 ACERO DE REFUERZO fy=4,200 kg/cm2; 1.10.01.06.03 ACERO DE REFUERZO Fy= 4200 kg/cm2; 1.10.02.02.04 ACERO DE REFUERZO fy=4,200 kg/cm2; 1.10.02.04.02.02 ACERO DE REFUERZO fy=4,200 kg/cm2; 1.10.02.06.03 ACERO DE REFUERZO Fy= 4200 kg/cm2; 1.10.03.02.03.03 ACERO DE REFUERZO fy=4,200 kg/cm2 EN ZAPATA; 1.10.03.02.03.07 ACERO DE REFUERZO fy=4,200 kg/cm2 EN ESTRIBOS; 1.10.03.03.01.02 ACERO DE REFUERZO fy=4,200 kg/cm2; 1.10.03.05.03 ACERO DE REFUERZO Fy= 4200 kg/cm2; 1.10.04.02.03.03 ACERO DE REFUERZO fy=4,200 kg/cm2 EN ZAPATA; 1.10.04.02.03.07 ACERO DE REFUERZO fy=4,200 kg/cm2 EN ESTRIBOS; 1.10.04.03.01.02 ACERO DE REFUERZO fy=4,200 kg/cm2; 1.10.04.05.03 ACERO DE REFUERZO Fy= 4200 kg/cm2; 1.10.05.02.03.03 ACERO DE REFUERZO fy=4,200 kg/cm2 EN ZAPATA; 1.10.05.02.03.07 ACERO DE REFUERZO fy=4,200 kg/cm2 EN ESTRIBOS; 1.10.05.03.01.02 ACERO DE REFUERZO fy=4,200 kg/cm2; 1.10.05.05.03 ACERO DE REFUERZO Fy= 4200 kg/cm2</t>
        </is>
      </c>
    </row>
    <row r="22" ht="135" customHeight="1">
      <c r="A22" s="4" t="inlineStr">
        <is>
          <t>ENCF</t>
        </is>
      </c>
      <c r="B22" s="7" t="inlineStr">
        <is>
          <t>Encofrado y desencofrado</t>
        </is>
      </c>
      <c r="C22" s="6" t="inlineStr">
        <is>
          <t>30 partidas: 1.08.01.10 ENCOFRADO Y DESENCOFRADO; 1.08.02.10 ENCOFRADO Y DESENCOFRADO; 1.08.03.08 ENCOFRADO Y DESENCOFRADO; 1.08.05.09 ENCOFRADO Y DESENCOFRADO; 1.08.06.07 ENCOFRADO Y DESENCOFRADO; 1.10.01.02.05 ENCOFRADO CARA SUCIA BAJO AGUA; 1.10.01.02.06 ENCOFRADO CARA SUCIA EN SECO; 1.10.01.02.07 ENCOFRADO CARA VISTA EN SECO; 1.10.01.04.02.01 ENCOFRADO DE LOSA CARA VISTA EN SECO; 1.10.01.06.02 ENCOFRADO Y DESENCOFRADO; 1.10.02.02.05 ENCOFRADO CARA SUCIA BAJO AGUA; 1.10.02.02.06 ENCOFRADO CARA SUCIA EN SECO; 1.10.02.02.07 ENCOFRADO CARA VISTA EN SECO; 1.10.02.04.02.01 ENCOFRADO DE LOSA CARA VISTA EN SECO; 1.10.02.06.02 ENCOFRADO Y DESENCOFRADO; 1.10.03.02.03.02 ENCOFRADO CARA SUCIA BAJO AGUA; 1.10.03.02.03.05 ENCOFRADO CARA SUCIA EN SECO; 1.10.03.02.03.06 ENCOFRADO CARA VISTA EN SECO; 1.10.03.03.01.01 ENCOFRADO Y DESENCOFRADO SUPER ESTRUCTURAS; 1.10.03.05.02 ENCOFRADO Y DESENCOFRADO; 1.10.04.02.03.02 ENCOFRADO CARA SUCIA BAJO AGUA; 1.10.04.02.03.05 ENCOFRADO CARA SUCIA EN SECO; 1.10.04.02.03.06 ENCOFRADO CARA VISTA EN SECO; 1.10.04.03.01.01 ENCOFRADO Y DESENCOFRADO SUPER ESTRUCTURAS; 1.10.04.05.02 ENCOFRADO Y DESENCOFRADO; 1.10.05.02.03.02 ENCOFRADO CARA SUCIA BAJO AGUA; 1.10.05.02.03.05 ENCOFRADO CARA SUCIA EN SECO; 1.10.05.02.03.06 ENCOFRADO CARA VISTA EN SECO; 1.10.05.03.01.01 ENCOFRADO Y DESENCOFRADO SUPER ESTRUCTURAS; 1.10.05.05.02 ENCOFRADO Y DESENCOFRADO</t>
        </is>
      </c>
    </row>
    <row r="23" ht="179" customHeight="1">
      <c r="A23" s="4" t="inlineStr">
        <is>
          <t>CONC</t>
        </is>
      </c>
      <c r="B23" s="7" t="inlineStr">
        <is>
          <t>Preparación, vaciado y curado de concreto</t>
        </is>
      </c>
      <c r="C23" s="6" t="inlineStr">
        <is>
          <t>39 partidas: 1.08.01.07 SOLADOS DE CONCRETO SIMPLE f´c=100 kg/cm2, E=4"; 1.08.01.08 CONCRETO ARMADO f'c= 210 kg/cm2; 1.08.02.07 SOLADOS DE CONCRETO SIMPLE f´c=100 kg/cm2, E=4"; 1.08.02.08 CONCRETO ARMADO f'c= 210 kg/cm2; 1.08.03.06 SOLADOS DE CONCRETO SIMPLE f´c=100 kg/cm2, E=4"; 1.08.03.07 CONCRETO ARMADO f'c= 210 kg/cm2; 1.08.05.06 SOLADOS DE CONCRETO SIMPLE f´c=100 kg/cm2, E=4"; 1.08.05.07 CONCRETO SIMPLEf'c=175 kg/cm2; 1.08.05.08 CONCRETO ARMADO f'c= 210 kg/cm2; 1.08.05.13 JUNTA DE WATER STOP DE 6"; 1.08.06.05 SOLADOS DE CONCRETO SIMPLE f´c=100 kg/cm2, E=4"; 1.08.06.06 CONCRETO f'c=280 Kg/cm2; 1.10.01.02.08 CONCRETO f'c=210 kg/cm2 EN ESTRIBO; 1.10.01.04.02.03 CONCRETO f'c=280 Kg/cm2 SUPERESTRUCTURA; 1.10.01.05.04 ACABADO EN VEREDAS; 1.10.01.06.01 CONCRETO f'c=210 kg/cm2; 1.10.02.02.08 CONCRETO f'c=210 kg/cm2 EN ESTRIBO; 1.10.02.04.02.03 CONCRETO f'c=280 Kg/cm2 SUPERESTRUCTURA; 1.10.02.05.04 ACABADO EN VEREDAS; 1.10.02.06.01 CONCRETO f'c=210 kg/cm2; 1.10.03.02.03.01 SOLADO f´c=100 kg/cm2; 1.10.03.02.03.04 CONCRETO f'c=210 kg/cm2 EN ZAPATA; 1.10.03.02.03.08 CONCRETO f'c=210 kg/cm2 EN ESTRIBO; 1.10.03.03.01.03 CONCRETO f'c=280 Kg/cm2 SUPERESTRUCTURA; 1.10.03.04.04 ACABADO EN VEREDAS; 1.10.03.05.01 CONCRETO f'c=210 kg/cm2; 1.10.04.02.03.01 SOLADO f´c=100 kg/cm2; 1.10.04.02.03.04 CONCRETO f'c=210 kg/cm2 EN ZAPATA; 1.10.04.02.03.08 CONCRETO f'c=210 kg/cm2 EN ESTRIBO; 1.10.04.03.01.03 CONCRETO f'c=280 Kg/cm2 SUPERESTRUCTURA; 1.10.04.04.04 ACABADO EN VEREDAS; 1.10.04.05.01 CONCRETO f'c=210 kg/cm2; 1.10.05.02.03.01 SOLADO f´c=100 kg/cm2; 1.10.05.02.03.04 CONCRETO f'c=210 kg/cm2 EN ZAPATA; 1.10.05.02.03.08 CONCRETO f'c=210 kg/cm2 EN ESTRIBO; 1.10.05.03.01.03 CONCRETO f'c=280 Kg/cm2 SUPERESTRUCTURA; 1.10.05.04.04 ACABADO EN VEREDAS; 1.10.05.05.01 CONCRETO f'c=210 kg/cm2; 1.11.02.02.01 LOSA DE CONCRETO F´c=175Kg/CM2 (24.00 m2)E=2"</t>
        </is>
      </c>
    </row>
    <row r="24" ht="58" customHeight="1">
      <c r="A24" s="4" t="inlineStr">
        <is>
          <t>PIED</t>
        </is>
      </c>
      <c r="B24" s="7" t="inlineStr">
        <is>
          <t>Gaviones y mampostería de piedra</t>
        </is>
      </c>
      <c r="C24" s="6" t="inlineStr">
        <is>
          <t>9 partidas: 1.07.07 TRANSPORTE DE PIEDRA PARA GAVION; 1.08.01.09 MAMPOSTERIA CON PIEDRA EMBOQUILLADA; 1.08.02.09 MAMPOSTERIA CON PIEDRA EMBOQUILLADA; 1.08.04.06 GAVIONES TIPO CAJA - SUMINISTRO E INSTALACION 5.00x2.00x0.50m; 1.08.04.07 GAVIONES TIPO CAJA - SUMINISTRO E INSTALACION 5.00x1.00x1.00m; 1.08.04.08 GAVIONES TIPO CAJA - SUMINISTRO E INSTALACION 5.00x1.50x1.00m; 1.08.04.09 NIVELACION, TEJIDO Y CIERRE DE GAVIONES; 1.08.04.11 EXTRACCION DE PIEDRAS CON EQUIPO; 1.08.05.10 MAMPOSTERIA CON PIEDRA EMBOQUILLADA</t>
        </is>
      </c>
    </row>
    <row r="25" ht="69" customHeight="1">
      <c r="A25" s="4" t="inlineStr">
        <is>
          <t>TUBE</t>
        </is>
      </c>
      <c r="B25" s="7" t="inlineStr">
        <is>
          <t>Instalación de alcantarillas, tuberías y elementos prefabricados</t>
        </is>
      </c>
      <c r="C25" s="6" t="inlineStr">
        <is>
          <t>11 partidas: 1.03.01 DEMOLICION DE ALCANTARILLA TIPO TMC EXISTENTE; 1.05.13 SUMINISTRO E INSTALACION DE TUBERIA DRAINPIPE DE 4" DE DIAMETRO PARA SUBDRENAJE EN LA BASE; 1.08.01.12 ALCANTARILLA METALICA CIRCULAR TMC Ø=36" SP, MP-68, ASTM A929; 1.08.01.13 ALCANTARILLA METALICA CIRCULAR TMC Ø=48" SP, MP-68, ASTM A929; 1.08.01.14 ALCANTARILLA METALICA CIRCULAR TMC Ø=60" SP, MP-68, ASTM A929; 1.09.10 PINTADO DE PARAPETOS DE MUROS Y ALCANTARILLAS; 1.10.01.05.03 TUBOS DE DRENAJE DE PLATAFORMA; 1.10.02.05.03 TUBOS DE DRENAJE DE PLATAFORMA; 1.10.03.04.03 TUBOS DE DRENAJE DE PLATAFORMA; 1.10.04.04.03 TUBOS DE DRENAJE DE PLATAFORMA; 1.10.05.04.03 TUBOS DE DRENAJE DE PLATAFORMA</t>
        </is>
      </c>
    </row>
    <row r="26" ht="58" customHeight="1">
      <c r="A26" s="4" t="inlineStr">
        <is>
          <t>ASFA</t>
        </is>
      </c>
      <c r="B26" s="7" t="inlineStr">
        <is>
          <t>Imprimación, riego de liga y pavimento asfáltico en caliente</t>
        </is>
      </c>
      <c r="C26" s="6" t="inlineStr">
        <is>
          <t>15 partidas: 1.03.02 ESCARIFICADO DE CARPETA ASFALTICA EXISTENTE; 1.06.02.01 IMPRIMACION ASFALTICA; 1.06.02.02 PAVIMENTO DE CONCRETO ASFALTICO CALIENTE (MAC); 1.06.02.03 CEMENTO ASFALTICO PEN 60/70; 1.06.02.04 ASFALTO DILUIDO MC-30; 1.06.02.05 FILLER; 1.06.02.06 ADITIVO MEJORADOR DE ADHERENCIA; 1.07.05 TRANSPORTE DE MEZCLA ASFALTICA HASTA D&lt;1 km; 1.07.06 TRANSPORTE DE MEZCLA ASFALTICA MAYOR D&gt;1 km; 1.08.05.12 JUNTAS ASFALTICAS, E=1"; 1.10.01.05.07 RIEGO DE LIGA; 1.10.02.05.07 RIEGO DE LIGA; 1.10.03.04.07 RIEGO DE LIGA; 1.10.04.04.07 RIEGO DE LIGA; 1.10.05.04.07 RIEGO DE LIGA</t>
        </is>
      </c>
    </row>
    <row r="27" ht="124" customHeight="1">
      <c r="A27" s="4" t="inlineStr">
        <is>
          <t>ESTM</t>
        </is>
      </c>
      <c r="B27" s="7" t="inlineStr">
        <is>
          <t>Fabricación, arenado, pintura y montaje de estructuras metálicas</t>
        </is>
      </c>
      <c r="C27" s="6" t="inlineStr">
        <is>
          <t>24 partidas: 1.10.01.01.04 DESMONTAJE Y TRASLADO DE DE VIGAS METALICAS; 1.10.01.04.01.01 FABRICACION DE VIGAS METALICAS; 1.10.01.04.01.02 PINTURA Y ARENADO DE ESTRUCTURA METALICA; 1.10.01.04.01.03 TRANSPORTE DE ESTRUCTURA METALICA A OBRA; 1.10.01.04.01.04 MONTAJE ESTRUCTURAS METALICAS INC.EMPALME; 1.10.01.05.01 JUNTA DE DILATACION METALICA; 1.10.01.05.06 BARANDAS METALICAS PARA PUENTES; 1.10.01.05.08 TOPE SISMICO VERTICAL 0.30x0.45x0.025 m; 1.10.01.05.09 TOPE SISMICO HORIZONTAL 0.20x0.30x0.016 m; 1.10.02.01.04 DESMONTAJE Y TRASLADO DE DE VIGAS METALICAS; 1.10.02.04.01.01 FABRICACION DE VIGAS METALICAS; 1.10.02.04.01.02 PINTURA Y ARENADO DE ESTRUCTURA METALICA; 1.10.02.04.01.03 TRANSPORTE DE ESTRUCTURA METALICA A OBRA; 1.10.02.04.01.04 MONTAJE ESTRUCTURAS METALICAS INC.EMPALME; 1.10.02.05.01 JUNTA DE DILATACION METALICA; 1.10.02.05.06 BARANDAS METALICAS PARA PUENTES; 1.10.02.05.08 TOPE SISMICO VERTICAL 0.30x0.45x0.025 m; 1.10.02.05.09 TOPE SISMICO HORIZONTAL 0.20x0.30x0.016 m; 1.10.03.04.01 JUNTA DE DILATACION METALICA; 1.10.03.04.06 BARANDAS METALICAS PARA PUENTES; 1.10.04.04.01 JUNTA DE DILATACION METALICA; 1.10.04.04.06 BARANDAS METALICAS PARA PUENTES; 1.10.05.04.01 JUNTA DE DILATACION METALICA; 1.10.05.04.06 BARANDAS METALICAS PARA PUENTES</t>
        </is>
      </c>
    </row>
    <row r="28" ht="400" customHeight="1">
      <c r="A28" s="4" t="inlineStr">
        <is>
          <t>PUEN</t>
        </is>
      </c>
      <c r="B28" s="7" t="inlineStr">
        <is>
          <t>Trabajos en puentes sobre cauces (estribos, superestructura, prueba de carga)</t>
        </is>
      </c>
      <c r="C28" s="6" t="inlineStr">
        <is>
          <t>185 partidas: 1.10.01.01.01 LIMPIEZA DEL TERRENO; 1.10.01.01.02 TRAZO Y REPLANTEO; 1.10.01.01.03 DEMOLICION DE ESTRIBO Y VIGA LOSA EXISTENTE; 1.10.01.01.04 DESMONTAJE Y TRASLADO DE DE VIGAS METALICAS; 1.10.01.01.05 ENCAUSAMIENTO DE QUEBRADA; 1.10.01.01.06 DESVIO TEMPORAL DURANTE LA EJECUCION; 1.10.01.02.01 EXCAVACION P/ESTRUCTURAS EN MATERIAL COMUN EN SECO; 1.10.01.02.02 EXCAVACION P/ESTRUCTURAS EN MATERIAL COMUN BAJO AGUA; 1.10.01.02.03 MEJORAMIENTO DE TERRENO DE FUNDACION (FALSA ZAPATA); 1.10.01.02.04 ACERO DE REFUERZO fy=4,200 kg/cm2; 1.10.01.02.05 ENCOFRADO CARA SUCIA BAJO AGUA; 1.10.01.02.06 ENCOFRADO CARA SUCIA EN SECO; 1.10.01.02.07 ENCOFRADO CARA VISTA EN SECO; 1.10.01.02.08 CONCRETO f'c=210 kg/cm2 EN ESTRIBO; 1.10.01.02.09 RELLENO FILTRO DE GRAVA DE 3/4"; 1.10.01.02.10 RELLENO DE ESTRUCTURAS CON MATERIAL GRANULAR; 1.10.01.02.11 ELIMINACION DE MATERIAL EXCEDENTE D&lt;1 Km; 1.10.01.03.01 TRANSPORTE DE MATERIAL EXCEDENTE DME MAYOR D&gt;1 km; 1.10.01.03.02 TRANSPORTE DE MATERIAL GRANULAR MAYOR D&gt;1 km; 1.10.01.04.01.01 FABRICACION DE VIGAS METALICAS; 1.10.01.04.01.02 PINTURA Y ARENADO DE ESTRUCTURA METALICA; 1.10.01.04.01.03 TRANSPORTE DE ESTRUCTURA METALICA A OBRA; 1.10.01.04.01.04 MONTAJE ESTRUCTURAS METALICAS INC.EMPALME; 1.10.01.04.02.01 ENCOFRADO DE LOSA CARA VISTA EN SECO; 1.10.01.04.02.02 ACERO DE REFUERZO fy=4,200 kg/cm2; 1.10.01.04.02.03 CONCRETO f'c=280 Kg/cm2 SUPERESTRUCTURA; 1.10.01.05.01 JUNTA DE DILATACION METALICA; 1.10.01.05.02 NEOPRENO DE 400 x 500 mm; 1.10.01.05.03 TUBOS DE DRENAJE DE PLATAFORMA; 1.10.01.05.04 ACABADO EN VEREDAS; 1.10.01.05.05 GEOCOMPUESTO PARA DRENAJE DE ESTRIBOS; 1.10.01.05.06 BARANDAS METALICAS PARA PUENTES; 1.10.01.05.07 RIEGO DE LIGA; 1.10.01.05.08 TOPE SISMICO VERTICAL 0.30x0.45x0.025 m; 1.10.01.05.09 TOPE SISMICO HORIZONTAL 0.20x0.30x0.016 m; 1.10.01.05.10 PRUEBA DE CARGA EN PUENTES; 1.10.01.05.11 LIMPIEZA FINAL DE PUENTE; 1.10.01.06.01 CONCRETO f'c=210 kg/cm2; 1.10.01.06.02 ENCOFRADO Y DESENCOFRADO; 1.10.01.06.03 ACERO DE REFUERZO Fy= 4200 kg/cm2; 1.10.02.01.01 LIMPIEZA DEL TERRENO; 1.10.02.01.02 TRAZO Y REPLANTEO; 1.10.02.01.03 DEMOLICION DE ESTRIBO Y VIGA LOSA EXISTENTE; 1.10.02.01.04 DESMONTAJE Y TRASLADO DE DE VIGAS METALICAS; 1.10.02.01.05 ENCAUSAMIENTO DE QUEBRADA; 1.10.02.01.06 DESVIO TEMPORAL DURANTE LA EJECUCION; 1.10.02.02.01 EXCAVACION P/ESTRUCTURAS EN MATERIAL COMUN EN SECO; 1.10.02.02.02 EXCAVACION P/ESTRUCTURAS EN MATERIAL COMUN BAJO AGUA; 1.10.02.02.03 MEJORAMIENTO DE TERRENO DE FUNDACION (FALSA ZAPATA); 1.10.02.02.04 ACERO DE REFUERZO fy=4,200 kg/cm2; 1.10.02.02.05 ENCOFRADO CARA SUCIA BAJO AGUA; 1.10.02.02.06 ENCOFRADO CARA SUCIA EN SECO; 1.10.02.02.07 ENCOFRADO CARA VISTA EN SECO; 1.10.02.02.08 CONCRETO f'c=210 kg/cm2 EN ESTRIBO; 1.10.02.02.09 RELLENO FILTRO DE GRAVA DE 3/4"; 1.10.02.02.10 RELLENO DE ESTRUCTURAS CON MATERIAL GRANULAR; 1.10.02.02.11 ELIMINACION DE MATERIAL EXCEDENTE D&lt;1 Km; 1.10.02.03.01 TRANSPORTE DE MATERIAL EXCEDENTE DME MAYOR D&gt;1 km; 1.10.02.03.02 TRANSPORTE DE MATERIAL GRANULAR MAYOR D&gt;1 km; 1.10.02.04.01.01 FABRICACION DE VIGAS METALICAS; 1.10.02.04.01.02 PINTURA Y ARENADO DE ESTRUCTURA METALICA; 1.10.02.04.01.03 TRANSPORTE DE ESTRUCTURA METALICA A OBRA; 1.10.02.04.01.04 MONTAJE ESTRUCTURAS METALICAS INC.EMPALME; 1.10.02.04.02.01 ENCOFRADO DE LOSA CARA VISTA EN SECO; 1.10.02.04.02.02 ACERO DE REFUERZO fy=4,200 kg/cm2; 1.10.02.04.02.03 CONCRETO f'c=280 Kg/cm2 SUPERESTRUCTURA; 1.10.02.05.01 JUNTA DE DILATACION METALICA; 1.10.02.05.02 NEOPRENO DE 400 x 500 mm; 1.10.02.05.03 TUBOS DE DRENAJE DE PLATAFORMA; 1.10.02.05.04 ACABADO EN VEREDAS; 1.10.02.05.05 GEOCOMPUESTO PARA DRENAJE DE ESTRIBOS; 1.10.02.05.06 BARANDAS METALICAS PARA PUENTES; 1.10.02.05.07 RIEGO DE LIGA; 1.10.02.05.08 TOPE SISMICO VERTICAL 0.30x0.45x0.025 m; 1.10.02.05.09 TOPE SISMICO HORIZONTAL 0.20x0.30x0.016 m; 1.10.02.05.10 PRUEBA DE CARGA EN PUENTES; 1.10.02.05.11 LIMPIEZA FINAL DE PUENTE; 1.10.02.06.01 CONCRETO f'c=210 kg/cm2; 1.10.02.06.02 ENCOFRADO Y DESENCOFRADO; 1.10.02.06.03 ACERO DE REFUERZO Fy= 4200 kg/cm2; 1.10.03.01.01 LIMPIEZA Y DESBROCE DE TERRENO NATURAL; 1.10.03.01.02 TRAZO Y REPLANTEO TOPOGRAFICO; 1.10.03.01.03 DEMOLICION DE ESTRIBO Y VIGA LOSA EXISTENTE; 1.10.03.01.04 ENCAUSAMIENTO DE QUEBRADA; 1.10.03.01.05 DESVIO TEMPORAL DURANTE LA EJECUCION; 1.10.03.02.01.01 EXCAVACION P/ESTRUCTURAS EN MATERIAL COMUN EN SECO; 1.10.03.02.01.02 EXCAVACION P/ESTRUCTURAS EN MATERIAL COMUN BAJO AGUA; 1.10.03.02.01.03 RELLENO DE ESTRUCTURAS CON MATERIAL GRANULAR; 1.10.03.02.01.04 ELIMINACION DE MATERIAL EXCEDENTE D&lt;1 Km; 1.10.03.02.01.05 RELLENO FILTRO DE GRAVA DE 3/4"; 1.10.03.02.02.01 TRANSPORTE DE MATERIAL EXCEDENTE DME MAYOR D&gt;1 km; 1.10.03.02.02.02 TRANSPORTE DE MATERIAL GRANULAR MAYOR D&gt;1 km; 1.10.03.02.03.01 SOLADO f´c=100 kg/cm2; 1.10.03.02.03.02 ENCOFRADO CARA SUCIA BAJO AGUA; 1.10.03.02.03.03 ACERO DE REFUERZO fy=4,200 kg/cm2 EN ZAPATA; 1.10.03.02.03.04 CONCRETO f'c=210 kg/cm2 EN ZAPATA; 1.10.03.02.03.05 ENCOFRADO CARA SUCIA EN SECO; 1.10.03.02.03.06 ENCOFRADO CARA VISTA EN SECO; 1.10.03.02.03.07 ACERO DE REFUERZO fy=4,200 kg/cm2 EN ESTRIBOS; 1.10.03.02.03.08 CONCRETO f'c=210 kg/cm2 EN ESTRIBO; 1.10.03.03.01.01 ENCOFRADO Y DESENCOFRADO SUPER ESTRUCTURAS; 1.10.03.03.01.02 ACERO DE REFUERZO fy=4,200 kg/cm2; 1.10.03.03.01.03 CONCRETO f'c=280 Kg/cm2 SUPERESTRUCTURA; 1.10.03.04.01 JUNTA DE DILATACION METALICA; 1.10.03.04.02 NEOPRENO DE 400 x 500 mm; 1.10.03.04.03 TUBOS DE DRENAJE DE PLATAFORMA; 1.10.03.04.04 ACABADO EN VEREDAS; 1.10.03.04.05 GEOCOMPUESTO PARA DRENAJE DE ESTRIBOS; 1.10.03.04.06 BARANDAS METALICAS PARA PUENTES; 1.10.03.04.07 RIEGO DE LIGA; 1.10.03.04.08 PRUEBA DE CARGA EN PUENTES; 1.10.03.04.09 LIMPIEZA FINAL DE PUENTE; 1.10.03.05.01 CONCRETO f'c=210 kg/cm2; 1.10.03.05.02 ENCOFRADO Y DESENCOFRADO; 1.10.03.05.03 ACERO DE REFUERZO Fy= 4200 kg/cm2; 1.10.04.01.01 LIMPIEZA Y DESBROCE DE TERRENO NATURAL; 1.10.04.01.02 TRAZO Y REPLANTEO TOPOGRAFICO; 1.10.04.01.03 DEMOLICION DE ESTRIBO Y VIGA LOSA EXISTENTE; 1.10.04.01.04 ENCAUSAMIENTO DE QUEBRADA; 1.10.04.01.05 DESVIO TEMPORAL DURANTE LA EJECUCION; 1.10.04.02.01.01 EXCAVACION P/ESTRUCTURAS EN MATERIAL COMUN EN SECO; 1.10.04.02.01.02 EXCAVACION P/ESTRUCTURAS EN MATERIAL COMUN BAJO AGUA; 1.10.04.02.01.03 RELLENO DE ESTRUCTURAS CON MATERIAL GRANULAR; 1.10.04.02.01.04 ELIMINACION DE MATERIAL EXCEDENTE D&lt;1 Km; 1.10.04.02.01.05 RELLENO FILTRO DE GRAVA DE 3/4"; 1.10.04.02.02.01 TRANSPORTE DE MATERIAL EXCEDENTE DME MAYOR D&gt;1 km; 1.10.04.02.02.02 TRANSPORTE DE MATERIAL GRANULAR MAYOR D&gt;1 km; 1.10.04.02.03.01 SOLADO f´c=100 kg/cm2; 1.10.04.02.03.02 ENCOFRADO CARA SUCIA BAJO AGUA; 1.10.04.02.03.03 ACERO DE REFUERZO fy=4,200 kg/cm2 EN ZAPATA; 1.10.04.02.03.04 CONCRETO f'c=210 kg/cm2 EN ZAPATA; 1.10.04.02.03.05 ENCOFRADO CARA SUCIA EN SECO; 1.10.04.02.03.06 ENCOFRADO CARA VISTA EN SECO; 1.10.04.02.03.07 ACERO DE REFUERZO fy=4,200 kg/cm2 EN ESTRIBOS; 1.10.04.02.03.08 CONCRETO f'c=210 kg/cm2 EN ESTRIBO; 1.10.04.03.01.01 ENCOFRADO Y DESENCOFRADO SUPER ESTRUCTURAS; 1.10.04.03.01.02 ACERO DE REFUERZO fy=4,200 kg/cm2; 1.10.04.03.01.03 CONCRETO f'c=280 Kg/cm2 SUPERESTRUCTURA; 1.10.04.04.01 JUNTA DE DILATACION METALICA; 1.10.04.04.02 NEOPRENO DE 400 x 500 mm; 1.10.04.04.03 TUBOS DE DRENAJE DE PLATAFORMA; 1.10.04.04.04 ACABADO EN VEREDAS; 1.10.04.04.05 GEOCOMPUESTO PARA DRENAJE DE ESTRIBOS; 1.10.04.04.06 BARANDAS METALICAS PARA PUENTES; 1.10.04.04.07 RIEGO DE LIGA; 1.10.04.04.08 PRUEBA DE CARGA EN PUENTES; 1.10.04.04.09 LIMPIEZA FINAL DE PUENTE; 1.10.04.05.01 CONCRETO f'c=210 kg/cm2; 1.10.04.05.02 ENCOFRADO Y DESENCOFRADO; 1.10.04.05.03 ACERO DE REFUERZO Fy= 4200 kg/cm2; 1.10.05.01.01 LIMPIEZA Y DESBROCE DE TERRENO NATURAL; 1.10.05.01.02 TRAZO Y REPLANTEO TOPOGRAFICO; 1.10.05.01.03 DEMOLICION DE ESTRIBO Y VIGA LOSA EXISTENTE; 1.10.05.01.04 ENCAUSAMIENTO DE QUEBRADA; 1.10.05.01.05 DESVIO TEMPORAL DURANTE LA EJECUCION; 1.10.05.02.01.01 EXCAVACION P/ESTRUCTURAS EN MATERIAL COMUN EN SECO; 1.10.05.02.01.02 EXCAVACION P/ESTRUCTURAS EN MATERIAL COMUN BAJO AGUA; 1.10.05.02.01.03 RELLENO DE ESTRUCTURAS CON MATERIAL GRANULAR; 1.10.05.02.01.04 ELIMINACION DE MATERIAL EXCEDENTE D&lt;1 Km; 1.10.05.02.01.05 RELLENO FILTRO DE GRAVA DE 3/4"; 1.10.05.02.02.01 TRANSPORTE DE MATERIAL EXCEDENTE DME MAYOR D&gt;1 km; 1.10.05.02.02.02 TRANSPORTE DE MATERIAL GRANULAR MAYOR D&gt;1 km; 1.10.05.02.03.01 SOLADO f´c=100 kg/cm2; 1.10.05.02.03.02 ENCOFRADO CARA SUCIA BAJO AGUA; 1.10.05.02.03.03 ACERO DE REFUERZO fy=4,200 kg/cm2 EN ZAPATA; 1.10.05.02.03.04 CONCRETO f'c=210 kg/cm2 EN ZAPATA; 1.10.05.02.03.05 ENCOFRADO CARA SUCIA EN SECO; 1.10.05.02.03.06 ENCOFRADO CARA VISTA EN SECO; 1.10.05.02.03.07 ACERO DE REFUERZO fy=4,200 kg/cm2 EN ESTRIBOS; 1.10.05.02.03.08 CONCRETO f'c=210 kg/cm2 EN ESTRIBO; 1.10.05.03.01.01 ENCOFRADO Y DESENCOFRADO SUPER ESTRUCTURAS; 1.10.05.03.01.02 ACERO DE REFUERZO fy=4,200 kg/cm2; 1.10.05.03.01.03 CONCRETO f'c=280 Kg/cm2 SUPERESTRUCTURA; 1.10.05.04.01 JUNTA DE DILATACION METALICA; 1.10.05.04.02 NEOPRENO DE 400 x 500 mm; 1.10.05.04.03 TUBOS DE DRENAJE DE PLATAFORMA; 1.10.05.04.04 ACABADO EN VEREDAS; 1.10.05.04.05 GEOCOMPUESTO PARA DRENAJE DE ESTRIBOS; 1.10.05.04.06 BARANDAS METALICAS PARA PUENTES; 1.10.05.04.07 RIEGO DE LIGA; 1.10.05.04.08 PRUEBA DE CARGA EN PUENTES; 1.10.05.04.09 LIMPIEZA FINAL DE PUENTE; 1.10.05.05.01 CONCRETO f'c=210 kg/cm2; 1.10.05.05.02 ENCOFRADO Y DESENCOFRADO; 1.10.05.05.03 ACERO DE REFUERZO Fy= 4200 kg/cm2</t>
        </is>
      </c>
    </row>
    <row r="29" ht="47" customHeight="1">
      <c r="A29" s="4" t="inlineStr">
        <is>
          <t>SENV</t>
        </is>
      </c>
      <c r="B29" s="7" t="inlineStr">
        <is>
          <t>Señalización vial definitiva, pintura de tráfico y barreras</t>
        </is>
      </c>
      <c r="C29" s="6" t="inlineStr">
        <is>
          <t>11 partidas: 1.09.01 MARCAS REFLECTIVAS CON PINTURA DE TRAFICO; 1.09.02 SEÑAL PREVENTIVA; 1.09.03 SEÑAL REGLAMENTARIA; 1.09.04 SEÑAL IMFORMATIVA; 1.09.05 POSTES DE SOPORTE DE SEÑALES; 1.09.06 ESTRUCTURA DE SOPORTE DE SEÑALES; 1.09.07 CIMENTACION Y MONTAJE DE SEÑAL INFORMATIVA; 1.09.08 TACHAS REFLECTIVAS SEPARADORAS; 1.09.09 BARRERA DE SEGURIDAD LATERAL NIVEL DE CONTENSION P3-H1W3; 1.09.10 PINTADO DE PARAPETOS DE MUROS Y ALCANTARILLAS; 1.09.11 POSTES KILOMETRICOS</t>
        </is>
      </c>
    </row>
    <row r="30" ht="14" customHeight="1">
      <c r="A30" s="4" t="inlineStr">
        <is>
          <t>POST</t>
        </is>
      </c>
      <c r="B30" s="7" t="inlineStr">
        <is>
          <t>Reubicación de postes e interferencias con redes eléctricas</t>
        </is>
      </c>
      <c r="C30" s="6" t="inlineStr">
        <is>
          <t>1 partidas: 1.04.12 REUBICACION DE POSTES</t>
        </is>
      </c>
    </row>
    <row r="31" ht="14" customHeight="1">
      <c r="A31" s="4" t="inlineStr">
        <is>
          <t>MANT</t>
        </is>
      </c>
      <c r="B31" s="7" t="inlineStr">
        <is>
          <t>Mantenimiento y abastecimiento de combustible de maquinaria</t>
        </is>
      </c>
      <c r="C31" s="6" t="inlineStr">
        <is>
          <t>Actividad transversal a toda la obra</t>
        </is>
      </c>
    </row>
    <row r="32" ht="58" customHeight="1">
      <c r="A32" s="4" t="inlineStr">
        <is>
          <t>AMBI</t>
        </is>
      </c>
      <c r="B32" s="7" t="inlineStr">
        <is>
          <t>Manejo de residuos, servicios higiénicos portátiles y revegetación</t>
        </is>
      </c>
      <c r="C32" s="6" t="inlineStr">
        <is>
          <t>9 partidas: 1.11.02.01.02 ALMACENAMIENTO Y TRANSPORTE DE DE RESIDUOS SOLIDOS; 1.11.02.01.03 RECOJO Y TRANSPORTE ESPECIALIZADO DE RESIDUOS SOLIDOS; 1.11.02.02.02 DISPOSICION FINAL DE RESIDUOS PELIGROSOS; 1.11.02.03.01 ALQUILER DE LETRINAS PORTATILES; 1.11.03.01 REVEGATACION EN ZONAS DE ESTABILIZACION; 1.11.05.02 SEMBRIO DE PLANTONES; 1.11.07.01 READECUCACION DE AMBIENTES DE AREAS AUXILIARES (DME, PATIO DE MAQUINAS, CAMPAMENTO, OTROS); 1.11.11.01 SUMINISTRO, PREPARACION Y COLOCACION DE CAPA SUPERFICIAL DE SUELO; 1.11.11.02 REVEGETACION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13"/>
  <sheetViews>
    <sheetView showGridLines="0" workbookViewId="0">
      <selection activeCell="A1" sqref="A1"/>
    </sheetView>
  </sheetViews>
  <sheetFormatPr baseColWidth="8" defaultRowHeight="15"/>
  <cols>
    <col width="60" customWidth="1" min="1" max="1"/>
    <col width="40" customWidth="1" min="2" max="2"/>
    <col width="18" customWidth="1" min="3" max="3"/>
  </cols>
  <sheetData>
    <row r="1">
      <c r="A1" s="1" t="inlineStr">
        <is>
          <t>DIRECTORIO DE EMERGENCIA</t>
        </is>
      </c>
    </row>
    <row r="2" ht="24" customHeight="1">
      <c r="A2" s="2" t="inlineStr">
        <is>
          <t>Completar o confirmar los teléfonos locales antes del inicio de la obra</t>
        </is>
      </c>
    </row>
    <row r="4">
      <c r="A4" s="3" t="inlineStr">
        <is>
          <t>INSTITUCIÓN</t>
        </is>
      </c>
      <c r="B4" s="3" t="inlineStr">
        <is>
          <t>UBICACIÓN</t>
        </is>
      </c>
      <c r="C4" s="3" t="inlineStr">
        <is>
          <t>TELÉFONO</t>
        </is>
      </c>
    </row>
    <row r="5">
      <c r="A5" s="6" t="inlineStr">
        <is>
          <t>Central de emergencias de la Policía Nacional del Perú</t>
        </is>
      </c>
      <c r="B5" s="6" t="inlineStr">
        <is>
          <t>Nacional</t>
        </is>
      </c>
      <c r="C5" s="20" t="inlineStr">
        <is>
          <t>105</t>
        </is>
      </c>
    </row>
    <row r="6">
      <c r="A6" s="6" t="inlineStr">
        <is>
          <t>Cuerpo General de Bomberos Voluntarios del Perú</t>
        </is>
      </c>
      <c r="B6" s="6" t="inlineStr">
        <is>
          <t>Nacional</t>
        </is>
      </c>
      <c r="C6" s="20" t="inlineStr">
        <is>
          <t>116</t>
        </is>
      </c>
    </row>
    <row r="7">
      <c r="A7" s="6" t="inlineStr">
        <is>
          <t>SAMU - Sistema de Atención Móvil de Urgencias (MINSA)</t>
        </is>
      </c>
      <c r="B7" s="6" t="inlineStr">
        <is>
          <t>Nacional</t>
        </is>
      </c>
      <c r="C7" s="20" t="inlineStr">
        <is>
          <t>106</t>
        </is>
      </c>
    </row>
    <row r="8">
      <c r="A8" s="6" t="inlineStr">
        <is>
          <t>Establecimiento de salud de Shamboyacu (primer nivel de atención)</t>
        </is>
      </c>
      <c r="B8" s="6" t="inlineStr">
        <is>
          <t>Shamboyacu, al final del tramo</t>
        </is>
      </c>
      <c r="C8" s="20" t="inlineStr"/>
    </row>
    <row r="9">
      <c r="A9" s="6" t="inlineStr">
        <is>
          <t>Hospital de la provincia de Picota</t>
        </is>
      </c>
      <c r="B9" s="6" t="inlineStr">
        <is>
          <t>Picota, por la SM-107 y la PE-5N</t>
        </is>
      </c>
      <c r="C9" s="20" t="inlineStr"/>
    </row>
    <row r="10">
      <c r="A10" s="6" t="inlineStr">
        <is>
          <t>Hospital II-2 Tarapoto (referencia para casos graves)</t>
        </is>
      </c>
      <c r="B10" s="6" t="inlineStr">
        <is>
          <t>Tarapoto, por la PE-5N</t>
        </is>
      </c>
      <c r="C10" s="20" t="inlineStr"/>
    </row>
    <row r="11">
      <c r="A11" s="6" t="inlineStr">
        <is>
          <t>Comisaría PNP más cercana</t>
        </is>
      </c>
      <c r="B11" s="6" t="inlineStr">
        <is>
          <t>Picota / Shamboyacu</t>
        </is>
      </c>
      <c r="C11" s="20" t="inlineStr"/>
    </row>
    <row r="12">
      <c r="A12" s="6" t="inlineStr">
        <is>
          <t>Concesionaria de electricidad (corte de energía y emergencias)</t>
        </is>
      </c>
      <c r="B12" s="6" t="inlineStr">
        <is>
          <t>Región San Martín</t>
        </is>
      </c>
      <c r="C12" s="20" t="inlineStr"/>
    </row>
    <row r="13">
      <c r="A13" s="6" t="inlineStr">
        <is>
          <t>Oficina de Defensa Civil de la Municipalidad Distrital de Shamboyacu</t>
        </is>
      </c>
      <c r="B13" s="6" t="inlineStr">
        <is>
          <t>Shamboyacu</t>
        </is>
      </c>
      <c r="C13" s="20" t="inlineStr"/>
    </row>
  </sheetData>
  <mergeCells count="2">
    <mergeCell ref="A1:C1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2026-10-17T00:31:02Z</dcterms:created>
  <dcterms:modified xmlns:dcterms="http://purl.org/dc/terms/" xmlns:xsi="http://www.w3.org/2001/XMLSchema-instance" xsi:type="dcterms:W3CDTF">2026-10-17T00:31:02Z</dcterms:modified>
</cp:coreProperties>
</file>