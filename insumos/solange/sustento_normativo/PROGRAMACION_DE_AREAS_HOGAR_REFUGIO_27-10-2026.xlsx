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SOLANSH\GERENCIA TERRITORIAL BAJO MAYO\REFUGIO DE MUJERES\"/>
    </mc:Choice>
  </mc:AlternateContent>
  <xr:revisionPtr revIDLastSave="0" documentId="13_ncr:1_{5885AC68-6ABF-47C4-B7D0-E72ADB3378B3}" xr6:coauthVersionLast="47" xr6:coauthVersionMax="47" xr10:uidLastSave="{00000000-0000-0000-0000-000000000000}"/>
  <bookViews>
    <workbookView xWindow="-108" yWindow="-108" windowWidth="23256" windowHeight="12456" xr2:uid="{483222A4-E602-4185-BE2A-6A62C0B47006}"/>
  </bookViews>
  <sheets>
    <sheet name="PROGRAMACIÓN DE ÁREA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1" i="2" l="1"/>
  <c r="I70" i="2"/>
  <c r="I69" i="2"/>
  <c r="I68" i="2"/>
  <c r="I38" i="2"/>
  <c r="I65" i="2"/>
  <c r="I67" i="2"/>
  <c r="I11" i="2"/>
  <c r="I10" i="2"/>
  <c r="I9" i="2"/>
  <c r="I64" i="2"/>
  <c r="I33" i="2"/>
  <c r="I32" i="2"/>
  <c r="I31" i="2"/>
  <c r="I75" i="2"/>
  <c r="I63" i="2"/>
  <c r="I30" i="2"/>
  <c r="I24" i="2"/>
  <c r="I83" i="2"/>
  <c r="I40" i="2"/>
  <c r="H62" i="2"/>
  <c r="I62" i="2" s="1"/>
  <c r="I39" i="2"/>
  <c r="I57" i="2"/>
  <c r="I51" i="2"/>
  <c r="I50" i="2"/>
  <c r="I28" i="2"/>
  <c r="I74" i="2"/>
  <c r="I76" i="2"/>
  <c r="I77" i="2"/>
  <c r="I78" i="2"/>
  <c r="I79" i="2"/>
  <c r="I80" i="2"/>
  <c r="I73" i="2"/>
  <c r="I72" i="2"/>
  <c r="I60" i="2"/>
  <c r="I61" i="2"/>
  <c r="I59" i="2"/>
  <c r="I56" i="2"/>
  <c r="I55" i="2"/>
  <c r="I54" i="2"/>
  <c r="I53" i="2"/>
  <c r="I52" i="2"/>
  <c r="I49" i="2"/>
  <c r="I46" i="2"/>
  <c r="I47" i="2"/>
  <c r="I48" i="2"/>
  <c r="I45" i="2"/>
  <c r="I43" i="2"/>
  <c r="I42" i="2"/>
  <c r="I41" i="2"/>
  <c r="I27" i="2"/>
  <c r="I29" i="2"/>
  <c r="I35" i="2"/>
  <c r="I36" i="2"/>
  <c r="I37" i="2"/>
  <c r="I26" i="2"/>
  <c r="I15" i="2"/>
  <c r="I16" i="2"/>
  <c r="I17" i="2"/>
  <c r="I18" i="2"/>
  <c r="I19" i="2"/>
  <c r="I20" i="2"/>
  <c r="I21" i="2"/>
  <c r="I22" i="2"/>
  <c r="I23" i="2"/>
  <c r="I25" i="2"/>
  <c r="I81" i="2" l="1"/>
  <c r="I14" i="2"/>
  <c r="I44" i="2"/>
  <c r="I34" i="2"/>
  <c r="I58" i="2"/>
  <c r="I85" i="2" l="1"/>
  <c r="I88" i="2" s="1"/>
</calcChain>
</file>

<file path=xl/sharedStrings.xml><?xml version="1.0" encoding="utf-8"?>
<sst xmlns="http://schemas.openxmlformats.org/spreadsheetml/2006/main" count="232" uniqueCount="120">
  <si>
    <t>TOTAL</t>
  </si>
  <si>
    <t>TIPO</t>
  </si>
  <si>
    <t>NOMBRE DEL PROYECTO</t>
  </si>
  <si>
    <t>SS.HH DISCAPACITADOS</t>
  </si>
  <si>
    <t xml:space="preserve">Estacionamiento de Autos: Según diseño Arquitectonico                </t>
  </si>
  <si>
    <t>Estacionamiento de Motos: Según diseño Arquitectonico</t>
  </si>
  <si>
    <t xml:space="preserve">SALA DE REUNIONES </t>
  </si>
  <si>
    <t xml:space="preserve">OFICINA DE ADMINISTRACIÓN </t>
  </si>
  <si>
    <t xml:space="preserve">SALA DE ESPERA </t>
  </si>
  <si>
    <t xml:space="preserve">SS.HH MUJERES </t>
  </si>
  <si>
    <t xml:space="preserve">SS.HH VARONES </t>
  </si>
  <si>
    <t xml:space="preserve">SALA DE VISITAS </t>
  </si>
  <si>
    <t xml:space="preserve">PSICOLOGÍA </t>
  </si>
  <si>
    <t xml:space="preserve">ASESORÍA LEGAL </t>
  </si>
  <si>
    <t xml:space="preserve">TERAPIA GRUPAL </t>
  </si>
  <si>
    <t xml:space="preserve">TÓPICO </t>
  </si>
  <si>
    <t xml:space="preserve">TALLER DE BISUTERÍA </t>
  </si>
  <si>
    <t xml:space="preserve">TALLER DE REPOSTERÍA </t>
  </si>
  <si>
    <t xml:space="preserve">ASISTENCIA SOCIAL </t>
  </si>
  <si>
    <t>HABITACIONES SIMPLES- TIPO I</t>
  </si>
  <si>
    <t>HABITACIONES SIMPLES- TIPO II</t>
  </si>
  <si>
    <t xml:space="preserve">HABITACIONES DOBLE-TIPO II </t>
  </si>
  <si>
    <t>SS.HH HAB.SIMPLE-TIPO II</t>
  </si>
  <si>
    <t>SS.HH HAB.TRIPLE-TIPO III</t>
  </si>
  <si>
    <t xml:space="preserve">CREACIÓN DEL SERVICIO DE PROTECCIÓN A MUJERES VÍCTIMAS DE VIOLENCIA EN SITUACIÓN DE RIESGO DE FEMINICIDIO O PELIGRE SU INTEGRIDAD Y/O SALUD FÍSICA Y/O MENTAL EN HOGAR DE REFUGIO TEMPORAL DISTRITO DE MORALES DE LA PROVINCIA DE SAN MARTÍN DEL DEPARTAMENTO DE SAN MARTÍN </t>
  </si>
  <si>
    <t xml:space="preserve">COCINA </t>
  </si>
  <si>
    <t xml:space="preserve">DESPENSA </t>
  </si>
  <si>
    <t xml:space="preserve">ALACENA </t>
  </si>
  <si>
    <t xml:space="preserve">ALMACEN DE DONACIONES </t>
  </si>
  <si>
    <t xml:space="preserve">ARCHIVO </t>
  </si>
  <si>
    <t xml:space="preserve">DEPÓSITO </t>
  </si>
  <si>
    <t xml:space="preserve">CUARTO DE CÁMARAS DE VIGILANCIA </t>
  </si>
  <si>
    <t xml:space="preserve">LAVANDERÍA GENERAL </t>
  </si>
  <si>
    <t xml:space="preserve">DATA CENTER </t>
  </si>
  <si>
    <t xml:space="preserve">CUARTO DE MAQUINAS </t>
  </si>
  <si>
    <t xml:space="preserve">GARITA + SS.HH </t>
  </si>
  <si>
    <t xml:space="preserve">SUB ESTACIÓN </t>
  </si>
  <si>
    <t xml:space="preserve">GRUPO ELECTRÓGENO </t>
  </si>
  <si>
    <t xml:space="preserve">CERCO PERIMÉTRICO </t>
  </si>
  <si>
    <t>CUNETAS DE DRENAJE PLUVIAL</t>
  </si>
  <si>
    <t>DESCRIPCIÓN</t>
  </si>
  <si>
    <t xml:space="preserve">CANTIDAD </t>
  </si>
  <si>
    <t xml:space="preserve">CAPACIDAD </t>
  </si>
  <si>
    <t xml:space="preserve">ÍNDICE DE OCUPACIÓN </t>
  </si>
  <si>
    <t>ÁREA SEGÚN PROYECTO</t>
  </si>
  <si>
    <t xml:space="preserve">9.5 m2 por persona </t>
  </si>
  <si>
    <t xml:space="preserve">1.00 m2 por persona </t>
  </si>
  <si>
    <t xml:space="preserve">SEGÚN NORMATIVA </t>
  </si>
  <si>
    <t xml:space="preserve">RNE-NORMA A080-Oficinas art.06         </t>
  </si>
  <si>
    <t xml:space="preserve">RNE-NORMA A090-Servicios comunales art.15         </t>
  </si>
  <si>
    <t>TOTAL (m2)</t>
  </si>
  <si>
    <t xml:space="preserve">RNE-NORMA A090-Servicios comunales art.11         </t>
  </si>
  <si>
    <t xml:space="preserve">R.V.M. Nº208 - 2019 -MINEDU  </t>
  </si>
  <si>
    <t xml:space="preserve">3.00 m2 por persona </t>
  </si>
  <si>
    <t xml:space="preserve">10.00 m2 por persona </t>
  </si>
  <si>
    <t xml:space="preserve">de 7 a 25 empleados </t>
  </si>
  <si>
    <t xml:space="preserve">RNE-NORMA A.040-Educación art.20         </t>
  </si>
  <si>
    <t xml:space="preserve">cada 30 estudiantes </t>
  </si>
  <si>
    <t xml:space="preserve">4.00 m2 por persona </t>
  </si>
  <si>
    <t xml:space="preserve">RNE-NORMA A.030-Hospedaje Anexo 3    </t>
  </si>
  <si>
    <t>-</t>
  </si>
  <si>
    <t xml:space="preserve">Dentro de la habitación </t>
  </si>
  <si>
    <t xml:space="preserve">RNE-NORMA A.030-Hospedaje art.5 </t>
  </si>
  <si>
    <t xml:space="preserve">RNE-NORMA A.030-Hospedaje Art.5 </t>
  </si>
  <si>
    <t xml:space="preserve">RNE-NORMA A.030-Hospedaje art.5   </t>
  </si>
  <si>
    <t xml:space="preserve">RNE-NORMA A.030-Hospedaje Anexo 1   </t>
  </si>
  <si>
    <t xml:space="preserve">6.00 m2 por persona </t>
  </si>
  <si>
    <t>no aplica</t>
  </si>
  <si>
    <t xml:space="preserve">no aplica  </t>
  </si>
  <si>
    <t xml:space="preserve">R.V.M. Nº208 - 2019 -MINEDU-Programación arquitectonica   </t>
  </si>
  <si>
    <t xml:space="preserve">8.80 m2 por persona </t>
  </si>
  <si>
    <t>AREA DE BIENVENIDA</t>
  </si>
  <si>
    <t>COMEDOR/SUM</t>
  </si>
  <si>
    <t>TALLER DE COSTURA</t>
  </si>
  <si>
    <t xml:space="preserve">MÓDULO INFANTIL  </t>
  </si>
  <si>
    <t xml:space="preserve">2.00 m2 por persona </t>
  </si>
  <si>
    <t xml:space="preserve">R.V.M. Nº104 - 2019 -MINEDU  </t>
  </si>
  <si>
    <t xml:space="preserve">HABITACIONES TRIPLE-TIPO I </t>
  </si>
  <si>
    <t>SS.HH HAB.TRIPLE-TIPO I</t>
  </si>
  <si>
    <t>SS.HH HAB. SIMPLE</t>
  </si>
  <si>
    <t xml:space="preserve">HABITACIONES DOBLE-TIPO I </t>
  </si>
  <si>
    <t>SS.HH HAB.DOBLE-COMPARTIDO</t>
  </si>
  <si>
    <t xml:space="preserve">HABITACIONES TRIPLE-TIPO II </t>
  </si>
  <si>
    <t>HABITACIÓN ESPECIAL</t>
  </si>
  <si>
    <t xml:space="preserve">4 m2 por persona </t>
  </si>
  <si>
    <t xml:space="preserve">SS.HH HABITACIÓN ESPECIAL </t>
  </si>
  <si>
    <t>MÓDULO DE ENSEÑANZA</t>
  </si>
  <si>
    <t xml:space="preserve">Patio de descarga </t>
  </si>
  <si>
    <t xml:space="preserve">Según diseño Arquitectonico                </t>
  </si>
  <si>
    <t>CISTERNA Y TANQUE ELEVADO</t>
  </si>
  <si>
    <t>PTAR</t>
  </si>
  <si>
    <t xml:space="preserve">CIRCULACIONES </t>
  </si>
  <si>
    <t>AREA DE PROYECTO (EXTERIRORES+INTERIORES+CIRCULACION+MUROS)</t>
  </si>
  <si>
    <t xml:space="preserve">OFICINA DE DIRECCIÓN </t>
  </si>
  <si>
    <t>SECRETARÍA DIRECCIÓN</t>
  </si>
  <si>
    <t xml:space="preserve">CUARTO DE LIMPIEZA </t>
  </si>
  <si>
    <t xml:space="preserve">ZONA DE SERVICIOS COMPLEMENTARIOS </t>
  </si>
  <si>
    <t>AREA DE DESCANSO (BANCA + PÉRGOLA)</t>
  </si>
  <si>
    <t xml:space="preserve">ALMACEN GENERAL Y DE LIMPIEZA </t>
  </si>
  <si>
    <t xml:space="preserve">MAESTRANZA </t>
  </si>
  <si>
    <t xml:space="preserve">ZONA DE SERVICIOS GENERALES </t>
  </si>
  <si>
    <t xml:space="preserve">ALMACEN DE RESIDUOS SÓLIDOS </t>
  </si>
  <si>
    <t xml:space="preserve">TABLERO ELÉCTRICO </t>
  </si>
  <si>
    <t>BIOHUERTO</t>
  </si>
  <si>
    <t xml:space="preserve">PATIO CÍVICO </t>
  </si>
  <si>
    <t xml:space="preserve">PATIO DE JUEGOS </t>
  </si>
  <si>
    <t>ZONA DE OBRAS EXTERIORES</t>
  </si>
  <si>
    <t xml:space="preserve">PROGRAMACIÓN DE AREAS  HOGAR DE REFUGIO TEMPORAL PARA MUJERES VÍCTIMAS DE VIOLENCIA </t>
  </si>
  <si>
    <t>AREA CONSTRUIDA (INTERIOR )</t>
  </si>
  <si>
    <t>AREA VERDE</t>
  </si>
  <si>
    <t xml:space="preserve">CIRCULACION + 15% MUROS </t>
  </si>
  <si>
    <t xml:space="preserve">ZONA ADMINISTRATIVA </t>
  </si>
  <si>
    <t>ZONA DE AMBIENTES ESPECIALIZADOS</t>
  </si>
  <si>
    <t xml:space="preserve"> ZONA RESIDENCIAL </t>
  </si>
  <si>
    <t>CIRCULACION</t>
  </si>
  <si>
    <t>LOSA MULTIUSO</t>
  </si>
  <si>
    <t xml:space="preserve">VESTIDORES </t>
  </si>
  <si>
    <t xml:space="preserve">ALMACEN DE IMPLEMENTOS DEPORTIVOS </t>
  </si>
  <si>
    <t>según su uso</t>
  </si>
  <si>
    <t xml:space="preserve">RNE-NORMA A.040-EDUCACIÓN capitulo 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</si>
</sst>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Bahnschrift"/>
      <family val="2"/>
    </font>
    <font>
      <b/>
      <sz val="9"/>
      <color theme="1"/>
      <name val="Bahnschrift"/>
      <family val="2"/>
    </font>
    <font>
      <b/>
      <sz val="16"/>
      <color theme="0"/>
      <name val="Bahnschrift"/>
      <family val="2"/>
    </font>
    <font>
      <b/>
      <sz val="16"/>
      <color theme="1"/>
      <name val="Bahnschrift"/>
      <family val="2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0"/>
      <color theme="1"/>
      <name val="Bahnschrift"/>
      <family val="2"/>
    </font>
  </fonts>
  <fills count="12">
    <fill>
      <patternFill patternType="none"/>
    </fill>
    <fill>
      <patternFill patternType="gray125"/>
    </fill>
    <fill>
      <patternFill patternType="solid">
        <fgColor rgb="FF7B1F2D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83C1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43" fontId="2" fillId="0" borderId="1" xfId="1" applyFont="1" applyBorder="1" applyAlignment="1">
      <alignment horizontal="center" vertical="center"/>
    </xf>
    <xf numFmtId="43" fontId="7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3" fontId="3" fillId="0" borderId="1" xfId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43" fontId="2" fillId="8" borderId="1" xfId="1" applyFont="1" applyFill="1" applyBorder="1" applyAlignment="1">
      <alignment horizontal="center" vertical="center"/>
    </xf>
    <xf numFmtId="43" fontId="8" fillId="0" borderId="1" xfId="0" applyNumberFormat="1" applyFont="1" applyBorder="1"/>
    <xf numFmtId="0" fontId="3" fillId="7" borderId="7" xfId="0" applyFont="1" applyFill="1" applyBorder="1" applyAlignment="1">
      <alignment horizontal="center" vertical="center" textRotation="90"/>
    </xf>
    <xf numFmtId="0" fontId="3" fillId="5" borderId="5" xfId="0" applyFont="1" applyFill="1" applyBorder="1" applyAlignment="1">
      <alignment horizontal="center" vertical="center" textRotation="90" wrapText="1"/>
    </xf>
    <xf numFmtId="0" fontId="3" fillId="5" borderId="6" xfId="0" applyFont="1" applyFill="1" applyBorder="1" applyAlignment="1">
      <alignment horizontal="center" vertical="center" textRotation="90" wrapText="1"/>
    </xf>
    <xf numFmtId="0" fontId="3" fillId="5" borderId="7" xfId="0" applyFont="1" applyFill="1" applyBorder="1" applyAlignment="1">
      <alignment horizontal="center" vertical="center" textRotation="90" wrapText="1"/>
    </xf>
    <xf numFmtId="0" fontId="3" fillId="0" borderId="1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textRotation="90"/>
    </xf>
    <xf numFmtId="0" fontId="3" fillId="3" borderId="6" xfId="0" applyFont="1" applyFill="1" applyBorder="1" applyAlignment="1">
      <alignment horizontal="center" vertical="center" textRotation="90"/>
    </xf>
    <xf numFmtId="0" fontId="3" fillId="3" borderId="7" xfId="0" applyFont="1" applyFill="1" applyBorder="1" applyAlignment="1">
      <alignment horizontal="center" vertical="center" textRotation="90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3" fillId="6" borderId="6" xfId="0" applyFont="1" applyFill="1" applyBorder="1" applyAlignment="1">
      <alignment horizontal="center" vertical="center" textRotation="90" wrapText="1"/>
    </xf>
    <xf numFmtId="0" fontId="3" fillId="6" borderId="7" xfId="0" applyFont="1" applyFill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textRotation="90" wrapText="1"/>
    </xf>
    <xf numFmtId="0" fontId="3" fillId="4" borderId="6" xfId="0" applyFont="1" applyFill="1" applyBorder="1" applyAlignment="1">
      <alignment horizontal="center" vertical="center" textRotation="90" wrapText="1"/>
    </xf>
    <xf numFmtId="0" fontId="3" fillId="4" borderId="7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 textRotation="90"/>
    </xf>
    <xf numFmtId="0" fontId="3" fillId="9" borderId="7" xfId="0" applyFont="1" applyFill="1" applyBorder="1" applyAlignment="1">
      <alignment horizontal="center" vertical="center" textRotation="90"/>
    </xf>
    <xf numFmtId="0" fontId="3" fillId="10" borderId="5" xfId="0" applyFont="1" applyFill="1" applyBorder="1" applyAlignment="1">
      <alignment horizontal="center" vertical="center" textRotation="90"/>
    </xf>
    <xf numFmtId="0" fontId="3" fillId="10" borderId="6" xfId="0" applyFont="1" applyFill="1" applyBorder="1" applyAlignment="1">
      <alignment horizontal="center" vertical="center" textRotation="90"/>
    </xf>
    <xf numFmtId="0" fontId="3" fillId="11" borderId="5" xfId="0" applyFont="1" applyFill="1" applyBorder="1" applyAlignment="1">
      <alignment horizontal="center" vertical="center" textRotation="90"/>
    </xf>
    <xf numFmtId="0" fontId="3" fillId="11" borderId="6" xfId="0" applyFont="1" applyFill="1" applyBorder="1" applyAlignment="1">
      <alignment horizontal="center" vertical="center" textRotation="90"/>
    </xf>
    <xf numFmtId="0" fontId="3" fillId="11" borderId="7" xfId="0" applyFont="1" applyFill="1" applyBorder="1" applyAlignment="1">
      <alignment horizontal="center" vertical="center" textRotation="9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FF3300"/>
      <color rgb="FFFFFF99"/>
      <color rgb="FFD83C12"/>
      <color rgb="FFDA72C4"/>
      <color rgb="FFE8AC64"/>
      <color rgb="FFF3EF59"/>
      <color rgb="FFE963E3"/>
      <color rgb="FFFFFF66"/>
      <color rgb="FF9999FF"/>
      <color rgb="FF7B1F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17674-D705-4510-8A59-826D3FEE3C10}">
  <sheetPr>
    <pageSetUpPr fitToPage="1"/>
  </sheetPr>
  <dimension ref="B2:L88"/>
  <sheetViews>
    <sheetView tabSelected="1" zoomScale="80" zoomScaleNormal="80" workbookViewId="0">
      <selection activeCell="M82" sqref="M82"/>
    </sheetView>
  </sheetViews>
  <sheetFormatPr baseColWidth="10" defaultRowHeight="14.4" x14ac:dyDescent="0.3"/>
  <cols>
    <col min="2" max="2" width="13.33203125" customWidth="1"/>
    <col min="3" max="3" width="23.33203125" style="5" customWidth="1"/>
    <col min="4" max="4" width="10.44140625" style="5" customWidth="1"/>
    <col min="5" max="5" width="10.33203125" style="5" customWidth="1"/>
    <col min="6" max="6" width="12.6640625" style="5" customWidth="1"/>
    <col min="7" max="7" width="25.77734375" customWidth="1"/>
    <col min="8" max="9" width="9.44140625" customWidth="1"/>
  </cols>
  <sheetData>
    <row r="2" spans="2:9" ht="43.8" customHeight="1" x14ac:dyDescent="0.3">
      <c r="B2" s="28" t="s">
        <v>107</v>
      </c>
      <c r="C2" s="29"/>
      <c r="D2" s="29"/>
      <c r="E2" s="29"/>
      <c r="F2" s="29"/>
      <c r="G2" s="29"/>
      <c r="H2" s="29"/>
      <c r="I2" s="29"/>
    </row>
    <row r="3" spans="2:9" ht="90" customHeight="1" x14ac:dyDescent="0.3">
      <c r="B3" s="30" t="s">
        <v>2</v>
      </c>
      <c r="C3" s="31"/>
      <c r="D3" s="36" t="s">
        <v>24</v>
      </c>
      <c r="E3" s="37"/>
      <c r="F3" s="37"/>
      <c r="G3" s="37"/>
      <c r="H3" s="37"/>
      <c r="I3" s="38"/>
    </row>
    <row r="4" spans="2:9" ht="28.2" customHeight="1" x14ac:dyDescent="0.3">
      <c r="B4" s="32" t="s">
        <v>1</v>
      </c>
      <c r="C4" s="32" t="s">
        <v>40</v>
      </c>
      <c r="D4" s="32" t="s">
        <v>41</v>
      </c>
      <c r="E4" s="32" t="s">
        <v>42</v>
      </c>
      <c r="F4" s="34" t="s">
        <v>43</v>
      </c>
      <c r="G4" s="32" t="s">
        <v>47</v>
      </c>
      <c r="H4" s="34" t="s">
        <v>44</v>
      </c>
      <c r="I4" s="32" t="s">
        <v>50</v>
      </c>
    </row>
    <row r="5" spans="2:9" x14ac:dyDescent="0.3">
      <c r="B5" s="33"/>
      <c r="C5" s="33"/>
      <c r="D5" s="33"/>
      <c r="E5" s="33"/>
      <c r="F5" s="35"/>
      <c r="G5" s="33"/>
      <c r="H5" s="35"/>
      <c r="I5" s="33"/>
    </row>
    <row r="6" spans="2:9" ht="42.45" customHeight="1" x14ac:dyDescent="0.3">
      <c r="B6" s="16" t="s">
        <v>106</v>
      </c>
      <c r="C6" s="1" t="s">
        <v>4</v>
      </c>
      <c r="D6" s="4">
        <v>6</v>
      </c>
      <c r="E6" s="4"/>
      <c r="F6" s="4"/>
      <c r="G6" s="1" t="s">
        <v>4</v>
      </c>
      <c r="H6" s="2">
        <v>12.5</v>
      </c>
      <c r="I6" s="2">
        <v>244</v>
      </c>
    </row>
    <row r="7" spans="2:9" ht="28.2" customHeight="1" x14ac:dyDescent="0.3">
      <c r="B7" s="17"/>
      <c r="C7" s="1" t="s">
        <v>87</v>
      </c>
      <c r="D7" s="4">
        <v>3</v>
      </c>
      <c r="E7" s="4"/>
      <c r="F7" s="4"/>
      <c r="G7" s="1" t="s">
        <v>88</v>
      </c>
      <c r="H7" s="2">
        <v>16</v>
      </c>
      <c r="I7" s="2">
        <v>256</v>
      </c>
    </row>
    <row r="8" spans="2:9" ht="31.8" customHeight="1" x14ac:dyDescent="0.3">
      <c r="B8" s="17"/>
      <c r="C8" s="1" t="s">
        <v>5</v>
      </c>
      <c r="D8" s="4">
        <v>12</v>
      </c>
      <c r="E8" s="4"/>
      <c r="F8" s="4"/>
      <c r="G8" s="1" t="s">
        <v>5</v>
      </c>
      <c r="H8" s="2">
        <v>2.52</v>
      </c>
      <c r="I8" s="2">
        <v>94.6</v>
      </c>
    </row>
    <row r="9" spans="2:9" ht="26.4" customHeight="1" x14ac:dyDescent="0.3">
      <c r="B9" s="17"/>
      <c r="C9" s="4" t="s">
        <v>35</v>
      </c>
      <c r="D9" s="4">
        <v>1</v>
      </c>
      <c r="E9" s="4">
        <v>1</v>
      </c>
      <c r="F9" s="4" t="s">
        <v>53</v>
      </c>
      <c r="G9" s="1" t="s">
        <v>69</v>
      </c>
      <c r="H9" s="2">
        <v>10</v>
      </c>
      <c r="I9" s="2">
        <f t="shared" ref="I9" si="0">D9*H9</f>
        <v>10</v>
      </c>
    </row>
    <row r="10" spans="2:9" ht="27.6" customHeight="1" x14ac:dyDescent="0.3">
      <c r="B10" s="17"/>
      <c r="C10" s="4" t="s">
        <v>89</v>
      </c>
      <c r="D10" s="4">
        <v>1</v>
      </c>
      <c r="E10" s="4" t="s">
        <v>60</v>
      </c>
      <c r="F10" s="4" t="s">
        <v>68</v>
      </c>
      <c r="G10" s="1"/>
      <c r="H10" s="2">
        <v>12</v>
      </c>
      <c r="I10" s="2">
        <f>D10*H10</f>
        <v>12</v>
      </c>
    </row>
    <row r="11" spans="2:9" ht="21" customHeight="1" x14ac:dyDescent="0.3">
      <c r="B11" s="17"/>
      <c r="C11" s="4" t="s">
        <v>90</v>
      </c>
      <c r="D11" s="4">
        <v>1</v>
      </c>
      <c r="E11" s="4" t="s">
        <v>60</v>
      </c>
      <c r="F11" s="4" t="s">
        <v>68</v>
      </c>
      <c r="G11" s="1"/>
      <c r="H11" s="2">
        <v>152</v>
      </c>
      <c r="I11" s="2">
        <f>D11*H11</f>
        <v>152</v>
      </c>
    </row>
    <row r="12" spans="2:9" ht="26.4" customHeight="1" x14ac:dyDescent="0.3">
      <c r="B12" s="17"/>
      <c r="C12" s="4" t="s">
        <v>39</v>
      </c>
      <c r="D12" s="4">
        <v>1</v>
      </c>
      <c r="E12" s="4" t="s">
        <v>60</v>
      </c>
      <c r="F12" s="4" t="s">
        <v>68</v>
      </c>
      <c r="G12" s="4"/>
      <c r="H12" s="2">
        <v>410.1</v>
      </c>
      <c r="I12" s="2">
        <v>410.1</v>
      </c>
    </row>
    <row r="13" spans="2:9" ht="20.399999999999999" customHeight="1" x14ac:dyDescent="0.3">
      <c r="B13" s="17"/>
      <c r="C13" s="4" t="s">
        <v>38</v>
      </c>
      <c r="D13" s="4">
        <v>1</v>
      </c>
      <c r="E13" s="4" t="s">
        <v>60</v>
      </c>
      <c r="F13" s="4" t="s">
        <v>68</v>
      </c>
      <c r="G13" s="4"/>
      <c r="H13" s="2">
        <v>56.75</v>
      </c>
      <c r="I13" s="2">
        <v>56.75</v>
      </c>
    </row>
    <row r="14" spans="2:9" x14ac:dyDescent="0.3">
      <c r="B14" s="18"/>
      <c r="C14" s="15" t="s">
        <v>0</v>
      </c>
      <c r="D14" s="15"/>
      <c r="E14" s="15"/>
      <c r="F14" s="15"/>
      <c r="G14" s="15"/>
      <c r="H14" s="15"/>
      <c r="I14" s="6">
        <f>SUM(I6:I13)</f>
        <v>1235.45</v>
      </c>
    </row>
    <row r="15" spans="2:9" ht="40.200000000000003" customHeight="1" x14ac:dyDescent="0.3">
      <c r="B15" s="41" t="s">
        <v>111</v>
      </c>
      <c r="C15" s="4" t="s">
        <v>71</v>
      </c>
      <c r="D15" s="4">
        <v>1</v>
      </c>
      <c r="E15" s="4">
        <v>5</v>
      </c>
      <c r="F15" s="4" t="s">
        <v>45</v>
      </c>
      <c r="G15" s="1" t="s">
        <v>48</v>
      </c>
      <c r="H15" s="2">
        <v>47.5</v>
      </c>
      <c r="I15" s="2">
        <f t="shared" ref="I15:I25" si="1">D15*H15</f>
        <v>47.5</v>
      </c>
    </row>
    <row r="16" spans="2:9" ht="25.2" customHeight="1" x14ac:dyDescent="0.3">
      <c r="B16" s="42"/>
      <c r="C16" s="4" t="s">
        <v>93</v>
      </c>
      <c r="D16" s="4">
        <v>1</v>
      </c>
      <c r="E16" s="4">
        <v>2</v>
      </c>
      <c r="F16" s="4" t="s">
        <v>45</v>
      </c>
      <c r="G16" s="1" t="s">
        <v>48</v>
      </c>
      <c r="H16" s="2">
        <v>19</v>
      </c>
      <c r="I16" s="2">
        <f t="shared" si="1"/>
        <v>19</v>
      </c>
    </row>
    <row r="17" spans="2:9" ht="25.2" customHeight="1" x14ac:dyDescent="0.3">
      <c r="B17" s="42"/>
      <c r="C17" s="4" t="s">
        <v>6</v>
      </c>
      <c r="D17" s="4">
        <v>1</v>
      </c>
      <c r="E17" s="4">
        <v>25</v>
      </c>
      <c r="F17" s="4" t="s">
        <v>46</v>
      </c>
      <c r="G17" s="1" t="s">
        <v>48</v>
      </c>
      <c r="H17" s="2">
        <v>25</v>
      </c>
      <c r="I17" s="2">
        <f t="shared" si="1"/>
        <v>25</v>
      </c>
    </row>
    <row r="18" spans="2:9" ht="25.2" customHeight="1" x14ac:dyDescent="0.3">
      <c r="B18" s="42"/>
      <c r="C18" s="4" t="s">
        <v>94</v>
      </c>
      <c r="D18" s="4">
        <v>1</v>
      </c>
      <c r="E18" s="4">
        <v>1</v>
      </c>
      <c r="F18" s="4" t="s">
        <v>45</v>
      </c>
      <c r="G18" s="1" t="s">
        <v>48</v>
      </c>
      <c r="H18" s="2">
        <v>9.5</v>
      </c>
      <c r="I18" s="2">
        <f t="shared" si="1"/>
        <v>9.5</v>
      </c>
    </row>
    <row r="19" spans="2:9" ht="25.2" customHeight="1" x14ac:dyDescent="0.3">
      <c r="B19" s="42"/>
      <c r="C19" s="4" t="s">
        <v>7</v>
      </c>
      <c r="D19" s="4">
        <v>1</v>
      </c>
      <c r="E19" s="4">
        <v>2</v>
      </c>
      <c r="F19" s="4" t="s">
        <v>45</v>
      </c>
      <c r="G19" s="1" t="s">
        <v>48</v>
      </c>
      <c r="H19" s="2">
        <v>19.5</v>
      </c>
      <c r="I19" s="2">
        <f t="shared" si="1"/>
        <v>19.5</v>
      </c>
    </row>
    <row r="20" spans="2:9" ht="25.2" customHeight="1" x14ac:dyDescent="0.3">
      <c r="B20" s="42"/>
      <c r="C20" s="4" t="s">
        <v>8</v>
      </c>
      <c r="D20" s="4">
        <v>1</v>
      </c>
      <c r="E20" s="4">
        <v>4</v>
      </c>
      <c r="F20" s="4" t="s">
        <v>45</v>
      </c>
      <c r="G20" s="1" t="s">
        <v>48</v>
      </c>
      <c r="H20" s="2">
        <v>38</v>
      </c>
      <c r="I20" s="2">
        <f t="shared" si="1"/>
        <v>38</v>
      </c>
    </row>
    <row r="21" spans="2:9" ht="34.799999999999997" customHeight="1" x14ac:dyDescent="0.3">
      <c r="B21" s="42"/>
      <c r="C21" s="4" t="s">
        <v>9</v>
      </c>
      <c r="D21" s="4">
        <v>1</v>
      </c>
      <c r="E21" s="4" t="s">
        <v>55</v>
      </c>
      <c r="F21" s="4"/>
      <c r="G21" s="1" t="s">
        <v>49</v>
      </c>
      <c r="H21" s="2">
        <v>4</v>
      </c>
      <c r="I21" s="2">
        <f t="shared" si="1"/>
        <v>4</v>
      </c>
    </row>
    <row r="22" spans="2:9" ht="36.6" customHeight="1" x14ac:dyDescent="0.3">
      <c r="B22" s="42"/>
      <c r="C22" s="4" t="s">
        <v>10</v>
      </c>
      <c r="D22" s="4">
        <v>1</v>
      </c>
      <c r="E22" s="4" t="s">
        <v>55</v>
      </c>
      <c r="F22" s="4"/>
      <c r="G22" s="1" t="s">
        <v>49</v>
      </c>
      <c r="H22" s="2">
        <v>7.2</v>
      </c>
      <c r="I22" s="2">
        <f t="shared" si="1"/>
        <v>7.2</v>
      </c>
    </row>
    <row r="23" spans="2:9" ht="36.6" customHeight="1" x14ac:dyDescent="0.3">
      <c r="B23" s="42"/>
      <c r="C23" s="4" t="s">
        <v>3</v>
      </c>
      <c r="D23" s="4">
        <v>1</v>
      </c>
      <c r="E23" s="4"/>
      <c r="F23" s="4"/>
      <c r="G23" s="1" t="s">
        <v>49</v>
      </c>
      <c r="H23" s="2">
        <v>5</v>
      </c>
      <c r="I23" s="2">
        <f t="shared" si="1"/>
        <v>5</v>
      </c>
    </row>
    <row r="24" spans="2:9" ht="36.6" customHeight="1" x14ac:dyDescent="0.3">
      <c r="B24" s="42"/>
      <c r="C24" s="4" t="s">
        <v>95</v>
      </c>
      <c r="D24" s="4">
        <v>1</v>
      </c>
      <c r="E24" s="4"/>
      <c r="F24" s="4"/>
      <c r="G24" s="1" t="s">
        <v>49</v>
      </c>
      <c r="H24" s="2">
        <v>4.8</v>
      </c>
      <c r="I24" s="2">
        <f t="shared" ref="I24" si="2">D24*H24</f>
        <v>4.8</v>
      </c>
    </row>
    <row r="25" spans="2:9" ht="25.2" customHeight="1" x14ac:dyDescent="0.3">
      <c r="B25" s="42"/>
      <c r="C25" s="4" t="s">
        <v>11</v>
      </c>
      <c r="D25" s="4">
        <v>1</v>
      </c>
      <c r="E25" s="4">
        <v>5</v>
      </c>
      <c r="F25" s="4" t="s">
        <v>45</v>
      </c>
      <c r="G25" s="1" t="s">
        <v>48</v>
      </c>
      <c r="H25" s="2">
        <v>47.5</v>
      </c>
      <c r="I25" s="2">
        <f t="shared" si="1"/>
        <v>47.5</v>
      </c>
    </row>
    <row r="26" spans="2:9" ht="25.2" customHeight="1" x14ac:dyDescent="0.3">
      <c r="B26" s="42"/>
      <c r="C26" s="4" t="s">
        <v>12</v>
      </c>
      <c r="D26" s="4">
        <v>1</v>
      </c>
      <c r="E26" s="4">
        <v>2</v>
      </c>
      <c r="F26" s="4" t="s">
        <v>54</v>
      </c>
      <c r="G26" s="1" t="s">
        <v>51</v>
      </c>
      <c r="H26" s="2">
        <v>20</v>
      </c>
      <c r="I26" s="2">
        <f t="shared" ref="I26:I43" si="3">D26*H26</f>
        <v>20</v>
      </c>
    </row>
    <row r="27" spans="2:9" ht="25.2" customHeight="1" x14ac:dyDescent="0.3">
      <c r="B27" s="42"/>
      <c r="C27" s="4" t="s">
        <v>13</v>
      </c>
      <c r="D27" s="4">
        <v>1</v>
      </c>
      <c r="E27" s="4">
        <v>2</v>
      </c>
      <c r="F27" s="4" t="s">
        <v>54</v>
      </c>
      <c r="G27" s="1" t="s">
        <v>51</v>
      </c>
      <c r="H27" s="2">
        <v>20</v>
      </c>
      <c r="I27" s="2">
        <f t="shared" si="3"/>
        <v>20</v>
      </c>
    </row>
    <row r="28" spans="2:9" ht="25.2" customHeight="1" x14ac:dyDescent="0.3">
      <c r="B28" s="42"/>
      <c r="C28" s="4" t="s">
        <v>18</v>
      </c>
      <c r="D28" s="4">
        <v>1</v>
      </c>
      <c r="E28" s="4">
        <v>2</v>
      </c>
      <c r="F28" s="4" t="s">
        <v>54</v>
      </c>
      <c r="G28" s="1" t="s">
        <v>51</v>
      </c>
      <c r="H28" s="2">
        <v>20</v>
      </c>
      <c r="I28" s="2">
        <f t="shared" si="3"/>
        <v>20</v>
      </c>
    </row>
    <row r="29" spans="2:9" ht="25.2" customHeight="1" x14ac:dyDescent="0.3">
      <c r="B29" s="42"/>
      <c r="C29" s="4" t="s">
        <v>15</v>
      </c>
      <c r="D29" s="4">
        <v>1</v>
      </c>
      <c r="E29" s="4">
        <v>3</v>
      </c>
      <c r="F29" s="4" t="s">
        <v>54</v>
      </c>
      <c r="G29" s="1" t="s">
        <v>51</v>
      </c>
      <c r="H29" s="2">
        <v>30</v>
      </c>
      <c r="I29" s="2">
        <f t="shared" si="3"/>
        <v>30</v>
      </c>
    </row>
    <row r="30" spans="2:9" ht="25.2" customHeight="1" x14ac:dyDescent="0.3">
      <c r="B30" s="42"/>
      <c r="C30" s="4" t="s">
        <v>31</v>
      </c>
      <c r="D30" s="4">
        <v>1</v>
      </c>
      <c r="E30" s="4">
        <v>4</v>
      </c>
      <c r="F30" s="4" t="s">
        <v>53</v>
      </c>
      <c r="G30" s="1" t="s">
        <v>69</v>
      </c>
      <c r="H30" s="2">
        <v>15</v>
      </c>
      <c r="I30" s="2">
        <f t="shared" si="3"/>
        <v>15</v>
      </c>
    </row>
    <row r="31" spans="2:9" ht="25.2" customHeight="1" x14ac:dyDescent="0.3">
      <c r="B31" s="42"/>
      <c r="C31" s="4" t="s">
        <v>33</v>
      </c>
      <c r="D31" s="4">
        <v>1</v>
      </c>
      <c r="E31" s="4">
        <v>2</v>
      </c>
      <c r="F31" s="4" t="s">
        <v>68</v>
      </c>
      <c r="G31" s="1" t="s">
        <v>69</v>
      </c>
      <c r="H31" s="2">
        <v>6</v>
      </c>
      <c r="I31" s="2">
        <f t="shared" si="3"/>
        <v>6</v>
      </c>
    </row>
    <row r="32" spans="2:9" ht="25.2" customHeight="1" x14ac:dyDescent="0.3">
      <c r="B32" s="42"/>
      <c r="C32" s="4" t="s">
        <v>29</v>
      </c>
      <c r="D32" s="4">
        <v>1</v>
      </c>
      <c r="E32" s="4">
        <v>2</v>
      </c>
      <c r="F32" s="4" t="s">
        <v>67</v>
      </c>
      <c r="G32" s="1" t="s">
        <v>69</v>
      </c>
      <c r="H32" s="2">
        <v>12</v>
      </c>
      <c r="I32" s="2">
        <f>D32*H32</f>
        <v>12</v>
      </c>
    </row>
    <row r="33" spans="2:12" ht="25.2" customHeight="1" x14ac:dyDescent="0.3">
      <c r="B33" s="42"/>
      <c r="C33" s="4" t="s">
        <v>30</v>
      </c>
      <c r="D33" s="4">
        <v>1</v>
      </c>
      <c r="E33" s="4">
        <v>2</v>
      </c>
      <c r="F33" s="4" t="s">
        <v>68</v>
      </c>
      <c r="G33" s="1" t="s">
        <v>69</v>
      </c>
      <c r="H33" s="2">
        <v>15</v>
      </c>
      <c r="I33" s="2">
        <f>D33*H33</f>
        <v>15</v>
      </c>
    </row>
    <row r="34" spans="2:12" ht="25.2" customHeight="1" x14ac:dyDescent="0.3">
      <c r="B34" s="42"/>
      <c r="C34" s="15" t="s">
        <v>0</v>
      </c>
      <c r="D34" s="15"/>
      <c r="E34" s="15"/>
      <c r="F34" s="15"/>
      <c r="G34" s="15"/>
      <c r="H34" s="15"/>
      <c r="I34" s="6">
        <f>SUM(I15:I33)</f>
        <v>365</v>
      </c>
    </row>
    <row r="35" spans="2:12" ht="25.2" customHeight="1" x14ac:dyDescent="0.3">
      <c r="B35" s="39" t="s">
        <v>112</v>
      </c>
      <c r="C35" s="4" t="s">
        <v>16</v>
      </c>
      <c r="D35" s="4">
        <v>1</v>
      </c>
      <c r="E35" s="4">
        <v>20</v>
      </c>
      <c r="F35" s="4" t="s">
        <v>53</v>
      </c>
      <c r="G35" s="1" t="s">
        <v>52</v>
      </c>
      <c r="H35" s="2">
        <v>60</v>
      </c>
      <c r="I35" s="2">
        <f t="shared" si="3"/>
        <v>60</v>
      </c>
    </row>
    <row r="36" spans="2:12" ht="27.6" customHeight="1" x14ac:dyDescent="0.3">
      <c r="B36" s="39"/>
      <c r="C36" s="4" t="s">
        <v>17</v>
      </c>
      <c r="D36" s="4">
        <v>1</v>
      </c>
      <c r="E36" s="4">
        <v>20</v>
      </c>
      <c r="F36" s="4" t="s">
        <v>53</v>
      </c>
      <c r="G36" s="1" t="s">
        <v>52</v>
      </c>
      <c r="H36" s="2">
        <v>60</v>
      </c>
      <c r="I36" s="2">
        <f t="shared" si="3"/>
        <v>60</v>
      </c>
    </row>
    <row r="37" spans="2:12" ht="33.6" customHeight="1" x14ac:dyDescent="0.3">
      <c r="B37" s="39"/>
      <c r="C37" s="4" t="s">
        <v>73</v>
      </c>
      <c r="D37" s="4">
        <v>1</v>
      </c>
      <c r="E37" s="4">
        <v>20</v>
      </c>
      <c r="F37" s="4" t="s">
        <v>53</v>
      </c>
      <c r="G37" s="1" t="s">
        <v>52</v>
      </c>
      <c r="H37" s="2">
        <v>60</v>
      </c>
      <c r="I37" s="2">
        <f t="shared" si="3"/>
        <v>60</v>
      </c>
    </row>
    <row r="38" spans="2:12" ht="33.6" customHeight="1" x14ac:dyDescent="0.3">
      <c r="B38" s="39"/>
      <c r="C38" s="4" t="s">
        <v>14</v>
      </c>
      <c r="D38" s="4">
        <v>1</v>
      </c>
      <c r="E38" s="4">
        <v>5</v>
      </c>
      <c r="F38" s="4" t="s">
        <v>54</v>
      </c>
      <c r="G38" s="1" t="s">
        <v>51</v>
      </c>
      <c r="H38" s="2">
        <v>50</v>
      </c>
      <c r="I38" s="2">
        <f t="shared" ref="I38" si="4">D38*H38</f>
        <v>50</v>
      </c>
    </row>
    <row r="39" spans="2:12" ht="33.6" customHeight="1" x14ac:dyDescent="0.3">
      <c r="B39" s="39"/>
      <c r="C39" s="4" t="s">
        <v>74</v>
      </c>
      <c r="D39" s="4">
        <v>1</v>
      </c>
      <c r="E39" s="4">
        <v>10</v>
      </c>
      <c r="F39" s="4" t="s">
        <v>75</v>
      </c>
      <c r="G39" s="1" t="s">
        <v>76</v>
      </c>
      <c r="H39" s="2">
        <v>25</v>
      </c>
      <c r="I39" s="2">
        <f>D39*H39</f>
        <v>25</v>
      </c>
    </row>
    <row r="40" spans="2:12" ht="33.6" customHeight="1" x14ac:dyDescent="0.3">
      <c r="B40" s="39"/>
      <c r="C40" s="4" t="s">
        <v>86</v>
      </c>
      <c r="D40" s="4">
        <v>1</v>
      </c>
      <c r="E40" s="4">
        <v>15</v>
      </c>
      <c r="F40" s="4" t="s">
        <v>75</v>
      </c>
      <c r="G40" s="1" t="s">
        <v>52</v>
      </c>
      <c r="H40" s="2">
        <v>39</v>
      </c>
      <c r="I40" s="2">
        <f>D40*H40</f>
        <v>39</v>
      </c>
    </row>
    <row r="41" spans="2:12" ht="23.4" customHeight="1" x14ac:dyDescent="0.3">
      <c r="B41" s="39"/>
      <c r="C41" s="4" t="s">
        <v>9</v>
      </c>
      <c r="D41" s="4">
        <v>1</v>
      </c>
      <c r="E41" s="4" t="s">
        <v>57</v>
      </c>
      <c r="F41" s="4"/>
      <c r="G41" s="1" t="s">
        <v>56</v>
      </c>
      <c r="H41" s="2">
        <v>17</v>
      </c>
      <c r="I41" s="2">
        <f t="shared" si="3"/>
        <v>17</v>
      </c>
    </row>
    <row r="42" spans="2:12" ht="28.2" customHeight="1" x14ac:dyDescent="0.3">
      <c r="B42" s="39"/>
      <c r="C42" s="4" t="s">
        <v>10</v>
      </c>
      <c r="D42" s="4">
        <v>1</v>
      </c>
      <c r="E42" s="4" t="s">
        <v>57</v>
      </c>
      <c r="F42" s="4"/>
      <c r="G42" s="1" t="s">
        <v>56</v>
      </c>
      <c r="H42" s="2">
        <v>14.5</v>
      </c>
      <c r="I42" s="2">
        <f t="shared" si="3"/>
        <v>14.5</v>
      </c>
    </row>
    <row r="43" spans="2:12" ht="27" customHeight="1" x14ac:dyDescent="0.3">
      <c r="B43" s="39"/>
      <c r="C43" s="4" t="s">
        <v>3</v>
      </c>
      <c r="D43" s="4">
        <v>1</v>
      </c>
      <c r="E43" s="4"/>
      <c r="F43" s="4"/>
      <c r="G43" s="1" t="s">
        <v>56</v>
      </c>
      <c r="H43" s="2">
        <v>5</v>
      </c>
      <c r="I43" s="2">
        <f t="shared" si="3"/>
        <v>5</v>
      </c>
    </row>
    <row r="44" spans="2:12" x14ac:dyDescent="0.3">
      <c r="B44" s="40"/>
      <c r="C44" s="15" t="s">
        <v>0</v>
      </c>
      <c r="D44" s="15"/>
      <c r="E44" s="15"/>
      <c r="F44" s="15"/>
      <c r="G44" s="15"/>
      <c r="H44" s="15"/>
      <c r="I44" s="6">
        <f>SUM(I35:I43)</f>
        <v>330.5</v>
      </c>
    </row>
    <row r="45" spans="2:12" ht="25.2" customHeight="1" x14ac:dyDescent="0.3">
      <c r="B45" s="43" t="s">
        <v>113</v>
      </c>
      <c r="C45" s="4" t="s">
        <v>19</v>
      </c>
      <c r="D45" s="4">
        <v>3</v>
      </c>
      <c r="E45" s="4">
        <v>3</v>
      </c>
      <c r="F45" s="4" t="s">
        <v>58</v>
      </c>
      <c r="G45" s="1" t="s">
        <v>64</v>
      </c>
      <c r="H45" s="2">
        <v>12</v>
      </c>
      <c r="I45" s="2">
        <f t="shared" ref="I45:I56" si="5">D45*H45</f>
        <v>36</v>
      </c>
      <c r="L45" s="1"/>
    </row>
    <row r="46" spans="2:12" ht="39" customHeight="1" x14ac:dyDescent="0.3">
      <c r="B46" s="44"/>
      <c r="C46" s="4" t="s">
        <v>79</v>
      </c>
      <c r="D46" s="4">
        <v>3</v>
      </c>
      <c r="E46" s="4">
        <v>3</v>
      </c>
      <c r="F46" s="4" t="s">
        <v>61</v>
      </c>
      <c r="G46" s="1" t="s">
        <v>59</v>
      </c>
      <c r="H46" s="2">
        <v>3</v>
      </c>
      <c r="I46" s="2">
        <f t="shared" si="5"/>
        <v>9</v>
      </c>
    </row>
    <row r="47" spans="2:12" ht="25.2" customHeight="1" x14ac:dyDescent="0.3">
      <c r="B47" s="44"/>
      <c r="C47" s="7" t="s">
        <v>20</v>
      </c>
      <c r="D47" s="7">
        <v>3</v>
      </c>
      <c r="E47" s="7">
        <v>3</v>
      </c>
      <c r="F47" s="7" t="s">
        <v>58</v>
      </c>
      <c r="G47" s="8" t="s">
        <v>63</v>
      </c>
      <c r="H47" s="9">
        <v>12</v>
      </c>
      <c r="I47" s="9">
        <f t="shared" si="5"/>
        <v>36</v>
      </c>
    </row>
    <row r="48" spans="2:12" ht="25.2" customHeight="1" x14ac:dyDescent="0.3">
      <c r="B48" s="44"/>
      <c r="C48" s="7" t="s">
        <v>22</v>
      </c>
      <c r="D48" s="7">
        <v>3</v>
      </c>
      <c r="E48" s="7">
        <v>3</v>
      </c>
      <c r="F48" s="7" t="s">
        <v>61</v>
      </c>
      <c r="G48" s="8" t="s">
        <v>59</v>
      </c>
      <c r="H48" s="9">
        <v>3</v>
      </c>
      <c r="I48" s="9">
        <f t="shared" si="5"/>
        <v>9</v>
      </c>
    </row>
    <row r="49" spans="2:9" ht="25.8" customHeight="1" x14ac:dyDescent="0.3">
      <c r="B49" s="44"/>
      <c r="C49" s="4" t="s">
        <v>80</v>
      </c>
      <c r="D49" s="4">
        <v>3</v>
      </c>
      <c r="E49" s="4">
        <v>5</v>
      </c>
      <c r="F49" s="4" t="s">
        <v>58</v>
      </c>
      <c r="G49" s="1" t="s">
        <v>62</v>
      </c>
      <c r="H49" s="2">
        <v>20</v>
      </c>
      <c r="I49" s="2">
        <f t="shared" si="5"/>
        <v>60</v>
      </c>
    </row>
    <row r="50" spans="2:9" ht="25.2" customHeight="1" x14ac:dyDescent="0.3">
      <c r="B50" s="44"/>
      <c r="C50" s="4" t="s">
        <v>21</v>
      </c>
      <c r="D50" s="4">
        <v>7</v>
      </c>
      <c r="E50" s="4">
        <v>5</v>
      </c>
      <c r="F50" s="4" t="s">
        <v>58</v>
      </c>
      <c r="G50" s="1" t="s">
        <v>62</v>
      </c>
      <c r="H50" s="2">
        <v>20</v>
      </c>
      <c r="I50" s="2">
        <f t="shared" ref="I50:I51" si="6">D50*H50</f>
        <v>140</v>
      </c>
    </row>
    <row r="51" spans="2:9" ht="25.2" customHeight="1" x14ac:dyDescent="0.3">
      <c r="B51" s="44"/>
      <c r="C51" s="4" t="s">
        <v>81</v>
      </c>
      <c r="D51" s="4">
        <v>7</v>
      </c>
      <c r="E51" s="4">
        <v>4</v>
      </c>
      <c r="F51" s="4" t="s">
        <v>61</v>
      </c>
      <c r="G51" s="1" t="s">
        <v>59</v>
      </c>
      <c r="H51" s="2">
        <v>4</v>
      </c>
      <c r="I51" s="2">
        <f t="shared" si="6"/>
        <v>28</v>
      </c>
    </row>
    <row r="52" spans="2:9" ht="25.2" customHeight="1" x14ac:dyDescent="0.3">
      <c r="B52" s="44"/>
      <c r="C52" s="4" t="s">
        <v>77</v>
      </c>
      <c r="D52" s="4">
        <v>3</v>
      </c>
      <c r="E52" s="4">
        <v>7</v>
      </c>
      <c r="F52" s="4" t="s">
        <v>58</v>
      </c>
      <c r="G52" s="1" t="s">
        <v>64</v>
      </c>
      <c r="H52" s="2">
        <v>28</v>
      </c>
      <c r="I52" s="2">
        <f t="shared" si="5"/>
        <v>84</v>
      </c>
    </row>
    <row r="53" spans="2:9" ht="25.2" customHeight="1" x14ac:dyDescent="0.3">
      <c r="B53" s="44"/>
      <c r="C53" s="4" t="s">
        <v>78</v>
      </c>
      <c r="D53" s="4">
        <v>3</v>
      </c>
      <c r="E53" s="4">
        <v>6</v>
      </c>
      <c r="F53" s="4" t="s">
        <v>61</v>
      </c>
      <c r="G53" s="1" t="s">
        <v>59</v>
      </c>
      <c r="H53" s="2">
        <v>6</v>
      </c>
      <c r="I53" s="2">
        <f t="shared" si="5"/>
        <v>18</v>
      </c>
    </row>
    <row r="54" spans="2:9" ht="25.2" customHeight="1" x14ac:dyDescent="0.3">
      <c r="B54" s="44"/>
      <c r="C54" s="4" t="s">
        <v>82</v>
      </c>
      <c r="D54" s="4">
        <v>3</v>
      </c>
      <c r="E54" s="4">
        <v>7</v>
      </c>
      <c r="F54" s="4" t="s">
        <v>84</v>
      </c>
      <c r="G54" s="1" t="s">
        <v>65</v>
      </c>
      <c r="H54" s="2">
        <v>28</v>
      </c>
      <c r="I54" s="2">
        <f t="shared" si="5"/>
        <v>84</v>
      </c>
    </row>
    <row r="55" spans="2:9" ht="25.2" customHeight="1" x14ac:dyDescent="0.3">
      <c r="B55" s="44"/>
      <c r="C55" s="4" t="s">
        <v>23</v>
      </c>
      <c r="D55" s="4">
        <v>3</v>
      </c>
      <c r="E55" s="4">
        <v>3</v>
      </c>
      <c r="F55" s="4" t="s">
        <v>61</v>
      </c>
      <c r="G55" s="1" t="s">
        <v>65</v>
      </c>
      <c r="H55" s="2">
        <v>6</v>
      </c>
      <c r="I55" s="2">
        <f t="shared" si="5"/>
        <v>18</v>
      </c>
    </row>
    <row r="56" spans="2:9" ht="25.2" customHeight="1" x14ac:dyDescent="0.3">
      <c r="B56" s="44"/>
      <c r="C56" s="4" t="s">
        <v>83</v>
      </c>
      <c r="D56" s="4">
        <v>1</v>
      </c>
      <c r="E56" s="4">
        <v>3</v>
      </c>
      <c r="F56" s="4" t="s">
        <v>58</v>
      </c>
      <c r="G56" s="1" t="s">
        <v>64</v>
      </c>
      <c r="H56" s="2">
        <v>12</v>
      </c>
      <c r="I56" s="2">
        <f t="shared" si="5"/>
        <v>12</v>
      </c>
    </row>
    <row r="57" spans="2:9" ht="25.2" customHeight="1" x14ac:dyDescent="0.3">
      <c r="B57" s="44"/>
      <c r="C57" s="4" t="s">
        <v>85</v>
      </c>
      <c r="D57" s="4">
        <v>1</v>
      </c>
      <c r="E57" s="4">
        <v>3</v>
      </c>
      <c r="F57" s="4" t="s">
        <v>61</v>
      </c>
      <c r="G57" s="1" t="s">
        <v>59</v>
      </c>
      <c r="H57" s="2">
        <v>7</v>
      </c>
      <c r="I57" s="2">
        <f t="shared" ref="I57" si="7">D57*H57</f>
        <v>7</v>
      </c>
    </row>
    <row r="58" spans="2:9" x14ac:dyDescent="0.3">
      <c r="B58" s="45"/>
      <c r="C58" s="15" t="s">
        <v>0</v>
      </c>
      <c r="D58" s="15"/>
      <c r="E58" s="15"/>
      <c r="F58" s="15"/>
      <c r="G58" s="15"/>
      <c r="H58" s="15"/>
      <c r="I58" s="6">
        <f>SUM(I45:I57)</f>
        <v>541</v>
      </c>
    </row>
    <row r="59" spans="2:9" ht="27.6" customHeight="1" x14ac:dyDescent="0.3">
      <c r="B59" s="25" t="s">
        <v>96</v>
      </c>
      <c r="C59" s="4" t="s">
        <v>25</v>
      </c>
      <c r="D59" s="4">
        <v>1</v>
      </c>
      <c r="E59" s="4">
        <v>6</v>
      </c>
      <c r="F59" s="4" t="s">
        <v>66</v>
      </c>
      <c r="G59" s="1" t="s">
        <v>52</v>
      </c>
      <c r="H59" s="2">
        <v>36</v>
      </c>
      <c r="I59" s="2">
        <f>D59*H59</f>
        <v>36</v>
      </c>
    </row>
    <row r="60" spans="2:9" ht="24" customHeight="1" x14ac:dyDescent="0.3">
      <c r="B60" s="26"/>
      <c r="C60" s="4" t="s">
        <v>26</v>
      </c>
      <c r="D60" s="4">
        <v>1</v>
      </c>
      <c r="E60" s="4">
        <v>1</v>
      </c>
      <c r="F60" s="4" t="s">
        <v>66</v>
      </c>
      <c r="G60" s="1" t="s">
        <v>52</v>
      </c>
      <c r="H60" s="2">
        <v>6</v>
      </c>
      <c r="I60" s="2">
        <f>D60*H60</f>
        <v>6</v>
      </c>
    </row>
    <row r="61" spans="2:9" ht="27.6" customHeight="1" x14ac:dyDescent="0.3">
      <c r="B61" s="26"/>
      <c r="C61" s="4" t="s">
        <v>27</v>
      </c>
      <c r="D61" s="4">
        <v>1</v>
      </c>
      <c r="E61" s="4">
        <v>1</v>
      </c>
      <c r="F61" s="4" t="s">
        <v>66</v>
      </c>
      <c r="G61" s="1" t="s">
        <v>52</v>
      </c>
      <c r="H61" s="2">
        <v>9</v>
      </c>
      <c r="I61" s="2">
        <f>D61*H61</f>
        <v>9</v>
      </c>
    </row>
    <row r="62" spans="2:9" ht="21.6" customHeight="1" x14ac:dyDescent="0.3">
      <c r="B62" s="26"/>
      <c r="C62" s="4" t="s">
        <v>72</v>
      </c>
      <c r="D62" s="4">
        <v>1</v>
      </c>
      <c r="E62" s="4">
        <v>80</v>
      </c>
      <c r="F62" s="4" t="s">
        <v>53</v>
      </c>
      <c r="G62" s="1" t="s">
        <v>52</v>
      </c>
      <c r="H62" s="2">
        <f>80*3</f>
        <v>240</v>
      </c>
      <c r="I62" s="2">
        <f>D62*H62</f>
        <v>240</v>
      </c>
    </row>
    <row r="63" spans="2:9" ht="21.6" customHeight="1" x14ac:dyDescent="0.3">
      <c r="B63" s="26"/>
      <c r="C63" s="4" t="s">
        <v>32</v>
      </c>
      <c r="D63" s="4">
        <v>1</v>
      </c>
      <c r="E63" s="4">
        <v>12</v>
      </c>
      <c r="F63" s="4" t="s">
        <v>53</v>
      </c>
      <c r="G63" s="1" t="s">
        <v>69</v>
      </c>
      <c r="H63" s="2">
        <v>36</v>
      </c>
      <c r="I63" s="2">
        <f t="shared" ref="I63:I65" si="8">D63*H63</f>
        <v>36</v>
      </c>
    </row>
    <row r="64" spans="2:9" ht="21.6" customHeight="1" x14ac:dyDescent="0.3">
      <c r="B64" s="26"/>
      <c r="C64" s="4" t="s">
        <v>103</v>
      </c>
      <c r="D64" s="4">
        <v>7</v>
      </c>
      <c r="E64" s="4"/>
      <c r="F64" s="4"/>
      <c r="G64" s="1" t="s">
        <v>88</v>
      </c>
      <c r="H64" s="2">
        <v>22</v>
      </c>
      <c r="I64" s="2">
        <f t="shared" si="8"/>
        <v>154</v>
      </c>
    </row>
    <row r="65" spans="2:9" ht="21.6" customHeight="1" x14ac:dyDescent="0.3">
      <c r="B65" s="26"/>
      <c r="C65" s="4" t="s">
        <v>104</v>
      </c>
      <c r="D65" s="4">
        <v>1</v>
      </c>
      <c r="E65" s="4"/>
      <c r="F65" s="4"/>
      <c r="G65" s="1" t="s">
        <v>69</v>
      </c>
      <c r="H65" s="2">
        <v>222.75</v>
      </c>
      <c r="I65" s="2">
        <f t="shared" si="8"/>
        <v>222.75</v>
      </c>
    </row>
    <row r="66" spans="2:9" ht="21.6" customHeight="1" x14ac:dyDescent="0.3">
      <c r="B66" s="26"/>
      <c r="C66" s="4" t="s">
        <v>105</v>
      </c>
      <c r="D66" s="4">
        <v>1</v>
      </c>
      <c r="E66" s="4"/>
      <c r="F66" s="4"/>
      <c r="G66" s="1" t="s">
        <v>69</v>
      </c>
      <c r="H66" s="2">
        <v>138.94999999999999</v>
      </c>
      <c r="I66" s="2">
        <v>138.94999999999999</v>
      </c>
    </row>
    <row r="67" spans="2:9" ht="21.6" customHeight="1" x14ac:dyDescent="0.3">
      <c r="B67" s="26"/>
      <c r="C67" s="4" t="s">
        <v>97</v>
      </c>
      <c r="D67" s="4">
        <v>3</v>
      </c>
      <c r="E67" s="4">
        <v>20</v>
      </c>
      <c r="F67" s="4" t="s">
        <v>75</v>
      </c>
      <c r="G67" s="1" t="s">
        <v>64</v>
      </c>
      <c r="H67" s="2">
        <v>44</v>
      </c>
      <c r="I67" s="2">
        <f t="shared" ref="I67:I70" si="9">D67*H67</f>
        <v>132</v>
      </c>
    </row>
    <row r="68" spans="2:9" ht="21.6" customHeight="1" x14ac:dyDescent="0.3">
      <c r="B68" s="26"/>
      <c r="C68" s="4" t="s">
        <v>115</v>
      </c>
      <c r="D68" s="4">
        <v>1</v>
      </c>
      <c r="E68" s="4"/>
      <c r="F68" s="4" t="s">
        <v>118</v>
      </c>
      <c r="G68" s="1" t="s">
        <v>69</v>
      </c>
      <c r="H68" s="2">
        <v>809</v>
      </c>
      <c r="I68" s="2">
        <f t="shared" si="9"/>
        <v>809</v>
      </c>
    </row>
    <row r="69" spans="2:9" ht="21.6" customHeight="1" x14ac:dyDescent="0.3">
      <c r="B69" s="26"/>
      <c r="C69" s="4" t="s">
        <v>116</v>
      </c>
      <c r="D69" s="4">
        <v>1</v>
      </c>
      <c r="E69" s="4"/>
      <c r="F69" s="4" t="s">
        <v>118</v>
      </c>
      <c r="G69" s="1" t="s">
        <v>119</v>
      </c>
      <c r="H69" s="2">
        <v>39.200000000000003</v>
      </c>
      <c r="I69" s="2">
        <f t="shared" si="9"/>
        <v>39.200000000000003</v>
      </c>
    </row>
    <row r="70" spans="2:9" ht="21.6" customHeight="1" x14ac:dyDescent="0.3">
      <c r="B70" s="26"/>
      <c r="C70" s="4" t="s">
        <v>117</v>
      </c>
      <c r="D70" s="4">
        <v>1</v>
      </c>
      <c r="E70" s="4"/>
      <c r="F70" s="4" t="s">
        <v>118</v>
      </c>
      <c r="G70" s="1" t="s">
        <v>69</v>
      </c>
      <c r="H70" s="2">
        <v>20.5</v>
      </c>
      <c r="I70" s="2">
        <f t="shared" si="9"/>
        <v>20.5</v>
      </c>
    </row>
    <row r="71" spans="2:9" ht="22.2" customHeight="1" x14ac:dyDescent="0.3">
      <c r="B71" s="27"/>
      <c r="C71" s="15" t="s">
        <v>0</v>
      </c>
      <c r="D71" s="15"/>
      <c r="E71" s="15"/>
      <c r="F71" s="15"/>
      <c r="G71" s="15"/>
      <c r="H71" s="15"/>
      <c r="I71" s="6">
        <f>SUM(I59:I70)</f>
        <v>1843.4</v>
      </c>
    </row>
    <row r="72" spans="2:9" ht="23.4" customHeight="1" x14ac:dyDescent="0.3">
      <c r="B72" s="12" t="s">
        <v>100</v>
      </c>
      <c r="C72" s="4" t="s">
        <v>28</v>
      </c>
      <c r="D72" s="4">
        <v>1</v>
      </c>
      <c r="E72" s="4">
        <v>3</v>
      </c>
      <c r="F72" s="4" t="s">
        <v>68</v>
      </c>
      <c r="G72" s="1" t="s">
        <v>69</v>
      </c>
      <c r="H72" s="2">
        <v>25</v>
      </c>
      <c r="I72" s="2">
        <f>D72*H72</f>
        <v>25</v>
      </c>
    </row>
    <row r="73" spans="2:9" ht="27" customHeight="1" x14ac:dyDescent="0.3">
      <c r="B73" s="13"/>
      <c r="C73" s="4" t="s">
        <v>98</v>
      </c>
      <c r="D73" s="4">
        <v>1</v>
      </c>
      <c r="E73" s="4">
        <v>2</v>
      </c>
      <c r="F73" s="4" t="s">
        <v>70</v>
      </c>
      <c r="G73" s="1" t="s">
        <v>69</v>
      </c>
      <c r="H73" s="2">
        <v>17.600000000000001</v>
      </c>
      <c r="I73" s="2">
        <f t="shared" ref="I73:I80" si="10">D73*H73</f>
        <v>17.600000000000001</v>
      </c>
    </row>
    <row r="74" spans="2:9" ht="22.8" customHeight="1" x14ac:dyDescent="0.3">
      <c r="B74" s="13"/>
      <c r="C74" s="4" t="s">
        <v>99</v>
      </c>
      <c r="D74" s="4">
        <v>1</v>
      </c>
      <c r="E74" s="4">
        <v>4</v>
      </c>
      <c r="F74" s="4" t="s">
        <v>53</v>
      </c>
      <c r="G74" s="1" t="s">
        <v>69</v>
      </c>
      <c r="H74" s="2">
        <v>15</v>
      </c>
      <c r="I74" s="2">
        <f t="shared" si="10"/>
        <v>15</v>
      </c>
    </row>
    <row r="75" spans="2:9" ht="27.6" customHeight="1" x14ac:dyDescent="0.3">
      <c r="B75" s="13"/>
      <c r="C75" s="4" t="s">
        <v>101</v>
      </c>
      <c r="D75" s="4">
        <v>1</v>
      </c>
      <c r="E75" s="4">
        <v>3</v>
      </c>
      <c r="F75" s="4" t="s">
        <v>68</v>
      </c>
      <c r="G75" s="1" t="s">
        <v>69</v>
      </c>
      <c r="H75" s="2">
        <v>25</v>
      </c>
      <c r="I75" s="2">
        <f>D75*H75</f>
        <v>25</v>
      </c>
    </row>
    <row r="76" spans="2:9" ht="28.8" customHeight="1" x14ac:dyDescent="0.3">
      <c r="B76" s="13"/>
      <c r="C76" s="4" t="s">
        <v>102</v>
      </c>
      <c r="D76" s="4">
        <v>1</v>
      </c>
      <c r="E76" s="4">
        <v>2</v>
      </c>
      <c r="F76" s="4" t="s">
        <v>68</v>
      </c>
      <c r="G76" s="1" t="s">
        <v>69</v>
      </c>
      <c r="H76" s="2">
        <v>6</v>
      </c>
      <c r="I76" s="2">
        <f t="shared" si="10"/>
        <v>6</v>
      </c>
    </row>
    <row r="77" spans="2:9" ht="23.4" customHeight="1" x14ac:dyDescent="0.3">
      <c r="B77" s="13"/>
      <c r="C77" s="4" t="s">
        <v>34</v>
      </c>
      <c r="D77" s="4">
        <v>1</v>
      </c>
      <c r="E77" s="4">
        <v>2</v>
      </c>
      <c r="F77" s="4" t="s">
        <v>68</v>
      </c>
      <c r="G77" s="1" t="s">
        <v>69</v>
      </c>
      <c r="H77" s="2">
        <v>8</v>
      </c>
      <c r="I77" s="2">
        <f t="shared" si="10"/>
        <v>8</v>
      </c>
    </row>
    <row r="78" spans="2:9" ht="27" customHeight="1" x14ac:dyDescent="0.3">
      <c r="B78" s="13"/>
      <c r="C78" s="4" t="s">
        <v>35</v>
      </c>
      <c r="D78" s="4">
        <v>1</v>
      </c>
      <c r="E78" s="4">
        <v>1</v>
      </c>
      <c r="F78" s="4" t="s">
        <v>53</v>
      </c>
      <c r="G78" s="1" t="s">
        <v>69</v>
      </c>
      <c r="H78" s="2">
        <v>10</v>
      </c>
      <c r="I78" s="2">
        <f t="shared" si="10"/>
        <v>10</v>
      </c>
    </row>
    <row r="79" spans="2:9" ht="23.4" customHeight="1" x14ac:dyDescent="0.3">
      <c r="B79" s="13"/>
      <c r="C79" s="4" t="s">
        <v>36</v>
      </c>
      <c r="D79" s="4">
        <v>1</v>
      </c>
      <c r="E79" s="4">
        <v>2</v>
      </c>
      <c r="F79" s="4" t="s">
        <v>68</v>
      </c>
      <c r="G79" s="1" t="s">
        <v>69</v>
      </c>
      <c r="H79" s="2">
        <v>10</v>
      </c>
      <c r="I79" s="2">
        <f t="shared" si="10"/>
        <v>10</v>
      </c>
    </row>
    <row r="80" spans="2:9" ht="25.8" customHeight="1" x14ac:dyDescent="0.3">
      <c r="B80" s="13"/>
      <c r="C80" s="4" t="s">
        <v>37</v>
      </c>
      <c r="D80" s="4">
        <v>1</v>
      </c>
      <c r="E80" s="4">
        <v>2</v>
      </c>
      <c r="F80" s="4" t="s">
        <v>68</v>
      </c>
      <c r="G80" s="1" t="s">
        <v>69</v>
      </c>
      <c r="H80" s="2">
        <v>9</v>
      </c>
      <c r="I80" s="2">
        <f t="shared" si="10"/>
        <v>9</v>
      </c>
    </row>
    <row r="81" spans="2:9" ht="18" customHeight="1" x14ac:dyDescent="0.3">
      <c r="B81" s="14"/>
      <c r="C81" s="15" t="s">
        <v>0</v>
      </c>
      <c r="D81" s="15"/>
      <c r="E81" s="15"/>
      <c r="F81" s="15"/>
      <c r="G81" s="15"/>
      <c r="H81" s="15"/>
      <c r="I81" s="6">
        <f>SUM(I72:I80)</f>
        <v>125.6</v>
      </c>
    </row>
    <row r="82" spans="2:9" ht="22.8" customHeight="1" x14ac:dyDescent="0.3">
      <c r="B82" s="22" t="s">
        <v>114</v>
      </c>
      <c r="C82" s="4" t="s">
        <v>91</v>
      </c>
      <c r="D82" s="4">
        <v>1</v>
      </c>
      <c r="E82" s="4"/>
      <c r="F82" s="4"/>
      <c r="G82" s="4"/>
      <c r="H82" s="4">
        <v>2267.8000000000002</v>
      </c>
      <c r="I82" s="2">
        <v>2267.8000000000002</v>
      </c>
    </row>
    <row r="83" spans="2:9" ht="13.8" customHeight="1" x14ac:dyDescent="0.3">
      <c r="B83" s="23"/>
      <c r="C83" s="15" t="s">
        <v>0</v>
      </c>
      <c r="D83" s="15"/>
      <c r="E83" s="15"/>
      <c r="F83" s="15"/>
      <c r="G83" s="15"/>
      <c r="H83" s="15"/>
      <c r="I83" s="6">
        <f>I82</f>
        <v>2267.8000000000002</v>
      </c>
    </row>
    <row r="84" spans="2:9" x14ac:dyDescent="0.3">
      <c r="B84" s="11"/>
      <c r="C84" s="24" t="s">
        <v>0</v>
      </c>
      <c r="D84" s="24"/>
      <c r="E84" s="24"/>
      <c r="F84" s="24"/>
      <c r="G84" s="24"/>
      <c r="H84" s="24"/>
      <c r="I84" s="6"/>
    </row>
    <row r="85" spans="2:9" x14ac:dyDescent="0.3">
      <c r="B85" s="19" t="s">
        <v>108</v>
      </c>
      <c r="C85" s="20"/>
      <c r="D85" s="20"/>
      <c r="E85" s="20"/>
      <c r="F85" s="20"/>
      <c r="G85" s="20"/>
      <c r="H85" s="20"/>
      <c r="I85" s="3">
        <f>I81+I71+I58+I44+I34+I14</f>
        <v>4440.95</v>
      </c>
    </row>
    <row r="86" spans="2:9" x14ac:dyDescent="0.3">
      <c r="B86" s="19" t="s">
        <v>110</v>
      </c>
      <c r="C86" s="20"/>
      <c r="D86" s="20"/>
      <c r="E86" s="20"/>
      <c r="F86" s="20"/>
      <c r="G86" s="20"/>
      <c r="H86" s="20"/>
      <c r="I86" s="3">
        <v>2803.64</v>
      </c>
    </row>
    <row r="87" spans="2:9" x14ac:dyDescent="0.3">
      <c r="B87" s="19" t="s">
        <v>109</v>
      </c>
      <c r="C87" s="20"/>
      <c r="D87" s="20"/>
      <c r="E87" s="20"/>
      <c r="F87" s="20"/>
      <c r="G87" s="20"/>
      <c r="H87" s="20"/>
      <c r="I87" s="3">
        <v>728.8</v>
      </c>
    </row>
    <row r="88" spans="2:9" x14ac:dyDescent="0.3">
      <c r="B88" s="21" t="s">
        <v>92</v>
      </c>
      <c r="C88" s="21"/>
      <c r="D88" s="21"/>
      <c r="E88" s="21"/>
      <c r="F88" s="21"/>
      <c r="G88" s="21"/>
      <c r="H88" s="21"/>
      <c r="I88" s="10">
        <f>I85+I86+I87</f>
        <v>7973.39</v>
      </c>
    </row>
  </sheetData>
  <mergeCells count="30">
    <mergeCell ref="B87:H87"/>
    <mergeCell ref="B2:I2"/>
    <mergeCell ref="B3:C3"/>
    <mergeCell ref="B4:B5"/>
    <mergeCell ref="C4:C5"/>
    <mergeCell ref="G4:G5"/>
    <mergeCell ref="H4:H5"/>
    <mergeCell ref="I4:I5"/>
    <mergeCell ref="D4:D5"/>
    <mergeCell ref="E4:E5"/>
    <mergeCell ref="D3:I3"/>
    <mergeCell ref="F4:F5"/>
    <mergeCell ref="B85:H85"/>
    <mergeCell ref="B86:H86"/>
    <mergeCell ref="B88:H88"/>
    <mergeCell ref="C44:H44"/>
    <mergeCell ref="B45:B58"/>
    <mergeCell ref="C58:H58"/>
    <mergeCell ref="C81:H81"/>
    <mergeCell ref="B82:B83"/>
    <mergeCell ref="C83:H83"/>
    <mergeCell ref="C84:H84"/>
    <mergeCell ref="B59:B71"/>
    <mergeCell ref="C14:H14"/>
    <mergeCell ref="B6:B14"/>
    <mergeCell ref="C71:H71"/>
    <mergeCell ref="B35:B44"/>
    <mergeCell ref="C34:H34"/>
    <mergeCell ref="B72:B81"/>
    <mergeCell ref="B15:B34"/>
  </mergeCells>
  <pageMargins left="0.51181102362204722" right="0.51181102362204722" top="0.35433070866141736" bottom="0.35433070866141736" header="0.31496062992125984" footer="0.31496062992125984"/>
  <pageSetup paperSize="9" scale="57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PROGRAMACIÓN DE ÁREAS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dosrestudio@outlook.com</dc:creator>
  <cp:lastModifiedBy>Gianella Solansh Manrique Rodríguez</cp:lastModifiedBy>
  <cp:lastPrinted>2026-07-03T21:32:50Z</cp:lastPrinted>
  <dcterms:created xsi:type="dcterms:W3CDTF">2024-03-20T13:31:42Z</dcterms:created>
  <dcterms:modified xsi:type="dcterms:W3CDTF">2026-10-27T22:28:42Z</dcterms:modified>
</cp:coreProperties>
</file>