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TRAMOS" sheetId="3" state="visible" r:id="rId3"/>
    <sheet xmlns:r="http://schemas.openxmlformats.org/officeDocument/2006/relationships" name="01 PRELIMINARES" sheetId="4" state="visible" r:id="rId4"/>
    <sheet xmlns:r="http://schemas.openxmlformats.org/officeDocument/2006/relationships" name="02 MOV. TIERRAS" sheetId="5" state="visible" r:id="rId5"/>
    <sheet xmlns:r="http://schemas.openxmlformats.org/officeDocument/2006/relationships" name="03 CONCRETO SIMPLE" sheetId="6" state="visible" r:id="rId6"/>
    <sheet xmlns:r="http://schemas.openxmlformats.org/officeDocument/2006/relationships" name="04 CONCRETO ARMADO" sheetId="7" state="visible" r:id="rId7"/>
    <sheet xmlns:r="http://schemas.openxmlformats.org/officeDocument/2006/relationships" name="05 REGISTROS" sheetId="8" state="visible" r:id="rId8"/>
    <sheet xmlns:r="http://schemas.openxmlformats.org/officeDocument/2006/relationships" name="06 SALIDA" sheetId="9" state="visible" r:id="rId9"/>
    <sheet xmlns:r="http://schemas.openxmlformats.org/officeDocument/2006/relationships" name="07 JUNTAS Y EMPALMES" sheetId="10" state="visible" r:id="rId10"/>
    <sheet xmlns:r="http://schemas.openxmlformats.org/officeDocument/2006/relationships" name="08 PLANILLA ACE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0"/>
    <numFmt numFmtId="166" formatCode="0.0"/>
    <numFmt numFmtId="167" formatCode="#,##0.000"/>
    <numFmt numFmtId="168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8"/>
    </font>
    <font>
      <name val="Arial"/>
      <b val="1"/>
      <color rgb="00FFFFFF"/>
      <sz val="9"/>
    </font>
    <font>
      <name val="Arial"/>
      <sz val="9"/>
    </font>
    <font>
      <name val="Arial"/>
      <color rgb="000000FF"/>
      <sz val="9"/>
    </font>
    <font>
      <name val="Arial"/>
      <b val="1"/>
      <sz val="9"/>
    </font>
    <font>
      <name val="Arial"/>
      <b val="1"/>
      <i val="1"/>
      <sz val="9"/>
    </font>
    <font>
      <name val="Arial"/>
      <sz val="8"/>
    </font>
    <font>
      <name val="Arial"/>
      <color rgb="00008000"/>
      <sz val="9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E0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6" borderId="1" pivotButton="0" quotePrefix="0" xfId="0"/>
    <xf numFmtId="0" fontId="4" fillId="6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4" fontId="9" fillId="0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horizontal="center" vertical="center" wrapText="1"/>
    </xf>
    <xf numFmtId="4" fontId="6" fillId="5" borderId="1" pivotButton="0" quotePrefix="0" xfId="0"/>
    <xf numFmtId="0" fontId="10" fillId="0" borderId="1" pivotButton="0" quotePrefix="0" xfId="0"/>
    <xf numFmtId="2" fontId="5" fillId="4" borderId="1" pivotButton="0" quotePrefix="0" xfId="0"/>
    <xf numFmtId="0" fontId="4" fillId="0" borderId="1" applyAlignment="1" pivotButton="0" quotePrefix="0" xfId="0">
      <alignment vertical="center" wrapText="1"/>
    </xf>
    <xf numFmtId="164" fontId="5" fillId="4" borderId="1" pivotButton="0" quotePrefix="0" xfId="0"/>
    <xf numFmtId="165" fontId="4" fillId="0" borderId="1" pivotButton="0" quotePrefix="0" xfId="0"/>
    <xf numFmtId="1" fontId="5" fillId="4" borderId="1" pivotButton="0" quotePrefix="0" xfId="0"/>
    <xf numFmtId="2" fontId="5" fillId="0" borderId="1" pivotButton="0" quotePrefix="0" xfId="0"/>
    <xf numFmtId="2" fontId="4" fillId="0" borderId="1" pivotButton="0" quotePrefix="0" xfId="0"/>
    <xf numFmtId="164" fontId="4" fillId="0" borderId="1" pivotButton="0" quotePrefix="0" xfId="0"/>
    <xf numFmtId="166" fontId="4" fillId="0" borderId="1" pivotButton="0" quotePrefix="0" xfId="0"/>
    <xf numFmtId="1" fontId="4" fillId="0" borderId="1" pivotButton="0" quotePrefix="0" xfId="0"/>
    <xf numFmtId="0" fontId="6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5" fillId="0" borderId="1" pivotButton="0" quotePrefix="0" xfId="0"/>
    <xf numFmtId="167" fontId="4" fillId="0" borderId="1" pivotButton="0" quotePrefix="0" xfId="0"/>
    <xf numFmtId="0" fontId="8" fillId="0" borderId="1" applyAlignment="1" pivotButton="0" quotePrefix="0" xfId="0">
      <alignment vertical="center" wrapText="1"/>
    </xf>
    <xf numFmtId="164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4" fontId="4" fillId="0" borderId="1" pivotButton="0" quotePrefix="0" xfId="0"/>
    <xf numFmtId="168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74" customWidth="1" min="2" max="2"/>
    <col width="8" customWidth="1" min="3" max="3"/>
    <col width="13" customWidth="1" min="4" max="4"/>
    <col width="22" customWidth="1" min="5" max="5"/>
  </cols>
  <sheetData>
    <row r="1" ht="24" customHeight="1">
      <c r="A1" s="1" t="inlineStr">
        <is>
          <t>RESUMEN DE METRADOS - COLECTOR PLUVIAL CAR MUJERES</t>
        </is>
      </c>
    </row>
    <row r="2">
      <c r="A2" s="2" t="inlineStr">
        <is>
          <t>CAR Mujeres (CUI 2717013) - Colector pluvial frontal b=1.50 m, preparado para CAR Varones y Hogar de Refugio - Morales, San Martin</t>
        </is>
      </c>
    </row>
    <row r="4" ht="36" customHeight="1">
      <c r="A4" s="3" t="inlineStr">
        <is>
          <t>ITEM</t>
        </is>
      </c>
      <c r="B4" s="3" t="inlineStr">
        <is>
          <t>DESCRIPCION</t>
        </is>
      </c>
      <c r="C4" s="3" t="inlineStr">
        <is>
          <t>UND</t>
        </is>
      </c>
      <c r="D4" s="3" t="inlineStr">
        <is>
          <t>METRADO</t>
        </is>
      </c>
      <c r="E4" s="3" t="inlineStr">
        <is>
          <t>HOJA DE SUSTENTO</t>
        </is>
      </c>
    </row>
    <row r="5">
      <c r="A5" s="4" t="inlineStr">
        <is>
          <t>01</t>
        </is>
      </c>
      <c r="B5" s="4" t="inlineStr">
        <is>
          <t>OBRAS PRELIMINARES</t>
        </is>
      </c>
      <c r="C5" s="5" t="n"/>
      <c r="D5" s="5" t="n"/>
      <c r="E5" s="5" t="n"/>
    </row>
    <row r="6">
      <c r="A6" s="6" t="inlineStr">
        <is>
          <t>01.01</t>
        </is>
      </c>
      <c r="B6" s="6" t="inlineStr">
        <is>
          <t>Trazo, nivelacion y replanteo</t>
        </is>
      </c>
      <c r="C6" s="7" t="inlineStr">
        <is>
          <t>m2</t>
        </is>
      </c>
      <c r="D6" s="8">
        <f>'01 PRELIMINARES'!$I$84</f>
        <v/>
      </c>
      <c r="E6" s="7" t="inlineStr">
        <is>
          <t>01 PRELIMINARES</t>
        </is>
      </c>
    </row>
    <row r="7">
      <c r="A7" s="4" t="inlineStr">
        <is>
          <t>02</t>
        </is>
      </c>
      <c r="B7" s="4" t="inlineStr">
        <is>
          <t>MOVIMIENTO DE TIERRAS</t>
        </is>
      </c>
      <c r="C7" s="5" t="n"/>
      <c r="D7" s="5" t="n"/>
      <c r="E7" s="5" t="n"/>
    </row>
    <row r="8">
      <c r="A8" s="6" t="inlineStr">
        <is>
          <t>02.01</t>
        </is>
      </c>
      <c r="B8" s="6" t="inlineStr">
        <is>
          <t>Excavacion de zanja</t>
        </is>
      </c>
      <c r="C8" s="7" t="inlineStr">
        <is>
          <t>m3</t>
        </is>
      </c>
      <c r="D8" s="8">
        <f>'02 MOV. TIERRAS'!$I$84</f>
        <v/>
      </c>
      <c r="E8" s="7" t="inlineStr">
        <is>
          <t>02 MOV. TIERRAS</t>
        </is>
      </c>
    </row>
    <row r="9">
      <c r="A9" s="6" t="inlineStr">
        <is>
          <t>02.02</t>
        </is>
      </c>
      <c r="B9" s="6" t="inlineStr">
        <is>
          <t>Refine, nivelacion y compactacion de fondo</t>
        </is>
      </c>
      <c r="C9" s="7" t="inlineStr">
        <is>
          <t>m2</t>
        </is>
      </c>
      <c r="D9" s="8">
        <f>'02 MOV. TIERRAS'!$I$166</f>
        <v/>
      </c>
      <c r="E9" s="7" t="inlineStr">
        <is>
          <t>02 MOV. TIERRAS</t>
        </is>
      </c>
    </row>
    <row r="10">
      <c r="A10" s="6" t="inlineStr">
        <is>
          <t>02.03</t>
        </is>
      </c>
      <c r="B10" s="6" t="inlineStr">
        <is>
          <t>Relleno compactado con material propio</t>
        </is>
      </c>
      <c r="C10" s="7" t="inlineStr">
        <is>
          <t>m3</t>
        </is>
      </c>
      <c r="D10" s="8">
        <f>'02 MOV. TIERRAS'!$I$247</f>
        <v/>
      </c>
      <c r="E10" s="7" t="inlineStr">
        <is>
          <t>02 MOV. TIERRAS</t>
        </is>
      </c>
    </row>
    <row r="11">
      <c r="A11" s="6" t="inlineStr">
        <is>
          <t>02.04</t>
        </is>
      </c>
      <c r="B11" s="6" t="inlineStr">
        <is>
          <t>Eliminacion de material excedente D=5 km</t>
        </is>
      </c>
      <c r="C11" s="7" t="inlineStr">
        <is>
          <t>m3</t>
        </is>
      </c>
      <c r="D11" s="8">
        <f>'02 MOV. TIERRAS'!$I$251</f>
        <v/>
      </c>
      <c r="E11" s="7" t="inlineStr">
        <is>
          <t>02 MOV. TIERRAS</t>
        </is>
      </c>
    </row>
    <row r="12">
      <c r="A12" s="4" t="inlineStr">
        <is>
          <t>03</t>
        </is>
      </c>
      <c r="B12" s="4" t="inlineStr">
        <is>
          <t>CONCRETO SIMPLE</t>
        </is>
      </c>
      <c r="C12" s="5" t="n"/>
      <c r="D12" s="5" t="n"/>
      <c r="E12" s="5" t="n"/>
    </row>
    <row r="13">
      <c r="A13" s="6" t="inlineStr">
        <is>
          <t>03.01</t>
        </is>
      </c>
      <c r="B13" s="6" t="inlineStr">
        <is>
          <t>Solado f'c=100 kg/cm2 e=0.05 m</t>
        </is>
      </c>
      <c r="C13" s="7" t="inlineStr">
        <is>
          <t>m2</t>
        </is>
      </c>
      <c r="D13" s="8">
        <f>'03 CONCRETO SIMPLE'!$I$84</f>
        <v/>
      </c>
      <c r="E13" s="7" t="inlineStr">
        <is>
          <t>03 CONCRETO SIMPLE</t>
        </is>
      </c>
    </row>
    <row r="14">
      <c r="A14" s="6" t="inlineStr">
        <is>
          <t>03.02</t>
        </is>
      </c>
      <c r="B14" s="6" t="inlineStr">
        <is>
          <t>Afirmado compactado e=0.10 m bajo emboquillado</t>
        </is>
      </c>
      <c r="C14" s="7" t="inlineStr">
        <is>
          <t>m2</t>
        </is>
      </c>
      <c r="D14" s="8">
        <f>'03 CONCRETO SIMPLE'!$I$88</f>
        <v/>
      </c>
      <c r="E14" s="7" t="inlineStr">
        <is>
          <t>03 CONCRETO SIMPLE</t>
        </is>
      </c>
    </row>
    <row r="15">
      <c r="A15" s="6" t="inlineStr">
        <is>
          <t>03.03</t>
        </is>
      </c>
      <c r="B15" s="6" t="inlineStr">
        <is>
          <t>Una de concreto ciclopeo f'c=140 + 30% P.M.</t>
        </is>
      </c>
      <c r="C15" s="7" t="inlineStr">
        <is>
          <t>m3</t>
        </is>
      </c>
      <c r="D15" s="8">
        <f>'03 CONCRETO SIMPLE'!$I$92</f>
        <v/>
      </c>
      <c r="E15" s="7" t="inlineStr">
        <is>
          <t>03 CONCRETO SIMPLE</t>
        </is>
      </c>
    </row>
    <row r="16">
      <c r="A16" s="4" t="inlineStr">
        <is>
          <t>04</t>
        </is>
      </c>
      <c r="B16" s="4" t="inlineStr">
        <is>
          <t>CONCRETO ARMADO - COLECTOR</t>
        </is>
      </c>
      <c r="C16" s="5" t="n"/>
      <c r="D16" s="5" t="n"/>
      <c r="E16" s="5" t="n"/>
    </row>
    <row r="17">
      <c r="A17" s="6" t="inlineStr">
        <is>
          <t>04.01</t>
        </is>
      </c>
      <c r="B17" s="6" t="inlineStr">
        <is>
          <t>Concreto f'c=210 - losa de fondo</t>
        </is>
      </c>
      <c r="C17" s="7" t="inlineStr">
        <is>
          <t>m3</t>
        </is>
      </c>
      <c r="D17" s="8">
        <f>'04 CONCRETO ARMADO'!$I$82</f>
        <v/>
      </c>
      <c r="E17" s="7" t="inlineStr">
        <is>
          <t>04 CONCRETO ARMADO</t>
        </is>
      </c>
    </row>
    <row r="18">
      <c r="A18" s="6" t="inlineStr">
        <is>
          <t>04.02</t>
        </is>
      </c>
      <c r="B18" s="6" t="inlineStr">
        <is>
          <t>Concreto f'c=210 - muros</t>
        </is>
      </c>
      <c r="C18" s="7" t="inlineStr">
        <is>
          <t>m3</t>
        </is>
      </c>
      <c r="D18" s="8">
        <f>'04 CONCRETO ARMADO'!$I$163</f>
        <v/>
      </c>
      <c r="E18" s="7" t="inlineStr">
        <is>
          <t>04 CONCRETO ARMADO</t>
        </is>
      </c>
    </row>
    <row r="19">
      <c r="A19" s="6" t="inlineStr">
        <is>
          <t>04.03</t>
        </is>
      </c>
      <c r="B19" s="6" t="inlineStr">
        <is>
          <t>Concreto f'c=210 - losa superior (incluye borde engrosado de registros)</t>
        </is>
      </c>
      <c r="C19" s="7" t="inlineStr">
        <is>
          <t>m3</t>
        </is>
      </c>
      <c r="D19" s="8">
        <f>'04 CONCRETO ARMADO'!$I$246</f>
        <v/>
      </c>
      <c r="E19" s="7" t="inlineStr">
        <is>
          <t>04 CONCRETO ARMADO</t>
        </is>
      </c>
    </row>
    <row r="20">
      <c r="A20" s="6" t="inlineStr">
        <is>
          <t>04.04</t>
        </is>
      </c>
      <c r="B20" s="6" t="inlineStr">
        <is>
          <t>Encofrado y desencofrado normal</t>
        </is>
      </c>
      <c r="C20" s="7" t="inlineStr">
        <is>
          <t>m2</t>
        </is>
      </c>
      <c r="D20" s="8">
        <f>'04 CONCRETO ARMADO'!$I$327</f>
        <v/>
      </c>
      <c r="E20" s="7" t="inlineStr">
        <is>
          <t>04 CONCRETO ARMADO</t>
        </is>
      </c>
    </row>
    <row r="21">
      <c r="A21" s="6" t="inlineStr">
        <is>
          <t>04.05</t>
        </is>
      </c>
      <c r="B21" s="6" t="inlineStr">
        <is>
          <t>Acero de refuerzo fy=4200 - colector</t>
        </is>
      </c>
      <c r="C21" s="7" t="inlineStr">
        <is>
          <t>kg</t>
        </is>
      </c>
      <c r="D21" s="8">
        <f>'04 CONCRETO ARMADO'!$I$482</f>
        <v/>
      </c>
      <c r="E21" s="7" t="inlineStr">
        <is>
          <t>04 CONCRETO ARMADO</t>
        </is>
      </c>
    </row>
    <row r="22">
      <c r="A22" s="6" t="inlineStr">
        <is>
          <t>04.06</t>
        </is>
      </c>
      <c r="B22" s="6" t="inlineStr">
        <is>
          <t>Acabado frotachado y brunado de losa superior</t>
        </is>
      </c>
      <c r="C22" s="7" t="inlineStr">
        <is>
          <t>m2</t>
        </is>
      </c>
      <c r="D22" s="8">
        <f>'04 CONCRETO ARMADO'!$I$487</f>
        <v/>
      </c>
      <c r="E22" s="7" t="inlineStr">
        <is>
          <t>04 CONCRETO ARMADO</t>
        </is>
      </c>
    </row>
    <row r="23">
      <c r="A23" s="4" t="inlineStr">
        <is>
          <t>05</t>
        </is>
      </c>
      <c r="B23" s="4" t="inlineStr">
        <is>
          <t>REGISTROS DE LIMPIEZA</t>
        </is>
      </c>
      <c r="C23" s="5" t="n"/>
      <c r="D23" s="5" t="n"/>
      <c r="E23" s="5" t="n"/>
    </row>
    <row r="24">
      <c r="A24" s="6" t="inlineStr">
        <is>
          <t>05.01</t>
        </is>
      </c>
      <c r="B24" s="6" t="inlineStr">
        <is>
          <t>Contramarco metalico L 2"x2"x3/16" con anclajes</t>
        </is>
      </c>
      <c r="C24" s="7" t="inlineStr">
        <is>
          <t>und</t>
        </is>
      </c>
      <c r="D24" s="8">
        <f>'05 REGISTROS'!$I$7</f>
        <v/>
      </c>
      <c r="E24" s="7" t="inlineStr">
        <is>
          <t>05 REGISTROS</t>
        </is>
      </c>
    </row>
    <row r="25">
      <c r="A25" s="6" t="inlineStr">
        <is>
          <t>05.02</t>
        </is>
      </c>
      <c r="B25" s="6" t="inlineStr">
        <is>
          <t>Marco metalico de tapa L 1 1/2"x1 1/2"x1/8"</t>
        </is>
      </c>
      <c r="C25" s="7" t="inlineStr">
        <is>
          <t>und</t>
        </is>
      </c>
      <c r="D25" s="8">
        <f>'05 REGISTROS'!$I$11</f>
        <v/>
      </c>
      <c r="E25" s="7" t="inlineStr">
        <is>
          <t>05 REGISTROS</t>
        </is>
      </c>
    </row>
    <row r="26">
      <c r="A26" s="6" t="inlineStr">
        <is>
          <t>05.03</t>
        </is>
      </c>
      <c r="B26" s="6" t="inlineStr">
        <is>
          <t>Angulos metalicos para marco y contramarco (peso)</t>
        </is>
      </c>
      <c r="C26" s="7" t="inlineStr">
        <is>
          <t>kg</t>
        </is>
      </c>
      <c r="D26" s="8">
        <f>'05 REGISTROS'!$I$16</f>
        <v/>
      </c>
      <c r="E26" s="7" t="inlineStr">
        <is>
          <t>05 REGISTROS</t>
        </is>
      </c>
    </row>
    <row r="27">
      <c r="A27" s="6" t="inlineStr">
        <is>
          <t>05.04</t>
        </is>
      </c>
      <c r="B27" s="6" t="inlineStr">
        <is>
          <t>Tapa de concreto armado 0.68x0.68x0.08</t>
        </is>
      </c>
      <c r="C27" s="7" t="inlineStr">
        <is>
          <t>und</t>
        </is>
      </c>
      <c r="D27" s="8">
        <f>'05 REGISTROS'!$I$20</f>
        <v/>
      </c>
      <c r="E27" s="7" t="inlineStr">
        <is>
          <t>05 REGISTROS</t>
        </is>
      </c>
    </row>
    <row r="28">
      <c r="A28" s="6" t="inlineStr">
        <is>
          <t>05.05</t>
        </is>
      </c>
      <c r="B28" s="6" t="inlineStr">
        <is>
          <t>Concreto f'c=210 en tapas</t>
        </is>
      </c>
      <c r="C28" s="7" t="inlineStr">
        <is>
          <t>m3</t>
        </is>
      </c>
      <c r="D28" s="8">
        <f>'05 REGISTROS'!$I$24</f>
        <v/>
      </c>
      <c r="E28" s="7" t="inlineStr">
        <is>
          <t>05 REGISTROS</t>
        </is>
      </c>
    </row>
    <row r="29">
      <c r="A29" s="6" t="inlineStr">
        <is>
          <t>05.06</t>
        </is>
      </c>
      <c r="B29" s="6" t="inlineStr">
        <is>
          <t>Acero de refuerzo en bordes, tapas y anclajes</t>
        </is>
      </c>
      <c r="C29" s="7" t="inlineStr">
        <is>
          <t>kg</t>
        </is>
      </c>
      <c r="D29" s="8">
        <f>'05 REGISTROS'!$I$31</f>
        <v/>
      </c>
      <c r="E29" s="7" t="inlineStr">
        <is>
          <t>05 REGISTROS</t>
        </is>
      </c>
    </row>
    <row r="30">
      <c r="A30" s="6" t="inlineStr">
        <is>
          <t>05.07</t>
        </is>
      </c>
      <c r="B30" s="6" t="inlineStr">
        <is>
          <t>Pintura anticorrosiva y esmalte en angulos</t>
        </is>
      </c>
      <c r="C30" s="7" t="inlineStr">
        <is>
          <t>m2</t>
        </is>
      </c>
      <c r="D30" s="8">
        <f>'05 REGISTROS'!$I$36</f>
        <v/>
      </c>
      <c r="E30" s="7" t="inlineStr">
        <is>
          <t>05 REGISTROS</t>
        </is>
      </c>
    </row>
    <row r="31">
      <c r="A31" s="4" t="inlineStr">
        <is>
          <t>06</t>
        </is>
      </c>
      <c r="B31" s="4" t="inlineStr">
        <is>
          <t>ESTRUCTURA DE SALIDA CON DOS ALEROS</t>
        </is>
      </c>
      <c r="C31" s="5" t="n"/>
      <c r="D31" s="5" t="n"/>
      <c r="E31" s="5" t="n"/>
    </row>
    <row r="32">
      <c r="A32" s="6" t="inlineStr">
        <is>
          <t>06.01</t>
        </is>
      </c>
      <c r="B32" s="6" t="inlineStr">
        <is>
          <t>Concreto f'c=210 - aleros</t>
        </is>
      </c>
      <c r="C32" s="7" t="inlineStr">
        <is>
          <t>m3</t>
        </is>
      </c>
      <c r="D32" s="8">
        <f>'06 SALIDA'!$I$8</f>
        <v/>
      </c>
      <c r="E32" s="7" t="inlineStr">
        <is>
          <t>06 SALIDA</t>
        </is>
      </c>
    </row>
    <row r="33">
      <c r="A33" s="6" t="inlineStr">
        <is>
          <t>06.02</t>
        </is>
      </c>
      <c r="B33" s="6" t="inlineStr">
        <is>
          <t>Encofrado y desencofrado - aleros</t>
        </is>
      </c>
      <c r="C33" s="7" t="inlineStr">
        <is>
          <t>m2</t>
        </is>
      </c>
      <c r="D33" s="8">
        <f>'06 SALIDA'!$I$14</f>
        <v/>
      </c>
      <c r="E33" s="7" t="inlineStr">
        <is>
          <t>06 SALIDA</t>
        </is>
      </c>
    </row>
    <row r="34">
      <c r="A34" s="6" t="inlineStr">
        <is>
          <t>06.03</t>
        </is>
      </c>
      <c r="B34" s="6" t="inlineStr">
        <is>
          <t>Acero de refuerzo fy=4200 - aleros</t>
        </is>
      </c>
      <c r="C34" s="7" t="inlineStr">
        <is>
          <t>kg</t>
        </is>
      </c>
      <c r="D34" s="8">
        <f>'06 SALIDA'!$I$20</f>
        <v/>
      </c>
      <c r="E34" s="7" t="inlineStr">
        <is>
          <t>06 SALIDA</t>
        </is>
      </c>
    </row>
    <row r="35">
      <c r="A35" s="6" t="inlineStr">
        <is>
          <t>06.04</t>
        </is>
      </c>
      <c r="B35" s="6" t="inlineStr">
        <is>
          <t>Emboquillado de piedra e=0.20 con concreto f'c=140</t>
        </is>
      </c>
      <c r="C35" s="7" t="inlineStr">
        <is>
          <t>m2</t>
        </is>
      </c>
      <c r="D35" s="8">
        <f>'06 SALIDA'!$I$24</f>
        <v/>
      </c>
      <c r="E35" s="7" t="inlineStr">
        <is>
          <t>06 SALIDA</t>
        </is>
      </c>
    </row>
    <row r="36">
      <c r="A36" s="4" t="inlineStr">
        <is>
          <t>07</t>
        </is>
      </c>
      <c r="B36" s="4" t="inlineStr">
        <is>
          <t>JUNTAS</t>
        </is>
      </c>
      <c r="C36" s="5" t="n"/>
      <c r="D36" s="5" t="n"/>
      <c r="E36" s="5" t="n"/>
    </row>
    <row r="37">
      <c r="A37" s="6" t="inlineStr">
        <is>
          <t>07.01</t>
        </is>
      </c>
      <c r="B37" s="6" t="inlineStr">
        <is>
          <t>Junta de dilatacion e=1" con sello elastomerico</t>
        </is>
      </c>
      <c r="C37" s="7" t="inlineStr">
        <is>
          <t>m</t>
        </is>
      </c>
      <c r="D37" s="8">
        <f>'07 JUNTAS Y EMPALMES'!$I$8</f>
        <v/>
      </c>
      <c r="E37" s="7" t="inlineStr">
        <is>
          <t>07 JUNTAS Y EMPALMES</t>
        </is>
      </c>
    </row>
    <row r="38">
      <c r="A38" s="6" t="inlineStr">
        <is>
          <t>07.02</t>
        </is>
      </c>
      <c r="B38" s="6" t="inlineStr">
        <is>
          <t>Junta e=1" con tecnopor entre colector y piso adyacente</t>
        </is>
      </c>
      <c r="C38" s="7" t="inlineStr">
        <is>
          <t>m</t>
        </is>
      </c>
      <c r="D38" s="8">
        <f>'07 JUNTAS Y EMPALMES'!$I$12</f>
        <v/>
      </c>
      <c r="E38" s="7" t="inlineStr">
        <is>
          <t>07 JUNTAS Y EMPALMES</t>
        </is>
      </c>
    </row>
    <row r="39">
      <c r="A39" s="4" t="inlineStr">
        <is>
          <t>08</t>
        </is>
      </c>
      <c r="B39" s="4" t="inlineStr">
        <is>
          <t>EMPALMES</t>
        </is>
      </c>
      <c r="C39" s="5" t="n"/>
      <c r="D39" s="5" t="n"/>
      <c r="E39" s="5" t="n"/>
    </row>
    <row r="40">
      <c r="A40" s="6" t="inlineStr">
        <is>
          <t>08.01</t>
        </is>
      </c>
      <c r="B40" s="6" t="inlineStr">
        <is>
          <t>Empalme de cuneta al colector</t>
        </is>
      </c>
      <c r="C40" s="7" t="inlineStr">
        <is>
          <t>und</t>
        </is>
      </c>
      <c r="D40" s="8">
        <f>'07 JUNTAS Y EMPALMES'!$I$16</f>
        <v/>
      </c>
      <c r="E40" s="7" t="inlineStr">
        <is>
          <t>07 JUNTAS Y EMPALMES</t>
        </is>
      </c>
    </row>
    <row r="42">
      <c r="B42" s="9" t="inlineStr">
        <is>
          <t>ACERO TOTAL (colector + registros + aleros)</t>
        </is>
      </c>
      <c r="C42" s="10" t="inlineStr">
        <is>
          <t>kg</t>
        </is>
      </c>
      <c r="D42" s="11">
        <f>'04 CONCRETO ARMADO'!$I$482+'05 REGISTROS'!$I$31+'06 SALIDA'!$I$20</f>
        <v/>
      </c>
    </row>
    <row r="43">
      <c r="B43" s="12" t="inlineStr">
        <is>
          <t>Control: total de la planilla de acero</t>
        </is>
      </c>
      <c r="C43" s="7" t="inlineStr">
        <is>
          <t>kg</t>
        </is>
      </c>
      <c r="D43" s="8">
        <f>'08 PLANILLA ACERO'!$H$20</f>
        <v/>
      </c>
    </row>
    <row r="44">
      <c r="B44" s="9" t="inlineStr">
        <is>
          <t>CONCRETO f'c=210 TOTAL</t>
        </is>
      </c>
      <c r="C44" s="10" t="inlineStr">
        <is>
          <t>m3</t>
        </is>
      </c>
      <c r="D44" s="11">
        <f>'04 CONCRETO ARMADO'!$I$82+'04 CONCRETO ARMADO'!$I$163+'04 CONCRETO ARMADO'!$I$246+'05 REGISTROS'!$I$24+'06 SALIDA'!$I$8</f>
        <v/>
      </c>
    </row>
    <row r="46">
      <c r="A46" s="2" t="inlineStr">
        <is>
          <t>Cada partida se sustenta en su hoja (01 a 08); los tramos del colector se calculan en la hoja TRAMOS; los parametros editables estan en DATOS (azul).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9" customWidth="1" min="3" max="3"/>
    <col width="60" customWidth="1" min="4" max="4"/>
  </cols>
  <sheetData>
    <row r="1" ht="24" customHeight="1">
      <c r="A1" s="1" t="inlineStr">
        <is>
          <t>DATOS DEL METRADO</t>
        </is>
      </c>
    </row>
    <row r="2">
      <c r="A2" s="2" t="inlineStr">
        <is>
          <t>CAR Mujeres (CUI 2717013) - Colector pluvial frontal b=1.50 m, preparado para CAR Varones y Hogar de Refugio - Morales, San Martin</t>
        </is>
      </c>
    </row>
    <row r="4" ht="36" customHeight="1">
      <c r="A4" s="3" t="inlineStr">
        <is>
          <t>PARAMETRO</t>
        </is>
      </c>
      <c r="B4" s="3" t="inlineStr">
        <is>
          <t>VALOR</t>
        </is>
      </c>
      <c r="C4" s="3" t="inlineStr">
        <is>
          <t>UND</t>
        </is>
      </c>
      <c r="D4" s="3" t="inlineStr">
        <is>
          <t>FUENTE</t>
        </is>
      </c>
    </row>
    <row r="5">
      <c r="A5" s="6" t="inlineStr">
        <is>
          <t>Ancho interior b</t>
        </is>
      </c>
      <c r="B5" s="13" t="n">
        <v>1.5</v>
      </c>
      <c r="C5" s="7" t="inlineStr">
        <is>
          <t>m</t>
        </is>
      </c>
      <c r="D5" s="14" t="inlineStr">
        <is>
          <t>Memoria de calculo</t>
        </is>
      </c>
    </row>
    <row r="6">
      <c r="A6" s="6" t="inlineStr">
        <is>
          <t>Cota de fondo inicial</t>
        </is>
      </c>
      <c r="B6" s="15" t="n">
        <v>258.72</v>
      </c>
      <c r="C6" s="7" t="inlineStr">
        <is>
          <t>msnm</t>
        </is>
      </c>
      <c r="D6" s="14" t="inlineStr">
        <is>
          <t>Eje 02</t>
        </is>
      </c>
    </row>
    <row r="7">
      <c r="A7" s="6" t="inlineStr">
        <is>
          <t>Cota de fondo en la salida</t>
        </is>
      </c>
      <c r="B7" s="15" t="n">
        <v>258.3</v>
      </c>
      <c r="C7" s="7" t="inlineStr">
        <is>
          <t>msnm</t>
        </is>
      </c>
      <c r="D7" s="14" t="inlineStr"/>
    </row>
    <row r="8">
      <c r="A8" s="6" t="inlineStr">
        <is>
          <t>Longitud del colector</t>
        </is>
      </c>
      <c r="B8" s="13" t="n">
        <v>139.08</v>
      </c>
      <c r="C8" s="7" t="inlineStr">
        <is>
          <t>m</t>
        </is>
      </c>
      <c r="D8" s="14" t="inlineStr">
        <is>
          <t>Plano DP-01</t>
        </is>
      </c>
    </row>
    <row r="9">
      <c r="A9" s="6" t="inlineStr">
        <is>
          <t>Pendiente</t>
        </is>
      </c>
      <c r="B9" s="16">
        <f>(B6-B7)/B8</f>
        <v/>
      </c>
      <c r="C9" s="7" t="inlineStr">
        <is>
          <t>m/m</t>
        </is>
      </c>
      <c r="D9" s="14" t="inlineStr"/>
    </row>
    <row r="10">
      <c r="A10" s="6" t="inlineStr">
        <is>
          <t>NPT de vereda (losa superior)</t>
        </is>
      </c>
      <c r="B10" s="13" t="n">
        <v>259.25</v>
      </c>
      <c r="C10" s="7" t="inlineStr">
        <is>
          <t>msnm</t>
        </is>
      </c>
      <c r="D10" s="14" t="inlineStr">
        <is>
          <t>Arquitectura</t>
        </is>
      </c>
    </row>
    <row r="11">
      <c r="A11" s="6" t="inlineStr">
        <is>
          <t>Progresiva fin de tramo en vereda</t>
        </is>
      </c>
      <c r="B11" s="13" t="n">
        <v>78.42</v>
      </c>
      <c r="C11" s="7" t="inlineStr">
        <is>
          <t>m</t>
        </is>
      </c>
      <c r="D11" s="14" t="inlineStr"/>
    </row>
    <row r="12">
      <c r="A12" s="6" t="inlineStr">
        <is>
          <t>Altura interior tramo final</t>
        </is>
      </c>
      <c r="B12" s="13" t="n">
        <v>0.6</v>
      </c>
      <c r="C12" s="7" t="inlineStr">
        <is>
          <t>m</t>
        </is>
      </c>
      <c r="D12" s="14" t="inlineStr"/>
    </row>
    <row r="13">
      <c r="A13" s="6" t="inlineStr">
        <is>
          <t>Cruce de camiones: inicio</t>
        </is>
      </c>
      <c r="B13" s="13" t="n">
        <v>54</v>
      </c>
      <c r="C13" s="7" t="inlineStr">
        <is>
          <t>m</t>
        </is>
      </c>
      <c r="D13" s="14" t="inlineStr"/>
    </row>
    <row r="14">
      <c r="A14" s="6" t="inlineStr">
        <is>
          <t>Cruce de camiones: fin</t>
        </is>
      </c>
      <c r="B14" s="13" t="n">
        <v>60</v>
      </c>
      <c r="C14" s="7" t="inlineStr">
        <is>
          <t>m</t>
        </is>
      </c>
      <c r="D14" s="14" t="inlineStr"/>
    </row>
    <row r="15">
      <c r="A15" s="6" t="inlineStr">
        <is>
          <t>Cruce de autos 1: inicio</t>
        </is>
      </c>
      <c r="B15" s="13" t="n">
        <v>2.74</v>
      </c>
      <c r="C15" s="7" t="inlineStr">
        <is>
          <t>m</t>
        </is>
      </c>
      <c r="D15" s="14" t="inlineStr">
        <is>
          <t>Rampa estacionamiento 01</t>
        </is>
      </c>
    </row>
    <row r="16">
      <c r="A16" s="6" t="inlineStr">
        <is>
          <t>Cruce de autos 1: fin</t>
        </is>
      </c>
      <c r="B16" s="13" t="n">
        <v>18.45</v>
      </c>
      <c r="C16" s="7" t="inlineStr">
        <is>
          <t>m</t>
        </is>
      </c>
      <c r="D16" s="14" t="inlineStr"/>
    </row>
    <row r="17">
      <c r="A17" s="6" t="inlineStr">
        <is>
          <t>Cruce de autos 2: inicio</t>
        </is>
      </c>
      <c r="B17" s="13" t="n">
        <v>35.04</v>
      </c>
      <c r="C17" s="7" t="inlineStr">
        <is>
          <t>m</t>
        </is>
      </c>
      <c r="D17" s="14" t="inlineStr">
        <is>
          <t>Rampa estacionamiento 02</t>
        </is>
      </c>
    </row>
    <row r="18">
      <c r="A18" s="6" t="inlineStr">
        <is>
          <t>Cruce de autos 2: fin</t>
        </is>
      </c>
      <c r="B18" s="13" t="n">
        <v>51.86</v>
      </c>
      <c r="C18" s="7" t="inlineStr">
        <is>
          <t>m</t>
        </is>
      </c>
      <c r="D18" s="14" t="inlineStr"/>
    </row>
    <row r="19">
      <c r="A19" s="6" t="inlineStr">
        <is>
          <t>Numero de registros de limpieza</t>
        </is>
      </c>
      <c r="B19" s="17" t="n">
        <v>15</v>
      </c>
      <c r="C19" s="7" t="inlineStr">
        <is>
          <t>und</t>
        </is>
      </c>
      <c r="D19" s="14" t="inlineStr">
        <is>
          <t>Plano DP-01 (R-01 a R-15)</t>
        </is>
      </c>
    </row>
    <row r="20">
      <c r="A20" s="6" t="inlineStr">
        <is>
          <t>Numero de juntas de dilatacion</t>
        </is>
      </c>
      <c r="B20" s="17" t="n">
        <v>33</v>
      </c>
      <c r="C20" s="7" t="inlineStr">
        <is>
          <t>und</t>
        </is>
      </c>
      <c r="D20" s="14" t="inlineStr">
        <is>
          <t>Cada 4.00 m + 2 en el cruce de camiones</t>
        </is>
      </c>
    </row>
    <row r="21">
      <c r="A21" s="6" t="inlineStr">
        <is>
          <t>Factor de esponjamiento</t>
        </is>
      </c>
      <c r="B21" s="13" t="n">
        <v>1.25</v>
      </c>
      <c r="C21" s="7" t="inlineStr">
        <is>
          <t>-</t>
        </is>
      </c>
      <c r="D21" s="14" t="inlineStr">
        <is>
          <t>Suelo comun</t>
        </is>
      </c>
    </row>
    <row r="22">
      <c r="A22" s="6" t="inlineStr">
        <is>
          <t>Peso acero 3/8"</t>
        </is>
      </c>
      <c r="B22" s="15" t="n">
        <v>0.5600000000000001</v>
      </c>
      <c r="C22" s="7" t="inlineStr">
        <is>
          <t>kg/m</t>
        </is>
      </c>
      <c r="D22" s="14" t="inlineStr"/>
    </row>
    <row r="23">
      <c r="A23" s="6" t="inlineStr">
        <is>
          <t>Peso acero 1/2"</t>
        </is>
      </c>
      <c r="B23" s="15" t="n">
        <v>0.994</v>
      </c>
      <c r="C23" s="7" t="inlineStr">
        <is>
          <t>kg/m</t>
        </is>
      </c>
      <c r="D23" s="14" t="inlineStr"/>
    </row>
    <row r="24">
      <c r="A24" s="6" t="inlineStr">
        <is>
          <t>Peso angulo 2"x2"x3/16" (contramarco)</t>
        </is>
      </c>
      <c r="B24" s="15" t="n">
        <v>3.63</v>
      </c>
      <c r="C24" s="7" t="inlineStr">
        <is>
          <t>kg/m</t>
        </is>
      </c>
      <c r="D24" s="14" t="inlineStr">
        <is>
          <t>Tabla comercial</t>
        </is>
      </c>
    </row>
    <row r="25">
      <c r="A25" s="6" t="inlineStr">
        <is>
          <t>Peso angulo 1 1/2"x1 1/2"x1/8" (marco de tapa)</t>
        </is>
      </c>
      <c r="B25" s="15" t="n">
        <v>1.83</v>
      </c>
      <c r="C25" s="7" t="inlineStr">
        <is>
          <t>kg/m</t>
        </is>
      </c>
      <c r="D25" s="14" t="inlineStr">
        <is>
          <t>Tabla comercial</t>
        </is>
      </c>
    </row>
    <row r="26">
      <c r="A26" s="6" t="inlineStr">
        <is>
          <t>Salida: longitud de alero (inclinado)</t>
        </is>
      </c>
      <c r="B26" s="13" t="n">
        <v>1</v>
      </c>
      <c r="C26" s="7" t="inlineStr">
        <is>
          <t>m</t>
        </is>
      </c>
      <c r="D26" s="14" t="inlineStr">
        <is>
          <t>Plano DP-07</t>
        </is>
      </c>
    </row>
    <row r="27">
      <c r="A27" s="6" t="inlineStr">
        <is>
          <t>Salida: espesor de alero</t>
        </is>
      </c>
      <c r="B27" s="13" t="n">
        <v>0.15</v>
      </c>
      <c r="C27" s="7" t="inlineStr">
        <is>
          <t>m</t>
        </is>
      </c>
      <c r="D27" s="14" t="inlineStr"/>
    </row>
    <row r="28">
      <c r="A28" s="6" t="inlineStr">
        <is>
          <t>Salida: altura de alero en el cabezal (sobre el piso)</t>
        </is>
      </c>
      <c r="B28" s="13" t="n">
        <v>0.7</v>
      </c>
      <c r="C28" s="7" t="inlineStr">
        <is>
          <t>m</t>
        </is>
      </c>
      <c r="D28" s="14" t="inlineStr"/>
    </row>
    <row r="29">
      <c r="A29" s="6" t="inlineStr">
        <is>
          <t>Salida: altura de alero en el extremo</t>
        </is>
      </c>
      <c r="B29" s="13" t="n">
        <v>0.45</v>
      </c>
      <c r="C29" s="7" t="inlineStr">
        <is>
          <t>m</t>
        </is>
      </c>
      <c r="D29" s="14" t="inlineStr"/>
    </row>
    <row r="30">
      <c r="A30" s="6" t="inlineStr">
        <is>
          <t>Salida: zapata de alero (ancho x alto)</t>
        </is>
      </c>
      <c r="B30" s="13" t="n">
        <v>0.45</v>
      </c>
      <c r="C30" s="7" t="inlineStr">
        <is>
          <t>m</t>
        </is>
      </c>
      <c r="D30" s="14" t="inlineStr">
        <is>
          <t>alto 0.20</t>
        </is>
      </c>
    </row>
    <row r="31">
      <c r="A31" s="6" t="inlineStr">
        <is>
          <t>Salida: avance de aleros en planta (L x cos45)</t>
        </is>
      </c>
      <c r="B31" s="15" t="n">
        <v>0.707</v>
      </c>
      <c r="C31" s="7" t="inlineStr">
        <is>
          <t>m</t>
        </is>
      </c>
      <c r="D31" s="14" t="inlineStr"/>
    </row>
    <row r="32">
      <c r="A32" s="6" t="inlineStr">
        <is>
          <t>Salida: ancho interior al final de aleros</t>
        </is>
      </c>
      <c r="B32" s="15" t="n">
        <v>2.914</v>
      </c>
      <c r="C32" s="7" t="inlineStr">
        <is>
          <t>m</t>
        </is>
      </c>
      <c r="D32" s="14" t="inlineStr"/>
    </row>
    <row r="33">
      <c r="A33" s="6" t="inlineStr">
        <is>
          <t>Registro: hueco superior (rebaje)</t>
        </is>
      </c>
      <c r="B33" s="13" t="n">
        <v>0.7</v>
      </c>
      <c r="C33" s="7" t="inlineStr">
        <is>
          <t>m</t>
        </is>
      </c>
      <c r="D33" s="14" t="inlineStr">
        <is>
          <t>DP-06B</t>
        </is>
      </c>
    </row>
    <row r="34">
      <c r="A34" s="6" t="inlineStr">
        <is>
          <t>Registro: luz libre</t>
        </is>
      </c>
      <c r="B34" s="13" t="n">
        <v>0.6</v>
      </c>
      <c r="C34" s="7" t="inlineStr">
        <is>
          <t>m</t>
        </is>
      </c>
      <c r="D34" s="14" t="inlineStr">
        <is>
          <t>DP-06B</t>
        </is>
      </c>
    </row>
    <row r="35">
      <c r="A35" s="6" t="inlineStr">
        <is>
          <t>Tapa: lado</t>
        </is>
      </c>
      <c r="B35" s="13" t="n">
        <v>0.68</v>
      </c>
      <c r="C35" s="7" t="inlineStr">
        <is>
          <t>m</t>
        </is>
      </c>
      <c r="D35" s="14" t="inlineStr">
        <is>
          <t>DP-06B</t>
        </is>
      </c>
    </row>
    <row r="36">
      <c r="A36" s="6" t="inlineStr">
        <is>
          <t>Tapa: espesor</t>
        </is>
      </c>
      <c r="B36" s="13" t="n">
        <v>0.08</v>
      </c>
      <c r="C36" s="7" t="inlineStr">
        <is>
          <t>m</t>
        </is>
      </c>
      <c r="D36" s="14" t="inlineStr"/>
    </row>
    <row r="37">
      <c r="A37" s="6" t="inlineStr">
        <is>
          <t>Empalmes de cuneta (Ejes 02, 07, 10, 12)</t>
        </is>
      </c>
      <c r="B37" s="17" t="n">
        <v>4</v>
      </c>
      <c r="C37" s="7" t="inlineStr">
        <is>
          <t>und</t>
        </is>
      </c>
      <c r="D37" s="14" t="inlineStr">
        <is>
          <t>DP-06B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0" customWidth="1" min="5" max="5"/>
    <col width="7" customWidth="1" min="6" max="6"/>
    <col width="8" customWidth="1" min="7" max="7"/>
    <col width="8" customWidth="1" min="8" max="8"/>
    <col width="9" customWidth="1" min="9" max="9"/>
    <col width="10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0" customWidth="1" min="17" max="17"/>
    <col width="11" customWidth="1" min="18" max="18"/>
    <col width="11" customWidth="1" min="19" max="19"/>
    <col width="11" customWidth="1" min="20" max="20"/>
    <col width="10" customWidth="1" min="21" max="21"/>
    <col width="9" customWidth="1" min="22" max="22"/>
    <col width="9" customWidth="1" min="23" max="23"/>
    <col width="9" customWidth="1" min="24" max="24"/>
    <col width="8" customWidth="1" min="25" max="25"/>
  </cols>
  <sheetData>
    <row r="1" ht="24" customHeight="1">
      <c r="A1" s="1" t="inlineStr">
        <is>
          <t>CALCULO POR TRAMOS (secciones medias)</t>
        </is>
      </c>
    </row>
    <row r="2">
      <c r="A2" s="2" t="inlineStr">
        <is>
          <t>CAR Mujeres (CUI 2717013) - Colector pluvial frontal b=1.50 m, preparado para CAR Varones y Hogar de Refugio - Morales, San Martin</t>
        </is>
      </c>
    </row>
    <row r="4" ht="36" customHeight="1">
      <c r="A4" s="3" t="inlineStr">
        <is>
          <t>PROG. INICIO</t>
        </is>
      </c>
      <c r="B4" s="3" t="inlineStr">
        <is>
          <t>PROG. FIN</t>
        </is>
      </c>
      <c r="C4" s="3" t="inlineStr">
        <is>
          <t>LONGITUD (m)</t>
        </is>
      </c>
      <c r="D4" s="3" t="inlineStr">
        <is>
          <t>PROG. MEDIA</t>
        </is>
      </c>
      <c r="E4" s="3" t="inlineStr">
        <is>
          <t>ZONA</t>
        </is>
      </c>
      <c r="F4" s="3" t="inlineStr">
        <is>
          <t>e MURO</t>
        </is>
      </c>
      <c r="G4" s="3" t="inlineStr">
        <is>
          <t>e LOSA FONDO</t>
        </is>
      </c>
      <c r="H4" s="3" t="inlineStr">
        <is>
          <t>e LOSA SUP.</t>
        </is>
      </c>
      <c r="I4" s="3" t="inlineStr">
        <is>
          <t>ALTURA INT. h</t>
        </is>
      </c>
      <c r="J4" s="3" t="inlineStr">
        <is>
          <t>TERRENO NATURAL (TIN)</t>
        </is>
      </c>
      <c r="K4" s="3" t="inlineStr">
        <is>
          <t>ANCHO EXTERIOR</t>
        </is>
      </c>
      <c r="L4" s="3" t="inlineStr">
        <is>
          <t>CONCRETO LOSA FONDO (m3)</t>
        </is>
      </c>
      <c r="M4" s="3" t="inlineStr">
        <is>
          <t>CONCRETO MUROS (m3)</t>
        </is>
      </c>
      <c r="N4" s="3" t="inlineStr">
        <is>
          <t>CONCRETO LOSA SUP. (m3)</t>
        </is>
      </c>
      <c r="O4" s="3" t="inlineStr">
        <is>
          <t>EXCAVACION (m3)</t>
        </is>
      </c>
      <c r="P4" s="3" t="inlineStr">
        <is>
          <t>RELLENO (m3)</t>
        </is>
      </c>
      <c r="Q4" s="3" t="inlineStr">
        <is>
          <t>SOLADO (m2)</t>
        </is>
      </c>
      <c r="R4" s="3" t="inlineStr">
        <is>
          <t>ENCOFRADO (m2)</t>
        </is>
      </c>
      <c r="S4" s="3" t="inlineStr">
        <is>
          <t>ACERO MARCOS (kg)</t>
        </is>
      </c>
      <c r="T4" s="3" t="inlineStr">
        <is>
          <t>ACERO LONGIT. (kg)</t>
        </is>
      </c>
      <c r="U4" s="3" t="inlineStr">
        <is>
          <t>TRAZO (m2)</t>
        </is>
      </c>
      <c r="V4" s="3" t="inlineStr">
        <is>
          <t>N. MARCOS</t>
        </is>
      </c>
      <c r="W4" s="3" t="inlineStr">
        <is>
          <t>LONG. MARCO (m)</t>
        </is>
      </c>
      <c r="X4" s="3" t="inlineStr">
        <is>
          <t>N. BARRAS LONG.</t>
        </is>
      </c>
      <c r="Y4" s="3" t="inlineStr">
        <is>
          <t>DIAM. MARCO</t>
        </is>
      </c>
    </row>
    <row r="5">
      <c r="A5" s="18" t="n">
        <v>0</v>
      </c>
      <c r="B5" s="18" t="n">
        <v>2</v>
      </c>
      <c r="C5" s="19">
        <f>B5-A5</f>
        <v/>
      </c>
      <c r="D5" s="19">
        <f>(A5+B5)/2</f>
        <v/>
      </c>
      <c r="E5" s="7">
        <f>IF(AND(D5&gt;=DATOS!$B$13,D5&lt;DATOS!$B$14),"CAMION",IF(OR(AND(D5&gt;=DATOS!$B$15,D5&lt;=DATOS!$B$16),AND(D5&gt;=DATOS!$B$17,D5&lt;=DATOS!$B$18)),"AUTOS","NORMAL"))</f>
        <v/>
      </c>
      <c r="F5" s="19">
        <f>IF(E5="CAMION",0.15,0.10)</f>
        <v/>
      </c>
      <c r="G5" s="19">
        <f>IF(E5="CAMION",0.20,0.10)</f>
        <v/>
      </c>
      <c r="H5" s="19">
        <f>IF(D5&gt;9999,0,IF(E5="CAMION",0.20,0.10))</f>
        <v/>
      </c>
      <c r="I5" s="20">
        <f>IF(D5&lt;=DATOS!$B$11,DATOS!$B$10-H5-(DATOS!$B$6-DATOS!$B$9*D5),DATOS!$B$12)</f>
        <v/>
      </c>
      <c r="J5" s="15" t="n">
        <v>259.654</v>
      </c>
      <c r="K5" s="19">
        <f>DATOS!$B$5+2*F5</f>
        <v/>
      </c>
      <c r="L5" s="20">
        <f>K5*G5*C5</f>
        <v/>
      </c>
      <c r="M5" s="20">
        <f>2*F5*I5*C5</f>
        <v/>
      </c>
      <c r="N5" s="20">
        <f>K5*H5*C5</f>
        <v/>
      </c>
      <c r="O5" s="20">
        <f>(K5+0.10)*(IF(D5&lt;=DATOS!$B$11,DATOS!$B$10,J5)-((DATOS!$B$6-DATOS!$B$9*D5)-G5-0.05))*C5</f>
        <v/>
      </c>
      <c r="P5" s="20">
        <f>(0.10*(IF(D5&lt;=DATOS!$B$11,DATOS!$B$10,J5)-((DATOS!$B$6-DATOS!$B$9*D5)-G5-0.05))+IF(D5&gt;9999,MAX(0,((DATOS!$B$6-DATOS!$B$9*D5)+I5+H5)-J5)*(0.20+0.75*MAX(0,((DATOS!$B$6-DATOS!$B$9*D5)+I5+H5)-J5)),0))*C5</f>
        <v/>
      </c>
      <c r="Q5" s="20">
        <f>K5*C5</f>
        <v/>
      </c>
      <c r="R5" s="20">
        <f>(2*I5+IF(D5&gt;9999,0,DATOS!$B$5)+(I5+G5+H5)+IF(D5&gt;9999,MAX(0,((DATOS!$B$6-DATOS!$B$9*D5)+I5+H5)-J5),0))*C5</f>
        <v/>
      </c>
      <c r="S5" s="19">
        <f>IF(E5="CAMION",C5/0.15*((2*(K5-0.09)+2*(I5+G5+H5-0.09)+0.5)+(2*(DATOS!$B$5+0.09)+2*(I5+0.09)+0.5))*DATOS!$B$23,C5/IF(E5="AUTOS",0.15,0.20)*IF(D5&gt;9999,(DATOS!$B$5+F5)+2*(I5+G5/2)+0.20,2*(DATOS!$B$5+F5)+2*(I5+(G5+H5)/2)+0.40)*DATOS!$B$22)</f>
        <v/>
      </c>
      <c r="T5" s="19">
        <f>IF(E5="CAMION",((ROUNDUP((K5-0.09)/0.2,0)+1)*2+2*MAX(ROUNDUP((I5+0.31)/0.2,0)-1,0)+(ROUNDUP((DATOS!$B$5+0.09)/0.2,0)+1)*2+2*MAX(ROUNDUP((I5+0.09)/0.2,0)-1,0)),IF(D5&gt;9999,8+2*MAX(ROUNDUP((I5+0.05)/0.25,0),1),16+2*MAX(ROUNDUP((I5+0.10)/0.25,0)-1,0)))*C5*(1+0.40/9)*DATOS!$B$22</f>
        <v/>
      </c>
      <c r="U5" s="20">
        <f>(K5+0.10)*C5</f>
        <v/>
      </c>
      <c r="V5" s="21">
        <f>IF(E5="CAMION",2*C5/0.15,C5/IF(E5="AUTOS",0.15,0.20))</f>
        <v/>
      </c>
      <c r="W5" s="19">
        <f>IF(E5="CAMION",((2*(K5-0.09)+2*(I5+G5+H5-0.09)+0.5)+(2*(DATOS!$B$5+0.09)+2*(I5+0.09)+0.5))/2,IF(D5&gt;9999,(DATOS!$B$5+F5)+2*(I5+G5/2)+0.20,2*(DATOS!$B$5+F5)+2*(I5+(G5+H5)/2)+0.40))</f>
        <v/>
      </c>
      <c r="X5" s="22">
        <f>IF(E5="CAMION",((ROUNDUP((K5-0.09)/0.2,0)+1)*2+2*MAX(ROUNDUP((I5+0.31)/0.2,0)-1,0)+(ROUNDUP((DATOS!$B$5+0.09)/0.2,0)+1)*2+2*MAX(ROUNDUP((I5+0.09)/0.2,0)-1,0)),IF(D5&gt;9999,8+2*MAX(ROUNDUP((I5+0.05)/0.25,0),1),16+2*MAX(ROUNDUP((I5+0.10)/0.25,0)-1,0)))</f>
        <v/>
      </c>
      <c r="Y5" s="7">
        <f>IF(E5="CAMION","1/2","3/8")</f>
        <v/>
      </c>
    </row>
    <row r="6">
      <c r="A6" s="18" t="n">
        <v>2</v>
      </c>
      <c r="B6" s="18" t="n">
        <v>2.74</v>
      </c>
      <c r="C6" s="19">
        <f>B6-A6</f>
        <v/>
      </c>
      <c r="D6" s="19">
        <f>(A6+B6)/2</f>
        <v/>
      </c>
      <c r="E6" s="7">
        <f>IF(AND(D6&gt;=DATOS!$B$13,D6&lt;DATOS!$B$14),"CAMION",IF(OR(AND(D6&gt;=DATOS!$B$15,D6&lt;=DATOS!$B$16),AND(D6&gt;=DATOS!$B$17,D6&lt;=DATOS!$B$18)),"AUTOS","NORMAL"))</f>
        <v/>
      </c>
      <c r="F6" s="19">
        <f>IF(E6="CAMION",0.15,0.10)</f>
        <v/>
      </c>
      <c r="G6" s="19">
        <f>IF(E6="CAMION",0.20,0.10)</f>
        <v/>
      </c>
      <c r="H6" s="19">
        <f>IF(D6&gt;9999,0,IF(E6="CAMION",0.20,0.10))</f>
        <v/>
      </c>
      <c r="I6" s="20">
        <f>IF(D6&lt;=DATOS!$B$11,DATOS!$B$10-H6-(DATOS!$B$6-DATOS!$B$9*D6),DATOS!$B$12)</f>
        <v/>
      </c>
      <c r="J6" s="15" t="n">
        <v>259.611</v>
      </c>
      <c r="K6" s="19">
        <f>DATOS!$B$5+2*F6</f>
        <v/>
      </c>
      <c r="L6" s="20">
        <f>K6*G6*C6</f>
        <v/>
      </c>
      <c r="M6" s="20">
        <f>2*F6*I6*C6</f>
        <v/>
      </c>
      <c r="N6" s="20">
        <f>K6*H6*C6</f>
        <v/>
      </c>
      <c r="O6" s="20">
        <f>(K6+0.10)*(IF(D6&lt;=DATOS!$B$11,DATOS!$B$10,J6)-((DATOS!$B$6-DATOS!$B$9*D6)-G6-0.05))*C6</f>
        <v/>
      </c>
      <c r="P6" s="20">
        <f>(0.10*(IF(D6&lt;=DATOS!$B$11,DATOS!$B$10,J6)-((DATOS!$B$6-DATOS!$B$9*D6)-G6-0.05))+IF(D6&gt;9999,MAX(0,((DATOS!$B$6-DATOS!$B$9*D6)+I6+H6)-J6)*(0.20+0.75*MAX(0,((DATOS!$B$6-DATOS!$B$9*D6)+I6+H6)-J6)),0))*C6</f>
        <v/>
      </c>
      <c r="Q6" s="20">
        <f>K6*C6</f>
        <v/>
      </c>
      <c r="R6" s="20">
        <f>(2*I6+IF(D6&gt;9999,0,DATOS!$B$5)+(I6+G6+H6)+IF(D6&gt;9999,MAX(0,((DATOS!$B$6-DATOS!$B$9*D6)+I6+H6)-J6),0))*C6</f>
        <v/>
      </c>
      <c r="S6" s="19">
        <f>IF(E6="CAMION",C6/0.15*((2*(K6-0.09)+2*(I6+G6+H6-0.09)+0.5)+(2*(DATOS!$B$5+0.09)+2*(I6+0.09)+0.5))*DATOS!$B$23,C6/IF(E6="AUTOS",0.15,0.20)*IF(D6&gt;9999,(DATOS!$B$5+F6)+2*(I6+G6/2)+0.20,2*(DATOS!$B$5+F6)+2*(I6+(G6+H6)/2)+0.40)*DATOS!$B$22)</f>
        <v/>
      </c>
      <c r="T6" s="19">
        <f>IF(E6="CAMION",((ROUNDUP((K6-0.09)/0.2,0)+1)*2+2*MAX(ROUNDUP((I6+0.31)/0.2,0)-1,0)+(ROUNDUP((DATOS!$B$5+0.09)/0.2,0)+1)*2+2*MAX(ROUNDUP((I6+0.09)/0.2,0)-1,0)),IF(D6&gt;9999,8+2*MAX(ROUNDUP((I6+0.05)/0.25,0),1),16+2*MAX(ROUNDUP((I6+0.10)/0.25,0)-1,0)))*C6*(1+0.40/9)*DATOS!$B$22</f>
        <v/>
      </c>
      <c r="U6" s="20">
        <f>(K6+0.10)*C6</f>
        <v/>
      </c>
      <c r="V6" s="21">
        <f>IF(E6="CAMION",2*C6/0.15,C6/IF(E6="AUTOS",0.15,0.20))</f>
        <v/>
      </c>
      <c r="W6" s="19">
        <f>IF(E6="CAMION",((2*(K6-0.09)+2*(I6+G6+H6-0.09)+0.5)+(2*(DATOS!$B$5+0.09)+2*(I6+0.09)+0.5))/2,IF(D6&gt;9999,(DATOS!$B$5+F6)+2*(I6+G6/2)+0.20,2*(DATOS!$B$5+F6)+2*(I6+(G6+H6)/2)+0.40))</f>
        <v/>
      </c>
      <c r="X6" s="22">
        <f>IF(E6="CAMION",((ROUNDUP((K6-0.09)/0.2,0)+1)*2+2*MAX(ROUNDUP((I6+0.31)/0.2,0)-1,0)+(ROUNDUP((DATOS!$B$5+0.09)/0.2,0)+1)*2+2*MAX(ROUNDUP((I6+0.09)/0.2,0)-1,0)),IF(D6&gt;9999,8+2*MAX(ROUNDUP((I6+0.05)/0.25,0),1),16+2*MAX(ROUNDUP((I6+0.10)/0.25,0)-1,0)))</f>
        <v/>
      </c>
      <c r="Y6" s="7">
        <f>IF(E6="CAMION","1/2","3/8")</f>
        <v/>
      </c>
    </row>
    <row r="7">
      <c r="A7" s="18" t="n">
        <v>2.74</v>
      </c>
      <c r="B7" s="18" t="n">
        <v>4</v>
      </c>
      <c r="C7" s="19">
        <f>B7-A7</f>
        <v/>
      </c>
      <c r="D7" s="19">
        <f>(A7+B7)/2</f>
        <v/>
      </c>
      <c r="E7" s="7">
        <f>IF(AND(D7&gt;=DATOS!$B$13,D7&lt;DATOS!$B$14),"CAMION",IF(OR(AND(D7&gt;=DATOS!$B$15,D7&lt;=DATOS!$B$16),AND(D7&gt;=DATOS!$B$17,D7&lt;=DATOS!$B$18)),"AUTOS","NORMAL"))</f>
        <v/>
      </c>
      <c r="F7" s="19">
        <f>IF(E7="CAMION",0.15,0.10)</f>
        <v/>
      </c>
      <c r="G7" s="19">
        <f>IF(E7="CAMION",0.20,0.10)</f>
        <v/>
      </c>
      <c r="H7" s="19">
        <f>IF(D7&gt;9999,0,IF(E7="CAMION",0.20,0.10))</f>
        <v/>
      </c>
      <c r="I7" s="20">
        <f>IF(D7&lt;=DATOS!$B$11,DATOS!$B$10-H7-(DATOS!$B$6-DATOS!$B$9*D7),DATOS!$B$12)</f>
        <v/>
      </c>
      <c r="J7" s="15" t="n">
        <v>259.596</v>
      </c>
      <c r="K7" s="19">
        <f>DATOS!$B$5+2*F7</f>
        <v/>
      </c>
      <c r="L7" s="20">
        <f>K7*G7*C7</f>
        <v/>
      </c>
      <c r="M7" s="20">
        <f>2*F7*I7*C7</f>
        <v/>
      </c>
      <c r="N7" s="20">
        <f>K7*H7*C7</f>
        <v/>
      </c>
      <c r="O7" s="20">
        <f>(K7+0.10)*(IF(D7&lt;=DATOS!$B$11,DATOS!$B$10,J7)-((DATOS!$B$6-DATOS!$B$9*D7)-G7-0.05))*C7</f>
        <v/>
      </c>
      <c r="P7" s="20">
        <f>(0.10*(IF(D7&lt;=DATOS!$B$11,DATOS!$B$10,J7)-((DATOS!$B$6-DATOS!$B$9*D7)-G7-0.05))+IF(D7&gt;9999,MAX(0,((DATOS!$B$6-DATOS!$B$9*D7)+I7+H7)-J7)*(0.20+0.75*MAX(0,((DATOS!$B$6-DATOS!$B$9*D7)+I7+H7)-J7)),0))*C7</f>
        <v/>
      </c>
      <c r="Q7" s="20">
        <f>K7*C7</f>
        <v/>
      </c>
      <c r="R7" s="20">
        <f>(2*I7+IF(D7&gt;9999,0,DATOS!$B$5)+(I7+G7+H7)+IF(D7&gt;9999,MAX(0,((DATOS!$B$6-DATOS!$B$9*D7)+I7+H7)-J7),0))*C7</f>
        <v/>
      </c>
      <c r="S7" s="19">
        <f>IF(E7="CAMION",C7/0.15*((2*(K7-0.09)+2*(I7+G7+H7-0.09)+0.5)+(2*(DATOS!$B$5+0.09)+2*(I7+0.09)+0.5))*DATOS!$B$23,C7/IF(E7="AUTOS",0.15,0.20)*IF(D7&gt;9999,(DATOS!$B$5+F7)+2*(I7+G7/2)+0.20,2*(DATOS!$B$5+F7)+2*(I7+(G7+H7)/2)+0.40)*DATOS!$B$22)</f>
        <v/>
      </c>
      <c r="T7" s="19">
        <f>IF(E7="CAMION",((ROUNDUP((K7-0.09)/0.2,0)+1)*2+2*MAX(ROUNDUP((I7+0.31)/0.2,0)-1,0)+(ROUNDUP((DATOS!$B$5+0.09)/0.2,0)+1)*2+2*MAX(ROUNDUP((I7+0.09)/0.2,0)-1,0)),IF(D7&gt;9999,8+2*MAX(ROUNDUP((I7+0.05)/0.25,0),1),16+2*MAX(ROUNDUP((I7+0.10)/0.25,0)-1,0)))*C7*(1+0.40/9)*DATOS!$B$22</f>
        <v/>
      </c>
      <c r="U7" s="20">
        <f>(K7+0.10)*C7</f>
        <v/>
      </c>
      <c r="V7" s="21">
        <f>IF(E7="CAMION",2*C7/0.15,C7/IF(E7="AUTOS",0.15,0.20))</f>
        <v/>
      </c>
      <c r="W7" s="19">
        <f>IF(E7="CAMION",((2*(K7-0.09)+2*(I7+G7+H7-0.09)+0.5)+(2*(DATOS!$B$5+0.09)+2*(I7+0.09)+0.5))/2,IF(D7&gt;9999,(DATOS!$B$5+F7)+2*(I7+G7/2)+0.20,2*(DATOS!$B$5+F7)+2*(I7+(G7+H7)/2)+0.40))</f>
        <v/>
      </c>
      <c r="X7" s="22">
        <f>IF(E7="CAMION",((ROUNDUP((K7-0.09)/0.2,0)+1)*2+2*MAX(ROUNDUP((I7+0.31)/0.2,0)-1,0)+(ROUNDUP((DATOS!$B$5+0.09)/0.2,0)+1)*2+2*MAX(ROUNDUP((I7+0.09)/0.2,0)-1,0)),IF(D7&gt;9999,8+2*MAX(ROUNDUP((I7+0.05)/0.25,0),1),16+2*MAX(ROUNDUP((I7+0.10)/0.25,0)-1,0)))</f>
        <v/>
      </c>
      <c r="Y7" s="7">
        <f>IF(E7="CAMION","1/2","3/8")</f>
        <v/>
      </c>
    </row>
    <row r="8">
      <c r="A8" s="18" t="n">
        <v>4</v>
      </c>
      <c r="B8" s="18" t="n">
        <v>6</v>
      </c>
      <c r="C8" s="19">
        <f>B8-A8</f>
        <v/>
      </c>
      <c r="D8" s="19">
        <f>(A8+B8)/2</f>
        <v/>
      </c>
      <c r="E8" s="7">
        <f>IF(AND(D8&gt;=DATOS!$B$13,D8&lt;DATOS!$B$14),"CAMION",IF(OR(AND(D8&gt;=DATOS!$B$15,D8&lt;=DATOS!$B$16),AND(D8&gt;=DATOS!$B$17,D8&lt;=DATOS!$B$18)),"AUTOS","NORMAL"))</f>
        <v/>
      </c>
      <c r="F8" s="19">
        <f>IF(E8="CAMION",0.15,0.10)</f>
        <v/>
      </c>
      <c r="G8" s="19">
        <f>IF(E8="CAMION",0.20,0.10)</f>
        <v/>
      </c>
      <c r="H8" s="19">
        <f>IF(D8&gt;9999,0,IF(E8="CAMION",0.20,0.10))</f>
        <v/>
      </c>
      <c r="I8" s="20">
        <f>IF(D8&lt;=DATOS!$B$11,DATOS!$B$10-H8-(DATOS!$B$6-DATOS!$B$9*D8),DATOS!$B$12)</f>
        <v/>
      </c>
      <c r="J8" s="15" t="n">
        <v>259.594</v>
      </c>
      <c r="K8" s="19">
        <f>DATOS!$B$5+2*F8</f>
        <v/>
      </c>
      <c r="L8" s="20">
        <f>K8*G8*C8</f>
        <v/>
      </c>
      <c r="M8" s="20">
        <f>2*F8*I8*C8</f>
        <v/>
      </c>
      <c r="N8" s="20">
        <f>K8*H8*C8</f>
        <v/>
      </c>
      <c r="O8" s="20">
        <f>(K8+0.10)*(IF(D8&lt;=DATOS!$B$11,DATOS!$B$10,J8)-((DATOS!$B$6-DATOS!$B$9*D8)-G8-0.05))*C8</f>
        <v/>
      </c>
      <c r="P8" s="20">
        <f>(0.10*(IF(D8&lt;=DATOS!$B$11,DATOS!$B$10,J8)-((DATOS!$B$6-DATOS!$B$9*D8)-G8-0.05))+IF(D8&gt;9999,MAX(0,((DATOS!$B$6-DATOS!$B$9*D8)+I8+H8)-J8)*(0.20+0.75*MAX(0,((DATOS!$B$6-DATOS!$B$9*D8)+I8+H8)-J8)),0))*C8</f>
        <v/>
      </c>
      <c r="Q8" s="20">
        <f>K8*C8</f>
        <v/>
      </c>
      <c r="R8" s="20">
        <f>(2*I8+IF(D8&gt;9999,0,DATOS!$B$5)+(I8+G8+H8)+IF(D8&gt;9999,MAX(0,((DATOS!$B$6-DATOS!$B$9*D8)+I8+H8)-J8),0))*C8</f>
        <v/>
      </c>
      <c r="S8" s="19">
        <f>IF(E8="CAMION",C8/0.15*((2*(K8-0.09)+2*(I8+G8+H8-0.09)+0.5)+(2*(DATOS!$B$5+0.09)+2*(I8+0.09)+0.5))*DATOS!$B$23,C8/IF(E8="AUTOS",0.15,0.20)*IF(D8&gt;9999,(DATOS!$B$5+F8)+2*(I8+G8/2)+0.20,2*(DATOS!$B$5+F8)+2*(I8+(G8+H8)/2)+0.40)*DATOS!$B$22)</f>
        <v/>
      </c>
      <c r="T8" s="19">
        <f>IF(E8="CAMION",((ROUNDUP((K8-0.09)/0.2,0)+1)*2+2*MAX(ROUNDUP((I8+0.31)/0.2,0)-1,0)+(ROUNDUP((DATOS!$B$5+0.09)/0.2,0)+1)*2+2*MAX(ROUNDUP((I8+0.09)/0.2,0)-1,0)),IF(D8&gt;9999,8+2*MAX(ROUNDUP((I8+0.05)/0.25,0),1),16+2*MAX(ROUNDUP((I8+0.10)/0.25,0)-1,0)))*C8*(1+0.40/9)*DATOS!$B$22</f>
        <v/>
      </c>
      <c r="U8" s="20">
        <f>(K8+0.10)*C8</f>
        <v/>
      </c>
      <c r="V8" s="21">
        <f>IF(E8="CAMION",2*C8/0.15,C8/IF(E8="AUTOS",0.15,0.20))</f>
        <v/>
      </c>
      <c r="W8" s="19">
        <f>IF(E8="CAMION",((2*(K8-0.09)+2*(I8+G8+H8-0.09)+0.5)+(2*(DATOS!$B$5+0.09)+2*(I8+0.09)+0.5))/2,IF(D8&gt;9999,(DATOS!$B$5+F8)+2*(I8+G8/2)+0.20,2*(DATOS!$B$5+F8)+2*(I8+(G8+H8)/2)+0.40))</f>
        <v/>
      </c>
      <c r="X8" s="22">
        <f>IF(E8="CAMION",((ROUNDUP((K8-0.09)/0.2,0)+1)*2+2*MAX(ROUNDUP((I8+0.31)/0.2,0)-1,0)+(ROUNDUP((DATOS!$B$5+0.09)/0.2,0)+1)*2+2*MAX(ROUNDUP((I8+0.09)/0.2,0)-1,0)),IF(D8&gt;9999,8+2*MAX(ROUNDUP((I8+0.05)/0.25,0),1),16+2*MAX(ROUNDUP((I8+0.10)/0.25,0)-1,0)))</f>
        <v/>
      </c>
      <c r="Y8" s="7">
        <f>IF(E8="CAMION","1/2","3/8")</f>
        <v/>
      </c>
    </row>
    <row r="9">
      <c r="A9" s="18" t="n">
        <v>6</v>
      </c>
      <c r="B9" s="18" t="n">
        <v>8</v>
      </c>
      <c r="C9" s="19">
        <f>B9-A9</f>
        <v/>
      </c>
      <c r="D9" s="19">
        <f>(A9+B9)/2</f>
        <v/>
      </c>
      <c r="E9" s="7">
        <f>IF(AND(D9&gt;=DATOS!$B$13,D9&lt;DATOS!$B$14),"CAMION",IF(OR(AND(D9&gt;=DATOS!$B$15,D9&lt;=DATOS!$B$16),AND(D9&gt;=DATOS!$B$17,D9&lt;=DATOS!$B$18)),"AUTOS","NORMAL"))</f>
        <v/>
      </c>
      <c r="F9" s="19">
        <f>IF(E9="CAMION",0.15,0.10)</f>
        <v/>
      </c>
      <c r="G9" s="19">
        <f>IF(E9="CAMION",0.20,0.10)</f>
        <v/>
      </c>
      <c r="H9" s="19">
        <f>IF(D9&gt;9999,0,IF(E9="CAMION",0.20,0.10))</f>
        <v/>
      </c>
      <c r="I9" s="20">
        <f>IF(D9&lt;=DATOS!$B$11,DATOS!$B$10-H9-(DATOS!$B$6-DATOS!$B$9*D9),DATOS!$B$12)</f>
        <v/>
      </c>
      <c r="J9" s="15" t="n">
        <v>259.612</v>
      </c>
      <c r="K9" s="19">
        <f>DATOS!$B$5+2*F9</f>
        <v/>
      </c>
      <c r="L9" s="20">
        <f>K9*G9*C9</f>
        <v/>
      </c>
      <c r="M9" s="20">
        <f>2*F9*I9*C9</f>
        <v/>
      </c>
      <c r="N9" s="20">
        <f>K9*H9*C9</f>
        <v/>
      </c>
      <c r="O9" s="20">
        <f>(K9+0.10)*(IF(D9&lt;=DATOS!$B$11,DATOS!$B$10,J9)-((DATOS!$B$6-DATOS!$B$9*D9)-G9-0.05))*C9</f>
        <v/>
      </c>
      <c r="P9" s="20">
        <f>(0.10*(IF(D9&lt;=DATOS!$B$11,DATOS!$B$10,J9)-((DATOS!$B$6-DATOS!$B$9*D9)-G9-0.05))+IF(D9&gt;9999,MAX(0,((DATOS!$B$6-DATOS!$B$9*D9)+I9+H9)-J9)*(0.20+0.75*MAX(0,((DATOS!$B$6-DATOS!$B$9*D9)+I9+H9)-J9)),0))*C9</f>
        <v/>
      </c>
      <c r="Q9" s="20">
        <f>K9*C9</f>
        <v/>
      </c>
      <c r="R9" s="20">
        <f>(2*I9+IF(D9&gt;9999,0,DATOS!$B$5)+(I9+G9+H9)+IF(D9&gt;9999,MAX(0,((DATOS!$B$6-DATOS!$B$9*D9)+I9+H9)-J9),0))*C9</f>
        <v/>
      </c>
      <c r="S9" s="19">
        <f>IF(E9="CAMION",C9/0.15*((2*(K9-0.09)+2*(I9+G9+H9-0.09)+0.5)+(2*(DATOS!$B$5+0.09)+2*(I9+0.09)+0.5))*DATOS!$B$23,C9/IF(E9="AUTOS",0.15,0.20)*IF(D9&gt;9999,(DATOS!$B$5+F9)+2*(I9+G9/2)+0.20,2*(DATOS!$B$5+F9)+2*(I9+(G9+H9)/2)+0.40)*DATOS!$B$22)</f>
        <v/>
      </c>
      <c r="T9" s="19">
        <f>IF(E9="CAMION",((ROUNDUP((K9-0.09)/0.2,0)+1)*2+2*MAX(ROUNDUP((I9+0.31)/0.2,0)-1,0)+(ROUNDUP((DATOS!$B$5+0.09)/0.2,0)+1)*2+2*MAX(ROUNDUP((I9+0.09)/0.2,0)-1,0)),IF(D9&gt;9999,8+2*MAX(ROUNDUP((I9+0.05)/0.25,0),1),16+2*MAX(ROUNDUP((I9+0.10)/0.25,0)-1,0)))*C9*(1+0.40/9)*DATOS!$B$22</f>
        <v/>
      </c>
      <c r="U9" s="20">
        <f>(K9+0.10)*C9</f>
        <v/>
      </c>
      <c r="V9" s="21">
        <f>IF(E9="CAMION",2*C9/0.15,C9/IF(E9="AUTOS",0.15,0.20))</f>
        <v/>
      </c>
      <c r="W9" s="19">
        <f>IF(E9="CAMION",((2*(K9-0.09)+2*(I9+G9+H9-0.09)+0.5)+(2*(DATOS!$B$5+0.09)+2*(I9+0.09)+0.5))/2,IF(D9&gt;9999,(DATOS!$B$5+F9)+2*(I9+G9/2)+0.20,2*(DATOS!$B$5+F9)+2*(I9+(G9+H9)/2)+0.40))</f>
        <v/>
      </c>
      <c r="X9" s="22">
        <f>IF(E9="CAMION",((ROUNDUP((K9-0.09)/0.2,0)+1)*2+2*MAX(ROUNDUP((I9+0.31)/0.2,0)-1,0)+(ROUNDUP((DATOS!$B$5+0.09)/0.2,0)+1)*2+2*MAX(ROUNDUP((I9+0.09)/0.2,0)-1,0)),IF(D9&gt;9999,8+2*MAX(ROUNDUP((I9+0.05)/0.25,0),1),16+2*MAX(ROUNDUP((I9+0.10)/0.25,0)-1,0)))</f>
        <v/>
      </c>
      <c r="Y9" s="7">
        <f>IF(E9="CAMION","1/2","3/8")</f>
        <v/>
      </c>
    </row>
    <row r="10">
      <c r="A10" s="18" t="n">
        <v>8</v>
      </c>
      <c r="B10" s="18" t="n">
        <v>10</v>
      </c>
      <c r="C10" s="19">
        <f>B10-A10</f>
        <v/>
      </c>
      <c r="D10" s="19">
        <f>(A10+B10)/2</f>
        <v/>
      </c>
      <c r="E10" s="7">
        <f>IF(AND(D10&gt;=DATOS!$B$13,D10&lt;DATOS!$B$14),"CAMION",IF(OR(AND(D10&gt;=DATOS!$B$15,D10&lt;=DATOS!$B$16),AND(D10&gt;=DATOS!$B$17,D10&lt;=DATOS!$B$18)),"AUTOS","NORMAL"))</f>
        <v/>
      </c>
      <c r="F10" s="19">
        <f>IF(E10="CAMION",0.15,0.10)</f>
        <v/>
      </c>
      <c r="G10" s="19">
        <f>IF(E10="CAMION",0.20,0.10)</f>
        <v/>
      </c>
      <c r="H10" s="19">
        <f>IF(D10&gt;9999,0,IF(E10="CAMION",0.20,0.10))</f>
        <v/>
      </c>
      <c r="I10" s="20">
        <f>IF(D10&lt;=DATOS!$B$11,DATOS!$B$10-H10-(DATOS!$B$6-DATOS!$B$9*D10),DATOS!$B$12)</f>
        <v/>
      </c>
      <c r="J10" s="15" t="n">
        <v>259.671</v>
      </c>
      <c r="K10" s="19">
        <f>DATOS!$B$5+2*F10</f>
        <v/>
      </c>
      <c r="L10" s="20">
        <f>K10*G10*C10</f>
        <v/>
      </c>
      <c r="M10" s="20">
        <f>2*F10*I10*C10</f>
        <v/>
      </c>
      <c r="N10" s="20">
        <f>K10*H10*C10</f>
        <v/>
      </c>
      <c r="O10" s="20">
        <f>(K10+0.10)*(IF(D10&lt;=DATOS!$B$11,DATOS!$B$10,J10)-((DATOS!$B$6-DATOS!$B$9*D10)-G10-0.05))*C10</f>
        <v/>
      </c>
      <c r="P10" s="20">
        <f>(0.10*(IF(D10&lt;=DATOS!$B$11,DATOS!$B$10,J10)-((DATOS!$B$6-DATOS!$B$9*D10)-G10-0.05))+IF(D10&gt;9999,MAX(0,((DATOS!$B$6-DATOS!$B$9*D10)+I10+H10)-J10)*(0.20+0.75*MAX(0,((DATOS!$B$6-DATOS!$B$9*D10)+I10+H10)-J10)),0))*C10</f>
        <v/>
      </c>
      <c r="Q10" s="20">
        <f>K10*C10</f>
        <v/>
      </c>
      <c r="R10" s="20">
        <f>(2*I10+IF(D10&gt;9999,0,DATOS!$B$5)+(I10+G10+H10)+IF(D10&gt;9999,MAX(0,((DATOS!$B$6-DATOS!$B$9*D10)+I10+H10)-J10),0))*C10</f>
        <v/>
      </c>
      <c r="S10" s="19">
        <f>IF(E10="CAMION",C10/0.15*((2*(K10-0.09)+2*(I10+G10+H10-0.09)+0.5)+(2*(DATOS!$B$5+0.09)+2*(I10+0.09)+0.5))*DATOS!$B$23,C10/IF(E10="AUTOS",0.15,0.20)*IF(D10&gt;9999,(DATOS!$B$5+F10)+2*(I10+G10/2)+0.20,2*(DATOS!$B$5+F10)+2*(I10+(G10+H10)/2)+0.40)*DATOS!$B$22)</f>
        <v/>
      </c>
      <c r="T10" s="19">
        <f>IF(E10="CAMION",((ROUNDUP((K10-0.09)/0.2,0)+1)*2+2*MAX(ROUNDUP((I10+0.31)/0.2,0)-1,0)+(ROUNDUP((DATOS!$B$5+0.09)/0.2,0)+1)*2+2*MAX(ROUNDUP((I10+0.09)/0.2,0)-1,0)),IF(D10&gt;9999,8+2*MAX(ROUNDUP((I10+0.05)/0.25,0),1),16+2*MAX(ROUNDUP((I10+0.10)/0.25,0)-1,0)))*C10*(1+0.40/9)*DATOS!$B$22</f>
        <v/>
      </c>
      <c r="U10" s="20">
        <f>(K10+0.10)*C10</f>
        <v/>
      </c>
      <c r="V10" s="21">
        <f>IF(E10="CAMION",2*C10/0.15,C10/IF(E10="AUTOS",0.15,0.20))</f>
        <v/>
      </c>
      <c r="W10" s="19">
        <f>IF(E10="CAMION",((2*(K10-0.09)+2*(I10+G10+H10-0.09)+0.5)+(2*(DATOS!$B$5+0.09)+2*(I10+0.09)+0.5))/2,IF(D10&gt;9999,(DATOS!$B$5+F10)+2*(I10+G10/2)+0.20,2*(DATOS!$B$5+F10)+2*(I10+(G10+H10)/2)+0.40))</f>
        <v/>
      </c>
      <c r="X10" s="22">
        <f>IF(E10="CAMION",((ROUNDUP((K10-0.09)/0.2,0)+1)*2+2*MAX(ROUNDUP((I10+0.31)/0.2,0)-1,0)+(ROUNDUP((DATOS!$B$5+0.09)/0.2,0)+1)*2+2*MAX(ROUNDUP((I10+0.09)/0.2,0)-1,0)),IF(D10&gt;9999,8+2*MAX(ROUNDUP((I10+0.05)/0.25,0),1),16+2*MAX(ROUNDUP((I10+0.10)/0.25,0)-1,0)))</f>
        <v/>
      </c>
      <c r="Y10" s="7">
        <f>IF(E10="CAMION","1/2","3/8")</f>
        <v/>
      </c>
    </row>
    <row r="11">
      <c r="A11" s="18" t="n">
        <v>10</v>
      </c>
      <c r="B11" s="18" t="n">
        <v>12</v>
      </c>
      <c r="C11" s="19">
        <f>B11-A11</f>
        <v/>
      </c>
      <c r="D11" s="19">
        <f>(A11+B11)/2</f>
        <v/>
      </c>
      <c r="E11" s="7">
        <f>IF(AND(D11&gt;=DATOS!$B$13,D11&lt;DATOS!$B$14),"CAMION",IF(OR(AND(D11&gt;=DATOS!$B$15,D11&lt;=DATOS!$B$16),AND(D11&gt;=DATOS!$B$17,D11&lt;=DATOS!$B$18)),"AUTOS","NORMAL"))</f>
        <v/>
      </c>
      <c r="F11" s="19">
        <f>IF(E11="CAMION",0.15,0.10)</f>
        <v/>
      </c>
      <c r="G11" s="19">
        <f>IF(E11="CAMION",0.20,0.10)</f>
        <v/>
      </c>
      <c r="H11" s="19">
        <f>IF(D11&gt;9999,0,IF(E11="CAMION",0.20,0.10))</f>
        <v/>
      </c>
      <c r="I11" s="20">
        <f>IF(D11&lt;=DATOS!$B$11,DATOS!$B$10-H11-(DATOS!$B$6-DATOS!$B$9*D11),DATOS!$B$12)</f>
        <v/>
      </c>
      <c r="J11" s="15" t="n">
        <v>259.708</v>
      </c>
      <c r="K11" s="19">
        <f>DATOS!$B$5+2*F11</f>
        <v/>
      </c>
      <c r="L11" s="20">
        <f>K11*G11*C11</f>
        <v/>
      </c>
      <c r="M11" s="20">
        <f>2*F11*I11*C11</f>
        <v/>
      </c>
      <c r="N11" s="20">
        <f>K11*H11*C11</f>
        <v/>
      </c>
      <c r="O11" s="20">
        <f>(K11+0.10)*(IF(D11&lt;=DATOS!$B$11,DATOS!$B$10,J11)-((DATOS!$B$6-DATOS!$B$9*D11)-G11-0.05))*C11</f>
        <v/>
      </c>
      <c r="P11" s="20">
        <f>(0.10*(IF(D11&lt;=DATOS!$B$11,DATOS!$B$10,J11)-((DATOS!$B$6-DATOS!$B$9*D11)-G11-0.05))+IF(D11&gt;9999,MAX(0,((DATOS!$B$6-DATOS!$B$9*D11)+I11+H11)-J11)*(0.20+0.75*MAX(0,((DATOS!$B$6-DATOS!$B$9*D11)+I11+H11)-J11)),0))*C11</f>
        <v/>
      </c>
      <c r="Q11" s="20">
        <f>K11*C11</f>
        <v/>
      </c>
      <c r="R11" s="20">
        <f>(2*I11+IF(D11&gt;9999,0,DATOS!$B$5)+(I11+G11+H11)+IF(D11&gt;9999,MAX(0,((DATOS!$B$6-DATOS!$B$9*D11)+I11+H11)-J11),0))*C11</f>
        <v/>
      </c>
      <c r="S11" s="19">
        <f>IF(E11="CAMION",C11/0.15*((2*(K11-0.09)+2*(I11+G11+H11-0.09)+0.5)+(2*(DATOS!$B$5+0.09)+2*(I11+0.09)+0.5))*DATOS!$B$23,C11/IF(E11="AUTOS",0.15,0.20)*IF(D11&gt;9999,(DATOS!$B$5+F11)+2*(I11+G11/2)+0.20,2*(DATOS!$B$5+F11)+2*(I11+(G11+H11)/2)+0.40)*DATOS!$B$22)</f>
        <v/>
      </c>
      <c r="T11" s="19">
        <f>IF(E11="CAMION",((ROUNDUP((K11-0.09)/0.2,0)+1)*2+2*MAX(ROUNDUP((I11+0.31)/0.2,0)-1,0)+(ROUNDUP((DATOS!$B$5+0.09)/0.2,0)+1)*2+2*MAX(ROUNDUP((I11+0.09)/0.2,0)-1,0)),IF(D11&gt;9999,8+2*MAX(ROUNDUP((I11+0.05)/0.25,0),1),16+2*MAX(ROUNDUP((I11+0.10)/0.25,0)-1,0)))*C11*(1+0.40/9)*DATOS!$B$22</f>
        <v/>
      </c>
      <c r="U11" s="20">
        <f>(K11+0.10)*C11</f>
        <v/>
      </c>
      <c r="V11" s="21">
        <f>IF(E11="CAMION",2*C11/0.15,C11/IF(E11="AUTOS",0.15,0.20))</f>
        <v/>
      </c>
      <c r="W11" s="19">
        <f>IF(E11="CAMION",((2*(K11-0.09)+2*(I11+G11+H11-0.09)+0.5)+(2*(DATOS!$B$5+0.09)+2*(I11+0.09)+0.5))/2,IF(D11&gt;9999,(DATOS!$B$5+F11)+2*(I11+G11/2)+0.20,2*(DATOS!$B$5+F11)+2*(I11+(G11+H11)/2)+0.40))</f>
        <v/>
      </c>
      <c r="X11" s="22">
        <f>IF(E11="CAMION",((ROUNDUP((K11-0.09)/0.2,0)+1)*2+2*MAX(ROUNDUP((I11+0.31)/0.2,0)-1,0)+(ROUNDUP((DATOS!$B$5+0.09)/0.2,0)+1)*2+2*MAX(ROUNDUP((I11+0.09)/0.2,0)-1,0)),IF(D11&gt;9999,8+2*MAX(ROUNDUP((I11+0.05)/0.25,0),1),16+2*MAX(ROUNDUP((I11+0.10)/0.25,0)-1,0)))</f>
        <v/>
      </c>
      <c r="Y11" s="7">
        <f>IF(E11="CAMION","1/2","3/8")</f>
        <v/>
      </c>
    </row>
    <row r="12">
      <c r="A12" s="18" t="n">
        <v>12</v>
      </c>
      <c r="B12" s="18" t="n">
        <v>14</v>
      </c>
      <c r="C12" s="19">
        <f>B12-A12</f>
        <v/>
      </c>
      <c r="D12" s="19">
        <f>(A12+B12)/2</f>
        <v/>
      </c>
      <c r="E12" s="7">
        <f>IF(AND(D12&gt;=DATOS!$B$13,D12&lt;DATOS!$B$14),"CAMION",IF(OR(AND(D12&gt;=DATOS!$B$15,D12&lt;=DATOS!$B$16),AND(D12&gt;=DATOS!$B$17,D12&lt;=DATOS!$B$18)),"AUTOS","NORMAL"))</f>
        <v/>
      </c>
      <c r="F12" s="19">
        <f>IF(E12="CAMION",0.15,0.10)</f>
        <v/>
      </c>
      <c r="G12" s="19">
        <f>IF(E12="CAMION",0.20,0.10)</f>
        <v/>
      </c>
      <c r="H12" s="19">
        <f>IF(D12&gt;9999,0,IF(E12="CAMION",0.20,0.10))</f>
        <v/>
      </c>
      <c r="I12" s="20">
        <f>IF(D12&lt;=DATOS!$B$11,DATOS!$B$10-H12-(DATOS!$B$6-DATOS!$B$9*D12),DATOS!$B$12)</f>
        <v/>
      </c>
      <c r="J12" s="15" t="n">
        <v>259.69</v>
      </c>
      <c r="K12" s="19">
        <f>DATOS!$B$5+2*F12</f>
        <v/>
      </c>
      <c r="L12" s="20">
        <f>K12*G12*C12</f>
        <v/>
      </c>
      <c r="M12" s="20">
        <f>2*F12*I12*C12</f>
        <v/>
      </c>
      <c r="N12" s="20">
        <f>K12*H12*C12</f>
        <v/>
      </c>
      <c r="O12" s="20">
        <f>(K12+0.10)*(IF(D12&lt;=DATOS!$B$11,DATOS!$B$10,J12)-((DATOS!$B$6-DATOS!$B$9*D12)-G12-0.05))*C12</f>
        <v/>
      </c>
      <c r="P12" s="20">
        <f>(0.10*(IF(D12&lt;=DATOS!$B$11,DATOS!$B$10,J12)-((DATOS!$B$6-DATOS!$B$9*D12)-G12-0.05))+IF(D12&gt;9999,MAX(0,((DATOS!$B$6-DATOS!$B$9*D12)+I12+H12)-J12)*(0.20+0.75*MAX(0,((DATOS!$B$6-DATOS!$B$9*D12)+I12+H12)-J12)),0))*C12</f>
        <v/>
      </c>
      <c r="Q12" s="20">
        <f>K12*C12</f>
        <v/>
      </c>
      <c r="R12" s="20">
        <f>(2*I12+IF(D12&gt;9999,0,DATOS!$B$5)+(I12+G12+H12)+IF(D12&gt;9999,MAX(0,((DATOS!$B$6-DATOS!$B$9*D12)+I12+H12)-J12),0))*C12</f>
        <v/>
      </c>
      <c r="S12" s="19">
        <f>IF(E12="CAMION",C12/0.15*((2*(K12-0.09)+2*(I12+G12+H12-0.09)+0.5)+(2*(DATOS!$B$5+0.09)+2*(I12+0.09)+0.5))*DATOS!$B$23,C12/IF(E12="AUTOS",0.15,0.20)*IF(D12&gt;9999,(DATOS!$B$5+F12)+2*(I12+G12/2)+0.20,2*(DATOS!$B$5+F12)+2*(I12+(G12+H12)/2)+0.40)*DATOS!$B$22)</f>
        <v/>
      </c>
      <c r="T12" s="19">
        <f>IF(E12="CAMION",((ROUNDUP((K12-0.09)/0.2,0)+1)*2+2*MAX(ROUNDUP((I12+0.31)/0.2,0)-1,0)+(ROUNDUP((DATOS!$B$5+0.09)/0.2,0)+1)*2+2*MAX(ROUNDUP((I12+0.09)/0.2,0)-1,0)),IF(D12&gt;9999,8+2*MAX(ROUNDUP((I12+0.05)/0.25,0),1),16+2*MAX(ROUNDUP((I12+0.10)/0.25,0)-1,0)))*C12*(1+0.40/9)*DATOS!$B$22</f>
        <v/>
      </c>
      <c r="U12" s="20">
        <f>(K12+0.10)*C12</f>
        <v/>
      </c>
      <c r="V12" s="21">
        <f>IF(E12="CAMION",2*C12/0.15,C12/IF(E12="AUTOS",0.15,0.20))</f>
        <v/>
      </c>
      <c r="W12" s="19">
        <f>IF(E12="CAMION",((2*(K12-0.09)+2*(I12+G12+H12-0.09)+0.5)+(2*(DATOS!$B$5+0.09)+2*(I12+0.09)+0.5))/2,IF(D12&gt;9999,(DATOS!$B$5+F12)+2*(I12+G12/2)+0.20,2*(DATOS!$B$5+F12)+2*(I12+(G12+H12)/2)+0.40))</f>
        <v/>
      </c>
      <c r="X12" s="22">
        <f>IF(E12="CAMION",((ROUNDUP((K12-0.09)/0.2,0)+1)*2+2*MAX(ROUNDUP((I12+0.31)/0.2,0)-1,0)+(ROUNDUP((DATOS!$B$5+0.09)/0.2,0)+1)*2+2*MAX(ROUNDUP((I12+0.09)/0.2,0)-1,0)),IF(D12&gt;9999,8+2*MAX(ROUNDUP((I12+0.05)/0.25,0),1),16+2*MAX(ROUNDUP((I12+0.10)/0.25,0)-1,0)))</f>
        <v/>
      </c>
      <c r="Y12" s="7">
        <f>IF(E12="CAMION","1/2","3/8")</f>
        <v/>
      </c>
    </row>
    <row r="13">
      <c r="A13" s="18" t="n">
        <v>14</v>
      </c>
      <c r="B13" s="18" t="n">
        <v>16</v>
      </c>
      <c r="C13" s="19">
        <f>B13-A13</f>
        <v/>
      </c>
      <c r="D13" s="19">
        <f>(A13+B13)/2</f>
        <v/>
      </c>
      <c r="E13" s="7">
        <f>IF(AND(D13&gt;=DATOS!$B$13,D13&lt;DATOS!$B$14),"CAMION",IF(OR(AND(D13&gt;=DATOS!$B$15,D13&lt;=DATOS!$B$16),AND(D13&gt;=DATOS!$B$17,D13&lt;=DATOS!$B$18)),"AUTOS","NORMAL"))</f>
        <v/>
      </c>
      <c r="F13" s="19">
        <f>IF(E13="CAMION",0.15,0.10)</f>
        <v/>
      </c>
      <c r="G13" s="19">
        <f>IF(E13="CAMION",0.20,0.10)</f>
        <v/>
      </c>
      <c r="H13" s="19">
        <f>IF(D13&gt;9999,0,IF(E13="CAMION",0.20,0.10))</f>
        <v/>
      </c>
      <c r="I13" s="20">
        <f>IF(D13&lt;=DATOS!$B$11,DATOS!$B$10-H13-(DATOS!$B$6-DATOS!$B$9*D13),DATOS!$B$12)</f>
        <v/>
      </c>
      <c r="J13" s="15" t="n">
        <v>259.703</v>
      </c>
      <c r="K13" s="19">
        <f>DATOS!$B$5+2*F13</f>
        <v/>
      </c>
      <c r="L13" s="20">
        <f>K13*G13*C13</f>
        <v/>
      </c>
      <c r="M13" s="20">
        <f>2*F13*I13*C13</f>
        <v/>
      </c>
      <c r="N13" s="20">
        <f>K13*H13*C13</f>
        <v/>
      </c>
      <c r="O13" s="20">
        <f>(K13+0.10)*(IF(D13&lt;=DATOS!$B$11,DATOS!$B$10,J13)-((DATOS!$B$6-DATOS!$B$9*D13)-G13-0.05))*C13</f>
        <v/>
      </c>
      <c r="P13" s="20">
        <f>(0.10*(IF(D13&lt;=DATOS!$B$11,DATOS!$B$10,J13)-((DATOS!$B$6-DATOS!$B$9*D13)-G13-0.05))+IF(D13&gt;9999,MAX(0,((DATOS!$B$6-DATOS!$B$9*D13)+I13+H13)-J13)*(0.20+0.75*MAX(0,((DATOS!$B$6-DATOS!$B$9*D13)+I13+H13)-J13)),0))*C13</f>
        <v/>
      </c>
      <c r="Q13" s="20">
        <f>K13*C13</f>
        <v/>
      </c>
      <c r="R13" s="20">
        <f>(2*I13+IF(D13&gt;9999,0,DATOS!$B$5)+(I13+G13+H13)+IF(D13&gt;9999,MAX(0,((DATOS!$B$6-DATOS!$B$9*D13)+I13+H13)-J13),0))*C13</f>
        <v/>
      </c>
      <c r="S13" s="19">
        <f>IF(E13="CAMION",C13/0.15*((2*(K13-0.09)+2*(I13+G13+H13-0.09)+0.5)+(2*(DATOS!$B$5+0.09)+2*(I13+0.09)+0.5))*DATOS!$B$23,C13/IF(E13="AUTOS",0.15,0.20)*IF(D13&gt;9999,(DATOS!$B$5+F13)+2*(I13+G13/2)+0.20,2*(DATOS!$B$5+F13)+2*(I13+(G13+H13)/2)+0.40)*DATOS!$B$22)</f>
        <v/>
      </c>
      <c r="T13" s="19">
        <f>IF(E13="CAMION",((ROUNDUP((K13-0.09)/0.2,0)+1)*2+2*MAX(ROUNDUP((I13+0.31)/0.2,0)-1,0)+(ROUNDUP((DATOS!$B$5+0.09)/0.2,0)+1)*2+2*MAX(ROUNDUP((I13+0.09)/0.2,0)-1,0)),IF(D13&gt;9999,8+2*MAX(ROUNDUP((I13+0.05)/0.25,0),1),16+2*MAX(ROUNDUP((I13+0.10)/0.25,0)-1,0)))*C13*(1+0.40/9)*DATOS!$B$22</f>
        <v/>
      </c>
      <c r="U13" s="20">
        <f>(K13+0.10)*C13</f>
        <v/>
      </c>
      <c r="V13" s="21">
        <f>IF(E13="CAMION",2*C13/0.15,C13/IF(E13="AUTOS",0.15,0.20))</f>
        <v/>
      </c>
      <c r="W13" s="19">
        <f>IF(E13="CAMION",((2*(K13-0.09)+2*(I13+G13+H13-0.09)+0.5)+(2*(DATOS!$B$5+0.09)+2*(I13+0.09)+0.5))/2,IF(D13&gt;9999,(DATOS!$B$5+F13)+2*(I13+G13/2)+0.20,2*(DATOS!$B$5+F13)+2*(I13+(G13+H13)/2)+0.40))</f>
        <v/>
      </c>
      <c r="X13" s="22">
        <f>IF(E13="CAMION",((ROUNDUP((K13-0.09)/0.2,0)+1)*2+2*MAX(ROUNDUP((I13+0.31)/0.2,0)-1,0)+(ROUNDUP((DATOS!$B$5+0.09)/0.2,0)+1)*2+2*MAX(ROUNDUP((I13+0.09)/0.2,0)-1,0)),IF(D13&gt;9999,8+2*MAX(ROUNDUP((I13+0.05)/0.25,0),1),16+2*MAX(ROUNDUP((I13+0.10)/0.25,0)-1,0)))</f>
        <v/>
      </c>
      <c r="Y13" s="7">
        <f>IF(E13="CAMION","1/2","3/8")</f>
        <v/>
      </c>
    </row>
    <row r="14">
      <c r="A14" s="18" t="n">
        <v>16</v>
      </c>
      <c r="B14" s="18" t="n">
        <v>18</v>
      </c>
      <c r="C14" s="19">
        <f>B14-A14</f>
        <v/>
      </c>
      <c r="D14" s="19">
        <f>(A14+B14)/2</f>
        <v/>
      </c>
      <c r="E14" s="7">
        <f>IF(AND(D14&gt;=DATOS!$B$13,D14&lt;DATOS!$B$14),"CAMION",IF(OR(AND(D14&gt;=DATOS!$B$15,D14&lt;=DATOS!$B$16),AND(D14&gt;=DATOS!$B$17,D14&lt;=DATOS!$B$18)),"AUTOS","NORMAL"))</f>
        <v/>
      </c>
      <c r="F14" s="19">
        <f>IF(E14="CAMION",0.15,0.10)</f>
        <v/>
      </c>
      <c r="G14" s="19">
        <f>IF(E14="CAMION",0.20,0.10)</f>
        <v/>
      </c>
      <c r="H14" s="19">
        <f>IF(D14&gt;9999,0,IF(E14="CAMION",0.20,0.10))</f>
        <v/>
      </c>
      <c r="I14" s="20">
        <f>IF(D14&lt;=DATOS!$B$11,DATOS!$B$10-H14-(DATOS!$B$6-DATOS!$B$9*D14),DATOS!$B$12)</f>
        <v/>
      </c>
      <c r="J14" s="15" t="n">
        <v>259.719</v>
      </c>
      <c r="K14" s="19">
        <f>DATOS!$B$5+2*F14</f>
        <v/>
      </c>
      <c r="L14" s="20">
        <f>K14*G14*C14</f>
        <v/>
      </c>
      <c r="M14" s="20">
        <f>2*F14*I14*C14</f>
        <v/>
      </c>
      <c r="N14" s="20">
        <f>K14*H14*C14</f>
        <v/>
      </c>
      <c r="O14" s="20">
        <f>(K14+0.10)*(IF(D14&lt;=DATOS!$B$11,DATOS!$B$10,J14)-((DATOS!$B$6-DATOS!$B$9*D14)-G14-0.05))*C14</f>
        <v/>
      </c>
      <c r="P14" s="20">
        <f>(0.10*(IF(D14&lt;=DATOS!$B$11,DATOS!$B$10,J14)-((DATOS!$B$6-DATOS!$B$9*D14)-G14-0.05))+IF(D14&gt;9999,MAX(0,((DATOS!$B$6-DATOS!$B$9*D14)+I14+H14)-J14)*(0.20+0.75*MAX(0,((DATOS!$B$6-DATOS!$B$9*D14)+I14+H14)-J14)),0))*C14</f>
        <v/>
      </c>
      <c r="Q14" s="20">
        <f>K14*C14</f>
        <v/>
      </c>
      <c r="R14" s="20">
        <f>(2*I14+IF(D14&gt;9999,0,DATOS!$B$5)+(I14+G14+H14)+IF(D14&gt;9999,MAX(0,((DATOS!$B$6-DATOS!$B$9*D14)+I14+H14)-J14),0))*C14</f>
        <v/>
      </c>
      <c r="S14" s="19">
        <f>IF(E14="CAMION",C14/0.15*((2*(K14-0.09)+2*(I14+G14+H14-0.09)+0.5)+(2*(DATOS!$B$5+0.09)+2*(I14+0.09)+0.5))*DATOS!$B$23,C14/IF(E14="AUTOS",0.15,0.20)*IF(D14&gt;9999,(DATOS!$B$5+F14)+2*(I14+G14/2)+0.20,2*(DATOS!$B$5+F14)+2*(I14+(G14+H14)/2)+0.40)*DATOS!$B$22)</f>
        <v/>
      </c>
      <c r="T14" s="19">
        <f>IF(E14="CAMION",((ROUNDUP((K14-0.09)/0.2,0)+1)*2+2*MAX(ROUNDUP((I14+0.31)/0.2,0)-1,0)+(ROUNDUP((DATOS!$B$5+0.09)/0.2,0)+1)*2+2*MAX(ROUNDUP((I14+0.09)/0.2,0)-1,0)),IF(D14&gt;9999,8+2*MAX(ROUNDUP((I14+0.05)/0.25,0),1),16+2*MAX(ROUNDUP((I14+0.10)/0.25,0)-1,0)))*C14*(1+0.40/9)*DATOS!$B$22</f>
        <v/>
      </c>
      <c r="U14" s="20">
        <f>(K14+0.10)*C14</f>
        <v/>
      </c>
      <c r="V14" s="21">
        <f>IF(E14="CAMION",2*C14/0.15,C14/IF(E14="AUTOS",0.15,0.20))</f>
        <v/>
      </c>
      <c r="W14" s="19">
        <f>IF(E14="CAMION",((2*(K14-0.09)+2*(I14+G14+H14-0.09)+0.5)+(2*(DATOS!$B$5+0.09)+2*(I14+0.09)+0.5))/2,IF(D14&gt;9999,(DATOS!$B$5+F14)+2*(I14+G14/2)+0.20,2*(DATOS!$B$5+F14)+2*(I14+(G14+H14)/2)+0.40))</f>
        <v/>
      </c>
      <c r="X14" s="22">
        <f>IF(E14="CAMION",((ROUNDUP((K14-0.09)/0.2,0)+1)*2+2*MAX(ROUNDUP((I14+0.31)/0.2,0)-1,0)+(ROUNDUP((DATOS!$B$5+0.09)/0.2,0)+1)*2+2*MAX(ROUNDUP((I14+0.09)/0.2,0)-1,0)),IF(D14&gt;9999,8+2*MAX(ROUNDUP((I14+0.05)/0.25,0),1),16+2*MAX(ROUNDUP((I14+0.10)/0.25,0)-1,0)))</f>
        <v/>
      </c>
      <c r="Y14" s="7">
        <f>IF(E14="CAMION","1/2","3/8")</f>
        <v/>
      </c>
    </row>
    <row r="15">
      <c r="A15" s="18" t="n">
        <v>18</v>
      </c>
      <c r="B15" s="18" t="n">
        <v>18.45</v>
      </c>
      <c r="C15" s="19">
        <f>B15-A15</f>
        <v/>
      </c>
      <c r="D15" s="19">
        <f>(A15+B15)/2</f>
        <v/>
      </c>
      <c r="E15" s="7">
        <f>IF(AND(D15&gt;=DATOS!$B$13,D15&lt;DATOS!$B$14),"CAMION",IF(OR(AND(D15&gt;=DATOS!$B$15,D15&lt;=DATOS!$B$16),AND(D15&gt;=DATOS!$B$17,D15&lt;=DATOS!$B$18)),"AUTOS","NORMAL"))</f>
        <v/>
      </c>
      <c r="F15" s="19">
        <f>IF(E15="CAMION",0.15,0.10)</f>
        <v/>
      </c>
      <c r="G15" s="19">
        <f>IF(E15="CAMION",0.20,0.10)</f>
        <v/>
      </c>
      <c r="H15" s="19">
        <f>IF(D15&gt;9999,0,IF(E15="CAMION",0.20,0.10))</f>
        <v/>
      </c>
      <c r="I15" s="20">
        <f>IF(D15&lt;=DATOS!$B$11,DATOS!$B$10-H15-(DATOS!$B$6-DATOS!$B$9*D15),DATOS!$B$12)</f>
        <v/>
      </c>
      <c r="J15" s="15" t="n">
        <v>259.696</v>
      </c>
      <c r="K15" s="19">
        <f>DATOS!$B$5+2*F15</f>
        <v/>
      </c>
      <c r="L15" s="20">
        <f>K15*G15*C15</f>
        <v/>
      </c>
      <c r="M15" s="20">
        <f>2*F15*I15*C15</f>
        <v/>
      </c>
      <c r="N15" s="20">
        <f>K15*H15*C15</f>
        <v/>
      </c>
      <c r="O15" s="20">
        <f>(K15+0.10)*(IF(D15&lt;=DATOS!$B$11,DATOS!$B$10,J15)-((DATOS!$B$6-DATOS!$B$9*D15)-G15-0.05))*C15</f>
        <v/>
      </c>
      <c r="P15" s="20">
        <f>(0.10*(IF(D15&lt;=DATOS!$B$11,DATOS!$B$10,J15)-((DATOS!$B$6-DATOS!$B$9*D15)-G15-0.05))+IF(D15&gt;9999,MAX(0,((DATOS!$B$6-DATOS!$B$9*D15)+I15+H15)-J15)*(0.20+0.75*MAX(0,((DATOS!$B$6-DATOS!$B$9*D15)+I15+H15)-J15)),0))*C15</f>
        <v/>
      </c>
      <c r="Q15" s="20">
        <f>K15*C15</f>
        <v/>
      </c>
      <c r="R15" s="20">
        <f>(2*I15+IF(D15&gt;9999,0,DATOS!$B$5)+(I15+G15+H15)+IF(D15&gt;9999,MAX(0,((DATOS!$B$6-DATOS!$B$9*D15)+I15+H15)-J15),0))*C15</f>
        <v/>
      </c>
      <c r="S15" s="19">
        <f>IF(E15="CAMION",C15/0.15*((2*(K15-0.09)+2*(I15+G15+H15-0.09)+0.5)+(2*(DATOS!$B$5+0.09)+2*(I15+0.09)+0.5))*DATOS!$B$23,C15/IF(E15="AUTOS",0.15,0.20)*IF(D15&gt;9999,(DATOS!$B$5+F15)+2*(I15+G15/2)+0.20,2*(DATOS!$B$5+F15)+2*(I15+(G15+H15)/2)+0.40)*DATOS!$B$22)</f>
        <v/>
      </c>
      <c r="T15" s="19">
        <f>IF(E15="CAMION",((ROUNDUP((K15-0.09)/0.2,0)+1)*2+2*MAX(ROUNDUP((I15+0.31)/0.2,0)-1,0)+(ROUNDUP((DATOS!$B$5+0.09)/0.2,0)+1)*2+2*MAX(ROUNDUP((I15+0.09)/0.2,0)-1,0)),IF(D15&gt;9999,8+2*MAX(ROUNDUP((I15+0.05)/0.25,0),1),16+2*MAX(ROUNDUP((I15+0.10)/0.25,0)-1,0)))*C15*(1+0.40/9)*DATOS!$B$22</f>
        <v/>
      </c>
      <c r="U15" s="20">
        <f>(K15+0.10)*C15</f>
        <v/>
      </c>
      <c r="V15" s="21">
        <f>IF(E15="CAMION",2*C15/0.15,C15/IF(E15="AUTOS",0.15,0.20))</f>
        <v/>
      </c>
      <c r="W15" s="19">
        <f>IF(E15="CAMION",((2*(K15-0.09)+2*(I15+G15+H15-0.09)+0.5)+(2*(DATOS!$B$5+0.09)+2*(I15+0.09)+0.5))/2,IF(D15&gt;9999,(DATOS!$B$5+F15)+2*(I15+G15/2)+0.20,2*(DATOS!$B$5+F15)+2*(I15+(G15+H15)/2)+0.40))</f>
        <v/>
      </c>
      <c r="X15" s="22">
        <f>IF(E15="CAMION",((ROUNDUP((K15-0.09)/0.2,0)+1)*2+2*MAX(ROUNDUP((I15+0.31)/0.2,0)-1,0)+(ROUNDUP((DATOS!$B$5+0.09)/0.2,0)+1)*2+2*MAX(ROUNDUP((I15+0.09)/0.2,0)-1,0)),IF(D15&gt;9999,8+2*MAX(ROUNDUP((I15+0.05)/0.25,0),1),16+2*MAX(ROUNDUP((I15+0.10)/0.25,0)-1,0)))</f>
        <v/>
      </c>
      <c r="Y15" s="7">
        <f>IF(E15="CAMION","1/2","3/8")</f>
        <v/>
      </c>
    </row>
    <row r="16">
      <c r="A16" s="18" t="n">
        <v>18.45</v>
      </c>
      <c r="B16" s="18" t="n">
        <v>20</v>
      </c>
      <c r="C16" s="19">
        <f>B16-A16</f>
        <v/>
      </c>
      <c r="D16" s="19">
        <f>(A16+B16)/2</f>
        <v/>
      </c>
      <c r="E16" s="7">
        <f>IF(AND(D16&gt;=DATOS!$B$13,D16&lt;DATOS!$B$14),"CAMION",IF(OR(AND(D16&gt;=DATOS!$B$15,D16&lt;=DATOS!$B$16),AND(D16&gt;=DATOS!$B$17,D16&lt;=DATOS!$B$18)),"AUTOS","NORMAL"))</f>
        <v/>
      </c>
      <c r="F16" s="19">
        <f>IF(E16="CAMION",0.15,0.10)</f>
        <v/>
      </c>
      <c r="G16" s="19">
        <f>IF(E16="CAMION",0.20,0.10)</f>
        <v/>
      </c>
      <c r="H16" s="19">
        <f>IF(D16&gt;9999,0,IF(E16="CAMION",0.20,0.10))</f>
        <v/>
      </c>
      <c r="I16" s="20">
        <f>IF(D16&lt;=DATOS!$B$11,DATOS!$B$10-H16-(DATOS!$B$6-DATOS!$B$9*D16),DATOS!$B$12)</f>
        <v/>
      </c>
      <c r="J16" s="15" t="n">
        <v>259.651</v>
      </c>
      <c r="K16" s="19">
        <f>DATOS!$B$5+2*F16</f>
        <v/>
      </c>
      <c r="L16" s="20">
        <f>K16*G16*C16</f>
        <v/>
      </c>
      <c r="M16" s="20">
        <f>2*F16*I16*C16</f>
        <v/>
      </c>
      <c r="N16" s="20">
        <f>K16*H16*C16</f>
        <v/>
      </c>
      <c r="O16" s="20">
        <f>(K16+0.10)*(IF(D16&lt;=DATOS!$B$11,DATOS!$B$10,J16)-((DATOS!$B$6-DATOS!$B$9*D16)-G16-0.05))*C16</f>
        <v/>
      </c>
      <c r="P16" s="20">
        <f>(0.10*(IF(D16&lt;=DATOS!$B$11,DATOS!$B$10,J16)-((DATOS!$B$6-DATOS!$B$9*D16)-G16-0.05))+IF(D16&gt;9999,MAX(0,((DATOS!$B$6-DATOS!$B$9*D16)+I16+H16)-J16)*(0.20+0.75*MAX(0,((DATOS!$B$6-DATOS!$B$9*D16)+I16+H16)-J16)),0))*C16</f>
        <v/>
      </c>
      <c r="Q16" s="20">
        <f>K16*C16</f>
        <v/>
      </c>
      <c r="R16" s="20">
        <f>(2*I16+IF(D16&gt;9999,0,DATOS!$B$5)+(I16+G16+H16)+IF(D16&gt;9999,MAX(0,((DATOS!$B$6-DATOS!$B$9*D16)+I16+H16)-J16),0))*C16</f>
        <v/>
      </c>
      <c r="S16" s="19">
        <f>IF(E16="CAMION",C16/0.15*((2*(K16-0.09)+2*(I16+G16+H16-0.09)+0.5)+(2*(DATOS!$B$5+0.09)+2*(I16+0.09)+0.5))*DATOS!$B$23,C16/IF(E16="AUTOS",0.15,0.20)*IF(D16&gt;9999,(DATOS!$B$5+F16)+2*(I16+G16/2)+0.20,2*(DATOS!$B$5+F16)+2*(I16+(G16+H16)/2)+0.40)*DATOS!$B$22)</f>
        <v/>
      </c>
      <c r="T16" s="19">
        <f>IF(E16="CAMION",((ROUNDUP((K16-0.09)/0.2,0)+1)*2+2*MAX(ROUNDUP((I16+0.31)/0.2,0)-1,0)+(ROUNDUP((DATOS!$B$5+0.09)/0.2,0)+1)*2+2*MAX(ROUNDUP((I16+0.09)/0.2,0)-1,0)),IF(D16&gt;9999,8+2*MAX(ROUNDUP((I16+0.05)/0.25,0),1),16+2*MAX(ROUNDUP((I16+0.10)/0.25,0)-1,0)))*C16*(1+0.40/9)*DATOS!$B$22</f>
        <v/>
      </c>
      <c r="U16" s="20">
        <f>(K16+0.10)*C16</f>
        <v/>
      </c>
      <c r="V16" s="21">
        <f>IF(E16="CAMION",2*C16/0.15,C16/IF(E16="AUTOS",0.15,0.20))</f>
        <v/>
      </c>
      <c r="W16" s="19">
        <f>IF(E16="CAMION",((2*(K16-0.09)+2*(I16+G16+H16-0.09)+0.5)+(2*(DATOS!$B$5+0.09)+2*(I16+0.09)+0.5))/2,IF(D16&gt;9999,(DATOS!$B$5+F16)+2*(I16+G16/2)+0.20,2*(DATOS!$B$5+F16)+2*(I16+(G16+H16)/2)+0.40))</f>
        <v/>
      </c>
      <c r="X16" s="22">
        <f>IF(E16="CAMION",((ROUNDUP((K16-0.09)/0.2,0)+1)*2+2*MAX(ROUNDUP((I16+0.31)/0.2,0)-1,0)+(ROUNDUP((DATOS!$B$5+0.09)/0.2,0)+1)*2+2*MAX(ROUNDUP((I16+0.09)/0.2,0)-1,0)),IF(D16&gt;9999,8+2*MAX(ROUNDUP((I16+0.05)/0.25,0),1),16+2*MAX(ROUNDUP((I16+0.10)/0.25,0)-1,0)))</f>
        <v/>
      </c>
      <c r="Y16" s="7">
        <f>IF(E16="CAMION","1/2","3/8")</f>
        <v/>
      </c>
    </row>
    <row r="17">
      <c r="A17" s="18" t="n">
        <v>20</v>
      </c>
      <c r="B17" s="18" t="n">
        <v>22</v>
      </c>
      <c r="C17" s="19">
        <f>B17-A17</f>
        <v/>
      </c>
      <c r="D17" s="19">
        <f>(A17+B17)/2</f>
        <v/>
      </c>
      <c r="E17" s="7">
        <f>IF(AND(D17&gt;=DATOS!$B$13,D17&lt;DATOS!$B$14),"CAMION",IF(OR(AND(D17&gt;=DATOS!$B$15,D17&lt;=DATOS!$B$16),AND(D17&gt;=DATOS!$B$17,D17&lt;=DATOS!$B$18)),"AUTOS","NORMAL"))</f>
        <v/>
      </c>
      <c r="F17" s="19">
        <f>IF(E17="CAMION",0.15,0.10)</f>
        <v/>
      </c>
      <c r="G17" s="19">
        <f>IF(E17="CAMION",0.20,0.10)</f>
        <v/>
      </c>
      <c r="H17" s="19">
        <f>IF(D17&gt;9999,0,IF(E17="CAMION",0.20,0.10))</f>
        <v/>
      </c>
      <c r="I17" s="20">
        <f>IF(D17&lt;=DATOS!$B$11,DATOS!$B$10-H17-(DATOS!$B$6-DATOS!$B$9*D17),DATOS!$B$12)</f>
        <v/>
      </c>
      <c r="J17" s="15" t="n">
        <v>259.594</v>
      </c>
      <c r="K17" s="19">
        <f>DATOS!$B$5+2*F17</f>
        <v/>
      </c>
      <c r="L17" s="20">
        <f>K17*G17*C17</f>
        <v/>
      </c>
      <c r="M17" s="20">
        <f>2*F17*I17*C17</f>
        <v/>
      </c>
      <c r="N17" s="20">
        <f>K17*H17*C17</f>
        <v/>
      </c>
      <c r="O17" s="20">
        <f>(K17+0.10)*(IF(D17&lt;=DATOS!$B$11,DATOS!$B$10,J17)-((DATOS!$B$6-DATOS!$B$9*D17)-G17-0.05))*C17</f>
        <v/>
      </c>
      <c r="P17" s="20">
        <f>(0.10*(IF(D17&lt;=DATOS!$B$11,DATOS!$B$10,J17)-((DATOS!$B$6-DATOS!$B$9*D17)-G17-0.05))+IF(D17&gt;9999,MAX(0,((DATOS!$B$6-DATOS!$B$9*D17)+I17+H17)-J17)*(0.20+0.75*MAX(0,((DATOS!$B$6-DATOS!$B$9*D17)+I17+H17)-J17)),0))*C17</f>
        <v/>
      </c>
      <c r="Q17" s="20">
        <f>K17*C17</f>
        <v/>
      </c>
      <c r="R17" s="20">
        <f>(2*I17+IF(D17&gt;9999,0,DATOS!$B$5)+(I17+G17+H17)+IF(D17&gt;9999,MAX(0,((DATOS!$B$6-DATOS!$B$9*D17)+I17+H17)-J17),0))*C17</f>
        <v/>
      </c>
      <c r="S17" s="19">
        <f>IF(E17="CAMION",C17/0.15*((2*(K17-0.09)+2*(I17+G17+H17-0.09)+0.5)+(2*(DATOS!$B$5+0.09)+2*(I17+0.09)+0.5))*DATOS!$B$23,C17/IF(E17="AUTOS",0.15,0.20)*IF(D17&gt;9999,(DATOS!$B$5+F17)+2*(I17+G17/2)+0.20,2*(DATOS!$B$5+F17)+2*(I17+(G17+H17)/2)+0.40)*DATOS!$B$22)</f>
        <v/>
      </c>
      <c r="T17" s="19">
        <f>IF(E17="CAMION",((ROUNDUP((K17-0.09)/0.2,0)+1)*2+2*MAX(ROUNDUP((I17+0.31)/0.2,0)-1,0)+(ROUNDUP((DATOS!$B$5+0.09)/0.2,0)+1)*2+2*MAX(ROUNDUP((I17+0.09)/0.2,0)-1,0)),IF(D17&gt;9999,8+2*MAX(ROUNDUP((I17+0.05)/0.25,0),1),16+2*MAX(ROUNDUP((I17+0.10)/0.25,0)-1,0)))*C17*(1+0.40/9)*DATOS!$B$22</f>
        <v/>
      </c>
      <c r="U17" s="20">
        <f>(K17+0.10)*C17</f>
        <v/>
      </c>
      <c r="V17" s="21">
        <f>IF(E17="CAMION",2*C17/0.15,C17/IF(E17="AUTOS",0.15,0.20))</f>
        <v/>
      </c>
      <c r="W17" s="19">
        <f>IF(E17="CAMION",((2*(K17-0.09)+2*(I17+G17+H17-0.09)+0.5)+(2*(DATOS!$B$5+0.09)+2*(I17+0.09)+0.5))/2,IF(D17&gt;9999,(DATOS!$B$5+F17)+2*(I17+G17/2)+0.20,2*(DATOS!$B$5+F17)+2*(I17+(G17+H17)/2)+0.40))</f>
        <v/>
      </c>
      <c r="X17" s="22">
        <f>IF(E17="CAMION",((ROUNDUP((K17-0.09)/0.2,0)+1)*2+2*MAX(ROUNDUP((I17+0.31)/0.2,0)-1,0)+(ROUNDUP((DATOS!$B$5+0.09)/0.2,0)+1)*2+2*MAX(ROUNDUP((I17+0.09)/0.2,0)-1,0)),IF(D17&gt;9999,8+2*MAX(ROUNDUP((I17+0.05)/0.25,0),1),16+2*MAX(ROUNDUP((I17+0.10)/0.25,0)-1,0)))</f>
        <v/>
      </c>
      <c r="Y17" s="7">
        <f>IF(E17="CAMION","1/2","3/8")</f>
        <v/>
      </c>
    </row>
    <row r="18">
      <c r="A18" s="18" t="n">
        <v>22</v>
      </c>
      <c r="B18" s="18" t="n">
        <v>24</v>
      </c>
      <c r="C18" s="19">
        <f>B18-A18</f>
        <v/>
      </c>
      <c r="D18" s="19">
        <f>(A18+B18)/2</f>
        <v/>
      </c>
      <c r="E18" s="7">
        <f>IF(AND(D18&gt;=DATOS!$B$13,D18&lt;DATOS!$B$14),"CAMION",IF(OR(AND(D18&gt;=DATOS!$B$15,D18&lt;=DATOS!$B$16),AND(D18&gt;=DATOS!$B$17,D18&lt;=DATOS!$B$18)),"AUTOS","NORMAL"))</f>
        <v/>
      </c>
      <c r="F18" s="19">
        <f>IF(E18="CAMION",0.15,0.10)</f>
        <v/>
      </c>
      <c r="G18" s="19">
        <f>IF(E18="CAMION",0.20,0.10)</f>
        <v/>
      </c>
      <c r="H18" s="19">
        <f>IF(D18&gt;9999,0,IF(E18="CAMION",0.20,0.10))</f>
        <v/>
      </c>
      <c r="I18" s="20">
        <f>IF(D18&lt;=DATOS!$B$11,DATOS!$B$10-H18-(DATOS!$B$6-DATOS!$B$9*D18),DATOS!$B$12)</f>
        <v/>
      </c>
      <c r="J18" s="15" t="n">
        <v>259.576</v>
      </c>
      <c r="K18" s="19">
        <f>DATOS!$B$5+2*F18</f>
        <v/>
      </c>
      <c r="L18" s="20">
        <f>K18*G18*C18</f>
        <v/>
      </c>
      <c r="M18" s="20">
        <f>2*F18*I18*C18</f>
        <v/>
      </c>
      <c r="N18" s="20">
        <f>K18*H18*C18</f>
        <v/>
      </c>
      <c r="O18" s="20">
        <f>(K18+0.10)*(IF(D18&lt;=DATOS!$B$11,DATOS!$B$10,J18)-((DATOS!$B$6-DATOS!$B$9*D18)-G18-0.05))*C18</f>
        <v/>
      </c>
      <c r="P18" s="20">
        <f>(0.10*(IF(D18&lt;=DATOS!$B$11,DATOS!$B$10,J18)-((DATOS!$B$6-DATOS!$B$9*D18)-G18-0.05))+IF(D18&gt;9999,MAX(0,((DATOS!$B$6-DATOS!$B$9*D18)+I18+H18)-J18)*(0.20+0.75*MAX(0,((DATOS!$B$6-DATOS!$B$9*D18)+I18+H18)-J18)),0))*C18</f>
        <v/>
      </c>
      <c r="Q18" s="20">
        <f>K18*C18</f>
        <v/>
      </c>
      <c r="R18" s="20">
        <f>(2*I18+IF(D18&gt;9999,0,DATOS!$B$5)+(I18+G18+H18)+IF(D18&gt;9999,MAX(0,((DATOS!$B$6-DATOS!$B$9*D18)+I18+H18)-J18),0))*C18</f>
        <v/>
      </c>
      <c r="S18" s="19">
        <f>IF(E18="CAMION",C18/0.15*((2*(K18-0.09)+2*(I18+G18+H18-0.09)+0.5)+(2*(DATOS!$B$5+0.09)+2*(I18+0.09)+0.5))*DATOS!$B$23,C18/IF(E18="AUTOS",0.15,0.20)*IF(D18&gt;9999,(DATOS!$B$5+F18)+2*(I18+G18/2)+0.20,2*(DATOS!$B$5+F18)+2*(I18+(G18+H18)/2)+0.40)*DATOS!$B$22)</f>
        <v/>
      </c>
      <c r="T18" s="19">
        <f>IF(E18="CAMION",((ROUNDUP((K18-0.09)/0.2,0)+1)*2+2*MAX(ROUNDUP((I18+0.31)/0.2,0)-1,0)+(ROUNDUP((DATOS!$B$5+0.09)/0.2,0)+1)*2+2*MAX(ROUNDUP((I18+0.09)/0.2,0)-1,0)),IF(D18&gt;9999,8+2*MAX(ROUNDUP((I18+0.05)/0.25,0),1),16+2*MAX(ROUNDUP((I18+0.10)/0.25,0)-1,0)))*C18*(1+0.40/9)*DATOS!$B$22</f>
        <v/>
      </c>
      <c r="U18" s="20">
        <f>(K18+0.10)*C18</f>
        <v/>
      </c>
      <c r="V18" s="21">
        <f>IF(E18="CAMION",2*C18/0.15,C18/IF(E18="AUTOS",0.15,0.20))</f>
        <v/>
      </c>
      <c r="W18" s="19">
        <f>IF(E18="CAMION",((2*(K18-0.09)+2*(I18+G18+H18-0.09)+0.5)+(2*(DATOS!$B$5+0.09)+2*(I18+0.09)+0.5))/2,IF(D18&gt;9999,(DATOS!$B$5+F18)+2*(I18+G18/2)+0.20,2*(DATOS!$B$5+F18)+2*(I18+(G18+H18)/2)+0.40))</f>
        <v/>
      </c>
      <c r="X18" s="22">
        <f>IF(E18="CAMION",((ROUNDUP((K18-0.09)/0.2,0)+1)*2+2*MAX(ROUNDUP((I18+0.31)/0.2,0)-1,0)+(ROUNDUP((DATOS!$B$5+0.09)/0.2,0)+1)*2+2*MAX(ROUNDUP((I18+0.09)/0.2,0)-1,0)),IF(D18&gt;9999,8+2*MAX(ROUNDUP((I18+0.05)/0.25,0),1),16+2*MAX(ROUNDUP((I18+0.10)/0.25,0)-1,0)))</f>
        <v/>
      </c>
      <c r="Y18" s="7">
        <f>IF(E18="CAMION","1/2","3/8")</f>
        <v/>
      </c>
    </row>
    <row r="19">
      <c r="A19" s="18" t="n">
        <v>24</v>
      </c>
      <c r="B19" s="18" t="n">
        <v>26</v>
      </c>
      <c r="C19" s="19">
        <f>B19-A19</f>
        <v/>
      </c>
      <c r="D19" s="19">
        <f>(A19+B19)/2</f>
        <v/>
      </c>
      <c r="E19" s="7">
        <f>IF(AND(D19&gt;=DATOS!$B$13,D19&lt;DATOS!$B$14),"CAMION",IF(OR(AND(D19&gt;=DATOS!$B$15,D19&lt;=DATOS!$B$16),AND(D19&gt;=DATOS!$B$17,D19&lt;=DATOS!$B$18)),"AUTOS","NORMAL"))</f>
        <v/>
      </c>
      <c r="F19" s="19">
        <f>IF(E19="CAMION",0.15,0.10)</f>
        <v/>
      </c>
      <c r="G19" s="19">
        <f>IF(E19="CAMION",0.20,0.10)</f>
        <v/>
      </c>
      <c r="H19" s="19">
        <f>IF(D19&gt;9999,0,IF(E19="CAMION",0.20,0.10))</f>
        <v/>
      </c>
      <c r="I19" s="20">
        <f>IF(D19&lt;=DATOS!$B$11,DATOS!$B$10-H19-(DATOS!$B$6-DATOS!$B$9*D19),DATOS!$B$12)</f>
        <v/>
      </c>
      <c r="J19" s="15" t="n">
        <v>259.567</v>
      </c>
      <c r="K19" s="19">
        <f>DATOS!$B$5+2*F19</f>
        <v/>
      </c>
      <c r="L19" s="20">
        <f>K19*G19*C19</f>
        <v/>
      </c>
      <c r="M19" s="20">
        <f>2*F19*I19*C19</f>
        <v/>
      </c>
      <c r="N19" s="20">
        <f>K19*H19*C19</f>
        <v/>
      </c>
      <c r="O19" s="20">
        <f>(K19+0.10)*(IF(D19&lt;=DATOS!$B$11,DATOS!$B$10,J19)-((DATOS!$B$6-DATOS!$B$9*D19)-G19-0.05))*C19</f>
        <v/>
      </c>
      <c r="P19" s="20">
        <f>(0.10*(IF(D19&lt;=DATOS!$B$11,DATOS!$B$10,J19)-((DATOS!$B$6-DATOS!$B$9*D19)-G19-0.05))+IF(D19&gt;9999,MAX(0,((DATOS!$B$6-DATOS!$B$9*D19)+I19+H19)-J19)*(0.20+0.75*MAX(0,((DATOS!$B$6-DATOS!$B$9*D19)+I19+H19)-J19)),0))*C19</f>
        <v/>
      </c>
      <c r="Q19" s="20">
        <f>K19*C19</f>
        <v/>
      </c>
      <c r="R19" s="20">
        <f>(2*I19+IF(D19&gt;9999,0,DATOS!$B$5)+(I19+G19+H19)+IF(D19&gt;9999,MAX(0,((DATOS!$B$6-DATOS!$B$9*D19)+I19+H19)-J19),0))*C19</f>
        <v/>
      </c>
      <c r="S19" s="19">
        <f>IF(E19="CAMION",C19/0.15*((2*(K19-0.09)+2*(I19+G19+H19-0.09)+0.5)+(2*(DATOS!$B$5+0.09)+2*(I19+0.09)+0.5))*DATOS!$B$23,C19/IF(E19="AUTOS",0.15,0.20)*IF(D19&gt;9999,(DATOS!$B$5+F19)+2*(I19+G19/2)+0.20,2*(DATOS!$B$5+F19)+2*(I19+(G19+H19)/2)+0.40)*DATOS!$B$22)</f>
        <v/>
      </c>
      <c r="T19" s="19">
        <f>IF(E19="CAMION",((ROUNDUP((K19-0.09)/0.2,0)+1)*2+2*MAX(ROUNDUP((I19+0.31)/0.2,0)-1,0)+(ROUNDUP((DATOS!$B$5+0.09)/0.2,0)+1)*2+2*MAX(ROUNDUP((I19+0.09)/0.2,0)-1,0)),IF(D19&gt;9999,8+2*MAX(ROUNDUP((I19+0.05)/0.25,0),1),16+2*MAX(ROUNDUP((I19+0.10)/0.25,0)-1,0)))*C19*(1+0.40/9)*DATOS!$B$22</f>
        <v/>
      </c>
      <c r="U19" s="20">
        <f>(K19+0.10)*C19</f>
        <v/>
      </c>
      <c r="V19" s="21">
        <f>IF(E19="CAMION",2*C19/0.15,C19/IF(E19="AUTOS",0.15,0.20))</f>
        <v/>
      </c>
      <c r="W19" s="19">
        <f>IF(E19="CAMION",((2*(K19-0.09)+2*(I19+G19+H19-0.09)+0.5)+(2*(DATOS!$B$5+0.09)+2*(I19+0.09)+0.5))/2,IF(D19&gt;9999,(DATOS!$B$5+F19)+2*(I19+G19/2)+0.20,2*(DATOS!$B$5+F19)+2*(I19+(G19+H19)/2)+0.40))</f>
        <v/>
      </c>
      <c r="X19" s="22">
        <f>IF(E19="CAMION",((ROUNDUP((K19-0.09)/0.2,0)+1)*2+2*MAX(ROUNDUP((I19+0.31)/0.2,0)-1,0)+(ROUNDUP((DATOS!$B$5+0.09)/0.2,0)+1)*2+2*MAX(ROUNDUP((I19+0.09)/0.2,0)-1,0)),IF(D19&gt;9999,8+2*MAX(ROUNDUP((I19+0.05)/0.25,0),1),16+2*MAX(ROUNDUP((I19+0.10)/0.25,0)-1,0)))</f>
        <v/>
      </c>
      <c r="Y19" s="7">
        <f>IF(E19="CAMION","1/2","3/8")</f>
        <v/>
      </c>
    </row>
    <row r="20">
      <c r="A20" s="18" t="n">
        <v>26</v>
      </c>
      <c r="B20" s="18" t="n">
        <v>28</v>
      </c>
      <c r="C20" s="19">
        <f>B20-A20</f>
        <v/>
      </c>
      <c r="D20" s="19">
        <f>(A20+B20)/2</f>
        <v/>
      </c>
      <c r="E20" s="7">
        <f>IF(AND(D20&gt;=DATOS!$B$13,D20&lt;DATOS!$B$14),"CAMION",IF(OR(AND(D20&gt;=DATOS!$B$15,D20&lt;=DATOS!$B$16),AND(D20&gt;=DATOS!$B$17,D20&lt;=DATOS!$B$18)),"AUTOS","NORMAL"))</f>
        <v/>
      </c>
      <c r="F20" s="19">
        <f>IF(E20="CAMION",0.15,0.10)</f>
        <v/>
      </c>
      <c r="G20" s="19">
        <f>IF(E20="CAMION",0.20,0.10)</f>
        <v/>
      </c>
      <c r="H20" s="19">
        <f>IF(D20&gt;9999,0,IF(E20="CAMION",0.20,0.10))</f>
        <v/>
      </c>
      <c r="I20" s="20">
        <f>IF(D20&lt;=DATOS!$B$11,DATOS!$B$10-H20-(DATOS!$B$6-DATOS!$B$9*D20),DATOS!$B$12)</f>
        <v/>
      </c>
      <c r="J20" s="15" t="n">
        <v>259.563</v>
      </c>
      <c r="K20" s="19">
        <f>DATOS!$B$5+2*F20</f>
        <v/>
      </c>
      <c r="L20" s="20">
        <f>K20*G20*C20</f>
        <v/>
      </c>
      <c r="M20" s="20">
        <f>2*F20*I20*C20</f>
        <v/>
      </c>
      <c r="N20" s="20">
        <f>K20*H20*C20</f>
        <v/>
      </c>
      <c r="O20" s="20">
        <f>(K20+0.10)*(IF(D20&lt;=DATOS!$B$11,DATOS!$B$10,J20)-((DATOS!$B$6-DATOS!$B$9*D20)-G20-0.05))*C20</f>
        <v/>
      </c>
      <c r="P20" s="20">
        <f>(0.10*(IF(D20&lt;=DATOS!$B$11,DATOS!$B$10,J20)-((DATOS!$B$6-DATOS!$B$9*D20)-G20-0.05))+IF(D20&gt;9999,MAX(0,((DATOS!$B$6-DATOS!$B$9*D20)+I20+H20)-J20)*(0.20+0.75*MAX(0,((DATOS!$B$6-DATOS!$B$9*D20)+I20+H20)-J20)),0))*C20</f>
        <v/>
      </c>
      <c r="Q20" s="20">
        <f>K20*C20</f>
        <v/>
      </c>
      <c r="R20" s="20">
        <f>(2*I20+IF(D20&gt;9999,0,DATOS!$B$5)+(I20+G20+H20)+IF(D20&gt;9999,MAX(0,((DATOS!$B$6-DATOS!$B$9*D20)+I20+H20)-J20),0))*C20</f>
        <v/>
      </c>
      <c r="S20" s="19">
        <f>IF(E20="CAMION",C20/0.15*((2*(K20-0.09)+2*(I20+G20+H20-0.09)+0.5)+(2*(DATOS!$B$5+0.09)+2*(I20+0.09)+0.5))*DATOS!$B$23,C20/IF(E20="AUTOS",0.15,0.20)*IF(D20&gt;9999,(DATOS!$B$5+F20)+2*(I20+G20/2)+0.20,2*(DATOS!$B$5+F20)+2*(I20+(G20+H20)/2)+0.40)*DATOS!$B$22)</f>
        <v/>
      </c>
      <c r="T20" s="19">
        <f>IF(E20="CAMION",((ROUNDUP((K20-0.09)/0.2,0)+1)*2+2*MAX(ROUNDUP((I20+0.31)/0.2,0)-1,0)+(ROUNDUP((DATOS!$B$5+0.09)/0.2,0)+1)*2+2*MAX(ROUNDUP((I20+0.09)/0.2,0)-1,0)),IF(D20&gt;9999,8+2*MAX(ROUNDUP((I20+0.05)/0.25,0),1),16+2*MAX(ROUNDUP((I20+0.10)/0.25,0)-1,0)))*C20*(1+0.40/9)*DATOS!$B$22</f>
        <v/>
      </c>
      <c r="U20" s="20">
        <f>(K20+0.10)*C20</f>
        <v/>
      </c>
      <c r="V20" s="21">
        <f>IF(E20="CAMION",2*C20/0.15,C20/IF(E20="AUTOS",0.15,0.20))</f>
        <v/>
      </c>
      <c r="W20" s="19">
        <f>IF(E20="CAMION",((2*(K20-0.09)+2*(I20+G20+H20-0.09)+0.5)+(2*(DATOS!$B$5+0.09)+2*(I20+0.09)+0.5))/2,IF(D20&gt;9999,(DATOS!$B$5+F20)+2*(I20+G20/2)+0.20,2*(DATOS!$B$5+F20)+2*(I20+(G20+H20)/2)+0.40))</f>
        <v/>
      </c>
      <c r="X20" s="22">
        <f>IF(E20="CAMION",((ROUNDUP((K20-0.09)/0.2,0)+1)*2+2*MAX(ROUNDUP((I20+0.31)/0.2,0)-1,0)+(ROUNDUP((DATOS!$B$5+0.09)/0.2,0)+1)*2+2*MAX(ROUNDUP((I20+0.09)/0.2,0)-1,0)),IF(D20&gt;9999,8+2*MAX(ROUNDUP((I20+0.05)/0.25,0),1),16+2*MAX(ROUNDUP((I20+0.10)/0.25,0)-1,0)))</f>
        <v/>
      </c>
      <c r="Y20" s="7">
        <f>IF(E20="CAMION","1/2","3/8")</f>
        <v/>
      </c>
    </row>
    <row r="21">
      <c r="A21" s="18" t="n">
        <v>28</v>
      </c>
      <c r="B21" s="18" t="n">
        <v>30</v>
      </c>
      <c r="C21" s="19">
        <f>B21-A21</f>
        <v/>
      </c>
      <c r="D21" s="19">
        <f>(A21+B21)/2</f>
        <v/>
      </c>
      <c r="E21" s="7">
        <f>IF(AND(D21&gt;=DATOS!$B$13,D21&lt;DATOS!$B$14),"CAMION",IF(OR(AND(D21&gt;=DATOS!$B$15,D21&lt;=DATOS!$B$16),AND(D21&gt;=DATOS!$B$17,D21&lt;=DATOS!$B$18)),"AUTOS","NORMAL"))</f>
        <v/>
      </c>
      <c r="F21" s="19">
        <f>IF(E21="CAMION",0.15,0.10)</f>
        <v/>
      </c>
      <c r="G21" s="19">
        <f>IF(E21="CAMION",0.20,0.10)</f>
        <v/>
      </c>
      <c r="H21" s="19">
        <f>IF(D21&gt;9999,0,IF(E21="CAMION",0.20,0.10))</f>
        <v/>
      </c>
      <c r="I21" s="20">
        <f>IF(D21&lt;=DATOS!$B$11,DATOS!$B$10-H21-(DATOS!$B$6-DATOS!$B$9*D21),DATOS!$B$12)</f>
        <v/>
      </c>
      <c r="J21" s="15" t="n">
        <v>259.584</v>
      </c>
      <c r="K21" s="19">
        <f>DATOS!$B$5+2*F21</f>
        <v/>
      </c>
      <c r="L21" s="20">
        <f>K21*G21*C21</f>
        <v/>
      </c>
      <c r="M21" s="20">
        <f>2*F21*I21*C21</f>
        <v/>
      </c>
      <c r="N21" s="20">
        <f>K21*H21*C21</f>
        <v/>
      </c>
      <c r="O21" s="20">
        <f>(K21+0.10)*(IF(D21&lt;=DATOS!$B$11,DATOS!$B$10,J21)-((DATOS!$B$6-DATOS!$B$9*D21)-G21-0.05))*C21</f>
        <v/>
      </c>
      <c r="P21" s="20">
        <f>(0.10*(IF(D21&lt;=DATOS!$B$11,DATOS!$B$10,J21)-((DATOS!$B$6-DATOS!$B$9*D21)-G21-0.05))+IF(D21&gt;9999,MAX(0,((DATOS!$B$6-DATOS!$B$9*D21)+I21+H21)-J21)*(0.20+0.75*MAX(0,((DATOS!$B$6-DATOS!$B$9*D21)+I21+H21)-J21)),0))*C21</f>
        <v/>
      </c>
      <c r="Q21" s="20">
        <f>K21*C21</f>
        <v/>
      </c>
      <c r="R21" s="20">
        <f>(2*I21+IF(D21&gt;9999,0,DATOS!$B$5)+(I21+G21+H21)+IF(D21&gt;9999,MAX(0,((DATOS!$B$6-DATOS!$B$9*D21)+I21+H21)-J21),0))*C21</f>
        <v/>
      </c>
      <c r="S21" s="19">
        <f>IF(E21="CAMION",C21/0.15*((2*(K21-0.09)+2*(I21+G21+H21-0.09)+0.5)+(2*(DATOS!$B$5+0.09)+2*(I21+0.09)+0.5))*DATOS!$B$23,C21/IF(E21="AUTOS",0.15,0.20)*IF(D21&gt;9999,(DATOS!$B$5+F21)+2*(I21+G21/2)+0.20,2*(DATOS!$B$5+F21)+2*(I21+(G21+H21)/2)+0.40)*DATOS!$B$22)</f>
        <v/>
      </c>
      <c r="T21" s="19">
        <f>IF(E21="CAMION",((ROUNDUP((K21-0.09)/0.2,0)+1)*2+2*MAX(ROUNDUP((I21+0.31)/0.2,0)-1,0)+(ROUNDUP((DATOS!$B$5+0.09)/0.2,0)+1)*2+2*MAX(ROUNDUP((I21+0.09)/0.2,0)-1,0)),IF(D21&gt;9999,8+2*MAX(ROUNDUP((I21+0.05)/0.25,0),1),16+2*MAX(ROUNDUP((I21+0.10)/0.25,0)-1,0)))*C21*(1+0.40/9)*DATOS!$B$22</f>
        <v/>
      </c>
      <c r="U21" s="20">
        <f>(K21+0.10)*C21</f>
        <v/>
      </c>
      <c r="V21" s="21">
        <f>IF(E21="CAMION",2*C21/0.15,C21/IF(E21="AUTOS",0.15,0.20))</f>
        <v/>
      </c>
      <c r="W21" s="19">
        <f>IF(E21="CAMION",((2*(K21-0.09)+2*(I21+G21+H21-0.09)+0.5)+(2*(DATOS!$B$5+0.09)+2*(I21+0.09)+0.5))/2,IF(D21&gt;9999,(DATOS!$B$5+F21)+2*(I21+G21/2)+0.20,2*(DATOS!$B$5+F21)+2*(I21+(G21+H21)/2)+0.40))</f>
        <v/>
      </c>
      <c r="X21" s="22">
        <f>IF(E21="CAMION",((ROUNDUP((K21-0.09)/0.2,0)+1)*2+2*MAX(ROUNDUP((I21+0.31)/0.2,0)-1,0)+(ROUNDUP((DATOS!$B$5+0.09)/0.2,0)+1)*2+2*MAX(ROUNDUP((I21+0.09)/0.2,0)-1,0)),IF(D21&gt;9999,8+2*MAX(ROUNDUP((I21+0.05)/0.25,0),1),16+2*MAX(ROUNDUP((I21+0.10)/0.25,0)-1,0)))</f>
        <v/>
      </c>
      <c r="Y21" s="7">
        <f>IF(E21="CAMION","1/2","3/8")</f>
        <v/>
      </c>
    </row>
    <row r="22">
      <c r="A22" s="18" t="n">
        <v>30</v>
      </c>
      <c r="B22" s="18" t="n">
        <v>32</v>
      </c>
      <c r="C22" s="19">
        <f>B22-A22</f>
        <v/>
      </c>
      <c r="D22" s="19">
        <f>(A22+B22)/2</f>
        <v/>
      </c>
      <c r="E22" s="7">
        <f>IF(AND(D22&gt;=DATOS!$B$13,D22&lt;DATOS!$B$14),"CAMION",IF(OR(AND(D22&gt;=DATOS!$B$15,D22&lt;=DATOS!$B$16),AND(D22&gt;=DATOS!$B$17,D22&lt;=DATOS!$B$18)),"AUTOS","NORMAL"))</f>
        <v/>
      </c>
      <c r="F22" s="19">
        <f>IF(E22="CAMION",0.15,0.10)</f>
        <v/>
      </c>
      <c r="G22" s="19">
        <f>IF(E22="CAMION",0.20,0.10)</f>
        <v/>
      </c>
      <c r="H22" s="19">
        <f>IF(D22&gt;9999,0,IF(E22="CAMION",0.20,0.10))</f>
        <v/>
      </c>
      <c r="I22" s="20">
        <f>IF(D22&lt;=DATOS!$B$11,DATOS!$B$10-H22-(DATOS!$B$6-DATOS!$B$9*D22),DATOS!$B$12)</f>
        <v/>
      </c>
      <c r="J22" s="15" t="n">
        <v>259.615</v>
      </c>
      <c r="K22" s="19">
        <f>DATOS!$B$5+2*F22</f>
        <v/>
      </c>
      <c r="L22" s="20">
        <f>K22*G22*C22</f>
        <v/>
      </c>
      <c r="M22" s="20">
        <f>2*F22*I22*C22</f>
        <v/>
      </c>
      <c r="N22" s="20">
        <f>K22*H22*C22</f>
        <v/>
      </c>
      <c r="O22" s="20">
        <f>(K22+0.10)*(IF(D22&lt;=DATOS!$B$11,DATOS!$B$10,J22)-((DATOS!$B$6-DATOS!$B$9*D22)-G22-0.05))*C22</f>
        <v/>
      </c>
      <c r="P22" s="20">
        <f>(0.10*(IF(D22&lt;=DATOS!$B$11,DATOS!$B$10,J22)-((DATOS!$B$6-DATOS!$B$9*D22)-G22-0.05))+IF(D22&gt;9999,MAX(0,((DATOS!$B$6-DATOS!$B$9*D22)+I22+H22)-J22)*(0.20+0.75*MAX(0,((DATOS!$B$6-DATOS!$B$9*D22)+I22+H22)-J22)),0))*C22</f>
        <v/>
      </c>
      <c r="Q22" s="20">
        <f>K22*C22</f>
        <v/>
      </c>
      <c r="R22" s="20">
        <f>(2*I22+IF(D22&gt;9999,0,DATOS!$B$5)+(I22+G22+H22)+IF(D22&gt;9999,MAX(0,((DATOS!$B$6-DATOS!$B$9*D22)+I22+H22)-J22),0))*C22</f>
        <v/>
      </c>
      <c r="S22" s="19">
        <f>IF(E22="CAMION",C22/0.15*((2*(K22-0.09)+2*(I22+G22+H22-0.09)+0.5)+(2*(DATOS!$B$5+0.09)+2*(I22+0.09)+0.5))*DATOS!$B$23,C22/IF(E22="AUTOS",0.15,0.20)*IF(D22&gt;9999,(DATOS!$B$5+F22)+2*(I22+G22/2)+0.20,2*(DATOS!$B$5+F22)+2*(I22+(G22+H22)/2)+0.40)*DATOS!$B$22)</f>
        <v/>
      </c>
      <c r="T22" s="19">
        <f>IF(E22="CAMION",((ROUNDUP((K22-0.09)/0.2,0)+1)*2+2*MAX(ROUNDUP((I22+0.31)/0.2,0)-1,0)+(ROUNDUP((DATOS!$B$5+0.09)/0.2,0)+1)*2+2*MAX(ROUNDUP((I22+0.09)/0.2,0)-1,0)),IF(D22&gt;9999,8+2*MAX(ROUNDUP((I22+0.05)/0.25,0),1),16+2*MAX(ROUNDUP((I22+0.10)/0.25,0)-1,0)))*C22*(1+0.40/9)*DATOS!$B$22</f>
        <v/>
      </c>
      <c r="U22" s="20">
        <f>(K22+0.10)*C22</f>
        <v/>
      </c>
      <c r="V22" s="21">
        <f>IF(E22="CAMION",2*C22/0.15,C22/IF(E22="AUTOS",0.15,0.20))</f>
        <v/>
      </c>
      <c r="W22" s="19">
        <f>IF(E22="CAMION",((2*(K22-0.09)+2*(I22+G22+H22-0.09)+0.5)+(2*(DATOS!$B$5+0.09)+2*(I22+0.09)+0.5))/2,IF(D22&gt;9999,(DATOS!$B$5+F22)+2*(I22+G22/2)+0.20,2*(DATOS!$B$5+F22)+2*(I22+(G22+H22)/2)+0.40))</f>
        <v/>
      </c>
      <c r="X22" s="22">
        <f>IF(E22="CAMION",((ROUNDUP((K22-0.09)/0.2,0)+1)*2+2*MAX(ROUNDUP((I22+0.31)/0.2,0)-1,0)+(ROUNDUP((DATOS!$B$5+0.09)/0.2,0)+1)*2+2*MAX(ROUNDUP((I22+0.09)/0.2,0)-1,0)),IF(D22&gt;9999,8+2*MAX(ROUNDUP((I22+0.05)/0.25,0),1),16+2*MAX(ROUNDUP((I22+0.10)/0.25,0)-1,0)))</f>
        <v/>
      </c>
      <c r="Y22" s="7">
        <f>IF(E22="CAMION","1/2","3/8")</f>
        <v/>
      </c>
    </row>
    <row r="23">
      <c r="A23" s="18" t="n">
        <v>32</v>
      </c>
      <c r="B23" s="18" t="n">
        <v>34</v>
      </c>
      <c r="C23" s="19">
        <f>B23-A23</f>
        <v/>
      </c>
      <c r="D23" s="19">
        <f>(A23+B23)/2</f>
        <v/>
      </c>
      <c r="E23" s="7">
        <f>IF(AND(D23&gt;=DATOS!$B$13,D23&lt;DATOS!$B$14),"CAMION",IF(OR(AND(D23&gt;=DATOS!$B$15,D23&lt;=DATOS!$B$16),AND(D23&gt;=DATOS!$B$17,D23&lt;=DATOS!$B$18)),"AUTOS","NORMAL"))</f>
        <v/>
      </c>
      <c r="F23" s="19">
        <f>IF(E23="CAMION",0.15,0.10)</f>
        <v/>
      </c>
      <c r="G23" s="19">
        <f>IF(E23="CAMION",0.20,0.10)</f>
        <v/>
      </c>
      <c r="H23" s="19">
        <f>IF(D23&gt;9999,0,IF(E23="CAMION",0.20,0.10))</f>
        <v/>
      </c>
      <c r="I23" s="20">
        <f>IF(D23&lt;=DATOS!$B$11,DATOS!$B$10-H23-(DATOS!$B$6-DATOS!$B$9*D23),DATOS!$B$12)</f>
        <v/>
      </c>
      <c r="J23" s="15" t="n">
        <v>259.576</v>
      </c>
      <c r="K23" s="19">
        <f>DATOS!$B$5+2*F23</f>
        <v/>
      </c>
      <c r="L23" s="20">
        <f>K23*G23*C23</f>
        <v/>
      </c>
      <c r="M23" s="20">
        <f>2*F23*I23*C23</f>
        <v/>
      </c>
      <c r="N23" s="20">
        <f>K23*H23*C23</f>
        <v/>
      </c>
      <c r="O23" s="20">
        <f>(K23+0.10)*(IF(D23&lt;=DATOS!$B$11,DATOS!$B$10,J23)-((DATOS!$B$6-DATOS!$B$9*D23)-G23-0.05))*C23</f>
        <v/>
      </c>
      <c r="P23" s="20">
        <f>(0.10*(IF(D23&lt;=DATOS!$B$11,DATOS!$B$10,J23)-((DATOS!$B$6-DATOS!$B$9*D23)-G23-0.05))+IF(D23&gt;9999,MAX(0,((DATOS!$B$6-DATOS!$B$9*D23)+I23+H23)-J23)*(0.20+0.75*MAX(0,((DATOS!$B$6-DATOS!$B$9*D23)+I23+H23)-J23)),0))*C23</f>
        <v/>
      </c>
      <c r="Q23" s="20">
        <f>K23*C23</f>
        <v/>
      </c>
      <c r="R23" s="20">
        <f>(2*I23+IF(D23&gt;9999,0,DATOS!$B$5)+(I23+G23+H23)+IF(D23&gt;9999,MAX(0,((DATOS!$B$6-DATOS!$B$9*D23)+I23+H23)-J23),0))*C23</f>
        <v/>
      </c>
      <c r="S23" s="19">
        <f>IF(E23="CAMION",C23/0.15*((2*(K23-0.09)+2*(I23+G23+H23-0.09)+0.5)+(2*(DATOS!$B$5+0.09)+2*(I23+0.09)+0.5))*DATOS!$B$23,C23/IF(E23="AUTOS",0.15,0.20)*IF(D23&gt;9999,(DATOS!$B$5+F23)+2*(I23+G23/2)+0.20,2*(DATOS!$B$5+F23)+2*(I23+(G23+H23)/2)+0.40)*DATOS!$B$22)</f>
        <v/>
      </c>
      <c r="T23" s="19">
        <f>IF(E23="CAMION",((ROUNDUP((K23-0.09)/0.2,0)+1)*2+2*MAX(ROUNDUP((I23+0.31)/0.2,0)-1,0)+(ROUNDUP((DATOS!$B$5+0.09)/0.2,0)+1)*2+2*MAX(ROUNDUP((I23+0.09)/0.2,0)-1,0)),IF(D23&gt;9999,8+2*MAX(ROUNDUP((I23+0.05)/0.25,0),1),16+2*MAX(ROUNDUP((I23+0.10)/0.25,0)-1,0)))*C23*(1+0.40/9)*DATOS!$B$22</f>
        <v/>
      </c>
      <c r="U23" s="20">
        <f>(K23+0.10)*C23</f>
        <v/>
      </c>
      <c r="V23" s="21">
        <f>IF(E23="CAMION",2*C23/0.15,C23/IF(E23="AUTOS",0.15,0.20))</f>
        <v/>
      </c>
      <c r="W23" s="19">
        <f>IF(E23="CAMION",((2*(K23-0.09)+2*(I23+G23+H23-0.09)+0.5)+(2*(DATOS!$B$5+0.09)+2*(I23+0.09)+0.5))/2,IF(D23&gt;9999,(DATOS!$B$5+F23)+2*(I23+G23/2)+0.20,2*(DATOS!$B$5+F23)+2*(I23+(G23+H23)/2)+0.40))</f>
        <v/>
      </c>
      <c r="X23" s="22">
        <f>IF(E23="CAMION",((ROUNDUP((K23-0.09)/0.2,0)+1)*2+2*MAX(ROUNDUP((I23+0.31)/0.2,0)-1,0)+(ROUNDUP((DATOS!$B$5+0.09)/0.2,0)+1)*2+2*MAX(ROUNDUP((I23+0.09)/0.2,0)-1,0)),IF(D23&gt;9999,8+2*MAX(ROUNDUP((I23+0.05)/0.25,0),1),16+2*MAX(ROUNDUP((I23+0.10)/0.25,0)-1,0)))</f>
        <v/>
      </c>
      <c r="Y23" s="7">
        <f>IF(E23="CAMION","1/2","3/8")</f>
        <v/>
      </c>
    </row>
    <row r="24">
      <c r="A24" s="18" t="n">
        <v>34</v>
      </c>
      <c r="B24" s="18" t="n">
        <v>35.04</v>
      </c>
      <c r="C24" s="19">
        <f>B24-A24</f>
        <v/>
      </c>
      <c r="D24" s="19">
        <f>(A24+B24)/2</f>
        <v/>
      </c>
      <c r="E24" s="7">
        <f>IF(AND(D24&gt;=DATOS!$B$13,D24&lt;DATOS!$B$14),"CAMION",IF(OR(AND(D24&gt;=DATOS!$B$15,D24&lt;=DATOS!$B$16),AND(D24&gt;=DATOS!$B$17,D24&lt;=DATOS!$B$18)),"AUTOS","NORMAL"))</f>
        <v/>
      </c>
      <c r="F24" s="19">
        <f>IF(E24="CAMION",0.15,0.10)</f>
        <v/>
      </c>
      <c r="G24" s="19">
        <f>IF(E24="CAMION",0.20,0.10)</f>
        <v/>
      </c>
      <c r="H24" s="19">
        <f>IF(D24&gt;9999,0,IF(E24="CAMION",0.20,0.10))</f>
        <v/>
      </c>
      <c r="I24" s="20">
        <f>IF(D24&lt;=DATOS!$B$11,DATOS!$B$10-H24-(DATOS!$B$6-DATOS!$B$9*D24),DATOS!$B$12)</f>
        <v/>
      </c>
      <c r="J24" s="15" t="n">
        <v>259.525</v>
      </c>
      <c r="K24" s="19">
        <f>DATOS!$B$5+2*F24</f>
        <v/>
      </c>
      <c r="L24" s="20">
        <f>K24*G24*C24</f>
        <v/>
      </c>
      <c r="M24" s="20">
        <f>2*F24*I24*C24</f>
        <v/>
      </c>
      <c r="N24" s="20">
        <f>K24*H24*C24</f>
        <v/>
      </c>
      <c r="O24" s="20">
        <f>(K24+0.10)*(IF(D24&lt;=DATOS!$B$11,DATOS!$B$10,J24)-((DATOS!$B$6-DATOS!$B$9*D24)-G24-0.05))*C24</f>
        <v/>
      </c>
      <c r="P24" s="20">
        <f>(0.10*(IF(D24&lt;=DATOS!$B$11,DATOS!$B$10,J24)-((DATOS!$B$6-DATOS!$B$9*D24)-G24-0.05))+IF(D24&gt;9999,MAX(0,((DATOS!$B$6-DATOS!$B$9*D24)+I24+H24)-J24)*(0.20+0.75*MAX(0,((DATOS!$B$6-DATOS!$B$9*D24)+I24+H24)-J24)),0))*C24</f>
        <v/>
      </c>
      <c r="Q24" s="20">
        <f>K24*C24</f>
        <v/>
      </c>
      <c r="R24" s="20">
        <f>(2*I24+IF(D24&gt;9999,0,DATOS!$B$5)+(I24+G24+H24)+IF(D24&gt;9999,MAX(0,((DATOS!$B$6-DATOS!$B$9*D24)+I24+H24)-J24),0))*C24</f>
        <v/>
      </c>
      <c r="S24" s="19">
        <f>IF(E24="CAMION",C24/0.15*((2*(K24-0.09)+2*(I24+G24+H24-0.09)+0.5)+(2*(DATOS!$B$5+0.09)+2*(I24+0.09)+0.5))*DATOS!$B$23,C24/IF(E24="AUTOS",0.15,0.20)*IF(D24&gt;9999,(DATOS!$B$5+F24)+2*(I24+G24/2)+0.20,2*(DATOS!$B$5+F24)+2*(I24+(G24+H24)/2)+0.40)*DATOS!$B$22)</f>
        <v/>
      </c>
      <c r="T24" s="19">
        <f>IF(E24="CAMION",((ROUNDUP((K24-0.09)/0.2,0)+1)*2+2*MAX(ROUNDUP((I24+0.31)/0.2,0)-1,0)+(ROUNDUP((DATOS!$B$5+0.09)/0.2,0)+1)*2+2*MAX(ROUNDUP((I24+0.09)/0.2,0)-1,0)),IF(D24&gt;9999,8+2*MAX(ROUNDUP((I24+0.05)/0.25,0),1),16+2*MAX(ROUNDUP((I24+0.10)/0.25,0)-1,0)))*C24*(1+0.40/9)*DATOS!$B$22</f>
        <v/>
      </c>
      <c r="U24" s="20">
        <f>(K24+0.10)*C24</f>
        <v/>
      </c>
      <c r="V24" s="21">
        <f>IF(E24="CAMION",2*C24/0.15,C24/IF(E24="AUTOS",0.15,0.20))</f>
        <v/>
      </c>
      <c r="W24" s="19">
        <f>IF(E24="CAMION",((2*(K24-0.09)+2*(I24+G24+H24-0.09)+0.5)+(2*(DATOS!$B$5+0.09)+2*(I24+0.09)+0.5))/2,IF(D24&gt;9999,(DATOS!$B$5+F24)+2*(I24+G24/2)+0.20,2*(DATOS!$B$5+F24)+2*(I24+(G24+H24)/2)+0.40))</f>
        <v/>
      </c>
      <c r="X24" s="22">
        <f>IF(E24="CAMION",((ROUNDUP((K24-0.09)/0.2,0)+1)*2+2*MAX(ROUNDUP((I24+0.31)/0.2,0)-1,0)+(ROUNDUP((DATOS!$B$5+0.09)/0.2,0)+1)*2+2*MAX(ROUNDUP((I24+0.09)/0.2,0)-1,0)),IF(D24&gt;9999,8+2*MAX(ROUNDUP((I24+0.05)/0.25,0),1),16+2*MAX(ROUNDUP((I24+0.10)/0.25,0)-1,0)))</f>
        <v/>
      </c>
      <c r="Y24" s="7">
        <f>IF(E24="CAMION","1/2","3/8")</f>
        <v/>
      </c>
    </row>
    <row r="25">
      <c r="A25" s="18" t="n">
        <v>35.04</v>
      </c>
      <c r="B25" s="18" t="n">
        <v>36</v>
      </c>
      <c r="C25" s="19">
        <f>B25-A25</f>
        <v/>
      </c>
      <c r="D25" s="19">
        <f>(A25+B25)/2</f>
        <v/>
      </c>
      <c r="E25" s="7">
        <f>IF(AND(D25&gt;=DATOS!$B$13,D25&lt;DATOS!$B$14),"CAMION",IF(OR(AND(D25&gt;=DATOS!$B$15,D25&lt;=DATOS!$B$16),AND(D25&gt;=DATOS!$B$17,D25&lt;=DATOS!$B$18)),"AUTOS","NORMAL"))</f>
        <v/>
      </c>
      <c r="F25" s="19">
        <f>IF(E25="CAMION",0.15,0.10)</f>
        <v/>
      </c>
      <c r="G25" s="19">
        <f>IF(E25="CAMION",0.20,0.10)</f>
        <v/>
      </c>
      <c r="H25" s="19">
        <f>IF(D25&gt;9999,0,IF(E25="CAMION",0.20,0.10))</f>
        <v/>
      </c>
      <c r="I25" s="20">
        <f>IF(D25&lt;=DATOS!$B$11,DATOS!$B$10-H25-(DATOS!$B$6-DATOS!$B$9*D25),DATOS!$B$12)</f>
        <v/>
      </c>
      <c r="J25" s="15" t="n">
        <v>259.523</v>
      </c>
      <c r="K25" s="19">
        <f>DATOS!$B$5+2*F25</f>
        <v/>
      </c>
      <c r="L25" s="20">
        <f>K25*G25*C25</f>
        <v/>
      </c>
      <c r="M25" s="20">
        <f>2*F25*I25*C25</f>
        <v/>
      </c>
      <c r="N25" s="20">
        <f>K25*H25*C25</f>
        <v/>
      </c>
      <c r="O25" s="20">
        <f>(K25+0.10)*(IF(D25&lt;=DATOS!$B$11,DATOS!$B$10,J25)-((DATOS!$B$6-DATOS!$B$9*D25)-G25-0.05))*C25</f>
        <v/>
      </c>
      <c r="P25" s="20">
        <f>(0.10*(IF(D25&lt;=DATOS!$B$11,DATOS!$B$10,J25)-((DATOS!$B$6-DATOS!$B$9*D25)-G25-0.05))+IF(D25&gt;9999,MAX(0,((DATOS!$B$6-DATOS!$B$9*D25)+I25+H25)-J25)*(0.20+0.75*MAX(0,((DATOS!$B$6-DATOS!$B$9*D25)+I25+H25)-J25)),0))*C25</f>
        <v/>
      </c>
      <c r="Q25" s="20">
        <f>K25*C25</f>
        <v/>
      </c>
      <c r="R25" s="20">
        <f>(2*I25+IF(D25&gt;9999,0,DATOS!$B$5)+(I25+G25+H25)+IF(D25&gt;9999,MAX(0,((DATOS!$B$6-DATOS!$B$9*D25)+I25+H25)-J25),0))*C25</f>
        <v/>
      </c>
      <c r="S25" s="19">
        <f>IF(E25="CAMION",C25/0.15*((2*(K25-0.09)+2*(I25+G25+H25-0.09)+0.5)+(2*(DATOS!$B$5+0.09)+2*(I25+0.09)+0.5))*DATOS!$B$23,C25/IF(E25="AUTOS",0.15,0.20)*IF(D25&gt;9999,(DATOS!$B$5+F25)+2*(I25+G25/2)+0.20,2*(DATOS!$B$5+F25)+2*(I25+(G25+H25)/2)+0.40)*DATOS!$B$22)</f>
        <v/>
      </c>
      <c r="T25" s="19">
        <f>IF(E25="CAMION",((ROUNDUP((K25-0.09)/0.2,0)+1)*2+2*MAX(ROUNDUP((I25+0.31)/0.2,0)-1,0)+(ROUNDUP((DATOS!$B$5+0.09)/0.2,0)+1)*2+2*MAX(ROUNDUP((I25+0.09)/0.2,0)-1,0)),IF(D25&gt;9999,8+2*MAX(ROUNDUP((I25+0.05)/0.25,0),1),16+2*MAX(ROUNDUP((I25+0.10)/0.25,0)-1,0)))*C25*(1+0.40/9)*DATOS!$B$22</f>
        <v/>
      </c>
      <c r="U25" s="20">
        <f>(K25+0.10)*C25</f>
        <v/>
      </c>
      <c r="V25" s="21">
        <f>IF(E25="CAMION",2*C25/0.15,C25/IF(E25="AUTOS",0.15,0.20))</f>
        <v/>
      </c>
      <c r="W25" s="19">
        <f>IF(E25="CAMION",((2*(K25-0.09)+2*(I25+G25+H25-0.09)+0.5)+(2*(DATOS!$B$5+0.09)+2*(I25+0.09)+0.5))/2,IF(D25&gt;9999,(DATOS!$B$5+F25)+2*(I25+G25/2)+0.20,2*(DATOS!$B$5+F25)+2*(I25+(G25+H25)/2)+0.40))</f>
        <v/>
      </c>
      <c r="X25" s="22">
        <f>IF(E25="CAMION",((ROUNDUP((K25-0.09)/0.2,0)+1)*2+2*MAX(ROUNDUP((I25+0.31)/0.2,0)-1,0)+(ROUNDUP((DATOS!$B$5+0.09)/0.2,0)+1)*2+2*MAX(ROUNDUP((I25+0.09)/0.2,0)-1,0)),IF(D25&gt;9999,8+2*MAX(ROUNDUP((I25+0.05)/0.25,0),1),16+2*MAX(ROUNDUP((I25+0.10)/0.25,0)-1,0)))</f>
        <v/>
      </c>
      <c r="Y25" s="7">
        <f>IF(E25="CAMION","1/2","3/8")</f>
        <v/>
      </c>
    </row>
    <row r="26">
      <c r="A26" s="18" t="n">
        <v>36</v>
      </c>
      <c r="B26" s="18" t="n">
        <v>38</v>
      </c>
      <c r="C26" s="19">
        <f>B26-A26</f>
        <v/>
      </c>
      <c r="D26" s="19">
        <f>(A26+B26)/2</f>
        <v/>
      </c>
      <c r="E26" s="7">
        <f>IF(AND(D26&gt;=DATOS!$B$13,D26&lt;DATOS!$B$14),"CAMION",IF(OR(AND(D26&gt;=DATOS!$B$15,D26&lt;=DATOS!$B$16),AND(D26&gt;=DATOS!$B$17,D26&lt;=DATOS!$B$18)),"AUTOS","NORMAL"))</f>
        <v/>
      </c>
      <c r="F26" s="19">
        <f>IF(E26="CAMION",0.15,0.10)</f>
        <v/>
      </c>
      <c r="G26" s="19">
        <f>IF(E26="CAMION",0.20,0.10)</f>
        <v/>
      </c>
      <c r="H26" s="19">
        <f>IF(D26&gt;9999,0,IF(E26="CAMION",0.20,0.10))</f>
        <v/>
      </c>
      <c r="I26" s="20">
        <f>IF(D26&lt;=DATOS!$B$11,DATOS!$B$10-H26-(DATOS!$B$6-DATOS!$B$9*D26),DATOS!$B$12)</f>
        <v/>
      </c>
      <c r="J26" s="15" t="n">
        <v>259.495</v>
      </c>
      <c r="K26" s="19">
        <f>DATOS!$B$5+2*F26</f>
        <v/>
      </c>
      <c r="L26" s="20">
        <f>K26*G26*C26</f>
        <v/>
      </c>
      <c r="M26" s="20">
        <f>2*F26*I26*C26</f>
        <v/>
      </c>
      <c r="N26" s="20">
        <f>K26*H26*C26</f>
        <v/>
      </c>
      <c r="O26" s="20">
        <f>(K26+0.10)*(IF(D26&lt;=DATOS!$B$11,DATOS!$B$10,J26)-((DATOS!$B$6-DATOS!$B$9*D26)-G26-0.05))*C26</f>
        <v/>
      </c>
      <c r="P26" s="20">
        <f>(0.10*(IF(D26&lt;=DATOS!$B$11,DATOS!$B$10,J26)-((DATOS!$B$6-DATOS!$B$9*D26)-G26-0.05))+IF(D26&gt;9999,MAX(0,((DATOS!$B$6-DATOS!$B$9*D26)+I26+H26)-J26)*(0.20+0.75*MAX(0,((DATOS!$B$6-DATOS!$B$9*D26)+I26+H26)-J26)),0))*C26</f>
        <v/>
      </c>
      <c r="Q26" s="20">
        <f>K26*C26</f>
        <v/>
      </c>
      <c r="R26" s="20">
        <f>(2*I26+IF(D26&gt;9999,0,DATOS!$B$5)+(I26+G26+H26)+IF(D26&gt;9999,MAX(0,((DATOS!$B$6-DATOS!$B$9*D26)+I26+H26)-J26),0))*C26</f>
        <v/>
      </c>
      <c r="S26" s="19">
        <f>IF(E26="CAMION",C26/0.15*((2*(K26-0.09)+2*(I26+G26+H26-0.09)+0.5)+(2*(DATOS!$B$5+0.09)+2*(I26+0.09)+0.5))*DATOS!$B$23,C26/IF(E26="AUTOS",0.15,0.20)*IF(D26&gt;9999,(DATOS!$B$5+F26)+2*(I26+G26/2)+0.20,2*(DATOS!$B$5+F26)+2*(I26+(G26+H26)/2)+0.40)*DATOS!$B$22)</f>
        <v/>
      </c>
      <c r="T26" s="19">
        <f>IF(E26="CAMION",((ROUNDUP((K26-0.09)/0.2,0)+1)*2+2*MAX(ROUNDUP((I26+0.31)/0.2,0)-1,0)+(ROUNDUP((DATOS!$B$5+0.09)/0.2,0)+1)*2+2*MAX(ROUNDUP((I26+0.09)/0.2,0)-1,0)),IF(D26&gt;9999,8+2*MAX(ROUNDUP((I26+0.05)/0.25,0),1),16+2*MAX(ROUNDUP((I26+0.10)/0.25,0)-1,0)))*C26*(1+0.40/9)*DATOS!$B$22</f>
        <v/>
      </c>
      <c r="U26" s="20">
        <f>(K26+0.10)*C26</f>
        <v/>
      </c>
      <c r="V26" s="21">
        <f>IF(E26="CAMION",2*C26/0.15,C26/IF(E26="AUTOS",0.15,0.20))</f>
        <v/>
      </c>
      <c r="W26" s="19">
        <f>IF(E26="CAMION",((2*(K26-0.09)+2*(I26+G26+H26-0.09)+0.5)+(2*(DATOS!$B$5+0.09)+2*(I26+0.09)+0.5))/2,IF(D26&gt;9999,(DATOS!$B$5+F26)+2*(I26+G26/2)+0.20,2*(DATOS!$B$5+F26)+2*(I26+(G26+H26)/2)+0.40))</f>
        <v/>
      </c>
      <c r="X26" s="22">
        <f>IF(E26="CAMION",((ROUNDUP((K26-0.09)/0.2,0)+1)*2+2*MAX(ROUNDUP((I26+0.31)/0.2,0)-1,0)+(ROUNDUP((DATOS!$B$5+0.09)/0.2,0)+1)*2+2*MAX(ROUNDUP((I26+0.09)/0.2,0)-1,0)),IF(D26&gt;9999,8+2*MAX(ROUNDUP((I26+0.05)/0.25,0),1),16+2*MAX(ROUNDUP((I26+0.10)/0.25,0)-1,0)))</f>
        <v/>
      </c>
      <c r="Y26" s="7">
        <f>IF(E26="CAMION","1/2","3/8")</f>
        <v/>
      </c>
    </row>
    <row r="27">
      <c r="A27" s="18" t="n">
        <v>38</v>
      </c>
      <c r="B27" s="18" t="n">
        <v>40</v>
      </c>
      <c r="C27" s="19">
        <f>B27-A27</f>
        <v/>
      </c>
      <c r="D27" s="19">
        <f>(A27+B27)/2</f>
        <v/>
      </c>
      <c r="E27" s="7">
        <f>IF(AND(D27&gt;=DATOS!$B$13,D27&lt;DATOS!$B$14),"CAMION",IF(OR(AND(D27&gt;=DATOS!$B$15,D27&lt;=DATOS!$B$16),AND(D27&gt;=DATOS!$B$17,D27&lt;=DATOS!$B$18)),"AUTOS","NORMAL"))</f>
        <v/>
      </c>
      <c r="F27" s="19">
        <f>IF(E27="CAMION",0.15,0.10)</f>
        <v/>
      </c>
      <c r="G27" s="19">
        <f>IF(E27="CAMION",0.20,0.10)</f>
        <v/>
      </c>
      <c r="H27" s="19">
        <f>IF(D27&gt;9999,0,IF(E27="CAMION",0.20,0.10))</f>
        <v/>
      </c>
      <c r="I27" s="20">
        <f>IF(D27&lt;=DATOS!$B$11,DATOS!$B$10-H27-(DATOS!$B$6-DATOS!$B$9*D27),DATOS!$B$12)</f>
        <v/>
      </c>
      <c r="J27" s="15" t="n">
        <v>259.457</v>
      </c>
      <c r="K27" s="19">
        <f>DATOS!$B$5+2*F27</f>
        <v/>
      </c>
      <c r="L27" s="20">
        <f>K27*G27*C27</f>
        <v/>
      </c>
      <c r="M27" s="20">
        <f>2*F27*I27*C27</f>
        <v/>
      </c>
      <c r="N27" s="20">
        <f>K27*H27*C27</f>
        <v/>
      </c>
      <c r="O27" s="20">
        <f>(K27+0.10)*(IF(D27&lt;=DATOS!$B$11,DATOS!$B$10,J27)-((DATOS!$B$6-DATOS!$B$9*D27)-G27-0.05))*C27</f>
        <v/>
      </c>
      <c r="P27" s="20">
        <f>(0.10*(IF(D27&lt;=DATOS!$B$11,DATOS!$B$10,J27)-((DATOS!$B$6-DATOS!$B$9*D27)-G27-0.05))+IF(D27&gt;9999,MAX(0,((DATOS!$B$6-DATOS!$B$9*D27)+I27+H27)-J27)*(0.20+0.75*MAX(0,((DATOS!$B$6-DATOS!$B$9*D27)+I27+H27)-J27)),0))*C27</f>
        <v/>
      </c>
      <c r="Q27" s="20">
        <f>K27*C27</f>
        <v/>
      </c>
      <c r="R27" s="20">
        <f>(2*I27+IF(D27&gt;9999,0,DATOS!$B$5)+(I27+G27+H27)+IF(D27&gt;9999,MAX(0,((DATOS!$B$6-DATOS!$B$9*D27)+I27+H27)-J27),0))*C27</f>
        <v/>
      </c>
      <c r="S27" s="19">
        <f>IF(E27="CAMION",C27/0.15*((2*(K27-0.09)+2*(I27+G27+H27-0.09)+0.5)+(2*(DATOS!$B$5+0.09)+2*(I27+0.09)+0.5))*DATOS!$B$23,C27/IF(E27="AUTOS",0.15,0.20)*IF(D27&gt;9999,(DATOS!$B$5+F27)+2*(I27+G27/2)+0.20,2*(DATOS!$B$5+F27)+2*(I27+(G27+H27)/2)+0.40)*DATOS!$B$22)</f>
        <v/>
      </c>
      <c r="T27" s="19">
        <f>IF(E27="CAMION",((ROUNDUP((K27-0.09)/0.2,0)+1)*2+2*MAX(ROUNDUP((I27+0.31)/0.2,0)-1,0)+(ROUNDUP((DATOS!$B$5+0.09)/0.2,0)+1)*2+2*MAX(ROUNDUP((I27+0.09)/0.2,0)-1,0)),IF(D27&gt;9999,8+2*MAX(ROUNDUP((I27+0.05)/0.25,0),1),16+2*MAX(ROUNDUP((I27+0.10)/0.25,0)-1,0)))*C27*(1+0.40/9)*DATOS!$B$22</f>
        <v/>
      </c>
      <c r="U27" s="20">
        <f>(K27+0.10)*C27</f>
        <v/>
      </c>
      <c r="V27" s="21">
        <f>IF(E27="CAMION",2*C27/0.15,C27/IF(E27="AUTOS",0.15,0.20))</f>
        <v/>
      </c>
      <c r="W27" s="19">
        <f>IF(E27="CAMION",((2*(K27-0.09)+2*(I27+G27+H27-0.09)+0.5)+(2*(DATOS!$B$5+0.09)+2*(I27+0.09)+0.5))/2,IF(D27&gt;9999,(DATOS!$B$5+F27)+2*(I27+G27/2)+0.20,2*(DATOS!$B$5+F27)+2*(I27+(G27+H27)/2)+0.40))</f>
        <v/>
      </c>
      <c r="X27" s="22">
        <f>IF(E27="CAMION",((ROUNDUP((K27-0.09)/0.2,0)+1)*2+2*MAX(ROUNDUP((I27+0.31)/0.2,0)-1,0)+(ROUNDUP((DATOS!$B$5+0.09)/0.2,0)+1)*2+2*MAX(ROUNDUP((I27+0.09)/0.2,0)-1,0)),IF(D27&gt;9999,8+2*MAX(ROUNDUP((I27+0.05)/0.25,0),1),16+2*MAX(ROUNDUP((I27+0.10)/0.25,0)-1,0)))</f>
        <v/>
      </c>
      <c r="Y27" s="7">
        <f>IF(E27="CAMION","1/2","3/8")</f>
        <v/>
      </c>
    </row>
    <row r="28">
      <c r="A28" s="18" t="n">
        <v>40</v>
      </c>
      <c r="B28" s="18" t="n">
        <v>42</v>
      </c>
      <c r="C28" s="19">
        <f>B28-A28</f>
        <v/>
      </c>
      <c r="D28" s="19">
        <f>(A28+B28)/2</f>
        <v/>
      </c>
      <c r="E28" s="7">
        <f>IF(AND(D28&gt;=DATOS!$B$13,D28&lt;DATOS!$B$14),"CAMION",IF(OR(AND(D28&gt;=DATOS!$B$15,D28&lt;=DATOS!$B$16),AND(D28&gt;=DATOS!$B$17,D28&lt;=DATOS!$B$18)),"AUTOS","NORMAL"))</f>
        <v/>
      </c>
      <c r="F28" s="19">
        <f>IF(E28="CAMION",0.15,0.10)</f>
        <v/>
      </c>
      <c r="G28" s="19">
        <f>IF(E28="CAMION",0.20,0.10)</f>
        <v/>
      </c>
      <c r="H28" s="19">
        <f>IF(D28&gt;9999,0,IF(E28="CAMION",0.20,0.10))</f>
        <v/>
      </c>
      <c r="I28" s="20">
        <f>IF(D28&lt;=DATOS!$B$11,DATOS!$B$10-H28-(DATOS!$B$6-DATOS!$B$9*D28),DATOS!$B$12)</f>
        <v/>
      </c>
      <c r="J28" s="15" t="n">
        <v>259.463</v>
      </c>
      <c r="K28" s="19">
        <f>DATOS!$B$5+2*F28</f>
        <v/>
      </c>
      <c r="L28" s="20">
        <f>K28*G28*C28</f>
        <v/>
      </c>
      <c r="M28" s="20">
        <f>2*F28*I28*C28</f>
        <v/>
      </c>
      <c r="N28" s="20">
        <f>K28*H28*C28</f>
        <v/>
      </c>
      <c r="O28" s="20">
        <f>(K28+0.10)*(IF(D28&lt;=DATOS!$B$11,DATOS!$B$10,J28)-((DATOS!$B$6-DATOS!$B$9*D28)-G28-0.05))*C28</f>
        <v/>
      </c>
      <c r="P28" s="20">
        <f>(0.10*(IF(D28&lt;=DATOS!$B$11,DATOS!$B$10,J28)-((DATOS!$B$6-DATOS!$B$9*D28)-G28-0.05))+IF(D28&gt;9999,MAX(0,((DATOS!$B$6-DATOS!$B$9*D28)+I28+H28)-J28)*(0.20+0.75*MAX(0,((DATOS!$B$6-DATOS!$B$9*D28)+I28+H28)-J28)),0))*C28</f>
        <v/>
      </c>
      <c r="Q28" s="20">
        <f>K28*C28</f>
        <v/>
      </c>
      <c r="R28" s="20">
        <f>(2*I28+IF(D28&gt;9999,0,DATOS!$B$5)+(I28+G28+H28)+IF(D28&gt;9999,MAX(0,((DATOS!$B$6-DATOS!$B$9*D28)+I28+H28)-J28),0))*C28</f>
        <v/>
      </c>
      <c r="S28" s="19">
        <f>IF(E28="CAMION",C28/0.15*((2*(K28-0.09)+2*(I28+G28+H28-0.09)+0.5)+(2*(DATOS!$B$5+0.09)+2*(I28+0.09)+0.5))*DATOS!$B$23,C28/IF(E28="AUTOS",0.15,0.20)*IF(D28&gt;9999,(DATOS!$B$5+F28)+2*(I28+G28/2)+0.20,2*(DATOS!$B$5+F28)+2*(I28+(G28+H28)/2)+0.40)*DATOS!$B$22)</f>
        <v/>
      </c>
      <c r="T28" s="19">
        <f>IF(E28="CAMION",((ROUNDUP((K28-0.09)/0.2,0)+1)*2+2*MAX(ROUNDUP((I28+0.31)/0.2,0)-1,0)+(ROUNDUP((DATOS!$B$5+0.09)/0.2,0)+1)*2+2*MAX(ROUNDUP((I28+0.09)/0.2,0)-1,0)),IF(D28&gt;9999,8+2*MAX(ROUNDUP((I28+0.05)/0.25,0),1),16+2*MAX(ROUNDUP((I28+0.10)/0.25,0)-1,0)))*C28*(1+0.40/9)*DATOS!$B$22</f>
        <v/>
      </c>
      <c r="U28" s="20">
        <f>(K28+0.10)*C28</f>
        <v/>
      </c>
      <c r="V28" s="21">
        <f>IF(E28="CAMION",2*C28/0.15,C28/IF(E28="AUTOS",0.15,0.20))</f>
        <v/>
      </c>
      <c r="W28" s="19">
        <f>IF(E28="CAMION",((2*(K28-0.09)+2*(I28+G28+H28-0.09)+0.5)+(2*(DATOS!$B$5+0.09)+2*(I28+0.09)+0.5))/2,IF(D28&gt;9999,(DATOS!$B$5+F28)+2*(I28+G28/2)+0.20,2*(DATOS!$B$5+F28)+2*(I28+(G28+H28)/2)+0.40))</f>
        <v/>
      </c>
      <c r="X28" s="22">
        <f>IF(E28="CAMION",((ROUNDUP((K28-0.09)/0.2,0)+1)*2+2*MAX(ROUNDUP((I28+0.31)/0.2,0)-1,0)+(ROUNDUP((DATOS!$B$5+0.09)/0.2,0)+1)*2+2*MAX(ROUNDUP((I28+0.09)/0.2,0)-1,0)),IF(D28&gt;9999,8+2*MAX(ROUNDUP((I28+0.05)/0.25,0),1),16+2*MAX(ROUNDUP((I28+0.10)/0.25,0)-1,0)))</f>
        <v/>
      </c>
      <c r="Y28" s="7">
        <f>IF(E28="CAMION","1/2","3/8")</f>
        <v/>
      </c>
    </row>
    <row r="29">
      <c r="A29" s="18" t="n">
        <v>42</v>
      </c>
      <c r="B29" s="18" t="n">
        <v>44</v>
      </c>
      <c r="C29" s="19">
        <f>B29-A29</f>
        <v/>
      </c>
      <c r="D29" s="19">
        <f>(A29+B29)/2</f>
        <v/>
      </c>
      <c r="E29" s="7">
        <f>IF(AND(D29&gt;=DATOS!$B$13,D29&lt;DATOS!$B$14),"CAMION",IF(OR(AND(D29&gt;=DATOS!$B$15,D29&lt;=DATOS!$B$16),AND(D29&gt;=DATOS!$B$17,D29&lt;=DATOS!$B$18)),"AUTOS","NORMAL"))</f>
        <v/>
      </c>
      <c r="F29" s="19">
        <f>IF(E29="CAMION",0.15,0.10)</f>
        <v/>
      </c>
      <c r="G29" s="19">
        <f>IF(E29="CAMION",0.20,0.10)</f>
        <v/>
      </c>
      <c r="H29" s="19">
        <f>IF(D29&gt;9999,0,IF(E29="CAMION",0.20,0.10))</f>
        <v/>
      </c>
      <c r="I29" s="20">
        <f>IF(D29&lt;=DATOS!$B$11,DATOS!$B$10-H29-(DATOS!$B$6-DATOS!$B$9*D29),DATOS!$B$12)</f>
        <v/>
      </c>
      <c r="J29" s="15" t="n">
        <v>259.554</v>
      </c>
      <c r="K29" s="19">
        <f>DATOS!$B$5+2*F29</f>
        <v/>
      </c>
      <c r="L29" s="20">
        <f>K29*G29*C29</f>
        <v/>
      </c>
      <c r="M29" s="20">
        <f>2*F29*I29*C29</f>
        <v/>
      </c>
      <c r="N29" s="20">
        <f>K29*H29*C29</f>
        <v/>
      </c>
      <c r="O29" s="20">
        <f>(K29+0.10)*(IF(D29&lt;=DATOS!$B$11,DATOS!$B$10,J29)-((DATOS!$B$6-DATOS!$B$9*D29)-G29-0.05))*C29</f>
        <v/>
      </c>
      <c r="P29" s="20">
        <f>(0.10*(IF(D29&lt;=DATOS!$B$11,DATOS!$B$10,J29)-((DATOS!$B$6-DATOS!$B$9*D29)-G29-0.05))+IF(D29&gt;9999,MAX(0,((DATOS!$B$6-DATOS!$B$9*D29)+I29+H29)-J29)*(0.20+0.75*MAX(0,((DATOS!$B$6-DATOS!$B$9*D29)+I29+H29)-J29)),0))*C29</f>
        <v/>
      </c>
      <c r="Q29" s="20">
        <f>K29*C29</f>
        <v/>
      </c>
      <c r="R29" s="20">
        <f>(2*I29+IF(D29&gt;9999,0,DATOS!$B$5)+(I29+G29+H29)+IF(D29&gt;9999,MAX(0,((DATOS!$B$6-DATOS!$B$9*D29)+I29+H29)-J29),0))*C29</f>
        <v/>
      </c>
      <c r="S29" s="19">
        <f>IF(E29="CAMION",C29/0.15*((2*(K29-0.09)+2*(I29+G29+H29-0.09)+0.5)+(2*(DATOS!$B$5+0.09)+2*(I29+0.09)+0.5))*DATOS!$B$23,C29/IF(E29="AUTOS",0.15,0.20)*IF(D29&gt;9999,(DATOS!$B$5+F29)+2*(I29+G29/2)+0.20,2*(DATOS!$B$5+F29)+2*(I29+(G29+H29)/2)+0.40)*DATOS!$B$22)</f>
        <v/>
      </c>
      <c r="T29" s="19">
        <f>IF(E29="CAMION",((ROUNDUP((K29-0.09)/0.2,0)+1)*2+2*MAX(ROUNDUP((I29+0.31)/0.2,0)-1,0)+(ROUNDUP((DATOS!$B$5+0.09)/0.2,0)+1)*2+2*MAX(ROUNDUP((I29+0.09)/0.2,0)-1,0)),IF(D29&gt;9999,8+2*MAX(ROUNDUP((I29+0.05)/0.25,0),1),16+2*MAX(ROUNDUP((I29+0.10)/0.25,0)-1,0)))*C29*(1+0.40/9)*DATOS!$B$22</f>
        <v/>
      </c>
      <c r="U29" s="20">
        <f>(K29+0.10)*C29</f>
        <v/>
      </c>
      <c r="V29" s="21">
        <f>IF(E29="CAMION",2*C29/0.15,C29/IF(E29="AUTOS",0.15,0.20))</f>
        <v/>
      </c>
      <c r="W29" s="19">
        <f>IF(E29="CAMION",((2*(K29-0.09)+2*(I29+G29+H29-0.09)+0.5)+(2*(DATOS!$B$5+0.09)+2*(I29+0.09)+0.5))/2,IF(D29&gt;9999,(DATOS!$B$5+F29)+2*(I29+G29/2)+0.20,2*(DATOS!$B$5+F29)+2*(I29+(G29+H29)/2)+0.40))</f>
        <v/>
      </c>
      <c r="X29" s="22">
        <f>IF(E29="CAMION",((ROUNDUP((K29-0.09)/0.2,0)+1)*2+2*MAX(ROUNDUP((I29+0.31)/0.2,0)-1,0)+(ROUNDUP((DATOS!$B$5+0.09)/0.2,0)+1)*2+2*MAX(ROUNDUP((I29+0.09)/0.2,0)-1,0)),IF(D29&gt;9999,8+2*MAX(ROUNDUP((I29+0.05)/0.25,0),1),16+2*MAX(ROUNDUP((I29+0.10)/0.25,0)-1,0)))</f>
        <v/>
      </c>
      <c r="Y29" s="7">
        <f>IF(E29="CAMION","1/2","3/8")</f>
        <v/>
      </c>
    </row>
    <row r="30">
      <c r="A30" s="18" t="n">
        <v>44</v>
      </c>
      <c r="B30" s="18" t="n">
        <v>46</v>
      </c>
      <c r="C30" s="19">
        <f>B30-A30</f>
        <v/>
      </c>
      <c r="D30" s="19">
        <f>(A30+B30)/2</f>
        <v/>
      </c>
      <c r="E30" s="7">
        <f>IF(AND(D30&gt;=DATOS!$B$13,D30&lt;DATOS!$B$14),"CAMION",IF(OR(AND(D30&gt;=DATOS!$B$15,D30&lt;=DATOS!$B$16),AND(D30&gt;=DATOS!$B$17,D30&lt;=DATOS!$B$18)),"AUTOS","NORMAL"))</f>
        <v/>
      </c>
      <c r="F30" s="19">
        <f>IF(E30="CAMION",0.15,0.10)</f>
        <v/>
      </c>
      <c r="G30" s="19">
        <f>IF(E30="CAMION",0.20,0.10)</f>
        <v/>
      </c>
      <c r="H30" s="19">
        <f>IF(D30&gt;9999,0,IF(E30="CAMION",0.20,0.10))</f>
        <v/>
      </c>
      <c r="I30" s="20">
        <f>IF(D30&lt;=DATOS!$B$11,DATOS!$B$10-H30-(DATOS!$B$6-DATOS!$B$9*D30),DATOS!$B$12)</f>
        <v/>
      </c>
      <c r="J30" s="15" t="n">
        <v>259.548</v>
      </c>
      <c r="K30" s="19">
        <f>DATOS!$B$5+2*F30</f>
        <v/>
      </c>
      <c r="L30" s="20">
        <f>K30*G30*C30</f>
        <v/>
      </c>
      <c r="M30" s="20">
        <f>2*F30*I30*C30</f>
        <v/>
      </c>
      <c r="N30" s="20">
        <f>K30*H30*C30</f>
        <v/>
      </c>
      <c r="O30" s="20">
        <f>(K30+0.10)*(IF(D30&lt;=DATOS!$B$11,DATOS!$B$10,J30)-((DATOS!$B$6-DATOS!$B$9*D30)-G30-0.05))*C30</f>
        <v/>
      </c>
      <c r="P30" s="20">
        <f>(0.10*(IF(D30&lt;=DATOS!$B$11,DATOS!$B$10,J30)-((DATOS!$B$6-DATOS!$B$9*D30)-G30-0.05))+IF(D30&gt;9999,MAX(0,((DATOS!$B$6-DATOS!$B$9*D30)+I30+H30)-J30)*(0.20+0.75*MAX(0,((DATOS!$B$6-DATOS!$B$9*D30)+I30+H30)-J30)),0))*C30</f>
        <v/>
      </c>
      <c r="Q30" s="20">
        <f>K30*C30</f>
        <v/>
      </c>
      <c r="R30" s="20">
        <f>(2*I30+IF(D30&gt;9999,0,DATOS!$B$5)+(I30+G30+H30)+IF(D30&gt;9999,MAX(0,((DATOS!$B$6-DATOS!$B$9*D30)+I30+H30)-J30),0))*C30</f>
        <v/>
      </c>
      <c r="S30" s="19">
        <f>IF(E30="CAMION",C30/0.15*((2*(K30-0.09)+2*(I30+G30+H30-0.09)+0.5)+(2*(DATOS!$B$5+0.09)+2*(I30+0.09)+0.5))*DATOS!$B$23,C30/IF(E30="AUTOS",0.15,0.20)*IF(D30&gt;9999,(DATOS!$B$5+F30)+2*(I30+G30/2)+0.20,2*(DATOS!$B$5+F30)+2*(I30+(G30+H30)/2)+0.40)*DATOS!$B$22)</f>
        <v/>
      </c>
      <c r="T30" s="19">
        <f>IF(E30="CAMION",((ROUNDUP((K30-0.09)/0.2,0)+1)*2+2*MAX(ROUNDUP((I30+0.31)/0.2,0)-1,0)+(ROUNDUP((DATOS!$B$5+0.09)/0.2,0)+1)*2+2*MAX(ROUNDUP((I30+0.09)/0.2,0)-1,0)),IF(D30&gt;9999,8+2*MAX(ROUNDUP((I30+0.05)/0.25,0),1),16+2*MAX(ROUNDUP((I30+0.10)/0.25,0)-1,0)))*C30*(1+0.40/9)*DATOS!$B$22</f>
        <v/>
      </c>
      <c r="U30" s="20">
        <f>(K30+0.10)*C30</f>
        <v/>
      </c>
      <c r="V30" s="21">
        <f>IF(E30="CAMION",2*C30/0.15,C30/IF(E30="AUTOS",0.15,0.20))</f>
        <v/>
      </c>
      <c r="W30" s="19">
        <f>IF(E30="CAMION",((2*(K30-0.09)+2*(I30+G30+H30-0.09)+0.5)+(2*(DATOS!$B$5+0.09)+2*(I30+0.09)+0.5))/2,IF(D30&gt;9999,(DATOS!$B$5+F30)+2*(I30+G30/2)+0.20,2*(DATOS!$B$5+F30)+2*(I30+(G30+H30)/2)+0.40))</f>
        <v/>
      </c>
      <c r="X30" s="22">
        <f>IF(E30="CAMION",((ROUNDUP((K30-0.09)/0.2,0)+1)*2+2*MAX(ROUNDUP((I30+0.31)/0.2,0)-1,0)+(ROUNDUP((DATOS!$B$5+0.09)/0.2,0)+1)*2+2*MAX(ROUNDUP((I30+0.09)/0.2,0)-1,0)),IF(D30&gt;9999,8+2*MAX(ROUNDUP((I30+0.05)/0.25,0),1),16+2*MAX(ROUNDUP((I30+0.10)/0.25,0)-1,0)))</f>
        <v/>
      </c>
      <c r="Y30" s="7">
        <f>IF(E30="CAMION","1/2","3/8")</f>
        <v/>
      </c>
    </row>
    <row r="31">
      <c r="A31" s="18" t="n">
        <v>46</v>
      </c>
      <c r="B31" s="18" t="n">
        <v>48</v>
      </c>
      <c r="C31" s="19">
        <f>B31-A31</f>
        <v/>
      </c>
      <c r="D31" s="19">
        <f>(A31+B31)/2</f>
        <v/>
      </c>
      <c r="E31" s="7">
        <f>IF(AND(D31&gt;=DATOS!$B$13,D31&lt;DATOS!$B$14),"CAMION",IF(OR(AND(D31&gt;=DATOS!$B$15,D31&lt;=DATOS!$B$16),AND(D31&gt;=DATOS!$B$17,D31&lt;=DATOS!$B$18)),"AUTOS","NORMAL"))</f>
        <v/>
      </c>
      <c r="F31" s="19">
        <f>IF(E31="CAMION",0.15,0.10)</f>
        <v/>
      </c>
      <c r="G31" s="19">
        <f>IF(E31="CAMION",0.20,0.10)</f>
        <v/>
      </c>
      <c r="H31" s="19">
        <f>IF(D31&gt;9999,0,IF(E31="CAMION",0.20,0.10))</f>
        <v/>
      </c>
      <c r="I31" s="20">
        <f>IF(D31&lt;=DATOS!$B$11,DATOS!$B$10-H31-(DATOS!$B$6-DATOS!$B$9*D31),DATOS!$B$12)</f>
        <v/>
      </c>
      <c r="J31" s="15" t="n">
        <v>259.452</v>
      </c>
      <c r="K31" s="19">
        <f>DATOS!$B$5+2*F31</f>
        <v/>
      </c>
      <c r="L31" s="20">
        <f>K31*G31*C31</f>
        <v/>
      </c>
      <c r="M31" s="20">
        <f>2*F31*I31*C31</f>
        <v/>
      </c>
      <c r="N31" s="20">
        <f>K31*H31*C31</f>
        <v/>
      </c>
      <c r="O31" s="20">
        <f>(K31+0.10)*(IF(D31&lt;=DATOS!$B$11,DATOS!$B$10,J31)-((DATOS!$B$6-DATOS!$B$9*D31)-G31-0.05))*C31</f>
        <v/>
      </c>
      <c r="P31" s="20">
        <f>(0.10*(IF(D31&lt;=DATOS!$B$11,DATOS!$B$10,J31)-((DATOS!$B$6-DATOS!$B$9*D31)-G31-0.05))+IF(D31&gt;9999,MAX(0,((DATOS!$B$6-DATOS!$B$9*D31)+I31+H31)-J31)*(0.20+0.75*MAX(0,((DATOS!$B$6-DATOS!$B$9*D31)+I31+H31)-J31)),0))*C31</f>
        <v/>
      </c>
      <c r="Q31" s="20">
        <f>K31*C31</f>
        <v/>
      </c>
      <c r="R31" s="20">
        <f>(2*I31+IF(D31&gt;9999,0,DATOS!$B$5)+(I31+G31+H31)+IF(D31&gt;9999,MAX(0,((DATOS!$B$6-DATOS!$B$9*D31)+I31+H31)-J31),0))*C31</f>
        <v/>
      </c>
      <c r="S31" s="19">
        <f>IF(E31="CAMION",C31/0.15*((2*(K31-0.09)+2*(I31+G31+H31-0.09)+0.5)+(2*(DATOS!$B$5+0.09)+2*(I31+0.09)+0.5))*DATOS!$B$23,C31/IF(E31="AUTOS",0.15,0.20)*IF(D31&gt;9999,(DATOS!$B$5+F31)+2*(I31+G31/2)+0.20,2*(DATOS!$B$5+F31)+2*(I31+(G31+H31)/2)+0.40)*DATOS!$B$22)</f>
        <v/>
      </c>
      <c r="T31" s="19">
        <f>IF(E31="CAMION",((ROUNDUP((K31-0.09)/0.2,0)+1)*2+2*MAX(ROUNDUP((I31+0.31)/0.2,0)-1,0)+(ROUNDUP((DATOS!$B$5+0.09)/0.2,0)+1)*2+2*MAX(ROUNDUP((I31+0.09)/0.2,0)-1,0)),IF(D31&gt;9999,8+2*MAX(ROUNDUP((I31+0.05)/0.25,0),1),16+2*MAX(ROUNDUP((I31+0.10)/0.25,0)-1,0)))*C31*(1+0.40/9)*DATOS!$B$22</f>
        <v/>
      </c>
      <c r="U31" s="20">
        <f>(K31+0.10)*C31</f>
        <v/>
      </c>
      <c r="V31" s="21">
        <f>IF(E31="CAMION",2*C31/0.15,C31/IF(E31="AUTOS",0.15,0.20))</f>
        <v/>
      </c>
      <c r="W31" s="19">
        <f>IF(E31="CAMION",((2*(K31-0.09)+2*(I31+G31+H31-0.09)+0.5)+(2*(DATOS!$B$5+0.09)+2*(I31+0.09)+0.5))/2,IF(D31&gt;9999,(DATOS!$B$5+F31)+2*(I31+G31/2)+0.20,2*(DATOS!$B$5+F31)+2*(I31+(G31+H31)/2)+0.40))</f>
        <v/>
      </c>
      <c r="X31" s="22">
        <f>IF(E31="CAMION",((ROUNDUP((K31-0.09)/0.2,0)+1)*2+2*MAX(ROUNDUP((I31+0.31)/0.2,0)-1,0)+(ROUNDUP((DATOS!$B$5+0.09)/0.2,0)+1)*2+2*MAX(ROUNDUP((I31+0.09)/0.2,0)-1,0)),IF(D31&gt;9999,8+2*MAX(ROUNDUP((I31+0.05)/0.25,0),1),16+2*MAX(ROUNDUP((I31+0.10)/0.25,0)-1,0)))</f>
        <v/>
      </c>
      <c r="Y31" s="7">
        <f>IF(E31="CAMION","1/2","3/8")</f>
        <v/>
      </c>
    </row>
    <row r="32">
      <c r="A32" s="18" t="n">
        <v>48</v>
      </c>
      <c r="B32" s="18" t="n">
        <v>50</v>
      </c>
      <c r="C32" s="19">
        <f>B32-A32</f>
        <v/>
      </c>
      <c r="D32" s="19">
        <f>(A32+B32)/2</f>
        <v/>
      </c>
      <c r="E32" s="7">
        <f>IF(AND(D32&gt;=DATOS!$B$13,D32&lt;DATOS!$B$14),"CAMION",IF(OR(AND(D32&gt;=DATOS!$B$15,D32&lt;=DATOS!$B$16),AND(D32&gt;=DATOS!$B$17,D32&lt;=DATOS!$B$18)),"AUTOS","NORMAL"))</f>
        <v/>
      </c>
      <c r="F32" s="19">
        <f>IF(E32="CAMION",0.15,0.10)</f>
        <v/>
      </c>
      <c r="G32" s="19">
        <f>IF(E32="CAMION",0.20,0.10)</f>
        <v/>
      </c>
      <c r="H32" s="19">
        <f>IF(D32&gt;9999,0,IF(E32="CAMION",0.20,0.10))</f>
        <v/>
      </c>
      <c r="I32" s="20">
        <f>IF(D32&lt;=DATOS!$B$11,DATOS!$B$10-H32-(DATOS!$B$6-DATOS!$B$9*D32),DATOS!$B$12)</f>
        <v/>
      </c>
      <c r="J32" s="15" t="n">
        <v>259.37</v>
      </c>
      <c r="K32" s="19">
        <f>DATOS!$B$5+2*F32</f>
        <v/>
      </c>
      <c r="L32" s="20">
        <f>K32*G32*C32</f>
        <v/>
      </c>
      <c r="M32" s="20">
        <f>2*F32*I32*C32</f>
        <v/>
      </c>
      <c r="N32" s="20">
        <f>K32*H32*C32</f>
        <v/>
      </c>
      <c r="O32" s="20">
        <f>(K32+0.10)*(IF(D32&lt;=DATOS!$B$11,DATOS!$B$10,J32)-((DATOS!$B$6-DATOS!$B$9*D32)-G32-0.05))*C32</f>
        <v/>
      </c>
      <c r="P32" s="20">
        <f>(0.10*(IF(D32&lt;=DATOS!$B$11,DATOS!$B$10,J32)-((DATOS!$B$6-DATOS!$B$9*D32)-G32-0.05))+IF(D32&gt;9999,MAX(0,((DATOS!$B$6-DATOS!$B$9*D32)+I32+H32)-J32)*(0.20+0.75*MAX(0,((DATOS!$B$6-DATOS!$B$9*D32)+I32+H32)-J32)),0))*C32</f>
        <v/>
      </c>
      <c r="Q32" s="20">
        <f>K32*C32</f>
        <v/>
      </c>
      <c r="R32" s="20">
        <f>(2*I32+IF(D32&gt;9999,0,DATOS!$B$5)+(I32+G32+H32)+IF(D32&gt;9999,MAX(0,((DATOS!$B$6-DATOS!$B$9*D32)+I32+H32)-J32),0))*C32</f>
        <v/>
      </c>
      <c r="S32" s="19">
        <f>IF(E32="CAMION",C32/0.15*((2*(K32-0.09)+2*(I32+G32+H32-0.09)+0.5)+(2*(DATOS!$B$5+0.09)+2*(I32+0.09)+0.5))*DATOS!$B$23,C32/IF(E32="AUTOS",0.15,0.20)*IF(D32&gt;9999,(DATOS!$B$5+F32)+2*(I32+G32/2)+0.20,2*(DATOS!$B$5+F32)+2*(I32+(G32+H32)/2)+0.40)*DATOS!$B$22)</f>
        <v/>
      </c>
      <c r="T32" s="19">
        <f>IF(E32="CAMION",((ROUNDUP((K32-0.09)/0.2,0)+1)*2+2*MAX(ROUNDUP((I32+0.31)/0.2,0)-1,0)+(ROUNDUP((DATOS!$B$5+0.09)/0.2,0)+1)*2+2*MAX(ROUNDUP((I32+0.09)/0.2,0)-1,0)),IF(D32&gt;9999,8+2*MAX(ROUNDUP((I32+0.05)/0.25,0),1),16+2*MAX(ROUNDUP((I32+0.10)/0.25,0)-1,0)))*C32*(1+0.40/9)*DATOS!$B$22</f>
        <v/>
      </c>
      <c r="U32" s="20">
        <f>(K32+0.10)*C32</f>
        <v/>
      </c>
      <c r="V32" s="21">
        <f>IF(E32="CAMION",2*C32/0.15,C32/IF(E32="AUTOS",0.15,0.20))</f>
        <v/>
      </c>
      <c r="W32" s="19">
        <f>IF(E32="CAMION",((2*(K32-0.09)+2*(I32+G32+H32-0.09)+0.5)+(2*(DATOS!$B$5+0.09)+2*(I32+0.09)+0.5))/2,IF(D32&gt;9999,(DATOS!$B$5+F32)+2*(I32+G32/2)+0.20,2*(DATOS!$B$5+F32)+2*(I32+(G32+H32)/2)+0.40))</f>
        <v/>
      </c>
      <c r="X32" s="22">
        <f>IF(E32="CAMION",((ROUNDUP((K32-0.09)/0.2,0)+1)*2+2*MAX(ROUNDUP((I32+0.31)/0.2,0)-1,0)+(ROUNDUP((DATOS!$B$5+0.09)/0.2,0)+1)*2+2*MAX(ROUNDUP((I32+0.09)/0.2,0)-1,0)),IF(D32&gt;9999,8+2*MAX(ROUNDUP((I32+0.05)/0.25,0),1),16+2*MAX(ROUNDUP((I32+0.10)/0.25,0)-1,0)))</f>
        <v/>
      </c>
      <c r="Y32" s="7">
        <f>IF(E32="CAMION","1/2","3/8")</f>
        <v/>
      </c>
    </row>
    <row r="33">
      <c r="A33" s="18" t="n">
        <v>50</v>
      </c>
      <c r="B33" s="18" t="n">
        <v>51.86</v>
      </c>
      <c r="C33" s="19">
        <f>B33-A33</f>
        <v/>
      </c>
      <c r="D33" s="19">
        <f>(A33+B33)/2</f>
        <v/>
      </c>
      <c r="E33" s="7">
        <f>IF(AND(D33&gt;=DATOS!$B$13,D33&lt;DATOS!$B$14),"CAMION",IF(OR(AND(D33&gt;=DATOS!$B$15,D33&lt;=DATOS!$B$16),AND(D33&gt;=DATOS!$B$17,D33&lt;=DATOS!$B$18)),"AUTOS","NORMAL"))</f>
        <v/>
      </c>
      <c r="F33" s="19">
        <f>IF(E33="CAMION",0.15,0.10)</f>
        <v/>
      </c>
      <c r="G33" s="19">
        <f>IF(E33="CAMION",0.20,0.10)</f>
        <v/>
      </c>
      <c r="H33" s="19">
        <f>IF(D33&gt;9999,0,IF(E33="CAMION",0.20,0.10))</f>
        <v/>
      </c>
      <c r="I33" s="20">
        <f>IF(D33&lt;=DATOS!$B$11,DATOS!$B$10-H33-(DATOS!$B$6-DATOS!$B$9*D33),DATOS!$B$12)</f>
        <v/>
      </c>
      <c r="J33" s="15" t="n">
        <v>259.355</v>
      </c>
      <c r="K33" s="19">
        <f>DATOS!$B$5+2*F33</f>
        <v/>
      </c>
      <c r="L33" s="20">
        <f>K33*G33*C33</f>
        <v/>
      </c>
      <c r="M33" s="20">
        <f>2*F33*I33*C33</f>
        <v/>
      </c>
      <c r="N33" s="20">
        <f>K33*H33*C33</f>
        <v/>
      </c>
      <c r="O33" s="20">
        <f>(K33+0.10)*(IF(D33&lt;=DATOS!$B$11,DATOS!$B$10,J33)-((DATOS!$B$6-DATOS!$B$9*D33)-G33-0.05))*C33</f>
        <v/>
      </c>
      <c r="P33" s="20">
        <f>(0.10*(IF(D33&lt;=DATOS!$B$11,DATOS!$B$10,J33)-((DATOS!$B$6-DATOS!$B$9*D33)-G33-0.05))+IF(D33&gt;9999,MAX(0,((DATOS!$B$6-DATOS!$B$9*D33)+I33+H33)-J33)*(0.20+0.75*MAX(0,((DATOS!$B$6-DATOS!$B$9*D33)+I33+H33)-J33)),0))*C33</f>
        <v/>
      </c>
      <c r="Q33" s="20">
        <f>K33*C33</f>
        <v/>
      </c>
      <c r="R33" s="20">
        <f>(2*I33+IF(D33&gt;9999,0,DATOS!$B$5)+(I33+G33+H33)+IF(D33&gt;9999,MAX(0,((DATOS!$B$6-DATOS!$B$9*D33)+I33+H33)-J33),0))*C33</f>
        <v/>
      </c>
      <c r="S33" s="19">
        <f>IF(E33="CAMION",C33/0.15*((2*(K33-0.09)+2*(I33+G33+H33-0.09)+0.5)+(2*(DATOS!$B$5+0.09)+2*(I33+0.09)+0.5))*DATOS!$B$23,C33/IF(E33="AUTOS",0.15,0.20)*IF(D33&gt;9999,(DATOS!$B$5+F33)+2*(I33+G33/2)+0.20,2*(DATOS!$B$5+F33)+2*(I33+(G33+H33)/2)+0.40)*DATOS!$B$22)</f>
        <v/>
      </c>
      <c r="T33" s="19">
        <f>IF(E33="CAMION",((ROUNDUP((K33-0.09)/0.2,0)+1)*2+2*MAX(ROUNDUP((I33+0.31)/0.2,0)-1,0)+(ROUNDUP((DATOS!$B$5+0.09)/0.2,0)+1)*2+2*MAX(ROUNDUP((I33+0.09)/0.2,0)-1,0)),IF(D33&gt;9999,8+2*MAX(ROUNDUP((I33+0.05)/0.25,0),1),16+2*MAX(ROUNDUP((I33+0.10)/0.25,0)-1,0)))*C33*(1+0.40/9)*DATOS!$B$22</f>
        <v/>
      </c>
      <c r="U33" s="20">
        <f>(K33+0.10)*C33</f>
        <v/>
      </c>
      <c r="V33" s="21">
        <f>IF(E33="CAMION",2*C33/0.15,C33/IF(E33="AUTOS",0.15,0.20))</f>
        <v/>
      </c>
      <c r="W33" s="19">
        <f>IF(E33="CAMION",((2*(K33-0.09)+2*(I33+G33+H33-0.09)+0.5)+(2*(DATOS!$B$5+0.09)+2*(I33+0.09)+0.5))/2,IF(D33&gt;9999,(DATOS!$B$5+F33)+2*(I33+G33/2)+0.20,2*(DATOS!$B$5+F33)+2*(I33+(G33+H33)/2)+0.40))</f>
        <v/>
      </c>
      <c r="X33" s="22">
        <f>IF(E33="CAMION",((ROUNDUP((K33-0.09)/0.2,0)+1)*2+2*MAX(ROUNDUP((I33+0.31)/0.2,0)-1,0)+(ROUNDUP((DATOS!$B$5+0.09)/0.2,0)+1)*2+2*MAX(ROUNDUP((I33+0.09)/0.2,0)-1,0)),IF(D33&gt;9999,8+2*MAX(ROUNDUP((I33+0.05)/0.25,0),1),16+2*MAX(ROUNDUP((I33+0.10)/0.25,0)-1,0)))</f>
        <v/>
      </c>
      <c r="Y33" s="7">
        <f>IF(E33="CAMION","1/2","3/8")</f>
        <v/>
      </c>
    </row>
    <row r="34">
      <c r="A34" s="18" t="n">
        <v>51.86</v>
      </c>
      <c r="B34" s="18" t="n">
        <v>52</v>
      </c>
      <c r="C34" s="19">
        <f>B34-A34</f>
        <v/>
      </c>
      <c r="D34" s="19">
        <f>(A34+B34)/2</f>
        <v/>
      </c>
      <c r="E34" s="7">
        <f>IF(AND(D34&gt;=DATOS!$B$13,D34&lt;DATOS!$B$14),"CAMION",IF(OR(AND(D34&gt;=DATOS!$B$15,D34&lt;=DATOS!$B$16),AND(D34&gt;=DATOS!$B$17,D34&lt;=DATOS!$B$18)),"AUTOS","NORMAL"))</f>
        <v/>
      </c>
      <c r="F34" s="19">
        <f>IF(E34="CAMION",0.15,0.10)</f>
        <v/>
      </c>
      <c r="G34" s="19">
        <f>IF(E34="CAMION",0.20,0.10)</f>
        <v/>
      </c>
      <c r="H34" s="19">
        <f>IF(D34&gt;9999,0,IF(E34="CAMION",0.20,0.10))</f>
        <v/>
      </c>
      <c r="I34" s="20">
        <f>IF(D34&lt;=DATOS!$B$11,DATOS!$B$10-H34-(DATOS!$B$6-DATOS!$B$9*D34),DATOS!$B$12)</f>
        <v/>
      </c>
      <c r="J34" s="15" t="n">
        <v>259.345</v>
      </c>
      <c r="K34" s="19">
        <f>DATOS!$B$5+2*F34</f>
        <v/>
      </c>
      <c r="L34" s="20">
        <f>K34*G34*C34</f>
        <v/>
      </c>
      <c r="M34" s="20">
        <f>2*F34*I34*C34</f>
        <v/>
      </c>
      <c r="N34" s="20">
        <f>K34*H34*C34</f>
        <v/>
      </c>
      <c r="O34" s="20">
        <f>(K34+0.10)*(IF(D34&lt;=DATOS!$B$11,DATOS!$B$10,J34)-((DATOS!$B$6-DATOS!$B$9*D34)-G34-0.05))*C34</f>
        <v/>
      </c>
      <c r="P34" s="20">
        <f>(0.10*(IF(D34&lt;=DATOS!$B$11,DATOS!$B$10,J34)-((DATOS!$B$6-DATOS!$B$9*D34)-G34-0.05))+IF(D34&gt;9999,MAX(0,((DATOS!$B$6-DATOS!$B$9*D34)+I34+H34)-J34)*(0.20+0.75*MAX(0,((DATOS!$B$6-DATOS!$B$9*D34)+I34+H34)-J34)),0))*C34</f>
        <v/>
      </c>
      <c r="Q34" s="20">
        <f>K34*C34</f>
        <v/>
      </c>
      <c r="R34" s="20">
        <f>(2*I34+IF(D34&gt;9999,0,DATOS!$B$5)+(I34+G34+H34)+IF(D34&gt;9999,MAX(0,((DATOS!$B$6-DATOS!$B$9*D34)+I34+H34)-J34),0))*C34</f>
        <v/>
      </c>
      <c r="S34" s="19">
        <f>IF(E34="CAMION",C34/0.15*((2*(K34-0.09)+2*(I34+G34+H34-0.09)+0.5)+(2*(DATOS!$B$5+0.09)+2*(I34+0.09)+0.5))*DATOS!$B$23,C34/IF(E34="AUTOS",0.15,0.20)*IF(D34&gt;9999,(DATOS!$B$5+F34)+2*(I34+G34/2)+0.20,2*(DATOS!$B$5+F34)+2*(I34+(G34+H34)/2)+0.40)*DATOS!$B$22)</f>
        <v/>
      </c>
      <c r="T34" s="19">
        <f>IF(E34="CAMION",((ROUNDUP((K34-0.09)/0.2,0)+1)*2+2*MAX(ROUNDUP((I34+0.31)/0.2,0)-1,0)+(ROUNDUP((DATOS!$B$5+0.09)/0.2,0)+1)*2+2*MAX(ROUNDUP((I34+0.09)/0.2,0)-1,0)),IF(D34&gt;9999,8+2*MAX(ROUNDUP((I34+0.05)/0.25,0),1),16+2*MAX(ROUNDUP((I34+0.10)/0.25,0)-1,0)))*C34*(1+0.40/9)*DATOS!$B$22</f>
        <v/>
      </c>
      <c r="U34" s="20">
        <f>(K34+0.10)*C34</f>
        <v/>
      </c>
      <c r="V34" s="21">
        <f>IF(E34="CAMION",2*C34/0.15,C34/IF(E34="AUTOS",0.15,0.20))</f>
        <v/>
      </c>
      <c r="W34" s="19">
        <f>IF(E34="CAMION",((2*(K34-0.09)+2*(I34+G34+H34-0.09)+0.5)+(2*(DATOS!$B$5+0.09)+2*(I34+0.09)+0.5))/2,IF(D34&gt;9999,(DATOS!$B$5+F34)+2*(I34+G34/2)+0.20,2*(DATOS!$B$5+F34)+2*(I34+(G34+H34)/2)+0.40))</f>
        <v/>
      </c>
      <c r="X34" s="22">
        <f>IF(E34="CAMION",((ROUNDUP((K34-0.09)/0.2,0)+1)*2+2*MAX(ROUNDUP((I34+0.31)/0.2,0)-1,0)+(ROUNDUP((DATOS!$B$5+0.09)/0.2,0)+1)*2+2*MAX(ROUNDUP((I34+0.09)/0.2,0)-1,0)),IF(D34&gt;9999,8+2*MAX(ROUNDUP((I34+0.05)/0.25,0),1),16+2*MAX(ROUNDUP((I34+0.10)/0.25,0)-1,0)))</f>
        <v/>
      </c>
      <c r="Y34" s="7">
        <f>IF(E34="CAMION","1/2","3/8")</f>
        <v/>
      </c>
    </row>
    <row r="35">
      <c r="A35" s="18" t="n">
        <v>52</v>
      </c>
      <c r="B35" s="18" t="n">
        <v>54</v>
      </c>
      <c r="C35" s="19">
        <f>B35-A35</f>
        <v/>
      </c>
      <c r="D35" s="19">
        <f>(A35+B35)/2</f>
        <v/>
      </c>
      <c r="E35" s="7">
        <f>IF(AND(D35&gt;=DATOS!$B$13,D35&lt;DATOS!$B$14),"CAMION",IF(OR(AND(D35&gt;=DATOS!$B$15,D35&lt;=DATOS!$B$16),AND(D35&gt;=DATOS!$B$17,D35&lt;=DATOS!$B$18)),"AUTOS","NORMAL"))</f>
        <v/>
      </c>
      <c r="F35" s="19">
        <f>IF(E35="CAMION",0.15,0.10)</f>
        <v/>
      </c>
      <c r="G35" s="19">
        <f>IF(E35="CAMION",0.20,0.10)</f>
        <v/>
      </c>
      <c r="H35" s="19">
        <f>IF(D35&gt;9999,0,IF(E35="CAMION",0.20,0.10))</f>
        <v/>
      </c>
      <c r="I35" s="20">
        <f>IF(D35&lt;=DATOS!$B$11,DATOS!$B$10-H35-(DATOS!$B$6-DATOS!$B$9*D35),DATOS!$B$12)</f>
        <v/>
      </c>
      <c r="J35" s="15" t="n">
        <v>259.307</v>
      </c>
      <c r="K35" s="19">
        <f>DATOS!$B$5+2*F35</f>
        <v/>
      </c>
      <c r="L35" s="20">
        <f>K35*G35*C35</f>
        <v/>
      </c>
      <c r="M35" s="20">
        <f>2*F35*I35*C35</f>
        <v/>
      </c>
      <c r="N35" s="20">
        <f>K35*H35*C35</f>
        <v/>
      </c>
      <c r="O35" s="20">
        <f>(K35+0.10)*(IF(D35&lt;=DATOS!$B$11,DATOS!$B$10,J35)-((DATOS!$B$6-DATOS!$B$9*D35)-G35-0.05))*C35</f>
        <v/>
      </c>
      <c r="P35" s="20">
        <f>(0.10*(IF(D35&lt;=DATOS!$B$11,DATOS!$B$10,J35)-((DATOS!$B$6-DATOS!$B$9*D35)-G35-0.05))+IF(D35&gt;9999,MAX(0,((DATOS!$B$6-DATOS!$B$9*D35)+I35+H35)-J35)*(0.20+0.75*MAX(0,((DATOS!$B$6-DATOS!$B$9*D35)+I35+H35)-J35)),0))*C35</f>
        <v/>
      </c>
      <c r="Q35" s="20">
        <f>K35*C35</f>
        <v/>
      </c>
      <c r="R35" s="20">
        <f>(2*I35+IF(D35&gt;9999,0,DATOS!$B$5)+(I35+G35+H35)+IF(D35&gt;9999,MAX(0,((DATOS!$B$6-DATOS!$B$9*D35)+I35+H35)-J35),0))*C35</f>
        <v/>
      </c>
      <c r="S35" s="19">
        <f>IF(E35="CAMION",C35/0.15*((2*(K35-0.09)+2*(I35+G35+H35-0.09)+0.5)+(2*(DATOS!$B$5+0.09)+2*(I35+0.09)+0.5))*DATOS!$B$23,C35/IF(E35="AUTOS",0.15,0.20)*IF(D35&gt;9999,(DATOS!$B$5+F35)+2*(I35+G35/2)+0.20,2*(DATOS!$B$5+F35)+2*(I35+(G35+H35)/2)+0.40)*DATOS!$B$22)</f>
        <v/>
      </c>
      <c r="T35" s="19">
        <f>IF(E35="CAMION",((ROUNDUP((K35-0.09)/0.2,0)+1)*2+2*MAX(ROUNDUP((I35+0.31)/0.2,0)-1,0)+(ROUNDUP((DATOS!$B$5+0.09)/0.2,0)+1)*2+2*MAX(ROUNDUP((I35+0.09)/0.2,0)-1,0)),IF(D35&gt;9999,8+2*MAX(ROUNDUP((I35+0.05)/0.25,0),1),16+2*MAX(ROUNDUP((I35+0.10)/0.25,0)-1,0)))*C35*(1+0.40/9)*DATOS!$B$22</f>
        <v/>
      </c>
      <c r="U35" s="20">
        <f>(K35+0.10)*C35</f>
        <v/>
      </c>
      <c r="V35" s="21">
        <f>IF(E35="CAMION",2*C35/0.15,C35/IF(E35="AUTOS",0.15,0.20))</f>
        <v/>
      </c>
      <c r="W35" s="19">
        <f>IF(E35="CAMION",((2*(K35-0.09)+2*(I35+G35+H35-0.09)+0.5)+(2*(DATOS!$B$5+0.09)+2*(I35+0.09)+0.5))/2,IF(D35&gt;9999,(DATOS!$B$5+F35)+2*(I35+G35/2)+0.20,2*(DATOS!$B$5+F35)+2*(I35+(G35+H35)/2)+0.40))</f>
        <v/>
      </c>
      <c r="X35" s="22">
        <f>IF(E35="CAMION",((ROUNDUP((K35-0.09)/0.2,0)+1)*2+2*MAX(ROUNDUP((I35+0.31)/0.2,0)-1,0)+(ROUNDUP((DATOS!$B$5+0.09)/0.2,0)+1)*2+2*MAX(ROUNDUP((I35+0.09)/0.2,0)-1,0)),IF(D35&gt;9999,8+2*MAX(ROUNDUP((I35+0.05)/0.25,0),1),16+2*MAX(ROUNDUP((I35+0.10)/0.25,0)-1,0)))</f>
        <v/>
      </c>
      <c r="Y35" s="7">
        <f>IF(E35="CAMION","1/2","3/8")</f>
        <v/>
      </c>
    </row>
    <row r="36">
      <c r="A36" s="18" t="n">
        <v>54</v>
      </c>
      <c r="B36" s="18" t="n">
        <v>56</v>
      </c>
      <c r="C36" s="19">
        <f>B36-A36</f>
        <v/>
      </c>
      <c r="D36" s="19">
        <f>(A36+B36)/2</f>
        <v/>
      </c>
      <c r="E36" s="7">
        <f>IF(AND(D36&gt;=DATOS!$B$13,D36&lt;DATOS!$B$14),"CAMION",IF(OR(AND(D36&gt;=DATOS!$B$15,D36&lt;=DATOS!$B$16),AND(D36&gt;=DATOS!$B$17,D36&lt;=DATOS!$B$18)),"AUTOS","NORMAL"))</f>
        <v/>
      </c>
      <c r="F36" s="19">
        <f>IF(E36="CAMION",0.15,0.10)</f>
        <v/>
      </c>
      <c r="G36" s="19">
        <f>IF(E36="CAMION",0.20,0.10)</f>
        <v/>
      </c>
      <c r="H36" s="19">
        <f>IF(D36&gt;9999,0,IF(E36="CAMION",0.20,0.10))</f>
        <v/>
      </c>
      <c r="I36" s="20">
        <f>IF(D36&lt;=DATOS!$B$11,DATOS!$B$10-H36-(DATOS!$B$6-DATOS!$B$9*D36),DATOS!$B$12)</f>
        <v/>
      </c>
      <c r="J36" s="15" t="n">
        <v>259.26</v>
      </c>
      <c r="K36" s="19">
        <f>DATOS!$B$5+2*F36</f>
        <v/>
      </c>
      <c r="L36" s="20">
        <f>K36*G36*C36</f>
        <v/>
      </c>
      <c r="M36" s="20">
        <f>2*F36*I36*C36</f>
        <v/>
      </c>
      <c r="N36" s="20">
        <f>K36*H36*C36</f>
        <v/>
      </c>
      <c r="O36" s="20">
        <f>(K36+0.10)*(IF(D36&lt;=DATOS!$B$11,DATOS!$B$10,J36)-((DATOS!$B$6-DATOS!$B$9*D36)-G36-0.05))*C36</f>
        <v/>
      </c>
      <c r="P36" s="20">
        <f>(0.10*(IF(D36&lt;=DATOS!$B$11,DATOS!$B$10,J36)-((DATOS!$B$6-DATOS!$B$9*D36)-G36-0.05))+IF(D36&gt;9999,MAX(0,((DATOS!$B$6-DATOS!$B$9*D36)+I36+H36)-J36)*(0.20+0.75*MAX(0,((DATOS!$B$6-DATOS!$B$9*D36)+I36+H36)-J36)),0))*C36</f>
        <v/>
      </c>
      <c r="Q36" s="20">
        <f>K36*C36</f>
        <v/>
      </c>
      <c r="R36" s="20">
        <f>(2*I36+IF(D36&gt;9999,0,DATOS!$B$5)+(I36+G36+H36)+IF(D36&gt;9999,MAX(0,((DATOS!$B$6-DATOS!$B$9*D36)+I36+H36)-J36),0))*C36</f>
        <v/>
      </c>
      <c r="S36" s="19">
        <f>IF(E36="CAMION",C36/0.15*((2*(K36-0.09)+2*(I36+G36+H36-0.09)+0.5)+(2*(DATOS!$B$5+0.09)+2*(I36+0.09)+0.5))*DATOS!$B$23,C36/IF(E36="AUTOS",0.15,0.20)*IF(D36&gt;9999,(DATOS!$B$5+F36)+2*(I36+G36/2)+0.20,2*(DATOS!$B$5+F36)+2*(I36+(G36+H36)/2)+0.40)*DATOS!$B$22)</f>
        <v/>
      </c>
      <c r="T36" s="19">
        <f>IF(E36="CAMION",((ROUNDUP((K36-0.09)/0.2,0)+1)*2+2*MAX(ROUNDUP((I36+0.31)/0.2,0)-1,0)+(ROUNDUP((DATOS!$B$5+0.09)/0.2,0)+1)*2+2*MAX(ROUNDUP((I36+0.09)/0.2,0)-1,0)),IF(D36&gt;9999,8+2*MAX(ROUNDUP((I36+0.05)/0.25,0),1),16+2*MAX(ROUNDUP((I36+0.10)/0.25,0)-1,0)))*C36*(1+0.40/9)*DATOS!$B$22</f>
        <v/>
      </c>
      <c r="U36" s="20">
        <f>(K36+0.10)*C36</f>
        <v/>
      </c>
      <c r="V36" s="21">
        <f>IF(E36="CAMION",2*C36/0.15,C36/IF(E36="AUTOS",0.15,0.20))</f>
        <v/>
      </c>
      <c r="W36" s="19">
        <f>IF(E36="CAMION",((2*(K36-0.09)+2*(I36+G36+H36-0.09)+0.5)+(2*(DATOS!$B$5+0.09)+2*(I36+0.09)+0.5))/2,IF(D36&gt;9999,(DATOS!$B$5+F36)+2*(I36+G36/2)+0.20,2*(DATOS!$B$5+F36)+2*(I36+(G36+H36)/2)+0.40))</f>
        <v/>
      </c>
      <c r="X36" s="22">
        <f>IF(E36="CAMION",((ROUNDUP((K36-0.09)/0.2,0)+1)*2+2*MAX(ROUNDUP((I36+0.31)/0.2,0)-1,0)+(ROUNDUP((DATOS!$B$5+0.09)/0.2,0)+1)*2+2*MAX(ROUNDUP((I36+0.09)/0.2,0)-1,0)),IF(D36&gt;9999,8+2*MAX(ROUNDUP((I36+0.05)/0.25,0),1),16+2*MAX(ROUNDUP((I36+0.10)/0.25,0)-1,0)))</f>
        <v/>
      </c>
      <c r="Y36" s="7">
        <f>IF(E36="CAMION","1/2","3/8")</f>
        <v/>
      </c>
    </row>
    <row r="37">
      <c r="A37" s="18" t="n">
        <v>56</v>
      </c>
      <c r="B37" s="18" t="n">
        <v>58</v>
      </c>
      <c r="C37" s="19">
        <f>B37-A37</f>
        <v/>
      </c>
      <c r="D37" s="19">
        <f>(A37+B37)/2</f>
        <v/>
      </c>
      <c r="E37" s="7">
        <f>IF(AND(D37&gt;=DATOS!$B$13,D37&lt;DATOS!$B$14),"CAMION",IF(OR(AND(D37&gt;=DATOS!$B$15,D37&lt;=DATOS!$B$16),AND(D37&gt;=DATOS!$B$17,D37&lt;=DATOS!$B$18)),"AUTOS","NORMAL"))</f>
        <v/>
      </c>
      <c r="F37" s="19">
        <f>IF(E37="CAMION",0.15,0.10)</f>
        <v/>
      </c>
      <c r="G37" s="19">
        <f>IF(E37="CAMION",0.20,0.10)</f>
        <v/>
      </c>
      <c r="H37" s="19">
        <f>IF(D37&gt;9999,0,IF(E37="CAMION",0.20,0.10))</f>
        <v/>
      </c>
      <c r="I37" s="20">
        <f>IF(D37&lt;=DATOS!$B$11,DATOS!$B$10-H37-(DATOS!$B$6-DATOS!$B$9*D37),DATOS!$B$12)</f>
        <v/>
      </c>
      <c r="J37" s="15" t="n">
        <v>259.256</v>
      </c>
      <c r="K37" s="19">
        <f>DATOS!$B$5+2*F37</f>
        <v/>
      </c>
      <c r="L37" s="20">
        <f>K37*G37*C37</f>
        <v/>
      </c>
      <c r="M37" s="20">
        <f>2*F37*I37*C37</f>
        <v/>
      </c>
      <c r="N37" s="20">
        <f>K37*H37*C37</f>
        <v/>
      </c>
      <c r="O37" s="20">
        <f>(K37+0.10)*(IF(D37&lt;=DATOS!$B$11,DATOS!$B$10,J37)-((DATOS!$B$6-DATOS!$B$9*D37)-G37-0.05))*C37</f>
        <v/>
      </c>
      <c r="P37" s="20">
        <f>(0.10*(IF(D37&lt;=DATOS!$B$11,DATOS!$B$10,J37)-((DATOS!$B$6-DATOS!$B$9*D37)-G37-0.05))+IF(D37&gt;9999,MAX(0,((DATOS!$B$6-DATOS!$B$9*D37)+I37+H37)-J37)*(0.20+0.75*MAX(0,((DATOS!$B$6-DATOS!$B$9*D37)+I37+H37)-J37)),0))*C37</f>
        <v/>
      </c>
      <c r="Q37" s="20">
        <f>K37*C37</f>
        <v/>
      </c>
      <c r="R37" s="20">
        <f>(2*I37+IF(D37&gt;9999,0,DATOS!$B$5)+(I37+G37+H37)+IF(D37&gt;9999,MAX(0,((DATOS!$B$6-DATOS!$B$9*D37)+I37+H37)-J37),0))*C37</f>
        <v/>
      </c>
      <c r="S37" s="19">
        <f>IF(E37="CAMION",C37/0.15*((2*(K37-0.09)+2*(I37+G37+H37-0.09)+0.5)+(2*(DATOS!$B$5+0.09)+2*(I37+0.09)+0.5))*DATOS!$B$23,C37/IF(E37="AUTOS",0.15,0.20)*IF(D37&gt;9999,(DATOS!$B$5+F37)+2*(I37+G37/2)+0.20,2*(DATOS!$B$5+F37)+2*(I37+(G37+H37)/2)+0.40)*DATOS!$B$22)</f>
        <v/>
      </c>
      <c r="T37" s="19">
        <f>IF(E37="CAMION",((ROUNDUP((K37-0.09)/0.2,0)+1)*2+2*MAX(ROUNDUP((I37+0.31)/0.2,0)-1,0)+(ROUNDUP((DATOS!$B$5+0.09)/0.2,0)+1)*2+2*MAX(ROUNDUP((I37+0.09)/0.2,0)-1,0)),IF(D37&gt;9999,8+2*MAX(ROUNDUP((I37+0.05)/0.25,0),1),16+2*MAX(ROUNDUP((I37+0.10)/0.25,0)-1,0)))*C37*(1+0.40/9)*DATOS!$B$22</f>
        <v/>
      </c>
      <c r="U37" s="20">
        <f>(K37+0.10)*C37</f>
        <v/>
      </c>
      <c r="V37" s="21">
        <f>IF(E37="CAMION",2*C37/0.15,C37/IF(E37="AUTOS",0.15,0.20))</f>
        <v/>
      </c>
      <c r="W37" s="19">
        <f>IF(E37="CAMION",((2*(K37-0.09)+2*(I37+G37+H37-0.09)+0.5)+(2*(DATOS!$B$5+0.09)+2*(I37+0.09)+0.5))/2,IF(D37&gt;9999,(DATOS!$B$5+F37)+2*(I37+G37/2)+0.20,2*(DATOS!$B$5+F37)+2*(I37+(G37+H37)/2)+0.40))</f>
        <v/>
      </c>
      <c r="X37" s="22">
        <f>IF(E37="CAMION",((ROUNDUP((K37-0.09)/0.2,0)+1)*2+2*MAX(ROUNDUP((I37+0.31)/0.2,0)-1,0)+(ROUNDUP((DATOS!$B$5+0.09)/0.2,0)+1)*2+2*MAX(ROUNDUP((I37+0.09)/0.2,0)-1,0)),IF(D37&gt;9999,8+2*MAX(ROUNDUP((I37+0.05)/0.25,0),1),16+2*MAX(ROUNDUP((I37+0.10)/0.25,0)-1,0)))</f>
        <v/>
      </c>
      <c r="Y37" s="7">
        <f>IF(E37="CAMION","1/2","3/8")</f>
        <v/>
      </c>
    </row>
    <row r="38">
      <c r="A38" s="18" t="n">
        <v>58</v>
      </c>
      <c r="B38" s="18" t="n">
        <v>60</v>
      </c>
      <c r="C38" s="19">
        <f>B38-A38</f>
        <v/>
      </c>
      <c r="D38" s="19">
        <f>(A38+B38)/2</f>
        <v/>
      </c>
      <c r="E38" s="7">
        <f>IF(AND(D38&gt;=DATOS!$B$13,D38&lt;DATOS!$B$14),"CAMION",IF(OR(AND(D38&gt;=DATOS!$B$15,D38&lt;=DATOS!$B$16),AND(D38&gt;=DATOS!$B$17,D38&lt;=DATOS!$B$18)),"AUTOS","NORMAL"))</f>
        <v/>
      </c>
      <c r="F38" s="19">
        <f>IF(E38="CAMION",0.15,0.10)</f>
        <v/>
      </c>
      <c r="G38" s="19">
        <f>IF(E38="CAMION",0.20,0.10)</f>
        <v/>
      </c>
      <c r="H38" s="19">
        <f>IF(D38&gt;9999,0,IF(E38="CAMION",0.20,0.10))</f>
        <v/>
      </c>
      <c r="I38" s="20">
        <f>IF(D38&lt;=DATOS!$B$11,DATOS!$B$10-H38-(DATOS!$B$6-DATOS!$B$9*D38),DATOS!$B$12)</f>
        <v/>
      </c>
      <c r="J38" s="15" t="n">
        <v>259.251</v>
      </c>
      <c r="K38" s="19">
        <f>DATOS!$B$5+2*F38</f>
        <v/>
      </c>
      <c r="L38" s="20">
        <f>K38*G38*C38</f>
        <v/>
      </c>
      <c r="M38" s="20">
        <f>2*F38*I38*C38</f>
        <v/>
      </c>
      <c r="N38" s="20">
        <f>K38*H38*C38</f>
        <v/>
      </c>
      <c r="O38" s="20">
        <f>(K38+0.10)*(IF(D38&lt;=DATOS!$B$11,DATOS!$B$10,J38)-((DATOS!$B$6-DATOS!$B$9*D38)-G38-0.05))*C38</f>
        <v/>
      </c>
      <c r="P38" s="20">
        <f>(0.10*(IF(D38&lt;=DATOS!$B$11,DATOS!$B$10,J38)-((DATOS!$B$6-DATOS!$B$9*D38)-G38-0.05))+IF(D38&gt;9999,MAX(0,((DATOS!$B$6-DATOS!$B$9*D38)+I38+H38)-J38)*(0.20+0.75*MAX(0,((DATOS!$B$6-DATOS!$B$9*D38)+I38+H38)-J38)),0))*C38</f>
        <v/>
      </c>
      <c r="Q38" s="20">
        <f>K38*C38</f>
        <v/>
      </c>
      <c r="R38" s="20">
        <f>(2*I38+IF(D38&gt;9999,0,DATOS!$B$5)+(I38+G38+H38)+IF(D38&gt;9999,MAX(0,((DATOS!$B$6-DATOS!$B$9*D38)+I38+H38)-J38),0))*C38</f>
        <v/>
      </c>
      <c r="S38" s="19">
        <f>IF(E38="CAMION",C38/0.15*((2*(K38-0.09)+2*(I38+G38+H38-0.09)+0.5)+(2*(DATOS!$B$5+0.09)+2*(I38+0.09)+0.5))*DATOS!$B$23,C38/IF(E38="AUTOS",0.15,0.20)*IF(D38&gt;9999,(DATOS!$B$5+F38)+2*(I38+G38/2)+0.20,2*(DATOS!$B$5+F38)+2*(I38+(G38+H38)/2)+0.40)*DATOS!$B$22)</f>
        <v/>
      </c>
      <c r="T38" s="19">
        <f>IF(E38="CAMION",((ROUNDUP((K38-0.09)/0.2,0)+1)*2+2*MAX(ROUNDUP((I38+0.31)/0.2,0)-1,0)+(ROUNDUP((DATOS!$B$5+0.09)/0.2,0)+1)*2+2*MAX(ROUNDUP((I38+0.09)/0.2,0)-1,0)),IF(D38&gt;9999,8+2*MAX(ROUNDUP((I38+0.05)/0.25,0),1),16+2*MAX(ROUNDUP((I38+0.10)/0.25,0)-1,0)))*C38*(1+0.40/9)*DATOS!$B$22</f>
        <v/>
      </c>
      <c r="U38" s="20">
        <f>(K38+0.10)*C38</f>
        <v/>
      </c>
      <c r="V38" s="21">
        <f>IF(E38="CAMION",2*C38/0.15,C38/IF(E38="AUTOS",0.15,0.20))</f>
        <v/>
      </c>
      <c r="W38" s="19">
        <f>IF(E38="CAMION",((2*(K38-0.09)+2*(I38+G38+H38-0.09)+0.5)+(2*(DATOS!$B$5+0.09)+2*(I38+0.09)+0.5))/2,IF(D38&gt;9999,(DATOS!$B$5+F38)+2*(I38+G38/2)+0.20,2*(DATOS!$B$5+F38)+2*(I38+(G38+H38)/2)+0.40))</f>
        <v/>
      </c>
      <c r="X38" s="22">
        <f>IF(E38="CAMION",((ROUNDUP((K38-0.09)/0.2,0)+1)*2+2*MAX(ROUNDUP((I38+0.31)/0.2,0)-1,0)+(ROUNDUP((DATOS!$B$5+0.09)/0.2,0)+1)*2+2*MAX(ROUNDUP((I38+0.09)/0.2,0)-1,0)),IF(D38&gt;9999,8+2*MAX(ROUNDUP((I38+0.05)/0.25,0),1),16+2*MAX(ROUNDUP((I38+0.10)/0.25,0)-1,0)))</f>
        <v/>
      </c>
      <c r="Y38" s="7">
        <f>IF(E38="CAMION","1/2","3/8")</f>
        <v/>
      </c>
    </row>
    <row r="39">
      <c r="A39" s="18" t="n">
        <v>60</v>
      </c>
      <c r="B39" s="18" t="n">
        <v>62</v>
      </c>
      <c r="C39" s="19">
        <f>B39-A39</f>
        <v/>
      </c>
      <c r="D39" s="19">
        <f>(A39+B39)/2</f>
        <v/>
      </c>
      <c r="E39" s="7">
        <f>IF(AND(D39&gt;=DATOS!$B$13,D39&lt;DATOS!$B$14),"CAMION",IF(OR(AND(D39&gt;=DATOS!$B$15,D39&lt;=DATOS!$B$16),AND(D39&gt;=DATOS!$B$17,D39&lt;=DATOS!$B$18)),"AUTOS","NORMAL"))</f>
        <v/>
      </c>
      <c r="F39" s="19">
        <f>IF(E39="CAMION",0.15,0.10)</f>
        <v/>
      </c>
      <c r="G39" s="19">
        <f>IF(E39="CAMION",0.20,0.10)</f>
        <v/>
      </c>
      <c r="H39" s="19">
        <f>IF(D39&gt;9999,0,IF(E39="CAMION",0.20,0.10))</f>
        <v/>
      </c>
      <c r="I39" s="20">
        <f>IF(D39&lt;=DATOS!$B$11,DATOS!$B$10-H39-(DATOS!$B$6-DATOS!$B$9*D39),DATOS!$B$12)</f>
        <v/>
      </c>
      <c r="J39" s="15" t="n">
        <v>259.249</v>
      </c>
      <c r="K39" s="19">
        <f>DATOS!$B$5+2*F39</f>
        <v/>
      </c>
      <c r="L39" s="20">
        <f>K39*G39*C39</f>
        <v/>
      </c>
      <c r="M39" s="20">
        <f>2*F39*I39*C39</f>
        <v/>
      </c>
      <c r="N39" s="20">
        <f>K39*H39*C39</f>
        <v/>
      </c>
      <c r="O39" s="20">
        <f>(K39+0.10)*(IF(D39&lt;=DATOS!$B$11,DATOS!$B$10,J39)-((DATOS!$B$6-DATOS!$B$9*D39)-G39-0.05))*C39</f>
        <v/>
      </c>
      <c r="P39" s="20">
        <f>(0.10*(IF(D39&lt;=DATOS!$B$11,DATOS!$B$10,J39)-((DATOS!$B$6-DATOS!$B$9*D39)-G39-0.05))+IF(D39&gt;9999,MAX(0,((DATOS!$B$6-DATOS!$B$9*D39)+I39+H39)-J39)*(0.20+0.75*MAX(0,((DATOS!$B$6-DATOS!$B$9*D39)+I39+H39)-J39)),0))*C39</f>
        <v/>
      </c>
      <c r="Q39" s="20">
        <f>K39*C39</f>
        <v/>
      </c>
      <c r="R39" s="20">
        <f>(2*I39+IF(D39&gt;9999,0,DATOS!$B$5)+(I39+G39+H39)+IF(D39&gt;9999,MAX(0,((DATOS!$B$6-DATOS!$B$9*D39)+I39+H39)-J39),0))*C39</f>
        <v/>
      </c>
      <c r="S39" s="19">
        <f>IF(E39="CAMION",C39/0.15*((2*(K39-0.09)+2*(I39+G39+H39-0.09)+0.5)+(2*(DATOS!$B$5+0.09)+2*(I39+0.09)+0.5))*DATOS!$B$23,C39/IF(E39="AUTOS",0.15,0.20)*IF(D39&gt;9999,(DATOS!$B$5+F39)+2*(I39+G39/2)+0.20,2*(DATOS!$B$5+F39)+2*(I39+(G39+H39)/2)+0.40)*DATOS!$B$22)</f>
        <v/>
      </c>
      <c r="T39" s="19">
        <f>IF(E39="CAMION",((ROUNDUP((K39-0.09)/0.2,0)+1)*2+2*MAX(ROUNDUP((I39+0.31)/0.2,0)-1,0)+(ROUNDUP((DATOS!$B$5+0.09)/0.2,0)+1)*2+2*MAX(ROUNDUP((I39+0.09)/0.2,0)-1,0)),IF(D39&gt;9999,8+2*MAX(ROUNDUP((I39+0.05)/0.25,0),1),16+2*MAX(ROUNDUP((I39+0.10)/0.25,0)-1,0)))*C39*(1+0.40/9)*DATOS!$B$22</f>
        <v/>
      </c>
      <c r="U39" s="20">
        <f>(K39+0.10)*C39</f>
        <v/>
      </c>
      <c r="V39" s="21">
        <f>IF(E39="CAMION",2*C39/0.15,C39/IF(E39="AUTOS",0.15,0.20))</f>
        <v/>
      </c>
      <c r="W39" s="19">
        <f>IF(E39="CAMION",((2*(K39-0.09)+2*(I39+G39+H39-0.09)+0.5)+(2*(DATOS!$B$5+0.09)+2*(I39+0.09)+0.5))/2,IF(D39&gt;9999,(DATOS!$B$5+F39)+2*(I39+G39/2)+0.20,2*(DATOS!$B$5+F39)+2*(I39+(G39+H39)/2)+0.40))</f>
        <v/>
      </c>
      <c r="X39" s="22">
        <f>IF(E39="CAMION",((ROUNDUP((K39-0.09)/0.2,0)+1)*2+2*MAX(ROUNDUP((I39+0.31)/0.2,0)-1,0)+(ROUNDUP((DATOS!$B$5+0.09)/0.2,0)+1)*2+2*MAX(ROUNDUP((I39+0.09)/0.2,0)-1,0)),IF(D39&gt;9999,8+2*MAX(ROUNDUP((I39+0.05)/0.25,0),1),16+2*MAX(ROUNDUP((I39+0.10)/0.25,0)-1,0)))</f>
        <v/>
      </c>
      <c r="Y39" s="7">
        <f>IF(E39="CAMION","1/2","3/8")</f>
        <v/>
      </c>
    </row>
    <row r="40">
      <c r="A40" s="18" t="n">
        <v>62</v>
      </c>
      <c r="B40" s="18" t="n">
        <v>64</v>
      </c>
      <c r="C40" s="19">
        <f>B40-A40</f>
        <v/>
      </c>
      <c r="D40" s="19">
        <f>(A40+B40)/2</f>
        <v/>
      </c>
      <c r="E40" s="7">
        <f>IF(AND(D40&gt;=DATOS!$B$13,D40&lt;DATOS!$B$14),"CAMION",IF(OR(AND(D40&gt;=DATOS!$B$15,D40&lt;=DATOS!$B$16),AND(D40&gt;=DATOS!$B$17,D40&lt;=DATOS!$B$18)),"AUTOS","NORMAL"))</f>
        <v/>
      </c>
      <c r="F40" s="19">
        <f>IF(E40="CAMION",0.15,0.10)</f>
        <v/>
      </c>
      <c r="G40" s="19">
        <f>IF(E40="CAMION",0.20,0.10)</f>
        <v/>
      </c>
      <c r="H40" s="19">
        <f>IF(D40&gt;9999,0,IF(E40="CAMION",0.20,0.10))</f>
        <v/>
      </c>
      <c r="I40" s="20">
        <f>IF(D40&lt;=DATOS!$B$11,DATOS!$B$10-H40-(DATOS!$B$6-DATOS!$B$9*D40),DATOS!$B$12)</f>
        <v/>
      </c>
      <c r="J40" s="15" t="n">
        <v>259.237</v>
      </c>
      <c r="K40" s="19">
        <f>DATOS!$B$5+2*F40</f>
        <v/>
      </c>
      <c r="L40" s="20">
        <f>K40*G40*C40</f>
        <v/>
      </c>
      <c r="M40" s="20">
        <f>2*F40*I40*C40</f>
        <v/>
      </c>
      <c r="N40" s="20">
        <f>K40*H40*C40</f>
        <v/>
      </c>
      <c r="O40" s="20">
        <f>(K40+0.10)*(IF(D40&lt;=DATOS!$B$11,DATOS!$B$10,J40)-((DATOS!$B$6-DATOS!$B$9*D40)-G40-0.05))*C40</f>
        <v/>
      </c>
      <c r="P40" s="20">
        <f>(0.10*(IF(D40&lt;=DATOS!$B$11,DATOS!$B$10,J40)-((DATOS!$B$6-DATOS!$B$9*D40)-G40-0.05))+IF(D40&gt;9999,MAX(0,((DATOS!$B$6-DATOS!$B$9*D40)+I40+H40)-J40)*(0.20+0.75*MAX(0,((DATOS!$B$6-DATOS!$B$9*D40)+I40+H40)-J40)),0))*C40</f>
        <v/>
      </c>
      <c r="Q40" s="20">
        <f>K40*C40</f>
        <v/>
      </c>
      <c r="R40" s="20">
        <f>(2*I40+IF(D40&gt;9999,0,DATOS!$B$5)+(I40+G40+H40)+IF(D40&gt;9999,MAX(0,((DATOS!$B$6-DATOS!$B$9*D40)+I40+H40)-J40),0))*C40</f>
        <v/>
      </c>
      <c r="S40" s="19">
        <f>IF(E40="CAMION",C40/0.15*((2*(K40-0.09)+2*(I40+G40+H40-0.09)+0.5)+(2*(DATOS!$B$5+0.09)+2*(I40+0.09)+0.5))*DATOS!$B$23,C40/IF(E40="AUTOS",0.15,0.20)*IF(D40&gt;9999,(DATOS!$B$5+F40)+2*(I40+G40/2)+0.20,2*(DATOS!$B$5+F40)+2*(I40+(G40+H40)/2)+0.40)*DATOS!$B$22)</f>
        <v/>
      </c>
      <c r="T40" s="19">
        <f>IF(E40="CAMION",((ROUNDUP((K40-0.09)/0.2,0)+1)*2+2*MAX(ROUNDUP((I40+0.31)/0.2,0)-1,0)+(ROUNDUP((DATOS!$B$5+0.09)/0.2,0)+1)*2+2*MAX(ROUNDUP((I40+0.09)/0.2,0)-1,0)),IF(D40&gt;9999,8+2*MAX(ROUNDUP((I40+0.05)/0.25,0),1),16+2*MAX(ROUNDUP((I40+0.10)/0.25,0)-1,0)))*C40*(1+0.40/9)*DATOS!$B$22</f>
        <v/>
      </c>
      <c r="U40" s="20">
        <f>(K40+0.10)*C40</f>
        <v/>
      </c>
      <c r="V40" s="21">
        <f>IF(E40="CAMION",2*C40/0.15,C40/IF(E40="AUTOS",0.15,0.20))</f>
        <v/>
      </c>
      <c r="W40" s="19">
        <f>IF(E40="CAMION",((2*(K40-0.09)+2*(I40+G40+H40-0.09)+0.5)+(2*(DATOS!$B$5+0.09)+2*(I40+0.09)+0.5))/2,IF(D40&gt;9999,(DATOS!$B$5+F40)+2*(I40+G40/2)+0.20,2*(DATOS!$B$5+F40)+2*(I40+(G40+H40)/2)+0.40))</f>
        <v/>
      </c>
      <c r="X40" s="22">
        <f>IF(E40="CAMION",((ROUNDUP((K40-0.09)/0.2,0)+1)*2+2*MAX(ROUNDUP((I40+0.31)/0.2,0)-1,0)+(ROUNDUP((DATOS!$B$5+0.09)/0.2,0)+1)*2+2*MAX(ROUNDUP((I40+0.09)/0.2,0)-1,0)),IF(D40&gt;9999,8+2*MAX(ROUNDUP((I40+0.05)/0.25,0),1),16+2*MAX(ROUNDUP((I40+0.10)/0.25,0)-1,0)))</f>
        <v/>
      </c>
      <c r="Y40" s="7">
        <f>IF(E40="CAMION","1/2","3/8")</f>
        <v/>
      </c>
    </row>
    <row r="41">
      <c r="A41" s="18" t="n">
        <v>64</v>
      </c>
      <c r="B41" s="18" t="n">
        <v>66</v>
      </c>
      <c r="C41" s="19">
        <f>B41-A41</f>
        <v/>
      </c>
      <c r="D41" s="19">
        <f>(A41+B41)/2</f>
        <v/>
      </c>
      <c r="E41" s="7">
        <f>IF(AND(D41&gt;=DATOS!$B$13,D41&lt;DATOS!$B$14),"CAMION",IF(OR(AND(D41&gt;=DATOS!$B$15,D41&lt;=DATOS!$B$16),AND(D41&gt;=DATOS!$B$17,D41&lt;=DATOS!$B$18)),"AUTOS","NORMAL"))</f>
        <v/>
      </c>
      <c r="F41" s="19">
        <f>IF(E41="CAMION",0.15,0.10)</f>
        <v/>
      </c>
      <c r="G41" s="19">
        <f>IF(E41="CAMION",0.20,0.10)</f>
        <v/>
      </c>
      <c r="H41" s="19">
        <f>IF(D41&gt;9999,0,IF(E41="CAMION",0.20,0.10))</f>
        <v/>
      </c>
      <c r="I41" s="20">
        <f>IF(D41&lt;=DATOS!$B$11,DATOS!$B$10-H41-(DATOS!$B$6-DATOS!$B$9*D41),DATOS!$B$12)</f>
        <v/>
      </c>
      <c r="J41" s="15" t="n">
        <v>259.204</v>
      </c>
      <c r="K41" s="19">
        <f>DATOS!$B$5+2*F41</f>
        <v/>
      </c>
      <c r="L41" s="20">
        <f>K41*G41*C41</f>
        <v/>
      </c>
      <c r="M41" s="20">
        <f>2*F41*I41*C41</f>
        <v/>
      </c>
      <c r="N41" s="20">
        <f>K41*H41*C41</f>
        <v/>
      </c>
      <c r="O41" s="20">
        <f>(K41+0.10)*(IF(D41&lt;=DATOS!$B$11,DATOS!$B$10,J41)-((DATOS!$B$6-DATOS!$B$9*D41)-G41-0.05))*C41</f>
        <v/>
      </c>
      <c r="P41" s="20">
        <f>(0.10*(IF(D41&lt;=DATOS!$B$11,DATOS!$B$10,J41)-((DATOS!$B$6-DATOS!$B$9*D41)-G41-0.05))+IF(D41&gt;9999,MAX(0,((DATOS!$B$6-DATOS!$B$9*D41)+I41+H41)-J41)*(0.20+0.75*MAX(0,((DATOS!$B$6-DATOS!$B$9*D41)+I41+H41)-J41)),0))*C41</f>
        <v/>
      </c>
      <c r="Q41" s="20">
        <f>K41*C41</f>
        <v/>
      </c>
      <c r="R41" s="20">
        <f>(2*I41+IF(D41&gt;9999,0,DATOS!$B$5)+(I41+G41+H41)+IF(D41&gt;9999,MAX(0,((DATOS!$B$6-DATOS!$B$9*D41)+I41+H41)-J41),0))*C41</f>
        <v/>
      </c>
      <c r="S41" s="19">
        <f>IF(E41="CAMION",C41/0.15*((2*(K41-0.09)+2*(I41+G41+H41-0.09)+0.5)+(2*(DATOS!$B$5+0.09)+2*(I41+0.09)+0.5))*DATOS!$B$23,C41/IF(E41="AUTOS",0.15,0.20)*IF(D41&gt;9999,(DATOS!$B$5+F41)+2*(I41+G41/2)+0.20,2*(DATOS!$B$5+F41)+2*(I41+(G41+H41)/2)+0.40)*DATOS!$B$22)</f>
        <v/>
      </c>
      <c r="T41" s="19">
        <f>IF(E41="CAMION",((ROUNDUP((K41-0.09)/0.2,0)+1)*2+2*MAX(ROUNDUP((I41+0.31)/0.2,0)-1,0)+(ROUNDUP((DATOS!$B$5+0.09)/0.2,0)+1)*2+2*MAX(ROUNDUP((I41+0.09)/0.2,0)-1,0)),IF(D41&gt;9999,8+2*MAX(ROUNDUP((I41+0.05)/0.25,0),1),16+2*MAX(ROUNDUP((I41+0.10)/0.25,0)-1,0)))*C41*(1+0.40/9)*DATOS!$B$22</f>
        <v/>
      </c>
      <c r="U41" s="20">
        <f>(K41+0.10)*C41</f>
        <v/>
      </c>
      <c r="V41" s="21">
        <f>IF(E41="CAMION",2*C41/0.15,C41/IF(E41="AUTOS",0.15,0.20))</f>
        <v/>
      </c>
      <c r="W41" s="19">
        <f>IF(E41="CAMION",((2*(K41-0.09)+2*(I41+G41+H41-0.09)+0.5)+(2*(DATOS!$B$5+0.09)+2*(I41+0.09)+0.5))/2,IF(D41&gt;9999,(DATOS!$B$5+F41)+2*(I41+G41/2)+0.20,2*(DATOS!$B$5+F41)+2*(I41+(G41+H41)/2)+0.40))</f>
        <v/>
      </c>
      <c r="X41" s="22">
        <f>IF(E41="CAMION",((ROUNDUP((K41-0.09)/0.2,0)+1)*2+2*MAX(ROUNDUP((I41+0.31)/0.2,0)-1,0)+(ROUNDUP((DATOS!$B$5+0.09)/0.2,0)+1)*2+2*MAX(ROUNDUP((I41+0.09)/0.2,0)-1,0)),IF(D41&gt;9999,8+2*MAX(ROUNDUP((I41+0.05)/0.25,0),1),16+2*MAX(ROUNDUP((I41+0.10)/0.25,0)-1,0)))</f>
        <v/>
      </c>
      <c r="Y41" s="7">
        <f>IF(E41="CAMION","1/2","3/8")</f>
        <v/>
      </c>
    </row>
    <row r="42">
      <c r="A42" s="18" t="n">
        <v>66</v>
      </c>
      <c r="B42" s="18" t="n">
        <v>68</v>
      </c>
      <c r="C42" s="19">
        <f>B42-A42</f>
        <v/>
      </c>
      <c r="D42" s="19">
        <f>(A42+B42)/2</f>
        <v/>
      </c>
      <c r="E42" s="7">
        <f>IF(AND(D42&gt;=DATOS!$B$13,D42&lt;DATOS!$B$14),"CAMION",IF(OR(AND(D42&gt;=DATOS!$B$15,D42&lt;=DATOS!$B$16),AND(D42&gt;=DATOS!$B$17,D42&lt;=DATOS!$B$18)),"AUTOS","NORMAL"))</f>
        <v/>
      </c>
      <c r="F42" s="19">
        <f>IF(E42="CAMION",0.15,0.10)</f>
        <v/>
      </c>
      <c r="G42" s="19">
        <f>IF(E42="CAMION",0.20,0.10)</f>
        <v/>
      </c>
      <c r="H42" s="19">
        <f>IF(D42&gt;9999,0,IF(E42="CAMION",0.20,0.10))</f>
        <v/>
      </c>
      <c r="I42" s="20">
        <f>IF(D42&lt;=DATOS!$B$11,DATOS!$B$10-H42-(DATOS!$B$6-DATOS!$B$9*D42),DATOS!$B$12)</f>
        <v/>
      </c>
      <c r="J42" s="15" t="n">
        <v>259.157</v>
      </c>
      <c r="K42" s="19">
        <f>DATOS!$B$5+2*F42</f>
        <v/>
      </c>
      <c r="L42" s="20">
        <f>K42*G42*C42</f>
        <v/>
      </c>
      <c r="M42" s="20">
        <f>2*F42*I42*C42</f>
        <v/>
      </c>
      <c r="N42" s="20">
        <f>K42*H42*C42</f>
        <v/>
      </c>
      <c r="O42" s="20">
        <f>(K42+0.10)*(IF(D42&lt;=DATOS!$B$11,DATOS!$B$10,J42)-((DATOS!$B$6-DATOS!$B$9*D42)-G42-0.05))*C42</f>
        <v/>
      </c>
      <c r="P42" s="20">
        <f>(0.10*(IF(D42&lt;=DATOS!$B$11,DATOS!$B$10,J42)-((DATOS!$B$6-DATOS!$B$9*D42)-G42-0.05))+IF(D42&gt;9999,MAX(0,((DATOS!$B$6-DATOS!$B$9*D42)+I42+H42)-J42)*(0.20+0.75*MAX(0,((DATOS!$B$6-DATOS!$B$9*D42)+I42+H42)-J42)),0))*C42</f>
        <v/>
      </c>
      <c r="Q42" s="20">
        <f>K42*C42</f>
        <v/>
      </c>
      <c r="R42" s="20">
        <f>(2*I42+IF(D42&gt;9999,0,DATOS!$B$5)+(I42+G42+H42)+IF(D42&gt;9999,MAX(0,((DATOS!$B$6-DATOS!$B$9*D42)+I42+H42)-J42),0))*C42</f>
        <v/>
      </c>
      <c r="S42" s="19">
        <f>IF(E42="CAMION",C42/0.15*((2*(K42-0.09)+2*(I42+G42+H42-0.09)+0.5)+(2*(DATOS!$B$5+0.09)+2*(I42+0.09)+0.5))*DATOS!$B$23,C42/IF(E42="AUTOS",0.15,0.20)*IF(D42&gt;9999,(DATOS!$B$5+F42)+2*(I42+G42/2)+0.20,2*(DATOS!$B$5+F42)+2*(I42+(G42+H42)/2)+0.40)*DATOS!$B$22)</f>
        <v/>
      </c>
      <c r="T42" s="19">
        <f>IF(E42="CAMION",((ROUNDUP((K42-0.09)/0.2,0)+1)*2+2*MAX(ROUNDUP((I42+0.31)/0.2,0)-1,0)+(ROUNDUP((DATOS!$B$5+0.09)/0.2,0)+1)*2+2*MAX(ROUNDUP((I42+0.09)/0.2,0)-1,0)),IF(D42&gt;9999,8+2*MAX(ROUNDUP((I42+0.05)/0.25,0),1),16+2*MAX(ROUNDUP((I42+0.10)/0.25,0)-1,0)))*C42*(1+0.40/9)*DATOS!$B$22</f>
        <v/>
      </c>
      <c r="U42" s="20">
        <f>(K42+0.10)*C42</f>
        <v/>
      </c>
      <c r="V42" s="21">
        <f>IF(E42="CAMION",2*C42/0.15,C42/IF(E42="AUTOS",0.15,0.20))</f>
        <v/>
      </c>
      <c r="W42" s="19">
        <f>IF(E42="CAMION",((2*(K42-0.09)+2*(I42+G42+H42-0.09)+0.5)+(2*(DATOS!$B$5+0.09)+2*(I42+0.09)+0.5))/2,IF(D42&gt;9999,(DATOS!$B$5+F42)+2*(I42+G42/2)+0.20,2*(DATOS!$B$5+F42)+2*(I42+(G42+H42)/2)+0.40))</f>
        <v/>
      </c>
      <c r="X42" s="22">
        <f>IF(E42="CAMION",((ROUNDUP((K42-0.09)/0.2,0)+1)*2+2*MAX(ROUNDUP((I42+0.31)/0.2,0)-1,0)+(ROUNDUP((DATOS!$B$5+0.09)/0.2,0)+1)*2+2*MAX(ROUNDUP((I42+0.09)/0.2,0)-1,0)),IF(D42&gt;9999,8+2*MAX(ROUNDUP((I42+0.05)/0.25,0),1),16+2*MAX(ROUNDUP((I42+0.10)/0.25,0)-1,0)))</f>
        <v/>
      </c>
      <c r="Y42" s="7">
        <f>IF(E42="CAMION","1/2","3/8")</f>
        <v/>
      </c>
    </row>
    <row r="43">
      <c r="A43" s="18" t="n">
        <v>68</v>
      </c>
      <c r="B43" s="18" t="n">
        <v>70</v>
      </c>
      <c r="C43" s="19">
        <f>B43-A43</f>
        <v/>
      </c>
      <c r="D43" s="19">
        <f>(A43+B43)/2</f>
        <v/>
      </c>
      <c r="E43" s="7">
        <f>IF(AND(D43&gt;=DATOS!$B$13,D43&lt;DATOS!$B$14),"CAMION",IF(OR(AND(D43&gt;=DATOS!$B$15,D43&lt;=DATOS!$B$16),AND(D43&gt;=DATOS!$B$17,D43&lt;=DATOS!$B$18)),"AUTOS","NORMAL"))</f>
        <v/>
      </c>
      <c r="F43" s="19">
        <f>IF(E43="CAMION",0.15,0.10)</f>
        <v/>
      </c>
      <c r="G43" s="19">
        <f>IF(E43="CAMION",0.20,0.10)</f>
        <v/>
      </c>
      <c r="H43" s="19">
        <f>IF(D43&gt;9999,0,IF(E43="CAMION",0.20,0.10))</f>
        <v/>
      </c>
      <c r="I43" s="20">
        <f>IF(D43&lt;=DATOS!$B$11,DATOS!$B$10-H43-(DATOS!$B$6-DATOS!$B$9*D43),DATOS!$B$12)</f>
        <v/>
      </c>
      <c r="J43" s="15" t="n">
        <v>259.13</v>
      </c>
      <c r="K43" s="19">
        <f>DATOS!$B$5+2*F43</f>
        <v/>
      </c>
      <c r="L43" s="20">
        <f>K43*G43*C43</f>
        <v/>
      </c>
      <c r="M43" s="20">
        <f>2*F43*I43*C43</f>
        <v/>
      </c>
      <c r="N43" s="20">
        <f>K43*H43*C43</f>
        <v/>
      </c>
      <c r="O43" s="20">
        <f>(K43+0.10)*(IF(D43&lt;=DATOS!$B$11,DATOS!$B$10,J43)-((DATOS!$B$6-DATOS!$B$9*D43)-G43-0.05))*C43</f>
        <v/>
      </c>
      <c r="P43" s="20">
        <f>(0.10*(IF(D43&lt;=DATOS!$B$11,DATOS!$B$10,J43)-((DATOS!$B$6-DATOS!$B$9*D43)-G43-0.05))+IF(D43&gt;9999,MAX(0,((DATOS!$B$6-DATOS!$B$9*D43)+I43+H43)-J43)*(0.20+0.75*MAX(0,((DATOS!$B$6-DATOS!$B$9*D43)+I43+H43)-J43)),0))*C43</f>
        <v/>
      </c>
      <c r="Q43" s="20">
        <f>K43*C43</f>
        <v/>
      </c>
      <c r="R43" s="20">
        <f>(2*I43+IF(D43&gt;9999,0,DATOS!$B$5)+(I43+G43+H43)+IF(D43&gt;9999,MAX(0,((DATOS!$B$6-DATOS!$B$9*D43)+I43+H43)-J43),0))*C43</f>
        <v/>
      </c>
      <c r="S43" s="19">
        <f>IF(E43="CAMION",C43/0.15*((2*(K43-0.09)+2*(I43+G43+H43-0.09)+0.5)+(2*(DATOS!$B$5+0.09)+2*(I43+0.09)+0.5))*DATOS!$B$23,C43/IF(E43="AUTOS",0.15,0.20)*IF(D43&gt;9999,(DATOS!$B$5+F43)+2*(I43+G43/2)+0.20,2*(DATOS!$B$5+F43)+2*(I43+(G43+H43)/2)+0.40)*DATOS!$B$22)</f>
        <v/>
      </c>
      <c r="T43" s="19">
        <f>IF(E43="CAMION",((ROUNDUP((K43-0.09)/0.2,0)+1)*2+2*MAX(ROUNDUP((I43+0.31)/0.2,0)-1,0)+(ROUNDUP((DATOS!$B$5+0.09)/0.2,0)+1)*2+2*MAX(ROUNDUP((I43+0.09)/0.2,0)-1,0)),IF(D43&gt;9999,8+2*MAX(ROUNDUP((I43+0.05)/0.25,0),1),16+2*MAX(ROUNDUP((I43+0.10)/0.25,0)-1,0)))*C43*(1+0.40/9)*DATOS!$B$22</f>
        <v/>
      </c>
      <c r="U43" s="20">
        <f>(K43+0.10)*C43</f>
        <v/>
      </c>
      <c r="V43" s="21">
        <f>IF(E43="CAMION",2*C43/0.15,C43/IF(E43="AUTOS",0.15,0.20))</f>
        <v/>
      </c>
      <c r="W43" s="19">
        <f>IF(E43="CAMION",((2*(K43-0.09)+2*(I43+G43+H43-0.09)+0.5)+(2*(DATOS!$B$5+0.09)+2*(I43+0.09)+0.5))/2,IF(D43&gt;9999,(DATOS!$B$5+F43)+2*(I43+G43/2)+0.20,2*(DATOS!$B$5+F43)+2*(I43+(G43+H43)/2)+0.40))</f>
        <v/>
      </c>
      <c r="X43" s="22">
        <f>IF(E43="CAMION",((ROUNDUP((K43-0.09)/0.2,0)+1)*2+2*MAX(ROUNDUP((I43+0.31)/0.2,0)-1,0)+(ROUNDUP((DATOS!$B$5+0.09)/0.2,0)+1)*2+2*MAX(ROUNDUP((I43+0.09)/0.2,0)-1,0)),IF(D43&gt;9999,8+2*MAX(ROUNDUP((I43+0.05)/0.25,0),1),16+2*MAX(ROUNDUP((I43+0.10)/0.25,0)-1,0)))</f>
        <v/>
      </c>
      <c r="Y43" s="7">
        <f>IF(E43="CAMION","1/2","3/8")</f>
        <v/>
      </c>
    </row>
    <row r="44">
      <c r="A44" s="18" t="n">
        <v>70</v>
      </c>
      <c r="B44" s="18" t="n">
        <v>72</v>
      </c>
      <c r="C44" s="19">
        <f>B44-A44</f>
        <v/>
      </c>
      <c r="D44" s="19">
        <f>(A44+B44)/2</f>
        <v/>
      </c>
      <c r="E44" s="7">
        <f>IF(AND(D44&gt;=DATOS!$B$13,D44&lt;DATOS!$B$14),"CAMION",IF(OR(AND(D44&gt;=DATOS!$B$15,D44&lt;=DATOS!$B$16),AND(D44&gt;=DATOS!$B$17,D44&lt;=DATOS!$B$18)),"AUTOS","NORMAL"))</f>
        <v/>
      </c>
      <c r="F44" s="19">
        <f>IF(E44="CAMION",0.15,0.10)</f>
        <v/>
      </c>
      <c r="G44" s="19">
        <f>IF(E44="CAMION",0.20,0.10)</f>
        <v/>
      </c>
      <c r="H44" s="19">
        <f>IF(D44&gt;9999,0,IF(E44="CAMION",0.20,0.10))</f>
        <v/>
      </c>
      <c r="I44" s="20">
        <f>IF(D44&lt;=DATOS!$B$11,DATOS!$B$10-H44-(DATOS!$B$6-DATOS!$B$9*D44),DATOS!$B$12)</f>
        <v/>
      </c>
      <c r="J44" s="15" t="n">
        <v>259.115</v>
      </c>
      <c r="K44" s="19">
        <f>DATOS!$B$5+2*F44</f>
        <v/>
      </c>
      <c r="L44" s="20">
        <f>K44*G44*C44</f>
        <v/>
      </c>
      <c r="M44" s="20">
        <f>2*F44*I44*C44</f>
        <v/>
      </c>
      <c r="N44" s="20">
        <f>K44*H44*C44</f>
        <v/>
      </c>
      <c r="O44" s="20">
        <f>(K44+0.10)*(IF(D44&lt;=DATOS!$B$11,DATOS!$B$10,J44)-((DATOS!$B$6-DATOS!$B$9*D44)-G44-0.05))*C44</f>
        <v/>
      </c>
      <c r="P44" s="20">
        <f>(0.10*(IF(D44&lt;=DATOS!$B$11,DATOS!$B$10,J44)-((DATOS!$B$6-DATOS!$B$9*D44)-G44-0.05))+IF(D44&gt;9999,MAX(0,((DATOS!$B$6-DATOS!$B$9*D44)+I44+H44)-J44)*(0.20+0.75*MAX(0,((DATOS!$B$6-DATOS!$B$9*D44)+I44+H44)-J44)),0))*C44</f>
        <v/>
      </c>
      <c r="Q44" s="20">
        <f>K44*C44</f>
        <v/>
      </c>
      <c r="R44" s="20">
        <f>(2*I44+IF(D44&gt;9999,0,DATOS!$B$5)+(I44+G44+H44)+IF(D44&gt;9999,MAX(0,((DATOS!$B$6-DATOS!$B$9*D44)+I44+H44)-J44),0))*C44</f>
        <v/>
      </c>
      <c r="S44" s="19">
        <f>IF(E44="CAMION",C44/0.15*((2*(K44-0.09)+2*(I44+G44+H44-0.09)+0.5)+(2*(DATOS!$B$5+0.09)+2*(I44+0.09)+0.5))*DATOS!$B$23,C44/IF(E44="AUTOS",0.15,0.20)*IF(D44&gt;9999,(DATOS!$B$5+F44)+2*(I44+G44/2)+0.20,2*(DATOS!$B$5+F44)+2*(I44+(G44+H44)/2)+0.40)*DATOS!$B$22)</f>
        <v/>
      </c>
      <c r="T44" s="19">
        <f>IF(E44="CAMION",((ROUNDUP((K44-0.09)/0.2,0)+1)*2+2*MAX(ROUNDUP((I44+0.31)/0.2,0)-1,0)+(ROUNDUP((DATOS!$B$5+0.09)/0.2,0)+1)*2+2*MAX(ROUNDUP((I44+0.09)/0.2,0)-1,0)),IF(D44&gt;9999,8+2*MAX(ROUNDUP((I44+0.05)/0.25,0),1),16+2*MAX(ROUNDUP((I44+0.10)/0.25,0)-1,0)))*C44*(1+0.40/9)*DATOS!$B$22</f>
        <v/>
      </c>
      <c r="U44" s="20">
        <f>(K44+0.10)*C44</f>
        <v/>
      </c>
      <c r="V44" s="21">
        <f>IF(E44="CAMION",2*C44/0.15,C44/IF(E44="AUTOS",0.15,0.20))</f>
        <v/>
      </c>
      <c r="W44" s="19">
        <f>IF(E44="CAMION",((2*(K44-0.09)+2*(I44+G44+H44-0.09)+0.5)+(2*(DATOS!$B$5+0.09)+2*(I44+0.09)+0.5))/2,IF(D44&gt;9999,(DATOS!$B$5+F44)+2*(I44+G44/2)+0.20,2*(DATOS!$B$5+F44)+2*(I44+(G44+H44)/2)+0.40))</f>
        <v/>
      </c>
      <c r="X44" s="22">
        <f>IF(E44="CAMION",((ROUNDUP((K44-0.09)/0.2,0)+1)*2+2*MAX(ROUNDUP((I44+0.31)/0.2,0)-1,0)+(ROUNDUP((DATOS!$B$5+0.09)/0.2,0)+1)*2+2*MAX(ROUNDUP((I44+0.09)/0.2,0)-1,0)),IF(D44&gt;9999,8+2*MAX(ROUNDUP((I44+0.05)/0.25,0),1),16+2*MAX(ROUNDUP((I44+0.10)/0.25,0)-1,0)))</f>
        <v/>
      </c>
      <c r="Y44" s="7">
        <f>IF(E44="CAMION","1/2","3/8")</f>
        <v/>
      </c>
    </row>
    <row r="45">
      <c r="A45" s="18" t="n">
        <v>72</v>
      </c>
      <c r="B45" s="18" t="n">
        <v>74</v>
      </c>
      <c r="C45" s="19">
        <f>B45-A45</f>
        <v/>
      </c>
      <c r="D45" s="19">
        <f>(A45+B45)/2</f>
        <v/>
      </c>
      <c r="E45" s="7">
        <f>IF(AND(D45&gt;=DATOS!$B$13,D45&lt;DATOS!$B$14),"CAMION",IF(OR(AND(D45&gt;=DATOS!$B$15,D45&lt;=DATOS!$B$16),AND(D45&gt;=DATOS!$B$17,D45&lt;=DATOS!$B$18)),"AUTOS","NORMAL"))</f>
        <v/>
      </c>
      <c r="F45" s="19">
        <f>IF(E45="CAMION",0.15,0.10)</f>
        <v/>
      </c>
      <c r="G45" s="19">
        <f>IF(E45="CAMION",0.20,0.10)</f>
        <v/>
      </c>
      <c r="H45" s="19">
        <f>IF(D45&gt;9999,0,IF(E45="CAMION",0.20,0.10))</f>
        <v/>
      </c>
      <c r="I45" s="20">
        <f>IF(D45&lt;=DATOS!$B$11,DATOS!$B$10-H45-(DATOS!$B$6-DATOS!$B$9*D45),DATOS!$B$12)</f>
        <v/>
      </c>
      <c r="J45" s="15" t="n">
        <v>259.149</v>
      </c>
      <c r="K45" s="19">
        <f>DATOS!$B$5+2*F45</f>
        <v/>
      </c>
      <c r="L45" s="20">
        <f>K45*G45*C45</f>
        <v/>
      </c>
      <c r="M45" s="20">
        <f>2*F45*I45*C45</f>
        <v/>
      </c>
      <c r="N45" s="20">
        <f>K45*H45*C45</f>
        <v/>
      </c>
      <c r="O45" s="20">
        <f>(K45+0.10)*(IF(D45&lt;=DATOS!$B$11,DATOS!$B$10,J45)-((DATOS!$B$6-DATOS!$B$9*D45)-G45-0.05))*C45</f>
        <v/>
      </c>
      <c r="P45" s="20">
        <f>(0.10*(IF(D45&lt;=DATOS!$B$11,DATOS!$B$10,J45)-((DATOS!$B$6-DATOS!$B$9*D45)-G45-0.05))+IF(D45&gt;9999,MAX(0,((DATOS!$B$6-DATOS!$B$9*D45)+I45+H45)-J45)*(0.20+0.75*MAX(0,((DATOS!$B$6-DATOS!$B$9*D45)+I45+H45)-J45)),0))*C45</f>
        <v/>
      </c>
      <c r="Q45" s="20">
        <f>K45*C45</f>
        <v/>
      </c>
      <c r="R45" s="20">
        <f>(2*I45+IF(D45&gt;9999,0,DATOS!$B$5)+(I45+G45+H45)+IF(D45&gt;9999,MAX(0,((DATOS!$B$6-DATOS!$B$9*D45)+I45+H45)-J45),0))*C45</f>
        <v/>
      </c>
      <c r="S45" s="19">
        <f>IF(E45="CAMION",C45/0.15*((2*(K45-0.09)+2*(I45+G45+H45-0.09)+0.5)+(2*(DATOS!$B$5+0.09)+2*(I45+0.09)+0.5))*DATOS!$B$23,C45/IF(E45="AUTOS",0.15,0.20)*IF(D45&gt;9999,(DATOS!$B$5+F45)+2*(I45+G45/2)+0.20,2*(DATOS!$B$5+F45)+2*(I45+(G45+H45)/2)+0.40)*DATOS!$B$22)</f>
        <v/>
      </c>
      <c r="T45" s="19">
        <f>IF(E45="CAMION",((ROUNDUP((K45-0.09)/0.2,0)+1)*2+2*MAX(ROUNDUP((I45+0.31)/0.2,0)-1,0)+(ROUNDUP((DATOS!$B$5+0.09)/0.2,0)+1)*2+2*MAX(ROUNDUP((I45+0.09)/0.2,0)-1,0)),IF(D45&gt;9999,8+2*MAX(ROUNDUP((I45+0.05)/0.25,0),1),16+2*MAX(ROUNDUP((I45+0.10)/0.25,0)-1,0)))*C45*(1+0.40/9)*DATOS!$B$22</f>
        <v/>
      </c>
      <c r="U45" s="20">
        <f>(K45+0.10)*C45</f>
        <v/>
      </c>
      <c r="V45" s="21">
        <f>IF(E45="CAMION",2*C45/0.15,C45/IF(E45="AUTOS",0.15,0.20))</f>
        <v/>
      </c>
      <c r="W45" s="19">
        <f>IF(E45="CAMION",((2*(K45-0.09)+2*(I45+G45+H45-0.09)+0.5)+(2*(DATOS!$B$5+0.09)+2*(I45+0.09)+0.5))/2,IF(D45&gt;9999,(DATOS!$B$5+F45)+2*(I45+G45/2)+0.20,2*(DATOS!$B$5+F45)+2*(I45+(G45+H45)/2)+0.40))</f>
        <v/>
      </c>
      <c r="X45" s="22">
        <f>IF(E45="CAMION",((ROUNDUP((K45-0.09)/0.2,0)+1)*2+2*MAX(ROUNDUP((I45+0.31)/0.2,0)-1,0)+(ROUNDUP((DATOS!$B$5+0.09)/0.2,0)+1)*2+2*MAX(ROUNDUP((I45+0.09)/0.2,0)-1,0)),IF(D45&gt;9999,8+2*MAX(ROUNDUP((I45+0.05)/0.25,0),1),16+2*MAX(ROUNDUP((I45+0.10)/0.25,0)-1,0)))</f>
        <v/>
      </c>
      <c r="Y45" s="7">
        <f>IF(E45="CAMION","1/2","3/8")</f>
        <v/>
      </c>
    </row>
    <row r="46">
      <c r="A46" s="18" t="n">
        <v>74</v>
      </c>
      <c r="B46" s="18" t="n">
        <v>76</v>
      </c>
      <c r="C46" s="19">
        <f>B46-A46</f>
        <v/>
      </c>
      <c r="D46" s="19">
        <f>(A46+B46)/2</f>
        <v/>
      </c>
      <c r="E46" s="7">
        <f>IF(AND(D46&gt;=DATOS!$B$13,D46&lt;DATOS!$B$14),"CAMION",IF(OR(AND(D46&gt;=DATOS!$B$15,D46&lt;=DATOS!$B$16),AND(D46&gt;=DATOS!$B$17,D46&lt;=DATOS!$B$18)),"AUTOS","NORMAL"))</f>
        <v/>
      </c>
      <c r="F46" s="19">
        <f>IF(E46="CAMION",0.15,0.10)</f>
        <v/>
      </c>
      <c r="G46" s="19">
        <f>IF(E46="CAMION",0.20,0.10)</f>
        <v/>
      </c>
      <c r="H46" s="19">
        <f>IF(D46&gt;9999,0,IF(E46="CAMION",0.20,0.10))</f>
        <v/>
      </c>
      <c r="I46" s="20">
        <f>IF(D46&lt;=DATOS!$B$11,DATOS!$B$10-H46-(DATOS!$B$6-DATOS!$B$9*D46),DATOS!$B$12)</f>
        <v/>
      </c>
      <c r="J46" s="15" t="n">
        <v>259.169</v>
      </c>
      <c r="K46" s="19">
        <f>DATOS!$B$5+2*F46</f>
        <v/>
      </c>
      <c r="L46" s="20">
        <f>K46*G46*C46</f>
        <v/>
      </c>
      <c r="M46" s="20">
        <f>2*F46*I46*C46</f>
        <v/>
      </c>
      <c r="N46" s="20">
        <f>K46*H46*C46</f>
        <v/>
      </c>
      <c r="O46" s="20">
        <f>(K46+0.10)*(IF(D46&lt;=DATOS!$B$11,DATOS!$B$10,J46)-((DATOS!$B$6-DATOS!$B$9*D46)-G46-0.05))*C46</f>
        <v/>
      </c>
      <c r="P46" s="20">
        <f>(0.10*(IF(D46&lt;=DATOS!$B$11,DATOS!$B$10,J46)-((DATOS!$B$6-DATOS!$B$9*D46)-G46-0.05))+IF(D46&gt;9999,MAX(0,((DATOS!$B$6-DATOS!$B$9*D46)+I46+H46)-J46)*(0.20+0.75*MAX(0,((DATOS!$B$6-DATOS!$B$9*D46)+I46+H46)-J46)),0))*C46</f>
        <v/>
      </c>
      <c r="Q46" s="20">
        <f>K46*C46</f>
        <v/>
      </c>
      <c r="R46" s="20">
        <f>(2*I46+IF(D46&gt;9999,0,DATOS!$B$5)+(I46+G46+H46)+IF(D46&gt;9999,MAX(0,((DATOS!$B$6-DATOS!$B$9*D46)+I46+H46)-J46),0))*C46</f>
        <v/>
      </c>
      <c r="S46" s="19">
        <f>IF(E46="CAMION",C46/0.15*((2*(K46-0.09)+2*(I46+G46+H46-0.09)+0.5)+(2*(DATOS!$B$5+0.09)+2*(I46+0.09)+0.5))*DATOS!$B$23,C46/IF(E46="AUTOS",0.15,0.20)*IF(D46&gt;9999,(DATOS!$B$5+F46)+2*(I46+G46/2)+0.20,2*(DATOS!$B$5+F46)+2*(I46+(G46+H46)/2)+0.40)*DATOS!$B$22)</f>
        <v/>
      </c>
      <c r="T46" s="19">
        <f>IF(E46="CAMION",((ROUNDUP((K46-0.09)/0.2,0)+1)*2+2*MAX(ROUNDUP((I46+0.31)/0.2,0)-1,0)+(ROUNDUP((DATOS!$B$5+0.09)/0.2,0)+1)*2+2*MAX(ROUNDUP((I46+0.09)/0.2,0)-1,0)),IF(D46&gt;9999,8+2*MAX(ROUNDUP((I46+0.05)/0.25,0),1),16+2*MAX(ROUNDUP((I46+0.10)/0.25,0)-1,0)))*C46*(1+0.40/9)*DATOS!$B$22</f>
        <v/>
      </c>
      <c r="U46" s="20">
        <f>(K46+0.10)*C46</f>
        <v/>
      </c>
      <c r="V46" s="21">
        <f>IF(E46="CAMION",2*C46/0.15,C46/IF(E46="AUTOS",0.15,0.20))</f>
        <v/>
      </c>
      <c r="W46" s="19">
        <f>IF(E46="CAMION",((2*(K46-0.09)+2*(I46+G46+H46-0.09)+0.5)+(2*(DATOS!$B$5+0.09)+2*(I46+0.09)+0.5))/2,IF(D46&gt;9999,(DATOS!$B$5+F46)+2*(I46+G46/2)+0.20,2*(DATOS!$B$5+F46)+2*(I46+(G46+H46)/2)+0.40))</f>
        <v/>
      </c>
      <c r="X46" s="22">
        <f>IF(E46="CAMION",((ROUNDUP((K46-0.09)/0.2,0)+1)*2+2*MAX(ROUNDUP((I46+0.31)/0.2,0)-1,0)+(ROUNDUP((DATOS!$B$5+0.09)/0.2,0)+1)*2+2*MAX(ROUNDUP((I46+0.09)/0.2,0)-1,0)),IF(D46&gt;9999,8+2*MAX(ROUNDUP((I46+0.05)/0.25,0),1),16+2*MAX(ROUNDUP((I46+0.10)/0.25,0)-1,0)))</f>
        <v/>
      </c>
      <c r="Y46" s="7">
        <f>IF(E46="CAMION","1/2","3/8")</f>
        <v/>
      </c>
    </row>
    <row r="47">
      <c r="A47" s="18" t="n">
        <v>76</v>
      </c>
      <c r="B47" s="18" t="n">
        <v>78</v>
      </c>
      <c r="C47" s="19">
        <f>B47-A47</f>
        <v/>
      </c>
      <c r="D47" s="19">
        <f>(A47+B47)/2</f>
        <v/>
      </c>
      <c r="E47" s="7">
        <f>IF(AND(D47&gt;=DATOS!$B$13,D47&lt;DATOS!$B$14),"CAMION",IF(OR(AND(D47&gt;=DATOS!$B$15,D47&lt;=DATOS!$B$16),AND(D47&gt;=DATOS!$B$17,D47&lt;=DATOS!$B$18)),"AUTOS","NORMAL"))</f>
        <v/>
      </c>
      <c r="F47" s="19">
        <f>IF(E47="CAMION",0.15,0.10)</f>
        <v/>
      </c>
      <c r="G47" s="19">
        <f>IF(E47="CAMION",0.20,0.10)</f>
        <v/>
      </c>
      <c r="H47" s="19">
        <f>IF(D47&gt;9999,0,IF(E47="CAMION",0.20,0.10))</f>
        <v/>
      </c>
      <c r="I47" s="20">
        <f>IF(D47&lt;=DATOS!$B$11,DATOS!$B$10-H47-(DATOS!$B$6-DATOS!$B$9*D47),DATOS!$B$12)</f>
        <v/>
      </c>
      <c r="J47" s="15" t="n">
        <v>259.174</v>
      </c>
      <c r="K47" s="19">
        <f>DATOS!$B$5+2*F47</f>
        <v/>
      </c>
      <c r="L47" s="20">
        <f>K47*G47*C47</f>
        <v/>
      </c>
      <c r="M47" s="20">
        <f>2*F47*I47*C47</f>
        <v/>
      </c>
      <c r="N47" s="20">
        <f>K47*H47*C47</f>
        <v/>
      </c>
      <c r="O47" s="20">
        <f>(K47+0.10)*(IF(D47&lt;=DATOS!$B$11,DATOS!$B$10,J47)-((DATOS!$B$6-DATOS!$B$9*D47)-G47-0.05))*C47</f>
        <v/>
      </c>
      <c r="P47" s="20">
        <f>(0.10*(IF(D47&lt;=DATOS!$B$11,DATOS!$B$10,J47)-((DATOS!$B$6-DATOS!$B$9*D47)-G47-0.05))+IF(D47&gt;9999,MAX(0,((DATOS!$B$6-DATOS!$B$9*D47)+I47+H47)-J47)*(0.20+0.75*MAX(0,((DATOS!$B$6-DATOS!$B$9*D47)+I47+H47)-J47)),0))*C47</f>
        <v/>
      </c>
      <c r="Q47" s="20">
        <f>K47*C47</f>
        <v/>
      </c>
      <c r="R47" s="20">
        <f>(2*I47+IF(D47&gt;9999,0,DATOS!$B$5)+(I47+G47+H47)+IF(D47&gt;9999,MAX(0,((DATOS!$B$6-DATOS!$B$9*D47)+I47+H47)-J47),0))*C47</f>
        <v/>
      </c>
      <c r="S47" s="19">
        <f>IF(E47="CAMION",C47/0.15*((2*(K47-0.09)+2*(I47+G47+H47-0.09)+0.5)+(2*(DATOS!$B$5+0.09)+2*(I47+0.09)+0.5))*DATOS!$B$23,C47/IF(E47="AUTOS",0.15,0.20)*IF(D47&gt;9999,(DATOS!$B$5+F47)+2*(I47+G47/2)+0.20,2*(DATOS!$B$5+F47)+2*(I47+(G47+H47)/2)+0.40)*DATOS!$B$22)</f>
        <v/>
      </c>
      <c r="T47" s="19">
        <f>IF(E47="CAMION",((ROUNDUP((K47-0.09)/0.2,0)+1)*2+2*MAX(ROUNDUP((I47+0.31)/0.2,0)-1,0)+(ROUNDUP((DATOS!$B$5+0.09)/0.2,0)+1)*2+2*MAX(ROUNDUP((I47+0.09)/0.2,0)-1,0)),IF(D47&gt;9999,8+2*MAX(ROUNDUP((I47+0.05)/0.25,0),1),16+2*MAX(ROUNDUP((I47+0.10)/0.25,0)-1,0)))*C47*(1+0.40/9)*DATOS!$B$22</f>
        <v/>
      </c>
      <c r="U47" s="20">
        <f>(K47+0.10)*C47</f>
        <v/>
      </c>
      <c r="V47" s="21">
        <f>IF(E47="CAMION",2*C47/0.15,C47/IF(E47="AUTOS",0.15,0.20))</f>
        <v/>
      </c>
      <c r="W47" s="19">
        <f>IF(E47="CAMION",((2*(K47-0.09)+2*(I47+G47+H47-0.09)+0.5)+(2*(DATOS!$B$5+0.09)+2*(I47+0.09)+0.5))/2,IF(D47&gt;9999,(DATOS!$B$5+F47)+2*(I47+G47/2)+0.20,2*(DATOS!$B$5+F47)+2*(I47+(G47+H47)/2)+0.40))</f>
        <v/>
      </c>
      <c r="X47" s="22">
        <f>IF(E47="CAMION",((ROUNDUP((K47-0.09)/0.2,0)+1)*2+2*MAX(ROUNDUP((I47+0.31)/0.2,0)-1,0)+(ROUNDUP((DATOS!$B$5+0.09)/0.2,0)+1)*2+2*MAX(ROUNDUP((I47+0.09)/0.2,0)-1,0)),IF(D47&gt;9999,8+2*MAX(ROUNDUP((I47+0.05)/0.25,0),1),16+2*MAX(ROUNDUP((I47+0.10)/0.25,0)-1,0)))</f>
        <v/>
      </c>
      <c r="Y47" s="7">
        <f>IF(E47="CAMION","1/2","3/8")</f>
        <v/>
      </c>
    </row>
    <row r="48">
      <c r="A48" s="18" t="n">
        <v>78</v>
      </c>
      <c r="B48" s="18" t="n">
        <v>78.42</v>
      </c>
      <c r="C48" s="19">
        <f>B48-A48</f>
        <v/>
      </c>
      <c r="D48" s="19">
        <f>(A48+B48)/2</f>
        <v/>
      </c>
      <c r="E48" s="7">
        <f>IF(AND(D48&gt;=DATOS!$B$13,D48&lt;DATOS!$B$14),"CAMION",IF(OR(AND(D48&gt;=DATOS!$B$15,D48&lt;=DATOS!$B$16),AND(D48&gt;=DATOS!$B$17,D48&lt;=DATOS!$B$18)),"AUTOS","NORMAL"))</f>
        <v/>
      </c>
      <c r="F48" s="19">
        <f>IF(E48="CAMION",0.15,0.10)</f>
        <v/>
      </c>
      <c r="G48" s="19">
        <f>IF(E48="CAMION",0.20,0.10)</f>
        <v/>
      </c>
      <c r="H48" s="19">
        <f>IF(D48&gt;9999,0,IF(E48="CAMION",0.20,0.10))</f>
        <v/>
      </c>
      <c r="I48" s="20">
        <f>IF(D48&lt;=DATOS!$B$11,DATOS!$B$10-H48-(DATOS!$B$6-DATOS!$B$9*D48),DATOS!$B$12)</f>
        <v/>
      </c>
      <c r="J48" s="15" t="n">
        <v>259.164</v>
      </c>
      <c r="K48" s="19">
        <f>DATOS!$B$5+2*F48</f>
        <v/>
      </c>
      <c r="L48" s="20">
        <f>K48*G48*C48</f>
        <v/>
      </c>
      <c r="M48" s="20">
        <f>2*F48*I48*C48</f>
        <v/>
      </c>
      <c r="N48" s="20">
        <f>K48*H48*C48</f>
        <v/>
      </c>
      <c r="O48" s="20">
        <f>(K48+0.10)*(IF(D48&lt;=DATOS!$B$11,DATOS!$B$10,J48)-((DATOS!$B$6-DATOS!$B$9*D48)-G48-0.05))*C48</f>
        <v/>
      </c>
      <c r="P48" s="20">
        <f>(0.10*(IF(D48&lt;=DATOS!$B$11,DATOS!$B$10,J48)-((DATOS!$B$6-DATOS!$B$9*D48)-G48-0.05))+IF(D48&gt;9999,MAX(0,((DATOS!$B$6-DATOS!$B$9*D48)+I48+H48)-J48)*(0.20+0.75*MAX(0,((DATOS!$B$6-DATOS!$B$9*D48)+I48+H48)-J48)),0))*C48</f>
        <v/>
      </c>
      <c r="Q48" s="20">
        <f>K48*C48</f>
        <v/>
      </c>
      <c r="R48" s="20">
        <f>(2*I48+IF(D48&gt;9999,0,DATOS!$B$5)+(I48+G48+H48)+IF(D48&gt;9999,MAX(0,((DATOS!$B$6-DATOS!$B$9*D48)+I48+H48)-J48),0))*C48</f>
        <v/>
      </c>
      <c r="S48" s="19">
        <f>IF(E48="CAMION",C48/0.15*((2*(K48-0.09)+2*(I48+G48+H48-0.09)+0.5)+(2*(DATOS!$B$5+0.09)+2*(I48+0.09)+0.5))*DATOS!$B$23,C48/IF(E48="AUTOS",0.15,0.20)*IF(D48&gt;9999,(DATOS!$B$5+F48)+2*(I48+G48/2)+0.20,2*(DATOS!$B$5+F48)+2*(I48+(G48+H48)/2)+0.40)*DATOS!$B$22)</f>
        <v/>
      </c>
      <c r="T48" s="19">
        <f>IF(E48="CAMION",((ROUNDUP((K48-0.09)/0.2,0)+1)*2+2*MAX(ROUNDUP((I48+0.31)/0.2,0)-1,0)+(ROUNDUP((DATOS!$B$5+0.09)/0.2,0)+1)*2+2*MAX(ROUNDUP((I48+0.09)/0.2,0)-1,0)),IF(D48&gt;9999,8+2*MAX(ROUNDUP((I48+0.05)/0.25,0),1),16+2*MAX(ROUNDUP((I48+0.10)/0.25,0)-1,0)))*C48*(1+0.40/9)*DATOS!$B$22</f>
        <v/>
      </c>
      <c r="U48" s="20">
        <f>(K48+0.10)*C48</f>
        <v/>
      </c>
      <c r="V48" s="21">
        <f>IF(E48="CAMION",2*C48/0.15,C48/IF(E48="AUTOS",0.15,0.20))</f>
        <v/>
      </c>
      <c r="W48" s="19">
        <f>IF(E48="CAMION",((2*(K48-0.09)+2*(I48+G48+H48-0.09)+0.5)+(2*(DATOS!$B$5+0.09)+2*(I48+0.09)+0.5))/2,IF(D48&gt;9999,(DATOS!$B$5+F48)+2*(I48+G48/2)+0.20,2*(DATOS!$B$5+F48)+2*(I48+(G48+H48)/2)+0.40))</f>
        <v/>
      </c>
      <c r="X48" s="22">
        <f>IF(E48="CAMION",((ROUNDUP((K48-0.09)/0.2,0)+1)*2+2*MAX(ROUNDUP((I48+0.31)/0.2,0)-1,0)+(ROUNDUP((DATOS!$B$5+0.09)/0.2,0)+1)*2+2*MAX(ROUNDUP((I48+0.09)/0.2,0)-1,0)),IF(D48&gt;9999,8+2*MAX(ROUNDUP((I48+0.05)/0.25,0),1),16+2*MAX(ROUNDUP((I48+0.10)/0.25,0)-1,0)))</f>
        <v/>
      </c>
      <c r="Y48" s="7">
        <f>IF(E48="CAMION","1/2","3/8")</f>
        <v/>
      </c>
    </row>
    <row r="49">
      <c r="A49" s="18" t="n">
        <v>78.42</v>
      </c>
      <c r="B49" s="18" t="n">
        <v>80</v>
      </c>
      <c r="C49" s="19">
        <f>B49-A49</f>
        <v/>
      </c>
      <c r="D49" s="19">
        <f>(A49+B49)/2</f>
        <v/>
      </c>
      <c r="E49" s="7">
        <f>IF(AND(D49&gt;=DATOS!$B$13,D49&lt;DATOS!$B$14),"CAMION",IF(OR(AND(D49&gt;=DATOS!$B$15,D49&lt;=DATOS!$B$16),AND(D49&gt;=DATOS!$B$17,D49&lt;=DATOS!$B$18)),"AUTOS","NORMAL"))</f>
        <v/>
      </c>
      <c r="F49" s="19">
        <f>IF(E49="CAMION",0.15,0.10)</f>
        <v/>
      </c>
      <c r="G49" s="19">
        <f>IF(E49="CAMION",0.20,0.10)</f>
        <v/>
      </c>
      <c r="H49" s="19">
        <f>IF(D49&gt;9999,0,IF(E49="CAMION",0.20,0.10))</f>
        <v/>
      </c>
      <c r="I49" s="20">
        <f>IF(D49&lt;=DATOS!$B$11,DATOS!$B$10-H49-(DATOS!$B$6-DATOS!$B$9*D49),DATOS!$B$12)</f>
        <v/>
      </c>
      <c r="J49" s="15" t="n">
        <v>259.136</v>
      </c>
      <c r="K49" s="19">
        <f>DATOS!$B$5+2*F49</f>
        <v/>
      </c>
      <c r="L49" s="20">
        <f>K49*G49*C49</f>
        <v/>
      </c>
      <c r="M49" s="20">
        <f>2*F49*I49*C49</f>
        <v/>
      </c>
      <c r="N49" s="20">
        <f>K49*H49*C49</f>
        <v/>
      </c>
      <c r="O49" s="20">
        <f>(K49+0.10)*(IF(D49&lt;=DATOS!$B$11,DATOS!$B$10,J49)-((DATOS!$B$6-DATOS!$B$9*D49)-G49-0.05))*C49</f>
        <v/>
      </c>
      <c r="P49" s="20">
        <f>(0.10*(IF(D49&lt;=DATOS!$B$11,DATOS!$B$10,J49)-((DATOS!$B$6-DATOS!$B$9*D49)-G49-0.05))+IF(D49&gt;9999,MAX(0,((DATOS!$B$6-DATOS!$B$9*D49)+I49+H49)-J49)*(0.20+0.75*MAX(0,((DATOS!$B$6-DATOS!$B$9*D49)+I49+H49)-J49)),0))*C49</f>
        <v/>
      </c>
      <c r="Q49" s="20">
        <f>K49*C49</f>
        <v/>
      </c>
      <c r="R49" s="20">
        <f>(2*I49+IF(D49&gt;9999,0,DATOS!$B$5)+(I49+G49+H49)+IF(D49&gt;9999,MAX(0,((DATOS!$B$6-DATOS!$B$9*D49)+I49+H49)-J49),0))*C49</f>
        <v/>
      </c>
      <c r="S49" s="19">
        <f>IF(E49="CAMION",C49/0.15*((2*(K49-0.09)+2*(I49+G49+H49-0.09)+0.5)+(2*(DATOS!$B$5+0.09)+2*(I49+0.09)+0.5))*DATOS!$B$23,C49/IF(E49="AUTOS",0.15,0.20)*IF(D49&gt;9999,(DATOS!$B$5+F49)+2*(I49+G49/2)+0.20,2*(DATOS!$B$5+F49)+2*(I49+(G49+H49)/2)+0.40)*DATOS!$B$22)</f>
        <v/>
      </c>
      <c r="T49" s="19">
        <f>IF(E49="CAMION",((ROUNDUP((K49-0.09)/0.2,0)+1)*2+2*MAX(ROUNDUP((I49+0.31)/0.2,0)-1,0)+(ROUNDUP((DATOS!$B$5+0.09)/0.2,0)+1)*2+2*MAX(ROUNDUP((I49+0.09)/0.2,0)-1,0)),IF(D49&gt;9999,8+2*MAX(ROUNDUP((I49+0.05)/0.25,0),1),16+2*MAX(ROUNDUP((I49+0.10)/0.25,0)-1,0)))*C49*(1+0.40/9)*DATOS!$B$22</f>
        <v/>
      </c>
      <c r="U49" s="20">
        <f>(K49+0.10)*C49</f>
        <v/>
      </c>
      <c r="V49" s="21">
        <f>IF(E49="CAMION",2*C49/0.15,C49/IF(E49="AUTOS",0.15,0.20))</f>
        <v/>
      </c>
      <c r="W49" s="19">
        <f>IF(E49="CAMION",((2*(K49-0.09)+2*(I49+G49+H49-0.09)+0.5)+(2*(DATOS!$B$5+0.09)+2*(I49+0.09)+0.5))/2,IF(D49&gt;9999,(DATOS!$B$5+F49)+2*(I49+G49/2)+0.20,2*(DATOS!$B$5+F49)+2*(I49+(G49+H49)/2)+0.40))</f>
        <v/>
      </c>
      <c r="X49" s="22">
        <f>IF(E49="CAMION",((ROUNDUP((K49-0.09)/0.2,0)+1)*2+2*MAX(ROUNDUP((I49+0.31)/0.2,0)-1,0)+(ROUNDUP((DATOS!$B$5+0.09)/0.2,0)+1)*2+2*MAX(ROUNDUP((I49+0.09)/0.2,0)-1,0)),IF(D49&gt;9999,8+2*MAX(ROUNDUP((I49+0.05)/0.25,0),1),16+2*MAX(ROUNDUP((I49+0.10)/0.25,0)-1,0)))</f>
        <v/>
      </c>
      <c r="Y49" s="7">
        <f>IF(E49="CAMION","1/2","3/8")</f>
        <v/>
      </c>
    </row>
    <row r="50">
      <c r="A50" s="18" t="n">
        <v>80</v>
      </c>
      <c r="B50" s="18" t="n">
        <v>82</v>
      </c>
      <c r="C50" s="19">
        <f>B50-A50</f>
        <v/>
      </c>
      <c r="D50" s="19">
        <f>(A50+B50)/2</f>
        <v/>
      </c>
      <c r="E50" s="7">
        <f>IF(AND(D50&gt;=DATOS!$B$13,D50&lt;DATOS!$B$14),"CAMION",IF(OR(AND(D50&gt;=DATOS!$B$15,D50&lt;=DATOS!$B$16),AND(D50&gt;=DATOS!$B$17,D50&lt;=DATOS!$B$18)),"AUTOS","NORMAL"))</f>
        <v/>
      </c>
      <c r="F50" s="19">
        <f>IF(E50="CAMION",0.15,0.10)</f>
        <v/>
      </c>
      <c r="G50" s="19">
        <f>IF(E50="CAMION",0.20,0.10)</f>
        <v/>
      </c>
      <c r="H50" s="19">
        <f>IF(D50&gt;9999,0,IF(E50="CAMION",0.20,0.10))</f>
        <v/>
      </c>
      <c r="I50" s="20">
        <f>IF(D50&lt;=DATOS!$B$11,DATOS!$B$10-H50-(DATOS!$B$6-DATOS!$B$9*D50),DATOS!$B$12)</f>
        <v/>
      </c>
      <c r="J50" s="15" t="n">
        <v>259.067</v>
      </c>
      <c r="K50" s="19">
        <f>DATOS!$B$5+2*F50</f>
        <v/>
      </c>
      <c r="L50" s="20">
        <f>K50*G50*C50</f>
        <v/>
      </c>
      <c r="M50" s="20">
        <f>2*F50*I50*C50</f>
        <v/>
      </c>
      <c r="N50" s="20">
        <f>K50*H50*C50</f>
        <v/>
      </c>
      <c r="O50" s="20">
        <f>(K50+0.10)*(IF(D50&lt;=DATOS!$B$11,DATOS!$B$10,J50)-((DATOS!$B$6-DATOS!$B$9*D50)-G50-0.05))*C50</f>
        <v/>
      </c>
      <c r="P50" s="20">
        <f>(0.10*(IF(D50&lt;=DATOS!$B$11,DATOS!$B$10,J50)-((DATOS!$B$6-DATOS!$B$9*D50)-G50-0.05))+IF(D50&gt;9999,MAX(0,((DATOS!$B$6-DATOS!$B$9*D50)+I50+H50)-J50)*(0.20+0.75*MAX(0,((DATOS!$B$6-DATOS!$B$9*D50)+I50+H50)-J50)),0))*C50</f>
        <v/>
      </c>
      <c r="Q50" s="20">
        <f>K50*C50</f>
        <v/>
      </c>
      <c r="R50" s="20">
        <f>(2*I50+IF(D50&gt;9999,0,DATOS!$B$5)+(I50+G50+H50)+IF(D50&gt;9999,MAX(0,((DATOS!$B$6-DATOS!$B$9*D50)+I50+H50)-J50),0))*C50</f>
        <v/>
      </c>
      <c r="S50" s="19">
        <f>IF(E50="CAMION",C50/0.15*((2*(K50-0.09)+2*(I50+G50+H50-0.09)+0.5)+(2*(DATOS!$B$5+0.09)+2*(I50+0.09)+0.5))*DATOS!$B$23,C50/IF(E50="AUTOS",0.15,0.20)*IF(D50&gt;9999,(DATOS!$B$5+F50)+2*(I50+G50/2)+0.20,2*(DATOS!$B$5+F50)+2*(I50+(G50+H50)/2)+0.40)*DATOS!$B$22)</f>
        <v/>
      </c>
      <c r="T50" s="19">
        <f>IF(E50="CAMION",((ROUNDUP((K50-0.09)/0.2,0)+1)*2+2*MAX(ROUNDUP((I50+0.31)/0.2,0)-1,0)+(ROUNDUP((DATOS!$B$5+0.09)/0.2,0)+1)*2+2*MAX(ROUNDUP((I50+0.09)/0.2,0)-1,0)),IF(D50&gt;9999,8+2*MAX(ROUNDUP((I50+0.05)/0.25,0),1),16+2*MAX(ROUNDUP((I50+0.10)/0.25,0)-1,0)))*C50*(1+0.40/9)*DATOS!$B$22</f>
        <v/>
      </c>
      <c r="U50" s="20">
        <f>(K50+0.10)*C50</f>
        <v/>
      </c>
      <c r="V50" s="21">
        <f>IF(E50="CAMION",2*C50/0.15,C50/IF(E50="AUTOS",0.15,0.20))</f>
        <v/>
      </c>
      <c r="W50" s="19">
        <f>IF(E50="CAMION",((2*(K50-0.09)+2*(I50+G50+H50-0.09)+0.5)+(2*(DATOS!$B$5+0.09)+2*(I50+0.09)+0.5))/2,IF(D50&gt;9999,(DATOS!$B$5+F50)+2*(I50+G50/2)+0.20,2*(DATOS!$B$5+F50)+2*(I50+(G50+H50)/2)+0.40))</f>
        <v/>
      </c>
      <c r="X50" s="22">
        <f>IF(E50="CAMION",((ROUNDUP((K50-0.09)/0.2,0)+1)*2+2*MAX(ROUNDUP((I50+0.31)/0.2,0)-1,0)+(ROUNDUP((DATOS!$B$5+0.09)/0.2,0)+1)*2+2*MAX(ROUNDUP((I50+0.09)/0.2,0)-1,0)),IF(D50&gt;9999,8+2*MAX(ROUNDUP((I50+0.05)/0.25,0),1),16+2*MAX(ROUNDUP((I50+0.10)/0.25,0)-1,0)))</f>
        <v/>
      </c>
      <c r="Y50" s="7">
        <f>IF(E50="CAMION","1/2","3/8")</f>
        <v/>
      </c>
    </row>
    <row r="51">
      <c r="A51" s="18" t="n">
        <v>82</v>
      </c>
      <c r="B51" s="18" t="n">
        <v>84</v>
      </c>
      <c r="C51" s="19">
        <f>B51-A51</f>
        <v/>
      </c>
      <c r="D51" s="19">
        <f>(A51+B51)/2</f>
        <v/>
      </c>
      <c r="E51" s="7">
        <f>IF(AND(D51&gt;=DATOS!$B$13,D51&lt;DATOS!$B$14),"CAMION",IF(OR(AND(D51&gt;=DATOS!$B$15,D51&lt;=DATOS!$B$16),AND(D51&gt;=DATOS!$B$17,D51&lt;=DATOS!$B$18)),"AUTOS","NORMAL"))</f>
        <v/>
      </c>
      <c r="F51" s="19">
        <f>IF(E51="CAMION",0.15,0.10)</f>
        <v/>
      </c>
      <c r="G51" s="19">
        <f>IF(E51="CAMION",0.20,0.10)</f>
        <v/>
      </c>
      <c r="H51" s="19">
        <f>IF(D51&gt;9999,0,IF(E51="CAMION",0.20,0.10))</f>
        <v/>
      </c>
      <c r="I51" s="20">
        <f>IF(D51&lt;=DATOS!$B$11,DATOS!$B$10-H51-(DATOS!$B$6-DATOS!$B$9*D51),DATOS!$B$12)</f>
        <v/>
      </c>
      <c r="J51" s="15" t="n">
        <v>258.987</v>
      </c>
      <c r="K51" s="19">
        <f>DATOS!$B$5+2*F51</f>
        <v/>
      </c>
      <c r="L51" s="20">
        <f>K51*G51*C51</f>
        <v/>
      </c>
      <c r="M51" s="20">
        <f>2*F51*I51*C51</f>
        <v/>
      </c>
      <c r="N51" s="20">
        <f>K51*H51*C51</f>
        <v/>
      </c>
      <c r="O51" s="20">
        <f>(K51+0.10)*(IF(D51&lt;=DATOS!$B$11,DATOS!$B$10,J51)-((DATOS!$B$6-DATOS!$B$9*D51)-G51-0.05))*C51</f>
        <v/>
      </c>
      <c r="P51" s="20">
        <f>(0.10*(IF(D51&lt;=DATOS!$B$11,DATOS!$B$10,J51)-((DATOS!$B$6-DATOS!$B$9*D51)-G51-0.05))+IF(D51&gt;9999,MAX(0,((DATOS!$B$6-DATOS!$B$9*D51)+I51+H51)-J51)*(0.20+0.75*MAX(0,((DATOS!$B$6-DATOS!$B$9*D51)+I51+H51)-J51)),0))*C51</f>
        <v/>
      </c>
      <c r="Q51" s="20">
        <f>K51*C51</f>
        <v/>
      </c>
      <c r="R51" s="20">
        <f>(2*I51+IF(D51&gt;9999,0,DATOS!$B$5)+(I51+G51+H51)+IF(D51&gt;9999,MAX(0,((DATOS!$B$6-DATOS!$B$9*D51)+I51+H51)-J51),0))*C51</f>
        <v/>
      </c>
      <c r="S51" s="19">
        <f>IF(E51="CAMION",C51/0.15*((2*(K51-0.09)+2*(I51+G51+H51-0.09)+0.5)+(2*(DATOS!$B$5+0.09)+2*(I51+0.09)+0.5))*DATOS!$B$23,C51/IF(E51="AUTOS",0.15,0.20)*IF(D51&gt;9999,(DATOS!$B$5+F51)+2*(I51+G51/2)+0.20,2*(DATOS!$B$5+F51)+2*(I51+(G51+H51)/2)+0.40)*DATOS!$B$22)</f>
        <v/>
      </c>
      <c r="T51" s="19">
        <f>IF(E51="CAMION",((ROUNDUP((K51-0.09)/0.2,0)+1)*2+2*MAX(ROUNDUP((I51+0.31)/0.2,0)-1,0)+(ROUNDUP((DATOS!$B$5+0.09)/0.2,0)+1)*2+2*MAX(ROUNDUP((I51+0.09)/0.2,0)-1,0)),IF(D51&gt;9999,8+2*MAX(ROUNDUP((I51+0.05)/0.25,0),1),16+2*MAX(ROUNDUP((I51+0.10)/0.25,0)-1,0)))*C51*(1+0.40/9)*DATOS!$B$22</f>
        <v/>
      </c>
      <c r="U51" s="20">
        <f>(K51+0.10)*C51</f>
        <v/>
      </c>
      <c r="V51" s="21">
        <f>IF(E51="CAMION",2*C51/0.15,C51/IF(E51="AUTOS",0.15,0.20))</f>
        <v/>
      </c>
      <c r="W51" s="19">
        <f>IF(E51="CAMION",((2*(K51-0.09)+2*(I51+G51+H51-0.09)+0.5)+(2*(DATOS!$B$5+0.09)+2*(I51+0.09)+0.5))/2,IF(D51&gt;9999,(DATOS!$B$5+F51)+2*(I51+G51/2)+0.20,2*(DATOS!$B$5+F51)+2*(I51+(G51+H51)/2)+0.40))</f>
        <v/>
      </c>
      <c r="X51" s="22">
        <f>IF(E51="CAMION",((ROUNDUP((K51-0.09)/0.2,0)+1)*2+2*MAX(ROUNDUP((I51+0.31)/0.2,0)-1,0)+(ROUNDUP((DATOS!$B$5+0.09)/0.2,0)+1)*2+2*MAX(ROUNDUP((I51+0.09)/0.2,0)-1,0)),IF(D51&gt;9999,8+2*MAX(ROUNDUP((I51+0.05)/0.25,0),1),16+2*MAX(ROUNDUP((I51+0.10)/0.25,0)-1,0)))</f>
        <v/>
      </c>
      <c r="Y51" s="7">
        <f>IF(E51="CAMION","1/2","3/8")</f>
        <v/>
      </c>
    </row>
    <row r="52">
      <c r="A52" s="18" t="n">
        <v>84</v>
      </c>
      <c r="B52" s="18" t="n">
        <v>86</v>
      </c>
      <c r="C52" s="19">
        <f>B52-A52</f>
        <v/>
      </c>
      <c r="D52" s="19">
        <f>(A52+B52)/2</f>
        <v/>
      </c>
      <c r="E52" s="7">
        <f>IF(AND(D52&gt;=DATOS!$B$13,D52&lt;DATOS!$B$14),"CAMION",IF(OR(AND(D52&gt;=DATOS!$B$15,D52&lt;=DATOS!$B$16),AND(D52&gt;=DATOS!$B$17,D52&lt;=DATOS!$B$18)),"AUTOS","NORMAL"))</f>
        <v/>
      </c>
      <c r="F52" s="19">
        <f>IF(E52="CAMION",0.15,0.10)</f>
        <v/>
      </c>
      <c r="G52" s="19">
        <f>IF(E52="CAMION",0.20,0.10)</f>
        <v/>
      </c>
      <c r="H52" s="19">
        <f>IF(D52&gt;9999,0,IF(E52="CAMION",0.20,0.10))</f>
        <v/>
      </c>
      <c r="I52" s="20">
        <f>IF(D52&lt;=DATOS!$B$11,DATOS!$B$10-H52-(DATOS!$B$6-DATOS!$B$9*D52),DATOS!$B$12)</f>
        <v/>
      </c>
      <c r="J52" s="15" t="n">
        <v>258.999</v>
      </c>
      <c r="K52" s="19">
        <f>DATOS!$B$5+2*F52</f>
        <v/>
      </c>
      <c r="L52" s="20">
        <f>K52*G52*C52</f>
        <v/>
      </c>
      <c r="M52" s="20">
        <f>2*F52*I52*C52</f>
        <v/>
      </c>
      <c r="N52" s="20">
        <f>K52*H52*C52</f>
        <v/>
      </c>
      <c r="O52" s="20">
        <f>(K52+0.10)*(IF(D52&lt;=DATOS!$B$11,DATOS!$B$10,J52)-((DATOS!$B$6-DATOS!$B$9*D52)-G52-0.05))*C52</f>
        <v/>
      </c>
      <c r="P52" s="20">
        <f>(0.10*(IF(D52&lt;=DATOS!$B$11,DATOS!$B$10,J52)-((DATOS!$B$6-DATOS!$B$9*D52)-G52-0.05))+IF(D52&gt;9999,MAX(0,((DATOS!$B$6-DATOS!$B$9*D52)+I52+H52)-J52)*(0.20+0.75*MAX(0,((DATOS!$B$6-DATOS!$B$9*D52)+I52+H52)-J52)),0))*C52</f>
        <v/>
      </c>
      <c r="Q52" s="20">
        <f>K52*C52</f>
        <v/>
      </c>
      <c r="R52" s="20">
        <f>(2*I52+IF(D52&gt;9999,0,DATOS!$B$5)+(I52+G52+H52)+IF(D52&gt;9999,MAX(0,((DATOS!$B$6-DATOS!$B$9*D52)+I52+H52)-J52),0))*C52</f>
        <v/>
      </c>
      <c r="S52" s="19">
        <f>IF(E52="CAMION",C52/0.15*((2*(K52-0.09)+2*(I52+G52+H52-0.09)+0.5)+(2*(DATOS!$B$5+0.09)+2*(I52+0.09)+0.5))*DATOS!$B$23,C52/IF(E52="AUTOS",0.15,0.20)*IF(D52&gt;9999,(DATOS!$B$5+F52)+2*(I52+G52/2)+0.20,2*(DATOS!$B$5+F52)+2*(I52+(G52+H52)/2)+0.40)*DATOS!$B$22)</f>
        <v/>
      </c>
      <c r="T52" s="19">
        <f>IF(E52="CAMION",((ROUNDUP((K52-0.09)/0.2,0)+1)*2+2*MAX(ROUNDUP((I52+0.31)/0.2,0)-1,0)+(ROUNDUP((DATOS!$B$5+0.09)/0.2,0)+1)*2+2*MAX(ROUNDUP((I52+0.09)/0.2,0)-1,0)),IF(D52&gt;9999,8+2*MAX(ROUNDUP((I52+0.05)/0.25,0),1),16+2*MAX(ROUNDUP((I52+0.10)/0.25,0)-1,0)))*C52*(1+0.40/9)*DATOS!$B$22</f>
        <v/>
      </c>
      <c r="U52" s="20">
        <f>(K52+0.10)*C52</f>
        <v/>
      </c>
      <c r="V52" s="21">
        <f>IF(E52="CAMION",2*C52/0.15,C52/IF(E52="AUTOS",0.15,0.20))</f>
        <v/>
      </c>
      <c r="W52" s="19">
        <f>IF(E52="CAMION",((2*(K52-0.09)+2*(I52+G52+H52-0.09)+0.5)+(2*(DATOS!$B$5+0.09)+2*(I52+0.09)+0.5))/2,IF(D52&gt;9999,(DATOS!$B$5+F52)+2*(I52+G52/2)+0.20,2*(DATOS!$B$5+F52)+2*(I52+(G52+H52)/2)+0.40))</f>
        <v/>
      </c>
      <c r="X52" s="22">
        <f>IF(E52="CAMION",((ROUNDUP((K52-0.09)/0.2,0)+1)*2+2*MAX(ROUNDUP((I52+0.31)/0.2,0)-1,0)+(ROUNDUP((DATOS!$B$5+0.09)/0.2,0)+1)*2+2*MAX(ROUNDUP((I52+0.09)/0.2,0)-1,0)),IF(D52&gt;9999,8+2*MAX(ROUNDUP((I52+0.05)/0.25,0),1),16+2*MAX(ROUNDUP((I52+0.10)/0.25,0)-1,0)))</f>
        <v/>
      </c>
      <c r="Y52" s="7">
        <f>IF(E52="CAMION","1/2","3/8")</f>
        <v/>
      </c>
    </row>
    <row r="53">
      <c r="A53" s="18" t="n">
        <v>86</v>
      </c>
      <c r="B53" s="18" t="n">
        <v>88</v>
      </c>
      <c r="C53" s="19">
        <f>B53-A53</f>
        <v/>
      </c>
      <c r="D53" s="19">
        <f>(A53+B53)/2</f>
        <v/>
      </c>
      <c r="E53" s="7">
        <f>IF(AND(D53&gt;=DATOS!$B$13,D53&lt;DATOS!$B$14),"CAMION",IF(OR(AND(D53&gt;=DATOS!$B$15,D53&lt;=DATOS!$B$16),AND(D53&gt;=DATOS!$B$17,D53&lt;=DATOS!$B$18)),"AUTOS","NORMAL"))</f>
        <v/>
      </c>
      <c r="F53" s="19">
        <f>IF(E53="CAMION",0.15,0.10)</f>
        <v/>
      </c>
      <c r="G53" s="19">
        <f>IF(E53="CAMION",0.20,0.10)</f>
        <v/>
      </c>
      <c r="H53" s="19">
        <f>IF(D53&gt;9999,0,IF(E53="CAMION",0.20,0.10))</f>
        <v/>
      </c>
      <c r="I53" s="20">
        <f>IF(D53&lt;=DATOS!$B$11,DATOS!$B$10-H53-(DATOS!$B$6-DATOS!$B$9*D53),DATOS!$B$12)</f>
        <v/>
      </c>
      <c r="J53" s="15" t="n">
        <v>259.012</v>
      </c>
      <c r="K53" s="19">
        <f>DATOS!$B$5+2*F53</f>
        <v/>
      </c>
      <c r="L53" s="20">
        <f>K53*G53*C53</f>
        <v/>
      </c>
      <c r="M53" s="20">
        <f>2*F53*I53*C53</f>
        <v/>
      </c>
      <c r="N53" s="20">
        <f>K53*H53*C53</f>
        <v/>
      </c>
      <c r="O53" s="20">
        <f>(K53+0.10)*(IF(D53&lt;=DATOS!$B$11,DATOS!$B$10,J53)-((DATOS!$B$6-DATOS!$B$9*D53)-G53-0.05))*C53</f>
        <v/>
      </c>
      <c r="P53" s="20">
        <f>(0.10*(IF(D53&lt;=DATOS!$B$11,DATOS!$B$10,J53)-((DATOS!$B$6-DATOS!$B$9*D53)-G53-0.05))+IF(D53&gt;9999,MAX(0,((DATOS!$B$6-DATOS!$B$9*D53)+I53+H53)-J53)*(0.20+0.75*MAX(0,((DATOS!$B$6-DATOS!$B$9*D53)+I53+H53)-J53)),0))*C53</f>
        <v/>
      </c>
      <c r="Q53" s="20">
        <f>K53*C53</f>
        <v/>
      </c>
      <c r="R53" s="20">
        <f>(2*I53+IF(D53&gt;9999,0,DATOS!$B$5)+(I53+G53+H53)+IF(D53&gt;9999,MAX(0,((DATOS!$B$6-DATOS!$B$9*D53)+I53+H53)-J53),0))*C53</f>
        <v/>
      </c>
      <c r="S53" s="19">
        <f>IF(E53="CAMION",C53/0.15*((2*(K53-0.09)+2*(I53+G53+H53-0.09)+0.5)+(2*(DATOS!$B$5+0.09)+2*(I53+0.09)+0.5))*DATOS!$B$23,C53/IF(E53="AUTOS",0.15,0.20)*IF(D53&gt;9999,(DATOS!$B$5+F53)+2*(I53+G53/2)+0.20,2*(DATOS!$B$5+F53)+2*(I53+(G53+H53)/2)+0.40)*DATOS!$B$22)</f>
        <v/>
      </c>
      <c r="T53" s="19">
        <f>IF(E53="CAMION",((ROUNDUP((K53-0.09)/0.2,0)+1)*2+2*MAX(ROUNDUP((I53+0.31)/0.2,0)-1,0)+(ROUNDUP((DATOS!$B$5+0.09)/0.2,0)+1)*2+2*MAX(ROUNDUP((I53+0.09)/0.2,0)-1,0)),IF(D53&gt;9999,8+2*MAX(ROUNDUP((I53+0.05)/0.25,0),1),16+2*MAX(ROUNDUP((I53+0.10)/0.25,0)-1,0)))*C53*(1+0.40/9)*DATOS!$B$22</f>
        <v/>
      </c>
      <c r="U53" s="20">
        <f>(K53+0.10)*C53</f>
        <v/>
      </c>
      <c r="V53" s="21">
        <f>IF(E53="CAMION",2*C53/0.15,C53/IF(E53="AUTOS",0.15,0.20))</f>
        <v/>
      </c>
      <c r="W53" s="19">
        <f>IF(E53="CAMION",((2*(K53-0.09)+2*(I53+G53+H53-0.09)+0.5)+(2*(DATOS!$B$5+0.09)+2*(I53+0.09)+0.5))/2,IF(D53&gt;9999,(DATOS!$B$5+F53)+2*(I53+G53/2)+0.20,2*(DATOS!$B$5+F53)+2*(I53+(G53+H53)/2)+0.40))</f>
        <v/>
      </c>
      <c r="X53" s="22">
        <f>IF(E53="CAMION",((ROUNDUP((K53-0.09)/0.2,0)+1)*2+2*MAX(ROUNDUP((I53+0.31)/0.2,0)-1,0)+(ROUNDUP((DATOS!$B$5+0.09)/0.2,0)+1)*2+2*MAX(ROUNDUP((I53+0.09)/0.2,0)-1,0)),IF(D53&gt;9999,8+2*MAX(ROUNDUP((I53+0.05)/0.25,0),1),16+2*MAX(ROUNDUP((I53+0.10)/0.25,0)-1,0)))</f>
        <v/>
      </c>
      <c r="Y53" s="7">
        <f>IF(E53="CAMION","1/2","3/8")</f>
        <v/>
      </c>
    </row>
    <row r="54">
      <c r="A54" s="18" t="n">
        <v>88</v>
      </c>
      <c r="B54" s="18" t="n">
        <v>90</v>
      </c>
      <c r="C54" s="19">
        <f>B54-A54</f>
        <v/>
      </c>
      <c r="D54" s="19">
        <f>(A54+B54)/2</f>
        <v/>
      </c>
      <c r="E54" s="7">
        <f>IF(AND(D54&gt;=DATOS!$B$13,D54&lt;DATOS!$B$14),"CAMION",IF(OR(AND(D54&gt;=DATOS!$B$15,D54&lt;=DATOS!$B$16),AND(D54&gt;=DATOS!$B$17,D54&lt;=DATOS!$B$18)),"AUTOS","NORMAL"))</f>
        <v/>
      </c>
      <c r="F54" s="19">
        <f>IF(E54="CAMION",0.15,0.10)</f>
        <v/>
      </c>
      <c r="G54" s="19">
        <f>IF(E54="CAMION",0.20,0.10)</f>
        <v/>
      </c>
      <c r="H54" s="19">
        <f>IF(D54&gt;9999,0,IF(E54="CAMION",0.20,0.10))</f>
        <v/>
      </c>
      <c r="I54" s="20">
        <f>IF(D54&lt;=DATOS!$B$11,DATOS!$B$10-H54-(DATOS!$B$6-DATOS!$B$9*D54),DATOS!$B$12)</f>
        <v/>
      </c>
      <c r="J54" s="15" t="n">
        <v>258.94</v>
      </c>
      <c r="K54" s="19">
        <f>DATOS!$B$5+2*F54</f>
        <v/>
      </c>
      <c r="L54" s="20">
        <f>K54*G54*C54</f>
        <v/>
      </c>
      <c r="M54" s="20">
        <f>2*F54*I54*C54</f>
        <v/>
      </c>
      <c r="N54" s="20">
        <f>K54*H54*C54</f>
        <v/>
      </c>
      <c r="O54" s="20">
        <f>(K54+0.10)*(IF(D54&lt;=DATOS!$B$11,DATOS!$B$10,J54)-((DATOS!$B$6-DATOS!$B$9*D54)-G54-0.05))*C54</f>
        <v/>
      </c>
      <c r="P54" s="20">
        <f>(0.10*(IF(D54&lt;=DATOS!$B$11,DATOS!$B$10,J54)-((DATOS!$B$6-DATOS!$B$9*D54)-G54-0.05))+IF(D54&gt;9999,MAX(0,((DATOS!$B$6-DATOS!$B$9*D54)+I54+H54)-J54)*(0.20+0.75*MAX(0,((DATOS!$B$6-DATOS!$B$9*D54)+I54+H54)-J54)),0))*C54</f>
        <v/>
      </c>
      <c r="Q54" s="20">
        <f>K54*C54</f>
        <v/>
      </c>
      <c r="R54" s="20">
        <f>(2*I54+IF(D54&gt;9999,0,DATOS!$B$5)+(I54+G54+H54)+IF(D54&gt;9999,MAX(0,((DATOS!$B$6-DATOS!$B$9*D54)+I54+H54)-J54),0))*C54</f>
        <v/>
      </c>
      <c r="S54" s="19">
        <f>IF(E54="CAMION",C54/0.15*((2*(K54-0.09)+2*(I54+G54+H54-0.09)+0.5)+(2*(DATOS!$B$5+0.09)+2*(I54+0.09)+0.5))*DATOS!$B$23,C54/IF(E54="AUTOS",0.15,0.20)*IF(D54&gt;9999,(DATOS!$B$5+F54)+2*(I54+G54/2)+0.20,2*(DATOS!$B$5+F54)+2*(I54+(G54+H54)/2)+0.40)*DATOS!$B$22)</f>
        <v/>
      </c>
      <c r="T54" s="19">
        <f>IF(E54="CAMION",((ROUNDUP((K54-0.09)/0.2,0)+1)*2+2*MAX(ROUNDUP((I54+0.31)/0.2,0)-1,0)+(ROUNDUP((DATOS!$B$5+0.09)/0.2,0)+1)*2+2*MAX(ROUNDUP((I54+0.09)/0.2,0)-1,0)),IF(D54&gt;9999,8+2*MAX(ROUNDUP((I54+0.05)/0.25,0),1),16+2*MAX(ROUNDUP((I54+0.10)/0.25,0)-1,0)))*C54*(1+0.40/9)*DATOS!$B$22</f>
        <v/>
      </c>
      <c r="U54" s="20">
        <f>(K54+0.10)*C54</f>
        <v/>
      </c>
      <c r="V54" s="21">
        <f>IF(E54="CAMION",2*C54/0.15,C54/IF(E54="AUTOS",0.15,0.20))</f>
        <v/>
      </c>
      <c r="W54" s="19">
        <f>IF(E54="CAMION",((2*(K54-0.09)+2*(I54+G54+H54-0.09)+0.5)+(2*(DATOS!$B$5+0.09)+2*(I54+0.09)+0.5))/2,IF(D54&gt;9999,(DATOS!$B$5+F54)+2*(I54+G54/2)+0.20,2*(DATOS!$B$5+F54)+2*(I54+(G54+H54)/2)+0.40))</f>
        <v/>
      </c>
      <c r="X54" s="22">
        <f>IF(E54="CAMION",((ROUNDUP((K54-0.09)/0.2,0)+1)*2+2*MAX(ROUNDUP((I54+0.31)/0.2,0)-1,0)+(ROUNDUP((DATOS!$B$5+0.09)/0.2,0)+1)*2+2*MAX(ROUNDUP((I54+0.09)/0.2,0)-1,0)),IF(D54&gt;9999,8+2*MAX(ROUNDUP((I54+0.05)/0.25,0),1),16+2*MAX(ROUNDUP((I54+0.10)/0.25,0)-1,0)))</f>
        <v/>
      </c>
      <c r="Y54" s="7">
        <f>IF(E54="CAMION","1/2","3/8")</f>
        <v/>
      </c>
    </row>
    <row r="55">
      <c r="A55" s="18" t="n">
        <v>90</v>
      </c>
      <c r="B55" s="18" t="n">
        <v>92</v>
      </c>
      <c r="C55" s="19">
        <f>B55-A55</f>
        <v/>
      </c>
      <c r="D55" s="19">
        <f>(A55+B55)/2</f>
        <v/>
      </c>
      <c r="E55" s="7">
        <f>IF(AND(D55&gt;=DATOS!$B$13,D55&lt;DATOS!$B$14),"CAMION",IF(OR(AND(D55&gt;=DATOS!$B$15,D55&lt;=DATOS!$B$16),AND(D55&gt;=DATOS!$B$17,D55&lt;=DATOS!$B$18)),"AUTOS","NORMAL"))</f>
        <v/>
      </c>
      <c r="F55" s="19">
        <f>IF(E55="CAMION",0.15,0.10)</f>
        <v/>
      </c>
      <c r="G55" s="19">
        <f>IF(E55="CAMION",0.20,0.10)</f>
        <v/>
      </c>
      <c r="H55" s="19">
        <f>IF(D55&gt;9999,0,IF(E55="CAMION",0.20,0.10))</f>
        <v/>
      </c>
      <c r="I55" s="20">
        <f>IF(D55&lt;=DATOS!$B$11,DATOS!$B$10-H55-(DATOS!$B$6-DATOS!$B$9*D55),DATOS!$B$12)</f>
        <v/>
      </c>
      <c r="J55" s="15" t="n">
        <v>258.866</v>
      </c>
      <c r="K55" s="19">
        <f>DATOS!$B$5+2*F55</f>
        <v/>
      </c>
      <c r="L55" s="20">
        <f>K55*G55*C55</f>
        <v/>
      </c>
      <c r="M55" s="20">
        <f>2*F55*I55*C55</f>
        <v/>
      </c>
      <c r="N55" s="20">
        <f>K55*H55*C55</f>
        <v/>
      </c>
      <c r="O55" s="20">
        <f>(K55+0.10)*(IF(D55&lt;=DATOS!$B$11,DATOS!$B$10,J55)-((DATOS!$B$6-DATOS!$B$9*D55)-G55-0.05))*C55</f>
        <v/>
      </c>
      <c r="P55" s="20">
        <f>(0.10*(IF(D55&lt;=DATOS!$B$11,DATOS!$B$10,J55)-((DATOS!$B$6-DATOS!$B$9*D55)-G55-0.05))+IF(D55&gt;9999,MAX(0,((DATOS!$B$6-DATOS!$B$9*D55)+I55+H55)-J55)*(0.20+0.75*MAX(0,((DATOS!$B$6-DATOS!$B$9*D55)+I55+H55)-J55)),0))*C55</f>
        <v/>
      </c>
      <c r="Q55" s="20">
        <f>K55*C55</f>
        <v/>
      </c>
      <c r="R55" s="20">
        <f>(2*I55+IF(D55&gt;9999,0,DATOS!$B$5)+(I55+G55+H55)+IF(D55&gt;9999,MAX(0,((DATOS!$B$6-DATOS!$B$9*D55)+I55+H55)-J55),0))*C55</f>
        <v/>
      </c>
      <c r="S55" s="19">
        <f>IF(E55="CAMION",C55/0.15*((2*(K55-0.09)+2*(I55+G55+H55-0.09)+0.5)+(2*(DATOS!$B$5+0.09)+2*(I55+0.09)+0.5))*DATOS!$B$23,C55/IF(E55="AUTOS",0.15,0.20)*IF(D55&gt;9999,(DATOS!$B$5+F55)+2*(I55+G55/2)+0.20,2*(DATOS!$B$5+F55)+2*(I55+(G55+H55)/2)+0.40)*DATOS!$B$22)</f>
        <v/>
      </c>
      <c r="T55" s="19">
        <f>IF(E55="CAMION",((ROUNDUP((K55-0.09)/0.2,0)+1)*2+2*MAX(ROUNDUP((I55+0.31)/0.2,0)-1,0)+(ROUNDUP((DATOS!$B$5+0.09)/0.2,0)+1)*2+2*MAX(ROUNDUP((I55+0.09)/0.2,0)-1,0)),IF(D55&gt;9999,8+2*MAX(ROUNDUP((I55+0.05)/0.25,0),1),16+2*MAX(ROUNDUP((I55+0.10)/0.25,0)-1,0)))*C55*(1+0.40/9)*DATOS!$B$22</f>
        <v/>
      </c>
      <c r="U55" s="20">
        <f>(K55+0.10)*C55</f>
        <v/>
      </c>
      <c r="V55" s="21">
        <f>IF(E55="CAMION",2*C55/0.15,C55/IF(E55="AUTOS",0.15,0.20))</f>
        <v/>
      </c>
      <c r="W55" s="19">
        <f>IF(E55="CAMION",((2*(K55-0.09)+2*(I55+G55+H55-0.09)+0.5)+(2*(DATOS!$B$5+0.09)+2*(I55+0.09)+0.5))/2,IF(D55&gt;9999,(DATOS!$B$5+F55)+2*(I55+G55/2)+0.20,2*(DATOS!$B$5+F55)+2*(I55+(G55+H55)/2)+0.40))</f>
        <v/>
      </c>
      <c r="X55" s="22">
        <f>IF(E55="CAMION",((ROUNDUP((K55-0.09)/0.2,0)+1)*2+2*MAX(ROUNDUP((I55+0.31)/0.2,0)-1,0)+(ROUNDUP((DATOS!$B$5+0.09)/0.2,0)+1)*2+2*MAX(ROUNDUP((I55+0.09)/0.2,0)-1,0)),IF(D55&gt;9999,8+2*MAX(ROUNDUP((I55+0.05)/0.25,0),1),16+2*MAX(ROUNDUP((I55+0.10)/0.25,0)-1,0)))</f>
        <v/>
      </c>
      <c r="Y55" s="7">
        <f>IF(E55="CAMION","1/2","3/8")</f>
        <v/>
      </c>
    </row>
    <row r="56">
      <c r="A56" s="18" t="n">
        <v>92</v>
      </c>
      <c r="B56" s="18" t="n">
        <v>94</v>
      </c>
      <c r="C56" s="19">
        <f>B56-A56</f>
        <v/>
      </c>
      <c r="D56" s="19">
        <f>(A56+B56)/2</f>
        <v/>
      </c>
      <c r="E56" s="7">
        <f>IF(AND(D56&gt;=DATOS!$B$13,D56&lt;DATOS!$B$14),"CAMION",IF(OR(AND(D56&gt;=DATOS!$B$15,D56&lt;=DATOS!$B$16),AND(D56&gt;=DATOS!$B$17,D56&lt;=DATOS!$B$18)),"AUTOS","NORMAL"))</f>
        <v/>
      </c>
      <c r="F56" s="19">
        <f>IF(E56="CAMION",0.15,0.10)</f>
        <v/>
      </c>
      <c r="G56" s="19">
        <f>IF(E56="CAMION",0.20,0.10)</f>
        <v/>
      </c>
      <c r="H56" s="19">
        <f>IF(D56&gt;9999,0,IF(E56="CAMION",0.20,0.10))</f>
        <v/>
      </c>
      <c r="I56" s="20">
        <f>IF(D56&lt;=DATOS!$B$11,DATOS!$B$10-H56-(DATOS!$B$6-DATOS!$B$9*D56),DATOS!$B$12)</f>
        <v/>
      </c>
      <c r="J56" s="15" t="n">
        <v>258.91</v>
      </c>
      <c r="K56" s="19">
        <f>DATOS!$B$5+2*F56</f>
        <v/>
      </c>
      <c r="L56" s="20">
        <f>K56*G56*C56</f>
        <v/>
      </c>
      <c r="M56" s="20">
        <f>2*F56*I56*C56</f>
        <v/>
      </c>
      <c r="N56" s="20">
        <f>K56*H56*C56</f>
        <v/>
      </c>
      <c r="O56" s="20">
        <f>(K56+0.10)*(IF(D56&lt;=DATOS!$B$11,DATOS!$B$10,J56)-((DATOS!$B$6-DATOS!$B$9*D56)-G56-0.05))*C56</f>
        <v/>
      </c>
      <c r="P56" s="20">
        <f>(0.10*(IF(D56&lt;=DATOS!$B$11,DATOS!$B$10,J56)-((DATOS!$B$6-DATOS!$B$9*D56)-G56-0.05))+IF(D56&gt;9999,MAX(0,((DATOS!$B$6-DATOS!$B$9*D56)+I56+H56)-J56)*(0.20+0.75*MAX(0,((DATOS!$B$6-DATOS!$B$9*D56)+I56+H56)-J56)),0))*C56</f>
        <v/>
      </c>
      <c r="Q56" s="20">
        <f>K56*C56</f>
        <v/>
      </c>
      <c r="R56" s="20">
        <f>(2*I56+IF(D56&gt;9999,0,DATOS!$B$5)+(I56+G56+H56)+IF(D56&gt;9999,MAX(0,((DATOS!$B$6-DATOS!$B$9*D56)+I56+H56)-J56),0))*C56</f>
        <v/>
      </c>
      <c r="S56" s="19">
        <f>IF(E56="CAMION",C56/0.15*((2*(K56-0.09)+2*(I56+G56+H56-0.09)+0.5)+(2*(DATOS!$B$5+0.09)+2*(I56+0.09)+0.5))*DATOS!$B$23,C56/IF(E56="AUTOS",0.15,0.20)*IF(D56&gt;9999,(DATOS!$B$5+F56)+2*(I56+G56/2)+0.20,2*(DATOS!$B$5+F56)+2*(I56+(G56+H56)/2)+0.40)*DATOS!$B$22)</f>
        <v/>
      </c>
      <c r="T56" s="19">
        <f>IF(E56="CAMION",((ROUNDUP((K56-0.09)/0.2,0)+1)*2+2*MAX(ROUNDUP((I56+0.31)/0.2,0)-1,0)+(ROUNDUP((DATOS!$B$5+0.09)/0.2,0)+1)*2+2*MAX(ROUNDUP((I56+0.09)/0.2,0)-1,0)),IF(D56&gt;9999,8+2*MAX(ROUNDUP((I56+0.05)/0.25,0),1),16+2*MAX(ROUNDUP((I56+0.10)/0.25,0)-1,0)))*C56*(1+0.40/9)*DATOS!$B$22</f>
        <v/>
      </c>
      <c r="U56" s="20">
        <f>(K56+0.10)*C56</f>
        <v/>
      </c>
      <c r="V56" s="21">
        <f>IF(E56="CAMION",2*C56/0.15,C56/IF(E56="AUTOS",0.15,0.20))</f>
        <v/>
      </c>
      <c r="W56" s="19">
        <f>IF(E56="CAMION",((2*(K56-0.09)+2*(I56+G56+H56-0.09)+0.5)+(2*(DATOS!$B$5+0.09)+2*(I56+0.09)+0.5))/2,IF(D56&gt;9999,(DATOS!$B$5+F56)+2*(I56+G56/2)+0.20,2*(DATOS!$B$5+F56)+2*(I56+(G56+H56)/2)+0.40))</f>
        <v/>
      </c>
      <c r="X56" s="22">
        <f>IF(E56="CAMION",((ROUNDUP((K56-0.09)/0.2,0)+1)*2+2*MAX(ROUNDUP((I56+0.31)/0.2,0)-1,0)+(ROUNDUP((DATOS!$B$5+0.09)/0.2,0)+1)*2+2*MAX(ROUNDUP((I56+0.09)/0.2,0)-1,0)),IF(D56&gt;9999,8+2*MAX(ROUNDUP((I56+0.05)/0.25,0),1),16+2*MAX(ROUNDUP((I56+0.10)/0.25,0)-1,0)))</f>
        <v/>
      </c>
      <c r="Y56" s="7">
        <f>IF(E56="CAMION","1/2","3/8")</f>
        <v/>
      </c>
    </row>
    <row r="57">
      <c r="A57" s="18" t="n">
        <v>94</v>
      </c>
      <c r="B57" s="18" t="n">
        <v>96</v>
      </c>
      <c r="C57" s="19">
        <f>B57-A57</f>
        <v/>
      </c>
      <c r="D57" s="19">
        <f>(A57+B57)/2</f>
        <v/>
      </c>
      <c r="E57" s="7">
        <f>IF(AND(D57&gt;=DATOS!$B$13,D57&lt;DATOS!$B$14),"CAMION",IF(OR(AND(D57&gt;=DATOS!$B$15,D57&lt;=DATOS!$B$16),AND(D57&gt;=DATOS!$B$17,D57&lt;=DATOS!$B$18)),"AUTOS","NORMAL"))</f>
        <v/>
      </c>
      <c r="F57" s="19">
        <f>IF(E57="CAMION",0.15,0.10)</f>
        <v/>
      </c>
      <c r="G57" s="19">
        <f>IF(E57="CAMION",0.20,0.10)</f>
        <v/>
      </c>
      <c r="H57" s="19">
        <f>IF(D57&gt;9999,0,IF(E57="CAMION",0.20,0.10))</f>
        <v/>
      </c>
      <c r="I57" s="20">
        <f>IF(D57&lt;=DATOS!$B$11,DATOS!$B$10-H57-(DATOS!$B$6-DATOS!$B$9*D57),DATOS!$B$12)</f>
        <v/>
      </c>
      <c r="J57" s="15" t="n">
        <v>258.915</v>
      </c>
      <c r="K57" s="19">
        <f>DATOS!$B$5+2*F57</f>
        <v/>
      </c>
      <c r="L57" s="20">
        <f>K57*G57*C57</f>
        <v/>
      </c>
      <c r="M57" s="20">
        <f>2*F57*I57*C57</f>
        <v/>
      </c>
      <c r="N57" s="20">
        <f>K57*H57*C57</f>
        <v/>
      </c>
      <c r="O57" s="20">
        <f>(K57+0.10)*(IF(D57&lt;=DATOS!$B$11,DATOS!$B$10,J57)-((DATOS!$B$6-DATOS!$B$9*D57)-G57-0.05))*C57</f>
        <v/>
      </c>
      <c r="P57" s="20">
        <f>(0.10*(IF(D57&lt;=DATOS!$B$11,DATOS!$B$10,J57)-((DATOS!$B$6-DATOS!$B$9*D57)-G57-0.05))+IF(D57&gt;9999,MAX(0,((DATOS!$B$6-DATOS!$B$9*D57)+I57+H57)-J57)*(0.20+0.75*MAX(0,((DATOS!$B$6-DATOS!$B$9*D57)+I57+H57)-J57)),0))*C57</f>
        <v/>
      </c>
      <c r="Q57" s="20">
        <f>K57*C57</f>
        <v/>
      </c>
      <c r="R57" s="20">
        <f>(2*I57+IF(D57&gt;9999,0,DATOS!$B$5)+(I57+G57+H57)+IF(D57&gt;9999,MAX(0,((DATOS!$B$6-DATOS!$B$9*D57)+I57+H57)-J57),0))*C57</f>
        <v/>
      </c>
      <c r="S57" s="19">
        <f>IF(E57="CAMION",C57/0.15*((2*(K57-0.09)+2*(I57+G57+H57-0.09)+0.5)+(2*(DATOS!$B$5+0.09)+2*(I57+0.09)+0.5))*DATOS!$B$23,C57/IF(E57="AUTOS",0.15,0.20)*IF(D57&gt;9999,(DATOS!$B$5+F57)+2*(I57+G57/2)+0.20,2*(DATOS!$B$5+F57)+2*(I57+(G57+H57)/2)+0.40)*DATOS!$B$22)</f>
        <v/>
      </c>
      <c r="T57" s="19">
        <f>IF(E57="CAMION",((ROUNDUP((K57-0.09)/0.2,0)+1)*2+2*MAX(ROUNDUP((I57+0.31)/0.2,0)-1,0)+(ROUNDUP((DATOS!$B$5+0.09)/0.2,0)+1)*2+2*MAX(ROUNDUP((I57+0.09)/0.2,0)-1,0)),IF(D57&gt;9999,8+2*MAX(ROUNDUP((I57+0.05)/0.25,0),1),16+2*MAX(ROUNDUP((I57+0.10)/0.25,0)-1,0)))*C57*(1+0.40/9)*DATOS!$B$22</f>
        <v/>
      </c>
      <c r="U57" s="20">
        <f>(K57+0.10)*C57</f>
        <v/>
      </c>
      <c r="V57" s="21">
        <f>IF(E57="CAMION",2*C57/0.15,C57/IF(E57="AUTOS",0.15,0.20))</f>
        <v/>
      </c>
      <c r="W57" s="19">
        <f>IF(E57="CAMION",((2*(K57-0.09)+2*(I57+G57+H57-0.09)+0.5)+(2*(DATOS!$B$5+0.09)+2*(I57+0.09)+0.5))/2,IF(D57&gt;9999,(DATOS!$B$5+F57)+2*(I57+G57/2)+0.20,2*(DATOS!$B$5+F57)+2*(I57+(G57+H57)/2)+0.40))</f>
        <v/>
      </c>
      <c r="X57" s="22">
        <f>IF(E57="CAMION",((ROUNDUP((K57-0.09)/0.2,0)+1)*2+2*MAX(ROUNDUP((I57+0.31)/0.2,0)-1,0)+(ROUNDUP((DATOS!$B$5+0.09)/0.2,0)+1)*2+2*MAX(ROUNDUP((I57+0.09)/0.2,0)-1,0)),IF(D57&gt;9999,8+2*MAX(ROUNDUP((I57+0.05)/0.25,0),1),16+2*MAX(ROUNDUP((I57+0.10)/0.25,0)-1,0)))</f>
        <v/>
      </c>
      <c r="Y57" s="7">
        <f>IF(E57="CAMION","1/2","3/8")</f>
        <v/>
      </c>
    </row>
    <row r="58">
      <c r="A58" s="18" t="n">
        <v>96</v>
      </c>
      <c r="B58" s="18" t="n">
        <v>98</v>
      </c>
      <c r="C58" s="19">
        <f>B58-A58</f>
        <v/>
      </c>
      <c r="D58" s="19">
        <f>(A58+B58)/2</f>
        <v/>
      </c>
      <c r="E58" s="7">
        <f>IF(AND(D58&gt;=DATOS!$B$13,D58&lt;DATOS!$B$14),"CAMION",IF(OR(AND(D58&gt;=DATOS!$B$15,D58&lt;=DATOS!$B$16),AND(D58&gt;=DATOS!$B$17,D58&lt;=DATOS!$B$18)),"AUTOS","NORMAL"))</f>
        <v/>
      </c>
      <c r="F58" s="19">
        <f>IF(E58="CAMION",0.15,0.10)</f>
        <v/>
      </c>
      <c r="G58" s="19">
        <f>IF(E58="CAMION",0.20,0.10)</f>
        <v/>
      </c>
      <c r="H58" s="19">
        <f>IF(D58&gt;9999,0,IF(E58="CAMION",0.20,0.10))</f>
        <v/>
      </c>
      <c r="I58" s="20">
        <f>IF(D58&lt;=DATOS!$B$11,DATOS!$B$10-H58-(DATOS!$B$6-DATOS!$B$9*D58),DATOS!$B$12)</f>
        <v/>
      </c>
      <c r="J58" s="15" t="n">
        <v>258.938</v>
      </c>
      <c r="K58" s="19">
        <f>DATOS!$B$5+2*F58</f>
        <v/>
      </c>
      <c r="L58" s="20">
        <f>K58*G58*C58</f>
        <v/>
      </c>
      <c r="M58" s="20">
        <f>2*F58*I58*C58</f>
        <v/>
      </c>
      <c r="N58" s="20">
        <f>K58*H58*C58</f>
        <v/>
      </c>
      <c r="O58" s="20">
        <f>(K58+0.10)*(IF(D58&lt;=DATOS!$B$11,DATOS!$B$10,J58)-((DATOS!$B$6-DATOS!$B$9*D58)-G58-0.05))*C58</f>
        <v/>
      </c>
      <c r="P58" s="20">
        <f>(0.10*(IF(D58&lt;=DATOS!$B$11,DATOS!$B$10,J58)-((DATOS!$B$6-DATOS!$B$9*D58)-G58-0.05))+IF(D58&gt;9999,MAX(0,((DATOS!$B$6-DATOS!$B$9*D58)+I58+H58)-J58)*(0.20+0.75*MAX(0,((DATOS!$B$6-DATOS!$B$9*D58)+I58+H58)-J58)),0))*C58</f>
        <v/>
      </c>
      <c r="Q58" s="20">
        <f>K58*C58</f>
        <v/>
      </c>
      <c r="R58" s="20">
        <f>(2*I58+IF(D58&gt;9999,0,DATOS!$B$5)+(I58+G58+H58)+IF(D58&gt;9999,MAX(0,((DATOS!$B$6-DATOS!$B$9*D58)+I58+H58)-J58),0))*C58</f>
        <v/>
      </c>
      <c r="S58" s="19">
        <f>IF(E58="CAMION",C58/0.15*((2*(K58-0.09)+2*(I58+G58+H58-0.09)+0.5)+(2*(DATOS!$B$5+0.09)+2*(I58+0.09)+0.5))*DATOS!$B$23,C58/IF(E58="AUTOS",0.15,0.20)*IF(D58&gt;9999,(DATOS!$B$5+F58)+2*(I58+G58/2)+0.20,2*(DATOS!$B$5+F58)+2*(I58+(G58+H58)/2)+0.40)*DATOS!$B$22)</f>
        <v/>
      </c>
      <c r="T58" s="19">
        <f>IF(E58="CAMION",((ROUNDUP((K58-0.09)/0.2,0)+1)*2+2*MAX(ROUNDUP((I58+0.31)/0.2,0)-1,0)+(ROUNDUP((DATOS!$B$5+0.09)/0.2,0)+1)*2+2*MAX(ROUNDUP((I58+0.09)/0.2,0)-1,0)),IF(D58&gt;9999,8+2*MAX(ROUNDUP((I58+0.05)/0.25,0),1),16+2*MAX(ROUNDUP((I58+0.10)/0.25,0)-1,0)))*C58*(1+0.40/9)*DATOS!$B$22</f>
        <v/>
      </c>
      <c r="U58" s="20">
        <f>(K58+0.10)*C58</f>
        <v/>
      </c>
      <c r="V58" s="21">
        <f>IF(E58="CAMION",2*C58/0.15,C58/IF(E58="AUTOS",0.15,0.20))</f>
        <v/>
      </c>
      <c r="W58" s="19">
        <f>IF(E58="CAMION",((2*(K58-0.09)+2*(I58+G58+H58-0.09)+0.5)+(2*(DATOS!$B$5+0.09)+2*(I58+0.09)+0.5))/2,IF(D58&gt;9999,(DATOS!$B$5+F58)+2*(I58+G58/2)+0.20,2*(DATOS!$B$5+F58)+2*(I58+(G58+H58)/2)+0.40))</f>
        <v/>
      </c>
      <c r="X58" s="22">
        <f>IF(E58="CAMION",((ROUNDUP((K58-0.09)/0.2,0)+1)*2+2*MAX(ROUNDUP((I58+0.31)/0.2,0)-1,0)+(ROUNDUP((DATOS!$B$5+0.09)/0.2,0)+1)*2+2*MAX(ROUNDUP((I58+0.09)/0.2,0)-1,0)),IF(D58&gt;9999,8+2*MAX(ROUNDUP((I58+0.05)/0.25,0),1),16+2*MAX(ROUNDUP((I58+0.10)/0.25,0)-1,0)))</f>
        <v/>
      </c>
      <c r="Y58" s="7">
        <f>IF(E58="CAMION","1/2","3/8")</f>
        <v/>
      </c>
    </row>
    <row r="59">
      <c r="A59" s="18" t="n">
        <v>98</v>
      </c>
      <c r="B59" s="18" t="n">
        <v>100</v>
      </c>
      <c r="C59" s="19">
        <f>B59-A59</f>
        <v/>
      </c>
      <c r="D59" s="19">
        <f>(A59+B59)/2</f>
        <v/>
      </c>
      <c r="E59" s="7">
        <f>IF(AND(D59&gt;=DATOS!$B$13,D59&lt;DATOS!$B$14),"CAMION",IF(OR(AND(D59&gt;=DATOS!$B$15,D59&lt;=DATOS!$B$16),AND(D59&gt;=DATOS!$B$17,D59&lt;=DATOS!$B$18)),"AUTOS","NORMAL"))</f>
        <v/>
      </c>
      <c r="F59" s="19">
        <f>IF(E59="CAMION",0.15,0.10)</f>
        <v/>
      </c>
      <c r="G59" s="19">
        <f>IF(E59="CAMION",0.20,0.10)</f>
        <v/>
      </c>
      <c r="H59" s="19">
        <f>IF(D59&gt;9999,0,IF(E59="CAMION",0.20,0.10))</f>
        <v/>
      </c>
      <c r="I59" s="20">
        <f>IF(D59&lt;=DATOS!$B$11,DATOS!$B$10-H59-(DATOS!$B$6-DATOS!$B$9*D59),DATOS!$B$12)</f>
        <v/>
      </c>
      <c r="J59" s="15" t="n">
        <v>258.954</v>
      </c>
      <c r="K59" s="19">
        <f>DATOS!$B$5+2*F59</f>
        <v/>
      </c>
      <c r="L59" s="20">
        <f>K59*G59*C59</f>
        <v/>
      </c>
      <c r="M59" s="20">
        <f>2*F59*I59*C59</f>
        <v/>
      </c>
      <c r="N59" s="20">
        <f>K59*H59*C59</f>
        <v/>
      </c>
      <c r="O59" s="20">
        <f>(K59+0.10)*(IF(D59&lt;=DATOS!$B$11,DATOS!$B$10,J59)-((DATOS!$B$6-DATOS!$B$9*D59)-G59-0.05))*C59</f>
        <v/>
      </c>
      <c r="P59" s="20">
        <f>(0.10*(IF(D59&lt;=DATOS!$B$11,DATOS!$B$10,J59)-((DATOS!$B$6-DATOS!$B$9*D59)-G59-0.05))+IF(D59&gt;9999,MAX(0,((DATOS!$B$6-DATOS!$B$9*D59)+I59+H59)-J59)*(0.20+0.75*MAX(0,((DATOS!$B$6-DATOS!$B$9*D59)+I59+H59)-J59)),0))*C59</f>
        <v/>
      </c>
      <c r="Q59" s="20">
        <f>K59*C59</f>
        <v/>
      </c>
      <c r="R59" s="20">
        <f>(2*I59+IF(D59&gt;9999,0,DATOS!$B$5)+(I59+G59+H59)+IF(D59&gt;9999,MAX(0,((DATOS!$B$6-DATOS!$B$9*D59)+I59+H59)-J59),0))*C59</f>
        <v/>
      </c>
      <c r="S59" s="19">
        <f>IF(E59="CAMION",C59/0.15*((2*(K59-0.09)+2*(I59+G59+H59-0.09)+0.5)+(2*(DATOS!$B$5+0.09)+2*(I59+0.09)+0.5))*DATOS!$B$23,C59/IF(E59="AUTOS",0.15,0.20)*IF(D59&gt;9999,(DATOS!$B$5+F59)+2*(I59+G59/2)+0.20,2*(DATOS!$B$5+F59)+2*(I59+(G59+H59)/2)+0.40)*DATOS!$B$22)</f>
        <v/>
      </c>
      <c r="T59" s="19">
        <f>IF(E59="CAMION",((ROUNDUP((K59-0.09)/0.2,0)+1)*2+2*MAX(ROUNDUP((I59+0.31)/0.2,0)-1,0)+(ROUNDUP((DATOS!$B$5+0.09)/0.2,0)+1)*2+2*MAX(ROUNDUP((I59+0.09)/0.2,0)-1,0)),IF(D59&gt;9999,8+2*MAX(ROUNDUP((I59+0.05)/0.25,0),1),16+2*MAX(ROUNDUP((I59+0.10)/0.25,0)-1,0)))*C59*(1+0.40/9)*DATOS!$B$22</f>
        <v/>
      </c>
      <c r="U59" s="20">
        <f>(K59+0.10)*C59</f>
        <v/>
      </c>
      <c r="V59" s="21">
        <f>IF(E59="CAMION",2*C59/0.15,C59/IF(E59="AUTOS",0.15,0.20))</f>
        <v/>
      </c>
      <c r="W59" s="19">
        <f>IF(E59="CAMION",((2*(K59-0.09)+2*(I59+G59+H59-0.09)+0.5)+(2*(DATOS!$B$5+0.09)+2*(I59+0.09)+0.5))/2,IF(D59&gt;9999,(DATOS!$B$5+F59)+2*(I59+G59/2)+0.20,2*(DATOS!$B$5+F59)+2*(I59+(G59+H59)/2)+0.40))</f>
        <v/>
      </c>
      <c r="X59" s="22">
        <f>IF(E59="CAMION",((ROUNDUP((K59-0.09)/0.2,0)+1)*2+2*MAX(ROUNDUP((I59+0.31)/0.2,0)-1,0)+(ROUNDUP((DATOS!$B$5+0.09)/0.2,0)+1)*2+2*MAX(ROUNDUP((I59+0.09)/0.2,0)-1,0)),IF(D59&gt;9999,8+2*MAX(ROUNDUP((I59+0.05)/0.25,0),1),16+2*MAX(ROUNDUP((I59+0.10)/0.25,0)-1,0)))</f>
        <v/>
      </c>
      <c r="Y59" s="7">
        <f>IF(E59="CAMION","1/2","3/8")</f>
        <v/>
      </c>
    </row>
    <row r="60">
      <c r="A60" s="18" t="n">
        <v>100</v>
      </c>
      <c r="B60" s="18" t="n">
        <v>102</v>
      </c>
      <c r="C60" s="19">
        <f>B60-A60</f>
        <v/>
      </c>
      <c r="D60" s="19">
        <f>(A60+B60)/2</f>
        <v/>
      </c>
      <c r="E60" s="7">
        <f>IF(AND(D60&gt;=DATOS!$B$13,D60&lt;DATOS!$B$14),"CAMION",IF(OR(AND(D60&gt;=DATOS!$B$15,D60&lt;=DATOS!$B$16),AND(D60&gt;=DATOS!$B$17,D60&lt;=DATOS!$B$18)),"AUTOS","NORMAL"))</f>
        <v/>
      </c>
      <c r="F60" s="19">
        <f>IF(E60="CAMION",0.15,0.10)</f>
        <v/>
      </c>
      <c r="G60" s="19">
        <f>IF(E60="CAMION",0.20,0.10)</f>
        <v/>
      </c>
      <c r="H60" s="19">
        <f>IF(D60&gt;9999,0,IF(E60="CAMION",0.20,0.10))</f>
        <v/>
      </c>
      <c r="I60" s="20">
        <f>IF(D60&lt;=DATOS!$B$11,DATOS!$B$10-H60-(DATOS!$B$6-DATOS!$B$9*D60),DATOS!$B$12)</f>
        <v/>
      </c>
      <c r="J60" s="15" t="n">
        <v>258.927</v>
      </c>
      <c r="K60" s="19">
        <f>DATOS!$B$5+2*F60</f>
        <v/>
      </c>
      <c r="L60" s="20">
        <f>K60*G60*C60</f>
        <v/>
      </c>
      <c r="M60" s="20">
        <f>2*F60*I60*C60</f>
        <v/>
      </c>
      <c r="N60" s="20">
        <f>K60*H60*C60</f>
        <v/>
      </c>
      <c r="O60" s="20">
        <f>(K60+0.10)*(IF(D60&lt;=DATOS!$B$11,DATOS!$B$10,J60)-((DATOS!$B$6-DATOS!$B$9*D60)-G60-0.05))*C60</f>
        <v/>
      </c>
      <c r="P60" s="20">
        <f>(0.10*(IF(D60&lt;=DATOS!$B$11,DATOS!$B$10,J60)-((DATOS!$B$6-DATOS!$B$9*D60)-G60-0.05))+IF(D60&gt;9999,MAX(0,((DATOS!$B$6-DATOS!$B$9*D60)+I60+H60)-J60)*(0.20+0.75*MAX(0,((DATOS!$B$6-DATOS!$B$9*D60)+I60+H60)-J60)),0))*C60</f>
        <v/>
      </c>
      <c r="Q60" s="20">
        <f>K60*C60</f>
        <v/>
      </c>
      <c r="R60" s="20">
        <f>(2*I60+IF(D60&gt;9999,0,DATOS!$B$5)+(I60+G60+H60)+IF(D60&gt;9999,MAX(0,((DATOS!$B$6-DATOS!$B$9*D60)+I60+H60)-J60),0))*C60</f>
        <v/>
      </c>
      <c r="S60" s="19">
        <f>IF(E60="CAMION",C60/0.15*((2*(K60-0.09)+2*(I60+G60+H60-0.09)+0.5)+(2*(DATOS!$B$5+0.09)+2*(I60+0.09)+0.5))*DATOS!$B$23,C60/IF(E60="AUTOS",0.15,0.20)*IF(D60&gt;9999,(DATOS!$B$5+F60)+2*(I60+G60/2)+0.20,2*(DATOS!$B$5+F60)+2*(I60+(G60+H60)/2)+0.40)*DATOS!$B$22)</f>
        <v/>
      </c>
      <c r="T60" s="19">
        <f>IF(E60="CAMION",((ROUNDUP((K60-0.09)/0.2,0)+1)*2+2*MAX(ROUNDUP((I60+0.31)/0.2,0)-1,0)+(ROUNDUP((DATOS!$B$5+0.09)/0.2,0)+1)*2+2*MAX(ROUNDUP((I60+0.09)/0.2,0)-1,0)),IF(D60&gt;9999,8+2*MAX(ROUNDUP((I60+0.05)/0.25,0),1),16+2*MAX(ROUNDUP((I60+0.10)/0.25,0)-1,0)))*C60*(1+0.40/9)*DATOS!$B$22</f>
        <v/>
      </c>
      <c r="U60" s="20">
        <f>(K60+0.10)*C60</f>
        <v/>
      </c>
      <c r="V60" s="21">
        <f>IF(E60="CAMION",2*C60/0.15,C60/IF(E60="AUTOS",0.15,0.20))</f>
        <v/>
      </c>
      <c r="W60" s="19">
        <f>IF(E60="CAMION",((2*(K60-0.09)+2*(I60+G60+H60-0.09)+0.5)+(2*(DATOS!$B$5+0.09)+2*(I60+0.09)+0.5))/2,IF(D60&gt;9999,(DATOS!$B$5+F60)+2*(I60+G60/2)+0.20,2*(DATOS!$B$5+F60)+2*(I60+(G60+H60)/2)+0.40))</f>
        <v/>
      </c>
      <c r="X60" s="22">
        <f>IF(E60="CAMION",((ROUNDUP((K60-0.09)/0.2,0)+1)*2+2*MAX(ROUNDUP((I60+0.31)/0.2,0)-1,0)+(ROUNDUP((DATOS!$B$5+0.09)/0.2,0)+1)*2+2*MAX(ROUNDUP((I60+0.09)/0.2,0)-1,0)),IF(D60&gt;9999,8+2*MAX(ROUNDUP((I60+0.05)/0.25,0),1),16+2*MAX(ROUNDUP((I60+0.10)/0.25,0)-1,0)))</f>
        <v/>
      </c>
      <c r="Y60" s="7">
        <f>IF(E60="CAMION","1/2","3/8")</f>
        <v/>
      </c>
    </row>
    <row r="61">
      <c r="A61" s="18" t="n">
        <v>102</v>
      </c>
      <c r="B61" s="18" t="n">
        <v>104</v>
      </c>
      <c r="C61" s="19">
        <f>B61-A61</f>
        <v/>
      </c>
      <c r="D61" s="19">
        <f>(A61+B61)/2</f>
        <v/>
      </c>
      <c r="E61" s="7">
        <f>IF(AND(D61&gt;=DATOS!$B$13,D61&lt;DATOS!$B$14),"CAMION",IF(OR(AND(D61&gt;=DATOS!$B$15,D61&lt;=DATOS!$B$16),AND(D61&gt;=DATOS!$B$17,D61&lt;=DATOS!$B$18)),"AUTOS","NORMAL"))</f>
        <v/>
      </c>
      <c r="F61" s="19">
        <f>IF(E61="CAMION",0.15,0.10)</f>
        <v/>
      </c>
      <c r="G61" s="19">
        <f>IF(E61="CAMION",0.20,0.10)</f>
        <v/>
      </c>
      <c r="H61" s="19">
        <f>IF(D61&gt;9999,0,IF(E61="CAMION",0.20,0.10))</f>
        <v/>
      </c>
      <c r="I61" s="20">
        <f>IF(D61&lt;=DATOS!$B$11,DATOS!$B$10-H61-(DATOS!$B$6-DATOS!$B$9*D61),DATOS!$B$12)</f>
        <v/>
      </c>
      <c r="J61" s="15" t="n">
        <v>258.931</v>
      </c>
      <c r="K61" s="19">
        <f>DATOS!$B$5+2*F61</f>
        <v/>
      </c>
      <c r="L61" s="20">
        <f>K61*G61*C61</f>
        <v/>
      </c>
      <c r="M61" s="20">
        <f>2*F61*I61*C61</f>
        <v/>
      </c>
      <c r="N61" s="20">
        <f>K61*H61*C61</f>
        <v/>
      </c>
      <c r="O61" s="20">
        <f>(K61+0.10)*(IF(D61&lt;=DATOS!$B$11,DATOS!$B$10,J61)-((DATOS!$B$6-DATOS!$B$9*D61)-G61-0.05))*C61</f>
        <v/>
      </c>
      <c r="P61" s="20">
        <f>(0.10*(IF(D61&lt;=DATOS!$B$11,DATOS!$B$10,J61)-((DATOS!$B$6-DATOS!$B$9*D61)-G61-0.05))+IF(D61&gt;9999,MAX(0,((DATOS!$B$6-DATOS!$B$9*D61)+I61+H61)-J61)*(0.20+0.75*MAX(0,((DATOS!$B$6-DATOS!$B$9*D61)+I61+H61)-J61)),0))*C61</f>
        <v/>
      </c>
      <c r="Q61" s="20">
        <f>K61*C61</f>
        <v/>
      </c>
      <c r="R61" s="20">
        <f>(2*I61+IF(D61&gt;9999,0,DATOS!$B$5)+(I61+G61+H61)+IF(D61&gt;9999,MAX(0,((DATOS!$B$6-DATOS!$B$9*D61)+I61+H61)-J61),0))*C61</f>
        <v/>
      </c>
      <c r="S61" s="19">
        <f>IF(E61="CAMION",C61/0.15*((2*(K61-0.09)+2*(I61+G61+H61-0.09)+0.5)+(2*(DATOS!$B$5+0.09)+2*(I61+0.09)+0.5))*DATOS!$B$23,C61/IF(E61="AUTOS",0.15,0.20)*IF(D61&gt;9999,(DATOS!$B$5+F61)+2*(I61+G61/2)+0.20,2*(DATOS!$B$5+F61)+2*(I61+(G61+H61)/2)+0.40)*DATOS!$B$22)</f>
        <v/>
      </c>
      <c r="T61" s="19">
        <f>IF(E61="CAMION",((ROUNDUP((K61-0.09)/0.2,0)+1)*2+2*MAX(ROUNDUP((I61+0.31)/0.2,0)-1,0)+(ROUNDUP((DATOS!$B$5+0.09)/0.2,0)+1)*2+2*MAX(ROUNDUP((I61+0.09)/0.2,0)-1,0)),IF(D61&gt;9999,8+2*MAX(ROUNDUP((I61+0.05)/0.25,0),1),16+2*MAX(ROUNDUP((I61+0.10)/0.25,0)-1,0)))*C61*(1+0.40/9)*DATOS!$B$22</f>
        <v/>
      </c>
      <c r="U61" s="20">
        <f>(K61+0.10)*C61</f>
        <v/>
      </c>
      <c r="V61" s="21">
        <f>IF(E61="CAMION",2*C61/0.15,C61/IF(E61="AUTOS",0.15,0.20))</f>
        <v/>
      </c>
      <c r="W61" s="19">
        <f>IF(E61="CAMION",((2*(K61-0.09)+2*(I61+G61+H61-0.09)+0.5)+(2*(DATOS!$B$5+0.09)+2*(I61+0.09)+0.5))/2,IF(D61&gt;9999,(DATOS!$B$5+F61)+2*(I61+G61/2)+0.20,2*(DATOS!$B$5+F61)+2*(I61+(G61+H61)/2)+0.40))</f>
        <v/>
      </c>
      <c r="X61" s="22">
        <f>IF(E61="CAMION",((ROUNDUP((K61-0.09)/0.2,0)+1)*2+2*MAX(ROUNDUP((I61+0.31)/0.2,0)-1,0)+(ROUNDUP((DATOS!$B$5+0.09)/0.2,0)+1)*2+2*MAX(ROUNDUP((I61+0.09)/0.2,0)-1,0)),IF(D61&gt;9999,8+2*MAX(ROUNDUP((I61+0.05)/0.25,0),1),16+2*MAX(ROUNDUP((I61+0.10)/0.25,0)-1,0)))</f>
        <v/>
      </c>
      <c r="Y61" s="7">
        <f>IF(E61="CAMION","1/2","3/8")</f>
        <v/>
      </c>
    </row>
    <row r="62">
      <c r="A62" s="18" t="n">
        <v>104</v>
      </c>
      <c r="B62" s="18" t="n">
        <v>106</v>
      </c>
      <c r="C62" s="19">
        <f>B62-A62</f>
        <v/>
      </c>
      <c r="D62" s="19">
        <f>(A62+B62)/2</f>
        <v/>
      </c>
      <c r="E62" s="7">
        <f>IF(AND(D62&gt;=DATOS!$B$13,D62&lt;DATOS!$B$14),"CAMION",IF(OR(AND(D62&gt;=DATOS!$B$15,D62&lt;=DATOS!$B$16),AND(D62&gt;=DATOS!$B$17,D62&lt;=DATOS!$B$18)),"AUTOS","NORMAL"))</f>
        <v/>
      </c>
      <c r="F62" s="19">
        <f>IF(E62="CAMION",0.15,0.10)</f>
        <v/>
      </c>
      <c r="G62" s="19">
        <f>IF(E62="CAMION",0.20,0.10)</f>
        <v/>
      </c>
      <c r="H62" s="19">
        <f>IF(D62&gt;9999,0,IF(E62="CAMION",0.20,0.10))</f>
        <v/>
      </c>
      <c r="I62" s="20">
        <f>IF(D62&lt;=DATOS!$B$11,DATOS!$B$10-H62-(DATOS!$B$6-DATOS!$B$9*D62),DATOS!$B$12)</f>
        <v/>
      </c>
      <c r="J62" s="15" t="n">
        <v>258.947</v>
      </c>
      <c r="K62" s="19">
        <f>DATOS!$B$5+2*F62</f>
        <v/>
      </c>
      <c r="L62" s="20">
        <f>K62*G62*C62</f>
        <v/>
      </c>
      <c r="M62" s="20">
        <f>2*F62*I62*C62</f>
        <v/>
      </c>
      <c r="N62" s="20">
        <f>K62*H62*C62</f>
        <v/>
      </c>
      <c r="O62" s="20">
        <f>(K62+0.10)*(IF(D62&lt;=DATOS!$B$11,DATOS!$B$10,J62)-((DATOS!$B$6-DATOS!$B$9*D62)-G62-0.05))*C62</f>
        <v/>
      </c>
      <c r="P62" s="20">
        <f>(0.10*(IF(D62&lt;=DATOS!$B$11,DATOS!$B$10,J62)-((DATOS!$B$6-DATOS!$B$9*D62)-G62-0.05))+IF(D62&gt;9999,MAX(0,((DATOS!$B$6-DATOS!$B$9*D62)+I62+H62)-J62)*(0.20+0.75*MAX(0,((DATOS!$B$6-DATOS!$B$9*D62)+I62+H62)-J62)),0))*C62</f>
        <v/>
      </c>
      <c r="Q62" s="20">
        <f>K62*C62</f>
        <v/>
      </c>
      <c r="R62" s="20">
        <f>(2*I62+IF(D62&gt;9999,0,DATOS!$B$5)+(I62+G62+H62)+IF(D62&gt;9999,MAX(0,((DATOS!$B$6-DATOS!$B$9*D62)+I62+H62)-J62),0))*C62</f>
        <v/>
      </c>
      <c r="S62" s="19">
        <f>IF(E62="CAMION",C62/0.15*((2*(K62-0.09)+2*(I62+G62+H62-0.09)+0.5)+(2*(DATOS!$B$5+0.09)+2*(I62+0.09)+0.5))*DATOS!$B$23,C62/IF(E62="AUTOS",0.15,0.20)*IF(D62&gt;9999,(DATOS!$B$5+F62)+2*(I62+G62/2)+0.20,2*(DATOS!$B$5+F62)+2*(I62+(G62+H62)/2)+0.40)*DATOS!$B$22)</f>
        <v/>
      </c>
      <c r="T62" s="19">
        <f>IF(E62="CAMION",((ROUNDUP((K62-0.09)/0.2,0)+1)*2+2*MAX(ROUNDUP((I62+0.31)/0.2,0)-1,0)+(ROUNDUP((DATOS!$B$5+0.09)/0.2,0)+1)*2+2*MAX(ROUNDUP((I62+0.09)/0.2,0)-1,0)),IF(D62&gt;9999,8+2*MAX(ROUNDUP((I62+0.05)/0.25,0),1),16+2*MAX(ROUNDUP((I62+0.10)/0.25,0)-1,0)))*C62*(1+0.40/9)*DATOS!$B$22</f>
        <v/>
      </c>
      <c r="U62" s="20">
        <f>(K62+0.10)*C62</f>
        <v/>
      </c>
      <c r="V62" s="21">
        <f>IF(E62="CAMION",2*C62/0.15,C62/IF(E62="AUTOS",0.15,0.20))</f>
        <v/>
      </c>
      <c r="W62" s="19">
        <f>IF(E62="CAMION",((2*(K62-0.09)+2*(I62+G62+H62-0.09)+0.5)+(2*(DATOS!$B$5+0.09)+2*(I62+0.09)+0.5))/2,IF(D62&gt;9999,(DATOS!$B$5+F62)+2*(I62+G62/2)+0.20,2*(DATOS!$B$5+F62)+2*(I62+(G62+H62)/2)+0.40))</f>
        <v/>
      </c>
      <c r="X62" s="22">
        <f>IF(E62="CAMION",((ROUNDUP((K62-0.09)/0.2,0)+1)*2+2*MAX(ROUNDUP((I62+0.31)/0.2,0)-1,0)+(ROUNDUP((DATOS!$B$5+0.09)/0.2,0)+1)*2+2*MAX(ROUNDUP((I62+0.09)/0.2,0)-1,0)),IF(D62&gt;9999,8+2*MAX(ROUNDUP((I62+0.05)/0.25,0),1),16+2*MAX(ROUNDUP((I62+0.10)/0.25,0)-1,0)))</f>
        <v/>
      </c>
      <c r="Y62" s="7">
        <f>IF(E62="CAMION","1/2","3/8")</f>
        <v/>
      </c>
    </row>
    <row r="63">
      <c r="A63" s="18" t="n">
        <v>106</v>
      </c>
      <c r="B63" s="18" t="n">
        <v>108</v>
      </c>
      <c r="C63" s="19">
        <f>B63-A63</f>
        <v/>
      </c>
      <c r="D63" s="19">
        <f>(A63+B63)/2</f>
        <v/>
      </c>
      <c r="E63" s="7">
        <f>IF(AND(D63&gt;=DATOS!$B$13,D63&lt;DATOS!$B$14),"CAMION",IF(OR(AND(D63&gt;=DATOS!$B$15,D63&lt;=DATOS!$B$16),AND(D63&gt;=DATOS!$B$17,D63&lt;=DATOS!$B$18)),"AUTOS","NORMAL"))</f>
        <v/>
      </c>
      <c r="F63" s="19">
        <f>IF(E63="CAMION",0.15,0.10)</f>
        <v/>
      </c>
      <c r="G63" s="19">
        <f>IF(E63="CAMION",0.20,0.10)</f>
        <v/>
      </c>
      <c r="H63" s="19">
        <f>IF(D63&gt;9999,0,IF(E63="CAMION",0.20,0.10))</f>
        <v/>
      </c>
      <c r="I63" s="20">
        <f>IF(D63&lt;=DATOS!$B$11,DATOS!$B$10-H63-(DATOS!$B$6-DATOS!$B$9*D63),DATOS!$B$12)</f>
        <v/>
      </c>
      <c r="J63" s="15" t="n">
        <v>258.939</v>
      </c>
      <c r="K63" s="19">
        <f>DATOS!$B$5+2*F63</f>
        <v/>
      </c>
      <c r="L63" s="20">
        <f>K63*G63*C63</f>
        <v/>
      </c>
      <c r="M63" s="20">
        <f>2*F63*I63*C63</f>
        <v/>
      </c>
      <c r="N63" s="20">
        <f>K63*H63*C63</f>
        <v/>
      </c>
      <c r="O63" s="20">
        <f>(K63+0.10)*(IF(D63&lt;=DATOS!$B$11,DATOS!$B$10,J63)-((DATOS!$B$6-DATOS!$B$9*D63)-G63-0.05))*C63</f>
        <v/>
      </c>
      <c r="P63" s="20">
        <f>(0.10*(IF(D63&lt;=DATOS!$B$11,DATOS!$B$10,J63)-((DATOS!$B$6-DATOS!$B$9*D63)-G63-0.05))+IF(D63&gt;9999,MAX(0,((DATOS!$B$6-DATOS!$B$9*D63)+I63+H63)-J63)*(0.20+0.75*MAX(0,((DATOS!$B$6-DATOS!$B$9*D63)+I63+H63)-J63)),0))*C63</f>
        <v/>
      </c>
      <c r="Q63" s="20">
        <f>K63*C63</f>
        <v/>
      </c>
      <c r="R63" s="20">
        <f>(2*I63+IF(D63&gt;9999,0,DATOS!$B$5)+(I63+G63+H63)+IF(D63&gt;9999,MAX(0,((DATOS!$B$6-DATOS!$B$9*D63)+I63+H63)-J63),0))*C63</f>
        <v/>
      </c>
      <c r="S63" s="19">
        <f>IF(E63="CAMION",C63/0.15*((2*(K63-0.09)+2*(I63+G63+H63-0.09)+0.5)+(2*(DATOS!$B$5+0.09)+2*(I63+0.09)+0.5))*DATOS!$B$23,C63/IF(E63="AUTOS",0.15,0.20)*IF(D63&gt;9999,(DATOS!$B$5+F63)+2*(I63+G63/2)+0.20,2*(DATOS!$B$5+F63)+2*(I63+(G63+H63)/2)+0.40)*DATOS!$B$22)</f>
        <v/>
      </c>
      <c r="T63" s="19">
        <f>IF(E63="CAMION",((ROUNDUP((K63-0.09)/0.2,0)+1)*2+2*MAX(ROUNDUP((I63+0.31)/0.2,0)-1,0)+(ROUNDUP((DATOS!$B$5+0.09)/0.2,0)+1)*2+2*MAX(ROUNDUP((I63+0.09)/0.2,0)-1,0)),IF(D63&gt;9999,8+2*MAX(ROUNDUP((I63+0.05)/0.25,0),1),16+2*MAX(ROUNDUP((I63+0.10)/0.25,0)-1,0)))*C63*(1+0.40/9)*DATOS!$B$22</f>
        <v/>
      </c>
      <c r="U63" s="20">
        <f>(K63+0.10)*C63</f>
        <v/>
      </c>
      <c r="V63" s="21">
        <f>IF(E63="CAMION",2*C63/0.15,C63/IF(E63="AUTOS",0.15,0.20))</f>
        <v/>
      </c>
      <c r="W63" s="19">
        <f>IF(E63="CAMION",((2*(K63-0.09)+2*(I63+G63+H63-0.09)+0.5)+(2*(DATOS!$B$5+0.09)+2*(I63+0.09)+0.5))/2,IF(D63&gt;9999,(DATOS!$B$5+F63)+2*(I63+G63/2)+0.20,2*(DATOS!$B$5+F63)+2*(I63+(G63+H63)/2)+0.40))</f>
        <v/>
      </c>
      <c r="X63" s="22">
        <f>IF(E63="CAMION",((ROUNDUP((K63-0.09)/0.2,0)+1)*2+2*MAX(ROUNDUP((I63+0.31)/0.2,0)-1,0)+(ROUNDUP((DATOS!$B$5+0.09)/0.2,0)+1)*2+2*MAX(ROUNDUP((I63+0.09)/0.2,0)-1,0)),IF(D63&gt;9999,8+2*MAX(ROUNDUP((I63+0.05)/0.25,0),1),16+2*MAX(ROUNDUP((I63+0.10)/0.25,0)-1,0)))</f>
        <v/>
      </c>
      <c r="Y63" s="7">
        <f>IF(E63="CAMION","1/2","3/8")</f>
        <v/>
      </c>
    </row>
    <row r="64">
      <c r="A64" s="18" t="n">
        <v>108</v>
      </c>
      <c r="B64" s="18" t="n">
        <v>110</v>
      </c>
      <c r="C64" s="19">
        <f>B64-A64</f>
        <v/>
      </c>
      <c r="D64" s="19">
        <f>(A64+B64)/2</f>
        <v/>
      </c>
      <c r="E64" s="7">
        <f>IF(AND(D64&gt;=DATOS!$B$13,D64&lt;DATOS!$B$14),"CAMION",IF(OR(AND(D64&gt;=DATOS!$B$15,D64&lt;=DATOS!$B$16),AND(D64&gt;=DATOS!$B$17,D64&lt;=DATOS!$B$18)),"AUTOS","NORMAL"))</f>
        <v/>
      </c>
      <c r="F64" s="19">
        <f>IF(E64="CAMION",0.15,0.10)</f>
        <v/>
      </c>
      <c r="G64" s="19">
        <f>IF(E64="CAMION",0.20,0.10)</f>
        <v/>
      </c>
      <c r="H64" s="19">
        <f>IF(D64&gt;9999,0,IF(E64="CAMION",0.20,0.10))</f>
        <v/>
      </c>
      <c r="I64" s="20">
        <f>IF(D64&lt;=DATOS!$B$11,DATOS!$B$10-H64-(DATOS!$B$6-DATOS!$B$9*D64),DATOS!$B$12)</f>
        <v/>
      </c>
      <c r="J64" s="15" t="n">
        <v>258.94</v>
      </c>
      <c r="K64" s="19">
        <f>DATOS!$B$5+2*F64</f>
        <v/>
      </c>
      <c r="L64" s="20">
        <f>K64*G64*C64</f>
        <v/>
      </c>
      <c r="M64" s="20">
        <f>2*F64*I64*C64</f>
        <v/>
      </c>
      <c r="N64" s="20">
        <f>K64*H64*C64</f>
        <v/>
      </c>
      <c r="O64" s="20">
        <f>(K64+0.10)*(IF(D64&lt;=DATOS!$B$11,DATOS!$B$10,J64)-((DATOS!$B$6-DATOS!$B$9*D64)-G64-0.05))*C64</f>
        <v/>
      </c>
      <c r="P64" s="20">
        <f>(0.10*(IF(D64&lt;=DATOS!$B$11,DATOS!$B$10,J64)-((DATOS!$B$6-DATOS!$B$9*D64)-G64-0.05))+IF(D64&gt;9999,MAX(0,((DATOS!$B$6-DATOS!$B$9*D64)+I64+H64)-J64)*(0.20+0.75*MAX(0,((DATOS!$B$6-DATOS!$B$9*D64)+I64+H64)-J64)),0))*C64</f>
        <v/>
      </c>
      <c r="Q64" s="20">
        <f>K64*C64</f>
        <v/>
      </c>
      <c r="R64" s="20">
        <f>(2*I64+IF(D64&gt;9999,0,DATOS!$B$5)+(I64+G64+H64)+IF(D64&gt;9999,MAX(0,((DATOS!$B$6-DATOS!$B$9*D64)+I64+H64)-J64),0))*C64</f>
        <v/>
      </c>
      <c r="S64" s="19">
        <f>IF(E64="CAMION",C64/0.15*((2*(K64-0.09)+2*(I64+G64+H64-0.09)+0.5)+(2*(DATOS!$B$5+0.09)+2*(I64+0.09)+0.5))*DATOS!$B$23,C64/IF(E64="AUTOS",0.15,0.20)*IF(D64&gt;9999,(DATOS!$B$5+F64)+2*(I64+G64/2)+0.20,2*(DATOS!$B$5+F64)+2*(I64+(G64+H64)/2)+0.40)*DATOS!$B$22)</f>
        <v/>
      </c>
      <c r="T64" s="19">
        <f>IF(E64="CAMION",((ROUNDUP((K64-0.09)/0.2,0)+1)*2+2*MAX(ROUNDUP((I64+0.31)/0.2,0)-1,0)+(ROUNDUP((DATOS!$B$5+0.09)/0.2,0)+1)*2+2*MAX(ROUNDUP((I64+0.09)/0.2,0)-1,0)),IF(D64&gt;9999,8+2*MAX(ROUNDUP((I64+0.05)/0.25,0),1),16+2*MAX(ROUNDUP((I64+0.10)/0.25,0)-1,0)))*C64*(1+0.40/9)*DATOS!$B$22</f>
        <v/>
      </c>
      <c r="U64" s="20">
        <f>(K64+0.10)*C64</f>
        <v/>
      </c>
      <c r="V64" s="21">
        <f>IF(E64="CAMION",2*C64/0.15,C64/IF(E64="AUTOS",0.15,0.20))</f>
        <v/>
      </c>
      <c r="W64" s="19">
        <f>IF(E64="CAMION",((2*(K64-0.09)+2*(I64+G64+H64-0.09)+0.5)+(2*(DATOS!$B$5+0.09)+2*(I64+0.09)+0.5))/2,IF(D64&gt;9999,(DATOS!$B$5+F64)+2*(I64+G64/2)+0.20,2*(DATOS!$B$5+F64)+2*(I64+(G64+H64)/2)+0.40))</f>
        <v/>
      </c>
      <c r="X64" s="22">
        <f>IF(E64="CAMION",((ROUNDUP((K64-0.09)/0.2,0)+1)*2+2*MAX(ROUNDUP((I64+0.31)/0.2,0)-1,0)+(ROUNDUP((DATOS!$B$5+0.09)/0.2,0)+1)*2+2*MAX(ROUNDUP((I64+0.09)/0.2,0)-1,0)),IF(D64&gt;9999,8+2*MAX(ROUNDUP((I64+0.05)/0.25,0),1),16+2*MAX(ROUNDUP((I64+0.10)/0.25,0)-1,0)))</f>
        <v/>
      </c>
      <c r="Y64" s="7">
        <f>IF(E64="CAMION","1/2","3/8")</f>
        <v/>
      </c>
    </row>
    <row r="65">
      <c r="A65" s="18" t="n">
        <v>110</v>
      </c>
      <c r="B65" s="18" t="n">
        <v>112</v>
      </c>
      <c r="C65" s="19">
        <f>B65-A65</f>
        <v/>
      </c>
      <c r="D65" s="19">
        <f>(A65+B65)/2</f>
        <v/>
      </c>
      <c r="E65" s="7">
        <f>IF(AND(D65&gt;=DATOS!$B$13,D65&lt;DATOS!$B$14),"CAMION",IF(OR(AND(D65&gt;=DATOS!$B$15,D65&lt;=DATOS!$B$16),AND(D65&gt;=DATOS!$B$17,D65&lt;=DATOS!$B$18)),"AUTOS","NORMAL"))</f>
        <v/>
      </c>
      <c r="F65" s="19">
        <f>IF(E65="CAMION",0.15,0.10)</f>
        <v/>
      </c>
      <c r="G65" s="19">
        <f>IF(E65="CAMION",0.20,0.10)</f>
        <v/>
      </c>
      <c r="H65" s="19">
        <f>IF(D65&gt;9999,0,IF(E65="CAMION",0.20,0.10))</f>
        <v/>
      </c>
      <c r="I65" s="20">
        <f>IF(D65&lt;=DATOS!$B$11,DATOS!$B$10-H65-(DATOS!$B$6-DATOS!$B$9*D65),DATOS!$B$12)</f>
        <v/>
      </c>
      <c r="J65" s="15" t="n">
        <v>258.93</v>
      </c>
      <c r="K65" s="19">
        <f>DATOS!$B$5+2*F65</f>
        <v/>
      </c>
      <c r="L65" s="20">
        <f>K65*G65*C65</f>
        <v/>
      </c>
      <c r="M65" s="20">
        <f>2*F65*I65*C65</f>
        <v/>
      </c>
      <c r="N65" s="20">
        <f>K65*H65*C65</f>
        <v/>
      </c>
      <c r="O65" s="20">
        <f>(K65+0.10)*(IF(D65&lt;=DATOS!$B$11,DATOS!$B$10,J65)-((DATOS!$B$6-DATOS!$B$9*D65)-G65-0.05))*C65</f>
        <v/>
      </c>
      <c r="P65" s="20">
        <f>(0.10*(IF(D65&lt;=DATOS!$B$11,DATOS!$B$10,J65)-((DATOS!$B$6-DATOS!$B$9*D65)-G65-0.05))+IF(D65&gt;9999,MAX(0,((DATOS!$B$6-DATOS!$B$9*D65)+I65+H65)-J65)*(0.20+0.75*MAX(0,((DATOS!$B$6-DATOS!$B$9*D65)+I65+H65)-J65)),0))*C65</f>
        <v/>
      </c>
      <c r="Q65" s="20">
        <f>K65*C65</f>
        <v/>
      </c>
      <c r="R65" s="20">
        <f>(2*I65+IF(D65&gt;9999,0,DATOS!$B$5)+(I65+G65+H65)+IF(D65&gt;9999,MAX(0,((DATOS!$B$6-DATOS!$B$9*D65)+I65+H65)-J65),0))*C65</f>
        <v/>
      </c>
      <c r="S65" s="19">
        <f>IF(E65="CAMION",C65/0.15*((2*(K65-0.09)+2*(I65+G65+H65-0.09)+0.5)+(2*(DATOS!$B$5+0.09)+2*(I65+0.09)+0.5))*DATOS!$B$23,C65/IF(E65="AUTOS",0.15,0.20)*IF(D65&gt;9999,(DATOS!$B$5+F65)+2*(I65+G65/2)+0.20,2*(DATOS!$B$5+F65)+2*(I65+(G65+H65)/2)+0.40)*DATOS!$B$22)</f>
        <v/>
      </c>
      <c r="T65" s="19">
        <f>IF(E65="CAMION",((ROUNDUP((K65-0.09)/0.2,0)+1)*2+2*MAX(ROUNDUP((I65+0.31)/0.2,0)-1,0)+(ROUNDUP((DATOS!$B$5+0.09)/0.2,0)+1)*2+2*MAX(ROUNDUP((I65+0.09)/0.2,0)-1,0)),IF(D65&gt;9999,8+2*MAX(ROUNDUP((I65+0.05)/0.25,0),1),16+2*MAX(ROUNDUP((I65+0.10)/0.25,0)-1,0)))*C65*(1+0.40/9)*DATOS!$B$22</f>
        <v/>
      </c>
      <c r="U65" s="20">
        <f>(K65+0.10)*C65</f>
        <v/>
      </c>
      <c r="V65" s="21">
        <f>IF(E65="CAMION",2*C65/0.15,C65/IF(E65="AUTOS",0.15,0.20))</f>
        <v/>
      </c>
      <c r="W65" s="19">
        <f>IF(E65="CAMION",((2*(K65-0.09)+2*(I65+G65+H65-0.09)+0.5)+(2*(DATOS!$B$5+0.09)+2*(I65+0.09)+0.5))/2,IF(D65&gt;9999,(DATOS!$B$5+F65)+2*(I65+G65/2)+0.20,2*(DATOS!$B$5+F65)+2*(I65+(G65+H65)/2)+0.40))</f>
        <v/>
      </c>
      <c r="X65" s="22">
        <f>IF(E65="CAMION",((ROUNDUP((K65-0.09)/0.2,0)+1)*2+2*MAX(ROUNDUP((I65+0.31)/0.2,0)-1,0)+(ROUNDUP((DATOS!$B$5+0.09)/0.2,0)+1)*2+2*MAX(ROUNDUP((I65+0.09)/0.2,0)-1,0)),IF(D65&gt;9999,8+2*MAX(ROUNDUP((I65+0.05)/0.25,0),1),16+2*MAX(ROUNDUP((I65+0.10)/0.25,0)-1,0)))</f>
        <v/>
      </c>
      <c r="Y65" s="7">
        <f>IF(E65="CAMION","1/2","3/8")</f>
        <v/>
      </c>
    </row>
    <row r="66">
      <c r="A66" s="18" t="n">
        <v>112</v>
      </c>
      <c r="B66" s="18" t="n">
        <v>114</v>
      </c>
      <c r="C66" s="19">
        <f>B66-A66</f>
        <v/>
      </c>
      <c r="D66" s="19">
        <f>(A66+B66)/2</f>
        <v/>
      </c>
      <c r="E66" s="7">
        <f>IF(AND(D66&gt;=DATOS!$B$13,D66&lt;DATOS!$B$14),"CAMION",IF(OR(AND(D66&gt;=DATOS!$B$15,D66&lt;=DATOS!$B$16),AND(D66&gt;=DATOS!$B$17,D66&lt;=DATOS!$B$18)),"AUTOS","NORMAL"))</f>
        <v/>
      </c>
      <c r="F66" s="19">
        <f>IF(E66="CAMION",0.15,0.10)</f>
        <v/>
      </c>
      <c r="G66" s="19">
        <f>IF(E66="CAMION",0.20,0.10)</f>
        <v/>
      </c>
      <c r="H66" s="19">
        <f>IF(D66&gt;9999,0,IF(E66="CAMION",0.20,0.10))</f>
        <v/>
      </c>
      <c r="I66" s="20">
        <f>IF(D66&lt;=DATOS!$B$11,DATOS!$B$10-H66-(DATOS!$B$6-DATOS!$B$9*D66),DATOS!$B$12)</f>
        <v/>
      </c>
      <c r="J66" s="15" t="n">
        <v>258.969</v>
      </c>
      <c r="K66" s="19">
        <f>DATOS!$B$5+2*F66</f>
        <v/>
      </c>
      <c r="L66" s="20">
        <f>K66*G66*C66</f>
        <v/>
      </c>
      <c r="M66" s="20">
        <f>2*F66*I66*C66</f>
        <v/>
      </c>
      <c r="N66" s="20">
        <f>K66*H66*C66</f>
        <v/>
      </c>
      <c r="O66" s="20">
        <f>(K66+0.10)*(IF(D66&lt;=DATOS!$B$11,DATOS!$B$10,J66)-((DATOS!$B$6-DATOS!$B$9*D66)-G66-0.05))*C66</f>
        <v/>
      </c>
      <c r="P66" s="20">
        <f>(0.10*(IF(D66&lt;=DATOS!$B$11,DATOS!$B$10,J66)-((DATOS!$B$6-DATOS!$B$9*D66)-G66-0.05))+IF(D66&gt;9999,MAX(0,((DATOS!$B$6-DATOS!$B$9*D66)+I66+H66)-J66)*(0.20+0.75*MAX(0,((DATOS!$B$6-DATOS!$B$9*D66)+I66+H66)-J66)),0))*C66</f>
        <v/>
      </c>
      <c r="Q66" s="20">
        <f>K66*C66</f>
        <v/>
      </c>
      <c r="R66" s="20">
        <f>(2*I66+IF(D66&gt;9999,0,DATOS!$B$5)+(I66+G66+H66)+IF(D66&gt;9999,MAX(0,((DATOS!$B$6-DATOS!$B$9*D66)+I66+H66)-J66),0))*C66</f>
        <v/>
      </c>
      <c r="S66" s="19">
        <f>IF(E66="CAMION",C66/0.15*((2*(K66-0.09)+2*(I66+G66+H66-0.09)+0.5)+(2*(DATOS!$B$5+0.09)+2*(I66+0.09)+0.5))*DATOS!$B$23,C66/IF(E66="AUTOS",0.15,0.20)*IF(D66&gt;9999,(DATOS!$B$5+F66)+2*(I66+G66/2)+0.20,2*(DATOS!$B$5+F66)+2*(I66+(G66+H66)/2)+0.40)*DATOS!$B$22)</f>
        <v/>
      </c>
      <c r="T66" s="19">
        <f>IF(E66="CAMION",((ROUNDUP((K66-0.09)/0.2,0)+1)*2+2*MAX(ROUNDUP((I66+0.31)/0.2,0)-1,0)+(ROUNDUP((DATOS!$B$5+0.09)/0.2,0)+1)*2+2*MAX(ROUNDUP((I66+0.09)/0.2,0)-1,0)),IF(D66&gt;9999,8+2*MAX(ROUNDUP((I66+0.05)/0.25,0),1),16+2*MAX(ROUNDUP((I66+0.10)/0.25,0)-1,0)))*C66*(1+0.40/9)*DATOS!$B$22</f>
        <v/>
      </c>
      <c r="U66" s="20">
        <f>(K66+0.10)*C66</f>
        <v/>
      </c>
      <c r="V66" s="21">
        <f>IF(E66="CAMION",2*C66/0.15,C66/IF(E66="AUTOS",0.15,0.20))</f>
        <v/>
      </c>
      <c r="W66" s="19">
        <f>IF(E66="CAMION",((2*(K66-0.09)+2*(I66+G66+H66-0.09)+0.5)+(2*(DATOS!$B$5+0.09)+2*(I66+0.09)+0.5))/2,IF(D66&gt;9999,(DATOS!$B$5+F66)+2*(I66+G66/2)+0.20,2*(DATOS!$B$5+F66)+2*(I66+(G66+H66)/2)+0.40))</f>
        <v/>
      </c>
      <c r="X66" s="22">
        <f>IF(E66="CAMION",((ROUNDUP((K66-0.09)/0.2,0)+1)*2+2*MAX(ROUNDUP((I66+0.31)/0.2,0)-1,0)+(ROUNDUP((DATOS!$B$5+0.09)/0.2,0)+1)*2+2*MAX(ROUNDUP((I66+0.09)/0.2,0)-1,0)),IF(D66&gt;9999,8+2*MAX(ROUNDUP((I66+0.05)/0.25,0),1),16+2*MAX(ROUNDUP((I66+0.10)/0.25,0)-1,0)))</f>
        <v/>
      </c>
      <c r="Y66" s="7">
        <f>IF(E66="CAMION","1/2","3/8")</f>
        <v/>
      </c>
    </row>
    <row r="67">
      <c r="A67" s="18" t="n">
        <v>114</v>
      </c>
      <c r="B67" s="18" t="n">
        <v>116</v>
      </c>
      <c r="C67" s="19">
        <f>B67-A67</f>
        <v/>
      </c>
      <c r="D67" s="19">
        <f>(A67+B67)/2</f>
        <v/>
      </c>
      <c r="E67" s="7">
        <f>IF(AND(D67&gt;=DATOS!$B$13,D67&lt;DATOS!$B$14),"CAMION",IF(OR(AND(D67&gt;=DATOS!$B$15,D67&lt;=DATOS!$B$16),AND(D67&gt;=DATOS!$B$17,D67&lt;=DATOS!$B$18)),"AUTOS","NORMAL"))</f>
        <v/>
      </c>
      <c r="F67" s="19">
        <f>IF(E67="CAMION",0.15,0.10)</f>
        <v/>
      </c>
      <c r="G67" s="19">
        <f>IF(E67="CAMION",0.20,0.10)</f>
        <v/>
      </c>
      <c r="H67" s="19">
        <f>IF(D67&gt;9999,0,IF(E67="CAMION",0.20,0.10))</f>
        <v/>
      </c>
      <c r="I67" s="20">
        <f>IF(D67&lt;=DATOS!$B$11,DATOS!$B$10-H67-(DATOS!$B$6-DATOS!$B$9*D67),DATOS!$B$12)</f>
        <v/>
      </c>
      <c r="J67" s="15" t="n">
        <v>258.978</v>
      </c>
      <c r="K67" s="19">
        <f>DATOS!$B$5+2*F67</f>
        <v/>
      </c>
      <c r="L67" s="20">
        <f>K67*G67*C67</f>
        <v/>
      </c>
      <c r="M67" s="20">
        <f>2*F67*I67*C67</f>
        <v/>
      </c>
      <c r="N67" s="20">
        <f>K67*H67*C67</f>
        <v/>
      </c>
      <c r="O67" s="20">
        <f>(K67+0.10)*(IF(D67&lt;=DATOS!$B$11,DATOS!$B$10,J67)-((DATOS!$B$6-DATOS!$B$9*D67)-G67-0.05))*C67</f>
        <v/>
      </c>
      <c r="P67" s="20">
        <f>(0.10*(IF(D67&lt;=DATOS!$B$11,DATOS!$B$10,J67)-((DATOS!$B$6-DATOS!$B$9*D67)-G67-0.05))+IF(D67&gt;9999,MAX(0,((DATOS!$B$6-DATOS!$B$9*D67)+I67+H67)-J67)*(0.20+0.75*MAX(0,((DATOS!$B$6-DATOS!$B$9*D67)+I67+H67)-J67)),0))*C67</f>
        <v/>
      </c>
      <c r="Q67" s="20">
        <f>K67*C67</f>
        <v/>
      </c>
      <c r="R67" s="20">
        <f>(2*I67+IF(D67&gt;9999,0,DATOS!$B$5)+(I67+G67+H67)+IF(D67&gt;9999,MAX(0,((DATOS!$B$6-DATOS!$B$9*D67)+I67+H67)-J67),0))*C67</f>
        <v/>
      </c>
      <c r="S67" s="19">
        <f>IF(E67="CAMION",C67/0.15*((2*(K67-0.09)+2*(I67+G67+H67-0.09)+0.5)+(2*(DATOS!$B$5+0.09)+2*(I67+0.09)+0.5))*DATOS!$B$23,C67/IF(E67="AUTOS",0.15,0.20)*IF(D67&gt;9999,(DATOS!$B$5+F67)+2*(I67+G67/2)+0.20,2*(DATOS!$B$5+F67)+2*(I67+(G67+H67)/2)+0.40)*DATOS!$B$22)</f>
        <v/>
      </c>
      <c r="T67" s="19">
        <f>IF(E67="CAMION",((ROUNDUP((K67-0.09)/0.2,0)+1)*2+2*MAX(ROUNDUP((I67+0.31)/0.2,0)-1,0)+(ROUNDUP((DATOS!$B$5+0.09)/0.2,0)+1)*2+2*MAX(ROUNDUP((I67+0.09)/0.2,0)-1,0)),IF(D67&gt;9999,8+2*MAX(ROUNDUP((I67+0.05)/0.25,0),1),16+2*MAX(ROUNDUP((I67+0.10)/0.25,0)-1,0)))*C67*(1+0.40/9)*DATOS!$B$22</f>
        <v/>
      </c>
      <c r="U67" s="20">
        <f>(K67+0.10)*C67</f>
        <v/>
      </c>
      <c r="V67" s="21">
        <f>IF(E67="CAMION",2*C67/0.15,C67/IF(E67="AUTOS",0.15,0.20))</f>
        <v/>
      </c>
      <c r="W67" s="19">
        <f>IF(E67="CAMION",((2*(K67-0.09)+2*(I67+G67+H67-0.09)+0.5)+(2*(DATOS!$B$5+0.09)+2*(I67+0.09)+0.5))/2,IF(D67&gt;9999,(DATOS!$B$5+F67)+2*(I67+G67/2)+0.20,2*(DATOS!$B$5+F67)+2*(I67+(G67+H67)/2)+0.40))</f>
        <v/>
      </c>
      <c r="X67" s="22">
        <f>IF(E67="CAMION",((ROUNDUP((K67-0.09)/0.2,0)+1)*2+2*MAX(ROUNDUP((I67+0.31)/0.2,0)-1,0)+(ROUNDUP((DATOS!$B$5+0.09)/0.2,0)+1)*2+2*MAX(ROUNDUP((I67+0.09)/0.2,0)-1,0)),IF(D67&gt;9999,8+2*MAX(ROUNDUP((I67+0.05)/0.25,0),1),16+2*MAX(ROUNDUP((I67+0.10)/0.25,0)-1,0)))</f>
        <v/>
      </c>
      <c r="Y67" s="7">
        <f>IF(E67="CAMION","1/2","3/8")</f>
        <v/>
      </c>
    </row>
    <row r="68">
      <c r="A68" s="18" t="n">
        <v>116</v>
      </c>
      <c r="B68" s="18" t="n">
        <v>118</v>
      </c>
      <c r="C68" s="19">
        <f>B68-A68</f>
        <v/>
      </c>
      <c r="D68" s="19">
        <f>(A68+B68)/2</f>
        <v/>
      </c>
      <c r="E68" s="7">
        <f>IF(AND(D68&gt;=DATOS!$B$13,D68&lt;DATOS!$B$14),"CAMION",IF(OR(AND(D68&gt;=DATOS!$B$15,D68&lt;=DATOS!$B$16),AND(D68&gt;=DATOS!$B$17,D68&lt;=DATOS!$B$18)),"AUTOS","NORMAL"))</f>
        <v/>
      </c>
      <c r="F68" s="19">
        <f>IF(E68="CAMION",0.15,0.10)</f>
        <v/>
      </c>
      <c r="G68" s="19">
        <f>IF(E68="CAMION",0.20,0.10)</f>
        <v/>
      </c>
      <c r="H68" s="19">
        <f>IF(D68&gt;9999,0,IF(E68="CAMION",0.20,0.10))</f>
        <v/>
      </c>
      <c r="I68" s="20">
        <f>IF(D68&lt;=DATOS!$B$11,DATOS!$B$10-H68-(DATOS!$B$6-DATOS!$B$9*D68),DATOS!$B$12)</f>
        <v/>
      </c>
      <c r="J68" s="15" t="n">
        <v>258.724</v>
      </c>
      <c r="K68" s="19">
        <f>DATOS!$B$5+2*F68</f>
        <v/>
      </c>
      <c r="L68" s="20">
        <f>K68*G68*C68</f>
        <v/>
      </c>
      <c r="M68" s="20">
        <f>2*F68*I68*C68</f>
        <v/>
      </c>
      <c r="N68" s="20">
        <f>K68*H68*C68</f>
        <v/>
      </c>
      <c r="O68" s="20">
        <f>(K68+0.10)*(IF(D68&lt;=DATOS!$B$11,DATOS!$B$10,J68)-((DATOS!$B$6-DATOS!$B$9*D68)-G68-0.05))*C68</f>
        <v/>
      </c>
      <c r="P68" s="20">
        <f>(0.10*(IF(D68&lt;=DATOS!$B$11,DATOS!$B$10,J68)-((DATOS!$B$6-DATOS!$B$9*D68)-G68-0.05))+IF(D68&gt;9999,MAX(0,((DATOS!$B$6-DATOS!$B$9*D68)+I68+H68)-J68)*(0.20+0.75*MAX(0,((DATOS!$B$6-DATOS!$B$9*D68)+I68+H68)-J68)),0))*C68</f>
        <v/>
      </c>
      <c r="Q68" s="20">
        <f>K68*C68</f>
        <v/>
      </c>
      <c r="R68" s="20">
        <f>(2*I68+IF(D68&gt;9999,0,DATOS!$B$5)+(I68+G68+H68)+IF(D68&gt;9999,MAX(0,((DATOS!$B$6-DATOS!$B$9*D68)+I68+H68)-J68),0))*C68</f>
        <v/>
      </c>
      <c r="S68" s="19">
        <f>IF(E68="CAMION",C68/0.15*((2*(K68-0.09)+2*(I68+G68+H68-0.09)+0.5)+(2*(DATOS!$B$5+0.09)+2*(I68+0.09)+0.5))*DATOS!$B$23,C68/IF(E68="AUTOS",0.15,0.20)*IF(D68&gt;9999,(DATOS!$B$5+F68)+2*(I68+G68/2)+0.20,2*(DATOS!$B$5+F68)+2*(I68+(G68+H68)/2)+0.40)*DATOS!$B$22)</f>
        <v/>
      </c>
      <c r="T68" s="19">
        <f>IF(E68="CAMION",((ROUNDUP((K68-0.09)/0.2,0)+1)*2+2*MAX(ROUNDUP((I68+0.31)/0.2,0)-1,0)+(ROUNDUP((DATOS!$B$5+0.09)/0.2,0)+1)*2+2*MAX(ROUNDUP((I68+0.09)/0.2,0)-1,0)),IF(D68&gt;9999,8+2*MAX(ROUNDUP((I68+0.05)/0.25,0),1),16+2*MAX(ROUNDUP((I68+0.10)/0.25,0)-1,0)))*C68*(1+0.40/9)*DATOS!$B$22</f>
        <v/>
      </c>
      <c r="U68" s="20">
        <f>(K68+0.10)*C68</f>
        <v/>
      </c>
      <c r="V68" s="21">
        <f>IF(E68="CAMION",2*C68/0.15,C68/IF(E68="AUTOS",0.15,0.20))</f>
        <v/>
      </c>
      <c r="W68" s="19">
        <f>IF(E68="CAMION",((2*(K68-0.09)+2*(I68+G68+H68-0.09)+0.5)+(2*(DATOS!$B$5+0.09)+2*(I68+0.09)+0.5))/2,IF(D68&gt;9999,(DATOS!$B$5+F68)+2*(I68+G68/2)+0.20,2*(DATOS!$B$5+F68)+2*(I68+(G68+H68)/2)+0.40))</f>
        <v/>
      </c>
      <c r="X68" s="22">
        <f>IF(E68="CAMION",((ROUNDUP((K68-0.09)/0.2,0)+1)*2+2*MAX(ROUNDUP((I68+0.31)/0.2,0)-1,0)+(ROUNDUP((DATOS!$B$5+0.09)/0.2,0)+1)*2+2*MAX(ROUNDUP((I68+0.09)/0.2,0)-1,0)),IF(D68&gt;9999,8+2*MAX(ROUNDUP((I68+0.05)/0.25,0),1),16+2*MAX(ROUNDUP((I68+0.10)/0.25,0)-1,0)))</f>
        <v/>
      </c>
      <c r="Y68" s="7">
        <f>IF(E68="CAMION","1/2","3/8")</f>
        <v/>
      </c>
    </row>
    <row r="69">
      <c r="A69" s="18" t="n">
        <v>118</v>
      </c>
      <c r="B69" s="18" t="n">
        <v>120</v>
      </c>
      <c r="C69" s="19">
        <f>B69-A69</f>
        <v/>
      </c>
      <c r="D69" s="19">
        <f>(A69+B69)/2</f>
        <v/>
      </c>
      <c r="E69" s="7">
        <f>IF(AND(D69&gt;=DATOS!$B$13,D69&lt;DATOS!$B$14),"CAMION",IF(OR(AND(D69&gt;=DATOS!$B$15,D69&lt;=DATOS!$B$16),AND(D69&gt;=DATOS!$B$17,D69&lt;=DATOS!$B$18)),"AUTOS","NORMAL"))</f>
        <v/>
      </c>
      <c r="F69" s="19">
        <f>IF(E69="CAMION",0.15,0.10)</f>
        <v/>
      </c>
      <c r="G69" s="19">
        <f>IF(E69="CAMION",0.20,0.10)</f>
        <v/>
      </c>
      <c r="H69" s="19">
        <f>IF(D69&gt;9999,0,IF(E69="CAMION",0.20,0.10))</f>
        <v/>
      </c>
      <c r="I69" s="20">
        <f>IF(D69&lt;=DATOS!$B$11,DATOS!$B$10-H69-(DATOS!$B$6-DATOS!$B$9*D69),DATOS!$B$12)</f>
        <v/>
      </c>
      <c r="J69" s="15" t="n">
        <v>258.567</v>
      </c>
      <c r="K69" s="19">
        <f>DATOS!$B$5+2*F69</f>
        <v/>
      </c>
      <c r="L69" s="20">
        <f>K69*G69*C69</f>
        <v/>
      </c>
      <c r="M69" s="20">
        <f>2*F69*I69*C69</f>
        <v/>
      </c>
      <c r="N69" s="20">
        <f>K69*H69*C69</f>
        <v/>
      </c>
      <c r="O69" s="20">
        <f>(K69+0.10)*(IF(D69&lt;=DATOS!$B$11,DATOS!$B$10,J69)-((DATOS!$B$6-DATOS!$B$9*D69)-G69-0.05))*C69</f>
        <v/>
      </c>
      <c r="P69" s="20">
        <f>(0.10*(IF(D69&lt;=DATOS!$B$11,DATOS!$B$10,J69)-((DATOS!$B$6-DATOS!$B$9*D69)-G69-0.05))+IF(D69&gt;9999,MAX(0,((DATOS!$B$6-DATOS!$B$9*D69)+I69+H69)-J69)*(0.20+0.75*MAX(0,((DATOS!$B$6-DATOS!$B$9*D69)+I69+H69)-J69)),0))*C69</f>
        <v/>
      </c>
      <c r="Q69" s="20">
        <f>K69*C69</f>
        <v/>
      </c>
      <c r="R69" s="20">
        <f>(2*I69+IF(D69&gt;9999,0,DATOS!$B$5)+(I69+G69+H69)+IF(D69&gt;9999,MAX(0,((DATOS!$B$6-DATOS!$B$9*D69)+I69+H69)-J69),0))*C69</f>
        <v/>
      </c>
      <c r="S69" s="19">
        <f>IF(E69="CAMION",C69/0.15*((2*(K69-0.09)+2*(I69+G69+H69-0.09)+0.5)+(2*(DATOS!$B$5+0.09)+2*(I69+0.09)+0.5))*DATOS!$B$23,C69/IF(E69="AUTOS",0.15,0.20)*IF(D69&gt;9999,(DATOS!$B$5+F69)+2*(I69+G69/2)+0.20,2*(DATOS!$B$5+F69)+2*(I69+(G69+H69)/2)+0.40)*DATOS!$B$22)</f>
        <v/>
      </c>
      <c r="T69" s="19">
        <f>IF(E69="CAMION",((ROUNDUP((K69-0.09)/0.2,0)+1)*2+2*MAX(ROUNDUP((I69+0.31)/0.2,0)-1,0)+(ROUNDUP((DATOS!$B$5+0.09)/0.2,0)+1)*2+2*MAX(ROUNDUP((I69+0.09)/0.2,0)-1,0)),IF(D69&gt;9999,8+2*MAX(ROUNDUP((I69+0.05)/0.25,0),1),16+2*MAX(ROUNDUP((I69+0.10)/0.25,0)-1,0)))*C69*(1+0.40/9)*DATOS!$B$22</f>
        <v/>
      </c>
      <c r="U69" s="20">
        <f>(K69+0.10)*C69</f>
        <v/>
      </c>
      <c r="V69" s="21">
        <f>IF(E69="CAMION",2*C69/0.15,C69/IF(E69="AUTOS",0.15,0.20))</f>
        <v/>
      </c>
      <c r="W69" s="19">
        <f>IF(E69="CAMION",((2*(K69-0.09)+2*(I69+G69+H69-0.09)+0.5)+(2*(DATOS!$B$5+0.09)+2*(I69+0.09)+0.5))/2,IF(D69&gt;9999,(DATOS!$B$5+F69)+2*(I69+G69/2)+0.20,2*(DATOS!$B$5+F69)+2*(I69+(G69+H69)/2)+0.40))</f>
        <v/>
      </c>
      <c r="X69" s="22">
        <f>IF(E69="CAMION",((ROUNDUP((K69-0.09)/0.2,0)+1)*2+2*MAX(ROUNDUP((I69+0.31)/0.2,0)-1,0)+(ROUNDUP((DATOS!$B$5+0.09)/0.2,0)+1)*2+2*MAX(ROUNDUP((I69+0.09)/0.2,0)-1,0)),IF(D69&gt;9999,8+2*MAX(ROUNDUP((I69+0.05)/0.25,0),1),16+2*MAX(ROUNDUP((I69+0.10)/0.25,0)-1,0)))</f>
        <v/>
      </c>
      <c r="Y69" s="7">
        <f>IF(E69="CAMION","1/2","3/8")</f>
        <v/>
      </c>
    </row>
    <row r="70">
      <c r="A70" s="18" t="n">
        <v>120</v>
      </c>
      <c r="B70" s="18" t="n">
        <v>122</v>
      </c>
      <c r="C70" s="19">
        <f>B70-A70</f>
        <v/>
      </c>
      <c r="D70" s="19">
        <f>(A70+B70)/2</f>
        <v/>
      </c>
      <c r="E70" s="7">
        <f>IF(AND(D70&gt;=DATOS!$B$13,D70&lt;DATOS!$B$14),"CAMION",IF(OR(AND(D70&gt;=DATOS!$B$15,D70&lt;=DATOS!$B$16),AND(D70&gt;=DATOS!$B$17,D70&lt;=DATOS!$B$18)),"AUTOS","NORMAL"))</f>
        <v/>
      </c>
      <c r="F70" s="19">
        <f>IF(E70="CAMION",0.15,0.10)</f>
        <v/>
      </c>
      <c r="G70" s="19">
        <f>IF(E70="CAMION",0.20,0.10)</f>
        <v/>
      </c>
      <c r="H70" s="19">
        <f>IF(D70&gt;9999,0,IF(E70="CAMION",0.20,0.10))</f>
        <v/>
      </c>
      <c r="I70" s="20">
        <f>IF(D70&lt;=DATOS!$B$11,DATOS!$B$10-H70-(DATOS!$B$6-DATOS!$B$9*D70),DATOS!$B$12)</f>
        <v/>
      </c>
      <c r="J70" s="15" t="n">
        <v>258.527</v>
      </c>
      <c r="K70" s="19">
        <f>DATOS!$B$5+2*F70</f>
        <v/>
      </c>
      <c r="L70" s="20">
        <f>K70*G70*C70</f>
        <v/>
      </c>
      <c r="M70" s="20">
        <f>2*F70*I70*C70</f>
        <v/>
      </c>
      <c r="N70" s="20">
        <f>K70*H70*C70</f>
        <v/>
      </c>
      <c r="O70" s="20">
        <f>(K70+0.10)*(IF(D70&lt;=DATOS!$B$11,DATOS!$B$10,J70)-((DATOS!$B$6-DATOS!$B$9*D70)-G70-0.05))*C70</f>
        <v/>
      </c>
      <c r="P70" s="20">
        <f>(0.10*(IF(D70&lt;=DATOS!$B$11,DATOS!$B$10,J70)-((DATOS!$B$6-DATOS!$B$9*D70)-G70-0.05))+IF(D70&gt;9999,MAX(0,((DATOS!$B$6-DATOS!$B$9*D70)+I70+H70)-J70)*(0.20+0.75*MAX(0,((DATOS!$B$6-DATOS!$B$9*D70)+I70+H70)-J70)),0))*C70</f>
        <v/>
      </c>
      <c r="Q70" s="20">
        <f>K70*C70</f>
        <v/>
      </c>
      <c r="R70" s="20">
        <f>(2*I70+IF(D70&gt;9999,0,DATOS!$B$5)+(I70+G70+H70)+IF(D70&gt;9999,MAX(0,((DATOS!$B$6-DATOS!$B$9*D70)+I70+H70)-J70),0))*C70</f>
        <v/>
      </c>
      <c r="S70" s="19">
        <f>IF(E70="CAMION",C70/0.15*((2*(K70-0.09)+2*(I70+G70+H70-0.09)+0.5)+(2*(DATOS!$B$5+0.09)+2*(I70+0.09)+0.5))*DATOS!$B$23,C70/IF(E70="AUTOS",0.15,0.20)*IF(D70&gt;9999,(DATOS!$B$5+F70)+2*(I70+G70/2)+0.20,2*(DATOS!$B$5+F70)+2*(I70+(G70+H70)/2)+0.40)*DATOS!$B$22)</f>
        <v/>
      </c>
      <c r="T70" s="19">
        <f>IF(E70="CAMION",((ROUNDUP((K70-0.09)/0.2,0)+1)*2+2*MAX(ROUNDUP((I70+0.31)/0.2,0)-1,0)+(ROUNDUP((DATOS!$B$5+0.09)/0.2,0)+1)*2+2*MAX(ROUNDUP((I70+0.09)/0.2,0)-1,0)),IF(D70&gt;9999,8+2*MAX(ROUNDUP((I70+0.05)/0.25,0),1),16+2*MAX(ROUNDUP((I70+0.10)/0.25,0)-1,0)))*C70*(1+0.40/9)*DATOS!$B$22</f>
        <v/>
      </c>
      <c r="U70" s="20">
        <f>(K70+0.10)*C70</f>
        <v/>
      </c>
      <c r="V70" s="21">
        <f>IF(E70="CAMION",2*C70/0.15,C70/IF(E70="AUTOS",0.15,0.20))</f>
        <v/>
      </c>
      <c r="W70" s="19">
        <f>IF(E70="CAMION",((2*(K70-0.09)+2*(I70+G70+H70-0.09)+0.5)+(2*(DATOS!$B$5+0.09)+2*(I70+0.09)+0.5))/2,IF(D70&gt;9999,(DATOS!$B$5+F70)+2*(I70+G70/2)+0.20,2*(DATOS!$B$5+F70)+2*(I70+(G70+H70)/2)+0.40))</f>
        <v/>
      </c>
      <c r="X70" s="22">
        <f>IF(E70="CAMION",((ROUNDUP((K70-0.09)/0.2,0)+1)*2+2*MAX(ROUNDUP((I70+0.31)/0.2,0)-1,0)+(ROUNDUP((DATOS!$B$5+0.09)/0.2,0)+1)*2+2*MAX(ROUNDUP((I70+0.09)/0.2,0)-1,0)),IF(D70&gt;9999,8+2*MAX(ROUNDUP((I70+0.05)/0.25,0),1),16+2*MAX(ROUNDUP((I70+0.10)/0.25,0)-1,0)))</f>
        <v/>
      </c>
      <c r="Y70" s="7">
        <f>IF(E70="CAMION","1/2","3/8")</f>
        <v/>
      </c>
    </row>
    <row r="71">
      <c r="A71" s="18" t="n">
        <v>122</v>
      </c>
      <c r="B71" s="18" t="n">
        <v>124</v>
      </c>
      <c r="C71" s="19">
        <f>B71-A71</f>
        <v/>
      </c>
      <c r="D71" s="19">
        <f>(A71+B71)/2</f>
        <v/>
      </c>
      <c r="E71" s="7">
        <f>IF(AND(D71&gt;=DATOS!$B$13,D71&lt;DATOS!$B$14),"CAMION",IF(OR(AND(D71&gt;=DATOS!$B$15,D71&lt;=DATOS!$B$16),AND(D71&gt;=DATOS!$B$17,D71&lt;=DATOS!$B$18)),"AUTOS","NORMAL"))</f>
        <v/>
      </c>
      <c r="F71" s="19">
        <f>IF(E71="CAMION",0.15,0.10)</f>
        <v/>
      </c>
      <c r="G71" s="19">
        <f>IF(E71="CAMION",0.20,0.10)</f>
        <v/>
      </c>
      <c r="H71" s="19">
        <f>IF(D71&gt;9999,0,IF(E71="CAMION",0.20,0.10))</f>
        <v/>
      </c>
      <c r="I71" s="20">
        <f>IF(D71&lt;=DATOS!$B$11,DATOS!$B$10-H71-(DATOS!$B$6-DATOS!$B$9*D71),DATOS!$B$12)</f>
        <v/>
      </c>
      <c r="J71" s="15" t="n">
        <v>258.551</v>
      </c>
      <c r="K71" s="19">
        <f>DATOS!$B$5+2*F71</f>
        <v/>
      </c>
      <c r="L71" s="20">
        <f>K71*G71*C71</f>
        <v/>
      </c>
      <c r="M71" s="20">
        <f>2*F71*I71*C71</f>
        <v/>
      </c>
      <c r="N71" s="20">
        <f>K71*H71*C71</f>
        <v/>
      </c>
      <c r="O71" s="20">
        <f>(K71+0.10)*(IF(D71&lt;=DATOS!$B$11,DATOS!$B$10,J71)-((DATOS!$B$6-DATOS!$B$9*D71)-G71-0.05))*C71</f>
        <v/>
      </c>
      <c r="P71" s="20">
        <f>(0.10*(IF(D71&lt;=DATOS!$B$11,DATOS!$B$10,J71)-((DATOS!$B$6-DATOS!$B$9*D71)-G71-0.05))+IF(D71&gt;9999,MAX(0,((DATOS!$B$6-DATOS!$B$9*D71)+I71+H71)-J71)*(0.20+0.75*MAX(0,((DATOS!$B$6-DATOS!$B$9*D71)+I71+H71)-J71)),0))*C71</f>
        <v/>
      </c>
      <c r="Q71" s="20">
        <f>K71*C71</f>
        <v/>
      </c>
      <c r="R71" s="20">
        <f>(2*I71+IF(D71&gt;9999,0,DATOS!$B$5)+(I71+G71+H71)+IF(D71&gt;9999,MAX(0,((DATOS!$B$6-DATOS!$B$9*D71)+I71+H71)-J71),0))*C71</f>
        <v/>
      </c>
      <c r="S71" s="19">
        <f>IF(E71="CAMION",C71/0.15*((2*(K71-0.09)+2*(I71+G71+H71-0.09)+0.5)+(2*(DATOS!$B$5+0.09)+2*(I71+0.09)+0.5))*DATOS!$B$23,C71/IF(E71="AUTOS",0.15,0.20)*IF(D71&gt;9999,(DATOS!$B$5+F71)+2*(I71+G71/2)+0.20,2*(DATOS!$B$5+F71)+2*(I71+(G71+H71)/2)+0.40)*DATOS!$B$22)</f>
        <v/>
      </c>
      <c r="T71" s="19">
        <f>IF(E71="CAMION",((ROUNDUP((K71-0.09)/0.2,0)+1)*2+2*MAX(ROUNDUP((I71+0.31)/0.2,0)-1,0)+(ROUNDUP((DATOS!$B$5+0.09)/0.2,0)+1)*2+2*MAX(ROUNDUP((I71+0.09)/0.2,0)-1,0)),IF(D71&gt;9999,8+2*MAX(ROUNDUP((I71+0.05)/0.25,0),1),16+2*MAX(ROUNDUP((I71+0.10)/0.25,0)-1,0)))*C71*(1+0.40/9)*DATOS!$B$22</f>
        <v/>
      </c>
      <c r="U71" s="20">
        <f>(K71+0.10)*C71</f>
        <v/>
      </c>
      <c r="V71" s="21">
        <f>IF(E71="CAMION",2*C71/0.15,C71/IF(E71="AUTOS",0.15,0.20))</f>
        <v/>
      </c>
      <c r="W71" s="19">
        <f>IF(E71="CAMION",((2*(K71-0.09)+2*(I71+G71+H71-0.09)+0.5)+(2*(DATOS!$B$5+0.09)+2*(I71+0.09)+0.5))/2,IF(D71&gt;9999,(DATOS!$B$5+F71)+2*(I71+G71/2)+0.20,2*(DATOS!$B$5+F71)+2*(I71+(G71+H71)/2)+0.40))</f>
        <v/>
      </c>
      <c r="X71" s="22">
        <f>IF(E71="CAMION",((ROUNDUP((K71-0.09)/0.2,0)+1)*2+2*MAX(ROUNDUP((I71+0.31)/0.2,0)-1,0)+(ROUNDUP((DATOS!$B$5+0.09)/0.2,0)+1)*2+2*MAX(ROUNDUP((I71+0.09)/0.2,0)-1,0)),IF(D71&gt;9999,8+2*MAX(ROUNDUP((I71+0.05)/0.25,0),1),16+2*MAX(ROUNDUP((I71+0.10)/0.25,0)-1,0)))</f>
        <v/>
      </c>
      <c r="Y71" s="7">
        <f>IF(E71="CAMION","1/2","3/8")</f>
        <v/>
      </c>
    </row>
    <row r="72">
      <c r="A72" s="18" t="n">
        <v>124</v>
      </c>
      <c r="B72" s="18" t="n">
        <v>126</v>
      </c>
      <c r="C72" s="19">
        <f>B72-A72</f>
        <v/>
      </c>
      <c r="D72" s="19">
        <f>(A72+B72)/2</f>
        <v/>
      </c>
      <c r="E72" s="7">
        <f>IF(AND(D72&gt;=DATOS!$B$13,D72&lt;DATOS!$B$14),"CAMION",IF(OR(AND(D72&gt;=DATOS!$B$15,D72&lt;=DATOS!$B$16),AND(D72&gt;=DATOS!$B$17,D72&lt;=DATOS!$B$18)),"AUTOS","NORMAL"))</f>
        <v/>
      </c>
      <c r="F72" s="19">
        <f>IF(E72="CAMION",0.15,0.10)</f>
        <v/>
      </c>
      <c r="G72" s="19">
        <f>IF(E72="CAMION",0.20,0.10)</f>
        <v/>
      </c>
      <c r="H72" s="19">
        <f>IF(D72&gt;9999,0,IF(E72="CAMION",0.20,0.10))</f>
        <v/>
      </c>
      <c r="I72" s="20">
        <f>IF(D72&lt;=DATOS!$B$11,DATOS!$B$10-H72-(DATOS!$B$6-DATOS!$B$9*D72),DATOS!$B$12)</f>
        <v/>
      </c>
      <c r="J72" s="15" t="n">
        <v>258.641</v>
      </c>
      <c r="K72" s="19">
        <f>DATOS!$B$5+2*F72</f>
        <v/>
      </c>
      <c r="L72" s="20">
        <f>K72*G72*C72</f>
        <v/>
      </c>
      <c r="M72" s="20">
        <f>2*F72*I72*C72</f>
        <v/>
      </c>
      <c r="N72" s="20">
        <f>K72*H72*C72</f>
        <v/>
      </c>
      <c r="O72" s="20">
        <f>(K72+0.10)*(IF(D72&lt;=DATOS!$B$11,DATOS!$B$10,J72)-((DATOS!$B$6-DATOS!$B$9*D72)-G72-0.05))*C72</f>
        <v/>
      </c>
      <c r="P72" s="20">
        <f>(0.10*(IF(D72&lt;=DATOS!$B$11,DATOS!$B$10,J72)-((DATOS!$B$6-DATOS!$B$9*D72)-G72-0.05))+IF(D72&gt;9999,MAX(0,((DATOS!$B$6-DATOS!$B$9*D72)+I72+H72)-J72)*(0.20+0.75*MAX(0,((DATOS!$B$6-DATOS!$B$9*D72)+I72+H72)-J72)),0))*C72</f>
        <v/>
      </c>
      <c r="Q72" s="20">
        <f>K72*C72</f>
        <v/>
      </c>
      <c r="R72" s="20">
        <f>(2*I72+IF(D72&gt;9999,0,DATOS!$B$5)+(I72+G72+H72)+IF(D72&gt;9999,MAX(0,((DATOS!$B$6-DATOS!$B$9*D72)+I72+H72)-J72),0))*C72</f>
        <v/>
      </c>
      <c r="S72" s="19">
        <f>IF(E72="CAMION",C72/0.15*((2*(K72-0.09)+2*(I72+G72+H72-0.09)+0.5)+(2*(DATOS!$B$5+0.09)+2*(I72+0.09)+0.5))*DATOS!$B$23,C72/IF(E72="AUTOS",0.15,0.20)*IF(D72&gt;9999,(DATOS!$B$5+F72)+2*(I72+G72/2)+0.20,2*(DATOS!$B$5+F72)+2*(I72+(G72+H72)/2)+0.40)*DATOS!$B$22)</f>
        <v/>
      </c>
      <c r="T72" s="19">
        <f>IF(E72="CAMION",((ROUNDUP((K72-0.09)/0.2,0)+1)*2+2*MAX(ROUNDUP((I72+0.31)/0.2,0)-1,0)+(ROUNDUP((DATOS!$B$5+0.09)/0.2,0)+1)*2+2*MAX(ROUNDUP((I72+0.09)/0.2,0)-1,0)),IF(D72&gt;9999,8+2*MAX(ROUNDUP((I72+0.05)/0.25,0),1),16+2*MAX(ROUNDUP((I72+0.10)/0.25,0)-1,0)))*C72*(1+0.40/9)*DATOS!$B$22</f>
        <v/>
      </c>
      <c r="U72" s="20">
        <f>(K72+0.10)*C72</f>
        <v/>
      </c>
      <c r="V72" s="21">
        <f>IF(E72="CAMION",2*C72/0.15,C72/IF(E72="AUTOS",0.15,0.20))</f>
        <v/>
      </c>
      <c r="W72" s="19">
        <f>IF(E72="CAMION",((2*(K72-0.09)+2*(I72+G72+H72-0.09)+0.5)+(2*(DATOS!$B$5+0.09)+2*(I72+0.09)+0.5))/2,IF(D72&gt;9999,(DATOS!$B$5+F72)+2*(I72+G72/2)+0.20,2*(DATOS!$B$5+F72)+2*(I72+(G72+H72)/2)+0.40))</f>
        <v/>
      </c>
      <c r="X72" s="22">
        <f>IF(E72="CAMION",((ROUNDUP((K72-0.09)/0.2,0)+1)*2+2*MAX(ROUNDUP((I72+0.31)/0.2,0)-1,0)+(ROUNDUP((DATOS!$B$5+0.09)/0.2,0)+1)*2+2*MAX(ROUNDUP((I72+0.09)/0.2,0)-1,0)),IF(D72&gt;9999,8+2*MAX(ROUNDUP((I72+0.05)/0.25,0),1),16+2*MAX(ROUNDUP((I72+0.10)/0.25,0)-1,0)))</f>
        <v/>
      </c>
      <c r="Y72" s="7">
        <f>IF(E72="CAMION","1/2","3/8")</f>
        <v/>
      </c>
    </row>
    <row r="73">
      <c r="A73" s="18" t="n">
        <v>126</v>
      </c>
      <c r="B73" s="18" t="n">
        <v>128</v>
      </c>
      <c r="C73" s="19">
        <f>B73-A73</f>
        <v/>
      </c>
      <c r="D73" s="19">
        <f>(A73+B73)/2</f>
        <v/>
      </c>
      <c r="E73" s="7">
        <f>IF(AND(D73&gt;=DATOS!$B$13,D73&lt;DATOS!$B$14),"CAMION",IF(OR(AND(D73&gt;=DATOS!$B$15,D73&lt;=DATOS!$B$16),AND(D73&gt;=DATOS!$B$17,D73&lt;=DATOS!$B$18)),"AUTOS","NORMAL"))</f>
        <v/>
      </c>
      <c r="F73" s="19">
        <f>IF(E73="CAMION",0.15,0.10)</f>
        <v/>
      </c>
      <c r="G73" s="19">
        <f>IF(E73="CAMION",0.20,0.10)</f>
        <v/>
      </c>
      <c r="H73" s="19">
        <f>IF(D73&gt;9999,0,IF(E73="CAMION",0.20,0.10))</f>
        <v/>
      </c>
      <c r="I73" s="20">
        <f>IF(D73&lt;=DATOS!$B$11,DATOS!$B$10-H73-(DATOS!$B$6-DATOS!$B$9*D73),DATOS!$B$12)</f>
        <v/>
      </c>
      <c r="J73" s="15" t="n">
        <v>258.669</v>
      </c>
      <c r="K73" s="19">
        <f>DATOS!$B$5+2*F73</f>
        <v/>
      </c>
      <c r="L73" s="20">
        <f>K73*G73*C73</f>
        <v/>
      </c>
      <c r="M73" s="20">
        <f>2*F73*I73*C73</f>
        <v/>
      </c>
      <c r="N73" s="20">
        <f>K73*H73*C73</f>
        <v/>
      </c>
      <c r="O73" s="20">
        <f>(K73+0.10)*(IF(D73&lt;=DATOS!$B$11,DATOS!$B$10,J73)-((DATOS!$B$6-DATOS!$B$9*D73)-G73-0.05))*C73</f>
        <v/>
      </c>
      <c r="P73" s="20">
        <f>(0.10*(IF(D73&lt;=DATOS!$B$11,DATOS!$B$10,J73)-((DATOS!$B$6-DATOS!$B$9*D73)-G73-0.05))+IF(D73&gt;9999,MAX(0,((DATOS!$B$6-DATOS!$B$9*D73)+I73+H73)-J73)*(0.20+0.75*MAX(0,((DATOS!$B$6-DATOS!$B$9*D73)+I73+H73)-J73)),0))*C73</f>
        <v/>
      </c>
      <c r="Q73" s="20">
        <f>K73*C73</f>
        <v/>
      </c>
      <c r="R73" s="20">
        <f>(2*I73+IF(D73&gt;9999,0,DATOS!$B$5)+(I73+G73+H73)+IF(D73&gt;9999,MAX(0,((DATOS!$B$6-DATOS!$B$9*D73)+I73+H73)-J73),0))*C73</f>
        <v/>
      </c>
      <c r="S73" s="19">
        <f>IF(E73="CAMION",C73/0.15*((2*(K73-0.09)+2*(I73+G73+H73-0.09)+0.5)+(2*(DATOS!$B$5+0.09)+2*(I73+0.09)+0.5))*DATOS!$B$23,C73/IF(E73="AUTOS",0.15,0.20)*IF(D73&gt;9999,(DATOS!$B$5+F73)+2*(I73+G73/2)+0.20,2*(DATOS!$B$5+F73)+2*(I73+(G73+H73)/2)+0.40)*DATOS!$B$22)</f>
        <v/>
      </c>
      <c r="T73" s="19">
        <f>IF(E73="CAMION",((ROUNDUP((K73-0.09)/0.2,0)+1)*2+2*MAX(ROUNDUP((I73+0.31)/0.2,0)-1,0)+(ROUNDUP((DATOS!$B$5+0.09)/0.2,0)+1)*2+2*MAX(ROUNDUP((I73+0.09)/0.2,0)-1,0)),IF(D73&gt;9999,8+2*MAX(ROUNDUP((I73+0.05)/0.25,0),1),16+2*MAX(ROUNDUP((I73+0.10)/0.25,0)-1,0)))*C73*(1+0.40/9)*DATOS!$B$22</f>
        <v/>
      </c>
      <c r="U73" s="20">
        <f>(K73+0.10)*C73</f>
        <v/>
      </c>
      <c r="V73" s="21">
        <f>IF(E73="CAMION",2*C73/0.15,C73/IF(E73="AUTOS",0.15,0.20))</f>
        <v/>
      </c>
      <c r="W73" s="19">
        <f>IF(E73="CAMION",((2*(K73-0.09)+2*(I73+G73+H73-0.09)+0.5)+(2*(DATOS!$B$5+0.09)+2*(I73+0.09)+0.5))/2,IF(D73&gt;9999,(DATOS!$B$5+F73)+2*(I73+G73/2)+0.20,2*(DATOS!$B$5+F73)+2*(I73+(G73+H73)/2)+0.40))</f>
        <v/>
      </c>
      <c r="X73" s="22">
        <f>IF(E73="CAMION",((ROUNDUP((K73-0.09)/0.2,0)+1)*2+2*MAX(ROUNDUP((I73+0.31)/0.2,0)-1,0)+(ROUNDUP((DATOS!$B$5+0.09)/0.2,0)+1)*2+2*MAX(ROUNDUP((I73+0.09)/0.2,0)-1,0)),IF(D73&gt;9999,8+2*MAX(ROUNDUP((I73+0.05)/0.25,0),1),16+2*MAX(ROUNDUP((I73+0.10)/0.25,0)-1,0)))</f>
        <v/>
      </c>
      <c r="Y73" s="7">
        <f>IF(E73="CAMION","1/2","3/8")</f>
        <v/>
      </c>
    </row>
    <row r="74">
      <c r="A74" s="18" t="n">
        <v>128</v>
      </c>
      <c r="B74" s="18" t="n">
        <v>130</v>
      </c>
      <c r="C74" s="19">
        <f>B74-A74</f>
        <v/>
      </c>
      <c r="D74" s="19">
        <f>(A74+B74)/2</f>
        <v/>
      </c>
      <c r="E74" s="7">
        <f>IF(AND(D74&gt;=DATOS!$B$13,D74&lt;DATOS!$B$14),"CAMION",IF(OR(AND(D74&gt;=DATOS!$B$15,D74&lt;=DATOS!$B$16),AND(D74&gt;=DATOS!$B$17,D74&lt;=DATOS!$B$18)),"AUTOS","NORMAL"))</f>
        <v/>
      </c>
      <c r="F74" s="19">
        <f>IF(E74="CAMION",0.15,0.10)</f>
        <v/>
      </c>
      <c r="G74" s="19">
        <f>IF(E74="CAMION",0.20,0.10)</f>
        <v/>
      </c>
      <c r="H74" s="19">
        <f>IF(D74&gt;9999,0,IF(E74="CAMION",0.20,0.10))</f>
        <v/>
      </c>
      <c r="I74" s="20">
        <f>IF(D74&lt;=DATOS!$B$11,DATOS!$B$10-H74-(DATOS!$B$6-DATOS!$B$9*D74),DATOS!$B$12)</f>
        <v/>
      </c>
      <c r="J74" s="15" t="n">
        <v>258.627</v>
      </c>
      <c r="K74" s="19">
        <f>DATOS!$B$5+2*F74</f>
        <v/>
      </c>
      <c r="L74" s="20">
        <f>K74*G74*C74</f>
        <v/>
      </c>
      <c r="M74" s="20">
        <f>2*F74*I74*C74</f>
        <v/>
      </c>
      <c r="N74" s="20">
        <f>K74*H74*C74</f>
        <v/>
      </c>
      <c r="O74" s="20">
        <f>(K74+0.10)*(IF(D74&lt;=DATOS!$B$11,DATOS!$B$10,J74)-((DATOS!$B$6-DATOS!$B$9*D74)-G74-0.05))*C74</f>
        <v/>
      </c>
      <c r="P74" s="20">
        <f>(0.10*(IF(D74&lt;=DATOS!$B$11,DATOS!$B$10,J74)-((DATOS!$B$6-DATOS!$B$9*D74)-G74-0.05))+IF(D74&gt;9999,MAX(0,((DATOS!$B$6-DATOS!$B$9*D74)+I74+H74)-J74)*(0.20+0.75*MAX(0,((DATOS!$B$6-DATOS!$B$9*D74)+I74+H74)-J74)),0))*C74</f>
        <v/>
      </c>
      <c r="Q74" s="20">
        <f>K74*C74</f>
        <v/>
      </c>
      <c r="R74" s="20">
        <f>(2*I74+IF(D74&gt;9999,0,DATOS!$B$5)+(I74+G74+H74)+IF(D74&gt;9999,MAX(0,((DATOS!$B$6-DATOS!$B$9*D74)+I74+H74)-J74),0))*C74</f>
        <v/>
      </c>
      <c r="S74" s="19">
        <f>IF(E74="CAMION",C74/0.15*((2*(K74-0.09)+2*(I74+G74+H74-0.09)+0.5)+(2*(DATOS!$B$5+0.09)+2*(I74+0.09)+0.5))*DATOS!$B$23,C74/IF(E74="AUTOS",0.15,0.20)*IF(D74&gt;9999,(DATOS!$B$5+F74)+2*(I74+G74/2)+0.20,2*(DATOS!$B$5+F74)+2*(I74+(G74+H74)/2)+0.40)*DATOS!$B$22)</f>
        <v/>
      </c>
      <c r="T74" s="19">
        <f>IF(E74="CAMION",((ROUNDUP((K74-0.09)/0.2,0)+1)*2+2*MAX(ROUNDUP((I74+0.31)/0.2,0)-1,0)+(ROUNDUP((DATOS!$B$5+0.09)/0.2,0)+1)*2+2*MAX(ROUNDUP((I74+0.09)/0.2,0)-1,0)),IF(D74&gt;9999,8+2*MAX(ROUNDUP((I74+0.05)/0.25,0),1),16+2*MAX(ROUNDUP((I74+0.10)/0.25,0)-1,0)))*C74*(1+0.40/9)*DATOS!$B$22</f>
        <v/>
      </c>
      <c r="U74" s="20">
        <f>(K74+0.10)*C74</f>
        <v/>
      </c>
      <c r="V74" s="21">
        <f>IF(E74="CAMION",2*C74/0.15,C74/IF(E74="AUTOS",0.15,0.20))</f>
        <v/>
      </c>
      <c r="W74" s="19">
        <f>IF(E74="CAMION",((2*(K74-0.09)+2*(I74+G74+H74-0.09)+0.5)+(2*(DATOS!$B$5+0.09)+2*(I74+0.09)+0.5))/2,IF(D74&gt;9999,(DATOS!$B$5+F74)+2*(I74+G74/2)+0.20,2*(DATOS!$B$5+F74)+2*(I74+(G74+H74)/2)+0.40))</f>
        <v/>
      </c>
      <c r="X74" s="22">
        <f>IF(E74="CAMION",((ROUNDUP((K74-0.09)/0.2,0)+1)*2+2*MAX(ROUNDUP((I74+0.31)/0.2,0)-1,0)+(ROUNDUP((DATOS!$B$5+0.09)/0.2,0)+1)*2+2*MAX(ROUNDUP((I74+0.09)/0.2,0)-1,0)),IF(D74&gt;9999,8+2*MAX(ROUNDUP((I74+0.05)/0.25,0),1),16+2*MAX(ROUNDUP((I74+0.10)/0.25,0)-1,0)))</f>
        <v/>
      </c>
      <c r="Y74" s="7">
        <f>IF(E74="CAMION","1/2","3/8")</f>
        <v/>
      </c>
    </row>
    <row r="75">
      <c r="A75" s="18" t="n">
        <v>130</v>
      </c>
      <c r="B75" s="18" t="n">
        <v>132</v>
      </c>
      <c r="C75" s="19">
        <f>B75-A75</f>
        <v/>
      </c>
      <c r="D75" s="19">
        <f>(A75+B75)/2</f>
        <v/>
      </c>
      <c r="E75" s="7">
        <f>IF(AND(D75&gt;=DATOS!$B$13,D75&lt;DATOS!$B$14),"CAMION",IF(OR(AND(D75&gt;=DATOS!$B$15,D75&lt;=DATOS!$B$16),AND(D75&gt;=DATOS!$B$17,D75&lt;=DATOS!$B$18)),"AUTOS","NORMAL"))</f>
        <v/>
      </c>
      <c r="F75" s="19">
        <f>IF(E75="CAMION",0.15,0.10)</f>
        <v/>
      </c>
      <c r="G75" s="19">
        <f>IF(E75="CAMION",0.20,0.10)</f>
        <v/>
      </c>
      <c r="H75" s="19">
        <f>IF(D75&gt;9999,0,IF(E75="CAMION",0.20,0.10))</f>
        <v/>
      </c>
      <c r="I75" s="20">
        <f>IF(D75&lt;=DATOS!$B$11,DATOS!$B$10-H75-(DATOS!$B$6-DATOS!$B$9*D75),DATOS!$B$12)</f>
        <v/>
      </c>
      <c r="J75" s="15" t="n">
        <v>258.56</v>
      </c>
      <c r="K75" s="19">
        <f>DATOS!$B$5+2*F75</f>
        <v/>
      </c>
      <c r="L75" s="20">
        <f>K75*G75*C75</f>
        <v/>
      </c>
      <c r="M75" s="20">
        <f>2*F75*I75*C75</f>
        <v/>
      </c>
      <c r="N75" s="20">
        <f>K75*H75*C75</f>
        <v/>
      </c>
      <c r="O75" s="20">
        <f>(K75+0.10)*(IF(D75&lt;=DATOS!$B$11,DATOS!$B$10,J75)-((DATOS!$B$6-DATOS!$B$9*D75)-G75-0.05))*C75</f>
        <v/>
      </c>
      <c r="P75" s="20">
        <f>(0.10*(IF(D75&lt;=DATOS!$B$11,DATOS!$B$10,J75)-((DATOS!$B$6-DATOS!$B$9*D75)-G75-0.05))+IF(D75&gt;9999,MAX(0,((DATOS!$B$6-DATOS!$B$9*D75)+I75+H75)-J75)*(0.20+0.75*MAX(0,((DATOS!$B$6-DATOS!$B$9*D75)+I75+H75)-J75)),0))*C75</f>
        <v/>
      </c>
      <c r="Q75" s="20">
        <f>K75*C75</f>
        <v/>
      </c>
      <c r="R75" s="20">
        <f>(2*I75+IF(D75&gt;9999,0,DATOS!$B$5)+(I75+G75+H75)+IF(D75&gt;9999,MAX(0,((DATOS!$B$6-DATOS!$B$9*D75)+I75+H75)-J75),0))*C75</f>
        <v/>
      </c>
      <c r="S75" s="19">
        <f>IF(E75="CAMION",C75/0.15*((2*(K75-0.09)+2*(I75+G75+H75-0.09)+0.5)+(2*(DATOS!$B$5+0.09)+2*(I75+0.09)+0.5))*DATOS!$B$23,C75/IF(E75="AUTOS",0.15,0.20)*IF(D75&gt;9999,(DATOS!$B$5+F75)+2*(I75+G75/2)+0.20,2*(DATOS!$B$5+F75)+2*(I75+(G75+H75)/2)+0.40)*DATOS!$B$22)</f>
        <v/>
      </c>
      <c r="T75" s="19">
        <f>IF(E75="CAMION",((ROUNDUP((K75-0.09)/0.2,0)+1)*2+2*MAX(ROUNDUP((I75+0.31)/0.2,0)-1,0)+(ROUNDUP((DATOS!$B$5+0.09)/0.2,0)+1)*2+2*MAX(ROUNDUP((I75+0.09)/0.2,0)-1,0)),IF(D75&gt;9999,8+2*MAX(ROUNDUP((I75+0.05)/0.25,0),1),16+2*MAX(ROUNDUP((I75+0.10)/0.25,0)-1,0)))*C75*(1+0.40/9)*DATOS!$B$22</f>
        <v/>
      </c>
      <c r="U75" s="20">
        <f>(K75+0.10)*C75</f>
        <v/>
      </c>
      <c r="V75" s="21">
        <f>IF(E75="CAMION",2*C75/0.15,C75/IF(E75="AUTOS",0.15,0.20))</f>
        <v/>
      </c>
      <c r="W75" s="19">
        <f>IF(E75="CAMION",((2*(K75-0.09)+2*(I75+G75+H75-0.09)+0.5)+(2*(DATOS!$B$5+0.09)+2*(I75+0.09)+0.5))/2,IF(D75&gt;9999,(DATOS!$B$5+F75)+2*(I75+G75/2)+0.20,2*(DATOS!$B$5+F75)+2*(I75+(G75+H75)/2)+0.40))</f>
        <v/>
      </c>
      <c r="X75" s="22">
        <f>IF(E75="CAMION",((ROUNDUP((K75-0.09)/0.2,0)+1)*2+2*MAX(ROUNDUP((I75+0.31)/0.2,0)-1,0)+(ROUNDUP((DATOS!$B$5+0.09)/0.2,0)+1)*2+2*MAX(ROUNDUP((I75+0.09)/0.2,0)-1,0)),IF(D75&gt;9999,8+2*MAX(ROUNDUP((I75+0.05)/0.25,0),1),16+2*MAX(ROUNDUP((I75+0.10)/0.25,0)-1,0)))</f>
        <v/>
      </c>
      <c r="Y75" s="7">
        <f>IF(E75="CAMION","1/2","3/8")</f>
        <v/>
      </c>
    </row>
    <row r="76">
      <c r="A76" s="18" t="n">
        <v>132</v>
      </c>
      <c r="B76" s="18" t="n">
        <v>134</v>
      </c>
      <c r="C76" s="19">
        <f>B76-A76</f>
        <v/>
      </c>
      <c r="D76" s="19">
        <f>(A76+B76)/2</f>
        <v/>
      </c>
      <c r="E76" s="7">
        <f>IF(AND(D76&gt;=DATOS!$B$13,D76&lt;DATOS!$B$14),"CAMION",IF(OR(AND(D76&gt;=DATOS!$B$15,D76&lt;=DATOS!$B$16),AND(D76&gt;=DATOS!$B$17,D76&lt;=DATOS!$B$18)),"AUTOS","NORMAL"))</f>
        <v/>
      </c>
      <c r="F76" s="19">
        <f>IF(E76="CAMION",0.15,0.10)</f>
        <v/>
      </c>
      <c r="G76" s="19">
        <f>IF(E76="CAMION",0.20,0.10)</f>
        <v/>
      </c>
      <c r="H76" s="19">
        <f>IF(D76&gt;9999,0,IF(E76="CAMION",0.20,0.10))</f>
        <v/>
      </c>
      <c r="I76" s="20">
        <f>IF(D76&lt;=DATOS!$B$11,DATOS!$B$10-H76-(DATOS!$B$6-DATOS!$B$9*D76),DATOS!$B$12)</f>
        <v/>
      </c>
      <c r="J76" s="15" t="n">
        <v>258.528</v>
      </c>
      <c r="K76" s="19">
        <f>DATOS!$B$5+2*F76</f>
        <v/>
      </c>
      <c r="L76" s="20">
        <f>K76*G76*C76</f>
        <v/>
      </c>
      <c r="M76" s="20">
        <f>2*F76*I76*C76</f>
        <v/>
      </c>
      <c r="N76" s="20">
        <f>K76*H76*C76</f>
        <v/>
      </c>
      <c r="O76" s="20">
        <f>(K76+0.10)*(IF(D76&lt;=DATOS!$B$11,DATOS!$B$10,J76)-((DATOS!$B$6-DATOS!$B$9*D76)-G76-0.05))*C76</f>
        <v/>
      </c>
      <c r="P76" s="20">
        <f>(0.10*(IF(D76&lt;=DATOS!$B$11,DATOS!$B$10,J76)-((DATOS!$B$6-DATOS!$B$9*D76)-G76-0.05))+IF(D76&gt;9999,MAX(0,((DATOS!$B$6-DATOS!$B$9*D76)+I76+H76)-J76)*(0.20+0.75*MAX(0,((DATOS!$B$6-DATOS!$B$9*D76)+I76+H76)-J76)),0))*C76</f>
        <v/>
      </c>
      <c r="Q76" s="20">
        <f>K76*C76</f>
        <v/>
      </c>
      <c r="R76" s="20">
        <f>(2*I76+IF(D76&gt;9999,0,DATOS!$B$5)+(I76+G76+H76)+IF(D76&gt;9999,MAX(0,((DATOS!$B$6-DATOS!$B$9*D76)+I76+H76)-J76),0))*C76</f>
        <v/>
      </c>
      <c r="S76" s="19">
        <f>IF(E76="CAMION",C76/0.15*((2*(K76-0.09)+2*(I76+G76+H76-0.09)+0.5)+(2*(DATOS!$B$5+0.09)+2*(I76+0.09)+0.5))*DATOS!$B$23,C76/IF(E76="AUTOS",0.15,0.20)*IF(D76&gt;9999,(DATOS!$B$5+F76)+2*(I76+G76/2)+0.20,2*(DATOS!$B$5+F76)+2*(I76+(G76+H76)/2)+0.40)*DATOS!$B$22)</f>
        <v/>
      </c>
      <c r="T76" s="19">
        <f>IF(E76="CAMION",((ROUNDUP((K76-0.09)/0.2,0)+1)*2+2*MAX(ROUNDUP((I76+0.31)/0.2,0)-1,0)+(ROUNDUP((DATOS!$B$5+0.09)/0.2,0)+1)*2+2*MAX(ROUNDUP((I76+0.09)/0.2,0)-1,0)),IF(D76&gt;9999,8+2*MAX(ROUNDUP((I76+0.05)/0.25,0),1),16+2*MAX(ROUNDUP((I76+0.10)/0.25,0)-1,0)))*C76*(1+0.40/9)*DATOS!$B$22</f>
        <v/>
      </c>
      <c r="U76" s="20">
        <f>(K76+0.10)*C76</f>
        <v/>
      </c>
      <c r="V76" s="21">
        <f>IF(E76="CAMION",2*C76/0.15,C76/IF(E76="AUTOS",0.15,0.20))</f>
        <v/>
      </c>
      <c r="W76" s="19">
        <f>IF(E76="CAMION",((2*(K76-0.09)+2*(I76+G76+H76-0.09)+0.5)+(2*(DATOS!$B$5+0.09)+2*(I76+0.09)+0.5))/2,IF(D76&gt;9999,(DATOS!$B$5+F76)+2*(I76+G76/2)+0.20,2*(DATOS!$B$5+F76)+2*(I76+(G76+H76)/2)+0.40))</f>
        <v/>
      </c>
      <c r="X76" s="22">
        <f>IF(E76="CAMION",((ROUNDUP((K76-0.09)/0.2,0)+1)*2+2*MAX(ROUNDUP((I76+0.31)/0.2,0)-1,0)+(ROUNDUP((DATOS!$B$5+0.09)/0.2,0)+1)*2+2*MAX(ROUNDUP((I76+0.09)/0.2,0)-1,0)),IF(D76&gt;9999,8+2*MAX(ROUNDUP((I76+0.05)/0.25,0),1),16+2*MAX(ROUNDUP((I76+0.10)/0.25,0)-1,0)))</f>
        <v/>
      </c>
      <c r="Y76" s="7">
        <f>IF(E76="CAMION","1/2","3/8")</f>
        <v/>
      </c>
    </row>
    <row r="77">
      <c r="A77" s="18" t="n">
        <v>134</v>
      </c>
      <c r="B77" s="18" t="n">
        <v>136</v>
      </c>
      <c r="C77" s="19">
        <f>B77-A77</f>
        <v/>
      </c>
      <c r="D77" s="19">
        <f>(A77+B77)/2</f>
        <v/>
      </c>
      <c r="E77" s="7">
        <f>IF(AND(D77&gt;=DATOS!$B$13,D77&lt;DATOS!$B$14),"CAMION",IF(OR(AND(D77&gt;=DATOS!$B$15,D77&lt;=DATOS!$B$16),AND(D77&gt;=DATOS!$B$17,D77&lt;=DATOS!$B$18)),"AUTOS","NORMAL"))</f>
        <v/>
      </c>
      <c r="F77" s="19">
        <f>IF(E77="CAMION",0.15,0.10)</f>
        <v/>
      </c>
      <c r="G77" s="19">
        <f>IF(E77="CAMION",0.20,0.10)</f>
        <v/>
      </c>
      <c r="H77" s="19">
        <f>IF(D77&gt;9999,0,IF(E77="CAMION",0.20,0.10))</f>
        <v/>
      </c>
      <c r="I77" s="20">
        <f>IF(D77&lt;=DATOS!$B$11,DATOS!$B$10-H77-(DATOS!$B$6-DATOS!$B$9*D77),DATOS!$B$12)</f>
        <v/>
      </c>
      <c r="J77" s="15" t="n">
        <v>258.544</v>
      </c>
      <c r="K77" s="19">
        <f>DATOS!$B$5+2*F77</f>
        <v/>
      </c>
      <c r="L77" s="20">
        <f>K77*G77*C77</f>
        <v/>
      </c>
      <c r="M77" s="20">
        <f>2*F77*I77*C77</f>
        <v/>
      </c>
      <c r="N77" s="20">
        <f>K77*H77*C77</f>
        <v/>
      </c>
      <c r="O77" s="20">
        <f>(K77+0.10)*(IF(D77&lt;=DATOS!$B$11,DATOS!$B$10,J77)-((DATOS!$B$6-DATOS!$B$9*D77)-G77-0.05))*C77</f>
        <v/>
      </c>
      <c r="P77" s="20">
        <f>(0.10*(IF(D77&lt;=DATOS!$B$11,DATOS!$B$10,J77)-((DATOS!$B$6-DATOS!$B$9*D77)-G77-0.05))+IF(D77&gt;9999,MAX(0,((DATOS!$B$6-DATOS!$B$9*D77)+I77+H77)-J77)*(0.20+0.75*MAX(0,((DATOS!$B$6-DATOS!$B$9*D77)+I77+H77)-J77)),0))*C77</f>
        <v/>
      </c>
      <c r="Q77" s="20">
        <f>K77*C77</f>
        <v/>
      </c>
      <c r="R77" s="20">
        <f>(2*I77+IF(D77&gt;9999,0,DATOS!$B$5)+(I77+G77+H77)+IF(D77&gt;9999,MAX(0,((DATOS!$B$6-DATOS!$B$9*D77)+I77+H77)-J77),0))*C77</f>
        <v/>
      </c>
      <c r="S77" s="19">
        <f>IF(E77="CAMION",C77/0.15*((2*(K77-0.09)+2*(I77+G77+H77-0.09)+0.5)+(2*(DATOS!$B$5+0.09)+2*(I77+0.09)+0.5))*DATOS!$B$23,C77/IF(E77="AUTOS",0.15,0.20)*IF(D77&gt;9999,(DATOS!$B$5+F77)+2*(I77+G77/2)+0.20,2*(DATOS!$B$5+F77)+2*(I77+(G77+H77)/2)+0.40)*DATOS!$B$22)</f>
        <v/>
      </c>
      <c r="T77" s="19">
        <f>IF(E77="CAMION",((ROUNDUP((K77-0.09)/0.2,0)+1)*2+2*MAX(ROUNDUP((I77+0.31)/0.2,0)-1,0)+(ROUNDUP((DATOS!$B$5+0.09)/0.2,0)+1)*2+2*MAX(ROUNDUP((I77+0.09)/0.2,0)-1,0)),IF(D77&gt;9999,8+2*MAX(ROUNDUP((I77+0.05)/0.25,0),1),16+2*MAX(ROUNDUP((I77+0.10)/0.25,0)-1,0)))*C77*(1+0.40/9)*DATOS!$B$22</f>
        <v/>
      </c>
      <c r="U77" s="20">
        <f>(K77+0.10)*C77</f>
        <v/>
      </c>
      <c r="V77" s="21">
        <f>IF(E77="CAMION",2*C77/0.15,C77/IF(E77="AUTOS",0.15,0.20))</f>
        <v/>
      </c>
      <c r="W77" s="19">
        <f>IF(E77="CAMION",((2*(K77-0.09)+2*(I77+G77+H77-0.09)+0.5)+(2*(DATOS!$B$5+0.09)+2*(I77+0.09)+0.5))/2,IF(D77&gt;9999,(DATOS!$B$5+F77)+2*(I77+G77/2)+0.20,2*(DATOS!$B$5+F77)+2*(I77+(G77+H77)/2)+0.40))</f>
        <v/>
      </c>
      <c r="X77" s="22">
        <f>IF(E77="CAMION",((ROUNDUP((K77-0.09)/0.2,0)+1)*2+2*MAX(ROUNDUP((I77+0.31)/0.2,0)-1,0)+(ROUNDUP((DATOS!$B$5+0.09)/0.2,0)+1)*2+2*MAX(ROUNDUP((I77+0.09)/0.2,0)-1,0)),IF(D77&gt;9999,8+2*MAX(ROUNDUP((I77+0.05)/0.25,0),1),16+2*MAX(ROUNDUP((I77+0.10)/0.25,0)-1,0)))</f>
        <v/>
      </c>
      <c r="Y77" s="7">
        <f>IF(E77="CAMION","1/2","3/8")</f>
        <v/>
      </c>
    </row>
    <row r="78">
      <c r="A78" s="18" t="n">
        <v>136</v>
      </c>
      <c r="B78" s="18" t="n">
        <v>138</v>
      </c>
      <c r="C78" s="19">
        <f>B78-A78</f>
        <v/>
      </c>
      <c r="D78" s="19">
        <f>(A78+B78)/2</f>
        <v/>
      </c>
      <c r="E78" s="7">
        <f>IF(AND(D78&gt;=DATOS!$B$13,D78&lt;DATOS!$B$14),"CAMION",IF(OR(AND(D78&gt;=DATOS!$B$15,D78&lt;=DATOS!$B$16),AND(D78&gt;=DATOS!$B$17,D78&lt;=DATOS!$B$18)),"AUTOS","NORMAL"))</f>
        <v/>
      </c>
      <c r="F78" s="19">
        <f>IF(E78="CAMION",0.15,0.10)</f>
        <v/>
      </c>
      <c r="G78" s="19">
        <f>IF(E78="CAMION",0.20,0.10)</f>
        <v/>
      </c>
      <c r="H78" s="19">
        <f>IF(D78&gt;9999,0,IF(E78="CAMION",0.20,0.10))</f>
        <v/>
      </c>
      <c r="I78" s="20">
        <f>IF(D78&lt;=DATOS!$B$11,DATOS!$B$10-H78-(DATOS!$B$6-DATOS!$B$9*D78),DATOS!$B$12)</f>
        <v/>
      </c>
      <c r="J78" s="15" t="n">
        <v>258.493</v>
      </c>
      <c r="K78" s="19">
        <f>DATOS!$B$5+2*F78</f>
        <v/>
      </c>
      <c r="L78" s="20">
        <f>K78*G78*C78</f>
        <v/>
      </c>
      <c r="M78" s="20">
        <f>2*F78*I78*C78</f>
        <v/>
      </c>
      <c r="N78" s="20">
        <f>K78*H78*C78</f>
        <v/>
      </c>
      <c r="O78" s="20">
        <f>(K78+0.10)*(IF(D78&lt;=DATOS!$B$11,DATOS!$B$10,J78)-((DATOS!$B$6-DATOS!$B$9*D78)-G78-0.05))*C78</f>
        <v/>
      </c>
      <c r="P78" s="20">
        <f>(0.10*(IF(D78&lt;=DATOS!$B$11,DATOS!$B$10,J78)-((DATOS!$B$6-DATOS!$B$9*D78)-G78-0.05))+IF(D78&gt;9999,MAX(0,((DATOS!$B$6-DATOS!$B$9*D78)+I78+H78)-J78)*(0.20+0.75*MAX(0,((DATOS!$B$6-DATOS!$B$9*D78)+I78+H78)-J78)),0))*C78</f>
        <v/>
      </c>
      <c r="Q78" s="20">
        <f>K78*C78</f>
        <v/>
      </c>
      <c r="R78" s="20">
        <f>(2*I78+IF(D78&gt;9999,0,DATOS!$B$5)+(I78+G78+H78)+IF(D78&gt;9999,MAX(0,((DATOS!$B$6-DATOS!$B$9*D78)+I78+H78)-J78),0))*C78</f>
        <v/>
      </c>
      <c r="S78" s="19">
        <f>IF(E78="CAMION",C78/0.15*((2*(K78-0.09)+2*(I78+G78+H78-0.09)+0.5)+(2*(DATOS!$B$5+0.09)+2*(I78+0.09)+0.5))*DATOS!$B$23,C78/IF(E78="AUTOS",0.15,0.20)*IF(D78&gt;9999,(DATOS!$B$5+F78)+2*(I78+G78/2)+0.20,2*(DATOS!$B$5+F78)+2*(I78+(G78+H78)/2)+0.40)*DATOS!$B$22)</f>
        <v/>
      </c>
      <c r="T78" s="19">
        <f>IF(E78="CAMION",((ROUNDUP((K78-0.09)/0.2,0)+1)*2+2*MAX(ROUNDUP((I78+0.31)/0.2,0)-1,0)+(ROUNDUP((DATOS!$B$5+0.09)/0.2,0)+1)*2+2*MAX(ROUNDUP((I78+0.09)/0.2,0)-1,0)),IF(D78&gt;9999,8+2*MAX(ROUNDUP((I78+0.05)/0.25,0),1),16+2*MAX(ROUNDUP((I78+0.10)/0.25,0)-1,0)))*C78*(1+0.40/9)*DATOS!$B$22</f>
        <v/>
      </c>
      <c r="U78" s="20">
        <f>(K78+0.10)*C78</f>
        <v/>
      </c>
      <c r="V78" s="21">
        <f>IF(E78="CAMION",2*C78/0.15,C78/IF(E78="AUTOS",0.15,0.20))</f>
        <v/>
      </c>
      <c r="W78" s="19">
        <f>IF(E78="CAMION",((2*(K78-0.09)+2*(I78+G78+H78-0.09)+0.5)+(2*(DATOS!$B$5+0.09)+2*(I78+0.09)+0.5))/2,IF(D78&gt;9999,(DATOS!$B$5+F78)+2*(I78+G78/2)+0.20,2*(DATOS!$B$5+F78)+2*(I78+(G78+H78)/2)+0.40))</f>
        <v/>
      </c>
      <c r="X78" s="22">
        <f>IF(E78="CAMION",((ROUNDUP((K78-0.09)/0.2,0)+1)*2+2*MAX(ROUNDUP((I78+0.31)/0.2,0)-1,0)+(ROUNDUP((DATOS!$B$5+0.09)/0.2,0)+1)*2+2*MAX(ROUNDUP((I78+0.09)/0.2,0)-1,0)),IF(D78&gt;9999,8+2*MAX(ROUNDUP((I78+0.05)/0.25,0),1),16+2*MAX(ROUNDUP((I78+0.10)/0.25,0)-1,0)))</f>
        <v/>
      </c>
      <c r="Y78" s="7">
        <f>IF(E78="CAMION","1/2","3/8")</f>
        <v/>
      </c>
    </row>
    <row r="79">
      <c r="A79" s="18" t="n">
        <v>138</v>
      </c>
      <c r="B79" s="18" t="n">
        <v>139.08</v>
      </c>
      <c r="C79" s="19">
        <f>B79-A79</f>
        <v/>
      </c>
      <c r="D79" s="19">
        <f>(A79+B79)/2</f>
        <v/>
      </c>
      <c r="E79" s="7">
        <f>IF(AND(D79&gt;=DATOS!$B$13,D79&lt;DATOS!$B$14),"CAMION",IF(OR(AND(D79&gt;=DATOS!$B$15,D79&lt;=DATOS!$B$16),AND(D79&gt;=DATOS!$B$17,D79&lt;=DATOS!$B$18)),"AUTOS","NORMAL"))</f>
        <v/>
      </c>
      <c r="F79" s="19">
        <f>IF(E79="CAMION",0.15,0.10)</f>
        <v/>
      </c>
      <c r="G79" s="19">
        <f>IF(E79="CAMION",0.20,0.10)</f>
        <v/>
      </c>
      <c r="H79" s="19">
        <f>IF(D79&gt;9999,0,IF(E79="CAMION",0.20,0.10))</f>
        <v/>
      </c>
      <c r="I79" s="20">
        <f>IF(D79&lt;=DATOS!$B$11,DATOS!$B$10-H79-(DATOS!$B$6-DATOS!$B$9*D79),DATOS!$B$12)</f>
        <v/>
      </c>
      <c r="J79" s="15" t="n">
        <v>258.417</v>
      </c>
      <c r="K79" s="19">
        <f>DATOS!$B$5+2*F79</f>
        <v/>
      </c>
      <c r="L79" s="20">
        <f>K79*G79*C79</f>
        <v/>
      </c>
      <c r="M79" s="20">
        <f>2*F79*I79*C79</f>
        <v/>
      </c>
      <c r="N79" s="20">
        <f>K79*H79*C79</f>
        <v/>
      </c>
      <c r="O79" s="20">
        <f>(K79+0.10)*(IF(D79&lt;=DATOS!$B$11,DATOS!$B$10,J79)-((DATOS!$B$6-DATOS!$B$9*D79)-G79-0.05))*C79</f>
        <v/>
      </c>
      <c r="P79" s="20">
        <f>(0.10*(IF(D79&lt;=DATOS!$B$11,DATOS!$B$10,J79)-((DATOS!$B$6-DATOS!$B$9*D79)-G79-0.05))+IF(D79&gt;9999,MAX(0,((DATOS!$B$6-DATOS!$B$9*D79)+I79+H79)-J79)*(0.20+0.75*MAX(0,((DATOS!$B$6-DATOS!$B$9*D79)+I79+H79)-J79)),0))*C79</f>
        <v/>
      </c>
      <c r="Q79" s="20">
        <f>K79*C79</f>
        <v/>
      </c>
      <c r="R79" s="20">
        <f>(2*I79+IF(D79&gt;9999,0,DATOS!$B$5)+(I79+G79+H79)+IF(D79&gt;9999,MAX(0,((DATOS!$B$6-DATOS!$B$9*D79)+I79+H79)-J79),0))*C79</f>
        <v/>
      </c>
      <c r="S79" s="19">
        <f>IF(E79="CAMION",C79/0.15*((2*(K79-0.09)+2*(I79+G79+H79-0.09)+0.5)+(2*(DATOS!$B$5+0.09)+2*(I79+0.09)+0.5))*DATOS!$B$23,C79/IF(E79="AUTOS",0.15,0.20)*IF(D79&gt;9999,(DATOS!$B$5+F79)+2*(I79+G79/2)+0.20,2*(DATOS!$B$5+F79)+2*(I79+(G79+H79)/2)+0.40)*DATOS!$B$22)</f>
        <v/>
      </c>
      <c r="T79" s="19">
        <f>IF(E79="CAMION",((ROUNDUP((K79-0.09)/0.2,0)+1)*2+2*MAX(ROUNDUP((I79+0.31)/0.2,0)-1,0)+(ROUNDUP((DATOS!$B$5+0.09)/0.2,0)+1)*2+2*MAX(ROUNDUP((I79+0.09)/0.2,0)-1,0)),IF(D79&gt;9999,8+2*MAX(ROUNDUP((I79+0.05)/0.25,0),1),16+2*MAX(ROUNDUP((I79+0.10)/0.25,0)-1,0)))*C79*(1+0.40/9)*DATOS!$B$22</f>
        <v/>
      </c>
      <c r="U79" s="20">
        <f>(K79+0.10)*C79</f>
        <v/>
      </c>
      <c r="V79" s="21">
        <f>IF(E79="CAMION",2*C79/0.15,C79/IF(E79="AUTOS",0.15,0.20))</f>
        <v/>
      </c>
      <c r="W79" s="19">
        <f>IF(E79="CAMION",((2*(K79-0.09)+2*(I79+G79+H79-0.09)+0.5)+(2*(DATOS!$B$5+0.09)+2*(I79+0.09)+0.5))/2,IF(D79&gt;9999,(DATOS!$B$5+F79)+2*(I79+G79/2)+0.20,2*(DATOS!$B$5+F79)+2*(I79+(G79+H79)/2)+0.40))</f>
        <v/>
      </c>
      <c r="X79" s="22">
        <f>IF(E79="CAMION",((ROUNDUP((K79-0.09)/0.2,0)+1)*2+2*MAX(ROUNDUP((I79+0.31)/0.2,0)-1,0)+(ROUNDUP((DATOS!$B$5+0.09)/0.2,0)+1)*2+2*MAX(ROUNDUP((I79+0.09)/0.2,0)-1,0)),IF(D79&gt;9999,8+2*MAX(ROUNDUP((I79+0.05)/0.25,0),1),16+2*MAX(ROUNDUP((I79+0.10)/0.25,0)-1,0)))</f>
        <v/>
      </c>
      <c r="Y79" s="7">
        <f>IF(E79="CAMION","1/2","3/8")</f>
        <v/>
      </c>
    </row>
    <row r="80">
      <c r="A80" s="9" t="inlineStr">
        <is>
          <t>TOTALES</t>
        </is>
      </c>
      <c r="C80" s="11">
        <f>SUM(C5:C79)</f>
        <v/>
      </c>
      <c r="L80" s="11">
        <f>SUM(L5:L79)</f>
        <v/>
      </c>
      <c r="M80" s="11">
        <f>SUM(M5:M79)</f>
        <v/>
      </c>
      <c r="N80" s="11">
        <f>SUM(N5:N79)</f>
        <v/>
      </c>
      <c r="O80" s="11">
        <f>SUM(O5:O79)</f>
        <v/>
      </c>
      <c r="P80" s="11">
        <f>SUM(P5:P79)</f>
        <v/>
      </c>
      <c r="Q80" s="11">
        <f>SUM(Q5:Q79)</f>
        <v/>
      </c>
      <c r="R80" s="11">
        <f>SUM(R5:R79)</f>
        <v/>
      </c>
      <c r="S80" s="11">
        <f>SUM(S5:S79)</f>
        <v/>
      </c>
      <c r="T80" s="11">
        <f>SUM(T5:T79)</f>
        <v/>
      </c>
      <c r="U80" s="11">
        <f>SUM(U5:U79)</f>
        <v/>
      </c>
      <c r="V80" s="11">
        <f>SUM(V5:V79)</f>
        <v/>
      </c>
    </row>
  </sheetData>
  <mergeCells count="2">
    <mergeCell ref="A1:U1"/>
    <mergeCell ref="A2:U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2" customWidth="1" min="9" max="9"/>
    <col width="40" customWidth="1" min="10" max="10"/>
  </cols>
  <sheetData>
    <row r="1" ht="24" customHeight="1">
      <c r="A1" s="1" t="inlineStr">
        <is>
          <t>01 OBRAS PRELIMINARES</t>
        </is>
      </c>
    </row>
    <row r="2">
      <c r="A2" s="2" t="inlineStr">
        <is>
          <t>CAR Mujeres (CUI 2717013) - Colector pluvial frontal b=1.50 m, preparado para CAR Varones y Hogar de Refugio - Morales, San Martin</t>
        </is>
      </c>
    </row>
    <row r="4" ht="36" customHeight="1">
      <c r="A4" s="3" t="inlineStr">
        <is>
          <t>ITEM</t>
        </is>
      </c>
      <c r="B4" s="3" t="inlineStr">
        <is>
          <t>DESCRIPCION</t>
        </is>
      </c>
      <c r="C4" s="3" t="inlineStr">
        <is>
          <t>UND</t>
        </is>
      </c>
      <c r="D4" s="3" t="inlineStr">
        <is>
          <t>N. VECES</t>
        </is>
      </c>
      <c r="E4" s="3" t="inlineStr">
        <is>
          <t>LARGO (m)</t>
        </is>
      </c>
      <c r="F4" s="3" t="inlineStr">
        <is>
          <t>ANCHO (m)</t>
        </is>
      </c>
      <c r="G4" s="3" t="inlineStr">
        <is>
          <t>ALTO (m)</t>
        </is>
      </c>
      <c r="H4" s="3" t="inlineStr">
        <is>
          <t>PARCIAL</t>
        </is>
      </c>
      <c r="I4" s="3" t="inlineStr">
        <is>
          <t>TOTAL</t>
        </is>
      </c>
      <c r="J4" s="3" t="inlineStr">
        <is>
          <t>OBSERVACION</t>
        </is>
      </c>
    </row>
    <row r="5">
      <c r="A5" s="4" t="inlineStr">
        <is>
          <t>01.01</t>
        </is>
      </c>
      <c r="B5" s="23" t="inlineStr">
        <is>
          <t>TRAZO, NIVELACION Y REPLANTEO</t>
        </is>
      </c>
      <c r="C5" s="24" t="inlineStr">
        <is>
          <t>m2</t>
        </is>
      </c>
      <c r="D5" s="5" t="n"/>
      <c r="E5" s="5" t="n"/>
      <c r="F5" s="5" t="n"/>
      <c r="G5" s="5" t="n"/>
      <c r="H5" s="5" t="n"/>
      <c r="I5" s="5" t="n"/>
      <c r="J5" s="5" t="n"/>
    </row>
    <row r="6">
      <c r="B6" s="25" t="inlineStr">
        <is>
          <t>Colector: franja = ancho exterior + 0.10 m (hoja TRAMOS, col. U)</t>
        </is>
      </c>
    </row>
    <row r="7">
      <c r="B7" s="14" t="inlineStr">
        <is>
          <t>Tramo 0+000.00 - 0+002.00 (normal)</t>
        </is>
      </c>
      <c r="D7" s="26" t="n"/>
      <c r="E7" s="26" t="n"/>
      <c r="F7" s="26" t="n"/>
      <c r="G7" s="26" t="n"/>
      <c r="H7" s="27">
        <f>TRAMOS!U5</f>
        <v/>
      </c>
      <c r="J7" s="28" t="inlineStr"/>
    </row>
    <row r="8">
      <c r="B8" s="14" t="inlineStr">
        <is>
          <t>Tramo 0+002.00 - 0+002.74 (normal)</t>
        </is>
      </c>
      <c r="D8" s="26" t="n"/>
      <c r="E8" s="26" t="n"/>
      <c r="F8" s="26" t="n"/>
      <c r="G8" s="26" t="n"/>
      <c r="H8" s="27">
        <f>TRAMOS!U6</f>
        <v/>
      </c>
      <c r="J8" s="28" t="inlineStr"/>
    </row>
    <row r="9">
      <c r="B9" s="14" t="inlineStr">
        <is>
          <t>Tramo 0+002.74 - 0+004.00 (cruce de autos)</t>
        </is>
      </c>
      <c r="D9" s="26" t="n"/>
      <c r="E9" s="26" t="n"/>
      <c r="F9" s="26" t="n"/>
      <c r="G9" s="26" t="n"/>
      <c r="H9" s="27">
        <f>TRAMOS!U7</f>
        <v/>
      </c>
      <c r="J9" s="28" t="inlineStr"/>
    </row>
    <row r="10">
      <c r="B10" s="14" t="inlineStr">
        <is>
          <t>Tramo 0+004.00 - 0+006.00 (cruce de autos)</t>
        </is>
      </c>
      <c r="D10" s="26" t="n"/>
      <c r="E10" s="26" t="n"/>
      <c r="F10" s="26" t="n"/>
      <c r="G10" s="26" t="n"/>
      <c r="H10" s="27">
        <f>TRAMOS!U8</f>
        <v/>
      </c>
      <c r="J10" s="28" t="inlineStr"/>
    </row>
    <row r="11">
      <c r="B11" s="14" t="inlineStr">
        <is>
          <t>Tramo 0+006.00 - 0+008.00 (cruce de autos)</t>
        </is>
      </c>
      <c r="D11" s="26" t="n"/>
      <c r="E11" s="26" t="n"/>
      <c r="F11" s="26" t="n"/>
      <c r="G11" s="26" t="n"/>
      <c r="H11" s="27">
        <f>TRAMOS!U9</f>
        <v/>
      </c>
      <c r="J11" s="28" t="inlineStr"/>
    </row>
    <row r="12">
      <c r="B12" s="14" t="inlineStr">
        <is>
          <t>Tramo 0+008.00 - 0+010.00 (cruce de autos)</t>
        </is>
      </c>
      <c r="D12" s="26" t="n"/>
      <c r="E12" s="26" t="n"/>
      <c r="F12" s="26" t="n"/>
      <c r="G12" s="26" t="n"/>
      <c r="H12" s="27">
        <f>TRAMOS!U10</f>
        <v/>
      </c>
      <c r="J12" s="28" t="inlineStr"/>
    </row>
    <row r="13">
      <c r="B13" s="14" t="inlineStr">
        <is>
          <t>Tramo 0+010.00 - 0+012.00 (cruce de autos)</t>
        </is>
      </c>
      <c r="D13" s="26" t="n"/>
      <c r="E13" s="26" t="n"/>
      <c r="F13" s="26" t="n"/>
      <c r="G13" s="26" t="n"/>
      <c r="H13" s="27">
        <f>TRAMOS!U11</f>
        <v/>
      </c>
      <c r="J13" s="28" t="inlineStr"/>
    </row>
    <row r="14">
      <c r="B14" s="14" t="inlineStr">
        <is>
          <t>Tramo 0+012.00 - 0+014.00 (cruce de autos)</t>
        </is>
      </c>
      <c r="D14" s="26" t="n"/>
      <c r="E14" s="26" t="n"/>
      <c r="F14" s="26" t="n"/>
      <c r="G14" s="26" t="n"/>
      <c r="H14" s="27">
        <f>TRAMOS!U12</f>
        <v/>
      </c>
      <c r="J14" s="28" t="inlineStr"/>
    </row>
    <row r="15">
      <c r="B15" s="14" t="inlineStr">
        <is>
          <t>Tramo 0+014.00 - 0+016.00 (cruce de autos)</t>
        </is>
      </c>
      <c r="D15" s="26" t="n"/>
      <c r="E15" s="26" t="n"/>
      <c r="F15" s="26" t="n"/>
      <c r="G15" s="26" t="n"/>
      <c r="H15" s="27">
        <f>TRAMOS!U13</f>
        <v/>
      </c>
      <c r="J15" s="28" t="inlineStr"/>
    </row>
    <row r="16">
      <c r="B16" s="14" t="inlineStr">
        <is>
          <t>Tramo 0+016.00 - 0+018.00 (cruce de autos)</t>
        </is>
      </c>
      <c r="D16" s="26" t="n"/>
      <c r="E16" s="26" t="n"/>
      <c r="F16" s="26" t="n"/>
      <c r="G16" s="26" t="n"/>
      <c r="H16" s="27">
        <f>TRAMOS!U14</f>
        <v/>
      </c>
      <c r="J16" s="28" t="inlineStr"/>
    </row>
    <row r="17">
      <c r="B17" s="14" t="inlineStr">
        <is>
          <t>Tramo 0+018.00 - 0+018.45 (cruce de autos)</t>
        </is>
      </c>
      <c r="D17" s="26" t="n"/>
      <c r="E17" s="26" t="n"/>
      <c r="F17" s="26" t="n"/>
      <c r="G17" s="26" t="n"/>
      <c r="H17" s="27">
        <f>TRAMOS!U15</f>
        <v/>
      </c>
      <c r="J17" s="28" t="inlineStr"/>
    </row>
    <row r="18">
      <c r="B18" s="14" t="inlineStr">
        <is>
          <t>Tramo 0+018.45 - 0+020.00 (normal)</t>
        </is>
      </c>
      <c r="D18" s="26" t="n"/>
      <c r="E18" s="26" t="n"/>
      <c r="F18" s="26" t="n"/>
      <c r="G18" s="26" t="n"/>
      <c r="H18" s="27">
        <f>TRAMOS!U16</f>
        <v/>
      </c>
      <c r="J18" s="28" t="inlineStr"/>
    </row>
    <row r="19">
      <c r="B19" s="14" t="inlineStr">
        <is>
          <t>Tramo 0+020.00 - 0+022.00 (normal)</t>
        </is>
      </c>
      <c r="D19" s="26" t="n"/>
      <c r="E19" s="26" t="n"/>
      <c r="F19" s="26" t="n"/>
      <c r="G19" s="26" t="n"/>
      <c r="H19" s="27">
        <f>TRAMOS!U17</f>
        <v/>
      </c>
      <c r="J19" s="28" t="inlineStr"/>
    </row>
    <row r="20">
      <c r="B20" s="14" t="inlineStr">
        <is>
          <t>Tramo 0+022.00 - 0+024.00 (normal)</t>
        </is>
      </c>
      <c r="D20" s="26" t="n"/>
      <c r="E20" s="26" t="n"/>
      <c r="F20" s="26" t="n"/>
      <c r="G20" s="26" t="n"/>
      <c r="H20" s="27">
        <f>TRAMOS!U18</f>
        <v/>
      </c>
      <c r="J20" s="28" t="inlineStr"/>
    </row>
    <row r="21">
      <c r="B21" s="14" t="inlineStr">
        <is>
          <t>Tramo 0+024.00 - 0+026.00 (normal)</t>
        </is>
      </c>
      <c r="D21" s="26" t="n"/>
      <c r="E21" s="26" t="n"/>
      <c r="F21" s="26" t="n"/>
      <c r="G21" s="26" t="n"/>
      <c r="H21" s="27">
        <f>TRAMOS!U19</f>
        <v/>
      </c>
      <c r="J21" s="28" t="inlineStr"/>
    </row>
    <row r="22">
      <c r="B22" s="14" t="inlineStr">
        <is>
          <t>Tramo 0+026.00 - 0+028.00 (normal)</t>
        </is>
      </c>
      <c r="D22" s="26" t="n"/>
      <c r="E22" s="26" t="n"/>
      <c r="F22" s="26" t="n"/>
      <c r="G22" s="26" t="n"/>
      <c r="H22" s="27">
        <f>TRAMOS!U20</f>
        <v/>
      </c>
      <c r="J22" s="28" t="inlineStr"/>
    </row>
    <row r="23">
      <c r="B23" s="14" t="inlineStr">
        <is>
          <t>Tramo 0+028.00 - 0+030.00 (normal)</t>
        </is>
      </c>
      <c r="D23" s="26" t="n"/>
      <c r="E23" s="26" t="n"/>
      <c r="F23" s="26" t="n"/>
      <c r="G23" s="26" t="n"/>
      <c r="H23" s="27">
        <f>TRAMOS!U21</f>
        <v/>
      </c>
      <c r="J23" s="28" t="inlineStr"/>
    </row>
    <row r="24">
      <c r="B24" s="14" t="inlineStr">
        <is>
          <t>Tramo 0+030.00 - 0+032.00 (normal)</t>
        </is>
      </c>
      <c r="D24" s="26" t="n"/>
      <c r="E24" s="26" t="n"/>
      <c r="F24" s="26" t="n"/>
      <c r="G24" s="26" t="n"/>
      <c r="H24" s="27">
        <f>TRAMOS!U22</f>
        <v/>
      </c>
      <c r="J24" s="28" t="inlineStr"/>
    </row>
    <row r="25">
      <c r="B25" s="14" t="inlineStr">
        <is>
          <t>Tramo 0+032.00 - 0+034.00 (normal)</t>
        </is>
      </c>
      <c r="D25" s="26" t="n"/>
      <c r="E25" s="26" t="n"/>
      <c r="F25" s="26" t="n"/>
      <c r="G25" s="26" t="n"/>
      <c r="H25" s="27">
        <f>TRAMOS!U23</f>
        <v/>
      </c>
      <c r="J25" s="28" t="inlineStr"/>
    </row>
    <row r="26">
      <c r="B26" s="14" t="inlineStr">
        <is>
          <t>Tramo 0+034.00 - 0+035.04 (normal)</t>
        </is>
      </c>
      <c r="D26" s="26" t="n"/>
      <c r="E26" s="26" t="n"/>
      <c r="F26" s="26" t="n"/>
      <c r="G26" s="26" t="n"/>
      <c r="H26" s="27">
        <f>TRAMOS!U24</f>
        <v/>
      </c>
      <c r="J26" s="28" t="inlineStr"/>
    </row>
    <row r="27">
      <c r="B27" s="14" t="inlineStr">
        <is>
          <t>Tramo 0+035.04 - 0+036.00 (cruce de autos)</t>
        </is>
      </c>
      <c r="D27" s="26" t="n"/>
      <c r="E27" s="26" t="n"/>
      <c r="F27" s="26" t="n"/>
      <c r="G27" s="26" t="n"/>
      <c r="H27" s="27">
        <f>TRAMOS!U25</f>
        <v/>
      </c>
      <c r="J27" s="28" t="inlineStr"/>
    </row>
    <row r="28">
      <c r="B28" s="14" t="inlineStr">
        <is>
          <t>Tramo 0+036.00 - 0+038.00 (cruce de autos)</t>
        </is>
      </c>
      <c r="D28" s="26" t="n"/>
      <c r="E28" s="26" t="n"/>
      <c r="F28" s="26" t="n"/>
      <c r="G28" s="26" t="n"/>
      <c r="H28" s="27">
        <f>TRAMOS!U26</f>
        <v/>
      </c>
      <c r="J28" s="28" t="inlineStr"/>
    </row>
    <row r="29">
      <c r="B29" s="14" t="inlineStr">
        <is>
          <t>Tramo 0+038.00 - 0+040.00 (cruce de autos)</t>
        </is>
      </c>
      <c r="D29" s="26" t="n"/>
      <c r="E29" s="26" t="n"/>
      <c r="F29" s="26" t="n"/>
      <c r="G29" s="26" t="n"/>
      <c r="H29" s="27">
        <f>TRAMOS!U27</f>
        <v/>
      </c>
      <c r="J29" s="28" t="inlineStr"/>
    </row>
    <row r="30">
      <c r="B30" s="14" t="inlineStr">
        <is>
          <t>Tramo 0+040.00 - 0+042.00 (cruce de autos)</t>
        </is>
      </c>
      <c r="D30" s="26" t="n"/>
      <c r="E30" s="26" t="n"/>
      <c r="F30" s="26" t="n"/>
      <c r="G30" s="26" t="n"/>
      <c r="H30" s="27">
        <f>TRAMOS!U28</f>
        <v/>
      </c>
      <c r="J30" s="28" t="inlineStr"/>
    </row>
    <row r="31">
      <c r="B31" s="14" t="inlineStr">
        <is>
          <t>Tramo 0+042.00 - 0+044.00 (cruce de autos)</t>
        </is>
      </c>
      <c r="D31" s="26" t="n"/>
      <c r="E31" s="26" t="n"/>
      <c r="F31" s="26" t="n"/>
      <c r="G31" s="26" t="n"/>
      <c r="H31" s="27">
        <f>TRAMOS!U29</f>
        <v/>
      </c>
      <c r="J31" s="28" t="inlineStr"/>
    </row>
    <row r="32">
      <c r="B32" s="14" t="inlineStr">
        <is>
          <t>Tramo 0+044.00 - 0+046.00 (cruce de autos)</t>
        </is>
      </c>
      <c r="D32" s="26" t="n"/>
      <c r="E32" s="26" t="n"/>
      <c r="F32" s="26" t="n"/>
      <c r="G32" s="26" t="n"/>
      <c r="H32" s="27">
        <f>TRAMOS!U30</f>
        <v/>
      </c>
      <c r="J32" s="28" t="inlineStr"/>
    </row>
    <row r="33">
      <c r="B33" s="14" t="inlineStr">
        <is>
          <t>Tramo 0+046.00 - 0+048.00 (cruce de autos)</t>
        </is>
      </c>
      <c r="D33" s="26" t="n"/>
      <c r="E33" s="26" t="n"/>
      <c r="F33" s="26" t="n"/>
      <c r="G33" s="26" t="n"/>
      <c r="H33" s="27">
        <f>TRAMOS!U31</f>
        <v/>
      </c>
      <c r="J33" s="28" t="inlineStr"/>
    </row>
    <row r="34">
      <c r="B34" s="14" t="inlineStr">
        <is>
          <t>Tramo 0+048.00 - 0+050.00 (cruce de autos)</t>
        </is>
      </c>
      <c r="D34" s="26" t="n"/>
      <c r="E34" s="26" t="n"/>
      <c r="F34" s="26" t="n"/>
      <c r="G34" s="26" t="n"/>
      <c r="H34" s="27">
        <f>TRAMOS!U32</f>
        <v/>
      </c>
      <c r="J34" s="28" t="inlineStr"/>
    </row>
    <row r="35">
      <c r="B35" s="14" t="inlineStr">
        <is>
          <t>Tramo 0+050.00 - 0+051.86 (cruce de autos)</t>
        </is>
      </c>
      <c r="D35" s="26" t="n"/>
      <c r="E35" s="26" t="n"/>
      <c r="F35" s="26" t="n"/>
      <c r="G35" s="26" t="n"/>
      <c r="H35" s="27">
        <f>TRAMOS!U33</f>
        <v/>
      </c>
      <c r="J35" s="28" t="inlineStr"/>
    </row>
    <row r="36">
      <c r="B36" s="14" t="inlineStr">
        <is>
          <t>Tramo 0+051.86 - 0+052.00 (normal)</t>
        </is>
      </c>
      <c r="D36" s="26" t="n"/>
      <c r="E36" s="26" t="n"/>
      <c r="F36" s="26" t="n"/>
      <c r="G36" s="26" t="n"/>
      <c r="H36" s="27">
        <f>TRAMOS!U34</f>
        <v/>
      </c>
      <c r="J36" s="28" t="inlineStr"/>
    </row>
    <row r="37">
      <c r="B37" s="14" t="inlineStr">
        <is>
          <t>Tramo 0+052.00 - 0+054.00 (normal)</t>
        </is>
      </c>
      <c r="D37" s="26" t="n"/>
      <c r="E37" s="26" t="n"/>
      <c r="F37" s="26" t="n"/>
      <c r="G37" s="26" t="n"/>
      <c r="H37" s="27">
        <f>TRAMOS!U35</f>
        <v/>
      </c>
      <c r="J37" s="28" t="inlineStr"/>
    </row>
    <row r="38">
      <c r="B38" s="14" t="inlineStr">
        <is>
          <t>Tramo 0+054.00 - 0+056.00 (cruce de camiones)</t>
        </is>
      </c>
      <c r="D38" s="26" t="n"/>
      <c r="E38" s="26" t="n"/>
      <c r="F38" s="26" t="n"/>
      <c r="G38" s="26" t="n"/>
      <c r="H38" s="27">
        <f>TRAMOS!U36</f>
        <v/>
      </c>
      <c r="J38" s="28" t="inlineStr"/>
    </row>
    <row r="39">
      <c r="B39" s="14" t="inlineStr">
        <is>
          <t>Tramo 0+056.00 - 0+058.00 (cruce de camiones)</t>
        </is>
      </c>
      <c r="D39" s="26" t="n"/>
      <c r="E39" s="26" t="n"/>
      <c r="F39" s="26" t="n"/>
      <c r="G39" s="26" t="n"/>
      <c r="H39" s="27">
        <f>TRAMOS!U37</f>
        <v/>
      </c>
      <c r="J39" s="28" t="inlineStr"/>
    </row>
    <row r="40">
      <c r="B40" s="14" t="inlineStr">
        <is>
          <t>Tramo 0+058.00 - 0+060.00 (cruce de camiones)</t>
        </is>
      </c>
      <c r="D40" s="26" t="n"/>
      <c r="E40" s="26" t="n"/>
      <c r="F40" s="26" t="n"/>
      <c r="G40" s="26" t="n"/>
      <c r="H40" s="27">
        <f>TRAMOS!U38</f>
        <v/>
      </c>
      <c r="J40" s="28" t="inlineStr"/>
    </row>
    <row r="41">
      <c r="B41" s="14" t="inlineStr">
        <is>
          <t>Tramo 0+060.00 - 0+062.00 (normal)</t>
        </is>
      </c>
      <c r="D41" s="26" t="n"/>
      <c r="E41" s="26" t="n"/>
      <c r="F41" s="26" t="n"/>
      <c r="G41" s="26" t="n"/>
      <c r="H41" s="27">
        <f>TRAMOS!U39</f>
        <v/>
      </c>
      <c r="J41" s="28" t="inlineStr"/>
    </row>
    <row r="42">
      <c r="B42" s="14" t="inlineStr">
        <is>
          <t>Tramo 0+062.00 - 0+064.00 (normal)</t>
        </is>
      </c>
      <c r="D42" s="26" t="n"/>
      <c r="E42" s="26" t="n"/>
      <c r="F42" s="26" t="n"/>
      <c r="G42" s="26" t="n"/>
      <c r="H42" s="27">
        <f>TRAMOS!U40</f>
        <v/>
      </c>
      <c r="J42" s="28" t="inlineStr"/>
    </row>
    <row r="43">
      <c r="B43" s="14" t="inlineStr">
        <is>
          <t>Tramo 0+064.00 - 0+066.00 (normal)</t>
        </is>
      </c>
      <c r="D43" s="26" t="n"/>
      <c r="E43" s="26" t="n"/>
      <c r="F43" s="26" t="n"/>
      <c r="G43" s="26" t="n"/>
      <c r="H43" s="27">
        <f>TRAMOS!U41</f>
        <v/>
      </c>
      <c r="J43" s="28" t="inlineStr"/>
    </row>
    <row r="44">
      <c r="B44" s="14" t="inlineStr">
        <is>
          <t>Tramo 0+066.00 - 0+068.00 (normal)</t>
        </is>
      </c>
      <c r="D44" s="26" t="n"/>
      <c r="E44" s="26" t="n"/>
      <c r="F44" s="26" t="n"/>
      <c r="G44" s="26" t="n"/>
      <c r="H44" s="27">
        <f>TRAMOS!U42</f>
        <v/>
      </c>
      <c r="J44" s="28" t="inlineStr"/>
    </row>
    <row r="45">
      <c r="B45" s="14" t="inlineStr">
        <is>
          <t>Tramo 0+068.00 - 0+070.00 (normal)</t>
        </is>
      </c>
      <c r="D45" s="26" t="n"/>
      <c r="E45" s="26" t="n"/>
      <c r="F45" s="26" t="n"/>
      <c r="G45" s="26" t="n"/>
      <c r="H45" s="27">
        <f>TRAMOS!U43</f>
        <v/>
      </c>
      <c r="J45" s="28" t="inlineStr"/>
    </row>
    <row r="46">
      <c r="B46" s="14" t="inlineStr">
        <is>
          <t>Tramo 0+070.00 - 0+072.00 (normal)</t>
        </is>
      </c>
      <c r="D46" s="26" t="n"/>
      <c r="E46" s="26" t="n"/>
      <c r="F46" s="26" t="n"/>
      <c r="G46" s="26" t="n"/>
      <c r="H46" s="27">
        <f>TRAMOS!U44</f>
        <v/>
      </c>
      <c r="J46" s="28" t="inlineStr"/>
    </row>
    <row r="47">
      <c r="B47" s="14" t="inlineStr">
        <is>
          <t>Tramo 0+072.00 - 0+074.00 (normal)</t>
        </is>
      </c>
      <c r="D47" s="26" t="n"/>
      <c r="E47" s="26" t="n"/>
      <c r="F47" s="26" t="n"/>
      <c r="G47" s="26" t="n"/>
      <c r="H47" s="27">
        <f>TRAMOS!U45</f>
        <v/>
      </c>
      <c r="J47" s="28" t="inlineStr"/>
    </row>
    <row r="48">
      <c r="B48" s="14" t="inlineStr">
        <is>
          <t>Tramo 0+074.00 - 0+076.00 (normal)</t>
        </is>
      </c>
      <c r="D48" s="26" t="n"/>
      <c r="E48" s="26" t="n"/>
      <c r="F48" s="26" t="n"/>
      <c r="G48" s="26" t="n"/>
      <c r="H48" s="27">
        <f>TRAMOS!U46</f>
        <v/>
      </c>
      <c r="J48" s="28" t="inlineStr"/>
    </row>
    <row r="49">
      <c r="B49" s="14" t="inlineStr">
        <is>
          <t>Tramo 0+076.00 - 0+078.00 (normal)</t>
        </is>
      </c>
      <c r="D49" s="26" t="n"/>
      <c r="E49" s="26" t="n"/>
      <c r="F49" s="26" t="n"/>
      <c r="G49" s="26" t="n"/>
      <c r="H49" s="27">
        <f>TRAMOS!U47</f>
        <v/>
      </c>
      <c r="J49" s="28" t="inlineStr"/>
    </row>
    <row r="50">
      <c r="B50" s="14" t="inlineStr">
        <is>
          <t>Tramo 0+078.00 - 0+078.42 (normal)</t>
        </is>
      </c>
      <c r="D50" s="26" t="n"/>
      <c r="E50" s="26" t="n"/>
      <c r="F50" s="26" t="n"/>
      <c r="G50" s="26" t="n"/>
      <c r="H50" s="27">
        <f>TRAMOS!U48</f>
        <v/>
      </c>
      <c r="J50" s="28" t="inlineStr"/>
    </row>
    <row r="51">
      <c r="B51" s="14" t="inlineStr">
        <is>
          <t>Tramo 0+078.42 - 0+080.00 (normal)</t>
        </is>
      </c>
      <c r="D51" s="26" t="n"/>
      <c r="E51" s="26" t="n"/>
      <c r="F51" s="26" t="n"/>
      <c r="G51" s="26" t="n"/>
      <c r="H51" s="27">
        <f>TRAMOS!U49</f>
        <v/>
      </c>
      <c r="J51" s="28" t="inlineStr"/>
    </row>
    <row r="52">
      <c r="B52" s="14" t="inlineStr">
        <is>
          <t>Tramo 0+080.00 - 0+082.00 (normal)</t>
        </is>
      </c>
      <c r="D52" s="26" t="n"/>
      <c r="E52" s="26" t="n"/>
      <c r="F52" s="26" t="n"/>
      <c r="G52" s="26" t="n"/>
      <c r="H52" s="27">
        <f>TRAMOS!U50</f>
        <v/>
      </c>
      <c r="J52" s="28" t="inlineStr"/>
    </row>
    <row r="53">
      <c r="B53" s="14" t="inlineStr">
        <is>
          <t>Tramo 0+082.00 - 0+084.00 (normal)</t>
        </is>
      </c>
      <c r="D53" s="26" t="n"/>
      <c r="E53" s="26" t="n"/>
      <c r="F53" s="26" t="n"/>
      <c r="G53" s="26" t="n"/>
      <c r="H53" s="27">
        <f>TRAMOS!U51</f>
        <v/>
      </c>
      <c r="J53" s="28" t="inlineStr"/>
    </row>
    <row r="54">
      <c r="B54" s="14" t="inlineStr">
        <is>
          <t>Tramo 0+084.00 - 0+086.00 (normal)</t>
        </is>
      </c>
      <c r="D54" s="26" t="n"/>
      <c r="E54" s="26" t="n"/>
      <c r="F54" s="26" t="n"/>
      <c r="G54" s="26" t="n"/>
      <c r="H54" s="27">
        <f>TRAMOS!U52</f>
        <v/>
      </c>
      <c r="J54" s="28" t="inlineStr"/>
    </row>
    <row r="55">
      <c r="B55" s="14" t="inlineStr">
        <is>
          <t>Tramo 0+086.00 - 0+088.00 (normal)</t>
        </is>
      </c>
      <c r="D55" s="26" t="n"/>
      <c r="E55" s="26" t="n"/>
      <c r="F55" s="26" t="n"/>
      <c r="G55" s="26" t="n"/>
      <c r="H55" s="27">
        <f>TRAMOS!U53</f>
        <v/>
      </c>
      <c r="J55" s="28" t="inlineStr"/>
    </row>
    <row r="56">
      <c r="B56" s="14" t="inlineStr">
        <is>
          <t>Tramo 0+088.00 - 0+090.00 (normal)</t>
        </is>
      </c>
      <c r="D56" s="26" t="n"/>
      <c r="E56" s="26" t="n"/>
      <c r="F56" s="26" t="n"/>
      <c r="G56" s="26" t="n"/>
      <c r="H56" s="27">
        <f>TRAMOS!U54</f>
        <v/>
      </c>
      <c r="J56" s="28" t="inlineStr"/>
    </row>
    <row r="57">
      <c r="B57" s="14" t="inlineStr">
        <is>
          <t>Tramo 0+090.00 - 0+092.00 (normal)</t>
        </is>
      </c>
      <c r="D57" s="26" t="n"/>
      <c r="E57" s="26" t="n"/>
      <c r="F57" s="26" t="n"/>
      <c r="G57" s="26" t="n"/>
      <c r="H57" s="27">
        <f>TRAMOS!U55</f>
        <v/>
      </c>
      <c r="J57" s="28" t="inlineStr"/>
    </row>
    <row r="58">
      <c r="B58" s="14" t="inlineStr">
        <is>
          <t>Tramo 0+092.00 - 0+094.00 (normal)</t>
        </is>
      </c>
      <c r="D58" s="26" t="n"/>
      <c r="E58" s="26" t="n"/>
      <c r="F58" s="26" t="n"/>
      <c r="G58" s="26" t="n"/>
      <c r="H58" s="27">
        <f>TRAMOS!U56</f>
        <v/>
      </c>
      <c r="J58" s="28" t="inlineStr"/>
    </row>
    <row r="59">
      <c r="B59" s="14" t="inlineStr">
        <is>
          <t>Tramo 0+094.00 - 0+096.00 (normal)</t>
        </is>
      </c>
      <c r="D59" s="26" t="n"/>
      <c r="E59" s="26" t="n"/>
      <c r="F59" s="26" t="n"/>
      <c r="G59" s="26" t="n"/>
      <c r="H59" s="27">
        <f>TRAMOS!U57</f>
        <v/>
      </c>
      <c r="J59" s="28" t="inlineStr"/>
    </row>
    <row r="60">
      <c r="B60" s="14" t="inlineStr">
        <is>
          <t>Tramo 0+096.00 - 0+098.00 (normal)</t>
        </is>
      </c>
      <c r="D60" s="26" t="n"/>
      <c r="E60" s="26" t="n"/>
      <c r="F60" s="26" t="n"/>
      <c r="G60" s="26" t="n"/>
      <c r="H60" s="27">
        <f>TRAMOS!U58</f>
        <v/>
      </c>
      <c r="J60" s="28" t="inlineStr"/>
    </row>
    <row r="61">
      <c r="B61" s="14" t="inlineStr">
        <is>
          <t>Tramo 0+098.00 - 0+100.00 (normal)</t>
        </is>
      </c>
      <c r="D61" s="26" t="n"/>
      <c r="E61" s="26" t="n"/>
      <c r="F61" s="26" t="n"/>
      <c r="G61" s="26" t="n"/>
      <c r="H61" s="27">
        <f>TRAMOS!U59</f>
        <v/>
      </c>
      <c r="J61" s="28" t="inlineStr"/>
    </row>
    <row r="62">
      <c r="B62" s="14" t="inlineStr">
        <is>
          <t>Tramo 0+100.00 - 0+102.00 (normal)</t>
        </is>
      </c>
      <c r="D62" s="26" t="n"/>
      <c r="E62" s="26" t="n"/>
      <c r="F62" s="26" t="n"/>
      <c r="G62" s="26" t="n"/>
      <c r="H62" s="27">
        <f>TRAMOS!U60</f>
        <v/>
      </c>
      <c r="J62" s="28" t="inlineStr"/>
    </row>
    <row r="63">
      <c r="B63" s="14" t="inlineStr">
        <is>
          <t>Tramo 0+102.00 - 0+104.00 (normal)</t>
        </is>
      </c>
      <c r="D63" s="26" t="n"/>
      <c r="E63" s="26" t="n"/>
      <c r="F63" s="26" t="n"/>
      <c r="G63" s="26" t="n"/>
      <c r="H63" s="27">
        <f>TRAMOS!U61</f>
        <v/>
      </c>
      <c r="J63" s="28" t="inlineStr"/>
    </row>
    <row r="64">
      <c r="B64" s="14" t="inlineStr">
        <is>
          <t>Tramo 0+104.00 - 0+106.00 (normal)</t>
        </is>
      </c>
      <c r="D64" s="26" t="n"/>
      <c r="E64" s="26" t="n"/>
      <c r="F64" s="26" t="n"/>
      <c r="G64" s="26" t="n"/>
      <c r="H64" s="27">
        <f>TRAMOS!U62</f>
        <v/>
      </c>
      <c r="J64" s="28" t="inlineStr"/>
    </row>
    <row r="65">
      <c r="B65" s="14" t="inlineStr">
        <is>
          <t>Tramo 0+106.00 - 0+108.00 (normal)</t>
        </is>
      </c>
      <c r="D65" s="26" t="n"/>
      <c r="E65" s="26" t="n"/>
      <c r="F65" s="26" t="n"/>
      <c r="G65" s="26" t="n"/>
      <c r="H65" s="27">
        <f>TRAMOS!U63</f>
        <v/>
      </c>
      <c r="J65" s="28" t="inlineStr"/>
    </row>
    <row r="66">
      <c r="B66" s="14" t="inlineStr">
        <is>
          <t>Tramo 0+108.00 - 0+110.00 (normal)</t>
        </is>
      </c>
      <c r="D66" s="26" t="n"/>
      <c r="E66" s="26" t="n"/>
      <c r="F66" s="26" t="n"/>
      <c r="G66" s="26" t="n"/>
      <c r="H66" s="27">
        <f>TRAMOS!U64</f>
        <v/>
      </c>
      <c r="J66" s="28" t="inlineStr"/>
    </row>
    <row r="67">
      <c r="B67" s="14" t="inlineStr">
        <is>
          <t>Tramo 0+110.00 - 0+112.00 (normal)</t>
        </is>
      </c>
      <c r="D67" s="26" t="n"/>
      <c r="E67" s="26" t="n"/>
      <c r="F67" s="26" t="n"/>
      <c r="G67" s="26" t="n"/>
      <c r="H67" s="27">
        <f>TRAMOS!U65</f>
        <v/>
      </c>
      <c r="J67" s="28" t="inlineStr"/>
    </row>
    <row r="68">
      <c r="B68" s="14" t="inlineStr">
        <is>
          <t>Tramo 0+112.00 - 0+114.00 (normal)</t>
        </is>
      </c>
      <c r="D68" s="26" t="n"/>
      <c r="E68" s="26" t="n"/>
      <c r="F68" s="26" t="n"/>
      <c r="G68" s="26" t="n"/>
      <c r="H68" s="27">
        <f>TRAMOS!U66</f>
        <v/>
      </c>
      <c r="J68" s="28" t="inlineStr"/>
    </row>
    <row r="69">
      <c r="B69" s="14" t="inlineStr">
        <is>
          <t>Tramo 0+114.00 - 0+116.00 (normal)</t>
        </is>
      </c>
      <c r="D69" s="26" t="n"/>
      <c r="E69" s="26" t="n"/>
      <c r="F69" s="26" t="n"/>
      <c r="G69" s="26" t="n"/>
      <c r="H69" s="27">
        <f>TRAMOS!U67</f>
        <v/>
      </c>
      <c r="J69" s="28" t="inlineStr"/>
    </row>
    <row r="70">
      <c r="B70" s="14" t="inlineStr">
        <is>
          <t>Tramo 0+116.00 - 0+118.00 (normal)</t>
        </is>
      </c>
      <c r="D70" s="26" t="n"/>
      <c r="E70" s="26" t="n"/>
      <c r="F70" s="26" t="n"/>
      <c r="G70" s="26" t="n"/>
      <c r="H70" s="27">
        <f>TRAMOS!U68</f>
        <v/>
      </c>
      <c r="J70" s="28" t="inlineStr"/>
    </row>
    <row r="71">
      <c r="B71" s="14" t="inlineStr">
        <is>
          <t>Tramo 0+118.00 - 0+120.00 (normal)</t>
        </is>
      </c>
      <c r="D71" s="26" t="n"/>
      <c r="E71" s="26" t="n"/>
      <c r="F71" s="26" t="n"/>
      <c r="G71" s="26" t="n"/>
      <c r="H71" s="27">
        <f>TRAMOS!U69</f>
        <v/>
      </c>
      <c r="J71" s="28" t="inlineStr"/>
    </row>
    <row r="72">
      <c r="B72" s="14" t="inlineStr">
        <is>
          <t>Tramo 0+120.00 - 0+122.00 (normal)</t>
        </is>
      </c>
      <c r="D72" s="26" t="n"/>
      <c r="E72" s="26" t="n"/>
      <c r="F72" s="26" t="n"/>
      <c r="G72" s="26" t="n"/>
      <c r="H72" s="27">
        <f>TRAMOS!U70</f>
        <v/>
      </c>
      <c r="J72" s="28" t="inlineStr"/>
    </row>
    <row r="73">
      <c r="B73" s="14" t="inlineStr">
        <is>
          <t>Tramo 0+122.00 - 0+124.00 (normal)</t>
        </is>
      </c>
      <c r="D73" s="26" t="n"/>
      <c r="E73" s="26" t="n"/>
      <c r="F73" s="26" t="n"/>
      <c r="G73" s="26" t="n"/>
      <c r="H73" s="27">
        <f>TRAMOS!U71</f>
        <v/>
      </c>
      <c r="J73" s="28" t="inlineStr"/>
    </row>
    <row r="74">
      <c r="B74" s="14" t="inlineStr">
        <is>
          <t>Tramo 0+124.00 - 0+126.00 (normal)</t>
        </is>
      </c>
      <c r="D74" s="26" t="n"/>
      <c r="E74" s="26" t="n"/>
      <c r="F74" s="26" t="n"/>
      <c r="G74" s="26" t="n"/>
      <c r="H74" s="27">
        <f>TRAMOS!U72</f>
        <v/>
      </c>
      <c r="J74" s="28" t="inlineStr"/>
    </row>
    <row r="75">
      <c r="B75" s="14" t="inlineStr">
        <is>
          <t>Tramo 0+126.00 - 0+128.00 (normal)</t>
        </is>
      </c>
      <c r="D75" s="26" t="n"/>
      <c r="E75" s="26" t="n"/>
      <c r="F75" s="26" t="n"/>
      <c r="G75" s="26" t="n"/>
      <c r="H75" s="27">
        <f>TRAMOS!U73</f>
        <v/>
      </c>
      <c r="J75" s="28" t="inlineStr"/>
    </row>
    <row r="76">
      <c r="B76" s="14" t="inlineStr">
        <is>
          <t>Tramo 0+128.00 - 0+130.00 (normal)</t>
        </is>
      </c>
      <c r="D76" s="26" t="n"/>
      <c r="E76" s="26" t="n"/>
      <c r="F76" s="26" t="n"/>
      <c r="G76" s="26" t="n"/>
      <c r="H76" s="27">
        <f>TRAMOS!U74</f>
        <v/>
      </c>
      <c r="J76" s="28" t="inlineStr"/>
    </row>
    <row r="77">
      <c r="B77" s="14" t="inlineStr">
        <is>
          <t>Tramo 0+130.00 - 0+132.00 (normal)</t>
        </is>
      </c>
      <c r="D77" s="26" t="n"/>
      <c r="E77" s="26" t="n"/>
      <c r="F77" s="26" t="n"/>
      <c r="G77" s="26" t="n"/>
      <c r="H77" s="27">
        <f>TRAMOS!U75</f>
        <v/>
      </c>
      <c r="J77" s="28" t="inlineStr"/>
    </row>
    <row r="78">
      <c r="B78" s="14" t="inlineStr">
        <is>
          <t>Tramo 0+132.00 - 0+134.00 (normal)</t>
        </is>
      </c>
      <c r="D78" s="26" t="n"/>
      <c r="E78" s="26" t="n"/>
      <c r="F78" s="26" t="n"/>
      <c r="G78" s="26" t="n"/>
      <c r="H78" s="27">
        <f>TRAMOS!U76</f>
        <v/>
      </c>
      <c r="J78" s="28" t="inlineStr"/>
    </row>
    <row r="79">
      <c r="B79" s="14" t="inlineStr">
        <is>
          <t>Tramo 0+134.00 - 0+136.00 (normal)</t>
        </is>
      </c>
      <c r="D79" s="26" t="n"/>
      <c r="E79" s="26" t="n"/>
      <c r="F79" s="26" t="n"/>
      <c r="G79" s="26" t="n"/>
      <c r="H79" s="27">
        <f>TRAMOS!U77</f>
        <v/>
      </c>
      <c r="J79" s="28" t="inlineStr"/>
    </row>
    <row r="80">
      <c r="B80" s="14" t="inlineStr">
        <is>
          <t>Tramo 0+136.00 - 0+138.00 (normal)</t>
        </is>
      </c>
      <c r="D80" s="26" t="n"/>
      <c r="E80" s="26" t="n"/>
      <c r="F80" s="26" t="n"/>
      <c r="G80" s="26" t="n"/>
      <c r="H80" s="27">
        <f>TRAMOS!U78</f>
        <v/>
      </c>
      <c r="J80" s="28" t="inlineStr"/>
    </row>
    <row r="81">
      <c r="B81" s="14" t="inlineStr">
        <is>
          <t>Tramo 0+138.00 - 0+139.08 (normal)</t>
        </is>
      </c>
      <c r="D81" s="26" t="n"/>
      <c r="E81" s="26" t="n"/>
      <c r="F81" s="26" t="n"/>
      <c r="G81" s="26" t="n"/>
      <c r="H81" s="27">
        <f>TRAMOS!U79</f>
        <v/>
      </c>
      <c r="J81" s="28" t="inlineStr"/>
    </row>
    <row r="82">
      <c r="B82" s="25" t="inlineStr">
        <is>
          <t>Estructura de salida</t>
        </is>
      </c>
    </row>
    <row r="83">
      <c r="B83" s="14" t="inlineStr">
        <is>
          <t>Planta de aleros, emboquillado y una</t>
        </is>
      </c>
      <c r="D83" s="26" t="n">
        <v>1</v>
      </c>
      <c r="E83" s="29">
        <f>DATOS!$B$31+0.15+0.40</f>
        <v/>
      </c>
      <c r="F83" s="29">
        <f>DATOS!$B$32+0.60</f>
        <v/>
      </c>
      <c r="G83" s="26" t="n"/>
      <c r="H83" s="27">
        <f>D83*E83*F83</f>
        <v/>
      </c>
      <c r="J83" s="28" t="inlineStr"/>
    </row>
    <row r="84">
      <c r="G84" s="9" t="inlineStr">
        <is>
          <t>TOTAL</t>
        </is>
      </c>
      <c r="I84" s="11">
        <f>SUM(H6:H83)</f>
        <v/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2" customWidth="1" min="9" max="9"/>
    <col width="40" customWidth="1" min="10" max="10"/>
  </cols>
  <sheetData>
    <row r="1" ht="24" customHeight="1">
      <c r="A1" s="1" t="inlineStr">
        <is>
          <t>02 MOVIMIENTO DE TIERRAS</t>
        </is>
      </c>
    </row>
    <row r="2">
      <c r="A2" s="2" t="inlineStr">
        <is>
          <t>CAR Mujeres (CUI 2717013) - Colector pluvial frontal b=1.50 m, preparado para CAR Varones y Hogar de Refugio - Morales, San Martin</t>
        </is>
      </c>
    </row>
    <row r="4" ht="36" customHeight="1">
      <c r="A4" s="3" t="inlineStr">
        <is>
          <t>ITEM</t>
        </is>
      </c>
      <c r="B4" s="3" t="inlineStr">
        <is>
          <t>DESCRIPCION</t>
        </is>
      </c>
      <c r="C4" s="3" t="inlineStr">
        <is>
          <t>UND</t>
        </is>
      </c>
      <c r="D4" s="3" t="inlineStr">
        <is>
          <t>N. VECES</t>
        </is>
      </c>
      <c r="E4" s="3" t="inlineStr">
        <is>
          <t>LARGO (m)</t>
        </is>
      </c>
      <c r="F4" s="3" t="inlineStr">
        <is>
          <t>ANCHO (m)</t>
        </is>
      </c>
      <c r="G4" s="3" t="inlineStr">
        <is>
          <t>ALTO (m)</t>
        </is>
      </c>
      <c r="H4" s="3" t="inlineStr">
        <is>
          <t>PARCIAL</t>
        </is>
      </c>
      <c r="I4" s="3" t="inlineStr">
        <is>
          <t>TOTAL</t>
        </is>
      </c>
      <c r="J4" s="3" t="inlineStr">
        <is>
          <t>OBSERVACION</t>
        </is>
      </c>
    </row>
    <row r="5">
      <c r="A5" s="4" t="inlineStr">
        <is>
          <t>02.01</t>
        </is>
      </c>
      <c r="B5" s="23" t="inlineStr">
        <is>
          <t>EXCAVACION DE ZANJA (manual / con equipo liviano)</t>
        </is>
      </c>
      <c r="C5" s="24" t="inlineStr">
        <is>
          <t>m3</t>
        </is>
      </c>
      <c r="D5" s="5" t="n"/>
      <c r="E5" s="5" t="n"/>
      <c r="F5" s="5" t="n"/>
      <c r="G5" s="5" t="n"/>
      <c r="H5" s="5" t="n"/>
      <c r="I5" s="5" t="n"/>
      <c r="J5" s="5" t="n"/>
    </row>
    <row r="6">
      <c r="B6" s="25" t="inlineStr">
        <is>
          <t>Colector: (ancho ext. + 0.10) x profundidad desde NPT o terreno hasta fondo de solado</t>
        </is>
      </c>
    </row>
    <row r="7">
      <c r="B7" s="14" t="inlineStr">
        <is>
          <t>Tramo 0+000.00 - 0+002.00 (normal)</t>
        </is>
      </c>
      <c r="D7" s="26" t="n"/>
      <c r="E7" s="26" t="n"/>
      <c r="F7" s="26" t="n"/>
      <c r="G7" s="26" t="n"/>
      <c r="H7" s="27">
        <f>TRAMOS!O5</f>
        <v/>
      </c>
      <c r="J7" s="28" t="inlineStr"/>
    </row>
    <row r="8">
      <c r="B8" s="14" t="inlineStr">
        <is>
          <t>Tramo 0+002.00 - 0+002.74 (normal)</t>
        </is>
      </c>
      <c r="D8" s="26" t="n"/>
      <c r="E8" s="26" t="n"/>
      <c r="F8" s="26" t="n"/>
      <c r="G8" s="26" t="n"/>
      <c r="H8" s="27">
        <f>TRAMOS!O6</f>
        <v/>
      </c>
      <c r="J8" s="28" t="inlineStr"/>
    </row>
    <row r="9">
      <c r="B9" s="14" t="inlineStr">
        <is>
          <t>Tramo 0+002.74 - 0+004.00 (cruce de autos)</t>
        </is>
      </c>
      <c r="D9" s="26" t="n"/>
      <c r="E9" s="26" t="n"/>
      <c r="F9" s="26" t="n"/>
      <c r="G9" s="26" t="n"/>
      <c r="H9" s="27">
        <f>TRAMOS!O7</f>
        <v/>
      </c>
      <c r="J9" s="28" t="inlineStr"/>
    </row>
    <row r="10">
      <c r="B10" s="14" t="inlineStr">
        <is>
          <t>Tramo 0+004.00 - 0+006.00 (cruce de autos)</t>
        </is>
      </c>
      <c r="D10" s="26" t="n"/>
      <c r="E10" s="26" t="n"/>
      <c r="F10" s="26" t="n"/>
      <c r="G10" s="26" t="n"/>
      <c r="H10" s="27">
        <f>TRAMOS!O8</f>
        <v/>
      </c>
      <c r="J10" s="28" t="inlineStr"/>
    </row>
    <row r="11">
      <c r="B11" s="14" t="inlineStr">
        <is>
          <t>Tramo 0+006.00 - 0+008.00 (cruce de autos)</t>
        </is>
      </c>
      <c r="D11" s="26" t="n"/>
      <c r="E11" s="26" t="n"/>
      <c r="F11" s="26" t="n"/>
      <c r="G11" s="26" t="n"/>
      <c r="H11" s="27">
        <f>TRAMOS!O9</f>
        <v/>
      </c>
      <c r="J11" s="28" t="inlineStr"/>
    </row>
    <row r="12">
      <c r="B12" s="14" t="inlineStr">
        <is>
          <t>Tramo 0+008.00 - 0+010.00 (cruce de autos)</t>
        </is>
      </c>
      <c r="D12" s="26" t="n"/>
      <c r="E12" s="26" t="n"/>
      <c r="F12" s="26" t="n"/>
      <c r="G12" s="26" t="n"/>
      <c r="H12" s="27">
        <f>TRAMOS!O10</f>
        <v/>
      </c>
      <c r="J12" s="28" t="inlineStr"/>
    </row>
    <row r="13">
      <c r="B13" s="14" t="inlineStr">
        <is>
          <t>Tramo 0+010.00 - 0+012.00 (cruce de autos)</t>
        </is>
      </c>
      <c r="D13" s="26" t="n"/>
      <c r="E13" s="26" t="n"/>
      <c r="F13" s="26" t="n"/>
      <c r="G13" s="26" t="n"/>
      <c r="H13" s="27">
        <f>TRAMOS!O11</f>
        <v/>
      </c>
      <c r="J13" s="28" t="inlineStr"/>
    </row>
    <row r="14">
      <c r="B14" s="14" t="inlineStr">
        <is>
          <t>Tramo 0+012.00 - 0+014.00 (cruce de autos)</t>
        </is>
      </c>
      <c r="D14" s="26" t="n"/>
      <c r="E14" s="26" t="n"/>
      <c r="F14" s="26" t="n"/>
      <c r="G14" s="26" t="n"/>
      <c r="H14" s="27">
        <f>TRAMOS!O12</f>
        <v/>
      </c>
      <c r="J14" s="28" t="inlineStr"/>
    </row>
    <row r="15">
      <c r="B15" s="14" t="inlineStr">
        <is>
          <t>Tramo 0+014.00 - 0+016.00 (cruce de autos)</t>
        </is>
      </c>
      <c r="D15" s="26" t="n"/>
      <c r="E15" s="26" t="n"/>
      <c r="F15" s="26" t="n"/>
      <c r="G15" s="26" t="n"/>
      <c r="H15" s="27">
        <f>TRAMOS!O13</f>
        <v/>
      </c>
      <c r="J15" s="28" t="inlineStr"/>
    </row>
    <row r="16">
      <c r="B16" s="14" t="inlineStr">
        <is>
          <t>Tramo 0+016.00 - 0+018.00 (cruce de autos)</t>
        </is>
      </c>
      <c r="D16" s="26" t="n"/>
      <c r="E16" s="26" t="n"/>
      <c r="F16" s="26" t="n"/>
      <c r="G16" s="26" t="n"/>
      <c r="H16" s="27">
        <f>TRAMOS!O14</f>
        <v/>
      </c>
      <c r="J16" s="28" t="inlineStr"/>
    </row>
    <row r="17">
      <c r="B17" s="14" t="inlineStr">
        <is>
          <t>Tramo 0+018.00 - 0+018.45 (cruce de autos)</t>
        </is>
      </c>
      <c r="D17" s="26" t="n"/>
      <c r="E17" s="26" t="n"/>
      <c r="F17" s="26" t="n"/>
      <c r="G17" s="26" t="n"/>
      <c r="H17" s="27">
        <f>TRAMOS!O15</f>
        <v/>
      </c>
      <c r="J17" s="28" t="inlineStr"/>
    </row>
    <row r="18">
      <c r="B18" s="14" t="inlineStr">
        <is>
          <t>Tramo 0+018.45 - 0+020.00 (normal)</t>
        </is>
      </c>
      <c r="D18" s="26" t="n"/>
      <c r="E18" s="26" t="n"/>
      <c r="F18" s="26" t="n"/>
      <c r="G18" s="26" t="n"/>
      <c r="H18" s="27">
        <f>TRAMOS!O16</f>
        <v/>
      </c>
      <c r="J18" s="28" t="inlineStr"/>
    </row>
    <row r="19">
      <c r="B19" s="14" t="inlineStr">
        <is>
          <t>Tramo 0+020.00 - 0+022.00 (normal)</t>
        </is>
      </c>
      <c r="D19" s="26" t="n"/>
      <c r="E19" s="26" t="n"/>
      <c r="F19" s="26" t="n"/>
      <c r="G19" s="26" t="n"/>
      <c r="H19" s="27">
        <f>TRAMOS!O17</f>
        <v/>
      </c>
      <c r="J19" s="28" t="inlineStr"/>
    </row>
    <row r="20">
      <c r="B20" s="14" t="inlineStr">
        <is>
          <t>Tramo 0+022.00 - 0+024.00 (normal)</t>
        </is>
      </c>
      <c r="D20" s="26" t="n"/>
      <c r="E20" s="26" t="n"/>
      <c r="F20" s="26" t="n"/>
      <c r="G20" s="26" t="n"/>
      <c r="H20" s="27">
        <f>TRAMOS!O18</f>
        <v/>
      </c>
      <c r="J20" s="28" t="inlineStr"/>
    </row>
    <row r="21">
      <c r="B21" s="14" t="inlineStr">
        <is>
          <t>Tramo 0+024.00 - 0+026.00 (normal)</t>
        </is>
      </c>
      <c r="D21" s="26" t="n"/>
      <c r="E21" s="26" t="n"/>
      <c r="F21" s="26" t="n"/>
      <c r="G21" s="26" t="n"/>
      <c r="H21" s="27">
        <f>TRAMOS!O19</f>
        <v/>
      </c>
      <c r="J21" s="28" t="inlineStr"/>
    </row>
    <row r="22">
      <c r="B22" s="14" t="inlineStr">
        <is>
          <t>Tramo 0+026.00 - 0+028.00 (normal)</t>
        </is>
      </c>
      <c r="D22" s="26" t="n"/>
      <c r="E22" s="26" t="n"/>
      <c r="F22" s="26" t="n"/>
      <c r="G22" s="26" t="n"/>
      <c r="H22" s="27">
        <f>TRAMOS!O20</f>
        <v/>
      </c>
      <c r="J22" s="28" t="inlineStr"/>
    </row>
    <row r="23">
      <c r="B23" s="14" t="inlineStr">
        <is>
          <t>Tramo 0+028.00 - 0+030.00 (normal)</t>
        </is>
      </c>
      <c r="D23" s="26" t="n"/>
      <c r="E23" s="26" t="n"/>
      <c r="F23" s="26" t="n"/>
      <c r="G23" s="26" t="n"/>
      <c r="H23" s="27">
        <f>TRAMOS!O21</f>
        <v/>
      </c>
      <c r="J23" s="28" t="inlineStr"/>
    </row>
    <row r="24">
      <c r="B24" s="14" t="inlineStr">
        <is>
          <t>Tramo 0+030.00 - 0+032.00 (normal)</t>
        </is>
      </c>
      <c r="D24" s="26" t="n"/>
      <c r="E24" s="26" t="n"/>
      <c r="F24" s="26" t="n"/>
      <c r="G24" s="26" t="n"/>
      <c r="H24" s="27">
        <f>TRAMOS!O22</f>
        <v/>
      </c>
      <c r="J24" s="28" t="inlineStr"/>
    </row>
    <row r="25">
      <c r="B25" s="14" t="inlineStr">
        <is>
          <t>Tramo 0+032.00 - 0+034.00 (normal)</t>
        </is>
      </c>
      <c r="D25" s="26" t="n"/>
      <c r="E25" s="26" t="n"/>
      <c r="F25" s="26" t="n"/>
      <c r="G25" s="26" t="n"/>
      <c r="H25" s="27">
        <f>TRAMOS!O23</f>
        <v/>
      </c>
      <c r="J25" s="28" t="inlineStr"/>
    </row>
    <row r="26">
      <c r="B26" s="14" t="inlineStr">
        <is>
          <t>Tramo 0+034.00 - 0+035.04 (normal)</t>
        </is>
      </c>
      <c r="D26" s="26" t="n"/>
      <c r="E26" s="26" t="n"/>
      <c r="F26" s="26" t="n"/>
      <c r="G26" s="26" t="n"/>
      <c r="H26" s="27">
        <f>TRAMOS!O24</f>
        <v/>
      </c>
      <c r="J26" s="28" t="inlineStr"/>
    </row>
    <row r="27">
      <c r="B27" s="14" t="inlineStr">
        <is>
          <t>Tramo 0+035.04 - 0+036.00 (cruce de autos)</t>
        </is>
      </c>
      <c r="D27" s="26" t="n"/>
      <c r="E27" s="26" t="n"/>
      <c r="F27" s="26" t="n"/>
      <c r="G27" s="26" t="n"/>
      <c r="H27" s="27">
        <f>TRAMOS!O25</f>
        <v/>
      </c>
      <c r="J27" s="28" t="inlineStr"/>
    </row>
    <row r="28">
      <c r="B28" s="14" t="inlineStr">
        <is>
          <t>Tramo 0+036.00 - 0+038.00 (cruce de autos)</t>
        </is>
      </c>
      <c r="D28" s="26" t="n"/>
      <c r="E28" s="26" t="n"/>
      <c r="F28" s="26" t="n"/>
      <c r="G28" s="26" t="n"/>
      <c r="H28" s="27">
        <f>TRAMOS!O26</f>
        <v/>
      </c>
      <c r="J28" s="28" t="inlineStr"/>
    </row>
    <row r="29">
      <c r="B29" s="14" t="inlineStr">
        <is>
          <t>Tramo 0+038.00 - 0+040.00 (cruce de autos)</t>
        </is>
      </c>
      <c r="D29" s="26" t="n"/>
      <c r="E29" s="26" t="n"/>
      <c r="F29" s="26" t="n"/>
      <c r="G29" s="26" t="n"/>
      <c r="H29" s="27">
        <f>TRAMOS!O27</f>
        <v/>
      </c>
      <c r="J29" s="28" t="inlineStr"/>
    </row>
    <row r="30">
      <c r="B30" s="14" t="inlineStr">
        <is>
          <t>Tramo 0+040.00 - 0+042.00 (cruce de autos)</t>
        </is>
      </c>
      <c r="D30" s="26" t="n"/>
      <c r="E30" s="26" t="n"/>
      <c r="F30" s="26" t="n"/>
      <c r="G30" s="26" t="n"/>
      <c r="H30" s="27">
        <f>TRAMOS!O28</f>
        <v/>
      </c>
      <c r="J30" s="28" t="inlineStr"/>
    </row>
    <row r="31">
      <c r="B31" s="14" t="inlineStr">
        <is>
          <t>Tramo 0+042.00 - 0+044.00 (cruce de autos)</t>
        </is>
      </c>
      <c r="D31" s="26" t="n"/>
      <c r="E31" s="26" t="n"/>
      <c r="F31" s="26" t="n"/>
      <c r="G31" s="26" t="n"/>
      <c r="H31" s="27">
        <f>TRAMOS!O29</f>
        <v/>
      </c>
      <c r="J31" s="28" t="inlineStr"/>
    </row>
    <row r="32">
      <c r="B32" s="14" t="inlineStr">
        <is>
          <t>Tramo 0+044.00 - 0+046.00 (cruce de autos)</t>
        </is>
      </c>
      <c r="D32" s="26" t="n"/>
      <c r="E32" s="26" t="n"/>
      <c r="F32" s="26" t="n"/>
      <c r="G32" s="26" t="n"/>
      <c r="H32" s="27">
        <f>TRAMOS!O30</f>
        <v/>
      </c>
      <c r="J32" s="28" t="inlineStr"/>
    </row>
    <row r="33">
      <c r="B33" s="14" t="inlineStr">
        <is>
          <t>Tramo 0+046.00 - 0+048.00 (cruce de autos)</t>
        </is>
      </c>
      <c r="D33" s="26" t="n"/>
      <c r="E33" s="26" t="n"/>
      <c r="F33" s="26" t="n"/>
      <c r="G33" s="26" t="n"/>
      <c r="H33" s="27">
        <f>TRAMOS!O31</f>
        <v/>
      </c>
      <c r="J33" s="28" t="inlineStr"/>
    </row>
    <row r="34">
      <c r="B34" s="14" t="inlineStr">
        <is>
          <t>Tramo 0+048.00 - 0+050.00 (cruce de autos)</t>
        </is>
      </c>
      <c r="D34" s="26" t="n"/>
      <c r="E34" s="26" t="n"/>
      <c r="F34" s="26" t="n"/>
      <c r="G34" s="26" t="n"/>
      <c r="H34" s="27">
        <f>TRAMOS!O32</f>
        <v/>
      </c>
      <c r="J34" s="28" t="inlineStr"/>
    </row>
    <row r="35">
      <c r="B35" s="14" t="inlineStr">
        <is>
          <t>Tramo 0+050.00 - 0+051.86 (cruce de autos)</t>
        </is>
      </c>
      <c r="D35" s="26" t="n"/>
      <c r="E35" s="26" t="n"/>
      <c r="F35" s="26" t="n"/>
      <c r="G35" s="26" t="n"/>
      <c r="H35" s="27">
        <f>TRAMOS!O33</f>
        <v/>
      </c>
      <c r="J35" s="28" t="inlineStr"/>
    </row>
    <row r="36">
      <c r="B36" s="14" t="inlineStr">
        <is>
          <t>Tramo 0+051.86 - 0+052.00 (normal)</t>
        </is>
      </c>
      <c r="D36" s="26" t="n"/>
      <c r="E36" s="26" t="n"/>
      <c r="F36" s="26" t="n"/>
      <c r="G36" s="26" t="n"/>
      <c r="H36" s="27">
        <f>TRAMOS!O34</f>
        <v/>
      </c>
      <c r="J36" s="28" t="inlineStr"/>
    </row>
    <row r="37">
      <c r="B37" s="14" t="inlineStr">
        <is>
          <t>Tramo 0+052.00 - 0+054.00 (normal)</t>
        </is>
      </c>
      <c r="D37" s="26" t="n"/>
      <c r="E37" s="26" t="n"/>
      <c r="F37" s="26" t="n"/>
      <c r="G37" s="26" t="n"/>
      <c r="H37" s="27">
        <f>TRAMOS!O35</f>
        <v/>
      </c>
      <c r="J37" s="28" t="inlineStr"/>
    </row>
    <row r="38">
      <c r="B38" s="14" t="inlineStr">
        <is>
          <t>Tramo 0+054.00 - 0+056.00 (cruce de camiones)</t>
        </is>
      </c>
      <c r="D38" s="26" t="n"/>
      <c r="E38" s="26" t="n"/>
      <c r="F38" s="26" t="n"/>
      <c r="G38" s="26" t="n"/>
      <c r="H38" s="27">
        <f>TRAMOS!O36</f>
        <v/>
      </c>
      <c r="J38" s="28" t="inlineStr"/>
    </row>
    <row r="39">
      <c r="B39" s="14" t="inlineStr">
        <is>
          <t>Tramo 0+056.00 - 0+058.00 (cruce de camiones)</t>
        </is>
      </c>
      <c r="D39" s="26" t="n"/>
      <c r="E39" s="26" t="n"/>
      <c r="F39" s="26" t="n"/>
      <c r="G39" s="26" t="n"/>
      <c r="H39" s="27">
        <f>TRAMOS!O37</f>
        <v/>
      </c>
      <c r="J39" s="28" t="inlineStr"/>
    </row>
    <row r="40">
      <c r="B40" s="14" t="inlineStr">
        <is>
          <t>Tramo 0+058.00 - 0+060.00 (cruce de camiones)</t>
        </is>
      </c>
      <c r="D40" s="26" t="n"/>
      <c r="E40" s="26" t="n"/>
      <c r="F40" s="26" t="n"/>
      <c r="G40" s="26" t="n"/>
      <c r="H40" s="27">
        <f>TRAMOS!O38</f>
        <v/>
      </c>
      <c r="J40" s="28" t="inlineStr"/>
    </row>
    <row r="41">
      <c r="B41" s="14" t="inlineStr">
        <is>
          <t>Tramo 0+060.00 - 0+062.00 (normal)</t>
        </is>
      </c>
      <c r="D41" s="26" t="n"/>
      <c r="E41" s="26" t="n"/>
      <c r="F41" s="26" t="n"/>
      <c r="G41" s="26" t="n"/>
      <c r="H41" s="27">
        <f>TRAMOS!O39</f>
        <v/>
      </c>
      <c r="J41" s="28" t="inlineStr"/>
    </row>
    <row r="42">
      <c r="B42" s="14" t="inlineStr">
        <is>
          <t>Tramo 0+062.00 - 0+064.00 (normal)</t>
        </is>
      </c>
      <c r="D42" s="26" t="n"/>
      <c r="E42" s="26" t="n"/>
      <c r="F42" s="26" t="n"/>
      <c r="G42" s="26" t="n"/>
      <c r="H42" s="27">
        <f>TRAMOS!O40</f>
        <v/>
      </c>
      <c r="J42" s="28" t="inlineStr"/>
    </row>
    <row r="43">
      <c r="B43" s="14" t="inlineStr">
        <is>
          <t>Tramo 0+064.00 - 0+066.00 (normal)</t>
        </is>
      </c>
      <c r="D43" s="26" t="n"/>
      <c r="E43" s="26" t="n"/>
      <c r="F43" s="26" t="n"/>
      <c r="G43" s="26" t="n"/>
      <c r="H43" s="27">
        <f>TRAMOS!O41</f>
        <v/>
      </c>
      <c r="J43" s="28" t="inlineStr"/>
    </row>
    <row r="44">
      <c r="B44" s="14" t="inlineStr">
        <is>
          <t>Tramo 0+066.00 - 0+068.00 (normal)</t>
        </is>
      </c>
      <c r="D44" s="26" t="n"/>
      <c r="E44" s="26" t="n"/>
      <c r="F44" s="26" t="n"/>
      <c r="G44" s="26" t="n"/>
      <c r="H44" s="27">
        <f>TRAMOS!O42</f>
        <v/>
      </c>
      <c r="J44" s="28" t="inlineStr"/>
    </row>
    <row r="45">
      <c r="B45" s="14" t="inlineStr">
        <is>
          <t>Tramo 0+068.00 - 0+070.00 (normal)</t>
        </is>
      </c>
      <c r="D45" s="26" t="n"/>
      <c r="E45" s="26" t="n"/>
      <c r="F45" s="26" t="n"/>
      <c r="G45" s="26" t="n"/>
      <c r="H45" s="27">
        <f>TRAMOS!O43</f>
        <v/>
      </c>
      <c r="J45" s="28" t="inlineStr"/>
    </row>
    <row r="46">
      <c r="B46" s="14" t="inlineStr">
        <is>
          <t>Tramo 0+070.00 - 0+072.00 (normal)</t>
        </is>
      </c>
      <c r="D46" s="26" t="n"/>
      <c r="E46" s="26" t="n"/>
      <c r="F46" s="26" t="n"/>
      <c r="G46" s="26" t="n"/>
      <c r="H46" s="27">
        <f>TRAMOS!O44</f>
        <v/>
      </c>
      <c r="J46" s="28" t="inlineStr"/>
    </row>
    <row r="47">
      <c r="B47" s="14" t="inlineStr">
        <is>
          <t>Tramo 0+072.00 - 0+074.00 (normal)</t>
        </is>
      </c>
      <c r="D47" s="26" t="n"/>
      <c r="E47" s="26" t="n"/>
      <c r="F47" s="26" t="n"/>
      <c r="G47" s="26" t="n"/>
      <c r="H47" s="27">
        <f>TRAMOS!O45</f>
        <v/>
      </c>
      <c r="J47" s="28" t="inlineStr"/>
    </row>
    <row r="48">
      <c r="B48" s="14" t="inlineStr">
        <is>
          <t>Tramo 0+074.00 - 0+076.00 (normal)</t>
        </is>
      </c>
      <c r="D48" s="26" t="n"/>
      <c r="E48" s="26" t="n"/>
      <c r="F48" s="26" t="n"/>
      <c r="G48" s="26" t="n"/>
      <c r="H48" s="27">
        <f>TRAMOS!O46</f>
        <v/>
      </c>
      <c r="J48" s="28" t="inlineStr"/>
    </row>
    <row r="49">
      <c r="B49" s="14" t="inlineStr">
        <is>
          <t>Tramo 0+076.00 - 0+078.00 (normal)</t>
        </is>
      </c>
      <c r="D49" s="26" t="n"/>
      <c r="E49" s="26" t="n"/>
      <c r="F49" s="26" t="n"/>
      <c r="G49" s="26" t="n"/>
      <c r="H49" s="27">
        <f>TRAMOS!O47</f>
        <v/>
      </c>
      <c r="J49" s="28" t="inlineStr"/>
    </row>
    <row r="50">
      <c r="B50" s="14" t="inlineStr">
        <is>
          <t>Tramo 0+078.00 - 0+078.42 (normal)</t>
        </is>
      </c>
      <c r="D50" s="26" t="n"/>
      <c r="E50" s="26" t="n"/>
      <c r="F50" s="26" t="n"/>
      <c r="G50" s="26" t="n"/>
      <c r="H50" s="27">
        <f>TRAMOS!O48</f>
        <v/>
      </c>
      <c r="J50" s="28" t="inlineStr"/>
    </row>
    <row r="51">
      <c r="B51" s="14" t="inlineStr">
        <is>
          <t>Tramo 0+078.42 - 0+080.00 (normal)</t>
        </is>
      </c>
      <c r="D51" s="26" t="n"/>
      <c r="E51" s="26" t="n"/>
      <c r="F51" s="26" t="n"/>
      <c r="G51" s="26" t="n"/>
      <c r="H51" s="27">
        <f>TRAMOS!O49</f>
        <v/>
      </c>
      <c r="J51" s="28" t="inlineStr"/>
    </row>
    <row r="52">
      <c r="B52" s="14" t="inlineStr">
        <is>
          <t>Tramo 0+080.00 - 0+082.00 (normal)</t>
        </is>
      </c>
      <c r="D52" s="26" t="n"/>
      <c r="E52" s="26" t="n"/>
      <c r="F52" s="26" t="n"/>
      <c r="G52" s="26" t="n"/>
      <c r="H52" s="27">
        <f>TRAMOS!O50</f>
        <v/>
      </c>
      <c r="J52" s="28" t="inlineStr"/>
    </row>
    <row r="53">
      <c r="B53" s="14" t="inlineStr">
        <is>
          <t>Tramo 0+082.00 - 0+084.00 (normal)</t>
        </is>
      </c>
      <c r="D53" s="26" t="n"/>
      <c r="E53" s="26" t="n"/>
      <c r="F53" s="26" t="n"/>
      <c r="G53" s="26" t="n"/>
      <c r="H53" s="27">
        <f>TRAMOS!O51</f>
        <v/>
      </c>
      <c r="J53" s="28" t="inlineStr"/>
    </row>
    <row r="54">
      <c r="B54" s="14" t="inlineStr">
        <is>
          <t>Tramo 0+084.00 - 0+086.00 (normal)</t>
        </is>
      </c>
      <c r="D54" s="26" t="n"/>
      <c r="E54" s="26" t="n"/>
      <c r="F54" s="26" t="n"/>
      <c r="G54" s="26" t="n"/>
      <c r="H54" s="27">
        <f>TRAMOS!O52</f>
        <v/>
      </c>
      <c r="J54" s="28" t="inlineStr"/>
    </row>
    <row r="55">
      <c r="B55" s="14" t="inlineStr">
        <is>
          <t>Tramo 0+086.00 - 0+088.00 (normal)</t>
        </is>
      </c>
      <c r="D55" s="26" t="n"/>
      <c r="E55" s="26" t="n"/>
      <c r="F55" s="26" t="n"/>
      <c r="G55" s="26" t="n"/>
      <c r="H55" s="27">
        <f>TRAMOS!O53</f>
        <v/>
      </c>
      <c r="J55" s="28" t="inlineStr"/>
    </row>
    <row r="56">
      <c r="B56" s="14" t="inlineStr">
        <is>
          <t>Tramo 0+088.00 - 0+090.00 (normal)</t>
        </is>
      </c>
      <c r="D56" s="26" t="n"/>
      <c r="E56" s="26" t="n"/>
      <c r="F56" s="26" t="n"/>
      <c r="G56" s="26" t="n"/>
      <c r="H56" s="27">
        <f>TRAMOS!O54</f>
        <v/>
      </c>
      <c r="J56" s="28" t="inlineStr"/>
    </row>
    <row r="57">
      <c r="B57" s="14" t="inlineStr">
        <is>
          <t>Tramo 0+090.00 - 0+092.00 (normal)</t>
        </is>
      </c>
      <c r="D57" s="26" t="n"/>
      <c r="E57" s="26" t="n"/>
      <c r="F57" s="26" t="n"/>
      <c r="G57" s="26" t="n"/>
      <c r="H57" s="27">
        <f>TRAMOS!O55</f>
        <v/>
      </c>
      <c r="J57" s="28" t="inlineStr"/>
    </row>
    <row r="58">
      <c r="B58" s="14" t="inlineStr">
        <is>
          <t>Tramo 0+092.00 - 0+094.00 (normal)</t>
        </is>
      </c>
      <c r="D58" s="26" t="n"/>
      <c r="E58" s="26" t="n"/>
      <c r="F58" s="26" t="n"/>
      <c r="G58" s="26" t="n"/>
      <c r="H58" s="27">
        <f>TRAMOS!O56</f>
        <v/>
      </c>
      <c r="J58" s="28" t="inlineStr"/>
    </row>
    <row r="59">
      <c r="B59" s="14" t="inlineStr">
        <is>
          <t>Tramo 0+094.00 - 0+096.00 (normal)</t>
        </is>
      </c>
      <c r="D59" s="26" t="n"/>
      <c r="E59" s="26" t="n"/>
      <c r="F59" s="26" t="n"/>
      <c r="G59" s="26" t="n"/>
      <c r="H59" s="27">
        <f>TRAMOS!O57</f>
        <v/>
      </c>
      <c r="J59" s="28" t="inlineStr"/>
    </row>
    <row r="60">
      <c r="B60" s="14" t="inlineStr">
        <is>
          <t>Tramo 0+096.00 - 0+098.00 (normal)</t>
        </is>
      </c>
      <c r="D60" s="26" t="n"/>
      <c r="E60" s="26" t="n"/>
      <c r="F60" s="26" t="n"/>
      <c r="G60" s="26" t="n"/>
      <c r="H60" s="27">
        <f>TRAMOS!O58</f>
        <v/>
      </c>
      <c r="J60" s="28" t="inlineStr"/>
    </row>
    <row r="61">
      <c r="B61" s="14" t="inlineStr">
        <is>
          <t>Tramo 0+098.00 - 0+100.00 (normal)</t>
        </is>
      </c>
      <c r="D61" s="26" t="n"/>
      <c r="E61" s="26" t="n"/>
      <c r="F61" s="26" t="n"/>
      <c r="G61" s="26" t="n"/>
      <c r="H61" s="27">
        <f>TRAMOS!O59</f>
        <v/>
      </c>
      <c r="J61" s="28" t="inlineStr"/>
    </row>
    <row r="62">
      <c r="B62" s="14" t="inlineStr">
        <is>
          <t>Tramo 0+100.00 - 0+102.00 (normal)</t>
        </is>
      </c>
      <c r="D62" s="26" t="n"/>
      <c r="E62" s="26" t="n"/>
      <c r="F62" s="26" t="n"/>
      <c r="G62" s="26" t="n"/>
      <c r="H62" s="27">
        <f>TRAMOS!O60</f>
        <v/>
      </c>
      <c r="J62" s="28" t="inlineStr"/>
    </row>
    <row r="63">
      <c r="B63" s="14" t="inlineStr">
        <is>
          <t>Tramo 0+102.00 - 0+104.00 (normal)</t>
        </is>
      </c>
      <c r="D63" s="26" t="n"/>
      <c r="E63" s="26" t="n"/>
      <c r="F63" s="26" t="n"/>
      <c r="G63" s="26" t="n"/>
      <c r="H63" s="27">
        <f>TRAMOS!O61</f>
        <v/>
      </c>
      <c r="J63" s="28" t="inlineStr"/>
    </row>
    <row r="64">
      <c r="B64" s="14" t="inlineStr">
        <is>
          <t>Tramo 0+104.00 - 0+106.00 (normal)</t>
        </is>
      </c>
      <c r="D64" s="26" t="n"/>
      <c r="E64" s="26" t="n"/>
      <c r="F64" s="26" t="n"/>
      <c r="G64" s="26" t="n"/>
      <c r="H64" s="27">
        <f>TRAMOS!O62</f>
        <v/>
      </c>
      <c r="J64" s="28" t="inlineStr"/>
    </row>
    <row r="65">
      <c r="B65" s="14" t="inlineStr">
        <is>
          <t>Tramo 0+106.00 - 0+108.00 (normal)</t>
        </is>
      </c>
      <c r="D65" s="26" t="n"/>
      <c r="E65" s="26" t="n"/>
      <c r="F65" s="26" t="n"/>
      <c r="G65" s="26" t="n"/>
      <c r="H65" s="27">
        <f>TRAMOS!O63</f>
        <v/>
      </c>
      <c r="J65" s="28" t="inlineStr"/>
    </row>
    <row r="66">
      <c r="B66" s="14" t="inlineStr">
        <is>
          <t>Tramo 0+108.00 - 0+110.00 (normal)</t>
        </is>
      </c>
      <c r="D66" s="26" t="n"/>
      <c r="E66" s="26" t="n"/>
      <c r="F66" s="26" t="n"/>
      <c r="G66" s="26" t="n"/>
      <c r="H66" s="27">
        <f>TRAMOS!O64</f>
        <v/>
      </c>
      <c r="J66" s="28" t="inlineStr"/>
    </row>
    <row r="67">
      <c r="B67" s="14" t="inlineStr">
        <is>
          <t>Tramo 0+110.00 - 0+112.00 (normal)</t>
        </is>
      </c>
      <c r="D67" s="26" t="n"/>
      <c r="E67" s="26" t="n"/>
      <c r="F67" s="26" t="n"/>
      <c r="G67" s="26" t="n"/>
      <c r="H67" s="27">
        <f>TRAMOS!O65</f>
        <v/>
      </c>
      <c r="J67" s="28" t="inlineStr"/>
    </row>
    <row r="68">
      <c r="B68" s="14" t="inlineStr">
        <is>
          <t>Tramo 0+112.00 - 0+114.00 (normal)</t>
        </is>
      </c>
      <c r="D68" s="26" t="n"/>
      <c r="E68" s="26" t="n"/>
      <c r="F68" s="26" t="n"/>
      <c r="G68" s="26" t="n"/>
      <c r="H68" s="27">
        <f>TRAMOS!O66</f>
        <v/>
      </c>
      <c r="J68" s="28" t="inlineStr"/>
    </row>
    <row r="69">
      <c r="B69" s="14" t="inlineStr">
        <is>
          <t>Tramo 0+114.00 - 0+116.00 (normal)</t>
        </is>
      </c>
      <c r="D69" s="26" t="n"/>
      <c r="E69" s="26" t="n"/>
      <c r="F69" s="26" t="n"/>
      <c r="G69" s="26" t="n"/>
      <c r="H69" s="27">
        <f>TRAMOS!O67</f>
        <v/>
      </c>
      <c r="J69" s="28" t="inlineStr"/>
    </row>
    <row r="70">
      <c r="B70" s="14" t="inlineStr">
        <is>
          <t>Tramo 0+116.00 - 0+118.00 (normal)</t>
        </is>
      </c>
      <c r="D70" s="26" t="n"/>
      <c r="E70" s="26" t="n"/>
      <c r="F70" s="26" t="n"/>
      <c r="G70" s="26" t="n"/>
      <c r="H70" s="27">
        <f>TRAMOS!O68</f>
        <v/>
      </c>
      <c r="J70" s="28" t="inlineStr"/>
    </row>
    <row r="71">
      <c r="B71" s="14" t="inlineStr">
        <is>
          <t>Tramo 0+118.00 - 0+120.00 (normal)</t>
        </is>
      </c>
      <c r="D71" s="26" t="n"/>
      <c r="E71" s="26" t="n"/>
      <c r="F71" s="26" t="n"/>
      <c r="G71" s="26" t="n"/>
      <c r="H71" s="27">
        <f>TRAMOS!O69</f>
        <v/>
      </c>
      <c r="J71" s="28" t="inlineStr"/>
    </row>
    <row r="72">
      <c r="B72" s="14" t="inlineStr">
        <is>
          <t>Tramo 0+120.00 - 0+122.00 (normal)</t>
        </is>
      </c>
      <c r="D72" s="26" t="n"/>
      <c r="E72" s="26" t="n"/>
      <c r="F72" s="26" t="n"/>
      <c r="G72" s="26" t="n"/>
      <c r="H72" s="27">
        <f>TRAMOS!O70</f>
        <v/>
      </c>
      <c r="J72" s="28" t="inlineStr"/>
    </row>
    <row r="73">
      <c r="B73" s="14" t="inlineStr">
        <is>
          <t>Tramo 0+122.00 - 0+124.00 (normal)</t>
        </is>
      </c>
      <c r="D73" s="26" t="n"/>
      <c r="E73" s="26" t="n"/>
      <c r="F73" s="26" t="n"/>
      <c r="G73" s="26" t="n"/>
      <c r="H73" s="27">
        <f>TRAMOS!O71</f>
        <v/>
      </c>
      <c r="J73" s="28" t="inlineStr"/>
    </row>
    <row r="74">
      <c r="B74" s="14" t="inlineStr">
        <is>
          <t>Tramo 0+124.00 - 0+126.00 (normal)</t>
        </is>
      </c>
      <c r="D74" s="26" t="n"/>
      <c r="E74" s="26" t="n"/>
      <c r="F74" s="26" t="n"/>
      <c r="G74" s="26" t="n"/>
      <c r="H74" s="27">
        <f>TRAMOS!O72</f>
        <v/>
      </c>
      <c r="J74" s="28" t="inlineStr"/>
    </row>
    <row r="75">
      <c r="B75" s="14" t="inlineStr">
        <is>
          <t>Tramo 0+126.00 - 0+128.00 (normal)</t>
        </is>
      </c>
      <c r="D75" s="26" t="n"/>
      <c r="E75" s="26" t="n"/>
      <c r="F75" s="26" t="n"/>
      <c r="G75" s="26" t="n"/>
      <c r="H75" s="27">
        <f>TRAMOS!O73</f>
        <v/>
      </c>
      <c r="J75" s="28" t="inlineStr"/>
    </row>
    <row r="76">
      <c r="B76" s="14" t="inlineStr">
        <is>
          <t>Tramo 0+128.00 - 0+130.00 (normal)</t>
        </is>
      </c>
      <c r="D76" s="26" t="n"/>
      <c r="E76" s="26" t="n"/>
      <c r="F76" s="26" t="n"/>
      <c r="G76" s="26" t="n"/>
      <c r="H76" s="27">
        <f>TRAMOS!O74</f>
        <v/>
      </c>
      <c r="J76" s="28" t="inlineStr"/>
    </row>
    <row r="77">
      <c r="B77" s="14" t="inlineStr">
        <is>
          <t>Tramo 0+130.00 - 0+132.00 (normal)</t>
        </is>
      </c>
      <c r="D77" s="26" t="n"/>
      <c r="E77" s="26" t="n"/>
      <c r="F77" s="26" t="n"/>
      <c r="G77" s="26" t="n"/>
      <c r="H77" s="27">
        <f>TRAMOS!O75</f>
        <v/>
      </c>
      <c r="J77" s="28" t="inlineStr"/>
    </row>
    <row r="78">
      <c r="B78" s="14" t="inlineStr">
        <is>
          <t>Tramo 0+132.00 - 0+134.00 (normal)</t>
        </is>
      </c>
      <c r="D78" s="26" t="n"/>
      <c r="E78" s="26" t="n"/>
      <c r="F78" s="26" t="n"/>
      <c r="G78" s="26" t="n"/>
      <c r="H78" s="27">
        <f>TRAMOS!O76</f>
        <v/>
      </c>
      <c r="J78" s="28" t="inlineStr"/>
    </row>
    <row r="79">
      <c r="B79" s="14" t="inlineStr">
        <is>
          <t>Tramo 0+134.00 - 0+136.00 (normal)</t>
        </is>
      </c>
      <c r="D79" s="26" t="n"/>
      <c r="E79" s="26" t="n"/>
      <c r="F79" s="26" t="n"/>
      <c r="G79" s="26" t="n"/>
      <c r="H79" s="27">
        <f>TRAMOS!O77</f>
        <v/>
      </c>
      <c r="J79" s="28" t="inlineStr"/>
    </row>
    <row r="80">
      <c r="B80" s="14" t="inlineStr">
        <is>
          <t>Tramo 0+136.00 - 0+138.00 (normal)</t>
        </is>
      </c>
      <c r="D80" s="26" t="n"/>
      <c r="E80" s="26" t="n"/>
      <c r="F80" s="26" t="n"/>
      <c r="G80" s="26" t="n"/>
      <c r="H80" s="27">
        <f>TRAMOS!O78</f>
        <v/>
      </c>
      <c r="J80" s="28" t="inlineStr"/>
    </row>
    <row r="81">
      <c r="B81" s="14" t="inlineStr">
        <is>
          <t>Tramo 0+138.00 - 0+139.08 (normal)</t>
        </is>
      </c>
      <c r="D81" s="26" t="n"/>
      <c r="E81" s="26" t="n"/>
      <c r="F81" s="26" t="n"/>
      <c r="G81" s="26" t="n"/>
      <c r="H81" s="27">
        <f>TRAMOS!O79</f>
        <v/>
      </c>
      <c r="J81" s="28" t="inlineStr"/>
    </row>
    <row r="82">
      <c r="B82" s="25" t="inlineStr">
        <is>
          <t>Estructura de salida</t>
        </is>
      </c>
    </row>
    <row r="83">
      <c r="B83" s="14" t="inlineStr">
        <is>
          <t>Aleros, emboquillado y una (fondo a CF - 0.65 en la una, CF - 0.45 en zapatas)</t>
        </is>
      </c>
      <c r="D83" s="26" t="n">
        <v>1</v>
      </c>
      <c r="E83" s="29">
        <f>DATOS!$B$31+0.15+0.40</f>
        <v/>
      </c>
      <c r="F83" s="29">
        <f>DATOS!$B$32+0.60</f>
        <v/>
      </c>
      <c r="G83" s="26" t="n">
        <v>0.85</v>
      </c>
      <c r="H83" s="27">
        <f>D83*E83*F83*G83</f>
        <v/>
      </c>
      <c r="J83" s="28" t="inlineStr"/>
    </row>
    <row r="84">
      <c r="G84" s="9" t="inlineStr">
        <is>
          <t>TOTAL</t>
        </is>
      </c>
      <c r="I84" s="11">
        <f>SUM(H6:H83)</f>
        <v/>
      </c>
    </row>
    <row r="86">
      <c r="A86" s="4" t="inlineStr">
        <is>
          <t>02.02</t>
        </is>
      </c>
      <c r="B86" s="23" t="inlineStr">
        <is>
          <t>REFINE, NIVELACION Y COMPACTACION DE FONDO</t>
        </is>
      </c>
      <c r="C86" s="24" t="inlineStr">
        <is>
          <t>m2</t>
        </is>
      </c>
      <c r="D86" s="5" t="n"/>
      <c r="E86" s="5" t="n"/>
      <c r="F86" s="5" t="n"/>
      <c r="G86" s="5" t="n"/>
      <c r="H86" s="5" t="n"/>
      <c r="I86" s="5" t="n"/>
      <c r="J86" s="5" t="n"/>
    </row>
    <row r="87">
      <c r="B87" s="25" t="inlineStr">
        <is>
          <t>Colector: ancho exterior x longitud</t>
        </is>
      </c>
    </row>
    <row r="88">
      <c r="B88" s="14" t="inlineStr">
        <is>
          <t>Tramo 0+000.00 - 0+002.00 (normal)</t>
        </is>
      </c>
      <c r="D88" s="26" t="n"/>
      <c r="E88" s="26" t="n"/>
      <c r="F88" s="26" t="n"/>
      <c r="G88" s="26" t="n"/>
      <c r="H88" s="27">
        <f>TRAMOS!Q5</f>
        <v/>
      </c>
      <c r="J88" s="28" t="inlineStr"/>
    </row>
    <row r="89">
      <c r="B89" s="14" t="inlineStr">
        <is>
          <t>Tramo 0+002.00 - 0+002.74 (normal)</t>
        </is>
      </c>
      <c r="D89" s="26" t="n"/>
      <c r="E89" s="26" t="n"/>
      <c r="F89" s="26" t="n"/>
      <c r="G89" s="26" t="n"/>
      <c r="H89" s="27">
        <f>TRAMOS!Q6</f>
        <v/>
      </c>
      <c r="J89" s="28" t="inlineStr"/>
    </row>
    <row r="90">
      <c r="B90" s="14" t="inlineStr">
        <is>
          <t>Tramo 0+002.74 - 0+004.00 (cruce de autos)</t>
        </is>
      </c>
      <c r="D90" s="26" t="n"/>
      <c r="E90" s="26" t="n"/>
      <c r="F90" s="26" t="n"/>
      <c r="G90" s="26" t="n"/>
      <c r="H90" s="27">
        <f>TRAMOS!Q7</f>
        <v/>
      </c>
      <c r="J90" s="28" t="inlineStr"/>
    </row>
    <row r="91">
      <c r="B91" s="14" t="inlineStr">
        <is>
          <t>Tramo 0+004.00 - 0+006.00 (cruce de autos)</t>
        </is>
      </c>
      <c r="D91" s="26" t="n"/>
      <c r="E91" s="26" t="n"/>
      <c r="F91" s="26" t="n"/>
      <c r="G91" s="26" t="n"/>
      <c r="H91" s="27">
        <f>TRAMOS!Q8</f>
        <v/>
      </c>
      <c r="J91" s="28" t="inlineStr"/>
    </row>
    <row r="92">
      <c r="B92" s="14" t="inlineStr">
        <is>
          <t>Tramo 0+006.00 - 0+008.00 (cruce de autos)</t>
        </is>
      </c>
      <c r="D92" s="26" t="n"/>
      <c r="E92" s="26" t="n"/>
      <c r="F92" s="26" t="n"/>
      <c r="G92" s="26" t="n"/>
      <c r="H92" s="27">
        <f>TRAMOS!Q9</f>
        <v/>
      </c>
      <c r="J92" s="28" t="inlineStr"/>
    </row>
    <row r="93">
      <c r="B93" s="14" t="inlineStr">
        <is>
          <t>Tramo 0+008.00 - 0+010.00 (cruce de autos)</t>
        </is>
      </c>
      <c r="D93" s="26" t="n"/>
      <c r="E93" s="26" t="n"/>
      <c r="F93" s="26" t="n"/>
      <c r="G93" s="26" t="n"/>
      <c r="H93" s="27">
        <f>TRAMOS!Q10</f>
        <v/>
      </c>
      <c r="J93" s="28" t="inlineStr"/>
    </row>
    <row r="94">
      <c r="B94" s="14" t="inlineStr">
        <is>
          <t>Tramo 0+010.00 - 0+012.00 (cruce de autos)</t>
        </is>
      </c>
      <c r="D94" s="26" t="n"/>
      <c r="E94" s="26" t="n"/>
      <c r="F94" s="26" t="n"/>
      <c r="G94" s="26" t="n"/>
      <c r="H94" s="27">
        <f>TRAMOS!Q11</f>
        <v/>
      </c>
      <c r="J94" s="28" t="inlineStr"/>
    </row>
    <row r="95">
      <c r="B95" s="14" t="inlineStr">
        <is>
          <t>Tramo 0+012.00 - 0+014.00 (cruce de autos)</t>
        </is>
      </c>
      <c r="D95" s="26" t="n"/>
      <c r="E95" s="26" t="n"/>
      <c r="F95" s="26" t="n"/>
      <c r="G95" s="26" t="n"/>
      <c r="H95" s="27">
        <f>TRAMOS!Q12</f>
        <v/>
      </c>
      <c r="J95" s="28" t="inlineStr"/>
    </row>
    <row r="96">
      <c r="B96" s="14" t="inlineStr">
        <is>
          <t>Tramo 0+014.00 - 0+016.00 (cruce de autos)</t>
        </is>
      </c>
      <c r="D96" s="26" t="n"/>
      <c r="E96" s="26" t="n"/>
      <c r="F96" s="26" t="n"/>
      <c r="G96" s="26" t="n"/>
      <c r="H96" s="27">
        <f>TRAMOS!Q13</f>
        <v/>
      </c>
      <c r="J96" s="28" t="inlineStr"/>
    </row>
    <row r="97">
      <c r="B97" s="14" t="inlineStr">
        <is>
          <t>Tramo 0+016.00 - 0+018.00 (cruce de autos)</t>
        </is>
      </c>
      <c r="D97" s="26" t="n"/>
      <c r="E97" s="26" t="n"/>
      <c r="F97" s="26" t="n"/>
      <c r="G97" s="26" t="n"/>
      <c r="H97" s="27">
        <f>TRAMOS!Q14</f>
        <v/>
      </c>
      <c r="J97" s="28" t="inlineStr"/>
    </row>
    <row r="98">
      <c r="B98" s="14" t="inlineStr">
        <is>
          <t>Tramo 0+018.00 - 0+018.45 (cruce de autos)</t>
        </is>
      </c>
      <c r="D98" s="26" t="n"/>
      <c r="E98" s="26" t="n"/>
      <c r="F98" s="26" t="n"/>
      <c r="G98" s="26" t="n"/>
      <c r="H98" s="27">
        <f>TRAMOS!Q15</f>
        <v/>
      </c>
      <c r="J98" s="28" t="inlineStr"/>
    </row>
    <row r="99">
      <c r="B99" s="14" t="inlineStr">
        <is>
          <t>Tramo 0+018.45 - 0+020.00 (normal)</t>
        </is>
      </c>
      <c r="D99" s="26" t="n"/>
      <c r="E99" s="26" t="n"/>
      <c r="F99" s="26" t="n"/>
      <c r="G99" s="26" t="n"/>
      <c r="H99" s="27">
        <f>TRAMOS!Q16</f>
        <v/>
      </c>
      <c r="J99" s="28" t="inlineStr"/>
    </row>
    <row r="100">
      <c r="B100" s="14" t="inlineStr">
        <is>
          <t>Tramo 0+020.00 - 0+022.00 (normal)</t>
        </is>
      </c>
      <c r="D100" s="26" t="n"/>
      <c r="E100" s="26" t="n"/>
      <c r="F100" s="26" t="n"/>
      <c r="G100" s="26" t="n"/>
      <c r="H100" s="27">
        <f>TRAMOS!Q17</f>
        <v/>
      </c>
      <c r="J100" s="28" t="inlineStr"/>
    </row>
    <row r="101">
      <c r="B101" s="14" t="inlineStr">
        <is>
          <t>Tramo 0+022.00 - 0+024.00 (normal)</t>
        </is>
      </c>
      <c r="D101" s="26" t="n"/>
      <c r="E101" s="26" t="n"/>
      <c r="F101" s="26" t="n"/>
      <c r="G101" s="26" t="n"/>
      <c r="H101" s="27">
        <f>TRAMOS!Q18</f>
        <v/>
      </c>
      <c r="J101" s="28" t="inlineStr"/>
    </row>
    <row r="102">
      <c r="B102" s="14" t="inlineStr">
        <is>
          <t>Tramo 0+024.00 - 0+026.00 (normal)</t>
        </is>
      </c>
      <c r="D102" s="26" t="n"/>
      <c r="E102" s="26" t="n"/>
      <c r="F102" s="26" t="n"/>
      <c r="G102" s="26" t="n"/>
      <c r="H102" s="27">
        <f>TRAMOS!Q19</f>
        <v/>
      </c>
      <c r="J102" s="28" t="inlineStr"/>
    </row>
    <row r="103">
      <c r="B103" s="14" t="inlineStr">
        <is>
          <t>Tramo 0+026.00 - 0+028.00 (normal)</t>
        </is>
      </c>
      <c r="D103" s="26" t="n"/>
      <c r="E103" s="26" t="n"/>
      <c r="F103" s="26" t="n"/>
      <c r="G103" s="26" t="n"/>
      <c r="H103" s="27">
        <f>TRAMOS!Q20</f>
        <v/>
      </c>
      <c r="J103" s="28" t="inlineStr"/>
    </row>
    <row r="104">
      <c r="B104" s="14" t="inlineStr">
        <is>
          <t>Tramo 0+028.00 - 0+030.00 (normal)</t>
        </is>
      </c>
      <c r="D104" s="26" t="n"/>
      <c r="E104" s="26" t="n"/>
      <c r="F104" s="26" t="n"/>
      <c r="G104" s="26" t="n"/>
      <c r="H104" s="27">
        <f>TRAMOS!Q21</f>
        <v/>
      </c>
      <c r="J104" s="28" t="inlineStr"/>
    </row>
    <row r="105">
      <c r="B105" s="14" t="inlineStr">
        <is>
          <t>Tramo 0+030.00 - 0+032.00 (normal)</t>
        </is>
      </c>
      <c r="D105" s="26" t="n"/>
      <c r="E105" s="26" t="n"/>
      <c r="F105" s="26" t="n"/>
      <c r="G105" s="26" t="n"/>
      <c r="H105" s="27">
        <f>TRAMOS!Q22</f>
        <v/>
      </c>
      <c r="J105" s="28" t="inlineStr"/>
    </row>
    <row r="106">
      <c r="B106" s="14" t="inlineStr">
        <is>
          <t>Tramo 0+032.00 - 0+034.00 (normal)</t>
        </is>
      </c>
      <c r="D106" s="26" t="n"/>
      <c r="E106" s="26" t="n"/>
      <c r="F106" s="26" t="n"/>
      <c r="G106" s="26" t="n"/>
      <c r="H106" s="27">
        <f>TRAMOS!Q23</f>
        <v/>
      </c>
      <c r="J106" s="28" t="inlineStr"/>
    </row>
    <row r="107">
      <c r="B107" s="14" t="inlineStr">
        <is>
          <t>Tramo 0+034.00 - 0+035.04 (normal)</t>
        </is>
      </c>
      <c r="D107" s="26" t="n"/>
      <c r="E107" s="26" t="n"/>
      <c r="F107" s="26" t="n"/>
      <c r="G107" s="26" t="n"/>
      <c r="H107" s="27">
        <f>TRAMOS!Q24</f>
        <v/>
      </c>
      <c r="J107" s="28" t="inlineStr"/>
    </row>
    <row r="108">
      <c r="B108" s="14" t="inlineStr">
        <is>
          <t>Tramo 0+035.04 - 0+036.00 (cruce de autos)</t>
        </is>
      </c>
      <c r="D108" s="26" t="n"/>
      <c r="E108" s="26" t="n"/>
      <c r="F108" s="26" t="n"/>
      <c r="G108" s="26" t="n"/>
      <c r="H108" s="27">
        <f>TRAMOS!Q25</f>
        <v/>
      </c>
      <c r="J108" s="28" t="inlineStr"/>
    </row>
    <row r="109">
      <c r="B109" s="14" t="inlineStr">
        <is>
          <t>Tramo 0+036.00 - 0+038.00 (cruce de autos)</t>
        </is>
      </c>
      <c r="D109" s="26" t="n"/>
      <c r="E109" s="26" t="n"/>
      <c r="F109" s="26" t="n"/>
      <c r="G109" s="26" t="n"/>
      <c r="H109" s="27">
        <f>TRAMOS!Q26</f>
        <v/>
      </c>
      <c r="J109" s="28" t="inlineStr"/>
    </row>
    <row r="110">
      <c r="B110" s="14" t="inlineStr">
        <is>
          <t>Tramo 0+038.00 - 0+040.00 (cruce de autos)</t>
        </is>
      </c>
      <c r="D110" s="26" t="n"/>
      <c r="E110" s="26" t="n"/>
      <c r="F110" s="26" t="n"/>
      <c r="G110" s="26" t="n"/>
      <c r="H110" s="27">
        <f>TRAMOS!Q27</f>
        <v/>
      </c>
      <c r="J110" s="28" t="inlineStr"/>
    </row>
    <row r="111">
      <c r="B111" s="14" t="inlineStr">
        <is>
          <t>Tramo 0+040.00 - 0+042.00 (cruce de autos)</t>
        </is>
      </c>
      <c r="D111" s="26" t="n"/>
      <c r="E111" s="26" t="n"/>
      <c r="F111" s="26" t="n"/>
      <c r="G111" s="26" t="n"/>
      <c r="H111" s="27">
        <f>TRAMOS!Q28</f>
        <v/>
      </c>
      <c r="J111" s="28" t="inlineStr"/>
    </row>
    <row r="112">
      <c r="B112" s="14" t="inlineStr">
        <is>
          <t>Tramo 0+042.00 - 0+044.00 (cruce de autos)</t>
        </is>
      </c>
      <c r="D112" s="26" t="n"/>
      <c r="E112" s="26" t="n"/>
      <c r="F112" s="26" t="n"/>
      <c r="G112" s="26" t="n"/>
      <c r="H112" s="27">
        <f>TRAMOS!Q29</f>
        <v/>
      </c>
      <c r="J112" s="28" t="inlineStr"/>
    </row>
    <row r="113">
      <c r="B113" s="14" t="inlineStr">
        <is>
          <t>Tramo 0+044.00 - 0+046.00 (cruce de autos)</t>
        </is>
      </c>
      <c r="D113" s="26" t="n"/>
      <c r="E113" s="26" t="n"/>
      <c r="F113" s="26" t="n"/>
      <c r="G113" s="26" t="n"/>
      <c r="H113" s="27">
        <f>TRAMOS!Q30</f>
        <v/>
      </c>
      <c r="J113" s="28" t="inlineStr"/>
    </row>
    <row r="114">
      <c r="B114" s="14" t="inlineStr">
        <is>
          <t>Tramo 0+046.00 - 0+048.00 (cruce de autos)</t>
        </is>
      </c>
      <c r="D114" s="26" t="n"/>
      <c r="E114" s="26" t="n"/>
      <c r="F114" s="26" t="n"/>
      <c r="G114" s="26" t="n"/>
      <c r="H114" s="27">
        <f>TRAMOS!Q31</f>
        <v/>
      </c>
      <c r="J114" s="28" t="inlineStr"/>
    </row>
    <row r="115">
      <c r="B115" s="14" t="inlineStr">
        <is>
          <t>Tramo 0+048.00 - 0+050.00 (cruce de autos)</t>
        </is>
      </c>
      <c r="D115" s="26" t="n"/>
      <c r="E115" s="26" t="n"/>
      <c r="F115" s="26" t="n"/>
      <c r="G115" s="26" t="n"/>
      <c r="H115" s="27">
        <f>TRAMOS!Q32</f>
        <v/>
      </c>
      <c r="J115" s="28" t="inlineStr"/>
    </row>
    <row r="116">
      <c r="B116" s="14" t="inlineStr">
        <is>
          <t>Tramo 0+050.00 - 0+051.86 (cruce de autos)</t>
        </is>
      </c>
      <c r="D116" s="26" t="n"/>
      <c r="E116" s="26" t="n"/>
      <c r="F116" s="26" t="n"/>
      <c r="G116" s="26" t="n"/>
      <c r="H116" s="27">
        <f>TRAMOS!Q33</f>
        <v/>
      </c>
      <c r="J116" s="28" t="inlineStr"/>
    </row>
    <row r="117">
      <c r="B117" s="14" t="inlineStr">
        <is>
          <t>Tramo 0+051.86 - 0+052.00 (normal)</t>
        </is>
      </c>
      <c r="D117" s="26" t="n"/>
      <c r="E117" s="26" t="n"/>
      <c r="F117" s="26" t="n"/>
      <c r="G117" s="26" t="n"/>
      <c r="H117" s="27">
        <f>TRAMOS!Q34</f>
        <v/>
      </c>
      <c r="J117" s="28" t="inlineStr"/>
    </row>
    <row r="118">
      <c r="B118" s="14" t="inlineStr">
        <is>
          <t>Tramo 0+052.00 - 0+054.00 (normal)</t>
        </is>
      </c>
      <c r="D118" s="26" t="n"/>
      <c r="E118" s="26" t="n"/>
      <c r="F118" s="26" t="n"/>
      <c r="G118" s="26" t="n"/>
      <c r="H118" s="27">
        <f>TRAMOS!Q35</f>
        <v/>
      </c>
      <c r="J118" s="28" t="inlineStr"/>
    </row>
    <row r="119">
      <c r="B119" s="14" t="inlineStr">
        <is>
          <t>Tramo 0+054.00 - 0+056.00 (cruce de camiones)</t>
        </is>
      </c>
      <c r="D119" s="26" t="n"/>
      <c r="E119" s="26" t="n"/>
      <c r="F119" s="26" t="n"/>
      <c r="G119" s="26" t="n"/>
      <c r="H119" s="27">
        <f>TRAMOS!Q36</f>
        <v/>
      </c>
      <c r="J119" s="28" t="inlineStr"/>
    </row>
    <row r="120">
      <c r="B120" s="14" t="inlineStr">
        <is>
          <t>Tramo 0+056.00 - 0+058.00 (cruce de camiones)</t>
        </is>
      </c>
      <c r="D120" s="26" t="n"/>
      <c r="E120" s="26" t="n"/>
      <c r="F120" s="26" t="n"/>
      <c r="G120" s="26" t="n"/>
      <c r="H120" s="27">
        <f>TRAMOS!Q37</f>
        <v/>
      </c>
      <c r="J120" s="28" t="inlineStr"/>
    </row>
    <row r="121">
      <c r="B121" s="14" t="inlineStr">
        <is>
          <t>Tramo 0+058.00 - 0+060.00 (cruce de camiones)</t>
        </is>
      </c>
      <c r="D121" s="26" t="n"/>
      <c r="E121" s="26" t="n"/>
      <c r="F121" s="26" t="n"/>
      <c r="G121" s="26" t="n"/>
      <c r="H121" s="27">
        <f>TRAMOS!Q38</f>
        <v/>
      </c>
      <c r="J121" s="28" t="inlineStr"/>
    </row>
    <row r="122">
      <c r="B122" s="14" t="inlineStr">
        <is>
          <t>Tramo 0+060.00 - 0+062.00 (normal)</t>
        </is>
      </c>
      <c r="D122" s="26" t="n"/>
      <c r="E122" s="26" t="n"/>
      <c r="F122" s="26" t="n"/>
      <c r="G122" s="26" t="n"/>
      <c r="H122" s="27">
        <f>TRAMOS!Q39</f>
        <v/>
      </c>
      <c r="J122" s="28" t="inlineStr"/>
    </row>
    <row r="123">
      <c r="B123" s="14" t="inlineStr">
        <is>
          <t>Tramo 0+062.00 - 0+064.00 (normal)</t>
        </is>
      </c>
      <c r="D123" s="26" t="n"/>
      <c r="E123" s="26" t="n"/>
      <c r="F123" s="26" t="n"/>
      <c r="G123" s="26" t="n"/>
      <c r="H123" s="27">
        <f>TRAMOS!Q40</f>
        <v/>
      </c>
      <c r="J123" s="28" t="inlineStr"/>
    </row>
    <row r="124">
      <c r="B124" s="14" t="inlineStr">
        <is>
          <t>Tramo 0+064.00 - 0+066.00 (normal)</t>
        </is>
      </c>
      <c r="D124" s="26" t="n"/>
      <c r="E124" s="26" t="n"/>
      <c r="F124" s="26" t="n"/>
      <c r="G124" s="26" t="n"/>
      <c r="H124" s="27">
        <f>TRAMOS!Q41</f>
        <v/>
      </c>
      <c r="J124" s="28" t="inlineStr"/>
    </row>
    <row r="125">
      <c r="B125" s="14" t="inlineStr">
        <is>
          <t>Tramo 0+066.00 - 0+068.00 (normal)</t>
        </is>
      </c>
      <c r="D125" s="26" t="n"/>
      <c r="E125" s="26" t="n"/>
      <c r="F125" s="26" t="n"/>
      <c r="G125" s="26" t="n"/>
      <c r="H125" s="27">
        <f>TRAMOS!Q42</f>
        <v/>
      </c>
      <c r="J125" s="28" t="inlineStr"/>
    </row>
    <row r="126">
      <c r="B126" s="14" t="inlineStr">
        <is>
          <t>Tramo 0+068.00 - 0+070.00 (normal)</t>
        </is>
      </c>
      <c r="D126" s="26" t="n"/>
      <c r="E126" s="26" t="n"/>
      <c r="F126" s="26" t="n"/>
      <c r="G126" s="26" t="n"/>
      <c r="H126" s="27">
        <f>TRAMOS!Q43</f>
        <v/>
      </c>
      <c r="J126" s="28" t="inlineStr"/>
    </row>
    <row r="127">
      <c r="B127" s="14" t="inlineStr">
        <is>
          <t>Tramo 0+070.00 - 0+072.00 (normal)</t>
        </is>
      </c>
      <c r="D127" s="26" t="n"/>
      <c r="E127" s="26" t="n"/>
      <c r="F127" s="26" t="n"/>
      <c r="G127" s="26" t="n"/>
      <c r="H127" s="27">
        <f>TRAMOS!Q44</f>
        <v/>
      </c>
      <c r="J127" s="28" t="inlineStr"/>
    </row>
    <row r="128">
      <c r="B128" s="14" t="inlineStr">
        <is>
          <t>Tramo 0+072.00 - 0+074.00 (normal)</t>
        </is>
      </c>
      <c r="D128" s="26" t="n"/>
      <c r="E128" s="26" t="n"/>
      <c r="F128" s="26" t="n"/>
      <c r="G128" s="26" t="n"/>
      <c r="H128" s="27">
        <f>TRAMOS!Q45</f>
        <v/>
      </c>
      <c r="J128" s="28" t="inlineStr"/>
    </row>
    <row r="129">
      <c r="B129" s="14" t="inlineStr">
        <is>
          <t>Tramo 0+074.00 - 0+076.00 (normal)</t>
        </is>
      </c>
      <c r="D129" s="26" t="n"/>
      <c r="E129" s="26" t="n"/>
      <c r="F129" s="26" t="n"/>
      <c r="G129" s="26" t="n"/>
      <c r="H129" s="27">
        <f>TRAMOS!Q46</f>
        <v/>
      </c>
      <c r="J129" s="28" t="inlineStr"/>
    </row>
    <row r="130">
      <c r="B130" s="14" t="inlineStr">
        <is>
          <t>Tramo 0+076.00 - 0+078.00 (normal)</t>
        </is>
      </c>
      <c r="D130" s="26" t="n"/>
      <c r="E130" s="26" t="n"/>
      <c r="F130" s="26" t="n"/>
      <c r="G130" s="26" t="n"/>
      <c r="H130" s="27">
        <f>TRAMOS!Q47</f>
        <v/>
      </c>
      <c r="J130" s="28" t="inlineStr"/>
    </row>
    <row r="131">
      <c r="B131" s="14" t="inlineStr">
        <is>
          <t>Tramo 0+078.00 - 0+078.42 (normal)</t>
        </is>
      </c>
      <c r="D131" s="26" t="n"/>
      <c r="E131" s="26" t="n"/>
      <c r="F131" s="26" t="n"/>
      <c r="G131" s="26" t="n"/>
      <c r="H131" s="27">
        <f>TRAMOS!Q48</f>
        <v/>
      </c>
      <c r="J131" s="28" t="inlineStr"/>
    </row>
    <row r="132">
      <c r="B132" s="14" t="inlineStr">
        <is>
          <t>Tramo 0+078.42 - 0+080.00 (normal)</t>
        </is>
      </c>
      <c r="D132" s="26" t="n"/>
      <c r="E132" s="26" t="n"/>
      <c r="F132" s="26" t="n"/>
      <c r="G132" s="26" t="n"/>
      <c r="H132" s="27">
        <f>TRAMOS!Q49</f>
        <v/>
      </c>
      <c r="J132" s="28" t="inlineStr"/>
    </row>
    <row r="133">
      <c r="B133" s="14" t="inlineStr">
        <is>
          <t>Tramo 0+080.00 - 0+082.00 (normal)</t>
        </is>
      </c>
      <c r="D133" s="26" t="n"/>
      <c r="E133" s="26" t="n"/>
      <c r="F133" s="26" t="n"/>
      <c r="G133" s="26" t="n"/>
      <c r="H133" s="27">
        <f>TRAMOS!Q50</f>
        <v/>
      </c>
      <c r="J133" s="28" t="inlineStr"/>
    </row>
    <row r="134">
      <c r="B134" s="14" t="inlineStr">
        <is>
          <t>Tramo 0+082.00 - 0+084.00 (normal)</t>
        </is>
      </c>
      <c r="D134" s="26" t="n"/>
      <c r="E134" s="26" t="n"/>
      <c r="F134" s="26" t="n"/>
      <c r="G134" s="26" t="n"/>
      <c r="H134" s="27">
        <f>TRAMOS!Q51</f>
        <v/>
      </c>
      <c r="J134" s="28" t="inlineStr"/>
    </row>
    <row r="135">
      <c r="B135" s="14" t="inlineStr">
        <is>
          <t>Tramo 0+084.00 - 0+086.00 (normal)</t>
        </is>
      </c>
      <c r="D135" s="26" t="n"/>
      <c r="E135" s="26" t="n"/>
      <c r="F135" s="26" t="n"/>
      <c r="G135" s="26" t="n"/>
      <c r="H135" s="27">
        <f>TRAMOS!Q52</f>
        <v/>
      </c>
      <c r="J135" s="28" t="inlineStr"/>
    </row>
    <row r="136">
      <c r="B136" s="14" t="inlineStr">
        <is>
          <t>Tramo 0+086.00 - 0+088.00 (normal)</t>
        </is>
      </c>
      <c r="D136" s="26" t="n"/>
      <c r="E136" s="26" t="n"/>
      <c r="F136" s="26" t="n"/>
      <c r="G136" s="26" t="n"/>
      <c r="H136" s="27">
        <f>TRAMOS!Q53</f>
        <v/>
      </c>
      <c r="J136" s="28" t="inlineStr"/>
    </row>
    <row r="137">
      <c r="B137" s="14" t="inlineStr">
        <is>
          <t>Tramo 0+088.00 - 0+090.00 (normal)</t>
        </is>
      </c>
      <c r="D137" s="26" t="n"/>
      <c r="E137" s="26" t="n"/>
      <c r="F137" s="26" t="n"/>
      <c r="G137" s="26" t="n"/>
      <c r="H137" s="27">
        <f>TRAMOS!Q54</f>
        <v/>
      </c>
      <c r="J137" s="28" t="inlineStr"/>
    </row>
    <row r="138">
      <c r="B138" s="14" t="inlineStr">
        <is>
          <t>Tramo 0+090.00 - 0+092.00 (normal)</t>
        </is>
      </c>
      <c r="D138" s="26" t="n"/>
      <c r="E138" s="26" t="n"/>
      <c r="F138" s="26" t="n"/>
      <c r="G138" s="26" t="n"/>
      <c r="H138" s="27">
        <f>TRAMOS!Q55</f>
        <v/>
      </c>
      <c r="J138" s="28" t="inlineStr"/>
    </row>
    <row r="139">
      <c r="B139" s="14" t="inlineStr">
        <is>
          <t>Tramo 0+092.00 - 0+094.00 (normal)</t>
        </is>
      </c>
      <c r="D139" s="26" t="n"/>
      <c r="E139" s="26" t="n"/>
      <c r="F139" s="26" t="n"/>
      <c r="G139" s="26" t="n"/>
      <c r="H139" s="27">
        <f>TRAMOS!Q56</f>
        <v/>
      </c>
      <c r="J139" s="28" t="inlineStr"/>
    </row>
    <row r="140">
      <c r="B140" s="14" t="inlineStr">
        <is>
          <t>Tramo 0+094.00 - 0+096.00 (normal)</t>
        </is>
      </c>
      <c r="D140" s="26" t="n"/>
      <c r="E140" s="26" t="n"/>
      <c r="F140" s="26" t="n"/>
      <c r="G140" s="26" t="n"/>
      <c r="H140" s="27">
        <f>TRAMOS!Q57</f>
        <v/>
      </c>
      <c r="J140" s="28" t="inlineStr"/>
    </row>
    <row r="141">
      <c r="B141" s="14" t="inlineStr">
        <is>
          <t>Tramo 0+096.00 - 0+098.00 (normal)</t>
        </is>
      </c>
      <c r="D141" s="26" t="n"/>
      <c r="E141" s="26" t="n"/>
      <c r="F141" s="26" t="n"/>
      <c r="G141" s="26" t="n"/>
      <c r="H141" s="27">
        <f>TRAMOS!Q58</f>
        <v/>
      </c>
      <c r="J141" s="28" t="inlineStr"/>
    </row>
    <row r="142">
      <c r="B142" s="14" t="inlineStr">
        <is>
          <t>Tramo 0+098.00 - 0+100.00 (normal)</t>
        </is>
      </c>
      <c r="D142" s="26" t="n"/>
      <c r="E142" s="26" t="n"/>
      <c r="F142" s="26" t="n"/>
      <c r="G142" s="26" t="n"/>
      <c r="H142" s="27">
        <f>TRAMOS!Q59</f>
        <v/>
      </c>
      <c r="J142" s="28" t="inlineStr"/>
    </row>
    <row r="143">
      <c r="B143" s="14" t="inlineStr">
        <is>
          <t>Tramo 0+100.00 - 0+102.00 (normal)</t>
        </is>
      </c>
      <c r="D143" s="26" t="n"/>
      <c r="E143" s="26" t="n"/>
      <c r="F143" s="26" t="n"/>
      <c r="G143" s="26" t="n"/>
      <c r="H143" s="27">
        <f>TRAMOS!Q60</f>
        <v/>
      </c>
      <c r="J143" s="28" t="inlineStr"/>
    </row>
    <row r="144">
      <c r="B144" s="14" t="inlineStr">
        <is>
          <t>Tramo 0+102.00 - 0+104.00 (normal)</t>
        </is>
      </c>
      <c r="D144" s="26" t="n"/>
      <c r="E144" s="26" t="n"/>
      <c r="F144" s="26" t="n"/>
      <c r="G144" s="26" t="n"/>
      <c r="H144" s="27">
        <f>TRAMOS!Q61</f>
        <v/>
      </c>
      <c r="J144" s="28" t="inlineStr"/>
    </row>
    <row r="145">
      <c r="B145" s="14" t="inlineStr">
        <is>
          <t>Tramo 0+104.00 - 0+106.00 (normal)</t>
        </is>
      </c>
      <c r="D145" s="26" t="n"/>
      <c r="E145" s="26" t="n"/>
      <c r="F145" s="26" t="n"/>
      <c r="G145" s="26" t="n"/>
      <c r="H145" s="27">
        <f>TRAMOS!Q62</f>
        <v/>
      </c>
      <c r="J145" s="28" t="inlineStr"/>
    </row>
    <row r="146">
      <c r="B146" s="14" t="inlineStr">
        <is>
          <t>Tramo 0+106.00 - 0+108.00 (normal)</t>
        </is>
      </c>
      <c r="D146" s="26" t="n"/>
      <c r="E146" s="26" t="n"/>
      <c r="F146" s="26" t="n"/>
      <c r="G146" s="26" t="n"/>
      <c r="H146" s="27">
        <f>TRAMOS!Q63</f>
        <v/>
      </c>
      <c r="J146" s="28" t="inlineStr"/>
    </row>
    <row r="147">
      <c r="B147" s="14" t="inlineStr">
        <is>
          <t>Tramo 0+108.00 - 0+110.00 (normal)</t>
        </is>
      </c>
      <c r="D147" s="26" t="n"/>
      <c r="E147" s="26" t="n"/>
      <c r="F147" s="26" t="n"/>
      <c r="G147" s="26" t="n"/>
      <c r="H147" s="27">
        <f>TRAMOS!Q64</f>
        <v/>
      </c>
      <c r="J147" s="28" t="inlineStr"/>
    </row>
    <row r="148">
      <c r="B148" s="14" t="inlineStr">
        <is>
          <t>Tramo 0+110.00 - 0+112.00 (normal)</t>
        </is>
      </c>
      <c r="D148" s="26" t="n"/>
      <c r="E148" s="26" t="n"/>
      <c r="F148" s="26" t="n"/>
      <c r="G148" s="26" t="n"/>
      <c r="H148" s="27">
        <f>TRAMOS!Q65</f>
        <v/>
      </c>
      <c r="J148" s="28" t="inlineStr"/>
    </row>
    <row r="149">
      <c r="B149" s="14" t="inlineStr">
        <is>
          <t>Tramo 0+112.00 - 0+114.00 (normal)</t>
        </is>
      </c>
      <c r="D149" s="26" t="n"/>
      <c r="E149" s="26" t="n"/>
      <c r="F149" s="26" t="n"/>
      <c r="G149" s="26" t="n"/>
      <c r="H149" s="27">
        <f>TRAMOS!Q66</f>
        <v/>
      </c>
      <c r="J149" s="28" t="inlineStr"/>
    </row>
    <row r="150">
      <c r="B150" s="14" t="inlineStr">
        <is>
          <t>Tramo 0+114.00 - 0+116.00 (normal)</t>
        </is>
      </c>
      <c r="D150" s="26" t="n"/>
      <c r="E150" s="26" t="n"/>
      <c r="F150" s="26" t="n"/>
      <c r="G150" s="26" t="n"/>
      <c r="H150" s="27">
        <f>TRAMOS!Q67</f>
        <v/>
      </c>
      <c r="J150" s="28" t="inlineStr"/>
    </row>
    <row r="151">
      <c r="B151" s="14" t="inlineStr">
        <is>
          <t>Tramo 0+116.00 - 0+118.00 (normal)</t>
        </is>
      </c>
      <c r="D151" s="26" t="n"/>
      <c r="E151" s="26" t="n"/>
      <c r="F151" s="26" t="n"/>
      <c r="G151" s="26" t="n"/>
      <c r="H151" s="27">
        <f>TRAMOS!Q68</f>
        <v/>
      </c>
      <c r="J151" s="28" t="inlineStr"/>
    </row>
    <row r="152">
      <c r="B152" s="14" t="inlineStr">
        <is>
          <t>Tramo 0+118.00 - 0+120.00 (normal)</t>
        </is>
      </c>
      <c r="D152" s="26" t="n"/>
      <c r="E152" s="26" t="n"/>
      <c r="F152" s="26" t="n"/>
      <c r="G152" s="26" t="n"/>
      <c r="H152" s="27">
        <f>TRAMOS!Q69</f>
        <v/>
      </c>
      <c r="J152" s="28" t="inlineStr"/>
    </row>
    <row r="153">
      <c r="B153" s="14" t="inlineStr">
        <is>
          <t>Tramo 0+120.00 - 0+122.00 (normal)</t>
        </is>
      </c>
      <c r="D153" s="26" t="n"/>
      <c r="E153" s="26" t="n"/>
      <c r="F153" s="26" t="n"/>
      <c r="G153" s="26" t="n"/>
      <c r="H153" s="27">
        <f>TRAMOS!Q70</f>
        <v/>
      </c>
      <c r="J153" s="28" t="inlineStr"/>
    </row>
    <row r="154">
      <c r="B154" s="14" t="inlineStr">
        <is>
          <t>Tramo 0+122.00 - 0+124.00 (normal)</t>
        </is>
      </c>
      <c r="D154" s="26" t="n"/>
      <c r="E154" s="26" t="n"/>
      <c r="F154" s="26" t="n"/>
      <c r="G154" s="26" t="n"/>
      <c r="H154" s="27">
        <f>TRAMOS!Q71</f>
        <v/>
      </c>
      <c r="J154" s="28" t="inlineStr"/>
    </row>
    <row r="155">
      <c r="B155" s="14" t="inlineStr">
        <is>
          <t>Tramo 0+124.00 - 0+126.00 (normal)</t>
        </is>
      </c>
      <c r="D155" s="26" t="n"/>
      <c r="E155" s="26" t="n"/>
      <c r="F155" s="26" t="n"/>
      <c r="G155" s="26" t="n"/>
      <c r="H155" s="27">
        <f>TRAMOS!Q72</f>
        <v/>
      </c>
      <c r="J155" s="28" t="inlineStr"/>
    </row>
    <row r="156">
      <c r="B156" s="14" t="inlineStr">
        <is>
          <t>Tramo 0+126.00 - 0+128.00 (normal)</t>
        </is>
      </c>
      <c r="D156" s="26" t="n"/>
      <c r="E156" s="26" t="n"/>
      <c r="F156" s="26" t="n"/>
      <c r="G156" s="26" t="n"/>
      <c r="H156" s="27">
        <f>TRAMOS!Q73</f>
        <v/>
      </c>
      <c r="J156" s="28" t="inlineStr"/>
    </row>
    <row r="157">
      <c r="B157" s="14" t="inlineStr">
        <is>
          <t>Tramo 0+128.00 - 0+130.00 (normal)</t>
        </is>
      </c>
      <c r="D157" s="26" t="n"/>
      <c r="E157" s="26" t="n"/>
      <c r="F157" s="26" t="n"/>
      <c r="G157" s="26" t="n"/>
      <c r="H157" s="27">
        <f>TRAMOS!Q74</f>
        <v/>
      </c>
      <c r="J157" s="28" t="inlineStr"/>
    </row>
    <row r="158">
      <c r="B158" s="14" t="inlineStr">
        <is>
          <t>Tramo 0+130.00 - 0+132.00 (normal)</t>
        </is>
      </c>
      <c r="D158" s="26" t="n"/>
      <c r="E158" s="26" t="n"/>
      <c r="F158" s="26" t="n"/>
      <c r="G158" s="26" t="n"/>
      <c r="H158" s="27">
        <f>TRAMOS!Q75</f>
        <v/>
      </c>
      <c r="J158" s="28" t="inlineStr"/>
    </row>
    <row r="159">
      <c r="B159" s="14" t="inlineStr">
        <is>
          <t>Tramo 0+132.00 - 0+134.00 (normal)</t>
        </is>
      </c>
      <c r="D159" s="26" t="n"/>
      <c r="E159" s="26" t="n"/>
      <c r="F159" s="26" t="n"/>
      <c r="G159" s="26" t="n"/>
      <c r="H159" s="27">
        <f>TRAMOS!Q76</f>
        <v/>
      </c>
      <c r="J159" s="28" t="inlineStr"/>
    </row>
    <row r="160">
      <c r="B160" s="14" t="inlineStr">
        <is>
          <t>Tramo 0+134.00 - 0+136.00 (normal)</t>
        </is>
      </c>
      <c r="D160" s="26" t="n"/>
      <c r="E160" s="26" t="n"/>
      <c r="F160" s="26" t="n"/>
      <c r="G160" s="26" t="n"/>
      <c r="H160" s="27">
        <f>TRAMOS!Q77</f>
        <v/>
      </c>
      <c r="J160" s="28" t="inlineStr"/>
    </row>
    <row r="161">
      <c r="B161" s="14" t="inlineStr">
        <is>
          <t>Tramo 0+136.00 - 0+138.00 (normal)</t>
        </is>
      </c>
      <c r="D161" s="26" t="n"/>
      <c r="E161" s="26" t="n"/>
      <c r="F161" s="26" t="n"/>
      <c r="G161" s="26" t="n"/>
      <c r="H161" s="27">
        <f>TRAMOS!Q78</f>
        <v/>
      </c>
      <c r="J161" s="28" t="inlineStr"/>
    </row>
    <row r="162">
      <c r="B162" s="14" t="inlineStr">
        <is>
          <t>Tramo 0+138.00 - 0+139.08 (normal)</t>
        </is>
      </c>
      <c r="D162" s="26" t="n"/>
      <c r="E162" s="26" t="n"/>
      <c r="F162" s="26" t="n"/>
      <c r="G162" s="26" t="n"/>
      <c r="H162" s="27">
        <f>TRAMOS!Q79</f>
        <v/>
      </c>
      <c r="J162" s="28" t="inlineStr"/>
    </row>
    <row r="163">
      <c r="B163" s="25" t="inlineStr">
        <is>
          <t>Estructura de salida</t>
        </is>
      </c>
    </row>
    <row r="164">
      <c r="B164" s="14" t="inlineStr">
        <is>
          <t>Zapatas de aleros</t>
        </is>
      </c>
      <c r="D164" s="26" t="n">
        <v>2</v>
      </c>
      <c r="E164" s="29">
        <f>DATOS!$B$26</f>
        <v/>
      </c>
      <c r="F164" s="29">
        <f>DATOS!$B$30</f>
        <v/>
      </c>
      <c r="G164" s="26" t="n"/>
      <c r="H164" s="27">
        <f>D164*E164*F164</f>
        <v/>
      </c>
      <c r="J164" s="28" t="inlineStr"/>
    </row>
    <row r="165">
      <c r="B165" s="14" t="inlineStr">
        <is>
          <t>Piso del emboquillado (trapecio)</t>
        </is>
      </c>
      <c r="D165" s="26" t="n">
        <v>1</v>
      </c>
      <c r="E165" s="26" t="n"/>
      <c r="F165" s="26" t="n"/>
      <c r="G165" s="26" t="n"/>
      <c r="H165" s="27">
        <f>(DATOS!$B$5+DATOS!$B$32)/2*DATOS!$B$31</f>
        <v/>
      </c>
      <c r="J165" s="28" t="inlineStr"/>
    </row>
    <row r="166">
      <c r="G166" s="9" t="inlineStr">
        <is>
          <t>TOTAL</t>
        </is>
      </c>
      <c r="I166" s="11">
        <f>SUM(H87:H165)</f>
        <v/>
      </c>
    </row>
    <row r="168">
      <c r="A168" s="4" t="inlineStr">
        <is>
          <t>02.03</t>
        </is>
      </c>
      <c r="B168" s="23" t="inlineStr">
        <is>
          <t>RELLENO COMPACTADO CON MATERIAL PROPIO</t>
        </is>
      </c>
      <c r="C168" s="24" t="inlineStr">
        <is>
          <t>m3</t>
        </is>
      </c>
      <c r="D168" s="5" t="n"/>
      <c r="E168" s="5" t="n"/>
      <c r="F168" s="5" t="n"/>
      <c r="G168" s="5" t="n"/>
      <c r="H168" s="5" t="n"/>
      <c r="I168" s="5" t="n"/>
      <c r="J168" s="5" t="n"/>
    </row>
    <row r="169">
      <c r="B169" s="25" t="inlineStr">
        <is>
          <t>Colector: relleno lateral lado predio y sobre-ancho del tramo final</t>
        </is>
      </c>
    </row>
    <row r="170">
      <c r="B170" s="14" t="inlineStr">
        <is>
          <t>Tramo 0+000.00 - 0+002.00 (normal)</t>
        </is>
      </c>
      <c r="D170" s="26" t="n"/>
      <c r="E170" s="26" t="n"/>
      <c r="F170" s="26" t="n"/>
      <c r="G170" s="26" t="n"/>
      <c r="H170" s="27">
        <f>TRAMOS!P5</f>
        <v/>
      </c>
      <c r="J170" s="28" t="inlineStr"/>
    </row>
    <row r="171">
      <c r="B171" s="14" t="inlineStr">
        <is>
          <t>Tramo 0+002.00 - 0+002.74 (normal)</t>
        </is>
      </c>
      <c r="D171" s="26" t="n"/>
      <c r="E171" s="26" t="n"/>
      <c r="F171" s="26" t="n"/>
      <c r="G171" s="26" t="n"/>
      <c r="H171" s="27">
        <f>TRAMOS!P6</f>
        <v/>
      </c>
      <c r="J171" s="28" t="inlineStr"/>
    </row>
    <row r="172">
      <c r="B172" s="14" t="inlineStr">
        <is>
          <t>Tramo 0+002.74 - 0+004.00 (cruce de autos)</t>
        </is>
      </c>
      <c r="D172" s="26" t="n"/>
      <c r="E172" s="26" t="n"/>
      <c r="F172" s="26" t="n"/>
      <c r="G172" s="26" t="n"/>
      <c r="H172" s="27">
        <f>TRAMOS!P7</f>
        <v/>
      </c>
      <c r="J172" s="28" t="inlineStr"/>
    </row>
    <row r="173">
      <c r="B173" s="14" t="inlineStr">
        <is>
          <t>Tramo 0+004.00 - 0+006.00 (cruce de autos)</t>
        </is>
      </c>
      <c r="D173" s="26" t="n"/>
      <c r="E173" s="26" t="n"/>
      <c r="F173" s="26" t="n"/>
      <c r="G173" s="26" t="n"/>
      <c r="H173" s="27">
        <f>TRAMOS!P8</f>
        <v/>
      </c>
      <c r="J173" s="28" t="inlineStr"/>
    </row>
    <row r="174">
      <c r="B174" s="14" t="inlineStr">
        <is>
          <t>Tramo 0+006.00 - 0+008.00 (cruce de autos)</t>
        </is>
      </c>
      <c r="D174" s="26" t="n"/>
      <c r="E174" s="26" t="n"/>
      <c r="F174" s="26" t="n"/>
      <c r="G174" s="26" t="n"/>
      <c r="H174" s="27">
        <f>TRAMOS!P9</f>
        <v/>
      </c>
      <c r="J174" s="28" t="inlineStr"/>
    </row>
    <row r="175">
      <c r="B175" s="14" t="inlineStr">
        <is>
          <t>Tramo 0+008.00 - 0+010.00 (cruce de autos)</t>
        </is>
      </c>
      <c r="D175" s="26" t="n"/>
      <c r="E175" s="26" t="n"/>
      <c r="F175" s="26" t="n"/>
      <c r="G175" s="26" t="n"/>
      <c r="H175" s="27">
        <f>TRAMOS!P10</f>
        <v/>
      </c>
      <c r="J175" s="28" t="inlineStr"/>
    </row>
    <row r="176">
      <c r="B176" s="14" t="inlineStr">
        <is>
          <t>Tramo 0+010.00 - 0+012.00 (cruce de autos)</t>
        </is>
      </c>
      <c r="D176" s="26" t="n"/>
      <c r="E176" s="26" t="n"/>
      <c r="F176" s="26" t="n"/>
      <c r="G176" s="26" t="n"/>
      <c r="H176" s="27">
        <f>TRAMOS!P11</f>
        <v/>
      </c>
      <c r="J176" s="28" t="inlineStr"/>
    </row>
    <row r="177">
      <c r="B177" s="14" t="inlineStr">
        <is>
          <t>Tramo 0+012.00 - 0+014.00 (cruce de autos)</t>
        </is>
      </c>
      <c r="D177" s="26" t="n"/>
      <c r="E177" s="26" t="n"/>
      <c r="F177" s="26" t="n"/>
      <c r="G177" s="26" t="n"/>
      <c r="H177" s="27">
        <f>TRAMOS!P12</f>
        <v/>
      </c>
      <c r="J177" s="28" t="inlineStr"/>
    </row>
    <row r="178">
      <c r="B178" s="14" t="inlineStr">
        <is>
          <t>Tramo 0+014.00 - 0+016.00 (cruce de autos)</t>
        </is>
      </c>
      <c r="D178" s="26" t="n"/>
      <c r="E178" s="26" t="n"/>
      <c r="F178" s="26" t="n"/>
      <c r="G178" s="26" t="n"/>
      <c r="H178" s="27">
        <f>TRAMOS!P13</f>
        <v/>
      </c>
      <c r="J178" s="28" t="inlineStr"/>
    </row>
    <row r="179">
      <c r="B179" s="14" t="inlineStr">
        <is>
          <t>Tramo 0+016.00 - 0+018.00 (cruce de autos)</t>
        </is>
      </c>
      <c r="D179" s="26" t="n"/>
      <c r="E179" s="26" t="n"/>
      <c r="F179" s="26" t="n"/>
      <c r="G179" s="26" t="n"/>
      <c r="H179" s="27">
        <f>TRAMOS!P14</f>
        <v/>
      </c>
      <c r="J179" s="28" t="inlineStr"/>
    </row>
    <row r="180">
      <c r="B180" s="14" t="inlineStr">
        <is>
          <t>Tramo 0+018.00 - 0+018.45 (cruce de autos)</t>
        </is>
      </c>
      <c r="D180" s="26" t="n"/>
      <c r="E180" s="26" t="n"/>
      <c r="F180" s="26" t="n"/>
      <c r="G180" s="26" t="n"/>
      <c r="H180" s="27">
        <f>TRAMOS!P15</f>
        <v/>
      </c>
      <c r="J180" s="28" t="inlineStr"/>
    </row>
    <row r="181">
      <c r="B181" s="14" t="inlineStr">
        <is>
          <t>Tramo 0+018.45 - 0+020.00 (normal)</t>
        </is>
      </c>
      <c r="D181" s="26" t="n"/>
      <c r="E181" s="26" t="n"/>
      <c r="F181" s="26" t="n"/>
      <c r="G181" s="26" t="n"/>
      <c r="H181" s="27">
        <f>TRAMOS!P16</f>
        <v/>
      </c>
      <c r="J181" s="28" t="inlineStr"/>
    </row>
    <row r="182">
      <c r="B182" s="14" t="inlineStr">
        <is>
          <t>Tramo 0+020.00 - 0+022.00 (normal)</t>
        </is>
      </c>
      <c r="D182" s="26" t="n"/>
      <c r="E182" s="26" t="n"/>
      <c r="F182" s="26" t="n"/>
      <c r="G182" s="26" t="n"/>
      <c r="H182" s="27">
        <f>TRAMOS!P17</f>
        <v/>
      </c>
      <c r="J182" s="28" t="inlineStr"/>
    </row>
    <row r="183">
      <c r="B183" s="14" t="inlineStr">
        <is>
          <t>Tramo 0+022.00 - 0+024.00 (normal)</t>
        </is>
      </c>
      <c r="D183" s="26" t="n"/>
      <c r="E183" s="26" t="n"/>
      <c r="F183" s="26" t="n"/>
      <c r="G183" s="26" t="n"/>
      <c r="H183" s="27">
        <f>TRAMOS!P18</f>
        <v/>
      </c>
      <c r="J183" s="28" t="inlineStr"/>
    </row>
    <row r="184">
      <c r="B184" s="14" t="inlineStr">
        <is>
          <t>Tramo 0+024.00 - 0+026.00 (normal)</t>
        </is>
      </c>
      <c r="D184" s="26" t="n"/>
      <c r="E184" s="26" t="n"/>
      <c r="F184" s="26" t="n"/>
      <c r="G184" s="26" t="n"/>
      <c r="H184" s="27">
        <f>TRAMOS!P19</f>
        <v/>
      </c>
      <c r="J184" s="28" t="inlineStr"/>
    </row>
    <row r="185">
      <c r="B185" s="14" t="inlineStr">
        <is>
          <t>Tramo 0+026.00 - 0+028.00 (normal)</t>
        </is>
      </c>
      <c r="D185" s="26" t="n"/>
      <c r="E185" s="26" t="n"/>
      <c r="F185" s="26" t="n"/>
      <c r="G185" s="26" t="n"/>
      <c r="H185" s="27">
        <f>TRAMOS!P20</f>
        <v/>
      </c>
      <c r="J185" s="28" t="inlineStr"/>
    </row>
    <row r="186">
      <c r="B186" s="14" t="inlineStr">
        <is>
          <t>Tramo 0+028.00 - 0+030.00 (normal)</t>
        </is>
      </c>
      <c r="D186" s="26" t="n"/>
      <c r="E186" s="26" t="n"/>
      <c r="F186" s="26" t="n"/>
      <c r="G186" s="26" t="n"/>
      <c r="H186" s="27">
        <f>TRAMOS!P21</f>
        <v/>
      </c>
      <c r="J186" s="28" t="inlineStr"/>
    </row>
    <row r="187">
      <c r="B187" s="14" t="inlineStr">
        <is>
          <t>Tramo 0+030.00 - 0+032.00 (normal)</t>
        </is>
      </c>
      <c r="D187" s="26" t="n"/>
      <c r="E187" s="26" t="n"/>
      <c r="F187" s="26" t="n"/>
      <c r="G187" s="26" t="n"/>
      <c r="H187" s="27">
        <f>TRAMOS!P22</f>
        <v/>
      </c>
      <c r="J187" s="28" t="inlineStr"/>
    </row>
    <row r="188">
      <c r="B188" s="14" t="inlineStr">
        <is>
          <t>Tramo 0+032.00 - 0+034.00 (normal)</t>
        </is>
      </c>
      <c r="D188" s="26" t="n"/>
      <c r="E188" s="26" t="n"/>
      <c r="F188" s="26" t="n"/>
      <c r="G188" s="26" t="n"/>
      <c r="H188" s="27">
        <f>TRAMOS!P23</f>
        <v/>
      </c>
      <c r="J188" s="28" t="inlineStr"/>
    </row>
    <row r="189">
      <c r="B189" s="14" t="inlineStr">
        <is>
          <t>Tramo 0+034.00 - 0+035.04 (normal)</t>
        </is>
      </c>
      <c r="D189" s="26" t="n"/>
      <c r="E189" s="26" t="n"/>
      <c r="F189" s="26" t="n"/>
      <c r="G189" s="26" t="n"/>
      <c r="H189" s="27">
        <f>TRAMOS!P24</f>
        <v/>
      </c>
      <c r="J189" s="28" t="inlineStr"/>
    </row>
    <row r="190">
      <c r="B190" s="14" t="inlineStr">
        <is>
          <t>Tramo 0+035.04 - 0+036.00 (cruce de autos)</t>
        </is>
      </c>
      <c r="D190" s="26" t="n"/>
      <c r="E190" s="26" t="n"/>
      <c r="F190" s="26" t="n"/>
      <c r="G190" s="26" t="n"/>
      <c r="H190" s="27">
        <f>TRAMOS!P25</f>
        <v/>
      </c>
      <c r="J190" s="28" t="inlineStr"/>
    </row>
    <row r="191">
      <c r="B191" s="14" t="inlineStr">
        <is>
          <t>Tramo 0+036.00 - 0+038.00 (cruce de autos)</t>
        </is>
      </c>
      <c r="D191" s="26" t="n"/>
      <c r="E191" s="26" t="n"/>
      <c r="F191" s="26" t="n"/>
      <c r="G191" s="26" t="n"/>
      <c r="H191" s="27">
        <f>TRAMOS!P26</f>
        <v/>
      </c>
      <c r="J191" s="28" t="inlineStr"/>
    </row>
    <row r="192">
      <c r="B192" s="14" t="inlineStr">
        <is>
          <t>Tramo 0+038.00 - 0+040.00 (cruce de autos)</t>
        </is>
      </c>
      <c r="D192" s="26" t="n"/>
      <c r="E192" s="26" t="n"/>
      <c r="F192" s="26" t="n"/>
      <c r="G192" s="26" t="n"/>
      <c r="H192" s="27">
        <f>TRAMOS!P27</f>
        <v/>
      </c>
      <c r="J192" s="28" t="inlineStr"/>
    </row>
    <row r="193">
      <c r="B193" s="14" t="inlineStr">
        <is>
          <t>Tramo 0+040.00 - 0+042.00 (cruce de autos)</t>
        </is>
      </c>
      <c r="D193" s="26" t="n"/>
      <c r="E193" s="26" t="n"/>
      <c r="F193" s="26" t="n"/>
      <c r="G193" s="26" t="n"/>
      <c r="H193" s="27">
        <f>TRAMOS!P28</f>
        <v/>
      </c>
      <c r="J193" s="28" t="inlineStr"/>
    </row>
    <row r="194">
      <c r="B194" s="14" t="inlineStr">
        <is>
          <t>Tramo 0+042.00 - 0+044.00 (cruce de autos)</t>
        </is>
      </c>
      <c r="D194" s="26" t="n"/>
      <c r="E194" s="26" t="n"/>
      <c r="F194" s="26" t="n"/>
      <c r="G194" s="26" t="n"/>
      <c r="H194" s="27">
        <f>TRAMOS!P29</f>
        <v/>
      </c>
      <c r="J194" s="28" t="inlineStr"/>
    </row>
    <row r="195">
      <c r="B195" s="14" t="inlineStr">
        <is>
          <t>Tramo 0+044.00 - 0+046.00 (cruce de autos)</t>
        </is>
      </c>
      <c r="D195" s="26" t="n"/>
      <c r="E195" s="26" t="n"/>
      <c r="F195" s="26" t="n"/>
      <c r="G195" s="26" t="n"/>
      <c r="H195" s="27">
        <f>TRAMOS!P30</f>
        <v/>
      </c>
      <c r="J195" s="28" t="inlineStr"/>
    </row>
    <row r="196">
      <c r="B196" s="14" t="inlineStr">
        <is>
          <t>Tramo 0+046.00 - 0+048.00 (cruce de autos)</t>
        </is>
      </c>
      <c r="D196" s="26" t="n"/>
      <c r="E196" s="26" t="n"/>
      <c r="F196" s="26" t="n"/>
      <c r="G196" s="26" t="n"/>
      <c r="H196" s="27">
        <f>TRAMOS!P31</f>
        <v/>
      </c>
      <c r="J196" s="28" t="inlineStr"/>
    </row>
    <row r="197">
      <c r="B197" s="14" t="inlineStr">
        <is>
          <t>Tramo 0+048.00 - 0+050.00 (cruce de autos)</t>
        </is>
      </c>
      <c r="D197" s="26" t="n"/>
      <c r="E197" s="26" t="n"/>
      <c r="F197" s="26" t="n"/>
      <c r="G197" s="26" t="n"/>
      <c r="H197" s="27">
        <f>TRAMOS!P32</f>
        <v/>
      </c>
      <c r="J197" s="28" t="inlineStr"/>
    </row>
    <row r="198">
      <c r="B198" s="14" t="inlineStr">
        <is>
          <t>Tramo 0+050.00 - 0+051.86 (cruce de autos)</t>
        </is>
      </c>
      <c r="D198" s="26" t="n"/>
      <c r="E198" s="26" t="n"/>
      <c r="F198" s="26" t="n"/>
      <c r="G198" s="26" t="n"/>
      <c r="H198" s="27">
        <f>TRAMOS!P33</f>
        <v/>
      </c>
      <c r="J198" s="28" t="inlineStr"/>
    </row>
    <row r="199">
      <c r="B199" s="14" t="inlineStr">
        <is>
          <t>Tramo 0+051.86 - 0+052.00 (normal)</t>
        </is>
      </c>
      <c r="D199" s="26" t="n"/>
      <c r="E199" s="26" t="n"/>
      <c r="F199" s="26" t="n"/>
      <c r="G199" s="26" t="n"/>
      <c r="H199" s="27">
        <f>TRAMOS!P34</f>
        <v/>
      </c>
      <c r="J199" s="28" t="inlineStr"/>
    </row>
    <row r="200">
      <c r="B200" s="14" t="inlineStr">
        <is>
          <t>Tramo 0+052.00 - 0+054.00 (normal)</t>
        </is>
      </c>
      <c r="D200" s="26" t="n"/>
      <c r="E200" s="26" t="n"/>
      <c r="F200" s="26" t="n"/>
      <c r="G200" s="26" t="n"/>
      <c r="H200" s="27">
        <f>TRAMOS!P35</f>
        <v/>
      </c>
      <c r="J200" s="28" t="inlineStr"/>
    </row>
    <row r="201">
      <c r="B201" s="14" t="inlineStr">
        <is>
          <t>Tramo 0+054.00 - 0+056.00 (cruce de camiones)</t>
        </is>
      </c>
      <c r="D201" s="26" t="n"/>
      <c r="E201" s="26" t="n"/>
      <c r="F201" s="26" t="n"/>
      <c r="G201" s="26" t="n"/>
      <c r="H201" s="27">
        <f>TRAMOS!P36</f>
        <v/>
      </c>
      <c r="J201" s="28" t="inlineStr"/>
    </row>
    <row r="202">
      <c r="B202" s="14" t="inlineStr">
        <is>
          <t>Tramo 0+056.00 - 0+058.00 (cruce de camiones)</t>
        </is>
      </c>
      <c r="D202" s="26" t="n"/>
      <c r="E202" s="26" t="n"/>
      <c r="F202" s="26" t="n"/>
      <c r="G202" s="26" t="n"/>
      <c r="H202" s="27">
        <f>TRAMOS!P37</f>
        <v/>
      </c>
      <c r="J202" s="28" t="inlineStr"/>
    </row>
    <row r="203">
      <c r="B203" s="14" t="inlineStr">
        <is>
          <t>Tramo 0+058.00 - 0+060.00 (cruce de camiones)</t>
        </is>
      </c>
      <c r="D203" s="26" t="n"/>
      <c r="E203" s="26" t="n"/>
      <c r="F203" s="26" t="n"/>
      <c r="G203" s="26" t="n"/>
      <c r="H203" s="27">
        <f>TRAMOS!P38</f>
        <v/>
      </c>
      <c r="J203" s="28" t="inlineStr"/>
    </row>
    <row r="204">
      <c r="B204" s="14" t="inlineStr">
        <is>
          <t>Tramo 0+060.00 - 0+062.00 (normal)</t>
        </is>
      </c>
      <c r="D204" s="26" t="n"/>
      <c r="E204" s="26" t="n"/>
      <c r="F204" s="26" t="n"/>
      <c r="G204" s="26" t="n"/>
      <c r="H204" s="27">
        <f>TRAMOS!P39</f>
        <v/>
      </c>
      <c r="J204" s="28" t="inlineStr"/>
    </row>
    <row r="205">
      <c r="B205" s="14" t="inlineStr">
        <is>
          <t>Tramo 0+062.00 - 0+064.00 (normal)</t>
        </is>
      </c>
      <c r="D205" s="26" t="n"/>
      <c r="E205" s="26" t="n"/>
      <c r="F205" s="26" t="n"/>
      <c r="G205" s="26" t="n"/>
      <c r="H205" s="27">
        <f>TRAMOS!P40</f>
        <v/>
      </c>
      <c r="J205" s="28" t="inlineStr"/>
    </row>
    <row r="206">
      <c r="B206" s="14" t="inlineStr">
        <is>
          <t>Tramo 0+064.00 - 0+066.00 (normal)</t>
        </is>
      </c>
      <c r="D206" s="26" t="n"/>
      <c r="E206" s="26" t="n"/>
      <c r="F206" s="26" t="n"/>
      <c r="G206" s="26" t="n"/>
      <c r="H206" s="27">
        <f>TRAMOS!P41</f>
        <v/>
      </c>
      <c r="J206" s="28" t="inlineStr"/>
    </row>
    <row r="207">
      <c r="B207" s="14" t="inlineStr">
        <is>
          <t>Tramo 0+066.00 - 0+068.00 (normal)</t>
        </is>
      </c>
      <c r="D207" s="26" t="n"/>
      <c r="E207" s="26" t="n"/>
      <c r="F207" s="26" t="n"/>
      <c r="G207" s="26" t="n"/>
      <c r="H207" s="27">
        <f>TRAMOS!P42</f>
        <v/>
      </c>
      <c r="J207" s="28" t="inlineStr"/>
    </row>
    <row r="208">
      <c r="B208" s="14" t="inlineStr">
        <is>
          <t>Tramo 0+068.00 - 0+070.00 (normal)</t>
        </is>
      </c>
      <c r="D208" s="26" t="n"/>
      <c r="E208" s="26" t="n"/>
      <c r="F208" s="26" t="n"/>
      <c r="G208" s="26" t="n"/>
      <c r="H208" s="27">
        <f>TRAMOS!P43</f>
        <v/>
      </c>
      <c r="J208" s="28" t="inlineStr"/>
    </row>
    <row r="209">
      <c r="B209" s="14" t="inlineStr">
        <is>
          <t>Tramo 0+070.00 - 0+072.00 (normal)</t>
        </is>
      </c>
      <c r="D209" s="26" t="n"/>
      <c r="E209" s="26" t="n"/>
      <c r="F209" s="26" t="n"/>
      <c r="G209" s="26" t="n"/>
      <c r="H209" s="27">
        <f>TRAMOS!P44</f>
        <v/>
      </c>
      <c r="J209" s="28" t="inlineStr"/>
    </row>
    <row r="210">
      <c r="B210" s="14" t="inlineStr">
        <is>
          <t>Tramo 0+072.00 - 0+074.00 (normal)</t>
        </is>
      </c>
      <c r="D210" s="26" t="n"/>
      <c r="E210" s="26" t="n"/>
      <c r="F210" s="26" t="n"/>
      <c r="G210" s="26" t="n"/>
      <c r="H210" s="27">
        <f>TRAMOS!P45</f>
        <v/>
      </c>
      <c r="J210" s="28" t="inlineStr"/>
    </row>
    <row r="211">
      <c r="B211" s="14" t="inlineStr">
        <is>
          <t>Tramo 0+074.00 - 0+076.00 (normal)</t>
        </is>
      </c>
      <c r="D211" s="26" t="n"/>
      <c r="E211" s="26" t="n"/>
      <c r="F211" s="26" t="n"/>
      <c r="G211" s="26" t="n"/>
      <c r="H211" s="27">
        <f>TRAMOS!P46</f>
        <v/>
      </c>
      <c r="J211" s="28" t="inlineStr"/>
    </row>
    <row r="212">
      <c r="B212" s="14" t="inlineStr">
        <is>
          <t>Tramo 0+076.00 - 0+078.00 (normal)</t>
        </is>
      </c>
      <c r="D212" s="26" t="n"/>
      <c r="E212" s="26" t="n"/>
      <c r="F212" s="26" t="n"/>
      <c r="G212" s="26" t="n"/>
      <c r="H212" s="27">
        <f>TRAMOS!P47</f>
        <v/>
      </c>
      <c r="J212" s="28" t="inlineStr"/>
    </row>
    <row r="213">
      <c r="B213" s="14" t="inlineStr">
        <is>
          <t>Tramo 0+078.00 - 0+078.42 (normal)</t>
        </is>
      </c>
      <c r="D213" s="26" t="n"/>
      <c r="E213" s="26" t="n"/>
      <c r="F213" s="26" t="n"/>
      <c r="G213" s="26" t="n"/>
      <c r="H213" s="27">
        <f>TRAMOS!P48</f>
        <v/>
      </c>
      <c r="J213" s="28" t="inlineStr"/>
    </row>
    <row r="214">
      <c r="B214" s="14" t="inlineStr">
        <is>
          <t>Tramo 0+078.42 - 0+080.00 (normal)</t>
        </is>
      </c>
      <c r="D214" s="26" t="n"/>
      <c r="E214" s="26" t="n"/>
      <c r="F214" s="26" t="n"/>
      <c r="G214" s="26" t="n"/>
      <c r="H214" s="27">
        <f>TRAMOS!P49</f>
        <v/>
      </c>
      <c r="J214" s="28" t="inlineStr"/>
    </row>
    <row r="215">
      <c r="B215" s="14" t="inlineStr">
        <is>
          <t>Tramo 0+080.00 - 0+082.00 (normal)</t>
        </is>
      </c>
      <c r="D215" s="26" t="n"/>
      <c r="E215" s="26" t="n"/>
      <c r="F215" s="26" t="n"/>
      <c r="G215" s="26" t="n"/>
      <c r="H215" s="27">
        <f>TRAMOS!P50</f>
        <v/>
      </c>
      <c r="J215" s="28" t="inlineStr"/>
    </row>
    <row r="216">
      <c r="B216" s="14" t="inlineStr">
        <is>
          <t>Tramo 0+082.00 - 0+084.00 (normal)</t>
        </is>
      </c>
      <c r="D216" s="26" t="n"/>
      <c r="E216" s="26" t="n"/>
      <c r="F216" s="26" t="n"/>
      <c r="G216" s="26" t="n"/>
      <c r="H216" s="27">
        <f>TRAMOS!P51</f>
        <v/>
      </c>
      <c r="J216" s="28" t="inlineStr"/>
    </row>
    <row r="217">
      <c r="B217" s="14" t="inlineStr">
        <is>
          <t>Tramo 0+084.00 - 0+086.00 (normal)</t>
        </is>
      </c>
      <c r="D217" s="26" t="n"/>
      <c r="E217" s="26" t="n"/>
      <c r="F217" s="26" t="n"/>
      <c r="G217" s="26" t="n"/>
      <c r="H217" s="27">
        <f>TRAMOS!P52</f>
        <v/>
      </c>
      <c r="J217" s="28" t="inlineStr"/>
    </row>
    <row r="218">
      <c r="B218" s="14" t="inlineStr">
        <is>
          <t>Tramo 0+086.00 - 0+088.00 (normal)</t>
        </is>
      </c>
      <c r="D218" s="26" t="n"/>
      <c r="E218" s="26" t="n"/>
      <c r="F218" s="26" t="n"/>
      <c r="G218" s="26" t="n"/>
      <c r="H218" s="27">
        <f>TRAMOS!P53</f>
        <v/>
      </c>
      <c r="J218" s="28" t="inlineStr"/>
    </row>
    <row r="219">
      <c r="B219" s="14" t="inlineStr">
        <is>
          <t>Tramo 0+088.00 - 0+090.00 (normal)</t>
        </is>
      </c>
      <c r="D219" s="26" t="n"/>
      <c r="E219" s="26" t="n"/>
      <c r="F219" s="26" t="n"/>
      <c r="G219" s="26" t="n"/>
      <c r="H219" s="27">
        <f>TRAMOS!P54</f>
        <v/>
      </c>
      <c r="J219" s="28" t="inlineStr"/>
    </row>
    <row r="220">
      <c r="B220" s="14" t="inlineStr">
        <is>
          <t>Tramo 0+090.00 - 0+092.00 (normal)</t>
        </is>
      </c>
      <c r="D220" s="26" t="n"/>
      <c r="E220" s="26" t="n"/>
      <c r="F220" s="26" t="n"/>
      <c r="G220" s="26" t="n"/>
      <c r="H220" s="27">
        <f>TRAMOS!P55</f>
        <v/>
      </c>
      <c r="J220" s="28" t="inlineStr"/>
    </row>
    <row r="221">
      <c r="B221" s="14" t="inlineStr">
        <is>
          <t>Tramo 0+092.00 - 0+094.00 (normal)</t>
        </is>
      </c>
      <c r="D221" s="26" t="n"/>
      <c r="E221" s="26" t="n"/>
      <c r="F221" s="26" t="n"/>
      <c r="G221" s="26" t="n"/>
      <c r="H221" s="27">
        <f>TRAMOS!P56</f>
        <v/>
      </c>
      <c r="J221" s="28" t="inlineStr"/>
    </row>
    <row r="222">
      <c r="B222" s="14" t="inlineStr">
        <is>
          <t>Tramo 0+094.00 - 0+096.00 (normal)</t>
        </is>
      </c>
      <c r="D222" s="26" t="n"/>
      <c r="E222" s="26" t="n"/>
      <c r="F222" s="26" t="n"/>
      <c r="G222" s="26" t="n"/>
      <c r="H222" s="27">
        <f>TRAMOS!P57</f>
        <v/>
      </c>
      <c r="J222" s="28" t="inlineStr"/>
    </row>
    <row r="223">
      <c r="B223" s="14" t="inlineStr">
        <is>
          <t>Tramo 0+096.00 - 0+098.00 (normal)</t>
        </is>
      </c>
      <c r="D223" s="26" t="n"/>
      <c r="E223" s="26" t="n"/>
      <c r="F223" s="26" t="n"/>
      <c r="G223" s="26" t="n"/>
      <c r="H223" s="27">
        <f>TRAMOS!P58</f>
        <v/>
      </c>
      <c r="J223" s="28" t="inlineStr"/>
    </row>
    <row r="224">
      <c r="B224" s="14" t="inlineStr">
        <is>
          <t>Tramo 0+098.00 - 0+100.00 (normal)</t>
        </is>
      </c>
      <c r="D224" s="26" t="n"/>
      <c r="E224" s="26" t="n"/>
      <c r="F224" s="26" t="n"/>
      <c r="G224" s="26" t="n"/>
      <c r="H224" s="27">
        <f>TRAMOS!P59</f>
        <v/>
      </c>
      <c r="J224" s="28" t="inlineStr"/>
    </row>
    <row r="225">
      <c r="B225" s="14" t="inlineStr">
        <is>
          <t>Tramo 0+100.00 - 0+102.00 (normal)</t>
        </is>
      </c>
      <c r="D225" s="26" t="n"/>
      <c r="E225" s="26" t="n"/>
      <c r="F225" s="26" t="n"/>
      <c r="G225" s="26" t="n"/>
      <c r="H225" s="27">
        <f>TRAMOS!P60</f>
        <v/>
      </c>
      <c r="J225" s="28" t="inlineStr"/>
    </row>
    <row r="226">
      <c r="B226" s="14" t="inlineStr">
        <is>
          <t>Tramo 0+102.00 - 0+104.00 (normal)</t>
        </is>
      </c>
      <c r="D226" s="26" t="n"/>
      <c r="E226" s="26" t="n"/>
      <c r="F226" s="26" t="n"/>
      <c r="G226" s="26" t="n"/>
      <c r="H226" s="27">
        <f>TRAMOS!P61</f>
        <v/>
      </c>
      <c r="J226" s="28" t="inlineStr"/>
    </row>
    <row r="227">
      <c r="B227" s="14" t="inlineStr">
        <is>
          <t>Tramo 0+104.00 - 0+106.00 (normal)</t>
        </is>
      </c>
      <c r="D227" s="26" t="n"/>
      <c r="E227" s="26" t="n"/>
      <c r="F227" s="26" t="n"/>
      <c r="G227" s="26" t="n"/>
      <c r="H227" s="27">
        <f>TRAMOS!P62</f>
        <v/>
      </c>
      <c r="J227" s="28" t="inlineStr"/>
    </row>
    <row r="228">
      <c r="B228" s="14" t="inlineStr">
        <is>
          <t>Tramo 0+106.00 - 0+108.00 (normal)</t>
        </is>
      </c>
      <c r="D228" s="26" t="n"/>
      <c r="E228" s="26" t="n"/>
      <c r="F228" s="26" t="n"/>
      <c r="G228" s="26" t="n"/>
      <c r="H228" s="27">
        <f>TRAMOS!P63</f>
        <v/>
      </c>
      <c r="J228" s="28" t="inlineStr"/>
    </row>
    <row r="229">
      <c r="B229" s="14" t="inlineStr">
        <is>
          <t>Tramo 0+108.00 - 0+110.00 (normal)</t>
        </is>
      </c>
      <c r="D229" s="26" t="n"/>
      <c r="E229" s="26" t="n"/>
      <c r="F229" s="26" t="n"/>
      <c r="G229" s="26" t="n"/>
      <c r="H229" s="27">
        <f>TRAMOS!P64</f>
        <v/>
      </c>
      <c r="J229" s="28" t="inlineStr"/>
    </row>
    <row r="230">
      <c r="B230" s="14" t="inlineStr">
        <is>
          <t>Tramo 0+110.00 - 0+112.00 (normal)</t>
        </is>
      </c>
      <c r="D230" s="26" t="n"/>
      <c r="E230" s="26" t="n"/>
      <c r="F230" s="26" t="n"/>
      <c r="G230" s="26" t="n"/>
      <c r="H230" s="27">
        <f>TRAMOS!P65</f>
        <v/>
      </c>
      <c r="J230" s="28" t="inlineStr"/>
    </row>
    <row r="231">
      <c r="B231" s="14" t="inlineStr">
        <is>
          <t>Tramo 0+112.00 - 0+114.00 (normal)</t>
        </is>
      </c>
      <c r="D231" s="26" t="n"/>
      <c r="E231" s="26" t="n"/>
      <c r="F231" s="26" t="n"/>
      <c r="G231" s="26" t="n"/>
      <c r="H231" s="27">
        <f>TRAMOS!P66</f>
        <v/>
      </c>
      <c r="J231" s="28" t="inlineStr"/>
    </row>
    <row r="232">
      <c r="B232" s="14" t="inlineStr">
        <is>
          <t>Tramo 0+114.00 - 0+116.00 (normal)</t>
        </is>
      </c>
      <c r="D232" s="26" t="n"/>
      <c r="E232" s="26" t="n"/>
      <c r="F232" s="26" t="n"/>
      <c r="G232" s="26" t="n"/>
      <c r="H232" s="27">
        <f>TRAMOS!P67</f>
        <v/>
      </c>
      <c r="J232" s="28" t="inlineStr"/>
    </row>
    <row r="233">
      <c r="B233" s="14" t="inlineStr">
        <is>
          <t>Tramo 0+116.00 - 0+118.00 (normal)</t>
        </is>
      </c>
      <c r="D233" s="26" t="n"/>
      <c r="E233" s="26" t="n"/>
      <c r="F233" s="26" t="n"/>
      <c r="G233" s="26" t="n"/>
      <c r="H233" s="27">
        <f>TRAMOS!P68</f>
        <v/>
      </c>
      <c r="J233" s="28" t="inlineStr"/>
    </row>
    <row r="234">
      <c r="B234" s="14" t="inlineStr">
        <is>
          <t>Tramo 0+118.00 - 0+120.00 (normal)</t>
        </is>
      </c>
      <c r="D234" s="26" t="n"/>
      <c r="E234" s="26" t="n"/>
      <c r="F234" s="26" t="n"/>
      <c r="G234" s="26" t="n"/>
      <c r="H234" s="27">
        <f>TRAMOS!P69</f>
        <v/>
      </c>
      <c r="J234" s="28" t="inlineStr"/>
    </row>
    <row r="235">
      <c r="B235" s="14" t="inlineStr">
        <is>
          <t>Tramo 0+120.00 - 0+122.00 (normal)</t>
        </is>
      </c>
      <c r="D235" s="26" t="n"/>
      <c r="E235" s="26" t="n"/>
      <c r="F235" s="26" t="n"/>
      <c r="G235" s="26" t="n"/>
      <c r="H235" s="27">
        <f>TRAMOS!P70</f>
        <v/>
      </c>
      <c r="J235" s="28" t="inlineStr"/>
    </row>
    <row r="236">
      <c r="B236" s="14" t="inlineStr">
        <is>
          <t>Tramo 0+122.00 - 0+124.00 (normal)</t>
        </is>
      </c>
      <c r="D236" s="26" t="n"/>
      <c r="E236" s="26" t="n"/>
      <c r="F236" s="26" t="n"/>
      <c r="G236" s="26" t="n"/>
      <c r="H236" s="27">
        <f>TRAMOS!P71</f>
        <v/>
      </c>
      <c r="J236" s="28" t="inlineStr"/>
    </row>
    <row r="237">
      <c r="B237" s="14" t="inlineStr">
        <is>
          <t>Tramo 0+124.00 - 0+126.00 (normal)</t>
        </is>
      </c>
      <c r="D237" s="26" t="n"/>
      <c r="E237" s="26" t="n"/>
      <c r="F237" s="26" t="n"/>
      <c r="G237" s="26" t="n"/>
      <c r="H237" s="27">
        <f>TRAMOS!P72</f>
        <v/>
      </c>
      <c r="J237" s="28" t="inlineStr"/>
    </row>
    <row r="238">
      <c r="B238" s="14" t="inlineStr">
        <is>
          <t>Tramo 0+126.00 - 0+128.00 (normal)</t>
        </is>
      </c>
      <c r="D238" s="26" t="n"/>
      <c r="E238" s="26" t="n"/>
      <c r="F238" s="26" t="n"/>
      <c r="G238" s="26" t="n"/>
      <c r="H238" s="27">
        <f>TRAMOS!P73</f>
        <v/>
      </c>
      <c r="J238" s="28" t="inlineStr"/>
    </row>
    <row r="239">
      <c r="B239" s="14" t="inlineStr">
        <is>
          <t>Tramo 0+128.00 - 0+130.00 (normal)</t>
        </is>
      </c>
      <c r="D239" s="26" t="n"/>
      <c r="E239" s="26" t="n"/>
      <c r="F239" s="26" t="n"/>
      <c r="G239" s="26" t="n"/>
      <c r="H239" s="27">
        <f>TRAMOS!P74</f>
        <v/>
      </c>
      <c r="J239" s="28" t="inlineStr"/>
    </row>
    <row r="240">
      <c r="B240" s="14" t="inlineStr">
        <is>
          <t>Tramo 0+130.00 - 0+132.00 (normal)</t>
        </is>
      </c>
      <c r="D240" s="26" t="n"/>
      <c r="E240" s="26" t="n"/>
      <c r="F240" s="26" t="n"/>
      <c r="G240" s="26" t="n"/>
      <c r="H240" s="27">
        <f>TRAMOS!P75</f>
        <v/>
      </c>
      <c r="J240" s="28" t="inlineStr"/>
    </row>
    <row r="241">
      <c r="B241" s="14" t="inlineStr">
        <is>
          <t>Tramo 0+132.00 - 0+134.00 (normal)</t>
        </is>
      </c>
      <c r="D241" s="26" t="n"/>
      <c r="E241" s="26" t="n"/>
      <c r="F241" s="26" t="n"/>
      <c r="G241" s="26" t="n"/>
      <c r="H241" s="27">
        <f>TRAMOS!P76</f>
        <v/>
      </c>
      <c r="J241" s="28" t="inlineStr"/>
    </row>
    <row r="242">
      <c r="B242" s="14" t="inlineStr">
        <is>
          <t>Tramo 0+134.00 - 0+136.00 (normal)</t>
        </is>
      </c>
      <c r="D242" s="26" t="n"/>
      <c r="E242" s="26" t="n"/>
      <c r="F242" s="26" t="n"/>
      <c r="G242" s="26" t="n"/>
      <c r="H242" s="27">
        <f>TRAMOS!P77</f>
        <v/>
      </c>
      <c r="J242" s="28" t="inlineStr"/>
    </row>
    <row r="243">
      <c r="B243" s="14" t="inlineStr">
        <is>
          <t>Tramo 0+136.00 - 0+138.00 (normal)</t>
        </is>
      </c>
      <c r="D243" s="26" t="n"/>
      <c r="E243" s="26" t="n"/>
      <c r="F243" s="26" t="n"/>
      <c r="G243" s="26" t="n"/>
      <c r="H243" s="27">
        <f>TRAMOS!P78</f>
        <v/>
      </c>
      <c r="J243" s="28" t="inlineStr"/>
    </row>
    <row r="244">
      <c r="B244" s="14" t="inlineStr">
        <is>
          <t>Tramo 0+138.00 - 0+139.08 (normal)</t>
        </is>
      </c>
      <c r="D244" s="26" t="n"/>
      <c r="E244" s="26" t="n"/>
      <c r="F244" s="26" t="n"/>
      <c r="G244" s="26" t="n"/>
      <c r="H244" s="27">
        <f>TRAMOS!P79</f>
        <v/>
      </c>
      <c r="J244" s="28" t="inlineStr"/>
    </row>
    <row r="245">
      <c r="B245" s="25" t="inlineStr">
        <is>
          <t>Estructura de salida</t>
        </is>
      </c>
    </row>
    <row r="246">
      <c r="B246" s="14" t="inlineStr">
        <is>
          <t>Relleno sobre zapatas de aleros (lado exterior)</t>
        </is>
      </c>
      <c r="D246" s="26" t="n">
        <v>2</v>
      </c>
      <c r="E246" s="29">
        <f>DATOS!$B$26</f>
        <v/>
      </c>
      <c r="F246" s="26" t="n">
        <v>0.3</v>
      </c>
      <c r="G246" s="26" t="n">
        <v>0.4</v>
      </c>
      <c r="H246" s="27">
        <f>D246*E246*F246*G246</f>
        <v/>
      </c>
      <c r="J246" s="28" t="inlineStr"/>
    </row>
    <row r="247">
      <c r="G247" s="9" t="inlineStr">
        <is>
          <t>TOTAL</t>
        </is>
      </c>
      <c r="I247" s="11">
        <f>SUM(H169:H246)</f>
        <v/>
      </c>
    </row>
    <row r="249">
      <c r="A249" s="4" t="inlineStr">
        <is>
          <t>02.04</t>
        </is>
      </c>
      <c r="B249" s="23" t="inlineStr">
        <is>
          <t>ELIMINACION DE MATERIAL EXCEDENTE D=5 km</t>
        </is>
      </c>
      <c r="C249" s="24" t="inlineStr">
        <is>
          <t>m3</t>
        </is>
      </c>
      <c r="D249" s="5" t="n"/>
      <c r="E249" s="5" t="n"/>
      <c r="F249" s="5" t="n"/>
      <c r="G249" s="5" t="n"/>
      <c r="H249" s="5" t="n"/>
      <c r="I249" s="5" t="n"/>
      <c r="J249" s="5" t="n"/>
    </row>
    <row r="250">
      <c r="B250" s="14" t="inlineStr">
        <is>
          <t>(Excavacion - relleno) x factor de esponjamiento</t>
        </is>
      </c>
      <c r="D250" s="26" t="n"/>
      <c r="E250" s="26" t="n"/>
      <c r="F250" s="26" t="n"/>
      <c r="G250" s="26" t="n"/>
      <c r="H250" s="27">
        <f>('02 MOV. TIERRAS'!$I$84-'02 MOV. TIERRAS'!$I$247)*DATOS!$B$21</f>
        <v/>
      </c>
      <c r="J250" s="28" t="inlineStr"/>
    </row>
    <row r="251">
      <c r="G251" s="9" t="inlineStr">
        <is>
          <t>TOTAL</t>
        </is>
      </c>
      <c r="I251" s="11">
        <f>SUM(H250:H250)</f>
        <v/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2" customWidth="1" min="9" max="9"/>
    <col width="40" customWidth="1" min="10" max="10"/>
  </cols>
  <sheetData>
    <row r="1" ht="24" customHeight="1">
      <c r="A1" s="1" t="inlineStr">
        <is>
          <t>03 CONCRETO SIMPLE</t>
        </is>
      </c>
    </row>
    <row r="2">
      <c r="A2" s="2" t="inlineStr">
        <is>
          <t>CAR Mujeres (CUI 2717013) - Colector pluvial frontal b=1.50 m, preparado para CAR Varones y Hogar de Refugio - Morales, San Martin</t>
        </is>
      </c>
    </row>
    <row r="4" ht="36" customHeight="1">
      <c r="A4" s="3" t="inlineStr">
        <is>
          <t>ITEM</t>
        </is>
      </c>
      <c r="B4" s="3" t="inlineStr">
        <is>
          <t>DESCRIPCION</t>
        </is>
      </c>
      <c r="C4" s="3" t="inlineStr">
        <is>
          <t>UND</t>
        </is>
      </c>
      <c r="D4" s="3" t="inlineStr">
        <is>
          <t>N. VECES</t>
        </is>
      </c>
      <c r="E4" s="3" t="inlineStr">
        <is>
          <t>LARGO (m)</t>
        </is>
      </c>
      <c r="F4" s="3" t="inlineStr">
        <is>
          <t>ANCHO (m)</t>
        </is>
      </c>
      <c r="G4" s="3" t="inlineStr">
        <is>
          <t>ALTO (m)</t>
        </is>
      </c>
      <c r="H4" s="3" t="inlineStr">
        <is>
          <t>PARCIAL</t>
        </is>
      </c>
      <c r="I4" s="3" t="inlineStr">
        <is>
          <t>TOTAL</t>
        </is>
      </c>
      <c r="J4" s="3" t="inlineStr">
        <is>
          <t>OBSERVACION</t>
        </is>
      </c>
    </row>
    <row r="5">
      <c r="A5" s="4" t="inlineStr">
        <is>
          <t>03.01</t>
        </is>
      </c>
      <c r="B5" s="23" t="inlineStr">
        <is>
          <t>SOLADO DE CONCRETO f'c=100 kg/cm2 e=0.05 m</t>
        </is>
      </c>
      <c r="C5" s="24" t="inlineStr">
        <is>
          <t>m2</t>
        </is>
      </c>
      <c r="D5" s="5" t="n"/>
      <c r="E5" s="5" t="n"/>
      <c r="F5" s="5" t="n"/>
      <c r="G5" s="5" t="n"/>
      <c r="H5" s="5" t="n"/>
      <c r="I5" s="5" t="n"/>
      <c r="J5" s="5" t="n"/>
    </row>
    <row r="6">
      <c r="B6" s="25" t="inlineStr">
        <is>
          <t>Colector</t>
        </is>
      </c>
    </row>
    <row r="7">
      <c r="B7" s="14" t="inlineStr">
        <is>
          <t>Tramo 0+000.00 - 0+002.00 (normal)</t>
        </is>
      </c>
      <c r="D7" s="26" t="n"/>
      <c r="E7" s="26" t="n"/>
      <c r="F7" s="26" t="n"/>
      <c r="G7" s="26" t="n"/>
      <c r="H7" s="27">
        <f>TRAMOS!Q5</f>
        <v/>
      </c>
      <c r="J7" s="28" t="inlineStr"/>
    </row>
    <row r="8">
      <c r="B8" s="14" t="inlineStr">
        <is>
          <t>Tramo 0+002.00 - 0+002.74 (normal)</t>
        </is>
      </c>
      <c r="D8" s="26" t="n"/>
      <c r="E8" s="26" t="n"/>
      <c r="F8" s="26" t="n"/>
      <c r="G8" s="26" t="n"/>
      <c r="H8" s="27">
        <f>TRAMOS!Q6</f>
        <v/>
      </c>
      <c r="J8" s="28" t="inlineStr"/>
    </row>
    <row r="9">
      <c r="B9" s="14" t="inlineStr">
        <is>
          <t>Tramo 0+002.74 - 0+004.00 (cruce de autos)</t>
        </is>
      </c>
      <c r="D9" s="26" t="n"/>
      <c r="E9" s="26" t="n"/>
      <c r="F9" s="26" t="n"/>
      <c r="G9" s="26" t="n"/>
      <c r="H9" s="27">
        <f>TRAMOS!Q7</f>
        <v/>
      </c>
      <c r="J9" s="28" t="inlineStr"/>
    </row>
    <row r="10">
      <c r="B10" s="14" t="inlineStr">
        <is>
          <t>Tramo 0+004.00 - 0+006.00 (cruce de autos)</t>
        </is>
      </c>
      <c r="D10" s="26" t="n"/>
      <c r="E10" s="26" t="n"/>
      <c r="F10" s="26" t="n"/>
      <c r="G10" s="26" t="n"/>
      <c r="H10" s="27">
        <f>TRAMOS!Q8</f>
        <v/>
      </c>
      <c r="J10" s="28" t="inlineStr"/>
    </row>
    <row r="11">
      <c r="B11" s="14" t="inlineStr">
        <is>
          <t>Tramo 0+006.00 - 0+008.00 (cruce de autos)</t>
        </is>
      </c>
      <c r="D11" s="26" t="n"/>
      <c r="E11" s="26" t="n"/>
      <c r="F11" s="26" t="n"/>
      <c r="G11" s="26" t="n"/>
      <c r="H11" s="27">
        <f>TRAMOS!Q9</f>
        <v/>
      </c>
      <c r="J11" s="28" t="inlineStr"/>
    </row>
    <row r="12">
      <c r="B12" s="14" t="inlineStr">
        <is>
          <t>Tramo 0+008.00 - 0+010.00 (cruce de autos)</t>
        </is>
      </c>
      <c r="D12" s="26" t="n"/>
      <c r="E12" s="26" t="n"/>
      <c r="F12" s="26" t="n"/>
      <c r="G12" s="26" t="n"/>
      <c r="H12" s="27">
        <f>TRAMOS!Q10</f>
        <v/>
      </c>
      <c r="J12" s="28" t="inlineStr"/>
    </row>
    <row r="13">
      <c r="B13" s="14" t="inlineStr">
        <is>
          <t>Tramo 0+010.00 - 0+012.00 (cruce de autos)</t>
        </is>
      </c>
      <c r="D13" s="26" t="n"/>
      <c r="E13" s="26" t="n"/>
      <c r="F13" s="26" t="n"/>
      <c r="G13" s="26" t="n"/>
      <c r="H13" s="27">
        <f>TRAMOS!Q11</f>
        <v/>
      </c>
      <c r="J13" s="28" t="inlineStr"/>
    </row>
    <row r="14">
      <c r="B14" s="14" t="inlineStr">
        <is>
          <t>Tramo 0+012.00 - 0+014.00 (cruce de autos)</t>
        </is>
      </c>
      <c r="D14" s="26" t="n"/>
      <c r="E14" s="26" t="n"/>
      <c r="F14" s="26" t="n"/>
      <c r="G14" s="26" t="n"/>
      <c r="H14" s="27">
        <f>TRAMOS!Q12</f>
        <v/>
      </c>
      <c r="J14" s="28" t="inlineStr"/>
    </row>
    <row r="15">
      <c r="B15" s="14" t="inlineStr">
        <is>
          <t>Tramo 0+014.00 - 0+016.00 (cruce de autos)</t>
        </is>
      </c>
      <c r="D15" s="26" t="n"/>
      <c r="E15" s="26" t="n"/>
      <c r="F15" s="26" t="n"/>
      <c r="G15" s="26" t="n"/>
      <c r="H15" s="27">
        <f>TRAMOS!Q13</f>
        <v/>
      </c>
      <c r="J15" s="28" t="inlineStr"/>
    </row>
    <row r="16">
      <c r="B16" s="14" t="inlineStr">
        <is>
          <t>Tramo 0+016.00 - 0+018.00 (cruce de autos)</t>
        </is>
      </c>
      <c r="D16" s="26" t="n"/>
      <c r="E16" s="26" t="n"/>
      <c r="F16" s="26" t="n"/>
      <c r="G16" s="26" t="n"/>
      <c r="H16" s="27">
        <f>TRAMOS!Q14</f>
        <v/>
      </c>
      <c r="J16" s="28" t="inlineStr"/>
    </row>
    <row r="17">
      <c r="B17" s="14" t="inlineStr">
        <is>
          <t>Tramo 0+018.00 - 0+018.45 (cruce de autos)</t>
        </is>
      </c>
      <c r="D17" s="26" t="n"/>
      <c r="E17" s="26" t="n"/>
      <c r="F17" s="26" t="n"/>
      <c r="G17" s="26" t="n"/>
      <c r="H17" s="27">
        <f>TRAMOS!Q15</f>
        <v/>
      </c>
      <c r="J17" s="28" t="inlineStr"/>
    </row>
    <row r="18">
      <c r="B18" s="14" t="inlineStr">
        <is>
          <t>Tramo 0+018.45 - 0+020.00 (normal)</t>
        </is>
      </c>
      <c r="D18" s="26" t="n"/>
      <c r="E18" s="26" t="n"/>
      <c r="F18" s="26" t="n"/>
      <c r="G18" s="26" t="n"/>
      <c r="H18" s="27">
        <f>TRAMOS!Q16</f>
        <v/>
      </c>
      <c r="J18" s="28" t="inlineStr"/>
    </row>
    <row r="19">
      <c r="B19" s="14" t="inlineStr">
        <is>
          <t>Tramo 0+020.00 - 0+022.00 (normal)</t>
        </is>
      </c>
      <c r="D19" s="26" t="n"/>
      <c r="E19" s="26" t="n"/>
      <c r="F19" s="26" t="n"/>
      <c r="G19" s="26" t="n"/>
      <c r="H19" s="27">
        <f>TRAMOS!Q17</f>
        <v/>
      </c>
      <c r="J19" s="28" t="inlineStr"/>
    </row>
    <row r="20">
      <c r="B20" s="14" t="inlineStr">
        <is>
          <t>Tramo 0+022.00 - 0+024.00 (normal)</t>
        </is>
      </c>
      <c r="D20" s="26" t="n"/>
      <c r="E20" s="26" t="n"/>
      <c r="F20" s="26" t="n"/>
      <c r="G20" s="26" t="n"/>
      <c r="H20" s="27">
        <f>TRAMOS!Q18</f>
        <v/>
      </c>
      <c r="J20" s="28" t="inlineStr"/>
    </row>
    <row r="21">
      <c r="B21" s="14" t="inlineStr">
        <is>
          <t>Tramo 0+024.00 - 0+026.00 (normal)</t>
        </is>
      </c>
      <c r="D21" s="26" t="n"/>
      <c r="E21" s="26" t="n"/>
      <c r="F21" s="26" t="n"/>
      <c r="G21" s="26" t="n"/>
      <c r="H21" s="27">
        <f>TRAMOS!Q19</f>
        <v/>
      </c>
      <c r="J21" s="28" t="inlineStr"/>
    </row>
    <row r="22">
      <c r="B22" s="14" t="inlineStr">
        <is>
          <t>Tramo 0+026.00 - 0+028.00 (normal)</t>
        </is>
      </c>
      <c r="D22" s="26" t="n"/>
      <c r="E22" s="26" t="n"/>
      <c r="F22" s="26" t="n"/>
      <c r="G22" s="26" t="n"/>
      <c r="H22" s="27">
        <f>TRAMOS!Q20</f>
        <v/>
      </c>
      <c r="J22" s="28" t="inlineStr"/>
    </row>
    <row r="23">
      <c r="B23" s="14" t="inlineStr">
        <is>
          <t>Tramo 0+028.00 - 0+030.00 (normal)</t>
        </is>
      </c>
      <c r="D23" s="26" t="n"/>
      <c r="E23" s="26" t="n"/>
      <c r="F23" s="26" t="n"/>
      <c r="G23" s="26" t="n"/>
      <c r="H23" s="27">
        <f>TRAMOS!Q21</f>
        <v/>
      </c>
      <c r="J23" s="28" t="inlineStr"/>
    </row>
    <row r="24">
      <c r="B24" s="14" t="inlineStr">
        <is>
          <t>Tramo 0+030.00 - 0+032.00 (normal)</t>
        </is>
      </c>
      <c r="D24" s="26" t="n"/>
      <c r="E24" s="26" t="n"/>
      <c r="F24" s="26" t="n"/>
      <c r="G24" s="26" t="n"/>
      <c r="H24" s="27">
        <f>TRAMOS!Q22</f>
        <v/>
      </c>
      <c r="J24" s="28" t="inlineStr"/>
    </row>
    <row r="25">
      <c r="B25" s="14" t="inlineStr">
        <is>
          <t>Tramo 0+032.00 - 0+034.00 (normal)</t>
        </is>
      </c>
      <c r="D25" s="26" t="n"/>
      <c r="E25" s="26" t="n"/>
      <c r="F25" s="26" t="n"/>
      <c r="G25" s="26" t="n"/>
      <c r="H25" s="27">
        <f>TRAMOS!Q23</f>
        <v/>
      </c>
      <c r="J25" s="28" t="inlineStr"/>
    </row>
    <row r="26">
      <c r="B26" s="14" t="inlineStr">
        <is>
          <t>Tramo 0+034.00 - 0+035.04 (normal)</t>
        </is>
      </c>
      <c r="D26" s="26" t="n"/>
      <c r="E26" s="26" t="n"/>
      <c r="F26" s="26" t="n"/>
      <c r="G26" s="26" t="n"/>
      <c r="H26" s="27">
        <f>TRAMOS!Q24</f>
        <v/>
      </c>
      <c r="J26" s="28" t="inlineStr"/>
    </row>
    <row r="27">
      <c r="B27" s="14" t="inlineStr">
        <is>
          <t>Tramo 0+035.04 - 0+036.00 (cruce de autos)</t>
        </is>
      </c>
      <c r="D27" s="26" t="n"/>
      <c r="E27" s="26" t="n"/>
      <c r="F27" s="26" t="n"/>
      <c r="G27" s="26" t="n"/>
      <c r="H27" s="27">
        <f>TRAMOS!Q25</f>
        <v/>
      </c>
      <c r="J27" s="28" t="inlineStr"/>
    </row>
    <row r="28">
      <c r="B28" s="14" t="inlineStr">
        <is>
          <t>Tramo 0+036.00 - 0+038.00 (cruce de autos)</t>
        </is>
      </c>
      <c r="D28" s="26" t="n"/>
      <c r="E28" s="26" t="n"/>
      <c r="F28" s="26" t="n"/>
      <c r="G28" s="26" t="n"/>
      <c r="H28" s="27">
        <f>TRAMOS!Q26</f>
        <v/>
      </c>
      <c r="J28" s="28" t="inlineStr"/>
    </row>
    <row r="29">
      <c r="B29" s="14" t="inlineStr">
        <is>
          <t>Tramo 0+038.00 - 0+040.00 (cruce de autos)</t>
        </is>
      </c>
      <c r="D29" s="26" t="n"/>
      <c r="E29" s="26" t="n"/>
      <c r="F29" s="26" t="n"/>
      <c r="G29" s="26" t="n"/>
      <c r="H29" s="27">
        <f>TRAMOS!Q27</f>
        <v/>
      </c>
      <c r="J29" s="28" t="inlineStr"/>
    </row>
    <row r="30">
      <c r="B30" s="14" t="inlineStr">
        <is>
          <t>Tramo 0+040.00 - 0+042.00 (cruce de autos)</t>
        </is>
      </c>
      <c r="D30" s="26" t="n"/>
      <c r="E30" s="26" t="n"/>
      <c r="F30" s="26" t="n"/>
      <c r="G30" s="26" t="n"/>
      <c r="H30" s="27">
        <f>TRAMOS!Q28</f>
        <v/>
      </c>
      <c r="J30" s="28" t="inlineStr"/>
    </row>
    <row r="31">
      <c r="B31" s="14" t="inlineStr">
        <is>
          <t>Tramo 0+042.00 - 0+044.00 (cruce de autos)</t>
        </is>
      </c>
      <c r="D31" s="26" t="n"/>
      <c r="E31" s="26" t="n"/>
      <c r="F31" s="26" t="n"/>
      <c r="G31" s="26" t="n"/>
      <c r="H31" s="27">
        <f>TRAMOS!Q29</f>
        <v/>
      </c>
      <c r="J31" s="28" t="inlineStr"/>
    </row>
    <row r="32">
      <c r="B32" s="14" t="inlineStr">
        <is>
          <t>Tramo 0+044.00 - 0+046.00 (cruce de autos)</t>
        </is>
      </c>
      <c r="D32" s="26" t="n"/>
      <c r="E32" s="26" t="n"/>
      <c r="F32" s="26" t="n"/>
      <c r="G32" s="26" t="n"/>
      <c r="H32" s="27">
        <f>TRAMOS!Q30</f>
        <v/>
      </c>
      <c r="J32" s="28" t="inlineStr"/>
    </row>
    <row r="33">
      <c r="B33" s="14" t="inlineStr">
        <is>
          <t>Tramo 0+046.00 - 0+048.00 (cruce de autos)</t>
        </is>
      </c>
      <c r="D33" s="26" t="n"/>
      <c r="E33" s="26" t="n"/>
      <c r="F33" s="26" t="n"/>
      <c r="G33" s="26" t="n"/>
      <c r="H33" s="27">
        <f>TRAMOS!Q31</f>
        <v/>
      </c>
      <c r="J33" s="28" t="inlineStr"/>
    </row>
    <row r="34">
      <c r="B34" s="14" t="inlineStr">
        <is>
          <t>Tramo 0+048.00 - 0+050.00 (cruce de autos)</t>
        </is>
      </c>
      <c r="D34" s="26" t="n"/>
      <c r="E34" s="26" t="n"/>
      <c r="F34" s="26" t="n"/>
      <c r="G34" s="26" t="n"/>
      <c r="H34" s="27">
        <f>TRAMOS!Q32</f>
        <v/>
      </c>
      <c r="J34" s="28" t="inlineStr"/>
    </row>
    <row r="35">
      <c r="B35" s="14" t="inlineStr">
        <is>
          <t>Tramo 0+050.00 - 0+051.86 (cruce de autos)</t>
        </is>
      </c>
      <c r="D35" s="26" t="n"/>
      <c r="E35" s="26" t="n"/>
      <c r="F35" s="26" t="n"/>
      <c r="G35" s="26" t="n"/>
      <c r="H35" s="27">
        <f>TRAMOS!Q33</f>
        <v/>
      </c>
      <c r="J35" s="28" t="inlineStr"/>
    </row>
    <row r="36">
      <c r="B36" s="14" t="inlineStr">
        <is>
          <t>Tramo 0+051.86 - 0+052.00 (normal)</t>
        </is>
      </c>
      <c r="D36" s="26" t="n"/>
      <c r="E36" s="26" t="n"/>
      <c r="F36" s="26" t="n"/>
      <c r="G36" s="26" t="n"/>
      <c r="H36" s="27">
        <f>TRAMOS!Q34</f>
        <v/>
      </c>
      <c r="J36" s="28" t="inlineStr"/>
    </row>
    <row r="37">
      <c r="B37" s="14" t="inlineStr">
        <is>
          <t>Tramo 0+052.00 - 0+054.00 (normal)</t>
        </is>
      </c>
      <c r="D37" s="26" t="n"/>
      <c r="E37" s="26" t="n"/>
      <c r="F37" s="26" t="n"/>
      <c r="G37" s="26" t="n"/>
      <c r="H37" s="27">
        <f>TRAMOS!Q35</f>
        <v/>
      </c>
      <c r="J37" s="28" t="inlineStr"/>
    </row>
    <row r="38">
      <c r="B38" s="14" t="inlineStr">
        <is>
          <t>Tramo 0+054.00 - 0+056.00 (cruce de camiones)</t>
        </is>
      </c>
      <c r="D38" s="26" t="n"/>
      <c r="E38" s="26" t="n"/>
      <c r="F38" s="26" t="n"/>
      <c r="G38" s="26" t="n"/>
      <c r="H38" s="27">
        <f>TRAMOS!Q36</f>
        <v/>
      </c>
      <c r="J38" s="28" t="inlineStr"/>
    </row>
    <row r="39">
      <c r="B39" s="14" t="inlineStr">
        <is>
          <t>Tramo 0+056.00 - 0+058.00 (cruce de camiones)</t>
        </is>
      </c>
      <c r="D39" s="26" t="n"/>
      <c r="E39" s="26" t="n"/>
      <c r="F39" s="26" t="n"/>
      <c r="G39" s="26" t="n"/>
      <c r="H39" s="27">
        <f>TRAMOS!Q37</f>
        <v/>
      </c>
      <c r="J39" s="28" t="inlineStr"/>
    </row>
    <row r="40">
      <c r="B40" s="14" t="inlineStr">
        <is>
          <t>Tramo 0+058.00 - 0+060.00 (cruce de camiones)</t>
        </is>
      </c>
      <c r="D40" s="26" t="n"/>
      <c r="E40" s="26" t="n"/>
      <c r="F40" s="26" t="n"/>
      <c r="G40" s="26" t="n"/>
      <c r="H40" s="27">
        <f>TRAMOS!Q38</f>
        <v/>
      </c>
      <c r="J40" s="28" t="inlineStr"/>
    </row>
    <row r="41">
      <c r="B41" s="14" t="inlineStr">
        <is>
          <t>Tramo 0+060.00 - 0+062.00 (normal)</t>
        </is>
      </c>
      <c r="D41" s="26" t="n"/>
      <c r="E41" s="26" t="n"/>
      <c r="F41" s="26" t="n"/>
      <c r="G41" s="26" t="n"/>
      <c r="H41" s="27">
        <f>TRAMOS!Q39</f>
        <v/>
      </c>
      <c r="J41" s="28" t="inlineStr"/>
    </row>
    <row r="42">
      <c r="B42" s="14" t="inlineStr">
        <is>
          <t>Tramo 0+062.00 - 0+064.00 (normal)</t>
        </is>
      </c>
      <c r="D42" s="26" t="n"/>
      <c r="E42" s="26" t="n"/>
      <c r="F42" s="26" t="n"/>
      <c r="G42" s="26" t="n"/>
      <c r="H42" s="27">
        <f>TRAMOS!Q40</f>
        <v/>
      </c>
      <c r="J42" s="28" t="inlineStr"/>
    </row>
    <row r="43">
      <c r="B43" s="14" t="inlineStr">
        <is>
          <t>Tramo 0+064.00 - 0+066.00 (normal)</t>
        </is>
      </c>
      <c r="D43" s="26" t="n"/>
      <c r="E43" s="26" t="n"/>
      <c r="F43" s="26" t="n"/>
      <c r="G43" s="26" t="n"/>
      <c r="H43" s="27">
        <f>TRAMOS!Q41</f>
        <v/>
      </c>
      <c r="J43" s="28" t="inlineStr"/>
    </row>
    <row r="44">
      <c r="B44" s="14" t="inlineStr">
        <is>
          <t>Tramo 0+066.00 - 0+068.00 (normal)</t>
        </is>
      </c>
      <c r="D44" s="26" t="n"/>
      <c r="E44" s="26" t="n"/>
      <c r="F44" s="26" t="n"/>
      <c r="G44" s="26" t="n"/>
      <c r="H44" s="27">
        <f>TRAMOS!Q42</f>
        <v/>
      </c>
      <c r="J44" s="28" t="inlineStr"/>
    </row>
    <row r="45">
      <c r="B45" s="14" t="inlineStr">
        <is>
          <t>Tramo 0+068.00 - 0+070.00 (normal)</t>
        </is>
      </c>
      <c r="D45" s="26" t="n"/>
      <c r="E45" s="26" t="n"/>
      <c r="F45" s="26" t="n"/>
      <c r="G45" s="26" t="n"/>
      <c r="H45" s="27">
        <f>TRAMOS!Q43</f>
        <v/>
      </c>
      <c r="J45" s="28" t="inlineStr"/>
    </row>
    <row r="46">
      <c r="B46" s="14" t="inlineStr">
        <is>
          <t>Tramo 0+070.00 - 0+072.00 (normal)</t>
        </is>
      </c>
      <c r="D46" s="26" t="n"/>
      <c r="E46" s="26" t="n"/>
      <c r="F46" s="26" t="n"/>
      <c r="G46" s="26" t="n"/>
      <c r="H46" s="27">
        <f>TRAMOS!Q44</f>
        <v/>
      </c>
      <c r="J46" s="28" t="inlineStr"/>
    </row>
    <row r="47">
      <c r="B47" s="14" t="inlineStr">
        <is>
          <t>Tramo 0+072.00 - 0+074.00 (normal)</t>
        </is>
      </c>
      <c r="D47" s="26" t="n"/>
      <c r="E47" s="26" t="n"/>
      <c r="F47" s="26" t="n"/>
      <c r="G47" s="26" t="n"/>
      <c r="H47" s="27">
        <f>TRAMOS!Q45</f>
        <v/>
      </c>
      <c r="J47" s="28" t="inlineStr"/>
    </row>
    <row r="48">
      <c r="B48" s="14" t="inlineStr">
        <is>
          <t>Tramo 0+074.00 - 0+076.00 (normal)</t>
        </is>
      </c>
      <c r="D48" s="26" t="n"/>
      <c r="E48" s="26" t="n"/>
      <c r="F48" s="26" t="n"/>
      <c r="G48" s="26" t="n"/>
      <c r="H48" s="27">
        <f>TRAMOS!Q46</f>
        <v/>
      </c>
      <c r="J48" s="28" t="inlineStr"/>
    </row>
    <row r="49">
      <c r="B49" s="14" t="inlineStr">
        <is>
          <t>Tramo 0+076.00 - 0+078.00 (normal)</t>
        </is>
      </c>
      <c r="D49" s="26" t="n"/>
      <c r="E49" s="26" t="n"/>
      <c r="F49" s="26" t="n"/>
      <c r="G49" s="26" t="n"/>
      <c r="H49" s="27">
        <f>TRAMOS!Q47</f>
        <v/>
      </c>
      <c r="J49" s="28" t="inlineStr"/>
    </row>
    <row r="50">
      <c r="B50" s="14" t="inlineStr">
        <is>
          <t>Tramo 0+078.00 - 0+078.42 (normal)</t>
        </is>
      </c>
      <c r="D50" s="26" t="n"/>
      <c r="E50" s="26" t="n"/>
      <c r="F50" s="26" t="n"/>
      <c r="G50" s="26" t="n"/>
      <c r="H50" s="27">
        <f>TRAMOS!Q48</f>
        <v/>
      </c>
      <c r="J50" s="28" t="inlineStr"/>
    </row>
    <row r="51">
      <c r="B51" s="14" t="inlineStr">
        <is>
          <t>Tramo 0+078.42 - 0+080.00 (normal)</t>
        </is>
      </c>
      <c r="D51" s="26" t="n"/>
      <c r="E51" s="26" t="n"/>
      <c r="F51" s="26" t="n"/>
      <c r="G51" s="26" t="n"/>
      <c r="H51" s="27">
        <f>TRAMOS!Q49</f>
        <v/>
      </c>
      <c r="J51" s="28" t="inlineStr"/>
    </row>
    <row r="52">
      <c r="B52" s="14" t="inlineStr">
        <is>
          <t>Tramo 0+080.00 - 0+082.00 (normal)</t>
        </is>
      </c>
      <c r="D52" s="26" t="n"/>
      <c r="E52" s="26" t="n"/>
      <c r="F52" s="26" t="n"/>
      <c r="G52" s="26" t="n"/>
      <c r="H52" s="27">
        <f>TRAMOS!Q50</f>
        <v/>
      </c>
      <c r="J52" s="28" t="inlineStr"/>
    </row>
    <row r="53">
      <c r="B53" s="14" t="inlineStr">
        <is>
          <t>Tramo 0+082.00 - 0+084.00 (normal)</t>
        </is>
      </c>
      <c r="D53" s="26" t="n"/>
      <c r="E53" s="26" t="n"/>
      <c r="F53" s="26" t="n"/>
      <c r="G53" s="26" t="n"/>
      <c r="H53" s="27">
        <f>TRAMOS!Q51</f>
        <v/>
      </c>
      <c r="J53" s="28" t="inlineStr"/>
    </row>
    <row r="54">
      <c r="B54" s="14" t="inlineStr">
        <is>
          <t>Tramo 0+084.00 - 0+086.00 (normal)</t>
        </is>
      </c>
      <c r="D54" s="26" t="n"/>
      <c r="E54" s="26" t="n"/>
      <c r="F54" s="26" t="n"/>
      <c r="G54" s="26" t="n"/>
      <c r="H54" s="27">
        <f>TRAMOS!Q52</f>
        <v/>
      </c>
      <c r="J54" s="28" t="inlineStr"/>
    </row>
    <row r="55">
      <c r="B55" s="14" t="inlineStr">
        <is>
          <t>Tramo 0+086.00 - 0+088.00 (normal)</t>
        </is>
      </c>
      <c r="D55" s="26" t="n"/>
      <c r="E55" s="26" t="n"/>
      <c r="F55" s="26" t="n"/>
      <c r="G55" s="26" t="n"/>
      <c r="H55" s="27">
        <f>TRAMOS!Q53</f>
        <v/>
      </c>
      <c r="J55" s="28" t="inlineStr"/>
    </row>
    <row r="56">
      <c r="B56" s="14" t="inlineStr">
        <is>
          <t>Tramo 0+088.00 - 0+090.00 (normal)</t>
        </is>
      </c>
      <c r="D56" s="26" t="n"/>
      <c r="E56" s="26" t="n"/>
      <c r="F56" s="26" t="n"/>
      <c r="G56" s="26" t="n"/>
      <c r="H56" s="27">
        <f>TRAMOS!Q54</f>
        <v/>
      </c>
      <c r="J56" s="28" t="inlineStr"/>
    </row>
    <row r="57">
      <c r="B57" s="14" t="inlineStr">
        <is>
          <t>Tramo 0+090.00 - 0+092.00 (normal)</t>
        </is>
      </c>
      <c r="D57" s="26" t="n"/>
      <c r="E57" s="26" t="n"/>
      <c r="F57" s="26" t="n"/>
      <c r="G57" s="26" t="n"/>
      <c r="H57" s="27">
        <f>TRAMOS!Q55</f>
        <v/>
      </c>
      <c r="J57" s="28" t="inlineStr"/>
    </row>
    <row r="58">
      <c r="B58" s="14" t="inlineStr">
        <is>
          <t>Tramo 0+092.00 - 0+094.00 (normal)</t>
        </is>
      </c>
      <c r="D58" s="26" t="n"/>
      <c r="E58" s="26" t="n"/>
      <c r="F58" s="26" t="n"/>
      <c r="G58" s="26" t="n"/>
      <c r="H58" s="27">
        <f>TRAMOS!Q56</f>
        <v/>
      </c>
      <c r="J58" s="28" t="inlineStr"/>
    </row>
    <row r="59">
      <c r="B59" s="14" t="inlineStr">
        <is>
          <t>Tramo 0+094.00 - 0+096.00 (normal)</t>
        </is>
      </c>
      <c r="D59" s="26" t="n"/>
      <c r="E59" s="26" t="n"/>
      <c r="F59" s="26" t="n"/>
      <c r="G59" s="26" t="n"/>
      <c r="H59" s="27">
        <f>TRAMOS!Q57</f>
        <v/>
      </c>
      <c r="J59" s="28" t="inlineStr"/>
    </row>
    <row r="60">
      <c r="B60" s="14" t="inlineStr">
        <is>
          <t>Tramo 0+096.00 - 0+098.00 (normal)</t>
        </is>
      </c>
      <c r="D60" s="26" t="n"/>
      <c r="E60" s="26" t="n"/>
      <c r="F60" s="26" t="n"/>
      <c r="G60" s="26" t="n"/>
      <c r="H60" s="27">
        <f>TRAMOS!Q58</f>
        <v/>
      </c>
      <c r="J60" s="28" t="inlineStr"/>
    </row>
    <row r="61">
      <c r="B61" s="14" t="inlineStr">
        <is>
          <t>Tramo 0+098.00 - 0+100.00 (normal)</t>
        </is>
      </c>
      <c r="D61" s="26" t="n"/>
      <c r="E61" s="26" t="n"/>
      <c r="F61" s="26" t="n"/>
      <c r="G61" s="26" t="n"/>
      <c r="H61" s="27">
        <f>TRAMOS!Q59</f>
        <v/>
      </c>
      <c r="J61" s="28" t="inlineStr"/>
    </row>
    <row r="62">
      <c r="B62" s="14" t="inlineStr">
        <is>
          <t>Tramo 0+100.00 - 0+102.00 (normal)</t>
        </is>
      </c>
      <c r="D62" s="26" t="n"/>
      <c r="E62" s="26" t="n"/>
      <c r="F62" s="26" t="n"/>
      <c r="G62" s="26" t="n"/>
      <c r="H62" s="27">
        <f>TRAMOS!Q60</f>
        <v/>
      </c>
      <c r="J62" s="28" t="inlineStr"/>
    </row>
    <row r="63">
      <c r="B63" s="14" t="inlineStr">
        <is>
          <t>Tramo 0+102.00 - 0+104.00 (normal)</t>
        </is>
      </c>
      <c r="D63" s="26" t="n"/>
      <c r="E63" s="26" t="n"/>
      <c r="F63" s="26" t="n"/>
      <c r="G63" s="26" t="n"/>
      <c r="H63" s="27">
        <f>TRAMOS!Q61</f>
        <v/>
      </c>
      <c r="J63" s="28" t="inlineStr"/>
    </row>
    <row r="64">
      <c r="B64" s="14" t="inlineStr">
        <is>
          <t>Tramo 0+104.00 - 0+106.00 (normal)</t>
        </is>
      </c>
      <c r="D64" s="26" t="n"/>
      <c r="E64" s="26" t="n"/>
      <c r="F64" s="26" t="n"/>
      <c r="G64" s="26" t="n"/>
      <c r="H64" s="27">
        <f>TRAMOS!Q62</f>
        <v/>
      </c>
      <c r="J64" s="28" t="inlineStr"/>
    </row>
    <row r="65">
      <c r="B65" s="14" t="inlineStr">
        <is>
          <t>Tramo 0+106.00 - 0+108.00 (normal)</t>
        </is>
      </c>
      <c r="D65" s="26" t="n"/>
      <c r="E65" s="26" t="n"/>
      <c r="F65" s="26" t="n"/>
      <c r="G65" s="26" t="n"/>
      <c r="H65" s="27">
        <f>TRAMOS!Q63</f>
        <v/>
      </c>
      <c r="J65" s="28" t="inlineStr"/>
    </row>
    <row r="66">
      <c r="B66" s="14" t="inlineStr">
        <is>
          <t>Tramo 0+108.00 - 0+110.00 (normal)</t>
        </is>
      </c>
      <c r="D66" s="26" t="n"/>
      <c r="E66" s="26" t="n"/>
      <c r="F66" s="26" t="n"/>
      <c r="G66" s="26" t="n"/>
      <c r="H66" s="27">
        <f>TRAMOS!Q64</f>
        <v/>
      </c>
      <c r="J66" s="28" t="inlineStr"/>
    </row>
    <row r="67">
      <c r="B67" s="14" t="inlineStr">
        <is>
          <t>Tramo 0+110.00 - 0+112.00 (normal)</t>
        </is>
      </c>
      <c r="D67" s="26" t="n"/>
      <c r="E67" s="26" t="n"/>
      <c r="F67" s="26" t="n"/>
      <c r="G67" s="26" t="n"/>
      <c r="H67" s="27">
        <f>TRAMOS!Q65</f>
        <v/>
      </c>
      <c r="J67" s="28" t="inlineStr"/>
    </row>
    <row r="68">
      <c r="B68" s="14" t="inlineStr">
        <is>
          <t>Tramo 0+112.00 - 0+114.00 (normal)</t>
        </is>
      </c>
      <c r="D68" s="26" t="n"/>
      <c r="E68" s="26" t="n"/>
      <c r="F68" s="26" t="n"/>
      <c r="G68" s="26" t="n"/>
      <c r="H68" s="27">
        <f>TRAMOS!Q66</f>
        <v/>
      </c>
      <c r="J68" s="28" t="inlineStr"/>
    </row>
    <row r="69">
      <c r="B69" s="14" t="inlineStr">
        <is>
          <t>Tramo 0+114.00 - 0+116.00 (normal)</t>
        </is>
      </c>
      <c r="D69" s="26" t="n"/>
      <c r="E69" s="26" t="n"/>
      <c r="F69" s="26" t="n"/>
      <c r="G69" s="26" t="n"/>
      <c r="H69" s="27">
        <f>TRAMOS!Q67</f>
        <v/>
      </c>
      <c r="J69" s="28" t="inlineStr"/>
    </row>
    <row r="70">
      <c r="B70" s="14" t="inlineStr">
        <is>
          <t>Tramo 0+116.00 - 0+118.00 (normal)</t>
        </is>
      </c>
      <c r="D70" s="26" t="n"/>
      <c r="E70" s="26" t="n"/>
      <c r="F70" s="26" t="n"/>
      <c r="G70" s="26" t="n"/>
      <c r="H70" s="27">
        <f>TRAMOS!Q68</f>
        <v/>
      </c>
      <c r="J70" s="28" t="inlineStr"/>
    </row>
    <row r="71">
      <c r="B71" s="14" t="inlineStr">
        <is>
          <t>Tramo 0+118.00 - 0+120.00 (normal)</t>
        </is>
      </c>
      <c r="D71" s="26" t="n"/>
      <c r="E71" s="26" t="n"/>
      <c r="F71" s="26" t="n"/>
      <c r="G71" s="26" t="n"/>
      <c r="H71" s="27">
        <f>TRAMOS!Q69</f>
        <v/>
      </c>
      <c r="J71" s="28" t="inlineStr"/>
    </row>
    <row r="72">
      <c r="B72" s="14" t="inlineStr">
        <is>
          <t>Tramo 0+120.00 - 0+122.00 (normal)</t>
        </is>
      </c>
      <c r="D72" s="26" t="n"/>
      <c r="E72" s="26" t="n"/>
      <c r="F72" s="26" t="n"/>
      <c r="G72" s="26" t="n"/>
      <c r="H72" s="27">
        <f>TRAMOS!Q70</f>
        <v/>
      </c>
      <c r="J72" s="28" t="inlineStr"/>
    </row>
    <row r="73">
      <c r="B73" s="14" t="inlineStr">
        <is>
          <t>Tramo 0+122.00 - 0+124.00 (normal)</t>
        </is>
      </c>
      <c r="D73" s="26" t="n"/>
      <c r="E73" s="26" t="n"/>
      <c r="F73" s="26" t="n"/>
      <c r="G73" s="26" t="n"/>
      <c r="H73" s="27">
        <f>TRAMOS!Q71</f>
        <v/>
      </c>
      <c r="J73" s="28" t="inlineStr"/>
    </row>
    <row r="74">
      <c r="B74" s="14" t="inlineStr">
        <is>
          <t>Tramo 0+124.00 - 0+126.00 (normal)</t>
        </is>
      </c>
      <c r="D74" s="26" t="n"/>
      <c r="E74" s="26" t="n"/>
      <c r="F74" s="26" t="n"/>
      <c r="G74" s="26" t="n"/>
      <c r="H74" s="27">
        <f>TRAMOS!Q72</f>
        <v/>
      </c>
      <c r="J74" s="28" t="inlineStr"/>
    </row>
    <row r="75">
      <c r="B75" s="14" t="inlineStr">
        <is>
          <t>Tramo 0+126.00 - 0+128.00 (normal)</t>
        </is>
      </c>
      <c r="D75" s="26" t="n"/>
      <c r="E75" s="26" t="n"/>
      <c r="F75" s="26" t="n"/>
      <c r="G75" s="26" t="n"/>
      <c r="H75" s="27">
        <f>TRAMOS!Q73</f>
        <v/>
      </c>
      <c r="J75" s="28" t="inlineStr"/>
    </row>
    <row r="76">
      <c r="B76" s="14" t="inlineStr">
        <is>
          <t>Tramo 0+128.00 - 0+130.00 (normal)</t>
        </is>
      </c>
      <c r="D76" s="26" t="n"/>
      <c r="E76" s="26" t="n"/>
      <c r="F76" s="26" t="n"/>
      <c r="G76" s="26" t="n"/>
      <c r="H76" s="27">
        <f>TRAMOS!Q74</f>
        <v/>
      </c>
      <c r="J76" s="28" t="inlineStr"/>
    </row>
    <row r="77">
      <c r="B77" s="14" t="inlineStr">
        <is>
          <t>Tramo 0+130.00 - 0+132.00 (normal)</t>
        </is>
      </c>
      <c r="D77" s="26" t="n"/>
      <c r="E77" s="26" t="n"/>
      <c r="F77" s="26" t="n"/>
      <c r="G77" s="26" t="n"/>
      <c r="H77" s="27">
        <f>TRAMOS!Q75</f>
        <v/>
      </c>
      <c r="J77" s="28" t="inlineStr"/>
    </row>
    <row r="78">
      <c r="B78" s="14" t="inlineStr">
        <is>
          <t>Tramo 0+132.00 - 0+134.00 (normal)</t>
        </is>
      </c>
      <c r="D78" s="26" t="n"/>
      <c r="E78" s="26" t="n"/>
      <c r="F78" s="26" t="n"/>
      <c r="G78" s="26" t="n"/>
      <c r="H78" s="27">
        <f>TRAMOS!Q76</f>
        <v/>
      </c>
      <c r="J78" s="28" t="inlineStr"/>
    </row>
    <row r="79">
      <c r="B79" s="14" t="inlineStr">
        <is>
          <t>Tramo 0+134.00 - 0+136.00 (normal)</t>
        </is>
      </c>
      <c r="D79" s="26" t="n"/>
      <c r="E79" s="26" t="n"/>
      <c r="F79" s="26" t="n"/>
      <c r="G79" s="26" t="n"/>
      <c r="H79" s="27">
        <f>TRAMOS!Q77</f>
        <v/>
      </c>
      <c r="J79" s="28" t="inlineStr"/>
    </row>
    <row r="80">
      <c r="B80" s="14" t="inlineStr">
        <is>
          <t>Tramo 0+136.00 - 0+138.00 (normal)</t>
        </is>
      </c>
      <c r="D80" s="26" t="n"/>
      <c r="E80" s="26" t="n"/>
      <c r="F80" s="26" t="n"/>
      <c r="G80" s="26" t="n"/>
      <c r="H80" s="27">
        <f>TRAMOS!Q78</f>
        <v/>
      </c>
      <c r="J80" s="28" t="inlineStr"/>
    </row>
    <row r="81">
      <c r="B81" s="14" t="inlineStr">
        <is>
          <t>Tramo 0+138.00 - 0+139.08 (normal)</t>
        </is>
      </c>
      <c r="D81" s="26" t="n"/>
      <c r="E81" s="26" t="n"/>
      <c r="F81" s="26" t="n"/>
      <c r="G81" s="26" t="n"/>
      <c r="H81" s="27">
        <f>TRAMOS!Q79</f>
        <v/>
      </c>
      <c r="J81" s="28" t="inlineStr"/>
    </row>
    <row r="82">
      <c r="B82" s="25" t="inlineStr">
        <is>
          <t>Estructura de salida</t>
        </is>
      </c>
    </row>
    <row r="83">
      <c r="B83" s="14" t="inlineStr">
        <is>
          <t>Bajo zapatas de aleros</t>
        </is>
      </c>
      <c r="D83" s="26" t="n">
        <v>2</v>
      </c>
      <c r="E83" s="29">
        <f>DATOS!$B$26</f>
        <v/>
      </c>
      <c r="F83" s="29">
        <f>DATOS!$B$30</f>
        <v/>
      </c>
      <c r="G83" s="26" t="n"/>
      <c r="H83" s="27">
        <f>D83*E83*F83</f>
        <v/>
      </c>
      <c r="J83" s="28" t="inlineStr"/>
    </row>
    <row r="84">
      <c r="G84" s="9" t="inlineStr">
        <is>
          <t>TOTAL</t>
        </is>
      </c>
      <c r="I84" s="11">
        <f>SUM(H6:H83)</f>
        <v/>
      </c>
    </row>
    <row r="86">
      <c r="A86" s="4" t="inlineStr">
        <is>
          <t>03.02</t>
        </is>
      </c>
      <c r="B86" s="23" t="inlineStr">
        <is>
          <t>AFIRMADO COMPACTADO e=0.10 m BAJO EMBOQUILLADO</t>
        </is>
      </c>
      <c r="C86" s="24" t="inlineStr">
        <is>
          <t>m2</t>
        </is>
      </c>
      <c r="D86" s="5" t="n"/>
      <c r="E86" s="5" t="n"/>
      <c r="F86" s="5" t="n"/>
      <c r="G86" s="5" t="n"/>
      <c r="H86" s="5" t="n"/>
      <c r="I86" s="5" t="n"/>
      <c r="J86" s="5" t="n"/>
    </row>
    <row r="87">
      <c r="B87" s="14" t="inlineStr">
        <is>
          <t>Piso del emboquillado (trapecio)</t>
        </is>
      </c>
      <c r="D87" s="26" t="n">
        <v>1</v>
      </c>
      <c r="E87" s="26" t="n"/>
      <c r="F87" s="26" t="n"/>
      <c r="G87" s="26" t="n"/>
      <c r="H87" s="27">
        <f>(DATOS!$B$5+DATOS!$B$32)/2*DATOS!$B$31</f>
        <v/>
      </c>
      <c r="J87" s="28" t="inlineStr"/>
    </row>
    <row r="88">
      <c r="G88" s="9" t="inlineStr">
        <is>
          <t>TOTAL</t>
        </is>
      </c>
      <c r="I88" s="11">
        <f>SUM(H87:H87)</f>
        <v/>
      </c>
    </row>
    <row r="90">
      <c r="A90" s="4" t="inlineStr">
        <is>
          <t>03.03</t>
        </is>
      </c>
      <c r="B90" s="23" t="inlineStr">
        <is>
          <t>UNA DE CONCRETO CICLOPEO f'c=140 kg/cm2 + 30% P.M.</t>
        </is>
      </c>
      <c r="C90" s="24" t="inlineStr">
        <is>
          <t>m3</t>
        </is>
      </c>
      <c r="D90" s="5" t="n"/>
      <c r="E90" s="5" t="n"/>
      <c r="F90" s="5" t="n"/>
      <c r="G90" s="5" t="n"/>
      <c r="H90" s="5" t="n"/>
      <c r="I90" s="5" t="n"/>
      <c r="J90" s="5" t="n"/>
    </row>
    <row r="91">
      <c r="B91" s="14" t="inlineStr">
        <is>
          <t>Seccion trapecial (0.35+0.15)/2 x 0.65 x longitud</t>
        </is>
      </c>
      <c r="D91" s="26" t="n">
        <v>1</v>
      </c>
      <c r="E91" s="29">
        <f>DATOS!$B$32+0.30</f>
        <v/>
      </c>
      <c r="F91" s="26" t="n">
        <v>0.25</v>
      </c>
      <c r="G91" s="26" t="n">
        <v>0.65</v>
      </c>
      <c r="H91" s="27">
        <f>D91*E91*F91*G91</f>
        <v/>
      </c>
      <c r="J91" s="28" t="inlineStr">
        <is>
          <t>DP-07 corte A-A</t>
        </is>
      </c>
    </row>
    <row r="92">
      <c r="G92" s="9" t="inlineStr">
        <is>
          <t>TOTAL</t>
        </is>
      </c>
      <c r="I92" s="11">
        <f>SUM(H91:H91)</f>
        <v/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2" customWidth="1" min="9" max="9"/>
    <col width="40" customWidth="1" min="10" max="10"/>
  </cols>
  <sheetData>
    <row r="1" ht="24" customHeight="1">
      <c r="A1" s="1" t="inlineStr">
        <is>
          <t>04 CONCRETO ARMADO - COLECTOR</t>
        </is>
      </c>
    </row>
    <row r="2">
      <c r="A2" s="2" t="inlineStr">
        <is>
          <t>CAR Mujeres (CUI 2717013) - Colector pluvial frontal b=1.50 m, preparado para CAR Varones y Hogar de Refugio - Morales, San Martin</t>
        </is>
      </c>
    </row>
    <row r="4" ht="36" customHeight="1">
      <c r="A4" s="3" t="inlineStr">
        <is>
          <t>ITEM</t>
        </is>
      </c>
      <c r="B4" s="3" t="inlineStr">
        <is>
          <t>DESCRIPCION</t>
        </is>
      </c>
      <c r="C4" s="3" t="inlineStr">
        <is>
          <t>UND</t>
        </is>
      </c>
      <c r="D4" s="3" t="inlineStr">
        <is>
          <t>N. VECES</t>
        </is>
      </c>
      <c r="E4" s="3" t="inlineStr">
        <is>
          <t>LARGO (m)</t>
        </is>
      </c>
      <c r="F4" s="3" t="inlineStr">
        <is>
          <t>ANCHO (m)</t>
        </is>
      </c>
      <c r="G4" s="3" t="inlineStr">
        <is>
          <t>ALTO (m)</t>
        </is>
      </c>
      <c r="H4" s="3" t="inlineStr">
        <is>
          <t>PARCIAL</t>
        </is>
      </c>
      <c r="I4" s="3" t="inlineStr">
        <is>
          <t>TOTAL</t>
        </is>
      </c>
      <c r="J4" s="3" t="inlineStr">
        <is>
          <t>OBSERVACION</t>
        </is>
      </c>
    </row>
    <row r="5">
      <c r="A5" s="4" t="inlineStr">
        <is>
          <t>04.01</t>
        </is>
      </c>
      <c r="B5" s="23" t="inlineStr">
        <is>
          <t>CONCRETO f'c=210 kg/cm2 - LOSA DE FONDO</t>
        </is>
      </c>
      <c r="C5" s="24" t="inlineStr">
        <is>
          <t>m3</t>
        </is>
      </c>
      <c r="D5" s="5" t="n"/>
      <c r="E5" s="5" t="n"/>
      <c r="F5" s="5" t="n"/>
      <c r="G5" s="5" t="n"/>
      <c r="H5" s="5" t="n"/>
      <c r="I5" s="5" t="n"/>
      <c r="J5" s="5" t="n"/>
    </row>
    <row r="6">
      <c r="B6" s="25" t="inlineStr">
        <is>
          <t>ancho exterior x e losa x longitud</t>
        </is>
      </c>
    </row>
    <row r="7">
      <c r="B7" s="14" t="inlineStr">
        <is>
          <t>Tramo 0+000.00 - 0+002.00 (normal)</t>
        </is>
      </c>
      <c r="D7" s="26" t="n"/>
      <c r="E7" s="26" t="n"/>
      <c r="F7" s="26" t="n"/>
      <c r="G7" s="26" t="n"/>
      <c r="H7" s="27">
        <f>TRAMOS!L5</f>
        <v/>
      </c>
      <c r="J7" s="28" t="inlineStr"/>
    </row>
    <row r="8">
      <c r="B8" s="14" t="inlineStr">
        <is>
          <t>Tramo 0+002.00 - 0+002.74 (normal)</t>
        </is>
      </c>
      <c r="D8" s="26" t="n"/>
      <c r="E8" s="26" t="n"/>
      <c r="F8" s="26" t="n"/>
      <c r="G8" s="26" t="n"/>
      <c r="H8" s="27">
        <f>TRAMOS!L6</f>
        <v/>
      </c>
      <c r="J8" s="28" t="inlineStr"/>
    </row>
    <row r="9">
      <c r="B9" s="14" t="inlineStr">
        <is>
          <t>Tramo 0+002.74 - 0+004.00 (cruce de autos)</t>
        </is>
      </c>
      <c r="D9" s="26" t="n"/>
      <c r="E9" s="26" t="n"/>
      <c r="F9" s="26" t="n"/>
      <c r="G9" s="26" t="n"/>
      <c r="H9" s="27">
        <f>TRAMOS!L7</f>
        <v/>
      </c>
      <c r="J9" s="28" t="inlineStr"/>
    </row>
    <row r="10">
      <c r="B10" s="14" t="inlineStr">
        <is>
          <t>Tramo 0+004.00 - 0+006.00 (cruce de autos)</t>
        </is>
      </c>
      <c r="D10" s="26" t="n"/>
      <c r="E10" s="26" t="n"/>
      <c r="F10" s="26" t="n"/>
      <c r="G10" s="26" t="n"/>
      <c r="H10" s="27">
        <f>TRAMOS!L8</f>
        <v/>
      </c>
      <c r="J10" s="28" t="inlineStr"/>
    </row>
    <row r="11">
      <c r="B11" s="14" t="inlineStr">
        <is>
          <t>Tramo 0+006.00 - 0+008.00 (cruce de autos)</t>
        </is>
      </c>
      <c r="D11" s="26" t="n"/>
      <c r="E11" s="26" t="n"/>
      <c r="F11" s="26" t="n"/>
      <c r="G11" s="26" t="n"/>
      <c r="H11" s="27">
        <f>TRAMOS!L9</f>
        <v/>
      </c>
      <c r="J11" s="28" t="inlineStr"/>
    </row>
    <row r="12">
      <c r="B12" s="14" t="inlineStr">
        <is>
          <t>Tramo 0+008.00 - 0+010.00 (cruce de autos)</t>
        </is>
      </c>
      <c r="D12" s="26" t="n"/>
      <c r="E12" s="26" t="n"/>
      <c r="F12" s="26" t="n"/>
      <c r="G12" s="26" t="n"/>
      <c r="H12" s="27">
        <f>TRAMOS!L10</f>
        <v/>
      </c>
      <c r="J12" s="28" t="inlineStr"/>
    </row>
    <row r="13">
      <c r="B13" s="14" t="inlineStr">
        <is>
          <t>Tramo 0+010.00 - 0+012.00 (cruce de autos)</t>
        </is>
      </c>
      <c r="D13" s="26" t="n"/>
      <c r="E13" s="26" t="n"/>
      <c r="F13" s="26" t="n"/>
      <c r="G13" s="26" t="n"/>
      <c r="H13" s="27">
        <f>TRAMOS!L11</f>
        <v/>
      </c>
      <c r="J13" s="28" t="inlineStr"/>
    </row>
    <row r="14">
      <c r="B14" s="14" t="inlineStr">
        <is>
          <t>Tramo 0+012.00 - 0+014.00 (cruce de autos)</t>
        </is>
      </c>
      <c r="D14" s="26" t="n"/>
      <c r="E14" s="26" t="n"/>
      <c r="F14" s="26" t="n"/>
      <c r="G14" s="26" t="n"/>
      <c r="H14" s="27">
        <f>TRAMOS!L12</f>
        <v/>
      </c>
      <c r="J14" s="28" t="inlineStr"/>
    </row>
    <row r="15">
      <c r="B15" s="14" t="inlineStr">
        <is>
          <t>Tramo 0+014.00 - 0+016.00 (cruce de autos)</t>
        </is>
      </c>
      <c r="D15" s="26" t="n"/>
      <c r="E15" s="26" t="n"/>
      <c r="F15" s="26" t="n"/>
      <c r="G15" s="26" t="n"/>
      <c r="H15" s="27">
        <f>TRAMOS!L13</f>
        <v/>
      </c>
      <c r="J15" s="28" t="inlineStr"/>
    </row>
    <row r="16">
      <c r="B16" s="14" t="inlineStr">
        <is>
          <t>Tramo 0+016.00 - 0+018.00 (cruce de autos)</t>
        </is>
      </c>
      <c r="D16" s="26" t="n"/>
      <c r="E16" s="26" t="n"/>
      <c r="F16" s="26" t="n"/>
      <c r="G16" s="26" t="n"/>
      <c r="H16" s="27">
        <f>TRAMOS!L14</f>
        <v/>
      </c>
      <c r="J16" s="28" t="inlineStr"/>
    </row>
    <row r="17">
      <c r="B17" s="14" t="inlineStr">
        <is>
          <t>Tramo 0+018.00 - 0+018.45 (cruce de autos)</t>
        </is>
      </c>
      <c r="D17" s="26" t="n"/>
      <c r="E17" s="26" t="n"/>
      <c r="F17" s="26" t="n"/>
      <c r="G17" s="26" t="n"/>
      <c r="H17" s="27">
        <f>TRAMOS!L15</f>
        <v/>
      </c>
      <c r="J17" s="28" t="inlineStr"/>
    </row>
    <row r="18">
      <c r="B18" s="14" t="inlineStr">
        <is>
          <t>Tramo 0+018.45 - 0+020.00 (normal)</t>
        </is>
      </c>
      <c r="D18" s="26" t="n"/>
      <c r="E18" s="26" t="n"/>
      <c r="F18" s="26" t="n"/>
      <c r="G18" s="26" t="n"/>
      <c r="H18" s="27">
        <f>TRAMOS!L16</f>
        <v/>
      </c>
      <c r="J18" s="28" t="inlineStr"/>
    </row>
    <row r="19">
      <c r="B19" s="14" t="inlineStr">
        <is>
          <t>Tramo 0+020.00 - 0+022.00 (normal)</t>
        </is>
      </c>
      <c r="D19" s="26" t="n"/>
      <c r="E19" s="26" t="n"/>
      <c r="F19" s="26" t="n"/>
      <c r="G19" s="26" t="n"/>
      <c r="H19" s="27">
        <f>TRAMOS!L17</f>
        <v/>
      </c>
      <c r="J19" s="28" t="inlineStr"/>
    </row>
    <row r="20">
      <c r="B20" s="14" t="inlineStr">
        <is>
          <t>Tramo 0+022.00 - 0+024.00 (normal)</t>
        </is>
      </c>
      <c r="D20" s="26" t="n"/>
      <c r="E20" s="26" t="n"/>
      <c r="F20" s="26" t="n"/>
      <c r="G20" s="26" t="n"/>
      <c r="H20" s="27">
        <f>TRAMOS!L18</f>
        <v/>
      </c>
      <c r="J20" s="28" t="inlineStr"/>
    </row>
    <row r="21">
      <c r="B21" s="14" t="inlineStr">
        <is>
          <t>Tramo 0+024.00 - 0+026.00 (normal)</t>
        </is>
      </c>
      <c r="D21" s="26" t="n"/>
      <c r="E21" s="26" t="n"/>
      <c r="F21" s="26" t="n"/>
      <c r="G21" s="26" t="n"/>
      <c r="H21" s="27">
        <f>TRAMOS!L19</f>
        <v/>
      </c>
      <c r="J21" s="28" t="inlineStr"/>
    </row>
    <row r="22">
      <c r="B22" s="14" t="inlineStr">
        <is>
          <t>Tramo 0+026.00 - 0+028.00 (normal)</t>
        </is>
      </c>
      <c r="D22" s="26" t="n"/>
      <c r="E22" s="26" t="n"/>
      <c r="F22" s="26" t="n"/>
      <c r="G22" s="26" t="n"/>
      <c r="H22" s="27">
        <f>TRAMOS!L20</f>
        <v/>
      </c>
      <c r="J22" s="28" t="inlineStr"/>
    </row>
    <row r="23">
      <c r="B23" s="14" t="inlineStr">
        <is>
          <t>Tramo 0+028.00 - 0+030.00 (normal)</t>
        </is>
      </c>
      <c r="D23" s="26" t="n"/>
      <c r="E23" s="26" t="n"/>
      <c r="F23" s="26" t="n"/>
      <c r="G23" s="26" t="n"/>
      <c r="H23" s="27">
        <f>TRAMOS!L21</f>
        <v/>
      </c>
      <c r="J23" s="28" t="inlineStr"/>
    </row>
    <row r="24">
      <c r="B24" s="14" t="inlineStr">
        <is>
          <t>Tramo 0+030.00 - 0+032.00 (normal)</t>
        </is>
      </c>
      <c r="D24" s="26" t="n"/>
      <c r="E24" s="26" t="n"/>
      <c r="F24" s="26" t="n"/>
      <c r="G24" s="26" t="n"/>
      <c r="H24" s="27">
        <f>TRAMOS!L22</f>
        <v/>
      </c>
      <c r="J24" s="28" t="inlineStr"/>
    </row>
    <row r="25">
      <c r="B25" s="14" t="inlineStr">
        <is>
          <t>Tramo 0+032.00 - 0+034.00 (normal)</t>
        </is>
      </c>
      <c r="D25" s="26" t="n"/>
      <c r="E25" s="26" t="n"/>
      <c r="F25" s="26" t="n"/>
      <c r="G25" s="26" t="n"/>
      <c r="H25" s="27">
        <f>TRAMOS!L23</f>
        <v/>
      </c>
      <c r="J25" s="28" t="inlineStr"/>
    </row>
    <row r="26">
      <c r="B26" s="14" t="inlineStr">
        <is>
          <t>Tramo 0+034.00 - 0+035.04 (normal)</t>
        </is>
      </c>
      <c r="D26" s="26" t="n"/>
      <c r="E26" s="26" t="n"/>
      <c r="F26" s="26" t="n"/>
      <c r="G26" s="26" t="n"/>
      <c r="H26" s="27">
        <f>TRAMOS!L24</f>
        <v/>
      </c>
      <c r="J26" s="28" t="inlineStr"/>
    </row>
    <row r="27">
      <c r="B27" s="14" t="inlineStr">
        <is>
          <t>Tramo 0+035.04 - 0+036.00 (cruce de autos)</t>
        </is>
      </c>
      <c r="D27" s="26" t="n"/>
      <c r="E27" s="26" t="n"/>
      <c r="F27" s="26" t="n"/>
      <c r="G27" s="26" t="n"/>
      <c r="H27" s="27">
        <f>TRAMOS!L25</f>
        <v/>
      </c>
      <c r="J27" s="28" t="inlineStr"/>
    </row>
    <row r="28">
      <c r="B28" s="14" t="inlineStr">
        <is>
          <t>Tramo 0+036.00 - 0+038.00 (cruce de autos)</t>
        </is>
      </c>
      <c r="D28" s="26" t="n"/>
      <c r="E28" s="26" t="n"/>
      <c r="F28" s="26" t="n"/>
      <c r="G28" s="26" t="n"/>
      <c r="H28" s="27">
        <f>TRAMOS!L26</f>
        <v/>
      </c>
      <c r="J28" s="28" t="inlineStr"/>
    </row>
    <row r="29">
      <c r="B29" s="14" t="inlineStr">
        <is>
          <t>Tramo 0+038.00 - 0+040.00 (cruce de autos)</t>
        </is>
      </c>
      <c r="D29" s="26" t="n"/>
      <c r="E29" s="26" t="n"/>
      <c r="F29" s="26" t="n"/>
      <c r="G29" s="26" t="n"/>
      <c r="H29" s="27">
        <f>TRAMOS!L27</f>
        <v/>
      </c>
      <c r="J29" s="28" t="inlineStr"/>
    </row>
    <row r="30">
      <c r="B30" s="14" t="inlineStr">
        <is>
          <t>Tramo 0+040.00 - 0+042.00 (cruce de autos)</t>
        </is>
      </c>
      <c r="D30" s="26" t="n"/>
      <c r="E30" s="26" t="n"/>
      <c r="F30" s="26" t="n"/>
      <c r="G30" s="26" t="n"/>
      <c r="H30" s="27">
        <f>TRAMOS!L28</f>
        <v/>
      </c>
      <c r="J30" s="28" t="inlineStr"/>
    </row>
    <row r="31">
      <c r="B31" s="14" t="inlineStr">
        <is>
          <t>Tramo 0+042.00 - 0+044.00 (cruce de autos)</t>
        </is>
      </c>
      <c r="D31" s="26" t="n"/>
      <c r="E31" s="26" t="n"/>
      <c r="F31" s="26" t="n"/>
      <c r="G31" s="26" t="n"/>
      <c r="H31" s="27">
        <f>TRAMOS!L29</f>
        <v/>
      </c>
      <c r="J31" s="28" t="inlineStr"/>
    </row>
    <row r="32">
      <c r="B32" s="14" t="inlineStr">
        <is>
          <t>Tramo 0+044.00 - 0+046.00 (cruce de autos)</t>
        </is>
      </c>
      <c r="D32" s="26" t="n"/>
      <c r="E32" s="26" t="n"/>
      <c r="F32" s="26" t="n"/>
      <c r="G32" s="26" t="n"/>
      <c r="H32" s="27">
        <f>TRAMOS!L30</f>
        <v/>
      </c>
      <c r="J32" s="28" t="inlineStr"/>
    </row>
    <row r="33">
      <c r="B33" s="14" t="inlineStr">
        <is>
          <t>Tramo 0+046.00 - 0+048.00 (cruce de autos)</t>
        </is>
      </c>
      <c r="D33" s="26" t="n"/>
      <c r="E33" s="26" t="n"/>
      <c r="F33" s="26" t="n"/>
      <c r="G33" s="26" t="n"/>
      <c r="H33" s="27">
        <f>TRAMOS!L31</f>
        <v/>
      </c>
      <c r="J33" s="28" t="inlineStr"/>
    </row>
    <row r="34">
      <c r="B34" s="14" t="inlineStr">
        <is>
          <t>Tramo 0+048.00 - 0+050.00 (cruce de autos)</t>
        </is>
      </c>
      <c r="D34" s="26" t="n"/>
      <c r="E34" s="26" t="n"/>
      <c r="F34" s="26" t="n"/>
      <c r="G34" s="26" t="n"/>
      <c r="H34" s="27">
        <f>TRAMOS!L32</f>
        <v/>
      </c>
      <c r="J34" s="28" t="inlineStr"/>
    </row>
    <row r="35">
      <c r="B35" s="14" t="inlineStr">
        <is>
          <t>Tramo 0+050.00 - 0+051.86 (cruce de autos)</t>
        </is>
      </c>
      <c r="D35" s="26" t="n"/>
      <c r="E35" s="26" t="n"/>
      <c r="F35" s="26" t="n"/>
      <c r="G35" s="26" t="n"/>
      <c r="H35" s="27">
        <f>TRAMOS!L33</f>
        <v/>
      </c>
      <c r="J35" s="28" t="inlineStr"/>
    </row>
    <row r="36">
      <c r="B36" s="14" t="inlineStr">
        <is>
          <t>Tramo 0+051.86 - 0+052.00 (normal)</t>
        </is>
      </c>
      <c r="D36" s="26" t="n"/>
      <c r="E36" s="26" t="n"/>
      <c r="F36" s="26" t="n"/>
      <c r="G36" s="26" t="n"/>
      <c r="H36" s="27">
        <f>TRAMOS!L34</f>
        <v/>
      </c>
      <c r="J36" s="28" t="inlineStr"/>
    </row>
    <row r="37">
      <c r="B37" s="14" t="inlineStr">
        <is>
          <t>Tramo 0+052.00 - 0+054.00 (normal)</t>
        </is>
      </c>
      <c r="D37" s="26" t="n"/>
      <c r="E37" s="26" t="n"/>
      <c r="F37" s="26" t="n"/>
      <c r="G37" s="26" t="n"/>
      <c r="H37" s="27">
        <f>TRAMOS!L35</f>
        <v/>
      </c>
      <c r="J37" s="28" t="inlineStr"/>
    </row>
    <row r="38">
      <c r="B38" s="14" t="inlineStr">
        <is>
          <t>Tramo 0+054.00 - 0+056.00 (cruce de camiones)</t>
        </is>
      </c>
      <c r="D38" s="26" t="n"/>
      <c r="E38" s="26" t="n"/>
      <c r="F38" s="26" t="n"/>
      <c r="G38" s="26" t="n"/>
      <c r="H38" s="27">
        <f>TRAMOS!L36</f>
        <v/>
      </c>
      <c r="J38" s="28" t="inlineStr"/>
    </row>
    <row r="39">
      <c r="B39" s="14" t="inlineStr">
        <is>
          <t>Tramo 0+056.00 - 0+058.00 (cruce de camiones)</t>
        </is>
      </c>
      <c r="D39" s="26" t="n"/>
      <c r="E39" s="26" t="n"/>
      <c r="F39" s="26" t="n"/>
      <c r="G39" s="26" t="n"/>
      <c r="H39" s="27">
        <f>TRAMOS!L37</f>
        <v/>
      </c>
      <c r="J39" s="28" t="inlineStr"/>
    </row>
    <row r="40">
      <c r="B40" s="14" t="inlineStr">
        <is>
          <t>Tramo 0+058.00 - 0+060.00 (cruce de camiones)</t>
        </is>
      </c>
      <c r="D40" s="26" t="n"/>
      <c r="E40" s="26" t="n"/>
      <c r="F40" s="26" t="n"/>
      <c r="G40" s="26" t="n"/>
      <c r="H40" s="27">
        <f>TRAMOS!L38</f>
        <v/>
      </c>
      <c r="J40" s="28" t="inlineStr"/>
    </row>
    <row r="41">
      <c r="B41" s="14" t="inlineStr">
        <is>
          <t>Tramo 0+060.00 - 0+062.00 (normal)</t>
        </is>
      </c>
      <c r="D41" s="26" t="n"/>
      <c r="E41" s="26" t="n"/>
      <c r="F41" s="26" t="n"/>
      <c r="G41" s="26" t="n"/>
      <c r="H41" s="27">
        <f>TRAMOS!L39</f>
        <v/>
      </c>
      <c r="J41" s="28" t="inlineStr"/>
    </row>
    <row r="42">
      <c r="B42" s="14" t="inlineStr">
        <is>
          <t>Tramo 0+062.00 - 0+064.00 (normal)</t>
        </is>
      </c>
      <c r="D42" s="26" t="n"/>
      <c r="E42" s="26" t="n"/>
      <c r="F42" s="26" t="n"/>
      <c r="G42" s="26" t="n"/>
      <c r="H42" s="27">
        <f>TRAMOS!L40</f>
        <v/>
      </c>
      <c r="J42" s="28" t="inlineStr"/>
    </row>
    <row r="43">
      <c r="B43" s="14" t="inlineStr">
        <is>
          <t>Tramo 0+064.00 - 0+066.00 (normal)</t>
        </is>
      </c>
      <c r="D43" s="26" t="n"/>
      <c r="E43" s="26" t="n"/>
      <c r="F43" s="26" t="n"/>
      <c r="G43" s="26" t="n"/>
      <c r="H43" s="27">
        <f>TRAMOS!L41</f>
        <v/>
      </c>
      <c r="J43" s="28" t="inlineStr"/>
    </row>
    <row r="44">
      <c r="B44" s="14" t="inlineStr">
        <is>
          <t>Tramo 0+066.00 - 0+068.00 (normal)</t>
        </is>
      </c>
      <c r="D44" s="26" t="n"/>
      <c r="E44" s="26" t="n"/>
      <c r="F44" s="26" t="n"/>
      <c r="G44" s="26" t="n"/>
      <c r="H44" s="27">
        <f>TRAMOS!L42</f>
        <v/>
      </c>
      <c r="J44" s="28" t="inlineStr"/>
    </row>
    <row r="45">
      <c r="B45" s="14" t="inlineStr">
        <is>
          <t>Tramo 0+068.00 - 0+070.00 (normal)</t>
        </is>
      </c>
      <c r="D45" s="26" t="n"/>
      <c r="E45" s="26" t="n"/>
      <c r="F45" s="26" t="n"/>
      <c r="G45" s="26" t="n"/>
      <c r="H45" s="27">
        <f>TRAMOS!L43</f>
        <v/>
      </c>
      <c r="J45" s="28" t="inlineStr"/>
    </row>
    <row r="46">
      <c r="B46" s="14" t="inlineStr">
        <is>
          <t>Tramo 0+070.00 - 0+072.00 (normal)</t>
        </is>
      </c>
      <c r="D46" s="26" t="n"/>
      <c r="E46" s="26" t="n"/>
      <c r="F46" s="26" t="n"/>
      <c r="G46" s="26" t="n"/>
      <c r="H46" s="27">
        <f>TRAMOS!L44</f>
        <v/>
      </c>
      <c r="J46" s="28" t="inlineStr"/>
    </row>
    <row r="47">
      <c r="B47" s="14" t="inlineStr">
        <is>
          <t>Tramo 0+072.00 - 0+074.00 (normal)</t>
        </is>
      </c>
      <c r="D47" s="26" t="n"/>
      <c r="E47" s="26" t="n"/>
      <c r="F47" s="26" t="n"/>
      <c r="G47" s="26" t="n"/>
      <c r="H47" s="27">
        <f>TRAMOS!L45</f>
        <v/>
      </c>
      <c r="J47" s="28" t="inlineStr"/>
    </row>
    <row r="48">
      <c r="B48" s="14" t="inlineStr">
        <is>
          <t>Tramo 0+074.00 - 0+076.00 (normal)</t>
        </is>
      </c>
      <c r="D48" s="26" t="n"/>
      <c r="E48" s="26" t="n"/>
      <c r="F48" s="26" t="n"/>
      <c r="G48" s="26" t="n"/>
      <c r="H48" s="27">
        <f>TRAMOS!L46</f>
        <v/>
      </c>
      <c r="J48" s="28" t="inlineStr"/>
    </row>
    <row r="49">
      <c r="B49" s="14" t="inlineStr">
        <is>
          <t>Tramo 0+076.00 - 0+078.00 (normal)</t>
        </is>
      </c>
      <c r="D49" s="26" t="n"/>
      <c r="E49" s="26" t="n"/>
      <c r="F49" s="26" t="n"/>
      <c r="G49" s="26" t="n"/>
      <c r="H49" s="27">
        <f>TRAMOS!L47</f>
        <v/>
      </c>
      <c r="J49" s="28" t="inlineStr"/>
    </row>
    <row r="50">
      <c r="B50" s="14" t="inlineStr">
        <is>
          <t>Tramo 0+078.00 - 0+078.42 (normal)</t>
        </is>
      </c>
      <c r="D50" s="26" t="n"/>
      <c r="E50" s="26" t="n"/>
      <c r="F50" s="26" t="n"/>
      <c r="G50" s="26" t="n"/>
      <c r="H50" s="27">
        <f>TRAMOS!L48</f>
        <v/>
      </c>
      <c r="J50" s="28" t="inlineStr"/>
    </row>
    <row r="51">
      <c r="B51" s="14" t="inlineStr">
        <is>
          <t>Tramo 0+078.42 - 0+080.00 (normal)</t>
        </is>
      </c>
      <c r="D51" s="26" t="n"/>
      <c r="E51" s="26" t="n"/>
      <c r="F51" s="26" t="n"/>
      <c r="G51" s="26" t="n"/>
      <c r="H51" s="27">
        <f>TRAMOS!L49</f>
        <v/>
      </c>
      <c r="J51" s="28" t="inlineStr"/>
    </row>
    <row r="52">
      <c r="B52" s="14" t="inlineStr">
        <is>
          <t>Tramo 0+080.00 - 0+082.00 (normal)</t>
        </is>
      </c>
      <c r="D52" s="26" t="n"/>
      <c r="E52" s="26" t="n"/>
      <c r="F52" s="26" t="n"/>
      <c r="G52" s="26" t="n"/>
      <c r="H52" s="27">
        <f>TRAMOS!L50</f>
        <v/>
      </c>
      <c r="J52" s="28" t="inlineStr"/>
    </row>
    <row r="53">
      <c r="B53" s="14" t="inlineStr">
        <is>
          <t>Tramo 0+082.00 - 0+084.00 (normal)</t>
        </is>
      </c>
      <c r="D53" s="26" t="n"/>
      <c r="E53" s="26" t="n"/>
      <c r="F53" s="26" t="n"/>
      <c r="G53" s="26" t="n"/>
      <c r="H53" s="27">
        <f>TRAMOS!L51</f>
        <v/>
      </c>
      <c r="J53" s="28" t="inlineStr"/>
    </row>
    <row r="54">
      <c r="B54" s="14" t="inlineStr">
        <is>
          <t>Tramo 0+084.00 - 0+086.00 (normal)</t>
        </is>
      </c>
      <c r="D54" s="26" t="n"/>
      <c r="E54" s="26" t="n"/>
      <c r="F54" s="26" t="n"/>
      <c r="G54" s="26" t="n"/>
      <c r="H54" s="27">
        <f>TRAMOS!L52</f>
        <v/>
      </c>
      <c r="J54" s="28" t="inlineStr"/>
    </row>
    <row r="55">
      <c r="B55" s="14" t="inlineStr">
        <is>
          <t>Tramo 0+086.00 - 0+088.00 (normal)</t>
        </is>
      </c>
      <c r="D55" s="26" t="n"/>
      <c r="E55" s="26" t="n"/>
      <c r="F55" s="26" t="n"/>
      <c r="G55" s="26" t="n"/>
      <c r="H55" s="27">
        <f>TRAMOS!L53</f>
        <v/>
      </c>
      <c r="J55" s="28" t="inlineStr"/>
    </row>
    <row r="56">
      <c r="B56" s="14" t="inlineStr">
        <is>
          <t>Tramo 0+088.00 - 0+090.00 (normal)</t>
        </is>
      </c>
      <c r="D56" s="26" t="n"/>
      <c r="E56" s="26" t="n"/>
      <c r="F56" s="26" t="n"/>
      <c r="G56" s="26" t="n"/>
      <c r="H56" s="27">
        <f>TRAMOS!L54</f>
        <v/>
      </c>
      <c r="J56" s="28" t="inlineStr"/>
    </row>
    <row r="57">
      <c r="B57" s="14" t="inlineStr">
        <is>
          <t>Tramo 0+090.00 - 0+092.00 (normal)</t>
        </is>
      </c>
      <c r="D57" s="26" t="n"/>
      <c r="E57" s="26" t="n"/>
      <c r="F57" s="26" t="n"/>
      <c r="G57" s="26" t="n"/>
      <c r="H57" s="27">
        <f>TRAMOS!L55</f>
        <v/>
      </c>
      <c r="J57" s="28" t="inlineStr"/>
    </row>
    <row r="58">
      <c r="B58" s="14" t="inlineStr">
        <is>
          <t>Tramo 0+092.00 - 0+094.00 (normal)</t>
        </is>
      </c>
      <c r="D58" s="26" t="n"/>
      <c r="E58" s="26" t="n"/>
      <c r="F58" s="26" t="n"/>
      <c r="G58" s="26" t="n"/>
      <c r="H58" s="27">
        <f>TRAMOS!L56</f>
        <v/>
      </c>
      <c r="J58" s="28" t="inlineStr"/>
    </row>
    <row r="59">
      <c r="B59" s="14" t="inlineStr">
        <is>
          <t>Tramo 0+094.00 - 0+096.00 (normal)</t>
        </is>
      </c>
      <c r="D59" s="26" t="n"/>
      <c r="E59" s="26" t="n"/>
      <c r="F59" s="26" t="n"/>
      <c r="G59" s="26" t="n"/>
      <c r="H59" s="27">
        <f>TRAMOS!L57</f>
        <v/>
      </c>
      <c r="J59" s="28" t="inlineStr"/>
    </row>
    <row r="60">
      <c r="B60" s="14" t="inlineStr">
        <is>
          <t>Tramo 0+096.00 - 0+098.00 (normal)</t>
        </is>
      </c>
      <c r="D60" s="26" t="n"/>
      <c r="E60" s="26" t="n"/>
      <c r="F60" s="26" t="n"/>
      <c r="G60" s="26" t="n"/>
      <c r="H60" s="27">
        <f>TRAMOS!L58</f>
        <v/>
      </c>
      <c r="J60" s="28" t="inlineStr"/>
    </row>
    <row r="61">
      <c r="B61" s="14" t="inlineStr">
        <is>
          <t>Tramo 0+098.00 - 0+100.00 (normal)</t>
        </is>
      </c>
      <c r="D61" s="26" t="n"/>
      <c r="E61" s="26" t="n"/>
      <c r="F61" s="26" t="n"/>
      <c r="G61" s="26" t="n"/>
      <c r="H61" s="27">
        <f>TRAMOS!L59</f>
        <v/>
      </c>
      <c r="J61" s="28" t="inlineStr"/>
    </row>
    <row r="62">
      <c r="B62" s="14" t="inlineStr">
        <is>
          <t>Tramo 0+100.00 - 0+102.00 (normal)</t>
        </is>
      </c>
      <c r="D62" s="26" t="n"/>
      <c r="E62" s="26" t="n"/>
      <c r="F62" s="26" t="n"/>
      <c r="G62" s="26" t="n"/>
      <c r="H62" s="27">
        <f>TRAMOS!L60</f>
        <v/>
      </c>
      <c r="J62" s="28" t="inlineStr"/>
    </row>
    <row r="63">
      <c r="B63" s="14" t="inlineStr">
        <is>
          <t>Tramo 0+102.00 - 0+104.00 (normal)</t>
        </is>
      </c>
      <c r="D63" s="26" t="n"/>
      <c r="E63" s="26" t="n"/>
      <c r="F63" s="26" t="n"/>
      <c r="G63" s="26" t="n"/>
      <c r="H63" s="27">
        <f>TRAMOS!L61</f>
        <v/>
      </c>
      <c r="J63" s="28" t="inlineStr"/>
    </row>
    <row r="64">
      <c r="B64" s="14" t="inlineStr">
        <is>
          <t>Tramo 0+104.00 - 0+106.00 (normal)</t>
        </is>
      </c>
      <c r="D64" s="26" t="n"/>
      <c r="E64" s="26" t="n"/>
      <c r="F64" s="26" t="n"/>
      <c r="G64" s="26" t="n"/>
      <c r="H64" s="27">
        <f>TRAMOS!L62</f>
        <v/>
      </c>
      <c r="J64" s="28" t="inlineStr"/>
    </row>
    <row r="65">
      <c r="B65" s="14" t="inlineStr">
        <is>
          <t>Tramo 0+106.00 - 0+108.00 (normal)</t>
        </is>
      </c>
      <c r="D65" s="26" t="n"/>
      <c r="E65" s="26" t="n"/>
      <c r="F65" s="26" t="n"/>
      <c r="G65" s="26" t="n"/>
      <c r="H65" s="27">
        <f>TRAMOS!L63</f>
        <v/>
      </c>
      <c r="J65" s="28" t="inlineStr"/>
    </row>
    <row r="66">
      <c r="B66" s="14" t="inlineStr">
        <is>
          <t>Tramo 0+108.00 - 0+110.00 (normal)</t>
        </is>
      </c>
      <c r="D66" s="26" t="n"/>
      <c r="E66" s="26" t="n"/>
      <c r="F66" s="26" t="n"/>
      <c r="G66" s="26" t="n"/>
      <c r="H66" s="27">
        <f>TRAMOS!L64</f>
        <v/>
      </c>
      <c r="J66" s="28" t="inlineStr"/>
    </row>
    <row r="67">
      <c r="B67" s="14" t="inlineStr">
        <is>
          <t>Tramo 0+110.00 - 0+112.00 (normal)</t>
        </is>
      </c>
      <c r="D67" s="26" t="n"/>
      <c r="E67" s="26" t="n"/>
      <c r="F67" s="26" t="n"/>
      <c r="G67" s="26" t="n"/>
      <c r="H67" s="27">
        <f>TRAMOS!L65</f>
        <v/>
      </c>
      <c r="J67" s="28" t="inlineStr"/>
    </row>
    <row r="68">
      <c r="B68" s="14" t="inlineStr">
        <is>
          <t>Tramo 0+112.00 - 0+114.00 (normal)</t>
        </is>
      </c>
      <c r="D68" s="26" t="n"/>
      <c r="E68" s="26" t="n"/>
      <c r="F68" s="26" t="n"/>
      <c r="G68" s="26" t="n"/>
      <c r="H68" s="27">
        <f>TRAMOS!L66</f>
        <v/>
      </c>
      <c r="J68" s="28" t="inlineStr"/>
    </row>
    <row r="69">
      <c r="B69" s="14" t="inlineStr">
        <is>
          <t>Tramo 0+114.00 - 0+116.00 (normal)</t>
        </is>
      </c>
      <c r="D69" s="26" t="n"/>
      <c r="E69" s="26" t="n"/>
      <c r="F69" s="26" t="n"/>
      <c r="G69" s="26" t="n"/>
      <c r="H69" s="27">
        <f>TRAMOS!L67</f>
        <v/>
      </c>
      <c r="J69" s="28" t="inlineStr"/>
    </row>
    <row r="70">
      <c r="B70" s="14" t="inlineStr">
        <is>
          <t>Tramo 0+116.00 - 0+118.00 (normal)</t>
        </is>
      </c>
      <c r="D70" s="26" t="n"/>
      <c r="E70" s="26" t="n"/>
      <c r="F70" s="26" t="n"/>
      <c r="G70" s="26" t="n"/>
      <c r="H70" s="27">
        <f>TRAMOS!L68</f>
        <v/>
      </c>
      <c r="J70" s="28" t="inlineStr"/>
    </row>
    <row r="71">
      <c r="B71" s="14" t="inlineStr">
        <is>
          <t>Tramo 0+118.00 - 0+120.00 (normal)</t>
        </is>
      </c>
      <c r="D71" s="26" t="n"/>
      <c r="E71" s="26" t="n"/>
      <c r="F71" s="26" t="n"/>
      <c r="G71" s="26" t="n"/>
      <c r="H71" s="27">
        <f>TRAMOS!L69</f>
        <v/>
      </c>
      <c r="J71" s="28" t="inlineStr"/>
    </row>
    <row r="72">
      <c r="B72" s="14" t="inlineStr">
        <is>
          <t>Tramo 0+120.00 - 0+122.00 (normal)</t>
        </is>
      </c>
      <c r="D72" s="26" t="n"/>
      <c r="E72" s="26" t="n"/>
      <c r="F72" s="26" t="n"/>
      <c r="G72" s="26" t="n"/>
      <c r="H72" s="27">
        <f>TRAMOS!L70</f>
        <v/>
      </c>
      <c r="J72" s="28" t="inlineStr"/>
    </row>
    <row r="73">
      <c r="B73" s="14" t="inlineStr">
        <is>
          <t>Tramo 0+122.00 - 0+124.00 (normal)</t>
        </is>
      </c>
      <c r="D73" s="26" t="n"/>
      <c r="E73" s="26" t="n"/>
      <c r="F73" s="26" t="n"/>
      <c r="G73" s="26" t="n"/>
      <c r="H73" s="27">
        <f>TRAMOS!L71</f>
        <v/>
      </c>
      <c r="J73" s="28" t="inlineStr"/>
    </row>
    <row r="74">
      <c r="B74" s="14" t="inlineStr">
        <is>
          <t>Tramo 0+124.00 - 0+126.00 (normal)</t>
        </is>
      </c>
      <c r="D74" s="26" t="n"/>
      <c r="E74" s="26" t="n"/>
      <c r="F74" s="26" t="n"/>
      <c r="G74" s="26" t="n"/>
      <c r="H74" s="27">
        <f>TRAMOS!L72</f>
        <v/>
      </c>
      <c r="J74" s="28" t="inlineStr"/>
    </row>
    <row r="75">
      <c r="B75" s="14" t="inlineStr">
        <is>
          <t>Tramo 0+126.00 - 0+128.00 (normal)</t>
        </is>
      </c>
      <c r="D75" s="26" t="n"/>
      <c r="E75" s="26" t="n"/>
      <c r="F75" s="26" t="n"/>
      <c r="G75" s="26" t="n"/>
      <c r="H75" s="27">
        <f>TRAMOS!L73</f>
        <v/>
      </c>
      <c r="J75" s="28" t="inlineStr"/>
    </row>
    <row r="76">
      <c r="B76" s="14" t="inlineStr">
        <is>
          <t>Tramo 0+128.00 - 0+130.00 (normal)</t>
        </is>
      </c>
      <c r="D76" s="26" t="n"/>
      <c r="E76" s="26" t="n"/>
      <c r="F76" s="26" t="n"/>
      <c r="G76" s="26" t="n"/>
      <c r="H76" s="27">
        <f>TRAMOS!L74</f>
        <v/>
      </c>
      <c r="J76" s="28" t="inlineStr"/>
    </row>
    <row r="77">
      <c r="B77" s="14" t="inlineStr">
        <is>
          <t>Tramo 0+130.00 - 0+132.00 (normal)</t>
        </is>
      </c>
      <c r="D77" s="26" t="n"/>
      <c r="E77" s="26" t="n"/>
      <c r="F77" s="26" t="n"/>
      <c r="G77" s="26" t="n"/>
      <c r="H77" s="27">
        <f>TRAMOS!L75</f>
        <v/>
      </c>
      <c r="J77" s="28" t="inlineStr"/>
    </row>
    <row r="78">
      <c r="B78" s="14" t="inlineStr">
        <is>
          <t>Tramo 0+132.00 - 0+134.00 (normal)</t>
        </is>
      </c>
      <c r="D78" s="26" t="n"/>
      <c r="E78" s="26" t="n"/>
      <c r="F78" s="26" t="n"/>
      <c r="G78" s="26" t="n"/>
      <c r="H78" s="27">
        <f>TRAMOS!L76</f>
        <v/>
      </c>
      <c r="J78" s="28" t="inlineStr"/>
    </row>
    <row r="79">
      <c r="B79" s="14" t="inlineStr">
        <is>
          <t>Tramo 0+134.00 - 0+136.00 (normal)</t>
        </is>
      </c>
      <c r="D79" s="26" t="n"/>
      <c r="E79" s="26" t="n"/>
      <c r="F79" s="26" t="n"/>
      <c r="G79" s="26" t="n"/>
      <c r="H79" s="27">
        <f>TRAMOS!L77</f>
        <v/>
      </c>
      <c r="J79" s="28" t="inlineStr"/>
    </row>
    <row r="80">
      <c r="B80" s="14" t="inlineStr">
        <is>
          <t>Tramo 0+136.00 - 0+138.00 (normal)</t>
        </is>
      </c>
      <c r="D80" s="26" t="n"/>
      <c r="E80" s="26" t="n"/>
      <c r="F80" s="26" t="n"/>
      <c r="G80" s="26" t="n"/>
      <c r="H80" s="27">
        <f>TRAMOS!L78</f>
        <v/>
      </c>
      <c r="J80" s="28" t="inlineStr"/>
    </row>
    <row r="81">
      <c r="B81" s="14" t="inlineStr">
        <is>
          <t>Tramo 0+138.00 - 0+139.08 (normal)</t>
        </is>
      </c>
      <c r="D81" s="26" t="n"/>
      <c r="E81" s="26" t="n"/>
      <c r="F81" s="26" t="n"/>
      <c r="G81" s="26" t="n"/>
      <c r="H81" s="27">
        <f>TRAMOS!L79</f>
        <v/>
      </c>
      <c r="J81" s="28" t="inlineStr"/>
    </row>
    <row r="82">
      <c r="G82" s="9" t="inlineStr">
        <is>
          <t>TOTAL</t>
        </is>
      </c>
      <c r="I82" s="11">
        <f>SUM(H6:H81)</f>
        <v/>
      </c>
    </row>
    <row r="84">
      <c r="A84" s="4" t="inlineStr">
        <is>
          <t>04.02</t>
        </is>
      </c>
      <c r="B84" s="23" t="inlineStr">
        <is>
          <t>CONCRETO f'c=210 kg/cm2 - MUROS</t>
        </is>
      </c>
      <c r="C84" s="24" t="inlineStr">
        <is>
          <t>m3</t>
        </is>
      </c>
      <c r="D84" s="5" t="n"/>
      <c r="E84" s="5" t="n"/>
      <c r="F84" s="5" t="n"/>
      <c r="G84" s="5" t="n"/>
      <c r="H84" s="5" t="n"/>
      <c r="I84" s="5" t="n"/>
      <c r="J84" s="5" t="n"/>
    </row>
    <row r="85">
      <c r="B85" s="25" t="inlineStr">
        <is>
          <t>2 muros x e x h x longitud</t>
        </is>
      </c>
    </row>
    <row r="86">
      <c r="B86" s="14" t="inlineStr">
        <is>
          <t>Tramo 0+000.00 - 0+002.00 (normal)</t>
        </is>
      </c>
      <c r="D86" s="26" t="n"/>
      <c r="E86" s="26" t="n"/>
      <c r="F86" s="26" t="n"/>
      <c r="G86" s="26" t="n"/>
      <c r="H86" s="27">
        <f>TRAMOS!M5</f>
        <v/>
      </c>
      <c r="J86" s="28" t="inlineStr"/>
    </row>
    <row r="87">
      <c r="B87" s="14" t="inlineStr">
        <is>
          <t>Tramo 0+002.00 - 0+002.74 (normal)</t>
        </is>
      </c>
      <c r="D87" s="26" t="n"/>
      <c r="E87" s="26" t="n"/>
      <c r="F87" s="26" t="n"/>
      <c r="G87" s="26" t="n"/>
      <c r="H87" s="27">
        <f>TRAMOS!M6</f>
        <v/>
      </c>
      <c r="J87" s="28" t="inlineStr"/>
    </row>
    <row r="88">
      <c r="B88" s="14" t="inlineStr">
        <is>
          <t>Tramo 0+002.74 - 0+004.00 (cruce de autos)</t>
        </is>
      </c>
      <c r="D88" s="26" t="n"/>
      <c r="E88" s="26" t="n"/>
      <c r="F88" s="26" t="n"/>
      <c r="G88" s="26" t="n"/>
      <c r="H88" s="27">
        <f>TRAMOS!M7</f>
        <v/>
      </c>
      <c r="J88" s="28" t="inlineStr"/>
    </row>
    <row r="89">
      <c r="B89" s="14" t="inlineStr">
        <is>
          <t>Tramo 0+004.00 - 0+006.00 (cruce de autos)</t>
        </is>
      </c>
      <c r="D89" s="26" t="n"/>
      <c r="E89" s="26" t="n"/>
      <c r="F89" s="26" t="n"/>
      <c r="G89" s="26" t="n"/>
      <c r="H89" s="27">
        <f>TRAMOS!M8</f>
        <v/>
      </c>
      <c r="J89" s="28" t="inlineStr"/>
    </row>
    <row r="90">
      <c r="B90" s="14" t="inlineStr">
        <is>
          <t>Tramo 0+006.00 - 0+008.00 (cruce de autos)</t>
        </is>
      </c>
      <c r="D90" s="26" t="n"/>
      <c r="E90" s="26" t="n"/>
      <c r="F90" s="26" t="n"/>
      <c r="G90" s="26" t="n"/>
      <c r="H90" s="27">
        <f>TRAMOS!M9</f>
        <v/>
      </c>
      <c r="J90" s="28" t="inlineStr"/>
    </row>
    <row r="91">
      <c r="B91" s="14" t="inlineStr">
        <is>
          <t>Tramo 0+008.00 - 0+010.00 (cruce de autos)</t>
        </is>
      </c>
      <c r="D91" s="26" t="n"/>
      <c r="E91" s="26" t="n"/>
      <c r="F91" s="26" t="n"/>
      <c r="G91" s="26" t="n"/>
      <c r="H91" s="27">
        <f>TRAMOS!M10</f>
        <v/>
      </c>
      <c r="J91" s="28" t="inlineStr"/>
    </row>
    <row r="92">
      <c r="B92" s="14" t="inlineStr">
        <is>
          <t>Tramo 0+010.00 - 0+012.00 (cruce de autos)</t>
        </is>
      </c>
      <c r="D92" s="26" t="n"/>
      <c r="E92" s="26" t="n"/>
      <c r="F92" s="26" t="n"/>
      <c r="G92" s="26" t="n"/>
      <c r="H92" s="27">
        <f>TRAMOS!M11</f>
        <v/>
      </c>
      <c r="J92" s="28" t="inlineStr"/>
    </row>
    <row r="93">
      <c r="B93" s="14" t="inlineStr">
        <is>
          <t>Tramo 0+012.00 - 0+014.00 (cruce de autos)</t>
        </is>
      </c>
      <c r="D93" s="26" t="n"/>
      <c r="E93" s="26" t="n"/>
      <c r="F93" s="26" t="n"/>
      <c r="G93" s="26" t="n"/>
      <c r="H93" s="27">
        <f>TRAMOS!M12</f>
        <v/>
      </c>
      <c r="J93" s="28" t="inlineStr"/>
    </row>
    <row r="94">
      <c r="B94" s="14" t="inlineStr">
        <is>
          <t>Tramo 0+014.00 - 0+016.00 (cruce de autos)</t>
        </is>
      </c>
      <c r="D94" s="26" t="n"/>
      <c r="E94" s="26" t="n"/>
      <c r="F94" s="26" t="n"/>
      <c r="G94" s="26" t="n"/>
      <c r="H94" s="27">
        <f>TRAMOS!M13</f>
        <v/>
      </c>
      <c r="J94" s="28" t="inlineStr"/>
    </row>
    <row r="95">
      <c r="B95" s="14" t="inlineStr">
        <is>
          <t>Tramo 0+016.00 - 0+018.00 (cruce de autos)</t>
        </is>
      </c>
      <c r="D95" s="26" t="n"/>
      <c r="E95" s="26" t="n"/>
      <c r="F95" s="26" t="n"/>
      <c r="G95" s="26" t="n"/>
      <c r="H95" s="27">
        <f>TRAMOS!M14</f>
        <v/>
      </c>
      <c r="J95" s="28" t="inlineStr"/>
    </row>
    <row r="96">
      <c r="B96" s="14" t="inlineStr">
        <is>
          <t>Tramo 0+018.00 - 0+018.45 (cruce de autos)</t>
        </is>
      </c>
      <c r="D96" s="26" t="n"/>
      <c r="E96" s="26" t="n"/>
      <c r="F96" s="26" t="n"/>
      <c r="G96" s="26" t="n"/>
      <c r="H96" s="27">
        <f>TRAMOS!M15</f>
        <v/>
      </c>
      <c r="J96" s="28" t="inlineStr"/>
    </row>
    <row r="97">
      <c r="B97" s="14" t="inlineStr">
        <is>
          <t>Tramo 0+018.45 - 0+020.00 (normal)</t>
        </is>
      </c>
      <c r="D97" s="26" t="n"/>
      <c r="E97" s="26" t="n"/>
      <c r="F97" s="26" t="n"/>
      <c r="G97" s="26" t="n"/>
      <c r="H97" s="27">
        <f>TRAMOS!M16</f>
        <v/>
      </c>
      <c r="J97" s="28" t="inlineStr"/>
    </row>
    <row r="98">
      <c r="B98" s="14" t="inlineStr">
        <is>
          <t>Tramo 0+020.00 - 0+022.00 (normal)</t>
        </is>
      </c>
      <c r="D98" s="26" t="n"/>
      <c r="E98" s="26" t="n"/>
      <c r="F98" s="26" t="n"/>
      <c r="G98" s="26" t="n"/>
      <c r="H98" s="27">
        <f>TRAMOS!M17</f>
        <v/>
      </c>
      <c r="J98" s="28" t="inlineStr"/>
    </row>
    <row r="99">
      <c r="B99" s="14" t="inlineStr">
        <is>
          <t>Tramo 0+022.00 - 0+024.00 (normal)</t>
        </is>
      </c>
      <c r="D99" s="26" t="n"/>
      <c r="E99" s="26" t="n"/>
      <c r="F99" s="26" t="n"/>
      <c r="G99" s="26" t="n"/>
      <c r="H99" s="27">
        <f>TRAMOS!M18</f>
        <v/>
      </c>
      <c r="J99" s="28" t="inlineStr"/>
    </row>
    <row r="100">
      <c r="B100" s="14" t="inlineStr">
        <is>
          <t>Tramo 0+024.00 - 0+026.00 (normal)</t>
        </is>
      </c>
      <c r="D100" s="26" t="n"/>
      <c r="E100" s="26" t="n"/>
      <c r="F100" s="26" t="n"/>
      <c r="G100" s="26" t="n"/>
      <c r="H100" s="27">
        <f>TRAMOS!M19</f>
        <v/>
      </c>
      <c r="J100" s="28" t="inlineStr"/>
    </row>
    <row r="101">
      <c r="B101" s="14" t="inlineStr">
        <is>
          <t>Tramo 0+026.00 - 0+028.00 (normal)</t>
        </is>
      </c>
      <c r="D101" s="26" t="n"/>
      <c r="E101" s="26" t="n"/>
      <c r="F101" s="26" t="n"/>
      <c r="G101" s="26" t="n"/>
      <c r="H101" s="27">
        <f>TRAMOS!M20</f>
        <v/>
      </c>
      <c r="J101" s="28" t="inlineStr"/>
    </row>
    <row r="102">
      <c r="B102" s="14" t="inlineStr">
        <is>
          <t>Tramo 0+028.00 - 0+030.00 (normal)</t>
        </is>
      </c>
      <c r="D102" s="26" t="n"/>
      <c r="E102" s="26" t="n"/>
      <c r="F102" s="26" t="n"/>
      <c r="G102" s="26" t="n"/>
      <c r="H102" s="27">
        <f>TRAMOS!M21</f>
        <v/>
      </c>
      <c r="J102" s="28" t="inlineStr"/>
    </row>
    <row r="103">
      <c r="B103" s="14" t="inlineStr">
        <is>
          <t>Tramo 0+030.00 - 0+032.00 (normal)</t>
        </is>
      </c>
      <c r="D103" s="26" t="n"/>
      <c r="E103" s="26" t="n"/>
      <c r="F103" s="26" t="n"/>
      <c r="G103" s="26" t="n"/>
      <c r="H103" s="27">
        <f>TRAMOS!M22</f>
        <v/>
      </c>
      <c r="J103" s="28" t="inlineStr"/>
    </row>
    <row r="104">
      <c r="B104" s="14" t="inlineStr">
        <is>
          <t>Tramo 0+032.00 - 0+034.00 (normal)</t>
        </is>
      </c>
      <c r="D104" s="26" t="n"/>
      <c r="E104" s="26" t="n"/>
      <c r="F104" s="26" t="n"/>
      <c r="G104" s="26" t="n"/>
      <c r="H104" s="27">
        <f>TRAMOS!M23</f>
        <v/>
      </c>
      <c r="J104" s="28" t="inlineStr"/>
    </row>
    <row r="105">
      <c r="B105" s="14" t="inlineStr">
        <is>
          <t>Tramo 0+034.00 - 0+035.04 (normal)</t>
        </is>
      </c>
      <c r="D105" s="26" t="n"/>
      <c r="E105" s="26" t="n"/>
      <c r="F105" s="26" t="n"/>
      <c r="G105" s="26" t="n"/>
      <c r="H105" s="27">
        <f>TRAMOS!M24</f>
        <v/>
      </c>
      <c r="J105" s="28" t="inlineStr"/>
    </row>
    <row r="106">
      <c r="B106" s="14" t="inlineStr">
        <is>
          <t>Tramo 0+035.04 - 0+036.00 (cruce de autos)</t>
        </is>
      </c>
      <c r="D106" s="26" t="n"/>
      <c r="E106" s="26" t="n"/>
      <c r="F106" s="26" t="n"/>
      <c r="G106" s="26" t="n"/>
      <c r="H106" s="27">
        <f>TRAMOS!M25</f>
        <v/>
      </c>
      <c r="J106" s="28" t="inlineStr"/>
    </row>
    <row r="107">
      <c r="B107" s="14" t="inlineStr">
        <is>
          <t>Tramo 0+036.00 - 0+038.00 (cruce de autos)</t>
        </is>
      </c>
      <c r="D107" s="26" t="n"/>
      <c r="E107" s="26" t="n"/>
      <c r="F107" s="26" t="n"/>
      <c r="G107" s="26" t="n"/>
      <c r="H107" s="27">
        <f>TRAMOS!M26</f>
        <v/>
      </c>
      <c r="J107" s="28" t="inlineStr"/>
    </row>
    <row r="108">
      <c r="B108" s="14" t="inlineStr">
        <is>
          <t>Tramo 0+038.00 - 0+040.00 (cruce de autos)</t>
        </is>
      </c>
      <c r="D108" s="26" t="n"/>
      <c r="E108" s="26" t="n"/>
      <c r="F108" s="26" t="n"/>
      <c r="G108" s="26" t="n"/>
      <c r="H108" s="27">
        <f>TRAMOS!M27</f>
        <v/>
      </c>
      <c r="J108" s="28" t="inlineStr"/>
    </row>
    <row r="109">
      <c r="B109" s="14" t="inlineStr">
        <is>
          <t>Tramo 0+040.00 - 0+042.00 (cruce de autos)</t>
        </is>
      </c>
      <c r="D109" s="26" t="n"/>
      <c r="E109" s="26" t="n"/>
      <c r="F109" s="26" t="n"/>
      <c r="G109" s="26" t="n"/>
      <c r="H109" s="27">
        <f>TRAMOS!M28</f>
        <v/>
      </c>
      <c r="J109" s="28" t="inlineStr"/>
    </row>
    <row r="110">
      <c r="B110" s="14" t="inlineStr">
        <is>
          <t>Tramo 0+042.00 - 0+044.00 (cruce de autos)</t>
        </is>
      </c>
      <c r="D110" s="26" t="n"/>
      <c r="E110" s="26" t="n"/>
      <c r="F110" s="26" t="n"/>
      <c r="G110" s="26" t="n"/>
      <c r="H110" s="27">
        <f>TRAMOS!M29</f>
        <v/>
      </c>
      <c r="J110" s="28" t="inlineStr"/>
    </row>
    <row r="111">
      <c r="B111" s="14" t="inlineStr">
        <is>
          <t>Tramo 0+044.00 - 0+046.00 (cruce de autos)</t>
        </is>
      </c>
      <c r="D111" s="26" t="n"/>
      <c r="E111" s="26" t="n"/>
      <c r="F111" s="26" t="n"/>
      <c r="G111" s="26" t="n"/>
      <c r="H111" s="27">
        <f>TRAMOS!M30</f>
        <v/>
      </c>
      <c r="J111" s="28" t="inlineStr"/>
    </row>
    <row r="112">
      <c r="B112" s="14" t="inlineStr">
        <is>
          <t>Tramo 0+046.00 - 0+048.00 (cruce de autos)</t>
        </is>
      </c>
      <c r="D112" s="26" t="n"/>
      <c r="E112" s="26" t="n"/>
      <c r="F112" s="26" t="n"/>
      <c r="G112" s="26" t="n"/>
      <c r="H112" s="27">
        <f>TRAMOS!M31</f>
        <v/>
      </c>
      <c r="J112" s="28" t="inlineStr"/>
    </row>
    <row r="113">
      <c r="B113" s="14" t="inlineStr">
        <is>
          <t>Tramo 0+048.00 - 0+050.00 (cruce de autos)</t>
        </is>
      </c>
      <c r="D113" s="26" t="n"/>
      <c r="E113" s="26" t="n"/>
      <c r="F113" s="26" t="n"/>
      <c r="G113" s="26" t="n"/>
      <c r="H113" s="27">
        <f>TRAMOS!M32</f>
        <v/>
      </c>
      <c r="J113" s="28" t="inlineStr"/>
    </row>
    <row r="114">
      <c r="B114" s="14" t="inlineStr">
        <is>
          <t>Tramo 0+050.00 - 0+051.86 (cruce de autos)</t>
        </is>
      </c>
      <c r="D114" s="26" t="n"/>
      <c r="E114" s="26" t="n"/>
      <c r="F114" s="26" t="n"/>
      <c r="G114" s="26" t="n"/>
      <c r="H114" s="27">
        <f>TRAMOS!M33</f>
        <v/>
      </c>
      <c r="J114" s="28" t="inlineStr"/>
    </row>
    <row r="115">
      <c r="B115" s="14" t="inlineStr">
        <is>
          <t>Tramo 0+051.86 - 0+052.00 (normal)</t>
        </is>
      </c>
      <c r="D115" s="26" t="n"/>
      <c r="E115" s="26" t="n"/>
      <c r="F115" s="26" t="n"/>
      <c r="G115" s="26" t="n"/>
      <c r="H115" s="27">
        <f>TRAMOS!M34</f>
        <v/>
      </c>
      <c r="J115" s="28" t="inlineStr"/>
    </row>
    <row r="116">
      <c r="B116" s="14" t="inlineStr">
        <is>
          <t>Tramo 0+052.00 - 0+054.00 (normal)</t>
        </is>
      </c>
      <c r="D116" s="26" t="n"/>
      <c r="E116" s="26" t="n"/>
      <c r="F116" s="26" t="n"/>
      <c r="G116" s="26" t="n"/>
      <c r="H116" s="27">
        <f>TRAMOS!M35</f>
        <v/>
      </c>
      <c r="J116" s="28" t="inlineStr"/>
    </row>
    <row r="117">
      <c r="B117" s="14" t="inlineStr">
        <is>
          <t>Tramo 0+054.00 - 0+056.00 (cruce de camiones)</t>
        </is>
      </c>
      <c r="D117" s="26" t="n"/>
      <c r="E117" s="26" t="n"/>
      <c r="F117" s="26" t="n"/>
      <c r="G117" s="26" t="n"/>
      <c r="H117" s="27">
        <f>TRAMOS!M36</f>
        <v/>
      </c>
      <c r="J117" s="28" t="inlineStr"/>
    </row>
    <row r="118">
      <c r="B118" s="14" t="inlineStr">
        <is>
          <t>Tramo 0+056.00 - 0+058.00 (cruce de camiones)</t>
        </is>
      </c>
      <c r="D118" s="26" t="n"/>
      <c r="E118" s="26" t="n"/>
      <c r="F118" s="26" t="n"/>
      <c r="G118" s="26" t="n"/>
      <c r="H118" s="27">
        <f>TRAMOS!M37</f>
        <v/>
      </c>
      <c r="J118" s="28" t="inlineStr"/>
    </row>
    <row r="119">
      <c r="B119" s="14" t="inlineStr">
        <is>
          <t>Tramo 0+058.00 - 0+060.00 (cruce de camiones)</t>
        </is>
      </c>
      <c r="D119" s="26" t="n"/>
      <c r="E119" s="26" t="n"/>
      <c r="F119" s="26" t="n"/>
      <c r="G119" s="26" t="n"/>
      <c r="H119" s="27">
        <f>TRAMOS!M38</f>
        <v/>
      </c>
      <c r="J119" s="28" t="inlineStr"/>
    </row>
    <row r="120">
      <c r="B120" s="14" t="inlineStr">
        <is>
          <t>Tramo 0+060.00 - 0+062.00 (normal)</t>
        </is>
      </c>
      <c r="D120" s="26" t="n"/>
      <c r="E120" s="26" t="n"/>
      <c r="F120" s="26" t="n"/>
      <c r="G120" s="26" t="n"/>
      <c r="H120" s="27">
        <f>TRAMOS!M39</f>
        <v/>
      </c>
      <c r="J120" s="28" t="inlineStr"/>
    </row>
    <row r="121">
      <c r="B121" s="14" t="inlineStr">
        <is>
          <t>Tramo 0+062.00 - 0+064.00 (normal)</t>
        </is>
      </c>
      <c r="D121" s="26" t="n"/>
      <c r="E121" s="26" t="n"/>
      <c r="F121" s="26" t="n"/>
      <c r="G121" s="26" t="n"/>
      <c r="H121" s="27">
        <f>TRAMOS!M40</f>
        <v/>
      </c>
      <c r="J121" s="28" t="inlineStr"/>
    </row>
    <row r="122">
      <c r="B122" s="14" t="inlineStr">
        <is>
          <t>Tramo 0+064.00 - 0+066.00 (normal)</t>
        </is>
      </c>
      <c r="D122" s="26" t="n"/>
      <c r="E122" s="26" t="n"/>
      <c r="F122" s="26" t="n"/>
      <c r="G122" s="26" t="n"/>
      <c r="H122" s="27">
        <f>TRAMOS!M41</f>
        <v/>
      </c>
      <c r="J122" s="28" t="inlineStr"/>
    </row>
    <row r="123">
      <c r="B123" s="14" t="inlineStr">
        <is>
          <t>Tramo 0+066.00 - 0+068.00 (normal)</t>
        </is>
      </c>
      <c r="D123" s="26" t="n"/>
      <c r="E123" s="26" t="n"/>
      <c r="F123" s="26" t="n"/>
      <c r="G123" s="26" t="n"/>
      <c r="H123" s="27">
        <f>TRAMOS!M42</f>
        <v/>
      </c>
      <c r="J123" s="28" t="inlineStr"/>
    </row>
    <row r="124">
      <c r="B124" s="14" t="inlineStr">
        <is>
          <t>Tramo 0+068.00 - 0+070.00 (normal)</t>
        </is>
      </c>
      <c r="D124" s="26" t="n"/>
      <c r="E124" s="26" t="n"/>
      <c r="F124" s="26" t="n"/>
      <c r="G124" s="26" t="n"/>
      <c r="H124" s="27">
        <f>TRAMOS!M43</f>
        <v/>
      </c>
      <c r="J124" s="28" t="inlineStr"/>
    </row>
    <row r="125">
      <c r="B125" s="14" t="inlineStr">
        <is>
          <t>Tramo 0+070.00 - 0+072.00 (normal)</t>
        </is>
      </c>
      <c r="D125" s="26" t="n"/>
      <c r="E125" s="26" t="n"/>
      <c r="F125" s="26" t="n"/>
      <c r="G125" s="26" t="n"/>
      <c r="H125" s="27">
        <f>TRAMOS!M44</f>
        <v/>
      </c>
      <c r="J125" s="28" t="inlineStr"/>
    </row>
    <row r="126">
      <c r="B126" s="14" t="inlineStr">
        <is>
          <t>Tramo 0+072.00 - 0+074.00 (normal)</t>
        </is>
      </c>
      <c r="D126" s="26" t="n"/>
      <c r="E126" s="26" t="n"/>
      <c r="F126" s="26" t="n"/>
      <c r="G126" s="26" t="n"/>
      <c r="H126" s="27">
        <f>TRAMOS!M45</f>
        <v/>
      </c>
      <c r="J126" s="28" t="inlineStr"/>
    </row>
    <row r="127">
      <c r="B127" s="14" t="inlineStr">
        <is>
          <t>Tramo 0+074.00 - 0+076.00 (normal)</t>
        </is>
      </c>
      <c r="D127" s="26" t="n"/>
      <c r="E127" s="26" t="n"/>
      <c r="F127" s="26" t="n"/>
      <c r="G127" s="26" t="n"/>
      <c r="H127" s="27">
        <f>TRAMOS!M46</f>
        <v/>
      </c>
      <c r="J127" s="28" t="inlineStr"/>
    </row>
    <row r="128">
      <c r="B128" s="14" t="inlineStr">
        <is>
          <t>Tramo 0+076.00 - 0+078.00 (normal)</t>
        </is>
      </c>
      <c r="D128" s="26" t="n"/>
      <c r="E128" s="26" t="n"/>
      <c r="F128" s="26" t="n"/>
      <c r="G128" s="26" t="n"/>
      <c r="H128" s="27">
        <f>TRAMOS!M47</f>
        <v/>
      </c>
      <c r="J128" s="28" t="inlineStr"/>
    </row>
    <row r="129">
      <c r="B129" s="14" t="inlineStr">
        <is>
          <t>Tramo 0+078.00 - 0+078.42 (normal)</t>
        </is>
      </c>
      <c r="D129" s="26" t="n"/>
      <c r="E129" s="26" t="n"/>
      <c r="F129" s="26" t="n"/>
      <c r="G129" s="26" t="n"/>
      <c r="H129" s="27">
        <f>TRAMOS!M48</f>
        <v/>
      </c>
      <c r="J129" s="28" t="inlineStr"/>
    </row>
    <row r="130">
      <c r="B130" s="14" t="inlineStr">
        <is>
          <t>Tramo 0+078.42 - 0+080.00 (normal)</t>
        </is>
      </c>
      <c r="D130" s="26" t="n"/>
      <c r="E130" s="26" t="n"/>
      <c r="F130" s="26" t="n"/>
      <c r="G130" s="26" t="n"/>
      <c r="H130" s="27">
        <f>TRAMOS!M49</f>
        <v/>
      </c>
      <c r="J130" s="28" t="inlineStr"/>
    </row>
    <row r="131">
      <c r="B131" s="14" t="inlineStr">
        <is>
          <t>Tramo 0+080.00 - 0+082.00 (normal)</t>
        </is>
      </c>
      <c r="D131" s="26" t="n"/>
      <c r="E131" s="26" t="n"/>
      <c r="F131" s="26" t="n"/>
      <c r="G131" s="26" t="n"/>
      <c r="H131" s="27">
        <f>TRAMOS!M50</f>
        <v/>
      </c>
      <c r="J131" s="28" t="inlineStr"/>
    </row>
    <row r="132">
      <c r="B132" s="14" t="inlineStr">
        <is>
          <t>Tramo 0+082.00 - 0+084.00 (normal)</t>
        </is>
      </c>
      <c r="D132" s="26" t="n"/>
      <c r="E132" s="26" t="n"/>
      <c r="F132" s="26" t="n"/>
      <c r="G132" s="26" t="n"/>
      <c r="H132" s="27">
        <f>TRAMOS!M51</f>
        <v/>
      </c>
      <c r="J132" s="28" t="inlineStr"/>
    </row>
    <row r="133">
      <c r="B133" s="14" t="inlineStr">
        <is>
          <t>Tramo 0+084.00 - 0+086.00 (normal)</t>
        </is>
      </c>
      <c r="D133" s="26" t="n"/>
      <c r="E133" s="26" t="n"/>
      <c r="F133" s="26" t="n"/>
      <c r="G133" s="26" t="n"/>
      <c r="H133" s="27">
        <f>TRAMOS!M52</f>
        <v/>
      </c>
      <c r="J133" s="28" t="inlineStr"/>
    </row>
    <row r="134">
      <c r="B134" s="14" t="inlineStr">
        <is>
          <t>Tramo 0+086.00 - 0+088.00 (normal)</t>
        </is>
      </c>
      <c r="D134" s="26" t="n"/>
      <c r="E134" s="26" t="n"/>
      <c r="F134" s="26" t="n"/>
      <c r="G134" s="26" t="n"/>
      <c r="H134" s="27">
        <f>TRAMOS!M53</f>
        <v/>
      </c>
      <c r="J134" s="28" t="inlineStr"/>
    </row>
    <row r="135">
      <c r="B135" s="14" t="inlineStr">
        <is>
          <t>Tramo 0+088.00 - 0+090.00 (normal)</t>
        </is>
      </c>
      <c r="D135" s="26" t="n"/>
      <c r="E135" s="26" t="n"/>
      <c r="F135" s="26" t="n"/>
      <c r="G135" s="26" t="n"/>
      <c r="H135" s="27">
        <f>TRAMOS!M54</f>
        <v/>
      </c>
      <c r="J135" s="28" t="inlineStr"/>
    </row>
    <row r="136">
      <c r="B136" s="14" t="inlineStr">
        <is>
          <t>Tramo 0+090.00 - 0+092.00 (normal)</t>
        </is>
      </c>
      <c r="D136" s="26" t="n"/>
      <c r="E136" s="26" t="n"/>
      <c r="F136" s="26" t="n"/>
      <c r="G136" s="26" t="n"/>
      <c r="H136" s="27">
        <f>TRAMOS!M55</f>
        <v/>
      </c>
      <c r="J136" s="28" t="inlineStr"/>
    </row>
    <row r="137">
      <c r="B137" s="14" t="inlineStr">
        <is>
          <t>Tramo 0+092.00 - 0+094.00 (normal)</t>
        </is>
      </c>
      <c r="D137" s="26" t="n"/>
      <c r="E137" s="26" t="n"/>
      <c r="F137" s="26" t="n"/>
      <c r="G137" s="26" t="n"/>
      <c r="H137" s="27">
        <f>TRAMOS!M56</f>
        <v/>
      </c>
      <c r="J137" s="28" t="inlineStr"/>
    </row>
    <row r="138">
      <c r="B138" s="14" t="inlineStr">
        <is>
          <t>Tramo 0+094.00 - 0+096.00 (normal)</t>
        </is>
      </c>
      <c r="D138" s="26" t="n"/>
      <c r="E138" s="26" t="n"/>
      <c r="F138" s="26" t="n"/>
      <c r="G138" s="26" t="n"/>
      <c r="H138" s="27">
        <f>TRAMOS!M57</f>
        <v/>
      </c>
      <c r="J138" s="28" t="inlineStr"/>
    </row>
    <row r="139">
      <c r="B139" s="14" t="inlineStr">
        <is>
          <t>Tramo 0+096.00 - 0+098.00 (normal)</t>
        </is>
      </c>
      <c r="D139" s="26" t="n"/>
      <c r="E139" s="26" t="n"/>
      <c r="F139" s="26" t="n"/>
      <c r="G139" s="26" t="n"/>
      <c r="H139" s="27">
        <f>TRAMOS!M58</f>
        <v/>
      </c>
      <c r="J139" s="28" t="inlineStr"/>
    </row>
    <row r="140">
      <c r="B140" s="14" t="inlineStr">
        <is>
          <t>Tramo 0+098.00 - 0+100.00 (normal)</t>
        </is>
      </c>
      <c r="D140" s="26" t="n"/>
      <c r="E140" s="26" t="n"/>
      <c r="F140" s="26" t="n"/>
      <c r="G140" s="26" t="n"/>
      <c r="H140" s="27">
        <f>TRAMOS!M59</f>
        <v/>
      </c>
      <c r="J140" s="28" t="inlineStr"/>
    </row>
    <row r="141">
      <c r="B141" s="14" t="inlineStr">
        <is>
          <t>Tramo 0+100.00 - 0+102.00 (normal)</t>
        </is>
      </c>
      <c r="D141" s="26" t="n"/>
      <c r="E141" s="26" t="n"/>
      <c r="F141" s="26" t="n"/>
      <c r="G141" s="26" t="n"/>
      <c r="H141" s="27">
        <f>TRAMOS!M60</f>
        <v/>
      </c>
      <c r="J141" s="28" t="inlineStr"/>
    </row>
    <row r="142">
      <c r="B142" s="14" t="inlineStr">
        <is>
          <t>Tramo 0+102.00 - 0+104.00 (normal)</t>
        </is>
      </c>
      <c r="D142" s="26" t="n"/>
      <c r="E142" s="26" t="n"/>
      <c r="F142" s="26" t="n"/>
      <c r="G142" s="26" t="n"/>
      <c r="H142" s="27">
        <f>TRAMOS!M61</f>
        <v/>
      </c>
      <c r="J142" s="28" t="inlineStr"/>
    </row>
    <row r="143">
      <c r="B143" s="14" t="inlineStr">
        <is>
          <t>Tramo 0+104.00 - 0+106.00 (normal)</t>
        </is>
      </c>
      <c r="D143" s="26" t="n"/>
      <c r="E143" s="26" t="n"/>
      <c r="F143" s="26" t="n"/>
      <c r="G143" s="26" t="n"/>
      <c r="H143" s="27">
        <f>TRAMOS!M62</f>
        <v/>
      </c>
      <c r="J143" s="28" t="inlineStr"/>
    </row>
    <row r="144">
      <c r="B144" s="14" t="inlineStr">
        <is>
          <t>Tramo 0+106.00 - 0+108.00 (normal)</t>
        </is>
      </c>
      <c r="D144" s="26" t="n"/>
      <c r="E144" s="26" t="n"/>
      <c r="F144" s="26" t="n"/>
      <c r="G144" s="26" t="n"/>
      <c r="H144" s="27">
        <f>TRAMOS!M63</f>
        <v/>
      </c>
      <c r="J144" s="28" t="inlineStr"/>
    </row>
    <row r="145">
      <c r="B145" s="14" t="inlineStr">
        <is>
          <t>Tramo 0+108.00 - 0+110.00 (normal)</t>
        </is>
      </c>
      <c r="D145" s="26" t="n"/>
      <c r="E145" s="26" t="n"/>
      <c r="F145" s="26" t="n"/>
      <c r="G145" s="26" t="n"/>
      <c r="H145" s="27">
        <f>TRAMOS!M64</f>
        <v/>
      </c>
      <c r="J145" s="28" t="inlineStr"/>
    </row>
    <row r="146">
      <c r="B146" s="14" t="inlineStr">
        <is>
          <t>Tramo 0+110.00 - 0+112.00 (normal)</t>
        </is>
      </c>
      <c r="D146" s="26" t="n"/>
      <c r="E146" s="26" t="n"/>
      <c r="F146" s="26" t="n"/>
      <c r="G146" s="26" t="n"/>
      <c r="H146" s="27">
        <f>TRAMOS!M65</f>
        <v/>
      </c>
      <c r="J146" s="28" t="inlineStr"/>
    </row>
    <row r="147">
      <c r="B147" s="14" t="inlineStr">
        <is>
          <t>Tramo 0+112.00 - 0+114.00 (normal)</t>
        </is>
      </c>
      <c r="D147" s="26" t="n"/>
      <c r="E147" s="26" t="n"/>
      <c r="F147" s="26" t="n"/>
      <c r="G147" s="26" t="n"/>
      <c r="H147" s="27">
        <f>TRAMOS!M66</f>
        <v/>
      </c>
      <c r="J147" s="28" t="inlineStr"/>
    </row>
    <row r="148">
      <c r="B148" s="14" t="inlineStr">
        <is>
          <t>Tramo 0+114.00 - 0+116.00 (normal)</t>
        </is>
      </c>
      <c r="D148" s="26" t="n"/>
      <c r="E148" s="26" t="n"/>
      <c r="F148" s="26" t="n"/>
      <c r="G148" s="26" t="n"/>
      <c r="H148" s="27">
        <f>TRAMOS!M67</f>
        <v/>
      </c>
      <c r="J148" s="28" t="inlineStr"/>
    </row>
    <row r="149">
      <c r="B149" s="14" t="inlineStr">
        <is>
          <t>Tramo 0+116.00 - 0+118.00 (normal)</t>
        </is>
      </c>
      <c r="D149" s="26" t="n"/>
      <c r="E149" s="26" t="n"/>
      <c r="F149" s="26" t="n"/>
      <c r="G149" s="26" t="n"/>
      <c r="H149" s="27">
        <f>TRAMOS!M68</f>
        <v/>
      </c>
      <c r="J149" s="28" t="inlineStr"/>
    </row>
    <row r="150">
      <c r="B150" s="14" t="inlineStr">
        <is>
          <t>Tramo 0+118.00 - 0+120.00 (normal)</t>
        </is>
      </c>
      <c r="D150" s="26" t="n"/>
      <c r="E150" s="26" t="n"/>
      <c r="F150" s="26" t="n"/>
      <c r="G150" s="26" t="n"/>
      <c r="H150" s="27">
        <f>TRAMOS!M69</f>
        <v/>
      </c>
      <c r="J150" s="28" t="inlineStr"/>
    </row>
    <row r="151">
      <c r="B151" s="14" t="inlineStr">
        <is>
          <t>Tramo 0+120.00 - 0+122.00 (normal)</t>
        </is>
      </c>
      <c r="D151" s="26" t="n"/>
      <c r="E151" s="26" t="n"/>
      <c r="F151" s="26" t="n"/>
      <c r="G151" s="26" t="n"/>
      <c r="H151" s="27">
        <f>TRAMOS!M70</f>
        <v/>
      </c>
      <c r="J151" s="28" t="inlineStr"/>
    </row>
    <row r="152">
      <c r="B152" s="14" t="inlineStr">
        <is>
          <t>Tramo 0+122.00 - 0+124.00 (normal)</t>
        </is>
      </c>
      <c r="D152" s="26" t="n"/>
      <c r="E152" s="26" t="n"/>
      <c r="F152" s="26" t="n"/>
      <c r="G152" s="26" t="n"/>
      <c r="H152" s="27">
        <f>TRAMOS!M71</f>
        <v/>
      </c>
      <c r="J152" s="28" t="inlineStr"/>
    </row>
    <row r="153">
      <c r="B153" s="14" t="inlineStr">
        <is>
          <t>Tramo 0+124.00 - 0+126.00 (normal)</t>
        </is>
      </c>
      <c r="D153" s="26" t="n"/>
      <c r="E153" s="26" t="n"/>
      <c r="F153" s="26" t="n"/>
      <c r="G153" s="26" t="n"/>
      <c r="H153" s="27">
        <f>TRAMOS!M72</f>
        <v/>
      </c>
      <c r="J153" s="28" t="inlineStr"/>
    </row>
    <row r="154">
      <c r="B154" s="14" t="inlineStr">
        <is>
          <t>Tramo 0+126.00 - 0+128.00 (normal)</t>
        </is>
      </c>
      <c r="D154" s="26" t="n"/>
      <c r="E154" s="26" t="n"/>
      <c r="F154" s="26" t="n"/>
      <c r="G154" s="26" t="n"/>
      <c r="H154" s="27">
        <f>TRAMOS!M73</f>
        <v/>
      </c>
      <c r="J154" s="28" t="inlineStr"/>
    </row>
    <row r="155">
      <c r="B155" s="14" t="inlineStr">
        <is>
          <t>Tramo 0+128.00 - 0+130.00 (normal)</t>
        </is>
      </c>
      <c r="D155" s="26" t="n"/>
      <c r="E155" s="26" t="n"/>
      <c r="F155" s="26" t="n"/>
      <c r="G155" s="26" t="n"/>
      <c r="H155" s="27">
        <f>TRAMOS!M74</f>
        <v/>
      </c>
      <c r="J155" s="28" t="inlineStr"/>
    </row>
    <row r="156">
      <c r="B156" s="14" t="inlineStr">
        <is>
          <t>Tramo 0+130.00 - 0+132.00 (normal)</t>
        </is>
      </c>
      <c r="D156" s="26" t="n"/>
      <c r="E156" s="26" t="n"/>
      <c r="F156" s="26" t="n"/>
      <c r="G156" s="26" t="n"/>
      <c r="H156" s="27">
        <f>TRAMOS!M75</f>
        <v/>
      </c>
      <c r="J156" s="28" t="inlineStr"/>
    </row>
    <row r="157">
      <c r="B157" s="14" t="inlineStr">
        <is>
          <t>Tramo 0+132.00 - 0+134.00 (normal)</t>
        </is>
      </c>
      <c r="D157" s="26" t="n"/>
      <c r="E157" s="26" t="n"/>
      <c r="F157" s="26" t="n"/>
      <c r="G157" s="26" t="n"/>
      <c r="H157" s="27">
        <f>TRAMOS!M76</f>
        <v/>
      </c>
      <c r="J157" s="28" t="inlineStr"/>
    </row>
    <row r="158">
      <c r="B158" s="14" t="inlineStr">
        <is>
          <t>Tramo 0+134.00 - 0+136.00 (normal)</t>
        </is>
      </c>
      <c r="D158" s="26" t="n"/>
      <c r="E158" s="26" t="n"/>
      <c r="F158" s="26" t="n"/>
      <c r="G158" s="26" t="n"/>
      <c r="H158" s="27">
        <f>TRAMOS!M77</f>
        <v/>
      </c>
      <c r="J158" s="28" t="inlineStr"/>
    </row>
    <row r="159">
      <c r="B159" s="14" t="inlineStr">
        <is>
          <t>Tramo 0+136.00 - 0+138.00 (normal)</t>
        </is>
      </c>
      <c r="D159" s="26" t="n"/>
      <c r="E159" s="26" t="n"/>
      <c r="F159" s="26" t="n"/>
      <c r="G159" s="26" t="n"/>
      <c r="H159" s="27">
        <f>TRAMOS!M78</f>
        <v/>
      </c>
      <c r="J159" s="28" t="inlineStr"/>
    </row>
    <row r="160">
      <c r="B160" s="14" t="inlineStr">
        <is>
          <t>Tramo 0+138.00 - 0+139.08 (normal)</t>
        </is>
      </c>
      <c r="D160" s="26" t="n"/>
      <c r="E160" s="26" t="n"/>
      <c r="F160" s="26" t="n"/>
      <c r="G160" s="26" t="n"/>
      <c r="H160" s="27">
        <f>TRAMOS!M79</f>
        <v/>
      </c>
      <c r="J160" s="28" t="inlineStr"/>
    </row>
    <row r="161">
      <c r="B161" s="25" t="inlineStr">
        <is>
          <t>Descuentos</t>
        </is>
      </c>
    </row>
    <row r="162">
      <c r="B162" s="14" t="inlineStr">
        <is>
          <t>(-) Ventanas de empalme de cunetas 0.40 x 0.30</t>
        </is>
      </c>
      <c r="D162" s="29">
        <f>-DATOS!$B$37</f>
        <v/>
      </c>
      <c r="E162" s="26" t="n">
        <v>0.4</v>
      </c>
      <c r="F162" s="26" t="n">
        <v>0.1</v>
      </c>
      <c r="G162" s="26" t="n">
        <v>0.3</v>
      </c>
      <c r="H162" s="27">
        <f>D162*E162*F162*G162</f>
        <v/>
      </c>
      <c r="J162" s="28" t="inlineStr"/>
    </row>
    <row r="163">
      <c r="G163" s="9" t="inlineStr">
        <is>
          <t>TOTAL</t>
        </is>
      </c>
      <c r="I163" s="11">
        <f>SUM(H85:H162)</f>
        <v/>
      </c>
    </row>
    <row r="165">
      <c r="A165" s="4" t="inlineStr">
        <is>
          <t>04.03</t>
        </is>
      </c>
      <c r="B165" s="23" t="inlineStr">
        <is>
          <t>CONCRETO f'c=210 kg/cm2 - LOSA SUPERIOR (vaciada con los muros)</t>
        </is>
      </c>
      <c r="C165" s="24" t="inlineStr">
        <is>
          <t>m3</t>
        </is>
      </c>
      <c r="D165" s="5" t="n"/>
      <c r="E165" s="5" t="n"/>
      <c r="F165" s="5" t="n"/>
      <c r="G165" s="5" t="n"/>
      <c r="H165" s="5" t="n"/>
      <c r="I165" s="5" t="n"/>
      <c r="J165" s="5" t="n"/>
    </row>
    <row r="166">
      <c r="B166" s="25" t="inlineStr">
        <is>
          <t>ancho exterior x e losa x longitud</t>
        </is>
      </c>
    </row>
    <row r="167">
      <c r="B167" s="14" t="inlineStr">
        <is>
          <t>Tramo 0+000.00 - 0+002.00 (normal)</t>
        </is>
      </c>
      <c r="D167" s="26" t="n"/>
      <c r="E167" s="26" t="n"/>
      <c r="F167" s="26" t="n"/>
      <c r="G167" s="26" t="n"/>
      <c r="H167" s="27">
        <f>TRAMOS!N5</f>
        <v/>
      </c>
      <c r="J167" s="28" t="inlineStr"/>
    </row>
    <row r="168">
      <c r="B168" s="14" t="inlineStr">
        <is>
          <t>Tramo 0+002.00 - 0+002.74 (normal)</t>
        </is>
      </c>
      <c r="D168" s="26" t="n"/>
      <c r="E168" s="26" t="n"/>
      <c r="F168" s="26" t="n"/>
      <c r="G168" s="26" t="n"/>
      <c r="H168" s="27">
        <f>TRAMOS!N6</f>
        <v/>
      </c>
      <c r="J168" s="28" t="inlineStr"/>
    </row>
    <row r="169">
      <c r="B169" s="14" t="inlineStr">
        <is>
          <t>Tramo 0+002.74 - 0+004.00 (cruce de autos)</t>
        </is>
      </c>
      <c r="D169" s="26" t="n"/>
      <c r="E169" s="26" t="n"/>
      <c r="F169" s="26" t="n"/>
      <c r="G169" s="26" t="n"/>
      <c r="H169" s="27">
        <f>TRAMOS!N7</f>
        <v/>
      </c>
      <c r="J169" s="28" t="inlineStr"/>
    </row>
    <row r="170">
      <c r="B170" s="14" t="inlineStr">
        <is>
          <t>Tramo 0+004.00 - 0+006.00 (cruce de autos)</t>
        </is>
      </c>
      <c r="D170" s="26" t="n"/>
      <c r="E170" s="26" t="n"/>
      <c r="F170" s="26" t="n"/>
      <c r="G170" s="26" t="n"/>
      <c r="H170" s="27">
        <f>TRAMOS!N8</f>
        <v/>
      </c>
      <c r="J170" s="28" t="inlineStr"/>
    </row>
    <row r="171">
      <c r="B171" s="14" t="inlineStr">
        <is>
          <t>Tramo 0+006.00 - 0+008.00 (cruce de autos)</t>
        </is>
      </c>
      <c r="D171" s="26" t="n"/>
      <c r="E171" s="26" t="n"/>
      <c r="F171" s="26" t="n"/>
      <c r="G171" s="26" t="n"/>
      <c r="H171" s="27">
        <f>TRAMOS!N9</f>
        <v/>
      </c>
      <c r="J171" s="28" t="inlineStr"/>
    </row>
    <row r="172">
      <c r="B172" s="14" t="inlineStr">
        <is>
          <t>Tramo 0+008.00 - 0+010.00 (cruce de autos)</t>
        </is>
      </c>
      <c r="D172" s="26" t="n"/>
      <c r="E172" s="26" t="n"/>
      <c r="F172" s="26" t="n"/>
      <c r="G172" s="26" t="n"/>
      <c r="H172" s="27">
        <f>TRAMOS!N10</f>
        <v/>
      </c>
      <c r="J172" s="28" t="inlineStr"/>
    </row>
    <row r="173">
      <c r="B173" s="14" t="inlineStr">
        <is>
          <t>Tramo 0+010.00 - 0+012.00 (cruce de autos)</t>
        </is>
      </c>
      <c r="D173" s="26" t="n"/>
      <c r="E173" s="26" t="n"/>
      <c r="F173" s="26" t="n"/>
      <c r="G173" s="26" t="n"/>
      <c r="H173" s="27">
        <f>TRAMOS!N11</f>
        <v/>
      </c>
      <c r="J173" s="28" t="inlineStr"/>
    </row>
    <row r="174">
      <c r="B174" s="14" t="inlineStr">
        <is>
          <t>Tramo 0+012.00 - 0+014.00 (cruce de autos)</t>
        </is>
      </c>
      <c r="D174" s="26" t="n"/>
      <c r="E174" s="26" t="n"/>
      <c r="F174" s="26" t="n"/>
      <c r="G174" s="26" t="n"/>
      <c r="H174" s="27">
        <f>TRAMOS!N12</f>
        <v/>
      </c>
      <c r="J174" s="28" t="inlineStr"/>
    </row>
    <row r="175">
      <c r="B175" s="14" t="inlineStr">
        <is>
          <t>Tramo 0+014.00 - 0+016.00 (cruce de autos)</t>
        </is>
      </c>
      <c r="D175" s="26" t="n"/>
      <c r="E175" s="26" t="n"/>
      <c r="F175" s="26" t="n"/>
      <c r="G175" s="26" t="n"/>
      <c r="H175" s="27">
        <f>TRAMOS!N13</f>
        <v/>
      </c>
      <c r="J175" s="28" t="inlineStr"/>
    </row>
    <row r="176">
      <c r="B176" s="14" t="inlineStr">
        <is>
          <t>Tramo 0+016.00 - 0+018.00 (cruce de autos)</t>
        </is>
      </c>
      <c r="D176" s="26" t="n"/>
      <c r="E176" s="26" t="n"/>
      <c r="F176" s="26" t="n"/>
      <c r="G176" s="26" t="n"/>
      <c r="H176" s="27">
        <f>TRAMOS!N14</f>
        <v/>
      </c>
      <c r="J176" s="28" t="inlineStr"/>
    </row>
    <row r="177">
      <c r="B177" s="14" t="inlineStr">
        <is>
          <t>Tramo 0+018.00 - 0+018.45 (cruce de autos)</t>
        </is>
      </c>
      <c r="D177" s="26" t="n"/>
      <c r="E177" s="26" t="n"/>
      <c r="F177" s="26" t="n"/>
      <c r="G177" s="26" t="n"/>
      <c r="H177" s="27">
        <f>TRAMOS!N15</f>
        <v/>
      </c>
      <c r="J177" s="28" t="inlineStr"/>
    </row>
    <row r="178">
      <c r="B178" s="14" t="inlineStr">
        <is>
          <t>Tramo 0+018.45 - 0+020.00 (normal)</t>
        </is>
      </c>
      <c r="D178" s="26" t="n"/>
      <c r="E178" s="26" t="n"/>
      <c r="F178" s="26" t="n"/>
      <c r="G178" s="26" t="n"/>
      <c r="H178" s="27">
        <f>TRAMOS!N16</f>
        <v/>
      </c>
      <c r="J178" s="28" t="inlineStr"/>
    </row>
    <row r="179">
      <c r="B179" s="14" t="inlineStr">
        <is>
          <t>Tramo 0+020.00 - 0+022.00 (normal)</t>
        </is>
      </c>
      <c r="D179" s="26" t="n"/>
      <c r="E179" s="26" t="n"/>
      <c r="F179" s="26" t="n"/>
      <c r="G179" s="26" t="n"/>
      <c r="H179" s="27">
        <f>TRAMOS!N17</f>
        <v/>
      </c>
      <c r="J179" s="28" t="inlineStr"/>
    </row>
    <row r="180">
      <c r="B180" s="14" t="inlineStr">
        <is>
          <t>Tramo 0+022.00 - 0+024.00 (normal)</t>
        </is>
      </c>
      <c r="D180" s="26" t="n"/>
      <c r="E180" s="26" t="n"/>
      <c r="F180" s="26" t="n"/>
      <c r="G180" s="26" t="n"/>
      <c r="H180" s="27">
        <f>TRAMOS!N18</f>
        <v/>
      </c>
      <c r="J180" s="28" t="inlineStr"/>
    </row>
    <row r="181">
      <c r="B181" s="14" t="inlineStr">
        <is>
          <t>Tramo 0+024.00 - 0+026.00 (normal)</t>
        </is>
      </c>
      <c r="D181" s="26" t="n"/>
      <c r="E181" s="26" t="n"/>
      <c r="F181" s="26" t="n"/>
      <c r="G181" s="26" t="n"/>
      <c r="H181" s="27">
        <f>TRAMOS!N19</f>
        <v/>
      </c>
      <c r="J181" s="28" t="inlineStr"/>
    </row>
    <row r="182">
      <c r="B182" s="14" t="inlineStr">
        <is>
          <t>Tramo 0+026.00 - 0+028.00 (normal)</t>
        </is>
      </c>
      <c r="D182" s="26" t="n"/>
      <c r="E182" s="26" t="n"/>
      <c r="F182" s="26" t="n"/>
      <c r="G182" s="26" t="n"/>
      <c r="H182" s="27">
        <f>TRAMOS!N20</f>
        <v/>
      </c>
      <c r="J182" s="28" t="inlineStr"/>
    </row>
    <row r="183">
      <c r="B183" s="14" t="inlineStr">
        <is>
          <t>Tramo 0+028.00 - 0+030.00 (normal)</t>
        </is>
      </c>
      <c r="D183" s="26" t="n"/>
      <c r="E183" s="26" t="n"/>
      <c r="F183" s="26" t="n"/>
      <c r="G183" s="26" t="n"/>
      <c r="H183" s="27">
        <f>TRAMOS!N21</f>
        <v/>
      </c>
      <c r="J183" s="28" t="inlineStr"/>
    </row>
    <row r="184">
      <c r="B184" s="14" t="inlineStr">
        <is>
          <t>Tramo 0+030.00 - 0+032.00 (normal)</t>
        </is>
      </c>
      <c r="D184" s="26" t="n"/>
      <c r="E184" s="26" t="n"/>
      <c r="F184" s="26" t="n"/>
      <c r="G184" s="26" t="n"/>
      <c r="H184" s="27">
        <f>TRAMOS!N22</f>
        <v/>
      </c>
      <c r="J184" s="28" t="inlineStr"/>
    </row>
    <row r="185">
      <c r="B185" s="14" t="inlineStr">
        <is>
          <t>Tramo 0+032.00 - 0+034.00 (normal)</t>
        </is>
      </c>
      <c r="D185" s="26" t="n"/>
      <c r="E185" s="26" t="n"/>
      <c r="F185" s="26" t="n"/>
      <c r="G185" s="26" t="n"/>
      <c r="H185" s="27">
        <f>TRAMOS!N23</f>
        <v/>
      </c>
      <c r="J185" s="28" t="inlineStr"/>
    </row>
    <row r="186">
      <c r="B186" s="14" t="inlineStr">
        <is>
          <t>Tramo 0+034.00 - 0+035.04 (normal)</t>
        </is>
      </c>
      <c r="D186" s="26" t="n"/>
      <c r="E186" s="26" t="n"/>
      <c r="F186" s="26" t="n"/>
      <c r="G186" s="26" t="n"/>
      <c r="H186" s="27">
        <f>TRAMOS!N24</f>
        <v/>
      </c>
      <c r="J186" s="28" t="inlineStr"/>
    </row>
    <row r="187">
      <c r="B187" s="14" t="inlineStr">
        <is>
          <t>Tramo 0+035.04 - 0+036.00 (cruce de autos)</t>
        </is>
      </c>
      <c r="D187" s="26" t="n"/>
      <c r="E187" s="26" t="n"/>
      <c r="F187" s="26" t="n"/>
      <c r="G187" s="26" t="n"/>
      <c r="H187" s="27">
        <f>TRAMOS!N25</f>
        <v/>
      </c>
      <c r="J187" s="28" t="inlineStr"/>
    </row>
    <row r="188">
      <c r="B188" s="14" t="inlineStr">
        <is>
          <t>Tramo 0+036.00 - 0+038.00 (cruce de autos)</t>
        </is>
      </c>
      <c r="D188" s="26" t="n"/>
      <c r="E188" s="26" t="n"/>
      <c r="F188" s="26" t="n"/>
      <c r="G188" s="26" t="n"/>
      <c r="H188" s="27">
        <f>TRAMOS!N26</f>
        <v/>
      </c>
      <c r="J188" s="28" t="inlineStr"/>
    </row>
    <row r="189">
      <c r="B189" s="14" t="inlineStr">
        <is>
          <t>Tramo 0+038.00 - 0+040.00 (cruce de autos)</t>
        </is>
      </c>
      <c r="D189" s="26" t="n"/>
      <c r="E189" s="26" t="n"/>
      <c r="F189" s="26" t="n"/>
      <c r="G189" s="26" t="n"/>
      <c r="H189" s="27">
        <f>TRAMOS!N27</f>
        <v/>
      </c>
      <c r="J189" s="28" t="inlineStr"/>
    </row>
    <row r="190">
      <c r="B190" s="14" t="inlineStr">
        <is>
          <t>Tramo 0+040.00 - 0+042.00 (cruce de autos)</t>
        </is>
      </c>
      <c r="D190" s="26" t="n"/>
      <c r="E190" s="26" t="n"/>
      <c r="F190" s="26" t="n"/>
      <c r="G190" s="26" t="n"/>
      <c r="H190" s="27">
        <f>TRAMOS!N28</f>
        <v/>
      </c>
      <c r="J190" s="28" t="inlineStr"/>
    </row>
    <row r="191">
      <c r="B191" s="14" t="inlineStr">
        <is>
          <t>Tramo 0+042.00 - 0+044.00 (cruce de autos)</t>
        </is>
      </c>
      <c r="D191" s="26" t="n"/>
      <c r="E191" s="26" t="n"/>
      <c r="F191" s="26" t="n"/>
      <c r="G191" s="26" t="n"/>
      <c r="H191" s="27">
        <f>TRAMOS!N29</f>
        <v/>
      </c>
      <c r="J191" s="28" t="inlineStr"/>
    </row>
    <row r="192">
      <c r="B192" s="14" t="inlineStr">
        <is>
          <t>Tramo 0+044.00 - 0+046.00 (cruce de autos)</t>
        </is>
      </c>
      <c r="D192" s="26" t="n"/>
      <c r="E192" s="26" t="n"/>
      <c r="F192" s="26" t="n"/>
      <c r="G192" s="26" t="n"/>
      <c r="H192" s="27">
        <f>TRAMOS!N30</f>
        <v/>
      </c>
      <c r="J192" s="28" t="inlineStr"/>
    </row>
    <row r="193">
      <c r="B193" s="14" t="inlineStr">
        <is>
          <t>Tramo 0+046.00 - 0+048.00 (cruce de autos)</t>
        </is>
      </c>
      <c r="D193" s="26" t="n"/>
      <c r="E193" s="26" t="n"/>
      <c r="F193" s="26" t="n"/>
      <c r="G193" s="26" t="n"/>
      <c r="H193" s="27">
        <f>TRAMOS!N31</f>
        <v/>
      </c>
      <c r="J193" s="28" t="inlineStr"/>
    </row>
    <row r="194">
      <c r="B194" s="14" t="inlineStr">
        <is>
          <t>Tramo 0+048.00 - 0+050.00 (cruce de autos)</t>
        </is>
      </c>
      <c r="D194" s="26" t="n"/>
      <c r="E194" s="26" t="n"/>
      <c r="F194" s="26" t="n"/>
      <c r="G194" s="26" t="n"/>
      <c r="H194" s="27">
        <f>TRAMOS!N32</f>
        <v/>
      </c>
      <c r="J194" s="28" t="inlineStr"/>
    </row>
    <row r="195">
      <c r="B195" s="14" t="inlineStr">
        <is>
          <t>Tramo 0+050.00 - 0+051.86 (cruce de autos)</t>
        </is>
      </c>
      <c r="D195" s="26" t="n"/>
      <c r="E195" s="26" t="n"/>
      <c r="F195" s="26" t="n"/>
      <c r="G195" s="26" t="n"/>
      <c r="H195" s="27">
        <f>TRAMOS!N33</f>
        <v/>
      </c>
      <c r="J195" s="28" t="inlineStr"/>
    </row>
    <row r="196">
      <c r="B196" s="14" t="inlineStr">
        <is>
          <t>Tramo 0+051.86 - 0+052.00 (normal)</t>
        </is>
      </c>
      <c r="D196" s="26" t="n"/>
      <c r="E196" s="26" t="n"/>
      <c r="F196" s="26" t="n"/>
      <c r="G196" s="26" t="n"/>
      <c r="H196" s="27">
        <f>TRAMOS!N34</f>
        <v/>
      </c>
      <c r="J196" s="28" t="inlineStr"/>
    </row>
    <row r="197">
      <c r="B197" s="14" t="inlineStr">
        <is>
          <t>Tramo 0+052.00 - 0+054.00 (normal)</t>
        </is>
      </c>
      <c r="D197" s="26" t="n"/>
      <c r="E197" s="26" t="n"/>
      <c r="F197" s="26" t="n"/>
      <c r="G197" s="26" t="n"/>
      <c r="H197" s="27">
        <f>TRAMOS!N35</f>
        <v/>
      </c>
      <c r="J197" s="28" t="inlineStr"/>
    </row>
    <row r="198">
      <c r="B198" s="14" t="inlineStr">
        <is>
          <t>Tramo 0+054.00 - 0+056.00 (cruce de camiones)</t>
        </is>
      </c>
      <c r="D198" s="26" t="n"/>
      <c r="E198" s="26" t="n"/>
      <c r="F198" s="26" t="n"/>
      <c r="G198" s="26" t="n"/>
      <c r="H198" s="27">
        <f>TRAMOS!N36</f>
        <v/>
      </c>
      <c r="J198" s="28" t="inlineStr"/>
    </row>
    <row r="199">
      <c r="B199" s="14" t="inlineStr">
        <is>
          <t>Tramo 0+056.00 - 0+058.00 (cruce de camiones)</t>
        </is>
      </c>
      <c r="D199" s="26" t="n"/>
      <c r="E199" s="26" t="n"/>
      <c r="F199" s="26" t="n"/>
      <c r="G199" s="26" t="n"/>
      <c r="H199" s="27">
        <f>TRAMOS!N37</f>
        <v/>
      </c>
      <c r="J199" s="28" t="inlineStr"/>
    </row>
    <row r="200">
      <c r="B200" s="14" t="inlineStr">
        <is>
          <t>Tramo 0+058.00 - 0+060.00 (cruce de camiones)</t>
        </is>
      </c>
      <c r="D200" s="26" t="n"/>
      <c r="E200" s="26" t="n"/>
      <c r="F200" s="26" t="n"/>
      <c r="G200" s="26" t="n"/>
      <c r="H200" s="27">
        <f>TRAMOS!N38</f>
        <v/>
      </c>
      <c r="J200" s="28" t="inlineStr"/>
    </row>
    <row r="201">
      <c r="B201" s="14" t="inlineStr">
        <is>
          <t>Tramo 0+060.00 - 0+062.00 (normal)</t>
        </is>
      </c>
      <c r="D201" s="26" t="n"/>
      <c r="E201" s="26" t="n"/>
      <c r="F201" s="26" t="n"/>
      <c r="G201" s="26" t="n"/>
      <c r="H201" s="27">
        <f>TRAMOS!N39</f>
        <v/>
      </c>
      <c r="J201" s="28" t="inlineStr"/>
    </row>
    <row r="202">
      <c r="B202" s="14" t="inlineStr">
        <is>
          <t>Tramo 0+062.00 - 0+064.00 (normal)</t>
        </is>
      </c>
      <c r="D202" s="26" t="n"/>
      <c r="E202" s="26" t="n"/>
      <c r="F202" s="26" t="n"/>
      <c r="G202" s="26" t="n"/>
      <c r="H202" s="27">
        <f>TRAMOS!N40</f>
        <v/>
      </c>
      <c r="J202" s="28" t="inlineStr"/>
    </row>
    <row r="203">
      <c r="B203" s="14" t="inlineStr">
        <is>
          <t>Tramo 0+064.00 - 0+066.00 (normal)</t>
        </is>
      </c>
      <c r="D203" s="26" t="n"/>
      <c r="E203" s="26" t="n"/>
      <c r="F203" s="26" t="n"/>
      <c r="G203" s="26" t="n"/>
      <c r="H203" s="27">
        <f>TRAMOS!N41</f>
        <v/>
      </c>
      <c r="J203" s="28" t="inlineStr"/>
    </row>
    <row r="204">
      <c r="B204" s="14" t="inlineStr">
        <is>
          <t>Tramo 0+066.00 - 0+068.00 (normal)</t>
        </is>
      </c>
      <c r="D204" s="26" t="n"/>
      <c r="E204" s="26" t="n"/>
      <c r="F204" s="26" t="n"/>
      <c r="G204" s="26" t="n"/>
      <c r="H204" s="27">
        <f>TRAMOS!N42</f>
        <v/>
      </c>
      <c r="J204" s="28" t="inlineStr"/>
    </row>
    <row r="205">
      <c r="B205" s="14" t="inlineStr">
        <is>
          <t>Tramo 0+068.00 - 0+070.00 (normal)</t>
        </is>
      </c>
      <c r="D205" s="26" t="n"/>
      <c r="E205" s="26" t="n"/>
      <c r="F205" s="26" t="n"/>
      <c r="G205" s="26" t="n"/>
      <c r="H205" s="27">
        <f>TRAMOS!N43</f>
        <v/>
      </c>
      <c r="J205" s="28" t="inlineStr"/>
    </row>
    <row r="206">
      <c r="B206" s="14" t="inlineStr">
        <is>
          <t>Tramo 0+070.00 - 0+072.00 (normal)</t>
        </is>
      </c>
      <c r="D206" s="26" t="n"/>
      <c r="E206" s="26" t="n"/>
      <c r="F206" s="26" t="n"/>
      <c r="G206" s="26" t="n"/>
      <c r="H206" s="27">
        <f>TRAMOS!N44</f>
        <v/>
      </c>
      <c r="J206" s="28" t="inlineStr"/>
    </row>
    <row r="207">
      <c r="B207" s="14" t="inlineStr">
        <is>
          <t>Tramo 0+072.00 - 0+074.00 (normal)</t>
        </is>
      </c>
      <c r="D207" s="26" t="n"/>
      <c r="E207" s="26" t="n"/>
      <c r="F207" s="26" t="n"/>
      <c r="G207" s="26" t="n"/>
      <c r="H207" s="27">
        <f>TRAMOS!N45</f>
        <v/>
      </c>
      <c r="J207" s="28" t="inlineStr"/>
    </row>
    <row r="208">
      <c r="B208" s="14" t="inlineStr">
        <is>
          <t>Tramo 0+074.00 - 0+076.00 (normal)</t>
        </is>
      </c>
      <c r="D208" s="26" t="n"/>
      <c r="E208" s="26" t="n"/>
      <c r="F208" s="26" t="n"/>
      <c r="G208" s="26" t="n"/>
      <c r="H208" s="27">
        <f>TRAMOS!N46</f>
        <v/>
      </c>
      <c r="J208" s="28" t="inlineStr"/>
    </row>
    <row r="209">
      <c r="B209" s="14" t="inlineStr">
        <is>
          <t>Tramo 0+076.00 - 0+078.00 (normal)</t>
        </is>
      </c>
      <c r="D209" s="26" t="n"/>
      <c r="E209" s="26" t="n"/>
      <c r="F209" s="26" t="n"/>
      <c r="G209" s="26" t="n"/>
      <c r="H209" s="27">
        <f>TRAMOS!N47</f>
        <v/>
      </c>
      <c r="J209" s="28" t="inlineStr"/>
    </row>
    <row r="210">
      <c r="B210" s="14" t="inlineStr">
        <is>
          <t>Tramo 0+078.00 - 0+078.42 (normal)</t>
        </is>
      </c>
      <c r="D210" s="26" t="n"/>
      <c r="E210" s="26" t="n"/>
      <c r="F210" s="26" t="n"/>
      <c r="G210" s="26" t="n"/>
      <c r="H210" s="27">
        <f>TRAMOS!N48</f>
        <v/>
      </c>
      <c r="J210" s="28" t="inlineStr"/>
    </row>
    <row r="211">
      <c r="B211" s="14" t="inlineStr">
        <is>
          <t>Tramo 0+078.42 - 0+080.00 (normal)</t>
        </is>
      </c>
      <c r="D211" s="26" t="n"/>
      <c r="E211" s="26" t="n"/>
      <c r="F211" s="26" t="n"/>
      <c r="G211" s="26" t="n"/>
      <c r="H211" s="27">
        <f>TRAMOS!N49</f>
        <v/>
      </c>
      <c r="J211" s="28" t="inlineStr"/>
    </row>
    <row r="212">
      <c r="B212" s="14" t="inlineStr">
        <is>
          <t>Tramo 0+080.00 - 0+082.00 (normal)</t>
        </is>
      </c>
      <c r="D212" s="26" t="n"/>
      <c r="E212" s="26" t="n"/>
      <c r="F212" s="26" t="n"/>
      <c r="G212" s="26" t="n"/>
      <c r="H212" s="27">
        <f>TRAMOS!N50</f>
        <v/>
      </c>
      <c r="J212" s="28" t="inlineStr"/>
    </row>
    <row r="213">
      <c r="B213" s="14" t="inlineStr">
        <is>
          <t>Tramo 0+082.00 - 0+084.00 (normal)</t>
        </is>
      </c>
      <c r="D213" s="26" t="n"/>
      <c r="E213" s="26" t="n"/>
      <c r="F213" s="26" t="n"/>
      <c r="G213" s="26" t="n"/>
      <c r="H213" s="27">
        <f>TRAMOS!N51</f>
        <v/>
      </c>
      <c r="J213" s="28" t="inlineStr"/>
    </row>
    <row r="214">
      <c r="B214" s="14" t="inlineStr">
        <is>
          <t>Tramo 0+084.00 - 0+086.00 (normal)</t>
        </is>
      </c>
      <c r="D214" s="26" t="n"/>
      <c r="E214" s="26" t="n"/>
      <c r="F214" s="26" t="n"/>
      <c r="G214" s="26" t="n"/>
      <c r="H214" s="27">
        <f>TRAMOS!N52</f>
        <v/>
      </c>
      <c r="J214" s="28" t="inlineStr"/>
    </row>
    <row r="215">
      <c r="B215" s="14" t="inlineStr">
        <is>
          <t>Tramo 0+086.00 - 0+088.00 (normal)</t>
        </is>
      </c>
      <c r="D215" s="26" t="n"/>
      <c r="E215" s="26" t="n"/>
      <c r="F215" s="26" t="n"/>
      <c r="G215" s="26" t="n"/>
      <c r="H215" s="27">
        <f>TRAMOS!N53</f>
        <v/>
      </c>
      <c r="J215" s="28" t="inlineStr"/>
    </row>
    <row r="216">
      <c r="B216" s="14" t="inlineStr">
        <is>
          <t>Tramo 0+088.00 - 0+090.00 (normal)</t>
        </is>
      </c>
      <c r="D216" s="26" t="n"/>
      <c r="E216" s="26" t="n"/>
      <c r="F216" s="26" t="n"/>
      <c r="G216" s="26" t="n"/>
      <c r="H216" s="27">
        <f>TRAMOS!N54</f>
        <v/>
      </c>
      <c r="J216" s="28" t="inlineStr"/>
    </row>
    <row r="217">
      <c r="B217" s="14" t="inlineStr">
        <is>
          <t>Tramo 0+090.00 - 0+092.00 (normal)</t>
        </is>
      </c>
      <c r="D217" s="26" t="n"/>
      <c r="E217" s="26" t="n"/>
      <c r="F217" s="26" t="n"/>
      <c r="G217" s="26" t="n"/>
      <c r="H217" s="27">
        <f>TRAMOS!N55</f>
        <v/>
      </c>
      <c r="J217" s="28" t="inlineStr"/>
    </row>
    <row r="218">
      <c r="B218" s="14" t="inlineStr">
        <is>
          <t>Tramo 0+092.00 - 0+094.00 (normal)</t>
        </is>
      </c>
      <c r="D218" s="26" t="n"/>
      <c r="E218" s="26" t="n"/>
      <c r="F218" s="26" t="n"/>
      <c r="G218" s="26" t="n"/>
      <c r="H218" s="27">
        <f>TRAMOS!N56</f>
        <v/>
      </c>
      <c r="J218" s="28" t="inlineStr"/>
    </row>
    <row r="219">
      <c r="B219" s="14" t="inlineStr">
        <is>
          <t>Tramo 0+094.00 - 0+096.00 (normal)</t>
        </is>
      </c>
      <c r="D219" s="26" t="n"/>
      <c r="E219" s="26" t="n"/>
      <c r="F219" s="26" t="n"/>
      <c r="G219" s="26" t="n"/>
      <c r="H219" s="27">
        <f>TRAMOS!N57</f>
        <v/>
      </c>
      <c r="J219" s="28" t="inlineStr"/>
    </row>
    <row r="220">
      <c r="B220" s="14" t="inlineStr">
        <is>
          <t>Tramo 0+096.00 - 0+098.00 (normal)</t>
        </is>
      </c>
      <c r="D220" s="26" t="n"/>
      <c r="E220" s="26" t="n"/>
      <c r="F220" s="26" t="n"/>
      <c r="G220" s="26" t="n"/>
      <c r="H220" s="27">
        <f>TRAMOS!N58</f>
        <v/>
      </c>
      <c r="J220" s="28" t="inlineStr"/>
    </row>
    <row r="221">
      <c r="B221" s="14" t="inlineStr">
        <is>
          <t>Tramo 0+098.00 - 0+100.00 (normal)</t>
        </is>
      </c>
      <c r="D221" s="26" t="n"/>
      <c r="E221" s="26" t="n"/>
      <c r="F221" s="26" t="n"/>
      <c r="G221" s="26" t="n"/>
      <c r="H221" s="27">
        <f>TRAMOS!N59</f>
        <v/>
      </c>
      <c r="J221" s="28" t="inlineStr"/>
    </row>
    <row r="222">
      <c r="B222" s="14" t="inlineStr">
        <is>
          <t>Tramo 0+100.00 - 0+102.00 (normal)</t>
        </is>
      </c>
      <c r="D222" s="26" t="n"/>
      <c r="E222" s="26" t="n"/>
      <c r="F222" s="26" t="n"/>
      <c r="G222" s="26" t="n"/>
      <c r="H222" s="27">
        <f>TRAMOS!N60</f>
        <v/>
      </c>
      <c r="J222" s="28" t="inlineStr"/>
    </row>
    <row r="223">
      <c r="B223" s="14" t="inlineStr">
        <is>
          <t>Tramo 0+102.00 - 0+104.00 (normal)</t>
        </is>
      </c>
      <c r="D223" s="26" t="n"/>
      <c r="E223" s="26" t="n"/>
      <c r="F223" s="26" t="n"/>
      <c r="G223" s="26" t="n"/>
      <c r="H223" s="27">
        <f>TRAMOS!N61</f>
        <v/>
      </c>
      <c r="J223" s="28" t="inlineStr"/>
    </row>
    <row r="224">
      <c r="B224" s="14" t="inlineStr">
        <is>
          <t>Tramo 0+104.00 - 0+106.00 (normal)</t>
        </is>
      </c>
      <c r="D224" s="26" t="n"/>
      <c r="E224" s="26" t="n"/>
      <c r="F224" s="26" t="n"/>
      <c r="G224" s="26" t="n"/>
      <c r="H224" s="27">
        <f>TRAMOS!N62</f>
        <v/>
      </c>
      <c r="J224" s="28" t="inlineStr"/>
    </row>
    <row r="225">
      <c r="B225" s="14" t="inlineStr">
        <is>
          <t>Tramo 0+106.00 - 0+108.00 (normal)</t>
        </is>
      </c>
      <c r="D225" s="26" t="n"/>
      <c r="E225" s="26" t="n"/>
      <c r="F225" s="26" t="n"/>
      <c r="G225" s="26" t="n"/>
      <c r="H225" s="27">
        <f>TRAMOS!N63</f>
        <v/>
      </c>
      <c r="J225" s="28" t="inlineStr"/>
    </row>
    <row r="226">
      <c r="B226" s="14" t="inlineStr">
        <is>
          <t>Tramo 0+108.00 - 0+110.00 (normal)</t>
        </is>
      </c>
      <c r="D226" s="26" t="n"/>
      <c r="E226" s="26" t="n"/>
      <c r="F226" s="26" t="n"/>
      <c r="G226" s="26" t="n"/>
      <c r="H226" s="27">
        <f>TRAMOS!N64</f>
        <v/>
      </c>
      <c r="J226" s="28" t="inlineStr"/>
    </row>
    <row r="227">
      <c r="B227" s="14" t="inlineStr">
        <is>
          <t>Tramo 0+110.00 - 0+112.00 (normal)</t>
        </is>
      </c>
      <c r="D227" s="26" t="n"/>
      <c r="E227" s="26" t="n"/>
      <c r="F227" s="26" t="n"/>
      <c r="G227" s="26" t="n"/>
      <c r="H227" s="27">
        <f>TRAMOS!N65</f>
        <v/>
      </c>
      <c r="J227" s="28" t="inlineStr"/>
    </row>
    <row r="228">
      <c r="B228" s="14" t="inlineStr">
        <is>
          <t>Tramo 0+112.00 - 0+114.00 (normal)</t>
        </is>
      </c>
      <c r="D228" s="26" t="n"/>
      <c r="E228" s="26" t="n"/>
      <c r="F228" s="26" t="n"/>
      <c r="G228" s="26" t="n"/>
      <c r="H228" s="27">
        <f>TRAMOS!N66</f>
        <v/>
      </c>
      <c r="J228" s="28" t="inlineStr"/>
    </row>
    <row r="229">
      <c r="B229" s="14" t="inlineStr">
        <is>
          <t>Tramo 0+114.00 - 0+116.00 (normal)</t>
        </is>
      </c>
      <c r="D229" s="26" t="n"/>
      <c r="E229" s="26" t="n"/>
      <c r="F229" s="26" t="n"/>
      <c r="G229" s="26" t="n"/>
      <c r="H229" s="27">
        <f>TRAMOS!N67</f>
        <v/>
      </c>
      <c r="J229" s="28" t="inlineStr"/>
    </row>
    <row r="230">
      <c r="B230" s="14" t="inlineStr">
        <is>
          <t>Tramo 0+116.00 - 0+118.00 (normal)</t>
        </is>
      </c>
      <c r="D230" s="26" t="n"/>
      <c r="E230" s="26" t="n"/>
      <c r="F230" s="26" t="n"/>
      <c r="G230" s="26" t="n"/>
      <c r="H230" s="27">
        <f>TRAMOS!N68</f>
        <v/>
      </c>
      <c r="J230" s="28" t="inlineStr"/>
    </row>
    <row r="231">
      <c r="B231" s="14" t="inlineStr">
        <is>
          <t>Tramo 0+118.00 - 0+120.00 (normal)</t>
        </is>
      </c>
      <c r="D231" s="26" t="n"/>
      <c r="E231" s="26" t="n"/>
      <c r="F231" s="26" t="n"/>
      <c r="G231" s="26" t="n"/>
      <c r="H231" s="27">
        <f>TRAMOS!N69</f>
        <v/>
      </c>
      <c r="J231" s="28" t="inlineStr"/>
    </row>
    <row r="232">
      <c r="B232" s="14" t="inlineStr">
        <is>
          <t>Tramo 0+120.00 - 0+122.00 (normal)</t>
        </is>
      </c>
      <c r="D232" s="26" t="n"/>
      <c r="E232" s="26" t="n"/>
      <c r="F232" s="26" t="n"/>
      <c r="G232" s="26" t="n"/>
      <c r="H232" s="27">
        <f>TRAMOS!N70</f>
        <v/>
      </c>
      <c r="J232" s="28" t="inlineStr"/>
    </row>
    <row r="233">
      <c r="B233" s="14" t="inlineStr">
        <is>
          <t>Tramo 0+122.00 - 0+124.00 (normal)</t>
        </is>
      </c>
      <c r="D233" s="26" t="n"/>
      <c r="E233" s="26" t="n"/>
      <c r="F233" s="26" t="n"/>
      <c r="G233" s="26" t="n"/>
      <c r="H233" s="27">
        <f>TRAMOS!N71</f>
        <v/>
      </c>
      <c r="J233" s="28" t="inlineStr"/>
    </row>
    <row r="234">
      <c r="B234" s="14" t="inlineStr">
        <is>
          <t>Tramo 0+124.00 - 0+126.00 (normal)</t>
        </is>
      </c>
      <c r="D234" s="26" t="n"/>
      <c r="E234" s="26" t="n"/>
      <c r="F234" s="26" t="n"/>
      <c r="G234" s="26" t="n"/>
      <c r="H234" s="27">
        <f>TRAMOS!N72</f>
        <v/>
      </c>
      <c r="J234" s="28" t="inlineStr"/>
    </row>
    <row r="235">
      <c r="B235" s="14" t="inlineStr">
        <is>
          <t>Tramo 0+126.00 - 0+128.00 (normal)</t>
        </is>
      </c>
      <c r="D235" s="26" t="n"/>
      <c r="E235" s="26" t="n"/>
      <c r="F235" s="26" t="n"/>
      <c r="G235" s="26" t="n"/>
      <c r="H235" s="27">
        <f>TRAMOS!N73</f>
        <v/>
      </c>
      <c r="J235" s="28" t="inlineStr"/>
    </row>
    <row r="236">
      <c r="B236" s="14" t="inlineStr">
        <is>
          <t>Tramo 0+128.00 - 0+130.00 (normal)</t>
        </is>
      </c>
      <c r="D236" s="26" t="n"/>
      <c r="E236" s="26" t="n"/>
      <c r="F236" s="26" t="n"/>
      <c r="G236" s="26" t="n"/>
      <c r="H236" s="27">
        <f>TRAMOS!N74</f>
        <v/>
      </c>
      <c r="J236" s="28" t="inlineStr"/>
    </row>
    <row r="237">
      <c r="B237" s="14" t="inlineStr">
        <is>
          <t>Tramo 0+130.00 - 0+132.00 (normal)</t>
        </is>
      </c>
      <c r="D237" s="26" t="n"/>
      <c r="E237" s="26" t="n"/>
      <c r="F237" s="26" t="n"/>
      <c r="G237" s="26" t="n"/>
      <c r="H237" s="27">
        <f>TRAMOS!N75</f>
        <v/>
      </c>
      <c r="J237" s="28" t="inlineStr"/>
    </row>
    <row r="238">
      <c r="B238" s="14" t="inlineStr">
        <is>
          <t>Tramo 0+132.00 - 0+134.00 (normal)</t>
        </is>
      </c>
      <c r="D238" s="26" t="n"/>
      <c r="E238" s="26" t="n"/>
      <c r="F238" s="26" t="n"/>
      <c r="G238" s="26" t="n"/>
      <c r="H238" s="27">
        <f>TRAMOS!N76</f>
        <v/>
      </c>
      <c r="J238" s="28" t="inlineStr"/>
    </row>
    <row r="239">
      <c r="B239" s="14" t="inlineStr">
        <is>
          <t>Tramo 0+134.00 - 0+136.00 (normal)</t>
        </is>
      </c>
      <c r="D239" s="26" t="n"/>
      <c r="E239" s="26" t="n"/>
      <c r="F239" s="26" t="n"/>
      <c r="G239" s="26" t="n"/>
      <c r="H239" s="27">
        <f>TRAMOS!N77</f>
        <v/>
      </c>
      <c r="J239" s="28" t="inlineStr"/>
    </row>
    <row r="240">
      <c r="B240" s="14" t="inlineStr">
        <is>
          <t>Tramo 0+136.00 - 0+138.00 (normal)</t>
        </is>
      </c>
      <c r="D240" s="26" t="n"/>
      <c r="E240" s="26" t="n"/>
      <c r="F240" s="26" t="n"/>
      <c r="G240" s="26" t="n"/>
      <c r="H240" s="27">
        <f>TRAMOS!N78</f>
        <v/>
      </c>
      <c r="J240" s="28" t="inlineStr"/>
    </row>
    <row r="241">
      <c r="B241" s="14" t="inlineStr">
        <is>
          <t>Tramo 0+138.00 - 0+139.08 (normal)</t>
        </is>
      </c>
      <c r="D241" s="26" t="n"/>
      <c r="E241" s="26" t="n"/>
      <c r="F241" s="26" t="n"/>
      <c r="G241" s="26" t="n"/>
      <c r="H241" s="27">
        <f>TRAMOS!N79</f>
        <v/>
      </c>
      <c r="J241" s="28" t="inlineStr"/>
    </row>
    <row r="242">
      <c r="B242" s="25" t="inlineStr">
        <is>
          <t>Registros</t>
        </is>
      </c>
    </row>
    <row r="243">
      <c r="B243" s="14" t="inlineStr">
        <is>
          <t>(-) Rebaje superior 0.70 x 0.70 x 0.08</t>
        </is>
      </c>
      <c r="D243" s="29">
        <f>-DATOS!$B$19</f>
        <v/>
      </c>
      <c r="E243" s="29">
        <f>DATOS!$B$33</f>
        <v/>
      </c>
      <c r="F243" s="29">
        <f>DATOS!$B$33</f>
        <v/>
      </c>
      <c r="G243" s="26" t="n">
        <v>0.08</v>
      </c>
      <c r="H243" s="27">
        <f>D243*E243*F243*G243</f>
        <v/>
      </c>
      <c r="J243" s="28" t="inlineStr"/>
    </row>
    <row r="244">
      <c r="B244" s="14" t="inlineStr">
        <is>
          <t>(-) Luz libre 0.60 x 0.60 x 0.02</t>
        </is>
      </c>
      <c r="D244" s="29">
        <f>-DATOS!$B$19</f>
        <v/>
      </c>
      <c r="E244" s="29">
        <f>DATOS!$B$34</f>
        <v/>
      </c>
      <c r="F244" s="29">
        <f>DATOS!$B$34</f>
        <v/>
      </c>
      <c r="G244" s="26" t="n">
        <v>0.02</v>
      </c>
      <c r="H244" s="27">
        <f>D244*E244*F244*G244</f>
        <v/>
      </c>
      <c r="J244" s="28" t="inlineStr"/>
    </row>
    <row r="245">
      <c r="B245" s="14" t="inlineStr">
        <is>
          <t>(+) Borde engrosado bajo la losa: perimetro 3.00 x 0.15 x 0.10</t>
        </is>
      </c>
      <c r="D245" s="29">
        <f>DATOS!$B$19</f>
        <v/>
      </c>
      <c r="E245" s="26" t="n">
        <v>3</v>
      </c>
      <c r="F245" s="26" t="n">
        <v>0.15</v>
      </c>
      <c r="G245" s="26" t="n">
        <v>0.1</v>
      </c>
      <c r="H245" s="27">
        <f>D245*E245*F245*G245</f>
        <v/>
      </c>
      <c r="J245" s="28" t="inlineStr"/>
    </row>
    <row r="246">
      <c r="G246" s="9" t="inlineStr">
        <is>
          <t>TOTAL</t>
        </is>
      </c>
      <c r="I246" s="11">
        <f>SUM(H166:H245)</f>
        <v/>
      </c>
    </row>
    <row r="248">
      <c r="A248" s="4" t="inlineStr">
        <is>
          <t>04.04</t>
        </is>
      </c>
      <c r="B248" s="23" t="inlineStr">
        <is>
          <t>ENCOFRADO Y DESENCOFRADO NORMAL</t>
        </is>
      </c>
      <c r="C248" s="24" t="inlineStr">
        <is>
          <t>m2</t>
        </is>
      </c>
      <c r="D248" s="5" t="n"/>
      <c r="E248" s="5" t="n"/>
      <c r="F248" s="5" t="n"/>
      <c r="G248" s="5" t="n"/>
      <c r="H248" s="5" t="n"/>
      <c r="I248" s="5" t="n"/>
      <c r="J248" s="5" t="n"/>
    </row>
    <row r="249">
      <c r="B249" s="25" t="inlineStr">
        <is>
          <t>caras interiores + fondo de losa superior + cara exterior lado predio (lado via contra el terreno)</t>
        </is>
      </c>
    </row>
    <row r="250">
      <c r="B250" s="14" t="inlineStr">
        <is>
          <t>Tramo 0+000.00 - 0+002.00 (normal)</t>
        </is>
      </c>
      <c r="D250" s="26" t="n"/>
      <c r="E250" s="26" t="n"/>
      <c r="F250" s="26" t="n"/>
      <c r="G250" s="26" t="n"/>
      <c r="H250" s="27">
        <f>TRAMOS!R5</f>
        <v/>
      </c>
      <c r="J250" s="28" t="inlineStr"/>
    </row>
    <row r="251">
      <c r="B251" s="14" t="inlineStr">
        <is>
          <t>Tramo 0+002.00 - 0+002.74 (normal)</t>
        </is>
      </c>
      <c r="D251" s="26" t="n"/>
      <c r="E251" s="26" t="n"/>
      <c r="F251" s="26" t="n"/>
      <c r="G251" s="26" t="n"/>
      <c r="H251" s="27">
        <f>TRAMOS!R6</f>
        <v/>
      </c>
      <c r="J251" s="28" t="inlineStr"/>
    </row>
    <row r="252">
      <c r="B252" s="14" t="inlineStr">
        <is>
          <t>Tramo 0+002.74 - 0+004.00 (cruce de autos)</t>
        </is>
      </c>
      <c r="D252" s="26" t="n"/>
      <c r="E252" s="26" t="n"/>
      <c r="F252" s="26" t="n"/>
      <c r="G252" s="26" t="n"/>
      <c r="H252" s="27">
        <f>TRAMOS!R7</f>
        <v/>
      </c>
      <c r="J252" s="28" t="inlineStr"/>
    </row>
    <row r="253">
      <c r="B253" s="14" t="inlineStr">
        <is>
          <t>Tramo 0+004.00 - 0+006.00 (cruce de autos)</t>
        </is>
      </c>
      <c r="D253" s="26" t="n"/>
      <c r="E253" s="26" t="n"/>
      <c r="F253" s="26" t="n"/>
      <c r="G253" s="26" t="n"/>
      <c r="H253" s="27">
        <f>TRAMOS!R8</f>
        <v/>
      </c>
      <c r="J253" s="28" t="inlineStr"/>
    </row>
    <row r="254">
      <c r="B254" s="14" t="inlineStr">
        <is>
          <t>Tramo 0+006.00 - 0+008.00 (cruce de autos)</t>
        </is>
      </c>
      <c r="D254" s="26" t="n"/>
      <c r="E254" s="26" t="n"/>
      <c r="F254" s="26" t="n"/>
      <c r="G254" s="26" t="n"/>
      <c r="H254" s="27">
        <f>TRAMOS!R9</f>
        <v/>
      </c>
      <c r="J254" s="28" t="inlineStr"/>
    </row>
    <row r="255">
      <c r="B255" s="14" t="inlineStr">
        <is>
          <t>Tramo 0+008.00 - 0+010.00 (cruce de autos)</t>
        </is>
      </c>
      <c r="D255" s="26" t="n"/>
      <c r="E255" s="26" t="n"/>
      <c r="F255" s="26" t="n"/>
      <c r="G255" s="26" t="n"/>
      <c r="H255" s="27">
        <f>TRAMOS!R10</f>
        <v/>
      </c>
      <c r="J255" s="28" t="inlineStr"/>
    </row>
    <row r="256">
      <c r="B256" s="14" t="inlineStr">
        <is>
          <t>Tramo 0+010.00 - 0+012.00 (cruce de autos)</t>
        </is>
      </c>
      <c r="D256" s="26" t="n"/>
      <c r="E256" s="26" t="n"/>
      <c r="F256" s="26" t="n"/>
      <c r="G256" s="26" t="n"/>
      <c r="H256" s="27">
        <f>TRAMOS!R11</f>
        <v/>
      </c>
      <c r="J256" s="28" t="inlineStr"/>
    </row>
    <row r="257">
      <c r="B257" s="14" t="inlineStr">
        <is>
          <t>Tramo 0+012.00 - 0+014.00 (cruce de autos)</t>
        </is>
      </c>
      <c r="D257" s="26" t="n"/>
      <c r="E257" s="26" t="n"/>
      <c r="F257" s="26" t="n"/>
      <c r="G257" s="26" t="n"/>
      <c r="H257" s="27">
        <f>TRAMOS!R12</f>
        <v/>
      </c>
      <c r="J257" s="28" t="inlineStr"/>
    </row>
    <row r="258">
      <c r="B258" s="14" t="inlineStr">
        <is>
          <t>Tramo 0+014.00 - 0+016.00 (cruce de autos)</t>
        </is>
      </c>
      <c r="D258" s="26" t="n"/>
      <c r="E258" s="26" t="n"/>
      <c r="F258" s="26" t="n"/>
      <c r="G258" s="26" t="n"/>
      <c r="H258" s="27">
        <f>TRAMOS!R13</f>
        <v/>
      </c>
      <c r="J258" s="28" t="inlineStr"/>
    </row>
    <row r="259">
      <c r="B259" s="14" t="inlineStr">
        <is>
          <t>Tramo 0+016.00 - 0+018.00 (cruce de autos)</t>
        </is>
      </c>
      <c r="D259" s="26" t="n"/>
      <c r="E259" s="26" t="n"/>
      <c r="F259" s="26" t="n"/>
      <c r="G259" s="26" t="n"/>
      <c r="H259" s="27">
        <f>TRAMOS!R14</f>
        <v/>
      </c>
      <c r="J259" s="28" t="inlineStr"/>
    </row>
    <row r="260">
      <c r="B260" s="14" t="inlineStr">
        <is>
          <t>Tramo 0+018.00 - 0+018.45 (cruce de autos)</t>
        </is>
      </c>
      <c r="D260" s="26" t="n"/>
      <c r="E260" s="26" t="n"/>
      <c r="F260" s="26" t="n"/>
      <c r="G260" s="26" t="n"/>
      <c r="H260" s="27">
        <f>TRAMOS!R15</f>
        <v/>
      </c>
      <c r="J260" s="28" t="inlineStr"/>
    </row>
    <row r="261">
      <c r="B261" s="14" t="inlineStr">
        <is>
          <t>Tramo 0+018.45 - 0+020.00 (normal)</t>
        </is>
      </c>
      <c r="D261" s="26" t="n"/>
      <c r="E261" s="26" t="n"/>
      <c r="F261" s="26" t="n"/>
      <c r="G261" s="26" t="n"/>
      <c r="H261" s="27">
        <f>TRAMOS!R16</f>
        <v/>
      </c>
      <c r="J261" s="28" t="inlineStr"/>
    </row>
    <row r="262">
      <c r="B262" s="14" t="inlineStr">
        <is>
          <t>Tramo 0+020.00 - 0+022.00 (normal)</t>
        </is>
      </c>
      <c r="D262" s="26" t="n"/>
      <c r="E262" s="26" t="n"/>
      <c r="F262" s="26" t="n"/>
      <c r="G262" s="26" t="n"/>
      <c r="H262" s="27">
        <f>TRAMOS!R17</f>
        <v/>
      </c>
      <c r="J262" s="28" t="inlineStr"/>
    </row>
    <row r="263">
      <c r="B263" s="14" t="inlineStr">
        <is>
          <t>Tramo 0+022.00 - 0+024.00 (normal)</t>
        </is>
      </c>
      <c r="D263" s="26" t="n"/>
      <c r="E263" s="26" t="n"/>
      <c r="F263" s="26" t="n"/>
      <c r="G263" s="26" t="n"/>
      <c r="H263" s="27">
        <f>TRAMOS!R18</f>
        <v/>
      </c>
      <c r="J263" s="28" t="inlineStr"/>
    </row>
    <row r="264">
      <c r="B264" s="14" t="inlineStr">
        <is>
          <t>Tramo 0+024.00 - 0+026.00 (normal)</t>
        </is>
      </c>
      <c r="D264" s="26" t="n"/>
      <c r="E264" s="26" t="n"/>
      <c r="F264" s="26" t="n"/>
      <c r="G264" s="26" t="n"/>
      <c r="H264" s="27">
        <f>TRAMOS!R19</f>
        <v/>
      </c>
      <c r="J264" s="28" t="inlineStr"/>
    </row>
    <row r="265">
      <c r="B265" s="14" t="inlineStr">
        <is>
          <t>Tramo 0+026.00 - 0+028.00 (normal)</t>
        </is>
      </c>
      <c r="D265" s="26" t="n"/>
      <c r="E265" s="26" t="n"/>
      <c r="F265" s="26" t="n"/>
      <c r="G265" s="26" t="n"/>
      <c r="H265" s="27">
        <f>TRAMOS!R20</f>
        <v/>
      </c>
      <c r="J265" s="28" t="inlineStr"/>
    </row>
    <row r="266">
      <c r="B266" s="14" t="inlineStr">
        <is>
          <t>Tramo 0+028.00 - 0+030.00 (normal)</t>
        </is>
      </c>
      <c r="D266" s="26" t="n"/>
      <c r="E266" s="26" t="n"/>
      <c r="F266" s="26" t="n"/>
      <c r="G266" s="26" t="n"/>
      <c r="H266" s="27">
        <f>TRAMOS!R21</f>
        <v/>
      </c>
      <c r="J266" s="28" t="inlineStr"/>
    </row>
    <row r="267">
      <c r="B267" s="14" t="inlineStr">
        <is>
          <t>Tramo 0+030.00 - 0+032.00 (normal)</t>
        </is>
      </c>
      <c r="D267" s="26" t="n"/>
      <c r="E267" s="26" t="n"/>
      <c r="F267" s="26" t="n"/>
      <c r="G267" s="26" t="n"/>
      <c r="H267" s="27">
        <f>TRAMOS!R22</f>
        <v/>
      </c>
      <c r="J267" s="28" t="inlineStr"/>
    </row>
    <row r="268">
      <c r="B268" s="14" t="inlineStr">
        <is>
          <t>Tramo 0+032.00 - 0+034.00 (normal)</t>
        </is>
      </c>
      <c r="D268" s="26" t="n"/>
      <c r="E268" s="26" t="n"/>
      <c r="F268" s="26" t="n"/>
      <c r="G268" s="26" t="n"/>
      <c r="H268" s="27">
        <f>TRAMOS!R23</f>
        <v/>
      </c>
      <c r="J268" s="28" t="inlineStr"/>
    </row>
    <row r="269">
      <c r="B269" s="14" t="inlineStr">
        <is>
          <t>Tramo 0+034.00 - 0+035.04 (normal)</t>
        </is>
      </c>
      <c r="D269" s="26" t="n"/>
      <c r="E269" s="26" t="n"/>
      <c r="F269" s="26" t="n"/>
      <c r="G269" s="26" t="n"/>
      <c r="H269" s="27">
        <f>TRAMOS!R24</f>
        <v/>
      </c>
      <c r="J269" s="28" t="inlineStr"/>
    </row>
    <row r="270">
      <c r="B270" s="14" t="inlineStr">
        <is>
          <t>Tramo 0+035.04 - 0+036.00 (cruce de autos)</t>
        </is>
      </c>
      <c r="D270" s="26" t="n"/>
      <c r="E270" s="26" t="n"/>
      <c r="F270" s="26" t="n"/>
      <c r="G270" s="26" t="n"/>
      <c r="H270" s="27">
        <f>TRAMOS!R25</f>
        <v/>
      </c>
      <c r="J270" s="28" t="inlineStr"/>
    </row>
    <row r="271">
      <c r="B271" s="14" t="inlineStr">
        <is>
          <t>Tramo 0+036.00 - 0+038.00 (cruce de autos)</t>
        </is>
      </c>
      <c r="D271" s="26" t="n"/>
      <c r="E271" s="26" t="n"/>
      <c r="F271" s="26" t="n"/>
      <c r="G271" s="26" t="n"/>
      <c r="H271" s="27">
        <f>TRAMOS!R26</f>
        <v/>
      </c>
      <c r="J271" s="28" t="inlineStr"/>
    </row>
    <row r="272">
      <c r="B272" s="14" t="inlineStr">
        <is>
          <t>Tramo 0+038.00 - 0+040.00 (cruce de autos)</t>
        </is>
      </c>
      <c r="D272" s="26" t="n"/>
      <c r="E272" s="26" t="n"/>
      <c r="F272" s="26" t="n"/>
      <c r="G272" s="26" t="n"/>
      <c r="H272" s="27">
        <f>TRAMOS!R27</f>
        <v/>
      </c>
      <c r="J272" s="28" t="inlineStr"/>
    </row>
    <row r="273">
      <c r="B273" s="14" t="inlineStr">
        <is>
          <t>Tramo 0+040.00 - 0+042.00 (cruce de autos)</t>
        </is>
      </c>
      <c r="D273" s="26" t="n"/>
      <c r="E273" s="26" t="n"/>
      <c r="F273" s="26" t="n"/>
      <c r="G273" s="26" t="n"/>
      <c r="H273" s="27">
        <f>TRAMOS!R28</f>
        <v/>
      </c>
      <c r="J273" s="28" t="inlineStr"/>
    </row>
    <row r="274">
      <c r="B274" s="14" t="inlineStr">
        <is>
          <t>Tramo 0+042.00 - 0+044.00 (cruce de autos)</t>
        </is>
      </c>
      <c r="D274" s="26" t="n"/>
      <c r="E274" s="26" t="n"/>
      <c r="F274" s="26" t="n"/>
      <c r="G274" s="26" t="n"/>
      <c r="H274" s="27">
        <f>TRAMOS!R29</f>
        <v/>
      </c>
      <c r="J274" s="28" t="inlineStr"/>
    </row>
    <row r="275">
      <c r="B275" s="14" t="inlineStr">
        <is>
          <t>Tramo 0+044.00 - 0+046.00 (cruce de autos)</t>
        </is>
      </c>
      <c r="D275" s="26" t="n"/>
      <c r="E275" s="26" t="n"/>
      <c r="F275" s="26" t="n"/>
      <c r="G275" s="26" t="n"/>
      <c r="H275" s="27">
        <f>TRAMOS!R30</f>
        <v/>
      </c>
      <c r="J275" s="28" t="inlineStr"/>
    </row>
    <row r="276">
      <c r="B276" s="14" t="inlineStr">
        <is>
          <t>Tramo 0+046.00 - 0+048.00 (cruce de autos)</t>
        </is>
      </c>
      <c r="D276" s="26" t="n"/>
      <c r="E276" s="26" t="n"/>
      <c r="F276" s="26" t="n"/>
      <c r="G276" s="26" t="n"/>
      <c r="H276" s="27">
        <f>TRAMOS!R31</f>
        <v/>
      </c>
      <c r="J276" s="28" t="inlineStr"/>
    </row>
    <row r="277">
      <c r="B277" s="14" t="inlineStr">
        <is>
          <t>Tramo 0+048.00 - 0+050.00 (cruce de autos)</t>
        </is>
      </c>
      <c r="D277" s="26" t="n"/>
      <c r="E277" s="26" t="n"/>
      <c r="F277" s="26" t="n"/>
      <c r="G277" s="26" t="n"/>
      <c r="H277" s="27">
        <f>TRAMOS!R32</f>
        <v/>
      </c>
      <c r="J277" s="28" t="inlineStr"/>
    </row>
    <row r="278">
      <c r="B278" s="14" t="inlineStr">
        <is>
          <t>Tramo 0+050.00 - 0+051.86 (cruce de autos)</t>
        </is>
      </c>
      <c r="D278" s="26" t="n"/>
      <c r="E278" s="26" t="n"/>
      <c r="F278" s="26" t="n"/>
      <c r="G278" s="26" t="n"/>
      <c r="H278" s="27">
        <f>TRAMOS!R33</f>
        <v/>
      </c>
      <c r="J278" s="28" t="inlineStr"/>
    </row>
    <row r="279">
      <c r="B279" s="14" t="inlineStr">
        <is>
          <t>Tramo 0+051.86 - 0+052.00 (normal)</t>
        </is>
      </c>
      <c r="D279" s="26" t="n"/>
      <c r="E279" s="26" t="n"/>
      <c r="F279" s="26" t="n"/>
      <c r="G279" s="26" t="n"/>
      <c r="H279" s="27">
        <f>TRAMOS!R34</f>
        <v/>
      </c>
      <c r="J279" s="28" t="inlineStr"/>
    </row>
    <row r="280">
      <c r="B280" s="14" t="inlineStr">
        <is>
          <t>Tramo 0+052.00 - 0+054.00 (normal)</t>
        </is>
      </c>
      <c r="D280" s="26" t="n"/>
      <c r="E280" s="26" t="n"/>
      <c r="F280" s="26" t="n"/>
      <c r="G280" s="26" t="n"/>
      <c r="H280" s="27">
        <f>TRAMOS!R35</f>
        <v/>
      </c>
      <c r="J280" s="28" t="inlineStr"/>
    </row>
    <row r="281">
      <c r="B281" s="14" t="inlineStr">
        <is>
          <t>Tramo 0+054.00 - 0+056.00 (cruce de camiones)</t>
        </is>
      </c>
      <c r="D281" s="26" t="n"/>
      <c r="E281" s="26" t="n"/>
      <c r="F281" s="26" t="n"/>
      <c r="G281" s="26" t="n"/>
      <c r="H281" s="27">
        <f>TRAMOS!R36</f>
        <v/>
      </c>
      <c r="J281" s="28" t="inlineStr"/>
    </row>
    <row r="282">
      <c r="B282" s="14" t="inlineStr">
        <is>
          <t>Tramo 0+056.00 - 0+058.00 (cruce de camiones)</t>
        </is>
      </c>
      <c r="D282" s="26" t="n"/>
      <c r="E282" s="26" t="n"/>
      <c r="F282" s="26" t="n"/>
      <c r="G282" s="26" t="n"/>
      <c r="H282" s="27">
        <f>TRAMOS!R37</f>
        <v/>
      </c>
      <c r="J282" s="28" t="inlineStr"/>
    </row>
    <row r="283">
      <c r="B283" s="14" t="inlineStr">
        <is>
          <t>Tramo 0+058.00 - 0+060.00 (cruce de camiones)</t>
        </is>
      </c>
      <c r="D283" s="26" t="n"/>
      <c r="E283" s="26" t="n"/>
      <c r="F283" s="26" t="n"/>
      <c r="G283" s="26" t="n"/>
      <c r="H283" s="27">
        <f>TRAMOS!R38</f>
        <v/>
      </c>
      <c r="J283" s="28" t="inlineStr"/>
    </row>
    <row r="284">
      <c r="B284" s="14" t="inlineStr">
        <is>
          <t>Tramo 0+060.00 - 0+062.00 (normal)</t>
        </is>
      </c>
      <c r="D284" s="26" t="n"/>
      <c r="E284" s="26" t="n"/>
      <c r="F284" s="26" t="n"/>
      <c r="G284" s="26" t="n"/>
      <c r="H284" s="27">
        <f>TRAMOS!R39</f>
        <v/>
      </c>
      <c r="J284" s="28" t="inlineStr"/>
    </row>
    <row r="285">
      <c r="B285" s="14" t="inlineStr">
        <is>
          <t>Tramo 0+062.00 - 0+064.00 (normal)</t>
        </is>
      </c>
      <c r="D285" s="26" t="n"/>
      <c r="E285" s="26" t="n"/>
      <c r="F285" s="26" t="n"/>
      <c r="G285" s="26" t="n"/>
      <c r="H285" s="27">
        <f>TRAMOS!R40</f>
        <v/>
      </c>
      <c r="J285" s="28" t="inlineStr"/>
    </row>
    <row r="286">
      <c r="B286" s="14" t="inlineStr">
        <is>
          <t>Tramo 0+064.00 - 0+066.00 (normal)</t>
        </is>
      </c>
      <c r="D286" s="26" t="n"/>
      <c r="E286" s="26" t="n"/>
      <c r="F286" s="26" t="n"/>
      <c r="G286" s="26" t="n"/>
      <c r="H286" s="27">
        <f>TRAMOS!R41</f>
        <v/>
      </c>
      <c r="J286" s="28" t="inlineStr"/>
    </row>
    <row r="287">
      <c r="B287" s="14" t="inlineStr">
        <is>
          <t>Tramo 0+066.00 - 0+068.00 (normal)</t>
        </is>
      </c>
      <c r="D287" s="26" t="n"/>
      <c r="E287" s="26" t="n"/>
      <c r="F287" s="26" t="n"/>
      <c r="G287" s="26" t="n"/>
      <c r="H287" s="27">
        <f>TRAMOS!R42</f>
        <v/>
      </c>
      <c r="J287" s="28" t="inlineStr"/>
    </row>
    <row r="288">
      <c r="B288" s="14" t="inlineStr">
        <is>
          <t>Tramo 0+068.00 - 0+070.00 (normal)</t>
        </is>
      </c>
      <c r="D288" s="26" t="n"/>
      <c r="E288" s="26" t="n"/>
      <c r="F288" s="26" t="n"/>
      <c r="G288" s="26" t="n"/>
      <c r="H288" s="27">
        <f>TRAMOS!R43</f>
        <v/>
      </c>
      <c r="J288" s="28" t="inlineStr"/>
    </row>
    <row r="289">
      <c r="B289" s="14" t="inlineStr">
        <is>
          <t>Tramo 0+070.00 - 0+072.00 (normal)</t>
        </is>
      </c>
      <c r="D289" s="26" t="n"/>
      <c r="E289" s="26" t="n"/>
      <c r="F289" s="26" t="n"/>
      <c r="G289" s="26" t="n"/>
      <c r="H289" s="27">
        <f>TRAMOS!R44</f>
        <v/>
      </c>
      <c r="J289" s="28" t="inlineStr"/>
    </row>
    <row r="290">
      <c r="B290" s="14" t="inlineStr">
        <is>
          <t>Tramo 0+072.00 - 0+074.00 (normal)</t>
        </is>
      </c>
      <c r="D290" s="26" t="n"/>
      <c r="E290" s="26" t="n"/>
      <c r="F290" s="26" t="n"/>
      <c r="G290" s="26" t="n"/>
      <c r="H290" s="27">
        <f>TRAMOS!R45</f>
        <v/>
      </c>
      <c r="J290" s="28" t="inlineStr"/>
    </row>
    <row r="291">
      <c r="B291" s="14" t="inlineStr">
        <is>
          <t>Tramo 0+074.00 - 0+076.00 (normal)</t>
        </is>
      </c>
      <c r="D291" s="26" t="n"/>
      <c r="E291" s="26" t="n"/>
      <c r="F291" s="26" t="n"/>
      <c r="G291" s="26" t="n"/>
      <c r="H291" s="27">
        <f>TRAMOS!R46</f>
        <v/>
      </c>
      <c r="J291" s="28" t="inlineStr"/>
    </row>
    <row r="292">
      <c r="B292" s="14" t="inlineStr">
        <is>
          <t>Tramo 0+076.00 - 0+078.00 (normal)</t>
        </is>
      </c>
      <c r="D292" s="26" t="n"/>
      <c r="E292" s="26" t="n"/>
      <c r="F292" s="26" t="n"/>
      <c r="G292" s="26" t="n"/>
      <c r="H292" s="27">
        <f>TRAMOS!R47</f>
        <v/>
      </c>
      <c r="J292" s="28" t="inlineStr"/>
    </row>
    <row r="293">
      <c r="B293" s="14" t="inlineStr">
        <is>
          <t>Tramo 0+078.00 - 0+078.42 (normal)</t>
        </is>
      </c>
      <c r="D293" s="26" t="n"/>
      <c r="E293" s="26" t="n"/>
      <c r="F293" s="26" t="n"/>
      <c r="G293" s="26" t="n"/>
      <c r="H293" s="27">
        <f>TRAMOS!R48</f>
        <v/>
      </c>
      <c r="J293" s="28" t="inlineStr"/>
    </row>
    <row r="294">
      <c r="B294" s="14" t="inlineStr">
        <is>
          <t>Tramo 0+078.42 - 0+080.00 (normal)</t>
        </is>
      </c>
      <c r="D294" s="26" t="n"/>
      <c r="E294" s="26" t="n"/>
      <c r="F294" s="26" t="n"/>
      <c r="G294" s="26" t="n"/>
      <c r="H294" s="27">
        <f>TRAMOS!R49</f>
        <v/>
      </c>
      <c r="J294" s="28" t="inlineStr"/>
    </row>
    <row r="295">
      <c r="B295" s="14" t="inlineStr">
        <is>
          <t>Tramo 0+080.00 - 0+082.00 (normal)</t>
        </is>
      </c>
      <c r="D295" s="26" t="n"/>
      <c r="E295" s="26" t="n"/>
      <c r="F295" s="26" t="n"/>
      <c r="G295" s="26" t="n"/>
      <c r="H295" s="27">
        <f>TRAMOS!R50</f>
        <v/>
      </c>
      <c r="J295" s="28" t="inlineStr"/>
    </row>
    <row r="296">
      <c r="B296" s="14" t="inlineStr">
        <is>
          <t>Tramo 0+082.00 - 0+084.00 (normal)</t>
        </is>
      </c>
      <c r="D296" s="26" t="n"/>
      <c r="E296" s="26" t="n"/>
      <c r="F296" s="26" t="n"/>
      <c r="G296" s="26" t="n"/>
      <c r="H296" s="27">
        <f>TRAMOS!R51</f>
        <v/>
      </c>
      <c r="J296" s="28" t="inlineStr"/>
    </row>
    <row r="297">
      <c r="B297" s="14" t="inlineStr">
        <is>
          <t>Tramo 0+084.00 - 0+086.00 (normal)</t>
        </is>
      </c>
      <c r="D297" s="26" t="n"/>
      <c r="E297" s="26" t="n"/>
      <c r="F297" s="26" t="n"/>
      <c r="G297" s="26" t="n"/>
      <c r="H297" s="27">
        <f>TRAMOS!R52</f>
        <v/>
      </c>
      <c r="J297" s="28" t="inlineStr"/>
    </row>
    <row r="298">
      <c r="B298" s="14" t="inlineStr">
        <is>
          <t>Tramo 0+086.00 - 0+088.00 (normal)</t>
        </is>
      </c>
      <c r="D298" s="26" t="n"/>
      <c r="E298" s="26" t="n"/>
      <c r="F298" s="26" t="n"/>
      <c r="G298" s="26" t="n"/>
      <c r="H298" s="27">
        <f>TRAMOS!R53</f>
        <v/>
      </c>
      <c r="J298" s="28" t="inlineStr"/>
    </row>
    <row r="299">
      <c r="B299" s="14" t="inlineStr">
        <is>
          <t>Tramo 0+088.00 - 0+090.00 (normal)</t>
        </is>
      </c>
      <c r="D299" s="26" t="n"/>
      <c r="E299" s="26" t="n"/>
      <c r="F299" s="26" t="n"/>
      <c r="G299" s="26" t="n"/>
      <c r="H299" s="27">
        <f>TRAMOS!R54</f>
        <v/>
      </c>
      <c r="J299" s="28" t="inlineStr"/>
    </row>
    <row r="300">
      <c r="B300" s="14" t="inlineStr">
        <is>
          <t>Tramo 0+090.00 - 0+092.00 (normal)</t>
        </is>
      </c>
      <c r="D300" s="26" t="n"/>
      <c r="E300" s="26" t="n"/>
      <c r="F300" s="26" t="n"/>
      <c r="G300" s="26" t="n"/>
      <c r="H300" s="27">
        <f>TRAMOS!R55</f>
        <v/>
      </c>
      <c r="J300" s="28" t="inlineStr"/>
    </row>
    <row r="301">
      <c r="B301" s="14" t="inlineStr">
        <is>
          <t>Tramo 0+092.00 - 0+094.00 (normal)</t>
        </is>
      </c>
      <c r="D301" s="26" t="n"/>
      <c r="E301" s="26" t="n"/>
      <c r="F301" s="26" t="n"/>
      <c r="G301" s="26" t="n"/>
      <c r="H301" s="27">
        <f>TRAMOS!R56</f>
        <v/>
      </c>
      <c r="J301" s="28" t="inlineStr"/>
    </row>
    <row r="302">
      <c r="B302" s="14" t="inlineStr">
        <is>
          <t>Tramo 0+094.00 - 0+096.00 (normal)</t>
        </is>
      </c>
      <c r="D302" s="26" t="n"/>
      <c r="E302" s="26" t="n"/>
      <c r="F302" s="26" t="n"/>
      <c r="G302" s="26" t="n"/>
      <c r="H302" s="27">
        <f>TRAMOS!R57</f>
        <v/>
      </c>
      <c r="J302" s="28" t="inlineStr"/>
    </row>
    <row r="303">
      <c r="B303" s="14" t="inlineStr">
        <is>
          <t>Tramo 0+096.00 - 0+098.00 (normal)</t>
        </is>
      </c>
      <c r="D303" s="26" t="n"/>
      <c r="E303" s="26" t="n"/>
      <c r="F303" s="26" t="n"/>
      <c r="G303" s="26" t="n"/>
      <c r="H303" s="27">
        <f>TRAMOS!R58</f>
        <v/>
      </c>
      <c r="J303" s="28" t="inlineStr"/>
    </row>
    <row r="304">
      <c r="B304" s="14" t="inlineStr">
        <is>
          <t>Tramo 0+098.00 - 0+100.00 (normal)</t>
        </is>
      </c>
      <c r="D304" s="26" t="n"/>
      <c r="E304" s="26" t="n"/>
      <c r="F304" s="26" t="n"/>
      <c r="G304" s="26" t="n"/>
      <c r="H304" s="27">
        <f>TRAMOS!R59</f>
        <v/>
      </c>
      <c r="J304" s="28" t="inlineStr"/>
    </row>
    <row r="305">
      <c r="B305" s="14" t="inlineStr">
        <is>
          <t>Tramo 0+100.00 - 0+102.00 (normal)</t>
        </is>
      </c>
      <c r="D305" s="26" t="n"/>
      <c r="E305" s="26" t="n"/>
      <c r="F305" s="26" t="n"/>
      <c r="G305" s="26" t="n"/>
      <c r="H305" s="27">
        <f>TRAMOS!R60</f>
        <v/>
      </c>
      <c r="J305" s="28" t="inlineStr"/>
    </row>
    <row r="306">
      <c r="B306" s="14" t="inlineStr">
        <is>
          <t>Tramo 0+102.00 - 0+104.00 (normal)</t>
        </is>
      </c>
      <c r="D306" s="26" t="n"/>
      <c r="E306" s="26" t="n"/>
      <c r="F306" s="26" t="n"/>
      <c r="G306" s="26" t="n"/>
      <c r="H306" s="27">
        <f>TRAMOS!R61</f>
        <v/>
      </c>
      <c r="J306" s="28" t="inlineStr"/>
    </row>
    <row r="307">
      <c r="B307" s="14" t="inlineStr">
        <is>
          <t>Tramo 0+104.00 - 0+106.00 (normal)</t>
        </is>
      </c>
      <c r="D307" s="26" t="n"/>
      <c r="E307" s="26" t="n"/>
      <c r="F307" s="26" t="n"/>
      <c r="G307" s="26" t="n"/>
      <c r="H307" s="27">
        <f>TRAMOS!R62</f>
        <v/>
      </c>
      <c r="J307" s="28" t="inlineStr"/>
    </row>
    <row r="308">
      <c r="B308" s="14" t="inlineStr">
        <is>
          <t>Tramo 0+106.00 - 0+108.00 (normal)</t>
        </is>
      </c>
      <c r="D308" s="26" t="n"/>
      <c r="E308" s="26" t="n"/>
      <c r="F308" s="26" t="n"/>
      <c r="G308" s="26" t="n"/>
      <c r="H308" s="27">
        <f>TRAMOS!R63</f>
        <v/>
      </c>
      <c r="J308" s="28" t="inlineStr"/>
    </row>
    <row r="309">
      <c r="B309" s="14" t="inlineStr">
        <is>
          <t>Tramo 0+108.00 - 0+110.00 (normal)</t>
        </is>
      </c>
      <c r="D309" s="26" t="n"/>
      <c r="E309" s="26" t="n"/>
      <c r="F309" s="26" t="n"/>
      <c r="G309" s="26" t="n"/>
      <c r="H309" s="27">
        <f>TRAMOS!R64</f>
        <v/>
      </c>
      <c r="J309" s="28" t="inlineStr"/>
    </row>
    <row r="310">
      <c r="B310" s="14" t="inlineStr">
        <is>
          <t>Tramo 0+110.00 - 0+112.00 (normal)</t>
        </is>
      </c>
      <c r="D310" s="26" t="n"/>
      <c r="E310" s="26" t="n"/>
      <c r="F310" s="26" t="n"/>
      <c r="G310" s="26" t="n"/>
      <c r="H310" s="27">
        <f>TRAMOS!R65</f>
        <v/>
      </c>
      <c r="J310" s="28" t="inlineStr"/>
    </row>
    <row r="311">
      <c r="B311" s="14" t="inlineStr">
        <is>
          <t>Tramo 0+112.00 - 0+114.00 (normal)</t>
        </is>
      </c>
      <c r="D311" s="26" t="n"/>
      <c r="E311" s="26" t="n"/>
      <c r="F311" s="26" t="n"/>
      <c r="G311" s="26" t="n"/>
      <c r="H311" s="27">
        <f>TRAMOS!R66</f>
        <v/>
      </c>
      <c r="J311" s="28" t="inlineStr"/>
    </row>
    <row r="312">
      <c r="B312" s="14" t="inlineStr">
        <is>
          <t>Tramo 0+114.00 - 0+116.00 (normal)</t>
        </is>
      </c>
      <c r="D312" s="26" t="n"/>
      <c r="E312" s="26" t="n"/>
      <c r="F312" s="26" t="n"/>
      <c r="G312" s="26" t="n"/>
      <c r="H312" s="27">
        <f>TRAMOS!R67</f>
        <v/>
      </c>
      <c r="J312" s="28" t="inlineStr"/>
    </row>
    <row r="313">
      <c r="B313" s="14" t="inlineStr">
        <is>
          <t>Tramo 0+116.00 - 0+118.00 (normal)</t>
        </is>
      </c>
      <c r="D313" s="26" t="n"/>
      <c r="E313" s="26" t="n"/>
      <c r="F313" s="26" t="n"/>
      <c r="G313" s="26" t="n"/>
      <c r="H313" s="27">
        <f>TRAMOS!R68</f>
        <v/>
      </c>
      <c r="J313" s="28" t="inlineStr"/>
    </row>
    <row r="314">
      <c r="B314" s="14" t="inlineStr">
        <is>
          <t>Tramo 0+118.00 - 0+120.00 (normal)</t>
        </is>
      </c>
      <c r="D314" s="26" t="n"/>
      <c r="E314" s="26" t="n"/>
      <c r="F314" s="26" t="n"/>
      <c r="G314" s="26" t="n"/>
      <c r="H314" s="27">
        <f>TRAMOS!R69</f>
        <v/>
      </c>
      <c r="J314" s="28" t="inlineStr"/>
    </row>
    <row r="315">
      <c r="B315" s="14" t="inlineStr">
        <is>
          <t>Tramo 0+120.00 - 0+122.00 (normal)</t>
        </is>
      </c>
      <c r="D315" s="26" t="n"/>
      <c r="E315" s="26" t="n"/>
      <c r="F315" s="26" t="n"/>
      <c r="G315" s="26" t="n"/>
      <c r="H315" s="27">
        <f>TRAMOS!R70</f>
        <v/>
      </c>
      <c r="J315" s="28" t="inlineStr"/>
    </row>
    <row r="316">
      <c r="B316" s="14" t="inlineStr">
        <is>
          <t>Tramo 0+122.00 - 0+124.00 (normal)</t>
        </is>
      </c>
      <c r="D316" s="26" t="n"/>
      <c r="E316" s="26" t="n"/>
      <c r="F316" s="26" t="n"/>
      <c r="G316" s="26" t="n"/>
      <c r="H316" s="27">
        <f>TRAMOS!R71</f>
        <v/>
      </c>
      <c r="J316" s="28" t="inlineStr"/>
    </row>
    <row r="317">
      <c r="B317" s="14" t="inlineStr">
        <is>
          <t>Tramo 0+124.00 - 0+126.00 (normal)</t>
        </is>
      </c>
      <c r="D317" s="26" t="n"/>
      <c r="E317" s="26" t="n"/>
      <c r="F317" s="26" t="n"/>
      <c r="G317" s="26" t="n"/>
      <c r="H317" s="27">
        <f>TRAMOS!R72</f>
        <v/>
      </c>
      <c r="J317" s="28" t="inlineStr"/>
    </row>
    <row r="318">
      <c r="B318" s="14" t="inlineStr">
        <is>
          <t>Tramo 0+126.00 - 0+128.00 (normal)</t>
        </is>
      </c>
      <c r="D318" s="26" t="n"/>
      <c r="E318" s="26" t="n"/>
      <c r="F318" s="26" t="n"/>
      <c r="G318" s="26" t="n"/>
      <c r="H318" s="27">
        <f>TRAMOS!R73</f>
        <v/>
      </c>
      <c r="J318" s="28" t="inlineStr"/>
    </row>
    <row r="319">
      <c r="B319" s="14" t="inlineStr">
        <is>
          <t>Tramo 0+128.00 - 0+130.00 (normal)</t>
        </is>
      </c>
      <c r="D319" s="26" t="n"/>
      <c r="E319" s="26" t="n"/>
      <c r="F319" s="26" t="n"/>
      <c r="G319" s="26" t="n"/>
      <c r="H319" s="27">
        <f>TRAMOS!R74</f>
        <v/>
      </c>
      <c r="J319" s="28" t="inlineStr"/>
    </row>
    <row r="320">
      <c r="B320" s="14" t="inlineStr">
        <is>
          <t>Tramo 0+130.00 - 0+132.00 (normal)</t>
        </is>
      </c>
      <c r="D320" s="26" t="n"/>
      <c r="E320" s="26" t="n"/>
      <c r="F320" s="26" t="n"/>
      <c r="G320" s="26" t="n"/>
      <c r="H320" s="27">
        <f>TRAMOS!R75</f>
        <v/>
      </c>
      <c r="J320" s="28" t="inlineStr"/>
    </row>
    <row r="321">
      <c r="B321" s="14" t="inlineStr">
        <is>
          <t>Tramo 0+132.00 - 0+134.00 (normal)</t>
        </is>
      </c>
      <c r="D321" s="26" t="n"/>
      <c r="E321" s="26" t="n"/>
      <c r="F321" s="26" t="n"/>
      <c r="G321" s="26" t="n"/>
      <c r="H321" s="27">
        <f>TRAMOS!R76</f>
        <v/>
      </c>
      <c r="J321" s="28" t="inlineStr"/>
    </row>
    <row r="322">
      <c r="B322" s="14" t="inlineStr">
        <is>
          <t>Tramo 0+134.00 - 0+136.00 (normal)</t>
        </is>
      </c>
      <c r="D322" s="26" t="n"/>
      <c r="E322" s="26" t="n"/>
      <c r="F322" s="26" t="n"/>
      <c r="G322" s="26" t="n"/>
      <c r="H322" s="27">
        <f>TRAMOS!R77</f>
        <v/>
      </c>
      <c r="J322" s="28" t="inlineStr"/>
    </row>
    <row r="323">
      <c r="B323" s="14" t="inlineStr">
        <is>
          <t>Tramo 0+136.00 - 0+138.00 (normal)</t>
        </is>
      </c>
      <c r="D323" s="26" t="n"/>
      <c r="E323" s="26" t="n"/>
      <c r="F323" s="26" t="n"/>
      <c r="G323" s="26" t="n"/>
      <c r="H323" s="27">
        <f>TRAMOS!R78</f>
        <v/>
      </c>
      <c r="J323" s="28" t="inlineStr"/>
    </row>
    <row r="324">
      <c r="B324" s="14" t="inlineStr">
        <is>
          <t>Tramo 0+138.00 - 0+139.08 (normal)</t>
        </is>
      </c>
      <c r="D324" s="26" t="n"/>
      <c r="E324" s="26" t="n"/>
      <c r="F324" s="26" t="n"/>
      <c r="G324" s="26" t="n"/>
      <c r="H324" s="27">
        <f>TRAMOS!R79</f>
        <v/>
      </c>
      <c r="J324" s="28" t="inlineStr"/>
    </row>
    <row r="325">
      <c r="B325" s="25" t="inlineStr">
        <is>
          <t>Registros</t>
        </is>
      </c>
    </row>
    <row r="326">
      <c r="B326" s="14" t="inlineStr">
        <is>
          <t>Borde engrosado (2 caras) y rebaje</t>
        </is>
      </c>
      <c r="D326" s="29">
        <f>DATOS!$B$19</f>
        <v/>
      </c>
      <c r="E326" s="26" t="n"/>
      <c r="F326" s="26" t="n"/>
      <c r="G326" s="26" t="n"/>
      <c r="H326" s="27">
        <f>D326*(2*3.00*0.10+4*0.70*0.08+4*0.60*0.12)</f>
        <v/>
      </c>
      <c r="J326" s="28" t="inlineStr"/>
    </row>
    <row r="327">
      <c r="G327" s="9" t="inlineStr">
        <is>
          <t>TOTAL</t>
        </is>
      </c>
      <c r="I327" s="11">
        <f>SUM(H249:H326)</f>
        <v/>
      </c>
    </row>
    <row r="329">
      <c r="A329" s="4" t="inlineStr">
        <is>
          <t>04.05</t>
        </is>
      </c>
      <c r="B329" s="23" t="inlineStr">
        <is>
          <t>ACERO DE REFUERZO fy=4200 kg/cm2 - COLECTOR</t>
        </is>
      </c>
      <c r="C329" s="24" t="inlineStr">
        <is>
          <t>kg</t>
        </is>
      </c>
      <c r="D329" s="5" t="n"/>
      <c r="E329" s="5" t="n"/>
      <c r="F329" s="5" t="n"/>
      <c r="G329" s="5" t="n"/>
      <c r="H329" s="5" t="n"/>
      <c r="I329" s="5" t="n"/>
      <c r="J329" s="5" t="n"/>
    </row>
    <row r="330">
      <c r="B330" s="25" t="inlineStr">
        <is>
          <t>Marcos (ver hoja 08 PLANILLA ACERO)</t>
        </is>
      </c>
    </row>
    <row r="331">
      <c r="B331" s="14" t="inlineStr">
        <is>
          <t>Tramo 0+000.00 - 0+002.00 (normal)</t>
        </is>
      </c>
      <c r="D331" s="26" t="n"/>
      <c r="E331" s="26" t="n"/>
      <c r="F331" s="26" t="n"/>
      <c r="G331" s="26" t="n"/>
      <c r="H331" s="27">
        <f>TRAMOS!S5</f>
        <v/>
      </c>
      <c r="J331" s="28" t="inlineStr"/>
    </row>
    <row r="332">
      <c r="B332" s="14" t="inlineStr">
        <is>
          <t>Tramo 0+002.00 - 0+002.74 (normal)</t>
        </is>
      </c>
      <c r="D332" s="26" t="n"/>
      <c r="E332" s="26" t="n"/>
      <c r="F332" s="26" t="n"/>
      <c r="G332" s="26" t="n"/>
      <c r="H332" s="27">
        <f>TRAMOS!S6</f>
        <v/>
      </c>
      <c r="J332" s="28" t="inlineStr"/>
    </row>
    <row r="333">
      <c r="B333" s="14" t="inlineStr">
        <is>
          <t>Tramo 0+002.74 - 0+004.00 (cruce de autos)</t>
        </is>
      </c>
      <c r="D333" s="26" t="n"/>
      <c r="E333" s="26" t="n"/>
      <c r="F333" s="26" t="n"/>
      <c r="G333" s="26" t="n"/>
      <c r="H333" s="27">
        <f>TRAMOS!S7</f>
        <v/>
      </c>
      <c r="J333" s="28" t="inlineStr"/>
    </row>
    <row r="334">
      <c r="B334" s="14" t="inlineStr">
        <is>
          <t>Tramo 0+004.00 - 0+006.00 (cruce de autos)</t>
        </is>
      </c>
      <c r="D334" s="26" t="n"/>
      <c r="E334" s="26" t="n"/>
      <c r="F334" s="26" t="n"/>
      <c r="G334" s="26" t="n"/>
      <c r="H334" s="27">
        <f>TRAMOS!S8</f>
        <v/>
      </c>
      <c r="J334" s="28" t="inlineStr"/>
    </row>
    <row r="335">
      <c r="B335" s="14" t="inlineStr">
        <is>
          <t>Tramo 0+006.00 - 0+008.00 (cruce de autos)</t>
        </is>
      </c>
      <c r="D335" s="26" t="n"/>
      <c r="E335" s="26" t="n"/>
      <c r="F335" s="26" t="n"/>
      <c r="G335" s="26" t="n"/>
      <c r="H335" s="27">
        <f>TRAMOS!S9</f>
        <v/>
      </c>
      <c r="J335" s="28" t="inlineStr"/>
    </row>
    <row r="336">
      <c r="B336" s="14" t="inlineStr">
        <is>
          <t>Tramo 0+008.00 - 0+010.00 (cruce de autos)</t>
        </is>
      </c>
      <c r="D336" s="26" t="n"/>
      <c r="E336" s="26" t="n"/>
      <c r="F336" s="26" t="n"/>
      <c r="G336" s="26" t="n"/>
      <c r="H336" s="27">
        <f>TRAMOS!S10</f>
        <v/>
      </c>
      <c r="J336" s="28" t="inlineStr"/>
    </row>
    <row r="337">
      <c r="B337" s="14" t="inlineStr">
        <is>
          <t>Tramo 0+010.00 - 0+012.00 (cruce de autos)</t>
        </is>
      </c>
      <c r="D337" s="26" t="n"/>
      <c r="E337" s="26" t="n"/>
      <c r="F337" s="26" t="n"/>
      <c r="G337" s="26" t="n"/>
      <c r="H337" s="27">
        <f>TRAMOS!S11</f>
        <v/>
      </c>
      <c r="J337" s="28" t="inlineStr"/>
    </row>
    <row r="338">
      <c r="B338" s="14" t="inlineStr">
        <is>
          <t>Tramo 0+012.00 - 0+014.00 (cruce de autos)</t>
        </is>
      </c>
      <c r="D338" s="26" t="n"/>
      <c r="E338" s="26" t="n"/>
      <c r="F338" s="26" t="n"/>
      <c r="G338" s="26" t="n"/>
      <c r="H338" s="27">
        <f>TRAMOS!S12</f>
        <v/>
      </c>
      <c r="J338" s="28" t="inlineStr"/>
    </row>
    <row r="339">
      <c r="B339" s="14" t="inlineStr">
        <is>
          <t>Tramo 0+014.00 - 0+016.00 (cruce de autos)</t>
        </is>
      </c>
      <c r="D339" s="26" t="n"/>
      <c r="E339" s="26" t="n"/>
      <c r="F339" s="26" t="n"/>
      <c r="G339" s="26" t="n"/>
      <c r="H339" s="27">
        <f>TRAMOS!S13</f>
        <v/>
      </c>
      <c r="J339" s="28" t="inlineStr"/>
    </row>
    <row r="340">
      <c r="B340" s="14" t="inlineStr">
        <is>
          <t>Tramo 0+016.00 - 0+018.00 (cruce de autos)</t>
        </is>
      </c>
      <c r="D340" s="26" t="n"/>
      <c r="E340" s="26" t="n"/>
      <c r="F340" s="26" t="n"/>
      <c r="G340" s="26" t="n"/>
      <c r="H340" s="27">
        <f>TRAMOS!S14</f>
        <v/>
      </c>
      <c r="J340" s="28" t="inlineStr"/>
    </row>
    <row r="341">
      <c r="B341" s="14" t="inlineStr">
        <is>
          <t>Tramo 0+018.00 - 0+018.45 (cruce de autos)</t>
        </is>
      </c>
      <c r="D341" s="26" t="n"/>
      <c r="E341" s="26" t="n"/>
      <c r="F341" s="26" t="n"/>
      <c r="G341" s="26" t="n"/>
      <c r="H341" s="27">
        <f>TRAMOS!S15</f>
        <v/>
      </c>
      <c r="J341" s="28" t="inlineStr"/>
    </row>
    <row r="342">
      <c r="B342" s="14" t="inlineStr">
        <is>
          <t>Tramo 0+018.45 - 0+020.00 (normal)</t>
        </is>
      </c>
      <c r="D342" s="26" t="n"/>
      <c r="E342" s="26" t="n"/>
      <c r="F342" s="26" t="n"/>
      <c r="G342" s="26" t="n"/>
      <c r="H342" s="27">
        <f>TRAMOS!S16</f>
        <v/>
      </c>
      <c r="J342" s="28" t="inlineStr"/>
    </row>
    <row r="343">
      <c r="B343" s="14" t="inlineStr">
        <is>
          <t>Tramo 0+020.00 - 0+022.00 (normal)</t>
        </is>
      </c>
      <c r="D343" s="26" t="n"/>
      <c r="E343" s="26" t="n"/>
      <c r="F343" s="26" t="n"/>
      <c r="G343" s="26" t="n"/>
      <c r="H343" s="27">
        <f>TRAMOS!S17</f>
        <v/>
      </c>
      <c r="J343" s="28" t="inlineStr"/>
    </row>
    <row r="344">
      <c r="B344" s="14" t="inlineStr">
        <is>
          <t>Tramo 0+022.00 - 0+024.00 (normal)</t>
        </is>
      </c>
      <c r="D344" s="26" t="n"/>
      <c r="E344" s="26" t="n"/>
      <c r="F344" s="26" t="n"/>
      <c r="G344" s="26" t="n"/>
      <c r="H344" s="27">
        <f>TRAMOS!S18</f>
        <v/>
      </c>
      <c r="J344" s="28" t="inlineStr"/>
    </row>
    <row r="345">
      <c r="B345" s="14" t="inlineStr">
        <is>
          <t>Tramo 0+024.00 - 0+026.00 (normal)</t>
        </is>
      </c>
      <c r="D345" s="26" t="n"/>
      <c r="E345" s="26" t="n"/>
      <c r="F345" s="26" t="n"/>
      <c r="G345" s="26" t="n"/>
      <c r="H345" s="27">
        <f>TRAMOS!S19</f>
        <v/>
      </c>
      <c r="J345" s="28" t="inlineStr"/>
    </row>
    <row r="346">
      <c r="B346" s="14" t="inlineStr">
        <is>
          <t>Tramo 0+026.00 - 0+028.00 (normal)</t>
        </is>
      </c>
      <c r="D346" s="26" t="n"/>
      <c r="E346" s="26" t="n"/>
      <c r="F346" s="26" t="n"/>
      <c r="G346" s="26" t="n"/>
      <c r="H346" s="27">
        <f>TRAMOS!S20</f>
        <v/>
      </c>
      <c r="J346" s="28" t="inlineStr"/>
    </row>
    <row r="347">
      <c r="B347" s="14" t="inlineStr">
        <is>
          <t>Tramo 0+028.00 - 0+030.00 (normal)</t>
        </is>
      </c>
      <c r="D347" s="26" t="n"/>
      <c r="E347" s="26" t="n"/>
      <c r="F347" s="26" t="n"/>
      <c r="G347" s="26" t="n"/>
      <c r="H347" s="27">
        <f>TRAMOS!S21</f>
        <v/>
      </c>
      <c r="J347" s="28" t="inlineStr"/>
    </row>
    <row r="348">
      <c r="B348" s="14" t="inlineStr">
        <is>
          <t>Tramo 0+030.00 - 0+032.00 (normal)</t>
        </is>
      </c>
      <c r="D348" s="26" t="n"/>
      <c r="E348" s="26" t="n"/>
      <c r="F348" s="26" t="n"/>
      <c r="G348" s="26" t="n"/>
      <c r="H348" s="27">
        <f>TRAMOS!S22</f>
        <v/>
      </c>
      <c r="J348" s="28" t="inlineStr"/>
    </row>
    <row r="349">
      <c r="B349" s="14" t="inlineStr">
        <is>
          <t>Tramo 0+032.00 - 0+034.00 (normal)</t>
        </is>
      </c>
      <c r="D349" s="26" t="n"/>
      <c r="E349" s="26" t="n"/>
      <c r="F349" s="26" t="n"/>
      <c r="G349" s="26" t="n"/>
      <c r="H349" s="27">
        <f>TRAMOS!S23</f>
        <v/>
      </c>
      <c r="J349" s="28" t="inlineStr"/>
    </row>
    <row r="350">
      <c r="B350" s="14" t="inlineStr">
        <is>
          <t>Tramo 0+034.00 - 0+035.04 (normal)</t>
        </is>
      </c>
      <c r="D350" s="26" t="n"/>
      <c r="E350" s="26" t="n"/>
      <c r="F350" s="26" t="n"/>
      <c r="G350" s="26" t="n"/>
      <c r="H350" s="27">
        <f>TRAMOS!S24</f>
        <v/>
      </c>
      <c r="J350" s="28" t="inlineStr"/>
    </row>
    <row r="351">
      <c r="B351" s="14" t="inlineStr">
        <is>
          <t>Tramo 0+035.04 - 0+036.00 (cruce de autos)</t>
        </is>
      </c>
      <c r="D351" s="26" t="n"/>
      <c r="E351" s="26" t="n"/>
      <c r="F351" s="26" t="n"/>
      <c r="G351" s="26" t="n"/>
      <c r="H351" s="27">
        <f>TRAMOS!S25</f>
        <v/>
      </c>
      <c r="J351" s="28" t="inlineStr"/>
    </row>
    <row r="352">
      <c r="B352" s="14" t="inlineStr">
        <is>
          <t>Tramo 0+036.00 - 0+038.00 (cruce de autos)</t>
        </is>
      </c>
      <c r="D352" s="26" t="n"/>
      <c r="E352" s="26" t="n"/>
      <c r="F352" s="26" t="n"/>
      <c r="G352" s="26" t="n"/>
      <c r="H352" s="27">
        <f>TRAMOS!S26</f>
        <v/>
      </c>
      <c r="J352" s="28" t="inlineStr"/>
    </row>
    <row r="353">
      <c r="B353" s="14" t="inlineStr">
        <is>
          <t>Tramo 0+038.00 - 0+040.00 (cruce de autos)</t>
        </is>
      </c>
      <c r="D353" s="26" t="n"/>
      <c r="E353" s="26" t="n"/>
      <c r="F353" s="26" t="n"/>
      <c r="G353" s="26" t="n"/>
      <c r="H353" s="27">
        <f>TRAMOS!S27</f>
        <v/>
      </c>
      <c r="J353" s="28" t="inlineStr"/>
    </row>
    <row r="354">
      <c r="B354" s="14" t="inlineStr">
        <is>
          <t>Tramo 0+040.00 - 0+042.00 (cruce de autos)</t>
        </is>
      </c>
      <c r="D354" s="26" t="n"/>
      <c r="E354" s="26" t="n"/>
      <c r="F354" s="26" t="n"/>
      <c r="G354" s="26" t="n"/>
      <c r="H354" s="27">
        <f>TRAMOS!S28</f>
        <v/>
      </c>
      <c r="J354" s="28" t="inlineStr"/>
    </row>
    <row r="355">
      <c r="B355" s="14" t="inlineStr">
        <is>
          <t>Tramo 0+042.00 - 0+044.00 (cruce de autos)</t>
        </is>
      </c>
      <c r="D355" s="26" t="n"/>
      <c r="E355" s="26" t="n"/>
      <c r="F355" s="26" t="n"/>
      <c r="G355" s="26" t="n"/>
      <c r="H355" s="27">
        <f>TRAMOS!S29</f>
        <v/>
      </c>
      <c r="J355" s="28" t="inlineStr"/>
    </row>
    <row r="356">
      <c r="B356" s="14" t="inlineStr">
        <is>
          <t>Tramo 0+044.00 - 0+046.00 (cruce de autos)</t>
        </is>
      </c>
      <c r="D356" s="26" t="n"/>
      <c r="E356" s="26" t="n"/>
      <c r="F356" s="26" t="n"/>
      <c r="G356" s="26" t="n"/>
      <c r="H356" s="27">
        <f>TRAMOS!S30</f>
        <v/>
      </c>
      <c r="J356" s="28" t="inlineStr"/>
    </row>
    <row r="357">
      <c r="B357" s="14" t="inlineStr">
        <is>
          <t>Tramo 0+046.00 - 0+048.00 (cruce de autos)</t>
        </is>
      </c>
      <c r="D357" s="26" t="n"/>
      <c r="E357" s="26" t="n"/>
      <c r="F357" s="26" t="n"/>
      <c r="G357" s="26" t="n"/>
      <c r="H357" s="27">
        <f>TRAMOS!S31</f>
        <v/>
      </c>
      <c r="J357" s="28" t="inlineStr"/>
    </row>
    <row r="358">
      <c r="B358" s="14" t="inlineStr">
        <is>
          <t>Tramo 0+048.00 - 0+050.00 (cruce de autos)</t>
        </is>
      </c>
      <c r="D358" s="26" t="n"/>
      <c r="E358" s="26" t="n"/>
      <c r="F358" s="26" t="n"/>
      <c r="G358" s="26" t="n"/>
      <c r="H358" s="27">
        <f>TRAMOS!S32</f>
        <v/>
      </c>
      <c r="J358" s="28" t="inlineStr"/>
    </row>
    <row r="359">
      <c r="B359" s="14" t="inlineStr">
        <is>
          <t>Tramo 0+050.00 - 0+051.86 (cruce de autos)</t>
        </is>
      </c>
      <c r="D359" s="26" t="n"/>
      <c r="E359" s="26" t="n"/>
      <c r="F359" s="26" t="n"/>
      <c r="G359" s="26" t="n"/>
      <c r="H359" s="27">
        <f>TRAMOS!S33</f>
        <v/>
      </c>
      <c r="J359" s="28" t="inlineStr"/>
    </row>
    <row r="360">
      <c r="B360" s="14" t="inlineStr">
        <is>
          <t>Tramo 0+051.86 - 0+052.00 (normal)</t>
        </is>
      </c>
      <c r="D360" s="26" t="n"/>
      <c r="E360" s="26" t="n"/>
      <c r="F360" s="26" t="n"/>
      <c r="G360" s="26" t="n"/>
      <c r="H360" s="27">
        <f>TRAMOS!S34</f>
        <v/>
      </c>
      <c r="J360" s="28" t="inlineStr"/>
    </row>
    <row r="361">
      <c r="B361" s="14" t="inlineStr">
        <is>
          <t>Tramo 0+052.00 - 0+054.00 (normal)</t>
        </is>
      </c>
      <c r="D361" s="26" t="n"/>
      <c r="E361" s="26" t="n"/>
      <c r="F361" s="26" t="n"/>
      <c r="G361" s="26" t="n"/>
      <c r="H361" s="27">
        <f>TRAMOS!S35</f>
        <v/>
      </c>
      <c r="J361" s="28" t="inlineStr"/>
    </row>
    <row r="362">
      <c r="B362" s="14" t="inlineStr">
        <is>
          <t>Tramo 0+054.00 - 0+056.00 (cruce de camiones)</t>
        </is>
      </c>
      <c r="D362" s="26" t="n"/>
      <c r="E362" s="26" t="n"/>
      <c r="F362" s="26" t="n"/>
      <c r="G362" s="26" t="n"/>
      <c r="H362" s="27">
        <f>TRAMOS!S36</f>
        <v/>
      </c>
      <c r="J362" s="28" t="inlineStr"/>
    </row>
    <row r="363">
      <c r="B363" s="14" t="inlineStr">
        <is>
          <t>Tramo 0+056.00 - 0+058.00 (cruce de camiones)</t>
        </is>
      </c>
      <c r="D363" s="26" t="n"/>
      <c r="E363" s="26" t="n"/>
      <c r="F363" s="26" t="n"/>
      <c r="G363" s="26" t="n"/>
      <c r="H363" s="27">
        <f>TRAMOS!S37</f>
        <v/>
      </c>
      <c r="J363" s="28" t="inlineStr"/>
    </row>
    <row r="364">
      <c r="B364" s="14" t="inlineStr">
        <is>
          <t>Tramo 0+058.00 - 0+060.00 (cruce de camiones)</t>
        </is>
      </c>
      <c r="D364" s="26" t="n"/>
      <c r="E364" s="26" t="n"/>
      <c r="F364" s="26" t="n"/>
      <c r="G364" s="26" t="n"/>
      <c r="H364" s="27">
        <f>TRAMOS!S38</f>
        <v/>
      </c>
      <c r="J364" s="28" t="inlineStr"/>
    </row>
    <row r="365">
      <c r="B365" s="14" t="inlineStr">
        <is>
          <t>Tramo 0+060.00 - 0+062.00 (normal)</t>
        </is>
      </c>
      <c r="D365" s="26" t="n"/>
      <c r="E365" s="26" t="n"/>
      <c r="F365" s="26" t="n"/>
      <c r="G365" s="26" t="n"/>
      <c r="H365" s="27">
        <f>TRAMOS!S39</f>
        <v/>
      </c>
      <c r="J365" s="28" t="inlineStr"/>
    </row>
    <row r="366">
      <c r="B366" s="14" t="inlineStr">
        <is>
          <t>Tramo 0+062.00 - 0+064.00 (normal)</t>
        </is>
      </c>
      <c r="D366" s="26" t="n"/>
      <c r="E366" s="26" t="n"/>
      <c r="F366" s="26" t="n"/>
      <c r="G366" s="26" t="n"/>
      <c r="H366" s="27">
        <f>TRAMOS!S40</f>
        <v/>
      </c>
      <c r="J366" s="28" t="inlineStr"/>
    </row>
    <row r="367">
      <c r="B367" s="14" t="inlineStr">
        <is>
          <t>Tramo 0+064.00 - 0+066.00 (normal)</t>
        </is>
      </c>
      <c r="D367" s="26" t="n"/>
      <c r="E367" s="26" t="n"/>
      <c r="F367" s="26" t="n"/>
      <c r="G367" s="26" t="n"/>
      <c r="H367" s="27">
        <f>TRAMOS!S41</f>
        <v/>
      </c>
      <c r="J367" s="28" t="inlineStr"/>
    </row>
    <row r="368">
      <c r="B368" s="14" t="inlineStr">
        <is>
          <t>Tramo 0+066.00 - 0+068.00 (normal)</t>
        </is>
      </c>
      <c r="D368" s="26" t="n"/>
      <c r="E368" s="26" t="n"/>
      <c r="F368" s="26" t="n"/>
      <c r="G368" s="26" t="n"/>
      <c r="H368" s="27">
        <f>TRAMOS!S42</f>
        <v/>
      </c>
      <c r="J368" s="28" t="inlineStr"/>
    </row>
    <row r="369">
      <c r="B369" s="14" t="inlineStr">
        <is>
          <t>Tramo 0+068.00 - 0+070.00 (normal)</t>
        </is>
      </c>
      <c r="D369" s="26" t="n"/>
      <c r="E369" s="26" t="n"/>
      <c r="F369" s="26" t="n"/>
      <c r="G369" s="26" t="n"/>
      <c r="H369" s="27">
        <f>TRAMOS!S43</f>
        <v/>
      </c>
      <c r="J369" s="28" t="inlineStr"/>
    </row>
    <row r="370">
      <c r="B370" s="14" t="inlineStr">
        <is>
          <t>Tramo 0+070.00 - 0+072.00 (normal)</t>
        </is>
      </c>
      <c r="D370" s="26" t="n"/>
      <c r="E370" s="26" t="n"/>
      <c r="F370" s="26" t="n"/>
      <c r="G370" s="26" t="n"/>
      <c r="H370" s="27">
        <f>TRAMOS!S44</f>
        <v/>
      </c>
      <c r="J370" s="28" t="inlineStr"/>
    </row>
    <row r="371">
      <c r="B371" s="14" t="inlineStr">
        <is>
          <t>Tramo 0+072.00 - 0+074.00 (normal)</t>
        </is>
      </c>
      <c r="D371" s="26" t="n"/>
      <c r="E371" s="26" t="n"/>
      <c r="F371" s="26" t="n"/>
      <c r="G371" s="26" t="n"/>
      <c r="H371" s="27">
        <f>TRAMOS!S45</f>
        <v/>
      </c>
      <c r="J371" s="28" t="inlineStr"/>
    </row>
    <row r="372">
      <c r="B372" s="14" t="inlineStr">
        <is>
          <t>Tramo 0+074.00 - 0+076.00 (normal)</t>
        </is>
      </c>
      <c r="D372" s="26" t="n"/>
      <c r="E372" s="26" t="n"/>
      <c r="F372" s="26" t="n"/>
      <c r="G372" s="26" t="n"/>
      <c r="H372" s="27">
        <f>TRAMOS!S46</f>
        <v/>
      </c>
      <c r="J372" s="28" t="inlineStr"/>
    </row>
    <row r="373">
      <c r="B373" s="14" t="inlineStr">
        <is>
          <t>Tramo 0+076.00 - 0+078.00 (normal)</t>
        </is>
      </c>
      <c r="D373" s="26" t="n"/>
      <c r="E373" s="26" t="n"/>
      <c r="F373" s="26" t="n"/>
      <c r="G373" s="26" t="n"/>
      <c r="H373" s="27">
        <f>TRAMOS!S47</f>
        <v/>
      </c>
      <c r="J373" s="28" t="inlineStr"/>
    </row>
    <row r="374">
      <c r="B374" s="14" t="inlineStr">
        <is>
          <t>Tramo 0+078.00 - 0+078.42 (normal)</t>
        </is>
      </c>
      <c r="D374" s="26" t="n"/>
      <c r="E374" s="26" t="n"/>
      <c r="F374" s="26" t="n"/>
      <c r="G374" s="26" t="n"/>
      <c r="H374" s="27">
        <f>TRAMOS!S48</f>
        <v/>
      </c>
      <c r="J374" s="28" t="inlineStr"/>
    </row>
    <row r="375">
      <c r="B375" s="14" t="inlineStr">
        <is>
          <t>Tramo 0+078.42 - 0+080.00 (normal)</t>
        </is>
      </c>
      <c r="D375" s="26" t="n"/>
      <c r="E375" s="26" t="n"/>
      <c r="F375" s="26" t="n"/>
      <c r="G375" s="26" t="n"/>
      <c r="H375" s="27">
        <f>TRAMOS!S49</f>
        <v/>
      </c>
      <c r="J375" s="28" t="inlineStr"/>
    </row>
    <row r="376">
      <c r="B376" s="14" t="inlineStr">
        <is>
          <t>Tramo 0+080.00 - 0+082.00 (normal)</t>
        </is>
      </c>
      <c r="D376" s="26" t="n"/>
      <c r="E376" s="26" t="n"/>
      <c r="F376" s="26" t="n"/>
      <c r="G376" s="26" t="n"/>
      <c r="H376" s="27">
        <f>TRAMOS!S50</f>
        <v/>
      </c>
      <c r="J376" s="28" t="inlineStr"/>
    </row>
    <row r="377">
      <c r="B377" s="14" t="inlineStr">
        <is>
          <t>Tramo 0+082.00 - 0+084.00 (normal)</t>
        </is>
      </c>
      <c r="D377" s="26" t="n"/>
      <c r="E377" s="26" t="n"/>
      <c r="F377" s="26" t="n"/>
      <c r="G377" s="26" t="n"/>
      <c r="H377" s="27">
        <f>TRAMOS!S51</f>
        <v/>
      </c>
      <c r="J377" s="28" t="inlineStr"/>
    </row>
    <row r="378">
      <c r="B378" s="14" t="inlineStr">
        <is>
          <t>Tramo 0+084.00 - 0+086.00 (normal)</t>
        </is>
      </c>
      <c r="D378" s="26" t="n"/>
      <c r="E378" s="26" t="n"/>
      <c r="F378" s="26" t="n"/>
      <c r="G378" s="26" t="n"/>
      <c r="H378" s="27">
        <f>TRAMOS!S52</f>
        <v/>
      </c>
      <c r="J378" s="28" t="inlineStr"/>
    </row>
    <row r="379">
      <c r="B379" s="14" t="inlineStr">
        <is>
          <t>Tramo 0+086.00 - 0+088.00 (normal)</t>
        </is>
      </c>
      <c r="D379" s="26" t="n"/>
      <c r="E379" s="26" t="n"/>
      <c r="F379" s="26" t="n"/>
      <c r="G379" s="26" t="n"/>
      <c r="H379" s="27">
        <f>TRAMOS!S53</f>
        <v/>
      </c>
      <c r="J379" s="28" t="inlineStr"/>
    </row>
    <row r="380">
      <c r="B380" s="14" t="inlineStr">
        <is>
          <t>Tramo 0+088.00 - 0+090.00 (normal)</t>
        </is>
      </c>
      <c r="D380" s="26" t="n"/>
      <c r="E380" s="26" t="n"/>
      <c r="F380" s="26" t="n"/>
      <c r="G380" s="26" t="n"/>
      <c r="H380" s="27">
        <f>TRAMOS!S54</f>
        <v/>
      </c>
      <c r="J380" s="28" t="inlineStr"/>
    </row>
    <row r="381">
      <c r="B381" s="14" t="inlineStr">
        <is>
          <t>Tramo 0+090.00 - 0+092.00 (normal)</t>
        </is>
      </c>
      <c r="D381" s="26" t="n"/>
      <c r="E381" s="26" t="n"/>
      <c r="F381" s="26" t="n"/>
      <c r="G381" s="26" t="n"/>
      <c r="H381" s="27">
        <f>TRAMOS!S55</f>
        <v/>
      </c>
      <c r="J381" s="28" t="inlineStr"/>
    </row>
    <row r="382">
      <c r="B382" s="14" t="inlineStr">
        <is>
          <t>Tramo 0+092.00 - 0+094.00 (normal)</t>
        </is>
      </c>
      <c r="D382" s="26" t="n"/>
      <c r="E382" s="26" t="n"/>
      <c r="F382" s="26" t="n"/>
      <c r="G382" s="26" t="n"/>
      <c r="H382" s="27">
        <f>TRAMOS!S56</f>
        <v/>
      </c>
      <c r="J382" s="28" t="inlineStr"/>
    </row>
    <row r="383">
      <c r="B383" s="14" t="inlineStr">
        <is>
          <t>Tramo 0+094.00 - 0+096.00 (normal)</t>
        </is>
      </c>
      <c r="D383" s="26" t="n"/>
      <c r="E383" s="26" t="n"/>
      <c r="F383" s="26" t="n"/>
      <c r="G383" s="26" t="n"/>
      <c r="H383" s="27">
        <f>TRAMOS!S57</f>
        <v/>
      </c>
      <c r="J383" s="28" t="inlineStr"/>
    </row>
    <row r="384">
      <c r="B384" s="14" t="inlineStr">
        <is>
          <t>Tramo 0+096.00 - 0+098.00 (normal)</t>
        </is>
      </c>
      <c r="D384" s="26" t="n"/>
      <c r="E384" s="26" t="n"/>
      <c r="F384" s="26" t="n"/>
      <c r="G384" s="26" t="n"/>
      <c r="H384" s="27">
        <f>TRAMOS!S58</f>
        <v/>
      </c>
      <c r="J384" s="28" t="inlineStr"/>
    </row>
    <row r="385">
      <c r="B385" s="14" t="inlineStr">
        <is>
          <t>Tramo 0+098.00 - 0+100.00 (normal)</t>
        </is>
      </c>
      <c r="D385" s="26" t="n"/>
      <c r="E385" s="26" t="n"/>
      <c r="F385" s="26" t="n"/>
      <c r="G385" s="26" t="n"/>
      <c r="H385" s="27">
        <f>TRAMOS!S59</f>
        <v/>
      </c>
      <c r="J385" s="28" t="inlineStr"/>
    </row>
    <row r="386">
      <c r="B386" s="14" t="inlineStr">
        <is>
          <t>Tramo 0+100.00 - 0+102.00 (normal)</t>
        </is>
      </c>
      <c r="D386" s="26" t="n"/>
      <c r="E386" s="26" t="n"/>
      <c r="F386" s="26" t="n"/>
      <c r="G386" s="26" t="n"/>
      <c r="H386" s="27">
        <f>TRAMOS!S60</f>
        <v/>
      </c>
      <c r="J386" s="28" t="inlineStr"/>
    </row>
    <row r="387">
      <c r="B387" s="14" t="inlineStr">
        <is>
          <t>Tramo 0+102.00 - 0+104.00 (normal)</t>
        </is>
      </c>
      <c r="D387" s="26" t="n"/>
      <c r="E387" s="26" t="n"/>
      <c r="F387" s="26" t="n"/>
      <c r="G387" s="26" t="n"/>
      <c r="H387" s="27">
        <f>TRAMOS!S61</f>
        <v/>
      </c>
      <c r="J387" s="28" t="inlineStr"/>
    </row>
    <row r="388">
      <c r="B388" s="14" t="inlineStr">
        <is>
          <t>Tramo 0+104.00 - 0+106.00 (normal)</t>
        </is>
      </c>
      <c r="D388" s="26" t="n"/>
      <c r="E388" s="26" t="n"/>
      <c r="F388" s="26" t="n"/>
      <c r="G388" s="26" t="n"/>
      <c r="H388" s="27">
        <f>TRAMOS!S62</f>
        <v/>
      </c>
      <c r="J388" s="28" t="inlineStr"/>
    </row>
    <row r="389">
      <c r="B389" s="14" t="inlineStr">
        <is>
          <t>Tramo 0+106.00 - 0+108.00 (normal)</t>
        </is>
      </c>
      <c r="D389" s="26" t="n"/>
      <c r="E389" s="26" t="n"/>
      <c r="F389" s="26" t="n"/>
      <c r="G389" s="26" t="n"/>
      <c r="H389" s="27">
        <f>TRAMOS!S63</f>
        <v/>
      </c>
      <c r="J389" s="28" t="inlineStr"/>
    </row>
    <row r="390">
      <c r="B390" s="14" t="inlineStr">
        <is>
          <t>Tramo 0+108.00 - 0+110.00 (normal)</t>
        </is>
      </c>
      <c r="D390" s="26" t="n"/>
      <c r="E390" s="26" t="n"/>
      <c r="F390" s="26" t="n"/>
      <c r="G390" s="26" t="n"/>
      <c r="H390" s="27">
        <f>TRAMOS!S64</f>
        <v/>
      </c>
      <c r="J390" s="28" t="inlineStr"/>
    </row>
    <row r="391">
      <c r="B391" s="14" t="inlineStr">
        <is>
          <t>Tramo 0+110.00 - 0+112.00 (normal)</t>
        </is>
      </c>
      <c r="D391" s="26" t="n"/>
      <c r="E391" s="26" t="n"/>
      <c r="F391" s="26" t="n"/>
      <c r="G391" s="26" t="n"/>
      <c r="H391" s="27">
        <f>TRAMOS!S65</f>
        <v/>
      </c>
      <c r="J391" s="28" t="inlineStr"/>
    </row>
    <row r="392">
      <c r="B392" s="14" t="inlineStr">
        <is>
          <t>Tramo 0+112.00 - 0+114.00 (normal)</t>
        </is>
      </c>
      <c r="D392" s="26" t="n"/>
      <c r="E392" s="26" t="n"/>
      <c r="F392" s="26" t="n"/>
      <c r="G392" s="26" t="n"/>
      <c r="H392" s="27">
        <f>TRAMOS!S66</f>
        <v/>
      </c>
      <c r="J392" s="28" t="inlineStr"/>
    </row>
    <row r="393">
      <c r="B393" s="14" t="inlineStr">
        <is>
          <t>Tramo 0+114.00 - 0+116.00 (normal)</t>
        </is>
      </c>
      <c r="D393" s="26" t="n"/>
      <c r="E393" s="26" t="n"/>
      <c r="F393" s="26" t="n"/>
      <c r="G393" s="26" t="n"/>
      <c r="H393" s="27">
        <f>TRAMOS!S67</f>
        <v/>
      </c>
      <c r="J393" s="28" t="inlineStr"/>
    </row>
    <row r="394">
      <c r="B394" s="14" t="inlineStr">
        <is>
          <t>Tramo 0+116.00 - 0+118.00 (normal)</t>
        </is>
      </c>
      <c r="D394" s="26" t="n"/>
      <c r="E394" s="26" t="n"/>
      <c r="F394" s="26" t="n"/>
      <c r="G394" s="26" t="n"/>
      <c r="H394" s="27">
        <f>TRAMOS!S68</f>
        <v/>
      </c>
      <c r="J394" s="28" t="inlineStr"/>
    </row>
    <row r="395">
      <c r="B395" s="14" t="inlineStr">
        <is>
          <t>Tramo 0+118.00 - 0+120.00 (normal)</t>
        </is>
      </c>
      <c r="D395" s="26" t="n"/>
      <c r="E395" s="26" t="n"/>
      <c r="F395" s="26" t="n"/>
      <c r="G395" s="26" t="n"/>
      <c r="H395" s="27">
        <f>TRAMOS!S69</f>
        <v/>
      </c>
      <c r="J395" s="28" t="inlineStr"/>
    </row>
    <row r="396">
      <c r="B396" s="14" t="inlineStr">
        <is>
          <t>Tramo 0+120.00 - 0+122.00 (normal)</t>
        </is>
      </c>
      <c r="D396" s="26" t="n"/>
      <c r="E396" s="26" t="n"/>
      <c r="F396" s="26" t="n"/>
      <c r="G396" s="26" t="n"/>
      <c r="H396" s="27">
        <f>TRAMOS!S70</f>
        <v/>
      </c>
      <c r="J396" s="28" t="inlineStr"/>
    </row>
    <row r="397">
      <c r="B397" s="14" t="inlineStr">
        <is>
          <t>Tramo 0+122.00 - 0+124.00 (normal)</t>
        </is>
      </c>
      <c r="D397" s="26" t="n"/>
      <c r="E397" s="26" t="n"/>
      <c r="F397" s="26" t="n"/>
      <c r="G397" s="26" t="n"/>
      <c r="H397" s="27">
        <f>TRAMOS!S71</f>
        <v/>
      </c>
      <c r="J397" s="28" t="inlineStr"/>
    </row>
    <row r="398">
      <c r="B398" s="14" t="inlineStr">
        <is>
          <t>Tramo 0+124.00 - 0+126.00 (normal)</t>
        </is>
      </c>
      <c r="D398" s="26" t="n"/>
      <c r="E398" s="26" t="n"/>
      <c r="F398" s="26" t="n"/>
      <c r="G398" s="26" t="n"/>
      <c r="H398" s="27">
        <f>TRAMOS!S72</f>
        <v/>
      </c>
      <c r="J398" s="28" t="inlineStr"/>
    </row>
    <row r="399">
      <c r="B399" s="14" t="inlineStr">
        <is>
          <t>Tramo 0+126.00 - 0+128.00 (normal)</t>
        </is>
      </c>
      <c r="D399" s="26" t="n"/>
      <c r="E399" s="26" t="n"/>
      <c r="F399" s="26" t="n"/>
      <c r="G399" s="26" t="n"/>
      <c r="H399" s="27">
        <f>TRAMOS!S73</f>
        <v/>
      </c>
      <c r="J399" s="28" t="inlineStr"/>
    </row>
    <row r="400">
      <c r="B400" s="14" t="inlineStr">
        <is>
          <t>Tramo 0+128.00 - 0+130.00 (normal)</t>
        </is>
      </c>
      <c r="D400" s="26" t="n"/>
      <c r="E400" s="26" t="n"/>
      <c r="F400" s="26" t="n"/>
      <c r="G400" s="26" t="n"/>
      <c r="H400" s="27">
        <f>TRAMOS!S74</f>
        <v/>
      </c>
      <c r="J400" s="28" t="inlineStr"/>
    </row>
    <row r="401">
      <c r="B401" s="14" t="inlineStr">
        <is>
          <t>Tramo 0+130.00 - 0+132.00 (normal)</t>
        </is>
      </c>
      <c r="D401" s="26" t="n"/>
      <c r="E401" s="26" t="n"/>
      <c r="F401" s="26" t="n"/>
      <c r="G401" s="26" t="n"/>
      <c r="H401" s="27">
        <f>TRAMOS!S75</f>
        <v/>
      </c>
      <c r="J401" s="28" t="inlineStr"/>
    </row>
    <row r="402">
      <c r="B402" s="14" t="inlineStr">
        <is>
          <t>Tramo 0+132.00 - 0+134.00 (normal)</t>
        </is>
      </c>
      <c r="D402" s="26" t="n"/>
      <c r="E402" s="26" t="n"/>
      <c r="F402" s="26" t="n"/>
      <c r="G402" s="26" t="n"/>
      <c r="H402" s="27">
        <f>TRAMOS!S76</f>
        <v/>
      </c>
      <c r="J402" s="28" t="inlineStr"/>
    </row>
    <row r="403">
      <c r="B403" s="14" t="inlineStr">
        <is>
          <t>Tramo 0+134.00 - 0+136.00 (normal)</t>
        </is>
      </c>
      <c r="D403" s="26" t="n"/>
      <c r="E403" s="26" t="n"/>
      <c r="F403" s="26" t="n"/>
      <c r="G403" s="26" t="n"/>
      <c r="H403" s="27">
        <f>TRAMOS!S77</f>
        <v/>
      </c>
      <c r="J403" s="28" t="inlineStr"/>
    </row>
    <row r="404">
      <c r="B404" s="14" t="inlineStr">
        <is>
          <t>Tramo 0+136.00 - 0+138.00 (normal)</t>
        </is>
      </c>
      <c r="D404" s="26" t="n"/>
      <c r="E404" s="26" t="n"/>
      <c r="F404" s="26" t="n"/>
      <c r="G404" s="26" t="n"/>
      <c r="H404" s="27">
        <f>TRAMOS!S78</f>
        <v/>
      </c>
      <c r="J404" s="28" t="inlineStr"/>
    </row>
    <row r="405">
      <c r="B405" s="14" t="inlineStr">
        <is>
          <t>Tramo 0+138.00 - 0+139.08 (normal)</t>
        </is>
      </c>
      <c r="D405" s="26" t="n"/>
      <c r="E405" s="26" t="n"/>
      <c r="F405" s="26" t="n"/>
      <c r="G405" s="26" t="n"/>
      <c r="H405" s="27">
        <f>TRAMOS!S79</f>
        <v/>
      </c>
      <c r="J405" s="28" t="inlineStr"/>
    </row>
    <row r="406">
      <c r="B406" s="25" t="inlineStr">
        <is>
          <t>Barras longitudinales 3/8" con traslape 0.40 m</t>
        </is>
      </c>
    </row>
    <row r="407">
      <c r="B407" s="14" t="inlineStr">
        <is>
          <t>Tramo 0+000.00 - 0+002.00 (normal)</t>
        </is>
      </c>
      <c r="D407" s="26" t="n"/>
      <c r="E407" s="26" t="n"/>
      <c r="F407" s="26" t="n"/>
      <c r="G407" s="26" t="n"/>
      <c r="H407" s="27">
        <f>TRAMOS!T5</f>
        <v/>
      </c>
      <c r="J407" s="28" t="inlineStr"/>
    </row>
    <row r="408">
      <c r="B408" s="14" t="inlineStr">
        <is>
          <t>Tramo 0+002.00 - 0+002.74 (normal)</t>
        </is>
      </c>
      <c r="D408" s="26" t="n"/>
      <c r="E408" s="26" t="n"/>
      <c r="F408" s="26" t="n"/>
      <c r="G408" s="26" t="n"/>
      <c r="H408" s="27">
        <f>TRAMOS!T6</f>
        <v/>
      </c>
      <c r="J408" s="28" t="inlineStr"/>
    </row>
    <row r="409">
      <c r="B409" s="14" t="inlineStr">
        <is>
          <t>Tramo 0+002.74 - 0+004.00 (cruce de autos)</t>
        </is>
      </c>
      <c r="D409" s="26" t="n"/>
      <c r="E409" s="26" t="n"/>
      <c r="F409" s="26" t="n"/>
      <c r="G409" s="26" t="n"/>
      <c r="H409" s="27">
        <f>TRAMOS!T7</f>
        <v/>
      </c>
      <c r="J409" s="28" t="inlineStr"/>
    </row>
    <row r="410">
      <c r="B410" s="14" t="inlineStr">
        <is>
          <t>Tramo 0+004.00 - 0+006.00 (cruce de autos)</t>
        </is>
      </c>
      <c r="D410" s="26" t="n"/>
      <c r="E410" s="26" t="n"/>
      <c r="F410" s="26" t="n"/>
      <c r="G410" s="26" t="n"/>
      <c r="H410" s="27">
        <f>TRAMOS!T8</f>
        <v/>
      </c>
      <c r="J410" s="28" t="inlineStr"/>
    </row>
    <row r="411">
      <c r="B411" s="14" t="inlineStr">
        <is>
          <t>Tramo 0+006.00 - 0+008.00 (cruce de autos)</t>
        </is>
      </c>
      <c r="D411" s="26" t="n"/>
      <c r="E411" s="26" t="n"/>
      <c r="F411" s="26" t="n"/>
      <c r="G411" s="26" t="n"/>
      <c r="H411" s="27">
        <f>TRAMOS!T9</f>
        <v/>
      </c>
      <c r="J411" s="28" t="inlineStr"/>
    </row>
    <row r="412">
      <c r="B412" s="14" t="inlineStr">
        <is>
          <t>Tramo 0+008.00 - 0+010.00 (cruce de autos)</t>
        </is>
      </c>
      <c r="D412" s="26" t="n"/>
      <c r="E412" s="26" t="n"/>
      <c r="F412" s="26" t="n"/>
      <c r="G412" s="26" t="n"/>
      <c r="H412" s="27">
        <f>TRAMOS!T10</f>
        <v/>
      </c>
      <c r="J412" s="28" t="inlineStr"/>
    </row>
    <row r="413">
      <c r="B413" s="14" t="inlineStr">
        <is>
          <t>Tramo 0+010.00 - 0+012.00 (cruce de autos)</t>
        </is>
      </c>
      <c r="D413" s="26" t="n"/>
      <c r="E413" s="26" t="n"/>
      <c r="F413" s="26" t="n"/>
      <c r="G413" s="26" t="n"/>
      <c r="H413" s="27">
        <f>TRAMOS!T11</f>
        <v/>
      </c>
      <c r="J413" s="28" t="inlineStr"/>
    </row>
    <row r="414">
      <c r="B414" s="14" t="inlineStr">
        <is>
          <t>Tramo 0+012.00 - 0+014.00 (cruce de autos)</t>
        </is>
      </c>
      <c r="D414" s="26" t="n"/>
      <c r="E414" s="26" t="n"/>
      <c r="F414" s="26" t="n"/>
      <c r="G414" s="26" t="n"/>
      <c r="H414" s="27">
        <f>TRAMOS!T12</f>
        <v/>
      </c>
      <c r="J414" s="28" t="inlineStr"/>
    </row>
    <row r="415">
      <c r="B415" s="14" t="inlineStr">
        <is>
          <t>Tramo 0+014.00 - 0+016.00 (cruce de autos)</t>
        </is>
      </c>
      <c r="D415" s="26" t="n"/>
      <c r="E415" s="26" t="n"/>
      <c r="F415" s="26" t="n"/>
      <c r="G415" s="26" t="n"/>
      <c r="H415" s="27">
        <f>TRAMOS!T13</f>
        <v/>
      </c>
      <c r="J415" s="28" t="inlineStr"/>
    </row>
    <row r="416">
      <c r="B416" s="14" t="inlineStr">
        <is>
          <t>Tramo 0+016.00 - 0+018.00 (cruce de autos)</t>
        </is>
      </c>
      <c r="D416" s="26" t="n"/>
      <c r="E416" s="26" t="n"/>
      <c r="F416" s="26" t="n"/>
      <c r="G416" s="26" t="n"/>
      <c r="H416" s="27">
        <f>TRAMOS!T14</f>
        <v/>
      </c>
      <c r="J416" s="28" t="inlineStr"/>
    </row>
    <row r="417">
      <c r="B417" s="14" t="inlineStr">
        <is>
          <t>Tramo 0+018.00 - 0+018.45 (cruce de autos)</t>
        </is>
      </c>
      <c r="D417" s="26" t="n"/>
      <c r="E417" s="26" t="n"/>
      <c r="F417" s="26" t="n"/>
      <c r="G417" s="26" t="n"/>
      <c r="H417" s="27">
        <f>TRAMOS!T15</f>
        <v/>
      </c>
      <c r="J417" s="28" t="inlineStr"/>
    </row>
    <row r="418">
      <c r="B418" s="14" t="inlineStr">
        <is>
          <t>Tramo 0+018.45 - 0+020.00 (normal)</t>
        </is>
      </c>
      <c r="D418" s="26" t="n"/>
      <c r="E418" s="26" t="n"/>
      <c r="F418" s="26" t="n"/>
      <c r="G418" s="26" t="n"/>
      <c r="H418" s="27">
        <f>TRAMOS!T16</f>
        <v/>
      </c>
      <c r="J418" s="28" t="inlineStr"/>
    </row>
    <row r="419">
      <c r="B419" s="14" t="inlineStr">
        <is>
          <t>Tramo 0+020.00 - 0+022.00 (normal)</t>
        </is>
      </c>
      <c r="D419" s="26" t="n"/>
      <c r="E419" s="26" t="n"/>
      <c r="F419" s="26" t="n"/>
      <c r="G419" s="26" t="n"/>
      <c r="H419" s="27">
        <f>TRAMOS!T17</f>
        <v/>
      </c>
      <c r="J419" s="28" t="inlineStr"/>
    </row>
    <row r="420">
      <c r="B420" s="14" t="inlineStr">
        <is>
          <t>Tramo 0+022.00 - 0+024.00 (normal)</t>
        </is>
      </c>
      <c r="D420" s="26" t="n"/>
      <c r="E420" s="26" t="n"/>
      <c r="F420" s="26" t="n"/>
      <c r="G420" s="26" t="n"/>
      <c r="H420" s="27">
        <f>TRAMOS!T18</f>
        <v/>
      </c>
      <c r="J420" s="28" t="inlineStr"/>
    </row>
    <row r="421">
      <c r="B421" s="14" t="inlineStr">
        <is>
          <t>Tramo 0+024.00 - 0+026.00 (normal)</t>
        </is>
      </c>
      <c r="D421" s="26" t="n"/>
      <c r="E421" s="26" t="n"/>
      <c r="F421" s="26" t="n"/>
      <c r="G421" s="26" t="n"/>
      <c r="H421" s="27">
        <f>TRAMOS!T19</f>
        <v/>
      </c>
      <c r="J421" s="28" t="inlineStr"/>
    </row>
    <row r="422">
      <c r="B422" s="14" t="inlineStr">
        <is>
          <t>Tramo 0+026.00 - 0+028.00 (normal)</t>
        </is>
      </c>
      <c r="D422" s="26" t="n"/>
      <c r="E422" s="26" t="n"/>
      <c r="F422" s="26" t="n"/>
      <c r="G422" s="26" t="n"/>
      <c r="H422" s="27">
        <f>TRAMOS!T20</f>
        <v/>
      </c>
      <c r="J422" s="28" t="inlineStr"/>
    </row>
    <row r="423">
      <c r="B423" s="14" t="inlineStr">
        <is>
          <t>Tramo 0+028.00 - 0+030.00 (normal)</t>
        </is>
      </c>
      <c r="D423" s="26" t="n"/>
      <c r="E423" s="26" t="n"/>
      <c r="F423" s="26" t="n"/>
      <c r="G423" s="26" t="n"/>
      <c r="H423" s="27">
        <f>TRAMOS!T21</f>
        <v/>
      </c>
      <c r="J423" s="28" t="inlineStr"/>
    </row>
    <row r="424">
      <c r="B424" s="14" t="inlineStr">
        <is>
          <t>Tramo 0+030.00 - 0+032.00 (normal)</t>
        </is>
      </c>
      <c r="D424" s="26" t="n"/>
      <c r="E424" s="26" t="n"/>
      <c r="F424" s="26" t="n"/>
      <c r="G424" s="26" t="n"/>
      <c r="H424" s="27">
        <f>TRAMOS!T22</f>
        <v/>
      </c>
      <c r="J424" s="28" t="inlineStr"/>
    </row>
    <row r="425">
      <c r="B425" s="14" t="inlineStr">
        <is>
          <t>Tramo 0+032.00 - 0+034.00 (normal)</t>
        </is>
      </c>
      <c r="D425" s="26" t="n"/>
      <c r="E425" s="26" t="n"/>
      <c r="F425" s="26" t="n"/>
      <c r="G425" s="26" t="n"/>
      <c r="H425" s="27">
        <f>TRAMOS!T23</f>
        <v/>
      </c>
      <c r="J425" s="28" t="inlineStr"/>
    </row>
    <row r="426">
      <c r="B426" s="14" t="inlineStr">
        <is>
          <t>Tramo 0+034.00 - 0+035.04 (normal)</t>
        </is>
      </c>
      <c r="D426" s="26" t="n"/>
      <c r="E426" s="26" t="n"/>
      <c r="F426" s="26" t="n"/>
      <c r="G426" s="26" t="n"/>
      <c r="H426" s="27">
        <f>TRAMOS!T24</f>
        <v/>
      </c>
      <c r="J426" s="28" t="inlineStr"/>
    </row>
    <row r="427">
      <c r="B427" s="14" t="inlineStr">
        <is>
          <t>Tramo 0+035.04 - 0+036.00 (cruce de autos)</t>
        </is>
      </c>
      <c r="D427" s="26" t="n"/>
      <c r="E427" s="26" t="n"/>
      <c r="F427" s="26" t="n"/>
      <c r="G427" s="26" t="n"/>
      <c r="H427" s="27">
        <f>TRAMOS!T25</f>
        <v/>
      </c>
      <c r="J427" s="28" t="inlineStr"/>
    </row>
    <row r="428">
      <c r="B428" s="14" t="inlineStr">
        <is>
          <t>Tramo 0+036.00 - 0+038.00 (cruce de autos)</t>
        </is>
      </c>
      <c r="D428" s="26" t="n"/>
      <c r="E428" s="26" t="n"/>
      <c r="F428" s="26" t="n"/>
      <c r="G428" s="26" t="n"/>
      <c r="H428" s="27">
        <f>TRAMOS!T26</f>
        <v/>
      </c>
      <c r="J428" s="28" t="inlineStr"/>
    </row>
    <row r="429">
      <c r="B429" s="14" t="inlineStr">
        <is>
          <t>Tramo 0+038.00 - 0+040.00 (cruce de autos)</t>
        </is>
      </c>
      <c r="D429" s="26" t="n"/>
      <c r="E429" s="26" t="n"/>
      <c r="F429" s="26" t="n"/>
      <c r="G429" s="26" t="n"/>
      <c r="H429" s="27">
        <f>TRAMOS!T27</f>
        <v/>
      </c>
      <c r="J429" s="28" t="inlineStr"/>
    </row>
    <row r="430">
      <c r="B430" s="14" t="inlineStr">
        <is>
          <t>Tramo 0+040.00 - 0+042.00 (cruce de autos)</t>
        </is>
      </c>
      <c r="D430" s="26" t="n"/>
      <c r="E430" s="26" t="n"/>
      <c r="F430" s="26" t="n"/>
      <c r="G430" s="26" t="n"/>
      <c r="H430" s="27">
        <f>TRAMOS!T28</f>
        <v/>
      </c>
      <c r="J430" s="28" t="inlineStr"/>
    </row>
    <row r="431">
      <c r="B431" s="14" t="inlineStr">
        <is>
          <t>Tramo 0+042.00 - 0+044.00 (cruce de autos)</t>
        </is>
      </c>
      <c r="D431" s="26" t="n"/>
      <c r="E431" s="26" t="n"/>
      <c r="F431" s="26" t="n"/>
      <c r="G431" s="26" t="n"/>
      <c r="H431" s="27">
        <f>TRAMOS!T29</f>
        <v/>
      </c>
      <c r="J431" s="28" t="inlineStr"/>
    </row>
    <row r="432">
      <c r="B432" s="14" t="inlineStr">
        <is>
          <t>Tramo 0+044.00 - 0+046.00 (cruce de autos)</t>
        </is>
      </c>
      <c r="D432" s="26" t="n"/>
      <c r="E432" s="26" t="n"/>
      <c r="F432" s="26" t="n"/>
      <c r="G432" s="26" t="n"/>
      <c r="H432" s="27">
        <f>TRAMOS!T30</f>
        <v/>
      </c>
      <c r="J432" s="28" t="inlineStr"/>
    </row>
    <row r="433">
      <c r="B433" s="14" t="inlineStr">
        <is>
          <t>Tramo 0+046.00 - 0+048.00 (cruce de autos)</t>
        </is>
      </c>
      <c r="D433" s="26" t="n"/>
      <c r="E433" s="26" t="n"/>
      <c r="F433" s="26" t="n"/>
      <c r="G433" s="26" t="n"/>
      <c r="H433" s="27">
        <f>TRAMOS!T31</f>
        <v/>
      </c>
      <c r="J433" s="28" t="inlineStr"/>
    </row>
    <row r="434">
      <c r="B434" s="14" t="inlineStr">
        <is>
          <t>Tramo 0+048.00 - 0+050.00 (cruce de autos)</t>
        </is>
      </c>
      <c r="D434" s="26" t="n"/>
      <c r="E434" s="26" t="n"/>
      <c r="F434" s="26" t="n"/>
      <c r="G434" s="26" t="n"/>
      <c r="H434" s="27">
        <f>TRAMOS!T32</f>
        <v/>
      </c>
      <c r="J434" s="28" t="inlineStr"/>
    </row>
    <row r="435">
      <c r="B435" s="14" t="inlineStr">
        <is>
          <t>Tramo 0+050.00 - 0+051.86 (cruce de autos)</t>
        </is>
      </c>
      <c r="D435" s="26" t="n"/>
      <c r="E435" s="26" t="n"/>
      <c r="F435" s="26" t="n"/>
      <c r="G435" s="26" t="n"/>
      <c r="H435" s="27">
        <f>TRAMOS!T33</f>
        <v/>
      </c>
      <c r="J435" s="28" t="inlineStr"/>
    </row>
    <row r="436">
      <c r="B436" s="14" t="inlineStr">
        <is>
          <t>Tramo 0+051.86 - 0+052.00 (normal)</t>
        </is>
      </c>
      <c r="D436" s="26" t="n"/>
      <c r="E436" s="26" t="n"/>
      <c r="F436" s="26" t="n"/>
      <c r="G436" s="26" t="n"/>
      <c r="H436" s="27">
        <f>TRAMOS!T34</f>
        <v/>
      </c>
      <c r="J436" s="28" t="inlineStr"/>
    </row>
    <row r="437">
      <c r="B437" s="14" t="inlineStr">
        <is>
          <t>Tramo 0+052.00 - 0+054.00 (normal)</t>
        </is>
      </c>
      <c r="D437" s="26" t="n"/>
      <c r="E437" s="26" t="n"/>
      <c r="F437" s="26" t="n"/>
      <c r="G437" s="26" t="n"/>
      <c r="H437" s="27">
        <f>TRAMOS!T35</f>
        <v/>
      </c>
      <c r="J437" s="28" t="inlineStr"/>
    </row>
    <row r="438">
      <c r="B438" s="14" t="inlineStr">
        <is>
          <t>Tramo 0+054.00 - 0+056.00 (cruce de camiones)</t>
        </is>
      </c>
      <c r="D438" s="26" t="n"/>
      <c r="E438" s="26" t="n"/>
      <c r="F438" s="26" t="n"/>
      <c r="G438" s="26" t="n"/>
      <c r="H438" s="27">
        <f>TRAMOS!T36</f>
        <v/>
      </c>
      <c r="J438" s="28" t="inlineStr"/>
    </row>
    <row r="439">
      <c r="B439" s="14" t="inlineStr">
        <is>
          <t>Tramo 0+056.00 - 0+058.00 (cruce de camiones)</t>
        </is>
      </c>
      <c r="D439" s="26" t="n"/>
      <c r="E439" s="26" t="n"/>
      <c r="F439" s="26" t="n"/>
      <c r="G439" s="26" t="n"/>
      <c r="H439" s="27">
        <f>TRAMOS!T37</f>
        <v/>
      </c>
      <c r="J439" s="28" t="inlineStr"/>
    </row>
    <row r="440">
      <c r="B440" s="14" t="inlineStr">
        <is>
          <t>Tramo 0+058.00 - 0+060.00 (cruce de camiones)</t>
        </is>
      </c>
      <c r="D440" s="26" t="n"/>
      <c r="E440" s="26" t="n"/>
      <c r="F440" s="26" t="n"/>
      <c r="G440" s="26" t="n"/>
      <c r="H440" s="27">
        <f>TRAMOS!T38</f>
        <v/>
      </c>
      <c r="J440" s="28" t="inlineStr"/>
    </row>
    <row r="441">
      <c r="B441" s="14" t="inlineStr">
        <is>
          <t>Tramo 0+060.00 - 0+062.00 (normal)</t>
        </is>
      </c>
      <c r="D441" s="26" t="n"/>
      <c r="E441" s="26" t="n"/>
      <c r="F441" s="26" t="n"/>
      <c r="G441" s="26" t="n"/>
      <c r="H441" s="27">
        <f>TRAMOS!T39</f>
        <v/>
      </c>
      <c r="J441" s="28" t="inlineStr"/>
    </row>
    <row r="442">
      <c r="B442" s="14" t="inlineStr">
        <is>
          <t>Tramo 0+062.00 - 0+064.00 (normal)</t>
        </is>
      </c>
      <c r="D442" s="26" t="n"/>
      <c r="E442" s="26" t="n"/>
      <c r="F442" s="26" t="n"/>
      <c r="G442" s="26" t="n"/>
      <c r="H442" s="27">
        <f>TRAMOS!T40</f>
        <v/>
      </c>
      <c r="J442" s="28" t="inlineStr"/>
    </row>
    <row r="443">
      <c r="B443" s="14" t="inlineStr">
        <is>
          <t>Tramo 0+064.00 - 0+066.00 (normal)</t>
        </is>
      </c>
      <c r="D443" s="26" t="n"/>
      <c r="E443" s="26" t="n"/>
      <c r="F443" s="26" t="n"/>
      <c r="G443" s="26" t="n"/>
      <c r="H443" s="27">
        <f>TRAMOS!T41</f>
        <v/>
      </c>
      <c r="J443" s="28" t="inlineStr"/>
    </row>
    <row r="444">
      <c r="B444" s="14" t="inlineStr">
        <is>
          <t>Tramo 0+066.00 - 0+068.00 (normal)</t>
        </is>
      </c>
      <c r="D444" s="26" t="n"/>
      <c r="E444" s="26" t="n"/>
      <c r="F444" s="26" t="n"/>
      <c r="G444" s="26" t="n"/>
      <c r="H444" s="27">
        <f>TRAMOS!T42</f>
        <v/>
      </c>
      <c r="J444" s="28" t="inlineStr"/>
    </row>
    <row r="445">
      <c r="B445" s="14" t="inlineStr">
        <is>
          <t>Tramo 0+068.00 - 0+070.00 (normal)</t>
        </is>
      </c>
      <c r="D445" s="26" t="n"/>
      <c r="E445" s="26" t="n"/>
      <c r="F445" s="26" t="n"/>
      <c r="G445" s="26" t="n"/>
      <c r="H445" s="27">
        <f>TRAMOS!T43</f>
        <v/>
      </c>
      <c r="J445" s="28" t="inlineStr"/>
    </row>
    <row r="446">
      <c r="B446" s="14" t="inlineStr">
        <is>
          <t>Tramo 0+070.00 - 0+072.00 (normal)</t>
        </is>
      </c>
      <c r="D446" s="26" t="n"/>
      <c r="E446" s="26" t="n"/>
      <c r="F446" s="26" t="n"/>
      <c r="G446" s="26" t="n"/>
      <c r="H446" s="27">
        <f>TRAMOS!T44</f>
        <v/>
      </c>
      <c r="J446" s="28" t="inlineStr"/>
    </row>
    <row r="447">
      <c r="B447" s="14" t="inlineStr">
        <is>
          <t>Tramo 0+072.00 - 0+074.00 (normal)</t>
        </is>
      </c>
      <c r="D447" s="26" t="n"/>
      <c r="E447" s="26" t="n"/>
      <c r="F447" s="26" t="n"/>
      <c r="G447" s="26" t="n"/>
      <c r="H447" s="27">
        <f>TRAMOS!T45</f>
        <v/>
      </c>
      <c r="J447" s="28" t="inlineStr"/>
    </row>
    <row r="448">
      <c r="B448" s="14" t="inlineStr">
        <is>
          <t>Tramo 0+074.00 - 0+076.00 (normal)</t>
        </is>
      </c>
      <c r="D448" s="26" t="n"/>
      <c r="E448" s="26" t="n"/>
      <c r="F448" s="26" t="n"/>
      <c r="G448" s="26" t="n"/>
      <c r="H448" s="27">
        <f>TRAMOS!T46</f>
        <v/>
      </c>
      <c r="J448" s="28" t="inlineStr"/>
    </row>
    <row r="449">
      <c r="B449" s="14" t="inlineStr">
        <is>
          <t>Tramo 0+076.00 - 0+078.00 (normal)</t>
        </is>
      </c>
      <c r="D449" s="26" t="n"/>
      <c r="E449" s="26" t="n"/>
      <c r="F449" s="26" t="n"/>
      <c r="G449" s="26" t="n"/>
      <c r="H449" s="27">
        <f>TRAMOS!T47</f>
        <v/>
      </c>
      <c r="J449" s="28" t="inlineStr"/>
    </row>
    <row r="450">
      <c r="B450" s="14" t="inlineStr">
        <is>
          <t>Tramo 0+078.00 - 0+078.42 (normal)</t>
        </is>
      </c>
      <c r="D450" s="26" t="n"/>
      <c r="E450" s="26" t="n"/>
      <c r="F450" s="26" t="n"/>
      <c r="G450" s="26" t="n"/>
      <c r="H450" s="27">
        <f>TRAMOS!T48</f>
        <v/>
      </c>
      <c r="J450" s="28" t="inlineStr"/>
    </row>
    <row r="451">
      <c r="B451" s="14" t="inlineStr">
        <is>
          <t>Tramo 0+078.42 - 0+080.00 (normal)</t>
        </is>
      </c>
      <c r="D451" s="26" t="n"/>
      <c r="E451" s="26" t="n"/>
      <c r="F451" s="26" t="n"/>
      <c r="G451" s="26" t="n"/>
      <c r="H451" s="27">
        <f>TRAMOS!T49</f>
        <v/>
      </c>
      <c r="J451" s="28" t="inlineStr"/>
    </row>
    <row r="452">
      <c r="B452" s="14" t="inlineStr">
        <is>
          <t>Tramo 0+080.00 - 0+082.00 (normal)</t>
        </is>
      </c>
      <c r="D452" s="26" t="n"/>
      <c r="E452" s="26" t="n"/>
      <c r="F452" s="26" t="n"/>
      <c r="G452" s="26" t="n"/>
      <c r="H452" s="27">
        <f>TRAMOS!T50</f>
        <v/>
      </c>
      <c r="J452" s="28" t="inlineStr"/>
    </row>
    <row r="453">
      <c r="B453" s="14" t="inlineStr">
        <is>
          <t>Tramo 0+082.00 - 0+084.00 (normal)</t>
        </is>
      </c>
      <c r="D453" s="26" t="n"/>
      <c r="E453" s="26" t="n"/>
      <c r="F453" s="26" t="n"/>
      <c r="G453" s="26" t="n"/>
      <c r="H453" s="27">
        <f>TRAMOS!T51</f>
        <v/>
      </c>
      <c r="J453" s="28" t="inlineStr"/>
    </row>
    <row r="454">
      <c r="B454" s="14" t="inlineStr">
        <is>
          <t>Tramo 0+084.00 - 0+086.00 (normal)</t>
        </is>
      </c>
      <c r="D454" s="26" t="n"/>
      <c r="E454" s="26" t="n"/>
      <c r="F454" s="26" t="n"/>
      <c r="G454" s="26" t="n"/>
      <c r="H454" s="27">
        <f>TRAMOS!T52</f>
        <v/>
      </c>
      <c r="J454" s="28" t="inlineStr"/>
    </row>
    <row r="455">
      <c r="B455" s="14" t="inlineStr">
        <is>
          <t>Tramo 0+086.00 - 0+088.00 (normal)</t>
        </is>
      </c>
      <c r="D455" s="26" t="n"/>
      <c r="E455" s="26" t="n"/>
      <c r="F455" s="26" t="n"/>
      <c r="G455" s="26" t="n"/>
      <c r="H455" s="27">
        <f>TRAMOS!T53</f>
        <v/>
      </c>
      <c r="J455" s="28" t="inlineStr"/>
    </row>
    <row r="456">
      <c r="B456" s="14" t="inlineStr">
        <is>
          <t>Tramo 0+088.00 - 0+090.00 (normal)</t>
        </is>
      </c>
      <c r="D456" s="26" t="n"/>
      <c r="E456" s="26" t="n"/>
      <c r="F456" s="26" t="n"/>
      <c r="G456" s="26" t="n"/>
      <c r="H456" s="27">
        <f>TRAMOS!T54</f>
        <v/>
      </c>
      <c r="J456" s="28" t="inlineStr"/>
    </row>
    <row r="457">
      <c r="B457" s="14" t="inlineStr">
        <is>
          <t>Tramo 0+090.00 - 0+092.00 (normal)</t>
        </is>
      </c>
      <c r="D457" s="26" t="n"/>
      <c r="E457" s="26" t="n"/>
      <c r="F457" s="26" t="n"/>
      <c r="G457" s="26" t="n"/>
      <c r="H457" s="27">
        <f>TRAMOS!T55</f>
        <v/>
      </c>
      <c r="J457" s="28" t="inlineStr"/>
    </row>
    <row r="458">
      <c r="B458" s="14" t="inlineStr">
        <is>
          <t>Tramo 0+092.00 - 0+094.00 (normal)</t>
        </is>
      </c>
      <c r="D458" s="26" t="n"/>
      <c r="E458" s="26" t="n"/>
      <c r="F458" s="26" t="n"/>
      <c r="G458" s="26" t="n"/>
      <c r="H458" s="27">
        <f>TRAMOS!T56</f>
        <v/>
      </c>
      <c r="J458" s="28" t="inlineStr"/>
    </row>
    <row r="459">
      <c r="B459" s="14" t="inlineStr">
        <is>
          <t>Tramo 0+094.00 - 0+096.00 (normal)</t>
        </is>
      </c>
      <c r="D459" s="26" t="n"/>
      <c r="E459" s="26" t="n"/>
      <c r="F459" s="26" t="n"/>
      <c r="G459" s="26" t="n"/>
      <c r="H459" s="27">
        <f>TRAMOS!T57</f>
        <v/>
      </c>
      <c r="J459" s="28" t="inlineStr"/>
    </row>
    <row r="460">
      <c r="B460" s="14" t="inlineStr">
        <is>
          <t>Tramo 0+096.00 - 0+098.00 (normal)</t>
        </is>
      </c>
      <c r="D460" s="26" t="n"/>
      <c r="E460" s="26" t="n"/>
      <c r="F460" s="26" t="n"/>
      <c r="G460" s="26" t="n"/>
      <c r="H460" s="27">
        <f>TRAMOS!T58</f>
        <v/>
      </c>
      <c r="J460" s="28" t="inlineStr"/>
    </row>
    <row r="461">
      <c r="B461" s="14" t="inlineStr">
        <is>
          <t>Tramo 0+098.00 - 0+100.00 (normal)</t>
        </is>
      </c>
      <c r="D461" s="26" t="n"/>
      <c r="E461" s="26" t="n"/>
      <c r="F461" s="26" t="n"/>
      <c r="G461" s="26" t="n"/>
      <c r="H461" s="27">
        <f>TRAMOS!T59</f>
        <v/>
      </c>
      <c r="J461" s="28" t="inlineStr"/>
    </row>
    <row r="462">
      <c r="B462" s="14" t="inlineStr">
        <is>
          <t>Tramo 0+100.00 - 0+102.00 (normal)</t>
        </is>
      </c>
      <c r="D462" s="26" t="n"/>
      <c r="E462" s="26" t="n"/>
      <c r="F462" s="26" t="n"/>
      <c r="G462" s="26" t="n"/>
      <c r="H462" s="27">
        <f>TRAMOS!T60</f>
        <v/>
      </c>
      <c r="J462" s="28" t="inlineStr"/>
    </row>
    <row r="463">
      <c r="B463" s="14" t="inlineStr">
        <is>
          <t>Tramo 0+102.00 - 0+104.00 (normal)</t>
        </is>
      </c>
      <c r="D463" s="26" t="n"/>
      <c r="E463" s="26" t="n"/>
      <c r="F463" s="26" t="n"/>
      <c r="G463" s="26" t="n"/>
      <c r="H463" s="27">
        <f>TRAMOS!T61</f>
        <v/>
      </c>
      <c r="J463" s="28" t="inlineStr"/>
    </row>
    <row r="464">
      <c r="B464" s="14" t="inlineStr">
        <is>
          <t>Tramo 0+104.00 - 0+106.00 (normal)</t>
        </is>
      </c>
      <c r="D464" s="26" t="n"/>
      <c r="E464" s="26" t="n"/>
      <c r="F464" s="26" t="n"/>
      <c r="G464" s="26" t="n"/>
      <c r="H464" s="27">
        <f>TRAMOS!T62</f>
        <v/>
      </c>
      <c r="J464" s="28" t="inlineStr"/>
    </row>
    <row r="465">
      <c r="B465" s="14" t="inlineStr">
        <is>
          <t>Tramo 0+106.00 - 0+108.00 (normal)</t>
        </is>
      </c>
      <c r="D465" s="26" t="n"/>
      <c r="E465" s="26" t="n"/>
      <c r="F465" s="26" t="n"/>
      <c r="G465" s="26" t="n"/>
      <c r="H465" s="27">
        <f>TRAMOS!T63</f>
        <v/>
      </c>
      <c r="J465" s="28" t="inlineStr"/>
    </row>
    <row r="466">
      <c r="B466" s="14" t="inlineStr">
        <is>
          <t>Tramo 0+108.00 - 0+110.00 (normal)</t>
        </is>
      </c>
      <c r="D466" s="26" t="n"/>
      <c r="E466" s="26" t="n"/>
      <c r="F466" s="26" t="n"/>
      <c r="G466" s="26" t="n"/>
      <c r="H466" s="27">
        <f>TRAMOS!T64</f>
        <v/>
      </c>
      <c r="J466" s="28" t="inlineStr"/>
    </row>
    <row r="467">
      <c r="B467" s="14" t="inlineStr">
        <is>
          <t>Tramo 0+110.00 - 0+112.00 (normal)</t>
        </is>
      </c>
      <c r="D467" s="26" t="n"/>
      <c r="E467" s="26" t="n"/>
      <c r="F467" s="26" t="n"/>
      <c r="G467" s="26" t="n"/>
      <c r="H467" s="27">
        <f>TRAMOS!T65</f>
        <v/>
      </c>
      <c r="J467" s="28" t="inlineStr"/>
    </row>
    <row r="468">
      <c r="B468" s="14" t="inlineStr">
        <is>
          <t>Tramo 0+112.00 - 0+114.00 (normal)</t>
        </is>
      </c>
      <c r="D468" s="26" t="n"/>
      <c r="E468" s="26" t="n"/>
      <c r="F468" s="26" t="n"/>
      <c r="G468" s="26" t="n"/>
      <c r="H468" s="27">
        <f>TRAMOS!T66</f>
        <v/>
      </c>
      <c r="J468" s="28" t="inlineStr"/>
    </row>
    <row r="469">
      <c r="B469" s="14" t="inlineStr">
        <is>
          <t>Tramo 0+114.00 - 0+116.00 (normal)</t>
        </is>
      </c>
      <c r="D469" s="26" t="n"/>
      <c r="E469" s="26" t="n"/>
      <c r="F469" s="26" t="n"/>
      <c r="G469" s="26" t="n"/>
      <c r="H469" s="27">
        <f>TRAMOS!T67</f>
        <v/>
      </c>
      <c r="J469" s="28" t="inlineStr"/>
    </row>
    <row r="470">
      <c r="B470" s="14" t="inlineStr">
        <is>
          <t>Tramo 0+116.00 - 0+118.00 (normal)</t>
        </is>
      </c>
      <c r="D470" s="26" t="n"/>
      <c r="E470" s="26" t="n"/>
      <c r="F470" s="26" t="n"/>
      <c r="G470" s="26" t="n"/>
      <c r="H470" s="27">
        <f>TRAMOS!T68</f>
        <v/>
      </c>
      <c r="J470" s="28" t="inlineStr"/>
    </row>
    <row r="471">
      <c r="B471" s="14" t="inlineStr">
        <is>
          <t>Tramo 0+118.00 - 0+120.00 (normal)</t>
        </is>
      </c>
      <c r="D471" s="26" t="n"/>
      <c r="E471" s="26" t="n"/>
      <c r="F471" s="26" t="n"/>
      <c r="G471" s="26" t="n"/>
      <c r="H471" s="27">
        <f>TRAMOS!T69</f>
        <v/>
      </c>
      <c r="J471" s="28" t="inlineStr"/>
    </row>
    <row r="472">
      <c r="B472" s="14" t="inlineStr">
        <is>
          <t>Tramo 0+120.00 - 0+122.00 (normal)</t>
        </is>
      </c>
      <c r="D472" s="26" t="n"/>
      <c r="E472" s="26" t="n"/>
      <c r="F472" s="26" t="n"/>
      <c r="G472" s="26" t="n"/>
      <c r="H472" s="27">
        <f>TRAMOS!T70</f>
        <v/>
      </c>
      <c r="J472" s="28" t="inlineStr"/>
    </row>
    <row r="473">
      <c r="B473" s="14" t="inlineStr">
        <is>
          <t>Tramo 0+122.00 - 0+124.00 (normal)</t>
        </is>
      </c>
      <c r="D473" s="26" t="n"/>
      <c r="E473" s="26" t="n"/>
      <c r="F473" s="26" t="n"/>
      <c r="G473" s="26" t="n"/>
      <c r="H473" s="27">
        <f>TRAMOS!T71</f>
        <v/>
      </c>
      <c r="J473" s="28" t="inlineStr"/>
    </row>
    <row r="474">
      <c r="B474" s="14" t="inlineStr">
        <is>
          <t>Tramo 0+124.00 - 0+126.00 (normal)</t>
        </is>
      </c>
      <c r="D474" s="26" t="n"/>
      <c r="E474" s="26" t="n"/>
      <c r="F474" s="26" t="n"/>
      <c r="G474" s="26" t="n"/>
      <c r="H474" s="27">
        <f>TRAMOS!T72</f>
        <v/>
      </c>
      <c r="J474" s="28" t="inlineStr"/>
    </row>
    <row r="475">
      <c r="B475" s="14" t="inlineStr">
        <is>
          <t>Tramo 0+126.00 - 0+128.00 (normal)</t>
        </is>
      </c>
      <c r="D475" s="26" t="n"/>
      <c r="E475" s="26" t="n"/>
      <c r="F475" s="26" t="n"/>
      <c r="G475" s="26" t="n"/>
      <c r="H475" s="27">
        <f>TRAMOS!T73</f>
        <v/>
      </c>
      <c r="J475" s="28" t="inlineStr"/>
    </row>
    <row r="476">
      <c r="B476" s="14" t="inlineStr">
        <is>
          <t>Tramo 0+128.00 - 0+130.00 (normal)</t>
        </is>
      </c>
      <c r="D476" s="26" t="n"/>
      <c r="E476" s="26" t="n"/>
      <c r="F476" s="26" t="n"/>
      <c r="G476" s="26" t="n"/>
      <c r="H476" s="27">
        <f>TRAMOS!T74</f>
        <v/>
      </c>
      <c r="J476" s="28" t="inlineStr"/>
    </row>
    <row r="477">
      <c r="B477" s="14" t="inlineStr">
        <is>
          <t>Tramo 0+130.00 - 0+132.00 (normal)</t>
        </is>
      </c>
      <c r="D477" s="26" t="n"/>
      <c r="E477" s="26" t="n"/>
      <c r="F477" s="26" t="n"/>
      <c r="G477" s="26" t="n"/>
      <c r="H477" s="27">
        <f>TRAMOS!T75</f>
        <v/>
      </c>
      <c r="J477" s="28" t="inlineStr"/>
    </row>
    <row r="478">
      <c r="B478" s="14" t="inlineStr">
        <is>
          <t>Tramo 0+132.00 - 0+134.00 (normal)</t>
        </is>
      </c>
      <c r="D478" s="26" t="n"/>
      <c r="E478" s="26" t="n"/>
      <c r="F478" s="26" t="n"/>
      <c r="G478" s="26" t="n"/>
      <c r="H478" s="27">
        <f>TRAMOS!T76</f>
        <v/>
      </c>
      <c r="J478" s="28" t="inlineStr"/>
    </row>
    <row r="479">
      <c r="B479" s="14" t="inlineStr">
        <is>
          <t>Tramo 0+134.00 - 0+136.00 (normal)</t>
        </is>
      </c>
      <c r="D479" s="26" t="n"/>
      <c r="E479" s="26" t="n"/>
      <c r="F479" s="26" t="n"/>
      <c r="G479" s="26" t="n"/>
      <c r="H479" s="27">
        <f>TRAMOS!T77</f>
        <v/>
      </c>
      <c r="J479" s="28" t="inlineStr"/>
    </row>
    <row r="480">
      <c r="B480" s="14" t="inlineStr">
        <is>
          <t>Tramo 0+136.00 - 0+138.00 (normal)</t>
        </is>
      </c>
      <c r="D480" s="26" t="n"/>
      <c r="E480" s="26" t="n"/>
      <c r="F480" s="26" t="n"/>
      <c r="G480" s="26" t="n"/>
      <c r="H480" s="27">
        <f>TRAMOS!T78</f>
        <v/>
      </c>
      <c r="J480" s="28" t="inlineStr"/>
    </row>
    <row r="481">
      <c r="B481" s="14" t="inlineStr">
        <is>
          <t>Tramo 0+138.00 - 0+139.08 (normal)</t>
        </is>
      </c>
      <c r="D481" s="26" t="n"/>
      <c r="E481" s="26" t="n"/>
      <c r="F481" s="26" t="n"/>
      <c r="G481" s="26" t="n"/>
      <c r="H481" s="27">
        <f>TRAMOS!T79</f>
        <v/>
      </c>
      <c r="J481" s="28" t="inlineStr"/>
    </row>
    <row r="482">
      <c r="G482" s="9" t="inlineStr">
        <is>
          <t>TOTAL</t>
        </is>
      </c>
      <c r="I482" s="11">
        <f>SUM(H330:H481)</f>
        <v/>
      </c>
    </row>
    <row r="484">
      <c r="A484" s="4" t="inlineStr">
        <is>
          <t>04.06</t>
        </is>
      </c>
      <c r="B484" s="23" t="inlineStr">
        <is>
          <t>ACABADO FROTACHADO Y BRUNADO DE LOSA SUPERIOR (vereda)</t>
        </is>
      </c>
      <c r="C484" s="24" t="inlineStr">
        <is>
          <t>m2</t>
        </is>
      </c>
      <c r="D484" s="5" t="n"/>
      <c r="E484" s="5" t="n"/>
      <c r="F484" s="5" t="n"/>
      <c r="G484" s="5" t="n"/>
      <c r="H484" s="5" t="n"/>
      <c r="I484" s="5" t="n"/>
      <c r="J484" s="5" t="n"/>
    </row>
    <row r="485">
      <c r="B485" s="14" t="inlineStr">
        <is>
          <t>Losa superior en el tramo de vereda</t>
        </is>
      </c>
      <c r="D485" s="26" t="n">
        <v>1</v>
      </c>
      <c r="E485" s="29">
        <f>DATOS!$B$11</f>
        <v/>
      </c>
      <c r="F485" s="26" t="n">
        <v>1.7</v>
      </c>
      <c r="G485" s="26" t="n"/>
      <c r="H485" s="27">
        <f>D485*E485*F485</f>
        <v/>
      </c>
      <c r="J485" s="28" t="inlineStr"/>
    </row>
    <row r="486">
      <c r="B486" s="14" t="inlineStr">
        <is>
          <t>(-) Tapas de registro en vereda</t>
        </is>
      </c>
      <c r="D486" s="29">
        <f>-9</f>
        <v/>
      </c>
      <c r="E486" s="29">
        <f>DATOS!$B$33</f>
        <v/>
      </c>
      <c r="F486" s="29">
        <f>DATOS!$B$33</f>
        <v/>
      </c>
      <c r="G486" s="26" t="n"/>
      <c r="H486" s="27">
        <f>D486*E486*F486</f>
        <v/>
      </c>
      <c r="J486" s="28" t="inlineStr"/>
    </row>
    <row r="487">
      <c r="G487" s="9" t="inlineStr">
        <is>
          <t>TOTAL</t>
        </is>
      </c>
      <c r="I487" s="11">
        <f>SUM(H485:H486)</f>
        <v/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2" customWidth="1" min="9" max="9"/>
    <col width="40" customWidth="1" min="10" max="10"/>
  </cols>
  <sheetData>
    <row r="1" ht="24" customHeight="1">
      <c r="A1" s="1" t="inlineStr">
        <is>
          <t>05 REGISTROS DE LIMPIEZA (R-01 a R-15)</t>
        </is>
      </c>
    </row>
    <row r="2">
      <c r="A2" s="2" t="inlineStr">
        <is>
          <t>CAR Mujeres (CUI 2717013) - Colector pluvial frontal b=1.50 m, preparado para CAR Varones y Hogar de Refugio - Morales, San Martin</t>
        </is>
      </c>
    </row>
    <row r="4" ht="36" customHeight="1">
      <c r="A4" s="3" t="inlineStr">
        <is>
          <t>ITEM</t>
        </is>
      </c>
      <c r="B4" s="3" t="inlineStr">
        <is>
          <t>DESCRIPCION</t>
        </is>
      </c>
      <c r="C4" s="3" t="inlineStr">
        <is>
          <t>UND</t>
        </is>
      </c>
      <c r="D4" s="3" t="inlineStr">
        <is>
          <t>N. VECES</t>
        </is>
      </c>
      <c r="E4" s="3" t="inlineStr">
        <is>
          <t>LARGO (m)</t>
        </is>
      </c>
      <c r="F4" s="3" t="inlineStr">
        <is>
          <t>ANCHO (m)</t>
        </is>
      </c>
      <c r="G4" s="3" t="inlineStr">
        <is>
          <t>ALTO (m)</t>
        </is>
      </c>
      <c r="H4" s="3" t="inlineStr">
        <is>
          <t>PARCIAL</t>
        </is>
      </c>
      <c r="I4" s="3" t="inlineStr">
        <is>
          <t>TOTAL</t>
        </is>
      </c>
      <c r="J4" s="3" t="inlineStr">
        <is>
          <t>OBSERVACION</t>
        </is>
      </c>
    </row>
    <row r="5">
      <c r="A5" s="4" t="inlineStr">
        <is>
          <t>05.01</t>
        </is>
      </c>
      <c r="B5" s="23" t="inlineStr">
        <is>
          <t>CONTRAMARCO METALICO DE ANGULO L 2"x2"x3/16" CON ANCLAJES (suministro y colocacion)</t>
        </is>
      </c>
      <c r="C5" s="24" t="inlineStr">
        <is>
          <t>und</t>
        </is>
      </c>
      <c r="D5" s="5" t="n"/>
      <c r="E5" s="5" t="n"/>
      <c r="F5" s="5" t="n"/>
      <c r="G5" s="5" t="n"/>
      <c r="H5" s="5" t="n"/>
      <c r="I5" s="5" t="n"/>
      <c r="J5" s="5" t="n"/>
    </row>
    <row r="6">
      <c r="B6" s="14" t="inlineStr">
        <is>
          <t>Un contramarco por registro</t>
        </is>
      </c>
      <c r="D6" s="29">
        <f>DATOS!$B$19</f>
        <v/>
      </c>
      <c r="E6" s="26" t="n"/>
      <c r="F6" s="26" t="n"/>
      <c r="G6" s="26" t="n"/>
      <c r="H6" s="27">
        <f>D6</f>
        <v/>
      </c>
      <c r="J6" s="28" t="inlineStr">
        <is>
          <t>perimetro 4 x 0.70 = 2.80 m ; 10.2 kg ; 8 anclajes 3/8" L=0.20 soldados</t>
        </is>
      </c>
    </row>
    <row r="7">
      <c r="G7" s="9" t="inlineStr">
        <is>
          <t>TOTAL</t>
        </is>
      </c>
      <c r="I7" s="11">
        <f>SUM(H6:H6)</f>
        <v/>
      </c>
    </row>
    <row r="9">
      <c r="A9" s="4" t="inlineStr">
        <is>
          <t>05.02</t>
        </is>
      </c>
      <c r="B9" s="23" t="inlineStr">
        <is>
          <t>MARCO METALICO DE TAPA, ANGULO L 1 1/2"x1 1/2"x1/8" (suministro y colocacion)</t>
        </is>
      </c>
      <c r="C9" s="24" t="inlineStr">
        <is>
          <t>und</t>
        </is>
      </c>
      <c r="D9" s="5" t="n"/>
      <c r="E9" s="5" t="n"/>
      <c r="F9" s="5" t="n"/>
      <c r="G9" s="5" t="n"/>
      <c r="H9" s="5" t="n"/>
      <c r="I9" s="5" t="n"/>
      <c r="J9" s="5" t="n"/>
    </row>
    <row r="10">
      <c r="B10" s="14" t="inlineStr">
        <is>
          <t>Un marco por tapa</t>
        </is>
      </c>
      <c r="D10" s="29">
        <f>DATOS!$B$19</f>
        <v/>
      </c>
      <c r="E10" s="26" t="n"/>
      <c r="F10" s="26" t="n"/>
      <c r="G10" s="26" t="n"/>
      <c r="H10" s="27">
        <f>D10</f>
        <v/>
      </c>
      <c r="J10" s="28" t="inlineStr">
        <is>
          <t>perimetro 4 x 0.68 = 2.72 m ; 5.0 kg</t>
        </is>
      </c>
    </row>
    <row r="11">
      <c r="G11" s="9" t="inlineStr">
        <is>
          <t>TOTAL</t>
        </is>
      </c>
      <c r="I11" s="11">
        <f>SUM(H10:H10)</f>
        <v/>
      </c>
    </row>
    <row r="13">
      <c r="A13" s="4" t="inlineStr">
        <is>
          <t>05.03</t>
        </is>
      </c>
      <c r="B13" s="23" t="inlineStr">
        <is>
          <t>ANGULOS METALICOS PARA MARCO Y CONTRAMARCO (peso)</t>
        </is>
      </c>
      <c r="C13" s="24" t="inlineStr">
        <is>
          <t>kg</t>
        </is>
      </c>
      <c r="D13" s="5" t="n"/>
      <c r="E13" s="5" t="n"/>
      <c r="F13" s="5" t="n"/>
      <c r="G13" s="5" t="n"/>
      <c r="H13" s="5" t="n"/>
      <c r="I13" s="5" t="n"/>
      <c r="J13" s="5" t="n"/>
    </row>
    <row r="14">
      <c r="B14" s="14" t="inlineStr">
        <is>
          <t>Contramarco L 2"x2"x3/16"</t>
        </is>
      </c>
      <c r="D14" s="29">
        <f>DATOS!$B$19</f>
        <v/>
      </c>
      <c r="E14" s="26" t="n">
        <v>2.8</v>
      </c>
      <c r="F14" s="26" t="n"/>
      <c r="G14" s="26" t="n"/>
      <c r="H14" s="27">
        <f>D14*E14*DATOS!$B$24</f>
        <v/>
      </c>
      <c r="J14" s="28" t="inlineStr"/>
    </row>
    <row r="15">
      <c r="B15" s="14" t="inlineStr">
        <is>
          <t>Marco de tapa L 1 1/2"x1 1/2"x1/8"</t>
        </is>
      </c>
      <c r="D15" s="29">
        <f>DATOS!$B$19</f>
        <v/>
      </c>
      <c r="E15" s="26" t="n">
        <v>2.72</v>
      </c>
      <c r="F15" s="26" t="n"/>
      <c r="G15" s="26" t="n"/>
      <c r="H15" s="27">
        <f>D15*E15*DATOS!$B$25</f>
        <v/>
      </c>
      <c r="J15" s="28" t="inlineStr"/>
    </row>
    <row r="16">
      <c r="G16" s="9" t="inlineStr">
        <is>
          <t>TOTAL</t>
        </is>
      </c>
      <c r="I16" s="11">
        <f>SUM(H14:H15)</f>
        <v/>
      </c>
    </row>
    <row r="18">
      <c r="A18" s="4" t="inlineStr">
        <is>
          <t>05.04</t>
        </is>
      </c>
      <c r="B18" s="23" t="inlineStr">
        <is>
          <t>TAPA DE CONCRETO ARMADO 0.68x0.68x0.08 f'c=210 (incluye acero y asas)</t>
        </is>
      </c>
      <c r="C18" s="24" t="inlineStr">
        <is>
          <t>und</t>
        </is>
      </c>
      <c r="D18" s="5" t="n"/>
      <c r="E18" s="5" t="n"/>
      <c r="F18" s="5" t="n"/>
      <c r="G18" s="5" t="n"/>
      <c r="H18" s="5" t="n"/>
      <c r="I18" s="5" t="n"/>
      <c r="J18" s="5" t="n"/>
    </row>
    <row r="19">
      <c r="B19" s="14" t="inlineStr">
        <is>
          <t>Una tapa por registro</t>
        </is>
      </c>
      <c r="D19" s="29">
        <f>DATOS!$B$19</f>
        <v/>
      </c>
      <c r="E19" s="26" t="n"/>
      <c r="F19" s="26" t="n"/>
      <c r="G19" s="26" t="n"/>
      <c r="H19" s="27">
        <f>D19</f>
        <v/>
      </c>
      <c r="J19" s="28" t="inlineStr">
        <is>
          <t>volumen por tapa 0.68 x 0.68 x 0.08 = 0.037 m3 ; peso aprox. 95 kg</t>
        </is>
      </c>
    </row>
    <row r="20">
      <c r="G20" s="9" t="inlineStr">
        <is>
          <t>TOTAL</t>
        </is>
      </c>
      <c r="I20" s="11">
        <f>SUM(H19:H19)</f>
        <v/>
      </c>
    </row>
    <row r="22">
      <c r="A22" s="4" t="inlineStr">
        <is>
          <t>05.05</t>
        </is>
      </c>
      <c r="B22" s="23" t="inlineStr">
        <is>
          <t>CONCRETO f'c=210 kg/cm2 EN TAPAS</t>
        </is>
      </c>
      <c r="C22" s="24" t="inlineStr">
        <is>
          <t>m3</t>
        </is>
      </c>
      <c r="D22" s="5" t="n"/>
      <c r="E22" s="5" t="n"/>
      <c r="F22" s="5" t="n"/>
      <c r="G22" s="5" t="n"/>
      <c r="H22" s="5" t="n"/>
      <c r="I22" s="5" t="n"/>
      <c r="J22" s="5" t="n"/>
    </row>
    <row r="23">
      <c r="B23" s="14" t="inlineStr">
        <is>
          <t>Tapas</t>
        </is>
      </c>
      <c r="D23" s="29">
        <f>DATOS!$B$19</f>
        <v/>
      </c>
      <c r="E23" s="29">
        <f>DATOS!$B$35</f>
        <v/>
      </c>
      <c r="F23" s="29">
        <f>DATOS!$B$35</f>
        <v/>
      </c>
      <c r="G23" s="29">
        <f>DATOS!$B$36</f>
        <v/>
      </c>
      <c r="H23" s="27">
        <f>D23*E23*F23*G23</f>
        <v/>
      </c>
      <c r="J23" s="28" t="inlineStr"/>
    </row>
    <row r="24">
      <c r="G24" s="9" t="inlineStr">
        <is>
          <t>TOTAL</t>
        </is>
      </c>
      <c r="I24" s="11">
        <f>SUM(H23:H23)</f>
        <v/>
      </c>
    </row>
    <row r="26">
      <c r="A26" s="4" t="inlineStr">
        <is>
          <t>05.06</t>
        </is>
      </c>
      <c r="B26" s="23" t="inlineStr">
        <is>
          <t>ACERO DE REFUERZO fy=4200 EN BORDES, TAPAS Y ANCLAJES</t>
        </is>
      </c>
      <c r="C26" s="24" t="inlineStr">
        <is>
          <t>kg</t>
        </is>
      </c>
      <c r="D26" s="5" t="n"/>
      <c r="E26" s="5" t="n"/>
      <c r="F26" s="5" t="n"/>
      <c r="G26" s="5" t="n"/>
      <c r="H26" s="5" t="n"/>
      <c r="I26" s="5" t="n"/>
      <c r="J26" s="5" t="n"/>
    </row>
    <row r="27">
      <c r="B27" s="14" t="inlineStr">
        <is>
          <t>Refuerzo de borde 1/2": 8 barras x 1.40 m</t>
        </is>
      </c>
      <c r="D27" s="29">
        <f>DATOS!$B$19*8</f>
        <v/>
      </c>
      <c r="E27" s="26" t="n">
        <v>1.4</v>
      </c>
      <c r="F27" s="26" t="n"/>
      <c r="G27" s="26" t="n"/>
      <c r="H27" s="27">
        <f>D27*E27*DATOS!$B$23</f>
        <v/>
      </c>
      <c r="J27" s="28" t="inlineStr"/>
    </row>
    <row r="28">
      <c r="B28" s="14" t="inlineStr">
        <is>
          <t>Tapa 3/8" @0.10: 14 barras x 0.62 m</t>
        </is>
      </c>
      <c r="D28" s="29">
        <f>DATOS!$B$19*14</f>
        <v/>
      </c>
      <c r="E28" s="26" t="n">
        <v>0.62</v>
      </c>
      <c r="F28" s="26" t="n"/>
      <c r="G28" s="26" t="n"/>
      <c r="H28" s="27">
        <f>D28*E28*DATOS!$B$22</f>
        <v/>
      </c>
      <c r="J28" s="28" t="inlineStr"/>
    </row>
    <row r="29">
      <c r="B29" s="14" t="inlineStr">
        <is>
          <t>Asas 3/8" liso: 2 x 0.40 m</t>
        </is>
      </c>
      <c r="D29" s="29">
        <f>DATOS!$B$19*2</f>
        <v/>
      </c>
      <c r="E29" s="26" t="n">
        <v>0.4</v>
      </c>
      <c r="F29" s="26" t="n"/>
      <c r="G29" s="26" t="n"/>
      <c r="H29" s="27">
        <f>D29*E29*DATOS!$B$22</f>
        <v/>
      </c>
      <c r="J29" s="28" t="inlineStr"/>
    </row>
    <row r="30">
      <c r="B30" s="14" t="inlineStr">
        <is>
          <t>Anclajes de contramarco 3/8": 8 x 0.20 m</t>
        </is>
      </c>
      <c r="D30" s="29">
        <f>DATOS!$B$19*8</f>
        <v/>
      </c>
      <c r="E30" s="26" t="n">
        <v>0.2</v>
      </c>
      <c r="F30" s="26" t="n"/>
      <c r="G30" s="26" t="n"/>
      <c r="H30" s="27">
        <f>D30*E30*DATOS!$B$22</f>
        <v/>
      </c>
      <c r="J30" s="28" t="inlineStr"/>
    </row>
    <row r="31">
      <c r="G31" s="9" t="inlineStr">
        <is>
          <t>TOTAL</t>
        </is>
      </c>
      <c r="I31" s="11">
        <f>SUM(H27:H30)</f>
        <v/>
      </c>
    </row>
    <row r="33">
      <c r="A33" s="4" t="inlineStr">
        <is>
          <t>05.07</t>
        </is>
      </c>
      <c r="B33" s="23" t="inlineStr">
        <is>
          <t>PINTURA ANTICORROSIVA Y ESMALTE EN ANGULOS</t>
        </is>
      </c>
      <c r="C33" s="24" t="inlineStr">
        <is>
          <t>m2</t>
        </is>
      </c>
      <c r="D33" s="5" t="n"/>
      <c r="E33" s="5" t="n"/>
      <c r="F33" s="5" t="n"/>
      <c r="G33" s="5" t="n"/>
      <c r="H33" s="5" t="n"/>
      <c r="I33" s="5" t="n"/>
      <c r="J33" s="5" t="n"/>
    </row>
    <row r="34">
      <c r="B34" s="14" t="inlineStr">
        <is>
          <t>Contramarco: desarrollo 0.203 m2/m x 2.80 m</t>
        </is>
      </c>
      <c r="D34" s="29">
        <f>DATOS!$B$19</f>
        <v/>
      </c>
      <c r="E34" s="26" t="n">
        <v>2.8</v>
      </c>
      <c r="F34" s="26" t="n">
        <v>0.203</v>
      </c>
      <c r="G34" s="26" t="n"/>
      <c r="H34" s="27">
        <f>D34*E34*F34</f>
        <v/>
      </c>
      <c r="J34" s="28" t="inlineStr"/>
    </row>
    <row r="35">
      <c r="B35" s="14" t="inlineStr">
        <is>
          <t>Marco de tapa: desarrollo 0.152 m2/m x 2.72 m</t>
        </is>
      </c>
      <c r="D35" s="29">
        <f>DATOS!$B$19</f>
        <v/>
      </c>
      <c r="E35" s="26" t="n">
        <v>2.72</v>
      </c>
      <c r="F35" s="26" t="n">
        <v>0.152</v>
      </c>
      <c r="G35" s="26" t="n"/>
      <c r="H35" s="27">
        <f>D35*E35*F35</f>
        <v/>
      </c>
      <c r="J35" s="28" t="inlineStr"/>
    </row>
    <row r="36">
      <c r="G36" s="9" t="inlineStr">
        <is>
          <t>TOTAL</t>
        </is>
      </c>
      <c r="I36" s="11">
        <f>SUM(H34:H35)</f>
        <v/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2" customWidth="1" min="9" max="9"/>
    <col width="40" customWidth="1" min="10" max="10"/>
  </cols>
  <sheetData>
    <row r="1" ht="24" customHeight="1">
      <c r="A1" s="1" t="inlineStr">
        <is>
          <t>06 ESTRUCTURA DE SALIDA CON DOS ALEROS</t>
        </is>
      </c>
    </row>
    <row r="2">
      <c r="A2" s="2" t="inlineStr">
        <is>
          <t>CAR Mujeres (CUI 2717013) - Colector pluvial frontal b=1.50 m, preparado para CAR Varones y Hogar de Refugio - Morales, San Martin</t>
        </is>
      </c>
    </row>
    <row r="4" ht="36" customHeight="1">
      <c r="A4" s="3" t="inlineStr">
        <is>
          <t>ITEM</t>
        </is>
      </c>
      <c r="B4" s="3" t="inlineStr">
        <is>
          <t>DESCRIPCION</t>
        </is>
      </c>
      <c r="C4" s="3" t="inlineStr">
        <is>
          <t>UND</t>
        </is>
      </c>
      <c r="D4" s="3" t="inlineStr">
        <is>
          <t>N. VECES</t>
        </is>
      </c>
      <c r="E4" s="3" t="inlineStr">
        <is>
          <t>LARGO (m)</t>
        </is>
      </c>
      <c r="F4" s="3" t="inlineStr">
        <is>
          <t>ANCHO (m)</t>
        </is>
      </c>
      <c r="G4" s="3" t="inlineStr">
        <is>
          <t>ALTO (m)</t>
        </is>
      </c>
      <c r="H4" s="3" t="inlineStr">
        <is>
          <t>PARCIAL</t>
        </is>
      </c>
      <c r="I4" s="3" t="inlineStr">
        <is>
          <t>TOTAL</t>
        </is>
      </c>
      <c r="J4" s="3" t="inlineStr">
        <is>
          <t>OBSERVACION</t>
        </is>
      </c>
    </row>
    <row r="5">
      <c r="A5" s="4" t="inlineStr">
        <is>
          <t>06.01</t>
        </is>
      </c>
      <c r="B5" s="23" t="inlineStr">
        <is>
          <t>CONCRETO f'c=210 kg/cm2 - ALEROS</t>
        </is>
      </c>
      <c r="C5" s="24" t="inlineStr">
        <is>
          <t>m3</t>
        </is>
      </c>
      <c r="D5" s="5" t="n"/>
      <c r="E5" s="5" t="n"/>
      <c r="F5" s="5" t="n"/>
      <c r="G5" s="5" t="n"/>
      <c r="H5" s="5" t="n"/>
      <c r="I5" s="5" t="n"/>
      <c r="J5" s="5" t="n"/>
    </row>
    <row r="6">
      <c r="B6" s="14" t="inlineStr">
        <is>
          <t>Muro de alero (altura media sobre la zapata)</t>
        </is>
      </c>
      <c r="D6" s="26" t="n">
        <v>2</v>
      </c>
      <c r="E6" s="29">
        <f>DATOS!$B$26</f>
        <v/>
      </c>
      <c r="F6" s="29">
        <f>DATOS!$B$27</f>
        <v/>
      </c>
      <c r="G6" s="26" t="n"/>
      <c r="H6" s="27">
        <f>D6*E6*F6*((DATOS!$B$28+DATOS!$B$29)/2+0.20)</f>
        <v/>
      </c>
      <c r="J6" s="28" t="inlineStr"/>
    </row>
    <row r="7">
      <c r="B7" s="14" t="inlineStr">
        <is>
          <t>Zapata de alero</t>
        </is>
      </c>
      <c r="D7" s="26" t="n">
        <v>2</v>
      </c>
      <c r="E7" s="29">
        <f>DATOS!$B$26</f>
        <v/>
      </c>
      <c r="F7" s="29">
        <f>DATOS!$B$30</f>
        <v/>
      </c>
      <c r="G7" s="26" t="n">
        <v>0.2</v>
      </c>
      <c r="H7" s="27">
        <f>D7*E7*F7*G7</f>
        <v/>
      </c>
      <c r="J7" s="28" t="inlineStr"/>
    </row>
    <row r="8">
      <c r="G8" s="9" t="inlineStr">
        <is>
          <t>TOTAL</t>
        </is>
      </c>
      <c r="I8" s="11">
        <f>SUM(H6:H7)</f>
        <v/>
      </c>
    </row>
    <row r="10">
      <c r="A10" s="4" t="inlineStr">
        <is>
          <t>06.02</t>
        </is>
      </c>
      <c r="B10" s="23" t="inlineStr">
        <is>
          <t>ENCOFRADO Y DESENCOFRADO - ALEROS</t>
        </is>
      </c>
      <c r="C10" s="24" t="inlineStr">
        <is>
          <t>m2</t>
        </is>
      </c>
      <c r="D10" s="5" t="n"/>
      <c r="E10" s="5" t="n"/>
      <c r="F10" s="5" t="n"/>
      <c r="G10" s="5" t="n"/>
      <c r="H10" s="5" t="n"/>
      <c r="I10" s="5" t="n"/>
      <c r="J10" s="5" t="n"/>
    </row>
    <row r="11">
      <c r="B11" s="14" t="inlineStr">
        <is>
          <t>Muro: 2 caras</t>
        </is>
      </c>
      <c r="D11" s="26" t="n">
        <v>4</v>
      </c>
      <c r="E11" s="29">
        <f>DATOS!$B$26</f>
        <v/>
      </c>
      <c r="F11" s="26" t="n"/>
      <c r="G11" s="26" t="n"/>
      <c r="H11" s="27">
        <f>D11*E11*((DATOS!$B$28+DATOS!$B$29)/2+0.20)</f>
        <v/>
      </c>
      <c r="J11" s="28" t="inlineStr"/>
    </row>
    <row r="12">
      <c r="B12" s="14" t="inlineStr">
        <is>
          <t>Muro: cabeza</t>
        </is>
      </c>
      <c r="D12" s="26" t="n">
        <v>2</v>
      </c>
      <c r="E12" s="29">
        <f>DATOS!$B$27</f>
        <v/>
      </c>
      <c r="F12" s="26" t="n"/>
      <c r="G12" s="26" t="n"/>
      <c r="H12" s="27">
        <f>D12*E12*(DATOS!$B$29+0.20)</f>
        <v/>
      </c>
      <c r="J12" s="28" t="inlineStr"/>
    </row>
    <row r="13">
      <c r="B13" s="14" t="inlineStr">
        <is>
          <t>Zapata: 2 costados</t>
        </is>
      </c>
      <c r="D13" s="26" t="n">
        <v>4</v>
      </c>
      <c r="E13" s="29">
        <f>DATOS!$B$26</f>
        <v/>
      </c>
      <c r="F13" s="26" t="n"/>
      <c r="G13" s="26" t="n">
        <v>0.2</v>
      </c>
      <c r="H13" s="27">
        <f>D13*E13*G13</f>
        <v/>
      </c>
      <c r="J13" s="28" t="inlineStr"/>
    </row>
    <row r="14">
      <c r="G14" s="9" t="inlineStr">
        <is>
          <t>TOTAL</t>
        </is>
      </c>
      <c r="I14" s="11">
        <f>SUM(H11:H13)</f>
        <v/>
      </c>
    </row>
    <row r="16">
      <c r="A16" s="4" t="inlineStr">
        <is>
          <t>06.03</t>
        </is>
      </c>
      <c r="B16" s="23" t="inlineStr">
        <is>
          <t>ACERO DE REFUERZO fy=4200 - ALEROS</t>
        </is>
      </c>
      <c r="C16" s="24" t="inlineStr">
        <is>
          <t>kg</t>
        </is>
      </c>
      <c r="D16" s="5" t="n"/>
      <c r="E16" s="5" t="n"/>
      <c r="F16" s="5" t="n"/>
      <c r="G16" s="5" t="n"/>
      <c r="H16" s="5" t="n"/>
      <c r="I16" s="5" t="n"/>
      <c r="J16" s="5" t="n"/>
    </row>
    <row r="17">
      <c r="B17" s="14" t="inlineStr">
        <is>
          <t>Barras en L 3/8" @0.20 (vertical + zapata)</t>
        </is>
      </c>
      <c r="D17" s="26" t="n">
        <v>12</v>
      </c>
      <c r="E17" s="26" t="n">
        <v>1.38</v>
      </c>
      <c r="F17" s="26" t="n"/>
      <c r="G17" s="26" t="n"/>
      <c r="H17" s="27">
        <f>D17*E17*DATOS!$B$22</f>
        <v/>
      </c>
      <c r="J17" s="28" t="inlineStr"/>
    </row>
    <row r="18">
      <c r="B18" s="14" t="inlineStr">
        <is>
          <t>Horizontales 3/8" @0.20 en el muro</t>
        </is>
      </c>
      <c r="D18" s="26" t="n">
        <v>10</v>
      </c>
      <c r="E18" s="29">
        <f>DATOS!$B$26</f>
        <v/>
      </c>
      <c r="F18" s="26" t="n"/>
      <c r="G18" s="26" t="n"/>
      <c r="H18" s="27">
        <f>D18*E18*DATOS!$B$22</f>
        <v/>
      </c>
      <c r="J18" s="28" t="inlineStr"/>
    </row>
    <row r="19">
      <c r="B19" s="14" t="inlineStr">
        <is>
          <t>Longitudinales 3/8" en zapata</t>
        </is>
      </c>
      <c r="D19" s="26" t="n">
        <v>6</v>
      </c>
      <c r="E19" s="29">
        <f>DATOS!$B$26</f>
        <v/>
      </c>
      <c r="F19" s="26" t="n"/>
      <c r="G19" s="26" t="n"/>
      <c r="H19" s="27">
        <f>D19*E19*DATOS!$B$22</f>
        <v/>
      </c>
      <c r="J19" s="28" t="inlineStr"/>
    </row>
    <row r="20">
      <c r="G20" s="9" t="inlineStr">
        <is>
          <t>TOTAL</t>
        </is>
      </c>
      <c r="I20" s="11">
        <f>SUM(H17:H19)</f>
        <v/>
      </c>
    </row>
    <row r="22">
      <c r="A22" s="4" t="inlineStr">
        <is>
          <t>06.04</t>
        </is>
      </c>
      <c r="B22" s="23" t="inlineStr">
        <is>
          <t>EMBOQUILLADO DE PIEDRA e=0.20 CON CONCRETO f'c=140</t>
        </is>
      </c>
      <c r="C22" s="24" t="inlineStr">
        <is>
          <t>m2</t>
        </is>
      </c>
      <c r="D22" s="5" t="n"/>
      <c r="E22" s="5" t="n"/>
      <c r="F22" s="5" t="n"/>
      <c r="G22" s="5" t="n"/>
      <c r="H22" s="5" t="n"/>
      <c r="I22" s="5" t="n"/>
      <c r="J22" s="5" t="n"/>
    </row>
    <row r="23">
      <c r="B23" s="14" t="inlineStr">
        <is>
          <t>Piso entre aleros (trapecio)</t>
        </is>
      </c>
      <c r="D23" s="26" t="n">
        <v>1</v>
      </c>
      <c r="E23" s="26" t="n"/>
      <c r="F23" s="26" t="n"/>
      <c r="G23" s="26" t="n"/>
      <c r="H23" s="27">
        <f>(DATOS!$B$5+DATOS!$B$32)/2*DATOS!$B$31</f>
        <v/>
      </c>
      <c r="J23" s="28" t="inlineStr"/>
    </row>
    <row r="24">
      <c r="G24" s="9" t="inlineStr">
        <is>
          <t>TOTAL</t>
        </is>
      </c>
      <c r="I24" s="11">
        <f>SUM(H23:H23)</f>
        <v/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2" customWidth="1" min="9" max="9"/>
    <col width="40" customWidth="1" min="10" max="10"/>
  </cols>
  <sheetData>
    <row r="1" ht="24" customHeight="1">
      <c r="A1" s="1" t="inlineStr">
        <is>
          <t>07 JUNTAS Y 08 EMPALMES</t>
        </is>
      </c>
    </row>
    <row r="2">
      <c r="A2" s="2" t="inlineStr">
        <is>
          <t>CAR Mujeres (CUI 2717013) - Colector pluvial frontal b=1.50 m, preparado para CAR Varones y Hogar de Refugio - Morales, San Martin</t>
        </is>
      </c>
    </row>
    <row r="4" ht="36" customHeight="1">
      <c r="A4" s="3" t="inlineStr">
        <is>
          <t>ITEM</t>
        </is>
      </c>
      <c r="B4" s="3" t="inlineStr">
        <is>
          <t>DESCRIPCION</t>
        </is>
      </c>
      <c r="C4" s="3" t="inlineStr">
        <is>
          <t>UND</t>
        </is>
      </c>
      <c r="D4" s="3" t="inlineStr">
        <is>
          <t>N. VECES</t>
        </is>
      </c>
      <c r="E4" s="3" t="inlineStr">
        <is>
          <t>LARGO (m)</t>
        </is>
      </c>
      <c r="F4" s="3" t="inlineStr">
        <is>
          <t>ANCHO (m)</t>
        </is>
      </c>
      <c r="G4" s="3" t="inlineStr">
        <is>
          <t>ALTO (m)</t>
        </is>
      </c>
      <c r="H4" s="3" t="inlineStr">
        <is>
          <t>PARCIAL</t>
        </is>
      </c>
      <c r="I4" s="3" t="inlineStr">
        <is>
          <t>TOTAL</t>
        </is>
      </c>
      <c r="J4" s="3" t="inlineStr">
        <is>
          <t>OBSERVACION</t>
        </is>
      </c>
    </row>
    <row r="5">
      <c r="A5" s="4" t="inlineStr">
        <is>
          <t>07.01</t>
        </is>
      </c>
      <c r="B5" s="23" t="inlineStr">
        <is>
          <t>JUNTA DE DILATACION e=1" (poliestireno + sello elastomerico) EN EL COLECTOR</t>
        </is>
      </c>
      <c r="C5" s="24" t="inlineStr">
        <is>
          <t>m</t>
        </is>
      </c>
      <c r="D5" s="5" t="n"/>
      <c r="E5" s="5" t="n"/>
      <c r="F5" s="5" t="n"/>
      <c r="G5" s="5" t="n"/>
      <c r="H5" s="5" t="n"/>
      <c r="I5" s="5" t="n"/>
      <c r="J5" s="5" t="n"/>
    </row>
    <row r="6">
      <c r="B6" s="14" t="inlineStr">
        <is>
          <t>Tramo cubierto: perimetro de la seccion cerrada</t>
        </is>
      </c>
      <c r="D6" s="26" t="n">
        <v>33</v>
      </c>
      <c r="E6" s="26" t="n"/>
      <c r="F6" s="26" t="n"/>
      <c r="G6" s="26" t="n"/>
      <c r="H6" s="27">
        <f>D6*(2*1.70+2*(AVERAGEIF(TRAMOS!D5:D79,"&lt;="&amp;9999,TRAMOS!I5:I79)+0.20))</f>
        <v/>
      </c>
      <c r="J6" s="28" t="inlineStr"/>
    </row>
    <row r="7">
      <c r="B7" s="14" t="inlineStr">
        <is>
          <t>Tramo abierto: perimetro de la seccion en U</t>
        </is>
      </c>
      <c r="D7" s="26" t="n">
        <v>0</v>
      </c>
      <c r="E7" s="26" t="n"/>
      <c r="F7" s="26" t="n"/>
      <c r="G7" s="26" t="n"/>
      <c r="H7" s="27">
        <f>D7*(1.70+2*(DATOS!$B$12+0.10))</f>
        <v/>
      </c>
      <c r="J7" s="28" t="inlineStr"/>
    </row>
    <row r="8">
      <c r="G8" s="9" t="inlineStr">
        <is>
          <t>TOTAL</t>
        </is>
      </c>
      <c r="I8" s="11">
        <f>SUM(H6:H7)</f>
        <v/>
      </c>
    </row>
    <row r="10">
      <c r="A10" s="4" t="inlineStr">
        <is>
          <t>07.02</t>
        </is>
      </c>
      <c r="B10" s="23" t="inlineStr">
        <is>
          <t>JUNTA e=1" CON TECNOPOR ENTRE COLECTOR Y PISO ADYACENTE (lado predio, tramo en vereda)</t>
        </is>
      </c>
      <c r="C10" s="24" t="inlineStr">
        <is>
          <t>m</t>
        </is>
      </c>
      <c r="D10" s="5" t="n"/>
      <c r="E10" s="5" t="n"/>
      <c r="F10" s="5" t="n"/>
      <c r="G10" s="5" t="n"/>
      <c r="H10" s="5" t="n"/>
      <c r="I10" s="5" t="n"/>
      <c r="J10" s="5" t="n"/>
    </row>
    <row r="11">
      <c r="B11" s="14" t="inlineStr">
        <is>
          <t>Borde lado predio de la losa superior</t>
        </is>
      </c>
      <c r="D11" s="26" t="n">
        <v>1</v>
      </c>
      <c r="E11" s="29">
        <f>DATOS!$B$11</f>
        <v/>
      </c>
      <c r="F11" s="26" t="n"/>
      <c r="G11" s="26" t="n"/>
      <c r="H11" s="27">
        <f>D11*E11</f>
        <v/>
      </c>
      <c r="J11" s="28" t="inlineStr"/>
    </row>
    <row r="12">
      <c r="G12" s="9" t="inlineStr">
        <is>
          <t>TOTAL</t>
        </is>
      </c>
      <c r="I12" s="11">
        <f>SUM(H11:H11)</f>
        <v/>
      </c>
    </row>
    <row r="14">
      <c r="A14" s="4" t="inlineStr">
        <is>
          <t>08.01</t>
        </is>
      </c>
      <c r="B14" s="23" t="inlineStr">
        <is>
          <t>EMPALME DE CUNETA AL COLECTOR (ventana en muro, caida y junta)</t>
        </is>
      </c>
      <c r="C14" s="24" t="inlineStr">
        <is>
          <t>und</t>
        </is>
      </c>
      <c r="D14" s="5" t="n"/>
      <c r="E14" s="5" t="n"/>
      <c r="F14" s="5" t="n"/>
      <c r="G14" s="5" t="n"/>
      <c r="H14" s="5" t="n"/>
      <c r="I14" s="5" t="n"/>
      <c r="J14" s="5" t="n"/>
    </row>
    <row r="15">
      <c r="B15" s="14" t="inlineStr">
        <is>
          <t>Ejes 02, 07, 10 y 12</t>
        </is>
      </c>
      <c r="D15" s="29">
        <f>DATOS!$B$37</f>
        <v/>
      </c>
      <c r="E15" s="26" t="n"/>
      <c r="F15" s="26" t="n"/>
      <c r="G15" s="26" t="n"/>
      <c r="H15" s="27">
        <f>D15</f>
        <v/>
      </c>
      <c r="J15" s="28" t="inlineStr">
        <is>
          <t>ventana 0.40 x 0.30 dejada al vaciar el muro, bajo un registro; junta 1" entre cuneta y colector (DP-06B)</t>
        </is>
      </c>
    </row>
    <row r="16">
      <c r="G16" s="9" t="inlineStr">
        <is>
          <t>TOTAL</t>
        </is>
      </c>
      <c r="I16" s="11">
        <f>SUM(H15:H15)</f>
        <v/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7" customWidth="1" min="2" max="2"/>
    <col width="12" customWidth="1" min="3" max="3"/>
    <col width="10" customWidth="1" min="4" max="4"/>
    <col width="11" customWidth="1" min="5" max="5"/>
    <col width="12" customWidth="1" min="6" max="6"/>
    <col width="10" customWidth="1" min="7" max="7"/>
    <col width="11" customWidth="1" min="8" max="8"/>
    <col width="40" customWidth="1" min="9" max="9"/>
  </cols>
  <sheetData>
    <row r="1" ht="24" customHeight="1">
      <c r="A1" s="1" t="inlineStr">
        <is>
          <t>PLANILLA DE ACERO (despiece)</t>
        </is>
      </c>
    </row>
    <row r="2">
      <c r="A2" s="2" t="inlineStr">
        <is>
          <t>CAR Mujeres (CUI 2717013) - Colector pluvial frontal b=1.50 m, preparado para CAR Varones y Hogar de Refugio - Morales, San Martin</t>
        </is>
      </c>
    </row>
    <row r="4" ht="36" customHeight="1">
      <c r="A4" s="3" t="inlineStr">
        <is>
          <t>ELEMENTO</t>
        </is>
      </c>
      <c r="B4" s="3" t="inlineStr">
        <is>
          <t>DIAM.</t>
        </is>
      </c>
      <c r="C4" s="3" t="inlineStr">
        <is>
          <t>FORMA</t>
        </is>
      </c>
      <c r="D4" s="3" t="inlineStr">
        <is>
          <t>N. PIEZAS</t>
        </is>
      </c>
      <c r="E4" s="3" t="inlineStr">
        <is>
          <t>LONG. POR PIEZA (m)</t>
        </is>
      </c>
      <c r="F4" s="3" t="inlineStr">
        <is>
          <t>LONG. TOTAL (m)</t>
        </is>
      </c>
      <c r="G4" s="3" t="inlineStr">
        <is>
          <t>PESO (kg/m)</t>
        </is>
      </c>
      <c r="H4" s="3" t="inlineStr">
        <is>
          <t>PESO (kg)</t>
        </is>
      </c>
      <c r="I4" s="3" t="inlineStr">
        <is>
          <t>OBSERVACION</t>
        </is>
      </c>
    </row>
    <row r="5">
      <c r="A5" s="14" t="inlineStr">
        <is>
          <t>Marcos en vereda y tramo final @0.20</t>
        </is>
      </c>
      <c r="B5" s="7" t="inlineStr">
        <is>
          <t>3/8"</t>
        </is>
      </c>
      <c r="C5" s="7" t="inlineStr">
        <is>
          <t>cerrado</t>
        </is>
      </c>
      <c r="D5" s="30">
        <f>SUMIF(TRAMOS!$E$5:$E$79,"NORMAL",TRAMOS!$V$5:$V$79)</f>
        <v/>
      </c>
      <c r="E5" s="31">
        <f>IFERROR(SUMPRODUCT((TRAMOS!$E$5:$E$79="NORMAL")*TRAMOS!$V$5:$V$79*TRAMOS!$W$5:$W$79)/D5,0)</f>
        <v/>
      </c>
      <c r="F5" s="32">
        <f>D5*E5</f>
        <v/>
      </c>
      <c r="G5" s="29">
        <f>DATOS!$B$22</f>
        <v/>
      </c>
      <c r="H5" s="32">
        <f>F5*G5</f>
        <v/>
      </c>
      <c r="I5" s="28" t="inlineStr">
        <is>
          <t>longitud media ponderada (incluye ganchos)</t>
        </is>
      </c>
    </row>
    <row r="6">
      <c r="A6" s="14" t="inlineStr">
        <is>
          <t>Marcos en cruce de autos @0.15</t>
        </is>
      </c>
      <c r="B6" s="7" t="inlineStr">
        <is>
          <t>3/8"</t>
        </is>
      </c>
      <c r="C6" s="7" t="inlineStr">
        <is>
          <t>cerrado</t>
        </is>
      </c>
      <c r="D6" s="30">
        <f>SUMIF(TRAMOS!$E$5:$E$79,"AUTOS",TRAMOS!$V$5:$V$79)</f>
        <v/>
      </c>
      <c r="E6" s="31">
        <f>IFERROR(SUMPRODUCT((TRAMOS!$E$5:$E$79="AUTOS")*TRAMOS!$V$5:$V$79*TRAMOS!$W$5:$W$79)/D6,0)</f>
        <v/>
      </c>
      <c r="F6" s="32">
        <f>D6*E6</f>
        <v/>
      </c>
      <c r="G6" s="29">
        <f>DATOS!$B$22</f>
        <v/>
      </c>
      <c r="H6" s="32">
        <f>F6*G6</f>
        <v/>
      </c>
      <c r="I6" s="28" t="inlineStr">
        <is>
          <t>longitud media ponderada (incluye ganchos)</t>
        </is>
      </c>
    </row>
    <row r="7">
      <c r="A7" s="14" t="inlineStr">
        <is>
          <t>Marcos dobles en cruce de camiones @0.15</t>
        </is>
      </c>
      <c r="B7" s="7" t="inlineStr">
        <is>
          <t>1/2"</t>
        </is>
      </c>
      <c r="C7" s="7" t="inlineStr">
        <is>
          <t>cerrado</t>
        </is>
      </c>
      <c r="D7" s="30">
        <f>SUMIF(TRAMOS!$E$5:$E$79,"CAMION",TRAMOS!$V$5:$V$79)</f>
        <v/>
      </c>
      <c r="E7" s="31">
        <f>IFERROR(SUMPRODUCT((TRAMOS!$E$5:$E$79="CAMION")*TRAMOS!$V$5:$V$79*TRAMOS!$W$5:$W$79)/D7,0)</f>
        <v/>
      </c>
      <c r="F7" s="32">
        <f>D7*E7</f>
        <v/>
      </c>
      <c r="G7" s="29">
        <f>DATOS!$B$23</f>
        <v/>
      </c>
      <c r="H7" s="32">
        <f>F7*G7</f>
        <v/>
      </c>
      <c r="I7" s="28" t="inlineStr">
        <is>
          <t>longitud media ponderada (incluye ganchos)</t>
        </is>
      </c>
    </row>
    <row r="8">
      <c r="A8" s="14" t="inlineStr">
        <is>
          <t>Barras longitudinales (vereda, autos y final) @0.25</t>
        </is>
      </c>
      <c r="B8" s="7" t="inlineStr">
        <is>
          <t>3/8"</t>
        </is>
      </c>
      <c r="C8" s="7" t="inlineStr">
        <is>
          <t>recta</t>
        </is>
      </c>
      <c r="D8" s="30">
        <f>SUMPRODUCT((TRAMOS!$E$5:$E$79&lt;&gt;"CAMION")*TRAMOS!$X$5:$X$79*TRAMOS!$C$5:$C$79)/9</f>
        <v/>
      </c>
      <c r="E8" s="18" t="n">
        <v>9.4</v>
      </c>
      <c r="F8" s="32">
        <f>D8*E8</f>
        <v/>
      </c>
      <c r="G8" s="29">
        <f>DATOS!$B$22</f>
        <v/>
      </c>
      <c r="H8" s="32">
        <f>F8*G8</f>
        <v/>
      </c>
      <c r="I8" s="28" t="inlineStr">
        <is>
          <t>barras de 9 m con traslape 0.40 m</t>
        </is>
      </c>
    </row>
    <row r="9">
      <c r="A9" s="14" t="inlineStr">
        <is>
          <t>Barras longitudinales (cruce de camiones) @0.20</t>
        </is>
      </c>
      <c r="B9" s="7" t="inlineStr">
        <is>
          <t>3/8"</t>
        </is>
      </c>
      <c r="C9" s="7" t="inlineStr">
        <is>
          <t>recta</t>
        </is>
      </c>
      <c r="D9" s="30">
        <f>SUMPRODUCT((TRAMOS!$E$5:$E$79="CAMION")*TRAMOS!$X$5:$X$79*TRAMOS!$C$5:$C$79)/9</f>
        <v/>
      </c>
      <c r="E9" s="18" t="n">
        <v>9.4</v>
      </c>
      <c r="F9" s="32">
        <f>D9*E9</f>
        <v/>
      </c>
      <c r="G9" s="29">
        <f>DATOS!$B$22</f>
        <v/>
      </c>
      <c r="H9" s="32">
        <f>F9*G9</f>
        <v/>
      </c>
      <c r="I9" s="28" t="inlineStr"/>
    </row>
    <row r="10">
      <c r="A10" s="14" t="inlineStr">
        <is>
          <t>Registros: refuerzo de borde de abertura</t>
        </is>
      </c>
      <c r="B10" s="7" t="inlineStr">
        <is>
          <t>1/2"</t>
        </is>
      </c>
      <c r="C10" s="7" t="inlineStr">
        <is>
          <t>recta</t>
        </is>
      </c>
      <c r="D10" s="30">
        <f>DATOS!$B$19*8</f>
        <v/>
      </c>
      <c r="E10" s="18" t="n">
        <v>1.4</v>
      </c>
      <c r="F10" s="32">
        <f>D10*E10</f>
        <v/>
      </c>
      <c r="G10" s="29">
        <f>DATOS!$B$23</f>
        <v/>
      </c>
      <c r="H10" s="32">
        <f>F10*G10</f>
        <v/>
      </c>
      <c r="I10" s="28" t="inlineStr"/>
    </row>
    <row r="11">
      <c r="A11" s="14" t="inlineStr">
        <is>
          <t>Tapas de registro @0.10 (dos sentidos)</t>
        </is>
      </c>
      <c r="B11" s="7" t="inlineStr">
        <is>
          <t>3/8"</t>
        </is>
      </c>
      <c r="C11" s="7" t="inlineStr">
        <is>
          <t>recta</t>
        </is>
      </c>
      <c r="D11" s="30">
        <f>DATOS!$B$19*14</f>
        <v/>
      </c>
      <c r="E11" s="18" t="n">
        <v>0.62</v>
      </c>
      <c r="F11" s="32">
        <f>D11*E11</f>
        <v/>
      </c>
      <c r="G11" s="29">
        <f>DATOS!$B$22</f>
        <v/>
      </c>
      <c r="H11" s="32">
        <f>F11*G11</f>
        <v/>
      </c>
      <c r="I11" s="28" t="inlineStr"/>
    </row>
    <row r="12">
      <c r="A12" s="14" t="inlineStr">
        <is>
          <t>Asas de tapa (liso)</t>
        </is>
      </c>
      <c r="B12" s="7" t="inlineStr">
        <is>
          <t>3/8"</t>
        </is>
      </c>
      <c r="C12" s="7" t="inlineStr">
        <is>
          <t>U</t>
        </is>
      </c>
      <c r="D12" s="30">
        <f>DATOS!$B$19*2</f>
        <v/>
      </c>
      <c r="E12" s="18" t="n">
        <v>0.4</v>
      </c>
      <c r="F12" s="32">
        <f>D12*E12</f>
        <v/>
      </c>
      <c r="G12" s="29">
        <f>DATOS!$B$22</f>
        <v/>
      </c>
      <c r="H12" s="32">
        <f>F12*G12</f>
        <v/>
      </c>
      <c r="I12" s="28" t="inlineStr"/>
    </row>
    <row r="13">
      <c r="A13" s="14" t="inlineStr">
        <is>
          <t>Anclajes de contramarco</t>
        </is>
      </c>
      <c r="B13" s="7" t="inlineStr">
        <is>
          <t>3/8"</t>
        </is>
      </c>
      <c r="C13" s="7" t="inlineStr">
        <is>
          <t>L</t>
        </is>
      </c>
      <c r="D13" s="30">
        <f>DATOS!$B$19*8</f>
        <v/>
      </c>
      <c r="E13" s="18" t="n">
        <v>0.2</v>
      </c>
      <c r="F13" s="32">
        <f>D13*E13</f>
        <v/>
      </c>
      <c r="G13" s="29">
        <f>DATOS!$B$22</f>
        <v/>
      </c>
      <c r="H13" s="32">
        <f>F13*G13</f>
        <v/>
      </c>
      <c r="I13" s="28" t="inlineStr"/>
    </row>
    <row r="14">
      <c r="A14" s="14" t="inlineStr">
        <is>
          <t>Aleros: barras en L (vertical + zapata) @0.20</t>
        </is>
      </c>
      <c r="B14" s="7" t="inlineStr">
        <is>
          <t>3/8"</t>
        </is>
      </c>
      <c r="C14" s="7" t="inlineStr">
        <is>
          <t>L</t>
        </is>
      </c>
      <c r="D14" s="33" t="n">
        <v>12</v>
      </c>
      <c r="E14" s="18" t="n">
        <v>1.38</v>
      </c>
      <c r="F14" s="32">
        <f>D14*E14</f>
        <v/>
      </c>
      <c r="G14" s="29">
        <f>DATOS!$B$22</f>
        <v/>
      </c>
      <c r="H14" s="32">
        <f>F14*G14</f>
        <v/>
      </c>
      <c r="I14" s="28" t="inlineStr"/>
    </row>
    <row r="15">
      <c r="A15" s="14" t="inlineStr">
        <is>
          <t>Aleros: horizontales en muro @0.20</t>
        </is>
      </c>
      <c r="B15" s="7" t="inlineStr">
        <is>
          <t>3/8"</t>
        </is>
      </c>
      <c r="C15" s="7" t="inlineStr">
        <is>
          <t>recta</t>
        </is>
      </c>
      <c r="D15" s="33" t="n">
        <v>10</v>
      </c>
      <c r="E15" s="18" t="n">
        <v>1</v>
      </c>
      <c r="F15" s="32">
        <f>D15*E15</f>
        <v/>
      </c>
      <c r="G15" s="29">
        <f>DATOS!$B$22</f>
        <v/>
      </c>
      <c r="H15" s="32">
        <f>F15*G15</f>
        <v/>
      </c>
      <c r="I15" s="28" t="inlineStr"/>
    </row>
    <row r="16">
      <c r="A16" s="14" t="inlineStr">
        <is>
          <t>Aleros: longitudinales en zapata</t>
        </is>
      </c>
      <c r="B16" s="7" t="inlineStr">
        <is>
          <t>3/8"</t>
        </is>
      </c>
      <c r="C16" s="7" t="inlineStr">
        <is>
          <t>recta</t>
        </is>
      </c>
      <c r="D16" s="33" t="n">
        <v>6</v>
      </c>
      <c r="E16" s="18" t="n">
        <v>1</v>
      </c>
      <c r="F16" s="32">
        <f>D16*E16</f>
        <v/>
      </c>
      <c r="G16" s="29">
        <f>DATOS!$B$22</f>
        <v/>
      </c>
      <c r="H16" s="32">
        <f>F16*G16</f>
        <v/>
      </c>
      <c r="I16" s="28" t="inlineStr"/>
    </row>
    <row r="18">
      <c r="A18" s="9" t="inlineStr">
        <is>
          <t>TOTAL ACERO 3/8"</t>
        </is>
      </c>
      <c r="H18" s="11">
        <f>SUMIF(B5:B16,"3/8""",H5:H16)</f>
        <v/>
      </c>
    </row>
    <row r="19">
      <c r="A19" s="9" t="inlineStr">
        <is>
          <t>TOTAL ACERO 1/2"</t>
        </is>
      </c>
      <c r="H19" s="11">
        <f>SUMIF(B5:B16,"1/2""",H5:H16)</f>
        <v/>
      </c>
    </row>
    <row r="20">
      <c r="A20" s="9" t="inlineStr">
        <is>
          <t>TOTAL ACERO</t>
        </is>
      </c>
      <c r="H20" s="11">
        <f>H18+H19</f>
        <v/>
      </c>
    </row>
  </sheetData>
  <mergeCells count="2">
    <mergeCell ref="A1:I1"/>
    <mergeCell ref="A2:I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2026-10-02T20:01:57Z</dcterms:created>
  <dcterms:modified xmlns:dcterms="http://purl.org/dc/terms/" xmlns:xsi="http://www.w3.org/2001/XMLSchema-instance" xsi:type="dcterms:W3CDTF">2026-10-02T20:01:57Z</dcterms:modified>
</cp:coreProperties>
</file>