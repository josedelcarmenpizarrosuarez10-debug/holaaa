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I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UDALES" sheetId="3" state="visible" r:id="rId3"/>
    <sheet xmlns:r="http://schemas.openxmlformats.org/officeDocument/2006/relationships" name="SALIDA" sheetId="4" state="visible" r:id="rId4"/>
    <sheet xmlns:r="http://schemas.openxmlformats.org/officeDocument/2006/relationships" name="PERFIL_FLUJO" sheetId="5" state="visible" r:id="rId5"/>
    <sheet xmlns:r="http://schemas.openxmlformats.org/officeDocument/2006/relationships" name="ESTRUCTU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8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sz val="9"/>
    </font>
    <font>
      <name val="Arial"/>
      <color rgb="000000FF"/>
      <sz val="9"/>
    </font>
    <font>
      <name val="Arial"/>
      <color rgb="00008000"/>
      <sz val="9"/>
    </font>
    <font>
      <name val="Arial"/>
      <b val="1"/>
      <sz val="9"/>
    </font>
    <font>
      <name val="Arial"/>
      <b val="1"/>
      <color rgb="00008000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5" fontId="7" fillId="0" borderId="1" pivotButton="0" quotePrefix="0" xfId="0"/>
    <xf numFmtId="164" fontId="7" fillId="0" borderId="1" pivotButton="0" quotePrefix="0" xfId="0"/>
    <xf numFmtId="9" fontId="7" fillId="0" borderId="1" pivotButton="0" quotePrefix="0" xfId="0"/>
    <xf numFmtId="0" fontId="8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0" borderId="1" pivotButton="0" quotePrefix="0" xfId="0"/>
    <xf numFmtId="1" fontId="6" fillId="5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6" fillId="5" borderId="1" pivotButton="0" quotePrefix="0" xfId="0"/>
    <xf numFmtId="165" fontId="6" fillId="5" borderId="1" pivotButton="0" quotePrefix="0" xfId="0"/>
    <xf numFmtId="166" fontId="5" fillId="0" borderId="1" pivotButton="0" quotePrefix="0" xfId="0"/>
    <xf numFmtId="2" fontId="5" fillId="0" borderId="1" pivotButton="0" quotePrefix="0" xfId="0"/>
    <xf numFmtId="2" fontId="6" fillId="5" borderId="1" pivotButton="0" quotePrefix="0" xfId="0"/>
    <xf numFmtId="0" fontId="2" fillId="0" borderId="0" pivotButton="0" quotePrefix="0" xfId="0"/>
    <xf numFmtId="4" fontId="6" fillId="5" borderId="1" pivotButton="0" quotePrefix="0" xfId="0"/>
    <xf numFmtId="164" fontId="5" fillId="0" borderId="1" pivotButton="0" quotePrefix="0" xfId="0"/>
    <xf numFmtId="2" fontId="7" fillId="0" borderId="1" pivotButton="0" quotePrefix="0" xfId="0"/>
    <xf numFmtId="165" fontId="8" fillId="0" borderId="1" pivotButton="0" quotePrefix="0" xfId="0"/>
    <xf numFmtId="0" fontId="8" fillId="6" borderId="1" pivotButton="0" quotePrefix="0" xfId="0"/>
    <xf numFmtId="4" fontId="8" fillId="6" borderId="1" pivotButton="0" quotePrefix="0" xfId="0"/>
    <xf numFmtId="164" fontId="8" fillId="6" borderId="1" pivotButton="0" quotePrefix="0" xfId="0"/>
    <xf numFmtId="165" fontId="8" fillId="6" borderId="1" pivotButton="0" quotePrefix="0" xfId="0"/>
    <xf numFmtId="165" fontId="5" fillId="0" borderId="1" pivotButton="0" quotePrefix="0" xfId="0"/>
    <xf numFmtId="164" fontId="8" fillId="0" borderId="1" pivotButton="0" quotePrefix="0" xfId="0"/>
    <xf numFmtId="2" fontId="6" fillId="0" borderId="1" pivotButton="0" quotePrefix="0" xfId="0"/>
    <xf numFmtId="9" fontId="5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9" fontId="8" fillId="0" borderId="1" pivotButton="0" quotePrefix="0" xfId="0"/>
    <xf numFmtId="1" fontId="8" fillId="0" borderId="1" pivotButton="0" quotePrefix="0" xfId="0"/>
    <xf numFmtId="1" fontId="5" fillId="0" borderId="1" pivotButton="0" quotePrefix="0" xfId="0"/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  <col width="16" customWidth="1" min="3" max="3"/>
  </cols>
  <sheetData>
    <row r="1" ht="24" customHeight="1">
      <c r="A1" s="1" t="inlineStr">
        <is>
          <t>MEMORIA DE CALCULO - COLECTOR PLUVIAL TRAMO CAR MUJERES (PREPARADO PARA LOS TRES PROYECTOS)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4" ht="54" customHeight="1">
      <c r="A4" s="3" t="inlineStr">
        <is>
          <t>1. OBJETO</t>
        </is>
      </c>
      <c r="B4" s="4" t="inlineStr">
        <is>
          <t>Dimensionar el tramo del colector frontal del CAR Mujeres (0+000 a 0+139.08) para conducir, ademas de su propio caudal, los caudales del CAR Varones y del Hogar de Refugio, que se conectan aguas arriba, con secciones economicas, enterradas y con tapa a ras de vereda.</t>
        </is>
      </c>
    </row>
    <row r="5" ht="54" customHeight="1">
      <c r="A5" s="3" t="inlineStr">
        <is>
          <t>2. NORMATIVA</t>
        </is>
      </c>
      <c r="B5" s="4" t="inlineStr">
        <is>
          <t>RNE CE.040 Drenaje Pluvial (RM 126-2021-VIVIENDA); RNE E.020 Cargas; RNE E.060 Concreto Armado; AASHTO LRFD para carga de rueda en cruces vehiculares.</t>
        </is>
      </c>
    </row>
    <row r="6" ht="54" customHeight="1">
      <c r="A6" s="3" t="inlineStr">
        <is>
          <t>3. HIDROLOGIA</t>
        </is>
      </c>
      <c r="B6" s="4" t="inlineStr">
        <is>
          <t>Metodo Racional con los coeficientes y areas de las memorias de calculo de cada proyecto. TR = 25 anos; intensidad para tc = 15 min de la curva precipitacion-duracion del analisis estadistico; FS = 1.15 (hoja CAUDALES).</t>
        </is>
      </c>
    </row>
    <row r="7" ht="54" customHeight="1">
      <c r="A7" s="3" t="inlineStr">
        <is>
          <t>4. HIDRAULICA</t>
        </is>
      </c>
      <c r="B7" s="4" t="inlineStr">
        <is>
          <t>La salida esta controlada por la calzada de la Crta. Oasis (cresta 258.54), sobre la que el agua rebalsa. Por ello no basta el tirante normal: se calcula el perfil de flujo por el metodo del paso estandar desde la salida hasta el Eje 02, con el caudal que entra en cada eje (hojas SALIDA y PERFIL_FLUJO). Criterio: llenado &lt;= 85 % de la altura interior y borde libre &gt;= 0.05 m bajo la tapa.</t>
        </is>
      </c>
    </row>
    <row r="8" ht="54" customHeight="1">
      <c r="A8" s="3" t="inlineStr">
        <is>
          <t>5. ESTRUCTURAS</t>
        </is>
      </c>
      <c r="B8" s="4" t="inlineStr">
        <is>
          <t>Tapas, losa superior del cruce de camiones, muros y losa de fondo verificados a flexion y corte con E.060, con cuantia minima por temperatura (hoja ESTRUCTURAL).</t>
        </is>
      </c>
    </row>
    <row r="9" ht="54" customHeight="1">
      <c r="A9" s="3" t="inlineStr">
        <is>
          <t>6. RESULTADOS</t>
        </is>
      </c>
      <c r="B9" s="4" t="inlineStr">
        <is>
          <t>Colector cubierto de concreto armado, ancho interior b = 1.50 m, losa superior monolitica en todo su recorrido (a ras de vereda hasta 0+078.42 y h = 0.60 m hasta la salida con dos aleros), registros de limpieza con tapa removible; todo dentro del lindero. Llenado maximo, borde libre minimo y numero de estaciones que no cumplen: ver abajo (se actualizan con las formulas).</t>
        </is>
      </c>
    </row>
    <row r="11">
      <c r="A11" s="3" t="inlineStr">
        <is>
          <t>Caudal total en la salida (L/s)</t>
        </is>
      </c>
      <c r="B11" s="5">
        <f>CAUDALES!F8</f>
        <v/>
      </c>
    </row>
    <row r="12">
      <c r="A12" s="3" t="inlineStr">
        <is>
          <t>Nivel de control en la salida (msnm)</t>
        </is>
      </c>
      <c r="B12" s="6">
        <f>SALIDA!B10</f>
        <v/>
      </c>
    </row>
    <row r="13">
      <c r="A13" s="3" t="inlineStr">
        <is>
          <t>Ancho interior adoptado (m)</t>
        </is>
      </c>
      <c r="B13" s="6">
        <f>DATOS!B14</f>
        <v/>
      </c>
    </row>
    <row r="14">
      <c r="A14" s="3" t="inlineStr">
        <is>
          <t>Llenado maximo y/h</t>
        </is>
      </c>
      <c r="B14" s="7">
        <f>PERFIL_FLUJO!B82</f>
        <v/>
      </c>
    </row>
    <row r="15">
      <c r="A15" s="3" t="inlineStr">
        <is>
          <t>Borde libre minimo bajo tapa (m)</t>
        </is>
      </c>
      <c r="B15" s="6">
        <f>PERFIL_FLUJO!B83</f>
        <v/>
      </c>
    </row>
    <row r="16">
      <c r="A16" s="3" t="inlineStr">
        <is>
          <t>Estaciones hidraulicas que no cumplen</t>
        </is>
      </c>
      <c r="B16" s="5">
        <f>PERFIL_FLUJO!B84</f>
        <v/>
      </c>
    </row>
    <row r="17">
      <c r="A17" s="3" t="inlineStr">
        <is>
          <t>Elementos estructurales que no cumplen</t>
        </is>
      </c>
      <c r="B17" s="5">
        <f>COUNTIF(ESTRUCTURAL!E:E,"NO CUMPLE")</f>
        <v/>
      </c>
    </row>
    <row r="19" ht="30" customHeight="1">
      <c r="A19" s="8" t="inlineStr">
        <is>
          <t>NOTA</t>
        </is>
      </c>
      <c r="B19" s="4" t="inlineStr">
        <is>
          <t>El cruce de la Crta. Oasis (baden o alcantarilla) queda fuera del alcance del proyecto y se indica en la memoria descriptiva para la entidad a cargo de la via. Capacidad portante a confirmar con el EMS.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9" customWidth="1" min="3" max="3"/>
    <col width="62" customWidth="1" min="4" max="4"/>
    <col width="10" customWidth="1" min="5" max="5"/>
  </cols>
  <sheetData>
    <row r="1" ht="24" customHeight="1">
      <c r="A1" s="1" t="inlineStr">
        <is>
          <t>1. DATOS DE DISENO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4" ht="32" customHeight="1">
      <c r="A4" s="9" t="inlineStr">
        <is>
          <t>PARAMETRO</t>
        </is>
      </c>
      <c r="B4" s="9" t="inlineStr">
        <is>
          <t>VALOR</t>
        </is>
      </c>
      <c r="C4" s="9" t="inlineStr">
        <is>
          <t>UND</t>
        </is>
      </c>
      <c r="D4" s="9" t="inlineStr">
        <is>
          <t>FUENTE / CRITERIO</t>
        </is>
      </c>
      <c r="E4" s="9" t="inlineStr">
        <is>
          <t>SIMBOLO</t>
        </is>
      </c>
    </row>
    <row r="5">
      <c r="A5" s="10" t="inlineStr">
        <is>
          <t>HIDROLOGIA</t>
        </is>
      </c>
    </row>
    <row r="6">
      <c r="A6" s="11" t="inlineStr">
        <is>
          <t>Periodo de retorno</t>
        </is>
      </c>
      <c r="B6" s="12" t="n">
        <v>25</v>
      </c>
      <c r="C6" s="13" t="inlineStr">
        <is>
          <t>anos</t>
        </is>
      </c>
      <c r="D6" s="4" t="inlineStr">
        <is>
          <t>Analisis estadistico de precipitaciones (memorias de calculo)</t>
        </is>
      </c>
      <c r="E6" s="13" t="inlineStr">
        <is>
          <t>TR</t>
        </is>
      </c>
    </row>
    <row r="7">
      <c r="A7" s="11" t="inlineStr">
        <is>
          <t>Precipitacion de diseno D=10 min</t>
        </is>
      </c>
      <c r="B7" s="14" t="n">
        <v>35.163</v>
      </c>
      <c r="C7" s="13" t="inlineStr">
        <is>
          <t>mm</t>
        </is>
      </c>
      <c r="D7" s="4" t="inlineStr">
        <is>
          <t>Analisis estadistico, hoja C. P diseno</t>
        </is>
      </c>
      <c r="E7" s="13" t="inlineStr">
        <is>
          <t>P10</t>
        </is>
      </c>
    </row>
    <row r="8">
      <c r="A8" s="11" t="inlineStr">
        <is>
          <t>Precipitacion de diseno D=20 min</t>
        </is>
      </c>
      <c r="B8" s="14" t="n">
        <v>41.816</v>
      </c>
      <c r="C8" s="13" t="inlineStr">
        <is>
          <t>mm</t>
        </is>
      </c>
      <c r="D8" s="4" t="inlineStr">
        <is>
          <t>Analisis estadistico, hoja C. P diseno</t>
        </is>
      </c>
      <c r="E8" s="13" t="inlineStr">
        <is>
          <t>P20</t>
        </is>
      </c>
    </row>
    <row r="9">
      <c r="A9" s="11" t="inlineStr">
        <is>
          <t>Tiempo de concentracion en la salida</t>
        </is>
      </c>
      <c r="B9" s="15" t="n">
        <v>15</v>
      </c>
      <c r="C9" s="13" t="inlineStr">
        <is>
          <t>min</t>
        </is>
      </c>
      <c r="D9" s="4" t="inlineStr">
        <is>
          <t>10 min de entrada + recorrido en cunetas y colector</t>
        </is>
      </c>
      <c r="E9" s="13" t="inlineStr">
        <is>
          <t>tc</t>
        </is>
      </c>
    </row>
    <row r="10">
      <c r="A10" s="11" t="inlineStr">
        <is>
          <t>Exponente de la curva P-D</t>
        </is>
      </c>
      <c r="B10" s="16">
        <f>LN(DATOS!$B$8/DATOS!$B$7)/LN(2)</f>
        <v/>
      </c>
      <c r="C10" s="13" t="inlineStr">
        <is>
          <t>-</t>
        </is>
      </c>
      <c r="D10" s="4" t="inlineStr">
        <is>
          <t>b = ln(P20/P10)/ln 2</t>
        </is>
      </c>
      <c r="E10" s="13" t="inlineStr">
        <is>
          <t>bx</t>
        </is>
      </c>
    </row>
    <row r="11">
      <c r="A11" s="11" t="inlineStr">
        <is>
          <t>Intensidad de diseno I</t>
        </is>
      </c>
      <c r="B11" s="17">
        <f>DATOS!$B$7*(DATOS!$B$9/10)^DATOS!$B$10/(DATOS!$B$9/60)</f>
        <v/>
      </c>
      <c r="C11" s="13" t="inlineStr">
        <is>
          <t>mm/h</t>
        </is>
      </c>
      <c r="D11" s="4" t="inlineStr">
        <is>
          <t>I = P10 (tc/10)^b / (tc/60)</t>
        </is>
      </c>
      <c r="E11" s="13" t="inlineStr">
        <is>
          <t>I</t>
        </is>
      </c>
    </row>
    <row r="12">
      <c r="A12" s="11" t="inlineStr">
        <is>
          <t>Factor de seguridad FS</t>
        </is>
      </c>
      <c r="B12" s="14" t="n">
        <v>1.15</v>
      </c>
      <c r="C12" s="13" t="inlineStr">
        <is>
          <t>-</t>
        </is>
      </c>
      <c r="D12" s="4" t="inlineStr">
        <is>
          <t>Memorias de calculo HIDRO-CE040</t>
        </is>
      </c>
      <c r="E12" s="13" t="inlineStr">
        <is>
          <t>FS</t>
        </is>
      </c>
    </row>
    <row r="13">
      <c r="A13" s="10" t="inlineStr">
        <is>
          <t>GEOMETRIA DEL COLECTOR (tramo CAR Mujeres)</t>
        </is>
      </c>
    </row>
    <row r="14">
      <c r="A14" s="11" t="inlineStr">
        <is>
          <t>Ancho interior b</t>
        </is>
      </c>
      <c r="B14" s="18" t="n">
        <v>1.5</v>
      </c>
      <c r="C14" s="13" t="inlineStr">
        <is>
          <t>m</t>
        </is>
      </c>
      <c r="D14" s="4" t="inlineStr">
        <is>
          <t>Adoptado: llenado &lt;= 85% en todo el tramo (hoja PERFIL_FLUJO)</t>
        </is>
      </c>
      <c r="E14" s="13" t="inlineStr">
        <is>
          <t>b</t>
        </is>
      </c>
    </row>
    <row r="15">
      <c r="A15" s="11" t="inlineStr">
        <is>
          <t>Espesor de muros y losa (tramo normal)</t>
        </is>
      </c>
      <c r="B15" s="18" t="n">
        <v>0.1</v>
      </c>
      <c r="C15" s="13" t="inlineStr">
        <is>
          <t>m</t>
        </is>
      </c>
      <c r="D15" s="4" t="inlineStr"/>
      <c r="E15" s="13" t="inlineStr">
        <is>
          <t>e</t>
        </is>
      </c>
    </row>
    <row r="16">
      <c r="A16" s="11" t="inlineStr">
        <is>
          <t>Cota de fondo inicial (Eje 02, 0+000)</t>
        </is>
      </c>
      <c r="B16" s="14" t="n">
        <v>258.72</v>
      </c>
      <c r="C16" s="13" t="inlineStr">
        <is>
          <t>msnm</t>
        </is>
      </c>
      <c r="D16" s="4" t="inlineStr">
        <is>
          <t>Cuneta Eje 02 NCF 258.73</t>
        </is>
      </c>
      <c r="E16" s="13" t="inlineStr">
        <is>
          <t>CF0</t>
        </is>
      </c>
    </row>
    <row r="17">
      <c r="A17" s="11" t="inlineStr">
        <is>
          <t>Cota de fondo en la salida (0+139.08)</t>
        </is>
      </c>
      <c r="B17" s="14" t="n">
        <v>258.3</v>
      </c>
      <c r="C17" s="13" t="inlineStr">
        <is>
          <t>msnm</t>
        </is>
      </c>
      <c r="D17" s="4" t="inlineStr">
        <is>
          <t>Topografia: 0.24 m bajo la cresta de la via</t>
        </is>
      </c>
      <c r="E17" s="13" t="inlineStr">
        <is>
          <t>CFs</t>
        </is>
      </c>
    </row>
    <row r="18">
      <c r="A18" s="11" t="inlineStr">
        <is>
          <t>Longitud del colector</t>
        </is>
      </c>
      <c r="B18" s="18" t="n">
        <v>139.08</v>
      </c>
      <c r="C18" s="13" t="inlineStr">
        <is>
          <t>m</t>
        </is>
      </c>
      <c r="D18" s="4" t="inlineStr">
        <is>
          <t>Eje a 0.85 m del lindero; ultimos 4 m desviados 0.85 m hacia el predio para la salida con aleros</t>
        </is>
      </c>
      <c r="E18" s="13" t="inlineStr">
        <is>
          <t>L</t>
        </is>
      </c>
    </row>
    <row r="19">
      <c r="A19" s="11" t="inlineStr">
        <is>
          <t>Pendiente S</t>
        </is>
      </c>
      <c r="B19" s="16">
        <f>(DATOS!$B$16-DATOS!$B$17)/DATOS!$B$18</f>
        <v/>
      </c>
      <c r="C19" s="13" t="inlineStr">
        <is>
          <t>m/m</t>
        </is>
      </c>
      <c r="D19" s="4" t="inlineStr"/>
      <c r="E19" s="13" t="inlineStr">
        <is>
          <t>S</t>
        </is>
      </c>
    </row>
    <row r="20">
      <c r="A20" s="11" t="inlineStr">
        <is>
          <t>Progresiva fin del tramo en vereda (quiebre C-1)</t>
        </is>
      </c>
      <c r="B20" s="18" t="n">
        <v>78.42</v>
      </c>
      <c r="C20" s="13" t="inlineStr">
        <is>
          <t>m</t>
        </is>
      </c>
      <c r="D20" s="4" t="inlineStr"/>
      <c r="E20" s="13" t="inlineStr">
        <is>
          <t>PKC1</t>
        </is>
      </c>
    </row>
    <row r="21">
      <c r="A21" s="11" t="inlineStr">
        <is>
          <t>NPT vereda (cara superior de tapa)</t>
        </is>
      </c>
      <c r="B21" s="18" t="n">
        <v>259.25</v>
      </c>
      <c r="C21" s="13" t="inlineStr">
        <is>
          <t>msnm</t>
        </is>
      </c>
      <c r="D21" s="4" t="inlineStr">
        <is>
          <t>Arquitectura CAR Mujeres</t>
        </is>
      </c>
      <c r="E21" s="13" t="inlineStr">
        <is>
          <t>NPT</t>
        </is>
      </c>
    </row>
    <row r="22">
      <c r="A22" s="11" t="inlineStr">
        <is>
          <t>Espesor de losa superior (monolitica)</t>
        </is>
      </c>
      <c r="B22" s="18" t="n">
        <v>0.1</v>
      </c>
      <c r="C22" s="13" t="inlineStr">
        <is>
          <t>m</t>
        </is>
      </c>
      <c r="D22" s="4" t="inlineStr">
        <is>
          <t>Ver hoja ESTRUCTURAL</t>
        </is>
      </c>
      <c r="E22" s="13" t="inlineStr">
        <is>
          <t>et</t>
        </is>
      </c>
    </row>
    <row r="23">
      <c r="A23" s="11" t="inlineStr">
        <is>
          <t>Tramo cruce de camiones: inicio</t>
        </is>
      </c>
      <c r="B23" s="18" t="n">
        <v>54</v>
      </c>
      <c r="C23" s="13" t="inlineStr">
        <is>
          <t>m</t>
        </is>
      </c>
      <c r="D23" s="4" t="inlineStr">
        <is>
          <t>Ingreso secundario</t>
        </is>
      </c>
      <c r="E23" s="13" t="inlineStr">
        <is>
          <t>pc1</t>
        </is>
      </c>
    </row>
    <row r="24">
      <c r="A24" s="11" t="inlineStr">
        <is>
          <t>Tramo cruce de camiones: fin</t>
        </is>
      </c>
      <c r="B24" s="18" t="n">
        <v>60</v>
      </c>
      <c r="C24" s="13" t="inlineStr">
        <is>
          <t>m</t>
        </is>
      </c>
      <c r="D24" s="4" t="inlineStr"/>
      <c r="E24" s="13" t="inlineStr">
        <is>
          <t>pc2</t>
        </is>
      </c>
    </row>
    <row r="25">
      <c r="A25" s="11" t="inlineStr">
        <is>
          <t>Espesor losa superior en cruce de camiones</t>
        </is>
      </c>
      <c r="B25" s="18" t="n">
        <v>0.2</v>
      </c>
      <c r="C25" s="13" t="inlineStr">
        <is>
          <t>m</t>
        </is>
      </c>
      <c r="D25" s="4" t="inlineStr">
        <is>
          <t>Losa vaciada in situ monolitica</t>
        </is>
      </c>
      <c r="E25" s="13" t="inlineStr">
        <is>
          <t>ec</t>
        </is>
      </c>
    </row>
    <row r="26">
      <c r="A26" s="11" t="inlineStr">
        <is>
          <t>Altura interior tramo final (fuera de vereda)</t>
        </is>
      </c>
      <c r="B26" s="18" t="n">
        <v>0.6</v>
      </c>
      <c r="C26" s="13" t="inlineStr">
        <is>
          <t>m</t>
        </is>
      </c>
      <c r="D26" s="4" t="inlineStr">
        <is>
          <t>Colector cubierto con losa superior</t>
        </is>
      </c>
      <c r="E26" s="13" t="inlineStr">
        <is>
          <t>hab</t>
        </is>
      </c>
    </row>
    <row r="27">
      <c r="A27" s="11" t="inlineStr">
        <is>
          <t>Coeficiente de Manning n</t>
        </is>
      </c>
      <c r="B27" s="14" t="n">
        <v>0.015</v>
      </c>
      <c r="C27" s="13" t="inlineStr">
        <is>
          <t>-</t>
        </is>
      </c>
      <c r="D27" s="4" t="inlineStr">
        <is>
          <t>Concreto vaciado in situ (Chow)</t>
        </is>
      </c>
      <c r="E27" s="13" t="inlineStr">
        <is>
          <t>n</t>
        </is>
      </c>
    </row>
    <row r="28">
      <c r="A28" s="10" t="inlineStr">
        <is>
          <t>CRITERIOS DE VERIFICACION HIDRAULICA</t>
        </is>
      </c>
    </row>
    <row r="29">
      <c r="A29" s="11" t="inlineStr">
        <is>
          <t>Llenado maximo admisible y/h (conducto cubierto)</t>
        </is>
      </c>
      <c r="B29" s="18" t="n">
        <v>0.85</v>
      </c>
      <c r="C29" s="13" t="inlineStr">
        <is>
          <t>-</t>
        </is>
      </c>
      <c r="D29" s="4" t="inlineStr">
        <is>
          <t>Criterio de conducto cerrado a superficie libre</t>
        </is>
      </c>
      <c r="E29" s="13" t="inlineStr">
        <is>
          <t>llen</t>
        </is>
      </c>
    </row>
    <row r="30">
      <c r="A30" s="11" t="inlineStr">
        <is>
          <t>Borde libre minimo bajo tapa</t>
        </is>
      </c>
      <c r="B30" s="18" t="n">
        <v>0.05</v>
      </c>
      <c r="C30" s="13" t="inlineStr">
        <is>
          <t>m</t>
        </is>
      </c>
      <c r="D30" s="4" t="inlineStr">
        <is>
          <t>Complementario al criterio de llenado</t>
        </is>
      </c>
      <c r="E30" s="13" t="inlineStr">
        <is>
          <t>BLmin</t>
        </is>
      </c>
    </row>
    <row r="31">
      <c r="A31" s="11" t="inlineStr">
        <is>
          <t>Cresta de la via frente a la salida</t>
        </is>
      </c>
      <c r="B31" s="18" t="n">
        <v>258.54</v>
      </c>
      <c r="C31" s="13" t="inlineStr">
        <is>
          <t>msnm</t>
        </is>
      </c>
      <c r="D31" s="4" t="inlineStr">
        <is>
          <t>Topografia TIN (berma/calzada Crta. Oasis)</t>
        </is>
      </c>
      <c r="E31" s="13" t="inlineStr">
        <is>
          <t>cresta</t>
        </is>
      </c>
    </row>
    <row r="32">
      <c r="A32" s="11" t="inlineStr">
        <is>
          <t>Longitud efectiva de vertido sobre la berma</t>
        </is>
      </c>
      <c r="B32" s="18" t="n">
        <v>4</v>
      </c>
      <c r="C32" s="13" t="inlineStr">
        <is>
          <t>m</t>
        </is>
      </c>
      <c r="D32" s="4" t="inlineStr">
        <is>
          <t>Salida con dos aleros a 45 grados: el agua sale por la una (2.91 m) y se abre sobre la berma hasta la cresta</t>
        </is>
      </c>
      <c r="E32" s="13" t="inlineStr">
        <is>
          <t>Lw</t>
        </is>
      </c>
    </row>
    <row r="33">
      <c r="A33" s="11" t="inlineStr">
        <is>
          <t>Coeficiente de vertedero de cresta ancha</t>
        </is>
      </c>
      <c r="B33" s="18" t="n">
        <v>1.7</v>
      </c>
      <c r="C33" s="13" t="inlineStr">
        <is>
          <t>m0.5/s</t>
        </is>
      </c>
      <c r="D33" s="4" t="inlineStr">
        <is>
          <t>Q = C L H^1.5</t>
        </is>
      </c>
      <c r="E33" s="13" t="inlineStr">
        <is>
          <t>Cw</t>
        </is>
      </c>
    </row>
    <row r="35">
      <c r="A35" s="19" t="inlineStr">
        <is>
          <t>Azul = dato editable; negro = formula; verde = vinculo.</t>
        </is>
      </c>
    </row>
  </sheetData>
  <mergeCells count="5">
    <mergeCell ref="A2:E2"/>
    <mergeCell ref="A28:E28"/>
    <mergeCell ref="A1:E1"/>
    <mergeCell ref="A5:E5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26" customWidth="1" min="7" max="7"/>
    <col width="48" customWidth="1" min="8" max="8"/>
  </cols>
  <sheetData>
    <row r="1" ht="24" customHeight="1">
      <c r="A1" s="1" t="inlineStr">
        <is>
          <t>2. CAUDALES DE DISENO - METODO RACIONAL Q = C I A FS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4" ht="32" customHeight="1">
      <c r="A4" s="9" t="inlineStr">
        <is>
          <t>PROYECTO</t>
        </is>
      </c>
      <c r="B4" s="9" t="inlineStr">
        <is>
          <t>AREA (m2)</t>
        </is>
      </c>
      <c r="C4" s="9" t="inlineStr">
        <is>
          <t>C x A (m2)</t>
        </is>
      </c>
      <c r="D4" s="9" t="inlineStr">
        <is>
          <t>C PONDERADO</t>
        </is>
      </c>
      <c r="E4" s="9" t="inlineStr">
        <is>
          <t>I (mm/h)</t>
        </is>
      </c>
      <c r="F4" s="9" t="inlineStr">
        <is>
          <t>Q (L/s)</t>
        </is>
      </c>
      <c r="G4" s="9" t="inlineStr">
        <is>
          <t>INGRESA AL COLECTOR EN</t>
        </is>
      </c>
      <c r="H4" s="9" t="inlineStr">
        <is>
          <t>FUENTE</t>
        </is>
      </c>
    </row>
    <row r="5">
      <c r="A5" s="11" t="inlineStr">
        <is>
          <t>CAR Varones (Katiuska)</t>
        </is>
      </c>
      <c r="B5" s="20" t="n">
        <v>6752.06</v>
      </c>
      <c r="C5" s="20" t="n">
        <v>5203.3213</v>
      </c>
      <c r="D5" s="21">
        <f>C5/B5</f>
        <v/>
      </c>
      <c r="E5" s="22">
        <f>DATOS!$B$11</f>
        <v/>
      </c>
      <c r="F5" s="23">
        <f>C5*E5/3600000*DATOS!$B$12*1000</f>
        <v/>
      </c>
      <c r="G5" s="4" t="inlineStr">
        <is>
          <t>Caja de llegada (Eje 02)</t>
        </is>
      </c>
      <c r="H5" s="4" t="inlineStr">
        <is>
          <t>Memoria HIDRO-CE040, 14 fichas</t>
        </is>
      </c>
    </row>
    <row r="6">
      <c r="A6" s="11" t="inlineStr">
        <is>
          <t>Hogar de Refugio M. Violentadas (Solange)</t>
        </is>
      </c>
      <c r="B6" s="20" t="n">
        <v>7520.41</v>
      </c>
      <c r="C6" s="20" t="n">
        <v>6072.3596</v>
      </c>
      <c r="D6" s="21">
        <f>C6/B6</f>
        <v/>
      </c>
      <c r="E6" s="22">
        <f>DATOS!$B$11</f>
        <v/>
      </c>
      <c r="F6" s="23">
        <f>C6*E6/3600000*DATOS!$B$12*1000</f>
        <v/>
      </c>
      <c r="G6" s="4" t="inlineStr">
        <is>
          <t>Caja de llegada (Eje 02)</t>
        </is>
      </c>
      <c r="H6" s="4" t="inlineStr">
        <is>
          <t>Memoria HIDRO-CE040, 11 fichas</t>
        </is>
      </c>
    </row>
    <row r="7">
      <c r="A7" s="11" t="inlineStr">
        <is>
          <t>CAR Mujeres (Wilma)</t>
        </is>
      </c>
      <c r="B7" s="20" t="n">
        <v>7491.56</v>
      </c>
      <c r="C7" s="20" t="n">
        <v>5274.4494</v>
      </c>
      <c r="D7" s="21">
        <f>C7/B7</f>
        <v/>
      </c>
      <c r="E7" s="22">
        <f>DATOS!$B$11</f>
        <v/>
      </c>
      <c r="F7" s="23">
        <f>C7*E7/3600000*DATOS!$B$12*1000</f>
        <v/>
      </c>
      <c r="G7" s="4" t="inlineStr">
        <is>
          <t>Ejes 02, 07, 10 y 12 (1/4 en cada uno)</t>
        </is>
      </c>
      <c r="H7" s="4" t="inlineStr">
        <is>
          <t>Memoria HIDRO-CE040, 13 fichas</t>
        </is>
      </c>
    </row>
    <row r="8">
      <c r="A8" s="24" t="inlineStr">
        <is>
          <t>TOTAL EN LA SALIDA</t>
        </is>
      </c>
      <c r="B8" s="25">
        <f>SUM(B5:B7)</f>
        <v/>
      </c>
      <c r="C8" s="25">
        <f>SUM(C5:C7)</f>
        <v/>
      </c>
      <c r="D8" s="26">
        <f>C8/B8</f>
        <v/>
      </c>
      <c r="F8" s="27">
        <f>SUM(F5:F7)</f>
        <v/>
      </c>
    </row>
    <row r="10">
      <c r="A10" s="10" t="inlineStr">
        <is>
          <t>Caudal que circula por cada punto del tramo CAR Mujeres (de aguas arriba hacia la salida)</t>
        </is>
      </c>
    </row>
    <row r="11" ht="32" customHeight="1">
      <c r="A11" s="9" t="inlineStr">
        <is>
          <t>PUNTO</t>
        </is>
      </c>
      <c r="B11" s="9" t="inlineStr">
        <is>
          <t>PROGRESIVA</t>
        </is>
      </c>
      <c r="C11" s="9" t="inlineStr">
        <is>
          <t>APORTE (L/s)</t>
        </is>
      </c>
      <c r="D11" s="9" t="inlineStr">
        <is>
          <t>Q ACUMULADO (L/s)</t>
        </is>
      </c>
      <c r="E11" s="9" t="inlineStr"/>
      <c r="F11" s="9" t="inlineStr"/>
      <c r="G11" s="9" t="inlineStr"/>
      <c r="H11" s="9" t="inlineStr"/>
    </row>
    <row r="12">
      <c r="A12" s="11" t="inlineStr">
        <is>
          <t>Eje 02 (con llegada de Varones + M. Violentadas)</t>
        </is>
      </c>
      <c r="B12" s="18" t="n">
        <v>0</v>
      </c>
      <c r="C12" s="28">
        <f>F5+F6+F7/4</f>
        <v/>
      </c>
      <c r="D12" s="23">
        <f>SUM($C$12:C12)</f>
        <v/>
      </c>
    </row>
    <row r="13">
      <c r="A13" s="11" t="inlineStr">
        <is>
          <t>Eje 07</t>
        </is>
      </c>
      <c r="B13" s="18" t="n">
        <v>37.95</v>
      </c>
      <c r="C13" s="28">
        <f>F7/4</f>
        <v/>
      </c>
      <c r="D13" s="23">
        <f>SUM($C$12:C13)</f>
        <v/>
      </c>
    </row>
    <row r="14">
      <c r="A14" s="11" t="inlineStr">
        <is>
          <t>Eje 10</t>
        </is>
      </c>
      <c r="B14" s="18" t="n">
        <v>49.38</v>
      </c>
      <c r="C14" s="28">
        <f>F7/4</f>
        <v/>
      </c>
      <c r="D14" s="23">
        <f>SUM($C$12:C14)</f>
        <v/>
      </c>
    </row>
    <row r="15">
      <c r="A15" s="11" t="inlineStr">
        <is>
          <t>Eje 12</t>
        </is>
      </c>
      <c r="B15" s="18" t="n">
        <v>60.15</v>
      </c>
      <c r="C15" s="28">
        <f>F7/4</f>
        <v/>
      </c>
      <c r="D15" s="23">
        <f>SUM($C$12:C15)</f>
        <v/>
      </c>
    </row>
    <row r="17">
      <c r="A17" s="19" t="inlineStr">
        <is>
          <t>Suma de picos sin desfase de tiempos y con FS = 1.15: hipotesis conservadora.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9" customWidth="1" min="3" max="3"/>
    <col width="60" customWidth="1" min="4" max="4"/>
  </cols>
  <sheetData>
    <row r="1" ht="24" customHeight="1">
      <c r="A1" s="1" t="inlineStr">
        <is>
          <t>3. CONDICION DE CONTROL EN LA SALIDA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3"/>
    <row r="4" ht="32" customHeight="1">
      <c r="A4" s="9" t="inlineStr">
        <is>
          <t>PARAMETRO</t>
        </is>
      </c>
      <c r="B4" s="9" t="inlineStr">
        <is>
          <t>VALOR</t>
        </is>
      </c>
      <c r="C4" s="9" t="inlineStr">
        <is>
          <t>UND</t>
        </is>
      </c>
      <c r="D4" s="9" t="inlineStr">
        <is>
          <t>FORMULA</t>
        </is>
      </c>
    </row>
    <row r="5">
      <c r="A5" s="11" t="inlineStr">
        <is>
          <t>Caudal total Q</t>
        </is>
      </c>
      <c r="B5" s="21">
        <f>CAUDALES!F8/1000</f>
        <v/>
      </c>
      <c r="C5" s="13" t="inlineStr">
        <is>
          <t>m3/s</t>
        </is>
      </c>
      <c r="D5" s="4" t="inlineStr"/>
    </row>
    <row r="6">
      <c r="A6" s="11" t="inlineStr">
        <is>
          <t>Carga sobre la cresta de la via H</t>
        </is>
      </c>
      <c r="B6" s="21">
        <f>(B5/(DATOS!$B$32*DATOS!$B$33))^(2/3)</f>
        <v/>
      </c>
      <c r="C6" s="13" t="inlineStr">
        <is>
          <t>m</t>
        </is>
      </c>
      <c r="D6" s="4" t="inlineStr">
        <is>
          <t>H = (Q / (Cw Lw))^(2/3)</t>
        </is>
      </c>
    </row>
    <row r="7">
      <c r="A7" s="11" t="inlineStr">
        <is>
          <t>Nivel de agua por vertido sobre la via</t>
        </is>
      </c>
      <c r="B7" s="21">
        <f>DATOS!$B$31+B6</f>
        <v/>
      </c>
      <c r="C7" s="13" t="inlineStr">
        <is>
          <t>msnm</t>
        </is>
      </c>
      <c r="D7" s="4" t="inlineStr">
        <is>
          <t>cresta + H</t>
        </is>
      </c>
    </row>
    <row r="8">
      <c r="A8" s="11" t="inlineStr">
        <is>
          <t>Tirante critico en el canal yc</t>
        </is>
      </c>
      <c r="B8" s="21">
        <f>(B5^2/(9.81*DATOS!$B$14^2))^(1/3)</f>
        <v/>
      </c>
      <c r="C8" s="13" t="inlineStr">
        <is>
          <t>m</t>
        </is>
      </c>
      <c r="D8" s="4" t="inlineStr">
        <is>
          <t>yc = (Q2 / (g b2))^(1/3)</t>
        </is>
      </c>
    </row>
    <row r="9">
      <c r="A9" s="11" t="inlineStr">
        <is>
          <t>Nivel critico en la salida</t>
        </is>
      </c>
      <c r="B9" s="21">
        <f>DATOS!$B$17+B8</f>
        <v/>
      </c>
      <c r="C9" s="13" t="inlineStr">
        <is>
          <t>msnm</t>
        </is>
      </c>
      <c r="D9" s="4" t="inlineStr">
        <is>
          <t>CF salida + yc</t>
        </is>
      </c>
    </row>
    <row r="10">
      <c r="A10" s="8" t="inlineStr">
        <is>
          <t>NIVEL DE CONTROL EN LA SALIDA</t>
        </is>
      </c>
      <c r="B10" s="29">
        <f>MAX(B7,B9)</f>
        <v/>
      </c>
      <c r="C10" s="13" t="inlineStr">
        <is>
          <t>msnm</t>
        </is>
      </c>
      <c r="D10" s="4" t="inlineStr">
        <is>
          <t>El mayor: gobierna el vertido sobre la via (remanso)</t>
        </is>
      </c>
    </row>
    <row r="11"/>
    <row r="12">
      <c r="A12" s="19" t="inlineStr">
        <is>
          <t>El agua sale rebalsando la calzada de la Crta. Oasis (cresta 258.54): esa cota controla el nivel del colector aguas arriba.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8" customWidth="1" min="4" max="4"/>
    <col width="10" customWidth="1" min="5" max="5"/>
    <col width="11" customWidth="1" min="6" max="6"/>
    <col width="10" customWidth="1" min="7" max="7"/>
    <col width="9" customWidth="1" min="8" max="8"/>
    <col width="11" customWidth="1" min="9" max="9"/>
    <col width="11" customWidth="1" min="10" max="10"/>
    <col width="10" customWidth="1" min="11" max="11"/>
    <col width="11" customWidth="1" min="12" max="12"/>
    <col width="12" customWidth="1" min="13" max="13"/>
    <col width="16" customWidth="1" min="14" max="14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</cols>
  <sheetData>
    <row r="1" ht="24" customHeight="1">
      <c r="A1" s="1" t="inlineStr">
        <is>
          <t>4. PERFIL DE FLUJO GRADUALMENTE VARIADO - METODO DEL PASO ESTANDAR (desde la salida hacia aguas arriba)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3">
      <c r="A3" s="19" t="inlineStr">
        <is>
          <t>Ecuacion de energia entre estaciones: y2 + V2^2/2g + z2 = y1 + V1^2/2g + z1 + (Sf1+Sf2)/2 * dx ; Sf = (n V / R^(2/3))^2. El tirante de cada fila se resuelve por biseccion en las columnas auxiliares (desde la columna P).</t>
        </is>
      </c>
    </row>
    <row r="4" ht="32" customHeight="1">
      <c r="A4" s="9" t="inlineStr">
        <is>
          <t>PROGRESIVA (m)</t>
        </is>
      </c>
      <c r="B4" s="9" t="inlineStr">
        <is>
          <t>COTA FONDO</t>
        </is>
      </c>
      <c r="C4" s="9" t="inlineStr">
        <is>
          <t>Q (m3/s)</t>
        </is>
      </c>
      <c r="D4" s="9" t="inlineStr">
        <is>
          <t>yc (m)</t>
        </is>
      </c>
      <c r="E4" s="9" t="inlineStr">
        <is>
          <t>TIRANTE y (m)</t>
        </is>
      </c>
      <c r="F4" s="9" t="inlineStr">
        <is>
          <t>NIVEL DE AGUA</t>
        </is>
      </c>
      <c r="G4" s="9" t="inlineStr">
        <is>
          <t>VELOCIDAD (m/s)</t>
        </is>
      </c>
      <c r="H4" s="9" t="inlineStr">
        <is>
          <t>FROUDE</t>
        </is>
      </c>
      <c r="I4" s="9" t="inlineStr">
        <is>
          <t>TECHO DISPONIBLE</t>
        </is>
      </c>
      <c r="J4" s="9" t="inlineStr">
        <is>
          <t>ALTURA INTERIOR h</t>
        </is>
      </c>
      <c r="K4" s="9" t="inlineStr">
        <is>
          <t>LLENADO y/h</t>
        </is>
      </c>
      <c r="L4" s="9" t="inlineStr">
        <is>
          <t>BORDE LIBRE (m)</t>
        </is>
      </c>
      <c r="M4" s="9" t="inlineStr">
        <is>
          <t>VERIFICACION</t>
        </is>
      </c>
      <c r="N4" s="9" t="inlineStr">
        <is>
          <t>TRAMO</t>
        </is>
      </c>
    </row>
    <row r="5">
      <c r="A5" s="30" t="n">
        <v>139.08</v>
      </c>
      <c r="B5" s="21">
        <f>DATOS!$B$16-DATOS!$B$19*A5</f>
        <v/>
      </c>
      <c r="C5" s="21">
        <f>IF(A5&lt;CAUDALES!$B$13,CAUDALES!$D$12,IF(A5&lt;CAUDALES!$B$14,CAUDALES!$D$13,IF(A5&lt;CAUDALES!$B$15,CAUDALES!$D$14,CAUDALES!$D$15)))/1000</f>
        <v/>
      </c>
      <c r="D5" s="21">
        <f>(C5^2/(9.81*DATOS!$B$14^2))^(1/3)</f>
        <v/>
      </c>
      <c r="E5" s="29">
        <f>SALIDA!B10-B5</f>
        <v/>
      </c>
      <c r="F5" s="21">
        <f>B5+E5</f>
        <v/>
      </c>
      <c r="G5" s="17">
        <f>C5/(DATOS!$B$14*E5)</f>
        <v/>
      </c>
      <c r="H5" s="17">
        <f>G5/SQRT(9.81*E5)</f>
        <v/>
      </c>
      <c r="I5" s="21">
        <f>IF(A5&lt;=DATOS!$B$20,DATOS!$B$21-IF(AND(A5&gt;=DATOS!$B$23,A5&lt;DATOS!$B$24),DATOS!$B$25,DATOS!$B$22),B5+DATOS!$B$26)</f>
        <v/>
      </c>
      <c r="J5" s="17">
        <f>I5-B5</f>
        <v/>
      </c>
      <c r="K5" s="31">
        <f>E5/J5</f>
        <v/>
      </c>
      <c r="L5" s="21">
        <f>I5-F5</f>
        <v/>
      </c>
      <c r="M5" s="32">
        <f>IF(AND(K5&lt;=DATOS!$B$29,L5&gt;=DATOS!$B$30),"CUMPLE","NO CUMPLE")</f>
        <v/>
      </c>
      <c r="N5" s="13">
        <f>IF(A5&gt;DATOS!$B$20,"cubierto - tramo final",IF(AND(A5&gt;=DATOS!$B$23,A5&lt;DATOS!$B$24),"cubierto - camiones","cubierto"))</f>
        <v/>
      </c>
    </row>
    <row r="6">
      <c r="A6" s="30" t="n">
        <v>138</v>
      </c>
      <c r="B6" s="21">
        <f>DATOS!$B$16-DATOS!$B$19*A6</f>
        <v/>
      </c>
      <c r="C6" s="21">
        <f>IF(A6&lt;CAUDALES!$B$13,CAUDALES!$D$12,IF(A6&lt;CAUDALES!$B$14,CAUDALES!$D$13,IF(A6&lt;CAUDALES!$B$15,CAUDALES!$D$14,CAUDALES!$D$15)))/1000</f>
        <v/>
      </c>
      <c r="D6" s="21">
        <f>(C6^2/(9.81*DATOS!$B$14^2))^(1/3)</f>
        <v/>
      </c>
      <c r="E6" s="29">
        <f>(BT6+BU6)/2</f>
        <v/>
      </c>
      <c r="F6" s="21">
        <f>B6+E6</f>
        <v/>
      </c>
      <c r="G6" s="17">
        <f>C6/(DATOS!$B$14*E6)</f>
        <v/>
      </c>
      <c r="H6" s="17">
        <f>G6/SQRT(9.81*E6)</f>
        <v/>
      </c>
      <c r="I6" s="21">
        <f>IF(A6&lt;=DATOS!$B$20,DATOS!$B$21-IF(AND(A6&gt;=DATOS!$B$23,A6&lt;DATOS!$B$24),DATOS!$B$25,DATOS!$B$22),B6+DATOS!$B$26)</f>
        <v/>
      </c>
      <c r="J6" s="17">
        <f>I6-B6</f>
        <v/>
      </c>
      <c r="K6" s="31">
        <f>E6/J6</f>
        <v/>
      </c>
      <c r="L6" s="21">
        <f>I6-F6</f>
        <v/>
      </c>
      <c r="M6" s="32">
        <f>IF(AND(K6&lt;=DATOS!$B$29,L6&gt;=DATOS!$B$30),"CUMPLE","NO CUMPLE")</f>
        <v/>
      </c>
      <c r="N6" s="13">
        <f>IF(A6&gt;DATOS!$B$20,"cubierto - tramo final",IF(AND(A6&gt;=DATOS!$B$23,A6&lt;DATOS!$B$24),"cubierto - camiones","cubierto"))</f>
        <v/>
      </c>
      <c r="P6" s="16">
        <f>D6*1.001</f>
        <v/>
      </c>
      <c r="Q6" s="16" t="n">
        <v>2</v>
      </c>
      <c r="R6" s="16">
        <f>IF((((P6+Q6)/2)+(C6/(DATOS!$B$14*((P6+Q6)/2)))^2/(2*9.81)+B6-(E5+(C5/(DATOS!$B$14*E5))^2/(2*9.81)+B5+0.5*(((DATOS!$B$27*C5/(DATOS!$B$14*E5))^2/((DATOS!$B$14*E5)/(DATOS!$B$14+2*E5))^(4/3))+((DATOS!$B$27*C6/(DATOS!$B$14*((P6+Q6)/2)))^2/((DATOS!$B$14*((P6+Q6)/2))/(DATOS!$B$14+2*((P6+Q6)/2)))^(4/3)))*(A5-A6)))&lt;0,((P6+Q6)/2),P6)</f>
        <v/>
      </c>
      <c r="S6" s="16">
        <f>IF((((P6+Q6)/2)+(C6/(DATOS!$B$14*((P6+Q6)/2)))^2/(2*9.81)+B6-(E5+(C5/(DATOS!$B$14*E5))^2/(2*9.81)+B5+0.5*(((DATOS!$B$27*C5/(DATOS!$B$14*E5))^2/((DATOS!$B$14*E5)/(DATOS!$B$14+2*E5))^(4/3))+((DATOS!$B$27*C6/(DATOS!$B$14*((P6+Q6)/2)))^2/((DATOS!$B$14*((P6+Q6)/2))/(DATOS!$B$14+2*((P6+Q6)/2)))^(4/3)))*(A5-A6)))&lt;0,Q6,((P6+Q6)/2))</f>
        <v/>
      </c>
      <c r="T6" s="16">
        <f>IF((((R6+S6)/2)+(C6/(DATOS!$B$14*((R6+S6)/2)))^2/(2*9.81)+B6-(E5+(C5/(DATOS!$B$14*E5))^2/(2*9.81)+B5+0.5*(((DATOS!$B$27*C5/(DATOS!$B$14*E5))^2/((DATOS!$B$14*E5)/(DATOS!$B$14+2*E5))^(4/3))+((DATOS!$B$27*C6/(DATOS!$B$14*((R6+S6)/2)))^2/((DATOS!$B$14*((R6+S6)/2))/(DATOS!$B$14+2*((R6+S6)/2)))^(4/3)))*(A5-A6)))&lt;0,((R6+S6)/2),R6)</f>
        <v/>
      </c>
      <c r="U6" s="16">
        <f>IF((((R6+S6)/2)+(C6/(DATOS!$B$14*((R6+S6)/2)))^2/(2*9.81)+B6-(E5+(C5/(DATOS!$B$14*E5))^2/(2*9.81)+B5+0.5*(((DATOS!$B$27*C5/(DATOS!$B$14*E5))^2/((DATOS!$B$14*E5)/(DATOS!$B$14+2*E5))^(4/3))+((DATOS!$B$27*C6/(DATOS!$B$14*((R6+S6)/2)))^2/((DATOS!$B$14*((R6+S6)/2))/(DATOS!$B$14+2*((R6+S6)/2)))^(4/3)))*(A5-A6)))&lt;0,S6,((R6+S6)/2))</f>
        <v/>
      </c>
      <c r="V6" s="16">
        <f>IF((((T6+U6)/2)+(C6/(DATOS!$B$14*((T6+U6)/2)))^2/(2*9.81)+B6-(E5+(C5/(DATOS!$B$14*E5))^2/(2*9.81)+B5+0.5*(((DATOS!$B$27*C5/(DATOS!$B$14*E5))^2/((DATOS!$B$14*E5)/(DATOS!$B$14+2*E5))^(4/3))+((DATOS!$B$27*C6/(DATOS!$B$14*((T6+U6)/2)))^2/((DATOS!$B$14*((T6+U6)/2))/(DATOS!$B$14+2*((T6+U6)/2)))^(4/3)))*(A5-A6)))&lt;0,((T6+U6)/2),T6)</f>
        <v/>
      </c>
      <c r="W6" s="16">
        <f>IF((((T6+U6)/2)+(C6/(DATOS!$B$14*((T6+U6)/2)))^2/(2*9.81)+B6-(E5+(C5/(DATOS!$B$14*E5))^2/(2*9.81)+B5+0.5*(((DATOS!$B$27*C5/(DATOS!$B$14*E5))^2/((DATOS!$B$14*E5)/(DATOS!$B$14+2*E5))^(4/3))+((DATOS!$B$27*C6/(DATOS!$B$14*((T6+U6)/2)))^2/((DATOS!$B$14*((T6+U6)/2))/(DATOS!$B$14+2*((T6+U6)/2)))^(4/3)))*(A5-A6)))&lt;0,U6,((T6+U6)/2))</f>
        <v/>
      </c>
      <c r="X6" s="16">
        <f>IF((((V6+W6)/2)+(C6/(DATOS!$B$14*((V6+W6)/2)))^2/(2*9.81)+B6-(E5+(C5/(DATOS!$B$14*E5))^2/(2*9.81)+B5+0.5*(((DATOS!$B$27*C5/(DATOS!$B$14*E5))^2/((DATOS!$B$14*E5)/(DATOS!$B$14+2*E5))^(4/3))+((DATOS!$B$27*C6/(DATOS!$B$14*((V6+W6)/2)))^2/((DATOS!$B$14*((V6+W6)/2))/(DATOS!$B$14+2*((V6+W6)/2)))^(4/3)))*(A5-A6)))&lt;0,((V6+W6)/2),V6)</f>
        <v/>
      </c>
      <c r="Y6" s="16">
        <f>IF((((V6+W6)/2)+(C6/(DATOS!$B$14*((V6+W6)/2)))^2/(2*9.81)+B6-(E5+(C5/(DATOS!$B$14*E5))^2/(2*9.81)+B5+0.5*(((DATOS!$B$27*C5/(DATOS!$B$14*E5))^2/((DATOS!$B$14*E5)/(DATOS!$B$14+2*E5))^(4/3))+((DATOS!$B$27*C6/(DATOS!$B$14*((V6+W6)/2)))^2/((DATOS!$B$14*((V6+W6)/2))/(DATOS!$B$14+2*((V6+W6)/2)))^(4/3)))*(A5-A6)))&lt;0,W6,((V6+W6)/2))</f>
        <v/>
      </c>
      <c r="Z6" s="16">
        <f>IF((((X6+Y6)/2)+(C6/(DATOS!$B$14*((X6+Y6)/2)))^2/(2*9.81)+B6-(E5+(C5/(DATOS!$B$14*E5))^2/(2*9.81)+B5+0.5*(((DATOS!$B$27*C5/(DATOS!$B$14*E5))^2/((DATOS!$B$14*E5)/(DATOS!$B$14+2*E5))^(4/3))+((DATOS!$B$27*C6/(DATOS!$B$14*((X6+Y6)/2)))^2/((DATOS!$B$14*((X6+Y6)/2))/(DATOS!$B$14+2*((X6+Y6)/2)))^(4/3)))*(A5-A6)))&lt;0,((X6+Y6)/2),X6)</f>
        <v/>
      </c>
      <c r="AA6" s="16">
        <f>IF((((X6+Y6)/2)+(C6/(DATOS!$B$14*((X6+Y6)/2)))^2/(2*9.81)+B6-(E5+(C5/(DATOS!$B$14*E5))^2/(2*9.81)+B5+0.5*(((DATOS!$B$27*C5/(DATOS!$B$14*E5))^2/((DATOS!$B$14*E5)/(DATOS!$B$14+2*E5))^(4/3))+((DATOS!$B$27*C6/(DATOS!$B$14*((X6+Y6)/2)))^2/((DATOS!$B$14*((X6+Y6)/2))/(DATOS!$B$14+2*((X6+Y6)/2)))^(4/3)))*(A5-A6)))&lt;0,Y6,((X6+Y6)/2))</f>
        <v/>
      </c>
      <c r="AB6" s="16">
        <f>IF((((Z6+AA6)/2)+(C6/(DATOS!$B$14*((Z6+AA6)/2)))^2/(2*9.81)+B6-(E5+(C5/(DATOS!$B$14*E5))^2/(2*9.81)+B5+0.5*(((DATOS!$B$27*C5/(DATOS!$B$14*E5))^2/((DATOS!$B$14*E5)/(DATOS!$B$14+2*E5))^(4/3))+((DATOS!$B$27*C6/(DATOS!$B$14*((Z6+AA6)/2)))^2/((DATOS!$B$14*((Z6+AA6)/2))/(DATOS!$B$14+2*((Z6+AA6)/2)))^(4/3)))*(A5-A6)))&lt;0,((Z6+AA6)/2),Z6)</f>
        <v/>
      </c>
      <c r="AC6" s="16">
        <f>IF((((Z6+AA6)/2)+(C6/(DATOS!$B$14*((Z6+AA6)/2)))^2/(2*9.81)+B6-(E5+(C5/(DATOS!$B$14*E5))^2/(2*9.81)+B5+0.5*(((DATOS!$B$27*C5/(DATOS!$B$14*E5))^2/((DATOS!$B$14*E5)/(DATOS!$B$14+2*E5))^(4/3))+((DATOS!$B$27*C6/(DATOS!$B$14*((Z6+AA6)/2)))^2/((DATOS!$B$14*((Z6+AA6)/2))/(DATOS!$B$14+2*((Z6+AA6)/2)))^(4/3)))*(A5-A6)))&lt;0,AA6,((Z6+AA6)/2))</f>
        <v/>
      </c>
      <c r="AD6" s="16">
        <f>IF((((AB6+AC6)/2)+(C6/(DATOS!$B$14*((AB6+AC6)/2)))^2/(2*9.81)+B6-(E5+(C5/(DATOS!$B$14*E5))^2/(2*9.81)+B5+0.5*(((DATOS!$B$27*C5/(DATOS!$B$14*E5))^2/((DATOS!$B$14*E5)/(DATOS!$B$14+2*E5))^(4/3))+((DATOS!$B$27*C6/(DATOS!$B$14*((AB6+AC6)/2)))^2/((DATOS!$B$14*((AB6+AC6)/2))/(DATOS!$B$14+2*((AB6+AC6)/2)))^(4/3)))*(A5-A6)))&lt;0,((AB6+AC6)/2),AB6)</f>
        <v/>
      </c>
      <c r="AE6" s="16">
        <f>IF((((AB6+AC6)/2)+(C6/(DATOS!$B$14*((AB6+AC6)/2)))^2/(2*9.81)+B6-(E5+(C5/(DATOS!$B$14*E5))^2/(2*9.81)+B5+0.5*(((DATOS!$B$27*C5/(DATOS!$B$14*E5))^2/((DATOS!$B$14*E5)/(DATOS!$B$14+2*E5))^(4/3))+((DATOS!$B$27*C6/(DATOS!$B$14*((AB6+AC6)/2)))^2/((DATOS!$B$14*((AB6+AC6)/2))/(DATOS!$B$14+2*((AB6+AC6)/2)))^(4/3)))*(A5-A6)))&lt;0,AC6,((AB6+AC6)/2))</f>
        <v/>
      </c>
      <c r="AF6" s="16">
        <f>IF((((AD6+AE6)/2)+(C6/(DATOS!$B$14*((AD6+AE6)/2)))^2/(2*9.81)+B6-(E5+(C5/(DATOS!$B$14*E5))^2/(2*9.81)+B5+0.5*(((DATOS!$B$27*C5/(DATOS!$B$14*E5))^2/((DATOS!$B$14*E5)/(DATOS!$B$14+2*E5))^(4/3))+((DATOS!$B$27*C6/(DATOS!$B$14*((AD6+AE6)/2)))^2/((DATOS!$B$14*((AD6+AE6)/2))/(DATOS!$B$14+2*((AD6+AE6)/2)))^(4/3)))*(A5-A6)))&lt;0,((AD6+AE6)/2),AD6)</f>
        <v/>
      </c>
      <c r="AG6" s="16">
        <f>IF((((AD6+AE6)/2)+(C6/(DATOS!$B$14*((AD6+AE6)/2)))^2/(2*9.81)+B6-(E5+(C5/(DATOS!$B$14*E5))^2/(2*9.81)+B5+0.5*(((DATOS!$B$27*C5/(DATOS!$B$14*E5))^2/((DATOS!$B$14*E5)/(DATOS!$B$14+2*E5))^(4/3))+((DATOS!$B$27*C6/(DATOS!$B$14*((AD6+AE6)/2)))^2/((DATOS!$B$14*((AD6+AE6)/2))/(DATOS!$B$14+2*((AD6+AE6)/2)))^(4/3)))*(A5-A6)))&lt;0,AE6,((AD6+AE6)/2))</f>
        <v/>
      </c>
      <c r="AH6" s="16">
        <f>IF((((AF6+AG6)/2)+(C6/(DATOS!$B$14*((AF6+AG6)/2)))^2/(2*9.81)+B6-(E5+(C5/(DATOS!$B$14*E5))^2/(2*9.81)+B5+0.5*(((DATOS!$B$27*C5/(DATOS!$B$14*E5))^2/((DATOS!$B$14*E5)/(DATOS!$B$14+2*E5))^(4/3))+((DATOS!$B$27*C6/(DATOS!$B$14*((AF6+AG6)/2)))^2/((DATOS!$B$14*((AF6+AG6)/2))/(DATOS!$B$14+2*((AF6+AG6)/2)))^(4/3)))*(A5-A6)))&lt;0,((AF6+AG6)/2),AF6)</f>
        <v/>
      </c>
      <c r="AI6" s="16">
        <f>IF((((AF6+AG6)/2)+(C6/(DATOS!$B$14*((AF6+AG6)/2)))^2/(2*9.81)+B6-(E5+(C5/(DATOS!$B$14*E5))^2/(2*9.81)+B5+0.5*(((DATOS!$B$27*C5/(DATOS!$B$14*E5))^2/((DATOS!$B$14*E5)/(DATOS!$B$14+2*E5))^(4/3))+((DATOS!$B$27*C6/(DATOS!$B$14*((AF6+AG6)/2)))^2/((DATOS!$B$14*((AF6+AG6)/2))/(DATOS!$B$14+2*((AF6+AG6)/2)))^(4/3)))*(A5-A6)))&lt;0,AG6,((AF6+AG6)/2))</f>
        <v/>
      </c>
      <c r="AJ6" s="16">
        <f>IF((((AH6+AI6)/2)+(C6/(DATOS!$B$14*((AH6+AI6)/2)))^2/(2*9.81)+B6-(E5+(C5/(DATOS!$B$14*E5))^2/(2*9.81)+B5+0.5*(((DATOS!$B$27*C5/(DATOS!$B$14*E5))^2/((DATOS!$B$14*E5)/(DATOS!$B$14+2*E5))^(4/3))+((DATOS!$B$27*C6/(DATOS!$B$14*((AH6+AI6)/2)))^2/((DATOS!$B$14*((AH6+AI6)/2))/(DATOS!$B$14+2*((AH6+AI6)/2)))^(4/3)))*(A5-A6)))&lt;0,((AH6+AI6)/2),AH6)</f>
        <v/>
      </c>
      <c r="AK6" s="16">
        <f>IF((((AH6+AI6)/2)+(C6/(DATOS!$B$14*((AH6+AI6)/2)))^2/(2*9.81)+B6-(E5+(C5/(DATOS!$B$14*E5))^2/(2*9.81)+B5+0.5*(((DATOS!$B$27*C5/(DATOS!$B$14*E5))^2/((DATOS!$B$14*E5)/(DATOS!$B$14+2*E5))^(4/3))+((DATOS!$B$27*C6/(DATOS!$B$14*((AH6+AI6)/2)))^2/((DATOS!$B$14*((AH6+AI6)/2))/(DATOS!$B$14+2*((AH6+AI6)/2)))^(4/3)))*(A5-A6)))&lt;0,AI6,((AH6+AI6)/2))</f>
        <v/>
      </c>
      <c r="AL6" s="16">
        <f>IF((((AJ6+AK6)/2)+(C6/(DATOS!$B$14*((AJ6+AK6)/2)))^2/(2*9.81)+B6-(E5+(C5/(DATOS!$B$14*E5))^2/(2*9.81)+B5+0.5*(((DATOS!$B$27*C5/(DATOS!$B$14*E5))^2/((DATOS!$B$14*E5)/(DATOS!$B$14+2*E5))^(4/3))+((DATOS!$B$27*C6/(DATOS!$B$14*((AJ6+AK6)/2)))^2/((DATOS!$B$14*((AJ6+AK6)/2))/(DATOS!$B$14+2*((AJ6+AK6)/2)))^(4/3)))*(A5-A6)))&lt;0,((AJ6+AK6)/2),AJ6)</f>
        <v/>
      </c>
      <c r="AM6" s="16">
        <f>IF((((AJ6+AK6)/2)+(C6/(DATOS!$B$14*((AJ6+AK6)/2)))^2/(2*9.81)+B6-(E5+(C5/(DATOS!$B$14*E5))^2/(2*9.81)+B5+0.5*(((DATOS!$B$27*C5/(DATOS!$B$14*E5))^2/((DATOS!$B$14*E5)/(DATOS!$B$14+2*E5))^(4/3))+((DATOS!$B$27*C6/(DATOS!$B$14*((AJ6+AK6)/2)))^2/((DATOS!$B$14*((AJ6+AK6)/2))/(DATOS!$B$14+2*((AJ6+AK6)/2)))^(4/3)))*(A5-A6)))&lt;0,AK6,((AJ6+AK6)/2))</f>
        <v/>
      </c>
      <c r="AN6" s="16">
        <f>IF((((AL6+AM6)/2)+(C6/(DATOS!$B$14*((AL6+AM6)/2)))^2/(2*9.81)+B6-(E5+(C5/(DATOS!$B$14*E5))^2/(2*9.81)+B5+0.5*(((DATOS!$B$27*C5/(DATOS!$B$14*E5))^2/((DATOS!$B$14*E5)/(DATOS!$B$14+2*E5))^(4/3))+((DATOS!$B$27*C6/(DATOS!$B$14*((AL6+AM6)/2)))^2/((DATOS!$B$14*((AL6+AM6)/2))/(DATOS!$B$14+2*((AL6+AM6)/2)))^(4/3)))*(A5-A6)))&lt;0,((AL6+AM6)/2),AL6)</f>
        <v/>
      </c>
      <c r="AO6" s="16">
        <f>IF((((AL6+AM6)/2)+(C6/(DATOS!$B$14*((AL6+AM6)/2)))^2/(2*9.81)+B6-(E5+(C5/(DATOS!$B$14*E5))^2/(2*9.81)+B5+0.5*(((DATOS!$B$27*C5/(DATOS!$B$14*E5))^2/((DATOS!$B$14*E5)/(DATOS!$B$14+2*E5))^(4/3))+((DATOS!$B$27*C6/(DATOS!$B$14*((AL6+AM6)/2)))^2/((DATOS!$B$14*((AL6+AM6)/2))/(DATOS!$B$14+2*((AL6+AM6)/2)))^(4/3)))*(A5-A6)))&lt;0,AM6,((AL6+AM6)/2))</f>
        <v/>
      </c>
      <c r="AP6" s="16">
        <f>IF((((AN6+AO6)/2)+(C6/(DATOS!$B$14*((AN6+AO6)/2)))^2/(2*9.81)+B6-(E5+(C5/(DATOS!$B$14*E5))^2/(2*9.81)+B5+0.5*(((DATOS!$B$27*C5/(DATOS!$B$14*E5))^2/((DATOS!$B$14*E5)/(DATOS!$B$14+2*E5))^(4/3))+((DATOS!$B$27*C6/(DATOS!$B$14*((AN6+AO6)/2)))^2/((DATOS!$B$14*((AN6+AO6)/2))/(DATOS!$B$14+2*((AN6+AO6)/2)))^(4/3)))*(A5-A6)))&lt;0,((AN6+AO6)/2),AN6)</f>
        <v/>
      </c>
      <c r="AQ6" s="16">
        <f>IF((((AN6+AO6)/2)+(C6/(DATOS!$B$14*((AN6+AO6)/2)))^2/(2*9.81)+B6-(E5+(C5/(DATOS!$B$14*E5))^2/(2*9.81)+B5+0.5*(((DATOS!$B$27*C5/(DATOS!$B$14*E5))^2/((DATOS!$B$14*E5)/(DATOS!$B$14+2*E5))^(4/3))+((DATOS!$B$27*C6/(DATOS!$B$14*((AN6+AO6)/2)))^2/((DATOS!$B$14*((AN6+AO6)/2))/(DATOS!$B$14+2*((AN6+AO6)/2)))^(4/3)))*(A5-A6)))&lt;0,AO6,((AN6+AO6)/2))</f>
        <v/>
      </c>
      <c r="AR6" s="16">
        <f>IF((((AP6+AQ6)/2)+(C6/(DATOS!$B$14*((AP6+AQ6)/2)))^2/(2*9.81)+B6-(E5+(C5/(DATOS!$B$14*E5))^2/(2*9.81)+B5+0.5*(((DATOS!$B$27*C5/(DATOS!$B$14*E5))^2/((DATOS!$B$14*E5)/(DATOS!$B$14+2*E5))^(4/3))+((DATOS!$B$27*C6/(DATOS!$B$14*((AP6+AQ6)/2)))^2/((DATOS!$B$14*((AP6+AQ6)/2))/(DATOS!$B$14+2*((AP6+AQ6)/2)))^(4/3)))*(A5-A6)))&lt;0,((AP6+AQ6)/2),AP6)</f>
        <v/>
      </c>
      <c r="AS6" s="16">
        <f>IF((((AP6+AQ6)/2)+(C6/(DATOS!$B$14*((AP6+AQ6)/2)))^2/(2*9.81)+B6-(E5+(C5/(DATOS!$B$14*E5))^2/(2*9.81)+B5+0.5*(((DATOS!$B$27*C5/(DATOS!$B$14*E5))^2/((DATOS!$B$14*E5)/(DATOS!$B$14+2*E5))^(4/3))+((DATOS!$B$27*C6/(DATOS!$B$14*((AP6+AQ6)/2)))^2/((DATOS!$B$14*((AP6+AQ6)/2))/(DATOS!$B$14+2*((AP6+AQ6)/2)))^(4/3)))*(A5-A6)))&lt;0,AQ6,((AP6+AQ6)/2))</f>
        <v/>
      </c>
      <c r="AT6" s="16">
        <f>IF((((AR6+AS6)/2)+(C6/(DATOS!$B$14*((AR6+AS6)/2)))^2/(2*9.81)+B6-(E5+(C5/(DATOS!$B$14*E5))^2/(2*9.81)+B5+0.5*(((DATOS!$B$27*C5/(DATOS!$B$14*E5))^2/((DATOS!$B$14*E5)/(DATOS!$B$14+2*E5))^(4/3))+((DATOS!$B$27*C6/(DATOS!$B$14*((AR6+AS6)/2)))^2/((DATOS!$B$14*((AR6+AS6)/2))/(DATOS!$B$14+2*((AR6+AS6)/2)))^(4/3)))*(A5-A6)))&lt;0,((AR6+AS6)/2),AR6)</f>
        <v/>
      </c>
      <c r="AU6" s="16">
        <f>IF((((AR6+AS6)/2)+(C6/(DATOS!$B$14*((AR6+AS6)/2)))^2/(2*9.81)+B6-(E5+(C5/(DATOS!$B$14*E5))^2/(2*9.81)+B5+0.5*(((DATOS!$B$27*C5/(DATOS!$B$14*E5))^2/((DATOS!$B$14*E5)/(DATOS!$B$14+2*E5))^(4/3))+((DATOS!$B$27*C6/(DATOS!$B$14*((AR6+AS6)/2)))^2/((DATOS!$B$14*((AR6+AS6)/2))/(DATOS!$B$14+2*((AR6+AS6)/2)))^(4/3)))*(A5-A6)))&lt;0,AS6,((AR6+AS6)/2))</f>
        <v/>
      </c>
      <c r="AV6" s="16">
        <f>IF((((AT6+AU6)/2)+(C6/(DATOS!$B$14*((AT6+AU6)/2)))^2/(2*9.81)+B6-(E5+(C5/(DATOS!$B$14*E5))^2/(2*9.81)+B5+0.5*(((DATOS!$B$27*C5/(DATOS!$B$14*E5))^2/((DATOS!$B$14*E5)/(DATOS!$B$14+2*E5))^(4/3))+((DATOS!$B$27*C6/(DATOS!$B$14*((AT6+AU6)/2)))^2/((DATOS!$B$14*((AT6+AU6)/2))/(DATOS!$B$14+2*((AT6+AU6)/2)))^(4/3)))*(A5-A6)))&lt;0,((AT6+AU6)/2),AT6)</f>
        <v/>
      </c>
      <c r="AW6" s="16">
        <f>IF((((AT6+AU6)/2)+(C6/(DATOS!$B$14*((AT6+AU6)/2)))^2/(2*9.81)+B6-(E5+(C5/(DATOS!$B$14*E5))^2/(2*9.81)+B5+0.5*(((DATOS!$B$27*C5/(DATOS!$B$14*E5))^2/((DATOS!$B$14*E5)/(DATOS!$B$14+2*E5))^(4/3))+((DATOS!$B$27*C6/(DATOS!$B$14*((AT6+AU6)/2)))^2/((DATOS!$B$14*((AT6+AU6)/2))/(DATOS!$B$14+2*((AT6+AU6)/2)))^(4/3)))*(A5-A6)))&lt;0,AU6,((AT6+AU6)/2))</f>
        <v/>
      </c>
      <c r="AX6" s="16">
        <f>IF((((AV6+AW6)/2)+(C6/(DATOS!$B$14*((AV6+AW6)/2)))^2/(2*9.81)+B6-(E5+(C5/(DATOS!$B$14*E5))^2/(2*9.81)+B5+0.5*(((DATOS!$B$27*C5/(DATOS!$B$14*E5))^2/((DATOS!$B$14*E5)/(DATOS!$B$14+2*E5))^(4/3))+((DATOS!$B$27*C6/(DATOS!$B$14*((AV6+AW6)/2)))^2/((DATOS!$B$14*((AV6+AW6)/2))/(DATOS!$B$14+2*((AV6+AW6)/2)))^(4/3)))*(A5-A6)))&lt;0,((AV6+AW6)/2),AV6)</f>
        <v/>
      </c>
      <c r="AY6" s="16">
        <f>IF((((AV6+AW6)/2)+(C6/(DATOS!$B$14*((AV6+AW6)/2)))^2/(2*9.81)+B6-(E5+(C5/(DATOS!$B$14*E5))^2/(2*9.81)+B5+0.5*(((DATOS!$B$27*C5/(DATOS!$B$14*E5))^2/((DATOS!$B$14*E5)/(DATOS!$B$14+2*E5))^(4/3))+((DATOS!$B$27*C6/(DATOS!$B$14*((AV6+AW6)/2)))^2/((DATOS!$B$14*((AV6+AW6)/2))/(DATOS!$B$14+2*((AV6+AW6)/2)))^(4/3)))*(A5-A6)))&lt;0,AW6,((AV6+AW6)/2))</f>
        <v/>
      </c>
      <c r="AZ6" s="16">
        <f>IF((((AX6+AY6)/2)+(C6/(DATOS!$B$14*((AX6+AY6)/2)))^2/(2*9.81)+B6-(E5+(C5/(DATOS!$B$14*E5))^2/(2*9.81)+B5+0.5*(((DATOS!$B$27*C5/(DATOS!$B$14*E5))^2/((DATOS!$B$14*E5)/(DATOS!$B$14+2*E5))^(4/3))+((DATOS!$B$27*C6/(DATOS!$B$14*((AX6+AY6)/2)))^2/((DATOS!$B$14*((AX6+AY6)/2))/(DATOS!$B$14+2*((AX6+AY6)/2)))^(4/3)))*(A5-A6)))&lt;0,((AX6+AY6)/2),AX6)</f>
        <v/>
      </c>
      <c r="BA6" s="16">
        <f>IF((((AX6+AY6)/2)+(C6/(DATOS!$B$14*((AX6+AY6)/2)))^2/(2*9.81)+B6-(E5+(C5/(DATOS!$B$14*E5))^2/(2*9.81)+B5+0.5*(((DATOS!$B$27*C5/(DATOS!$B$14*E5))^2/((DATOS!$B$14*E5)/(DATOS!$B$14+2*E5))^(4/3))+((DATOS!$B$27*C6/(DATOS!$B$14*((AX6+AY6)/2)))^2/((DATOS!$B$14*((AX6+AY6)/2))/(DATOS!$B$14+2*((AX6+AY6)/2)))^(4/3)))*(A5-A6)))&lt;0,AY6,((AX6+AY6)/2))</f>
        <v/>
      </c>
      <c r="BB6" s="16">
        <f>IF((((AZ6+BA6)/2)+(C6/(DATOS!$B$14*((AZ6+BA6)/2)))^2/(2*9.81)+B6-(E5+(C5/(DATOS!$B$14*E5))^2/(2*9.81)+B5+0.5*(((DATOS!$B$27*C5/(DATOS!$B$14*E5))^2/((DATOS!$B$14*E5)/(DATOS!$B$14+2*E5))^(4/3))+((DATOS!$B$27*C6/(DATOS!$B$14*((AZ6+BA6)/2)))^2/((DATOS!$B$14*((AZ6+BA6)/2))/(DATOS!$B$14+2*((AZ6+BA6)/2)))^(4/3)))*(A5-A6)))&lt;0,((AZ6+BA6)/2),AZ6)</f>
        <v/>
      </c>
      <c r="BC6" s="16">
        <f>IF((((AZ6+BA6)/2)+(C6/(DATOS!$B$14*((AZ6+BA6)/2)))^2/(2*9.81)+B6-(E5+(C5/(DATOS!$B$14*E5))^2/(2*9.81)+B5+0.5*(((DATOS!$B$27*C5/(DATOS!$B$14*E5))^2/((DATOS!$B$14*E5)/(DATOS!$B$14+2*E5))^(4/3))+((DATOS!$B$27*C6/(DATOS!$B$14*((AZ6+BA6)/2)))^2/((DATOS!$B$14*((AZ6+BA6)/2))/(DATOS!$B$14+2*((AZ6+BA6)/2)))^(4/3)))*(A5-A6)))&lt;0,BA6,((AZ6+BA6)/2))</f>
        <v/>
      </c>
      <c r="BD6" s="16">
        <f>IF((((BB6+BC6)/2)+(C6/(DATOS!$B$14*((BB6+BC6)/2)))^2/(2*9.81)+B6-(E5+(C5/(DATOS!$B$14*E5))^2/(2*9.81)+B5+0.5*(((DATOS!$B$27*C5/(DATOS!$B$14*E5))^2/((DATOS!$B$14*E5)/(DATOS!$B$14+2*E5))^(4/3))+((DATOS!$B$27*C6/(DATOS!$B$14*((BB6+BC6)/2)))^2/((DATOS!$B$14*((BB6+BC6)/2))/(DATOS!$B$14+2*((BB6+BC6)/2)))^(4/3)))*(A5-A6)))&lt;0,((BB6+BC6)/2),BB6)</f>
        <v/>
      </c>
      <c r="BE6" s="16">
        <f>IF((((BB6+BC6)/2)+(C6/(DATOS!$B$14*((BB6+BC6)/2)))^2/(2*9.81)+B6-(E5+(C5/(DATOS!$B$14*E5))^2/(2*9.81)+B5+0.5*(((DATOS!$B$27*C5/(DATOS!$B$14*E5))^2/((DATOS!$B$14*E5)/(DATOS!$B$14+2*E5))^(4/3))+((DATOS!$B$27*C6/(DATOS!$B$14*((BB6+BC6)/2)))^2/((DATOS!$B$14*((BB6+BC6)/2))/(DATOS!$B$14+2*((BB6+BC6)/2)))^(4/3)))*(A5-A6)))&lt;0,BC6,((BB6+BC6)/2))</f>
        <v/>
      </c>
      <c r="BF6" s="16">
        <f>IF((((BD6+BE6)/2)+(C6/(DATOS!$B$14*((BD6+BE6)/2)))^2/(2*9.81)+B6-(E5+(C5/(DATOS!$B$14*E5))^2/(2*9.81)+B5+0.5*(((DATOS!$B$27*C5/(DATOS!$B$14*E5))^2/((DATOS!$B$14*E5)/(DATOS!$B$14+2*E5))^(4/3))+((DATOS!$B$27*C6/(DATOS!$B$14*((BD6+BE6)/2)))^2/((DATOS!$B$14*((BD6+BE6)/2))/(DATOS!$B$14+2*((BD6+BE6)/2)))^(4/3)))*(A5-A6)))&lt;0,((BD6+BE6)/2),BD6)</f>
        <v/>
      </c>
      <c r="BG6" s="16">
        <f>IF((((BD6+BE6)/2)+(C6/(DATOS!$B$14*((BD6+BE6)/2)))^2/(2*9.81)+B6-(E5+(C5/(DATOS!$B$14*E5))^2/(2*9.81)+B5+0.5*(((DATOS!$B$27*C5/(DATOS!$B$14*E5))^2/((DATOS!$B$14*E5)/(DATOS!$B$14+2*E5))^(4/3))+((DATOS!$B$27*C6/(DATOS!$B$14*((BD6+BE6)/2)))^2/((DATOS!$B$14*((BD6+BE6)/2))/(DATOS!$B$14+2*((BD6+BE6)/2)))^(4/3)))*(A5-A6)))&lt;0,BE6,((BD6+BE6)/2))</f>
        <v/>
      </c>
      <c r="BH6" s="16">
        <f>IF((((BF6+BG6)/2)+(C6/(DATOS!$B$14*((BF6+BG6)/2)))^2/(2*9.81)+B6-(E5+(C5/(DATOS!$B$14*E5))^2/(2*9.81)+B5+0.5*(((DATOS!$B$27*C5/(DATOS!$B$14*E5))^2/((DATOS!$B$14*E5)/(DATOS!$B$14+2*E5))^(4/3))+((DATOS!$B$27*C6/(DATOS!$B$14*((BF6+BG6)/2)))^2/((DATOS!$B$14*((BF6+BG6)/2))/(DATOS!$B$14+2*((BF6+BG6)/2)))^(4/3)))*(A5-A6)))&lt;0,((BF6+BG6)/2),BF6)</f>
        <v/>
      </c>
      <c r="BI6" s="16">
        <f>IF((((BF6+BG6)/2)+(C6/(DATOS!$B$14*((BF6+BG6)/2)))^2/(2*9.81)+B6-(E5+(C5/(DATOS!$B$14*E5))^2/(2*9.81)+B5+0.5*(((DATOS!$B$27*C5/(DATOS!$B$14*E5))^2/((DATOS!$B$14*E5)/(DATOS!$B$14+2*E5))^(4/3))+((DATOS!$B$27*C6/(DATOS!$B$14*((BF6+BG6)/2)))^2/((DATOS!$B$14*((BF6+BG6)/2))/(DATOS!$B$14+2*((BF6+BG6)/2)))^(4/3)))*(A5-A6)))&lt;0,BG6,((BF6+BG6)/2))</f>
        <v/>
      </c>
      <c r="BJ6" s="16">
        <f>IF((((BH6+BI6)/2)+(C6/(DATOS!$B$14*((BH6+BI6)/2)))^2/(2*9.81)+B6-(E5+(C5/(DATOS!$B$14*E5))^2/(2*9.81)+B5+0.5*(((DATOS!$B$27*C5/(DATOS!$B$14*E5))^2/((DATOS!$B$14*E5)/(DATOS!$B$14+2*E5))^(4/3))+((DATOS!$B$27*C6/(DATOS!$B$14*((BH6+BI6)/2)))^2/((DATOS!$B$14*((BH6+BI6)/2))/(DATOS!$B$14+2*((BH6+BI6)/2)))^(4/3)))*(A5-A6)))&lt;0,((BH6+BI6)/2),BH6)</f>
        <v/>
      </c>
      <c r="BK6" s="16">
        <f>IF((((BH6+BI6)/2)+(C6/(DATOS!$B$14*((BH6+BI6)/2)))^2/(2*9.81)+B6-(E5+(C5/(DATOS!$B$14*E5))^2/(2*9.81)+B5+0.5*(((DATOS!$B$27*C5/(DATOS!$B$14*E5))^2/((DATOS!$B$14*E5)/(DATOS!$B$14+2*E5))^(4/3))+((DATOS!$B$27*C6/(DATOS!$B$14*((BH6+BI6)/2)))^2/((DATOS!$B$14*((BH6+BI6)/2))/(DATOS!$B$14+2*((BH6+BI6)/2)))^(4/3)))*(A5-A6)))&lt;0,BI6,((BH6+BI6)/2))</f>
        <v/>
      </c>
      <c r="BL6" s="16">
        <f>IF((((BJ6+BK6)/2)+(C6/(DATOS!$B$14*((BJ6+BK6)/2)))^2/(2*9.81)+B6-(E5+(C5/(DATOS!$B$14*E5))^2/(2*9.81)+B5+0.5*(((DATOS!$B$27*C5/(DATOS!$B$14*E5))^2/((DATOS!$B$14*E5)/(DATOS!$B$14+2*E5))^(4/3))+((DATOS!$B$27*C6/(DATOS!$B$14*((BJ6+BK6)/2)))^2/((DATOS!$B$14*((BJ6+BK6)/2))/(DATOS!$B$14+2*((BJ6+BK6)/2)))^(4/3)))*(A5-A6)))&lt;0,((BJ6+BK6)/2),BJ6)</f>
        <v/>
      </c>
      <c r="BM6" s="16">
        <f>IF((((BJ6+BK6)/2)+(C6/(DATOS!$B$14*((BJ6+BK6)/2)))^2/(2*9.81)+B6-(E5+(C5/(DATOS!$B$14*E5))^2/(2*9.81)+B5+0.5*(((DATOS!$B$27*C5/(DATOS!$B$14*E5))^2/((DATOS!$B$14*E5)/(DATOS!$B$14+2*E5))^(4/3))+((DATOS!$B$27*C6/(DATOS!$B$14*((BJ6+BK6)/2)))^2/((DATOS!$B$14*((BJ6+BK6)/2))/(DATOS!$B$14+2*((BJ6+BK6)/2)))^(4/3)))*(A5-A6)))&lt;0,BK6,((BJ6+BK6)/2))</f>
        <v/>
      </c>
      <c r="BN6" s="16">
        <f>IF((((BL6+BM6)/2)+(C6/(DATOS!$B$14*((BL6+BM6)/2)))^2/(2*9.81)+B6-(E5+(C5/(DATOS!$B$14*E5))^2/(2*9.81)+B5+0.5*(((DATOS!$B$27*C5/(DATOS!$B$14*E5))^2/((DATOS!$B$14*E5)/(DATOS!$B$14+2*E5))^(4/3))+((DATOS!$B$27*C6/(DATOS!$B$14*((BL6+BM6)/2)))^2/((DATOS!$B$14*((BL6+BM6)/2))/(DATOS!$B$14+2*((BL6+BM6)/2)))^(4/3)))*(A5-A6)))&lt;0,((BL6+BM6)/2),BL6)</f>
        <v/>
      </c>
      <c r="BO6" s="16">
        <f>IF((((BL6+BM6)/2)+(C6/(DATOS!$B$14*((BL6+BM6)/2)))^2/(2*9.81)+B6-(E5+(C5/(DATOS!$B$14*E5))^2/(2*9.81)+B5+0.5*(((DATOS!$B$27*C5/(DATOS!$B$14*E5))^2/((DATOS!$B$14*E5)/(DATOS!$B$14+2*E5))^(4/3))+((DATOS!$B$27*C6/(DATOS!$B$14*((BL6+BM6)/2)))^2/((DATOS!$B$14*((BL6+BM6)/2))/(DATOS!$B$14+2*((BL6+BM6)/2)))^(4/3)))*(A5-A6)))&lt;0,BM6,((BL6+BM6)/2))</f>
        <v/>
      </c>
      <c r="BP6" s="16">
        <f>IF((((BN6+BO6)/2)+(C6/(DATOS!$B$14*((BN6+BO6)/2)))^2/(2*9.81)+B6-(E5+(C5/(DATOS!$B$14*E5))^2/(2*9.81)+B5+0.5*(((DATOS!$B$27*C5/(DATOS!$B$14*E5))^2/((DATOS!$B$14*E5)/(DATOS!$B$14+2*E5))^(4/3))+((DATOS!$B$27*C6/(DATOS!$B$14*((BN6+BO6)/2)))^2/((DATOS!$B$14*((BN6+BO6)/2))/(DATOS!$B$14+2*((BN6+BO6)/2)))^(4/3)))*(A5-A6)))&lt;0,((BN6+BO6)/2),BN6)</f>
        <v/>
      </c>
      <c r="BQ6" s="16">
        <f>IF((((BN6+BO6)/2)+(C6/(DATOS!$B$14*((BN6+BO6)/2)))^2/(2*9.81)+B6-(E5+(C5/(DATOS!$B$14*E5))^2/(2*9.81)+B5+0.5*(((DATOS!$B$27*C5/(DATOS!$B$14*E5))^2/((DATOS!$B$14*E5)/(DATOS!$B$14+2*E5))^(4/3))+((DATOS!$B$27*C6/(DATOS!$B$14*((BN6+BO6)/2)))^2/((DATOS!$B$14*((BN6+BO6)/2))/(DATOS!$B$14+2*((BN6+BO6)/2)))^(4/3)))*(A5-A6)))&lt;0,BO6,((BN6+BO6)/2))</f>
        <v/>
      </c>
      <c r="BR6" s="16">
        <f>IF((((BP6+BQ6)/2)+(C6/(DATOS!$B$14*((BP6+BQ6)/2)))^2/(2*9.81)+B6-(E5+(C5/(DATOS!$B$14*E5))^2/(2*9.81)+B5+0.5*(((DATOS!$B$27*C5/(DATOS!$B$14*E5))^2/((DATOS!$B$14*E5)/(DATOS!$B$14+2*E5))^(4/3))+((DATOS!$B$27*C6/(DATOS!$B$14*((BP6+BQ6)/2)))^2/((DATOS!$B$14*((BP6+BQ6)/2))/(DATOS!$B$14+2*((BP6+BQ6)/2)))^(4/3)))*(A5-A6)))&lt;0,((BP6+BQ6)/2),BP6)</f>
        <v/>
      </c>
      <c r="BS6" s="16">
        <f>IF((((BP6+BQ6)/2)+(C6/(DATOS!$B$14*((BP6+BQ6)/2)))^2/(2*9.81)+B6-(E5+(C5/(DATOS!$B$14*E5))^2/(2*9.81)+B5+0.5*(((DATOS!$B$27*C5/(DATOS!$B$14*E5))^2/((DATOS!$B$14*E5)/(DATOS!$B$14+2*E5))^(4/3))+((DATOS!$B$27*C6/(DATOS!$B$14*((BP6+BQ6)/2)))^2/((DATOS!$B$14*((BP6+BQ6)/2))/(DATOS!$B$14+2*((BP6+BQ6)/2)))^(4/3)))*(A5-A6)))&lt;0,BQ6,((BP6+BQ6)/2))</f>
        <v/>
      </c>
      <c r="BT6" s="16">
        <f>IF((((BR6+BS6)/2)+(C6/(DATOS!$B$14*((BR6+BS6)/2)))^2/(2*9.81)+B6-(E5+(C5/(DATOS!$B$14*E5))^2/(2*9.81)+B5+0.5*(((DATOS!$B$27*C5/(DATOS!$B$14*E5))^2/((DATOS!$B$14*E5)/(DATOS!$B$14+2*E5))^(4/3))+((DATOS!$B$27*C6/(DATOS!$B$14*((BR6+BS6)/2)))^2/((DATOS!$B$14*((BR6+BS6)/2))/(DATOS!$B$14+2*((BR6+BS6)/2)))^(4/3)))*(A5-A6)))&lt;0,((BR6+BS6)/2),BR6)</f>
        <v/>
      </c>
      <c r="BU6" s="16">
        <f>IF((((BR6+BS6)/2)+(C6/(DATOS!$B$14*((BR6+BS6)/2)))^2/(2*9.81)+B6-(E5+(C5/(DATOS!$B$14*E5))^2/(2*9.81)+B5+0.5*(((DATOS!$B$27*C5/(DATOS!$B$14*E5))^2/((DATOS!$B$14*E5)/(DATOS!$B$14+2*E5))^(4/3))+((DATOS!$B$27*C6/(DATOS!$B$14*((BR6+BS6)/2)))^2/((DATOS!$B$14*((BR6+BS6)/2))/(DATOS!$B$14+2*((BR6+BS6)/2)))^(4/3)))*(A5-A6)))&lt;0,BS6,((BR6+BS6)/2))</f>
        <v/>
      </c>
    </row>
    <row r="7">
      <c r="A7" s="30" t="n">
        <v>136</v>
      </c>
      <c r="B7" s="21">
        <f>DATOS!$B$16-DATOS!$B$19*A7</f>
        <v/>
      </c>
      <c r="C7" s="21">
        <f>IF(A7&lt;CAUDALES!$B$13,CAUDALES!$D$12,IF(A7&lt;CAUDALES!$B$14,CAUDALES!$D$13,IF(A7&lt;CAUDALES!$B$15,CAUDALES!$D$14,CAUDALES!$D$15)))/1000</f>
        <v/>
      </c>
      <c r="D7" s="21">
        <f>(C7^2/(9.81*DATOS!$B$14^2))^(1/3)</f>
        <v/>
      </c>
      <c r="E7" s="29">
        <f>(BT7+BU7)/2</f>
        <v/>
      </c>
      <c r="F7" s="21">
        <f>B7+E7</f>
        <v/>
      </c>
      <c r="G7" s="17">
        <f>C7/(DATOS!$B$14*E7)</f>
        <v/>
      </c>
      <c r="H7" s="17">
        <f>G7/SQRT(9.81*E7)</f>
        <v/>
      </c>
      <c r="I7" s="21">
        <f>IF(A7&lt;=DATOS!$B$20,DATOS!$B$21-IF(AND(A7&gt;=DATOS!$B$23,A7&lt;DATOS!$B$24),DATOS!$B$25,DATOS!$B$22),B7+DATOS!$B$26)</f>
        <v/>
      </c>
      <c r="J7" s="17">
        <f>I7-B7</f>
        <v/>
      </c>
      <c r="K7" s="31">
        <f>E7/J7</f>
        <v/>
      </c>
      <c r="L7" s="21">
        <f>I7-F7</f>
        <v/>
      </c>
      <c r="M7" s="32">
        <f>IF(AND(K7&lt;=DATOS!$B$29,L7&gt;=DATOS!$B$30),"CUMPLE","NO CUMPLE")</f>
        <v/>
      </c>
      <c r="N7" s="13">
        <f>IF(A7&gt;DATOS!$B$20,"cubierto - tramo final",IF(AND(A7&gt;=DATOS!$B$23,A7&lt;DATOS!$B$24),"cubierto - camiones","cubierto"))</f>
        <v/>
      </c>
      <c r="P7" s="16">
        <f>D7*1.001</f>
        <v/>
      </c>
      <c r="Q7" s="16" t="n">
        <v>2</v>
      </c>
      <c r="R7" s="16">
        <f>IF((((P7+Q7)/2)+(C7/(DATOS!$B$14*((P7+Q7)/2)))^2/(2*9.81)+B7-(E6+(C6/(DATOS!$B$14*E6))^2/(2*9.81)+B6+0.5*(((DATOS!$B$27*C6/(DATOS!$B$14*E6))^2/((DATOS!$B$14*E6)/(DATOS!$B$14+2*E6))^(4/3))+((DATOS!$B$27*C7/(DATOS!$B$14*((P7+Q7)/2)))^2/((DATOS!$B$14*((P7+Q7)/2))/(DATOS!$B$14+2*((P7+Q7)/2)))^(4/3)))*(A6-A7)))&lt;0,((P7+Q7)/2),P7)</f>
        <v/>
      </c>
      <c r="S7" s="16">
        <f>IF((((P7+Q7)/2)+(C7/(DATOS!$B$14*((P7+Q7)/2)))^2/(2*9.81)+B7-(E6+(C6/(DATOS!$B$14*E6))^2/(2*9.81)+B6+0.5*(((DATOS!$B$27*C6/(DATOS!$B$14*E6))^2/((DATOS!$B$14*E6)/(DATOS!$B$14+2*E6))^(4/3))+((DATOS!$B$27*C7/(DATOS!$B$14*((P7+Q7)/2)))^2/((DATOS!$B$14*((P7+Q7)/2))/(DATOS!$B$14+2*((P7+Q7)/2)))^(4/3)))*(A6-A7)))&lt;0,Q7,((P7+Q7)/2))</f>
        <v/>
      </c>
      <c r="T7" s="16">
        <f>IF((((R7+S7)/2)+(C7/(DATOS!$B$14*((R7+S7)/2)))^2/(2*9.81)+B7-(E6+(C6/(DATOS!$B$14*E6))^2/(2*9.81)+B6+0.5*(((DATOS!$B$27*C6/(DATOS!$B$14*E6))^2/((DATOS!$B$14*E6)/(DATOS!$B$14+2*E6))^(4/3))+((DATOS!$B$27*C7/(DATOS!$B$14*((R7+S7)/2)))^2/((DATOS!$B$14*((R7+S7)/2))/(DATOS!$B$14+2*((R7+S7)/2)))^(4/3)))*(A6-A7)))&lt;0,((R7+S7)/2),R7)</f>
        <v/>
      </c>
      <c r="U7" s="16">
        <f>IF((((R7+S7)/2)+(C7/(DATOS!$B$14*((R7+S7)/2)))^2/(2*9.81)+B7-(E6+(C6/(DATOS!$B$14*E6))^2/(2*9.81)+B6+0.5*(((DATOS!$B$27*C6/(DATOS!$B$14*E6))^2/((DATOS!$B$14*E6)/(DATOS!$B$14+2*E6))^(4/3))+((DATOS!$B$27*C7/(DATOS!$B$14*((R7+S7)/2)))^2/((DATOS!$B$14*((R7+S7)/2))/(DATOS!$B$14+2*((R7+S7)/2)))^(4/3)))*(A6-A7)))&lt;0,S7,((R7+S7)/2))</f>
        <v/>
      </c>
      <c r="V7" s="16">
        <f>IF((((T7+U7)/2)+(C7/(DATOS!$B$14*((T7+U7)/2)))^2/(2*9.81)+B7-(E6+(C6/(DATOS!$B$14*E6))^2/(2*9.81)+B6+0.5*(((DATOS!$B$27*C6/(DATOS!$B$14*E6))^2/((DATOS!$B$14*E6)/(DATOS!$B$14+2*E6))^(4/3))+((DATOS!$B$27*C7/(DATOS!$B$14*((T7+U7)/2)))^2/((DATOS!$B$14*((T7+U7)/2))/(DATOS!$B$14+2*((T7+U7)/2)))^(4/3)))*(A6-A7)))&lt;0,((T7+U7)/2),T7)</f>
        <v/>
      </c>
      <c r="W7" s="16">
        <f>IF((((T7+U7)/2)+(C7/(DATOS!$B$14*((T7+U7)/2)))^2/(2*9.81)+B7-(E6+(C6/(DATOS!$B$14*E6))^2/(2*9.81)+B6+0.5*(((DATOS!$B$27*C6/(DATOS!$B$14*E6))^2/((DATOS!$B$14*E6)/(DATOS!$B$14+2*E6))^(4/3))+((DATOS!$B$27*C7/(DATOS!$B$14*((T7+U7)/2)))^2/((DATOS!$B$14*((T7+U7)/2))/(DATOS!$B$14+2*((T7+U7)/2)))^(4/3)))*(A6-A7)))&lt;0,U7,((T7+U7)/2))</f>
        <v/>
      </c>
      <c r="X7" s="16">
        <f>IF((((V7+W7)/2)+(C7/(DATOS!$B$14*((V7+W7)/2)))^2/(2*9.81)+B7-(E6+(C6/(DATOS!$B$14*E6))^2/(2*9.81)+B6+0.5*(((DATOS!$B$27*C6/(DATOS!$B$14*E6))^2/((DATOS!$B$14*E6)/(DATOS!$B$14+2*E6))^(4/3))+((DATOS!$B$27*C7/(DATOS!$B$14*((V7+W7)/2)))^2/((DATOS!$B$14*((V7+W7)/2))/(DATOS!$B$14+2*((V7+W7)/2)))^(4/3)))*(A6-A7)))&lt;0,((V7+W7)/2),V7)</f>
        <v/>
      </c>
      <c r="Y7" s="16">
        <f>IF((((V7+W7)/2)+(C7/(DATOS!$B$14*((V7+W7)/2)))^2/(2*9.81)+B7-(E6+(C6/(DATOS!$B$14*E6))^2/(2*9.81)+B6+0.5*(((DATOS!$B$27*C6/(DATOS!$B$14*E6))^2/((DATOS!$B$14*E6)/(DATOS!$B$14+2*E6))^(4/3))+((DATOS!$B$27*C7/(DATOS!$B$14*((V7+W7)/2)))^2/((DATOS!$B$14*((V7+W7)/2))/(DATOS!$B$14+2*((V7+W7)/2)))^(4/3)))*(A6-A7)))&lt;0,W7,((V7+W7)/2))</f>
        <v/>
      </c>
      <c r="Z7" s="16">
        <f>IF((((X7+Y7)/2)+(C7/(DATOS!$B$14*((X7+Y7)/2)))^2/(2*9.81)+B7-(E6+(C6/(DATOS!$B$14*E6))^2/(2*9.81)+B6+0.5*(((DATOS!$B$27*C6/(DATOS!$B$14*E6))^2/((DATOS!$B$14*E6)/(DATOS!$B$14+2*E6))^(4/3))+((DATOS!$B$27*C7/(DATOS!$B$14*((X7+Y7)/2)))^2/((DATOS!$B$14*((X7+Y7)/2))/(DATOS!$B$14+2*((X7+Y7)/2)))^(4/3)))*(A6-A7)))&lt;0,((X7+Y7)/2),X7)</f>
        <v/>
      </c>
      <c r="AA7" s="16">
        <f>IF((((X7+Y7)/2)+(C7/(DATOS!$B$14*((X7+Y7)/2)))^2/(2*9.81)+B7-(E6+(C6/(DATOS!$B$14*E6))^2/(2*9.81)+B6+0.5*(((DATOS!$B$27*C6/(DATOS!$B$14*E6))^2/((DATOS!$B$14*E6)/(DATOS!$B$14+2*E6))^(4/3))+((DATOS!$B$27*C7/(DATOS!$B$14*((X7+Y7)/2)))^2/((DATOS!$B$14*((X7+Y7)/2))/(DATOS!$B$14+2*((X7+Y7)/2)))^(4/3)))*(A6-A7)))&lt;0,Y7,((X7+Y7)/2))</f>
        <v/>
      </c>
      <c r="AB7" s="16">
        <f>IF((((Z7+AA7)/2)+(C7/(DATOS!$B$14*((Z7+AA7)/2)))^2/(2*9.81)+B7-(E6+(C6/(DATOS!$B$14*E6))^2/(2*9.81)+B6+0.5*(((DATOS!$B$27*C6/(DATOS!$B$14*E6))^2/((DATOS!$B$14*E6)/(DATOS!$B$14+2*E6))^(4/3))+((DATOS!$B$27*C7/(DATOS!$B$14*((Z7+AA7)/2)))^2/((DATOS!$B$14*((Z7+AA7)/2))/(DATOS!$B$14+2*((Z7+AA7)/2)))^(4/3)))*(A6-A7)))&lt;0,((Z7+AA7)/2),Z7)</f>
        <v/>
      </c>
      <c r="AC7" s="16">
        <f>IF((((Z7+AA7)/2)+(C7/(DATOS!$B$14*((Z7+AA7)/2)))^2/(2*9.81)+B7-(E6+(C6/(DATOS!$B$14*E6))^2/(2*9.81)+B6+0.5*(((DATOS!$B$27*C6/(DATOS!$B$14*E6))^2/((DATOS!$B$14*E6)/(DATOS!$B$14+2*E6))^(4/3))+((DATOS!$B$27*C7/(DATOS!$B$14*((Z7+AA7)/2)))^2/((DATOS!$B$14*((Z7+AA7)/2))/(DATOS!$B$14+2*((Z7+AA7)/2)))^(4/3)))*(A6-A7)))&lt;0,AA7,((Z7+AA7)/2))</f>
        <v/>
      </c>
      <c r="AD7" s="16">
        <f>IF((((AB7+AC7)/2)+(C7/(DATOS!$B$14*((AB7+AC7)/2)))^2/(2*9.81)+B7-(E6+(C6/(DATOS!$B$14*E6))^2/(2*9.81)+B6+0.5*(((DATOS!$B$27*C6/(DATOS!$B$14*E6))^2/((DATOS!$B$14*E6)/(DATOS!$B$14+2*E6))^(4/3))+((DATOS!$B$27*C7/(DATOS!$B$14*((AB7+AC7)/2)))^2/((DATOS!$B$14*((AB7+AC7)/2))/(DATOS!$B$14+2*((AB7+AC7)/2)))^(4/3)))*(A6-A7)))&lt;0,((AB7+AC7)/2),AB7)</f>
        <v/>
      </c>
      <c r="AE7" s="16">
        <f>IF((((AB7+AC7)/2)+(C7/(DATOS!$B$14*((AB7+AC7)/2)))^2/(2*9.81)+B7-(E6+(C6/(DATOS!$B$14*E6))^2/(2*9.81)+B6+0.5*(((DATOS!$B$27*C6/(DATOS!$B$14*E6))^2/((DATOS!$B$14*E6)/(DATOS!$B$14+2*E6))^(4/3))+((DATOS!$B$27*C7/(DATOS!$B$14*((AB7+AC7)/2)))^2/((DATOS!$B$14*((AB7+AC7)/2))/(DATOS!$B$14+2*((AB7+AC7)/2)))^(4/3)))*(A6-A7)))&lt;0,AC7,((AB7+AC7)/2))</f>
        <v/>
      </c>
      <c r="AF7" s="16">
        <f>IF((((AD7+AE7)/2)+(C7/(DATOS!$B$14*((AD7+AE7)/2)))^2/(2*9.81)+B7-(E6+(C6/(DATOS!$B$14*E6))^2/(2*9.81)+B6+0.5*(((DATOS!$B$27*C6/(DATOS!$B$14*E6))^2/((DATOS!$B$14*E6)/(DATOS!$B$14+2*E6))^(4/3))+((DATOS!$B$27*C7/(DATOS!$B$14*((AD7+AE7)/2)))^2/((DATOS!$B$14*((AD7+AE7)/2))/(DATOS!$B$14+2*((AD7+AE7)/2)))^(4/3)))*(A6-A7)))&lt;0,((AD7+AE7)/2),AD7)</f>
        <v/>
      </c>
      <c r="AG7" s="16">
        <f>IF((((AD7+AE7)/2)+(C7/(DATOS!$B$14*((AD7+AE7)/2)))^2/(2*9.81)+B7-(E6+(C6/(DATOS!$B$14*E6))^2/(2*9.81)+B6+0.5*(((DATOS!$B$27*C6/(DATOS!$B$14*E6))^2/((DATOS!$B$14*E6)/(DATOS!$B$14+2*E6))^(4/3))+((DATOS!$B$27*C7/(DATOS!$B$14*((AD7+AE7)/2)))^2/((DATOS!$B$14*((AD7+AE7)/2))/(DATOS!$B$14+2*((AD7+AE7)/2)))^(4/3)))*(A6-A7)))&lt;0,AE7,((AD7+AE7)/2))</f>
        <v/>
      </c>
      <c r="AH7" s="16">
        <f>IF((((AF7+AG7)/2)+(C7/(DATOS!$B$14*((AF7+AG7)/2)))^2/(2*9.81)+B7-(E6+(C6/(DATOS!$B$14*E6))^2/(2*9.81)+B6+0.5*(((DATOS!$B$27*C6/(DATOS!$B$14*E6))^2/((DATOS!$B$14*E6)/(DATOS!$B$14+2*E6))^(4/3))+((DATOS!$B$27*C7/(DATOS!$B$14*((AF7+AG7)/2)))^2/((DATOS!$B$14*((AF7+AG7)/2))/(DATOS!$B$14+2*((AF7+AG7)/2)))^(4/3)))*(A6-A7)))&lt;0,((AF7+AG7)/2),AF7)</f>
        <v/>
      </c>
      <c r="AI7" s="16">
        <f>IF((((AF7+AG7)/2)+(C7/(DATOS!$B$14*((AF7+AG7)/2)))^2/(2*9.81)+B7-(E6+(C6/(DATOS!$B$14*E6))^2/(2*9.81)+B6+0.5*(((DATOS!$B$27*C6/(DATOS!$B$14*E6))^2/((DATOS!$B$14*E6)/(DATOS!$B$14+2*E6))^(4/3))+((DATOS!$B$27*C7/(DATOS!$B$14*((AF7+AG7)/2)))^2/((DATOS!$B$14*((AF7+AG7)/2))/(DATOS!$B$14+2*((AF7+AG7)/2)))^(4/3)))*(A6-A7)))&lt;0,AG7,((AF7+AG7)/2))</f>
        <v/>
      </c>
      <c r="AJ7" s="16">
        <f>IF((((AH7+AI7)/2)+(C7/(DATOS!$B$14*((AH7+AI7)/2)))^2/(2*9.81)+B7-(E6+(C6/(DATOS!$B$14*E6))^2/(2*9.81)+B6+0.5*(((DATOS!$B$27*C6/(DATOS!$B$14*E6))^2/((DATOS!$B$14*E6)/(DATOS!$B$14+2*E6))^(4/3))+((DATOS!$B$27*C7/(DATOS!$B$14*((AH7+AI7)/2)))^2/((DATOS!$B$14*((AH7+AI7)/2))/(DATOS!$B$14+2*((AH7+AI7)/2)))^(4/3)))*(A6-A7)))&lt;0,((AH7+AI7)/2),AH7)</f>
        <v/>
      </c>
      <c r="AK7" s="16">
        <f>IF((((AH7+AI7)/2)+(C7/(DATOS!$B$14*((AH7+AI7)/2)))^2/(2*9.81)+B7-(E6+(C6/(DATOS!$B$14*E6))^2/(2*9.81)+B6+0.5*(((DATOS!$B$27*C6/(DATOS!$B$14*E6))^2/((DATOS!$B$14*E6)/(DATOS!$B$14+2*E6))^(4/3))+((DATOS!$B$27*C7/(DATOS!$B$14*((AH7+AI7)/2)))^2/((DATOS!$B$14*((AH7+AI7)/2))/(DATOS!$B$14+2*((AH7+AI7)/2)))^(4/3)))*(A6-A7)))&lt;0,AI7,((AH7+AI7)/2))</f>
        <v/>
      </c>
      <c r="AL7" s="16">
        <f>IF((((AJ7+AK7)/2)+(C7/(DATOS!$B$14*((AJ7+AK7)/2)))^2/(2*9.81)+B7-(E6+(C6/(DATOS!$B$14*E6))^2/(2*9.81)+B6+0.5*(((DATOS!$B$27*C6/(DATOS!$B$14*E6))^2/((DATOS!$B$14*E6)/(DATOS!$B$14+2*E6))^(4/3))+((DATOS!$B$27*C7/(DATOS!$B$14*((AJ7+AK7)/2)))^2/((DATOS!$B$14*((AJ7+AK7)/2))/(DATOS!$B$14+2*((AJ7+AK7)/2)))^(4/3)))*(A6-A7)))&lt;0,((AJ7+AK7)/2),AJ7)</f>
        <v/>
      </c>
      <c r="AM7" s="16">
        <f>IF((((AJ7+AK7)/2)+(C7/(DATOS!$B$14*((AJ7+AK7)/2)))^2/(2*9.81)+B7-(E6+(C6/(DATOS!$B$14*E6))^2/(2*9.81)+B6+0.5*(((DATOS!$B$27*C6/(DATOS!$B$14*E6))^2/((DATOS!$B$14*E6)/(DATOS!$B$14+2*E6))^(4/3))+((DATOS!$B$27*C7/(DATOS!$B$14*((AJ7+AK7)/2)))^2/((DATOS!$B$14*((AJ7+AK7)/2))/(DATOS!$B$14+2*((AJ7+AK7)/2)))^(4/3)))*(A6-A7)))&lt;0,AK7,((AJ7+AK7)/2))</f>
        <v/>
      </c>
      <c r="AN7" s="16">
        <f>IF((((AL7+AM7)/2)+(C7/(DATOS!$B$14*((AL7+AM7)/2)))^2/(2*9.81)+B7-(E6+(C6/(DATOS!$B$14*E6))^2/(2*9.81)+B6+0.5*(((DATOS!$B$27*C6/(DATOS!$B$14*E6))^2/((DATOS!$B$14*E6)/(DATOS!$B$14+2*E6))^(4/3))+((DATOS!$B$27*C7/(DATOS!$B$14*((AL7+AM7)/2)))^2/((DATOS!$B$14*((AL7+AM7)/2))/(DATOS!$B$14+2*((AL7+AM7)/2)))^(4/3)))*(A6-A7)))&lt;0,((AL7+AM7)/2),AL7)</f>
        <v/>
      </c>
      <c r="AO7" s="16">
        <f>IF((((AL7+AM7)/2)+(C7/(DATOS!$B$14*((AL7+AM7)/2)))^2/(2*9.81)+B7-(E6+(C6/(DATOS!$B$14*E6))^2/(2*9.81)+B6+0.5*(((DATOS!$B$27*C6/(DATOS!$B$14*E6))^2/((DATOS!$B$14*E6)/(DATOS!$B$14+2*E6))^(4/3))+((DATOS!$B$27*C7/(DATOS!$B$14*((AL7+AM7)/2)))^2/((DATOS!$B$14*((AL7+AM7)/2))/(DATOS!$B$14+2*((AL7+AM7)/2)))^(4/3)))*(A6-A7)))&lt;0,AM7,((AL7+AM7)/2))</f>
        <v/>
      </c>
      <c r="AP7" s="16">
        <f>IF((((AN7+AO7)/2)+(C7/(DATOS!$B$14*((AN7+AO7)/2)))^2/(2*9.81)+B7-(E6+(C6/(DATOS!$B$14*E6))^2/(2*9.81)+B6+0.5*(((DATOS!$B$27*C6/(DATOS!$B$14*E6))^2/((DATOS!$B$14*E6)/(DATOS!$B$14+2*E6))^(4/3))+((DATOS!$B$27*C7/(DATOS!$B$14*((AN7+AO7)/2)))^2/((DATOS!$B$14*((AN7+AO7)/2))/(DATOS!$B$14+2*((AN7+AO7)/2)))^(4/3)))*(A6-A7)))&lt;0,((AN7+AO7)/2),AN7)</f>
        <v/>
      </c>
      <c r="AQ7" s="16">
        <f>IF((((AN7+AO7)/2)+(C7/(DATOS!$B$14*((AN7+AO7)/2)))^2/(2*9.81)+B7-(E6+(C6/(DATOS!$B$14*E6))^2/(2*9.81)+B6+0.5*(((DATOS!$B$27*C6/(DATOS!$B$14*E6))^2/((DATOS!$B$14*E6)/(DATOS!$B$14+2*E6))^(4/3))+((DATOS!$B$27*C7/(DATOS!$B$14*((AN7+AO7)/2)))^2/((DATOS!$B$14*((AN7+AO7)/2))/(DATOS!$B$14+2*((AN7+AO7)/2)))^(4/3)))*(A6-A7)))&lt;0,AO7,((AN7+AO7)/2))</f>
        <v/>
      </c>
      <c r="AR7" s="16">
        <f>IF((((AP7+AQ7)/2)+(C7/(DATOS!$B$14*((AP7+AQ7)/2)))^2/(2*9.81)+B7-(E6+(C6/(DATOS!$B$14*E6))^2/(2*9.81)+B6+0.5*(((DATOS!$B$27*C6/(DATOS!$B$14*E6))^2/((DATOS!$B$14*E6)/(DATOS!$B$14+2*E6))^(4/3))+((DATOS!$B$27*C7/(DATOS!$B$14*((AP7+AQ7)/2)))^2/((DATOS!$B$14*((AP7+AQ7)/2))/(DATOS!$B$14+2*((AP7+AQ7)/2)))^(4/3)))*(A6-A7)))&lt;0,((AP7+AQ7)/2),AP7)</f>
        <v/>
      </c>
      <c r="AS7" s="16">
        <f>IF((((AP7+AQ7)/2)+(C7/(DATOS!$B$14*((AP7+AQ7)/2)))^2/(2*9.81)+B7-(E6+(C6/(DATOS!$B$14*E6))^2/(2*9.81)+B6+0.5*(((DATOS!$B$27*C6/(DATOS!$B$14*E6))^2/((DATOS!$B$14*E6)/(DATOS!$B$14+2*E6))^(4/3))+((DATOS!$B$27*C7/(DATOS!$B$14*((AP7+AQ7)/2)))^2/((DATOS!$B$14*((AP7+AQ7)/2))/(DATOS!$B$14+2*((AP7+AQ7)/2)))^(4/3)))*(A6-A7)))&lt;0,AQ7,((AP7+AQ7)/2))</f>
        <v/>
      </c>
      <c r="AT7" s="16">
        <f>IF((((AR7+AS7)/2)+(C7/(DATOS!$B$14*((AR7+AS7)/2)))^2/(2*9.81)+B7-(E6+(C6/(DATOS!$B$14*E6))^2/(2*9.81)+B6+0.5*(((DATOS!$B$27*C6/(DATOS!$B$14*E6))^2/((DATOS!$B$14*E6)/(DATOS!$B$14+2*E6))^(4/3))+((DATOS!$B$27*C7/(DATOS!$B$14*((AR7+AS7)/2)))^2/((DATOS!$B$14*((AR7+AS7)/2))/(DATOS!$B$14+2*((AR7+AS7)/2)))^(4/3)))*(A6-A7)))&lt;0,((AR7+AS7)/2),AR7)</f>
        <v/>
      </c>
      <c r="AU7" s="16">
        <f>IF((((AR7+AS7)/2)+(C7/(DATOS!$B$14*((AR7+AS7)/2)))^2/(2*9.81)+B7-(E6+(C6/(DATOS!$B$14*E6))^2/(2*9.81)+B6+0.5*(((DATOS!$B$27*C6/(DATOS!$B$14*E6))^2/((DATOS!$B$14*E6)/(DATOS!$B$14+2*E6))^(4/3))+((DATOS!$B$27*C7/(DATOS!$B$14*((AR7+AS7)/2)))^2/((DATOS!$B$14*((AR7+AS7)/2))/(DATOS!$B$14+2*((AR7+AS7)/2)))^(4/3)))*(A6-A7)))&lt;0,AS7,((AR7+AS7)/2))</f>
        <v/>
      </c>
      <c r="AV7" s="16">
        <f>IF((((AT7+AU7)/2)+(C7/(DATOS!$B$14*((AT7+AU7)/2)))^2/(2*9.81)+B7-(E6+(C6/(DATOS!$B$14*E6))^2/(2*9.81)+B6+0.5*(((DATOS!$B$27*C6/(DATOS!$B$14*E6))^2/((DATOS!$B$14*E6)/(DATOS!$B$14+2*E6))^(4/3))+((DATOS!$B$27*C7/(DATOS!$B$14*((AT7+AU7)/2)))^2/((DATOS!$B$14*((AT7+AU7)/2))/(DATOS!$B$14+2*((AT7+AU7)/2)))^(4/3)))*(A6-A7)))&lt;0,((AT7+AU7)/2),AT7)</f>
        <v/>
      </c>
      <c r="AW7" s="16">
        <f>IF((((AT7+AU7)/2)+(C7/(DATOS!$B$14*((AT7+AU7)/2)))^2/(2*9.81)+B7-(E6+(C6/(DATOS!$B$14*E6))^2/(2*9.81)+B6+0.5*(((DATOS!$B$27*C6/(DATOS!$B$14*E6))^2/((DATOS!$B$14*E6)/(DATOS!$B$14+2*E6))^(4/3))+((DATOS!$B$27*C7/(DATOS!$B$14*((AT7+AU7)/2)))^2/((DATOS!$B$14*((AT7+AU7)/2))/(DATOS!$B$14+2*((AT7+AU7)/2)))^(4/3)))*(A6-A7)))&lt;0,AU7,((AT7+AU7)/2))</f>
        <v/>
      </c>
      <c r="AX7" s="16">
        <f>IF((((AV7+AW7)/2)+(C7/(DATOS!$B$14*((AV7+AW7)/2)))^2/(2*9.81)+B7-(E6+(C6/(DATOS!$B$14*E6))^2/(2*9.81)+B6+0.5*(((DATOS!$B$27*C6/(DATOS!$B$14*E6))^2/((DATOS!$B$14*E6)/(DATOS!$B$14+2*E6))^(4/3))+((DATOS!$B$27*C7/(DATOS!$B$14*((AV7+AW7)/2)))^2/((DATOS!$B$14*((AV7+AW7)/2))/(DATOS!$B$14+2*((AV7+AW7)/2)))^(4/3)))*(A6-A7)))&lt;0,((AV7+AW7)/2),AV7)</f>
        <v/>
      </c>
      <c r="AY7" s="16">
        <f>IF((((AV7+AW7)/2)+(C7/(DATOS!$B$14*((AV7+AW7)/2)))^2/(2*9.81)+B7-(E6+(C6/(DATOS!$B$14*E6))^2/(2*9.81)+B6+0.5*(((DATOS!$B$27*C6/(DATOS!$B$14*E6))^2/((DATOS!$B$14*E6)/(DATOS!$B$14+2*E6))^(4/3))+((DATOS!$B$27*C7/(DATOS!$B$14*((AV7+AW7)/2)))^2/((DATOS!$B$14*((AV7+AW7)/2))/(DATOS!$B$14+2*((AV7+AW7)/2)))^(4/3)))*(A6-A7)))&lt;0,AW7,((AV7+AW7)/2))</f>
        <v/>
      </c>
      <c r="AZ7" s="16">
        <f>IF((((AX7+AY7)/2)+(C7/(DATOS!$B$14*((AX7+AY7)/2)))^2/(2*9.81)+B7-(E6+(C6/(DATOS!$B$14*E6))^2/(2*9.81)+B6+0.5*(((DATOS!$B$27*C6/(DATOS!$B$14*E6))^2/((DATOS!$B$14*E6)/(DATOS!$B$14+2*E6))^(4/3))+((DATOS!$B$27*C7/(DATOS!$B$14*((AX7+AY7)/2)))^2/((DATOS!$B$14*((AX7+AY7)/2))/(DATOS!$B$14+2*((AX7+AY7)/2)))^(4/3)))*(A6-A7)))&lt;0,((AX7+AY7)/2),AX7)</f>
        <v/>
      </c>
      <c r="BA7" s="16">
        <f>IF((((AX7+AY7)/2)+(C7/(DATOS!$B$14*((AX7+AY7)/2)))^2/(2*9.81)+B7-(E6+(C6/(DATOS!$B$14*E6))^2/(2*9.81)+B6+0.5*(((DATOS!$B$27*C6/(DATOS!$B$14*E6))^2/((DATOS!$B$14*E6)/(DATOS!$B$14+2*E6))^(4/3))+((DATOS!$B$27*C7/(DATOS!$B$14*((AX7+AY7)/2)))^2/((DATOS!$B$14*((AX7+AY7)/2))/(DATOS!$B$14+2*((AX7+AY7)/2)))^(4/3)))*(A6-A7)))&lt;0,AY7,((AX7+AY7)/2))</f>
        <v/>
      </c>
      <c r="BB7" s="16">
        <f>IF((((AZ7+BA7)/2)+(C7/(DATOS!$B$14*((AZ7+BA7)/2)))^2/(2*9.81)+B7-(E6+(C6/(DATOS!$B$14*E6))^2/(2*9.81)+B6+0.5*(((DATOS!$B$27*C6/(DATOS!$B$14*E6))^2/((DATOS!$B$14*E6)/(DATOS!$B$14+2*E6))^(4/3))+((DATOS!$B$27*C7/(DATOS!$B$14*((AZ7+BA7)/2)))^2/((DATOS!$B$14*((AZ7+BA7)/2))/(DATOS!$B$14+2*((AZ7+BA7)/2)))^(4/3)))*(A6-A7)))&lt;0,((AZ7+BA7)/2),AZ7)</f>
        <v/>
      </c>
      <c r="BC7" s="16">
        <f>IF((((AZ7+BA7)/2)+(C7/(DATOS!$B$14*((AZ7+BA7)/2)))^2/(2*9.81)+B7-(E6+(C6/(DATOS!$B$14*E6))^2/(2*9.81)+B6+0.5*(((DATOS!$B$27*C6/(DATOS!$B$14*E6))^2/((DATOS!$B$14*E6)/(DATOS!$B$14+2*E6))^(4/3))+((DATOS!$B$27*C7/(DATOS!$B$14*((AZ7+BA7)/2)))^2/((DATOS!$B$14*((AZ7+BA7)/2))/(DATOS!$B$14+2*((AZ7+BA7)/2)))^(4/3)))*(A6-A7)))&lt;0,BA7,((AZ7+BA7)/2))</f>
        <v/>
      </c>
      <c r="BD7" s="16">
        <f>IF((((BB7+BC7)/2)+(C7/(DATOS!$B$14*((BB7+BC7)/2)))^2/(2*9.81)+B7-(E6+(C6/(DATOS!$B$14*E6))^2/(2*9.81)+B6+0.5*(((DATOS!$B$27*C6/(DATOS!$B$14*E6))^2/((DATOS!$B$14*E6)/(DATOS!$B$14+2*E6))^(4/3))+((DATOS!$B$27*C7/(DATOS!$B$14*((BB7+BC7)/2)))^2/((DATOS!$B$14*((BB7+BC7)/2))/(DATOS!$B$14+2*((BB7+BC7)/2)))^(4/3)))*(A6-A7)))&lt;0,((BB7+BC7)/2),BB7)</f>
        <v/>
      </c>
      <c r="BE7" s="16">
        <f>IF((((BB7+BC7)/2)+(C7/(DATOS!$B$14*((BB7+BC7)/2)))^2/(2*9.81)+B7-(E6+(C6/(DATOS!$B$14*E6))^2/(2*9.81)+B6+0.5*(((DATOS!$B$27*C6/(DATOS!$B$14*E6))^2/((DATOS!$B$14*E6)/(DATOS!$B$14+2*E6))^(4/3))+((DATOS!$B$27*C7/(DATOS!$B$14*((BB7+BC7)/2)))^2/((DATOS!$B$14*((BB7+BC7)/2))/(DATOS!$B$14+2*((BB7+BC7)/2)))^(4/3)))*(A6-A7)))&lt;0,BC7,((BB7+BC7)/2))</f>
        <v/>
      </c>
      <c r="BF7" s="16">
        <f>IF((((BD7+BE7)/2)+(C7/(DATOS!$B$14*((BD7+BE7)/2)))^2/(2*9.81)+B7-(E6+(C6/(DATOS!$B$14*E6))^2/(2*9.81)+B6+0.5*(((DATOS!$B$27*C6/(DATOS!$B$14*E6))^2/((DATOS!$B$14*E6)/(DATOS!$B$14+2*E6))^(4/3))+((DATOS!$B$27*C7/(DATOS!$B$14*((BD7+BE7)/2)))^2/((DATOS!$B$14*((BD7+BE7)/2))/(DATOS!$B$14+2*((BD7+BE7)/2)))^(4/3)))*(A6-A7)))&lt;0,((BD7+BE7)/2),BD7)</f>
        <v/>
      </c>
      <c r="BG7" s="16">
        <f>IF((((BD7+BE7)/2)+(C7/(DATOS!$B$14*((BD7+BE7)/2)))^2/(2*9.81)+B7-(E6+(C6/(DATOS!$B$14*E6))^2/(2*9.81)+B6+0.5*(((DATOS!$B$27*C6/(DATOS!$B$14*E6))^2/((DATOS!$B$14*E6)/(DATOS!$B$14+2*E6))^(4/3))+((DATOS!$B$27*C7/(DATOS!$B$14*((BD7+BE7)/2)))^2/((DATOS!$B$14*((BD7+BE7)/2))/(DATOS!$B$14+2*((BD7+BE7)/2)))^(4/3)))*(A6-A7)))&lt;0,BE7,((BD7+BE7)/2))</f>
        <v/>
      </c>
      <c r="BH7" s="16">
        <f>IF((((BF7+BG7)/2)+(C7/(DATOS!$B$14*((BF7+BG7)/2)))^2/(2*9.81)+B7-(E6+(C6/(DATOS!$B$14*E6))^2/(2*9.81)+B6+0.5*(((DATOS!$B$27*C6/(DATOS!$B$14*E6))^2/((DATOS!$B$14*E6)/(DATOS!$B$14+2*E6))^(4/3))+((DATOS!$B$27*C7/(DATOS!$B$14*((BF7+BG7)/2)))^2/((DATOS!$B$14*((BF7+BG7)/2))/(DATOS!$B$14+2*((BF7+BG7)/2)))^(4/3)))*(A6-A7)))&lt;0,((BF7+BG7)/2),BF7)</f>
        <v/>
      </c>
      <c r="BI7" s="16">
        <f>IF((((BF7+BG7)/2)+(C7/(DATOS!$B$14*((BF7+BG7)/2)))^2/(2*9.81)+B7-(E6+(C6/(DATOS!$B$14*E6))^2/(2*9.81)+B6+0.5*(((DATOS!$B$27*C6/(DATOS!$B$14*E6))^2/((DATOS!$B$14*E6)/(DATOS!$B$14+2*E6))^(4/3))+((DATOS!$B$27*C7/(DATOS!$B$14*((BF7+BG7)/2)))^2/((DATOS!$B$14*((BF7+BG7)/2))/(DATOS!$B$14+2*((BF7+BG7)/2)))^(4/3)))*(A6-A7)))&lt;0,BG7,((BF7+BG7)/2))</f>
        <v/>
      </c>
      <c r="BJ7" s="16">
        <f>IF((((BH7+BI7)/2)+(C7/(DATOS!$B$14*((BH7+BI7)/2)))^2/(2*9.81)+B7-(E6+(C6/(DATOS!$B$14*E6))^2/(2*9.81)+B6+0.5*(((DATOS!$B$27*C6/(DATOS!$B$14*E6))^2/((DATOS!$B$14*E6)/(DATOS!$B$14+2*E6))^(4/3))+((DATOS!$B$27*C7/(DATOS!$B$14*((BH7+BI7)/2)))^2/((DATOS!$B$14*((BH7+BI7)/2))/(DATOS!$B$14+2*((BH7+BI7)/2)))^(4/3)))*(A6-A7)))&lt;0,((BH7+BI7)/2),BH7)</f>
        <v/>
      </c>
      <c r="BK7" s="16">
        <f>IF((((BH7+BI7)/2)+(C7/(DATOS!$B$14*((BH7+BI7)/2)))^2/(2*9.81)+B7-(E6+(C6/(DATOS!$B$14*E6))^2/(2*9.81)+B6+0.5*(((DATOS!$B$27*C6/(DATOS!$B$14*E6))^2/((DATOS!$B$14*E6)/(DATOS!$B$14+2*E6))^(4/3))+((DATOS!$B$27*C7/(DATOS!$B$14*((BH7+BI7)/2)))^2/((DATOS!$B$14*((BH7+BI7)/2))/(DATOS!$B$14+2*((BH7+BI7)/2)))^(4/3)))*(A6-A7)))&lt;0,BI7,((BH7+BI7)/2))</f>
        <v/>
      </c>
      <c r="BL7" s="16">
        <f>IF((((BJ7+BK7)/2)+(C7/(DATOS!$B$14*((BJ7+BK7)/2)))^2/(2*9.81)+B7-(E6+(C6/(DATOS!$B$14*E6))^2/(2*9.81)+B6+0.5*(((DATOS!$B$27*C6/(DATOS!$B$14*E6))^2/((DATOS!$B$14*E6)/(DATOS!$B$14+2*E6))^(4/3))+((DATOS!$B$27*C7/(DATOS!$B$14*((BJ7+BK7)/2)))^2/((DATOS!$B$14*((BJ7+BK7)/2))/(DATOS!$B$14+2*((BJ7+BK7)/2)))^(4/3)))*(A6-A7)))&lt;0,((BJ7+BK7)/2),BJ7)</f>
        <v/>
      </c>
      <c r="BM7" s="16">
        <f>IF((((BJ7+BK7)/2)+(C7/(DATOS!$B$14*((BJ7+BK7)/2)))^2/(2*9.81)+B7-(E6+(C6/(DATOS!$B$14*E6))^2/(2*9.81)+B6+0.5*(((DATOS!$B$27*C6/(DATOS!$B$14*E6))^2/((DATOS!$B$14*E6)/(DATOS!$B$14+2*E6))^(4/3))+((DATOS!$B$27*C7/(DATOS!$B$14*((BJ7+BK7)/2)))^2/((DATOS!$B$14*((BJ7+BK7)/2))/(DATOS!$B$14+2*((BJ7+BK7)/2)))^(4/3)))*(A6-A7)))&lt;0,BK7,((BJ7+BK7)/2))</f>
        <v/>
      </c>
      <c r="BN7" s="16">
        <f>IF((((BL7+BM7)/2)+(C7/(DATOS!$B$14*((BL7+BM7)/2)))^2/(2*9.81)+B7-(E6+(C6/(DATOS!$B$14*E6))^2/(2*9.81)+B6+0.5*(((DATOS!$B$27*C6/(DATOS!$B$14*E6))^2/((DATOS!$B$14*E6)/(DATOS!$B$14+2*E6))^(4/3))+((DATOS!$B$27*C7/(DATOS!$B$14*((BL7+BM7)/2)))^2/((DATOS!$B$14*((BL7+BM7)/2))/(DATOS!$B$14+2*((BL7+BM7)/2)))^(4/3)))*(A6-A7)))&lt;0,((BL7+BM7)/2),BL7)</f>
        <v/>
      </c>
      <c r="BO7" s="16">
        <f>IF((((BL7+BM7)/2)+(C7/(DATOS!$B$14*((BL7+BM7)/2)))^2/(2*9.81)+B7-(E6+(C6/(DATOS!$B$14*E6))^2/(2*9.81)+B6+0.5*(((DATOS!$B$27*C6/(DATOS!$B$14*E6))^2/((DATOS!$B$14*E6)/(DATOS!$B$14+2*E6))^(4/3))+((DATOS!$B$27*C7/(DATOS!$B$14*((BL7+BM7)/2)))^2/((DATOS!$B$14*((BL7+BM7)/2))/(DATOS!$B$14+2*((BL7+BM7)/2)))^(4/3)))*(A6-A7)))&lt;0,BM7,((BL7+BM7)/2))</f>
        <v/>
      </c>
      <c r="BP7" s="16">
        <f>IF((((BN7+BO7)/2)+(C7/(DATOS!$B$14*((BN7+BO7)/2)))^2/(2*9.81)+B7-(E6+(C6/(DATOS!$B$14*E6))^2/(2*9.81)+B6+0.5*(((DATOS!$B$27*C6/(DATOS!$B$14*E6))^2/((DATOS!$B$14*E6)/(DATOS!$B$14+2*E6))^(4/3))+((DATOS!$B$27*C7/(DATOS!$B$14*((BN7+BO7)/2)))^2/((DATOS!$B$14*((BN7+BO7)/2))/(DATOS!$B$14+2*((BN7+BO7)/2)))^(4/3)))*(A6-A7)))&lt;0,((BN7+BO7)/2),BN7)</f>
        <v/>
      </c>
      <c r="BQ7" s="16">
        <f>IF((((BN7+BO7)/2)+(C7/(DATOS!$B$14*((BN7+BO7)/2)))^2/(2*9.81)+B7-(E6+(C6/(DATOS!$B$14*E6))^2/(2*9.81)+B6+0.5*(((DATOS!$B$27*C6/(DATOS!$B$14*E6))^2/((DATOS!$B$14*E6)/(DATOS!$B$14+2*E6))^(4/3))+((DATOS!$B$27*C7/(DATOS!$B$14*((BN7+BO7)/2)))^2/((DATOS!$B$14*((BN7+BO7)/2))/(DATOS!$B$14+2*((BN7+BO7)/2)))^(4/3)))*(A6-A7)))&lt;0,BO7,((BN7+BO7)/2))</f>
        <v/>
      </c>
      <c r="BR7" s="16">
        <f>IF((((BP7+BQ7)/2)+(C7/(DATOS!$B$14*((BP7+BQ7)/2)))^2/(2*9.81)+B7-(E6+(C6/(DATOS!$B$14*E6))^2/(2*9.81)+B6+0.5*(((DATOS!$B$27*C6/(DATOS!$B$14*E6))^2/((DATOS!$B$14*E6)/(DATOS!$B$14+2*E6))^(4/3))+((DATOS!$B$27*C7/(DATOS!$B$14*((BP7+BQ7)/2)))^2/((DATOS!$B$14*((BP7+BQ7)/2))/(DATOS!$B$14+2*((BP7+BQ7)/2)))^(4/3)))*(A6-A7)))&lt;0,((BP7+BQ7)/2),BP7)</f>
        <v/>
      </c>
      <c r="BS7" s="16">
        <f>IF((((BP7+BQ7)/2)+(C7/(DATOS!$B$14*((BP7+BQ7)/2)))^2/(2*9.81)+B7-(E6+(C6/(DATOS!$B$14*E6))^2/(2*9.81)+B6+0.5*(((DATOS!$B$27*C6/(DATOS!$B$14*E6))^2/((DATOS!$B$14*E6)/(DATOS!$B$14+2*E6))^(4/3))+((DATOS!$B$27*C7/(DATOS!$B$14*((BP7+BQ7)/2)))^2/((DATOS!$B$14*((BP7+BQ7)/2))/(DATOS!$B$14+2*((BP7+BQ7)/2)))^(4/3)))*(A6-A7)))&lt;0,BQ7,((BP7+BQ7)/2))</f>
        <v/>
      </c>
      <c r="BT7" s="16">
        <f>IF((((BR7+BS7)/2)+(C7/(DATOS!$B$14*((BR7+BS7)/2)))^2/(2*9.81)+B7-(E6+(C6/(DATOS!$B$14*E6))^2/(2*9.81)+B6+0.5*(((DATOS!$B$27*C6/(DATOS!$B$14*E6))^2/((DATOS!$B$14*E6)/(DATOS!$B$14+2*E6))^(4/3))+((DATOS!$B$27*C7/(DATOS!$B$14*((BR7+BS7)/2)))^2/((DATOS!$B$14*((BR7+BS7)/2))/(DATOS!$B$14+2*((BR7+BS7)/2)))^(4/3)))*(A6-A7)))&lt;0,((BR7+BS7)/2),BR7)</f>
        <v/>
      </c>
      <c r="BU7" s="16">
        <f>IF((((BR7+BS7)/2)+(C7/(DATOS!$B$14*((BR7+BS7)/2)))^2/(2*9.81)+B7-(E6+(C6/(DATOS!$B$14*E6))^2/(2*9.81)+B6+0.5*(((DATOS!$B$27*C6/(DATOS!$B$14*E6))^2/((DATOS!$B$14*E6)/(DATOS!$B$14+2*E6))^(4/3))+((DATOS!$B$27*C7/(DATOS!$B$14*((BR7+BS7)/2)))^2/((DATOS!$B$14*((BR7+BS7)/2))/(DATOS!$B$14+2*((BR7+BS7)/2)))^(4/3)))*(A6-A7)))&lt;0,BS7,((BR7+BS7)/2))</f>
        <v/>
      </c>
    </row>
    <row r="8">
      <c r="A8" s="30" t="n">
        <v>134</v>
      </c>
      <c r="B8" s="21">
        <f>DATOS!$B$16-DATOS!$B$19*A8</f>
        <v/>
      </c>
      <c r="C8" s="21">
        <f>IF(A8&lt;CAUDALES!$B$13,CAUDALES!$D$12,IF(A8&lt;CAUDALES!$B$14,CAUDALES!$D$13,IF(A8&lt;CAUDALES!$B$15,CAUDALES!$D$14,CAUDALES!$D$15)))/1000</f>
        <v/>
      </c>
      <c r="D8" s="21">
        <f>(C8^2/(9.81*DATOS!$B$14^2))^(1/3)</f>
        <v/>
      </c>
      <c r="E8" s="29">
        <f>(BT8+BU8)/2</f>
        <v/>
      </c>
      <c r="F8" s="21">
        <f>B8+E8</f>
        <v/>
      </c>
      <c r="G8" s="17">
        <f>C8/(DATOS!$B$14*E8)</f>
        <v/>
      </c>
      <c r="H8" s="17">
        <f>G8/SQRT(9.81*E8)</f>
        <v/>
      </c>
      <c r="I8" s="21">
        <f>IF(A8&lt;=DATOS!$B$20,DATOS!$B$21-IF(AND(A8&gt;=DATOS!$B$23,A8&lt;DATOS!$B$24),DATOS!$B$25,DATOS!$B$22),B8+DATOS!$B$26)</f>
        <v/>
      </c>
      <c r="J8" s="17">
        <f>I8-B8</f>
        <v/>
      </c>
      <c r="K8" s="31">
        <f>E8/J8</f>
        <v/>
      </c>
      <c r="L8" s="21">
        <f>I8-F8</f>
        <v/>
      </c>
      <c r="M8" s="32">
        <f>IF(AND(K8&lt;=DATOS!$B$29,L8&gt;=DATOS!$B$30),"CUMPLE","NO CUMPLE")</f>
        <v/>
      </c>
      <c r="N8" s="13">
        <f>IF(A8&gt;DATOS!$B$20,"cubierto - tramo final",IF(AND(A8&gt;=DATOS!$B$23,A8&lt;DATOS!$B$24),"cubierto - camiones","cubierto"))</f>
        <v/>
      </c>
      <c r="P8" s="16">
        <f>D8*1.001</f>
        <v/>
      </c>
      <c r="Q8" s="16" t="n">
        <v>2</v>
      </c>
      <c r="R8" s="16">
        <f>IF((((P8+Q8)/2)+(C8/(DATOS!$B$14*((P8+Q8)/2)))^2/(2*9.81)+B8-(E7+(C7/(DATOS!$B$14*E7))^2/(2*9.81)+B7+0.5*(((DATOS!$B$27*C7/(DATOS!$B$14*E7))^2/((DATOS!$B$14*E7)/(DATOS!$B$14+2*E7))^(4/3))+((DATOS!$B$27*C8/(DATOS!$B$14*((P8+Q8)/2)))^2/((DATOS!$B$14*((P8+Q8)/2))/(DATOS!$B$14+2*((P8+Q8)/2)))^(4/3)))*(A7-A8)))&lt;0,((P8+Q8)/2),P8)</f>
        <v/>
      </c>
      <c r="S8" s="16">
        <f>IF((((P8+Q8)/2)+(C8/(DATOS!$B$14*((P8+Q8)/2)))^2/(2*9.81)+B8-(E7+(C7/(DATOS!$B$14*E7))^2/(2*9.81)+B7+0.5*(((DATOS!$B$27*C7/(DATOS!$B$14*E7))^2/((DATOS!$B$14*E7)/(DATOS!$B$14+2*E7))^(4/3))+((DATOS!$B$27*C8/(DATOS!$B$14*((P8+Q8)/2)))^2/((DATOS!$B$14*((P8+Q8)/2))/(DATOS!$B$14+2*((P8+Q8)/2)))^(4/3)))*(A7-A8)))&lt;0,Q8,((P8+Q8)/2))</f>
        <v/>
      </c>
      <c r="T8" s="16">
        <f>IF((((R8+S8)/2)+(C8/(DATOS!$B$14*((R8+S8)/2)))^2/(2*9.81)+B8-(E7+(C7/(DATOS!$B$14*E7))^2/(2*9.81)+B7+0.5*(((DATOS!$B$27*C7/(DATOS!$B$14*E7))^2/((DATOS!$B$14*E7)/(DATOS!$B$14+2*E7))^(4/3))+((DATOS!$B$27*C8/(DATOS!$B$14*((R8+S8)/2)))^2/((DATOS!$B$14*((R8+S8)/2))/(DATOS!$B$14+2*((R8+S8)/2)))^(4/3)))*(A7-A8)))&lt;0,((R8+S8)/2),R8)</f>
        <v/>
      </c>
      <c r="U8" s="16">
        <f>IF((((R8+S8)/2)+(C8/(DATOS!$B$14*((R8+S8)/2)))^2/(2*9.81)+B8-(E7+(C7/(DATOS!$B$14*E7))^2/(2*9.81)+B7+0.5*(((DATOS!$B$27*C7/(DATOS!$B$14*E7))^2/((DATOS!$B$14*E7)/(DATOS!$B$14+2*E7))^(4/3))+((DATOS!$B$27*C8/(DATOS!$B$14*((R8+S8)/2)))^2/((DATOS!$B$14*((R8+S8)/2))/(DATOS!$B$14+2*((R8+S8)/2)))^(4/3)))*(A7-A8)))&lt;0,S8,((R8+S8)/2))</f>
        <v/>
      </c>
      <c r="V8" s="16">
        <f>IF((((T8+U8)/2)+(C8/(DATOS!$B$14*((T8+U8)/2)))^2/(2*9.81)+B8-(E7+(C7/(DATOS!$B$14*E7))^2/(2*9.81)+B7+0.5*(((DATOS!$B$27*C7/(DATOS!$B$14*E7))^2/((DATOS!$B$14*E7)/(DATOS!$B$14+2*E7))^(4/3))+((DATOS!$B$27*C8/(DATOS!$B$14*((T8+U8)/2)))^2/((DATOS!$B$14*((T8+U8)/2))/(DATOS!$B$14+2*((T8+U8)/2)))^(4/3)))*(A7-A8)))&lt;0,((T8+U8)/2),T8)</f>
        <v/>
      </c>
      <c r="W8" s="16">
        <f>IF((((T8+U8)/2)+(C8/(DATOS!$B$14*((T8+U8)/2)))^2/(2*9.81)+B8-(E7+(C7/(DATOS!$B$14*E7))^2/(2*9.81)+B7+0.5*(((DATOS!$B$27*C7/(DATOS!$B$14*E7))^2/((DATOS!$B$14*E7)/(DATOS!$B$14+2*E7))^(4/3))+((DATOS!$B$27*C8/(DATOS!$B$14*((T8+U8)/2)))^2/((DATOS!$B$14*((T8+U8)/2))/(DATOS!$B$14+2*((T8+U8)/2)))^(4/3)))*(A7-A8)))&lt;0,U8,((T8+U8)/2))</f>
        <v/>
      </c>
      <c r="X8" s="16">
        <f>IF((((V8+W8)/2)+(C8/(DATOS!$B$14*((V8+W8)/2)))^2/(2*9.81)+B8-(E7+(C7/(DATOS!$B$14*E7))^2/(2*9.81)+B7+0.5*(((DATOS!$B$27*C7/(DATOS!$B$14*E7))^2/((DATOS!$B$14*E7)/(DATOS!$B$14+2*E7))^(4/3))+((DATOS!$B$27*C8/(DATOS!$B$14*((V8+W8)/2)))^2/((DATOS!$B$14*((V8+W8)/2))/(DATOS!$B$14+2*((V8+W8)/2)))^(4/3)))*(A7-A8)))&lt;0,((V8+W8)/2),V8)</f>
        <v/>
      </c>
      <c r="Y8" s="16">
        <f>IF((((V8+W8)/2)+(C8/(DATOS!$B$14*((V8+W8)/2)))^2/(2*9.81)+B8-(E7+(C7/(DATOS!$B$14*E7))^2/(2*9.81)+B7+0.5*(((DATOS!$B$27*C7/(DATOS!$B$14*E7))^2/((DATOS!$B$14*E7)/(DATOS!$B$14+2*E7))^(4/3))+((DATOS!$B$27*C8/(DATOS!$B$14*((V8+W8)/2)))^2/((DATOS!$B$14*((V8+W8)/2))/(DATOS!$B$14+2*((V8+W8)/2)))^(4/3)))*(A7-A8)))&lt;0,W8,((V8+W8)/2))</f>
        <v/>
      </c>
      <c r="Z8" s="16">
        <f>IF((((X8+Y8)/2)+(C8/(DATOS!$B$14*((X8+Y8)/2)))^2/(2*9.81)+B8-(E7+(C7/(DATOS!$B$14*E7))^2/(2*9.81)+B7+0.5*(((DATOS!$B$27*C7/(DATOS!$B$14*E7))^2/((DATOS!$B$14*E7)/(DATOS!$B$14+2*E7))^(4/3))+((DATOS!$B$27*C8/(DATOS!$B$14*((X8+Y8)/2)))^2/((DATOS!$B$14*((X8+Y8)/2))/(DATOS!$B$14+2*((X8+Y8)/2)))^(4/3)))*(A7-A8)))&lt;0,((X8+Y8)/2),X8)</f>
        <v/>
      </c>
      <c r="AA8" s="16">
        <f>IF((((X8+Y8)/2)+(C8/(DATOS!$B$14*((X8+Y8)/2)))^2/(2*9.81)+B8-(E7+(C7/(DATOS!$B$14*E7))^2/(2*9.81)+B7+0.5*(((DATOS!$B$27*C7/(DATOS!$B$14*E7))^2/((DATOS!$B$14*E7)/(DATOS!$B$14+2*E7))^(4/3))+((DATOS!$B$27*C8/(DATOS!$B$14*((X8+Y8)/2)))^2/((DATOS!$B$14*((X8+Y8)/2))/(DATOS!$B$14+2*((X8+Y8)/2)))^(4/3)))*(A7-A8)))&lt;0,Y8,((X8+Y8)/2))</f>
        <v/>
      </c>
      <c r="AB8" s="16">
        <f>IF((((Z8+AA8)/2)+(C8/(DATOS!$B$14*((Z8+AA8)/2)))^2/(2*9.81)+B8-(E7+(C7/(DATOS!$B$14*E7))^2/(2*9.81)+B7+0.5*(((DATOS!$B$27*C7/(DATOS!$B$14*E7))^2/((DATOS!$B$14*E7)/(DATOS!$B$14+2*E7))^(4/3))+((DATOS!$B$27*C8/(DATOS!$B$14*((Z8+AA8)/2)))^2/((DATOS!$B$14*((Z8+AA8)/2))/(DATOS!$B$14+2*((Z8+AA8)/2)))^(4/3)))*(A7-A8)))&lt;0,((Z8+AA8)/2),Z8)</f>
        <v/>
      </c>
      <c r="AC8" s="16">
        <f>IF((((Z8+AA8)/2)+(C8/(DATOS!$B$14*((Z8+AA8)/2)))^2/(2*9.81)+B8-(E7+(C7/(DATOS!$B$14*E7))^2/(2*9.81)+B7+0.5*(((DATOS!$B$27*C7/(DATOS!$B$14*E7))^2/((DATOS!$B$14*E7)/(DATOS!$B$14+2*E7))^(4/3))+((DATOS!$B$27*C8/(DATOS!$B$14*((Z8+AA8)/2)))^2/((DATOS!$B$14*((Z8+AA8)/2))/(DATOS!$B$14+2*((Z8+AA8)/2)))^(4/3)))*(A7-A8)))&lt;0,AA8,((Z8+AA8)/2))</f>
        <v/>
      </c>
      <c r="AD8" s="16">
        <f>IF((((AB8+AC8)/2)+(C8/(DATOS!$B$14*((AB8+AC8)/2)))^2/(2*9.81)+B8-(E7+(C7/(DATOS!$B$14*E7))^2/(2*9.81)+B7+0.5*(((DATOS!$B$27*C7/(DATOS!$B$14*E7))^2/((DATOS!$B$14*E7)/(DATOS!$B$14+2*E7))^(4/3))+((DATOS!$B$27*C8/(DATOS!$B$14*((AB8+AC8)/2)))^2/((DATOS!$B$14*((AB8+AC8)/2))/(DATOS!$B$14+2*((AB8+AC8)/2)))^(4/3)))*(A7-A8)))&lt;0,((AB8+AC8)/2),AB8)</f>
        <v/>
      </c>
      <c r="AE8" s="16">
        <f>IF((((AB8+AC8)/2)+(C8/(DATOS!$B$14*((AB8+AC8)/2)))^2/(2*9.81)+B8-(E7+(C7/(DATOS!$B$14*E7))^2/(2*9.81)+B7+0.5*(((DATOS!$B$27*C7/(DATOS!$B$14*E7))^2/((DATOS!$B$14*E7)/(DATOS!$B$14+2*E7))^(4/3))+((DATOS!$B$27*C8/(DATOS!$B$14*((AB8+AC8)/2)))^2/((DATOS!$B$14*((AB8+AC8)/2))/(DATOS!$B$14+2*((AB8+AC8)/2)))^(4/3)))*(A7-A8)))&lt;0,AC8,((AB8+AC8)/2))</f>
        <v/>
      </c>
      <c r="AF8" s="16">
        <f>IF((((AD8+AE8)/2)+(C8/(DATOS!$B$14*((AD8+AE8)/2)))^2/(2*9.81)+B8-(E7+(C7/(DATOS!$B$14*E7))^2/(2*9.81)+B7+0.5*(((DATOS!$B$27*C7/(DATOS!$B$14*E7))^2/((DATOS!$B$14*E7)/(DATOS!$B$14+2*E7))^(4/3))+((DATOS!$B$27*C8/(DATOS!$B$14*((AD8+AE8)/2)))^2/((DATOS!$B$14*((AD8+AE8)/2))/(DATOS!$B$14+2*((AD8+AE8)/2)))^(4/3)))*(A7-A8)))&lt;0,((AD8+AE8)/2),AD8)</f>
        <v/>
      </c>
      <c r="AG8" s="16">
        <f>IF((((AD8+AE8)/2)+(C8/(DATOS!$B$14*((AD8+AE8)/2)))^2/(2*9.81)+B8-(E7+(C7/(DATOS!$B$14*E7))^2/(2*9.81)+B7+0.5*(((DATOS!$B$27*C7/(DATOS!$B$14*E7))^2/((DATOS!$B$14*E7)/(DATOS!$B$14+2*E7))^(4/3))+((DATOS!$B$27*C8/(DATOS!$B$14*((AD8+AE8)/2)))^2/((DATOS!$B$14*((AD8+AE8)/2))/(DATOS!$B$14+2*((AD8+AE8)/2)))^(4/3)))*(A7-A8)))&lt;0,AE8,((AD8+AE8)/2))</f>
        <v/>
      </c>
      <c r="AH8" s="16">
        <f>IF((((AF8+AG8)/2)+(C8/(DATOS!$B$14*((AF8+AG8)/2)))^2/(2*9.81)+B8-(E7+(C7/(DATOS!$B$14*E7))^2/(2*9.81)+B7+0.5*(((DATOS!$B$27*C7/(DATOS!$B$14*E7))^2/((DATOS!$B$14*E7)/(DATOS!$B$14+2*E7))^(4/3))+((DATOS!$B$27*C8/(DATOS!$B$14*((AF8+AG8)/2)))^2/((DATOS!$B$14*((AF8+AG8)/2))/(DATOS!$B$14+2*((AF8+AG8)/2)))^(4/3)))*(A7-A8)))&lt;0,((AF8+AG8)/2),AF8)</f>
        <v/>
      </c>
      <c r="AI8" s="16">
        <f>IF((((AF8+AG8)/2)+(C8/(DATOS!$B$14*((AF8+AG8)/2)))^2/(2*9.81)+B8-(E7+(C7/(DATOS!$B$14*E7))^2/(2*9.81)+B7+0.5*(((DATOS!$B$27*C7/(DATOS!$B$14*E7))^2/((DATOS!$B$14*E7)/(DATOS!$B$14+2*E7))^(4/3))+((DATOS!$B$27*C8/(DATOS!$B$14*((AF8+AG8)/2)))^2/((DATOS!$B$14*((AF8+AG8)/2))/(DATOS!$B$14+2*((AF8+AG8)/2)))^(4/3)))*(A7-A8)))&lt;0,AG8,((AF8+AG8)/2))</f>
        <v/>
      </c>
      <c r="AJ8" s="16">
        <f>IF((((AH8+AI8)/2)+(C8/(DATOS!$B$14*((AH8+AI8)/2)))^2/(2*9.81)+B8-(E7+(C7/(DATOS!$B$14*E7))^2/(2*9.81)+B7+0.5*(((DATOS!$B$27*C7/(DATOS!$B$14*E7))^2/((DATOS!$B$14*E7)/(DATOS!$B$14+2*E7))^(4/3))+((DATOS!$B$27*C8/(DATOS!$B$14*((AH8+AI8)/2)))^2/((DATOS!$B$14*((AH8+AI8)/2))/(DATOS!$B$14+2*((AH8+AI8)/2)))^(4/3)))*(A7-A8)))&lt;0,((AH8+AI8)/2),AH8)</f>
        <v/>
      </c>
      <c r="AK8" s="16">
        <f>IF((((AH8+AI8)/2)+(C8/(DATOS!$B$14*((AH8+AI8)/2)))^2/(2*9.81)+B8-(E7+(C7/(DATOS!$B$14*E7))^2/(2*9.81)+B7+0.5*(((DATOS!$B$27*C7/(DATOS!$B$14*E7))^2/((DATOS!$B$14*E7)/(DATOS!$B$14+2*E7))^(4/3))+((DATOS!$B$27*C8/(DATOS!$B$14*((AH8+AI8)/2)))^2/((DATOS!$B$14*((AH8+AI8)/2))/(DATOS!$B$14+2*((AH8+AI8)/2)))^(4/3)))*(A7-A8)))&lt;0,AI8,((AH8+AI8)/2))</f>
        <v/>
      </c>
      <c r="AL8" s="16">
        <f>IF((((AJ8+AK8)/2)+(C8/(DATOS!$B$14*((AJ8+AK8)/2)))^2/(2*9.81)+B8-(E7+(C7/(DATOS!$B$14*E7))^2/(2*9.81)+B7+0.5*(((DATOS!$B$27*C7/(DATOS!$B$14*E7))^2/((DATOS!$B$14*E7)/(DATOS!$B$14+2*E7))^(4/3))+((DATOS!$B$27*C8/(DATOS!$B$14*((AJ8+AK8)/2)))^2/((DATOS!$B$14*((AJ8+AK8)/2))/(DATOS!$B$14+2*((AJ8+AK8)/2)))^(4/3)))*(A7-A8)))&lt;0,((AJ8+AK8)/2),AJ8)</f>
        <v/>
      </c>
      <c r="AM8" s="16">
        <f>IF((((AJ8+AK8)/2)+(C8/(DATOS!$B$14*((AJ8+AK8)/2)))^2/(2*9.81)+B8-(E7+(C7/(DATOS!$B$14*E7))^2/(2*9.81)+B7+0.5*(((DATOS!$B$27*C7/(DATOS!$B$14*E7))^2/((DATOS!$B$14*E7)/(DATOS!$B$14+2*E7))^(4/3))+((DATOS!$B$27*C8/(DATOS!$B$14*((AJ8+AK8)/2)))^2/((DATOS!$B$14*((AJ8+AK8)/2))/(DATOS!$B$14+2*((AJ8+AK8)/2)))^(4/3)))*(A7-A8)))&lt;0,AK8,((AJ8+AK8)/2))</f>
        <v/>
      </c>
      <c r="AN8" s="16">
        <f>IF((((AL8+AM8)/2)+(C8/(DATOS!$B$14*((AL8+AM8)/2)))^2/(2*9.81)+B8-(E7+(C7/(DATOS!$B$14*E7))^2/(2*9.81)+B7+0.5*(((DATOS!$B$27*C7/(DATOS!$B$14*E7))^2/((DATOS!$B$14*E7)/(DATOS!$B$14+2*E7))^(4/3))+((DATOS!$B$27*C8/(DATOS!$B$14*((AL8+AM8)/2)))^2/((DATOS!$B$14*((AL8+AM8)/2))/(DATOS!$B$14+2*((AL8+AM8)/2)))^(4/3)))*(A7-A8)))&lt;0,((AL8+AM8)/2),AL8)</f>
        <v/>
      </c>
      <c r="AO8" s="16">
        <f>IF((((AL8+AM8)/2)+(C8/(DATOS!$B$14*((AL8+AM8)/2)))^2/(2*9.81)+B8-(E7+(C7/(DATOS!$B$14*E7))^2/(2*9.81)+B7+0.5*(((DATOS!$B$27*C7/(DATOS!$B$14*E7))^2/((DATOS!$B$14*E7)/(DATOS!$B$14+2*E7))^(4/3))+((DATOS!$B$27*C8/(DATOS!$B$14*((AL8+AM8)/2)))^2/((DATOS!$B$14*((AL8+AM8)/2))/(DATOS!$B$14+2*((AL8+AM8)/2)))^(4/3)))*(A7-A8)))&lt;0,AM8,((AL8+AM8)/2))</f>
        <v/>
      </c>
      <c r="AP8" s="16">
        <f>IF((((AN8+AO8)/2)+(C8/(DATOS!$B$14*((AN8+AO8)/2)))^2/(2*9.81)+B8-(E7+(C7/(DATOS!$B$14*E7))^2/(2*9.81)+B7+0.5*(((DATOS!$B$27*C7/(DATOS!$B$14*E7))^2/((DATOS!$B$14*E7)/(DATOS!$B$14+2*E7))^(4/3))+((DATOS!$B$27*C8/(DATOS!$B$14*((AN8+AO8)/2)))^2/((DATOS!$B$14*((AN8+AO8)/2))/(DATOS!$B$14+2*((AN8+AO8)/2)))^(4/3)))*(A7-A8)))&lt;0,((AN8+AO8)/2),AN8)</f>
        <v/>
      </c>
      <c r="AQ8" s="16">
        <f>IF((((AN8+AO8)/2)+(C8/(DATOS!$B$14*((AN8+AO8)/2)))^2/(2*9.81)+B8-(E7+(C7/(DATOS!$B$14*E7))^2/(2*9.81)+B7+0.5*(((DATOS!$B$27*C7/(DATOS!$B$14*E7))^2/((DATOS!$B$14*E7)/(DATOS!$B$14+2*E7))^(4/3))+((DATOS!$B$27*C8/(DATOS!$B$14*((AN8+AO8)/2)))^2/((DATOS!$B$14*((AN8+AO8)/2))/(DATOS!$B$14+2*((AN8+AO8)/2)))^(4/3)))*(A7-A8)))&lt;0,AO8,((AN8+AO8)/2))</f>
        <v/>
      </c>
      <c r="AR8" s="16">
        <f>IF((((AP8+AQ8)/2)+(C8/(DATOS!$B$14*((AP8+AQ8)/2)))^2/(2*9.81)+B8-(E7+(C7/(DATOS!$B$14*E7))^2/(2*9.81)+B7+0.5*(((DATOS!$B$27*C7/(DATOS!$B$14*E7))^2/((DATOS!$B$14*E7)/(DATOS!$B$14+2*E7))^(4/3))+((DATOS!$B$27*C8/(DATOS!$B$14*((AP8+AQ8)/2)))^2/((DATOS!$B$14*((AP8+AQ8)/2))/(DATOS!$B$14+2*((AP8+AQ8)/2)))^(4/3)))*(A7-A8)))&lt;0,((AP8+AQ8)/2),AP8)</f>
        <v/>
      </c>
      <c r="AS8" s="16">
        <f>IF((((AP8+AQ8)/2)+(C8/(DATOS!$B$14*((AP8+AQ8)/2)))^2/(2*9.81)+B8-(E7+(C7/(DATOS!$B$14*E7))^2/(2*9.81)+B7+0.5*(((DATOS!$B$27*C7/(DATOS!$B$14*E7))^2/((DATOS!$B$14*E7)/(DATOS!$B$14+2*E7))^(4/3))+((DATOS!$B$27*C8/(DATOS!$B$14*((AP8+AQ8)/2)))^2/((DATOS!$B$14*((AP8+AQ8)/2))/(DATOS!$B$14+2*((AP8+AQ8)/2)))^(4/3)))*(A7-A8)))&lt;0,AQ8,((AP8+AQ8)/2))</f>
        <v/>
      </c>
      <c r="AT8" s="16">
        <f>IF((((AR8+AS8)/2)+(C8/(DATOS!$B$14*((AR8+AS8)/2)))^2/(2*9.81)+B8-(E7+(C7/(DATOS!$B$14*E7))^2/(2*9.81)+B7+0.5*(((DATOS!$B$27*C7/(DATOS!$B$14*E7))^2/((DATOS!$B$14*E7)/(DATOS!$B$14+2*E7))^(4/3))+((DATOS!$B$27*C8/(DATOS!$B$14*((AR8+AS8)/2)))^2/((DATOS!$B$14*((AR8+AS8)/2))/(DATOS!$B$14+2*((AR8+AS8)/2)))^(4/3)))*(A7-A8)))&lt;0,((AR8+AS8)/2),AR8)</f>
        <v/>
      </c>
      <c r="AU8" s="16">
        <f>IF((((AR8+AS8)/2)+(C8/(DATOS!$B$14*((AR8+AS8)/2)))^2/(2*9.81)+B8-(E7+(C7/(DATOS!$B$14*E7))^2/(2*9.81)+B7+0.5*(((DATOS!$B$27*C7/(DATOS!$B$14*E7))^2/((DATOS!$B$14*E7)/(DATOS!$B$14+2*E7))^(4/3))+((DATOS!$B$27*C8/(DATOS!$B$14*((AR8+AS8)/2)))^2/((DATOS!$B$14*((AR8+AS8)/2))/(DATOS!$B$14+2*((AR8+AS8)/2)))^(4/3)))*(A7-A8)))&lt;0,AS8,((AR8+AS8)/2))</f>
        <v/>
      </c>
      <c r="AV8" s="16">
        <f>IF((((AT8+AU8)/2)+(C8/(DATOS!$B$14*((AT8+AU8)/2)))^2/(2*9.81)+B8-(E7+(C7/(DATOS!$B$14*E7))^2/(2*9.81)+B7+0.5*(((DATOS!$B$27*C7/(DATOS!$B$14*E7))^2/((DATOS!$B$14*E7)/(DATOS!$B$14+2*E7))^(4/3))+((DATOS!$B$27*C8/(DATOS!$B$14*((AT8+AU8)/2)))^2/((DATOS!$B$14*((AT8+AU8)/2))/(DATOS!$B$14+2*((AT8+AU8)/2)))^(4/3)))*(A7-A8)))&lt;0,((AT8+AU8)/2),AT8)</f>
        <v/>
      </c>
      <c r="AW8" s="16">
        <f>IF((((AT8+AU8)/2)+(C8/(DATOS!$B$14*((AT8+AU8)/2)))^2/(2*9.81)+B8-(E7+(C7/(DATOS!$B$14*E7))^2/(2*9.81)+B7+0.5*(((DATOS!$B$27*C7/(DATOS!$B$14*E7))^2/((DATOS!$B$14*E7)/(DATOS!$B$14+2*E7))^(4/3))+((DATOS!$B$27*C8/(DATOS!$B$14*((AT8+AU8)/2)))^2/((DATOS!$B$14*((AT8+AU8)/2))/(DATOS!$B$14+2*((AT8+AU8)/2)))^(4/3)))*(A7-A8)))&lt;0,AU8,((AT8+AU8)/2))</f>
        <v/>
      </c>
      <c r="AX8" s="16">
        <f>IF((((AV8+AW8)/2)+(C8/(DATOS!$B$14*((AV8+AW8)/2)))^2/(2*9.81)+B8-(E7+(C7/(DATOS!$B$14*E7))^2/(2*9.81)+B7+0.5*(((DATOS!$B$27*C7/(DATOS!$B$14*E7))^2/((DATOS!$B$14*E7)/(DATOS!$B$14+2*E7))^(4/3))+((DATOS!$B$27*C8/(DATOS!$B$14*((AV8+AW8)/2)))^2/((DATOS!$B$14*((AV8+AW8)/2))/(DATOS!$B$14+2*((AV8+AW8)/2)))^(4/3)))*(A7-A8)))&lt;0,((AV8+AW8)/2),AV8)</f>
        <v/>
      </c>
      <c r="AY8" s="16">
        <f>IF((((AV8+AW8)/2)+(C8/(DATOS!$B$14*((AV8+AW8)/2)))^2/(2*9.81)+B8-(E7+(C7/(DATOS!$B$14*E7))^2/(2*9.81)+B7+0.5*(((DATOS!$B$27*C7/(DATOS!$B$14*E7))^2/((DATOS!$B$14*E7)/(DATOS!$B$14+2*E7))^(4/3))+((DATOS!$B$27*C8/(DATOS!$B$14*((AV8+AW8)/2)))^2/((DATOS!$B$14*((AV8+AW8)/2))/(DATOS!$B$14+2*((AV8+AW8)/2)))^(4/3)))*(A7-A8)))&lt;0,AW8,((AV8+AW8)/2))</f>
        <v/>
      </c>
      <c r="AZ8" s="16">
        <f>IF((((AX8+AY8)/2)+(C8/(DATOS!$B$14*((AX8+AY8)/2)))^2/(2*9.81)+B8-(E7+(C7/(DATOS!$B$14*E7))^2/(2*9.81)+B7+0.5*(((DATOS!$B$27*C7/(DATOS!$B$14*E7))^2/((DATOS!$B$14*E7)/(DATOS!$B$14+2*E7))^(4/3))+((DATOS!$B$27*C8/(DATOS!$B$14*((AX8+AY8)/2)))^2/((DATOS!$B$14*((AX8+AY8)/2))/(DATOS!$B$14+2*((AX8+AY8)/2)))^(4/3)))*(A7-A8)))&lt;0,((AX8+AY8)/2),AX8)</f>
        <v/>
      </c>
      <c r="BA8" s="16">
        <f>IF((((AX8+AY8)/2)+(C8/(DATOS!$B$14*((AX8+AY8)/2)))^2/(2*9.81)+B8-(E7+(C7/(DATOS!$B$14*E7))^2/(2*9.81)+B7+0.5*(((DATOS!$B$27*C7/(DATOS!$B$14*E7))^2/((DATOS!$B$14*E7)/(DATOS!$B$14+2*E7))^(4/3))+((DATOS!$B$27*C8/(DATOS!$B$14*((AX8+AY8)/2)))^2/((DATOS!$B$14*((AX8+AY8)/2))/(DATOS!$B$14+2*((AX8+AY8)/2)))^(4/3)))*(A7-A8)))&lt;0,AY8,((AX8+AY8)/2))</f>
        <v/>
      </c>
      <c r="BB8" s="16">
        <f>IF((((AZ8+BA8)/2)+(C8/(DATOS!$B$14*((AZ8+BA8)/2)))^2/(2*9.81)+B8-(E7+(C7/(DATOS!$B$14*E7))^2/(2*9.81)+B7+0.5*(((DATOS!$B$27*C7/(DATOS!$B$14*E7))^2/((DATOS!$B$14*E7)/(DATOS!$B$14+2*E7))^(4/3))+((DATOS!$B$27*C8/(DATOS!$B$14*((AZ8+BA8)/2)))^2/((DATOS!$B$14*((AZ8+BA8)/2))/(DATOS!$B$14+2*((AZ8+BA8)/2)))^(4/3)))*(A7-A8)))&lt;0,((AZ8+BA8)/2),AZ8)</f>
        <v/>
      </c>
      <c r="BC8" s="16">
        <f>IF((((AZ8+BA8)/2)+(C8/(DATOS!$B$14*((AZ8+BA8)/2)))^2/(2*9.81)+B8-(E7+(C7/(DATOS!$B$14*E7))^2/(2*9.81)+B7+0.5*(((DATOS!$B$27*C7/(DATOS!$B$14*E7))^2/((DATOS!$B$14*E7)/(DATOS!$B$14+2*E7))^(4/3))+((DATOS!$B$27*C8/(DATOS!$B$14*((AZ8+BA8)/2)))^2/((DATOS!$B$14*((AZ8+BA8)/2))/(DATOS!$B$14+2*((AZ8+BA8)/2)))^(4/3)))*(A7-A8)))&lt;0,BA8,((AZ8+BA8)/2))</f>
        <v/>
      </c>
      <c r="BD8" s="16">
        <f>IF((((BB8+BC8)/2)+(C8/(DATOS!$B$14*((BB8+BC8)/2)))^2/(2*9.81)+B8-(E7+(C7/(DATOS!$B$14*E7))^2/(2*9.81)+B7+0.5*(((DATOS!$B$27*C7/(DATOS!$B$14*E7))^2/((DATOS!$B$14*E7)/(DATOS!$B$14+2*E7))^(4/3))+((DATOS!$B$27*C8/(DATOS!$B$14*((BB8+BC8)/2)))^2/((DATOS!$B$14*((BB8+BC8)/2))/(DATOS!$B$14+2*((BB8+BC8)/2)))^(4/3)))*(A7-A8)))&lt;0,((BB8+BC8)/2),BB8)</f>
        <v/>
      </c>
      <c r="BE8" s="16">
        <f>IF((((BB8+BC8)/2)+(C8/(DATOS!$B$14*((BB8+BC8)/2)))^2/(2*9.81)+B8-(E7+(C7/(DATOS!$B$14*E7))^2/(2*9.81)+B7+0.5*(((DATOS!$B$27*C7/(DATOS!$B$14*E7))^2/((DATOS!$B$14*E7)/(DATOS!$B$14+2*E7))^(4/3))+((DATOS!$B$27*C8/(DATOS!$B$14*((BB8+BC8)/2)))^2/((DATOS!$B$14*((BB8+BC8)/2))/(DATOS!$B$14+2*((BB8+BC8)/2)))^(4/3)))*(A7-A8)))&lt;0,BC8,((BB8+BC8)/2))</f>
        <v/>
      </c>
      <c r="BF8" s="16">
        <f>IF((((BD8+BE8)/2)+(C8/(DATOS!$B$14*((BD8+BE8)/2)))^2/(2*9.81)+B8-(E7+(C7/(DATOS!$B$14*E7))^2/(2*9.81)+B7+0.5*(((DATOS!$B$27*C7/(DATOS!$B$14*E7))^2/((DATOS!$B$14*E7)/(DATOS!$B$14+2*E7))^(4/3))+((DATOS!$B$27*C8/(DATOS!$B$14*((BD8+BE8)/2)))^2/((DATOS!$B$14*((BD8+BE8)/2))/(DATOS!$B$14+2*((BD8+BE8)/2)))^(4/3)))*(A7-A8)))&lt;0,((BD8+BE8)/2),BD8)</f>
        <v/>
      </c>
      <c r="BG8" s="16">
        <f>IF((((BD8+BE8)/2)+(C8/(DATOS!$B$14*((BD8+BE8)/2)))^2/(2*9.81)+B8-(E7+(C7/(DATOS!$B$14*E7))^2/(2*9.81)+B7+0.5*(((DATOS!$B$27*C7/(DATOS!$B$14*E7))^2/((DATOS!$B$14*E7)/(DATOS!$B$14+2*E7))^(4/3))+((DATOS!$B$27*C8/(DATOS!$B$14*((BD8+BE8)/2)))^2/((DATOS!$B$14*((BD8+BE8)/2))/(DATOS!$B$14+2*((BD8+BE8)/2)))^(4/3)))*(A7-A8)))&lt;0,BE8,((BD8+BE8)/2))</f>
        <v/>
      </c>
      <c r="BH8" s="16">
        <f>IF((((BF8+BG8)/2)+(C8/(DATOS!$B$14*((BF8+BG8)/2)))^2/(2*9.81)+B8-(E7+(C7/(DATOS!$B$14*E7))^2/(2*9.81)+B7+0.5*(((DATOS!$B$27*C7/(DATOS!$B$14*E7))^2/((DATOS!$B$14*E7)/(DATOS!$B$14+2*E7))^(4/3))+((DATOS!$B$27*C8/(DATOS!$B$14*((BF8+BG8)/2)))^2/((DATOS!$B$14*((BF8+BG8)/2))/(DATOS!$B$14+2*((BF8+BG8)/2)))^(4/3)))*(A7-A8)))&lt;0,((BF8+BG8)/2),BF8)</f>
        <v/>
      </c>
      <c r="BI8" s="16">
        <f>IF((((BF8+BG8)/2)+(C8/(DATOS!$B$14*((BF8+BG8)/2)))^2/(2*9.81)+B8-(E7+(C7/(DATOS!$B$14*E7))^2/(2*9.81)+B7+0.5*(((DATOS!$B$27*C7/(DATOS!$B$14*E7))^2/((DATOS!$B$14*E7)/(DATOS!$B$14+2*E7))^(4/3))+((DATOS!$B$27*C8/(DATOS!$B$14*((BF8+BG8)/2)))^2/((DATOS!$B$14*((BF8+BG8)/2))/(DATOS!$B$14+2*((BF8+BG8)/2)))^(4/3)))*(A7-A8)))&lt;0,BG8,((BF8+BG8)/2))</f>
        <v/>
      </c>
      <c r="BJ8" s="16">
        <f>IF((((BH8+BI8)/2)+(C8/(DATOS!$B$14*((BH8+BI8)/2)))^2/(2*9.81)+B8-(E7+(C7/(DATOS!$B$14*E7))^2/(2*9.81)+B7+0.5*(((DATOS!$B$27*C7/(DATOS!$B$14*E7))^2/((DATOS!$B$14*E7)/(DATOS!$B$14+2*E7))^(4/3))+((DATOS!$B$27*C8/(DATOS!$B$14*((BH8+BI8)/2)))^2/((DATOS!$B$14*((BH8+BI8)/2))/(DATOS!$B$14+2*((BH8+BI8)/2)))^(4/3)))*(A7-A8)))&lt;0,((BH8+BI8)/2),BH8)</f>
        <v/>
      </c>
      <c r="BK8" s="16">
        <f>IF((((BH8+BI8)/2)+(C8/(DATOS!$B$14*((BH8+BI8)/2)))^2/(2*9.81)+B8-(E7+(C7/(DATOS!$B$14*E7))^2/(2*9.81)+B7+0.5*(((DATOS!$B$27*C7/(DATOS!$B$14*E7))^2/((DATOS!$B$14*E7)/(DATOS!$B$14+2*E7))^(4/3))+((DATOS!$B$27*C8/(DATOS!$B$14*((BH8+BI8)/2)))^2/((DATOS!$B$14*((BH8+BI8)/2))/(DATOS!$B$14+2*((BH8+BI8)/2)))^(4/3)))*(A7-A8)))&lt;0,BI8,((BH8+BI8)/2))</f>
        <v/>
      </c>
      <c r="BL8" s="16">
        <f>IF((((BJ8+BK8)/2)+(C8/(DATOS!$B$14*((BJ8+BK8)/2)))^2/(2*9.81)+B8-(E7+(C7/(DATOS!$B$14*E7))^2/(2*9.81)+B7+0.5*(((DATOS!$B$27*C7/(DATOS!$B$14*E7))^2/((DATOS!$B$14*E7)/(DATOS!$B$14+2*E7))^(4/3))+((DATOS!$B$27*C8/(DATOS!$B$14*((BJ8+BK8)/2)))^2/((DATOS!$B$14*((BJ8+BK8)/2))/(DATOS!$B$14+2*((BJ8+BK8)/2)))^(4/3)))*(A7-A8)))&lt;0,((BJ8+BK8)/2),BJ8)</f>
        <v/>
      </c>
      <c r="BM8" s="16">
        <f>IF((((BJ8+BK8)/2)+(C8/(DATOS!$B$14*((BJ8+BK8)/2)))^2/(2*9.81)+B8-(E7+(C7/(DATOS!$B$14*E7))^2/(2*9.81)+B7+0.5*(((DATOS!$B$27*C7/(DATOS!$B$14*E7))^2/((DATOS!$B$14*E7)/(DATOS!$B$14+2*E7))^(4/3))+((DATOS!$B$27*C8/(DATOS!$B$14*((BJ8+BK8)/2)))^2/((DATOS!$B$14*((BJ8+BK8)/2))/(DATOS!$B$14+2*((BJ8+BK8)/2)))^(4/3)))*(A7-A8)))&lt;0,BK8,((BJ8+BK8)/2))</f>
        <v/>
      </c>
      <c r="BN8" s="16">
        <f>IF((((BL8+BM8)/2)+(C8/(DATOS!$B$14*((BL8+BM8)/2)))^2/(2*9.81)+B8-(E7+(C7/(DATOS!$B$14*E7))^2/(2*9.81)+B7+0.5*(((DATOS!$B$27*C7/(DATOS!$B$14*E7))^2/((DATOS!$B$14*E7)/(DATOS!$B$14+2*E7))^(4/3))+((DATOS!$B$27*C8/(DATOS!$B$14*((BL8+BM8)/2)))^2/((DATOS!$B$14*((BL8+BM8)/2))/(DATOS!$B$14+2*((BL8+BM8)/2)))^(4/3)))*(A7-A8)))&lt;0,((BL8+BM8)/2),BL8)</f>
        <v/>
      </c>
      <c r="BO8" s="16">
        <f>IF((((BL8+BM8)/2)+(C8/(DATOS!$B$14*((BL8+BM8)/2)))^2/(2*9.81)+B8-(E7+(C7/(DATOS!$B$14*E7))^2/(2*9.81)+B7+0.5*(((DATOS!$B$27*C7/(DATOS!$B$14*E7))^2/((DATOS!$B$14*E7)/(DATOS!$B$14+2*E7))^(4/3))+((DATOS!$B$27*C8/(DATOS!$B$14*((BL8+BM8)/2)))^2/((DATOS!$B$14*((BL8+BM8)/2))/(DATOS!$B$14+2*((BL8+BM8)/2)))^(4/3)))*(A7-A8)))&lt;0,BM8,((BL8+BM8)/2))</f>
        <v/>
      </c>
      <c r="BP8" s="16">
        <f>IF((((BN8+BO8)/2)+(C8/(DATOS!$B$14*((BN8+BO8)/2)))^2/(2*9.81)+B8-(E7+(C7/(DATOS!$B$14*E7))^2/(2*9.81)+B7+0.5*(((DATOS!$B$27*C7/(DATOS!$B$14*E7))^2/((DATOS!$B$14*E7)/(DATOS!$B$14+2*E7))^(4/3))+((DATOS!$B$27*C8/(DATOS!$B$14*((BN8+BO8)/2)))^2/((DATOS!$B$14*((BN8+BO8)/2))/(DATOS!$B$14+2*((BN8+BO8)/2)))^(4/3)))*(A7-A8)))&lt;0,((BN8+BO8)/2),BN8)</f>
        <v/>
      </c>
      <c r="BQ8" s="16">
        <f>IF((((BN8+BO8)/2)+(C8/(DATOS!$B$14*((BN8+BO8)/2)))^2/(2*9.81)+B8-(E7+(C7/(DATOS!$B$14*E7))^2/(2*9.81)+B7+0.5*(((DATOS!$B$27*C7/(DATOS!$B$14*E7))^2/((DATOS!$B$14*E7)/(DATOS!$B$14+2*E7))^(4/3))+((DATOS!$B$27*C8/(DATOS!$B$14*((BN8+BO8)/2)))^2/((DATOS!$B$14*((BN8+BO8)/2))/(DATOS!$B$14+2*((BN8+BO8)/2)))^(4/3)))*(A7-A8)))&lt;0,BO8,((BN8+BO8)/2))</f>
        <v/>
      </c>
      <c r="BR8" s="16">
        <f>IF((((BP8+BQ8)/2)+(C8/(DATOS!$B$14*((BP8+BQ8)/2)))^2/(2*9.81)+B8-(E7+(C7/(DATOS!$B$14*E7))^2/(2*9.81)+B7+0.5*(((DATOS!$B$27*C7/(DATOS!$B$14*E7))^2/((DATOS!$B$14*E7)/(DATOS!$B$14+2*E7))^(4/3))+((DATOS!$B$27*C8/(DATOS!$B$14*((BP8+BQ8)/2)))^2/((DATOS!$B$14*((BP8+BQ8)/2))/(DATOS!$B$14+2*((BP8+BQ8)/2)))^(4/3)))*(A7-A8)))&lt;0,((BP8+BQ8)/2),BP8)</f>
        <v/>
      </c>
      <c r="BS8" s="16">
        <f>IF((((BP8+BQ8)/2)+(C8/(DATOS!$B$14*((BP8+BQ8)/2)))^2/(2*9.81)+B8-(E7+(C7/(DATOS!$B$14*E7))^2/(2*9.81)+B7+0.5*(((DATOS!$B$27*C7/(DATOS!$B$14*E7))^2/((DATOS!$B$14*E7)/(DATOS!$B$14+2*E7))^(4/3))+((DATOS!$B$27*C8/(DATOS!$B$14*((BP8+BQ8)/2)))^2/((DATOS!$B$14*((BP8+BQ8)/2))/(DATOS!$B$14+2*((BP8+BQ8)/2)))^(4/3)))*(A7-A8)))&lt;0,BQ8,((BP8+BQ8)/2))</f>
        <v/>
      </c>
      <c r="BT8" s="16">
        <f>IF((((BR8+BS8)/2)+(C8/(DATOS!$B$14*((BR8+BS8)/2)))^2/(2*9.81)+B8-(E7+(C7/(DATOS!$B$14*E7))^2/(2*9.81)+B7+0.5*(((DATOS!$B$27*C7/(DATOS!$B$14*E7))^2/((DATOS!$B$14*E7)/(DATOS!$B$14+2*E7))^(4/3))+((DATOS!$B$27*C8/(DATOS!$B$14*((BR8+BS8)/2)))^2/((DATOS!$B$14*((BR8+BS8)/2))/(DATOS!$B$14+2*((BR8+BS8)/2)))^(4/3)))*(A7-A8)))&lt;0,((BR8+BS8)/2),BR8)</f>
        <v/>
      </c>
      <c r="BU8" s="16">
        <f>IF((((BR8+BS8)/2)+(C8/(DATOS!$B$14*((BR8+BS8)/2)))^2/(2*9.81)+B8-(E7+(C7/(DATOS!$B$14*E7))^2/(2*9.81)+B7+0.5*(((DATOS!$B$27*C7/(DATOS!$B$14*E7))^2/((DATOS!$B$14*E7)/(DATOS!$B$14+2*E7))^(4/3))+((DATOS!$B$27*C8/(DATOS!$B$14*((BR8+BS8)/2)))^2/((DATOS!$B$14*((BR8+BS8)/2))/(DATOS!$B$14+2*((BR8+BS8)/2)))^(4/3)))*(A7-A8)))&lt;0,BS8,((BR8+BS8)/2))</f>
        <v/>
      </c>
    </row>
    <row r="9">
      <c r="A9" s="30" t="n">
        <v>132</v>
      </c>
      <c r="B9" s="21">
        <f>DATOS!$B$16-DATOS!$B$19*A9</f>
        <v/>
      </c>
      <c r="C9" s="21">
        <f>IF(A9&lt;CAUDALES!$B$13,CAUDALES!$D$12,IF(A9&lt;CAUDALES!$B$14,CAUDALES!$D$13,IF(A9&lt;CAUDALES!$B$15,CAUDALES!$D$14,CAUDALES!$D$15)))/1000</f>
        <v/>
      </c>
      <c r="D9" s="21">
        <f>(C9^2/(9.81*DATOS!$B$14^2))^(1/3)</f>
        <v/>
      </c>
      <c r="E9" s="29">
        <f>(BT9+BU9)/2</f>
        <v/>
      </c>
      <c r="F9" s="21">
        <f>B9+E9</f>
        <v/>
      </c>
      <c r="G9" s="17">
        <f>C9/(DATOS!$B$14*E9)</f>
        <v/>
      </c>
      <c r="H9" s="17">
        <f>G9/SQRT(9.81*E9)</f>
        <v/>
      </c>
      <c r="I9" s="21">
        <f>IF(A9&lt;=DATOS!$B$20,DATOS!$B$21-IF(AND(A9&gt;=DATOS!$B$23,A9&lt;DATOS!$B$24),DATOS!$B$25,DATOS!$B$22),B9+DATOS!$B$26)</f>
        <v/>
      </c>
      <c r="J9" s="17">
        <f>I9-B9</f>
        <v/>
      </c>
      <c r="K9" s="31">
        <f>E9/J9</f>
        <v/>
      </c>
      <c r="L9" s="21">
        <f>I9-F9</f>
        <v/>
      </c>
      <c r="M9" s="32">
        <f>IF(AND(K9&lt;=DATOS!$B$29,L9&gt;=DATOS!$B$30),"CUMPLE","NO CUMPLE")</f>
        <v/>
      </c>
      <c r="N9" s="13">
        <f>IF(A9&gt;DATOS!$B$20,"cubierto - tramo final",IF(AND(A9&gt;=DATOS!$B$23,A9&lt;DATOS!$B$24),"cubierto - camiones","cubierto"))</f>
        <v/>
      </c>
      <c r="P9" s="16">
        <f>D9*1.001</f>
        <v/>
      </c>
      <c r="Q9" s="16" t="n">
        <v>2</v>
      </c>
      <c r="R9" s="16">
        <f>IF((((P9+Q9)/2)+(C9/(DATOS!$B$14*((P9+Q9)/2)))^2/(2*9.81)+B9-(E8+(C8/(DATOS!$B$14*E8))^2/(2*9.81)+B8+0.5*(((DATOS!$B$27*C8/(DATOS!$B$14*E8))^2/((DATOS!$B$14*E8)/(DATOS!$B$14+2*E8))^(4/3))+((DATOS!$B$27*C9/(DATOS!$B$14*((P9+Q9)/2)))^2/((DATOS!$B$14*((P9+Q9)/2))/(DATOS!$B$14+2*((P9+Q9)/2)))^(4/3)))*(A8-A9)))&lt;0,((P9+Q9)/2),P9)</f>
        <v/>
      </c>
      <c r="S9" s="16">
        <f>IF((((P9+Q9)/2)+(C9/(DATOS!$B$14*((P9+Q9)/2)))^2/(2*9.81)+B9-(E8+(C8/(DATOS!$B$14*E8))^2/(2*9.81)+B8+0.5*(((DATOS!$B$27*C8/(DATOS!$B$14*E8))^2/((DATOS!$B$14*E8)/(DATOS!$B$14+2*E8))^(4/3))+((DATOS!$B$27*C9/(DATOS!$B$14*((P9+Q9)/2)))^2/((DATOS!$B$14*((P9+Q9)/2))/(DATOS!$B$14+2*((P9+Q9)/2)))^(4/3)))*(A8-A9)))&lt;0,Q9,((P9+Q9)/2))</f>
        <v/>
      </c>
      <c r="T9" s="16">
        <f>IF((((R9+S9)/2)+(C9/(DATOS!$B$14*((R9+S9)/2)))^2/(2*9.81)+B9-(E8+(C8/(DATOS!$B$14*E8))^2/(2*9.81)+B8+0.5*(((DATOS!$B$27*C8/(DATOS!$B$14*E8))^2/((DATOS!$B$14*E8)/(DATOS!$B$14+2*E8))^(4/3))+((DATOS!$B$27*C9/(DATOS!$B$14*((R9+S9)/2)))^2/((DATOS!$B$14*((R9+S9)/2))/(DATOS!$B$14+2*((R9+S9)/2)))^(4/3)))*(A8-A9)))&lt;0,((R9+S9)/2),R9)</f>
        <v/>
      </c>
      <c r="U9" s="16">
        <f>IF((((R9+S9)/2)+(C9/(DATOS!$B$14*((R9+S9)/2)))^2/(2*9.81)+B9-(E8+(C8/(DATOS!$B$14*E8))^2/(2*9.81)+B8+0.5*(((DATOS!$B$27*C8/(DATOS!$B$14*E8))^2/((DATOS!$B$14*E8)/(DATOS!$B$14+2*E8))^(4/3))+((DATOS!$B$27*C9/(DATOS!$B$14*((R9+S9)/2)))^2/((DATOS!$B$14*((R9+S9)/2))/(DATOS!$B$14+2*((R9+S9)/2)))^(4/3)))*(A8-A9)))&lt;0,S9,((R9+S9)/2))</f>
        <v/>
      </c>
      <c r="V9" s="16">
        <f>IF((((T9+U9)/2)+(C9/(DATOS!$B$14*((T9+U9)/2)))^2/(2*9.81)+B9-(E8+(C8/(DATOS!$B$14*E8))^2/(2*9.81)+B8+0.5*(((DATOS!$B$27*C8/(DATOS!$B$14*E8))^2/((DATOS!$B$14*E8)/(DATOS!$B$14+2*E8))^(4/3))+((DATOS!$B$27*C9/(DATOS!$B$14*((T9+U9)/2)))^2/((DATOS!$B$14*((T9+U9)/2))/(DATOS!$B$14+2*((T9+U9)/2)))^(4/3)))*(A8-A9)))&lt;0,((T9+U9)/2),T9)</f>
        <v/>
      </c>
      <c r="W9" s="16">
        <f>IF((((T9+U9)/2)+(C9/(DATOS!$B$14*((T9+U9)/2)))^2/(2*9.81)+B9-(E8+(C8/(DATOS!$B$14*E8))^2/(2*9.81)+B8+0.5*(((DATOS!$B$27*C8/(DATOS!$B$14*E8))^2/((DATOS!$B$14*E8)/(DATOS!$B$14+2*E8))^(4/3))+((DATOS!$B$27*C9/(DATOS!$B$14*((T9+U9)/2)))^2/((DATOS!$B$14*((T9+U9)/2))/(DATOS!$B$14+2*((T9+U9)/2)))^(4/3)))*(A8-A9)))&lt;0,U9,((T9+U9)/2))</f>
        <v/>
      </c>
      <c r="X9" s="16">
        <f>IF((((V9+W9)/2)+(C9/(DATOS!$B$14*((V9+W9)/2)))^2/(2*9.81)+B9-(E8+(C8/(DATOS!$B$14*E8))^2/(2*9.81)+B8+0.5*(((DATOS!$B$27*C8/(DATOS!$B$14*E8))^2/((DATOS!$B$14*E8)/(DATOS!$B$14+2*E8))^(4/3))+((DATOS!$B$27*C9/(DATOS!$B$14*((V9+W9)/2)))^2/((DATOS!$B$14*((V9+W9)/2))/(DATOS!$B$14+2*((V9+W9)/2)))^(4/3)))*(A8-A9)))&lt;0,((V9+W9)/2),V9)</f>
        <v/>
      </c>
      <c r="Y9" s="16">
        <f>IF((((V9+W9)/2)+(C9/(DATOS!$B$14*((V9+W9)/2)))^2/(2*9.81)+B9-(E8+(C8/(DATOS!$B$14*E8))^2/(2*9.81)+B8+0.5*(((DATOS!$B$27*C8/(DATOS!$B$14*E8))^2/((DATOS!$B$14*E8)/(DATOS!$B$14+2*E8))^(4/3))+((DATOS!$B$27*C9/(DATOS!$B$14*((V9+W9)/2)))^2/((DATOS!$B$14*((V9+W9)/2))/(DATOS!$B$14+2*((V9+W9)/2)))^(4/3)))*(A8-A9)))&lt;0,W9,((V9+W9)/2))</f>
        <v/>
      </c>
      <c r="Z9" s="16">
        <f>IF((((X9+Y9)/2)+(C9/(DATOS!$B$14*((X9+Y9)/2)))^2/(2*9.81)+B9-(E8+(C8/(DATOS!$B$14*E8))^2/(2*9.81)+B8+0.5*(((DATOS!$B$27*C8/(DATOS!$B$14*E8))^2/((DATOS!$B$14*E8)/(DATOS!$B$14+2*E8))^(4/3))+((DATOS!$B$27*C9/(DATOS!$B$14*((X9+Y9)/2)))^2/((DATOS!$B$14*((X9+Y9)/2))/(DATOS!$B$14+2*((X9+Y9)/2)))^(4/3)))*(A8-A9)))&lt;0,((X9+Y9)/2),X9)</f>
        <v/>
      </c>
      <c r="AA9" s="16">
        <f>IF((((X9+Y9)/2)+(C9/(DATOS!$B$14*((X9+Y9)/2)))^2/(2*9.81)+B9-(E8+(C8/(DATOS!$B$14*E8))^2/(2*9.81)+B8+0.5*(((DATOS!$B$27*C8/(DATOS!$B$14*E8))^2/((DATOS!$B$14*E8)/(DATOS!$B$14+2*E8))^(4/3))+((DATOS!$B$27*C9/(DATOS!$B$14*((X9+Y9)/2)))^2/((DATOS!$B$14*((X9+Y9)/2))/(DATOS!$B$14+2*((X9+Y9)/2)))^(4/3)))*(A8-A9)))&lt;0,Y9,((X9+Y9)/2))</f>
        <v/>
      </c>
      <c r="AB9" s="16">
        <f>IF((((Z9+AA9)/2)+(C9/(DATOS!$B$14*((Z9+AA9)/2)))^2/(2*9.81)+B9-(E8+(C8/(DATOS!$B$14*E8))^2/(2*9.81)+B8+0.5*(((DATOS!$B$27*C8/(DATOS!$B$14*E8))^2/((DATOS!$B$14*E8)/(DATOS!$B$14+2*E8))^(4/3))+((DATOS!$B$27*C9/(DATOS!$B$14*((Z9+AA9)/2)))^2/((DATOS!$B$14*((Z9+AA9)/2))/(DATOS!$B$14+2*((Z9+AA9)/2)))^(4/3)))*(A8-A9)))&lt;0,((Z9+AA9)/2),Z9)</f>
        <v/>
      </c>
      <c r="AC9" s="16">
        <f>IF((((Z9+AA9)/2)+(C9/(DATOS!$B$14*((Z9+AA9)/2)))^2/(2*9.81)+B9-(E8+(C8/(DATOS!$B$14*E8))^2/(2*9.81)+B8+0.5*(((DATOS!$B$27*C8/(DATOS!$B$14*E8))^2/((DATOS!$B$14*E8)/(DATOS!$B$14+2*E8))^(4/3))+((DATOS!$B$27*C9/(DATOS!$B$14*((Z9+AA9)/2)))^2/((DATOS!$B$14*((Z9+AA9)/2))/(DATOS!$B$14+2*((Z9+AA9)/2)))^(4/3)))*(A8-A9)))&lt;0,AA9,((Z9+AA9)/2))</f>
        <v/>
      </c>
      <c r="AD9" s="16">
        <f>IF((((AB9+AC9)/2)+(C9/(DATOS!$B$14*((AB9+AC9)/2)))^2/(2*9.81)+B9-(E8+(C8/(DATOS!$B$14*E8))^2/(2*9.81)+B8+0.5*(((DATOS!$B$27*C8/(DATOS!$B$14*E8))^2/((DATOS!$B$14*E8)/(DATOS!$B$14+2*E8))^(4/3))+((DATOS!$B$27*C9/(DATOS!$B$14*((AB9+AC9)/2)))^2/((DATOS!$B$14*((AB9+AC9)/2))/(DATOS!$B$14+2*((AB9+AC9)/2)))^(4/3)))*(A8-A9)))&lt;0,((AB9+AC9)/2),AB9)</f>
        <v/>
      </c>
      <c r="AE9" s="16">
        <f>IF((((AB9+AC9)/2)+(C9/(DATOS!$B$14*((AB9+AC9)/2)))^2/(2*9.81)+B9-(E8+(C8/(DATOS!$B$14*E8))^2/(2*9.81)+B8+0.5*(((DATOS!$B$27*C8/(DATOS!$B$14*E8))^2/((DATOS!$B$14*E8)/(DATOS!$B$14+2*E8))^(4/3))+((DATOS!$B$27*C9/(DATOS!$B$14*((AB9+AC9)/2)))^2/((DATOS!$B$14*((AB9+AC9)/2))/(DATOS!$B$14+2*((AB9+AC9)/2)))^(4/3)))*(A8-A9)))&lt;0,AC9,((AB9+AC9)/2))</f>
        <v/>
      </c>
      <c r="AF9" s="16">
        <f>IF((((AD9+AE9)/2)+(C9/(DATOS!$B$14*((AD9+AE9)/2)))^2/(2*9.81)+B9-(E8+(C8/(DATOS!$B$14*E8))^2/(2*9.81)+B8+0.5*(((DATOS!$B$27*C8/(DATOS!$B$14*E8))^2/((DATOS!$B$14*E8)/(DATOS!$B$14+2*E8))^(4/3))+((DATOS!$B$27*C9/(DATOS!$B$14*((AD9+AE9)/2)))^2/((DATOS!$B$14*((AD9+AE9)/2))/(DATOS!$B$14+2*((AD9+AE9)/2)))^(4/3)))*(A8-A9)))&lt;0,((AD9+AE9)/2),AD9)</f>
        <v/>
      </c>
      <c r="AG9" s="16">
        <f>IF((((AD9+AE9)/2)+(C9/(DATOS!$B$14*((AD9+AE9)/2)))^2/(2*9.81)+B9-(E8+(C8/(DATOS!$B$14*E8))^2/(2*9.81)+B8+0.5*(((DATOS!$B$27*C8/(DATOS!$B$14*E8))^2/((DATOS!$B$14*E8)/(DATOS!$B$14+2*E8))^(4/3))+((DATOS!$B$27*C9/(DATOS!$B$14*((AD9+AE9)/2)))^2/((DATOS!$B$14*((AD9+AE9)/2))/(DATOS!$B$14+2*((AD9+AE9)/2)))^(4/3)))*(A8-A9)))&lt;0,AE9,((AD9+AE9)/2))</f>
        <v/>
      </c>
      <c r="AH9" s="16">
        <f>IF((((AF9+AG9)/2)+(C9/(DATOS!$B$14*((AF9+AG9)/2)))^2/(2*9.81)+B9-(E8+(C8/(DATOS!$B$14*E8))^2/(2*9.81)+B8+0.5*(((DATOS!$B$27*C8/(DATOS!$B$14*E8))^2/((DATOS!$B$14*E8)/(DATOS!$B$14+2*E8))^(4/3))+((DATOS!$B$27*C9/(DATOS!$B$14*((AF9+AG9)/2)))^2/((DATOS!$B$14*((AF9+AG9)/2))/(DATOS!$B$14+2*((AF9+AG9)/2)))^(4/3)))*(A8-A9)))&lt;0,((AF9+AG9)/2),AF9)</f>
        <v/>
      </c>
      <c r="AI9" s="16">
        <f>IF((((AF9+AG9)/2)+(C9/(DATOS!$B$14*((AF9+AG9)/2)))^2/(2*9.81)+B9-(E8+(C8/(DATOS!$B$14*E8))^2/(2*9.81)+B8+0.5*(((DATOS!$B$27*C8/(DATOS!$B$14*E8))^2/((DATOS!$B$14*E8)/(DATOS!$B$14+2*E8))^(4/3))+((DATOS!$B$27*C9/(DATOS!$B$14*((AF9+AG9)/2)))^2/((DATOS!$B$14*((AF9+AG9)/2))/(DATOS!$B$14+2*((AF9+AG9)/2)))^(4/3)))*(A8-A9)))&lt;0,AG9,((AF9+AG9)/2))</f>
        <v/>
      </c>
      <c r="AJ9" s="16">
        <f>IF((((AH9+AI9)/2)+(C9/(DATOS!$B$14*((AH9+AI9)/2)))^2/(2*9.81)+B9-(E8+(C8/(DATOS!$B$14*E8))^2/(2*9.81)+B8+0.5*(((DATOS!$B$27*C8/(DATOS!$B$14*E8))^2/((DATOS!$B$14*E8)/(DATOS!$B$14+2*E8))^(4/3))+((DATOS!$B$27*C9/(DATOS!$B$14*((AH9+AI9)/2)))^2/((DATOS!$B$14*((AH9+AI9)/2))/(DATOS!$B$14+2*((AH9+AI9)/2)))^(4/3)))*(A8-A9)))&lt;0,((AH9+AI9)/2),AH9)</f>
        <v/>
      </c>
      <c r="AK9" s="16">
        <f>IF((((AH9+AI9)/2)+(C9/(DATOS!$B$14*((AH9+AI9)/2)))^2/(2*9.81)+B9-(E8+(C8/(DATOS!$B$14*E8))^2/(2*9.81)+B8+0.5*(((DATOS!$B$27*C8/(DATOS!$B$14*E8))^2/((DATOS!$B$14*E8)/(DATOS!$B$14+2*E8))^(4/3))+((DATOS!$B$27*C9/(DATOS!$B$14*((AH9+AI9)/2)))^2/((DATOS!$B$14*((AH9+AI9)/2))/(DATOS!$B$14+2*((AH9+AI9)/2)))^(4/3)))*(A8-A9)))&lt;0,AI9,((AH9+AI9)/2))</f>
        <v/>
      </c>
      <c r="AL9" s="16">
        <f>IF((((AJ9+AK9)/2)+(C9/(DATOS!$B$14*((AJ9+AK9)/2)))^2/(2*9.81)+B9-(E8+(C8/(DATOS!$B$14*E8))^2/(2*9.81)+B8+0.5*(((DATOS!$B$27*C8/(DATOS!$B$14*E8))^2/((DATOS!$B$14*E8)/(DATOS!$B$14+2*E8))^(4/3))+((DATOS!$B$27*C9/(DATOS!$B$14*((AJ9+AK9)/2)))^2/((DATOS!$B$14*((AJ9+AK9)/2))/(DATOS!$B$14+2*((AJ9+AK9)/2)))^(4/3)))*(A8-A9)))&lt;0,((AJ9+AK9)/2),AJ9)</f>
        <v/>
      </c>
      <c r="AM9" s="16">
        <f>IF((((AJ9+AK9)/2)+(C9/(DATOS!$B$14*((AJ9+AK9)/2)))^2/(2*9.81)+B9-(E8+(C8/(DATOS!$B$14*E8))^2/(2*9.81)+B8+0.5*(((DATOS!$B$27*C8/(DATOS!$B$14*E8))^2/((DATOS!$B$14*E8)/(DATOS!$B$14+2*E8))^(4/3))+((DATOS!$B$27*C9/(DATOS!$B$14*((AJ9+AK9)/2)))^2/((DATOS!$B$14*((AJ9+AK9)/2))/(DATOS!$B$14+2*((AJ9+AK9)/2)))^(4/3)))*(A8-A9)))&lt;0,AK9,((AJ9+AK9)/2))</f>
        <v/>
      </c>
      <c r="AN9" s="16">
        <f>IF((((AL9+AM9)/2)+(C9/(DATOS!$B$14*((AL9+AM9)/2)))^2/(2*9.81)+B9-(E8+(C8/(DATOS!$B$14*E8))^2/(2*9.81)+B8+0.5*(((DATOS!$B$27*C8/(DATOS!$B$14*E8))^2/((DATOS!$B$14*E8)/(DATOS!$B$14+2*E8))^(4/3))+((DATOS!$B$27*C9/(DATOS!$B$14*((AL9+AM9)/2)))^2/((DATOS!$B$14*((AL9+AM9)/2))/(DATOS!$B$14+2*((AL9+AM9)/2)))^(4/3)))*(A8-A9)))&lt;0,((AL9+AM9)/2),AL9)</f>
        <v/>
      </c>
      <c r="AO9" s="16">
        <f>IF((((AL9+AM9)/2)+(C9/(DATOS!$B$14*((AL9+AM9)/2)))^2/(2*9.81)+B9-(E8+(C8/(DATOS!$B$14*E8))^2/(2*9.81)+B8+0.5*(((DATOS!$B$27*C8/(DATOS!$B$14*E8))^2/((DATOS!$B$14*E8)/(DATOS!$B$14+2*E8))^(4/3))+((DATOS!$B$27*C9/(DATOS!$B$14*((AL9+AM9)/2)))^2/((DATOS!$B$14*((AL9+AM9)/2))/(DATOS!$B$14+2*((AL9+AM9)/2)))^(4/3)))*(A8-A9)))&lt;0,AM9,((AL9+AM9)/2))</f>
        <v/>
      </c>
      <c r="AP9" s="16">
        <f>IF((((AN9+AO9)/2)+(C9/(DATOS!$B$14*((AN9+AO9)/2)))^2/(2*9.81)+B9-(E8+(C8/(DATOS!$B$14*E8))^2/(2*9.81)+B8+0.5*(((DATOS!$B$27*C8/(DATOS!$B$14*E8))^2/((DATOS!$B$14*E8)/(DATOS!$B$14+2*E8))^(4/3))+((DATOS!$B$27*C9/(DATOS!$B$14*((AN9+AO9)/2)))^2/((DATOS!$B$14*((AN9+AO9)/2))/(DATOS!$B$14+2*((AN9+AO9)/2)))^(4/3)))*(A8-A9)))&lt;0,((AN9+AO9)/2),AN9)</f>
        <v/>
      </c>
      <c r="AQ9" s="16">
        <f>IF((((AN9+AO9)/2)+(C9/(DATOS!$B$14*((AN9+AO9)/2)))^2/(2*9.81)+B9-(E8+(C8/(DATOS!$B$14*E8))^2/(2*9.81)+B8+0.5*(((DATOS!$B$27*C8/(DATOS!$B$14*E8))^2/((DATOS!$B$14*E8)/(DATOS!$B$14+2*E8))^(4/3))+((DATOS!$B$27*C9/(DATOS!$B$14*((AN9+AO9)/2)))^2/((DATOS!$B$14*((AN9+AO9)/2))/(DATOS!$B$14+2*((AN9+AO9)/2)))^(4/3)))*(A8-A9)))&lt;0,AO9,((AN9+AO9)/2))</f>
        <v/>
      </c>
      <c r="AR9" s="16">
        <f>IF((((AP9+AQ9)/2)+(C9/(DATOS!$B$14*((AP9+AQ9)/2)))^2/(2*9.81)+B9-(E8+(C8/(DATOS!$B$14*E8))^2/(2*9.81)+B8+0.5*(((DATOS!$B$27*C8/(DATOS!$B$14*E8))^2/((DATOS!$B$14*E8)/(DATOS!$B$14+2*E8))^(4/3))+((DATOS!$B$27*C9/(DATOS!$B$14*((AP9+AQ9)/2)))^2/((DATOS!$B$14*((AP9+AQ9)/2))/(DATOS!$B$14+2*((AP9+AQ9)/2)))^(4/3)))*(A8-A9)))&lt;0,((AP9+AQ9)/2),AP9)</f>
        <v/>
      </c>
      <c r="AS9" s="16">
        <f>IF((((AP9+AQ9)/2)+(C9/(DATOS!$B$14*((AP9+AQ9)/2)))^2/(2*9.81)+B9-(E8+(C8/(DATOS!$B$14*E8))^2/(2*9.81)+B8+0.5*(((DATOS!$B$27*C8/(DATOS!$B$14*E8))^2/((DATOS!$B$14*E8)/(DATOS!$B$14+2*E8))^(4/3))+((DATOS!$B$27*C9/(DATOS!$B$14*((AP9+AQ9)/2)))^2/((DATOS!$B$14*((AP9+AQ9)/2))/(DATOS!$B$14+2*((AP9+AQ9)/2)))^(4/3)))*(A8-A9)))&lt;0,AQ9,((AP9+AQ9)/2))</f>
        <v/>
      </c>
      <c r="AT9" s="16">
        <f>IF((((AR9+AS9)/2)+(C9/(DATOS!$B$14*((AR9+AS9)/2)))^2/(2*9.81)+B9-(E8+(C8/(DATOS!$B$14*E8))^2/(2*9.81)+B8+0.5*(((DATOS!$B$27*C8/(DATOS!$B$14*E8))^2/((DATOS!$B$14*E8)/(DATOS!$B$14+2*E8))^(4/3))+((DATOS!$B$27*C9/(DATOS!$B$14*((AR9+AS9)/2)))^2/((DATOS!$B$14*((AR9+AS9)/2))/(DATOS!$B$14+2*((AR9+AS9)/2)))^(4/3)))*(A8-A9)))&lt;0,((AR9+AS9)/2),AR9)</f>
        <v/>
      </c>
      <c r="AU9" s="16">
        <f>IF((((AR9+AS9)/2)+(C9/(DATOS!$B$14*((AR9+AS9)/2)))^2/(2*9.81)+B9-(E8+(C8/(DATOS!$B$14*E8))^2/(2*9.81)+B8+0.5*(((DATOS!$B$27*C8/(DATOS!$B$14*E8))^2/((DATOS!$B$14*E8)/(DATOS!$B$14+2*E8))^(4/3))+((DATOS!$B$27*C9/(DATOS!$B$14*((AR9+AS9)/2)))^2/((DATOS!$B$14*((AR9+AS9)/2))/(DATOS!$B$14+2*((AR9+AS9)/2)))^(4/3)))*(A8-A9)))&lt;0,AS9,((AR9+AS9)/2))</f>
        <v/>
      </c>
      <c r="AV9" s="16">
        <f>IF((((AT9+AU9)/2)+(C9/(DATOS!$B$14*((AT9+AU9)/2)))^2/(2*9.81)+B9-(E8+(C8/(DATOS!$B$14*E8))^2/(2*9.81)+B8+0.5*(((DATOS!$B$27*C8/(DATOS!$B$14*E8))^2/((DATOS!$B$14*E8)/(DATOS!$B$14+2*E8))^(4/3))+((DATOS!$B$27*C9/(DATOS!$B$14*((AT9+AU9)/2)))^2/((DATOS!$B$14*((AT9+AU9)/2))/(DATOS!$B$14+2*((AT9+AU9)/2)))^(4/3)))*(A8-A9)))&lt;0,((AT9+AU9)/2),AT9)</f>
        <v/>
      </c>
      <c r="AW9" s="16">
        <f>IF((((AT9+AU9)/2)+(C9/(DATOS!$B$14*((AT9+AU9)/2)))^2/(2*9.81)+B9-(E8+(C8/(DATOS!$B$14*E8))^2/(2*9.81)+B8+0.5*(((DATOS!$B$27*C8/(DATOS!$B$14*E8))^2/((DATOS!$B$14*E8)/(DATOS!$B$14+2*E8))^(4/3))+((DATOS!$B$27*C9/(DATOS!$B$14*((AT9+AU9)/2)))^2/((DATOS!$B$14*((AT9+AU9)/2))/(DATOS!$B$14+2*((AT9+AU9)/2)))^(4/3)))*(A8-A9)))&lt;0,AU9,((AT9+AU9)/2))</f>
        <v/>
      </c>
      <c r="AX9" s="16">
        <f>IF((((AV9+AW9)/2)+(C9/(DATOS!$B$14*((AV9+AW9)/2)))^2/(2*9.81)+B9-(E8+(C8/(DATOS!$B$14*E8))^2/(2*9.81)+B8+0.5*(((DATOS!$B$27*C8/(DATOS!$B$14*E8))^2/((DATOS!$B$14*E8)/(DATOS!$B$14+2*E8))^(4/3))+((DATOS!$B$27*C9/(DATOS!$B$14*((AV9+AW9)/2)))^2/((DATOS!$B$14*((AV9+AW9)/2))/(DATOS!$B$14+2*((AV9+AW9)/2)))^(4/3)))*(A8-A9)))&lt;0,((AV9+AW9)/2),AV9)</f>
        <v/>
      </c>
      <c r="AY9" s="16">
        <f>IF((((AV9+AW9)/2)+(C9/(DATOS!$B$14*((AV9+AW9)/2)))^2/(2*9.81)+B9-(E8+(C8/(DATOS!$B$14*E8))^2/(2*9.81)+B8+0.5*(((DATOS!$B$27*C8/(DATOS!$B$14*E8))^2/((DATOS!$B$14*E8)/(DATOS!$B$14+2*E8))^(4/3))+((DATOS!$B$27*C9/(DATOS!$B$14*((AV9+AW9)/2)))^2/((DATOS!$B$14*((AV9+AW9)/2))/(DATOS!$B$14+2*((AV9+AW9)/2)))^(4/3)))*(A8-A9)))&lt;0,AW9,((AV9+AW9)/2))</f>
        <v/>
      </c>
      <c r="AZ9" s="16">
        <f>IF((((AX9+AY9)/2)+(C9/(DATOS!$B$14*((AX9+AY9)/2)))^2/(2*9.81)+B9-(E8+(C8/(DATOS!$B$14*E8))^2/(2*9.81)+B8+0.5*(((DATOS!$B$27*C8/(DATOS!$B$14*E8))^2/((DATOS!$B$14*E8)/(DATOS!$B$14+2*E8))^(4/3))+((DATOS!$B$27*C9/(DATOS!$B$14*((AX9+AY9)/2)))^2/((DATOS!$B$14*((AX9+AY9)/2))/(DATOS!$B$14+2*((AX9+AY9)/2)))^(4/3)))*(A8-A9)))&lt;0,((AX9+AY9)/2),AX9)</f>
        <v/>
      </c>
      <c r="BA9" s="16">
        <f>IF((((AX9+AY9)/2)+(C9/(DATOS!$B$14*((AX9+AY9)/2)))^2/(2*9.81)+B9-(E8+(C8/(DATOS!$B$14*E8))^2/(2*9.81)+B8+0.5*(((DATOS!$B$27*C8/(DATOS!$B$14*E8))^2/((DATOS!$B$14*E8)/(DATOS!$B$14+2*E8))^(4/3))+((DATOS!$B$27*C9/(DATOS!$B$14*((AX9+AY9)/2)))^2/((DATOS!$B$14*((AX9+AY9)/2))/(DATOS!$B$14+2*((AX9+AY9)/2)))^(4/3)))*(A8-A9)))&lt;0,AY9,((AX9+AY9)/2))</f>
        <v/>
      </c>
      <c r="BB9" s="16">
        <f>IF((((AZ9+BA9)/2)+(C9/(DATOS!$B$14*((AZ9+BA9)/2)))^2/(2*9.81)+B9-(E8+(C8/(DATOS!$B$14*E8))^2/(2*9.81)+B8+0.5*(((DATOS!$B$27*C8/(DATOS!$B$14*E8))^2/((DATOS!$B$14*E8)/(DATOS!$B$14+2*E8))^(4/3))+((DATOS!$B$27*C9/(DATOS!$B$14*((AZ9+BA9)/2)))^2/((DATOS!$B$14*((AZ9+BA9)/2))/(DATOS!$B$14+2*((AZ9+BA9)/2)))^(4/3)))*(A8-A9)))&lt;0,((AZ9+BA9)/2),AZ9)</f>
        <v/>
      </c>
      <c r="BC9" s="16">
        <f>IF((((AZ9+BA9)/2)+(C9/(DATOS!$B$14*((AZ9+BA9)/2)))^2/(2*9.81)+B9-(E8+(C8/(DATOS!$B$14*E8))^2/(2*9.81)+B8+0.5*(((DATOS!$B$27*C8/(DATOS!$B$14*E8))^2/((DATOS!$B$14*E8)/(DATOS!$B$14+2*E8))^(4/3))+((DATOS!$B$27*C9/(DATOS!$B$14*((AZ9+BA9)/2)))^2/((DATOS!$B$14*((AZ9+BA9)/2))/(DATOS!$B$14+2*((AZ9+BA9)/2)))^(4/3)))*(A8-A9)))&lt;0,BA9,((AZ9+BA9)/2))</f>
        <v/>
      </c>
      <c r="BD9" s="16">
        <f>IF((((BB9+BC9)/2)+(C9/(DATOS!$B$14*((BB9+BC9)/2)))^2/(2*9.81)+B9-(E8+(C8/(DATOS!$B$14*E8))^2/(2*9.81)+B8+0.5*(((DATOS!$B$27*C8/(DATOS!$B$14*E8))^2/((DATOS!$B$14*E8)/(DATOS!$B$14+2*E8))^(4/3))+((DATOS!$B$27*C9/(DATOS!$B$14*((BB9+BC9)/2)))^2/((DATOS!$B$14*((BB9+BC9)/2))/(DATOS!$B$14+2*((BB9+BC9)/2)))^(4/3)))*(A8-A9)))&lt;0,((BB9+BC9)/2),BB9)</f>
        <v/>
      </c>
      <c r="BE9" s="16">
        <f>IF((((BB9+BC9)/2)+(C9/(DATOS!$B$14*((BB9+BC9)/2)))^2/(2*9.81)+B9-(E8+(C8/(DATOS!$B$14*E8))^2/(2*9.81)+B8+0.5*(((DATOS!$B$27*C8/(DATOS!$B$14*E8))^2/((DATOS!$B$14*E8)/(DATOS!$B$14+2*E8))^(4/3))+((DATOS!$B$27*C9/(DATOS!$B$14*((BB9+BC9)/2)))^2/((DATOS!$B$14*((BB9+BC9)/2))/(DATOS!$B$14+2*((BB9+BC9)/2)))^(4/3)))*(A8-A9)))&lt;0,BC9,((BB9+BC9)/2))</f>
        <v/>
      </c>
      <c r="BF9" s="16">
        <f>IF((((BD9+BE9)/2)+(C9/(DATOS!$B$14*((BD9+BE9)/2)))^2/(2*9.81)+B9-(E8+(C8/(DATOS!$B$14*E8))^2/(2*9.81)+B8+0.5*(((DATOS!$B$27*C8/(DATOS!$B$14*E8))^2/((DATOS!$B$14*E8)/(DATOS!$B$14+2*E8))^(4/3))+((DATOS!$B$27*C9/(DATOS!$B$14*((BD9+BE9)/2)))^2/((DATOS!$B$14*((BD9+BE9)/2))/(DATOS!$B$14+2*((BD9+BE9)/2)))^(4/3)))*(A8-A9)))&lt;0,((BD9+BE9)/2),BD9)</f>
        <v/>
      </c>
      <c r="BG9" s="16">
        <f>IF((((BD9+BE9)/2)+(C9/(DATOS!$B$14*((BD9+BE9)/2)))^2/(2*9.81)+B9-(E8+(C8/(DATOS!$B$14*E8))^2/(2*9.81)+B8+0.5*(((DATOS!$B$27*C8/(DATOS!$B$14*E8))^2/((DATOS!$B$14*E8)/(DATOS!$B$14+2*E8))^(4/3))+((DATOS!$B$27*C9/(DATOS!$B$14*((BD9+BE9)/2)))^2/((DATOS!$B$14*((BD9+BE9)/2))/(DATOS!$B$14+2*((BD9+BE9)/2)))^(4/3)))*(A8-A9)))&lt;0,BE9,((BD9+BE9)/2))</f>
        <v/>
      </c>
      <c r="BH9" s="16">
        <f>IF((((BF9+BG9)/2)+(C9/(DATOS!$B$14*((BF9+BG9)/2)))^2/(2*9.81)+B9-(E8+(C8/(DATOS!$B$14*E8))^2/(2*9.81)+B8+0.5*(((DATOS!$B$27*C8/(DATOS!$B$14*E8))^2/((DATOS!$B$14*E8)/(DATOS!$B$14+2*E8))^(4/3))+((DATOS!$B$27*C9/(DATOS!$B$14*((BF9+BG9)/2)))^2/((DATOS!$B$14*((BF9+BG9)/2))/(DATOS!$B$14+2*((BF9+BG9)/2)))^(4/3)))*(A8-A9)))&lt;0,((BF9+BG9)/2),BF9)</f>
        <v/>
      </c>
      <c r="BI9" s="16">
        <f>IF((((BF9+BG9)/2)+(C9/(DATOS!$B$14*((BF9+BG9)/2)))^2/(2*9.81)+B9-(E8+(C8/(DATOS!$B$14*E8))^2/(2*9.81)+B8+0.5*(((DATOS!$B$27*C8/(DATOS!$B$14*E8))^2/((DATOS!$B$14*E8)/(DATOS!$B$14+2*E8))^(4/3))+((DATOS!$B$27*C9/(DATOS!$B$14*((BF9+BG9)/2)))^2/((DATOS!$B$14*((BF9+BG9)/2))/(DATOS!$B$14+2*((BF9+BG9)/2)))^(4/3)))*(A8-A9)))&lt;0,BG9,((BF9+BG9)/2))</f>
        <v/>
      </c>
      <c r="BJ9" s="16">
        <f>IF((((BH9+BI9)/2)+(C9/(DATOS!$B$14*((BH9+BI9)/2)))^2/(2*9.81)+B9-(E8+(C8/(DATOS!$B$14*E8))^2/(2*9.81)+B8+0.5*(((DATOS!$B$27*C8/(DATOS!$B$14*E8))^2/((DATOS!$B$14*E8)/(DATOS!$B$14+2*E8))^(4/3))+((DATOS!$B$27*C9/(DATOS!$B$14*((BH9+BI9)/2)))^2/((DATOS!$B$14*((BH9+BI9)/2))/(DATOS!$B$14+2*((BH9+BI9)/2)))^(4/3)))*(A8-A9)))&lt;0,((BH9+BI9)/2),BH9)</f>
        <v/>
      </c>
      <c r="BK9" s="16">
        <f>IF((((BH9+BI9)/2)+(C9/(DATOS!$B$14*((BH9+BI9)/2)))^2/(2*9.81)+B9-(E8+(C8/(DATOS!$B$14*E8))^2/(2*9.81)+B8+0.5*(((DATOS!$B$27*C8/(DATOS!$B$14*E8))^2/((DATOS!$B$14*E8)/(DATOS!$B$14+2*E8))^(4/3))+((DATOS!$B$27*C9/(DATOS!$B$14*((BH9+BI9)/2)))^2/((DATOS!$B$14*((BH9+BI9)/2))/(DATOS!$B$14+2*((BH9+BI9)/2)))^(4/3)))*(A8-A9)))&lt;0,BI9,((BH9+BI9)/2))</f>
        <v/>
      </c>
      <c r="BL9" s="16">
        <f>IF((((BJ9+BK9)/2)+(C9/(DATOS!$B$14*((BJ9+BK9)/2)))^2/(2*9.81)+B9-(E8+(C8/(DATOS!$B$14*E8))^2/(2*9.81)+B8+0.5*(((DATOS!$B$27*C8/(DATOS!$B$14*E8))^2/((DATOS!$B$14*E8)/(DATOS!$B$14+2*E8))^(4/3))+((DATOS!$B$27*C9/(DATOS!$B$14*((BJ9+BK9)/2)))^2/((DATOS!$B$14*((BJ9+BK9)/2))/(DATOS!$B$14+2*((BJ9+BK9)/2)))^(4/3)))*(A8-A9)))&lt;0,((BJ9+BK9)/2),BJ9)</f>
        <v/>
      </c>
      <c r="BM9" s="16">
        <f>IF((((BJ9+BK9)/2)+(C9/(DATOS!$B$14*((BJ9+BK9)/2)))^2/(2*9.81)+B9-(E8+(C8/(DATOS!$B$14*E8))^2/(2*9.81)+B8+0.5*(((DATOS!$B$27*C8/(DATOS!$B$14*E8))^2/((DATOS!$B$14*E8)/(DATOS!$B$14+2*E8))^(4/3))+((DATOS!$B$27*C9/(DATOS!$B$14*((BJ9+BK9)/2)))^2/((DATOS!$B$14*((BJ9+BK9)/2))/(DATOS!$B$14+2*((BJ9+BK9)/2)))^(4/3)))*(A8-A9)))&lt;0,BK9,((BJ9+BK9)/2))</f>
        <v/>
      </c>
      <c r="BN9" s="16">
        <f>IF((((BL9+BM9)/2)+(C9/(DATOS!$B$14*((BL9+BM9)/2)))^2/(2*9.81)+B9-(E8+(C8/(DATOS!$B$14*E8))^2/(2*9.81)+B8+0.5*(((DATOS!$B$27*C8/(DATOS!$B$14*E8))^2/((DATOS!$B$14*E8)/(DATOS!$B$14+2*E8))^(4/3))+((DATOS!$B$27*C9/(DATOS!$B$14*((BL9+BM9)/2)))^2/((DATOS!$B$14*((BL9+BM9)/2))/(DATOS!$B$14+2*((BL9+BM9)/2)))^(4/3)))*(A8-A9)))&lt;0,((BL9+BM9)/2),BL9)</f>
        <v/>
      </c>
      <c r="BO9" s="16">
        <f>IF((((BL9+BM9)/2)+(C9/(DATOS!$B$14*((BL9+BM9)/2)))^2/(2*9.81)+B9-(E8+(C8/(DATOS!$B$14*E8))^2/(2*9.81)+B8+0.5*(((DATOS!$B$27*C8/(DATOS!$B$14*E8))^2/((DATOS!$B$14*E8)/(DATOS!$B$14+2*E8))^(4/3))+((DATOS!$B$27*C9/(DATOS!$B$14*((BL9+BM9)/2)))^2/((DATOS!$B$14*((BL9+BM9)/2))/(DATOS!$B$14+2*((BL9+BM9)/2)))^(4/3)))*(A8-A9)))&lt;0,BM9,((BL9+BM9)/2))</f>
        <v/>
      </c>
      <c r="BP9" s="16">
        <f>IF((((BN9+BO9)/2)+(C9/(DATOS!$B$14*((BN9+BO9)/2)))^2/(2*9.81)+B9-(E8+(C8/(DATOS!$B$14*E8))^2/(2*9.81)+B8+0.5*(((DATOS!$B$27*C8/(DATOS!$B$14*E8))^2/((DATOS!$B$14*E8)/(DATOS!$B$14+2*E8))^(4/3))+((DATOS!$B$27*C9/(DATOS!$B$14*((BN9+BO9)/2)))^2/((DATOS!$B$14*((BN9+BO9)/2))/(DATOS!$B$14+2*((BN9+BO9)/2)))^(4/3)))*(A8-A9)))&lt;0,((BN9+BO9)/2),BN9)</f>
        <v/>
      </c>
      <c r="BQ9" s="16">
        <f>IF((((BN9+BO9)/2)+(C9/(DATOS!$B$14*((BN9+BO9)/2)))^2/(2*9.81)+B9-(E8+(C8/(DATOS!$B$14*E8))^2/(2*9.81)+B8+0.5*(((DATOS!$B$27*C8/(DATOS!$B$14*E8))^2/((DATOS!$B$14*E8)/(DATOS!$B$14+2*E8))^(4/3))+((DATOS!$B$27*C9/(DATOS!$B$14*((BN9+BO9)/2)))^2/((DATOS!$B$14*((BN9+BO9)/2))/(DATOS!$B$14+2*((BN9+BO9)/2)))^(4/3)))*(A8-A9)))&lt;0,BO9,((BN9+BO9)/2))</f>
        <v/>
      </c>
      <c r="BR9" s="16">
        <f>IF((((BP9+BQ9)/2)+(C9/(DATOS!$B$14*((BP9+BQ9)/2)))^2/(2*9.81)+B9-(E8+(C8/(DATOS!$B$14*E8))^2/(2*9.81)+B8+0.5*(((DATOS!$B$27*C8/(DATOS!$B$14*E8))^2/((DATOS!$B$14*E8)/(DATOS!$B$14+2*E8))^(4/3))+((DATOS!$B$27*C9/(DATOS!$B$14*((BP9+BQ9)/2)))^2/((DATOS!$B$14*((BP9+BQ9)/2))/(DATOS!$B$14+2*((BP9+BQ9)/2)))^(4/3)))*(A8-A9)))&lt;0,((BP9+BQ9)/2),BP9)</f>
        <v/>
      </c>
      <c r="BS9" s="16">
        <f>IF((((BP9+BQ9)/2)+(C9/(DATOS!$B$14*((BP9+BQ9)/2)))^2/(2*9.81)+B9-(E8+(C8/(DATOS!$B$14*E8))^2/(2*9.81)+B8+0.5*(((DATOS!$B$27*C8/(DATOS!$B$14*E8))^2/((DATOS!$B$14*E8)/(DATOS!$B$14+2*E8))^(4/3))+((DATOS!$B$27*C9/(DATOS!$B$14*((BP9+BQ9)/2)))^2/((DATOS!$B$14*((BP9+BQ9)/2))/(DATOS!$B$14+2*((BP9+BQ9)/2)))^(4/3)))*(A8-A9)))&lt;0,BQ9,((BP9+BQ9)/2))</f>
        <v/>
      </c>
      <c r="BT9" s="16">
        <f>IF((((BR9+BS9)/2)+(C9/(DATOS!$B$14*((BR9+BS9)/2)))^2/(2*9.81)+B9-(E8+(C8/(DATOS!$B$14*E8))^2/(2*9.81)+B8+0.5*(((DATOS!$B$27*C8/(DATOS!$B$14*E8))^2/((DATOS!$B$14*E8)/(DATOS!$B$14+2*E8))^(4/3))+((DATOS!$B$27*C9/(DATOS!$B$14*((BR9+BS9)/2)))^2/((DATOS!$B$14*((BR9+BS9)/2))/(DATOS!$B$14+2*((BR9+BS9)/2)))^(4/3)))*(A8-A9)))&lt;0,((BR9+BS9)/2),BR9)</f>
        <v/>
      </c>
      <c r="BU9" s="16">
        <f>IF((((BR9+BS9)/2)+(C9/(DATOS!$B$14*((BR9+BS9)/2)))^2/(2*9.81)+B9-(E8+(C8/(DATOS!$B$14*E8))^2/(2*9.81)+B8+0.5*(((DATOS!$B$27*C8/(DATOS!$B$14*E8))^2/((DATOS!$B$14*E8)/(DATOS!$B$14+2*E8))^(4/3))+((DATOS!$B$27*C9/(DATOS!$B$14*((BR9+BS9)/2)))^2/((DATOS!$B$14*((BR9+BS9)/2))/(DATOS!$B$14+2*((BR9+BS9)/2)))^(4/3)))*(A8-A9)))&lt;0,BS9,((BR9+BS9)/2))</f>
        <v/>
      </c>
    </row>
    <row r="10">
      <c r="A10" s="30" t="n">
        <v>130</v>
      </c>
      <c r="B10" s="21">
        <f>DATOS!$B$16-DATOS!$B$19*A10</f>
        <v/>
      </c>
      <c r="C10" s="21">
        <f>IF(A10&lt;CAUDALES!$B$13,CAUDALES!$D$12,IF(A10&lt;CAUDALES!$B$14,CAUDALES!$D$13,IF(A10&lt;CAUDALES!$B$15,CAUDALES!$D$14,CAUDALES!$D$15)))/1000</f>
        <v/>
      </c>
      <c r="D10" s="21">
        <f>(C10^2/(9.81*DATOS!$B$14^2))^(1/3)</f>
        <v/>
      </c>
      <c r="E10" s="29">
        <f>(BT10+BU10)/2</f>
        <v/>
      </c>
      <c r="F10" s="21">
        <f>B10+E10</f>
        <v/>
      </c>
      <c r="G10" s="17">
        <f>C10/(DATOS!$B$14*E10)</f>
        <v/>
      </c>
      <c r="H10" s="17">
        <f>G10/SQRT(9.81*E10)</f>
        <v/>
      </c>
      <c r="I10" s="21">
        <f>IF(A10&lt;=DATOS!$B$20,DATOS!$B$21-IF(AND(A10&gt;=DATOS!$B$23,A10&lt;DATOS!$B$24),DATOS!$B$25,DATOS!$B$22),B10+DATOS!$B$26)</f>
        <v/>
      </c>
      <c r="J10" s="17">
        <f>I10-B10</f>
        <v/>
      </c>
      <c r="K10" s="31">
        <f>E10/J10</f>
        <v/>
      </c>
      <c r="L10" s="21">
        <f>I10-F10</f>
        <v/>
      </c>
      <c r="M10" s="32">
        <f>IF(AND(K10&lt;=DATOS!$B$29,L10&gt;=DATOS!$B$30),"CUMPLE","NO CUMPLE")</f>
        <v/>
      </c>
      <c r="N10" s="13">
        <f>IF(A10&gt;DATOS!$B$20,"cubierto - tramo final",IF(AND(A10&gt;=DATOS!$B$23,A10&lt;DATOS!$B$24),"cubierto - camiones","cubierto"))</f>
        <v/>
      </c>
      <c r="P10" s="16">
        <f>D10*1.001</f>
        <v/>
      </c>
      <c r="Q10" s="16" t="n">
        <v>2</v>
      </c>
      <c r="R10" s="16">
        <f>IF((((P10+Q10)/2)+(C10/(DATOS!$B$14*((P10+Q10)/2)))^2/(2*9.81)+B10-(E9+(C9/(DATOS!$B$14*E9))^2/(2*9.81)+B9+0.5*(((DATOS!$B$27*C9/(DATOS!$B$14*E9))^2/((DATOS!$B$14*E9)/(DATOS!$B$14+2*E9))^(4/3))+((DATOS!$B$27*C10/(DATOS!$B$14*((P10+Q10)/2)))^2/((DATOS!$B$14*((P10+Q10)/2))/(DATOS!$B$14+2*((P10+Q10)/2)))^(4/3)))*(A9-A10)))&lt;0,((P10+Q10)/2),P10)</f>
        <v/>
      </c>
      <c r="S10" s="16">
        <f>IF((((P10+Q10)/2)+(C10/(DATOS!$B$14*((P10+Q10)/2)))^2/(2*9.81)+B10-(E9+(C9/(DATOS!$B$14*E9))^2/(2*9.81)+B9+0.5*(((DATOS!$B$27*C9/(DATOS!$B$14*E9))^2/((DATOS!$B$14*E9)/(DATOS!$B$14+2*E9))^(4/3))+((DATOS!$B$27*C10/(DATOS!$B$14*((P10+Q10)/2)))^2/((DATOS!$B$14*((P10+Q10)/2))/(DATOS!$B$14+2*((P10+Q10)/2)))^(4/3)))*(A9-A10)))&lt;0,Q10,((P10+Q10)/2))</f>
        <v/>
      </c>
      <c r="T10" s="16">
        <f>IF((((R10+S10)/2)+(C10/(DATOS!$B$14*((R10+S10)/2)))^2/(2*9.81)+B10-(E9+(C9/(DATOS!$B$14*E9))^2/(2*9.81)+B9+0.5*(((DATOS!$B$27*C9/(DATOS!$B$14*E9))^2/((DATOS!$B$14*E9)/(DATOS!$B$14+2*E9))^(4/3))+((DATOS!$B$27*C10/(DATOS!$B$14*((R10+S10)/2)))^2/((DATOS!$B$14*((R10+S10)/2))/(DATOS!$B$14+2*((R10+S10)/2)))^(4/3)))*(A9-A10)))&lt;0,((R10+S10)/2),R10)</f>
        <v/>
      </c>
      <c r="U10" s="16">
        <f>IF((((R10+S10)/2)+(C10/(DATOS!$B$14*((R10+S10)/2)))^2/(2*9.81)+B10-(E9+(C9/(DATOS!$B$14*E9))^2/(2*9.81)+B9+0.5*(((DATOS!$B$27*C9/(DATOS!$B$14*E9))^2/((DATOS!$B$14*E9)/(DATOS!$B$14+2*E9))^(4/3))+((DATOS!$B$27*C10/(DATOS!$B$14*((R10+S10)/2)))^2/((DATOS!$B$14*((R10+S10)/2))/(DATOS!$B$14+2*((R10+S10)/2)))^(4/3)))*(A9-A10)))&lt;0,S10,((R10+S10)/2))</f>
        <v/>
      </c>
      <c r="V10" s="16">
        <f>IF((((T10+U10)/2)+(C10/(DATOS!$B$14*((T10+U10)/2)))^2/(2*9.81)+B10-(E9+(C9/(DATOS!$B$14*E9))^2/(2*9.81)+B9+0.5*(((DATOS!$B$27*C9/(DATOS!$B$14*E9))^2/((DATOS!$B$14*E9)/(DATOS!$B$14+2*E9))^(4/3))+((DATOS!$B$27*C10/(DATOS!$B$14*((T10+U10)/2)))^2/((DATOS!$B$14*((T10+U10)/2))/(DATOS!$B$14+2*((T10+U10)/2)))^(4/3)))*(A9-A10)))&lt;0,((T10+U10)/2),T10)</f>
        <v/>
      </c>
      <c r="W10" s="16">
        <f>IF((((T10+U10)/2)+(C10/(DATOS!$B$14*((T10+U10)/2)))^2/(2*9.81)+B10-(E9+(C9/(DATOS!$B$14*E9))^2/(2*9.81)+B9+0.5*(((DATOS!$B$27*C9/(DATOS!$B$14*E9))^2/((DATOS!$B$14*E9)/(DATOS!$B$14+2*E9))^(4/3))+((DATOS!$B$27*C10/(DATOS!$B$14*((T10+U10)/2)))^2/((DATOS!$B$14*((T10+U10)/2))/(DATOS!$B$14+2*((T10+U10)/2)))^(4/3)))*(A9-A10)))&lt;0,U10,((T10+U10)/2))</f>
        <v/>
      </c>
      <c r="X10" s="16">
        <f>IF((((V10+W10)/2)+(C10/(DATOS!$B$14*((V10+W10)/2)))^2/(2*9.81)+B10-(E9+(C9/(DATOS!$B$14*E9))^2/(2*9.81)+B9+0.5*(((DATOS!$B$27*C9/(DATOS!$B$14*E9))^2/((DATOS!$B$14*E9)/(DATOS!$B$14+2*E9))^(4/3))+((DATOS!$B$27*C10/(DATOS!$B$14*((V10+W10)/2)))^2/((DATOS!$B$14*((V10+W10)/2))/(DATOS!$B$14+2*((V10+W10)/2)))^(4/3)))*(A9-A10)))&lt;0,((V10+W10)/2),V10)</f>
        <v/>
      </c>
      <c r="Y10" s="16">
        <f>IF((((V10+W10)/2)+(C10/(DATOS!$B$14*((V10+W10)/2)))^2/(2*9.81)+B10-(E9+(C9/(DATOS!$B$14*E9))^2/(2*9.81)+B9+0.5*(((DATOS!$B$27*C9/(DATOS!$B$14*E9))^2/((DATOS!$B$14*E9)/(DATOS!$B$14+2*E9))^(4/3))+((DATOS!$B$27*C10/(DATOS!$B$14*((V10+W10)/2)))^2/((DATOS!$B$14*((V10+W10)/2))/(DATOS!$B$14+2*((V10+W10)/2)))^(4/3)))*(A9-A10)))&lt;0,W10,((V10+W10)/2))</f>
        <v/>
      </c>
      <c r="Z10" s="16">
        <f>IF((((X10+Y10)/2)+(C10/(DATOS!$B$14*((X10+Y10)/2)))^2/(2*9.81)+B10-(E9+(C9/(DATOS!$B$14*E9))^2/(2*9.81)+B9+0.5*(((DATOS!$B$27*C9/(DATOS!$B$14*E9))^2/((DATOS!$B$14*E9)/(DATOS!$B$14+2*E9))^(4/3))+((DATOS!$B$27*C10/(DATOS!$B$14*((X10+Y10)/2)))^2/((DATOS!$B$14*((X10+Y10)/2))/(DATOS!$B$14+2*((X10+Y10)/2)))^(4/3)))*(A9-A10)))&lt;0,((X10+Y10)/2),X10)</f>
        <v/>
      </c>
      <c r="AA10" s="16">
        <f>IF((((X10+Y10)/2)+(C10/(DATOS!$B$14*((X10+Y10)/2)))^2/(2*9.81)+B10-(E9+(C9/(DATOS!$B$14*E9))^2/(2*9.81)+B9+0.5*(((DATOS!$B$27*C9/(DATOS!$B$14*E9))^2/((DATOS!$B$14*E9)/(DATOS!$B$14+2*E9))^(4/3))+((DATOS!$B$27*C10/(DATOS!$B$14*((X10+Y10)/2)))^2/((DATOS!$B$14*((X10+Y10)/2))/(DATOS!$B$14+2*((X10+Y10)/2)))^(4/3)))*(A9-A10)))&lt;0,Y10,((X10+Y10)/2))</f>
        <v/>
      </c>
      <c r="AB10" s="16">
        <f>IF((((Z10+AA10)/2)+(C10/(DATOS!$B$14*((Z10+AA10)/2)))^2/(2*9.81)+B10-(E9+(C9/(DATOS!$B$14*E9))^2/(2*9.81)+B9+0.5*(((DATOS!$B$27*C9/(DATOS!$B$14*E9))^2/((DATOS!$B$14*E9)/(DATOS!$B$14+2*E9))^(4/3))+((DATOS!$B$27*C10/(DATOS!$B$14*((Z10+AA10)/2)))^2/((DATOS!$B$14*((Z10+AA10)/2))/(DATOS!$B$14+2*((Z10+AA10)/2)))^(4/3)))*(A9-A10)))&lt;0,((Z10+AA10)/2),Z10)</f>
        <v/>
      </c>
      <c r="AC10" s="16">
        <f>IF((((Z10+AA10)/2)+(C10/(DATOS!$B$14*((Z10+AA10)/2)))^2/(2*9.81)+B10-(E9+(C9/(DATOS!$B$14*E9))^2/(2*9.81)+B9+0.5*(((DATOS!$B$27*C9/(DATOS!$B$14*E9))^2/((DATOS!$B$14*E9)/(DATOS!$B$14+2*E9))^(4/3))+((DATOS!$B$27*C10/(DATOS!$B$14*((Z10+AA10)/2)))^2/((DATOS!$B$14*((Z10+AA10)/2))/(DATOS!$B$14+2*((Z10+AA10)/2)))^(4/3)))*(A9-A10)))&lt;0,AA10,((Z10+AA10)/2))</f>
        <v/>
      </c>
      <c r="AD10" s="16">
        <f>IF((((AB10+AC10)/2)+(C10/(DATOS!$B$14*((AB10+AC10)/2)))^2/(2*9.81)+B10-(E9+(C9/(DATOS!$B$14*E9))^2/(2*9.81)+B9+0.5*(((DATOS!$B$27*C9/(DATOS!$B$14*E9))^2/((DATOS!$B$14*E9)/(DATOS!$B$14+2*E9))^(4/3))+((DATOS!$B$27*C10/(DATOS!$B$14*((AB10+AC10)/2)))^2/((DATOS!$B$14*((AB10+AC10)/2))/(DATOS!$B$14+2*((AB10+AC10)/2)))^(4/3)))*(A9-A10)))&lt;0,((AB10+AC10)/2),AB10)</f>
        <v/>
      </c>
      <c r="AE10" s="16">
        <f>IF((((AB10+AC10)/2)+(C10/(DATOS!$B$14*((AB10+AC10)/2)))^2/(2*9.81)+B10-(E9+(C9/(DATOS!$B$14*E9))^2/(2*9.81)+B9+0.5*(((DATOS!$B$27*C9/(DATOS!$B$14*E9))^2/((DATOS!$B$14*E9)/(DATOS!$B$14+2*E9))^(4/3))+((DATOS!$B$27*C10/(DATOS!$B$14*((AB10+AC10)/2)))^2/((DATOS!$B$14*((AB10+AC10)/2))/(DATOS!$B$14+2*((AB10+AC10)/2)))^(4/3)))*(A9-A10)))&lt;0,AC10,((AB10+AC10)/2))</f>
        <v/>
      </c>
      <c r="AF10" s="16">
        <f>IF((((AD10+AE10)/2)+(C10/(DATOS!$B$14*((AD10+AE10)/2)))^2/(2*9.81)+B10-(E9+(C9/(DATOS!$B$14*E9))^2/(2*9.81)+B9+0.5*(((DATOS!$B$27*C9/(DATOS!$B$14*E9))^2/((DATOS!$B$14*E9)/(DATOS!$B$14+2*E9))^(4/3))+((DATOS!$B$27*C10/(DATOS!$B$14*((AD10+AE10)/2)))^2/((DATOS!$B$14*((AD10+AE10)/2))/(DATOS!$B$14+2*((AD10+AE10)/2)))^(4/3)))*(A9-A10)))&lt;0,((AD10+AE10)/2),AD10)</f>
        <v/>
      </c>
      <c r="AG10" s="16">
        <f>IF((((AD10+AE10)/2)+(C10/(DATOS!$B$14*((AD10+AE10)/2)))^2/(2*9.81)+B10-(E9+(C9/(DATOS!$B$14*E9))^2/(2*9.81)+B9+0.5*(((DATOS!$B$27*C9/(DATOS!$B$14*E9))^2/((DATOS!$B$14*E9)/(DATOS!$B$14+2*E9))^(4/3))+((DATOS!$B$27*C10/(DATOS!$B$14*((AD10+AE10)/2)))^2/((DATOS!$B$14*((AD10+AE10)/2))/(DATOS!$B$14+2*((AD10+AE10)/2)))^(4/3)))*(A9-A10)))&lt;0,AE10,((AD10+AE10)/2))</f>
        <v/>
      </c>
      <c r="AH10" s="16">
        <f>IF((((AF10+AG10)/2)+(C10/(DATOS!$B$14*((AF10+AG10)/2)))^2/(2*9.81)+B10-(E9+(C9/(DATOS!$B$14*E9))^2/(2*9.81)+B9+0.5*(((DATOS!$B$27*C9/(DATOS!$B$14*E9))^2/((DATOS!$B$14*E9)/(DATOS!$B$14+2*E9))^(4/3))+((DATOS!$B$27*C10/(DATOS!$B$14*((AF10+AG10)/2)))^2/((DATOS!$B$14*((AF10+AG10)/2))/(DATOS!$B$14+2*((AF10+AG10)/2)))^(4/3)))*(A9-A10)))&lt;0,((AF10+AG10)/2),AF10)</f>
        <v/>
      </c>
      <c r="AI10" s="16">
        <f>IF((((AF10+AG10)/2)+(C10/(DATOS!$B$14*((AF10+AG10)/2)))^2/(2*9.81)+B10-(E9+(C9/(DATOS!$B$14*E9))^2/(2*9.81)+B9+0.5*(((DATOS!$B$27*C9/(DATOS!$B$14*E9))^2/((DATOS!$B$14*E9)/(DATOS!$B$14+2*E9))^(4/3))+((DATOS!$B$27*C10/(DATOS!$B$14*((AF10+AG10)/2)))^2/((DATOS!$B$14*((AF10+AG10)/2))/(DATOS!$B$14+2*((AF10+AG10)/2)))^(4/3)))*(A9-A10)))&lt;0,AG10,((AF10+AG10)/2))</f>
        <v/>
      </c>
      <c r="AJ10" s="16">
        <f>IF((((AH10+AI10)/2)+(C10/(DATOS!$B$14*((AH10+AI10)/2)))^2/(2*9.81)+B10-(E9+(C9/(DATOS!$B$14*E9))^2/(2*9.81)+B9+0.5*(((DATOS!$B$27*C9/(DATOS!$B$14*E9))^2/((DATOS!$B$14*E9)/(DATOS!$B$14+2*E9))^(4/3))+((DATOS!$B$27*C10/(DATOS!$B$14*((AH10+AI10)/2)))^2/((DATOS!$B$14*((AH10+AI10)/2))/(DATOS!$B$14+2*((AH10+AI10)/2)))^(4/3)))*(A9-A10)))&lt;0,((AH10+AI10)/2),AH10)</f>
        <v/>
      </c>
      <c r="AK10" s="16">
        <f>IF((((AH10+AI10)/2)+(C10/(DATOS!$B$14*((AH10+AI10)/2)))^2/(2*9.81)+B10-(E9+(C9/(DATOS!$B$14*E9))^2/(2*9.81)+B9+0.5*(((DATOS!$B$27*C9/(DATOS!$B$14*E9))^2/((DATOS!$B$14*E9)/(DATOS!$B$14+2*E9))^(4/3))+((DATOS!$B$27*C10/(DATOS!$B$14*((AH10+AI10)/2)))^2/((DATOS!$B$14*((AH10+AI10)/2))/(DATOS!$B$14+2*((AH10+AI10)/2)))^(4/3)))*(A9-A10)))&lt;0,AI10,((AH10+AI10)/2))</f>
        <v/>
      </c>
      <c r="AL10" s="16">
        <f>IF((((AJ10+AK10)/2)+(C10/(DATOS!$B$14*((AJ10+AK10)/2)))^2/(2*9.81)+B10-(E9+(C9/(DATOS!$B$14*E9))^2/(2*9.81)+B9+0.5*(((DATOS!$B$27*C9/(DATOS!$B$14*E9))^2/((DATOS!$B$14*E9)/(DATOS!$B$14+2*E9))^(4/3))+((DATOS!$B$27*C10/(DATOS!$B$14*((AJ10+AK10)/2)))^2/((DATOS!$B$14*((AJ10+AK10)/2))/(DATOS!$B$14+2*((AJ10+AK10)/2)))^(4/3)))*(A9-A10)))&lt;0,((AJ10+AK10)/2),AJ10)</f>
        <v/>
      </c>
      <c r="AM10" s="16">
        <f>IF((((AJ10+AK10)/2)+(C10/(DATOS!$B$14*((AJ10+AK10)/2)))^2/(2*9.81)+B10-(E9+(C9/(DATOS!$B$14*E9))^2/(2*9.81)+B9+0.5*(((DATOS!$B$27*C9/(DATOS!$B$14*E9))^2/((DATOS!$B$14*E9)/(DATOS!$B$14+2*E9))^(4/3))+((DATOS!$B$27*C10/(DATOS!$B$14*((AJ10+AK10)/2)))^2/((DATOS!$B$14*((AJ10+AK10)/2))/(DATOS!$B$14+2*((AJ10+AK10)/2)))^(4/3)))*(A9-A10)))&lt;0,AK10,((AJ10+AK10)/2))</f>
        <v/>
      </c>
      <c r="AN10" s="16">
        <f>IF((((AL10+AM10)/2)+(C10/(DATOS!$B$14*((AL10+AM10)/2)))^2/(2*9.81)+B10-(E9+(C9/(DATOS!$B$14*E9))^2/(2*9.81)+B9+0.5*(((DATOS!$B$27*C9/(DATOS!$B$14*E9))^2/((DATOS!$B$14*E9)/(DATOS!$B$14+2*E9))^(4/3))+((DATOS!$B$27*C10/(DATOS!$B$14*((AL10+AM10)/2)))^2/((DATOS!$B$14*((AL10+AM10)/2))/(DATOS!$B$14+2*((AL10+AM10)/2)))^(4/3)))*(A9-A10)))&lt;0,((AL10+AM10)/2),AL10)</f>
        <v/>
      </c>
      <c r="AO10" s="16">
        <f>IF((((AL10+AM10)/2)+(C10/(DATOS!$B$14*((AL10+AM10)/2)))^2/(2*9.81)+B10-(E9+(C9/(DATOS!$B$14*E9))^2/(2*9.81)+B9+0.5*(((DATOS!$B$27*C9/(DATOS!$B$14*E9))^2/((DATOS!$B$14*E9)/(DATOS!$B$14+2*E9))^(4/3))+((DATOS!$B$27*C10/(DATOS!$B$14*((AL10+AM10)/2)))^2/((DATOS!$B$14*((AL10+AM10)/2))/(DATOS!$B$14+2*((AL10+AM10)/2)))^(4/3)))*(A9-A10)))&lt;0,AM10,((AL10+AM10)/2))</f>
        <v/>
      </c>
      <c r="AP10" s="16">
        <f>IF((((AN10+AO10)/2)+(C10/(DATOS!$B$14*((AN10+AO10)/2)))^2/(2*9.81)+B10-(E9+(C9/(DATOS!$B$14*E9))^2/(2*9.81)+B9+0.5*(((DATOS!$B$27*C9/(DATOS!$B$14*E9))^2/((DATOS!$B$14*E9)/(DATOS!$B$14+2*E9))^(4/3))+((DATOS!$B$27*C10/(DATOS!$B$14*((AN10+AO10)/2)))^2/((DATOS!$B$14*((AN10+AO10)/2))/(DATOS!$B$14+2*((AN10+AO10)/2)))^(4/3)))*(A9-A10)))&lt;0,((AN10+AO10)/2),AN10)</f>
        <v/>
      </c>
      <c r="AQ10" s="16">
        <f>IF((((AN10+AO10)/2)+(C10/(DATOS!$B$14*((AN10+AO10)/2)))^2/(2*9.81)+B10-(E9+(C9/(DATOS!$B$14*E9))^2/(2*9.81)+B9+0.5*(((DATOS!$B$27*C9/(DATOS!$B$14*E9))^2/((DATOS!$B$14*E9)/(DATOS!$B$14+2*E9))^(4/3))+((DATOS!$B$27*C10/(DATOS!$B$14*((AN10+AO10)/2)))^2/((DATOS!$B$14*((AN10+AO10)/2))/(DATOS!$B$14+2*((AN10+AO10)/2)))^(4/3)))*(A9-A10)))&lt;0,AO10,((AN10+AO10)/2))</f>
        <v/>
      </c>
      <c r="AR10" s="16">
        <f>IF((((AP10+AQ10)/2)+(C10/(DATOS!$B$14*((AP10+AQ10)/2)))^2/(2*9.81)+B10-(E9+(C9/(DATOS!$B$14*E9))^2/(2*9.81)+B9+0.5*(((DATOS!$B$27*C9/(DATOS!$B$14*E9))^2/((DATOS!$B$14*E9)/(DATOS!$B$14+2*E9))^(4/3))+((DATOS!$B$27*C10/(DATOS!$B$14*((AP10+AQ10)/2)))^2/((DATOS!$B$14*((AP10+AQ10)/2))/(DATOS!$B$14+2*((AP10+AQ10)/2)))^(4/3)))*(A9-A10)))&lt;0,((AP10+AQ10)/2),AP10)</f>
        <v/>
      </c>
      <c r="AS10" s="16">
        <f>IF((((AP10+AQ10)/2)+(C10/(DATOS!$B$14*((AP10+AQ10)/2)))^2/(2*9.81)+B10-(E9+(C9/(DATOS!$B$14*E9))^2/(2*9.81)+B9+0.5*(((DATOS!$B$27*C9/(DATOS!$B$14*E9))^2/((DATOS!$B$14*E9)/(DATOS!$B$14+2*E9))^(4/3))+((DATOS!$B$27*C10/(DATOS!$B$14*((AP10+AQ10)/2)))^2/((DATOS!$B$14*((AP10+AQ10)/2))/(DATOS!$B$14+2*((AP10+AQ10)/2)))^(4/3)))*(A9-A10)))&lt;0,AQ10,((AP10+AQ10)/2))</f>
        <v/>
      </c>
      <c r="AT10" s="16">
        <f>IF((((AR10+AS10)/2)+(C10/(DATOS!$B$14*((AR10+AS10)/2)))^2/(2*9.81)+B10-(E9+(C9/(DATOS!$B$14*E9))^2/(2*9.81)+B9+0.5*(((DATOS!$B$27*C9/(DATOS!$B$14*E9))^2/((DATOS!$B$14*E9)/(DATOS!$B$14+2*E9))^(4/3))+((DATOS!$B$27*C10/(DATOS!$B$14*((AR10+AS10)/2)))^2/((DATOS!$B$14*((AR10+AS10)/2))/(DATOS!$B$14+2*((AR10+AS10)/2)))^(4/3)))*(A9-A10)))&lt;0,((AR10+AS10)/2),AR10)</f>
        <v/>
      </c>
      <c r="AU10" s="16">
        <f>IF((((AR10+AS10)/2)+(C10/(DATOS!$B$14*((AR10+AS10)/2)))^2/(2*9.81)+B10-(E9+(C9/(DATOS!$B$14*E9))^2/(2*9.81)+B9+0.5*(((DATOS!$B$27*C9/(DATOS!$B$14*E9))^2/((DATOS!$B$14*E9)/(DATOS!$B$14+2*E9))^(4/3))+((DATOS!$B$27*C10/(DATOS!$B$14*((AR10+AS10)/2)))^2/((DATOS!$B$14*((AR10+AS10)/2))/(DATOS!$B$14+2*((AR10+AS10)/2)))^(4/3)))*(A9-A10)))&lt;0,AS10,((AR10+AS10)/2))</f>
        <v/>
      </c>
      <c r="AV10" s="16">
        <f>IF((((AT10+AU10)/2)+(C10/(DATOS!$B$14*((AT10+AU10)/2)))^2/(2*9.81)+B10-(E9+(C9/(DATOS!$B$14*E9))^2/(2*9.81)+B9+0.5*(((DATOS!$B$27*C9/(DATOS!$B$14*E9))^2/((DATOS!$B$14*E9)/(DATOS!$B$14+2*E9))^(4/3))+((DATOS!$B$27*C10/(DATOS!$B$14*((AT10+AU10)/2)))^2/((DATOS!$B$14*((AT10+AU10)/2))/(DATOS!$B$14+2*((AT10+AU10)/2)))^(4/3)))*(A9-A10)))&lt;0,((AT10+AU10)/2),AT10)</f>
        <v/>
      </c>
      <c r="AW10" s="16">
        <f>IF((((AT10+AU10)/2)+(C10/(DATOS!$B$14*((AT10+AU10)/2)))^2/(2*9.81)+B10-(E9+(C9/(DATOS!$B$14*E9))^2/(2*9.81)+B9+0.5*(((DATOS!$B$27*C9/(DATOS!$B$14*E9))^2/((DATOS!$B$14*E9)/(DATOS!$B$14+2*E9))^(4/3))+((DATOS!$B$27*C10/(DATOS!$B$14*((AT10+AU10)/2)))^2/((DATOS!$B$14*((AT10+AU10)/2))/(DATOS!$B$14+2*((AT10+AU10)/2)))^(4/3)))*(A9-A10)))&lt;0,AU10,((AT10+AU10)/2))</f>
        <v/>
      </c>
      <c r="AX10" s="16">
        <f>IF((((AV10+AW10)/2)+(C10/(DATOS!$B$14*((AV10+AW10)/2)))^2/(2*9.81)+B10-(E9+(C9/(DATOS!$B$14*E9))^2/(2*9.81)+B9+0.5*(((DATOS!$B$27*C9/(DATOS!$B$14*E9))^2/((DATOS!$B$14*E9)/(DATOS!$B$14+2*E9))^(4/3))+((DATOS!$B$27*C10/(DATOS!$B$14*((AV10+AW10)/2)))^2/((DATOS!$B$14*((AV10+AW10)/2))/(DATOS!$B$14+2*((AV10+AW10)/2)))^(4/3)))*(A9-A10)))&lt;0,((AV10+AW10)/2),AV10)</f>
        <v/>
      </c>
      <c r="AY10" s="16">
        <f>IF((((AV10+AW10)/2)+(C10/(DATOS!$B$14*((AV10+AW10)/2)))^2/(2*9.81)+B10-(E9+(C9/(DATOS!$B$14*E9))^2/(2*9.81)+B9+0.5*(((DATOS!$B$27*C9/(DATOS!$B$14*E9))^2/((DATOS!$B$14*E9)/(DATOS!$B$14+2*E9))^(4/3))+((DATOS!$B$27*C10/(DATOS!$B$14*((AV10+AW10)/2)))^2/((DATOS!$B$14*((AV10+AW10)/2))/(DATOS!$B$14+2*((AV10+AW10)/2)))^(4/3)))*(A9-A10)))&lt;0,AW10,((AV10+AW10)/2))</f>
        <v/>
      </c>
      <c r="AZ10" s="16">
        <f>IF((((AX10+AY10)/2)+(C10/(DATOS!$B$14*((AX10+AY10)/2)))^2/(2*9.81)+B10-(E9+(C9/(DATOS!$B$14*E9))^2/(2*9.81)+B9+0.5*(((DATOS!$B$27*C9/(DATOS!$B$14*E9))^2/((DATOS!$B$14*E9)/(DATOS!$B$14+2*E9))^(4/3))+((DATOS!$B$27*C10/(DATOS!$B$14*((AX10+AY10)/2)))^2/((DATOS!$B$14*((AX10+AY10)/2))/(DATOS!$B$14+2*((AX10+AY10)/2)))^(4/3)))*(A9-A10)))&lt;0,((AX10+AY10)/2),AX10)</f>
        <v/>
      </c>
      <c r="BA10" s="16">
        <f>IF((((AX10+AY10)/2)+(C10/(DATOS!$B$14*((AX10+AY10)/2)))^2/(2*9.81)+B10-(E9+(C9/(DATOS!$B$14*E9))^2/(2*9.81)+B9+0.5*(((DATOS!$B$27*C9/(DATOS!$B$14*E9))^2/((DATOS!$B$14*E9)/(DATOS!$B$14+2*E9))^(4/3))+((DATOS!$B$27*C10/(DATOS!$B$14*((AX10+AY10)/2)))^2/((DATOS!$B$14*((AX10+AY10)/2))/(DATOS!$B$14+2*((AX10+AY10)/2)))^(4/3)))*(A9-A10)))&lt;0,AY10,((AX10+AY10)/2))</f>
        <v/>
      </c>
      <c r="BB10" s="16">
        <f>IF((((AZ10+BA10)/2)+(C10/(DATOS!$B$14*((AZ10+BA10)/2)))^2/(2*9.81)+B10-(E9+(C9/(DATOS!$B$14*E9))^2/(2*9.81)+B9+0.5*(((DATOS!$B$27*C9/(DATOS!$B$14*E9))^2/((DATOS!$B$14*E9)/(DATOS!$B$14+2*E9))^(4/3))+((DATOS!$B$27*C10/(DATOS!$B$14*((AZ10+BA10)/2)))^2/((DATOS!$B$14*((AZ10+BA10)/2))/(DATOS!$B$14+2*((AZ10+BA10)/2)))^(4/3)))*(A9-A10)))&lt;0,((AZ10+BA10)/2),AZ10)</f>
        <v/>
      </c>
      <c r="BC10" s="16">
        <f>IF((((AZ10+BA10)/2)+(C10/(DATOS!$B$14*((AZ10+BA10)/2)))^2/(2*9.81)+B10-(E9+(C9/(DATOS!$B$14*E9))^2/(2*9.81)+B9+0.5*(((DATOS!$B$27*C9/(DATOS!$B$14*E9))^2/((DATOS!$B$14*E9)/(DATOS!$B$14+2*E9))^(4/3))+((DATOS!$B$27*C10/(DATOS!$B$14*((AZ10+BA10)/2)))^2/((DATOS!$B$14*((AZ10+BA10)/2))/(DATOS!$B$14+2*((AZ10+BA10)/2)))^(4/3)))*(A9-A10)))&lt;0,BA10,((AZ10+BA10)/2))</f>
        <v/>
      </c>
      <c r="BD10" s="16">
        <f>IF((((BB10+BC10)/2)+(C10/(DATOS!$B$14*((BB10+BC10)/2)))^2/(2*9.81)+B10-(E9+(C9/(DATOS!$B$14*E9))^2/(2*9.81)+B9+0.5*(((DATOS!$B$27*C9/(DATOS!$B$14*E9))^2/((DATOS!$B$14*E9)/(DATOS!$B$14+2*E9))^(4/3))+((DATOS!$B$27*C10/(DATOS!$B$14*((BB10+BC10)/2)))^2/((DATOS!$B$14*((BB10+BC10)/2))/(DATOS!$B$14+2*((BB10+BC10)/2)))^(4/3)))*(A9-A10)))&lt;0,((BB10+BC10)/2),BB10)</f>
        <v/>
      </c>
      <c r="BE10" s="16">
        <f>IF((((BB10+BC10)/2)+(C10/(DATOS!$B$14*((BB10+BC10)/2)))^2/(2*9.81)+B10-(E9+(C9/(DATOS!$B$14*E9))^2/(2*9.81)+B9+0.5*(((DATOS!$B$27*C9/(DATOS!$B$14*E9))^2/((DATOS!$B$14*E9)/(DATOS!$B$14+2*E9))^(4/3))+((DATOS!$B$27*C10/(DATOS!$B$14*((BB10+BC10)/2)))^2/((DATOS!$B$14*((BB10+BC10)/2))/(DATOS!$B$14+2*((BB10+BC10)/2)))^(4/3)))*(A9-A10)))&lt;0,BC10,((BB10+BC10)/2))</f>
        <v/>
      </c>
      <c r="BF10" s="16">
        <f>IF((((BD10+BE10)/2)+(C10/(DATOS!$B$14*((BD10+BE10)/2)))^2/(2*9.81)+B10-(E9+(C9/(DATOS!$B$14*E9))^2/(2*9.81)+B9+0.5*(((DATOS!$B$27*C9/(DATOS!$B$14*E9))^2/((DATOS!$B$14*E9)/(DATOS!$B$14+2*E9))^(4/3))+((DATOS!$B$27*C10/(DATOS!$B$14*((BD10+BE10)/2)))^2/((DATOS!$B$14*((BD10+BE10)/2))/(DATOS!$B$14+2*((BD10+BE10)/2)))^(4/3)))*(A9-A10)))&lt;0,((BD10+BE10)/2),BD10)</f>
        <v/>
      </c>
      <c r="BG10" s="16">
        <f>IF((((BD10+BE10)/2)+(C10/(DATOS!$B$14*((BD10+BE10)/2)))^2/(2*9.81)+B10-(E9+(C9/(DATOS!$B$14*E9))^2/(2*9.81)+B9+0.5*(((DATOS!$B$27*C9/(DATOS!$B$14*E9))^2/((DATOS!$B$14*E9)/(DATOS!$B$14+2*E9))^(4/3))+((DATOS!$B$27*C10/(DATOS!$B$14*((BD10+BE10)/2)))^2/((DATOS!$B$14*((BD10+BE10)/2))/(DATOS!$B$14+2*((BD10+BE10)/2)))^(4/3)))*(A9-A10)))&lt;0,BE10,((BD10+BE10)/2))</f>
        <v/>
      </c>
      <c r="BH10" s="16">
        <f>IF((((BF10+BG10)/2)+(C10/(DATOS!$B$14*((BF10+BG10)/2)))^2/(2*9.81)+B10-(E9+(C9/(DATOS!$B$14*E9))^2/(2*9.81)+B9+0.5*(((DATOS!$B$27*C9/(DATOS!$B$14*E9))^2/((DATOS!$B$14*E9)/(DATOS!$B$14+2*E9))^(4/3))+((DATOS!$B$27*C10/(DATOS!$B$14*((BF10+BG10)/2)))^2/((DATOS!$B$14*((BF10+BG10)/2))/(DATOS!$B$14+2*((BF10+BG10)/2)))^(4/3)))*(A9-A10)))&lt;0,((BF10+BG10)/2),BF10)</f>
        <v/>
      </c>
      <c r="BI10" s="16">
        <f>IF((((BF10+BG10)/2)+(C10/(DATOS!$B$14*((BF10+BG10)/2)))^2/(2*9.81)+B10-(E9+(C9/(DATOS!$B$14*E9))^2/(2*9.81)+B9+0.5*(((DATOS!$B$27*C9/(DATOS!$B$14*E9))^2/((DATOS!$B$14*E9)/(DATOS!$B$14+2*E9))^(4/3))+((DATOS!$B$27*C10/(DATOS!$B$14*((BF10+BG10)/2)))^2/((DATOS!$B$14*((BF10+BG10)/2))/(DATOS!$B$14+2*((BF10+BG10)/2)))^(4/3)))*(A9-A10)))&lt;0,BG10,((BF10+BG10)/2))</f>
        <v/>
      </c>
      <c r="BJ10" s="16">
        <f>IF((((BH10+BI10)/2)+(C10/(DATOS!$B$14*((BH10+BI10)/2)))^2/(2*9.81)+B10-(E9+(C9/(DATOS!$B$14*E9))^2/(2*9.81)+B9+0.5*(((DATOS!$B$27*C9/(DATOS!$B$14*E9))^2/((DATOS!$B$14*E9)/(DATOS!$B$14+2*E9))^(4/3))+((DATOS!$B$27*C10/(DATOS!$B$14*((BH10+BI10)/2)))^2/((DATOS!$B$14*((BH10+BI10)/2))/(DATOS!$B$14+2*((BH10+BI10)/2)))^(4/3)))*(A9-A10)))&lt;0,((BH10+BI10)/2),BH10)</f>
        <v/>
      </c>
      <c r="BK10" s="16">
        <f>IF((((BH10+BI10)/2)+(C10/(DATOS!$B$14*((BH10+BI10)/2)))^2/(2*9.81)+B10-(E9+(C9/(DATOS!$B$14*E9))^2/(2*9.81)+B9+0.5*(((DATOS!$B$27*C9/(DATOS!$B$14*E9))^2/((DATOS!$B$14*E9)/(DATOS!$B$14+2*E9))^(4/3))+((DATOS!$B$27*C10/(DATOS!$B$14*((BH10+BI10)/2)))^2/((DATOS!$B$14*((BH10+BI10)/2))/(DATOS!$B$14+2*((BH10+BI10)/2)))^(4/3)))*(A9-A10)))&lt;0,BI10,((BH10+BI10)/2))</f>
        <v/>
      </c>
      <c r="BL10" s="16">
        <f>IF((((BJ10+BK10)/2)+(C10/(DATOS!$B$14*((BJ10+BK10)/2)))^2/(2*9.81)+B10-(E9+(C9/(DATOS!$B$14*E9))^2/(2*9.81)+B9+0.5*(((DATOS!$B$27*C9/(DATOS!$B$14*E9))^2/((DATOS!$B$14*E9)/(DATOS!$B$14+2*E9))^(4/3))+((DATOS!$B$27*C10/(DATOS!$B$14*((BJ10+BK10)/2)))^2/((DATOS!$B$14*((BJ10+BK10)/2))/(DATOS!$B$14+2*((BJ10+BK10)/2)))^(4/3)))*(A9-A10)))&lt;0,((BJ10+BK10)/2),BJ10)</f>
        <v/>
      </c>
      <c r="BM10" s="16">
        <f>IF((((BJ10+BK10)/2)+(C10/(DATOS!$B$14*((BJ10+BK10)/2)))^2/(2*9.81)+B10-(E9+(C9/(DATOS!$B$14*E9))^2/(2*9.81)+B9+0.5*(((DATOS!$B$27*C9/(DATOS!$B$14*E9))^2/((DATOS!$B$14*E9)/(DATOS!$B$14+2*E9))^(4/3))+((DATOS!$B$27*C10/(DATOS!$B$14*((BJ10+BK10)/2)))^2/((DATOS!$B$14*((BJ10+BK10)/2))/(DATOS!$B$14+2*((BJ10+BK10)/2)))^(4/3)))*(A9-A10)))&lt;0,BK10,((BJ10+BK10)/2))</f>
        <v/>
      </c>
      <c r="BN10" s="16">
        <f>IF((((BL10+BM10)/2)+(C10/(DATOS!$B$14*((BL10+BM10)/2)))^2/(2*9.81)+B10-(E9+(C9/(DATOS!$B$14*E9))^2/(2*9.81)+B9+0.5*(((DATOS!$B$27*C9/(DATOS!$B$14*E9))^2/((DATOS!$B$14*E9)/(DATOS!$B$14+2*E9))^(4/3))+((DATOS!$B$27*C10/(DATOS!$B$14*((BL10+BM10)/2)))^2/((DATOS!$B$14*((BL10+BM10)/2))/(DATOS!$B$14+2*((BL10+BM10)/2)))^(4/3)))*(A9-A10)))&lt;0,((BL10+BM10)/2),BL10)</f>
        <v/>
      </c>
      <c r="BO10" s="16">
        <f>IF((((BL10+BM10)/2)+(C10/(DATOS!$B$14*((BL10+BM10)/2)))^2/(2*9.81)+B10-(E9+(C9/(DATOS!$B$14*E9))^2/(2*9.81)+B9+0.5*(((DATOS!$B$27*C9/(DATOS!$B$14*E9))^2/((DATOS!$B$14*E9)/(DATOS!$B$14+2*E9))^(4/3))+((DATOS!$B$27*C10/(DATOS!$B$14*((BL10+BM10)/2)))^2/((DATOS!$B$14*((BL10+BM10)/2))/(DATOS!$B$14+2*((BL10+BM10)/2)))^(4/3)))*(A9-A10)))&lt;0,BM10,((BL10+BM10)/2))</f>
        <v/>
      </c>
      <c r="BP10" s="16">
        <f>IF((((BN10+BO10)/2)+(C10/(DATOS!$B$14*((BN10+BO10)/2)))^2/(2*9.81)+B10-(E9+(C9/(DATOS!$B$14*E9))^2/(2*9.81)+B9+0.5*(((DATOS!$B$27*C9/(DATOS!$B$14*E9))^2/((DATOS!$B$14*E9)/(DATOS!$B$14+2*E9))^(4/3))+((DATOS!$B$27*C10/(DATOS!$B$14*((BN10+BO10)/2)))^2/((DATOS!$B$14*((BN10+BO10)/2))/(DATOS!$B$14+2*((BN10+BO10)/2)))^(4/3)))*(A9-A10)))&lt;0,((BN10+BO10)/2),BN10)</f>
        <v/>
      </c>
      <c r="BQ10" s="16">
        <f>IF((((BN10+BO10)/2)+(C10/(DATOS!$B$14*((BN10+BO10)/2)))^2/(2*9.81)+B10-(E9+(C9/(DATOS!$B$14*E9))^2/(2*9.81)+B9+0.5*(((DATOS!$B$27*C9/(DATOS!$B$14*E9))^2/((DATOS!$B$14*E9)/(DATOS!$B$14+2*E9))^(4/3))+((DATOS!$B$27*C10/(DATOS!$B$14*((BN10+BO10)/2)))^2/((DATOS!$B$14*((BN10+BO10)/2))/(DATOS!$B$14+2*((BN10+BO10)/2)))^(4/3)))*(A9-A10)))&lt;0,BO10,((BN10+BO10)/2))</f>
        <v/>
      </c>
      <c r="BR10" s="16">
        <f>IF((((BP10+BQ10)/2)+(C10/(DATOS!$B$14*((BP10+BQ10)/2)))^2/(2*9.81)+B10-(E9+(C9/(DATOS!$B$14*E9))^2/(2*9.81)+B9+0.5*(((DATOS!$B$27*C9/(DATOS!$B$14*E9))^2/((DATOS!$B$14*E9)/(DATOS!$B$14+2*E9))^(4/3))+((DATOS!$B$27*C10/(DATOS!$B$14*((BP10+BQ10)/2)))^2/((DATOS!$B$14*((BP10+BQ10)/2))/(DATOS!$B$14+2*((BP10+BQ10)/2)))^(4/3)))*(A9-A10)))&lt;0,((BP10+BQ10)/2),BP10)</f>
        <v/>
      </c>
      <c r="BS10" s="16">
        <f>IF((((BP10+BQ10)/2)+(C10/(DATOS!$B$14*((BP10+BQ10)/2)))^2/(2*9.81)+B10-(E9+(C9/(DATOS!$B$14*E9))^2/(2*9.81)+B9+0.5*(((DATOS!$B$27*C9/(DATOS!$B$14*E9))^2/((DATOS!$B$14*E9)/(DATOS!$B$14+2*E9))^(4/3))+((DATOS!$B$27*C10/(DATOS!$B$14*((BP10+BQ10)/2)))^2/((DATOS!$B$14*((BP10+BQ10)/2))/(DATOS!$B$14+2*((BP10+BQ10)/2)))^(4/3)))*(A9-A10)))&lt;0,BQ10,((BP10+BQ10)/2))</f>
        <v/>
      </c>
      <c r="BT10" s="16">
        <f>IF((((BR10+BS10)/2)+(C10/(DATOS!$B$14*((BR10+BS10)/2)))^2/(2*9.81)+B10-(E9+(C9/(DATOS!$B$14*E9))^2/(2*9.81)+B9+0.5*(((DATOS!$B$27*C9/(DATOS!$B$14*E9))^2/((DATOS!$B$14*E9)/(DATOS!$B$14+2*E9))^(4/3))+((DATOS!$B$27*C10/(DATOS!$B$14*((BR10+BS10)/2)))^2/((DATOS!$B$14*((BR10+BS10)/2))/(DATOS!$B$14+2*((BR10+BS10)/2)))^(4/3)))*(A9-A10)))&lt;0,((BR10+BS10)/2),BR10)</f>
        <v/>
      </c>
      <c r="BU10" s="16">
        <f>IF((((BR10+BS10)/2)+(C10/(DATOS!$B$14*((BR10+BS10)/2)))^2/(2*9.81)+B10-(E9+(C9/(DATOS!$B$14*E9))^2/(2*9.81)+B9+0.5*(((DATOS!$B$27*C9/(DATOS!$B$14*E9))^2/((DATOS!$B$14*E9)/(DATOS!$B$14+2*E9))^(4/3))+((DATOS!$B$27*C10/(DATOS!$B$14*((BR10+BS10)/2)))^2/((DATOS!$B$14*((BR10+BS10)/2))/(DATOS!$B$14+2*((BR10+BS10)/2)))^(4/3)))*(A9-A10)))&lt;0,BS10,((BR10+BS10)/2))</f>
        <v/>
      </c>
    </row>
    <row r="11">
      <c r="A11" s="30" t="n">
        <v>128</v>
      </c>
      <c r="B11" s="21">
        <f>DATOS!$B$16-DATOS!$B$19*A11</f>
        <v/>
      </c>
      <c r="C11" s="21">
        <f>IF(A11&lt;CAUDALES!$B$13,CAUDALES!$D$12,IF(A11&lt;CAUDALES!$B$14,CAUDALES!$D$13,IF(A11&lt;CAUDALES!$B$15,CAUDALES!$D$14,CAUDALES!$D$15)))/1000</f>
        <v/>
      </c>
      <c r="D11" s="21">
        <f>(C11^2/(9.81*DATOS!$B$14^2))^(1/3)</f>
        <v/>
      </c>
      <c r="E11" s="29">
        <f>(BT11+BU11)/2</f>
        <v/>
      </c>
      <c r="F11" s="21">
        <f>B11+E11</f>
        <v/>
      </c>
      <c r="G11" s="17">
        <f>C11/(DATOS!$B$14*E11)</f>
        <v/>
      </c>
      <c r="H11" s="17">
        <f>G11/SQRT(9.81*E11)</f>
        <v/>
      </c>
      <c r="I11" s="21">
        <f>IF(A11&lt;=DATOS!$B$20,DATOS!$B$21-IF(AND(A11&gt;=DATOS!$B$23,A11&lt;DATOS!$B$24),DATOS!$B$25,DATOS!$B$22),B11+DATOS!$B$26)</f>
        <v/>
      </c>
      <c r="J11" s="17">
        <f>I11-B11</f>
        <v/>
      </c>
      <c r="K11" s="31">
        <f>E11/J11</f>
        <v/>
      </c>
      <c r="L11" s="21">
        <f>I11-F11</f>
        <v/>
      </c>
      <c r="M11" s="32">
        <f>IF(AND(K11&lt;=DATOS!$B$29,L11&gt;=DATOS!$B$30),"CUMPLE","NO CUMPLE")</f>
        <v/>
      </c>
      <c r="N11" s="13">
        <f>IF(A11&gt;DATOS!$B$20,"cubierto - tramo final",IF(AND(A11&gt;=DATOS!$B$23,A11&lt;DATOS!$B$24),"cubierto - camiones","cubierto"))</f>
        <v/>
      </c>
      <c r="P11" s="16">
        <f>D11*1.001</f>
        <v/>
      </c>
      <c r="Q11" s="16" t="n">
        <v>2</v>
      </c>
      <c r="R11" s="16">
        <f>IF((((P11+Q11)/2)+(C11/(DATOS!$B$14*((P11+Q11)/2)))^2/(2*9.81)+B11-(E10+(C10/(DATOS!$B$14*E10))^2/(2*9.81)+B10+0.5*(((DATOS!$B$27*C10/(DATOS!$B$14*E10))^2/((DATOS!$B$14*E10)/(DATOS!$B$14+2*E10))^(4/3))+((DATOS!$B$27*C11/(DATOS!$B$14*((P11+Q11)/2)))^2/((DATOS!$B$14*((P11+Q11)/2))/(DATOS!$B$14+2*((P11+Q11)/2)))^(4/3)))*(A10-A11)))&lt;0,((P11+Q11)/2),P11)</f>
        <v/>
      </c>
      <c r="S11" s="16">
        <f>IF((((P11+Q11)/2)+(C11/(DATOS!$B$14*((P11+Q11)/2)))^2/(2*9.81)+B11-(E10+(C10/(DATOS!$B$14*E10))^2/(2*9.81)+B10+0.5*(((DATOS!$B$27*C10/(DATOS!$B$14*E10))^2/((DATOS!$B$14*E10)/(DATOS!$B$14+2*E10))^(4/3))+((DATOS!$B$27*C11/(DATOS!$B$14*((P11+Q11)/2)))^2/((DATOS!$B$14*((P11+Q11)/2))/(DATOS!$B$14+2*((P11+Q11)/2)))^(4/3)))*(A10-A11)))&lt;0,Q11,((P11+Q11)/2))</f>
        <v/>
      </c>
      <c r="T11" s="16">
        <f>IF((((R11+S11)/2)+(C11/(DATOS!$B$14*((R11+S11)/2)))^2/(2*9.81)+B11-(E10+(C10/(DATOS!$B$14*E10))^2/(2*9.81)+B10+0.5*(((DATOS!$B$27*C10/(DATOS!$B$14*E10))^2/((DATOS!$B$14*E10)/(DATOS!$B$14+2*E10))^(4/3))+((DATOS!$B$27*C11/(DATOS!$B$14*((R11+S11)/2)))^2/((DATOS!$B$14*((R11+S11)/2))/(DATOS!$B$14+2*((R11+S11)/2)))^(4/3)))*(A10-A11)))&lt;0,((R11+S11)/2),R11)</f>
        <v/>
      </c>
      <c r="U11" s="16">
        <f>IF((((R11+S11)/2)+(C11/(DATOS!$B$14*((R11+S11)/2)))^2/(2*9.81)+B11-(E10+(C10/(DATOS!$B$14*E10))^2/(2*9.81)+B10+0.5*(((DATOS!$B$27*C10/(DATOS!$B$14*E10))^2/((DATOS!$B$14*E10)/(DATOS!$B$14+2*E10))^(4/3))+((DATOS!$B$27*C11/(DATOS!$B$14*((R11+S11)/2)))^2/((DATOS!$B$14*((R11+S11)/2))/(DATOS!$B$14+2*((R11+S11)/2)))^(4/3)))*(A10-A11)))&lt;0,S11,((R11+S11)/2))</f>
        <v/>
      </c>
      <c r="V11" s="16">
        <f>IF((((T11+U11)/2)+(C11/(DATOS!$B$14*((T11+U11)/2)))^2/(2*9.81)+B11-(E10+(C10/(DATOS!$B$14*E10))^2/(2*9.81)+B10+0.5*(((DATOS!$B$27*C10/(DATOS!$B$14*E10))^2/((DATOS!$B$14*E10)/(DATOS!$B$14+2*E10))^(4/3))+((DATOS!$B$27*C11/(DATOS!$B$14*((T11+U11)/2)))^2/((DATOS!$B$14*((T11+U11)/2))/(DATOS!$B$14+2*((T11+U11)/2)))^(4/3)))*(A10-A11)))&lt;0,((T11+U11)/2),T11)</f>
        <v/>
      </c>
      <c r="W11" s="16">
        <f>IF((((T11+U11)/2)+(C11/(DATOS!$B$14*((T11+U11)/2)))^2/(2*9.81)+B11-(E10+(C10/(DATOS!$B$14*E10))^2/(2*9.81)+B10+0.5*(((DATOS!$B$27*C10/(DATOS!$B$14*E10))^2/((DATOS!$B$14*E10)/(DATOS!$B$14+2*E10))^(4/3))+((DATOS!$B$27*C11/(DATOS!$B$14*((T11+U11)/2)))^2/((DATOS!$B$14*((T11+U11)/2))/(DATOS!$B$14+2*((T11+U11)/2)))^(4/3)))*(A10-A11)))&lt;0,U11,((T11+U11)/2))</f>
        <v/>
      </c>
      <c r="X11" s="16">
        <f>IF((((V11+W11)/2)+(C11/(DATOS!$B$14*((V11+W11)/2)))^2/(2*9.81)+B11-(E10+(C10/(DATOS!$B$14*E10))^2/(2*9.81)+B10+0.5*(((DATOS!$B$27*C10/(DATOS!$B$14*E10))^2/((DATOS!$B$14*E10)/(DATOS!$B$14+2*E10))^(4/3))+((DATOS!$B$27*C11/(DATOS!$B$14*((V11+W11)/2)))^2/((DATOS!$B$14*((V11+W11)/2))/(DATOS!$B$14+2*((V11+W11)/2)))^(4/3)))*(A10-A11)))&lt;0,((V11+W11)/2),V11)</f>
        <v/>
      </c>
      <c r="Y11" s="16">
        <f>IF((((V11+W11)/2)+(C11/(DATOS!$B$14*((V11+W11)/2)))^2/(2*9.81)+B11-(E10+(C10/(DATOS!$B$14*E10))^2/(2*9.81)+B10+0.5*(((DATOS!$B$27*C10/(DATOS!$B$14*E10))^2/((DATOS!$B$14*E10)/(DATOS!$B$14+2*E10))^(4/3))+((DATOS!$B$27*C11/(DATOS!$B$14*((V11+W11)/2)))^2/((DATOS!$B$14*((V11+W11)/2))/(DATOS!$B$14+2*((V11+W11)/2)))^(4/3)))*(A10-A11)))&lt;0,W11,((V11+W11)/2))</f>
        <v/>
      </c>
      <c r="Z11" s="16">
        <f>IF((((X11+Y11)/2)+(C11/(DATOS!$B$14*((X11+Y11)/2)))^2/(2*9.81)+B11-(E10+(C10/(DATOS!$B$14*E10))^2/(2*9.81)+B10+0.5*(((DATOS!$B$27*C10/(DATOS!$B$14*E10))^2/((DATOS!$B$14*E10)/(DATOS!$B$14+2*E10))^(4/3))+((DATOS!$B$27*C11/(DATOS!$B$14*((X11+Y11)/2)))^2/((DATOS!$B$14*((X11+Y11)/2))/(DATOS!$B$14+2*((X11+Y11)/2)))^(4/3)))*(A10-A11)))&lt;0,((X11+Y11)/2),X11)</f>
        <v/>
      </c>
      <c r="AA11" s="16">
        <f>IF((((X11+Y11)/2)+(C11/(DATOS!$B$14*((X11+Y11)/2)))^2/(2*9.81)+B11-(E10+(C10/(DATOS!$B$14*E10))^2/(2*9.81)+B10+0.5*(((DATOS!$B$27*C10/(DATOS!$B$14*E10))^2/((DATOS!$B$14*E10)/(DATOS!$B$14+2*E10))^(4/3))+((DATOS!$B$27*C11/(DATOS!$B$14*((X11+Y11)/2)))^2/((DATOS!$B$14*((X11+Y11)/2))/(DATOS!$B$14+2*((X11+Y11)/2)))^(4/3)))*(A10-A11)))&lt;0,Y11,((X11+Y11)/2))</f>
        <v/>
      </c>
      <c r="AB11" s="16">
        <f>IF((((Z11+AA11)/2)+(C11/(DATOS!$B$14*((Z11+AA11)/2)))^2/(2*9.81)+B11-(E10+(C10/(DATOS!$B$14*E10))^2/(2*9.81)+B10+0.5*(((DATOS!$B$27*C10/(DATOS!$B$14*E10))^2/((DATOS!$B$14*E10)/(DATOS!$B$14+2*E10))^(4/3))+((DATOS!$B$27*C11/(DATOS!$B$14*((Z11+AA11)/2)))^2/((DATOS!$B$14*((Z11+AA11)/2))/(DATOS!$B$14+2*((Z11+AA11)/2)))^(4/3)))*(A10-A11)))&lt;0,((Z11+AA11)/2),Z11)</f>
        <v/>
      </c>
      <c r="AC11" s="16">
        <f>IF((((Z11+AA11)/2)+(C11/(DATOS!$B$14*((Z11+AA11)/2)))^2/(2*9.81)+B11-(E10+(C10/(DATOS!$B$14*E10))^2/(2*9.81)+B10+0.5*(((DATOS!$B$27*C10/(DATOS!$B$14*E10))^2/((DATOS!$B$14*E10)/(DATOS!$B$14+2*E10))^(4/3))+((DATOS!$B$27*C11/(DATOS!$B$14*((Z11+AA11)/2)))^2/((DATOS!$B$14*((Z11+AA11)/2))/(DATOS!$B$14+2*((Z11+AA11)/2)))^(4/3)))*(A10-A11)))&lt;0,AA11,((Z11+AA11)/2))</f>
        <v/>
      </c>
      <c r="AD11" s="16">
        <f>IF((((AB11+AC11)/2)+(C11/(DATOS!$B$14*((AB11+AC11)/2)))^2/(2*9.81)+B11-(E10+(C10/(DATOS!$B$14*E10))^2/(2*9.81)+B10+0.5*(((DATOS!$B$27*C10/(DATOS!$B$14*E10))^2/((DATOS!$B$14*E10)/(DATOS!$B$14+2*E10))^(4/3))+((DATOS!$B$27*C11/(DATOS!$B$14*((AB11+AC11)/2)))^2/((DATOS!$B$14*((AB11+AC11)/2))/(DATOS!$B$14+2*((AB11+AC11)/2)))^(4/3)))*(A10-A11)))&lt;0,((AB11+AC11)/2),AB11)</f>
        <v/>
      </c>
      <c r="AE11" s="16">
        <f>IF((((AB11+AC11)/2)+(C11/(DATOS!$B$14*((AB11+AC11)/2)))^2/(2*9.81)+B11-(E10+(C10/(DATOS!$B$14*E10))^2/(2*9.81)+B10+0.5*(((DATOS!$B$27*C10/(DATOS!$B$14*E10))^2/((DATOS!$B$14*E10)/(DATOS!$B$14+2*E10))^(4/3))+((DATOS!$B$27*C11/(DATOS!$B$14*((AB11+AC11)/2)))^2/((DATOS!$B$14*((AB11+AC11)/2))/(DATOS!$B$14+2*((AB11+AC11)/2)))^(4/3)))*(A10-A11)))&lt;0,AC11,((AB11+AC11)/2))</f>
        <v/>
      </c>
      <c r="AF11" s="16">
        <f>IF((((AD11+AE11)/2)+(C11/(DATOS!$B$14*((AD11+AE11)/2)))^2/(2*9.81)+B11-(E10+(C10/(DATOS!$B$14*E10))^2/(2*9.81)+B10+0.5*(((DATOS!$B$27*C10/(DATOS!$B$14*E10))^2/((DATOS!$B$14*E10)/(DATOS!$B$14+2*E10))^(4/3))+((DATOS!$B$27*C11/(DATOS!$B$14*((AD11+AE11)/2)))^2/((DATOS!$B$14*((AD11+AE11)/2))/(DATOS!$B$14+2*((AD11+AE11)/2)))^(4/3)))*(A10-A11)))&lt;0,((AD11+AE11)/2),AD11)</f>
        <v/>
      </c>
      <c r="AG11" s="16">
        <f>IF((((AD11+AE11)/2)+(C11/(DATOS!$B$14*((AD11+AE11)/2)))^2/(2*9.81)+B11-(E10+(C10/(DATOS!$B$14*E10))^2/(2*9.81)+B10+0.5*(((DATOS!$B$27*C10/(DATOS!$B$14*E10))^2/((DATOS!$B$14*E10)/(DATOS!$B$14+2*E10))^(4/3))+((DATOS!$B$27*C11/(DATOS!$B$14*((AD11+AE11)/2)))^2/((DATOS!$B$14*((AD11+AE11)/2))/(DATOS!$B$14+2*((AD11+AE11)/2)))^(4/3)))*(A10-A11)))&lt;0,AE11,((AD11+AE11)/2))</f>
        <v/>
      </c>
      <c r="AH11" s="16">
        <f>IF((((AF11+AG11)/2)+(C11/(DATOS!$B$14*((AF11+AG11)/2)))^2/(2*9.81)+B11-(E10+(C10/(DATOS!$B$14*E10))^2/(2*9.81)+B10+0.5*(((DATOS!$B$27*C10/(DATOS!$B$14*E10))^2/((DATOS!$B$14*E10)/(DATOS!$B$14+2*E10))^(4/3))+((DATOS!$B$27*C11/(DATOS!$B$14*((AF11+AG11)/2)))^2/((DATOS!$B$14*((AF11+AG11)/2))/(DATOS!$B$14+2*((AF11+AG11)/2)))^(4/3)))*(A10-A11)))&lt;0,((AF11+AG11)/2),AF11)</f>
        <v/>
      </c>
      <c r="AI11" s="16">
        <f>IF((((AF11+AG11)/2)+(C11/(DATOS!$B$14*((AF11+AG11)/2)))^2/(2*9.81)+B11-(E10+(C10/(DATOS!$B$14*E10))^2/(2*9.81)+B10+0.5*(((DATOS!$B$27*C10/(DATOS!$B$14*E10))^2/((DATOS!$B$14*E10)/(DATOS!$B$14+2*E10))^(4/3))+((DATOS!$B$27*C11/(DATOS!$B$14*((AF11+AG11)/2)))^2/((DATOS!$B$14*((AF11+AG11)/2))/(DATOS!$B$14+2*((AF11+AG11)/2)))^(4/3)))*(A10-A11)))&lt;0,AG11,((AF11+AG11)/2))</f>
        <v/>
      </c>
      <c r="AJ11" s="16">
        <f>IF((((AH11+AI11)/2)+(C11/(DATOS!$B$14*((AH11+AI11)/2)))^2/(2*9.81)+B11-(E10+(C10/(DATOS!$B$14*E10))^2/(2*9.81)+B10+0.5*(((DATOS!$B$27*C10/(DATOS!$B$14*E10))^2/((DATOS!$B$14*E10)/(DATOS!$B$14+2*E10))^(4/3))+((DATOS!$B$27*C11/(DATOS!$B$14*((AH11+AI11)/2)))^2/((DATOS!$B$14*((AH11+AI11)/2))/(DATOS!$B$14+2*((AH11+AI11)/2)))^(4/3)))*(A10-A11)))&lt;0,((AH11+AI11)/2),AH11)</f>
        <v/>
      </c>
      <c r="AK11" s="16">
        <f>IF((((AH11+AI11)/2)+(C11/(DATOS!$B$14*((AH11+AI11)/2)))^2/(2*9.81)+B11-(E10+(C10/(DATOS!$B$14*E10))^2/(2*9.81)+B10+0.5*(((DATOS!$B$27*C10/(DATOS!$B$14*E10))^2/((DATOS!$B$14*E10)/(DATOS!$B$14+2*E10))^(4/3))+((DATOS!$B$27*C11/(DATOS!$B$14*((AH11+AI11)/2)))^2/((DATOS!$B$14*((AH11+AI11)/2))/(DATOS!$B$14+2*((AH11+AI11)/2)))^(4/3)))*(A10-A11)))&lt;0,AI11,((AH11+AI11)/2))</f>
        <v/>
      </c>
      <c r="AL11" s="16">
        <f>IF((((AJ11+AK11)/2)+(C11/(DATOS!$B$14*((AJ11+AK11)/2)))^2/(2*9.81)+B11-(E10+(C10/(DATOS!$B$14*E10))^2/(2*9.81)+B10+0.5*(((DATOS!$B$27*C10/(DATOS!$B$14*E10))^2/((DATOS!$B$14*E10)/(DATOS!$B$14+2*E10))^(4/3))+((DATOS!$B$27*C11/(DATOS!$B$14*((AJ11+AK11)/2)))^2/((DATOS!$B$14*((AJ11+AK11)/2))/(DATOS!$B$14+2*((AJ11+AK11)/2)))^(4/3)))*(A10-A11)))&lt;0,((AJ11+AK11)/2),AJ11)</f>
        <v/>
      </c>
      <c r="AM11" s="16">
        <f>IF((((AJ11+AK11)/2)+(C11/(DATOS!$B$14*((AJ11+AK11)/2)))^2/(2*9.81)+B11-(E10+(C10/(DATOS!$B$14*E10))^2/(2*9.81)+B10+0.5*(((DATOS!$B$27*C10/(DATOS!$B$14*E10))^2/((DATOS!$B$14*E10)/(DATOS!$B$14+2*E10))^(4/3))+((DATOS!$B$27*C11/(DATOS!$B$14*((AJ11+AK11)/2)))^2/((DATOS!$B$14*((AJ11+AK11)/2))/(DATOS!$B$14+2*((AJ11+AK11)/2)))^(4/3)))*(A10-A11)))&lt;0,AK11,((AJ11+AK11)/2))</f>
        <v/>
      </c>
      <c r="AN11" s="16">
        <f>IF((((AL11+AM11)/2)+(C11/(DATOS!$B$14*((AL11+AM11)/2)))^2/(2*9.81)+B11-(E10+(C10/(DATOS!$B$14*E10))^2/(2*9.81)+B10+0.5*(((DATOS!$B$27*C10/(DATOS!$B$14*E10))^2/((DATOS!$B$14*E10)/(DATOS!$B$14+2*E10))^(4/3))+((DATOS!$B$27*C11/(DATOS!$B$14*((AL11+AM11)/2)))^2/((DATOS!$B$14*((AL11+AM11)/2))/(DATOS!$B$14+2*((AL11+AM11)/2)))^(4/3)))*(A10-A11)))&lt;0,((AL11+AM11)/2),AL11)</f>
        <v/>
      </c>
      <c r="AO11" s="16">
        <f>IF((((AL11+AM11)/2)+(C11/(DATOS!$B$14*((AL11+AM11)/2)))^2/(2*9.81)+B11-(E10+(C10/(DATOS!$B$14*E10))^2/(2*9.81)+B10+0.5*(((DATOS!$B$27*C10/(DATOS!$B$14*E10))^2/((DATOS!$B$14*E10)/(DATOS!$B$14+2*E10))^(4/3))+((DATOS!$B$27*C11/(DATOS!$B$14*((AL11+AM11)/2)))^2/((DATOS!$B$14*((AL11+AM11)/2))/(DATOS!$B$14+2*((AL11+AM11)/2)))^(4/3)))*(A10-A11)))&lt;0,AM11,((AL11+AM11)/2))</f>
        <v/>
      </c>
      <c r="AP11" s="16">
        <f>IF((((AN11+AO11)/2)+(C11/(DATOS!$B$14*((AN11+AO11)/2)))^2/(2*9.81)+B11-(E10+(C10/(DATOS!$B$14*E10))^2/(2*9.81)+B10+0.5*(((DATOS!$B$27*C10/(DATOS!$B$14*E10))^2/((DATOS!$B$14*E10)/(DATOS!$B$14+2*E10))^(4/3))+((DATOS!$B$27*C11/(DATOS!$B$14*((AN11+AO11)/2)))^2/((DATOS!$B$14*((AN11+AO11)/2))/(DATOS!$B$14+2*((AN11+AO11)/2)))^(4/3)))*(A10-A11)))&lt;0,((AN11+AO11)/2),AN11)</f>
        <v/>
      </c>
      <c r="AQ11" s="16">
        <f>IF((((AN11+AO11)/2)+(C11/(DATOS!$B$14*((AN11+AO11)/2)))^2/(2*9.81)+B11-(E10+(C10/(DATOS!$B$14*E10))^2/(2*9.81)+B10+0.5*(((DATOS!$B$27*C10/(DATOS!$B$14*E10))^2/((DATOS!$B$14*E10)/(DATOS!$B$14+2*E10))^(4/3))+((DATOS!$B$27*C11/(DATOS!$B$14*((AN11+AO11)/2)))^2/((DATOS!$B$14*((AN11+AO11)/2))/(DATOS!$B$14+2*((AN11+AO11)/2)))^(4/3)))*(A10-A11)))&lt;0,AO11,((AN11+AO11)/2))</f>
        <v/>
      </c>
      <c r="AR11" s="16">
        <f>IF((((AP11+AQ11)/2)+(C11/(DATOS!$B$14*((AP11+AQ11)/2)))^2/(2*9.81)+B11-(E10+(C10/(DATOS!$B$14*E10))^2/(2*9.81)+B10+0.5*(((DATOS!$B$27*C10/(DATOS!$B$14*E10))^2/((DATOS!$B$14*E10)/(DATOS!$B$14+2*E10))^(4/3))+((DATOS!$B$27*C11/(DATOS!$B$14*((AP11+AQ11)/2)))^2/((DATOS!$B$14*((AP11+AQ11)/2))/(DATOS!$B$14+2*((AP11+AQ11)/2)))^(4/3)))*(A10-A11)))&lt;0,((AP11+AQ11)/2),AP11)</f>
        <v/>
      </c>
      <c r="AS11" s="16">
        <f>IF((((AP11+AQ11)/2)+(C11/(DATOS!$B$14*((AP11+AQ11)/2)))^2/(2*9.81)+B11-(E10+(C10/(DATOS!$B$14*E10))^2/(2*9.81)+B10+0.5*(((DATOS!$B$27*C10/(DATOS!$B$14*E10))^2/((DATOS!$B$14*E10)/(DATOS!$B$14+2*E10))^(4/3))+((DATOS!$B$27*C11/(DATOS!$B$14*((AP11+AQ11)/2)))^2/((DATOS!$B$14*((AP11+AQ11)/2))/(DATOS!$B$14+2*((AP11+AQ11)/2)))^(4/3)))*(A10-A11)))&lt;0,AQ11,((AP11+AQ11)/2))</f>
        <v/>
      </c>
      <c r="AT11" s="16">
        <f>IF((((AR11+AS11)/2)+(C11/(DATOS!$B$14*((AR11+AS11)/2)))^2/(2*9.81)+B11-(E10+(C10/(DATOS!$B$14*E10))^2/(2*9.81)+B10+0.5*(((DATOS!$B$27*C10/(DATOS!$B$14*E10))^2/((DATOS!$B$14*E10)/(DATOS!$B$14+2*E10))^(4/3))+((DATOS!$B$27*C11/(DATOS!$B$14*((AR11+AS11)/2)))^2/((DATOS!$B$14*((AR11+AS11)/2))/(DATOS!$B$14+2*((AR11+AS11)/2)))^(4/3)))*(A10-A11)))&lt;0,((AR11+AS11)/2),AR11)</f>
        <v/>
      </c>
      <c r="AU11" s="16">
        <f>IF((((AR11+AS11)/2)+(C11/(DATOS!$B$14*((AR11+AS11)/2)))^2/(2*9.81)+B11-(E10+(C10/(DATOS!$B$14*E10))^2/(2*9.81)+B10+0.5*(((DATOS!$B$27*C10/(DATOS!$B$14*E10))^2/((DATOS!$B$14*E10)/(DATOS!$B$14+2*E10))^(4/3))+((DATOS!$B$27*C11/(DATOS!$B$14*((AR11+AS11)/2)))^2/((DATOS!$B$14*((AR11+AS11)/2))/(DATOS!$B$14+2*((AR11+AS11)/2)))^(4/3)))*(A10-A11)))&lt;0,AS11,((AR11+AS11)/2))</f>
        <v/>
      </c>
      <c r="AV11" s="16">
        <f>IF((((AT11+AU11)/2)+(C11/(DATOS!$B$14*((AT11+AU11)/2)))^2/(2*9.81)+B11-(E10+(C10/(DATOS!$B$14*E10))^2/(2*9.81)+B10+0.5*(((DATOS!$B$27*C10/(DATOS!$B$14*E10))^2/((DATOS!$B$14*E10)/(DATOS!$B$14+2*E10))^(4/3))+((DATOS!$B$27*C11/(DATOS!$B$14*((AT11+AU11)/2)))^2/((DATOS!$B$14*((AT11+AU11)/2))/(DATOS!$B$14+2*((AT11+AU11)/2)))^(4/3)))*(A10-A11)))&lt;0,((AT11+AU11)/2),AT11)</f>
        <v/>
      </c>
      <c r="AW11" s="16">
        <f>IF((((AT11+AU11)/2)+(C11/(DATOS!$B$14*((AT11+AU11)/2)))^2/(2*9.81)+B11-(E10+(C10/(DATOS!$B$14*E10))^2/(2*9.81)+B10+0.5*(((DATOS!$B$27*C10/(DATOS!$B$14*E10))^2/((DATOS!$B$14*E10)/(DATOS!$B$14+2*E10))^(4/3))+((DATOS!$B$27*C11/(DATOS!$B$14*((AT11+AU11)/2)))^2/((DATOS!$B$14*((AT11+AU11)/2))/(DATOS!$B$14+2*((AT11+AU11)/2)))^(4/3)))*(A10-A11)))&lt;0,AU11,((AT11+AU11)/2))</f>
        <v/>
      </c>
      <c r="AX11" s="16">
        <f>IF((((AV11+AW11)/2)+(C11/(DATOS!$B$14*((AV11+AW11)/2)))^2/(2*9.81)+B11-(E10+(C10/(DATOS!$B$14*E10))^2/(2*9.81)+B10+0.5*(((DATOS!$B$27*C10/(DATOS!$B$14*E10))^2/((DATOS!$B$14*E10)/(DATOS!$B$14+2*E10))^(4/3))+((DATOS!$B$27*C11/(DATOS!$B$14*((AV11+AW11)/2)))^2/((DATOS!$B$14*((AV11+AW11)/2))/(DATOS!$B$14+2*((AV11+AW11)/2)))^(4/3)))*(A10-A11)))&lt;0,((AV11+AW11)/2),AV11)</f>
        <v/>
      </c>
      <c r="AY11" s="16">
        <f>IF((((AV11+AW11)/2)+(C11/(DATOS!$B$14*((AV11+AW11)/2)))^2/(2*9.81)+B11-(E10+(C10/(DATOS!$B$14*E10))^2/(2*9.81)+B10+0.5*(((DATOS!$B$27*C10/(DATOS!$B$14*E10))^2/((DATOS!$B$14*E10)/(DATOS!$B$14+2*E10))^(4/3))+((DATOS!$B$27*C11/(DATOS!$B$14*((AV11+AW11)/2)))^2/((DATOS!$B$14*((AV11+AW11)/2))/(DATOS!$B$14+2*((AV11+AW11)/2)))^(4/3)))*(A10-A11)))&lt;0,AW11,((AV11+AW11)/2))</f>
        <v/>
      </c>
      <c r="AZ11" s="16">
        <f>IF((((AX11+AY11)/2)+(C11/(DATOS!$B$14*((AX11+AY11)/2)))^2/(2*9.81)+B11-(E10+(C10/(DATOS!$B$14*E10))^2/(2*9.81)+B10+0.5*(((DATOS!$B$27*C10/(DATOS!$B$14*E10))^2/((DATOS!$B$14*E10)/(DATOS!$B$14+2*E10))^(4/3))+((DATOS!$B$27*C11/(DATOS!$B$14*((AX11+AY11)/2)))^2/((DATOS!$B$14*((AX11+AY11)/2))/(DATOS!$B$14+2*((AX11+AY11)/2)))^(4/3)))*(A10-A11)))&lt;0,((AX11+AY11)/2),AX11)</f>
        <v/>
      </c>
      <c r="BA11" s="16">
        <f>IF((((AX11+AY11)/2)+(C11/(DATOS!$B$14*((AX11+AY11)/2)))^2/(2*9.81)+B11-(E10+(C10/(DATOS!$B$14*E10))^2/(2*9.81)+B10+0.5*(((DATOS!$B$27*C10/(DATOS!$B$14*E10))^2/((DATOS!$B$14*E10)/(DATOS!$B$14+2*E10))^(4/3))+((DATOS!$B$27*C11/(DATOS!$B$14*((AX11+AY11)/2)))^2/((DATOS!$B$14*((AX11+AY11)/2))/(DATOS!$B$14+2*((AX11+AY11)/2)))^(4/3)))*(A10-A11)))&lt;0,AY11,((AX11+AY11)/2))</f>
        <v/>
      </c>
      <c r="BB11" s="16">
        <f>IF((((AZ11+BA11)/2)+(C11/(DATOS!$B$14*((AZ11+BA11)/2)))^2/(2*9.81)+B11-(E10+(C10/(DATOS!$B$14*E10))^2/(2*9.81)+B10+0.5*(((DATOS!$B$27*C10/(DATOS!$B$14*E10))^2/((DATOS!$B$14*E10)/(DATOS!$B$14+2*E10))^(4/3))+((DATOS!$B$27*C11/(DATOS!$B$14*((AZ11+BA11)/2)))^2/((DATOS!$B$14*((AZ11+BA11)/2))/(DATOS!$B$14+2*((AZ11+BA11)/2)))^(4/3)))*(A10-A11)))&lt;0,((AZ11+BA11)/2),AZ11)</f>
        <v/>
      </c>
      <c r="BC11" s="16">
        <f>IF((((AZ11+BA11)/2)+(C11/(DATOS!$B$14*((AZ11+BA11)/2)))^2/(2*9.81)+B11-(E10+(C10/(DATOS!$B$14*E10))^2/(2*9.81)+B10+0.5*(((DATOS!$B$27*C10/(DATOS!$B$14*E10))^2/((DATOS!$B$14*E10)/(DATOS!$B$14+2*E10))^(4/3))+((DATOS!$B$27*C11/(DATOS!$B$14*((AZ11+BA11)/2)))^2/((DATOS!$B$14*((AZ11+BA11)/2))/(DATOS!$B$14+2*((AZ11+BA11)/2)))^(4/3)))*(A10-A11)))&lt;0,BA11,((AZ11+BA11)/2))</f>
        <v/>
      </c>
      <c r="BD11" s="16">
        <f>IF((((BB11+BC11)/2)+(C11/(DATOS!$B$14*((BB11+BC11)/2)))^2/(2*9.81)+B11-(E10+(C10/(DATOS!$B$14*E10))^2/(2*9.81)+B10+0.5*(((DATOS!$B$27*C10/(DATOS!$B$14*E10))^2/((DATOS!$B$14*E10)/(DATOS!$B$14+2*E10))^(4/3))+((DATOS!$B$27*C11/(DATOS!$B$14*((BB11+BC11)/2)))^2/((DATOS!$B$14*((BB11+BC11)/2))/(DATOS!$B$14+2*((BB11+BC11)/2)))^(4/3)))*(A10-A11)))&lt;0,((BB11+BC11)/2),BB11)</f>
        <v/>
      </c>
      <c r="BE11" s="16">
        <f>IF((((BB11+BC11)/2)+(C11/(DATOS!$B$14*((BB11+BC11)/2)))^2/(2*9.81)+B11-(E10+(C10/(DATOS!$B$14*E10))^2/(2*9.81)+B10+0.5*(((DATOS!$B$27*C10/(DATOS!$B$14*E10))^2/((DATOS!$B$14*E10)/(DATOS!$B$14+2*E10))^(4/3))+((DATOS!$B$27*C11/(DATOS!$B$14*((BB11+BC11)/2)))^2/((DATOS!$B$14*((BB11+BC11)/2))/(DATOS!$B$14+2*((BB11+BC11)/2)))^(4/3)))*(A10-A11)))&lt;0,BC11,((BB11+BC11)/2))</f>
        <v/>
      </c>
      <c r="BF11" s="16">
        <f>IF((((BD11+BE11)/2)+(C11/(DATOS!$B$14*((BD11+BE11)/2)))^2/(2*9.81)+B11-(E10+(C10/(DATOS!$B$14*E10))^2/(2*9.81)+B10+0.5*(((DATOS!$B$27*C10/(DATOS!$B$14*E10))^2/((DATOS!$B$14*E10)/(DATOS!$B$14+2*E10))^(4/3))+((DATOS!$B$27*C11/(DATOS!$B$14*((BD11+BE11)/2)))^2/((DATOS!$B$14*((BD11+BE11)/2))/(DATOS!$B$14+2*((BD11+BE11)/2)))^(4/3)))*(A10-A11)))&lt;0,((BD11+BE11)/2),BD11)</f>
        <v/>
      </c>
      <c r="BG11" s="16">
        <f>IF((((BD11+BE11)/2)+(C11/(DATOS!$B$14*((BD11+BE11)/2)))^2/(2*9.81)+B11-(E10+(C10/(DATOS!$B$14*E10))^2/(2*9.81)+B10+0.5*(((DATOS!$B$27*C10/(DATOS!$B$14*E10))^2/((DATOS!$B$14*E10)/(DATOS!$B$14+2*E10))^(4/3))+((DATOS!$B$27*C11/(DATOS!$B$14*((BD11+BE11)/2)))^2/((DATOS!$B$14*((BD11+BE11)/2))/(DATOS!$B$14+2*((BD11+BE11)/2)))^(4/3)))*(A10-A11)))&lt;0,BE11,((BD11+BE11)/2))</f>
        <v/>
      </c>
      <c r="BH11" s="16">
        <f>IF((((BF11+BG11)/2)+(C11/(DATOS!$B$14*((BF11+BG11)/2)))^2/(2*9.81)+B11-(E10+(C10/(DATOS!$B$14*E10))^2/(2*9.81)+B10+0.5*(((DATOS!$B$27*C10/(DATOS!$B$14*E10))^2/((DATOS!$B$14*E10)/(DATOS!$B$14+2*E10))^(4/3))+((DATOS!$B$27*C11/(DATOS!$B$14*((BF11+BG11)/2)))^2/((DATOS!$B$14*((BF11+BG11)/2))/(DATOS!$B$14+2*((BF11+BG11)/2)))^(4/3)))*(A10-A11)))&lt;0,((BF11+BG11)/2),BF11)</f>
        <v/>
      </c>
      <c r="BI11" s="16">
        <f>IF((((BF11+BG11)/2)+(C11/(DATOS!$B$14*((BF11+BG11)/2)))^2/(2*9.81)+B11-(E10+(C10/(DATOS!$B$14*E10))^2/(2*9.81)+B10+0.5*(((DATOS!$B$27*C10/(DATOS!$B$14*E10))^2/((DATOS!$B$14*E10)/(DATOS!$B$14+2*E10))^(4/3))+((DATOS!$B$27*C11/(DATOS!$B$14*((BF11+BG11)/2)))^2/((DATOS!$B$14*((BF11+BG11)/2))/(DATOS!$B$14+2*((BF11+BG11)/2)))^(4/3)))*(A10-A11)))&lt;0,BG11,((BF11+BG11)/2))</f>
        <v/>
      </c>
      <c r="BJ11" s="16">
        <f>IF((((BH11+BI11)/2)+(C11/(DATOS!$B$14*((BH11+BI11)/2)))^2/(2*9.81)+B11-(E10+(C10/(DATOS!$B$14*E10))^2/(2*9.81)+B10+0.5*(((DATOS!$B$27*C10/(DATOS!$B$14*E10))^2/((DATOS!$B$14*E10)/(DATOS!$B$14+2*E10))^(4/3))+((DATOS!$B$27*C11/(DATOS!$B$14*((BH11+BI11)/2)))^2/((DATOS!$B$14*((BH11+BI11)/2))/(DATOS!$B$14+2*((BH11+BI11)/2)))^(4/3)))*(A10-A11)))&lt;0,((BH11+BI11)/2),BH11)</f>
        <v/>
      </c>
      <c r="BK11" s="16">
        <f>IF((((BH11+BI11)/2)+(C11/(DATOS!$B$14*((BH11+BI11)/2)))^2/(2*9.81)+B11-(E10+(C10/(DATOS!$B$14*E10))^2/(2*9.81)+B10+0.5*(((DATOS!$B$27*C10/(DATOS!$B$14*E10))^2/((DATOS!$B$14*E10)/(DATOS!$B$14+2*E10))^(4/3))+((DATOS!$B$27*C11/(DATOS!$B$14*((BH11+BI11)/2)))^2/((DATOS!$B$14*((BH11+BI11)/2))/(DATOS!$B$14+2*((BH11+BI11)/2)))^(4/3)))*(A10-A11)))&lt;0,BI11,((BH11+BI11)/2))</f>
        <v/>
      </c>
      <c r="BL11" s="16">
        <f>IF((((BJ11+BK11)/2)+(C11/(DATOS!$B$14*((BJ11+BK11)/2)))^2/(2*9.81)+B11-(E10+(C10/(DATOS!$B$14*E10))^2/(2*9.81)+B10+0.5*(((DATOS!$B$27*C10/(DATOS!$B$14*E10))^2/((DATOS!$B$14*E10)/(DATOS!$B$14+2*E10))^(4/3))+((DATOS!$B$27*C11/(DATOS!$B$14*((BJ11+BK11)/2)))^2/((DATOS!$B$14*((BJ11+BK11)/2))/(DATOS!$B$14+2*((BJ11+BK11)/2)))^(4/3)))*(A10-A11)))&lt;0,((BJ11+BK11)/2),BJ11)</f>
        <v/>
      </c>
      <c r="BM11" s="16">
        <f>IF((((BJ11+BK11)/2)+(C11/(DATOS!$B$14*((BJ11+BK11)/2)))^2/(2*9.81)+B11-(E10+(C10/(DATOS!$B$14*E10))^2/(2*9.81)+B10+0.5*(((DATOS!$B$27*C10/(DATOS!$B$14*E10))^2/((DATOS!$B$14*E10)/(DATOS!$B$14+2*E10))^(4/3))+((DATOS!$B$27*C11/(DATOS!$B$14*((BJ11+BK11)/2)))^2/((DATOS!$B$14*((BJ11+BK11)/2))/(DATOS!$B$14+2*((BJ11+BK11)/2)))^(4/3)))*(A10-A11)))&lt;0,BK11,((BJ11+BK11)/2))</f>
        <v/>
      </c>
      <c r="BN11" s="16">
        <f>IF((((BL11+BM11)/2)+(C11/(DATOS!$B$14*((BL11+BM11)/2)))^2/(2*9.81)+B11-(E10+(C10/(DATOS!$B$14*E10))^2/(2*9.81)+B10+0.5*(((DATOS!$B$27*C10/(DATOS!$B$14*E10))^2/((DATOS!$B$14*E10)/(DATOS!$B$14+2*E10))^(4/3))+((DATOS!$B$27*C11/(DATOS!$B$14*((BL11+BM11)/2)))^2/((DATOS!$B$14*((BL11+BM11)/2))/(DATOS!$B$14+2*((BL11+BM11)/2)))^(4/3)))*(A10-A11)))&lt;0,((BL11+BM11)/2),BL11)</f>
        <v/>
      </c>
      <c r="BO11" s="16">
        <f>IF((((BL11+BM11)/2)+(C11/(DATOS!$B$14*((BL11+BM11)/2)))^2/(2*9.81)+B11-(E10+(C10/(DATOS!$B$14*E10))^2/(2*9.81)+B10+0.5*(((DATOS!$B$27*C10/(DATOS!$B$14*E10))^2/((DATOS!$B$14*E10)/(DATOS!$B$14+2*E10))^(4/3))+((DATOS!$B$27*C11/(DATOS!$B$14*((BL11+BM11)/2)))^2/((DATOS!$B$14*((BL11+BM11)/2))/(DATOS!$B$14+2*((BL11+BM11)/2)))^(4/3)))*(A10-A11)))&lt;0,BM11,((BL11+BM11)/2))</f>
        <v/>
      </c>
      <c r="BP11" s="16">
        <f>IF((((BN11+BO11)/2)+(C11/(DATOS!$B$14*((BN11+BO11)/2)))^2/(2*9.81)+B11-(E10+(C10/(DATOS!$B$14*E10))^2/(2*9.81)+B10+0.5*(((DATOS!$B$27*C10/(DATOS!$B$14*E10))^2/((DATOS!$B$14*E10)/(DATOS!$B$14+2*E10))^(4/3))+((DATOS!$B$27*C11/(DATOS!$B$14*((BN11+BO11)/2)))^2/((DATOS!$B$14*((BN11+BO11)/2))/(DATOS!$B$14+2*((BN11+BO11)/2)))^(4/3)))*(A10-A11)))&lt;0,((BN11+BO11)/2),BN11)</f>
        <v/>
      </c>
      <c r="BQ11" s="16">
        <f>IF((((BN11+BO11)/2)+(C11/(DATOS!$B$14*((BN11+BO11)/2)))^2/(2*9.81)+B11-(E10+(C10/(DATOS!$B$14*E10))^2/(2*9.81)+B10+0.5*(((DATOS!$B$27*C10/(DATOS!$B$14*E10))^2/((DATOS!$B$14*E10)/(DATOS!$B$14+2*E10))^(4/3))+((DATOS!$B$27*C11/(DATOS!$B$14*((BN11+BO11)/2)))^2/((DATOS!$B$14*((BN11+BO11)/2))/(DATOS!$B$14+2*((BN11+BO11)/2)))^(4/3)))*(A10-A11)))&lt;0,BO11,((BN11+BO11)/2))</f>
        <v/>
      </c>
      <c r="BR11" s="16">
        <f>IF((((BP11+BQ11)/2)+(C11/(DATOS!$B$14*((BP11+BQ11)/2)))^2/(2*9.81)+B11-(E10+(C10/(DATOS!$B$14*E10))^2/(2*9.81)+B10+0.5*(((DATOS!$B$27*C10/(DATOS!$B$14*E10))^2/((DATOS!$B$14*E10)/(DATOS!$B$14+2*E10))^(4/3))+((DATOS!$B$27*C11/(DATOS!$B$14*((BP11+BQ11)/2)))^2/((DATOS!$B$14*((BP11+BQ11)/2))/(DATOS!$B$14+2*((BP11+BQ11)/2)))^(4/3)))*(A10-A11)))&lt;0,((BP11+BQ11)/2),BP11)</f>
        <v/>
      </c>
      <c r="BS11" s="16">
        <f>IF((((BP11+BQ11)/2)+(C11/(DATOS!$B$14*((BP11+BQ11)/2)))^2/(2*9.81)+B11-(E10+(C10/(DATOS!$B$14*E10))^2/(2*9.81)+B10+0.5*(((DATOS!$B$27*C10/(DATOS!$B$14*E10))^2/((DATOS!$B$14*E10)/(DATOS!$B$14+2*E10))^(4/3))+((DATOS!$B$27*C11/(DATOS!$B$14*((BP11+BQ11)/2)))^2/((DATOS!$B$14*((BP11+BQ11)/2))/(DATOS!$B$14+2*((BP11+BQ11)/2)))^(4/3)))*(A10-A11)))&lt;0,BQ11,((BP11+BQ11)/2))</f>
        <v/>
      </c>
      <c r="BT11" s="16">
        <f>IF((((BR11+BS11)/2)+(C11/(DATOS!$B$14*((BR11+BS11)/2)))^2/(2*9.81)+B11-(E10+(C10/(DATOS!$B$14*E10))^2/(2*9.81)+B10+0.5*(((DATOS!$B$27*C10/(DATOS!$B$14*E10))^2/((DATOS!$B$14*E10)/(DATOS!$B$14+2*E10))^(4/3))+((DATOS!$B$27*C11/(DATOS!$B$14*((BR11+BS11)/2)))^2/((DATOS!$B$14*((BR11+BS11)/2))/(DATOS!$B$14+2*((BR11+BS11)/2)))^(4/3)))*(A10-A11)))&lt;0,((BR11+BS11)/2),BR11)</f>
        <v/>
      </c>
      <c r="BU11" s="16">
        <f>IF((((BR11+BS11)/2)+(C11/(DATOS!$B$14*((BR11+BS11)/2)))^2/(2*9.81)+B11-(E10+(C10/(DATOS!$B$14*E10))^2/(2*9.81)+B10+0.5*(((DATOS!$B$27*C10/(DATOS!$B$14*E10))^2/((DATOS!$B$14*E10)/(DATOS!$B$14+2*E10))^(4/3))+((DATOS!$B$27*C11/(DATOS!$B$14*((BR11+BS11)/2)))^2/((DATOS!$B$14*((BR11+BS11)/2))/(DATOS!$B$14+2*((BR11+BS11)/2)))^(4/3)))*(A10-A11)))&lt;0,BS11,((BR11+BS11)/2))</f>
        <v/>
      </c>
    </row>
    <row r="12">
      <c r="A12" s="30" t="n">
        <v>126</v>
      </c>
      <c r="B12" s="21">
        <f>DATOS!$B$16-DATOS!$B$19*A12</f>
        <v/>
      </c>
      <c r="C12" s="21">
        <f>IF(A12&lt;CAUDALES!$B$13,CAUDALES!$D$12,IF(A12&lt;CAUDALES!$B$14,CAUDALES!$D$13,IF(A12&lt;CAUDALES!$B$15,CAUDALES!$D$14,CAUDALES!$D$15)))/1000</f>
        <v/>
      </c>
      <c r="D12" s="21">
        <f>(C12^2/(9.81*DATOS!$B$14^2))^(1/3)</f>
        <v/>
      </c>
      <c r="E12" s="29">
        <f>(BT12+BU12)/2</f>
        <v/>
      </c>
      <c r="F12" s="21">
        <f>B12+E12</f>
        <v/>
      </c>
      <c r="G12" s="17">
        <f>C12/(DATOS!$B$14*E12)</f>
        <v/>
      </c>
      <c r="H12" s="17">
        <f>G12/SQRT(9.81*E12)</f>
        <v/>
      </c>
      <c r="I12" s="21">
        <f>IF(A12&lt;=DATOS!$B$20,DATOS!$B$21-IF(AND(A12&gt;=DATOS!$B$23,A12&lt;DATOS!$B$24),DATOS!$B$25,DATOS!$B$22),B12+DATOS!$B$26)</f>
        <v/>
      </c>
      <c r="J12" s="17">
        <f>I12-B12</f>
        <v/>
      </c>
      <c r="K12" s="31">
        <f>E12/J12</f>
        <v/>
      </c>
      <c r="L12" s="21">
        <f>I12-F12</f>
        <v/>
      </c>
      <c r="M12" s="32">
        <f>IF(AND(K12&lt;=DATOS!$B$29,L12&gt;=DATOS!$B$30),"CUMPLE","NO CUMPLE")</f>
        <v/>
      </c>
      <c r="N12" s="13">
        <f>IF(A12&gt;DATOS!$B$20,"cubierto - tramo final",IF(AND(A12&gt;=DATOS!$B$23,A12&lt;DATOS!$B$24),"cubierto - camiones","cubierto"))</f>
        <v/>
      </c>
      <c r="P12" s="16">
        <f>D12*1.001</f>
        <v/>
      </c>
      <c r="Q12" s="16" t="n">
        <v>2</v>
      </c>
      <c r="R12" s="16">
        <f>IF((((P12+Q12)/2)+(C12/(DATOS!$B$14*((P12+Q12)/2)))^2/(2*9.81)+B12-(E11+(C11/(DATOS!$B$14*E11))^2/(2*9.81)+B11+0.5*(((DATOS!$B$27*C11/(DATOS!$B$14*E11))^2/((DATOS!$B$14*E11)/(DATOS!$B$14+2*E11))^(4/3))+((DATOS!$B$27*C12/(DATOS!$B$14*((P12+Q12)/2)))^2/((DATOS!$B$14*((P12+Q12)/2))/(DATOS!$B$14+2*((P12+Q12)/2)))^(4/3)))*(A11-A12)))&lt;0,((P12+Q12)/2),P12)</f>
        <v/>
      </c>
      <c r="S12" s="16">
        <f>IF((((P12+Q12)/2)+(C12/(DATOS!$B$14*((P12+Q12)/2)))^2/(2*9.81)+B12-(E11+(C11/(DATOS!$B$14*E11))^2/(2*9.81)+B11+0.5*(((DATOS!$B$27*C11/(DATOS!$B$14*E11))^2/((DATOS!$B$14*E11)/(DATOS!$B$14+2*E11))^(4/3))+((DATOS!$B$27*C12/(DATOS!$B$14*((P12+Q12)/2)))^2/((DATOS!$B$14*((P12+Q12)/2))/(DATOS!$B$14+2*((P12+Q12)/2)))^(4/3)))*(A11-A12)))&lt;0,Q12,((P12+Q12)/2))</f>
        <v/>
      </c>
      <c r="T12" s="16">
        <f>IF((((R12+S12)/2)+(C12/(DATOS!$B$14*((R12+S12)/2)))^2/(2*9.81)+B12-(E11+(C11/(DATOS!$B$14*E11))^2/(2*9.81)+B11+0.5*(((DATOS!$B$27*C11/(DATOS!$B$14*E11))^2/((DATOS!$B$14*E11)/(DATOS!$B$14+2*E11))^(4/3))+((DATOS!$B$27*C12/(DATOS!$B$14*((R12+S12)/2)))^2/((DATOS!$B$14*((R12+S12)/2))/(DATOS!$B$14+2*((R12+S12)/2)))^(4/3)))*(A11-A12)))&lt;0,((R12+S12)/2),R12)</f>
        <v/>
      </c>
      <c r="U12" s="16">
        <f>IF((((R12+S12)/2)+(C12/(DATOS!$B$14*((R12+S12)/2)))^2/(2*9.81)+B12-(E11+(C11/(DATOS!$B$14*E11))^2/(2*9.81)+B11+0.5*(((DATOS!$B$27*C11/(DATOS!$B$14*E11))^2/((DATOS!$B$14*E11)/(DATOS!$B$14+2*E11))^(4/3))+((DATOS!$B$27*C12/(DATOS!$B$14*((R12+S12)/2)))^2/((DATOS!$B$14*((R12+S12)/2))/(DATOS!$B$14+2*((R12+S12)/2)))^(4/3)))*(A11-A12)))&lt;0,S12,((R12+S12)/2))</f>
        <v/>
      </c>
      <c r="V12" s="16">
        <f>IF((((T12+U12)/2)+(C12/(DATOS!$B$14*((T12+U12)/2)))^2/(2*9.81)+B12-(E11+(C11/(DATOS!$B$14*E11))^2/(2*9.81)+B11+0.5*(((DATOS!$B$27*C11/(DATOS!$B$14*E11))^2/((DATOS!$B$14*E11)/(DATOS!$B$14+2*E11))^(4/3))+((DATOS!$B$27*C12/(DATOS!$B$14*((T12+U12)/2)))^2/((DATOS!$B$14*((T12+U12)/2))/(DATOS!$B$14+2*((T12+U12)/2)))^(4/3)))*(A11-A12)))&lt;0,((T12+U12)/2),T12)</f>
        <v/>
      </c>
      <c r="W12" s="16">
        <f>IF((((T12+U12)/2)+(C12/(DATOS!$B$14*((T12+U12)/2)))^2/(2*9.81)+B12-(E11+(C11/(DATOS!$B$14*E11))^2/(2*9.81)+B11+0.5*(((DATOS!$B$27*C11/(DATOS!$B$14*E11))^2/((DATOS!$B$14*E11)/(DATOS!$B$14+2*E11))^(4/3))+((DATOS!$B$27*C12/(DATOS!$B$14*((T12+U12)/2)))^2/((DATOS!$B$14*((T12+U12)/2))/(DATOS!$B$14+2*((T12+U12)/2)))^(4/3)))*(A11-A12)))&lt;0,U12,((T12+U12)/2))</f>
        <v/>
      </c>
      <c r="X12" s="16">
        <f>IF((((V12+W12)/2)+(C12/(DATOS!$B$14*((V12+W12)/2)))^2/(2*9.81)+B12-(E11+(C11/(DATOS!$B$14*E11))^2/(2*9.81)+B11+0.5*(((DATOS!$B$27*C11/(DATOS!$B$14*E11))^2/((DATOS!$B$14*E11)/(DATOS!$B$14+2*E11))^(4/3))+((DATOS!$B$27*C12/(DATOS!$B$14*((V12+W12)/2)))^2/((DATOS!$B$14*((V12+W12)/2))/(DATOS!$B$14+2*((V12+W12)/2)))^(4/3)))*(A11-A12)))&lt;0,((V12+W12)/2),V12)</f>
        <v/>
      </c>
      <c r="Y12" s="16">
        <f>IF((((V12+W12)/2)+(C12/(DATOS!$B$14*((V12+W12)/2)))^2/(2*9.81)+B12-(E11+(C11/(DATOS!$B$14*E11))^2/(2*9.81)+B11+0.5*(((DATOS!$B$27*C11/(DATOS!$B$14*E11))^2/((DATOS!$B$14*E11)/(DATOS!$B$14+2*E11))^(4/3))+((DATOS!$B$27*C12/(DATOS!$B$14*((V12+W12)/2)))^2/((DATOS!$B$14*((V12+W12)/2))/(DATOS!$B$14+2*((V12+W12)/2)))^(4/3)))*(A11-A12)))&lt;0,W12,((V12+W12)/2))</f>
        <v/>
      </c>
      <c r="Z12" s="16">
        <f>IF((((X12+Y12)/2)+(C12/(DATOS!$B$14*((X12+Y12)/2)))^2/(2*9.81)+B12-(E11+(C11/(DATOS!$B$14*E11))^2/(2*9.81)+B11+0.5*(((DATOS!$B$27*C11/(DATOS!$B$14*E11))^2/((DATOS!$B$14*E11)/(DATOS!$B$14+2*E11))^(4/3))+((DATOS!$B$27*C12/(DATOS!$B$14*((X12+Y12)/2)))^2/((DATOS!$B$14*((X12+Y12)/2))/(DATOS!$B$14+2*((X12+Y12)/2)))^(4/3)))*(A11-A12)))&lt;0,((X12+Y12)/2),X12)</f>
        <v/>
      </c>
      <c r="AA12" s="16">
        <f>IF((((X12+Y12)/2)+(C12/(DATOS!$B$14*((X12+Y12)/2)))^2/(2*9.81)+B12-(E11+(C11/(DATOS!$B$14*E11))^2/(2*9.81)+B11+0.5*(((DATOS!$B$27*C11/(DATOS!$B$14*E11))^2/((DATOS!$B$14*E11)/(DATOS!$B$14+2*E11))^(4/3))+((DATOS!$B$27*C12/(DATOS!$B$14*((X12+Y12)/2)))^2/((DATOS!$B$14*((X12+Y12)/2))/(DATOS!$B$14+2*((X12+Y12)/2)))^(4/3)))*(A11-A12)))&lt;0,Y12,((X12+Y12)/2))</f>
        <v/>
      </c>
      <c r="AB12" s="16">
        <f>IF((((Z12+AA12)/2)+(C12/(DATOS!$B$14*((Z12+AA12)/2)))^2/(2*9.81)+B12-(E11+(C11/(DATOS!$B$14*E11))^2/(2*9.81)+B11+0.5*(((DATOS!$B$27*C11/(DATOS!$B$14*E11))^2/((DATOS!$B$14*E11)/(DATOS!$B$14+2*E11))^(4/3))+((DATOS!$B$27*C12/(DATOS!$B$14*((Z12+AA12)/2)))^2/((DATOS!$B$14*((Z12+AA12)/2))/(DATOS!$B$14+2*((Z12+AA12)/2)))^(4/3)))*(A11-A12)))&lt;0,((Z12+AA12)/2),Z12)</f>
        <v/>
      </c>
      <c r="AC12" s="16">
        <f>IF((((Z12+AA12)/2)+(C12/(DATOS!$B$14*((Z12+AA12)/2)))^2/(2*9.81)+B12-(E11+(C11/(DATOS!$B$14*E11))^2/(2*9.81)+B11+0.5*(((DATOS!$B$27*C11/(DATOS!$B$14*E11))^2/((DATOS!$B$14*E11)/(DATOS!$B$14+2*E11))^(4/3))+((DATOS!$B$27*C12/(DATOS!$B$14*((Z12+AA12)/2)))^2/((DATOS!$B$14*((Z12+AA12)/2))/(DATOS!$B$14+2*((Z12+AA12)/2)))^(4/3)))*(A11-A12)))&lt;0,AA12,((Z12+AA12)/2))</f>
        <v/>
      </c>
      <c r="AD12" s="16">
        <f>IF((((AB12+AC12)/2)+(C12/(DATOS!$B$14*((AB12+AC12)/2)))^2/(2*9.81)+B12-(E11+(C11/(DATOS!$B$14*E11))^2/(2*9.81)+B11+0.5*(((DATOS!$B$27*C11/(DATOS!$B$14*E11))^2/((DATOS!$B$14*E11)/(DATOS!$B$14+2*E11))^(4/3))+((DATOS!$B$27*C12/(DATOS!$B$14*((AB12+AC12)/2)))^2/((DATOS!$B$14*((AB12+AC12)/2))/(DATOS!$B$14+2*((AB12+AC12)/2)))^(4/3)))*(A11-A12)))&lt;0,((AB12+AC12)/2),AB12)</f>
        <v/>
      </c>
      <c r="AE12" s="16">
        <f>IF((((AB12+AC12)/2)+(C12/(DATOS!$B$14*((AB12+AC12)/2)))^2/(2*9.81)+B12-(E11+(C11/(DATOS!$B$14*E11))^2/(2*9.81)+B11+0.5*(((DATOS!$B$27*C11/(DATOS!$B$14*E11))^2/((DATOS!$B$14*E11)/(DATOS!$B$14+2*E11))^(4/3))+((DATOS!$B$27*C12/(DATOS!$B$14*((AB12+AC12)/2)))^2/((DATOS!$B$14*((AB12+AC12)/2))/(DATOS!$B$14+2*((AB12+AC12)/2)))^(4/3)))*(A11-A12)))&lt;0,AC12,((AB12+AC12)/2))</f>
        <v/>
      </c>
      <c r="AF12" s="16">
        <f>IF((((AD12+AE12)/2)+(C12/(DATOS!$B$14*((AD12+AE12)/2)))^2/(2*9.81)+B12-(E11+(C11/(DATOS!$B$14*E11))^2/(2*9.81)+B11+0.5*(((DATOS!$B$27*C11/(DATOS!$B$14*E11))^2/((DATOS!$B$14*E11)/(DATOS!$B$14+2*E11))^(4/3))+((DATOS!$B$27*C12/(DATOS!$B$14*((AD12+AE12)/2)))^2/((DATOS!$B$14*((AD12+AE12)/2))/(DATOS!$B$14+2*((AD12+AE12)/2)))^(4/3)))*(A11-A12)))&lt;0,((AD12+AE12)/2),AD12)</f>
        <v/>
      </c>
      <c r="AG12" s="16">
        <f>IF((((AD12+AE12)/2)+(C12/(DATOS!$B$14*((AD12+AE12)/2)))^2/(2*9.81)+B12-(E11+(C11/(DATOS!$B$14*E11))^2/(2*9.81)+B11+0.5*(((DATOS!$B$27*C11/(DATOS!$B$14*E11))^2/((DATOS!$B$14*E11)/(DATOS!$B$14+2*E11))^(4/3))+((DATOS!$B$27*C12/(DATOS!$B$14*((AD12+AE12)/2)))^2/((DATOS!$B$14*((AD12+AE12)/2))/(DATOS!$B$14+2*((AD12+AE12)/2)))^(4/3)))*(A11-A12)))&lt;0,AE12,((AD12+AE12)/2))</f>
        <v/>
      </c>
      <c r="AH12" s="16">
        <f>IF((((AF12+AG12)/2)+(C12/(DATOS!$B$14*((AF12+AG12)/2)))^2/(2*9.81)+B12-(E11+(C11/(DATOS!$B$14*E11))^2/(2*9.81)+B11+0.5*(((DATOS!$B$27*C11/(DATOS!$B$14*E11))^2/((DATOS!$B$14*E11)/(DATOS!$B$14+2*E11))^(4/3))+((DATOS!$B$27*C12/(DATOS!$B$14*((AF12+AG12)/2)))^2/((DATOS!$B$14*((AF12+AG12)/2))/(DATOS!$B$14+2*((AF12+AG12)/2)))^(4/3)))*(A11-A12)))&lt;0,((AF12+AG12)/2),AF12)</f>
        <v/>
      </c>
      <c r="AI12" s="16">
        <f>IF((((AF12+AG12)/2)+(C12/(DATOS!$B$14*((AF12+AG12)/2)))^2/(2*9.81)+B12-(E11+(C11/(DATOS!$B$14*E11))^2/(2*9.81)+B11+0.5*(((DATOS!$B$27*C11/(DATOS!$B$14*E11))^2/((DATOS!$B$14*E11)/(DATOS!$B$14+2*E11))^(4/3))+((DATOS!$B$27*C12/(DATOS!$B$14*((AF12+AG12)/2)))^2/((DATOS!$B$14*((AF12+AG12)/2))/(DATOS!$B$14+2*((AF12+AG12)/2)))^(4/3)))*(A11-A12)))&lt;0,AG12,((AF12+AG12)/2))</f>
        <v/>
      </c>
      <c r="AJ12" s="16">
        <f>IF((((AH12+AI12)/2)+(C12/(DATOS!$B$14*((AH12+AI12)/2)))^2/(2*9.81)+B12-(E11+(C11/(DATOS!$B$14*E11))^2/(2*9.81)+B11+0.5*(((DATOS!$B$27*C11/(DATOS!$B$14*E11))^2/((DATOS!$B$14*E11)/(DATOS!$B$14+2*E11))^(4/3))+((DATOS!$B$27*C12/(DATOS!$B$14*((AH12+AI12)/2)))^2/((DATOS!$B$14*((AH12+AI12)/2))/(DATOS!$B$14+2*((AH12+AI12)/2)))^(4/3)))*(A11-A12)))&lt;0,((AH12+AI12)/2),AH12)</f>
        <v/>
      </c>
      <c r="AK12" s="16">
        <f>IF((((AH12+AI12)/2)+(C12/(DATOS!$B$14*((AH12+AI12)/2)))^2/(2*9.81)+B12-(E11+(C11/(DATOS!$B$14*E11))^2/(2*9.81)+B11+0.5*(((DATOS!$B$27*C11/(DATOS!$B$14*E11))^2/((DATOS!$B$14*E11)/(DATOS!$B$14+2*E11))^(4/3))+((DATOS!$B$27*C12/(DATOS!$B$14*((AH12+AI12)/2)))^2/((DATOS!$B$14*((AH12+AI12)/2))/(DATOS!$B$14+2*((AH12+AI12)/2)))^(4/3)))*(A11-A12)))&lt;0,AI12,((AH12+AI12)/2))</f>
        <v/>
      </c>
      <c r="AL12" s="16">
        <f>IF((((AJ12+AK12)/2)+(C12/(DATOS!$B$14*((AJ12+AK12)/2)))^2/(2*9.81)+B12-(E11+(C11/(DATOS!$B$14*E11))^2/(2*9.81)+B11+0.5*(((DATOS!$B$27*C11/(DATOS!$B$14*E11))^2/((DATOS!$B$14*E11)/(DATOS!$B$14+2*E11))^(4/3))+((DATOS!$B$27*C12/(DATOS!$B$14*((AJ12+AK12)/2)))^2/((DATOS!$B$14*((AJ12+AK12)/2))/(DATOS!$B$14+2*((AJ12+AK12)/2)))^(4/3)))*(A11-A12)))&lt;0,((AJ12+AK12)/2),AJ12)</f>
        <v/>
      </c>
      <c r="AM12" s="16">
        <f>IF((((AJ12+AK12)/2)+(C12/(DATOS!$B$14*((AJ12+AK12)/2)))^2/(2*9.81)+B12-(E11+(C11/(DATOS!$B$14*E11))^2/(2*9.81)+B11+0.5*(((DATOS!$B$27*C11/(DATOS!$B$14*E11))^2/((DATOS!$B$14*E11)/(DATOS!$B$14+2*E11))^(4/3))+((DATOS!$B$27*C12/(DATOS!$B$14*((AJ12+AK12)/2)))^2/((DATOS!$B$14*((AJ12+AK12)/2))/(DATOS!$B$14+2*((AJ12+AK12)/2)))^(4/3)))*(A11-A12)))&lt;0,AK12,((AJ12+AK12)/2))</f>
        <v/>
      </c>
      <c r="AN12" s="16">
        <f>IF((((AL12+AM12)/2)+(C12/(DATOS!$B$14*((AL12+AM12)/2)))^2/(2*9.81)+B12-(E11+(C11/(DATOS!$B$14*E11))^2/(2*9.81)+B11+0.5*(((DATOS!$B$27*C11/(DATOS!$B$14*E11))^2/((DATOS!$B$14*E11)/(DATOS!$B$14+2*E11))^(4/3))+((DATOS!$B$27*C12/(DATOS!$B$14*((AL12+AM12)/2)))^2/((DATOS!$B$14*((AL12+AM12)/2))/(DATOS!$B$14+2*((AL12+AM12)/2)))^(4/3)))*(A11-A12)))&lt;0,((AL12+AM12)/2),AL12)</f>
        <v/>
      </c>
      <c r="AO12" s="16">
        <f>IF((((AL12+AM12)/2)+(C12/(DATOS!$B$14*((AL12+AM12)/2)))^2/(2*9.81)+B12-(E11+(C11/(DATOS!$B$14*E11))^2/(2*9.81)+B11+0.5*(((DATOS!$B$27*C11/(DATOS!$B$14*E11))^2/((DATOS!$B$14*E11)/(DATOS!$B$14+2*E11))^(4/3))+((DATOS!$B$27*C12/(DATOS!$B$14*((AL12+AM12)/2)))^2/((DATOS!$B$14*((AL12+AM12)/2))/(DATOS!$B$14+2*((AL12+AM12)/2)))^(4/3)))*(A11-A12)))&lt;0,AM12,((AL12+AM12)/2))</f>
        <v/>
      </c>
      <c r="AP12" s="16">
        <f>IF((((AN12+AO12)/2)+(C12/(DATOS!$B$14*((AN12+AO12)/2)))^2/(2*9.81)+B12-(E11+(C11/(DATOS!$B$14*E11))^2/(2*9.81)+B11+0.5*(((DATOS!$B$27*C11/(DATOS!$B$14*E11))^2/((DATOS!$B$14*E11)/(DATOS!$B$14+2*E11))^(4/3))+((DATOS!$B$27*C12/(DATOS!$B$14*((AN12+AO12)/2)))^2/((DATOS!$B$14*((AN12+AO12)/2))/(DATOS!$B$14+2*((AN12+AO12)/2)))^(4/3)))*(A11-A12)))&lt;0,((AN12+AO12)/2),AN12)</f>
        <v/>
      </c>
      <c r="AQ12" s="16">
        <f>IF((((AN12+AO12)/2)+(C12/(DATOS!$B$14*((AN12+AO12)/2)))^2/(2*9.81)+B12-(E11+(C11/(DATOS!$B$14*E11))^2/(2*9.81)+B11+0.5*(((DATOS!$B$27*C11/(DATOS!$B$14*E11))^2/((DATOS!$B$14*E11)/(DATOS!$B$14+2*E11))^(4/3))+((DATOS!$B$27*C12/(DATOS!$B$14*((AN12+AO12)/2)))^2/((DATOS!$B$14*((AN12+AO12)/2))/(DATOS!$B$14+2*((AN12+AO12)/2)))^(4/3)))*(A11-A12)))&lt;0,AO12,((AN12+AO12)/2))</f>
        <v/>
      </c>
      <c r="AR12" s="16">
        <f>IF((((AP12+AQ12)/2)+(C12/(DATOS!$B$14*((AP12+AQ12)/2)))^2/(2*9.81)+B12-(E11+(C11/(DATOS!$B$14*E11))^2/(2*9.81)+B11+0.5*(((DATOS!$B$27*C11/(DATOS!$B$14*E11))^2/((DATOS!$B$14*E11)/(DATOS!$B$14+2*E11))^(4/3))+((DATOS!$B$27*C12/(DATOS!$B$14*((AP12+AQ12)/2)))^2/((DATOS!$B$14*((AP12+AQ12)/2))/(DATOS!$B$14+2*((AP12+AQ12)/2)))^(4/3)))*(A11-A12)))&lt;0,((AP12+AQ12)/2),AP12)</f>
        <v/>
      </c>
      <c r="AS12" s="16">
        <f>IF((((AP12+AQ12)/2)+(C12/(DATOS!$B$14*((AP12+AQ12)/2)))^2/(2*9.81)+B12-(E11+(C11/(DATOS!$B$14*E11))^2/(2*9.81)+B11+0.5*(((DATOS!$B$27*C11/(DATOS!$B$14*E11))^2/((DATOS!$B$14*E11)/(DATOS!$B$14+2*E11))^(4/3))+((DATOS!$B$27*C12/(DATOS!$B$14*((AP12+AQ12)/2)))^2/((DATOS!$B$14*((AP12+AQ12)/2))/(DATOS!$B$14+2*((AP12+AQ12)/2)))^(4/3)))*(A11-A12)))&lt;0,AQ12,((AP12+AQ12)/2))</f>
        <v/>
      </c>
      <c r="AT12" s="16">
        <f>IF((((AR12+AS12)/2)+(C12/(DATOS!$B$14*((AR12+AS12)/2)))^2/(2*9.81)+B12-(E11+(C11/(DATOS!$B$14*E11))^2/(2*9.81)+B11+0.5*(((DATOS!$B$27*C11/(DATOS!$B$14*E11))^2/((DATOS!$B$14*E11)/(DATOS!$B$14+2*E11))^(4/3))+((DATOS!$B$27*C12/(DATOS!$B$14*((AR12+AS12)/2)))^2/((DATOS!$B$14*((AR12+AS12)/2))/(DATOS!$B$14+2*((AR12+AS12)/2)))^(4/3)))*(A11-A12)))&lt;0,((AR12+AS12)/2),AR12)</f>
        <v/>
      </c>
      <c r="AU12" s="16">
        <f>IF((((AR12+AS12)/2)+(C12/(DATOS!$B$14*((AR12+AS12)/2)))^2/(2*9.81)+B12-(E11+(C11/(DATOS!$B$14*E11))^2/(2*9.81)+B11+0.5*(((DATOS!$B$27*C11/(DATOS!$B$14*E11))^2/((DATOS!$B$14*E11)/(DATOS!$B$14+2*E11))^(4/3))+((DATOS!$B$27*C12/(DATOS!$B$14*((AR12+AS12)/2)))^2/((DATOS!$B$14*((AR12+AS12)/2))/(DATOS!$B$14+2*((AR12+AS12)/2)))^(4/3)))*(A11-A12)))&lt;0,AS12,((AR12+AS12)/2))</f>
        <v/>
      </c>
      <c r="AV12" s="16">
        <f>IF((((AT12+AU12)/2)+(C12/(DATOS!$B$14*((AT12+AU12)/2)))^2/(2*9.81)+B12-(E11+(C11/(DATOS!$B$14*E11))^2/(2*9.81)+B11+0.5*(((DATOS!$B$27*C11/(DATOS!$B$14*E11))^2/((DATOS!$B$14*E11)/(DATOS!$B$14+2*E11))^(4/3))+((DATOS!$B$27*C12/(DATOS!$B$14*((AT12+AU12)/2)))^2/((DATOS!$B$14*((AT12+AU12)/2))/(DATOS!$B$14+2*((AT12+AU12)/2)))^(4/3)))*(A11-A12)))&lt;0,((AT12+AU12)/2),AT12)</f>
        <v/>
      </c>
      <c r="AW12" s="16">
        <f>IF((((AT12+AU12)/2)+(C12/(DATOS!$B$14*((AT12+AU12)/2)))^2/(2*9.81)+B12-(E11+(C11/(DATOS!$B$14*E11))^2/(2*9.81)+B11+0.5*(((DATOS!$B$27*C11/(DATOS!$B$14*E11))^2/((DATOS!$B$14*E11)/(DATOS!$B$14+2*E11))^(4/3))+((DATOS!$B$27*C12/(DATOS!$B$14*((AT12+AU12)/2)))^2/((DATOS!$B$14*((AT12+AU12)/2))/(DATOS!$B$14+2*((AT12+AU12)/2)))^(4/3)))*(A11-A12)))&lt;0,AU12,((AT12+AU12)/2))</f>
        <v/>
      </c>
      <c r="AX12" s="16">
        <f>IF((((AV12+AW12)/2)+(C12/(DATOS!$B$14*((AV12+AW12)/2)))^2/(2*9.81)+B12-(E11+(C11/(DATOS!$B$14*E11))^2/(2*9.81)+B11+0.5*(((DATOS!$B$27*C11/(DATOS!$B$14*E11))^2/((DATOS!$B$14*E11)/(DATOS!$B$14+2*E11))^(4/3))+((DATOS!$B$27*C12/(DATOS!$B$14*((AV12+AW12)/2)))^2/((DATOS!$B$14*((AV12+AW12)/2))/(DATOS!$B$14+2*((AV12+AW12)/2)))^(4/3)))*(A11-A12)))&lt;0,((AV12+AW12)/2),AV12)</f>
        <v/>
      </c>
      <c r="AY12" s="16">
        <f>IF((((AV12+AW12)/2)+(C12/(DATOS!$B$14*((AV12+AW12)/2)))^2/(2*9.81)+B12-(E11+(C11/(DATOS!$B$14*E11))^2/(2*9.81)+B11+0.5*(((DATOS!$B$27*C11/(DATOS!$B$14*E11))^2/((DATOS!$B$14*E11)/(DATOS!$B$14+2*E11))^(4/3))+((DATOS!$B$27*C12/(DATOS!$B$14*((AV12+AW12)/2)))^2/((DATOS!$B$14*((AV12+AW12)/2))/(DATOS!$B$14+2*((AV12+AW12)/2)))^(4/3)))*(A11-A12)))&lt;0,AW12,((AV12+AW12)/2))</f>
        <v/>
      </c>
      <c r="AZ12" s="16">
        <f>IF((((AX12+AY12)/2)+(C12/(DATOS!$B$14*((AX12+AY12)/2)))^2/(2*9.81)+B12-(E11+(C11/(DATOS!$B$14*E11))^2/(2*9.81)+B11+0.5*(((DATOS!$B$27*C11/(DATOS!$B$14*E11))^2/((DATOS!$B$14*E11)/(DATOS!$B$14+2*E11))^(4/3))+((DATOS!$B$27*C12/(DATOS!$B$14*((AX12+AY12)/2)))^2/((DATOS!$B$14*((AX12+AY12)/2))/(DATOS!$B$14+2*((AX12+AY12)/2)))^(4/3)))*(A11-A12)))&lt;0,((AX12+AY12)/2),AX12)</f>
        <v/>
      </c>
      <c r="BA12" s="16">
        <f>IF((((AX12+AY12)/2)+(C12/(DATOS!$B$14*((AX12+AY12)/2)))^2/(2*9.81)+B12-(E11+(C11/(DATOS!$B$14*E11))^2/(2*9.81)+B11+0.5*(((DATOS!$B$27*C11/(DATOS!$B$14*E11))^2/((DATOS!$B$14*E11)/(DATOS!$B$14+2*E11))^(4/3))+((DATOS!$B$27*C12/(DATOS!$B$14*((AX12+AY12)/2)))^2/((DATOS!$B$14*((AX12+AY12)/2))/(DATOS!$B$14+2*((AX12+AY12)/2)))^(4/3)))*(A11-A12)))&lt;0,AY12,((AX12+AY12)/2))</f>
        <v/>
      </c>
      <c r="BB12" s="16">
        <f>IF((((AZ12+BA12)/2)+(C12/(DATOS!$B$14*((AZ12+BA12)/2)))^2/(2*9.81)+B12-(E11+(C11/(DATOS!$B$14*E11))^2/(2*9.81)+B11+0.5*(((DATOS!$B$27*C11/(DATOS!$B$14*E11))^2/((DATOS!$B$14*E11)/(DATOS!$B$14+2*E11))^(4/3))+((DATOS!$B$27*C12/(DATOS!$B$14*((AZ12+BA12)/2)))^2/((DATOS!$B$14*((AZ12+BA12)/2))/(DATOS!$B$14+2*((AZ12+BA12)/2)))^(4/3)))*(A11-A12)))&lt;0,((AZ12+BA12)/2),AZ12)</f>
        <v/>
      </c>
      <c r="BC12" s="16">
        <f>IF((((AZ12+BA12)/2)+(C12/(DATOS!$B$14*((AZ12+BA12)/2)))^2/(2*9.81)+B12-(E11+(C11/(DATOS!$B$14*E11))^2/(2*9.81)+B11+0.5*(((DATOS!$B$27*C11/(DATOS!$B$14*E11))^2/((DATOS!$B$14*E11)/(DATOS!$B$14+2*E11))^(4/3))+((DATOS!$B$27*C12/(DATOS!$B$14*((AZ12+BA12)/2)))^2/((DATOS!$B$14*((AZ12+BA12)/2))/(DATOS!$B$14+2*((AZ12+BA12)/2)))^(4/3)))*(A11-A12)))&lt;0,BA12,((AZ12+BA12)/2))</f>
        <v/>
      </c>
      <c r="BD12" s="16">
        <f>IF((((BB12+BC12)/2)+(C12/(DATOS!$B$14*((BB12+BC12)/2)))^2/(2*9.81)+B12-(E11+(C11/(DATOS!$B$14*E11))^2/(2*9.81)+B11+0.5*(((DATOS!$B$27*C11/(DATOS!$B$14*E11))^2/((DATOS!$B$14*E11)/(DATOS!$B$14+2*E11))^(4/3))+((DATOS!$B$27*C12/(DATOS!$B$14*((BB12+BC12)/2)))^2/((DATOS!$B$14*((BB12+BC12)/2))/(DATOS!$B$14+2*((BB12+BC12)/2)))^(4/3)))*(A11-A12)))&lt;0,((BB12+BC12)/2),BB12)</f>
        <v/>
      </c>
      <c r="BE12" s="16">
        <f>IF((((BB12+BC12)/2)+(C12/(DATOS!$B$14*((BB12+BC12)/2)))^2/(2*9.81)+B12-(E11+(C11/(DATOS!$B$14*E11))^2/(2*9.81)+B11+0.5*(((DATOS!$B$27*C11/(DATOS!$B$14*E11))^2/((DATOS!$B$14*E11)/(DATOS!$B$14+2*E11))^(4/3))+((DATOS!$B$27*C12/(DATOS!$B$14*((BB12+BC12)/2)))^2/((DATOS!$B$14*((BB12+BC12)/2))/(DATOS!$B$14+2*((BB12+BC12)/2)))^(4/3)))*(A11-A12)))&lt;0,BC12,((BB12+BC12)/2))</f>
        <v/>
      </c>
      <c r="BF12" s="16">
        <f>IF((((BD12+BE12)/2)+(C12/(DATOS!$B$14*((BD12+BE12)/2)))^2/(2*9.81)+B12-(E11+(C11/(DATOS!$B$14*E11))^2/(2*9.81)+B11+0.5*(((DATOS!$B$27*C11/(DATOS!$B$14*E11))^2/((DATOS!$B$14*E11)/(DATOS!$B$14+2*E11))^(4/3))+((DATOS!$B$27*C12/(DATOS!$B$14*((BD12+BE12)/2)))^2/((DATOS!$B$14*((BD12+BE12)/2))/(DATOS!$B$14+2*((BD12+BE12)/2)))^(4/3)))*(A11-A12)))&lt;0,((BD12+BE12)/2),BD12)</f>
        <v/>
      </c>
      <c r="BG12" s="16">
        <f>IF((((BD12+BE12)/2)+(C12/(DATOS!$B$14*((BD12+BE12)/2)))^2/(2*9.81)+B12-(E11+(C11/(DATOS!$B$14*E11))^2/(2*9.81)+B11+0.5*(((DATOS!$B$27*C11/(DATOS!$B$14*E11))^2/((DATOS!$B$14*E11)/(DATOS!$B$14+2*E11))^(4/3))+((DATOS!$B$27*C12/(DATOS!$B$14*((BD12+BE12)/2)))^2/((DATOS!$B$14*((BD12+BE12)/2))/(DATOS!$B$14+2*((BD12+BE12)/2)))^(4/3)))*(A11-A12)))&lt;0,BE12,((BD12+BE12)/2))</f>
        <v/>
      </c>
      <c r="BH12" s="16">
        <f>IF((((BF12+BG12)/2)+(C12/(DATOS!$B$14*((BF12+BG12)/2)))^2/(2*9.81)+B12-(E11+(C11/(DATOS!$B$14*E11))^2/(2*9.81)+B11+0.5*(((DATOS!$B$27*C11/(DATOS!$B$14*E11))^2/((DATOS!$B$14*E11)/(DATOS!$B$14+2*E11))^(4/3))+((DATOS!$B$27*C12/(DATOS!$B$14*((BF12+BG12)/2)))^2/((DATOS!$B$14*((BF12+BG12)/2))/(DATOS!$B$14+2*((BF12+BG12)/2)))^(4/3)))*(A11-A12)))&lt;0,((BF12+BG12)/2),BF12)</f>
        <v/>
      </c>
      <c r="BI12" s="16">
        <f>IF((((BF12+BG12)/2)+(C12/(DATOS!$B$14*((BF12+BG12)/2)))^2/(2*9.81)+B12-(E11+(C11/(DATOS!$B$14*E11))^2/(2*9.81)+B11+0.5*(((DATOS!$B$27*C11/(DATOS!$B$14*E11))^2/((DATOS!$B$14*E11)/(DATOS!$B$14+2*E11))^(4/3))+((DATOS!$B$27*C12/(DATOS!$B$14*((BF12+BG12)/2)))^2/((DATOS!$B$14*((BF12+BG12)/2))/(DATOS!$B$14+2*((BF12+BG12)/2)))^(4/3)))*(A11-A12)))&lt;0,BG12,((BF12+BG12)/2))</f>
        <v/>
      </c>
      <c r="BJ12" s="16">
        <f>IF((((BH12+BI12)/2)+(C12/(DATOS!$B$14*((BH12+BI12)/2)))^2/(2*9.81)+B12-(E11+(C11/(DATOS!$B$14*E11))^2/(2*9.81)+B11+0.5*(((DATOS!$B$27*C11/(DATOS!$B$14*E11))^2/((DATOS!$B$14*E11)/(DATOS!$B$14+2*E11))^(4/3))+((DATOS!$B$27*C12/(DATOS!$B$14*((BH12+BI12)/2)))^2/((DATOS!$B$14*((BH12+BI12)/2))/(DATOS!$B$14+2*((BH12+BI12)/2)))^(4/3)))*(A11-A12)))&lt;0,((BH12+BI12)/2),BH12)</f>
        <v/>
      </c>
      <c r="BK12" s="16">
        <f>IF((((BH12+BI12)/2)+(C12/(DATOS!$B$14*((BH12+BI12)/2)))^2/(2*9.81)+B12-(E11+(C11/(DATOS!$B$14*E11))^2/(2*9.81)+B11+0.5*(((DATOS!$B$27*C11/(DATOS!$B$14*E11))^2/((DATOS!$B$14*E11)/(DATOS!$B$14+2*E11))^(4/3))+((DATOS!$B$27*C12/(DATOS!$B$14*((BH12+BI12)/2)))^2/((DATOS!$B$14*((BH12+BI12)/2))/(DATOS!$B$14+2*((BH12+BI12)/2)))^(4/3)))*(A11-A12)))&lt;0,BI12,((BH12+BI12)/2))</f>
        <v/>
      </c>
      <c r="BL12" s="16">
        <f>IF((((BJ12+BK12)/2)+(C12/(DATOS!$B$14*((BJ12+BK12)/2)))^2/(2*9.81)+B12-(E11+(C11/(DATOS!$B$14*E11))^2/(2*9.81)+B11+0.5*(((DATOS!$B$27*C11/(DATOS!$B$14*E11))^2/((DATOS!$B$14*E11)/(DATOS!$B$14+2*E11))^(4/3))+((DATOS!$B$27*C12/(DATOS!$B$14*((BJ12+BK12)/2)))^2/((DATOS!$B$14*((BJ12+BK12)/2))/(DATOS!$B$14+2*((BJ12+BK12)/2)))^(4/3)))*(A11-A12)))&lt;0,((BJ12+BK12)/2),BJ12)</f>
        <v/>
      </c>
      <c r="BM12" s="16">
        <f>IF((((BJ12+BK12)/2)+(C12/(DATOS!$B$14*((BJ12+BK12)/2)))^2/(2*9.81)+B12-(E11+(C11/(DATOS!$B$14*E11))^2/(2*9.81)+B11+0.5*(((DATOS!$B$27*C11/(DATOS!$B$14*E11))^2/((DATOS!$B$14*E11)/(DATOS!$B$14+2*E11))^(4/3))+((DATOS!$B$27*C12/(DATOS!$B$14*((BJ12+BK12)/2)))^2/((DATOS!$B$14*((BJ12+BK12)/2))/(DATOS!$B$14+2*((BJ12+BK12)/2)))^(4/3)))*(A11-A12)))&lt;0,BK12,((BJ12+BK12)/2))</f>
        <v/>
      </c>
      <c r="BN12" s="16">
        <f>IF((((BL12+BM12)/2)+(C12/(DATOS!$B$14*((BL12+BM12)/2)))^2/(2*9.81)+B12-(E11+(C11/(DATOS!$B$14*E11))^2/(2*9.81)+B11+0.5*(((DATOS!$B$27*C11/(DATOS!$B$14*E11))^2/((DATOS!$B$14*E11)/(DATOS!$B$14+2*E11))^(4/3))+((DATOS!$B$27*C12/(DATOS!$B$14*((BL12+BM12)/2)))^2/((DATOS!$B$14*((BL12+BM12)/2))/(DATOS!$B$14+2*((BL12+BM12)/2)))^(4/3)))*(A11-A12)))&lt;0,((BL12+BM12)/2),BL12)</f>
        <v/>
      </c>
      <c r="BO12" s="16">
        <f>IF((((BL12+BM12)/2)+(C12/(DATOS!$B$14*((BL12+BM12)/2)))^2/(2*9.81)+B12-(E11+(C11/(DATOS!$B$14*E11))^2/(2*9.81)+B11+0.5*(((DATOS!$B$27*C11/(DATOS!$B$14*E11))^2/((DATOS!$B$14*E11)/(DATOS!$B$14+2*E11))^(4/3))+((DATOS!$B$27*C12/(DATOS!$B$14*((BL12+BM12)/2)))^2/((DATOS!$B$14*((BL12+BM12)/2))/(DATOS!$B$14+2*((BL12+BM12)/2)))^(4/3)))*(A11-A12)))&lt;0,BM12,((BL12+BM12)/2))</f>
        <v/>
      </c>
      <c r="BP12" s="16">
        <f>IF((((BN12+BO12)/2)+(C12/(DATOS!$B$14*((BN12+BO12)/2)))^2/(2*9.81)+B12-(E11+(C11/(DATOS!$B$14*E11))^2/(2*9.81)+B11+0.5*(((DATOS!$B$27*C11/(DATOS!$B$14*E11))^2/((DATOS!$B$14*E11)/(DATOS!$B$14+2*E11))^(4/3))+((DATOS!$B$27*C12/(DATOS!$B$14*((BN12+BO12)/2)))^2/((DATOS!$B$14*((BN12+BO12)/2))/(DATOS!$B$14+2*((BN12+BO12)/2)))^(4/3)))*(A11-A12)))&lt;0,((BN12+BO12)/2),BN12)</f>
        <v/>
      </c>
      <c r="BQ12" s="16">
        <f>IF((((BN12+BO12)/2)+(C12/(DATOS!$B$14*((BN12+BO12)/2)))^2/(2*9.81)+B12-(E11+(C11/(DATOS!$B$14*E11))^2/(2*9.81)+B11+0.5*(((DATOS!$B$27*C11/(DATOS!$B$14*E11))^2/((DATOS!$B$14*E11)/(DATOS!$B$14+2*E11))^(4/3))+((DATOS!$B$27*C12/(DATOS!$B$14*((BN12+BO12)/2)))^2/((DATOS!$B$14*((BN12+BO12)/2))/(DATOS!$B$14+2*((BN12+BO12)/2)))^(4/3)))*(A11-A12)))&lt;0,BO12,((BN12+BO12)/2))</f>
        <v/>
      </c>
      <c r="BR12" s="16">
        <f>IF((((BP12+BQ12)/2)+(C12/(DATOS!$B$14*((BP12+BQ12)/2)))^2/(2*9.81)+B12-(E11+(C11/(DATOS!$B$14*E11))^2/(2*9.81)+B11+0.5*(((DATOS!$B$27*C11/(DATOS!$B$14*E11))^2/((DATOS!$B$14*E11)/(DATOS!$B$14+2*E11))^(4/3))+((DATOS!$B$27*C12/(DATOS!$B$14*((BP12+BQ12)/2)))^2/((DATOS!$B$14*((BP12+BQ12)/2))/(DATOS!$B$14+2*((BP12+BQ12)/2)))^(4/3)))*(A11-A12)))&lt;0,((BP12+BQ12)/2),BP12)</f>
        <v/>
      </c>
      <c r="BS12" s="16">
        <f>IF((((BP12+BQ12)/2)+(C12/(DATOS!$B$14*((BP12+BQ12)/2)))^2/(2*9.81)+B12-(E11+(C11/(DATOS!$B$14*E11))^2/(2*9.81)+B11+0.5*(((DATOS!$B$27*C11/(DATOS!$B$14*E11))^2/((DATOS!$B$14*E11)/(DATOS!$B$14+2*E11))^(4/3))+((DATOS!$B$27*C12/(DATOS!$B$14*((BP12+BQ12)/2)))^2/((DATOS!$B$14*((BP12+BQ12)/2))/(DATOS!$B$14+2*((BP12+BQ12)/2)))^(4/3)))*(A11-A12)))&lt;0,BQ12,((BP12+BQ12)/2))</f>
        <v/>
      </c>
      <c r="BT12" s="16">
        <f>IF((((BR12+BS12)/2)+(C12/(DATOS!$B$14*((BR12+BS12)/2)))^2/(2*9.81)+B12-(E11+(C11/(DATOS!$B$14*E11))^2/(2*9.81)+B11+0.5*(((DATOS!$B$27*C11/(DATOS!$B$14*E11))^2/((DATOS!$B$14*E11)/(DATOS!$B$14+2*E11))^(4/3))+((DATOS!$B$27*C12/(DATOS!$B$14*((BR12+BS12)/2)))^2/((DATOS!$B$14*((BR12+BS12)/2))/(DATOS!$B$14+2*((BR12+BS12)/2)))^(4/3)))*(A11-A12)))&lt;0,((BR12+BS12)/2),BR12)</f>
        <v/>
      </c>
      <c r="BU12" s="16">
        <f>IF((((BR12+BS12)/2)+(C12/(DATOS!$B$14*((BR12+BS12)/2)))^2/(2*9.81)+B12-(E11+(C11/(DATOS!$B$14*E11))^2/(2*9.81)+B11+0.5*(((DATOS!$B$27*C11/(DATOS!$B$14*E11))^2/((DATOS!$B$14*E11)/(DATOS!$B$14+2*E11))^(4/3))+((DATOS!$B$27*C12/(DATOS!$B$14*((BR12+BS12)/2)))^2/((DATOS!$B$14*((BR12+BS12)/2))/(DATOS!$B$14+2*((BR12+BS12)/2)))^(4/3)))*(A11-A12)))&lt;0,BS12,((BR12+BS12)/2))</f>
        <v/>
      </c>
    </row>
    <row r="13">
      <c r="A13" s="30" t="n">
        <v>124</v>
      </c>
      <c r="B13" s="21">
        <f>DATOS!$B$16-DATOS!$B$19*A13</f>
        <v/>
      </c>
      <c r="C13" s="21">
        <f>IF(A13&lt;CAUDALES!$B$13,CAUDALES!$D$12,IF(A13&lt;CAUDALES!$B$14,CAUDALES!$D$13,IF(A13&lt;CAUDALES!$B$15,CAUDALES!$D$14,CAUDALES!$D$15)))/1000</f>
        <v/>
      </c>
      <c r="D13" s="21">
        <f>(C13^2/(9.81*DATOS!$B$14^2))^(1/3)</f>
        <v/>
      </c>
      <c r="E13" s="29">
        <f>(BT13+BU13)/2</f>
        <v/>
      </c>
      <c r="F13" s="21">
        <f>B13+E13</f>
        <v/>
      </c>
      <c r="G13" s="17">
        <f>C13/(DATOS!$B$14*E13)</f>
        <v/>
      </c>
      <c r="H13" s="17">
        <f>G13/SQRT(9.81*E13)</f>
        <v/>
      </c>
      <c r="I13" s="21">
        <f>IF(A13&lt;=DATOS!$B$20,DATOS!$B$21-IF(AND(A13&gt;=DATOS!$B$23,A13&lt;DATOS!$B$24),DATOS!$B$25,DATOS!$B$22),B13+DATOS!$B$26)</f>
        <v/>
      </c>
      <c r="J13" s="17">
        <f>I13-B13</f>
        <v/>
      </c>
      <c r="K13" s="31">
        <f>E13/J13</f>
        <v/>
      </c>
      <c r="L13" s="21">
        <f>I13-F13</f>
        <v/>
      </c>
      <c r="M13" s="32">
        <f>IF(AND(K13&lt;=DATOS!$B$29,L13&gt;=DATOS!$B$30),"CUMPLE","NO CUMPLE")</f>
        <v/>
      </c>
      <c r="N13" s="13">
        <f>IF(A13&gt;DATOS!$B$20,"cubierto - tramo final",IF(AND(A13&gt;=DATOS!$B$23,A13&lt;DATOS!$B$24),"cubierto - camiones","cubierto"))</f>
        <v/>
      </c>
      <c r="P13" s="16">
        <f>D13*1.001</f>
        <v/>
      </c>
      <c r="Q13" s="16" t="n">
        <v>2</v>
      </c>
      <c r="R13" s="16">
        <f>IF((((P13+Q13)/2)+(C13/(DATOS!$B$14*((P13+Q13)/2)))^2/(2*9.81)+B13-(E12+(C12/(DATOS!$B$14*E12))^2/(2*9.81)+B12+0.5*(((DATOS!$B$27*C12/(DATOS!$B$14*E12))^2/((DATOS!$B$14*E12)/(DATOS!$B$14+2*E12))^(4/3))+((DATOS!$B$27*C13/(DATOS!$B$14*((P13+Q13)/2)))^2/((DATOS!$B$14*((P13+Q13)/2))/(DATOS!$B$14+2*((P13+Q13)/2)))^(4/3)))*(A12-A13)))&lt;0,((P13+Q13)/2),P13)</f>
        <v/>
      </c>
      <c r="S13" s="16">
        <f>IF((((P13+Q13)/2)+(C13/(DATOS!$B$14*((P13+Q13)/2)))^2/(2*9.81)+B13-(E12+(C12/(DATOS!$B$14*E12))^2/(2*9.81)+B12+0.5*(((DATOS!$B$27*C12/(DATOS!$B$14*E12))^2/((DATOS!$B$14*E12)/(DATOS!$B$14+2*E12))^(4/3))+((DATOS!$B$27*C13/(DATOS!$B$14*((P13+Q13)/2)))^2/((DATOS!$B$14*((P13+Q13)/2))/(DATOS!$B$14+2*((P13+Q13)/2)))^(4/3)))*(A12-A13)))&lt;0,Q13,((P13+Q13)/2))</f>
        <v/>
      </c>
      <c r="T13" s="16">
        <f>IF((((R13+S13)/2)+(C13/(DATOS!$B$14*((R13+S13)/2)))^2/(2*9.81)+B13-(E12+(C12/(DATOS!$B$14*E12))^2/(2*9.81)+B12+0.5*(((DATOS!$B$27*C12/(DATOS!$B$14*E12))^2/((DATOS!$B$14*E12)/(DATOS!$B$14+2*E12))^(4/3))+((DATOS!$B$27*C13/(DATOS!$B$14*((R13+S13)/2)))^2/((DATOS!$B$14*((R13+S13)/2))/(DATOS!$B$14+2*((R13+S13)/2)))^(4/3)))*(A12-A13)))&lt;0,((R13+S13)/2),R13)</f>
        <v/>
      </c>
      <c r="U13" s="16">
        <f>IF((((R13+S13)/2)+(C13/(DATOS!$B$14*((R13+S13)/2)))^2/(2*9.81)+B13-(E12+(C12/(DATOS!$B$14*E12))^2/(2*9.81)+B12+0.5*(((DATOS!$B$27*C12/(DATOS!$B$14*E12))^2/((DATOS!$B$14*E12)/(DATOS!$B$14+2*E12))^(4/3))+((DATOS!$B$27*C13/(DATOS!$B$14*((R13+S13)/2)))^2/((DATOS!$B$14*((R13+S13)/2))/(DATOS!$B$14+2*((R13+S13)/2)))^(4/3)))*(A12-A13)))&lt;0,S13,((R13+S13)/2))</f>
        <v/>
      </c>
      <c r="V13" s="16">
        <f>IF((((T13+U13)/2)+(C13/(DATOS!$B$14*((T13+U13)/2)))^2/(2*9.81)+B13-(E12+(C12/(DATOS!$B$14*E12))^2/(2*9.81)+B12+0.5*(((DATOS!$B$27*C12/(DATOS!$B$14*E12))^2/((DATOS!$B$14*E12)/(DATOS!$B$14+2*E12))^(4/3))+((DATOS!$B$27*C13/(DATOS!$B$14*((T13+U13)/2)))^2/((DATOS!$B$14*((T13+U13)/2))/(DATOS!$B$14+2*((T13+U13)/2)))^(4/3)))*(A12-A13)))&lt;0,((T13+U13)/2),T13)</f>
        <v/>
      </c>
      <c r="W13" s="16">
        <f>IF((((T13+U13)/2)+(C13/(DATOS!$B$14*((T13+U13)/2)))^2/(2*9.81)+B13-(E12+(C12/(DATOS!$B$14*E12))^2/(2*9.81)+B12+0.5*(((DATOS!$B$27*C12/(DATOS!$B$14*E12))^2/((DATOS!$B$14*E12)/(DATOS!$B$14+2*E12))^(4/3))+((DATOS!$B$27*C13/(DATOS!$B$14*((T13+U13)/2)))^2/((DATOS!$B$14*((T13+U13)/2))/(DATOS!$B$14+2*((T13+U13)/2)))^(4/3)))*(A12-A13)))&lt;0,U13,((T13+U13)/2))</f>
        <v/>
      </c>
      <c r="X13" s="16">
        <f>IF((((V13+W13)/2)+(C13/(DATOS!$B$14*((V13+W13)/2)))^2/(2*9.81)+B13-(E12+(C12/(DATOS!$B$14*E12))^2/(2*9.81)+B12+0.5*(((DATOS!$B$27*C12/(DATOS!$B$14*E12))^2/((DATOS!$B$14*E12)/(DATOS!$B$14+2*E12))^(4/3))+((DATOS!$B$27*C13/(DATOS!$B$14*((V13+W13)/2)))^2/((DATOS!$B$14*((V13+W13)/2))/(DATOS!$B$14+2*((V13+W13)/2)))^(4/3)))*(A12-A13)))&lt;0,((V13+W13)/2),V13)</f>
        <v/>
      </c>
      <c r="Y13" s="16">
        <f>IF((((V13+W13)/2)+(C13/(DATOS!$B$14*((V13+W13)/2)))^2/(2*9.81)+B13-(E12+(C12/(DATOS!$B$14*E12))^2/(2*9.81)+B12+0.5*(((DATOS!$B$27*C12/(DATOS!$B$14*E12))^2/((DATOS!$B$14*E12)/(DATOS!$B$14+2*E12))^(4/3))+((DATOS!$B$27*C13/(DATOS!$B$14*((V13+W13)/2)))^2/((DATOS!$B$14*((V13+W13)/2))/(DATOS!$B$14+2*((V13+W13)/2)))^(4/3)))*(A12-A13)))&lt;0,W13,((V13+W13)/2))</f>
        <v/>
      </c>
      <c r="Z13" s="16">
        <f>IF((((X13+Y13)/2)+(C13/(DATOS!$B$14*((X13+Y13)/2)))^2/(2*9.81)+B13-(E12+(C12/(DATOS!$B$14*E12))^2/(2*9.81)+B12+0.5*(((DATOS!$B$27*C12/(DATOS!$B$14*E12))^2/((DATOS!$B$14*E12)/(DATOS!$B$14+2*E12))^(4/3))+((DATOS!$B$27*C13/(DATOS!$B$14*((X13+Y13)/2)))^2/((DATOS!$B$14*((X13+Y13)/2))/(DATOS!$B$14+2*((X13+Y13)/2)))^(4/3)))*(A12-A13)))&lt;0,((X13+Y13)/2),X13)</f>
        <v/>
      </c>
      <c r="AA13" s="16">
        <f>IF((((X13+Y13)/2)+(C13/(DATOS!$B$14*((X13+Y13)/2)))^2/(2*9.81)+B13-(E12+(C12/(DATOS!$B$14*E12))^2/(2*9.81)+B12+0.5*(((DATOS!$B$27*C12/(DATOS!$B$14*E12))^2/((DATOS!$B$14*E12)/(DATOS!$B$14+2*E12))^(4/3))+((DATOS!$B$27*C13/(DATOS!$B$14*((X13+Y13)/2)))^2/((DATOS!$B$14*((X13+Y13)/2))/(DATOS!$B$14+2*((X13+Y13)/2)))^(4/3)))*(A12-A13)))&lt;0,Y13,((X13+Y13)/2))</f>
        <v/>
      </c>
      <c r="AB13" s="16">
        <f>IF((((Z13+AA13)/2)+(C13/(DATOS!$B$14*((Z13+AA13)/2)))^2/(2*9.81)+B13-(E12+(C12/(DATOS!$B$14*E12))^2/(2*9.81)+B12+0.5*(((DATOS!$B$27*C12/(DATOS!$B$14*E12))^2/((DATOS!$B$14*E12)/(DATOS!$B$14+2*E12))^(4/3))+((DATOS!$B$27*C13/(DATOS!$B$14*((Z13+AA13)/2)))^2/((DATOS!$B$14*((Z13+AA13)/2))/(DATOS!$B$14+2*((Z13+AA13)/2)))^(4/3)))*(A12-A13)))&lt;0,((Z13+AA13)/2),Z13)</f>
        <v/>
      </c>
      <c r="AC13" s="16">
        <f>IF((((Z13+AA13)/2)+(C13/(DATOS!$B$14*((Z13+AA13)/2)))^2/(2*9.81)+B13-(E12+(C12/(DATOS!$B$14*E12))^2/(2*9.81)+B12+0.5*(((DATOS!$B$27*C12/(DATOS!$B$14*E12))^2/((DATOS!$B$14*E12)/(DATOS!$B$14+2*E12))^(4/3))+((DATOS!$B$27*C13/(DATOS!$B$14*((Z13+AA13)/2)))^2/((DATOS!$B$14*((Z13+AA13)/2))/(DATOS!$B$14+2*((Z13+AA13)/2)))^(4/3)))*(A12-A13)))&lt;0,AA13,((Z13+AA13)/2))</f>
        <v/>
      </c>
      <c r="AD13" s="16">
        <f>IF((((AB13+AC13)/2)+(C13/(DATOS!$B$14*((AB13+AC13)/2)))^2/(2*9.81)+B13-(E12+(C12/(DATOS!$B$14*E12))^2/(2*9.81)+B12+0.5*(((DATOS!$B$27*C12/(DATOS!$B$14*E12))^2/((DATOS!$B$14*E12)/(DATOS!$B$14+2*E12))^(4/3))+((DATOS!$B$27*C13/(DATOS!$B$14*((AB13+AC13)/2)))^2/((DATOS!$B$14*((AB13+AC13)/2))/(DATOS!$B$14+2*((AB13+AC13)/2)))^(4/3)))*(A12-A13)))&lt;0,((AB13+AC13)/2),AB13)</f>
        <v/>
      </c>
      <c r="AE13" s="16">
        <f>IF((((AB13+AC13)/2)+(C13/(DATOS!$B$14*((AB13+AC13)/2)))^2/(2*9.81)+B13-(E12+(C12/(DATOS!$B$14*E12))^2/(2*9.81)+B12+0.5*(((DATOS!$B$27*C12/(DATOS!$B$14*E12))^2/((DATOS!$B$14*E12)/(DATOS!$B$14+2*E12))^(4/3))+((DATOS!$B$27*C13/(DATOS!$B$14*((AB13+AC13)/2)))^2/((DATOS!$B$14*((AB13+AC13)/2))/(DATOS!$B$14+2*((AB13+AC13)/2)))^(4/3)))*(A12-A13)))&lt;0,AC13,((AB13+AC13)/2))</f>
        <v/>
      </c>
      <c r="AF13" s="16">
        <f>IF((((AD13+AE13)/2)+(C13/(DATOS!$B$14*((AD13+AE13)/2)))^2/(2*9.81)+B13-(E12+(C12/(DATOS!$B$14*E12))^2/(2*9.81)+B12+0.5*(((DATOS!$B$27*C12/(DATOS!$B$14*E12))^2/((DATOS!$B$14*E12)/(DATOS!$B$14+2*E12))^(4/3))+((DATOS!$B$27*C13/(DATOS!$B$14*((AD13+AE13)/2)))^2/((DATOS!$B$14*((AD13+AE13)/2))/(DATOS!$B$14+2*((AD13+AE13)/2)))^(4/3)))*(A12-A13)))&lt;0,((AD13+AE13)/2),AD13)</f>
        <v/>
      </c>
      <c r="AG13" s="16">
        <f>IF((((AD13+AE13)/2)+(C13/(DATOS!$B$14*((AD13+AE13)/2)))^2/(2*9.81)+B13-(E12+(C12/(DATOS!$B$14*E12))^2/(2*9.81)+B12+0.5*(((DATOS!$B$27*C12/(DATOS!$B$14*E12))^2/((DATOS!$B$14*E12)/(DATOS!$B$14+2*E12))^(4/3))+((DATOS!$B$27*C13/(DATOS!$B$14*((AD13+AE13)/2)))^2/((DATOS!$B$14*((AD13+AE13)/2))/(DATOS!$B$14+2*((AD13+AE13)/2)))^(4/3)))*(A12-A13)))&lt;0,AE13,((AD13+AE13)/2))</f>
        <v/>
      </c>
      <c r="AH13" s="16">
        <f>IF((((AF13+AG13)/2)+(C13/(DATOS!$B$14*((AF13+AG13)/2)))^2/(2*9.81)+B13-(E12+(C12/(DATOS!$B$14*E12))^2/(2*9.81)+B12+0.5*(((DATOS!$B$27*C12/(DATOS!$B$14*E12))^2/((DATOS!$B$14*E12)/(DATOS!$B$14+2*E12))^(4/3))+((DATOS!$B$27*C13/(DATOS!$B$14*((AF13+AG13)/2)))^2/((DATOS!$B$14*((AF13+AG13)/2))/(DATOS!$B$14+2*((AF13+AG13)/2)))^(4/3)))*(A12-A13)))&lt;0,((AF13+AG13)/2),AF13)</f>
        <v/>
      </c>
      <c r="AI13" s="16">
        <f>IF((((AF13+AG13)/2)+(C13/(DATOS!$B$14*((AF13+AG13)/2)))^2/(2*9.81)+B13-(E12+(C12/(DATOS!$B$14*E12))^2/(2*9.81)+B12+0.5*(((DATOS!$B$27*C12/(DATOS!$B$14*E12))^2/((DATOS!$B$14*E12)/(DATOS!$B$14+2*E12))^(4/3))+((DATOS!$B$27*C13/(DATOS!$B$14*((AF13+AG13)/2)))^2/((DATOS!$B$14*((AF13+AG13)/2))/(DATOS!$B$14+2*((AF13+AG13)/2)))^(4/3)))*(A12-A13)))&lt;0,AG13,((AF13+AG13)/2))</f>
        <v/>
      </c>
      <c r="AJ13" s="16">
        <f>IF((((AH13+AI13)/2)+(C13/(DATOS!$B$14*((AH13+AI13)/2)))^2/(2*9.81)+B13-(E12+(C12/(DATOS!$B$14*E12))^2/(2*9.81)+B12+0.5*(((DATOS!$B$27*C12/(DATOS!$B$14*E12))^2/((DATOS!$B$14*E12)/(DATOS!$B$14+2*E12))^(4/3))+((DATOS!$B$27*C13/(DATOS!$B$14*((AH13+AI13)/2)))^2/((DATOS!$B$14*((AH13+AI13)/2))/(DATOS!$B$14+2*((AH13+AI13)/2)))^(4/3)))*(A12-A13)))&lt;0,((AH13+AI13)/2),AH13)</f>
        <v/>
      </c>
      <c r="AK13" s="16">
        <f>IF((((AH13+AI13)/2)+(C13/(DATOS!$B$14*((AH13+AI13)/2)))^2/(2*9.81)+B13-(E12+(C12/(DATOS!$B$14*E12))^2/(2*9.81)+B12+0.5*(((DATOS!$B$27*C12/(DATOS!$B$14*E12))^2/((DATOS!$B$14*E12)/(DATOS!$B$14+2*E12))^(4/3))+((DATOS!$B$27*C13/(DATOS!$B$14*((AH13+AI13)/2)))^2/((DATOS!$B$14*((AH13+AI13)/2))/(DATOS!$B$14+2*((AH13+AI13)/2)))^(4/3)))*(A12-A13)))&lt;0,AI13,((AH13+AI13)/2))</f>
        <v/>
      </c>
      <c r="AL13" s="16">
        <f>IF((((AJ13+AK13)/2)+(C13/(DATOS!$B$14*((AJ13+AK13)/2)))^2/(2*9.81)+B13-(E12+(C12/(DATOS!$B$14*E12))^2/(2*9.81)+B12+0.5*(((DATOS!$B$27*C12/(DATOS!$B$14*E12))^2/((DATOS!$B$14*E12)/(DATOS!$B$14+2*E12))^(4/3))+((DATOS!$B$27*C13/(DATOS!$B$14*((AJ13+AK13)/2)))^2/((DATOS!$B$14*((AJ13+AK13)/2))/(DATOS!$B$14+2*((AJ13+AK13)/2)))^(4/3)))*(A12-A13)))&lt;0,((AJ13+AK13)/2),AJ13)</f>
        <v/>
      </c>
      <c r="AM13" s="16">
        <f>IF((((AJ13+AK13)/2)+(C13/(DATOS!$B$14*((AJ13+AK13)/2)))^2/(2*9.81)+B13-(E12+(C12/(DATOS!$B$14*E12))^2/(2*9.81)+B12+0.5*(((DATOS!$B$27*C12/(DATOS!$B$14*E12))^2/((DATOS!$B$14*E12)/(DATOS!$B$14+2*E12))^(4/3))+((DATOS!$B$27*C13/(DATOS!$B$14*((AJ13+AK13)/2)))^2/((DATOS!$B$14*((AJ13+AK13)/2))/(DATOS!$B$14+2*((AJ13+AK13)/2)))^(4/3)))*(A12-A13)))&lt;0,AK13,((AJ13+AK13)/2))</f>
        <v/>
      </c>
      <c r="AN13" s="16">
        <f>IF((((AL13+AM13)/2)+(C13/(DATOS!$B$14*((AL13+AM13)/2)))^2/(2*9.81)+B13-(E12+(C12/(DATOS!$B$14*E12))^2/(2*9.81)+B12+0.5*(((DATOS!$B$27*C12/(DATOS!$B$14*E12))^2/((DATOS!$B$14*E12)/(DATOS!$B$14+2*E12))^(4/3))+((DATOS!$B$27*C13/(DATOS!$B$14*((AL13+AM13)/2)))^2/((DATOS!$B$14*((AL13+AM13)/2))/(DATOS!$B$14+2*((AL13+AM13)/2)))^(4/3)))*(A12-A13)))&lt;0,((AL13+AM13)/2),AL13)</f>
        <v/>
      </c>
      <c r="AO13" s="16">
        <f>IF((((AL13+AM13)/2)+(C13/(DATOS!$B$14*((AL13+AM13)/2)))^2/(2*9.81)+B13-(E12+(C12/(DATOS!$B$14*E12))^2/(2*9.81)+B12+0.5*(((DATOS!$B$27*C12/(DATOS!$B$14*E12))^2/((DATOS!$B$14*E12)/(DATOS!$B$14+2*E12))^(4/3))+((DATOS!$B$27*C13/(DATOS!$B$14*((AL13+AM13)/2)))^2/((DATOS!$B$14*((AL13+AM13)/2))/(DATOS!$B$14+2*((AL13+AM13)/2)))^(4/3)))*(A12-A13)))&lt;0,AM13,((AL13+AM13)/2))</f>
        <v/>
      </c>
      <c r="AP13" s="16">
        <f>IF((((AN13+AO13)/2)+(C13/(DATOS!$B$14*((AN13+AO13)/2)))^2/(2*9.81)+B13-(E12+(C12/(DATOS!$B$14*E12))^2/(2*9.81)+B12+0.5*(((DATOS!$B$27*C12/(DATOS!$B$14*E12))^2/((DATOS!$B$14*E12)/(DATOS!$B$14+2*E12))^(4/3))+((DATOS!$B$27*C13/(DATOS!$B$14*((AN13+AO13)/2)))^2/((DATOS!$B$14*((AN13+AO13)/2))/(DATOS!$B$14+2*((AN13+AO13)/2)))^(4/3)))*(A12-A13)))&lt;0,((AN13+AO13)/2),AN13)</f>
        <v/>
      </c>
      <c r="AQ13" s="16">
        <f>IF((((AN13+AO13)/2)+(C13/(DATOS!$B$14*((AN13+AO13)/2)))^2/(2*9.81)+B13-(E12+(C12/(DATOS!$B$14*E12))^2/(2*9.81)+B12+0.5*(((DATOS!$B$27*C12/(DATOS!$B$14*E12))^2/((DATOS!$B$14*E12)/(DATOS!$B$14+2*E12))^(4/3))+((DATOS!$B$27*C13/(DATOS!$B$14*((AN13+AO13)/2)))^2/((DATOS!$B$14*((AN13+AO13)/2))/(DATOS!$B$14+2*((AN13+AO13)/2)))^(4/3)))*(A12-A13)))&lt;0,AO13,((AN13+AO13)/2))</f>
        <v/>
      </c>
      <c r="AR13" s="16">
        <f>IF((((AP13+AQ13)/2)+(C13/(DATOS!$B$14*((AP13+AQ13)/2)))^2/(2*9.81)+B13-(E12+(C12/(DATOS!$B$14*E12))^2/(2*9.81)+B12+0.5*(((DATOS!$B$27*C12/(DATOS!$B$14*E12))^2/((DATOS!$B$14*E12)/(DATOS!$B$14+2*E12))^(4/3))+((DATOS!$B$27*C13/(DATOS!$B$14*((AP13+AQ13)/2)))^2/((DATOS!$B$14*((AP13+AQ13)/2))/(DATOS!$B$14+2*((AP13+AQ13)/2)))^(4/3)))*(A12-A13)))&lt;0,((AP13+AQ13)/2),AP13)</f>
        <v/>
      </c>
      <c r="AS13" s="16">
        <f>IF((((AP13+AQ13)/2)+(C13/(DATOS!$B$14*((AP13+AQ13)/2)))^2/(2*9.81)+B13-(E12+(C12/(DATOS!$B$14*E12))^2/(2*9.81)+B12+0.5*(((DATOS!$B$27*C12/(DATOS!$B$14*E12))^2/((DATOS!$B$14*E12)/(DATOS!$B$14+2*E12))^(4/3))+((DATOS!$B$27*C13/(DATOS!$B$14*((AP13+AQ13)/2)))^2/((DATOS!$B$14*((AP13+AQ13)/2))/(DATOS!$B$14+2*((AP13+AQ13)/2)))^(4/3)))*(A12-A13)))&lt;0,AQ13,((AP13+AQ13)/2))</f>
        <v/>
      </c>
      <c r="AT13" s="16">
        <f>IF((((AR13+AS13)/2)+(C13/(DATOS!$B$14*((AR13+AS13)/2)))^2/(2*9.81)+B13-(E12+(C12/(DATOS!$B$14*E12))^2/(2*9.81)+B12+0.5*(((DATOS!$B$27*C12/(DATOS!$B$14*E12))^2/((DATOS!$B$14*E12)/(DATOS!$B$14+2*E12))^(4/3))+((DATOS!$B$27*C13/(DATOS!$B$14*((AR13+AS13)/2)))^2/((DATOS!$B$14*((AR13+AS13)/2))/(DATOS!$B$14+2*((AR13+AS13)/2)))^(4/3)))*(A12-A13)))&lt;0,((AR13+AS13)/2),AR13)</f>
        <v/>
      </c>
      <c r="AU13" s="16">
        <f>IF((((AR13+AS13)/2)+(C13/(DATOS!$B$14*((AR13+AS13)/2)))^2/(2*9.81)+B13-(E12+(C12/(DATOS!$B$14*E12))^2/(2*9.81)+B12+0.5*(((DATOS!$B$27*C12/(DATOS!$B$14*E12))^2/((DATOS!$B$14*E12)/(DATOS!$B$14+2*E12))^(4/3))+((DATOS!$B$27*C13/(DATOS!$B$14*((AR13+AS13)/2)))^2/((DATOS!$B$14*((AR13+AS13)/2))/(DATOS!$B$14+2*((AR13+AS13)/2)))^(4/3)))*(A12-A13)))&lt;0,AS13,((AR13+AS13)/2))</f>
        <v/>
      </c>
      <c r="AV13" s="16">
        <f>IF((((AT13+AU13)/2)+(C13/(DATOS!$B$14*((AT13+AU13)/2)))^2/(2*9.81)+B13-(E12+(C12/(DATOS!$B$14*E12))^2/(2*9.81)+B12+0.5*(((DATOS!$B$27*C12/(DATOS!$B$14*E12))^2/((DATOS!$B$14*E12)/(DATOS!$B$14+2*E12))^(4/3))+((DATOS!$B$27*C13/(DATOS!$B$14*((AT13+AU13)/2)))^2/((DATOS!$B$14*((AT13+AU13)/2))/(DATOS!$B$14+2*((AT13+AU13)/2)))^(4/3)))*(A12-A13)))&lt;0,((AT13+AU13)/2),AT13)</f>
        <v/>
      </c>
      <c r="AW13" s="16">
        <f>IF((((AT13+AU13)/2)+(C13/(DATOS!$B$14*((AT13+AU13)/2)))^2/(2*9.81)+B13-(E12+(C12/(DATOS!$B$14*E12))^2/(2*9.81)+B12+0.5*(((DATOS!$B$27*C12/(DATOS!$B$14*E12))^2/((DATOS!$B$14*E12)/(DATOS!$B$14+2*E12))^(4/3))+((DATOS!$B$27*C13/(DATOS!$B$14*((AT13+AU13)/2)))^2/((DATOS!$B$14*((AT13+AU13)/2))/(DATOS!$B$14+2*((AT13+AU13)/2)))^(4/3)))*(A12-A13)))&lt;0,AU13,((AT13+AU13)/2))</f>
        <v/>
      </c>
      <c r="AX13" s="16">
        <f>IF((((AV13+AW13)/2)+(C13/(DATOS!$B$14*((AV13+AW13)/2)))^2/(2*9.81)+B13-(E12+(C12/(DATOS!$B$14*E12))^2/(2*9.81)+B12+0.5*(((DATOS!$B$27*C12/(DATOS!$B$14*E12))^2/((DATOS!$B$14*E12)/(DATOS!$B$14+2*E12))^(4/3))+((DATOS!$B$27*C13/(DATOS!$B$14*((AV13+AW13)/2)))^2/((DATOS!$B$14*((AV13+AW13)/2))/(DATOS!$B$14+2*((AV13+AW13)/2)))^(4/3)))*(A12-A13)))&lt;0,((AV13+AW13)/2),AV13)</f>
        <v/>
      </c>
      <c r="AY13" s="16">
        <f>IF((((AV13+AW13)/2)+(C13/(DATOS!$B$14*((AV13+AW13)/2)))^2/(2*9.81)+B13-(E12+(C12/(DATOS!$B$14*E12))^2/(2*9.81)+B12+0.5*(((DATOS!$B$27*C12/(DATOS!$B$14*E12))^2/((DATOS!$B$14*E12)/(DATOS!$B$14+2*E12))^(4/3))+((DATOS!$B$27*C13/(DATOS!$B$14*((AV13+AW13)/2)))^2/((DATOS!$B$14*((AV13+AW13)/2))/(DATOS!$B$14+2*((AV13+AW13)/2)))^(4/3)))*(A12-A13)))&lt;0,AW13,((AV13+AW13)/2))</f>
        <v/>
      </c>
      <c r="AZ13" s="16">
        <f>IF((((AX13+AY13)/2)+(C13/(DATOS!$B$14*((AX13+AY13)/2)))^2/(2*9.81)+B13-(E12+(C12/(DATOS!$B$14*E12))^2/(2*9.81)+B12+0.5*(((DATOS!$B$27*C12/(DATOS!$B$14*E12))^2/((DATOS!$B$14*E12)/(DATOS!$B$14+2*E12))^(4/3))+((DATOS!$B$27*C13/(DATOS!$B$14*((AX13+AY13)/2)))^2/((DATOS!$B$14*((AX13+AY13)/2))/(DATOS!$B$14+2*((AX13+AY13)/2)))^(4/3)))*(A12-A13)))&lt;0,((AX13+AY13)/2),AX13)</f>
        <v/>
      </c>
      <c r="BA13" s="16">
        <f>IF((((AX13+AY13)/2)+(C13/(DATOS!$B$14*((AX13+AY13)/2)))^2/(2*9.81)+B13-(E12+(C12/(DATOS!$B$14*E12))^2/(2*9.81)+B12+0.5*(((DATOS!$B$27*C12/(DATOS!$B$14*E12))^2/((DATOS!$B$14*E12)/(DATOS!$B$14+2*E12))^(4/3))+((DATOS!$B$27*C13/(DATOS!$B$14*((AX13+AY13)/2)))^2/((DATOS!$B$14*((AX13+AY13)/2))/(DATOS!$B$14+2*((AX13+AY13)/2)))^(4/3)))*(A12-A13)))&lt;0,AY13,((AX13+AY13)/2))</f>
        <v/>
      </c>
      <c r="BB13" s="16">
        <f>IF((((AZ13+BA13)/2)+(C13/(DATOS!$B$14*((AZ13+BA13)/2)))^2/(2*9.81)+B13-(E12+(C12/(DATOS!$B$14*E12))^2/(2*9.81)+B12+0.5*(((DATOS!$B$27*C12/(DATOS!$B$14*E12))^2/((DATOS!$B$14*E12)/(DATOS!$B$14+2*E12))^(4/3))+((DATOS!$B$27*C13/(DATOS!$B$14*((AZ13+BA13)/2)))^2/((DATOS!$B$14*((AZ13+BA13)/2))/(DATOS!$B$14+2*((AZ13+BA13)/2)))^(4/3)))*(A12-A13)))&lt;0,((AZ13+BA13)/2),AZ13)</f>
        <v/>
      </c>
      <c r="BC13" s="16">
        <f>IF((((AZ13+BA13)/2)+(C13/(DATOS!$B$14*((AZ13+BA13)/2)))^2/(2*9.81)+B13-(E12+(C12/(DATOS!$B$14*E12))^2/(2*9.81)+B12+0.5*(((DATOS!$B$27*C12/(DATOS!$B$14*E12))^2/((DATOS!$B$14*E12)/(DATOS!$B$14+2*E12))^(4/3))+((DATOS!$B$27*C13/(DATOS!$B$14*((AZ13+BA13)/2)))^2/((DATOS!$B$14*((AZ13+BA13)/2))/(DATOS!$B$14+2*((AZ13+BA13)/2)))^(4/3)))*(A12-A13)))&lt;0,BA13,((AZ13+BA13)/2))</f>
        <v/>
      </c>
      <c r="BD13" s="16">
        <f>IF((((BB13+BC13)/2)+(C13/(DATOS!$B$14*((BB13+BC13)/2)))^2/(2*9.81)+B13-(E12+(C12/(DATOS!$B$14*E12))^2/(2*9.81)+B12+0.5*(((DATOS!$B$27*C12/(DATOS!$B$14*E12))^2/((DATOS!$B$14*E12)/(DATOS!$B$14+2*E12))^(4/3))+((DATOS!$B$27*C13/(DATOS!$B$14*((BB13+BC13)/2)))^2/((DATOS!$B$14*((BB13+BC13)/2))/(DATOS!$B$14+2*((BB13+BC13)/2)))^(4/3)))*(A12-A13)))&lt;0,((BB13+BC13)/2),BB13)</f>
        <v/>
      </c>
      <c r="BE13" s="16">
        <f>IF((((BB13+BC13)/2)+(C13/(DATOS!$B$14*((BB13+BC13)/2)))^2/(2*9.81)+B13-(E12+(C12/(DATOS!$B$14*E12))^2/(2*9.81)+B12+0.5*(((DATOS!$B$27*C12/(DATOS!$B$14*E12))^2/((DATOS!$B$14*E12)/(DATOS!$B$14+2*E12))^(4/3))+((DATOS!$B$27*C13/(DATOS!$B$14*((BB13+BC13)/2)))^2/((DATOS!$B$14*((BB13+BC13)/2))/(DATOS!$B$14+2*((BB13+BC13)/2)))^(4/3)))*(A12-A13)))&lt;0,BC13,((BB13+BC13)/2))</f>
        <v/>
      </c>
      <c r="BF13" s="16">
        <f>IF((((BD13+BE13)/2)+(C13/(DATOS!$B$14*((BD13+BE13)/2)))^2/(2*9.81)+B13-(E12+(C12/(DATOS!$B$14*E12))^2/(2*9.81)+B12+0.5*(((DATOS!$B$27*C12/(DATOS!$B$14*E12))^2/((DATOS!$B$14*E12)/(DATOS!$B$14+2*E12))^(4/3))+((DATOS!$B$27*C13/(DATOS!$B$14*((BD13+BE13)/2)))^2/((DATOS!$B$14*((BD13+BE13)/2))/(DATOS!$B$14+2*((BD13+BE13)/2)))^(4/3)))*(A12-A13)))&lt;0,((BD13+BE13)/2),BD13)</f>
        <v/>
      </c>
      <c r="BG13" s="16">
        <f>IF((((BD13+BE13)/2)+(C13/(DATOS!$B$14*((BD13+BE13)/2)))^2/(2*9.81)+B13-(E12+(C12/(DATOS!$B$14*E12))^2/(2*9.81)+B12+0.5*(((DATOS!$B$27*C12/(DATOS!$B$14*E12))^2/((DATOS!$B$14*E12)/(DATOS!$B$14+2*E12))^(4/3))+((DATOS!$B$27*C13/(DATOS!$B$14*((BD13+BE13)/2)))^2/((DATOS!$B$14*((BD13+BE13)/2))/(DATOS!$B$14+2*((BD13+BE13)/2)))^(4/3)))*(A12-A13)))&lt;0,BE13,((BD13+BE13)/2))</f>
        <v/>
      </c>
      <c r="BH13" s="16">
        <f>IF((((BF13+BG13)/2)+(C13/(DATOS!$B$14*((BF13+BG13)/2)))^2/(2*9.81)+B13-(E12+(C12/(DATOS!$B$14*E12))^2/(2*9.81)+B12+0.5*(((DATOS!$B$27*C12/(DATOS!$B$14*E12))^2/((DATOS!$B$14*E12)/(DATOS!$B$14+2*E12))^(4/3))+((DATOS!$B$27*C13/(DATOS!$B$14*((BF13+BG13)/2)))^2/((DATOS!$B$14*((BF13+BG13)/2))/(DATOS!$B$14+2*((BF13+BG13)/2)))^(4/3)))*(A12-A13)))&lt;0,((BF13+BG13)/2),BF13)</f>
        <v/>
      </c>
      <c r="BI13" s="16">
        <f>IF((((BF13+BG13)/2)+(C13/(DATOS!$B$14*((BF13+BG13)/2)))^2/(2*9.81)+B13-(E12+(C12/(DATOS!$B$14*E12))^2/(2*9.81)+B12+0.5*(((DATOS!$B$27*C12/(DATOS!$B$14*E12))^2/((DATOS!$B$14*E12)/(DATOS!$B$14+2*E12))^(4/3))+((DATOS!$B$27*C13/(DATOS!$B$14*((BF13+BG13)/2)))^2/((DATOS!$B$14*((BF13+BG13)/2))/(DATOS!$B$14+2*((BF13+BG13)/2)))^(4/3)))*(A12-A13)))&lt;0,BG13,((BF13+BG13)/2))</f>
        <v/>
      </c>
      <c r="BJ13" s="16">
        <f>IF((((BH13+BI13)/2)+(C13/(DATOS!$B$14*((BH13+BI13)/2)))^2/(2*9.81)+B13-(E12+(C12/(DATOS!$B$14*E12))^2/(2*9.81)+B12+0.5*(((DATOS!$B$27*C12/(DATOS!$B$14*E12))^2/((DATOS!$B$14*E12)/(DATOS!$B$14+2*E12))^(4/3))+((DATOS!$B$27*C13/(DATOS!$B$14*((BH13+BI13)/2)))^2/((DATOS!$B$14*((BH13+BI13)/2))/(DATOS!$B$14+2*((BH13+BI13)/2)))^(4/3)))*(A12-A13)))&lt;0,((BH13+BI13)/2),BH13)</f>
        <v/>
      </c>
      <c r="BK13" s="16">
        <f>IF((((BH13+BI13)/2)+(C13/(DATOS!$B$14*((BH13+BI13)/2)))^2/(2*9.81)+B13-(E12+(C12/(DATOS!$B$14*E12))^2/(2*9.81)+B12+0.5*(((DATOS!$B$27*C12/(DATOS!$B$14*E12))^2/((DATOS!$B$14*E12)/(DATOS!$B$14+2*E12))^(4/3))+((DATOS!$B$27*C13/(DATOS!$B$14*((BH13+BI13)/2)))^2/((DATOS!$B$14*((BH13+BI13)/2))/(DATOS!$B$14+2*((BH13+BI13)/2)))^(4/3)))*(A12-A13)))&lt;0,BI13,((BH13+BI13)/2))</f>
        <v/>
      </c>
      <c r="BL13" s="16">
        <f>IF((((BJ13+BK13)/2)+(C13/(DATOS!$B$14*((BJ13+BK13)/2)))^2/(2*9.81)+B13-(E12+(C12/(DATOS!$B$14*E12))^2/(2*9.81)+B12+0.5*(((DATOS!$B$27*C12/(DATOS!$B$14*E12))^2/((DATOS!$B$14*E12)/(DATOS!$B$14+2*E12))^(4/3))+((DATOS!$B$27*C13/(DATOS!$B$14*((BJ13+BK13)/2)))^2/((DATOS!$B$14*((BJ13+BK13)/2))/(DATOS!$B$14+2*((BJ13+BK13)/2)))^(4/3)))*(A12-A13)))&lt;0,((BJ13+BK13)/2),BJ13)</f>
        <v/>
      </c>
      <c r="BM13" s="16">
        <f>IF((((BJ13+BK13)/2)+(C13/(DATOS!$B$14*((BJ13+BK13)/2)))^2/(2*9.81)+B13-(E12+(C12/(DATOS!$B$14*E12))^2/(2*9.81)+B12+0.5*(((DATOS!$B$27*C12/(DATOS!$B$14*E12))^2/((DATOS!$B$14*E12)/(DATOS!$B$14+2*E12))^(4/3))+((DATOS!$B$27*C13/(DATOS!$B$14*((BJ13+BK13)/2)))^2/((DATOS!$B$14*((BJ13+BK13)/2))/(DATOS!$B$14+2*((BJ13+BK13)/2)))^(4/3)))*(A12-A13)))&lt;0,BK13,((BJ13+BK13)/2))</f>
        <v/>
      </c>
      <c r="BN13" s="16">
        <f>IF((((BL13+BM13)/2)+(C13/(DATOS!$B$14*((BL13+BM13)/2)))^2/(2*9.81)+B13-(E12+(C12/(DATOS!$B$14*E12))^2/(2*9.81)+B12+0.5*(((DATOS!$B$27*C12/(DATOS!$B$14*E12))^2/((DATOS!$B$14*E12)/(DATOS!$B$14+2*E12))^(4/3))+((DATOS!$B$27*C13/(DATOS!$B$14*((BL13+BM13)/2)))^2/((DATOS!$B$14*((BL13+BM13)/2))/(DATOS!$B$14+2*((BL13+BM13)/2)))^(4/3)))*(A12-A13)))&lt;0,((BL13+BM13)/2),BL13)</f>
        <v/>
      </c>
      <c r="BO13" s="16">
        <f>IF((((BL13+BM13)/2)+(C13/(DATOS!$B$14*((BL13+BM13)/2)))^2/(2*9.81)+B13-(E12+(C12/(DATOS!$B$14*E12))^2/(2*9.81)+B12+0.5*(((DATOS!$B$27*C12/(DATOS!$B$14*E12))^2/((DATOS!$B$14*E12)/(DATOS!$B$14+2*E12))^(4/3))+((DATOS!$B$27*C13/(DATOS!$B$14*((BL13+BM13)/2)))^2/((DATOS!$B$14*((BL13+BM13)/2))/(DATOS!$B$14+2*((BL13+BM13)/2)))^(4/3)))*(A12-A13)))&lt;0,BM13,((BL13+BM13)/2))</f>
        <v/>
      </c>
      <c r="BP13" s="16">
        <f>IF((((BN13+BO13)/2)+(C13/(DATOS!$B$14*((BN13+BO13)/2)))^2/(2*9.81)+B13-(E12+(C12/(DATOS!$B$14*E12))^2/(2*9.81)+B12+0.5*(((DATOS!$B$27*C12/(DATOS!$B$14*E12))^2/((DATOS!$B$14*E12)/(DATOS!$B$14+2*E12))^(4/3))+((DATOS!$B$27*C13/(DATOS!$B$14*((BN13+BO13)/2)))^2/((DATOS!$B$14*((BN13+BO13)/2))/(DATOS!$B$14+2*((BN13+BO13)/2)))^(4/3)))*(A12-A13)))&lt;0,((BN13+BO13)/2),BN13)</f>
        <v/>
      </c>
      <c r="BQ13" s="16">
        <f>IF((((BN13+BO13)/2)+(C13/(DATOS!$B$14*((BN13+BO13)/2)))^2/(2*9.81)+B13-(E12+(C12/(DATOS!$B$14*E12))^2/(2*9.81)+B12+0.5*(((DATOS!$B$27*C12/(DATOS!$B$14*E12))^2/((DATOS!$B$14*E12)/(DATOS!$B$14+2*E12))^(4/3))+((DATOS!$B$27*C13/(DATOS!$B$14*((BN13+BO13)/2)))^2/((DATOS!$B$14*((BN13+BO13)/2))/(DATOS!$B$14+2*((BN13+BO13)/2)))^(4/3)))*(A12-A13)))&lt;0,BO13,((BN13+BO13)/2))</f>
        <v/>
      </c>
      <c r="BR13" s="16">
        <f>IF((((BP13+BQ13)/2)+(C13/(DATOS!$B$14*((BP13+BQ13)/2)))^2/(2*9.81)+B13-(E12+(C12/(DATOS!$B$14*E12))^2/(2*9.81)+B12+0.5*(((DATOS!$B$27*C12/(DATOS!$B$14*E12))^2/((DATOS!$B$14*E12)/(DATOS!$B$14+2*E12))^(4/3))+((DATOS!$B$27*C13/(DATOS!$B$14*((BP13+BQ13)/2)))^2/((DATOS!$B$14*((BP13+BQ13)/2))/(DATOS!$B$14+2*((BP13+BQ13)/2)))^(4/3)))*(A12-A13)))&lt;0,((BP13+BQ13)/2),BP13)</f>
        <v/>
      </c>
      <c r="BS13" s="16">
        <f>IF((((BP13+BQ13)/2)+(C13/(DATOS!$B$14*((BP13+BQ13)/2)))^2/(2*9.81)+B13-(E12+(C12/(DATOS!$B$14*E12))^2/(2*9.81)+B12+0.5*(((DATOS!$B$27*C12/(DATOS!$B$14*E12))^2/((DATOS!$B$14*E12)/(DATOS!$B$14+2*E12))^(4/3))+((DATOS!$B$27*C13/(DATOS!$B$14*((BP13+BQ13)/2)))^2/((DATOS!$B$14*((BP13+BQ13)/2))/(DATOS!$B$14+2*((BP13+BQ13)/2)))^(4/3)))*(A12-A13)))&lt;0,BQ13,((BP13+BQ13)/2))</f>
        <v/>
      </c>
      <c r="BT13" s="16">
        <f>IF((((BR13+BS13)/2)+(C13/(DATOS!$B$14*((BR13+BS13)/2)))^2/(2*9.81)+B13-(E12+(C12/(DATOS!$B$14*E12))^2/(2*9.81)+B12+0.5*(((DATOS!$B$27*C12/(DATOS!$B$14*E12))^2/((DATOS!$B$14*E12)/(DATOS!$B$14+2*E12))^(4/3))+((DATOS!$B$27*C13/(DATOS!$B$14*((BR13+BS13)/2)))^2/((DATOS!$B$14*((BR13+BS13)/2))/(DATOS!$B$14+2*((BR13+BS13)/2)))^(4/3)))*(A12-A13)))&lt;0,((BR13+BS13)/2),BR13)</f>
        <v/>
      </c>
      <c r="BU13" s="16">
        <f>IF((((BR13+BS13)/2)+(C13/(DATOS!$B$14*((BR13+BS13)/2)))^2/(2*9.81)+B13-(E12+(C12/(DATOS!$B$14*E12))^2/(2*9.81)+B12+0.5*(((DATOS!$B$27*C12/(DATOS!$B$14*E12))^2/((DATOS!$B$14*E12)/(DATOS!$B$14+2*E12))^(4/3))+((DATOS!$B$27*C13/(DATOS!$B$14*((BR13+BS13)/2)))^2/((DATOS!$B$14*((BR13+BS13)/2))/(DATOS!$B$14+2*((BR13+BS13)/2)))^(4/3)))*(A12-A13)))&lt;0,BS13,((BR13+BS13)/2))</f>
        <v/>
      </c>
    </row>
    <row r="14">
      <c r="A14" s="30" t="n">
        <v>122</v>
      </c>
      <c r="B14" s="21">
        <f>DATOS!$B$16-DATOS!$B$19*A14</f>
        <v/>
      </c>
      <c r="C14" s="21">
        <f>IF(A14&lt;CAUDALES!$B$13,CAUDALES!$D$12,IF(A14&lt;CAUDALES!$B$14,CAUDALES!$D$13,IF(A14&lt;CAUDALES!$B$15,CAUDALES!$D$14,CAUDALES!$D$15)))/1000</f>
        <v/>
      </c>
      <c r="D14" s="21">
        <f>(C14^2/(9.81*DATOS!$B$14^2))^(1/3)</f>
        <v/>
      </c>
      <c r="E14" s="29">
        <f>(BT14+BU14)/2</f>
        <v/>
      </c>
      <c r="F14" s="21">
        <f>B14+E14</f>
        <v/>
      </c>
      <c r="G14" s="17">
        <f>C14/(DATOS!$B$14*E14)</f>
        <v/>
      </c>
      <c r="H14" s="17">
        <f>G14/SQRT(9.81*E14)</f>
        <v/>
      </c>
      <c r="I14" s="21">
        <f>IF(A14&lt;=DATOS!$B$20,DATOS!$B$21-IF(AND(A14&gt;=DATOS!$B$23,A14&lt;DATOS!$B$24),DATOS!$B$25,DATOS!$B$22),B14+DATOS!$B$26)</f>
        <v/>
      </c>
      <c r="J14" s="17">
        <f>I14-B14</f>
        <v/>
      </c>
      <c r="K14" s="31">
        <f>E14/J14</f>
        <v/>
      </c>
      <c r="L14" s="21">
        <f>I14-F14</f>
        <v/>
      </c>
      <c r="M14" s="32">
        <f>IF(AND(K14&lt;=DATOS!$B$29,L14&gt;=DATOS!$B$30),"CUMPLE","NO CUMPLE")</f>
        <v/>
      </c>
      <c r="N14" s="13">
        <f>IF(A14&gt;DATOS!$B$20,"cubierto - tramo final",IF(AND(A14&gt;=DATOS!$B$23,A14&lt;DATOS!$B$24),"cubierto - camiones","cubierto"))</f>
        <v/>
      </c>
      <c r="P14" s="16">
        <f>D14*1.001</f>
        <v/>
      </c>
      <c r="Q14" s="16" t="n">
        <v>2</v>
      </c>
      <c r="R14" s="16">
        <f>IF((((P14+Q14)/2)+(C14/(DATOS!$B$14*((P14+Q14)/2)))^2/(2*9.81)+B14-(E13+(C13/(DATOS!$B$14*E13))^2/(2*9.81)+B13+0.5*(((DATOS!$B$27*C13/(DATOS!$B$14*E13))^2/((DATOS!$B$14*E13)/(DATOS!$B$14+2*E13))^(4/3))+((DATOS!$B$27*C14/(DATOS!$B$14*((P14+Q14)/2)))^2/((DATOS!$B$14*((P14+Q14)/2))/(DATOS!$B$14+2*((P14+Q14)/2)))^(4/3)))*(A13-A14)))&lt;0,((P14+Q14)/2),P14)</f>
        <v/>
      </c>
      <c r="S14" s="16">
        <f>IF((((P14+Q14)/2)+(C14/(DATOS!$B$14*((P14+Q14)/2)))^2/(2*9.81)+B14-(E13+(C13/(DATOS!$B$14*E13))^2/(2*9.81)+B13+0.5*(((DATOS!$B$27*C13/(DATOS!$B$14*E13))^2/((DATOS!$B$14*E13)/(DATOS!$B$14+2*E13))^(4/3))+((DATOS!$B$27*C14/(DATOS!$B$14*((P14+Q14)/2)))^2/((DATOS!$B$14*((P14+Q14)/2))/(DATOS!$B$14+2*((P14+Q14)/2)))^(4/3)))*(A13-A14)))&lt;0,Q14,((P14+Q14)/2))</f>
        <v/>
      </c>
      <c r="T14" s="16">
        <f>IF((((R14+S14)/2)+(C14/(DATOS!$B$14*((R14+S14)/2)))^2/(2*9.81)+B14-(E13+(C13/(DATOS!$B$14*E13))^2/(2*9.81)+B13+0.5*(((DATOS!$B$27*C13/(DATOS!$B$14*E13))^2/((DATOS!$B$14*E13)/(DATOS!$B$14+2*E13))^(4/3))+((DATOS!$B$27*C14/(DATOS!$B$14*((R14+S14)/2)))^2/((DATOS!$B$14*((R14+S14)/2))/(DATOS!$B$14+2*((R14+S14)/2)))^(4/3)))*(A13-A14)))&lt;0,((R14+S14)/2),R14)</f>
        <v/>
      </c>
      <c r="U14" s="16">
        <f>IF((((R14+S14)/2)+(C14/(DATOS!$B$14*((R14+S14)/2)))^2/(2*9.81)+B14-(E13+(C13/(DATOS!$B$14*E13))^2/(2*9.81)+B13+0.5*(((DATOS!$B$27*C13/(DATOS!$B$14*E13))^2/((DATOS!$B$14*E13)/(DATOS!$B$14+2*E13))^(4/3))+((DATOS!$B$27*C14/(DATOS!$B$14*((R14+S14)/2)))^2/((DATOS!$B$14*((R14+S14)/2))/(DATOS!$B$14+2*((R14+S14)/2)))^(4/3)))*(A13-A14)))&lt;0,S14,((R14+S14)/2))</f>
        <v/>
      </c>
      <c r="V14" s="16">
        <f>IF((((T14+U14)/2)+(C14/(DATOS!$B$14*((T14+U14)/2)))^2/(2*9.81)+B14-(E13+(C13/(DATOS!$B$14*E13))^2/(2*9.81)+B13+0.5*(((DATOS!$B$27*C13/(DATOS!$B$14*E13))^2/((DATOS!$B$14*E13)/(DATOS!$B$14+2*E13))^(4/3))+((DATOS!$B$27*C14/(DATOS!$B$14*((T14+U14)/2)))^2/((DATOS!$B$14*((T14+U14)/2))/(DATOS!$B$14+2*((T14+U14)/2)))^(4/3)))*(A13-A14)))&lt;0,((T14+U14)/2),T14)</f>
        <v/>
      </c>
      <c r="W14" s="16">
        <f>IF((((T14+U14)/2)+(C14/(DATOS!$B$14*((T14+U14)/2)))^2/(2*9.81)+B14-(E13+(C13/(DATOS!$B$14*E13))^2/(2*9.81)+B13+0.5*(((DATOS!$B$27*C13/(DATOS!$B$14*E13))^2/((DATOS!$B$14*E13)/(DATOS!$B$14+2*E13))^(4/3))+((DATOS!$B$27*C14/(DATOS!$B$14*((T14+U14)/2)))^2/((DATOS!$B$14*((T14+U14)/2))/(DATOS!$B$14+2*((T14+U14)/2)))^(4/3)))*(A13-A14)))&lt;0,U14,((T14+U14)/2))</f>
        <v/>
      </c>
      <c r="X14" s="16">
        <f>IF((((V14+W14)/2)+(C14/(DATOS!$B$14*((V14+W14)/2)))^2/(2*9.81)+B14-(E13+(C13/(DATOS!$B$14*E13))^2/(2*9.81)+B13+0.5*(((DATOS!$B$27*C13/(DATOS!$B$14*E13))^2/((DATOS!$B$14*E13)/(DATOS!$B$14+2*E13))^(4/3))+((DATOS!$B$27*C14/(DATOS!$B$14*((V14+W14)/2)))^2/((DATOS!$B$14*((V14+W14)/2))/(DATOS!$B$14+2*((V14+W14)/2)))^(4/3)))*(A13-A14)))&lt;0,((V14+W14)/2),V14)</f>
        <v/>
      </c>
      <c r="Y14" s="16">
        <f>IF((((V14+W14)/2)+(C14/(DATOS!$B$14*((V14+W14)/2)))^2/(2*9.81)+B14-(E13+(C13/(DATOS!$B$14*E13))^2/(2*9.81)+B13+0.5*(((DATOS!$B$27*C13/(DATOS!$B$14*E13))^2/((DATOS!$B$14*E13)/(DATOS!$B$14+2*E13))^(4/3))+((DATOS!$B$27*C14/(DATOS!$B$14*((V14+W14)/2)))^2/((DATOS!$B$14*((V14+W14)/2))/(DATOS!$B$14+2*((V14+W14)/2)))^(4/3)))*(A13-A14)))&lt;0,W14,((V14+W14)/2))</f>
        <v/>
      </c>
      <c r="Z14" s="16">
        <f>IF((((X14+Y14)/2)+(C14/(DATOS!$B$14*((X14+Y14)/2)))^2/(2*9.81)+B14-(E13+(C13/(DATOS!$B$14*E13))^2/(2*9.81)+B13+0.5*(((DATOS!$B$27*C13/(DATOS!$B$14*E13))^2/((DATOS!$B$14*E13)/(DATOS!$B$14+2*E13))^(4/3))+((DATOS!$B$27*C14/(DATOS!$B$14*((X14+Y14)/2)))^2/((DATOS!$B$14*((X14+Y14)/2))/(DATOS!$B$14+2*((X14+Y14)/2)))^(4/3)))*(A13-A14)))&lt;0,((X14+Y14)/2),X14)</f>
        <v/>
      </c>
      <c r="AA14" s="16">
        <f>IF((((X14+Y14)/2)+(C14/(DATOS!$B$14*((X14+Y14)/2)))^2/(2*9.81)+B14-(E13+(C13/(DATOS!$B$14*E13))^2/(2*9.81)+B13+0.5*(((DATOS!$B$27*C13/(DATOS!$B$14*E13))^2/((DATOS!$B$14*E13)/(DATOS!$B$14+2*E13))^(4/3))+((DATOS!$B$27*C14/(DATOS!$B$14*((X14+Y14)/2)))^2/((DATOS!$B$14*((X14+Y14)/2))/(DATOS!$B$14+2*((X14+Y14)/2)))^(4/3)))*(A13-A14)))&lt;0,Y14,((X14+Y14)/2))</f>
        <v/>
      </c>
      <c r="AB14" s="16">
        <f>IF((((Z14+AA14)/2)+(C14/(DATOS!$B$14*((Z14+AA14)/2)))^2/(2*9.81)+B14-(E13+(C13/(DATOS!$B$14*E13))^2/(2*9.81)+B13+0.5*(((DATOS!$B$27*C13/(DATOS!$B$14*E13))^2/((DATOS!$B$14*E13)/(DATOS!$B$14+2*E13))^(4/3))+((DATOS!$B$27*C14/(DATOS!$B$14*((Z14+AA14)/2)))^2/((DATOS!$B$14*((Z14+AA14)/2))/(DATOS!$B$14+2*((Z14+AA14)/2)))^(4/3)))*(A13-A14)))&lt;0,((Z14+AA14)/2),Z14)</f>
        <v/>
      </c>
      <c r="AC14" s="16">
        <f>IF((((Z14+AA14)/2)+(C14/(DATOS!$B$14*((Z14+AA14)/2)))^2/(2*9.81)+B14-(E13+(C13/(DATOS!$B$14*E13))^2/(2*9.81)+B13+0.5*(((DATOS!$B$27*C13/(DATOS!$B$14*E13))^2/((DATOS!$B$14*E13)/(DATOS!$B$14+2*E13))^(4/3))+((DATOS!$B$27*C14/(DATOS!$B$14*((Z14+AA14)/2)))^2/((DATOS!$B$14*((Z14+AA14)/2))/(DATOS!$B$14+2*((Z14+AA14)/2)))^(4/3)))*(A13-A14)))&lt;0,AA14,((Z14+AA14)/2))</f>
        <v/>
      </c>
      <c r="AD14" s="16">
        <f>IF((((AB14+AC14)/2)+(C14/(DATOS!$B$14*((AB14+AC14)/2)))^2/(2*9.81)+B14-(E13+(C13/(DATOS!$B$14*E13))^2/(2*9.81)+B13+0.5*(((DATOS!$B$27*C13/(DATOS!$B$14*E13))^2/((DATOS!$B$14*E13)/(DATOS!$B$14+2*E13))^(4/3))+((DATOS!$B$27*C14/(DATOS!$B$14*((AB14+AC14)/2)))^2/((DATOS!$B$14*((AB14+AC14)/2))/(DATOS!$B$14+2*((AB14+AC14)/2)))^(4/3)))*(A13-A14)))&lt;0,((AB14+AC14)/2),AB14)</f>
        <v/>
      </c>
      <c r="AE14" s="16">
        <f>IF((((AB14+AC14)/2)+(C14/(DATOS!$B$14*((AB14+AC14)/2)))^2/(2*9.81)+B14-(E13+(C13/(DATOS!$B$14*E13))^2/(2*9.81)+B13+0.5*(((DATOS!$B$27*C13/(DATOS!$B$14*E13))^2/((DATOS!$B$14*E13)/(DATOS!$B$14+2*E13))^(4/3))+((DATOS!$B$27*C14/(DATOS!$B$14*((AB14+AC14)/2)))^2/((DATOS!$B$14*((AB14+AC14)/2))/(DATOS!$B$14+2*((AB14+AC14)/2)))^(4/3)))*(A13-A14)))&lt;0,AC14,((AB14+AC14)/2))</f>
        <v/>
      </c>
      <c r="AF14" s="16">
        <f>IF((((AD14+AE14)/2)+(C14/(DATOS!$B$14*((AD14+AE14)/2)))^2/(2*9.81)+B14-(E13+(C13/(DATOS!$B$14*E13))^2/(2*9.81)+B13+0.5*(((DATOS!$B$27*C13/(DATOS!$B$14*E13))^2/((DATOS!$B$14*E13)/(DATOS!$B$14+2*E13))^(4/3))+((DATOS!$B$27*C14/(DATOS!$B$14*((AD14+AE14)/2)))^2/((DATOS!$B$14*((AD14+AE14)/2))/(DATOS!$B$14+2*((AD14+AE14)/2)))^(4/3)))*(A13-A14)))&lt;0,((AD14+AE14)/2),AD14)</f>
        <v/>
      </c>
      <c r="AG14" s="16">
        <f>IF((((AD14+AE14)/2)+(C14/(DATOS!$B$14*((AD14+AE14)/2)))^2/(2*9.81)+B14-(E13+(C13/(DATOS!$B$14*E13))^2/(2*9.81)+B13+0.5*(((DATOS!$B$27*C13/(DATOS!$B$14*E13))^2/((DATOS!$B$14*E13)/(DATOS!$B$14+2*E13))^(4/3))+((DATOS!$B$27*C14/(DATOS!$B$14*((AD14+AE14)/2)))^2/((DATOS!$B$14*((AD14+AE14)/2))/(DATOS!$B$14+2*((AD14+AE14)/2)))^(4/3)))*(A13-A14)))&lt;0,AE14,((AD14+AE14)/2))</f>
        <v/>
      </c>
      <c r="AH14" s="16">
        <f>IF((((AF14+AG14)/2)+(C14/(DATOS!$B$14*((AF14+AG14)/2)))^2/(2*9.81)+B14-(E13+(C13/(DATOS!$B$14*E13))^2/(2*9.81)+B13+0.5*(((DATOS!$B$27*C13/(DATOS!$B$14*E13))^2/((DATOS!$B$14*E13)/(DATOS!$B$14+2*E13))^(4/3))+((DATOS!$B$27*C14/(DATOS!$B$14*((AF14+AG14)/2)))^2/((DATOS!$B$14*((AF14+AG14)/2))/(DATOS!$B$14+2*((AF14+AG14)/2)))^(4/3)))*(A13-A14)))&lt;0,((AF14+AG14)/2),AF14)</f>
        <v/>
      </c>
      <c r="AI14" s="16">
        <f>IF((((AF14+AG14)/2)+(C14/(DATOS!$B$14*((AF14+AG14)/2)))^2/(2*9.81)+B14-(E13+(C13/(DATOS!$B$14*E13))^2/(2*9.81)+B13+0.5*(((DATOS!$B$27*C13/(DATOS!$B$14*E13))^2/((DATOS!$B$14*E13)/(DATOS!$B$14+2*E13))^(4/3))+((DATOS!$B$27*C14/(DATOS!$B$14*((AF14+AG14)/2)))^2/((DATOS!$B$14*((AF14+AG14)/2))/(DATOS!$B$14+2*((AF14+AG14)/2)))^(4/3)))*(A13-A14)))&lt;0,AG14,((AF14+AG14)/2))</f>
        <v/>
      </c>
      <c r="AJ14" s="16">
        <f>IF((((AH14+AI14)/2)+(C14/(DATOS!$B$14*((AH14+AI14)/2)))^2/(2*9.81)+B14-(E13+(C13/(DATOS!$B$14*E13))^2/(2*9.81)+B13+0.5*(((DATOS!$B$27*C13/(DATOS!$B$14*E13))^2/((DATOS!$B$14*E13)/(DATOS!$B$14+2*E13))^(4/3))+((DATOS!$B$27*C14/(DATOS!$B$14*((AH14+AI14)/2)))^2/((DATOS!$B$14*((AH14+AI14)/2))/(DATOS!$B$14+2*((AH14+AI14)/2)))^(4/3)))*(A13-A14)))&lt;0,((AH14+AI14)/2),AH14)</f>
        <v/>
      </c>
      <c r="AK14" s="16">
        <f>IF((((AH14+AI14)/2)+(C14/(DATOS!$B$14*((AH14+AI14)/2)))^2/(2*9.81)+B14-(E13+(C13/(DATOS!$B$14*E13))^2/(2*9.81)+B13+0.5*(((DATOS!$B$27*C13/(DATOS!$B$14*E13))^2/((DATOS!$B$14*E13)/(DATOS!$B$14+2*E13))^(4/3))+((DATOS!$B$27*C14/(DATOS!$B$14*((AH14+AI14)/2)))^2/((DATOS!$B$14*((AH14+AI14)/2))/(DATOS!$B$14+2*((AH14+AI14)/2)))^(4/3)))*(A13-A14)))&lt;0,AI14,((AH14+AI14)/2))</f>
        <v/>
      </c>
      <c r="AL14" s="16">
        <f>IF((((AJ14+AK14)/2)+(C14/(DATOS!$B$14*((AJ14+AK14)/2)))^2/(2*9.81)+B14-(E13+(C13/(DATOS!$B$14*E13))^2/(2*9.81)+B13+0.5*(((DATOS!$B$27*C13/(DATOS!$B$14*E13))^2/((DATOS!$B$14*E13)/(DATOS!$B$14+2*E13))^(4/3))+((DATOS!$B$27*C14/(DATOS!$B$14*((AJ14+AK14)/2)))^2/((DATOS!$B$14*((AJ14+AK14)/2))/(DATOS!$B$14+2*((AJ14+AK14)/2)))^(4/3)))*(A13-A14)))&lt;0,((AJ14+AK14)/2),AJ14)</f>
        <v/>
      </c>
      <c r="AM14" s="16">
        <f>IF((((AJ14+AK14)/2)+(C14/(DATOS!$B$14*((AJ14+AK14)/2)))^2/(2*9.81)+B14-(E13+(C13/(DATOS!$B$14*E13))^2/(2*9.81)+B13+0.5*(((DATOS!$B$27*C13/(DATOS!$B$14*E13))^2/((DATOS!$B$14*E13)/(DATOS!$B$14+2*E13))^(4/3))+((DATOS!$B$27*C14/(DATOS!$B$14*((AJ14+AK14)/2)))^2/((DATOS!$B$14*((AJ14+AK14)/2))/(DATOS!$B$14+2*((AJ14+AK14)/2)))^(4/3)))*(A13-A14)))&lt;0,AK14,((AJ14+AK14)/2))</f>
        <v/>
      </c>
      <c r="AN14" s="16">
        <f>IF((((AL14+AM14)/2)+(C14/(DATOS!$B$14*((AL14+AM14)/2)))^2/(2*9.81)+B14-(E13+(C13/(DATOS!$B$14*E13))^2/(2*9.81)+B13+0.5*(((DATOS!$B$27*C13/(DATOS!$B$14*E13))^2/((DATOS!$B$14*E13)/(DATOS!$B$14+2*E13))^(4/3))+((DATOS!$B$27*C14/(DATOS!$B$14*((AL14+AM14)/2)))^2/((DATOS!$B$14*((AL14+AM14)/2))/(DATOS!$B$14+2*((AL14+AM14)/2)))^(4/3)))*(A13-A14)))&lt;0,((AL14+AM14)/2),AL14)</f>
        <v/>
      </c>
      <c r="AO14" s="16">
        <f>IF((((AL14+AM14)/2)+(C14/(DATOS!$B$14*((AL14+AM14)/2)))^2/(2*9.81)+B14-(E13+(C13/(DATOS!$B$14*E13))^2/(2*9.81)+B13+0.5*(((DATOS!$B$27*C13/(DATOS!$B$14*E13))^2/((DATOS!$B$14*E13)/(DATOS!$B$14+2*E13))^(4/3))+((DATOS!$B$27*C14/(DATOS!$B$14*((AL14+AM14)/2)))^2/((DATOS!$B$14*((AL14+AM14)/2))/(DATOS!$B$14+2*((AL14+AM14)/2)))^(4/3)))*(A13-A14)))&lt;0,AM14,((AL14+AM14)/2))</f>
        <v/>
      </c>
      <c r="AP14" s="16">
        <f>IF((((AN14+AO14)/2)+(C14/(DATOS!$B$14*((AN14+AO14)/2)))^2/(2*9.81)+B14-(E13+(C13/(DATOS!$B$14*E13))^2/(2*9.81)+B13+0.5*(((DATOS!$B$27*C13/(DATOS!$B$14*E13))^2/((DATOS!$B$14*E13)/(DATOS!$B$14+2*E13))^(4/3))+((DATOS!$B$27*C14/(DATOS!$B$14*((AN14+AO14)/2)))^2/((DATOS!$B$14*((AN14+AO14)/2))/(DATOS!$B$14+2*((AN14+AO14)/2)))^(4/3)))*(A13-A14)))&lt;0,((AN14+AO14)/2),AN14)</f>
        <v/>
      </c>
      <c r="AQ14" s="16">
        <f>IF((((AN14+AO14)/2)+(C14/(DATOS!$B$14*((AN14+AO14)/2)))^2/(2*9.81)+B14-(E13+(C13/(DATOS!$B$14*E13))^2/(2*9.81)+B13+0.5*(((DATOS!$B$27*C13/(DATOS!$B$14*E13))^2/((DATOS!$B$14*E13)/(DATOS!$B$14+2*E13))^(4/3))+((DATOS!$B$27*C14/(DATOS!$B$14*((AN14+AO14)/2)))^2/((DATOS!$B$14*((AN14+AO14)/2))/(DATOS!$B$14+2*((AN14+AO14)/2)))^(4/3)))*(A13-A14)))&lt;0,AO14,((AN14+AO14)/2))</f>
        <v/>
      </c>
      <c r="AR14" s="16">
        <f>IF((((AP14+AQ14)/2)+(C14/(DATOS!$B$14*((AP14+AQ14)/2)))^2/(2*9.81)+B14-(E13+(C13/(DATOS!$B$14*E13))^2/(2*9.81)+B13+0.5*(((DATOS!$B$27*C13/(DATOS!$B$14*E13))^2/((DATOS!$B$14*E13)/(DATOS!$B$14+2*E13))^(4/3))+((DATOS!$B$27*C14/(DATOS!$B$14*((AP14+AQ14)/2)))^2/((DATOS!$B$14*((AP14+AQ14)/2))/(DATOS!$B$14+2*((AP14+AQ14)/2)))^(4/3)))*(A13-A14)))&lt;0,((AP14+AQ14)/2),AP14)</f>
        <v/>
      </c>
      <c r="AS14" s="16">
        <f>IF((((AP14+AQ14)/2)+(C14/(DATOS!$B$14*((AP14+AQ14)/2)))^2/(2*9.81)+B14-(E13+(C13/(DATOS!$B$14*E13))^2/(2*9.81)+B13+0.5*(((DATOS!$B$27*C13/(DATOS!$B$14*E13))^2/((DATOS!$B$14*E13)/(DATOS!$B$14+2*E13))^(4/3))+((DATOS!$B$27*C14/(DATOS!$B$14*((AP14+AQ14)/2)))^2/((DATOS!$B$14*((AP14+AQ14)/2))/(DATOS!$B$14+2*((AP14+AQ14)/2)))^(4/3)))*(A13-A14)))&lt;0,AQ14,((AP14+AQ14)/2))</f>
        <v/>
      </c>
      <c r="AT14" s="16">
        <f>IF((((AR14+AS14)/2)+(C14/(DATOS!$B$14*((AR14+AS14)/2)))^2/(2*9.81)+B14-(E13+(C13/(DATOS!$B$14*E13))^2/(2*9.81)+B13+0.5*(((DATOS!$B$27*C13/(DATOS!$B$14*E13))^2/((DATOS!$B$14*E13)/(DATOS!$B$14+2*E13))^(4/3))+((DATOS!$B$27*C14/(DATOS!$B$14*((AR14+AS14)/2)))^2/((DATOS!$B$14*((AR14+AS14)/2))/(DATOS!$B$14+2*((AR14+AS14)/2)))^(4/3)))*(A13-A14)))&lt;0,((AR14+AS14)/2),AR14)</f>
        <v/>
      </c>
      <c r="AU14" s="16">
        <f>IF((((AR14+AS14)/2)+(C14/(DATOS!$B$14*((AR14+AS14)/2)))^2/(2*9.81)+B14-(E13+(C13/(DATOS!$B$14*E13))^2/(2*9.81)+B13+0.5*(((DATOS!$B$27*C13/(DATOS!$B$14*E13))^2/((DATOS!$B$14*E13)/(DATOS!$B$14+2*E13))^(4/3))+((DATOS!$B$27*C14/(DATOS!$B$14*((AR14+AS14)/2)))^2/((DATOS!$B$14*((AR14+AS14)/2))/(DATOS!$B$14+2*((AR14+AS14)/2)))^(4/3)))*(A13-A14)))&lt;0,AS14,((AR14+AS14)/2))</f>
        <v/>
      </c>
      <c r="AV14" s="16">
        <f>IF((((AT14+AU14)/2)+(C14/(DATOS!$B$14*((AT14+AU14)/2)))^2/(2*9.81)+B14-(E13+(C13/(DATOS!$B$14*E13))^2/(2*9.81)+B13+0.5*(((DATOS!$B$27*C13/(DATOS!$B$14*E13))^2/((DATOS!$B$14*E13)/(DATOS!$B$14+2*E13))^(4/3))+((DATOS!$B$27*C14/(DATOS!$B$14*((AT14+AU14)/2)))^2/((DATOS!$B$14*((AT14+AU14)/2))/(DATOS!$B$14+2*((AT14+AU14)/2)))^(4/3)))*(A13-A14)))&lt;0,((AT14+AU14)/2),AT14)</f>
        <v/>
      </c>
      <c r="AW14" s="16">
        <f>IF((((AT14+AU14)/2)+(C14/(DATOS!$B$14*((AT14+AU14)/2)))^2/(2*9.81)+B14-(E13+(C13/(DATOS!$B$14*E13))^2/(2*9.81)+B13+0.5*(((DATOS!$B$27*C13/(DATOS!$B$14*E13))^2/((DATOS!$B$14*E13)/(DATOS!$B$14+2*E13))^(4/3))+((DATOS!$B$27*C14/(DATOS!$B$14*((AT14+AU14)/2)))^2/((DATOS!$B$14*((AT14+AU14)/2))/(DATOS!$B$14+2*((AT14+AU14)/2)))^(4/3)))*(A13-A14)))&lt;0,AU14,((AT14+AU14)/2))</f>
        <v/>
      </c>
      <c r="AX14" s="16">
        <f>IF((((AV14+AW14)/2)+(C14/(DATOS!$B$14*((AV14+AW14)/2)))^2/(2*9.81)+B14-(E13+(C13/(DATOS!$B$14*E13))^2/(2*9.81)+B13+0.5*(((DATOS!$B$27*C13/(DATOS!$B$14*E13))^2/((DATOS!$B$14*E13)/(DATOS!$B$14+2*E13))^(4/3))+((DATOS!$B$27*C14/(DATOS!$B$14*((AV14+AW14)/2)))^2/((DATOS!$B$14*((AV14+AW14)/2))/(DATOS!$B$14+2*((AV14+AW14)/2)))^(4/3)))*(A13-A14)))&lt;0,((AV14+AW14)/2),AV14)</f>
        <v/>
      </c>
      <c r="AY14" s="16">
        <f>IF((((AV14+AW14)/2)+(C14/(DATOS!$B$14*((AV14+AW14)/2)))^2/(2*9.81)+B14-(E13+(C13/(DATOS!$B$14*E13))^2/(2*9.81)+B13+0.5*(((DATOS!$B$27*C13/(DATOS!$B$14*E13))^2/((DATOS!$B$14*E13)/(DATOS!$B$14+2*E13))^(4/3))+((DATOS!$B$27*C14/(DATOS!$B$14*((AV14+AW14)/2)))^2/((DATOS!$B$14*((AV14+AW14)/2))/(DATOS!$B$14+2*((AV14+AW14)/2)))^(4/3)))*(A13-A14)))&lt;0,AW14,((AV14+AW14)/2))</f>
        <v/>
      </c>
      <c r="AZ14" s="16">
        <f>IF((((AX14+AY14)/2)+(C14/(DATOS!$B$14*((AX14+AY14)/2)))^2/(2*9.81)+B14-(E13+(C13/(DATOS!$B$14*E13))^2/(2*9.81)+B13+0.5*(((DATOS!$B$27*C13/(DATOS!$B$14*E13))^2/((DATOS!$B$14*E13)/(DATOS!$B$14+2*E13))^(4/3))+((DATOS!$B$27*C14/(DATOS!$B$14*((AX14+AY14)/2)))^2/((DATOS!$B$14*((AX14+AY14)/2))/(DATOS!$B$14+2*((AX14+AY14)/2)))^(4/3)))*(A13-A14)))&lt;0,((AX14+AY14)/2),AX14)</f>
        <v/>
      </c>
      <c r="BA14" s="16">
        <f>IF((((AX14+AY14)/2)+(C14/(DATOS!$B$14*((AX14+AY14)/2)))^2/(2*9.81)+B14-(E13+(C13/(DATOS!$B$14*E13))^2/(2*9.81)+B13+0.5*(((DATOS!$B$27*C13/(DATOS!$B$14*E13))^2/((DATOS!$B$14*E13)/(DATOS!$B$14+2*E13))^(4/3))+((DATOS!$B$27*C14/(DATOS!$B$14*((AX14+AY14)/2)))^2/((DATOS!$B$14*((AX14+AY14)/2))/(DATOS!$B$14+2*((AX14+AY14)/2)))^(4/3)))*(A13-A14)))&lt;0,AY14,((AX14+AY14)/2))</f>
        <v/>
      </c>
      <c r="BB14" s="16">
        <f>IF((((AZ14+BA14)/2)+(C14/(DATOS!$B$14*((AZ14+BA14)/2)))^2/(2*9.81)+B14-(E13+(C13/(DATOS!$B$14*E13))^2/(2*9.81)+B13+0.5*(((DATOS!$B$27*C13/(DATOS!$B$14*E13))^2/((DATOS!$B$14*E13)/(DATOS!$B$14+2*E13))^(4/3))+((DATOS!$B$27*C14/(DATOS!$B$14*((AZ14+BA14)/2)))^2/((DATOS!$B$14*((AZ14+BA14)/2))/(DATOS!$B$14+2*((AZ14+BA14)/2)))^(4/3)))*(A13-A14)))&lt;0,((AZ14+BA14)/2),AZ14)</f>
        <v/>
      </c>
      <c r="BC14" s="16">
        <f>IF((((AZ14+BA14)/2)+(C14/(DATOS!$B$14*((AZ14+BA14)/2)))^2/(2*9.81)+B14-(E13+(C13/(DATOS!$B$14*E13))^2/(2*9.81)+B13+0.5*(((DATOS!$B$27*C13/(DATOS!$B$14*E13))^2/((DATOS!$B$14*E13)/(DATOS!$B$14+2*E13))^(4/3))+((DATOS!$B$27*C14/(DATOS!$B$14*((AZ14+BA14)/2)))^2/((DATOS!$B$14*((AZ14+BA14)/2))/(DATOS!$B$14+2*((AZ14+BA14)/2)))^(4/3)))*(A13-A14)))&lt;0,BA14,((AZ14+BA14)/2))</f>
        <v/>
      </c>
      <c r="BD14" s="16">
        <f>IF((((BB14+BC14)/2)+(C14/(DATOS!$B$14*((BB14+BC14)/2)))^2/(2*9.81)+B14-(E13+(C13/(DATOS!$B$14*E13))^2/(2*9.81)+B13+0.5*(((DATOS!$B$27*C13/(DATOS!$B$14*E13))^2/((DATOS!$B$14*E13)/(DATOS!$B$14+2*E13))^(4/3))+((DATOS!$B$27*C14/(DATOS!$B$14*((BB14+BC14)/2)))^2/((DATOS!$B$14*((BB14+BC14)/2))/(DATOS!$B$14+2*((BB14+BC14)/2)))^(4/3)))*(A13-A14)))&lt;0,((BB14+BC14)/2),BB14)</f>
        <v/>
      </c>
      <c r="BE14" s="16">
        <f>IF((((BB14+BC14)/2)+(C14/(DATOS!$B$14*((BB14+BC14)/2)))^2/(2*9.81)+B14-(E13+(C13/(DATOS!$B$14*E13))^2/(2*9.81)+B13+0.5*(((DATOS!$B$27*C13/(DATOS!$B$14*E13))^2/((DATOS!$B$14*E13)/(DATOS!$B$14+2*E13))^(4/3))+((DATOS!$B$27*C14/(DATOS!$B$14*((BB14+BC14)/2)))^2/((DATOS!$B$14*((BB14+BC14)/2))/(DATOS!$B$14+2*((BB14+BC14)/2)))^(4/3)))*(A13-A14)))&lt;0,BC14,((BB14+BC14)/2))</f>
        <v/>
      </c>
      <c r="BF14" s="16">
        <f>IF((((BD14+BE14)/2)+(C14/(DATOS!$B$14*((BD14+BE14)/2)))^2/(2*9.81)+B14-(E13+(C13/(DATOS!$B$14*E13))^2/(2*9.81)+B13+0.5*(((DATOS!$B$27*C13/(DATOS!$B$14*E13))^2/((DATOS!$B$14*E13)/(DATOS!$B$14+2*E13))^(4/3))+((DATOS!$B$27*C14/(DATOS!$B$14*((BD14+BE14)/2)))^2/((DATOS!$B$14*((BD14+BE14)/2))/(DATOS!$B$14+2*((BD14+BE14)/2)))^(4/3)))*(A13-A14)))&lt;0,((BD14+BE14)/2),BD14)</f>
        <v/>
      </c>
      <c r="BG14" s="16">
        <f>IF((((BD14+BE14)/2)+(C14/(DATOS!$B$14*((BD14+BE14)/2)))^2/(2*9.81)+B14-(E13+(C13/(DATOS!$B$14*E13))^2/(2*9.81)+B13+0.5*(((DATOS!$B$27*C13/(DATOS!$B$14*E13))^2/((DATOS!$B$14*E13)/(DATOS!$B$14+2*E13))^(4/3))+((DATOS!$B$27*C14/(DATOS!$B$14*((BD14+BE14)/2)))^2/((DATOS!$B$14*((BD14+BE14)/2))/(DATOS!$B$14+2*((BD14+BE14)/2)))^(4/3)))*(A13-A14)))&lt;0,BE14,((BD14+BE14)/2))</f>
        <v/>
      </c>
      <c r="BH14" s="16">
        <f>IF((((BF14+BG14)/2)+(C14/(DATOS!$B$14*((BF14+BG14)/2)))^2/(2*9.81)+B14-(E13+(C13/(DATOS!$B$14*E13))^2/(2*9.81)+B13+0.5*(((DATOS!$B$27*C13/(DATOS!$B$14*E13))^2/((DATOS!$B$14*E13)/(DATOS!$B$14+2*E13))^(4/3))+((DATOS!$B$27*C14/(DATOS!$B$14*((BF14+BG14)/2)))^2/((DATOS!$B$14*((BF14+BG14)/2))/(DATOS!$B$14+2*((BF14+BG14)/2)))^(4/3)))*(A13-A14)))&lt;0,((BF14+BG14)/2),BF14)</f>
        <v/>
      </c>
      <c r="BI14" s="16">
        <f>IF((((BF14+BG14)/2)+(C14/(DATOS!$B$14*((BF14+BG14)/2)))^2/(2*9.81)+B14-(E13+(C13/(DATOS!$B$14*E13))^2/(2*9.81)+B13+0.5*(((DATOS!$B$27*C13/(DATOS!$B$14*E13))^2/((DATOS!$B$14*E13)/(DATOS!$B$14+2*E13))^(4/3))+((DATOS!$B$27*C14/(DATOS!$B$14*((BF14+BG14)/2)))^2/((DATOS!$B$14*((BF14+BG14)/2))/(DATOS!$B$14+2*((BF14+BG14)/2)))^(4/3)))*(A13-A14)))&lt;0,BG14,((BF14+BG14)/2))</f>
        <v/>
      </c>
      <c r="BJ14" s="16">
        <f>IF((((BH14+BI14)/2)+(C14/(DATOS!$B$14*((BH14+BI14)/2)))^2/(2*9.81)+B14-(E13+(C13/(DATOS!$B$14*E13))^2/(2*9.81)+B13+0.5*(((DATOS!$B$27*C13/(DATOS!$B$14*E13))^2/((DATOS!$B$14*E13)/(DATOS!$B$14+2*E13))^(4/3))+((DATOS!$B$27*C14/(DATOS!$B$14*((BH14+BI14)/2)))^2/((DATOS!$B$14*((BH14+BI14)/2))/(DATOS!$B$14+2*((BH14+BI14)/2)))^(4/3)))*(A13-A14)))&lt;0,((BH14+BI14)/2),BH14)</f>
        <v/>
      </c>
      <c r="BK14" s="16">
        <f>IF((((BH14+BI14)/2)+(C14/(DATOS!$B$14*((BH14+BI14)/2)))^2/(2*9.81)+B14-(E13+(C13/(DATOS!$B$14*E13))^2/(2*9.81)+B13+0.5*(((DATOS!$B$27*C13/(DATOS!$B$14*E13))^2/((DATOS!$B$14*E13)/(DATOS!$B$14+2*E13))^(4/3))+((DATOS!$B$27*C14/(DATOS!$B$14*((BH14+BI14)/2)))^2/((DATOS!$B$14*((BH14+BI14)/2))/(DATOS!$B$14+2*((BH14+BI14)/2)))^(4/3)))*(A13-A14)))&lt;0,BI14,((BH14+BI14)/2))</f>
        <v/>
      </c>
      <c r="BL14" s="16">
        <f>IF((((BJ14+BK14)/2)+(C14/(DATOS!$B$14*((BJ14+BK14)/2)))^2/(2*9.81)+B14-(E13+(C13/(DATOS!$B$14*E13))^2/(2*9.81)+B13+0.5*(((DATOS!$B$27*C13/(DATOS!$B$14*E13))^2/((DATOS!$B$14*E13)/(DATOS!$B$14+2*E13))^(4/3))+((DATOS!$B$27*C14/(DATOS!$B$14*((BJ14+BK14)/2)))^2/((DATOS!$B$14*((BJ14+BK14)/2))/(DATOS!$B$14+2*((BJ14+BK14)/2)))^(4/3)))*(A13-A14)))&lt;0,((BJ14+BK14)/2),BJ14)</f>
        <v/>
      </c>
      <c r="BM14" s="16">
        <f>IF((((BJ14+BK14)/2)+(C14/(DATOS!$B$14*((BJ14+BK14)/2)))^2/(2*9.81)+B14-(E13+(C13/(DATOS!$B$14*E13))^2/(2*9.81)+B13+0.5*(((DATOS!$B$27*C13/(DATOS!$B$14*E13))^2/((DATOS!$B$14*E13)/(DATOS!$B$14+2*E13))^(4/3))+((DATOS!$B$27*C14/(DATOS!$B$14*((BJ14+BK14)/2)))^2/((DATOS!$B$14*((BJ14+BK14)/2))/(DATOS!$B$14+2*((BJ14+BK14)/2)))^(4/3)))*(A13-A14)))&lt;0,BK14,((BJ14+BK14)/2))</f>
        <v/>
      </c>
      <c r="BN14" s="16">
        <f>IF((((BL14+BM14)/2)+(C14/(DATOS!$B$14*((BL14+BM14)/2)))^2/(2*9.81)+B14-(E13+(C13/(DATOS!$B$14*E13))^2/(2*9.81)+B13+0.5*(((DATOS!$B$27*C13/(DATOS!$B$14*E13))^2/((DATOS!$B$14*E13)/(DATOS!$B$14+2*E13))^(4/3))+((DATOS!$B$27*C14/(DATOS!$B$14*((BL14+BM14)/2)))^2/((DATOS!$B$14*((BL14+BM14)/2))/(DATOS!$B$14+2*((BL14+BM14)/2)))^(4/3)))*(A13-A14)))&lt;0,((BL14+BM14)/2),BL14)</f>
        <v/>
      </c>
      <c r="BO14" s="16">
        <f>IF((((BL14+BM14)/2)+(C14/(DATOS!$B$14*((BL14+BM14)/2)))^2/(2*9.81)+B14-(E13+(C13/(DATOS!$B$14*E13))^2/(2*9.81)+B13+0.5*(((DATOS!$B$27*C13/(DATOS!$B$14*E13))^2/((DATOS!$B$14*E13)/(DATOS!$B$14+2*E13))^(4/3))+((DATOS!$B$27*C14/(DATOS!$B$14*((BL14+BM14)/2)))^2/((DATOS!$B$14*((BL14+BM14)/2))/(DATOS!$B$14+2*((BL14+BM14)/2)))^(4/3)))*(A13-A14)))&lt;0,BM14,((BL14+BM14)/2))</f>
        <v/>
      </c>
      <c r="BP14" s="16">
        <f>IF((((BN14+BO14)/2)+(C14/(DATOS!$B$14*((BN14+BO14)/2)))^2/(2*9.81)+B14-(E13+(C13/(DATOS!$B$14*E13))^2/(2*9.81)+B13+0.5*(((DATOS!$B$27*C13/(DATOS!$B$14*E13))^2/((DATOS!$B$14*E13)/(DATOS!$B$14+2*E13))^(4/3))+((DATOS!$B$27*C14/(DATOS!$B$14*((BN14+BO14)/2)))^2/((DATOS!$B$14*((BN14+BO14)/2))/(DATOS!$B$14+2*((BN14+BO14)/2)))^(4/3)))*(A13-A14)))&lt;0,((BN14+BO14)/2),BN14)</f>
        <v/>
      </c>
      <c r="BQ14" s="16">
        <f>IF((((BN14+BO14)/2)+(C14/(DATOS!$B$14*((BN14+BO14)/2)))^2/(2*9.81)+B14-(E13+(C13/(DATOS!$B$14*E13))^2/(2*9.81)+B13+0.5*(((DATOS!$B$27*C13/(DATOS!$B$14*E13))^2/((DATOS!$B$14*E13)/(DATOS!$B$14+2*E13))^(4/3))+((DATOS!$B$27*C14/(DATOS!$B$14*((BN14+BO14)/2)))^2/((DATOS!$B$14*((BN14+BO14)/2))/(DATOS!$B$14+2*((BN14+BO14)/2)))^(4/3)))*(A13-A14)))&lt;0,BO14,((BN14+BO14)/2))</f>
        <v/>
      </c>
      <c r="BR14" s="16">
        <f>IF((((BP14+BQ14)/2)+(C14/(DATOS!$B$14*((BP14+BQ14)/2)))^2/(2*9.81)+B14-(E13+(C13/(DATOS!$B$14*E13))^2/(2*9.81)+B13+0.5*(((DATOS!$B$27*C13/(DATOS!$B$14*E13))^2/((DATOS!$B$14*E13)/(DATOS!$B$14+2*E13))^(4/3))+((DATOS!$B$27*C14/(DATOS!$B$14*((BP14+BQ14)/2)))^2/((DATOS!$B$14*((BP14+BQ14)/2))/(DATOS!$B$14+2*((BP14+BQ14)/2)))^(4/3)))*(A13-A14)))&lt;0,((BP14+BQ14)/2),BP14)</f>
        <v/>
      </c>
      <c r="BS14" s="16">
        <f>IF((((BP14+BQ14)/2)+(C14/(DATOS!$B$14*((BP14+BQ14)/2)))^2/(2*9.81)+B14-(E13+(C13/(DATOS!$B$14*E13))^2/(2*9.81)+B13+0.5*(((DATOS!$B$27*C13/(DATOS!$B$14*E13))^2/((DATOS!$B$14*E13)/(DATOS!$B$14+2*E13))^(4/3))+((DATOS!$B$27*C14/(DATOS!$B$14*((BP14+BQ14)/2)))^2/((DATOS!$B$14*((BP14+BQ14)/2))/(DATOS!$B$14+2*((BP14+BQ14)/2)))^(4/3)))*(A13-A14)))&lt;0,BQ14,((BP14+BQ14)/2))</f>
        <v/>
      </c>
      <c r="BT14" s="16">
        <f>IF((((BR14+BS14)/2)+(C14/(DATOS!$B$14*((BR14+BS14)/2)))^2/(2*9.81)+B14-(E13+(C13/(DATOS!$B$14*E13))^2/(2*9.81)+B13+0.5*(((DATOS!$B$27*C13/(DATOS!$B$14*E13))^2/((DATOS!$B$14*E13)/(DATOS!$B$14+2*E13))^(4/3))+((DATOS!$B$27*C14/(DATOS!$B$14*((BR14+BS14)/2)))^2/((DATOS!$B$14*((BR14+BS14)/2))/(DATOS!$B$14+2*((BR14+BS14)/2)))^(4/3)))*(A13-A14)))&lt;0,((BR14+BS14)/2),BR14)</f>
        <v/>
      </c>
      <c r="BU14" s="16">
        <f>IF((((BR14+BS14)/2)+(C14/(DATOS!$B$14*((BR14+BS14)/2)))^2/(2*9.81)+B14-(E13+(C13/(DATOS!$B$14*E13))^2/(2*9.81)+B13+0.5*(((DATOS!$B$27*C13/(DATOS!$B$14*E13))^2/((DATOS!$B$14*E13)/(DATOS!$B$14+2*E13))^(4/3))+((DATOS!$B$27*C14/(DATOS!$B$14*((BR14+BS14)/2)))^2/((DATOS!$B$14*((BR14+BS14)/2))/(DATOS!$B$14+2*((BR14+BS14)/2)))^(4/3)))*(A13-A14)))&lt;0,BS14,((BR14+BS14)/2))</f>
        <v/>
      </c>
    </row>
    <row r="15">
      <c r="A15" s="30" t="n">
        <v>120</v>
      </c>
      <c r="B15" s="21">
        <f>DATOS!$B$16-DATOS!$B$19*A15</f>
        <v/>
      </c>
      <c r="C15" s="21">
        <f>IF(A15&lt;CAUDALES!$B$13,CAUDALES!$D$12,IF(A15&lt;CAUDALES!$B$14,CAUDALES!$D$13,IF(A15&lt;CAUDALES!$B$15,CAUDALES!$D$14,CAUDALES!$D$15)))/1000</f>
        <v/>
      </c>
      <c r="D15" s="21">
        <f>(C15^2/(9.81*DATOS!$B$14^2))^(1/3)</f>
        <v/>
      </c>
      <c r="E15" s="29">
        <f>(BT15+BU15)/2</f>
        <v/>
      </c>
      <c r="F15" s="21">
        <f>B15+E15</f>
        <v/>
      </c>
      <c r="G15" s="17">
        <f>C15/(DATOS!$B$14*E15)</f>
        <v/>
      </c>
      <c r="H15" s="17">
        <f>G15/SQRT(9.81*E15)</f>
        <v/>
      </c>
      <c r="I15" s="21">
        <f>IF(A15&lt;=DATOS!$B$20,DATOS!$B$21-IF(AND(A15&gt;=DATOS!$B$23,A15&lt;DATOS!$B$24),DATOS!$B$25,DATOS!$B$22),B15+DATOS!$B$26)</f>
        <v/>
      </c>
      <c r="J15" s="17">
        <f>I15-B15</f>
        <v/>
      </c>
      <c r="K15" s="31">
        <f>E15/J15</f>
        <v/>
      </c>
      <c r="L15" s="21">
        <f>I15-F15</f>
        <v/>
      </c>
      <c r="M15" s="32">
        <f>IF(AND(K15&lt;=DATOS!$B$29,L15&gt;=DATOS!$B$30),"CUMPLE","NO CUMPLE")</f>
        <v/>
      </c>
      <c r="N15" s="13">
        <f>IF(A15&gt;DATOS!$B$20,"cubierto - tramo final",IF(AND(A15&gt;=DATOS!$B$23,A15&lt;DATOS!$B$24),"cubierto - camiones","cubierto"))</f>
        <v/>
      </c>
      <c r="P15" s="16">
        <f>D15*1.001</f>
        <v/>
      </c>
      <c r="Q15" s="16" t="n">
        <v>2</v>
      </c>
      <c r="R15" s="16">
        <f>IF((((P15+Q15)/2)+(C15/(DATOS!$B$14*((P15+Q15)/2)))^2/(2*9.81)+B15-(E14+(C14/(DATOS!$B$14*E14))^2/(2*9.81)+B14+0.5*(((DATOS!$B$27*C14/(DATOS!$B$14*E14))^2/((DATOS!$B$14*E14)/(DATOS!$B$14+2*E14))^(4/3))+((DATOS!$B$27*C15/(DATOS!$B$14*((P15+Q15)/2)))^2/((DATOS!$B$14*((P15+Q15)/2))/(DATOS!$B$14+2*((P15+Q15)/2)))^(4/3)))*(A14-A15)))&lt;0,((P15+Q15)/2),P15)</f>
        <v/>
      </c>
      <c r="S15" s="16">
        <f>IF((((P15+Q15)/2)+(C15/(DATOS!$B$14*((P15+Q15)/2)))^2/(2*9.81)+B15-(E14+(C14/(DATOS!$B$14*E14))^2/(2*9.81)+B14+0.5*(((DATOS!$B$27*C14/(DATOS!$B$14*E14))^2/((DATOS!$B$14*E14)/(DATOS!$B$14+2*E14))^(4/3))+((DATOS!$B$27*C15/(DATOS!$B$14*((P15+Q15)/2)))^2/((DATOS!$B$14*((P15+Q15)/2))/(DATOS!$B$14+2*((P15+Q15)/2)))^(4/3)))*(A14-A15)))&lt;0,Q15,((P15+Q15)/2))</f>
        <v/>
      </c>
      <c r="T15" s="16">
        <f>IF((((R15+S15)/2)+(C15/(DATOS!$B$14*((R15+S15)/2)))^2/(2*9.81)+B15-(E14+(C14/(DATOS!$B$14*E14))^2/(2*9.81)+B14+0.5*(((DATOS!$B$27*C14/(DATOS!$B$14*E14))^2/((DATOS!$B$14*E14)/(DATOS!$B$14+2*E14))^(4/3))+((DATOS!$B$27*C15/(DATOS!$B$14*((R15+S15)/2)))^2/((DATOS!$B$14*((R15+S15)/2))/(DATOS!$B$14+2*((R15+S15)/2)))^(4/3)))*(A14-A15)))&lt;0,((R15+S15)/2),R15)</f>
        <v/>
      </c>
      <c r="U15" s="16">
        <f>IF((((R15+S15)/2)+(C15/(DATOS!$B$14*((R15+S15)/2)))^2/(2*9.81)+B15-(E14+(C14/(DATOS!$B$14*E14))^2/(2*9.81)+B14+0.5*(((DATOS!$B$27*C14/(DATOS!$B$14*E14))^2/((DATOS!$B$14*E14)/(DATOS!$B$14+2*E14))^(4/3))+((DATOS!$B$27*C15/(DATOS!$B$14*((R15+S15)/2)))^2/((DATOS!$B$14*((R15+S15)/2))/(DATOS!$B$14+2*((R15+S15)/2)))^(4/3)))*(A14-A15)))&lt;0,S15,((R15+S15)/2))</f>
        <v/>
      </c>
      <c r="V15" s="16">
        <f>IF((((T15+U15)/2)+(C15/(DATOS!$B$14*((T15+U15)/2)))^2/(2*9.81)+B15-(E14+(C14/(DATOS!$B$14*E14))^2/(2*9.81)+B14+0.5*(((DATOS!$B$27*C14/(DATOS!$B$14*E14))^2/((DATOS!$B$14*E14)/(DATOS!$B$14+2*E14))^(4/3))+((DATOS!$B$27*C15/(DATOS!$B$14*((T15+U15)/2)))^2/((DATOS!$B$14*((T15+U15)/2))/(DATOS!$B$14+2*((T15+U15)/2)))^(4/3)))*(A14-A15)))&lt;0,((T15+U15)/2),T15)</f>
        <v/>
      </c>
      <c r="W15" s="16">
        <f>IF((((T15+U15)/2)+(C15/(DATOS!$B$14*((T15+U15)/2)))^2/(2*9.81)+B15-(E14+(C14/(DATOS!$B$14*E14))^2/(2*9.81)+B14+0.5*(((DATOS!$B$27*C14/(DATOS!$B$14*E14))^2/((DATOS!$B$14*E14)/(DATOS!$B$14+2*E14))^(4/3))+((DATOS!$B$27*C15/(DATOS!$B$14*((T15+U15)/2)))^2/((DATOS!$B$14*((T15+U15)/2))/(DATOS!$B$14+2*((T15+U15)/2)))^(4/3)))*(A14-A15)))&lt;0,U15,((T15+U15)/2))</f>
        <v/>
      </c>
      <c r="X15" s="16">
        <f>IF((((V15+W15)/2)+(C15/(DATOS!$B$14*((V15+W15)/2)))^2/(2*9.81)+B15-(E14+(C14/(DATOS!$B$14*E14))^2/(2*9.81)+B14+0.5*(((DATOS!$B$27*C14/(DATOS!$B$14*E14))^2/((DATOS!$B$14*E14)/(DATOS!$B$14+2*E14))^(4/3))+((DATOS!$B$27*C15/(DATOS!$B$14*((V15+W15)/2)))^2/((DATOS!$B$14*((V15+W15)/2))/(DATOS!$B$14+2*((V15+W15)/2)))^(4/3)))*(A14-A15)))&lt;0,((V15+W15)/2),V15)</f>
        <v/>
      </c>
      <c r="Y15" s="16">
        <f>IF((((V15+W15)/2)+(C15/(DATOS!$B$14*((V15+W15)/2)))^2/(2*9.81)+B15-(E14+(C14/(DATOS!$B$14*E14))^2/(2*9.81)+B14+0.5*(((DATOS!$B$27*C14/(DATOS!$B$14*E14))^2/((DATOS!$B$14*E14)/(DATOS!$B$14+2*E14))^(4/3))+((DATOS!$B$27*C15/(DATOS!$B$14*((V15+W15)/2)))^2/((DATOS!$B$14*((V15+W15)/2))/(DATOS!$B$14+2*((V15+W15)/2)))^(4/3)))*(A14-A15)))&lt;0,W15,((V15+W15)/2))</f>
        <v/>
      </c>
      <c r="Z15" s="16">
        <f>IF((((X15+Y15)/2)+(C15/(DATOS!$B$14*((X15+Y15)/2)))^2/(2*9.81)+B15-(E14+(C14/(DATOS!$B$14*E14))^2/(2*9.81)+B14+0.5*(((DATOS!$B$27*C14/(DATOS!$B$14*E14))^2/((DATOS!$B$14*E14)/(DATOS!$B$14+2*E14))^(4/3))+((DATOS!$B$27*C15/(DATOS!$B$14*((X15+Y15)/2)))^2/((DATOS!$B$14*((X15+Y15)/2))/(DATOS!$B$14+2*((X15+Y15)/2)))^(4/3)))*(A14-A15)))&lt;0,((X15+Y15)/2),X15)</f>
        <v/>
      </c>
      <c r="AA15" s="16">
        <f>IF((((X15+Y15)/2)+(C15/(DATOS!$B$14*((X15+Y15)/2)))^2/(2*9.81)+B15-(E14+(C14/(DATOS!$B$14*E14))^2/(2*9.81)+B14+0.5*(((DATOS!$B$27*C14/(DATOS!$B$14*E14))^2/((DATOS!$B$14*E14)/(DATOS!$B$14+2*E14))^(4/3))+((DATOS!$B$27*C15/(DATOS!$B$14*((X15+Y15)/2)))^2/((DATOS!$B$14*((X15+Y15)/2))/(DATOS!$B$14+2*((X15+Y15)/2)))^(4/3)))*(A14-A15)))&lt;0,Y15,((X15+Y15)/2))</f>
        <v/>
      </c>
      <c r="AB15" s="16">
        <f>IF((((Z15+AA15)/2)+(C15/(DATOS!$B$14*((Z15+AA15)/2)))^2/(2*9.81)+B15-(E14+(C14/(DATOS!$B$14*E14))^2/(2*9.81)+B14+0.5*(((DATOS!$B$27*C14/(DATOS!$B$14*E14))^2/((DATOS!$B$14*E14)/(DATOS!$B$14+2*E14))^(4/3))+((DATOS!$B$27*C15/(DATOS!$B$14*((Z15+AA15)/2)))^2/((DATOS!$B$14*((Z15+AA15)/2))/(DATOS!$B$14+2*((Z15+AA15)/2)))^(4/3)))*(A14-A15)))&lt;0,((Z15+AA15)/2),Z15)</f>
        <v/>
      </c>
      <c r="AC15" s="16">
        <f>IF((((Z15+AA15)/2)+(C15/(DATOS!$B$14*((Z15+AA15)/2)))^2/(2*9.81)+B15-(E14+(C14/(DATOS!$B$14*E14))^2/(2*9.81)+B14+0.5*(((DATOS!$B$27*C14/(DATOS!$B$14*E14))^2/((DATOS!$B$14*E14)/(DATOS!$B$14+2*E14))^(4/3))+((DATOS!$B$27*C15/(DATOS!$B$14*((Z15+AA15)/2)))^2/((DATOS!$B$14*((Z15+AA15)/2))/(DATOS!$B$14+2*((Z15+AA15)/2)))^(4/3)))*(A14-A15)))&lt;0,AA15,((Z15+AA15)/2))</f>
        <v/>
      </c>
      <c r="AD15" s="16">
        <f>IF((((AB15+AC15)/2)+(C15/(DATOS!$B$14*((AB15+AC15)/2)))^2/(2*9.81)+B15-(E14+(C14/(DATOS!$B$14*E14))^2/(2*9.81)+B14+0.5*(((DATOS!$B$27*C14/(DATOS!$B$14*E14))^2/((DATOS!$B$14*E14)/(DATOS!$B$14+2*E14))^(4/3))+((DATOS!$B$27*C15/(DATOS!$B$14*((AB15+AC15)/2)))^2/((DATOS!$B$14*((AB15+AC15)/2))/(DATOS!$B$14+2*((AB15+AC15)/2)))^(4/3)))*(A14-A15)))&lt;0,((AB15+AC15)/2),AB15)</f>
        <v/>
      </c>
      <c r="AE15" s="16">
        <f>IF((((AB15+AC15)/2)+(C15/(DATOS!$B$14*((AB15+AC15)/2)))^2/(2*9.81)+B15-(E14+(C14/(DATOS!$B$14*E14))^2/(2*9.81)+B14+0.5*(((DATOS!$B$27*C14/(DATOS!$B$14*E14))^2/((DATOS!$B$14*E14)/(DATOS!$B$14+2*E14))^(4/3))+((DATOS!$B$27*C15/(DATOS!$B$14*((AB15+AC15)/2)))^2/((DATOS!$B$14*((AB15+AC15)/2))/(DATOS!$B$14+2*((AB15+AC15)/2)))^(4/3)))*(A14-A15)))&lt;0,AC15,((AB15+AC15)/2))</f>
        <v/>
      </c>
      <c r="AF15" s="16">
        <f>IF((((AD15+AE15)/2)+(C15/(DATOS!$B$14*((AD15+AE15)/2)))^2/(2*9.81)+B15-(E14+(C14/(DATOS!$B$14*E14))^2/(2*9.81)+B14+0.5*(((DATOS!$B$27*C14/(DATOS!$B$14*E14))^2/((DATOS!$B$14*E14)/(DATOS!$B$14+2*E14))^(4/3))+((DATOS!$B$27*C15/(DATOS!$B$14*((AD15+AE15)/2)))^2/((DATOS!$B$14*((AD15+AE15)/2))/(DATOS!$B$14+2*((AD15+AE15)/2)))^(4/3)))*(A14-A15)))&lt;0,((AD15+AE15)/2),AD15)</f>
        <v/>
      </c>
      <c r="AG15" s="16">
        <f>IF((((AD15+AE15)/2)+(C15/(DATOS!$B$14*((AD15+AE15)/2)))^2/(2*9.81)+B15-(E14+(C14/(DATOS!$B$14*E14))^2/(2*9.81)+B14+0.5*(((DATOS!$B$27*C14/(DATOS!$B$14*E14))^2/((DATOS!$B$14*E14)/(DATOS!$B$14+2*E14))^(4/3))+((DATOS!$B$27*C15/(DATOS!$B$14*((AD15+AE15)/2)))^2/((DATOS!$B$14*((AD15+AE15)/2))/(DATOS!$B$14+2*((AD15+AE15)/2)))^(4/3)))*(A14-A15)))&lt;0,AE15,((AD15+AE15)/2))</f>
        <v/>
      </c>
      <c r="AH15" s="16">
        <f>IF((((AF15+AG15)/2)+(C15/(DATOS!$B$14*((AF15+AG15)/2)))^2/(2*9.81)+B15-(E14+(C14/(DATOS!$B$14*E14))^2/(2*9.81)+B14+0.5*(((DATOS!$B$27*C14/(DATOS!$B$14*E14))^2/((DATOS!$B$14*E14)/(DATOS!$B$14+2*E14))^(4/3))+((DATOS!$B$27*C15/(DATOS!$B$14*((AF15+AG15)/2)))^2/((DATOS!$B$14*((AF15+AG15)/2))/(DATOS!$B$14+2*((AF15+AG15)/2)))^(4/3)))*(A14-A15)))&lt;0,((AF15+AG15)/2),AF15)</f>
        <v/>
      </c>
      <c r="AI15" s="16">
        <f>IF((((AF15+AG15)/2)+(C15/(DATOS!$B$14*((AF15+AG15)/2)))^2/(2*9.81)+B15-(E14+(C14/(DATOS!$B$14*E14))^2/(2*9.81)+B14+0.5*(((DATOS!$B$27*C14/(DATOS!$B$14*E14))^2/((DATOS!$B$14*E14)/(DATOS!$B$14+2*E14))^(4/3))+((DATOS!$B$27*C15/(DATOS!$B$14*((AF15+AG15)/2)))^2/((DATOS!$B$14*((AF15+AG15)/2))/(DATOS!$B$14+2*((AF15+AG15)/2)))^(4/3)))*(A14-A15)))&lt;0,AG15,((AF15+AG15)/2))</f>
        <v/>
      </c>
      <c r="AJ15" s="16">
        <f>IF((((AH15+AI15)/2)+(C15/(DATOS!$B$14*((AH15+AI15)/2)))^2/(2*9.81)+B15-(E14+(C14/(DATOS!$B$14*E14))^2/(2*9.81)+B14+0.5*(((DATOS!$B$27*C14/(DATOS!$B$14*E14))^2/((DATOS!$B$14*E14)/(DATOS!$B$14+2*E14))^(4/3))+((DATOS!$B$27*C15/(DATOS!$B$14*((AH15+AI15)/2)))^2/((DATOS!$B$14*((AH15+AI15)/2))/(DATOS!$B$14+2*((AH15+AI15)/2)))^(4/3)))*(A14-A15)))&lt;0,((AH15+AI15)/2),AH15)</f>
        <v/>
      </c>
      <c r="AK15" s="16">
        <f>IF((((AH15+AI15)/2)+(C15/(DATOS!$B$14*((AH15+AI15)/2)))^2/(2*9.81)+B15-(E14+(C14/(DATOS!$B$14*E14))^2/(2*9.81)+B14+0.5*(((DATOS!$B$27*C14/(DATOS!$B$14*E14))^2/((DATOS!$B$14*E14)/(DATOS!$B$14+2*E14))^(4/3))+((DATOS!$B$27*C15/(DATOS!$B$14*((AH15+AI15)/2)))^2/((DATOS!$B$14*((AH15+AI15)/2))/(DATOS!$B$14+2*((AH15+AI15)/2)))^(4/3)))*(A14-A15)))&lt;0,AI15,((AH15+AI15)/2))</f>
        <v/>
      </c>
      <c r="AL15" s="16">
        <f>IF((((AJ15+AK15)/2)+(C15/(DATOS!$B$14*((AJ15+AK15)/2)))^2/(2*9.81)+B15-(E14+(C14/(DATOS!$B$14*E14))^2/(2*9.81)+B14+0.5*(((DATOS!$B$27*C14/(DATOS!$B$14*E14))^2/((DATOS!$B$14*E14)/(DATOS!$B$14+2*E14))^(4/3))+((DATOS!$B$27*C15/(DATOS!$B$14*((AJ15+AK15)/2)))^2/((DATOS!$B$14*((AJ15+AK15)/2))/(DATOS!$B$14+2*((AJ15+AK15)/2)))^(4/3)))*(A14-A15)))&lt;0,((AJ15+AK15)/2),AJ15)</f>
        <v/>
      </c>
      <c r="AM15" s="16">
        <f>IF((((AJ15+AK15)/2)+(C15/(DATOS!$B$14*((AJ15+AK15)/2)))^2/(2*9.81)+B15-(E14+(C14/(DATOS!$B$14*E14))^2/(2*9.81)+B14+0.5*(((DATOS!$B$27*C14/(DATOS!$B$14*E14))^2/((DATOS!$B$14*E14)/(DATOS!$B$14+2*E14))^(4/3))+((DATOS!$B$27*C15/(DATOS!$B$14*((AJ15+AK15)/2)))^2/((DATOS!$B$14*((AJ15+AK15)/2))/(DATOS!$B$14+2*((AJ15+AK15)/2)))^(4/3)))*(A14-A15)))&lt;0,AK15,((AJ15+AK15)/2))</f>
        <v/>
      </c>
      <c r="AN15" s="16">
        <f>IF((((AL15+AM15)/2)+(C15/(DATOS!$B$14*((AL15+AM15)/2)))^2/(2*9.81)+B15-(E14+(C14/(DATOS!$B$14*E14))^2/(2*9.81)+B14+0.5*(((DATOS!$B$27*C14/(DATOS!$B$14*E14))^2/((DATOS!$B$14*E14)/(DATOS!$B$14+2*E14))^(4/3))+((DATOS!$B$27*C15/(DATOS!$B$14*((AL15+AM15)/2)))^2/((DATOS!$B$14*((AL15+AM15)/2))/(DATOS!$B$14+2*((AL15+AM15)/2)))^(4/3)))*(A14-A15)))&lt;0,((AL15+AM15)/2),AL15)</f>
        <v/>
      </c>
      <c r="AO15" s="16">
        <f>IF((((AL15+AM15)/2)+(C15/(DATOS!$B$14*((AL15+AM15)/2)))^2/(2*9.81)+B15-(E14+(C14/(DATOS!$B$14*E14))^2/(2*9.81)+B14+0.5*(((DATOS!$B$27*C14/(DATOS!$B$14*E14))^2/((DATOS!$B$14*E14)/(DATOS!$B$14+2*E14))^(4/3))+((DATOS!$B$27*C15/(DATOS!$B$14*((AL15+AM15)/2)))^2/((DATOS!$B$14*((AL15+AM15)/2))/(DATOS!$B$14+2*((AL15+AM15)/2)))^(4/3)))*(A14-A15)))&lt;0,AM15,((AL15+AM15)/2))</f>
        <v/>
      </c>
      <c r="AP15" s="16">
        <f>IF((((AN15+AO15)/2)+(C15/(DATOS!$B$14*((AN15+AO15)/2)))^2/(2*9.81)+B15-(E14+(C14/(DATOS!$B$14*E14))^2/(2*9.81)+B14+0.5*(((DATOS!$B$27*C14/(DATOS!$B$14*E14))^2/((DATOS!$B$14*E14)/(DATOS!$B$14+2*E14))^(4/3))+((DATOS!$B$27*C15/(DATOS!$B$14*((AN15+AO15)/2)))^2/((DATOS!$B$14*((AN15+AO15)/2))/(DATOS!$B$14+2*((AN15+AO15)/2)))^(4/3)))*(A14-A15)))&lt;0,((AN15+AO15)/2),AN15)</f>
        <v/>
      </c>
      <c r="AQ15" s="16">
        <f>IF((((AN15+AO15)/2)+(C15/(DATOS!$B$14*((AN15+AO15)/2)))^2/(2*9.81)+B15-(E14+(C14/(DATOS!$B$14*E14))^2/(2*9.81)+B14+0.5*(((DATOS!$B$27*C14/(DATOS!$B$14*E14))^2/((DATOS!$B$14*E14)/(DATOS!$B$14+2*E14))^(4/3))+((DATOS!$B$27*C15/(DATOS!$B$14*((AN15+AO15)/2)))^2/((DATOS!$B$14*((AN15+AO15)/2))/(DATOS!$B$14+2*((AN15+AO15)/2)))^(4/3)))*(A14-A15)))&lt;0,AO15,((AN15+AO15)/2))</f>
        <v/>
      </c>
      <c r="AR15" s="16">
        <f>IF((((AP15+AQ15)/2)+(C15/(DATOS!$B$14*((AP15+AQ15)/2)))^2/(2*9.81)+B15-(E14+(C14/(DATOS!$B$14*E14))^2/(2*9.81)+B14+0.5*(((DATOS!$B$27*C14/(DATOS!$B$14*E14))^2/((DATOS!$B$14*E14)/(DATOS!$B$14+2*E14))^(4/3))+((DATOS!$B$27*C15/(DATOS!$B$14*((AP15+AQ15)/2)))^2/((DATOS!$B$14*((AP15+AQ15)/2))/(DATOS!$B$14+2*((AP15+AQ15)/2)))^(4/3)))*(A14-A15)))&lt;0,((AP15+AQ15)/2),AP15)</f>
        <v/>
      </c>
      <c r="AS15" s="16">
        <f>IF((((AP15+AQ15)/2)+(C15/(DATOS!$B$14*((AP15+AQ15)/2)))^2/(2*9.81)+B15-(E14+(C14/(DATOS!$B$14*E14))^2/(2*9.81)+B14+0.5*(((DATOS!$B$27*C14/(DATOS!$B$14*E14))^2/((DATOS!$B$14*E14)/(DATOS!$B$14+2*E14))^(4/3))+((DATOS!$B$27*C15/(DATOS!$B$14*((AP15+AQ15)/2)))^2/((DATOS!$B$14*((AP15+AQ15)/2))/(DATOS!$B$14+2*((AP15+AQ15)/2)))^(4/3)))*(A14-A15)))&lt;0,AQ15,((AP15+AQ15)/2))</f>
        <v/>
      </c>
      <c r="AT15" s="16">
        <f>IF((((AR15+AS15)/2)+(C15/(DATOS!$B$14*((AR15+AS15)/2)))^2/(2*9.81)+B15-(E14+(C14/(DATOS!$B$14*E14))^2/(2*9.81)+B14+0.5*(((DATOS!$B$27*C14/(DATOS!$B$14*E14))^2/((DATOS!$B$14*E14)/(DATOS!$B$14+2*E14))^(4/3))+((DATOS!$B$27*C15/(DATOS!$B$14*((AR15+AS15)/2)))^2/((DATOS!$B$14*((AR15+AS15)/2))/(DATOS!$B$14+2*((AR15+AS15)/2)))^(4/3)))*(A14-A15)))&lt;0,((AR15+AS15)/2),AR15)</f>
        <v/>
      </c>
      <c r="AU15" s="16">
        <f>IF((((AR15+AS15)/2)+(C15/(DATOS!$B$14*((AR15+AS15)/2)))^2/(2*9.81)+B15-(E14+(C14/(DATOS!$B$14*E14))^2/(2*9.81)+B14+0.5*(((DATOS!$B$27*C14/(DATOS!$B$14*E14))^2/((DATOS!$B$14*E14)/(DATOS!$B$14+2*E14))^(4/3))+((DATOS!$B$27*C15/(DATOS!$B$14*((AR15+AS15)/2)))^2/((DATOS!$B$14*((AR15+AS15)/2))/(DATOS!$B$14+2*((AR15+AS15)/2)))^(4/3)))*(A14-A15)))&lt;0,AS15,((AR15+AS15)/2))</f>
        <v/>
      </c>
      <c r="AV15" s="16">
        <f>IF((((AT15+AU15)/2)+(C15/(DATOS!$B$14*((AT15+AU15)/2)))^2/(2*9.81)+B15-(E14+(C14/(DATOS!$B$14*E14))^2/(2*9.81)+B14+0.5*(((DATOS!$B$27*C14/(DATOS!$B$14*E14))^2/((DATOS!$B$14*E14)/(DATOS!$B$14+2*E14))^(4/3))+((DATOS!$B$27*C15/(DATOS!$B$14*((AT15+AU15)/2)))^2/((DATOS!$B$14*((AT15+AU15)/2))/(DATOS!$B$14+2*((AT15+AU15)/2)))^(4/3)))*(A14-A15)))&lt;0,((AT15+AU15)/2),AT15)</f>
        <v/>
      </c>
      <c r="AW15" s="16">
        <f>IF((((AT15+AU15)/2)+(C15/(DATOS!$B$14*((AT15+AU15)/2)))^2/(2*9.81)+B15-(E14+(C14/(DATOS!$B$14*E14))^2/(2*9.81)+B14+0.5*(((DATOS!$B$27*C14/(DATOS!$B$14*E14))^2/((DATOS!$B$14*E14)/(DATOS!$B$14+2*E14))^(4/3))+((DATOS!$B$27*C15/(DATOS!$B$14*((AT15+AU15)/2)))^2/((DATOS!$B$14*((AT15+AU15)/2))/(DATOS!$B$14+2*((AT15+AU15)/2)))^(4/3)))*(A14-A15)))&lt;0,AU15,((AT15+AU15)/2))</f>
        <v/>
      </c>
      <c r="AX15" s="16">
        <f>IF((((AV15+AW15)/2)+(C15/(DATOS!$B$14*((AV15+AW15)/2)))^2/(2*9.81)+B15-(E14+(C14/(DATOS!$B$14*E14))^2/(2*9.81)+B14+0.5*(((DATOS!$B$27*C14/(DATOS!$B$14*E14))^2/((DATOS!$B$14*E14)/(DATOS!$B$14+2*E14))^(4/3))+((DATOS!$B$27*C15/(DATOS!$B$14*((AV15+AW15)/2)))^2/((DATOS!$B$14*((AV15+AW15)/2))/(DATOS!$B$14+2*((AV15+AW15)/2)))^(4/3)))*(A14-A15)))&lt;0,((AV15+AW15)/2),AV15)</f>
        <v/>
      </c>
      <c r="AY15" s="16">
        <f>IF((((AV15+AW15)/2)+(C15/(DATOS!$B$14*((AV15+AW15)/2)))^2/(2*9.81)+B15-(E14+(C14/(DATOS!$B$14*E14))^2/(2*9.81)+B14+0.5*(((DATOS!$B$27*C14/(DATOS!$B$14*E14))^2/((DATOS!$B$14*E14)/(DATOS!$B$14+2*E14))^(4/3))+((DATOS!$B$27*C15/(DATOS!$B$14*((AV15+AW15)/2)))^2/((DATOS!$B$14*((AV15+AW15)/2))/(DATOS!$B$14+2*((AV15+AW15)/2)))^(4/3)))*(A14-A15)))&lt;0,AW15,((AV15+AW15)/2))</f>
        <v/>
      </c>
      <c r="AZ15" s="16">
        <f>IF((((AX15+AY15)/2)+(C15/(DATOS!$B$14*((AX15+AY15)/2)))^2/(2*9.81)+B15-(E14+(C14/(DATOS!$B$14*E14))^2/(2*9.81)+B14+0.5*(((DATOS!$B$27*C14/(DATOS!$B$14*E14))^2/((DATOS!$B$14*E14)/(DATOS!$B$14+2*E14))^(4/3))+((DATOS!$B$27*C15/(DATOS!$B$14*((AX15+AY15)/2)))^2/((DATOS!$B$14*((AX15+AY15)/2))/(DATOS!$B$14+2*((AX15+AY15)/2)))^(4/3)))*(A14-A15)))&lt;0,((AX15+AY15)/2),AX15)</f>
        <v/>
      </c>
      <c r="BA15" s="16">
        <f>IF((((AX15+AY15)/2)+(C15/(DATOS!$B$14*((AX15+AY15)/2)))^2/(2*9.81)+B15-(E14+(C14/(DATOS!$B$14*E14))^2/(2*9.81)+B14+0.5*(((DATOS!$B$27*C14/(DATOS!$B$14*E14))^2/((DATOS!$B$14*E14)/(DATOS!$B$14+2*E14))^(4/3))+((DATOS!$B$27*C15/(DATOS!$B$14*((AX15+AY15)/2)))^2/((DATOS!$B$14*((AX15+AY15)/2))/(DATOS!$B$14+2*((AX15+AY15)/2)))^(4/3)))*(A14-A15)))&lt;0,AY15,((AX15+AY15)/2))</f>
        <v/>
      </c>
      <c r="BB15" s="16">
        <f>IF((((AZ15+BA15)/2)+(C15/(DATOS!$B$14*((AZ15+BA15)/2)))^2/(2*9.81)+B15-(E14+(C14/(DATOS!$B$14*E14))^2/(2*9.81)+B14+0.5*(((DATOS!$B$27*C14/(DATOS!$B$14*E14))^2/((DATOS!$B$14*E14)/(DATOS!$B$14+2*E14))^(4/3))+((DATOS!$B$27*C15/(DATOS!$B$14*((AZ15+BA15)/2)))^2/((DATOS!$B$14*((AZ15+BA15)/2))/(DATOS!$B$14+2*((AZ15+BA15)/2)))^(4/3)))*(A14-A15)))&lt;0,((AZ15+BA15)/2),AZ15)</f>
        <v/>
      </c>
      <c r="BC15" s="16">
        <f>IF((((AZ15+BA15)/2)+(C15/(DATOS!$B$14*((AZ15+BA15)/2)))^2/(2*9.81)+B15-(E14+(C14/(DATOS!$B$14*E14))^2/(2*9.81)+B14+0.5*(((DATOS!$B$27*C14/(DATOS!$B$14*E14))^2/((DATOS!$B$14*E14)/(DATOS!$B$14+2*E14))^(4/3))+((DATOS!$B$27*C15/(DATOS!$B$14*((AZ15+BA15)/2)))^2/((DATOS!$B$14*((AZ15+BA15)/2))/(DATOS!$B$14+2*((AZ15+BA15)/2)))^(4/3)))*(A14-A15)))&lt;0,BA15,((AZ15+BA15)/2))</f>
        <v/>
      </c>
      <c r="BD15" s="16">
        <f>IF((((BB15+BC15)/2)+(C15/(DATOS!$B$14*((BB15+BC15)/2)))^2/(2*9.81)+B15-(E14+(C14/(DATOS!$B$14*E14))^2/(2*9.81)+B14+0.5*(((DATOS!$B$27*C14/(DATOS!$B$14*E14))^2/((DATOS!$B$14*E14)/(DATOS!$B$14+2*E14))^(4/3))+((DATOS!$B$27*C15/(DATOS!$B$14*((BB15+BC15)/2)))^2/((DATOS!$B$14*((BB15+BC15)/2))/(DATOS!$B$14+2*((BB15+BC15)/2)))^(4/3)))*(A14-A15)))&lt;0,((BB15+BC15)/2),BB15)</f>
        <v/>
      </c>
      <c r="BE15" s="16">
        <f>IF((((BB15+BC15)/2)+(C15/(DATOS!$B$14*((BB15+BC15)/2)))^2/(2*9.81)+B15-(E14+(C14/(DATOS!$B$14*E14))^2/(2*9.81)+B14+0.5*(((DATOS!$B$27*C14/(DATOS!$B$14*E14))^2/((DATOS!$B$14*E14)/(DATOS!$B$14+2*E14))^(4/3))+((DATOS!$B$27*C15/(DATOS!$B$14*((BB15+BC15)/2)))^2/((DATOS!$B$14*((BB15+BC15)/2))/(DATOS!$B$14+2*((BB15+BC15)/2)))^(4/3)))*(A14-A15)))&lt;0,BC15,((BB15+BC15)/2))</f>
        <v/>
      </c>
      <c r="BF15" s="16">
        <f>IF((((BD15+BE15)/2)+(C15/(DATOS!$B$14*((BD15+BE15)/2)))^2/(2*9.81)+B15-(E14+(C14/(DATOS!$B$14*E14))^2/(2*9.81)+B14+0.5*(((DATOS!$B$27*C14/(DATOS!$B$14*E14))^2/((DATOS!$B$14*E14)/(DATOS!$B$14+2*E14))^(4/3))+((DATOS!$B$27*C15/(DATOS!$B$14*((BD15+BE15)/2)))^2/((DATOS!$B$14*((BD15+BE15)/2))/(DATOS!$B$14+2*((BD15+BE15)/2)))^(4/3)))*(A14-A15)))&lt;0,((BD15+BE15)/2),BD15)</f>
        <v/>
      </c>
      <c r="BG15" s="16">
        <f>IF((((BD15+BE15)/2)+(C15/(DATOS!$B$14*((BD15+BE15)/2)))^2/(2*9.81)+B15-(E14+(C14/(DATOS!$B$14*E14))^2/(2*9.81)+B14+0.5*(((DATOS!$B$27*C14/(DATOS!$B$14*E14))^2/((DATOS!$B$14*E14)/(DATOS!$B$14+2*E14))^(4/3))+((DATOS!$B$27*C15/(DATOS!$B$14*((BD15+BE15)/2)))^2/((DATOS!$B$14*((BD15+BE15)/2))/(DATOS!$B$14+2*((BD15+BE15)/2)))^(4/3)))*(A14-A15)))&lt;0,BE15,((BD15+BE15)/2))</f>
        <v/>
      </c>
      <c r="BH15" s="16">
        <f>IF((((BF15+BG15)/2)+(C15/(DATOS!$B$14*((BF15+BG15)/2)))^2/(2*9.81)+B15-(E14+(C14/(DATOS!$B$14*E14))^2/(2*9.81)+B14+0.5*(((DATOS!$B$27*C14/(DATOS!$B$14*E14))^2/((DATOS!$B$14*E14)/(DATOS!$B$14+2*E14))^(4/3))+((DATOS!$B$27*C15/(DATOS!$B$14*((BF15+BG15)/2)))^2/((DATOS!$B$14*((BF15+BG15)/2))/(DATOS!$B$14+2*((BF15+BG15)/2)))^(4/3)))*(A14-A15)))&lt;0,((BF15+BG15)/2),BF15)</f>
        <v/>
      </c>
      <c r="BI15" s="16">
        <f>IF((((BF15+BG15)/2)+(C15/(DATOS!$B$14*((BF15+BG15)/2)))^2/(2*9.81)+B15-(E14+(C14/(DATOS!$B$14*E14))^2/(2*9.81)+B14+0.5*(((DATOS!$B$27*C14/(DATOS!$B$14*E14))^2/((DATOS!$B$14*E14)/(DATOS!$B$14+2*E14))^(4/3))+((DATOS!$B$27*C15/(DATOS!$B$14*((BF15+BG15)/2)))^2/((DATOS!$B$14*((BF15+BG15)/2))/(DATOS!$B$14+2*((BF15+BG15)/2)))^(4/3)))*(A14-A15)))&lt;0,BG15,((BF15+BG15)/2))</f>
        <v/>
      </c>
      <c r="BJ15" s="16">
        <f>IF((((BH15+BI15)/2)+(C15/(DATOS!$B$14*((BH15+BI15)/2)))^2/(2*9.81)+B15-(E14+(C14/(DATOS!$B$14*E14))^2/(2*9.81)+B14+0.5*(((DATOS!$B$27*C14/(DATOS!$B$14*E14))^2/((DATOS!$B$14*E14)/(DATOS!$B$14+2*E14))^(4/3))+((DATOS!$B$27*C15/(DATOS!$B$14*((BH15+BI15)/2)))^2/((DATOS!$B$14*((BH15+BI15)/2))/(DATOS!$B$14+2*((BH15+BI15)/2)))^(4/3)))*(A14-A15)))&lt;0,((BH15+BI15)/2),BH15)</f>
        <v/>
      </c>
      <c r="BK15" s="16">
        <f>IF((((BH15+BI15)/2)+(C15/(DATOS!$B$14*((BH15+BI15)/2)))^2/(2*9.81)+B15-(E14+(C14/(DATOS!$B$14*E14))^2/(2*9.81)+B14+0.5*(((DATOS!$B$27*C14/(DATOS!$B$14*E14))^2/((DATOS!$B$14*E14)/(DATOS!$B$14+2*E14))^(4/3))+((DATOS!$B$27*C15/(DATOS!$B$14*((BH15+BI15)/2)))^2/((DATOS!$B$14*((BH15+BI15)/2))/(DATOS!$B$14+2*((BH15+BI15)/2)))^(4/3)))*(A14-A15)))&lt;0,BI15,((BH15+BI15)/2))</f>
        <v/>
      </c>
      <c r="BL15" s="16">
        <f>IF((((BJ15+BK15)/2)+(C15/(DATOS!$B$14*((BJ15+BK15)/2)))^2/(2*9.81)+B15-(E14+(C14/(DATOS!$B$14*E14))^2/(2*9.81)+B14+0.5*(((DATOS!$B$27*C14/(DATOS!$B$14*E14))^2/((DATOS!$B$14*E14)/(DATOS!$B$14+2*E14))^(4/3))+((DATOS!$B$27*C15/(DATOS!$B$14*((BJ15+BK15)/2)))^2/((DATOS!$B$14*((BJ15+BK15)/2))/(DATOS!$B$14+2*((BJ15+BK15)/2)))^(4/3)))*(A14-A15)))&lt;0,((BJ15+BK15)/2),BJ15)</f>
        <v/>
      </c>
      <c r="BM15" s="16">
        <f>IF((((BJ15+BK15)/2)+(C15/(DATOS!$B$14*((BJ15+BK15)/2)))^2/(2*9.81)+B15-(E14+(C14/(DATOS!$B$14*E14))^2/(2*9.81)+B14+0.5*(((DATOS!$B$27*C14/(DATOS!$B$14*E14))^2/((DATOS!$B$14*E14)/(DATOS!$B$14+2*E14))^(4/3))+((DATOS!$B$27*C15/(DATOS!$B$14*((BJ15+BK15)/2)))^2/((DATOS!$B$14*((BJ15+BK15)/2))/(DATOS!$B$14+2*((BJ15+BK15)/2)))^(4/3)))*(A14-A15)))&lt;0,BK15,((BJ15+BK15)/2))</f>
        <v/>
      </c>
      <c r="BN15" s="16">
        <f>IF((((BL15+BM15)/2)+(C15/(DATOS!$B$14*((BL15+BM15)/2)))^2/(2*9.81)+B15-(E14+(C14/(DATOS!$B$14*E14))^2/(2*9.81)+B14+0.5*(((DATOS!$B$27*C14/(DATOS!$B$14*E14))^2/((DATOS!$B$14*E14)/(DATOS!$B$14+2*E14))^(4/3))+((DATOS!$B$27*C15/(DATOS!$B$14*((BL15+BM15)/2)))^2/((DATOS!$B$14*((BL15+BM15)/2))/(DATOS!$B$14+2*((BL15+BM15)/2)))^(4/3)))*(A14-A15)))&lt;0,((BL15+BM15)/2),BL15)</f>
        <v/>
      </c>
      <c r="BO15" s="16">
        <f>IF((((BL15+BM15)/2)+(C15/(DATOS!$B$14*((BL15+BM15)/2)))^2/(2*9.81)+B15-(E14+(C14/(DATOS!$B$14*E14))^2/(2*9.81)+B14+0.5*(((DATOS!$B$27*C14/(DATOS!$B$14*E14))^2/((DATOS!$B$14*E14)/(DATOS!$B$14+2*E14))^(4/3))+((DATOS!$B$27*C15/(DATOS!$B$14*((BL15+BM15)/2)))^2/((DATOS!$B$14*((BL15+BM15)/2))/(DATOS!$B$14+2*((BL15+BM15)/2)))^(4/3)))*(A14-A15)))&lt;0,BM15,((BL15+BM15)/2))</f>
        <v/>
      </c>
      <c r="BP15" s="16">
        <f>IF((((BN15+BO15)/2)+(C15/(DATOS!$B$14*((BN15+BO15)/2)))^2/(2*9.81)+B15-(E14+(C14/(DATOS!$B$14*E14))^2/(2*9.81)+B14+0.5*(((DATOS!$B$27*C14/(DATOS!$B$14*E14))^2/((DATOS!$B$14*E14)/(DATOS!$B$14+2*E14))^(4/3))+((DATOS!$B$27*C15/(DATOS!$B$14*((BN15+BO15)/2)))^2/((DATOS!$B$14*((BN15+BO15)/2))/(DATOS!$B$14+2*((BN15+BO15)/2)))^(4/3)))*(A14-A15)))&lt;0,((BN15+BO15)/2),BN15)</f>
        <v/>
      </c>
      <c r="BQ15" s="16">
        <f>IF((((BN15+BO15)/2)+(C15/(DATOS!$B$14*((BN15+BO15)/2)))^2/(2*9.81)+B15-(E14+(C14/(DATOS!$B$14*E14))^2/(2*9.81)+B14+0.5*(((DATOS!$B$27*C14/(DATOS!$B$14*E14))^2/((DATOS!$B$14*E14)/(DATOS!$B$14+2*E14))^(4/3))+((DATOS!$B$27*C15/(DATOS!$B$14*((BN15+BO15)/2)))^2/((DATOS!$B$14*((BN15+BO15)/2))/(DATOS!$B$14+2*((BN15+BO15)/2)))^(4/3)))*(A14-A15)))&lt;0,BO15,((BN15+BO15)/2))</f>
        <v/>
      </c>
      <c r="BR15" s="16">
        <f>IF((((BP15+BQ15)/2)+(C15/(DATOS!$B$14*((BP15+BQ15)/2)))^2/(2*9.81)+B15-(E14+(C14/(DATOS!$B$14*E14))^2/(2*9.81)+B14+0.5*(((DATOS!$B$27*C14/(DATOS!$B$14*E14))^2/((DATOS!$B$14*E14)/(DATOS!$B$14+2*E14))^(4/3))+((DATOS!$B$27*C15/(DATOS!$B$14*((BP15+BQ15)/2)))^2/((DATOS!$B$14*((BP15+BQ15)/2))/(DATOS!$B$14+2*((BP15+BQ15)/2)))^(4/3)))*(A14-A15)))&lt;0,((BP15+BQ15)/2),BP15)</f>
        <v/>
      </c>
      <c r="BS15" s="16">
        <f>IF((((BP15+BQ15)/2)+(C15/(DATOS!$B$14*((BP15+BQ15)/2)))^2/(2*9.81)+B15-(E14+(C14/(DATOS!$B$14*E14))^2/(2*9.81)+B14+0.5*(((DATOS!$B$27*C14/(DATOS!$B$14*E14))^2/((DATOS!$B$14*E14)/(DATOS!$B$14+2*E14))^(4/3))+((DATOS!$B$27*C15/(DATOS!$B$14*((BP15+BQ15)/2)))^2/((DATOS!$B$14*((BP15+BQ15)/2))/(DATOS!$B$14+2*((BP15+BQ15)/2)))^(4/3)))*(A14-A15)))&lt;0,BQ15,((BP15+BQ15)/2))</f>
        <v/>
      </c>
      <c r="BT15" s="16">
        <f>IF((((BR15+BS15)/2)+(C15/(DATOS!$B$14*((BR15+BS15)/2)))^2/(2*9.81)+B15-(E14+(C14/(DATOS!$B$14*E14))^2/(2*9.81)+B14+0.5*(((DATOS!$B$27*C14/(DATOS!$B$14*E14))^2/((DATOS!$B$14*E14)/(DATOS!$B$14+2*E14))^(4/3))+((DATOS!$B$27*C15/(DATOS!$B$14*((BR15+BS15)/2)))^2/((DATOS!$B$14*((BR15+BS15)/2))/(DATOS!$B$14+2*((BR15+BS15)/2)))^(4/3)))*(A14-A15)))&lt;0,((BR15+BS15)/2),BR15)</f>
        <v/>
      </c>
      <c r="BU15" s="16">
        <f>IF((((BR15+BS15)/2)+(C15/(DATOS!$B$14*((BR15+BS15)/2)))^2/(2*9.81)+B15-(E14+(C14/(DATOS!$B$14*E14))^2/(2*9.81)+B14+0.5*(((DATOS!$B$27*C14/(DATOS!$B$14*E14))^2/((DATOS!$B$14*E14)/(DATOS!$B$14+2*E14))^(4/3))+((DATOS!$B$27*C15/(DATOS!$B$14*((BR15+BS15)/2)))^2/((DATOS!$B$14*((BR15+BS15)/2))/(DATOS!$B$14+2*((BR15+BS15)/2)))^(4/3)))*(A14-A15)))&lt;0,BS15,((BR15+BS15)/2))</f>
        <v/>
      </c>
    </row>
    <row r="16">
      <c r="A16" s="30" t="n">
        <v>118</v>
      </c>
      <c r="B16" s="21">
        <f>DATOS!$B$16-DATOS!$B$19*A16</f>
        <v/>
      </c>
      <c r="C16" s="21">
        <f>IF(A16&lt;CAUDALES!$B$13,CAUDALES!$D$12,IF(A16&lt;CAUDALES!$B$14,CAUDALES!$D$13,IF(A16&lt;CAUDALES!$B$15,CAUDALES!$D$14,CAUDALES!$D$15)))/1000</f>
        <v/>
      </c>
      <c r="D16" s="21">
        <f>(C16^2/(9.81*DATOS!$B$14^2))^(1/3)</f>
        <v/>
      </c>
      <c r="E16" s="29">
        <f>(BT16+BU16)/2</f>
        <v/>
      </c>
      <c r="F16" s="21">
        <f>B16+E16</f>
        <v/>
      </c>
      <c r="G16" s="17">
        <f>C16/(DATOS!$B$14*E16)</f>
        <v/>
      </c>
      <c r="H16" s="17">
        <f>G16/SQRT(9.81*E16)</f>
        <v/>
      </c>
      <c r="I16" s="21">
        <f>IF(A16&lt;=DATOS!$B$20,DATOS!$B$21-IF(AND(A16&gt;=DATOS!$B$23,A16&lt;DATOS!$B$24),DATOS!$B$25,DATOS!$B$22),B16+DATOS!$B$26)</f>
        <v/>
      </c>
      <c r="J16" s="17">
        <f>I16-B16</f>
        <v/>
      </c>
      <c r="K16" s="31">
        <f>E16/J16</f>
        <v/>
      </c>
      <c r="L16" s="21">
        <f>I16-F16</f>
        <v/>
      </c>
      <c r="M16" s="32">
        <f>IF(AND(K16&lt;=DATOS!$B$29,L16&gt;=DATOS!$B$30),"CUMPLE","NO CUMPLE")</f>
        <v/>
      </c>
      <c r="N16" s="13">
        <f>IF(A16&gt;DATOS!$B$20,"cubierto - tramo final",IF(AND(A16&gt;=DATOS!$B$23,A16&lt;DATOS!$B$24),"cubierto - camiones","cubierto"))</f>
        <v/>
      </c>
      <c r="P16" s="16">
        <f>D16*1.001</f>
        <v/>
      </c>
      <c r="Q16" s="16" t="n">
        <v>2</v>
      </c>
      <c r="R16" s="16">
        <f>IF((((P16+Q16)/2)+(C16/(DATOS!$B$14*((P16+Q16)/2)))^2/(2*9.81)+B16-(E15+(C15/(DATOS!$B$14*E15))^2/(2*9.81)+B15+0.5*(((DATOS!$B$27*C15/(DATOS!$B$14*E15))^2/((DATOS!$B$14*E15)/(DATOS!$B$14+2*E15))^(4/3))+((DATOS!$B$27*C16/(DATOS!$B$14*((P16+Q16)/2)))^2/((DATOS!$B$14*((P16+Q16)/2))/(DATOS!$B$14+2*((P16+Q16)/2)))^(4/3)))*(A15-A16)))&lt;0,((P16+Q16)/2),P16)</f>
        <v/>
      </c>
      <c r="S16" s="16">
        <f>IF((((P16+Q16)/2)+(C16/(DATOS!$B$14*((P16+Q16)/2)))^2/(2*9.81)+B16-(E15+(C15/(DATOS!$B$14*E15))^2/(2*9.81)+B15+0.5*(((DATOS!$B$27*C15/(DATOS!$B$14*E15))^2/((DATOS!$B$14*E15)/(DATOS!$B$14+2*E15))^(4/3))+((DATOS!$B$27*C16/(DATOS!$B$14*((P16+Q16)/2)))^2/((DATOS!$B$14*((P16+Q16)/2))/(DATOS!$B$14+2*((P16+Q16)/2)))^(4/3)))*(A15-A16)))&lt;0,Q16,((P16+Q16)/2))</f>
        <v/>
      </c>
      <c r="T16" s="16">
        <f>IF((((R16+S16)/2)+(C16/(DATOS!$B$14*((R16+S16)/2)))^2/(2*9.81)+B16-(E15+(C15/(DATOS!$B$14*E15))^2/(2*9.81)+B15+0.5*(((DATOS!$B$27*C15/(DATOS!$B$14*E15))^2/((DATOS!$B$14*E15)/(DATOS!$B$14+2*E15))^(4/3))+((DATOS!$B$27*C16/(DATOS!$B$14*((R16+S16)/2)))^2/((DATOS!$B$14*((R16+S16)/2))/(DATOS!$B$14+2*((R16+S16)/2)))^(4/3)))*(A15-A16)))&lt;0,((R16+S16)/2),R16)</f>
        <v/>
      </c>
      <c r="U16" s="16">
        <f>IF((((R16+S16)/2)+(C16/(DATOS!$B$14*((R16+S16)/2)))^2/(2*9.81)+B16-(E15+(C15/(DATOS!$B$14*E15))^2/(2*9.81)+B15+0.5*(((DATOS!$B$27*C15/(DATOS!$B$14*E15))^2/((DATOS!$B$14*E15)/(DATOS!$B$14+2*E15))^(4/3))+((DATOS!$B$27*C16/(DATOS!$B$14*((R16+S16)/2)))^2/((DATOS!$B$14*((R16+S16)/2))/(DATOS!$B$14+2*((R16+S16)/2)))^(4/3)))*(A15-A16)))&lt;0,S16,((R16+S16)/2))</f>
        <v/>
      </c>
      <c r="V16" s="16">
        <f>IF((((T16+U16)/2)+(C16/(DATOS!$B$14*((T16+U16)/2)))^2/(2*9.81)+B16-(E15+(C15/(DATOS!$B$14*E15))^2/(2*9.81)+B15+0.5*(((DATOS!$B$27*C15/(DATOS!$B$14*E15))^2/((DATOS!$B$14*E15)/(DATOS!$B$14+2*E15))^(4/3))+((DATOS!$B$27*C16/(DATOS!$B$14*((T16+U16)/2)))^2/((DATOS!$B$14*((T16+U16)/2))/(DATOS!$B$14+2*((T16+U16)/2)))^(4/3)))*(A15-A16)))&lt;0,((T16+U16)/2),T16)</f>
        <v/>
      </c>
      <c r="W16" s="16">
        <f>IF((((T16+U16)/2)+(C16/(DATOS!$B$14*((T16+U16)/2)))^2/(2*9.81)+B16-(E15+(C15/(DATOS!$B$14*E15))^2/(2*9.81)+B15+0.5*(((DATOS!$B$27*C15/(DATOS!$B$14*E15))^2/((DATOS!$B$14*E15)/(DATOS!$B$14+2*E15))^(4/3))+((DATOS!$B$27*C16/(DATOS!$B$14*((T16+U16)/2)))^2/((DATOS!$B$14*((T16+U16)/2))/(DATOS!$B$14+2*((T16+U16)/2)))^(4/3)))*(A15-A16)))&lt;0,U16,((T16+U16)/2))</f>
        <v/>
      </c>
      <c r="X16" s="16">
        <f>IF((((V16+W16)/2)+(C16/(DATOS!$B$14*((V16+W16)/2)))^2/(2*9.81)+B16-(E15+(C15/(DATOS!$B$14*E15))^2/(2*9.81)+B15+0.5*(((DATOS!$B$27*C15/(DATOS!$B$14*E15))^2/((DATOS!$B$14*E15)/(DATOS!$B$14+2*E15))^(4/3))+((DATOS!$B$27*C16/(DATOS!$B$14*((V16+W16)/2)))^2/((DATOS!$B$14*((V16+W16)/2))/(DATOS!$B$14+2*((V16+W16)/2)))^(4/3)))*(A15-A16)))&lt;0,((V16+W16)/2),V16)</f>
        <v/>
      </c>
      <c r="Y16" s="16">
        <f>IF((((V16+W16)/2)+(C16/(DATOS!$B$14*((V16+W16)/2)))^2/(2*9.81)+B16-(E15+(C15/(DATOS!$B$14*E15))^2/(2*9.81)+B15+0.5*(((DATOS!$B$27*C15/(DATOS!$B$14*E15))^2/((DATOS!$B$14*E15)/(DATOS!$B$14+2*E15))^(4/3))+((DATOS!$B$27*C16/(DATOS!$B$14*((V16+W16)/2)))^2/((DATOS!$B$14*((V16+W16)/2))/(DATOS!$B$14+2*((V16+W16)/2)))^(4/3)))*(A15-A16)))&lt;0,W16,((V16+W16)/2))</f>
        <v/>
      </c>
      <c r="Z16" s="16">
        <f>IF((((X16+Y16)/2)+(C16/(DATOS!$B$14*((X16+Y16)/2)))^2/(2*9.81)+B16-(E15+(C15/(DATOS!$B$14*E15))^2/(2*9.81)+B15+0.5*(((DATOS!$B$27*C15/(DATOS!$B$14*E15))^2/((DATOS!$B$14*E15)/(DATOS!$B$14+2*E15))^(4/3))+((DATOS!$B$27*C16/(DATOS!$B$14*((X16+Y16)/2)))^2/((DATOS!$B$14*((X16+Y16)/2))/(DATOS!$B$14+2*((X16+Y16)/2)))^(4/3)))*(A15-A16)))&lt;0,((X16+Y16)/2),X16)</f>
        <v/>
      </c>
      <c r="AA16" s="16">
        <f>IF((((X16+Y16)/2)+(C16/(DATOS!$B$14*((X16+Y16)/2)))^2/(2*9.81)+B16-(E15+(C15/(DATOS!$B$14*E15))^2/(2*9.81)+B15+0.5*(((DATOS!$B$27*C15/(DATOS!$B$14*E15))^2/((DATOS!$B$14*E15)/(DATOS!$B$14+2*E15))^(4/3))+((DATOS!$B$27*C16/(DATOS!$B$14*((X16+Y16)/2)))^2/((DATOS!$B$14*((X16+Y16)/2))/(DATOS!$B$14+2*((X16+Y16)/2)))^(4/3)))*(A15-A16)))&lt;0,Y16,((X16+Y16)/2))</f>
        <v/>
      </c>
      <c r="AB16" s="16">
        <f>IF((((Z16+AA16)/2)+(C16/(DATOS!$B$14*((Z16+AA16)/2)))^2/(2*9.81)+B16-(E15+(C15/(DATOS!$B$14*E15))^2/(2*9.81)+B15+0.5*(((DATOS!$B$27*C15/(DATOS!$B$14*E15))^2/((DATOS!$B$14*E15)/(DATOS!$B$14+2*E15))^(4/3))+((DATOS!$B$27*C16/(DATOS!$B$14*((Z16+AA16)/2)))^2/((DATOS!$B$14*((Z16+AA16)/2))/(DATOS!$B$14+2*((Z16+AA16)/2)))^(4/3)))*(A15-A16)))&lt;0,((Z16+AA16)/2),Z16)</f>
        <v/>
      </c>
      <c r="AC16" s="16">
        <f>IF((((Z16+AA16)/2)+(C16/(DATOS!$B$14*((Z16+AA16)/2)))^2/(2*9.81)+B16-(E15+(C15/(DATOS!$B$14*E15))^2/(2*9.81)+B15+0.5*(((DATOS!$B$27*C15/(DATOS!$B$14*E15))^2/((DATOS!$B$14*E15)/(DATOS!$B$14+2*E15))^(4/3))+((DATOS!$B$27*C16/(DATOS!$B$14*((Z16+AA16)/2)))^2/((DATOS!$B$14*((Z16+AA16)/2))/(DATOS!$B$14+2*((Z16+AA16)/2)))^(4/3)))*(A15-A16)))&lt;0,AA16,((Z16+AA16)/2))</f>
        <v/>
      </c>
      <c r="AD16" s="16">
        <f>IF((((AB16+AC16)/2)+(C16/(DATOS!$B$14*((AB16+AC16)/2)))^2/(2*9.81)+B16-(E15+(C15/(DATOS!$B$14*E15))^2/(2*9.81)+B15+0.5*(((DATOS!$B$27*C15/(DATOS!$B$14*E15))^2/((DATOS!$B$14*E15)/(DATOS!$B$14+2*E15))^(4/3))+((DATOS!$B$27*C16/(DATOS!$B$14*((AB16+AC16)/2)))^2/((DATOS!$B$14*((AB16+AC16)/2))/(DATOS!$B$14+2*((AB16+AC16)/2)))^(4/3)))*(A15-A16)))&lt;0,((AB16+AC16)/2),AB16)</f>
        <v/>
      </c>
      <c r="AE16" s="16">
        <f>IF((((AB16+AC16)/2)+(C16/(DATOS!$B$14*((AB16+AC16)/2)))^2/(2*9.81)+B16-(E15+(C15/(DATOS!$B$14*E15))^2/(2*9.81)+B15+0.5*(((DATOS!$B$27*C15/(DATOS!$B$14*E15))^2/((DATOS!$B$14*E15)/(DATOS!$B$14+2*E15))^(4/3))+((DATOS!$B$27*C16/(DATOS!$B$14*((AB16+AC16)/2)))^2/((DATOS!$B$14*((AB16+AC16)/2))/(DATOS!$B$14+2*((AB16+AC16)/2)))^(4/3)))*(A15-A16)))&lt;0,AC16,((AB16+AC16)/2))</f>
        <v/>
      </c>
      <c r="AF16" s="16">
        <f>IF((((AD16+AE16)/2)+(C16/(DATOS!$B$14*((AD16+AE16)/2)))^2/(2*9.81)+B16-(E15+(C15/(DATOS!$B$14*E15))^2/(2*9.81)+B15+0.5*(((DATOS!$B$27*C15/(DATOS!$B$14*E15))^2/((DATOS!$B$14*E15)/(DATOS!$B$14+2*E15))^(4/3))+((DATOS!$B$27*C16/(DATOS!$B$14*((AD16+AE16)/2)))^2/((DATOS!$B$14*((AD16+AE16)/2))/(DATOS!$B$14+2*((AD16+AE16)/2)))^(4/3)))*(A15-A16)))&lt;0,((AD16+AE16)/2),AD16)</f>
        <v/>
      </c>
      <c r="AG16" s="16">
        <f>IF((((AD16+AE16)/2)+(C16/(DATOS!$B$14*((AD16+AE16)/2)))^2/(2*9.81)+B16-(E15+(C15/(DATOS!$B$14*E15))^2/(2*9.81)+B15+0.5*(((DATOS!$B$27*C15/(DATOS!$B$14*E15))^2/((DATOS!$B$14*E15)/(DATOS!$B$14+2*E15))^(4/3))+((DATOS!$B$27*C16/(DATOS!$B$14*((AD16+AE16)/2)))^2/((DATOS!$B$14*((AD16+AE16)/2))/(DATOS!$B$14+2*((AD16+AE16)/2)))^(4/3)))*(A15-A16)))&lt;0,AE16,((AD16+AE16)/2))</f>
        <v/>
      </c>
      <c r="AH16" s="16">
        <f>IF((((AF16+AG16)/2)+(C16/(DATOS!$B$14*((AF16+AG16)/2)))^2/(2*9.81)+B16-(E15+(C15/(DATOS!$B$14*E15))^2/(2*9.81)+B15+0.5*(((DATOS!$B$27*C15/(DATOS!$B$14*E15))^2/((DATOS!$B$14*E15)/(DATOS!$B$14+2*E15))^(4/3))+((DATOS!$B$27*C16/(DATOS!$B$14*((AF16+AG16)/2)))^2/((DATOS!$B$14*((AF16+AG16)/2))/(DATOS!$B$14+2*((AF16+AG16)/2)))^(4/3)))*(A15-A16)))&lt;0,((AF16+AG16)/2),AF16)</f>
        <v/>
      </c>
      <c r="AI16" s="16">
        <f>IF((((AF16+AG16)/2)+(C16/(DATOS!$B$14*((AF16+AG16)/2)))^2/(2*9.81)+B16-(E15+(C15/(DATOS!$B$14*E15))^2/(2*9.81)+B15+0.5*(((DATOS!$B$27*C15/(DATOS!$B$14*E15))^2/((DATOS!$B$14*E15)/(DATOS!$B$14+2*E15))^(4/3))+((DATOS!$B$27*C16/(DATOS!$B$14*((AF16+AG16)/2)))^2/((DATOS!$B$14*((AF16+AG16)/2))/(DATOS!$B$14+2*((AF16+AG16)/2)))^(4/3)))*(A15-A16)))&lt;0,AG16,((AF16+AG16)/2))</f>
        <v/>
      </c>
      <c r="AJ16" s="16">
        <f>IF((((AH16+AI16)/2)+(C16/(DATOS!$B$14*((AH16+AI16)/2)))^2/(2*9.81)+B16-(E15+(C15/(DATOS!$B$14*E15))^2/(2*9.81)+B15+0.5*(((DATOS!$B$27*C15/(DATOS!$B$14*E15))^2/((DATOS!$B$14*E15)/(DATOS!$B$14+2*E15))^(4/3))+((DATOS!$B$27*C16/(DATOS!$B$14*((AH16+AI16)/2)))^2/((DATOS!$B$14*((AH16+AI16)/2))/(DATOS!$B$14+2*((AH16+AI16)/2)))^(4/3)))*(A15-A16)))&lt;0,((AH16+AI16)/2),AH16)</f>
        <v/>
      </c>
      <c r="AK16" s="16">
        <f>IF((((AH16+AI16)/2)+(C16/(DATOS!$B$14*((AH16+AI16)/2)))^2/(2*9.81)+B16-(E15+(C15/(DATOS!$B$14*E15))^2/(2*9.81)+B15+0.5*(((DATOS!$B$27*C15/(DATOS!$B$14*E15))^2/((DATOS!$B$14*E15)/(DATOS!$B$14+2*E15))^(4/3))+((DATOS!$B$27*C16/(DATOS!$B$14*((AH16+AI16)/2)))^2/((DATOS!$B$14*((AH16+AI16)/2))/(DATOS!$B$14+2*((AH16+AI16)/2)))^(4/3)))*(A15-A16)))&lt;0,AI16,((AH16+AI16)/2))</f>
        <v/>
      </c>
      <c r="AL16" s="16">
        <f>IF((((AJ16+AK16)/2)+(C16/(DATOS!$B$14*((AJ16+AK16)/2)))^2/(2*9.81)+B16-(E15+(C15/(DATOS!$B$14*E15))^2/(2*9.81)+B15+0.5*(((DATOS!$B$27*C15/(DATOS!$B$14*E15))^2/((DATOS!$B$14*E15)/(DATOS!$B$14+2*E15))^(4/3))+((DATOS!$B$27*C16/(DATOS!$B$14*((AJ16+AK16)/2)))^2/((DATOS!$B$14*((AJ16+AK16)/2))/(DATOS!$B$14+2*((AJ16+AK16)/2)))^(4/3)))*(A15-A16)))&lt;0,((AJ16+AK16)/2),AJ16)</f>
        <v/>
      </c>
      <c r="AM16" s="16">
        <f>IF((((AJ16+AK16)/2)+(C16/(DATOS!$B$14*((AJ16+AK16)/2)))^2/(2*9.81)+B16-(E15+(C15/(DATOS!$B$14*E15))^2/(2*9.81)+B15+0.5*(((DATOS!$B$27*C15/(DATOS!$B$14*E15))^2/((DATOS!$B$14*E15)/(DATOS!$B$14+2*E15))^(4/3))+((DATOS!$B$27*C16/(DATOS!$B$14*((AJ16+AK16)/2)))^2/((DATOS!$B$14*((AJ16+AK16)/2))/(DATOS!$B$14+2*((AJ16+AK16)/2)))^(4/3)))*(A15-A16)))&lt;0,AK16,((AJ16+AK16)/2))</f>
        <v/>
      </c>
      <c r="AN16" s="16">
        <f>IF((((AL16+AM16)/2)+(C16/(DATOS!$B$14*((AL16+AM16)/2)))^2/(2*9.81)+B16-(E15+(C15/(DATOS!$B$14*E15))^2/(2*9.81)+B15+0.5*(((DATOS!$B$27*C15/(DATOS!$B$14*E15))^2/((DATOS!$B$14*E15)/(DATOS!$B$14+2*E15))^(4/3))+((DATOS!$B$27*C16/(DATOS!$B$14*((AL16+AM16)/2)))^2/((DATOS!$B$14*((AL16+AM16)/2))/(DATOS!$B$14+2*((AL16+AM16)/2)))^(4/3)))*(A15-A16)))&lt;0,((AL16+AM16)/2),AL16)</f>
        <v/>
      </c>
      <c r="AO16" s="16">
        <f>IF((((AL16+AM16)/2)+(C16/(DATOS!$B$14*((AL16+AM16)/2)))^2/(2*9.81)+B16-(E15+(C15/(DATOS!$B$14*E15))^2/(2*9.81)+B15+0.5*(((DATOS!$B$27*C15/(DATOS!$B$14*E15))^2/((DATOS!$B$14*E15)/(DATOS!$B$14+2*E15))^(4/3))+((DATOS!$B$27*C16/(DATOS!$B$14*((AL16+AM16)/2)))^2/((DATOS!$B$14*((AL16+AM16)/2))/(DATOS!$B$14+2*((AL16+AM16)/2)))^(4/3)))*(A15-A16)))&lt;0,AM16,((AL16+AM16)/2))</f>
        <v/>
      </c>
      <c r="AP16" s="16">
        <f>IF((((AN16+AO16)/2)+(C16/(DATOS!$B$14*((AN16+AO16)/2)))^2/(2*9.81)+B16-(E15+(C15/(DATOS!$B$14*E15))^2/(2*9.81)+B15+0.5*(((DATOS!$B$27*C15/(DATOS!$B$14*E15))^2/((DATOS!$B$14*E15)/(DATOS!$B$14+2*E15))^(4/3))+((DATOS!$B$27*C16/(DATOS!$B$14*((AN16+AO16)/2)))^2/((DATOS!$B$14*((AN16+AO16)/2))/(DATOS!$B$14+2*((AN16+AO16)/2)))^(4/3)))*(A15-A16)))&lt;0,((AN16+AO16)/2),AN16)</f>
        <v/>
      </c>
      <c r="AQ16" s="16">
        <f>IF((((AN16+AO16)/2)+(C16/(DATOS!$B$14*((AN16+AO16)/2)))^2/(2*9.81)+B16-(E15+(C15/(DATOS!$B$14*E15))^2/(2*9.81)+B15+0.5*(((DATOS!$B$27*C15/(DATOS!$B$14*E15))^2/((DATOS!$B$14*E15)/(DATOS!$B$14+2*E15))^(4/3))+((DATOS!$B$27*C16/(DATOS!$B$14*((AN16+AO16)/2)))^2/((DATOS!$B$14*((AN16+AO16)/2))/(DATOS!$B$14+2*((AN16+AO16)/2)))^(4/3)))*(A15-A16)))&lt;0,AO16,((AN16+AO16)/2))</f>
        <v/>
      </c>
      <c r="AR16" s="16">
        <f>IF((((AP16+AQ16)/2)+(C16/(DATOS!$B$14*((AP16+AQ16)/2)))^2/(2*9.81)+B16-(E15+(C15/(DATOS!$B$14*E15))^2/(2*9.81)+B15+0.5*(((DATOS!$B$27*C15/(DATOS!$B$14*E15))^2/((DATOS!$B$14*E15)/(DATOS!$B$14+2*E15))^(4/3))+((DATOS!$B$27*C16/(DATOS!$B$14*((AP16+AQ16)/2)))^2/((DATOS!$B$14*((AP16+AQ16)/2))/(DATOS!$B$14+2*((AP16+AQ16)/2)))^(4/3)))*(A15-A16)))&lt;0,((AP16+AQ16)/2),AP16)</f>
        <v/>
      </c>
      <c r="AS16" s="16">
        <f>IF((((AP16+AQ16)/2)+(C16/(DATOS!$B$14*((AP16+AQ16)/2)))^2/(2*9.81)+B16-(E15+(C15/(DATOS!$B$14*E15))^2/(2*9.81)+B15+0.5*(((DATOS!$B$27*C15/(DATOS!$B$14*E15))^2/((DATOS!$B$14*E15)/(DATOS!$B$14+2*E15))^(4/3))+((DATOS!$B$27*C16/(DATOS!$B$14*((AP16+AQ16)/2)))^2/((DATOS!$B$14*((AP16+AQ16)/2))/(DATOS!$B$14+2*((AP16+AQ16)/2)))^(4/3)))*(A15-A16)))&lt;0,AQ16,((AP16+AQ16)/2))</f>
        <v/>
      </c>
      <c r="AT16" s="16">
        <f>IF((((AR16+AS16)/2)+(C16/(DATOS!$B$14*((AR16+AS16)/2)))^2/(2*9.81)+B16-(E15+(C15/(DATOS!$B$14*E15))^2/(2*9.81)+B15+0.5*(((DATOS!$B$27*C15/(DATOS!$B$14*E15))^2/((DATOS!$B$14*E15)/(DATOS!$B$14+2*E15))^(4/3))+((DATOS!$B$27*C16/(DATOS!$B$14*((AR16+AS16)/2)))^2/((DATOS!$B$14*((AR16+AS16)/2))/(DATOS!$B$14+2*((AR16+AS16)/2)))^(4/3)))*(A15-A16)))&lt;0,((AR16+AS16)/2),AR16)</f>
        <v/>
      </c>
      <c r="AU16" s="16">
        <f>IF((((AR16+AS16)/2)+(C16/(DATOS!$B$14*((AR16+AS16)/2)))^2/(2*9.81)+B16-(E15+(C15/(DATOS!$B$14*E15))^2/(2*9.81)+B15+0.5*(((DATOS!$B$27*C15/(DATOS!$B$14*E15))^2/((DATOS!$B$14*E15)/(DATOS!$B$14+2*E15))^(4/3))+((DATOS!$B$27*C16/(DATOS!$B$14*((AR16+AS16)/2)))^2/((DATOS!$B$14*((AR16+AS16)/2))/(DATOS!$B$14+2*((AR16+AS16)/2)))^(4/3)))*(A15-A16)))&lt;0,AS16,((AR16+AS16)/2))</f>
        <v/>
      </c>
      <c r="AV16" s="16">
        <f>IF((((AT16+AU16)/2)+(C16/(DATOS!$B$14*((AT16+AU16)/2)))^2/(2*9.81)+B16-(E15+(C15/(DATOS!$B$14*E15))^2/(2*9.81)+B15+0.5*(((DATOS!$B$27*C15/(DATOS!$B$14*E15))^2/((DATOS!$B$14*E15)/(DATOS!$B$14+2*E15))^(4/3))+((DATOS!$B$27*C16/(DATOS!$B$14*((AT16+AU16)/2)))^2/((DATOS!$B$14*((AT16+AU16)/2))/(DATOS!$B$14+2*((AT16+AU16)/2)))^(4/3)))*(A15-A16)))&lt;0,((AT16+AU16)/2),AT16)</f>
        <v/>
      </c>
      <c r="AW16" s="16">
        <f>IF((((AT16+AU16)/2)+(C16/(DATOS!$B$14*((AT16+AU16)/2)))^2/(2*9.81)+B16-(E15+(C15/(DATOS!$B$14*E15))^2/(2*9.81)+B15+0.5*(((DATOS!$B$27*C15/(DATOS!$B$14*E15))^2/((DATOS!$B$14*E15)/(DATOS!$B$14+2*E15))^(4/3))+((DATOS!$B$27*C16/(DATOS!$B$14*((AT16+AU16)/2)))^2/((DATOS!$B$14*((AT16+AU16)/2))/(DATOS!$B$14+2*((AT16+AU16)/2)))^(4/3)))*(A15-A16)))&lt;0,AU16,((AT16+AU16)/2))</f>
        <v/>
      </c>
      <c r="AX16" s="16">
        <f>IF((((AV16+AW16)/2)+(C16/(DATOS!$B$14*((AV16+AW16)/2)))^2/(2*9.81)+B16-(E15+(C15/(DATOS!$B$14*E15))^2/(2*9.81)+B15+0.5*(((DATOS!$B$27*C15/(DATOS!$B$14*E15))^2/((DATOS!$B$14*E15)/(DATOS!$B$14+2*E15))^(4/3))+((DATOS!$B$27*C16/(DATOS!$B$14*((AV16+AW16)/2)))^2/((DATOS!$B$14*((AV16+AW16)/2))/(DATOS!$B$14+2*((AV16+AW16)/2)))^(4/3)))*(A15-A16)))&lt;0,((AV16+AW16)/2),AV16)</f>
        <v/>
      </c>
      <c r="AY16" s="16">
        <f>IF((((AV16+AW16)/2)+(C16/(DATOS!$B$14*((AV16+AW16)/2)))^2/(2*9.81)+B16-(E15+(C15/(DATOS!$B$14*E15))^2/(2*9.81)+B15+0.5*(((DATOS!$B$27*C15/(DATOS!$B$14*E15))^2/((DATOS!$B$14*E15)/(DATOS!$B$14+2*E15))^(4/3))+((DATOS!$B$27*C16/(DATOS!$B$14*((AV16+AW16)/2)))^2/((DATOS!$B$14*((AV16+AW16)/2))/(DATOS!$B$14+2*((AV16+AW16)/2)))^(4/3)))*(A15-A16)))&lt;0,AW16,((AV16+AW16)/2))</f>
        <v/>
      </c>
      <c r="AZ16" s="16">
        <f>IF((((AX16+AY16)/2)+(C16/(DATOS!$B$14*((AX16+AY16)/2)))^2/(2*9.81)+B16-(E15+(C15/(DATOS!$B$14*E15))^2/(2*9.81)+B15+0.5*(((DATOS!$B$27*C15/(DATOS!$B$14*E15))^2/((DATOS!$B$14*E15)/(DATOS!$B$14+2*E15))^(4/3))+((DATOS!$B$27*C16/(DATOS!$B$14*((AX16+AY16)/2)))^2/((DATOS!$B$14*((AX16+AY16)/2))/(DATOS!$B$14+2*((AX16+AY16)/2)))^(4/3)))*(A15-A16)))&lt;0,((AX16+AY16)/2),AX16)</f>
        <v/>
      </c>
      <c r="BA16" s="16">
        <f>IF((((AX16+AY16)/2)+(C16/(DATOS!$B$14*((AX16+AY16)/2)))^2/(2*9.81)+B16-(E15+(C15/(DATOS!$B$14*E15))^2/(2*9.81)+B15+0.5*(((DATOS!$B$27*C15/(DATOS!$B$14*E15))^2/((DATOS!$B$14*E15)/(DATOS!$B$14+2*E15))^(4/3))+((DATOS!$B$27*C16/(DATOS!$B$14*((AX16+AY16)/2)))^2/((DATOS!$B$14*((AX16+AY16)/2))/(DATOS!$B$14+2*((AX16+AY16)/2)))^(4/3)))*(A15-A16)))&lt;0,AY16,((AX16+AY16)/2))</f>
        <v/>
      </c>
      <c r="BB16" s="16">
        <f>IF((((AZ16+BA16)/2)+(C16/(DATOS!$B$14*((AZ16+BA16)/2)))^2/(2*9.81)+B16-(E15+(C15/(DATOS!$B$14*E15))^2/(2*9.81)+B15+0.5*(((DATOS!$B$27*C15/(DATOS!$B$14*E15))^2/((DATOS!$B$14*E15)/(DATOS!$B$14+2*E15))^(4/3))+((DATOS!$B$27*C16/(DATOS!$B$14*((AZ16+BA16)/2)))^2/((DATOS!$B$14*((AZ16+BA16)/2))/(DATOS!$B$14+2*((AZ16+BA16)/2)))^(4/3)))*(A15-A16)))&lt;0,((AZ16+BA16)/2),AZ16)</f>
        <v/>
      </c>
      <c r="BC16" s="16">
        <f>IF((((AZ16+BA16)/2)+(C16/(DATOS!$B$14*((AZ16+BA16)/2)))^2/(2*9.81)+B16-(E15+(C15/(DATOS!$B$14*E15))^2/(2*9.81)+B15+0.5*(((DATOS!$B$27*C15/(DATOS!$B$14*E15))^2/((DATOS!$B$14*E15)/(DATOS!$B$14+2*E15))^(4/3))+((DATOS!$B$27*C16/(DATOS!$B$14*((AZ16+BA16)/2)))^2/((DATOS!$B$14*((AZ16+BA16)/2))/(DATOS!$B$14+2*((AZ16+BA16)/2)))^(4/3)))*(A15-A16)))&lt;0,BA16,((AZ16+BA16)/2))</f>
        <v/>
      </c>
      <c r="BD16" s="16">
        <f>IF((((BB16+BC16)/2)+(C16/(DATOS!$B$14*((BB16+BC16)/2)))^2/(2*9.81)+B16-(E15+(C15/(DATOS!$B$14*E15))^2/(2*9.81)+B15+0.5*(((DATOS!$B$27*C15/(DATOS!$B$14*E15))^2/((DATOS!$B$14*E15)/(DATOS!$B$14+2*E15))^(4/3))+((DATOS!$B$27*C16/(DATOS!$B$14*((BB16+BC16)/2)))^2/((DATOS!$B$14*((BB16+BC16)/2))/(DATOS!$B$14+2*((BB16+BC16)/2)))^(4/3)))*(A15-A16)))&lt;0,((BB16+BC16)/2),BB16)</f>
        <v/>
      </c>
      <c r="BE16" s="16">
        <f>IF((((BB16+BC16)/2)+(C16/(DATOS!$B$14*((BB16+BC16)/2)))^2/(2*9.81)+B16-(E15+(C15/(DATOS!$B$14*E15))^2/(2*9.81)+B15+0.5*(((DATOS!$B$27*C15/(DATOS!$B$14*E15))^2/((DATOS!$B$14*E15)/(DATOS!$B$14+2*E15))^(4/3))+((DATOS!$B$27*C16/(DATOS!$B$14*((BB16+BC16)/2)))^2/((DATOS!$B$14*((BB16+BC16)/2))/(DATOS!$B$14+2*((BB16+BC16)/2)))^(4/3)))*(A15-A16)))&lt;0,BC16,((BB16+BC16)/2))</f>
        <v/>
      </c>
      <c r="BF16" s="16">
        <f>IF((((BD16+BE16)/2)+(C16/(DATOS!$B$14*((BD16+BE16)/2)))^2/(2*9.81)+B16-(E15+(C15/(DATOS!$B$14*E15))^2/(2*9.81)+B15+0.5*(((DATOS!$B$27*C15/(DATOS!$B$14*E15))^2/((DATOS!$B$14*E15)/(DATOS!$B$14+2*E15))^(4/3))+((DATOS!$B$27*C16/(DATOS!$B$14*((BD16+BE16)/2)))^2/((DATOS!$B$14*((BD16+BE16)/2))/(DATOS!$B$14+2*((BD16+BE16)/2)))^(4/3)))*(A15-A16)))&lt;0,((BD16+BE16)/2),BD16)</f>
        <v/>
      </c>
      <c r="BG16" s="16">
        <f>IF((((BD16+BE16)/2)+(C16/(DATOS!$B$14*((BD16+BE16)/2)))^2/(2*9.81)+B16-(E15+(C15/(DATOS!$B$14*E15))^2/(2*9.81)+B15+0.5*(((DATOS!$B$27*C15/(DATOS!$B$14*E15))^2/((DATOS!$B$14*E15)/(DATOS!$B$14+2*E15))^(4/3))+((DATOS!$B$27*C16/(DATOS!$B$14*((BD16+BE16)/2)))^2/((DATOS!$B$14*((BD16+BE16)/2))/(DATOS!$B$14+2*((BD16+BE16)/2)))^(4/3)))*(A15-A16)))&lt;0,BE16,((BD16+BE16)/2))</f>
        <v/>
      </c>
      <c r="BH16" s="16">
        <f>IF((((BF16+BG16)/2)+(C16/(DATOS!$B$14*((BF16+BG16)/2)))^2/(2*9.81)+B16-(E15+(C15/(DATOS!$B$14*E15))^2/(2*9.81)+B15+0.5*(((DATOS!$B$27*C15/(DATOS!$B$14*E15))^2/((DATOS!$B$14*E15)/(DATOS!$B$14+2*E15))^(4/3))+((DATOS!$B$27*C16/(DATOS!$B$14*((BF16+BG16)/2)))^2/((DATOS!$B$14*((BF16+BG16)/2))/(DATOS!$B$14+2*((BF16+BG16)/2)))^(4/3)))*(A15-A16)))&lt;0,((BF16+BG16)/2),BF16)</f>
        <v/>
      </c>
      <c r="BI16" s="16">
        <f>IF((((BF16+BG16)/2)+(C16/(DATOS!$B$14*((BF16+BG16)/2)))^2/(2*9.81)+B16-(E15+(C15/(DATOS!$B$14*E15))^2/(2*9.81)+B15+0.5*(((DATOS!$B$27*C15/(DATOS!$B$14*E15))^2/((DATOS!$B$14*E15)/(DATOS!$B$14+2*E15))^(4/3))+((DATOS!$B$27*C16/(DATOS!$B$14*((BF16+BG16)/2)))^2/((DATOS!$B$14*((BF16+BG16)/2))/(DATOS!$B$14+2*((BF16+BG16)/2)))^(4/3)))*(A15-A16)))&lt;0,BG16,((BF16+BG16)/2))</f>
        <v/>
      </c>
      <c r="BJ16" s="16">
        <f>IF((((BH16+BI16)/2)+(C16/(DATOS!$B$14*((BH16+BI16)/2)))^2/(2*9.81)+B16-(E15+(C15/(DATOS!$B$14*E15))^2/(2*9.81)+B15+0.5*(((DATOS!$B$27*C15/(DATOS!$B$14*E15))^2/((DATOS!$B$14*E15)/(DATOS!$B$14+2*E15))^(4/3))+((DATOS!$B$27*C16/(DATOS!$B$14*((BH16+BI16)/2)))^2/((DATOS!$B$14*((BH16+BI16)/2))/(DATOS!$B$14+2*((BH16+BI16)/2)))^(4/3)))*(A15-A16)))&lt;0,((BH16+BI16)/2),BH16)</f>
        <v/>
      </c>
      <c r="BK16" s="16">
        <f>IF((((BH16+BI16)/2)+(C16/(DATOS!$B$14*((BH16+BI16)/2)))^2/(2*9.81)+B16-(E15+(C15/(DATOS!$B$14*E15))^2/(2*9.81)+B15+0.5*(((DATOS!$B$27*C15/(DATOS!$B$14*E15))^2/((DATOS!$B$14*E15)/(DATOS!$B$14+2*E15))^(4/3))+((DATOS!$B$27*C16/(DATOS!$B$14*((BH16+BI16)/2)))^2/((DATOS!$B$14*((BH16+BI16)/2))/(DATOS!$B$14+2*((BH16+BI16)/2)))^(4/3)))*(A15-A16)))&lt;0,BI16,((BH16+BI16)/2))</f>
        <v/>
      </c>
      <c r="BL16" s="16">
        <f>IF((((BJ16+BK16)/2)+(C16/(DATOS!$B$14*((BJ16+BK16)/2)))^2/(2*9.81)+B16-(E15+(C15/(DATOS!$B$14*E15))^2/(2*9.81)+B15+0.5*(((DATOS!$B$27*C15/(DATOS!$B$14*E15))^2/((DATOS!$B$14*E15)/(DATOS!$B$14+2*E15))^(4/3))+((DATOS!$B$27*C16/(DATOS!$B$14*((BJ16+BK16)/2)))^2/((DATOS!$B$14*((BJ16+BK16)/2))/(DATOS!$B$14+2*((BJ16+BK16)/2)))^(4/3)))*(A15-A16)))&lt;0,((BJ16+BK16)/2),BJ16)</f>
        <v/>
      </c>
      <c r="BM16" s="16">
        <f>IF((((BJ16+BK16)/2)+(C16/(DATOS!$B$14*((BJ16+BK16)/2)))^2/(2*9.81)+B16-(E15+(C15/(DATOS!$B$14*E15))^2/(2*9.81)+B15+0.5*(((DATOS!$B$27*C15/(DATOS!$B$14*E15))^2/((DATOS!$B$14*E15)/(DATOS!$B$14+2*E15))^(4/3))+((DATOS!$B$27*C16/(DATOS!$B$14*((BJ16+BK16)/2)))^2/((DATOS!$B$14*((BJ16+BK16)/2))/(DATOS!$B$14+2*((BJ16+BK16)/2)))^(4/3)))*(A15-A16)))&lt;0,BK16,((BJ16+BK16)/2))</f>
        <v/>
      </c>
      <c r="BN16" s="16">
        <f>IF((((BL16+BM16)/2)+(C16/(DATOS!$B$14*((BL16+BM16)/2)))^2/(2*9.81)+B16-(E15+(C15/(DATOS!$B$14*E15))^2/(2*9.81)+B15+0.5*(((DATOS!$B$27*C15/(DATOS!$B$14*E15))^2/((DATOS!$B$14*E15)/(DATOS!$B$14+2*E15))^(4/3))+((DATOS!$B$27*C16/(DATOS!$B$14*((BL16+BM16)/2)))^2/((DATOS!$B$14*((BL16+BM16)/2))/(DATOS!$B$14+2*((BL16+BM16)/2)))^(4/3)))*(A15-A16)))&lt;0,((BL16+BM16)/2),BL16)</f>
        <v/>
      </c>
      <c r="BO16" s="16">
        <f>IF((((BL16+BM16)/2)+(C16/(DATOS!$B$14*((BL16+BM16)/2)))^2/(2*9.81)+B16-(E15+(C15/(DATOS!$B$14*E15))^2/(2*9.81)+B15+0.5*(((DATOS!$B$27*C15/(DATOS!$B$14*E15))^2/((DATOS!$B$14*E15)/(DATOS!$B$14+2*E15))^(4/3))+((DATOS!$B$27*C16/(DATOS!$B$14*((BL16+BM16)/2)))^2/((DATOS!$B$14*((BL16+BM16)/2))/(DATOS!$B$14+2*((BL16+BM16)/2)))^(4/3)))*(A15-A16)))&lt;0,BM16,((BL16+BM16)/2))</f>
        <v/>
      </c>
      <c r="BP16" s="16">
        <f>IF((((BN16+BO16)/2)+(C16/(DATOS!$B$14*((BN16+BO16)/2)))^2/(2*9.81)+B16-(E15+(C15/(DATOS!$B$14*E15))^2/(2*9.81)+B15+0.5*(((DATOS!$B$27*C15/(DATOS!$B$14*E15))^2/((DATOS!$B$14*E15)/(DATOS!$B$14+2*E15))^(4/3))+((DATOS!$B$27*C16/(DATOS!$B$14*((BN16+BO16)/2)))^2/((DATOS!$B$14*((BN16+BO16)/2))/(DATOS!$B$14+2*((BN16+BO16)/2)))^(4/3)))*(A15-A16)))&lt;0,((BN16+BO16)/2),BN16)</f>
        <v/>
      </c>
      <c r="BQ16" s="16">
        <f>IF((((BN16+BO16)/2)+(C16/(DATOS!$B$14*((BN16+BO16)/2)))^2/(2*9.81)+B16-(E15+(C15/(DATOS!$B$14*E15))^2/(2*9.81)+B15+0.5*(((DATOS!$B$27*C15/(DATOS!$B$14*E15))^2/((DATOS!$B$14*E15)/(DATOS!$B$14+2*E15))^(4/3))+((DATOS!$B$27*C16/(DATOS!$B$14*((BN16+BO16)/2)))^2/((DATOS!$B$14*((BN16+BO16)/2))/(DATOS!$B$14+2*((BN16+BO16)/2)))^(4/3)))*(A15-A16)))&lt;0,BO16,((BN16+BO16)/2))</f>
        <v/>
      </c>
      <c r="BR16" s="16">
        <f>IF((((BP16+BQ16)/2)+(C16/(DATOS!$B$14*((BP16+BQ16)/2)))^2/(2*9.81)+B16-(E15+(C15/(DATOS!$B$14*E15))^2/(2*9.81)+B15+0.5*(((DATOS!$B$27*C15/(DATOS!$B$14*E15))^2/((DATOS!$B$14*E15)/(DATOS!$B$14+2*E15))^(4/3))+((DATOS!$B$27*C16/(DATOS!$B$14*((BP16+BQ16)/2)))^2/((DATOS!$B$14*((BP16+BQ16)/2))/(DATOS!$B$14+2*((BP16+BQ16)/2)))^(4/3)))*(A15-A16)))&lt;0,((BP16+BQ16)/2),BP16)</f>
        <v/>
      </c>
      <c r="BS16" s="16">
        <f>IF((((BP16+BQ16)/2)+(C16/(DATOS!$B$14*((BP16+BQ16)/2)))^2/(2*9.81)+B16-(E15+(C15/(DATOS!$B$14*E15))^2/(2*9.81)+B15+0.5*(((DATOS!$B$27*C15/(DATOS!$B$14*E15))^2/((DATOS!$B$14*E15)/(DATOS!$B$14+2*E15))^(4/3))+((DATOS!$B$27*C16/(DATOS!$B$14*((BP16+BQ16)/2)))^2/((DATOS!$B$14*((BP16+BQ16)/2))/(DATOS!$B$14+2*((BP16+BQ16)/2)))^(4/3)))*(A15-A16)))&lt;0,BQ16,((BP16+BQ16)/2))</f>
        <v/>
      </c>
      <c r="BT16" s="16">
        <f>IF((((BR16+BS16)/2)+(C16/(DATOS!$B$14*((BR16+BS16)/2)))^2/(2*9.81)+B16-(E15+(C15/(DATOS!$B$14*E15))^2/(2*9.81)+B15+0.5*(((DATOS!$B$27*C15/(DATOS!$B$14*E15))^2/((DATOS!$B$14*E15)/(DATOS!$B$14+2*E15))^(4/3))+((DATOS!$B$27*C16/(DATOS!$B$14*((BR16+BS16)/2)))^2/((DATOS!$B$14*((BR16+BS16)/2))/(DATOS!$B$14+2*((BR16+BS16)/2)))^(4/3)))*(A15-A16)))&lt;0,((BR16+BS16)/2),BR16)</f>
        <v/>
      </c>
      <c r="BU16" s="16">
        <f>IF((((BR16+BS16)/2)+(C16/(DATOS!$B$14*((BR16+BS16)/2)))^2/(2*9.81)+B16-(E15+(C15/(DATOS!$B$14*E15))^2/(2*9.81)+B15+0.5*(((DATOS!$B$27*C15/(DATOS!$B$14*E15))^2/((DATOS!$B$14*E15)/(DATOS!$B$14+2*E15))^(4/3))+((DATOS!$B$27*C16/(DATOS!$B$14*((BR16+BS16)/2)))^2/((DATOS!$B$14*((BR16+BS16)/2))/(DATOS!$B$14+2*((BR16+BS16)/2)))^(4/3)))*(A15-A16)))&lt;0,BS16,((BR16+BS16)/2))</f>
        <v/>
      </c>
    </row>
    <row r="17">
      <c r="A17" s="30" t="n">
        <v>116</v>
      </c>
      <c r="B17" s="21">
        <f>DATOS!$B$16-DATOS!$B$19*A17</f>
        <v/>
      </c>
      <c r="C17" s="21">
        <f>IF(A17&lt;CAUDALES!$B$13,CAUDALES!$D$12,IF(A17&lt;CAUDALES!$B$14,CAUDALES!$D$13,IF(A17&lt;CAUDALES!$B$15,CAUDALES!$D$14,CAUDALES!$D$15)))/1000</f>
        <v/>
      </c>
      <c r="D17" s="21">
        <f>(C17^2/(9.81*DATOS!$B$14^2))^(1/3)</f>
        <v/>
      </c>
      <c r="E17" s="29">
        <f>(BT17+BU17)/2</f>
        <v/>
      </c>
      <c r="F17" s="21">
        <f>B17+E17</f>
        <v/>
      </c>
      <c r="G17" s="17">
        <f>C17/(DATOS!$B$14*E17)</f>
        <v/>
      </c>
      <c r="H17" s="17">
        <f>G17/SQRT(9.81*E17)</f>
        <v/>
      </c>
      <c r="I17" s="21">
        <f>IF(A17&lt;=DATOS!$B$20,DATOS!$B$21-IF(AND(A17&gt;=DATOS!$B$23,A17&lt;DATOS!$B$24),DATOS!$B$25,DATOS!$B$22),B17+DATOS!$B$26)</f>
        <v/>
      </c>
      <c r="J17" s="17">
        <f>I17-B17</f>
        <v/>
      </c>
      <c r="K17" s="31">
        <f>E17/J17</f>
        <v/>
      </c>
      <c r="L17" s="21">
        <f>I17-F17</f>
        <v/>
      </c>
      <c r="M17" s="32">
        <f>IF(AND(K17&lt;=DATOS!$B$29,L17&gt;=DATOS!$B$30),"CUMPLE","NO CUMPLE")</f>
        <v/>
      </c>
      <c r="N17" s="13">
        <f>IF(A17&gt;DATOS!$B$20,"cubierto - tramo final",IF(AND(A17&gt;=DATOS!$B$23,A17&lt;DATOS!$B$24),"cubierto - camiones","cubierto"))</f>
        <v/>
      </c>
      <c r="P17" s="16">
        <f>D17*1.001</f>
        <v/>
      </c>
      <c r="Q17" s="16" t="n">
        <v>2</v>
      </c>
      <c r="R17" s="16">
        <f>IF((((P17+Q17)/2)+(C17/(DATOS!$B$14*((P17+Q17)/2)))^2/(2*9.81)+B17-(E16+(C16/(DATOS!$B$14*E16))^2/(2*9.81)+B16+0.5*(((DATOS!$B$27*C16/(DATOS!$B$14*E16))^2/((DATOS!$B$14*E16)/(DATOS!$B$14+2*E16))^(4/3))+((DATOS!$B$27*C17/(DATOS!$B$14*((P17+Q17)/2)))^2/((DATOS!$B$14*((P17+Q17)/2))/(DATOS!$B$14+2*((P17+Q17)/2)))^(4/3)))*(A16-A17)))&lt;0,((P17+Q17)/2),P17)</f>
        <v/>
      </c>
      <c r="S17" s="16">
        <f>IF((((P17+Q17)/2)+(C17/(DATOS!$B$14*((P17+Q17)/2)))^2/(2*9.81)+B17-(E16+(C16/(DATOS!$B$14*E16))^2/(2*9.81)+B16+0.5*(((DATOS!$B$27*C16/(DATOS!$B$14*E16))^2/((DATOS!$B$14*E16)/(DATOS!$B$14+2*E16))^(4/3))+((DATOS!$B$27*C17/(DATOS!$B$14*((P17+Q17)/2)))^2/((DATOS!$B$14*((P17+Q17)/2))/(DATOS!$B$14+2*((P17+Q17)/2)))^(4/3)))*(A16-A17)))&lt;0,Q17,((P17+Q17)/2))</f>
        <v/>
      </c>
      <c r="T17" s="16">
        <f>IF((((R17+S17)/2)+(C17/(DATOS!$B$14*((R17+S17)/2)))^2/(2*9.81)+B17-(E16+(C16/(DATOS!$B$14*E16))^2/(2*9.81)+B16+0.5*(((DATOS!$B$27*C16/(DATOS!$B$14*E16))^2/((DATOS!$B$14*E16)/(DATOS!$B$14+2*E16))^(4/3))+((DATOS!$B$27*C17/(DATOS!$B$14*((R17+S17)/2)))^2/((DATOS!$B$14*((R17+S17)/2))/(DATOS!$B$14+2*((R17+S17)/2)))^(4/3)))*(A16-A17)))&lt;0,((R17+S17)/2),R17)</f>
        <v/>
      </c>
      <c r="U17" s="16">
        <f>IF((((R17+S17)/2)+(C17/(DATOS!$B$14*((R17+S17)/2)))^2/(2*9.81)+B17-(E16+(C16/(DATOS!$B$14*E16))^2/(2*9.81)+B16+0.5*(((DATOS!$B$27*C16/(DATOS!$B$14*E16))^2/((DATOS!$B$14*E16)/(DATOS!$B$14+2*E16))^(4/3))+((DATOS!$B$27*C17/(DATOS!$B$14*((R17+S17)/2)))^2/((DATOS!$B$14*((R17+S17)/2))/(DATOS!$B$14+2*((R17+S17)/2)))^(4/3)))*(A16-A17)))&lt;0,S17,((R17+S17)/2))</f>
        <v/>
      </c>
      <c r="V17" s="16">
        <f>IF((((T17+U17)/2)+(C17/(DATOS!$B$14*((T17+U17)/2)))^2/(2*9.81)+B17-(E16+(C16/(DATOS!$B$14*E16))^2/(2*9.81)+B16+0.5*(((DATOS!$B$27*C16/(DATOS!$B$14*E16))^2/((DATOS!$B$14*E16)/(DATOS!$B$14+2*E16))^(4/3))+((DATOS!$B$27*C17/(DATOS!$B$14*((T17+U17)/2)))^2/((DATOS!$B$14*((T17+U17)/2))/(DATOS!$B$14+2*((T17+U17)/2)))^(4/3)))*(A16-A17)))&lt;0,((T17+U17)/2),T17)</f>
        <v/>
      </c>
      <c r="W17" s="16">
        <f>IF((((T17+U17)/2)+(C17/(DATOS!$B$14*((T17+U17)/2)))^2/(2*9.81)+B17-(E16+(C16/(DATOS!$B$14*E16))^2/(2*9.81)+B16+0.5*(((DATOS!$B$27*C16/(DATOS!$B$14*E16))^2/((DATOS!$B$14*E16)/(DATOS!$B$14+2*E16))^(4/3))+((DATOS!$B$27*C17/(DATOS!$B$14*((T17+U17)/2)))^2/((DATOS!$B$14*((T17+U17)/2))/(DATOS!$B$14+2*((T17+U17)/2)))^(4/3)))*(A16-A17)))&lt;0,U17,((T17+U17)/2))</f>
        <v/>
      </c>
      <c r="X17" s="16">
        <f>IF((((V17+W17)/2)+(C17/(DATOS!$B$14*((V17+W17)/2)))^2/(2*9.81)+B17-(E16+(C16/(DATOS!$B$14*E16))^2/(2*9.81)+B16+0.5*(((DATOS!$B$27*C16/(DATOS!$B$14*E16))^2/((DATOS!$B$14*E16)/(DATOS!$B$14+2*E16))^(4/3))+((DATOS!$B$27*C17/(DATOS!$B$14*((V17+W17)/2)))^2/((DATOS!$B$14*((V17+W17)/2))/(DATOS!$B$14+2*((V17+W17)/2)))^(4/3)))*(A16-A17)))&lt;0,((V17+W17)/2),V17)</f>
        <v/>
      </c>
      <c r="Y17" s="16">
        <f>IF((((V17+W17)/2)+(C17/(DATOS!$B$14*((V17+W17)/2)))^2/(2*9.81)+B17-(E16+(C16/(DATOS!$B$14*E16))^2/(2*9.81)+B16+0.5*(((DATOS!$B$27*C16/(DATOS!$B$14*E16))^2/((DATOS!$B$14*E16)/(DATOS!$B$14+2*E16))^(4/3))+((DATOS!$B$27*C17/(DATOS!$B$14*((V17+W17)/2)))^2/((DATOS!$B$14*((V17+W17)/2))/(DATOS!$B$14+2*((V17+W17)/2)))^(4/3)))*(A16-A17)))&lt;0,W17,((V17+W17)/2))</f>
        <v/>
      </c>
      <c r="Z17" s="16">
        <f>IF((((X17+Y17)/2)+(C17/(DATOS!$B$14*((X17+Y17)/2)))^2/(2*9.81)+B17-(E16+(C16/(DATOS!$B$14*E16))^2/(2*9.81)+B16+0.5*(((DATOS!$B$27*C16/(DATOS!$B$14*E16))^2/((DATOS!$B$14*E16)/(DATOS!$B$14+2*E16))^(4/3))+((DATOS!$B$27*C17/(DATOS!$B$14*((X17+Y17)/2)))^2/((DATOS!$B$14*((X17+Y17)/2))/(DATOS!$B$14+2*((X17+Y17)/2)))^(4/3)))*(A16-A17)))&lt;0,((X17+Y17)/2),X17)</f>
        <v/>
      </c>
      <c r="AA17" s="16">
        <f>IF((((X17+Y17)/2)+(C17/(DATOS!$B$14*((X17+Y17)/2)))^2/(2*9.81)+B17-(E16+(C16/(DATOS!$B$14*E16))^2/(2*9.81)+B16+0.5*(((DATOS!$B$27*C16/(DATOS!$B$14*E16))^2/((DATOS!$B$14*E16)/(DATOS!$B$14+2*E16))^(4/3))+((DATOS!$B$27*C17/(DATOS!$B$14*((X17+Y17)/2)))^2/((DATOS!$B$14*((X17+Y17)/2))/(DATOS!$B$14+2*((X17+Y17)/2)))^(4/3)))*(A16-A17)))&lt;0,Y17,((X17+Y17)/2))</f>
        <v/>
      </c>
      <c r="AB17" s="16">
        <f>IF((((Z17+AA17)/2)+(C17/(DATOS!$B$14*((Z17+AA17)/2)))^2/(2*9.81)+B17-(E16+(C16/(DATOS!$B$14*E16))^2/(2*9.81)+B16+0.5*(((DATOS!$B$27*C16/(DATOS!$B$14*E16))^2/((DATOS!$B$14*E16)/(DATOS!$B$14+2*E16))^(4/3))+((DATOS!$B$27*C17/(DATOS!$B$14*((Z17+AA17)/2)))^2/((DATOS!$B$14*((Z17+AA17)/2))/(DATOS!$B$14+2*((Z17+AA17)/2)))^(4/3)))*(A16-A17)))&lt;0,((Z17+AA17)/2),Z17)</f>
        <v/>
      </c>
      <c r="AC17" s="16">
        <f>IF((((Z17+AA17)/2)+(C17/(DATOS!$B$14*((Z17+AA17)/2)))^2/(2*9.81)+B17-(E16+(C16/(DATOS!$B$14*E16))^2/(2*9.81)+B16+0.5*(((DATOS!$B$27*C16/(DATOS!$B$14*E16))^2/((DATOS!$B$14*E16)/(DATOS!$B$14+2*E16))^(4/3))+((DATOS!$B$27*C17/(DATOS!$B$14*((Z17+AA17)/2)))^2/((DATOS!$B$14*((Z17+AA17)/2))/(DATOS!$B$14+2*((Z17+AA17)/2)))^(4/3)))*(A16-A17)))&lt;0,AA17,((Z17+AA17)/2))</f>
        <v/>
      </c>
      <c r="AD17" s="16">
        <f>IF((((AB17+AC17)/2)+(C17/(DATOS!$B$14*((AB17+AC17)/2)))^2/(2*9.81)+B17-(E16+(C16/(DATOS!$B$14*E16))^2/(2*9.81)+B16+0.5*(((DATOS!$B$27*C16/(DATOS!$B$14*E16))^2/((DATOS!$B$14*E16)/(DATOS!$B$14+2*E16))^(4/3))+((DATOS!$B$27*C17/(DATOS!$B$14*((AB17+AC17)/2)))^2/((DATOS!$B$14*((AB17+AC17)/2))/(DATOS!$B$14+2*((AB17+AC17)/2)))^(4/3)))*(A16-A17)))&lt;0,((AB17+AC17)/2),AB17)</f>
        <v/>
      </c>
      <c r="AE17" s="16">
        <f>IF((((AB17+AC17)/2)+(C17/(DATOS!$B$14*((AB17+AC17)/2)))^2/(2*9.81)+B17-(E16+(C16/(DATOS!$B$14*E16))^2/(2*9.81)+B16+0.5*(((DATOS!$B$27*C16/(DATOS!$B$14*E16))^2/((DATOS!$B$14*E16)/(DATOS!$B$14+2*E16))^(4/3))+((DATOS!$B$27*C17/(DATOS!$B$14*((AB17+AC17)/2)))^2/((DATOS!$B$14*((AB17+AC17)/2))/(DATOS!$B$14+2*((AB17+AC17)/2)))^(4/3)))*(A16-A17)))&lt;0,AC17,((AB17+AC17)/2))</f>
        <v/>
      </c>
      <c r="AF17" s="16">
        <f>IF((((AD17+AE17)/2)+(C17/(DATOS!$B$14*((AD17+AE17)/2)))^2/(2*9.81)+B17-(E16+(C16/(DATOS!$B$14*E16))^2/(2*9.81)+B16+0.5*(((DATOS!$B$27*C16/(DATOS!$B$14*E16))^2/((DATOS!$B$14*E16)/(DATOS!$B$14+2*E16))^(4/3))+((DATOS!$B$27*C17/(DATOS!$B$14*((AD17+AE17)/2)))^2/((DATOS!$B$14*((AD17+AE17)/2))/(DATOS!$B$14+2*((AD17+AE17)/2)))^(4/3)))*(A16-A17)))&lt;0,((AD17+AE17)/2),AD17)</f>
        <v/>
      </c>
      <c r="AG17" s="16">
        <f>IF((((AD17+AE17)/2)+(C17/(DATOS!$B$14*((AD17+AE17)/2)))^2/(2*9.81)+B17-(E16+(C16/(DATOS!$B$14*E16))^2/(2*9.81)+B16+0.5*(((DATOS!$B$27*C16/(DATOS!$B$14*E16))^2/((DATOS!$B$14*E16)/(DATOS!$B$14+2*E16))^(4/3))+((DATOS!$B$27*C17/(DATOS!$B$14*((AD17+AE17)/2)))^2/((DATOS!$B$14*((AD17+AE17)/2))/(DATOS!$B$14+2*((AD17+AE17)/2)))^(4/3)))*(A16-A17)))&lt;0,AE17,((AD17+AE17)/2))</f>
        <v/>
      </c>
      <c r="AH17" s="16">
        <f>IF((((AF17+AG17)/2)+(C17/(DATOS!$B$14*((AF17+AG17)/2)))^2/(2*9.81)+B17-(E16+(C16/(DATOS!$B$14*E16))^2/(2*9.81)+B16+0.5*(((DATOS!$B$27*C16/(DATOS!$B$14*E16))^2/((DATOS!$B$14*E16)/(DATOS!$B$14+2*E16))^(4/3))+((DATOS!$B$27*C17/(DATOS!$B$14*((AF17+AG17)/2)))^2/((DATOS!$B$14*((AF17+AG17)/2))/(DATOS!$B$14+2*((AF17+AG17)/2)))^(4/3)))*(A16-A17)))&lt;0,((AF17+AG17)/2),AF17)</f>
        <v/>
      </c>
      <c r="AI17" s="16">
        <f>IF((((AF17+AG17)/2)+(C17/(DATOS!$B$14*((AF17+AG17)/2)))^2/(2*9.81)+B17-(E16+(C16/(DATOS!$B$14*E16))^2/(2*9.81)+B16+0.5*(((DATOS!$B$27*C16/(DATOS!$B$14*E16))^2/((DATOS!$B$14*E16)/(DATOS!$B$14+2*E16))^(4/3))+((DATOS!$B$27*C17/(DATOS!$B$14*((AF17+AG17)/2)))^2/((DATOS!$B$14*((AF17+AG17)/2))/(DATOS!$B$14+2*((AF17+AG17)/2)))^(4/3)))*(A16-A17)))&lt;0,AG17,((AF17+AG17)/2))</f>
        <v/>
      </c>
      <c r="AJ17" s="16">
        <f>IF((((AH17+AI17)/2)+(C17/(DATOS!$B$14*((AH17+AI17)/2)))^2/(2*9.81)+B17-(E16+(C16/(DATOS!$B$14*E16))^2/(2*9.81)+B16+0.5*(((DATOS!$B$27*C16/(DATOS!$B$14*E16))^2/((DATOS!$B$14*E16)/(DATOS!$B$14+2*E16))^(4/3))+((DATOS!$B$27*C17/(DATOS!$B$14*((AH17+AI17)/2)))^2/((DATOS!$B$14*((AH17+AI17)/2))/(DATOS!$B$14+2*((AH17+AI17)/2)))^(4/3)))*(A16-A17)))&lt;0,((AH17+AI17)/2),AH17)</f>
        <v/>
      </c>
      <c r="AK17" s="16">
        <f>IF((((AH17+AI17)/2)+(C17/(DATOS!$B$14*((AH17+AI17)/2)))^2/(2*9.81)+B17-(E16+(C16/(DATOS!$B$14*E16))^2/(2*9.81)+B16+0.5*(((DATOS!$B$27*C16/(DATOS!$B$14*E16))^2/((DATOS!$B$14*E16)/(DATOS!$B$14+2*E16))^(4/3))+((DATOS!$B$27*C17/(DATOS!$B$14*((AH17+AI17)/2)))^2/((DATOS!$B$14*((AH17+AI17)/2))/(DATOS!$B$14+2*((AH17+AI17)/2)))^(4/3)))*(A16-A17)))&lt;0,AI17,((AH17+AI17)/2))</f>
        <v/>
      </c>
      <c r="AL17" s="16">
        <f>IF((((AJ17+AK17)/2)+(C17/(DATOS!$B$14*((AJ17+AK17)/2)))^2/(2*9.81)+B17-(E16+(C16/(DATOS!$B$14*E16))^2/(2*9.81)+B16+0.5*(((DATOS!$B$27*C16/(DATOS!$B$14*E16))^2/((DATOS!$B$14*E16)/(DATOS!$B$14+2*E16))^(4/3))+((DATOS!$B$27*C17/(DATOS!$B$14*((AJ17+AK17)/2)))^2/((DATOS!$B$14*((AJ17+AK17)/2))/(DATOS!$B$14+2*((AJ17+AK17)/2)))^(4/3)))*(A16-A17)))&lt;0,((AJ17+AK17)/2),AJ17)</f>
        <v/>
      </c>
      <c r="AM17" s="16">
        <f>IF((((AJ17+AK17)/2)+(C17/(DATOS!$B$14*((AJ17+AK17)/2)))^2/(2*9.81)+B17-(E16+(C16/(DATOS!$B$14*E16))^2/(2*9.81)+B16+0.5*(((DATOS!$B$27*C16/(DATOS!$B$14*E16))^2/((DATOS!$B$14*E16)/(DATOS!$B$14+2*E16))^(4/3))+((DATOS!$B$27*C17/(DATOS!$B$14*((AJ17+AK17)/2)))^2/((DATOS!$B$14*((AJ17+AK17)/2))/(DATOS!$B$14+2*((AJ17+AK17)/2)))^(4/3)))*(A16-A17)))&lt;0,AK17,((AJ17+AK17)/2))</f>
        <v/>
      </c>
      <c r="AN17" s="16">
        <f>IF((((AL17+AM17)/2)+(C17/(DATOS!$B$14*((AL17+AM17)/2)))^2/(2*9.81)+B17-(E16+(C16/(DATOS!$B$14*E16))^2/(2*9.81)+B16+0.5*(((DATOS!$B$27*C16/(DATOS!$B$14*E16))^2/((DATOS!$B$14*E16)/(DATOS!$B$14+2*E16))^(4/3))+((DATOS!$B$27*C17/(DATOS!$B$14*((AL17+AM17)/2)))^2/((DATOS!$B$14*((AL17+AM17)/2))/(DATOS!$B$14+2*((AL17+AM17)/2)))^(4/3)))*(A16-A17)))&lt;0,((AL17+AM17)/2),AL17)</f>
        <v/>
      </c>
      <c r="AO17" s="16">
        <f>IF((((AL17+AM17)/2)+(C17/(DATOS!$B$14*((AL17+AM17)/2)))^2/(2*9.81)+B17-(E16+(C16/(DATOS!$B$14*E16))^2/(2*9.81)+B16+0.5*(((DATOS!$B$27*C16/(DATOS!$B$14*E16))^2/((DATOS!$B$14*E16)/(DATOS!$B$14+2*E16))^(4/3))+((DATOS!$B$27*C17/(DATOS!$B$14*((AL17+AM17)/2)))^2/((DATOS!$B$14*((AL17+AM17)/2))/(DATOS!$B$14+2*((AL17+AM17)/2)))^(4/3)))*(A16-A17)))&lt;0,AM17,((AL17+AM17)/2))</f>
        <v/>
      </c>
      <c r="AP17" s="16">
        <f>IF((((AN17+AO17)/2)+(C17/(DATOS!$B$14*((AN17+AO17)/2)))^2/(2*9.81)+B17-(E16+(C16/(DATOS!$B$14*E16))^2/(2*9.81)+B16+0.5*(((DATOS!$B$27*C16/(DATOS!$B$14*E16))^2/((DATOS!$B$14*E16)/(DATOS!$B$14+2*E16))^(4/3))+((DATOS!$B$27*C17/(DATOS!$B$14*((AN17+AO17)/2)))^2/((DATOS!$B$14*((AN17+AO17)/2))/(DATOS!$B$14+2*((AN17+AO17)/2)))^(4/3)))*(A16-A17)))&lt;0,((AN17+AO17)/2),AN17)</f>
        <v/>
      </c>
      <c r="AQ17" s="16">
        <f>IF((((AN17+AO17)/2)+(C17/(DATOS!$B$14*((AN17+AO17)/2)))^2/(2*9.81)+B17-(E16+(C16/(DATOS!$B$14*E16))^2/(2*9.81)+B16+0.5*(((DATOS!$B$27*C16/(DATOS!$B$14*E16))^2/((DATOS!$B$14*E16)/(DATOS!$B$14+2*E16))^(4/3))+((DATOS!$B$27*C17/(DATOS!$B$14*((AN17+AO17)/2)))^2/((DATOS!$B$14*((AN17+AO17)/2))/(DATOS!$B$14+2*((AN17+AO17)/2)))^(4/3)))*(A16-A17)))&lt;0,AO17,((AN17+AO17)/2))</f>
        <v/>
      </c>
      <c r="AR17" s="16">
        <f>IF((((AP17+AQ17)/2)+(C17/(DATOS!$B$14*((AP17+AQ17)/2)))^2/(2*9.81)+B17-(E16+(C16/(DATOS!$B$14*E16))^2/(2*9.81)+B16+0.5*(((DATOS!$B$27*C16/(DATOS!$B$14*E16))^2/((DATOS!$B$14*E16)/(DATOS!$B$14+2*E16))^(4/3))+((DATOS!$B$27*C17/(DATOS!$B$14*((AP17+AQ17)/2)))^2/((DATOS!$B$14*((AP17+AQ17)/2))/(DATOS!$B$14+2*((AP17+AQ17)/2)))^(4/3)))*(A16-A17)))&lt;0,((AP17+AQ17)/2),AP17)</f>
        <v/>
      </c>
      <c r="AS17" s="16">
        <f>IF((((AP17+AQ17)/2)+(C17/(DATOS!$B$14*((AP17+AQ17)/2)))^2/(2*9.81)+B17-(E16+(C16/(DATOS!$B$14*E16))^2/(2*9.81)+B16+0.5*(((DATOS!$B$27*C16/(DATOS!$B$14*E16))^2/((DATOS!$B$14*E16)/(DATOS!$B$14+2*E16))^(4/3))+((DATOS!$B$27*C17/(DATOS!$B$14*((AP17+AQ17)/2)))^2/((DATOS!$B$14*((AP17+AQ17)/2))/(DATOS!$B$14+2*((AP17+AQ17)/2)))^(4/3)))*(A16-A17)))&lt;0,AQ17,((AP17+AQ17)/2))</f>
        <v/>
      </c>
      <c r="AT17" s="16">
        <f>IF((((AR17+AS17)/2)+(C17/(DATOS!$B$14*((AR17+AS17)/2)))^2/(2*9.81)+B17-(E16+(C16/(DATOS!$B$14*E16))^2/(2*9.81)+B16+0.5*(((DATOS!$B$27*C16/(DATOS!$B$14*E16))^2/((DATOS!$B$14*E16)/(DATOS!$B$14+2*E16))^(4/3))+((DATOS!$B$27*C17/(DATOS!$B$14*((AR17+AS17)/2)))^2/((DATOS!$B$14*((AR17+AS17)/2))/(DATOS!$B$14+2*((AR17+AS17)/2)))^(4/3)))*(A16-A17)))&lt;0,((AR17+AS17)/2),AR17)</f>
        <v/>
      </c>
      <c r="AU17" s="16">
        <f>IF((((AR17+AS17)/2)+(C17/(DATOS!$B$14*((AR17+AS17)/2)))^2/(2*9.81)+B17-(E16+(C16/(DATOS!$B$14*E16))^2/(2*9.81)+B16+0.5*(((DATOS!$B$27*C16/(DATOS!$B$14*E16))^2/((DATOS!$B$14*E16)/(DATOS!$B$14+2*E16))^(4/3))+((DATOS!$B$27*C17/(DATOS!$B$14*((AR17+AS17)/2)))^2/((DATOS!$B$14*((AR17+AS17)/2))/(DATOS!$B$14+2*((AR17+AS17)/2)))^(4/3)))*(A16-A17)))&lt;0,AS17,((AR17+AS17)/2))</f>
        <v/>
      </c>
      <c r="AV17" s="16">
        <f>IF((((AT17+AU17)/2)+(C17/(DATOS!$B$14*((AT17+AU17)/2)))^2/(2*9.81)+B17-(E16+(C16/(DATOS!$B$14*E16))^2/(2*9.81)+B16+0.5*(((DATOS!$B$27*C16/(DATOS!$B$14*E16))^2/((DATOS!$B$14*E16)/(DATOS!$B$14+2*E16))^(4/3))+((DATOS!$B$27*C17/(DATOS!$B$14*((AT17+AU17)/2)))^2/((DATOS!$B$14*((AT17+AU17)/2))/(DATOS!$B$14+2*((AT17+AU17)/2)))^(4/3)))*(A16-A17)))&lt;0,((AT17+AU17)/2),AT17)</f>
        <v/>
      </c>
      <c r="AW17" s="16">
        <f>IF((((AT17+AU17)/2)+(C17/(DATOS!$B$14*((AT17+AU17)/2)))^2/(2*9.81)+B17-(E16+(C16/(DATOS!$B$14*E16))^2/(2*9.81)+B16+0.5*(((DATOS!$B$27*C16/(DATOS!$B$14*E16))^2/((DATOS!$B$14*E16)/(DATOS!$B$14+2*E16))^(4/3))+((DATOS!$B$27*C17/(DATOS!$B$14*((AT17+AU17)/2)))^2/((DATOS!$B$14*((AT17+AU17)/2))/(DATOS!$B$14+2*((AT17+AU17)/2)))^(4/3)))*(A16-A17)))&lt;0,AU17,((AT17+AU17)/2))</f>
        <v/>
      </c>
      <c r="AX17" s="16">
        <f>IF((((AV17+AW17)/2)+(C17/(DATOS!$B$14*((AV17+AW17)/2)))^2/(2*9.81)+B17-(E16+(C16/(DATOS!$B$14*E16))^2/(2*9.81)+B16+0.5*(((DATOS!$B$27*C16/(DATOS!$B$14*E16))^2/((DATOS!$B$14*E16)/(DATOS!$B$14+2*E16))^(4/3))+((DATOS!$B$27*C17/(DATOS!$B$14*((AV17+AW17)/2)))^2/((DATOS!$B$14*((AV17+AW17)/2))/(DATOS!$B$14+2*((AV17+AW17)/2)))^(4/3)))*(A16-A17)))&lt;0,((AV17+AW17)/2),AV17)</f>
        <v/>
      </c>
      <c r="AY17" s="16">
        <f>IF((((AV17+AW17)/2)+(C17/(DATOS!$B$14*((AV17+AW17)/2)))^2/(2*9.81)+B17-(E16+(C16/(DATOS!$B$14*E16))^2/(2*9.81)+B16+0.5*(((DATOS!$B$27*C16/(DATOS!$B$14*E16))^2/((DATOS!$B$14*E16)/(DATOS!$B$14+2*E16))^(4/3))+((DATOS!$B$27*C17/(DATOS!$B$14*((AV17+AW17)/2)))^2/((DATOS!$B$14*((AV17+AW17)/2))/(DATOS!$B$14+2*((AV17+AW17)/2)))^(4/3)))*(A16-A17)))&lt;0,AW17,((AV17+AW17)/2))</f>
        <v/>
      </c>
      <c r="AZ17" s="16">
        <f>IF((((AX17+AY17)/2)+(C17/(DATOS!$B$14*((AX17+AY17)/2)))^2/(2*9.81)+B17-(E16+(C16/(DATOS!$B$14*E16))^2/(2*9.81)+B16+0.5*(((DATOS!$B$27*C16/(DATOS!$B$14*E16))^2/((DATOS!$B$14*E16)/(DATOS!$B$14+2*E16))^(4/3))+((DATOS!$B$27*C17/(DATOS!$B$14*((AX17+AY17)/2)))^2/((DATOS!$B$14*((AX17+AY17)/2))/(DATOS!$B$14+2*((AX17+AY17)/2)))^(4/3)))*(A16-A17)))&lt;0,((AX17+AY17)/2),AX17)</f>
        <v/>
      </c>
      <c r="BA17" s="16">
        <f>IF((((AX17+AY17)/2)+(C17/(DATOS!$B$14*((AX17+AY17)/2)))^2/(2*9.81)+B17-(E16+(C16/(DATOS!$B$14*E16))^2/(2*9.81)+B16+0.5*(((DATOS!$B$27*C16/(DATOS!$B$14*E16))^2/((DATOS!$B$14*E16)/(DATOS!$B$14+2*E16))^(4/3))+((DATOS!$B$27*C17/(DATOS!$B$14*((AX17+AY17)/2)))^2/((DATOS!$B$14*((AX17+AY17)/2))/(DATOS!$B$14+2*((AX17+AY17)/2)))^(4/3)))*(A16-A17)))&lt;0,AY17,((AX17+AY17)/2))</f>
        <v/>
      </c>
      <c r="BB17" s="16">
        <f>IF((((AZ17+BA17)/2)+(C17/(DATOS!$B$14*((AZ17+BA17)/2)))^2/(2*9.81)+B17-(E16+(C16/(DATOS!$B$14*E16))^2/(2*9.81)+B16+0.5*(((DATOS!$B$27*C16/(DATOS!$B$14*E16))^2/((DATOS!$B$14*E16)/(DATOS!$B$14+2*E16))^(4/3))+((DATOS!$B$27*C17/(DATOS!$B$14*((AZ17+BA17)/2)))^2/((DATOS!$B$14*((AZ17+BA17)/2))/(DATOS!$B$14+2*((AZ17+BA17)/2)))^(4/3)))*(A16-A17)))&lt;0,((AZ17+BA17)/2),AZ17)</f>
        <v/>
      </c>
      <c r="BC17" s="16">
        <f>IF((((AZ17+BA17)/2)+(C17/(DATOS!$B$14*((AZ17+BA17)/2)))^2/(2*9.81)+B17-(E16+(C16/(DATOS!$B$14*E16))^2/(2*9.81)+B16+0.5*(((DATOS!$B$27*C16/(DATOS!$B$14*E16))^2/((DATOS!$B$14*E16)/(DATOS!$B$14+2*E16))^(4/3))+((DATOS!$B$27*C17/(DATOS!$B$14*((AZ17+BA17)/2)))^2/((DATOS!$B$14*((AZ17+BA17)/2))/(DATOS!$B$14+2*((AZ17+BA17)/2)))^(4/3)))*(A16-A17)))&lt;0,BA17,((AZ17+BA17)/2))</f>
        <v/>
      </c>
      <c r="BD17" s="16">
        <f>IF((((BB17+BC17)/2)+(C17/(DATOS!$B$14*((BB17+BC17)/2)))^2/(2*9.81)+B17-(E16+(C16/(DATOS!$B$14*E16))^2/(2*9.81)+B16+0.5*(((DATOS!$B$27*C16/(DATOS!$B$14*E16))^2/((DATOS!$B$14*E16)/(DATOS!$B$14+2*E16))^(4/3))+((DATOS!$B$27*C17/(DATOS!$B$14*((BB17+BC17)/2)))^2/((DATOS!$B$14*((BB17+BC17)/2))/(DATOS!$B$14+2*((BB17+BC17)/2)))^(4/3)))*(A16-A17)))&lt;0,((BB17+BC17)/2),BB17)</f>
        <v/>
      </c>
      <c r="BE17" s="16">
        <f>IF((((BB17+BC17)/2)+(C17/(DATOS!$B$14*((BB17+BC17)/2)))^2/(2*9.81)+B17-(E16+(C16/(DATOS!$B$14*E16))^2/(2*9.81)+B16+0.5*(((DATOS!$B$27*C16/(DATOS!$B$14*E16))^2/((DATOS!$B$14*E16)/(DATOS!$B$14+2*E16))^(4/3))+((DATOS!$B$27*C17/(DATOS!$B$14*((BB17+BC17)/2)))^2/((DATOS!$B$14*((BB17+BC17)/2))/(DATOS!$B$14+2*((BB17+BC17)/2)))^(4/3)))*(A16-A17)))&lt;0,BC17,((BB17+BC17)/2))</f>
        <v/>
      </c>
      <c r="BF17" s="16">
        <f>IF((((BD17+BE17)/2)+(C17/(DATOS!$B$14*((BD17+BE17)/2)))^2/(2*9.81)+B17-(E16+(C16/(DATOS!$B$14*E16))^2/(2*9.81)+B16+0.5*(((DATOS!$B$27*C16/(DATOS!$B$14*E16))^2/((DATOS!$B$14*E16)/(DATOS!$B$14+2*E16))^(4/3))+((DATOS!$B$27*C17/(DATOS!$B$14*((BD17+BE17)/2)))^2/((DATOS!$B$14*((BD17+BE17)/2))/(DATOS!$B$14+2*((BD17+BE17)/2)))^(4/3)))*(A16-A17)))&lt;0,((BD17+BE17)/2),BD17)</f>
        <v/>
      </c>
      <c r="BG17" s="16">
        <f>IF((((BD17+BE17)/2)+(C17/(DATOS!$B$14*((BD17+BE17)/2)))^2/(2*9.81)+B17-(E16+(C16/(DATOS!$B$14*E16))^2/(2*9.81)+B16+0.5*(((DATOS!$B$27*C16/(DATOS!$B$14*E16))^2/((DATOS!$B$14*E16)/(DATOS!$B$14+2*E16))^(4/3))+((DATOS!$B$27*C17/(DATOS!$B$14*((BD17+BE17)/2)))^2/((DATOS!$B$14*((BD17+BE17)/2))/(DATOS!$B$14+2*((BD17+BE17)/2)))^(4/3)))*(A16-A17)))&lt;0,BE17,((BD17+BE17)/2))</f>
        <v/>
      </c>
      <c r="BH17" s="16">
        <f>IF((((BF17+BG17)/2)+(C17/(DATOS!$B$14*((BF17+BG17)/2)))^2/(2*9.81)+B17-(E16+(C16/(DATOS!$B$14*E16))^2/(2*9.81)+B16+0.5*(((DATOS!$B$27*C16/(DATOS!$B$14*E16))^2/((DATOS!$B$14*E16)/(DATOS!$B$14+2*E16))^(4/3))+((DATOS!$B$27*C17/(DATOS!$B$14*((BF17+BG17)/2)))^2/((DATOS!$B$14*((BF17+BG17)/2))/(DATOS!$B$14+2*((BF17+BG17)/2)))^(4/3)))*(A16-A17)))&lt;0,((BF17+BG17)/2),BF17)</f>
        <v/>
      </c>
      <c r="BI17" s="16">
        <f>IF((((BF17+BG17)/2)+(C17/(DATOS!$B$14*((BF17+BG17)/2)))^2/(2*9.81)+B17-(E16+(C16/(DATOS!$B$14*E16))^2/(2*9.81)+B16+0.5*(((DATOS!$B$27*C16/(DATOS!$B$14*E16))^2/((DATOS!$B$14*E16)/(DATOS!$B$14+2*E16))^(4/3))+((DATOS!$B$27*C17/(DATOS!$B$14*((BF17+BG17)/2)))^2/((DATOS!$B$14*((BF17+BG17)/2))/(DATOS!$B$14+2*((BF17+BG17)/2)))^(4/3)))*(A16-A17)))&lt;0,BG17,((BF17+BG17)/2))</f>
        <v/>
      </c>
      <c r="BJ17" s="16">
        <f>IF((((BH17+BI17)/2)+(C17/(DATOS!$B$14*((BH17+BI17)/2)))^2/(2*9.81)+B17-(E16+(C16/(DATOS!$B$14*E16))^2/(2*9.81)+B16+0.5*(((DATOS!$B$27*C16/(DATOS!$B$14*E16))^2/((DATOS!$B$14*E16)/(DATOS!$B$14+2*E16))^(4/3))+((DATOS!$B$27*C17/(DATOS!$B$14*((BH17+BI17)/2)))^2/((DATOS!$B$14*((BH17+BI17)/2))/(DATOS!$B$14+2*((BH17+BI17)/2)))^(4/3)))*(A16-A17)))&lt;0,((BH17+BI17)/2),BH17)</f>
        <v/>
      </c>
      <c r="BK17" s="16">
        <f>IF((((BH17+BI17)/2)+(C17/(DATOS!$B$14*((BH17+BI17)/2)))^2/(2*9.81)+B17-(E16+(C16/(DATOS!$B$14*E16))^2/(2*9.81)+B16+0.5*(((DATOS!$B$27*C16/(DATOS!$B$14*E16))^2/((DATOS!$B$14*E16)/(DATOS!$B$14+2*E16))^(4/3))+((DATOS!$B$27*C17/(DATOS!$B$14*((BH17+BI17)/2)))^2/((DATOS!$B$14*((BH17+BI17)/2))/(DATOS!$B$14+2*((BH17+BI17)/2)))^(4/3)))*(A16-A17)))&lt;0,BI17,((BH17+BI17)/2))</f>
        <v/>
      </c>
      <c r="BL17" s="16">
        <f>IF((((BJ17+BK17)/2)+(C17/(DATOS!$B$14*((BJ17+BK17)/2)))^2/(2*9.81)+B17-(E16+(C16/(DATOS!$B$14*E16))^2/(2*9.81)+B16+0.5*(((DATOS!$B$27*C16/(DATOS!$B$14*E16))^2/((DATOS!$B$14*E16)/(DATOS!$B$14+2*E16))^(4/3))+((DATOS!$B$27*C17/(DATOS!$B$14*((BJ17+BK17)/2)))^2/((DATOS!$B$14*((BJ17+BK17)/2))/(DATOS!$B$14+2*((BJ17+BK17)/2)))^(4/3)))*(A16-A17)))&lt;0,((BJ17+BK17)/2),BJ17)</f>
        <v/>
      </c>
      <c r="BM17" s="16">
        <f>IF((((BJ17+BK17)/2)+(C17/(DATOS!$B$14*((BJ17+BK17)/2)))^2/(2*9.81)+B17-(E16+(C16/(DATOS!$B$14*E16))^2/(2*9.81)+B16+0.5*(((DATOS!$B$27*C16/(DATOS!$B$14*E16))^2/((DATOS!$B$14*E16)/(DATOS!$B$14+2*E16))^(4/3))+((DATOS!$B$27*C17/(DATOS!$B$14*((BJ17+BK17)/2)))^2/((DATOS!$B$14*((BJ17+BK17)/2))/(DATOS!$B$14+2*((BJ17+BK17)/2)))^(4/3)))*(A16-A17)))&lt;0,BK17,((BJ17+BK17)/2))</f>
        <v/>
      </c>
      <c r="BN17" s="16">
        <f>IF((((BL17+BM17)/2)+(C17/(DATOS!$B$14*((BL17+BM17)/2)))^2/(2*9.81)+B17-(E16+(C16/(DATOS!$B$14*E16))^2/(2*9.81)+B16+0.5*(((DATOS!$B$27*C16/(DATOS!$B$14*E16))^2/((DATOS!$B$14*E16)/(DATOS!$B$14+2*E16))^(4/3))+((DATOS!$B$27*C17/(DATOS!$B$14*((BL17+BM17)/2)))^2/((DATOS!$B$14*((BL17+BM17)/2))/(DATOS!$B$14+2*((BL17+BM17)/2)))^(4/3)))*(A16-A17)))&lt;0,((BL17+BM17)/2),BL17)</f>
        <v/>
      </c>
      <c r="BO17" s="16">
        <f>IF((((BL17+BM17)/2)+(C17/(DATOS!$B$14*((BL17+BM17)/2)))^2/(2*9.81)+B17-(E16+(C16/(DATOS!$B$14*E16))^2/(2*9.81)+B16+0.5*(((DATOS!$B$27*C16/(DATOS!$B$14*E16))^2/((DATOS!$B$14*E16)/(DATOS!$B$14+2*E16))^(4/3))+((DATOS!$B$27*C17/(DATOS!$B$14*((BL17+BM17)/2)))^2/((DATOS!$B$14*((BL17+BM17)/2))/(DATOS!$B$14+2*((BL17+BM17)/2)))^(4/3)))*(A16-A17)))&lt;0,BM17,((BL17+BM17)/2))</f>
        <v/>
      </c>
      <c r="BP17" s="16">
        <f>IF((((BN17+BO17)/2)+(C17/(DATOS!$B$14*((BN17+BO17)/2)))^2/(2*9.81)+B17-(E16+(C16/(DATOS!$B$14*E16))^2/(2*9.81)+B16+0.5*(((DATOS!$B$27*C16/(DATOS!$B$14*E16))^2/((DATOS!$B$14*E16)/(DATOS!$B$14+2*E16))^(4/3))+((DATOS!$B$27*C17/(DATOS!$B$14*((BN17+BO17)/2)))^2/((DATOS!$B$14*((BN17+BO17)/2))/(DATOS!$B$14+2*((BN17+BO17)/2)))^(4/3)))*(A16-A17)))&lt;0,((BN17+BO17)/2),BN17)</f>
        <v/>
      </c>
      <c r="BQ17" s="16">
        <f>IF((((BN17+BO17)/2)+(C17/(DATOS!$B$14*((BN17+BO17)/2)))^2/(2*9.81)+B17-(E16+(C16/(DATOS!$B$14*E16))^2/(2*9.81)+B16+0.5*(((DATOS!$B$27*C16/(DATOS!$B$14*E16))^2/((DATOS!$B$14*E16)/(DATOS!$B$14+2*E16))^(4/3))+((DATOS!$B$27*C17/(DATOS!$B$14*((BN17+BO17)/2)))^2/((DATOS!$B$14*((BN17+BO17)/2))/(DATOS!$B$14+2*((BN17+BO17)/2)))^(4/3)))*(A16-A17)))&lt;0,BO17,((BN17+BO17)/2))</f>
        <v/>
      </c>
      <c r="BR17" s="16">
        <f>IF((((BP17+BQ17)/2)+(C17/(DATOS!$B$14*((BP17+BQ17)/2)))^2/(2*9.81)+B17-(E16+(C16/(DATOS!$B$14*E16))^2/(2*9.81)+B16+0.5*(((DATOS!$B$27*C16/(DATOS!$B$14*E16))^2/((DATOS!$B$14*E16)/(DATOS!$B$14+2*E16))^(4/3))+((DATOS!$B$27*C17/(DATOS!$B$14*((BP17+BQ17)/2)))^2/((DATOS!$B$14*((BP17+BQ17)/2))/(DATOS!$B$14+2*((BP17+BQ17)/2)))^(4/3)))*(A16-A17)))&lt;0,((BP17+BQ17)/2),BP17)</f>
        <v/>
      </c>
      <c r="BS17" s="16">
        <f>IF((((BP17+BQ17)/2)+(C17/(DATOS!$B$14*((BP17+BQ17)/2)))^2/(2*9.81)+B17-(E16+(C16/(DATOS!$B$14*E16))^2/(2*9.81)+B16+0.5*(((DATOS!$B$27*C16/(DATOS!$B$14*E16))^2/((DATOS!$B$14*E16)/(DATOS!$B$14+2*E16))^(4/3))+((DATOS!$B$27*C17/(DATOS!$B$14*((BP17+BQ17)/2)))^2/((DATOS!$B$14*((BP17+BQ17)/2))/(DATOS!$B$14+2*((BP17+BQ17)/2)))^(4/3)))*(A16-A17)))&lt;0,BQ17,((BP17+BQ17)/2))</f>
        <v/>
      </c>
      <c r="BT17" s="16">
        <f>IF((((BR17+BS17)/2)+(C17/(DATOS!$B$14*((BR17+BS17)/2)))^2/(2*9.81)+B17-(E16+(C16/(DATOS!$B$14*E16))^2/(2*9.81)+B16+0.5*(((DATOS!$B$27*C16/(DATOS!$B$14*E16))^2/((DATOS!$B$14*E16)/(DATOS!$B$14+2*E16))^(4/3))+((DATOS!$B$27*C17/(DATOS!$B$14*((BR17+BS17)/2)))^2/((DATOS!$B$14*((BR17+BS17)/2))/(DATOS!$B$14+2*((BR17+BS17)/2)))^(4/3)))*(A16-A17)))&lt;0,((BR17+BS17)/2),BR17)</f>
        <v/>
      </c>
      <c r="BU17" s="16">
        <f>IF((((BR17+BS17)/2)+(C17/(DATOS!$B$14*((BR17+BS17)/2)))^2/(2*9.81)+B17-(E16+(C16/(DATOS!$B$14*E16))^2/(2*9.81)+B16+0.5*(((DATOS!$B$27*C16/(DATOS!$B$14*E16))^2/((DATOS!$B$14*E16)/(DATOS!$B$14+2*E16))^(4/3))+((DATOS!$B$27*C17/(DATOS!$B$14*((BR17+BS17)/2)))^2/((DATOS!$B$14*((BR17+BS17)/2))/(DATOS!$B$14+2*((BR17+BS17)/2)))^(4/3)))*(A16-A17)))&lt;0,BS17,((BR17+BS17)/2))</f>
        <v/>
      </c>
    </row>
    <row r="18">
      <c r="A18" s="30" t="n">
        <v>114</v>
      </c>
      <c r="B18" s="21">
        <f>DATOS!$B$16-DATOS!$B$19*A18</f>
        <v/>
      </c>
      <c r="C18" s="21">
        <f>IF(A18&lt;CAUDALES!$B$13,CAUDALES!$D$12,IF(A18&lt;CAUDALES!$B$14,CAUDALES!$D$13,IF(A18&lt;CAUDALES!$B$15,CAUDALES!$D$14,CAUDALES!$D$15)))/1000</f>
        <v/>
      </c>
      <c r="D18" s="21">
        <f>(C18^2/(9.81*DATOS!$B$14^2))^(1/3)</f>
        <v/>
      </c>
      <c r="E18" s="29">
        <f>(BT18+BU18)/2</f>
        <v/>
      </c>
      <c r="F18" s="21">
        <f>B18+E18</f>
        <v/>
      </c>
      <c r="G18" s="17">
        <f>C18/(DATOS!$B$14*E18)</f>
        <v/>
      </c>
      <c r="H18" s="17">
        <f>G18/SQRT(9.81*E18)</f>
        <v/>
      </c>
      <c r="I18" s="21">
        <f>IF(A18&lt;=DATOS!$B$20,DATOS!$B$21-IF(AND(A18&gt;=DATOS!$B$23,A18&lt;DATOS!$B$24),DATOS!$B$25,DATOS!$B$22),B18+DATOS!$B$26)</f>
        <v/>
      </c>
      <c r="J18" s="17">
        <f>I18-B18</f>
        <v/>
      </c>
      <c r="K18" s="31">
        <f>E18/J18</f>
        <v/>
      </c>
      <c r="L18" s="21">
        <f>I18-F18</f>
        <v/>
      </c>
      <c r="M18" s="32">
        <f>IF(AND(K18&lt;=DATOS!$B$29,L18&gt;=DATOS!$B$30),"CUMPLE","NO CUMPLE")</f>
        <v/>
      </c>
      <c r="N18" s="13">
        <f>IF(A18&gt;DATOS!$B$20,"cubierto - tramo final",IF(AND(A18&gt;=DATOS!$B$23,A18&lt;DATOS!$B$24),"cubierto - camiones","cubierto"))</f>
        <v/>
      </c>
      <c r="P18" s="16">
        <f>D18*1.001</f>
        <v/>
      </c>
      <c r="Q18" s="16" t="n">
        <v>2</v>
      </c>
      <c r="R18" s="16">
        <f>IF((((P18+Q18)/2)+(C18/(DATOS!$B$14*((P18+Q18)/2)))^2/(2*9.81)+B18-(E17+(C17/(DATOS!$B$14*E17))^2/(2*9.81)+B17+0.5*(((DATOS!$B$27*C17/(DATOS!$B$14*E17))^2/((DATOS!$B$14*E17)/(DATOS!$B$14+2*E17))^(4/3))+((DATOS!$B$27*C18/(DATOS!$B$14*((P18+Q18)/2)))^2/((DATOS!$B$14*((P18+Q18)/2))/(DATOS!$B$14+2*((P18+Q18)/2)))^(4/3)))*(A17-A18)))&lt;0,((P18+Q18)/2),P18)</f>
        <v/>
      </c>
      <c r="S18" s="16">
        <f>IF((((P18+Q18)/2)+(C18/(DATOS!$B$14*((P18+Q18)/2)))^2/(2*9.81)+B18-(E17+(C17/(DATOS!$B$14*E17))^2/(2*9.81)+B17+0.5*(((DATOS!$B$27*C17/(DATOS!$B$14*E17))^2/((DATOS!$B$14*E17)/(DATOS!$B$14+2*E17))^(4/3))+((DATOS!$B$27*C18/(DATOS!$B$14*((P18+Q18)/2)))^2/((DATOS!$B$14*((P18+Q18)/2))/(DATOS!$B$14+2*((P18+Q18)/2)))^(4/3)))*(A17-A18)))&lt;0,Q18,((P18+Q18)/2))</f>
        <v/>
      </c>
      <c r="T18" s="16">
        <f>IF((((R18+S18)/2)+(C18/(DATOS!$B$14*((R18+S18)/2)))^2/(2*9.81)+B18-(E17+(C17/(DATOS!$B$14*E17))^2/(2*9.81)+B17+0.5*(((DATOS!$B$27*C17/(DATOS!$B$14*E17))^2/((DATOS!$B$14*E17)/(DATOS!$B$14+2*E17))^(4/3))+((DATOS!$B$27*C18/(DATOS!$B$14*((R18+S18)/2)))^2/((DATOS!$B$14*((R18+S18)/2))/(DATOS!$B$14+2*((R18+S18)/2)))^(4/3)))*(A17-A18)))&lt;0,((R18+S18)/2),R18)</f>
        <v/>
      </c>
      <c r="U18" s="16">
        <f>IF((((R18+S18)/2)+(C18/(DATOS!$B$14*((R18+S18)/2)))^2/(2*9.81)+B18-(E17+(C17/(DATOS!$B$14*E17))^2/(2*9.81)+B17+0.5*(((DATOS!$B$27*C17/(DATOS!$B$14*E17))^2/((DATOS!$B$14*E17)/(DATOS!$B$14+2*E17))^(4/3))+((DATOS!$B$27*C18/(DATOS!$B$14*((R18+S18)/2)))^2/((DATOS!$B$14*((R18+S18)/2))/(DATOS!$B$14+2*((R18+S18)/2)))^(4/3)))*(A17-A18)))&lt;0,S18,((R18+S18)/2))</f>
        <v/>
      </c>
      <c r="V18" s="16">
        <f>IF((((T18+U18)/2)+(C18/(DATOS!$B$14*((T18+U18)/2)))^2/(2*9.81)+B18-(E17+(C17/(DATOS!$B$14*E17))^2/(2*9.81)+B17+0.5*(((DATOS!$B$27*C17/(DATOS!$B$14*E17))^2/((DATOS!$B$14*E17)/(DATOS!$B$14+2*E17))^(4/3))+((DATOS!$B$27*C18/(DATOS!$B$14*((T18+U18)/2)))^2/((DATOS!$B$14*((T18+U18)/2))/(DATOS!$B$14+2*((T18+U18)/2)))^(4/3)))*(A17-A18)))&lt;0,((T18+U18)/2),T18)</f>
        <v/>
      </c>
      <c r="W18" s="16">
        <f>IF((((T18+U18)/2)+(C18/(DATOS!$B$14*((T18+U18)/2)))^2/(2*9.81)+B18-(E17+(C17/(DATOS!$B$14*E17))^2/(2*9.81)+B17+0.5*(((DATOS!$B$27*C17/(DATOS!$B$14*E17))^2/((DATOS!$B$14*E17)/(DATOS!$B$14+2*E17))^(4/3))+((DATOS!$B$27*C18/(DATOS!$B$14*((T18+U18)/2)))^2/((DATOS!$B$14*((T18+U18)/2))/(DATOS!$B$14+2*((T18+U18)/2)))^(4/3)))*(A17-A18)))&lt;0,U18,((T18+U18)/2))</f>
        <v/>
      </c>
      <c r="X18" s="16">
        <f>IF((((V18+W18)/2)+(C18/(DATOS!$B$14*((V18+W18)/2)))^2/(2*9.81)+B18-(E17+(C17/(DATOS!$B$14*E17))^2/(2*9.81)+B17+0.5*(((DATOS!$B$27*C17/(DATOS!$B$14*E17))^2/((DATOS!$B$14*E17)/(DATOS!$B$14+2*E17))^(4/3))+((DATOS!$B$27*C18/(DATOS!$B$14*((V18+W18)/2)))^2/((DATOS!$B$14*((V18+W18)/2))/(DATOS!$B$14+2*((V18+W18)/2)))^(4/3)))*(A17-A18)))&lt;0,((V18+W18)/2),V18)</f>
        <v/>
      </c>
      <c r="Y18" s="16">
        <f>IF((((V18+W18)/2)+(C18/(DATOS!$B$14*((V18+W18)/2)))^2/(2*9.81)+B18-(E17+(C17/(DATOS!$B$14*E17))^2/(2*9.81)+B17+0.5*(((DATOS!$B$27*C17/(DATOS!$B$14*E17))^2/((DATOS!$B$14*E17)/(DATOS!$B$14+2*E17))^(4/3))+((DATOS!$B$27*C18/(DATOS!$B$14*((V18+W18)/2)))^2/((DATOS!$B$14*((V18+W18)/2))/(DATOS!$B$14+2*((V18+W18)/2)))^(4/3)))*(A17-A18)))&lt;0,W18,((V18+W18)/2))</f>
        <v/>
      </c>
      <c r="Z18" s="16">
        <f>IF((((X18+Y18)/2)+(C18/(DATOS!$B$14*((X18+Y18)/2)))^2/(2*9.81)+B18-(E17+(C17/(DATOS!$B$14*E17))^2/(2*9.81)+B17+0.5*(((DATOS!$B$27*C17/(DATOS!$B$14*E17))^2/((DATOS!$B$14*E17)/(DATOS!$B$14+2*E17))^(4/3))+((DATOS!$B$27*C18/(DATOS!$B$14*((X18+Y18)/2)))^2/((DATOS!$B$14*((X18+Y18)/2))/(DATOS!$B$14+2*((X18+Y18)/2)))^(4/3)))*(A17-A18)))&lt;0,((X18+Y18)/2),X18)</f>
        <v/>
      </c>
      <c r="AA18" s="16">
        <f>IF((((X18+Y18)/2)+(C18/(DATOS!$B$14*((X18+Y18)/2)))^2/(2*9.81)+B18-(E17+(C17/(DATOS!$B$14*E17))^2/(2*9.81)+B17+0.5*(((DATOS!$B$27*C17/(DATOS!$B$14*E17))^2/((DATOS!$B$14*E17)/(DATOS!$B$14+2*E17))^(4/3))+((DATOS!$B$27*C18/(DATOS!$B$14*((X18+Y18)/2)))^2/((DATOS!$B$14*((X18+Y18)/2))/(DATOS!$B$14+2*((X18+Y18)/2)))^(4/3)))*(A17-A18)))&lt;0,Y18,((X18+Y18)/2))</f>
        <v/>
      </c>
      <c r="AB18" s="16">
        <f>IF((((Z18+AA18)/2)+(C18/(DATOS!$B$14*((Z18+AA18)/2)))^2/(2*9.81)+B18-(E17+(C17/(DATOS!$B$14*E17))^2/(2*9.81)+B17+0.5*(((DATOS!$B$27*C17/(DATOS!$B$14*E17))^2/((DATOS!$B$14*E17)/(DATOS!$B$14+2*E17))^(4/3))+((DATOS!$B$27*C18/(DATOS!$B$14*((Z18+AA18)/2)))^2/((DATOS!$B$14*((Z18+AA18)/2))/(DATOS!$B$14+2*((Z18+AA18)/2)))^(4/3)))*(A17-A18)))&lt;0,((Z18+AA18)/2),Z18)</f>
        <v/>
      </c>
      <c r="AC18" s="16">
        <f>IF((((Z18+AA18)/2)+(C18/(DATOS!$B$14*((Z18+AA18)/2)))^2/(2*9.81)+B18-(E17+(C17/(DATOS!$B$14*E17))^2/(2*9.81)+B17+0.5*(((DATOS!$B$27*C17/(DATOS!$B$14*E17))^2/((DATOS!$B$14*E17)/(DATOS!$B$14+2*E17))^(4/3))+((DATOS!$B$27*C18/(DATOS!$B$14*((Z18+AA18)/2)))^2/((DATOS!$B$14*((Z18+AA18)/2))/(DATOS!$B$14+2*((Z18+AA18)/2)))^(4/3)))*(A17-A18)))&lt;0,AA18,((Z18+AA18)/2))</f>
        <v/>
      </c>
      <c r="AD18" s="16">
        <f>IF((((AB18+AC18)/2)+(C18/(DATOS!$B$14*((AB18+AC18)/2)))^2/(2*9.81)+B18-(E17+(C17/(DATOS!$B$14*E17))^2/(2*9.81)+B17+0.5*(((DATOS!$B$27*C17/(DATOS!$B$14*E17))^2/((DATOS!$B$14*E17)/(DATOS!$B$14+2*E17))^(4/3))+((DATOS!$B$27*C18/(DATOS!$B$14*((AB18+AC18)/2)))^2/((DATOS!$B$14*((AB18+AC18)/2))/(DATOS!$B$14+2*((AB18+AC18)/2)))^(4/3)))*(A17-A18)))&lt;0,((AB18+AC18)/2),AB18)</f>
        <v/>
      </c>
      <c r="AE18" s="16">
        <f>IF((((AB18+AC18)/2)+(C18/(DATOS!$B$14*((AB18+AC18)/2)))^2/(2*9.81)+B18-(E17+(C17/(DATOS!$B$14*E17))^2/(2*9.81)+B17+0.5*(((DATOS!$B$27*C17/(DATOS!$B$14*E17))^2/((DATOS!$B$14*E17)/(DATOS!$B$14+2*E17))^(4/3))+((DATOS!$B$27*C18/(DATOS!$B$14*((AB18+AC18)/2)))^2/((DATOS!$B$14*((AB18+AC18)/2))/(DATOS!$B$14+2*((AB18+AC18)/2)))^(4/3)))*(A17-A18)))&lt;0,AC18,((AB18+AC18)/2))</f>
        <v/>
      </c>
      <c r="AF18" s="16">
        <f>IF((((AD18+AE18)/2)+(C18/(DATOS!$B$14*((AD18+AE18)/2)))^2/(2*9.81)+B18-(E17+(C17/(DATOS!$B$14*E17))^2/(2*9.81)+B17+0.5*(((DATOS!$B$27*C17/(DATOS!$B$14*E17))^2/((DATOS!$B$14*E17)/(DATOS!$B$14+2*E17))^(4/3))+((DATOS!$B$27*C18/(DATOS!$B$14*((AD18+AE18)/2)))^2/((DATOS!$B$14*((AD18+AE18)/2))/(DATOS!$B$14+2*((AD18+AE18)/2)))^(4/3)))*(A17-A18)))&lt;0,((AD18+AE18)/2),AD18)</f>
        <v/>
      </c>
      <c r="AG18" s="16">
        <f>IF((((AD18+AE18)/2)+(C18/(DATOS!$B$14*((AD18+AE18)/2)))^2/(2*9.81)+B18-(E17+(C17/(DATOS!$B$14*E17))^2/(2*9.81)+B17+0.5*(((DATOS!$B$27*C17/(DATOS!$B$14*E17))^2/((DATOS!$B$14*E17)/(DATOS!$B$14+2*E17))^(4/3))+((DATOS!$B$27*C18/(DATOS!$B$14*((AD18+AE18)/2)))^2/((DATOS!$B$14*((AD18+AE18)/2))/(DATOS!$B$14+2*((AD18+AE18)/2)))^(4/3)))*(A17-A18)))&lt;0,AE18,((AD18+AE18)/2))</f>
        <v/>
      </c>
      <c r="AH18" s="16">
        <f>IF((((AF18+AG18)/2)+(C18/(DATOS!$B$14*((AF18+AG18)/2)))^2/(2*9.81)+B18-(E17+(C17/(DATOS!$B$14*E17))^2/(2*9.81)+B17+0.5*(((DATOS!$B$27*C17/(DATOS!$B$14*E17))^2/((DATOS!$B$14*E17)/(DATOS!$B$14+2*E17))^(4/3))+((DATOS!$B$27*C18/(DATOS!$B$14*((AF18+AG18)/2)))^2/((DATOS!$B$14*((AF18+AG18)/2))/(DATOS!$B$14+2*((AF18+AG18)/2)))^(4/3)))*(A17-A18)))&lt;0,((AF18+AG18)/2),AF18)</f>
        <v/>
      </c>
      <c r="AI18" s="16">
        <f>IF((((AF18+AG18)/2)+(C18/(DATOS!$B$14*((AF18+AG18)/2)))^2/(2*9.81)+B18-(E17+(C17/(DATOS!$B$14*E17))^2/(2*9.81)+B17+0.5*(((DATOS!$B$27*C17/(DATOS!$B$14*E17))^2/((DATOS!$B$14*E17)/(DATOS!$B$14+2*E17))^(4/3))+((DATOS!$B$27*C18/(DATOS!$B$14*((AF18+AG18)/2)))^2/((DATOS!$B$14*((AF18+AG18)/2))/(DATOS!$B$14+2*((AF18+AG18)/2)))^(4/3)))*(A17-A18)))&lt;0,AG18,((AF18+AG18)/2))</f>
        <v/>
      </c>
      <c r="AJ18" s="16">
        <f>IF((((AH18+AI18)/2)+(C18/(DATOS!$B$14*((AH18+AI18)/2)))^2/(2*9.81)+B18-(E17+(C17/(DATOS!$B$14*E17))^2/(2*9.81)+B17+0.5*(((DATOS!$B$27*C17/(DATOS!$B$14*E17))^2/((DATOS!$B$14*E17)/(DATOS!$B$14+2*E17))^(4/3))+((DATOS!$B$27*C18/(DATOS!$B$14*((AH18+AI18)/2)))^2/((DATOS!$B$14*((AH18+AI18)/2))/(DATOS!$B$14+2*((AH18+AI18)/2)))^(4/3)))*(A17-A18)))&lt;0,((AH18+AI18)/2),AH18)</f>
        <v/>
      </c>
      <c r="AK18" s="16">
        <f>IF((((AH18+AI18)/2)+(C18/(DATOS!$B$14*((AH18+AI18)/2)))^2/(2*9.81)+B18-(E17+(C17/(DATOS!$B$14*E17))^2/(2*9.81)+B17+0.5*(((DATOS!$B$27*C17/(DATOS!$B$14*E17))^2/((DATOS!$B$14*E17)/(DATOS!$B$14+2*E17))^(4/3))+((DATOS!$B$27*C18/(DATOS!$B$14*((AH18+AI18)/2)))^2/((DATOS!$B$14*((AH18+AI18)/2))/(DATOS!$B$14+2*((AH18+AI18)/2)))^(4/3)))*(A17-A18)))&lt;0,AI18,((AH18+AI18)/2))</f>
        <v/>
      </c>
      <c r="AL18" s="16">
        <f>IF((((AJ18+AK18)/2)+(C18/(DATOS!$B$14*((AJ18+AK18)/2)))^2/(2*9.81)+B18-(E17+(C17/(DATOS!$B$14*E17))^2/(2*9.81)+B17+0.5*(((DATOS!$B$27*C17/(DATOS!$B$14*E17))^2/((DATOS!$B$14*E17)/(DATOS!$B$14+2*E17))^(4/3))+((DATOS!$B$27*C18/(DATOS!$B$14*((AJ18+AK18)/2)))^2/((DATOS!$B$14*((AJ18+AK18)/2))/(DATOS!$B$14+2*((AJ18+AK18)/2)))^(4/3)))*(A17-A18)))&lt;0,((AJ18+AK18)/2),AJ18)</f>
        <v/>
      </c>
      <c r="AM18" s="16">
        <f>IF((((AJ18+AK18)/2)+(C18/(DATOS!$B$14*((AJ18+AK18)/2)))^2/(2*9.81)+B18-(E17+(C17/(DATOS!$B$14*E17))^2/(2*9.81)+B17+0.5*(((DATOS!$B$27*C17/(DATOS!$B$14*E17))^2/((DATOS!$B$14*E17)/(DATOS!$B$14+2*E17))^(4/3))+((DATOS!$B$27*C18/(DATOS!$B$14*((AJ18+AK18)/2)))^2/((DATOS!$B$14*((AJ18+AK18)/2))/(DATOS!$B$14+2*((AJ18+AK18)/2)))^(4/3)))*(A17-A18)))&lt;0,AK18,((AJ18+AK18)/2))</f>
        <v/>
      </c>
      <c r="AN18" s="16">
        <f>IF((((AL18+AM18)/2)+(C18/(DATOS!$B$14*((AL18+AM18)/2)))^2/(2*9.81)+B18-(E17+(C17/(DATOS!$B$14*E17))^2/(2*9.81)+B17+0.5*(((DATOS!$B$27*C17/(DATOS!$B$14*E17))^2/((DATOS!$B$14*E17)/(DATOS!$B$14+2*E17))^(4/3))+((DATOS!$B$27*C18/(DATOS!$B$14*((AL18+AM18)/2)))^2/((DATOS!$B$14*((AL18+AM18)/2))/(DATOS!$B$14+2*((AL18+AM18)/2)))^(4/3)))*(A17-A18)))&lt;0,((AL18+AM18)/2),AL18)</f>
        <v/>
      </c>
      <c r="AO18" s="16">
        <f>IF((((AL18+AM18)/2)+(C18/(DATOS!$B$14*((AL18+AM18)/2)))^2/(2*9.81)+B18-(E17+(C17/(DATOS!$B$14*E17))^2/(2*9.81)+B17+0.5*(((DATOS!$B$27*C17/(DATOS!$B$14*E17))^2/((DATOS!$B$14*E17)/(DATOS!$B$14+2*E17))^(4/3))+((DATOS!$B$27*C18/(DATOS!$B$14*((AL18+AM18)/2)))^2/((DATOS!$B$14*((AL18+AM18)/2))/(DATOS!$B$14+2*((AL18+AM18)/2)))^(4/3)))*(A17-A18)))&lt;0,AM18,((AL18+AM18)/2))</f>
        <v/>
      </c>
      <c r="AP18" s="16">
        <f>IF((((AN18+AO18)/2)+(C18/(DATOS!$B$14*((AN18+AO18)/2)))^2/(2*9.81)+B18-(E17+(C17/(DATOS!$B$14*E17))^2/(2*9.81)+B17+0.5*(((DATOS!$B$27*C17/(DATOS!$B$14*E17))^2/((DATOS!$B$14*E17)/(DATOS!$B$14+2*E17))^(4/3))+((DATOS!$B$27*C18/(DATOS!$B$14*((AN18+AO18)/2)))^2/((DATOS!$B$14*((AN18+AO18)/2))/(DATOS!$B$14+2*((AN18+AO18)/2)))^(4/3)))*(A17-A18)))&lt;0,((AN18+AO18)/2),AN18)</f>
        <v/>
      </c>
      <c r="AQ18" s="16">
        <f>IF((((AN18+AO18)/2)+(C18/(DATOS!$B$14*((AN18+AO18)/2)))^2/(2*9.81)+B18-(E17+(C17/(DATOS!$B$14*E17))^2/(2*9.81)+B17+0.5*(((DATOS!$B$27*C17/(DATOS!$B$14*E17))^2/((DATOS!$B$14*E17)/(DATOS!$B$14+2*E17))^(4/3))+((DATOS!$B$27*C18/(DATOS!$B$14*((AN18+AO18)/2)))^2/((DATOS!$B$14*((AN18+AO18)/2))/(DATOS!$B$14+2*((AN18+AO18)/2)))^(4/3)))*(A17-A18)))&lt;0,AO18,((AN18+AO18)/2))</f>
        <v/>
      </c>
      <c r="AR18" s="16">
        <f>IF((((AP18+AQ18)/2)+(C18/(DATOS!$B$14*((AP18+AQ18)/2)))^2/(2*9.81)+B18-(E17+(C17/(DATOS!$B$14*E17))^2/(2*9.81)+B17+0.5*(((DATOS!$B$27*C17/(DATOS!$B$14*E17))^2/((DATOS!$B$14*E17)/(DATOS!$B$14+2*E17))^(4/3))+((DATOS!$B$27*C18/(DATOS!$B$14*((AP18+AQ18)/2)))^2/((DATOS!$B$14*((AP18+AQ18)/2))/(DATOS!$B$14+2*((AP18+AQ18)/2)))^(4/3)))*(A17-A18)))&lt;0,((AP18+AQ18)/2),AP18)</f>
        <v/>
      </c>
      <c r="AS18" s="16">
        <f>IF((((AP18+AQ18)/2)+(C18/(DATOS!$B$14*((AP18+AQ18)/2)))^2/(2*9.81)+B18-(E17+(C17/(DATOS!$B$14*E17))^2/(2*9.81)+B17+0.5*(((DATOS!$B$27*C17/(DATOS!$B$14*E17))^2/((DATOS!$B$14*E17)/(DATOS!$B$14+2*E17))^(4/3))+((DATOS!$B$27*C18/(DATOS!$B$14*((AP18+AQ18)/2)))^2/((DATOS!$B$14*((AP18+AQ18)/2))/(DATOS!$B$14+2*((AP18+AQ18)/2)))^(4/3)))*(A17-A18)))&lt;0,AQ18,((AP18+AQ18)/2))</f>
        <v/>
      </c>
      <c r="AT18" s="16">
        <f>IF((((AR18+AS18)/2)+(C18/(DATOS!$B$14*((AR18+AS18)/2)))^2/(2*9.81)+B18-(E17+(C17/(DATOS!$B$14*E17))^2/(2*9.81)+B17+0.5*(((DATOS!$B$27*C17/(DATOS!$B$14*E17))^2/((DATOS!$B$14*E17)/(DATOS!$B$14+2*E17))^(4/3))+((DATOS!$B$27*C18/(DATOS!$B$14*((AR18+AS18)/2)))^2/((DATOS!$B$14*((AR18+AS18)/2))/(DATOS!$B$14+2*((AR18+AS18)/2)))^(4/3)))*(A17-A18)))&lt;0,((AR18+AS18)/2),AR18)</f>
        <v/>
      </c>
      <c r="AU18" s="16">
        <f>IF((((AR18+AS18)/2)+(C18/(DATOS!$B$14*((AR18+AS18)/2)))^2/(2*9.81)+B18-(E17+(C17/(DATOS!$B$14*E17))^2/(2*9.81)+B17+0.5*(((DATOS!$B$27*C17/(DATOS!$B$14*E17))^2/((DATOS!$B$14*E17)/(DATOS!$B$14+2*E17))^(4/3))+((DATOS!$B$27*C18/(DATOS!$B$14*((AR18+AS18)/2)))^2/((DATOS!$B$14*((AR18+AS18)/2))/(DATOS!$B$14+2*((AR18+AS18)/2)))^(4/3)))*(A17-A18)))&lt;0,AS18,((AR18+AS18)/2))</f>
        <v/>
      </c>
      <c r="AV18" s="16">
        <f>IF((((AT18+AU18)/2)+(C18/(DATOS!$B$14*((AT18+AU18)/2)))^2/(2*9.81)+B18-(E17+(C17/(DATOS!$B$14*E17))^2/(2*9.81)+B17+0.5*(((DATOS!$B$27*C17/(DATOS!$B$14*E17))^2/((DATOS!$B$14*E17)/(DATOS!$B$14+2*E17))^(4/3))+((DATOS!$B$27*C18/(DATOS!$B$14*((AT18+AU18)/2)))^2/((DATOS!$B$14*((AT18+AU18)/2))/(DATOS!$B$14+2*((AT18+AU18)/2)))^(4/3)))*(A17-A18)))&lt;0,((AT18+AU18)/2),AT18)</f>
        <v/>
      </c>
      <c r="AW18" s="16">
        <f>IF((((AT18+AU18)/2)+(C18/(DATOS!$B$14*((AT18+AU18)/2)))^2/(2*9.81)+B18-(E17+(C17/(DATOS!$B$14*E17))^2/(2*9.81)+B17+0.5*(((DATOS!$B$27*C17/(DATOS!$B$14*E17))^2/((DATOS!$B$14*E17)/(DATOS!$B$14+2*E17))^(4/3))+((DATOS!$B$27*C18/(DATOS!$B$14*((AT18+AU18)/2)))^2/((DATOS!$B$14*((AT18+AU18)/2))/(DATOS!$B$14+2*((AT18+AU18)/2)))^(4/3)))*(A17-A18)))&lt;0,AU18,((AT18+AU18)/2))</f>
        <v/>
      </c>
      <c r="AX18" s="16">
        <f>IF((((AV18+AW18)/2)+(C18/(DATOS!$B$14*((AV18+AW18)/2)))^2/(2*9.81)+B18-(E17+(C17/(DATOS!$B$14*E17))^2/(2*9.81)+B17+0.5*(((DATOS!$B$27*C17/(DATOS!$B$14*E17))^2/((DATOS!$B$14*E17)/(DATOS!$B$14+2*E17))^(4/3))+((DATOS!$B$27*C18/(DATOS!$B$14*((AV18+AW18)/2)))^2/((DATOS!$B$14*((AV18+AW18)/2))/(DATOS!$B$14+2*((AV18+AW18)/2)))^(4/3)))*(A17-A18)))&lt;0,((AV18+AW18)/2),AV18)</f>
        <v/>
      </c>
      <c r="AY18" s="16">
        <f>IF((((AV18+AW18)/2)+(C18/(DATOS!$B$14*((AV18+AW18)/2)))^2/(2*9.81)+B18-(E17+(C17/(DATOS!$B$14*E17))^2/(2*9.81)+B17+0.5*(((DATOS!$B$27*C17/(DATOS!$B$14*E17))^2/((DATOS!$B$14*E17)/(DATOS!$B$14+2*E17))^(4/3))+((DATOS!$B$27*C18/(DATOS!$B$14*((AV18+AW18)/2)))^2/((DATOS!$B$14*((AV18+AW18)/2))/(DATOS!$B$14+2*((AV18+AW18)/2)))^(4/3)))*(A17-A18)))&lt;0,AW18,((AV18+AW18)/2))</f>
        <v/>
      </c>
      <c r="AZ18" s="16">
        <f>IF((((AX18+AY18)/2)+(C18/(DATOS!$B$14*((AX18+AY18)/2)))^2/(2*9.81)+B18-(E17+(C17/(DATOS!$B$14*E17))^2/(2*9.81)+B17+0.5*(((DATOS!$B$27*C17/(DATOS!$B$14*E17))^2/((DATOS!$B$14*E17)/(DATOS!$B$14+2*E17))^(4/3))+((DATOS!$B$27*C18/(DATOS!$B$14*((AX18+AY18)/2)))^2/((DATOS!$B$14*((AX18+AY18)/2))/(DATOS!$B$14+2*((AX18+AY18)/2)))^(4/3)))*(A17-A18)))&lt;0,((AX18+AY18)/2),AX18)</f>
        <v/>
      </c>
      <c r="BA18" s="16">
        <f>IF((((AX18+AY18)/2)+(C18/(DATOS!$B$14*((AX18+AY18)/2)))^2/(2*9.81)+B18-(E17+(C17/(DATOS!$B$14*E17))^2/(2*9.81)+B17+0.5*(((DATOS!$B$27*C17/(DATOS!$B$14*E17))^2/((DATOS!$B$14*E17)/(DATOS!$B$14+2*E17))^(4/3))+((DATOS!$B$27*C18/(DATOS!$B$14*((AX18+AY18)/2)))^2/((DATOS!$B$14*((AX18+AY18)/2))/(DATOS!$B$14+2*((AX18+AY18)/2)))^(4/3)))*(A17-A18)))&lt;0,AY18,((AX18+AY18)/2))</f>
        <v/>
      </c>
      <c r="BB18" s="16">
        <f>IF((((AZ18+BA18)/2)+(C18/(DATOS!$B$14*((AZ18+BA18)/2)))^2/(2*9.81)+B18-(E17+(C17/(DATOS!$B$14*E17))^2/(2*9.81)+B17+0.5*(((DATOS!$B$27*C17/(DATOS!$B$14*E17))^2/((DATOS!$B$14*E17)/(DATOS!$B$14+2*E17))^(4/3))+((DATOS!$B$27*C18/(DATOS!$B$14*((AZ18+BA18)/2)))^2/((DATOS!$B$14*((AZ18+BA18)/2))/(DATOS!$B$14+2*((AZ18+BA18)/2)))^(4/3)))*(A17-A18)))&lt;0,((AZ18+BA18)/2),AZ18)</f>
        <v/>
      </c>
      <c r="BC18" s="16">
        <f>IF((((AZ18+BA18)/2)+(C18/(DATOS!$B$14*((AZ18+BA18)/2)))^2/(2*9.81)+B18-(E17+(C17/(DATOS!$B$14*E17))^2/(2*9.81)+B17+0.5*(((DATOS!$B$27*C17/(DATOS!$B$14*E17))^2/((DATOS!$B$14*E17)/(DATOS!$B$14+2*E17))^(4/3))+((DATOS!$B$27*C18/(DATOS!$B$14*((AZ18+BA18)/2)))^2/((DATOS!$B$14*((AZ18+BA18)/2))/(DATOS!$B$14+2*((AZ18+BA18)/2)))^(4/3)))*(A17-A18)))&lt;0,BA18,((AZ18+BA18)/2))</f>
        <v/>
      </c>
      <c r="BD18" s="16">
        <f>IF((((BB18+BC18)/2)+(C18/(DATOS!$B$14*((BB18+BC18)/2)))^2/(2*9.81)+B18-(E17+(C17/(DATOS!$B$14*E17))^2/(2*9.81)+B17+0.5*(((DATOS!$B$27*C17/(DATOS!$B$14*E17))^2/((DATOS!$B$14*E17)/(DATOS!$B$14+2*E17))^(4/3))+((DATOS!$B$27*C18/(DATOS!$B$14*((BB18+BC18)/2)))^2/((DATOS!$B$14*((BB18+BC18)/2))/(DATOS!$B$14+2*((BB18+BC18)/2)))^(4/3)))*(A17-A18)))&lt;0,((BB18+BC18)/2),BB18)</f>
        <v/>
      </c>
      <c r="BE18" s="16">
        <f>IF((((BB18+BC18)/2)+(C18/(DATOS!$B$14*((BB18+BC18)/2)))^2/(2*9.81)+B18-(E17+(C17/(DATOS!$B$14*E17))^2/(2*9.81)+B17+0.5*(((DATOS!$B$27*C17/(DATOS!$B$14*E17))^2/((DATOS!$B$14*E17)/(DATOS!$B$14+2*E17))^(4/3))+((DATOS!$B$27*C18/(DATOS!$B$14*((BB18+BC18)/2)))^2/((DATOS!$B$14*((BB18+BC18)/2))/(DATOS!$B$14+2*((BB18+BC18)/2)))^(4/3)))*(A17-A18)))&lt;0,BC18,((BB18+BC18)/2))</f>
        <v/>
      </c>
      <c r="BF18" s="16">
        <f>IF((((BD18+BE18)/2)+(C18/(DATOS!$B$14*((BD18+BE18)/2)))^2/(2*9.81)+B18-(E17+(C17/(DATOS!$B$14*E17))^2/(2*9.81)+B17+0.5*(((DATOS!$B$27*C17/(DATOS!$B$14*E17))^2/((DATOS!$B$14*E17)/(DATOS!$B$14+2*E17))^(4/3))+((DATOS!$B$27*C18/(DATOS!$B$14*((BD18+BE18)/2)))^2/((DATOS!$B$14*((BD18+BE18)/2))/(DATOS!$B$14+2*((BD18+BE18)/2)))^(4/3)))*(A17-A18)))&lt;0,((BD18+BE18)/2),BD18)</f>
        <v/>
      </c>
      <c r="BG18" s="16">
        <f>IF((((BD18+BE18)/2)+(C18/(DATOS!$B$14*((BD18+BE18)/2)))^2/(2*9.81)+B18-(E17+(C17/(DATOS!$B$14*E17))^2/(2*9.81)+B17+0.5*(((DATOS!$B$27*C17/(DATOS!$B$14*E17))^2/((DATOS!$B$14*E17)/(DATOS!$B$14+2*E17))^(4/3))+((DATOS!$B$27*C18/(DATOS!$B$14*((BD18+BE18)/2)))^2/((DATOS!$B$14*((BD18+BE18)/2))/(DATOS!$B$14+2*((BD18+BE18)/2)))^(4/3)))*(A17-A18)))&lt;0,BE18,((BD18+BE18)/2))</f>
        <v/>
      </c>
      <c r="BH18" s="16">
        <f>IF((((BF18+BG18)/2)+(C18/(DATOS!$B$14*((BF18+BG18)/2)))^2/(2*9.81)+B18-(E17+(C17/(DATOS!$B$14*E17))^2/(2*9.81)+B17+0.5*(((DATOS!$B$27*C17/(DATOS!$B$14*E17))^2/((DATOS!$B$14*E17)/(DATOS!$B$14+2*E17))^(4/3))+((DATOS!$B$27*C18/(DATOS!$B$14*((BF18+BG18)/2)))^2/((DATOS!$B$14*((BF18+BG18)/2))/(DATOS!$B$14+2*((BF18+BG18)/2)))^(4/3)))*(A17-A18)))&lt;0,((BF18+BG18)/2),BF18)</f>
        <v/>
      </c>
      <c r="BI18" s="16">
        <f>IF((((BF18+BG18)/2)+(C18/(DATOS!$B$14*((BF18+BG18)/2)))^2/(2*9.81)+B18-(E17+(C17/(DATOS!$B$14*E17))^2/(2*9.81)+B17+0.5*(((DATOS!$B$27*C17/(DATOS!$B$14*E17))^2/((DATOS!$B$14*E17)/(DATOS!$B$14+2*E17))^(4/3))+((DATOS!$B$27*C18/(DATOS!$B$14*((BF18+BG18)/2)))^2/((DATOS!$B$14*((BF18+BG18)/2))/(DATOS!$B$14+2*((BF18+BG18)/2)))^(4/3)))*(A17-A18)))&lt;0,BG18,((BF18+BG18)/2))</f>
        <v/>
      </c>
      <c r="BJ18" s="16">
        <f>IF((((BH18+BI18)/2)+(C18/(DATOS!$B$14*((BH18+BI18)/2)))^2/(2*9.81)+B18-(E17+(C17/(DATOS!$B$14*E17))^2/(2*9.81)+B17+0.5*(((DATOS!$B$27*C17/(DATOS!$B$14*E17))^2/((DATOS!$B$14*E17)/(DATOS!$B$14+2*E17))^(4/3))+((DATOS!$B$27*C18/(DATOS!$B$14*((BH18+BI18)/2)))^2/((DATOS!$B$14*((BH18+BI18)/2))/(DATOS!$B$14+2*((BH18+BI18)/2)))^(4/3)))*(A17-A18)))&lt;0,((BH18+BI18)/2),BH18)</f>
        <v/>
      </c>
      <c r="BK18" s="16">
        <f>IF((((BH18+BI18)/2)+(C18/(DATOS!$B$14*((BH18+BI18)/2)))^2/(2*9.81)+B18-(E17+(C17/(DATOS!$B$14*E17))^2/(2*9.81)+B17+0.5*(((DATOS!$B$27*C17/(DATOS!$B$14*E17))^2/((DATOS!$B$14*E17)/(DATOS!$B$14+2*E17))^(4/3))+((DATOS!$B$27*C18/(DATOS!$B$14*((BH18+BI18)/2)))^2/((DATOS!$B$14*((BH18+BI18)/2))/(DATOS!$B$14+2*((BH18+BI18)/2)))^(4/3)))*(A17-A18)))&lt;0,BI18,((BH18+BI18)/2))</f>
        <v/>
      </c>
      <c r="BL18" s="16">
        <f>IF((((BJ18+BK18)/2)+(C18/(DATOS!$B$14*((BJ18+BK18)/2)))^2/(2*9.81)+B18-(E17+(C17/(DATOS!$B$14*E17))^2/(2*9.81)+B17+0.5*(((DATOS!$B$27*C17/(DATOS!$B$14*E17))^2/((DATOS!$B$14*E17)/(DATOS!$B$14+2*E17))^(4/3))+((DATOS!$B$27*C18/(DATOS!$B$14*((BJ18+BK18)/2)))^2/((DATOS!$B$14*((BJ18+BK18)/2))/(DATOS!$B$14+2*((BJ18+BK18)/2)))^(4/3)))*(A17-A18)))&lt;0,((BJ18+BK18)/2),BJ18)</f>
        <v/>
      </c>
      <c r="BM18" s="16">
        <f>IF((((BJ18+BK18)/2)+(C18/(DATOS!$B$14*((BJ18+BK18)/2)))^2/(2*9.81)+B18-(E17+(C17/(DATOS!$B$14*E17))^2/(2*9.81)+B17+0.5*(((DATOS!$B$27*C17/(DATOS!$B$14*E17))^2/((DATOS!$B$14*E17)/(DATOS!$B$14+2*E17))^(4/3))+((DATOS!$B$27*C18/(DATOS!$B$14*((BJ18+BK18)/2)))^2/((DATOS!$B$14*((BJ18+BK18)/2))/(DATOS!$B$14+2*((BJ18+BK18)/2)))^(4/3)))*(A17-A18)))&lt;0,BK18,((BJ18+BK18)/2))</f>
        <v/>
      </c>
      <c r="BN18" s="16">
        <f>IF((((BL18+BM18)/2)+(C18/(DATOS!$B$14*((BL18+BM18)/2)))^2/(2*9.81)+B18-(E17+(C17/(DATOS!$B$14*E17))^2/(2*9.81)+B17+0.5*(((DATOS!$B$27*C17/(DATOS!$B$14*E17))^2/((DATOS!$B$14*E17)/(DATOS!$B$14+2*E17))^(4/3))+((DATOS!$B$27*C18/(DATOS!$B$14*((BL18+BM18)/2)))^2/((DATOS!$B$14*((BL18+BM18)/2))/(DATOS!$B$14+2*((BL18+BM18)/2)))^(4/3)))*(A17-A18)))&lt;0,((BL18+BM18)/2),BL18)</f>
        <v/>
      </c>
      <c r="BO18" s="16">
        <f>IF((((BL18+BM18)/2)+(C18/(DATOS!$B$14*((BL18+BM18)/2)))^2/(2*9.81)+B18-(E17+(C17/(DATOS!$B$14*E17))^2/(2*9.81)+B17+0.5*(((DATOS!$B$27*C17/(DATOS!$B$14*E17))^2/((DATOS!$B$14*E17)/(DATOS!$B$14+2*E17))^(4/3))+((DATOS!$B$27*C18/(DATOS!$B$14*((BL18+BM18)/2)))^2/((DATOS!$B$14*((BL18+BM18)/2))/(DATOS!$B$14+2*((BL18+BM18)/2)))^(4/3)))*(A17-A18)))&lt;0,BM18,((BL18+BM18)/2))</f>
        <v/>
      </c>
      <c r="BP18" s="16">
        <f>IF((((BN18+BO18)/2)+(C18/(DATOS!$B$14*((BN18+BO18)/2)))^2/(2*9.81)+B18-(E17+(C17/(DATOS!$B$14*E17))^2/(2*9.81)+B17+0.5*(((DATOS!$B$27*C17/(DATOS!$B$14*E17))^2/((DATOS!$B$14*E17)/(DATOS!$B$14+2*E17))^(4/3))+((DATOS!$B$27*C18/(DATOS!$B$14*((BN18+BO18)/2)))^2/((DATOS!$B$14*((BN18+BO18)/2))/(DATOS!$B$14+2*((BN18+BO18)/2)))^(4/3)))*(A17-A18)))&lt;0,((BN18+BO18)/2),BN18)</f>
        <v/>
      </c>
      <c r="BQ18" s="16">
        <f>IF((((BN18+BO18)/2)+(C18/(DATOS!$B$14*((BN18+BO18)/2)))^2/(2*9.81)+B18-(E17+(C17/(DATOS!$B$14*E17))^2/(2*9.81)+B17+0.5*(((DATOS!$B$27*C17/(DATOS!$B$14*E17))^2/((DATOS!$B$14*E17)/(DATOS!$B$14+2*E17))^(4/3))+((DATOS!$B$27*C18/(DATOS!$B$14*((BN18+BO18)/2)))^2/((DATOS!$B$14*((BN18+BO18)/2))/(DATOS!$B$14+2*((BN18+BO18)/2)))^(4/3)))*(A17-A18)))&lt;0,BO18,((BN18+BO18)/2))</f>
        <v/>
      </c>
      <c r="BR18" s="16">
        <f>IF((((BP18+BQ18)/2)+(C18/(DATOS!$B$14*((BP18+BQ18)/2)))^2/(2*9.81)+B18-(E17+(C17/(DATOS!$B$14*E17))^2/(2*9.81)+B17+0.5*(((DATOS!$B$27*C17/(DATOS!$B$14*E17))^2/((DATOS!$B$14*E17)/(DATOS!$B$14+2*E17))^(4/3))+((DATOS!$B$27*C18/(DATOS!$B$14*((BP18+BQ18)/2)))^2/((DATOS!$B$14*((BP18+BQ18)/2))/(DATOS!$B$14+2*((BP18+BQ18)/2)))^(4/3)))*(A17-A18)))&lt;0,((BP18+BQ18)/2),BP18)</f>
        <v/>
      </c>
      <c r="BS18" s="16">
        <f>IF((((BP18+BQ18)/2)+(C18/(DATOS!$B$14*((BP18+BQ18)/2)))^2/(2*9.81)+B18-(E17+(C17/(DATOS!$B$14*E17))^2/(2*9.81)+B17+0.5*(((DATOS!$B$27*C17/(DATOS!$B$14*E17))^2/((DATOS!$B$14*E17)/(DATOS!$B$14+2*E17))^(4/3))+((DATOS!$B$27*C18/(DATOS!$B$14*((BP18+BQ18)/2)))^2/((DATOS!$B$14*((BP18+BQ18)/2))/(DATOS!$B$14+2*((BP18+BQ18)/2)))^(4/3)))*(A17-A18)))&lt;0,BQ18,((BP18+BQ18)/2))</f>
        <v/>
      </c>
      <c r="BT18" s="16">
        <f>IF((((BR18+BS18)/2)+(C18/(DATOS!$B$14*((BR18+BS18)/2)))^2/(2*9.81)+B18-(E17+(C17/(DATOS!$B$14*E17))^2/(2*9.81)+B17+0.5*(((DATOS!$B$27*C17/(DATOS!$B$14*E17))^2/((DATOS!$B$14*E17)/(DATOS!$B$14+2*E17))^(4/3))+((DATOS!$B$27*C18/(DATOS!$B$14*((BR18+BS18)/2)))^2/((DATOS!$B$14*((BR18+BS18)/2))/(DATOS!$B$14+2*((BR18+BS18)/2)))^(4/3)))*(A17-A18)))&lt;0,((BR18+BS18)/2),BR18)</f>
        <v/>
      </c>
      <c r="BU18" s="16">
        <f>IF((((BR18+BS18)/2)+(C18/(DATOS!$B$14*((BR18+BS18)/2)))^2/(2*9.81)+B18-(E17+(C17/(DATOS!$B$14*E17))^2/(2*9.81)+B17+0.5*(((DATOS!$B$27*C17/(DATOS!$B$14*E17))^2/((DATOS!$B$14*E17)/(DATOS!$B$14+2*E17))^(4/3))+((DATOS!$B$27*C18/(DATOS!$B$14*((BR18+BS18)/2)))^2/((DATOS!$B$14*((BR18+BS18)/2))/(DATOS!$B$14+2*((BR18+BS18)/2)))^(4/3)))*(A17-A18)))&lt;0,BS18,((BR18+BS18)/2))</f>
        <v/>
      </c>
    </row>
    <row r="19">
      <c r="A19" s="30" t="n">
        <v>112</v>
      </c>
      <c r="B19" s="21">
        <f>DATOS!$B$16-DATOS!$B$19*A19</f>
        <v/>
      </c>
      <c r="C19" s="21">
        <f>IF(A19&lt;CAUDALES!$B$13,CAUDALES!$D$12,IF(A19&lt;CAUDALES!$B$14,CAUDALES!$D$13,IF(A19&lt;CAUDALES!$B$15,CAUDALES!$D$14,CAUDALES!$D$15)))/1000</f>
        <v/>
      </c>
      <c r="D19" s="21">
        <f>(C19^2/(9.81*DATOS!$B$14^2))^(1/3)</f>
        <v/>
      </c>
      <c r="E19" s="29">
        <f>(BT19+BU19)/2</f>
        <v/>
      </c>
      <c r="F19" s="21">
        <f>B19+E19</f>
        <v/>
      </c>
      <c r="G19" s="17">
        <f>C19/(DATOS!$B$14*E19)</f>
        <v/>
      </c>
      <c r="H19" s="17">
        <f>G19/SQRT(9.81*E19)</f>
        <v/>
      </c>
      <c r="I19" s="21">
        <f>IF(A19&lt;=DATOS!$B$20,DATOS!$B$21-IF(AND(A19&gt;=DATOS!$B$23,A19&lt;DATOS!$B$24),DATOS!$B$25,DATOS!$B$22),B19+DATOS!$B$26)</f>
        <v/>
      </c>
      <c r="J19" s="17">
        <f>I19-B19</f>
        <v/>
      </c>
      <c r="K19" s="31">
        <f>E19/J19</f>
        <v/>
      </c>
      <c r="L19" s="21">
        <f>I19-F19</f>
        <v/>
      </c>
      <c r="M19" s="32">
        <f>IF(AND(K19&lt;=DATOS!$B$29,L19&gt;=DATOS!$B$30),"CUMPLE","NO CUMPLE")</f>
        <v/>
      </c>
      <c r="N19" s="13">
        <f>IF(A19&gt;DATOS!$B$20,"cubierto - tramo final",IF(AND(A19&gt;=DATOS!$B$23,A19&lt;DATOS!$B$24),"cubierto - camiones","cubierto"))</f>
        <v/>
      </c>
      <c r="P19" s="16">
        <f>D19*1.001</f>
        <v/>
      </c>
      <c r="Q19" s="16" t="n">
        <v>2</v>
      </c>
      <c r="R19" s="16">
        <f>IF((((P19+Q19)/2)+(C19/(DATOS!$B$14*((P19+Q19)/2)))^2/(2*9.81)+B19-(E18+(C18/(DATOS!$B$14*E18))^2/(2*9.81)+B18+0.5*(((DATOS!$B$27*C18/(DATOS!$B$14*E18))^2/((DATOS!$B$14*E18)/(DATOS!$B$14+2*E18))^(4/3))+((DATOS!$B$27*C19/(DATOS!$B$14*((P19+Q19)/2)))^2/((DATOS!$B$14*((P19+Q19)/2))/(DATOS!$B$14+2*((P19+Q19)/2)))^(4/3)))*(A18-A19)))&lt;0,((P19+Q19)/2),P19)</f>
        <v/>
      </c>
      <c r="S19" s="16">
        <f>IF((((P19+Q19)/2)+(C19/(DATOS!$B$14*((P19+Q19)/2)))^2/(2*9.81)+B19-(E18+(C18/(DATOS!$B$14*E18))^2/(2*9.81)+B18+0.5*(((DATOS!$B$27*C18/(DATOS!$B$14*E18))^2/((DATOS!$B$14*E18)/(DATOS!$B$14+2*E18))^(4/3))+((DATOS!$B$27*C19/(DATOS!$B$14*((P19+Q19)/2)))^2/((DATOS!$B$14*((P19+Q19)/2))/(DATOS!$B$14+2*((P19+Q19)/2)))^(4/3)))*(A18-A19)))&lt;0,Q19,((P19+Q19)/2))</f>
        <v/>
      </c>
      <c r="T19" s="16">
        <f>IF((((R19+S19)/2)+(C19/(DATOS!$B$14*((R19+S19)/2)))^2/(2*9.81)+B19-(E18+(C18/(DATOS!$B$14*E18))^2/(2*9.81)+B18+0.5*(((DATOS!$B$27*C18/(DATOS!$B$14*E18))^2/((DATOS!$B$14*E18)/(DATOS!$B$14+2*E18))^(4/3))+((DATOS!$B$27*C19/(DATOS!$B$14*((R19+S19)/2)))^2/((DATOS!$B$14*((R19+S19)/2))/(DATOS!$B$14+2*((R19+S19)/2)))^(4/3)))*(A18-A19)))&lt;0,((R19+S19)/2),R19)</f>
        <v/>
      </c>
      <c r="U19" s="16">
        <f>IF((((R19+S19)/2)+(C19/(DATOS!$B$14*((R19+S19)/2)))^2/(2*9.81)+B19-(E18+(C18/(DATOS!$B$14*E18))^2/(2*9.81)+B18+0.5*(((DATOS!$B$27*C18/(DATOS!$B$14*E18))^2/((DATOS!$B$14*E18)/(DATOS!$B$14+2*E18))^(4/3))+((DATOS!$B$27*C19/(DATOS!$B$14*((R19+S19)/2)))^2/((DATOS!$B$14*((R19+S19)/2))/(DATOS!$B$14+2*((R19+S19)/2)))^(4/3)))*(A18-A19)))&lt;0,S19,((R19+S19)/2))</f>
        <v/>
      </c>
      <c r="V19" s="16">
        <f>IF((((T19+U19)/2)+(C19/(DATOS!$B$14*((T19+U19)/2)))^2/(2*9.81)+B19-(E18+(C18/(DATOS!$B$14*E18))^2/(2*9.81)+B18+0.5*(((DATOS!$B$27*C18/(DATOS!$B$14*E18))^2/((DATOS!$B$14*E18)/(DATOS!$B$14+2*E18))^(4/3))+((DATOS!$B$27*C19/(DATOS!$B$14*((T19+U19)/2)))^2/((DATOS!$B$14*((T19+U19)/2))/(DATOS!$B$14+2*((T19+U19)/2)))^(4/3)))*(A18-A19)))&lt;0,((T19+U19)/2),T19)</f>
        <v/>
      </c>
      <c r="W19" s="16">
        <f>IF((((T19+U19)/2)+(C19/(DATOS!$B$14*((T19+U19)/2)))^2/(2*9.81)+B19-(E18+(C18/(DATOS!$B$14*E18))^2/(2*9.81)+B18+0.5*(((DATOS!$B$27*C18/(DATOS!$B$14*E18))^2/((DATOS!$B$14*E18)/(DATOS!$B$14+2*E18))^(4/3))+((DATOS!$B$27*C19/(DATOS!$B$14*((T19+U19)/2)))^2/((DATOS!$B$14*((T19+U19)/2))/(DATOS!$B$14+2*((T19+U19)/2)))^(4/3)))*(A18-A19)))&lt;0,U19,((T19+U19)/2))</f>
        <v/>
      </c>
      <c r="X19" s="16">
        <f>IF((((V19+W19)/2)+(C19/(DATOS!$B$14*((V19+W19)/2)))^2/(2*9.81)+B19-(E18+(C18/(DATOS!$B$14*E18))^2/(2*9.81)+B18+0.5*(((DATOS!$B$27*C18/(DATOS!$B$14*E18))^2/((DATOS!$B$14*E18)/(DATOS!$B$14+2*E18))^(4/3))+((DATOS!$B$27*C19/(DATOS!$B$14*((V19+W19)/2)))^2/((DATOS!$B$14*((V19+W19)/2))/(DATOS!$B$14+2*((V19+W19)/2)))^(4/3)))*(A18-A19)))&lt;0,((V19+W19)/2),V19)</f>
        <v/>
      </c>
      <c r="Y19" s="16">
        <f>IF((((V19+W19)/2)+(C19/(DATOS!$B$14*((V19+W19)/2)))^2/(2*9.81)+B19-(E18+(C18/(DATOS!$B$14*E18))^2/(2*9.81)+B18+0.5*(((DATOS!$B$27*C18/(DATOS!$B$14*E18))^2/((DATOS!$B$14*E18)/(DATOS!$B$14+2*E18))^(4/3))+((DATOS!$B$27*C19/(DATOS!$B$14*((V19+W19)/2)))^2/((DATOS!$B$14*((V19+W19)/2))/(DATOS!$B$14+2*((V19+W19)/2)))^(4/3)))*(A18-A19)))&lt;0,W19,((V19+W19)/2))</f>
        <v/>
      </c>
      <c r="Z19" s="16">
        <f>IF((((X19+Y19)/2)+(C19/(DATOS!$B$14*((X19+Y19)/2)))^2/(2*9.81)+B19-(E18+(C18/(DATOS!$B$14*E18))^2/(2*9.81)+B18+0.5*(((DATOS!$B$27*C18/(DATOS!$B$14*E18))^2/((DATOS!$B$14*E18)/(DATOS!$B$14+2*E18))^(4/3))+((DATOS!$B$27*C19/(DATOS!$B$14*((X19+Y19)/2)))^2/((DATOS!$B$14*((X19+Y19)/2))/(DATOS!$B$14+2*((X19+Y19)/2)))^(4/3)))*(A18-A19)))&lt;0,((X19+Y19)/2),X19)</f>
        <v/>
      </c>
      <c r="AA19" s="16">
        <f>IF((((X19+Y19)/2)+(C19/(DATOS!$B$14*((X19+Y19)/2)))^2/(2*9.81)+B19-(E18+(C18/(DATOS!$B$14*E18))^2/(2*9.81)+B18+0.5*(((DATOS!$B$27*C18/(DATOS!$B$14*E18))^2/((DATOS!$B$14*E18)/(DATOS!$B$14+2*E18))^(4/3))+((DATOS!$B$27*C19/(DATOS!$B$14*((X19+Y19)/2)))^2/((DATOS!$B$14*((X19+Y19)/2))/(DATOS!$B$14+2*((X19+Y19)/2)))^(4/3)))*(A18-A19)))&lt;0,Y19,((X19+Y19)/2))</f>
        <v/>
      </c>
      <c r="AB19" s="16">
        <f>IF((((Z19+AA19)/2)+(C19/(DATOS!$B$14*((Z19+AA19)/2)))^2/(2*9.81)+B19-(E18+(C18/(DATOS!$B$14*E18))^2/(2*9.81)+B18+0.5*(((DATOS!$B$27*C18/(DATOS!$B$14*E18))^2/((DATOS!$B$14*E18)/(DATOS!$B$14+2*E18))^(4/3))+((DATOS!$B$27*C19/(DATOS!$B$14*((Z19+AA19)/2)))^2/((DATOS!$B$14*((Z19+AA19)/2))/(DATOS!$B$14+2*((Z19+AA19)/2)))^(4/3)))*(A18-A19)))&lt;0,((Z19+AA19)/2),Z19)</f>
        <v/>
      </c>
      <c r="AC19" s="16">
        <f>IF((((Z19+AA19)/2)+(C19/(DATOS!$B$14*((Z19+AA19)/2)))^2/(2*9.81)+B19-(E18+(C18/(DATOS!$B$14*E18))^2/(2*9.81)+B18+0.5*(((DATOS!$B$27*C18/(DATOS!$B$14*E18))^2/((DATOS!$B$14*E18)/(DATOS!$B$14+2*E18))^(4/3))+((DATOS!$B$27*C19/(DATOS!$B$14*((Z19+AA19)/2)))^2/((DATOS!$B$14*((Z19+AA19)/2))/(DATOS!$B$14+2*((Z19+AA19)/2)))^(4/3)))*(A18-A19)))&lt;0,AA19,((Z19+AA19)/2))</f>
        <v/>
      </c>
      <c r="AD19" s="16">
        <f>IF((((AB19+AC19)/2)+(C19/(DATOS!$B$14*((AB19+AC19)/2)))^2/(2*9.81)+B19-(E18+(C18/(DATOS!$B$14*E18))^2/(2*9.81)+B18+0.5*(((DATOS!$B$27*C18/(DATOS!$B$14*E18))^2/((DATOS!$B$14*E18)/(DATOS!$B$14+2*E18))^(4/3))+((DATOS!$B$27*C19/(DATOS!$B$14*((AB19+AC19)/2)))^2/((DATOS!$B$14*((AB19+AC19)/2))/(DATOS!$B$14+2*((AB19+AC19)/2)))^(4/3)))*(A18-A19)))&lt;0,((AB19+AC19)/2),AB19)</f>
        <v/>
      </c>
      <c r="AE19" s="16">
        <f>IF((((AB19+AC19)/2)+(C19/(DATOS!$B$14*((AB19+AC19)/2)))^2/(2*9.81)+B19-(E18+(C18/(DATOS!$B$14*E18))^2/(2*9.81)+B18+0.5*(((DATOS!$B$27*C18/(DATOS!$B$14*E18))^2/((DATOS!$B$14*E18)/(DATOS!$B$14+2*E18))^(4/3))+((DATOS!$B$27*C19/(DATOS!$B$14*((AB19+AC19)/2)))^2/((DATOS!$B$14*((AB19+AC19)/2))/(DATOS!$B$14+2*((AB19+AC19)/2)))^(4/3)))*(A18-A19)))&lt;0,AC19,((AB19+AC19)/2))</f>
        <v/>
      </c>
      <c r="AF19" s="16">
        <f>IF((((AD19+AE19)/2)+(C19/(DATOS!$B$14*((AD19+AE19)/2)))^2/(2*9.81)+B19-(E18+(C18/(DATOS!$B$14*E18))^2/(2*9.81)+B18+0.5*(((DATOS!$B$27*C18/(DATOS!$B$14*E18))^2/((DATOS!$B$14*E18)/(DATOS!$B$14+2*E18))^(4/3))+((DATOS!$B$27*C19/(DATOS!$B$14*((AD19+AE19)/2)))^2/((DATOS!$B$14*((AD19+AE19)/2))/(DATOS!$B$14+2*((AD19+AE19)/2)))^(4/3)))*(A18-A19)))&lt;0,((AD19+AE19)/2),AD19)</f>
        <v/>
      </c>
      <c r="AG19" s="16">
        <f>IF((((AD19+AE19)/2)+(C19/(DATOS!$B$14*((AD19+AE19)/2)))^2/(2*9.81)+B19-(E18+(C18/(DATOS!$B$14*E18))^2/(2*9.81)+B18+0.5*(((DATOS!$B$27*C18/(DATOS!$B$14*E18))^2/((DATOS!$B$14*E18)/(DATOS!$B$14+2*E18))^(4/3))+((DATOS!$B$27*C19/(DATOS!$B$14*((AD19+AE19)/2)))^2/((DATOS!$B$14*((AD19+AE19)/2))/(DATOS!$B$14+2*((AD19+AE19)/2)))^(4/3)))*(A18-A19)))&lt;0,AE19,((AD19+AE19)/2))</f>
        <v/>
      </c>
      <c r="AH19" s="16">
        <f>IF((((AF19+AG19)/2)+(C19/(DATOS!$B$14*((AF19+AG19)/2)))^2/(2*9.81)+B19-(E18+(C18/(DATOS!$B$14*E18))^2/(2*9.81)+B18+0.5*(((DATOS!$B$27*C18/(DATOS!$B$14*E18))^2/((DATOS!$B$14*E18)/(DATOS!$B$14+2*E18))^(4/3))+((DATOS!$B$27*C19/(DATOS!$B$14*((AF19+AG19)/2)))^2/((DATOS!$B$14*((AF19+AG19)/2))/(DATOS!$B$14+2*((AF19+AG19)/2)))^(4/3)))*(A18-A19)))&lt;0,((AF19+AG19)/2),AF19)</f>
        <v/>
      </c>
      <c r="AI19" s="16">
        <f>IF((((AF19+AG19)/2)+(C19/(DATOS!$B$14*((AF19+AG19)/2)))^2/(2*9.81)+B19-(E18+(C18/(DATOS!$B$14*E18))^2/(2*9.81)+B18+0.5*(((DATOS!$B$27*C18/(DATOS!$B$14*E18))^2/((DATOS!$B$14*E18)/(DATOS!$B$14+2*E18))^(4/3))+((DATOS!$B$27*C19/(DATOS!$B$14*((AF19+AG19)/2)))^2/((DATOS!$B$14*((AF19+AG19)/2))/(DATOS!$B$14+2*((AF19+AG19)/2)))^(4/3)))*(A18-A19)))&lt;0,AG19,((AF19+AG19)/2))</f>
        <v/>
      </c>
      <c r="AJ19" s="16">
        <f>IF((((AH19+AI19)/2)+(C19/(DATOS!$B$14*((AH19+AI19)/2)))^2/(2*9.81)+B19-(E18+(C18/(DATOS!$B$14*E18))^2/(2*9.81)+B18+0.5*(((DATOS!$B$27*C18/(DATOS!$B$14*E18))^2/((DATOS!$B$14*E18)/(DATOS!$B$14+2*E18))^(4/3))+((DATOS!$B$27*C19/(DATOS!$B$14*((AH19+AI19)/2)))^2/((DATOS!$B$14*((AH19+AI19)/2))/(DATOS!$B$14+2*((AH19+AI19)/2)))^(4/3)))*(A18-A19)))&lt;0,((AH19+AI19)/2),AH19)</f>
        <v/>
      </c>
      <c r="AK19" s="16">
        <f>IF((((AH19+AI19)/2)+(C19/(DATOS!$B$14*((AH19+AI19)/2)))^2/(2*9.81)+B19-(E18+(C18/(DATOS!$B$14*E18))^2/(2*9.81)+B18+0.5*(((DATOS!$B$27*C18/(DATOS!$B$14*E18))^2/((DATOS!$B$14*E18)/(DATOS!$B$14+2*E18))^(4/3))+((DATOS!$B$27*C19/(DATOS!$B$14*((AH19+AI19)/2)))^2/((DATOS!$B$14*((AH19+AI19)/2))/(DATOS!$B$14+2*((AH19+AI19)/2)))^(4/3)))*(A18-A19)))&lt;0,AI19,((AH19+AI19)/2))</f>
        <v/>
      </c>
      <c r="AL19" s="16">
        <f>IF((((AJ19+AK19)/2)+(C19/(DATOS!$B$14*((AJ19+AK19)/2)))^2/(2*9.81)+B19-(E18+(C18/(DATOS!$B$14*E18))^2/(2*9.81)+B18+0.5*(((DATOS!$B$27*C18/(DATOS!$B$14*E18))^2/((DATOS!$B$14*E18)/(DATOS!$B$14+2*E18))^(4/3))+((DATOS!$B$27*C19/(DATOS!$B$14*((AJ19+AK19)/2)))^2/((DATOS!$B$14*((AJ19+AK19)/2))/(DATOS!$B$14+2*((AJ19+AK19)/2)))^(4/3)))*(A18-A19)))&lt;0,((AJ19+AK19)/2),AJ19)</f>
        <v/>
      </c>
      <c r="AM19" s="16">
        <f>IF((((AJ19+AK19)/2)+(C19/(DATOS!$B$14*((AJ19+AK19)/2)))^2/(2*9.81)+B19-(E18+(C18/(DATOS!$B$14*E18))^2/(2*9.81)+B18+0.5*(((DATOS!$B$27*C18/(DATOS!$B$14*E18))^2/((DATOS!$B$14*E18)/(DATOS!$B$14+2*E18))^(4/3))+((DATOS!$B$27*C19/(DATOS!$B$14*((AJ19+AK19)/2)))^2/((DATOS!$B$14*((AJ19+AK19)/2))/(DATOS!$B$14+2*((AJ19+AK19)/2)))^(4/3)))*(A18-A19)))&lt;0,AK19,((AJ19+AK19)/2))</f>
        <v/>
      </c>
      <c r="AN19" s="16">
        <f>IF((((AL19+AM19)/2)+(C19/(DATOS!$B$14*((AL19+AM19)/2)))^2/(2*9.81)+B19-(E18+(C18/(DATOS!$B$14*E18))^2/(2*9.81)+B18+0.5*(((DATOS!$B$27*C18/(DATOS!$B$14*E18))^2/((DATOS!$B$14*E18)/(DATOS!$B$14+2*E18))^(4/3))+((DATOS!$B$27*C19/(DATOS!$B$14*((AL19+AM19)/2)))^2/((DATOS!$B$14*((AL19+AM19)/2))/(DATOS!$B$14+2*((AL19+AM19)/2)))^(4/3)))*(A18-A19)))&lt;0,((AL19+AM19)/2),AL19)</f>
        <v/>
      </c>
      <c r="AO19" s="16">
        <f>IF((((AL19+AM19)/2)+(C19/(DATOS!$B$14*((AL19+AM19)/2)))^2/(2*9.81)+B19-(E18+(C18/(DATOS!$B$14*E18))^2/(2*9.81)+B18+0.5*(((DATOS!$B$27*C18/(DATOS!$B$14*E18))^2/((DATOS!$B$14*E18)/(DATOS!$B$14+2*E18))^(4/3))+((DATOS!$B$27*C19/(DATOS!$B$14*((AL19+AM19)/2)))^2/((DATOS!$B$14*((AL19+AM19)/2))/(DATOS!$B$14+2*((AL19+AM19)/2)))^(4/3)))*(A18-A19)))&lt;0,AM19,((AL19+AM19)/2))</f>
        <v/>
      </c>
      <c r="AP19" s="16">
        <f>IF((((AN19+AO19)/2)+(C19/(DATOS!$B$14*((AN19+AO19)/2)))^2/(2*9.81)+B19-(E18+(C18/(DATOS!$B$14*E18))^2/(2*9.81)+B18+0.5*(((DATOS!$B$27*C18/(DATOS!$B$14*E18))^2/((DATOS!$B$14*E18)/(DATOS!$B$14+2*E18))^(4/3))+((DATOS!$B$27*C19/(DATOS!$B$14*((AN19+AO19)/2)))^2/((DATOS!$B$14*((AN19+AO19)/2))/(DATOS!$B$14+2*((AN19+AO19)/2)))^(4/3)))*(A18-A19)))&lt;0,((AN19+AO19)/2),AN19)</f>
        <v/>
      </c>
      <c r="AQ19" s="16">
        <f>IF((((AN19+AO19)/2)+(C19/(DATOS!$B$14*((AN19+AO19)/2)))^2/(2*9.81)+B19-(E18+(C18/(DATOS!$B$14*E18))^2/(2*9.81)+B18+0.5*(((DATOS!$B$27*C18/(DATOS!$B$14*E18))^2/((DATOS!$B$14*E18)/(DATOS!$B$14+2*E18))^(4/3))+((DATOS!$B$27*C19/(DATOS!$B$14*((AN19+AO19)/2)))^2/((DATOS!$B$14*((AN19+AO19)/2))/(DATOS!$B$14+2*((AN19+AO19)/2)))^(4/3)))*(A18-A19)))&lt;0,AO19,((AN19+AO19)/2))</f>
        <v/>
      </c>
      <c r="AR19" s="16">
        <f>IF((((AP19+AQ19)/2)+(C19/(DATOS!$B$14*((AP19+AQ19)/2)))^2/(2*9.81)+B19-(E18+(C18/(DATOS!$B$14*E18))^2/(2*9.81)+B18+0.5*(((DATOS!$B$27*C18/(DATOS!$B$14*E18))^2/((DATOS!$B$14*E18)/(DATOS!$B$14+2*E18))^(4/3))+((DATOS!$B$27*C19/(DATOS!$B$14*((AP19+AQ19)/2)))^2/((DATOS!$B$14*((AP19+AQ19)/2))/(DATOS!$B$14+2*((AP19+AQ19)/2)))^(4/3)))*(A18-A19)))&lt;0,((AP19+AQ19)/2),AP19)</f>
        <v/>
      </c>
      <c r="AS19" s="16">
        <f>IF((((AP19+AQ19)/2)+(C19/(DATOS!$B$14*((AP19+AQ19)/2)))^2/(2*9.81)+B19-(E18+(C18/(DATOS!$B$14*E18))^2/(2*9.81)+B18+0.5*(((DATOS!$B$27*C18/(DATOS!$B$14*E18))^2/((DATOS!$B$14*E18)/(DATOS!$B$14+2*E18))^(4/3))+((DATOS!$B$27*C19/(DATOS!$B$14*((AP19+AQ19)/2)))^2/((DATOS!$B$14*((AP19+AQ19)/2))/(DATOS!$B$14+2*((AP19+AQ19)/2)))^(4/3)))*(A18-A19)))&lt;0,AQ19,((AP19+AQ19)/2))</f>
        <v/>
      </c>
      <c r="AT19" s="16">
        <f>IF((((AR19+AS19)/2)+(C19/(DATOS!$B$14*((AR19+AS19)/2)))^2/(2*9.81)+B19-(E18+(C18/(DATOS!$B$14*E18))^2/(2*9.81)+B18+0.5*(((DATOS!$B$27*C18/(DATOS!$B$14*E18))^2/((DATOS!$B$14*E18)/(DATOS!$B$14+2*E18))^(4/3))+((DATOS!$B$27*C19/(DATOS!$B$14*((AR19+AS19)/2)))^2/((DATOS!$B$14*((AR19+AS19)/2))/(DATOS!$B$14+2*((AR19+AS19)/2)))^(4/3)))*(A18-A19)))&lt;0,((AR19+AS19)/2),AR19)</f>
        <v/>
      </c>
      <c r="AU19" s="16">
        <f>IF((((AR19+AS19)/2)+(C19/(DATOS!$B$14*((AR19+AS19)/2)))^2/(2*9.81)+B19-(E18+(C18/(DATOS!$B$14*E18))^2/(2*9.81)+B18+0.5*(((DATOS!$B$27*C18/(DATOS!$B$14*E18))^2/((DATOS!$B$14*E18)/(DATOS!$B$14+2*E18))^(4/3))+((DATOS!$B$27*C19/(DATOS!$B$14*((AR19+AS19)/2)))^2/((DATOS!$B$14*((AR19+AS19)/2))/(DATOS!$B$14+2*((AR19+AS19)/2)))^(4/3)))*(A18-A19)))&lt;0,AS19,((AR19+AS19)/2))</f>
        <v/>
      </c>
      <c r="AV19" s="16">
        <f>IF((((AT19+AU19)/2)+(C19/(DATOS!$B$14*((AT19+AU19)/2)))^2/(2*9.81)+B19-(E18+(C18/(DATOS!$B$14*E18))^2/(2*9.81)+B18+0.5*(((DATOS!$B$27*C18/(DATOS!$B$14*E18))^2/((DATOS!$B$14*E18)/(DATOS!$B$14+2*E18))^(4/3))+((DATOS!$B$27*C19/(DATOS!$B$14*((AT19+AU19)/2)))^2/((DATOS!$B$14*((AT19+AU19)/2))/(DATOS!$B$14+2*((AT19+AU19)/2)))^(4/3)))*(A18-A19)))&lt;0,((AT19+AU19)/2),AT19)</f>
        <v/>
      </c>
      <c r="AW19" s="16">
        <f>IF((((AT19+AU19)/2)+(C19/(DATOS!$B$14*((AT19+AU19)/2)))^2/(2*9.81)+B19-(E18+(C18/(DATOS!$B$14*E18))^2/(2*9.81)+B18+0.5*(((DATOS!$B$27*C18/(DATOS!$B$14*E18))^2/((DATOS!$B$14*E18)/(DATOS!$B$14+2*E18))^(4/3))+((DATOS!$B$27*C19/(DATOS!$B$14*((AT19+AU19)/2)))^2/((DATOS!$B$14*((AT19+AU19)/2))/(DATOS!$B$14+2*((AT19+AU19)/2)))^(4/3)))*(A18-A19)))&lt;0,AU19,((AT19+AU19)/2))</f>
        <v/>
      </c>
      <c r="AX19" s="16">
        <f>IF((((AV19+AW19)/2)+(C19/(DATOS!$B$14*((AV19+AW19)/2)))^2/(2*9.81)+B19-(E18+(C18/(DATOS!$B$14*E18))^2/(2*9.81)+B18+0.5*(((DATOS!$B$27*C18/(DATOS!$B$14*E18))^2/((DATOS!$B$14*E18)/(DATOS!$B$14+2*E18))^(4/3))+((DATOS!$B$27*C19/(DATOS!$B$14*((AV19+AW19)/2)))^2/((DATOS!$B$14*((AV19+AW19)/2))/(DATOS!$B$14+2*((AV19+AW19)/2)))^(4/3)))*(A18-A19)))&lt;0,((AV19+AW19)/2),AV19)</f>
        <v/>
      </c>
      <c r="AY19" s="16">
        <f>IF((((AV19+AW19)/2)+(C19/(DATOS!$B$14*((AV19+AW19)/2)))^2/(2*9.81)+B19-(E18+(C18/(DATOS!$B$14*E18))^2/(2*9.81)+B18+0.5*(((DATOS!$B$27*C18/(DATOS!$B$14*E18))^2/((DATOS!$B$14*E18)/(DATOS!$B$14+2*E18))^(4/3))+((DATOS!$B$27*C19/(DATOS!$B$14*((AV19+AW19)/2)))^2/((DATOS!$B$14*((AV19+AW19)/2))/(DATOS!$B$14+2*((AV19+AW19)/2)))^(4/3)))*(A18-A19)))&lt;0,AW19,((AV19+AW19)/2))</f>
        <v/>
      </c>
      <c r="AZ19" s="16">
        <f>IF((((AX19+AY19)/2)+(C19/(DATOS!$B$14*((AX19+AY19)/2)))^2/(2*9.81)+B19-(E18+(C18/(DATOS!$B$14*E18))^2/(2*9.81)+B18+0.5*(((DATOS!$B$27*C18/(DATOS!$B$14*E18))^2/((DATOS!$B$14*E18)/(DATOS!$B$14+2*E18))^(4/3))+((DATOS!$B$27*C19/(DATOS!$B$14*((AX19+AY19)/2)))^2/((DATOS!$B$14*((AX19+AY19)/2))/(DATOS!$B$14+2*((AX19+AY19)/2)))^(4/3)))*(A18-A19)))&lt;0,((AX19+AY19)/2),AX19)</f>
        <v/>
      </c>
      <c r="BA19" s="16">
        <f>IF((((AX19+AY19)/2)+(C19/(DATOS!$B$14*((AX19+AY19)/2)))^2/(2*9.81)+B19-(E18+(C18/(DATOS!$B$14*E18))^2/(2*9.81)+B18+0.5*(((DATOS!$B$27*C18/(DATOS!$B$14*E18))^2/((DATOS!$B$14*E18)/(DATOS!$B$14+2*E18))^(4/3))+((DATOS!$B$27*C19/(DATOS!$B$14*((AX19+AY19)/2)))^2/((DATOS!$B$14*((AX19+AY19)/2))/(DATOS!$B$14+2*((AX19+AY19)/2)))^(4/3)))*(A18-A19)))&lt;0,AY19,((AX19+AY19)/2))</f>
        <v/>
      </c>
      <c r="BB19" s="16">
        <f>IF((((AZ19+BA19)/2)+(C19/(DATOS!$B$14*((AZ19+BA19)/2)))^2/(2*9.81)+B19-(E18+(C18/(DATOS!$B$14*E18))^2/(2*9.81)+B18+0.5*(((DATOS!$B$27*C18/(DATOS!$B$14*E18))^2/((DATOS!$B$14*E18)/(DATOS!$B$14+2*E18))^(4/3))+((DATOS!$B$27*C19/(DATOS!$B$14*((AZ19+BA19)/2)))^2/((DATOS!$B$14*((AZ19+BA19)/2))/(DATOS!$B$14+2*((AZ19+BA19)/2)))^(4/3)))*(A18-A19)))&lt;0,((AZ19+BA19)/2),AZ19)</f>
        <v/>
      </c>
      <c r="BC19" s="16">
        <f>IF((((AZ19+BA19)/2)+(C19/(DATOS!$B$14*((AZ19+BA19)/2)))^2/(2*9.81)+B19-(E18+(C18/(DATOS!$B$14*E18))^2/(2*9.81)+B18+0.5*(((DATOS!$B$27*C18/(DATOS!$B$14*E18))^2/((DATOS!$B$14*E18)/(DATOS!$B$14+2*E18))^(4/3))+((DATOS!$B$27*C19/(DATOS!$B$14*((AZ19+BA19)/2)))^2/((DATOS!$B$14*((AZ19+BA19)/2))/(DATOS!$B$14+2*((AZ19+BA19)/2)))^(4/3)))*(A18-A19)))&lt;0,BA19,((AZ19+BA19)/2))</f>
        <v/>
      </c>
      <c r="BD19" s="16">
        <f>IF((((BB19+BC19)/2)+(C19/(DATOS!$B$14*((BB19+BC19)/2)))^2/(2*9.81)+B19-(E18+(C18/(DATOS!$B$14*E18))^2/(2*9.81)+B18+0.5*(((DATOS!$B$27*C18/(DATOS!$B$14*E18))^2/((DATOS!$B$14*E18)/(DATOS!$B$14+2*E18))^(4/3))+((DATOS!$B$27*C19/(DATOS!$B$14*((BB19+BC19)/2)))^2/((DATOS!$B$14*((BB19+BC19)/2))/(DATOS!$B$14+2*((BB19+BC19)/2)))^(4/3)))*(A18-A19)))&lt;0,((BB19+BC19)/2),BB19)</f>
        <v/>
      </c>
      <c r="BE19" s="16">
        <f>IF((((BB19+BC19)/2)+(C19/(DATOS!$B$14*((BB19+BC19)/2)))^2/(2*9.81)+B19-(E18+(C18/(DATOS!$B$14*E18))^2/(2*9.81)+B18+0.5*(((DATOS!$B$27*C18/(DATOS!$B$14*E18))^2/((DATOS!$B$14*E18)/(DATOS!$B$14+2*E18))^(4/3))+((DATOS!$B$27*C19/(DATOS!$B$14*((BB19+BC19)/2)))^2/((DATOS!$B$14*((BB19+BC19)/2))/(DATOS!$B$14+2*((BB19+BC19)/2)))^(4/3)))*(A18-A19)))&lt;0,BC19,((BB19+BC19)/2))</f>
        <v/>
      </c>
      <c r="BF19" s="16">
        <f>IF((((BD19+BE19)/2)+(C19/(DATOS!$B$14*((BD19+BE19)/2)))^2/(2*9.81)+B19-(E18+(C18/(DATOS!$B$14*E18))^2/(2*9.81)+B18+0.5*(((DATOS!$B$27*C18/(DATOS!$B$14*E18))^2/((DATOS!$B$14*E18)/(DATOS!$B$14+2*E18))^(4/3))+((DATOS!$B$27*C19/(DATOS!$B$14*((BD19+BE19)/2)))^2/((DATOS!$B$14*((BD19+BE19)/2))/(DATOS!$B$14+2*((BD19+BE19)/2)))^(4/3)))*(A18-A19)))&lt;0,((BD19+BE19)/2),BD19)</f>
        <v/>
      </c>
      <c r="BG19" s="16">
        <f>IF((((BD19+BE19)/2)+(C19/(DATOS!$B$14*((BD19+BE19)/2)))^2/(2*9.81)+B19-(E18+(C18/(DATOS!$B$14*E18))^2/(2*9.81)+B18+0.5*(((DATOS!$B$27*C18/(DATOS!$B$14*E18))^2/((DATOS!$B$14*E18)/(DATOS!$B$14+2*E18))^(4/3))+((DATOS!$B$27*C19/(DATOS!$B$14*((BD19+BE19)/2)))^2/((DATOS!$B$14*((BD19+BE19)/2))/(DATOS!$B$14+2*((BD19+BE19)/2)))^(4/3)))*(A18-A19)))&lt;0,BE19,((BD19+BE19)/2))</f>
        <v/>
      </c>
      <c r="BH19" s="16">
        <f>IF((((BF19+BG19)/2)+(C19/(DATOS!$B$14*((BF19+BG19)/2)))^2/(2*9.81)+B19-(E18+(C18/(DATOS!$B$14*E18))^2/(2*9.81)+B18+0.5*(((DATOS!$B$27*C18/(DATOS!$B$14*E18))^2/((DATOS!$B$14*E18)/(DATOS!$B$14+2*E18))^(4/3))+((DATOS!$B$27*C19/(DATOS!$B$14*((BF19+BG19)/2)))^2/((DATOS!$B$14*((BF19+BG19)/2))/(DATOS!$B$14+2*((BF19+BG19)/2)))^(4/3)))*(A18-A19)))&lt;0,((BF19+BG19)/2),BF19)</f>
        <v/>
      </c>
      <c r="BI19" s="16">
        <f>IF((((BF19+BG19)/2)+(C19/(DATOS!$B$14*((BF19+BG19)/2)))^2/(2*9.81)+B19-(E18+(C18/(DATOS!$B$14*E18))^2/(2*9.81)+B18+0.5*(((DATOS!$B$27*C18/(DATOS!$B$14*E18))^2/((DATOS!$B$14*E18)/(DATOS!$B$14+2*E18))^(4/3))+((DATOS!$B$27*C19/(DATOS!$B$14*((BF19+BG19)/2)))^2/((DATOS!$B$14*((BF19+BG19)/2))/(DATOS!$B$14+2*((BF19+BG19)/2)))^(4/3)))*(A18-A19)))&lt;0,BG19,((BF19+BG19)/2))</f>
        <v/>
      </c>
      <c r="BJ19" s="16">
        <f>IF((((BH19+BI19)/2)+(C19/(DATOS!$B$14*((BH19+BI19)/2)))^2/(2*9.81)+B19-(E18+(C18/(DATOS!$B$14*E18))^2/(2*9.81)+B18+0.5*(((DATOS!$B$27*C18/(DATOS!$B$14*E18))^2/((DATOS!$B$14*E18)/(DATOS!$B$14+2*E18))^(4/3))+((DATOS!$B$27*C19/(DATOS!$B$14*((BH19+BI19)/2)))^2/((DATOS!$B$14*((BH19+BI19)/2))/(DATOS!$B$14+2*((BH19+BI19)/2)))^(4/3)))*(A18-A19)))&lt;0,((BH19+BI19)/2),BH19)</f>
        <v/>
      </c>
      <c r="BK19" s="16">
        <f>IF((((BH19+BI19)/2)+(C19/(DATOS!$B$14*((BH19+BI19)/2)))^2/(2*9.81)+B19-(E18+(C18/(DATOS!$B$14*E18))^2/(2*9.81)+B18+0.5*(((DATOS!$B$27*C18/(DATOS!$B$14*E18))^2/((DATOS!$B$14*E18)/(DATOS!$B$14+2*E18))^(4/3))+((DATOS!$B$27*C19/(DATOS!$B$14*((BH19+BI19)/2)))^2/((DATOS!$B$14*((BH19+BI19)/2))/(DATOS!$B$14+2*((BH19+BI19)/2)))^(4/3)))*(A18-A19)))&lt;0,BI19,((BH19+BI19)/2))</f>
        <v/>
      </c>
      <c r="BL19" s="16">
        <f>IF((((BJ19+BK19)/2)+(C19/(DATOS!$B$14*((BJ19+BK19)/2)))^2/(2*9.81)+B19-(E18+(C18/(DATOS!$B$14*E18))^2/(2*9.81)+B18+0.5*(((DATOS!$B$27*C18/(DATOS!$B$14*E18))^2/((DATOS!$B$14*E18)/(DATOS!$B$14+2*E18))^(4/3))+((DATOS!$B$27*C19/(DATOS!$B$14*((BJ19+BK19)/2)))^2/((DATOS!$B$14*((BJ19+BK19)/2))/(DATOS!$B$14+2*((BJ19+BK19)/2)))^(4/3)))*(A18-A19)))&lt;0,((BJ19+BK19)/2),BJ19)</f>
        <v/>
      </c>
      <c r="BM19" s="16">
        <f>IF((((BJ19+BK19)/2)+(C19/(DATOS!$B$14*((BJ19+BK19)/2)))^2/(2*9.81)+B19-(E18+(C18/(DATOS!$B$14*E18))^2/(2*9.81)+B18+0.5*(((DATOS!$B$27*C18/(DATOS!$B$14*E18))^2/((DATOS!$B$14*E18)/(DATOS!$B$14+2*E18))^(4/3))+((DATOS!$B$27*C19/(DATOS!$B$14*((BJ19+BK19)/2)))^2/((DATOS!$B$14*((BJ19+BK19)/2))/(DATOS!$B$14+2*((BJ19+BK19)/2)))^(4/3)))*(A18-A19)))&lt;0,BK19,((BJ19+BK19)/2))</f>
        <v/>
      </c>
      <c r="BN19" s="16">
        <f>IF((((BL19+BM19)/2)+(C19/(DATOS!$B$14*((BL19+BM19)/2)))^2/(2*9.81)+B19-(E18+(C18/(DATOS!$B$14*E18))^2/(2*9.81)+B18+0.5*(((DATOS!$B$27*C18/(DATOS!$B$14*E18))^2/((DATOS!$B$14*E18)/(DATOS!$B$14+2*E18))^(4/3))+((DATOS!$B$27*C19/(DATOS!$B$14*((BL19+BM19)/2)))^2/((DATOS!$B$14*((BL19+BM19)/2))/(DATOS!$B$14+2*((BL19+BM19)/2)))^(4/3)))*(A18-A19)))&lt;0,((BL19+BM19)/2),BL19)</f>
        <v/>
      </c>
      <c r="BO19" s="16">
        <f>IF((((BL19+BM19)/2)+(C19/(DATOS!$B$14*((BL19+BM19)/2)))^2/(2*9.81)+B19-(E18+(C18/(DATOS!$B$14*E18))^2/(2*9.81)+B18+0.5*(((DATOS!$B$27*C18/(DATOS!$B$14*E18))^2/((DATOS!$B$14*E18)/(DATOS!$B$14+2*E18))^(4/3))+((DATOS!$B$27*C19/(DATOS!$B$14*((BL19+BM19)/2)))^2/((DATOS!$B$14*((BL19+BM19)/2))/(DATOS!$B$14+2*((BL19+BM19)/2)))^(4/3)))*(A18-A19)))&lt;0,BM19,((BL19+BM19)/2))</f>
        <v/>
      </c>
      <c r="BP19" s="16">
        <f>IF((((BN19+BO19)/2)+(C19/(DATOS!$B$14*((BN19+BO19)/2)))^2/(2*9.81)+B19-(E18+(C18/(DATOS!$B$14*E18))^2/(2*9.81)+B18+0.5*(((DATOS!$B$27*C18/(DATOS!$B$14*E18))^2/((DATOS!$B$14*E18)/(DATOS!$B$14+2*E18))^(4/3))+((DATOS!$B$27*C19/(DATOS!$B$14*((BN19+BO19)/2)))^2/((DATOS!$B$14*((BN19+BO19)/2))/(DATOS!$B$14+2*((BN19+BO19)/2)))^(4/3)))*(A18-A19)))&lt;0,((BN19+BO19)/2),BN19)</f>
        <v/>
      </c>
      <c r="BQ19" s="16">
        <f>IF((((BN19+BO19)/2)+(C19/(DATOS!$B$14*((BN19+BO19)/2)))^2/(2*9.81)+B19-(E18+(C18/(DATOS!$B$14*E18))^2/(2*9.81)+B18+0.5*(((DATOS!$B$27*C18/(DATOS!$B$14*E18))^2/((DATOS!$B$14*E18)/(DATOS!$B$14+2*E18))^(4/3))+((DATOS!$B$27*C19/(DATOS!$B$14*((BN19+BO19)/2)))^2/((DATOS!$B$14*((BN19+BO19)/2))/(DATOS!$B$14+2*((BN19+BO19)/2)))^(4/3)))*(A18-A19)))&lt;0,BO19,((BN19+BO19)/2))</f>
        <v/>
      </c>
      <c r="BR19" s="16">
        <f>IF((((BP19+BQ19)/2)+(C19/(DATOS!$B$14*((BP19+BQ19)/2)))^2/(2*9.81)+B19-(E18+(C18/(DATOS!$B$14*E18))^2/(2*9.81)+B18+0.5*(((DATOS!$B$27*C18/(DATOS!$B$14*E18))^2/((DATOS!$B$14*E18)/(DATOS!$B$14+2*E18))^(4/3))+((DATOS!$B$27*C19/(DATOS!$B$14*((BP19+BQ19)/2)))^2/((DATOS!$B$14*((BP19+BQ19)/2))/(DATOS!$B$14+2*((BP19+BQ19)/2)))^(4/3)))*(A18-A19)))&lt;0,((BP19+BQ19)/2),BP19)</f>
        <v/>
      </c>
      <c r="BS19" s="16">
        <f>IF((((BP19+BQ19)/2)+(C19/(DATOS!$B$14*((BP19+BQ19)/2)))^2/(2*9.81)+B19-(E18+(C18/(DATOS!$B$14*E18))^2/(2*9.81)+B18+0.5*(((DATOS!$B$27*C18/(DATOS!$B$14*E18))^2/((DATOS!$B$14*E18)/(DATOS!$B$14+2*E18))^(4/3))+((DATOS!$B$27*C19/(DATOS!$B$14*((BP19+BQ19)/2)))^2/((DATOS!$B$14*((BP19+BQ19)/2))/(DATOS!$B$14+2*((BP19+BQ19)/2)))^(4/3)))*(A18-A19)))&lt;0,BQ19,((BP19+BQ19)/2))</f>
        <v/>
      </c>
      <c r="BT19" s="16">
        <f>IF((((BR19+BS19)/2)+(C19/(DATOS!$B$14*((BR19+BS19)/2)))^2/(2*9.81)+B19-(E18+(C18/(DATOS!$B$14*E18))^2/(2*9.81)+B18+0.5*(((DATOS!$B$27*C18/(DATOS!$B$14*E18))^2/((DATOS!$B$14*E18)/(DATOS!$B$14+2*E18))^(4/3))+((DATOS!$B$27*C19/(DATOS!$B$14*((BR19+BS19)/2)))^2/((DATOS!$B$14*((BR19+BS19)/2))/(DATOS!$B$14+2*((BR19+BS19)/2)))^(4/3)))*(A18-A19)))&lt;0,((BR19+BS19)/2),BR19)</f>
        <v/>
      </c>
      <c r="BU19" s="16">
        <f>IF((((BR19+BS19)/2)+(C19/(DATOS!$B$14*((BR19+BS19)/2)))^2/(2*9.81)+B19-(E18+(C18/(DATOS!$B$14*E18))^2/(2*9.81)+B18+0.5*(((DATOS!$B$27*C18/(DATOS!$B$14*E18))^2/((DATOS!$B$14*E18)/(DATOS!$B$14+2*E18))^(4/3))+((DATOS!$B$27*C19/(DATOS!$B$14*((BR19+BS19)/2)))^2/((DATOS!$B$14*((BR19+BS19)/2))/(DATOS!$B$14+2*((BR19+BS19)/2)))^(4/3)))*(A18-A19)))&lt;0,BS19,((BR19+BS19)/2))</f>
        <v/>
      </c>
    </row>
    <row r="20">
      <c r="A20" s="30" t="n">
        <v>110</v>
      </c>
      <c r="B20" s="21">
        <f>DATOS!$B$16-DATOS!$B$19*A20</f>
        <v/>
      </c>
      <c r="C20" s="21">
        <f>IF(A20&lt;CAUDALES!$B$13,CAUDALES!$D$12,IF(A20&lt;CAUDALES!$B$14,CAUDALES!$D$13,IF(A20&lt;CAUDALES!$B$15,CAUDALES!$D$14,CAUDALES!$D$15)))/1000</f>
        <v/>
      </c>
      <c r="D20" s="21">
        <f>(C20^2/(9.81*DATOS!$B$14^2))^(1/3)</f>
        <v/>
      </c>
      <c r="E20" s="29">
        <f>(BT20+BU20)/2</f>
        <v/>
      </c>
      <c r="F20" s="21">
        <f>B20+E20</f>
        <v/>
      </c>
      <c r="G20" s="17">
        <f>C20/(DATOS!$B$14*E20)</f>
        <v/>
      </c>
      <c r="H20" s="17">
        <f>G20/SQRT(9.81*E20)</f>
        <v/>
      </c>
      <c r="I20" s="21">
        <f>IF(A20&lt;=DATOS!$B$20,DATOS!$B$21-IF(AND(A20&gt;=DATOS!$B$23,A20&lt;DATOS!$B$24),DATOS!$B$25,DATOS!$B$22),B20+DATOS!$B$26)</f>
        <v/>
      </c>
      <c r="J20" s="17">
        <f>I20-B20</f>
        <v/>
      </c>
      <c r="K20" s="31">
        <f>E20/J20</f>
        <v/>
      </c>
      <c r="L20" s="21">
        <f>I20-F20</f>
        <v/>
      </c>
      <c r="M20" s="32">
        <f>IF(AND(K20&lt;=DATOS!$B$29,L20&gt;=DATOS!$B$30),"CUMPLE","NO CUMPLE")</f>
        <v/>
      </c>
      <c r="N20" s="13">
        <f>IF(A20&gt;DATOS!$B$20,"cubierto - tramo final",IF(AND(A20&gt;=DATOS!$B$23,A20&lt;DATOS!$B$24),"cubierto - camiones","cubierto"))</f>
        <v/>
      </c>
      <c r="P20" s="16">
        <f>D20*1.001</f>
        <v/>
      </c>
      <c r="Q20" s="16" t="n">
        <v>2</v>
      </c>
      <c r="R20" s="16">
        <f>IF((((P20+Q20)/2)+(C20/(DATOS!$B$14*((P20+Q20)/2)))^2/(2*9.81)+B20-(E19+(C19/(DATOS!$B$14*E19))^2/(2*9.81)+B19+0.5*(((DATOS!$B$27*C19/(DATOS!$B$14*E19))^2/((DATOS!$B$14*E19)/(DATOS!$B$14+2*E19))^(4/3))+((DATOS!$B$27*C20/(DATOS!$B$14*((P20+Q20)/2)))^2/((DATOS!$B$14*((P20+Q20)/2))/(DATOS!$B$14+2*((P20+Q20)/2)))^(4/3)))*(A19-A20)))&lt;0,((P20+Q20)/2),P20)</f>
        <v/>
      </c>
      <c r="S20" s="16">
        <f>IF((((P20+Q20)/2)+(C20/(DATOS!$B$14*((P20+Q20)/2)))^2/(2*9.81)+B20-(E19+(C19/(DATOS!$B$14*E19))^2/(2*9.81)+B19+0.5*(((DATOS!$B$27*C19/(DATOS!$B$14*E19))^2/((DATOS!$B$14*E19)/(DATOS!$B$14+2*E19))^(4/3))+((DATOS!$B$27*C20/(DATOS!$B$14*((P20+Q20)/2)))^2/((DATOS!$B$14*((P20+Q20)/2))/(DATOS!$B$14+2*((P20+Q20)/2)))^(4/3)))*(A19-A20)))&lt;0,Q20,((P20+Q20)/2))</f>
        <v/>
      </c>
      <c r="T20" s="16">
        <f>IF((((R20+S20)/2)+(C20/(DATOS!$B$14*((R20+S20)/2)))^2/(2*9.81)+B20-(E19+(C19/(DATOS!$B$14*E19))^2/(2*9.81)+B19+0.5*(((DATOS!$B$27*C19/(DATOS!$B$14*E19))^2/((DATOS!$B$14*E19)/(DATOS!$B$14+2*E19))^(4/3))+((DATOS!$B$27*C20/(DATOS!$B$14*((R20+S20)/2)))^2/((DATOS!$B$14*((R20+S20)/2))/(DATOS!$B$14+2*((R20+S20)/2)))^(4/3)))*(A19-A20)))&lt;0,((R20+S20)/2),R20)</f>
        <v/>
      </c>
      <c r="U20" s="16">
        <f>IF((((R20+S20)/2)+(C20/(DATOS!$B$14*((R20+S20)/2)))^2/(2*9.81)+B20-(E19+(C19/(DATOS!$B$14*E19))^2/(2*9.81)+B19+0.5*(((DATOS!$B$27*C19/(DATOS!$B$14*E19))^2/((DATOS!$B$14*E19)/(DATOS!$B$14+2*E19))^(4/3))+((DATOS!$B$27*C20/(DATOS!$B$14*((R20+S20)/2)))^2/((DATOS!$B$14*((R20+S20)/2))/(DATOS!$B$14+2*((R20+S20)/2)))^(4/3)))*(A19-A20)))&lt;0,S20,((R20+S20)/2))</f>
        <v/>
      </c>
      <c r="V20" s="16">
        <f>IF((((T20+U20)/2)+(C20/(DATOS!$B$14*((T20+U20)/2)))^2/(2*9.81)+B20-(E19+(C19/(DATOS!$B$14*E19))^2/(2*9.81)+B19+0.5*(((DATOS!$B$27*C19/(DATOS!$B$14*E19))^2/((DATOS!$B$14*E19)/(DATOS!$B$14+2*E19))^(4/3))+((DATOS!$B$27*C20/(DATOS!$B$14*((T20+U20)/2)))^2/((DATOS!$B$14*((T20+U20)/2))/(DATOS!$B$14+2*((T20+U20)/2)))^(4/3)))*(A19-A20)))&lt;0,((T20+U20)/2),T20)</f>
        <v/>
      </c>
      <c r="W20" s="16">
        <f>IF((((T20+U20)/2)+(C20/(DATOS!$B$14*((T20+U20)/2)))^2/(2*9.81)+B20-(E19+(C19/(DATOS!$B$14*E19))^2/(2*9.81)+B19+0.5*(((DATOS!$B$27*C19/(DATOS!$B$14*E19))^2/((DATOS!$B$14*E19)/(DATOS!$B$14+2*E19))^(4/3))+((DATOS!$B$27*C20/(DATOS!$B$14*((T20+U20)/2)))^2/((DATOS!$B$14*((T20+U20)/2))/(DATOS!$B$14+2*((T20+U20)/2)))^(4/3)))*(A19-A20)))&lt;0,U20,((T20+U20)/2))</f>
        <v/>
      </c>
      <c r="X20" s="16">
        <f>IF((((V20+W20)/2)+(C20/(DATOS!$B$14*((V20+W20)/2)))^2/(2*9.81)+B20-(E19+(C19/(DATOS!$B$14*E19))^2/(2*9.81)+B19+0.5*(((DATOS!$B$27*C19/(DATOS!$B$14*E19))^2/((DATOS!$B$14*E19)/(DATOS!$B$14+2*E19))^(4/3))+((DATOS!$B$27*C20/(DATOS!$B$14*((V20+W20)/2)))^2/((DATOS!$B$14*((V20+W20)/2))/(DATOS!$B$14+2*((V20+W20)/2)))^(4/3)))*(A19-A20)))&lt;0,((V20+W20)/2),V20)</f>
        <v/>
      </c>
      <c r="Y20" s="16">
        <f>IF((((V20+W20)/2)+(C20/(DATOS!$B$14*((V20+W20)/2)))^2/(2*9.81)+B20-(E19+(C19/(DATOS!$B$14*E19))^2/(2*9.81)+B19+0.5*(((DATOS!$B$27*C19/(DATOS!$B$14*E19))^2/((DATOS!$B$14*E19)/(DATOS!$B$14+2*E19))^(4/3))+((DATOS!$B$27*C20/(DATOS!$B$14*((V20+W20)/2)))^2/((DATOS!$B$14*((V20+W20)/2))/(DATOS!$B$14+2*((V20+W20)/2)))^(4/3)))*(A19-A20)))&lt;0,W20,((V20+W20)/2))</f>
        <v/>
      </c>
      <c r="Z20" s="16">
        <f>IF((((X20+Y20)/2)+(C20/(DATOS!$B$14*((X20+Y20)/2)))^2/(2*9.81)+B20-(E19+(C19/(DATOS!$B$14*E19))^2/(2*9.81)+B19+0.5*(((DATOS!$B$27*C19/(DATOS!$B$14*E19))^2/((DATOS!$B$14*E19)/(DATOS!$B$14+2*E19))^(4/3))+((DATOS!$B$27*C20/(DATOS!$B$14*((X20+Y20)/2)))^2/((DATOS!$B$14*((X20+Y20)/2))/(DATOS!$B$14+2*((X20+Y20)/2)))^(4/3)))*(A19-A20)))&lt;0,((X20+Y20)/2),X20)</f>
        <v/>
      </c>
      <c r="AA20" s="16">
        <f>IF((((X20+Y20)/2)+(C20/(DATOS!$B$14*((X20+Y20)/2)))^2/(2*9.81)+B20-(E19+(C19/(DATOS!$B$14*E19))^2/(2*9.81)+B19+0.5*(((DATOS!$B$27*C19/(DATOS!$B$14*E19))^2/((DATOS!$B$14*E19)/(DATOS!$B$14+2*E19))^(4/3))+((DATOS!$B$27*C20/(DATOS!$B$14*((X20+Y20)/2)))^2/((DATOS!$B$14*((X20+Y20)/2))/(DATOS!$B$14+2*((X20+Y20)/2)))^(4/3)))*(A19-A20)))&lt;0,Y20,((X20+Y20)/2))</f>
        <v/>
      </c>
      <c r="AB20" s="16">
        <f>IF((((Z20+AA20)/2)+(C20/(DATOS!$B$14*((Z20+AA20)/2)))^2/(2*9.81)+B20-(E19+(C19/(DATOS!$B$14*E19))^2/(2*9.81)+B19+0.5*(((DATOS!$B$27*C19/(DATOS!$B$14*E19))^2/((DATOS!$B$14*E19)/(DATOS!$B$14+2*E19))^(4/3))+((DATOS!$B$27*C20/(DATOS!$B$14*((Z20+AA20)/2)))^2/((DATOS!$B$14*((Z20+AA20)/2))/(DATOS!$B$14+2*((Z20+AA20)/2)))^(4/3)))*(A19-A20)))&lt;0,((Z20+AA20)/2),Z20)</f>
        <v/>
      </c>
      <c r="AC20" s="16">
        <f>IF((((Z20+AA20)/2)+(C20/(DATOS!$B$14*((Z20+AA20)/2)))^2/(2*9.81)+B20-(E19+(C19/(DATOS!$B$14*E19))^2/(2*9.81)+B19+0.5*(((DATOS!$B$27*C19/(DATOS!$B$14*E19))^2/((DATOS!$B$14*E19)/(DATOS!$B$14+2*E19))^(4/3))+((DATOS!$B$27*C20/(DATOS!$B$14*((Z20+AA20)/2)))^2/((DATOS!$B$14*((Z20+AA20)/2))/(DATOS!$B$14+2*((Z20+AA20)/2)))^(4/3)))*(A19-A20)))&lt;0,AA20,((Z20+AA20)/2))</f>
        <v/>
      </c>
      <c r="AD20" s="16">
        <f>IF((((AB20+AC20)/2)+(C20/(DATOS!$B$14*((AB20+AC20)/2)))^2/(2*9.81)+B20-(E19+(C19/(DATOS!$B$14*E19))^2/(2*9.81)+B19+0.5*(((DATOS!$B$27*C19/(DATOS!$B$14*E19))^2/((DATOS!$B$14*E19)/(DATOS!$B$14+2*E19))^(4/3))+((DATOS!$B$27*C20/(DATOS!$B$14*((AB20+AC20)/2)))^2/((DATOS!$B$14*((AB20+AC20)/2))/(DATOS!$B$14+2*((AB20+AC20)/2)))^(4/3)))*(A19-A20)))&lt;0,((AB20+AC20)/2),AB20)</f>
        <v/>
      </c>
      <c r="AE20" s="16">
        <f>IF((((AB20+AC20)/2)+(C20/(DATOS!$B$14*((AB20+AC20)/2)))^2/(2*9.81)+B20-(E19+(C19/(DATOS!$B$14*E19))^2/(2*9.81)+B19+0.5*(((DATOS!$B$27*C19/(DATOS!$B$14*E19))^2/((DATOS!$B$14*E19)/(DATOS!$B$14+2*E19))^(4/3))+((DATOS!$B$27*C20/(DATOS!$B$14*((AB20+AC20)/2)))^2/((DATOS!$B$14*((AB20+AC20)/2))/(DATOS!$B$14+2*((AB20+AC20)/2)))^(4/3)))*(A19-A20)))&lt;0,AC20,((AB20+AC20)/2))</f>
        <v/>
      </c>
      <c r="AF20" s="16">
        <f>IF((((AD20+AE20)/2)+(C20/(DATOS!$B$14*((AD20+AE20)/2)))^2/(2*9.81)+B20-(E19+(C19/(DATOS!$B$14*E19))^2/(2*9.81)+B19+0.5*(((DATOS!$B$27*C19/(DATOS!$B$14*E19))^2/((DATOS!$B$14*E19)/(DATOS!$B$14+2*E19))^(4/3))+((DATOS!$B$27*C20/(DATOS!$B$14*((AD20+AE20)/2)))^2/((DATOS!$B$14*((AD20+AE20)/2))/(DATOS!$B$14+2*((AD20+AE20)/2)))^(4/3)))*(A19-A20)))&lt;0,((AD20+AE20)/2),AD20)</f>
        <v/>
      </c>
      <c r="AG20" s="16">
        <f>IF((((AD20+AE20)/2)+(C20/(DATOS!$B$14*((AD20+AE20)/2)))^2/(2*9.81)+B20-(E19+(C19/(DATOS!$B$14*E19))^2/(2*9.81)+B19+0.5*(((DATOS!$B$27*C19/(DATOS!$B$14*E19))^2/((DATOS!$B$14*E19)/(DATOS!$B$14+2*E19))^(4/3))+((DATOS!$B$27*C20/(DATOS!$B$14*((AD20+AE20)/2)))^2/((DATOS!$B$14*((AD20+AE20)/2))/(DATOS!$B$14+2*((AD20+AE20)/2)))^(4/3)))*(A19-A20)))&lt;0,AE20,((AD20+AE20)/2))</f>
        <v/>
      </c>
      <c r="AH20" s="16">
        <f>IF((((AF20+AG20)/2)+(C20/(DATOS!$B$14*((AF20+AG20)/2)))^2/(2*9.81)+B20-(E19+(C19/(DATOS!$B$14*E19))^2/(2*9.81)+B19+0.5*(((DATOS!$B$27*C19/(DATOS!$B$14*E19))^2/((DATOS!$B$14*E19)/(DATOS!$B$14+2*E19))^(4/3))+((DATOS!$B$27*C20/(DATOS!$B$14*((AF20+AG20)/2)))^2/((DATOS!$B$14*((AF20+AG20)/2))/(DATOS!$B$14+2*((AF20+AG20)/2)))^(4/3)))*(A19-A20)))&lt;0,((AF20+AG20)/2),AF20)</f>
        <v/>
      </c>
      <c r="AI20" s="16">
        <f>IF((((AF20+AG20)/2)+(C20/(DATOS!$B$14*((AF20+AG20)/2)))^2/(2*9.81)+B20-(E19+(C19/(DATOS!$B$14*E19))^2/(2*9.81)+B19+0.5*(((DATOS!$B$27*C19/(DATOS!$B$14*E19))^2/((DATOS!$B$14*E19)/(DATOS!$B$14+2*E19))^(4/3))+((DATOS!$B$27*C20/(DATOS!$B$14*((AF20+AG20)/2)))^2/((DATOS!$B$14*((AF20+AG20)/2))/(DATOS!$B$14+2*((AF20+AG20)/2)))^(4/3)))*(A19-A20)))&lt;0,AG20,((AF20+AG20)/2))</f>
        <v/>
      </c>
      <c r="AJ20" s="16">
        <f>IF((((AH20+AI20)/2)+(C20/(DATOS!$B$14*((AH20+AI20)/2)))^2/(2*9.81)+B20-(E19+(C19/(DATOS!$B$14*E19))^2/(2*9.81)+B19+0.5*(((DATOS!$B$27*C19/(DATOS!$B$14*E19))^2/((DATOS!$B$14*E19)/(DATOS!$B$14+2*E19))^(4/3))+((DATOS!$B$27*C20/(DATOS!$B$14*((AH20+AI20)/2)))^2/((DATOS!$B$14*((AH20+AI20)/2))/(DATOS!$B$14+2*((AH20+AI20)/2)))^(4/3)))*(A19-A20)))&lt;0,((AH20+AI20)/2),AH20)</f>
        <v/>
      </c>
      <c r="AK20" s="16">
        <f>IF((((AH20+AI20)/2)+(C20/(DATOS!$B$14*((AH20+AI20)/2)))^2/(2*9.81)+B20-(E19+(C19/(DATOS!$B$14*E19))^2/(2*9.81)+B19+0.5*(((DATOS!$B$27*C19/(DATOS!$B$14*E19))^2/((DATOS!$B$14*E19)/(DATOS!$B$14+2*E19))^(4/3))+((DATOS!$B$27*C20/(DATOS!$B$14*((AH20+AI20)/2)))^2/((DATOS!$B$14*((AH20+AI20)/2))/(DATOS!$B$14+2*((AH20+AI20)/2)))^(4/3)))*(A19-A20)))&lt;0,AI20,((AH20+AI20)/2))</f>
        <v/>
      </c>
      <c r="AL20" s="16">
        <f>IF((((AJ20+AK20)/2)+(C20/(DATOS!$B$14*((AJ20+AK20)/2)))^2/(2*9.81)+B20-(E19+(C19/(DATOS!$B$14*E19))^2/(2*9.81)+B19+0.5*(((DATOS!$B$27*C19/(DATOS!$B$14*E19))^2/((DATOS!$B$14*E19)/(DATOS!$B$14+2*E19))^(4/3))+((DATOS!$B$27*C20/(DATOS!$B$14*((AJ20+AK20)/2)))^2/((DATOS!$B$14*((AJ20+AK20)/2))/(DATOS!$B$14+2*((AJ20+AK20)/2)))^(4/3)))*(A19-A20)))&lt;0,((AJ20+AK20)/2),AJ20)</f>
        <v/>
      </c>
      <c r="AM20" s="16">
        <f>IF((((AJ20+AK20)/2)+(C20/(DATOS!$B$14*((AJ20+AK20)/2)))^2/(2*9.81)+B20-(E19+(C19/(DATOS!$B$14*E19))^2/(2*9.81)+B19+0.5*(((DATOS!$B$27*C19/(DATOS!$B$14*E19))^2/((DATOS!$B$14*E19)/(DATOS!$B$14+2*E19))^(4/3))+((DATOS!$B$27*C20/(DATOS!$B$14*((AJ20+AK20)/2)))^2/((DATOS!$B$14*((AJ20+AK20)/2))/(DATOS!$B$14+2*((AJ20+AK20)/2)))^(4/3)))*(A19-A20)))&lt;0,AK20,((AJ20+AK20)/2))</f>
        <v/>
      </c>
      <c r="AN20" s="16">
        <f>IF((((AL20+AM20)/2)+(C20/(DATOS!$B$14*((AL20+AM20)/2)))^2/(2*9.81)+B20-(E19+(C19/(DATOS!$B$14*E19))^2/(2*9.81)+B19+0.5*(((DATOS!$B$27*C19/(DATOS!$B$14*E19))^2/((DATOS!$B$14*E19)/(DATOS!$B$14+2*E19))^(4/3))+((DATOS!$B$27*C20/(DATOS!$B$14*((AL20+AM20)/2)))^2/((DATOS!$B$14*((AL20+AM20)/2))/(DATOS!$B$14+2*((AL20+AM20)/2)))^(4/3)))*(A19-A20)))&lt;0,((AL20+AM20)/2),AL20)</f>
        <v/>
      </c>
      <c r="AO20" s="16">
        <f>IF((((AL20+AM20)/2)+(C20/(DATOS!$B$14*((AL20+AM20)/2)))^2/(2*9.81)+B20-(E19+(C19/(DATOS!$B$14*E19))^2/(2*9.81)+B19+0.5*(((DATOS!$B$27*C19/(DATOS!$B$14*E19))^2/((DATOS!$B$14*E19)/(DATOS!$B$14+2*E19))^(4/3))+((DATOS!$B$27*C20/(DATOS!$B$14*((AL20+AM20)/2)))^2/((DATOS!$B$14*((AL20+AM20)/2))/(DATOS!$B$14+2*((AL20+AM20)/2)))^(4/3)))*(A19-A20)))&lt;0,AM20,((AL20+AM20)/2))</f>
        <v/>
      </c>
      <c r="AP20" s="16">
        <f>IF((((AN20+AO20)/2)+(C20/(DATOS!$B$14*((AN20+AO20)/2)))^2/(2*9.81)+B20-(E19+(C19/(DATOS!$B$14*E19))^2/(2*9.81)+B19+0.5*(((DATOS!$B$27*C19/(DATOS!$B$14*E19))^2/((DATOS!$B$14*E19)/(DATOS!$B$14+2*E19))^(4/3))+((DATOS!$B$27*C20/(DATOS!$B$14*((AN20+AO20)/2)))^2/((DATOS!$B$14*((AN20+AO20)/2))/(DATOS!$B$14+2*((AN20+AO20)/2)))^(4/3)))*(A19-A20)))&lt;0,((AN20+AO20)/2),AN20)</f>
        <v/>
      </c>
      <c r="AQ20" s="16">
        <f>IF((((AN20+AO20)/2)+(C20/(DATOS!$B$14*((AN20+AO20)/2)))^2/(2*9.81)+B20-(E19+(C19/(DATOS!$B$14*E19))^2/(2*9.81)+B19+0.5*(((DATOS!$B$27*C19/(DATOS!$B$14*E19))^2/((DATOS!$B$14*E19)/(DATOS!$B$14+2*E19))^(4/3))+((DATOS!$B$27*C20/(DATOS!$B$14*((AN20+AO20)/2)))^2/((DATOS!$B$14*((AN20+AO20)/2))/(DATOS!$B$14+2*((AN20+AO20)/2)))^(4/3)))*(A19-A20)))&lt;0,AO20,((AN20+AO20)/2))</f>
        <v/>
      </c>
      <c r="AR20" s="16">
        <f>IF((((AP20+AQ20)/2)+(C20/(DATOS!$B$14*((AP20+AQ20)/2)))^2/(2*9.81)+B20-(E19+(C19/(DATOS!$B$14*E19))^2/(2*9.81)+B19+0.5*(((DATOS!$B$27*C19/(DATOS!$B$14*E19))^2/((DATOS!$B$14*E19)/(DATOS!$B$14+2*E19))^(4/3))+((DATOS!$B$27*C20/(DATOS!$B$14*((AP20+AQ20)/2)))^2/((DATOS!$B$14*((AP20+AQ20)/2))/(DATOS!$B$14+2*((AP20+AQ20)/2)))^(4/3)))*(A19-A20)))&lt;0,((AP20+AQ20)/2),AP20)</f>
        <v/>
      </c>
      <c r="AS20" s="16">
        <f>IF((((AP20+AQ20)/2)+(C20/(DATOS!$B$14*((AP20+AQ20)/2)))^2/(2*9.81)+B20-(E19+(C19/(DATOS!$B$14*E19))^2/(2*9.81)+B19+0.5*(((DATOS!$B$27*C19/(DATOS!$B$14*E19))^2/((DATOS!$B$14*E19)/(DATOS!$B$14+2*E19))^(4/3))+((DATOS!$B$27*C20/(DATOS!$B$14*((AP20+AQ20)/2)))^2/((DATOS!$B$14*((AP20+AQ20)/2))/(DATOS!$B$14+2*((AP20+AQ20)/2)))^(4/3)))*(A19-A20)))&lt;0,AQ20,((AP20+AQ20)/2))</f>
        <v/>
      </c>
      <c r="AT20" s="16">
        <f>IF((((AR20+AS20)/2)+(C20/(DATOS!$B$14*((AR20+AS20)/2)))^2/(2*9.81)+B20-(E19+(C19/(DATOS!$B$14*E19))^2/(2*9.81)+B19+0.5*(((DATOS!$B$27*C19/(DATOS!$B$14*E19))^2/((DATOS!$B$14*E19)/(DATOS!$B$14+2*E19))^(4/3))+((DATOS!$B$27*C20/(DATOS!$B$14*((AR20+AS20)/2)))^2/((DATOS!$B$14*((AR20+AS20)/2))/(DATOS!$B$14+2*((AR20+AS20)/2)))^(4/3)))*(A19-A20)))&lt;0,((AR20+AS20)/2),AR20)</f>
        <v/>
      </c>
      <c r="AU20" s="16">
        <f>IF((((AR20+AS20)/2)+(C20/(DATOS!$B$14*((AR20+AS20)/2)))^2/(2*9.81)+B20-(E19+(C19/(DATOS!$B$14*E19))^2/(2*9.81)+B19+0.5*(((DATOS!$B$27*C19/(DATOS!$B$14*E19))^2/((DATOS!$B$14*E19)/(DATOS!$B$14+2*E19))^(4/3))+((DATOS!$B$27*C20/(DATOS!$B$14*((AR20+AS20)/2)))^2/((DATOS!$B$14*((AR20+AS20)/2))/(DATOS!$B$14+2*((AR20+AS20)/2)))^(4/3)))*(A19-A20)))&lt;0,AS20,((AR20+AS20)/2))</f>
        <v/>
      </c>
      <c r="AV20" s="16">
        <f>IF((((AT20+AU20)/2)+(C20/(DATOS!$B$14*((AT20+AU20)/2)))^2/(2*9.81)+B20-(E19+(C19/(DATOS!$B$14*E19))^2/(2*9.81)+B19+0.5*(((DATOS!$B$27*C19/(DATOS!$B$14*E19))^2/((DATOS!$B$14*E19)/(DATOS!$B$14+2*E19))^(4/3))+((DATOS!$B$27*C20/(DATOS!$B$14*((AT20+AU20)/2)))^2/((DATOS!$B$14*((AT20+AU20)/2))/(DATOS!$B$14+2*((AT20+AU20)/2)))^(4/3)))*(A19-A20)))&lt;0,((AT20+AU20)/2),AT20)</f>
        <v/>
      </c>
      <c r="AW20" s="16">
        <f>IF((((AT20+AU20)/2)+(C20/(DATOS!$B$14*((AT20+AU20)/2)))^2/(2*9.81)+B20-(E19+(C19/(DATOS!$B$14*E19))^2/(2*9.81)+B19+0.5*(((DATOS!$B$27*C19/(DATOS!$B$14*E19))^2/((DATOS!$B$14*E19)/(DATOS!$B$14+2*E19))^(4/3))+((DATOS!$B$27*C20/(DATOS!$B$14*((AT20+AU20)/2)))^2/((DATOS!$B$14*((AT20+AU20)/2))/(DATOS!$B$14+2*((AT20+AU20)/2)))^(4/3)))*(A19-A20)))&lt;0,AU20,((AT20+AU20)/2))</f>
        <v/>
      </c>
      <c r="AX20" s="16">
        <f>IF((((AV20+AW20)/2)+(C20/(DATOS!$B$14*((AV20+AW20)/2)))^2/(2*9.81)+B20-(E19+(C19/(DATOS!$B$14*E19))^2/(2*9.81)+B19+0.5*(((DATOS!$B$27*C19/(DATOS!$B$14*E19))^2/((DATOS!$B$14*E19)/(DATOS!$B$14+2*E19))^(4/3))+((DATOS!$B$27*C20/(DATOS!$B$14*((AV20+AW20)/2)))^2/((DATOS!$B$14*((AV20+AW20)/2))/(DATOS!$B$14+2*((AV20+AW20)/2)))^(4/3)))*(A19-A20)))&lt;0,((AV20+AW20)/2),AV20)</f>
        <v/>
      </c>
      <c r="AY20" s="16">
        <f>IF((((AV20+AW20)/2)+(C20/(DATOS!$B$14*((AV20+AW20)/2)))^2/(2*9.81)+B20-(E19+(C19/(DATOS!$B$14*E19))^2/(2*9.81)+B19+0.5*(((DATOS!$B$27*C19/(DATOS!$B$14*E19))^2/((DATOS!$B$14*E19)/(DATOS!$B$14+2*E19))^(4/3))+((DATOS!$B$27*C20/(DATOS!$B$14*((AV20+AW20)/2)))^2/((DATOS!$B$14*((AV20+AW20)/2))/(DATOS!$B$14+2*((AV20+AW20)/2)))^(4/3)))*(A19-A20)))&lt;0,AW20,((AV20+AW20)/2))</f>
        <v/>
      </c>
      <c r="AZ20" s="16">
        <f>IF((((AX20+AY20)/2)+(C20/(DATOS!$B$14*((AX20+AY20)/2)))^2/(2*9.81)+B20-(E19+(C19/(DATOS!$B$14*E19))^2/(2*9.81)+B19+0.5*(((DATOS!$B$27*C19/(DATOS!$B$14*E19))^2/((DATOS!$B$14*E19)/(DATOS!$B$14+2*E19))^(4/3))+((DATOS!$B$27*C20/(DATOS!$B$14*((AX20+AY20)/2)))^2/((DATOS!$B$14*((AX20+AY20)/2))/(DATOS!$B$14+2*((AX20+AY20)/2)))^(4/3)))*(A19-A20)))&lt;0,((AX20+AY20)/2),AX20)</f>
        <v/>
      </c>
      <c r="BA20" s="16">
        <f>IF((((AX20+AY20)/2)+(C20/(DATOS!$B$14*((AX20+AY20)/2)))^2/(2*9.81)+B20-(E19+(C19/(DATOS!$B$14*E19))^2/(2*9.81)+B19+0.5*(((DATOS!$B$27*C19/(DATOS!$B$14*E19))^2/((DATOS!$B$14*E19)/(DATOS!$B$14+2*E19))^(4/3))+((DATOS!$B$27*C20/(DATOS!$B$14*((AX20+AY20)/2)))^2/((DATOS!$B$14*((AX20+AY20)/2))/(DATOS!$B$14+2*((AX20+AY20)/2)))^(4/3)))*(A19-A20)))&lt;0,AY20,((AX20+AY20)/2))</f>
        <v/>
      </c>
      <c r="BB20" s="16">
        <f>IF((((AZ20+BA20)/2)+(C20/(DATOS!$B$14*((AZ20+BA20)/2)))^2/(2*9.81)+B20-(E19+(C19/(DATOS!$B$14*E19))^2/(2*9.81)+B19+0.5*(((DATOS!$B$27*C19/(DATOS!$B$14*E19))^2/((DATOS!$B$14*E19)/(DATOS!$B$14+2*E19))^(4/3))+((DATOS!$B$27*C20/(DATOS!$B$14*((AZ20+BA20)/2)))^2/((DATOS!$B$14*((AZ20+BA20)/2))/(DATOS!$B$14+2*((AZ20+BA20)/2)))^(4/3)))*(A19-A20)))&lt;0,((AZ20+BA20)/2),AZ20)</f>
        <v/>
      </c>
      <c r="BC20" s="16">
        <f>IF((((AZ20+BA20)/2)+(C20/(DATOS!$B$14*((AZ20+BA20)/2)))^2/(2*9.81)+B20-(E19+(C19/(DATOS!$B$14*E19))^2/(2*9.81)+B19+0.5*(((DATOS!$B$27*C19/(DATOS!$B$14*E19))^2/((DATOS!$B$14*E19)/(DATOS!$B$14+2*E19))^(4/3))+((DATOS!$B$27*C20/(DATOS!$B$14*((AZ20+BA20)/2)))^2/((DATOS!$B$14*((AZ20+BA20)/2))/(DATOS!$B$14+2*((AZ20+BA20)/2)))^(4/3)))*(A19-A20)))&lt;0,BA20,((AZ20+BA20)/2))</f>
        <v/>
      </c>
      <c r="BD20" s="16">
        <f>IF((((BB20+BC20)/2)+(C20/(DATOS!$B$14*((BB20+BC20)/2)))^2/(2*9.81)+B20-(E19+(C19/(DATOS!$B$14*E19))^2/(2*9.81)+B19+0.5*(((DATOS!$B$27*C19/(DATOS!$B$14*E19))^2/((DATOS!$B$14*E19)/(DATOS!$B$14+2*E19))^(4/3))+((DATOS!$B$27*C20/(DATOS!$B$14*((BB20+BC20)/2)))^2/((DATOS!$B$14*((BB20+BC20)/2))/(DATOS!$B$14+2*((BB20+BC20)/2)))^(4/3)))*(A19-A20)))&lt;0,((BB20+BC20)/2),BB20)</f>
        <v/>
      </c>
      <c r="BE20" s="16">
        <f>IF((((BB20+BC20)/2)+(C20/(DATOS!$B$14*((BB20+BC20)/2)))^2/(2*9.81)+B20-(E19+(C19/(DATOS!$B$14*E19))^2/(2*9.81)+B19+0.5*(((DATOS!$B$27*C19/(DATOS!$B$14*E19))^2/((DATOS!$B$14*E19)/(DATOS!$B$14+2*E19))^(4/3))+((DATOS!$B$27*C20/(DATOS!$B$14*((BB20+BC20)/2)))^2/((DATOS!$B$14*((BB20+BC20)/2))/(DATOS!$B$14+2*((BB20+BC20)/2)))^(4/3)))*(A19-A20)))&lt;0,BC20,((BB20+BC20)/2))</f>
        <v/>
      </c>
      <c r="BF20" s="16">
        <f>IF((((BD20+BE20)/2)+(C20/(DATOS!$B$14*((BD20+BE20)/2)))^2/(2*9.81)+B20-(E19+(C19/(DATOS!$B$14*E19))^2/(2*9.81)+B19+0.5*(((DATOS!$B$27*C19/(DATOS!$B$14*E19))^2/((DATOS!$B$14*E19)/(DATOS!$B$14+2*E19))^(4/3))+((DATOS!$B$27*C20/(DATOS!$B$14*((BD20+BE20)/2)))^2/((DATOS!$B$14*((BD20+BE20)/2))/(DATOS!$B$14+2*((BD20+BE20)/2)))^(4/3)))*(A19-A20)))&lt;0,((BD20+BE20)/2),BD20)</f>
        <v/>
      </c>
      <c r="BG20" s="16">
        <f>IF((((BD20+BE20)/2)+(C20/(DATOS!$B$14*((BD20+BE20)/2)))^2/(2*9.81)+B20-(E19+(C19/(DATOS!$B$14*E19))^2/(2*9.81)+B19+0.5*(((DATOS!$B$27*C19/(DATOS!$B$14*E19))^2/((DATOS!$B$14*E19)/(DATOS!$B$14+2*E19))^(4/3))+((DATOS!$B$27*C20/(DATOS!$B$14*((BD20+BE20)/2)))^2/((DATOS!$B$14*((BD20+BE20)/2))/(DATOS!$B$14+2*((BD20+BE20)/2)))^(4/3)))*(A19-A20)))&lt;0,BE20,((BD20+BE20)/2))</f>
        <v/>
      </c>
      <c r="BH20" s="16">
        <f>IF((((BF20+BG20)/2)+(C20/(DATOS!$B$14*((BF20+BG20)/2)))^2/(2*9.81)+B20-(E19+(C19/(DATOS!$B$14*E19))^2/(2*9.81)+B19+0.5*(((DATOS!$B$27*C19/(DATOS!$B$14*E19))^2/((DATOS!$B$14*E19)/(DATOS!$B$14+2*E19))^(4/3))+((DATOS!$B$27*C20/(DATOS!$B$14*((BF20+BG20)/2)))^2/((DATOS!$B$14*((BF20+BG20)/2))/(DATOS!$B$14+2*((BF20+BG20)/2)))^(4/3)))*(A19-A20)))&lt;0,((BF20+BG20)/2),BF20)</f>
        <v/>
      </c>
      <c r="BI20" s="16">
        <f>IF((((BF20+BG20)/2)+(C20/(DATOS!$B$14*((BF20+BG20)/2)))^2/(2*9.81)+B20-(E19+(C19/(DATOS!$B$14*E19))^2/(2*9.81)+B19+0.5*(((DATOS!$B$27*C19/(DATOS!$B$14*E19))^2/((DATOS!$B$14*E19)/(DATOS!$B$14+2*E19))^(4/3))+((DATOS!$B$27*C20/(DATOS!$B$14*((BF20+BG20)/2)))^2/((DATOS!$B$14*((BF20+BG20)/2))/(DATOS!$B$14+2*((BF20+BG20)/2)))^(4/3)))*(A19-A20)))&lt;0,BG20,((BF20+BG20)/2))</f>
        <v/>
      </c>
      <c r="BJ20" s="16">
        <f>IF((((BH20+BI20)/2)+(C20/(DATOS!$B$14*((BH20+BI20)/2)))^2/(2*9.81)+B20-(E19+(C19/(DATOS!$B$14*E19))^2/(2*9.81)+B19+0.5*(((DATOS!$B$27*C19/(DATOS!$B$14*E19))^2/((DATOS!$B$14*E19)/(DATOS!$B$14+2*E19))^(4/3))+((DATOS!$B$27*C20/(DATOS!$B$14*((BH20+BI20)/2)))^2/((DATOS!$B$14*((BH20+BI20)/2))/(DATOS!$B$14+2*((BH20+BI20)/2)))^(4/3)))*(A19-A20)))&lt;0,((BH20+BI20)/2),BH20)</f>
        <v/>
      </c>
      <c r="BK20" s="16">
        <f>IF((((BH20+BI20)/2)+(C20/(DATOS!$B$14*((BH20+BI20)/2)))^2/(2*9.81)+B20-(E19+(C19/(DATOS!$B$14*E19))^2/(2*9.81)+B19+0.5*(((DATOS!$B$27*C19/(DATOS!$B$14*E19))^2/((DATOS!$B$14*E19)/(DATOS!$B$14+2*E19))^(4/3))+((DATOS!$B$27*C20/(DATOS!$B$14*((BH20+BI20)/2)))^2/((DATOS!$B$14*((BH20+BI20)/2))/(DATOS!$B$14+2*((BH20+BI20)/2)))^(4/3)))*(A19-A20)))&lt;0,BI20,((BH20+BI20)/2))</f>
        <v/>
      </c>
      <c r="BL20" s="16">
        <f>IF((((BJ20+BK20)/2)+(C20/(DATOS!$B$14*((BJ20+BK20)/2)))^2/(2*9.81)+B20-(E19+(C19/(DATOS!$B$14*E19))^2/(2*9.81)+B19+0.5*(((DATOS!$B$27*C19/(DATOS!$B$14*E19))^2/((DATOS!$B$14*E19)/(DATOS!$B$14+2*E19))^(4/3))+((DATOS!$B$27*C20/(DATOS!$B$14*((BJ20+BK20)/2)))^2/((DATOS!$B$14*((BJ20+BK20)/2))/(DATOS!$B$14+2*((BJ20+BK20)/2)))^(4/3)))*(A19-A20)))&lt;0,((BJ20+BK20)/2),BJ20)</f>
        <v/>
      </c>
      <c r="BM20" s="16">
        <f>IF((((BJ20+BK20)/2)+(C20/(DATOS!$B$14*((BJ20+BK20)/2)))^2/(2*9.81)+B20-(E19+(C19/(DATOS!$B$14*E19))^2/(2*9.81)+B19+0.5*(((DATOS!$B$27*C19/(DATOS!$B$14*E19))^2/((DATOS!$B$14*E19)/(DATOS!$B$14+2*E19))^(4/3))+((DATOS!$B$27*C20/(DATOS!$B$14*((BJ20+BK20)/2)))^2/((DATOS!$B$14*((BJ20+BK20)/2))/(DATOS!$B$14+2*((BJ20+BK20)/2)))^(4/3)))*(A19-A20)))&lt;0,BK20,((BJ20+BK20)/2))</f>
        <v/>
      </c>
      <c r="BN20" s="16">
        <f>IF((((BL20+BM20)/2)+(C20/(DATOS!$B$14*((BL20+BM20)/2)))^2/(2*9.81)+B20-(E19+(C19/(DATOS!$B$14*E19))^2/(2*9.81)+B19+0.5*(((DATOS!$B$27*C19/(DATOS!$B$14*E19))^2/((DATOS!$B$14*E19)/(DATOS!$B$14+2*E19))^(4/3))+((DATOS!$B$27*C20/(DATOS!$B$14*((BL20+BM20)/2)))^2/((DATOS!$B$14*((BL20+BM20)/2))/(DATOS!$B$14+2*((BL20+BM20)/2)))^(4/3)))*(A19-A20)))&lt;0,((BL20+BM20)/2),BL20)</f>
        <v/>
      </c>
      <c r="BO20" s="16">
        <f>IF((((BL20+BM20)/2)+(C20/(DATOS!$B$14*((BL20+BM20)/2)))^2/(2*9.81)+B20-(E19+(C19/(DATOS!$B$14*E19))^2/(2*9.81)+B19+0.5*(((DATOS!$B$27*C19/(DATOS!$B$14*E19))^2/((DATOS!$B$14*E19)/(DATOS!$B$14+2*E19))^(4/3))+((DATOS!$B$27*C20/(DATOS!$B$14*((BL20+BM20)/2)))^2/((DATOS!$B$14*((BL20+BM20)/2))/(DATOS!$B$14+2*((BL20+BM20)/2)))^(4/3)))*(A19-A20)))&lt;0,BM20,((BL20+BM20)/2))</f>
        <v/>
      </c>
      <c r="BP20" s="16">
        <f>IF((((BN20+BO20)/2)+(C20/(DATOS!$B$14*((BN20+BO20)/2)))^2/(2*9.81)+B20-(E19+(C19/(DATOS!$B$14*E19))^2/(2*9.81)+B19+0.5*(((DATOS!$B$27*C19/(DATOS!$B$14*E19))^2/((DATOS!$B$14*E19)/(DATOS!$B$14+2*E19))^(4/3))+((DATOS!$B$27*C20/(DATOS!$B$14*((BN20+BO20)/2)))^2/((DATOS!$B$14*((BN20+BO20)/2))/(DATOS!$B$14+2*((BN20+BO20)/2)))^(4/3)))*(A19-A20)))&lt;0,((BN20+BO20)/2),BN20)</f>
        <v/>
      </c>
      <c r="BQ20" s="16">
        <f>IF((((BN20+BO20)/2)+(C20/(DATOS!$B$14*((BN20+BO20)/2)))^2/(2*9.81)+B20-(E19+(C19/(DATOS!$B$14*E19))^2/(2*9.81)+B19+0.5*(((DATOS!$B$27*C19/(DATOS!$B$14*E19))^2/((DATOS!$B$14*E19)/(DATOS!$B$14+2*E19))^(4/3))+((DATOS!$B$27*C20/(DATOS!$B$14*((BN20+BO20)/2)))^2/((DATOS!$B$14*((BN20+BO20)/2))/(DATOS!$B$14+2*((BN20+BO20)/2)))^(4/3)))*(A19-A20)))&lt;0,BO20,((BN20+BO20)/2))</f>
        <v/>
      </c>
      <c r="BR20" s="16">
        <f>IF((((BP20+BQ20)/2)+(C20/(DATOS!$B$14*((BP20+BQ20)/2)))^2/(2*9.81)+B20-(E19+(C19/(DATOS!$B$14*E19))^2/(2*9.81)+B19+0.5*(((DATOS!$B$27*C19/(DATOS!$B$14*E19))^2/((DATOS!$B$14*E19)/(DATOS!$B$14+2*E19))^(4/3))+((DATOS!$B$27*C20/(DATOS!$B$14*((BP20+BQ20)/2)))^2/((DATOS!$B$14*((BP20+BQ20)/2))/(DATOS!$B$14+2*((BP20+BQ20)/2)))^(4/3)))*(A19-A20)))&lt;0,((BP20+BQ20)/2),BP20)</f>
        <v/>
      </c>
      <c r="BS20" s="16">
        <f>IF((((BP20+BQ20)/2)+(C20/(DATOS!$B$14*((BP20+BQ20)/2)))^2/(2*9.81)+B20-(E19+(C19/(DATOS!$B$14*E19))^2/(2*9.81)+B19+0.5*(((DATOS!$B$27*C19/(DATOS!$B$14*E19))^2/((DATOS!$B$14*E19)/(DATOS!$B$14+2*E19))^(4/3))+((DATOS!$B$27*C20/(DATOS!$B$14*((BP20+BQ20)/2)))^2/((DATOS!$B$14*((BP20+BQ20)/2))/(DATOS!$B$14+2*((BP20+BQ20)/2)))^(4/3)))*(A19-A20)))&lt;0,BQ20,((BP20+BQ20)/2))</f>
        <v/>
      </c>
      <c r="BT20" s="16">
        <f>IF((((BR20+BS20)/2)+(C20/(DATOS!$B$14*((BR20+BS20)/2)))^2/(2*9.81)+B20-(E19+(C19/(DATOS!$B$14*E19))^2/(2*9.81)+B19+0.5*(((DATOS!$B$27*C19/(DATOS!$B$14*E19))^2/((DATOS!$B$14*E19)/(DATOS!$B$14+2*E19))^(4/3))+((DATOS!$B$27*C20/(DATOS!$B$14*((BR20+BS20)/2)))^2/((DATOS!$B$14*((BR20+BS20)/2))/(DATOS!$B$14+2*((BR20+BS20)/2)))^(4/3)))*(A19-A20)))&lt;0,((BR20+BS20)/2),BR20)</f>
        <v/>
      </c>
      <c r="BU20" s="16">
        <f>IF((((BR20+BS20)/2)+(C20/(DATOS!$B$14*((BR20+BS20)/2)))^2/(2*9.81)+B20-(E19+(C19/(DATOS!$B$14*E19))^2/(2*9.81)+B19+0.5*(((DATOS!$B$27*C19/(DATOS!$B$14*E19))^2/((DATOS!$B$14*E19)/(DATOS!$B$14+2*E19))^(4/3))+((DATOS!$B$27*C20/(DATOS!$B$14*((BR20+BS20)/2)))^2/((DATOS!$B$14*((BR20+BS20)/2))/(DATOS!$B$14+2*((BR20+BS20)/2)))^(4/3)))*(A19-A20)))&lt;0,BS20,((BR20+BS20)/2))</f>
        <v/>
      </c>
    </row>
    <row r="21">
      <c r="A21" s="30" t="n">
        <v>108</v>
      </c>
      <c r="B21" s="21">
        <f>DATOS!$B$16-DATOS!$B$19*A21</f>
        <v/>
      </c>
      <c r="C21" s="21">
        <f>IF(A21&lt;CAUDALES!$B$13,CAUDALES!$D$12,IF(A21&lt;CAUDALES!$B$14,CAUDALES!$D$13,IF(A21&lt;CAUDALES!$B$15,CAUDALES!$D$14,CAUDALES!$D$15)))/1000</f>
        <v/>
      </c>
      <c r="D21" s="21">
        <f>(C21^2/(9.81*DATOS!$B$14^2))^(1/3)</f>
        <v/>
      </c>
      <c r="E21" s="29">
        <f>(BT21+BU21)/2</f>
        <v/>
      </c>
      <c r="F21" s="21">
        <f>B21+E21</f>
        <v/>
      </c>
      <c r="G21" s="17">
        <f>C21/(DATOS!$B$14*E21)</f>
        <v/>
      </c>
      <c r="H21" s="17">
        <f>G21/SQRT(9.81*E21)</f>
        <v/>
      </c>
      <c r="I21" s="21">
        <f>IF(A21&lt;=DATOS!$B$20,DATOS!$B$21-IF(AND(A21&gt;=DATOS!$B$23,A21&lt;DATOS!$B$24),DATOS!$B$25,DATOS!$B$22),B21+DATOS!$B$26)</f>
        <v/>
      </c>
      <c r="J21" s="17">
        <f>I21-B21</f>
        <v/>
      </c>
      <c r="K21" s="31">
        <f>E21/J21</f>
        <v/>
      </c>
      <c r="L21" s="21">
        <f>I21-F21</f>
        <v/>
      </c>
      <c r="M21" s="32">
        <f>IF(AND(K21&lt;=DATOS!$B$29,L21&gt;=DATOS!$B$30),"CUMPLE","NO CUMPLE")</f>
        <v/>
      </c>
      <c r="N21" s="13">
        <f>IF(A21&gt;DATOS!$B$20,"cubierto - tramo final",IF(AND(A21&gt;=DATOS!$B$23,A21&lt;DATOS!$B$24),"cubierto - camiones","cubierto"))</f>
        <v/>
      </c>
      <c r="P21" s="16">
        <f>D21*1.001</f>
        <v/>
      </c>
      <c r="Q21" s="16" t="n">
        <v>2</v>
      </c>
      <c r="R21" s="16">
        <f>IF((((P21+Q21)/2)+(C21/(DATOS!$B$14*((P21+Q21)/2)))^2/(2*9.81)+B21-(E20+(C20/(DATOS!$B$14*E20))^2/(2*9.81)+B20+0.5*(((DATOS!$B$27*C20/(DATOS!$B$14*E20))^2/((DATOS!$B$14*E20)/(DATOS!$B$14+2*E20))^(4/3))+((DATOS!$B$27*C21/(DATOS!$B$14*((P21+Q21)/2)))^2/((DATOS!$B$14*((P21+Q21)/2))/(DATOS!$B$14+2*((P21+Q21)/2)))^(4/3)))*(A20-A21)))&lt;0,((P21+Q21)/2),P21)</f>
        <v/>
      </c>
      <c r="S21" s="16">
        <f>IF((((P21+Q21)/2)+(C21/(DATOS!$B$14*((P21+Q21)/2)))^2/(2*9.81)+B21-(E20+(C20/(DATOS!$B$14*E20))^2/(2*9.81)+B20+0.5*(((DATOS!$B$27*C20/(DATOS!$B$14*E20))^2/((DATOS!$B$14*E20)/(DATOS!$B$14+2*E20))^(4/3))+((DATOS!$B$27*C21/(DATOS!$B$14*((P21+Q21)/2)))^2/((DATOS!$B$14*((P21+Q21)/2))/(DATOS!$B$14+2*((P21+Q21)/2)))^(4/3)))*(A20-A21)))&lt;0,Q21,((P21+Q21)/2))</f>
        <v/>
      </c>
      <c r="T21" s="16">
        <f>IF((((R21+S21)/2)+(C21/(DATOS!$B$14*((R21+S21)/2)))^2/(2*9.81)+B21-(E20+(C20/(DATOS!$B$14*E20))^2/(2*9.81)+B20+0.5*(((DATOS!$B$27*C20/(DATOS!$B$14*E20))^2/((DATOS!$B$14*E20)/(DATOS!$B$14+2*E20))^(4/3))+((DATOS!$B$27*C21/(DATOS!$B$14*((R21+S21)/2)))^2/((DATOS!$B$14*((R21+S21)/2))/(DATOS!$B$14+2*((R21+S21)/2)))^(4/3)))*(A20-A21)))&lt;0,((R21+S21)/2),R21)</f>
        <v/>
      </c>
      <c r="U21" s="16">
        <f>IF((((R21+S21)/2)+(C21/(DATOS!$B$14*((R21+S21)/2)))^2/(2*9.81)+B21-(E20+(C20/(DATOS!$B$14*E20))^2/(2*9.81)+B20+0.5*(((DATOS!$B$27*C20/(DATOS!$B$14*E20))^2/((DATOS!$B$14*E20)/(DATOS!$B$14+2*E20))^(4/3))+((DATOS!$B$27*C21/(DATOS!$B$14*((R21+S21)/2)))^2/((DATOS!$B$14*((R21+S21)/2))/(DATOS!$B$14+2*((R21+S21)/2)))^(4/3)))*(A20-A21)))&lt;0,S21,((R21+S21)/2))</f>
        <v/>
      </c>
      <c r="V21" s="16">
        <f>IF((((T21+U21)/2)+(C21/(DATOS!$B$14*((T21+U21)/2)))^2/(2*9.81)+B21-(E20+(C20/(DATOS!$B$14*E20))^2/(2*9.81)+B20+0.5*(((DATOS!$B$27*C20/(DATOS!$B$14*E20))^2/((DATOS!$B$14*E20)/(DATOS!$B$14+2*E20))^(4/3))+((DATOS!$B$27*C21/(DATOS!$B$14*((T21+U21)/2)))^2/((DATOS!$B$14*((T21+U21)/2))/(DATOS!$B$14+2*((T21+U21)/2)))^(4/3)))*(A20-A21)))&lt;0,((T21+U21)/2),T21)</f>
        <v/>
      </c>
      <c r="W21" s="16">
        <f>IF((((T21+U21)/2)+(C21/(DATOS!$B$14*((T21+U21)/2)))^2/(2*9.81)+B21-(E20+(C20/(DATOS!$B$14*E20))^2/(2*9.81)+B20+0.5*(((DATOS!$B$27*C20/(DATOS!$B$14*E20))^2/((DATOS!$B$14*E20)/(DATOS!$B$14+2*E20))^(4/3))+((DATOS!$B$27*C21/(DATOS!$B$14*((T21+U21)/2)))^2/((DATOS!$B$14*((T21+U21)/2))/(DATOS!$B$14+2*((T21+U21)/2)))^(4/3)))*(A20-A21)))&lt;0,U21,((T21+U21)/2))</f>
        <v/>
      </c>
      <c r="X21" s="16">
        <f>IF((((V21+W21)/2)+(C21/(DATOS!$B$14*((V21+W21)/2)))^2/(2*9.81)+B21-(E20+(C20/(DATOS!$B$14*E20))^2/(2*9.81)+B20+0.5*(((DATOS!$B$27*C20/(DATOS!$B$14*E20))^2/((DATOS!$B$14*E20)/(DATOS!$B$14+2*E20))^(4/3))+((DATOS!$B$27*C21/(DATOS!$B$14*((V21+W21)/2)))^2/((DATOS!$B$14*((V21+W21)/2))/(DATOS!$B$14+2*((V21+W21)/2)))^(4/3)))*(A20-A21)))&lt;0,((V21+W21)/2),V21)</f>
        <v/>
      </c>
      <c r="Y21" s="16">
        <f>IF((((V21+W21)/2)+(C21/(DATOS!$B$14*((V21+W21)/2)))^2/(2*9.81)+B21-(E20+(C20/(DATOS!$B$14*E20))^2/(2*9.81)+B20+0.5*(((DATOS!$B$27*C20/(DATOS!$B$14*E20))^2/((DATOS!$B$14*E20)/(DATOS!$B$14+2*E20))^(4/3))+((DATOS!$B$27*C21/(DATOS!$B$14*((V21+W21)/2)))^2/((DATOS!$B$14*((V21+W21)/2))/(DATOS!$B$14+2*((V21+W21)/2)))^(4/3)))*(A20-A21)))&lt;0,W21,((V21+W21)/2))</f>
        <v/>
      </c>
      <c r="Z21" s="16">
        <f>IF((((X21+Y21)/2)+(C21/(DATOS!$B$14*((X21+Y21)/2)))^2/(2*9.81)+B21-(E20+(C20/(DATOS!$B$14*E20))^2/(2*9.81)+B20+0.5*(((DATOS!$B$27*C20/(DATOS!$B$14*E20))^2/((DATOS!$B$14*E20)/(DATOS!$B$14+2*E20))^(4/3))+((DATOS!$B$27*C21/(DATOS!$B$14*((X21+Y21)/2)))^2/((DATOS!$B$14*((X21+Y21)/2))/(DATOS!$B$14+2*((X21+Y21)/2)))^(4/3)))*(A20-A21)))&lt;0,((X21+Y21)/2),X21)</f>
        <v/>
      </c>
      <c r="AA21" s="16">
        <f>IF((((X21+Y21)/2)+(C21/(DATOS!$B$14*((X21+Y21)/2)))^2/(2*9.81)+B21-(E20+(C20/(DATOS!$B$14*E20))^2/(2*9.81)+B20+0.5*(((DATOS!$B$27*C20/(DATOS!$B$14*E20))^2/((DATOS!$B$14*E20)/(DATOS!$B$14+2*E20))^(4/3))+((DATOS!$B$27*C21/(DATOS!$B$14*((X21+Y21)/2)))^2/((DATOS!$B$14*((X21+Y21)/2))/(DATOS!$B$14+2*((X21+Y21)/2)))^(4/3)))*(A20-A21)))&lt;0,Y21,((X21+Y21)/2))</f>
        <v/>
      </c>
      <c r="AB21" s="16">
        <f>IF((((Z21+AA21)/2)+(C21/(DATOS!$B$14*((Z21+AA21)/2)))^2/(2*9.81)+B21-(E20+(C20/(DATOS!$B$14*E20))^2/(2*9.81)+B20+0.5*(((DATOS!$B$27*C20/(DATOS!$B$14*E20))^2/((DATOS!$B$14*E20)/(DATOS!$B$14+2*E20))^(4/3))+((DATOS!$B$27*C21/(DATOS!$B$14*((Z21+AA21)/2)))^2/((DATOS!$B$14*((Z21+AA21)/2))/(DATOS!$B$14+2*((Z21+AA21)/2)))^(4/3)))*(A20-A21)))&lt;0,((Z21+AA21)/2),Z21)</f>
        <v/>
      </c>
      <c r="AC21" s="16">
        <f>IF((((Z21+AA21)/2)+(C21/(DATOS!$B$14*((Z21+AA21)/2)))^2/(2*9.81)+B21-(E20+(C20/(DATOS!$B$14*E20))^2/(2*9.81)+B20+0.5*(((DATOS!$B$27*C20/(DATOS!$B$14*E20))^2/((DATOS!$B$14*E20)/(DATOS!$B$14+2*E20))^(4/3))+((DATOS!$B$27*C21/(DATOS!$B$14*((Z21+AA21)/2)))^2/((DATOS!$B$14*((Z21+AA21)/2))/(DATOS!$B$14+2*((Z21+AA21)/2)))^(4/3)))*(A20-A21)))&lt;0,AA21,((Z21+AA21)/2))</f>
        <v/>
      </c>
      <c r="AD21" s="16">
        <f>IF((((AB21+AC21)/2)+(C21/(DATOS!$B$14*((AB21+AC21)/2)))^2/(2*9.81)+B21-(E20+(C20/(DATOS!$B$14*E20))^2/(2*9.81)+B20+0.5*(((DATOS!$B$27*C20/(DATOS!$B$14*E20))^2/((DATOS!$B$14*E20)/(DATOS!$B$14+2*E20))^(4/3))+((DATOS!$B$27*C21/(DATOS!$B$14*((AB21+AC21)/2)))^2/((DATOS!$B$14*((AB21+AC21)/2))/(DATOS!$B$14+2*((AB21+AC21)/2)))^(4/3)))*(A20-A21)))&lt;0,((AB21+AC21)/2),AB21)</f>
        <v/>
      </c>
      <c r="AE21" s="16">
        <f>IF((((AB21+AC21)/2)+(C21/(DATOS!$B$14*((AB21+AC21)/2)))^2/(2*9.81)+B21-(E20+(C20/(DATOS!$B$14*E20))^2/(2*9.81)+B20+0.5*(((DATOS!$B$27*C20/(DATOS!$B$14*E20))^2/((DATOS!$B$14*E20)/(DATOS!$B$14+2*E20))^(4/3))+((DATOS!$B$27*C21/(DATOS!$B$14*((AB21+AC21)/2)))^2/((DATOS!$B$14*((AB21+AC21)/2))/(DATOS!$B$14+2*((AB21+AC21)/2)))^(4/3)))*(A20-A21)))&lt;0,AC21,((AB21+AC21)/2))</f>
        <v/>
      </c>
      <c r="AF21" s="16">
        <f>IF((((AD21+AE21)/2)+(C21/(DATOS!$B$14*((AD21+AE21)/2)))^2/(2*9.81)+B21-(E20+(C20/(DATOS!$B$14*E20))^2/(2*9.81)+B20+0.5*(((DATOS!$B$27*C20/(DATOS!$B$14*E20))^2/((DATOS!$B$14*E20)/(DATOS!$B$14+2*E20))^(4/3))+((DATOS!$B$27*C21/(DATOS!$B$14*((AD21+AE21)/2)))^2/((DATOS!$B$14*((AD21+AE21)/2))/(DATOS!$B$14+2*((AD21+AE21)/2)))^(4/3)))*(A20-A21)))&lt;0,((AD21+AE21)/2),AD21)</f>
        <v/>
      </c>
      <c r="AG21" s="16">
        <f>IF((((AD21+AE21)/2)+(C21/(DATOS!$B$14*((AD21+AE21)/2)))^2/(2*9.81)+B21-(E20+(C20/(DATOS!$B$14*E20))^2/(2*9.81)+B20+0.5*(((DATOS!$B$27*C20/(DATOS!$B$14*E20))^2/((DATOS!$B$14*E20)/(DATOS!$B$14+2*E20))^(4/3))+((DATOS!$B$27*C21/(DATOS!$B$14*((AD21+AE21)/2)))^2/((DATOS!$B$14*((AD21+AE21)/2))/(DATOS!$B$14+2*((AD21+AE21)/2)))^(4/3)))*(A20-A21)))&lt;0,AE21,((AD21+AE21)/2))</f>
        <v/>
      </c>
      <c r="AH21" s="16">
        <f>IF((((AF21+AG21)/2)+(C21/(DATOS!$B$14*((AF21+AG21)/2)))^2/(2*9.81)+B21-(E20+(C20/(DATOS!$B$14*E20))^2/(2*9.81)+B20+0.5*(((DATOS!$B$27*C20/(DATOS!$B$14*E20))^2/((DATOS!$B$14*E20)/(DATOS!$B$14+2*E20))^(4/3))+((DATOS!$B$27*C21/(DATOS!$B$14*((AF21+AG21)/2)))^2/((DATOS!$B$14*((AF21+AG21)/2))/(DATOS!$B$14+2*((AF21+AG21)/2)))^(4/3)))*(A20-A21)))&lt;0,((AF21+AG21)/2),AF21)</f>
        <v/>
      </c>
      <c r="AI21" s="16">
        <f>IF((((AF21+AG21)/2)+(C21/(DATOS!$B$14*((AF21+AG21)/2)))^2/(2*9.81)+B21-(E20+(C20/(DATOS!$B$14*E20))^2/(2*9.81)+B20+0.5*(((DATOS!$B$27*C20/(DATOS!$B$14*E20))^2/((DATOS!$B$14*E20)/(DATOS!$B$14+2*E20))^(4/3))+((DATOS!$B$27*C21/(DATOS!$B$14*((AF21+AG21)/2)))^2/((DATOS!$B$14*((AF21+AG21)/2))/(DATOS!$B$14+2*((AF21+AG21)/2)))^(4/3)))*(A20-A21)))&lt;0,AG21,((AF21+AG21)/2))</f>
        <v/>
      </c>
      <c r="AJ21" s="16">
        <f>IF((((AH21+AI21)/2)+(C21/(DATOS!$B$14*((AH21+AI21)/2)))^2/(2*9.81)+B21-(E20+(C20/(DATOS!$B$14*E20))^2/(2*9.81)+B20+0.5*(((DATOS!$B$27*C20/(DATOS!$B$14*E20))^2/((DATOS!$B$14*E20)/(DATOS!$B$14+2*E20))^(4/3))+((DATOS!$B$27*C21/(DATOS!$B$14*((AH21+AI21)/2)))^2/((DATOS!$B$14*((AH21+AI21)/2))/(DATOS!$B$14+2*((AH21+AI21)/2)))^(4/3)))*(A20-A21)))&lt;0,((AH21+AI21)/2),AH21)</f>
        <v/>
      </c>
      <c r="AK21" s="16">
        <f>IF((((AH21+AI21)/2)+(C21/(DATOS!$B$14*((AH21+AI21)/2)))^2/(2*9.81)+B21-(E20+(C20/(DATOS!$B$14*E20))^2/(2*9.81)+B20+0.5*(((DATOS!$B$27*C20/(DATOS!$B$14*E20))^2/((DATOS!$B$14*E20)/(DATOS!$B$14+2*E20))^(4/3))+((DATOS!$B$27*C21/(DATOS!$B$14*((AH21+AI21)/2)))^2/((DATOS!$B$14*((AH21+AI21)/2))/(DATOS!$B$14+2*((AH21+AI21)/2)))^(4/3)))*(A20-A21)))&lt;0,AI21,((AH21+AI21)/2))</f>
        <v/>
      </c>
      <c r="AL21" s="16">
        <f>IF((((AJ21+AK21)/2)+(C21/(DATOS!$B$14*((AJ21+AK21)/2)))^2/(2*9.81)+B21-(E20+(C20/(DATOS!$B$14*E20))^2/(2*9.81)+B20+0.5*(((DATOS!$B$27*C20/(DATOS!$B$14*E20))^2/((DATOS!$B$14*E20)/(DATOS!$B$14+2*E20))^(4/3))+((DATOS!$B$27*C21/(DATOS!$B$14*((AJ21+AK21)/2)))^2/((DATOS!$B$14*((AJ21+AK21)/2))/(DATOS!$B$14+2*((AJ21+AK21)/2)))^(4/3)))*(A20-A21)))&lt;0,((AJ21+AK21)/2),AJ21)</f>
        <v/>
      </c>
      <c r="AM21" s="16">
        <f>IF((((AJ21+AK21)/2)+(C21/(DATOS!$B$14*((AJ21+AK21)/2)))^2/(2*9.81)+B21-(E20+(C20/(DATOS!$B$14*E20))^2/(2*9.81)+B20+0.5*(((DATOS!$B$27*C20/(DATOS!$B$14*E20))^2/((DATOS!$B$14*E20)/(DATOS!$B$14+2*E20))^(4/3))+((DATOS!$B$27*C21/(DATOS!$B$14*((AJ21+AK21)/2)))^2/((DATOS!$B$14*((AJ21+AK21)/2))/(DATOS!$B$14+2*((AJ21+AK21)/2)))^(4/3)))*(A20-A21)))&lt;0,AK21,((AJ21+AK21)/2))</f>
        <v/>
      </c>
      <c r="AN21" s="16">
        <f>IF((((AL21+AM21)/2)+(C21/(DATOS!$B$14*((AL21+AM21)/2)))^2/(2*9.81)+B21-(E20+(C20/(DATOS!$B$14*E20))^2/(2*9.81)+B20+0.5*(((DATOS!$B$27*C20/(DATOS!$B$14*E20))^2/((DATOS!$B$14*E20)/(DATOS!$B$14+2*E20))^(4/3))+((DATOS!$B$27*C21/(DATOS!$B$14*((AL21+AM21)/2)))^2/((DATOS!$B$14*((AL21+AM21)/2))/(DATOS!$B$14+2*((AL21+AM21)/2)))^(4/3)))*(A20-A21)))&lt;0,((AL21+AM21)/2),AL21)</f>
        <v/>
      </c>
      <c r="AO21" s="16">
        <f>IF((((AL21+AM21)/2)+(C21/(DATOS!$B$14*((AL21+AM21)/2)))^2/(2*9.81)+B21-(E20+(C20/(DATOS!$B$14*E20))^2/(2*9.81)+B20+0.5*(((DATOS!$B$27*C20/(DATOS!$B$14*E20))^2/((DATOS!$B$14*E20)/(DATOS!$B$14+2*E20))^(4/3))+((DATOS!$B$27*C21/(DATOS!$B$14*((AL21+AM21)/2)))^2/((DATOS!$B$14*((AL21+AM21)/2))/(DATOS!$B$14+2*((AL21+AM21)/2)))^(4/3)))*(A20-A21)))&lt;0,AM21,((AL21+AM21)/2))</f>
        <v/>
      </c>
      <c r="AP21" s="16">
        <f>IF((((AN21+AO21)/2)+(C21/(DATOS!$B$14*((AN21+AO21)/2)))^2/(2*9.81)+B21-(E20+(C20/(DATOS!$B$14*E20))^2/(2*9.81)+B20+0.5*(((DATOS!$B$27*C20/(DATOS!$B$14*E20))^2/((DATOS!$B$14*E20)/(DATOS!$B$14+2*E20))^(4/3))+((DATOS!$B$27*C21/(DATOS!$B$14*((AN21+AO21)/2)))^2/((DATOS!$B$14*((AN21+AO21)/2))/(DATOS!$B$14+2*((AN21+AO21)/2)))^(4/3)))*(A20-A21)))&lt;0,((AN21+AO21)/2),AN21)</f>
        <v/>
      </c>
      <c r="AQ21" s="16">
        <f>IF((((AN21+AO21)/2)+(C21/(DATOS!$B$14*((AN21+AO21)/2)))^2/(2*9.81)+B21-(E20+(C20/(DATOS!$B$14*E20))^2/(2*9.81)+B20+0.5*(((DATOS!$B$27*C20/(DATOS!$B$14*E20))^2/((DATOS!$B$14*E20)/(DATOS!$B$14+2*E20))^(4/3))+((DATOS!$B$27*C21/(DATOS!$B$14*((AN21+AO21)/2)))^2/((DATOS!$B$14*((AN21+AO21)/2))/(DATOS!$B$14+2*((AN21+AO21)/2)))^(4/3)))*(A20-A21)))&lt;0,AO21,((AN21+AO21)/2))</f>
        <v/>
      </c>
      <c r="AR21" s="16">
        <f>IF((((AP21+AQ21)/2)+(C21/(DATOS!$B$14*((AP21+AQ21)/2)))^2/(2*9.81)+B21-(E20+(C20/(DATOS!$B$14*E20))^2/(2*9.81)+B20+0.5*(((DATOS!$B$27*C20/(DATOS!$B$14*E20))^2/((DATOS!$B$14*E20)/(DATOS!$B$14+2*E20))^(4/3))+((DATOS!$B$27*C21/(DATOS!$B$14*((AP21+AQ21)/2)))^2/((DATOS!$B$14*((AP21+AQ21)/2))/(DATOS!$B$14+2*((AP21+AQ21)/2)))^(4/3)))*(A20-A21)))&lt;0,((AP21+AQ21)/2),AP21)</f>
        <v/>
      </c>
      <c r="AS21" s="16">
        <f>IF((((AP21+AQ21)/2)+(C21/(DATOS!$B$14*((AP21+AQ21)/2)))^2/(2*9.81)+B21-(E20+(C20/(DATOS!$B$14*E20))^2/(2*9.81)+B20+0.5*(((DATOS!$B$27*C20/(DATOS!$B$14*E20))^2/((DATOS!$B$14*E20)/(DATOS!$B$14+2*E20))^(4/3))+((DATOS!$B$27*C21/(DATOS!$B$14*((AP21+AQ21)/2)))^2/((DATOS!$B$14*((AP21+AQ21)/2))/(DATOS!$B$14+2*((AP21+AQ21)/2)))^(4/3)))*(A20-A21)))&lt;0,AQ21,((AP21+AQ21)/2))</f>
        <v/>
      </c>
      <c r="AT21" s="16">
        <f>IF((((AR21+AS21)/2)+(C21/(DATOS!$B$14*((AR21+AS21)/2)))^2/(2*9.81)+B21-(E20+(C20/(DATOS!$B$14*E20))^2/(2*9.81)+B20+0.5*(((DATOS!$B$27*C20/(DATOS!$B$14*E20))^2/((DATOS!$B$14*E20)/(DATOS!$B$14+2*E20))^(4/3))+((DATOS!$B$27*C21/(DATOS!$B$14*((AR21+AS21)/2)))^2/((DATOS!$B$14*((AR21+AS21)/2))/(DATOS!$B$14+2*((AR21+AS21)/2)))^(4/3)))*(A20-A21)))&lt;0,((AR21+AS21)/2),AR21)</f>
        <v/>
      </c>
      <c r="AU21" s="16">
        <f>IF((((AR21+AS21)/2)+(C21/(DATOS!$B$14*((AR21+AS21)/2)))^2/(2*9.81)+B21-(E20+(C20/(DATOS!$B$14*E20))^2/(2*9.81)+B20+0.5*(((DATOS!$B$27*C20/(DATOS!$B$14*E20))^2/((DATOS!$B$14*E20)/(DATOS!$B$14+2*E20))^(4/3))+((DATOS!$B$27*C21/(DATOS!$B$14*((AR21+AS21)/2)))^2/((DATOS!$B$14*((AR21+AS21)/2))/(DATOS!$B$14+2*((AR21+AS21)/2)))^(4/3)))*(A20-A21)))&lt;0,AS21,((AR21+AS21)/2))</f>
        <v/>
      </c>
      <c r="AV21" s="16">
        <f>IF((((AT21+AU21)/2)+(C21/(DATOS!$B$14*((AT21+AU21)/2)))^2/(2*9.81)+B21-(E20+(C20/(DATOS!$B$14*E20))^2/(2*9.81)+B20+0.5*(((DATOS!$B$27*C20/(DATOS!$B$14*E20))^2/((DATOS!$B$14*E20)/(DATOS!$B$14+2*E20))^(4/3))+((DATOS!$B$27*C21/(DATOS!$B$14*((AT21+AU21)/2)))^2/((DATOS!$B$14*((AT21+AU21)/2))/(DATOS!$B$14+2*((AT21+AU21)/2)))^(4/3)))*(A20-A21)))&lt;0,((AT21+AU21)/2),AT21)</f>
        <v/>
      </c>
      <c r="AW21" s="16">
        <f>IF((((AT21+AU21)/2)+(C21/(DATOS!$B$14*((AT21+AU21)/2)))^2/(2*9.81)+B21-(E20+(C20/(DATOS!$B$14*E20))^2/(2*9.81)+B20+0.5*(((DATOS!$B$27*C20/(DATOS!$B$14*E20))^2/((DATOS!$B$14*E20)/(DATOS!$B$14+2*E20))^(4/3))+((DATOS!$B$27*C21/(DATOS!$B$14*((AT21+AU21)/2)))^2/((DATOS!$B$14*((AT21+AU21)/2))/(DATOS!$B$14+2*((AT21+AU21)/2)))^(4/3)))*(A20-A21)))&lt;0,AU21,((AT21+AU21)/2))</f>
        <v/>
      </c>
      <c r="AX21" s="16">
        <f>IF((((AV21+AW21)/2)+(C21/(DATOS!$B$14*((AV21+AW21)/2)))^2/(2*9.81)+B21-(E20+(C20/(DATOS!$B$14*E20))^2/(2*9.81)+B20+0.5*(((DATOS!$B$27*C20/(DATOS!$B$14*E20))^2/((DATOS!$B$14*E20)/(DATOS!$B$14+2*E20))^(4/3))+((DATOS!$B$27*C21/(DATOS!$B$14*((AV21+AW21)/2)))^2/((DATOS!$B$14*((AV21+AW21)/2))/(DATOS!$B$14+2*((AV21+AW21)/2)))^(4/3)))*(A20-A21)))&lt;0,((AV21+AW21)/2),AV21)</f>
        <v/>
      </c>
      <c r="AY21" s="16">
        <f>IF((((AV21+AW21)/2)+(C21/(DATOS!$B$14*((AV21+AW21)/2)))^2/(2*9.81)+B21-(E20+(C20/(DATOS!$B$14*E20))^2/(2*9.81)+B20+0.5*(((DATOS!$B$27*C20/(DATOS!$B$14*E20))^2/((DATOS!$B$14*E20)/(DATOS!$B$14+2*E20))^(4/3))+((DATOS!$B$27*C21/(DATOS!$B$14*((AV21+AW21)/2)))^2/((DATOS!$B$14*((AV21+AW21)/2))/(DATOS!$B$14+2*((AV21+AW21)/2)))^(4/3)))*(A20-A21)))&lt;0,AW21,((AV21+AW21)/2))</f>
        <v/>
      </c>
      <c r="AZ21" s="16">
        <f>IF((((AX21+AY21)/2)+(C21/(DATOS!$B$14*((AX21+AY21)/2)))^2/(2*9.81)+B21-(E20+(C20/(DATOS!$B$14*E20))^2/(2*9.81)+B20+0.5*(((DATOS!$B$27*C20/(DATOS!$B$14*E20))^2/((DATOS!$B$14*E20)/(DATOS!$B$14+2*E20))^(4/3))+((DATOS!$B$27*C21/(DATOS!$B$14*((AX21+AY21)/2)))^2/((DATOS!$B$14*((AX21+AY21)/2))/(DATOS!$B$14+2*((AX21+AY21)/2)))^(4/3)))*(A20-A21)))&lt;0,((AX21+AY21)/2),AX21)</f>
        <v/>
      </c>
      <c r="BA21" s="16">
        <f>IF((((AX21+AY21)/2)+(C21/(DATOS!$B$14*((AX21+AY21)/2)))^2/(2*9.81)+B21-(E20+(C20/(DATOS!$B$14*E20))^2/(2*9.81)+B20+0.5*(((DATOS!$B$27*C20/(DATOS!$B$14*E20))^2/((DATOS!$B$14*E20)/(DATOS!$B$14+2*E20))^(4/3))+((DATOS!$B$27*C21/(DATOS!$B$14*((AX21+AY21)/2)))^2/((DATOS!$B$14*((AX21+AY21)/2))/(DATOS!$B$14+2*((AX21+AY21)/2)))^(4/3)))*(A20-A21)))&lt;0,AY21,((AX21+AY21)/2))</f>
        <v/>
      </c>
      <c r="BB21" s="16">
        <f>IF((((AZ21+BA21)/2)+(C21/(DATOS!$B$14*((AZ21+BA21)/2)))^2/(2*9.81)+B21-(E20+(C20/(DATOS!$B$14*E20))^2/(2*9.81)+B20+0.5*(((DATOS!$B$27*C20/(DATOS!$B$14*E20))^2/((DATOS!$B$14*E20)/(DATOS!$B$14+2*E20))^(4/3))+((DATOS!$B$27*C21/(DATOS!$B$14*((AZ21+BA21)/2)))^2/((DATOS!$B$14*((AZ21+BA21)/2))/(DATOS!$B$14+2*((AZ21+BA21)/2)))^(4/3)))*(A20-A21)))&lt;0,((AZ21+BA21)/2),AZ21)</f>
        <v/>
      </c>
      <c r="BC21" s="16">
        <f>IF((((AZ21+BA21)/2)+(C21/(DATOS!$B$14*((AZ21+BA21)/2)))^2/(2*9.81)+B21-(E20+(C20/(DATOS!$B$14*E20))^2/(2*9.81)+B20+0.5*(((DATOS!$B$27*C20/(DATOS!$B$14*E20))^2/((DATOS!$B$14*E20)/(DATOS!$B$14+2*E20))^(4/3))+((DATOS!$B$27*C21/(DATOS!$B$14*((AZ21+BA21)/2)))^2/((DATOS!$B$14*((AZ21+BA21)/2))/(DATOS!$B$14+2*((AZ21+BA21)/2)))^(4/3)))*(A20-A21)))&lt;0,BA21,((AZ21+BA21)/2))</f>
        <v/>
      </c>
      <c r="BD21" s="16">
        <f>IF((((BB21+BC21)/2)+(C21/(DATOS!$B$14*((BB21+BC21)/2)))^2/(2*9.81)+B21-(E20+(C20/(DATOS!$B$14*E20))^2/(2*9.81)+B20+0.5*(((DATOS!$B$27*C20/(DATOS!$B$14*E20))^2/((DATOS!$B$14*E20)/(DATOS!$B$14+2*E20))^(4/3))+((DATOS!$B$27*C21/(DATOS!$B$14*((BB21+BC21)/2)))^2/((DATOS!$B$14*((BB21+BC21)/2))/(DATOS!$B$14+2*((BB21+BC21)/2)))^(4/3)))*(A20-A21)))&lt;0,((BB21+BC21)/2),BB21)</f>
        <v/>
      </c>
      <c r="BE21" s="16">
        <f>IF((((BB21+BC21)/2)+(C21/(DATOS!$B$14*((BB21+BC21)/2)))^2/(2*9.81)+B21-(E20+(C20/(DATOS!$B$14*E20))^2/(2*9.81)+B20+0.5*(((DATOS!$B$27*C20/(DATOS!$B$14*E20))^2/((DATOS!$B$14*E20)/(DATOS!$B$14+2*E20))^(4/3))+((DATOS!$B$27*C21/(DATOS!$B$14*((BB21+BC21)/2)))^2/((DATOS!$B$14*((BB21+BC21)/2))/(DATOS!$B$14+2*((BB21+BC21)/2)))^(4/3)))*(A20-A21)))&lt;0,BC21,((BB21+BC21)/2))</f>
        <v/>
      </c>
      <c r="BF21" s="16">
        <f>IF((((BD21+BE21)/2)+(C21/(DATOS!$B$14*((BD21+BE21)/2)))^2/(2*9.81)+B21-(E20+(C20/(DATOS!$B$14*E20))^2/(2*9.81)+B20+0.5*(((DATOS!$B$27*C20/(DATOS!$B$14*E20))^2/((DATOS!$B$14*E20)/(DATOS!$B$14+2*E20))^(4/3))+((DATOS!$B$27*C21/(DATOS!$B$14*((BD21+BE21)/2)))^2/((DATOS!$B$14*((BD21+BE21)/2))/(DATOS!$B$14+2*((BD21+BE21)/2)))^(4/3)))*(A20-A21)))&lt;0,((BD21+BE21)/2),BD21)</f>
        <v/>
      </c>
      <c r="BG21" s="16">
        <f>IF((((BD21+BE21)/2)+(C21/(DATOS!$B$14*((BD21+BE21)/2)))^2/(2*9.81)+B21-(E20+(C20/(DATOS!$B$14*E20))^2/(2*9.81)+B20+0.5*(((DATOS!$B$27*C20/(DATOS!$B$14*E20))^2/((DATOS!$B$14*E20)/(DATOS!$B$14+2*E20))^(4/3))+((DATOS!$B$27*C21/(DATOS!$B$14*((BD21+BE21)/2)))^2/((DATOS!$B$14*((BD21+BE21)/2))/(DATOS!$B$14+2*((BD21+BE21)/2)))^(4/3)))*(A20-A21)))&lt;0,BE21,((BD21+BE21)/2))</f>
        <v/>
      </c>
      <c r="BH21" s="16">
        <f>IF((((BF21+BG21)/2)+(C21/(DATOS!$B$14*((BF21+BG21)/2)))^2/(2*9.81)+B21-(E20+(C20/(DATOS!$B$14*E20))^2/(2*9.81)+B20+0.5*(((DATOS!$B$27*C20/(DATOS!$B$14*E20))^2/((DATOS!$B$14*E20)/(DATOS!$B$14+2*E20))^(4/3))+((DATOS!$B$27*C21/(DATOS!$B$14*((BF21+BG21)/2)))^2/((DATOS!$B$14*((BF21+BG21)/2))/(DATOS!$B$14+2*((BF21+BG21)/2)))^(4/3)))*(A20-A21)))&lt;0,((BF21+BG21)/2),BF21)</f>
        <v/>
      </c>
      <c r="BI21" s="16">
        <f>IF((((BF21+BG21)/2)+(C21/(DATOS!$B$14*((BF21+BG21)/2)))^2/(2*9.81)+B21-(E20+(C20/(DATOS!$B$14*E20))^2/(2*9.81)+B20+0.5*(((DATOS!$B$27*C20/(DATOS!$B$14*E20))^2/((DATOS!$B$14*E20)/(DATOS!$B$14+2*E20))^(4/3))+((DATOS!$B$27*C21/(DATOS!$B$14*((BF21+BG21)/2)))^2/((DATOS!$B$14*((BF21+BG21)/2))/(DATOS!$B$14+2*((BF21+BG21)/2)))^(4/3)))*(A20-A21)))&lt;0,BG21,((BF21+BG21)/2))</f>
        <v/>
      </c>
      <c r="BJ21" s="16">
        <f>IF((((BH21+BI21)/2)+(C21/(DATOS!$B$14*((BH21+BI21)/2)))^2/(2*9.81)+B21-(E20+(C20/(DATOS!$B$14*E20))^2/(2*9.81)+B20+0.5*(((DATOS!$B$27*C20/(DATOS!$B$14*E20))^2/((DATOS!$B$14*E20)/(DATOS!$B$14+2*E20))^(4/3))+((DATOS!$B$27*C21/(DATOS!$B$14*((BH21+BI21)/2)))^2/((DATOS!$B$14*((BH21+BI21)/2))/(DATOS!$B$14+2*((BH21+BI21)/2)))^(4/3)))*(A20-A21)))&lt;0,((BH21+BI21)/2),BH21)</f>
        <v/>
      </c>
      <c r="BK21" s="16">
        <f>IF((((BH21+BI21)/2)+(C21/(DATOS!$B$14*((BH21+BI21)/2)))^2/(2*9.81)+B21-(E20+(C20/(DATOS!$B$14*E20))^2/(2*9.81)+B20+0.5*(((DATOS!$B$27*C20/(DATOS!$B$14*E20))^2/((DATOS!$B$14*E20)/(DATOS!$B$14+2*E20))^(4/3))+((DATOS!$B$27*C21/(DATOS!$B$14*((BH21+BI21)/2)))^2/((DATOS!$B$14*((BH21+BI21)/2))/(DATOS!$B$14+2*((BH21+BI21)/2)))^(4/3)))*(A20-A21)))&lt;0,BI21,((BH21+BI21)/2))</f>
        <v/>
      </c>
      <c r="BL21" s="16">
        <f>IF((((BJ21+BK21)/2)+(C21/(DATOS!$B$14*((BJ21+BK21)/2)))^2/(2*9.81)+B21-(E20+(C20/(DATOS!$B$14*E20))^2/(2*9.81)+B20+0.5*(((DATOS!$B$27*C20/(DATOS!$B$14*E20))^2/((DATOS!$B$14*E20)/(DATOS!$B$14+2*E20))^(4/3))+((DATOS!$B$27*C21/(DATOS!$B$14*((BJ21+BK21)/2)))^2/((DATOS!$B$14*((BJ21+BK21)/2))/(DATOS!$B$14+2*((BJ21+BK21)/2)))^(4/3)))*(A20-A21)))&lt;0,((BJ21+BK21)/2),BJ21)</f>
        <v/>
      </c>
      <c r="BM21" s="16">
        <f>IF((((BJ21+BK21)/2)+(C21/(DATOS!$B$14*((BJ21+BK21)/2)))^2/(2*9.81)+B21-(E20+(C20/(DATOS!$B$14*E20))^2/(2*9.81)+B20+0.5*(((DATOS!$B$27*C20/(DATOS!$B$14*E20))^2/((DATOS!$B$14*E20)/(DATOS!$B$14+2*E20))^(4/3))+((DATOS!$B$27*C21/(DATOS!$B$14*((BJ21+BK21)/2)))^2/((DATOS!$B$14*((BJ21+BK21)/2))/(DATOS!$B$14+2*((BJ21+BK21)/2)))^(4/3)))*(A20-A21)))&lt;0,BK21,((BJ21+BK21)/2))</f>
        <v/>
      </c>
      <c r="BN21" s="16">
        <f>IF((((BL21+BM21)/2)+(C21/(DATOS!$B$14*((BL21+BM21)/2)))^2/(2*9.81)+B21-(E20+(C20/(DATOS!$B$14*E20))^2/(2*9.81)+B20+0.5*(((DATOS!$B$27*C20/(DATOS!$B$14*E20))^2/((DATOS!$B$14*E20)/(DATOS!$B$14+2*E20))^(4/3))+((DATOS!$B$27*C21/(DATOS!$B$14*((BL21+BM21)/2)))^2/((DATOS!$B$14*((BL21+BM21)/2))/(DATOS!$B$14+2*((BL21+BM21)/2)))^(4/3)))*(A20-A21)))&lt;0,((BL21+BM21)/2),BL21)</f>
        <v/>
      </c>
      <c r="BO21" s="16">
        <f>IF((((BL21+BM21)/2)+(C21/(DATOS!$B$14*((BL21+BM21)/2)))^2/(2*9.81)+B21-(E20+(C20/(DATOS!$B$14*E20))^2/(2*9.81)+B20+0.5*(((DATOS!$B$27*C20/(DATOS!$B$14*E20))^2/((DATOS!$B$14*E20)/(DATOS!$B$14+2*E20))^(4/3))+((DATOS!$B$27*C21/(DATOS!$B$14*((BL21+BM21)/2)))^2/((DATOS!$B$14*((BL21+BM21)/2))/(DATOS!$B$14+2*((BL21+BM21)/2)))^(4/3)))*(A20-A21)))&lt;0,BM21,((BL21+BM21)/2))</f>
        <v/>
      </c>
      <c r="BP21" s="16">
        <f>IF((((BN21+BO21)/2)+(C21/(DATOS!$B$14*((BN21+BO21)/2)))^2/(2*9.81)+B21-(E20+(C20/(DATOS!$B$14*E20))^2/(2*9.81)+B20+0.5*(((DATOS!$B$27*C20/(DATOS!$B$14*E20))^2/((DATOS!$B$14*E20)/(DATOS!$B$14+2*E20))^(4/3))+((DATOS!$B$27*C21/(DATOS!$B$14*((BN21+BO21)/2)))^2/((DATOS!$B$14*((BN21+BO21)/2))/(DATOS!$B$14+2*((BN21+BO21)/2)))^(4/3)))*(A20-A21)))&lt;0,((BN21+BO21)/2),BN21)</f>
        <v/>
      </c>
      <c r="BQ21" s="16">
        <f>IF((((BN21+BO21)/2)+(C21/(DATOS!$B$14*((BN21+BO21)/2)))^2/(2*9.81)+B21-(E20+(C20/(DATOS!$B$14*E20))^2/(2*9.81)+B20+0.5*(((DATOS!$B$27*C20/(DATOS!$B$14*E20))^2/((DATOS!$B$14*E20)/(DATOS!$B$14+2*E20))^(4/3))+((DATOS!$B$27*C21/(DATOS!$B$14*((BN21+BO21)/2)))^2/((DATOS!$B$14*((BN21+BO21)/2))/(DATOS!$B$14+2*((BN21+BO21)/2)))^(4/3)))*(A20-A21)))&lt;0,BO21,((BN21+BO21)/2))</f>
        <v/>
      </c>
      <c r="BR21" s="16">
        <f>IF((((BP21+BQ21)/2)+(C21/(DATOS!$B$14*((BP21+BQ21)/2)))^2/(2*9.81)+B21-(E20+(C20/(DATOS!$B$14*E20))^2/(2*9.81)+B20+0.5*(((DATOS!$B$27*C20/(DATOS!$B$14*E20))^2/((DATOS!$B$14*E20)/(DATOS!$B$14+2*E20))^(4/3))+((DATOS!$B$27*C21/(DATOS!$B$14*((BP21+BQ21)/2)))^2/((DATOS!$B$14*((BP21+BQ21)/2))/(DATOS!$B$14+2*((BP21+BQ21)/2)))^(4/3)))*(A20-A21)))&lt;0,((BP21+BQ21)/2),BP21)</f>
        <v/>
      </c>
      <c r="BS21" s="16">
        <f>IF((((BP21+BQ21)/2)+(C21/(DATOS!$B$14*((BP21+BQ21)/2)))^2/(2*9.81)+B21-(E20+(C20/(DATOS!$B$14*E20))^2/(2*9.81)+B20+0.5*(((DATOS!$B$27*C20/(DATOS!$B$14*E20))^2/((DATOS!$B$14*E20)/(DATOS!$B$14+2*E20))^(4/3))+((DATOS!$B$27*C21/(DATOS!$B$14*((BP21+BQ21)/2)))^2/((DATOS!$B$14*((BP21+BQ21)/2))/(DATOS!$B$14+2*((BP21+BQ21)/2)))^(4/3)))*(A20-A21)))&lt;0,BQ21,((BP21+BQ21)/2))</f>
        <v/>
      </c>
      <c r="BT21" s="16">
        <f>IF((((BR21+BS21)/2)+(C21/(DATOS!$B$14*((BR21+BS21)/2)))^2/(2*9.81)+B21-(E20+(C20/(DATOS!$B$14*E20))^2/(2*9.81)+B20+0.5*(((DATOS!$B$27*C20/(DATOS!$B$14*E20))^2/((DATOS!$B$14*E20)/(DATOS!$B$14+2*E20))^(4/3))+((DATOS!$B$27*C21/(DATOS!$B$14*((BR21+BS21)/2)))^2/((DATOS!$B$14*((BR21+BS21)/2))/(DATOS!$B$14+2*((BR21+BS21)/2)))^(4/3)))*(A20-A21)))&lt;0,((BR21+BS21)/2),BR21)</f>
        <v/>
      </c>
      <c r="BU21" s="16">
        <f>IF((((BR21+BS21)/2)+(C21/(DATOS!$B$14*((BR21+BS21)/2)))^2/(2*9.81)+B21-(E20+(C20/(DATOS!$B$14*E20))^2/(2*9.81)+B20+0.5*(((DATOS!$B$27*C20/(DATOS!$B$14*E20))^2/((DATOS!$B$14*E20)/(DATOS!$B$14+2*E20))^(4/3))+((DATOS!$B$27*C21/(DATOS!$B$14*((BR21+BS21)/2)))^2/((DATOS!$B$14*((BR21+BS21)/2))/(DATOS!$B$14+2*((BR21+BS21)/2)))^(4/3)))*(A20-A21)))&lt;0,BS21,((BR21+BS21)/2))</f>
        <v/>
      </c>
    </row>
    <row r="22">
      <c r="A22" s="30" t="n">
        <v>106</v>
      </c>
      <c r="B22" s="21">
        <f>DATOS!$B$16-DATOS!$B$19*A22</f>
        <v/>
      </c>
      <c r="C22" s="21">
        <f>IF(A22&lt;CAUDALES!$B$13,CAUDALES!$D$12,IF(A22&lt;CAUDALES!$B$14,CAUDALES!$D$13,IF(A22&lt;CAUDALES!$B$15,CAUDALES!$D$14,CAUDALES!$D$15)))/1000</f>
        <v/>
      </c>
      <c r="D22" s="21">
        <f>(C22^2/(9.81*DATOS!$B$14^2))^(1/3)</f>
        <v/>
      </c>
      <c r="E22" s="29">
        <f>(BT22+BU22)/2</f>
        <v/>
      </c>
      <c r="F22" s="21">
        <f>B22+E22</f>
        <v/>
      </c>
      <c r="G22" s="17">
        <f>C22/(DATOS!$B$14*E22)</f>
        <v/>
      </c>
      <c r="H22" s="17">
        <f>G22/SQRT(9.81*E22)</f>
        <v/>
      </c>
      <c r="I22" s="21">
        <f>IF(A22&lt;=DATOS!$B$20,DATOS!$B$21-IF(AND(A22&gt;=DATOS!$B$23,A22&lt;DATOS!$B$24),DATOS!$B$25,DATOS!$B$22),B22+DATOS!$B$26)</f>
        <v/>
      </c>
      <c r="J22" s="17">
        <f>I22-B22</f>
        <v/>
      </c>
      <c r="K22" s="31">
        <f>E22/J22</f>
        <v/>
      </c>
      <c r="L22" s="21">
        <f>I22-F22</f>
        <v/>
      </c>
      <c r="M22" s="32">
        <f>IF(AND(K22&lt;=DATOS!$B$29,L22&gt;=DATOS!$B$30),"CUMPLE","NO CUMPLE")</f>
        <v/>
      </c>
      <c r="N22" s="13">
        <f>IF(A22&gt;DATOS!$B$20,"cubierto - tramo final",IF(AND(A22&gt;=DATOS!$B$23,A22&lt;DATOS!$B$24),"cubierto - camiones","cubierto"))</f>
        <v/>
      </c>
      <c r="P22" s="16">
        <f>D22*1.001</f>
        <v/>
      </c>
      <c r="Q22" s="16" t="n">
        <v>2</v>
      </c>
      <c r="R22" s="16">
        <f>IF((((P22+Q22)/2)+(C22/(DATOS!$B$14*((P22+Q22)/2)))^2/(2*9.81)+B22-(E21+(C21/(DATOS!$B$14*E21))^2/(2*9.81)+B21+0.5*(((DATOS!$B$27*C21/(DATOS!$B$14*E21))^2/((DATOS!$B$14*E21)/(DATOS!$B$14+2*E21))^(4/3))+((DATOS!$B$27*C22/(DATOS!$B$14*((P22+Q22)/2)))^2/((DATOS!$B$14*((P22+Q22)/2))/(DATOS!$B$14+2*((P22+Q22)/2)))^(4/3)))*(A21-A22)))&lt;0,((P22+Q22)/2),P22)</f>
        <v/>
      </c>
      <c r="S22" s="16">
        <f>IF((((P22+Q22)/2)+(C22/(DATOS!$B$14*((P22+Q22)/2)))^2/(2*9.81)+B22-(E21+(C21/(DATOS!$B$14*E21))^2/(2*9.81)+B21+0.5*(((DATOS!$B$27*C21/(DATOS!$B$14*E21))^2/((DATOS!$B$14*E21)/(DATOS!$B$14+2*E21))^(4/3))+((DATOS!$B$27*C22/(DATOS!$B$14*((P22+Q22)/2)))^2/((DATOS!$B$14*((P22+Q22)/2))/(DATOS!$B$14+2*((P22+Q22)/2)))^(4/3)))*(A21-A22)))&lt;0,Q22,((P22+Q22)/2))</f>
        <v/>
      </c>
      <c r="T22" s="16">
        <f>IF((((R22+S22)/2)+(C22/(DATOS!$B$14*((R22+S22)/2)))^2/(2*9.81)+B22-(E21+(C21/(DATOS!$B$14*E21))^2/(2*9.81)+B21+0.5*(((DATOS!$B$27*C21/(DATOS!$B$14*E21))^2/((DATOS!$B$14*E21)/(DATOS!$B$14+2*E21))^(4/3))+((DATOS!$B$27*C22/(DATOS!$B$14*((R22+S22)/2)))^2/((DATOS!$B$14*((R22+S22)/2))/(DATOS!$B$14+2*((R22+S22)/2)))^(4/3)))*(A21-A22)))&lt;0,((R22+S22)/2),R22)</f>
        <v/>
      </c>
      <c r="U22" s="16">
        <f>IF((((R22+S22)/2)+(C22/(DATOS!$B$14*((R22+S22)/2)))^2/(2*9.81)+B22-(E21+(C21/(DATOS!$B$14*E21))^2/(2*9.81)+B21+0.5*(((DATOS!$B$27*C21/(DATOS!$B$14*E21))^2/((DATOS!$B$14*E21)/(DATOS!$B$14+2*E21))^(4/3))+((DATOS!$B$27*C22/(DATOS!$B$14*((R22+S22)/2)))^2/((DATOS!$B$14*((R22+S22)/2))/(DATOS!$B$14+2*((R22+S22)/2)))^(4/3)))*(A21-A22)))&lt;0,S22,((R22+S22)/2))</f>
        <v/>
      </c>
      <c r="V22" s="16">
        <f>IF((((T22+U22)/2)+(C22/(DATOS!$B$14*((T22+U22)/2)))^2/(2*9.81)+B22-(E21+(C21/(DATOS!$B$14*E21))^2/(2*9.81)+B21+0.5*(((DATOS!$B$27*C21/(DATOS!$B$14*E21))^2/((DATOS!$B$14*E21)/(DATOS!$B$14+2*E21))^(4/3))+((DATOS!$B$27*C22/(DATOS!$B$14*((T22+U22)/2)))^2/((DATOS!$B$14*((T22+U22)/2))/(DATOS!$B$14+2*((T22+U22)/2)))^(4/3)))*(A21-A22)))&lt;0,((T22+U22)/2),T22)</f>
        <v/>
      </c>
      <c r="W22" s="16">
        <f>IF((((T22+U22)/2)+(C22/(DATOS!$B$14*((T22+U22)/2)))^2/(2*9.81)+B22-(E21+(C21/(DATOS!$B$14*E21))^2/(2*9.81)+B21+0.5*(((DATOS!$B$27*C21/(DATOS!$B$14*E21))^2/((DATOS!$B$14*E21)/(DATOS!$B$14+2*E21))^(4/3))+((DATOS!$B$27*C22/(DATOS!$B$14*((T22+U22)/2)))^2/((DATOS!$B$14*((T22+U22)/2))/(DATOS!$B$14+2*((T22+U22)/2)))^(4/3)))*(A21-A22)))&lt;0,U22,((T22+U22)/2))</f>
        <v/>
      </c>
      <c r="X22" s="16">
        <f>IF((((V22+W22)/2)+(C22/(DATOS!$B$14*((V22+W22)/2)))^2/(2*9.81)+B22-(E21+(C21/(DATOS!$B$14*E21))^2/(2*9.81)+B21+0.5*(((DATOS!$B$27*C21/(DATOS!$B$14*E21))^2/((DATOS!$B$14*E21)/(DATOS!$B$14+2*E21))^(4/3))+((DATOS!$B$27*C22/(DATOS!$B$14*((V22+W22)/2)))^2/((DATOS!$B$14*((V22+W22)/2))/(DATOS!$B$14+2*((V22+W22)/2)))^(4/3)))*(A21-A22)))&lt;0,((V22+W22)/2),V22)</f>
        <v/>
      </c>
      <c r="Y22" s="16">
        <f>IF((((V22+W22)/2)+(C22/(DATOS!$B$14*((V22+W22)/2)))^2/(2*9.81)+B22-(E21+(C21/(DATOS!$B$14*E21))^2/(2*9.81)+B21+0.5*(((DATOS!$B$27*C21/(DATOS!$B$14*E21))^2/((DATOS!$B$14*E21)/(DATOS!$B$14+2*E21))^(4/3))+((DATOS!$B$27*C22/(DATOS!$B$14*((V22+W22)/2)))^2/((DATOS!$B$14*((V22+W22)/2))/(DATOS!$B$14+2*((V22+W22)/2)))^(4/3)))*(A21-A22)))&lt;0,W22,((V22+W22)/2))</f>
        <v/>
      </c>
      <c r="Z22" s="16">
        <f>IF((((X22+Y22)/2)+(C22/(DATOS!$B$14*((X22+Y22)/2)))^2/(2*9.81)+B22-(E21+(C21/(DATOS!$B$14*E21))^2/(2*9.81)+B21+0.5*(((DATOS!$B$27*C21/(DATOS!$B$14*E21))^2/((DATOS!$B$14*E21)/(DATOS!$B$14+2*E21))^(4/3))+((DATOS!$B$27*C22/(DATOS!$B$14*((X22+Y22)/2)))^2/((DATOS!$B$14*((X22+Y22)/2))/(DATOS!$B$14+2*((X22+Y22)/2)))^(4/3)))*(A21-A22)))&lt;0,((X22+Y22)/2),X22)</f>
        <v/>
      </c>
      <c r="AA22" s="16">
        <f>IF((((X22+Y22)/2)+(C22/(DATOS!$B$14*((X22+Y22)/2)))^2/(2*9.81)+B22-(E21+(C21/(DATOS!$B$14*E21))^2/(2*9.81)+B21+0.5*(((DATOS!$B$27*C21/(DATOS!$B$14*E21))^2/((DATOS!$B$14*E21)/(DATOS!$B$14+2*E21))^(4/3))+((DATOS!$B$27*C22/(DATOS!$B$14*((X22+Y22)/2)))^2/((DATOS!$B$14*((X22+Y22)/2))/(DATOS!$B$14+2*((X22+Y22)/2)))^(4/3)))*(A21-A22)))&lt;0,Y22,((X22+Y22)/2))</f>
        <v/>
      </c>
      <c r="AB22" s="16">
        <f>IF((((Z22+AA22)/2)+(C22/(DATOS!$B$14*((Z22+AA22)/2)))^2/(2*9.81)+B22-(E21+(C21/(DATOS!$B$14*E21))^2/(2*9.81)+B21+0.5*(((DATOS!$B$27*C21/(DATOS!$B$14*E21))^2/((DATOS!$B$14*E21)/(DATOS!$B$14+2*E21))^(4/3))+((DATOS!$B$27*C22/(DATOS!$B$14*((Z22+AA22)/2)))^2/((DATOS!$B$14*((Z22+AA22)/2))/(DATOS!$B$14+2*((Z22+AA22)/2)))^(4/3)))*(A21-A22)))&lt;0,((Z22+AA22)/2),Z22)</f>
        <v/>
      </c>
      <c r="AC22" s="16">
        <f>IF((((Z22+AA22)/2)+(C22/(DATOS!$B$14*((Z22+AA22)/2)))^2/(2*9.81)+B22-(E21+(C21/(DATOS!$B$14*E21))^2/(2*9.81)+B21+0.5*(((DATOS!$B$27*C21/(DATOS!$B$14*E21))^2/((DATOS!$B$14*E21)/(DATOS!$B$14+2*E21))^(4/3))+((DATOS!$B$27*C22/(DATOS!$B$14*((Z22+AA22)/2)))^2/((DATOS!$B$14*((Z22+AA22)/2))/(DATOS!$B$14+2*((Z22+AA22)/2)))^(4/3)))*(A21-A22)))&lt;0,AA22,((Z22+AA22)/2))</f>
        <v/>
      </c>
      <c r="AD22" s="16">
        <f>IF((((AB22+AC22)/2)+(C22/(DATOS!$B$14*((AB22+AC22)/2)))^2/(2*9.81)+B22-(E21+(C21/(DATOS!$B$14*E21))^2/(2*9.81)+B21+0.5*(((DATOS!$B$27*C21/(DATOS!$B$14*E21))^2/((DATOS!$B$14*E21)/(DATOS!$B$14+2*E21))^(4/3))+((DATOS!$B$27*C22/(DATOS!$B$14*((AB22+AC22)/2)))^2/((DATOS!$B$14*((AB22+AC22)/2))/(DATOS!$B$14+2*((AB22+AC22)/2)))^(4/3)))*(A21-A22)))&lt;0,((AB22+AC22)/2),AB22)</f>
        <v/>
      </c>
      <c r="AE22" s="16">
        <f>IF((((AB22+AC22)/2)+(C22/(DATOS!$B$14*((AB22+AC22)/2)))^2/(2*9.81)+B22-(E21+(C21/(DATOS!$B$14*E21))^2/(2*9.81)+B21+0.5*(((DATOS!$B$27*C21/(DATOS!$B$14*E21))^2/((DATOS!$B$14*E21)/(DATOS!$B$14+2*E21))^(4/3))+((DATOS!$B$27*C22/(DATOS!$B$14*((AB22+AC22)/2)))^2/((DATOS!$B$14*((AB22+AC22)/2))/(DATOS!$B$14+2*((AB22+AC22)/2)))^(4/3)))*(A21-A22)))&lt;0,AC22,((AB22+AC22)/2))</f>
        <v/>
      </c>
      <c r="AF22" s="16">
        <f>IF((((AD22+AE22)/2)+(C22/(DATOS!$B$14*((AD22+AE22)/2)))^2/(2*9.81)+B22-(E21+(C21/(DATOS!$B$14*E21))^2/(2*9.81)+B21+0.5*(((DATOS!$B$27*C21/(DATOS!$B$14*E21))^2/((DATOS!$B$14*E21)/(DATOS!$B$14+2*E21))^(4/3))+((DATOS!$B$27*C22/(DATOS!$B$14*((AD22+AE22)/2)))^2/((DATOS!$B$14*((AD22+AE22)/2))/(DATOS!$B$14+2*((AD22+AE22)/2)))^(4/3)))*(A21-A22)))&lt;0,((AD22+AE22)/2),AD22)</f>
        <v/>
      </c>
      <c r="AG22" s="16">
        <f>IF((((AD22+AE22)/2)+(C22/(DATOS!$B$14*((AD22+AE22)/2)))^2/(2*9.81)+B22-(E21+(C21/(DATOS!$B$14*E21))^2/(2*9.81)+B21+0.5*(((DATOS!$B$27*C21/(DATOS!$B$14*E21))^2/((DATOS!$B$14*E21)/(DATOS!$B$14+2*E21))^(4/3))+((DATOS!$B$27*C22/(DATOS!$B$14*((AD22+AE22)/2)))^2/((DATOS!$B$14*((AD22+AE22)/2))/(DATOS!$B$14+2*((AD22+AE22)/2)))^(4/3)))*(A21-A22)))&lt;0,AE22,((AD22+AE22)/2))</f>
        <v/>
      </c>
      <c r="AH22" s="16">
        <f>IF((((AF22+AG22)/2)+(C22/(DATOS!$B$14*((AF22+AG22)/2)))^2/(2*9.81)+B22-(E21+(C21/(DATOS!$B$14*E21))^2/(2*9.81)+B21+0.5*(((DATOS!$B$27*C21/(DATOS!$B$14*E21))^2/((DATOS!$B$14*E21)/(DATOS!$B$14+2*E21))^(4/3))+((DATOS!$B$27*C22/(DATOS!$B$14*((AF22+AG22)/2)))^2/((DATOS!$B$14*((AF22+AG22)/2))/(DATOS!$B$14+2*((AF22+AG22)/2)))^(4/3)))*(A21-A22)))&lt;0,((AF22+AG22)/2),AF22)</f>
        <v/>
      </c>
      <c r="AI22" s="16">
        <f>IF((((AF22+AG22)/2)+(C22/(DATOS!$B$14*((AF22+AG22)/2)))^2/(2*9.81)+B22-(E21+(C21/(DATOS!$B$14*E21))^2/(2*9.81)+B21+0.5*(((DATOS!$B$27*C21/(DATOS!$B$14*E21))^2/((DATOS!$B$14*E21)/(DATOS!$B$14+2*E21))^(4/3))+((DATOS!$B$27*C22/(DATOS!$B$14*((AF22+AG22)/2)))^2/((DATOS!$B$14*((AF22+AG22)/2))/(DATOS!$B$14+2*((AF22+AG22)/2)))^(4/3)))*(A21-A22)))&lt;0,AG22,((AF22+AG22)/2))</f>
        <v/>
      </c>
      <c r="AJ22" s="16">
        <f>IF((((AH22+AI22)/2)+(C22/(DATOS!$B$14*((AH22+AI22)/2)))^2/(2*9.81)+B22-(E21+(C21/(DATOS!$B$14*E21))^2/(2*9.81)+B21+0.5*(((DATOS!$B$27*C21/(DATOS!$B$14*E21))^2/((DATOS!$B$14*E21)/(DATOS!$B$14+2*E21))^(4/3))+((DATOS!$B$27*C22/(DATOS!$B$14*((AH22+AI22)/2)))^2/((DATOS!$B$14*((AH22+AI22)/2))/(DATOS!$B$14+2*((AH22+AI22)/2)))^(4/3)))*(A21-A22)))&lt;0,((AH22+AI22)/2),AH22)</f>
        <v/>
      </c>
      <c r="AK22" s="16">
        <f>IF((((AH22+AI22)/2)+(C22/(DATOS!$B$14*((AH22+AI22)/2)))^2/(2*9.81)+B22-(E21+(C21/(DATOS!$B$14*E21))^2/(2*9.81)+B21+0.5*(((DATOS!$B$27*C21/(DATOS!$B$14*E21))^2/((DATOS!$B$14*E21)/(DATOS!$B$14+2*E21))^(4/3))+((DATOS!$B$27*C22/(DATOS!$B$14*((AH22+AI22)/2)))^2/((DATOS!$B$14*((AH22+AI22)/2))/(DATOS!$B$14+2*((AH22+AI22)/2)))^(4/3)))*(A21-A22)))&lt;0,AI22,((AH22+AI22)/2))</f>
        <v/>
      </c>
      <c r="AL22" s="16">
        <f>IF((((AJ22+AK22)/2)+(C22/(DATOS!$B$14*((AJ22+AK22)/2)))^2/(2*9.81)+B22-(E21+(C21/(DATOS!$B$14*E21))^2/(2*9.81)+B21+0.5*(((DATOS!$B$27*C21/(DATOS!$B$14*E21))^2/((DATOS!$B$14*E21)/(DATOS!$B$14+2*E21))^(4/3))+((DATOS!$B$27*C22/(DATOS!$B$14*((AJ22+AK22)/2)))^2/((DATOS!$B$14*((AJ22+AK22)/2))/(DATOS!$B$14+2*((AJ22+AK22)/2)))^(4/3)))*(A21-A22)))&lt;0,((AJ22+AK22)/2),AJ22)</f>
        <v/>
      </c>
      <c r="AM22" s="16">
        <f>IF((((AJ22+AK22)/2)+(C22/(DATOS!$B$14*((AJ22+AK22)/2)))^2/(2*9.81)+B22-(E21+(C21/(DATOS!$B$14*E21))^2/(2*9.81)+B21+0.5*(((DATOS!$B$27*C21/(DATOS!$B$14*E21))^2/((DATOS!$B$14*E21)/(DATOS!$B$14+2*E21))^(4/3))+((DATOS!$B$27*C22/(DATOS!$B$14*((AJ22+AK22)/2)))^2/((DATOS!$B$14*((AJ22+AK22)/2))/(DATOS!$B$14+2*((AJ22+AK22)/2)))^(4/3)))*(A21-A22)))&lt;0,AK22,((AJ22+AK22)/2))</f>
        <v/>
      </c>
      <c r="AN22" s="16">
        <f>IF((((AL22+AM22)/2)+(C22/(DATOS!$B$14*((AL22+AM22)/2)))^2/(2*9.81)+B22-(E21+(C21/(DATOS!$B$14*E21))^2/(2*9.81)+B21+0.5*(((DATOS!$B$27*C21/(DATOS!$B$14*E21))^2/((DATOS!$B$14*E21)/(DATOS!$B$14+2*E21))^(4/3))+((DATOS!$B$27*C22/(DATOS!$B$14*((AL22+AM22)/2)))^2/((DATOS!$B$14*((AL22+AM22)/2))/(DATOS!$B$14+2*((AL22+AM22)/2)))^(4/3)))*(A21-A22)))&lt;0,((AL22+AM22)/2),AL22)</f>
        <v/>
      </c>
      <c r="AO22" s="16">
        <f>IF((((AL22+AM22)/2)+(C22/(DATOS!$B$14*((AL22+AM22)/2)))^2/(2*9.81)+B22-(E21+(C21/(DATOS!$B$14*E21))^2/(2*9.81)+B21+0.5*(((DATOS!$B$27*C21/(DATOS!$B$14*E21))^2/((DATOS!$B$14*E21)/(DATOS!$B$14+2*E21))^(4/3))+((DATOS!$B$27*C22/(DATOS!$B$14*((AL22+AM22)/2)))^2/((DATOS!$B$14*((AL22+AM22)/2))/(DATOS!$B$14+2*((AL22+AM22)/2)))^(4/3)))*(A21-A22)))&lt;0,AM22,((AL22+AM22)/2))</f>
        <v/>
      </c>
      <c r="AP22" s="16">
        <f>IF((((AN22+AO22)/2)+(C22/(DATOS!$B$14*((AN22+AO22)/2)))^2/(2*9.81)+B22-(E21+(C21/(DATOS!$B$14*E21))^2/(2*9.81)+B21+0.5*(((DATOS!$B$27*C21/(DATOS!$B$14*E21))^2/((DATOS!$B$14*E21)/(DATOS!$B$14+2*E21))^(4/3))+((DATOS!$B$27*C22/(DATOS!$B$14*((AN22+AO22)/2)))^2/((DATOS!$B$14*((AN22+AO22)/2))/(DATOS!$B$14+2*((AN22+AO22)/2)))^(4/3)))*(A21-A22)))&lt;0,((AN22+AO22)/2),AN22)</f>
        <v/>
      </c>
      <c r="AQ22" s="16">
        <f>IF((((AN22+AO22)/2)+(C22/(DATOS!$B$14*((AN22+AO22)/2)))^2/(2*9.81)+B22-(E21+(C21/(DATOS!$B$14*E21))^2/(2*9.81)+B21+0.5*(((DATOS!$B$27*C21/(DATOS!$B$14*E21))^2/((DATOS!$B$14*E21)/(DATOS!$B$14+2*E21))^(4/3))+((DATOS!$B$27*C22/(DATOS!$B$14*((AN22+AO22)/2)))^2/((DATOS!$B$14*((AN22+AO22)/2))/(DATOS!$B$14+2*((AN22+AO22)/2)))^(4/3)))*(A21-A22)))&lt;0,AO22,((AN22+AO22)/2))</f>
        <v/>
      </c>
      <c r="AR22" s="16">
        <f>IF((((AP22+AQ22)/2)+(C22/(DATOS!$B$14*((AP22+AQ22)/2)))^2/(2*9.81)+B22-(E21+(C21/(DATOS!$B$14*E21))^2/(2*9.81)+B21+0.5*(((DATOS!$B$27*C21/(DATOS!$B$14*E21))^2/((DATOS!$B$14*E21)/(DATOS!$B$14+2*E21))^(4/3))+((DATOS!$B$27*C22/(DATOS!$B$14*((AP22+AQ22)/2)))^2/((DATOS!$B$14*((AP22+AQ22)/2))/(DATOS!$B$14+2*((AP22+AQ22)/2)))^(4/3)))*(A21-A22)))&lt;0,((AP22+AQ22)/2),AP22)</f>
        <v/>
      </c>
      <c r="AS22" s="16">
        <f>IF((((AP22+AQ22)/2)+(C22/(DATOS!$B$14*((AP22+AQ22)/2)))^2/(2*9.81)+B22-(E21+(C21/(DATOS!$B$14*E21))^2/(2*9.81)+B21+0.5*(((DATOS!$B$27*C21/(DATOS!$B$14*E21))^2/((DATOS!$B$14*E21)/(DATOS!$B$14+2*E21))^(4/3))+((DATOS!$B$27*C22/(DATOS!$B$14*((AP22+AQ22)/2)))^2/((DATOS!$B$14*((AP22+AQ22)/2))/(DATOS!$B$14+2*((AP22+AQ22)/2)))^(4/3)))*(A21-A22)))&lt;0,AQ22,((AP22+AQ22)/2))</f>
        <v/>
      </c>
      <c r="AT22" s="16">
        <f>IF((((AR22+AS22)/2)+(C22/(DATOS!$B$14*((AR22+AS22)/2)))^2/(2*9.81)+B22-(E21+(C21/(DATOS!$B$14*E21))^2/(2*9.81)+B21+0.5*(((DATOS!$B$27*C21/(DATOS!$B$14*E21))^2/((DATOS!$B$14*E21)/(DATOS!$B$14+2*E21))^(4/3))+((DATOS!$B$27*C22/(DATOS!$B$14*((AR22+AS22)/2)))^2/((DATOS!$B$14*((AR22+AS22)/2))/(DATOS!$B$14+2*((AR22+AS22)/2)))^(4/3)))*(A21-A22)))&lt;0,((AR22+AS22)/2),AR22)</f>
        <v/>
      </c>
      <c r="AU22" s="16">
        <f>IF((((AR22+AS22)/2)+(C22/(DATOS!$B$14*((AR22+AS22)/2)))^2/(2*9.81)+B22-(E21+(C21/(DATOS!$B$14*E21))^2/(2*9.81)+B21+0.5*(((DATOS!$B$27*C21/(DATOS!$B$14*E21))^2/((DATOS!$B$14*E21)/(DATOS!$B$14+2*E21))^(4/3))+((DATOS!$B$27*C22/(DATOS!$B$14*((AR22+AS22)/2)))^2/((DATOS!$B$14*((AR22+AS22)/2))/(DATOS!$B$14+2*((AR22+AS22)/2)))^(4/3)))*(A21-A22)))&lt;0,AS22,((AR22+AS22)/2))</f>
        <v/>
      </c>
      <c r="AV22" s="16">
        <f>IF((((AT22+AU22)/2)+(C22/(DATOS!$B$14*((AT22+AU22)/2)))^2/(2*9.81)+B22-(E21+(C21/(DATOS!$B$14*E21))^2/(2*9.81)+B21+0.5*(((DATOS!$B$27*C21/(DATOS!$B$14*E21))^2/((DATOS!$B$14*E21)/(DATOS!$B$14+2*E21))^(4/3))+((DATOS!$B$27*C22/(DATOS!$B$14*((AT22+AU22)/2)))^2/((DATOS!$B$14*((AT22+AU22)/2))/(DATOS!$B$14+2*((AT22+AU22)/2)))^(4/3)))*(A21-A22)))&lt;0,((AT22+AU22)/2),AT22)</f>
        <v/>
      </c>
      <c r="AW22" s="16">
        <f>IF((((AT22+AU22)/2)+(C22/(DATOS!$B$14*((AT22+AU22)/2)))^2/(2*9.81)+B22-(E21+(C21/(DATOS!$B$14*E21))^2/(2*9.81)+B21+0.5*(((DATOS!$B$27*C21/(DATOS!$B$14*E21))^2/((DATOS!$B$14*E21)/(DATOS!$B$14+2*E21))^(4/3))+((DATOS!$B$27*C22/(DATOS!$B$14*((AT22+AU22)/2)))^2/((DATOS!$B$14*((AT22+AU22)/2))/(DATOS!$B$14+2*((AT22+AU22)/2)))^(4/3)))*(A21-A22)))&lt;0,AU22,((AT22+AU22)/2))</f>
        <v/>
      </c>
      <c r="AX22" s="16">
        <f>IF((((AV22+AW22)/2)+(C22/(DATOS!$B$14*((AV22+AW22)/2)))^2/(2*9.81)+B22-(E21+(C21/(DATOS!$B$14*E21))^2/(2*9.81)+B21+0.5*(((DATOS!$B$27*C21/(DATOS!$B$14*E21))^2/((DATOS!$B$14*E21)/(DATOS!$B$14+2*E21))^(4/3))+((DATOS!$B$27*C22/(DATOS!$B$14*((AV22+AW22)/2)))^2/((DATOS!$B$14*((AV22+AW22)/2))/(DATOS!$B$14+2*((AV22+AW22)/2)))^(4/3)))*(A21-A22)))&lt;0,((AV22+AW22)/2),AV22)</f>
        <v/>
      </c>
      <c r="AY22" s="16">
        <f>IF((((AV22+AW22)/2)+(C22/(DATOS!$B$14*((AV22+AW22)/2)))^2/(2*9.81)+B22-(E21+(C21/(DATOS!$B$14*E21))^2/(2*9.81)+B21+0.5*(((DATOS!$B$27*C21/(DATOS!$B$14*E21))^2/((DATOS!$B$14*E21)/(DATOS!$B$14+2*E21))^(4/3))+((DATOS!$B$27*C22/(DATOS!$B$14*((AV22+AW22)/2)))^2/((DATOS!$B$14*((AV22+AW22)/2))/(DATOS!$B$14+2*((AV22+AW22)/2)))^(4/3)))*(A21-A22)))&lt;0,AW22,((AV22+AW22)/2))</f>
        <v/>
      </c>
      <c r="AZ22" s="16">
        <f>IF((((AX22+AY22)/2)+(C22/(DATOS!$B$14*((AX22+AY22)/2)))^2/(2*9.81)+B22-(E21+(C21/(DATOS!$B$14*E21))^2/(2*9.81)+B21+0.5*(((DATOS!$B$27*C21/(DATOS!$B$14*E21))^2/((DATOS!$B$14*E21)/(DATOS!$B$14+2*E21))^(4/3))+((DATOS!$B$27*C22/(DATOS!$B$14*((AX22+AY22)/2)))^2/((DATOS!$B$14*((AX22+AY22)/2))/(DATOS!$B$14+2*((AX22+AY22)/2)))^(4/3)))*(A21-A22)))&lt;0,((AX22+AY22)/2),AX22)</f>
        <v/>
      </c>
      <c r="BA22" s="16">
        <f>IF((((AX22+AY22)/2)+(C22/(DATOS!$B$14*((AX22+AY22)/2)))^2/(2*9.81)+B22-(E21+(C21/(DATOS!$B$14*E21))^2/(2*9.81)+B21+0.5*(((DATOS!$B$27*C21/(DATOS!$B$14*E21))^2/((DATOS!$B$14*E21)/(DATOS!$B$14+2*E21))^(4/3))+((DATOS!$B$27*C22/(DATOS!$B$14*((AX22+AY22)/2)))^2/((DATOS!$B$14*((AX22+AY22)/2))/(DATOS!$B$14+2*((AX22+AY22)/2)))^(4/3)))*(A21-A22)))&lt;0,AY22,((AX22+AY22)/2))</f>
        <v/>
      </c>
      <c r="BB22" s="16">
        <f>IF((((AZ22+BA22)/2)+(C22/(DATOS!$B$14*((AZ22+BA22)/2)))^2/(2*9.81)+B22-(E21+(C21/(DATOS!$B$14*E21))^2/(2*9.81)+B21+0.5*(((DATOS!$B$27*C21/(DATOS!$B$14*E21))^2/((DATOS!$B$14*E21)/(DATOS!$B$14+2*E21))^(4/3))+((DATOS!$B$27*C22/(DATOS!$B$14*((AZ22+BA22)/2)))^2/((DATOS!$B$14*((AZ22+BA22)/2))/(DATOS!$B$14+2*((AZ22+BA22)/2)))^(4/3)))*(A21-A22)))&lt;0,((AZ22+BA22)/2),AZ22)</f>
        <v/>
      </c>
      <c r="BC22" s="16">
        <f>IF((((AZ22+BA22)/2)+(C22/(DATOS!$B$14*((AZ22+BA22)/2)))^2/(2*9.81)+B22-(E21+(C21/(DATOS!$B$14*E21))^2/(2*9.81)+B21+0.5*(((DATOS!$B$27*C21/(DATOS!$B$14*E21))^2/((DATOS!$B$14*E21)/(DATOS!$B$14+2*E21))^(4/3))+((DATOS!$B$27*C22/(DATOS!$B$14*((AZ22+BA22)/2)))^2/((DATOS!$B$14*((AZ22+BA22)/2))/(DATOS!$B$14+2*((AZ22+BA22)/2)))^(4/3)))*(A21-A22)))&lt;0,BA22,((AZ22+BA22)/2))</f>
        <v/>
      </c>
      <c r="BD22" s="16">
        <f>IF((((BB22+BC22)/2)+(C22/(DATOS!$B$14*((BB22+BC22)/2)))^2/(2*9.81)+B22-(E21+(C21/(DATOS!$B$14*E21))^2/(2*9.81)+B21+0.5*(((DATOS!$B$27*C21/(DATOS!$B$14*E21))^2/((DATOS!$B$14*E21)/(DATOS!$B$14+2*E21))^(4/3))+((DATOS!$B$27*C22/(DATOS!$B$14*((BB22+BC22)/2)))^2/((DATOS!$B$14*((BB22+BC22)/2))/(DATOS!$B$14+2*((BB22+BC22)/2)))^(4/3)))*(A21-A22)))&lt;0,((BB22+BC22)/2),BB22)</f>
        <v/>
      </c>
      <c r="BE22" s="16">
        <f>IF((((BB22+BC22)/2)+(C22/(DATOS!$B$14*((BB22+BC22)/2)))^2/(2*9.81)+B22-(E21+(C21/(DATOS!$B$14*E21))^2/(2*9.81)+B21+0.5*(((DATOS!$B$27*C21/(DATOS!$B$14*E21))^2/((DATOS!$B$14*E21)/(DATOS!$B$14+2*E21))^(4/3))+((DATOS!$B$27*C22/(DATOS!$B$14*((BB22+BC22)/2)))^2/((DATOS!$B$14*((BB22+BC22)/2))/(DATOS!$B$14+2*((BB22+BC22)/2)))^(4/3)))*(A21-A22)))&lt;0,BC22,((BB22+BC22)/2))</f>
        <v/>
      </c>
      <c r="BF22" s="16">
        <f>IF((((BD22+BE22)/2)+(C22/(DATOS!$B$14*((BD22+BE22)/2)))^2/(2*9.81)+B22-(E21+(C21/(DATOS!$B$14*E21))^2/(2*9.81)+B21+0.5*(((DATOS!$B$27*C21/(DATOS!$B$14*E21))^2/((DATOS!$B$14*E21)/(DATOS!$B$14+2*E21))^(4/3))+((DATOS!$B$27*C22/(DATOS!$B$14*((BD22+BE22)/2)))^2/((DATOS!$B$14*((BD22+BE22)/2))/(DATOS!$B$14+2*((BD22+BE22)/2)))^(4/3)))*(A21-A22)))&lt;0,((BD22+BE22)/2),BD22)</f>
        <v/>
      </c>
      <c r="BG22" s="16">
        <f>IF((((BD22+BE22)/2)+(C22/(DATOS!$B$14*((BD22+BE22)/2)))^2/(2*9.81)+B22-(E21+(C21/(DATOS!$B$14*E21))^2/(2*9.81)+B21+0.5*(((DATOS!$B$27*C21/(DATOS!$B$14*E21))^2/((DATOS!$B$14*E21)/(DATOS!$B$14+2*E21))^(4/3))+((DATOS!$B$27*C22/(DATOS!$B$14*((BD22+BE22)/2)))^2/((DATOS!$B$14*((BD22+BE22)/2))/(DATOS!$B$14+2*((BD22+BE22)/2)))^(4/3)))*(A21-A22)))&lt;0,BE22,((BD22+BE22)/2))</f>
        <v/>
      </c>
      <c r="BH22" s="16">
        <f>IF((((BF22+BG22)/2)+(C22/(DATOS!$B$14*((BF22+BG22)/2)))^2/(2*9.81)+B22-(E21+(C21/(DATOS!$B$14*E21))^2/(2*9.81)+B21+0.5*(((DATOS!$B$27*C21/(DATOS!$B$14*E21))^2/((DATOS!$B$14*E21)/(DATOS!$B$14+2*E21))^(4/3))+((DATOS!$B$27*C22/(DATOS!$B$14*((BF22+BG22)/2)))^2/((DATOS!$B$14*((BF22+BG22)/2))/(DATOS!$B$14+2*((BF22+BG22)/2)))^(4/3)))*(A21-A22)))&lt;0,((BF22+BG22)/2),BF22)</f>
        <v/>
      </c>
      <c r="BI22" s="16">
        <f>IF((((BF22+BG22)/2)+(C22/(DATOS!$B$14*((BF22+BG22)/2)))^2/(2*9.81)+B22-(E21+(C21/(DATOS!$B$14*E21))^2/(2*9.81)+B21+0.5*(((DATOS!$B$27*C21/(DATOS!$B$14*E21))^2/((DATOS!$B$14*E21)/(DATOS!$B$14+2*E21))^(4/3))+((DATOS!$B$27*C22/(DATOS!$B$14*((BF22+BG22)/2)))^2/((DATOS!$B$14*((BF22+BG22)/2))/(DATOS!$B$14+2*((BF22+BG22)/2)))^(4/3)))*(A21-A22)))&lt;0,BG22,((BF22+BG22)/2))</f>
        <v/>
      </c>
      <c r="BJ22" s="16">
        <f>IF((((BH22+BI22)/2)+(C22/(DATOS!$B$14*((BH22+BI22)/2)))^2/(2*9.81)+B22-(E21+(C21/(DATOS!$B$14*E21))^2/(2*9.81)+B21+0.5*(((DATOS!$B$27*C21/(DATOS!$B$14*E21))^2/((DATOS!$B$14*E21)/(DATOS!$B$14+2*E21))^(4/3))+((DATOS!$B$27*C22/(DATOS!$B$14*((BH22+BI22)/2)))^2/((DATOS!$B$14*((BH22+BI22)/2))/(DATOS!$B$14+2*((BH22+BI22)/2)))^(4/3)))*(A21-A22)))&lt;0,((BH22+BI22)/2),BH22)</f>
        <v/>
      </c>
      <c r="BK22" s="16">
        <f>IF((((BH22+BI22)/2)+(C22/(DATOS!$B$14*((BH22+BI22)/2)))^2/(2*9.81)+B22-(E21+(C21/(DATOS!$B$14*E21))^2/(2*9.81)+B21+0.5*(((DATOS!$B$27*C21/(DATOS!$B$14*E21))^2/((DATOS!$B$14*E21)/(DATOS!$B$14+2*E21))^(4/3))+((DATOS!$B$27*C22/(DATOS!$B$14*((BH22+BI22)/2)))^2/((DATOS!$B$14*((BH22+BI22)/2))/(DATOS!$B$14+2*((BH22+BI22)/2)))^(4/3)))*(A21-A22)))&lt;0,BI22,((BH22+BI22)/2))</f>
        <v/>
      </c>
      <c r="BL22" s="16">
        <f>IF((((BJ22+BK22)/2)+(C22/(DATOS!$B$14*((BJ22+BK22)/2)))^2/(2*9.81)+B22-(E21+(C21/(DATOS!$B$14*E21))^2/(2*9.81)+B21+0.5*(((DATOS!$B$27*C21/(DATOS!$B$14*E21))^2/((DATOS!$B$14*E21)/(DATOS!$B$14+2*E21))^(4/3))+((DATOS!$B$27*C22/(DATOS!$B$14*((BJ22+BK22)/2)))^2/((DATOS!$B$14*((BJ22+BK22)/2))/(DATOS!$B$14+2*((BJ22+BK22)/2)))^(4/3)))*(A21-A22)))&lt;0,((BJ22+BK22)/2),BJ22)</f>
        <v/>
      </c>
      <c r="BM22" s="16">
        <f>IF((((BJ22+BK22)/2)+(C22/(DATOS!$B$14*((BJ22+BK22)/2)))^2/(2*9.81)+B22-(E21+(C21/(DATOS!$B$14*E21))^2/(2*9.81)+B21+0.5*(((DATOS!$B$27*C21/(DATOS!$B$14*E21))^2/((DATOS!$B$14*E21)/(DATOS!$B$14+2*E21))^(4/3))+((DATOS!$B$27*C22/(DATOS!$B$14*((BJ22+BK22)/2)))^2/((DATOS!$B$14*((BJ22+BK22)/2))/(DATOS!$B$14+2*((BJ22+BK22)/2)))^(4/3)))*(A21-A22)))&lt;0,BK22,((BJ22+BK22)/2))</f>
        <v/>
      </c>
      <c r="BN22" s="16">
        <f>IF((((BL22+BM22)/2)+(C22/(DATOS!$B$14*((BL22+BM22)/2)))^2/(2*9.81)+B22-(E21+(C21/(DATOS!$B$14*E21))^2/(2*9.81)+B21+0.5*(((DATOS!$B$27*C21/(DATOS!$B$14*E21))^2/((DATOS!$B$14*E21)/(DATOS!$B$14+2*E21))^(4/3))+((DATOS!$B$27*C22/(DATOS!$B$14*((BL22+BM22)/2)))^2/((DATOS!$B$14*((BL22+BM22)/2))/(DATOS!$B$14+2*((BL22+BM22)/2)))^(4/3)))*(A21-A22)))&lt;0,((BL22+BM22)/2),BL22)</f>
        <v/>
      </c>
      <c r="BO22" s="16">
        <f>IF((((BL22+BM22)/2)+(C22/(DATOS!$B$14*((BL22+BM22)/2)))^2/(2*9.81)+B22-(E21+(C21/(DATOS!$B$14*E21))^2/(2*9.81)+B21+0.5*(((DATOS!$B$27*C21/(DATOS!$B$14*E21))^2/((DATOS!$B$14*E21)/(DATOS!$B$14+2*E21))^(4/3))+((DATOS!$B$27*C22/(DATOS!$B$14*((BL22+BM22)/2)))^2/((DATOS!$B$14*((BL22+BM22)/2))/(DATOS!$B$14+2*((BL22+BM22)/2)))^(4/3)))*(A21-A22)))&lt;0,BM22,((BL22+BM22)/2))</f>
        <v/>
      </c>
      <c r="BP22" s="16">
        <f>IF((((BN22+BO22)/2)+(C22/(DATOS!$B$14*((BN22+BO22)/2)))^2/(2*9.81)+B22-(E21+(C21/(DATOS!$B$14*E21))^2/(2*9.81)+B21+0.5*(((DATOS!$B$27*C21/(DATOS!$B$14*E21))^2/((DATOS!$B$14*E21)/(DATOS!$B$14+2*E21))^(4/3))+((DATOS!$B$27*C22/(DATOS!$B$14*((BN22+BO22)/2)))^2/((DATOS!$B$14*((BN22+BO22)/2))/(DATOS!$B$14+2*((BN22+BO22)/2)))^(4/3)))*(A21-A22)))&lt;0,((BN22+BO22)/2),BN22)</f>
        <v/>
      </c>
      <c r="BQ22" s="16">
        <f>IF((((BN22+BO22)/2)+(C22/(DATOS!$B$14*((BN22+BO22)/2)))^2/(2*9.81)+B22-(E21+(C21/(DATOS!$B$14*E21))^2/(2*9.81)+B21+0.5*(((DATOS!$B$27*C21/(DATOS!$B$14*E21))^2/((DATOS!$B$14*E21)/(DATOS!$B$14+2*E21))^(4/3))+((DATOS!$B$27*C22/(DATOS!$B$14*((BN22+BO22)/2)))^2/((DATOS!$B$14*((BN22+BO22)/2))/(DATOS!$B$14+2*((BN22+BO22)/2)))^(4/3)))*(A21-A22)))&lt;0,BO22,((BN22+BO22)/2))</f>
        <v/>
      </c>
      <c r="BR22" s="16">
        <f>IF((((BP22+BQ22)/2)+(C22/(DATOS!$B$14*((BP22+BQ22)/2)))^2/(2*9.81)+B22-(E21+(C21/(DATOS!$B$14*E21))^2/(2*9.81)+B21+0.5*(((DATOS!$B$27*C21/(DATOS!$B$14*E21))^2/((DATOS!$B$14*E21)/(DATOS!$B$14+2*E21))^(4/3))+((DATOS!$B$27*C22/(DATOS!$B$14*((BP22+BQ22)/2)))^2/((DATOS!$B$14*((BP22+BQ22)/2))/(DATOS!$B$14+2*((BP22+BQ22)/2)))^(4/3)))*(A21-A22)))&lt;0,((BP22+BQ22)/2),BP22)</f>
        <v/>
      </c>
      <c r="BS22" s="16">
        <f>IF((((BP22+BQ22)/2)+(C22/(DATOS!$B$14*((BP22+BQ22)/2)))^2/(2*9.81)+B22-(E21+(C21/(DATOS!$B$14*E21))^2/(2*9.81)+B21+0.5*(((DATOS!$B$27*C21/(DATOS!$B$14*E21))^2/((DATOS!$B$14*E21)/(DATOS!$B$14+2*E21))^(4/3))+((DATOS!$B$27*C22/(DATOS!$B$14*((BP22+BQ22)/2)))^2/((DATOS!$B$14*((BP22+BQ22)/2))/(DATOS!$B$14+2*((BP22+BQ22)/2)))^(4/3)))*(A21-A22)))&lt;0,BQ22,((BP22+BQ22)/2))</f>
        <v/>
      </c>
      <c r="BT22" s="16">
        <f>IF((((BR22+BS22)/2)+(C22/(DATOS!$B$14*((BR22+BS22)/2)))^2/(2*9.81)+B22-(E21+(C21/(DATOS!$B$14*E21))^2/(2*9.81)+B21+0.5*(((DATOS!$B$27*C21/(DATOS!$B$14*E21))^2/((DATOS!$B$14*E21)/(DATOS!$B$14+2*E21))^(4/3))+((DATOS!$B$27*C22/(DATOS!$B$14*((BR22+BS22)/2)))^2/((DATOS!$B$14*((BR22+BS22)/2))/(DATOS!$B$14+2*((BR22+BS22)/2)))^(4/3)))*(A21-A22)))&lt;0,((BR22+BS22)/2),BR22)</f>
        <v/>
      </c>
      <c r="BU22" s="16">
        <f>IF((((BR22+BS22)/2)+(C22/(DATOS!$B$14*((BR22+BS22)/2)))^2/(2*9.81)+B22-(E21+(C21/(DATOS!$B$14*E21))^2/(2*9.81)+B21+0.5*(((DATOS!$B$27*C21/(DATOS!$B$14*E21))^2/((DATOS!$B$14*E21)/(DATOS!$B$14+2*E21))^(4/3))+((DATOS!$B$27*C22/(DATOS!$B$14*((BR22+BS22)/2)))^2/((DATOS!$B$14*((BR22+BS22)/2))/(DATOS!$B$14+2*((BR22+BS22)/2)))^(4/3)))*(A21-A22)))&lt;0,BS22,((BR22+BS22)/2))</f>
        <v/>
      </c>
    </row>
    <row r="23">
      <c r="A23" s="30" t="n">
        <v>104</v>
      </c>
      <c r="B23" s="21">
        <f>DATOS!$B$16-DATOS!$B$19*A23</f>
        <v/>
      </c>
      <c r="C23" s="21">
        <f>IF(A23&lt;CAUDALES!$B$13,CAUDALES!$D$12,IF(A23&lt;CAUDALES!$B$14,CAUDALES!$D$13,IF(A23&lt;CAUDALES!$B$15,CAUDALES!$D$14,CAUDALES!$D$15)))/1000</f>
        <v/>
      </c>
      <c r="D23" s="21">
        <f>(C23^2/(9.81*DATOS!$B$14^2))^(1/3)</f>
        <v/>
      </c>
      <c r="E23" s="29">
        <f>(BT23+BU23)/2</f>
        <v/>
      </c>
      <c r="F23" s="21">
        <f>B23+E23</f>
        <v/>
      </c>
      <c r="G23" s="17">
        <f>C23/(DATOS!$B$14*E23)</f>
        <v/>
      </c>
      <c r="H23" s="17">
        <f>G23/SQRT(9.81*E23)</f>
        <v/>
      </c>
      <c r="I23" s="21">
        <f>IF(A23&lt;=DATOS!$B$20,DATOS!$B$21-IF(AND(A23&gt;=DATOS!$B$23,A23&lt;DATOS!$B$24),DATOS!$B$25,DATOS!$B$22),B23+DATOS!$B$26)</f>
        <v/>
      </c>
      <c r="J23" s="17">
        <f>I23-B23</f>
        <v/>
      </c>
      <c r="K23" s="31">
        <f>E23/J23</f>
        <v/>
      </c>
      <c r="L23" s="21">
        <f>I23-F23</f>
        <v/>
      </c>
      <c r="M23" s="32">
        <f>IF(AND(K23&lt;=DATOS!$B$29,L23&gt;=DATOS!$B$30),"CUMPLE","NO CUMPLE")</f>
        <v/>
      </c>
      <c r="N23" s="13">
        <f>IF(A23&gt;DATOS!$B$20,"cubierto - tramo final",IF(AND(A23&gt;=DATOS!$B$23,A23&lt;DATOS!$B$24),"cubierto - camiones","cubierto"))</f>
        <v/>
      </c>
      <c r="P23" s="16">
        <f>D23*1.001</f>
        <v/>
      </c>
      <c r="Q23" s="16" t="n">
        <v>2</v>
      </c>
      <c r="R23" s="16">
        <f>IF((((P23+Q23)/2)+(C23/(DATOS!$B$14*((P23+Q23)/2)))^2/(2*9.81)+B23-(E22+(C22/(DATOS!$B$14*E22))^2/(2*9.81)+B22+0.5*(((DATOS!$B$27*C22/(DATOS!$B$14*E22))^2/((DATOS!$B$14*E22)/(DATOS!$B$14+2*E22))^(4/3))+((DATOS!$B$27*C23/(DATOS!$B$14*((P23+Q23)/2)))^2/((DATOS!$B$14*((P23+Q23)/2))/(DATOS!$B$14+2*((P23+Q23)/2)))^(4/3)))*(A22-A23)))&lt;0,((P23+Q23)/2),P23)</f>
        <v/>
      </c>
      <c r="S23" s="16">
        <f>IF((((P23+Q23)/2)+(C23/(DATOS!$B$14*((P23+Q23)/2)))^2/(2*9.81)+B23-(E22+(C22/(DATOS!$B$14*E22))^2/(2*9.81)+B22+0.5*(((DATOS!$B$27*C22/(DATOS!$B$14*E22))^2/((DATOS!$B$14*E22)/(DATOS!$B$14+2*E22))^(4/3))+((DATOS!$B$27*C23/(DATOS!$B$14*((P23+Q23)/2)))^2/((DATOS!$B$14*((P23+Q23)/2))/(DATOS!$B$14+2*((P23+Q23)/2)))^(4/3)))*(A22-A23)))&lt;0,Q23,((P23+Q23)/2))</f>
        <v/>
      </c>
      <c r="T23" s="16">
        <f>IF((((R23+S23)/2)+(C23/(DATOS!$B$14*((R23+S23)/2)))^2/(2*9.81)+B23-(E22+(C22/(DATOS!$B$14*E22))^2/(2*9.81)+B22+0.5*(((DATOS!$B$27*C22/(DATOS!$B$14*E22))^2/((DATOS!$B$14*E22)/(DATOS!$B$14+2*E22))^(4/3))+((DATOS!$B$27*C23/(DATOS!$B$14*((R23+S23)/2)))^2/((DATOS!$B$14*((R23+S23)/2))/(DATOS!$B$14+2*((R23+S23)/2)))^(4/3)))*(A22-A23)))&lt;0,((R23+S23)/2),R23)</f>
        <v/>
      </c>
      <c r="U23" s="16">
        <f>IF((((R23+S23)/2)+(C23/(DATOS!$B$14*((R23+S23)/2)))^2/(2*9.81)+B23-(E22+(C22/(DATOS!$B$14*E22))^2/(2*9.81)+B22+0.5*(((DATOS!$B$27*C22/(DATOS!$B$14*E22))^2/((DATOS!$B$14*E22)/(DATOS!$B$14+2*E22))^(4/3))+((DATOS!$B$27*C23/(DATOS!$B$14*((R23+S23)/2)))^2/((DATOS!$B$14*((R23+S23)/2))/(DATOS!$B$14+2*((R23+S23)/2)))^(4/3)))*(A22-A23)))&lt;0,S23,((R23+S23)/2))</f>
        <v/>
      </c>
      <c r="V23" s="16">
        <f>IF((((T23+U23)/2)+(C23/(DATOS!$B$14*((T23+U23)/2)))^2/(2*9.81)+B23-(E22+(C22/(DATOS!$B$14*E22))^2/(2*9.81)+B22+0.5*(((DATOS!$B$27*C22/(DATOS!$B$14*E22))^2/((DATOS!$B$14*E22)/(DATOS!$B$14+2*E22))^(4/3))+((DATOS!$B$27*C23/(DATOS!$B$14*((T23+U23)/2)))^2/((DATOS!$B$14*((T23+U23)/2))/(DATOS!$B$14+2*((T23+U23)/2)))^(4/3)))*(A22-A23)))&lt;0,((T23+U23)/2),T23)</f>
        <v/>
      </c>
      <c r="W23" s="16">
        <f>IF((((T23+U23)/2)+(C23/(DATOS!$B$14*((T23+U23)/2)))^2/(2*9.81)+B23-(E22+(C22/(DATOS!$B$14*E22))^2/(2*9.81)+B22+0.5*(((DATOS!$B$27*C22/(DATOS!$B$14*E22))^2/((DATOS!$B$14*E22)/(DATOS!$B$14+2*E22))^(4/3))+((DATOS!$B$27*C23/(DATOS!$B$14*((T23+U23)/2)))^2/((DATOS!$B$14*((T23+U23)/2))/(DATOS!$B$14+2*((T23+U23)/2)))^(4/3)))*(A22-A23)))&lt;0,U23,((T23+U23)/2))</f>
        <v/>
      </c>
      <c r="X23" s="16">
        <f>IF((((V23+W23)/2)+(C23/(DATOS!$B$14*((V23+W23)/2)))^2/(2*9.81)+B23-(E22+(C22/(DATOS!$B$14*E22))^2/(2*9.81)+B22+0.5*(((DATOS!$B$27*C22/(DATOS!$B$14*E22))^2/((DATOS!$B$14*E22)/(DATOS!$B$14+2*E22))^(4/3))+((DATOS!$B$27*C23/(DATOS!$B$14*((V23+W23)/2)))^2/((DATOS!$B$14*((V23+W23)/2))/(DATOS!$B$14+2*((V23+W23)/2)))^(4/3)))*(A22-A23)))&lt;0,((V23+W23)/2),V23)</f>
        <v/>
      </c>
      <c r="Y23" s="16">
        <f>IF((((V23+W23)/2)+(C23/(DATOS!$B$14*((V23+W23)/2)))^2/(2*9.81)+B23-(E22+(C22/(DATOS!$B$14*E22))^2/(2*9.81)+B22+0.5*(((DATOS!$B$27*C22/(DATOS!$B$14*E22))^2/((DATOS!$B$14*E22)/(DATOS!$B$14+2*E22))^(4/3))+((DATOS!$B$27*C23/(DATOS!$B$14*((V23+W23)/2)))^2/((DATOS!$B$14*((V23+W23)/2))/(DATOS!$B$14+2*((V23+W23)/2)))^(4/3)))*(A22-A23)))&lt;0,W23,((V23+W23)/2))</f>
        <v/>
      </c>
      <c r="Z23" s="16">
        <f>IF((((X23+Y23)/2)+(C23/(DATOS!$B$14*((X23+Y23)/2)))^2/(2*9.81)+B23-(E22+(C22/(DATOS!$B$14*E22))^2/(2*9.81)+B22+0.5*(((DATOS!$B$27*C22/(DATOS!$B$14*E22))^2/((DATOS!$B$14*E22)/(DATOS!$B$14+2*E22))^(4/3))+((DATOS!$B$27*C23/(DATOS!$B$14*((X23+Y23)/2)))^2/((DATOS!$B$14*((X23+Y23)/2))/(DATOS!$B$14+2*((X23+Y23)/2)))^(4/3)))*(A22-A23)))&lt;0,((X23+Y23)/2),X23)</f>
        <v/>
      </c>
      <c r="AA23" s="16">
        <f>IF((((X23+Y23)/2)+(C23/(DATOS!$B$14*((X23+Y23)/2)))^2/(2*9.81)+B23-(E22+(C22/(DATOS!$B$14*E22))^2/(2*9.81)+B22+0.5*(((DATOS!$B$27*C22/(DATOS!$B$14*E22))^2/((DATOS!$B$14*E22)/(DATOS!$B$14+2*E22))^(4/3))+((DATOS!$B$27*C23/(DATOS!$B$14*((X23+Y23)/2)))^2/((DATOS!$B$14*((X23+Y23)/2))/(DATOS!$B$14+2*((X23+Y23)/2)))^(4/3)))*(A22-A23)))&lt;0,Y23,((X23+Y23)/2))</f>
        <v/>
      </c>
      <c r="AB23" s="16">
        <f>IF((((Z23+AA23)/2)+(C23/(DATOS!$B$14*((Z23+AA23)/2)))^2/(2*9.81)+B23-(E22+(C22/(DATOS!$B$14*E22))^2/(2*9.81)+B22+0.5*(((DATOS!$B$27*C22/(DATOS!$B$14*E22))^2/((DATOS!$B$14*E22)/(DATOS!$B$14+2*E22))^(4/3))+((DATOS!$B$27*C23/(DATOS!$B$14*((Z23+AA23)/2)))^2/((DATOS!$B$14*((Z23+AA23)/2))/(DATOS!$B$14+2*((Z23+AA23)/2)))^(4/3)))*(A22-A23)))&lt;0,((Z23+AA23)/2),Z23)</f>
        <v/>
      </c>
      <c r="AC23" s="16">
        <f>IF((((Z23+AA23)/2)+(C23/(DATOS!$B$14*((Z23+AA23)/2)))^2/(2*9.81)+B23-(E22+(C22/(DATOS!$B$14*E22))^2/(2*9.81)+B22+0.5*(((DATOS!$B$27*C22/(DATOS!$B$14*E22))^2/((DATOS!$B$14*E22)/(DATOS!$B$14+2*E22))^(4/3))+((DATOS!$B$27*C23/(DATOS!$B$14*((Z23+AA23)/2)))^2/((DATOS!$B$14*((Z23+AA23)/2))/(DATOS!$B$14+2*((Z23+AA23)/2)))^(4/3)))*(A22-A23)))&lt;0,AA23,((Z23+AA23)/2))</f>
        <v/>
      </c>
      <c r="AD23" s="16">
        <f>IF((((AB23+AC23)/2)+(C23/(DATOS!$B$14*((AB23+AC23)/2)))^2/(2*9.81)+B23-(E22+(C22/(DATOS!$B$14*E22))^2/(2*9.81)+B22+0.5*(((DATOS!$B$27*C22/(DATOS!$B$14*E22))^2/((DATOS!$B$14*E22)/(DATOS!$B$14+2*E22))^(4/3))+((DATOS!$B$27*C23/(DATOS!$B$14*((AB23+AC23)/2)))^2/((DATOS!$B$14*((AB23+AC23)/2))/(DATOS!$B$14+2*((AB23+AC23)/2)))^(4/3)))*(A22-A23)))&lt;0,((AB23+AC23)/2),AB23)</f>
        <v/>
      </c>
      <c r="AE23" s="16">
        <f>IF((((AB23+AC23)/2)+(C23/(DATOS!$B$14*((AB23+AC23)/2)))^2/(2*9.81)+B23-(E22+(C22/(DATOS!$B$14*E22))^2/(2*9.81)+B22+0.5*(((DATOS!$B$27*C22/(DATOS!$B$14*E22))^2/((DATOS!$B$14*E22)/(DATOS!$B$14+2*E22))^(4/3))+((DATOS!$B$27*C23/(DATOS!$B$14*((AB23+AC23)/2)))^2/((DATOS!$B$14*((AB23+AC23)/2))/(DATOS!$B$14+2*((AB23+AC23)/2)))^(4/3)))*(A22-A23)))&lt;0,AC23,((AB23+AC23)/2))</f>
        <v/>
      </c>
      <c r="AF23" s="16">
        <f>IF((((AD23+AE23)/2)+(C23/(DATOS!$B$14*((AD23+AE23)/2)))^2/(2*9.81)+B23-(E22+(C22/(DATOS!$B$14*E22))^2/(2*9.81)+B22+0.5*(((DATOS!$B$27*C22/(DATOS!$B$14*E22))^2/((DATOS!$B$14*E22)/(DATOS!$B$14+2*E22))^(4/3))+((DATOS!$B$27*C23/(DATOS!$B$14*((AD23+AE23)/2)))^2/((DATOS!$B$14*((AD23+AE23)/2))/(DATOS!$B$14+2*((AD23+AE23)/2)))^(4/3)))*(A22-A23)))&lt;0,((AD23+AE23)/2),AD23)</f>
        <v/>
      </c>
      <c r="AG23" s="16">
        <f>IF((((AD23+AE23)/2)+(C23/(DATOS!$B$14*((AD23+AE23)/2)))^2/(2*9.81)+B23-(E22+(C22/(DATOS!$B$14*E22))^2/(2*9.81)+B22+0.5*(((DATOS!$B$27*C22/(DATOS!$B$14*E22))^2/((DATOS!$B$14*E22)/(DATOS!$B$14+2*E22))^(4/3))+((DATOS!$B$27*C23/(DATOS!$B$14*((AD23+AE23)/2)))^2/((DATOS!$B$14*((AD23+AE23)/2))/(DATOS!$B$14+2*((AD23+AE23)/2)))^(4/3)))*(A22-A23)))&lt;0,AE23,((AD23+AE23)/2))</f>
        <v/>
      </c>
      <c r="AH23" s="16">
        <f>IF((((AF23+AG23)/2)+(C23/(DATOS!$B$14*((AF23+AG23)/2)))^2/(2*9.81)+B23-(E22+(C22/(DATOS!$B$14*E22))^2/(2*9.81)+B22+0.5*(((DATOS!$B$27*C22/(DATOS!$B$14*E22))^2/((DATOS!$B$14*E22)/(DATOS!$B$14+2*E22))^(4/3))+((DATOS!$B$27*C23/(DATOS!$B$14*((AF23+AG23)/2)))^2/((DATOS!$B$14*((AF23+AG23)/2))/(DATOS!$B$14+2*((AF23+AG23)/2)))^(4/3)))*(A22-A23)))&lt;0,((AF23+AG23)/2),AF23)</f>
        <v/>
      </c>
      <c r="AI23" s="16">
        <f>IF((((AF23+AG23)/2)+(C23/(DATOS!$B$14*((AF23+AG23)/2)))^2/(2*9.81)+B23-(E22+(C22/(DATOS!$B$14*E22))^2/(2*9.81)+B22+0.5*(((DATOS!$B$27*C22/(DATOS!$B$14*E22))^2/((DATOS!$B$14*E22)/(DATOS!$B$14+2*E22))^(4/3))+((DATOS!$B$27*C23/(DATOS!$B$14*((AF23+AG23)/2)))^2/((DATOS!$B$14*((AF23+AG23)/2))/(DATOS!$B$14+2*((AF23+AG23)/2)))^(4/3)))*(A22-A23)))&lt;0,AG23,((AF23+AG23)/2))</f>
        <v/>
      </c>
      <c r="AJ23" s="16">
        <f>IF((((AH23+AI23)/2)+(C23/(DATOS!$B$14*((AH23+AI23)/2)))^2/(2*9.81)+B23-(E22+(C22/(DATOS!$B$14*E22))^2/(2*9.81)+B22+0.5*(((DATOS!$B$27*C22/(DATOS!$B$14*E22))^2/((DATOS!$B$14*E22)/(DATOS!$B$14+2*E22))^(4/3))+((DATOS!$B$27*C23/(DATOS!$B$14*((AH23+AI23)/2)))^2/((DATOS!$B$14*((AH23+AI23)/2))/(DATOS!$B$14+2*((AH23+AI23)/2)))^(4/3)))*(A22-A23)))&lt;0,((AH23+AI23)/2),AH23)</f>
        <v/>
      </c>
      <c r="AK23" s="16">
        <f>IF((((AH23+AI23)/2)+(C23/(DATOS!$B$14*((AH23+AI23)/2)))^2/(2*9.81)+B23-(E22+(C22/(DATOS!$B$14*E22))^2/(2*9.81)+B22+0.5*(((DATOS!$B$27*C22/(DATOS!$B$14*E22))^2/((DATOS!$B$14*E22)/(DATOS!$B$14+2*E22))^(4/3))+((DATOS!$B$27*C23/(DATOS!$B$14*((AH23+AI23)/2)))^2/((DATOS!$B$14*((AH23+AI23)/2))/(DATOS!$B$14+2*((AH23+AI23)/2)))^(4/3)))*(A22-A23)))&lt;0,AI23,((AH23+AI23)/2))</f>
        <v/>
      </c>
      <c r="AL23" s="16">
        <f>IF((((AJ23+AK23)/2)+(C23/(DATOS!$B$14*((AJ23+AK23)/2)))^2/(2*9.81)+B23-(E22+(C22/(DATOS!$B$14*E22))^2/(2*9.81)+B22+0.5*(((DATOS!$B$27*C22/(DATOS!$B$14*E22))^2/((DATOS!$B$14*E22)/(DATOS!$B$14+2*E22))^(4/3))+((DATOS!$B$27*C23/(DATOS!$B$14*((AJ23+AK23)/2)))^2/((DATOS!$B$14*((AJ23+AK23)/2))/(DATOS!$B$14+2*((AJ23+AK23)/2)))^(4/3)))*(A22-A23)))&lt;0,((AJ23+AK23)/2),AJ23)</f>
        <v/>
      </c>
      <c r="AM23" s="16">
        <f>IF((((AJ23+AK23)/2)+(C23/(DATOS!$B$14*((AJ23+AK23)/2)))^2/(2*9.81)+B23-(E22+(C22/(DATOS!$B$14*E22))^2/(2*9.81)+B22+0.5*(((DATOS!$B$27*C22/(DATOS!$B$14*E22))^2/((DATOS!$B$14*E22)/(DATOS!$B$14+2*E22))^(4/3))+((DATOS!$B$27*C23/(DATOS!$B$14*((AJ23+AK23)/2)))^2/((DATOS!$B$14*((AJ23+AK23)/2))/(DATOS!$B$14+2*((AJ23+AK23)/2)))^(4/3)))*(A22-A23)))&lt;0,AK23,((AJ23+AK23)/2))</f>
        <v/>
      </c>
      <c r="AN23" s="16">
        <f>IF((((AL23+AM23)/2)+(C23/(DATOS!$B$14*((AL23+AM23)/2)))^2/(2*9.81)+B23-(E22+(C22/(DATOS!$B$14*E22))^2/(2*9.81)+B22+0.5*(((DATOS!$B$27*C22/(DATOS!$B$14*E22))^2/((DATOS!$B$14*E22)/(DATOS!$B$14+2*E22))^(4/3))+((DATOS!$B$27*C23/(DATOS!$B$14*((AL23+AM23)/2)))^2/((DATOS!$B$14*((AL23+AM23)/2))/(DATOS!$B$14+2*((AL23+AM23)/2)))^(4/3)))*(A22-A23)))&lt;0,((AL23+AM23)/2),AL23)</f>
        <v/>
      </c>
      <c r="AO23" s="16">
        <f>IF((((AL23+AM23)/2)+(C23/(DATOS!$B$14*((AL23+AM23)/2)))^2/(2*9.81)+B23-(E22+(C22/(DATOS!$B$14*E22))^2/(2*9.81)+B22+0.5*(((DATOS!$B$27*C22/(DATOS!$B$14*E22))^2/((DATOS!$B$14*E22)/(DATOS!$B$14+2*E22))^(4/3))+((DATOS!$B$27*C23/(DATOS!$B$14*((AL23+AM23)/2)))^2/((DATOS!$B$14*((AL23+AM23)/2))/(DATOS!$B$14+2*((AL23+AM23)/2)))^(4/3)))*(A22-A23)))&lt;0,AM23,((AL23+AM23)/2))</f>
        <v/>
      </c>
      <c r="AP23" s="16">
        <f>IF((((AN23+AO23)/2)+(C23/(DATOS!$B$14*((AN23+AO23)/2)))^2/(2*9.81)+B23-(E22+(C22/(DATOS!$B$14*E22))^2/(2*9.81)+B22+0.5*(((DATOS!$B$27*C22/(DATOS!$B$14*E22))^2/((DATOS!$B$14*E22)/(DATOS!$B$14+2*E22))^(4/3))+((DATOS!$B$27*C23/(DATOS!$B$14*((AN23+AO23)/2)))^2/((DATOS!$B$14*((AN23+AO23)/2))/(DATOS!$B$14+2*((AN23+AO23)/2)))^(4/3)))*(A22-A23)))&lt;0,((AN23+AO23)/2),AN23)</f>
        <v/>
      </c>
      <c r="AQ23" s="16">
        <f>IF((((AN23+AO23)/2)+(C23/(DATOS!$B$14*((AN23+AO23)/2)))^2/(2*9.81)+B23-(E22+(C22/(DATOS!$B$14*E22))^2/(2*9.81)+B22+0.5*(((DATOS!$B$27*C22/(DATOS!$B$14*E22))^2/((DATOS!$B$14*E22)/(DATOS!$B$14+2*E22))^(4/3))+((DATOS!$B$27*C23/(DATOS!$B$14*((AN23+AO23)/2)))^2/((DATOS!$B$14*((AN23+AO23)/2))/(DATOS!$B$14+2*((AN23+AO23)/2)))^(4/3)))*(A22-A23)))&lt;0,AO23,((AN23+AO23)/2))</f>
        <v/>
      </c>
      <c r="AR23" s="16">
        <f>IF((((AP23+AQ23)/2)+(C23/(DATOS!$B$14*((AP23+AQ23)/2)))^2/(2*9.81)+B23-(E22+(C22/(DATOS!$B$14*E22))^2/(2*9.81)+B22+0.5*(((DATOS!$B$27*C22/(DATOS!$B$14*E22))^2/((DATOS!$B$14*E22)/(DATOS!$B$14+2*E22))^(4/3))+((DATOS!$B$27*C23/(DATOS!$B$14*((AP23+AQ23)/2)))^2/((DATOS!$B$14*((AP23+AQ23)/2))/(DATOS!$B$14+2*((AP23+AQ23)/2)))^(4/3)))*(A22-A23)))&lt;0,((AP23+AQ23)/2),AP23)</f>
        <v/>
      </c>
      <c r="AS23" s="16">
        <f>IF((((AP23+AQ23)/2)+(C23/(DATOS!$B$14*((AP23+AQ23)/2)))^2/(2*9.81)+B23-(E22+(C22/(DATOS!$B$14*E22))^2/(2*9.81)+B22+0.5*(((DATOS!$B$27*C22/(DATOS!$B$14*E22))^2/((DATOS!$B$14*E22)/(DATOS!$B$14+2*E22))^(4/3))+((DATOS!$B$27*C23/(DATOS!$B$14*((AP23+AQ23)/2)))^2/((DATOS!$B$14*((AP23+AQ23)/2))/(DATOS!$B$14+2*((AP23+AQ23)/2)))^(4/3)))*(A22-A23)))&lt;0,AQ23,((AP23+AQ23)/2))</f>
        <v/>
      </c>
      <c r="AT23" s="16">
        <f>IF((((AR23+AS23)/2)+(C23/(DATOS!$B$14*((AR23+AS23)/2)))^2/(2*9.81)+B23-(E22+(C22/(DATOS!$B$14*E22))^2/(2*9.81)+B22+0.5*(((DATOS!$B$27*C22/(DATOS!$B$14*E22))^2/((DATOS!$B$14*E22)/(DATOS!$B$14+2*E22))^(4/3))+((DATOS!$B$27*C23/(DATOS!$B$14*((AR23+AS23)/2)))^2/((DATOS!$B$14*((AR23+AS23)/2))/(DATOS!$B$14+2*((AR23+AS23)/2)))^(4/3)))*(A22-A23)))&lt;0,((AR23+AS23)/2),AR23)</f>
        <v/>
      </c>
      <c r="AU23" s="16">
        <f>IF((((AR23+AS23)/2)+(C23/(DATOS!$B$14*((AR23+AS23)/2)))^2/(2*9.81)+B23-(E22+(C22/(DATOS!$B$14*E22))^2/(2*9.81)+B22+0.5*(((DATOS!$B$27*C22/(DATOS!$B$14*E22))^2/((DATOS!$B$14*E22)/(DATOS!$B$14+2*E22))^(4/3))+((DATOS!$B$27*C23/(DATOS!$B$14*((AR23+AS23)/2)))^2/((DATOS!$B$14*((AR23+AS23)/2))/(DATOS!$B$14+2*((AR23+AS23)/2)))^(4/3)))*(A22-A23)))&lt;0,AS23,((AR23+AS23)/2))</f>
        <v/>
      </c>
      <c r="AV23" s="16">
        <f>IF((((AT23+AU23)/2)+(C23/(DATOS!$B$14*((AT23+AU23)/2)))^2/(2*9.81)+B23-(E22+(C22/(DATOS!$B$14*E22))^2/(2*9.81)+B22+0.5*(((DATOS!$B$27*C22/(DATOS!$B$14*E22))^2/((DATOS!$B$14*E22)/(DATOS!$B$14+2*E22))^(4/3))+((DATOS!$B$27*C23/(DATOS!$B$14*((AT23+AU23)/2)))^2/((DATOS!$B$14*((AT23+AU23)/2))/(DATOS!$B$14+2*((AT23+AU23)/2)))^(4/3)))*(A22-A23)))&lt;0,((AT23+AU23)/2),AT23)</f>
        <v/>
      </c>
      <c r="AW23" s="16">
        <f>IF((((AT23+AU23)/2)+(C23/(DATOS!$B$14*((AT23+AU23)/2)))^2/(2*9.81)+B23-(E22+(C22/(DATOS!$B$14*E22))^2/(2*9.81)+B22+0.5*(((DATOS!$B$27*C22/(DATOS!$B$14*E22))^2/((DATOS!$B$14*E22)/(DATOS!$B$14+2*E22))^(4/3))+((DATOS!$B$27*C23/(DATOS!$B$14*((AT23+AU23)/2)))^2/((DATOS!$B$14*((AT23+AU23)/2))/(DATOS!$B$14+2*((AT23+AU23)/2)))^(4/3)))*(A22-A23)))&lt;0,AU23,((AT23+AU23)/2))</f>
        <v/>
      </c>
      <c r="AX23" s="16">
        <f>IF((((AV23+AW23)/2)+(C23/(DATOS!$B$14*((AV23+AW23)/2)))^2/(2*9.81)+B23-(E22+(C22/(DATOS!$B$14*E22))^2/(2*9.81)+B22+0.5*(((DATOS!$B$27*C22/(DATOS!$B$14*E22))^2/((DATOS!$B$14*E22)/(DATOS!$B$14+2*E22))^(4/3))+((DATOS!$B$27*C23/(DATOS!$B$14*((AV23+AW23)/2)))^2/((DATOS!$B$14*((AV23+AW23)/2))/(DATOS!$B$14+2*((AV23+AW23)/2)))^(4/3)))*(A22-A23)))&lt;0,((AV23+AW23)/2),AV23)</f>
        <v/>
      </c>
      <c r="AY23" s="16">
        <f>IF((((AV23+AW23)/2)+(C23/(DATOS!$B$14*((AV23+AW23)/2)))^2/(2*9.81)+B23-(E22+(C22/(DATOS!$B$14*E22))^2/(2*9.81)+B22+0.5*(((DATOS!$B$27*C22/(DATOS!$B$14*E22))^2/((DATOS!$B$14*E22)/(DATOS!$B$14+2*E22))^(4/3))+((DATOS!$B$27*C23/(DATOS!$B$14*((AV23+AW23)/2)))^2/((DATOS!$B$14*((AV23+AW23)/2))/(DATOS!$B$14+2*((AV23+AW23)/2)))^(4/3)))*(A22-A23)))&lt;0,AW23,((AV23+AW23)/2))</f>
        <v/>
      </c>
      <c r="AZ23" s="16">
        <f>IF((((AX23+AY23)/2)+(C23/(DATOS!$B$14*((AX23+AY23)/2)))^2/(2*9.81)+B23-(E22+(C22/(DATOS!$B$14*E22))^2/(2*9.81)+B22+0.5*(((DATOS!$B$27*C22/(DATOS!$B$14*E22))^2/((DATOS!$B$14*E22)/(DATOS!$B$14+2*E22))^(4/3))+((DATOS!$B$27*C23/(DATOS!$B$14*((AX23+AY23)/2)))^2/((DATOS!$B$14*((AX23+AY23)/2))/(DATOS!$B$14+2*((AX23+AY23)/2)))^(4/3)))*(A22-A23)))&lt;0,((AX23+AY23)/2),AX23)</f>
        <v/>
      </c>
      <c r="BA23" s="16">
        <f>IF((((AX23+AY23)/2)+(C23/(DATOS!$B$14*((AX23+AY23)/2)))^2/(2*9.81)+B23-(E22+(C22/(DATOS!$B$14*E22))^2/(2*9.81)+B22+0.5*(((DATOS!$B$27*C22/(DATOS!$B$14*E22))^2/((DATOS!$B$14*E22)/(DATOS!$B$14+2*E22))^(4/3))+((DATOS!$B$27*C23/(DATOS!$B$14*((AX23+AY23)/2)))^2/((DATOS!$B$14*((AX23+AY23)/2))/(DATOS!$B$14+2*((AX23+AY23)/2)))^(4/3)))*(A22-A23)))&lt;0,AY23,((AX23+AY23)/2))</f>
        <v/>
      </c>
      <c r="BB23" s="16">
        <f>IF((((AZ23+BA23)/2)+(C23/(DATOS!$B$14*((AZ23+BA23)/2)))^2/(2*9.81)+B23-(E22+(C22/(DATOS!$B$14*E22))^2/(2*9.81)+B22+0.5*(((DATOS!$B$27*C22/(DATOS!$B$14*E22))^2/((DATOS!$B$14*E22)/(DATOS!$B$14+2*E22))^(4/3))+((DATOS!$B$27*C23/(DATOS!$B$14*((AZ23+BA23)/2)))^2/((DATOS!$B$14*((AZ23+BA23)/2))/(DATOS!$B$14+2*((AZ23+BA23)/2)))^(4/3)))*(A22-A23)))&lt;0,((AZ23+BA23)/2),AZ23)</f>
        <v/>
      </c>
      <c r="BC23" s="16">
        <f>IF((((AZ23+BA23)/2)+(C23/(DATOS!$B$14*((AZ23+BA23)/2)))^2/(2*9.81)+B23-(E22+(C22/(DATOS!$B$14*E22))^2/(2*9.81)+B22+0.5*(((DATOS!$B$27*C22/(DATOS!$B$14*E22))^2/((DATOS!$B$14*E22)/(DATOS!$B$14+2*E22))^(4/3))+((DATOS!$B$27*C23/(DATOS!$B$14*((AZ23+BA23)/2)))^2/((DATOS!$B$14*((AZ23+BA23)/2))/(DATOS!$B$14+2*((AZ23+BA23)/2)))^(4/3)))*(A22-A23)))&lt;0,BA23,((AZ23+BA23)/2))</f>
        <v/>
      </c>
      <c r="BD23" s="16">
        <f>IF((((BB23+BC23)/2)+(C23/(DATOS!$B$14*((BB23+BC23)/2)))^2/(2*9.81)+B23-(E22+(C22/(DATOS!$B$14*E22))^2/(2*9.81)+B22+0.5*(((DATOS!$B$27*C22/(DATOS!$B$14*E22))^2/((DATOS!$B$14*E22)/(DATOS!$B$14+2*E22))^(4/3))+((DATOS!$B$27*C23/(DATOS!$B$14*((BB23+BC23)/2)))^2/((DATOS!$B$14*((BB23+BC23)/2))/(DATOS!$B$14+2*((BB23+BC23)/2)))^(4/3)))*(A22-A23)))&lt;0,((BB23+BC23)/2),BB23)</f>
        <v/>
      </c>
      <c r="BE23" s="16">
        <f>IF((((BB23+BC23)/2)+(C23/(DATOS!$B$14*((BB23+BC23)/2)))^2/(2*9.81)+B23-(E22+(C22/(DATOS!$B$14*E22))^2/(2*9.81)+B22+0.5*(((DATOS!$B$27*C22/(DATOS!$B$14*E22))^2/((DATOS!$B$14*E22)/(DATOS!$B$14+2*E22))^(4/3))+((DATOS!$B$27*C23/(DATOS!$B$14*((BB23+BC23)/2)))^2/((DATOS!$B$14*((BB23+BC23)/2))/(DATOS!$B$14+2*((BB23+BC23)/2)))^(4/3)))*(A22-A23)))&lt;0,BC23,((BB23+BC23)/2))</f>
        <v/>
      </c>
      <c r="BF23" s="16">
        <f>IF((((BD23+BE23)/2)+(C23/(DATOS!$B$14*((BD23+BE23)/2)))^2/(2*9.81)+B23-(E22+(C22/(DATOS!$B$14*E22))^2/(2*9.81)+B22+0.5*(((DATOS!$B$27*C22/(DATOS!$B$14*E22))^2/((DATOS!$B$14*E22)/(DATOS!$B$14+2*E22))^(4/3))+((DATOS!$B$27*C23/(DATOS!$B$14*((BD23+BE23)/2)))^2/((DATOS!$B$14*((BD23+BE23)/2))/(DATOS!$B$14+2*((BD23+BE23)/2)))^(4/3)))*(A22-A23)))&lt;0,((BD23+BE23)/2),BD23)</f>
        <v/>
      </c>
      <c r="BG23" s="16">
        <f>IF((((BD23+BE23)/2)+(C23/(DATOS!$B$14*((BD23+BE23)/2)))^2/(2*9.81)+B23-(E22+(C22/(DATOS!$B$14*E22))^2/(2*9.81)+B22+0.5*(((DATOS!$B$27*C22/(DATOS!$B$14*E22))^2/((DATOS!$B$14*E22)/(DATOS!$B$14+2*E22))^(4/3))+((DATOS!$B$27*C23/(DATOS!$B$14*((BD23+BE23)/2)))^2/((DATOS!$B$14*((BD23+BE23)/2))/(DATOS!$B$14+2*((BD23+BE23)/2)))^(4/3)))*(A22-A23)))&lt;0,BE23,((BD23+BE23)/2))</f>
        <v/>
      </c>
      <c r="BH23" s="16">
        <f>IF((((BF23+BG23)/2)+(C23/(DATOS!$B$14*((BF23+BG23)/2)))^2/(2*9.81)+B23-(E22+(C22/(DATOS!$B$14*E22))^2/(2*9.81)+B22+0.5*(((DATOS!$B$27*C22/(DATOS!$B$14*E22))^2/((DATOS!$B$14*E22)/(DATOS!$B$14+2*E22))^(4/3))+((DATOS!$B$27*C23/(DATOS!$B$14*((BF23+BG23)/2)))^2/((DATOS!$B$14*((BF23+BG23)/2))/(DATOS!$B$14+2*((BF23+BG23)/2)))^(4/3)))*(A22-A23)))&lt;0,((BF23+BG23)/2),BF23)</f>
        <v/>
      </c>
      <c r="BI23" s="16">
        <f>IF((((BF23+BG23)/2)+(C23/(DATOS!$B$14*((BF23+BG23)/2)))^2/(2*9.81)+B23-(E22+(C22/(DATOS!$B$14*E22))^2/(2*9.81)+B22+0.5*(((DATOS!$B$27*C22/(DATOS!$B$14*E22))^2/((DATOS!$B$14*E22)/(DATOS!$B$14+2*E22))^(4/3))+((DATOS!$B$27*C23/(DATOS!$B$14*((BF23+BG23)/2)))^2/((DATOS!$B$14*((BF23+BG23)/2))/(DATOS!$B$14+2*((BF23+BG23)/2)))^(4/3)))*(A22-A23)))&lt;0,BG23,((BF23+BG23)/2))</f>
        <v/>
      </c>
      <c r="BJ23" s="16">
        <f>IF((((BH23+BI23)/2)+(C23/(DATOS!$B$14*((BH23+BI23)/2)))^2/(2*9.81)+B23-(E22+(C22/(DATOS!$B$14*E22))^2/(2*9.81)+B22+0.5*(((DATOS!$B$27*C22/(DATOS!$B$14*E22))^2/((DATOS!$B$14*E22)/(DATOS!$B$14+2*E22))^(4/3))+((DATOS!$B$27*C23/(DATOS!$B$14*((BH23+BI23)/2)))^2/((DATOS!$B$14*((BH23+BI23)/2))/(DATOS!$B$14+2*((BH23+BI23)/2)))^(4/3)))*(A22-A23)))&lt;0,((BH23+BI23)/2),BH23)</f>
        <v/>
      </c>
      <c r="BK23" s="16">
        <f>IF((((BH23+BI23)/2)+(C23/(DATOS!$B$14*((BH23+BI23)/2)))^2/(2*9.81)+B23-(E22+(C22/(DATOS!$B$14*E22))^2/(2*9.81)+B22+0.5*(((DATOS!$B$27*C22/(DATOS!$B$14*E22))^2/((DATOS!$B$14*E22)/(DATOS!$B$14+2*E22))^(4/3))+((DATOS!$B$27*C23/(DATOS!$B$14*((BH23+BI23)/2)))^2/((DATOS!$B$14*((BH23+BI23)/2))/(DATOS!$B$14+2*((BH23+BI23)/2)))^(4/3)))*(A22-A23)))&lt;0,BI23,((BH23+BI23)/2))</f>
        <v/>
      </c>
      <c r="BL23" s="16">
        <f>IF((((BJ23+BK23)/2)+(C23/(DATOS!$B$14*((BJ23+BK23)/2)))^2/(2*9.81)+B23-(E22+(C22/(DATOS!$B$14*E22))^2/(2*9.81)+B22+0.5*(((DATOS!$B$27*C22/(DATOS!$B$14*E22))^2/((DATOS!$B$14*E22)/(DATOS!$B$14+2*E22))^(4/3))+((DATOS!$B$27*C23/(DATOS!$B$14*((BJ23+BK23)/2)))^2/((DATOS!$B$14*((BJ23+BK23)/2))/(DATOS!$B$14+2*((BJ23+BK23)/2)))^(4/3)))*(A22-A23)))&lt;0,((BJ23+BK23)/2),BJ23)</f>
        <v/>
      </c>
      <c r="BM23" s="16">
        <f>IF((((BJ23+BK23)/2)+(C23/(DATOS!$B$14*((BJ23+BK23)/2)))^2/(2*9.81)+B23-(E22+(C22/(DATOS!$B$14*E22))^2/(2*9.81)+B22+0.5*(((DATOS!$B$27*C22/(DATOS!$B$14*E22))^2/((DATOS!$B$14*E22)/(DATOS!$B$14+2*E22))^(4/3))+((DATOS!$B$27*C23/(DATOS!$B$14*((BJ23+BK23)/2)))^2/((DATOS!$B$14*((BJ23+BK23)/2))/(DATOS!$B$14+2*((BJ23+BK23)/2)))^(4/3)))*(A22-A23)))&lt;0,BK23,((BJ23+BK23)/2))</f>
        <v/>
      </c>
      <c r="BN23" s="16">
        <f>IF((((BL23+BM23)/2)+(C23/(DATOS!$B$14*((BL23+BM23)/2)))^2/(2*9.81)+B23-(E22+(C22/(DATOS!$B$14*E22))^2/(2*9.81)+B22+0.5*(((DATOS!$B$27*C22/(DATOS!$B$14*E22))^2/((DATOS!$B$14*E22)/(DATOS!$B$14+2*E22))^(4/3))+((DATOS!$B$27*C23/(DATOS!$B$14*((BL23+BM23)/2)))^2/((DATOS!$B$14*((BL23+BM23)/2))/(DATOS!$B$14+2*((BL23+BM23)/2)))^(4/3)))*(A22-A23)))&lt;0,((BL23+BM23)/2),BL23)</f>
        <v/>
      </c>
      <c r="BO23" s="16">
        <f>IF((((BL23+BM23)/2)+(C23/(DATOS!$B$14*((BL23+BM23)/2)))^2/(2*9.81)+B23-(E22+(C22/(DATOS!$B$14*E22))^2/(2*9.81)+B22+0.5*(((DATOS!$B$27*C22/(DATOS!$B$14*E22))^2/((DATOS!$B$14*E22)/(DATOS!$B$14+2*E22))^(4/3))+((DATOS!$B$27*C23/(DATOS!$B$14*((BL23+BM23)/2)))^2/((DATOS!$B$14*((BL23+BM23)/2))/(DATOS!$B$14+2*((BL23+BM23)/2)))^(4/3)))*(A22-A23)))&lt;0,BM23,((BL23+BM23)/2))</f>
        <v/>
      </c>
      <c r="BP23" s="16">
        <f>IF((((BN23+BO23)/2)+(C23/(DATOS!$B$14*((BN23+BO23)/2)))^2/(2*9.81)+B23-(E22+(C22/(DATOS!$B$14*E22))^2/(2*9.81)+B22+0.5*(((DATOS!$B$27*C22/(DATOS!$B$14*E22))^2/((DATOS!$B$14*E22)/(DATOS!$B$14+2*E22))^(4/3))+((DATOS!$B$27*C23/(DATOS!$B$14*((BN23+BO23)/2)))^2/((DATOS!$B$14*((BN23+BO23)/2))/(DATOS!$B$14+2*((BN23+BO23)/2)))^(4/3)))*(A22-A23)))&lt;0,((BN23+BO23)/2),BN23)</f>
        <v/>
      </c>
      <c r="BQ23" s="16">
        <f>IF((((BN23+BO23)/2)+(C23/(DATOS!$B$14*((BN23+BO23)/2)))^2/(2*9.81)+B23-(E22+(C22/(DATOS!$B$14*E22))^2/(2*9.81)+B22+0.5*(((DATOS!$B$27*C22/(DATOS!$B$14*E22))^2/((DATOS!$B$14*E22)/(DATOS!$B$14+2*E22))^(4/3))+((DATOS!$B$27*C23/(DATOS!$B$14*((BN23+BO23)/2)))^2/((DATOS!$B$14*((BN23+BO23)/2))/(DATOS!$B$14+2*((BN23+BO23)/2)))^(4/3)))*(A22-A23)))&lt;0,BO23,((BN23+BO23)/2))</f>
        <v/>
      </c>
      <c r="BR23" s="16">
        <f>IF((((BP23+BQ23)/2)+(C23/(DATOS!$B$14*((BP23+BQ23)/2)))^2/(2*9.81)+B23-(E22+(C22/(DATOS!$B$14*E22))^2/(2*9.81)+B22+0.5*(((DATOS!$B$27*C22/(DATOS!$B$14*E22))^2/((DATOS!$B$14*E22)/(DATOS!$B$14+2*E22))^(4/3))+((DATOS!$B$27*C23/(DATOS!$B$14*((BP23+BQ23)/2)))^2/((DATOS!$B$14*((BP23+BQ23)/2))/(DATOS!$B$14+2*((BP23+BQ23)/2)))^(4/3)))*(A22-A23)))&lt;0,((BP23+BQ23)/2),BP23)</f>
        <v/>
      </c>
      <c r="BS23" s="16">
        <f>IF((((BP23+BQ23)/2)+(C23/(DATOS!$B$14*((BP23+BQ23)/2)))^2/(2*9.81)+B23-(E22+(C22/(DATOS!$B$14*E22))^2/(2*9.81)+B22+0.5*(((DATOS!$B$27*C22/(DATOS!$B$14*E22))^2/((DATOS!$B$14*E22)/(DATOS!$B$14+2*E22))^(4/3))+((DATOS!$B$27*C23/(DATOS!$B$14*((BP23+BQ23)/2)))^2/((DATOS!$B$14*((BP23+BQ23)/2))/(DATOS!$B$14+2*((BP23+BQ23)/2)))^(4/3)))*(A22-A23)))&lt;0,BQ23,((BP23+BQ23)/2))</f>
        <v/>
      </c>
      <c r="BT23" s="16">
        <f>IF((((BR23+BS23)/2)+(C23/(DATOS!$B$14*((BR23+BS23)/2)))^2/(2*9.81)+B23-(E22+(C22/(DATOS!$B$14*E22))^2/(2*9.81)+B22+0.5*(((DATOS!$B$27*C22/(DATOS!$B$14*E22))^2/((DATOS!$B$14*E22)/(DATOS!$B$14+2*E22))^(4/3))+((DATOS!$B$27*C23/(DATOS!$B$14*((BR23+BS23)/2)))^2/((DATOS!$B$14*((BR23+BS23)/2))/(DATOS!$B$14+2*((BR23+BS23)/2)))^(4/3)))*(A22-A23)))&lt;0,((BR23+BS23)/2),BR23)</f>
        <v/>
      </c>
      <c r="BU23" s="16">
        <f>IF((((BR23+BS23)/2)+(C23/(DATOS!$B$14*((BR23+BS23)/2)))^2/(2*9.81)+B23-(E22+(C22/(DATOS!$B$14*E22))^2/(2*9.81)+B22+0.5*(((DATOS!$B$27*C22/(DATOS!$B$14*E22))^2/((DATOS!$B$14*E22)/(DATOS!$B$14+2*E22))^(4/3))+((DATOS!$B$27*C23/(DATOS!$B$14*((BR23+BS23)/2)))^2/((DATOS!$B$14*((BR23+BS23)/2))/(DATOS!$B$14+2*((BR23+BS23)/2)))^(4/3)))*(A22-A23)))&lt;0,BS23,((BR23+BS23)/2))</f>
        <v/>
      </c>
    </row>
    <row r="24">
      <c r="A24" s="30" t="n">
        <v>102</v>
      </c>
      <c r="B24" s="21">
        <f>DATOS!$B$16-DATOS!$B$19*A24</f>
        <v/>
      </c>
      <c r="C24" s="21">
        <f>IF(A24&lt;CAUDALES!$B$13,CAUDALES!$D$12,IF(A24&lt;CAUDALES!$B$14,CAUDALES!$D$13,IF(A24&lt;CAUDALES!$B$15,CAUDALES!$D$14,CAUDALES!$D$15)))/1000</f>
        <v/>
      </c>
      <c r="D24" s="21">
        <f>(C24^2/(9.81*DATOS!$B$14^2))^(1/3)</f>
        <v/>
      </c>
      <c r="E24" s="29">
        <f>(BT24+BU24)/2</f>
        <v/>
      </c>
      <c r="F24" s="21">
        <f>B24+E24</f>
        <v/>
      </c>
      <c r="G24" s="17">
        <f>C24/(DATOS!$B$14*E24)</f>
        <v/>
      </c>
      <c r="H24" s="17">
        <f>G24/SQRT(9.81*E24)</f>
        <v/>
      </c>
      <c r="I24" s="21">
        <f>IF(A24&lt;=DATOS!$B$20,DATOS!$B$21-IF(AND(A24&gt;=DATOS!$B$23,A24&lt;DATOS!$B$24),DATOS!$B$25,DATOS!$B$22),B24+DATOS!$B$26)</f>
        <v/>
      </c>
      <c r="J24" s="17">
        <f>I24-B24</f>
        <v/>
      </c>
      <c r="K24" s="31">
        <f>E24/J24</f>
        <v/>
      </c>
      <c r="L24" s="21">
        <f>I24-F24</f>
        <v/>
      </c>
      <c r="M24" s="32">
        <f>IF(AND(K24&lt;=DATOS!$B$29,L24&gt;=DATOS!$B$30),"CUMPLE","NO CUMPLE")</f>
        <v/>
      </c>
      <c r="N24" s="13">
        <f>IF(A24&gt;DATOS!$B$20,"cubierto - tramo final",IF(AND(A24&gt;=DATOS!$B$23,A24&lt;DATOS!$B$24),"cubierto - camiones","cubierto"))</f>
        <v/>
      </c>
      <c r="P24" s="16">
        <f>D24*1.001</f>
        <v/>
      </c>
      <c r="Q24" s="16" t="n">
        <v>2</v>
      </c>
      <c r="R24" s="16">
        <f>IF((((P24+Q24)/2)+(C24/(DATOS!$B$14*((P24+Q24)/2)))^2/(2*9.81)+B24-(E23+(C23/(DATOS!$B$14*E23))^2/(2*9.81)+B23+0.5*(((DATOS!$B$27*C23/(DATOS!$B$14*E23))^2/((DATOS!$B$14*E23)/(DATOS!$B$14+2*E23))^(4/3))+((DATOS!$B$27*C24/(DATOS!$B$14*((P24+Q24)/2)))^2/((DATOS!$B$14*((P24+Q24)/2))/(DATOS!$B$14+2*((P24+Q24)/2)))^(4/3)))*(A23-A24)))&lt;0,((P24+Q24)/2),P24)</f>
        <v/>
      </c>
      <c r="S24" s="16">
        <f>IF((((P24+Q24)/2)+(C24/(DATOS!$B$14*((P24+Q24)/2)))^2/(2*9.81)+B24-(E23+(C23/(DATOS!$B$14*E23))^2/(2*9.81)+B23+0.5*(((DATOS!$B$27*C23/(DATOS!$B$14*E23))^2/((DATOS!$B$14*E23)/(DATOS!$B$14+2*E23))^(4/3))+((DATOS!$B$27*C24/(DATOS!$B$14*((P24+Q24)/2)))^2/((DATOS!$B$14*((P24+Q24)/2))/(DATOS!$B$14+2*((P24+Q24)/2)))^(4/3)))*(A23-A24)))&lt;0,Q24,((P24+Q24)/2))</f>
        <v/>
      </c>
      <c r="T24" s="16">
        <f>IF((((R24+S24)/2)+(C24/(DATOS!$B$14*((R24+S24)/2)))^2/(2*9.81)+B24-(E23+(C23/(DATOS!$B$14*E23))^2/(2*9.81)+B23+0.5*(((DATOS!$B$27*C23/(DATOS!$B$14*E23))^2/((DATOS!$B$14*E23)/(DATOS!$B$14+2*E23))^(4/3))+((DATOS!$B$27*C24/(DATOS!$B$14*((R24+S24)/2)))^2/((DATOS!$B$14*((R24+S24)/2))/(DATOS!$B$14+2*((R24+S24)/2)))^(4/3)))*(A23-A24)))&lt;0,((R24+S24)/2),R24)</f>
        <v/>
      </c>
      <c r="U24" s="16">
        <f>IF((((R24+S24)/2)+(C24/(DATOS!$B$14*((R24+S24)/2)))^2/(2*9.81)+B24-(E23+(C23/(DATOS!$B$14*E23))^2/(2*9.81)+B23+0.5*(((DATOS!$B$27*C23/(DATOS!$B$14*E23))^2/((DATOS!$B$14*E23)/(DATOS!$B$14+2*E23))^(4/3))+((DATOS!$B$27*C24/(DATOS!$B$14*((R24+S24)/2)))^2/((DATOS!$B$14*((R24+S24)/2))/(DATOS!$B$14+2*((R24+S24)/2)))^(4/3)))*(A23-A24)))&lt;0,S24,((R24+S24)/2))</f>
        <v/>
      </c>
      <c r="V24" s="16">
        <f>IF((((T24+U24)/2)+(C24/(DATOS!$B$14*((T24+U24)/2)))^2/(2*9.81)+B24-(E23+(C23/(DATOS!$B$14*E23))^2/(2*9.81)+B23+0.5*(((DATOS!$B$27*C23/(DATOS!$B$14*E23))^2/((DATOS!$B$14*E23)/(DATOS!$B$14+2*E23))^(4/3))+((DATOS!$B$27*C24/(DATOS!$B$14*((T24+U24)/2)))^2/((DATOS!$B$14*((T24+U24)/2))/(DATOS!$B$14+2*((T24+U24)/2)))^(4/3)))*(A23-A24)))&lt;0,((T24+U24)/2),T24)</f>
        <v/>
      </c>
      <c r="W24" s="16">
        <f>IF((((T24+U24)/2)+(C24/(DATOS!$B$14*((T24+U24)/2)))^2/(2*9.81)+B24-(E23+(C23/(DATOS!$B$14*E23))^2/(2*9.81)+B23+0.5*(((DATOS!$B$27*C23/(DATOS!$B$14*E23))^2/((DATOS!$B$14*E23)/(DATOS!$B$14+2*E23))^(4/3))+((DATOS!$B$27*C24/(DATOS!$B$14*((T24+U24)/2)))^2/((DATOS!$B$14*((T24+U24)/2))/(DATOS!$B$14+2*((T24+U24)/2)))^(4/3)))*(A23-A24)))&lt;0,U24,((T24+U24)/2))</f>
        <v/>
      </c>
      <c r="X24" s="16">
        <f>IF((((V24+W24)/2)+(C24/(DATOS!$B$14*((V24+W24)/2)))^2/(2*9.81)+B24-(E23+(C23/(DATOS!$B$14*E23))^2/(2*9.81)+B23+0.5*(((DATOS!$B$27*C23/(DATOS!$B$14*E23))^2/((DATOS!$B$14*E23)/(DATOS!$B$14+2*E23))^(4/3))+((DATOS!$B$27*C24/(DATOS!$B$14*((V24+W24)/2)))^2/((DATOS!$B$14*((V24+W24)/2))/(DATOS!$B$14+2*((V24+W24)/2)))^(4/3)))*(A23-A24)))&lt;0,((V24+W24)/2),V24)</f>
        <v/>
      </c>
      <c r="Y24" s="16">
        <f>IF((((V24+W24)/2)+(C24/(DATOS!$B$14*((V24+W24)/2)))^2/(2*9.81)+B24-(E23+(C23/(DATOS!$B$14*E23))^2/(2*9.81)+B23+0.5*(((DATOS!$B$27*C23/(DATOS!$B$14*E23))^2/((DATOS!$B$14*E23)/(DATOS!$B$14+2*E23))^(4/3))+((DATOS!$B$27*C24/(DATOS!$B$14*((V24+W24)/2)))^2/((DATOS!$B$14*((V24+W24)/2))/(DATOS!$B$14+2*((V24+W24)/2)))^(4/3)))*(A23-A24)))&lt;0,W24,((V24+W24)/2))</f>
        <v/>
      </c>
      <c r="Z24" s="16">
        <f>IF((((X24+Y24)/2)+(C24/(DATOS!$B$14*((X24+Y24)/2)))^2/(2*9.81)+B24-(E23+(C23/(DATOS!$B$14*E23))^2/(2*9.81)+B23+0.5*(((DATOS!$B$27*C23/(DATOS!$B$14*E23))^2/((DATOS!$B$14*E23)/(DATOS!$B$14+2*E23))^(4/3))+((DATOS!$B$27*C24/(DATOS!$B$14*((X24+Y24)/2)))^2/((DATOS!$B$14*((X24+Y24)/2))/(DATOS!$B$14+2*((X24+Y24)/2)))^(4/3)))*(A23-A24)))&lt;0,((X24+Y24)/2),X24)</f>
        <v/>
      </c>
      <c r="AA24" s="16">
        <f>IF((((X24+Y24)/2)+(C24/(DATOS!$B$14*((X24+Y24)/2)))^2/(2*9.81)+B24-(E23+(C23/(DATOS!$B$14*E23))^2/(2*9.81)+B23+0.5*(((DATOS!$B$27*C23/(DATOS!$B$14*E23))^2/((DATOS!$B$14*E23)/(DATOS!$B$14+2*E23))^(4/3))+((DATOS!$B$27*C24/(DATOS!$B$14*((X24+Y24)/2)))^2/((DATOS!$B$14*((X24+Y24)/2))/(DATOS!$B$14+2*((X24+Y24)/2)))^(4/3)))*(A23-A24)))&lt;0,Y24,((X24+Y24)/2))</f>
        <v/>
      </c>
      <c r="AB24" s="16">
        <f>IF((((Z24+AA24)/2)+(C24/(DATOS!$B$14*((Z24+AA24)/2)))^2/(2*9.81)+B24-(E23+(C23/(DATOS!$B$14*E23))^2/(2*9.81)+B23+0.5*(((DATOS!$B$27*C23/(DATOS!$B$14*E23))^2/((DATOS!$B$14*E23)/(DATOS!$B$14+2*E23))^(4/3))+((DATOS!$B$27*C24/(DATOS!$B$14*((Z24+AA24)/2)))^2/((DATOS!$B$14*((Z24+AA24)/2))/(DATOS!$B$14+2*((Z24+AA24)/2)))^(4/3)))*(A23-A24)))&lt;0,((Z24+AA24)/2),Z24)</f>
        <v/>
      </c>
      <c r="AC24" s="16">
        <f>IF((((Z24+AA24)/2)+(C24/(DATOS!$B$14*((Z24+AA24)/2)))^2/(2*9.81)+B24-(E23+(C23/(DATOS!$B$14*E23))^2/(2*9.81)+B23+0.5*(((DATOS!$B$27*C23/(DATOS!$B$14*E23))^2/((DATOS!$B$14*E23)/(DATOS!$B$14+2*E23))^(4/3))+((DATOS!$B$27*C24/(DATOS!$B$14*((Z24+AA24)/2)))^2/((DATOS!$B$14*((Z24+AA24)/2))/(DATOS!$B$14+2*((Z24+AA24)/2)))^(4/3)))*(A23-A24)))&lt;0,AA24,((Z24+AA24)/2))</f>
        <v/>
      </c>
      <c r="AD24" s="16">
        <f>IF((((AB24+AC24)/2)+(C24/(DATOS!$B$14*((AB24+AC24)/2)))^2/(2*9.81)+B24-(E23+(C23/(DATOS!$B$14*E23))^2/(2*9.81)+B23+0.5*(((DATOS!$B$27*C23/(DATOS!$B$14*E23))^2/((DATOS!$B$14*E23)/(DATOS!$B$14+2*E23))^(4/3))+((DATOS!$B$27*C24/(DATOS!$B$14*((AB24+AC24)/2)))^2/((DATOS!$B$14*((AB24+AC24)/2))/(DATOS!$B$14+2*((AB24+AC24)/2)))^(4/3)))*(A23-A24)))&lt;0,((AB24+AC24)/2),AB24)</f>
        <v/>
      </c>
      <c r="AE24" s="16">
        <f>IF((((AB24+AC24)/2)+(C24/(DATOS!$B$14*((AB24+AC24)/2)))^2/(2*9.81)+B24-(E23+(C23/(DATOS!$B$14*E23))^2/(2*9.81)+B23+0.5*(((DATOS!$B$27*C23/(DATOS!$B$14*E23))^2/((DATOS!$B$14*E23)/(DATOS!$B$14+2*E23))^(4/3))+((DATOS!$B$27*C24/(DATOS!$B$14*((AB24+AC24)/2)))^2/((DATOS!$B$14*((AB24+AC24)/2))/(DATOS!$B$14+2*((AB24+AC24)/2)))^(4/3)))*(A23-A24)))&lt;0,AC24,((AB24+AC24)/2))</f>
        <v/>
      </c>
      <c r="AF24" s="16">
        <f>IF((((AD24+AE24)/2)+(C24/(DATOS!$B$14*((AD24+AE24)/2)))^2/(2*9.81)+B24-(E23+(C23/(DATOS!$B$14*E23))^2/(2*9.81)+B23+0.5*(((DATOS!$B$27*C23/(DATOS!$B$14*E23))^2/((DATOS!$B$14*E23)/(DATOS!$B$14+2*E23))^(4/3))+((DATOS!$B$27*C24/(DATOS!$B$14*((AD24+AE24)/2)))^2/((DATOS!$B$14*((AD24+AE24)/2))/(DATOS!$B$14+2*((AD24+AE24)/2)))^(4/3)))*(A23-A24)))&lt;0,((AD24+AE24)/2),AD24)</f>
        <v/>
      </c>
      <c r="AG24" s="16">
        <f>IF((((AD24+AE24)/2)+(C24/(DATOS!$B$14*((AD24+AE24)/2)))^2/(2*9.81)+B24-(E23+(C23/(DATOS!$B$14*E23))^2/(2*9.81)+B23+0.5*(((DATOS!$B$27*C23/(DATOS!$B$14*E23))^2/((DATOS!$B$14*E23)/(DATOS!$B$14+2*E23))^(4/3))+((DATOS!$B$27*C24/(DATOS!$B$14*((AD24+AE24)/2)))^2/((DATOS!$B$14*((AD24+AE24)/2))/(DATOS!$B$14+2*((AD24+AE24)/2)))^(4/3)))*(A23-A24)))&lt;0,AE24,((AD24+AE24)/2))</f>
        <v/>
      </c>
      <c r="AH24" s="16">
        <f>IF((((AF24+AG24)/2)+(C24/(DATOS!$B$14*((AF24+AG24)/2)))^2/(2*9.81)+B24-(E23+(C23/(DATOS!$B$14*E23))^2/(2*9.81)+B23+0.5*(((DATOS!$B$27*C23/(DATOS!$B$14*E23))^2/((DATOS!$B$14*E23)/(DATOS!$B$14+2*E23))^(4/3))+((DATOS!$B$27*C24/(DATOS!$B$14*((AF24+AG24)/2)))^2/((DATOS!$B$14*((AF24+AG24)/2))/(DATOS!$B$14+2*((AF24+AG24)/2)))^(4/3)))*(A23-A24)))&lt;0,((AF24+AG24)/2),AF24)</f>
        <v/>
      </c>
      <c r="AI24" s="16">
        <f>IF((((AF24+AG24)/2)+(C24/(DATOS!$B$14*((AF24+AG24)/2)))^2/(2*9.81)+B24-(E23+(C23/(DATOS!$B$14*E23))^2/(2*9.81)+B23+0.5*(((DATOS!$B$27*C23/(DATOS!$B$14*E23))^2/((DATOS!$B$14*E23)/(DATOS!$B$14+2*E23))^(4/3))+((DATOS!$B$27*C24/(DATOS!$B$14*((AF24+AG24)/2)))^2/((DATOS!$B$14*((AF24+AG24)/2))/(DATOS!$B$14+2*((AF24+AG24)/2)))^(4/3)))*(A23-A24)))&lt;0,AG24,((AF24+AG24)/2))</f>
        <v/>
      </c>
      <c r="AJ24" s="16">
        <f>IF((((AH24+AI24)/2)+(C24/(DATOS!$B$14*((AH24+AI24)/2)))^2/(2*9.81)+B24-(E23+(C23/(DATOS!$B$14*E23))^2/(2*9.81)+B23+0.5*(((DATOS!$B$27*C23/(DATOS!$B$14*E23))^2/((DATOS!$B$14*E23)/(DATOS!$B$14+2*E23))^(4/3))+((DATOS!$B$27*C24/(DATOS!$B$14*((AH24+AI24)/2)))^2/((DATOS!$B$14*((AH24+AI24)/2))/(DATOS!$B$14+2*((AH24+AI24)/2)))^(4/3)))*(A23-A24)))&lt;0,((AH24+AI24)/2),AH24)</f>
        <v/>
      </c>
      <c r="AK24" s="16">
        <f>IF((((AH24+AI24)/2)+(C24/(DATOS!$B$14*((AH24+AI24)/2)))^2/(2*9.81)+B24-(E23+(C23/(DATOS!$B$14*E23))^2/(2*9.81)+B23+0.5*(((DATOS!$B$27*C23/(DATOS!$B$14*E23))^2/((DATOS!$B$14*E23)/(DATOS!$B$14+2*E23))^(4/3))+((DATOS!$B$27*C24/(DATOS!$B$14*((AH24+AI24)/2)))^2/((DATOS!$B$14*((AH24+AI24)/2))/(DATOS!$B$14+2*((AH24+AI24)/2)))^(4/3)))*(A23-A24)))&lt;0,AI24,((AH24+AI24)/2))</f>
        <v/>
      </c>
      <c r="AL24" s="16">
        <f>IF((((AJ24+AK24)/2)+(C24/(DATOS!$B$14*((AJ24+AK24)/2)))^2/(2*9.81)+B24-(E23+(C23/(DATOS!$B$14*E23))^2/(2*9.81)+B23+0.5*(((DATOS!$B$27*C23/(DATOS!$B$14*E23))^2/((DATOS!$B$14*E23)/(DATOS!$B$14+2*E23))^(4/3))+((DATOS!$B$27*C24/(DATOS!$B$14*((AJ24+AK24)/2)))^2/((DATOS!$B$14*((AJ24+AK24)/2))/(DATOS!$B$14+2*((AJ24+AK24)/2)))^(4/3)))*(A23-A24)))&lt;0,((AJ24+AK24)/2),AJ24)</f>
        <v/>
      </c>
      <c r="AM24" s="16">
        <f>IF((((AJ24+AK24)/2)+(C24/(DATOS!$B$14*((AJ24+AK24)/2)))^2/(2*9.81)+B24-(E23+(C23/(DATOS!$B$14*E23))^2/(2*9.81)+B23+0.5*(((DATOS!$B$27*C23/(DATOS!$B$14*E23))^2/((DATOS!$B$14*E23)/(DATOS!$B$14+2*E23))^(4/3))+((DATOS!$B$27*C24/(DATOS!$B$14*((AJ24+AK24)/2)))^2/((DATOS!$B$14*((AJ24+AK24)/2))/(DATOS!$B$14+2*((AJ24+AK24)/2)))^(4/3)))*(A23-A24)))&lt;0,AK24,((AJ24+AK24)/2))</f>
        <v/>
      </c>
      <c r="AN24" s="16">
        <f>IF((((AL24+AM24)/2)+(C24/(DATOS!$B$14*((AL24+AM24)/2)))^2/(2*9.81)+B24-(E23+(C23/(DATOS!$B$14*E23))^2/(2*9.81)+B23+0.5*(((DATOS!$B$27*C23/(DATOS!$B$14*E23))^2/((DATOS!$B$14*E23)/(DATOS!$B$14+2*E23))^(4/3))+((DATOS!$B$27*C24/(DATOS!$B$14*((AL24+AM24)/2)))^2/((DATOS!$B$14*((AL24+AM24)/2))/(DATOS!$B$14+2*((AL24+AM24)/2)))^(4/3)))*(A23-A24)))&lt;0,((AL24+AM24)/2),AL24)</f>
        <v/>
      </c>
      <c r="AO24" s="16">
        <f>IF((((AL24+AM24)/2)+(C24/(DATOS!$B$14*((AL24+AM24)/2)))^2/(2*9.81)+B24-(E23+(C23/(DATOS!$B$14*E23))^2/(2*9.81)+B23+0.5*(((DATOS!$B$27*C23/(DATOS!$B$14*E23))^2/((DATOS!$B$14*E23)/(DATOS!$B$14+2*E23))^(4/3))+((DATOS!$B$27*C24/(DATOS!$B$14*((AL24+AM24)/2)))^2/((DATOS!$B$14*((AL24+AM24)/2))/(DATOS!$B$14+2*((AL24+AM24)/2)))^(4/3)))*(A23-A24)))&lt;0,AM24,((AL24+AM24)/2))</f>
        <v/>
      </c>
      <c r="AP24" s="16">
        <f>IF((((AN24+AO24)/2)+(C24/(DATOS!$B$14*((AN24+AO24)/2)))^2/(2*9.81)+B24-(E23+(C23/(DATOS!$B$14*E23))^2/(2*9.81)+B23+0.5*(((DATOS!$B$27*C23/(DATOS!$B$14*E23))^2/((DATOS!$B$14*E23)/(DATOS!$B$14+2*E23))^(4/3))+((DATOS!$B$27*C24/(DATOS!$B$14*((AN24+AO24)/2)))^2/((DATOS!$B$14*((AN24+AO24)/2))/(DATOS!$B$14+2*((AN24+AO24)/2)))^(4/3)))*(A23-A24)))&lt;0,((AN24+AO24)/2),AN24)</f>
        <v/>
      </c>
      <c r="AQ24" s="16">
        <f>IF((((AN24+AO24)/2)+(C24/(DATOS!$B$14*((AN24+AO24)/2)))^2/(2*9.81)+B24-(E23+(C23/(DATOS!$B$14*E23))^2/(2*9.81)+B23+0.5*(((DATOS!$B$27*C23/(DATOS!$B$14*E23))^2/((DATOS!$B$14*E23)/(DATOS!$B$14+2*E23))^(4/3))+((DATOS!$B$27*C24/(DATOS!$B$14*((AN24+AO24)/2)))^2/((DATOS!$B$14*((AN24+AO24)/2))/(DATOS!$B$14+2*((AN24+AO24)/2)))^(4/3)))*(A23-A24)))&lt;0,AO24,((AN24+AO24)/2))</f>
        <v/>
      </c>
      <c r="AR24" s="16">
        <f>IF((((AP24+AQ24)/2)+(C24/(DATOS!$B$14*((AP24+AQ24)/2)))^2/(2*9.81)+B24-(E23+(C23/(DATOS!$B$14*E23))^2/(2*9.81)+B23+0.5*(((DATOS!$B$27*C23/(DATOS!$B$14*E23))^2/((DATOS!$B$14*E23)/(DATOS!$B$14+2*E23))^(4/3))+((DATOS!$B$27*C24/(DATOS!$B$14*((AP24+AQ24)/2)))^2/((DATOS!$B$14*((AP24+AQ24)/2))/(DATOS!$B$14+2*((AP24+AQ24)/2)))^(4/3)))*(A23-A24)))&lt;0,((AP24+AQ24)/2),AP24)</f>
        <v/>
      </c>
      <c r="AS24" s="16">
        <f>IF((((AP24+AQ24)/2)+(C24/(DATOS!$B$14*((AP24+AQ24)/2)))^2/(2*9.81)+B24-(E23+(C23/(DATOS!$B$14*E23))^2/(2*9.81)+B23+0.5*(((DATOS!$B$27*C23/(DATOS!$B$14*E23))^2/((DATOS!$B$14*E23)/(DATOS!$B$14+2*E23))^(4/3))+((DATOS!$B$27*C24/(DATOS!$B$14*((AP24+AQ24)/2)))^2/((DATOS!$B$14*((AP24+AQ24)/2))/(DATOS!$B$14+2*((AP24+AQ24)/2)))^(4/3)))*(A23-A24)))&lt;0,AQ24,((AP24+AQ24)/2))</f>
        <v/>
      </c>
      <c r="AT24" s="16">
        <f>IF((((AR24+AS24)/2)+(C24/(DATOS!$B$14*((AR24+AS24)/2)))^2/(2*9.81)+B24-(E23+(C23/(DATOS!$B$14*E23))^2/(2*9.81)+B23+0.5*(((DATOS!$B$27*C23/(DATOS!$B$14*E23))^2/((DATOS!$B$14*E23)/(DATOS!$B$14+2*E23))^(4/3))+((DATOS!$B$27*C24/(DATOS!$B$14*((AR24+AS24)/2)))^2/((DATOS!$B$14*((AR24+AS24)/2))/(DATOS!$B$14+2*((AR24+AS24)/2)))^(4/3)))*(A23-A24)))&lt;0,((AR24+AS24)/2),AR24)</f>
        <v/>
      </c>
      <c r="AU24" s="16">
        <f>IF((((AR24+AS24)/2)+(C24/(DATOS!$B$14*((AR24+AS24)/2)))^2/(2*9.81)+B24-(E23+(C23/(DATOS!$B$14*E23))^2/(2*9.81)+B23+0.5*(((DATOS!$B$27*C23/(DATOS!$B$14*E23))^2/((DATOS!$B$14*E23)/(DATOS!$B$14+2*E23))^(4/3))+((DATOS!$B$27*C24/(DATOS!$B$14*((AR24+AS24)/2)))^2/((DATOS!$B$14*((AR24+AS24)/2))/(DATOS!$B$14+2*((AR24+AS24)/2)))^(4/3)))*(A23-A24)))&lt;0,AS24,((AR24+AS24)/2))</f>
        <v/>
      </c>
      <c r="AV24" s="16">
        <f>IF((((AT24+AU24)/2)+(C24/(DATOS!$B$14*((AT24+AU24)/2)))^2/(2*9.81)+B24-(E23+(C23/(DATOS!$B$14*E23))^2/(2*9.81)+B23+0.5*(((DATOS!$B$27*C23/(DATOS!$B$14*E23))^2/((DATOS!$B$14*E23)/(DATOS!$B$14+2*E23))^(4/3))+((DATOS!$B$27*C24/(DATOS!$B$14*((AT24+AU24)/2)))^2/((DATOS!$B$14*((AT24+AU24)/2))/(DATOS!$B$14+2*((AT24+AU24)/2)))^(4/3)))*(A23-A24)))&lt;0,((AT24+AU24)/2),AT24)</f>
        <v/>
      </c>
      <c r="AW24" s="16">
        <f>IF((((AT24+AU24)/2)+(C24/(DATOS!$B$14*((AT24+AU24)/2)))^2/(2*9.81)+B24-(E23+(C23/(DATOS!$B$14*E23))^2/(2*9.81)+B23+0.5*(((DATOS!$B$27*C23/(DATOS!$B$14*E23))^2/((DATOS!$B$14*E23)/(DATOS!$B$14+2*E23))^(4/3))+((DATOS!$B$27*C24/(DATOS!$B$14*((AT24+AU24)/2)))^2/((DATOS!$B$14*((AT24+AU24)/2))/(DATOS!$B$14+2*((AT24+AU24)/2)))^(4/3)))*(A23-A24)))&lt;0,AU24,((AT24+AU24)/2))</f>
        <v/>
      </c>
      <c r="AX24" s="16">
        <f>IF((((AV24+AW24)/2)+(C24/(DATOS!$B$14*((AV24+AW24)/2)))^2/(2*9.81)+B24-(E23+(C23/(DATOS!$B$14*E23))^2/(2*9.81)+B23+0.5*(((DATOS!$B$27*C23/(DATOS!$B$14*E23))^2/((DATOS!$B$14*E23)/(DATOS!$B$14+2*E23))^(4/3))+((DATOS!$B$27*C24/(DATOS!$B$14*((AV24+AW24)/2)))^2/((DATOS!$B$14*((AV24+AW24)/2))/(DATOS!$B$14+2*((AV24+AW24)/2)))^(4/3)))*(A23-A24)))&lt;0,((AV24+AW24)/2),AV24)</f>
        <v/>
      </c>
      <c r="AY24" s="16">
        <f>IF((((AV24+AW24)/2)+(C24/(DATOS!$B$14*((AV24+AW24)/2)))^2/(2*9.81)+B24-(E23+(C23/(DATOS!$B$14*E23))^2/(2*9.81)+B23+0.5*(((DATOS!$B$27*C23/(DATOS!$B$14*E23))^2/((DATOS!$B$14*E23)/(DATOS!$B$14+2*E23))^(4/3))+((DATOS!$B$27*C24/(DATOS!$B$14*((AV24+AW24)/2)))^2/((DATOS!$B$14*((AV24+AW24)/2))/(DATOS!$B$14+2*((AV24+AW24)/2)))^(4/3)))*(A23-A24)))&lt;0,AW24,((AV24+AW24)/2))</f>
        <v/>
      </c>
      <c r="AZ24" s="16">
        <f>IF((((AX24+AY24)/2)+(C24/(DATOS!$B$14*((AX24+AY24)/2)))^2/(2*9.81)+B24-(E23+(C23/(DATOS!$B$14*E23))^2/(2*9.81)+B23+0.5*(((DATOS!$B$27*C23/(DATOS!$B$14*E23))^2/((DATOS!$B$14*E23)/(DATOS!$B$14+2*E23))^(4/3))+((DATOS!$B$27*C24/(DATOS!$B$14*((AX24+AY24)/2)))^2/((DATOS!$B$14*((AX24+AY24)/2))/(DATOS!$B$14+2*((AX24+AY24)/2)))^(4/3)))*(A23-A24)))&lt;0,((AX24+AY24)/2),AX24)</f>
        <v/>
      </c>
      <c r="BA24" s="16">
        <f>IF((((AX24+AY24)/2)+(C24/(DATOS!$B$14*((AX24+AY24)/2)))^2/(2*9.81)+B24-(E23+(C23/(DATOS!$B$14*E23))^2/(2*9.81)+B23+0.5*(((DATOS!$B$27*C23/(DATOS!$B$14*E23))^2/((DATOS!$B$14*E23)/(DATOS!$B$14+2*E23))^(4/3))+((DATOS!$B$27*C24/(DATOS!$B$14*((AX24+AY24)/2)))^2/((DATOS!$B$14*((AX24+AY24)/2))/(DATOS!$B$14+2*((AX24+AY24)/2)))^(4/3)))*(A23-A24)))&lt;0,AY24,((AX24+AY24)/2))</f>
        <v/>
      </c>
      <c r="BB24" s="16">
        <f>IF((((AZ24+BA24)/2)+(C24/(DATOS!$B$14*((AZ24+BA24)/2)))^2/(2*9.81)+B24-(E23+(C23/(DATOS!$B$14*E23))^2/(2*9.81)+B23+0.5*(((DATOS!$B$27*C23/(DATOS!$B$14*E23))^2/((DATOS!$B$14*E23)/(DATOS!$B$14+2*E23))^(4/3))+((DATOS!$B$27*C24/(DATOS!$B$14*((AZ24+BA24)/2)))^2/((DATOS!$B$14*((AZ24+BA24)/2))/(DATOS!$B$14+2*((AZ24+BA24)/2)))^(4/3)))*(A23-A24)))&lt;0,((AZ24+BA24)/2),AZ24)</f>
        <v/>
      </c>
      <c r="BC24" s="16">
        <f>IF((((AZ24+BA24)/2)+(C24/(DATOS!$B$14*((AZ24+BA24)/2)))^2/(2*9.81)+B24-(E23+(C23/(DATOS!$B$14*E23))^2/(2*9.81)+B23+0.5*(((DATOS!$B$27*C23/(DATOS!$B$14*E23))^2/((DATOS!$B$14*E23)/(DATOS!$B$14+2*E23))^(4/3))+((DATOS!$B$27*C24/(DATOS!$B$14*((AZ24+BA24)/2)))^2/((DATOS!$B$14*((AZ24+BA24)/2))/(DATOS!$B$14+2*((AZ24+BA24)/2)))^(4/3)))*(A23-A24)))&lt;0,BA24,((AZ24+BA24)/2))</f>
        <v/>
      </c>
      <c r="BD24" s="16">
        <f>IF((((BB24+BC24)/2)+(C24/(DATOS!$B$14*((BB24+BC24)/2)))^2/(2*9.81)+B24-(E23+(C23/(DATOS!$B$14*E23))^2/(2*9.81)+B23+0.5*(((DATOS!$B$27*C23/(DATOS!$B$14*E23))^2/((DATOS!$B$14*E23)/(DATOS!$B$14+2*E23))^(4/3))+((DATOS!$B$27*C24/(DATOS!$B$14*((BB24+BC24)/2)))^2/((DATOS!$B$14*((BB24+BC24)/2))/(DATOS!$B$14+2*((BB24+BC24)/2)))^(4/3)))*(A23-A24)))&lt;0,((BB24+BC24)/2),BB24)</f>
        <v/>
      </c>
      <c r="BE24" s="16">
        <f>IF((((BB24+BC24)/2)+(C24/(DATOS!$B$14*((BB24+BC24)/2)))^2/(2*9.81)+B24-(E23+(C23/(DATOS!$B$14*E23))^2/(2*9.81)+B23+0.5*(((DATOS!$B$27*C23/(DATOS!$B$14*E23))^2/((DATOS!$B$14*E23)/(DATOS!$B$14+2*E23))^(4/3))+((DATOS!$B$27*C24/(DATOS!$B$14*((BB24+BC24)/2)))^2/((DATOS!$B$14*((BB24+BC24)/2))/(DATOS!$B$14+2*((BB24+BC24)/2)))^(4/3)))*(A23-A24)))&lt;0,BC24,((BB24+BC24)/2))</f>
        <v/>
      </c>
      <c r="BF24" s="16">
        <f>IF((((BD24+BE24)/2)+(C24/(DATOS!$B$14*((BD24+BE24)/2)))^2/(2*9.81)+B24-(E23+(C23/(DATOS!$B$14*E23))^2/(2*9.81)+B23+0.5*(((DATOS!$B$27*C23/(DATOS!$B$14*E23))^2/((DATOS!$B$14*E23)/(DATOS!$B$14+2*E23))^(4/3))+((DATOS!$B$27*C24/(DATOS!$B$14*((BD24+BE24)/2)))^2/((DATOS!$B$14*((BD24+BE24)/2))/(DATOS!$B$14+2*((BD24+BE24)/2)))^(4/3)))*(A23-A24)))&lt;0,((BD24+BE24)/2),BD24)</f>
        <v/>
      </c>
      <c r="BG24" s="16">
        <f>IF((((BD24+BE24)/2)+(C24/(DATOS!$B$14*((BD24+BE24)/2)))^2/(2*9.81)+B24-(E23+(C23/(DATOS!$B$14*E23))^2/(2*9.81)+B23+0.5*(((DATOS!$B$27*C23/(DATOS!$B$14*E23))^2/((DATOS!$B$14*E23)/(DATOS!$B$14+2*E23))^(4/3))+((DATOS!$B$27*C24/(DATOS!$B$14*((BD24+BE24)/2)))^2/((DATOS!$B$14*((BD24+BE24)/2))/(DATOS!$B$14+2*((BD24+BE24)/2)))^(4/3)))*(A23-A24)))&lt;0,BE24,((BD24+BE24)/2))</f>
        <v/>
      </c>
      <c r="BH24" s="16">
        <f>IF((((BF24+BG24)/2)+(C24/(DATOS!$B$14*((BF24+BG24)/2)))^2/(2*9.81)+B24-(E23+(C23/(DATOS!$B$14*E23))^2/(2*9.81)+B23+0.5*(((DATOS!$B$27*C23/(DATOS!$B$14*E23))^2/((DATOS!$B$14*E23)/(DATOS!$B$14+2*E23))^(4/3))+((DATOS!$B$27*C24/(DATOS!$B$14*((BF24+BG24)/2)))^2/((DATOS!$B$14*((BF24+BG24)/2))/(DATOS!$B$14+2*((BF24+BG24)/2)))^(4/3)))*(A23-A24)))&lt;0,((BF24+BG24)/2),BF24)</f>
        <v/>
      </c>
      <c r="BI24" s="16">
        <f>IF((((BF24+BG24)/2)+(C24/(DATOS!$B$14*((BF24+BG24)/2)))^2/(2*9.81)+B24-(E23+(C23/(DATOS!$B$14*E23))^2/(2*9.81)+B23+0.5*(((DATOS!$B$27*C23/(DATOS!$B$14*E23))^2/((DATOS!$B$14*E23)/(DATOS!$B$14+2*E23))^(4/3))+((DATOS!$B$27*C24/(DATOS!$B$14*((BF24+BG24)/2)))^2/((DATOS!$B$14*((BF24+BG24)/2))/(DATOS!$B$14+2*((BF24+BG24)/2)))^(4/3)))*(A23-A24)))&lt;0,BG24,((BF24+BG24)/2))</f>
        <v/>
      </c>
      <c r="BJ24" s="16">
        <f>IF((((BH24+BI24)/2)+(C24/(DATOS!$B$14*((BH24+BI24)/2)))^2/(2*9.81)+B24-(E23+(C23/(DATOS!$B$14*E23))^2/(2*9.81)+B23+0.5*(((DATOS!$B$27*C23/(DATOS!$B$14*E23))^2/((DATOS!$B$14*E23)/(DATOS!$B$14+2*E23))^(4/3))+((DATOS!$B$27*C24/(DATOS!$B$14*((BH24+BI24)/2)))^2/((DATOS!$B$14*((BH24+BI24)/2))/(DATOS!$B$14+2*((BH24+BI24)/2)))^(4/3)))*(A23-A24)))&lt;0,((BH24+BI24)/2),BH24)</f>
        <v/>
      </c>
      <c r="BK24" s="16">
        <f>IF((((BH24+BI24)/2)+(C24/(DATOS!$B$14*((BH24+BI24)/2)))^2/(2*9.81)+B24-(E23+(C23/(DATOS!$B$14*E23))^2/(2*9.81)+B23+0.5*(((DATOS!$B$27*C23/(DATOS!$B$14*E23))^2/((DATOS!$B$14*E23)/(DATOS!$B$14+2*E23))^(4/3))+((DATOS!$B$27*C24/(DATOS!$B$14*((BH24+BI24)/2)))^2/((DATOS!$B$14*((BH24+BI24)/2))/(DATOS!$B$14+2*((BH24+BI24)/2)))^(4/3)))*(A23-A24)))&lt;0,BI24,((BH24+BI24)/2))</f>
        <v/>
      </c>
      <c r="BL24" s="16">
        <f>IF((((BJ24+BK24)/2)+(C24/(DATOS!$B$14*((BJ24+BK24)/2)))^2/(2*9.81)+B24-(E23+(C23/(DATOS!$B$14*E23))^2/(2*9.81)+B23+0.5*(((DATOS!$B$27*C23/(DATOS!$B$14*E23))^2/((DATOS!$B$14*E23)/(DATOS!$B$14+2*E23))^(4/3))+((DATOS!$B$27*C24/(DATOS!$B$14*((BJ24+BK24)/2)))^2/((DATOS!$B$14*((BJ24+BK24)/2))/(DATOS!$B$14+2*((BJ24+BK24)/2)))^(4/3)))*(A23-A24)))&lt;0,((BJ24+BK24)/2),BJ24)</f>
        <v/>
      </c>
      <c r="BM24" s="16">
        <f>IF((((BJ24+BK24)/2)+(C24/(DATOS!$B$14*((BJ24+BK24)/2)))^2/(2*9.81)+B24-(E23+(C23/(DATOS!$B$14*E23))^2/(2*9.81)+B23+0.5*(((DATOS!$B$27*C23/(DATOS!$B$14*E23))^2/((DATOS!$B$14*E23)/(DATOS!$B$14+2*E23))^(4/3))+((DATOS!$B$27*C24/(DATOS!$B$14*((BJ24+BK24)/2)))^2/((DATOS!$B$14*((BJ24+BK24)/2))/(DATOS!$B$14+2*((BJ24+BK24)/2)))^(4/3)))*(A23-A24)))&lt;0,BK24,((BJ24+BK24)/2))</f>
        <v/>
      </c>
      <c r="BN24" s="16">
        <f>IF((((BL24+BM24)/2)+(C24/(DATOS!$B$14*((BL24+BM24)/2)))^2/(2*9.81)+B24-(E23+(C23/(DATOS!$B$14*E23))^2/(2*9.81)+B23+0.5*(((DATOS!$B$27*C23/(DATOS!$B$14*E23))^2/((DATOS!$B$14*E23)/(DATOS!$B$14+2*E23))^(4/3))+((DATOS!$B$27*C24/(DATOS!$B$14*((BL24+BM24)/2)))^2/((DATOS!$B$14*((BL24+BM24)/2))/(DATOS!$B$14+2*((BL24+BM24)/2)))^(4/3)))*(A23-A24)))&lt;0,((BL24+BM24)/2),BL24)</f>
        <v/>
      </c>
      <c r="BO24" s="16">
        <f>IF((((BL24+BM24)/2)+(C24/(DATOS!$B$14*((BL24+BM24)/2)))^2/(2*9.81)+B24-(E23+(C23/(DATOS!$B$14*E23))^2/(2*9.81)+B23+0.5*(((DATOS!$B$27*C23/(DATOS!$B$14*E23))^2/((DATOS!$B$14*E23)/(DATOS!$B$14+2*E23))^(4/3))+((DATOS!$B$27*C24/(DATOS!$B$14*((BL24+BM24)/2)))^2/((DATOS!$B$14*((BL24+BM24)/2))/(DATOS!$B$14+2*((BL24+BM24)/2)))^(4/3)))*(A23-A24)))&lt;0,BM24,((BL24+BM24)/2))</f>
        <v/>
      </c>
      <c r="BP24" s="16">
        <f>IF((((BN24+BO24)/2)+(C24/(DATOS!$B$14*((BN24+BO24)/2)))^2/(2*9.81)+B24-(E23+(C23/(DATOS!$B$14*E23))^2/(2*9.81)+B23+0.5*(((DATOS!$B$27*C23/(DATOS!$B$14*E23))^2/((DATOS!$B$14*E23)/(DATOS!$B$14+2*E23))^(4/3))+((DATOS!$B$27*C24/(DATOS!$B$14*((BN24+BO24)/2)))^2/((DATOS!$B$14*((BN24+BO24)/2))/(DATOS!$B$14+2*((BN24+BO24)/2)))^(4/3)))*(A23-A24)))&lt;0,((BN24+BO24)/2),BN24)</f>
        <v/>
      </c>
      <c r="BQ24" s="16">
        <f>IF((((BN24+BO24)/2)+(C24/(DATOS!$B$14*((BN24+BO24)/2)))^2/(2*9.81)+B24-(E23+(C23/(DATOS!$B$14*E23))^2/(2*9.81)+B23+0.5*(((DATOS!$B$27*C23/(DATOS!$B$14*E23))^2/((DATOS!$B$14*E23)/(DATOS!$B$14+2*E23))^(4/3))+((DATOS!$B$27*C24/(DATOS!$B$14*((BN24+BO24)/2)))^2/((DATOS!$B$14*((BN24+BO24)/2))/(DATOS!$B$14+2*((BN24+BO24)/2)))^(4/3)))*(A23-A24)))&lt;0,BO24,((BN24+BO24)/2))</f>
        <v/>
      </c>
      <c r="BR24" s="16">
        <f>IF((((BP24+BQ24)/2)+(C24/(DATOS!$B$14*((BP24+BQ24)/2)))^2/(2*9.81)+B24-(E23+(C23/(DATOS!$B$14*E23))^2/(2*9.81)+B23+0.5*(((DATOS!$B$27*C23/(DATOS!$B$14*E23))^2/((DATOS!$B$14*E23)/(DATOS!$B$14+2*E23))^(4/3))+((DATOS!$B$27*C24/(DATOS!$B$14*((BP24+BQ24)/2)))^2/((DATOS!$B$14*((BP24+BQ24)/2))/(DATOS!$B$14+2*((BP24+BQ24)/2)))^(4/3)))*(A23-A24)))&lt;0,((BP24+BQ24)/2),BP24)</f>
        <v/>
      </c>
      <c r="BS24" s="16">
        <f>IF((((BP24+BQ24)/2)+(C24/(DATOS!$B$14*((BP24+BQ24)/2)))^2/(2*9.81)+B24-(E23+(C23/(DATOS!$B$14*E23))^2/(2*9.81)+B23+0.5*(((DATOS!$B$27*C23/(DATOS!$B$14*E23))^2/((DATOS!$B$14*E23)/(DATOS!$B$14+2*E23))^(4/3))+((DATOS!$B$27*C24/(DATOS!$B$14*((BP24+BQ24)/2)))^2/((DATOS!$B$14*((BP24+BQ24)/2))/(DATOS!$B$14+2*((BP24+BQ24)/2)))^(4/3)))*(A23-A24)))&lt;0,BQ24,((BP24+BQ24)/2))</f>
        <v/>
      </c>
      <c r="BT24" s="16">
        <f>IF((((BR24+BS24)/2)+(C24/(DATOS!$B$14*((BR24+BS24)/2)))^2/(2*9.81)+B24-(E23+(C23/(DATOS!$B$14*E23))^2/(2*9.81)+B23+0.5*(((DATOS!$B$27*C23/(DATOS!$B$14*E23))^2/((DATOS!$B$14*E23)/(DATOS!$B$14+2*E23))^(4/3))+((DATOS!$B$27*C24/(DATOS!$B$14*((BR24+BS24)/2)))^2/((DATOS!$B$14*((BR24+BS24)/2))/(DATOS!$B$14+2*((BR24+BS24)/2)))^(4/3)))*(A23-A24)))&lt;0,((BR24+BS24)/2),BR24)</f>
        <v/>
      </c>
      <c r="BU24" s="16">
        <f>IF((((BR24+BS24)/2)+(C24/(DATOS!$B$14*((BR24+BS24)/2)))^2/(2*9.81)+B24-(E23+(C23/(DATOS!$B$14*E23))^2/(2*9.81)+B23+0.5*(((DATOS!$B$27*C23/(DATOS!$B$14*E23))^2/((DATOS!$B$14*E23)/(DATOS!$B$14+2*E23))^(4/3))+((DATOS!$B$27*C24/(DATOS!$B$14*((BR24+BS24)/2)))^2/((DATOS!$B$14*((BR24+BS24)/2))/(DATOS!$B$14+2*((BR24+BS24)/2)))^(4/3)))*(A23-A24)))&lt;0,BS24,((BR24+BS24)/2))</f>
        <v/>
      </c>
    </row>
    <row r="25">
      <c r="A25" s="30" t="n">
        <v>100</v>
      </c>
      <c r="B25" s="21">
        <f>DATOS!$B$16-DATOS!$B$19*A25</f>
        <v/>
      </c>
      <c r="C25" s="21">
        <f>IF(A25&lt;CAUDALES!$B$13,CAUDALES!$D$12,IF(A25&lt;CAUDALES!$B$14,CAUDALES!$D$13,IF(A25&lt;CAUDALES!$B$15,CAUDALES!$D$14,CAUDALES!$D$15)))/1000</f>
        <v/>
      </c>
      <c r="D25" s="21">
        <f>(C25^2/(9.81*DATOS!$B$14^2))^(1/3)</f>
        <v/>
      </c>
      <c r="E25" s="29">
        <f>(BT25+BU25)/2</f>
        <v/>
      </c>
      <c r="F25" s="21">
        <f>B25+E25</f>
        <v/>
      </c>
      <c r="G25" s="17">
        <f>C25/(DATOS!$B$14*E25)</f>
        <v/>
      </c>
      <c r="H25" s="17">
        <f>G25/SQRT(9.81*E25)</f>
        <v/>
      </c>
      <c r="I25" s="21">
        <f>IF(A25&lt;=DATOS!$B$20,DATOS!$B$21-IF(AND(A25&gt;=DATOS!$B$23,A25&lt;DATOS!$B$24),DATOS!$B$25,DATOS!$B$22),B25+DATOS!$B$26)</f>
        <v/>
      </c>
      <c r="J25" s="17">
        <f>I25-B25</f>
        <v/>
      </c>
      <c r="K25" s="31">
        <f>E25/J25</f>
        <v/>
      </c>
      <c r="L25" s="21">
        <f>I25-F25</f>
        <v/>
      </c>
      <c r="M25" s="32">
        <f>IF(AND(K25&lt;=DATOS!$B$29,L25&gt;=DATOS!$B$30),"CUMPLE","NO CUMPLE")</f>
        <v/>
      </c>
      <c r="N25" s="13">
        <f>IF(A25&gt;DATOS!$B$20,"cubierto - tramo final",IF(AND(A25&gt;=DATOS!$B$23,A25&lt;DATOS!$B$24),"cubierto - camiones","cubierto"))</f>
        <v/>
      </c>
      <c r="P25" s="16">
        <f>D25*1.001</f>
        <v/>
      </c>
      <c r="Q25" s="16" t="n">
        <v>2</v>
      </c>
      <c r="R25" s="16">
        <f>IF((((P25+Q25)/2)+(C25/(DATOS!$B$14*((P25+Q25)/2)))^2/(2*9.81)+B25-(E24+(C24/(DATOS!$B$14*E24))^2/(2*9.81)+B24+0.5*(((DATOS!$B$27*C24/(DATOS!$B$14*E24))^2/((DATOS!$B$14*E24)/(DATOS!$B$14+2*E24))^(4/3))+((DATOS!$B$27*C25/(DATOS!$B$14*((P25+Q25)/2)))^2/((DATOS!$B$14*((P25+Q25)/2))/(DATOS!$B$14+2*((P25+Q25)/2)))^(4/3)))*(A24-A25)))&lt;0,((P25+Q25)/2),P25)</f>
        <v/>
      </c>
      <c r="S25" s="16">
        <f>IF((((P25+Q25)/2)+(C25/(DATOS!$B$14*((P25+Q25)/2)))^2/(2*9.81)+B25-(E24+(C24/(DATOS!$B$14*E24))^2/(2*9.81)+B24+0.5*(((DATOS!$B$27*C24/(DATOS!$B$14*E24))^2/((DATOS!$B$14*E24)/(DATOS!$B$14+2*E24))^(4/3))+((DATOS!$B$27*C25/(DATOS!$B$14*((P25+Q25)/2)))^2/((DATOS!$B$14*((P25+Q25)/2))/(DATOS!$B$14+2*((P25+Q25)/2)))^(4/3)))*(A24-A25)))&lt;0,Q25,((P25+Q25)/2))</f>
        <v/>
      </c>
      <c r="T25" s="16">
        <f>IF((((R25+S25)/2)+(C25/(DATOS!$B$14*((R25+S25)/2)))^2/(2*9.81)+B25-(E24+(C24/(DATOS!$B$14*E24))^2/(2*9.81)+B24+0.5*(((DATOS!$B$27*C24/(DATOS!$B$14*E24))^2/((DATOS!$B$14*E24)/(DATOS!$B$14+2*E24))^(4/3))+((DATOS!$B$27*C25/(DATOS!$B$14*((R25+S25)/2)))^2/((DATOS!$B$14*((R25+S25)/2))/(DATOS!$B$14+2*((R25+S25)/2)))^(4/3)))*(A24-A25)))&lt;0,((R25+S25)/2),R25)</f>
        <v/>
      </c>
      <c r="U25" s="16">
        <f>IF((((R25+S25)/2)+(C25/(DATOS!$B$14*((R25+S25)/2)))^2/(2*9.81)+B25-(E24+(C24/(DATOS!$B$14*E24))^2/(2*9.81)+B24+0.5*(((DATOS!$B$27*C24/(DATOS!$B$14*E24))^2/((DATOS!$B$14*E24)/(DATOS!$B$14+2*E24))^(4/3))+((DATOS!$B$27*C25/(DATOS!$B$14*((R25+S25)/2)))^2/((DATOS!$B$14*((R25+S25)/2))/(DATOS!$B$14+2*((R25+S25)/2)))^(4/3)))*(A24-A25)))&lt;0,S25,((R25+S25)/2))</f>
        <v/>
      </c>
      <c r="V25" s="16">
        <f>IF((((T25+U25)/2)+(C25/(DATOS!$B$14*((T25+U25)/2)))^2/(2*9.81)+B25-(E24+(C24/(DATOS!$B$14*E24))^2/(2*9.81)+B24+0.5*(((DATOS!$B$27*C24/(DATOS!$B$14*E24))^2/((DATOS!$B$14*E24)/(DATOS!$B$14+2*E24))^(4/3))+((DATOS!$B$27*C25/(DATOS!$B$14*((T25+U25)/2)))^2/((DATOS!$B$14*((T25+U25)/2))/(DATOS!$B$14+2*((T25+U25)/2)))^(4/3)))*(A24-A25)))&lt;0,((T25+U25)/2),T25)</f>
        <v/>
      </c>
      <c r="W25" s="16">
        <f>IF((((T25+U25)/2)+(C25/(DATOS!$B$14*((T25+U25)/2)))^2/(2*9.81)+B25-(E24+(C24/(DATOS!$B$14*E24))^2/(2*9.81)+B24+0.5*(((DATOS!$B$27*C24/(DATOS!$B$14*E24))^2/((DATOS!$B$14*E24)/(DATOS!$B$14+2*E24))^(4/3))+((DATOS!$B$27*C25/(DATOS!$B$14*((T25+U25)/2)))^2/((DATOS!$B$14*((T25+U25)/2))/(DATOS!$B$14+2*((T25+U25)/2)))^(4/3)))*(A24-A25)))&lt;0,U25,((T25+U25)/2))</f>
        <v/>
      </c>
      <c r="X25" s="16">
        <f>IF((((V25+W25)/2)+(C25/(DATOS!$B$14*((V25+W25)/2)))^2/(2*9.81)+B25-(E24+(C24/(DATOS!$B$14*E24))^2/(2*9.81)+B24+0.5*(((DATOS!$B$27*C24/(DATOS!$B$14*E24))^2/((DATOS!$B$14*E24)/(DATOS!$B$14+2*E24))^(4/3))+((DATOS!$B$27*C25/(DATOS!$B$14*((V25+W25)/2)))^2/((DATOS!$B$14*((V25+W25)/2))/(DATOS!$B$14+2*((V25+W25)/2)))^(4/3)))*(A24-A25)))&lt;0,((V25+W25)/2),V25)</f>
        <v/>
      </c>
      <c r="Y25" s="16">
        <f>IF((((V25+W25)/2)+(C25/(DATOS!$B$14*((V25+W25)/2)))^2/(2*9.81)+B25-(E24+(C24/(DATOS!$B$14*E24))^2/(2*9.81)+B24+0.5*(((DATOS!$B$27*C24/(DATOS!$B$14*E24))^2/((DATOS!$B$14*E24)/(DATOS!$B$14+2*E24))^(4/3))+((DATOS!$B$27*C25/(DATOS!$B$14*((V25+W25)/2)))^2/((DATOS!$B$14*((V25+W25)/2))/(DATOS!$B$14+2*((V25+W25)/2)))^(4/3)))*(A24-A25)))&lt;0,W25,((V25+W25)/2))</f>
        <v/>
      </c>
      <c r="Z25" s="16">
        <f>IF((((X25+Y25)/2)+(C25/(DATOS!$B$14*((X25+Y25)/2)))^2/(2*9.81)+B25-(E24+(C24/(DATOS!$B$14*E24))^2/(2*9.81)+B24+0.5*(((DATOS!$B$27*C24/(DATOS!$B$14*E24))^2/((DATOS!$B$14*E24)/(DATOS!$B$14+2*E24))^(4/3))+((DATOS!$B$27*C25/(DATOS!$B$14*((X25+Y25)/2)))^2/((DATOS!$B$14*((X25+Y25)/2))/(DATOS!$B$14+2*((X25+Y25)/2)))^(4/3)))*(A24-A25)))&lt;0,((X25+Y25)/2),X25)</f>
        <v/>
      </c>
      <c r="AA25" s="16">
        <f>IF((((X25+Y25)/2)+(C25/(DATOS!$B$14*((X25+Y25)/2)))^2/(2*9.81)+B25-(E24+(C24/(DATOS!$B$14*E24))^2/(2*9.81)+B24+0.5*(((DATOS!$B$27*C24/(DATOS!$B$14*E24))^2/((DATOS!$B$14*E24)/(DATOS!$B$14+2*E24))^(4/3))+((DATOS!$B$27*C25/(DATOS!$B$14*((X25+Y25)/2)))^2/((DATOS!$B$14*((X25+Y25)/2))/(DATOS!$B$14+2*((X25+Y25)/2)))^(4/3)))*(A24-A25)))&lt;0,Y25,((X25+Y25)/2))</f>
        <v/>
      </c>
      <c r="AB25" s="16">
        <f>IF((((Z25+AA25)/2)+(C25/(DATOS!$B$14*((Z25+AA25)/2)))^2/(2*9.81)+B25-(E24+(C24/(DATOS!$B$14*E24))^2/(2*9.81)+B24+0.5*(((DATOS!$B$27*C24/(DATOS!$B$14*E24))^2/((DATOS!$B$14*E24)/(DATOS!$B$14+2*E24))^(4/3))+((DATOS!$B$27*C25/(DATOS!$B$14*((Z25+AA25)/2)))^2/((DATOS!$B$14*((Z25+AA25)/2))/(DATOS!$B$14+2*((Z25+AA25)/2)))^(4/3)))*(A24-A25)))&lt;0,((Z25+AA25)/2),Z25)</f>
        <v/>
      </c>
      <c r="AC25" s="16">
        <f>IF((((Z25+AA25)/2)+(C25/(DATOS!$B$14*((Z25+AA25)/2)))^2/(2*9.81)+B25-(E24+(C24/(DATOS!$B$14*E24))^2/(2*9.81)+B24+0.5*(((DATOS!$B$27*C24/(DATOS!$B$14*E24))^2/((DATOS!$B$14*E24)/(DATOS!$B$14+2*E24))^(4/3))+((DATOS!$B$27*C25/(DATOS!$B$14*((Z25+AA25)/2)))^2/((DATOS!$B$14*((Z25+AA25)/2))/(DATOS!$B$14+2*((Z25+AA25)/2)))^(4/3)))*(A24-A25)))&lt;0,AA25,((Z25+AA25)/2))</f>
        <v/>
      </c>
      <c r="AD25" s="16">
        <f>IF((((AB25+AC25)/2)+(C25/(DATOS!$B$14*((AB25+AC25)/2)))^2/(2*9.81)+B25-(E24+(C24/(DATOS!$B$14*E24))^2/(2*9.81)+B24+0.5*(((DATOS!$B$27*C24/(DATOS!$B$14*E24))^2/((DATOS!$B$14*E24)/(DATOS!$B$14+2*E24))^(4/3))+((DATOS!$B$27*C25/(DATOS!$B$14*((AB25+AC25)/2)))^2/((DATOS!$B$14*((AB25+AC25)/2))/(DATOS!$B$14+2*((AB25+AC25)/2)))^(4/3)))*(A24-A25)))&lt;0,((AB25+AC25)/2),AB25)</f>
        <v/>
      </c>
      <c r="AE25" s="16">
        <f>IF((((AB25+AC25)/2)+(C25/(DATOS!$B$14*((AB25+AC25)/2)))^2/(2*9.81)+B25-(E24+(C24/(DATOS!$B$14*E24))^2/(2*9.81)+B24+0.5*(((DATOS!$B$27*C24/(DATOS!$B$14*E24))^2/((DATOS!$B$14*E24)/(DATOS!$B$14+2*E24))^(4/3))+((DATOS!$B$27*C25/(DATOS!$B$14*((AB25+AC25)/2)))^2/((DATOS!$B$14*((AB25+AC25)/2))/(DATOS!$B$14+2*((AB25+AC25)/2)))^(4/3)))*(A24-A25)))&lt;0,AC25,((AB25+AC25)/2))</f>
        <v/>
      </c>
      <c r="AF25" s="16">
        <f>IF((((AD25+AE25)/2)+(C25/(DATOS!$B$14*((AD25+AE25)/2)))^2/(2*9.81)+B25-(E24+(C24/(DATOS!$B$14*E24))^2/(2*9.81)+B24+0.5*(((DATOS!$B$27*C24/(DATOS!$B$14*E24))^2/((DATOS!$B$14*E24)/(DATOS!$B$14+2*E24))^(4/3))+((DATOS!$B$27*C25/(DATOS!$B$14*((AD25+AE25)/2)))^2/((DATOS!$B$14*((AD25+AE25)/2))/(DATOS!$B$14+2*((AD25+AE25)/2)))^(4/3)))*(A24-A25)))&lt;0,((AD25+AE25)/2),AD25)</f>
        <v/>
      </c>
      <c r="AG25" s="16">
        <f>IF((((AD25+AE25)/2)+(C25/(DATOS!$B$14*((AD25+AE25)/2)))^2/(2*9.81)+B25-(E24+(C24/(DATOS!$B$14*E24))^2/(2*9.81)+B24+0.5*(((DATOS!$B$27*C24/(DATOS!$B$14*E24))^2/((DATOS!$B$14*E24)/(DATOS!$B$14+2*E24))^(4/3))+((DATOS!$B$27*C25/(DATOS!$B$14*((AD25+AE25)/2)))^2/((DATOS!$B$14*((AD25+AE25)/2))/(DATOS!$B$14+2*((AD25+AE25)/2)))^(4/3)))*(A24-A25)))&lt;0,AE25,((AD25+AE25)/2))</f>
        <v/>
      </c>
      <c r="AH25" s="16">
        <f>IF((((AF25+AG25)/2)+(C25/(DATOS!$B$14*((AF25+AG25)/2)))^2/(2*9.81)+B25-(E24+(C24/(DATOS!$B$14*E24))^2/(2*9.81)+B24+0.5*(((DATOS!$B$27*C24/(DATOS!$B$14*E24))^2/((DATOS!$B$14*E24)/(DATOS!$B$14+2*E24))^(4/3))+((DATOS!$B$27*C25/(DATOS!$B$14*((AF25+AG25)/2)))^2/((DATOS!$B$14*((AF25+AG25)/2))/(DATOS!$B$14+2*((AF25+AG25)/2)))^(4/3)))*(A24-A25)))&lt;0,((AF25+AG25)/2),AF25)</f>
        <v/>
      </c>
      <c r="AI25" s="16">
        <f>IF((((AF25+AG25)/2)+(C25/(DATOS!$B$14*((AF25+AG25)/2)))^2/(2*9.81)+B25-(E24+(C24/(DATOS!$B$14*E24))^2/(2*9.81)+B24+0.5*(((DATOS!$B$27*C24/(DATOS!$B$14*E24))^2/((DATOS!$B$14*E24)/(DATOS!$B$14+2*E24))^(4/3))+((DATOS!$B$27*C25/(DATOS!$B$14*((AF25+AG25)/2)))^2/((DATOS!$B$14*((AF25+AG25)/2))/(DATOS!$B$14+2*((AF25+AG25)/2)))^(4/3)))*(A24-A25)))&lt;0,AG25,((AF25+AG25)/2))</f>
        <v/>
      </c>
      <c r="AJ25" s="16">
        <f>IF((((AH25+AI25)/2)+(C25/(DATOS!$B$14*((AH25+AI25)/2)))^2/(2*9.81)+B25-(E24+(C24/(DATOS!$B$14*E24))^2/(2*9.81)+B24+0.5*(((DATOS!$B$27*C24/(DATOS!$B$14*E24))^2/((DATOS!$B$14*E24)/(DATOS!$B$14+2*E24))^(4/3))+((DATOS!$B$27*C25/(DATOS!$B$14*((AH25+AI25)/2)))^2/((DATOS!$B$14*((AH25+AI25)/2))/(DATOS!$B$14+2*((AH25+AI25)/2)))^(4/3)))*(A24-A25)))&lt;0,((AH25+AI25)/2),AH25)</f>
        <v/>
      </c>
      <c r="AK25" s="16">
        <f>IF((((AH25+AI25)/2)+(C25/(DATOS!$B$14*((AH25+AI25)/2)))^2/(2*9.81)+B25-(E24+(C24/(DATOS!$B$14*E24))^2/(2*9.81)+B24+0.5*(((DATOS!$B$27*C24/(DATOS!$B$14*E24))^2/((DATOS!$B$14*E24)/(DATOS!$B$14+2*E24))^(4/3))+((DATOS!$B$27*C25/(DATOS!$B$14*((AH25+AI25)/2)))^2/((DATOS!$B$14*((AH25+AI25)/2))/(DATOS!$B$14+2*((AH25+AI25)/2)))^(4/3)))*(A24-A25)))&lt;0,AI25,((AH25+AI25)/2))</f>
        <v/>
      </c>
      <c r="AL25" s="16">
        <f>IF((((AJ25+AK25)/2)+(C25/(DATOS!$B$14*((AJ25+AK25)/2)))^2/(2*9.81)+B25-(E24+(C24/(DATOS!$B$14*E24))^2/(2*9.81)+B24+0.5*(((DATOS!$B$27*C24/(DATOS!$B$14*E24))^2/((DATOS!$B$14*E24)/(DATOS!$B$14+2*E24))^(4/3))+((DATOS!$B$27*C25/(DATOS!$B$14*((AJ25+AK25)/2)))^2/((DATOS!$B$14*((AJ25+AK25)/2))/(DATOS!$B$14+2*((AJ25+AK25)/2)))^(4/3)))*(A24-A25)))&lt;0,((AJ25+AK25)/2),AJ25)</f>
        <v/>
      </c>
      <c r="AM25" s="16">
        <f>IF((((AJ25+AK25)/2)+(C25/(DATOS!$B$14*((AJ25+AK25)/2)))^2/(2*9.81)+B25-(E24+(C24/(DATOS!$B$14*E24))^2/(2*9.81)+B24+0.5*(((DATOS!$B$27*C24/(DATOS!$B$14*E24))^2/((DATOS!$B$14*E24)/(DATOS!$B$14+2*E24))^(4/3))+((DATOS!$B$27*C25/(DATOS!$B$14*((AJ25+AK25)/2)))^2/((DATOS!$B$14*((AJ25+AK25)/2))/(DATOS!$B$14+2*((AJ25+AK25)/2)))^(4/3)))*(A24-A25)))&lt;0,AK25,((AJ25+AK25)/2))</f>
        <v/>
      </c>
      <c r="AN25" s="16">
        <f>IF((((AL25+AM25)/2)+(C25/(DATOS!$B$14*((AL25+AM25)/2)))^2/(2*9.81)+B25-(E24+(C24/(DATOS!$B$14*E24))^2/(2*9.81)+B24+0.5*(((DATOS!$B$27*C24/(DATOS!$B$14*E24))^2/((DATOS!$B$14*E24)/(DATOS!$B$14+2*E24))^(4/3))+((DATOS!$B$27*C25/(DATOS!$B$14*((AL25+AM25)/2)))^2/((DATOS!$B$14*((AL25+AM25)/2))/(DATOS!$B$14+2*((AL25+AM25)/2)))^(4/3)))*(A24-A25)))&lt;0,((AL25+AM25)/2),AL25)</f>
        <v/>
      </c>
      <c r="AO25" s="16">
        <f>IF((((AL25+AM25)/2)+(C25/(DATOS!$B$14*((AL25+AM25)/2)))^2/(2*9.81)+B25-(E24+(C24/(DATOS!$B$14*E24))^2/(2*9.81)+B24+0.5*(((DATOS!$B$27*C24/(DATOS!$B$14*E24))^2/((DATOS!$B$14*E24)/(DATOS!$B$14+2*E24))^(4/3))+((DATOS!$B$27*C25/(DATOS!$B$14*((AL25+AM25)/2)))^2/((DATOS!$B$14*((AL25+AM25)/2))/(DATOS!$B$14+2*((AL25+AM25)/2)))^(4/3)))*(A24-A25)))&lt;0,AM25,((AL25+AM25)/2))</f>
        <v/>
      </c>
      <c r="AP25" s="16">
        <f>IF((((AN25+AO25)/2)+(C25/(DATOS!$B$14*((AN25+AO25)/2)))^2/(2*9.81)+B25-(E24+(C24/(DATOS!$B$14*E24))^2/(2*9.81)+B24+0.5*(((DATOS!$B$27*C24/(DATOS!$B$14*E24))^2/((DATOS!$B$14*E24)/(DATOS!$B$14+2*E24))^(4/3))+((DATOS!$B$27*C25/(DATOS!$B$14*((AN25+AO25)/2)))^2/((DATOS!$B$14*((AN25+AO25)/2))/(DATOS!$B$14+2*((AN25+AO25)/2)))^(4/3)))*(A24-A25)))&lt;0,((AN25+AO25)/2),AN25)</f>
        <v/>
      </c>
      <c r="AQ25" s="16">
        <f>IF((((AN25+AO25)/2)+(C25/(DATOS!$B$14*((AN25+AO25)/2)))^2/(2*9.81)+B25-(E24+(C24/(DATOS!$B$14*E24))^2/(2*9.81)+B24+0.5*(((DATOS!$B$27*C24/(DATOS!$B$14*E24))^2/((DATOS!$B$14*E24)/(DATOS!$B$14+2*E24))^(4/3))+((DATOS!$B$27*C25/(DATOS!$B$14*((AN25+AO25)/2)))^2/((DATOS!$B$14*((AN25+AO25)/2))/(DATOS!$B$14+2*((AN25+AO25)/2)))^(4/3)))*(A24-A25)))&lt;0,AO25,((AN25+AO25)/2))</f>
        <v/>
      </c>
      <c r="AR25" s="16">
        <f>IF((((AP25+AQ25)/2)+(C25/(DATOS!$B$14*((AP25+AQ25)/2)))^2/(2*9.81)+B25-(E24+(C24/(DATOS!$B$14*E24))^2/(2*9.81)+B24+0.5*(((DATOS!$B$27*C24/(DATOS!$B$14*E24))^2/((DATOS!$B$14*E24)/(DATOS!$B$14+2*E24))^(4/3))+((DATOS!$B$27*C25/(DATOS!$B$14*((AP25+AQ25)/2)))^2/((DATOS!$B$14*((AP25+AQ25)/2))/(DATOS!$B$14+2*((AP25+AQ25)/2)))^(4/3)))*(A24-A25)))&lt;0,((AP25+AQ25)/2),AP25)</f>
        <v/>
      </c>
      <c r="AS25" s="16">
        <f>IF((((AP25+AQ25)/2)+(C25/(DATOS!$B$14*((AP25+AQ25)/2)))^2/(2*9.81)+B25-(E24+(C24/(DATOS!$B$14*E24))^2/(2*9.81)+B24+0.5*(((DATOS!$B$27*C24/(DATOS!$B$14*E24))^2/((DATOS!$B$14*E24)/(DATOS!$B$14+2*E24))^(4/3))+((DATOS!$B$27*C25/(DATOS!$B$14*((AP25+AQ25)/2)))^2/((DATOS!$B$14*((AP25+AQ25)/2))/(DATOS!$B$14+2*((AP25+AQ25)/2)))^(4/3)))*(A24-A25)))&lt;0,AQ25,((AP25+AQ25)/2))</f>
        <v/>
      </c>
      <c r="AT25" s="16">
        <f>IF((((AR25+AS25)/2)+(C25/(DATOS!$B$14*((AR25+AS25)/2)))^2/(2*9.81)+B25-(E24+(C24/(DATOS!$B$14*E24))^2/(2*9.81)+B24+0.5*(((DATOS!$B$27*C24/(DATOS!$B$14*E24))^2/((DATOS!$B$14*E24)/(DATOS!$B$14+2*E24))^(4/3))+((DATOS!$B$27*C25/(DATOS!$B$14*((AR25+AS25)/2)))^2/((DATOS!$B$14*((AR25+AS25)/2))/(DATOS!$B$14+2*((AR25+AS25)/2)))^(4/3)))*(A24-A25)))&lt;0,((AR25+AS25)/2),AR25)</f>
        <v/>
      </c>
      <c r="AU25" s="16">
        <f>IF((((AR25+AS25)/2)+(C25/(DATOS!$B$14*((AR25+AS25)/2)))^2/(2*9.81)+B25-(E24+(C24/(DATOS!$B$14*E24))^2/(2*9.81)+B24+0.5*(((DATOS!$B$27*C24/(DATOS!$B$14*E24))^2/((DATOS!$B$14*E24)/(DATOS!$B$14+2*E24))^(4/3))+((DATOS!$B$27*C25/(DATOS!$B$14*((AR25+AS25)/2)))^2/((DATOS!$B$14*((AR25+AS25)/2))/(DATOS!$B$14+2*((AR25+AS25)/2)))^(4/3)))*(A24-A25)))&lt;0,AS25,((AR25+AS25)/2))</f>
        <v/>
      </c>
      <c r="AV25" s="16">
        <f>IF((((AT25+AU25)/2)+(C25/(DATOS!$B$14*((AT25+AU25)/2)))^2/(2*9.81)+B25-(E24+(C24/(DATOS!$B$14*E24))^2/(2*9.81)+B24+0.5*(((DATOS!$B$27*C24/(DATOS!$B$14*E24))^2/((DATOS!$B$14*E24)/(DATOS!$B$14+2*E24))^(4/3))+((DATOS!$B$27*C25/(DATOS!$B$14*((AT25+AU25)/2)))^2/((DATOS!$B$14*((AT25+AU25)/2))/(DATOS!$B$14+2*((AT25+AU25)/2)))^(4/3)))*(A24-A25)))&lt;0,((AT25+AU25)/2),AT25)</f>
        <v/>
      </c>
      <c r="AW25" s="16">
        <f>IF((((AT25+AU25)/2)+(C25/(DATOS!$B$14*((AT25+AU25)/2)))^2/(2*9.81)+B25-(E24+(C24/(DATOS!$B$14*E24))^2/(2*9.81)+B24+0.5*(((DATOS!$B$27*C24/(DATOS!$B$14*E24))^2/((DATOS!$B$14*E24)/(DATOS!$B$14+2*E24))^(4/3))+((DATOS!$B$27*C25/(DATOS!$B$14*((AT25+AU25)/2)))^2/((DATOS!$B$14*((AT25+AU25)/2))/(DATOS!$B$14+2*((AT25+AU25)/2)))^(4/3)))*(A24-A25)))&lt;0,AU25,((AT25+AU25)/2))</f>
        <v/>
      </c>
      <c r="AX25" s="16">
        <f>IF((((AV25+AW25)/2)+(C25/(DATOS!$B$14*((AV25+AW25)/2)))^2/(2*9.81)+B25-(E24+(C24/(DATOS!$B$14*E24))^2/(2*9.81)+B24+0.5*(((DATOS!$B$27*C24/(DATOS!$B$14*E24))^2/((DATOS!$B$14*E24)/(DATOS!$B$14+2*E24))^(4/3))+((DATOS!$B$27*C25/(DATOS!$B$14*((AV25+AW25)/2)))^2/((DATOS!$B$14*((AV25+AW25)/2))/(DATOS!$B$14+2*((AV25+AW25)/2)))^(4/3)))*(A24-A25)))&lt;0,((AV25+AW25)/2),AV25)</f>
        <v/>
      </c>
      <c r="AY25" s="16">
        <f>IF((((AV25+AW25)/2)+(C25/(DATOS!$B$14*((AV25+AW25)/2)))^2/(2*9.81)+B25-(E24+(C24/(DATOS!$B$14*E24))^2/(2*9.81)+B24+0.5*(((DATOS!$B$27*C24/(DATOS!$B$14*E24))^2/((DATOS!$B$14*E24)/(DATOS!$B$14+2*E24))^(4/3))+((DATOS!$B$27*C25/(DATOS!$B$14*((AV25+AW25)/2)))^2/((DATOS!$B$14*((AV25+AW25)/2))/(DATOS!$B$14+2*((AV25+AW25)/2)))^(4/3)))*(A24-A25)))&lt;0,AW25,((AV25+AW25)/2))</f>
        <v/>
      </c>
      <c r="AZ25" s="16">
        <f>IF((((AX25+AY25)/2)+(C25/(DATOS!$B$14*((AX25+AY25)/2)))^2/(2*9.81)+B25-(E24+(C24/(DATOS!$B$14*E24))^2/(2*9.81)+B24+0.5*(((DATOS!$B$27*C24/(DATOS!$B$14*E24))^2/((DATOS!$B$14*E24)/(DATOS!$B$14+2*E24))^(4/3))+((DATOS!$B$27*C25/(DATOS!$B$14*((AX25+AY25)/2)))^2/((DATOS!$B$14*((AX25+AY25)/2))/(DATOS!$B$14+2*((AX25+AY25)/2)))^(4/3)))*(A24-A25)))&lt;0,((AX25+AY25)/2),AX25)</f>
        <v/>
      </c>
      <c r="BA25" s="16">
        <f>IF((((AX25+AY25)/2)+(C25/(DATOS!$B$14*((AX25+AY25)/2)))^2/(2*9.81)+B25-(E24+(C24/(DATOS!$B$14*E24))^2/(2*9.81)+B24+0.5*(((DATOS!$B$27*C24/(DATOS!$B$14*E24))^2/((DATOS!$B$14*E24)/(DATOS!$B$14+2*E24))^(4/3))+((DATOS!$B$27*C25/(DATOS!$B$14*((AX25+AY25)/2)))^2/((DATOS!$B$14*((AX25+AY25)/2))/(DATOS!$B$14+2*((AX25+AY25)/2)))^(4/3)))*(A24-A25)))&lt;0,AY25,((AX25+AY25)/2))</f>
        <v/>
      </c>
      <c r="BB25" s="16">
        <f>IF((((AZ25+BA25)/2)+(C25/(DATOS!$B$14*((AZ25+BA25)/2)))^2/(2*9.81)+B25-(E24+(C24/(DATOS!$B$14*E24))^2/(2*9.81)+B24+0.5*(((DATOS!$B$27*C24/(DATOS!$B$14*E24))^2/((DATOS!$B$14*E24)/(DATOS!$B$14+2*E24))^(4/3))+((DATOS!$B$27*C25/(DATOS!$B$14*((AZ25+BA25)/2)))^2/((DATOS!$B$14*((AZ25+BA25)/2))/(DATOS!$B$14+2*((AZ25+BA25)/2)))^(4/3)))*(A24-A25)))&lt;0,((AZ25+BA25)/2),AZ25)</f>
        <v/>
      </c>
      <c r="BC25" s="16">
        <f>IF((((AZ25+BA25)/2)+(C25/(DATOS!$B$14*((AZ25+BA25)/2)))^2/(2*9.81)+B25-(E24+(C24/(DATOS!$B$14*E24))^2/(2*9.81)+B24+0.5*(((DATOS!$B$27*C24/(DATOS!$B$14*E24))^2/((DATOS!$B$14*E24)/(DATOS!$B$14+2*E24))^(4/3))+((DATOS!$B$27*C25/(DATOS!$B$14*((AZ25+BA25)/2)))^2/((DATOS!$B$14*((AZ25+BA25)/2))/(DATOS!$B$14+2*((AZ25+BA25)/2)))^(4/3)))*(A24-A25)))&lt;0,BA25,((AZ25+BA25)/2))</f>
        <v/>
      </c>
      <c r="BD25" s="16">
        <f>IF((((BB25+BC25)/2)+(C25/(DATOS!$B$14*((BB25+BC25)/2)))^2/(2*9.81)+B25-(E24+(C24/(DATOS!$B$14*E24))^2/(2*9.81)+B24+0.5*(((DATOS!$B$27*C24/(DATOS!$B$14*E24))^2/((DATOS!$B$14*E24)/(DATOS!$B$14+2*E24))^(4/3))+((DATOS!$B$27*C25/(DATOS!$B$14*((BB25+BC25)/2)))^2/((DATOS!$B$14*((BB25+BC25)/2))/(DATOS!$B$14+2*((BB25+BC25)/2)))^(4/3)))*(A24-A25)))&lt;0,((BB25+BC25)/2),BB25)</f>
        <v/>
      </c>
      <c r="BE25" s="16">
        <f>IF((((BB25+BC25)/2)+(C25/(DATOS!$B$14*((BB25+BC25)/2)))^2/(2*9.81)+B25-(E24+(C24/(DATOS!$B$14*E24))^2/(2*9.81)+B24+0.5*(((DATOS!$B$27*C24/(DATOS!$B$14*E24))^2/((DATOS!$B$14*E24)/(DATOS!$B$14+2*E24))^(4/3))+((DATOS!$B$27*C25/(DATOS!$B$14*((BB25+BC25)/2)))^2/((DATOS!$B$14*((BB25+BC25)/2))/(DATOS!$B$14+2*((BB25+BC25)/2)))^(4/3)))*(A24-A25)))&lt;0,BC25,((BB25+BC25)/2))</f>
        <v/>
      </c>
      <c r="BF25" s="16">
        <f>IF((((BD25+BE25)/2)+(C25/(DATOS!$B$14*((BD25+BE25)/2)))^2/(2*9.81)+B25-(E24+(C24/(DATOS!$B$14*E24))^2/(2*9.81)+B24+0.5*(((DATOS!$B$27*C24/(DATOS!$B$14*E24))^2/((DATOS!$B$14*E24)/(DATOS!$B$14+2*E24))^(4/3))+((DATOS!$B$27*C25/(DATOS!$B$14*((BD25+BE25)/2)))^2/((DATOS!$B$14*((BD25+BE25)/2))/(DATOS!$B$14+2*((BD25+BE25)/2)))^(4/3)))*(A24-A25)))&lt;0,((BD25+BE25)/2),BD25)</f>
        <v/>
      </c>
      <c r="BG25" s="16">
        <f>IF((((BD25+BE25)/2)+(C25/(DATOS!$B$14*((BD25+BE25)/2)))^2/(2*9.81)+B25-(E24+(C24/(DATOS!$B$14*E24))^2/(2*9.81)+B24+0.5*(((DATOS!$B$27*C24/(DATOS!$B$14*E24))^2/((DATOS!$B$14*E24)/(DATOS!$B$14+2*E24))^(4/3))+((DATOS!$B$27*C25/(DATOS!$B$14*((BD25+BE25)/2)))^2/((DATOS!$B$14*((BD25+BE25)/2))/(DATOS!$B$14+2*((BD25+BE25)/2)))^(4/3)))*(A24-A25)))&lt;0,BE25,((BD25+BE25)/2))</f>
        <v/>
      </c>
      <c r="BH25" s="16">
        <f>IF((((BF25+BG25)/2)+(C25/(DATOS!$B$14*((BF25+BG25)/2)))^2/(2*9.81)+B25-(E24+(C24/(DATOS!$B$14*E24))^2/(2*9.81)+B24+0.5*(((DATOS!$B$27*C24/(DATOS!$B$14*E24))^2/((DATOS!$B$14*E24)/(DATOS!$B$14+2*E24))^(4/3))+((DATOS!$B$27*C25/(DATOS!$B$14*((BF25+BG25)/2)))^2/((DATOS!$B$14*((BF25+BG25)/2))/(DATOS!$B$14+2*((BF25+BG25)/2)))^(4/3)))*(A24-A25)))&lt;0,((BF25+BG25)/2),BF25)</f>
        <v/>
      </c>
      <c r="BI25" s="16">
        <f>IF((((BF25+BG25)/2)+(C25/(DATOS!$B$14*((BF25+BG25)/2)))^2/(2*9.81)+B25-(E24+(C24/(DATOS!$B$14*E24))^2/(2*9.81)+B24+0.5*(((DATOS!$B$27*C24/(DATOS!$B$14*E24))^2/((DATOS!$B$14*E24)/(DATOS!$B$14+2*E24))^(4/3))+((DATOS!$B$27*C25/(DATOS!$B$14*((BF25+BG25)/2)))^2/((DATOS!$B$14*((BF25+BG25)/2))/(DATOS!$B$14+2*((BF25+BG25)/2)))^(4/3)))*(A24-A25)))&lt;0,BG25,((BF25+BG25)/2))</f>
        <v/>
      </c>
      <c r="BJ25" s="16">
        <f>IF((((BH25+BI25)/2)+(C25/(DATOS!$B$14*((BH25+BI25)/2)))^2/(2*9.81)+B25-(E24+(C24/(DATOS!$B$14*E24))^2/(2*9.81)+B24+0.5*(((DATOS!$B$27*C24/(DATOS!$B$14*E24))^2/((DATOS!$B$14*E24)/(DATOS!$B$14+2*E24))^(4/3))+((DATOS!$B$27*C25/(DATOS!$B$14*((BH25+BI25)/2)))^2/((DATOS!$B$14*((BH25+BI25)/2))/(DATOS!$B$14+2*((BH25+BI25)/2)))^(4/3)))*(A24-A25)))&lt;0,((BH25+BI25)/2),BH25)</f>
        <v/>
      </c>
      <c r="BK25" s="16">
        <f>IF((((BH25+BI25)/2)+(C25/(DATOS!$B$14*((BH25+BI25)/2)))^2/(2*9.81)+B25-(E24+(C24/(DATOS!$B$14*E24))^2/(2*9.81)+B24+0.5*(((DATOS!$B$27*C24/(DATOS!$B$14*E24))^2/((DATOS!$B$14*E24)/(DATOS!$B$14+2*E24))^(4/3))+((DATOS!$B$27*C25/(DATOS!$B$14*((BH25+BI25)/2)))^2/((DATOS!$B$14*((BH25+BI25)/2))/(DATOS!$B$14+2*((BH25+BI25)/2)))^(4/3)))*(A24-A25)))&lt;0,BI25,((BH25+BI25)/2))</f>
        <v/>
      </c>
      <c r="BL25" s="16">
        <f>IF((((BJ25+BK25)/2)+(C25/(DATOS!$B$14*((BJ25+BK25)/2)))^2/(2*9.81)+B25-(E24+(C24/(DATOS!$B$14*E24))^2/(2*9.81)+B24+0.5*(((DATOS!$B$27*C24/(DATOS!$B$14*E24))^2/((DATOS!$B$14*E24)/(DATOS!$B$14+2*E24))^(4/3))+((DATOS!$B$27*C25/(DATOS!$B$14*((BJ25+BK25)/2)))^2/((DATOS!$B$14*((BJ25+BK25)/2))/(DATOS!$B$14+2*((BJ25+BK25)/2)))^(4/3)))*(A24-A25)))&lt;0,((BJ25+BK25)/2),BJ25)</f>
        <v/>
      </c>
      <c r="BM25" s="16">
        <f>IF((((BJ25+BK25)/2)+(C25/(DATOS!$B$14*((BJ25+BK25)/2)))^2/(2*9.81)+B25-(E24+(C24/(DATOS!$B$14*E24))^2/(2*9.81)+B24+0.5*(((DATOS!$B$27*C24/(DATOS!$B$14*E24))^2/((DATOS!$B$14*E24)/(DATOS!$B$14+2*E24))^(4/3))+((DATOS!$B$27*C25/(DATOS!$B$14*((BJ25+BK25)/2)))^2/((DATOS!$B$14*((BJ25+BK25)/2))/(DATOS!$B$14+2*((BJ25+BK25)/2)))^(4/3)))*(A24-A25)))&lt;0,BK25,((BJ25+BK25)/2))</f>
        <v/>
      </c>
      <c r="BN25" s="16">
        <f>IF((((BL25+BM25)/2)+(C25/(DATOS!$B$14*((BL25+BM25)/2)))^2/(2*9.81)+B25-(E24+(C24/(DATOS!$B$14*E24))^2/(2*9.81)+B24+0.5*(((DATOS!$B$27*C24/(DATOS!$B$14*E24))^2/((DATOS!$B$14*E24)/(DATOS!$B$14+2*E24))^(4/3))+((DATOS!$B$27*C25/(DATOS!$B$14*((BL25+BM25)/2)))^2/((DATOS!$B$14*((BL25+BM25)/2))/(DATOS!$B$14+2*((BL25+BM25)/2)))^(4/3)))*(A24-A25)))&lt;0,((BL25+BM25)/2),BL25)</f>
        <v/>
      </c>
      <c r="BO25" s="16">
        <f>IF((((BL25+BM25)/2)+(C25/(DATOS!$B$14*((BL25+BM25)/2)))^2/(2*9.81)+B25-(E24+(C24/(DATOS!$B$14*E24))^2/(2*9.81)+B24+0.5*(((DATOS!$B$27*C24/(DATOS!$B$14*E24))^2/((DATOS!$B$14*E24)/(DATOS!$B$14+2*E24))^(4/3))+((DATOS!$B$27*C25/(DATOS!$B$14*((BL25+BM25)/2)))^2/((DATOS!$B$14*((BL25+BM25)/2))/(DATOS!$B$14+2*((BL25+BM25)/2)))^(4/3)))*(A24-A25)))&lt;0,BM25,((BL25+BM25)/2))</f>
        <v/>
      </c>
      <c r="BP25" s="16">
        <f>IF((((BN25+BO25)/2)+(C25/(DATOS!$B$14*((BN25+BO25)/2)))^2/(2*9.81)+B25-(E24+(C24/(DATOS!$B$14*E24))^2/(2*9.81)+B24+0.5*(((DATOS!$B$27*C24/(DATOS!$B$14*E24))^2/((DATOS!$B$14*E24)/(DATOS!$B$14+2*E24))^(4/3))+((DATOS!$B$27*C25/(DATOS!$B$14*((BN25+BO25)/2)))^2/((DATOS!$B$14*((BN25+BO25)/2))/(DATOS!$B$14+2*((BN25+BO25)/2)))^(4/3)))*(A24-A25)))&lt;0,((BN25+BO25)/2),BN25)</f>
        <v/>
      </c>
      <c r="BQ25" s="16">
        <f>IF((((BN25+BO25)/2)+(C25/(DATOS!$B$14*((BN25+BO25)/2)))^2/(2*9.81)+B25-(E24+(C24/(DATOS!$B$14*E24))^2/(2*9.81)+B24+0.5*(((DATOS!$B$27*C24/(DATOS!$B$14*E24))^2/((DATOS!$B$14*E24)/(DATOS!$B$14+2*E24))^(4/3))+((DATOS!$B$27*C25/(DATOS!$B$14*((BN25+BO25)/2)))^2/((DATOS!$B$14*((BN25+BO25)/2))/(DATOS!$B$14+2*((BN25+BO25)/2)))^(4/3)))*(A24-A25)))&lt;0,BO25,((BN25+BO25)/2))</f>
        <v/>
      </c>
      <c r="BR25" s="16">
        <f>IF((((BP25+BQ25)/2)+(C25/(DATOS!$B$14*((BP25+BQ25)/2)))^2/(2*9.81)+B25-(E24+(C24/(DATOS!$B$14*E24))^2/(2*9.81)+B24+0.5*(((DATOS!$B$27*C24/(DATOS!$B$14*E24))^2/((DATOS!$B$14*E24)/(DATOS!$B$14+2*E24))^(4/3))+((DATOS!$B$27*C25/(DATOS!$B$14*((BP25+BQ25)/2)))^2/((DATOS!$B$14*((BP25+BQ25)/2))/(DATOS!$B$14+2*((BP25+BQ25)/2)))^(4/3)))*(A24-A25)))&lt;0,((BP25+BQ25)/2),BP25)</f>
        <v/>
      </c>
      <c r="BS25" s="16">
        <f>IF((((BP25+BQ25)/2)+(C25/(DATOS!$B$14*((BP25+BQ25)/2)))^2/(2*9.81)+B25-(E24+(C24/(DATOS!$B$14*E24))^2/(2*9.81)+B24+0.5*(((DATOS!$B$27*C24/(DATOS!$B$14*E24))^2/((DATOS!$B$14*E24)/(DATOS!$B$14+2*E24))^(4/3))+((DATOS!$B$27*C25/(DATOS!$B$14*((BP25+BQ25)/2)))^2/((DATOS!$B$14*((BP25+BQ25)/2))/(DATOS!$B$14+2*((BP25+BQ25)/2)))^(4/3)))*(A24-A25)))&lt;0,BQ25,((BP25+BQ25)/2))</f>
        <v/>
      </c>
      <c r="BT25" s="16">
        <f>IF((((BR25+BS25)/2)+(C25/(DATOS!$B$14*((BR25+BS25)/2)))^2/(2*9.81)+B25-(E24+(C24/(DATOS!$B$14*E24))^2/(2*9.81)+B24+0.5*(((DATOS!$B$27*C24/(DATOS!$B$14*E24))^2/((DATOS!$B$14*E24)/(DATOS!$B$14+2*E24))^(4/3))+((DATOS!$B$27*C25/(DATOS!$B$14*((BR25+BS25)/2)))^2/((DATOS!$B$14*((BR25+BS25)/2))/(DATOS!$B$14+2*((BR25+BS25)/2)))^(4/3)))*(A24-A25)))&lt;0,((BR25+BS25)/2),BR25)</f>
        <v/>
      </c>
      <c r="BU25" s="16">
        <f>IF((((BR25+BS25)/2)+(C25/(DATOS!$B$14*((BR25+BS25)/2)))^2/(2*9.81)+B25-(E24+(C24/(DATOS!$B$14*E24))^2/(2*9.81)+B24+0.5*(((DATOS!$B$27*C24/(DATOS!$B$14*E24))^2/((DATOS!$B$14*E24)/(DATOS!$B$14+2*E24))^(4/3))+((DATOS!$B$27*C25/(DATOS!$B$14*((BR25+BS25)/2)))^2/((DATOS!$B$14*((BR25+BS25)/2))/(DATOS!$B$14+2*((BR25+BS25)/2)))^(4/3)))*(A24-A25)))&lt;0,BS25,((BR25+BS25)/2))</f>
        <v/>
      </c>
    </row>
    <row r="26">
      <c r="A26" s="30" t="n">
        <v>98</v>
      </c>
      <c r="B26" s="21">
        <f>DATOS!$B$16-DATOS!$B$19*A26</f>
        <v/>
      </c>
      <c r="C26" s="21">
        <f>IF(A26&lt;CAUDALES!$B$13,CAUDALES!$D$12,IF(A26&lt;CAUDALES!$B$14,CAUDALES!$D$13,IF(A26&lt;CAUDALES!$B$15,CAUDALES!$D$14,CAUDALES!$D$15)))/1000</f>
        <v/>
      </c>
      <c r="D26" s="21">
        <f>(C26^2/(9.81*DATOS!$B$14^2))^(1/3)</f>
        <v/>
      </c>
      <c r="E26" s="29">
        <f>(BT26+BU26)/2</f>
        <v/>
      </c>
      <c r="F26" s="21">
        <f>B26+E26</f>
        <v/>
      </c>
      <c r="G26" s="17">
        <f>C26/(DATOS!$B$14*E26)</f>
        <v/>
      </c>
      <c r="H26" s="17">
        <f>G26/SQRT(9.81*E26)</f>
        <v/>
      </c>
      <c r="I26" s="21">
        <f>IF(A26&lt;=DATOS!$B$20,DATOS!$B$21-IF(AND(A26&gt;=DATOS!$B$23,A26&lt;DATOS!$B$24),DATOS!$B$25,DATOS!$B$22),B26+DATOS!$B$26)</f>
        <v/>
      </c>
      <c r="J26" s="17">
        <f>I26-B26</f>
        <v/>
      </c>
      <c r="K26" s="31">
        <f>E26/J26</f>
        <v/>
      </c>
      <c r="L26" s="21">
        <f>I26-F26</f>
        <v/>
      </c>
      <c r="M26" s="32">
        <f>IF(AND(K26&lt;=DATOS!$B$29,L26&gt;=DATOS!$B$30),"CUMPLE","NO CUMPLE")</f>
        <v/>
      </c>
      <c r="N26" s="13">
        <f>IF(A26&gt;DATOS!$B$20,"cubierto - tramo final",IF(AND(A26&gt;=DATOS!$B$23,A26&lt;DATOS!$B$24),"cubierto - camiones","cubierto"))</f>
        <v/>
      </c>
      <c r="P26" s="16">
        <f>D26*1.001</f>
        <v/>
      </c>
      <c r="Q26" s="16" t="n">
        <v>2</v>
      </c>
      <c r="R26" s="16">
        <f>IF((((P26+Q26)/2)+(C26/(DATOS!$B$14*((P26+Q26)/2)))^2/(2*9.81)+B26-(E25+(C25/(DATOS!$B$14*E25))^2/(2*9.81)+B25+0.5*(((DATOS!$B$27*C25/(DATOS!$B$14*E25))^2/((DATOS!$B$14*E25)/(DATOS!$B$14+2*E25))^(4/3))+((DATOS!$B$27*C26/(DATOS!$B$14*((P26+Q26)/2)))^2/((DATOS!$B$14*((P26+Q26)/2))/(DATOS!$B$14+2*((P26+Q26)/2)))^(4/3)))*(A25-A26)))&lt;0,((P26+Q26)/2),P26)</f>
        <v/>
      </c>
      <c r="S26" s="16">
        <f>IF((((P26+Q26)/2)+(C26/(DATOS!$B$14*((P26+Q26)/2)))^2/(2*9.81)+B26-(E25+(C25/(DATOS!$B$14*E25))^2/(2*9.81)+B25+0.5*(((DATOS!$B$27*C25/(DATOS!$B$14*E25))^2/((DATOS!$B$14*E25)/(DATOS!$B$14+2*E25))^(4/3))+((DATOS!$B$27*C26/(DATOS!$B$14*((P26+Q26)/2)))^2/((DATOS!$B$14*((P26+Q26)/2))/(DATOS!$B$14+2*((P26+Q26)/2)))^(4/3)))*(A25-A26)))&lt;0,Q26,((P26+Q26)/2))</f>
        <v/>
      </c>
      <c r="T26" s="16">
        <f>IF((((R26+S26)/2)+(C26/(DATOS!$B$14*((R26+S26)/2)))^2/(2*9.81)+B26-(E25+(C25/(DATOS!$B$14*E25))^2/(2*9.81)+B25+0.5*(((DATOS!$B$27*C25/(DATOS!$B$14*E25))^2/((DATOS!$B$14*E25)/(DATOS!$B$14+2*E25))^(4/3))+((DATOS!$B$27*C26/(DATOS!$B$14*((R26+S26)/2)))^2/((DATOS!$B$14*((R26+S26)/2))/(DATOS!$B$14+2*((R26+S26)/2)))^(4/3)))*(A25-A26)))&lt;0,((R26+S26)/2),R26)</f>
        <v/>
      </c>
      <c r="U26" s="16">
        <f>IF((((R26+S26)/2)+(C26/(DATOS!$B$14*((R26+S26)/2)))^2/(2*9.81)+B26-(E25+(C25/(DATOS!$B$14*E25))^2/(2*9.81)+B25+0.5*(((DATOS!$B$27*C25/(DATOS!$B$14*E25))^2/((DATOS!$B$14*E25)/(DATOS!$B$14+2*E25))^(4/3))+((DATOS!$B$27*C26/(DATOS!$B$14*((R26+S26)/2)))^2/((DATOS!$B$14*((R26+S26)/2))/(DATOS!$B$14+2*((R26+S26)/2)))^(4/3)))*(A25-A26)))&lt;0,S26,((R26+S26)/2))</f>
        <v/>
      </c>
      <c r="V26" s="16">
        <f>IF((((T26+U26)/2)+(C26/(DATOS!$B$14*((T26+U26)/2)))^2/(2*9.81)+B26-(E25+(C25/(DATOS!$B$14*E25))^2/(2*9.81)+B25+0.5*(((DATOS!$B$27*C25/(DATOS!$B$14*E25))^2/((DATOS!$B$14*E25)/(DATOS!$B$14+2*E25))^(4/3))+((DATOS!$B$27*C26/(DATOS!$B$14*((T26+U26)/2)))^2/((DATOS!$B$14*((T26+U26)/2))/(DATOS!$B$14+2*((T26+U26)/2)))^(4/3)))*(A25-A26)))&lt;0,((T26+U26)/2),T26)</f>
        <v/>
      </c>
      <c r="W26" s="16">
        <f>IF((((T26+U26)/2)+(C26/(DATOS!$B$14*((T26+U26)/2)))^2/(2*9.81)+B26-(E25+(C25/(DATOS!$B$14*E25))^2/(2*9.81)+B25+0.5*(((DATOS!$B$27*C25/(DATOS!$B$14*E25))^2/((DATOS!$B$14*E25)/(DATOS!$B$14+2*E25))^(4/3))+((DATOS!$B$27*C26/(DATOS!$B$14*((T26+U26)/2)))^2/((DATOS!$B$14*((T26+U26)/2))/(DATOS!$B$14+2*((T26+U26)/2)))^(4/3)))*(A25-A26)))&lt;0,U26,((T26+U26)/2))</f>
        <v/>
      </c>
      <c r="X26" s="16">
        <f>IF((((V26+W26)/2)+(C26/(DATOS!$B$14*((V26+W26)/2)))^2/(2*9.81)+B26-(E25+(C25/(DATOS!$B$14*E25))^2/(2*9.81)+B25+0.5*(((DATOS!$B$27*C25/(DATOS!$B$14*E25))^2/((DATOS!$B$14*E25)/(DATOS!$B$14+2*E25))^(4/3))+((DATOS!$B$27*C26/(DATOS!$B$14*((V26+W26)/2)))^2/((DATOS!$B$14*((V26+W26)/2))/(DATOS!$B$14+2*((V26+W26)/2)))^(4/3)))*(A25-A26)))&lt;0,((V26+W26)/2),V26)</f>
        <v/>
      </c>
      <c r="Y26" s="16">
        <f>IF((((V26+W26)/2)+(C26/(DATOS!$B$14*((V26+W26)/2)))^2/(2*9.81)+B26-(E25+(C25/(DATOS!$B$14*E25))^2/(2*9.81)+B25+0.5*(((DATOS!$B$27*C25/(DATOS!$B$14*E25))^2/((DATOS!$B$14*E25)/(DATOS!$B$14+2*E25))^(4/3))+((DATOS!$B$27*C26/(DATOS!$B$14*((V26+W26)/2)))^2/((DATOS!$B$14*((V26+W26)/2))/(DATOS!$B$14+2*((V26+W26)/2)))^(4/3)))*(A25-A26)))&lt;0,W26,((V26+W26)/2))</f>
        <v/>
      </c>
      <c r="Z26" s="16">
        <f>IF((((X26+Y26)/2)+(C26/(DATOS!$B$14*((X26+Y26)/2)))^2/(2*9.81)+B26-(E25+(C25/(DATOS!$B$14*E25))^2/(2*9.81)+B25+0.5*(((DATOS!$B$27*C25/(DATOS!$B$14*E25))^2/((DATOS!$B$14*E25)/(DATOS!$B$14+2*E25))^(4/3))+((DATOS!$B$27*C26/(DATOS!$B$14*((X26+Y26)/2)))^2/((DATOS!$B$14*((X26+Y26)/2))/(DATOS!$B$14+2*((X26+Y26)/2)))^(4/3)))*(A25-A26)))&lt;0,((X26+Y26)/2),X26)</f>
        <v/>
      </c>
      <c r="AA26" s="16">
        <f>IF((((X26+Y26)/2)+(C26/(DATOS!$B$14*((X26+Y26)/2)))^2/(2*9.81)+B26-(E25+(C25/(DATOS!$B$14*E25))^2/(2*9.81)+B25+0.5*(((DATOS!$B$27*C25/(DATOS!$B$14*E25))^2/((DATOS!$B$14*E25)/(DATOS!$B$14+2*E25))^(4/3))+((DATOS!$B$27*C26/(DATOS!$B$14*((X26+Y26)/2)))^2/((DATOS!$B$14*((X26+Y26)/2))/(DATOS!$B$14+2*((X26+Y26)/2)))^(4/3)))*(A25-A26)))&lt;0,Y26,((X26+Y26)/2))</f>
        <v/>
      </c>
      <c r="AB26" s="16">
        <f>IF((((Z26+AA26)/2)+(C26/(DATOS!$B$14*((Z26+AA26)/2)))^2/(2*9.81)+B26-(E25+(C25/(DATOS!$B$14*E25))^2/(2*9.81)+B25+0.5*(((DATOS!$B$27*C25/(DATOS!$B$14*E25))^2/((DATOS!$B$14*E25)/(DATOS!$B$14+2*E25))^(4/3))+((DATOS!$B$27*C26/(DATOS!$B$14*((Z26+AA26)/2)))^2/((DATOS!$B$14*((Z26+AA26)/2))/(DATOS!$B$14+2*((Z26+AA26)/2)))^(4/3)))*(A25-A26)))&lt;0,((Z26+AA26)/2),Z26)</f>
        <v/>
      </c>
      <c r="AC26" s="16">
        <f>IF((((Z26+AA26)/2)+(C26/(DATOS!$B$14*((Z26+AA26)/2)))^2/(2*9.81)+B26-(E25+(C25/(DATOS!$B$14*E25))^2/(2*9.81)+B25+0.5*(((DATOS!$B$27*C25/(DATOS!$B$14*E25))^2/((DATOS!$B$14*E25)/(DATOS!$B$14+2*E25))^(4/3))+((DATOS!$B$27*C26/(DATOS!$B$14*((Z26+AA26)/2)))^2/((DATOS!$B$14*((Z26+AA26)/2))/(DATOS!$B$14+2*((Z26+AA26)/2)))^(4/3)))*(A25-A26)))&lt;0,AA26,((Z26+AA26)/2))</f>
        <v/>
      </c>
      <c r="AD26" s="16">
        <f>IF((((AB26+AC26)/2)+(C26/(DATOS!$B$14*((AB26+AC26)/2)))^2/(2*9.81)+B26-(E25+(C25/(DATOS!$B$14*E25))^2/(2*9.81)+B25+0.5*(((DATOS!$B$27*C25/(DATOS!$B$14*E25))^2/((DATOS!$B$14*E25)/(DATOS!$B$14+2*E25))^(4/3))+((DATOS!$B$27*C26/(DATOS!$B$14*((AB26+AC26)/2)))^2/((DATOS!$B$14*((AB26+AC26)/2))/(DATOS!$B$14+2*((AB26+AC26)/2)))^(4/3)))*(A25-A26)))&lt;0,((AB26+AC26)/2),AB26)</f>
        <v/>
      </c>
      <c r="AE26" s="16">
        <f>IF((((AB26+AC26)/2)+(C26/(DATOS!$B$14*((AB26+AC26)/2)))^2/(2*9.81)+B26-(E25+(C25/(DATOS!$B$14*E25))^2/(2*9.81)+B25+0.5*(((DATOS!$B$27*C25/(DATOS!$B$14*E25))^2/((DATOS!$B$14*E25)/(DATOS!$B$14+2*E25))^(4/3))+((DATOS!$B$27*C26/(DATOS!$B$14*((AB26+AC26)/2)))^2/((DATOS!$B$14*((AB26+AC26)/2))/(DATOS!$B$14+2*((AB26+AC26)/2)))^(4/3)))*(A25-A26)))&lt;0,AC26,((AB26+AC26)/2))</f>
        <v/>
      </c>
      <c r="AF26" s="16">
        <f>IF((((AD26+AE26)/2)+(C26/(DATOS!$B$14*((AD26+AE26)/2)))^2/(2*9.81)+B26-(E25+(C25/(DATOS!$B$14*E25))^2/(2*9.81)+B25+0.5*(((DATOS!$B$27*C25/(DATOS!$B$14*E25))^2/((DATOS!$B$14*E25)/(DATOS!$B$14+2*E25))^(4/3))+((DATOS!$B$27*C26/(DATOS!$B$14*((AD26+AE26)/2)))^2/((DATOS!$B$14*((AD26+AE26)/2))/(DATOS!$B$14+2*((AD26+AE26)/2)))^(4/3)))*(A25-A26)))&lt;0,((AD26+AE26)/2),AD26)</f>
        <v/>
      </c>
      <c r="AG26" s="16">
        <f>IF((((AD26+AE26)/2)+(C26/(DATOS!$B$14*((AD26+AE26)/2)))^2/(2*9.81)+B26-(E25+(C25/(DATOS!$B$14*E25))^2/(2*9.81)+B25+0.5*(((DATOS!$B$27*C25/(DATOS!$B$14*E25))^2/((DATOS!$B$14*E25)/(DATOS!$B$14+2*E25))^(4/3))+((DATOS!$B$27*C26/(DATOS!$B$14*((AD26+AE26)/2)))^2/((DATOS!$B$14*((AD26+AE26)/2))/(DATOS!$B$14+2*((AD26+AE26)/2)))^(4/3)))*(A25-A26)))&lt;0,AE26,((AD26+AE26)/2))</f>
        <v/>
      </c>
      <c r="AH26" s="16">
        <f>IF((((AF26+AG26)/2)+(C26/(DATOS!$B$14*((AF26+AG26)/2)))^2/(2*9.81)+B26-(E25+(C25/(DATOS!$B$14*E25))^2/(2*9.81)+B25+0.5*(((DATOS!$B$27*C25/(DATOS!$B$14*E25))^2/((DATOS!$B$14*E25)/(DATOS!$B$14+2*E25))^(4/3))+((DATOS!$B$27*C26/(DATOS!$B$14*((AF26+AG26)/2)))^2/((DATOS!$B$14*((AF26+AG26)/2))/(DATOS!$B$14+2*((AF26+AG26)/2)))^(4/3)))*(A25-A26)))&lt;0,((AF26+AG26)/2),AF26)</f>
        <v/>
      </c>
      <c r="AI26" s="16">
        <f>IF((((AF26+AG26)/2)+(C26/(DATOS!$B$14*((AF26+AG26)/2)))^2/(2*9.81)+B26-(E25+(C25/(DATOS!$B$14*E25))^2/(2*9.81)+B25+0.5*(((DATOS!$B$27*C25/(DATOS!$B$14*E25))^2/((DATOS!$B$14*E25)/(DATOS!$B$14+2*E25))^(4/3))+((DATOS!$B$27*C26/(DATOS!$B$14*((AF26+AG26)/2)))^2/((DATOS!$B$14*((AF26+AG26)/2))/(DATOS!$B$14+2*((AF26+AG26)/2)))^(4/3)))*(A25-A26)))&lt;0,AG26,((AF26+AG26)/2))</f>
        <v/>
      </c>
      <c r="AJ26" s="16">
        <f>IF((((AH26+AI26)/2)+(C26/(DATOS!$B$14*((AH26+AI26)/2)))^2/(2*9.81)+B26-(E25+(C25/(DATOS!$B$14*E25))^2/(2*9.81)+B25+0.5*(((DATOS!$B$27*C25/(DATOS!$B$14*E25))^2/((DATOS!$B$14*E25)/(DATOS!$B$14+2*E25))^(4/3))+((DATOS!$B$27*C26/(DATOS!$B$14*((AH26+AI26)/2)))^2/((DATOS!$B$14*((AH26+AI26)/2))/(DATOS!$B$14+2*((AH26+AI26)/2)))^(4/3)))*(A25-A26)))&lt;0,((AH26+AI26)/2),AH26)</f>
        <v/>
      </c>
      <c r="AK26" s="16">
        <f>IF((((AH26+AI26)/2)+(C26/(DATOS!$B$14*((AH26+AI26)/2)))^2/(2*9.81)+B26-(E25+(C25/(DATOS!$B$14*E25))^2/(2*9.81)+B25+0.5*(((DATOS!$B$27*C25/(DATOS!$B$14*E25))^2/((DATOS!$B$14*E25)/(DATOS!$B$14+2*E25))^(4/3))+((DATOS!$B$27*C26/(DATOS!$B$14*((AH26+AI26)/2)))^2/((DATOS!$B$14*((AH26+AI26)/2))/(DATOS!$B$14+2*((AH26+AI26)/2)))^(4/3)))*(A25-A26)))&lt;0,AI26,((AH26+AI26)/2))</f>
        <v/>
      </c>
      <c r="AL26" s="16">
        <f>IF((((AJ26+AK26)/2)+(C26/(DATOS!$B$14*((AJ26+AK26)/2)))^2/(2*9.81)+B26-(E25+(C25/(DATOS!$B$14*E25))^2/(2*9.81)+B25+0.5*(((DATOS!$B$27*C25/(DATOS!$B$14*E25))^2/((DATOS!$B$14*E25)/(DATOS!$B$14+2*E25))^(4/3))+((DATOS!$B$27*C26/(DATOS!$B$14*((AJ26+AK26)/2)))^2/((DATOS!$B$14*((AJ26+AK26)/2))/(DATOS!$B$14+2*((AJ26+AK26)/2)))^(4/3)))*(A25-A26)))&lt;0,((AJ26+AK26)/2),AJ26)</f>
        <v/>
      </c>
      <c r="AM26" s="16">
        <f>IF((((AJ26+AK26)/2)+(C26/(DATOS!$B$14*((AJ26+AK26)/2)))^2/(2*9.81)+B26-(E25+(C25/(DATOS!$B$14*E25))^2/(2*9.81)+B25+0.5*(((DATOS!$B$27*C25/(DATOS!$B$14*E25))^2/((DATOS!$B$14*E25)/(DATOS!$B$14+2*E25))^(4/3))+((DATOS!$B$27*C26/(DATOS!$B$14*((AJ26+AK26)/2)))^2/((DATOS!$B$14*((AJ26+AK26)/2))/(DATOS!$B$14+2*((AJ26+AK26)/2)))^(4/3)))*(A25-A26)))&lt;0,AK26,((AJ26+AK26)/2))</f>
        <v/>
      </c>
      <c r="AN26" s="16">
        <f>IF((((AL26+AM26)/2)+(C26/(DATOS!$B$14*((AL26+AM26)/2)))^2/(2*9.81)+B26-(E25+(C25/(DATOS!$B$14*E25))^2/(2*9.81)+B25+0.5*(((DATOS!$B$27*C25/(DATOS!$B$14*E25))^2/((DATOS!$B$14*E25)/(DATOS!$B$14+2*E25))^(4/3))+((DATOS!$B$27*C26/(DATOS!$B$14*((AL26+AM26)/2)))^2/((DATOS!$B$14*((AL26+AM26)/2))/(DATOS!$B$14+2*((AL26+AM26)/2)))^(4/3)))*(A25-A26)))&lt;0,((AL26+AM26)/2),AL26)</f>
        <v/>
      </c>
      <c r="AO26" s="16">
        <f>IF((((AL26+AM26)/2)+(C26/(DATOS!$B$14*((AL26+AM26)/2)))^2/(2*9.81)+B26-(E25+(C25/(DATOS!$B$14*E25))^2/(2*9.81)+B25+0.5*(((DATOS!$B$27*C25/(DATOS!$B$14*E25))^2/((DATOS!$B$14*E25)/(DATOS!$B$14+2*E25))^(4/3))+((DATOS!$B$27*C26/(DATOS!$B$14*((AL26+AM26)/2)))^2/((DATOS!$B$14*((AL26+AM26)/2))/(DATOS!$B$14+2*((AL26+AM26)/2)))^(4/3)))*(A25-A26)))&lt;0,AM26,((AL26+AM26)/2))</f>
        <v/>
      </c>
      <c r="AP26" s="16">
        <f>IF((((AN26+AO26)/2)+(C26/(DATOS!$B$14*((AN26+AO26)/2)))^2/(2*9.81)+B26-(E25+(C25/(DATOS!$B$14*E25))^2/(2*9.81)+B25+0.5*(((DATOS!$B$27*C25/(DATOS!$B$14*E25))^2/((DATOS!$B$14*E25)/(DATOS!$B$14+2*E25))^(4/3))+((DATOS!$B$27*C26/(DATOS!$B$14*((AN26+AO26)/2)))^2/((DATOS!$B$14*((AN26+AO26)/2))/(DATOS!$B$14+2*((AN26+AO26)/2)))^(4/3)))*(A25-A26)))&lt;0,((AN26+AO26)/2),AN26)</f>
        <v/>
      </c>
      <c r="AQ26" s="16">
        <f>IF((((AN26+AO26)/2)+(C26/(DATOS!$B$14*((AN26+AO26)/2)))^2/(2*9.81)+B26-(E25+(C25/(DATOS!$B$14*E25))^2/(2*9.81)+B25+0.5*(((DATOS!$B$27*C25/(DATOS!$B$14*E25))^2/((DATOS!$B$14*E25)/(DATOS!$B$14+2*E25))^(4/3))+((DATOS!$B$27*C26/(DATOS!$B$14*((AN26+AO26)/2)))^2/((DATOS!$B$14*((AN26+AO26)/2))/(DATOS!$B$14+2*((AN26+AO26)/2)))^(4/3)))*(A25-A26)))&lt;0,AO26,((AN26+AO26)/2))</f>
        <v/>
      </c>
      <c r="AR26" s="16">
        <f>IF((((AP26+AQ26)/2)+(C26/(DATOS!$B$14*((AP26+AQ26)/2)))^2/(2*9.81)+B26-(E25+(C25/(DATOS!$B$14*E25))^2/(2*9.81)+B25+0.5*(((DATOS!$B$27*C25/(DATOS!$B$14*E25))^2/((DATOS!$B$14*E25)/(DATOS!$B$14+2*E25))^(4/3))+((DATOS!$B$27*C26/(DATOS!$B$14*((AP26+AQ26)/2)))^2/((DATOS!$B$14*((AP26+AQ26)/2))/(DATOS!$B$14+2*((AP26+AQ26)/2)))^(4/3)))*(A25-A26)))&lt;0,((AP26+AQ26)/2),AP26)</f>
        <v/>
      </c>
      <c r="AS26" s="16">
        <f>IF((((AP26+AQ26)/2)+(C26/(DATOS!$B$14*((AP26+AQ26)/2)))^2/(2*9.81)+B26-(E25+(C25/(DATOS!$B$14*E25))^2/(2*9.81)+B25+0.5*(((DATOS!$B$27*C25/(DATOS!$B$14*E25))^2/((DATOS!$B$14*E25)/(DATOS!$B$14+2*E25))^(4/3))+((DATOS!$B$27*C26/(DATOS!$B$14*((AP26+AQ26)/2)))^2/((DATOS!$B$14*((AP26+AQ26)/2))/(DATOS!$B$14+2*((AP26+AQ26)/2)))^(4/3)))*(A25-A26)))&lt;0,AQ26,((AP26+AQ26)/2))</f>
        <v/>
      </c>
      <c r="AT26" s="16">
        <f>IF((((AR26+AS26)/2)+(C26/(DATOS!$B$14*((AR26+AS26)/2)))^2/(2*9.81)+B26-(E25+(C25/(DATOS!$B$14*E25))^2/(2*9.81)+B25+0.5*(((DATOS!$B$27*C25/(DATOS!$B$14*E25))^2/((DATOS!$B$14*E25)/(DATOS!$B$14+2*E25))^(4/3))+((DATOS!$B$27*C26/(DATOS!$B$14*((AR26+AS26)/2)))^2/((DATOS!$B$14*((AR26+AS26)/2))/(DATOS!$B$14+2*((AR26+AS26)/2)))^(4/3)))*(A25-A26)))&lt;0,((AR26+AS26)/2),AR26)</f>
        <v/>
      </c>
      <c r="AU26" s="16">
        <f>IF((((AR26+AS26)/2)+(C26/(DATOS!$B$14*((AR26+AS26)/2)))^2/(2*9.81)+B26-(E25+(C25/(DATOS!$B$14*E25))^2/(2*9.81)+B25+0.5*(((DATOS!$B$27*C25/(DATOS!$B$14*E25))^2/((DATOS!$B$14*E25)/(DATOS!$B$14+2*E25))^(4/3))+((DATOS!$B$27*C26/(DATOS!$B$14*((AR26+AS26)/2)))^2/((DATOS!$B$14*((AR26+AS26)/2))/(DATOS!$B$14+2*((AR26+AS26)/2)))^(4/3)))*(A25-A26)))&lt;0,AS26,((AR26+AS26)/2))</f>
        <v/>
      </c>
      <c r="AV26" s="16">
        <f>IF((((AT26+AU26)/2)+(C26/(DATOS!$B$14*((AT26+AU26)/2)))^2/(2*9.81)+B26-(E25+(C25/(DATOS!$B$14*E25))^2/(2*9.81)+B25+0.5*(((DATOS!$B$27*C25/(DATOS!$B$14*E25))^2/((DATOS!$B$14*E25)/(DATOS!$B$14+2*E25))^(4/3))+((DATOS!$B$27*C26/(DATOS!$B$14*((AT26+AU26)/2)))^2/((DATOS!$B$14*((AT26+AU26)/2))/(DATOS!$B$14+2*((AT26+AU26)/2)))^(4/3)))*(A25-A26)))&lt;0,((AT26+AU26)/2),AT26)</f>
        <v/>
      </c>
      <c r="AW26" s="16">
        <f>IF((((AT26+AU26)/2)+(C26/(DATOS!$B$14*((AT26+AU26)/2)))^2/(2*9.81)+B26-(E25+(C25/(DATOS!$B$14*E25))^2/(2*9.81)+B25+0.5*(((DATOS!$B$27*C25/(DATOS!$B$14*E25))^2/((DATOS!$B$14*E25)/(DATOS!$B$14+2*E25))^(4/3))+((DATOS!$B$27*C26/(DATOS!$B$14*((AT26+AU26)/2)))^2/((DATOS!$B$14*((AT26+AU26)/2))/(DATOS!$B$14+2*((AT26+AU26)/2)))^(4/3)))*(A25-A26)))&lt;0,AU26,((AT26+AU26)/2))</f>
        <v/>
      </c>
      <c r="AX26" s="16">
        <f>IF((((AV26+AW26)/2)+(C26/(DATOS!$B$14*((AV26+AW26)/2)))^2/(2*9.81)+B26-(E25+(C25/(DATOS!$B$14*E25))^2/(2*9.81)+B25+0.5*(((DATOS!$B$27*C25/(DATOS!$B$14*E25))^2/((DATOS!$B$14*E25)/(DATOS!$B$14+2*E25))^(4/3))+((DATOS!$B$27*C26/(DATOS!$B$14*((AV26+AW26)/2)))^2/((DATOS!$B$14*((AV26+AW26)/2))/(DATOS!$B$14+2*((AV26+AW26)/2)))^(4/3)))*(A25-A26)))&lt;0,((AV26+AW26)/2),AV26)</f>
        <v/>
      </c>
      <c r="AY26" s="16">
        <f>IF((((AV26+AW26)/2)+(C26/(DATOS!$B$14*((AV26+AW26)/2)))^2/(2*9.81)+B26-(E25+(C25/(DATOS!$B$14*E25))^2/(2*9.81)+B25+0.5*(((DATOS!$B$27*C25/(DATOS!$B$14*E25))^2/((DATOS!$B$14*E25)/(DATOS!$B$14+2*E25))^(4/3))+((DATOS!$B$27*C26/(DATOS!$B$14*((AV26+AW26)/2)))^2/((DATOS!$B$14*((AV26+AW26)/2))/(DATOS!$B$14+2*((AV26+AW26)/2)))^(4/3)))*(A25-A26)))&lt;0,AW26,((AV26+AW26)/2))</f>
        <v/>
      </c>
      <c r="AZ26" s="16">
        <f>IF((((AX26+AY26)/2)+(C26/(DATOS!$B$14*((AX26+AY26)/2)))^2/(2*9.81)+B26-(E25+(C25/(DATOS!$B$14*E25))^2/(2*9.81)+B25+0.5*(((DATOS!$B$27*C25/(DATOS!$B$14*E25))^2/((DATOS!$B$14*E25)/(DATOS!$B$14+2*E25))^(4/3))+((DATOS!$B$27*C26/(DATOS!$B$14*((AX26+AY26)/2)))^2/((DATOS!$B$14*((AX26+AY26)/2))/(DATOS!$B$14+2*((AX26+AY26)/2)))^(4/3)))*(A25-A26)))&lt;0,((AX26+AY26)/2),AX26)</f>
        <v/>
      </c>
      <c r="BA26" s="16">
        <f>IF((((AX26+AY26)/2)+(C26/(DATOS!$B$14*((AX26+AY26)/2)))^2/(2*9.81)+B26-(E25+(C25/(DATOS!$B$14*E25))^2/(2*9.81)+B25+0.5*(((DATOS!$B$27*C25/(DATOS!$B$14*E25))^2/((DATOS!$B$14*E25)/(DATOS!$B$14+2*E25))^(4/3))+((DATOS!$B$27*C26/(DATOS!$B$14*((AX26+AY26)/2)))^2/((DATOS!$B$14*((AX26+AY26)/2))/(DATOS!$B$14+2*((AX26+AY26)/2)))^(4/3)))*(A25-A26)))&lt;0,AY26,((AX26+AY26)/2))</f>
        <v/>
      </c>
      <c r="BB26" s="16">
        <f>IF((((AZ26+BA26)/2)+(C26/(DATOS!$B$14*((AZ26+BA26)/2)))^2/(2*9.81)+B26-(E25+(C25/(DATOS!$B$14*E25))^2/(2*9.81)+B25+0.5*(((DATOS!$B$27*C25/(DATOS!$B$14*E25))^2/((DATOS!$B$14*E25)/(DATOS!$B$14+2*E25))^(4/3))+((DATOS!$B$27*C26/(DATOS!$B$14*((AZ26+BA26)/2)))^2/((DATOS!$B$14*((AZ26+BA26)/2))/(DATOS!$B$14+2*((AZ26+BA26)/2)))^(4/3)))*(A25-A26)))&lt;0,((AZ26+BA26)/2),AZ26)</f>
        <v/>
      </c>
      <c r="BC26" s="16">
        <f>IF((((AZ26+BA26)/2)+(C26/(DATOS!$B$14*((AZ26+BA26)/2)))^2/(2*9.81)+B26-(E25+(C25/(DATOS!$B$14*E25))^2/(2*9.81)+B25+0.5*(((DATOS!$B$27*C25/(DATOS!$B$14*E25))^2/((DATOS!$B$14*E25)/(DATOS!$B$14+2*E25))^(4/3))+((DATOS!$B$27*C26/(DATOS!$B$14*((AZ26+BA26)/2)))^2/((DATOS!$B$14*((AZ26+BA26)/2))/(DATOS!$B$14+2*((AZ26+BA26)/2)))^(4/3)))*(A25-A26)))&lt;0,BA26,((AZ26+BA26)/2))</f>
        <v/>
      </c>
      <c r="BD26" s="16">
        <f>IF((((BB26+BC26)/2)+(C26/(DATOS!$B$14*((BB26+BC26)/2)))^2/(2*9.81)+B26-(E25+(C25/(DATOS!$B$14*E25))^2/(2*9.81)+B25+0.5*(((DATOS!$B$27*C25/(DATOS!$B$14*E25))^2/((DATOS!$B$14*E25)/(DATOS!$B$14+2*E25))^(4/3))+((DATOS!$B$27*C26/(DATOS!$B$14*((BB26+BC26)/2)))^2/((DATOS!$B$14*((BB26+BC26)/2))/(DATOS!$B$14+2*((BB26+BC26)/2)))^(4/3)))*(A25-A26)))&lt;0,((BB26+BC26)/2),BB26)</f>
        <v/>
      </c>
      <c r="BE26" s="16">
        <f>IF((((BB26+BC26)/2)+(C26/(DATOS!$B$14*((BB26+BC26)/2)))^2/(2*9.81)+B26-(E25+(C25/(DATOS!$B$14*E25))^2/(2*9.81)+B25+0.5*(((DATOS!$B$27*C25/(DATOS!$B$14*E25))^2/((DATOS!$B$14*E25)/(DATOS!$B$14+2*E25))^(4/3))+((DATOS!$B$27*C26/(DATOS!$B$14*((BB26+BC26)/2)))^2/((DATOS!$B$14*((BB26+BC26)/2))/(DATOS!$B$14+2*((BB26+BC26)/2)))^(4/3)))*(A25-A26)))&lt;0,BC26,((BB26+BC26)/2))</f>
        <v/>
      </c>
      <c r="BF26" s="16">
        <f>IF((((BD26+BE26)/2)+(C26/(DATOS!$B$14*((BD26+BE26)/2)))^2/(2*9.81)+B26-(E25+(C25/(DATOS!$B$14*E25))^2/(2*9.81)+B25+0.5*(((DATOS!$B$27*C25/(DATOS!$B$14*E25))^2/((DATOS!$B$14*E25)/(DATOS!$B$14+2*E25))^(4/3))+((DATOS!$B$27*C26/(DATOS!$B$14*((BD26+BE26)/2)))^2/((DATOS!$B$14*((BD26+BE26)/2))/(DATOS!$B$14+2*((BD26+BE26)/2)))^(4/3)))*(A25-A26)))&lt;0,((BD26+BE26)/2),BD26)</f>
        <v/>
      </c>
      <c r="BG26" s="16">
        <f>IF((((BD26+BE26)/2)+(C26/(DATOS!$B$14*((BD26+BE26)/2)))^2/(2*9.81)+B26-(E25+(C25/(DATOS!$B$14*E25))^2/(2*9.81)+B25+0.5*(((DATOS!$B$27*C25/(DATOS!$B$14*E25))^2/((DATOS!$B$14*E25)/(DATOS!$B$14+2*E25))^(4/3))+((DATOS!$B$27*C26/(DATOS!$B$14*((BD26+BE26)/2)))^2/((DATOS!$B$14*((BD26+BE26)/2))/(DATOS!$B$14+2*((BD26+BE26)/2)))^(4/3)))*(A25-A26)))&lt;0,BE26,((BD26+BE26)/2))</f>
        <v/>
      </c>
      <c r="BH26" s="16">
        <f>IF((((BF26+BG26)/2)+(C26/(DATOS!$B$14*((BF26+BG26)/2)))^2/(2*9.81)+B26-(E25+(C25/(DATOS!$B$14*E25))^2/(2*9.81)+B25+0.5*(((DATOS!$B$27*C25/(DATOS!$B$14*E25))^2/((DATOS!$B$14*E25)/(DATOS!$B$14+2*E25))^(4/3))+((DATOS!$B$27*C26/(DATOS!$B$14*((BF26+BG26)/2)))^2/((DATOS!$B$14*((BF26+BG26)/2))/(DATOS!$B$14+2*((BF26+BG26)/2)))^(4/3)))*(A25-A26)))&lt;0,((BF26+BG26)/2),BF26)</f>
        <v/>
      </c>
      <c r="BI26" s="16">
        <f>IF((((BF26+BG26)/2)+(C26/(DATOS!$B$14*((BF26+BG26)/2)))^2/(2*9.81)+B26-(E25+(C25/(DATOS!$B$14*E25))^2/(2*9.81)+B25+0.5*(((DATOS!$B$27*C25/(DATOS!$B$14*E25))^2/((DATOS!$B$14*E25)/(DATOS!$B$14+2*E25))^(4/3))+((DATOS!$B$27*C26/(DATOS!$B$14*((BF26+BG26)/2)))^2/((DATOS!$B$14*((BF26+BG26)/2))/(DATOS!$B$14+2*((BF26+BG26)/2)))^(4/3)))*(A25-A26)))&lt;0,BG26,((BF26+BG26)/2))</f>
        <v/>
      </c>
      <c r="BJ26" s="16">
        <f>IF((((BH26+BI26)/2)+(C26/(DATOS!$B$14*((BH26+BI26)/2)))^2/(2*9.81)+B26-(E25+(C25/(DATOS!$B$14*E25))^2/(2*9.81)+B25+0.5*(((DATOS!$B$27*C25/(DATOS!$B$14*E25))^2/((DATOS!$B$14*E25)/(DATOS!$B$14+2*E25))^(4/3))+((DATOS!$B$27*C26/(DATOS!$B$14*((BH26+BI26)/2)))^2/((DATOS!$B$14*((BH26+BI26)/2))/(DATOS!$B$14+2*((BH26+BI26)/2)))^(4/3)))*(A25-A26)))&lt;0,((BH26+BI26)/2),BH26)</f>
        <v/>
      </c>
      <c r="BK26" s="16">
        <f>IF((((BH26+BI26)/2)+(C26/(DATOS!$B$14*((BH26+BI26)/2)))^2/(2*9.81)+B26-(E25+(C25/(DATOS!$B$14*E25))^2/(2*9.81)+B25+0.5*(((DATOS!$B$27*C25/(DATOS!$B$14*E25))^2/((DATOS!$B$14*E25)/(DATOS!$B$14+2*E25))^(4/3))+((DATOS!$B$27*C26/(DATOS!$B$14*((BH26+BI26)/2)))^2/((DATOS!$B$14*((BH26+BI26)/2))/(DATOS!$B$14+2*((BH26+BI26)/2)))^(4/3)))*(A25-A26)))&lt;0,BI26,((BH26+BI26)/2))</f>
        <v/>
      </c>
      <c r="BL26" s="16">
        <f>IF((((BJ26+BK26)/2)+(C26/(DATOS!$B$14*((BJ26+BK26)/2)))^2/(2*9.81)+B26-(E25+(C25/(DATOS!$B$14*E25))^2/(2*9.81)+B25+0.5*(((DATOS!$B$27*C25/(DATOS!$B$14*E25))^2/((DATOS!$B$14*E25)/(DATOS!$B$14+2*E25))^(4/3))+((DATOS!$B$27*C26/(DATOS!$B$14*((BJ26+BK26)/2)))^2/((DATOS!$B$14*((BJ26+BK26)/2))/(DATOS!$B$14+2*((BJ26+BK26)/2)))^(4/3)))*(A25-A26)))&lt;0,((BJ26+BK26)/2),BJ26)</f>
        <v/>
      </c>
      <c r="BM26" s="16">
        <f>IF((((BJ26+BK26)/2)+(C26/(DATOS!$B$14*((BJ26+BK26)/2)))^2/(2*9.81)+B26-(E25+(C25/(DATOS!$B$14*E25))^2/(2*9.81)+B25+0.5*(((DATOS!$B$27*C25/(DATOS!$B$14*E25))^2/((DATOS!$B$14*E25)/(DATOS!$B$14+2*E25))^(4/3))+((DATOS!$B$27*C26/(DATOS!$B$14*((BJ26+BK26)/2)))^2/((DATOS!$B$14*((BJ26+BK26)/2))/(DATOS!$B$14+2*((BJ26+BK26)/2)))^(4/3)))*(A25-A26)))&lt;0,BK26,((BJ26+BK26)/2))</f>
        <v/>
      </c>
      <c r="BN26" s="16">
        <f>IF((((BL26+BM26)/2)+(C26/(DATOS!$B$14*((BL26+BM26)/2)))^2/(2*9.81)+B26-(E25+(C25/(DATOS!$B$14*E25))^2/(2*9.81)+B25+0.5*(((DATOS!$B$27*C25/(DATOS!$B$14*E25))^2/((DATOS!$B$14*E25)/(DATOS!$B$14+2*E25))^(4/3))+((DATOS!$B$27*C26/(DATOS!$B$14*((BL26+BM26)/2)))^2/((DATOS!$B$14*((BL26+BM26)/2))/(DATOS!$B$14+2*((BL26+BM26)/2)))^(4/3)))*(A25-A26)))&lt;0,((BL26+BM26)/2),BL26)</f>
        <v/>
      </c>
      <c r="BO26" s="16">
        <f>IF((((BL26+BM26)/2)+(C26/(DATOS!$B$14*((BL26+BM26)/2)))^2/(2*9.81)+B26-(E25+(C25/(DATOS!$B$14*E25))^2/(2*9.81)+B25+0.5*(((DATOS!$B$27*C25/(DATOS!$B$14*E25))^2/((DATOS!$B$14*E25)/(DATOS!$B$14+2*E25))^(4/3))+((DATOS!$B$27*C26/(DATOS!$B$14*((BL26+BM26)/2)))^2/((DATOS!$B$14*((BL26+BM26)/2))/(DATOS!$B$14+2*((BL26+BM26)/2)))^(4/3)))*(A25-A26)))&lt;0,BM26,((BL26+BM26)/2))</f>
        <v/>
      </c>
      <c r="BP26" s="16">
        <f>IF((((BN26+BO26)/2)+(C26/(DATOS!$B$14*((BN26+BO26)/2)))^2/(2*9.81)+B26-(E25+(C25/(DATOS!$B$14*E25))^2/(2*9.81)+B25+0.5*(((DATOS!$B$27*C25/(DATOS!$B$14*E25))^2/((DATOS!$B$14*E25)/(DATOS!$B$14+2*E25))^(4/3))+((DATOS!$B$27*C26/(DATOS!$B$14*((BN26+BO26)/2)))^2/((DATOS!$B$14*((BN26+BO26)/2))/(DATOS!$B$14+2*((BN26+BO26)/2)))^(4/3)))*(A25-A26)))&lt;0,((BN26+BO26)/2),BN26)</f>
        <v/>
      </c>
      <c r="BQ26" s="16">
        <f>IF((((BN26+BO26)/2)+(C26/(DATOS!$B$14*((BN26+BO26)/2)))^2/(2*9.81)+B26-(E25+(C25/(DATOS!$B$14*E25))^2/(2*9.81)+B25+0.5*(((DATOS!$B$27*C25/(DATOS!$B$14*E25))^2/((DATOS!$B$14*E25)/(DATOS!$B$14+2*E25))^(4/3))+((DATOS!$B$27*C26/(DATOS!$B$14*((BN26+BO26)/2)))^2/((DATOS!$B$14*((BN26+BO26)/2))/(DATOS!$B$14+2*((BN26+BO26)/2)))^(4/3)))*(A25-A26)))&lt;0,BO26,((BN26+BO26)/2))</f>
        <v/>
      </c>
      <c r="BR26" s="16">
        <f>IF((((BP26+BQ26)/2)+(C26/(DATOS!$B$14*((BP26+BQ26)/2)))^2/(2*9.81)+B26-(E25+(C25/(DATOS!$B$14*E25))^2/(2*9.81)+B25+0.5*(((DATOS!$B$27*C25/(DATOS!$B$14*E25))^2/((DATOS!$B$14*E25)/(DATOS!$B$14+2*E25))^(4/3))+((DATOS!$B$27*C26/(DATOS!$B$14*((BP26+BQ26)/2)))^2/((DATOS!$B$14*((BP26+BQ26)/2))/(DATOS!$B$14+2*((BP26+BQ26)/2)))^(4/3)))*(A25-A26)))&lt;0,((BP26+BQ26)/2),BP26)</f>
        <v/>
      </c>
      <c r="BS26" s="16">
        <f>IF((((BP26+BQ26)/2)+(C26/(DATOS!$B$14*((BP26+BQ26)/2)))^2/(2*9.81)+B26-(E25+(C25/(DATOS!$B$14*E25))^2/(2*9.81)+B25+0.5*(((DATOS!$B$27*C25/(DATOS!$B$14*E25))^2/((DATOS!$B$14*E25)/(DATOS!$B$14+2*E25))^(4/3))+((DATOS!$B$27*C26/(DATOS!$B$14*((BP26+BQ26)/2)))^2/((DATOS!$B$14*((BP26+BQ26)/2))/(DATOS!$B$14+2*((BP26+BQ26)/2)))^(4/3)))*(A25-A26)))&lt;0,BQ26,((BP26+BQ26)/2))</f>
        <v/>
      </c>
      <c r="BT26" s="16">
        <f>IF((((BR26+BS26)/2)+(C26/(DATOS!$B$14*((BR26+BS26)/2)))^2/(2*9.81)+B26-(E25+(C25/(DATOS!$B$14*E25))^2/(2*9.81)+B25+0.5*(((DATOS!$B$27*C25/(DATOS!$B$14*E25))^2/((DATOS!$B$14*E25)/(DATOS!$B$14+2*E25))^(4/3))+((DATOS!$B$27*C26/(DATOS!$B$14*((BR26+BS26)/2)))^2/((DATOS!$B$14*((BR26+BS26)/2))/(DATOS!$B$14+2*((BR26+BS26)/2)))^(4/3)))*(A25-A26)))&lt;0,((BR26+BS26)/2),BR26)</f>
        <v/>
      </c>
      <c r="BU26" s="16">
        <f>IF((((BR26+BS26)/2)+(C26/(DATOS!$B$14*((BR26+BS26)/2)))^2/(2*9.81)+B26-(E25+(C25/(DATOS!$B$14*E25))^2/(2*9.81)+B25+0.5*(((DATOS!$B$27*C25/(DATOS!$B$14*E25))^2/((DATOS!$B$14*E25)/(DATOS!$B$14+2*E25))^(4/3))+((DATOS!$B$27*C26/(DATOS!$B$14*((BR26+BS26)/2)))^2/((DATOS!$B$14*((BR26+BS26)/2))/(DATOS!$B$14+2*((BR26+BS26)/2)))^(4/3)))*(A25-A26)))&lt;0,BS26,((BR26+BS26)/2))</f>
        <v/>
      </c>
    </row>
    <row r="27">
      <c r="A27" s="30" t="n">
        <v>96</v>
      </c>
      <c r="B27" s="21">
        <f>DATOS!$B$16-DATOS!$B$19*A27</f>
        <v/>
      </c>
      <c r="C27" s="21">
        <f>IF(A27&lt;CAUDALES!$B$13,CAUDALES!$D$12,IF(A27&lt;CAUDALES!$B$14,CAUDALES!$D$13,IF(A27&lt;CAUDALES!$B$15,CAUDALES!$D$14,CAUDALES!$D$15)))/1000</f>
        <v/>
      </c>
      <c r="D27" s="21">
        <f>(C27^2/(9.81*DATOS!$B$14^2))^(1/3)</f>
        <v/>
      </c>
      <c r="E27" s="29">
        <f>(BT27+BU27)/2</f>
        <v/>
      </c>
      <c r="F27" s="21">
        <f>B27+E27</f>
        <v/>
      </c>
      <c r="G27" s="17">
        <f>C27/(DATOS!$B$14*E27)</f>
        <v/>
      </c>
      <c r="H27" s="17">
        <f>G27/SQRT(9.81*E27)</f>
        <v/>
      </c>
      <c r="I27" s="21">
        <f>IF(A27&lt;=DATOS!$B$20,DATOS!$B$21-IF(AND(A27&gt;=DATOS!$B$23,A27&lt;DATOS!$B$24),DATOS!$B$25,DATOS!$B$22),B27+DATOS!$B$26)</f>
        <v/>
      </c>
      <c r="J27" s="17">
        <f>I27-B27</f>
        <v/>
      </c>
      <c r="K27" s="31">
        <f>E27/J27</f>
        <v/>
      </c>
      <c r="L27" s="21">
        <f>I27-F27</f>
        <v/>
      </c>
      <c r="M27" s="32">
        <f>IF(AND(K27&lt;=DATOS!$B$29,L27&gt;=DATOS!$B$30),"CUMPLE","NO CUMPLE")</f>
        <v/>
      </c>
      <c r="N27" s="13">
        <f>IF(A27&gt;DATOS!$B$20,"cubierto - tramo final",IF(AND(A27&gt;=DATOS!$B$23,A27&lt;DATOS!$B$24),"cubierto - camiones","cubierto"))</f>
        <v/>
      </c>
      <c r="P27" s="16">
        <f>D27*1.001</f>
        <v/>
      </c>
      <c r="Q27" s="16" t="n">
        <v>2</v>
      </c>
      <c r="R27" s="16">
        <f>IF((((P27+Q27)/2)+(C27/(DATOS!$B$14*((P27+Q27)/2)))^2/(2*9.81)+B27-(E26+(C26/(DATOS!$B$14*E26))^2/(2*9.81)+B26+0.5*(((DATOS!$B$27*C26/(DATOS!$B$14*E26))^2/((DATOS!$B$14*E26)/(DATOS!$B$14+2*E26))^(4/3))+((DATOS!$B$27*C27/(DATOS!$B$14*((P27+Q27)/2)))^2/((DATOS!$B$14*((P27+Q27)/2))/(DATOS!$B$14+2*((P27+Q27)/2)))^(4/3)))*(A26-A27)))&lt;0,((P27+Q27)/2),P27)</f>
        <v/>
      </c>
      <c r="S27" s="16">
        <f>IF((((P27+Q27)/2)+(C27/(DATOS!$B$14*((P27+Q27)/2)))^2/(2*9.81)+B27-(E26+(C26/(DATOS!$B$14*E26))^2/(2*9.81)+B26+0.5*(((DATOS!$B$27*C26/(DATOS!$B$14*E26))^2/((DATOS!$B$14*E26)/(DATOS!$B$14+2*E26))^(4/3))+((DATOS!$B$27*C27/(DATOS!$B$14*((P27+Q27)/2)))^2/((DATOS!$B$14*((P27+Q27)/2))/(DATOS!$B$14+2*((P27+Q27)/2)))^(4/3)))*(A26-A27)))&lt;0,Q27,((P27+Q27)/2))</f>
        <v/>
      </c>
      <c r="T27" s="16">
        <f>IF((((R27+S27)/2)+(C27/(DATOS!$B$14*((R27+S27)/2)))^2/(2*9.81)+B27-(E26+(C26/(DATOS!$B$14*E26))^2/(2*9.81)+B26+0.5*(((DATOS!$B$27*C26/(DATOS!$B$14*E26))^2/((DATOS!$B$14*E26)/(DATOS!$B$14+2*E26))^(4/3))+((DATOS!$B$27*C27/(DATOS!$B$14*((R27+S27)/2)))^2/((DATOS!$B$14*((R27+S27)/2))/(DATOS!$B$14+2*((R27+S27)/2)))^(4/3)))*(A26-A27)))&lt;0,((R27+S27)/2),R27)</f>
        <v/>
      </c>
      <c r="U27" s="16">
        <f>IF((((R27+S27)/2)+(C27/(DATOS!$B$14*((R27+S27)/2)))^2/(2*9.81)+B27-(E26+(C26/(DATOS!$B$14*E26))^2/(2*9.81)+B26+0.5*(((DATOS!$B$27*C26/(DATOS!$B$14*E26))^2/((DATOS!$B$14*E26)/(DATOS!$B$14+2*E26))^(4/3))+((DATOS!$B$27*C27/(DATOS!$B$14*((R27+S27)/2)))^2/((DATOS!$B$14*((R27+S27)/2))/(DATOS!$B$14+2*((R27+S27)/2)))^(4/3)))*(A26-A27)))&lt;0,S27,((R27+S27)/2))</f>
        <v/>
      </c>
      <c r="V27" s="16">
        <f>IF((((T27+U27)/2)+(C27/(DATOS!$B$14*((T27+U27)/2)))^2/(2*9.81)+B27-(E26+(C26/(DATOS!$B$14*E26))^2/(2*9.81)+B26+0.5*(((DATOS!$B$27*C26/(DATOS!$B$14*E26))^2/((DATOS!$B$14*E26)/(DATOS!$B$14+2*E26))^(4/3))+((DATOS!$B$27*C27/(DATOS!$B$14*((T27+U27)/2)))^2/((DATOS!$B$14*((T27+U27)/2))/(DATOS!$B$14+2*((T27+U27)/2)))^(4/3)))*(A26-A27)))&lt;0,((T27+U27)/2),T27)</f>
        <v/>
      </c>
      <c r="W27" s="16">
        <f>IF((((T27+U27)/2)+(C27/(DATOS!$B$14*((T27+U27)/2)))^2/(2*9.81)+B27-(E26+(C26/(DATOS!$B$14*E26))^2/(2*9.81)+B26+0.5*(((DATOS!$B$27*C26/(DATOS!$B$14*E26))^2/((DATOS!$B$14*E26)/(DATOS!$B$14+2*E26))^(4/3))+((DATOS!$B$27*C27/(DATOS!$B$14*((T27+U27)/2)))^2/((DATOS!$B$14*((T27+U27)/2))/(DATOS!$B$14+2*((T27+U27)/2)))^(4/3)))*(A26-A27)))&lt;0,U27,((T27+U27)/2))</f>
        <v/>
      </c>
      <c r="X27" s="16">
        <f>IF((((V27+W27)/2)+(C27/(DATOS!$B$14*((V27+W27)/2)))^2/(2*9.81)+B27-(E26+(C26/(DATOS!$B$14*E26))^2/(2*9.81)+B26+0.5*(((DATOS!$B$27*C26/(DATOS!$B$14*E26))^2/((DATOS!$B$14*E26)/(DATOS!$B$14+2*E26))^(4/3))+((DATOS!$B$27*C27/(DATOS!$B$14*((V27+W27)/2)))^2/((DATOS!$B$14*((V27+W27)/2))/(DATOS!$B$14+2*((V27+W27)/2)))^(4/3)))*(A26-A27)))&lt;0,((V27+W27)/2),V27)</f>
        <v/>
      </c>
      <c r="Y27" s="16">
        <f>IF((((V27+W27)/2)+(C27/(DATOS!$B$14*((V27+W27)/2)))^2/(2*9.81)+B27-(E26+(C26/(DATOS!$B$14*E26))^2/(2*9.81)+B26+0.5*(((DATOS!$B$27*C26/(DATOS!$B$14*E26))^2/((DATOS!$B$14*E26)/(DATOS!$B$14+2*E26))^(4/3))+((DATOS!$B$27*C27/(DATOS!$B$14*((V27+W27)/2)))^2/((DATOS!$B$14*((V27+W27)/2))/(DATOS!$B$14+2*((V27+W27)/2)))^(4/3)))*(A26-A27)))&lt;0,W27,((V27+W27)/2))</f>
        <v/>
      </c>
      <c r="Z27" s="16">
        <f>IF((((X27+Y27)/2)+(C27/(DATOS!$B$14*((X27+Y27)/2)))^2/(2*9.81)+B27-(E26+(C26/(DATOS!$B$14*E26))^2/(2*9.81)+B26+0.5*(((DATOS!$B$27*C26/(DATOS!$B$14*E26))^2/((DATOS!$B$14*E26)/(DATOS!$B$14+2*E26))^(4/3))+((DATOS!$B$27*C27/(DATOS!$B$14*((X27+Y27)/2)))^2/((DATOS!$B$14*((X27+Y27)/2))/(DATOS!$B$14+2*((X27+Y27)/2)))^(4/3)))*(A26-A27)))&lt;0,((X27+Y27)/2),X27)</f>
        <v/>
      </c>
      <c r="AA27" s="16">
        <f>IF((((X27+Y27)/2)+(C27/(DATOS!$B$14*((X27+Y27)/2)))^2/(2*9.81)+B27-(E26+(C26/(DATOS!$B$14*E26))^2/(2*9.81)+B26+0.5*(((DATOS!$B$27*C26/(DATOS!$B$14*E26))^2/((DATOS!$B$14*E26)/(DATOS!$B$14+2*E26))^(4/3))+((DATOS!$B$27*C27/(DATOS!$B$14*((X27+Y27)/2)))^2/((DATOS!$B$14*((X27+Y27)/2))/(DATOS!$B$14+2*((X27+Y27)/2)))^(4/3)))*(A26-A27)))&lt;0,Y27,((X27+Y27)/2))</f>
        <v/>
      </c>
      <c r="AB27" s="16">
        <f>IF((((Z27+AA27)/2)+(C27/(DATOS!$B$14*((Z27+AA27)/2)))^2/(2*9.81)+B27-(E26+(C26/(DATOS!$B$14*E26))^2/(2*9.81)+B26+0.5*(((DATOS!$B$27*C26/(DATOS!$B$14*E26))^2/((DATOS!$B$14*E26)/(DATOS!$B$14+2*E26))^(4/3))+((DATOS!$B$27*C27/(DATOS!$B$14*((Z27+AA27)/2)))^2/((DATOS!$B$14*((Z27+AA27)/2))/(DATOS!$B$14+2*((Z27+AA27)/2)))^(4/3)))*(A26-A27)))&lt;0,((Z27+AA27)/2),Z27)</f>
        <v/>
      </c>
      <c r="AC27" s="16">
        <f>IF((((Z27+AA27)/2)+(C27/(DATOS!$B$14*((Z27+AA27)/2)))^2/(2*9.81)+B27-(E26+(C26/(DATOS!$B$14*E26))^2/(2*9.81)+B26+0.5*(((DATOS!$B$27*C26/(DATOS!$B$14*E26))^2/((DATOS!$B$14*E26)/(DATOS!$B$14+2*E26))^(4/3))+((DATOS!$B$27*C27/(DATOS!$B$14*((Z27+AA27)/2)))^2/((DATOS!$B$14*((Z27+AA27)/2))/(DATOS!$B$14+2*((Z27+AA27)/2)))^(4/3)))*(A26-A27)))&lt;0,AA27,((Z27+AA27)/2))</f>
        <v/>
      </c>
      <c r="AD27" s="16">
        <f>IF((((AB27+AC27)/2)+(C27/(DATOS!$B$14*((AB27+AC27)/2)))^2/(2*9.81)+B27-(E26+(C26/(DATOS!$B$14*E26))^2/(2*9.81)+B26+0.5*(((DATOS!$B$27*C26/(DATOS!$B$14*E26))^2/((DATOS!$B$14*E26)/(DATOS!$B$14+2*E26))^(4/3))+((DATOS!$B$27*C27/(DATOS!$B$14*((AB27+AC27)/2)))^2/((DATOS!$B$14*((AB27+AC27)/2))/(DATOS!$B$14+2*((AB27+AC27)/2)))^(4/3)))*(A26-A27)))&lt;0,((AB27+AC27)/2),AB27)</f>
        <v/>
      </c>
      <c r="AE27" s="16">
        <f>IF((((AB27+AC27)/2)+(C27/(DATOS!$B$14*((AB27+AC27)/2)))^2/(2*9.81)+B27-(E26+(C26/(DATOS!$B$14*E26))^2/(2*9.81)+B26+0.5*(((DATOS!$B$27*C26/(DATOS!$B$14*E26))^2/((DATOS!$B$14*E26)/(DATOS!$B$14+2*E26))^(4/3))+((DATOS!$B$27*C27/(DATOS!$B$14*((AB27+AC27)/2)))^2/((DATOS!$B$14*((AB27+AC27)/2))/(DATOS!$B$14+2*((AB27+AC27)/2)))^(4/3)))*(A26-A27)))&lt;0,AC27,((AB27+AC27)/2))</f>
        <v/>
      </c>
      <c r="AF27" s="16">
        <f>IF((((AD27+AE27)/2)+(C27/(DATOS!$B$14*((AD27+AE27)/2)))^2/(2*9.81)+B27-(E26+(C26/(DATOS!$B$14*E26))^2/(2*9.81)+B26+0.5*(((DATOS!$B$27*C26/(DATOS!$B$14*E26))^2/((DATOS!$B$14*E26)/(DATOS!$B$14+2*E26))^(4/3))+((DATOS!$B$27*C27/(DATOS!$B$14*((AD27+AE27)/2)))^2/((DATOS!$B$14*((AD27+AE27)/2))/(DATOS!$B$14+2*((AD27+AE27)/2)))^(4/3)))*(A26-A27)))&lt;0,((AD27+AE27)/2),AD27)</f>
        <v/>
      </c>
      <c r="AG27" s="16">
        <f>IF((((AD27+AE27)/2)+(C27/(DATOS!$B$14*((AD27+AE27)/2)))^2/(2*9.81)+B27-(E26+(C26/(DATOS!$B$14*E26))^2/(2*9.81)+B26+0.5*(((DATOS!$B$27*C26/(DATOS!$B$14*E26))^2/((DATOS!$B$14*E26)/(DATOS!$B$14+2*E26))^(4/3))+((DATOS!$B$27*C27/(DATOS!$B$14*((AD27+AE27)/2)))^2/((DATOS!$B$14*((AD27+AE27)/2))/(DATOS!$B$14+2*((AD27+AE27)/2)))^(4/3)))*(A26-A27)))&lt;0,AE27,((AD27+AE27)/2))</f>
        <v/>
      </c>
      <c r="AH27" s="16">
        <f>IF((((AF27+AG27)/2)+(C27/(DATOS!$B$14*((AF27+AG27)/2)))^2/(2*9.81)+B27-(E26+(C26/(DATOS!$B$14*E26))^2/(2*9.81)+B26+0.5*(((DATOS!$B$27*C26/(DATOS!$B$14*E26))^2/((DATOS!$B$14*E26)/(DATOS!$B$14+2*E26))^(4/3))+((DATOS!$B$27*C27/(DATOS!$B$14*((AF27+AG27)/2)))^2/((DATOS!$B$14*((AF27+AG27)/2))/(DATOS!$B$14+2*((AF27+AG27)/2)))^(4/3)))*(A26-A27)))&lt;0,((AF27+AG27)/2),AF27)</f>
        <v/>
      </c>
      <c r="AI27" s="16">
        <f>IF((((AF27+AG27)/2)+(C27/(DATOS!$B$14*((AF27+AG27)/2)))^2/(2*9.81)+B27-(E26+(C26/(DATOS!$B$14*E26))^2/(2*9.81)+B26+0.5*(((DATOS!$B$27*C26/(DATOS!$B$14*E26))^2/((DATOS!$B$14*E26)/(DATOS!$B$14+2*E26))^(4/3))+((DATOS!$B$27*C27/(DATOS!$B$14*((AF27+AG27)/2)))^2/((DATOS!$B$14*((AF27+AG27)/2))/(DATOS!$B$14+2*((AF27+AG27)/2)))^(4/3)))*(A26-A27)))&lt;0,AG27,((AF27+AG27)/2))</f>
        <v/>
      </c>
      <c r="AJ27" s="16">
        <f>IF((((AH27+AI27)/2)+(C27/(DATOS!$B$14*((AH27+AI27)/2)))^2/(2*9.81)+B27-(E26+(C26/(DATOS!$B$14*E26))^2/(2*9.81)+B26+0.5*(((DATOS!$B$27*C26/(DATOS!$B$14*E26))^2/((DATOS!$B$14*E26)/(DATOS!$B$14+2*E26))^(4/3))+((DATOS!$B$27*C27/(DATOS!$B$14*((AH27+AI27)/2)))^2/((DATOS!$B$14*((AH27+AI27)/2))/(DATOS!$B$14+2*((AH27+AI27)/2)))^(4/3)))*(A26-A27)))&lt;0,((AH27+AI27)/2),AH27)</f>
        <v/>
      </c>
      <c r="AK27" s="16">
        <f>IF((((AH27+AI27)/2)+(C27/(DATOS!$B$14*((AH27+AI27)/2)))^2/(2*9.81)+B27-(E26+(C26/(DATOS!$B$14*E26))^2/(2*9.81)+B26+0.5*(((DATOS!$B$27*C26/(DATOS!$B$14*E26))^2/((DATOS!$B$14*E26)/(DATOS!$B$14+2*E26))^(4/3))+((DATOS!$B$27*C27/(DATOS!$B$14*((AH27+AI27)/2)))^2/((DATOS!$B$14*((AH27+AI27)/2))/(DATOS!$B$14+2*((AH27+AI27)/2)))^(4/3)))*(A26-A27)))&lt;0,AI27,((AH27+AI27)/2))</f>
        <v/>
      </c>
      <c r="AL27" s="16">
        <f>IF((((AJ27+AK27)/2)+(C27/(DATOS!$B$14*((AJ27+AK27)/2)))^2/(2*9.81)+B27-(E26+(C26/(DATOS!$B$14*E26))^2/(2*9.81)+B26+0.5*(((DATOS!$B$27*C26/(DATOS!$B$14*E26))^2/((DATOS!$B$14*E26)/(DATOS!$B$14+2*E26))^(4/3))+((DATOS!$B$27*C27/(DATOS!$B$14*((AJ27+AK27)/2)))^2/((DATOS!$B$14*((AJ27+AK27)/2))/(DATOS!$B$14+2*((AJ27+AK27)/2)))^(4/3)))*(A26-A27)))&lt;0,((AJ27+AK27)/2),AJ27)</f>
        <v/>
      </c>
      <c r="AM27" s="16">
        <f>IF((((AJ27+AK27)/2)+(C27/(DATOS!$B$14*((AJ27+AK27)/2)))^2/(2*9.81)+B27-(E26+(C26/(DATOS!$B$14*E26))^2/(2*9.81)+B26+0.5*(((DATOS!$B$27*C26/(DATOS!$B$14*E26))^2/((DATOS!$B$14*E26)/(DATOS!$B$14+2*E26))^(4/3))+((DATOS!$B$27*C27/(DATOS!$B$14*((AJ27+AK27)/2)))^2/((DATOS!$B$14*((AJ27+AK27)/2))/(DATOS!$B$14+2*((AJ27+AK27)/2)))^(4/3)))*(A26-A27)))&lt;0,AK27,((AJ27+AK27)/2))</f>
        <v/>
      </c>
      <c r="AN27" s="16">
        <f>IF((((AL27+AM27)/2)+(C27/(DATOS!$B$14*((AL27+AM27)/2)))^2/(2*9.81)+B27-(E26+(C26/(DATOS!$B$14*E26))^2/(2*9.81)+B26+0.5*(((DATOS!$B$27*C26/(DATOS!$B$14*E26))^2/((DATOS!$B$14*E26)/(DATOS!$B$14+2*E26))^(4/3))+((DATOS!$B$27*C27/(DATOS!$B$14*((AL27+AM27)/2)))^2/((DATOS!$B$14*((AL27+AM27)/2))/(DATOS!$B$14+2*((AL27+AM27)/2)))^(4/3)))*(A26-A27)))&lt;0,((AL27+AM27)/2),AL27)</f>
        <v/>
      </c>
      <c r="AO27" s="16">
        <f>IF((((AL27+AM27)/2)+(C27/(DATOS!$B$14*((AL27+AM27)/2)))^2/(2*9.81)+B27-(E26+(C26/(DATOS!$B$14*E26))^2/(2*9.81)+B26+0.5*(((DATOS!$B$27*C26/(DATOS!$B$14*E26))^2/((DATOS!$B$14*E26)/(DATOS!$B$14+2*E26))^(4/3))+((DATOS!$B$27*C27/(DATOS!$B$14*((AL27+AM27)/2)))^2/((DATOS!$B$14*((AL27+AM27)/2))/(DATOS!$B$14+2*((AL27+AM27)/2)))^(4/3)))*(A26-A27)))&lt;0,AM27,((AL27+AM27)/2))</f>
        <v/>
      </c>
      <c r="AP27" s="16">
        <f>IF((((AN27+AO27)/2)+(C27/(DATOS!$B$14*((AN27+AO27)/2)))^2/(2*9.81)+B27-(E26+(C26/(DATOS!$B$14*E26))^2/(2*9.81)+B26+0.5*(((DATOS!$B$27*C26/(DATOS!$B$14*E26))^2/((DATOS!$B$14*E26)/(DATOS!$B$14+2*E26))^(4/3))+((DATOS!$B$27*C27/(DATOS!$B$14*((AN27+AO27)/2)))^2/((DATOS!$B$14*((AN27+AO27)/2))/(DATOS!$B$14+2*((AN27+AO27)/2)))^(4/3)))*(A26-A27)))&lt;0,((AN27+AO27)/2),AN27)</f>
        <v/>
      </c>
      <c r="AQ27" s="16">
        <f>IF((((AN27+AO27)/2)+(C27/(DATOS!$B$14*((AN27+AO27)/2)))^2/(2*9.81)+B27-(E26+(C26/(DATOS!$B$14*E26))^2/(2*9.81)+B26+0.5*(((DATOS!$B$27*C26/(DATOS!$B$14*E26))^2/((DATOS!$B$14*E26)/(DATOS!$B$14+2*E26))^(4/3))+((DATOS!$B$27*C27/(DATOS!$B$14*((AN27+AO27)/2)))^2/((DATOS!$B$14*((AN27+AO27)/2))/(DATOS!$B$14+2*((AN27+AO27)/2)))^(4/3)))*(A26-A27)))&lt;0,AO27,((AN27+AO27)/2))</f>
        <v/>
      </c>
      <c r="AR27" s="16">
        <f>IF((((AP27+AQ27)/2)+(C27/(DATOS!$B$14*((AP27+AQ27)/2)))^2/(2*9.81)+B27-(E26+(C26/(DATOS!$B$14*E26))^2/(2*9.81)+B26+0.5*(((DATOS!$B$27*C26/(DATOS!$B$14*E26))^2/((DATOS!$B$14*E26)/(DATOS!$B$14+2*E26))^(4/3))+((DATOS!$B$27*C27/(DATOS!$B$14*((AP27+AQ27)/2)))^2/((DATOS!$B$14*((AP27+AQ27)/2))/(DATOS!$B$14+2*((AP27+AQ27)/2)))^(4/3)))*(A26-A27)))&lt;0,((AP27+AQ27)/2),AP27)</f>
        <v/>
      </c>
      <c r="AS27" s="16">
        <f>IF((((AP27+AQ27)/2)+(C27/(DATOS!$B$14*((AP27+AQ27)/2)))^2/(2*9.81)+B27-(E26+(C26/(DATOS!$B$14*E26))^2/(2*9.81)+B26+0.5*(((DATOS!$B$27*C26/(DATOS!$B$14*E26))^2/((DATOS!$B$14*E26)/(DATOS!$B$14+2*E26))^(4/3))+((DATOS!$B$27*C27/(DATOS!$B$14*((AP27+AQ27)/2)))^2/((DATOS!$B$14*((AP27+AQ27)/2))/(DATOS!$B$14+2*((AP27+AQ27)/2)))^(4/3)))*(A26-A27)))&lt;0,AQ27,((AP27+AQ27)/2))</f>
        <v/>
      </c>
      <c r="AT27" s="16">
        <f>IF((((AR27+AS27)/2)+(C27/(DATOS!$B$14*((AR27+AS27)/2)))^2/(2*9.81)+B27-(E26+(C26/(DATOS!$B$14*E26))^2/(2*9.81)+B26+0.5*(((DATOS!$B$27*C26/(DATOS!$B$14*E26))^2/((DATOS!$B$14*E26)/(DATOS!$B$14+2*E26))^(4/3))+((DATOS!$B$27*C27/(DATOS!$B$14*((AR27+AS27)/2)))^2/((DATOS!$B$14*((AR27+AS27)/2))/(DATOS!$B$14+2*((AR27+AS27)/2)))^(4/3)))*(A26-A27)))&lt;0,((AR27+AS27)/2),AR27)</f>
        <v/>
      </c>
      <c r="AU27" s="16">
        <f>IF((((AR27+AS27)/2)+(C27/(DATOS!$B$14*((AR27+AS27)/2)))^2/(2*9.81)+B27-(E26+(C26/(DATOS!$B$14*E26))^2/(2*9.81)+B26+0.5*(((DATOS!$B$27*C26/(DATOS!$B$14*E26))^2/((DATOS!$B$14*E26)/(DATOS!$B$14+2*E26))^(4/3))+((DATOS!$B$27*C27/(DATOS!$B$14*((AR27+AS27)/2)))^2/((DATOS!$B$14*((AR27+AS27)/2))/(DATOS!$B$14+2*((AR27+AS27)/2)))^(4/3)))*(A26-A27)))&lt;0,AS27,((AR27+AS27)/2))</f>
        <v/>
      </c>
      <c r="AV27" s="16">
        <f>IF((((AT27+AU27)/2)+(C27/(DATOS!$B$14*((AT27+AU27)/2)))^2/(2*9.81)+B27-(E26+(C26/(DATOS!$B$14*E26))^2/(2*9.81)+B26+0.5*(((DATOS!$B$27*C26/(DATOS!$B$14*E26))^2/((DATOS!$B$14*E26)/(DATOS!$B$14+2*E26))^(4/3))+((DATOS!$B$27*C27/(DATOS!$B$14*((AT27+AU27)/2)))^2/((DATOS!$B$14*((AT27+AU27)/2))/(DATOS!$B$14+2*((AT27+AU27)/2)))^(4/3)))*(A26-A27)))&lt;0,((AT27+AU27)/2),AT27)</f>
        <v/>
      </c>
      <c r="AW27" s="16">
        <f>IF((((AT27+AU27)/2)+(C27/(DATOS!$B$14*((AT27+AU27)/2)))^2/(2*9.81)+B27-(E26+(C26/(DATOS!$B$14*E26))^2/(2*9.81)+B26+0.5*(((DATOS!$B$27*C26/(DATOS!$B$14*E26))^2/((DATOS!$B$14*E26)/(DATOS!$B$14+2*E26))^(4/3))+((DATOS!$B$27*C27/(DATOS!$B$14*((AT27+AU27)/2)))^2/((DATOS!$B$14*((AT27+AU27)/2))/(DATOS!$B$14+2*((AT27+AU27)/2)))^(4/3)))*(A26-A27)))&lt;0,AU27,((AT27+AU27)/2))</f>
        <v/>
      </c>
      <c r="AX27" s="16">
        <f>IF((((AV27+AW27)/2)+(C27/(DATOS!$B$14*((AV27+AW27)/2)))^2/(2*9.81)+B27-(E26+(C26/(DATOS!$B$14*E26))^2/(2*9.81)+B26+0.5*(((DATOS!$B$27*C26/(DATOS!$B$14*E26))^2/((DATOS!$B$14*E26)/(DATOS!$B$14+2*E26))^(4/3))+((DATOS!$B$27*C27/(DATOS!$B$14*((AV27+AW27)/2)))^2/((DATOS!$B$14*((AV27+AW27)/2))/(DATOS!$B$14+2*((AV27+AW27)/2)))^(4/3)))*(A26-A27)))&lt;0,((AV27+AW27)/2),AV27)</f>
        <v/>
      </c>
      <c r="AY27" s="16">
        <f>IF((((AV27+AW27)/2)+(C27/(DATOS!$B$14*((AV27+AW27)/2)))^2/(2*9.81)+B27-(E26+(C26/(DATOS!$B$14*E26))^2/(2*9.81)+B26+0.5*(((DATOS!$B$27*C26/(DATOS!$B$14*E26))^2/((DATOS!$B$14*E26)/(DATOS!$B$14+2*E26))^(4/3))+((DATOS!$B$27*C27/(DATOS!$B$14*((AV27+AW27)/2)))^2/((DATOS!$B$14*((AV27+AW27)/2))/(DATOS!$B$14+2*((AV27+AW27)/2)))^(4/3)))*(A26-A27)))&lt;0,AW27,((AV27+AW27)/2))</f>
        <v/>
      </c>
      <c r="AZ27" s="16">
        <f>IF((((AX27+AY27)/2)+(C27/(DATOS!$B$14*((AX27+AY27)/2)))^2/(2*9.81)+B27-(E26+(C26/(DATOS!$B$14*E26))^2/(2*9.81)+B26+0.5*(((DATOS!$B$27*C26/(DATOS!$B$14*E26))^2/((DATOS!$B$14*E26)/(DATOS!$B$14+2*E26))^(4/3))+((DATOS!$B$27*C27/(DATOS!$B$14*((AX27+AY27)/2)))^2/((DATOS!$B$14*((AX27+AY27)/2))/(DATOS!$B$14+2*((AX27+AY27)/2)))^(4/3)))*(A26-A27)))&lt;0,((AX27+AY27)/2),AX27)</f>
        <v/>
      </c>
      <c r="BA27" s="16">
        <f>IF((((AX27+AY27)/2)+(C27/(DATOS!$B$14*((AX27+AY27)/2)))^2/(2*9.81)+B27-(E26+(C26/(DATOS!$B$14*E26))^2/(2*9.81)+B26+0.5*(((DATOS!$B$27*C26/(DATOS!$B$14*E26))^2/((DATOS!$B$14*E26)/(DATOS!$B$14+2*E26))^(4/3))+((DATOS!$B$27*C27/(DATOS!$B$14*((AX27+AY27)/2)))^2/((DATOS!$B$14*((AX27+AY27)/2))/(DATOS!$B$14+2*((AX27+AY27)/2)))^(4/3)))*(A26-A27)))&lt;0,AY27,((AX27+AY27)/2))</f>
        <v/>
      </c>
      <c r="BB27" s="16">
        <f>IF((((AZ27+BA27)/2)+(C27/(DATOS!$B$14*((AZ27+BA27)/2)))^2/(2*9.81)+B27-(E26+(C26/(DATOS!$B$14*E26))^2/(2*9.81)+B26+0.5*(((DATOS!$B$27*C26/(DATOS!$B$14*E26))^2/((DATOS!$B$14*E26)/(DATOS!$B$14+2*E26))^(4/3))+((DATOS!$B$27*C27/(DATOS!$B$14*((AZ27+BA27)/2)))^2/((DATOS!$B$14*((AZ27+BA27)/2))/(DATOS!$B$14+2*((AZ27+BA27)/2)))^(4/3)))*(A26-A27)))&lt;0,((AZ27+BA27)/2),AZ27)</f>
        <v/>
      </c>
      <c r="BC27" s="16">
        <f>IF((((AZ27+BA27)/2)+(C27/(DATOS!$B$14*((AZ27+BA27)/2)))^2/(2*9.81)+B27-(E26+(C26/(DATOS!$B$14*E26))^2/(2*9.81)+B26+0.5*(((DATOS!$B$27*C26/(DATOS!$B$14*E26))^2/((DATOS!$B$14*E26)/(DATOS!$B$14+2*E26))^(4/3))+((DATOS!$B$27*C27/(DATOS!$B$14*((AZ27+BA27)/2)))^2/((DATOS!$B$14*((AZ27+BA27)/2))/(DATOS!$B$14+2*((AZ27+BA27)/2)))^(4/3)))*(A26-A27)))&lt;0,BA27,((AZ27+BA27)/2))</f>
        <v/>
      </c>
      <c r="BD27" s="16">
        <f>IF((((BB27+BC27)/2)+(C27/(DATOS!$B$14*((BB27+BC27)/2)))^2/(2*9.81)+B27-(E26+(C26/(DATOS!$B$14*E26))^2/(2*9.81)+B26+0.5*(((DATOS!$B$27*C26/(DATOS!$B$14*E26))^2/((DATOS!$B$14*E26)/(DATOS!$B$14+2*E26))^(4/3))+((DATOS!$B$27*C27/(DATOS!$B$14*((BB27+BC27)/2)))^2/((DATOS!$B$14*((BB27+BC27)/2))/(DATOS!$B$14+2*((BB27+BC27)/2)))^(4/3)))*(A26-A27)))&lt;0,((BB27+BC27)/2),BB27)</f>
        <v/>
      </c>
      <c r="BE27" s="16">
        <f>IF((((BB27+BC27)/2)+(C27/(DATOS!$B$14*((BB27+BC27)/2)))^2/(2*9.81)+B27-(E26+(C26/(DATOS!$B$14*E26))^2/(2*9.81)+B26+0.5*(((DATOS!$B$27*C26/(DATOS!$B$14*E26))^2/((DATOS!$B$14*E26)/(DATOS!$B$14+2*E26))^(4/3))+((DATOS!$B$27*C27/(DATOS!$B$14*((BB27+BC27)/2)))^2/((DATOS!$B$14*((BB27+BC27)/2))/(DATOS!$B$14+2*((BB27+BC27)/2)))^(4/3)))*(A26-A27)))&lt;0,BC27,((BB27+BC27)/2))</f>
        <v/>
      </c>
      <c r="BF27" s="16">
        <f>IF((((BD27+BE27)/2)+(C27/(DATOS!$B$14*((BD27+BE27)/2)))^2/(2*9.81)+B27-(E26+(C26/(DATOS!$B$14*E26))^2/(2*9.81)+B26+0.5*(((DATOS!$B$27*C26/(DATOS!$B$14*E26))^2/((DATOS!$B$14*E26)/(DATOS!$B$14+2*E26))^(4/3))+((DATOS!$B$27*C27/(DATOS!$B$14*((BD27+BE27)/2)))^2/((DATOS!$B$14*((BD27+BE27)/2))/(DATOS!$B$14+2*((BD27+BE27)/2)))^(4/3)))*(A26-A27)))&lt;0,((BD27+BE27)/2),BD27)</f>
        <v/>
      </c>
      <c r="BG27" s="16">
        <f>IF((((BD27+BE27)/2)+(C27/(DATOS!$B$14*((BD27+BE27)/2)))^2/(2*9.81)+B27-(E26+(C26/(DATOS!$B$14*E26))^2/(2*9.81)+B26+0.5*(((DATOS!$B$27*C26/(DATOS!$B$14*E26))^2/((DATOS!$B$14*E26)/(DATOS!$B$14+2*E26))^(4/3))+((DATOS!$B$27*C27/(DATOS!$B$14*((BD27+BE27)/2)))^2/((DATOS!$B$14*((BD27+BE27)/2))/(DATOS!$B$14+2*((BD27+BE27)/2)))^(4/3)))*(A26-A27)))&lt;0,BE27,((BD27+BE27)/2))</f>
        <v/>
      </c>
      <c r="BH27" s="16">
        <f>IF((((BF27+BG27)/2)+(C27/(DATOS!$B$14*((BF27+BG27)/2)))^2/(2*9.81)+B27-(E26+(C26/(DATOS!$B$14*E26))^2/(2*9.81)+B26+0.5*(((DATOS!$B$27*C26/(DATOS!$B$14*E26))^2/((DATOS!$B$14*E26)/(DATOS!$B$14+2*E26))^(4/3))+((DATOS!$B$27*C27/(DATOS!$B$14*((BF27+BG27)/2)))^2/((DATOS!$B$14*((BF27+BG27)/2))/(DATOS!$B$14+2*((BF27+BG27)/2)))^(4/3)))*(A26-A27)))&lt;0,((BF27+BG27)/2),BF27)</f>
        <v/>
      </c>
      <c r="BI27" s="16">
        <f>IF((((BF27+BG27)/2)+(C27/(DATOS!$B$14*((BF27+BG27)/2)))^2/(2*9.81)+B27-(E26+(C26/(DATOS!$B$14*E26))^2/(2*9.81)+B26+0.5*(((DATOS!$B$27*C26/(DATOS!$B$14*E26))^2/((DATOS!$B$14*E26)/(DATOS!$B$14+2*E26))^(4/3))+((DATOS!$B$27*C27/(DATOS!$B$14*((BF27+BG27)/2)))^2/((DATOS!$B$14*((BF27+BG27)/2))/(DATOS!$B$14+2*((BF27+BG27)/2)))^(4/3)))*(A26-A27)))&lt;0,BG27,((BF27+BG27)/2))</f>
        <v/>
      </c>
      <c r="BJ27" s="16">
        <f>IF((((BH27+BI27)/2)+(C27/(DATOS!$B$14*((BH27+BI27)/2)))^2/(2*9.81)+B27-(E26+(C26/(DATOS!$B$14*E26))^2/(2*9.81)+B26+0.5*(((DATOS!$B$27*C26/(DATOS!$B$14*E26))^2/((DATOS!$B$14*E26)/(DATOS!$B$14+2*E26))^(4/3))+((DATOS!$B$27*C27/(DATOS!$B$14*((BH27+BI27)/2)))^2/((DATOS!$B$14*((BH27+BI27)/2))/(DATOS!$B$14+2*((BH27+BI27)/2)))^(4/3)))*(A26-A27)))&lt;0,((BH27+BI27)/2),BH27)</f>
        <v/>
      </c>
      <c r="BK27" s="16">
        <f>IF((((BH27+BI27)/2)+(C27/(DATOS!$B$14*((BH27+BI27)/2)))^2/(2*9.81)+B27-(E26+(C26/(DATOS!$B$14*E26))^2/(2*9.81)+B26+0.5*(((DATOS!$B$27*C26/(DATOS!$B$14*E26))^2/((DATOS!$B$14*E26)/(DATOS!$B$14+2*E26))^(4/3))+((DATOS!$B$27*C27/(DATOS!$B$14*((BH27+BI27)/2)))^2/((DATOS!$B$14*((BH27+BI27)/2))/(DATOS!$B$14+2*((BH27+BI27)/2)))^(4/3)))*(A26-A27)))&lt;0,BI27,((BH27+BI27)/2))</f>
        <v/>
      </c>
      <c r="BL27" s="16">
        <f>IF((((BJ27+BK27)/2)+(C27/(DATOS!$B$14*((BJ27+BK27)/2)))^2/(2*9.81)+B27-(E26+(C26/(DATOS!$B$14*E26))^2/(2*9.81)+B26+0.5*(((DATOS!$B$27*C26/(DATOS!$B$14*E26))^2/((DATOS!$B$14*E26)/(DATOS!$B$14+2*E26))^(4/3))+((DATOS!$B$27*C27/(DATOS!$B$14*((BJ27+BK27)/2)))^2/((DATOS!$B$14*((BJ27+BK27)/2))/(DATOS!$B$14+2*((BJ27+BK27)/2)))^(4/3)))*(A26-A27)))&lt;0,((BJ27+BK27)/2),BJ27)</f>
        <v/>
      </c>
      <c r="BM27" s="16">
        <f>IF((((BJ27+BK27)/2)+(C27/(DATOS!$B$14*((BJ27+BK27)/2)))^2/(2*9.81)+B27-(E26+(C26/(DATOS!$B$14*E26))^2/(2*9.81)+B26+0.5*(((DATOS!$B$27*C26/(DATOS!$B$14*E26))^2/((DATOS!$B$14*E26)/(DATOS!$B$14+2*E26))^(4/3))+((DATOS!$B$27*C27/(DATOS!$B$14*((BJ27+BK27)/2)))^2/((DATOS!$B$14*((BJ27+BK27)/2))/(DATOS!$B$14+2*((BJ27+BK27)/2)))^(4/3)))*(A26-A27)))&lt;0,BK27,((BJ27+BK27)/2))</f>
        <v/>
      </c>
      <c r="BN27" s="16">
        <f>IF((((BL27+BM27)/2)+(C27/(DATOS!$B$14*((BL27+BM27)/2)))^2/(2*9.81)+B27-(E26+(C26/(DATOS!$B$14*E26))^2/(2*9.81)+B26+0.5*(((DATOS!$B$27*C26/(DATOS!$B$14*E26))^2/((DATOS!$B$14*E26)/(DATOS!$B$14+2*E26))^(4/3))+((DATOS!$B$27*C27/(DATOS!$B$14*((BL27+BM27)/2)))^2/((DATOS!$B$14*((BL27+BM27)/2))/(DATOS!$B$14+2*((BL27+BM27)/2)))^(4/3)))*(A26-A27)))&lt;0,((BL27+BM27)/2),BL27)</f>
        <v/>
      </c>
      <c r="BO27" s="16">
        <f>IF((((BL27+BM27)/2)+(C27/(DATOS!$B$14*((BL27+BM27)/2)))^2/(2*9.81)+B27-(E26+(C26/(DATOS!$B$14*E26))^2/(2*9.81)+B26+0.5*(((DATOS!$B$27*C26/(DATOS!$B$14*E26))^2/((DATOS!$B$14*E26)/(DATOS!$B$14+2*E26))^(4/3))+((DATOS!$B$27*C27/(DATOS!$B$14*((BL27+BM27)/2)))^2/((DATOS!$B$14*((BL27+BM27)/2))/(DATOS!$B$14+2*((BL27+BM27)/2)))^(4/3)))*(A26-A27)))&lt;0,BM27,((BL27+BM27)/2))</f>
        <v/>
      </c>
      <c r="BP27" s="16">
        <f>IF((((BN27+BO27)/2)+(C27/(DATOS!$B$14*((BN27+BO27)/2)))^2/(2*9.81)+B27-(E26+(C26/(DATOS!$B$14*E26))^2/(2*9.81)+B26+0.5*(((DATOS!$B$27*C26/(DATOS!$B$14*E26))^2/((DATOS!$B$14*E26)/(DATOS!$B$14+2*E26))^(4/3))+((DATOS!$B$27*C27/(DATOS!$B$14*((BN27+BO27)/2)))^2/((DATOS!$B$14*((BN27+BO27)/2))/(DATOS!$B$14+2*((BN27+BO27)/2)))^(4/3)))*(A26-A27)))&lt;0,((BN27+BO27)/2),BN27)</f>
        <v/>
      </c>
      <c r="BQ27" s="16">
        <f>IF((((BN27+BO27)/2)+(C27/(DATOS!$B$14*((BN27+BO27)/2)))^2/(2*9.81)+B27-(E26+(C26/(DATOS!$B$14*E26))^2/(2*9.81)+B26+0.5*(((DATOS!$B$27*C26/(DATOS!$B$14*E26))^2/((DATOS!$B$14*E26)/(DATOS!$B$14+2*E26))^(4/3))+((DATOS!$B$27*C27/(DATOS!$B$14*((BN27+BO27)/2)))^2/((DATOS!$B$14*((BN27+BO27)/2))/(DATOS!$B$14+2*((BN27+BO27)/2)))^(4/3)))*(A26-A27)))&lt;0,BO27,((BN27+BO27)/2))</f>
        <v/>
      </c>
      <c r="BR27" s="16">
        <f>IF((((BP27+BQ27)/2)+(C27/(DATOS!$B$14*((BP27+BQ27)/2)))^2/(2*9.81)+B27-(E26+(C26/(DATOS!$B$14*E26))^2/(2*9.81)+B26+0.5*(((DATOS!$B$27*C26/(DATOS!$B$14*E26))^2/((DATOS!$B$14*E26)/(DATOS!$B$14+2*E26))^(4/3))+((DATOS!$B$27*C27/(DATOS!$B$14*((BP27+BQ27)/2)))^2/((DATOS!$B$14*((BP27+BQ27)/2))/(DATOS!$B$14+2*((BP27+BQ27)/2)))^(4/3)))*(A26-A27)))&lt;0,((BP27+BQ27)/2),BP27)</f>
        <v/>
      </c>
      <c r="BS27" s="16">
        <f>IF((((BP27+BQ27)/2)+(C27/(DATOS!$B$14*((BP27+BQ27)/2)))^2/(2*9.81)+B27-(E26+(C26/(DATOS!$B$14*E26))^2/(2*9.81)+B26+0.5*(((DATOS!$B$27*C26/(DATOS!$B$14*E26))^2/((DATOS!$B$14*E26)/(DATOS!$B$14+2*E26))^(4/3))+((DATOS!$B$27*C27/(DATOS!$B$14*((BP27+BQ27)/2)))^2/((DATOS!$B$14*((BP27+BQ27)/2))/(DATOS!$B$14+2*((BP27+BQ27)/2)))^(4/3)))*(A26-A27)))&lt;0,BQ27,((BP27+BQ27)/2))</f>
        <v/>
      </c>
      <c r="BT27" s="16">
        <f>IF((((BR27+BS27)/2)+(C27/(DATOS!$B$14*((BR27+BS27)/2)))^2/(2*9.81)+B27-(E26+(C26/(DATOS!$B$14*E26))^2/(2*9.81)+B26+0.5*(((DATOS!$B$27*C26/(DATOS!$B$14*E26))^2/((DATOS!$B$14*E26)/(DATOS!$B$14+2*E26))^(4/3))+((DATOS!$B$27*C27/(DATOS!$B$14*((BR27+BS27)/2)))^2/((DATOS!$B$14*((BR27+BS27)/2))/(DATOS!$B$14+2*((BR27+BS27)/2)))^(4/3)))*(A26-A27)))&lt;0,((BR27+BS27)/2),BR27)</f>
        <v/>
      </c>
      <c r="BU27" s="16">
        <f>IF((((BR27+BS27)/2)+(C27/(DATOS!$B$14*((BR27+BS27)/2)))^2/(2*9.81)+B27-(E26+(C26/(DATOS!$B$14*E26))^2/(2*9.81)+B26+0.5*(((DATOS!$B$27*C26/(DATOS!$B$14*E26))^2/((DATOS!$B$14*E26)/(DATOS!$B$14+2*E26))^(4/3))+((DATOS!$B$27*C27/(DATOS!$B$14*((BR27+BS27)/2)))^2/((DATOS!$B$14*((BR27+BS27)/2))/(DATOS!$B$14+2*((BR27+BS27)/2)))^(4/3)))*(A26-A27)))&lt;0,BS27,((BR27+BS27)/2))</f>
        <v/>
      </c>
    </row>
    <row r="28">
      <c r="A28" s="30" t="n">
        <v>94</v>
      </c>
      <c r="B28" s="21">
        <f>DATOS!$B$16-DATOS!$B$19*A28</f>
        <v/>
      </c>
      <c r="C28" s="21">
        <f>IF(A28&lt;CAUDALES!$B$13,CAUDALES!$D$12,IF(A28&lt;CAUDALES!$B$14,CAUDALES!$D$13,IF(A28&lt;CAUDALES!$B$15,CAUDALES!$D$14,CAUDALES!$D$15)))/1000</f>
        <v/>
      </c>
      <c r="D28" s="21">
        <f>(C28^2/(9.81*DATOS!$B$14^2))^(1/3)</f>
        <v/>
      </c>
      <c r="E28" s="29">
        <f>(BT28+BU28)/2</f>
        <v/>
      </c>
      <c r="F28" s="21">
        <f>B28+E28</f>
        <v/>
      </c>
      <c r="G28" s="17">
        <f>C28/(DATOS!$B$14*E28)</f>
        <v/>
      </c>
      <c r="H28" s="17">
        <f>G28/SQRT(9.81*E28)</f>
        <v/>
      </c>
      <c r="I28" s="21">
        <f>IF(A28&lt;=DATOS!$B$20,DATOS!$B$21-IF(AND(A28&gt;=DATOS!$B$23,A28&lt;DATOS!$B$24),DATOS!$B$25,DATOS!$B$22),B28+DATOS!$B$26)</f>
        <v/>
      </c>
      <c r="J28" s="17">
        <f>I28-B28</f>
        <v/>
      </c>
      <c r="K28" s="31">
        <f>E28/J28</f>
        <v/>
      </c>
      <c r="L28" s="21">
        <f>I28-F28</f>
        <v/>
      </c>
      <c r="M28" s="32">
        <f>IF(AND(K28&lt;=DATOS!$B$29,L28&gt;=DATOS!$B$30),"CUMPLE","NO CUMPLE")</f>
        <v/>
      </c>
      <c r="N28" s="13">
        <f>IF(A28&gt;DATOS!$B$20,"cubierto - tramo final",IF(AND(A28&gt;=DATOS!$B$23,A28&lt;DATOS!$B$24),"cubierto - camiones","cubierto"))</f>
        <v/>
      </c>
      <c r="P28" s="16">
        <f>D28*1.001</f>
        <v/>
      </c>
      <c r="Q28" s="16" t="n">
        <v>2</v>
      </c>
      <c r="R28" s="16">
        <f>IF((((P28+Q28)/2)+(C28/(DATOS!$B$14*((P28+Q28)/2)))^2/(2*9.81)+B28-(E27+(C27/(DATOS!$B$14*E27))^2/(2*9.81)+B27+0.5*(((DATOS!$B$27*C27/(DATOS!$B$14*E27))^2/((DATOS!$B$14*E27)/(DATOS!$B$14+2*E27))^(4/3))+((DATOS!$B$27*C28/(DATOS!$B$14*((P28+Q28)/2)))^2/((DATOS!$B$14*((P28+Q28)/2))/(DATOS!$B$14+2*((P28+Q28)/2)))^(4/3)))*(A27-A28)))&lt;0,((P28+Q28)/2),P28)</f>
        <v/>
      </c>
      <c r="S28" s="16">
        <f>IF((((P28+Q28)/2)+(C28/(DATOS!$B$14*((P28+Q28)/2)))^2/(2*9.81)+B28-(E27+(C27/(DATOS!$B$14*E27))^2/(2*9.81)+B27+0.5*(((DATOS!$B$27*C27/(DATOS!$B$14*E27))^2/((DATOS!$B$14*E27)/(DATOS!$B$14+2*E27))^(4/3))+((DATOS!$B$27*C28/(DATOS!$B$14*((P28+Q28)/2)))^2/((DATOS!$B$14*((P28+Q28)/2))/(DATOS!$B$14+2*((P28+Q28)/2)))^(4/3)))*(A27-A28)))&lt;0,Q28,((P28+Q28)/2))</f>
        <v/>
      </c>
      <c r="T28" s="16">
        <f>IF((((R28+S28)/2)+(C28/(DATOS!$B$14*((R28+S28)/2)))^2/(2*9.81)+B28-(E27+(C27/(DATOS!$B$14*E27))^2/(2*9.81)+B27+0.5*(((DATOS!$B$27*C27/(DATOS!$B$14*E27))^2/((DATOS!$B$14*E27)/(DATOS!$B$14+2*E27))^(4/3))+((DATOS!$B$27*C28/(DATOS!$B$14*((R28+S28)/2)))^2/((DATOS!$B$14*((R28+S28)/2))/(DATOS!$B$14+2*((R28+S28)/2)))^(4/3)))*(A27-A28)))&lt;0,((R28+S28)/2),R28)</f>
        <v/>
      </c>
      <c r="U28" s="16">
        <f>IF((((R28+S28)/2)+(C28/(DATOS!$B$14*((R28+S28)/2)))^2/(2*9.81)+B28-(E27+(C27/(DATOS!$B$14*E27))^2/(2*9.81)+B27+0.5*(((DATOS!$B$27*C27/(DATOS!$B$14*E27))^2/((DATOS!$B$14*E27)/(DATOS!$B$14+2*E27))^(4/3))+((DATOS!$B$27*C28/(DATOS!$B$14*((R28+S28)/2)))^2/((DATOS!$B$14*((R28+S28)/2))/(DATOS!$B$14+2*((R28+S28)/2)))^(4/3)))*(A27-A28)))&lt;0,S28,((R28+S28)/2))</f>
        <v/>
      </c>
      <c r="V28" s="16">
        <f>IF((((T28+U28)/2)+(C28/(DATOS!$B$14*((T28+U28)/2)))^2/(2*9.81)+B28-(E27+(C27/(DATOS!$B$14*E27))^2/(2*9.81)+B27+0.5*(((DATOS!$B$27*C27/(DATOS!$B$14*E27))^2/((DATOS!$B$14*E27)/(DATOS!$B$14+2*E27))^(4/3))+((DATOS!$B$27*C28/(DATOS!$B$14*((T28+U28)/2)))^2/((DATOS!$B$14*((T28+U28)/2))/(DATOS!$B$14+2*((T28+U28)/2)))^(4/3)))*(A27-A28)))&lt;0,((T28+U28)/2),T28)</f>
        <v/>
      </c>
      <c r="W28" s="16">
        <f>IF((((T28+U28)/2)+(C28/(DATOS!$B$14*((T28+U28)/2)))^2/(2*9.81)+B28-(E27+(C27/(DATOS!$B$14*E27))^2/(2*9.81)+B27+0.5*(((DATOS!$B$27*C27/(DATOS!$B$14*E27))^2/((DATOS!$B$14*E27)/(DATOS!$B$14+2*E27))^(4/3))+((DATOS!$B$27*C28/(DATOS!$B$14*((T28+U28)/2)))^2/((DATOS!$B$14*((T28+U28)/2))/(DATOS!$B$14+2*((T28+U28)/2)))^(4/3)))*(A27-A28)))&lt;0,U28,((T28+U28)/2))</f>
        <v/>
      </c>
      <c r="X28" s="16">
        <f>IF((((V28+W28)/2)+(C28/(DATOS!$B$14*((V28+W28)/2)))^2/(2*9.81)+B28-(E27+(C27/(DATOS!$B$14*E27))^2/(2*9.81)+B27+0.5*(((DATOS!$B$27*C27/(DATOS!$B$14*E27))^2/((DATOS!$B$14*E27)/(DATOS!$B$14+2*E27))^(4/3))+((DATOS!$B$27*C28/(DATOS!$B$14*((V28+W28)/2)))^2/((DATOS!$B$14*((V28+W28)/2))/(DATOS!$B$14+2*((V28+W28)/2)))^(4/3)))*(A27-A28)))&lt;0,((V28+W28)/2),V28)</f>
        <v/>
      </c>
      <c r="Y28" s="16">
        <f>IF((((V28+W28)/2)+(C28/(DATOS!$B$14*((V28+W28)/2)))^2/(2*9.81)+B28-(E27+(C27/(DATOS!$B$14*E27))^2/(2*9.81)+B27+0.5*(((DATOS!$B$27*C27/(DATOS!$B$14*E27))^2/((DATOS!$B$14*E27)/(DATOS!$B$14+2*E27))^(4/3))+((DATOS!$B$27*C28/(DATOS!$B$14*((V28+W28)/2)))^2/((DATOS!$B$14*((V28+W28)/2))/(DATOS!$B$14+2*((V28+W28)/2)))^(4/3)))*(A27-A28)))&lt;0,W28,((V28+W28)/2))</f>
        <v/>
      </c>
      <c r="Z28" s="16">
        <f>IF((((X28+Y28)/2)+(C28/(DATOS!$B$14*((X28+Y28)/2)))^2/(2*9.81)+B28-(E27+(C27/(DATOS!$B$14*E27))^2/(2*9.81)+B27+0.5*(((DATOS!$B$27*C27/(DATOS!$B$14*E27))^2/((DATOS!$B$14*E27)/(DATOS!$B$14+2*E27))^(4/3))+((DATOS!$B$27*C28/(DATOS!$B$14*((X28+Y28)/2)))^2/((DATOS!$B$14*((X28+Y28)/2))/(DATOS!$B$14+2*((X28+Y28)/2)))^(4/3)))*(A27-A28)))&lt;0,((X28+Y28)/2),X28)</f>
        <v/>
      </c>
      <c r="AA28" s="16">
        <f>IF((((X28+Y28)/2)+(C28/(DATOS!$B$14*((X28+Y28)/2)))^2/(2*9.81)+B28-(E27+(C27/(DATOS!$B$14*E27))^2/(2*9.81)+B27+0.5*(((DATOS!$B$27*C27/(DATOS!$B$14*E27))^2/((DATOS!$B$14*E27)/(DATOS!$B$14+2*E27))^(4/3))+((DATOS!$B$27*C28/(DATOS!$B$14*((X28+Y28)/2)))^2/((DATOS!$B$14*((X28+Y28)/2))/(DATOS!$B$14+2*((X28+Y28)/2)))^(4/3)))*(A27-A28)))&lt;0,Y28,((X28+Y28)/2))</f>
        <v/>
      </c>
      <c r="AB28" s="16">
        <f>IF((((Z28+AA28)/2)+(C28/(DATOS!$B$14*((Z28+AA28)/2)))^2/(2*9.81)+B28-(E27+(C27/(DATOS!$B$14*E27))^2/(2*9.81)+B27+0.5*(((DATOS!$B$27*C27/(DATOS!$B$14*E27))^2/((DATOS!$B$14*E27)/(DATOS!$B$14+2*E27))^(4/3))+((DATOS!$B$27*C28/(DATOS!$B$14*((Z28+AA28)/2)))^2/((DATOS!$B$14*((Z28+AA28)/2))/(DATOS!$B$14+2*((Z28+AA28)/2)))^(4/3)))*(A27-A28)))&lt;0,((Z28+AA28)/2),Z28)</f>
        <v/>
      </c>
      <c r="AC28" s="16">
        <f>IF((((Z28+AA28)/2)+(C28/(DATOS!$B$14*((Z28+AA28)/2)))^2/(2*9.81)+B28-(E27+(C27/(DATOS!$B$14*E27))^2/(2*9.81)+B27+0.5*(((DATOS!$B$27*C27/(DATOS!$B$14*E27))^2/((DATOS!$B$14*E27)/(DATOS!$B$14+2*E27))^(4/3))+((DATOS!$B$27*C28/(DATOS!$B$14*((Z28+AA28)/2)))^2/((DATOS!$B$14*((Z28+AA28)/2))/(DATOS!$B$14+2*((Z28+AA28)/2)))^(4/3)))*(A27-A28)))&lt;0,AA28,((Z28+AA28)/2))</f>
        <v/>
      </c>
      <c r="AD28" s="16">
        <f>IF((((AB28+AC28)/2)+(C28/(DATOS!$B$14*((AB28+AC28)/2)))^2/(2*9.81)+B28-(E27+(C27/(DATOS!$B$14*E27))^2/(2*9.81)+B27+0.5*(((DATOS!$B$27*C27/(DATOS!$B$14*E27))^2/((DATOS!$B$14*E27)/(DATOS!$B$14+2*E27))^(4/3))+((DATOS!$B$27*C28/(DATOS!$B$14*((AB28+AC28)/2)))^2/((DATOS!$B$14*((AB28+AC28)/2))/(DATOS!$B$14+2*((AB28+AC28)/2)))^(4/3)))*(A27-A28)))&lt;0,((AB28+AC28)/2),AB28)</f>
        <v/>
      </c>
      <c r="AE28" s="16">
        <f>IF((((AB28+AC28)/2)+(C28/(DATOS!$B$14*((AB28+AC28)/2)))^2/(2*9.81)+B28-(E27+(C27/(DATOS!$B$14*E27))^2/(2*9.81)+B27+0.5*(((DATOS!$B$27*C27/(DATOS!$B$14*E27))^2/((DATOS!$B$14*E27)/(DATOS!$B$14+2*E27))^(4/3))+((DATOS!$B$27*C28/(DATOS!$B$14*((AB28+AC28)/2)))^2/((DATOS!$B$14*((AB28+AC28)/2))/(DATOS!$B$14+2*((AB28+AC28)/2)))^(4/3)))*(A27-A28)))&lt;0,AC28,((AB28+AC28)/2))</f>
        <v/>
      </c>
      <c r="AF28" s="16">
        <f>IF((((AD28+AE28)/2)+(C28/(DATOS!$B$14*((AD28+AE28)/2)))^2/(2*9.81)+B28-(E27+(C27/(DATOS!$B$14*E27))^2/(2*9.81)+B27+0.5*(((DATOS!$B$27*C27/(DATOS!$B$14*E27))^2/((DATOS!$B$14*E27)/(DATOS!$B$14+2*E27))^(4/3))+((DATOS!$B$27*C28/(DATOS!$B$14*((AD28+AE28)/2)))^2/((DATOS!$B$14*((AD28+AE28)/2))/(DATOS!$B$14+2*((AD28+AE28)/2)))^(4/3)))*(A27-A28)))&lt;0,((AD28+AE28)/2),AD28)</f>
        <v/>
      </c>
      <c r="AG28" s="16">
        <f>IF((((AD28+AE28)/2)+(C28/(DATOS!$B$14*((AD28+AE28)/2)))^2/(2*9.81)+B28-(E27+(C27/(DATOS!$B$14*E27))^2/(2*9.81)+B27+0.5*(((DATOS!$B$27*C27/(DATOS!$B$14*E27))^2/((DATOS!$B$14*E27)/(DATOS!$B$14+2*E27))^(4/3))+((DATOS!$B$27*C28/(DATOS!$B$14*((AD28+AE28)/2)))^2/((DATOS!$B$14*((AD28+AE28)/2))/(DATOS!$B$14+2*((AD28+AE28)/2)))^(4/3)))*(A27-A28)))&lt;0,AE28,((AD28+AE28)/2))</f>
        <v/>
      </c>
      <c r="AH28" s="16">
        <f>IF((((AF28+AG28)/2)+(C28/(DATOS!$B$14*((AF28+AG28)/2)))^2/(2*9.81)+B28-(E27+(C27/(DATOS!$B$14*E27))^2/(2*9.81)+B27+0.5*(((DATOS!$B$27*C27/(DATOS!$B$14*E27))^2/((DATOS!$B$14*E27)/(DATOS!$B$14+2*E27))^(4/3))+((DATOS!$B$27*C28/(DATOS!$B$14*((AF28+AG28)/2)))^2/((DATOS!$B$14*((AF28+AG28)/2))/(DATOS!$B$14+2*((AF28+AG28)/2)))^(4/3)))*(A27-A28)))&lt;0,((AF28+AG28)/2),AF28)</f>
        <v/>
      </c>
      <c r="AI28" s="16">
        <f>IF((((AF28+AG28)/2)+(C28/(DATOS!$B$14*((AF28+AG28)/2)))^2/(2*9.81)+B28-(E27+(C27/(DATOS!$B$14*E27))^2/(2*9.81)+B27+0.5*(((DATOS!$B$27*C27/(DATOS!$B$14*E27))^2/((DATOS!$B$14*E27)/(DATOS!$B$14+2*E27))^(4/3))+((DATOS!$B$27*C28/(DATOS!$B$14*((AF28+AG28)/2)))^2/((DATOS!$B$14*((AF28+AG28)/2))/(DATOS!$B$14+2*((AF28+AG28)/2)))^(4/3)))*(A27-A28)))&lt;0,AG28,((AF28+AG28)/2))</f>
        <v/>
      </c>
      <c r="AJ28" s="16">
        <f>IF((((AH28+AI28)/2)+(C28/(DATOS!$B$14*((AH28+AI28)/2)))^2/(2*9.81)+B28-(E27+(C27/(DATOS!$B$14*E27))^2/(2*9.81)+B27+0.5*(((DATOS!$B$27*C27/(DATOS!$B$14*E27))^2/((DATOS!$B$14*E27)/(DATOS!$B$14+2*E27))^(4/3))+((DATOS!$B$27*C28/(DATOS!$B$14*((AH28+AI28)/2)))^2/((DATOS!$B$14*((AH28+AI28)/2))/(DATOS!$B$14+2*((AH28+AI28)/2)))^(4/3)))*(A27-A28)))&lt;0,((AH28+AI28)/2),AH28)</f>
        <v/>
      </c>
      <c r="AK28" s="16">
        <f>IF((((AH28+AI28)/2)+(C28/(DATOS!$B$14*((AH28+AI28)/2)))^2/(2*9.81)+B28-(E27+(C27/(DATOS!$B$14*E27))^2/(2*9.81)+B27+0.5*(((DATOS!$B$27*C27/(DATOS!$B$14*E27))^2/((DATOS!$B$14*E27)/(DATOS!$B$14+2*E27))^(4/3))+((DATOS!$B$27*C28/(DATOS!$B$14*((AH28+AI28)/2)))^2/((DATOS!$B$14*((AH28+AI28)/2))/(DATOS!$B$14+2*((AH28+AI28)/2)))^(4/3)))*(A27-A28)))&lt;0,AI28,((AH28+AI28)/2))</f>
        <v/>
      </c>
      <c r="AL28" s="16">
        <f>IF((((AJ28+AK28)/2)+(C28/(DATOS!$B$14*((AJ28+AK28)/2)))^2/(2*9.81)+B28-(E27+(C27/(DATOS!$B$14*E27))^2/(2*9.81)+B27+0.5*(((DATOS!$B$27*C27/(DATOS!$B$14*E27))^2/((DATOS!$B$14*E27)/(DATOS!$B$14+2*E27))^(4/3))+((DATOS!$B$27*C28/(DATOS!$B$14*((AJ28+AK28)/2)))^2/((DATOS!$B$14*((AJ28+AK28)/2))/(DATOS!$B$14+2*((AJ28+AK28)/2)))^(4/3)))*(A27-A28)))&lt;0,((AJ28+AK28)/2),AJ28)</f>
        <v/>
      </c>
      <c r="AM28" s="16">
        <f>IF((((AJ28+AK28)/2)+(C28/(DATOS!$B$14*((AJ28+AK28)/2)))^2/(2*9.81)+B28-(E27+(C27/(DATOS!$B$14*E27))^2/(2*9.81)+B27+0.5*(((DATOS!$B$27*C27/(DATOS!$B$14*E27))^2/((DATOS!$B$14*E27)/(DATOS!$B$14+2*E27))^(4/3))+((DATOS!$B$27*C28/(DATOS!$B$14*((AJ28+AK28)/2)))^2/((DATOS!$B$14*((AJ28+AK28)/2))/(DATOS!$B$14+2*((AJ28+AK28)/2)))^(4/3)))*(A27-A28)))&lt;0,AK28,((AJ28+AK28)/2))</f>
        <v/>
      </c>
      <c r="AN28" s="16">
        <f>IF((((AL28+AM28)/2)+(C28/(DATOS!$B$14*((AL28+AM28)/2)))^2/(2*9.81)+B28-(E27+(C27/(DATOS!$B$14*E27))^2/(2*9.81)+B27+0.5*(((DATOS!$B$27*C27/(DATOS!$B$14*E27))^2/((DATOS!$B$14*E27)/(DATOS!$B$14+2*E27))^(4/3))+((DATOS!$B$27*C28/(DATOS!$B$14*((AL28+AM28)/2)))^2/((DATOS!$B$14*((AL28+AM28)/2))/(DATOS!$B$14+2*((AL28+AM28)/2)))^(4/3)))*(A27-A28)))&lt;0,((AL28+AM28)/2),AL28)</f>
        <v/>
      </c>
      <c r="AO28" s="16">
        <f>IF((((AL28+AM28)/2)+(C28/(DATOS!$B$14*((AL28+AM28)/2)))^2/(2*9.81)+B28-(E27+(C27/(DATOS!$B$14*E27))^2/(2*9.81)+B27+0.5*(((DATOS!$B$27*C27/(DATOS!$B$14*E27))^2/((DATOS!$B$14*E27)/(DATOS!$B$14+2*E27))^(4/3))+((DATOS!$B$27*C28/(DATOS!$B$14*((AL28+AM28)/2)))^2/((DATOS!$B$14*((AL28+AM28)/2))/(DATOS!$B$14+2*((AL28+AM28)/2)))^(4/3)))*(A27-A28)))&lt;0,AM28,((AL28+AM28)/2))</f>
        <v/>
      </c>
      <c r="AP28" s="16">
        <f>IF((((AN28+AO28)/2)+(C28/(DATOS!$B$14*((AN28+AO28)/2)))^2/(2*9.81)+B28-(E27+(C27/(DATOS!$B$14*E27))^2/(2*9.81)+B27+0.5*(((DATOS!$B$27*C27/(DATOS!$B$14*E27))^2/((DATOS!$B$14*E27)/(DATOS!$B$14+2*E27))^(4/3))+((DATOS!$B$27*C28/(DATOS!$B$14*((AN28+AO28)/2)))^2/((DATOS!$B$14*((AN28+AO28)/2))/(DATOS!$B$14+2*((AN28+AO28)/2)))^(4/3)))*(A27-A28)))&lt;0,((AN28+AO28)/2),AN28)</f>
        <v/>
      </c>
      <c r="AQ28" s="16">
        <f>IF((((AN28+AO28)/2)+(C28/(DATOS!$B$14*((AN28+AO28)/2)))^2/(2*9.81)+B28-(E27+(C27/(DATOS!$B$14*E27))^2/(2*9.81)+B27+0.5*(((DATOS!$B$27*C27/(DATOS!$B$14*E27))^2/((DATOS!$B$14*E27)/(DATOS!$B$14+2*E27))^(4/3))+((DATOS!$B$27*C28/(DATOS!$B$14*((AN28+AO28)/2)))^2/((DATOS!$B$14*((AN28+AO28)/2))/(DATOS!$B$14+2*((AN28+AO28)/2)))^(4/3)))*(A27-A28)))&lt;0,AO28,((AN28+AO28)/2))</f>
        <v/>
      </c>
      <c r="AR28" s="16">
        <f>IF((((AP28+AQ28)/2)+(C28/(DATOS!$B$14*((AP28+AQ28)/2)))^2/(2*9.81)+B28-(E27+(C27/(DATOS!$B$14*E27))^2/(2*9.81)+B27+0.5*(((DATOS!$B$27*C27/(DATOS!$B$14*E27))^2/((DATOS!$B$14*E27)/(DATOS!$B$14+2*E27))^(4/3))+((DATOS!$B$27*C28/(DATOS!$B$14*((AP28+AQ28)/2)))^2/((DATOS!$B$14*((AP28+AQ28)/2))/(DATOS!$B$14+2*((AP28+AQ28)/2)))^(4/3)))*(A27-A28)))&lt;0,((AP28+AQ28)/2),AP28)</f>
        <v/>
      </c>
      <c r="AS28" s="16">
        <f>IF((((AP28+AQ28)/2)+(C28/(DATOS!$B$14*((AP28+AQ28)/2)))^2/(2*9.81)+B28-(E27+(C27/(DATOS!$B$14*E27))^2/(2*9.81)+B27+0.5*(((DATOS!$B$27*C27/(DATOS!$B$14*E27))^2/((DATOS!$B$14*E27)/(DATOS!$B$14+2*E27))^(4/3))+((DATOS!$B$27*C28/(DATOS!$B$14*((AP28+AQ28)/2)))^2/((DATOS!$B$14*((AP28+AQ28)/2))/(DATOS!$B$14+2*((AP28+AQ28)/2)))^(4/3)))*(A27-A28)))&lt;0,AQ28,((AP28+AQ28)/2))</f>
        <v/>
      </c>
      <c r="AT28" s="16">
        <f>IF((((AR28+AS28)/2)+(C28/(DATOS!$B$14*((AR28+AS28)/2)))^2/(2*9.81)+B28-(E27+(C27/(DATOS!$B$14*E27))^2/(2*9.81)+B27+0.5*(((DATOS!$B$27*C27/(DATOS!$B$14*E27))^2/((DATOS!$B$14*E27)/(DATOS!$B$14+2*E27))^(4/3))+((DATOS!$B$27*C28/(DATOS!$B$14*((AR28+AS28)/2)))^2/((DATOS!$B$14*((AR28+AS28)/2))/(DATOS!$B$14+2*((AR28+AS28)/2)))^(4/3)))*(A27-A28)))&lt;0,((AR28+AS28)/2),AR28)</f>
        <v/>
      </c>
      <c r="AU28" s="16">
        <f>IF((((AR28+AS28)/2)+(C28/(DATOS!$B$14*((AR28+AS28)/2)))^2/(2*9.81)+B28-(E27+(C27/(DATOS!$B$14*E27))^2/(2*9.81)+B27+0.5*(((DATOS!$B$27*C27/(DATOS!$B$14*E27))^2/((DATOS!$B$14*E27)/(DATOS!$B$14+2*E27))^(4/3))+((DATOS!$B$27*C28/(DATOS!$B$14*((AR28+AS28)/2)))^2/((DATOS!$B$14*((AR28+AS28)/2))/(DATOS!$B$14+2*((AR28+AS28)/2)))^(4/3)))*(A27-A28)))&lt;0,AS28,((AR28+AS28)/2))</f>
        <v/>
      </c>
      <c r="AV28" s="16">
        <f>IF((((AT28+AU28)/2)+(C28/(DATOS!$B$14*((AT28+AU28)/2)))^2/(2*9.81)+B28-(E27+(C27/(DATOS!$B$14*E27))^2/(2*9.81)+B27+0.5*(((DATOS!$B$27*C27/(DATOS!$B$14*E27))^2/((DATOS!$B$14*E27)/(DATOS!$B$14+2*E27))^(4/3))+((DATOS!$B$27*C28/(DATOS!$B$14*((AT28+AU28)/2)))^2/((DATOS!$B$14*((AT28+AU28)/2))/(DATOS!$B$14+2*((AT28+AU28)/2)))^(4/3)))*(A27-A28)))&lt;0,((AT28+AU28)/2),AT28)</f>
        <v/>
      </c>
      <c r="AW28" s="16">
        <f>IF((((AT28+AU28)/2)+(C28/(DATOS!$B$14*((AT28+AU28)/2)))^2/(2*9.81)+B28-(E27+(C27/(DATOS!$B$14*E27))^2/(2*9.81)+B27+0.5*(((DATOS!$B$27*C27/(DATOS!$B$14*E27))^2/((DATOS!$B$14*E27)/(DATOS!$B$14+2*E27))^(4/3))+((DATOS!$B$27*C28/(DATOS!$B$14*((AT28+AU28)/2)))^2/((DATOS!$B$14*((AT28+AU28)/2))/(DATOS!$B$14+2*((AT28+AU28)/2)))^(4/3)))*(A27-A28)))&lt;0,AU28,((AT28+AU28)/2))</f>
        <v/>
      </c>
      <c r="AX28" s="16">
        <f>IF((((AV28+AW28)/2)+(C28/(DATOS!$B$14*((AV28+AW28)/2)))^2/(2*9.81)+B28-(E27+(C27/(DATOS!$B$14*E27))^2/(2*9.81)+B27+0.5*(((DATOS!$B$27*C27/(DATOS!$B$14*E27))^2/((DATOS!$B$14*E27)/(DATOS!$B$14+2*E27))^(4/3))+((DATOS!$B$27*C28/(DATOS!$B$14*((AV28+AW28)/2)))^2/((DATOS!$B$14*((AV28+AW28)/2))/(DATOS!$B$14+2*((AV28+AW28)/2)))^(4/3)))*(A27-A28)))&lt;0,((AV28+AW28)/2),AV28)</f>
        <v/>
      </c>
      <c r="AY28" s="16">
        <f>IF((((AV28+AW28)/2)+(C28/(DATOS!$B$14*((AV28+AW28)/2)))^2/(2*9.81)+B28-(E27+(C27/(DATOS!$B$14*E27))^2/(2*9.81)+B27+0.5*(((DATOS!$B$27*C27/(DATOS!$B$14*E27))^2/((DATOS!$B$14*E27)/(DATOS!$B$14+2*E27))^(4/3))+((DATOS!$B$27*C28/(DATOS!$B$14*((AV28+AW28)/2)))^2/((DATOS!$B$14*((AV28+AW28)/2))/(DATOS!$B$14+2*((AV28+AW28)/2)))^(4/3)))*(A27-A28)))&lt;0,AW28,((AV28+AW28)/2))</f>
        <v/>
      </c>
      <c r="AZ28" s="16">
        <f>IF((((AX28+AY28)/2)+(C28/(DATOS!$B$14*((AX28+AY28)/2)))^2/(2*9.81)+B28-(E27+(C27/(DATOS!$B$14*E27))^2/(2*9.81)+B27+0.5*(((DATOS!$B$27*C27/(DATOS!$B$14*E27))^2/((DATOS!$B$14*E27)/(DATOS!$B$14+2*E27))^(4/3))+((DATOS!$B$27*C28/(DATOS!$B$14*((AX28+AY28)/2)))^2/((DATOS!$B$14*((AX28+AY28)/2))/(DATOS!$B$14+2*((AX28+AY28)/2)))^(4/3)))*(A27-A28)))&lt;0,((AX28+AY28)/2),AX28)</f>
        <v/>
      </c>
      <c r="BA28" s="16">
        <f>IF((((AX28+AY28)/2)+(C28/(DATOS!$B$14*((AX28+AY28)/2)))^2/(2*9.81)+B28-(E27+(C27/(DATOS!$B$14*E27))^2/(2*9.81)+B27+0.5*(((DATOS!$B$27*C27/(DATOS!$B$14*E27))^2/((DATOS!$B$14*E27)/(DATOS!$B$14+2*E27))^(4/3))+((DATOS!$B$27*C28/(DATOS!$B$14*((AX28+AY28)/2)))^2/((DATOS!$B$14*((AX28+AY28)/2))/(DATOS!$B$14+2*((AX28+AY28)/2)))^(4/3)))*(A27-A28)))&lt;0,AY28,((AX28+AY28)/2))</f>
        <v/>
      </c>
      <c r="BB28" s="16">
        <f>IF((((AZ28+BA28)/2)+(C28/(DATOS!$B$14*((AZ28+BA28)/2)))^2/(2*9.81)+B28-(E27+(C27/(DATOS!$B$14*E27))^2/(2*9.81)+B27+0.5*(((DATOS!$B$27*C27/(DATOS!$B$14*E27))^2/((DATOS!$B$14*E27)/(DATOS!$B$14+2*E27))^(4/3))+((DATOS!$B$27*C28/(DATOS!$B$14*((AZ28+BA28)/2)))^2/((DATOS!$B$14*((AZ28+BA28)/2))/(DATOS!$B$14+2*((AZ28+BA28)/2)))^(4/3)))*(A27-A28)))&lt;0,((AZ28+BA28)/2),AZ28)</f>
        <v/>
      </c>
      <c r="BC28" s="16">
        <f>IF((((AZ28+BA28)/2)+(C28/(DATOS!$B$14*((AZ28+BA28)/2)))^2/(2*9.81)+B28-(E27+(C27/(DATOS!$B$14*E27))^2/(2*9.81)+B27+0.5*(((DATOS!$B$27*C27/(DATOS!$B$14*E27))^2/((DATOS!$B$14*E27)/(DATOS!$B$14+2*E27))^(4/3))+((DATOS!$B$27*C28/(DATOS!$B$14*((AZ28+BA28)/2)))^2/((DATOS!$B$14*((AZ28+BA28)/2))/(DATOS!$B$14+2*((AZ28+BA28)/2)))^(4/3)))*(A27-A28)))&lt;0,BA28,((AZ28+BA28)/2))</f>
        <v/>
      </c>
      <c r="BD28" s="16">
        <f>IF((((BB28+BC28)/2)+(C28/(DATOS!$B$14*((BB28+BC28)/2)))^2/(2*9.81)+B28-(E27+(C27/(DATOS!$B$14*E27))^2/(2*9.81)+B27+0.5*(((DATOS!$B$27*C27/(DATOS!$B$14*E27))^2/((DATOS!$B$14*E27)/(DATOS!$B$14+2*E27))^(4/3))+((DATOS!$B$27*C28/(DATOS!$B$14*((BB28+BC28)/2)))^2/((DATOS!$B$14*((BB28+BC28)/2))/(DATOS!$B$14+2*((BB28+BC28)/2)))^(4/3)))*(A27-A28)))&lt;0,((BB28+BC28)/2),BB28)</f>
        <v/>
      </c>
      <c r="BE28" s="16">
        <f>IF((((BB28+BC28)/2)+(C28/(DATOS!$B$14*((BB28+BC28)/2)))^2/(2*9.81)+B28-(E27+(C27/(DATOS!$B$14*E27))^2/(2*9.81)+B27+0.5*(((DATOS!$B$27*C27/(DATOS!$B$14*E27))^2/((DATOS!$B$14*E27)/(DATOS!$B$14+2*E27))^(4/3))+((DATOS!$B$27*C28/(DATOS!$B$14*((BB28+BC28)/2)))^2/((DATOS!$B$14*((BB28+BC28)/2))/(DATOS!$B$14+2*((BB28+BC28)/2)))^(4/3)))*(A27-A28)))&lt;0,BC28,((BB28+BC28)/2))</f>
        <v/>
      </c>
      <c r="BF28" s="16">
        <f>IF((((BD28+BE28)/2)+(C28/(DATOS!$B$14*((BD28+BE28)/2)))^2/(2*9.81)+B28-(E27+(C27/(DATOS!$B$14*E27))^2/(2*9.81)+B27+0.5*(((DATOS!$B$27*C27/(DATOS!$B$14*E27))^2/((DATOS!$B$14*E27)/(DATOS!$B$14+2*E27))^(4/3))+((DATOS!$B$27*C28/(DATOS!$B$14*((BD28+BE28)/2)))^2/((DATOS!$B$14*((BD28+BE28)/2))/(DATOS!$B$14+2*((BD28+BE28)/2)))^(4/3)))*(A27-A28)))&lt;0,((BD28+BE28)/2),BD28)</f>
        <v/>
      </c>
      <c r="BG28" s="16">
        <f>IF((((BD28+BE28)/2)+(C28/(DATOS!$B$14*((BD28+BE28)/2)))^2/(2*9.81)+B28-(E27+(C27/(DATOS!$B$14*E27))^2/(2*9.81)+B27+0.5*(((DATOS!$B$27*C27/(DATOS!$B$14*E27))^2/((DATOS!$B$14*E27)/(DATOS!$B$14+2*E27))^(4/3))+((DATOS!$B$27*C28/(DATOS!$B$14*((BD28+BE28)/2)))^2/((DATOS!$B$14*((BD28+BE28)/2))/(DATOS!$B$14+2*((BD28+BE28)/2)))^(4/3)))*(A27-A28)))&lt;0,BE28,((BD28+BE28)/2))</f>
        <v/>
      </c>
      <c r="BH28" s="16">
        <f>IF((((BF28+BG28)/2)+(C28/(DATOS!$B$14*((BF28+BG28)/2)))^2/(2*9.81)+B28-(E27+(C27/(DATOS!$B$14*E27))^2/(2*9.81)+B27+0.5*(((DATOS!$B$27*C27/(DATOS!$B$14*E27))^2/((DATOS!$B$14*E27)/(DATOS!$B$14+2*E27))^(4/3))+((DATOS!$B$27*C28/(DATOS!$B$14*((BF28+BG28)/2)))^2/((DATOS!$B$14*((BF28+BG28)/2))/(DATOS!$B$14+2*((BF28+BG28)/2)))^(4/3)))*(A27-A28)))&lt;0,((BF28+BG28)/2),BF28)</f>
        <v/>
      </c>
      <c r="BI28" s="16">
        <f>IF((((BF28+BG28)/2)+(C28/(DATOS!$B$14*((BF28+BG28)/2)))^2/(2*9.81)+B28-(E27+(C27/(DATOS!$B$14*E27))^2/(2*9.81)+B27+0.5*(((DATOS!$B$27*C27/(DATOS!$B$14*E27))^2/((DATOS!$B$14*E27)/(DATOS!$B$14+2*E27))^(4/3))+((DATOS!$B$27*C28/(DATOS!$B$14*((BF28+BG28)/2)))^2/((DATOS!$B$14*((BF28+BG28)/2))/(DATOS!$B$14+2*((BF28+BG28)/2)))^(4/3)))*(A27-A28)))&lt;0,BG28,((BF28+BG28)/2))</f>
        <v/>
      </c>
      <c r="BJ28" s="16">
        <f>IF((((BH28+BI28)/2)+(C28/(DATOS!$B$14*((BH28+BI28)/2)))^2/(2*9.81)+B28-(E27+(C27/(DATOS!$B$14*E27))^2/(2*9.81)+B27+0.5*(((DATOS!$B$27*C27/(DATOS!$B$14*E27))^2/((DATOS!$B$14*E27)/(DATOS!$B$14+2*E27))^(4/3))+((DATOS!$B$27*C28/(DATOS!$B$14*((BH28+BI28)/2)))^2/((DATOS!$B$14*((BH28+BI28)/2))/(DATOS!$B$14+2*((BH28+BI28)/2)))^(4/3)))*(A27-A28)))&lt;0,((BH28+BI28)/2),BH28)</f>
        <v/>
      </c>
      <c r="BK28" s="16">
        <f>IF((((BH28+BI28)/2)+(C28/(DATOS!$B$14*((BH28+BI28)/2)))^2/(2*9.81)+B28-(E27+(C27/(DATOS!$B$14*E27))^2/(2*9.81)+B27+0.5*(((DATOS!$B$27*C27/(DATOS!$B$14*E27))^2/((DATOS!$B$14*E27)/(DATOS!$B$14+2*E27))^(4/3))+((DATOS!$B$27*C28/(DATOS!$B$14*((BH28+BI28)/2)))^2/((DATOS!$B$14*((BH28+BI28)/2))/(DATOS!$B$14+2*((BH28+BI28)/2)))^(4/3)))*(A27-A28)))&lt;0,BI28,((BH28+BI28)/2))</f>
        <v/>
      </c>
      <c r="BL28" s="16">
        <f>IF((((BJ28+BK28)/2)+(C28/(DATOS!$B$14*((BJ28+BK28)/2)))^2/(2*9.81)+B28-(E27+(C27/(DATOS!$B$14*E27))^2/(2*9.81)+B27+0.5*(((DATOS!$B$27*C27/(DATOS!$B$14*E27))^2/((DATOS!$B$14*E27)/(DATOS!$B$14+2*E27))^(4/3))+((DATOS!$B$27*C28/(DATOS!$B$14*((BJ28+BK28)/2)))^2/((DATOS!$B$14*((BJ28+BK28)/2))/(DATOS!$B$14+2*((BJ28+BK28)/2)))^(4/3)))*(A27-A28)))&lt;0,((BJ28+BK28)/2),BJ28)</f>
        <v/>
      </c>
      <c r="BM28" s="16">
        <f>IF((((BJ28+BK28)/2)+(C28/(DATOS!$B$14*((BJ28+BK28)/2)))^2/(2*9.81)+B28-(E27+(C27/(DATOS!$B$14*E27))^2/(2*9.81)+B27+0.5*(((DATOS!$B$27*C27/(DATOS!$B$14*E27))^2/((DATOS!$B$14*E27)/(DATOS!$B$14+2*E27))^(4/3))+((DATOS!$B$27*C28/(DATOS!$B$14*((BJ28+BK28)/2)))^2/((DATOS!$B$14*((BJ28+BK28)/2))/(DATOS!$B$14+2*((BJ28+BK28)/2)))^(4/3)))*(A27-A28)))&lt;0,BK28,((BJ28+BK28)/2))</f>
        <v/>
      </c>
      <c r="BN28" s="16">
        <f>IF((((BL28+BM28)/2)+(C28/(DATOS!$B$14*((BL28+BM28)/2)))^2/(2*9.81)+B28-(E27+(C27/(DATOS!$B$14*E27))^2/(2*9.81)+B27+0.5*(((DATOS!$B$27*C27/(DATOS!$B$14*E27))^2/((DATOS!$B$14*E27)/(DATOS!$B$14+2*E27))^(4/3))+((DATOS!$B$27*C28/(DATOS!$B$14*((BL28+BM28)/2)))^2/((DATOS!$B$14*((BL28+BM28)/2))/(DATOS!$B$14+2*((BL28+BM28)/2)))^(4/3)))*(A27-A28)))&lt;0,((BL28+BM28)/2),BL28)</f>
        <v/>
      </c>
      <c r="BO28" s="16">
        <f>IF((((BL28+BM28)/2)+(C28/(DATOS!$B$14*((BL28+BM28)/2)))^2/(2*9.81)+B28-(E27+(C27/(DATOS!$B$14*E27))^2/(2*9.81)+B27+0.5*(((DATOS!$B$27*C27/(DATOS!$B$14*E27))^2/((DATOS!$B$14*E27)/(DATOS!$B$14+2*E27))^(4/3))+((DATOS!$B$27*C28/(DATOS!$B$14*((BL28+BM28)/2)))^2/((DATOS!$B$14*((BL28+BM28)/2))/(DATOS!$B$14+2*((BL28+BM28)/2)))^(4/3)))*(A27-A28)))&lt;0,BM28,((BL28+BM28)/2))</f>
        <v/>
      </c>
      <c r="BP28" s="16">
        <f>IF((((BN28+BO28)/2)+(C28/(DATOS!$B$14*((BN28+BO28)/2)))^2/(2*9.81)+B28-(E27+(C27/(DATOS!$B$14*E27))^2/(2*9.81)+B27+0.5*(((DATOS!$B$27*C27/(DATOS!$B$14*E27))^2/((DATOS!$B$14*E27)/(DATOS!$B$14+2*E27))^(4/3))+((DATOS!$B$27*C28/(DATOS!$B$14*((BN28+BO28)/2)))^2/((DATOS!$B$14*((BN28+BO28)/2))/(DATOS!$B$14+2*((BN28+BO28)/2)))^(4/3)))*(A27-A28)))&lt;0,((BN28+BO28)/2),BN28)</f>
        <v/>
      </c>
      <c r="BQ28" s="16">
        <f>IF((((BN28+BO28)/2)+(C28/(DATOS!$B$14*((BN28+BO28)/2)))^2/(2*9.81)+B28-(E27+(C27/(DATOS!$B$14*E27))^2/(2*9.81)+B27+0.5*(((DATOS!$B$27*C27/(DATOS!$B$14*E27))^2/((DATOS!$B$14*E27)/(DATOS!$B$14+2*E27))^(4/3))+((DATOS!$B$27*C28/(DATOS!$B$14*((BN28+BO28)/2)))^2/((DATOS!$B$14*((BN28+BO28)/2))/(DATOS!$B$14+2*((BN28+BO28)/2)))^(4/3)))*(A27-A28)))&lt;0,BO28,((BN28+BO28)/2))</f>
        <v/>
      </c>
      <c r="BR28" s="16">
        <f>IF((((BP28+BQ28)/2)+(C28/(DATOS!$B$14*((BP28+BQ28)/2)))^2/(2*9.81)+B28-(E27+(C27/(DATOS!$B$14*E27))^2/(2*9.81)+B27+0.5*(((DATOS!$B$27*C27/(DATOS!$B$14*E27))^2/((DATOS!$B$14*E27)/(DATOS!$B$14+2*E27))^(4/3))+((DATOS!$B$27*C28/(DATOS!$B$14*((BP28+BQ28)/2)))^2/((DATOS!$B$14*((BP28+BQ28)/2))/(DATOS!$B$14+2*((BP28+BQ28)/2)))^(4/3)))*(A27-A28)))&lt;0,((BP28+BQ28)/2),BP28)</f>
        <v/>
      </c>
      <c r="BS28" s="16">
        <f>IF((((BP28+BQ28)/2)+(C28/(DATOS!$B$14*((BP28+BQ28)/2)))^2/(2*9.81)+B28-(E27+(C27/(DATOS!$B$14*E27))^2/(2*9.81)+B27+0.5*(((DATOS!$B$27*C27/(DATOS!$B$14*E27))^2/((DATOS!$B$14*E27)/(DATOS!$B$14+2*E27))^(4/3))+((DATOS!$B$27*C28/(DATOS!$B$14*((BP28+BQ28)/2)))^2/((DATOS!$B$14*((BP28+BQ28)/2))/(DATOS!$B$14+2*((BP28+BQ28)/2)))^(4/3)))*(A27-A28)))&lt;0,BQ28,((BP28+BQ28)/2))</f>
        <v/>
      </c>
      <c r="BT28" s="16">
        <f>IF((((BR28+BS28)/2)+(C28/(DATOS!$B$14*((BR28+BS28)/2)))^2/(2*9.81)+B28-(E27+(C27/(DATOS!$B$14*E27))^2/(2*9.81)+B27+0.5*(((DATOS!$B$27*C27/(DATOS!$B$14*E27))^2/((DATOS!$B$14*E27)/(DATOS!$B$14+2*E27))^(4/3))+((DATOS!$B$27*C28/(DATOS!$B$14*((BR28+BS28)/2)))^2/((DATOS!$B$14*((BR28+BS28)/2))/(DATOS!$B$14+2*((BR28+BS28)/2)))^(4/3)))*(A27-A28)))&lt;0,((BR28+BS28)/2),BR28)</f>
        <v/>
      </c>
      <c r="BU28" s="16">
        <f>IF((((BR28+BS28)/2)+(C28/(DATOS!$B$14*((BR28+BS28)/2)))^2/(2*9.81)+B28-(E27+(C27/(DATOS!$B$14*E27))^2/(2*9.81)+B27+0.5*(((DATOS!$B$27*C27/(DATOS!$B$14*E27))^2/((DATOS!$B$14*E27)/(DATOS!$B$14+2*E27))^(4/3))+((DATOS!$B$27*C28/(DATOS!$B$14*((BR28+BS28)/2)))^2/((DATOS!$B$14*((BR28+BS28)/2))/(DATOS!$B$14+2*((BR28+BS28)/2)))^(4/3)))*(A27-A28)))&lt;0,BS28,((BR28+BS28)/2))</f>
        <v/>
      </c>
    </row>
    <row r="29">
      <c r="A29" s="30" t="n">
        <v>92</v>
      </c>
      <c r="B29" s="21">
        <f>DATOS!$B$16-DATOS!$B$19*A29</f>
        <v/>
      </c>
      <c r="C29" s="21">
        <f>IF(A29&lt;CAUDALES!$B$13,CAUDALES!$D$12,IF(A29&lt;CAUDALES!$B$14,CAUDALES!$D$13,IF(A29&lt;CAUDALES!$B$15,CAUDALES!$D$14,CAUDALES!$D$15)))/1000</f>
        <v/>
      </c>
      <c r="D29" s="21">
        <f>(C29^2/(9.81*DATOS!$B$14^2))^(1/3)</f>
        <v/>
      </c>
      <c r="E29" s="29">
        <f>(BT29+BU29)/2</f>
        <v/>
      </c>
      <c r="F29" s="21">
        <f>B29+E29</f>
        <v/>
      </c>
      <c r="G29" s="17">
        <f>C29/(DATOS!$B$14*E29)</f>
        <v/>
      </c>
      <c r="H29" s="17">
        <f>G29/SQRT(9.81*E29)</f>
        <v/>
      </c>
      <c r="I29" s="21">
        <f>IF(A29&lt;=DATOS!$B$20,DATOS!$B$21-IF(AND(A29&gt;=DATOS!$B$23,A29&lt;DATOS!$B$24),DATOS!$B$25,DATOS!$B$22),B29+DATOS!$B$26)</f>
        <v/>
      </c>
      <c r="J29" s="17">
        <f>I29-B29</f>
        <v/>
      </c>
      <c r="K29" s="31">
        <f>E29/J29</f>
        <v/>
      </c>
      <c r="L29" s="21">
        <f>I29-F29</f>
        <v/>
      </c>
      <c r="M29" s="32">
        <f>IF(AND(K29&lt;=DATOS!$B$29,L29&gt;=DATOS!$B$30),"CUMPLE","NO CUMPLE")</f>
        <v/>
      </c>
      <c r="N29" s="13">
        <f>IF(A29&gt;DATOS!$B$20,"cubierto - tramo final",IF(AND(A29&gt;=DATOS!$B$23,A29&lt;DATOS!$B$24),"cubierto - camiones","cubierto"))</f>
        <v/>
      </c>
      <c r="P29" s="16">
        <f>D29*1.001</f>
        <v/>
      </c>
      <c r="Q29" s="16" t="n">
        <v>2</v>
      </c>
      <c r="R29" s="16">
        <f>IF((((P29+Q29)/2)+(C29/(DATOS!$B$14*((P29+Q29)/2)))^2/(2*9.81)+B29-(E28+(C28/(DATOS!$B$14*E28))^2/(2*9.81)+B28+0.5*(((DATOS!$B$27*C28/(DATOS!$B$14*E28))^2/((DATOS!$B$14*E28)/(DATOS!$B$14+2*E28))^(4/3))+((DATOS!$B$27*C29/(DATOS!$B$14*((P29+Q29)/2)))^2/((DATOS!$B$14*((P29+Q29)/2))/(DATOS!$B$14+2*((P29+Q29)/2)))^(4/3)))*(A28-A29)))&lt;0,((P29+Q29)/2),P29)</f>
        <v/>
      </c>
      <c r="S29" s="16">
        <f>IF((((P29+Q29)/2)+(C29/(DATOS!$B$14*((P29+Q29)/2)))^2/(2*9.81)+B29-(E28+(C28/(DATOS!$B$14*E28))^2/(2*9.81)+B28+0.5*(((DATOS!$B$27*C28/(DATOS!$B$14*E28))^2/((DATOS!$B$14*E28)/(DATOS!$B$14+2*E28))^(4/3))+((DATOS!$B$27*C29/(DATOS!$B$14*((P29+Q29)/2)))^2/((DATOS!$B$14*((P29+Q29)/2))/(DATOS!$B$14+2*((P29+Q29)/2)))^(4/3)))*(A28-A29)))&lt;0,Q29,((P29+Q29)/2))</f>
        <v/>
      </c>
      <c r="T29" s="16">
        <f>IF((((R29+S29)/2)+(C29/(DATOS!$B$14*((R29+S29)/2)))^2/(2*9.81)+B29-(E28+(C28/(DATOS!$B$14*E28))^2/(2*9.81)+B28+0.5*(((DATOS!$B$27*C28/(DATOS!$B$14*E28))^2/((DATOS!$B$14*E28)/(DATOS!$B$14+2*E28))^(4/3))+((DATOS!$B$27*C29/(DATOS!$B$14*((R29+S29)/2)))^2/((DATOS!$B$14*((R29+S29)/2))/(DATOS!$B$14+2*((R29+S29)/2)))^(4/3)))*(A28-A29)))&lt;0,((R29+S29)/2),R29)</f>
        <v/>
      </c>
      <c r="U29" s="16">
        <f>IF((((R29+S29)/2)+(C29/(DATOS!$B$14*((R29+S29)/2)))^2/(2*9.81)+B29-(E28+(C28/(DATOS!$B$14*E28))^2/(2*9.81)+B28+0.5*(((DATOS!$B$27*C28/(DATOS!$B$14*E28))^2/((DATOS!$B$14*E28)/(DATOS!$B$14+2*E28))^(4/3))+((DATOS!$B$27*C29/(DATOS!$B$14*((R29+S29)/2)))^2/((DATOS!$B$14*((R29+S29)/2))/(DATOS!$B$14+2*((R29+S29)/2)))^(4/3)))*(A28-A29)))&lt;0,S29,((R29+S29)/2))</f>
        <v/>
      </c>
      <c r="V29" s="16">
        <f>IF((((T29+U29)/2)+(C29/(DATOS!$B$14*((T29+U29)/2)))^2/(2*9.81)+B29-(E28+(C28/(DATOS!$B$14*E28))^2/(2*9.81)+B28+0.5*(((DATOS!$B$27*C28/(DATOS!$B$14*E28))^2/((DATOS!$B$14*E28)/(DATOS!$B$14+2*E28))^(4/3))+((DATOS!$B$27*C29/(DATOS!$B$14*((T29+U29)/2)))^2/((DATOS!$B$14*((T29+U29)/2))/(DATOS!$B$14+2*((T29+U29)/2)))^(4/3)))*(A28-A29)))&lt;0,((T29+U29)/2),T29)</f>
        <v/>
      </c>
      <c r="W29" s="16">
        <f>IF((((T29+U29)/2)+(C29/(DATOS!$B$14*((T29+U29)/2)))^2/(2*9.81)+B29-(E28+(C28/(DATOS!$B$14*E28))^2/(2*9.81)+B28+0.5*(((DATOS!$B$27*C28/(DATOS!$B$14*E28))^2/((DATOS!$B$14*E28)/(DATOS!$B$14+2*E28))^(4/3))+((DATOS!$B$27*C29/(DATOS!$B$14*((T29+U29)/2)))^2/((DATOS!$B$14*((T29+U29)/2))/(DATOS!$B$14+2*((T29+U29)/2)))^(4/3)))*(A28-A29)))&lt;0,U29,((T29+U29)/2))</f>
        <v/>
      </c>
      <c r="X29" s="16">
        <f>IF((((V29+W29)/2)+(C29/(DATOS!$B$14*((V29+W29)/2)))^2/(2*9.81)+B29-(E28+(C28/(DATOS!$B$14*E28))^2/(2*9.81)+B28+0.5*(((DATOS!$B$27*C28/(DATOS!$B$14*E28))^2/((DATOS!$B$14*E28)/(DATOS!$B$14+2*E28))^(4/3))+((DATOS!$B$27*C29/(DATOS!$B$14*((V29+W29)/2)))^2/((DATOS!$B$14*((V29+W29)/2))/(DATOS!$B$14+2*((V29+W29)/2)))^(4/3)))*(A28-A29)))&lt;0,((V29+W29)/2),V29)</f>
        <v/>
      </c>
      <c r="Y29" s="16">
        <f>IF((((V29+W29)/2)+(C29/(DATOS!$B$14*((V29+W29)/2)))^2/(2*9.81)+B29-(E28+(C28/(DATOS!$B$14*E28))^2/(2*9.81)+B28+0.5*(((DATOS!$B$27*C28/(DATOS!$B$14*E28))^2/((DATOS!$B$14*E28)/(DATOS!$B$14+2*E28))^(4/3))+((DATOS!$B$27*C29/(DATOS!$B$14*((V29+W29)/2)))^2/((DATOS!$B$14*((V29+W29)/2))/(DATOS!$B$14+2*((V29+W29)/2)))^(4/3)))*(A28-A29)))&lt;0,W29,((V29+W29)/2))</f>
        <v/>
      </c>
      <c r="Z29" s="16">
        <f>IF((((X29+Y29)/2)+(C29/(DATOS!$B$14*((X29+Y29)/2)))^2/(2*9.81)+B29-(E28+(C28/(DATOS!$B$14*E28))^2/(2*9.81)+B28+0.5*(((DATOS!$B$27*C28/(DATOS!$B$14*E28))^2/((DATOS!$B$14*E28)/(DATOS!$B$14+2*E28))^(4/3))+((DATOS!$B$27*C29/(DATOS!$B$14*((X29+Y29)/2)))^2/((DATOS!$B$14*((X29+Y29)/2))/(DATOS!$B$14+2*((X29+Y29)/2)))^(4/3)))*(A28-A29)))&lt;0,((X29+Y29)/2),X29)</f>
        <v/>
      </c>
      <c r="AA29" s="16">
        <f>IF((((X29+Y29)/2)+(C29/(DATOS!$B$14*((X29+Y29)/2)))^2/(2*9.81)+B29-(E28+(C28/(DATOS!$B$14*E28))^2/(2*9.81)+B28+0.5*(((DATOS!$B$27*C28/(DATOS!$B$14*E28))^2/((DATOS!$B$14*E28)/(DATOS!$B$14+2*E28))^(4/3))+((DATOS!$B$27*C29/(DATOS!$B$14*((X29+Y29)/2)))^2/((DATOS!$B$14*((X29+Y29)/2))/(DATOS!$B$14+2*((X29+Y29)/2)))^(4/3)))*(A28-A29)))&lt;0,Y29,((X29+Y29)/2))</f>
        <v/>
      </c>
      <c r="AB29" s="16">
        <f>IF((((Z29+AA29)/2)+(C29/(DATOS!$B$14*((Z29+AA29)/2)))^2/(2*9.81)+B29-(E28+(C28/(DATOS!$B$14*E28))^2/(2*9.81)+B28+0.5*(((DATOS!$B$27*C28/(DATOS!$B$14*E28))^2/((DATOS!$B$14*E28)/(DATOS!$B$14+2*E28))^(4/3))+((DATOS!$B$27*C29/(DATOS!$B$14*((Z29+AA29)/2)))^2/((DATOS!$B$14*((Z29+AA29)/2))/(DATOS!$B$14+2*((Z29+AA29)/2)))^(4/3)))*(A28-A29)))&lt;0,((Z29+AA29)/2),Z29)</f>
        <v/>
      </c>
      <c r="AC29" s="16">
        <f>IF((((Z29+AA29)/2)+(C29/(DATOS!$B$14*((Z29+AA29)/2)))^2/(2*9.81)+B29-(E28+(C28/(DATOS!$B$14*E28))^2/(2*9.81)+B28+0.5*(((DATOS!$B$27*C28/(DATOS!$B$14*E28))^2/((DATOS!$B$14*E28)/(DATOS!$B$14+2*E28))^(4/3))+((DATOS!$B$27*C29/(DATOS!$B$14*((Z29+AA29)/2)))^2/((DATOS!$B$14*((Z29+AA29)/2))/(DATOS!$B$14+2*((Z29+AA29)/2)))^(4/3)))*(A28-A29)))&lt;0,AA29,((Z29+AA29)/2))</f>
        <v/>
      </c>
      <c r="AD29" s="16">
        <f>IF((((AB29+AC29)/2)+(C29/(DATOS!$B$14*((AB29+AC29)/2)))^2/(2*9.81)+B29-(E28+(C28/(DATOS!$B$14*E28))^2/(2*9.81)+B28+0.5*(((DATOS!$B$27*C28/(DATOS!$B$14*E28))^2/((DATOS!$B$14*E28)/(DATOS!$B$14+2*E28))^(4/3))+((DATOS!$B$27*C29/(DATOS!$B$14*((AB29+AC29)/2)))^2/((DATOS!$B$14*((AB29+AC29)/2))/(DATOS!$B$14+2*((AB29+AC29)/2)))^(4/3)))*(A28-A29)))&lt;0,((AB29+AC29)/2),AB29)</f>
        <v/>
      </c>
      <c r="AE29" s="16">
        <f>IF((((AB29+AC29)/2)+(C29/(DATOS!$B$14*((AB29+AC29)/2)))^2/(2*9.81)+B29-(E28+(C28/(DATOS!$B$14*E28))^2/(2*9.81)+B28+0.5*(((DATOS!$B$27*C28/(DATOS!$B$14*E28))^2/((DATOS!$B$14*E28)/(DATOS!$B$14+2*E28))^(4/3))+((DATOS!$B$27*C29/(DATOS!$B$14*((AB29+AC29)/2)))^2/((DATOS!$B$14*((AB29+AC29)/2))/(DATOS!$B$14+2*((AB29+AC29)/2)))^(4/3)))*(A28-A29)))&lt;0,AC29,((AB29+AC29)/2))</f>
        <v/>
      </c>
      <c r="AF29" s="16">
        <f>IF((((AD29+AE29)/2)+(C29/(DATOS!$B$14*((AD29+AE29)/2)))^2/(2*9.81)+B29-(E28+(C28/(DATOS!$B$14*E28))^2/(2*9.81)+B28+0.5*(((DATOS!$B$27*C28/(DATOS!$B$14*E28))^2/((DATOS!$B$14*E28)/(DATOS!$B$14+2*E28))^(4/3))+((DATOS!$B$27*C29/(DATOS!$B$14*((AD29+AE29)/2)))^2/((DATOS!$B$14*((AD29+AE29)/2))/(DATOS!$B$14+2*((AD29+AE29)/2)))^(4/3)))*(A28-A29)))&lt;0,((AD29+AE29)/2),AD29)</f>
        <v/>
      </c>
      <c r="AG29" s="16">
        <f>IF((((AD29+AE29)/2)+(C29/(DATOS!$B$14*((AD29+AE29)/2)))^2/(2*9.81)+B29-(E28+(C28/(DATOS!$B$14*E28))^2/(2*9.81)+B28+0.5*(((DATOS!$B$27*C28/(DATOS!$B$14*E28))^2/((DATOS!$B$14*E28)/(DATOS!$B$14+2*E28))^(4/3))+((DATOS!$B$27*C29/(DATOS!$B$14*((AD29+AE29)/2)))^2/((DATOS!$B$14*((AD29+AE29)/2))/(DATOS!$B$14+2*((AD29+AE29)/2)))^(4/3)))*(A28-A29)))&lt;0,AE29,((AD29+AE29)/2))</f>
        <v/>
      </c>
      <c r="AH29" s="16">
        <f>IF((((AF29+AG29)/2)+(C29/(DATOS!$B$14*((AF29+AG29)/2)))^2/(2*9.81)+B29-(E28+(C28/(DATOS!$B$14*E28))^2/(2*9.81)+B28+0.5*(((DATOS!$B$27*C28/(DATOS!$B$14*E28))^2/((DATOS!$B$14*E28)/(DATOS!$B$14+2*E28))^(4/3))+((DATOS!$B$27*C29/(DATOS!$B$14*((AF29+AG29)/2)))^2/((DATOS!$B$14*((AF29+AG29)/2))/(DATOS!$B$14+2*((AF29+AG29)/2)))^(4/3)))*(A28-A29)))&lt;0,((AF29+AG29)/2),AF29)</f>
        <v/>
      </c>
      <c r="AI29" s="16">
        <f>IF((((AF29+AG29)/2)+(C29/(DATOS!$B$14*((AF29+AG29)/2)))^2/(2*9.81)+B29-(E28+(C28/(DATOS!$B$14*E28))^2/(2*9.81)+B28+0.5*(((DATOS!$B$27*C28/(DATOS!$B$14*E28))^2/((DATOS!$B$14*E28)/(DATOS!$B$14+2*E28))^(4/3))+((DATOS!$B$27*C29/(DATOS!$B$14*((AF29+AG29)/2)))^2/((DATOS!$B$14*((AF29+AG29)/2))/(DATOS!$B$14+2*((AF29+AG29)/2)))^(4/3)))*(A28-A29)))&lt;0,AG29,((AF29+AG29)/2))</f>
        <v/>
      </c>
      <c r="AJ29" s="16">
        <f>IF((((AH29+AI29)/2)+(C29/(DATOS!$B$14*((AH29+AI29)/2)))^2/(2*9.81)+B29-(E28+(C28/(DATOS!$B$14*E28))^2/(2*9.81)+B28+0.5*(((DATOS!$B$27*C28/(DATOS!$B$14*E28))^2/((DATOS!$B$14*E28)/(DATOS!$B$14+2*E28))^(4/3))+((DATOS!$B$27*C29/(DATOS!$B$14*((AH29+AI29)/2)))^2/((DATOS!$B$14*((AH29+AI29)/2))/(DATOS!$B$14+2*((AH29+AI29)/2)))^(4/3)))*(A28-A29)))&lt;0,((AH29+AI29)/2),AH29)</f>
        <v/>
      </c>
      <c r="AK29" s="16">
        <f>IF((((AH29+AI29)/2)+(C29/(DATOS!$B$14*((AH29+AI29)/2)))^2/(2*9.81)+B29-(E28+(C28/(DATOS!$B$14*E28))^2/(2*9.81)+B28+0.5*(((DATOS!$B$27*C28/(DATOS!$B$14*E28))^2/((DATOS!$B$14*E28)/(DATOS!$B$14+2*E28))^(4/3))+((DATOS!$B$27*C29/(DATOS!$B$14*((AH29+AI29)/2)))^2/((DATOS!$B$14*((AH29+AI29)/2))/(DATOS!$B$14+2*((AH29+AI29)/2)))^(4/3)))*(A28-A29)))&lt;0,AI29,((AH29+AI29)/2))</f>
        <v/>
      </c>
      <c r="AL29" s="16">
        <f>IF((((AJ29+AK29)/2)+(C29/(DATOS!$B$14*((AJ29+AK29)/2)))^2/(2*9.81)+B29-(E28+(C28/(DATOS!$B$14*E28))^2/(2*9.81)+B28+0.5*(((DATOS!$B$27*C28/(DATOS!$B$14*E28))^2/((DATOS!$B$14*E28)/(DATOS!$B$14+2*E28))^(4/3))+((DATOS!$B$27*C29/(DATOS!$B$14*((AJ29+AK29)/2)))^2/((DATOS!$B$14*((AJ29+AK29)/2))/(DATOS!$B$14+2*((AJ29+AK29)/2)))^(4/3)))*(A28-A29)))&lt;0,((AJ29+AK29)/2),AJ29)</f>
        <v/>
      </c>
      <c r="AM29" s="16">
        <f>IF((((AJ29+AK29)/2)+(C29/(DATOS!$B$14*((AJ29+AK29)/2)))^2/(2*9.81)+B29-(E28+(C28/(DATOS!$B$14*E28))^2/(2*9.81)+B28+0.5*(((DATOS!$B$27*C28/(DATOS!$B$14*E28))^2/((DATOS!$B$14*E28)/(DATOS!$B$14+2*E28))^(4/3))+((DATOS!$B$27*C29/(DATOS!$B$14*((AJ29+AK29)/2)))^2/((DATOS!$B$14*((AJ29+AK29)/2))/(DATOS!$B$14+2*((AJ29+AK29)/2)))^(4/3)))*(A28-A29)))&lt;0,AK29,((AJ29+AK29)/2))</f>
        <v/>
      </c>
      <c r="AN29" s="16">
        <f>IF((((AL29+AM29)/2)+(C29/(DATOS!$B$14*((AL29+AM29)/2)))^2/(2*9.81)+B29-(E28+(C28/(DATOS!$B$14*E28))^2/(2*9.81)+B28+0.5*(((DATOS!$B$27*C28/(DATOS!$B$14*E28))^2/((DATOS!$B$14*E28)/(DATOS!$B$14+2*E28))^(4/3))+((DATOS!$B$27*C29/(DATOS!$B$14*((AL29+AM29)/2)))^2/((DATOS!$B$14*((AL29+AM29)/2))/(DATOS!$B$14+2*((AL29+AM29)/2)))^(4/3)))*(A28-A29)))&lt;0,((AL29+AM29)/2),AL29)</f>
        <v/>
      </c>
      <c r="AO29" s="16">
        <f>IF((((AL29+AM29)/2)+(C29/(DATOS!$B$14*((AL29+AM29)/2)))^2/(2*9.81)+B29-(E28+(C28/(DATOS!$B$14*E28))^2/(2*9.81)+B28+0.5*(((DATOS!$B$27*C28/(DATOS!$B$14*E28))^2/((DATOS!$B$14*E28)/(DATOS!$B$14+2*E28))^(4/3))+((DATOS!$B$27*C29/(DATOS!$B$14*((AL29+AM29)/2)))^2/((DATOS!$B$14*((AL29+AM29)/2))/(DATOS!$B$14+2*((AL29+AM29)/2)))^(4/3)))*(A28-A29)))&lt;0,AM29,((AL29+AM29)/2))</f>
        <v/>
      </c>
      <c r="AP29" s="16">
        <f>IF((((AN29+AO29)/2)+(C29/(DATOS!$B$14*((AN29+AO29)/2)))^2/(2*9.81)+B29-(E28+(C28/(DATOS!$B$14*E28))^2/(2*9.81)+B28+0.5*(((DATOS!$B$27*C28/(DATOS!$B$14*E28))^2/((DATOS!$B$14*E28)/(DATOS!$B$14+2*E28))^(4/3))+((DATOS!$B$27*C29/(DATOS!$B$14*((AN29+AO29)/2)))^2/((DATOS!$B$14*((AN29+AO29)/2))/(DATOS!$B$14+2*((AN29+AO29)/2)))^(4/3)))*(A28-A29)))&lt;0,((AN29+AO29)/2),AN29)</f>
        <v/>
      </c>
      <c r="AQ29" s="16">
        <f>IF((((AN29+AO29)/2)+(C29/(DATOS!$B$14*((AN29+AO29)/2)))^2/(2*9.81)+B29-(E28+(C28/(DATOS!$B$14*E28))^2/(2*9.81)+B28+0.5*(((DATOS!$B$27*C28/(DATOS!$B$14*E28))^2/((DATOS!$B$14*E28)/(DATOS!$B$14+2*E28))^(4/3))+((DATOS!$B$27*C29/(DATOS!$B$14*((AN29+AO29)/2)))^2/((DATOS!$B$14*((AN29+AO29)/2))/(DATOS!$B$14+2*((AN29+AO29)/2)))^(4/3)))*(A28-A29)))&lt;0,AO29,((AN29+AO29)/2))</f>
        <v/>
      </c>
      <c r="AR29" s="16">
        <f>IF((((AP29+AQ29)/2)+(C29/(DATOS!$B$14*((AP29+AQ29)/2)))^2/(2*9.81)+B29-(E28+(C28/(DATOS!$B$14*E28))^2/(2*9.81)+B28+0.5*(((DATOS!$B$27*C28/(DATOS!$B$14*E28))^2/((DATOS!$B$14*E28)/(DATOS!$B$14+2*E28))^(4/3))+((DATOS!$B$27*C29/(DATOS!$B$14*((AP29+AQ29)/2)))^2/((DATOS!$B$14*((AP29+AQ29)/2))/(DATOS!$B$14+2*((AP29+AQ29)/2)))^(4/3)))*(A28-A29)))&lt;0,((AP29+AQ29)/2),AP29)</f>
        <v/>
      </c>
      <c r="AS29" s="16">
        <f>IF((((AP29+AQ29)/2)+(C29/(DATOS!$B$14*((AP29+AQ29)/2)))^2/(2*9.81)+B29-(E28+(C28/(DATOS!$B$14*E28))^2/(2*9.81)+B28+0.5*(((DATOS!$B$27*C28/(DATOS!$B$14*E28))^2/((DATOS!$B$14*E28)/(DATOS!$B$14+2*E28))^(4/3))+((DATOS!$B$27*C29/(DATOS!$B$14*((AP29+AQ29)/2)))^2/((DATOS!$B$14*((AP29+AQ29)/2))/(DATOS!$B$14+2*((AP29+AQ29)/2)))^(4/3)))*(A28-A29)))&lt;0,AQ29,((AP29+AQ29)/2))</f>
        <v/>
      </c>
      <c r="AT29" s="16">
        <f>IF((((AR29+AS29)/2)+(C29/(DATOS!$B$14*((AR29+AS29)/2)))^2/(2*9.81)+B29-(E28+(C28/(DATOS!$B$14*E28))^2/(2*9.81)+B28+0.5*(((DATOS!$B$27*C28/(DATOS!$B$14*E28))^2/((DATOS!$B$14*E28)/(DATOS!$B$14+2*E28))^(4/3))+((DATOS!$B$27*C29/(DATOS!$B$14*((AR29+AS29)/2)))^2/((DATOS!$B$14*((AR29+AS29)/2))/(DATOS!$B$14+2*((AR29+AS29)/2)))^(4/3)))*(A28-A29)))&lt;0,((AR29+AS29)/2),AR29)</f>
        <v/>
      </c>
      <c r="AU29" s="16">
        <f>IF((((AR29+AS29)/2)+(C29/(DATOS!$B$14*((AR29+AS29)/2)))^2/(2*9.81)+B29-(E28+(C28/(DATOS!$B$14*E28))^2/(2*9.81)+B28+0.5*(((DATOS!$B$27*C28/(DATOS!$B$14*E28))^2/((DATOS!$B$14*E28)/(DATOS!$B$14+2*E28))^(4/3))+((DATOS!$B$27*C29/(DATOS!$B$14*((AR29+AS29)/2)))^2/((DATOS!$B$14*((AR29+AS29)/2))/(DATOS!$B$14+2*((AR29+AS29)/2)))^(4/3)))*(A28-A29)))&lt;0,AS29,((AR29+AS29)/2))</f>
        <v/>
      </c>
      <c r="AV29" s="16">
        <f>IF((((AT29+AU29)/2)+(C29/(DATOS!$B$14*((AT29+AU29)/2)))^2/(2*9.81)+B29-(E28+(C28/(DATOS!$B$14*E28))^2/(2*9.81)+B28+0.5*(((DATOS!$B$27*C28/(DATOS!$B$14*E28))^2/((DATOS!$B$14*E28)/(DATOS!$B$14+2*E28))^(4/3))+((DATOS!$B$27*C29/(DATOS!$B$14*((AT29+AU29)/2)))^2/((DATOS!$B$14*((AT29+AU29)/2))/(DATOS!$B$14+2*((AT29+AU29)/2)))^(4/3)))*(A28-A29)))&lt;0,((AT29+AU29)/2),AT29)</f>
        <v/>
      </c>
      <c r="AW29" s="16">
        <f>IF((((AT29+AU29)/2)+(C29/(DATOS!$B$14*((AT29+AU29)/2)))^2/(2*9.81)+B29-(E28+(C28/(DATOS!$B$14*E28))^2/(2*9.81)+B28+0.5*(((DATOS!$B$27*C28/(DATOS!$B$14*E28))^2/((DATOS!$B$14*E28)/(DATOS!$B$14+2*E28))^(4/3))+((DATOS!$B$27*C29/(DATOS!$B$14*((AT29+AU29)/2)))^2/((DATOS!$B$14*((AT29+AU29)/2))/(DATOS!$B$14+2*((AT29+AU29)/2)))^(4/3)))*(A28-A29)))&lt;0,AU29,((AT29+AU29)/2))</f>
        <v/>
      </c>
      <c r="AX29" s="16">
        <f>IF((((AV29+AW29)/2)+(C29/(DATOS!$B$14*((AV29+AW29)/2)))^2/(2*9.81)+B29-(E28+(C28/(DATOS!$B$14*E28))^2/(2*9.81)+B28+0.5*(((DATOS!$B$27*C28/(DATOS!$B$14*E28))^2/((DATOS!$B$14*E28)/(DATOS!$B$14+2*E28))^(4/3))+((DATOS!$B$27*C29/(DATOS!$B$14*((AV29+AW29)/2)))^2/((DATOS!$B$14*((AV29+AW29)/2))/(DATOS!$B$14+2*((AV29+AW29)/2)))^(4/3)))*(A28-A29)))&lt;0,((AV29+AW29)/2),AV29)</f>
        <v/>
      </c>
      <c r="AY29" s="16">
        <f>IF((((AV29+AW29)/2)+(C29/(DATOS!$B$14*((AV29+AW29)/2)))^2/(2*9.81)+B29-(E28+(C28/(DATOS!$B$14*E28))^2/(2*9.81)+B28+0.5*(((DATOS!$B$27*C28/(DATOS!$B$14*E28))^2/((DATOS!$B$14*E28)/(DATOS!$B$14+2*E28))^(4/3))+((DATOS!$B$27*C29/(DATOS!$B$14*((AV29+AW29)/2)))^2/((DATOS!$B$14*((AV29+AW29)/2))/(DATOS!$B$14+2*((AV29+AW29)/2)))^(4/3)))*(A28-A29)))&lt;0,AW29,((AV29+AW29)/2))</f>
        <v/>
      </c>
      <c r="AZ29" s="16">
        <f>IF((((AX29+AY29)/2)+(C29/(DATOS!$B$14*((AX29+AY29)/2)))^2/(2*9.81)+B29-(E28+(C28/(DATOS!$B$14*E28))^2/(2*9.81)+B28+0.5*(((DATOS!$B$27*C28/(DATOS!$B$14*E28))^2/((DATOS!$B$14*E28)/(DATOS!$B$14+2*E28))^(4/3))+((DATOS!$B$27*C29/(DATOS!$B$14*((AX29+AY29)/2)))^2/((DATOS!$B$14*((AX29+AY29)/2))/(DATOS!$B$14+2*((AX29+AY29)/2)))^(4/3)))*(A28-A29)))&lt;0,((AX29+AY29)/2),AX29)</f>
        <v/>
      </c>
      <c r="BA29" s="16">
        <f>IF((((AX29+AY29)/2)+(C29/(DATOS!$B$14*((AX29+AY29)/2)))^2/(2*9.81)+B29-(E28+(C28/(DATOS!$B$14*E28))^2/(2*9.81)+B28+0.5*(((DATOS!$B$27*C28/(DATOS!$B$14*E28))^2/((DATOS!$B$14*E28)/(DATOS!$B$14+2*E28))^(4/3))+((DATOS!$B$27*C29/(DATOS!$B$14*((AX29+AY29)/2)))^2/((DATOS!$B$14*((AX29+AY29)/2))/(DATOS!$B$14+2*((AX29+AY29)/2)))^(4/3)))*(A28-A29)))&lt;0,AY29,((AX29+AY29)/2))</f>
        <v/>
      </c>
      <c r="BB29" s="16">
        <f>IF((((AZ29+BA29)/2)+(C29/(DATOS!$B$14*((AZ29+BA29)/2)))^2/(2*9.81)+B29-(E28+(C28/(DATOS!$B$14*E28))^2/(2*9.81)+B28+0.5*(((DATOS!$B$27*C28/(DATOS!$B$14*E28))^2/((DATOS!$B$14*E28)/(DATOS!$B$14+2*E28))^(4/3))+((DATOS!$B$27*C29/(DATOS!$B$14*((AZ29+BA29)/2)))^2/((DATOS!$B$14*((AZ29+BA29)/2))/(DATOS!$B$14+2*((AZ29+BA29)/2)))^(4/3)))*(A28-A29)))&lt;0,((AZ29+BA29)/2),AZ29)</f>
        <v/>
      </c>
      <c r="BC29" s="16">
        <f>IF((((AZ29+BA29)/2)+(C29/(DATOS!$B$14*((AZ29+BA29)/2)))^2/(2*9.81)+B29-(E28+(C28/(DATOS!$B$14*E28))^2/(2*9.81)+B28+0.5*(((DATOS!$B$27*C28/(DATOS!$B$14*E28))^2/((DATOS!$B$14*E28)/(DATOS!$B$14+2*E28))^(4/3))+((DATOS!$B$27*C29/(DATOS!$B$14*((AZ29+BA29)/2)))^2/((DATOS!$B$14*((AZ29+BA29)/2))/(DATOS!$B$14+2*((AZ29+BA29)/2)))^(4/3)))*(A28-A29)))&lt;0,BA29,((AZ29+BA29)/2))</f>
        <v/>
      </c>
      <c r="BD29" s="16">
        <f>IF((((BB29+BC29)/2)+(C29/(DATOS!$B$14*((BB29+BC29)/2)))^2/(2*9.81)+B29-(E28+(C28/(DATOS!$B$14*E28))^2/(2*9.81)+B28+0.5*(((DATOS!$B$27*C28/(DATOS!$B$14*E28))^2/((DATOS!$B$14*E28)/(DATOS!$B$14+2*E28))^(4/3))+((DATOS!$B$27*C29/(DATOS!$B$14*((BB29+BC29)/2)))^2/((DATOS!$B$14*((BB29+BC29)/2))/(DATOS!$B$14+2*((BB29+BC29)/2)))^(4/3)))*(A28-A29)))&lt;0,((BB29+BC29)/2),BB29)</f>
        <v/>
      </c>
      <c r="BE29" s="16">
        <f>IF((((BB29+BC29)/2)+(C29/(DATOS!$B$14*((BB29+BC29)/2)))^2/(2*9.81)+B29-(E28+(C28/(DATOS!$B$14*E28))^2/(2*9.81)+B28+0.5*(((DATOS!$B$27*C28/(DATOS!$B$14*E28))^2/((DATOS!$B$14*E28)/(DATOS!$B$14+2*E28))^(4/3))+((DATOS!$B$27*C29/(DATOS!$B$14*((BB29+BC29)/2)))^2/((DATOS!$B$14*((BB29+BC29)/2))/(DATOS!$B$14+2*((BB29+BC29)/2)))^(4/3)))*(A28-A29)))&lt;0,BC29,((BB29+BC29)/2))</f>
        <v/>
      </c>
      <c r="BF29" s="16">
        <f>IF((((BD29+BE29)/2)+(C29/(DATOS!$B$14*((BD29+BE29)/2)))^2/(2*9.81)+B29-(E28+(C28/(DATOS!$B$14*E28))^2/(2*9.81)+B28+0.5*(((DATOS!$B$27*C28/(DATOS!$B$14*E28))^2/((DATOS!$B$14*E28)/(DATOS!$B$14+2*E28))^(4/3))+((DATOS!$B$27*C29/(DATOS!$B$14*((BD29+BE29)/2)))^2/((DATOS!$B$14*((BD29+BE29)/2))/(DATOS!$B$14+2*((BD29+BE29)/2)))^(4/3)))*(A28-A29)))&lt;0,((BD29+BE29)/2),BD29)</f>
        <v/>
      </c>
      <c r="BG29" s="16">
        <f>IF((((BD29+BE29)/2)+(C29/(DATOS!$B$14*((BD29+BE29)/2)))^2/(2*9.81)+B29-(E28+(C28/(DATOS!$B$14*E28))^2/(2*9.81)+B28+0.5*(((DATOS!$B$27*C28/(DATOS!$B$14*E28))^2/((DATOS!$B$14*E28)/(DATOS!$B$14+2*E28))^(4/3))+((DATOS!$B$27*C29/(DATOS!$B$14*((BD29+BE29)/2)))^2/((DATOS!$B$14*((BD29+BE29)/2))/(DATOS!$B$14+2*((BD29+BE29)/2)))^(4/3)))*(A28-A29)))&lt;0,BE29,((BD29+BE29)/2))</f>
        <v/>
      </c>
      <c r="BH29" s="16">
        <f>IF((((BF29+BG29)/2)+(C29/(DATOS!$B$14*((BF29+BG29)/2)))^2/(2*9.81)+B29-(E28+(C28/(DATOS!$B$14*E28))^2/(2*9.81)+B28+0.5*(((DATOS!$B$27*C28/(DATOS!$B$14*E28))^2/((DATOS!$B$14*E28)/(DATOS!$B$14+2*E28))^(4/3))+((DATOS!$B$27*C29/(DATOS!$B$14*((BF29+BG29)/2)))^2/((DATOS!$B$14*((BF29+BG29)/2))/(DATOS!$B$14+2*((BF29+BG29)/2)))^(4/3)))*(A28-A29)))&lt;0,((BF29+BG29)/2),BF29)</f>
        <v/>
      </c>
      <c r="BI29" s="16">
        <f>IF((((BF29+BG29)/2)+(C29/(DATOS!$B$14*((BF29+BG29)/2)))^2/(2*9.81)+B29-(E28+(C28/(DATOS!$B$14*E28))^2/(2*9.81)+B28+0.5*(((DATOS!$B$27*C28/(DATOS!$B$14*E28))^2/((DATOS!$B$14*E28)/(DATOS!$B$14+2*E28))^(4/3))+((DATOS!$B$27*C29/(DATOS!$B$14*((BF29+BG29)/2)))^2/((DATOS!$B$14*((BF29+BG29)/2))/(DATOS!$B$14+2*((BF29+BG29)/2)))^(4/3)))*(A28-A29)))&lt;0,BG29,((BF29+BG29)/2))</f>
        <v/>
      </c>
      <c r="BJ29" s="16">
        <f>IF((((BH29+BI29)/2)+(C29/(DATOS!$B$14*((BH29+BI29)/2)))^2/(2*9.81)+B29-(E28+(C28/(DATOS!$B$14*E28))^2/(2*9.81)+B28+0.5*(((DATOS!$B$27*C28/(DATOS!$B$14*E28))^2/((DATOS!$B$14*E28)/(DATOS!$B$14+2*E28))^(4/3))+((DATOS!$B$27*C29/(DATOS!$B$14*((BH29+BI29)/2)))^2/((DATOS!$B$14*((BH29+BI29)/2))/(DATOS!$B$14+2*((BH29+BI29)/2)))^(4/3)))*(A28-A29)))&lt;0,((BH29+BI29)/2),BH29)</f>
        <v/>
      </c>
      <c r="BK29" s="16">
        <f>IF((((BH29+BI29)/2)+(C29/(DATOS!$B$14*((BH29+BI29)/2)))^2/(2*9.81)+B29-(E28+(C28/(DATOS!$B$14*E28))^2/(2*9.81)+B28+0.5*(((DATOS!$B$27*C28/(DATOS!$B$14*E28))^2/((DATOS!$B$14*E28)/(DATOS!$B$14+2*E28))^(4/3))+((DATOS!$B$27*C29/(DATOS!$B$14*((BH29+BI29)/2)))^2/((DATOS!$B$14*((BH29+BI29)/2))/(DATOS!$B$14+2*((BH29+BI29)/2)))^(4/3)))*(A28-A29)))&lt;0,BI29,((BH29+BI29)/2))</f>
        <v/>
      </c>
      <c r="BL29" s="16">
        <f>IF((((BJ29+BK29)/2)+(C29/(DATOS!$B$14*((BJ29+BK29)/2)))^2/(2*9.81)+B29-(E28+(C28/(DATOS!$B$14*E28))^2/(2*9.81)+B28+0.5*(((DATOS!$B$27*C28/(DATOS!$B$14*E28))^2/((DATOS!$B$14*E28)/(DATOS!$B$14+2*E28))^(4/3))+((DATOS!$B$27*C29/(DATOS!$B$14*((BJ29+BK29)/2)))^2/((DATOS!$B$14*((BJ29+BK29)/2))/(DATOS!$B$14+2*((BJ29+BK29)/2)))^(4/3)))*(A28-A29)))&lt;0,((BJ29+BK29)/2),BJ29)</f>
        <v/>
      </c>
      <c r="BM29" s="16">
        <f>IF((((BJ29+BK29)/2)+(C29/(DATOS!$B$14*((BJ29+BK29)/2)))^2/(2*9.81)+B29-(E28+(C28/(DATOS!$B$14*E28))^2/(2*9.81)+B28+0.5*(((DATOS!$B$27*C28/(DATOS!$B$14*E28))^2/((DATOS!$B$14*E28)/(DATOS!$B$14+2*E28))^(4/3))+((DATOS!$B$27*C29/(DATOS!$B$14*((BJ29+BK29)/2)))^2/((DATOS!$B$14*((BJ29+BK29)/2))/(DATOS!$B$14+2*((BJ29+BK29)/2)))^(4/3)))*(A28-A29)))&lt;0,BK29,((BJ29+BK29)/2))</f>
        <v/>
      </c>
      <c r="BN29" s="16">
        <f>IF((((BL29+BM29)/2)+(C29/(DATOS!$B$14*((BL29+BM29)/2)))^2/(2*9.81)+B29-(E28+(C28/(DATOS!$B$14*E28))^2/(2*9.81)+B28+0.5*(((DATOS!$B$27*C28/(DATOS!$B$14*E28))^2/((DATOS!$B$14*E28)/(DATOS!$B$14+2*E28))^(4/3))+((DATOS!$B$27*C29/(DATOS!$B$14*((BL29+BM29)/2)))^2/((DATOS!$B$14*((BL29+BM29)/2))/(DATOS!$B$14+2*((BL29+BM29)/2)))^(4/3)))*(A28-A29)))&lt;0,((BL29+BM29)/2),BL29)</f>
        <v/>
      </c>
      <c r="BO29" s="16">
        <f>IF((((BL29+BM29)/2)+(C29/(DATOS!$B$14*((BL29+BM29)/2)))^2/(2*9.81)+B29-(E28+(C28/(DATOS!$B$14*E28))^2/(2*9.81)+B28+0.5*(((DATOS!$B$27*C28/(DATOS!$B$14*E28))^2/((DATOS!$B$14*E28)/(DATOS!$B$14+2*E28))^(4/3))+((DATOS!$B$27*C29/(DATOS!$B$14*((BL29+BM29)/2)))^2/((DATOS!$B$14*((BL29+BM29)/2))/(DATOS!$B$14+2*((BL29+BM29)/2)))^(4/3)))*(A28-A29)))&lt;0,BM29,((BL29+BM29)/2))</f>
        <v/>
      </c>
      <c r="BP29" s="16">
        <f>IF((((BN29+BO29)/2)+(C29/(DATOS!$B$14*((BN29+BO29)/2)))^2/(2*9.81)+B29-(E28+(C28/(DATOS!$B$14*E28))^2/(2*9.81)+B28+0.5*(((DATOS!$B$27*C28/(DATOS!$B$14*E28))^2/((DATOS!$B$14*E28)/(DATOS!$B$14+2*E28))^(4/3))+((DATOS!$B$27*C29/(DATOS!$B$14*((BN29+BO29)/2)))^2/((DATOS!$B$14*((BN29+BO29)/2))/(DATOS!$B$14+2*((BN29+BO29)/2)))^(4/3)))*(A28-A29)))&lt;0,((BN29+BO29)/2),BN29)</f>
        <v/>
      </c>
      <c r="BQ29" s="16">
        <f>IF((((BN29+BO29)/2)+(C29/(DATOS!$B$14*((BN29+BO29)/2)))^2/(2*9.81)+B29-(E28+(C28/(DATOS!$B$14*E28))^2/(2*9.81)+B28+0.5*(((DATOS!$B$27*C28/(DATOS!$B$14*E28))^2/((DATOS!$B$14*E28)/(DATOS!$B$14+2*E28))^(4/3))+((DATOS!$B$27*C29/(DATOS!$B$14*((BN29+BO29)/2)))^2/((DATOS!$B$14*((BN29+BO29)/2))/(DATOS!$B$14+2*((BN29+BO29)/2)))^(4/3)))*(A28-A29)))&lt;0,BO29,((BN29+BO29)/2))</f>
        <v/>
      </c>
      <c r="BR29" s="16">
        <f>IF((((BP29+BQ29)/2)+(C29/(DATOS!$B$14*((BP29+BQ29)/2)))^2/(2*9.81)+B29-(E28+(C28/(DATOS!$B$14*E28))^2/(2*9.81)+B28+0.5*(((DATOS!$B$27*C28/(DATOS!$B$14*E28))^2/((DATOS!$B$14*E28)/(DATOS!$B$14+2*E28))^(4/3))+((DATOS!$B$27*C29/(DATOS!$B$14*((BP29+BQ29)/2)))^2/((DATOS!$B$14*((BP29+BQ29)/2))/(DATOS!$B$14+2*((BP29+BQ29)/2)))^(4/3)))*(A28-A29)))&lt;0,((BP29+BQ29)/2),BP29)</f>
        <v/>
      </c>
      <c r="BS29" s="16">
        <f>IF((((BP29+BQ29)/2)+(C29/(DATOS!$B$14*((BP29+BQ29)/2)))^2/(2*9.81)+B29-(E28+(C28/(DATOS!$B$14*E28))^2/(2*9.81)+B28+0.5*(((DATOS!$B$27*C28/(DATOS!$B$14*E28))^2/((DATOS!$B$14*E28)/(DATOS!$B$14+2*E28))^(4/3))+((DATOS!$B$27*C29/(DATOS!$B$14*((BP29+BQ29)/2)))^2/((DATOS!$B$14*((BP29+BQ29)/2))/(DATOS!$B$14+2*((BP29+BQ29)/2)))^(4/3)))*(A28-A29)))&lt;0,BQ29,((BP29+BQ29)/2))</f>
        <v/>
      </c>
      <c r="BT29" s="16">
        <f>IF((((BR29+BS29)/2)+(C29/(DATOS!$B$14*((BR29+BS29)/2)))^2/(2*9.81)+B29-(E28+(C28/(DATOS!$B$14*E28))^2/(2*9.81)+B28+0.5*(((DATOS!$B$27*C28/(DATOS!$B$14*E28))^2/((DATOS!$B$14*E28)/(DATOS!$B$14+2*E28))^(4/3))+((DATOS!$B$27*C29/(DATOS!$B$14*((BR29+BS29)/2)))^2/((DATOS!$B$14*((BR29+BS29)/2))/(DATOS!$B$14+2*((BR29+BS29)/2)))^(4/3)))*(A28-A29)))&lt;0,((BR29+BS29)/2),BR29)</f>
        <v/>
      </c>
      <c r="BU29" s="16">
        <f>IF((((BR29+BS29)/2)+(C29/(DATOS!$B$14*((BR29+BS29)/2)))^2/(2*9.81)+B29-(E28+(C28/(DATOS!$B$14*E28))^2/(2*9.81)+B28+0.5*(((DATOS!$B$27*C28/(DATOS!$B$14*E28))^2/((DATOS!$B$14*E28)/(DATOS!$B$14+2*E28))^(4/3))+((DATOS!$B$27*C29/(DATOS!$B$14*((BR29+BS29)/2)))^2/((DATOS!$B$14*((BR29+BS29)/2))/(DATOS!$B$14+2*((BR29+BS29)/2)))^(4/3)))*(A28-A29)))&lt;0,BS29,((BR29+BS29)/2))</f>
        <v/>
      </c>
    </row>
    <row r="30">
      <c r="A30" s="30" t="n">
        <v>90</v>
      </c>
      <c r="B30" s="21">
        <f>DATOS!$B$16-DATOS!$B$19*A30</f>
        <v/>
      </c>
      <c r="C30" s="21">
        <f>IF(A30&lt;CAUDALES!$B$13,CAUDALES!$D$12,IF(A30&lt;CAUDALES!$B$14,CAUDALES!$D$13,IF(A30&lt;CAUDALES!$B$15,CAUDALES!$D$14,CAUDALES!$D$15)))/1000</f>
        <v/>
      </c>
      <c r="D30" s="21">
        <f>(C30^2/(9.81*DATOS!$B$14^2))^(1/3)</f>
        <v/>
      </c>
      <c r="E30" s="29">
        <f>(BT30+BU30)/2</f>
        <v/>
      </c>
      <c r="F30" s="21">
        <f>B30+E30</f>
        <v/>
      </c>
      <c r="G30" s="17">
        <f>C30/(DATOS!$B$14*E30)</f>
        <v/>
      </c>
      <c r="H30" s="17">
        <f>G30/SQRT(9.81*E30)</f>
        <v/>
      </c>
      <c r="I30" s="21">
        <f>IF(A30&lt;=DATOS!$B$20,DATOS!$B$21-IF(AND(A30&gt;=DATOS!$B$23,A30&lt;DATOS!$B$24),DATOS!$B$25,DATOS!$B$22),B30+DATOS!$B$26)</f>
        <v/>
      </c>
      <c r="J30" s="17">
        <f>I30-B30</f>
        <v/>
      </c>
      <c r="K30" s="31">
        <f>E30/J30</f>
        <v/>
      </c>
      <c r="L30" s="21">
        <f>I30-F30</f>
        <v/>
      </c>
      <c r="M30" s="32">
        <f>IF(AND(K30&lt;=DATOS!$B$29,L30&gt;=DATOS!$B$30),"CUMPLE","NO CUMPLE")</f>
        <v/>
      </c>
      <c r="N30" s="13">
        <f>IF(A30&gt;DATOS!$B$20,"cubierto - tramo final",IF(AND(A30&gt;=DATOS!$B$23,A30&lt;DATOS!$B$24),"cubierto - camiones","cubierto"))</f>
        <v/>
      </c>
      <c r="P30" s="16">
        <f>D30*1.001</f>
        <v/>
      </c>
      <c r="Q30" s="16" t="n">
        <v>2</v>
      </c>
      <c r="R30" s="16">
        <f>IF((((P30+Q30)/2)+(C30/(DATOS!$B$14*((P30+Q30)/2)))^2/(2*9.81)+B30-(E29+(C29/(DATOS!$B$14*E29))^2/(2*9.81)+B29+0.5*(((DATOS!$B$27*C29/(DATOS!$B$14*E29))^2/((DATOS!$B$14*E29)/(DATOS!$B$14+2*E29))^(4/3))+((DATOS!$B$27*C30/(DATOS!$B$14*((P30+Q30)/2)))^2/((DATOS!$B$14*((P30+Q30)/2))/(DATOS!$B$14+2*((P30+Q30)/2)))^(4/3)))*(A29-A30)))&lt;0,((P30+Q30)/2),P30)</f>
        <v/>
      </c>
      <c r="S30" s="16">
        <f>IF((((P30+Q30)/2)+(C30/(DATOS!$B$14*((P30+Q30)/2)))^2/(2*9.81)+B30-(E29+(C29/(DATOS!$B$14*E29))^2/(2*9.81)+B29+0.5*(((DATOS!$B$27*C29/(DATOS!$B$14*E29))^2/((DATOS!$B$14*E29)/(DATOS!$B$14+2*E29))^(4/3))+((DATOS!$B$27*C30/(DATOS!$B$14*((P30+Q30)/2)))^2/((DATOS!$B$14*((P30+Q30)/2))/(DATOS!$B$14+2*((P30+Q30)/2)))^(4/3)))*(A29-A30)))&lt;0,Q30,((P30+Q30)/2))</f>
        <v/>
      </c>
      <c r="T30" s="16">
        <f>IF((((R30+S30)/2)+(C30/(DATOS!$B$14*((R30+S30)/2)))^2/(2*9.81)+B30-(E29+(C29/(DATOS!$B$14*E29))^2/(2*9.81)+B29+0.5*(((DATOS!$B$27*C29/(DATOS!$B$14*E29))^2/((DATOS!$B$14*E29)/(DATOS!$B$14+2*E29))^(4/3))+((DATOS!$B$27*C30/(DATOS!$B$14*((R30+S30)/2)))^2/((DATOS!$B$14*((R30+S30)/2))/(DATOS!$B$14+2*((R30+S30)/2)))^(4/3)))*(A29-A30)))&lt;0,((R30+S30)/2),R30)</f>
        <v/>
      </c>
      <c r="U30" s="16">
        <f>IF((((R30+S30)/2)+(C30/(DATOS!$B$14*((R30+S30)/2)))^2/(2*9.81)+B30-(E29+(C29/(DATOS!$B$14*E29))^2/(2*9.81)+B29+0.5*(((DATOS!$B$27*C29/(DATOS!$B$14*E29))^2/((DATOS!$B$14*E29)/(DATOS!$B$14+2*E29))^(4/3))+((DATOS!$B$27*C30/(DATOS!$B$14*((R30+S30)/2)))^2/((DATOS!$B$14*((R30+S30)/2))/(DATOS!$B$14+2*((R30+S30)/2)))^(4/3)))*(A29-A30)))&lt;0,S30,((R30+S30)/2))</f>
        <v/>
      </c>
      <c r="V30" s="16">
        <f>IF((((T30+U30)/2)+(C30/(DATOS!$B$14*((T30+U30)/2)))^2/(2*9.81)+B30-(E29+(C29/(DATOS!$B$14*E29))^2/(2*9.81)+B29+0.5*(((DATOS!$B$27*C29/(DATOS!$B$14*E29))^2/((DATOS!$B$14*E29)/(DATOS!$B$14+2*E29))^(4/3))+((DATOS!$B$27*C30/(DATOS!$B$14*((T30+U30)/2)))^2/((DATOS!$B$14*((T30+U30)/2))/(DATOS!$B$14+2*((T30+U30)/2)))^(4/3)))*(A29-A30)))&lt;0,((T30+U30)/2),T30)</f>
        <v/>
      </c>
      <c r="W30" s="16">
        <f>IF((((T30+U30)/2)+(C30/(DATOS!$B$14*((T30+U30)/2)))^2/(2*9.81)+B30-(E29+(C29/(DATOS!$B$14*E29))^2/(2*9.81)+B29+0.5*(((DATOS!$B$27*C29/(DATOS!$B$14*E29))^2/((DATOS!$B$14*E29)/(DATOS!$B$14+2*E29))^(4/3))+((DATOS!$B$27*C30/(DATOS!$B$14*((T30+U30)/2)))^2/((DATOS!$B$14*((T30+U30)/2))/(DATOS!$B$14+2*((T30+U30)/2)))^(4/3)))*(A29-A30)))&lt;0,U30,((T30+U30)/2))</f>
        <v/>
      </c>
      <c r="X30" s="16">
        <f>IF((((V30+W30)/2)+(C30/(DATOS!$B$14*((V30+W30)/2)))^2/(2*9.81)+B30-(E29+(C29/(DATOS!$B$14*E29))^2/(2*9.81)+B29+0.5*(((DATOS!$B$27*C29/(DATOS!$B$14*E29))^2/((DATOS!$B$14*E29)/(DATOS!$B$14+2*E29))^(4/3))+((DATOS!$B$27*C30/(DATOS!$B$14*((V30+W30)/2)))^2/((DATOS!$B$14*((V30+W30)/2))/(DATOS!$B$14+2*((V30+W30)/2)))^(4/3)))*(A29-A30)))&lt;0,((V30+W30)/2),V30)</f>
        <v/>
      </c>
      <c r="Y30" s="16">
        <f>IF((((V30+W30)/2)+(C30/(DATOS!$B$14*((V30+W30)/2)))^2/(2*9.81)+B30-(E29+(C29/(DATOS!$B$14*E29))^2/(2*9.81)+B29+0.5*(((DATOS!$B$27*C29/(DATOS!$B$14*E29))^2/((DATOS!$B$14*E29)/(DATOS!$B$14+2*E29))^(4/3))+((DATOS!$B$27*C30/(DATOS!$B$14*((V30+W30)/2)))^2/((DATOS!$B$14*((V30+W30)/2))/(DATOS!$B$14+2*((V30+W30)/2)))^(4/3)))*(A29-A30)))&lt;0,W30,((V30+W30)/2))</f>
        <v/>
      </c>
      <c r="Z30" s="16">
        <f>IF((((X30+Y30)/2)+(C30/(DATOS!$B$14*((X30+Y30)/2)))^2/(2*9.81)+B30-(E29+(C29/(DATOS!$B$14*E29))^2/(2*9.81)+B29+0.5*(((DATOS!$B$27*C29/(DATOS!$B$14*E29))^2/((DATOS!$B$14*E29)/(DATOS!$B$14+2*E29))^(4/3))+((DATOS!$B$27*C30/(DATOS!$B$14*((X30+Y30)/2)))^2/((DATOS!$B$14*((X30+Y30)/2))/(DATOS!$B$14+2*((X30+Y30)/2)))^(4/3)))*(A29-A30)))&lt;0,((X30+Y30)/2),X30)</f>
        <v/>
      </c>
      <c r="AA30" s="16">
        <f>IF((((X30+Y30)/2)+(C30/(DATOS!$B$14*((X30+Y30)/2)))^2/(2*9.81)+B30-(E29+(C29/(DATOS!$B$14*E29))^2/(2*9.81)+B29+0.5*(((DATOS!$B$27*C29/(DATOS!$B$14*E29))^2/((DATOS!$B$14*E29)/(DATOS!$B$14+2*E29))^(4/3))+((DATOS!$B$27*C30/(DATOS!$B$14*((X30+Y30)/2)))^2/((DATOS!$B$14*((X30+Y30)/2))/(DATOS!$B$14+2*((X30+Y30)/2)))^(4/3)))*(A29-A30)))&lt;0,Y30,((X30+Y30)/2))</f>
        <v/>
      </c>
      <c r="AB30" s="16">
        <f>IF((((Z30+AA30)/2)+(C30/(DATOS!$B$14*((Z30+AA30)/2)))^2/(2*9.81)+B30-(E29+(C29/(DATOS!$B$14*E29))^2/(2*9.81)+B29+0.5*(((DATOS!$B$27*C29/(DATOS!$B$14*E29))^2/((DATOS!$B$14*E29)/(DATOS!$B$14+2*E29))^(4/3))+((DATOS!$B$27*C30/(DATOS!$B$14*((Z30+AA30)/2)))^2/((DATOS!$B$14*((Z30+AA30)/2))/(DATOS!$B$14+2*((Z30+AA30)/2)))^(4/3)))*(A29-A30)))&lt;0,((Z30+AA30)/2),Z30)</f>
        <v/>
      </c>
      <c r="AC30" s="16">
        <f>IF((((Z30+AA30)/2)+(C30/(DATOS!$B$14*((Z30+AA30)/2)))^2/(2*9.81)+B30-(E29+(C29/(DATOS!$B$14*E29))^2/(2*9.81)+B29+0.5*(((DATOS!$B$27*C29/(DATOS!$B$14*E29))^2/((DATOS!$B$14*E29)/(DATOS!$B$14+2*E29))^(4/3))+((DATOS!$B$27*C30/(DATOS!$B$14*((Z30+AA30)/2)))^2/((DATOS!$B$14*((Z30+AA30)/2))/(DATOS!$B$14+2*((Z30+AA30)/2)))^(4/3)))*(A29-A30)))&lt;0,AA30,((Z30+AA30)/2))</f>
        <v/>
      </c>
      <c r="AD30" s="16">
        <f>IF((((AB30+AC30)/2)+(C30/(DATOS!$B$14*((AB30+AC30)/2)))^2/(2*9.81)+B30-(E29+(C29/(DATOS!$B$14*E29))^2/(2*9.81)+B29+0.5*(((DATOS!$B$27*C29/(DATOS!$B$14*E29))^2/((DATOS!$B$14*E29)/(DATOS!$B$14+2*E29))^(4/3))+((DATOS!$B$27*C30/(DATOS!$B$14*((AB30+AC30)/2)))^2/((DATOS!$B$14*((AB30+AC30)/2))/(DATOS!$B$14+2*((AB30+AC30)/2)))^(4/3)))*(A29-A30)))&lt;0,((AB30+AC30)/2),AB30)</f>
        <v/>
      </c>
      <c r="AE30" s="16">
        <f>IF((((AB30+AC30)/2)+(C30/(DATOS!$B$14*((AB30+AC30)/2)))^2/(2*9.81)+B30-(E29+(C29/(DATOS!$B$14*E29))^2/(2*9.81)+B29+0.5*(((DATOS!$B$27*C29/(DATOS!$B$14*E29))^2/((DATOS!$B$14*E29)/(DATOS!$B$14+2*E29))^(4/3))+((DATOS!$B$27*C30/(DATOS!$B$14*((AB30+AC30)/2)))^2/((DATOS!$B$14*((AB30+AC30)/2))/(DATOS!$B$14+2*((AB30+AC30)/2)))^(4/3)))*(A29-A30)))&lt;0,AC30,((AB30+AC30)/2))</f>
        <v/>
      </c>
      <c r="AF30" s="16">
        <f>IF((((AD30+AE30)/2)+(C30/(DATOS!$B$14*((AD30+AE30)/2)))^2/(2*9.81)+B30-(E29+(C29/(DATOS!$B$14*E29))^2/(2*9.81)+B29+0.5*(((DATOS!$B$27*C29/(DATOS!$B$14*E29))^2/((DATOS!$B$14*E29)/(DATOS!$B$14+2*E29))^(4/3))+((DATOS!$B$27*C30/(DATOS!$B$14*((AD30+AE30)/2)))^2/((DATOS!$B$14*((AD30+AE30)/2))/(DATOS!$B$14+2*((AD30+AE30)/2)))^(4/3)))*(A29-A30)))&lt;0,((AD30+AE30)/2),AD30)</f>
        <v/>
      </c>
      <c r="AG30" s="16">
        <f>IF((((AD30+AE30)/2)+(C30/(DATOS!$B$14*((AD30+AE30)/2)))^2/(2*9.81)+B30-(E29+(C29/(DATOS!$B$14*E29))^2/(2*9.81)+B29+0.5*(((DATOS!$B$27*C29/(DATOS!$B$14*E29))^2/((DATOS!$B$14*E29)/(DATOS!$B$14+2*E29))^(4/3))+((DATOS!$B$27*C30/(DATOS!$B$14*((AD30+AE30)/2)))^2/((DATOS!$B$14*((AD30+AE30)/2))/(DATOS!$B$14+2*((AD30+AE30)/2)))^(4/3)))*(A29-A30)))&lt;0,AE30,((AD30+AE30)/2))</f>
        <v/>
      </c>
      <c r="AH30" s="16">
        <f>IF((((AF30+AG30)/2)+(C30/(DATOS!$B$14*((AF30+AG30)/2)))^2/(2*9.81)+B30-(E29+(C29/(DATOS!$B$14*E29))^2/(2*9.81)+B29+0.5*(((DATOS!$B$27*C29/(DATOS!$B$14*E29))^2/((DATOS!$B$14*E29)/(DATOS!$B$14+2*E29))^(4/3))+((DATOS!$B$27*C30/(DATOS!$B$14*((AF30+AG30)/2)))^2/((DATOS!$B$14*((AF30+AG30)/2))/(DATOS!$B$14+2*((AF30+AG30)/2)))^(4/3)))*(A29-A30)))&lt;0,((AF30+AG30)/2),AF30)</f>
        <v/>
      </c>
      <c r="AI30" s="16">
        <f>IF((((AF30+AG30)/2)+(C30/(DATOS!$B$14*((AF30+AG30)/2)))^2/(2*9.81)+B30-(E29+(C29/(DATOS!$B$14*E29))^2/(2*9.81)+B29+0.5*(((DATOS!$B$27*C29/(DATOS!$B$14*E29))^2/((DATOS!$B$14*E29)/(DATOS!$B$14+2*E29))^(4/3))+((DATOS!$B$27*C30/(DATOS!$B$14*((AF30+AG30)/2)))^2/((DATOS!$B$14*((AF30+AG30)/2))/(DATOS!$B$14+2*((AF30+AG30)/2)))^(4/3)))*(A29-A30)))&lt;0,AG30,((AF30+AG30)/2))</f>
        <v/>
      </c>
      <c r="AJ30" s="16">
        <f>IF((((AH30+AI30)/2)+(C30/(DATOS!$B$14*((AH30+AI30)/2)))^2/(2*9.81)+B30-(E29+(C29/(DATOS!$B$14*E29))^2/(2*9.81)+B29+0.5*(((DATOS!$B$27*C29/(DATOS!$B$14*E29))^2/((DATOS!$B$14*E29)/(DATOS!$B$14+2*E29))^(4/3))+((DATOS!$B$27*C30/(DATOS!$B$14*((AH30+AI30)/2)))^2/((DATOS!$B$14*((AH30+AI30)/2))/(DATOS!$B$14+2*((AH30+AI30)/2)))^(4/3)))*(A29-A30)))&lt;0,((AH30+AI30)/2),AH30)</f>
        <v/>
      </c>
      <c r="AK30" s="16">
        <f>IF((((AH30+AI30)/2)+(C30/(DATOS!$B$14*((AH30+AI30)/2)))^2/(2*9.81)+B30-(E29+(C29/(DATOS!$B$14*E29))^2/(2*9.81)+B29+0.5*(((DATOS!$B$27*C29/(DATOS!$B$14*E29))^2/((DATOS!$B$14*E29)/(DATOS!$B$14+2*E29))^(4/3))+((DATOS!$B$27*C30/(DATOS!$B$14*((AH30+AI30)/2)))^2/((DATOS!$B$14*((AH30+AI30)/2))/(DATOS!$B$14+2*((AH30+AI30)/2)))^(4/3)))*(A29-A30)))&lt;0,AI30,((AH30+AI30)/2))</f>
        <v/>
      </c>
      <c r="AL30" s="16">
        <f>IF((((AJ30+AK30)/2)+(C30/(DATOS!$B$14*((AJ30+AK30)/2)))^2/(2*9.81)+B30-(E29+(C29/(DATOS!$B$14*E29))^2/(2*9.81)+B29+0.5*(((DATOS!$B$27*C29/(DATOS!$B$14*E29))^2/((DATOS!$B$14*E29)/(DATOS!$B$14+2*E29))^(4/3))+((DATOS!$B$27*C30/(DATOS!$B$14*((AJ30+AK30)/2)))^2/((DATOS!$B$14*((AJ30+AK30)/2))/(DATOS!$B$14+2*((AJ30+AK30)/2)))^(4/3)))*(A29-A30)))&lt;0,((AJ30+AK30)/2),AJ30)</f>
        <v/>
      </c>
      <c r="AM30" s="16">
        <f>IF((((AJ30+AK30)/2)+(C30/(DATOS!$B$14*((AJ30+AK30)/2)))^2/(2*9.81)+B30-(E29+(C29/(DATOS!$B$14*E29))^2/(2*9.81)+B29+0.5*(((DATOS!$B$27*C29/(DATOS!$B$14*E29))^2/((DATOS!$B$14*E29)/(DATOS!$B$14+2*E29))^(4/3))+((DATOS!$B$27*C30/(DATOS!$B$14*((AJ30+AK30)/2)))^2/((DATOS!$B$14*((AJ30+AK30)/2))/(DATOS!$B$14+2*((AJ30+AK30)/2)))^(4/3)))*(A29-A30)))&lt;0,AK30,((AJ30+AK30)/2))</f>
        <v/>
      </c>
      <c r="AN30" s="16">
        <f>IF((((AL30+AM30)/2)+(C30/(DATOS!$B$14*((AL30+AM30)/2)))^2/(2*9.81)+B30-(E29+(C29/(DATOS!$B$14*E29))^2/(2*9.81)+B29+0.5*(((DATOS!$B$27*C29/(DATOS!$B$14*E29))^2/((DATOS!$B$14*E29)/(DATOS!$B$14+2*E29))^(4/3))+((DATOS!$B$27*C30/(DATOS!$B$14*((AL30+AM30)/2)))^2/((DATOS!$B$14*((AL30+AM30)/2))/(DATOS!$B$14+2*((AL30+AM30)/2)))^(4/3)))*(A29-A30)))&lt;0,((AL30+AM30)/2),AL30)</f>
        <v/>
      </c>
      <c r="AO30" s="16">
        <f>IF((((AL30+AM30)/2)+(C30/(DATOS!$B$14*((AL30+AM30)/2)))^2/(2*9.81)+B30-(E29+(C29/(DATOS!$B$14*E29))^2/(2*9.81)+B29+0.5*(((DATOS!$B$27*C29/(DATOS!$B$14*E29))^2/((DATOS!$B$14*E29)/(DATOS!$B$14+2*E29))^(4/3))+((DATOS!$B$27*C30/(DATOS!$B$14*((AL30+AM30)/2)))^2/((DATOS!$B$14*((AL30+AM30)/2))/(DATOS!$B$14+2*((AL30+AM30)/2)))^(4/3)))*(A29-A30)))&lt;0,AM30,((AL30+AM30)/2))</f>
        <v/>
      </c>
      <c r="AP30" s="16">
        <f>IF((((AN30+AO30)/2)+(C30/(DATOS!$B$14*((AN30+AO30)/2)))^2/(2*9.81)+B30-(E29+(C29/(DATOS!$B$14*E29))^2/(2*9.81)+B29+0.5*(((DATOS!$B$27*C29/(DATOS!$B$14*E29))^2/((DATOS!$B$14*E29)/(DATOS!$B$14+2*E29))^(4/3))+((DATOS!$B$27*C30/(DATOS!$B$14*((AN30+AO30)/2)))^2/((DATOS!$B$14*((AN30+AO30)/2))/(DATOS!$B$14+2*((AN30+AO30)/2)))^(4/3)))*(A29-A30)))&lt;0,((AN30+AO30)/2),AN30)</f>
        <v/>
      </c>
      <c r="AQ30" s="16">
        <f>IF((((AN30+AO30)/2)+(C30/(DATOS!$B$14*((AN30+AO30)/2)))^2/(2*9.81)+B30-(E29+(C29/(DATOS!$B$14*E29))^2/(2*9.81)+B29+0.5*(((DATOS!$B$27*C29/(DATOS!$B$14*E29))^2/((DATOS!$B$14*E29)/(DATOS!$B$14+2*E29))^(4/3))+((DATOS!$B$27*C30/(DATOS!$B$14*((AN30+AO30)/2)))^2/((DATOS!$B$14*((AN30+AO30)/2))/(DATOS!$B$14+2*((AN30+AO30)/2)))^(4/3)))*(A29-A30)))&lt;0,AO30,((AN30+AO30)/2))</f>
        <v/>
      </c>
      <c r="AR30" s="16">
        <f>IF((((AP30+AQ30)/2)+(C30/(DATOS!$B$14*((AP30+AQ30)/2)))^2/(2*9.81)+B30-(E29+(C29/(DATOS!$B$14*E29))^2/(2*9.81)+B29+0.5*(((DATOS!$B$27*C29/(DATOS!$B$14*E29))^2/((DATOS!$B$14*E29)/(DATOS!$B$14+2*E29))^(4/3))+((DATOS!$B$27*C30/(DATOS!$B$14*((AP30+AQ30)/2)))^2/((DATOS!$B$14*((AP30+AQ30)/2))/(DATOS!$B$14+2*((AP30+AQ30)/2)))^(4/3)))*(A29-A30)))&lt;0,((AP30+AQ30)/2),AP30)</f>
        <v/>
      </c>
      <c r="AS30" s="16">
        <f>IF((((AP30+AQ30)/2)+(C30/(DATOS!$B$14*((AP30+AQ30)/2)))^2/(2*9.81)+B30-(E29+(C29/(DATOS!$B$14*E29))^2/(2*9.81)+B29+0.5*(((DATOS!$B$27*C29/(DATOS!$B$14*E29))^2/((DATOS!$B$14*E29)/(DATOS!$B$14+2*E29))^(4/3))+((DATOS!$B$27*C30/(DATOS!$B$14*((AP30+AQ30)/2)))^2/((DATOS!$B$14*((AP30+AQ30)/2))/(DATOS!$B$14+2*((AP30+AQ30)/2)))^(4/3)))*(A29-A30)))&lt;0,AQ30,((AP30+AQ30)/2))</f>
        <v/>
      </c>
      <c r="AT30" s="16">
        <f>IF((((AR30+AS30)/2)+(C30/(DATOS!$B$14*((AR30+AS30)/2)))^2/(2*9.81)+B30-(E29+(C29/(DATOS!$B$14*E29))^2/(2*9.81)+B29+0.5*(((DATOS!$B$27*C29/(DATOS!$B$14*E29))^2/((DATOS!$B$14*E29)/(DATOS!$B$14+2*E29))^(4/3))+((DATOS!$B$27*C30/(DATOS!$B$14*((AR30+AS30)/2)))^2/((DATOS!$B$14*((AR30+AS30)/2))/(DATOS!$B$14+2*((AR30+AS30)/2)))^(4/3)))*(A29-A30)))&lt;0,((AR30+AS30)/2),AR30)</f>
        <v/>
      </c>
      <c r="AU30" s="16">
        <f>IF((((AR30+AS30)/2)+(C30/(DATOS!$B$14*((AR30+AS30)/2)))^2/(2*9.81)+B30-(E29+(C29/(DATOS!$B$14*E29))^2/(2*9.81)+B29+0.5*(((DATOS!$B$27*C29/(DATOS!$B$14*E29))^2/((DATOS!$B$14*E29)/(DATOS!$B$14+2*E29))^(4/3))+((DATOS!$B$27*C30/(DATOS!$B$14*((AR30+AS30)/2)))^2/((DATOS!$B$14*((AR30+AS30)/2))/(DATOS!$B$14+2*((AR30+AS30)/2)))^(4/3)))*(A29-A30)))&lt;0,AS30,((AR30+AS30)/2))</f>
        <v/>
      </c>
      <c r="AV30" s="16">
        <f>IF((((AT30+AU30)/2)+(C30/(DATOS!$B$14*((AT30+AU30)/2)))^2/(2*9.81)+B30-(E29+(C29/(DATOS!$B$14*E29))^2/(2*9.81)+B29+0.5*(((DATOS!$B$27*C29/(DATOS!$B$14*E29))^2/((DATOS!$B$14*E29)/(DATOS!$B$14+2*E29))^(4/3))+((DATOS!$B$27*C30/(DATOS!$B$14*((AT30+AU30)/2)))^2/((DATOS!$B$14*((AT30+AU30)/2))/(DATOS!$B$14+2*((AT30+AU30)/2)))^(4/3)))*(A29-A30)))&lt;0,((AT30+AU30)/2),AT30)</f>
        <v/>
      </c>
      <c r="AW30" s="16">
        <f>IF((((AT30+AU30)/2)+(C30/(DATOS!$B$14*((AT30+AU30)/2)))^2/(2*9.81)+B30-(E29+(C29/(DATOS!$B$14*E29))^2/(2*9.81)+B29+0.5*(((DATOS!$B$27*C29/(DATOS!$B$14*E29))^2/((DATOS!$B$14*E29)/(DATOS!$B$14+2*E29))^(4/3))+((DATOS!$B$27*C30/(DATOS!$B$14*((AT30+AU30)/2)))^2/((DATOS!$B$14*((AT30+AU30)/2))/(DATOS!$B$14+2*((AT30+AU30)/2)))^(4/3)))*(A29-A30)))&lt;0,AU30,((AT30+AU30)/2))</f>
        <v/>
      </c>
      <c r="AX30" s="16">
        <f>IF((((AV30+AW30)/2)+(C30/(DATOS!$B$14*((AV30+AW30)/2)))^2/(2*9.81)+B30-(E29+(C29/(DATOS!$B$14*E29))^2/(2*9.81)+B29+0.5*(((DATOS!$B$27*C29/(DATOS!$B$14*E29))^2/((DATOS!$B$14*E29)/(DATOS!$B$14+2*E29))^(4/3))+((DATOS!$B$27*C30/(DATOS!$B$14*((AV30+AW30)/2)))^2/((DATOS!$B$14*((AV30+AW30)/2))/(DATOS!$B$14+2*((AV30+AW30)/2)))^(4/3)))*(A29-A30)))&lt;0,((AV30+AW30)/2),AV30)</f>
        <v/>
      </c>
      <c r="AY30" s="16">
        <f>IF((((AV30+AW30)/2)+(C30/(DATOS!$B$14*((AV30+AW30)/2)))^2/(2*9.81)+B30-(E29+(C29/(DATOS!$B$14*E29))^2/(2*9.81)+B29+0.5*(((DATOS!$B$27*C29/(DATOS!$B$14*E29))^2/((DATOS!$B$14*E29)/(DATOS!$B$14+2*E29))^(4/3))+((DATOS!$B$27*C30/(DATOS!$B$14*((AV30+AW30)/2)))^2/((DATOS!$B$14*((AV30+AW30)/2))/(DATOS!$B$14+2*((AV30+AW30)/2)))^(4/3)))*(A29-A30)))&lt;0,AW30,((AV30+AW30)/2))</f>
        <v/>
      </c>
      <c r="AZ30" s="16">
        <f>IF((((AX30+AY30)/2)+(C30/(DATOS!$B$14*((AX30+AY30)/2)))^2/(2*9.81)+B30-(E29+(C29/(DATOS!$B$14*E29))^2/(2*9.81)+B29+0.5*(((DATOS!$B$27*C29/(DATOS!$B$14*E29))^2/((DATOS!$B$14*E29)/(DATOS!$B$14+2*E29))^(4/3))+((DATOS!$B$27*C30/(DATOS!$B$14*((AX30+AY30)/2)))^2/((DATOS!$B$14*((AX30+AY30)/2))/(DATOS!$B$14+2*((AX30+AY30)/2)))^(4/3)))*(A29-A30)))&lt;0,((AX30+AY30)/2),AX30)</f>
        <v/>
      </c>
      <c r="BA30" s="16">
        <f>IF((((AX30+AY30)/2)+(C30/(DATOS!$B$14*((AX30+AY30)/2)))^2/(2*9.81)+B30-(E29+(C29/(DATOS!$B$14*E29))^2/(2*9.81)+B29+0.5*(((DATOS!$B$27*C29/(DATOS!$B$14*E29))^2/((DATOS!$B$14*E29)/(DATOS!$B$14+2*E29))^(4/3))+((DATOS!$B$27*C30/(DATOS!$B$14*((AX30+AY30)/2)))^2/((DATOS!$B$14*((AX30+AY30)/2))/(DATOS!$B$14+2*((AX30+AY30)/2)))^(4/3)))*(A29-A30)))&lt;0,AY30,((AX30+AY30)/2))</f>
        <v/>
      </c>
      <c r="BB30" s="16">
        <f>IF((((AZ30+BA30)/2)+(C30/(DATOS!$B$14*((AZ30+BA30)/2)))^2/(2*9.81)+B30-(E29+(C29/(DATOS!$B$14*E29))^2/(2*9.81)+B29+0.5*(((DATOS!$B$27*C29/(DATOS!$B$14*E29))^2/((DATOS!$B$14*E29)/(DATOS!$B$14+2*E29))^(4/3))+((DATOS!$B$27*C30/(DATOS!$B$14*((AZ30+BA30)/2)))^2/((DATOS!$B$14*((AZ30+BA30)/2))/(DATOS!$B$14+2*((AZ30+BA30)/2)))^(4/3)))*(A29-A30)))&lt;0,((AZ30+BA30)/2),AZ30)</f>
        <v/>
      </c>
      <c r="BC30" s="16">
        <f>IF((((AZ30+BA30)/2)+(C30/(DATOS!$B$14*((AZ30+BA30)/2)))^2/(2*9.81)+B30-(E29+(C29/(DATOS!$B$14*E29))^2/(2*9.81)+B29+0.5*(((DATOS!$B$27*C29/(DATOS!$B$14*E29))^2/((DATOS!$B$14*E29)/(DATOS!$B$14+2*E29))^(4/3))+((DATOS!$B$27*C30/(DATOS!$B$14*((AZ30+BA30)/2)))^2/((DATOS!$B$14*((AZ30+BA30)/2))/(DATOS!$B$14+2*((AZ30+BA30)/2)))^(4/3)))*(A29-A30)))&lt;0,BA30,((AZ30+BA30)/2))</f>
        <v/>
      </c>
      <c r="BD30" s="16">
        <f>IF((((BB30+BC30)/2)+(C30/(DATOS!$B$14*((BB30+BC30)/2)))^2/(2*9.81)+B30-(E29+(C29/(DATOS!$B$14*E29))^2/(2*9.81)+B29+0.5*(((DATOS!$B$27*C29/(DATOS!$B$14*E29))^2/((DATOS!$B$14*E29)/(DATOS!$B$14+2*E29))^(4/3))+((DATOS!$B$27*C30/(DATOS!$B$14*((BB30+BC30)/2)))^2/((DATOS!$B$14*((BB30+BC30)/2))/(DATOS!$B$14+2*((BB30+BC30)/2)))^(4/3)))*(A29-A30)))&lt;0,((BB30+BC30)/2),BB30)</f>
        <v/>
      </c>
      <c r="BE30" s="16">
        <f>IF((((BB30+BC30)/2)+(C30/(DATOS!$B$14*((BB30+BC30)/2)))^2/(2*9.81)+B30-(E29+(C29/(DATOS!$B$14*E29))^2/(2*9.81)+B29+0.5*(((DATOS!$B$27*C29/(DATOS!$B$14*E29))^2/((DATOS!$B$14*E29)/(DATOS!$B$14+2*E29))^(4/3))+((DATOS!$B$27*C30/(DATOS!$B$14*((BB30+BC30)/2)))^2/((DATOS!$B$14*((BB30+BC30)/2))/(DATOS!$B$14+2*((BB30+BC30)/2)))^(4/3)))*(A29-A30)))&lt;0,BC30,((BB30+BC30)/2))</f>
        <v/>
      </c>
      <c r="BF30" s="16">
        <f>IF((((BD30+BE30)/2)+(C30/(DATOS!$B$14*((BD30+BE30)/2)))^2/(2*9.81)+B30-(E29+(C29/(DATOS!$B$14*E29))^2/(2*9.81)+B29+0.5*(((DATOS!$B$27*C29/(DATOS!$B$14*E29))^2/((DATOS!$B$14*E29)/(DATOS!$B$14+2*E29))^(4/3))+((DATOS!$B$27*C30/(DATOS!$B$14*((BD30+BE30)/2)))^2/((DATOS!$B$14*((BD30+BE30)/2))/(DATOS!$B$14+2*((BD30+BE30)/2)))^(4/3)))*(A29-A30)))&lt;0,((BD30+BE30)/2),BD30)</f>
        <v/>
      </c>
      <c r="BG30" s="16">
        <f>IF((((BD30+BE30)/2)+(C30/(DATOS!$B$14*((BD30+BE30)/2)))^2/(2*9.81)+B30-(E29+(C29/(DATOS!$B$14*E29))^2/(2*9.81)+B29+0.5*(((DATOS!$B$27*C29/(DATOS!$B$14*E29))^2/((DATOS!$B$14*E29)/(DATOS!$B$14+2*E29))^(4/3))+((DATOS!$B$27*C30/(DATOS!$B$14*((BD30+BE30)/2)))^2/((DATOS!$B$14*((BD30+BE30)/2))/(DATOS!$B$14+2*((BD30+BE30)/2)))^(4/3)))*(A29-A30)))&lt;0,BE30,((BD30+BE30)/2))</f>
        <v/>
      </c>
      <c r="BH30" s="16">
        <f>IF((((BF30+BG30)/2)+(C30/(DATOS!$B$14*((BF30+BG30)/2)))^2/(2*9.81)+B30-(E29+(C29/(DATOS!$B$14*E29))^2/(2*9.81)+B29+0.5*(((DATOS!$B$27*C29/(DATOS!$B$14*E29))^2/((DATOS!$B$14*E29)/(DATOS!$B$14+2*E29))^(4/3))+((DATOS!$B$27*C30/(DATOS!$B$14*((BF30+BG30)/2)))^2/((DATOS!$B$14*((BF30+BG30)/2))/(DATOS!$B$14+2*((BF30+BG30)/2)))^(4/3)))*(A29-A30)))&lt;0,((BF30+BG30)/2),BF30)</f>
        <v/>
      </c>
      <c r="BI30" s="16">
        <f>IF((((BF30+BG30)/2)+(C30/(DATOS!$B$14*((BF30+BG30)/2)))^2/(2*9.81)+B30-(E29+(C29/(DATOS!$B$14*E29))^2/(2*9.81)+B29+0.5*(((DATOS!$B$27*C29/(DATOS!$B$14*E29))^2/((DATOS!$B$14*E29)/(DATOS!$B$14+2*E29))^(4/3))+((DATOS!$B$27*C30/(DATOS!$B$14*((BF30+BG30)/2)))^2/((DATOS!$B$14*((BF30+BG30)/2))/(DATOS!$B$14+2*((BF30+BG30)/2)))^(4/3)))*(A29-A30)))&lt;0,BG30,((BF30+BG30)/2))</f>
        <v/>
      </c>
      <c r="BJ30" s="16">
        <f>IF((((BH30+BI30)/2)+(C30/(DATOS!$B$14*((BH30+BI30)/2)))^2/(2*9.81)+B30-(E29+(C29/(DATOS!$B$14*E29))^2/(2*9.81)+B29+0.5*(((DATOS!$B$27*C29/(DATOS!$B$14*E29))^2/((DATOS!$B$14*E29)/(DATOS!$B$14+2*E29))^(4/3))+((DATOS!$B$27*C30/(DATOS!$B$14*((BH30+BI30)/2)))^2/((DATOS!$B$14*((BH30+BI30)/2))/(DATOS!$B$14+2*((BH30+BI30)/2)))^(4/3)))*(A29-A30)))&lt;0,((BH30+BI30)/2),BH30)</f>
        <v/>
      </c>
      <c r="BK30" s="16">
        <f>IF((((BH30+BI30)/2)+(C30/(DATOS!$B$14*((BH30+BI30)/2)))^2/(2*9.81)+B30-(E29+(C29/(DATOS!$B$14*E29))^2/(2*9.81)+B29+0.5*(((DATOS!$B$27*C29/(DATOS!$B$14*E29))^2/((DATOS!$B$14*E29)/(DATOS!$B$14+2*E29))^(4/3))+((DATOS!$B$27*C30/(DATOS!$B$14*((BH30+BI30)/2)))^2/((DATOS!$B$14*((BH30+BI30)/2))/(DATOS!$B$14+2*((BH30+BI30)/2)))^(4/3)))*(A29-A30)))&lt;0,BI30,((BH30+BI30)/2))</f>
        <v/>
      </c>
      <c r="BL30" s="16">
        <f>IF((((BJ30+BK30)/2)+(C30/(DATOS!$B$14*((BJ30+BK30)/2)))^2/(2*9.81)+B30-(E29+(C29/(DATOS!$B$14*E29))^2/(2*9.81)+B29+0.5*(((DATOS!$B$27*C29/(DATOS!$B$14*E29))^2/((DATOS!$B$14*E29)/(DATOS!$B$14+2*E29))^(4/3))+((DATOS!$B$27*C30/(DATOS!$B$14*((BJ30+BK30)/2)))^2/((DATOS!$B$14*((BJ30+BK30)/2))/(DATOS!$B$14+2*((BJ30+BK30)/2)))^(4/3)))*(A29-A30)))&lt;0,((BJ30+BK30)/2),BJ30)</f>
        <v/>
      </c>
      <c r="BM30" s="16">
        <f>IF((((BJ30+BK30)/2)+(C30/(DATOS!$B$14*((BJ30+BK30)/2)))^2/(2*9.81)+B30-(E29+(C29/(DATOS!$B$14*E29))^2/(2*9.81)+B29+0.5*(((DATOS!$B$27*C29/(DATOS!$B$14*E29))^2/((DATOS!$B$14*E29)/(DATOS!$B$14+2*E29))^(4/3))+((DATOS!$B$27*C30/(DATOS!$B$14*((BJ30+BK30)/2)))^2/((DATOS!$B$14*((BJ30+BK30)/2))/(DATOS!$B$14+2*((BJ30+BK30)/2)))^(4/3)))*(A29-A30)))&lt;0,BK30,((BJ30+BK30)/2))</f>
        <v/>
      </c>
      <c r="BN30" s="16">
        <f>IF((((BL30+BM30)/2)+(C30/(DATOS!$B$14*((BL30+BM30)/2)))^2/(2*9.81)+B30-(E29+(C29/(DATOS!$B$14*E29))^2/(2*9.81)+B29+0.5*(((DATOS!$B$27*C29/(DATOS!$B$14*E29))^2/((DATOS!$B$14*E29)/(DATOS!$B$14+2*E29))^(4/3))+((DATOS!$B$27*C30/(DATOS!$B$14*((BL30+BM30)/2)))^2/((DATOS!$B$14*((BL30+BM30)/2))/(DATOS!$B$14+2*((BL30+BM30)/2)))^(4/3)))*(A29-A30)))&lt;0,((BL30+BM30)/2),BL30)</f>
        <v/>
      </c>
      <c r="BO30" s="16">
        <f>IF((((BL30+BM30)/2)+(C30/(DATOS!$B$14*((BL30+BM30)/2)))^2/(2*9.81)+B30-(E29+(C29/(DATOS!$B$14*E29))^2/(2*9.81)+B29+0.5*(((DATOS!$B$27*C29/(DATOS!$B$14*E29))^2/((DATOS!$B$14*E29)/(DATOS!$B$14+2*E29))^(4/3))+((DATOS!$B$27*C30/(DATOS!$B$14*((BL30+BM30)/2)))^2/((DATOS!$B$14*((BL30+BM30)/2))/(DATOS!$B$14+2*((BL30+BM30)/2)))^(4/3)))*(A29-A30)))&lt;0,BM30,((BL30+BM30)/2))</f>
        <v/>
      </c>
      <c r="BP30" s="16">
        <f>IF((((BN30+BO30)/2)+(C30/(DATOS!$B$14*((BN30+BO30)/2)))^2/(2*9.81)+B30-(E29+(C29/(DATOS!$B$14*E29))^2/(2*9.81)+B29+0.5*(((DATOS!$B$27*C29/(DATOS!$B$14*E29))^2/((DATOS!$B$14*E29)/(DATOS!$B$14+2*E29))^(4/3))+((DATOS!$B$27*C30/(DATOS!$B$14*((BN30+BO30)/2)))^2/((DATOS!$B$14*((BN30+BO30)/2))/(DATOS!$B$14+2*((BN30+BO30)/2)))^(4/3)))*(A29-A30)))&lt;0,((BN30+BO30)/2),BN30)</f>
        <v/>
      </c>
      <c r="BQ30" s="16">
        <f>IF((((BN30+BO30)/2)+(C30/(DATOS!$B$14*((BN30+BO30)/2)))^2/(2*9.81)+B30-(E29+(C29/(DATOS!$B$14*E29))^2/(2*9.81)+B29+0.5*(((DATOS!$B$27*C29/(DATOS!$B$14*E29))^2/((DATOS!$B$14*E29)/(DATOS!$B$14+2*E29))^(4/3))+((DATOS!$B$27*C30/(DATOS!$B$14*((BN30+BO30)/2)))^2/((DATOS!$B$14*((BN30+BO30)/2))/(DATOS!$B$14+2*((BN30+BO30)/2)))^(4/3)))*(A29-A30)))&lt;0,BO30,((BN30+BO30)/2))</f>
        <v/>
      </c>
      <c r="BR30" s="16">
        <f>IF((((BP30+BQ30)/2)+(C30/(DATOS!$B$14*((BP30+BQ30)/2)))^2/(2*9.81)+B30-(E29+(C29/(DATOS!$B$14*E29))^2/(2*9.81)+B29+0.5*(((DATOS!$B$27*C29/(DATOS!$B$14*E29))^2/((DATOS!$B$14*E29)/(DATOS!$B$14+2*E29))^(4/3))+((DATOS!$B$27*C30/(DATOS!$B$14*((BP30+BQ30)/2)))^2/((DATOS!$B$14*((BP30+BQ30)/2))/(DATOS!$B$14+2*((BP30+BQ30)/2)))^(4/3)))*(A29-A30)))&lt;0,((BP30+BQ30)/2),BP30)</f>
        <v/>
      </c>
      <c r="BS30" s="16">
        <f>IF((((BP30+BQ30)/2)+(C30/(DATOS!$B$14*((BP30+BQ30)/2)))^2/(2*9.81)+B30-(E29+(C29/(DATOS!$B$14*E29))^2/(2*9.81)+B29+0.5*(((DATOS!$B$27*C29/(DATOS!$B$14*E29))^2/((DATOS!$B$14*E29)/(DATOS!$B$14+2*E29))^(4/3))+((DATOS!$B$27*C30/(DATOS!$B$14*((BP30+BQ30)/2)))^2/((DATOS!$B$14*((BP30+BQ30)/2))/(DATOS!$B$14+2*((BP30+BQ30)/2)))^(4/3)))*(A29-A30)))&lt;0,BQ30,((BP30+BQ30)/2))</f>
        <v/>
      </c>
      <c r="BT30" s="16">
        <f>IF((((BR30+BS30)/2)+(C30/(DATOS!$B$14*((BR30+BS30)/2)))^2/(2*9.81)+B30-(E29+(C29/(DATOS!$B$14*E29))^2/(2*9.81)+B29+0.5*(((DATOS!$B$27*C29/(DATOS!$B$14*E29))^2/((DATOS!$B$14*E29)/(DATOS!$B$14+2*E29))^(4/3))+((DATOS!$B$27*C30/(DATOS!$B$14*((BR30+BS30)/2)))^2/((DATOS!$B$14*((BR30+BS30)/2))/(DATOS!$B$14+2*((BR30+BS30)/2)))^(4/3)))*(A29-A30)))&lt;0,((BR30+BS30)/2),BR30)</f>
        <v/>
      </c>
      <c r="BU30" s="16">
        <f>IF((((BR30+BS30)/2)+(C30/(DATOS!$B$14*((BR30+BS30)/2)))^2/(2*9.81)+B30-(E29+(C29/(DATOS!$B$14*E29))^2/(2*9.81)+B29+0.5*(((DATOS!$B$27*C29/(DATOS!$B$14*E29))^2/((DATOS!$B$14*E29)/(DATOS!$B$14+2*E29))^(4/3))+((DATOS!$B$27*C30/(DATOS!$B$14*((BR30+BS30)/2)))^2/((DATOS!$B$14*((BR30+BS30)/2))/(DATOS!$B$14+2*((BR30+BS30)/2)))^(4/3)))*(A29-A30)))&lt;0,BS30,((BR30+BS30)/2))</f>
        <v/>
      </c>
    </row>
    <row r="31">
      <c r="A31" s="30" t="n">
        <v>88</v>
      </c>
      <c r="B31" s="21">
        <f>DATOS!$B$16-DATOS!$B$19*A31</f>
        <v/>
      </c>
      <c r="C31" s="21">
        <f>IF(A31&lt;CAUDALES!$B$13,CAUDALES!$D$12,IF(A31&lt;CAUDALES!$B$14,CAUDALES!$D$13,IF(A31&lt;CAUDALES!$B$15,CAUDALES!$D$14,CAUDALES!$D$15)))/1000</f>
        <v/>
      </c>
      <c r="D31" s="21">
        <f>(C31^2/(9.81*DATOS!$B$14^2))^(1/3)</f>
        <v/>
      </c>
      <c r="E31" s="29">
        <f>(BT31+BU31)/2</f>
        <v/>
      </c>
      <c r="F31" s="21">
        <f>B31+E31</f>
        <v/>
      </c>
      <c r="G31" s="17">
        <f>C31/(DATOS!$B$14*E31)</f>
        <v/>
      </c>
      <c r="H31" s="17">
        <f>G31/SQRT(9.81*E31)</f>
        <v/>
      </c>
      <c r="I31" s="21">
        <f>IF(A31&lt;=DATOS!$B$20,DATOS!$B$21-IF(AND(A31&gt;=DATOS!$B$23,A31&lt;DATOS!$B$24),DATOS!$B$25,DATOS!$B$22),B31+DATOS!$B$26)</f>
        <v/>
      </c>
      <c r="J31" s="17">
        <f>I31-B31</f>
        <v/>
      </c>
      <c r="K31" s="31">
        <f>E31/J31</f>
        <v/>
      </c>
      <c r="L31" s="21">
        <f>I31-F31</f>
        <v/>
      </c>
      <c r="M31" s="32">
        <f>IF(AND(K31&lt;=DATOS!$B$29,L31&gt;=DATOS!$B$30),"CUMPLE","NO CUMPLE")</f>
        <v/>
      </c>
      <c r="N31" s="13">
        <f>IF(A31&gt;DATOS!$B$20,"cubierto - tramo final",IF(AND(A31&gt;=DATOS!$B$23,A31&lt;DATOS!$B$24),"cubierto - camiones","cubierto"))</f>
        <v/>
      </c>
      <c r="P31" s="16">
        <f>D31*1.001</f>
        <v/>
      </c>
      <c r="Q31" s="16" t="n">
        <v>2</v>
      </c>
      <c r="R31" s="16">
        <f>IF((((P31+Q31)/2)+(C31/(DATOS!$B$14*((P31+Q31)/2)))^2/(2*9.81)+B31-(E30+(C30/(DATOS!$B$14*E30))^2/(2*9.81)+B30+0.5*(((DATOS!$B$27*C30/(DATOS!$B$14*E30))^2/((DATOS!$B$14*E30)/(DATOS!$B$14+2*E30))^(4/3))+((DATOS!$B$27*C31/(DATOS!$B$14*((P31+Q31)/2)))^2/((DATOS!$B$14*((P31+Q31)/2))/(DATOS!$B$14+2*((P31+Q31)/2)))^(4/3)))*(A30-A31)))&lt;0,((P31+Q31)/2),P31)</f>
        <v/>
      </c>
      <c r="S31" s="16">
        <f>IF((((P31+Q31)/2)+(C31/(DATOS!$B$14*((P31+Q31)/2)))^2/(2*9.81)+B31-(E30+(C30/(DATOS!$B$14*E30))^2/(2*9.81)+B30+0.5*(((DATOS!$B$27*C30/(DATOS!$B$14*E30))^2/((DATOS!$B$14*E30)/(DATOS!$B$14+2*E30))^(4/3))+((DATOS!$B$27*C31/(DATOS!$B$14*((P31+Q31)/2)))^2/((DATOS!$B$14*((P31+Q31)/2))/(DATOS!$B$14+2*((P31+Q31)/2)))^(4/3)))*(A30-A31)))&lt;0,Q31,((P31+Q31)/2))</f>
        <v/>
      </c>
      <c r="T31" s="16">
        <f>IF((((R31+S31)/2)+(C31/(DATOS!$B$14*((R31+S31)/2)))^2/(2*9.81)+B31-(E30+(C30/(DATOS!$B$14*E30))^2/(2*9.81)+B30+0.5*(((DATOS!$B$27*C30/(DATOS!$B$14*E30))^2/((DATOS!$B$14*E30)/(DATOS!$B$14+2*E30))^(4/3))+((DATOS!$B$27*C31/(DATOS!$B$14*((R31+S31)/2)))^2/((DATOS!$B$14*((R31+S31)/2))/(DATOS!$B$14+2*((R31+S31)/2)))^(4/3)))*(A30-A31)))&lt;0,((R31+S31)/2),R31)</f>
        <v/>
      </c>
      <c r="U31" s="16">
        <f>IF((((R31+S31)/2)+(C31/(DATOS!$B$14*((R31+S31)/2)))^2/(2*9.81)+B31-(E30+(C30/(DATOS!$B$14*E30))^2/(2*9.81)+B30+0.5*(((DATOS!$B$27*C30/(DATOS!$B$14*E30))^2/((DATOS!$B$14*E30)/(DATOS!$B$14+2*E30))^(4/3))+((DATOS!$B$27*C31/(DATOS!$B$14*((R31+S31)/2)))^2/((DATOS!$B$14*((R31+S31)/2))/(DATOS!$B$14+2*((R31+S31)/2)))^(4/3)))*(A30-A31)))&lt;0,S31,((R31+S31)/2))</f>
        <v/>
      </c>
      <c r="V31" s="16">
        <f>IF((((T31+U31)/2)+(C31/(DATOS!$B$14*((T31+U31)/2)))^2/(2*9.81)+B31-(E30+(C30/(DATOS!$B$14*E30))^2/(2*9.81)+B30+0.5*(((DATOS!$B$27*C30/(DATOS!$B$14*E30))^2/((DATOS!$B$14*E30)/(DATOS!$B$14+2*E30))^(4/3))+((DATOS!$B$27*C31/(DATOS!$B$14*((T31+U31)/2)))^2/((DATOS!$B$14*((T31+U31)/2))/(DATOS!$B$14+2*((T31+U31)/2)))^(4/3)))*(A30-A31)))&lt;0,((T31+U31)/2),T31)</f>
        <v/>
      </c>
      <c r="W31" s="16">
        <f>IF((((T31+U31)/2)+(C31/(DATOS!$B$14*((T31+U31)/2)))^2/(2*9.81)+B31-(E30+(C30/(DATOS!$B$14*E30))^2/(2*9.81)+B30+0.5*(((DATOS!$B$27*C30/(DATOS!$B$14*E30))^2/((DATOS!$B$14*E30)/(DATOS!$B$14+2*E30))^(4/3))+((DATOS!$B$27*C31/(DATOS!$B$14*((T31+U31)/2)))^2/((DATOS!$B$14*((T31+U31)/2))/(DATOS!$B$14+2*((T31+U31)/2)))^(4/3)))*(A30-A31)))&lt;0,U31,((T31+U31)/2))</f>
        <v/>
      </c>
      <c r="X31" s="16">
        <f>IF((((V31+W31)/2)+(C31/(DATOS!$B$14*((V31+W31)/2)))^2/(2*9.81)+B31-(E30+(C30/(DATOS!$B$14*E30))^2/(2*9.81)+B30+0.5*(((DATOS!$B$27*C30/(DATOS!$B$14*E30))^2/((DATOS!$B$14*E30)/(DATOS!$B$14+2*E30))^(4/3))+((DATOS!$B$27*C31/(DATOS!$B$14*((V31+W31)/2)))^2/((DATOS!$B$14*((V31+W31)/2))/(DATOS!$B$14+2*((V31+W31)/2)))^(4/3)))*(A30-A31)))&lt;0,((V31+W31)/2),V31)</f>
        <v/>
      </c>
      <c r="Y31" s="16">
        <f>IF((((V31+W31)/2)+(C31/(DATOS!$B$14*((V31+W31)/2)))^2/(2*9.81)+B31-(E30+(C30/(DATOS!$B$14*E30))^2/(2*9.81)+B30+0.5*(((DATOS!$B$27*C30/(DATOS!$B$14*E30))^2/((DATOS!$B$14*E30)/(DATOS!$B$14+2*E30))^(4/3))+((DATOS!$B$27*C31/(DATOS!$B$14*((V31+W31)/2)))^2/((DATOS!$B$14*((V31+W31)/2))/(DATOS!$B$14+2*((V31+W31)/2)))^(4/3)))*(A30-A31)))&lt;0,W31,((V31+W31)/2))</f>
        <v/>
      </c>
      <c r="Z31" s="16">
        <f>IF((((X31+Y31)/2)+(C31/(DATOS!$B$14*((X31+Y31)/2)))^2/(2*9.81)+B31-(E30+(C30/(DATOS!$B$14*E30))^2/(2*9.81)+B30+0.5*(((DATOS!$B$27*C30/(DATOS!$B$14*E30))^2/((DATOS!$B$14*E30)/(DATOS!$B$14+2*E30))^(4/3))+((DATOS!$B$27*C31/(DATOS!$B$14*((X31+Y31)/2)))^2/((DATOS!$B$14*((X31+Y31)/2))/(DATOS!$B$14+2*((X31+Y31)/2)))^(4/3)))*(A30-A31)))&lt;0,((X31+Y31)/2),X31)</f>
        <v/>
      </c>
      <c r="AA31" s="16">
        <f>IF((((X31+Y31)/2)+(C31/(DATOS!$B$14*((X31+Y31)/2)))^2/(2*9.81)+B31-(E30+(C30/(DATOS!$B$14*E30))^2/(2*9.81)+B30+0.5*(((DATOS!$B$27*C30/(DATOS!$B$14*E30))^2/((DATOS!$B$14*E30)/(DATOS!$B$14+2*E30))^(4/3))+((DATOS!$B$27*C31/(DATOS!$B$14*((X31+Y31)/2)))^2/((DATOS!$B$14*((X31+Y31)/2))/(DATOS!$B$14+2*((X31+Y31)/2)))^(4/3)))*(A30-A31)))&lt;0,Y31,((X31+Y31)/2))</f>
        <v/>
      </c>
      <c r="AB31" s="16">
        <f>IF((((Z31+AA31)/2)+(C31/(DATOS!$B$14*((Z31+AA31)/2)))^2/(2*9.81)+B31-(E30+(C30/(DATOS!$B$14*E30))^2/(2*9.81)+B30+0.5*(((DATOS!$B$27*C30/(DATOS!$B$14*E30))^2/((DATOS!$B$14*E30)/(DATOS!$B$14+2*E30))^(4/3))+((DATOS!$B$27*C31/(DATOS!$B$14*((Z31+AA31)/2)))^2/((DATOS!$B$14*((Z31+AA31)/2))/(DATOS!$B$14+2*((Z31+AA31)/2)))^(4/3)))*(A30-A31)))&lt;0,((Z31+AA31)/2),Z31)</f>
        <v/>
      </c>
      <c r="AC31" s="16">
        <f>IF((((Z31+AA31)/2)+(C31/(DATOS!$B$14*((Z31+AA31)/2)))^2/(2*9.81)+B31-(E30+(C30/(DATOS!$B$14*E30))^2/(2*9.81)+B30+0.5*(((DATOS!$B$27*C30/(DATOS!$B$14*E30))^2/((DATOS!$B$14*E30)/(DATOS!$B$14+2*E30))^(4/3))+((DATOS!$B$27*C31/(DATOS!$B$14*((Z31+AA31)/2)))^2/((DATOS!$B$14*((Z31+AA31)/2))/(DATOS!$B$14+2*((Z31+AA31)/2)))^(4/3)))*(A30-A31)))&lt;0,AA31,((Z31+AA31)/2))</f>
        <v/>
      </c>
      <c r="AD31" s="16">
        <f>IF((((AB31+AC31)/2)+(C31/(DATOS!$B$14*((AB31+AC31)/2)))^2/(2*9.81)+B31-(E30+(C30/(DATOS!$B$14*E30))^2/(2*9.81)+B30+0.5*(((DATOS!$B$27*C30/(DATOS!$B$14*E30))^2/((DATOS!$B$14*E30)/(DATOS!$B$14+2*E30))^(4/3))+((DATOS!$B$27*C31/(DATOS!$B$14*((AB31+AC31)/2)))^2/((DATOS!$B$14*((AB31+AC31)/2))/(DATOS!$B$14+2*((AB31+AC31)/2)))^(4/3)))*(A30-A31)))&lt;0,((AB31+AC31)/2),AB31)</f>
        <v/>
      </c>
      <c r="AE31" s="16">
        <f>IF((((AB31+AC31)/2)+(C31/(DATOS!$B$14*((AB31+AC31)/2)))^2/(2*9.81)+B31-(E30+(C30/(DATOS!$B$14*E30))^2/(2*9.81)+B30+0.5*(((DATOS!$B$27*C30/(DATOS!$B$14*E30))^2/((DATOS!$B$14*E30)/(DATOS!$B$14+2*E30))^(4/3))+((DATOS!$B$27*C31/(DATOS!$B$14*((AB31+AC31)/2)))^2/((DATOS!$B$14*((AB31+AC31)/2))/(DATOS!$B$14+2*((AB31+AC31)/2)))^(4/3)))*(A30-A31)))&lt;0,AC31,((AB31+AC31)/2))</f>
        <v/>
      </c>
      <c r="AF31" s="16">
        <f>IF((((AD31+AE31)/2)+(C31/(DATOS!$B$14*((AD31+AE31)/2)))^2/(2*9.81)+B31-(E30+(C30/(DATOS!$B$14*E30))^2/(2*9.81)+B30+0.5*(((DATOS!$B$27*C30/(DATOS!$B$14*E30))^2/((DATOS!$B$14*E30)/(DATOS!$B$14+2*E30))^(4/3))+((DATOS!$B$27*C31/(DATOS!$B$14*((AD31+AE31)/2)))^2/((DATOS!$B$14*((AD31+AE31)/2))/(DATOS!$B$14+2*((AD31+AE31)/2)))^(4/3)))*(A30-A31)))&lt;0,((AD31+AE31)/2),AD31)</f>
        <v/>
      </c>
      <c r="AG31" s="16">
        <f>IF((((AD31+AE31)/2)+(C31/(DATOS!$B$14*((AD31+AE31)/2)))^2/(2*9.81)+B31-(E30+(C30/(DATOS!$B$14*E30))^2/(2*9.81)+B30+0.5*(((DATOS!$B$27*C30/(DATOS!$B$14*E30))^2/((DATOS!$B$14*E30)/(DATOS!$B$14+2*E30))^(4/3))+((DATOS!$B$27*C31/(DATOS!$B$14*((AD31+AE31)/2)))^2/((DATOS!$B$14*((AD31+AE31)/2))/(DATOS!$B$14+2*((AD31+AE31)/2)))^(4/3)))*(A30-A31)))&lt;0,AE31,((AD31+AE31)/2))</f>
        <v/>
      </c>
      <c r="AH31" s="16">
        <f>IF((((AF31+AG31)/2)+(C31/(DATOS!$B$14*((AF31+AG31)/2)))^2/(2*9.81)+B31-(E30+(C30/(DATOS!$B$14*E30))^2/(2*9.81)+B30+0.5*(((DATOS!$B$27*C30/(DATOS!$B$14*E30))^2/((DATOS!$B$14*E30)/(DATOS!$B$14+2*E30))^(4/3))+((DATOS!$B$27*C31/(DATOS!$B$14*((AF31+AG31)/2)))^2/((DATOS!$B$14*((AF31+AG31)/2))/(DATOS!$B$14+2*((AF31+AG31)/2)))^(4/3)))*(A30-A31)))&lt;0,((AF31+AG31)/2),AF31)</f>
        <v/>
      </c>
      <c r="AI31" s="16">
        <f>IF((((AF31+AG31)/2)+(C31/(DATOS!$B$14*((AF31+AG31)/2)))^2/(2*9.81)+B31-(E30+(C30/(DATOS!$B$14*E30))^2/(2*9.81)+B30+0.5*(((DATOS!$B$27*C30/(DATOS!$B$14*E30))^2/((DATOS!$B$14*E30)/(DATOS!$B$14+2*E30))^(4/3))+((DATOS!$B$27*C31/(DATOS!$B$14*((AF31+AG31)/2)))^2/((DATOS!$B$14*((AF31+AG31)/2))/(DATOS!$B$14+2*((AF31+AG31)/2)))^(4/3)))*(A30-A31)))&lt;0,AG31,((AF31+AG31)/2))</f>
        <v/>
      </c>
      <c r="AJ31" s="16">
        <f>IF((((AH31+AI31)/2)+(C31/(DATOS!$B$14*((AH31+AI31)/2)))^2/(2*9.81)+B31-(E30+(C30/(DATOS!$B$14*E30))^2/(2*9.81)+B30+0.5*(((DATOS!$B$27*C30/(DATOS!$B$14*E30))^2/((DATOS!$B$14*E30)/(DATOS!$B$14+2*E30))^(4/3))+((DATOS!$B$27*C31/(DATOS!$B$14*((AH31+AI31)/2)))^2/((DATOS!$B$14*((AH31+AI31)/2))/(DATOS!$B$14+2*((AH31+AI31)/2)))^(4/3)))*(A30-A31)))&lt;0,((AH31+AI31)/2),AH31)</f>
        <v/>
      </c>
      <c r="AK31" s="16">
        <f>IF((((AH31+AI31)/2)+(C31/(DATOS!$B$14*((AH31+AI31)/2)))^2/(2*9.81)+B31-(E30+(C30/(DATOS!$B$14*E30))^2/(2*9.81)+B30+0.5*(((DATOS!$B$27*C30/(DATOS!$B$14*E30))^2/((DATOS!$B$14*E30)/(DATOS!$B$14+2*E30))^(4/3))+((DATOS!$B$27*C31/(DATOS!$B$14*((AH31+AI31)/2)))^2/((DATOS!$B$14*((AH31+AI31)/2))/(DATOS!$B$14+2*((AH31+AI31)/2)))^(4/3)))*(A30-A31)))&lt;0,AI31,((AH31+AI31)/2))</f>
        <v/>
      </c>
      <c r="AL31" s="16">
        <f>IF((((AJ31+AK31)/2)+(C31/(DATOS!$B$14*((AJ31+AK31)/2)))^2/(2*9.81)+B31-(E30+(C30/(DATOS!$B$14*E30))^2/(2*9.81)+B30+0.5*(((DATOS!$B$27*C30/(DATOS!$B$14*E30))^2/((DATOS!$B$14*E30)/(DATOS!$B$14+2*E30))^(4/3))+((DATOS!$B$27*C31/(DATOS!$B$14*((AJ31+AK31)/2)))^2/((DATOS!$B$14*((AJ31+AK31)/2))/(DATOS!$B$14+2*((AJ31+AK31)/2)))^(4/3)))*(A30-A31)))&lt;0,((AJ31+AK31)/2),AJ31)</f>
        <v/>
      </c>
      <c r="AM31" s="16">
        <f>IF((((AJ31+AK31)/2)+(C31/(DATOS!$B$14*((AJ31+AK31)/2)))^2/(2*9.81)+B31-(E30+(C30/(DATOS!$B$14*E30))^2/(2*9.81)+B30+0.5*(((DATOS!$B$27*C30/(DATOS!$B$14*E30))^2/((DATOS!$B$14*E30)/(DATOS!$B$14+2*E30))^(4/3))+((DATOS!$B$27*C31/(DATOS!$B$14*((AJ31+AK31)/2)))^2/((DATOS!$B$14*((AJ31+AK31)/2))/(DATOS!$B$14+2*((AJ31+AK31)/2)))^(4/3)))*(A30-A31)))&lt;0,AK31,((AJ31+AK31)/2))</f>
        <v/>
      </c>
      <c r="AN31" s="16">
        <f>IF((((AL31+AM31)/2)+(C31/(DATOS!$B$14*((AL31+AM31)/2)))^2/(2*9.81)+B31-(E30+(C30/(DATOS!$B$14*E30))^2/(2*9.81)+B30+0.5*(((DATOS!$B$27*C30/(DATOS!$B$14*E30))^2/((DATOS!$B$14*E30)/(DATOS!$B$14+2*E30))^(4/3))+((DATOS!$B$27*C31/(DATOS!$B$14*((AL31+AM31)/2)))^2/((DATOS!$B$14*((AL31+AM31)/2))/(DATOS!$B$14+2*((AL31+AM31)/2)))^(4/3)))*(A30-A31)))&lt;0,((AL31+AM31)/2),AL31)</f>
        <v/>
      </c>
      <c r="AO31" s="16">
        <f>IF((((AL31+AM31)/2)+(C31/(DATOS!$B$14*((AL31+AM31)/2)))^2/(2*9.81)+B31-(E30+(C30/(DATOS!$B$14*E30))^2/(2*9.81)+B30+0.5*(((DATOS!$B$27*C30/(DATOS!$B$14*E30))^2/((DATOS!$B$14*E30)/(DATOS!$B$14+2*E30))^(4/3))+((DATOS!$B$27*C31/(DATOS!$B$14*((AL31+AM31)/2)))^2/((DATOS!$B$14*((AL31+AM31)/2))/(DATOS!$B$14+2*((AL31+AM31)/2)))^(4/3)))*(A30-A31)))&lt;0,AM31,((AL31+AM31)/2))</f>
        <v/>
      </c>
      <c r="AP31" s="16">
        <f>IF((((AN31+AO31)/2)+(C31/(DATOS!$B$14*((AN31+AO31)/2)))^2/(2*9.81)+B31-(E30+(C30/(DATOS!$B$14*E30))^2/(2*9.81)+B30+0.5*(((DATOS!$B$27*C30/(DATOS!$B$14*E30))^2/((DATOS!$B$14*E30)/(DATOS!$B$14+2*E30))^(4/3))+((DATOS!$B$27*C31/(DATOS!$B$14*((AN31+AO31)/2)))^2/((DATOS!$B$14*((AN31+AO31)/2))/(DATOS!$B$14+2*((AN31+AO31)/2)))^(4/3)))*(A30-A31)))&lt;0,((AN31+AO31)/2),AN31)</f>
        <v/>
      </c>
      <c r="AQ31" s="16">
        <f>IF((((AN31+AO31)/2)+(C31/(DATOS!$B$14*((AN31+AO31)/2)))^2/(2*9.81)+B31-(E30+(C30/(DATOS!$B$14*E30))^2/(2*9.81)+B30+0.5*(((DATOS!$B$27*C30/(DATOS!$B$14*E30))^2/((DATOS!$B$14*E30)/(DATOS!$B$14+2*E30))^(4/3))+((DATOS!$B$27*C31/(DATOS!$B$14*((AN31+AO31)/2)))^2/((DATOS!$B$14*((AN31+AO31)/2))/(DATOS!$B$14+2*((AN31+AO31)/2)))^(4/3)))*(A30-A31)))&lt;0,AO31,((AN31+AO31)/2))</f>
        <v/>
      </c>
      <c r="AR31" s="16">
        <f>IF((((AP31+AQ31)/2)+(C31/(DATOS!$B$14*((AP31+AQ31)/2)))^2/(2*9.81)+B31-(E30+(C30/(DATOS!$B$14*E30))^2/(2*9.81)+B30+0.5*(((DATOS!$B$27*C30/(DATOS!$B$14*E30))^2/((DATOS!$B$14*E30)/(DATOS!$B$14+2*E30))^(4/3))+((DATOS!$B$27*C31/(DATOS!$B$14*((AP31+AQ31)/2)))^2/((DATOS!$B$14*((AP31+AQ31)/2))/(DATOS!$B$14+2*((AP31+AQ31)/2)))^(4/3)))*(A30-A31)))&lt;0,((AP31+AQ31)/2),AP31)</f>
        <v/>
      </c>
      <c r="AS31" s="16">
        <f>IF((((AP31+AQ31)/2)+(C31/(DATOS!$B$14*((AP31+AQ31)/2)))^2/(2*9.81)+B31-(E30+(C30/(DATOS!$B$14*E30))^2/(2*9.81)+B30+0.5*(((DATOS!$B$27*C30/(DATOS!$B$14*E30))^2/((DATOS!$B$14*E30)/(DATOS!$B$14+2*E30))^(4/3))+((DATOS!$B$27*C31/(DATOS!$B$14*((AP31+AQ31)/2)))^2/((DATOS!$B$14*((AP31+AQ31)/2))/(DATOS!$B$14+2*((AP31+AQ31)/2)))^(4/3)))*(A30-A31)))&lt;0,AQ31,((AP31+AQ31)/2))</f>
        <v/>
      </c>
      <c r="AT31" s="16">
        <f>IF((((AR31+AS31)/2)+(C31/(DATOS!$B$14*((AR31+AS31)/2)))^2/(2*9.81)+B31-(E30+(C30/(DATOS!$B$14*E30))^2/(2*9.81)+B30+0.5*(((DATOS!$B$27*C30/(DATOS!$B$14*E30))^2/((DATOS!$B$14*E30)/(DATOS!$B$14+2*E30))^(4/3))+((DATOS!$B$27*C31/(DATOS!$B$14*((AR31+AS31)/2)))^2/((DATOS!$B$14*((AR31+AS31)/2))/(DATOS!$B$14+2*((AR31+AS31)/2)))^(4/3)))*(A30-A31)))&lt;0,((AR31+AS31)/2),AR31)</f>
        <v/>
      </c>
      <c r="AU31" s="16">
        <f>IF((((AR31+AS31)/2)+(C31/(DATOS!$B$14*((AR31+AS31)/2)))^2/(2*9.81)+B31-(E30+(C30/(DATOS!$B$14*E30))^2/(2*9.81)+B30+0.5*(((DATOS!$B$27*C30/(DATOS!$B$14*E30))^2/((DATOS!$B$14*E30)/(DATOS!$B$14+2*E30))^(4/3))+((DATOS!$B$27*C31/(DATOS!$B$14*((AR31+AS31)/2)))^2/((DATOS!$B$14*((AR31+AS31)/2))/(DATOS!$B$14+2*((AR31+AS31)/2)))^(4/3)))*(A30-A31)))&lt;0,AS31,((AR31+AS31)/2))</f>
        <v/>
      </c>
      <c r="AV31" s="16">
        <f>IF((((AT31+AU31)/2)+(C31/(DATOS!$B$14*((AT31+AU31)/2)))^2/(2*9.81)+B31-(E30+(C30/(DATOS!$B$14*E30))^2/(2*9.81)+B30+0.5*(((DATOS!$B$27*C30/(DATOS!$B$14*E30))^2/((DATOS!$B$14*E30)/(DATOS!$B$14+2*E30))^(4/3))+((DATOS!$B$27*C31/(DATOS!$B$14*((AT31+AU31)/2)))^2/((DATOS!$B$14*((AT31+AU31)/2))/(DATOS!$B$14+2*((AT31+AU31)/2)))^(4/3)))*(A30-A31)))&lt;0,((AT31+AU31)/2),AT31)</f>
        <v/>
      </c>
      <c r="AW31" s="16">
        <f>IF((((AT31+AU31)/2)+(C31/(DATOS!$B$14*((AT31+AU31)/2)))^2/(2*9.81)+B31-(E30+(C30/(DATOS!$B$14*E30))^2/(2*9.81)+B30+0.5*(((DATOS!$B$27*C30/(DATOS!$B$14*E30))^2/((DATOS!$B$14*E30)/(DATOS!$B$14+2*E30))^(4/3))+((DATOS!$B$27*C31/(DATOS!$B$14*((AT31+AU31)/2)))^2/((DATOS!$B$14*((AT31+AU31)/2))/(DATOS!$B$14+2*((AT31+AU31)/2)))^(4/3)))*(A30-A31)))&lt;0,AU31,((AT31+AU31)/2))</f>
        <v/>
      </c>
      <c r="AX31" s="16">
        <f>IF((((AV31+AW31)/2)+(C31/(DATOS!$B$14*((AV31+AW31)/2)))^2/(2*9.81)+B31-(E30+(C30/(DATOS!$B$14*E30))^2/(2*9.81)+B30+0.5*(((DATOS!$B$27*C30/(DATOS!$B$14*E30))^2/((DATOS!$B$14*E30)/(DATOS!$B$14+2*E30))^(4/3))+((DATOS!$B$27*C31/(DATOS!$B$14*((AV31+AW31)/2)))^2/((DATOS!$B$14*((AV31+AW31)/2))/(DATOS!$B$14+2*((AV31+AW31)/2)))^(4/3)))*(A30-A31)))&lt;0,((AV31+AW31)/2),AV31)</f>
        <v/>
      </c>
      <c r="AY31" s="16">
        <f>IF((((AV31+AW31)/2)+(C31/(DATOS!$B$14*((AV31+AW31)/2)))^2/(2*9.81)+B31-(E30+(C30/(DATOS!$B$14*E30))^2/(2*9.81)+B30+0.5*(((DATOS!$B$27*C30/(DATOS!$B$14*E30))^2/((DATOS!$B$14*E30)/(DATOS!$B$14+2*E30))^(4/3))+((DATOS!$B$27*C31/(DATOS!$B$14*((AV31+AW31)/2)))^2/((DATOS!$B$14*((AV31+AW31)/2))/(DATOS!$B$14+2*((AV31+AW31)/2)))^(4/3)))*(A30-A31)))&lt;0,AW31,((AV31+AW31)/2))</f>
        <v/>
      </c>
      <c r="AZ31" s="16">
        <f>IF((((AX31+AY31)/2)+(C31/(DATOS!$B$14*((AX31+AY31)/2)))^2/(2*9.81)+B31-(E30+(C30/(DATOS!$B$14*E30))^2/(2*9.81)+B30+0.5*(((DATOS!$B$27*C30/(DATOS!$B$14*E30))^2/((DATOS!$B$14*E30)/(DATOS!$B$14+2*E30))^(4/3))+((DATOS!$B$27*C31/(DATOS!$B$14*((AX31+AY31)/2)))^2/((DATOS!$B$14*((AX31+AY31)/2))/(DATOS!$B$14+2*((AX31+AY31)/2)))^(4/3)))*(A30-A31)))&lt;0,((AX31+AY31)/2),AX31)</f>
        <v/>
      </c>
      <c r="BA31" s="16">
        <f>IF((((AX31+AY31)/2)+(C31/(DATOS!$B$14*((AX31+AY31)/2)))^2/(2*9.81)+B31-(E30+(C30/(DATOS!$B$14*E30))^2/(2*9.81)+B30+0.5*(((DATOS!$B$27*C30/(DATOS!$B$14*E30))^2/((DATOS!$B$14*E30)/(DATOS!$B$14+2*E30))^(4/3))+((DATOS!$B$27*C31/(DATOS!$B$14*((AX31+AY31)/2)))^2/((DATOS!$B$14*((AX31+AY31)/2))/(DATOS!$B$14+2*((AX31+AY31)/2)))^(4/3)))*(A30-A31)))&lt;0,AY31,((AX31+AY31)/2))</f>
        <v/>
      </c>
      <c r="BB31" s="16">
        <f>IF((((AZ31+BA31)/2)+(C31/(DATOS!$B$14*((AZ31+BA31)/2)))^2/(2*9.81)+B31-(E30+(C30/(DATOS!$B$14*E30))^2/(2*9.81)+B30+0.5*(((DATOS!$B$27*C30/(DATOS!$B$14*E30))^2/((DATOS!$B$14*E30)/(DATOS!$B$14+2*E30))^(4/3))+((DATOS!$B$27*C31/(DATOS!$B$14*((AZ31+BA31)/2)))^2/((DATOS!$B$14*((AZ31+BA31)/2))/(DATOS!$B$14+2*((AZ31+BA31)/2)))^(4/3)))*(A30-A31)))&lt;0,((AZ31+BA31)/2),AZ31)</f>
        <v/>
      </c>
      <c r="BC31" s="16">
        <f>IF((((AZ31+BA31)/2)+(C31/(DATOS!$B$14*((AZ31+BA31)/2)))^2/(2*9.81)+B31-(E30+(C30/(DATOS!$B$14*E30))^2/(2*9.81)+B30+0.5*(((DATOS!$B$27*C30/(DATOS!$B$14*E30))^2/((DATOS!$B$14*E30)/(DATOS!$B$14+2*E30))^(4/3))+((DATOS!$B$27*C31/(DATOS!$B$14*((AZ31+BA31)/2)))^2/((DATOS!$B$14*((AZ31+BA31)/2))/(DATOS!$B$14+2*((AZ31+BA31)/2)))^(4/3)))*(A30-A31)))&lt;0,BA31,((AZ31+BA31)/2))</f>
        <v/>
      </c>
      <c r="BD31" s="16">
        <f>IF((((BB31+BC31)/2)+(C31/(DATOS!$B$14*((BB31+BC31)/2)))^2/(2*9.81)+B31-(E30+(C30/(DATOS!$B$14*E30))^2/(2*9.81)+B30+0.5*(((DATOS!$B$27*C30/(DATOS!$B$14*E30))^2/((DATOS!$B$14*E30)/(DATOS!$B$14+2*E30))^(4/3))+((DATOS!$B$27*C31/(DATOS!$B$14*((BB31+BC31)/2)))^2/((DATOS!$B$14*((BB31+BC31)/2))/(DATOS!$B$14+2*((BB31+BC31)/2)))^(4/3)))*(A30-A31)))&lt;0,((BB31+BC31)/2),BB31)</f>
        <v/>
      </c>
      <c r="BE31" s="16">
        <f>IF((((BB31+BC31)/2)+(C31/(DATOS!$B$14*((BB31+BC31)/2)))^2/(2*9.81)+B31-(E30+(C30/(DATOS!$B$14*E30))^2/(2*9.81)+B30+0.5*(((DATOS!$B$27*C30/(DATOS!$B$14*E30))^2/((DATOS!$B$14*E30)/(DATOS!$B$14+2*E30))^(4/3))+((DATOS!$B$27*C31/(DATOS!$B$14*((BB31+BC31)/2)))^2/((DATOS!$B$14*((BB31+BC31)/2))/(DATOS!$B$14+2*((BB31+BC31)/2)))^(4/3)))*(A30-A31)))&lt;0,BC31,((BB31+BC31)/2))</f>
        <v/>
      </c>
      <c r="BF31" s="16">
        <f>IF((((BD31+BE31)/2)+(C31/(DATOS!$B$14*((BD31+BE31)/2)))^2/(2*9.81)+B31-(E30+(C30/(DATOS!$B$14*E30))^2/(2*9.81)+B30+0.5*(((DATOS!$B$27*C30/(DATOS!$B$14*E30))^2/((DATOS!$B$14*E30)/(DATOS!$B$14+2*E30))^(4/3))+((DATOS!$B$27*C31/(DATOS!$B$14*((BD31+BE31)/2)))^2/((DATOS!$B$14*((BD31+BE31)/2))/(DATOS!$B$14+2*((BD31+BE31)/2)))^(4/3)))*(A30-A31)))&lt;0,((BD31+BE31)/2),BD31)</f>
        <v/>
      </c>
      <c r="BG31" s="16">
        <f>IF((((BD31+BE31)/2)+(C31/(DATOS!$B$14*((BD31+BE31)/2)))^2/(2*9.81)+B31-(E30+(C30/(DATOS!$B$14*E30))^2/(2*9.81)+B30+0.5*(((DATOS!$B$27*C30/(DATOS!$B$14*E30))^2/((DATOS!$B$14*E30)/(DATOS!$B$14+2*E30))^(4/3))+((DATOS!$B$27*C31/(DATOS!$B$14*((BD31+BE31)/2)))^2/((DATOS!$B$14*((BD31+BE31)/2))/(DATOS!$B$14+2*((BD31+BE31)/2)))^(4/3)))*(A30-A31)))&lt;0,BE31,((BD31+BE31)/2))</f>
        <v/>
      </c>
      <c r="BH31" s="16">
        <f>IF((((BF31+BG31)/2)+(C31/(DATOS!$B$14*((BF31+BG31)/2)))^2/(2*9.81)+B31-(E30+(C30/(DATOS!$B$14*E30))^2/(2*9.81)+B30+0.5*(((DATOS!$B$27*C30/(DATOS!$B$14*E30))^2/((DATOS!$B$14*E30)/(DATOS!$B$14+2*E30))^(4/3))+((DATOS!$B$27*C31/(DATOS!$B$14*((BF31+BG31)/2)))^2/((DATOS!$B$14*((BF31+BG31)/2))/(DATOS!$B$14+2*((BF31+BG31)/2)))^(4/3)))*(A30-A31)))&lt;0,((BF31+BG31)/2),BF31)</f>
        <v/>
      </c>
      <c r="BI31" s="16">
        <f>IF((((BF31+BG31)/2)+(C31/(DATOS!$B$14*((BF31+BG31)/2)))^2/(2*9.81)+B31-(E30+(C30/(DATOS!$B$14*E30))^2/(2*9.81)+B30+0.5*(((DATOS!$B$27*C30/(DATOS!$B$14*E30))^2/((DATOS!$B$14*E30)/(DATOS!$B$14+2*E30))^(4/3))+((DATOS!$B$27*C31/(DATOS!$B$14*((BF31+BG31)/2)))^2/((DATOS!$B$14*((BF31+BG31)/2))/(DATOS!$B$14+2*((BF31+BG31)/2)))^(4/3)))*(A30-A31)))&lt;0,BG31,((BF31+BG31)/2))</f>
        <v/>
      </c>
      <c r="BJ31" s="16">
        <f>IF((((BH31+BI31)/2)+(C31/(DATOS!$B$14*((BH31+BI31)/2)))^2/(2*9.81)+B31-(E30+(C30/(DATOS!$B$14*E30))^2/(2*9.81)+B30+0.5*(((DATOS!$B$27*C30/(DATOS!$B$14*E30))^2/((DATOS!$B$14*E30)/(DATOS!$B$14+2*E30))^(4/3))+((DATOS!$B$27*C31/(DATOS!$B$14*((BH31+BI31)/2)))^2/((DATOS!$B$14*((BH31+BI31)/2))/(DATOS!$B$14+2*((BH31+BI31)/2)))^(4/3)))*(A30-A31)))&lt;0,((BH31+BI31)/2),BH31)</f>
        <v/>
      </c>
      <c r="BK31" s="16">
        <f>IF((((BH31+BI31)/2)+(C31/(DATOS!$B$14*((BH31+BI31)/2)))^2/(2*9.81)+B31-(E30+(C30/(DATOS!$B$14*E30))^2/(2*9.81)+B30+0.5*(((DATOS!$B$27*C30/(DATOS!$B$14*E30))^2/((DATOS!$B$14*E30)/(DATOS!$B$14+2*E30))^(4/3))+((DATOS!$B$27*C31/(DATOS!$B$14*((BH31+BI31)/2)))^2/((DATOS!$B$14*((BH31+BI31)/2))/(DATOS!$B$14+2*((BH31+BI31)/2)))^(4/3)))*(A30-A31)))&lt;0,BI31,((BH31+BI31)/2))</f>
        <v/>
      </c>
      <c r="BL31" s="16">
        <f>IF((((BJ31+BK31)/2)+(C31/(DATOS!$B$14*((BJ31+BK31)/2)))^2/(2*9.81)+B31-(E30+(C30/(DATOS!$B$14*E30))^2/(2*9.81)+B30+0.5*(((DATOS!$B$27*C30/(DATOS!$B$14*E30))^2/((DATOS!$B$14*E30)/(DATOS!$B$14+2*E30))^(4/3))+((DATOS!$B$27*C31/(DATOS!$B$14*((BJ31+BK31)/2)))^2/((DATOS!$B$14*((BJ31+BK31)/2))/(DATOS!$B$14+2*((BJ31+BK31)/2)))^(4/3)))*(A30-A31)))&lt;0,((BJ31+BK31)/2),BJ31)</f>
        <v/>
      </c>
      <c r="BM31" s="16">
        <f>IF((((BJ31+BK31)/2)+(C31/(DATOS!$B$14*((BJ31+BK31)/2)))^2/(2*9.81)+B31-(E30+(C30/(DATOS!$B$14*E30))^2/(2*9.81)+B30+0.5*(((DATOS!$B$27*C30/(DATOS!$B$14*E30))^2/((DATOS!$B$14*E30)/(DATOS!$B$14+2*E30))^(4/3))+((DATOS!$B$27*C31/(DATOS!$B$14*((BJ31+BK31)/2)))^2/((DATOS!$B$14*((BJ31+BK31)/2))/(DATOS!$B$14+2*((BJ31+BK31)/2)))^(4/3)))*(A30-A31)))&lt;0,BK31,((BJ31+BK31)/2))</f>
        <v/>
      </c>
      <c r="BN31" s="16">
        <f>IF((((BL31+BM31)/2)+(C31/(DATOS!$B$14*((BL31+BM31)/2)))^2/(2*9.81)+B31-(E30+(C30/(DATOS!$B$14*E30))^2/(2*9.81)+B30+0.5*(((DATOS!$B$27*C30/(DATOS!$B$14*E30))^2/((DATOS!$B$14*E30)/(DATOS!$B$14+2*E30))^(4/3))+((DATOS!$B$27*C31/(DATOS!$B$14*((BL31+BM31)/2)))^2/((DATOS!$B$14*((BL31+BM31)/2))/(DATOS!$B$14+2*((BL31+BM31)/2)))^(4/3)))*(A30-A31)))&lt;0,((BL31+BM31)/2),BL31)</f>
        <v/>
      </c>
      <c r="BO31" s="16">
        <f>IF((((BL31+BM31)/2)+(C31/(DATOS!$B$14*((BL31+BM31)/2)))^2/(2*9.81)+B31-(E30+(C30/(DATOS!$B$14*E30))^2/(2*9.81)+B30+0.5*(((DATOS!$B$27*C30/(DATOS!$B$14*E30))^2/((DATOS!$B$14*E30)/(DATOS!$B$14+2*E30))^(4/3))+((DATOS!$B$27*C31/(DATOS!$B$14*((BL31+BM31)/2)))^2/((DATOS!$B$14*((BL31+BM31)/2))/(DATOS!$B$14+2*((BL31+BM31)/2)))^(4/3)))*(A30-A31)))&lt;0,BM31,((BL31+BM31)/2))</f>
        <v/>
      </c>
      <c r="BP31" s="16">
        <f>IF((((BN31+BO31)/2)+(C31/(DATOS!$B$14*((BN31+BO31)/2)))^2/(2*9.81)+B31-(E30+(C30/(DATOS!$B$14*E30))^2/(2*9.81)+B30+0.5*(((DATOS!$B$27*C30/(DATOS!$B$14*E30))^2/((DATOS!$B$14*E30)/(DATOS!$B$14+2*E30))^(4/3))+((DATOS!$B$27*C31/(DATOS!$B$14*((BN31+BO31)/2)))^2/((DATOS!$B$14*((BN31+BO31)/2))/(DATOS!$B$14+2*((BN31+BO31)/2)))^(4/3)))*(A30-A31)))&lt;0,((BN31+BO31)/2),BN31)</f>
        <v/>
      </c>
      <c r="BQ31" s="16">
        <f>IF((((BN31+BO31)/2)+(C31/(DATOS!$B$14*((BN31+BO31)/2)))^2/(2*9.81)+B31-(E30+(C30/(DATOS!$B$14*E30))^2/(2*9.81)+B30+0.5*(((DATOS!$B$27*C30/(DATOS!$B$14*E30))^2/((DATOS!$B$14*E30)/(DATOS!$B$14+2*E30))^(4/3))+((DATOS!$B$27*C31/(DATOS!$B$14*((BN31+BO31)/2)))^2/((DATOS!$B$14*((BN31+BO31)/2))/(DATOS!$B$14+2*((BN31+BO31)/2)))^(4/3)))*(A30-A31)))&lt;0,BO31,((BN31+BO31)/2))</f>
        <v/>
      </c>
      <c r="BR31" s="16">
        <f>IF((((BP31+BQ31)/2)+(C31/(DATOS!$B$14*((BP31+BQ31)/2)))^2/(2*9.81)+B31-(E30+(C30/(DATOS!$B$14*E30))^2/(2*9.81)+B30+0.5*(((DATOS!$B$27*C30/(DATOS!$B$14*E30))^2/((DATOS!$B$14*E30)/(DATOS!$B$14+2*E30))^(4/3))+((DATOS!$B$27*C31/(DATOS!$B$14*((BP31+BQ31)/2)))^2/((DATOS!$B$14*((BP31+BQ31)/2))/(DATOS!$B$14+2*((BP31+BQ31)/2)))^(4/3)))*(A30-A31)))&lt;0,((BP31+BQ31)/2),BP31)</f>
        <v/>
      </c>
      <c r="BS31" s="16">
        <f>IF((((BP31+BQ31)/2)+(C31/(DATOS!$B$14*((BP31+BQ31)/2)))^2/(2*9.81)+B31-(E30+(C30/(DATOS!$B$14*E30))^2/(2*9.81)+B30+0.5*(((DATOS!$B$27*C30/(DATOS!$B$14*E30))^2/((DATOS!$B$14*E30)/(DATOS!$B$14+2*E30))^(4/3))+((DATOS!$B$27*C31/(DATOS!$B$14*((BP31+BQ31)/2)))^2/((DATOS!$B$14*((BP31+BQ31)/2))/(DATOS!$B$14+2*((BP31+BQ31)/2)))^(4/3)))*(A30-A31)))&lt;0,BQ31,((BP31+BQ31)/2))</f>
        <v/>
      </c>
      <c r="BT31" s="16">
        <f>IF((((BR31+BS31)/2)+(C31/(DATOS!$B$14*((BR31+BS31)/2)))^2/(2*9.81)+B31-(E30+(C30/(DATOS!$B$14*E30))^2/(2*9.81)+B30+0.5*(((DATOS!$B$27*C30/(DATOS!$B$14*E30))^2/((DATOS!$B$14*E30)/(DATOS!$B$14+2*E30))^(4/3))+((DATOS!$B$27*C31/(DATOS!$B$14*((BR31+BS31)/2)))^2/((DATOS!$B$14*((BR31+BS31)/2))/(DATOS!$B$14+2*((BR31+BS31)/2)))^(4/3)))*(A30-A31)))&lt;0,((BR31+BS31)/2),BR31)</f>
        <v/>
      </c>
      <c r="BU31" s="16">
        <f>IF((((BR31+BS31)/2)+(C31/(DATOS!$B$14*((BR31+BS31)/2)))^2/(2*9.81)+B31-(E30+(C30/(DATOS!$B$14*E30))^2/(2*9.81)+B30+0.5*(((DATOS!$B$27*C30/(DATOS!$B$14*E30))^2/((DATOS!$B$14*E30)/(DATOS!$B$14+2*E30))^(4/3))+((DATOS!$B$27*C31/(DATOS!$B$14*((BR31+BS31)/2)))^2/((DATOS!$B$14*((BR31+BS31)/2))/(DATOS!$B$14+2*((BR31+BS31)/2)))^(4/3)))*(A30-A31)))&lt;0,BS31,((BR31+BS31)/2))</f>
        <v/>
      </c>
    </row>
    <row r="32">
      <c r="A32" s="30" t="n">
        <v>86</v>
      </c>
      <c r="B32" s="21">
        <f>DATOS!$B$16-DATOS!$B$19*A32</f>
        <v/>
      </c>
      <c r="C32" s="21">
        <f>IF(A32&lt;CAUDALES!$B$13,CAUDALES!$D$12,IF(A32&lt;CAUDALES!$B$14,CAUDALES!$D$13,IF(A32&lt;CAUDALES!$B$15,CAUDALES!$D$14,CAUDALES!$D$15)))/1000</f>
        <v/>
      </c>
      <c r="D32" s="21">
        <f>(C32^2/(9.81*DATOS!$B$14^2))^(1/3)</f>
        <v/>
      </c>
      <c r="E32" s="29">
        <f>(BT32+BU32)/2</f>
        <v/>
      </c>
      <c r="F32" s="21">
        <f>B32+E32</f>
        <v/>
      </c>
      <c r="G32" s="17">
        <f>C32/(DATOS!$B$14*E32)</f>
        <v/>
      </c>
      <c r="H32" s="17">
        <f>G32/SQRT(9.81*E32)</f>
        <v/>
      </c>
      <c r="I32" s="21">
        <f>IF(A32&lt;=DATOS!$B$20,DATOS!$B$21-IF(AND(A32&gt;=DATOS!$B$23,A32&lt;DATOS!$B$24),DATOS!$B$25,DATOS!$B$22),B32+DATOS!$B$26)</f>
        <v/>
      </c>
      <c r="J32" s="17">
        <f>I32-B32</f>
        <v/>
      </c>
      <c r="K32" s="31">
        <f>E32/J32</f>
        <v/>
      </c>
      <c r="L32" s="21">
        <f>I32-F32</f>
        <v/>
      </c>
      <c r="M32" s="32">
        <f>IF(AND(K32&lt;=DATOS!$B$29,L32&gt;=DATOS!$B$30),"CUMPLE","NO CUMPLE")</f>
        <v/>
      </c>
      <c r="N32" s="13">
        <f>IF(A32&gt;DATOS!$B$20,"cubierto - tramo final",IF(AND(A32&gt;=DATOS!$B$23,A32&lt;DATOS!$B$24),"cubierto - camiones","cubierto"))</f>
        <v/>
      </c>
      <c r="P32" s="16">
        <f>D32*1.001</f>
        <v/>
      </c>
      <c r="Q32" s="16" t="n">
        <v>2</v>
      </c>
      <c r="R32" s="16">
        <f>IF((((P32+Q32)/2)+(C32/(DATOS!$B$14*((P32+Q32)/2)))^2/(2*9.81)+B32-(E31+(C31/(DATOS!$B$14*E31))^2/(2*9.81)+B31+0.5*(((DATOS!$B$27*C31/(DATOS!$B$14*E31))^2/((DATOS!$B$14*E31)/(DATOS!$B$14+2*E31))^(4/3))+((DATOS!$B$27*C32/(DATOS!$B$14*((P32+Q32)/2)))^2/((DATOS!$B$14*((P32+Q32)/2))/(DATOS!$B$14+2*((P32+Q32)/2)))^(4/3)))*(A31-A32)))&lt;0,((P32+Q32)/2),P32)</f>
        <v/>
      </c>
      <c r="S32" s="16">
        <f>IF((((P32+Q32)/2)+(C32/(DATOS!$B$14*((P32+Q32)/2)))^2/(2*9.81)+B32-(E31+(C31/(DATOS!$B$14*E31))^2/(2*9.81)+B31+0.5*(((DATOS!$B$27*C31/(DATOS!$B$14*E31))^2/((DATOS!$B$14*E31)/(DATOS!$B$14+2*E31))^(4/3))+((DATOS!$B$27*C32/(DATOS!$B$14*((P32+Q32)/2)))^2/((DATOS!$B$14*((P32+Q32)/2))/(DATOS!$B$14+2*((P32+Q32)/2)))^(4/3)))*(A31-A32)))&lt;0,Q32,((P32+Q32)/2))</f>
        <v/>
      </c>
      <c r="T32" s="16">
        <f>IF((((R32+S32)/2)+(C32/(DATOS!$B$14*((R32+S32)/2)))^2/(2*9.81)+B32-(E31+(C31/(DATOS!$B$14*E31))^2/(2*9.81)+B31+0.5*(((DATOS!$B$27*C31/(DATOS!$B$14*E31))^2/((DATOS!$B$14*E31)/(DATOS!$B$14+2*E31))^(4/3))+((DATOS!$B$27*C32/(DATOS!$B$14*((R32+S32)/2)))^2/((DATOS!$B$14*((R32+S32)/2))/(DATOS!$B$14+2*((R32+S32)/2)))^(4/3)))*(A31-A32)))&lt;0,((R32+S32)/2),R32)</f>
        <v/>
      </c>
      <c r="U32" s="16">
        <f>IF((((R32+S32)/2)+(C32/(DATOS!$B$14*((R32+S32)/2)))^2/(2*9.81)+B32-(E31+(C31/(DATOS!$B$14*E31))^2/(2*9.81)+B31+0.5*(((DATOS!$B$27*C31/(DATOS!$B$14*E31))^2/((DATOS!$B$14*E31)/(DATOS!$B$14+2*E31))^(4/3))+((DATOS!$B$27*C32/(DATOS!$B$14*((R32+S32)/2)))^2/((DATOS!$B$14*((R32+S32)/2))/(DATOS!$B$14+2*((R32+S32)/2)))^(4/3)))*(A31-A32)))&lt;0,S32,((R32+S32)/2))</f>
        <v/>
      </c>
      <c r="V32" s="16">
        <f>IF((((T32+U32)/2)+(C32/(DATOS!$B$14*((T32+U32)/2)))^2/(2*9.81)+B32-(E31+(C31/(DATOS!$B$14*E31))^2/(2*9.81)+B31+0.5*(((DATOS!$B$27*C31/(DATOS!$B$14*E31))^2/((DATOS!$B$14*E31)/(DATOS!$B$14+2*E31))^(4/3))+((DATOS!$B$27*C32/(DATOS!$B$14*((T32+U32)/2)))^2/((DATOS!$B$14*((T32+U32)/2))/(DATOS!$B$14+2*((T32+U32)/2)))^(4/3)))*(A31-A32)))&lt;0,((T32+U32)/2),T32)</f>
        <v/>
      </c>
      <c r="W32" s="16">
        <f>IF((((T32+U32)/2)+(C32/(DATOS!$B$14*((T32+U32)/2)))^2/(2*9.81)+B32-(E31+(C31/(DATOS!$B$14*E31))^2/(2*9.81)+B31+0.5*(((DATOS!$B$27*C31/(DATOS!$B$14*E31))^2/((DATOS!$B$14*E31)/(DATOS!$B$14+2*E31))^(4/3))+((DATOS!$B$27*C32/(DATOS!$B$14*((T32+U32)/2)))^2/((DATOS!$B$14*((T32+U32)/2))/(DATOS!$B$14+2*((T32+U32)/2)))^(4/3)))*(A31-A32)))&lt;0,U32,((T32+U32)/2))</f>
        <v/>
      </c>
      <c r="X32" s="16">
        <f>IF((((V32+W32)/2)+(C32/(DATOS!$B$14*((V32+W32)/2)))^2/(2*9.81)+B32-(E31+(C31/(DATOS!$B$14*E31))^2/(2*9.81)+B31+0.5*(((DATOS!$B$27*C31/(DATOS!$B$14*E31))^2/((DATOS!$B$14*E31)/(DATOS!$B$14+2*E31))^(4/3))+((DATOS!$B$27*C32/(DATOS!$B$14*((V32+W32)/2)))^2/((DATOS!$B$14*((V32+W32)/2))/(DATOS!$B$14+2*((V32+W32)/2)))^(4/3)))*(A31-A32)))&lt;0,((V32+W32)/2),V32)</f>
        <v/>
      </c>
      <c r="Y32" s="16">
        <f>IF((((V32+W32)/2)+(C32/(DATOS!$B$14*((V32+W32)/2)))^2/(2*9.81)+B32-(E31+(C31/(DATOS!$B$14*E31))^2/(2*9.81)+B31+0.5*(((DATOS!$B$27*C31/(DATOS!$B$14*E31))^2/((DATOS!$B$14*E31)/(DATOS!$B$14+2*E31))^(4/3))+((DATOS!$B$27*C32/(DATOS!$B$14*((V32+W32)/2)))^2/((DATOS!$B$14*((V32+W32)/2))/(DATOS!$B$14+2*((V32+W32)/2)))^(4/3)))*(A31-A32)))&lt;0,W32,((V32+W32)/2))</f>
        <v/>
      </c>
      <c r="Z32" s="16">
        <f>IF((((X32+Y32)/2)+(C32/(DATOS!$B$14*((X32+Y32)/2)))^2/(2*9.81)+B32-(E31+(C31/(DATOS!$B$14*E31))^2/(2*9.81)+B31+0.5*(((DATOS!$B$27*C31/(DATOS!$B$14*E31))^2/((DATOS!$B$14*E31)/(DATOS!$B$14+2*E31))^(4/3))+((DATOS!$B$27*C32/(DATOS!$B$14*((X32+Y32)/2)))^2/((DATOS!$B$14*((X32+Y32)/2))/(DATOS!$B$14+2*((X32+Y32)/2)))^(4/3)))*(A31-A32)))&lt;0,((X32+Y32)/2),X32)</f>
        <v/>
      </c>
      <c r="AA32" s="16">
        <f>IF((((X32+Y32)/2)+(C32/(DATOS!$B$14*((X32+Y32)/2)))^2/(2*9.81)+B32-(E31+(C31/(DATOS!$B$14*E31))^2/(2*9.81)+B31+0.5*(((DATOS!$B$27*C31/(DATOS!$B$14*E31))^2/((DATOS!$B$14*E31)/(DATOS!$B$14+2*E31))^(4/3))+((DATOS!$B$27*C32/(DATOS!$B$14*((X32+Y32)/2)))^2/((DATOS!$B$14*((X32+Y32)/2))/(DATOS!$B$14+2*((X32+Y32)/2)))^(4/3)))*(A31-A32)))&lt;0,Y32,((X32+Y32)/2))</f>
        <v/>
      </c>
      <c r="AB32" s="16">
        <f>IF((((Z32+AA32)/2)+(C32/(DATOS!$B$14*((Z32+AA32)/2)))^2/(2*9.81)+B32-(E31+(C31/(DATOS!$B$14*E31))^2/(2*9.81)+B31+0.5*(((DATOS!$B$27*C31/(DATOS!$B$14*E31))^2/((DATOS!$B$14*E31)/(DATOS!$B$14+2*E31))^(4/3))+((DATOS!$B$27*C32/(DATOS!$B$14*((Z32+AA32)/2)))^2/((DATOS!$B$14*((Z32+AA32)/2))/(DATOS!$B$14+2*((Z32+AA32)/2)))^(4/3)))*(A31-A32)))&lt;0,((Z32+AA32)/2),Z32)</f>
        <v/>
      </c>
      <c r="AC32" s="16">
        <f>IF((((Z32+AA32)/2)+(C32/(DATOS!$B$14*((Z32+AA32)/2)))^2/(2*9.81)+B32-(E31+(C31/(DATOS!$B$14*E31))^2/(2*9.81)+B31+0.5*(((DATOS!$B$27*C31/(DATOS!$B$14*E31))^2/((DATOS!$B$14*E31)/(DATOS!$B$14+2*E31))^(4/3))+((DATOS!$B$27*C32/(DATOS!$B$14*((Z32+AA32)/2)))^2/((DATOS!$B$14*((Z32+AA32)/2))/(DATOS!$B$14+2*((Z32+AA32)/2)))^(4/3)))*(A31-A32)))&lt;0,AA32,((Z32+AA32)/2))</f>
        <v/>
      </c>
      <c r="AD32" s="16">
        <f>IF((((AB32+AC32)/2)+(C32/(DATOS!$B$14*((AB32+AC32)/2)))^2/(2*9.81)+B32-(E31+(C31/(DATOS!$B$14*E31))^2/(2*9.81)+B31+0.5*(((DATOS!$B$27*C31/(DATOS!$B$14*E31))^2/((DATOS!$B$14*E31)/(DATOS!$B$14+2*E31))^(4/3))+((DATOS!$B$27*C32/(DATOS!$B$14*((AB32+AC32)/2)))^2/((DATOS!$B$14*((AB32+AC32)/2))/(DATOS!$B$14+2*((AB32+AC32)/2)))^(4/3)))*(A31-A32)))&lt;0,((AB32+AC32)/2),AB32)</f>
        <v/>
      </c>
      <c r="AE32" s="16">
        <f>IF((((AB32+AC32)/2)+(C32/(DATOS!$B$14*((AB32+AC32)/2)))^2/(2*9.81)+B32-(E31+(C31/(DATOS!$B$14*E31))^2/(2*9.81)+B31+0.5*(((DATOS!$B$27*C31/(DATOS!$B$14*E31))^2/((DATOS!$B$14*E31)/(DATOS!$B$14+2*E31))^(4/3))+((DATOS!$B$27*C32/(DATOS!$B$14*((AB32+AC32)/2)))^2/((DATOS!$B$14*((AB32+AC32)/2))/(DATOS!$B$14+2*((AB32+AC32)/2)))^(4/3)))*(A31-A32)))&lt;0,AC32,((AB32+AC32)/2))</f>
        <v/>
      </c>
      <c r="AF32" s="16">
        <f>IF((((AD32+AE32)/2)+(C32/(DATOS!$B$14*((AD32+AE32)/2)))^2/(2*9.81)+B32-(E31+(C31/(DATOS!$B$14*E31))^2/(2*9.81)+B31+0.5*(((DATOS!$B$27*C31/(DATOS!$B$14*E31))^2/((DATOS!$B$14*E31)/(DATOS!$B$14+2*E31))^(4/3))+((DATOS!$B$27*C32/(DATOS!$B$14*((AD32+AE32)/2)))^2/((DATOS!$B$14*((AD32+AE32)/2))/(DATOS!$B$14+2*((AD32+AE32)/2)))^(4/3)))*(A31-A32)))&lt;0,((AD32+AE32)/2),AD32)</f>
        <v/>
      </c>
      <c r="AG32" s="16">
        <f>IF((((AD32+AE32)/2)+(C32/(DATOS!$B$14*((AD32+AE32)/2)))^2/(2*9.81)+B32-(E31+(C31/(DATOS!$B$14*E31))^2/(2*9.81)+B31+0.5*(((DATOS!$B$27*C31/(DATOS!$B$14*E31))^2/((DATOS!$B$14*E31)/(DATOS!$B$14+2*E31))^(4/3))+((DATOS!$B$27*C32/(DATOS!$B$14*((AD32+AE32)/2)))^2/((DATOS!$B$14*((AD32+AE32)/2))/(DATOS!$B$14+2*((AD32+AE32)/2)))^(4/3)))*(A31-A32)))&lt;0,AE32,((AD32+AE32)/2))</f>
        <v/>
      </c>
      <c r="AH32" s="16">
        <f>IF((((AF32+AG32)/2)+(C32/(DATOS!$B$14*((AF32+AG32)/2)))^2/(2*9.81)+B32-(E31+(C31/(DATOS!$B$14*E31))^2/(2*9.81)+B31+0.5*(((DATOS!$B$27*C31/(DATOS!$B$14*E31))^2/((DATOS!$B$14*E31)/(DATOS!$B$14+2*E31))^(4/3))+((DATOS!$B$27*C32/(DATOS!$B$14*((AF32+AG32)/2)))^2/((DATOS!$B$14*((AF32+AG32)/2))/(DATOS!$B$14+2*((AF32+AG32)/2)))^(4/3)))*(A31-A32)))&lt;0,((AF32+AG32)/2),AF32)</f>
        <v/>
      </c>
      <c r="AI32" s="16">
        <f>IF((((AF32+AG32)/2)+(C32/(DATOS!$B$14*((AF32+AG32)/2)))^2/(2*9.81)+B32-(E31+(C31/(DATOS!$B$14*E31))^2/(2*9.81)+B31+0.5*(((DATOS!$B$27*C31/(DATOS!$B$14*E31))^2/((DATOS!$B$14*E31)/(DATOS!$B$14+2*E31))^(4/3))+((DATOS!$B$27*C32/(DATOS!$B$14*((AF32+AG32)/2)))^2/((DATOS!$B$14*((AF32+AG32)/2))/(DATOS!$B$14+2*((AF32+AG32)/2)))^(4/3)))*(A31-A32)))&lt;0,AG32,((AF32+AG32)/2))</f>
        <v/>
      </c>
      <c r="AJ32" s="16">
        <f>IF((((AH32+AI32)/2)+(C32/(DATOS!$B$14*((AH32+AI32)/2)))^2/(2*9.81)+B32-(E31+(C31/(DATOS!$B$14*E31))^2/(2*9.81)+B31+0.5*(((DATOS!$B$27*C31/(DATOS!$B$14*E31))^2/((DATOS!$B$14*E31)/(DATOS!$B$14+2*E31))^(4/3))+((DATOS!$B$27*C32/(DATOS!$B$14*((AH32+AI32)/2)))^2/((DATOS!$B$14*((AH32+AI32)/2))/(DATOS!$B$14+2*((AH32+AI32)/2)))^(4/3)))*(A31-A32)))&lt;0,((AH32+AI32)/2),AH32)</f>
        <v/>
      </c>
      <c r="AK32" s="16">
        <f>IF((((AH32+AI32)/2)+(C32/(DATOS!$B$14*((AH32+AI32)/2)))^2/(2*9.81)+B32-(E31+(C31/(DATOS!$B$14*E31))^2/(2*9.81)+B31+0.5*(((DATOS!$B$27*C31/(DATOS!$B$14*E31))^2/((DATOS!$B$14*E31)/(DATOS!$B$14+2*E31))^(4/3))+((DATOS!$B$27*C32/(DATOS!$B$14*((AH32+AI32)/2)))^2/((DATOS!$B$14*((AH32+AI32)/2))/(DATOS!$B$14+2*((AH32+AI32)/2)))^(4/3)))*(A31-A32)))&lt;0,AI32,((AH32+AI32)/2))</f>
        <v/>
      </c>
      <c r="AL32" s="16">
        <f>IF((((AJ32+AK32)/2)+(C32/(DATOS!$B$14*((AJ32+AK32)/2)))^2/(2*9.81)+B32-(E31+(C31/(DATOS!$B$14*E31))^2/(2*9.81)+B31+0.5*(((DATOS!$B$27*C31/(DATOS!$B$14*E31))^2/((DATOS!$B$14*E31)/(DATOS!$B$14+2*E31))^(4/3))+((DATOS!$B$27*C32/(DATOS!$B$14*((AJ32+AK32)/2)))^2/((DATOS!$B$14*((AJ32+AK32)/2))/(DATOS!$B$14+2*((AJ32+AK32)/2)))^(4/3)))*(A31-A32)))&lt;0,((AJ32+AK32)/2),AJ32)</f>
        <v/>
      </c>
      <c r="AM32" s="16">
        <f>IF((((AJ32+AK32)/2)+(C32/(DATOS!$B$14*((AJ32+AK32)/2)))^2/(2*9.81)+B32-(E31+(C31/(DATOS!$B$14*E31))^2/(2*9.81)+B31+0.5*(((DATOS!$B$27*C31/(DATOS!$B$14*E31))^2/((DATOS!$B$14*E31)/(DATOS!$B$14+2*E31))^(4/3))+((DATOS!$B$27*C32/(DATOS!$B$14*((AJ32+AK32)/2)))^2/((DATOS!$B$14*((AJ32+AK32)/2))/(DATOS!$B$14+2*((AJ32+AK32)/2)))^(4/3)))*(A31-A32)))&lt;0,AK32,((AJ32+AK32)/2))</f>
        <v/>
      </c>
      <c r="AN32" s="16">
        <f>IF((((AL32+AM32)/2)+(C32/(DATOS!$B$14*((AL32+AM32)/2)))^2/(2*9.81)+B32-(E31+(C31/(DATOS!$B$14*E31))^2/(2*9.81)+B31+0.5*(((DATOS!$B$27*C31/(DATOS!$B$14*E31))^2/((DATOS!$B$14*E31)/(DATOS!$B$14+2*E31))^(4/3))+((DATOS!$B$27*C32/(DATOS!$B$14*((AL32+AM32)/2)))^2/((DATOS!$B$14*((AL32+AM32)/2))/(DATOS!$B$14+2*((AL32+AM32)/2)))^(4/3)))*(A31-A32)))&lt;0,((AL32+AM32)/2),AL32)</f>
        <v/>
      </c>
      <c r="AO32" s="16">
        <f>IF((((AL32+AM32)/2)+(C32/(DATOS!$B$14*((AL32+AM32)/2)))^2/(2*9.81)+B32-(E31+(C31/(DATOS!$B$14*E31))^2/(2*9.81)+B31+0.5*(((DATOS!$B$27*C31/(DATOS!$B$14*E31))^2/((DATOS!$B$14*E31)/(DATOS!$B$14+2*E31))^(4/3))+((DATOS!$B$27*C32/(DATOS!$B$14*((AL32+AM32)/2)))^2/((DATOS!$B$14*((AL32+AM32)/2))/(DATOS!$B$14+2*((AL32+AM32)/2)))^(4/3)))*(A31-A32)))&lt;0,AM32,((AL32+AM32)/2))</f>
        <v/>
      </c>
      <c r="AP32" s="16">
        <f>IF((((AN32+AO32)/2)+(C32/(DATOS!$B$14*((AN32+AO32)/2)))^2/(2*9.81)+B32-(E31+(C31/(DATOS!$B$14*E31))^2/(2*9.81)+B31+0.5*(((DATOS!$B$27*C31/(DATOS!$B$14*E31))^2/((DATOS!$B$14*E31)/(DATOS!$B$14+2*E31))^(4/3))+((DATOS!$B$27*C32/(DATOS!$B$14*((AN32+AO32)/2)))^2/((DATOS!$B$14*((AN32+AO32)/2))/(DATOS!$B$14+2*((AN32+AO32)/2)))^(4/3)))*(A31-A32)))&lt;0,((AN32+AO32)/2),AN32)</f>
        <v/>
      </c>
      <c r="AQ32" s="16">
        <f>IF((((AN32+AO32)/2)+(C32/(DATOS!$B$14*((AN32+AO32)/2)))^2/(2*9.81)+B32-(E31+(C31/(DATOS!$B$14*E31))^2/(2*9.81)+B31+0.5*(((DATOS!$B$27*C31/(DATOS!$B$14*E31))^2/((DATOS!$B$14*E31)/(DATOS!$B$14+2*E31))^(4/3))+((DATOS!$B$27*C32/(DATOS!$B$14*((AN32+AO32)/2)))^2/((DATOS!$B$14*((AN32+AO32)/2))/(DATOS!$B$14+2*((AN32+AO32)/2)))^(4/3)))*(A31-A32)))&lt;0,AO32,((AN32+AO32)/2))</f>
        <v/>
      </c>
      <c r="AR32" s="16">
        <f>IF((((AP32+AQ32)/2)+(C32/(DATOS!$B$14*((AP32+AQ32)/2)))^2/(2*9.81)+B32-(E31+(C31/(DATOS!$B$14*E31))^2/(2*9.81)+B31+0.5*(((DATOS!$B$27*C31/(DATOS!$B$14*E31))^2/((DATOS!$B$14*E31)/(DATOS!$B$14+2*E31))^(4/3))+((DATOS!$B$27*C32/(DATOS!$B$14*((AP32+AQ32)/2)))^2/((DATOS!$B$14*((AP32+AQ32)/2))/(DATOS!$B$14+2*((AP32+AQ32)/2)))^(4/3)))*(A31-A32)))&lt;0,((AP32+AQ32)/2),AP32)</f>
        <v/>
      </c>
      <c r="AS32" s="16">
        <f>IF((((AP32+AQ32)/2)+(C32/(DATOS!$B$14*((AP32+AQ32)/2)))^2/(2*9.81)+B32-(E31+(C31/(DATOS!$B$14*E31))^2/(2*9.81)+B31+0.5*(((DATOS!$B$27*C31/(DATOS!$B$14*E31))^2/((DATOS!$B$14*E31)/(DATOS!$B$14+2*E31))^(4/3))+((DATOS!$B$27*C32/(DATOS!$B$14*((AP32+AQ32)/2)))^2/((DATOS!$B$14*((AP32+AQ32)/2))/(DATOS!$B$14+2*((AP32+AQ32)/2)))^(4/3)))*(A31-A32)))&lt;0,AQ32,((AP32+AQ32)/2))</f>
        <v/>
      </c>
      <c r="AT32" s="16">
        <f>IF((((AR32+AS32)/2)+(C32/(DATOS!$B$14*((AR32+AS32)/2)))^2/(2*9.81)+B32-(E31+(C31/(DATOS!$B$14*E31))^2/(2*9.81)+B31+0.5*(((DATOS!$B$27*C31/(DATOS!$B$14*E31))^2/((DATOS!$B$14*E31)/(DATOS!$B$14+2*E31))^(4/3))+((DATOS!$B$27*C32/(DATOS!$B$14*((AR32+AS32)/2)))^2/((DATOS!$B$14*((AR32+AS32)/2))/(DATOS!$B$14+2*((AR32+AS32)/2)))^(4/3)))*(A31-A32)))&lt;0,((AR32+AS32)/2),AR32)</f>
        <v/>
      </c>
      <c r="AU32" s="16">
        <f>IF((((AR32+AS32)/2)+(C32/(DATOS!$B$14*((AR32+AS32)/2)))^2/(2*9.81)+B32-(E31+(C31/(DATOS!$B$14*E31))^2/(2*9.81)+B31+0.5*(((DATOS!$B$27*C31/(DATOS!$B$14*E31))^2/((DATOS!$B$14*E31)/(DATOS!$B$14+2*E31))^(4/3))+((DATOS!$B$27*C32/(DATOS!$B$14*((AR32+AS32)/2)))^2/((DATOS!$B$14*((AR32+AS32)/2))/(DATOS!$B$14+2*((AR32+AS32)/2)))^(4/3)))*(A31-A32)))&lt;0,AS32,((AR32+AS32)/2))</f>
        <v/>
      </c>
      <c r="AV32" s="16">
        <f>IF((((AT32+AU32)/2)+(C32/(DATOS!$B$14*((AT32+AU32)/2)))^2/(2*9.81)+B32-(E31+(C31/(DATOS!$B$14*E31))^2/(2*9.81)+B31+0.5*(((DATOS!$B$27*C31/(DATOS!$B$14*E31))^2/((DATOS!$B$14*E31)/(DATOS!$B$14+2*E31))^(4/3))+((DATOS!$B$27*C32/(DATOS!$B$14*((AT32+AU32)/2)))^2/((DATOS!$B$14*((AT32+AU32)/2))/(DATOS!$B$14+2*((AT32+AU32)/2)))^(4/3)))*(A31-A32)))&lt;0,((AT32+AU32)/2),AT32)</f>
        <v/>
      </c>
      <c r="AW32" s="16">
        <f>IF((((AT32+AU32)/2)+(C32/(DATOS!$B$14*((AT32+AU32)/2)))^2/(2*9.81)+B32-(E31+(C31/(DATOS!$B$14*E31))^2/(2*9.81)+B31+0.5*(((DATOS!$B$27*C31/(DATOS!$B$14*E31))^2/((DATOS!$B$14*E31)/(DATOS!$B$14+2*E31))^(4/3))+((DATOS!$B$27*C32/(DATOS!$B$14*((AT32+AU32)/2)))^2/((DATOS!$B$14*((AT32+AU32)/2))/(DATOS!$B$14+2*((AT32+AU32)/2)))^(4/3)))*(A31-A32)))&lt;0,AU32,((AT32+AU32)/2))</f>
        <v/>
      </c>
      <c r="AX32" s="16">
        <f>IF((((AV32+AW32)/2)+(C32/(DATOS!$B$14*((AV32+AW32)/2)))^2/(2*9.81)+B32-(E31+(C31/(DATOS!$B$14*E31))^2/(2*9.81)+B31+0.5*(((DATOS!$B$27*C31/(DATOS!$B$14*E31))^2/((DATOS!$B$14*E31)/(DATOS!$B$14+2*E31))^(4/3))+((DATOS!$B$27*C32/(DATOS!$B$14*((AV32+AW32)/2)))^2/((DATOS!$B$14*((AV32+AW32)/2))/(DATOS!$B$14+2*((AV32+AW32)/2)))^(4/3)))*(A31-A32)))&lt;0,((AV32+AW32)/2),AV32)</f>
        <v/>
      </c>
      <c r="AY32" s="16">
        <f>IF((((AV32+AW32)/2)+(C32/(DATOS!$B$14*((AV32+AW32)/2)))^2/(2*9.81)+B32-(E31+(C31/(DATOS!$B$14*E31))^2/(2*9.81)+B31+0.5*(((DATOS!$B$27*C31/(DATOS!$B$14*E31))^2/((DATOS!$B$14*E31)/(DATOS!$B$14+2*E31))^(4/3))+((DATOS!$B$27*C32/(DATOS!$B$14*((AV32+AW32)/2)))^2/((DATOS!$B$14*((AV32+AW32)/2))/(DATOS!$B$14+2*((AV32+AW32)/2)))^(4/3)))*(A31-A32)))&lt;0,AW32,((AV32+AW32)/2))</f>
        <v/>
      </c>
      <c r="AZ32" s="16">
        <f>IF((((AX32+AY32)/2)+(C32/(DATOS!$B$14*((AX32+AY32)/2)))^2/(2*9.81)+B32-(E31+(C31/(DATOS!$B$14*E31))^2/(2*9.81)+B31+0.5*(((DATOS!$B$27*C31/(DATOS!$B$14*E31))^2/((DATOS!$B$14*E31)/(DATOS!$B$14+2*E31))^(4/3))+((DATOS!$B$27*C32/(DATOS!$B$14*((AX32+AY32)/2)))^2/((DATOS!$B$14*((AX32+AY32)/2))/(DATOS!$B$14+2*((AX32+AY32)/2)))^(4/3)))*(A31-A32)))&lt;0,((AX32+AY32)/2),AX32)</f>
        <v/>
      </c>
      <c r="BA32" s="16">
        <f>IF((((AX32+AY32)/2)+(C32/(DATOS!$B$14*((AX32+AY32)/2)))^2/(2*9.81)+B32-(E31+(C31/(DATOS!$B$14*E31))^2/(2*9.81)+B31+0.5*(((DATOS!$B$27*C31/(DATOS!$B$14*E31))^2/((DATOS!$B$14*E31)/(DATOS!$B$14+2*E31))^(4/3))+((DATOS!$B$27*C32/(DATOS!$B$14*((AX32+AY32)/2)))^2/((DATOS!$B$14*((AX32+AY32)/2))/(DATOS!$B$14+2*((AX32+AY32)/2)))^(4/3)))*(A31-A32)))&lt;0,AY32,((AX32+AY32)/2))</f>
        <v/>
      </c>
      <c r="BB32" s="16">
        <f>IF((((AZ32+BA32)/2)+(C32/(DATOS!$B$14*((AZ32+BA32)/2)))^2/(2*9.81)+B32-(E31+(C31/(DATOS!$B$14*E31))^2/(2*9.81)+B31+0.5*(((DATOS!$B$27*C31/(DATOS!$B$14*E31))^2/((DATOS!$B$14*E31)/(DATOS!$B$14+2*E31))^(4/3))+((DATOS!$B$27*C32/(DATOS!$B$14*((AZ32+BA32)/2)))^2/((DATOS!$B$14*((AZ32+BA32)/2))/(DATOS!$B$14+2*((AZ32+BA32)/2)))^(4/3)))*(A31-A32)))&lt;0,((AZ32+BA32)/2),AZ32)</f>
        <v/>
      </c>
      <c r="BC32" s="16">
        <f>IF((((AZ32+BA32)/2)+(C32/(DATOS!$B$14*((AZ32+BA32)/2)))^2/(2*9.81)+B32-(E31+(C31/(DATOS!$B$14*E31))^2/(2*9.81)+B31+0.5*(((DATOS!$B$27*C31/(DATOS!$B$14*E31))^2/((DATOS!$B$14*E31)/(DATOS!$B$14+2*E31))^(4/3))+((DATOS!$B$27*C32/(DATOS!$B$14*((AZ32+BA32)/2)))^2/((DATOS!$B$14*((AZ32+BA32)/2))/(DATOS!$B$14+2*((AZ32+BA32)/2)))^(4/3)))*(A31-A32)))&lt;0,BA32,((AZ32+BA32)/2))</f>
        <v/>
      </c>
      <c r="BD32" s="16">
        <f>IF((((BB32+BC32)/2)+(C32/(DATOS!$B$14*((BB32+BC32)/2)))^2/(2*9.81)+B32-(E31+(C31/(DATOS!$B$14*E31))^2/(2*9.81)+B31+0.5*(((DATOS!$B$27*C31/(DATOS!$B$14*E31))^2/((DATOS!$B$14*E31)/(DATOS!$B$14+2*E31))^(4/3))+((DATOS!$B$27*C32/(DATOS!$B$14*((BB32+BC32)/2)))^2/((DATOS!$B$14*((BB32+BC32)/2))/(DATOS!$B$14+2*((BB32+BC32)/2)))^(4/3)))*(A31-A32)))&lt;0,((BB32+BC32)/2),BB32)</f>
        <v/>
      </c>
      <c r="BE32" s="16">
        <f>IF((((BB32+BC32)/2)+(C32/(DATOS!$B$14*((BB32+BC32)/2)))^2/(2*9.81)+B32-(E31+(C31/(DATOS!$B$14*E31))^2/(2*9.81)+B31+0.5*(((DATOS!$B$27*C31/(DATOS!$B$14*E31))^2/((DATOS!$B$14*E31)/(DATOS!$B$14+2*E31))^(4/3))+((DATOS!$B$27*C32/(DATOS!$B$14*((BB32+BC32)/2)))^2/((DATOS!$B$14*((BB32+BC32)/2))/(DATOS!$B$14+2*((BB32+BC32)/2)))^(4/3)))*(A31-A32)))&lt;0,BC32,((BB32+BC32)/2))</f>
        <v/>
      </c>
      <c r="BF32" s="16">
        <f>IF((((BD32+BE32)/2)+(C32/(DATOS!$B$14*((BD32+BE32)/2)))^2/(2*9.81)+B32-(E31+(C31/(DATOS!$B$14*E31))^2/(2*9.81)+B31+0.5*(((DATOS!$B$27*C31/(DATOS!$B$14*E31))^2/((DATOS!$B$14*E31)/(DATOS!$B$14+2*E31))^(4/3))+((DATOS!$B$27*C32/(DATOS!$B$14*((BD32+BE32)/2)))^2/((DATOS!$B$14*((BD32+BE32)/2))/(DATOS!$B$14+2*((BD32+BE32)/2)))^(4/3)))*(A31-A32)))&lt;0,((BD32+BE32)/2),BD32)</f>
        <v/>
      </c>
      <c r="BG32" s="16">
        <f>IF((((BD32+BE32)/2)+(C32/(DATOS!$B$14*((BD32+BE32)/2)))^2/(2*9.81)+B32-(E31+(C31/(DATOS!$B$14*E31))^2/(2*9.81)+B31+0.5*(((DATOS!$B$27*C31/(DATOS!$B$14*E31))^2/((DATOS!$B$14*E31)/(DATOS!$B$14+2*E31))^(4/3))+((DATOS!$B$27*C32/(DATOS!$B$14*((BD32+BE32)/2)))^2/((DATOS!$B$14*((BD32+BE32)/2))/(DATOS!$B$14+2*((BD32+BE32)/2)))^(4/3)))*(A31-A32)))&lt;0,BE32,((BD32+BE32)/2))</f>
        <v/>
      </c>
      <c r="BH32" s="16">
        <f>IF((((BF32+BG32)/2)+(C32/(DATOS!$B$14*((BF32+BG32)/2)))^2/(2*9.81)+B32-(E31+(C31/(DATOS!$B$14*E31))^2/(2*9.81)+B31+0.5*(((DATOS!$B$27*C31/(DATOS!$B$14*E31))^2/((DATOS!$B$14*E31)/(DATOS!$B$14+2*E31))^(4/3))+((DATOS!$B$27*C32/(DATOS!$B$14*((BF32+BG32)/2)))^2/((DATOS!$B$14*((BF32+BG32)/2))/(DATOS!$B$14+2*((BF32+BG32)/2)))^(4/3)))*(A31-A32)))&lt;0,((BF32+BG32)/2),BF32)</f>
        <v/>
      </c>
      <c r="BI32" s="16">
        <f>IF((((BF32+BG32)/2)+(C32/(DATOS!$B$14*((BF32+BG32)/2)))^2/(2*9.81)+B32-(E31+(C31/(DATOS!$B$14*E31))^2/(2*9.81)+B31+0.5*(((DATOS!$B$27*C31/(DATOS!$B$14*E31))^2/((DATOS!$B$14*E31)/(DATOS!$B$14+2*E31))^(4/3))+((DATOS!$B$27*C32/(DATOS!$B$14*((BF32+BG32)/2)))^2/((DATOS!$B$14*((BF32+BG32)/2))/(DATOS!$B$14+2*((BF32+BG32)/2)))^(4/3)))*(A31-A32)))&lt;0,BG32,((BF32+BG32)/2))</f>
        <v/>
      </c>
      <c r="BJ32" s="16">
        <f>IF((((BH32+BI32)/2)+(C32/(DATOS!$B$14*((BH32+BI32)/2)))^2/(2*9.81)+B32-(E31+(C31/(DATOS!$B$14*E31))^2/(2*9.81)+B31+0.5*(((DATOS!$B$27*C31/(DATOS!$B$14*E31))^2/((DATOS!$B$14*E31)/(DATOS!$B$14+2*E31))^(4/3))+((DATOS!$B$27*C32/(DATOS!$B$14*((BH32+BI32)/2)))^2/((DATOS!$B$14*((BH32+BI32)/2))/(DATOS!$B$14+2*((BH32+BI32)/2)))^(4/3)))*(A31-A32)))&lt;0,((BH32+BI32)/2),BH32)</f>
        <v/>
      </c>
      <c r="BK32" s="16">
        <f>IF((((BH32+BI32)/2)+(C32/(DATOS!$B$14*((BH32+BI32)/2)))^2/(2*9.81)+B32-(E31+(C31/(DATOS!$B$14*E31))^2/(2*9.81)+B31+0.5*(((DATOS!$B$27*C31/(DATOS!$B$14*E31))^2/((DATOS!$B$14*E31)/(DATOS!$B$14+2*E31))^(4/3))+((DATOS!$B$27*C32/(DATOS!$B$14*((BH32+BI32)/2)))^2/((DATOS!$B$14*((BH32+BI32)/2))/(DATOS!$B$14+2*((BH32+BI32)/2)))^(4/3)))*(A31-A32)))&lt;0,BI32,((BH32+BI32)/2))</f>
        <v/>
      </c>
      <c r="BL32" s="16">
        <f>IF((((BJ32+BK32)/2)+(C32/(DATOS!$B$14*((BJ32+BK32)/2)))^2/(2*9.81)+B32-(E31+(C31/(DATOS!$B$14*E31))^2/(2*9.81)+B31+0.5*(((DATOS!$B$27*C31/(DATOS!$B$14*E31))^2/((DATOS!$B$14*E31)/(DATOS!$B$14+2*E31))^(4/3))+((DATOS!$B$27*C32/(DATOS!$B$14*((BJ32+BK32)/2)))^2/((DATOS!$B$14*((BJ32+BK32)/2))/(DATOS!$B$14+2*((BJ32+BK32)/2)))^(4/3)))*(A31-A32)))&lt;0,((BJ32+BK32)/2),BJ32)</f>
        <v/>
      </c>
      <c r="BM32" s="16">
        <f>IF((((BJ32+BK32)/2)+(C32/(DATOS!$B$14*((BJ32+BK32)/2)))^2/(2*9.81)+B32-(E31+(C31/(DATOS!$B$14*E31))^2/(2*9.81)+B31+0.5*(((DATOS!$B$27*C31/(DATOS!$B$14*E31))^2/((DATOS!$B$14*E31)/(DATOS!$B$14+2*E31))^(4/3))+((DATOS!$B$27*C32/(DATOS!$B$14*((BJ32+BK32)/2)))^2/((DATOS!$B$14*((BJ32+BK32)/2))/(DATOS!$B$14+2*((BJ32+BK32)/2)))^(4/3)))*(A31-A32)))&lt;0,BK32,((BJ32+BK32)/2))</f>
        <v/>
      </c>
      <c r="BN32" s="16">
        <f>IF((((BL32+BM32)/2)+(C32/(DATOS!$B$14*((BL32+BM32)/2)))^2/(2*9.81)+B32-(E31+(C31/(DATOS!$B$14*E31))^2/(2*9.81)+B31+0.5*(((DATOS!$B$27*C31/(DATOS!$B$14*E31))^2/((DATOS!$B$14*E31)/(DATOS!$B$14+2*E31))^(4/3))+((DATOS!$B$27*C32/(DATOS!$B$14*((BL32+BM32)/2)))^2/((DATOS!$B$14*((BL32+BM32)/2))/(DATOS!$B$14+2*((BL32+BM32)/2)))^(4/3)))*(A31-A32)))&lt;0,((BL32+BM32)/2),BL32)</f>
        <v/>
      </c>
      <c r="BO32" s="16">
        <f>IF((((BL32+BM32)/2)+(C32/(DATOS!$B$14*((BL32+BM32)/2)))^2/(2*9.81)+B32-(E31+(C31/(DATOS!$B$14*E31))^2/(2*9.81)+B31+0.5*(((DATOS!$B$27*C31/(DATOS!$B$14*E31))^2/((DATOS!$B$14*E31)/(DATOS!$B$14+2*E31))^(4/3))+((DATOS!$B$27*C32/(DATOS!$B$14*((BL32+BM32)/2)))^2/((DATOS!$B$14*((BL32+BM32)/2))/(DATOS!$B$14+2*((BL32+BM32)/2)))^(4/3)))*(A31-A32)))&lt;0,BM32,((BL32+BM32)/2))</f>
        <v/>
      </c>
      <c r="BP32" s="16">
        <f>IF((((BN32+BO32)/2)+(C32/(DATOS!$B$14*((BN32+BO32)/2)))^2/(2*9.81)+B32-(E31+(C31/(DATOS!$B$14*E31))^2/(2*9.81)+B31+0.5*(((DATOS!$B$27*C31/(DATOS!$B$14*E31))^2/((DATOS!$B$14*E31)/(DATOS!$B$14+2*E31))^(4/3))+((DATOS!$B$27*C32/(DATOS!$B$14*((BN32+BO32)/2)))^2/((DATOS!$B$14*((BN32+BO32)/2))/(DATOS!$B$14+2*((BN32+BO32)/2)))^(4/3)))*(A31-A32)))&lt;0,((BN32+BO32)/2),BN32)</f>
        <v/>
      </c>
      <c r="BQ32" s="16">
        <f>IF((((BN32+BO32)/2)+(C32/(DATOS!$B$14*((BN32+BO32)/2)))^2/(2*9.81)+B32-(E31+(C31/(DATOS!$B$14*E31))^2/(2*9.81)+B31+0.5*(((DATOS!$B$27*C31/(DATOS!$B$14*E31))^2/((DATOS!$B$14*E31)/(DATOS!$B$14+2*E31))^(4/3))+((DATOS!$B$27*C32/(DATOS!$B$14*((BN32+BO32)/2)))^2/((DATOS!$B$14*((BN32+BO32)/2))/(DATOS!$B$14+2*((BN32+BO32)/2)))^(4/3)))*(A31-A32)))&lt;0,BO32,((BN32+BO32)/2))</f>
        <v/>
      </c>
      <c r="BR32" s="16">
        <f>IF((((BP32+BQ32)/2)+(C32/(DATOS!$B$14*((BP32+BQ32)/2)))^2/(2*9.81)+B32-(E31+(C31/(DATOS!$B$14*E31))^2/(2*9.81)+B31+0.5*(((DATOS!$B$27*C31/(DATOS!$B$14*E31))^2/((DATOS!$B$14*E31)/(DATOS!$B$14+2*E31))^(4/3))+((DATOS!$B$27*C32/(DATOS!$B$14*((BP32+BQ32)/2)))^2/((DATOS!$B$14*((BP32+BQ32)/2))/(DATOS!$B$14+2*((BP32+BQ32)/2)))^(4/3)))*(A31-A32)))&lt;0,((BP32+BQ32)/2),BP32)</f>
        <v/>
      </c>
      <c r="BS32" s="16">
        <f>IF((((BP32+BQ32)/2)+(C32/(DATOS!$B$14*((BP32+BQ32)/2)))^2/(2*9.81)+B32-(E31+(C31/(DATOS!$B$14*E31))^2/(2*9.81)+B31+0.5*(((DATOS!$B$27*C31/(DATOS!$B$14*E31))^2/((DATOS!$B$14*E31)/(DATOS!$B$14+2*E31))^(4/3))+((DATOS!$B$27*C32/(DATOS!$B$14*((BP32+BQ32)/2)))^2/((DATOS!$B$14*((BP32+BQ32)/2))/(DATOS!$B$14+2*((BP32+BQ32)/2)))^(4/3)))*(A31-A32)))&lt;0,BQ32,((BP32+BQ32)/2))</f>
        <v/>
      </c>
      <c r="BT32" s="16">
        <f>IF((((BR32+BS32)/2)+(C32/(DATOS!$B$14*((BR32+BS32)/2)))^2/(2*9.81)+B32-(E31+(C31/(DATOS!$B$14*E31))^2/(2*9.81)+B31+0.5*(((DATOS!$B$27*C31/(DATOS!$B$14*E31))^2/((DATOS!$B$14*E31)/(DATOS!$B$14+2*E31))^(4/3))+((DATOS!$B$27*C32/(DATOS!$B$14*((BR32+BS32)/2)))^2/((DATOS!$B$14*((BR32+BS32)/2))/(DATOS!$B$14+2*((BR32+BS32)/2)))^(4/3)))*(A31-A32)))&lt;0,((BR32+BS32)/2),BR32)</f>
        <v/>
      </c>
      <c r="BU32" s="16">
        <f>IF((((BR32+BS32)/2)+(C32/(DATOS!$B$14*((BR32+BS32)/2)))^2/(2*9.81)+B32-(E31+(C31/(DATOS!$B$14*E31))^2/(2*9.81)+B31+0.5*(((DATOS!$B$27*C31/(DATOS!$B$14*E31))^2/((DATOS!$B$14*E31)/(DATOS!$B$14+2*E31))^(4/3))+((DATOS!$B$27*C32/(DATOS!$B$14*((BR32+BS32)/2)))^2/((DATOS!$B$14*((BR32+BS32)/2))/(DATOS!$B$14+2*((BR32+BS32)/2)))^(4/3)))*(A31-A32)))&lt;0,BS32,((BR32+BS32)/2))</f>
        <v/>
      </c>
    </row>
    <row r="33">
      <c r="A33" s="30" t="n">
        <v>84</v>
      </c>
      <c r="B33" s="21">
        <f>DATOS!$B$16-DATOS!$B$19*A33</f>
        <v/>
      </c>
      <c r="C33" s="21">
        <f>IF(A33&lt;CAUDALES!$B$13,CAUDALES!$D$12,IF(A33&lt;CAUDALES!$B$14,CAUDALES!$D$13,IF(A33&lt;CAUDALES!$B$15,CAUDALES!$D$14,CAUDALES!$D$15)))/1000</f>
        <v/>
      </c>
      <c r="D33" s="21">
        <f>(C33^2/(9.81*DATOS!$B$14^2))^(1/3)</f>
        <v/>
      </c>
      <c r="E33" s="29">
        <f>(BT33+BU33)/2</f>
        <v/>
      </c>
      <c r="F33" s="21">
        <f>B33+E33</f>
        <v/>
      </c>
      <c r="G33" s="17">
        <f>C33/(DATOS!$B$14*E33)</f>
        <v/>
      </c>
      <c r="H33" s="17">
        <f>G33/SQRT(9.81*E33)</f>
        <v/>
      </c>
      <c r="I33" s="21">
        <f>IF(A33&lt;=DATOS!$B$20,DATOS!$B$21-IF(AND(A33&gt;=DATOS!$B$23,A33&lt;DATOS!$B$24),DATOS!$B$25,DATOS!$B$22),B33+DATOS!$B$26)</f>
        <v/>
      </c>
      <c r="J33" s="17">
        <f>I33-B33</f>
        <v/>
      </c>
      <c r="K33" s="31">
        <f>E33/J33</f>
        <v/>
      </c>
      <c r="L33" s="21">
        <f>I33-F33</f>
        <v/>
      </c>
      <c r="M33" s="32">
        <f>IF(AND(K33&lt;=DATOS!$B$29,L33&gt;=DATOS!$B$30),"CUMPLE","NO CUMPLE")</f>
        <v/>
      </c>
      <c r="N33" s="13">
        <f>IF(A33&gt;DATOS!$B$20,"cubierto - tramo final",IF(AND(A33&gt;=DATOS!$B$23,A33&lt;DATOS!$B$24),"cubierto - camiones","cubierto"))</f>
        <v/>
      </c>
      <c r="P33" s="16">
        <f>D33*1.001</f>
        <v/>
      </c>
      <c r="Q33" s="16" t="n">
        <v>2</v>
      </c>
      <c r="R33" s="16">
        <f>IF((((P33+Q33)/2)+(C33/(DATOS!$B$14*((P33+Q33)/2)))^2/(2*9.81)+B33-(E32+(C32/(DATOS!$B$14*E32))^2/(2*9.81)+B32+0.5*(((DATOS!$B$27*C32/(DATOS!$B$14*E32))^2/((DATOS!$B$14*E32)/(DATOS!$B$14+2*E32))^(4/3))+((DATOS!$B$27*C33/(DATOS!$B$14*((P33+Q33)/2)))^2/((DATOS!$B$14*((P33+Q33)/2))/(DATOS!$B$14+2*((P33+Q33)/2)))^(4/3)))*(A32-A33)))&lt;0,((P33+Q33)/2),P33)</f>
        <v/>
      </c>
      <c r="S33" s="16">
        <f>IF((((P33+Q33)/2)+(C33/(DATOS!$B$14*((P33+Q33)/2)))^2/(2*9.81)+B33-(E32+(C32/(DATOS!$B$14*E32))^2/(2*9.81)+B32+0.5*(((DATOS!$B$27*C32/(DATOS!$B$14*E32))^2/((DATOS!$B$14*E32)/(DATOS!$B$14+2*E32))^(4/3))+((DATOS!$B$27*C33/(DATOS!$B$14*((P33+Q33)/2)))^2/((DATOS!$B$14*((P33+Q33)/2))/(DATOS!$B$14+2*((P33+Q33)/2)))^(4/3)))*(A32-A33)))&lt;0,Q33,((P33+Q33)/2))</f>
        <v/>
      </c>
      <c r="T33" s="16">
        <f>IF((((R33+S33)/2)+(C33/(DATOS!$B$14*((R33+S33)/2)))^2/(2*9.81)+B33-(E32+(C32/(DATOS!$B$14*E32))^2/(2*9.81)+B32+0.5*(((DATOS!$B$27*C32/(DATOS!$B$14*E32))^2/((DATOS!$B$14*E32)/(DATOS!$B$14+2*E32))^(4/3))+((DATOS!$B$27*C33/(DATOS!$B$14*((R33+S33)/2)))^2/((DATOS!$B$14*((R33+S33)/2))/(DATOS!$B$14+2*((R33+S33)/2)))^(4/3)))*(A32-A33)))&lt;0,((R33+S33)/2),R33)</f>
        <v/>
      </c>
      <c r="U33" s="16">
        <f>IF((((R33+S33)/2)+(C33/(DATOS!$B$14*((R33+S33)/2)))^2/(2*9.81)+B33-(E32+(C32/(DATOS!$B$14*E32))^2/(2*9.81)+B32+0.5*(((DATOS!$B$27*C32/(DATOS!$B$14*E32))^2/((DATOS!$B$14*E32)/(DATOS!$B$14+2*E32))^(4/3))+((DATOS!$B$27*C33/(DATOS!$B$14*((R33+S33)/2)))^2/((DATOS!$B$14*((R33+S33)/2))/(DATOS!$B$14+2*((R33+S33)/2)))^(4/3)))*(A32-A33)))&lt;0,S33,((R33+S33)/2))</f>
        <v/>
      </c>
      <c r="V33" s="16">
        <f>IF((((T33+U33)/2)+(C33/(DATOS!$B$14*((T33+U33)/2)))^2/(2*9.81)+B33-(E32+(C32/(DATOS!$B$14*E32))^2/(2*9.81)+B32+0.5*(((DATOS!$B$27*C32/(DATOS!$B$14*E32))^2/((DATOS!$B$14*E32)/(DATOS!$B$14+2*E32))^(4/3))+((DATOS!$B$27*C33/(DATOS!$B$14*((T33+U33)/2)))^2/((DATOS!$B$14*((T33+U33)/2))/(DATOS!$B$14+2*((T33+U33)/2)))^(4/3)))*(A32-A33)))&lt;0,((T33+U33)/2),T33)</f>
        <v/>
      </c>
      <c r="W33" s="16">
        <f>IF((((T33+U33)/2)+(C33/(DATOS!$B$14*((T33+U33)/2)))^2/(2*9.81)+B33-(E32+(C32/(DATOS!$B$14*E32))^2/(2*9.81)+B32+0.5*(((DATOS!$B$27*C32/(DATOS!$B$14*E32))^2/((DATOS!$B$14*E32)/(DATOS!$B$14+2*E32))^(4/3))+((DATOS!$B$27*C33/(DATOS!$B$14*((T33+U33)/2)))^2/((DATOS!$B$14*((T33+U33)/2))/(DATOS!$B$14+2*((T33+U33)/2)))^(4/3)))*(A32-A33)))&lt;0,U33,((T33+U33)/2))</f>
        <v/>
      </c>
      <c r="X33" s="16">
        <f>IF((((V33+W33)/2)+(C33/(DATOS!$B$14*((V33+W33)/2)))^2/(2*9.81)+B33-(E32+(C32/(DATOS!$B$14*E32))^2/(2*9.81)+B32+0.5*(((DATOS!$B$27*C32/(DATOS!$B$14*E32))^2/((DATOS!$B$14*E32)/(DATOS!$B$14+2*E32))^(4/3))+((DATOS!$B$27*C33/(DATOS!$B$14*((V33+W33)/2)))^2/((DATOS!$B$14*((V33+W33)/2))/(DATOS!$B$14+2*((V33+W33)/2)))^(4/3)))*(A32-A33)))&lt;0,((V33+W33)/2),V33)</f>
        <v/>
      </c>
      <c r="Y33" s="16">
        <f>IF((((V33+W33)/2)+(C33/(DATOS!$B$14*((V33+W33)/2)))^2/(2*9.81)+B33-(E32+(C32/(DATOS!$B$14*E32))^2/(2*9.81)+B32+0.5*(((DATOS!$B$27*C32/(DATOS!$B$14*E32))^2/((DATOS!$B$14*E32)/(DATOS!$B$14+2*E32))^(4/3))+((DATOS!$B$27*C33/(DATOS!$B$14*((V33+W33)/2)))^2/((DATOS!$B$14*((V33+W33)/2))/(DATOS!$B$14+2*((V33+W33)/2)))^(4/3)))*(A32-A33)))&lt;0,W33,((V33+W33)/2))</f>
        <v/>
      </c>
      <c r="Z33" s="16">
        <f>IF((((X33+Y33)/2)+(C33/(DATOS!$B$14*((X33+Y33)/2)))^2/(2*9.81)+B33-(E32+(C32/(DATOS!$B$14*E32))^2/(2*9.81)+B32+0.5*(((DATOS!$B$27*C32/(DATOS!$B$14*E32))^2/((DATOS!$B$14*E32)/(DATOS!$B$14+2*E32))^(4/3))+((DATOS!$B$27*C33/(DATOS!$B$14*((X33+Y33)/2)))^2/((DATOS!$B$14*((X33+Y33)/2))/(DATOS!$B$14+2*((X33+Y33)/2)))^(4/3)))*(A32-A33)))&lt;0,((X33+Y33)/2),X33)</f>
        <v/>
      </c>
      <c r="AA33" s="16">
        <f>IF((((X33+Y33)/2)+(C33/(DATOS!$B$14*((X33+Y33)/2)))^2/(2*9.81)+B33-(E32+(C32/(DATOS!$B$14*E32))^2/(2*9.81)+B32+0.5*(((DATOS!$B$27*C32/(DATOS!$B$14*E32))^2/((DATOS!$B$14*E32)/(DATOS!$B$14+2*E32))^(4/3))+((DATOS!$B$27*C33/(DATOS!$B$14*((X33+Y33)/2)))^2/((DATOS!$B$14*((X33+Y33)/2))/(DATOS!$B$14+2*((X33+Y33)/2)))^(4/3)))*(A32-A33)))&lt;0,Y33,((X33+Y33)/2))</f>
        <v/>
      </c>
      <c r="AB33" s="16">
        <f>IF((((Z33+AA33)/2)+(C33/(DATOS!$B$14*((Z33+AA33)/2)))^2/(2*9.81)+B33-(E32+(C32/(DATOS!$B$14*E32))^2/(2*9.81)+B32+0.5*(((DATOS!$B$27*C32/(DATOS!$B$14*E32))^2/((DATOS!$B$14*E32)/(DATOS!$B$14+2*E32))^(4/3))+((DATOS!$B$27*C33/(DATOS!$B$14*((Z33+AA33)/2)))^2/((DATOS!$B$14*((Z33+AA33)/2))/(DATOS!$B$14+2*((Z33+AA33)/2)))^(4/3)))*(A32-A33)))&lt;0,((Z33+AA33)/2),Z33)</f>
        <v/>
      </c>
      <c r="AC33" s="16">
        <f>IF((((Z33+AA33)/2)+(C33/(DATOS!$B$14*((Z33+AA33)/2)))^2/(2*9.81)+B33-(E32+(C32/(DATOS!$B$14*E32))^2/(2*9.81)+B32+0.5*(((DATOS!$B$27*C32/(DATOS!$B$14*E32))^2/((DATOS!$B$14*E32)/(DATOS!$B$14+2*E32))^(4/3))+((DATOS!$B$27*C33/(DATOS!$B$14*((Z33+AA33)/2)))^2/((DATOS!$B$14*((Z33+AA33)/2))/(DATOS!$B$14+2*((Z33+AA33)/2)))^(4/3)))*(A32-A33)))&lt;0,AA33,((Z33+AA33)/2))</f>
        <v/>
      </c>
      <c r="AD33" s="16">
        <f>IF((((AB33+AC33)/2)+(C33/(DATOS!$B$14*((AB33+AC33)/2)))^2/(2*9.81)+B33-(E32+(C32/(DATOS!$B$14*E32))^2/(2*9.81)+B32+0.5*(((DATOS!$B$27*C32/(DATOS!$B$14*E32))^2/((DATOS!$B$14*E32)/(DATOS!$B$14+2*E32))^(4/3))+((DATOS!$B$27*C33/(DATOS!$B$14*((AB33+AC33)/2)))^2/((DATOS!$B$14*((AB33+AC33)/2))/(DATOS!$B$14+2*((AB33+AC33)/2)))^(4/3)))*(A32-A33)))&lt;0,((AB33+AC33)/2),AB33)</f>
        <v/>
      </c>
      <c r="AE33" s="16">
        <f>IF((((AB33+AC33)/2)+(C33/(DATOS!$B$14*((AB33+AC33)/2)))^2/(2*9.81)+B33-(E32+(C32/(DATOS!$B$14*E32))^2/(2*9.81)+B32+0.5*(((DATOS!$B$27*C32/(DATOS!$B$14*E32))^2/((DATOS!$B$14*E32)/(DATOS!$B$14+2*E32))^(4/3))+((DATOS!$B$27*C33/(DATOS!$B$14*((AB33+AC33)/2)))^2/((DATOS!$B$14*((AB33+AC33)/2))/(DATOS!$B$14+2*((AB33+AC33)/2)))^(4/3)))*(A32-A33)))&lt;0,AC33,((AB33+AC33)/2))</f>
        <v/>
      </c>
      <c r="AF33" s="16">
        <f>IF((((AD33+AE33)/2)+(C33/(DATOS!$B$14*((AD33+AE33)/2)))^2/(2*9.81)+B33-(E32+(C32/(DATOS!$B$14*E32))^2/(2*9.81)+B32+0.5*(((DATOS!$B$27*C32/(DATOS!$B$14*E32))^2/((DATOS!$B$14*E32)/(DATOS!$B$14+2*E32))^(4/3))+((DATOS!$B$27*C33/(DATOS!$B$14*((AD33+AE33)/2)))^2/((DATOS!$B$14*((AD33+AE33)/2))/(DATOS!$B$14+2*((AD33+AE33)/2)))^(4/3)))*(A32-A33)))&lt;0,((AD33+AE33)/2),AD33)</f>
        <v/>
      </c>
      <c r="AG33" s="16">
        <f>IF((((AD33+AE33)/2)+(C33/(DATOS!$B$14*((AD33+AE33)/2)))^2/(2*9.81)+B33-(E32+(C32/(DATOS!$B$14*E32))^2/(2*9.81)+B32+0.5*(((DATOS!$B$27*C32/(DATOS!$B$14*E32))^2/((DATOS!$B$14*E32)/(DATOS!$B$14+2*E32))^(4/3))+((DATOS!$B$27*C33/(DATOS!$B$14*((AD33+AE33)/2)))^2/((DATOS!$B$14*((AD33+AE33)/2))/(DATOS!$B$14+2*((AD33+AE33)/2)))^(4/3)))*(A32-A33)))&lt;0,AE33,((AD33+AE33)/2))</f>
        <v/>
      </c>
      <c r="AH33" s="16">
        <f>IF((((AF33+AG33)/2)+(C33/(DATOS!$B$14*((AF33+AG33)/2)))^2/(2*9.81)+B33-(E32+(C32/(DATOS!$B$14*E32))^2/(2*9.81)+B32+0.5*(((DATOS!$B$27*C32/(DATOS!$B$14*E32))^2/((DATOS!$B$14*E32)/(DATOS!$B$14+2*E32))^(4/3))+((DATOS!$B$27*C33/(DATOS!$B$14*((AF33+AG33)/2)))^2/((DATOS!$B$14*((AF33+AG33)/2))/(DATOS!$B$14+2*((AF33+AG33)/2)))^(4/3)))*(A32-A33)))&lt;0,((AF33+AG33)/2),AF33)</f>
        <v/>
      </c>
      <c r="AI33" s="16">
        <f>IF((((AF33+AG33)/2)+(C33/(DATOS!$B$14*((AF33+AG33)/2)))^2/(2*9.81)+B33-(E32+(C32/(DATOS!$B$14*E32))^2/(2*9.81)+B32+0.5*(((DATOS!$B$27*C32/(DATOS!$B$14*E32))^2/((DATOS!$B$14*E32)/(DATOS!$B$14+2*E32))^(4/3))+((DATOS!$B$27*C33/(DATOS!$B$14*((AF33+AG33)/2)))^2/((DATOS!$B$14*((AF33+AG33)/2))/(DATOS!$B$14+2*((AF33+AG33)/2)))^(4/3)))*(A32-A33)))&lt;0,AG33,((AF33+AG33)/2))</f>
        <v/>
      </c>
      <c r="AJ33" s="16">
        <f>IF((((AH33+AI33)/2)+(C33/(DATOS!$B$14*((AH33+AI33)/2)))^2/(2*9.81)+B33-(E32+(C32/(DATOS!$B$14*E32))^2/(2*9.81)+B32+0.5*(((DATOS!$B$27*C32/(DATOS!$B$14*E32))^2/((DATOS!$B$14*E32)/(DATOS!$B$14+2*E32))^(4/3))+((DATOS!$B$27*C33/(DATOS!$B$14*((AH33+AI33)/2)))^2/((DATOS!$B$14*((AH33+AI33)/2))/(DATOS!$B$14+2*((AH33+AI33)/2)))^(4/3)))*(A32-A33)))&lt;0,((AH33+AI33)/2),AH33)</f>
        <v/>
      </c>
      <c r="AK33" s="16">
        <f>IF((((AH33+AI33)/2)+(C33/(DATOS!$B$14*((AH33+AI33)/2)))^2/(2*9.81)+B33-(E32+(C32/(DATOS!$B$14*E32))^2/(2*9.81)+B32+0.5*(((DATOS!$B$27*C32/(DATOS!$B$14*E32))^2/((DATOS!$B$14*E32)/(DATOS!$B$14+2*E32))^(4/3))+((DATOS!$B$27*C33/(DATOS!$B$14*((AH33+AI33)/2)))^2/((DATOS!$B$14*((AH33+AI33)/2))/(DATOS!$B$14+2*((AH33+AI33)/2)))^(4/3)))*(A32-A33)))&lt;0,AI33,((AH33+AI33)/2))</f>
        <v/>
      </c>
      <c r="AL33" s="16">
        <f>IF((((AJ33+AK33)/2)+(C33/(DATOS!$B$14*((AJ33+AK33)/2)))^2/(2*9.81)+B33-(E32+(C32/(DATOS!$B$14*E32))^2/(2*9.81)+B32+0.5*(((DATOS!$B$27*C32/(DATOS!$B$14*E32))^2/((DATOS!$B$14*E32)/(DATOS!$B$14+2*E32))^(4/3))+((DATOS!$B$27*C33/(DATOS!$B$14*((AJ33+AK33)/2)))^2/((DATOS!$B$14*((AJ33+AK33)/2))/(DATOS!$B$14+2*((AJ33+AK33)/2)))^(4/3)))*(A32-A33)))&lt;0,((AJ33+AK33)/2),AJ33)</f>
        <v/>
      </c>
      <c r="AM33" s="16">
        <f>IF((((AJ33+AK33)/2)+(C33/(DATOS!$B$14*((AJ33+AK33)/2)))^2/(2*9.81)+B33-(E32+(C32/(DATOS!$B$14*E32))^2/(2*9.81)+B32+0.5*(((DATOS!$B$27*C32/(DATOS!$B$14*E32))^2/((DATOS!$B$14*E32)/(DATOS!$B$14+2*E32))^(4/3))+((DATOS!$B$27*C33/(DATOS!$B$14*((AJ33+AK33)/2)))^2/((DATOS!$B$14*((AJ33+AK33)/2))/(DATOS!$B$14+2*((AJ33+AK33)/2)))^(4/3)))*(A32-A33)))&lt;0,AK33,((AJ33+AK33)/2))</f>
        <v/>
      </c>
      <c r="AN33" s="16">
        <f>IF((((AL33+AM33)/2)+(C33/(DATOS!$B$14*((AL33+AM33)/2)))^2/(2*9.81)+B33-(E32+(C32/(DATOS!$B$14*E32))^2/(2*9.81)+B32+0.5*(((DATOS!$B$27*C32/(DATOS!$B$14*E32))^2/((DATOS!$B$14*E32)/(DATOS!$B$14+2*E32))^(4/3))+((DATOS!$B$27*C33/(DATOS!$B$14*((AL33+AM33)/2)))^2/((DATOS!$B$14*((AL33+AM33)/2))/(DATOS!$B$14+2*((AL33+AM33)/2)))^(4/3)))*(A32-A33)))&lt;0,((AL33+AM33)/2),AL33)</f>
        <v/>
      </c>
      <c r="AO33" s="16">
        <f>IF((((AL33+AM33)/2)+(C33/(DATOS!$B$14*((AL33+AM33)/2)))^2/(2*9.81)+B33-(E32+(C32/(DATOS!$B$14*E32))^2/(2*9.81)+B32+0.5*(((DATOS!$B$27*C32/(DATOS!$B$14*E32))^2/((DATOS!$B$14*E32)/(DATOS!$B$14+2*E32))^(4/3))+((DATOS!$B$27*C33/(DATOS!$B$14*((AL33+AM33)/2)))^2/((DATOS!$B$14*((AL33+AM33)/2))/(DATOS!$B$14+2*((AL33+AM33)/2)))^(4/3)))*(A32-A33)))&lt;0,AM33,((AL33+AM33)/2))</f>
        <v/>
      </c>
      <c r="AP33" s="16">
        <f>IF((((AN33+AO33)/2)+(C33/(DATOS!$B$14*((AN33+AO33)/2)))^2/(2*9.81)+B33-(E32+(C32/(DATOS!$B$14*E32))^2/(2*9.81)+B32+0.5*(((DATOS!$B$27*C32/(DATOS!$B$14*E32))^2/((DATOS!$B$14*E32)/(DATOS!$B$14+2*E32))^(4/3))+((DATOS!$B$27*C33/(DATOS!$B$14*((AN33+AO33)/2)))^2/((DATOS!$B$14*((AN33+AO33)/2))/(DATOS!$B$14+2*((AN33+AO33)/2)))^(4/3)))*(A32-A33)))&lt;0,((AN33+AO33)/2),AN33)</f>
        <v/>
      </c>
      <c r="AQ33" s="16">
        <f>IF((((AN33+AO33)/2)+(C33/(DATOS!$B$14*((AN33+AO33)/2)))^2/(2*9.81)+B33-(E32+(C32/(DATOS!$B$14*E32))^2/(2*9.81)+B32+0.5*(((DATOS!$B$27*C32/(DATOS!$B$14*E32))^2/((DATOS!$B$14*E32)/(DATOS!$B$14+2*E32))^(4/3))+((DATOS!$B$27*C33/(DATOS!$B$14*((AN33+AO33)/2)))^2/((DATOS!$B$14*((AN33+AO33)/2))/(DATOS!$B$14+2*((AN33+AO33)/2)))^(4/3)))*(A32-A33)))&lt;0,AO33,((AN33+AO33)/2))</f>
        <v/>
      </c>
      <c r="AR33" s="16">
        <f>IF((((AP33+AQ33)/2)+(C33/(DATOS!$B$14*((AP33+AQ33)/2)))^2/(2*9.81)+B33-(E32+(C32/(DATOS!$B$14*E32))^2/(2*9.81)+B32+0.5*(((DATOS!$B$27*C32/(DATOS!$B$14*E32))^2/((DATOS!$B$14*E32)/(DATOS!$B$14+2*E32))^(4/3))+((DATOS!$B$27*C33/(DATOS!$B$14*((AP33+AQ33)/2)))^2/((DATOS!$B$14*((AP33+AQ33)/2))/(DATOS!$B$14+2*((AP33+AQ33)/2)))^(4/3)))*(A32-A33)))&lt;0,((AP33+AQ33)/2),AP33)</f>
        <v/>
      </c>
      <c r="AS33" s="16">
        <f>IF((((AP33+AQ33)/2)+(C33/(DATOS!$B$14*((AP33+AQ33)/2)))^2/(2*9.81)+B33-(E32+(C32/(DATOS!$B$14*E32))^2/(2*9.81)+B32+0.5*(((DATOS!$B$27*C32/(DATOS!$B$14*E32))^2/((DATOS!$B$14*E32)/(DATOS!$B$14+2*E32))^(4/3))+((DATOS!$B$27*C33/(DATOS!$B$14*((AP33+AQ33)/2)))^2/((DATOS!$B$14*((AP33+AQ33)/2))/(DATOS!$B$14+2*((AP33+AQ33)/2)))^(4/3)))*(A32-A33)))&lt;0,AQ33,((AP33+AQ33)/2))</f>
        <v/>
      </c>
      <c r="AT33" s="16">
        <f>IF((((AR33+AS33)/2)+(C33/(DATOS!$B$14*((AR33+AS33)/2)))^2/(2*9.81)+B33-(E32+(C32/(DATOS!$B$14*E32))^2/(2*9.81)+B32+0.5*(((DATOS!$B$27*C32/(DATOS!$B$14*E32))^2/((DATOS!$B$14*E32)/(DATOS!$B$14+2*E32))^(4/3))+((DATOS!$B$27*C33/(DATOS!$B$14*((AR33+AS33)/2)))^2/((DATOS!$B$14*((AR33+AS33)/2))/(DATOS!$B$14+2*((AR33+AS33)/2)))^(4/3)))*(A32-A33)))&lt;0,((AR33+AS33)/2),AR33)</f>
        <v/>
      </c>
      <c r="AU33" s="16">
        <f>IF((((AR33+AS33)/2)+(C33/(DATOS!$B$14*((AR33+AS33)/2)))^2/(2*9.81)+B33-(E32+(C32/(DATOS!$B$14*E32))^2/(2*9.81)+B32+0.5*(((DATOS!$B$27*C32/(DATOS!$B$14*E32))^2/((DATOS!$B$14*E32)/(DATOS!$B$14+2*E32))^(4/3))+((DATOS!$B$27*C33/(DATOS!$B$14*((AR33+AS33)/2)))^2/((DATOS!$B$14*((AR33+AS33)/2))/(DATOS!$B$14+2*((AR33+AS33)/2)))^(4/3)))*(A32-A33)))&lt;0,AS33,((AR33+AS33)/2))</f>
        <v/>
      </c>
      <c r="AV33" s="16">
        <f>IF((((AT33+AU33)/2)+(C33/(DATOS!$B$14*((AT33+AU33)/2)))^2/(2*9.81)+B33-(E32+(C32/(DATOS!$B$14*E32))^2/(2*9.81)+B32+0.5*(((DATOS!$B$27*C32/(DATOS!$B$14*E32))^2/((DATOS!$B$14*E32)/(DATOS!$B$14+2*E32))^(4/3))+((DATOS!$B$27*C33/(DATOS!$B$14*((AT33+AU33)/2)))^2/((DATOS!$B$14*((AT33+AU33)/2))/(DATOS!$B$14+2*((AT33+AU33)/2)))^(4/3)))*(A32-A33)))&lt;0,((AT33+AU33)/2),AT33)</f>
        <v/>
      </c>
      <c r="AW33" s="16">
        <f>IF((((AT33+AU33)/2)+(C33/(DATOS!$B$14*((AT33+AU33)/2)))^2/(2*9.81)+B33-(E32+(C32/(DATOS!$B$14*E32))^2/(2*9.81)+B32+0.5*(((DATOS!$B$27*C32/(DATOS!$B$14*E32))^2/((DATOS!$B$14*E32)/(DATOS!$B$14+2*E32))^(4/3))+((DATOS!$B$27*C33/(DATOS!$B$14*((AT33+AU33)/2)))^2/((DATOS!$B$14*((AT33+AU33)/2))/(DATOS!$B$14+2*((AT33+AU33)/2)))^(4/3)))*(A32-A33)))&lt;0,AU33,((AT33+AU33)/2))</f>
        <v/>
      </c>
      <c r="AX33" s="16">
        <f>IF((((AV33+AW33)/2)+(C33/(DATOS!$B$14*((AV33+AW33)/2)))^2/(2*9.81)+B33-(E32+(C32/(DATOS!$B$14*E32))^2/(2*9.81)+B32+0.5*(((DATOS!$B$27*C32/(DATOS!$B$14*E32))^2/((DATOS!$B$14*E32)/(DATOS!$B$14+2*E32))^(4/3))+((DATOS!$B$27*C33/(DATOS!$B$14*((AV33+AW33)/2)))^2/((DATOS!$B$14*((AV33+AW33)/2))/(DATOS!$B$14+2*((AV33+AW33)/2)))^(4/3)))*(A32-A33)))&lt;0,((AV33+AW33)/2),AV33)</f>
        <v/>
      </c>
      <c r="AY33" s="16">
        <f>IF((((AV33+AW33)/2)+(C33/(DATOS!$B$14*((AV33+AW33)/2)))^2/(2*9.81)+B33-(E32+(C32/(DATOS!$B$14*E32))^2/(2*9.81)+B32+0.5*(((DATOS!$B$27*C32/(DATOS!$B$14*E32))^2/((DATOS!$B$14*E32)/(DATOS!$B$14+2*E32))^(4/3))+((DATOS!$B$27*C33/(DATOS!$B$14*((AV33+AW33)/2)))^2/((DATOS!$B$14*((AV33+AW33)/2))/(DATOS!$B$14+2*((AV33+AW33)/2)))^(4/3)))*(A32-A33)))&lt;0,AW33,((AV33+AW33)/2))</f>
        <v/>
      </c>
      <c r="AZ33" s="16">
        <f>IF((((AX33+AY33)/2)+(C33/(DATOS!$B$14*((AX33+AY33)/2)))^2/(2*9.81)+B33-(E32+(C32/(DATOS!$B$14*E32))^2/(2*9.81)+B32+0.5*(((DATOS!$B$27*C32/(DATOS!$B$14*E32))^2/((DATOS!$B$14*E32)/(DATOS!$B$14+2*E32))^(4/3))+((DATOS!$B$27*C33/(DATOS!$B$14*((AX33+AY33)/2)))^2/((DATOS!$B$14*((AX33+AY33)/2))/(DATOS!$B$14+2*((AX33+AY33)/2)))^(4/3)))*(A32-A33)))&lt;0,((AX33+AY33)/2),AX33)</f>
        <v/>
      </c>
      <c r="BA33" s="16">
        <f>IF((((AX33+AY33)/2)+(C33/(DATOS!$B$14*((AX33+AY33)/2)))^2/(2*9.81)+B33-(E32+(C32/(DATOS!$B$14*E32))^2/(2*9.81)+B32+0.5*(((DATOS!$B$27*C32/(DATOS!$B$14*E32))^2/((DATOS!$B$14*E32)/(DATOS!$B$14+2*E32))^(4/3))+((DATOS!$B$27*C33/(DATOS!$B$14*((AX33+AY33)/2)))^2/((DATOS!$B$14*((AX33+AY33)/2))/(DATOS!$B$14+2*((AX33+AY33)/2)))^(4/3)))*(A32-A33)))&lt;0,AY33,((AX33+AY33)/2))</f>
        <v/>
      </c>
      <c r="BB33" s="16">
        <f>IF((((AZ33+BA33)/2)+(C33/(DATOS!$B$14*((AZ33+BA33)/2)))^2/(2*9.81)+B33-(E32+(C32/(DATOS!$B$14*E32))^2/(2*9.81)+B32+0.5*(((DATOS!$B$27*C32/(DATOS!$B$14*E32))^2/((DATOS!$B$14*E32)/(DATOS!$B$14+2*E32))^(4/3))+((DATOS!$B$27*C33/(DATOS!$B$14*((AZ33+BA33)/2)))^2/((DATOS!$B$14*((AZ33+BA33)/2))/(DATOS!$B$14+2*((AZ33+BA33)/2)))^(4/3)))*(A32-A33)))&lt;0,((AZ33+BA33)/2),AZ33)</f>
        <v/>
      </c>
      <c r="BC33" s="16">
        <f>IF((((AZ33+BA33)/2)+(C33/(DATOS!$B$14*((AZ33+BA33)/2)))^2/(2*9.81)+B33-(E32+(C32/(DATOS!$B$14*E32))^2/(2*9.81)+B32+0.5*(((DATOS!$B$27*C32/(DATOS!$B$14*E32))^2/((DATOS!$B$14*E32)/(DATOS!$B$14+2*E32))^(4/3))+((DATOS!$B$27*C33/(DATOS!$B$14*((AZ33+BA33)/2)))^2/((DATOS!$B$14*((AZ33+BA33)/2))/(DATOS!$B$14+2*((AZ33+BA33)/2)))^(4/3)))*(A32-A33)))&lt;0,BA33,((AZ33+BA33)/2))</f>
        <v/>
      </c>
      <c r="BD33" s="16">
        <f>IF((((BB33+BC33)/2)+(C33/(DATOS!$B$14*((BB33+BC33)/2)))^2/(2*9.81)+B33-(E32+(C32/(DATOS!$B$14*E32))^2/(2*9.81)+B32+0.5*(((DATOS!$B$27*C32/(DATOS!$B$14*E32))^2/((DATOS!$B$14*E32)/(DATOS!$B$14+2*E32))^(4/3))+((DATOS!$B$27*C33/(DATOS!$B$14*((BB33+BC33)/2)))^2/((DATOS!$B$14*((BB33+BC33)/2))/(DATOS!$B$14+2*((BB33+BC33)/2)))^(4/3)))*(A32-A33)))&lt;0,((BB33+BC33)/2),BB33)</f>
        <v/>
      </c>
      <c r="BE33" s="16">
        <f>IF((((BB33+BC33)/2)+(C33/(DATOS!$B$14*((BB33+BC33)/2)))^2/(2*9.81)+B33-(E32+(C32/(DATOS!$B$14*E32))^2/(2*9.81)+B32+0.5*(((DATOS!$B$27*C32/(DATOS!$B$14*E32))^2/((DATOS!$B$14*E32)/(DATOS!$B$14+2*E32))^(4/3))+((DATOS!$B$27*C33/(DATOS!$B$14*((BB33+BC33)/2)))^2/((DATOS!$B$14*((BB33+BC33)/2))/(DATOS!$B$14+2*((BB33+BC33)/2)))^(4/3)))*(A32-A33)))&lt;0,BC33,((BB33+BC33)/2))</f>
        <v/>
      </c>
      <c r="BF33" s="16">
        <f>IF((((BD33+BE33)/2)+(C33/(DATOS!$B$14*((BD33+BE33)/2)))^2/(2*9.81)+B33-(E32+(C32/(DATOS!$B$14*E32))^2/(2*9.81)+B32+0.5*(((DATOS!$B$27*C32/(DATOS!$B$14*E32))^2/((DATOS!$B$14*E32)/(DATOS!$B$14+2*E32))^(4/3))+((DATOS!$B$27*C33/(DATOS!$B$14*((BD33+BE33)/2)))^2/((DATOS!$B$14*((BD33+BE33)/2))/(DATOS!$B$14+2*((BD33+BE33)/2)))^(4/3)))*(A32-A33)))&lt;0,((BD33+BE33)/2),BD33)</f>
        <v/>
      </c>
      <c r="BG33" s="16">
        <f>IF((((BD33+BE33)/2)+(C33/(DATOS!$B$14*((BD33+BE33)/2)))^2/(2*9.81)+B33-(E32+(C32/(DATOS!$B$14*E32))^2/(2*9.81)+B32+0.5*(((DATOS!$B$27*C32/(DATOS!$B$14*E32))^2/((DATOS!$B$14*E32)/(DATOS!$B$14+2*E32))^(4/3))+((DATOS!$B$27*C33/(DATOS!$B$14*((BD33+BE33)/2)))^2/((DATOS!$B$14*((BD33+BE33)/2))/(DATOS!$B$14+2*((BD33+BE33)/2)))^(4/3)))*(A32-A33)))&lt;0,BE33,((BD33+BE33)/2))</f>
        <v/>
      </c>
      <c r="BH33" s="16">
        <f>IF((((BF33+BG33)/2)+(C33/(DATOS!$B$14*((BF33+BG33)/2)))^2/(2*9.81)+B33-(E32+(C32/(DATOS!$B$14*E32))^2/(2*9.81)+B32+0.5*(((DATOS!$B$27*C32/(DATOS!$B$14*E32))^2/((DATOS!$B$14*E32)/(DATOS!$B$14+2*E32))^(4/3))+((DATOS!$B$27*C33/(DATOS!$B$14*((BF33+BG33)/2)))^2/((DATOS!$B$14*((BF33+BG33)/2))/(DATOS!$B$14+2*((BF33+BG33)/2)))^(4/3)))*(A32-A33)))&lt;0,((BF33+BG33)/2),BF33)</f>
        <v/>
      </c>
      <c r="BI33" s="16">
        <f>IF((((BF33+BG33)/2)+(C33/(DATOS!$B$14*((BF33+BG33)/2)))^2/(2*9.81)+B33-(E32+(C32/(DATOS!$B$14*E32))^2/(2*9.81)+B32+0.5*(((DATOS!$B$27*C32/(DATOS!$B$14*E32))^2/((DATOS!$B$14*E32)/(DATOS!$B$14+2*E32))^(4/3))+((DATOS!$B$27*C33/(DATOS!$B$14*((BF33+BG33)/2)))^2/((DATOS!$B$14*((BF33+BG33)/2))/(DATOS!$B$14+2*((BF33+BG33)/2)))^(4/3)))*(A32-A33)))&lt;0,BG33,((BF33+BG33)/2))</f>
        <v/>
      </c>
      <c r="BJ33" s="16">
        <f>IF((((BH33+BI33)/2)+(C33/(DATOS!$B$14*((BH33+BI33)/2)))^2/(2*9.81)+B33-(E32+(C32/(DATOS!$B$14*E32))^2/(2*9.81)+B32+0.5*(((DATOS!$B$27*C32/(DATOS!$B$14*E32))^2/((DATOS!$B$14*E32)/(DATOS!$B$14+2*E32))^(4/3))+((DATOS!$B$27*C33/(DATOS!$B$14*((BH33+BI33)/2)))^2/((DATOS!$B$14*((BH33+BI33)/2))/(DATOS!$B$14+2*((BH33+BI33)/2)))^(4/3)))*(A32-A33)))&lt;0,((BH33+BI33)/2),BH33)</f>
        <v/>
      </c>
      <c r="BK33" s="16">
        <f>IF((((BH33+BI33)/2)+(C33/(DATOS!$B$14*((BH33+BI33)/2)))^2/(2*9.81)+B33-(E32+(C32/(DATOS!$B$14*E32))^2/(2*9.81)+B32+0.5*(((DATOS!$B$27*C32/(DATOS!$B$14*E32))^2/((DATOS!$B$14*E32)/(DATOS!$B$14+2*E32))^(4/3))+((DATOS!$B$27*C33/(DATOS!$B$14*((BH33+BI33)/2)))^2/((DATOS!$B$14*((BH33+BI33)/2))/(DATOS!$B$14+2*((BH33+BI33)/2)))^(4/3)))*(A32-A33)))&lt;0,BI33,((BH33+BI33)/2))</f>
        <v/>
      </c>
      <c r="BL33" s="16">
        <f>IF((((BJ33+BK33)/2)+(C33/(DATOS!$B$14*((BJ33+BK33)/2)))^2/(2*9.81)+B33-(E32+(C32/(DATOS!$B$14*E32))^2/(2*9.81)+B32+0.5*(((DATOS!$B$27*C32/(DATOS!$B$14*E32))^2/((DATOS!$B$14*E32)/(DATOS!$B$14+2*E32))^(4/3))+((DATOS!$B$27*C33/(DATOS!$B$14*((BJ33+BK33)/2)))^2/((DATOS!$B$14*((BJ33+BK33)/2))/(DATOS!$B$14+2*((BJ33+BK33)/2)))^(4/3)))*(A32-A33)))&lt;0,((BJ33+BK33)/2),BJ33)</f>
        <v/>
      </c>
      <c r="BM33" s="16">
        <f>IF((((BJ33+BK33)/2)+(C33/(DATOS!$B$14*((BJ33+BK33)/2)))^2/(2*9.81)+B33-(E32+(C32/(DATOS!$B$14*E32))^2/(2*9.81)+B32+0.5*(((DATOS!$B$27*C32/(DATOS!$B$14*E32))^2/((DATOS!$B$14*E32)/(DATOS!$B$14+2*E32))^(4/3))+((DATOS!$B$27*C33/(DATOS!$B$14*((BJ33+BK33)/2)))^2/((DATOS!$B$14*((BJ33+BK33)/2))/(DATOS!$B$14+2*((BJ33+BK33)/2)))^(4/3)))*(A32-A33)))&lt;0,BK33,((BJ33+BK33)/2))</f>
        <v/>
      </c>
      <c r="BN33" s="16">
        <f>IF((((BL33+BM33)/2)+(C33/(DATOS!$B$14*((BL33+BM33)/2)))^2/(2*9.81)+B33-(E32+(C32/(DATOS!$B$14*E32))^2/(2*9.81)+B32+0.5*(((DATOS!$B$27*C32/(DATOS!$B$14*E32))^2/((DATOS!$B$14*E32)/(DATOS!$B$14+2*E32))^(4/3))+((DATOS!$B$27*C33/(DATOS!$B$14*((BL33+BM33)/2)))^2/((DATOS!$B$14*((BL33+BM33)/2))/(DATOS!$B$14+2*((BL33+BM33)/2)))^(4/3)))*(A32-A33)))&lt;0,((BL33+BM33)/2),BL33)</f>
        <v/>
      </c>
      <c r="BO33" s="16">
        <f>IF((((BL33+BM33)/2)+(C33/(DATOS!$B$14*((BL33+BM33)/2)))^2/(2*9.81)+B33-(E32+(C32/(DATOS!$B$14*E32))^2/(2*9.81)+B32+0.5*(((DATOS!$B$27*C32/(DATOS!$B$14*E32))^2/((DATOS!$B$14*E32)/(DATOS!$B$14+2*E32))^(4/3))+((DATOS!$B$27*C33/(DATOS!$B$14*((BL33+BM33)/2)))^2/((DATOS!$B$14*((BL33+BM33)/2))/(DATOS!$B$14+2*((BL33+BM33)/2)))^(4/3)))*(A32-A33)))&lt;0,BM33,((BL33+BM33)/2))</f>
        <v/>
      </c>
      <c r="BP33" s="16">
        <f>IF((((BN33+BO33)/2)+(C33/(DATOS!$B$14*((BN33+BO33)/2)))^2/(2*9.81)+B33-(E32+(C32/(DATOS!$B$14*E32))^2/(2*9.81)+B32+0.5*(((DATOS!$B$27*C32/(DATOS!$B$14*E32))^2/((DATOS!$B$14*E32)/(DATOS!$B$14+2*E32))^(4/3))+((DATOS!$B$27*C33/(DATOS!$B$14*((BN33+BO33)/2)))^2/((DATOS!$B$14*((BN33+BO33)/2))/(DATOS!$B$14+2*((BN33+BO33)/2)))^(4/3)))*(A32-A33)))&lt;0,((BN33+BO33)/2),BN33)</f>
        <v/>
      </c>
      <c r="BQ33" s="16">
        <f>IF((((BN33+BO33)/2)+(C33/(DATOS!$B$14*((BN33+BO33)/2)))^2/(2*9.81)+B33-(E32+(C32/(DATOS!$B$14*E32))^2/(2*9.81)+B32+0.5*(((DATOS!$B$27*C32/(DATOS!$B$14*E32))^2/((DATOS!$B$14*E32)/(DATOS!$B$14+2*E32))^(4/3))+((DATOS!$B$27*C33/(DATOS!$B$14*((BN33+BO33)/2)))^2/((DATOS!$B$14*((BN33+BO33)/2))/(DATOS!$B$14+2*((BN33+BO33)/2)))^(4/3)))*(A32-A33)))&lt;0,BO33,((BN33+BO33)/2))</f>
        <v/>
      </c>
      <c r="BR33" s="16">
        <f>IF((((BP33+BQ33)/2)+(C33/(DATOS!$B$14*((BP33+BQ33)/2)))^2/(2*9.81)+B33-(E32+(C32/(DATOS!$B$14*E32))^2/(2*9.81)+B32+0.5*(((DATOS!$B$27*C32/(DATOS!$B$14*E32))^2/((DATOS!$B$14*E32)/(DATOS!$B$14+2*E32))^(4/3))+((DATOS!$B$27*C33/(DATOS!$B$14*((BP33+BQ33)/2)))^2/((DATOS!$B$14*((BP33+BQ33)/2))/(DATOS!$B$14+2*((BP33+BQ33)/2)))^(4/3)))*(A32-A33)))&lt;0,((BP33+BQ33)/2),BP33)</f>
        <v/>
      </c>
      <c r="BS33" s="16">
        <f>IF((((BP33+BQ33)/2)+(C33/(DATOS!$B$14*((BP33+BQ33)/2)))^2/(2*9.81)+B33-(E32+(C32/(DATOS!$B$14*E32))^2/(2*9.81)+B32+0.5*(((DATOS!$B$27*C32/(DATOS!$B$14*E32))^2/((DATOS!$B$14*E32)/(DATOS!$B$14+2*E32))^(4/3))+((DATOS!$B$27*C33/(DATOS!$B$14*((BP33+BQ33)/2)))^2/((DATOS!$B$14*((BP33+BQ33)/2))/(DATOS!$B$14+2*((BP33+BQ33)/2)))^(4/3)))*(A32-A33)))&lt;0,BQ33,((BP33+BQ33)/2))</f>
        <v/>
      </c>
      <c r="BT33" s="16">
        <f>IF((((BR33+BS33)/2)+(C33/(DATOS!$B$14*((BR33+BS33)/2)))^2/(2*9.81)+B33-(E32+(C32/(DATOS!$B$14*E32))^2/(2*9.81)+B32+0.5*(((DATOS!$B$27*C32/(DATOS!$B$14*E32))^2/((DATOS!$B$14*E32)/(DATOS!$B$14+2*E32))^(4/3))+((DATOS!$B$27*C33/(DATOS!$B$14*((BR33+BS33)/2)))^2/((DATOS!$B$14*((BR33+BS33)/2))/(DATOS!$B$14+2*((BR33+BS33)/2)))^(4/3)))*(A32-A33)))&lt;0,((BR33+BS33)/2),BR33)</f>
        <v/>
      </c>
      <c r="BU33" s="16">
        <f>IF((((BR33+BS33)/2)+(C33/(DATOS!$B$14*((BR33+BS33)/2)))^2/(2*9.81)+B33-(E32+(C32/(DATOS!$B$14*E32))^2/(2*9.81)+B32+0.5*(((DATOS!$B$27*C32/(DATOS!$B$14*E32))^2/((DATOS!$B$14*E32)/(DATOS!$B$14+2*E32))^(4/3))+((DATOS!$B$27*C33/(DATOS!$B$14*((BR33+BS33)/2)))^2/((DATOS!$B$14*((BR33+BS33)/2))/(DATOS!$B$14+2*((BR33+BS33)/2)))^(4/3)))*(A32-A33)))&lt;0,BS33,((BR33+BS33)/2))</f>
        <v/>
      </c>
    </row>
    <row r="34">
      <c r="A34" s="30" t="n">
        <v>82</v>
      </c>
      <c r="B34" s="21">
        <f>DATOS!$B$16-DATOS!$B$19*A34</f>
        <v/>
      </c>
      <c r="C34" s="21">
        <f>IF(A34&lt;CAUDALES!$B$13,CAUDALES!$D$12,IF(A34&lt;CAUDALES!$B$14,CAUDALES!$D$13,IF(A34&lt;CAUDALES!$B$15,CAUDALES!$D$14,CAUDALES!$D$15)))/1000</f>
        <v/>
      </c>
      <c r="D34" s="21">
        <f>(C34^2/(9.81*DATOS!$B$14^2))^(1/3)</f>
        <v/>
      </c>
      <c r="E34" s="29">
        <f>(BT34+BU34)/2</f>
        <v/>
      </c>
      <c r="F34" s="21">
        <f>B34+E34</f>
        <v/>
      </c>
      <c r="G34" s="17">
        <f>C34/(DATOS!$B$14*E34)</f>
        <v/>
      </c>
      <c r="H34" s="17">
        <f>G34/SQRT(9.81*E34)</f>
        <v/>
      </c>
      <c r="I34" s="21">
        <f>IF(A34&lt;=DATOS!$B$20,DATOS!$B$21-IF(AND(A34&gt;=DATOS!$B$23,A34&lt;DATOS!$B$24),DATOS!$B$25,DATOS!$B$22),B34+DATOS!$B$26)</f>
        <v/>
      </c>
      <c r="J34" s="17">
        <f>I34-B34</f>
        <v/>
      </c>
      <c r="K34" s="31">
        <f>E34/J34</f>
        <v/>
      </c>
      <c r="L34" s="21">
        <f>I34-F34</f>
        <v/>
      </c>
      <c r="M34" s="32">
        <f>IF(AND(K34&lt;=DATOS!$B$29,L34&gt;=DATOS!$B$30),"CUMPLE","NO CUMPLE")</f>
        <v/>
      </c>
      <c r="N34" s="13">
        <f>IF(A34&gt;DATOS!$B$20,"cubierto - tramo final",IF(AND(A34&gt;=DATOS!$B$23,A34&lt;DATOS!$B$24),"cubierto - camiones","cubierto"))</f>
        <v/>
      </c>
      <c r="P34" s="16">
        <f>D34*1.001</f>
        <v/>
      </c>
      <c r="Q34" s="16" t="n">
        <v>2</v>
      </c>
      <c r="R34" s="16">
        <f>IF((((P34+Q34)/2)+(C34/(DATOS!$B$14*((P34+Q34)/2)))^2/(2*9.81)+B34-(E33+(C33/(DATOS!$B$14*E33))^2/(2*9.81)+B33+0.5*(((DATOS!$B$27*C33/(DATOS!$B$14*E33))^2/((DATOS!$B$14*E33)/(DATOS!$B$14+2*E33))^(4/3))+((DATOS!$B$27*C34/(DATOS!$B$14*((P34+Q34)/2)))^2/((DATOS!$B$14*((P34+Q34)/2))/(DATOS!$B$14+2*((P34+Q34)/2)))^(4/3)))*(A33-A34)))&lt;0,((P34+Q34)/2),P34)</f>
        <v/>
      </c>
      <c r="S34" s="16">
        <f>IF((((P34+Q34)/2)+(C34/(DATOS!$B$14*((P34+Q34)/2)))^2/(2*9.81)+B34-(E33+(C33/(DATOS!$B$14*E33))^2/(2*9.81)+B33+0.5*(((DATOS!$B$27*C33/(DATOS!$B$14*E33))^2/((DATOS!$B$14*E33)/(DATOS!$B$14+2*E33))^(4/3))+((DATOS!$B$27*C34/(DATOS!$B$14*((P34+Q34)/2)))^2/((DATOS!$B$14*((P34+Q34)/2))/(DATOS!$B$14+2*((P34+Q34)/2)))^(4/3)))*(A33-A34)))&lt;0,Q34,((P34+Q34)/2))</f>
        <v/>
      </c>
      <c r="T34" s="16">
        <f>IF((((R34+S34)/2)+(C34/(DATOS!$B$14*((R34+S34)/2)))^2/(2*9.81)+B34-(E33+(C33/(DATOS!$B$14*E33))^2/(2*9.81)+B33+0.5*(((DATOS!$B$27*C33/(DATOS!$B$14*E33))^2/((DATOS!$B$14*E33)/(DATOS!$B$14+2*E33))^(4/3))+((DATOS!$B$27*C34/(DATOS!$B$14*((R34+S34)/2)))^2/((DATOS!$B$14*((R34+S34)/2))/(DATOS!$B$14+2*((R34+S34)/2)))^(4/3)))*(A33-A34)))&lt;0,((R34+S34)/2),R34)</f>
        <v/>
      </c>
      <c r="U34" s="16">
        <f>IF((((R34+S34)/2)+(C34/(DATOS!$B$14*((R34+S34)/2)))^2/(2*9.81)+B34-(E33+(C33/(DATOS!$B$14*E33))^2/(2*9.81)+B33+0.5*(((DATOS!$B$27*C33/(DATOS!$B$14*E33))^2/((DATOS!$B$14*E33)/(DATOS!$B$14+2*E33))^(4/3))+((DATOS!$B$27*C34/(DATOS!$B$14*((R34+S34)/2)))^2/((DATOS!$B$14*((R34+S34)/2))/(DATOS!$B$14+2*((R34+S34)/2)))^(4/3)))*(A33-A34)))&lt;0,S34,((R34+S34)/2))</f>
        <v/>
      </c>
      <c r="V34" s="16">
        <f>IF((((T34+U34)/2)+(C34/(DATOS!$B$14*((T34+U34)/2)))^2/(2*9.81)+B34-(E33+(C33/(DATOS!$B$14*E33))^2/(2*9.81)+B33+0.5*(((DATOS!$B$27*C33/(DATOS!$B$14*E33))^2/((DATOS!$B$14*E33)/(DATOS!$B$14+2*E33))^(4/3))+((DATOS!$B$27*C34/(DATOS!$B$14*((T34+U34)/2)))^2/((DATOS!$B$14*((T34+U34)/2))/(DATOS!$B$14+2*((T34+U34)/2)))^(4/3)))*(A33-A34)))&lt;0,((T34+U34)/2),T34)</f>
        <v/>
      </c>
      <c r="W34" s="16">
        <f>IF((((T34+U34)/2)+(C34/(DATOS!$B$14*((T34+U34)/2)))^2/(2*9.81)+B34-(E33+(C33/(DATOS!$B$14*E33))^2/(2*9.81)+B33+0.5*(((DATOS!$B$27*C33/(DATOS!$B$14*E33))^2/((DATOS!$B$14*E33)/(DATOS!$B$14+2*E33))^(4/3))+((DATOS!$B$27*C34/(DATOS!$B$14*((T34+U34)/2)))^2/((DATOS!$B$14*((T34+U34)/2))/(DATOS!$B$14+2*((T34+U34)/2)))^(4/3)))*(A33-A34)))&lt;0,U34,((T34+U34)/2))</f>
        <v/>
      </c>
      <c r="X34" s="16">
        <f>IF((((V34+W34)/2)+(C34/(DATOS!$B$14*((V34+W34)/2)))^2/(2*9.81)+B34-(E33+(C33/(DATOS!$B$14*E33))^2/(2*9.81)+B33+0.5*(((DATOS!$B$27*C33/(DATOS!$B$14*E33))^2/((DATOS!$B$14*E33)/(DATOS!$B$14+2*E33))^(4/3))+((DATOS!$B$27*C34/(DATOS!$B$14*((V34+W34)/2)))^2/((DATOS!$B$14*((V34+W34)/2))/(DATOS!$B$14+2*((V34+W34)/2)))^(4/3)))*(A33-A34)))&lt;0,((V34+W34)/2),V34)</f>
        <v/>
      </c>
      <c r="Y34" s="16">
        <f>IF((((V34+W34)/2)+(C34/(DATOS!$B$14*((V34+W34)/2)))^2/(2*9.81)+B34-(E33+(C33/(DATOS!$B$14*E33))^2/(2*9.81)+B33+0.5*(((DATOS!$B$27*C33/(DATOS!$B$14*E33))^2/((DATOS!$B$14*E33)/(DATOS!$B$14+2*E33))^(4/3))+((DATOS!$B$27*C34/(DATOS!$B$14*((V34+W34)/2)))^2/((DATOS!$B$14*((V34+W34)/2))/(DATOS!$B$14+2*((V34+W34)/2)))^(4/3)))*(A33-A34)))&lt;0,W34,((V34+W34)/2))</f>
        <v/>
      </c>
      <c r="Z34" s="16">
        <f>IF((((X34+Y34)/2)+(C34/(DATOS!$B$14*((X34+Y34)/2)))^2/(2*9.81)+B34-(E33+(C33/(DATOS!$B$14*E33))^2/(2*9.81)+B33+0.5*(((DATOS!$B$27*C33/(DATOS!$B$14*E33))^2/((DATOS!$B$14*E33)/(DATOS!$B$14+2*E33))^(4/3))+((DATOS!$B$27*C34/(DATOS!$B$14*((X34+Y34)/2)))^2/((DATOS!$B$14*((X34+Y34)/2))/(DATOS!$B$14+2*((X34+Y34)/2)))^(4/3)))*(A33-A34)))&lt;0,((X34+Y34)/2),X34)</f>
        <v/>
      </c>
      <c r="AA34" s="16">
        <f>IF((((X34+Y34)/2)+(C34/(DATOS!$B$14*((X34+Y34)/2)))^2/(2*9.81)+B34-(E33+(C33/(DATOS!$B$14*E33))^2/(2*9.81)+B33+0.5*(((DATOS!$B$27*C33/(DATOS!$B$14*E33))^2/((DATOS!$B$14*E33)/(DATOS!$B$14+2*E33))^(4/3))+((DATOS!$B$27*C34/(DATOS!$B$14*((X34+Y34)/2)))^2/((DATOS!$B$14*((X34+Y34)/2))/(DATOS!$B$14+2*((X34+Y34)/2)))^(4/3)))*(A33-A34)))&lt;0,Y34,((X34+Y34)/2))</f>
        <v/>
      </c>
      <c r="AB34" s="16">
        <f>IF((((Z34+AA34)/2)+(C34/(DATOS!$B$14*((Z34+AA34)/2)))^2/(2*9.81)+B34-(E33+(C33/(DATOS!$B$14*E33))^2/(2*9.81)+B33+0.5*(((DATOS!$B$27*C33/(DATOS!$B$14*E33))^2/((DATOS!$B$14*E33)/(DATOS!$B$14+2*E33))^(4/3))+((DATOS!$B$27*C34/(DATOS!$B$14*((Z34+AA34)/2)))^2/((DATOS!$B$14*((Z34+AA34)/2))/(DATOS!$B$14+2*((Z34+AA34)/2)))^(4/3)))*(A33-A34)))&lt;0,((Z34+AA34)/2),Z34)</f>
        <v/>
      </c>
      <c r="AC34" s="16">
        <f>IF((((Z34+AA34)/2)+(C34/(DATOS!$B$14*((Z34+AA34)/2)))^2/(2*9.81)+B34-(E33+(C33/(DATOS!$B$14*E33))^2/(2*9.81)+B33+0.5*(((DATOS!$B$27*C33/(DATOS!$B$14*E33))^2/((DATOS!$B$14*E33)/(DATOS!$B$14+2*E33))^(4/3))+((DATOS!$B$27*C34/(DATOS!$B$14*((Z34+AA34)/2)))^2/((DATOS!$B$14*((Z34+AA34)/2))/(DATOS!$B$14+2*((Z34+AA34)/2)))^(4/3)))*(A33-A34)))&lt;0,AA34,((Z34+AA34)/2))</f>
        <v/>
      </c>
      <c r="AD34" s="16">
        <f>IF((((AB34+AC34)/2)+(C34/(DATOS!$B$14*((AB34+AC34)/2)))^2/(2*9.81)+B34-(E33+(C33/(DATOS!$B$14*E33))^2/(2*9.81)+B33+0.5*(((DATOS!$B$27*C33/(DATOS!$B$14*E33))^2/((DATOS!$B$14*E33)/(DATOS!$B$14+2*E33))^(4/3))+((DATOS!$B$27*C34/(DATOS!$B$14*((AB34+AC34)/2)))^2/((DATOS!$B$14*((AB34+AC34)/2))/(DATOS!$B$14+2*((AB34+AC34)/2)))^(4/3)))*(A33-A34)))&lt;0,((AB34+AC34)/2),AB34)</f>
        <v/>
      </c>
      <c r="AE34" s="16">
        <f>IF((((AB34+AC34)/2)+(C34/(DATOS!$B$14*((AB34+AC34)/2)))^2/(2*9.81)+B34-(E33+(C33/(DATOS!$B$14*E33))^2/(2*9.81)+B33+0.5*(((DATOS!$B$27*C33/(DATOS!$B$14*E33))^2/((DATOS!$B$14*E33)/(DATOS!$B$14+2*E33))^(4/3))+((DATOS!$B$27*C34/(DATOS!$B$14*((AB34+AC34)/2)))^2/((DATOS!$B$14*((AB34+AC34)/2))/(DATOS!$B$14+2*((AB34+AC34)/2)))^(4/3)))*(A33-A34)))&lt;0,AC34,((AB34+AC34)/2))</f>
        <v/>
      </c>
      <c r="AF34" s="16">
        <f>IF((((AD34+AE34)/2)+(C34/(DATOS!$B$14*((AD34+AE34)/2)))^2/(2*9.81)+B34-(E33+(C33/(DATOS!$B$14*E33))^2/(2*9.81)+B33+0.5*(((DATOS!$B$27*C33/(DATOS!$B$14*E33))^2/((DATOS!$B$14*E33)/(DATOS!$B$14+2*E33))^(4/3))+((DATOS!$B$27*C34/(DATOS!$B$14*((AD34+AE34)/2)))^2/((DATOS!$B$14*((AD34+AE34)/2))/(DATOS!$B$14+2*((AD34+AE34)/2)))^(4/3)))*(A33-A34)))&lt;0,((AD34+AE34)/2),AD34)</f>
        <v/>
      </c>
      <c r="AG34" s="16">
        <f>IF((((AD34+AE34)/2)+(C34/(DATOS!$B$14*((AD34+AE34)/2)))^2/(2*9.81)+B34-(E33+(C33/(DATOS!$B$14*E33))^2/(2*9.81)+B33+0.5*(((DATOS!$B$27*C33/(DATOS!$B$14*E33))^2/((DATOS!$B$14*E33)/(DATOS!$B$14+2*E33))^(4/3))+((DATOS!$B$27*C34/(DATOS!$B$14*((AD34+AE34)/2)))^2/((DATOS!$B$14*((AD34+AE34)/2))/(DATOS!$B$14+2*((AD34+AE34)/2)))^(4/3)))*(A33-A34)))&lt;0,AE34,((AD34+AE34)/2))</f>
        <v/>
      </c>
      <c r="AH34" s="16">
        <f>IF((((AF34+AG34)/2)+(C34/(DATOS!$B$14*((AF34+AG34)/2)))^2/(2*9.81)+B34-(E33+(C33/(DATOS!$B$14*E33))^2/(2*9.81)+B33+0.5*(((DATOS!$B$27*C33/(DATOS!$B$14*E33))^2/((DATOS!$B$14*E33)/(DATOS!$B$14+2*E33))^(4/3))+((DATOS!$B$27*C34/(DATOS!$B$14*((AF34+AG34)/2)))^2/((DATOS!$B$14*((AF34+AG34)/2))/(DATOS!$B$14+2*((AF34+AG34)/2)))^(4/3)))*(A33-A34)))&lt;0,((AF34+AG34)/2),AF34)</f>
        <v/>
      </c>
      <c r="AI34" s="16">
        <f>IF((((AF34+AG34)/2)+(C34/(DATOS!$B$14*((AF34+AG34)/2)))^2/(2*9.81)+B34-(E33+(C33/(DATOS!$B$14*E33))^2/(2*9.81)+B33+0.5*(((DATOS!$B$27*C33/(DATOS!$B$14*E33))^2/((DATOS!$B$14*E33)/(DATOS!$B$14+2*E33))^(4/3))+((DATOS!$B$27*C34/(DATOS!$B$14*((AF34+AG34)/2)))^2/((DATOS!$B$14*((AF34+AG34)/2))/(DATOS!$B$14+2*((AF34+AG34)/2)))^(4/3)))*(A33-A34)))&lt;0,AG34,((AF34+AG34)/2))</f>
        <v/>
      </c>
      <c r="AJ34" s="16">
        <f>IF((((AH34+AI34)/2)+(C34/(DATOS!$B$14*((AH34+AI34)/2)))^2/(2*9.81)+B34-(E33+(C33/(DATOS!$B$14*E33))^2/(2*9.81)+B33+0.5*(((DATOS!$B$27*C33/(DATOS!$B$14*E33))^2/((DATOS!$B$14*E33)/(DATOS!$B$14+2*E33))^(4/3))+((DATOS!$B$27*C34/(DATOS!$B$14*((AH34+AI34)/2)))^2/((DATOS!$B$14*((AH34+AI34)/2))/(DATOS!$B$14+2*((AH34+AI34)/2)))^(4/3)))*(A33-A34)))&lt;0,((AH34+AI34)/2),AH34)</f>
        <v/>
      </c>
      <c r="AK34" s="16">
        <f>IF((((AH34+AI34)/2)+(C34/(DATOS!$B$14*((AH34+AI34)/2)))^2/(2*9.81)+B34-(E33+(C33/(DATOS!$B$14*E33))^2/(2*9.81)+B33+0.5*(((DATOS!$B$27*C33/(DATOS!$B$14*E33))^2/((DATOS!$B$14*E33)/(DATOS!$B$14+2*E33))^(4/3))+((DATOS!$B$27*C34/(DATOS!$B$14*((AH34+AI34)/2)))^2/((DATOS!$B$14*((AH34+AI34)/2))/(DATOS!$B$14+2*((AH34+AI34)/2)))^(4/3)))*(A33-A34)))&lt;0,AI34,((AH34+AI34)/2))</f>
        <v/>
      </c>
      <c r="AL34" s="16">
        <f>IF((((AJ34+AK34)/2)+(C34/(DATOS!$B$14*((AJ34+AK34)/2)))^2/(2*9.81)+B34-(E33+(C33/(DATOS!$B$14*E33))^2/(2*9.81)+B33+0.5*(((DATOS!$B$27*C33/(DATOS!$B$14*E33))^2/((DATOS!$B$14*E33)/(DATOS!$B$14+2*E33))^(4/3))+((DATOS!$B$27*C34/(DATOS!$B$14*((AJ34+AK34)/2)))^2/((DATOS!$B$14*((AJ34+AK34)/2))/(DATOS!$B$14+2*((AJ34+AK34)/2)))^(4/3)))*(A33-A34)))&lt;0,((AJ34+AK34)/2),AJ34)</f>
        <v/>
      </c>
      <c r="AM34" s="16">
        <f>IF((((AJ34+AK34)/2)+(C34/(DATOS!$B$14*((AJ34+AK34)/2)))^2/(2*9.81)+B34-(E33+(C33/(DATOS!$B$14*E33))^2/(2*9.81)+B33+0.5*(((DATOS!$B$27*C33/(DATOS!$B$14*E33))^2/((DATOS!$B$14*E33)/(DATOS!$B$14+2*E33))^(4/3))+((DATOS!$B$27*C34/(DATOS!$B$14*((AJ34+AK34)/2)))^2/((DATOS!$B$14*((AJ34+AK34)/2))/(DATOS!$B$14+2*((AJ34+AK34)/2)))^(4/3)))*(A33-A34)))&lt;0,AK34,((AJ34+AK34)/2))</f>
        <v/>
      </c>
      <c r="AN34" s="16">
        <f>IF((((AL34+AM34)/2)+(C34/(DATOS!$B$14*((AL34+AM34)/2)))^2/(2*9.81)+B34-(E33+(C33/(DATOS!$B$14*E33))^2/(2*9.81)+B33+0.5*(((DATOS!$B$27*C33/(DATOS!$B$14*E33))^2/((DATOS!$B$14*E33)/(DATOS!$B$14+2*E33))^(4/3))+((DATOS!$B$27*C34/(DATOS!$B$14*((AL34+AM34)/2)))^2/((DATOS!$B$14*((AL34+AM34)/2))/(DATOS!$B$14+2*((AL34+AM34)/2)))^(4/3)))*(A33-A34)))&lt;0,((AL34+AM34)/2),AL34)</f>
        <v/>
      </c>
      <c r="AO34" s="16">
        <f>IF((((AL34+AM34)/2)+(C34/(DATOS!$B$14*((AL34+AM34)/2)))^2/(2*9.81)+B34-(E33+(C33/(DATOS!$B$14*E33))^2/(2*9.81)+B33+0.5*(((DATOS!$B$27*C33/(DATOS!$B$14*E33))^2/((DATOS!$B$14*E33)/(DATOS!$B$14+2*E33))^(4/3))+((DATOS!$B$27*C34/(DATOS!$B$14*((AL34+AM34)/2)))^2/((DATOS!$B$14*((AL34+AM34)/2))/(DATOS!$B$14+2*((AL34+AM34)/2)))^(4/3)))*(A33-A34)))&lt;0,AM34,((AL34+AM34)/2))</f>
        <v/>
      </c>
      <c r="AP34" s="16">
        <f>IF((((AN34+AO34)/2)+(C34/(DATOS!$B$14*((AN34+AO34)/2)))^2/(2*9.81)+B34-(E33+(C33/(DATOS!$B$14*E33))^2/(2*9.81)+B33+0.5*(((DATOS!$B$27*C33/(DATOS!$B$14*E33))^2/((DATOS!$B$14*E33)/(DATOS!$B$14+2*E33))^(4/3))+((DATOS!$B$27*C34/(DATOS!$B$14*((AN34+AO34)/2)))^2/((DATOS!$B$14*((AN34+AO34)/2))/(DATOS!$B$14+2*((AN34+AO34)/2)))^(4/3)))*(A33-A34)))&lt;0,((AN34+AO34)/2),AN34)</f>
        <v/>
      </c>
      <c r="AQ34" s="16">
        <f>IF((((AN34+AO34)/2)+(C34/(DATOS!$B$14*((AN34+AO34)/2)))^2/(2*9.81)+B34-(E33+(C33/(DATOS!$B$14*E33))^2/(2*9.81)+B33+0.5*(((DATOS!$B$27*C33/(DATOS!$B$14*E33))^2/((DATOS!$B$14*E33)/(DATOS!$B$14+2*E33))^(4/3))+((DATOS!$B$27*C34/(DATOS!$B$14*((AN34+AO34)/2)))^2/((DATOS!$B$14*((AN34+AO34)/2))/(DATOS!$B$14+2*((AN34+AO34)/2)))^(4/3)))*(A33-A34)))&lt;0,AO34,((AN34+AO34)/2))</f>
        <v/>
      </c>
      <c r="AR34" s="16">
        <f>IF((((AP34+AQ34)/2)+(C34/(DATOS!$B$14*((AP34+AQ34)/2)))^2/(2*9.81)+B34-(E33+(C33/(DATOS!$B$14*E33))^2/(2*9.81)+B33+0.5*(((DATOS!$B$27*C33/(DATOS!$B$14*E33))^2/((DATOS!$B$14*E33)/(DATOS!$B$14+2*E33))^(4/3))+((DATOS!$B$27*C34/(DATOS!$B$14*((AP34+AQ34)/2)))^2/((DATOS!$B$14*((AP34+AQ34)/2))/(DATOS!$B$14+2*((AP34+AQ34)/2)))^(4/3)))*(A33-A34)))&lt;0,((AP34+AQ34)/2),AP34)</f>
        <v/>
      </c>
      <c r="AS34" s="16">
        <f>IF((((AP34+AQ34)/2)+(C34/(DATOS!$B$14*((AP34+AQ34)/2)))^2/(2*9.81)+B34-(E33+(C33/(DATOS!$B$14*E33))^2/(2*9.81)+B33+0.5*(((DATOS!$B$27*C33/(DATOS!$B$14*E33))^2/((DATOS!$B$14*E33)/(DATOS!$B$14+2*E33))^(4/3))+((DATOS!$B$27*C34/(DATOS!$B$14*((AP34+AQ34)/2)))^2/((DATOS!$B$14*((AP34+AQ34)/2))/(DATOS!$B$14+2*((AP34+AQ34)/2)))^(4/3)))*(A33-A34)))&lt;0,AQ34,((AP34+AQ34)/2))</f>
        <v/>
      </c>
      <c r="AT34" s="16">
        <f>IF((((AR34+AS34)/2)+(C34/(DATOS!$B$14*((AR34+AS34)/2)))^2/(2*9.81)+B34-(E33+(C33/(DATOS!$B$14*E33))^2/(2*9.81)+B33+0.5*(((DATOS!$B$27*C33/(DATOS!$B$14*E33))^2/((DATOS!$B$14*E33)/(DATOS!$B$14+2*E33))^(4/3))+((DATOS!$B$27*C34/(DATOS!$B$14*((AR34+AS34)/2)))^2/((DATOS!$B$14*((AR34+AS34)/2))/(DATOS!$B$14+2*((AR34+AS34)/2)))^(4/3)))*(A33-A34)))&lt;0,((AR34+AS34)/2),AR34)</f>
        <v/>
      </c>
      <c r="AU34" s="16">
        <f>IF((((AR34+AS34)/2)+(C34/(DATOS!$B$14*((AR34+AS34)/2)))^2/(2*9.81)+B34-(E33+(C33/(DATOS!$B$14*E33))^2/(2*9.81)+B33+0.5*(((DATOS!$B$27*C33/(DATOS!$B$14*E33))^2/((DATOS!$B$14*E33)/(DATOS!$B$14+2*E33))^(4/3))+((DATOS!$B$27*C34/(DATOS!$B$14*((AR34+AS34)/2)))^2/((DATOS!$B$14*((AR34+AS34)/2))/(DATOS!$B$14+2*((AR34+AS34)/2)))^(4/3)))*(A33-A34)))&lt;0,AS34,((AR34+AS34)/2))</f>
        <v/>
      </c>
      <c r="AV34" s="16">
        <f>IF((((AT34+AU34)/2)+(C34/(DATOS!$B$14*((AT34+AU34)/2)))^2/(2*9.81)+B34-(E33+(C33/(DATOS!$B$14*E33))^2/(2*9.81)+B33+0.5*(((DATOS!$B$27*C33/(DATOS!$B$14*E33))^2/((DATOS!$B$14*E33)/(DATOS!$B$14+2*E33))^(4/3))+((DATOS!$B$27*C34/(DATOS!$B$14*((AT34+AU34)/2)))^2/((DATOS!$B$14*((AT34+AU34)/2))/(DATOS!$B$14+2*((AT34+AU34)/2)))^(4/3)))*(A33-A34)))&lt;0,((AT34+AU34)/2),AT34)</f>
        <v/>
      </c>
      <c r="AW34" s="16">
        <f>IF((((AT34+AU34)/2)+(C34/(DATOS!$B$14*((AT34+AU34)/2)))^2/(2*9.81)+B34-(E33+(C33/(DATOS!$B$14*E33))^2/(2*9.81)+B33+0.5*(((DATOS!$B$27*C33/(DATOS!$B$14*E33))^2/((DATOS!$B$14*E33)/(DATOS!$B$14+2*E33))^(4/3))+((DATOS!$B$27*C34/(DATOS!$B$14*((AT34+AU34)/2)))^2/((DATOS!$B$14*((AT34+AU34)/2))/(DATOS!$B$14+2*((AT34+AU34)/2)))^(4/3)))*(A33-A34)))&lt;0,AU34,((AT34+AU34)/2))</f>
        <v/>
      </c>
      <c r="AX34" s="16">
        <f>IF((((AV34+AW34)/2)+(C34/(DATOS!$B$14*((AV34+AW34)/2)))^2/(2*9.81)+B34-(E33+(C33/(DATOS!$B$14*E33))^2/(2*9.81)+B33+0.5*(((DATOS!$B$27*C33/(DATOS!$B$14*E33))^2/((DATOS!$B$14*E33)/(DATOS!$B$14+2*E33))^(4/3))+((DATOS!$B$27*C34/(DATOS!$B$14*((AV34+AW34)/2)))^2/((DATOS!$B$14*((AV34+AW34)/2))/(DATOS!$B$14+2*((AV34+AW34)/2)))^(4/3)))*(A33-A34)))&lt;0,((AV34+AW34)/2),AV34)</f>
        <v/>
      </c>
      <c r="AY34" s="16">
        <f>IF((((AV34+AW34)/2)+(C34/(DATOS!$B$14*((AV34+AW34)/2)))^2/(2*9.81)+B34-(E33+(C33/(DATOS!$B$14*E33))^2/(2*9.81)+B33+0.5*(((DATOS!$B$27*C33/(DATOS!$B$14*E33))^2/((DATOS!$B$14*E33)/(DATOS!$B$14+2*E33))^(4/3))+((DATOS!$B$27*C34/(DATOS!$B$14*((AV34+AW34)/2)))^2/((DATOS!$B$14*((AV34+AW34)/2))/(DATOS!$B$14+2*((AV34+AW34)/2)))^(4/3)))*(A33-A34)))&lt;0,AW34,((AV34+AW34)/2))</f>
        <v/>
      </c>
      <c r="AZ34" s="16">
        <f>IF((((AX34+AY34)/2)+(C34/(DATOS!$B$14*((AX34+AY34)/2)))^2/(2*9.81)+B34-(E33+(C33/(DATOS!$B$14*E33))^2/(2*9.81)+B33+0.5*(((DATOS!$B$27*C33/(DATOS!$B$14*E33))^2/((DATOS!$B$14*E33)/(DATOS!$B$14+2*E33))^(4/3))+((DATOS!$B$27*C34/(DATOS!$B$14*((AX34+AY34)/2)))^2/((DATOS!$B$14*((AX34+AY34)/2))/(DATOS!$B$14+2*((AX34+AY34)/2)))^(4/3)))*(A33-A34)))&lt;0,((AX34+AY34)/2),AX34)</f>
        <v/>
      </c>
      <c r="BA34" s="16">
        <f>IF((((AX34+AY34)/2)+(C34/(DATOS!$B$14*((AX34+AY34)/2)))^2/(2*9.81)+B34-(E33+(C33/(DATOS!$B$14*E33))^2/(2*9.81)+B33+0.5*(((DATOS!$B$27*C33/(DATOS!$B$14*E33))^2/((DATOS!$B$14*E33)/(DATOS!$B$14+2*E33))^(4/3))+((DATOS!$B$27*C34/(DATOS!$B$14*((AX34+AY34)/2)))^2/((DATOS!$B$14*((AX34+AY34)/2))/(DATOS!$B$14+2*((AX34+AY34)/2)))^(4/3)))*(A33-A34)))&lt;0,AY34,((AX34+AY34)/2))</f>
        <v/>
      </c>
      <c r="BB34" s="16">
        <f>IF((((AZ34+BA34)/2)+(C34/(DATOS!$B$14*((AZ34+BA34)/2)))^2/(2*9.81)+B34-(E33+(C33/(DATOS!$B$14*E33))^2/(2*9.81)+B33+0.5*(((DATOS!$B$27*C33/(DATOS!$B$14*E33))^2/((DATOS!$B$14*E33)/(DATOS!$B$14+2*E33))^(4/3))+((DATOS!$B$27*C34/(DATOS!$B$14*((AZ34+BA34)/2)))^2/((DATOS!$B$14*((AZ34+BA34)/2))/(DATOS!$B$14+2*((AZ34+BA34)/2)))^(4/3)))*(A33-A34)))&lt;0,((AZ34+BA34)/2),AZ34)</f>
        <v/>
      </c>
      <c r="BC34" s="16">
        <f>IF((((AZ34+BA34)/2)+(C34/(DATOS!$B$14*((AZ34+BA34)/2)))^2/(2*9.81)+B34-(E33+(C33/(DATOS!$B$14*E33))^2/(2*9.81)+B33+0.5*(((DATOS!$B$27*C33/(DATOS!$B$14*E33))^2/((DATOS!$B$14*E33)/(DATOS!$B$14+2*E33))^(4/3))+((DATOS!$B$27*C34/(DATOS!$B$14*((AZ34+BA34)/2)))^2/((DATOS!$B$14*((AZ34+BA34)/2))/(DATOS!$B$14+2*((AZ34+BA34)/2)))^(4/3)))*(A33-A34)))&lt;0,BA34,((AZ34+BA34)/2))</f>
        <v/>
      </c>
      <c r="BD34" s="16">
        <f>IF((((BB34+BC34)/2)+(C34/(DATOS!$B$14*((BB34+BC34)/2)))^2/(2*9.81)+B34-(E33+(C33/(DATOS!$B$14*E33))^2/(2*9.81)+B33+0.5*(((DATOS!$B$27*C33/(DATOS!$B$14*E33))^2/((DATOS!$B$14*E33)/(DATOS!$B$14+2*E33))^(4/3))+((DATOS!$B$27*C34/(DATOS!$B$14*((BB34+BC34)/2)))^2/((DATOS!$B$14*((BB34+BC34)/2))/(DATOS!$B$14+2*((BB34+BC34)/2)))^(4/3)))*(A33-A34)))&lt;0,((BB34+BC34)/2),BB34)</f>
        <v/>
      </c>
      <c r="BE34" s="16">
        <f>IF((((BB34+BC34)/2)+(C34/(DATOS!$B$14*((BB34+BC34)/2)))^2/(2*9.81)+B34-(E33+(C33/(DATOS!$B$14*E33))^2/(2*9.81)+B33+0.5*(((DATOS!$B$27*C33/(DATOS!$B$14*E33))^2/((DATOS!$B$14*E33)/(DATOS!$B$14+2*E33))^(4/3))+((DATOS!$B$27*C34/(DATOS!$B$14*((BB34+BC34)/2)))^2/((DATOS!$B$14*((BB34+BC34)/2))/(DATOS!$B$14+2*((BB34+BC34)/2)))^(4/3)))*(A33-A34)))&lt;0,BC34,((BB34+BC34)/2))</f>
        <v/>
      </c>
      <c r="BF34" s="16">
        <f>IF((((BD34+BE34)/2)+(C34/(DATOS!$B$14*((BD34+BE34)/2)))^2/(2*9.81)+B34-(E33+(C33/(DATOS!$B$14*E33))^2/(2*9.81)+B33+0.5*(((DATOS!$B$27*C33/(DATOS!$B$14*E33))^2/((DATOS!$B$14*E33)/(DATOS!$B$14+2*E33))^(4/3))+((DATOS!$B$27*C34/(DATOS!$B$14*((BD34+BE34)/2)))^2/((DATOS!$B$14*((BD34+BE34)/2))/(DATOS!$B$14+2*((BD34+BE34)/2)))^(4/3)))*(A33-A34)))&lt;0,((BD34+BE34)/2),BD34)</f>
        <v/>
      </c>
      <c r="BG34" s="16">
        <f>IF((((BD34+BE34)/2)+(C34/(DATOS!$B$14*((BD34+BE34)/2)))^2/(2*9.81)+B34-(E33+(C33/(DATOS!$B$14*E33))^2/(2*9.81)+B33+0.5*(((DATOS!$B$27*C33/(DATOS!$B$14*E33))^2/((DATOS!$B$14*E33)/(DATOS!$B$14+2*E33))^(4/3))+((DATOS!$B$27*C34/(DATOS!$B$14*((BD34+BE34)/2)))^2/((DATOS!$B$14*((BD34+BE34)/2))/(DATOS!$B$14+2*((BD34+BE34)/2)))^(4/3)))*(A33-A34)))&lt;0,BE34,((BD34+BE34)/2))</f>
        <v/>
      </c>
      <c r="BH34" s="16">
        <f>IF((((BF34+BG34)/2)+(C34/(DATOS!$B$14*((BF34+BG34)/2)))^2/(2*9.81)+B34-(E33+(C33/(DATOS!$B$14*E33))^2/(2*9.81)+B33+0.5*(((DATOS!$B$27*C33/(DATOS!$B$14*E33))^2/((DATOS!$B$14*E33)/(DATOS!$B$14+2*E33))^(4/3))+((DATOS!$B$27*C34/(DATOS!$B$14*((BF34+BG34)/2)))^2/((DATOS!$B$14*((BF34+BG34)/2))/(DATOS!$B$14+2*((BF34+BG34)/2)))^(4/3)))*(A33-A34)))&lt;0,((BF34+BG34)/2),BF34)</f>
        <v/>
      </c>
      <c r="BI34" s="16">
        <f>IF((((BF34+BG34)/2)+(C34/(DATOS!$B$14*((BF34+BG34)/2)))^2/(2*9.81)+B34-(E33+(C33/(DATOS!$B$14*E33))^2/(2*9.81)+B33+0.5*(((DATOS!$B$27*C33/(DATOS!$B$14*E33))^2/((DATOS!$B$14*E33)/(DATOS!$B$14+2*E33))^(4/3))+((DATOS!$B$27*C34/(DATOS!$B$14*((BF34+BG34)/2)))^2/((DATOS!$B$14*((BF34+BG34)/2))/(DATOS!$B$14+2*((BF34+BG34)/2)))^(4/3)))*(A33-A34)))&lt;0,BG34,((BF34+BG34)/2))</f>
        <v/>
      </c>
      <c r="BJ34" s="16">
        <f>IF((((BH34+BI34)/2)+(C34/(DATOS!$B$14*((BH34+BI34)/2)))^2/(2*9.81)+B34-(E33+(C33/(DATOS!$B$14*E33))^2/(2*9.81)+B33+0.5*(((DATOS!$B$27*C33/(DATOS!$B$14*E33))^2/((DATOS!$B$14*E33)/(DATOS!$B$14+2*E33))^(4/3))+((DATOS!$B$27*C34/(DATOS!$B$14*((BH34+BI34)/2)))^2/((DATOS!$B$14*((BH34+BI34)/2))/(DATOS!$B$14+2*((BH34+BI34)/2)))^(4/3)))*(A33-A34)))&lt;0,((BH34+BI34)/2),BH34)</f>
        <v/>
      </c>
      <c r="BK34" s="16">
        <f>IF((((BH34+BI34)/2)+(C34/(DATOS!$B$14*((BH34+BI34)/2)))^2/(2*9.81)+B34-(E33+(C33/(DATOS!$B$14*E33))^2/(2*9.81)+B33+0.5*(((DATOS!$B$27*C33/(DATOS!$B$14*E33))^2/((DATOS!$B$14*E33)/(DATOS!$B$14+2*E33))^(4/3))+((DATOS!$B$27*C34/(DATOS!$B$14*((BH34+BI34)/2)))^2/((DATOS!$B$14*((BH34+BI34)/2))/(DATOS!$B$14+2*((BH34+BI34)/2)))^(4/3)))*(A33-A34)))&lt;0,BI34,((BH34+BI34)/2))</f>
        <v/>
      </c>
      <c r="BL34" s="16">
        <f>IF((((BJ34+BK34)/2)+(C34/(DATOS!$B$14*((BJ34+BK34)/2)))^2/(2*9.81)+B34-(E33+(C33/(DATOS!$B$14*E33))^2/(2*9.81)+B33+0.5*(((DATOS!$B$27*C33/(DATOS!$B$14*E33))^2/((DATOS!$B$14*E33)/(DATOS!$B$14+2*E33))^(4/3))+((DATOS!$B$27*C34/(DATOS!$B$14*((BJ34+BK34)/2)))^2/((DATOS!$B$14*((BJ34+BK34)/2))/(DATOS!$B$14+2*((BJ34+BK34)/2)))^(4/3)))*(A33-A34)))&lt;0,((BJ34+BK34)/2),BJ34)</f>
        <v/>
      </c>
      <c r="BM34" s="16">
        <f>IF((((BJ34+BK34)/2)+(C34/(DATOS!$B$14*((BJ34+BK34)/2)))^2/(2*9.81)+B34-(E33+(C33/(DATOS!$B$14*E33))^2/(2*9.81)+B33+0.5*(((DATOS!$B$27*C33/(DATOS!$B$14*E33))^2/((DATOS!$B$14*E33)/(DATOS!$B$14+2*E33))^(4/3))+((DATOS!$B$27*C34/(DATOS!$B$14*((BJ34+BK34)/2)))^2/((DATOS!$B$14*((BJ34+BK34)/2))/(DATOS!$B$14+2*((BJ34+BK34)/2)))^(4/3)))*(A33-A34)))&lt;0,BK34,((BJ34+BK34)/2))</f>
        <v/>
      </c>
      <c r="BN34" s="16">
        <f>IF((((BL34+BM34)/2)+(C34/(DATOS!$B$14*((BL34+BM34)/2)))^2/(2*9.81)+B34-(E33+(C33/(DATOS!$B$14*E33))^2/(2*9.81)+B33+0.5*(((DATOS!$B$27*C33/(DATOS!$B$14*E33))^2/((DATOS!$B$14*E33)/(DATOS!$B$14+2*E33))^(4/3))+((DATOS!$B$27*C34/(DATOS!$B$14*((BL34+BM34)/2)))^2/((DATOS!$B$14*((BL34+BM34)/2))/(DATOS!$B$14+2*((BL34+BM34)/2)))^(4/3)))*(A33-A34)))&lt;0,((BL34+BM34)/2),BL34)</f>
        <v/>
      </c>
      <c r="BO34" s="16">
        <f>IF((((BL34+BM34)/2)+(C34/(DATOS!$B$14*((BL34+BM34)/2)))^2/(2*9.81)+B34-(E33+(C33/(DATOS!$B$14*E33))^2/(2*9.81)+B33+0.5*(((DATOS!$B$27*C33/(DATOS!$B$14*E33))^2/((DATOS!$B$14*E33)/(DATOS!$B$14+2*E33))^(4/3))+((DATOS!$B$27*C34/(DATOS!$B$14*((BL34+BM34)/2)))^2/((DATOS!$B$14*((BL34+BM34)/2))/(DATOS!$B$14+2*((BL34+BM34)/2)))^(4/3)))*(A33-A34)))&lt;0,BM34,((BL34+BM34)/2))</f>
        <v/>
      </c>
      <c r="BP34" s="16">
        <f>IF((((BN34+BO34)/2)+(C34/(DATOS!$B$14*((BN34+BO34)/2)))^2/(2*9.81)+B34-(E33+(C33/(DATOS!$B$14*E33))^2/(2*9.81)+B33+0.5*(((DATOS!$B$27*C33/(DATOS!$B$14*E33))^2/((DATOS!$B$14*E33)/(DATOS!$B$14+2*E33))^(4/3))+((DATOS!$B$27*C34/(DATOS!$B$14*((BN34+BO34)/2)))^2/((DATOS!$B$14*((BN34+BO34)/2))/(DATOS!$B$14+2*((BN34+BO34)/2)))^(4/3)))*(A33-A34)))&lt;0,((BN34+BO34)/2),BN34)</f>
        <v/>
      </c>
      <c r="BQ34" s="16">
        <f>IF((((BN34+BO34)/2)+(C34/(DATOS!$B$14*((BN34+BO34)/2)))^2/(2*9.81)+B34-(E33+(C33/(DATOS!$B$14*E33))^2/(2*9.81)+B33+0.5*(((DATOS!$B$27*C33/(DATOS!$B$14*E33))^2/((DATOS!$B$14*E33)/(DATOS!$B$14+2*E33))^(4/3))+((DATOS!$B$27*C34/(DATOS!$B$14*((BN34+BO34)/2)))^2/((DATOS!$B$14*((BN34+BO34)/2))/(DATOS!$B$14+2*((BN34+BO34)/2)))^(4/3)))*(A33-A34)))&lt;0,BO34,((BN34+BO34)/2))</f>
        <v/>
      </c>
      <c r="BR34" s="16">
        <f>IF((((BP34+BQ34)/2)+(C34/(DATOS!$B$14*((BP34+BQ34)/2)))^2/(2*9.81)+B34-(E33+(C33/(DATOS!$B$14*E33))^2/(2*9.81)+B33+0.5*(((DATOS!$B$27*C33/(DATOS!$B$14*E33))^2/((DATOS!$B$14*E33)/(DATOS!$B$14+2*E33))^(4/3))+((DATOS!$B$27*C34/(DATOS!$B$14*((BP34+BQ34)/2)))^2/((DATOS!$B$14*((BP34+BQ34)/2))/(DATOS!$B$14+2*((BP34+BQ34)/2)))^(4/3)))*(A33-A34)))&lt;0,((BP34+BQ34)/2),BP34)</f>
        <v/>
      </c>
      <c r="BS34" s="16">
        <f>IF((((BP34+BQ34)/2)+(C34/(DATOS!$B$14*((BP34+BQ34)/2)))^2/(2*9.81)+B34-(E33+(C33/(DATOS!$B$14*E33))^2/(2*9.81)+B33+0.5*(((DATOS!$B$27*C33/(DATOS!$B$14*E33))^2/((DATOS!$B$14*E33)/(DATOS!$B$14+2*E33))^(4/3))+((DATOS!$B$27*C34/(DATOS!$B$14*((BP34+BQ34)/2)))^2/((DATOS!$B$14*((BP34+BQ34)/2))/(DATOS!$B$14+2*((BP34+BQ34)/2)))^(4/3)))*(A33-A34)))&lt;0,BQ34,((BP34+BQ34)/2))</f>
        <v/>
      </c>
      <c r="BT34" s="16">
        <f>IF((((BR34+BS34)/2)+(C34/(DATOS!$B$14*((BR34+BS34)/2)))^2/(2*9.81)+B34-(E33+(C33/(DATOS!$B$14*E33))^2/(2*9.81)+B33+0.5*(((DATOS!$B$27*C33/(DATOS!$B$14*E33))^2/((DATOS!$B$14*E33)/(DATOS!$B$14+2*E33))^(4/3))+((DATOS!$B$27*C34/(DATOS!$B$14*((BR34+BS34)/2)))^2/((DATOS!$B$14*((BR34+BS34)/2))/(DATOS!$B$14+2*((BR34+BS34)/2)))^(4/3)))*(A33-A34)))&lt;0,((BR34+BS34)/2),BR34)</f>
        <v/>
      </c>
      <c r="BU34" s="16">
        <f>IF((((BR34+BS34)/2)+(C34/(DATOS!$B$14*((BR34+BS34)/2)))^2/(2*9.81)+B34-(E33+(C33/(DATOS!$B$14*E33))^2/(2*9.81)+B33+0.5*(((DATOS!$B$27*C33/(DATOS!$B$14*E33))^2/((DATOS!$B$14*E33)/(DATOS!$B$14+2*E33))^(4/3))+((DATOS!$B$27*C34/(DATOS!$B$14*((BR34+BS34)/2)))^2/((DATOS!$B$14*((BR34+BS34)/2))/(DATOS!$B$14+2*((BR34+BS34)/2)))^(4/3)))*(A33-A34)))&lt;0,BS34,((BR34+BS34)/2))</f>
        <v/>
      </c>
    </row>
    <row r="35">
      <c r="A35" s="30" t="n">
        <v>80</v>
      </c>
      <c r="B35" s="21">
        <f>DATOS!$B$16-DATOS!$B$19*A35</f>
        <v/>
      </c>
      <c r="C35" s="21">
        <f>IF(A35&lt;CAUDALES!$B$13,CAUDALES!$D$12,IF(A35&lt;CAUDALES!$B$14,CAUDALES!$D$13,IF(A35&lt;CAUDALES!$B$15,CAUDALES!$D$14,CAUDALES!$D$15)))/1000</f>
        <v/>
      </c>
      <c r="D35" s="21">
        <f>(C35^2/(9.81*DATOS!$B$14^2))^(1/3)</f>
        <v/>
      </c>
      <c r="E35" s="29">
        <f>(BT35+BU35)/2</f>
        <v/>
      </c>
      <c r="F35" s="21">
        <f>B35+E35</f>
        <v/>
      </c>
      <c r="G35" s="17">
        <f>C35/(DATOS!$B$14*E35)</f>
        <v/>
      </c>
      <c r="H35" s="17">
        <f>G35/SQRT(9.81*E35)</f>
        <v/>
      </c>
      <c r="I35" s="21">
        <f>IF(A35&lt;=DATOS!$B$20,DATOS!$B$21-IF(AND(A35&gt;=DATOS!$B$23,A35&lt;DATOS!$B$24),DATOS!$B$25,DATOS!$B$22),B35+DATOS!$B$26)</f>
        <v/>
      </c>
      <c r="J35" s="17">
        <f>I35-B35</f>
        <v/>
      </c>
      <c r="K35" s="31">
        <f>E35/J35</f>
        <v/>
      </c>
      <c r="L35" s="21">
        <f>I35-F35</f>
        <v/>
      </c>
      <c r="M35" s="32">
        <f>IF(AND(K35&lt;=DATOS!$B$29,L35&gt;=DATOS!$B$30),"CUMPLE","NO CUMPLE")</f>
        <v/>
      </c>
      <c r="N35" s="13">
        <f>IF(A35&gt;DATOS!$B$20,"cubierto - tramo final",IF(AND(A35&gt;=DATOS!$B$23,A35&lt;DATOS!$B$24),"cubierto - camiones","cubierto"))</f>
        <v/>
      </c>
      <c r="P35" s="16">
        <f>D35*1.001</f>
        <v/>
      </c>
      <c r="Q35" s="16" t="n">
        <v>2</v>
      </c>
      <c r="R35" s="16">
        <f>IF((((P35+Q35)/2)+(C35/(DATOS!$B$14*((P35+Q35)/2)))^2/(2*9.81)+B35-(E34+(C34/(DATOS!$B$14*E34))^2/(2*9.81)+B34+0.5*(((DATOS!$B$27*C34/(DATOS!$B$14*E34))^2/((DATOS!$B$14*E34)/(DATOS!$B$14+2*E34))^(4/3))+((DATOS!$B$27*C35/(DATOS!$B$14*((P35+Q35)/2)))^2/((DATOS!$B$14*((P35+Q35)/2))/(DATOS!$B$14+2*((P35+Q35)/2)))^(4/3)))*(A34-A35)))&lt;0,((P35+Q35)/2),P35)</f>
        <v/>
      </c>
      <c r="S35" s="16">
        <f>IF((((P35+Q35)/2)+(C35/(DATOS!$B$14*((P35+Q35)/2)))^2/(2*9.81)+B35-(E34+(C34/(DATOS!$B$14*E34))^2/(2*9.81)+B34+0.5*(((DATOS!$B$27*C34/(DATOS!$B$14*E34))^2/((DATOS!$B$14*E34)/(DATOS!$B$14+2*E34))^(4/3))+((DATOS!$B$27*C35/(DATOS!$B$14*((P35+Q35)/2)))^2/((DATOS!$B$14*((P35+Q35)/2))/(DATOS!$B$14+2*((P35+Q35)/2)))^(4/3)))*(A34-A35)))&lt;0,Q35,((P35+Q35)/2))</f>
        <v/>
      </c>
      <c r="T35" s="16">
        <f>IF((((R35+S35)/2)+(C35/(DATOS!$B$14*((R35+S35)/2)))^2/(2*9.81)+B35-(E34+(C34/(DATOS!$B$14*E34))^2/(2*9.81)+B34+0.5*(((DATOS!$B$27*C34/(DATOS!$B$14*E34))^2/((DATOS!$B$14*E34)/(DATOS!$B$14+2*E34))^(4/3))+((DATOS!$B$27*C35/(DATOS!$B$14*((R35+S35)/2)))^2/((DATOS!$B$14*((R35+S35)/2))/(DATOS!$B$14+2*((R35+S35)/2)))^(4/3)))*(A34-A35)))&lt;0,((R35+S35)/2),R35)</f>
        <v/>
      </c>
      <c r="U35" s="16">
        <f>IF((((R35+S35)/2)+(C35/(DATOS!$B$14*((R35+S35)/2)))^2/(2*9.81)+B35-(E34+(C34/(DATOS!$B$14*E34))^2/(2*9.81)+B34+0.5*(((DATOS!$B$27*C34/(DATOS!$B$14*E34))^2/((DATOS!$B$14*E34)/(DATOS!$B$14+2*E34))^(4/3))+((DATOS!$B$27*C35/(DATOS!$B$14*((R35+S35)/2)))^2/((DATOS!$B$14*((R35+S35)/2))/(DATOS!$B$14+2*((R35+S35)/2)))^(4/3)))*(A34-A35)))&lt;0,S35,((R35+S35)/2))</f>
        <v/>
      </c>
      <c r="V35" s="16">
        <f>IF((((T35+U35)/2)+(C35/(DATOS!$B$14*((T35+U35)/2)))^2/(2*9.81)+B35-(E34+(C34/(DATOS!$B$14*E34))^2/(2*9.81)+B34+0.5*(((DATOS!$B$27*C34/(DATOS!$B$14*E34))^2/((DATOS!$B$14*E34)/(DATOS!$B$14+2*E34))^(4/3))+((DATOS!$B$27*C35/(DATOS!$B$14*((T35+U35)/2)))^2/((DATOS!$B$14*((T35+U35)/2))/(DATOS!$B$14+2*((T35+U35)/2)))^(4/3)))*(A34-A35)))&lt;0,((T35+U35)/2),T35)</f>
        <v/>
      </c>
      <c r="W35" s="16">
        <f>IF((((T35+U35)/2)+(C35/(DATOS!$B$14*((T35+U35)/2)))^2/(2*9.81)+B35-(E34+(C34/(DATOS!$B$14*E34))^2/(2*9.81)+B34+0.5*(((DATOS!$B$27*C34/(DATOS!$B$14*E34))^2/((DATOS!$B$14*E34)/(DATOS!$B$14+2*E34))^(4/3))+((DATOS!$B$27*C35/(DATOS!$B$14*((T35+U35)/2)))^2/((DATOS!$B$14*((T35+U35)/2))/(DATOS!$B$14+2*((T35+U35)/2)))^(4/3)))*(A34-A35)))&lt;0,U35,((T35+U35)/2))</f>
        <v/>
      </c>
      <c r="X35" s="16">
        <f>IF((((V35+W35)/2)+(C35/(DATOS!$B$14*((V35+W35)/2)))^2/(2*9.81)+B35-(E34+(C34/(DATOS!$B$14*E34))^2/(2*9.81)+B34+0.5*(((DATOS!$B$27*C34/(DATOS!$B$14*E34))^2/((DATOS!$B$14*E34)/(DATOS!$B$14+2*E34))^(4/3))+((DATOS!$B$27*C35/(DATOS!$B$14*((V35+W35)/2)))^2/((DATOS!$B$14*((V35+W35)/2))/(DATOS!$B$14+2*((V35+W35)/2)))^(4/3)))*(A34-A35)))&lt;0,((V35+W35)/2),V35)</f>
        <v/>
      </c>
      <c r="Y35" s="16">
        <f>IF((((V35+W35)/2)+(C35/(DATOS!$B$14*((V35+W35)/2)))^2/(2*9.81)+B35-(E34+(C34/(DATOS!$B$14*E34))^2/(2*9.81)+B34+0.5*(((DATOS!$B$27*C34/(DATOS!$B$14*E34))^2/((DATOS!$B$14*E34)/(DATOS!$B$14+2*E34))^(4/3))+((DATOS!$B$27*C35/(DATOS!$B$14*((V35+W35)/2)))^2/((DATOS!$B$14*((V35+W35)/2))/(DATOS!$B$14+2*((V35+W35)/2)))^(4/3)))*(A34-A35)))&lt;0,W35,((V35+W35)/2))</f>
        <v/>
      </c>
      <c r="Z35" s="16">
        <f>IF((((X35+Y35)/2)+(C35/(DATOS!$B$14*((X35+Y35)/2)))^2/(2*9.81)+B35-(E34+(C34/(DATOS!$B$14*E34))^2/(2*9.81)+B34+0.5*(((DATOS!$B$27*C34/(DATOS!$B$14*E34))^2/((DATOS!$B$14*E34)/(DATOS!$B$14+2*E34))^(4/3))+((DATOS!$B$27*C35/(DATOS!$B$14*((X35+Y35)/2)))^2/((DATOS!$B$14*((X35+Y35)/2))/(DATOS!$B$14+2*((X35+Y35)/2)))^(4/3)))*(A34-A35)))&lt;0,((X35+Y35)/2),X35)</f>
        <v/>
      </c>
      <c r="AA35" s="16">
        <f>IF((((X35+Y35)/2)+(C35/(DATOS!$B$14*((X35+Y35)/2)))^2/(2*9.81)+B35-(E34+(C34/(DATOS!$B$14*E34))^2/(2*9.81)+B34+0.5*(((DATOS!$B$27*C34/(DATOS!$B$14*E34))^2/((DATOS!$B$14*E34)/(DATOS!$B$14+2*E34))^(4/3))+((DATOS!$B$27*C35/(DATOS!$B$14*((X35+Y35)/2)))^2/((DATOS!$B$14*((X35+Y35)/2))/(DATOS!$B$14+2*((X35+Y35)/2)))^(4/3)))*(A34-A35)))&lt;0,Y35,((X35+Y35)/2))</f>
        <v/>
      </c>
      <c r="AB35" s="16">
        <f>IF((((Z35+AA35)/2)+(C35/(DATOS!$B$14*((Z35+AA35)/2)))^2/(2*9.81)+B35-(E34+(C34/(DATOS!$B$14*E34))^2/(2*9.81)+B34+0.5*(((DATOS!$B$27*C34/(DATOS!$B$14*E34))^2/((DATOS!$B$14*E34)/(DATOS!$B$14+2*E34))^(4/3))+((DATOS!$B$27*C35/(DATOS!$B$14*((Z35+AA35)/2)))^2/((DATOS!$B$14*((Z35+AA35)/2))/(DATOS!$B$14+2*((Z35+AA35)/2)))^(4/3)))*(A34-A35)))&lt;0,((Z35+AA35)/2),Z35)</f>
        <v/>
      </c>
      <c r="AC35" s="16">
        <f>IF((((Z35+AA35)/2)+(C35/(DATOS!$B$14*((Z35+AA35)/2)))^2/(2*9.81)+B35-(E34+(C34/(DATOS!$B$14*E34))^2/(2*9.81)+B34+0.5*(((DATOS!$B$27*C34/(DATOS!$B$14*E34))^2/((DATOS!$B$14*E34)/(DATOS!$B$14+2*E34))^(4/3))+((DATOS!$B$27*C35/(DATOS!$B$14*((Z35+AA35)/2)))^2/((DATOS!$B$14*((Z35+AA35)/2))/(DATOS!$B$14+2*((Z35+AA35)/2)))^(4/3)))*(A34-A35)))&lt;0,AA35,((Z35+AA35)/2))</f>
        <v/>
      </c>
      <c r="AD35" s="16">
        <f>IF((((AB35+AC35)/2)+(C35/(DATOS!$B$14*((AB35+AC35)/2)))^2/(2*9.81)+B35-(E34+(C34/(DATOS!$B$14*E34))^2/(2*9.81)+B34+0.5*(((DATOS!$B$27*C34/(DATOS!$B$14*E34))^2/((DATOS!$B$14*E34)/(DATOS!$B$14+2*E34))^(4/3))+((DATOS!$B$27*C35/(DATOS!$B$14*((AB35+AC35)/2)))^2/((DATOS!$B$14*((AB35+AC35)/2))/(DATOS!$B$14+2*((AB35+AC35)/2)))^(4/3)))*(A34-A35)))&lt;0,((AB35+AC35)/2),AB35)</f>
        <v/>
      </c>
      <c r="AE35" s="16">
        <f>IF((((AB35+AC35)/2)+(C35/(DATOS!$B$14*((AB35+AC35)/2)))^2/(2*9.81)+B35-(E34+(C34/(DATOS!$B$14*E34))^2/(2*9.81)+B34+0.5*(((DATOS!$B$27*C34/(DATOS!$B$14*E34))^2/((DATOS!$B$14*E34)/(DATOS!$B$14+2*E34))^(4/3))+((DATOS!$B$27*C35/(DATOS!$B$14*((AB35+AC35)/2)))^2/((DATOS!$B$14*((AB35+AC35)/2))/(DATOS!$B$14+2*((AB35+AC35)/2)))^(4/3)))*(A34-A35)))&lt;0,AC35,((AB35+AC35)/2))</f>
        <v/>
      </c>
      <c r="AF35" s="16">
        <f>IF((((AD35+AE35)/2)+(C35/(DATOS!$B$14*((AD35+AE35)/2)))^2/(2*9.81)+B35-(E34+(C34/(DATOS!$B$14*E34))^2/(2*9.81)+B34+0.5*(((DATOS!$B$27*C34/(DATOS!$B$14*E34))^2/((DATOS!$B$14*E34)/(DATOS!$B$14+2*E34))^(4/3))+((DATOS!$B$27*C35/(DATOS!$B$14*((AD35+AE35)/2)))^2/((DATOS!$B$14*((AD35+AE35)/2))/(DATOS!$B$14+2*((AD35+AE35)/2)))^(4/3)))*(A34-A35)))&lt;0,((AD35+AE35)/2),AD35)</f>
        <v/>
      </c>
      <c r="AG35" s="16">
        <f>IF((((AD35+AE35)/2)+(C35/(DATOS!$B$14*((AD35+AE35)/2)))^2/(2*9.81)+B35-(E34+(C34/(DATOS!$B$14*E34))^2/(2*9.81)+B34+0.5*(((DATOS!$B$27*C34/(DATOS!$B$14*E34))^2/((DATOS!$B$14*E34)/(DATOS!$B$14+2*E34))^(4/3))+((DATOS!$B$27*C35/(DATOS!$B$14*((AD35+AE35)/2)))^2/((DATOS!$B$14*((AD35+AE35)/2))/(DATOS!$B$14+2*((AD35+AE35)/2)))^(4/3)))*(A34-A35)))&lt;0,AE35,((AD35+AE35)/2))</f>
        <v/>
      </c>
      <c r="AH35" s="16">
        <f>IF((((AF35+AG35)/2)+(C35/(DATOS!$B$14*((AF35+AG35)/2)))^2/(2*9.81)+B35-(E34+(C34/(DATOS!$B$14*E34))^2/(2*9.81)+B34+0.5*(((DATOS!$B$27*C34/(DATOS!$B$14*E34))^2/((DATOS!$B$14*E34)/(DATOS!$B$14+2*E34))^(4/3))+((DATOS!$B$27*C35/(DATOS!$B$14*((AF35+AG35)/2)))^2/((DATOS!$B$14*((AF35+AG35)/2))/(DATOS!$B$14+2*((AF35+AG35)/2)))^(4/3)))*(A34-A35)))&lt;0,((AF35+AG35)/2),AF35)</f>
        <v/>
      </c>
      <c r="AI35" s="16">
        <f>IF((((AF35+AG35)/2)+(C35/(DATOS!$B$14*((AF35+AG35)/2)))^2/(2*9.81)+B35-(E34+(C34/(DATOS!$B$14*E34))^2/(2*9.81)+B34+0.5*(((DATOS!$B$27*C34/(DATOS!$B$14*E34))^2/((DATOS!$B$14*E34)/(DATOS!$B$14+2*E34))^(4/3))+((DATOS!$B$27*C35/(DATOS!$B$14*((AF35+AG35)/2)))^2/((DATOS!$B$14*((AF35+AG35)/2))/(DATOS!$B$14+2*((AF35+AG35)/2)))^(4/3)))*(A34-A35)))&lt;0,AG35,((AF35+AG35)/2))</f>
        <v/>
      </c>
      <c r="AJ35" s="16">
        <f>IF((((AH35+AI35)/2)+(C35/(DATOS!$B$14*((AH35+AI35)/2)))^2/(2*9.81)+B35-(E34+(C34/(DATOS!$B$14*E34))^2/(2*9.81)+B34+0.5*(((DATOS!$B$27*C34/(DATOS!$B$14*E34))^2/((DATOS!$B$14*E34)/(DATOS!$B$14+2*E34))^(4/3))+((DATOS!$B$27*C35/(DATOS!$B$14*((AH35+AI35)/2)))^2/((DATOS!$B$14*((AH35+AI35)/2))/(DATOS!$B$14+2*((AH35+AI35)/2)))^(4/3)))*(A34-A35)))&lt;0,((AH35+AI35)/2),AH35)</f>
        <v/>
      </c>
      <c r="AK35" s="16">
        <f>IF((((AH35+AI35)/2)+(C35/(DATOS!$B$14*((AH35+AI35)/2)))^2/(2*9.81)+B35-(E34+(C34/(DATOS!$B$14*E34))^2/(2*9.81)+B34+0.5*(((DATOS!$B$27*C34/(DATOS!$B$14*E34))^2/((DATOS!$B$14*E34)/(DATOS!$B$14+2*E34))^(4/3))+((DATOS!$B$27*C35/(DATOS!$B$14*((AH35+AI35)/2)))^2/((DATOS!$B$14*((AH35+AI35)/2))/(DATOS!$B$14+2*((AH35+AI35)/2)))^(4/3)))*(A34-A35)))&lt;0,AI35,((AH35+AI35)/2))</f>
        <v/>
      </c>
      <c r="AL35" s="16">
        <f>IF((((AJ35+AK35)/2)+(C35/(DATOS!$B$14*((AJ35+AK35)/2)))^2/(2*9.81)+B35-(E34+(C34/(DATOS!$B$14*E34))^2/(2*9.81)+B34+0.5*(((DATOS!$B$27*C34/(DATOS!$B$14*E34))^2/((DATOS!$B$14*E34)/(DATOS!$B$14+2*E34))^(4/3))+((DATOS!$B$27*C35/(DATOS!$B$14*((AJ35+AK35)/2)))^2/((DATOS!$B$14*((AJ35+AK35)/2))/(DATOS!$B$14+2*((AJ35+AK35)/2)))^(4/3)))*(A34-A35)))&lt;0,((AJ35+AK35)/2),AJ35)</f>
        <v/>
      </c>
      <c r="AM35" s="16">
        <f>IF((((AJ35+AK35)/2)+(C35/(DATOS!$B$14*((AJ35+AK35)/2)))^2/(2*9.81)+B35-(E34+(C34/(DATOS!$B$14*E34))^2/(2*9.81)+B34+0.5*(((DATOS!$B$27*C34/(DATOS!$B$14*E34))^2/((DATOS!$B$14*E34)/(DATOS!$B$14+2*E34))^(4/3))+((DATOS!$B$27*C35/(DATOS!$B$14*((AJ35+AK35)/2)))^2/((DATOS!$B$14*((AJ35+AK35)/2))/(DATOS!$B$14+2*((AJ35+AK35)/2)))^(4/3)))*(A34-A35)))&lt;0,AK35,((AJ35+AK35)/2))</f>
        <v/>
      </c>
      <c r="AN35" s="16">
        <f>IF((((AL35+AM35)/2)+(C35/(DATOS!$B$14*((AL35+AM35)/2)))^2/(2*9.81)+B35-(E34+(C34/(DATOS!$B$14*E34))^2/(2*9.81)+B34+0.5*(((DATOS!$B$27*C34/(DATOS!$B$14*E34))^2/((DATOS!$B$14*E34)/(DATOS!$B$14+2*E34))^(4/3))+((DATOS!$B$27*C35/(DATOS!$B$14*((AL35+AM35)/2)))^2/((DATOS!$B$14*((AL35+AM35)/2))/(DATOS!$B$14+2*((AL35+AM35)/2)))^(4/3)))*(A34-A35)))&lt;0,((AL35+AM35)/2),AL35)</f>
        <v/>
      </c>
      <c r="AO35" s="16">
        <f>IF((((AL35+AM35)/2)+(C35/(DATOS!$B$14*((AL35+AM35)/2)))^2/(2*9.81)+B35-(E34+(C34/(DATOS!$B$14*E34))^2/(2*9.81)+B34+0.5*(((DATOS!$B$27*C34/(DATOS!$B$14*E34))^2/((DATOS!$B$14*E34)/(DATOS!$B$14+2*E34))^(4/3))+((DATOS!$B$27*C35/(DATOS!$B$14*((AL35+AM35)/2)))^2/((DATOS!$B$14*((AL35+AM35)/2))/(DATOS!$B$14+2*((AL35+AM35)/2)))^(4/3)))*(A34-A35)))&lt;0,AM35,((AL35+AM35)/2))</f>
        <v/>
      </c>
      <c r="AP35" s="16">
        <f>IF((((AN35+AO35)/2)+(C35/(DATOS!$B$14*((AN35+AO35)/2)))^2/(2*9.81)+B35-(E34+(C34/(DATOS!$B$14*E34))^2/(2*9.81)+B34+0.5*(((DATOS!$B$27*C34/(DATOS!$B$14*E34))^2/((DATOS!$B$14*E34)/(DATOS!$B$14+2*E34))^(4/3))+((DATOS!$B$27*C35/(DATOS!$B$14*((AN35+AO35)/2)))^2/((DATOS!$B$14*((AN35+AO35)/2))/(DATOS!$B$14+2*((AN35+AO35)/2)))^(4/3)))*(A34-A35)))&lt;0,((AN35+AO35)/2),AN35)</f>
        <v/>
      </c>
      <c r="AQ35" s="16">
        <f>IF((((AN35+AO35)/2)+(C35/(DATOS!$B$14*((AN35+AO35)/2)))^2/(2*9.81)+B35-(E34+(C34/(DATOS!$B$14*E34))^2/(2*9.81)+B34+0.5*(((DATOS!$B$27*C34/(DATOS!$B$14*E34))^2/((DATOS!$B$14*E34)/(DATOS!$B$14+2*E34))^(4/3))+((DATOS!$B$27*C35/(DATOS!$B$14*((AN35+AO35)/2)))^2/((DATOS!$B$14*((AN35+AO35)/2))/(DATOS!$B$14+2*((AN35+AO35)/2)))^(4/3)))*(A34-A35)))&lt;0,AO35,((AN35+AO35)/2))</f>
        <v/>
      </c>
      <c r="AR35" s="16">
        <f>IF((((AP35+AQ35)/2)+(C35/(DATOS!$B$14*((AP35+AQ35)/2)))^2/(2*9.81)+B35-(E34+(C34/(DATOS!$B$14*E34))^2/(2*9.81)+B34+0.5*(((DATOS!$B$27*C34/(DATOS!$B$14*E34))^2/((DATOS!$B$14*E34)/(DATOS!$B$14+2*E34))^(4/3))+((DATOS!$B$27*C35/(DATOS!$B$14*((AP35+AQ35)/2)))^2/((DATOS!$B$14*((AP35+AQ35)/2))/(DATOS!$B$14+2*((AP35+AQ35)/2)))^(4/3)))*(A34-A35)))&lt;0,((AP35+AQ35)/2),AP35)</f>
        <v/>
      </c>
      <c r="AS35" s="16">
        <f>IF((((AP35+AQ35)/2)+(C35/(DATOS!$B$14*((AP35+AQ35)/2)))^2/(2*9.81)+B35-(E34+(C34/(DATOS!$B$14*E34))^2/(2*9.81)+B34+0.5*(((DATOS!$B$27*C34/(DATOS!$B$14*E34))^2/((DATOS!$B$14*E34)/(DATOS!$B$14+2*E34))^(4/3))+((DATOS!$B$27*C35/(DATOS!$B$14*((AP35+AQ35)/2)))^2/((DATOS!$B$14*((AP35+AQ35)/2))/(DATOS!$B$14+2*((AP35+AQ35)/2)))^(4/3)))*(A34-A35)))&lt;0,AQ35,((AP35+AQ35)/2))</f>
        <v/>
      </c>
      <c r="AT35" s="16">
        <f>IF((((AR35+AS35)/2)+(C35/(DATOS!$B$14*((AR35+AS35)/2)))^2/(2*9.81)+B35-(E34+(C34/(DATOS!$B$14*E34))^2/(2*9.81)+B34+0.5*(((DATOS!$B$27*C34/(DATOS!$B$14*E34))^2/((DATOS!$B$14*E34)/(DATOS!$B$14+2*E34))^(4/3))+((DATOS!$B$27*C35/(DATOS!$B$14*((AR35+AS35)/2)))^2/((DATOS!$B$14*((AR35+AS35)/2))/(DATOS!$B$14+2*((AR35+AS35)/2)))^(4/3)))*(A34-A35)))&lt;0,((AR35+AS35)/2),AR35)</f>
        <v/>
      </c>
      <c r="AU35" s="16">
        <f>IF((((AR35+AS35)/2)+(C35/(DATOS!$B$14*((AR35+AS35)/2)))^2/(2*9.81)+B35-(E34+(C34/(DATOS!$B$14*E34))^2/(2*9.81)+B34+0.5*(((DATOS!$B$27*C34/(DATOS!$B$14*E34))^2/((DATOS!$B$14*E34)/(DATOS!$B$14+2*E34))^(4/3))+((DATOS!$B$27*C35/(DATOS!$B$14*((AR35+AS35)/2)))^2/((DATOS!$B$14*((AR35+AS35)/2))/(DATOS!$B$14+2*((AR35+AS35)/2)))^(4/3)))*(A34-A35)))&lt;0,AS35,((AR35+AS35)/2))</f>
        <v/>
      </c>
      <c r="AV35" s="16">
        <f>IF((((AT35+AU35)/2)+(C35/(DATOS!$B$14*((AT35+AU35)/2)))^2/(2*9.81)+B35-(E34+(C34/(DATOS!$B$14*E34))^2/(2*9.81)+B34+0.5*(((DATOS!$B$27*C34/(DATOS!$B$14*E34))^2/((DATOS!$B$14*E34)/(DATOS!$B$14+2*E34))^(4/3))+((DATOS!$B$27*C35/(DATOS!$B$14*((AT35+AU35)/2)))^2/((DATOS!$B$14*((AT35+AU35)/2))/(DATOS!$B$14+2*((AT35+AU35)/2)))^(4/3)))*(A34-A35)))&lt;0,((AT35+AU35)/2),AT35)</f>
        <v/>
      </c>
      <c r="AW35" s="16">
        <f>IF((((AT35+AU35)/2)+(C35/(DATOS!$B$14*((AT35+AU35)/2)))^2/(2*9.81)+B35-(E34+(C34/(DATOS!$B$14*E34))^2/(2*9.81)+B34+0.5*(((DATOS!$B$27*C34/(DATOS!$B$14*E34))^2/((DATOS!$B$14*E34)/(DATOS!$B$14+2*E34))^(4/3))+((DATOS!$B$27*C35/(DATOS!$B$14*((AT35+AU35)/2)))^2/((DATOS!$B$14*((AT35+AU35)/2))/(DATOS!$B$14+2*((AT35+AU35)/2)))^(4/3)))*(A34-A35)))&lt;0,AU35,((AT35+AU35)/2))</f>
        <v/>
      </c>
      <c r="AX35" s="16">
        <f>IF((((AV35+AW35)/2)+(C35/(DATOS!$B$14*((AV35+AW35)/2)))^2/(2*9.81)+B35-(E34+(C34/(DATOS!$B$14*E34))^2/(2*9.81)+B34+0.5*(((DATOS!$B$27*C34/(DATOS!$B$14*E34))^2/((DATOS!$B$14*E34)/(DATOS!$B$14+2*E34))^(4/3))+((DATOS!$B$27*C35/(DATOS!$B$14*((AV35+AW35)/2)))^2/((DATOS!$B$14*((AV35+AW35)/2))/(DATOS!$B$14+2*((AV35+AW35)/2)))^(4/3)))*(A34-A35)))&lt;0,((AV35+AW35)/2),AV35)</f>
        <v/>
      </c>
      <c r="AY35" s="16">
        <f>IF((((AV35+AW35)/2)+(C35/(DATOS!$B$14*((AV35+AW35)/2)))^2/(2*9.81)+B35-(E34+(C34/(DATOS!$B$14*E34))^2/(2*9.81)+B34+0.5*(((DATOS!$B$27*C34/(DATOS!$B$14*E34))^2/((DATOS!$B$14*E34)/(DATOS!$B$14+2*E34))^(4/3))+((DATOS!$B$27*C35/(DATOS!$B$14*((AV35+AW35)/2)))^2/((DATOS!$B$14*((AV35+AW35)/2))/(DATOS!$B$14+2*((AV35+AW35)/2)))^(4/3)))*(A34-A35)))&lt;0,AW35,((AV35+AW35)/2))</f>
        <v/>
      </c>
      <c r="AZ35" s="16">
        <f>IF((((AX35+AY35)/2)+(C35/(DATOS!$B$14*((AX35+AY35)/2)))^2/(2*9.81)+B35-(E34+(C34/(DATOS!$B$14*E34))^2/(2*9.81)+B34+0.5*(((DATOS!$B$27*C34/(DATOS!$B$14*E34))^2/((DATOS!$B$14*E34)/(DATOS!$B$14+2*E34))^(4/3))+((DATOS!$B$27*C35/(DATOS!$B$14*((AX35+AY35)/2)))^2/((DATOS!$B$14*((AX35+AY35)/2))/(DATOS!$B$14+2*((AX35+AY35)/2)))^(4/3)))*(A34-A35)))&lt;0,((AX35+AY35)/2),AX35)</f>
        <v/>
      </c>
      <c r="BA35" s="16">
        <f>IF((((AX35+AY35)/2)+(C35/(DATOS!$B$14*((AX35+AY35)/2)))^2/(2*9.81)+B35-(E34+(C34/(DATOS!$B$14*E34))^2/(2*9.81)+B34+0.5*(((DATOS!$B$27*C34/(DATOS!$B$14*E34))^2/((DATOS!$B$14*E34)/(DATOS!$B$14+2*E34))^(4/3))+((DATOS!$B$27*C35/(DATOS!$B$14*((AX35+AY35)/2)))^2/((DATOS!$B$14*((AX35+AY35)/2))/(DATOS!$B$14+2*((AX35+AY35)/2)))^(4/3)))*(A34-A35)))&lt;0,AY35,((AX35+AY35)/2))</f>
        <v/>
      </c>
      <c r="BB35" s="16">
        <f>IF((((AZ35+BA35)/2)+(C35/(DATOS!$B$14*((AZ35+BA35)/2)))^2/(2*9.81)+B35-(E34+(C34/(DATOS!$B$14*E34))^2/(2*9.81)+B34+0.5*(((DATOS!$B$27*C34/(DATOS!$B$14*E34))^2/((DATOS!$B$14*E34)/(DATOS!$B$14+2*E34))^(4/3))+((DATOS!$B$27*C35/(DATOS!$B$14*((AZ35+BA35)/2)))^2/((DATOS!$B$14*((AZ35+BA35)/2))/(DATOS!$B$14+2*((AZ35+BA35)/2)))^(4/3)))*(A34-A35)))&lt;0,((AZ35+BA35)/2),AZ35)</f>
        <v/>
      </c>
      <c r="BC35" s="16">
        <f>IF((((AZ35+BA35)/2)+(C35/(DATOS!$B$14*((AZ35+BA35)/2)))^2/(2*9.81)+B35-(E34+(C34/(DATOS!$B$14*E34))^2/(2*9.81)+B34+0.5*(((DATOS!$B$27*C34/(DATOS!$B$14*E34))^2/((DATOS!$B$14*E34)/(DATOS!$B$14+2*E34))^(4/3))+((DATOS!$B$27*C35/(DATOS!$B$14*((AZ35+BA35)/2)))^2/((DATOS!$B$14*((AZ35+BA35)/2))/(DATOS!$B$14+2*((AZ35+BA35)/2)))^(4/3)))*(A34-A35)))&lt;0,BA35,((AZ35+BA35)/2))</f>
        <v/>
      </c>
      <c r="BD35" s="16">
        <f>IF((((BB35+BC35)/2)+(C35/(DATOS!$B$14*((BB35+BC35)/2)))^2/(2*9.81)+B35-(E34+(C34/(DATOS!$B$14*E34))^2/(2*9.81)+B34+0.5*(((DATOS!$B$27*C34/(DATOS!$B$14*E34))^2/((DATOS!$B$14*E34)/(DATOS!$B$14+2*E34))^(4/3))+((DATOS!$B$27*C35/(DATOS!$B$14*((BB35+BC35)/2)))^2/((DATOS!$B$14*((BB35+BC35)/2))/(DATOS!$B$14+2*((BB35+BC35)/2)))^(4/3)))*(A34-A35)))&lt;0,((BB35+BC35)/2),BB35)</f>
        <v/>
      </c>
      <c r="BE35" s="16">
        <f>IF((((BB35+BC35)/2)+(C35/(DATOS!$B$14*((BB35+BC35)/2)))^2/(2*9.81)+B35-(E34+(C34/(DATOS!$B$14*E34))^2/(2*9.81)+B34+0.5*(((DATOS!$B$27*C34/(DATOS!$B$14*E34))^2/((DATOS!$B$14*E34)/(DATOS!$B$14+2*E34))^(4/3))+((DATOS!$B$27*C35/(DATOS!$B$14*((BB35+BC35)/2)))^2/((DATOS!$B$14*((BB35+BC35)/2))/(DATOS!$B$14+2*((BB35+BC35)/2)))^(4/3)))*(A34-A35)))&lt;0,BC35,((BB35+BC35)/2))</f>
        <v/>
      </c>
      <c r="BF35" s="16">
        <f>IF((((BD35+BE35)/2)+(C35/(DATOS!$B$14*((BD35+BE35)/2)))^2/(2*9.81)+B35-(E34+(C34/(DATOS!$B$14*E34))^2/(2*9.81)+B34+0.5*(((DATOS!$B$27*C34/(DATOS!$B$14*E34))^2/((DATOS!$B$14*E34)/(DATOS!$B$14+2*E34))^(4/3))+((DATOS!$B$27*C35/(DATOS!$B$14*((BD35+BE35)/2)))^2/((DATOS!$B$14*((BD35+BE35)/2))/(DATOS!$B$14+2*((BD35+BE35)/2)))^(4/3)))*(A34-A35)))&lt;0,((BD35+BE35)/2),BD35)</f>
        <v/>
      </c>
      <c r="BG35" s="16">
        <f>IF((((BD35+BE35)/2)+(C35/(DATOS!$B$14*((BD35+BE35)/2)))^2/(2*9.81)+B35-(E34+(C34/(DATOS!$B$14*E34))^2/(2*9.81)+B34+0.5*(((DATOS!$B$27*C34/(DATOS!$B$14*E34))^2/((DATOS!$B$14*E34)/(DATOS!$B$14+2*E34))^(4/3))+((DATOS!$B$27*C35/(DATOS!$B$14*((BD35+BE35)/2)))^2/((DATOS!$B$14*((BD35+BE35)/2))/(DATOS!$B$14+2*((BD35+BE35)/2)))^(4/3)))*(A34-A35)))&lt;0,BE35,((BD35+BE35)/2))</f>
        <v/>
      </c>
      <c r="BH35" s="16">
        <f>IF((((BF35+BG35)/2)+(C35/(DATOS!$B$14*((BF35+BG35)/2)))^2/(2*9.81)+B35-(E34+(C34/(DATOS!$B$14*E34))^2/(2*9.81)+B34+0.5*(((DATOS!$B$27*C34/(DATOS!$B$14*E34))^2/((DATOS!$B$14*E34)/(DATOS!$B$14+2*E34))^(4/3))+((DATOS!$B$27*C35/(DATOS!$B$14*((BF35+BG35)/2)))^2/((DATOS!$B$14*((BF35+BG35)/2))/(DATOS!$B$14+2*((BF35+BG35)/2)))^(4/3)))*(A34-A35)))&lt;0,((BF35+BG35)/2),BF35)</f>
        <v/>
      </c>
      <c r="BI35" s="16">
        <f>IF((((BF35+BG35)/2)+(C35/(DATOS!$B$14*((BF35+BG35)/2)))^2/(2*9.81)+B35-(E34+(C34/(DATOS!$B$14*E34))^2/(2*9.81)+B34+0.5*(((DATOS!$B$27*C34/(DATOS!$B$14*E34))^2/((DATOS!$B$14*E34)/(DATOS!$B$14+2*E34))^(4/3))+((DATOS!$B$27*C35/(DATOS!$B$14*((BF35+BG35)/2)))^2/((DATOS!$B$14*((BF35+BG35)/2))/(DATOS!$B$14+2*((BF35+BG35)/2)))^(4/3)))*(A34-A35)))&lt;0,BG35,((BF35+BG35)/2))</f>
        <v/>
      </c>
      <c r="BJ35" s="16">
        <f>IF((((BH35+BI35)/2)+(C35/(DATOS!$B$14*((BH35+BI35)/2)))^2/(2*9.81)+B35-(E34+(C34/(DATOS!$B$14*E34))^2/(2*9.81)+B34+0.5*(((DATOS!$B$27*C34/(DATOS!$B$14*E34))^2/((DATOS!$B$14*E34)/(DATOS!$B$14+2*E34))^(4/3))+((DATOS!$B$27*C35/(DATOS!$B$14*((BH35+BI35)/2)))^2/((DATOS!$B$14*((BH35+BI35)/2))/(DATOS!$B$14+2*((BH35+BI35)/2)))^(4/3)))*(A34-A35)))&lt;0,((BH35+BI35)/2),BH35)</f>
        <v/>
      </c>
      <c r="BK35" s="16">
        <f>IF((((BH35+BI35)/2)+(C35/(DATOS!$B$14*((BH35+BI35)/2)))^2/(2*9.81)+B35-(E34+(C34/(DATOS!$B$14*E34))^2/(2*9.81)+B34+0.5*(((DATOS!$B$27*C34/(DATOS!$B$14*E34))^2/((DATOS!$B$14*E34)/(DATOS!$B$14+2*E34))^(4/3))+((DATOS!$B$27*C35/(DATOS!$B$14*((BH35+BI35)/2)))^2/((DATOS!$B$14*((BH35+BI35)/2))/(DATOS!$B$14+2*((BH35+BI35)/2)))^(4/3)))*(A34-A35)))&lt;0,BI35,((BH35+BI35)/2))</f>
        <v/>
      </c>
      <c r="BL35" s="16">
        <f>IF((((BJ35+BK35)/2)+(C35/(DATOS!$B$14*((BJ35+BK35)/2)))^2/(2*9.81)+B35-(E34+(C34/(DATOS!$B$14*E34))^2/(2*9.81)+B34+0.5*(((DATOS!$B$27*C34/(DATOS!$B$14*E34))^2/((DATOS!$B$14*E34)/(DATOS!$B$14+2*E34))^(4/3))+((DATOS!$B$27*C35/(DATOS!$B$14*((BJ35+BK35)/2)))^2/((DATOS!$B$14*((BJ35+BK35)/2))/(DATOS!$B$14+2*((BJ35+BK35)/2)))^(4/3)))*(A34-A35)))&lt;0,((BJ35+BK35)/2),BJ35)</f>
        <v/>
      </c>
      <c r="BM35" s="16">
        <f>IF((((BJ35+BK35)/2)+(C35/(DATOS!$B$14*((BJ35+BK35)/2)))^2/(2*9.81)+B35-(E34+(C34/(DATOS!$B$14*E34))^2/(2*9.81)+B34+0.5*(((DATOS!$B$27*C34/(DATOS!$B$14*E34))^2/((DATOS!$B$14*E34)/(DATOS!$B$14+2*E34))^(4/3))+((DATOS!$B$27*C35/(DATOS!$B$14*((BJ35+BK35)/2)))^2/((DATOS!$B$14*((BJ35+BK35)/2))/(DATOS!$B$14+2*((BJ35+BK35)/2)))^(4/3)))*(A34-A35)))&lt;0,BK35,((BJ35+BK35)/2))</f>
        <v/>
      </c>
      <c r="BN35" s="16">
        <f>IF((((BL35+BM35)/2)+(C35/(DATOS!$B$14*((BL35+BM35)/2)))^2/(2*9.81)+B35-(E34+(C34/(DATOS!$B$14*E34))^2/(2*9.81)+B34+0.5*(((DATOS!$B$27*C34/(DATOS!$B$14*E34))^2/((DATOS!$B$14*E34)/(DATOS!$B$14+2*E34))^(4/3))+((DATOS!$B$27*C35/(DATOS!$B$14*((BL35+BM35)/2)))^2/((DATOS!$B$14*((BL35+BM35)/2))/(DATOS!$B$14+2*((BL35+BM35)/2)))^(4/3)))*(A34-A35)))&lt;0,((BL35+BM35)/2),BL35)</f>
        <v/>
      </c>
      <c r="BO35" s="16">
        <f>IF((((BL35+BM35)/2)+(C35/(DATOS!$B$14*((BL35+BM35)/2)))^2/(2*9.81)+B35-(E34+(C34/(DATOS!$B$14*E34))^2/(2*9.81)+B34+0.5*(((DATOS!$B$27*C34/(DATOS!$B$14*E34))^2/((DATOS!$B$14*E34)/(DATOS!$B$14+2*E34))^(4/3))+((DATOS!$B$27*C35/(DATOS!$B$14*((BL35+BM35)/2)))^2/((DATOS!$B$14*((BL35+BM35)/2))/(DATOS!$B$14+2*((BL35+BM35)/2)))^(4/3)))*(A34-A35)))&lt;0,BM35,((BL35+BM35)/2))</f>
        <v/>
      </c>
      <c r="BP35" s="16">
        <f>IF((((BN35+BO35)/2)+(C35/(DATOS!$B$14*((BN35+BO35)/2)))^2/(2*9.81)+B35-(E34+(C34/(DATOS!$B$14*E34))^2/(2*9.81)+B34+0.5*(((DATOS!$B$27*C34/(DATOS!$B$14*E34))^2/((DATOS!$B$14*E34)/(DATOS!$B$14+2*E34))^(4/3))+((DATOS!$B$27*C35/(DATOS!$B$14*((BN35+BO35)/2)))^2/((DATOS!$B$14*((BN35+BO35)/2))/(DATOS!$B$14+2*((BN35+BO35)/2)))^(4/3)))*(A34-A35)))&lt;0,((BN35+BO35)/2),BN35)</f>
        <v/>
      </c>
      <c r="BQ35" s="16">
        <f>IF((((BN35+BO35)/2)+(C35/(DATOS!$B$14*((BN35+BO35)/2)))^2/(2*9.81)+B35-(E34+(C34/(DATOS!$B$14*E34))^2/(2*9.81)+B34+0.5*(((DATOS!$B$27*C34/(DATOS!$B$14*E34))^2/((DATOS!$B$14*E34)/(DATOS!$B$14+2*E34))^(4/3))+((DATOS!$B$27*C35/(DATOS!$B$14*((BN35+BO35)/2)))^2/((DATOS!$B$14*((BN35+BO35)/2))/(DATOS!$B$14+2*((BN35+BO35)/2)))^(4/3)))*(A34-A35)))&lt;0,BO35,((BN35+BO35)/2))</f>
        <v/>
      </c>
      <c r="BR35" s="16">
        <f>IF((((BP35+BQ35)/2)+(C35/(DATOS!$B$14*((BP35+BQ35)/2)))^2/(2*9.81)+B35-(E34+(C34/(DATOS!$B$14*E34))^2/(2*9.81)+B34+0.5*(((DATOS!$B$27*C34/(DATOS!$B$14*E34))^2/((DATOS!$B$14*E34)/(DATOS!$B$14+2*E34))^(4/3))+((DATOS!$B$27*C35/(DATOS!$B$14*((BP35+BQ35)/2)))^2/((DATOS!$B$14*((BP35+BQ35)/2))/(DATOS!$B$14+2*((BP35+BQ35)/2)))^(4/3)))*(A34-A35)))&lt;0,((BP35+BQ35)/2),BP35)</f>
        <v/>
      </c>
      <c r="BS35" s="16">
        <f>IF((((BP35+BQ35)/2)+(C35/(DATOS!$B$14*((BP35+BQ35)/2)))^2/(2*9.81)+B35-(E34+(C34/(DATOS!$B$14*E34))^2/(2*9.81)+B34+0.5*(((DATOS!$B$27*C34/(DATOS!$B$14*E34))^2/((DATOS!$B$14*E34)/(DATOS!$B$14+2*E34))^(4/3))+((DATOS!$B$27*C35/(DATOS!$B$14*((BP35+BQ35)/2)))^2/((DATOS!$B$14*((BP35+BQ35)/2))/(DATOS!$B$14+2*((BP35+BQ35)/2)))^(4/3)))*(A34-A35)))&lt;0,BQ35,((BP35+BQ35)/2))</f>
        <v/>
      </c>
      <c r="BT35" s="16">
        <f>IF((((BR35+BS35)/2)+(C35/(DATOS!$B$14*((BR35+BS35)/2)))^2/(2*9.81)+B35-(E34+(C34/(DATOS!$B$14*E34))^2/(2*9.81)+B34+0.5*(((DATOS!$B$27*C34/(DATOS!$B$14*E34))^2/((DATOS!$B$14*E34)/(DATOS!$B$14+2*E34))^(4/3))+((DATOS!$B$27*C35/(DATOS!$B$14*((BR35+BS35)/2)))^2/((DATOS!$B$14*((BR35+BS35)/2))/(DATOS!$B$14+2*((BR35+BS35)/2)))^(4/3)))*(A34-A35)))&lt;0,((BR35+BS35)/2),BR35)</f>
        <v/>
      </c>
      <c r="BU35" s="16">
        <f>IF((((BR35+BS35)/2)+(C35/(DATOS!$B$14*((BR35+BS35)/2)))^2/(2*9.81)+B35-(E34+(C34/(DATOS!$B$14*E34))^2/(2*9.81)+B34+0.5*(((DATOS!$B$27*C34/(DATOS!$B$14*E34))^2/((DATOS!$B$14*E34)/(DATOS!$B$14+2*E34))^(4/3))+((DATOS!$B$27*C35/(DATOS!$B$14*((BR35+BS35)/2)))^2/((DATOS!$B$14*((BR35+BS35)/2))/(DATOS!$B$14+2*((BR35+BS35)/2)))^(4/3)))*(A34-A35)))&lt;0,BS35,((BR35+BS35)/2))</f>
        <v/>
      </c>
    </row>
    <row r="36">
      <c r="A36" s="30" t="n">
        <v>78.47</v>
      </c>
      <c r="B36" s="21">
        <f>DATOS!$B$16-DATOS!$B$19*A36</f>
        <v/>
      </c>
      <c r="C36" s="21">
        <f>IF(A36&lt;CAUDALES!$B$13,CAUDALES!$D$12,IF(A36&lt;CAUDALES!$B$14,CAUDALES!$D$13,IF(A36&lt;CAUDALES!$B$15,CAUDALES!$D$14,CAUDALES!$D$15)))/1000</f>
        <v/>
      </c>
      <c r="D36" s="21">
        <f>(C36^2/(9.81*DATOS!$B$14^2))^(1/3)</f>
        <v/>
      </c>
      <c r="E36" s="29">
        <f>(BT36+BU36)/2</f>
        <v/>
      </c>
      <c r="F36" s="21">
        <f>B36+E36</f>
        <v/>
      </c>
      <c r="G36" s="17">
        <f>C36/(DATOS!$B$14*E36)</f>
        <v/>
      </c>
      <c r="H36" s="17">
        <f>G36/SQRT(9.81*E36)</f>
        <v/>
      </c>
      <c r="I36" s="21">
        <f>IF(A36&lt;=DATOS!$B$20,DATOS!$B$21-IF(AND(A36&gt;=DATOS!$B$23,A36&lt;DATOS!$B$24),DATOS!$B$25,DATOS!$B$22),B36+DATOS!$B$26)</f>
        <v/>
      </c>
      <c r="J36" s="17">
        <f>I36-B36</f>
        <v/>
      </c>
      <c r="K36" s="31">
        <f>E36/J36</f>
        <v/>
      </c>
      <c r="L36" s="21">
        <f>I36-F36</f>
        <v/>
      </c>
      <c r="M36" s="32">
        <f>IF(AND(K36&lt;=DATOS!$B$29,L36&gt;=DATOS!$B$30),"CUMPLE","NO CUMPLE")</f>
        <v/>
      </c>
      <c r="N36" s="13">
        <f>IF(A36&gt;DATOS!$B$20,"cubierto - tramo final",IF(AND(A36&gt;=DATOS!$B$23,A36&lt;DATOS!$B$24),"cubierto - camiones","cubierto"))</f>
        <v/>
      </c>
      <c r="P36" s="16">
        <f>D36*1.001</f>
        <v/>
      </c>
      <c r="Q36" s="16" t="n">
        <v>2</v>
      </c>
      <c r="R36" s="16">
        <f>IF((((P36+Q36)/2)+(C36/(DATOS!$B$14*((P36+Q36)/2)))^2/(2*9.81)+B36-(E35+(C35/(DATOS!$B$14*E35))^2/(2*9.81)+B35+0.5*(((DATOS!$B$27*C35/(DATOS!$B$14*E35))^2/((DATOS!$B$14*E35)/(DATOS!$B$14+2*E35))^(4/3))+((DATOS!$B$27*C36/(DATOS!$B$14*((P36+Q36)/2)))^2/((DATOS!$B$14*((P36+Q36)/2))/(DATOS!$B$14+2*((P36+Q36)/2)))^(4/3)))*(A35-A36)))&lt;0,((P36+Q36)/2),P36)</f>
        <v/>
      </c>
      <c r="S36" s="16">
        <f>IF((((P36+Q36)/2)+(C36/(DATOS!$B$14*((P36+Q36)/2)))^2/(2*9.81)+B36-(E35+(C35/(DATOS!$B$14*E35))^2/(2*9.81)+B35+0.5*(((DATOS!$B$27*C35/(DATOS!$B$14*E35))^2/((DATOS!$B$14*E35)/(DATOS!$B$14+2*E35))^(4/3))+((DATOS!$B$27*C36/(DATOS!$B$14*((P36+Q36)/2)))^2/((DATOS!$B$14*((P36+Q36)/2))/(DATOS!$B$14+2*((P36+Q36)/2)))^(4/3)))*(A35-A36)))&lt;0,Q36,((P36+Q36)/2))</f>
        <v/>
      </c>
      <c r="T36" s="16">
        <f>IF((((R36+S36)/2)+(C36/(DATOS!$B$14*((R36+S36)/2)))^2/(2*9.81)+B36-(E35+(C35/(DATOS!$B$14*E35))^2/(2*9.81)+B35+0.5*(((DATOS!$B$27*C35/(DATOS!$B$14*E35))^2/((DATOS!$B$14*E35)/(DATOS!$B$14+2*E35))^(4/3))+((DATOS!$B$27*C36/(DATOS!$B$14*((R36+S36)/2)))^2/((DATOS!$B$14*((R36+S36)/2))/(DATOS!$B$14+2*((R36+S36)/2)))^(4/3)))*(A35-A36)))&lt;0,((R36+S36)/2),R36)</f>
        <v/>
      </c>
      <c r="U36" s="16">
        <f>IF((((R36+S36)/2)+(C36/(DATOS!$B$14*((R36+S36)/2)))^2/(2*9.81)+B36-(E35+(C35/(DATOS!$B$14*E35))^2/(2*9.81)+B35+0.5*(((DATOS!$B$27*C35/(DATOS!$B$14*E35))^2/((DATOS!$B$14*E35)/(DATOS!$B$14+2*E35))^(4/3))+((DATOS!$B$27*C36/(DATOS!$B$14*((R36+S36)/2)))^2/((DATOS!$B$14*((R36+S36)/2))/(DATOS!$B$14+2*((R36+S36)/2)))^(4/3)))*(A35-A36)))&lt;0,S36,((R36+S36)/2))</f>
        <v/>
      </c>
      <c r="V36" s="16">
        <f>IF((((T36+U36)/2)+(C36/(DATOS!$B$14*((T36+U36)/2)))^2/(2*9.81)+B36-(E35+(C35/(DATOS!$B$14*E35))^2/(2*9.81)+B35+0.5*(((DATOS!$B$27*C35/(DATOS!$B$14*E35))^2/((DATOS!$B$14*E35)/(DATOS!$B$14+2*E35))^(4/3))+((DATOS!$B$27*C36/(DATOS!$B$14*((T36+U36)/2)))^2/((DATOS!$B$14*((T36+U36)/2))/(DATOS!$B$14+2*((T36+U36)/2)))^(4/3)))*(A35-A36)))&lt;0,((T36+U36)/2),T36)</f>
        <v/>
      </c>
      <c r="W36" s="16">
        <f>IF((((T36+U36)/2)+(C36/(DATOS!$B$14*((T36+U36)/2)))^2/(2*9.81)+B36-(E35+(C35/(DATOS!$B$14*E35))^2/(2*9.81)+B35+0.5*(((DATOS!$B$27*C35/(DATOS!$B$14*E35))^2/((DATOS!$B$14*E35)/(DATOS!$B$14+2*E35))^(4/3))+((DATOS!$B$27*C36/(DATOS!$B$14*((T36+U36)/2)))^2/((DATOS!$B$14*((T36+U36)/2))/(DATOS!$B$14+2*((T36+U36)/2)))^(4/3)))*(A35-A36)))&lt;0,U36,((T36+U36)/2))</f>
        <v/>
      </c>
      <c r="X36" s="16">
        <f>IF((((V36+W36)/2)+(C36/(DATOS!$B$14*((V36+W36)/2)))^2/(2*9.81)+B36-(E35+(C35/(DATOS!$B$14*E35))^2/(2*9.81)+B35+0.5*(((DATOS!$B$27*C35/(DATOS!$B$14*E35))^2/((DATOS!$B$14*E35)/(DATOS!$B$14+2*E35))^(4/3))+((DATOS!$B$27*C36/(DATOS!$B$14*((V36+W36)/2)))^2/((DATOS!$B$14*((V36+W36)/2))/(DATOS!$B$14+2*((V36+W36)/2)))^(4/3)))*(A35-A36)))&lt;0,((V36+W36)/2),V36)</f>
        <v/>
      </c>
      <c r="Y36" s="16">
        <f>IF((((V36+W36)/2)+(C36/(DATOS!$B$14*((V36+W36)/2)))^2/(2*9.81)+B36-(E35+(C35/(DATOS!$B$14*E35))^2/(2*9.81)+B35+0.5*(((DATOS!$B$27*C35/(DATOS!$B$14*E35))^2/((DATOS!$B$14*E35)/(DATOS!$B$14+2*E35))^(4/3))+((DATOS!$B$27*C36/(DATOS!$B$14*((V36+W36)/2)))^2/((DATOS!$B$14*((V36+W36)/2))/(DATOS!$B$14+2*((V36+W36)/2)))^(4/3)))*(A35-A36)))&lt;0,W36,((V36+W36)/2))</f>
        <v/>
      </c>
      <c r="Z36" s="16">
        <f>IF((((X36+Y36)/2)+(C36/(DATOS!$B$14*((X36+Y36)/2)))^2/(2*9.81)+B36-(E35+(C35/(DATOS!$B$14*E35))^2/(2*9.81)+B35+0.5*(((DATOS!$B$27*C35/(DATOS!$B$14*E35))^2/((DATOS!$B$14*E35)/(DATOS!$B$14+2*E35))^(4/3))+((DATOS!$B$27*C36/(DATOS!$B$14*((X36+Y36)/2)))^2/((DATOS!$B$14*((X36+Y36)/2))/(DATOS!$B$14+2*((X36+Y36)/2)))^(4/3)))*(A35-A36)))&lt;0,((X36+Y36)/2),X36)</f>
        <v/>
      </c>
      <c r="AA36" s="16">
        <f>IF((((X36+Y36)/2)+(C36/(DATOS!$B$14*((X36+Y36)/2)))^2/(2*9.81)+B36-(E35+(C35/(DATOS!$B$14*E35))^2/(2*9.81)+B35+0.5*(((DATOS!$B$27*C35/(DATOS!$B$14*E35))^2/((DATOS!$B$14*E35)/(DATOS!$B$14+2*E35))^(4/3))+((DATOS!$B$27*C36/(DATOS!$B$14*((X36+Y36)/2)))^2/((DATOS!$B$14*((X36+Y36)/2))/(DATOS!$B$14+2*((X36+Y36)/2)))^(4/3)))*(A35-A36)))&lt;0,Y36,((X36+Y36)/2))</f>
        <v/>
      </c>
      <c r="AB36" s="16">
        <f>IF((((Z36+AA36)/2)+(C36/(DATOS!$B$14*((Z36+AA36)/2)))^2/(2*9.81)+B36-(E35+(C35/(DATOS!$B$14*E35))^2/(2*9.81)+B35+0.5*(((DATOS!$B$27*C35/(DATOS!$B$14*E35))^2/((DATOS!$B$14*E35)/(DATOS!$B$14+2*E35))^(4/3))+((DATOS!$B$27*C36/(DATOS!$B$14*((Z36+AA36)/2)))^2/((DATOS!$B$14*((Z36+AA36)/2))/(DATOS!$B$14+2*((Z36+AA36)/2)))^(4/3)))*(A35-A36)))&lt;0,((Z36+AA36)/2),Z36)</f>
        <v/>
      </c>
      <c r="AC36" s="16">
        <f>IF((((Z36+AA36)/2)+(C36/(DATOS!$B$14*((Z36+AA36)/2)))^2/(2*9.81)+B36-(E35+(C35/(DATOS!$B$14*E35))^2/(2*9.81)+B35+0.5*(((DATOS!$B$27*C35/(DATOS!$B$14*E35))^2/((DATOS!$B$14*E35)/(DATOS!$B$14+2*E35))^(4/3))+((DATOS!$B$27*C36/(DATOS!$B$14*((Z36+AA36)/2)))^2/((DATOS!$B$14*((Z36+AA36)/2))/(DATOS!$B$14+2*((Z36+AA36)/2)))^(4/3)))*(A35-A36)))&lt;0,AA36,((Z36+AA36)/2))</f>
        <v/>
      </c>
      <c r="AD36" s="16">
        <f>IF((((AB36+AC36)/2)+(C36/(DATOS!$B$14*((AB36+AC36)/2)))^2/(2*9.81)+B36-(E35+(C35/(DATOS!$B$14*E35))^2/(2*9.81)+B35+0.5*(((DATOS!$B$27*C35/(DATOS!$B$14*E35))^2/((DATOS!$B$14*E35)/(DATOS!$B$14+2*E35))^(4/3))+((DATOS!$B$27*C36/(DATOS!$B$14*((AB36+AC36)/2)))^2/((DATOS!$B$14*((AB36+AC36)/2))/(DATOS!$B$14+2*((AB36+AC36)/2)))^(4/3)))*(A35-A36)))&lt;0,((AB36+AC36)/2),AB36)</f>
        <v/>
      </c>
      <c r="AE36" s="16">
        <f>IF((((AB36+AC36)/2)+(C36/(DATOS!$B$14*((AB36+AC36)/2)))^2/(2*9.81)+B36-(E35+(C35/(DATOS!$B$14*E35))^2/(2*9.81)+B35+0.5*(((DATOS!$B$27*C35/(DATOS!$B$14*E35))^2/((DATOS!$B$14*E35)/(DATOS!$B$14+2*E35))^(4/3))+((DATOS!$B$27*C36/(DATOS!$B$14*((AB36+AC36)/2)))^2/((DATOS!$B$14*((AB36+AC36)/2))/(DATOS!$B$14+2*((AB36+AC36)/2)))^(4/3)))*(A35-A36)))&lt;0,AC36,((AB36+AC36)/2))</f>
        <v/>
      </c>
      <c r="AF36" s="16">
        <f>IF((((AD36+AE36)/2)+(C36/(DATOS!$B$14*((AD36+AE36)/2)))^2/(2*9.81)+B36-(E35+(C35/(DATOS!$B$14*E35))^2/(2*9.81)+B35+0.5*(((DATOS!$B$27*C35/(DATOS!$B$14*E35))^2/((DATOS!$B$14*E35)/(DATOS!$B$14+2*E35))^(4/3))+((DATOS!$B$27*C36/(DATOS!$B$14*((AD36+AE36)/2)))^2/((DATOS!$B$14*((AD36+AE36)/2))/(DATOS!$B$14+2*((AD36+AE36)/2)))^(4/3)))*(A35-A36)))&lt;0,((AD36+AE36)/2),AD36)</f>
        <v/>
      </c>
      <c r="AG36" s="16">
        <f>IF((((AD36+AE36)/2)+(C36/(DATOS!$B$14*((AD36+AE36)/2)))^2/(2*9.81)+B36-(E35+(C35/(DATOS!$B$14*E35))^2/(2*9.81)+B35+0.5*(((DATOS!$B$27*C35/(DATOS!$B$14*E35))^2/((DATOS!$B$14*E35)/(DATOS!$B$14+2*E35))^(4/3))+((DATOS!$B$27*C36/(DATOS!$B$14*((AD36+AE36)/2)))^2/((DATOS!$B$14*((AD36+AE36)/2))/(DATOS!$B$14+2*((AD36+AE36)/2)))^(4/3)))*(A35-A36)))&lt;0,AE36,((AD36+AE36)/2))</f>
        <v/>
      </c>
      <c r="AH36" s="16">
        <f>IF((((AF36+AG36)/2)+(C36/(DATOS!$B$14*((AF36+AG36)/2)))^2/(2*9.81)+B36-(E35+(C35/(DATOS!$B$14*E35))^2/(2*9.81)+B35+0.5*(((DATOS!$B$27*C35/(DATOS!$B$14*E35))^2/((DATOS!$B$14*E35)/(DATOS!$B$14+2*E35))^(4/3))+((DATOS!$B$27*C36/(DATOS!$B$14*((AF36+AG36)/2)))^2/((DATOS!$B$14*((AF36+AG36)/2))/(DATOS!$B$14+2*((AF36+AG36)/2)))^(4/3)))*(A35-A36)))&lt;0,((AF36+AG36)/2),AF36)</f>
        <v/>
      </c>
      <c r="AI36" s="16">
        <f>IF((((AF36+AG36)/2)+(C36/(DATOS!$B$14*((AF36+AG36)/2)))^2/(2*9.81)+B36-(E35+(C35/(DATOS!$B$14*E35))^2/(2*9.81)+B35+0.5*(((DATOS!$B$27*C35/(DATOS!$B$14*E35))^2/((DATOS!$B$14*E35)/(DATOS!$B$14+2*E35))^(4/3))+((DATOS!$B$27*C36/(DATOS!$B$14*((AF36+AG36)/2)))^2/((DATOS!$B$14*((AF36+AG36)/2))/(DATOS!$B$14+2*((AF36+AG36)/2)))^(4/3)))*(A35-A36)))&lt;0,AG36,((AF36+AG36)/2))</f>
        <v/>
      </c>
      <c r="AJ36" s="16">
        <f>IF((((AH36+AI36)/2)+(C36/(DATOS!$B$14*((AH36+AI36)/2)))^2/(2*9.81)+B36-(E35+(C35/(DATOS!$B$14*E35))^2/(2*9.81)+B35+0.5*(((DATOS!$B$27*C35/(DATOS!$B$14*E35))^2/((DATOS!$B$14*E35)/(DATOS!$B$14+2*E35))^(4/3))+((DATOS!$B$27*C36/(DATOS!$B$14*((AH36+AI36)/2)))^2/((DATOS!$B$14*((AH36+AI36)/2))/(DATOS!$B$14+2*((AH36+AI36)/2)))^(4/3)))*(A35-A36)))&lt;0,((AH36+AI36)/2),AH36)</f>
        <v/>
      </c>
      <c r="AK36" s="16">
        <f>IF((((AH36+AI36)/2)+(C36/(DATOS!$B$14*((AH36+AI36)/2)))^2/(2*9.81)+B36-(E35+(C35/(DATOS!$B$14*E35))^2/(2*9.81)+B35+0.5*(((DATOS!$B$27*C35/(DATOS!$B$14*E35))^2/((DATOS!$B$14*E35)/(DATOS!$B$14+2*E35))^(4/3))+((DATOS!$B$27*C36/(DATOS!$B$14*((AH36+AI36)/2)))^2/((DATOS!$B$14*((AH36+AI36)/2))/(DATOS!$B$14+2*((AH36+AI36)/2)))^(4/3)))*(A35-A36)))&lt;0,AI36,((AH36+AI36)/2))</f>
        <v/>
      </c>
      <c r="AL36" s="16">
        <f>IF((((AJ36+AK36)/2)+(C36/(DATOS!$B$14*((AJ36+AK36)/2)))^2/(2*9.81)+B36-(E35+(C35/(DATOS!$B$14*E35))^2/(2*9.81)+B35+0.5*(((DATOS!$B$27*C35/(DATOS!$B$14*E35))^2/((DATOS!$B$14*E35)/(DATOS!$B$14+2*E35))^(4/3))+((DATOS!$B$27*C36/(DATOS!$B$14*((AJ36+AK36)/2)))^2/((DATOS!$B$14*((AJ36+AK36)/2))/(DATOS!$B$14+2*((AJ36+AK36)/2)))^(4/3)))*(A35-A36)))&lt;0,((AJ36+AK36)/2),AJ36)</f>
        <v/>
      </c>
      <c r="AM36" s="16">
        <f>IF((((AJ36+AK36)/2)+(C36/(DATOS!$B$14*((AJ36+AK36)/2)))^2/(2*9.81)+B36-(E35+(C35/(DATOS!$B$14*E35))^2/(2*9.81)+B35+0.5*(((DATOS!$B$27*C35/(DATOS!$B$14*E35))^2/((DATOS!$B$14*E35)/(DATOS!$B$14+2*E35))^(4/3))+((DATOS!$B$27*C36/(DATOS!$B$14*((AJ36+AK36)/2)))^2/((DATOS!$B$14*((AJ36+AK36)/2))/(DATOS!$B$14+2*((AJ36+AK36)/2)))^(4/3)))*(A35-A36)))&lt;0,AK36,((AJ36+AK36)/2))</f>
        <v/>
      </c>
      <c r="AN36" s="16">
        <f>IF((((AL36+AM36)/2)+(C36/(DATOS!$B$14*((AL36+AM36)/2)))^2/(2*9.81)+B36-(E35+(C35/(DATOS!$B$14*E35))^2/(2*9.81)+B35+0.5*(((DATOS!$B$27*C35/(DATOS!$B$14*E35))^2/((DATOS!$B$14*E35)/(DATOS!$B$14+2*E35))^(4/3))+((DATOS!$B$27*C36/(DATOS!$B$14*((AL36+AM36)/2)))^2/((DATOS!$B$14*((AL36+AM36)/2))/(DATOS!$B$14+2*((AL36+AM36)/2)))^(4/3)))*(A35-A36)))&lt;0,((AL36+AM36)/2),AL36)</f>
        <v/>
      </c>
      <c r="AO36" s="16">
        <f>IF((((AL36+AM36)/2)+(C36/(DATOS!$B$14*((AL36+AM36)/2)))^2/(2*9.81)+B36-(E35+(C35/(DATOS!$B$14*E35))^2/(2*9.81)+B35+0.5*(((DATOS!$B$27*C35/(DATOS!$B$14*E35))^2/((DATOS!$B$14*E35)/(DATOS!$B$14+2*E35))^(4/3))+((DATOS!$B$27*C36/(DATOS!$B$14*((AL36+AM36)/2)))^2/((DATOS!$B$14*((AL36+AM36)/2))/(DATOS!$B$14+2*((AL36+AM36)/2)))^(4/3)))*(A35-A36)))&lt;0,AM36,((AL36+AM36)/2))</f>
        <v/>
      </c>
      <c r="AP36" s="16">
        <f>IF((((AN36+AO36)/2)+(C36/(DATOS!$B$14*((AN36+AO36)/2)))^2/(2*9.81)+B36-(E35+(C35/(DATOS!$B$14*E35))^2/(2*9.81)+B35+0.5*(((DATOS!$B$27*C35/(DATOS!$B$14*E35))^2/((DATOS!$B$14*E35)/(DATOS!$B$14+2*E35))^(4/3))+((DATOS!$B$27*C36/(DATOS!$B$14*((AN36+AO36)/2)))^2/((DATOS!$B$14*((AN36+AO36)/2))/(DATOS!$B$14+2*((AN36+AO36)/2)))^(4/3)))*(A35-A36)))&lt;0,((AN36+AO36)/2),AN36)</f>
        <v/>
      </c>
      <c r="AQ36" s="16">
        <f>IF((((AN36+AO36)/2)+(C36/(DATOS!$B$14*((AN36+AO36)/2)))^2/(2*9.81)+B36-(E35+(C35/(DATOS!$B$14*E35))^2/(2*9.81)+B35+0.5*(((DATOS!$B$27*C35/(DATOS!$B$14*E35))^2/((DATOS!$B$14*E35)/(DATOS!$B$14+2*E35))^(4/3))+((DATOS!$B$27*C36/(DATOS!$B$14*((AN36+AO36)/2)))^2/((DATOS!$B$14*((AN36+AO36)/2))/(DATOS!$B$14+2*((AN36+AO36)/2)))^(4/3)))*(A35-A36)))&lt;0,AO36,((AN36+AO36)/2))</f>
        <v/>
      </c>
      <c r="AR36" s="16">
        <f>IF((((AP36+AQ36)/2)+(C36/(DATOS!$B$14*((AP36+AQ36)/2)))^2/(2*9.81)+B36-(E35+(C35/(DATOS!$B$14*E35))^2/(2*9.81)+B35+0.5*(((DATOS!$B$27*C35/(DATOS!$B$14*E35))^2/((DATOS!$B$14*E35)/(DATOS!$B$14+2*E35))^(4/3))+((DATOS!$B$27*C36/(DATOS!$B$14*((AP36+AQ36)/2)))^2/((DATOS!$B$14*((AP36+AQ36)/2))/(DATOS!$B$14+2*((AP36+AQ36)/2)))^(4/3)))*(A35-A36)))&lt;0,((AP36+AQ36)/2),AP36)</f>
        <v/>
      </c>
      <c r="AS36" s="16">
        <f>IF((((AP36+AQ36)/2)+(C36/(DATOS!$B$14*((AP36+AQ36)/2)))^2/(2*9.81)+B36-(E35+(C35/(DATOS!$B$14*E35))^2/(2*9.81)+B35+0.5*(((DATOS!$B$27*C35/(DATOS!$B$14*E35))^2/((DATOS!$B$14*E35)/(DATOS!$B$14+2*E35))^(4/3))+((DATOS!$B$27*C36/(DATOS!$B$14*((AP36+AQ36)/2)))^2/((DATOS!$B$14*((AP36+AQ36)/2))/(DATOS!$B$14+2*((AP36+AQ36)/2)))^(4/3)))*(A35-A36)))&lt;0,AQ36,((AP36+AQ36)/2))</f>
        <v/>
      </c>
      <c r="AT36" s="16">
        <f>IF((((AR36+AS36)/2)+(C36/(DATOS!$B$14*((AR36+AS36)/2)))^2/(2*9.81)+B36-(E35+(C35/(DATOS!$B$14*E35))^2/(2*9.81)+B35+0.5*(((DATOS!$B$27*C35/(DATOS!$B$14*E35))^2/((DATOS!$B$14*E35)/(DATOS!$B$14+2*E35))^(4/3))+((DATOS!$B$27*C36/(DATOS!$B$14*((AR36+AS36)/2)))^2/((DATOS!$B$14*((AR36+AS36)/2))/(DATOS!$B$14+2*((AR36+AS36)/2)))^(4/3)))*(A35-A36)))&lt;0,((AR36+AS36)/2),AR36)</f>
        <v/>
      </c>
      <c r="AU36" s="16">
        <f>IF((((AR36+AS36)/2)+(C36/(DATOS!$B$14*((AR36+AS36)/2)))^2/(2*9.81)+B36-(E35+(C35/(DATOS!$B$14*E35))^2/(2*9.81)+B35+0.5*(((DATOS!$B$27*C35/(DATOS!$B$14*E35))^2/((DATOS!$B$14*E35)/(DATOS!$B$14+2*E35))^(4/3))+((DATOS!$B$27*C36/(DATOS!$B$14*((AR36+AS36)/2)))^2/((DATOS!$B$14*((AR36+AS36)/2))/(DATOS!$B$14+2*((AR36+AS36)/2)))^(4/3)))*(A35-A36)))&lt;0,AS36,((AR36+AS36)/2))</f>
        <v/>
      </c>
      <c r="AV36" s="16">
        <f>IF((((AT36+AU36)/2)+(C36/(DATOS!$B$14*((AT36+AU36)/2)))^2/(2*9.81)+B36-(E35+(C35/(DATOS!$B$14*E35))^2/(2*9.81)+B35+0.5*(((DATOS!$B$27*C35/(DATOS!$B$14*E35))^2/((DATOS!$B$14*E35)/(DATOS!$B$14+2*E35))^(4/3))+((DATOS!$B$27*C36/(DATOS!$B$14*((AT36+AU36)/2)))^2/((DATOS!$B$14*((AT36+AU36)/2))/(DATOS!$B$14+2*((AT36+AU36)/2)))^(4/3)))*(A35-A36)))&lt;0,((AT36+AU36)/2),AT36)</f>
        <v/>
      </c>
      <c r="AW36" s="16">
        <f>IF((((AT36+AU36)/2)+(C36/(DATOS!$B$14*((AT36+AU36)/2)))^2/(2*9.81)+B36-(E35+(C35/(DATOS!$B$14*E35))^2/(2*9.81)+B35+0.5*(((DATOS!$B$27*C35/(DATOS!$B$14*E35))^2/((DATOS!$B$14*E35)/(DATOS!$B$14+2*E35))^(4/3))+((DATOS!$B$27*C36/(DATOS!$B$14*((AT36+AU36)/2)))^2/((DATOS!$B$14*((AT36+AU36)/2))/(DATOS!$B$14+2*((AT36+AU36)/2)))^(4/3)))*(A35-A36)))&lt;0,AU36,((AT36+AU36)/2))</f>
        <v/>
      </c>
      <c r="AX36" s="16">
        <f>IF((((AV36+AW36)/2)+(C36/(DATOS!$B$14*((AV36+AW36)/2)))^2/(2*9.81)+B36-(E35+(C35/(DATOS!$B$14*E35))^2/(2*9.81)+B35+0.5*(((DATOS!$B$27*C35/(DATOS!$B$14*E35))^2/((DATOS!$B$14*E35)/(DATOS!$B$14+2*E35))^(4/3))+((DATOS!$B$27*C36/(DATOS!$B$14*((AV36+AW36)/2)))^2/((DATOS!$B$14*((AV36+AW36)/2))/(DATOS!$B$14+2*((AV36+AW36)/2)))^(4/3)))*(A35-A36)))&lt;0,((AV36+AW36)/2),AV36)</f>
        <v/>
      </c>
      <c r="AY36" s="16">
        <f>IF((((AV36+AW36)/2)+(C36/(DATOS!$B$14*((AV36+AW36)/2)))^2/(2*9.81)+B36-(E35+(C35/(DATOS!$B$14*E35))^2/(2*9.81)+B35+0.5*(((DATOS!$B$27*C35/(DATOS!$B$14*E35))^2/((DATOS!$B$14*E35)/(DATOS!$B$14+2*E35))^(4/3))+((DATOS!$B$27*C36/(DATOS!$B$14*((AV36+AW36)/2)))^2/((DATOS!$B$14*((AV36+AW36)/2))/(DATOS!$B$14+2*((AV36+AW36)/2)))^(4/3)))*(A35-A36)))&lt;0,AW36,((AV36+AW36)/2))</f>
        <v/>
      </c>
      <c r="AZ36" s="16">
        <f>IF((((AX36+AY36)/2)+(C36/(DATOS!$B$14*((AX36+AY36)/2)))^2/(2*9.81)+B36-(E35+(C35/(DATOS!$B$14*E35))^2/(2*9.81)+B35+0.5*(((DATOS!$B$27*C35/(DATOS!$B$14*E35))^2/((DATOS!$B$14*E35)/(DATOS!$B$14+2*E35))^(4/3))+((DATOS!$B$27*C36/(DATOS!$B$14*((AX36+AY36)/2)))^2/((DATOS!$B$14*((AX36+AY36)/2))/(DATOS!$B$14+2*((AX36+AY36)/2)))^(4/3)))*(A35-A36)))&lt;0,((AX36+AY36)/2),AX36)</f>
        <v/>
      </c>
      <c r="BA36" s="16">
        <f>IF((((AX36+AY36)/2)+(C36/(DATOS!$B$14*((AX36+AY36)/2)))^2/(2*9.81)+B36-(E35+(C35/(DATOS!$B$14*E35))^2/(2*9.81)+B35+0.5*(((DATOS!$B$27*C35/(DATOS!$B$14*E35))^2/((DATOS!$B$14*E35)/(DATOS!$B$14+2*E35))^(4/3))+((DATOS!$B$27*C36/(DATOS!$B$14*((AX36+AY36)/2)))^2/((DATOS!$B$14*((AX36+AY36)/2))/(DATOS!$B$14+2*((AX36+AY36)/2)))^(4/3)))*(A35-A36)))&lt;0,AY36,((AX36+AY36)/2))</f>
        <v/>
      </c>
      <c r="BB36" s="16">
        <f>IF((((AZ36+BA36)/2)+(C36/(DATOS!$B$14*((AZ36+BA36)/2)))^2/(2*9.81)+B36-(E35+(C35/(DATOS!$B$14*E35))^2/(2*9.81)+B35+0.5*(((DATOS!$B$27*C35/(DATOS!$B$14*E35))^2/((DATOS!$B$14*E35)/(DATOS!$B$14+2*E35))^(4/3))+((DATOS!$B$27*C36/(DATOS!$B$14*((AZ36+BA36)/2)))^2/((DATOS!$B$14*((AZ36+BA36)/2))/(DATOS!$B$14+2*((AZ36+BA36)/2)))^(4/3)))*(A35-A36)))&lt;0,((AZ36+BA36)/2),AZ36)</f>
        <v/>
      </c>
      <c r="BC36" s="16">
        <f>IF((((AZ36+BA36)/2)+(C36/(DATOS!$B$14*((AZ36+BA36)/2)))^2/(2*9.81)+B36-(E35+(C35/(DATOS!$B$14*E35))^2/(2*9.81)+B35+0.5*(((DATOS!$B$27*C35/(DATOS!$B$14*E35))^2/((DATOS!$B$14*E35)/(DATOS!$B$14+2*E35))^(4/3))+((DATOS!$B$27*C36/(DATOS!$B$14*((AZ36+BA36)/2)))^2/((DATOS!$B$14*((AZ36+BA36)/2))/(DATOS!$B$14+2*((AZ36+BA36)/2)))^(4/3)))*(A35-A36)))&lt;0,BA36,((AZ36+BA36)/2))</f>
        <v/>
      </c>
      <c r="BD36" s="16">
        <f>IF((((BB36+BC36)/2)+(C36/(DATOS!$B$14*((BB36+BC36)/2)))^2/(2*9.81)+B36-(E35+(C35/(DATOS!$B$14*E35))^2/(2*9.81)+B35+0.5*(((DATOS!$B$27*C35/(DATOS!$B$14*E35))^2/((DATOS!$B$14*E35)/(DATOS!$B$14+2*E35))^(4/3))+((DATOS!$B$27*C36/(DATOS!$B$14*((BB36+BC36)/2)))^2/((DATOS!$B$14*((BB36+BC36)/2))/(DATOS!$B$14+2*((BB36+BC36)/2)))^(4/3)))*(A35-A36)))&lt;0,((BB36+BC36)/2),BB36)</f>
        <v/>
      </c>
      <c r="BE36" s="16">
        <f>IF((((BB36+BC36)/2)+(C36/(DATOS!$B$14*((BB36+BC36)/2)))^2/(2*9.81)+B36-(E35+(C35/(DATOS!$B$14*E35))^2/(2*9.81)+B35+0.5*(((DATOS!$B$27*C35/(DATOS!$B$14*E35))^2/((DATOS!$B$14*E35)/(DATOS!$B$14+2*E35))^(4/3))+((DATOS!$B$27*C36/(DATOS!$B$14*((BB36+BC36)/2)))^2/((DATOS!$B$14*((BB36+BC36)/2))/(DATOS!$B$14+2*((BB36+BC36)/2)))^(4/3)))*(A35-A36)))&lt;0,BC36,((BB36+BC36)/2))</f>
        <v/>
      </c>
      <c r="BF36" s="16">
        <f>IF((((BD36+BE36)/2)+(C36/(DATOS!$B$14*((BD36+BE36)/2)))^2/(2*9.81)+B36-(E35+(C35/(DATOS!$B$14*E35))^2/(2*9.81)+B35+0.5*(((DATOS!$B$27*C35/(DATOS!$B$14*E35))^2/((DATOS!$B$14*E35)/(DATOS!$B$14+2*E35))^(4/3))+((DATOS!$B$27*C36/(DATOS!$B$14*((BD36+BE36)/2)))^2/((DATOS!$B$14*((BD36+BE36)/2))/(DATOS!$B$14+2*((BD36+BE36)/2)))^(4/3)))*(A35-A36)))&lt;0,((BD36+BE36)/2),BD36)</f>
        <v/>
      </c>
      <c r="BG36" s="16">
        <f>IF((((BD36+BE36)/2)+(C36/(DATOS!$B$14*((BD36+BE36)/2)))^2/(2*9.81)+B36-(E35+(C35/(DATOS!$B$14*E35))^2/(2*9.81)+B35+0.5*(((DATOS!$B$27*C35/(DATOS!$B$14*E35))^2/((DATOS!$B$14*E35)/(DATOS!$B$14+2*E35))^(4/3))+((DATOS!$B$27*C36/(DATOS!$B$14*((BD36+BE36)/2)))^2/((DATOS!$B$14*((BD36+BE36)/2))/(DATOS!$B$14+2*((BD36+BE36)/2)))^(4/3)))*(A35-A36)))&lt;0,BE36,((BD36+BE36)/2))</f>
        <v/>
      </c>
      <c r="BH36" s="16">
        <f>IF((((BF36+BG36)/2)+(C36/(DATOS!$B$14*((BF36+BG36)/2)))^2/(2*9.81)+B36-(E35+(C35/(DATOS!$B$14*E35))^2/(2*9.81)+B35+0.5*(((DATOS!$B$27*C35/(DATOS!$B$14*E35))^2/((DATOS!$B$14*E35)/(DATOS!$B$14+2*E35))^(4/3))+((DATOS!$B$27*C36/(DATOS!$B$14*((BF36+BG36)/2)))^2/((DATOS!$B$14*((BF36+BG36)/2))/(DATOS!$B$14+2*((BF36+BG36)/2)))^(4/3)))*(A35-A36)))&lt;0,((BF36+BG36)/2),BF36)</f>
        <v/>
      </c>
      <c r="BI36" s="16">
        <f>IF((((BF36+BG36)/2)+(C36/(DATOS!$B$14*((BF36+BG36)/2)))^2/(2*9.81)+B36-(E35+(C35/(DATOS!$B$14*E35))^2/(2*9.81)+B35+0.5*(((DATOS!$B$27*C35/(DATOS!$B$14*E35))^2/((DATOS!$B$14*E35)/(DATOS!$B$14+2*E35))^(4/3))+((DATOS!$B$27*C36/(DATOS!$B$14*((BF36+BG36)/2)))^2/((DATOS!$B$14*((BF36+BG36)/2))/(DATOS!$B$14+2*((BF36+BG36)/2)))^(4/3)))*(A35-A36)))&lt;0,BG36,((BF36+BG36)/2))</f>
        <v/>
      </c>
      <c r="BJ36" s="16">
        <f>IF((((BH36+BI36)/2)+(C36/(DATOS!$B$14*((BH36+BI36)/2)))^2/(2*9.81)+B36-(E35+(C35/(DATOS!$B$14*E35))^2/(2*9.81)+B35+0.5*(((DATOS!$B$27*C35/(DATOS!$B$14*E35))^2/((DATOS!$B$14*E35)/(DATOS!$B$14+2*E35))^(4/3))+((DATOS!$B$27*C36/(DATOS!$B$14*((BH36+BI36)/2)))^2/((DATOS!$B$14*((BH36+BI36)/2))/(DATOS!$B$14+2*((BH36+BI36)/2)))^(4/3)))*(A35-A36)))&lt;0,((BH36+BI36)/2),BH36)</f>
        <v/>
      </c>
      <c r="BK36" s="16">
        <f>IF((((BH36+BI36)/2)+(C36/(DATOS!$B$14*((BH36+BI36)/2)))^2/(2*9.81)+B36-(E35+(C35/(DATOS!$B$14*E35))^2/(2*9.81)+B35+0.5*(((DATOS!$B$27*C35/(DATOS!$B$14*E35))^2/((DATOS!$B$14*E35)/(DATOS!$B$14+2*E35))^(4/3))+((DATOS!$B$27*C36/(DATOS!$B$14*((BH36+BI36)/2)))^2/((DATOS!$B$14*((BH36+BI36)/2))/(DATOS!$B$14+2*((BH36+BI36)/2)))^(4/3)))*(A35-A36)))&lt;0,BI36,((BH36+BI36)/2))</f>
        <v/>
      </c>
      <c r="BL36" s="16">
        <f>IF((((BJ36+BK36)/2)+(C36/(DATOS!$B$14*((BJ36+BK36)/2)))^2/(2*9.81)+B36-(E35+(C35/(DATOS!$B$14*E35))^2/(2*9.81)+B35+0.5*(((DATOS!$B$27*C35/(DATOS!$B$14*E35))^2/((DATOS!$B$14*E35)/(DATOS!$B$14+2*E35))^(4/3))+((DATOS!$B$27*C36/(DATOS!$B$14*((BJ36+BK36)/2)))^2/((DATOS!$B$14*((BJ36+BK36)/2))/(DATOS!$B$14+2*((BJ36+BK36)/2)))^(4/3)))*(A35-A36)))&lt;0,((BJ36+BK36)/2),BJ36)</f>
        <v/>
      </c>
      <c r="BM36" s="16">
        <f>IF((((BJ36+BK36)/2)+(C36/(DATOS!$B$14*((BJ36+BK36)/2)))^2/(2*9.81)+B36-(E35+(C35/(DATOS!$B$14*E35))^2/(2*9.81)+B35+0.5*(((DATOS!$B$27*C35/(DATOS!$B$14*E35))^2/((DATOS!$B$14*E35)/(DATOS!$B$14+2*E35))^(4/3))+((DATOS!$B$27*C36/(DATOS!$B$14*((BJ36+BK36)/2)))^2/((DATOS!$B$14*((BJ36+BK36)/2))/(DATOS!$B$14+2*((BJ36+BK36)/2)))^(4/3)))*(A35-A36)))&lt;0,BK36,((BJ36+BK36)/2))</f>
        <v/>
      </c>
      <c r="BN36" s="16">
        <f>IF((((BL36+BM36)/2)+(C36/(DATOS!$B$14*((BL36+BM36)/2)))^2/(2*9.81)+B36-(E35+(C35/(DATOS!$B$14*E35))^2/(2*9.81)+B35+0.5*(((DATOS!$B$27*C35/(DATOS!$B$14*E35))^2/((DATOS!$B$14*E35)/(DATOS!$B$14+2*E35))^(4/3))+((DATOS!$B$27*C36/(DATOS!$B$14*((BL36+BM36)/2)))^2/((DATOS!$B$14*((BL36+BM36)/2))/(DATOS!$B$14+2*((BL36+BM36)/2)))^(4/3)))*(A35-A36)))&lt;0,((BL36+BM36)/2),BL36)</f>
        <v/>
      </c>
      <c r="BO36" s="16">
        <f>IF((((BL36+BM36)/2)+(C36/(DATOS!$B$14*((BL36+BM36)/2)))^2/(2*9.81)+B36-(E35+(C35/(DATOS!$B$14*E35))^2/(2*9.81)+B35+0.5*(((DATOS!$B$27*C35/(DATOS!$B$14*E35))^2/((DATOS!$B$14*E35)/(DATOS!$B$14+2*E35))^(4/3))+((DATOS!$B$27*C36/(DATOS!$B$14*((BL36+BM36)/2)))^2/((DATOS!$B$14*((BL36+BM36)/2))/(DATOS!$B$14+2*((BL36+BM36)/2)))^(4/3)))*(A35-A36)))&lt;0,BM36,((BL36+BM36)/2))</f>
        <v/>
      </c>
      <c r="BP36" s="16">
        <f>IF((((BN36+BO36)/2)+(C36/(DATOS!$B$14*((BN36+BO36)/2)))^2/(2*9.81)+B36-(E35+(C35/(DATOS!$B$14*E35))^2/(2*9.81)+B35+0.5*(((DATOS!$B$27*C35/(DATOS!$B$14*E35))^2/((DATOS!$B$14*E35)/(DATOS!$B$14+2*E35))^(4/3))+((DATOS!$B$27*C36/(DATOS!$B$14*((BN36+BO36)/2)))^2/((DATOS!$B$14*((BN36+BO36)/2))/(DATOS!$B$14+2*((BN36+BO36)/2)))^(4/3)))*(A35-A36)))&lt;0,((BN36+BO36)/2),BN36)</f>
        <v/>
      </c>
      <c r="BQ36" s="16">
        <f>IF((((BN36+BO36)/2)+(C36/(DATOS!$B$14*((BN36+BO36)/2)))^2/(2*9.81)+B36-(E35+(C35/(DATOS!$B$14*E35))^2/(2*9.81)+B35+0.5*(((DATOS!$B$27*C35/(DATOS!$B$14*E35))^2/((DATOS!$B$14*E35)/(DATOS!$B$14+2*E35))^(4/3))+((DATOS!$B$27*C36/(DATOS!$B$14*((BN36+BO36)/2)))^2/((DATOS!$B$14*((BN36+BO36)/2))/(DATOS!$B$14+2*((BN36+BO36)/2)))^(4/3)))*(A35-A36)))&lt;0,BO36,((BN36+BO36)/2))</f>
        <v/>
      </c>
      <c r="BR36" s="16">
        <f>IF((((BP36+BQ36)/2)+(C36/(DATOS!$B$14*((BP36+BQ36)/2)))^2/(2*9.81)+B36-(E35+(C35/(DATOS!$B$14*E35))^2/(2*9.81)+B35+0.5*(((DATOS!$B$27*C35/(DATOS!$B$14*E35))^2/((DATOS!$B$14*E35)/(DATOS!$B$14+2*E35))^(4/3))+((DATOS!$B$27*C36/(DATOS!$B$14*((BP36+BQ36)/2)))^2/((DATOS!$B$14*((BP36+BQ36)/2))/(DATOS!$B$14+2*((BP36+BQ36)/2)))^(4/3)))*(A35-A36)))&lt;0,((BP36+BQ36)/2),BP36)</f>
        <v/>
      </c>
      <c r="BS36" s="16">
        <f>IF((((BP36+BQ36)/2)+(C36/(DATOS!$B$14*((BP36+BQ36)/2)))^2/(2*9.81)+B36-(E35+(C35/(DATOS!$B$14*E35))^2/(2*9.81)+B35+0.5*(((DATOS!$B$27*C35/(DATOS!$B$14*E35))^2/((DATOS!$B$14*E35)/(DATOS!$B$14+2*E35))^(4/3))+((DATOS!$B$27*C36/(DATOS!$B$14*((BP36+BQ36)/2)))^2/((DATOS!$B$14*((BP36+BQ36)/2))/(DATOS!$B$14+2*((BP36+BQ36)/2)))^(4/3)))*(A35-A36)))&lt;0,BQ36,((BP36+BQ36)/2))</f>
        <v/>
      </c>
      <c r="BT36" s="16">
        <f>IF((((BR36+BS36)/2)+(C36/(DATOS!$B$14*((BR36+BS36)/2)))^2/(2*9.81)+B36-(E35+(C35/(DATOS!$B$14*E35))^2/(2*9.81)+B35+0.5*(((DATOS!$B$27*C35/(DATOS!$B$14*E35))^2/((DATOS!$B$14*E35)/(DATOS!$B$14+2*E35))^(4/3))+((DATOS!$B$27*C36/(DATOS!$B$14*((BR36+BS36)/2)))^2/((DATOS!$B$14*((BR36+BS36)/2))/(DATOS!$B$14+2*((BR36+BS36)/2)))^(4/3)))*(A35-A36)))&lt;0,((BR36+BS36)/2),BR36)</f>
        <v/>
      </c>
      <c r="BU36" s="16">
        <f>IF((((BR36+BS36)/2)+(C36/(DATOS!$B$14*((BR36+BS36)/2)))^2/(2*9.81)+B36-(E35+(C35/(DATOS!$B$14*E35))^2/(2*9.81)+B35+0.5*(((DATOS!$B$27*C35/(DATOS!$B$14*E35))^2/((DATOS!$B$14*E35)/(DATOS!$B$14+2*E35))^(4/3))+((DATOS!$B$27*C36/(DATOS!$B$14*((BR36+BS36)/2)))^2/((DATOS!$B$14*((BR36+BS36)/2))/(DATOS!$B$14+2*((BR36+BS36)/2)))^(4/3)))*(A35-A36)))&lt;0,BS36,((BR36+BS36)/2))</f>
        <v/>
      </c>
    </row>
    <row r="37">
      <c r="A37" s="30" t="n">
        <v>78</v>
      </c>
      <c r="B37" s="21">
        <f>DATOS!$B$16-DATOS!$B$19*A37</f>
        <v/>
      </c>
      <c r="C37" s="21">
        <f>IF(A37&lt;CAUDALES!$B$13,CAUDALES!$D$12,IF(A37&lt;CAUDALES!$B$14,CAUDALES!$D$13,IF(A37&lt;CAUDALES!$B$15,CAUDALES!$D$14,CAUDALES!$D$15)))/1000</f>
        <v/>
      </c>
      <c r="D37" s="21">
        <f>(C37^2/(9.81*DATOS!$B$14^2))^(1/3)</f>
        <v/>
      </c>
      <c r="E37" s="29">
        <f>(BT37+BU37)/2</f>
        <v/>
      </c>
      <c r="F37" s="21">
        <f>B37+E37</f>
        <v/>
      </c>
      <c r="G37" s="17">
        <f>C37/(DATOS!$B$14*E37)</f>
        <v/>
      </c>
      <c r="H37" s="17">
        <f>G37/SQRT(9.81*E37)</f>
        <v/>
      </c>
      <c r="I37" s="21">
        <f>IF(A37&lt;=DATOS!$B$20,DATOS!$B$21-IF(AND(A37&gt;=DATOS!$B$23,A37&lt;DATOS!$B$24),DATOS!$B$25,DATOS!$B$22),B37+DATOS!$B$26)</f>
        <v/>
      </c>
      <c r="J37" s="17">
        <f>I37-B37</f>
        <v/>
      </c>
      <c r="K37" s="31">
        <f>E37/J37</f>
        <v/>
      </c>
      <c r="L37" s="21">
        <f>I37-F37</f>
        <v/>
      </c>
      <c r="M37" s="32">
        <f>IF(AND(K37&lt;=DATOS!$B$29,L37&gt;=DATOS!$B$30),"CUMPLE","NO CUMPLE")</f>
        <v/>
      </c>
      <c r="N37" s="13">
        <f>IF(A37&gt;DATOS!$B$20,"cubierto - tramo final",IF(AND(A37&gt;=DATOS!$B$23,A37&lt;DATOS!$B$24),"cubierto - camiones","cubierto"))</f>
        <v/>
      </c>
      <c r="P37" s="16">
        <f>D37*1.001</f>
        <v/>
      </c>
      <c r="Q37" s="16" t="n">
        <v>2</v>
      </c>
      <c r="R37" s="16">
        <f>IF((((P37+Q37)/2)+(C37/(DATOS!$B$14*((P37+Q37)/2)))^2/(2*9.81)+B37-(E36+(C36/(DATOS!$B$14*E36))^2/(2*9.81)+B36+0.5*(((DATOS!$B$27*C36/(DATOS!$B$14*E36))^2/((DATOS!$B$14*E36)/(DATOS!$B$14+2*E36))^(4/3))+((DATOS!$B$27*C37/(DATOS!$B$14*((P37+Q37)/2)))^2/((DATOS!$B$14*((P37+Q37)/2))/(DATOS!$B$14+2*((P37+Q37)/2)))^(4/3)))*(A36-A37)))&lt;0,((P37+Q37)/2),P37)</f>
        <v/>
      </c>
      <c r="S37" s="16">
        <f>IF((((P37+Q37)/2)+(C37/(DATOS!$B$14*((P37+Q37)/2)))^2/(2*9.81)+B37-(E36+(C36/(DATOS!$B$14*E36))^2/(2*9.81)+B36+0.5*(((DATOS!$B$27*C36/(DATOS!$B$14*E36))^2/((DATOS!$B$14*E36)/(DATOS!$B$14+2*E36))^(4/3))+((DATOS!$B$27*C37/(DATOS!$B$14*((P37+Q37)/2)))^2/((DATOS!$B$14*((P37+Q37)/2))/(DATOS!$B$14+2*((P37+Q37)/2)))^(4/3)))*(A36-A37)))&lt;0,Q37,((P37+Q37)/2))</f>
        <v/>
      </c>
      <c r="T37" s="16">
        <f>IF((((R37+S37)/2)+(C37/(DATOS!$B$14*((R37+S37)/2)))^2/(2*9.81)+B37-(E36+(C36/(DATOS!$B$14*E36))^2/(2*9.81)+B36+0.5*(((DATOS!$B$27*C36/(DATOS!$B$14*E36))^2/((DATOS!$B$14*E36)/(DATOS!$B$14+2*E36))^(4/3))+((DATOS!$B$27*C37/(DATOS!$B$14*((R37+S37)/2)))^2/((DATOS!$B$14*((R37+S37)/2))/(DATOS!$B$14+2*((R37+S37)/2)))^(4/3)))*(A36-A37)))&lt;0,((R37+S37)/2),R37)</f>
        <v/>
      </c>
      <c r="U37" s="16">
        <f>IF((((R37+S37)/2)+(C37/(DATOS!$B$14*((R37+S37)/2)))^2/(2*9.81)+B37-(E36+(C36/(DATOS!$B$14*E36))^2/(2*9.81)+B36+0.5*(((DATOS!$B$27*C36/(DATOS!$B$14*E36))^2/((DATOS!$B$14*E36)/(DATOS!$B$14+2*E36))^(4/3))+((DATOS!$B$27*C37/(DATOS!$B$14*((R37+S37)/2)))^2/((DATOS!$B$14*((R37+S37)/2))/(DATOS!$B$14+2*((R37+S37)/2)))^(4/3)))*(A36-A37)))&lt;0,S37,((R37+S37)/2))</f>
        <v/>
      </c>
      <c r="V37" s="16">
        <f>IF((((T37+U37)/2)+(C37/(DATOS!$B$14*((T37+U37)/2)))^2/(2*9.81)+B37-(E36+(C36/(DATOS!$B$14*E36))^2/(2*9.81)+B36+0.5*(((DATOS!$B$27*C36/(DATOS!$B$14*E36))^2/((DATOS!$B$14*E36)/(DATOS!$B$14+2*E36))^(4/3))+((DATOS!$B$27*C37/(DATOS!$B$14*((T37+U37)/2)))^2/((DATOS!$B$14*((T37+U37)/2))/(DATOS!$B$14+2*((T37+U37)/2)))^(4/3)))*(A36-A37)))&lt;0,((T37+U37)/2),T37)</f>
        <v/>
      </c>
      <c r="W37" s="16">
        <f>IF((((T37+U37)/2)+(C37/(DATOS!$B$14*((T37+U37)/2)))^2/(2*9.81)+B37-(E36+(C36/(DATOS!$B$14*E36))^2/(2*9.81)+B36+0.5*(((DATOS!$B$27*C36/(DATOS!$B$14*E36))^2/((DATOS!$B$14*E36)/(DATOS!$B$14+2*E36))^(4/3))+((DATOS!$B$27*C37/(DATOS!$B$14*((T37+U37)/2)))^2/((DATOS!$B$14*((T37+U37)/2))/(DATOS!$B$14+2*((T37+U37)/2)))^(4/3)))*(A36-A37)))&lt;0,U37,((T37+U37)/2))</f>
        <v/>
      </c>
      <c r="X37" s="16">
        <f>IF((((V37+W37)/2)+(C37/(DATOS!$B$14*((V37+W37)/2)))^2/(2*9.81)+B37-(E36+(C36/(DATOS!$B$14*E36))^2/(2*9.81)+B36+0.5*(((DATOS!$B$27*C36/(DATOS!$B$14*E36))^2/((DATOS!$B$14*E36)/(DATOS!$B$14+2*E36))^(4/3))+((DATOS!$B$27*C37/(DATOS!$B$14*((V37+W37)/2)))^2/((DATOS!$B$14*((V37+W37)/2))/(DATOS!$B$14+2*((V37+W37)/2)))^(4/3)))*(A36-A37)))&lt;0,((V37+W37)/2),V37)</f>
        <v/>
      </c>
      <c r="Y37" s="16">
        <f>IF((((V37+W37)/2)+(C37/(DATOS!$B$14*((V37+W37)/2)))^2/(2*9.81)+B37-(E36+(C36/(DATOS!$B$14*E36))^2/(2*9.81)+B36+0.5*(((DATOS!$B$27*C36/(DATOS!$B$14*E36))^2/((DATOS!$B$14*E36)/(DATOS!$B$14+2*E36))^(4/3))+((DATOS!$B$27*C37/(DATOS!$B$14*((V37+W37)/2)))^2/((DATOS!$B$14*((V37+W37)/2))/(DATOS!$B$14+2*((V37+W37)/2)))^(4/3)))*(A36-A37)))&lt;0,W37,((V37+W37)/2))</f>
        <v/>
      </c>
      <c r="Z37" s="16">
        <f>IF((((X37+Y37)/2)+(C37/(DATOS!$B$14*((X37+Y37)/2)))^2/(2*9.81)+B37-(E36+(C36/(DATOS!$B$14*E36))^2/(2*9.81)+B36+0.5*(((DATOS!$B$27*C36/(DATOS!$B$14*E36))^2/((DATOS!$B$14*E36)/(DATOS!$B$14+2*E36))^(4/3))+((DATOS!$B$27*C37/(DATOS!$B$14*((X37+Y37)/2)))^2/((DATOS!$B$14*((X37+Y37)/2))/(DATOS!$B$14+2*((X37+Y37)/2)))^(4/3)))*(A36-A37)))&lt;0,((X37+Y37)/2),X37)</f>
        <v/>
      </c>
      <c r="AA37" s="16">
        <f>IF((((X37+Y37)/2)+(C37/(DATOS!$B$14*((X37+Y37)/2)))^2/(2*9.81)+B37-(E36+(C36/(DATOS!$B$14*E36))^2/(2*9.81)+B36+0.5*(((DATOS!$B$27*C36/(DATOS!$B$14*E36))^2/((DATOS!$B$14*E36)/(DATOS!$B$14+2*E36))^(4/3))+((DATOS!$B$27*C37/(DATOS!$B$14*((X37+Y37)/2)))^2/((DATOS!$B$14*((X37+Y37)/2))/(DATOS!$B$14+2*((X37+Y37)/2)))^(4/3)))*(A36-A37)))&lt;0,Y37,((X37+Y37)/2))</f>
        <v/>
      </c>
      <c r="AB37" s="16">
        <f>IF((((Z37+AA37)/2)+(C37/(DATOS!$B$14*((Z37+AA37)/2)))^2/(2*9.81)+B37-(E36+(C36/(DATOS!$B$14*E36))^2/(2*9.81)+B36+0.5*(((DATOS!$B$27*C36/(DATOS!$B$14*E36))^2/((DATOS!$B$14*E36)/(DATOS!$B$14+2*E36))^(4/3))+((DATOS!$B$27*C37/(DATOS!$B$14*((Z37+AA37)/2)))^2/((DATOS!$B$14*((Z37+AA37)/2))/(DATOS!$B$14+2*((Z37+AA37)/2)))^(4/3)))*(A36-A37)))&lt;0,((Z37+AA37)/2),Z37)</f>
        <v/>
      </c>
      <c r="AC37" s="16">
        <f>IF((((Z37+AA37)/2)+(C37/(DATOS!$B$14*((Z37+AA37)/2)))^2/(2*9.81)+B37-(E36+(C36/(DATOS!$B$14*E36))^2/(2*9.81)+B36+0.5*(((DATOS!$B$27*C36/(DATOS!$B$14*E36))^2/((DATOS!$B$14*E36)/(DATOS!$B$14+2*E36))^(4/3))+((DATOS!$B$27*C37/(DATOS!$B$14*((Z37+AA37)/2)))^2/((DATOS!$B$14*((Z37+AA37)/2))/(DATOS!$B$14+2*((Z37+AA37)/2)))^(4/3)))*(A36-A37)))&lt;0,AA37,((Z37+AA37)/2))</f>
        <v/>
      </c>
      <c r="AD37" s="16">
        <f>IF((((AB37+AC37)/2)+(C37/(DATOS!$B$14*((AB37+AC37)/2)))^2/(2*9.81)+B37-(E36+(C36/(DATOS!$B$14*E36))^2/(2*9.81)+B36+0.5*(((DATOS!$B$27*C36/(DATOS!$B$14*E36))^2/((DATOS!$B$14*E36)/(DATOS!$B$14+2*E36))^(4/3))+((DATOS!$B$27*C37/(DATOS!$B$14*((AB37+AC37)/2)))^2/((DATOS!$B$14*((AB37+AC37)/2))/(DATOS!$B$14+2*((AB37+AC37)/2)))^(4/3)))*(A36-A37)))&lt;0,((AB37+AC37)/2),AB37)</f>
        <v/>
      </c>
      <c r="AE37" s="16">
        <f>IF((((AB37+AC37)/2)+(C37/(DATOS!$B$14*((AB37+AC37)/2)))^2/(2*9.81)+B37-(E36+(C36/(DATOS!$B$14*E36))^2/(2*9.81)+B36+0.5*(((DATOS!$B$27*C36/(DATOS!$B$14*E36))^2/((DATOS!$B$14*E36)/(DATOS!$B$14+2*E36))^(4/3))+((DATOS!$B$27*C37/(DATOS!$B$14*((AB37+AC37)/2)))^2/((DATOS!$B$14*((AB37+AC37)/2))/(DATOS!$B$14+2*((AB37+AC37)/2)))^(4/3)))*(A36-A37)))&lt;0,AC37,((AB37+AC37)/2))</f>
        <v/>
      </c>
      <c r="AF37" s="16">
        <f>IF((((AD37+AE37)/2)+(C37/(DATOS!$B$14*((AD37+AE37)/2)))^2/(2*9.81)+B37-(E36+(C36/(DATOS!$B$14*E36))^2/(2*9.81)+B36+0.5*(((DATOS!$B$27*C36/(DATOS!$B$14*E36))^2/((DATOS!$B$14*E36)/(DATOS!$B$14+2*E36))^(4/3))+((DATOS!$B$27*C37/(DATOS!$B$14*((AD37+AE37)/2)))^2/((DATOS!$B$14*((AD37+AE37)/2))/(DATOS!$B$14+2*((AD37+AE37)/2)))^(4/3)))*(A36-A37)))&lt;0,((AD37+AE37)/2),AD37)</f>
        <v/>
      </c>
      <c r="AG37" s="16">
        <f>IF((((AD37+AE37)/2)+(C37/(DATOS!$B$14*((AD37+AE37)/2)))^2/(2*9.81)+B37-(E36+(C36/(DATOS!$B$14*E36))^2/(2*9.81)+B36+0.5*(((DATOS!$B$27*C36/(DATOS!$B$14*E36))^2/((DATOS!$B$14*E36)/(DATOS!$B$14+2*E36))^(4/3))+((DATOS!$B$27*C37/(DATOS!$B$14*((AD37+AE37)/2)))^2/((DATOS!$B$14*((AD37+AE37)/2))/(DATOS!$B$14+2*((AD37+AE37)/2)))^(4/3)))*(A36-A37)))&lt;0,AE37,((AD37+AE37)/2))</f>
        <v/>
      </c>
      <c r="AH37" s="16">
        <f>IF((((AF37+AG37)/2)+(C37/(DATOS!$B$14*((AF37+AG37)/2)))^2/(2*9.81)+B37-(E36+(C36/(DATOS!$B$14*E36))^2/(2*9.81)+B36+0.5*(((DATOS!$B$27*C36/(DATOS!$B$14*E36))^2/((DATOS!$B$14*E36)/(DATOS!$B$14+2*E36))^(4/3))+((DATOS!$B$27*C37/(DATOS!$B$14*((AF37+AG37)/2)))^2/((DATOS!$B$14*((AF37+AG37)/2))/(DATOS!$B$14+2*((AF37+AG37)/2)))^(4/3)))*(A36-A37)))&lt;0,((AF37+AG37)/2),AF37)</f>
        <v/>
      </c>
      <c r="AI37" s="16">
        <f>IF((((AF37+AG37)/2)+(C37/(DATOS!$B$14*((AF37+AG37)/2)))^2/(2*9.81)+B37-(E36+(C36/(DATOS!$B$14*E36))^2/(2*9.81)+B36+0.5*(((DATOS!$B$27*C36/(DATOS!$B$14*E36))^2/((DATOS!$B$14*E36)/(DATOS!$B$14+2*E36))^(4/3))+((DATOS!$B$27*C37/(DATOS!$B$14*((AF37+AG37)/2)))^2/((DATOS!$B$14*((AF37+AG37)/2))/(DATOS!$B$14+2*((AF37+AG37)/2)))^(4/3)))*(A36-A37)))&lt;0,AG37,((AF37+AG37)/2))</f>
        <v/>
      </c>
      <c r="AJ37" s="16">
        <f>IF((((AH37+AI37)/2)+(C37/(DATOS!$B$14*((AH37+AI37)/2)))^2/(2*9.81)+B37-(E36+(C36/(DATOS!$B$14*E36))^2/(2*9.81)+B36+0.5*(((DATOS!$B$27*C36/(DATOS!$B$14*E36))^2/((DATOS!$B$14*E36)/(DATOS!$B$14+2*E36))^(4/3))+((DATOS!$B$27*C37/(DATOS!$B$14*((AH37+AI37)/2)))^2/((DATOS!$B$14*((AH37+AI37)/2))/(DATOS!$B$14+2*((AH37+AI37)/2)))^(4/3)))*(A36-A37)))&lt;0,((AH37+AI37)/2),AH37)</f>
        <v/>
      </c>
      <c r="AK37" s="16">
        <f>IF((((AH37+AI37)/2)+(C37/(DATOS!$B$14*((AH37+AI37)/2)))^2/(2*9.81)+B37-(E36+(C36/(DATOS!$B$14*E36))^2/(2*9.81)+B36+0.5*(((DATOS!$B$27*C36/(DATOS!$B$14*E36))^2/((DATOS!$B$14*E36)/(DATOS!$B$14+2*E36))^(4/3))+((DATOS!$B$27*C37/(DATOS!$B$14*((AH37+AI37)/2)))^2/((DATOS!$B$14*((AH37+AI37)/2))/(DATOS!$B$14+2*((AH37+AI37)/2)))^(4/3)))*(A36-A37)))&lt;0,AI37,((AH37+AI37)/2))</f>
        <v/>
      </c>
      <c r="AL37" s="16">
        <f>IF((((AJ37+AK37)/2)+(C37/(DATOS!$B$14*((AJ37+AK37)/2)))^2/(2*9.81)+B37-(E36+(C36/(DATOS!$B$14*E36))^2/(2*9.81)+B36+0.5*(((DATOS!$B$27*C36/(DATOS!$B$14*E36))^2/((DATOS!$B$14*E36)/(DATOS!$B$14+2*E36))^(4/3))+((DATOS!$B$27*C37/(DATOS!$B$14*((AJ37+AK37)/2)))^2/((DATOS!$B$14*((AJ37+AK37)/2))/(DATOS!$B$14+2*((AJ37+AK37)/2)))^(4/3)))*(A36-A37)))&lt;0,((AJ37+AK37)/2),AJ37)</f>
        <v/>
      </c>
      <c r="AM37" s="16">
        <f>IF((((AJ37+AK37)/2)+(C37/(DATOS!$B$14*((AJ37+AK37)/2)))^2/(2*9.81)+B37-(E36+(C36/(DATOS!$B$14*E36))^2/(2*9.81)+B36+0.5*(((DATOS!$B$27*C36/(DATOS!$B$14*E36))^2/((DATOS!$B$14*E36)/(DATOS!$B$14+2*E36))^(4/3))+((DATOS!$B$27*C37/(DATOS!$B$14*((AJ37+AK37)/2)))^2/((DATOS!$B$14*((AJ37+AK37)/2))/(DATOS!$B$14+2*((AJ37+AK37)/2)))^(4/3)))*(A36-A37)))&lt;0,AK37,((AJ37+AK37)/2))</f>
        <v/>
      </c>
      <c r="AN37" s="16">
        <f>IF((((AL37+AM37)/2)+(C37/(DATOS!$B$14*((AL37+AM37)/2)))^2/(2*9.81)+B37-(E36+(C36/(DATOS!$B$14*E36))^2/(2*9.81)+B36+0.5*(((DATOS!$B$27*C36/(DATOS!$B$14*E36))^2/((DATOS!$B$14*E36)/(DATOS!$B$14+2*E36))^(4/3))+((DATOS!$B$27*C37/(DATOS!$B$14*((AL37+AM37)/2)))^2/((DATOS!$B$14*((AL37+AM37)/2))/(DATOS!$B$14+2*((AL37+AM37)/2)))^(4/3)))*(A36-A37)))&lt;0,((AL37+AM37)/2),AL37)</f>
        <v/>
      </c>
      <c r="AO37" s="16">
        <f>IF((((AL37+AM37)/2)+(C37/(DATOS!$B$14*((AL37+AM37)/2)))^2/(2*9.81)+B37-(E36+(C36/(DATOS!$B$14*E36))^2/(2*9.81)+B36+0.5*(((DATOS!$B$27*C36/(DATOS!$B$14*E36))^2/((DATOS!$B$14*E36)/(DATOS!$B$14+2*E36))^(4/3))+((DATOS!$B$27*C37/(DATOS!$B$14*((AL37+AM37)/2)))^2/((DATOS!$B$14*((AL37+AM37)/2))/(DATOS!$B$14+2*((AL37+AM37)/2)))^(4/3)))*(A36-A37)))&lt;0,AM37,((AL37+AM37)/2))</f>
        <v/>
      </c>
      <c r="AP37" s="16">
        <f>IF((((AN37+AO37)/2)+(C37/(DATOS!$B$14*((AN37+AO37)/2)))^2/(2*9.81)+B37-(E36+(C36/(DATOS!$B$14*E36))^2/(2*9.81)+B36+0.5*(((DATOS!$B$27*C36/(DATOS!$B$14*E36))^2/((DATOS!$B$14*E36)/(DATOS!$B$14+2*E36))^(4/3))+((DATOS!$B$27*C37/(DATOS!$B$14*((AN37+AO37)/2)))^2/((DATOS!$B$14*((AN37+AO37)/2))/(DATOS!$B$14+2*((AN37+AO37)/2)))^(4/3)))*(A36-A37)))&lt;0,((AN37+AO37)/2),AN37)</f>
        <v/>
      </c>
      <c r="AQ37" s="16">
        <f>IF((((AN37+AO37)/2)+(C37/(DATOS!$B$14*((AN37+AO37)/2)))^2/(2*9.81)+B37-(E36+(C36/(DATOS!$B$14*E36))^2/(2*9.81)+B36+0.5*(((DATOS!$B$27*C36/(DATOS!$B$14*E36))^2/((DATOS!$B$14*E36)/(DATOS!$B$14+2*E36))^(4/3))+((DATOS!$B$27*C37/(DATOS!$B$14*((AN37+AO37)/2)))^2/((DATOS!$B$14*((AN37+AO37)/2))/(DATOS!$B$14+2*((AN37+AO37)/2)))^(4/3)))*(A36-A37)))&lt;0,AO37,((AN37+AO37)/2))</f>
        <v/>
      </c>
      <c r="AR37" s="16">
        <f>IF((((AP37+AQ37)/2)+(C37/(DATOS!$B$14*((AP37+AQ37)/2)))^2/(2*9.81)+B37-(E36+(C36/(DATOS!$B$14*E36))^2/(2*9.81)+B36+0.5*(((DATOS!$B$27*C36/(DATOS!$B$14*E36))^2/((DATOS!$B$14*E36)/(DATOS!$B$14+2*E36))^(4/3))+((DATOS!$B$27*C37/(DATOS!$B$14*((AP37+AQ37)/2)))^2/((DATOS!$B$14*((AP37+AQ37)/2))/(DATOS!$B$14+2*((AP37+AQ37)/2)))^(4/3)))*(A36-A37)))&lt;0,((AP37+AQ37)/2),AP37)</f>
        <v/>
      </c>
      <c r="AS37" s="16">
        <f>IF((((AP37+AQ37)/2)+(C37/(DATOS!$B$14*((AP37+AQ37)/2)))^2/(2*9.81)+B37-(E36+(C36/(DATOS!$B$14*E36))^2/(2*9.81)+B36+0.5*(((DATOS!$B$27*C36/(DATOS!$B$14*E36))^2/((DATOS!$B$14*E36)/(DATOS!$B$14+2*E36))^(4/3))+((DATOS!$B$27*C37/(DATOS!$B$14*((AP37+AQ37)/2)))^2/((DATOS!$B$14*((AP37+AQ37)/2))/(DATOS!$B$14+2*((AP37+AQ37)/2)))^(4/3)))*(A36-A37)))&lt;0,AQ37,((AP37+AQ37)/2))</f>
        <v/>
      </c>
      <c r="AT37" s="16">
        <f>IF((((AR37+AS37)/2)+(C37/(DATOS!$B$14*((AR37+AS37)/2)))^2/(2*9.81)+B37-(E36+(C36/(DATOS!$B$14*E36))^2/(2*9.81)+B36+0.5*(((DATOS!$B$27*C36/(DATOS!$B$14*E36))^2/((DATOS!$B$14*E36)/(DATOS!$B$14+2*E36))^(4/3))+((DATOS!$B$27*C37/(DATOS!$B$14*((AR37+AS37)/2)))^2/((DATOS!$B$14*((AR37+AS37)/2))/(DATOS!$B$14+2*((AR37+AS37)/2)))^(4/3)))*(A36-A37)))&lt;0,((AR37+AS37)/2),AR37)</f>
        <v/>
      </c>
      <c r="AU37" s="16">
        <f>IF((((AR37+AS37)/2)+(C37/(DATOS!$B$14*((AR37+AS37)/2)))^2/(2*9.81)+B37-(E36+(C36/(DATOS!$B$14*E36))^2/(2*9.81)+B36+0.5*(((DATOS!$B$27*C36/(DATOS!$B$14*E36))^2/((DATOS!$B$14*E36)/(DATOS!$B$14+2*E36))^(4/3))+((DATOS!$B$27*C37/(DATOS!$B$14*((AR37+AS37)/2)))^2/((DATOS!$B$14*((AR37+AS37)/2))/(DATOS!$B$14+2*((AR37+AS37)/2)))^(4/3)))*(A36-A37)))&lt;0,AS37,((AR37+AS37)/2))</f>
        <v/>
      </c>
      <c r="AV37" s="16">
        <f>IF((((AT37+AU37)/2)+(C37/(DATOS!$B$14*((AT37+AU37)/2)))^2/(2*9.81)+B37-(E36+(C36/(DATOS!$B$14*E36))^2/(2*9.81)+B36+0.5*(((DATOS!$B$27*C36/(DATOS!$B$14*E36))^2/((DATOS!$B$14*E36)/(DATOS!$B$14+2*E36))^(4/3))+((DATOS!$B$27*C37/(DATOS!$B$14*((AT37+AU37)/2)))^2/((DATOS!$B$14*((AT37+AU37)/2))/(DATOS!$B$14+2*((AT37+AU37)/2)))^(4/3)))*(A36-A37)))&lt;0,((AT37+AU37)/2),AT37)</f>
        <v/>
      </c>
      <c r="AW37" s="16">
        <f>IF((((AT37+AU37)/2)+(C37/(DATOS!$B$14*((AT37+AU37)/2)))^2/(2*9.81)+B37-(E36+(C36/(DATOS!$B$14*E36))^2/(2*9.81)+B36+0.5*(((DATOS!$B$27*C36/(DATOS!$B$14*E36))^2/((DATOS!$B$14*E36)/(DATOS!$B$14+2*E36))^(4/3))+((DATOS!$B$27*C37/(DATOS!$B$14*((AT37+AU37)/2)))^2/((DATOS!$B$14*((AT37+AU37)/2))/(DATOS!$B$14+2*((AT37+AU37)/2)))^(4/3)))*(A36-A37)))&lt;0,AU37,((AT37+AU37)/2))</f>
        <v/>
      </c>
      <c r="AX37" s="16">
        <f>IF((((AV37+AW37)/2)+(C37/(DATOS!$B$14*((AV37+AW37)/2)))^2/(2*9.81)+B37-(E36+(C36/(DATOS!$B$14*E36))^2/(2*9.81)+B36+0.5*(((DATOS!$B$27*C36/(DATOS!$B$14*E36))^2/((DATOS!$B$14*E36)/(DATOS!$B$14+2*E36))^(4/3))+((DATOS!$B$27*C37/(DATOS!$B$14*((AV37+AW37)/2)))^2/((DATOS!$B$14*((AV37+AW37)/2))/(DATOS!$B$14+2*((AV37+AW37)/2)))^(4/3)))*(A36-A37)))&lt;0,((AV37+AW37)/2),AV37)</f>
        <v/>
      </c>
      <c r="AY37" s="16">
        <f>IF((((AV37+AW37)/2)+(C37/(DATOS!$B$14*((AV37+AW37)/2)))^2/(2*9.81)+B37-(E36+(C36/(DATOS!$B$14*E36))^2/(2*9.81)+B36+0.5*(((DATOS!$B$27*C36/(DATOS!$B$14*E36))^2/((DATOS!$B$14*E36)/(DATOS!$B$14+2*E36))^(4/3))+((DATOS!$B$27*C37/(DATOS!$B$14*((AV37+AW37)/2)))^2/((DATOS!$B$14*((AV37+AW37)/2))/(DATOS!$B$14+2*((AV37+AW37)/2)))^(4/3)))*(A36-A37)))&lt;0,AW37,((AV37+AW37)/2))</f>
        <v/>
      </c>
      <c r="AZ37" s="16">
        <f>IF((((AX37+AY37)/2)+(C37/(DATOS!$B$14*((AX37+AY37)/2)))^2/(2*9.81)+B37-(E36+(C36/(DATOS!$B$14*E36))^2/(2*9.81)+B36+0.5*(((DATOS!$B$27*C36/(DATOS!$B$14*E36))^2/((DATOS!$B$14*E36)/(DATOS!$B$14+2*E36))^(4/3))+((DATOS!$B$27*C37/(DATOS!$B$14*((AX37+AY37)/2)))^2/((DATOS!$B$14*((AX37+AY37)/2))/(DATOS!$B$14+2*((AX37+AY37)/2)))^(4/3)))*(A36-A37)))&lt;0,((AX37+AY37)/2),AX37)</f>
        <v/>
      </c>
      <c r="BA37" s="16">
        <f>IF((((AX37+AY37)/2)+(C37/(DATOS!$B$14*((AX37+AY37)/2)))^2/(2*9.81)+B37-(E36+(C36/(DATOS!$B$14*E36))^2/(2*9.81)+B36+0.5*(((DATOS!$B$27*C36/(DATOS!$B$14*E36))^2/((DATOS!$B$14*E36)/(DATOS!$B$14+2*E36))^(4/3))+((DATOS!$B$27*C37/(DATOS!$B$14*((AX37+AY37)/2)))^2/((DATOS!$B$14*((AX37+AY37)/2))/(DATOS!$B$14+2*((AX37+AY37)/2)))^(4/3)))*(A36-A37)))&lt;0,AY37,((AX37+AY37)/2))</f>
        <v/>
      </c>
      <c r="BB37" s="16">
        <f>IF((((AZ37+BA37)/2)+(C37/(DATOS!$B$14*((AZ37+BA37)/2)))^2/(2*9.81)+B37-(E36+(C36/(DATOS!$B$14*E36))^2/(2*9.81)+B36+0.5*(((DATOS!$B$27*C36/(DATOS!$B$14*E36))^2/((DATOS!$B$14*E36)/(DATOS!$B$14+2*E36))^(4/3))+((DATOS!$B$27*C37/(DATOS!$B$14*((AZ37+BA37)/2)))^2/((DATOS!$B$14*((AZ37+BA37)/2))/(DATOS!$B$14+2*((AZ37+BA37)/2)))^(4/3)))*(A36-A37)))&lt;0,((AZ37+BA37)/2),AZ37)</f>
        <v/>
      </c>
      <c r="BC37" s="16">
        <f>IF((((AZ37+BA37)/2)+(C37/(DATOS!$B$14*((AZ37+BA37)/2)))^2/(2*9.81)+B37-(E36+(C36/(DATOS!$B$14*E36))^2/(2*9.81)+B36+0.5*(((DATOS!$B$27*C36/(DATOS!$B$14*E36))^2/((DATOS!$B$14*E36)/(DATOS!$B$14+2*E36))^(4/3))+((DATOS!$B$27*C37/(DATOS!$B$14*((AZ37+BA37)/2)))^2/((DATOS!$B$14*((AZ37+BA37)/2))/(DATOS!$B$14+2*((AZ37+BA37)/2)))^(4/3)))*(A36-A37)))&lt;0,BA37,((AZ37+BA37)/2))</f>
        <v/>
      </c>
      <c r="BD37" s="16">
        <f>IF((((BB37+BC37)/2)+(C37/(DATOS!$B$14*((BB37+BC37)/2)))^2/(2*9.81)+B37-(E36+(C36/(DATOS!$B$14*E36))^2/(2*9.81)+B36+0.5*(((DATOS!$B$27*C36/(DATOS!$B$14*E36))^2/((DATOS!$B$14*E36)/(DATOS!$B$14+2*E36))^(4/3))+((DATOS!$B$27*C37/(DATOS!$B$14*((BB37+BC37)/2)))^2/((DATOS!$B$14*((BB37+BC37)/2))/(DATOS!$B$14+2*((BB37+BC37)/2)))^(4/3)))*(A36-A37)))&lt;0,((BB37+BC37)/2),BB37)</f>
        <v/>
      </c>
      <c r="BE37" s="16">
        <f>IF((((BB37+BC37)/2)+(C37/(DATOS!$B$14*((BB37+BC37)/2)))^2/(2*9.81)+B37-(E36+(C36/(DATOS!$B$14*E36))^2/(2*9.81)+B36+0.5*(((DATOS!$B$27*C36/(DATOS!$B$14*E36))^2/((DATOS!$B$14*E36)/(DATOS!$B$14+2*E36))^(4/3))+((DATOS!$B$27*C37/(DATOS!$B$14*((BB37+BC37)/2)))^2/((DATOS!$B$14*((BB37+BC37)/2))/(DATOS!$B$14+2*((BB37+BC37)/2)))^(4/3)))*(A36-A37)))&lt;0,BC37,((BB37+BC37)/2))</f>
        <v/>
      </c>
      <c r="BF37" s="16">
        <f>IF((((BD37+BE37)/2)+(C37/(DATOS!$B$14*((BD37+BE37)/2)))^2/(2*9.81)+B37-(E36+(C36/(DATOS!$B$14*E36))^2/(2*9.81)+B36+0.5*(((DATOS!$B$27*C36/(DATOS!$B$14*E36))^2/((DATOS!$B$14*E36)/(DATOS!$B$14+2*E36))^(4/3))+((DATOS!$B$27*C37/(DATOS!$B$14*((BD37+BE37)/2)))^2/((DATOS!$B$14*((BD37+BE37)/2))/(DATOS!$B$14+2*((BD37+BE37)/2)))^(4/3)))*(A36-A37)))&lt;0,((BD37+BE37)/2),BD37)</f>
        <v/>
      </c>
      <c r="BG37" s="16">
        <f>IF((((BD37+BE37)/2)+(C37/(DATOS!$B$14*((BD37+BE37)/2)))^2/(2*9.81)+B37-(E36+(C36/(DATOS!$B$14*E36))^2/(2*9.81)+B36+0.5*(((DATOS!$B$27*C36/(DATOS!$B$14*E36))^2/((DATOS!$B$14*E36)/(DATOS!$B$14+2*E36))^(4/3))+((DATOS!$B$27*C37/(DATOS!$B$14*((BD37+BE37)/2)))^2/((DATOS!$B$14*((BD37+BE37)/2))/(DATOS!$B$14+2*((BD37+BE37)/2)))^(4/3)))*(A36-A37)))&lt;0,BE37,((BD37+BE37)/2))</f>
        <v/>
      </c>
      <c r="BH37" s="16">
        <f>IF((((BF37+BG37)/2)+(C37/(DATOS!$B$14*((BF37+BG37)/2)))^2/(2*9.81)+B37-(E36+(C36/(DATOS!$B$14*E36))^2/(2*9.81)+B36+0.5*(((DATOS!$B$27*C36/(DATOS!$B$14*E36))^2/((DATOS!$B$14*E36)/(DATOS!$B$14+2*E36))^(4/3))+((DATOS!$B$27*C37/(DATOS!$B$14*((BF37+BG37)/2)))^2/((DATOS!$B$14*((BF37+BG37)/2))/(DATOS!$B$14+2*((BF37+BG37)/2)))^(4/3)))*(A36-A37)))&lt;0,((BF37+BG37)/2),BF37)</f>
        <v/>
      </c>
      <c r="BI37" s="16">
        <f>IF((((BF37+BG37)/2)+(C37/(DATOS!$B$14*((BF37+BG37)/2)))^2/(2*9.81)+B37-(E36+(C36/(DATOS!$B$14*E36))^2/(2*9.81)+B36+0.5*(((DATOS!$B$27*C36/(DATOS!$B$14*E36))^2/((DATOS!$B$14*E36)/(DATOS!$B$14+2*E36))^(4/3))+((DATOS!$B$27*C37/(DATOS!$B$14*((BF37+BG37)/2)))^2/((DATOS!$B$14*((BF37+BG37)/2))/(DATOS!$B$14+2*((BF37+BG37)/2)))^(4/3)))*(A36-A37)))&lt;0,BG37,((BF37+BG37)/2))</f>
        <v/>
      </c>
      <c r="BJ37" s="16">
        <f>IF((((BH37+BI37)/2)+(C37/(DATOS!$B$14*((BH37+BI37)/2)))^2/(2*9.81)+B37-(E36+(C36/(DATOS!$B$14*E36))^2/(2*9.81)+B36+0.5*(((DATOS!$B$27*C36/(DATOS!$B$14*E36))^2/((DATOS!$B$14*E36)/(DATOS!$B$14+2*E36))^(4/3))+((DATOS!$B$27*C37/(DATOS!$B$14*((BH37+BI37)/2)))^2/((DATOS!$B$14*((BH37+BI37)/2))/(DATOS!$B$14+2*((BH37+BI37)/2)))^(4/3)))*(A36-A37)))&lt;0,((BH37+BI37)/2),BH37)</f>
        <v/>
      </c>
      <c r="BK37" s="16">
        <f>IF((((BH37+BI37)/2)+(C37/(DATOS!$B$14*((BH37+BI37)/2)))^2/(2*9.81)+B37-(E36+(C36/(DATOS!$B$14*E36))^2/(2*9.81)+B36+0.5*(((DATOS!$B$27*C36/(DATOS!$B$14*E36))^2/((DATOS!$B$14*E36)/(DATOS!$B$14+2*E36))^(4/3))+((DATOS!$B$27*C37/(DATOS!$B$14*((BH37+BI37)/2)))^2/((DATOS!$B$14*((BH37+BI37)/2))/(DATOS!$B$14+2*((BH37+BI37)/2)))^(4/3)))*(A36-A37)))&lt;0,BI37,((BH37+BI37)/2))</f>
        <v/>
      </c>
      <c r="BL37" s="16">
        <f>IF((((BJ37+BK37)/2)+(C37/(DATOS!$B$14*((BJ37+BK37)/2)))^2/(2*9.81)+B37-(E36+(C36/(DATOS!$B$14*E36))^2/(2*9.81)+B36+0.5*(((DATOS!$B$27*C36/(DATOS!$B$14*E36))^2/((DATOS!$B$14*E36)/(DATOS!$B$14+2*E36))^(4/3))+((DATOS!$B$27*C37/(DATOS!$B$14*((BJ37+BK37)/2)))^2/((DATOS!$B$14*((BJ37+BK37)/2))/(DATOS!$B$14+2*((BJ37+BK37)/2)))^(4/3)))*(A36-A37)))&lt;0,((BJ37+BK37)/2),BJ37)</f>
        <v/>
      </c>
      <c r="BM37" s="16">
        <f>IF((((BJ37+BK37)/2)+(C37/(DATOS!$B$14*((BJ37+BK37)/2)))^2/(2*9.81)+B37-(E36+(C36/(DATOS!$B$14*E36))^2/(2*9.81)+B36+0.5*(((DATOS!$B$27*C36/(DATOS!$B$14*E36))^2/((DATOS!$B$14*E36)/(DATOS!$B$14+2*E36))^(4/3))+((DATOS!$B$27*C37/(DATOS!$B$14*((BJ37+BK37)/2)))^2/((DATOS!$B$14*((BJ37+BK37)/2))/(DATOS!$B$14+2*((BJ37+BK37)/2)))^(4/3)))*(A36-A37)))&lt;0,BK37,((BJ37+BK37)/2))</f>
        <v/>
      </c>
      <c r="BN37" s="16">
        <f>IF((((BL37+BM37)/2)+(C37/(DATOS!$B$14*((BL37+BM37)/2)))^2/(2*9.81)+B37-(E36+(C36/(DATOS!$B$14*E36))^2/(2*9.81)+B36+0.5*(((DATOS!$B$27*C36/(DATOS!$B$14*E36))^2/((DATOS!$B$14*E36)/(DATOS!$B$14+2*E36))^(4/3))+((DATOS!$B$27*C37/(DATOS!$B$14*((BL37+BM37)/2)))^2/((DATOS!$B$14*((BL37+BM37)/2))/(DATOS!$B$14+2*((BL37+BM37)/2)))^(4/3)))*(A36-A37)))&lt;0,((BL37+BM37)/2),BL37)</f>
        <v/>
      </c>
      <c r="BO37" s="16">
        <f>IF((((BL37+BM37)/2)+(C37/(DATOS!$B$14*((BL37+BM37)/2)))^2/(2*9.81)+B37-(E36+(C36/(DATOS!$B$14*E36))^2/(2*9.81)+B36+0.5*(((DATOS!$B$27*C36/(DATOS!$B$14*E36))^2/((DATOS!$B$14*E36)/(DATOS!$B$14+2*E36))^(4/3))+((DATOS!$B$27*C37/(DATOS!$B$14*((BL37+BM37)/2)))^2/((DATOS!$B$14*((BL37+BM37)/2))/(DATOS!$B$14+2*((BL37+BM37)/2)))^(4/3)))*(A36-A37)))&lt;0,BM37,((BL37+BM37)/2))</f>
        <v/>
      </c>
      <c r="BP37" s="16">
        <f>IF((((BN37+BO37)/2)+(C37/(DATOS!$B$14*((BN37+BO37)/2)))^2/(2*9.81)+B37-(E36+(C36/(DATOS!$B$14*E36))^2/(2*9.81)+B36+0.5*(((DATOS!$B$27*C36/(DATOS!$B$14*E36))^2/((DATOS!$B$14*E36)/(DATOS!$B$14+2*E36))^(4/3))+((DATOS!$B$27*C37/(DATOS!$B$14*((BN37+BO37)/2)))^2/((DATOS!$B$14*((BN37+BO37)/2))/(DATOS!$B$14+2*((BN37+BO37)/2)))^(4/3)))*(A36-A37)))&lt;0,((BN37+BO37)/2),BN37)</f>
        <v/>
      </c>
      <c r="BQ37" s="16">
        <f>IF((((BN37+BO37)/2)+(C37/(DATOS!$B$14*((BN37+BO37)/2)))^2/(2*9.81)+B37-(E36+(C36/(DATOS!$B$14*E36))^2/(2*9.81)+B36+0.5*(((DATOS!$B$27*C36/(DATOS!$B$14*E36))^2/((DATOS!$B$14*E36)/(DATOS!$B$14+2*E36))^(4/3))+((DATOS!$B$27*C37/(DATOS!$B$14*((BN37+BO37)/2)))^2/((DATOS!$B$14*((BN37+BO37)/2))/(DATOS!$B$14+2*((BN37+BO37)/2)))^(4/3)))*(A36-A37)))&lt;0,BO37,((BN37+BO37)/2))</f>
        <v/>
      </c>
      <c r="BR37" s="16">
        <f>IF((((BP37+BQ37)/2)+(C37/(DATOS!$B$14*((BP37+BQ37)/2)))^2/(2*9.81)+B37-(E36+(C36/(DATOS!$B$14*E36))^2/(2*9.81)+B36+0.5*(((DATOS!$B$27*C36/(DATOS!$B$14*E36))^2/((DATOS!$B$14*E36)/(DATOS!$B$14+2*E36))^(4/3))+((DATOS!$B$27*C37/(DATOS!$B$14*((BP37+BQ37)/2)))^2/((DATOS!$B$14*((BP37+BQ37)/2))/(DATOS!$B$14+2*((BP37+BQ37)/2)))^(4/3)))*(A36-A37)))&lt;0,((BP37+BQ37)/2),BP37)</f>
        <v/>
      </c>
      <c r="BS37" s="16">
        <f>IF((((BP37+BQ37)/2)+(C37/(DATOS!$B$14*((BP37+BQ37)/2)))^2/(2*9.81)+B37-(E36+(C36/(DATOS!$B$14*E36))^2/(2*9.81)+B36+0.5*(((DATOS!$B$27*C36/(DATOS!$B$14*E36))^2/((DATOS!$B$14*E36)/(DATOS!$B$14+2*E36))^(4/3))+((DATOS!$B$27*C37/(DATOS!$B$14*((BP37+BQ37)/2)))^2/((DATOS!$B$14*((BP37+BQ37)/2))/(DATOS!$B$14+2*((BP37+BQ37)/2)))^(4/3)))*(A36-A37)))&lt;0,BQ37,((BP37+BQ37)/2))</f>
        <v/>
      </c>
      <c r="BT37" s="16">
        <f>IF((((BR37+BS37)/2)+(C37/(DATOS!$B$14*((BR37+BS37)/2)))^2/(2*9.81)+B37-(E36+(C36/(DATOS!$B$14*E36))^2/(2*9.81)+B36+0.5*(((DATOS!$B$27*C36/(DATOS!$B$14*E36))^2/((DATOS!$B$14*E36)/(DATOS!$B$14+2*E36))^(4/3))+((DATOS!$B$27*C37/(DATOS!$B$14*((BR37+BS37)/2)))^2/((DATOS!$B$14*((BR37+BS37)/2))/(DATOS!$B$14+2*((BR37+BS37)/2)))^(4/3)))*(A36-A37)))&lt;0,((BR37+BS37)/2),BR37)</f>
        <v/>
      </c>
      <c r="BU37" s="16">
        <f>IF((((BR37+BS37)/2)+(C37/(DATOS!$B$14*((BR37+BS37)/2)))^2/(2*9.81)+B37-(E36+(C36/(DATOS!$B$14*E36))^2/(2*9.81)+B36+0.5*(((DATOS!$B$27*C36/(DATOS!$B$14*E36))^2/((DATOS!$B$14*E36)/(DATOS!$B$14+2*E36))^(4/3))+((DATOS!$B$27*C37/(DATOS!$B$14*((BR37+BS37)/2)))^2/((DATOS!$B$14*((BR37+BS37)/2))/(DATOS!$B$14+2*((BR37+BS37)/2)))^(4/3)))*(A36-A37)))&lt;0,BS37,((BR37+BS37)/2))</f>
        <v/>
      </c>
    </row>
    <row r="38">
      <c r="A38" s="30" t="n">
        <v>76</v>
      </c>
      <c r="B38" s="21">
        <f>DATOS!$B$16-DATOS!$B$19*A38</f>
        <v/>
      </c>
      <c r="C38" s="21">
        <f>IF(A38&lt;CAUDALES!$B$13,CAUDALES!$D$12,IF(A38&lt;CAUDALES!$B$14,CAUDALES!$D$13,IF(A38&lt;CAUDALES!$B$15,CAUDALES!$D$14,CAUDALES!$D$15)))/1000</f>
        <v/>
      </c>
      <c r="D38" s="21">
        <f>(C38^2/(9.81*DATOS!$B$14^2))^(1/3)</f>
        <v/>
      </c>
      <c r="E38" s="29">
        <f>(BT38+BU38)/2</f>
        <v/>
      </c>
      <c r="F38" s="21">
        <f>B38+E38</f>
        <v/>
      </c>
      <c r="G38" s="17">
        <f>C38/(DATOS!$B$14*E38)</f>
        <v/>
      </c>
      <c r="H38" s="17">
        <f>G38/SQRT(9.81*E38)</f>
        <v/>
      </c>
      <c r="I38" s="21">
        <f>IF(A38&lt;=DATOS!$B$20,DATOS!$B$21-IF(AND(A38&gt;=DATOS!$B$23,A38&lt;DATOS!$B$24),DATOS!$B$25,DATOS!$B$22),B38+DATOS!$B$26)</f>
        <v/>
      </c>
      <c r="J38" s="17">
        <f>I38-B38</f>
        <v/>
      </c>
      <c r="K38" s="31">
        <f>E38/J38</f>
        <v/>
      </c>
      <c r="L38" s="21">
        <f>I38-F38</f>
        <v/>
      </c>
      <c r="M38" s="32">
        <f>IF(AND(K38&lt;=DATOS!$B$29,L38&gt;=DATOS!$B$30),"CUMPLE","NO CUMPLE")</f>
        <v/>
      </c>
      <c r="N38" s="13">
        <f>IF(A38&gt;DATOS!$B$20,"cubierto - tramo final",IF(AND(A38&gt;=DATOS!$B$23,A38&lt;DATOS!$B$24),"cubierto - camiones","cubierto"))</f>
        <v/>
      </c>
      <c r="P38" s="16">
        <f>D38*1.001</f>
        <v/>
      </c>
      <c r="Q38" s="16" t="n">
        <v>2</v>
      </c>
      <c r="R38" s="16">
        <f>IF((((P38+Q38)/2)+(C38/(DATOS!$B$14*((P38+Q38)/2)))^2/(2*9.81)+B38-(E37+(C37/(DATOS!$B$14*E37))^2/(2*9.81)+B37+0.5*(((DATOS!$B$27*C37/(DATOS!$B$14*E37))^2/((DATOS!$B$14*E37)/(DATOS!$B$14+2*E37))^(4/3))+((DATOS!$B$27*C38/(DATOS!$B$14*((P38+Q38)/2)))^2/((DATOS!$B$14*((P38+Q38)/2))/(DATOS!$B$14+2*((P38+Q38)/2)))^(4/3)))*(A37-A38)))&lt;0,((P38+Q38)/2),P38)</f>
        <v/>
      </c>
      <c r="S38" s="16">
        <f>IF((((P38+Q38)/2)+(C38/(DATOS!$B$14*((P38+Q38)/2)))^2/(2*9.81)+B38-(E37+(C37/(DATOS!$B$14*E37))^2/(2*9.81)+B37+0.5*(((DATOS!$B$27*C37/(DATOS!$B$14*E37))^2/((DATOS!$B$14*E37)/(DATOS!$B$14+2*E37))^(4/3))+((DATOS!$B$27*C38/(DATOS!$B$14*((P38+Q38)/2)))^2/((DATOS!$B$14*((P38+Q38)/2))/(DATOS!$B$14+2*((P38+Q38)/2)))^(4/3)))*(A37-A38)))&lt;0,Q38,((P38+Q38)/2))</f>
        <v/>
      </c>
      <c r="T38" s="16">
        <f>IF((((R38+S38)/2)+(C38/(DATOS!$B$14*((R38+S38)/2)))^2/(2*9.81)+B38-(E37+(C37/(DATOS!$B$14*E37))^2/(2*9.81)+B37+0.5*(((DATOS!$B$27*C37/(DATOS!$B$14*E37))^2/((DATOS!$B$14*E37)/(DATOS!$B$14+2*E37))^(4/3))+((DATOS!$B$27*C38/(DATOS!$B$14*((R38+S38)/2)))^2/((DATOS!$B$14*((R38+S38)/2))/(DATOS!$B$14+2*((R38+S38)/2)))^(4/3)))*(A37-A38)))&lt;0,((R38+S38)/2),R38)</f>
        <v/>
      </c>
      <c r="U38" s="16">
        <f>IF((((R38+S38)/2)+(C38/(DATOS!$B$14*((R38+S38)/2)))^2/(2*9.81)+B38-(E37+(C37/(DATOS!$B$14*E37))^2/(2*9.81)+B37+0.5*(((DATOS!$B$27*C37/(DATOS!$B$14*E37))^2/((DATOS!$B$14*E37)/(DATOS!$B$14+2*E37))^(4/3))+((DATOS!$B$27*C38/(DATOS!$B$14*((R38+S38)/2)))^2/((DATOS!$B$14*((R38+S38)/2))/(DATOS!$B$14+2*((R38+S38)/2)))^(4/3)))*(A37-A38)))&lt;0,S38,((R38+S38)/2))</f>
        <v/>
      </c>
      <c r="V38" s="16">
        <f>IF((((T38+U38)/2)+(C38/(DATOS!$B$14*((T38+U38)/2)))^2/(2*9.81)+B38-(E37+(C37/(DATOS!$B$14*E37))^2/(2*9.81)+B37+0.5*(((DATOS!$B$27*C37/(DATOS!$B$14*E37))^2/((DATOS!$B$14*E37)/(DATOS!$B$14+2*E37))^(4/3))+((DATOS!$B$27*C38/(DATOS!$B$14*((T38+U38)/2)))^2/((DATOS!$B$14*((T38+U38)/2))/(DATOS!$B$14+2*((T38+U38)/2)))^(4/3)))*(A37-A38)))&lt;0,((T38+U38)/2),T38)</f>
        <v/>
      </c>
      <c r="W38" s="16">
        <f>IF((((T38+U38)/2)+(C38/(DATOS!$B$14*((T38+U38)/2)))^2/(2*9.81)+B38-(E37+(C37/(DATOS!$B$14*E37))^2/(2*9.81)+B37+0.5*(((DATOS!$B$27*C37/(DATOS!$B$14*E37))^2/((DATOS!$B$14*E37)/(DATOS!$B$14+2*E37))^(4/3))+((DATOS!$B$27*C38/(DATOS!$B$14*((T38+U38)/2)))^2/((DATOS!$B$14*((T38+U38)/2))/(DATOS!$B$14+2*((T38+U38)/2)))^(4/3)))*(A37-A38)))&lt;0,U38,((T38+U38)/2))</f>
        <v/>
      </c>
      <c r="X38" s="16">
        <f>IF((((V38+W38)/2)+(C38/(DATOS!$B$14*((V38+W38)/2)))^2/(2*9.81)+B38-(E37+(C37/(DATOS!$B$14*E37))^2/(2*9.81)+B37+0.5*(((DATOS!$B$27*C37/(DATOS!$B$14*E37))^2/((DATOS!$B$14*E37)/(DATOS!$B$14+2*E37))^(4/3))+((DATOS!$B$27*C38/(DATOS!$B$14*((V38+W38)/2)))^2/((DATOS!$B$14*((V38+W38)/2))/(DATOS!$B$14+2*((V38+W38)/2)))^(4/3)))*(A37-A38)))&lt;0,((V38+W38)/2),V38)</f>
        <v/>
      </c>
      <c r="Y38" s="16">
        <f>IF((((V38+W38)/2)+(C38/(DATOS!$B$14*((V38+W38)/2)))^2/(2*9.81)+B38-(E37+(C37/(DATOS!$B$14*E37))^2/(2*9.81)+B37+0.5*(((DATOS!$B$27*C37/(DATOS!$B$14*E37))^2/((DATOS!$B$14*E37)/(DATOS!$B$14+2*E37))^(4/3))+((DATOS!$B$27*C38/(DATOS!$B$14*((V38+W38)/2)))^2/((DATOS!$B$14*((V38+W38)/2))/(DATOS!$B$14+2*((V38+W38)/2)))^(4/3)))*(A37-A38)))&lt;0,W38,((V38+W38)/2))</f>
        <v/>
      </c>
      <c r="Z38" s="16">
        <f>IF((((X38+Y38)/2)+(C38/(DATOS!$B$14*((X38+Y38)/2)))^2/(2*9.81)+B38-(E37+(C37/(DATOS!$B$14*E37))^2/(2*9.81)+B37+0.5*(((DATOS!$B$27*C37/(DATOS!$B$14*E37))^2/((DATOS!$B$14*E37)/(DATOS!$B$14+2*E37))^(4/3))+((DATOS!$B$27*C38/(DATOS!$B$14*((X38+Y38)/2)))^2/((DATOS!$B$14*((X38+Y38)/2))/(DATOS!$B$14+2*((X38+Y38)/2)))^(4/3)))*(A37-A38)))&lt;0,((X38+Y38)/2),X38)</f>
        <v/>
      </c>
      <c r="AA38" s="16">
        <f>IF((((X38+Y38)/2)+(C38/(DATOS!$B$14*((X38+Y38)/2)))^2/(2*9.81)+B38-(E37+(C37/(DATOS!$B$14*E37))^2/(2*9.81)+B37+0.5*(((DATOS!$B$27*C37/(DATOS!$B$14*E37))^2/((DATOS!$B$14*E37)/(DATOS!$B$14+2*E37))^(4/3))+((DATOS!$B$27*C38/(DATOS!$B$14*((X38+Y38)/2)))^2/((DATOS!$B$14*((X38+Y38)/2))/(DATOS!$B$14+2*((X38+Y38)/2)))^(4/3)))*(A37-A38)))&lt;0,Y38,((X38+Y38)/2))</f>
        <v/>
      </c>
      <c r="AB38" s="16">
        <f>IF((((Z38+AA38)/2)+(C38/(DATOS!$B$14*((Z38+AA38)/2)))^2/(2*9.81)+B38-(E37+(C37/(DATOS!$B$14*E37))^2/(2*9.81)+B37+0.5*(((DATOS!$B$27*C37/(DATOS!$B$14*E37))^2/((DATOS!$B$14*E37)/(DATOS!$B$14+2*E37))^(4/3))+((DATOS!$B$27*C38/(DATOS!$B$14*((Z38+AA38)/2)))^2/((DATOS!$B$14*((Z38+AA38)/2))/(DATOS!$B$14+2*((Z38+AA38)/2)))^(4/3)))*(A37-A38)))&lt;0,((Z38+AA38)/2),Z38)</f>
        <v/>
      </c>
      <c r="AC38" s="16">
        <f>IF((((Z38+AA38)/2)+(C38/(DATOS!$B$14*((Z38+AA38)/2)))^2/(2*9.81)+B38-(E37+(C37/(DATOS!$B$14*E37))^2/(2*9.81)+B37+0.5*(((DATOS!$B$27*C37/(DATOS!$B$14*E37))^2/((DATOS!$B$14*E37)/(DATOS!$B$14+2*E37))^(4/3))+((DATOS!$B$27*C38/(DATOS!$B$14*((Z38+AA38)/2)))^2/((DATOS!$B$14*((Z38+AA38)/2))/(DATOS!$B$14+2*((Z38+AA38)/2)))^(4/3)))*(A37-A38)))&lt;0,AA38,((Z38+AA38)/2))</f>
        <v/>
      </c>
      <c r="AD38" s="16">
        <f>IF((((AB38+AC38)/2)+(C38/(DATOS!$B$14*((AB38+AC38)/2)))^2/(2*9.81)+B38-(E37+(C37/(DATOS!$B$14*E37))^2/(2*9.81)+B37+0.5*(((DATOS!$B$27*C37/(DATOS!$B$14*E37))^2/((DATOS!$B$14*E37)/(DATOS!$B$14+2*E37))^(4/3))+((DATOS!$B$27*C38/(DATOS!$B$14*((AB38+AC38)/2)))^2/((DATOS!$B$14*((AB38+AC38)/2))/(DATOS!$B$14+2*((AB38+AC38)/2)))^(4/3)))*(A37-A38)))&lt;0,((AB38+AC38)/2),AB38)</f>
        <v/>
      </c>
      <c r="AE38" s="16">
        <f>IF((((AB38+AC38)/2)+(C38/(DATOS!$B$14*((AB38+AC38)/2)))^2/(2*9.81)+B38-(E37+(C37/(DATOS!$B$14*E37))^2/(2*9.81)+B37+0.5*(((DATOS!$B$27*C37/(DATOS!$B$14*E37))^2/((DATOS!$B$14*E37)/(DATOS!$B$14+2*E37))^(4/3))+((DATOS!$B$27*C38/(DATOS!$B$14*((AB38+AC38)/2)))^2/((DATOS!$B$14*((AB38+AC38)/2))/(DATOS!$B$14+2*((AB38+AC38)/2)))^(4/3)))*(A37-A38)))&lt;0,AC38,((AB38+AC38)/2))</f>
        <v/>
      </c>
      <c r="AF38" s="16">
        <f>IF((((AD38+AE38)/2)+(C38/(DATOS!$B$14*((AD38+AE38)/2)))^2/(2*9.81)+B38-(E37+(C37/(DATOS!$B$14*E37))^2/(2*9.81)+B37+0.5*(((DATOS!$B$27*C37/(DATOS!$B$14*E37))^2/((DATOS!$B$14*E37)/(DATOS!$B$14+2*E37))^(4/3))+((DATOS!$B$27*C38/(DATOS!$B$14*((AD38+AE38)/2)))^2/((DATOS!$B$14*((AD38+AE38)/2))/(DATOS!$B$14+2*((AD38+AE38)/2)))^(4/3)))*(A37-A38)))&lt;0,((AD38+AE38)/2),AD38)</f>
        <v/>
      </c>
      <c r="AG38" s="16">
        <f>IF((((AD38+AE38)/2)+(C38/(DATOS!$B$14*((AD38+AE38)/2)))^2/(2*9.81)+B38-(E37+(C37/(DATOS!$B$14*E37))^2/(2*9.81)+B37+0.5*(((DATOS!$B$27*C37/(DATOS!$B$14*E37))^2/((DATOS!$B$14*E37)/(DATOS!$B$14+2*E37))^(4/3))+((DATOS!$B$27*C38/(DATOS!$B$14*((AD38+AE38)/2)))^2/((DATOS!$B$14*((AD38+AE38)/2))/(DATOS!$B$14+2*((AD38+AE38)/2)))^(4/3)))*(A37-A38)))&lt;0,AE38,((AD38+AE38)/2))</f>
        <v/>
      </c>
      <c r="AH38" s="16">
        <f>IF((((AF38+AG38)/2)+(C38/(DATOS!$B$14*((AF38+AG38)/2)))^2/(2*9.81)+B38-(E37+(C37/(DATOS!$B$14*E37))^2/(2*9.81)+B37+0.5*(((DATOS!$B$27*C37/(DATOS!$B$14*E37))^2/((DATOS!$B$14*E37)/(DATOS!$B$14+2*E37))^(4/3))+((DATOS!$B$27*C38/(DATOS!$B$14*((AF38+AG38)/2)))^2/((DATOS!$B$14*((AF38+AG38)/2))/(DATOS!$B$14+2*((AF38+AG38)/2)))^(4/3)))*(A37-A38)))&lt;0,((AF38+AG38)/2),AF38)</f>
        <v/>
      </c>
      <c r="AI38" s="16">
        <f>IF((((AF38+AG38)/2)+(C38/(DATOS!$B$14*((AF38+AG38)/2)))^2/(2*9.81)+B38-(E37+(C37/(DATOS!$B$14*E37))^2/(2*9.81)+B37+0.5*(((DATOS!$B$27*C37/(DATOS!$B$14*E37))^2/((DATOS!$B$14*E37)/(DATOS!$B$14+2*E37))^(4/3))+((DATOS!$B$27*C38/(DATOS!$B$14*((AF38+AG38)/2)))^2/((DATOS!$B$14*((AF38+AG38)/2))/(DATOS!$B$14+2*((AF38+AG38)/2)))^(4/3)))*(A37-A38)))&lt;0,AG38,((AF38+AG38)/2))</f>
        <v/>
      </c>
      <c r="AJ38" s="16">
        <f>IF((((AH38+AI38)/2)+(C38/(DATOS!$B$14*((AH38+AI38)/2)))^2/(2*9.81)+B38-(E37+(C37/(DATOS!$B$14*E37))^2/(2*9.81)+B37+0.5*(((DATOS!$B$27*C37/(DATOS!$B$14*E37))^2/((DATOS!$B$14*E37)/(DATOS!$B$14+2*E37))^(4/3))+((DATOS!$B$27*C38/(DATOS!$B$14*((AH38+AI38)/2)))^2/((DATOS!$B$14*((AH38+AI38)/2))/(DATOS!$B$14+2*((AH38+AI38)/2)))^(4/3)))*(A37-A38)))&lt;0,((AH38+AI38)/2),AH38)</f>
        <v/>
      </c>
      <c r="AK38" s="16">
        <f>IF((((AH38+AI38)/2)+(C38/(DATOS!$B$14*((AH38+AI38)/2)))^2/(2*9.81)+B38-(E37+(C37/(DATOS!$B$14*E37))^2/(2*9.81)+B37+0.5*(((DATOS!$B$27*C37/(DATOS!$B$14*E37))^2/((DATOS!$B$14*E37)/(DATOS!$B$14+2*E37))^(4/3))+((DATOS!$B$27*C38/(DATOS!$B$14*((AH38+AI38)/2)))^2/((DATOS!$B$14*((AH38+AI38)/2))/(DATOS!$B$14+2*((AH38+AI38)/2)))^(4/3)))*(A37-A38)))&lt;0,AI38,((AH38+AI38)/2))</f>
        <v/>
      </c>
      <c r="AL38" s="16">
        <f>IF((((AJ38+AK38)/2)+(C38/(DATOS!$B$14*((AJ38+AK38)/2)))^2/(2*9.81)+B38-(E37+(C37/(DATOS!$B$14*E37))^2/(2*9.81)+B37+0.5*(((DATOS!$B$27*C37/(DATOS!$B$14*E37))^2/((DATOS!$B$14*E37)/(DATOS!$B$14+2*E37))^(4/3))+((DATOS!$B$27*C38/(DATOS!$B$14*((AJ38+AK38)/2)))^2/((DATOS!$B$14*((AJ38+AK38)/2))/(DATOS!$B$14+2*((AJ38+AK38)/2)))^(4/3)))*(A37-A38)))&lt;0,((AJ38+AK38)/2),AJ38)</f>
        <v/>
      </c>
      <c r="AM38" s="16">
        <f>IF((((AJ38+AK38)/2)+(C38/(DATOS!$B$14*((AJ38+AK38)/2)))^2/(2*9.81)+B38-(E37+(C37/(DATOS!$B$14*E37))^2/(2*9.81)+B37+0.5*(((DATOS!$B$27*C37/(DATOS!$B$14*E37))^2/((DATOS!$B$14*E37)/(DATOS!$B$14+2*E37))^(4/3))+((DATOS!$B$27*C38/(DATOS!$B$14*((AJ38+AK38)/2)))^2/((DATOS!$B$14*((AJ38+AK38)/2))/(DATOS!$B$14+2*((AJ38+AK38)/2)))^(4/3)))*(A37-A38)))&lt;0,AK38,((AJ38+AK38)/2))</f>
        <v/>
      </c>
      <c r="AN38" s="16">
        <f>IF((((AL38+AM38)/2)+(C38/(DATOS!$B$14*((AL38+AM38)/2)))^2/(2*9.81)+B38-(E37+(C37/(DATOS!$B$14*E37))^2/(2*9.81)+B37+0.5*(((DATOS!$B$27*C37/(DATOS!$B$14*E37))^2/((DATOS!$B$14*E37)/(DATOS!$B$14+2*E37))^(4/3))+((DATOS!$B$27*C38/(DATOS!$B$14*((AL38+AM38)/2)))^2/((DATOS!$B$14*((AL38+AM38)/2))/(DATOS!$B$14+2*((AL38+AM38)/2)))^(4/3)))*(A37-A38)))&lt;0,((AL38+AM38)/2),AL38)</f>
        <v/>
      </c>
      <c r="AO38" s="16">
        <f>IF((((AL38+AM38)/2)+(C38/(DATOS!$B$14*((AL38+AM38)/2)))^2/(2*9.81)+B38-(E37+(C37/(DATOS!$B$14*E37))^2/(2*9.81)+B37+0.5*(((DATOS!$B$27*C37/(DATOS!$B$14*E37))^2/((DATOS!$B$14*E37)/(DATOS!$B$14+2*E37))^(4/3))+((DATOS!$B$27*C38/(DATOS!$B$14*((AL38+AM38)/2)))^2/((DATOS!$B$14*((AL38+AM38)/2))/(DATOS!$B$14+2*((AL38+AM38)/2)))^(4/3)))*(A37-A38)))&lt;0,AM38,((AL38+AM38)/2))</f>
        <v/>
      </c>
      <c r="AP38" s="16">
        <f>IF((((AN38+AO38)/2)+(C38/(DATOS!$B$14*((AN38+AO38)/2)))^2/(2*9.81)+B38-(E37+(C37/(DATOS!$B$14*E37))^2/(2*9.81)+B37+0.5*(((DATOS!$B$27*C37/(DATOS!$B$14*E37))^2/((DATOS!$B$14*E37)/(DATOS!$B$14+2*E37))^(4/3))+((DATOS!$B$27*C38/(DATOS!$B$14*((AN38+AO38)/2)))^2/((DATOS!$B$14*((AN38+AO38)/2))/(DATOS!$B$14+2*((AN38+AO38)/2)))^(4/3)))*(A37-A38)))&lt;0,((AN38+AO38)/2),AN38)</f>
        <v/>
      </c>
      <c r="AQ38" s="16">
        <f>IF((((AN38+AO38)/2)+(C38/(DATOS!$B$14*((AN38+AO38)/2)))^2/(2*9.81)+B38-(E37+(C37/(DATOS!$B$14*E37))^2/(2*9.81)+B37+0.5*(((DATOS!$B$27*C37/(DATOS!$B$14*E37))^2/((DATOS!$B$14*E37)/(DATOS!$B$14+2*E37))^(4/3))+((DATOS!$B$27*C38/(DATOS!$B$14*((AN38+AO38)/2)))^2/((DATOS!$B$14*((AN38+AO38)/2))/(DATOS!$B$14+2*((AN38+AO38)/2)))^(4/3)))*(A37-A38)))&lt;0,AO38,((AN38+AO38)/2))</f>
        <v/>
      </c>
      <c r="AR38" s="16">
        <f>IF((((AP38+AQ38)/2)+(C38/(DATOS!$B$14*((AP38+AQ38)/2)))^2/(2*9.81)+B38-(E37+(C37/(DATOS!$B$14*E37))^2/(2*9.81)+B37+0.5*(((DATOS!$B$27*C37/(DATOS!$B$14*E37))^2/((DATOS!$B$14*E37)/(DATOS!$B$14+2*E37))^(4/3))+((DATOS!$B$27*C38/(DATOS!$B$14*((AP38+AQ38)/2)))^2/((DATOS!$B$14*((AP38+AQ38)/2))/(DATOS!$B$14+2*((AP38+AQ38)/2)))^(4/3)))*(A37-A38)))&lt;0,((AP38+AQ38)/2),AP38)</f>
        <v/>
      </c>
      <c r="AS38" s="16">
        <f>IF((((AP38+AQ38)/2)+(C38/(DATOS!$B$14*((AP38+AQ38)/2)))^2/(2*9.81)+B38-(E37+(C37/(DATOS!$B$14*E37))^2/(2*9.81)+B37+0.5*(((DATOS!$B$27*C37/(DATOS!$B$14*E37))^2/((DATOS!$B$14*E37)/(DATOS!$B$14+2*E37))^(4/3))+((DATOS!$B$27*C38/(DATOS!$B$14*((AP38+AQ38)/2)))^2/((DATOS!$B$14*((AP38+AQ38)/2))/(DATOS!$B$14+2*((AP38+AQ38)/2)))^(4/3)))*(A37-A38)))&lt;0,AQ38,((AP38+AQ38)/2))</f>
        <v/>
      </c>
      <c r="AT38" s="16">
        <f>IF((((AR38+AS38)/2)+(C38/(DATOS!$B$14*((AR38+AS38)/2)))^2/(2*9.81)+B38-(E37+(C37/(DATOS!$B$14*E37))^2/(2*9.81)+B37+0.5*(((DATOS!$B$27*C37/(DATOS!$B$14*E37))^2/((DATOS!$B$14*E37)/(DATOS!$B$14+2*E37))^(4/3))+((DATOS!$B$27*C38/(DATOS!$B$14*((AR38+AS38)/2)))^2/((DATOS!$B$14*((AR38+AS38)/2))/(DATOS!$B$14+2*((AR38+AS38)/2)))^(4/3)))*(A37-A38)))&lt;0,((AR38+AS38)/2),AR38)</f>
        <v/>
      </c>
      <c r="AU38" s="16">
        <f>IF((((AR38+AS38)/2)+(C38/(DATOS!$B$14*((AR38+AS38)/2)))^2/(2*9.81)+B38-(E37+(C37/(DATOS!$B$14*E37))^2/(2*9.81)+B37+0.5*(((DATOS!$B$27*C37/(DATOS!$B$14*E37))^2/((DATOS!$B$14*E37)/(DATOS!$B$14+2*E37))^(4/3))+((DATOS!$B$27*C38/(DATOS!$B$14*((AR38+AS38)/2)))^2/((DATOS!$B$14*((AR38+AS38)/2))/(DATOS!$B$14+2*((AR38+AS38)/2)))^(4/3)))*(A37-A38)))&lt;0,AS38,((AR38+AS38)/2))</f>
        <v/>
      </c>
      <c r="AV38" s="16">
        <f>IF((((AT38+AU38)/2)+(C38/(DATOS!$B$14*((AT38+AU38)/2)))^2/(2*9.81)+B38-(E37+(C37/(DATOS!$B$14*E37))^2/(2*9.81)+B37+0.5*(((DATOS!$B$27*C37/(DATOS!$B$14*E37))^2/((DATOS!$B$14*E37)/(DATOS!$B$14+2*E37))^(4/3))+((DATOS!$B$27*C38/(DATOS!$B$14*((AT38+AU38)/2)))^2/((DATOS!$B$14*((AT38+AU38)/2))/(DATOS!$B$14+2*((AT38+AU38)/2)))^(4/3)))*(A37-A38)))&lt;0,((AT38+AU38)/2),AT38)</f>
        <v/>
      </c>
      <c r="AW38" s="16">
        <f>IF((((AT38+AU38)/2)+(C38/(DATOS!$B$14*((AT38+AU38)/2)))^2/(2*9.81)+B38-(E37+(C37/(DATOS!$B$14*E37))^2/(2*9.81)+B37+0.5*(((DATOS!$B$27*C37/(DATOS!$B$14*E37))^2/((DATOS!$B$14*E37)/(DATOS!$B$14+2*E37))^(4/3))+((DATOS!$B$27*C38/(DATOS!$B$14*((AT38+AU38)/2)))^2/((DATOS!$B$14*((AT38+AU38)/2))/(DATOS!$B$14+2*((AT38+AU38)/2)))^(4/3)))*(A37-A38)))&lt;0,AU38,((AT38+AU38)/2))</f>
        <v/>
      </c>
      <c r="AX38" s="16">
        <f>IF((((AV38+AW38)/2)+(C38/(DATOS!$B$14*((AV38+AW38)/2)))^2/(2*9.81)+B38-(E37+(C37/(DATOS!$B$14*E37))^2/(2*9.81)+B37+0.5*(((DATOS!$B$27*C37/(DATOS!$B$14*E37))^2/((DATOS!$B$14*E37)/(DATOS!$B$14+2*E37))^(4/3))+((DATOS!$B$27*C38/(DATOS!$B$14*((AV38+AW38)/2)))^2/((DATOS!$B$14*((AV38+AW38)/2))/(DATOS!$B$14+2*((AV38+AW38)/2)))^(4/3)))*(A37-A38)))&lt;0,((AV38+AW38)/2),AV38)</f>
        <v/>
      </c>
      <c r="AY38" s="16">
        <f>IF((((AV38+AW38)/2)+(C38/(DATOS!$B$14*((AV38+AW38)/2)))^2/(2*9.81)+B38-(E37+(C37/(DATOS!$B$14*E37))^2/(2*9.81)+B37+0.5*(((DATOS!$B$27*C37/(DATOS!$B$14*E37))^2/((DATOS!$B$14*E37)/(DATOS!$B$14+2*E37))^(4/3))+((DATOS!$B$27*C38/(DATOS!$B$14*((AV38+AW38)/2)))^2/((DATOS!$B$14*((AV38+AW38)/2))/(DATOS!$B$14+2*((AV38+AW38)/2)))^(4/3)))*(A37-A38)))&lt;0,AW38,((AV38+AW38)/2))</f>
        <v/>
      </c>
      <c r="AZ38" s="16">
        <f>IF((((AX38+AY38)/2)+(C38/(DATOS!$B$14*((AX38+AY38)/2)))^2/(2*9.81)+B38-(E37+(C37/(DATOS!$B$14*E37))^2/(2*9.81)+B37+0.5*(((DATOS!$B$27*C37/(DATOS!$B$14*E37))^2/((DATOS!$B$14*E37)/(DATOS!$B$14+2*E37))^(4/3))+((DATOS!$B$27*C38/(DATOS!$B$14*((AX38+AY38)/2)))^2/((DATOS!$B$14*((AX38+AY38)/2))/(DATOS!$B$14+2*((AX38+AY38)/2)))^(4/3)))*(A37-A38)))&lt;0,((AX38+AY38)/2),AX38)</f>
        <v/>
      </c>
      <c r="BA38" s="16">
        <f>IF((((AX38+AY38)/2)+(C38/(DATOS!$B$14*((AX38+AY38)/2)))^2/(2*9.81)+B38-(E37+(C37/(DATOS!$B$14*E37))^2/(2*9.81)+B37+0.5*(((DATOS!$B$27*C37/(DATOS!$B$14*E37))^2/((DATOS!$B$14*E37)/(DATOS!$B$14+2*E37))^(4/3))+((DATOS!$B$27*C38/(DATOS!$B$14*((AX38+AY38)/2)))^2/((DATOS!$B$14*((AX38+AY38)/2))/(DATOS!$B$14+2*((AX38+AY38)/2)))^(4/3)))*(A37-A38)))&lt;0,AY38,((AX38+AY38)/2))</f>
        <v/>
      </c>
      <c r="BB38" s="16">
        <f>IF((((AZ38+BA38)/2)+(C38/(DATOS!$B$14*((AZ38+BA38)/2)))^2/(2*9.81)+B38-(E37+(C37/(DATOS!$B$14*E37))^2/(2*9.81)+B37+0.5*(((DATOS!$B$27*C37/(DATOS!$B$14*E37))^2/((DATOS!$B$14*E37)/(DATOS!$B$14+2*E37))^(4/3))+((DATOS!$B$27*C38/(DATOS!$B$14*((AZ38+BA38)/2)))^2/((DATOS!$B$14*((AZ38+BA38)/2))/(DATOS!$B$14+2*((AZ38+BA38)/2)))^(4/3)))*(A37-A38)))&lt;0,((AZ38+BA38)/2),AZ38)</f>
        <v/>
      </c>
      <c r="BC38" s="16">
        <f>IF((((AZ38+BA38)/2)+(C38/(DATOS!$B$14*((AZ38+BA38)/2)))^2/(2*9.81)+B38-(E37+(C37/(DATOS!$B$14*E37))^2/(2*9.81)+B37+0.5*(((DATOS!$B$27*C37/(DATOS!$B$14*E37))^2/((DATOS!$B$14*E37)/(DATOS!$B$14+2*E37))^(4/3))+((DATOS!$B$27*C38/(DATOS!$B$14*((AZ38+BA38)/2)))^2/((DATOS!$B$14*((AZ38+BA38)/2))/(DATOS!$B$14+2*((AZ38+BA38)/2)))^(4/3)))*(A37-A38)))&lt;0,BA38,((AZ38+BA38)/2))</f>
        <v/>
      </c>
      <c r="BD38" s="16">
        <f>IF((((BB38+BC38)/2)+(C38/(DATOS!$B$14*((BB38+BC38)/2)))^2/(2*9.81)+B38-(E37+(C37/(DATOS!$B$14*E37))^2/(2*9.81)+B37+0.5*(((DATOS!$B$27*C37/(DATOS!$B$14*E37))^2/((DATOS!$B$14*E37)/(DATOS!$B$14+2*E37))^(4/3))+((DATOS!$B$27*C38/(DATOS!$B$14*((BB38+BC38)/2)))^2/((DATOS!$B$14*((BB38+BC38)/2))/(DATOS!$B$14+2*((BB38+BC38)/2)))^(4/3)))*(A37-A38)))&lt;0,((BB38+BC38)/2),BB38)</f>
        <v/>
      </c>
      <c r="BE38" s="16">
        <f>IF((((BB38+BC38)/2)+(C38/(DATOS!$B$14*((BB38+BC38)/2)))^2/(2*9.81)+B38-(E37+(C37/(DATOS!$B$14*E37))^2/(2*9.81)+B37+0.5*(((DATOS!$B$27*C37/(DATOS!$B$14*E37))^2/((DATOS!$B$14*E37)/(DATOS!$B$14+2*E37))^(4/3))+((DATOS!$B$27*C38/(DATOS!$B$14*((BB38+BC38)/2)))^2/((DATOS!$B$14*((BB38+BC38)/2))/(DATOS!$B$14+2*((BB38+BC38)/2)))^(4/3)))*(A37-A38)))&lt;0,BC38,((BB38+BC38)/2))</f>
        <v/>
      </c>
      <c r="BF38" s="16">
        <f>IF((((BD38+BE38)/2)+(C38/(DATOS!$B$14*((BD38+BE38)/2)))^2/(2*9.81)+B38-(E37+(C37/(DATOS!$B$14*E37))^2/(2*9.81)+B37+0.5*(((DATOS!$B$27*C37/(DATOS!$B$14*E37))^2/((DATOS!$B$14*E37)/(DATOS!$B$14+2*E37))^(4/3))+((DATOS!$B$27*C38/(DATOS!$B$14*((BD38+BE38)/2)))^2/((DATOS!$B$14*((BD38+BE38)/2))/(DATOS!$B$14+2*((BD38+BE38)/2)))^(4/3)))*(A37-A38)))&lt;0,((BD38+BE38)/2),BD38)</f>
        <v/>
      </c>
      <c r="BG38" s="16">
        <f>IF((((BD38+BE38)/2)+(C38/(DATOS!$B$14*((BD38+BE38)/2)))^2/(2*9.81)+B38-(E37+(C37/(DATOS!$B$14*E37))^2/(2*9.81)+B37+0.5*(((DATOS!$B$27*C37/(DATOS!$B$14*E37))^2/((DATOS!$B$14*E37)/(DATOS!$B$14+2*E37))^(4/3))+((DATOS!$B$27*C38/(DATOS!$B$14*((BD38+BE38)/2)))^2/((DATOS!$B$14*((BD38+BE38)/2))/(DATOS!$B$14+2*((BD38+BE38)/2)))^(4/3)))*(A37-A38)))&lt;0,BE38,((BD38+BE38)/2))</f>
        <v/>
      </c>
      <c r="BH38" s="16">
        <f>IF((((BF38+BG38)/2)+(C38/(DATOS!$B$14*((BF38+BG38)/2)))^2/(2*9.81)+B38-(E37+(C37/(DATOS!$B$14*E37))^2/(2*9.81)+B37+0.5*(((DATOS!$B$27*C37/(DATOS!$B$14*E37))^2/((DATOS!$B$14*E37)/(DATOS!$B$14+2*E37))^(4/3))+((DATOS!$B$27*C38/(DATOS!$B$14*((BF38+BG38)/2)))^2/((DATOS!$B$14*((BF38+BG38)/2))/(DATOS!$B$14+2*((BF38+BG38)/2)))^(4/3)))*(A37-A38)))&lt;0,((BF38+BG38)/2),BF38)</f>
        <v/>
      </c>
      <c r="BI38" s="16">
        <f>IF((((BF38+BG38)/2)+(C38/(DATOS!$B$14*((BF38+BG38)/2)))^2/(2*9.81)+B38-(E37+(C37/(DATOS!$B$14*E37))^2/(2*9.81)+B37+0.5*(((DATOS!$B$27*C37/(DATOS!$B$14*E37))^2/((DATOS!$B$14*E37)/(DATOS!$B$14+2*E37))^(4/3))+((DATOS!$B$27*C38/(DATOS!$B$14*((BF38+BG38)/2)))^2/((DATOS!$B$14*((BF38+BG38)/2))/(DATOS!$B$14+2*((BF38+BG38)/2)))^(4/3)))*(A37-A38)))&lt;0,BG38,((BF38+BG38)/2))</f>
        <v/>
      </c>
      <c r="BJ38" s="16">
        <f>IF((((BH38+BI38)/2)+(C38/(DATOS!$B$14*((BH38+BI38)/2)))^2/(2*9.81)+B38-(E37+(C37/(DATOS!$B$14*E37))^2/(2*9.81)+B37+0.5*(((DATOS!$B$27*C37/(DATOS!$B$14*E37))^2/((DATOS!$B$14*E37)/(DATOS!$B$14+2*E37))^(4/3))+((DATOS!$B$27*C38/(DATOS!$B$14*((BH38+BI38)/2)))^2/((DATOS!$B$14*((BH38+BI38)/2))/(DATOS!$B$14+2*((BH38+BI38)/2)))^(4/3)))*(A37-A38)))&lt;0,((BH38+BI38)/2),BH38)</f>
        <v/>
      </c>
      <c r="BK38" s="16">
        <f>IF((((BH38+BI38)/2)+(C38/(DATOS!$B$14*((BH38+BI38)/2)))^2/(2*9.81)+B38-(E37+(C37/(DATOS!$B$14*E37))^2/(2*9.81)+B37+0.5*(((DATOS!$B$27*C37/(DATOS!$B$14*E37))^2/((DATOS!$B$14*E37)/(DATOS!$B$14+2*E37))^(4/3))+((DATOS!$B$27*C38/(DATOS!$B$14*((BH38+BI38)/2)))^2/((DATOS!$B$14*((BH38+BI38)/2))/(DATOS!$B$14+2*((BH38+BI38)/2)))^(4/3)))*(A37-A38)))&lt;0,BI38,((BH38+BI38)/2))</f>
        <v/>
      </c>
      <c r="BL38" s="16">
        <f>IF((((BJ38+BK38)/2)+(C38/(DATOS!$B$14*((BJ38+BK38)/2)))^2/(2*9.81)+B38-(E37+(C37/(DATOS!$B$14*E37))^2/(2*9.81)+B37+0.5*(((DATOS!$B$27*C37/(DATOS!$B$14*E37))^2/((DATOS!$B$14*E37)/(DATOS!$B$14+2*E37))^(4/3))+((DATOS!$B$27*C38/(DATOS!$B$14*((BJ38+BK38)/2)))^2/((DATOS!$B$14*((BJ38+BK38)/2))/(DATOS!$B$14+2*((BJ38+BK38)/2)))^(4/3)))*(A37-A38)))&lt;0,((BJ38+BK38)/2),BJ38)</f>
        <v/>
      </c>
      <c r="BM38" s="16">
        <f>IF((((BJ38+BK38)/2)+(C38/(DATOS!$B$14*((BJ38+BK38)/2)))^2/(2*9.81)+B38-(E37+(C37/(DATOS!$B$14*E37))^2/(2*9.81)+B37+0.5*(((DATOS!$B$27*C37/(DATOS!$B$14*E37))^2/((DATOS!$B$14*E37)/(DATOS!$B$14+2*E37))^(4/3))+((DATOS!$B$27*C38/(DATOS!$B$14*((BJ38+BK38)/2)))^2/((DATOS!$B$14*((BJ38+BK38)/2))/(DATOS!$B$14+2*((BJ38+BK38)/2)))^(4/3)))*(A37-A38)))&lt;0,BK38,((BJ38+BK38)/2))</f>
        <v/>
      </c>
      <c r="BN38" s="16">
        <f>IF((((BL38+BM38)/2)+(C38/(DATOS!$B$14*((BL38+BM38)/2)))^2/(2*9.81)+B38-(E37+(C37/(DATOS!$B$14*E37))^2/(2*9.81)+B37+0.5*(((DATOS!$B$27*C37/(DATOS!$B$14*E37))^2/((DATOS!$B$14*E37)/(DATOS!$B$14+2*E37))^(4/3))+((DATOS!$B$27*C38/(DATOS!$B$14*((BL38+BM38)/2)))^2/((DATOS!$B$14*((BL38+BM38)/2))/(DATOS!$B$14+2*((BL38+BM38)/2)))^(4/3)))*(A37-A38)))&lt;0,((BL38+BM38)/2),BL38)</f>
        <v/>
      </c>
      <c r="BO38" s="16">
        <f>IF((((BL38+BM38)/2)+(C38/(DATOS!$B$14*((BL38+BM38)/2)))^2/(2*9.81)+B38-(E37+(C37/(DATOS!$B$14*E37))^2/(2*9.81)+B37+0.5*(((DATOS!$B$27*C37/(DATOS!$B$14*E37))^2/((DATOS!$B$14*E37)/(DATOS!$B$14+2*E37))^(4/3))+((DATOS!$B$27*C38/(DATOS!$B$14*((BL38+BM38)/2)))^2/((DATOS!$B$14*((BL38+BM38)/2))/(DATOS!$B$14+2*((BL38+BM38)/2)))^(4/3)))*(A37-A38)))&lt;0,BM38,((BL38+BM38)/2))</f>
        <v/>
      </c>
      <c r="BP38" s="16">
        <f>IF((((BN38+BO38)/2)+(C38/(DATOS!$B$14*((BN38+BO38)/2)))^2/(2*9.81)+B38-(E37+(C37/(DATOS!$B$14*E37))^2/(2*9.81)+B37+0.5*(((DATOS!$B$27*C37/(DATOS!$B$14*E37))^2/((DATOS!$B$14*E37)/(DATOS!$B$14+2*E37))^(4/3))+((DATOS!$B$27*C38/(DATOS!$B$14*((BN38+BO38)/2)))^2/((DATOS!$B$14*((BN38+BO38)/2))/(DATOS!$B$14+2*((BN38+BO38)/2)))^(4/3)))*(A37-A38)))&lt;0,((BN38+BO38)/2),BN38)</f>
        <v/>
      </c>
      <c r="BQ38" s="16">
        <f>IF((((BN38+BO38)/2)+(C38/(DATOS!$B$14*((BN38+BO38)/2)))^2/(2*9.81)+B38-(E37+(C37/(DATOS!$B$14*E37))^2/(2*9.81)+B37+0.5*(((DATOS!$B$27*C37/(DATOS!$B$14*E37))^2/((DATOS!$B$14*E37)/(DATOS!$B$14+2*E37))^(4/3))+((DATOS!$B$27*C38/(DATOS!$B$14*((BN38+BO38)/2)))^2/((DATOS!$B$14*((BN38+BO38)/2))/(DATOS!$B$14+2*((BN38+BO38)/2)))^(4/3)))*(A37-A38)))&lt;0,BO38,((BN38+BO38)/2))</f>
        <v/>
      </c>
      <c r="BR38" s="16">
        <f>IF((((BP38+BQ38)/2)+(C38/(DATOS!$B$14*((BP38+BQ38)/2)))^2/(2*9.81)+B38-(E37+(C37/(DATOS!$B$14*E37))^2/(2*9.81)+B37+0.5*(((DATOS!$B$27*C37/(DATOS!$B$14*E37))^2/((DATOS!$B$14*E37)/(DATOS!$B$14+2*E37))^(4/3))+((DATOS!$B$27*C38/(DATOS!$B$14*((BP38+BQ38)/2)))^2/((DATOS!$B$14*((BP38+BQ38)/2))/(DATOS!$B$14+2*((BP38+BQ38)/2)))^(4/3)))*(A37-A38)))&lt;0,((BP38+BQ38)/2),BP38)</f>
        <v/>
      </c>
      <c r="BS38" s="16">
        <f>IF((((BP38+BQ38)/2)+(C38/(DATOS!$B$14*((BP38+BQ38)/2)))^2/(2*9.81)+B38-(E37+(C37/(DATOS!$B$14*E37))^2/(2*9.81)+B37+0.5*(((DATOS!$B$27*C37/(DATOS!$B$14*E37))^2/((DATOS!$B$14*E37)/(DATOS!$B$14+2*E37))^(4/3))+((DATOS!$B$27*C38/(DATOS!$B$14*((BP38+BQ38)/2)))^2/((DATOS!$B$14*((BP38+BQ38)/2))/(DATOS!$B$14+2*((BP38+BQ38)/2)))^(4/3)))*(A37-A38)))&lt;0,BQ38,((BP38+BQ38)/2))</f>
        <v/>
      </c>
      <c r="BT38" s="16">
        <f>IF((((BR38+BS38)/2)+(C38/(DATOS!$B$14*((BR38+BS38)/2)))^2/(2*9.81)+B38-(E37+(C37/(DATOS!$B$14*E37))^2/(2*9.81)+B37+0.5*(((DATOS!$B$27*C37/(DATOS!$B$14*E37))^2/((DATOS!$B$14*E37)/(DATOS!$B$14+2*E37))^(4/3))+((DATOS!$B$27*C38/(DATOS!$B$14*((BR38+BS38)/2)))^2/((DATOS!$B$14*((BR38+BS38)/2))/(DATOS!$B$14+2*((BR38+BS38)/2)))^(4/3)))*(A37-A38)))&lt;0,((BR38+BS38)/2),BR38)</f>
        <v/>
      </c>
      <c r="BU38" s="16">
        <f>IF((((BR38+BS38)/2)+(C38/(DATOS!$B$14*((BR38+BS38)/2)))^2/(2*9.81)+B38-(E37+(C37/(DATOS!$B$14*E37))^2/(2*9.81)+B37+0.5*(((DATOS!$B$27*C37/(DATOS!$B$14*E37))^2/((DATOS!$B$14*E37)/(DATOS!$B$14+2*E37))^(4/3))+((DATOS!$B$27*C38/(DATOS!$B$14*((BR38+BS38)/2)))^2/((DATOS!$B$14*((BR38+BS38)/2))/(DATOS!$B$14+2*((BR38+BS38)/2)))^(4/3)))*(A37-A38)))&lt;0,BS38,((BR38+BS38)/2))</f>
        <v/>
      </c>
    </row>
    <row r="39">
      <c r="A39" s="30" t="n">
        <v>74</v>
      </c>
      <c r="B39" s="21">
        <f>DATOS!$B$16-DATOS!$B$19*A39</f>
        <v/>
      </c>
      <c r="C39" s="21">
        <f>IF(A39&lt;CAUDALES!$B$13,CAUDALES!$D$12,IF(A39&lt;CAUDALES!$B$14,CAUDALES!$D$13,IF(A39&lt;CAUDALES!$B$15,CAUDALES!$D$14,CAUDALES!$D$15)))/1000</f>
        <v/>
      </c>
      <c r="D39" s="21">
        <f>(C39^2/(9.81*DATOS!$B$14^2))^(1/3)</f>
        <v/>
      </c>
      <c r="E39" s="29">
        <f>(BT39+BU39)/2</f>
        <v/>
      </c>
      <c r="F39" s="21">
        <f>B39+E39</f>
        <v/>
      </c>
      <c r="G39" s="17">
        <f>C39/(DATOS!$B$14*E39)</f>
        <v/>
      </c>
      <c r="H39" s="17">
        <f>G39/SQRT(9.81*E39)</f>
        <v/>
      </c>
      <c r="I39" s="21">
        <f>IF(A39&lt;=DATOS!$B$20,DATOS!$B$21-IF(AND(A39&gt;=DATOS!$B$23,A39&lt;DATOS!$B$24),DATOS!$B$25,DATOS!$B$22),B39+DATOS!$B$26)</f>
        <v/>
      </c>
      <c r="J39" s="17">
        <f>I39-B39</f>
        <v/>
      </c>
      <c r="K39" s="31">
        <f>E39/J39</f>
        <v/>
      </c>
      <c r="L39" s="21">
        <f>I39-F39</f>
        <v/>
      </c>
      <c r="M39" s="32">
        <f>IF(AND(K39&lt;=DATOS!$B$29,L39&gt;=DATOS!$B$30),"CUMPLE","NO CUMPLE")</f>
        <v/>
      </c>
      <c r="N39" s="13">
        <f>IF(A39&gt;DATOS!$B$20,"cubierto - tramo final",IF(AND(A39&gt;=DATOS!$B$23,A39&lt;DATOS!$B$24),"cubierto - camiones","cubierto"))</f>
        <v/>
      </c>
      <c r="P39" s="16">
        <f>D39*1.001</f>
        <v/>
      </c>
      <c r="Q39" s="16" t="n">
        <v>2</v>
      </c>
      <c r="R39" s="16">
        <f>IF((((P39+Q39)/2)+(C39/(DATOS!$B$14*((P39+Q39)/2)))^2/(2*9.81)+B39-(E38+(C38/(DATOS!$B$14*E38))^2/(2*9.81)+B38+0.5*(((DATOS!$B$27*C38/(DATOS!$B$14*E38))^2/((DATOS!$B$14*E38)/(DATOS!$B$14+2*E38))^(4/3))+((DATOS!$B$27*C39/(DATOS!$B$14*((P39+Q39)/2)))^2/((DATOS!$B$14*((P39+Q39)/2))/(DATOS!$B$14+2*((P39+Q39)/2)))^(4/3)))*(A38-A39)))&lt;0,((P39+Q39)/2),P39)</f>
        <v/>
      </c>
      <c r="S39" s="16">
        <f>IF((((P39+Q39)/2)+(C39/(DATOS!$B$14*((P39+Q39)/2)))^2/(2*9.81)+B39-(E38+(C38/(DATOS!$B$14*E38))^2/(2*9.81)+B38+0.5*(((DATOS!$B$27*C38/(DATOS!$B$14*E38))^2/((DATOS!$B$14*E38)/(DATOS!$B$14+2*E38))^(4/3))+((DATOS!$B$27*C39/(DATOS!$B$14*((P39+Q39)/2)))^2/((DATOS!$B$14*((P39+Q39)/2))/(DATOS!$B$14+2*((P39+Q39)/2)))^(4/3)))*(A38-A39)))&lt;0,Q39,((P39+Q39)/2))</f>
        <v/>
      </c>
      <c r="T39" s="16">
        <f>IF((((R39+S39)/2)+(C39/(DATOS!$B$14*((R39+S39)/2)))^2/(2*9.81)+B39-(E38+(C38/(DATOS!$B$14*E38))^2/(2*9.81)+B38+0.5*(((DATOS!$B$27*C38/(DATOS!$B$14*E38))^2/((DATOS!$B$14*E38)/(DATOS!$B$14+2*E38))^(4/3))+((DATOS!$B$27*C39/(DATOS!$B$14*((R39+S39)/2)))^2/((DATOS!$B$14*((R39+S39)/2))/(DATOS!$B$14+2*((R39+S39)/2)))^(4/3)))*(A38-A39)))&lt;0,((R39+S39)/2),R39)</f>
        <v/>
      </c>
      <c r="U39" s="16">
        <f>IF((((R39+S39)/2)+(C39/(DATOS!$B$14*((R39+S39)/2)))^2/(2*9.81)+B39-(E38+(C38/(DATOS!$B$14*E38))^2/(2*9.81)+B38+0.5*(((DATOS!$B$27*C38/(DATOS!$B$14*E38))^2/((DATOS!$B$14*E38)/(DATOS!$B$14+2*E38))^(4/3))+((DATOS!$B$27*C39/(DATOS!$B$14*((R39+S39)/2)))^2/((DATOS!$B$14*((R39+S39)/2))/(DATOS!$B$14+2*((R39+S39)/2)))^(4/3)))*(A38-A39)))&lt;0,S39,((R39+S39)/2))</f>
        <v/>
      </c>
      <c r="V39" s="16">
        <f>IF((((T39+U39)/2)+(C39/(DATOS!$B$14*((T39+U39)/2)))^2/(2*9.81)+B39-(E38+(C38/(DATOS!$B$14*E38))^2/(2*9.81)+B38+0.5*(((DATOS!$B$27*C38/(DATOS!$B$14*E38))^2/((DATOS!$B$14*E38)/(DATOS!$B$14+2*E38))^(4/3))+((DATOS!$B$27*C39/(DATOS!$B$14*((T39+U39)/2)))^2/((DATOS!$B$14*((T39+U39)/2))/(DATOS!$B$14+2*((T39+U39)/2)))^(4/3)))*(A38-A39)))&lt;0,((T39+U39)/2),T39)</f>
        <v/>
      </c>
      <c r="W39" s="16">
        <f>IF((((T39+U39)/2)+(C39/(DATOS!$B$14*((T39+U39)/2)))^2/(2*9.81)+B39-(E38+(C38/(DATOS!$B$14*E38))^2/(2*9.81)+B38+0.5*(((DATOS!$B$27*C38/(DATOS!$B$14*E38))^2/((DATOS!$B$14*E38)/(DATOS!$B$14+2*E38))^(4/3))+((DATOS!$B$27*C39/(DATOS!$B$14*((T39+U39)/2)))^2/((DATOS!$B$14*((T39+U39)/2))/(DATOS!$B$14+2*((T39+U39)/2)))^(4/3)))*(A38-A39)))&lt;0,U39,((T39+U39)/2))</f>
        <v/>
      </c>
      <c r="X39" s="16">
        <f>IF((((V39+W39)/2)+(C39/(DATOS!$B$14*((V39+W39)/2)))^2/(2*9.81)+B39-(E38+(C38/(DATOS!$B$14*E38))^2/(2*9.81)+B38+0.5*(((DATOS!$B$27*C38/(DATOS!$B$14*E38))^2/((DATOS!$B$14*E38)/(DATOS!$B$14+2*E38))^(4/3))+((DATOS!$B$27*C39/(DATOS!$B$14*((V39+W39)/2)))^2/((DATOS!$B$14*((V39+W39)/2))/(DATOS!$B$14+2*((V39+W39)/2)))^(4/3)))*(A38-A39)))&lt;0,((V39+W39)/2),V39)</f>
        <v/>
      </c>
      <c r="Y39" s="16">
        <f>IF((((V39+W39)/2)+(C39/(DATOS!$B$14*((V39+W39)/2)))^2/(2*9.81)+B39-(E38+(C38/(DATOS!$B$14*E38))^2/(2*9.81)+B38+0.5*(((DATOS!$B$27*C38/(DATOS!$B$14*E38))^2/((DATOS!$B$14*E38)/(DATOS!$B$14+2*E38))^(4/3))+((DATOS!$B$27*C39/(DATOS!$B$14*((V39+W39)/2)))^2/((DATOS!$B$14*((V39+W39)/2))/(DATOS!$B$14+2*((V39+W39)/2)))^(4/3)))*(A38-A39)))&lt;0,W39,((V39+W39)/2))</f>
        <v/>
      </c>
      <c r="Z39" s="16">
        <f>IF((((X39+Y39)/2)+(C39/(DATOS!$B$14*((X39+Y39)/2)))^2/(2*9.81)+B39-(E38+(C38/(DATOS!$B$14*E38))^2/(2*9.81)+B38+0.5*(((DATOS!$B$27*C38/(DATOS!$B$14*E38))^2/((DATOS!$B$14*E38)/(DATOS!$B$14+2*E38))^(4/3))+((DATOS!$B$27*C39/(DATOS!$B$14*((X39+Y39)/2)))^2/((DATOS!$B$14*((X39+Y39)/2))/(DATOS!$B$14+2*((X39+Y39)/2)))^(4/3)))*(A38-A39)))&lt;0,((X39+Y39)/2),X39)</f>
        <v/>
      </c>
      <c r="AA39" s="16">
        <f>IF((((X39+Y39)/2)+(C39/(DATOS!$B$14*((X39+Y39)/2)))^2/(2*9.81)+B39-(E38+(C38/(DATOS!$B$14*E38))^2/(2*9.81)+B38+0.5*(((DATOS!$B$27*C38/(DATOS!$B$14*E38))^2/((DATOS!$B$14*E38)/(DATOS!$B$14+2*E38))^(4/3))+((DATOS!$B$27*C39/(DATOS!$B$14*((X39+Y39)/2)))^2/((DATOS!$B$14*((X39+Y39)/2))/(DATOS!$B$14+2*((X39+Y39)/2)))^(4/3)))*(A38-A39)))&lt;0,Y39,((X39+Y39)/2))</f>
        <v/>
      </c>
      <c r="AB39" s="16">
        <f>IF((((Z39+AA39)/2)+(C39/(DATOS!$B$14*((Z39+AA39)/2)))^2/(2*9.81)+B39-(E38+(C38/(DATOS!$B$14*E38))^2/(2*9.81)+B38+0.5*(((DATOS!$B$27*C38/(DATOS!$B$14*E38))^2/((DATOS!$B$14*E38)/(DATOS!$B$14+2*E38))^(4/3))+((DATOS!$B$27*C39/(DATOS!$B$14*((Z39+AA39)/2)))^2/((DATOS!$B$14*((Z39+AA39)/2))/(DATOS!$B$14+2*((Z39+AA39)/2)))^(4/3)))*(A38-A39)))&lt;0,((Z39+AA39)/2),Z39)</f>
        <v/>
      </c>
      <c r="AC39" s="16">
        <f>IF((((Z39+AA39)/2)+(C39/(DATOS!$B$14*((Z39+AA39)/2)))^2/(2*9.81)+B39-(E38+(C38/(DATOS!$B$14*E38))^2/(2*9.81)+B38+0.5*(((DATOS!$B$27*C38/(DATOS!$B$14*E38))^2/((DATOS!$B$14*E38)/(DATOS!$B$14+2*E38))^(4/3))+((DATOS!$B$27*C39/(DATOS!$B$14*((Z39+AA39)/2)))^2/((DATOS!$B$14*((Z39+AA39)/2))/(DATOS!$B$14+2*((Z39+AA39)/2)))^(4/3)))*(A38-A39)))&lt;0,AA39,((Z39+AA39)/2))</f>
        <v/>
      </c>
      <c r="AD39" s="16">
        <f>IF((((AB39+AC39)/2)+(C39/(DATOS!$B$14*((AB39+AC39)/2)))^2/(2*9.81)+B39-(E38+(C38/(DATOS!$B$14*E38))^2/(2*9.81)+B38+0.5*(((DATOS!$B$27*C38/(DATOS!$B$14*E38))^2/((DATOS!$B$14*E38)/(DATOS!$B$14+2*E38))^(4/3))+((DATOS!$B$27*C39/(DATOS!$B$14*((AB39+AC39)/2)))^2/((DATOS!$B$14*((AB39+AC39)/2))/(DATOS!$B$14+2*((AB39+AC39)/2)))^(4/3)))*(A38-A39)))&lt;0,((AB39+AC39)/2),AB39)</f>
        <v/>
      </c>
      <c r="AE39" s="16">
        <f>IF((((AB39+AC39)/2)+(C39/(DATOS!$B$14*((AB39+AC39)/2)))^2/(2*9.81)+B39-(E38+(C38/(DATOS!$B$14*E38))^2/(2*9.81)+B38+0.5*(((DATOS!$B$27*C38/(DATOS!$B$14*E38))^2/((DATOS!$B$14*E38)/(DATOS!$B$14+2*E38))^(4/3))+((DATOS!$B$27*C39/(DATOS!$B$14*((AB39+AC39)/2)))^2/((DATOS!$B$14*((AB39+AC39)/2))/(DATOS!$B$14+2*((AB39+AC39)/2)))^(4/3)))*(A38-A39)))&lt;0,AC39,((AB39+AC39)/2))</f>
        <v/>
      </c>
      <c r="AF39" s="16">
        <f>IF((((AD39+AE39)/2)+(C39/(DATOS!$B$14*((AD39+AE39)/2)))^2/(2*9.81)+B39-(E38+(C38/(DATOS!$B$14*E38))^2/(2*9.81)+B38+0.5*(((DATOS!$B$27*C38/(DATOS!$B$14*E38))^2/((DATOS!$B$14*E38)/(DATOS!$B$14+2*E38))^(4/3))+((DATOS!$B$27*C39/(DATOS!$B$14*((AD39+AE39)/2)))^2/((DATOS!$B$14*((AD39+AE39)/2))/(DATOS!$B$14+2*((AD39+AE39)/2)))^(4/3)))*(A38-A39)))&lt;0,((AD39+AE39)/2),AD39)</f>
        <v/>
      </c>
      <c r="AG39" s="16">
        <f>IF((((AD39+AE39)/2)+(C39/(DATOS!$B$14*((AD39+AE39)/2)))^2/(2*9.81)+B39-(E38+(C38/(DATOS!$B$14*E38))^2/(2*9.81)+B38+0.5*(((DATOS!$B$27*C38/(DATOS!$B$14*E38))^2/((DATOS!$B$14*E38)/(DATOS!$B$14+2*E38))^(4/3))+((DATOS!$B$27*C39/(DATOS!$B$14*((AD39+AE39)/2)))^2/((DATOS!$B$14*((AD39+AE39)/2))/(DATOS!$B$14+2*((AD39+AE39)/2)))^(4/3)))*(A38-A39)))&lt;0,AE39,((AD39+AE39)/2))</f>
        <v/>
      </c>
      <c r="AH39" s="16">
        <f>IF((((AF39+AG39)/2)+(C39/(DATOS!$B$14*((AF39+AG39)/2)))^2/(2*9.81)+B39-(E38+(C38/(DATOS!$B$14*E38))^2/(2*9.81)+B38+0.5*(((DATOS!$B$27*C38/(DATOS!$B$14*E38))^2/((DATOS!$B$14*E38)/(DATOS!$B$14+2*E38))^(4/3))+((DATOS!$B$27*C39/(DATOS!$B$14*((AF39+AG39)/2)))^2/((DATOS!$B$14*((AF39+AG39)/2))/(DATOS!$B$14+2*((AF39+AG39)/2)))^(4/3)))*(A38-A39)))&lt;0,((AF39+AG39)/2),AF39)</f>
        <v/>
      </c>
      <c r="AI39" s="16">
        <f>IF((((AF39+AG39)/2)+(C39/(DATOS!$B$14*((AF39+AG39)/2)))^2/(2*9.81)+B39-(E38+(C38/(DATOS!$B$14*E38))^2/(2*9.81)+B38+0.5*(((DATOS!$B$27*C38/(DATOS!$B$14*E38))^2/((DATOS!$B$14*E38)/(DATOS!$B$14+2*E38))^(4/3))+((DATOS!$B$27*C39/(DATOS!$B$14*((AF39+AG39)/2)))^2/((DATOS!$B$14*((AF39+AG39)/2))/(DATOS!$B$14+2*((AF39+AG39)/2)))^(4/3)))*(A38-A39)))&lt;0,AG39,((AF39+AG39)/2))</f>
        <v/>
      </c>
      <c r="AJ39" s="16">
        <f>IF((((AH39+AI39)/2)+(C39/(DATOS!$B$14*((AH39+AI39)/2)))^2/(2*9.81)+B39-(E38+(C38/(DATOS!$B$14*E38))^2/(2*9.81)+B38+0.5*(((DATOS!$B$27*C38/(DATOS!$B$14*E38))^2/((DATOS!$B$14*E38)/(DATOS!$B$14+2*E38))^(4/3))+((DATOS!$B$27*C39/(DATOS!$B$14*((AH39+AI39)/2)))^2/((DATOS!$B$14*((AH39+AI39)/2))/(DATOS!$B$14+2*((AH39+AI39)/2)))^(4/3)))*(A38-A39)))&lt;0,((AH39+AI39)/2),AH39)</f>
        <v/>
      </c>
      <c r="AK39" s="16">
        <f>IF((((AH39+AI39)/2)+(C39/(DATOS!$B$14*((AH39+AI39)/2)))^2/(2*9.81)+B39-(E38+(C38/(DATOS!$B$14*E38))^2/(2*9.81)+B38+0.5*(((DATOS!$B$27*C38/(DATOS!$B$14*E38))^2/((DATOS!$B$14*E38)/(DATOS!$B$14+2*E38))^(4/3))+((DATOS!$B$27*C39/(DATOS!$B$14*((AH39+AI39)/2)))^2/((DATOS!$B$14*((AH39+AI39)/2))/(DATOS!$B$14+2*((AH39+AI39)/2)))^(4/3)))*(A38-A39)))&lt;0,AI39,((AH39+AI39)/2))</f>
        <v/>
      </c>
      <c r="AL39" s="16">
        <f>IF((((AJ39+AK39)/2)+(C39/(DATOS!$B$14*((AJ39+AK39)/2)))^2/(2*9.81)+B39-(E38+(C38/(DATOS!$B$14*E38))^2/(2*9.81)+B38+0.5*(((DATOS!$B$27*C38/(DATOS!$B$14*E38))^2/((DATOS!$B$14*E38)/(DATOS!$B$14+2*E38))^(4/3))+((DATOS!$B$27*C39/(DATOS!$B$14*((AJ39+AK39)/2)))^2/((DATOS!$B$14*((AJ39+AK39)/2))/(DATOS!$B$14+2*((AJ39+AK39)/2)))^(4/3)))*(A38-A39)))&lt;0,((AJ39+AK39)/2),AJ39)</f>
        <v/>
      </c>
      <c r="AM39" s="16">
        <f>IF((((AJ39+AK39)/2)+(C39/(DATOS!$B$14*((AJ39+AK39)/2)))^2/(2*9.81)+B39-(E38+(C38/(DATOS!$B$14*E38))^2/(2*9.81)+B38+0.5*(((DATOS!$B$27*C38/(DATOS!$B$14*E38))^2/((DATOS!$B$14*E38)/(DATOS!$B$14+2*E38))^(4/3))+((DATOS!$B$27*C39/(DATOS!$B$14*((AJ39+AK39)/2)))^2/((DATOS!$B$14*((AJ39+AK39)/2))/(DATOS!$B$14+2*((AJ39+AK39)/2)))^(4/3)))*(A38-A39)))&lt;0,AK39,((AJ39+AK39)/2))</f>
        <v/>
      </c>
      <c r="AN39" s="16">
        <f>IF((((AL39+AM39)/2)+(C39/(DATOS!$B$14*((AL39+AM39)/2)))^2/(2*9.81)+B39-(E38+(C38/(DATOS!$B$14*E38))^2/(2*9.81)+B38+0.5*(((DATOS!$B$27*C38/(DATOS!$B$14*E38))^2/((DATOS!$B$14*E38)/(DATOS!$B$14+2*E38))^(4/3))+((DATOS!$B$27*C39/(DATOS!$B$14*((AL39+AM39)/2)))^2/((DATOS!$B$14*((AL39+AM39)/2))/(DATOS!$B$14+2*((AL39+AM39)/2)))^(4/3)))*(A38-A39)))&lt;0,((AL39+AM39)/2),AL39)</f>
        <v/>
      </c>
      <c r="AO39" s="16">
        <f>IF((((AL39+AM39)/2)+(C39/(DATOS!$B$14*((AL39+AM39)/2)))^2/(2*9.81)+B39-(E38+(C38/(DATOS!$B$14*E38))^2/(2*9.81)+B38+0.5*(((DATOS!$B$27*C38/(DATOS!$B$14*E38))^2/((DATOS!$B$14*E38)/(DATOS!$B$14+2*E38))^(4/3))+((DATOS!$B$27*C39/(DATOS!$B$14*((AL39+AM39)/2)))^2/((DATOS!$B$14*((AL39+AM39)/2))/(DATOS!$B$14+2*((AL39+AM39)/2)))^(4/3)))*(A38-A39)))&lt;0,AM39,((AL39+AM39)/2))</f>
        <v/>
      </c>
      <c r="AP39" s="16">
        <f>IF((((AN39+AO39)/2)+(C39/(DATOS!$B$14*((AN39+AO39)/2)))^2/(2*9.81)+B39-(E38+(C38/(DATOS!$B$14*E38))^2/(2*9.81)+B38+0.5*(((DATOS!$B$27*C38/(DATOS!$B$14*E38))^2/((DATOS!$B$14*E38)/(DATOS!$B$14+2*E38))^(4/3))+((DATOS!$B$27*C39/(DATOS!$B$14*((AN39+AO39)/2)))^2/((DATOS!$B$14*((AN39+AO39)/2))/(DATOS!$B$14+2*((AN39+AO39)/2)))^(4/3)))*(A38-A39)))&lt;0,((AN39+AO39)/2),AN39)</f>
        <v/>
      </c>
      <c r="AQ39" s="16">
        <f>IF((((AN39+AO39)/2)+(C39/(DATOS!$B$14*((AN39+AO39)/2)))^2/(2*9.81)+B39-(E38+(C38/(DATOS!$B$14*E38))^2/(2*9.81)+B38+0.5*(((DATOS!$B$27*C38/(DATOS!$B$14*E38))^2/((DATOS!$B$14*E38)/(DATOS!$B$14+2*E38))^(4/3))+((DATOS!$B$27*C39/(DATOS!$B$14*((AN39+AO39)/2)))^2/((DATOS!$B$14*((AN39+AO39)/2))/(DATOS!$B$14+2*((AN39+AO39)/2)))^(4/3)))*(A38-A39)))&lt;0,AO39,((AN39+AO39)/2))</f>
        <v/>
      </c>
      <c r="AR39" s="16">
        <f>IF((((AP39+AQ39)/2)+(C39/(DATOS!$B$14*((AP39+AQ39)/2)))^2/(2*9.81)+B39-(E38+(C38/(DATOS!$B$14*E38))^2/(2*9.81)+B38+0.5*(((DATOS!$B$27*C38/(DATOS!$B$14*E38))^2/((DATOS!$B$14*E38)/(DATOS!$B$14+2*E38))^(4/3))+((DATOS!$B$27*C39/(DATOS!$B$14*((AP39+AQ39)/2)))^2/((DATOS!$B$14*((AP39+AQ39)/2))/(DATOS!$B$14+2*((AP39+AQ39)/2)))^(4/3)))*(A38-A39)))&lt;0,((AP39+AQ39)/2),AP39)</f>
        <v/>
      </c>
      <c r="AS39" s="16">
        <f>IF((((AP39+AQ39)/2)+(C39/(DATOS!$B$14*((AP39+AQ39)/2)))^2/(2*9.81)+B39-(E38+(C38/(DATOS!$B$14*E38))^2/(2*9.81)+B38+0.5*(((DATOS!$B$27*C38/(DATOS!$B$14*E38))^2/((DATOS!$B$14*E38)/(DATOS!$B$14+2*E38))^(4/3))+((DATOS!$B$27*C39/(DATOS!$B$14*((AP39+AQ39)/2)))^2/((DATOS!$B$14*((AP39+AQ39)/2))/(DATOS!$B$14+2*((AP39+AQ39)/2)))^(4/3)))*(A38-A39)))&lt;0,AQ39,((AP39+AQ39)/2))</f>
        <v/>
      </c>
      <c r="AT39" s="16">
        <f>IF((((AR39+AS39)/2)+(C39/(DATOS!$B$14*((AR39+AS39)/2)))^2/(2*9.81)+B39-(E38+(C38/(DATOS!$B$14*E38))^2/(2*9.81)+B38+0.5*(((DATOS!$B$27*C38/(DATOS!$B$14*E38))^2/((DATOS!$B$14*E38)/(DATOS!$B$14+2*E38))^(4/3))+((DATOS!$B$27*C39/(DATOS!$B$14*((AR39+AS39)/2)))^2/((DATOS!$B$14*((AR39+AS39)/2))/(DATOS!$B$14+2*((AR39+AS39)/2)))^(4/3)))*(A38-A39)))&lt;0,((AR39+AS39)/2),AR39)</f>
        <v/>
      </c>
      <c r="AU39" s="16">
        <f>IF((((AR39+AS39)/2)+(C39/(DATOS!$B$14*((AR39+AS39)/2)))^2/(2*9.81)+B39-(E38+(C38/(DATOS!$B$14*E38))^2/(2*9.81)+B38+0.5*(((DATOS!$B$27*C38/(DATOS!$B$14*E38))^2/((DATOS!$B$14*E38)/(DATOS!$B$14+2*E38))^(4/3))+((DATOS!$B$27*C39/(DATOS!$B$14*((AR39+AS39)/2)))^2/((DATOS!$B$14*((AR39+AS39)/2))/(DATOS!$B$14+2*((AR39+AS39)/2)))^(4/3)))*(A38-A39)))&lt;0,AS39,((AR39+AS39)/2))</f>
        <v/>
      </c>
      <c r="AV39" s="16">
        <f>IF((((AT39+AU39)/2)+(C39/(DATOS!$B$14*((AT39+AU39)/2)))^2/(2*9.81)+B39-(E38+(C38/(DATOS!$B$14*E38))^2/(2*9.81)+B38+0.5*(((DATOS!$B$27*C38/(DATOS!$B$14*E38))^2/((DATOS!$B$14*E38)/(DATOS!$B$14+2*E38))^(4/3))+((DATOS!$B$27*C39/(DATOS!$B$14*((AT39+AU39)/2)))^2/((DATOS!$B$14*((AT39+AU39)/2))/(DATOS!$B$14+2*((AT39+AU39)/2)))^(4/3)))*(A38-A39)))&lt;0,((AT39+AU39)/2),AT39)</f>
        <v/>
      </c>
      <c r="AW39" s="16">
        <f>IF((((AT39+AU39)/2)+(C39/(DATOS!$B$14*((AT39+AU39)/2)))^2/(2*9.81)+B39-(E38+(C38/(DATOS!$B$14*E38))^2/(2*9.81)+B38+0.5*(((DATOS!$B$27*C38/(DATOS!$B$14*E38))^2/((DATOS!$B$14*E38)/(DATOS!$B$14+2*E38))^(4/3))+((DATOS!$B$27*C39/(DATOS!$B$14*((AT39+AU39)/2)))^2/((DATOS!$B$14*((AT39+AU39)/2))/(DATOS!$B$14+2*((AT39+AU39)/2)))^(4/3)))*(A38-A39)))&lt;0,AU39,((AT39+AU39)/2))</f>
        <v/>
      </c>
      <c r="AX39" s="16">
        <f>IF((((AV39+AW39)/2)+(C39/(DATOS!$B$14*((AV39+AW39)/2)))^2/(2*9.81)+B39-(E38+(C38/(DATOS!$B$14*E38))^2/(2*9.81)+B38+0.5*(((DATOS!$B$27*C38/(DATOS!$B$14*E38))^2/((DATOS!$B$14*E38)/(DATOS!$B$14+2*E38))^(4/3))+((DATOS!$B$27*C39/(DATOS!$B$14*((AV39+AW39)/2)))^2/((DATOS!$B$14*((AV39+AW39)/2))/(DATOS!$B$14+2*((AV39+AW39)/2)))^(4/3)))*(A38-A39)))&lt;0,((AV39+AW39)/2),AV39)</f>
        <v/>
      </c>
      <c r="AY39" s="16">
        <f>IF((((AV39+AW39)/2)+(C39/(DATOS!$B$14*((AV39+AW39)/2)))^2/(2*9.81)+B39-(E38+(C38/(DATOS!$B$14*E38))^2/(2*9.81)+B38+0.5*(((DATOS!$B$27*C38/(DATOS!$B$14*E38))^2/((DATOS!$B$14*E38)/(DATOS!$B$14+2*E38))^(4/3))+((DATOS!$B$27*C39/(DATOS!$B$14*((AV39+AW39)/2)))^2/((DATOS!$B$14*((AV39+AW39)/2))/(DATOS!$B$14+2*((AV39+AW39)/2)))^(4/3)))*(A38-A39)))&lt;0,AW39,((AV39+AW39)/2))</f>
        <v/>
      </c>
      <c r="AZ39" s="16">
        <f>IF((((AX39+AY39)/2)+(C39/(DATOS!$B$14*((AX39+AY39)/2)))^2/(2*9.81)+B39-(E38+(C38/(DATOS!$B$14*E38))^2/(2*9.81)+B38+0.5*(((DATOS!$B$27*C38/(DATOS!$B$14*E38))^2/((DATOS!$B$14*E38)/(DATOS!$B$14+2*E38))^(4/3))+((DATOS!$B$27*C39/(DATOS!$B$14*((AX39+AY39)/2)))^2/((DATOS!$B$14*((AX39+AY39)/2))/(DATOS!$B$14+2*((AX39+AY39)/2)))^(4/3)))*(A38-A39)))&lt;0,((AX39+AY39)/2),AX39)</f>
        <v/>
      </c>
      <c r="BA39" s="16">
        <f>IF((((AX39+AY39)/2)+(C39/(DATOS!$B$14*((AX39+AY39)/2)))^2/(2*9.81)+B39-(E38+(C38/(DATOS!$B$14*E38))^2/(2*9.81)+B38+0.5*(((DATOS!$B$27*C38/(DATOS!$B$14*E38))^2/((DATOS!$B$14*E38)/(DATOS!$B$14+2*E38))^(4/3))+((DATOS!$B$27*C39/(DATOS!$B$14*((AX39+AY39)/2)))^2/((DATOS!$B$14*((AX39+AY39)/2))/(DATOS!$B$14+2*((AX39+AY39)/2)))^(4/3)))*(A38-A39)))&lt;0,AY39,((AX39+AY39)/2))</f>
        <v/>
      </c>
      <c r="BB39" s="16">
        <f>IF((((AZ39+BA39)/2)+(C39/(DATOS!$B$14*((AZ39+BA39)/2)))^2/(2*9.81)+B39-(E38+(C38/(DATOS!$B$14*E38))^2/(2*9.81)+B38+0.5*(((DATOS!$B$27*C38/(DATOS!$B$14*E38))^2/((DATOS!$B$14*E38)/(DATOS!$B$14+2*E38))^(4/3))+((DATOS!$B$27*C39/(DATOS!$B$14*((AZ39+BA39)/2)))^2/((DATOS!$B$14*((AZ39+BA39)/2))/(DATOS!$B$14+2*((AZ39+BA39)/2)))^(4/3)))*(A38-A39)))&lt;0,((AZ39+BA39)/2),AZ39)</f>
        <v/>
      </c>
      <c r="BC39" s="16">
        <f>IF((((AZ39+BA39)/2)+(C39/(DATOS!$B$14*((AZ39+BA39)/2)))^2/(2*9.81)+B39-(E38+(C38/(DATOS!$B$14*E38))^2/(2*9.81)+B38+0.5*(((DATOS!$B$27*C38/(DATOS!$B$14*E38))^2/((DATOS!$B$14*E38)/(DATOS!$B$14+2*E38))^(4/3))+((DATOS!$B$27*C39/(DATOS!$B$14*((AZ39+BA39)/2)))^2/((DATOS!$B$14*((AZ39+BA39)/2))/(DATOS!$B$14+2*((AZ39+BA39)/2)))^(4/3)))*(A38-A39)))&lt;0,BA39,((AZ39+BA39)/2))</f>
        <v/>
      </c>
      <c r="BD39" s="16">
        <f>IF((((BB39+BC39)/2)+(C39/(DATOS!$B$14*((BB39+BC39)/2)))^2/(2*9.81)+B39-(E38+(C38/(DATOS!$B$14*E38))^2/(2*9.81)+B38+0.5*(((DATOS!$B$27*C38/(DATOS!$B$14*E38))^2/((DATOS!$B$14*E38)/(DATOS!$B$14+2*E38))^(4/3))+((DATOS!$B$27*C39/(DATOS!$B$14*((BB39+BC39)/2)))^2/((DATOS!$B$14*((BB39+BC39)/2))/(DATOS!$B$14+2*((BB39+BC39)/2)))^(4/3)))*(A38-A39)))&lt;0,((BB39+BC39)/2),BB39)</f>
        <v/>
      </c>
      <c r="BE39" s="16">
        <f>IF((((BB39+BC39)/2)+(C39/(DATOS!$B$14*((BB39+BC39)/2)))^2/(2*9.81)+B39-(E38+(C38/(DATOS!$B$14*E38))^2/(2*9.81)+B38+0.5*(((DATOS!$B$27*C38/(DATOS!$B$14*E38))^2/((DATOS!$B$14*E38)/(DATOS!$B$14+2*E38))^(4/3))+((DATOS!$B$27*C39/(DATOS!$B$14*((BB39+BC39)/2)))^2/((DATOS!$B$14*((BB39+BC39)/2))/(DATOS!$B$14+2*((BB39+BC39)/2)))^(4/3)))*(A38-A39)))&lt;0,BC39,((BB39+BC39)/2))</f>
        <v/>
      </c>
      <c r="BF39" s="16">
        <f>IF((((BD39+BE39)/2)+(C39/(DATOS!$B$14*((BD39+BE39)/2)))^2/(2*9.81)+B39-(E38+(C38/(DATOS!$B$14*E38))^2/(2*9.81)+B38+0.5*(((DATOS!$B$27*C38/(DATOS!$B$14*E38))^2/((DATOS!$B$14*E38)/(DATOS!$B$14+2*E38))^(4/3))+((DATOS!$B$27*C39/(DATOS!$B$14*((BD39+BE39)/2)))^2/((DATOS!$B$14*((BD39+BE39)/2))/(DATOS!$B$14+2*((BD39+BE39)/2)))^(4/3)))*(A38-A39)))&lt;0,((BD39+BE39)/2),BD39)</f>
        <v/>
      </c>
      <c r="BG39" s="16">
        <f>IF((((BD39+BE39)/2)+(C39/(DATOS!$B$14*((BD39+BE39)/2)))^2/(2*9.81)+B39-(E38+(C38/(DATOS!$B$14*E38))^2/(2*9.81)+B38+0.5*(((DATOS!$B$27*C38/(DATOS!$B$14*E38))^2/((DATOS!$B$14*E38)/(DATOS!$B$14+2*E38))^(4/3))+((DATOS!$B$27*C39/(DATOS!$B$14*((BD39+BE39)/2)))^2/((DATOS!$B$14*((BD39+BE39)/2))/(DATOS!$B$14+2*((BD39+BE39)/2)))^(4/3)))*(A38-A39)))&lt;0,BE39,((BD39+BE39)/2))</f>
        <v/>
      </c>
      <c r="BH39" s="16">
        <f>IF((((BF39+BG39)/2)+(C39/(DATOS!$B$14*((BF39+BG39)/2)))^2/(2*9.81)+B39-(E38+(C38/(DATOS!$B$14*E38))^2/(2*9.81)+B38+0.5*(((DATOS!$B$27*C38/(DATOS!$B$14*E38))^2/((DATOS!$B$14*E38)/(DATOS!$B$14+2*E38))^(4/3))+((DATOS!$B$27*C39/(DATOS!$B$14*((BF39+BG39)/2)))^2/((DATOS!$B$14*((BF39+BG39)/2))/(DATOS!$B$14+2*((BF39+BG39)/2)))^(4/3)))*(A38-A39)))&lt;0,((BF39+BG39)/2),BF39)</f>
        <v/>
      </c>
      <c r="BI39" s="16">
        <f>IF((((BF39+BG39)/2)+(C39/(DATOS!$B$14*((BF39+BG39)/2)))^2/(2*9.81)+B39-(E38+(C38/(DATOS!$B$14*E38))^2/(2*9.81)+B38+0.5*(((DATOS!$B$27*C38/(DATOS!$B$14*E38))^2/((DATOS!$B$14*E38)/(DATOS!$B$14+2*E38))^(4/3))+((DATOS!$B$27*C39/(DATOS!$B$14*((BF39+BG39)/2)))^2/((DATOS!$B$14*((BF39+BG39)/2))/(DATOS!$B$14+2*((BF39+BG39)/2)))^(4/3)))*(A38-A39)))&lt;0,BG39,((BF39+BG39)/2))</f>
        <v/>
      </c>
      <c r="BJ39" s="16">
        <f>IF((((BH39+BI39)/2)+(C39/(DATOS!$B$14*((BH39+BI39)/2)))^2/(2*9.81)+B39-(E38+(C38/(DATOS!$B$14*E38))^2/(2*9.81)+B38+0.5*(((DATOS!$B$27*C38/(DATOS!$B$14*E38))^2/((DATOS!$B$14*E38)/(DATOS!$B$14+2*E38))^(4/3))+((DATOS!$B$27*C39/(DATOS!$B$14*((BH39+BI39)/2)))^2/((DATOS!$B$14*((BH39+BI39)/2))/(DATOS!$B$14+2*((BH39+BI39)/2)))^(4/3)))*(A38-A39)))&lt;0,((BH39+BI39)/2),BH39)</f>
        <v/>
      </c>
      <c r="BK39" s="16">
        <f>IF((((BH39+BI39)/2)+(C39/(DATOS!$B$14*((BH39+BI39)/2)))^2/(2*9.81)+B39-(E38+(C38/(DATOS!$B$14*E38))^2/(2*9.81)+B38+0.5*(((DATOS!$B$27*C38/(DATOS!$B$14*E38))^2/((DATOS!$B$14*E38)/(DATOS!$B$14+2*E38))^(4/3))+((DATOS!$B$27*C39/(DATOS!$B$14*((BH39+BI39)/2)))^2/((DATOS!$B$14*((BH39+BI39)/2))/(DATOS!$B$14+2*((BH39+BI39)/2)))^(4/3)))*(A38-A39)))&lt;0,BI39,((BH39+BI39)/2))</f>
        <v/>
      </c>
      <c r="BL39" s="16">
        <f>IF((((BJ39+BK39)/2)+(C39/(DATOS!$B$14*((BJ39+BK39)/2)))^2/(2*9.81)+B39-(E38+(C38/(DATOS!$B$14*E38))^2/(2*9.81)+B38+0.5*(((DATOS!$B$27*C38/(DATOS!$B$14*E38))^2/((DATOS!$B$14*E38)/(DATOS!$B$14+2*E38))^(4/3))+((DATOS!$B$27*C39/(DATOS!$B$14*((BJ39+BK39)/2)))^2/((DATOS!$B$14*((BJ39+BK39)/2))/(DATOS!$B$14+2*((BJ39+BK39)/2)))^(4/3)))*(A38-A39)))&lt;0,((BJ39+BK39)/2),BJ39)</f>
        <v/>
      </c>
      <c r="BM39" s="16">
        <f>IF((((BJ39+BK39)/2)+(C39/(DATOS!$B$14*((BJ39+BK39)/2)))^2/(2*9.81)+B39-(E38+(C38/(DATOS!$B$14*E38))^2/(2*9.81)+B38+0.5*(((DATOS!$B$27*C38/(DATOS!$B$14*E38))^2/((DATOS!$B$14*E38)/(DATOS!$B$14+2*E38))^(4/3))+((DATOS!$B$27*C39/(DATOS!$B$14*((BJ39+BK39)/2)))^2/((DATOS!$B$14*((BJ39+BK39)/2))/(DATOS!$B$14+2*((BJ39+BK39)/2)))^(4/3)))*(A38-A39)))&lt;0,BK39,((BJ39+BK39)/2))</f>
        <v/>
      </c>
      <c r="BN39" s="16">
        <f>IF((((BL39+BM39)/2)+(C39/(DATOS!$B$14*((BL39+BM39)/2)))^2/(2*9.81)+B39-(E38+(C38/(DATOS!$B$14*E38))^2/(2*9.81)+B38+0.5*(((DATOS!$B$27*C38/(DATOS!$B$14*E38))^2/((DATOS!$B$14*E38)/(DATOS!$B$14+2*E38))^(4/3))+((DATOS!$B$27*C39/(DATOS!$B$14*((BL39+BM39)/2)))^2/((DATOS!$B$14*((BL39+BM39)/2))/(DATOS!$B$14+2*((BL39+BM39)/2)))^(4/3)))*(A38-A39)))&lt;0,((BL39+BM39)/2),BL39)</f>
        <v/>
      </c>
      <c r="BO39" s="16">
        <f>IF((((BL39+BM39)/2)+(C39/(DATOS!$B$14*((BL39+BM39)/2)))^2/(2*9.81)+B39-(E38+(C38/(DATOS!$B$14*E38))^2/(2*9.81)+B38+0.5*(((DATOS!$B$27*C38/(DATOS!$B$14*E38))^2/((DATOS!$B$14*E38)/(DATOS!$B$14+2*E38))^(4/3))+((DATOS!$B$27*C39/(DATOS!$B$14*((BL39+BM39)/2)))^2/((DATOS!$B$14*((BL39+BM39)/2))/(DATOS!$B$14+2*((BL39+BM39)/2)))^(4/3)))*(A38-A39)))&lt;0,BM39,((BL39+BM39)/2))</f>
        <v/>
      </c>
      <c r="BP39" s="16">
        <f>IF((((BN39+BO39)/2)+(C39/(DATOS!$B$14*((BN39+BO39)/2)))^2/(2*9.81)+B39-(E38+(C38/(DATOS!$B$14*E38))^2/(2*9.81)+B38+0.5*(((DATOS!$B$27*C38/(DATOS!$B$14*E38))^2/((DATOS!$B$14*E38)/(DATOS!$B$14+2*E38))^(4/3))+((DATOS!$B$27*C39/(DATOS!$B$14*((BN39+BO39)/2)))^2/((DATOS!$B$14*((BN39+BO39)/2))/(DATOS!$B$14+2*((BN39+BO39)/2)))^(4/3)))*(A38-A39)))&lt;0,((BN39+BO39)/2),BN39)</f>
        <v/>
      </c>
      <c r="BQ39" s="16">
        <f>IF((((BN39+BO39)/2)+(C39/(DATOS!$B$14*((BN39+BO39)/2)))^2/(2*9.81)+B39-(E38+(C38/(DATOS!$B$14*E38))^2/(2*9.81)+B38+0.5*(((DATOS!$B$27*C38/(DATOS!$B$14*E38))^2/((DATOS!$B$14*E38)/(DATOS!$B$14+2*E38))^(4/3))+((DATOS!$B$27*C39/(DATOS!$B$14*((BN39+BO39)/2)))^2/((DATOS!$B$14*((BN39+BO39)/2))/(DATOS!$B$14+2*((BN39+BO39)/2)))^(4/3)))*(A38-A39)))&lt;0,BO39,((BN39+BO39)/2))</f>
        <v/>
      </c>
      <c r="BR39" s="16">
        <f>IF((((BP39+BQ39)/2)+(C39/(DATOS!$B$14*((BP39+BQ39)/2)))^2/(2*9.81)+B39-(E38+(C38/(DATOS!$B$14*E38))^2/(2*9.81)+B38+0.5*(((DATOS!$B$27*C38/(DATOS!$B$14*E38))^2/((DATOS!$B$14*E38)/(DATOS!$B$14+2*E38))^(4/3))+((DATOS!$B$27*C39/(DATOS!$B$14*((BP39+BQ39)/2)))^2/((DATOS!$B$14*((BP39+BQ39)/2))/(DATOS!$B$14+2*((BP39+BQ39)/2)))^(4/3)))*(A38-A39)))&lt;0,((BP39+BQ39)/2),BP39)</f>
        <v/>
      </c>
      <c r="BS39" s="16">
        <f>IF((((BP39+BQ39)/2)+(C39/(DATOS!$B$14*((BP39+BQ39)/2)))^2/(2*9.81)+B39-(E38+(C38/(DATOS!$B$14*E38))^2/(2*9.81)+B38+0.5*(((DATOS!$B$27*C38/(DATOS!$B$14*E38))^2/((DATOS!$B$14*E38)/(DATOS!$B$14+2*E38))^(4/3))+((DATOS!$B$27*C39/(DATOS!$B$14*((BP39+BQ39)/2)))^2/((DATOS!$B$14*((BP39+BQ39)/2))/(DATOS!$B$14+2*((BP39+BQ39)/2)))^(4/3)))*(A38-A39)))&lt;0,BQ39,((BP39+BQ39)/2))</f>
        <v/>
      </c>
      <c r="BT39" s="16">
        <f>IF((((BR39+BS39)/2)+(C39/(DATOS!$B$14*((BR39+BS39)/2)))^2/(2*9.81)+B39-(E38+(C38/(DATOS!$B$14*E38))^2/(2*9.81)+B38+0.5*(((DATOS!$B$27*C38/(DATOS!$B$14*E38))^2/((DATOS!$B$14*E38)/(DATOS!$B$14+2*E38))^(4/3))+((DATOS!$B$27*C39/(DATOS!$B$14*((BR39+BS39)/2)))^2/((DATOS!$B$14*((BR39+BS39)/2))/(DATOS!$B$14+2*((BR39+BS39)/2)))^(4/3)))*(A38-A39)))&lt;0,((BR39+BS39)/2),BR39)</f>
        <v/>
      </c>
      <c r="BU39" s="16">
        <f>IF((((BR39+BS39)/2)+(C39/(DATOS!$B$14*((BR39+BS39)/2)))^2/(2*9.81)+B39-(E38+(C38/(DATOS!$B$14*E38))^2/(2*9.81)+B38+0.5*(((DATOS!$B$27*C38/(DATOS!$B$14*E38))^2/((DATOS!$B$14*E38)/(DATOS!$B$14+2*E38))^(4/3))+((DATOS!$B$27*C39/(DATOS!$B$14*((BR39+BS39)/2)))^2/((DATOS!$B$14*((BR39+BS39)/2))/(DATOS!$B$14+2*((BR39+BS39)/2)))^(4/3)))*(A38-A39)))&lt;0,BS39,((BR39+BS39)/2))</f>
        <v/>
      </c>
    </row>
    <row r="40">
      <c r="A40" s="30" t="n">
        <v>72</v>
      </c>
      <c r="B40" s="21">
        <f>DATOS!$B$16-DATOS!$B$19*A40</f>
        <v/>
      </c>
      <c r="C40" s="21">
        <f>IF(A40&lt;CAUDALES!$B$13,CAUDALES!$D$12,IF(A40&lt;CAUDALES!$B$14,CAUDALES!$D$13,IF(A40&lt;CAUDALES!$B$15,CAUDALES!$D$14,CAUDALES!$D$15)))/1000</f>
        <v/>
      </c>
      <c r="D40" s="21">
        <f>(C40^2/(9.81*DATOS!$B$14^2))^(1/3)</f>
        <v/>
      </c>
      <c r="E40" s="29">
        <f>(BT40+BU40)/2</f>
        <v/>
      </c>
      <c r="F40" s="21">
        <f>B40+E40</f>
        <v/>
      </c>
      <c r="G40" s="17">
        <f>C40/(DATOS!$B$14*E40)</f>
        <v/>
      </c>
      <c r="H40" s="17">
        <f>G40/SQRT(9.81*E40)</f>
        <v/>
      </c>
      <c r="I40" s="21">
        <f>IF(A40&lt;=DATOS!$B$20,DATOS!$B$21-IF(AND(A40&gt;=DATOS!$B$23,A40&lt;DATOS!$B$24),DATOS!$B$25,DATOS!$B$22),B40+DATOS!$B$26)</f>
        <v/>
      </c>
      <c r="J40" s="17">
        <f>I40-B40</f>
        <v/>
      </c>
      <c r="K40" s="31">
        <f>E40/J40</f>
        <v/>
      </c>
      <c r="L40" s="21">
        <f>I40-F40</f>
        <v/>
      </c>
      <c r="M40" s="32">
        <f>IF(AND(K40&lt;=DATOS!$B$29,L40&gt;=DATOS!$B$30),"CUMPLE","NO CUMPLE")</f>
        <v/>
      </c>
      <c r="N40" s="13">
        <f>IF(A40&gt;DATOS!$B$20,"cubierto - tramo final",IF(AND(A40&gt;=DATOS!$B$23,A40&lt;DATOS!$B$24),"cubierto - camiones","cubierto"))</f>
        <v/>
      </c>
      <c r="P40" s="16">
        <f>D40*1.001</f>
        <v/>
      </c>
      <c r="Q40" s="16" t="n">
        <v>2</v>
      </c>
      <c r="R40" s="16">
        <f>IF((((P40+Q40)/2)+(C40/(DATOS!$B$14*((P40+Q40)/2)))^2/(2*9.81)+B40-(E39+(C39/(DATOS!$B$14*E39))^2/(2*9.81)+B39+0.5*(((DATOS!$B$27*C39/(DATOS!$B$14*E39))^2/((DATOS!$B$14*E39)/(DATOS!$B$14+2*E39))^(4/3))+((DATOS!$B$27*C40/(DATOS!$B$14*((P40+Q40)/2)))^2/((DATOS!$B$14*((P40+Q40)/2))/(DATOS!$B$14+2*((P40+Q40)/2)))^(4/3)))*(A39-A40)))&lt;0,((P40+Q40)/2),P40)</f>
        <v/>
      </c>
      <c r="S40" s="16">
        <f>IF((((P40+Q40)/2)+(C40/(DATOS!$B$14*((P40+Q40)/2)))^2/(2*9.81)+B40-(E39+(C39/(DATOS!$B$14*E39))^2/(2*9.81)+B39+0.5*(((DATOS!$B$27*C39/(DATOS!$B$14*E39))^2/((DATOS!$B$14*E39)/(DATOS!$B$14+2*E39))^(4/3))+((DATOS!$B$27*C40/(DATOS!$B$14*((P40+Q40)/2)))^2/((DATOS!$B$14*((P40+Q40)/2))/(DATOS!$B$14+2*((P40+Q40)/2)))^(4/3)))*(A39-A40)))&lt;0,Q40,((P40+Q40)/2))</f>
        <v/>
      </c>
      <c r="T40" s="16">
        <f>IF((((R40+S40)/2)+(C40/(DATOS!$B$14*((R40+S40)/2)))^2/(2*9.81)+B40-(E39+(C39/(DATOS!$B$14*E39))^2/(2*9.81)+B39+0.5*(((DATOS!$B$27*C39/(DATOS!$B$14*E39))^2/((DATOS!$B$14*E39)/(DATOS!$B$14+2*E39))^(4/3))+((DATOS!$B$27*C40/(DATOS!$B$14*((R40+S40)/2)))^2/((DATOS!$B$14*((R40+S40)/2))/(DATOS!$B$14+2*((R40+S40)/2)))^(4/3)))*(A39-A40)))&lt;0,((R40+S40)/2),R40)</f>
        <v/>
      </c>
      <c r="U40" s="16">
        <f>IF((((R40+S40)/2)+(C40/(DATOS!$B$14*((R40+S40)/2)))^2/(2*9.81)+B40-(E39+(C39/(DATOS!$B$14*E39))^2/(2*9.81)+B39+0.5*(((DATOS!$B$27*C39/(DATOS!$B$14*E39))^2/((DATOS!$B$14*E39)/(DATOS!$B$14+2*E39))^(4/3))+((DATOS!$B$27*C40/(DATOS!$B$14*((R40+S40)/2)))^2/((DATOS!$B$14*((R40+S40)/2))/(DATOS!$B$14+2*((R40+S40)/2)))^(4/3)))*(A39-A40)))&lt;0,S40,((R40+S40)/2))</f>
        <v/>
      </c>
      <c r="V40" s="16">
        <f>IF((((T40+U40)/2)+(C40/(DATOS!$B$14*((T40+U40)/2)))^2/(2*9.81)+B40-(E39+(C39/(DATOS!$B$14*E39))^2/(2*9.81)+B39+0.5*(((DATOS!$B$27*C39/(DATOS!$B$14*E39))^2/((DATOS!$B$14*E39)/(DATOS!$B$14+2*E39))^(4/3))+((DATOS!$B$27*C40/(DATOS!$B$14*((T40+U40)/2)))^2/((DATOS!$B$14*((T40+U40)/2))/(DATOS!$B$14+2*((T40+U40)/2)))^(4/3)))*(A39-A40)))&lt;0,((T40+U40)/2),T40)</f>
        <v/>
      </c>
      <c r="W40" s="16">
        <f>IF((((T40+U40)/2)+(C40/(DATOS!$B$14*((T40+U40)/2)))^2/(2*9.81)+B40-(E39+(C39/(DATOS!$B$14*E39))^2/(2*9.81)+B39+0.5*(((DATOS!$B$27*C39/(DATOS!$B$14*E39))^2/((DATOS!$B$14*E39)/(DATOS!$B$14+2*E39))^(4/3))+((DATOS!$B$27*C40/(DATOS!$B$14*((T40+U40)/2)))^2/((DATOS!$B$14*((T40+U40)/2))/(DATOS!$B$14+2*((T40+U40)/2)))^(4/3)))*(A39-A40)))&lt;0,U40,((T40+U40)/2))</f>
        <v/>
      </c>
      <c r="X40" s="16">
        <f>IF((((V40+W40)/2)+(C40/(DATOS!$B$14*((V40+W40)/2)))^2/(2*9.81)+B40-(E39+(C39/(DATOS!$B$14*E39))^2/(2*9.81)+B39+0.5*(((DATOS!$B$27*C39/(DATOS!$B$14*E39))^2/((DATOS!$B$14*E39)/(DATOS!$B$14+2*E39))^(4/3))+((DATOS!$B$27*C40/(DATOS!$B$14*((V40+W40)/2)))^2/((DATOS!$B$14*((V40+W40)/2))/(DATOS!$B$14+2*((V40+W40)/2)))^(4/3)))*(A39-A40)))&lt;0,((V40+W40)/2),V40)</f>
        <v/>
      </c>
      <c r="Y40" s="16">
        <f>IF((((V40+W40)/2)+(C40/(DATOS!$B$14*((V40+W40)/2)))^2/(2*9.81)+B40-(E39+(C39/(DATOS!$B$14*E39))^2/(2*9.81)+B39+0.5*(((DATOS!$B$27*C39/(DATOS!$B$14*E39))^2/((DATOS!$B$14*E39)/(DATOS!$B$14+2*E39))^(4/3))+((DATOS!$B$27*C40/(DATOS!$B$14*((V40+W40)/2)))^2/((DATOS!$B$14*((V40+W40)/2))/(DATOS!$B$14+2*((V40+W40)/2)))^(4/3)))*(A39-A40)))&lt;0,W40,((V40+W40)/2))</f>
        <v/>
      </c>
      <c r="Z40" s="16">
        <f>IF((((X40+Y40)/2)+(C40/(DATOS!$B$14*((X40+Y40)/2)))^2/(2*9.81)+B40-(E39+(C39/(DATOS!$B$14*E39))^2/(2*9.81)+B39+0.5*(((DATOS!$B$27*C39/(DATOS!$B$14*E39))^2/((DATOS!$B$14*E39)/(DATOS!$B$14+2*E39))^(4/3))+((DATOS!$B$27*C40/(DATOS!$B$14*((X40+Y40)/2)))^2/((DATOS!$B$14*((X40+Y40)/2))/(DATOS!$B$14+2*((X40+Y40)/2)))^(4/3)))*(A39-A40)))&lt;0,((X40+Y40)/2),X40)</f>
        <v/>
      </c>
      <c r="AA40" s="16">
        <f>IF((((X40+Y40)/2)+(C40/(DATOS!$B$14*((X40+Y40)/2)))^2/(2*9.81)+B40-(E39+(C39/(DATOS!$B$14*E39))^2/(2*9.81)+B39+0.5*(((DATOS!$B$27*C39/(DATOS!$B$14*E39))^2/((DATOS!$B$14*E39)/(DATOS!$B$14+2*E39))^(4/3))+((DATOS!$B$27*C40/(DATOS!$B$14*((X40+Y40)/2)))^2/((DATOS!$B$14*((X40+Y40)/2))/(DATOS!$B$14+2*((X40+Y40)/2)))^(4/3)))*(A39-A40)))&lt;0,Y40,((X40+Y40)/2))</f>
        <v/>
      </c>
      <c r="AB40" s="16">
        <f>IF((((Z40+AA40)/2)+(C40/(DATOS!$B$14*((Z40+AA40)/2)))^2/(2*9.81)+B40-(E39+(C39/(DATOS!$B$14*E39))^2/(2*9.81)+B39+0.5*(((DATOS!$B$27*C39/(DATOS!$B$14*E39))^2/((DATOS!$B$14*E39)/(DATOS!$B$14+2*E39))^(4/3))+((DATOS!$B$27*C40/(DATOS!$B$14*((Z40+AA40)/2)))^2/((DATOS!$B$14*((Z40+AA40)/2))/(DATOS!$B$14+2*((Z40+AA40)/2)))^(4/3)))*(A39-A40)))&lt;0,((Z40+AA40)/2),Z40)</f>
        <v/>
      </c>
      <c r="AC40" s="16">
        <f>IF((((Z40+AA40)/2)+(C40/(DATOS!$B$14*((Z40+AA40)/2)))^2/(2*9.81)+B40-(E39+(C39/(DATOS!$B$14*E39))^2/(2*9.81)+B39+0.5*(((DATOS!$B$27*C39/(DATOS!$B$14*E39))^2/((DATOS!$B$14*E39)/(DATOS!$B$14+2*E39))^(4/3))+((DATOS!$B$27*C40/(DATOS!$B$14*((Z40+AA40)/2)))^2/((DATOS!$B$14*((Z40+AA40)/2))/(DATOS!$B$14+2*((Z40+AA40)/2)))^(4/3)))*(A39-A40)))&lt;0,AA40,((Z40+AA40)/2))</f>
        <v/>
      </c>
      <c r="AD40" s="16">
        <f>IF((((AB40+AC40)/2)+(C40/(DATOS!$B$14*((AB40+AC40)/2)))^2/(2*9.81)+B40-(E39+(C39/(DATOS!$B$14*E39))^2/(2*9.81)+B39+0.5*(((DATOS!$B$27*C39/(DATOS!$B$14*E39))^2/((DATOS!$B$14*E39)/(DATOS!$B$14+2*E39))^(4/3))+((DATOS!$B$27*C40/(DATOS!$B$14*((AB40+AC40)/2)))^2/((DATOS!$B$14*((AB40+AC40)/2))/(DATOS!$B$14+2*((AB40+AC40)/2)))^(4/3)))*(A39-A40)))&lt;0,((AB40+AC40)/2),AB40)</f>
        <v/>
      </c>
      <c r="AE40" s="16">
        <f>IF((((AB40+AC40)/2)+(C40/(DATOS!$B$14*((AB40+AC40)/2)))^2/(2*9.81)+B40-(E39+(C39/(DATOS!$B$14*E39))^2/(2*9.81)+B39+0.5*(((DATOS!$B$27*C39/(DATOS!$B$14*E39))^2/((DATOS!$B$14*E39)/(DATOS!$B$14+2*E39))^(4/3))+((DATOS!$B$27*C40/(DATOS!$B$14*((AB40+AC40)/2)))^2/((DATOS!$B$14*((AB40+AC40)/2))/(DATOS!$B$14+2*((AB40+AC40)/2)))^(4/3)))*(A39-A40)))&lt;0,AC40,((AB40+AC40)/2))</f>
        <v/>
      </c>
      <c r="AF40" s="16">
        <f>IF((((AD40+AE40)/2)+(C40/(DATOS!$B$14*((AD40+AE40)/2)))^2/(2*9.81)+B40-(E39+(C39/(DATOS!$B$14*E39))^2/(2*9.81)+B39+0.5*(((DATOS!$B$27*C39/(DATOS!$B$14*E39))^2/((DATOS!$B$14*E39)/(DATOS!$B$14+2*E39))^(4/3))+((DATOS!$B$27*C40/(DATOS!$B$14*((AD40+AE40)/2)))^2/((DATOS!$B$14*((AD40+AE40)/2))/(DATOS!$B$14+2*((AD40+AE40)/2)))^(4/3)))*(A39-A40)))&lt;0,((AD40+AE40)/2),AD40)</f>
        <v/>
      </c>
      <c r="AG40" s="16">
        <f>IF((((AD40+AE40)/2)+(C40/(DATOS!$B$14*((AD40+AE40)/2)))^2/(2*9.81)+B40-(E39+(C39/(DATOS!$B$14*E39))^2/(2*9.81)+B39+0.5*(((DATOS!$B$27*C39/(DATOS!$B$14*E39))^2/((DATOS!$B$14*E39)/(DATOS!$B$14+2*E39))^(4/3))+((DATOS!$B$27*C40/(DATOS!$B$14*((AD40+AE40)/2)))^2/((DATOS!$B$14*((AD40+AE40)/2))/(DATOS!$B$14+2*((AD40+AE40)/2)))^(4/3)))*(A39-A40)))&lt;0,AE40,((AD40+AE40)/2))</f>
        <v/>
      </c>
      <c r="AH40" s="16">
        <f>IF((((AF40+AG40)/2)+(C40/(DATOS!$B$14*((AF40+AG40)/2)))^2/(2*9.81)+B40-(E39+(C39/(DATOS!$B$14*E39))^2/(2*9.81)+B39+0.5*(((DATOS!$B$27*C39/(DATOS!$B$14*E39))^2/((DATOS!$B$14*E39)/(DATOS!$B$14+2*E39))^(4/3))+((DATOS!$B$27*C40/(DATOS!$B$14*((AF40+AG40)/2)))^2/((DATOS!$B$14*((AF40+AG40)/2))/(DATOS!$B$14+2*((AF40+AG40)/2)))^(4/3)))*(A39-A40)))&lt;0,((AF40+AG40)/2),AF40)</f>
        <v/>
      </c>
      <c r="AI40" s="16">
        <f>IF((((AF40+AG40)/2)+(C40/(DATOS!$B$14*((AF40+AG40)/2)))^2/(2*9.81)+B40-(E39+(C39/(DATOS!$B$14*E39))^2/(2*9.81)+B39+0.5*(((DATOS!$B$27*C39/(DATOS!$B$14*E39))^2/((DATOS!$B$14*E39)/(DATOS!$B$14+2*E39))^(4/3))+((DATOS!$B$27*C40/(DATOS!$B$14*((AF40+AG40)/2)))^2/((DATOS!$B$14*((AF40+AG40)/2))/(DATOS!$B$14+2*((AF40+AG40)/2)))^(4/3)))*(A39-A40)))&lt;0,AG40,((AF40+AG40)/2))</f>
        <v/>
      </c>
      <c r="AJ40" s="16">
        <f>IF((((AH40+AI40)/2)+(C40/(DATOS!$B$14*((AH40+AI40)/2)))^2/(2*9.81)+B40-(E39+(C39/(DATOS!$B$14*E39))^2/(2*9.81)+B39+0.5*(((DATOS!$B$27*C39/(DATOS!$B$14*E39))^2/((DATOS!$B$14*E39)/(DATOS!$B$14+2*E39))^(4/3))+((DATOS!$B$27*C40/(DATOS!$B$14*((AH40+AI40)/2)))^2/((DATOS!$B$14*((AH40+AI40)/2))/(DATOS!$B$14+2*((AH40+AI40)/2)))^(4/3)))*(A39-A40)))&lt;0,((AH40+AI40)/2),AH40)</f>
        <v/>
      </c>
      <c r="AK40" s="16">
        <f>IF((((AH40+AI40)/2)+(C40/(DATOS!$B$14*((AH40+AI40)/2)))^2/(2*9.81)+B40-(E39+(C39/(DATOS!$B$14*E39))^2/(2*9.81)+B39+0.5*(((DATOS!$B$27*C39/(DATOS!$B$14*E39))^2/((DATOS!$B$14*E39)/(DATOS!$B$14+2*E39))^(4/3))+((DATOS!$B$27*C40/(DATOS!$B$14*((AH40+AI40)/2)))^2/((DATOS!$B$14*((AH40+AI40)/2))/(DATOS!$B$14+2*((AH40+AI40)/2)))^(4/3)))*(A39-A40)))&lt;0,AI40,((AH40+AI40)/2))</f>
        <v/>
      </c>
      <c r="AL40" s="16">
        <f>IF((((AJ40+AK40)/2)+(C40/(DATOS!$B$14*((AJ40+AK40)/2)))^2/(2*9.81)+B40-(E39+(C39/(DATOS!$B$14*E39))^2/(2*9.81)+B39+0.5*(((DATOS!$B$27*C39/(DATOS!$B$14*E39))^2/((DATOS!$B$14*E39)/(DATOS!$B$14+2*E39))^(4/3))+((DATOS!$B$27*C40/(DATOS!$B$14*((AJ40+AK40)/2)))^2/((DATOS!$B$14*((AJ40+AK40)/2))/(DATOS!$B$14+2*((AJ40+AK40)/2)))^(4/3)))*(A39-A40)))&lt;0,((AJ40+AK40)/2),AJ40)</f>
        <v/>
      </c>
      <c r="AM40" s="16">
        <f>IF((((AJ40+AK40)/2)+(C40/(DATOS!$B$14*((AJ40+AK40)/2)))^2/(2*9.81)+B40-(E39+(C39/(DATOS!$B$14*E39))^2/(2*9.81)+B39+0.5*(((DATOS!$B$27*C39/(DATOS!$B$14*E39))^2/((DATOS!$B$14*E39)/(DATOS!$B$14+2*E39))^(4/3))+((DATOS!$B$27*C40/(DATOS!$B$14*((AJ40+AK40)/2)))^2/((DATOS!$B$14*((AJ40+AK40)/2))/(DATOS!$B$14+2*((AJ40+AK40)/2)))^(4/3)))*(A39-A40)))&lt;0,AK40,((AJ40+AK40)/2))</f>
        <v/>
      </c>
      <c r="AN40" s="16">
        <f>IF((((AL40+AM40)/2)+(C40/(DATOS!$B$14*((AL40+AM40)/2)))^2/(2*9.81)+B40-(E39+(C39/(DATOS!$B$14*E39))^2/(2*9.81)+B39+0.5*(((DATOS!$B$27*C39/(DATOS!$B$14*E39))^2/((DATOS!$B$14*E39)/(DATOS!$B$14+2*E39))^(4/3))+((DATOS!$B$27*C40/(DATOS!$B$14*((AL40+AM40)/2)))^2/((DATOS!$B$14*((AL40+AM40)/2))/(DATOS!$B$14+2*((AL40+AM40)/2)))^(4/3)))*(A39-A40)))&lt;0,((AL40+AM40)/2),AL40)</f>
        <v/>
      </c>
      <c r="AO40" s="16">
        <f>IF((((AL40+AM40)/2)+(C40/(DATOS!$B$14*((AL40+AM40)/2)))^2/(2*9.81)+B40-(E39+(C39/(DATOS!$B$14*E39))^2/(2*9.81)+B39+0.5*(((DATOS!$B$27*C39/(DATOS!$B$14*E39))^2/((DATOS!$B$14*E39)/(DATOS!$B$14+2*E39))^(4/3))+((DATOS!$B$27*C40/(DATOS!$B$14*((AL40+AM40)/2)))^2/((DATOS!$B$14*((AL40+AM40)/2))/(DATOS!$B$14+2*((AL40+AM40)/2)))^(4/3)))*(A39-A40)))&lt;0,AM40,((AL40+AM40)/2))</f>
        <v/>
      </c>
      <c r="AP40" s="16">
        <f>IF((((AN40+AO40)/2)+(C40/(DATOS!$B$14*((AN40+AO40)/2)))^2/(2*9.81)+B40-(E39+(C39/(DATOS!$B$14*E39))^2/(2*9.81)+B39+0.5*(((DATOS!$B$27*C39/(DATOS!$B$14*E39))^2/((DATOS!$B$14*E39)/(DATOS!$B$14+2*E39))^(4/3))+((DATOS!$B$27*C40/(DATOS!$B$14*((AN40+AO40)/2)))^2/((DATOS!$B$14*((AN40+AO40)/2))/(DATOS!$B$14+2*((AN40+AO40)/2)))^(4/3)))*(A39-A40)))&lt;0,((AN40+AO40)/2),AN40)</f>
        <v/>
      </c>
      <c r="AQ40" s="16">
        <f>IF((((AN40+AO40)/2)+(C40/(DATOS!$B$14*((AN40+AO40)/2)))^2/(2*9.81)+B40-(E39+(C39/(DATOS!$B$14*E39))^2/(2*9.81)+B39+0.5*(((DATOS!$B$27*C39/(DATOS!$B$14*E39))^2/((DATOS!$B$14*E39)/(DATOS!$B$14+2*E39))^(4/3))+((DATOS!$B$27*C40/(DATOS!$B$14*((AN40+AO40)/2)))^2/((DATOS!$B$14*((AN40+AO40)/2))/(DATOS!$B$14+2*((AN40+AO40)/2)))^(4/3)))*(A39-A40)))&lt;0,AO40,((AN40+AO40)/2))</f>
        <v/>
      </c>
      <c r="AR40" s="16">
        <f>IF((((AP40+AQ40)/2)+(C40/(DATOS!$B$14*((AP40+AQ40)/2)))^2/(2*9.81)+B40-(E39+(C39/(DATOS!$B$14*E39))^2/(2*9.81)+B39+0.5*(((DATOS!$B$27*C39/(DATOS!$B$14*E39))^2/((DATOS!$B$14*E39)/(DATOS!$B$14+2*E39))^(4/3))+((DATOS!$B$27*C40/(DATOS!$B$14*((AP40+AQ40)/2)))^2/((DATOS!$B$14*((AP40+AQ40)/2))/(DATOS!$B$14+2*((AP40+AQ40)/2)))^(4/3)))*(A39-A40)))&lt;0,((AP40+AQ40)/2),AP40)</f>
        <v/>
      </c>
      <c r="AS40" s="16">
        <f>IF((((AP40+AQ40)/2)+(C40/(DATOS!$B$14*((AP40+AQ40)/2)))^2/(2*9.81)+B40-(E39+(C39/(DATOS!$B$14*E39))^2/(2*9.81)+B39+0.5*(((DATOS!$B$27*C39/(DATOS!$B$14*E39))^2/((DATOS!$B$14*E39)/(DATOS!$B$14+2*E39))^(4/3))+((DATOS!$B$27*C40/(DATOS!$B$14*((AP40+AQ40)/2)))^2/((DATOS!$B$14*((AP40+AQ40)/2))/(DATOS!$B$14+2*((AP40+AQ40)/2)))^(4/3)))*(A39-A40)))&lt;0,AQ40,((AP40+AQ40)/2))</f>
        <v/>
      </c>
      <c r="AT40" s="16">
        <f>IF((((AR40+AS40)/2)+(C40/(DATOS!$B$14*((AR40+AS40)/2)))^2/(2*9.81)+B40-(E39+(C39/(DATOS!$B$14*E39))^2/(2*9.81)+B39+0.5*(((DATOS!$B$27*C39/(DATOS!$B$14*E39))^2/((DATOS!$B$14*E39)/(DATOS!$B$14+2*E39))^(4/3))+((DATOS!$B$27*C40/(DATOS!$B$14*((AR40+AS40)/2)))^2/((DATOS!$B$14*((AR40+AS40)/2))/(DATOS!$B$14+2*((AR40+AS40)/2)))^(4/3)))*(A39-A40)))&lt;0,((AR40+AS40)/2),AR40)</f>
        <v/>
      </c>
      <c r="AU40" s="16">
        <f>IF((((AR40+AS40)/2)+(C40/(DATOS!$B$14*((AR40+AS40)/2)))^2/(2*9.81)+B40-(E39+(C39/(DATOS!$B$14*E39))^2/(2*9.81)+B39+0.5*(((DATOS!$B$27*C39/(DATOS!$B$14*E39))^2/((DATOS!$B$14*E39)/(DATOS!$B$14+2*E39))^(4/3))+((DATOS!$B$27*C40/(DATOS!$B$14*((AR40+AS40)/2)))^2/((DATOS!$B$14*((AR40+AS40)/2))/(DATOS!$B$14+2*((AR40+AS40)/2)))^(4/3)))*(A39-A40)))&lt;0,AS40,((AR40+AS40)/2))</f>
        <v/>
      </c>
      <c r="AV40" s="16">
        <f>IF((((AT40+AU40)/2)+(C40/(DATOS!$B$14*((AT40+AU40)/2)))^2/(2*9.81)+B40-(E39+(C39/(DATOS!$B$14*E39))^2/(2*9.81)+B39+0.5*(((DATOS!$B$27*C39/(DATOS!$B$14*E39))^2/((DATOS!$B$14*E39)/(DATOS!$B$14+2*E39))^(4/3))+((DATOS!$B$27*C40/(DATOS!$B$14*((AT40+AU40)/2)))^2/((DATOS!$B$14*((AT40+AU40)/2))/(DATOS!$B$14+2*((AT40+AU40)/2)))^(4/3)))*(A39-A40)))&lt;0,((AT40+AU40)/2),AT40)</f>
        <v/>
      </c>
      <c r="AW40" s="16">
        <f>IF((((AT40+AU40)/2)+(C40/(DATOS!$B$14*((AT40+AU40)/2)))^2/(2*9.81)+B40-(E39+(C39/(DATOS!$B$14*E39))^2/(2*9.81)+B39+0.5*(((DATOS!$B$27*C39/(DATOS!$B$14*E39))^2/((DATOS!$B$14*E39)/(DATOS!$B$14+2*E39))^(4/3))+((DATOS!$B$27*C40/(DATOS!$B$14*((AT40+AU40)/2)))^2/((DATOS!$B$14*((AT40+AU40)/2))/(DATOS!$B$14+2*((AT40+AU40)/2)))^(4/3)))*(A39-A40)))&lt;0,AU40,((AT40+AU40)/2))</f>
        <v/>
      </c>
      <c r="AX40" s="16">
        <f>IF((((AV40+AW40)/2)+(C40/(DATOS!$B$14*((AV40+AW40)/2)))^2/(2*9.81)+B40-(E39+(C39/(DATOS!$B$14*E39))^2/(2*9.81)+B39+0.5*(((DATOS!$B$27*C39/(DATOS!$B$14*E39))^2/((DATOS!$B$14*E39)/(DATOS!$B$14+2*E39))^(4/3))+((DATOS!$B$27*C40/(DATOS!$B$14*((AV40+AW40)/2)))^2/((DATOS!$B$14*((AV40+AW40)/2))/(DATOS!$B$14+2*((AV40+AW40)/2)))^(4/3)))*(A39-A40)))&lt;0,((AV40+AW40)/2),AV40)</f>
        <v/>
      </c>
      <c r="AY40" s="16">
        <f>IF((((AV40+AW40)/2)+(C40/(DATOS!$B$14*((AV40+AW40)/2)))^2/(2*9.81)+B40-(E39+(C39/(DATOS!$B$14*E39))^2/(2*9.81)+B39+0.5*(((DATOS!$B$27*C39/(DATOS!$B$14*E39))^2/((DATOS!$B$14*E39)/(DATOS!$B$14+2*E39))^(4/3))+((DATOS!$B$27*C40/(DATOS!$B$14*((AV40+AW40)/2)))^2/((DATOS!$B$14*((AV40+AW40)/2))/(DATOS!$B$14+2*((AV40+AW40)/2)))^(4/3)))*(A39-A40)))&lt;0,AW40,((AV40+AW40)/2))</f>
        <v/>
      </c>
      <c r="AZ40" s="16">
        <f>IF((((AX40+AY40)/2)+(C40/(DATOS!$B$14*((AX40+AY40)/2)))^2/(2*9.81)+B40-(E39+(C39/(DATOS!$B$14*E39))^2/(2*9.81)+B39+0.5*(((DATOS!$B$27*C39/(DATOS!$B$14*E39))^2/((DATOS!$B$14*E39)/(DATOS!$B$14+2*E39))^(4/3))+((DATOS!$B$27*C40/(DATOS!$B$14*((AX40+AY40)/2)))^2/((DATOS!$B$14*((AX40+AY40)/2))/(DATOS!$B$14+2*((AX40+AY40)/2)))^(4/3)))*(A39-A40)))&lt;0,((AX40+AY40)/2),AX40)</f>
        <v/>
      </c>
      <c r="BA40" s="16">
        <f>IF((((AX40+AY40)/2)+(C40/(DATOS!$B$14*((AX40+AY40)/2)))^2/(2*9.81)+B40-(E39+(C39/(DATOS!$B$14*E39))^2/(2*9.81)+B39+0.5*(((DATOS!$B$27*C39/(DATOS!$B$14*E39))^2/((DATOS!$B$14*E39)/(DATOS!$B$14+2*E39))^(4/3))+((DATOS!$B$27*C40/(DATOS!$B$14*((AX40+AY40)/2)))^2/((DATOS!$B$14*((AX40+AY40)/2))/(DATOS!$B$14+2*((AX40+AY40)/2)))^(4/3)))*(A39-A40)))&lt;0,AY40,((AX40+AY40)/2))</f>
        <v/>
      </c>
      <c r="BB40" s="16">
        <f>IF((((AZ40+BA40)/2)+(C40/(DATOS!$B$14*((AZ40+BA40)/2)))^2/(2*9.81)+B40-(E39+(C39/(DATOS!$B$14*E39))^2/(2*9.81)+B39+0.5*(((DATOS!$B$27*C39/(DATOS!$B$14*E39))^2/((DATOS!$B$14*E39)/(DATOS!$B$14+2*E39))^(4/3))+((DATOS!$B$27*C40/(DATOS!$B$14*((AZ40+BA40)/2)))^2/((DATOS!$B$14*((AZ40+BA40)/2))/(DATOS!$B$14+2*((AZ40+BA40)/2)))^(4/3)))*(A39-A40)))&lt;0,((AZ40+BA40)/2),AZ40)</f>
        <v/>
      </c>
      <c r="BC40" s="16">
        <f>IF((((AZ40+BA40)/2)+(C40/(DATOS!$B$14*((AZ40+BA40)/2)))^2/(2*9.81)+B40-(E39+(C39/(DATOS!$B$14*E39))^2/(2*9.81)+B39+0.5*(((DATOS!$B$27*C39/(DATOS!$B$14*E39))^2/((DATOS!$B$14*E39)/(DATOS!$B$14+2*E39))^(4/3))+((DATOS!$B$27*C40/(DATOS!$B$14*((AZ40+BA40)/2)))^2/((DATOS!$B$14*((AZ40+BA40)/2))/(DATOS!$B$14+2*((AZ40+BA40)/2)))^(4/3)))*(A39-A40)))&lt;0,BA40,((AZ40+BA40)/2))</f>
        <v/>
      </c>
      <c r="BD40" s="16">
        <f>IF((((BB40+BC40)/2)+(C40/(DATOS!$B$14*((BB40+BC40)/2)))^2/(2*9.81)+B40-(E39+(C39/(DATOS!$B$14*E39))^2/(2*9.81)+B39+0.5*(((DATOS!$B$27*C39/(DATOS!$B$14*E39))^2/((DATOS!$B$14*E39)/(DATOS!$B$14+2*E39))^(4/3))+((DATOS!$B$27*C40/(DATOS!$B$14*((BB40+BC40)/2)))^2/((DATOS!$B$14*((BB40+BC40)/2))/(DATOS!$B$14+2*((BB40+BC40)/2)))^(4/3)))*(A39-A40)))&lt;0,((BB40+BC40)/2),BB40)</f>
        <v/>
      </c>
      <c r="BE40" s="16">
        <f>IF((((BB40+BC40)/2)+(C40/(DATOS!$B$14*((BB40+BC40)/2)))^2/(2*9.81)+B40-(E39+(C39/(DATOS!$B$14*E39))^2/(2*9.81)+B39+0.5*(((DATOS!$B$27*C39/(DATOS!$B$14*E39))^2/((DATOS!$B$14*E39)/(DATOS!$B$14+2*E39))^(4/3))+((DATOS!$B$27*C40/(DATOS!$B$14*((BB40+BC40)/2)))^2/((DATOS!$B$14*((BB40+BC40)/2))/(DATOS!$B$14+2*((BB40+BC40)/2)))^(4/3)))*(A39-A40)))&lt;0,BC40,((BB40+BC40)/2))</f>
        <v/>
      </c>
      <c r="BF40" s="16">
        <f>IF((((BD40+BE40)/2)+(C40/(DATOS!$B$14*((BD40+BE40)/2)))^2/(2*9.81)+B40-(E39+(C39/(DATOS!$B$14*E39))^2/(2*9.81)+B39+0.5*(((DATOS!$B$27*C39/(DATOS!$B$14*E39))^2/((DATOS!$B$14*E39)/(DATOS!$B$14+2*E39))^(4/3))+((DATOS!$B$27*C40/(DATOS!$B$14*((BD40+BE40)/2)))^2/((DATOS!$B$14*((BD40+BE40)/2))/(DATOS!$B$14+2*((BD40+BE40)/2)))^(4/3)))*(A39-A40)))&lt;0,((BD40+BE40)/2),BD40)</f>
        <v/>
      </c>
      <c r="BG40" s="16">
        <f>IF((((BD40+BE40)/2)+(C40/(DATOS!$B$14*((BD40+BE40)/2)))^2/(2*9.81)+B40-(E39+(C39/(DATOS!$B$14*E39))^2/(2*9.81)+B39+0.5*(((DATOS!$B$27*C39/(DATOS!$B$14*E39))^2/((DATOS!$B$14*E39)/(DATOS!$B$14+2*E39))^(4/3))+((DATOS!$B$27*C40/(DATOS!$B$14*((BD40+BE40)/2)))^2/((DATOS!$B$14*((BD40+BE40)/2))/(DATOS!$B$14+2*((BD40+BE40)/2)))^(4/3)))*(A39-A40)))&lt;0,BE40,((BD40+BE40)/2))</f>
        <v/>
      </c>
      <c r="BH40" s="16">
        <f>IF((((BF40+BG40)/2)+(C40/(DATOS!$B$14*((BF40+BG40)/2)))^2/(2*9.81)+B40-(E39+(C39/(DATOS!$B$14*E39))^2/(2*9.81)+B39+0.5*(((DATOS!$B$27*C39/(DATOS!$B$14*E39))^2/((DATOS!$B$14*E39)/(DATOS!$B$14+2*E39))^(4/3))+((DATOS!$B$27*C40/(DATOS!$B$14*((BF40+BG40)/2)))^2/((DATOS!$B$14*((BF40+BG40)/2))/(DATOS!$B$14+2*((BF40+BG40)/2)))^(4/3)))*(A39-A40)))&lt;0,((BF40+BG40)/2),BF40)</f>
        <v/>
      </c>
      <c r="BI40" s="16">
        <f>IF((((BF40+BG40)/2)+(C40/(DATOS!$B$14*((BF40+BG40)/2)))^2/(2*9.81)+B40-(E39+(C39/(DATOS!$B$14*E39))^2/(2*9.81)+B39+0.5*(((DATOS!$B$27*C39/(DATOS!$B$14*E39))^2/((DATOS!$B$14*E39)/(DATOS!$B$14+2*E39))^(4/3))+((DATOS!$B$27*C40/(DATOS!$B$14*((BF40+BG40)/2)))^2/((DATOS!$B$14*((BF40+BG40)/2))/(DATOS!$B$14+2*((BF40+BG40)/2)))^(4/3)))*(A39-A40)))&lt;0,BG40,((BF40+BG40)/2))</f>
        <v/>
      </c>
      <c r="BJ40" s="16">
        <f>IF((((BH40+BI40)/2)+(C40/(DATOS!$B$14*((BH40+BI40)/2)))^2/(2*9.81)+B40-(E39+(C39/(DATOS!$B$14*E39))^2/(2*9.81)+B39+0.5*(((DATOS!$B$27*C39/(DATOS!$B$14*E39))^2/((DATOS!$B$14*E39)/(DATOS!$B$14+2*E39))^(4/3))+((DATOS!$B$27*C40/(DATOS!$B$14*((BH40+BI40)/2)))^2/((DATOS!$B$14*((BH40+BI40)/2))/(DATOS!$B$14+2*((BH40+BI40)/2)))^(4/3)))*(A39-A40)))&lt;0,((BH40+BI40)/2),BH40)</f>
        <v/>
      </c>
      <c r="BK40" s="16">
        <f>IF((((BH40+BI40)/2)+(C40/(DATOS!$B$14*((BH40+BI40)/2)))^2/(2*9.81)+B40-(E39+(C39/(DATOS!$B$14*E39))^2/(2*9.81)+B39+0.5*(((DATOS!$B$27*C39/(DATOS!$B$14*E39))^2/((DATOS!$B$14*E39)/(DATOS!$B$14+2*E39))^(4/3))+((DATOS!$B$27*C40/(DATOS!$B$14*((BH40+BI40)/2)))^2/((DATOS!$B$14*((BH40+BI40)/2))/(DATOS!$B$14+2*((BH40+BI40)/2)))^(4/3)))*(A39-A40)))&lt;0,BI40,((BH40+BI40)/2))</f>
        <v/>
      </c>
      <c r="BL40" s="16">
        <f>IF((((BJ40+BK40)/2)+(C40/(DATOS!$B$14*((BJ40+BK40)/2)))^2/(2*9.81)+B40-(E39+(C39/(DATOS!$B$14*E39))^2/(2*9.81)+B39+0.5*(((DATOS!$B$27*C39/(DATOS!$B$14*E39))^2/((DATOS!$B$14*E39)/(DATOS!$B$14+2*E39))^(4/3))+((DATOS!$B$27*C40/(DATOS!$B$14*((BJ40+BK40)/2)))^2/((DATOS!$B$14*((BJ40+BK40)/2))/(DATOS!$B$14+2*((BJ40+BK40)/2)))^(4/3)))*(A39-A40)))&lt;0,((BJ40+BK40)/2),BJ40)</f>
        <v/>
      </c>
      <c r="BM40" s="16">
        <f>IF((((BJ40+BK40)/2)+(C40/(DATOS!$B$14*((BJ40+BK40)/2)))^2/(2*9.81)+B40-(E39+(C39/(DATOS!$B$14*E39))^2/(2*9.81)+B39+0.5*(((DATOS!$B$27*C39/(DATOS!$B$14*E39))^2/((DATOS!$B$14*E39)/(DATOS!$B$14+2*E39))^(4/3))+((DATOS!$B$27*C40/(DATOS!$B$14*((BJ40+BK40)/2)))^2/((DATOS!$B$14*((BJ40+BK40)/2))/(DATOS!$B$14+2*((BJ40+BK40)/2)))^(4/3)))*(A39-A40)))&lt;0,BK40,((BJ40+BK40)/2))</f>
        <v/>
      </c>
      <c r="BN40" s="16">
        <f>IF((((BL40+BM40)/2)+(C40/(DATOS!$B$14*((BL40+BM40)/2)))^2/(2*9.81)+B40-(E39+(C39/(DATOS!$B$14*E39))^2/(2*9.81)+B39+0.5*(((DATOS!$B$27*C39/(DATOS!$B$14*E39))^2/((DATOS!$B$14*E39)/(DATOS!$B$14+2*E39))^(4/3))+((DATOS!$B$27*C40/(DATOS!$B$14*((BL40+BM40)/2)))^2/((DATOS!$B$14*((BL40+BM40)/2))/(DATOS!$B$14+2*((BL40+BM40)/2)))^(4/3)))*(A39-A40)))&lt;0,((BL40+BM40)/2),BL40)</f>
        <v/>
      </c>
      <c r="BO40" s="16">
        <f>IF((((BL40+BM40)/2)+(C40/(DATOS!$B$14*((BL40+BM40)/2)))^2/(2*9.81)+B40-(E39+(C39/(DATOS!$B$14*E39))^2/(2*9.81)+B39+0.5*(((DATOS!$B$27*C39/(DATOS!$B$14*E39))^2/((DATOS!$B$14*E39)/(DATOS!$B$14+2*E39))^(4/3))+((DATOS!$B$27*C40/(DATOS!$B$14*((BL40+BM40)/2)))^2/((DATOS!$B$14*((BL40+BM40)/2))/(DATOS!$B$14+2*((BL40+BM40)/2)))^(4/3)))*(A39-A40)))&lt;0,BM40,((BL40+BM40)/2))</f>
        <v/>
      </c>
      <c r="BP40" s="16">
        <f>IF((((BN40+BO40)/2)+(C40/(DATOS!$B$14*((BN40+BO40)/2)))^2/(2*9.81)+B40-(E39+(C39/(DATOS!$B$14*E39))^2/(2*9.81)+B39+0.5*(((DATOS!$B$27*C39/(DATOS!$B$14*E39))^2/((DATOS!$B$14*E39)/(DATOS!$B$14+2*E39))^(4/3))+((DATOS!$B$27*C40/(DATOS!$B$14*((BN40+BO40)/2)))^2/((DATOS!$B$14*((BN40+BO40)/2))/(DATOS!$B$14+2*((BN40+BO40)/2)))^(4/3)))*(A39-A40)))&lt;0,((BN40+BO40)/2),BN40)</f>
        <v/>
      </c>
      <c r="BQ40" s="16">
        <f>IF((((BN40+BO40)/2)+(C40/(DATOS!$B$14*((BN40+BO40)/2)))^2/(2*9.81)+B40-(E39+(C39/(DATOS!$B$14*E39))^2/(2*9.81)+B39+0.5*(((DATOS!$B$27*C39/(DATOS!$B$14*E39))^2/((DATOS!$B$14*E39)/(DATOS!$B$14+2*E39))^(4/3))+((DATOS!$B$27*C40/(DATOS!$B$14*((BN40+BO40)/2)))^2/((DATOS!$B$14*((BN40+BO40)/2))/(DATOS!$B$14+2*((BN40+BO40)/2)))^(4/3)))*(A39-A40)))&lt;0,BO40,((BN40+BO40)/2))</f>
        <v/>
      </c>
      <c r="BR40" s="16">
        <f>IF((((BP40+BQ40)/2)+(C40/(DATOS!$B$14*((BP40+BQ40)/2)))^2/(2*9.81)+B40-(E39+(C39/(DATOS!$B$14*E39))^2/(2*9.81)+B39+0.5*(((DATOS!$B$27*C39/(DATOS!$B$14*E39))^2/((DATOS!$B$14*E39)/(DATOS!$B$14+2*E39))^(4/3))+((DATOS!$B$27*C40/(DATOS!$B$14*((BP40+BQ40)/2)))^2/((DATOS!$B$14*((BP40+BQ40)/2))/(DATOS!$B$14+2*((BP40+BQ40)/2)))^(4/3)))*(A39-A40)))&lt;0,((BP40+BQ40)/2),BP40)</f>
        <v/>
      </c>
      <c r="BS40" s="16">
        <f>IF((((BP40+BQ40)/2)+(C40/(DATOS!$B$14*((BP40+BQ40)/2)))^2/(2*9.81)+B40-(E39+(C39/(DATOS!$B$14*E39))^2/(2*9.81)+B39+0.5*(((DATOS!$B$27*C39/(DATOS!$B$14*E39))^2/((DATOS!$B$14*E39)/(DATOS!$B$14+2*E39))^(4/3))+((DATOS!$B$27*C40/(DATOS!$B$14*((BP40+BQ40)/2)))^2/((DATOS!$B$14*((BP40+BQ40)/2))/(DATOS!$B$14+2*((BP40+BQ40)/2)))^(4/3)))*(A39-A40)))&lt;0,BQ40,((BP40+BQ40)/2))</f>
        <v/>
      </c>
      <c r="BT40" s="16">
        <f>IF((((BR40+BS40)/2)+(C40/(DATOS!$B$14*((BR40+BS40)/2)))^2/(2*9.81)+B40-(E39+(C39/(DATOS!$B$14*E39))^2/(2*9.81)+B39+0.5*(((DATOS!$B$27*C39/(DATOS!$B$14*E39))^2/((DATOS!$B$14*E39)/(DATOS!$B$14+2*E39))^(4/3))+((DATOS!$B$27*C40/(DATOS!$B$14*((BR40+BS40)/2)))^2/((DATOS!$B$14*((BR40+BS40)/2))/(DATOS!$B$14+2*((BR40+BS40)/2)))^(4/3)))*(A39-A40)))&lt;0,((BR40+BS40)/2),BR40)</f>
        <v/>
      </c>
      <c r="BU40" s="16">
        <f>IF((((BR40+BS40)/2)+(C40/(DATOS!$B$14*((BR40+BS40)/2)))^2/(2*9.81)+B40-(E39+(C39/(DATOS!$B$14*E39))^2/(2*9.81)+B39+0.5*(((DATOS!$B$27*C39/(DATOS!$B$14*E39))^2/((DATOS!$B$14*E39)/(DATOS!$B$14+2*E39))^(4/3))+((DATOS!$B$27*C40/(DATOS!$B$14*((BR40+BS40)/2)))^2/((DATOS!$B$14*((BR40+BS40)/2))/(DATOS!$B$14+2*((BR40+BS40)/2)))^(4/3)))*(A39-A40)))&lt;0,BS40,((BR40+BS40)/2))</f>
        <v/>
      </c>
    </row>
    <row r="41">
      <c r="A41" s="30" t="n">
        <v>70</v>
      </c>
      <c r="B41" s="21">
        <f>DATOS!$B$16-DATOS!$B$19*A41</f>
        <v/>
      </c>
      <c r="C41" s="21">
        <f>IF(A41&lt;CAUDALES!$B$13,CAUDALES!$D$12,IF(A41&lt;CAUDALES!$B$14,CAUDALES!$D$13,IF(A41&lt;CAUDALES!$B$15,CAUDALES!$D$14,CAUDALES!$D$15)))/1000</f>
        <v/>
      </c>
      <c r="D41" s="21">
        <f>(C41^2/(9.81*DATOS!$B$14^2))^(1/3)</f>
        <v/>
      </c>
      <c r="E41" s="29">
        <f>(BT41+BU41)/2</f>
        <v/>
      </c>
      <c r="F41" s="21">
        <f>B41+E41</f>
        <v/>
      </c>
      <c r="G41" s="17">
        <f>C41/(DATOS!$B$14*E41)</f>
        <v/>
      </c>
      <c r="H41" s="17">
        <f>G41/SQRT(9.81*E41)</f>
        <v/>
      </c>
      <c r="I41" s="21">
        <f>IF(A41&lt;=DATOS!$B$20,DATOS!$B$21-IF(AND(A41&gt;=DATOS!$B$23,A41&lt;DATOS!$B$24),DATOS!$B$25,DATOS!$B$22),B41+DATOS!$B$26)</f>
        <v/>
      </c>
      <c r="J41" s="17">
        <f>I41-B41</f>
        <v/>
      </c>
      <c r="K41" s="31">
        <f>E41/J41</f>
        <v/>
      </c>
      <c r="L41" s="21">
        <f>I41-F41</f>
        <v/>
      </c>
      <c r="M41" s="32">
        <f>IF(AND(K41&lt;=DATOS!$B$29,L41&gt;=DATOS!$B$30),"CUMPLE","NO CUMPLE")</f>
        <v/>
      </c>
      <c r="N41" s="13">
        <f>IF(A41&gt;DATOS!$B$20,"cubierto - tramo final",IF(AND(A41&gt;=DATOS!$B$23,A41&lt;DATOS!$B$24),"cubierto - camiones","cubierto"))</f>
        <v/>
      </c>
      <c r="P41" s="16">
        <f>D41*1.001</f>
        <v/>
      </c>
      <c r="Q41" s="16" t="n">
        <v>2</v>
      </c>
      <c r="R41" s="16">
        <f>IF((((P41+Q41)/2)+(C41/(DATOS!$B$14*((P41+Q41)/2)))^2/(2*9.81)+B41-(E40+(C40/(DATOS!$B$14*E40))^2/(2*9.81)+B40+0.5*(((DATOS!$B$27*C40/(DATOS!$B$14*E40))^2/((DATOS!$B$14*E40)/(DATOS!$B$14+2*E40))^(4/3))+((DATOS!$B$27*C41/(DATOS!$B$14*((P41+Q41)/2)))^2/((DATOS!$B$14*((P41+Q41)/2))/(DATOS!$B$14+2*((P41+Q41)/2)))^(4/3)))*(A40-A41)))&lt;0,((P41+Q41)/2),P41)</f>
        <v/>
      </c>
      <c r="S41" s="16">
        <f>IF((((P41+Q41)/2)+(C41/(DATOS!$B$14*((P41+Q41)/2)))^2/(2*9.81)+B41-(E40+(C40/(DATOS!$B$14*E40))^2/(2*9.81)+B40+0.5*(((DATOS!$B$27*C40/(DATOS!$B$14*E40))^2/((DATOS!$B$14*E40)/(DATOS!$B$14+2*E40))^(4/3))+((DATOS!$B$27*C41/(DATOS!$B$14*((P41+Q41)/2)))^2/((DATOS!$B$14*((P41+Q41)/2))/(DATOS!$B$14+2*((P41+Q41)/2)))^(4/3)))*(A40-A41)))&lt;0,Q41,((P41+Q41)/2))</f>
        <v/>
      </c>
      <c r="T41" s="16">
        <f>IF((((R41+S41)/2)+(C41/(DATOS!$B$14*((R41+S41)/2)))^2/(2*9.81)+B41-(E40+(C40/(DATOS!$B$14*E40))^2/(2*9.81)+B40+0.5*(((DATOS!$B$27*C40/(DATOS!$B$14*E40))^2/((DATOS!$B$14*E40)/(DATOS!$B$14+2*E40))^(4/3))+((DATOS!$B$27*C41/(DATOS!$B$14*((R41+S41)/2)))^2/((DATOS!$B$14*((R41+S41)/2))/(DATOS!$B$14+2*((R41+S41)/2)))^(4/3)))*(A40-A41)))&lt;0,((R41+S41)/2),R41)</f>
        <v/>
      </c>
      <c r="U41" s="16">
        <f>IF((((R41+S41)/2)+(C41/(DATOS!$B$14*((R41+S41)/2)))^2/(2*9.81)+B41-(E40+(C40/(DATOS!$B$14*E40))^2/(2*9.81)+B40+0.5*(((DATOS!$B$27*C40/(DATOS!$B$14*E40))^2/((DATOS!$B$14*E40)/(DATOS!$B$14+2*E40))^(4/3))+((DATOS!$B$27*C41/(DATOS!$B$14*((R41+S41)/2)))^2/((DATOS!$B$14*((R41+S41)/2))/(DATOS!$B$14+2*((R41+S41)/2)))^(4/3)))*(A40-A41)))&lt;0,S41,((R41+S41)/2))</f>
        <v/>
      </c>
      <c r="V41" s="16">
        <f>IF((((T41+U41)/2)+(C41/(DATOS!$B$14*((T41+U41)/2)))^2/(2*9.81)+B41-(E40+(C40/(DATOS!$B$14*E40))^2/(2*9.81)+B40+0.5*(((DATOS!$B$27*C40/(DATOS!$B$14*E40))^2/((DATOS!$B$14*E40)/(DATOS!$B$14+2*E40))^(4/3))+((DATOS!$B$27*C41/(DATOS!$B$14*((T41+U41)/2)))^2/((DATOS!$B$14*((T41+U41)/2))/(DATOS!$B$14+2*((T41+U41)/2)))^(4/3)))*(A40-A41)))&lt;0,((T41+U41)/2),T41)</f>
        <v/>
      </c>
      <c r="W41" s="16">
        <f>IF((((T41+U41)/2)+(C41/(DATOS!$B$14*((T41+U41)/2)))^2/(2*9.81)+B41-(E40+(C40/(DATOS!$B$14*E40))^2/(2*9.81)+B40+0.5*(((DATOS!$B$27*C40/(DATOS!$B$14*E40))^2/((DATOS!$B$14*E40)/(DATOS!$B$14+2*E40))^(4/3))+((DATOS!$B$27*C41/(DATOS!$B$14*((T41+U41)/2)))^2/((DATOS!$B$14*((T41+U41)/2))/(DATOS!$B$14+2*((T41+U41)/2)))^(4/3)))*(A40-A41)))&lt;0,U41,((T41+U41)/2))</f>
        <v/>
      </c>
      <c r="X41" s="16">
        <f>IF((((V41+W41)/2)+(C41/(DATOS!$B$14*((V41+W41)/2)))^2/(2*9.81)+B41-(E40+(C40/(DATOS!$B$14*E40))^2/(2*9.81)+B40+0.5*(((DATOS!$B$27*C40/(DATOS!$B$14*E40))^2/((DATOS!$B$14*E40)/(DATOS!$B$14+2*E40))^(4/3))+((DATOS!$B$27*C41/(DATOS!$B$14*((V41+W41)/2)))^2/((DATOS!$B$14*((V41+W41)/2))/(DATOS!$B$14+2*((V41+W41)/2)))^(4/3)))*(A40-A41)))&lt;0,((V41+W41)/2),V41)</f>
        <v/>
      </c>
      <c r="Y41" s="16">
        <f>IF((((V41+W41)/2)+(C41/(DATOS!$B$14*((V41+W41)/2)))^2/(2*9.81)+B41-(E40+(C40/(DATOS!$B$14*E40))^2/(2*9.81)+B40+0.5*(((DATOS!$B$27*C40/(DATOS!$B$14*E40))^2/((DATOS!$B$14*E40)/(DATOS!$B$14+2*E40))^(4/3))+((DATOS!$B$27*C41/(DATOS!$B$14*((V41+W41)/2)))^2/((DATOS!$B$14*((V41+W41)/2))/(DATOS!$B$14+2*((V41+W41)/2)))^(4/3)))*(A40-A41)))&lt;0,W41,((V41+W41)/2))</f>
        <v/>
      </c>
      <c r="Z41" s="16">
        <f>IF((((X41+Y41)/2)+(C41/(DATOS!$B$14*((X41+Y41)/2)))^2/(2*9.81)+B41-(E40+(C40/(DATOS!$B$14*E40))^2/(2*9.81)+B40+0.5*(((DATOS!$B$27*C40/(DATOS!$B$14*E40))^2/((DATOS!$B$14*E40)/(DATOS!$B$14+2*E40))^(4/3))+((DATOS!$B$27*C41/(DATOS!$B$14*((X41+Y41)/2)))^2/((DATOS!$B$14*((X41+Y41)/2))/(DATOS!$B$14+2*((X41+Y41)/2)))^(4/3)))*(A40-A41)))&lt;0,((X41+Y41)/2),X41)</f>
        <v/>
      </c>
      <c r="AA41" s="16">
        <f>IF((((X41+Y41)/2)+(C41/(DATOS!$B$14*((X41+Y41)/2)))^2/(2*9.81)+B41-(E40+(C40/(DATOS!$B$14*E40))^2/(2*9.81)+B40+0.5*(((DATOS!$B$27*C40/(DATOS!$B$14*E40))^2/((DATOS!$B$14*E40)/(DATOS!$B$14+2*E40))^(4/3))+((DATOS!$B$27*C41/(DATOS!$B$14*((X41+Y41)/2)))^2/((DATOS!$B$14*((X41+Y41)/2))/(DATOS!$B$14+2*((X41+Y41)/2)))^(4/3)))*(A40-A41)))&lt;0,Y41,((X41+Y41)/2))</f>
        <v/>
      </c>
      <c r="AB41" s="16">
        <f>IF((((Z41+AA41)/2)+(C41/(DATOS!$B$14*((Z41+AA41)/2)))^2/(2*9.81)+B41-(E40+(C40/(DATOS!$B$14*E40))^2/(2*9.81)+B40+0.5*(((DATOS!$B$27*C40/(DATOS!$B$14*E40))^2/((DATOS!$B$14*E40)/(DATOS!$B$14+2*E40))^(4/3))+((DATOS!$B$27*C41/(DATOS!$B$14*((Z41+AA41)/2)))^2/((DATOS!$B$14*((Z41+AA41)/2))/(DATOS!$B$14+2*((Z41+AA41)/2)))^(4/3)))*(A40-A41)))&lt;0,((Z41+AA41)/2),Z41)</f>
        <v/>
      </c>
      <c r="AC41" s="16">
        <f>IF((((Z41+AA41)/2)+(C41/(DATOS!$B$14*((Z41+AA41)/2)))^2/(2*9.81)+B41-(E40+(C40/(DATOS!$B$14*E40))^2/(2*9.81)+B40+0.5*(((DATOS!$B$27*C40/(DATOS!$B$14*E40))^2/((DATOS!$B$14*E40)/(DATOS!$B$14+2*E40))^(4/3))+((DATOS!$B$27*C41/(DATOS!$B$14*((Z41+AA41)/2)))^2/((DATOS!$B$14*((Z41+AA41)/2))/(DATOS!$B$14+2*((Z41+AA41)/2)))^(4/3)))*(A40-A41)))&lt;0,AA41,((Z41+AA41)/2))</f>
        <v/>
      </c>
      <c r="AD41" s="16">
        <f>IF((((AB41+AC41)/2)+(C41/(DATOS!$B$14*((AB41+AC41)/2)))^2/(2*9.81)+B41-(E40+(C40/(DATOS!$B$14*E40))^2/(2*9.81)+B40+0.5*(((DATOS!$B$27*C40/(DATOS!$B$14*E40))^2/((DATOS!$B$14*E40)/(DATOS!$B$14+2*E40))^(4/3))+((DATOS!$B$27*C41/(DATOS!$B$14*((AB41+AC41)/2)))^2/((DATOS!$B$14*((AB41+AC41)/2))/(DATOS!$B$14+2*((AB41+AC41)/2)))^(4/3)))*(A40-A41)))&lt;0,((AB41+AC41)/2),AB41)</f>
        <v/>
      </c>
      <c r="AE41" s="16">
        <f>IF((((AB41+AC41)/2)+(C41/(DATOS!$B$14*((AB41+AC41)/2)))^2/(2*9.81)+B41-(E40+(C40/(DATOS!$B$14*E40))^2/(2*9.81)+B40+0.5*(((DATOS!$B$27*C40/(DATOS!$B$14*E40))^2/((DATOS!$B$14*E40)/(DATOS!$B$14+2*E40))^(4/3))+((DATOS!$B$27*C41/(DATOS!$B$14*((AB41+AC41)/2)))^2/((DATOS!$B$14*((AB41+AC41)/2))/(DATOS!$B$14+2*((AB41+AC41)/2)))^(4/3)))*(A40-A41)))&lt;0,AC41,((AB41+AC41)/2))</f>
        <v/>
      </c>
      <c r="AF41" s="16">
        <f>IF((((AD41+AE41)/2)+(C41/(DATOS!$B$14*((AD41+AE41)/2)))^2/(2*9.81)+B41-(E40+(C40/(DATOS!$B$14*E40))^2/(2*9.81)+B40+0.5*(((DATOS!$B$27*C40/(DATOS!$B$14*E40))^2/((DATOS!$B$14*E40)/(DATOS!$B$14+2*E40))^(4/3))+((DATOS!$B$27*C41/(DATOS!$B$14*((AD41+AE41)/2)))^2/((DATOS!$B$14*((AD41+AE41)/2))/(DATOS!$B$14+2*((AD41+AE41)/2)))^(4/3)))*(A40-A41)))&lt;0,((AD41+AE41)/2),AD41)</f>
        <v/>
      </c>
      <c r="AG41" s="16">
        <f>IF((((AD41+AE41)/2)+(C41/(DATOS!$B$14*((AD41+AE41)/2)))^2/(2*9.81)+B41-(E40+(C40/(DATOS!$B$14*E40))^2/(2*9.81)+B40+0.5*(((DATOS!$B$27*C40/(DATOS!$B$14*E40))^2/((DATOS!$B$14*E40)/(DATOS!$B$14+2*E40))^(4/3))+((DATOS!$B$27*C41/(DATOS!$B$14*((AD41+AE41)/2)))^2/((DATOS!$B$14*((AD41+AE41)/2))/(DATOS!$B$14+2*((AD41+AE41)/2)))^(4/3)))*(A40-A41)))&lt;0,AE41,((AD41+AE41)/2))</f>
        <v/>
      </c>
      <c r="AH41" s="16">
        <f>IF((((AF41+AG41)/2)+(C41/(DATOS!$B$14*((AF41+AG41)/2)))^2/(2*9.81)+B41-(E40+(C40/(DATOS!$B$14*E40))^2/(2*9.81)+B40+0.5*(((DATOS!$B$27*C40/(DATOS!$B$14*E40))^2/((DATOS!$B$14*E40)/(DATOS!$B$14+2*E40))^(4/3))+((DATOS!$B$27*C41/(DATOS!$B$14*((AF41+AG41)/2)))^2/((DATOS!$B$14*((AF41+AG41)/2))/(DATOS!$B$14+2*((AF41+AG41)/2)))^(4/3)))*(A40-A41)))&lt;0,((AF41+AG41)/2),AF41)</f>
        <v/>
      </c>
      <c r="AI41" s="16">
        <f>IF((((AF41+AG41)/2)+(C41/(DATOS!$B$14*((AF41+AG41)/2)))^2/(2*9.81)+B41-(E40+(C40/(DATOS!$B$14*E40))^2/(2*9.81)+B40+0.5*(((DATOS!$B$27*C40/(DATOS!$B$14*E40))^2/((DATOS!$B$14*E40)/(DATOS!$B$14+2*E40))^(4/3))+((DATOS!$B$27*C41/(DATOS!$B$14*((AF41+AG41)/2)))^2/((DATOS!$B$14*((AF41+AG41)/2))/(DATOS!$B$14+2*((AF41+AG41)/2)))^(4/3)))*(A40-A41)))&lt;0,AG41,((AF41+AG41)/2))</f>
        <v/>
      </c>
      <c r="AJ41" s="16">
        <f>IF((((AH41+AI41)/2)+(C41/(DATOS!$B$14*((AH41+AI41)/2)))^2/(2*9.81)+B41-(E40+(C40/(DATOS!$B$14*E40))^2/(2*9.81)+B40+0.5*(((DATOS!$B$27*C40/(DATOS!$B$14*E40))^2/((DATOS!$B$14*E40)/(DATOS!$B$14+2*E40))^(4/3))+((DATOS!$B$27*C41/(DATOS!$B$14*((AH41+AI41)/2)))^2/((DATOS!$B$14*((AH41+AI41)/2))/(DATOS!$B$14+2*((AH41+AI41)/2)))^(4/3)))*(A40-A41)))&lt;0,((AH41+AI41)/2),AH41)</f>
        <v/>
      </c>
      <c r="AK41" s="16">
        <f>IF((((AH41+AI41)/2)+(C41/(DATOS!$B$14*((AH41+AI41)/2)))^2/(2*9.81)+B41-(E40+(C40/(DATOS!$B$14*E40))^2/(2*9.81)+B40+0.5*(((DATOS!$B$27*C40/(DATOS!$B$14*E40))^2/((DATOS!$B$14*E40)/(DATOS!$B$14+2*E40))^(4/3))+((DATOS!$B$27*C41/(DATOS!$B$14*((AH41+AI41)/2)))^2/((DATOS!$B$14*((AH41+AI41)/2))/(DATOS!$B$14+2*((AH41+AI41)/2)))^(4/3)))*(A40-A41)))&lt;0,AI41,((AH41+AI41)/2))</f>
        <v/>
      </c>
      <c r="AL41" s="16">
        <f>IF((((AJ41+AK41)/2)+(C41/(DATOS!$B$14*((AJ41+AK41)/2)))^2/(2*9.81)+B41-(E40+(C40/(DATOS!$B$14*E40))^2/(2*9.81)+B40+0.5*(((DATOS!$B$27*C40/(DATOS!$B$14*E40))^2/((DATOS!$B$14*E40)/(DATOS!$B$14+2*E40))^(4/3))+((DATOS!$B$27*C41/(DATOS!$B$14*((AJ41+AK41)/2)))^2/((DATOS!$B$14*((AJ41+AK41)/2))/(DATOS!$B$14+2*((AJ41+AK41)/2)))^(4/3)))*(A40-A41)))&lt;0,((AJ41+AK41)/2),AJ41)</f>
        <v/>
      </c>
      <c r="AM41" s="16">
        <f>IF((((AJ41+AK41)/2)+(C41/(DATOS!$B$14*((AJ41+AK41)/2)))^2/(2*9.81)+B41-(E40+(C40/(DATOS!$B$14*E40))^2/(2*9.81)+B40+0.5*(((DATOS!$B$27*C40/(DATOS!$B$14*E40))^2/((DATOS!$B$14*E40)/(DATOS!$B$14+2*E40))^(4/3))+((DATOS!$B$27*C41/(DATOS!$B$14*((AJ41+AK41)/2)))^2/((DATOS!$B$14*((AJ41+AK41)/2))/(DATOS!$B$14+2*((AJ41+AK41)/2)))^(4/3)))*(A40-A41)))&lt;0,AK41,((AJ41+AK41)/2))</f>
        <v/>
      </c>
      <c r="AN41" s="16">
        <f>IF((((AL41+AM41)/2)+(C41/(DATOS!$B$14*((AL41+AM41)/2)))^2/(2*9.81)+B41-(E40+(C40/(DATOS!$B$14*E40))^2/(2*9.81)+B40+0.5*(((DATOS!$B$27*C40/(DATOS!$B$14*E40))^2/((DATOS!$B$14*E40)/(DATOS!$B$14+2*E40))^(4/3))+((DATOS!$B$27*C41/(DATOS!$B$14*((AL41+AM41)/2)))^2/((DATOS!$B$14*((AL41+AM41)/2))/(DATOS!$B$14+2*((AL41+AM41)/2)))^(4/3)))*(A40-A41)))&lt;0,((AL41+AM41)/2),AL41)</f>
        <v/>
      </c>
      <c r="AO41" s="16">
        <f>IF((((AL41+AM41)/2)+(C41/(DATOS!$B$14*((AL41+AM41)/2)))^2/(2*9.81)+B41-(E40+(C40/(DATOS!$B$14*E40))^2/(2*9.81)+B40+0.5*(((DATOS!$B$27*C40/(DATOS!$B$14*E40))^2/((DATOS!$B$14*E40)/(DATOS!$B$14+2*E40))^(4/3))+((DATOS!$B$27*C41/(DATOS!$B$14*((AL41+AM41)/2)))^2/((DATOS!$B$14*((AL41+AM41)/2))/(DATOS!$B$14+2*((AL41+AM41)/2)))^(4/3)))*(A40-A41)))&lt;0,AM41,((AL41+AM41)/2))</f>
        <v/>
      </c>
      <c r="AP41" s="16">
        <f>IF((((AN41+AO41)/2)+(C41/(DATOS!$B$14*((AN41+AO41)/2)))^2/(2*9.81)+B41-(E40+(C40/(DATOS!$B$14*E40))^2/(2*9.81)+B40+0.5*(((DATOS!$B$27*C40/(DATOS!$B$14*E40))^2/((DATOS!$B$14*E40)/(DATOS!$B$14+2*E40))^(4/3))+((DATOS!$B$27*C41/(DATOS!$B$14*((AN41+AO41)/2)))^2/((DATOS!$B$14*((AN41+AO41)/2))/(DATOS!$B$14+2*((AN41+AO41)/2)))^(4/3)))*(A40-A41)))&lt;0,((AN41+AO41)/2),AN41)</f>
        <v/>
      </c>
      <c r="AQ41" s="16">
        <f>IF((((AN41+AO41)/2)+(C41/(DATOS!$B$14*((AN41+AO41)/2)))^2/(2*9.81)+B41-(E40+(C40/(DATOS!$B$14*E40))^2/(2*9.81)+B40+0.5*(((DATOS!$B$27*C40/(DATOS!$B$14*E40))^2/((DATOS!$B$14*E40)/(DATOS!$B$14+2*E40))^(4/3))+((DATOS!$B$27*C41/(DATOS!$B$14*((AN41+AO41)/2)))^2/((DATOS!$B$14*((AN41+AO41)/2))/(DATOS!$B$14+2*((AN41+AO41)/2)))^(4/3)))*(A40-A41)))&lt;0,AO41,((AN41+AO41)/2))</f>
        <v/>
      </c>
      <c r="AR41" s="16">
        <f>IF((((AP41+AQ41)/2)+(C41/(DATOS!$B$14*((AP41+AQ41)/2)))^2/(2*9.81)+B41-(E40+(C40/(DATOS!$B$14*E40))^2/(2*9.81)+B40+0.5*(((DATOS!$B$27*C40/(DATOS!$B$14*E40))^2/((DATOS!$B$14*E40)/(DATOS!$B$14+2*E40))^(4/3))+((DATOS!$B$27*C41/(DATOS!$B$14*((AP41+AQ41)/2)))^2/((DATOS!$B$14*((AP41+AQ41)/2))/(DATOS!$B$14+2*((AP41+AQ41)/2)))^(4/3)))*(A40-A41)))&lt;0,((AP41+AQ41)/2),AP41)</f>
        <v/>
      </c>
      <c r="AS41" s="16">
        <f>IF((((AP41+AQ41)/2)+(C41/(DATOS!$B$14*((AP41+AQ41)/2)))^2/(2*9.81)+B41-(E40+(C40/(DATOS!$B$14*E40))^2/(2*9.81)+B40+0.5*(((DATOS!$B$27*C40/(DATOS!$B$14*E40))^2/((DATOS!$B$14*E40)/(DATOS!$B$14+2*E40))^(4/3))+((DATOS!$B$27*C41/(DATOS!$B$14*((AP41+AQ41)/2)))^2/((DATOS!$B$14*((AP41+AQ41)/2))/(DATOS!$B$14+2*((AP41+AQ41)/2)))^(4/3)))*(A40-A41)))&lt;0,AQ41,((AP41+AQ41)/2))</f>
        <v/>
      </c>
      <c r="AT41" s="16">
        <f>IF((((AR41+AS41)/2)+(C41/(DATOS!$B$14*((AR41+AS41)/2)))^2/(2*9.81)+B41-(E40+(C40/(DATOS!$B$14*E40))^2/(2*9.81)+B40+0.5*(((DATOS!$B$27*C40/(DATOS!$B$14*E40))^2/((DATOS!$B$14*E40)/(DATOS!$B$14+2*E40))^(4/3))+((DATOS!$B$27*C41/(DATOS!$B$14*((AR41+AS41)/2)))^2/((DATOS!$B$14*((AR41+AS41)/2))/(DATOS!$B$14+2*((AR41+AS41)/2)))^(4/3)))*(A40-A41)))&lt;0,((AR41+AS41)/2),AR41)</f>
        <v/>
      </c>
      <c r="AU41" s="16">
        <f>IF((((AR41+AS41)/2)+(C41/(DATOS!$B$14*((AR41+AS41)/2)))^2/(2*9.81)+B41-(E40+(C40/(DATOS!$B$14*E40))^2/(2*9.81)+B40+0.5*(((DATOS!$B$27*C40/(DATOS!$B$14*E40))^2/((DATOS!$B$14*E40)/(DATOS!$B$14+2*E40))^(4/3))+((DATOS!$B$27*C41/(DATOS!$B$14*((AR41+AS41)/2)))^2/((DATOS!$B$14*((AR41+AS41)/2))/(DATOS!$B$14+2*((AR41+AS41)/2)))^(4/3)))*(A40-A41)))&lt;0,AS41,((AR41+AS41)/2))</f>
        <v/>
      </c>
      <c r="AV41" s="16">
        <f>IF((((AT41+AU41)/2)+(C41/(DATOS!$B$14*((AT41+AU41)/2)))^2/(2*9.81)+B41-(E40+(C40/(DATOS!$B$14*E40))^2/(2*9.81)+B40+0.5*(((DATOS!$B$27*C40/(DATOS!$B$14*E40))^2/((DATOS!$B$14*E40)/(DATOS!$B$14+2*E40))^(4/3))+((DATOS!$B$27*C41/(DATOS!$B$14*((AT41+AU41)/2)))^2/((DATOS!$B$14*((AT41+AU41)/2))/(DATOS!$B$14+2*((AT41+AU41)/2)))^(4/3)))*(A40-A41)))&lt;0,((AT41+AU41)/2),AT41)</f>
        <v/>
      </c>
      <c r="AW41" s="16">
        <f>IF((((AT41+AU41)/2)+(C41/(DATOS!$B$14*((AT41+AU41)/2)))^2/(2*9.81)+B41-(E40+(C40/(DATOS!$B$14*E40))^2/(2*9.81)+B40+0.5*(((DATOS!$B$27*C40/(DATOS!$B$14*E40))^2/((DATOS!$B$14*E40)/(DATOS!$B$14+2*E40))^(4/3))+((DATOS!$B$27*C41/(DATOS!$B$14*((AT41+AU41)/2)))^2/((DATOS!$B$14*((AT41+AU41)/2))/(DATOS!$B$14+2*((AT41+AU41)/2)))^(4/3)))*(A40-A41)))&lt;0,AU41,((AT41+AU41)/2))</f>
        <v/>
      </c>
      <c r="AX41" s="16">
        <f>IF((((AV41+AW41)/2)+(C41/(DATOS!$B$14*((AV41+AW41)/2)))^2/(2*9.81)+B41-(E40+(C40/(DATOS!$B$14*E40))^2/(2*9.81)+B40+0.5*(((DATOS!$B$27*C40/(DATOS!$B$14*E40))^2/((DATOS!$B$14*E40)/(DATOS!$B$14+2*E40))^(4/3))+((DATOS!$B$27*C41/(DATOS!$B$14*((AV41+AW41)/2)))^2/((DATOS!$B$14*((AV41+AW41)/2))/(DATOS!$B$14+2*((AV41+AW41)/2)))^(4/3)))*(A40-A41)))&lt;0,((AV41+AW41)/2),AV41)</f>
        <v/>
      </c>
      <c r="AY41" s="16">
        <f>IF((((AV41+AW41)/2)+(C41/(DATOS!$B$14*((AV41+AW41)/2)))^2/(2*9.81)+B41-(E40+(C40/(DATOS!$B$14*E40))^2/(2*9.81)+B40+0.5*(((DATOS!$B$27*C40/(DATOS!$B$14*E40))^2/((DATOS!$B$14*E40)/(DATOS!$B$14+2*E40))^(4/3))+((DATOS!$B$27*C41/(DATOS!$B$14*((AV41+AW41)/2)))^2/((DATOS!$B$14*((AV41+AW41)/2))/(DATOS!$B$14+2*((AV41+AW41)/2)))^(4/3)))*(A40-A41)))&lt;0,AW41,((AV41+AW41)/2))</f>
        <v/>
      </c>
      <c r="AZ41" s="16">
        <f>IF((((AX41+AY41)/2)+(C41/(DATOS!$B$14*((AX41+AY41)/2)))^2/(2*9.81)+B41-(E40+(C40/(DATOS!$B$14*E40))^2/(2*9.81)+B40+0.5*(((DATOS!$B$27*C40/(DATOS!$B$14*E40))^2/((DATOS!$B$14*E40)/(DATOS!$B$14+2*E40))^(4/3))+((DATOS!$B$27*C41/(DATOS!$B$14*((AX41+AY41)/2)))^2/((DATOS!$B$14*((AX41+AY41)/2))/(DATOS!$B$14+2*((AX41+AY41)/2)))^(4/3)))*(A40-A41)))&lt;0,((AX41+AY41)/2),AX41)</f>
        <v/>
      </c>
      <c r="BA41" s="16">
        <f>IF((((AX41+AY41)/2)+(C41/(DATOS!$B$14*((AX41+AY41)/2)))^2/(2*9.81)+B41-(E40+(C40/(DATOS!$B$14*E40))^2/(2*9.81)+B40+0.5*(((DATOS!$B$27*C40/(DATOS!$B$14*E40))^2/((DATOS!$B$14*E40)/(DATOS!$B$14+2*E40))^(4/3))+((DATOS!$B$27*C41/(DATOS!$B$14*((AX41+AY41)/2)))^2/((DATOS!$B$14*((AX41+AY41)/2))/(DATOS!$B$14+2*((AX41+AY41)/2)))^(4/3)))*(A40-A41)))&lt;0,AY41,((AX41+AY41)/2))</f>
        <v/>
      </c>
      <c r="BB41" s="16">
        <f>IF((((AZ41+BA41)/2)+(C41/(DATOS!$B$14*((AZ41+BA41)/2)))^2/(2*9.81)+B41-(E40+(C40/(DATOS!$B$14*E40))^2/(2*9.81)+B40+0.5*(((DATOS!$B$27*C40/(DATOS!$B$14*E40))^2/((DATOS!$B$14*E40)/(DATOS!$B$14+2*E40))^(4/3))+((DATOS!$B$27*C41/(DATOS!$B$14*((AZ41+BA41)/2)))^2/((DATOS!$B$14*((AZ41+BA41)/2))/(DATOS!$B$14+2*((AZ41+BA41)/2)))^(4/3)))*(A40-A41)))&lt;0,((AZ41+BA41)/2),AZ41)</f>
        <v/>
      </c>
      <c r="BC41" s="16">
        <f>IF((((AZ41+BA41)/2)+(C41/(DATOS!$B$14*((AZ41+BA41)/2)))^2/(2*9.81)+B41-(E40+(C40/(DATOS!$B$14*E40))^2/(2*9.81)+B40+0.5*(((DATOS!$B$27*C40/(DATOS!$B$14*E40))^2/((DATOS!$B$14*E40)/(DATOS!$B$14+2*E40))^(4/3))+((DATOS!$B$27*C41/(DATOS!$B$14*((AZ41+BA41)/2)))^2/((DATOS!$B$14*((AZ41+BA41)/2))/(DATOS!$B$14+2*((AZ41+BA41)/2)))^(4/3)))*(A40-A41)))&lt;0,BA41,((AZ41+BA41)/2))</f>
        <v/>
      </c>
      <c r="BD41" s="16">
        <f>IF((((BB41+BC41)/2)+(C41/(DATOS!$B$14*((BB41+BC41)/2)))^2/(2*9.81)+B41-(E40+(C40/(DATOS!$B$14*E40))^2/(2*9.81)+B40+0.5*(((DATOS!$B$27*C40/(DATOS!$B$14*E40))^2/((DATOS!$B$14*E40)/(DATOS!$B$14+2*E40))^(4/3))+((DATOS!$B$27*C41/(DATOS!$B$14*((BB41+BC41)/2)))^2/((DATOS!$B$14*((BB41+BC41)/2))/(DATOS!$B$14+2*((BB41+BC41)/2)))^(4/3)))*(A40-A41)))&lt;0,((BB41+BC41)/2),BB41)</f>
        <v/>
      </c>
      <c r="BE41" s="16">
        <f>IF((((BB41+BC41)/2)+(C41/(DATOS!$B$14*((BB41+BC41)/2)))^2/(2*9.81)+B41-(E40+(C40/(DATOS!$B$14*E40))^2/(2*9.81)+B40+0.5*(((DATOS!$B$27*C40/(DATOS!$B$14*E40))^2/((DATOS!$B$14*E40)/(DATOS!$B$14+2*E40))^(4/3))+((DATOS!$B$27*C41/(DATOS!$B$14*((BB41+BC41)/2)))^2/((DATOS!$B$14*((BB41+BC41)/2))/(DATOS!$B$14+2*((BB41+BC41)/2)))^(4/3)))*(A40-A41)))&lt;0,BC41,((BB41+BC41)/2))</f>
        <v/>
      </c>
      <c r="BF41" s="16">
        <f>IF((((BD41+BE41)/2)+(C41/(DATOS!$B$14*((BD41+BE41)/2)))^2/(2*9.81)+B41-(E40+(C40/(DATOS!$B$14*E40))^2/(2*9.81)+B40+0.5*(((DATOS!$B$27*C40/(DATOS!$B$14*E40))^2/((DATOS!$B$14*E40)/(DATOS!$B$14+2*E40))^(4/3))+((DATOS!$B$27*C41/(DATOS!$B$14*((BD41+BE41)/2)))^2/((DATOS!$B$14*((BD41+BE41)/2))/(DATOS!$B$14+2*((BD41+BE41)/2)))^(4/3)))*(A40-A41)))&lt;0,((BD41+BE41)/2),BD41)</f>
        <v/>
      </c>
      <c r="BG41" s="16">
        <f>IF((((BD41+BE41)/2)+(C41/(DATOS!$B$14*((BD41+BE41)/2)))^2/(2*9.81)+B41-(E40+(C40/(DATOS!$B$14*E40))^2/(2*9.81)+B40+0.5*(((DATOS!$B$27*C40/(DATOS!$B$14*E40))^2/((DATOS!$B$14*E40)/(DATOS!$B$14+2*E40))^(4/3))+((DATOS!$B$27*C41/(DATOS!$B$14*((BD41+BE41)/2)))^2/((DATOS!$B$14*((BD41+BE41)/2))/(DATOS!$B$14+2*((BD41+BE41)/2)))^(4/3)))*(A40-A41)))&lt;0,BE41,((BD41+BE41)/2))</f>
        <v/>
      </c>
      <c r="BH41" s="16">
        <f>IF((((BF41+BG41)/2)+(C41/(DATOS!$B$14*((BF41+BG41)/2)))^2/(2*9.81)+B41-(E40+(C40/(DATOS!$B$14*E40))^2/(2*9.81)+B40+0.5*(((DATOS!$B$27*C40/(DATOS!$B$14*E40))^2/((DATOS!$B$14*E40)/(DATOS!$B$14+2*E40))^(4/3))+((DATOS!$B$27*C41/(DATOS!$B$14*((BF41+BG41)/2)))^2/((DATOS!$B$14*((BF41+BG41)/2))/(DATOS!$B$14+2*((BF41+BG41)/2)))^(4/3)))*(A40-A41)))&lt;0,((BF41+BG41)/2),BF41)</f>
        <v/>
      </c>
      <c r="BI41" s="16">
        <f>IF((((BF41+BG41)/2)+(C41/(DATOS!$B$14*((BF41+BG41)/2)))^2/(2*9.81)+B41-(E40+(C40/(DATOS!$B$14*E40))^2/(2*9.81)+B40+0.5*(((DATOS!$B$27*C40/(DATOS!$B$14*E40))^2/((DATOS!$B$14*E40)/(DATOS!$B$14+2*E40))^(4/3))+((DATOS!$B$27*C41/(DATOS!$B$14*((BF41+BG41)/2)))^2/((DATOS!$B$14*((BF41+BG41)/2))/(DATOS!$B$14+2*((BF41+BG41)/2)))^(4/3)))*(A40-A41)))&lt;0,BG41,((BF41+BG41)/2))</f>
        <v/>
      </c>
      <c r="BJ41" s="16">
        <f>IF((((BH41+BI41)/2)+(C41/(DATOS!$B$14*((BH41+BI41)/2)))^2/(2*9.81)+B41-(E40+(C40/(DATOS!$B$14*E40))^2/(2*9.81)+B40+0.5*(((DATOS!$B$27*C40/(DATOS!$B$14*E40))^2/((DATOS!$B$14*E40)/(DATOS!$B$14+2*E40))^(4/3))+((DATOS!$B$27*C41/(DATOS!$B$14*((BH41+BI41)/2)))^2/((DATOS!$B$14*((BH41+BI41)/2))/(DATOS!$B$14+2*((BH41+BI41)/2)))^(4/3)))*(A40-A41)))&lt;0,((BH41+BI41)/2),BH41)</f>
        <v/>
      </c>
      <c r="BK41" s="16">
        <f>IF((((BH41+BI41)/2)+(C41/(DATOS!$B$14*((BH41+BI41)/2)))^2/(2*9.81)+B41-(E40+(C40/(DATOS!$B$14*E40))^2/(2*9.81)+B40+0.5*(((DATOS!$B$27*C40/(DATOS!$B$14*E40))^2/((DATOS!$B$14*E40)/(DATOS!$B$14+2*E40))^(4/3))+((DATOS!$B$27*C41/(DATOS!$B$14*((BH41+BI41)/2)))^2/((DATOS!$B$14*((BH41+BI41)/2))/(DATOS!$B$14+2*((BH41+BI41)/2)))^(4/3)))*(A40-A41)))&lt;0,BI41,((BH41+BI41)/2))</f>
        <v/>
      </c>
      <c r="BL41" s="16">
        <f>IF((((BJ41+BK41)/2)+(C41/(DATOS!$B$14*((BJ41+BK41)/2)))^2/(2*9.81)+B41-(E40+(C40/(DATOS!$B$14*E40))^2/(2*9.81)+B40+0.5*(((DATOS!$B$27*C40/(DATOS!$B$14*E40))^2/((DATOS!$B$14*E40)/(DATOS!$B$14+2*E40))^(4/3))+((DATOS!$B$27*C41/(DATOS!$B$14*((BJ41+BK41)/2)))^2/((DATOS!$B$14*((BJ41+BK41)/2))/(DATOS!$B$14+2*((BJ41+BK41)/2)))^(4/3)))*(A40-A41)))&lt;0,((BJ41+BK41)/2),BJ41)</f>
        <v/>
      </c>
      <c r="BM41" s="16">
        <f>IF((((BJ41+BK41)/2)+(C41/(DATOS!$B$14*((BJ41+BK41)/2)))^2/(2*9.81)+B41-(E40+(C40/(DATOS!$B$14*E40))^2/(2*9.81)+B40+0.5*(((DATOS!$B$27*C40/(DATOS!$B$14*E40))^2/((DATOS!$B$14*E40)/(DATOS!$B$14+2*E40))^(4/3))+((DATOS!$B$27*C41/(DATOS!$B$14*((BJ41+BK41)/2)))^2/((DATOS!$B$14*((BJ41+BK41)/2))/(DATOS!$B$14+2*((BJ41+BK41)/2)))^(4/3)))*(A40-A41)))&lt;0,BK41,((BJ41+BK41)/2))</f>
        <v/>
      </c>
      <c r="BN41" s="16">
        <f>IF((((BL41+BM41)/2)+(C41/(DATOS!$B$14*((BL41+BM41)/2)))^2/(2*9.81)+B41-(E40+(C40/(DATOS!$B$14*E40))^2/(2*9.81)+B40+0.5*(((DATOS!$B$27*C40/(DATOS!$B$14*E40))^2/((DATOS!$B$14*E40)/(DATOS!$B$14+2*E40))^(4/3))+((DATOS!$B$27*C41/(DATOS!$B$14*((BL41+BM41)/2)))^2/((DATOS!$B$14*((BL41+BM41)/2))/(DATOS!$B$14+2*((BL41+BM41)/2)))^(4/3)))*(A40-A41)))&lt;0,((BL41+BM41)/2),BL41)</f>
        <v/>
      </c>
      <c r="BO41" s="16">
        <f>IF((((BL41+BM41)/2)+(C41/(DATOS!$B$14*((BL41+BM41)/2)))^2/(2*9.81)+B41-(E40+(C40/(DATOS!$B$14*E40))^2/(2*9.81)+B40+0.5*(((DATOS!$B$27*C40/(DATOS!$B$14*E40))^2/((DATOS!$B$14*E40)/(DATOS!$B$14+2*E40))^(4/3))+((DATOS!$B$27*C41/(DATOS!$B$14*((BL41+BM41)/2)))^2/((DATOS!$B$14*((BL41+BM41)/2))/(DATOS!$B$14+2*((BL41+BM41)/2)))^(4/3)))*(A40-A41)))&lt;0,BM41,((BL41+BM41)/2))</f>
        <v/>
      </c>
      <c r="BP41" s="16">
        <f>IF((((BN41+BO41)/2)+(C41/(DATOS!$B$14*((BN41+BO41)/2)))^2/(2*9.81)+B41-(E40+(C40/(DATOS!$B$14*E40))^2/(2*9.81)+B40+0.5*(((DATOS!$B$27*C40/(DATOS!$B$14*E40))^2/((DATOS!$B$14*E40)/(DATOS!$B$14+2*E40))^(4/3))+((DATOS!$B$27*C41/(DATOS!$B$14*((BN41+BO41)/2)))^2/((DATOS!$B$14*((BN41+BO41)/2))/(DATOS!$B$14+2*((BN41+BO41)/2)))^(4/3)))*(A40-A41)))&lt;0,((BN41+BO41)/2),BN41)</f>
        <v/>
      </c>
      <c r="BQ41" s="16">
        <f>IF((((BN41+BO41)/2)+(C41/(DATOS!$B$14*((BN41+BO41)/2)))^2/(2*9.81)+B41-(E40+(C40/(DATOS!$B$14*E40))^2/(2*9.81)+B40+0.5*(((DATOS!$B$27*C40/(DATOS!$B$14*E40))^2/((DATOS!$B$14*E40)/(DATOS!$B$14+2*E40))^(4/3))+((DATOS!$B$27*C41/(DATOS!$B$14*((BN41+BO41)/2)))^2/((DATOS!$B$14*((BN41+BO41)/2))/(DATOS!$B$14+2*((BN41+BO41)/2)))^(4/3)))*(A40-A41)))&lt;0,BO41,((BN41+BO41)/2))</f>
        <v/>
      </c>
      <c r="BR41" s="16">
        <f>IF((((BP41+BQ41)/2)+(C41/(DATOS!$B$14*((BP41+BQ41)/2)))^2/(2*9.81)+B41-(E40+(C40/(DATOS!$B$14*E40))^2/(2*9.81)+B40+0.5*(((DATOS!$B$27*C40/(DATOS!$B$14*E40))^2/((DATOS!$B$14*E40)/(DATOS!$B$14+2*E40))^(4/3))+((DATOS!$B$27*C41/(DATOS!$B$14*((BP41+BQ41)/2)))^2/((DATOS!$B$14*((BP41+BQ41)/2))/(DATOS!$B$14+2*((BP41+BQ41)/2)))^(4/3)))*(A40-A41)))&lt;0,((BP41+BQ41)/2),BP41)</f>
        <v/>
      </c>
      <c r="BS41" s="16">
        <f>IF((((BP41+BQ41)/2)+(C41/(DATOS!$B$14*((BP41+BQ41)/2)))^2/(2*9.81)+B41-(E40+(C40/(DATOS!$B$14*E40))^2/(2*9.81)+B40+0.5*(((DATOS!$B$27*C40/(DATOS!$B$14*E40))^2/((DATOS!$B$14*E40)/(DATOS!$B$14+2*E40))^(4/3))+((DATOS!$B$27*C41/(DATOS!$B$14*((BP41+BQ41)/2)))^2/((DATOS!$B$14*((BP41+BQ41)/2))/(DATOS!$B$14+2*((BP41+BQ41)/2)))^(4/3)))*(A40-A41)))&lt;0,BQ41,((BP41+BQ41)/2))</f>
        <v/>
      </c>
      <c r="BT41" s="16">
        <f>IF((((BR41+BS41)/2)+(C41/(DATOS!$B$14*((BR41+BS41)/2)))^2/(2*9.81)+B41-(E40+(C40/(DATOS!$B$14*E40))^2/(2*9.81)+B40+0.5*(((DATOS!$B$27*C40/(DATOS!$B$14*E40))^2/((DATOS!$B$14*E40)/(DATOS!$B$14+2*E40))^(4/3))+((DATOS!$B$27*C41/(DATOS!$B$14*((BR41+BS41)/2)))^2/((DATOS!$B$14*((BR41+BS41)/2))/(DATOS!$B$14+2*((BR41+BS41)/2)))^(4/3)))*(A40-A41)))&lt;0,((BR41+BS41)/2),BR41)</f>
        <v/>
      </c>
      <c r="BU41" s="16">
        <f>IF((((BR41+BS41)/2)+(C41/(DATOS!$B$14*((BR41+BS41)/2)))^2/(2*9.81)+B41-(E40+(C40/(DATOS!$B$14*E40))^2/(2*9.81)+B40+0.5*(((DATOS!$B$27*C40/(DATOS!$B$14*E40))^2/((DATOS!$B$14*E40)/(DATOS!$B$14+2*E40))^(4/3))+((DATOS!$B$27*C41/(DATOS!$B$14*((BR41+BS41)/2)))^2/((DATOS!$B$14*((BR41+BS41)/2))/(DATOS!$B$14+2*((BR41+BS41)/2)))^(4/3)))*(A40-A41)))&lt;0,BS41,((BR41+BS41)/2))</f>
        <v/>
      </c>
    </row>
    <row r="42">
      <c r="A42" s="30" t="n">
        <v>68</v>
      </c>
      <c r="B42" s="21">
        <f>DATOS!$B$16-DATOS!$B$19*A42</f>
        <v/>
      </c>
      <c r="C42" s="21">
        <f>IF(A42&lt;CAUDALES!$B$13,CAUDALES!$D$12,IF(A42&lt;CAUDALES!$B$14,CAUDALES!$D$13,IF(A42&lt;CAUDALES!$B$15,CAUDALES!$D$14,CAUDALES!$D$15)))/1000</f>
        <v/>
      </c>
      <c r="D42" s="21">
        <f>(C42^2/(9.81*DATOS!$B$14^2))^(1/3)</f>
        <v/>
      </c>
      <c r="E42" s="29">
        <f>(BT42+BU42)/2</f>
        <v/>
      </c>
      <c r="F42" s="21">
        <f>B42+E42</f>
        <v/>
      </c>
      <c r="G42" s="17">
        <f>C42/(DATOS!$B$14*E42)</f>
        <v/>
      </c>
      <c r="H42" s="17">
        <f>G42/SQRT(9.81*E42)</f>
        <v/>
      </c>
      <c r="I42" s="21">
        <f>IF(A42&lt;=DATOS!$B$20,DATOS!$B$21-IF(AND(A42&gt;=DATOS!$B$23,A42&lt;DATOS!$B$24),DATOS!$B$25,DATOS!$B$22),B42+DATOS!$B$26)</f>
        <v/>
      </c>
      <c r="J42" s="17">
        <f>I42-B42</f>
        <v/>
      </c>
      <c r="K42" s="31">
        <f>E42/J42</f>
        <v/>
      </c>
      <c r="L42" s="21">
        <f>I42-F42</f>
        <v/>
      </c>
      <c r="M42" s="32">
        <f>IF(AND(K42&lt;=DATOS!$B$29,L42&gt;=DATOS!$B$30),"CUMPLE","NO CUMPLE")</f>
        <v/>
      </c>
      <c r="N42" s="13">
        <f>IF(A42&gt;DATOS!$B$20,"cubierto - tramo final",IF(AND(A42&gt;=DATOS!$B$23,A42&lt;DATOS!$B$24),"cubierto - camiones","cubierto"))</f>
        <v/>
      </c>
      <c r="P42" s="16">
        <f>D42*1.001</f>
        <v/>
      </c>
      <c r="Q42" s="16" t="n">
        <v>2</v>
      </c>
      <c r="R42" s="16">
        <f>IF((((P42+Q42)/2)+(C42/(DATOS!$B$14*((P42+Q42)/2)))^2/(2*9.81)+B42-(E41+(C41/(DATOS!$B$14*E41))^2/(2*9.81)+B41+0.5*(((DATOS!$B$27*C41/(DATOS!$B$14*E41))^2/((DATOS!$B$14*E41)/(DATOS!$B$14+2*E41))^(4/3))+((DATOS!$B$27*C42/(DATOS!$B$14*((P42+Q42)/2)))^2/((DATOS!$B$14*((P42+Q42)/2))/(DATOS!$B$14+2*((P42+Q42)/2)))^(4/3)))*(A41-A42)))&lt;0,((P42+Q42)/2),P42)</f>
        <v/>
      </c>
      <c r="S42" s="16">
        <f>IF((((P42+Q42)/2)+(C42/(DATOS!$B$14*((P42+Q42)/2)))^2/(2*9.81)+B42-(E41+(C41/(DATOS!$B$14*E41))^2/(2*9.81)+B41+0.5*(((DATOS!$B$27*C41/(DATOS!$B$14*E41))^2/((DATOS!$B$14*E41)/(DATOS!$B$14+2*E41))^(4/3))+((DATOS!$B$27*C42/(DATOS!$B$14*((P42+Q42)/2)))^2/((DATOS!$B$14*((P42+Q42)/2))/(DATOS!$B$14+2*((P42+Q42)/2)))^(4/3)))*(A41-A42)))&lt;0,Q42,((P42+Q42)/2))</f>
        <v/>
      </c>
      <c r="T42" s="16">
        <f>IF((((R42+S42)/2)+(C42/(DATOS!$B$14*((R42+S42)/2)))^2/(2*9.81)+B42-(E41+(C41/(DATOS!$B$14*E41))^2/(2*9.81)+B41+0.5*(((DATOS!$B$27*C41/(DATOS!$B$14*E41))^2/((DATOS!$B$14*E41)/(DATOS!$B$14+2*E41))^(4/3))+((DATOS!$B$27*C42/(DATOS!$B$14*((R42+S42)/2)))^2/((DATOS!$B$14*((R42+S42)/2))/(DATOS!$B$14+2*((R42+S42)/2)))^(4/3)))*(A41-A42)))&lt;0,((R42+S42)/2),R42)</f>
        <v/>
      </c>
      <c r="U42" s="16">
        <f>IF((((R42+S42)/2)+(C42/(DATOS!$B$14*((R42+S42)/2)))^2/(2*9.81)+B42-(E41+(C41/(DATOS!$B$14*E41))^2/(2*9.81)+B41+0.5*(((DATOS!$B$27*C41/(DATOS!$B$14*E41))^2/((DATOS!$B$14*E41)/(DATOS!$B$14+2*E41))^(4/3))+((DATOS!$B$27*C42/(DATOS!$B$14*((R42+S42)/2)))^2/((DATOS!$B$14*((R42+S42)/2))/(DATOS!$B$14+2*((R42+S42)/2)))^(4/3)))*(A41-A42)))&lt;0,S42,((R42+S42)/2))</f>
        <v/>
      </c>
      <c r="V42" s="16">
        <f>IF((((T42+U42)/2)+(C42/(DATOS!$B$14*((T42+U42)/2)))^2/(2*9.81)+B42-(E41+(C41/(DATOS!$B$14*E41))^2/(2*9.81)+B41+0.5*(((DATOS!$B$27*C41/(DATOS!$B$14*E41))^2/((DATOS!$B$14*E41)/(DATOS!$B$14+2*E41))^(4/3))+((DATOS!$B$27*C42/(DATOS!$B$14*((T42+U42)/2)))^2/((DATOS!$B$14*((T42+U42)/2))/(DATOS!$B$14+2*((T42+U42)/2)))^(4/3)))*(A41-A42)))&lt;0,((T42+U42)/2),T42)</f>
        <v/>
      </c>
      <c r="W42" s="16">
        <f>IF((((T42+U42)/2)+(C42/(DATOS!$B$14*((T42+U42)/2)))^2/(2*9.81)+B42-(E41+(C41/(DATOS!$B$14*E41))^2/(2*9.81)+B41+0.5*(((DATOS!$B$27*C41/(DATOS!$B$14*E41))^2/((DATOS!$B$14*E41)/(DATOS!$B$14+2*E41))^(4/3))+((DATOS!$B$27*C42/(DATOS!$B$14*((T42+U42)/2)))^2/((DATOS!$B$14*((T42+U42)/2))/(DATOS!$B$14+2*((T42+U42)/2)))^(4/3)))*(A41-A42)))&lt;0,U42,((T42+U42)/2))</f>
        <v/>
      </c>
      <c r="X42" s="16">
        <f>IF((((V42+W42)/2)+(C42/(DATOS!$B$14*((V42+W42)/2)))^2/(2*9.81)+B42-(E41+(C41/(DATOS!$B$14*E41))^2/(2*9.81)+B41+0.5*(((DATOS!$B$27*C41/(DATOS!$B$14*E41))^2/((DATOS!$B$14*E41)/(DATOS!$B$14+2*E41))^(4/3))+((DATOS!$B$27*C42/(DATOS!$B$14*((V42+W42)/2)))^2/((DATOS!$B$14*((V42+W42)/2))/(DATOS!$B$14+2*((V42+W42)/2)))^(4/3)))*(A41-A42)))&lt;0,((V42+W42)/2),V42)</f>
        <v/>
      </c>
      <c r="Y42" s="16">
        <f>IF((((V42+W42)/2)+(C42/(DATOS!$B$14*((V42+W42)/2)))^2/(2*9.81)+B42-(E41+(C41/(DATOS!$B$14*E41))^2/(2*9.81)+B41+0.5*(((DATOS!$B$27*C41/(DATOS!$B$14*E41))^2/((DATOS!$B$14*E41)/(DATOS!$B$14+2*E41))^(4/3))+((DATOS!$B$27*C42/(DATOS!$B$14*((V42+W42)/2)))^2/((DATOS!$B$14*((V42+W42)/2))/(DATOS!$B$14+2*((V42+W42)/2)))^(4/3)))*(A41-A42)))&lt;0,W42,((V42+W42)/2))</f>
        <v/>
      </c>
      <c r="Z42" s="16">
        <f>IF((((X42+Y42)/2)+(C42/(DATOS!$B$14*((X42+Y42)/2)))^2/(2*9.81)+B42-(E41+(C41/(DATOS!$B$14*E41))^2/(2*9.81)+B41+0.5*(((DATOS!$B$27*C41/(DATOS!$B$14*E41))^2/((DATOS!$B$14*E41)/(DATOS!$B$14+2*E41))^(4/3))+((DATOS!$B$27*C42/(DATOS!$B$14*((X42+Y42)/2)))^2/((DATOS!$B$14*((X42+Y42)/2))/(DATOS!$B$14+2*((X42+Y42)/2)))^(4/3)))*(A41-A42)))&lt;0,((X42+Y42)/2),X42)</f>
        <v/>
      </c>
      <c r="AA42" s="16">
        <f>IF((((X42+Y42)/2)+(C42/(DATOS!$B$14*((X42+Y42)/2)))^2/(2*9.81)+B42-(E41+(C41/(DATOS!$B$14*E41))^2/(2*9.81)+B41+0.5*(((DATOS!$B$27*C41/(DATOS!$B$14*E41))^2/((DATOS!$B$14*E41)/(DATOS!$B$14+2*E41))^(4/3))+((DATOS!$B$27*C42/(DATOS!$B$14*((X42+Y42)/2)))^2/((DATOS!$B$14*((X42+Y42)/2))/(DATOS!$B$14+2*((X42+Y42)/2)))^(4/3)))*(A41-A42)))&lt;0,Y42,((X42+Y42)/2))</f>
        <v/>
      </c>
      <c r="AB42" s="16">
        <f>IF((((Z42+AA42)/2)+(C42/(DATOS!$B$14*((Z42+AA42)/2)))^2/(2*9.81)+B42-(E41+(C41/(DATOS!$B$14*E41))^2/(2*9.81)+B41+0.5*(((DATOS!$B$27*C41/(DATOS!$B$14*E41))^2/((DATOS!$B$14*E41)/(DATOS!$B$14+2*E41))^(4/3))+((DATOS!$B$27*C42/(DATOS!$B$14*((Z42+AA42)/2)))^2/((DATOS!$B$14*((Z42+AA42)/2))/(DATOS!$B$14+2*((Z42+AA42)/2)))^(4/3)))*(A41-A42)))&lt;0,((Z42+AA42)/2),Z42)</f>
        <v/>
      </c>
      <c r="AC42" s="16">
        <f>IF((((Z42+AA42)/2)+(C42/(DATOS!$B$14*((Z42+AA42)/2)))^2/(2*9.81)+B42-(E41+(C41/(DATOS!$B$14*E41))^2/(2*9.81)+B41+0.5*(((DATOS!$B$27*C41/(DATOS!$B$14*E41))^2/((DATOS!$B$14*E41)/(DATOS!$B$14+2*E41))^(4/3))+((DATOS!$B$27*C42/(DATOS!$B$14*((Z42+AA42)/2)))^2/((DATOS!$B$14*((Z42+AA42)/2))/(DATOS!$B$14+2*((Z42+AA42)/2)))^(4/3)))*(A41-A42)))&lt;0,AA42,((Z42+AA42)/2))</f>
        <v/>
      </c>
      <c r="AD42" s="16">
        <f>IF((((AB42+AC42)/2)+(C42/(DATOS!$B$14*((AB42+AC42)/2)))^2/(2*9.81)+B42-(E41+(C41/(DATOS!$B$14*E41))^2/(2*9.81)+B41+0.5*(((DATOS!$B$27*C41/(DATOS!$B$14*E41))^2/((DATOS!$B$14*E41)/(DATOS!$B$14+2*E41))^(4/3))+((DATOS!$B$27*C42/(DATOS!$B$14*((AB42+AC42)/2)))^2/((DATOS!$B$14*((AB42+AC42)/2))/(DATOS!$B$14+2*((AB42+AC42)/2)))^(4/3)))*(A41-A42)))&lt;0,((AB42+AC42)/2),AB42)</f>
        <v/>
      </c>
      <c r="AE42" s="16">
        <f>IF((((AB42+AC42)/2)+(C42/(DATOS!$B$14*((AB42+AC42)/2)))^2/(2*9.81)+B42-(E41+(C41/(DATOS!$B$14*E41))^2/(2*9.81)+B41+0.5*(((DATOS!$B$27*C41/(DATOS!$B$14*E41))^2/((DATOS!$B$14*E41)/(DATOS!$B$14+2*E41))^(4/3))+((DATOS!$B$27*C42/(DATOS!$B$14*((AB42+AC42)/2)))^2/((DATOS!$B$14*((AB42+AC42)/2))/(DATOS!$B$14+2*((AB42+AC42)/2)))^(4/3)))*(A41-A42)))&lt;0,AC42,((AB42+AC42)/2))</f>
        <v/>
      </c>
      <c r="AF42" s="16">
        <f>IF((((AD42+AE42)/2)+(C42/(DATOS!$B$14*((AD42+AE42)/2)))^2/(2*9.81)+B42-(E41+(C41/(DATOS!$B$14*E41))^2/(2*9.81)+B41+0.5*(((DATOS!$B$27*C41/(DATOS!$B$14*E41))^2/((DATOS!$B$14*E41)/(DATOS!$B$14+2*E41))^(4/3))+((DATOS!$B$27*C42/(DATOS!$B$14*((AD42+AE42)/2)))^2/((DATOS!$B$14*((AD42+AE42)/2))/(DATOS!$B$14+2*((AD42+AE42)/2)))^(4/3)))*(A41-A42)))&lt;0,((AD42+AE42)/2),AD42)</f>
        <v/>
      </c>
      <c r="AG42" s="16">
        <f>IF((((AD42+AE42)/2)+(C42/(DATOS!$B$14*((AD42+AE42)/2)))^2/(2*9.81)+B42-(E41+(C41/(DATOS!$B$14*E41))^2/(2*9.81)+B41+0.5*(((DATOS!$B$27*C41/(DATOS!$B$14*E41))^2/((DATOS!$B$14*E41)/(DATOS!$B$14+2*E41))^(4/3))+((DATOS!$B$27*C42/(DATOS!$B$14*((AD42+AE42)/2)))^2/((DATOS!$B$14*((AD42+AE42)/2))/(DATOS!$B$14+2*((AD42+AE42)/2)))^(4/3)))*(A41-A42)))&lt;0,AE42,((AD42+AE42)/2))</f>
        <v/>
      </c>
      <c r="AH42" s="16">
        <f>IF((((AF42+AG42)/2)+(C42/(DATOS!$B$14*((AF42+AG42)/2)))^2/(2*9.81)+B42-(E41+(C41/(DATOS!$B$14*E41))^2/(2*9.81)+B41+0.5*(((DATOS!$B$27*C41/(DATOS!$B$14*E41))^2/((DATOS!$B$14*E41)/(DATOS!$B$14+2*E41))^(4/3))+((DATOS!$B$27*C42/(DATOS!$B$14*((AF42+AG42)/2)))^2/((DATOS!$B$14*((AF42+AG42)/2))/(DATOS!$B$14+2*((AF42+AG42)/2)))^(4/3)))*(A41-A42)))&lt;0,((AF42+AG42)/2),AF42)</f>
        <v/>
      </c>
      <c r="AI42" s="16">
        <f>IF((((AF42+AG42)/2)+(C42/(DATOS!$B$14*((AF42+AG42)/2)))^2/(2*9.81)+B42-(E41+(C41/(DATOS!$B$14*E41))^2/(2*9.81)+B41+0.5*(((DATOS!$B$27*C41/(DATOS!$B$14*E41))^2/((DATOS!$B$14*E41)/(DATOS!$B$14+2*E41))^(4/3))+((DATOS!$B$27*C42/(DATOS!$B$14*((AF42+AG42)/2)))^2/((DATOS!$B$14*((AF42+AG42)/2))/(DATOS!$B$14+2*((AF42+AG42)/2)))^(4/3)))*(A41-A42)))&lt;0,AG42,((AF42+AG42)/2))</f>
        <v/>
      </c>
      <c r="AJ42" s="16">
        <f>IF((((AH42+AI42)/2)+(C42/(DATOS!$B$14*((AH42+AI42)/2)))^2/(2*9.81)+B42-(E41+(C41/(DATOS!$B$14*E41))^2/(2*9.81)+B41+0.5*(((DATOS!$B$27*C41/(DATOS!$B$14*E41))^2/((DATOS!$B$14*E41)/(DATOS!$B$14+2*E41))^(4/3))+((DATOS!$B$27*C42/(DATOS!$B$14*((AH42+AI42)/2)))^2/((DATOS!$B$14*((AH42+AI42)/2))/(DATOS!$B$14+2*((AH42+AI42)/2)))^(4/3)))*(A41-A42)))&lt;0,((AH42+AI42)/2),AH42)</f>
        <v/>
      </c>
      <c r="AK42" s="16">
        <f>IF((((AH42+AI42)/2)+(C42/(DATOS!$B$14*((AH42+AI42)/2)))^2/(2*9.81)+B42-(E41+(C41/(DATOS!$B$14*E41))^2/(2*9.81)+B41+0.5*(((DATOS!$B$27*C41/(DATOS!$B$14*E41))^2/((DATOS!$B$14*E41)/(DATOS!$B$14+2*E41))^(4/3))+((DATOS!$B$27*C42/(DATOS!$B$14*((AH42+AI42)/2)))^2/((DATOS!$B$14*((AH42+AI42)/2))/(DATOS!$B$14+2*((AH42+AI42)/2)))^(4/3)))*(A41-A42)))&lt;0,AI42,((AH42+AI42)/2))</f>
        <v/>
      </c>
      <c r="AL42" s="16">
        <f>IF((((AJ42+AK42)/2)+(C42/(DATOS!$B$14*((AJ42+AK42)/2)))^2/(2*9.81)+B42-(E41+(C41/(DATOS!$B$14*E41))^2/(2*9.81)+B41+0.5*(((DATOS!$B$27*C41/(DATOS!$B$14*E41))^2/((DATOS!$B$14*E41)/(DATOS!$B$14+2*E41))^(4/3))+((DATOS!$B$27*C42/(DATOS!$B$14*((AJ42+AK42)/2)))^2/((DATOS!$B$14*((AJ42+AK42)/2))/(DATOS!$B$14+2*((AJ42+AK42)/2)))^(4/3)))*(A41-A42)))&lt;0,((AJ42+AK42)/2),AJ42)</f>
        <v/>
      </c>
      <c r="AM42" s="16">
        <f>IF((((AJ42+AK42)/2)+(C42/(DATOS!$B$14*((AJ42+AK42)/2)))^2/(2*9.81)+B42-(E41+(C41/(DATOS!$B$14*E41))^2/(2*9.81)+B41+0.5*(((DATOS!$B$27*C41/(DATOS!$B$14*E41))^2/((DATOS!$B$14*E41)/(DATOS!$B$14+2*E41))^(4/3))+((DATOS!$B$27*C42/(DATOS!$B$14*((AJ42+AK42)/2)))^2/((DATOS!$B$14*((AJ42+AK42)/2))/(DATOS!$B$14+2*((AJ42+AK42)/2)))^(4/3)))*(A41-A42)))&lt;0,AK42,((AJ42+AK42)/2))</f>
        <v/>
      </c>
      <c r="AN42" s="16">
        <f>IF((((AL42+AM42)/2)+(C42/(DATOS!$B$14*((AL42+AM42)/2)))^2/(2*9.81)+B42-(E41+(C41/(DATOS!$B$14*E41))^2/(2*9.81)+B41+0.5*(((DATOS!$B$27*C41/(DATOS!$B$14*E41))^2/((DATOS!$B$14*E41)/(DATOS!$B$14+2*E41))^(4/3))+((DATOS!$B$27*C42/(DATOS!$B$14*((AL42+AM42)/2)))^2/((DATOS!$B$14*((AL42+AM42)/2))/(DATOS!$B$14+2*((AL42+AM42)/2)))^(4/3)))*(A41-A42)))&lt;0,((AL42+AM42)/2),AL42)</f>
        <v/>
      </c>
      <c r="AO42" s="16">
        <f>IF((((AL42+AM42)/2)+(C42/(DATOS!$B$14*((AL42+AM42)/2)))^2/(2*9.81)+B42-(E41+(C41/(DATOS!$B$14*E41))^2/(2*9.81)+B41+0.5*(((DATOS!$B$27*C41/(DATOS!$B$14*E41))^2/((DATOS!$B$14*E41)/(DATOS!$B$14+2*E41))^(4/3))+((DATOS!$B$27*C42/(DATOS!$B$14*((AL42+AM42)/2)))^2/((DATOS!$B$14*((AL42+AM42)/2))/(DATOS!$B$14+2*((AL42+AM42)/2)))^(4/3)))*(A41-A42)))&lt;0,AM42,((AL42+AM42)/2))</f>
        <v/>
      </c>
      <c r="AP42" s="16">
        <f>IF((((AN42+AO42)/2)+(C42/(DATOS!$B$14*((AN42+AO42)/2)))^2/(2*9.81)+B42-(E41+(C41/(DATOS!$B$14*E41))^2/(2*9.81)+B41+0.5*(((DATOS!$B$27*C41/(DATOS!$B$14*E41))^2/((DATOS!$B$14*E41)/(DATOS!$B$14+2*E41))^(4/3))+((DATOS!$B$27*C42/(DATOS!$B$14*((AN42+AO42)/2)))^2/((DATOS!$B$14*((AN42+AO42)/2))/(DATOS!$B$14+2*((AN42+AO42)/2)))^(4/3)))*(A41-A42)))&lt;0,((AN42+AO42)/2),AN42)</f>
        <v/>
      </c>
      <c r="AQ42" s="16">
        <f>IF((((AN42+AO42)/2)+(C42/(DATOS!$B$14*((AN42+AO42)/2)))^2/(2*9.81)+B42-(E41+(C41/(DATOS!$B$14*E41))^2/(2*9.81)+B41+0.5*(((DATOS!$B$27*C41/(DATOS!$B$14*E41))^2/((DATOS!$B$14*E41)/(DATOS!$B$14+2*E41))^(4/3))+((DATOS!$B$27*C42/(DATOS!$B$14*((AN42+AO42)/2)))^2/((DATOS!$B$14*((AN42+AO42)/2))/(DATOS!$B$14+2*((AN42+AO42)/2)))^(4/3)))*(A41-A42)))&lt;0,AO42,((AN42+AO42)/2))</f>
        <v/>
      </c>
      <c r="AR42" s="16">
        <f>IF((((AP42+AQ42)/2)+(C42/(DATOS!$B$14*((AP42+AQ42)/2)))^2/(2*9.81)+B42-(E41+(C41/(DATOS!$B$14*E41))^2/(2*9.81)+B41+0.5*(((DATOS!$B$27*C41/(DATOS!$B$14*E41))^2/((DATOS!$B$14*E41)/(DATOS!$B$14+2*E41))^(4/3))+((DATOS!$B$27*C42/(DATOS!$B$14*((AP42+AQ42)/2)))^2/((DATOS!$B$14*((AP42+AQ42)/2))/(DATOS!$B$14+2*((AP42+AQ42)/2)))^(4/3)))*(A41-A42)))&lt;0,((AP42+AQ42)/2),AP42)</f>
        <v/>
      </c>
      <c r="AS42" s="16">
        <f>IF((((AP42+AQ42)/2)+(C42/(DATOS!$B$14*((AP42+AQ42)/2)))^2/(2*9.81)+B42-(E41+(C41/(DATOS!$B$14*E41))^2/(2*9.81)+B41+0.5*(((DATOS!$B$27*C41/(DATOS!$B$14*E41))^2/((DATOS!$B$14*E41)/(DATOS!$B$14+2*E41))^(4/3))+((DATOS!$B$27*C42/(DATOS!$B$14*((AP42+AQ42)/2)))^2/((DATOS!$B$14*((AP42+AQ42)/2))/(DATOS!$B$14+2*((AP42+AQ42)/2)))^(4/3)))*(A41-A42)))&lt;0,AQ42,((AP42+AQ42)/2))</f>
        <v/>
      </c>
      <c r="AT42" s="16">
        <f>IF((((AR42+AS42)/2)+(C42/(DATOS!$B$14*((AR42+AS42)/2)))^2/(2*9.81)+B42-(E41+(C41/(DATOS!$B$14*E41))^2/(2*9.81)+B41+0.5*(((DATOS!$B$27*C41/(DATOS!$B$14*E41))^2/((DATOS!$B$14*E41)/(DATOS!$B$14+2*E41))^(4/3))+((DATOS!$B$27*C42/(DATOS!$B$14*((AR42+AS42)/2)))^2/((DATOS!$B$14*((AR42+AS42)/2))/(DATOS!$B$14+2*((AR42+AS42)/2)))^(4/3)))*(A41-A42)))&lt;0,((AR42+AS42)/2),AR42)</f>
        <v/>
      </c>
      <c r="AU42" s="16">
        <f>IF((((AR42+AS42)/2)+(C42/(DATOS!$B$14*((AR42+AS42)/2)))^2/(2*9.81)+B42-(E41+(C41/(DATOS!$B$14*E41))^2/(2*9.81)+B41+0.5*(((DATOS!$B$27*C41/(DATOS!$B$14*E41))^2/((DATOS!$B$14*E41)/(DATOS!$B$14+2*E41))^(4/3))+((DATOS!$B$27*C42/(DATOS!$B$14*((AR42+AS42)/2)))^2/((DATOS!$B$14*((AR42+AS42)/2))/(DATOS!$B$14+2*((AR42+AS42)/2)))^(4/3)))*(A41-A42)))&lt;0,AS42,((AR42+AS42)/2))</f>
        <v/>
      </c>
      <c r="AV42" s="16">
        <f>IF((((AT42+AU42)/2)+(C42/(DATOS!$B$14*((AT42+AU42)/2)))^2/(2*9.81)+B42-(E41+(C41/(DATOS!$B$14*E41))^2/(2*9.81)+B41+0.5*(((DATOS!$B$27*C41/(DATOS!$B$14*E41))^2/((DATOS!$B$14*E41)/(DATOS!$B$14+2*E41))^(4/3))+((DATOS!$B$27*C42/(DATOS!$B$14*((AT42+AU42)/2)))^2/((DATOS!$B$14*((AT42+AU42)/2))/(DATOS!$B$14+2*((AT42+AU42)/2)))^(4/3)))*(A41-A42)))&lt;0,((AT42+AU42)/2),AT42)</f>
        <v/>
      </c>
      <c r="AW42" s="16">
        <f>IF((((AT42+AU42)/2)+(C42/(DATOS!$B$14*((AT42+AU42)/2)))^2/(2*9.81)+B42-(E41+(C41/(DATOS!$B$14*E41))^2/(2*9.81)+B41+0.5*(((DATOS!$B$27*C41/(DATOS!$B$14*E41))^2/((DATOS!$B$14*E41)/(DATOS!$B$14+2*E41))^(4/3))+((DATOS!$B$27*C42/(DATOS!$B$14*((AT42+AU42)/2)))^2/((DATOS!$B$14*((AT42+AU42)/2))/(DATOS!$B$14+2*((AT42+AU42)/2)))^(4/3)))*(A41-A42)))&lt;0,AU42,((AT42+AU42)/2))</f>
        <v/>
      </c>
      <c r="AX42" s="16">
        <f>IF((((AV42+AW42)/2)+(C42/(DATOS!$B$14*((AV42+AW42)/2)))^2/(2*9.81)+B42-(E41+(C41/(DATOS!$B$14*E41))^2/(2*9.81)+B41+0.5*(((DATOS!$B$27*C41/(DATOS!$B$14*E41))^2/((DATOS!$B$14*E41)/(DATOS!$B$14+2*E41))^(4/3))+((DATOS!$B$27*C42/(DATOS!$B$14*((AV42+AW42)/2)))^2/((DATOS!$B$14*((AV42+AW42)/2))/(DATOS!$B$14+2*((AV42+AW42)/2)))^(4/3)))*(A41-A42)))&lt;0,((AV42+AW42)/2),AV42)</f>
        <v/>
      </c>
      <c r="AY42" s="16">
        <f>IF((((AV42+AW42)/2)+(C42/(DATOS!$B$14*((AV42+AW42)/2)))^2/(2*9.81)+B42-(E41+(C41/(DATOS!$B$14*E41))^2/(2*9.81)+B41+0.5*(((DATOS!$B$27*C41/(DATOS!$B$14*E41))^2/((DATOS!$B$14*E41)/(DATOS!$B$14+2*E41))^(4/3))+((DATOS!$B$27*C42/(DATOS!$B$14*((AV42+AW42)/2)))^2/((DATOS!$B$14*((AV42+AW42)/2))/(DATOS!$B$14+2*((AV42+AW42)/2)))^(4/3)))*(A41-A42)))&lt;0,AW42,((AV42+AW42)/2))</f>
        <v/>
      </c>
      <c r="AZ42" s="16">
        <f>IF((((AX42+AY42)/2)+(C42/(DATOS!$B$14*((AX42+AY42)/2)))^2/(2*9.81)+B42-(E41+(C41/(DATOS!$B$14*E41))^2/(2*9.81)+B41+0.5*(((DATOS!$B$27*C41/(DATOS!$B$14*E41))^2/((DATOS!$B$14*E41)/(DATOS!$B$14+2*E41))^(4/3))+((DATOS!$B$27*C42/(DATOS!$B$14*((AX42+AY42)/2)))^2/((DATOS!$B$14*((AX42+AY42)/2))/(DATOS!$B$14+2*((AX42+AY42)/2)))^(4/3)))*(A41-A42)))&lt;0,((AX42+AY42)/2),AX42)</f>
        <v/>
      </c>
      <c r="BA42" s="16">
        <f>IF((((AX42+AY42)/2)+(C42/(DATOS!$B$14*((AX42+AY42)/2)))^2/(2*9.81)+B42-(E41+(C41/(DATOS!$B$14*E41))^2/(2*9.81)+B41+0.5*(((DATOS!$B$27*C41/(DATOS!$B$14*E41))^2/((DATOS!$B$14*E41)/(DATOS!$B$14+2*E41))^(4/3))+((DATOS!$B$27*C42/(DATOS!$B$14*((AX42+AY42)/2)))^2/((DATOS!$B$14*((AX42+AY42)/2))/(DATOS!$B$14+2*((AX42+AY42)/2)))^(4/3)))*(A41-A42)))&lt;0,AY42,((AX42+AY42)/2))</f>
        <v/>
      </c>
      <c r="BB42" s="16">
        <f>IF((((AZ42+BA42)/2)+(C42/(DATOS!$B$14*((AZ42+BA42)/2)))^2/(2*9.81)+B42-(E41+(C41/(DATOS!$B$14*E41))^2/(2*9.81)+B41+0.5*(((DATOS!$B$27*C41/(DATOS!$B$14*E41))^2/((DATOS!$B$14*E41)/(DATOS!$B$14+2*E41))^(4/3))+((DATOS!$B$27*C42/(DATOS!$B$14*((AZ42+BA42)/2)))^2/((DATOS!$B$14*((AZ42+BA42)/2))/(DATOS!$B$14+2*((AZ42+BA42)/2)))^(4/3)))*(A41-A42)))&lt;0,((AZ42+BA42)/2),AZ42)</f>
        <v/>
      </c>
      <c r="BC42" s="16">
        <f>IF((((AZ42+BA42)/2)+(C42/(DATOS!$B$14*((AZ42+BA42)/2)))^2/(2*9.81)+B42-(E41+(C41/(DATOS!$B$14*E41))^2/(2*9.81)+B41+0.5*(((DATOS!$B$27*C41/(DATOS!$B$14*E41))^2/((DATOS!$B$14*E41)/(DATOS!$B$14+2*E41))^(4/3))+((DATOS!$B$27*C42/(DATOS!$B$14*((AZ42+BA42)/2)))^2/((DATOS!$B$14*((AZ42+BA42)/2))/(DATOS!$B$14+2*((AZ42+BA42)/2)))^(4/3)))*(A41-A42)))&lt;0,BA42,((AZ42+BA42)/2))</f>
        <v/>
      </c>
      <c r="BD42" s="16">
        <f>IF((((BB42+BC42)/2)+(C42/(DATOS!$B$14*((BB42+BC42)/2)))^2/(2*9.81)+B42-(E41+(C41/(DATOS!$B$14*E41))^2/(2*9.81)+B41+0.5*(((DATOS!$B$27*C41/(DATOS!$B$14*E41))^2/((DATOS!$B$14*E41)/(DATOS!$B$14+2*E41))^(4/3))+((DATOS!$B$27*C42/(DATOS!$B$14*((BB42+BC42)/2)))^2/((DATOS!$B$14*((BB42+BC42)/2))/(DATOS!$B$14+2*((BB42+BC42)/2)))^(4/3)))*(A41-A42)))&lt;0,((BB42+BC42)/2),BB42)</f>
        <v/>
      </c>
      <c r="BE42" s="16">
        <f>IF((((BB42+BC42)/2)+(C42/(DATOS!$B$14*((BB42+BC42)/2)))^2/(2*9.81)+B42-(E41+(C41/(DATOS!$B$14*E41))^2/(2*9.81)+B41+0.5*(((DATOS!$B$27*C41/(DATOS!$B$14*E41))^2/((DATOS!$B$14*E41)/(DATOS!$B$14+2*E41))^(4/3))+((DATOS!$B$27*C42/(DATOS!$B$14*((BB42+BC42)/2)))^2/((DATOS!$B$14*((BB42+BC42)/2))/(DATOS!$B$14+2*((BB42+BC42)/2)))^(4/3)))*(A41-A42)))&lt;0,BC42,((BB42+BC42)/2))</f>
        <v/>
      </c>
      <c r="BF42" s="16">
        <f>IF((((BD42+BE42)/2)+(C42/(DATOS!$B$14*((BD42+BE42)/2)))^2/(2*9.81)+B42-(E41+(C41/(DATOS!$B$14*E41))^2/(2*9.81)+B41+0.5*(((DATOS!$B$27*C41/(DATOS!$B$14*E41))^2/((DATOS!$B$14*E41)/(DATOS!$B$14+2*E41))^(4/3))+((DATOS!$B$27*C42/(DATOS!$B$14*((BD42+BE42)/2)))^2/((DATOS!$B$14*((BD42+BE42)/2))/(DATOS!$B$14+2*((BD42+BE42)/2)))^(4/3)))*(A41-A42)))&lt;0,((BD42+BE42)/2),BD42)</f>
        <v/>
      </c>
      <c r="BG42" s="16">
        <f>IF((((BD42+BE42)/2)+(C42/(DATOS!$B$14*((BD42+BE42)/2)))^2/(2*9.81)+B42-(E41+(C41/(DATOS!$B$14*E41))^2/(2*9.81)+B41+0.5*(((DATOS!$B$27*C41/(DATOS!$B$14*E41))^2/((DATOS!$B$14*E41)/(DATOS!$B$14+2*E41))^(4/3))+((DATOS!$B$27*C42/(DATOS!$B$14*((BD42+BE42)/2)))^2/((DATOS!$B$14*((BD42+BE42)/2))/(DATOS!$B$14+2*((BD42+BE42)/2)))^(4/3)))*(A41-A42)))&lt;0,BE42,((BD42+BE42)/2))</f>
        <v/>
      </c>
      <c r="BH42" s="16">
        <f>IF((((BF42+BG42)/2)+(C42/(DATOS!$B$14*((BF42+BG42)/2)))^2/(2*9.81)+B42-(E41+(C41/(DATOS!$B$14*E41))^2/(2*9.81)+B41+0.5*(((DATOS!$B$27*C41/(DATOS!$B$14*E41))^2/((DATOS!$B$14*E41)/(DATOS!$B$14+2*E41))^(4/3))+((DATOS!$B$27*C42/(DATOS!$B$14*((BF42+BG42)/2)))^2/((DATOS!$B$14*((BF42+BG42)/2))/(DATOS!$B$14+2*((BF42+BG42)/2)))^(4/3)))*(A41-A42)))&lt;0,((BF42+BG42)/2),BF42)</f>
        <v/>
      </c>
      <c r="BI42" s="16">
        <f>IF((((BF42+BG42)/2)+(C42/(DATOS!$B$14*((BF42+BG42)/2)))^2/(2*9.81)+B42-(E41+(C41/(DATOS!$B$14*E41))^2/(2*9.81)+B41+0.5*(((DATOS!$B$27*C41/(DATOS!$B$14*E41))^2/((DATOS!$B$14*E41)/(DATOS!$B$14+2*E41))^(4/3))+((DATOS!$B$27*C42/(DATOS!$B$14*((BF42+BG42)/2)))^2/((DATOS!$B$14*((BF42+BG42)/2))/(DATOS!$B$14+2*((BF42+BG42)/2)))^(4/3)))*(A41-A42)))&lt;0,BG42,((BF42+BG42)/2))</f>
        <v/>
      </c>
      <c r="BJ42" s="16">
        <f>IF((((BH42+BI42)/2)+(C42/(DATOS!$B$14*((BH42+BI42)/2)))^2/(2*9.81)+B42-(E41+(C41/(DATOS!$B$14*E41))^2/(2*9.81)+B41+0.5*(((DATOS!$B$27*C41/(DATOS!$B$14*E41))^2/((DATOS!$B$14*E41)/(DATOS!$B$14+2*E41))^(4/3))+((DATOS!$B$27*C42/(DATOS!$B$14*((BH42+BI42)/2)))^2/((DATOS!$B$14*((BH42+BI42)/2))/(DATOS!$B$14+2*((BH42+BI42)/2)))^(4/3)))*(A41-A42)))&lt;0,((BH42+BI42)/2),BH42)</f>
        <v/>
      </c>
      <c r="BK42" s="16">
        <f>IF((((BH42+BI42)/2)+(C42/(DATOS!$B$14*((BH42+BI42)/2)))^2/(2*9.81)+B42-(E41+(C41/(DATOS!$B$14*E41))^2/(2*9.81)+B41+0.5*(((DATOS!$B$27*C41/(DATOS!$B$14*E41))^2/((DATOS!$B$14*E41)/(DATOS!$B$14+2*E41))^(4/3))+((DATOS!$B$27*C42/(DATOS!$B$14*((BH42+BI42)/2)))^2/((DATOS!$B$14*((BH42+BI42)/2))/(DATOS!$B$14+2*((BH42+BI42)/2)))^(4/3)))*(A41-A42)))&lt;0,BI42,((BH42+BI42)/2))</f>
        <v/>
      </c>
      <c r="BL42" s="16">
        <f>IF((((BJ42+BK42)/2)+(C42/(DATOS!$B$14*((BJ42+BK42)/2)))^2/(2*9.81)+B42-(E41+(C41/(DATOS!$B$14*E41))^2/(2*9.81)+B41+0.5*(((DATOS!$B$27*C41/(DATOS!$B$14*E41))^2/((DATOS!$B$14*E41)/(DATOS!$B$14+2*E41))^(4/3))+((DATOS!$B$27*C42/(DATOS!$B$14*((BJ42+BK42)/2)))^2/((DATOS!$B$14*((BJ42+BK42)/2))/(DATOS!$B$14+2*((BJ42+BK42)/2)))^(4/3)))*(A41-A42)))&lt;0,((BJ42+BK42)/2),BJ42)</f>
        <v/>
      </c>
      <c r="BM42" s="16">
        <f>IF((((BJ42+BK42)/2)+(C42/(DATOS!$B$14*((BJ42+BK42)/2)))^2/(2*9.81)+B42-(E41+(C41/(DATOS!$B$14*E41))^2/(2*9.81)+B41+0.5*(((DATOS!$B$27*C41/(DATOS!$B$14*E41))^2/((DATOS!$B$14*E41)/(DATOS!$B$14+2*E41))^(4/3))+((DATOS!$B$27*C42/(DATOS!$B$14*((BJ42+BK42)/2)))^2/((DATOS!$B$14*((BJ42+BK42)/2))/(DATOS!$B$14+2*((BJ42+BK42)/2)))^(4/3)))*(A41-A42)))&lt;0,BK42,((BJ42+BK42)/2))</f>
        <v/>
      </c>
      <c r="BN42" s="16">
        <f>IF((((BL42+BM42)/2)+(C42/(DATOS!$B$14*((BL42+BM42)/2)))^2/(2*9.81)+B42-(E41+(C41/(DATOS!$B$14*E41))^2/(2*9.81)+B41+0.5*(((DATOS!$B$27*C41/(DATOS!$B$14*E41))^2/((DATOS!$B$14*E41)/(DATOS!$B$14+2*E41))^(4/3))+((DATOS!$B$27*C42/(DATOS!$B$14*((BL42+BM42)/2)))^2/((DATOS!$B$14*((BL42+BM42)/2))/(DATOS!$B$14+2*((BL42+BM42)/2)))^(4/3)))*(A41-A42)))&lt;0,((BL42+BM42)/2),BL42)</f>
        <v/>
      </c>
      <c r="BO42" s="16">
        <f>IF((((BL42+BM42)/2)+(C42/(DATOS!$B$14*((BL42+BM42)/2)))^2/(2*9.81)+B42-(E41+(C41/(DATOS!$B$14*E41))^2/(2*9.81)+B41+0.5*(((DATOS!$B$27*C41/(DATOS!$B$14*E41))^2/((DATOS!$B$14*E41)/(DATOS!$B$14+2*E41))^(4/3))+((DATOS!$B$27*C42/(DATOS!$B$14*((BL42+BM42)/2)))^2/((DATOS!$B$14*((BL42+BM42)/2))/(DATOS!$B$14+2*((BL42+BM42)/2)))^(4/3)))*(A41-A42)))&lt;0,BM42,((BL42+BM42)/2))</f>
        <v/>
      </c>
      <c r="BP42" s="16">
        <f>IF((((BN42+BO42)/2)+(C42/(DATOS!$B$14*((BN42+BO42)/2)))^2/(2*9.81)+B42-(E41+(C41/(DATOS!$B$14*E41))^2/(2*9.81)+B41+0.5*(((DATOS!$B$27*C41/(DATOS!$B$14*E41))^2/((DATOS!$B$14*E41)/(DATOS!$B$14+2*E41))^(4/3))+((DATOS!$B$27*C42/(DATOS!$B$14*((BN42+BO42)/2)))^2/((DATOS!$B$14*((BN42+BO42)/2))/(DATOS!$B$14+2*((BN42+BO42)/2)))^(4/3)))*(A41-A42)))&lt;0,((BN42+BO42)/2),BN42)</f>
        <v/>
      </c>
      <c r="BQ42" s="16">
        <f>IF((((BN42+BO42)/2)+(C42/(DATOS!$B$14*((BN42+BO42)/2)))^2/(2*9.81)+B42-(E41+(C41/(DATOS!$B$14*E41))^2/(2*9.81)+B41+0.5*(((DATOS!$B$27*C41/(DATOS!$B$14*E41))^2/((DATOS!$B$14*E41)/(DATOS!$B$14+2*E41))^(4/3))+((DATOS!$B$27*C42/(DATOS!$B$14*((BN42+BO42)/2)))^2/((DATOS!$B$14*((BN42+BO42)/2))/(DATOS!$B$14+2*((BN42+BO42)/2)))^(4/3)))*(A41-A42)))&lt;0,BO42,((BN42+BO42)/2))</f>
        <v/>
      </c>
      <c r="BR42" s="16">
        <f>IF((((BP42+BQ42)/2)+(C42/(DATOS!$B$14*((BP42+BQ42)/2)))^2/(2*9.81)+B42-(E41+(C41/(DATOS!$B$14*E41))^2/(2*9.81)+B41+0.5*(((DATOS!$B$27*C41/(DATOS!$B$14*E41))^2/((DATOS!$B$14*E41)/(DATOS!$B$14+2*E41))^(4/3))+((DATOS!$B$27*C42/(DATOS!$B$14*((BP42+BQ42)/2)))^2/((DATOS!$B$14*((BP42+BQ42)/2))/(DATOS!$B$14+2*((BP42+BQ42)/2)))^(4/3)))*(A41-A42)))&lt;0,((BP42+BQ42)/2),BP42)</f>
        <v/>
      </c>
      <c r="BS42" s="16">
        <f>IF((((BP42+BQ42)/2)+(C42/(DATOS!$B$14*((BP42+BQ42)/2)))^2/(2*9.81)+B42-(E41+(C41/(DATOS!$B$14*E41))^2/(2*9.81)+B41+0.5*(((DATOS!$B$27*C41/(DATOS!$B$14*E41))^2/((DATOS!$B$14*E41)/(DATOS!$B$14+2*E41))^(4/3))+((DATOS!$B$27*C42/(DATOS!$B$14*((BP42+BQ42)/2)))^2/((DATOS!$B$14*((BP42+BQ42)/2))/(DATOS!$B$14+2*((BP42+BQ42)/2)))^(4/3)))*(A41-A42)))&lt;0,BQ42,((BP42+BQ42)/2))</f>
        <v/>
      </c>
      <c r="BT42" s="16">
        <f>IF((((BR42+BS42)/2)+(C42/(DATOS!$B$14*((BR42+BS42)/2)))^2/(2*9.81)+B42-(E41+(C41/(DATOS!$B$14*E41))^2/(2*9.81)+B41+0.5*(((DATOS!$B$27*C41/(DATOS!$B$14*E41))^2/((DATOS!$B$14*E41)/(DATOS!$B$14+2*E41))^(4/3))+((DATOS!$B$27*C42/(DATOS!$B$14*((BR42+BS42)/2)))^2/((DATOS!$B$14*((BR42+BS42)/2))/(DATOS!$B$14+2*((BR42+BS42)/2)))^(4/3)))*(A41-A42)))&lt;0,((BR42+BS42)/2),BR42)</f>
        <v/>
      </c>
      <c r="BU42" s="16">
        <f>IF((((BR42+BS42)/2)+(C42/(DATOS!$B$14*((BR42+BS42)/2)))^2/(2*9.81)+B42-(E41+(C41/(DATOS!$B$14*E41))^2/(2*9.81)+B41+0.5*(((DATOS!$B$27*C41/(DATOS!$B$14*E41))^2/((DATOS!$B$14*E41)/(DATOS!$B$14+2*E41))^(4/3))+((DATOS!$B$27*C42/(DATOS!$B$14*((BR42+BS42)/2)))^2/((DATOS!$B$14*((BR42+BS42)/2))/(DATOS!$B$14+2*((BR42+BS42)/2)))^(4/3)))*(A41-A42)))&lt;0,BS42,((BR42+BS42)/2))</f>
        <v/>
      </c>
    </row>
    <row r="43">
      <c r="A43" s="30" t="n">
        <v>66</v>
      </c>
      <c r="B43" s="21">
        <f>DATOS!$B$16-DATOS!$B$19*A43</f>
        <v/>
      </c>
      <c r="C43" s="21">
        <f>IF(A43&lt;CAUDALES!$B$13,CAUDALES!$D$12,IF(A43&lt;CAUDALES!$B$14,CAUDALES!$D$13,IF(A43&lt;CAUDALES!$B$15,CAUDALES!$D$14,CAUDALES!$D$15)))/1000</f>
        <v/>
      </c>
      <c r="D43" s="21">
        <f>(C43^2/(9.81*DATOS!$B$14^2))^(1/3)</f>
        <v/>
      </c>
      <c r="E43" s="29">
        <f>(BT43+BU43)/2</f>
        <v/>
      </c>
      <c r="F43" s="21">
        <f>B43+E43</f>
        <v/>
      </c>
      <c r="G43" s="17">
        <f>C43/(DATOS!$B$14*E43)</f>
        <v/>
      </c>
      <c r="H43" s="17">
        <f>G43/SQRT(9.81*E43)</f>
        <v/>
      </c>
      <c r="I43" s="21">
        <f>IF(A43&lt;=DATOS!$B$20,DATOS!$B$21-IF(AND(A43&gt;=DATOS!$B$23,A43&lt;DATOS!$B$24),DATOS!$B$25,DATOS!$B$22),B43+DATOS!$B$26)</f>
        <v/>
      </c>
      <c r="J43" s="17">
        <f>I43-B43</f>
        <v/>
      </c>
      <c r="K43" s="31">
        <f>E43/J43</f>
        <v/>
      </c>
      <c r="L43" s="21">
        <f>I43-F43</f>
        <v/>
      </c>
      <c r="M43" s="32">
        <f>IF(AND(K43&lt;=DATOS!$B$29,L43&gt;=DATOS!$B$30),"CUMPLE","NO CUMPLE")</f>
        <v/>
      </c>
      <c r="N43" s="13">
        <f>IF(A43&gt;DATOS!$B$20,"cubierto - tramo final",IF(AND(A43&gt;=DATOS!$B$23,A43&lt;DATOS!$B$24),"cubierto - camiones","cubierto"))</f>
        <v/>
      </c>
      <c r="P43" s="16">
        <f>D43*1.001</f>
        <v/>
      </c>
      <c r="Q43" s="16" t="n">
        <v>2</v>
      </c>
      <c r="R43" s="16">
        <f>IF((((P43+Q43)/2)+(C43/(DATOS!$B$14*((P43+Q43)/2)))^2/(2*9.81)+B43-(E42+(C42/(DATOS!$B$14*E42))^2/(2*9.81)+B42+0.5*(((DATOS!$B$27*C42/(DATOS!$B$14*E42))^2/((DATOS!$B$14*E42)/(DATOS!$B$14+2*E42))^(4/3))+((DATOS!$B$27*C43/(DATOS!$B$14*((P43+Q43)/2)))^2/((DATOS!$B$14*((P43+Q43)/2))/(DATOS!$B$14+2*((P43+Q43)/2)))^(4/3)))*(A42-A43)))&lt;0,((P43+Q43)/2),P43)</f>
        <v/>
      </c>
      <c r="S43" s="16">
        <f>IF((((P43+Q43)/2)+(C43/(DATOS!$B$14*((P43+Q43)/2)))^2/(2*9.81)+B43-(E42+(C42/(DATOS!$B$14*E42))^2/(2*9.81)+B42+0.5*(((DATOS!$B$27*C42/(DATOS!$B$14*E42))^2/((DATOS!$B$14*E42)/(DATOS!$B$14+2*E42))^(4/3))+((DATOS!$B$27*C43/(DATOS!$B$14*((P43+Q43)/2)))^2/((DATOS!$B$14*((P43+Q43)/2))/(DATOS!$B$14+2*((P43+Q43)/2)))^(4/3)))*(A42-A43)))&lt;0,Q43,((P43+Q43)/2))</f>
        <v/>
      </c>
      <c r="T43" s="16">
        <f>IF((((R43+S43)/2)+(C43/(DATOS!$B$14*((R43+S43)/2)))^2/(2*9.81)+B43-(E42+(C42/(DATOS!$B$14*E42))^2/(2*9.81)+B42+0.5*(((DATOS!$B$27*C42/(DATOS!$B$14*E42))^2/((DATOS!$B$14*E42)/(DATOS!$B$14+2*E42))^(4/3))+((DATOS!$B$27*C43/(DATOS!$B$14*((R43+S43)/2)))^2/((DATOS!$B$14*((R43+S43)/2))/(DATOS!$B$14+2*((R43+S43)/2)))^(4/3)))*(A42-A43)))&lt;0,((R43+S43)/2),R43)</f>
        <v/>
      </c>
      <c r="U43" s="16">
        <f>IF((((R43+S43)/2)+(C43/(DATOS!$B$14*((R43+S43)/2)))^2/(2*9.81)+B43-(E42+(C42/(DATOS!$B$14*E42))^2/(2*9.81)+B42+0.5*(((DATOS!$B$27*C42/(DATOS!$B$14*E42))^2/((DATOS!$B$14*E42)/(DATOS!$B$14+2*E42))^(4/3))+((DATOS!$B$27*C43/(DATOS!$B$14*((R43+S43)/2)))^2/((DATOS!$B$14*((R43+S43)/2))/(DATOS!$B$14+2*((R43+S43)/2)))^(4/3)))*(A42-A43)))&lt;0,S43,((R43+S43)/2))</f>
        <v/>
      </c>
      <c r="V43" s="16">
        <f>IF((((T43+U43)/2)+(C43/(DATOS!$B$14*((T43+U43)/2)))^2/(2*9.81)+B43-(E42+(C42/(DATOS!$B$14*E42))^2/(2*9.81)+B42+0.5*(((DATOS!$B$27*C42/(DATOS!$B$14*E42))^2/((DATOS!$B$14*E42)/(DATOS!$B$14+2*E42))^(4/3))+((DATOS!$B$27*C43/(DATOS!$B$14*((T43+U43)/2)))^2/((DATOS!$B$14*((T43+U43)/2))/(DATOS!$B$14+2*((T43+U43)/2)))^(4/3)))*(A42-A43)))&lt;0,((T43+U43)/2),T43)</f>
        <v/>
      </c>
      <c r="W43" s="16">
        <f>IF((((T43+U43)/2)+(C43/(DATOS!$B$14*((T43+U43)/2)))^2/(2*9.81)+B43-(E42+(C42/(DATOS!$B$14*E42))^2/(2*9.81)+B42+0.5*(((DATOS!$B$27*C42/(DATOS!$B$14*E42))^2/((DATOS!$B$14*E42)/(DATOS!$B$14+2*E42))^(4/3))+((DATOS!$B$27*C43/(DATOS!$B$14*((T43+U43)/2)))^2/((DATOS!$B$14*((T43+U43)/2))/(DATOS!$B$14+2*((T43+U43)/2)))^(4/3)))*(A42-A43)))&lt;0,U43,((T43+U43)/2))</f>
        <v/>
      </c>
      <c r="X43" s="16">
        <f>IF((((V43+W43)/2)+(C43/(DATOS!$B$14*((V43+W43)/2)))^2/(2*9.81)+B43-(E42+(C42/(DATOS!$B$14*E42))^2/(2*9.81)+B42+0.5*(((DATOS!$B$27*C42/(DATOS!$B$14*E42))^2/((DATOS!$B$14*E42)/(DATOS!$B$14+2*E42))^(4/3))+((DATOS!$B$27*C43/(DATOS!$B$14*((V43+W43)/2)))^2/((DATOS!$B$14*((V43+W43)/2))/(DATOS!$B$14+2*((V43+W43)/2)))^(4/3)))*(A42-A43)))&lt;0,((V43+W43)/2),V43)</f>
        <v/>
      </c>
      <c r="Y43" s="16">
        <f>IF((((V43+W43)/2)+(C43/(DATOS!$B$14*((V43+W43)/2)))^2/(2*9.81)+B43-(E42+(C42/(DATOS!$B$14*E42))^2/(2*9.81)+B42+0.5*(((DATOS!$B$27*C42/(DATOS!$B$14*E42))^2/((DATOS!$B$14*E42)/(DATOS!$B$14+2*E42))^(4/3))+((DATOS!$B$27*C43/(DATOS!$B$14*((V43+W43)/2)))^2/((DATOS!$B$14*((V43+W43)/2))/(DATOS!$B$14+2*((V43+W43)/2)))^(4/3)))*(A42-A43)))&lt;0,W43,((V43+W43)/2))</f>
        <v/>
      </c>
      <c r="Z43" s="16">
        <f>IF((((X43+Y43)/2)+(C43/(DATOS!$B$14*((X43+Y43)/2)))^2/(2*9.81)+B43-(E42+(C42/(DATOS!$B$14*E42))^2/(2*9.81)+B42+0.5*(((DATOS!$B$27*C42/(DATOS!$B$14*E42))^2/((DATOS!$B$14*E42)/(DATOS!$B$14+2*E42))^(4/3))+((DATOS!$B$27*C43/(DATOS!$B$14*((X43+Y43)/2)))^2/((DATOS!$B$14*((X43+Y43)/2))/(DATOS!$B$14+2*((X43+Y43)/2)))^(4/3)))*(A42-A43)))&lt;0,((X43+Y43)/2),X43)</f>
        <v/>
      </c>
      <c r="AA43" s="16">
        <f>IF((((X43+Y43)/2)+(C43/(DATOS!$B$14*((X43+Y43)/2)))^2/(2*9.81)+B43-(E42+(C42/(DATOS!$B$14*E42))^2/(2*9.81)+B42+0.5*(((DATOS!$B$27*C42/(DATOS!$B$14*E42))^2/((DATOS!$B$14*E42)/(DATOS!$B$14+2*E42))^(4/3))+((DATOS!$B$27*C43/(DATOS!$B$14*((X43+Y43)/2)))^2/((DATOS!$B$14*((X43+Y43)/2))/(DATOS!$B$14+2*((X43+Y43)/2)))^(4/3)))*(A42-A43)))&lt;0,Y43,((X43+Y43)/2))</f>
        <v/>
      </c>
      <c r="AB43" s="16">
        <f>IF((((Z43+AA43)/2)+(C43/(DATOS!$B$14*((Z43+AA43)/2)))^2/(2*9.81)+B43-(E42+(C42/(DATOS!$B$14*E42))^2/(2*9.81)+B42+0.5*(((DATOS!$B$27*C42/(DATOS!$B$14*E42))^2/((DATOS!$B$14*E42)/(DATOS!$B$14+2*E42))^(4/3))+((DATOS!$B$27*C43/(DATOS!$B$14*((Z43+AA43)/2)))^2/((DATOS!$B$14*((Z43+AA43)/2))/(DATOS!$B$14+2*((Z43+AA43)/2)))^(4/3)))*(A42-A43)))&lt;0,((Z43+AA43)/2),Z43)</f>
        <v/>
      </c>
      <c r="AC43" s="16">
        <f>IF((((Z43+AA43)/2)+(C43/(DATOS!$B$14*((Z43+AA43)/2)))^2/(2*9.81)+B43-(E42+(C42/(DATOS!$B$14*E42))^2/(2*9.81)+B42+0.5*(((DATOS!$B$27*C42/(DATOS!$B$14*E42))^2/((DATOS!$B$14*E42)/(DATOS!$B$14+2*E42))^(4/3))+((DATOS!$B$27*C43/(DATOS!$B$14*((Z43+AA43)/2)))^2/((DATOS!$B$14*((Z43+AA43)/2))/(DATOS!$B$14+2*((Z43+AA43)/2)))^(4/3)))*(A42-A43)))&lt;0,AA43,((Z43+AA43)/2))</f>
        <v/>
      </c>
      <c r="AD43" s="16">
        <f>IF((((AB43+AC43)/2)+(C43/(DATOS!$B$14*((AB43+AC43)/2)))^2/(2*9.81)+B43-(E42+(C42/(DATOS!$B$14*E42))^2/(2*9.81)+B42+0.5*(((DATOS!$B$27*C42/(DATOS!$B$14*E42))^2/((DATOS!$B$14*E42)/(DATOS!$B$14+2*E42))^(4/3))+((DATOS!$B$27*C43/(DATOS!$B$14*((AB43+AC43)/2)))^2/((DATOS!$B$14*((AB43+AC43)/2))/(DATOS!$B$14+2*((AB43+AC43)/2)))^(4/3)))*(A42-A43)))&lt;0,((AB43+AC43)/2),AB43)</f>
        <v/>
      </c>
      <c r="AE43" s="16">
        <f>IF((((AB43+AC43)/2)+(C43/(DATOS!$B$14*((AB43+AC43)/2)))^2/(2*9.81)+B43-(E42+(C42/(DATOS!$B$14*E42))^2/(2*9.81)+B42+0.5*(((DATOS!$B$27*C42/(DATOS!$B$14*E42))^2/((DATOS!$B$14*E42)/(DATOS!$B$14+2*E42))^(4/3))+((DATOS!$B$27*C43/(DATOS!$B$14*((AB43+AC43)/2)))^2/((DATOS!$B$14*((AB43+AC43)/2))/(DATOS!$B$14+2*((AB43+AC43)/2)))^(4/3)))*(A42-A43)))&lt;0,AC43,((AB43+AC43)/2))</f>
        <v/>
      </c>
      <c r="AF43" s="16">
        <f>IF((((AD43+AE43)/2)+(C43/(DATOS!$B$14*((AD43+AE43)/2)))^2/(2*9.81)+B43-(E42+(C42/(DATOS!$B$14*E42))^2/(2*9.81)+B42+0.5*(((DATOS!$B$27*C42/(DATOS!$B$14*E42))^2/((DATOS!$B$14*E42)/(DATOS!$B$14+2*E42))^(4/3))+((DATOS!$B$27*C43/(DATOS!$B$14*((AD43+AE43)/2)))^2/((DATOS!$B$14*((AD43+AE43)/2))/(DATOS!$B$14+2*((AD43+AE43)/2)))^(4/3)))*(A42-A43)))&lt;0,((AD43+AE43)/2),AD43)</f>
        <v/>
      </c>
      <c r="AG43" s="16">
        <f>IF((((AD43+AE43)/2)+(C43/(DATOS!$B$14*((AD43+AE43)/2)))^2/(2*9.81)+B43-(E42+(C42/(DATOS!$B$14*E42))^2/(2*9.81)+B42+0.5*(((DATOS!$B$27*C42/(DATOS!$B$14*E42))^2/((DATOS!$B$14*E42)/(DATOS!$B$14+2*E42))^(4/3))+((DATOS!$B$27*C43/(DATOS!$B$14*((AD43+AE43)/2)))^2/((DATOS!$B$14*((AD43+AE43)/2))/(DATOS!$B$14+2*((AD43+AE43)/2)))^(4/3)))*(A42-A43)))&lt;0,AE43,((AD43+AE43)/2))</f>
        <v/>
      </c>
      <c r="AH43" s="16">
        <f>IF((((AF43+AG43)/2)+(C43/(DATOS!$B$14*((AF43+AG43)/2)))^2/(2*9.81)+B43-(E42+(C42/(DATOS!$B$14*E42))^2/(2*9.81)+B42+0.5*(((DATOS!$B$27*C42/(DATOS!$B$14*E42))^2/((DATOS!$B$14*E42)/(DATOS!$B$14+2*E42))^(4/3))+((DATOS!$B$27*C43/(DATOS!$B$14*((AF43+AG43)/2)))^2/((DATOS!$B$14*((AF43+AG43)/2))/(DATOS!$B$14+2*((AF43+AG43)/2)))^(4/3)))*(A42-A43)))&lt;0,((AF43+AG43)/2),AF43)</f>
        <v/>
      </c>
      <c r="AI43" s="16">
        <f>IF((((AF43+AG43)/2)+(C43/(DATOS!$B$14*((AF43+AG43)/2)))^2/(2*9.81)+B43-(E42+(C42/(DATOS!$B$14*E42))^2/(2*9.81)+B42+0.5*(((DATOS!$B$27*C42/(DATOS!$B$14*E42))^2/((DATOS!$B$14*E42)/(DATOS!$B$14+2*E42))^(4/3))+((DATOS!$B$27*C43/(DATOS!$B$14*((AF43+AG43)/2)))^2/((DATOS!$B$14*((AF43+AG43)/2))/(DATOS!$B$14+2*((AF43+AG43)/2)))^(4/3)))*(A42-A43)))&lt;0,AG43,((AF43+AG43)/2))</f>
        <v/>
      </c>
      <c r="AJ43" s="16">
        <f>IF((((AH43+AI43)/2)+(C43/(DATOS!$B$14*((AH43+AI43)/2)))^2/(2*9.81)+B43-(E42+(C42/(DATOS!$B$14*E42))^2/(2*9.81)+B42+0.5*(((DATOS!$B$27*C42/(DATOS!$B$14*E42))^2/((DATOS!$B$14*E42)/(DATOS!$B$14+2*E42))^(4/3))+((DATOS!$B$27*C43/(DATOS!$B$14*((AH43+AI43)/2)))^2/((DATOS!$B$14*((AH43+AI43)/2))/(DATOS!$B$14+2*((AH43+AI43)/2)))^(4/3)))*(A42-A43)))&lt;0,((AH43+AI43)/2),AH43)</f>
        <v/>
      </c>
      <c r="AK43" s="16">
        <f>IF((((AH43+AI43)/2)+(C43/(DATOS!$B$14*((AH43+AI43)/2)))^2/(2*9.81)+B43-(E42+(C42/(DATOS!$B$14*E42))^2/(2*9.81)+B42+0.5*(((DATOS!$B$27*C42/(DATOS!$B$14*E42))^2/((DATOS!$B$14*E42)/(DATOS!$B$14+2*E42))^(4/3))+((DATOS!$B$27*C43/(DATOS!$B$14*((AH43+AI43)/2)))^2/((DATOS!$B$14*((AH43+AI43)/2))/(DATOS!$B$14+2*((AH43+AI43)/2)))^(4/3)))*(A42-A43)))&lt;0,AI43,((AH43+AI43)/2))</f>
        <v/>
      </c>
      <c r="AL43" s="16">
        <f>IF((((AJ43+AK43)/2)+(C43/(DATOS!$B$14*((AJ43+AK43)/2)))^2/(2*9.81)+B43-(E42+(C42/(DATOS!$B$14*E42))^2/(2*9.81)+B42+0.5*(((DATOS!$B$27*C42/(DATOS!$B$14*E42))^2/((DATOS!$B$14*E42)/(DATOS!$B$14+2*E42))^(4/3))+((DATOS!$B$27*C43/(DATOS!$B$14*((AJ43+AK43)/2)))^2/((DATOS!$B$14*((AJ43+AK43)/2))/(DATOS!$B$14+2*((AJ43+AK43)/2)))^(4/3)))*(A42-A43)))&lt;0,((AJ43+AK43)/2),AJ43)</f>
        <v/>
      </c>
      <c r="AM43" s="16">
        <f>IF((((AJ43+AK43)/2)+(C43/(DATOS!$B$14*((AJ43+AK43)/2)))^2/(2*9.81)+B43-(E42+(C42/(DATOS!$B$14*E42))^2/(2*9.81)+B42+0.5*(((DATOS!$B$27*C42/(DATOS!$B$14*E42))^2/((DATOS!$B$14*E42)/(DATOS!$B$14+2*E42))^(4/3))+((DATOS!$B$27*C43/(DATOS!$B$14*((AJ43+AK43)/2)))^2/((DATOS!$B$14*((AJ43+AK43)/2))/(DATOS!$B$14+2*((AJ43+AK43)/2)))^(4/3)))*(A42-A43)))&lt;0,AK43,((AJ43+AK43)/2))</f>
        <v/>
      </c>
      <c r="AN43" s="16">
        <f>IF((((AL43+AM43)/2)+(C43/(DATOS!$B$14*((AL43+AM43)/2)))^2/(2*9.81)+B43-(E42+(C42/(DATOS!$B$14*E42))^2/(2*9.81)+B42+0.5*(((DATOS!$B$27*C42/(DATOS!$B$14*E42))^2/((DATOS!$B$14*E42)/(DATOS!$B$14+2*E42))^(4/3))+((DATOS!$B$27*C43/(DATOS!$B$14*((AL43+AM43)/2)))^2/((DATOS!$B$14*((AL43+AM43)/2))/(DATOS!$B$14+2*((AL43+AM43)/2)))^(4/3)))*(A42-A43)))&lt;0,((AL43+AM43)/2),AL43)</f>
        <v/>
      </c>
      <c r="AO43" s="16">
        <f>IF((((AL43+AM43)/2)+(C43/(DATOS!$B$14*((AL43+AM43)/2)))^2/(2*9.81)+B43-(E42+(C42/(DATOS!$B$14*E42))^2/(2*9.81)+B42+0.5*(((DATOS!$B$27*C42/(DATOS!$B$14*E42))^2/((DATOS!$B$14*E42)/(DATOS!$B$14+2*E42))^(4/3))+((DATOS!$B$27*C43/(DATOS!$B$14*((AL43+AM43)/2)))^2/((DATOS!$B$14*((AL43+AM43)/2))/(DATOS!$B$14+2*((AL43+AM43)/2)))^(4/3)))*(A42-A43)))&lt;0,AM43,((AL43+AM43)/2))</f>
        <v/>
      </c>
      <c r="AP43" s="16">
        <f>IF((((AN43+AO43)/2)+(C43/(DATOS!$B$14*((AN43+AO43)/2)))^2/(2*9.81)+B43-(E42+(C42/(DATOS!$B$14*E42))^2/(2*9.81)+B42+0.5*(((DATOS!$B$27*C42/(DATOS!$B$14*E42))^2/((DATOS!$B$14*E42)/(DATOS!$B$14+2*E42))^(4/3))+((DATOS!$B$27*C43/(DATOS!$B$14*((AN43+AO43)/2)))^2/((DATOS!$B$14*((AN43+AO43)/2))/(DATOS!$B$14+2*((AN43+AO43)/2)))^(4/3)))*(A42-A43)))&lt;0,((AN43+AO43)/2),AN43)</f>
        <v/>
      </c>
      <c r="AQ43" s="16">
        <f>IF((((AN43+AO43)/2)+(C43/(DATOS!$B$14*((AN43+AO43)/2)))^2/(2*9.81)+B43-(E42+(C42/(DATOS!$B$14*E42))^2/(2*9.81)+B42+0.5*(((DATOS!$B$27*C42/(DATOS!$B$14*E42))^2/((DATOS!$B$14*E42)/(DATOS!$B$14+2*E42))^(4/3))+((DATOS!$B$27*C43/(DATOS!$B$14*((AN43+AO43)/2)))^2/((DATOS!$B$14*((AN43+AO43)/2))/(DATOS!$B$14+2*((AN43+AO43)/2)))^(4/3)))*(A42-A43)))&lt;0,AO43,((AN43+AO43)/2))</f>
        <v/>
      </c>
      <c r="AR43" s="16">
        <f>IF((((AP43+AQ43)/2)+(C43/(DATOS!$B$14*((AP43+AQ43)/2)))^2/(2*9.81)+B43-(E42+(C42/(DATOS!$B$14*E42))^2/(2*9.81)+B42+0.5*(((DATOS!$B$27*C42/(DATOS!$B$14*E42))^2/((DATOS!$B$14*E42)/(DATOS!$B$14+2*E42))^(4/3))+((DATOS!$B$27*C43/(DATOS!$B$14*((AP43+AQ43)/2)))^2/((DATOS!$B$14*((AP43+AQ43)/2))/(DATOS!$B$14+2*((AP43+AQ43)/2)))^(4/3)))*(A42-A43)))&lt;0,((AP43+AQ43)/2),AP43)</f>
        <v/>
      </c>
      <c r="AS43" s="16">
        <f>IF((((AP43+AQ43)/2)+(C43/(DATOS!$B$14*((AP43+AQ43)/2)))^2/(2*9.81)+B43-(E42+(C42/(DATOS!$B$14*E42))^2/(2*9.81)+B42+0.5*(((DATOS!$B$27*C42/(DATOS!$B$14*E42))^2/((DATOS!$B$14*E42)/(DATOS!$B$14+2*E42))^(4/3))+((DATOS!$B$27*C43/(DATOS!$B$14*((AP43+AQ43)/2)))^2/((DATOS!$B$14*((AP43+AQ43)/2))/(DATOS!$B$14+2*((AP43+AQ43)/2)))^(4/3)))*(A42-A43)))&lt;0,AQ43,((AP43+AQ43)/2))</f>
        <v/>
      </c>
      <c r="AT43" s="16">
        <f>IF((((AR43+AS43)/2)+(C43/(DATOS!$B$14*((AR43+AS43)/2)))^2/(2*9.81)+B43-(E42+(C42/(DATOS!$B$14*E42))^2/(2*9.81)+B42+0.5*(((DATOS!$B$27*C42/(DATOS!$B$14*E42))^2/((DATOS!$B$14*E42)/(DATOS!$B$14+2*E42))^(4/3))+((DATOS!$B$27*C43/(DATOS!$B$14*((AR43+AS43)/2)))^2/((DATOS!$B$14*((AR43+AS43)/2))/(DATOS!$B$14+2*((AR43+AS43)/2)))^(4/3)))*(A42-A43)))&lt;0,((AR43+AS43)/2),AR43)</f>
        <v/>
      </c>
      <c r="AU43" s="16">
        <f>IF((((AR43+AS43)/2)+(C43/(DATOS!$B$14*((AR43+AS43)/2)))^2/(2*9.81)+B43-(E42+(C42/(DATOS!$B$14*E42))^2/(2*9.81)+B42+0.5*(((DATOS!$B$27*C42/(DATOS!$B$14*E42))^2/((DATOS!$B$14*E42)/(DATOS!$B$14+2*E42))^(4/3))+((DATOS!$B$27*C43/(DATOS!$B$14*((AR43+AS43)/2)))^2/((DATOS!$B$14*((AR43+AS43)/2))/(DATOS!$B$14+2*((AR43+AS43)/2)))^(4/3)))*(A42-A43)))&lt;0,AS43,((AR43+AS43)/2))</f>
        <v/>
      </c>
      <c r="AV43" s="16">
        <f>IF((((AT43+AU43)/2)+(C43/(DATOS!$B$14*((AT43+AU43)/2)))^2/(2*9.81)+B43-(E42+(C42/(DATOS!$B$14*E42))^2/(2*9.81)+B42+0.5*(((DATOS!$B$27*C42/(DATOS!$B$14*E42))^2/((DATOS!$B$14*E42)/(DATOS!$B$14+2*E42))^(4/3))+((DATOS!$B$27*C43/(DATOS!$B$14*((AT43+AU43)/2)))^2/((DATOS!$B$14*((AT43+AU43)/2))/(DATOS!$B$14+2*((AT43+AU43)/2)))^(4/3)))*(A42-A43)))&lt;0,((AT43+AU43)/2),AT43)</f>
        <v/>
      </c>
      <c r="AW43" s="16">
        <f>IF((((AT43+AU43)/2)+(C43/(DATOS!$B$14*((AT43+AU43)/2)))^2/(2*9.81)+B43-(E42+(C42/(DATOS!$B$14*E42))^2/(2*9.81)+B42+0.5*(((DATOS!$B$27*C42/(DATOS!$B$14*E42))^2/((DATOS!$B$14*E42)/(DATOS!$B$14+2*E42))^(4/3))+((DATOS!$B$27*C43/(DATOS!$B$14*((AT43+AU43)/2)))^2/((DATOS!$B$14*((AT43+AU43)/2))/(DATOS!$B$14+2*((AT43+AU43)/2)))^(4/3)))*(A42-A43)))&lt;0,AU43,((AT43+AU43)/2))</f>
        <v/>
      </c>
      <c r="AX43" s="16">
        <f>IF((((AV43+AW43)/2)+(C43/(DATOS!$B$14*((AV43+AW43)/2)))^2/(2*9.81)+B43-(E42+(C42/(DATOS!$B$14*E42))^2/(2*9.81)+B42+0.5*(((DATOS!$B$27*C42/(DATOS!$B$14*E42))^2/((DATOS!$B$14*E42)/(DATOS!$B$14+2*E42))^(4/3))+((DATOS!$B$27*C43/(DATOS!$B$14*((AV43+AW43)/2)))^2/((DATOS!$B$14*((AV43+AW43)/2))/(DATOS!$B$14+2*((AV43+AW43)/2)))^(4/3)))*(A42-A43)))&lt;0,((AV43+AW43)/2),AV43)</f>
        <v/>
      </c>
      <c r="AY43" s="16">
        <f>IF((((AV43+AW43)/2)+(C43/(DATOS!$B$14*((AV43+AW43)/2)))^2/(2*9.81)+B43-(E42+(C42/(DATOS!$B$14*E42))^2/(2*9.81)+B42+0.5*(((DATOS!$B$27*C42/(DATOS!$B$14*E42))^2/((DATOS!$B$14*E42)/(DATOS!$B$14+2*E42))^(4/3))+((DATOS!$B$27*C43/(DATOS!$B$14*((AV43+AW43)/2)))^2/((DATOS!$B$14*((AV43+AW43)/2))/(DATOS!$B$14+2*((AV43+AW43)/2)))^(4/3)))*(A42-A43)))&lt;0,AW43,((AV43+AW43)/2))</f>
        <v/>
      </c>
      <c r="AZ43" s="16">
        <f>IF((((AX43+AY43)/2)+(C43/(DATOS!$B$14*((AX43+AY43)/2)))^2/(2*9.81)+B43-(E42+(C42/(DATOS!$B$14*E42))^2/(2*9.81)+B42+0.5*(((DATOS!$B$27*C42/(DATOS!$B$14*E42))^2/((DATOS!$B$14*E42)/(DATOS!$B$14+2*E42))^(4/3))+((DATOS!$B$27*C43/(DATOS!$B$14*((AX43+AY43)/2)))^2/((DATOS!$B$14*((AX43+AY43)/2))/(DATOS!$B$14+2*((AX43+AY43)/2)))^(4/3)))*(A42-A43)))&lt;0,((AX43+AY43)/2),AX43)</f>
        <v/>
      </c>
      <c r="BA43" s="16">
        <f>IF((((AX43+AY43)/2)+(C43/(DATOS!$B$14*((AX43+AY43)/2)))^2/(2*9.81)+B43-(E42+(C42/(DATOS!$B$14*E42))^2/(2*9.81)+B42+0.5*(((DATOS!$B$27*C42/(DATOS!$B$14*E42))^2/((DATOS!$B$14*E42)/(DATOS!$B$14+2*E42))^(4/3))+((DATOS!$B$27*C43/(DATOS!$B$14*((AX43+AY43)/2)))^2/((DATOS!$B$14*((AX43+AY43)/2))/(DATOS!$B$14+2*((AX43+AY43)/2)))^(4/3)))*(A42-A43)))&lt;0,AY43,((AX43+AY43)/2))</f>
        <v/>
      </c>
      <c r="BB43" s="16">
        <f>IF((((AZ43+BA43)/2)+(C43/(DATOS!$B$14*((AZ43+BA43)/2)))^2/(2*9.81)+B43-(E42+(C42/(DATOS!$B$14*E42))^2/(2*9.81)+B42+0.5*(((DATOS!$B$27*C42/(DATOS!$B$14*E42))^2/((DATOS!$B$14*E42)/(DATOS!$B$14+2*E42))^(4/3))+((DATOS!$B$27*C43/(DATOS!$B$14*((AZ43+BA43)/2)))^2/((DATOS!$B$14*((AZ43+BA43)/2))/(DATOS!$B$14+2*((AZ43+BA43)/2)))^(4/3)))*(A42-A43)))&lt;0,((AZ43+BA43)/2),AZ43)</f>
        <v/>
      </c>
      <c r="BC43" s="16">
        <f>IF((((AZ43+BA43)/2)+(C43/(DATOS!$B$14*((AZ43+BA43)/2)))^2/(2*9.81)+B43-(E42+(C42/(DATOS!$B$14*E42))^2/(2*9.81)+B42+0.5*(((DATOS!$B$27*C42/(DATOS!$B$14*E42))^2/((DATOS!$B$14*E42)/(DATOS!$B$14+2*E42))^(4/3))+((DATOS!$B$27*C43/(DATOS!$B$14*((AZ43+BA43)/2)))^2/((DATOS!$B$14*((AZ43+BA43)/2))/(DATOS!$B$14+2*((AZ43+BA43)/2)))^(4/3)))*(A42-A43)))&lt;0,BA43,((AZ43+BA43)/2))</f>
        <v/>
      </c>
      <c r="BD43" s="16">
        <f>IF((((BB43+BC43)/2)+(C43/(DATOS!$B$14*((BB43+BC43)/2)))^2/(2*9.81)+B43-(E42+(C42/(DATOS!$B$14*E42))^2/(2*9.81)+B42+0.5*(((DATOS!$B$27*C42/(DATOS!$B$14*E42))^2/((DATOS!$B$14*E42)/(DATOS!$B$14+2*E42))^(4/3))+((DATOS!$B$27*C43/(DATOS!$B$14*((BB43+BC43)/2)))^2/((DATOS!$B$14*((BB43+BC43)/2))/(DATOS!$B$14+2*((BB43+BC43)/2)))^(4/3)))*(A42-A43)))&lt;0,((BB43+BC43)/2),BB43)</f>
        <v/>
      </c>
      <c r="BE43" s="16">
        <f>IF((((BB43+BC43)/2)+(C43/(DATOS!$B$14*((BB43+BC43)/2)))^2/(2*9.81)+B43-(E42+(C42/(DATOS!$B$14*E42))^2/(2*9.81)+B42+0.5*(((DATOS!$B$27*C42/(DATOS!$B$14*E42))^2/((DATOS!$B$14*E42)/(DATOS!$B$14+2*E42))^(4/3))+((DATOS!$B$27*C43/(DATOS!$B$14*((BB43+BC43)/2)))^2/((DATOS!$B$14*((BB43+BC43)/2))/(DATOS!$B$14+2*((BB43+BC43)/2)))^(4/3)))*(A42-A43)))&lt;0,BC43,((BB43+BC43)/2))</f>
        <v/>
      </c>
      <c r="BF43" s="16">
        <f>IF((((BD43+BE43)/2)+(C43/(DATOS!$B$14*((BD43+BE43)/2)))^2/(2*9.81)+B43-(E42+(C42/(DATOS!$B$14*E42))^2/(2*9.81)+B42+0.5*(((DATOS!$B$27*C42/(DATOS!$B$14*E42))^2/((DATOS!$B$14*E42)/(DATOS!$B$14+2*E42))^(4/3))+((DATOS!$B$27*C43/(DATOS!$B$14*((BD43+BE43)/2)))^2/((DATOS!$B$14*((BD43+BE43)/2))/(DATOS!$B$14+2*((BD43+BE43)/2)))^(4/3)))*(A42-A43)))&lt;0,((BD43+BE43)/2),BD43)</f>
        <v/>
      </c>
      <c r="BG43" s="16">
        <f>IF((((BD43+BE43)/2)+(C43/(DATOS!$B$14*((BD43+BE43)/2)))^2/(2*9.81)+B43-(E42+(C42/(DATOS!$B$14*E42))^2/(2*9.81)+B42+0.5*(((DATOS!$B$27*C42/(DATOS!$B$14*E42))^2/((DATOS!$B$14*E42)/(DATOS!$B$14+2*E42))^(4/3))+((DATOS!$B$27*C43/(DATOS!$B$14*((BD43+BE43)/2)))^2/((DATOS!$B$14*((BD43+BE43)/2))/(DATOS!$B$14+2*((BD43+BE43)/2)))^(4/3)))*(A42-A43)))&lt;0,BE43,((BD43+BE43)/2))</f>
        <v/>
      </c>
      <c r="BH43" s="16">
        <f>IF((((BF43+BG43)/2)+(C43/(DATOS!$B$14*((BF43+BG43)/2)))^2/(2*9.81)+B43-(E42+(C42/(DATOS!$B$14*E42))^2/(2*9.81)+B42+0.5*(((DATOS!$B$27*C42/(DATOS!$B$14*E42))^2/((DATOS!$B$14*E42)/(DATOS!$B$14+2*E42))^(4/3))+((DATOS!$B$27*C43/(DATOS!$B$14*((BF43+BG43)/2)))^2/((DATOS!$B$14*((BF43+BG43)/2))/(DATOS!$B$14+2*((BF43+BG43)/2)))^(4/3)))*(A42-A43)))&lt;0,((BF43+BG43)/2),BF43)</f>
        <v/>
      </c>
      <c r="BI43" s="16">
        <f>IF((((BF43+BG43)/2)+(C43/(DATOS!$B$14*((BF43+BG43)/2)))^2/(2*9.81)+B43-(E42+(C42/(DATOS!$B$14*E42))^2/(2*9.81)+B42+0.5*(((DATOS!$B$27*C42/(DATOS!$B$14*E42))^2/((DATOS!$B$14*E42)/(DATOS!$B$14+2*E42))^(4/3))+((DATOS!$B$27*C43/(DATOS!$B$14*((BF43+BG43)/2)))^2/((DATOS!$B$14*((BF43+BG43)/2))/(DATOS!$B$14+2*((BF43+BG43)/2)))^(4/3)))*(A42-A43)))&lt;0,BG43,((BF43+BG43)/2))</f>
        <v/>
      </c>
      <c r="BJ43" s="16">
        <f>IF((((BH43+BI43)/2)+(C43/(DATOS!$B$14*((BH43+BI43)/2)))^2/(2*9.81)+B43-(E42+(C42/(DATOS!$B$14*E42))^2/(2*9.81)+B42+0.5*(((DATOS!$B$27*C42/(DATOS!$B$14*E42))^2/((DATOS!$B$14*E42)/(DATOS!$B$14+2*E42))^(4/3))+((DATOS!$B$27*C43/(DATOS!$B$14*((BH43+BI43)/2)))^2/((DATOS!$B$14*((BH43+BI43)/2))/(DATOS!$B$14+2*((BH43+BI43)/2)))^(4/3)))*(A42-A43)))&lt;0,((BH43+BI43)/2),BH43)</f>
        <v/>
      </c>
      <c r="BK43" s="16">
        <f>IF((((BH43+BI43)/2)+(C43/(DATOS!$B$14*((BH43+BI43)/2)))^2/(2*9.81)+B43-(E42+(C42/(DATOS!$B$14*E42))^2/(2*9.81)+B42+0.5*(((DATOS!$B$27*C42/(DATOS!$B$14*E42))^2/((DATOS!$B$14*E42)/(DATOS!$B$14+2*E42))^(4/3))+((DATOS!$B$27*C43/(DATOS!$B$14*((BH43+BI43)/2)))^2/((DATOS!$B$14*((BH43+BI43)/2))/(DATOS!$B$14+2*((BH43+BI43)/2)))^(4/3)))*(A42-A43)))&lt;0,BI43,((BH43+BI43)/2))</f>
        <v/>
      </c>
      <c r="BL43" s="16">
        <f>IF((((BJ43+BK43)/2)+(C43/(DATOS!$B$14*((BJ43+BK43)/2)))^2/(2*9.81)+B43-(E42+(C42/(DATOS!$B$14*E42))^2/(2*9.81)+B42+0.5*(((DATOS!$B$27*C42/(DATOS!$B$14*E42))^2/((DATOS!$B$14*E42)/(DATOS!$B$14+2*E42))^(4/3))+((DATOS!$B$27*C43/(DATOS!$B$14*((BJ43+BK43)/2)))^2/((DATOS!$B$14*((BJ43+BK43)/2))/(DATOS!$B$14+2*((BJ43+BK43)/2)))^(4/3)))*(A42-A43)))&lt;0,((BJ43+BK43)/2),BJ43)</f>
        <v/>
      </c>
      <c r="BM43" s="16">
        <f>IF((((BJ43+BK43)/2)+(C43/(DATOS!$B$14*((BJ43+BK43)/2)))^2/(2*9.81)+B43-(E42+(C42/(DATOS!$B$14*E42))^2/(2*9.81)+B42+0.5*(((DATOS!$B$27*C42/(DATOS!$B$14*E42))^2/((DATOS!$B$14*E42)/(DATOS!$B$14+2*E42))^(4/3))+((DATOS!$B$27*C43/(DATOS!$B$14*((BJ43+BK43)/2)))^2/((DATOS!$B$14*((BJ43+BK43)/2))/(DATOS!$B$14+2*((BJ43+BK43)/2)))^(4/3)))*(A42-A43)))&lt;0,BK43,((BJ43+BK43)/2))</f>
        <v/>
      </c>
      <c r="BN43" s="16">
        <f>IF((((BL43+BM43)/2)+(C43/(DATOS!$B$14*((BL43+BM43)/2)))^2/(2*9.81)+B43-(E42+(C42/(DATOS!$B$14*E42))^2/(2*9.81)+B42+0.5*(((DATOS!$B$27*C42/(DATOS!$B$14*E42))^2/((DATOS!$B$14*E42)/(DATOS!$B$14+2*E42))^(4/3))+((DATOS!$B$27*C43/(DATOS!$B$14*((BL43+BM43)/2)))^2/((DATOS!$B$14*((BL43+BM43)/2))/(DATOS!$B$14+2*((BL43+BM43)/2)))^(4/3)))*(A42-A43)))&lt;0,((BL43+BM43)/2),BL43)</f>
        <v/>
      </c>
      <c r="BO43" s="16">
        <f>IF((((BL43+BM43)/2)+(C43/(DATOS!$B$14*((BL43+BM43)/2)))^2/(2*9.81)+B43-(E42+(C42/(DATOS!$B$14*E42))^2/(2*9.81)+B42+0.5*(((DATOS!$B$27*C42/(DATOS!$B$14*E42))^2/((DATOS!$B$14*E42)/(DATOS!$B$14+2*E42))^(4/3))+((DATOS!$B$27*C43/(DATOS!$B$14*((BL43+BM43)/2)))^2/((DATOS!$B$14*((BL43+BM43)/2))/(DATOS!$B$14+2*((BL43+BM43)/2)))^(4/3)))*(A42-A43)))&lt;0,BM43,((BL43+BM43)/2))</f>
        <v/>
      </c>
      <c r="BP43" s="16">
        <f>IF((((BN43+BO43)/2)+(C43/(DATOS!$B$14*((BN43+BO43)/2)))^2/(2*9.81)+B43-(E42+(C42/(DATOS!$B$14*E42))^2/(2*9.81)+B42+0.5*(((DATOS!$B$27*C42/(DATOS!$B$14*E42))^2/((DATOS!$B$14*E42)/(DATOS!$B$14+2*E42))^(4/3))+((DATOS!$B$27*C43/(DATOS!$B$14*((BN43+BO43)/2)))^2/((DATOS!$B$14*((BN43+BO43)/2))/(DATOS!$B$14+2*((BN43+BO43)/2)))^(4/3)))*(A42-A43)))&lt;0,((BN43+BO43)/2),BN43)</f>
        <v/>
      </c>
      <c r="BQ43" s="16">
        <f>IF((((BN43+BO43)/2)+(C43/(DATOS!$B$14*((BN43+BO43)/2)))^2/(2*9.81)+B43-(E42+(C42/(DATOS!$B$14*E42))^2/(2*9.81)+B42+0.5*(((DATOS!$B$27*C42/(DATOS!$B$14*E42))^2/((DATOS!$B$14*E42)/(DATOS!$B$14+2*E42))^(4/3))+((DATOS!$B$27*C43/(DATOS!$B$14*((BN43+BO43)/2)))^2/((DATOS!$B$14*((BN43+BO43)/2))/(DATOS!$B$14+2*((BN43+BO43)/2)))^(4/3)))*(A42-A43)))&lt;0,BO43,((BN43+BO43)/2))</f>
        <v/>
      </c>
      <c r="BR43" s="16">
        <f>IF((((BP43+BQ43)/2)+(C43/(DATOS!$B$14*((BP43+BQ43)/2)))^2/(2*9.81)+B43-(E42+(C42/(DATOS!$B$14*E42))^2/(2*9.81)+B42+0.5*(((DATOS!$B$27*C42/(DATOS!$B$14*E42))^2/((DATOS!$B$14*E42)/(DATOS!$B$14+2*E42))^(4/3))+((DATOS!$B$27*C43/(DATOS!$B$14*((BP43+BQ43)/2)))^2/((DATOS!$B$14*((BP43+BQ43)/2))/(DATOS!$B$14+2*((BP43+BQ43)/2)))^(4/3)))*(A42-A43)))&lt;0,((BP43+BQ43)/2),BP43)</f>
        <v/>
      </c>
      <c r="BS43" s="16">
        <f>IF((((BP43+BQ43)/2)+(C43/(DATOS!$B$14*((BP43+BQ43)/2)))^2/(2*9.81)+B43-(E42+(C42/(DATOS!$B$14*E42))^2/(2*9.81)+B42+0.5*(((DATOS!$B$27*C42/(DATOS!$B$14*E42))^2/((DATOS!$B$14*E42)/(DATOS!$B$14+2*E42))^(4/3))+((DATOS!$B$27*C43/(DATOS!$B$14*((BP43+BQ43)/2)))^2/((DATOS!$B$14*((BP43+BQ43)/2))/(DATOS!$B$14+2*((BP43+BQ43)/2)))^(4/3)))*(A42-A43)))&lt;0,BQ43,((BP43+BQ43)/2))</f>
        <v/>
      </c>
      <c r="BT43" s="16">
        <f>IF((((BR43+BS43)/2)+(C43/(DATOS!$B$14*((BR43+BS43)/2)))^2/(2*9.81)+B43-(E42+(C42/(DATOS!$B$14*E42))^2/(2*9.81)+B42+0.5*(((DATOS!$B$27*C42/(DATOS!$B$14*E42))^2/((DATOS!$B$14*E42)/(DATOS!$B$14+2*E42))^(4/3))+((DATOS!$B$27*C43/(DATOS!$B$14*((BR43+BS43)/2)))^2/((DATOS!$B$14*((BR43+BS43)/2))/(DATOS!$B$14+2*((BR43+BS43)/2)))^(4/3)))*(A42-A43)))&lt;0,((BR43+BS43)/2),BR43)</f>
        <v/>
      </c>
      <c r="BU43" s="16">
        <f>IF((((BR43+BS43)/2)+(C43/(DATOS!$B$14*((BR43+BS43)/2)))^2/(2*9.81)+B43-(E42+(C42/(DATOS!$B$14*E42))^2/(2*9.81)+B42+0.5*(((DATOS!$B$27*C42/(DATOS!$B$14*E42))^2/((DATOS!$B$14*E42)/(DATOS!$B$14+2*E42))^(4/3))+((DATOS!$B$27*C43/(DATOS!$B$14*((BR43+BS43)/2)))^2/((DATOS!$B$14*((BR43+BS43)/2))/(DATOS!$B$14+2*((BR43+BS43)/2)))^(4/3)))*(A42-A43)))&lt;0,BS43,((BR43+BS43)/2))</f>
        <v/>
      </c>
    </row>
    <row r="44">
      <c r="A44" s="30" t="n">
        <v>64</v>
      </c>
      <c r="B44" s="21">
        <f>DATOS!$B$16-DATOS!$B$19*A44</f>
        <v/>
      </c>
      <c r="C44" s="21">
        <f>IF(A44&lt;CAUDALES!$B$13,CAUDALES!$D$12,IF(A44&lt;CAUDALES!$B$14,CAUDALES!$D$13,IF(A44&lt;CAUDALES!$B$15,CAUDALES!$D$14,CAUDALES!$D$15)))/1000</f>
        <v/>
      </c>
      <c r="D44" s="21">
        <f>(C44^2/(9.81*DATOS!$B$14^2))^(1/3)</f>
        <v/>
      </c>
      <c r="E44" s="29">
        <f>(BT44+BU44)/2</f>
        <v/>
      </c>
      <c r="F44" s="21">
        <f>B44+E44</f>
        <v/>
      </c>
      <c r="G44" s="17">
        <f>C44/(DATOS!$B$14*E44)</f>
        <v/>
      </c>
      <c r="H44" s="17">
        <f>G44/SQRT(9.81*E44)</f>
        <v/>
      </c>
      <c r="I44" s="21">
        <f>IF(A44&lt;=DATOS!$B$20,DATOS!$B$21-IF(AND(A44&gt;=DATOS!$B$23,A44&lt;DATOS!$B$24),DATOS!$B$25,DATOS!$B$22),B44+DATOS!$B$26)</f>
        <v/>
      </c>
      <c r="J44" s="17">
        <f>I44-B44</f>
        <v/>
      </c>
      <c r="K44" s="31">
        <f>E44/J44</f>
        <v/>
      </c>
      <c r="L44" s="21">
        <f>I44-F44</f>
        <v/>
      </c>
      <c r="M44" s="32">
        <f>IF(AND(K44&lt;=DATOS!$B$29,L44&gt;=DATOS!$B$30),"CUMPLE","NO CUMPLE")</f>
        <v/>
      </c>
      <c r="N44" s="13">
        <f>IF(A44&gt;DATOS!$B$20,"cubierto - tramo final",IF(AND(A44&gt;=DATOS!$B$23,A44&lt;DATOS!$B$24),"cubierto - camiones","cubierto"))</f>
        <v/>
      </c>
      <c r="P44" s="16">
        <f>D44*1.001</f>
        <v/>
      </c>
      <c r="Q44" s="16" t="n">
        <v>2</v>
      </c>
      <c r="R44" s="16">
        <f>IF((((P44+Q44)/2)+(C44/(DATOS!$B$14*((P44+Q44)/2)))^2/(2*9.81)+B44-(E43+(C43/(DATOS!$B$14*E43))^2/(2*9.81)+B43+0.5*(((DATOS!$B$27*C43/(DATOS!$B$14*E43))^2/((DATOS!$B$14*E43)/(DATOS!$B$14+2*E43))^(4/3))+((DATOS!$B$27*C44/(DATOS!$B$14*((P44+Q44)/2)))^2/((DATOS!$B$14*((P44+Q44)/2))/(DATOS!$B$14+2*((P44+Q44)/2)))^(4/3)))*(A43-A44)))&lt;0,((P44+Q44)/2),P44)</f>
        <v/>
      </c>
      <c r="S44" s="16">
        <f>IF((((P44+Q44)/2)+(C44/(DATOS!$B$14*((P44+Q44)/2)))^2/(2*9.81)+B44-(E43+(C43/(DATOS!$B$14*E43))^2/(2*9.81)+B43+0.5*(((DATOS!$B$27*C43/(DATOS!$B$14*E43))^2/((DATOS!$B$14*E43)/(DATOS!$B$14+2*E43))^(4/3))+((DATOS!$B$27*C44/(DATOS!$B$14*((P44+Q44)/2)))^2/((DATOS!$B$14*((P44+Q44)/2))/(DATOS!$B$14+2*((P44+Q44)/2)))^(4/3)))*(A43-A44)))&lt;0,Q44,((P44+Q44)/2))</f>
        <v/>
      </c>
      <c r="T44" s="16">
        <f>IF((((R44+S44)/2)+(C44/(DATOS!$B$14*((R44+S44)/2)))^2/(2*9.81)+B44-(E43+(C43/(DATOS!$B$14*E43))^2/(2*9.81)+B43+0.5*(((DATOS!$B$27*C43/(DATOS!$B$14*E43))^2/((DATOS!$B$14*E43)/(DATOS!$B$14+2*E43))^(4/3))+((DATOS!$B$27*C44/(DATOS!$B$14*((R44+S44)/2)))^2/((DATOS!$B$14*((R44+S44)/2))/(DATOS!$B$14+2*((R44+S44)/2)))^(4/3)))*(A43-A44)))&lt;0,((R44+S44)/2),R44)</f>
        <v/>
      </c>
      <c r="U44" s="16">
        <f>IF((((R44+S44)/2)+(C44/(DATOS!$B$14*((R44+S44)/2)))^2/(2*9.81)+B44-(E43+(C43/(DATOS!$B$14*E43))^2/(2*9.81)+B43+0.5*(((DATOS!$B$27*C43/(DATOS!$B$14*E43))^2/((DATOS!$B$14*E43)/(DATOS!$B$14+2*E43))^(4/3))+((DATOS!$B$27*C44/(DATOS!$B$14*((R44+S44)/2)))^2/((DATOS!$B$14*((R44+S44)/2))/(DATOS!$B$14+2*((R44+S44)/2)))^(4/3)))*(A43-A44)))&lt;0,S44,((R44+S44)/2))</f>
        <v/>
      </c>
      <c r="V44" s="16">
        <f>IF((((T44+U44)/2)+(C44/(DATOS!$B$14*((T44+U44)/2)))^2/(2*9.81)+B44-(E43+(C43/(DATOS!$B$14*E43))^2/(2*9.81)+B43+0.5*(((DATOS!$B$27*C43/(DATOS!$B$14*E43))^2/((DATOS!$B$14*E43)/(DATOS!$B$14+2*E43))^(4/3))+((DATOS!$B$27*C44/(DATOS!$B$14*((T44+U44)/2)))^2/((DATOS!$B$14*((T44+U44)/2))/(DATOS!$B$14+2*((T44+U44)/2)))^(4/3)))*(A43-A44)))&lt;0,((T44+U44)/2),T44)</f>
        <v/>
      </c>
      <c r="W44" s="16">
        <f>IF((((T44+U44)/2)+(C44/(DATOS!$B$14*((T44+U44)/2)))^2/(2*9.81)+B44-(E43+(C43/(DATOS!$B$14*E43))^2/(2*9.81)+B43+0.5*(((DATOS!$B$27*C43/(DATOS!$B$14*E43))^2/((DATOS!$B$14*E43)/(DATOS!$B$14+2*E43))^(4/3))+((DATOS!$B$27*C44/(DATOS!$B$14*((T44+U44)/2)))^2/((DATOS!$B$14*((T44+U44)/2))/(DATOS!$B$14+2*((T44+U44)/2)))^(4/3)))*(A43-A44)))&lt;0,U44,((T44+U44)/2))</f>
        <v/>
      </c>
      <c r="X44" s="16">
        <f>IF((((V44+W44)/2)+(C44/(DATOS!$B$14*((V44+W44)/2)))^2/(2*9.81)+B44-(E43+(C43/(DATOS!$B$14*E43))^2/(2*9.81)+B43+0.5*(((DATOS!$B$27*C43/(DATOS!$B$14*E43))^2/((DATOS!$B$14*E43)/(DATOS!$B$14+2*E43))^(4/3))+((DATOS!$B$27*C44/(DATOS!$B$14*((V44+W44)/2)))^2/((DATOS!$B$14*((V44+W44)/2))/(DATOS!$B$14+2*((V44+W44)/2)))^(4/3)))*(A43-A44)))&lt;0,((V44+W44)/2),V44)</f>
        <v/>
      </c>
      <c r="Y44" s="16">
        <f>IF((((V44+W44)/2)+(C44/(DATOS!$B$14*((V44+W44)/2)))^2/(2*9.81)+B44-(E43+(C43/(DATOS!$B$14*E43))^2/(2*9.81)+B43+0.5*(((DATOS!$B$27*C43/(DATOS!$B$14*E43))^2/((DATOS!$B$14*E43)/(DATOS!$B$14+2*E43))^(4/3))+((DATOS!$B$27*C44/(DATOS!$B$14*((V44+W44)/2)))^2/((DATOS!$B$14*((V44+W44)/2))/(DATOS!$B$14+2*((V44+W44)/2)))^(4/3)))*(A43-A44)))&lt;0,W44,((V44+W44)/2))</f>
        <v/>
      </c>
      <c r="Z44" s="16">
        <f>IF((((X44+Y44)/2)+(C44/(DATOS!$B$14*((X44+Y44)/2)))^2/(2*9.81)+B44-(E43+(C43/(DATOS!$B$14*E43))^2/(2*9.81)+B43+0.5*(((DATOS!$B$27*C43/(DATOS!$B$14*E43))^2/((DATOS!$B$14*E43)/(DATOS!$B$14+2*E43))^(4/3))+((DATOS!$B$27*C44/(DATOS!$B$14*((X44+Y44)/2)))^2/((DATOS!$B$14*((X44+Y44)/2))/(DATOS!$B$14+2*((X44+Y44)/2)))^(4/3)))*(A43-A44)))&lt;0,((X44+Y44)/2),X44)</f>
        <v/>
      </c>
      <c r="AA44" s="16">
        <f>IF((((X44+Y44)/2)+(C44/(DATOS!$B$14*((X44+Y44)/2)))^2/(2*9.81)+B44-(E43+(C43/(DATOS!$B$14*E43))^2/(2*9.81)+B43+0.5*(((DATOS!$B$27*C43/(DATOS!$B$14*E43))^2/((DATOS!$B$14*E43)/(DATOS!$B$14+2*E43))^(4/3))+((DATOS!$B$27*C44/(DATOS!$B$14*((X44+Y44)/2)))^2/((DATOS!$B$14*((X44+Y44)/2))/(DATOS!$B$14+2*((X44+Y44)/2)))^(4/3)))*(A43-A44)))&lt;0,Y44,((X44+Y44)/2))</f>
        <v/>
      </c>
      <c r="AB44" s="16">
        <f>IF((((Z44+AA44)/2)+(C44/(DATOS!$B$14*((Z44+AA44)/2)))^2/(2*9.81)+B44-(E43+(C43/(DATOS!$B$14*E43))^2/(2*9.81)+B43+0.5*(((DATOS!$B$27*C43/(DATOS!$B$14*E43))^2/((DATOS!$B$14*E43)/(DATOS!$B$14+2*E43))^(4/3))+((DATOS!$B$27*C44/(DATOS!$B$14*((Z44+AA44)/2)))^2/((DATOS!$B$14*((Z44+AA44)/2))/(DATOS!$B$14+2*((Z44+AA44)/2)))^(4/3)))*(A43-A44)))&lt;0,((Z44+AA44)/2),Z44)</f>
        <v/>
      </c>
      <c r="AC44" s="16">
        <f>IF((((Z44+AA44)/2)+(C44/(DATOS!$B$14*((Z44+AA44)/2)))^2/(2*9.81)+B44-(E43+(C43/(DATOS!$B$14*E43))^2/(2*9.81)+B43+0.5*(((DATOS!$B$27*C43/(DATOS!$B$14*E43))^2/((DATOS!$B$14*E43)/(DATOS!$B$14+2*E43))^(4/3))+((DATOS!$B$27*C44/(DATOS!$B$14*((Z44+AA44)/2)))^2/((DATOS!$B$14*((Z44+AA44)/2))/(DATOS!$B$14+2*((Z44+AA44)/2)))^(4/3)))*(A43-A44)))&lt;0,AA44,((Z44+AA44)/2))</f>
        <v/>
      </c>
      <c r="AD44" s="16">
        <f>IF((((AB44+AC44)/2)+(C44/(DATOS!$B$14*((AB44+AC44)/2)))^2/(2*9.81)+B44-(E43+(C43/(DATOS!$B$14*E43))^2/(2*9.81)+B43+0.5*(((DATOS!$B$27*C43/(DATOS!$B$14*E43))^2/((DATOS!$B$14*E43)/(DATOS!$B$14+2*E43))^(4/3))+((DATOS!$B$27*C44/(DATOS!$B$14*((AB44+AC44)/2)))^2/((DATOS!$B$14*((AB44+AC44)/2))/(DATOS!$B$14+2*((AB44+AC44)/2)))^(4/3)))*(A43-A44)))&lt;0,((AB44+AC44)/2),AB44)</f>
        <v/>
      </c>
      <c r="AE44" s="16">
        <f>IF((((AB44+AC44)/2)+(C44/(DATOS!$B$14*((AB44+AC44)/2)))^2/(2*9.81)+B44-(E43+(C43/(DATOS!$B$14*E43))^2/(2*9.81)+B43+0.5*(((DATOS!$B$27*C43/(DATOS!$B$14*E43))^2/((DATOS!$B$14*E43)/(DATOS!$B$14+2*E43))^(4/3))+((DATOS!$B$27*C44/(DATOS!$B$14*((AB44+AC44)/2)))^2/((DATOS!$B$14*((AB44+AC44)/2))/(DATOS!$B$14+2*((AB44+AC44)/2)))^(4/3)))*(A43-A44)))&lt;0,AC44,((AB44+AC44)/2))</f>
        <v/>
      </c>
      <c r="AF44" s="16">
        <f>IF((((AD44+AE44)/2)+(C44/(DATOS!$B$14*((AD44+AE44)/2)))^2/(2*9.81)+B44-(E43+(C43/(DATOS!$B$14*E43))^2/(2*9.81)+B43+0.5*(((DATOS!$B$27*C43/(DATOS!$B$14*E43))^2/((DATOS!$B$14*E43)/(DATOS!$B$14+2*E43))^(4/3))+((DATOS!$B$27*C44/(DATOS!$B$14*((AD44+AE44)/2)))^2/((DATOS!$B$14*((AD44+AE44)/2))/(DATOS!$B$14+2*((AD44+AE44)/2)))^(4/3)))*(A43-A44)))&lt;0,((AD44+AE44)/2),AD44)</f>
        <v/>
      </c>
      <c r="AG44" s="16">
        <f>IF((((AD44+AE44)/2)+(C44/(DATOS!$B$14*((AD44+AE44)/2)))^2/(2*9.81)+B44-(E43+(C43/(DATOS!$B$14*E43))^2/(2*9.81)+B43+0.5*(((DATOS!$B$27*C43/(DATOS!$B$14*E43))^2/((DATOS!$B$14*E43)/(DATOS!$B$14+2*E43))^(4/3))+((DATOS!$B$27*C44/(DATOS!$B$14*((AD44+AE44)/2)))^2/((DATOS!$B$14*((AD44+AE44)/2))/(DATOS!$B$14+2*((AD44+AE44)/2)))^(4/3)))*(A43-A44)))&lt;0,AE44,((AD44+AE44)/2))</f>
        <v/>
      </c>
      <c r="AH44" s="16">
        <f>IF((((AF44+AG44)/2)+(C44/(DATOS!$B$14*((AF44+AG44)/2)))^2/(2*9.81)+B44-(E43+(C43/(DATOS!$B$14*E43))^2/(2*9.81)+B43+0.5*(((DATOS!$B$27*C43/(DATOS!$B$14*E43))^2/((DATOS!$B$14*E43)/(DATOS!$B$14+2*E43))^(4/3))+((DATOS!$B$27*C44/(DATOS!$B$14*((AF44+AG44)/2)))^2/((DATOS!$B$14*((AF44+AG44)/2))/(DATOS!$B$14+2*((AF44+AG44)/2)))^(4/3)))*(A43-A44)))&lt;0,((AF44+AG44)/2),AF44)</f>
        <v/>
      </c>
      <c r="AI44" s="16">
        <f>IF((((AF44+AG44)/2)+(C44/(DATOS!$B$14*((AF44+AG44)/2)))^2/(2*9.81)+B44-(E43+(C43/(DATOS!$B$14*E43))^2/(2*9.81)+B43+0.5*(((DATOS!$B$27*C43/(DATOS!$B$14*E43))^2/((DATOS!$B$14*E43)/(DATOS!$B$14+2*E43))^(4/3))+((DATOS!$B$27*C44/(DATOS!$B$14*((AF44+AG44)/2)))^2/((DATOS!$B$14*((AF44+AG44)/2))/(DATOS!$B$14+2*((AF44+AG44)/2)))^(4/3)))*(A43-A44)))&lt;0,AG44,((AF44+AG44)/2))</f>
        <v/>
      </c>
      <c r="AJ44" s="16">
        <f>IF((((AH44+AI44)/2)+(C44/(DATOS!$B$14*((AH44+AI44)/2)))^2/(2*9.81)+B44-(E43+(C43/(DATOS!$B$14*E43))^2/(2*9.81)+B43+0.5*(((DATOS!$B$27*C43/(DATOS!$B$14*E43))^2/((DATOS!$B$14*E43)/(DATOS!$B$14+2*E43))^(4/3))+((DATOS!$B$27*C44/(DATOS!$B$14*((AH44+AI44)/2)))^2/((DATOS!$B$14*((AH44+AI44)/2))/(DATOS!$B$14+2*((AH44+AI44)/2)))^(4/3)))*(A43-A44)))&lt;0,((AH44+AI44)/2),AH44)</f>
        <v/>
      </c>
      <c r="AK44" s="16">
        <f>IF((((AH44+AI44)/2)+(C44/(DATOS!$B$14*((AH44+AI44)/2)))^2/(2*9.81)+B44-(E43+(C43/(DATOS!$B$14*E43))^2/(2*9.81)+B43+0.5*(((DATOS!$B$27*C43/(DATOS!$B$14*E43))^2/((DATOS!$B$14*E43)/(DATOS!$B$14+2*E43))^(4/3))+((DATOS!$B$27*C44/(DATOS!$B$14*((AH44+AI44)/2)))^2/((DATOS!$B$14*((AH44+AI44)/2))/(DATOS!$B$14+2*((AH44+AI44)/2)))^(4/3)))*(A43-A44)))&lt;0,AI44,((AH44+AI44)/2))</f>
        <v/>
      </c>
      <c r="AL44" s="16">
        <f>IF((((AJ44+AK44)/2)+(C44/(DATOS!$B$14*((AJ44+AK44)/2)))^2/(2*9.81)+B44-(E43+(C43/(DATOS!$B$14*E43))^2/(2*9.81)+B43+0.5*(((DATOS!$B$27*C43/(DATOS!$B$14*E43))^2/((DATOS!$B$14*E43)/(DATOS!$B$14+2*E43))^(4/3))+((DATOS!$B$27*C44/(DATOS!$B$14*((AJ44+AK44)/2)))^2/((DATOS!$B$14*((AJ44+AK44)/2))/(DATOS!$B$14+2*((AJ44+AK44)/2)))^(4/3)))*(A43-A44)))&lt;0,((AJ44+AK44)/2),AJ44)</f>
        <v/>
      </c>
      <c r="AM44" s="16">
        <f>IF((((AJ44+AK44)/2)+(C44/(DATOS!$B$14*((AJ44+AK44)/2)))^2/(2*9.81)+B44-(E43+(C43/(DATOS!$B$14*E43))^2/(2*9.81)+B43+0.5*(((DATOS!$B$27*C43/(DATOS!$B$14*E43))^2/((DATOS!$B$14*E43)/(DATOS!$B$14+2*E43))^(4/3))+((DATOS!$B$27*C44/(DATOS!$B$14*((AJ44+AK44)/2)))^2/((DATOS!$B$14*((AJ44+AK44)/2))/(DATOS!$B$14+2*((AJ44+AK44)/2)))^(4/3)))*(A43-A44)))&lt;0,AK44,((AJ44+AK44)/2))</f>
        <v/>
      </c>
      <c r="AN44" s="16">
        <f>IF((((AL44+AM44)/2)+(C44/(DATOS!$B$14*((AL44+AM44)/2)))^2/(2*9.81)+B44-(E43+(C43/(DATOS!$B$14*E43))^2/(2*9.81)+B43+0.5*(((DATOS!$B$27*C43/(DATOS!$B$14*E43))^2/((DATOS!$B$14*E43)/(DATOS!$B$14+2*E43))^(4/3))+((DATOS!$B$27*C44/(DATOS!$B$14*((AL44+AM44)/2)))^2/((DATOS!$B$14*((AL44+AM44)/2))/(DATOS!$B$14+2*((AL44+AM44)/2)))^(4/3)))*(A43-A44)))&lt;0,((AL44+AM44)/2),AL44)</f>
        <v/>
      </c>
      <c r="AO44" s="16">
        <f>IF((((AL44+AM44)/2)+(C44/(DATOS!$B$14*((AL44+AM44)/2)))^2/(2*9.81)+B44-(E43+(C43/(DATOS!$B$14*E43))^2/(2*9.81)+B43+0.5*(((DATOS!$B$27*C43/(DATOS!$B$14*E43))^2/((DATOS!$B$14*E43)/(DATOS!$B$14+2*E43))^(4/3))+((DATOS!$B$27*C44/(DATOS!$B$14*((AL44+AM44)/2)))^2/((DATOS!$B$14*((AL44+AM44)/2))/(DATOS!$B$14+2*((AL44+AM44)/2)))^(4/3)))*(A43-A44)))&lt;0,AM44,((AL44+AM44)/2))</f>
        <v/>
      </c>
      <c r="AP44" s="16">
        <f>IF((((AN44+AO44)/2)+(C44/(DATOS!$B$14*((AN44+AO44)/2)))^2/(2*9.81)+B44-(E43+(C43/(DATOS!$B$14*E43))^2/(2*9.81)+B43+0.5*(((DATOS!$B$27*C43/(DATOS!$B$14*E43))^2/((DATOS!$B$14*E43)/(DATOS!$B$14+2*E43))^(4/3))+((DATOS!$B$27*C44/(DATOS!$B$14*((AN44+AO44)/2)))^2/((DATOS!$B$14*((AN44+AO44)/2))/(DATOS!$B$14+2*((AN44+AO44)/2)))^(4/3)))*(A43-A44)))&lt;0,((AN44+AO44)/2),AN44)</f>
        <v/>
      </c>
      <c r="AQ44" s="16">
        <f>IF((((AN44+AO44)/2)+(C44/(DATOS!$B$14*((AN44+AO44)/2)))^2/(2*9.81)+B44-(E43+(C43/(DATOS!$B$14*E43))^2/(2*9.81)+B43+0.5*(((DATOS!$B$27*C43/(DATOS!$B$14*E43))^2/((DATOS!$B$14*E43)/(DATOS!$B$14+2*E43))^(4/3))+((DATOS!$B$27*C44/(DATOS!$B$14*((AN44+AO44)/2)))^2/((DATOS!$B$14*((AN44+AO44)/2))/(DATOS!$B$14+2*((AN44+AO44)/2)))^(4/3)))*(A43-A44)))&lt;0,AO44,((AN44+AO44)/2))</f>
        <v/>
      </c>
      <c r="AR44" s="16">
        <f>IF((((AP44+AQ44)/2)+(C44/(DATOS!$B$14*((AP44+AQ44)/2)))^2/(2*9.81)+B44-(E43+(C43/(DATOS!$B$14*E43))^2/(2*9.81)+B43+0.5*(((DATOS!$B$27*C43/(DATOS!$B$14*E43))^2/((DATOS!$B$14*E43)/(DATOS!$B$14+2*E43))^(4/3))+((DATOS!$B$27*C44/(DATOS!$B$14*((AP44+AQ44)/2)))^2/((DATOS!$B$14*((AP44+AQ44)/2))/(DATOS!$B$14+2*((AP44+AQ44)/2)))^(4/3)))*(A43-A44)))&lt;0,((AP44+AQ44)/2),AP44)</f>
        <v/>
      </c>
      <c r="AS44" s="16">
        <f>IF((((AP44+AQ44)/2)+(C44/(DATOS!$B$14*((AP44+AQ44)/2)))^2/(2*9.81)+B44-(E43+(C43/(DATOS!$B$14*E43))^2/(2*9.81)+B43+0.5*(((DATOS!$B$27*C43/(DATOS!$B$14*E43))^2/((DATOS!$B$14*E43)/(DATOS!$B$14+2*E43))^(4/3))+((DATOS!$B$27*C44/(DATOS!$B$14*((AP44+AQ44)/2)))^2/((DATOS!$B$14*((AP44+AQ44)/2))/(DATOS!$B$14+2*((AP44+AQ44)/2)))^(4/3)))*(A43-A44)))&lt;0,AQ44,((AP44+AQ44)/2))</f>
        <v/>
      </c>
      <c r="AT44" s="16">
        <f>IF((((AR44+AS44)/2)+(C44/(DATOS!$B$14*((AR44+AS44)/2)))^2/(2*9.81)+B44-(E43+(C43/(DATOS!$B$14*E43))^2/(2*9.81)+B43+0.5*(((DATOS!$B$27*C43/(DATOS!$B$14*E43))^2/((DATOS!$B$14*E43)/(DATOS!$B$14+2*E43))^(4/3))+((DATOS!$B$27*C44/(DATOS!$B$14*((AR44+AS44)/2)))^2/((DATOS!$B$14*((AR44+AS44)/2))/(DATOS!$B$14+2*((AR44+AS44)/2)))^(4/3)))*(A43-A44)))&lt;0,((AR44+AS44)/2),AR44)</f>
        <v/>
      </c>
      <c r="AU44" s="16">
        <f>IF((((AR44+AS44)/2)+(C44/(DATOS!$B$14*((AR44+AS44)/2)))^2/(2*9.81)+B44-(E43+(C43/(DATOS!$B$14*E43))^2/(2*9.81)+B43+0.5*(((DATOS!$B$27*C43/(DATOS!$B$14*E43))^2/((DATOS!$B$14*E43)/(DATOS!$B$14+2*E43))^(4/3))+((DATOS!$B$27*C44/(DATOS!$B$14*((AR44+AS44)/2)))^2/((DATOS!$B$14*((AR44+AS44)/2))/(DATOS!$B$14+2*((AR44+AS44)/2)))^(4/3)))*(A43-A44)))&lt;0,AS44,((AR44+AS44)/2))</f>
        <v/>
      </c>
      <c r="AV44" s="16">
        <f>IF((((AT44+AU44)/2)+(C44/(DATOS!$B$14*((AT44+AU44)/2)))^2/(2*9.81)+B44-(E43+(C43/(DATOS!$B$14*E43))^2/(2*9.81)+B43+0.5*(((DATOS!$B$27*C43/(DATOS!$B$14*E43))^2/((DATOS!$B$14*E43)/(DATOS!$B$14+2*E43))^(4/3))+((DATOS!$B$27*C44/(DATOS!$B$14*((AT44+AU44)/2)))^2/((DATOS!$B$14*((AT44+AU44)/2))/(DATOS!$B$14+2*((AT44+AU44)/2)))^(4/3)))*(A43-A44)))&lt;0,((AT44+AU44)/2),AT44)</f>
        <v/>
      </c>
      <c r="AW44" s="16">
        <f>IF((((AT44+AU44)/2)+(C44/(DATOS!$B$14*((AT44+AU44)/2)))^2/(2*9.81)+B44-(E43+(C43/(DATOS!$B$14*E43))^2/(2*9.81)+B43+0.5*(((DATOS!$B$27*C43/(DATOS!$B$14*E43))^2/((DATOS!$B$14*E43)/(DATOS!$B$14+2*E43))^(4/3))+((DATOS!$B$27*C44/(DATOS!$B$14*((AT44+AU44)/2)))^2/((DATOS!$B$14*((AT44+AU44)/2))/(DATOS!$B$14+2*((AT44+AU44)/2)))^(4/3)))*(A43-A44)))&lt;0,AU44,((AT44+AU44)/2))</f>
        <v/>
      </c>
      <c r="AX44" s="16">
        <f>IF((((AV44+AW44)/2)+(C44/(DATOS!$B$14*((AV44+AW44)/2)))^2/(2*9.81)+B44-(E43+(C43/(DATOS!$B$14*E43))^2/(2*9.81)+B43+0.5*(((DATOS!$B$27*C43/(DATOS!$B$14*E43))^2/((DATOS!$B$14*E43)/(DATOS!$B$14+2*E43))^(4/3))+((DATOS!$B$27*C44/(DATOS!$B$14*((AV44+AW44)/2)))^2/((DATOS!$B$14*((AV44+AW44)/2))/(DATOS!$B$14+2*((AV44+AW44)/2)))^(4/3)))*(A43-A44)))&lt;0,((AV44+AW44)/2),AV44)</f>
        <v/>
      </c>
      <c r="AY44" s="16">
        <f>IF((((AV44+AW44)/2)+(C44/(DATOS!$B$14*((AV44+AW44)/2)))^2/(2*9.81)+B44-(E43+(C43/(DATOS!$B$14*E43))^2/(2*9.81)+B43+0.5*(((DATOS!$B$27*C43/(DATOS!$B$14*E43))^2/((DATOS!$B$14*E43)/(DATOS!$B$14+2*E43))^(4/3))+((DATOS!$B$27*C44/(DATOS!$B$14*((AV44+AW44)/2)))^2/((DATOS!$B$14*((AV44+AW44)/2))/(DATOS!$B$14+2*((AV44+AW44)/2)))^(4/3)))*(A43-A44)))&lt;0,AW44,((AV44+AW44)/2))</f>
        <v/>
      </c>
      <c r="AZ44" s="16">
        <f>IF((((AX44+AY44)/2)+(C44/(DATOS!$B$14*((AX44+AY44)/2)))^2/(2*9.81)+B44-(E43+(C43/(DATOS!$B$14*E43))^2/(2*9.81)+B43+0.5*(((DATOS!$B$27*C43/(DATOS!$B$14*E43))^2/((DATOS!$B$14*E43)/(DATOS!$B$14+2*E43))^(4/3))+((DATOS!$B$27*C44/(DATOS!$B$14*((AX44+AY44)/2)))^2/((DATOS!$B$14*((AX44+AY44)/2))/(DATOS!$B$14+2*((AX44+AY44)/2)))^(4/3)))*(A43-A44)))&lt;0,((AX44+AY44)/2),AX44)</f>
        <v/>
      </c>
      <c r="BA44" s="16">
        <f>IF((((AX44+AY44)/2)+(C44/(DATOS!$B$14*((AX44+AY44)/2)))^2/(2*9.81)+B44-(E43+(C43/(DATOS!$B$14*E43))^2/(2*9.81)+B43+0.5*(((DATOS!$B$27*C43/(DATOS!$B$14*E43))^2/((DATOS!$B$14*E43)/(DATOS!$B$14+2*E43))^(4/3))+((DATOS!$B$27*C44/(DATOS!$B$14*((AX44+AY44)/2)))^2/((DATOS!$B$14*((AX44+AY44)/2))/(DATOS!$B$14+2*((AX44+AY44)/2)))^(4/3)))*(A43-A44)))&lt;0,AY44,((AX44+AY44)/2))</f>
        <v/>
      </c>
      <c r="BB44" s="16">
        <f>IF((((AZ44+BA44)/2)+(C44/(DATOS!$B$14*((AZ44+BA44)/2)))^2/(2*9.81)+B44-(E43+(C43/(DATOS!$B$14*E43))^2/(2*9.81)+B43+0.5*(((DATOS!$B$27*C43/(DATOS!$B$14*E43))^2/((DATOS!$B$14*E43)/(DATOS!$B$14+2*E43))^(4/3))+((DATOS!$B$27*C44/(DATOS!$B$14*((AZ44+BA44)/2)))^2/((DATOS!$B$14*((AZ44+BA44)/2))/(DATOS!$B$14+2*((AZ44+BA44)/2)))^(4/3)))*(A43-A44)))&lt;0,((AZ44+BA44)/2),AZ44)</f>
        <v/>
      </c>
      <c r="BC44" s="16">
        <f>IF((((AZ44+BA44)/2)+(C44/(DATOS!$B$14*((AZ44+BA44)/2)))^2/(2*9.81)+B44-(E43+(C43/(DATOS!$B$14*E43))^2/(2*9.81)+B43+0.5*(((DATOS!$B$27*C43/(DATOS!$B$14*E43))^2/((DATOS!$B$14*E43)/(DATOS!$B$14+2*E43))^(4/3))+((DATOS!$B$27*C44/(DATOS!$B$14*((AZ44+BA44)/2)))^2/((DATOS!$B$14*((AZ44+BA44)/2))/(DATOS!$B$14+2*((AZ44+BA44)/2)))^(4/3)))*(A43-A44)))&lt;0,BA44,((AZ44+BA44)/2))</f>
        <v/>
      </c>
      <c r="BD44" s="16">
        <f>IF((((BB44+BC44)/2)+(C44/(DATOS!$B$14*((BB44+BC44)/2)))^2/(2*9.81)+B44-(E43+(C43/(DATOS!$B$14*E43))^2/(2*9.81)+B43+0.5*(((DATOS!$B$27*C43/(DATOS!$B$14*E43))^2/((DATOS!$B$14*E43)/(DATOS!$B$14+2*E43))^(4/3))+((DATOS!$B$27*C44/(DATOS!$B$14*((BB44+BC44)/2)))^2/((DATOS!$B$14*((BB44+BC44)/2))/(DATOS!$B$14+2*((BB44+BC44)/2)))^(4/3)))*(A43-A44)))&lt;0,((BB44+BC44)/2),BB44)</f>
        <v/>
      </c>
      <c r="BE44" s="16">
        <f>IF((((BB44+BC44)/2)+(C44/(DATOS!$B$14*((BB44+BC44)/2)))^2/(2*9.81)+B44-(E43+(C43/(DATOS!$B$14*E43))^2/(2*9.81)+B43+0.5*(((DATOS!$B$27*C43/(DATOS!$B$14*E43))^2/((DATOS!$B$14*E43)/(DATOS!$B$14+2*E43))^(4/3))+((DATOS!$B$27*C44/(DATOS!$B$14*((BB44+BC44)/2)))^2/((DATOS!$B$14*((BB44+BC44)/2))/(DATOS!$B$14+2*((BB44+BC44)/2)))^(4/3)))*(A43-A44)))&lt;0,BC44,((BB44+BC44)/2))</f>
        <v/>
      </c>
      <c r="BF44" s="16">
        <f>IF((((BD44+BE44)/2)+(C44/(DATOS!$B$14*((BD44+BE44)/2)))^2/(2*9.81)+B44-(E43+(C43/(DATOS!$B$14*E43))^2/(2*9.81)+B43+0.5*(((DATOS!$B$27*C43/(DATOS!$B$14*E43))^2/((DATOS!$B$14*E43)/(DATOS!$B$14+2*E43))^(4/3))+((DATOS!$B$27*C44/(DATOS!$B$14*((BD44+BE44)/2)))^2/((DATOS!$B$14*((BD44+BE44)/2))/(DATOS!$B$14+2*((BD44+BE44)/2)))^(4/3)))*(A43-A44)))&lt;0,((BD44+BE44)/2),BD44)</f>
        <v/>
      </c>
      <c r="BG44" s="16">
        <f>IF((((BD44+BE44)/2)+(C44/(DATOS!$B$14*((BD44+BE44)/2)))^2/(2*9.81)+B44-(E43+(C43/(DATOS!$B$14*E43))^2/(2*9.81)+B43+0.5*(((DATOS!$B$27*C43/(DATOS!$B$14*E43))^2/((DATOS!$B$14*E43)/(DATOS!$B$14+2*E43))^(4/3))+((DATOS!$B$27*C44/(DATOS!$B$14*((BD44+BE44)/2)))^2/((DATOS!$B$14*((BD44+BE44)/2))/(DATOS!$B$14+2*((BD44+BE44)/2)))^(4/3)))*(A43-A44)))&lt;0,BE44,((BD44+BE44)/2))</f>
        <v/>
      </c>
      <c r="BH44" s="16">
        <f>IF((((BF44+BG44)/2)+(C44/(DATOS!$B$14*((BF44+BG44)/2)))^2/(2*9.81)+B44-(E43+(C43/(DATOS!$B$14*E43))^2/(2*9.81)+B43+0.5*(((DATOS!$B$27*C43/(DATOS!$B$14*E43))^2/((DATOS!$B$14*E43)/(DATOS!$B$14+2*E43))^(4/3))+((DATOS!$B$27*C44/(DATOS!$B$14*((BF44+BG44)/2)))^2/((DATOS!$B$14*((BF44+BG44)/2))/(DATOS!$B$14+2*((BF44+BG44)/2)))^(4/3)))*(A43-A44)))&lt;0,((BF44+BG44)/2),BF44)</f>
        <v/>
      </c>
      <c r="BI44" s="16">
        <f>IF((((BF44+BG44)/2)+(C44/(DATOS!$B$14*((BF44+BG44)/2)))^2/(2*9.81)+B44-(E43+(C43/(DATOS!$B$14*E43))^2/(2*9.81)+B43+0.5*(((DATOS!$B$27*C43/(DATOS!$B$14*E43))^2/((DATOS!$B$14*E43)/(DATOS!$B$14+2*E43))^(4/3))+((DATOS!$B$27*C44/(DATOS!$B$14*((BF44+BG44)/2)))^2/((DATOS!$B$14*((BF44+BG44)/2))/(DATOS!$B$14+2*((BF44+BG44)/2)))^(4/3)))*(A43-A44)))&lt;0,BG44,((BF44+BG44)/2))</f>
        <v/>
      </c>
      <c r="BJ44" s="16">
        <f>IF((((BH44+BI44)/2)+(C44/(DATOS!$B$14*((BH44+BI44)/2)))^2/(2*9.81)+B44-(E43+(C43/(DATOS!$B$14*E43))^2/(2*9.81)+B43+0.5*(((DATOS!$B$27*C43/(DATOS!$B$14*E43))^2/((DATOS!$B$14*E43)/(DATOS!$B$14+2*E43))^(4/3))+((DATOS!$B$27*C44/(DATOS!$B$14*((BH44+BI44)/2)))^2/((DATOS!$B$14*((BH44+BI44)/2))/(DATOS!$B$14+2*((BH44+BI44)/2)))^(4/3)))*(A43-A44)))&lt;0,((BH44+BI44)/2),BH44)</f>
        <v/>
      </c>
      <c r="BK44" s="16">
        <f>IF((((BH44+BI44)/2)+(C44/(DATOS!$B$14*((BH44+BI44)/2)))^2/(2*9.81)+B44-(E43+(C43/(DATOS!$B$14*E43))^2/(2*9.81)+B43+0.5*(((DATOS!$B$27*C43/(DATOS!$B$14*E43))^2/((DATOS!$B$14*E43)/(DATOS!$B$14+2*E43))^(4/3))+((DATOS!$B$27*C44/(DATOS!$B$14*((BH44+BI44)/2)))^2/((DATOS!$B$14*((BH44+BI44)/2))/(DATOS!$B$14+2*((BH44+BI44)/2)))^(4/3)))*(A43-A44)))&lt;0,BI44,((BH44+BI44)/2))</f>
        <v/>
      </c>
      <c r="BL44" s="16">
        <f>IF((((BJ44+BK44)/2)+(C44/(DATOS!$B$14*((BJ44+BK44)/2)))^2/(2*9.81)+B44-(E43+(C43/(DATOS!$B$14*E43))^2/(2*9.81)+B43+0.5*(((DATOS!$B$27*C43/(DATOS!$B$14*E43))^2/((DATOS!$B$14*E43)/(DATOS!$B$14+2*E43))^(4/3))+((DATOS!$B$27*C44/(DATOS!$B$14*((BJ44+BK44)/2)))^2/((DATOS!$B$14*((BJ44+BK44)/2))/(DATOS!$B$14+2*((BJ44+BK44)/2)))^(4/3)))*(A43-A44)))&lt;0,((BJ44+BK44)/2),BJ44)</f>
        <v/>
      </c>
      <c r="BM44" s="16">
        <f>IF((((BJ44+BK44)/2)+(C44/(DATOS!$B$14*((BJ44+BK44)/2)))^2/(2*9.81)+B44-(E43+(C43/(DATOS!$B$14*E43))^2/(2*9.81)+B43+0.5*(((DATOS!$B$27*C43/(DATOS!$B$14*E43))^2/((DATOS!$B$14*E43)/(DATOS!$B$14+2*E43))^(4/3))+((DATOS!$B$27*C44/(DATOS!$B$14*((BJ44+BK44)/2)))^2/((DATOS!$B$14*((BJ44+BK44)/2))/(DATOS!$B$14+2*((BJ44+BK44)/2)))^(4/3)))*(A43-A44)))&lt;0,BK44,((BJ44+BK44)/2))</f>
        <v/>
      </c>
      <c r="BN44" s="16">
        <f>IF((((BL44+BM44)/2)+(C44/(DATOS!$B$14*((BL44+BM44)/2)))^2/(2*9.81)+B44-(E43+(C43/(DATOS!$B$14*E43))^2/(2*9.81)+B43+0.5*(((DATOS!$B$27*C43/(DATOS!$B$14*E43))^2/((DATOS!$B$14*E43)/(DATOS!$B$14+2*E43))^(4/3))+((DATOS!$B$27*C44/(DATOS!$B$14*((BL44+BM44)/2)))^2/((DATOS!$B$14*((BL44+BM44)/2))/(DATOS!$B$14+2*((BL44+BM44)/2)))^(4/3)))*(A43-A44)))&lt;0,((BL44+BM44)/2),BL44)</f>
        <v/>
      </c>
      <c r="BO44" s="16">
        <f>IF((((BL44+BM44)/2)+(C44/(DATOS!$B$14*((BL44+BM44)/2)))^2/(2*9.81)+B44-(E43+(C43/(DATOS!$B$14*E43))^2/(2*9.81)+B43+0.5*(((DATOS!$B$27*C43/(DATOS!$B$14*E43))^2/((DATOS!$B$14*E43)/(DATOS!$B$14+2*E43))^(4/3))+((DATOS!$B$27*C44/(DATOS!$B$14*((BL44+BM44)/2)))^2/((DATOS!$B$14*((BL44+BM44)/2))/(DATOS!$B$14+2*((BL44+BM44)/2)))^(4/3)))*(A43-A44)))&lt;0,BM44,((BL44+BM44)/2))</f>
        <v/>
      </c>
      <c r="BP44" s="16">
        <f>IF((((BN44+BO44)/2)+(C44/(DATOS!$B$14*((BN44+BO44)/2)))^2/(2*9.81)+B44-(E43+(C43/(DATOS!$B$14*E43))^2/(2*9.81)+B43+0.5*(((DATOS!$B$27*C43/(DATOS!$B$14*E43))^2/((DATOS!$B$14*E43)/(DATOS!$B$14+2*E43))^(4/3))+((DATOS!$B$27*C44/(DATOS!$B$14*((BN44+BO44)/2)))^2/((DATOS!$B$14*((BN44+BO44)/2))/(DATOS!$B$14+2*((BN44+BO44)/2)))^(4/3)))*(A43-A44)))&lt;0,((BN44+BO44)/2),BN44)</f>
        <v/>
      </c>
      <c r="BQ44" s="16">
        <f>IF((((BN44+BO44)/2)+(C44/(DATOS!$B$14*((BN44+BO44)/2)))^2/(2*9.81)+B44-(E43+(C43/(DATOS!$B$14*E43))^2/(2*9.81)+B43+0.5*(((DATOS!$B$27*C43/(DATOS!$B$14*E43))^2/((DATOS!$B$14*E43)/(DATOS!$B$14+2*E43))^(4/3))+((DATOS!$B$27*C44/(DATOS!$B$14*((BN44+BO44)/2)))^2/((DATOS!$B$14*((BN44+BO44)/2))/(DATOS!$B$14+2*((BN44+BO44)/2)))^(4/3)))*(A43-A44)))&lt;0,BO44,((BN44+BO44)/2))</f>
        <v/>
      </c>
      <c r="BR44" s="16">
        <f>IF((((BP44+BQ44)/2)+(C44/(DATOS!$B$14*((BP44+BQ44)/2)))^2/(2*9.81)+B44-(E43+(C43/(DATOS!$B$14*E43))^2/(2*9.81)+B43+0.5*(((DATOS!$B$27*C43/(DATOS!$B$14*E43))^2/((DATOS!$B$14*E43)/(DATOS!$B$14+2*E43))^(4/3))+((DATOS!$B$27*C44/(DATOS!$B$14*((BP44+BQ44)/2)))^2/((DATOS!$B$14*((BP44+BQ44)/2))/(DATOS!$B$14+2*((BP44+BQ44)/2)))^(4/3)))*(A43-A44)))&lt;0,((BP44+BQ44)/2),BP44)</f>
        <v/>
      </c>
      <c r="BS44" s="16">
        <f>IF((((BP44+BQ44)/2)+(C44/(DATOS!$B$14*((BP44+BQ44)/2)))^2/(2*9.81)+B44-(E43+(C43/(DATOS!$B$14*E43))^2/(2*9.81)+B43+0.5*(((DATOS!$B$27*C43/(DATOS!$B$14*E43))^2/((DATOS!$B$14*E43)/(DATOS!$B$14+2*E43))^(4/3))+((DATOS!$B$27*C44/(DATOS!$B$14*((BP44+BQ44)/2)))^2/((DATOS!$B$14*((BP44+BQ44)/2))/(DATOS!$B$14+2*((BP44+BQ44)/2)))^(4/3)))*(A43-A44)))&lt;0,BQ44,((BP44+BQ44)/2))</f>
        <v/>
      </c>
      <c r="BT44" s="16">
        <f>IF((((BR44+BS44)/2)+(C44/(DATOS!$B$14*((BR44+BS44)/2)))^2/(2*9.81)+B44-(E43+(C43/(DATOS!$B$14*E43))^2/(2*9.81)+B43+0.5*(((DATOS!$B$27*C43/(DATOS!$B$14*E43))^2/((DATOS!$B$14*E43)/(DATOS!$B$14+2*E43))^(4/3))+((DATOS!$B$27*C44/(DATOS!$B$14*((BR44+BS44)/2)))^2/((DATOS!$B$14*((BR44+BS44)/2))/(DATOS!$B$14+2*((BR44+BS44)/2)))^(4/3)))*(A43-A44)))&lt;0,((BR44+BS44)/2),BR44)</f>
        <v/>
      </c>
      <c r="BU44" s="16">
        <f>IF((((BR44+BS44)/2)+(C44/(DATOS!$B$14*((BR44+BS44)/2)))^2/(2*9.81)+B44-(E43+(C43/(DATOS!$B$14*E43))^2/(2*9.81)+B43+0.5*(((DATOS!$B$27*C43/(DATOS!$B$14*E43))^2/((DATOS!$B$14*E43)/(DATOS!$B$14+2*E43))^(4/3))+((DATOS!$B$27*C44/(DATOS!$B$14*((BR44+BS44)/2)))^2/((DATOS!$B$14*((BR44+BS44)/2))/(DATOS!$B$14+2*((BR44+BS44)/2)))^(4/3)))*(A43-A44)))&lt;0,BS44,((BR44+BS44)/2))</f>
        <v/>
      </c>
    </row>
    <row r="45">
      <c r="A45" s="30" t="n">
        <v>62</v>
      </c>
      <c r="B45" s="21">
        <f>DATOS!$B$16-DATOS!$B$19*A45</f>
        <v/>
      </c>
      <c r="C45" s="21">
        <f>IF(A45&lt;CAUDALES!$B$13,CAUDALES!$D$12,IF(A45&lt;CAUDALES!$B$14,CAUDALES!$D$13,IF(A45&lt;CAUDALES!$B$15,CAUDALES!$D$14,CAUDALES!$D$15)))/1000</f>
        <v/>
      </c>
      <c r="D45" s="21">
        <f>(C45^2/(9.81*DATOS!$B$14^2))^(1/3)</f>
        <v/>
      </c>
      <c r="E45" s="29">
        <f>(BT45+BU45)/2</f>
        <v/>
      </c>
      <c r="F45" s="21">
        <f>B45+E45</f>
        <v/>
      </c>
      <c r="G45" s="17">
        <f>C45/(DATOS!$B$14*E45)</f>
        <v/>
      </c>
      <c r="H45" s="17">
        <f>G45/SQRT(9.81*E45)</f>
        <v/>
      </c>
      <c r="I45" s="21">
        <f>IF(A45&lt;=DATOS!$B$20,DATOS!$B$21-IF(AND(A45&gt;=DATOS!$B$23,A45&lt;DATOS!$B$24),DATOS!$B$25,DATOS!$B$22),B45+DATOS!$B$26)</f>
        <v/>
      </c>
      <c r="J45" s="17">
        <f>I45-B45</f>
        <v/>
      </c>
      <c r="K45" s="31">
        <f>E45/J45</f>
        <v/>
      </c>
      <c r="L45" s="21">
        <f>I45-F45</f>
        <v/>
      </c>
      <c r="M45" s="32">
        <f>IF(AND(K45&lt;=DATOS!$B$29,L45&gt;=DATOS!$B$30),"CUMPLE","NO CUMPLE")</f>
        <v/>
      </c>
      <c r="N45" s="13">
        <f>IF(A45&gt;DATOS!$B$20,"cubierto - tramo final",IF(AND(A45&gt;=DATOS!$B$23,A45&lt;DATOS!$B$24),"cubierto - camiones","cubierto"))</f>
        <v/>
      </c>
      <c r="P45" s="16">
        <f>D45*1.001</f>
        <v/>
      </c>
      <c r="Q45" s="16" t="n">
        <v>2</v>
      </c>
      <c r="R45" s="16">
        <f>IF((((P45+Q45)/2)+(C45/(DATOS!$B$14*((P45+Q45)/2)))^2/(2*9.81)+B45-(E44+(C44/(DATOS!$B$14*E44))^2/(2*9.81)+B44+0.5*(((DATOS!$B$27*C44/(DATOS!$B$14*E44))^2/((DATOS!$B$14*E44)/(DATOS!$B$14+2*E44))^(4/3))+((DATOS!$B$27*C45/(DATOS!$B$14*((P45+Q45)/2)))^2/((DATOS!$B$14*((P45+Q45)/2))/(DATOS!$B$14+2*((P45+Q45)/2)))^(4/3)))*(A44-A45)))&lt;0,((P45+Q45)/2),P45)</f>
        <v/>
      </c>
      <c r="S45" s="16">
        <f>IF((((P45+Q45)/2)+(C45/(DATOS!$B$14*((P45+Q45)/2)))^2/(2*9.81)+B45-(E44+(C44/(DATOS!$B$14*E44))^2/(2*9.81)+B44+0.5*(((DATOS!$B$27*C44/(DATOS!$B$14*E44))^2/((DATOS!$B$14*E44)/(DATOS!$B$14+2*E44))^(4/3))+((DATOS!$B$27*C45/(DATOS!$B$14*((P45+Q45)/2)))^2/((DATOS!$B$14*((P45+Q45)/2))/(DATOS!$B$14+2*((P45+Q45)/2)))^(4/3)))*(A44-A45)))&lt;0,Q45,((P45+Q45)/2))</f>
        <v/>
      </c>
      <c r="T45" s="16">
        <f>IF((((R45+S45)/2)+(C45/(DATOS!$B$14*((R45+S45)/2)))^2/(2*9.81)+B45-(E44+(C44/(DATOS!$B$14*E44))^2/(2*9.81)+B44+0.5*(((DATOS!$B$27*C44/(DATOS!$B$14*E44))^2/((DATOS!$B$14*E44)/(DATOS!$B$14+2*E44))^(4/3))+((DATOS!$B$27*C45/(DATOS!$B$14*((R45+S45)/2)))^2/((DATOS!$B$14*((R45+S45)/2))/(DATOS!$B$14+2*((R45+S45)/2)))^(4/3)))*(A44-A45)))&lt;0,((R45+S45)/2),R45)</f>
        <v/>
      </c>
      <c r="U45" s="16">
        <f>IF((((R45+S45)/2)+(C45/(DATOS!$B$14*((R45+S45)/2)))^2/(2*9.81)+B45-(E44+(C44/(DATOS!$B$14*E44))^2/(2*9.81)+B44+0.5*(((DATOS!$B$27*C44/(DATOS!$B$14*E44))^2/((DATOS!$B$14*E44)/(DATOS!$B$14+2*E44))^(4/3))+((DATOS!$B$27*C45/(DATOS!$B$14*((R45+S45)/2)))^2/((DATOS!$B$14*((R45+S45)/2))/(DATOS!$B$14+2*((R45+S45)/2)))^(4/3)))*(A44-A45)))&lt;0,S45,((R45+S45)/2))</f>
        <v/>
      </c>
      <c r="V45" s="16">
        <f>IF((((T45+U45)/2)+(C45/(DATOS!$B$14*((T45+U45)/2)))^2/(2*9.81)+B45-(E44+(C44/(DATOS!$B$14*E44))^2/(2*9.81)+B44+0.5*(((DATOS!$B$27*C44/(DATOS!$B$14*E44))^2/((DATOS!$B$14*E44)/(DATOS!$B$14+2*E44))^(4/3))+((DATOS!$B$27*C45/(DATOS!$B$14*((T45+U45)/2)))^2/((DATOS!$B$14*((T45+U45)/2))/(DATOS!$B$14+2*((T45+U45)/2)))^(4/3)))*(A44-A45)))&lt;0,((T45+U45)/2),T45)</f>
        <v/>
      </c>
      <c r="W45" s="16">
        <f>IF((((T45+U45)/2)+(C45/(DATOS!$B$14*((T45+U45)/2)))^2/(2*9.81)+B45-(E44+(C44/(DATOS!$B$14*E44))^2/(2*9.81)+B44+0.5*(((DATOS!$B$27*C44/(DATOS!$B$14*E44))^2/((DATOS!$B$14*E44)/(DATOS!$B$14+2*E44))^(4/3))+((DATOS!$B$27*C45/(DATOS!$B$14*((T45+U45)/2)))^2/((DATOS!$B$14*((T45+U45)/2))/(DATOS!$B$14+2*((T45+U45)/2)))^(4/3)))*(A44-A45)))&lt;0,U45,((T45+U45)/2))</f>
        <v/>
      </c>
      <c r="X45" s="16">
        <f>IF((((V45+W45)/2)+(C45/(DATOS!$B$14*((V45+W45)/2)))^2/(2*9.81)+B45-(E44+(C44/(DATOS!$B$14*E44))^2/(2*9.81)+B44+0.5*(((DATOS!$B$27*C44/(DATOS!$B$14*E44))^2/((DATOS!$B$14*E44)/(DATOS!$B$14+2*E44))^(4/3))+((DATOS!$B$27*C45/(DATOS!$B$14*((V45+W45)/2)))^2/((DATOS!$B$14*((V45+W45)/2))/(DATOS!$B$14+2*((V45+W45)/2)))^(4/3)))*(A44-A45)))&lt;0,((V45+W45)/2),V45)</f>
        <v/>
      </c>
      <c r="Y45" s="16">
        <f>IF((((V45+W45)/2)+(C45/(DATOS!$B$14*((V45+W45)/2)))^2/(2*9.81)+B45-(E44+(C44/(DATOS!$B$14*E44))^2/(2*9.81)+B44+0.5*(((DATOS!$B$27*C44/(DATOS!$B$14*E44))^2/((DATOS!$B$14*E44)/(DATOS!$B$14+2*E44))^(4/3))+((DATOS!$B$27*C45/(DATOS!$B$14*((V45+W45)/2)))^2/((DATOS!$B$14*((V45+W45)/2))/(DATOS!$B$14+2*((V45+W45)/2)))^(4/3)))*(A44-A45)))&lt;0,W45,((V45+W45)/2))</f>
        <v/>
      </c>
      <c r="Z45" s="16">
        <f>IF((((X45+Y45)/2)+(C45/(DATOS!$B$14*((X45+Y45)/2)))^2/(2*9.81)+B45-(E44+(C44/(DATOS!$B$14*E44))^2/(2*9.81)+B44+0.5*(((DATOS!$B$27*C44/(DATOS!$B$14*E44))^2/((DATOS!$B$14*E44)/(DATOS!$B$14+2*E44))^(4/3))+((DATOS!$B$27*C45/(DATOS!$B$14*((X45+Y45)/2)))^2/((DATOS!$B$14*((X45+Y45)/2))/(DATOS!$B$14+2*((X45+Y45)/2)))^(4/3)))*(A44-A45)))&lt;0,((X45+Y45)/2),X45)</f>
        <v/>
      </c>
      <c r="AA45" s="16">
        <f>IF((((X45+Y45)/2)+(C45/(DATOS!$B$14*((X45+Y45)/2)))^2/(2*9.81)+B45-(E44+(C44/(DATOS!$B$14*E44))^2/(2*9.81)+B44+0.5*(((DATOS!$B$27*C44/(DATOS!$B$14*E44))^2/((DATOS!$B$14*E44)/(DATOS!$B$14+2*E44))^(4/3))+((DATOS!$B$27*C45/(DATOS!$B$14*((X45+Y45)/2)))^2/((DATOS!$B$14*((X45+Y45)/2))/(DATOS!$B$14+2*((X45+Y45)/2)))^(4/3)))*(A44-A45)))&lt;0,Y45,((X45+Y45)/2))</f>
        <v/>
      </c>
      <c r="AB45" s="16">
        <f>IF((((Z45+AA45)/2)+(C45/(DATOS!$B$14*((Z45+AA45)/2)))^2/(2*9.81)+B45-(E44+(C44/(DATOS!$B$14*E44))^2/(2*9.81)+B44+0.5*(((DATOS!$B$27*C44/(DATOS!$B$14*E44))^2/((DATOS!$B$14*E44)/(DATOS!$B$14+2*E44))^(4/3))+((DATOS!$B$27*C45/(DATOS!$B$14*((Z45+AA45)/2)))^2/((DATOS!$B$14*((Z45+AA45)/2))/(DATOS!$B$14+2*((Z45+AA45)/2)))^(4/3)))*(A44-A45)))&lt;0,((Z45+AA45)/2),Z45)</f>
        <v/>
      </c>
      <c r="AC45" s="16">
        <f>IF((((Z45+AA45)/2)+(C45/(DATOS!$B$14*((Z45+AA45)/2)))^2/(2*9.81)+B45-(E44+(C44/(DATOS!$B$14*E44))^2/(2*9.81)+B44+0.5*(((DATOS!$B$27*C44/(DATOS!$B$14*E44))^2/((DATOS!$B$14*E44)/(DATOS!$B$14+2*E44))^(4/3))+((DATOS!$B$27*C45/(DATOS!$B$14*((Z45+AA45)/2)))^2/((DATOS!$B$14*((Z45+AA45)/2))/(DATOS!$B$14+2*((Z45+AA45)/2)))^(4/3)))*(A44-A45)))&lt;0,AA45,((Z45+AA45)/2))</f>
        <v/>
      </c>
      <c r="AD45" s="16">
        <f>IF((((AB45+AC45)/2)+(C45/(DATOS!$B$14*((AB45+AC45)/2)))^2/(2*9.81)+B45-(E44+(C44/(DATOS!$B$14*E44))^2/(2*9.81)+B44+0.5*(((DATOS!$B$27*C44/(DATOS!$B$14*E44))^2/((DATOS!$B$14*E44)/(DATOS!$B$14+2*E44))^(4/3))+((DATOS!$B$27*C45/(DATOS!$B$14*((AB45+AC45)/2)))^2/((DATOS!$B$14*((AB45+AC45)/2))/(DATOS!$B$14+2*((AB45+AC45)/2)))^(4/3)))*(A44-A45)))&lt;0,((AB45+AC45)/2),AB45)</f>
        <v/>
      </c>
      <c r="AE45" s="16">
        <f>IF((((AB45+AC45)/2)+(C45/(DATOS!$B$14*((AB45+AC45)/2)))^2/(2*9.81)+B45-(E44+(C44/(DATOS!$B$14*E44))^2/(2*9.81)+B44+0.5*(((DATOS!$B$27*C44/(DATOS!$B$14*E44))^2/((DATOS!$B$14*E44)/(DATOS!$B$14+2*E44))^(4/3))+((DATOS!$B$27*C45/(DATOS!$B$14*((AB45+AC45)/2)))^2/((DATOS!$B$14*((AB45+AC45)/2))/(DATOS!$B$14+2*((AB45+AC45)/2)))^(4/3)))*(A44-A45)))&lt;0,AC45,((AB45+AC45)/2))</f>
        <v/>
      </c>
      <c r="AF45" s="16">
        <f>IF((((AD45+AE45)/2)+(C45/(DATOS!$B$14*((AD45+AE45)/2)))^2/(2*9.81)+B45-(E44+(C44/(DATOS!$B$14*E44))^2/(2*9.81)+B44+0.5*(((DATOS!$B$27*C44/(DATOS!$B$14*E44))^2/((DATOS!$B$14*E44)/(DATOS!$B$14+2*E44))^(4/3))+((DATOS!$B$27*C45/(DATOS!$B$14*((AD45+AE45)/2)))^2/((DATOS!$B$14*((AD45+AE45)/2))/(DATOS!$B$14+2*((AD45+AE45)/2)))^(4/3)))*(A44-A45)))&lt;0,((AD45+AE45)/2),AD45)</f>
        <v/>
      </c>
      <c r="AG45" s="16">
        <f>IF((((AD45+AE45)/2)+(C45/(DATOS!$B$14*((AD45+AE45)/2)))^2/(2*9.81)+B45-(E44+(C44/(DATOS!$B$14*E44))^2/(2*9.81)+B44+0.5*(((DATOS!$B$27*C44/(DATOS!$B$14*E44))^2/((DATOS!$B$14*E44)/(DATOS!$B$14+2*E44))^(4/3))+((DATOS!$B$27*C45/(DATOS!$B$14*((AD45+AE45)/2)))^2/((DATOS!$B$14*((AD45+AE45)/2))/(DATOS!$B$14+2*((AD45+AE45)/2)))^(4/3)))*(A44-A45)))&lt;0,AE45,((AD45+AE45)/2))</f>
        <v/>
      </c>
      <c r="AH45" s="16">
        <f>IF((((AF45+AG45)/2)+(C45/(DATOS!$B$14*((AF45+AG45)/2)))^2/(2*9.81)+B45-(E44+(C44/(DATOS!$B$14*E44))^2/(2*9.81)+B44+0.5*(((DATOS!$B$27*C44/(DATOS!$B$14*E44))^2/((DATOS!$B$14*E44)/(DATOS!$B$14+2*E44))^(4/3))+((DATOS!$B$27*C45/(DATOS!$B$14*((AF45+AG45)/2)))^2/((DATOS!$B$14*((AF45+AG45)/2))/(DATOS!$B$14+2*((AF45+AG45)/2)))^(4/3)))*(A44-A45)))&lt;0,((AF45+AG45)/2),AF45)</f>
        <v/>
      </c>
      <c r="AI45" s="16">
        <f>IF((((AF45+AG45)/2)+(C45/(DATOS!$B$14*((AF45+AG45)/2)))^2/(2*9.81)+B45-(E44+(C44/(DATOS!$B$14*E44))^2/(2*9.81)+B44+0.5*(((DATOS!$B$27*C44/(DATOS!$B$14*E44))^2/((DATOS!$B$14*E44)/(DATOS!$B$14+2*E44))^(4/3))+((DATOS!$B$27*C45/(DATOS!$B$14*((AF45+AG45)/2)))^2/((DATOS!$B$14*((AF45+AG45)/2))/(DATOS!$B$14+2*((AF45+AG45)/2)))^(4/3)))*(A44-A45)))&lt;0,AG45,((AF45+AG45)/2))</f>
        <v/>
      </c>
      <c r="AJ45" s="16">
        <f>IF((((AH45+AI45)/2)+(C45/(DATOS!$B$14*((AH45+AI45)/2)))^2/(2*9.81)+B45-(E44+(C44/(DATOS!$B$14*E44))^2/(2*9.81)+B44+0.5*(((DATOS!$B$27*C44/(DATOS!$B$14*E44))^2/((DATOS!$B$14*E44)/(DATOS!$B$14+2*E44))^(4/3))+((DATOS!$B$27*C45/(DATOS!$B$14*((AH45+AI45)/2)))^2/((DATOS!$B$14*((AH45+AI45)/2))/(DATOS!$B$14+2*((AH45+AI45)/2)))^(4/3)))*(A44-A45)))&lt;0,((AH45+AI45)/2),AH45)</f>
        <v/>
      </c>
      <c r="AK45" s="16">
        <f>IF((((AH45+AI45)/2)+(C45/(DATOS!$B$14*((AH45+AI45)/2)))^2/(2*9.81)+B45-(E44+(C44/(DATOS!$B$14*E44))^2/(2*9.81)+B44+0.5*(((DATOS!$B$27*C44/(DATOS!$B$14*E44))^2/((DATOS!$B$14*E44)/(DATOS!$B$14+2*E44))^(4/3))+((DATOS!$B$27*C45/(DATOS!$B$14*((AH45+AI45)/2)))^2/((DATOS!$B$14*((AH45+AI45)/2))/(DATOS!$B$14+2*((AH45+AI45)/2)))^(4/3)))*(A44-A45)))&lt;0,AI45,((AH45+AI45)/2))</f>
        <v/>
      </c>
      <c r="AL45" s="16">
        <f>IF((((AJ45+AK45)/2)+(C45/(DATOS!$B$14*((AJ45+AK45)/2)))^2/(2*9.81)+B45-(E44+(C44/(DATOS!$B$14*E44))^2/(2*9.81)+B44+0.5*(((DATOS!$B$27*C44/(DATOS!$B$14*E44))^2/((DATOS!$B$14*E44)/(DATOS!$B$14+2*E44))^(4/3))+((DATOS!$B$27*C45/(DATOS!$B$14*((AJ45+AK45)/2)))^2/((DATOS!$B$14*((AJ45+AK45)/2))/(DATOS!$B$14+2*((AJ45+AK45)/2)))^(4/3)))*(A44-A45)))&lt;0,((AJ45+AK45)/2),AJ45)</f>
        <v/>
      </c>
      <c r="AM45" s="16">
        <f>IF((((AJ45+AK45)/2)+(C45/(DATOS!$B$14*((AJ45+AK45)/2)))^2/(2*9.81)+B45-(E44+(C44/(DATOS!$B$14*E44))^2/(2*9.81)+B44+0.5*(((DATOS!$B$27*C44/(DATOS!$B$14*E44))^2/((DATOS!$B$14*E44)/(DATOS!$B$14+2*E44))^(4/3))+((DATOS!$B$27*C45/(DATOS!$B$14*((AJ45+AK45)/2)))^2/((DATOS!$B$14*((AJ45+AK45)/2))/(DATOS!$B$14+2*((AJ45+AK45)/2)))^(4/3)))*(A44-A45)))&lt;0,AK45,((AJ45+AK45)/2))</f>
        <v/>
      </c>
      <c r="AN45" s="16">
        <f>IF((((AL45+AM45)/2)+(C45/(DATOS!$B$14*((AL45+AM45)/2)))^2/(2*9.81)+B45-(E44+(C44/(DATOS!$B$14*E44))^2/(2*9.81)+B44+0.5*(((DATOS!$B$27*C44/(DATOS!$B$14*E44))^2/((DATOS!$B$14*E44)/(DATOS!$B$14+2*E44))^(4/3))+((DATOS!$B$27*C45/(DATOS!$B$14*((AL45+AM45)/2)))^2/((DATOS!$B$14*((AL45+AM45)/2))/(DATOS!$B$14+2*((AL45+AM45)/2)))^(4/3)))*(A44-A45)))&lt;0,((AL45+AM45)/2),AL45)</f>
        <v/>
      </c>
      <c r="AO45" s="16">
        <f>IF((((AL45+AM45)/2)+(C45/(DATOS!$B$14*((AL45+AM45)/2)))^2/(2*9.81)+B45-(E44+(C44/(DATOS!$B$14*E44))^2/(2*9.81)+B44+0.5*(((DATOS!$B$27*C44/(DATOS!$B$14*E44))^2/((DATOS!$B$14*E44)/(DATOS!$B$14+2*E44))^(4/3))+((DATOS!$B$27*C45/(DATOS!$B$14*((AL45+AM45)/2)))^2/((DATOS!$B$14*((AL45+AM45)/2))/(DATOS!$B$14+2*((AL45+AM45)/2)))^(4/3)))*(A44-A45)))&lt;0,AM45,((AL45+AM45)/2))</f>
        <v/>
      </c>
      <c r="AP45" s="16">
        <f>IF((((AN45+AO45)/2)+(C45/(DATOS!$B$14*((AN45+AO45)/2)))^2/(2*9.81)+B45-(E44+(C44/(DATOS!$B$14*E44))^2/(2*9.81)+B44+0.5*(((DATOS!$B$27*C44/(DATOS!$B$14*E44))^2/((DATOS!$B$14*E44)/(DATOS!$B$14+2*E44))^(4/3))+((DATOS!$B$27*C45/(DATOS!$B$14*((AN45+AO45)/2)))^2/((DATOS!$B$14*((AN45+AO45)/2))/(DATOS!$B$14+2*((AN45+AO45)/2)))^(4/3)))*(A44-A45)))&lt;0,((AN45+AO45)/2),AN45)</f>
        <v/>
      </c>
      <c r="AQ45" s="16">
        <f>IF((((AN45+AO45)/2)+(C45/(DATOS!$B$14*((AN45+AO45)/2)))^2/(2*9.81)+B45-(E44+(C44/(DATOS!$B$14*E44))^2/(2*9.81)+B44+0.5*(((DATOS!$B$27*C44/(DATOS!$B$14*E44))^2/((DATOS!$B$14*E44)/(DATOS!$B$14+2*E44))^(4/3))+((DATOS!$B$27*C45/(DATOS!$B$14*((AN45+AO45)/2)))^2/((DATOS!$B$14*((AN45+AO45)/2))/(DATOS!$B$14+2*((AN45+AO45)/2)))^(4/3)))*(A44-A45)))&lt;0,AO45,((AN45+AO45)/2))</f>
        <v/>
      </c>
      <c r="AR45" s="16">
        <f>IF((((AP45+AQ45)/2)+(C45/(DATOS!$B$14*((AP45+AQ45)/2)))^2/(2*9.81)+B45-(E44+(C44/(DATOS!$B$14*E44))^2/(2*9.81)+B44+0.5*(((DATOS!$B$27*C44/(DATOS!$B$14*E44))^2/((DATOS!$B$14*E44)/(DATOS!$B$14+2*E44))^(4/3))+((DATOS!$B$27*C45/(DATOS!$B$14*((AP45+AQ45)/2)))^2/((DATOS!$B$14*((AP45+AQ45)/2))/(DATOS!$B$14+2*((AP45+AQ45)/2)))^(4/3)))*(A44-A45)))&lt;0,((AP45+AQ45)/2),AP45)</f>
        <v/>
      </c>
      <c r="AS45" s="16">
        <f>IF((((AP45+AQ45)/2)+(C45/(DATOS!$B$14*((AP45+AQ45)/2)))^2/(2*9.81)+B45-(E44+(C44/(DATOS!$B$14*E44))^2/(2*9.81)+B44+0.5*(((DATOS!$B$27*C44/(DATOS!$B$14*E44))^2/((DATOS!$B$14*E44)/(DATOS!$B$14+2*E44))^(4/3))+((DATOS!$B$27*C45/(DATOS!$B$14*((AP45+AQ45)/2)))^2/((DATOS!$B$14*((AP45+AQ45)/2))/(DATOS!$B$14+2*((AP45+AQ45)/2)))^(4/3)))*(A44-A45)))&lt;0,AQ45,((AP45+AQ45)/2))</f>
        <v/>
      </c>
      <c r="AT45" s="16">
        <f>IF((((AR45+AS45)/2)+(C45/(DATOS!$B$14*((AR45+AS45)/2)))^2/(2*9.81)+B45-(E44+(C44/(DATOS!$B$14*E44))^2/(2*9.81)+B44+0.5*(((DATOS!$B$27*C44/(DATOS!$B$14*E44))^2/((DATOS!$B$14*E44)/(DATOS!$B$14+2*E44))^(4/3))+((DATOS!$B$27*C45/(DATOS!$B$14*((AR45+AS45)/2)))^2/((DATOS!$B$14*((AR45+AS45)/2))/(DATOS!$B$14+2*((AR45+AS45)/2)))^(4/3)))*(A44-A45)))&lt;0,((AR45+AS45)/2),AR45)</f>
        <v/>
      </c>
      <c r="AU45" s="16">
        <f>IF((((AR45+AS45)/2)+(C45/(DATOS!$B$14*((AR45+AS45)/2)))^2/(2*9.81)+B45-(E44+(C44/(DATOS!$B$14*E44))^2/(2*9.81)+B44+0.5*(((DATOS!$B$27*C44/(DATOS!$B$14*E44))^2/((DATOS!$B$14*E44)/(DATOS!$B$14+2*E44))^(4/3))+((DATOS!$B$27*C45/(DATOS!$B$14*((AR45+AS45)/2)))^2/((DATOS!$B$14*((AR45+AS45)/2))/(DATOS!$B$14+2*((AR45+AS45)/2)))^(4/3)))*(A44-A45)))&lt;0,AS45,((AR45+AS45)/2))</f>
        <v/>
      </c>
      <c r="AV45" s="16">
        <f>IF((((AT45+AU45)/2)+(C45/(DATOS!$B$14*((AT45+AU45)/2)))^2/(2*9.81)+B45-(E44+(C44/(DATOS!$B$14*E44))^2/(2*9.81)+B44+0.5*(((DATOS!$B$27*C44/(DATOS!$B$14*E44))^2/((DATOS!$B$14*E44)/(DATOS!$B$14+2*E44))^(4/3))+((DATOS!$B$27*C45/(DATOS!$B$14*((AT45+AU45)/2)))^2/((DATOS!$B$14*((AT45+AU45)/2))/(DATOS!$B$14+2*((AT45+AU45)/2)))^(4/3)))*(A44-A45)))&lt;0,((AT45+AU45)/2),AT45)</f>
        <v/>
      </c>
      <c r="AW45" s="16">
        <f>IF((((AT45+AU45)/2)+(C45/(DATOS!$B$14*((AT45+AU45)/2)))^2/(2*9.81)+B45-(E44+(C44/(DATOS!$B$14*E44))^2/(2*9.81)+B44+0.5*(((DATOS!$B$27*C44/(DATOS!$B$14*E44))^2/((DATOS!$B$14*E44)/(DATOS!$B$14+2*E44))^(4/3))+((DATOS!$B$27*C45/(DATOS!$B$14*((AT45+AU45)/2)))^2/((DATOS!$B$14*((AT45+AU45)/2))/(DATOS!$B$14+2*((AT45+AU45)/2)))^(4/3)))*(A44-A45)))&lt;0,AU45,((AT45+AU45)/2))</f>
        <v/>
      </c>
      <c r="AX45" s="16">
        <f>IF((((AV45+AW45)/2)+(C45/(DATOS!$B$14*((AV45+AW45)/2)))^2/(2*9.81)+B45-(E44+(C44/(DATOS!$B$14*E44))^2/(2*9.81)+B44+0.5*(((DATOS!$B$27*C44/(DATOS!$B$14*E44))^2/((DATOS!$B$14*E44)/(DATOS!$B$14+2*E44))^(4/3))+((DATOS!$B$27*C45/(DATOS!$B$14*((AV45+AW45)/2)))^2/((DATOS!$B$14*((AV45+AW45)/2))/(DATOS!$B$14+2*((AV45+AW45)/2)))^(4/3)))*(A44-A45)))&lt;0,((AV45+AW45)/2),AV45)</f>
        <v/>
      </c>
      <c r="AY45" s="16">
        <f>IF((((AV45+AW45)/2)+(C45/(DATOS!$B$14*((AV45+AW45)/2)))^2/(2*9.81)+B45-(E44+(C44/(DATOS!$B$14*E44))^2/(2*9.81)+B44+0.5*(((DATOS!$B$27*C44/(DATOS!$B$14*E44))^2/((DATOS!$B$14*E44)/(DATOS!$B$14+2*E44))^(4/3))+((DATOS!$B$27*C45/(DATOS!$B$14*((AV45+AW45)/2)))^2/((DATOS!$B$14*((AV45+AW45)/2))/(DATOS!$B$14+2*((AV45+AW45)/2)))^(4/3)))*(A44-A45)))&lt;0,AW45,((AV45+AW45)/2))</f>
        <v/>
      </c>
      <c r="AZ45" s="16">
        <f>IF((((AX45+AY45)/2)+(C45/(DATOS!$B$14*((AX45+AY45)/2)))^2/(2*9.81)+B45-(E44+(C44/(DATOS!$B$14*E44))^2/(2*9.81)+B44+0.5*(((DATOS!$B$27*C44/(DATOS!$B$14*E44))^2/((DATOS!$B$14*E44)/(DATOS!$B$14+2*E44))^(4/3))+((DATOS!$B$27*C45/(DATOS!$B$14*((AX45+AY45)/2)))^2/((DATOS!$B$14*((AX45+AY45)/2))/(DATOS!$B$14+2*((AX45+AY45)/2)))^(4/3)))*(A44-A45)))&lt;0,((AX45+AY45)/2),AX45)</f>
        <v/>
      </c>
      <c r="BA45" s="16">
        <f>IF((((AX45+AY45)/2)+(C45/(DATOS!$B$14*((AX45+AY45)/2)))^2/(2*9.81)+B45-(E44+(C44/(DATOS!$B$14*E44))^2/(2*9.81)+B44+0.5*(((DATOS!$B$27*C44/(DATOS!$B$14*E44))^2/((DATOS!$B$14*E44)/(DATOS!$B$14+2*E44))^(4/3))+((DATOS!$B$27*C45/(DATOS!$B$14*((AX45+AY45)/2)))^2/((DATOS!$B$14*((AX45+AY45)/2))/(DATOS!$B$14+2*((AX45+AY45)/2)))^(4/3)))*(A44-A45)))&lt;0,AY45,((AX45+AY45)/2))</f>
        <v/>
      </c>
      <c r="BB45" s="16">
        <f>IF((((AZ45+BA45)/2)+(C45/(DATOS!$B$14*((AZ45+BA45)/2)))^2/(2*9.81)+B45-(E44+(C44/(DATOS!$B$14*E44))^2/(2*9.81)+B44+0.5*(((DATOS!$B$27*C44/(DATOS!$B$14*E44))^2/((DATOS!$B$14*E44)/(DATOS!$B$14+2*E44))^(4/3))+((DATOS!$B$27*C45/(DATOS!$B$14*((AZ45+BA45)/2)))^2/((DATOS!$B$14*((AZ45+BA45)/2))/(DATOS!$B$14+2*((AZ45+BA45)/2)))^(4/3)))*(A44-A45)))&lt;0,((AZ45+BA45)/2),AZ45)</f>
        <v/>
      </c>
      <c r="BC45" s="16">
        <f>IF((((AZ45+BA45)/2)+(C45/(DATOS!$B$14*((AZ45+BA45)/2)))^2/(2*9.81)+B45-(E44+(C44/(DATOS!$B$14*E44))^2/(2*9.81)+B44+0.5*(((DATOS!$B$27*C44/(DATOS!$B$14*E44))^2/((DATOS!$B$14*E44)/(DATOS!$B$14+2*E44))^(4/3))+((DATOS!$B$27*C45/(DATOS!$B$14*((AZ45+BA45)/2)))^2/((DATOS!$B$14*((AZ45+BA45)/2))/(DATOS!$B$14+2*((AZ45+BA45)/2)))^(4/3)))*(A44-A45)))&lt;0,BA45,((AZ45+BA45)/2))</f>
        <v/>
      </c>
      <c r="BD45" s="16">
        <f>IF((((BB45+BC45)/2)+(C45/(DATOS!$B$14*((BB45+BC45)/2)))^2/(2*9.81)+B45-(E44+(C44/(DATOS!$B$14*E44))^2/(2*9.81)+B44+0.5*(((DATOS!$B$27*C44/(DATOS!$B$14*E44))^2/((DATOS!$B$14*E44)/(DATOS!$B$14+2*E44))^(4/3))+((DATOS!$B$27*C45/(DATOS!$B$14*((BB45+BC45)/2)))^2/((DATOS!$B$14*((BB45+BC45)/2))/(DATOS!$B$14+2*((BB45+BC45)/2)))^(4/3)))*(A44-A45)))&lt;0,((BB45+BC45)/2),BB45)</f>
        <v/>
      </c>
      <c r="BE45" s="16">
        <f>IF((((BB45+BC45)/2)+(C45/(DATOS!$B$14*((BB45+BC45)/2)))^2/(2*9.81)+B45-(E44+(C44/(DATOS!$B$14*E44))^2/(2*9.81)+B44+0.5*(((DATOS!$B$27*C44/(DATOS!$B$14*E44))^2/((DATOS!$B$14*E44)/(DATOS!$B$14+2*E44))^(4/3))+((DATOS!$B$27*C45/(DATOS!$B$14*((BB45+BC45)/2)))^2/((DATOS!$B$14*((BB45+BC45)/2))/(DATOS!$B$14+2*((BB45+BC45)/2)))^(4/3)))*(A44-A45)))&lt;0,BC45,((BB45+BC45)/2))</f>
        <v/>
      </c>
      <c r="BF45" s="16">
        <f>IF((((BD45+BE45)/2)+(C45/(DATOS!$B$14*((BD45+BE45)/2)))^2/(2*9.81)+B45-(E44+(C44/(DATOS!$B$14*E44))^2/(2*9.81)+B44+0.5*(((DATOS!$B$27*C44/(DATOS!$B$14*E44))^2/((DATOS!$B$14*E44)/(DATOS!$B$14+2*E44))^(4/3))+((DATOS!$B$27*C45/(DATOS!$B$14*((BD45+BE45)/2)))^2/((DATOS!$B$14*((BD45+BE45)/2))/(DATOS!$B$14+2*((BD45+BE45)/2)))^(4/3)))*(A44-A45)))&lt;0,((BD45+BE45)/2),BD45)</f>
        <v/>
      </c>
      <c r="BG45" s="16">
        <f>IF((((BD45+BE45)/2)+(C45/(DATOS!$B$14*((BD45+BE45)/2)))^2/(2*9.81)+B45-(E44+(C44/(DATOS!$B$14*E44))^2/(2*9.81)+B44+0.5*(((DATOS!$B$27*C44/(DATOS!$B$14*E44))^2/((DATOS!$B$14*E44)/(DATOS!$B$14+2*E44))^(4/3))+((DATOS!$B$27*C45/(DATOS!$B$14*((BD45+BE45)/2)))^2/((DATOS!$B$14*((BD45+BE45)/2))/(DATOS!$B$14+2*((BD45+BE45)/2)))^(4/3)))*(A44-A45)))&lt;0,BE45,((BD45+BE45)/2))</f>
        <v/>
      </c>
      <c r="BH45" s="16">
        <f>IF((((BF45+BG45)/2)+(C45/(DATOS!$B$14*((BF45+BG45)/2)))^2/(2*9.81)+B45-(E44+(C44/(DATOS!$B$14*E44))^2/(2*9.81)+B44+0.5*(((DATOS!$B$27*C44/(DATOS!$B$14*E44))^2/((DATOS!$B$14*E44)/(DATOS!$B$14+2*E44))^(4/3))+((DATOS!$B$27*C45/(DATOS!$B$14*((BF45+BG45)/2)))^2/((DATOS!$B$14*((BF45+BG45)/2))/(DATOS!$B$14+2*((BF45+BG45)/2)))^(4/3)))*(A44-A45)))&lt;0,((BF45+BG45)/2),BF45)</f>
        <v/>
      </c>
      <c r="BI45" s="16">
        <f>IF((((BF45+BG45)/2)+(C45/(DATOS!$B$14*((BF45+BG45)/2)))^2/(2*9.81)+B45-(E44+(C44/(DATOS!$B$14*E44))^2/(2*9.81)+B44+0.5*(((DATOS!$B$27*C44/(DATOS!$B$14*E44))^2/((DATOS!$B$14*E44)/(DATOS!$B$14+2*E44))^(4/3))+((DATOS!$B$27*C45/(DATOS!$B$14*((BF45+BG45)/2)))^2/((DATOS!$B$14*((BF45+BG45)/2))/(DATOS!$B$14+2*((BF45+BG45)/2)))^(4/3)))*(A44-A45)))&lt;0,BG45,((BF45+BG45)/2))</f>
        <v/>
      </c>
      <c r="BJ45" s="16">
        <f>IF((((BH45+BI45)/2)+(C45/(DATOS!$B$14*((BH45+BI45)/2)))^2/(2*9.81)+B45-(E44+(C44/(DATOS!$B$14*E44))^2/(2*9.81)+B44+0.5*(((DATOS!$B$27*C44/(DATOS!$B$14*E44))^2/((DATOS!$B$14*E44)/(DATOS!$B$14+2*E44))^(4/3))+((DATOS!$B$27*C45/(DATOS!$B$14*((BH45+BI45)/2)))^2/((DATOS!$B$14*((BH45+BI45)/2))/(DATOS!$B$14+2*((BH45+BI45)/2)))^(4/3)))*(A44-A45)))&lt;0,((BH45+BI45)/2),BH45)</f>
        <v/>
      </c>
      <c r="BK45" s="16">
        <f>IF((((BH45+BI45)/2)+(C45/(DATOS!$B$14*((BH45+BI45)/2)))^2/(2*9.81)+B45-(E44+(C44/(DATOS!$B$14*E44))^2/(2*9.81)+B44+0.5*(((DATOS!$B$27*C44/(DATOS!$B$14*E44))^2/((DATOS!$B$14*E44)/(DATOS!$B$14+2*E44))^(4/3))+((DATOS!$B$27*C45/(DATOS!$B$14*((BH45+BI45)/2)))^2/((DATOS!$B$14*((BH45+BI45)/2))/(DATOS!$B$14+2*((BH45+BI45)/2)))^(4/3)))*(A44-A45)))&lt;0,BI45,((BH45+BI45)/2))</f>
        <v/>
      </c>
      <c r="BL45" s="16">
        <f>IF((((BJ45+BK45)/2)+(C45/(DATOS!$B$14*((BJ45+BK45)/2)))^2/(2*9.81)+B45-(E44+(C44/(DATOS!$B$14*E44))^2/(2*9.81)+B44+0.5*(((DATOS!$B$27*C44/(DATOS!$B$14*E44))^2/((DATOS!$B$14*E44)/(DATOS!$B$14+2*E44))^(4/3))+((DATOS!$B$27*C45/(DATOS!$B$14*((BJ45+BK45)/2)))^2/((DATOS!$B$14*((BJ45+BK45)/2))/(DATOS!$B$14+2*((BJ45+BK45)/2)))^(4/3)))*(A44-A45)))&lt;0,((BJ45+BK45)/2),BJ45)</f>
        <v/>
      </c>
      <c r="BM45" s="16">
        <f>IF((((BJ45+BK45)/2)+(C45/(DATOS!$B$14*((BJ45+BK45)/2)))^2/(2*9.81)+B45-(E44+(C44/(DATOS!$B$14*E44))^2/(2*9.81)+B44+0.5*(((DATOS!$B$27*C44/(DATOS!$B$14*E44))^2/((DATOS!$B$14*E44)/(DATOS!$B$14+2*E44))^(4/3))+((DATOS!$B$27*C45/(DATOS!$B$14*((BJ45+BK45)/2)))^2/((DATOS!$B$14*((BJ45+BK45)/2))/(DATOS!$B$14+2*((BJ45+BK45)/2)))^(4/3)))*(A44-A45)))&lt;0,BK45,((BJ45+BK45)/2))</f>
        <v/>
      </c>
      <c r="BN45" s="16">
        <f>IF((((BL45+BM45)/2)+(C45/(DATOS!$B$14*((BL45+BM45)/2)))^2/(2*9.81)+B45-(E44+(C44/(DATOS!$B$14*E44))^2/(2*9.81)+B44+0.5*(((DATOS!$B$27*C44/(DATOS!$B$14*E44))^2/((DATOS!$B$14*E44)/(DATOS!$B$14+2*E44))^(4/3))+((DATOS!$B$27*C45/(DATOS!$B$14*((BL45+BM45)/2)))^2/((DATOS!$B$14*((BL45+BM45)/2))/(DATOS!$B$14+2*((BL45+BM45)/2)))^(4/3)))*(A44-A45)))&lt;0,((BL45+BM45)/2),BL45)</f>
        <v/>
      </c>
      <c r="BO45" s="16">
        <f>IF((((BL45+BM45)/2)+(C45/(DATOS!$B$14*((BL45+BM45)/2)))^2/(2*9.81)+B45-(E44+(C44/(DATOS!$B$14*E44))^2/(2*9.81)+B44+0.5*(((DATOS!$B$27*C44/(DATOS!$B$14*E44))^2/((DATOS!$B$14*E44)/(DATOS!$B$14+2*E44))^(4/3))+((DATOS!$B$27*C45/(DATOS!$B$14*((BL45+BM45)/2)))^2/((DATOS!$B$14*((BL45+BM45)/2))/(DATOS!$B$14+2*((BL45+BM45)/2)))^(4/3)))*(A44-A45)))&lt;0,BM45,((BL45+BM45)/2))</f>
        <v/>
      </c>
      <c r="BP45" s="16">
        <f>IF((((BN45+BO45)/2)+(C45/(DATOS!$B$14*((BN45+BO45)/2)))^2/(2*9.81)+B45-(E44+(C44/(DATOS!$B$14*E44))^2/(2*9.81)+B44+0.5*(((DATOS!$B$27*C44/(DATOS!$B$14*E44))^2/((DATOS!$B$14*E44)/(DATOS!$B$14+2*E44))^(4/3))+((DATOS!$B$27*C45/(DATOS!$B$14*((BN45+BO45)/2)))^2/((DATOS!$B$14*((BN45+BO45)/2))/(DATOS!$B$14+2*((BN45+BO45)/2)))^(4/3)))*(A44-A45)))&lt;0,((BN45+BO45)/2),BN45)</f>
        <v/>
      </c>
      <c r="BQ45" s="16">
        <f>IF((((BN45+BO45)/2)+(C45/(DATOS!$B$14*((BN45+BO45)/2)))^2/(2*9.81)+B45-(E44+(C44/(DATOS!$B$14*E44))^2/(2*9.81)+B44+0.5*(((DATOS!$B$27*C44/(DATOS!$B$14*E44))^2/((DATOS!$B$14*E44)/(DATOS!$B$14+2*E44))^(4/3))+((DATOS!$B$27*C45/(DATOS!$B$14*((BN45+BO45)/2)))^2/((DATOS!$B$14*((BN45+BO45)/2))/(DATOS!$B$14+2*((BN45+BO45)/2)))^(4/3)))*(A44-A45)))&lt;0,BO45,((BN45+BO45)/2))</f>
        <v/>
      </c>
      <c r="BR45" s="16">
        <f>IF((((BP45+BQ45)/2)+(C45/(DATOS!$B$14*((BP45+BQ45)/2)))^2/(2*9.81)+B45-(E44+(C44/(DATOS!$B$14*E44))^2/(2*9.81)+B44+0.5*(((DATOS!$B$27*C44/(DATOS!$B$14*E44))^2/((DATOS!$B$14*E44)/(DATOS!$B$14+2*E44))^(4/3))+((DATOS!$B$27*C45/(DATOS!$B$14*((BP45+BQ45)/2)))^2/((DATOS!$B$14*((BP45+BQ45)/2))/(DATOS!$B$14+2*((BP45+BQ45)/2)))^(4/3)))*(A44-A45)))&lt;0,((BP45+BQ45)/2),BP45)</f>
        <v/>
      </c>
      <c r="BS45" s="16">
        <f>IF((((BP45+BQ45)/2)+(C45/(DATOS!$B$14*((BP45+BQ45)/2)))^2/(2*9.81)+B45-(E44+(C44/(DATOS!$B$14*E44))^2/(2*9.81)+B44+0.5*(((DATOS!$B$27*C44/(DATOS!$B$14*E44))^2/((DATOS!$B$14*E44)/(DATOS!$B$14+2*E44))^(4/3))+((DATOS!$B$27*C45/(DATOS!$B$14*((BP45+BQ45)/2)))^2/((DATOS!$B$14*((BP45+BQ45)/2))/(DATOS!$B$14+2*((BP45+BQ45)/2)))^(4/3)))*(A44-A45)))&lt;0,BQ45,((BP45+BQ45)/2))</f>
        <v/>
      </c>
      <c r="BT45" s="16">
        <f>IF((((BR45+BS45)/2)+(C45/(DATOS!$B$14*((BR45+BS45)/2)))^2/(2*9.81)+B45-(E44+(C44/(DATOS!$B$14*E44))^2/(2*9.81)+B44+0.5*(((DATOS!$B$27*C44/(DATOS!$B$14*E44))^2/((DATOS!$B$14*E44)/(DATOS!$B$14+2*E44))^(4/3))+((DATOS!$B$27*C45/(DATOS!$B$14*((BR45+BS45)/2)))^2/((DATOS!$B$14*((BR45+BS45)/2))/(DATOS!$B$14+2*((BR45+BS45)/2)))^(4/3)))*(A44-A45)))&lt;0,((BR45+BS45)/2),BR45)</f>
        <v/>
      </c>
      <c r="BU45" s="16">
        <f>IF((((BR45+BS45)/2)+(C45/(DATOS!$B$14*((BR45+BS45)/2)))^2/(2*9.81)+B45-(E44+(C44/(DATOS!$B$14*E44))^2/(2*9.81)+B44+0.5*(((DATOS!$B$27*C44/(DATOS!$B$14*E44))^2/((DATOS!$B$14*E44)/(DATOS!$B$14+2*E44))^(4/3))+((DATOS!$B$27*C45/(DATOS!$B$14*((BR45+BS45)/2)))^2/((DATOS!$B$14*((BR45+BS45)/2))/(DATOS!$B$14+2*((BR45+BS45)/2)))^(4/3)))*(A44-A45)))&lt;0,BS45,((BR45+BS45)/2))</f>
        <v/>
      </c>
    </row>
    <row r="46">
      <c r="A46" s="30" t="n">
        <v>60.15</v>
      </c>
      <c r="B46" s="21">
        <f>DATOS!$B$16-DATOS!$B$19*A46</f>
        <v/>
      </c>
      <c r="C46" s="21">
        <f>IF(A46&lt;CAUDALES!$B$13,CAUDALES!$D$12,IF(A46&lt;CAUDALES!$B$14,CAUDALES!$D$13,IF(A46&lt;CAUDALES!$B$15,CAUDALES!$D$14,CAUDALES!$D$15)))/1000</f>
        <v/>
      </c>
      <c r="D46" s="21">
        <f>(C46^2/(9.81*DATOS!$B$14^2))^(1/3)</f>
        <v/>
      </c>
      <c r="E46" s="29">
        <f>(BT46+BU46)/2</f>
        <v/>
      </c>
      <c r="F46" s="21">
        <f>B46+E46</f>
        <v/>
      </c>
      <c r="G46" s="17">
        <f>C46/(DATOS!$B$14*E46)</f>
        <v/>
      </c>
      <c r="H46" s="17">
        <f>G46/SQRT(9.81*E46)</f>
        <v/>
      </c>
      <c r="I46" s="21">
        <f>IF(A46&lt;=DATOS!$B$20,DATOS!$B$21-IF(AND(A46&gt;=DATOS!$B$23,A46&lt;DATOS!$B$24),DATOS!$B$25,DATOS!$B$22),B46+DATOS!$B$26)</f>
        <v/>
      </c>
      <c r="J46" s="17">
        <f>I46-B46</f>
        <v/>
      </c>
      <c r="K46" s="31">
        <f>E46/J46</f>
        <v/>
      </c>
      <c r="L46" s="21">
        <f>I46-F46</f>
        <v/>
      </c>
      <c r="M46" s="32">
        <f>IF(AND(K46&lt;=DATOS!$B$29,L46&gt;=DATOS!$B$30),"CUMPLE","NO CUMPLE")</f>
        <v/>
      </c>
      <c r="N46" s="13">
        <f>IF(A46&gt;DATOS!$B$20,"cubierto - tramo final",IF(AND(A46&gt;=DATOS!$B$23,A46&lt;DATOS!$B$24),"cubierto - camiones","cubierto"))</f>
        <v/>
      </c>
      <c r="P46" s="16">
        <f>D46*1.001</f>
        <v/>
      </c>
      <c r="Q46" s="16" t="n">
        <v>2</v>
      </c>
      <c r="R46" s="16">
        <f>IF((((P46+Q46)/2)+(C46/(DATOS!$B$14*((P46+Q46)/2)))^2/(2*9.81)+B46-(E45+(C45/(DATOS!$B$14*E45))^2/(2*9.81)+B45+0.5*(((DATOS!$B$27*C45/(DATOS!$B$14*E45))^2/((DATOS!$B$14*E45)/(DATOS!$B$14+2*E45))^(4/3))+((DATOS!$B$27*C46/(DATOS!$B$14*((P46+Q46)/2)))^2/((DATOS!$B$14*((P46+Q46)/2))/(DATOS!$B$14+2*((P46+Q46)/2)))^(4/3)))*(A45-A46)))&lt;0,((P46+Q46)/2),P46)</f>
        <v/>
      </c>
      <c r="S46" s="16">
        <f>IF((((P46+Q46)/2)+(C46/(DATOS!$B$14*((P46+Q46)/2)))^2/(2*9.81)+B46-(E45+(C45/(DATOS!$B$14*E45))^2/(2*9.81)+B45+0.5*(((DATOS!$B$27*C45/(DATOS!$B$14*E45))^2/((DATOS!$B$14*E45)/(DATOS!$B$14+2*E45))^(4/3))+((DATOS!$B$27*C46/(DATOS!$B$14*((P46+Q46)/2)))^2/((DATOS!$B$14*((P46+Q46)/2))/(DATOS!$B$14+2*((P46+Q46)/2)))^(4/3)))*(A45-A46)))&lt;0,Q46,((P46+Q46)/2))</f>
        <v/>
      </c>
      <c r="T46" s="16">
        <f>IF((((R46+S46)/2)+(C46/(DATOS!$B$14*((R46+S46)/2)))^2/(2*9.81)+B46-(E45+(C45/(DATOS!$B$14*E45))^2/(2*9.81)+B45+0.5*(((DATOS!$B$27*C45/(DATOS!$B$14*E45))^2/((DATOS!$B$14*E45)/(DATOS!$B$14+2*E45))^(4/3))+((DATOS!$B$27*C46/(DATOS!$B$14*((R46+S46)/2)))^2/((DATOS!$B$14*((R46+S46)/2))/(DATOS!$B$14+2*((R46+S46)/2)))^(4/3)))*(A45-A46)))&lt;0,((R46+S46)/2),R46)</f>
        <v/>
      </c>
      <c r="U46" s="16">
        <f>IF((((R46+S46)/2)+(C46/(DATOS!$B$14*((R46+S46)/2)))^2/(2*9.81)+B46-(E45+(C45/(DATOS!$B$14*E45))^2/(2*9.81)+B45+0.5*(((DATOS!$B$27*C45/(DATOS!$B$14*E45))^2/((DATOS!$B$14*E45)/(DATOS!$B$14+2*E45))^(4/3))+((DATOS!$B$27*C46/(DATOS!$B$14*((R46+S46)/2)))^2/((DATOS!$B$14*((R46+S46)/2))/(DATOS!$B$14+2*((R46+S46)/2)))^(4/3)))*(A45-A46)))&lt;0,S46,((R46+S46)/2))</f>
        <v/>
      </c>
      <c r="V46" s="16">
        <f>IF((((T46+U46)/2)+(C46/(DATOS!$B$14*((T46+U46)/2)))^2/(2*9.81)+B46-(E45+(C45/(DATOS!$B$14*E45))^2/(2*9.81)+B45+0.5*(((DATOS!$B$27*C45/(DATOS!$B$14*E45))^2/((DATOS!$B$14*E45)/(DATOS!$B$14+2*E45))^(4/3))+((DATOS!$B$27*C46/(DATOS!$B$14*((T46+U46)/2)))^2/((DATOS!$B$14*((T46+U46)/2))/(DATOS!$B$14+2*((T46+U46)/2)))^(4/3)))*(A45-A46)))&lt;0,((T46+U46)/2),T46)</f>
        <v/>
      </c>
      <c r="W46" s="16">
        <f>IF((((T46+U46)/2)+(C46/(DATOS!$B$14*((T46+U46)/2)))^2/(2*9.81)+B46-(E45+(C45/(DATOS!$B$14*E45))^2/(2*9.81)+B45+0.5*(((DATOS!$B$27*C45/(DATOS!$B$14*E45))^2/((DATOS!$B$14*E45)/(DATOS!$B$14+2*E45))^(4/3))+((DATOS!$B$27*C46/(DATOS!$B$14*((T46+U46)/2)))^2/((DATOS!$B$14*((T46+U46)/2))/(DATOS!$B$14+2*((T46+U46)/2)))^(4/3)))*(A45-A46)))&lt;0,U46,((T46+U46)/2))</f>
        <v/>
      </c>
      <c r="X46" s="16">
        <f>IF((((V46+W46)/2)+(C46/(DATOS!$B$14*((V46+W46)/2)))^2/(2*9.81)+B46-(E45+(C45/(DATOS!$B$14*E45))^2/(2*9.81)+B45+0.5*(((DATOS!$B$27*C45/(DATOS!$B$14*E45))^2/((DATOS!$B$14*E45)/(DATOS!$B$14+2*E45))^(4/3))+((DATOS!$B$27*C46/(DATOS!$B$14*((V46+W46)/2)))^2/((DATOS!$B$14*((V46+W46)/2))/(DATOS!$B$14+2*((V46+W46)/2)))^(4/3)))*(A45-A46)))&lt;0,((V46+W46)/2),V46)</f>
        <v/>
      </c>
      <c r="Y46" s="16">
        <f>IF((((V46+W46)/2)+(C46/(DATOS!$B$14*((V46+W46)/2)))^2/(2*9.81)+B46-(E45+(C45/(DATOS!$B$14*E45))^2/(2*9.81)+B45+0.5*(((DATOS!$B$27*C45/(DATOS!$B$14*E45))^2/((DATOS!$B$14*E45)/(DATOS!$B$14+2*E45))^(4/3))+((DATOS!$B$27*C46/(DATOS!$B$14*((V46+W46)/2)))^2/((DATOS!$B$14*((V46+W46)/2))/(DATOS!$B$14+2*((V46+W46)/2)))^(4/3)))*(A45-A46)))&lt;0,W46,((V46+W46)/2))</f>
        <v/>
      </c>
      <c r="Z46" s="16">
        <f>IF((((X46+Y46)/2)+(C46/(DATOS!$B$14*((X46+Y46)/2)))^2/(2*9.81)+B46-(E45+(C45/(DATOS!$B$14*E45))^2/(2*9.81)+B45+0.5*(((DATOS!$B$27*C45/(DATOS!$B$14*E45))^2/((DATOS!$B$14*E45)/(DATOS!$B$14+2*E45))^(4/3))+((DATOS!$B$27*C46/(DATOS!$B$14*((X46+Y46)/2)))^2/((DATOS!$B$14*((X46+Y46)/2))/(DATOS!$B$14+2*((X46+Y46)/2)))^(4/3)))*(A45-A46)))&lt;0,((X46+Y46)/2),X46)</f>
        <v/>
      </c>
      <c r="AA46" s="16">
        <f>IF((((X46+Y46)/2)+(C46/(DATOS!$B$14*((X46+Y46)/2)))^2/(2*9.81)+B46-(E45+(C45/(DATOS!$B$14*E45))^2/(2*9.81)+B45+0.5*(((DATOS!$B$27*C45/(DATOS!$B$14*E45))^2/((DATOS!$B$14*E45)/(DATOS!$B$14+2*E45))^(4/3))+((DATOS!$B$27*C46/(DATOS!$B$14*((X46+Y46)/2)))^2/((DATOS!$B$14*((X46+Y46)/2))/(DATOS!$B$14+2*((X46+Y46)/2)))^(4/3)))*(A45-A46)))&lt;0,Y46,((X46+Y46)/2))</f>
        <v/>
      </c>
      <c r="AB46" s="16">
        <f>IF((((Z46+AA46)/2)+(C46/(DATOS!$B$14*((Z46+AA46)/2)))^2/(2*9.81)+B46-(E45+(C45/(DATOS!$B$14*E45))^2/(2*9.81)+B45+0.5*(((DATOS!$B$27*C45/(DATOS!$B$14*E45))^2/((DATOS!$B$14*E45)/(DATOS!$B$14+2*E45))^(4/3))+((DATOS!$B$27*C46/(DATOS!$B$14*((Z46+AA46)/2)))^2/((DATOS!$B$14*((Z46+AA46)/2))/(DATOS!$B$14+2*((Z46+AA46)/2)))^(4/3)))*(A45-A46)))&lt;0,((Z46+AA46)/2),Z46)</f>
        <v/>
      </c>
      <c r="AC46" s="16">
        <f>IF((((Z46+AA46)/2)+(C46/(DATOS!$B$14*((Z46+AA46)/2)))^2/(2*9.81)+B46-(E45+(C45/(DATOS!$B$14*E45))^2/(2*9.81)+B45+0.5*(((DATOS!$B$27*C45/(DATOS!$B$14*E45))^2/((DATOS!$B$14*E45)/(DATOS!$B$14+2*E45))^(4/3))+((DATOS!$B$27*C46/(DATOS!$B$14*((Z46+AA46)/2)))^2/((DATOS!$B$14*((Z46+AA46)/2))/(DATOS!$B$14+2*((Z46+AA46)/2)))^(4/3)))*(A45-A46)))&lt;0,AA46,((Z46+AA46)/2))</f>
        <v/>
      </c>
      <c r="AD46" s="16">
        <f>IF((((AB46+AC46)/2)+(C46/(DATOS!$B$14*((AB46+AC46)/2)))^2/(2*9.81)+B46-(E45+(C45/(DATOS!$B$14*E45))^2/(2*9.81)+B45+0.5*(((DATOS!$B$27*C45/(DATOS!$B$14*E45))^2/((DATOS!$B$14*E45)/(DATOS!$B$14+2*E45))^(4/3))+((DATOS!$B$27*C46/(DATOS!$B$14*((AB46+AC46)/2)))^2/((DATOS!$B$14*((AB46+AC46)/2))/(DATOS!$B$14+2*((AB46+AC46)/2)))^(4/3)))*(A45-A46)))&lt;0,((AB46+AC46)/2),AB46)</f>
        <v/>
      </c>
      <c r="AE46" s="16">
        <f>IF((((AB46+AC46)/2)+(C46/(DATOS!$B$14*((AB46+AC46)/2)))^2/(2*9.81)+B46-(E45+(C45/(DATOS!$B$14*E45))^2/(2*9.81)+B45+0.5*(((DATOS!$B$27*C45/(DATOS!$B$14*E45))^2/((DATOS!$B$14*E45)/(DATOS!$B$14+2*E45))^(4/3))+((DATOS!$B$27*C46/(DATOS!$B$14*((AB46+AC46)/2)))^2/((DATOS!$B$14*((AB46+AC46)/2))/(DATOS!$B$14+2*((AB46+AC46)/2)))^(4/3)))*(A45-A46)))&lt;0,AC46,((AB46+AC46)/2))</f>
        <v/>
      </c>
      <c r="AF46" s="16">
        <f>IF((((AD46+AE46)/2)+(C46/(DATOS!$B$14*((AD46+AE46)/2)))^2/(2*9.81)+B46-(E45+(C45/(DATOS!$B$14*E45))^2/(2*9.81)+B45+0.5*(((DATOS!$B$27*C45/(DATOS!$B$14*E45))^2/((DATOS!$B$14*E45)/(DATOS!$B$14+2*E45))^(4/3))+((DATOS!$B$27*C46/(DATOS!$B$14*((AD46+AE46)/2)))^2/((DATOS!$B$14*((AD46+AE46)/2))/(DATOS!$B$14+2*((AD46+AE46)/2)))^(4/3)))*(A45-A46)))&lt;0,((AD46+AE46)/2),AD46)</f>
        <v/>
      </c>
      <c r="AG46" s="16">
        <f>IF((((AD46+AE46)/2)+(C46/(DATOS!$B$14*((AD46+AE46)/2)))^2/(2*9.81)+B46-(E45+(C45/(DATOS!$B$14*E45))^2/(2*9.81)+B45+0.5*(((DATOS!$B$27*C45/(DATOS!$B$14*E45))^2/((DATOS!$B$14*E45)/(DATOS!$B$14+2*E45))^(4/3))+((DATOS!$B$27*C46/(DATOS!$B$14*((AD46+AE46)/2)))^2/((DATOS!$B$14*((AD46+AE46)/2))/(DATOS!$B$14+2*((AD46+AE46)/2)))^(4/3)))*(A45-A46)))&lt;0,AE46,((AD46+AE46)/2))</f>
        <v/>
      </c>
      <c r="AH46" s="16">
        <f>IF((((AF46+AG46)/2)+(C46/(DATOS!$B$14*((AF46+AG46)/2)))^2/(2*9.81)+B46-(E45+(C45/(DATOS!$B$14*E45))^2/(2*9.81)+B45+0.5*(((DATOS!$B$27*C45/(DATOS!$B$14*E45))^2/((DATOS!$B$14*E45)/(DATOS!$B$14+2*E45))^(4/3))+((DATOS!$B$27*C46/(DATOS!$B$14*((AF46+AG46)/2)))^2/((DATOS!$B$14*((AF46+AG46)/2))/(DATOS!$B$14+2*((AF46+AG46)/2)))^(4/3)))*(A45-A46)))&lt;0,((AF46+AG46)/2),AF46)</f>
        <v/>
      </c>
      <c r="AI46" s="16">
        <f>IF((((AF46+AG46)/2)+(C46/(DATOS!$B$14*((AF46+AG46)/2)))^2/(2*9.81)+B46-(E45+(C45/(DATOS!$B$14*E45))^2/(2*9.81)+B45+0.5*(((DATOS!$B$27*C45/(DATOS!$B$14*E45))^2/((DATOS!$B$14*E45)/(DATOS!$B$14+2*E45))^(4/3))+((DATOS!$B$27*C46/(DATOS!$B$14*((AF46+AG46)/2)))^2/((DATOS!$B$14*((AF46+AG46)/2))/(DATOS!$B$14+2*((AF46+AG46)/2)))^(4/3)))*(A45-A46)))&lt;0,AG46,((AF46+AG46)/2))</f>
        <v/>
      </c>
      <c r="AJ46" s="16">
        <f>IF((((AH46+AI46)/2)+(C46/(DATOS!$B$14*((AH46+AI46)/2)))^2/(2*9.81)+B46-(E45+(C45/(DATOS!$B$14*E45))^2/(2*9.81)+B45+0.5*(((DATOS!$B$27*C45/(DATOS!$B$14*E45))^2/((DATOS!$B$14*E45)/(DATOS!$B$14+2*E45))^(4/3))+((DATOS!$B$27*C46/(DATOS!$B$14*((AH46+AI46)/2)))^2/((DATOS!$B$14*((AH46+AI46)/2))/(DATOS!$B$14+2*((AH46+AI46)/2)))^(4/3)))*(A45-A46)))&lt;0,((AH46+AI46)/2),AH46)</f>
        <v/>
      </c>
      <c r="AK46" s="16">
        <f>IF((((AH46+AI46)/2)+(C46/(DATOS!$B$14*((AH46+AI46)/2)))^2/(2*9.81)+B46-(E45+(C45/(DATOS!$B$14*E45))^2/(2*9.81)+B45+0.5*(((DATOS!$B$27*C45/(DATOS!$B$14*E45))^2/((DATOS!$B$14*E45)/(DATOS!$B$14+2*E45))^(4/3))+((DATOS!$B$27*C46/(DATOS!$B$14*((AH46+AI46)/2)))^2/((DATOS!$B$14*((AH46+AI46)/2))/(DATOS!$B$14+2*((AH46+AI46)/2)))^(4/3)))*(A45-A46)))&lt;0,AI46,((AH46+AI46)/2))</f>
        <v/>
      </c>
      <c r="AL46" s="16">
        <f>IF((((AJ46+AK46)/2)+(C46/(DATOS!$B$14*((AJ46+AK46)/2)))^2/(2*9.81)+B46-(E45+(C45/(DATOS!$B$14*E45))^2/(2*9.81)+B45+0.5*(((DATOS!$B$27*C45/(DATOS!$B$14*E45))^2/((DATOS!$B$14*E45)/(DATOS!$B$14+2*E45))^(4/3))+((DATOS!$B$27*C46/(DATOS!$B$14*((AJ46+AK46)/2)))^2/((DATOS!$B$14*((AJ46+AK46)/2))/(DATOS!$B$14+2*((AJ46+AK46)/2)))^(4/3)))*(A45-A46)))&lt;0,((AJ46+AK46)/2),AJ46)</f>
        <v/>
      </c>
      <c r="AM46" s="16">
        <f>IF((((AJ46+AK46)/2)+(C46/(DATOS!$B$14*((AJ46+AK46)/2)))^2/(2*9.81)+B46-(E45+(C45/(DATOS!$B$14*E45))^2/(2*9.81)+B45+0.5*(((DATOS!$B$27*C45/(DATOS!$B$14*E45))^2/((DATOS!$B$14*E45)/(DATOS!$B$14+2*E45))^(4/3))+((DATOS!$B$27*C46/(DATOS!$B$14*((AJ46+AK46)/2)))^2/((DATOS!$B$14*((AJ46+AK46)/2))/(DATOS!$B$14+2*((AJ46+AK46)/2)))^(4/3)))*(A45-A46)))&lt;0,AK46,((AJ46+AK46)/2))</f>
        <v/>
      </c>
      <c r="AN46" s="16">
        <f>IF((((AL46+AM46)/2)+(C46/(DATOS!$B$14*((AL46+AM46)/2)))^2/(2*9.81)+B46-(E45+(C45/(DATOS!$B$14*E45))^2/(2*9.81)+B45+0.5*(((DATOS!$B$27*C45/(DATOS!$B$14*E45))^2/((DATOS!$B$14*E45)/(DATOS!$B$14+2*E45))^(4/3))+((DATOS!$B$27*C46/(DATOS!$B$14*((AL46+AM46)/2)))^2/((DATOS!$B$14*((AL46+AM46)/2))/(DATOS!$B$14+2*((AL46+AM46)/2)))^(4/3)))*(A45-A46)))&lt;0,((AL46+AM46)/2),AL46)</f>
        <v/>
      </c>
      <c r="AO46" s="16">
        <f>IF((((AL46+AM46)/2)+(C46/(DATOS!$B$14*((AL46+AM46)/2)))^2/(2*9.81)+B46-(E45+(C45/(DATOS!$B$14*E45))^2/(2*9.81)+B45+0.5*(((DATOS!$B$27*C45/(DATOS!$B$14*E45))^2/((DATOS!$B$14*E45)/(DATOS!$B$14+2*E45))^(4/3))+((DATOS!$B$27*C46/(DATOS!$B$14*((AL46+AM46)/2)))^2/((DATOS!$B$14*((AL46+AM46)/2))/(DATOS!$B$14+2*((AL46+AM46)/2)))^(4/3)))*(A45-A46)))&lt;0,AM46,((AL46+AM46)/2))</f>
        <v/>
      </c>
      <c r="AP46" s="16">
        <f>IF((((AN46+AO46)/2)+(C46/(DATOS!$B$14*((AN46+AO46)/2)))^2/(2*9.81)+B46-(E45+(C45/(DATOS!$B$14*E45))^2/(2*9.81)+B45+0.5*(((DATOS!$B$27*C45/(DATOS!$B$14*E45))^2/((DATOS!$B$14*E45)/(DATOS!$B$14+2*E45))^(4/3))+((DATOS!$B$27*C46/(DATOS!$B$14*((AN46+AO46)/2)))^2/((DATOS!$B$14*((AN46+AO46)/2))/(DATOS!$B$14+2*((AN46+AO46)/2)))^(4/3)))*(A45-A46)))&lt;0,((AN46+AO46)/2),AN46)</f>
        <v/>
      </c>
      <c r="AQ46" s="16">
        <f>IF((((AN46+AO46)/2)+(C46/(DATOS!$B$14*((AN46+AO46)/2)))^2/(2*9.81)+B46-(E45+(C45/(DATOS!$B$14*E45))^2/(2*9.81)+B45+0.5*(((DATOS!$B$27*C45/(DATOS!$B$14*E45))^2/((DATOS!$B$14*E45)/(DATOS!$B$14+2*E45))^(4/3))+((DATOS!$B$27*C46/(DATOS!$B$14*((AN46+AO46)/2)))^2/((DATOS!$B$14*((AN46+AO46)/2))/(DATOS!$B$14+2*((AN46+AO46)/2)))^(4/3)))*(A45-A46)))&lt;0,AO46,((AN46+AO46)/2))</f>
        <v/>
      </c>
      <c r="AR46" s="16">
        <f>IF((((AP46+AQ46)/2)+(C46/(DATOS!$B$14*((AP46+AQ46)/2)))^2/(2*9.81)+B46-(E45+(C45/(DATOS!$B$14*E45))^2/(2*9.81)+B45+0.5*(((DATOS!$B$27*C45/(DATOS!$B$14*E45))^2/((DATOS!$B$14*E45)/(DATOS!$B$14+2*E45))^(4/3))+((DATOS!$B$27*C46/(DATOS!$B$14*((AP46+AQ46)/2)))^2/((DATOS!$B$14*((AP46+AQ46)/2))/(DATOS!$B$14+2*((AP46+AQ46)/2)))^(4/3)))*(A45-A46)))&lt;0,((AP46+AQ46)/2),AP46)</f>
        <v/>
      </c>
      <c r="AS46" s="16">
        <f>IF((((AP46+AQ46)/2)+(C46/(DATOS!$B$14*((AP46+AQ46)/2)))^2/(2*9.81)+B46-(E45+(C45/(DATOS!$B$14*E45))^2/(2*9.81)+B45+0.5*(((DATOS!$B$27*C45/(DATOS!$B$14*E45))^2/((DATOS!$B$14*E45)/(DATOS!$B$14+2*E45))^(4/3))+((DATOS!$B$27*C46/(DATOS!$B$14*((AP46+AQ46)/2)))^2/((DATOS!$B$14*((AP46+AQ46)/2))/(DATOS!$B$14+2*((AP46+AQ46)/2)))^(4/3)))*(A45-A46)))&lt;0,AQ46,((AP46+AQ46)/2))</f>
        <v/>
      </c>
      <c r="AT46" s="16">
        <f>IF((((AR46+AS46)/2)+(C46/(DATOS!$B$14*((AR46+AS46)/2)))^2/(2*9.81)+B46-(E45+(C45/(DATOS!$B$14*E45))^2/(2*9.81)+B45+0.5*(((DATOS!$B$27*C45/(DATOS!$B$14*E45))^2/((DATOS!$B$14*E45)/(DATOS!$B$14+2*E45))^(4/3))+((DATOS!$B$27*C46/(DATOS!$B$14*((AR46+AS46)/2)))^2/((DATOS!$B$14*((AR46+AS46)/2))/(DATOS!$B$14+2*((AR46+AS46)/2)))^(4/3)))*(A45-A46)))&lt;0,((AR46+AS46)/2),AR46)</f>
        <v/>
      </c>
      <c r="AU46" s="16">
        <f>IF((((AR46+AS46)/2)+(C46/(DATOS!$B$14*((AR46+AS46)/2)))^2/(2*9.81)+B46-(E45+(C45/(DATOS!$B$14*E45))^2/(2*9.81)+B45+0.5*(((DATOS!$B$27*C45/(DATOS!$B$14*E45))^2/((DATOS!$B$14*E45)/(DATOS!$B$14+2*E45))^(4/3))+((DATOS!$B$27*C46/(DATOS!$B$14*((AR46+AS46)/2)))^2/((DATOS!$B$14*((AR46+AS46)/2))/(DATOS!$B$14+2*((AR46+AS46)/2)))^(4/3)))*(A45-A46)))&lt;0,AS46,((AR46+AS46)/2))</f>
        <v/>
      </c>
      <c r="AV46" s="16">
        <f>IF((((AT46+AU46)/2)+(C46/(DATOS!$B$14*((AT46+AU46)/2)))^2/(2*9.81)+B46-(E45+(C45/(DATOS!$B$14*E45))^2/(2*9.81)+B45+0.5*(((DATOS!$B$27*C45/(DATOS!$B$14*E45))^2/((DATOS!$B$14*E45)/(DATOS!$B$14+2*E45))^(4/3))+((DATOS!$B$27*C46/(DATOS!$B$14*((AT46+AU46)/2)))^2/((DATOS!$B$14*((AT46+AU46)/2))/(DATOS!$B$14+2*((AT46+AU46)/2)))^(4/3)))*(A45-A46)))&lt;0,((AT46+AU46)/2),AT46)</f>
        <v/>
      </c>
      <c r="AW46" s="16">
        <f>IF((((AT46+AU46)/2)+(C46/(DATOS!$B$14*((AT46+AU46)/2)))^2/(2*9.81)+B46-(E45+(C45/(DATOS!$B$14*E45))^2/(2*9.81)+B45+0.5*(((DATOS!$B$27*C45/(DATOS!$B$14*E45))^2/((DATOS!$B$14*E45)/(DATOS!$B$14+2*E45))^(4/3))+((DATOS!$B$27*C46/(DATOS!$B$14*((AT46+AU46)/2)))^2/((DATOS!$B$14*((AT46+AU46)/2))/(DATOS!$B$14+2*((AT46+AU46)/2)))^(4/3)))*(A45-A46)))&lt;0,AU46,((AT46+AU46)/2))</f>
        <v/>
      </c>
      <c r="AX46" s="16">
        <f>IF((((AV46+AW46)/2)+(C46/(DATOS!$B$14*((AV46+AW46)/2)))^2/(2*9.81)+B46-(E45+(C45/(DATOS!$B$14*E45))^2/(2*9.81)+B45+0.5*(((DATOS!$B$27*C45/(DATOS!$B$14*E45))^2/((DATOS!$B$14*E45)/(DATOS!$B$14+2*E45))^(4/3))+((DATOS!$B$27*C46/(DATOS!$B$14*((AV46+AW46)/2)))^2/((DATOS!$B$14*((AV46+AW46)/2))/(DATOS!$B$14+2*((AV46+AW46)/2)))^(4/3)))*(A45-A46)))&lt;0,((AV46+AW46)/2),AV46)</f>
        <v/>
      </c>
      <c r="AY46" s="16">
        <f>IF((((AV46+AW46)/2)+(C46/(DATOS!$B$14*((AV46+AW46)/2)))^2/(2*9.81)+B46-(E45+(C45/(DATOS!$B$14*E45))^2/(2*9.81)+B45+0.5*(((DATOS!$B$27*C45/(DATOS!$B$14*E45))^2/((DATOS!$B$14*E45)/(DATOS!$B$14+2*E45))^(4/3))+((DATOS!$B$27*C46/(DATOS!$B$14*((AV46+AW46)/2)))^2/((DATOS!$B$14*((AV46+AW46)/2))/(DATOS!$B$14+2*((AV46+AW46)/2)))^(4/3)))*(A45-A46)))&lt;0,AW46,((AV46+AW46)/2))</f>
        <v/>
      </c>
      <c r="AZ46" s="16">
        <f>IF((((AX46+AY46)/2)+(C46/(DATOS!$B$14*((AX46+AY46)/2)))^2/(2*9.81)+B46-(E45+(C45/(DATOS!$B$14*E45))^2/(2*9.81)+B45+0.5*(((DATOS!$B$27*C45/(DATOS!$B$14*E45))^2/((DATOS!$B$14*E45)/(DATOS!$B$14+2*E45))^(4/3))+((DATOS!$B$27*C46/(DATOS!$B$14*((AX46+AY46)/2)))^2/((DATOS!$B$14*((AX46+AY46)/2))/(DATOS!$B$14+2*((AX46+AY46)/2)))^(4/3)))*(A45-A46)))&lt;0,((AX46+AY46)/2),AX46)</f>
        <v/>
      </c>
      <c r="BA46" s="16">
        <f>IF((((AX46+AY46)/2)+(C46/(DATOS!$B$14*((AX46+AY46)/2)))^2/(2*9.81)+B46-(E45+(C45/(DATOS!$B$14*E45))^2/(2*9.81)+B45+0.5*(((DATOS!$B$27*C45/(DATOS!$B$14*E45))^2/((DATOS!$B$14*E45)/(DATOS!$B$14+2*E45))^(4/3))+((DATOS!$B$27*C46/(DATOS!$B$14*((AX46+AY46)/2)))^2/((DATOS!$B$14*((AX46+AY46)/2))/(DATOS!$B$14+2*((AX46+AY46)/2)))^(4/3)))*(A45-A46)))&lt;0,AY46,((AX46+AY46)/2))</f>
        <v/>
      </c>
      <c r="BB46" s="16">
        <f>IF((((AZ46+BA46)/2)+(C46/(DATOS!$B$14*((AZ46+BA46)/2)))^2/(2*9.81)+B46-(E45+(C45/(DATOS!$B$14*E45))^2/(2*9.81)+B45+0.5*(((DATOS!$B$27*C45/(DATOS!$B$14*E45))^2/((DATOS!$B$14*E45)/(DATOS!$B$14+2*E45))^(4/3))+((DATOS!$B$27*C46/(DATOS!$B$14*((AZ46+BA46)/2)))^2/((DATOS!$B$14*((AZ46+BA46)/2))/(DATOS!$B$14+2*((AZ46+BA46)/2)))^(4/3)))*(A45-A46)))&lt;0,((AZ46+BA46)/2),AZ46)</f>
        <v/>
      </c>
      <c r="BC46" s="16">
        <f>IF((((AZ46+BA46)/2)+(C46/(DATOS!$B$14*((AZ46+BA46)/2)))^2/(2*9.81)+B46-(E45+(C45/(DATOS!$B$14*E45))^2/(2*9.81)+B45+0.5*(((DATOS!$B$27*C45/(DATOS!$B$14*E45))^2/((DATOS!$B$14*E45)/(DATOS!$B$14+2*E45))^(4/3))+((DATOS!$B$27*C46/(DATOS!$B$14*((AZ46+BA46)/2)))^2/((DATOS!$B$14*((AZ46+BA46)/2))/(DATOS!$B$14+2*((AZ46+BA46)/2)))^(4/3)))*(A45-A46)))&lt;0,BA46,((AZ46+BA46)/2))</f>
        <v/>
      </c>
      <c r="BD46" s="16">
        <f>IF((((BB46+BC46)/2)+(C46/(DATOS!$B$14*((BB46+BC46)/2)))^2/(2*9.81)+B46-(E45+(C45/(DATOS!$B$14*E45))^2/(2*9.81)+B45+0.5*(((DATOS!$B$27*C45/(DATOS!$B$14*E45))^2/((DATOS!$B$14*E45)/(DATOS!$B$14+2*E45))^(4/3))+((DATOS!$B$27*C46/(DATOS!$B$14*((BB46+BC46)/2)))^2/((DATOS!$B$14*((BB46+BC46)/2))/(DATOS!$B$14+2*((BB46+BC46)/2)))^(4/3)))*(A45-A46)))&lt;0,((BB46+BC46)/2),BB46)</f>
        <v/>
      </c>
      <c r="BE46" s="16">
        <f>IF((((BB46+BC46)/2)+(C46/(DATOS!$B$14*((BB46+BC46)/2)))^2/(2*9.81)+B46-(E45+(C45/(DATOS!$B$14*E45))^2/(2*9.81)+B45+0.5*(((DATOS!$B$27*C45/(DATOS!$B$14*E45))^2/((DATOS!$B$14*E45)/(DATOS!$B$14+2*E45))^(4/3))+((DATOS!$B$27*C46/(DATOS!$B$14*((BB46+BC46)/2)))^2/((DATOS!$B$14*((BB46+BC46)/2))/(DATOS!$B$14+2*((BB46+BC46)/2)))^(4/3)))*(A45-A46)))&lt;0,BC46,((BB46+BC46)/2))</f>
        <v/>
      </c>
      <c r="BF46" s="16">
        <f>IF((((BD46+BE46)/2)+(C46/(DATOS!$B$14*((BD46+BE46)/2)))^2/(2*9.81)+B46-(E45+(C45/(DATOS!$B$14*E45))^2/(2*9.81)+B45+0.5*(((DATOS!$B$27*C45/(DATOS!$B$14*E45))^2/((DATOS!$B$14*E45)/(DATOS!$B$14+2*E45))^(4/3))+((DATOS!$B$27*C46/(DATOS!$B$14*((BD46+BE46)/2)))^2/((DATOS!$B$14*((BD46+BE46)/2))/(DATOS!$B$14+2*((BD46+BE46)/2)))^(4/3)))*(A45-A46)))&lt;0,((BD46+BE46)/2),BD46)</f>
        <v/>
      </c>
      <c r="BG46" s="16">
        <f>IF((((BD46+BE46)/2)+(C46/(DATOS!$B$14*((BD46+BE46)/2)))^2/(2*9.81)+B46-(E45+(C45/(DATOS!$B$14*E45))^2/(2*9.81)+B45+0.5*(((DATOS!$B$27*C45/(DATOS!$B$14*E45))^2/((DATOS!$B$14*E45)/(DATOS!$B$14+2*E45))^(4/3))+((DATOS!$B$27*C46/(DATOS!$B$14*((BD46+BE46)/2)))^2/((DATOS!$B$14*((BD46+BE46)/2))/(DATOS!$B$14+2*((BD46+BE46)/2)))^(4/3)))*(A45-A46)))&lt;0,BE46,((BD46+BE46)/2))</f>
        <v/>
      </c>
      <c r="BH46" s="16">
        <f>IF((((BF46+BG46)/2)+(C46/(DATOS!$B$14*((BF46+BG46)/2)))^2/(2*9.81)+B46-(E45+(C45/(DATOS!$B$14*E45))^2/(2*9.81)+B45+0.5*(((DATOS!$B$27*C45/(DATOS!$B$14*E45))^2/((DATOS!$B$14*E45)/(DATOS!$B$14+2*E45))^(4/3))+((DATOS!$B$27*C46/(DATOS!$B$14*((BF46+BG46)/2)))^2/((DATOS!$B$14*((BF46+BG46)/2))/(DATOS!$B$14+2*((BF46+BG46)/2)))^(4/3)))*(A45-A46)))&lt;0,((BF46+BG46)/2),BF46)</f>
        <v/>
      </c>
      <c r="BI46" s="16">
        <f>IF((((BF46+BG46)/2)+(C46/(DATOS!$B$14*((BF46+BG46)/2)))^2/(2*9.81)+B46-(E45+(C45/(DATOS!$B$14*E45))^2/(2*9.81)+B45+0.5*(((DATOS!$B$27*C45/(DATOS!$B$14*E45))^2/((DATOS!$B$14*E45)/(DATOS!$B$14+2*E45))^(4/3))+((DATOS!$B$27*C46/(DATOS!$B$14*((BF46+BG46)/2)))^2/((DATOS!$B$14*((BF46+BG46)/2))/(DATOS!$B$14+2*((BF46+BG46)/2)))^(4/3)))*(A45-A46)))&lt;0,BG46,((BF46+BG46)/2))</f>
        <v/>
      </c>
      <c r="BJ46" s="16">
        <f>IF((((BH46+BI46)/2)+(C46/(DATOS!$B$14*((BH46+BI46)/2)))^2/(2*9.81)+B46-(E45+(C45/(DATOS!$B$14*E45))^2/(2*9.81)+B45+0.5*(((DATOS!$B$27*C45/(DATOS!$B$14*E45))^2/((DATOS!$B$14*E45)/(DATOS!$B$14+2*E45))^(4/3))+((DATOS!$B$27*C46/(DATOS!$B$14*((BH46+BI46)/2)))^2/((DATOS!$B$14*((BH46+BI46)/2))/(DATOS!$B$14+2*((BH46+BI46)/2)))^(4/3)))*(A45-A46)))&lt;0,((BH46+BI46)/2),BH46)</f>
        <v/>
      </c>
      <c r="BK46" s="16">
        <f>IF((((BH46+BI46)/2)+(C46/(DATOS!$B$14*((BH46+BI46)/2)))^2/(2*9.81)+B46-(E45+(C45/(DATOS!$B$14*E45))^2/(2*9.81)+B45+0.5*(((DATOS!$B$27*C45/(DATOS!$B$14*E45))^2/((DATOS!$B$14*E45)/(DATOS!$B$14+2*E45))^(4/3))+((DATOS!$B$27*C46/(DATOS!$B$14*((BH46+BI46)/2)))^2/((DATOS!$B$14*((BH46+BI46)/2))/(DATOS!$B$14+2*((BH46+BI46)/2)))^(4/3)))*(A45-A46)))&lt;0,BI46,((BH46+BI46)/2))</f>
        <v/>
      </c>
      <c r="BL46" s="16">
        <f>IF((((BJ46+BK46)/2)+(C46/(DATOS!$B$14*((BJ46+BK46)/2)))^2/(2*9.81)+B46-(E45+(C45/(DATOS!$B$14*E45))^2/(2*9.81)+B45+0.5*(((DATOS!$B$27*C45/(DATOS!$B$14*E45))^2/((DATOS!$B$14*E45)/(DATOS!$B$14+2*E45))^(4/3))+((DATOS!$B$27*C46/(DATOS!$B$14*((BJ46+BK46)/2)))^2/((DATOS!$B$14*((BJ46+BK46)/2))/(DATOS!$B$14+2*((BJ46+BK46)/2)))^(4/3)))*(A45-A46)))&lt;0,((BJ46+BK46)/2),BJ46)</f>
        <v/>
      </c>
      <c r="BM46" s="16">
        <f>IF((((BJ46+BK46)/2)+(C46/(DATOS!$B$14*((BJ46+BK46)/2)))^2/(2*9.81)+B46-(E45+(C45/(DATOS!$B$14*E45))^2/(2*9.81)+B45+0.5*(((DATOS!$B$27*C45/(DATOS!$B$14*E45))^2/((DATOS!$B$14*E45)/(DATOS!$B$14+2*E45))^(4/3))+((DATOS!$B$27*C46/(DATOS!$B$14*((BJ46+BK46)/2)))^2/((DATOS!$B$14*((BJ46+BK46)/2))/(DATOS!$B$14+2*((BJ46+BK46)/2)))^(4/3)))*(A45-A46)))&lt;0,BK46,((BJ46+BK46)/2))</f>
        <v/>
      </c>
      <c r="BN46" s="16">
        <f>IF((((BL46+BM46)/2)+(C46/(DATOS!$B$14*((BL46+BM46)/2)))^2/(2*9.81)+B46-(E45+(C45/(DATOS!$B$14*E45))^2/(2*9.81)+B45+0.5*(((DATOS!$B$27*C45/(DATOS!$B$14*E45))^2/((DATOS!$B$14*E45)/(DATOS!$B$14+2*E45))^(4/3))+((DATOS!$B$27*C46/(DATOS!$B$14*((BL46+BM46)/2)))^2/((DATOS!$B$14*((BL46+BM46)/2))/(DATOS!$B$14+2*((BL46+BM46)/2)))^(4/3)))*(A45-A46)))&lt;0,((BL46+BM46)/2),BL46)</f>
        <v/>
      </c>
      <c r="BO46" s="16">
        <f>IF((((BL46+BM46)/2)+(C46/(DATOS!$B$14*((BL46+BM46)/2)))^2/(2*9.81)+B46-(E45+(C45/(DATOS!$B$14*E45))^2/(2*9.81)+B45+0.5*(((DATOS!$B$27*C45/(DATOS!$B$14*E45))^2/((DATOS!$B$14*E45)/(DATOS!$B$14+2*E45))^(4/3))+((DATOS!$B$27*C46/(DATOS!$B$14*((BL46+BM46)/2)))^2/((DATOS!$B$14*((BL46+BM46)/2))/(DATOS!$B$14+2*((BL46+BM46)/2)))^(4/3)))*(A45-A46)))&lt;0,BM46,((BL46+BM46)/2))</f>
        <v/>
      </c>
      <c r="BP46" s="16">
        <f>IF((((BN46+BO46)/2)+(C46/(DATOS!$B$14*((BN46+BO46)/2)))^2/(2*9.81)+B46-(E45+(C45/(DATOS!$B$14*E45))^2/(2*9.81)+B45+0.5*(((DATOS!$B$27*C45/(DATOS!$B$14*E45))^2/((DATOS!$B$14*E45)/(DATOS!$B$14+2*E45))^(4/3))+((DATOS!$B$27*C46/(DATOS!$B$14*((BN46+BO46)/2)))^2/((DATOS!$B$14*((BN46+BO46)/2))/(DATOS!$B$14+2*((BN46+BO46)/2)))^(4/3)))*(A45-A46)))&lt;0,((BN46+BO46)/2),BN46)</f>
        <v/>
      </c>
      <c r="BQ46" s="16">
        <f>IF((((BN46+BO46)/2)+(C46/(DATOS!$B$14*((BN46+BO46)/2)))^2/(2*9.81)+B46-(E45+(C45/(DATOS!$B$14*E45))^2/(2*9.81)+B45+0.5*(((DATOS!$B$27*C45/(DATOS!$B$14*E45))^2/((DATOS!$B$14*E45)/(DATOS!$B$14+2*E45))^(4/3))+((DATOS!$B$27*C46/(DATOS!$B$14*((BN46+BO46)/2)))^2/((DATOS!$B$14*((BN46+BO46)/2))/(DATOS!$B$14+2*((BN46+BO46)/2)))^(4/3)))*(A45-A46)))&lt;0,BO46,((BN46+BO46)/2))</f>
        <v/>
      </c>
      <c r="BR46" s="16">
        <f>IF((((BP46+BQ46)/2)+(C46/(DATOS!$B$14*((BP46+BQ46)/2)))^2/(2*9.81)+B46-(E45+(C45/(DATOS!$B$14*E45))^2/(2*9.81)+B45+0.5*(((DATOS!$B$27*C45/(DATOS!$B$14*E45))^2/((DATOS!$B$14*E45)/(DATOS!$B$14+2*E45))^(4/3))+((DATOS!$B$27*C46/(DATOS!$B$14*((BP46+BQ46)/2)))^2/((DATOS!$B$14*((BP46+BQ46)/2))/(DATOS!$B$14+2*((BP46+BQ46)/2)))^(4/3)))*(A45-A46)))&lt;0,((BP46+BQ46)/2),BP46)</f>
        <v/>
      </c>
      <c r="BS46" s="16">
        <f>IF((((BP46+BQ46)/2)+(C46/(DATOS!$B$14*((BP46+BQ46)/2)))^2/(2*9.81)+B46-(E45+(C45/(DATOS!$B$14*E45))^2/(2*9.81)+B45+0.5*(((DATOS!$B$27*C45/(DATOS!$B$14*E45))^2/((DATOS!$B$14*E45)/(DATOS!$B$14+2*E45))^(4/3))+((DATOS!$B$27*C46/(DATOS!$B$14*((BP46+BQ46)/2)))^2/((DATOS!$B$14*((BP46+BQ46)/2))/(DATOS!$B$14+2*((BP46+BQ46)/2)))^(4/3)))*(A45-A46)))&lt;0,BQ46,((BP46+BQ46)/2))</f>
        <v/>
      </c>
      <c r="BT46" s="16">
        <f>IF((((BR46+BS46)/2)+(C46/(DATOS!$B$14*((BR46+BS46)/2)))^2/(2*9.81)+B46-(E45+(C45/(DATOS!$B$14*E45))^2/(2*9.81)+B45+0.5*(((DATOS!$B$27*C45/(DATOS!$B$14*E45))^2/((DATOS!$B$14*E45)/(DATOS!$B$14+2*E45))^(4/3))+((DATOS!$B$27*C46/(DATOS!$B$14*((BR46+BS46)/2)))^2/((DATOS!$B$14*((BR46+BS46)/2))/(DATOS!$B$14+2*((BR46+BS46)/2)))^(4/3)))*(A45-A46)))&lt;0,((BR46+BS46)/2),BR46)</f>
        <v/>
      </c>
      <c r="BU46" s="16">
        <f>IF((((BR46+BS46)/2)+(C46/(DATOS!$B$14*((BR46+BS46)/2)))^2/(2*9.81)+B46-(E45+(C45/(DATOS!$B$14*E45))^2/(2*9.81)+B45+0.5*(((DATOS!$B$27*C45/(DATOS!$B$14*E45))^2/((DATOS!$B$14*E45)/(DATOS!$B$14+2*E45))^(4/3))+((DATOS!$B$27*C46/(DATOS!$B$14*((BR46+BS46)/2)))^2/((DATOS!$B$14*((BR46+BS46)/2))/(DATOS!$B$14+2*((BR46+BS46)/2)))^(4/3)))*(A45-A46)))&lt;0,BS46,((BR46+BS46)/2))</f>
        <v/>
      </c>
    </row>
    <row r="47">
      <c r="A47" s="30" t="n">
        <v>60</v>
      </c>
      <c r="B47" s="21">
        <f>DATOS!$B$16-DATOS!$B$19*A47</f>
        <v/>
      </c>
      <c r="C47" s="21">
        <f>IF(A47&lt;CAUDALES!$B$13,CAUDALES!$D$12,IF(A47&lt;CAUDALES!$B$14,CAUDALES!$D$13,IF(A47&lt;CAUDALES!$B$15,CAUDALES!$D$14,CAUDALES!$D$15)))/1000</f>
        <v/>
      </c>
      <c r="D47" s="21">
        <f>(C47^2/(9.81*DATOS!$B$14^2))^(1/3)</f>
        <v/>
      </c>
      <c r="E47" s="29">
        <f>(BT47+BU47)/2</f>
        <v/>
      </c>
      <c r="F47" s="21">
        <f>B47+E47</f>
        <v/>
      </c>
      <c r="G47" s="17">
        <f>C47/(DATOS!$B$14*E47)</f>
        <v/>
      </c>
      <c r="H47" s="17">
        <f>G47/SQRT(9.81*E47)</f>
        <v/>
      </c>
      <c r="I47" s="21">
        <f>IF(A47&lt;=DATOS!$B$20,DATOS!$B$21-IF(AND(A47&gt;=DATOS!$B$23,A47&lt;DATOS!$B$24),DATOS!$B$25,DATOS!$B$22),B47+DATOS!$B$26)</f>
        <v/>
      </c>
      <c r="J47" s="17">
        <f>I47-B47</f>
        <v/>
      </c>
      <c r="K47" s="31">
        <f>E47/J47</f>
        <v/>
      </c>
      <c r="L47" s="21">
        <f>I47-F47</f>
        <v/>
      </c>
      <c r="M47" s="32">
        <f>IF(AND(K47&lt;=DATOS!$B$29,L47&gt;=DATOS!$B$30),"CUMPLE","NO CUMPLE")</f>
        <v/>
      </c>
      <c r="N47" s="13">
        <f>IF(A47&gt;DATOS!$B$20,"cubierto - tramo final",IF(AND(A47&gt;=DATOS!$B$23,A47&lt;DATOS!$B$24),"cubierto - camiones","cubierto"))</f>
        <v/>
      </c>
      <c r="P47" s="16">
        <f>D47*1.001</f>
        <v/>
      </c>
      <c r="Q47" s="16" t="n">
        <v>2</v>
      </c>
      <c r="R47" s="16">
        <f>IF((((P47+Q47)/2)+(C47/(DATOS!$B$14*((P47+Q47)/2)))^2/(2*9.81)+B47-(E46+(C46/(DATOS!$B$14*E46))^2/(2*9.81)+B46+0.5*(((DATOS!$B$27*C46/(DATOS!$B$14*E46))^2/((DATOS!$B$14*E46)/(DATOS!$B$14+2*E46))^(4/3))+((DATOS!$B$27*C47/(DATOS!$B$14*((P47+Q47)/2)))^2/((DATOS!$B$14*((P47+Q47)/2))/(DATOS!$B$14+2*((P47+Q47)/2)))^(4/3)))*(A46-A47)))&lt;0,((P47+Q47)/2),P47)</f>
        <v/>
      </c>
      <c r="S47" s="16">
        <f>IF((((P47+Q47)/2)+(C47/(DATOS!$B$14*((P47+Q47)/2)))^2/(2*9.81)+B47-(E46+(C46/(DATOS!$B$14*E46))^2/(2*9.81)+B46+0.5*(((DATOS!$B$27*C46/(DATOS!$B$14*E46))^2/((DATOS!$B$14*E46)/(DATOS!$B$14+2*E46))^(4/3))+((DATOS!$B$27*C47/(DATOS!$B$14*((P47+Q47)/2)))^2/((DATOS!$B$14*((P47+Q47)/2))/(DATOS!$B$14+2*((P47+Q47)/2)))^(4/3)))*(A46-A47)))&lt;0,Q47,((P47+Q47)/2))</f>
        <v/>
      </c>
      <c r="T47" s="16">
        <f>IF((((R47+S47)/2)+(C47/(DATOS!$B$14*((R47+S47)/2)))^2/(2*9.81)+B47-(E46+(C46/(DATOS!$B$14*E46))^2/(2*9.81)+B46+0.5*(((DATOS!$B$27*C46/(DATOS!$B$14*E46))^2/((DATOS!$B$14*E46)/(DATOS!$B$14+2*E46))^(4/3))+((DATOS!$B$27*C47/(DATOS!$B$14*((R47+S47)/2)))^2/((DATOS!$B$14*((R47+S47)/2))/(DATOS!$B$14+2*((R47+S47)/2)))^(4/3)))*(A46-A47)))&lt;0,((R47+S47)/2),R47)</f>
        <v/>
      </c>
      <c r="U47" s="16">
        <f>IF((((R47+S47)/2)+(C47/(DATOS!$B$14*((R47+S47)/2)))^2/(2*9.81)+B47-(E46+(C46/(DATOS!$B$14*E46))^2/(2*9.81)+B46+0.5*(((DATOS!$B$27*C46/(DATOS!$B$14*E46))^2/((DATOS!$B$14*E46)/(DATOS!$B$14+2*E46))^(4/3))+((DATOS!$B$27*C47/(DATOS!$B$14*((R47+S47)/2)))^2/((DATOS!$B$14*((R47+S47)/2))/(DATOS!$B$14+2*((R47+S47)/2)))^(4/3)))*(A46-A47)))&lt;0,S47,((R47+S47)/2))</f>
        <v/>
      </c>
      <c r="V47" s="16">
        <f>IF((((T47+U47)/2)+(C47/(DATOS!$B$14*((T47+U47)/2)))^2/(2*9.81)+B47-(E46+(C46/(DATOS!$B$14*E46))^2/(2*9.81)+B46+0.5*(((DATOS!$B$27*C46/(DATOS!$B$14*E46))^2/((DATOS!$B$14*E46)/(DATOS!$B$14+2*E46))^(4/3))+((DATOS!$B$27*C47/(DATOS!$B$14*((T47+U47)/2)))^2/((DATOS!$B$14*((T47+U47)/2))/(DATOS!$B$14+2*((T47+U47)/2)))^(4/3)))*(A46-A47)))&lt;0,((T47+U47)/2),T47)</f>
        <v/>
      </c>
      <c r="W47" s="16">
        <f>IF((((T47+U47)/2)+(C47/(DATOS!$B$14*((T47+U47)/2)))^2/(2*9.81)+B47-(E46+(C46/(DATOS!$B$14*E46))^2/(2*9.81)+B46+0.5*(((DATOS!$B$27*C46/(DATOS!$B$14*E46))^2/((DATOS!$B$14*E46)/(DATOS!$B$14+2*E46))^(4/3))+((DATOS!$B$27*C47/(DATOS!$B$14*((T47+U47)/2)))^2/((DATOS!$B$14*((T47+U47)/2))/(DATOS!$B$14+2*((T47+U47)/2)))^(4/3)))*(A46-A47)))&lt;0,U47,((T47+U47)/2))</f>
        <v/>
      </c>
      <c r="X47" s="16">
        <f>IF((((V47+W47)/2)+(C47/(DATOS!$B$14*((V47+W47)/2)))^2/(2*9.81)+B47-(E46+(C46/(DATOS!$B$14*E46))^2/(2*9.81)+B46+0.5*(((DATOS!$B$27*C46/(DATOS!$B$14*E46))^2/((DATOS!$B$14*E46)/(DATOS!$B$14+2*E46))^(4/3))+((DATOS!$B$27*C47/(DATOS!$B$14*((V47+W47)/2)))^2/((DATOS!$B$14*((V47+W47)/2))/(DATOS!$B$14+2*((V47+W47)/2)))^(4/3)))*(A46-A47)))&lt;0,((V47+W47)/2),V47)</f>
        <v/>
      </c>
      <c r="Y47" s="16">
        <f>IF((((V47+W47)/2)+(C47/(DATOS!$B$14*((V47+W47)/2)))^2/(2*9.81)+B47-(E46+(C46/(DATOS!$B$14*E46))^2/(2*9.81)+B46+0.5*(((DATOS!$B$27*C46/(DATOS!$B$14*E46))^2/((DATOS!$B$14*E46)/(DATOS!$B$14+2*E46))^(4/3))+((DATOS!$B$27*C47/(DATOS!$B$14*((V47+W47)/2)))^2/((DATOS!$B$14*((V47+W47)/2))/(DATOS!$B$14+2*((V47+W47)/2)))^(4/3)))*(A46-A47)))&lt;0,W47,((V47+W47)/2))</f>
        <v/>
      </c>
      <c r="Z47" s="16">
        <f>IF((((X47+Y47)/2)+(C47/(DATOS!$B$14*((X47+Y47)/2)))^2/(2*9.81)+B47-(E46+(C46/(DATOS!$B$14*E46))^2/(2*9.81)+B46+0.5*(((DATOS!$B$27*C46/(DATOS!$B$14*E46))^2/((DATOS!$B$14*E46)/(DATOS!$B$14+2*E46))^(4/3))+((DATOS!$B$27*C47/(DATOS!$B$14*((X47+Y47)/2)))^2/((DATOS!$B$14*((X47+Y47)/2))/(DATOS!$B$14+2*((X47+Y47)/2)))^(4/3)))*(A46-A47)))&lt;0,((X47+Y47)/2),X47)</f>
        <v/>
      </c>
      <c r="AA47" s="16">
        <f>IF((((X47+Y47)/2)+(C47/(DATOS!$B$14*((X47+Y47)/2)))^2/(2*9.81)+B47-(E46+(C46/(DATOS!$B$14*E46))^2/(2*9.81)+B46+0.5*(((DATOS!$B$27*C46/(DATOS!$B$14*E46))^2/((DATOS!$B$14*E46)/(DATOS!$B$14+2*E46))^(4/3))+((DATOS!$B$27*C47/(DATOS!$B$14*((X47+Y47)/2)))^2/((DATOS!$B$14*((X47+Y47)/2))/(DATOS!$B$14+2*((X47+Y47)/2)))^(4/3)))*(A46-A47)))&lt;0,Y47,((X47+Y47)/2))</f>
        <v/>
      </c>
      <c r="AB47" s="16">
        <f>IF((((Z47+AA47)/2)+(C47/(DATOS!$B$14*((Z47+AA47)/2)))^2/(2*9.81)+B47-(E46+(C46/(DATOS!$B$14*E46))^2/(2*9.81)+B46+0.5*(((DATOS!$B$27*C46/(DATOS!$B$14*E46))^2/((DATOS!$B$14*E46)/(DATOS!$B$14+2*E46))^(4/3))+((DATOS!$B$27*C47/(DATOS!$B$14*((Z47+AA47)/2)))^2/((DATOS!$B$14*((Z47+AA47)/2))/(DATOS!$B$14+2*((Z47+AA47)/2)))^(4/3)))*(A46-A47)))&lt;0,((Z47+AA47)/2),Z47)</f>
        <v/>
      </c>
      <c r="AC47" s="16">
        <f>IF((((Z47+AA47)/2)+(C47/(DATOS!$B$14*((Z47+AA47)/2)))^2/(2*9.81)+B47-(E46+(C46/(DATOS!$B$14*E46))^2/(2*9.81)+B46+0.5*(((DATOS!$B$27*C46/(DATOS!$B$14*E46))^2/((DATOS!$B$14*E46)/(DATOS!$B$14+2*E46))^(4/3))+((DATOS!$B$27*C47/(DATOS!$B$14*((Z47+AA47)/2)))^2/((DATOS!$B$14*((Z47+AA47)/2))/(DATOS!$B$14+2*((Z47+AA47)/2)))^(4/3)))*(A46-A47)))&lt;0,AA47,((Z47+AA47)/2))</f>
        <v/>
      </c>
      <c r="AD47" s="16">
        <f>IF((((AB47+AC47)/2)+(C47/(DATOS!$B$14*((AB47+AC47)/2)))^2/(2*9.81)+B47-(E46+(C46/(DATOS!$B$14*E46))^2/(2*9.81)+B46+0.5*(((DATOS!$B$27*C46/(DATOS!$B$14*E46))^2/((DATOS!$B$14*E46)/(DATOS!$B$14+2*E46))^(4/3))+((DATOS!$B$27*C47/(DATOS!$B$14*((AB47+AC47)/2)))^2/((DATOS!$B$14*((AB47+AC47)/2))/(DATOS!$B$14+2*((AB47+AC47)/2)))^(4/3)))*(A46-A47)))&lt;0,((AB47+AC47)/2),AB47)</f>
        <v/>
      </c>
      <c r="AE47" s="16">
        <f>IF((((AB47+AC47)/2)+(C47/(DATOS!$B$14*((AB47+AC47)/2)))^2/(2*9.81)+B47-(E46+(C46/(DATOS!$B$14*E46))^2/(2*9.81)+B46+0.5*(((DATOS!$B$27*C46/(DATOS!$B$14*E46))^2/((DATOS!$B$14*E46)/(DATOS!$B$14+2*E46))^(4/3))+((DATOS!$B$27*C47/(DATOS!$B$14*((AB47+AC47)/2)))^2/((DATOS!$B$14*((AB47+AC47)/2))/(DATOS!$B$14+2*((AB47+AC47)/2)))^(4/3)))*(A46-A47)))&lt;0,AC47,((AB47+AC47)/2))</f>
        <v/>
      </c>
      <c r="AF47" s="16">
        <f>IF((((AD47+AE47)/2)+(C47/(DATOS!$B$14*((AD47+AE47)/2)))^2/(2*9.81)+B47-(E46+(C46/(DATOS!$B$14*E46))^2/(2*9.81)+B46+0.5*(((DATOS!$B$27*C46/(DATOS!$B$14*E46))^2/((DATOS!$B$14*E46)/(DATOS!$B$14+2*E46))^(4/3))+((DATOS!$B$27*C47/(DATOS!$B$14*((AD47+AE47)/2)))^2/((DATOS!$B$14*((AD47+AE47)/2))/(DATOS!$B$14+2*((AD47+AE47)/2)))^(4/3)))*(A46-A47)))&lt;0,((AD47+AE47)/2),AD47)</f>
        <v/>
      </c>
      <c r="AG47" s="16">
        <f>IF((((AD47+AE47)/2)+(C47/(DATOS!$B$14*((AD47+AE47)/2)))^2/(2*9.81)+B47-(E46+(C46/(DATOS!$B$14*E46))^2/(2*9.81)+B46+0.5*(((DATOS!$B$27*C46/(DATOS!$B$14*E46))^2/((DATOS!$B$14*E46)/(DATOS!$B$14+2*E46))^(4/3))+((DATOS!$B$27*C47/(DATOS!$B$14*((AD47+AE47)/2)))^2/((DATOS!$B$14*((AD47+AE47)/2))/(DATOS!$B$14+2*((AD47+AE47)/2)))^(4/3)))*(A46-A47)))&lt;0,AE47,((AD47+AE47)/2))</f>
        <v/>
      </c>
      <c r="AH47" s="16">
        <f>IF((((AF47+AG47)/2)+(C47/(DATOS!$B$14*((AF47+AG47)/2)))^2/(2*9.81)+B47-(E46+(C46/(DATOS!$B$14*E46))^2/(2*9.81)+B46+0.5*(((DATOS!$B$27*C46/(DATOS!$B$14*E46))^2/((DATOS!$B$14*E46)/(DATOS!$B$14+2*E46))^(4/3))+((DATOS!$B$27*C47/(DATOS!$B$14*((AF47+AG47)/2)))^2/((DATOS!$B$14*((AF47+AG47)/2))/(DATOS!$B$14+2*((AF47+AG47)/2)))^(4/3)))*(A46-A47)))&lt;0,((AF47+AG47)/2),AF47)</f>
        <v/>
      </c>
      <c r="AI47" s="16">
        <f>IF((((AF47+AG47)/2)+(C47/(DATOS!$B$14*((AF47+AG47)/2)))^2/(2*9.81)+B47-(E46+(C46/(DATOS!$B$14*E46))^2/(2*9.81)+B46+0.5*(((DATOS!$B$27*C46/(DATOS!$B$14*E46))^2/((DATOS!$B$14*E46)/(DATOS!$B$14+2*E46))^(4/3))+((DATOS!$B$27*C47/(DATOS!$B$14*((AF47+AG47)/2)))^2/((DATOS!$B$14*((AF47+AG47)/2))/(DATOS!$B$14+2*((AF47+AG47)/2)))^(4/3)))*(A46-A47)))&lt;0,AG47,((AF47+AG47)/2))</f>
        <v/>
      </c>
      <c r="AJ47" s="16">
        <f>IF((((AH47+AI47)/2)+(C47/(DATOS!$B$14*((AH47+AI47)/2)))^2/(2*9.81)+B47-(E46+(C46/(DATOS!$B$14*E46))^2/(2*9.81)+B46+0.5*(((DATOS!$B$27*C46/(DATOS!$B$14*E46))^2/((DATOS!$B$14*E46)/(DATOS!$B$14+2*E46))^(4/3))+((DATOS!$B$27*C47/(DATOS!$B$14*((AH47+AI47)/2)))^2/((DATOS!$B$14*((AH47+AI47)/2))/(DATOS!$B$14+2*((AH47+AI47)/2)))^(4/3)))*(A46-A47)))&lt;0,((AH47+AI47)/2),AH47)</f>
        <v/>
      </c>
      <c r="AK47" s="16">
        <f>IF((((AH47+AI47)/2)+(C47/(DATOS!$B$14*((AH47+AI47)/2)))^2/(2*9.81)+B47-(E46+(C46/(DATOS!$B$14*E46))^2/(2*9.81)+B46+0.5*(((DATOS!$B$27*C46/(DATOS!$B$14*E46))^2/((DATOS!$B$14*E46)/(DATOS!$B$14+2*E46))^(4/3))+((DATOS!$B$27*C47/(DATOS!$B$14*((AH47+AI47)/2)))^2/((DATOS!$B$14*((AH47+AI47)/2))/(DATOS!$B$14+2*((AH47+AI47)/2)))^(4/3)))*(A46-A47)))&lt;0,AI47,((AH47+AI47)/2))</f>
        <v/>
      </c>
      <c r="AL47" s="16">
        <f>IF((((AJ47+AK47)/2)+(C47/(DATOS!$B$14*((AJ47+AK47)/2)))^2/(2*9.81)+B47-(E46+(C46/(DATOS!$B$14*E46))^2/(2*9.81)+B46+0.5*(((DATOS!$B$27*C46/(DATOS!$B$14*E46))^2/((DATOS!$B$14*E46)/(DATOS!$B$14+2*E46))^(4/3))+((DATOS!$B$27*C47/(DATOS!$B$14*((AJ47+AK47)/2)))^2/((DATOS!$B$14*((AJ47+AK47)/2))/(DATOS!$B$14+2*((AJ47+AK47)/2)))^(4/3)))*(A46-A47)))&lt;0,((AJ47+AK47)/2),AJ47)</f>
        <v/>
      </c>
      <c r="AM47" s="16">
        <f>IF((((AJ47+AK47)/2)+(C47/(DATOS!$B$14*((AJ47+AK47)/2)))^2/(2*9.81)+B47-(E46+(C46/(DATOS!$B$14*E46))^2/(2*9.81)+B46+0.5*(((DATOS!$B$27*C46/(DATOS!$B$14*E46))^2/((DATOS!$B$14*E46)/(DATOS!$B$14+2*E46))^(4/3))+((DATOS!$B$27*C47/(DATOS!$B$14*((AJ47+AK47)/2)))^2/((DATOS!$B$14*((AJ47+AK47)/2))/(DATOS!$B$14+2*((AJ47+AK47)/2)))^(4/3)))*(A46-A47)))&lt;0,AK47,((AJ47+AK47)/2))</f>
        <v/>
      </c>
      <c r="AN47" s="16">
        <f>IF((((AL47+AM47)/2)+(C47/(DATOS!$B$14*((AL47+AM47)/2)))^2/(2*9.81)+B47-(E46+(C46/(DATOS!$B$14*E46))^2/(2*9.81)+B46+0.5*(((DATOS!$B$27*C46/(DATOS!$B$14*E46))^2/((DATOS!$B$14*E46)/(DATOS!$B$14+2*E46))^(4/3))+((DATOS!$B$27*C47/(DATOS!$B$14*((AL47+AM47)/2)))^2/((DATOS!$B$14*((AL47+AM47)/2))/(DATOS!$B$14+2*((AL47+AM47)/2)))^(4/3)))*(A46-A47)))&lt;0,((AL47+AM47)/2),AL47)</f>
        <v/>
      </c>
      <c r="AO47" s="16">
        <f>IF((((AL47+AM47)/2)+(C47/(DATOS!$B$14*((AL47+AM47)/2)))^2/(2*9.81)+B47-(E46+(C46/(DATOS!$B$14*E46))^2/(2*9.81)+B46+0.5*(((DATOS!$B$27*C46/(DATOS!$B$14*E46))^2/((DATOS!$B$14*E46)/(DATOS!$B$14+2*E46))^(4/3))+((DATOS!$B$27*C47/(DATOS!$B$14*((AL47+AM47)/2)))^2/((DATOS!$B$14*((AL47+AM47)/2))/(DATOS!$B$14+2*((AL47+AM47)/2)))^(4/3)))*(A46-A47)))&lt;0,AM47,((AL47+AM47)/2))</f>
        <v/>
      </c>
      <c r="AP47" s="16">
        <f>IF((((AN47+AO47)/2)+(C47/(DATOS!$B$14*((AN47+AO47)/2)))^2/(2*9.81)+B47-(E46+(C46/(DATOS!$B$14*E46))^2/(2*9.81)+B46+0.5*(((DATOS!$B$27*C46/(DATOS!$B$14*E46))^2/((DATOS!$B$14*E46)/(DATOS!$B$14+2*E46))^(4/3))+((DATOS!$B$27*C47/(DATOS!$B$14*((AN47+AO47)/2)))^2/((DATOS!$B$14*((AN47+AO47)/2))/(DATOS!$B$14+2*((AN47+AO47)/2)))^(4/3)))*(A46-A47)))&lt;0,((AN47+AO47)/2),AN47)</f>
        <v/>
      </c>
      <c r="AQ47" s="16">
        <f>IF((((AN47+AO47)/2)+(C47/(DATOS!$B$14*((AN47+AO47)/2)))^2/(2*9.81)+B47-(E46+(C46/(DATOS!$B$14*E46))^2/(2*9.81)+B46+0.5*(((DATOS!$B$27*C46/(DATOS!$B$14*E46))^2/((DATOS!$B$14*E46)/(DATOS!$B$14+2*E46))^(4/3))+((DATOS!$B$27*C47/(DATOS!$B$14*((AN47+AO47)/2)))^2/((DATOS!$B$14*((AN47+AO47)/2))/(DATOS!$B$14+2*((AN47+AO47)/2)))^(4/3)))*(A46-A47)))&lt;0,AO47,((AN47+AO47)/2))</f>
        <v/>
      </c>
      <c r="AR47" s="16">
        <f>IF((((AP47+AQ47)/2)+(C47/(DATOS!$B$14*((AP47+AQ47)/2)))^2/(2*9.81)+B47-(E46+(C46/(DATOS!$B$14*E46))^2/(2*9.81)+B46+0.5*(((DATOS!$B$27*C46/(DATOS!$B$14*E46))^2/((DATOS!$B$14*E46)/(DATOS!$B$14+2*E46))^(4/3))+((DATOS!$B$27*C47/(DATOS!$B$14*((AP47+AQ47)/2)))^2/((DATOS!$B$14*((AP47+AQ47)/2))/(DATOS!$B$14+2*((AP47+AQ47)/2)))^(4/3)))*(A46-A47)))&lt;0,((AP47+AQ47)/2),AP47)</f>
        <v/>
      </c>
      <c r="AS47" s="16">
        <f>IF((((AP47+AQ47)/2)+(C47/(DATOS!$B$14*((AP47+AQ47)/2)))^2/(2*9.81)+B47-(E46+(C46/(DATOS!$B$14*E46))^2/(2*9.81)+B46+0.5*(((DATOS!$B$27*C46/(DATOS!$B$14*E46))^2/((DATOS!$B$14*E46)/(DATOS!$B$14+2*E46))^(4/3))+((DATOS!$B$27*C47/(DATOS!$B$14*((AP47+AQ47)/2)))^2/((DATOS!$B$14*((AP47+AQ47)/2))/(DATOS!$B$14+2*((AP47+AQ47)/2)))^(4/3)))*(A46-A47)))&lt;0,AQ47,((AP47+AQ47)/2))</f>
        <v/>
      </c>
      <c r="AT47" s="16">
        <f>IF((((AR47+AS47)/2)+(C47/(DATOS!$B$14*((AR47+AS47)/2)))^2/(2*9.81)+B47-(E46+(C46/(DATOS!$B$14*E46))^2/(2*9.81)+B46+0.5*(((DATOS!$B$27*C46/(DATOS!$B$14*E46))^2/((DATOS!$B$14*E46)/(DATOS!$B$14+2*E46))^(4/3))+((DATOS!$B$27*C47/(DATOS!$B$14*((AR47+AS47)/2)))^2/((DATOS!$B$14*((AR47+AS47)/2))/(DATOS!$B$14+2*((AR47+AS47)/2)))^(4/3)))*(A46-A47)))&lt;0,((AR47+AS47)/2),AR47)</f>
        <v/>
      </c>
      <c r="AU47" s="16">
        <f>IF((((AR47+AS47)/2)+(C47/(DATOS!$B$14*((AR47+AS47)/2)))^2/(2*9.81)+B47-(E46+(C46/(DATOS!$B$14*E46))^2/(2*9.81)+B46+0.5*(((DATOS!$B$27*C46/(DATOS!$B$14*E46))^2/((DATOS!$B$14*E46)/(DATOS!$B$14+2*E46))^(4/3))+((DATOS!$B$27*C47/(DATOS!$B$14*((AR47+AS47)/2)))^2/((DATOS!$B$14*((AR47+AS47)/2))/(DATOS!$B$14+2*((AR47+AS47)/2)))^(4/3)))*(A46-A47)))&lt;0,AS47,((AR47+AS47)/2))</f>
        <v/>
      </c>
      <c r="AV47" s="16">
        <f>IF((((AT47+AU47)/2)+(C47/(DATOS!$B$14*((AT47+AU47)/2)))^2/(2*9.81)+B47-(E46+(C46/(DATOS!$B$14*E46))^2/(2*9.81)+B46+0.5*(((DATOS!$B$27*C46/(DATOS!$B$14*E46))^2/((DATOS!$B$14*E46)/(DATOS!$B$14+2*E46))^(4/3))+((DATOS!$B$27*C47/(DATOS!$B$14*((AT47+AU47)/2)))^2/((DATOS!$B$14*((AT47+AU47)/2))/(DATOS!$B$14+2*((AT47+AU47)/2)))^(4/3)))*(A46-A47)))&lt;0,((AT47+AU47)/2),AT47)</f>
        <v/>
      </c>
      <c r="AW47" s="16">
        <f>IF((((AT47+AU47)/2)+(C47/(DATOS!$B$14*((AT47+AU47)/2)))^2/(2*9.81)+B47-(E46+(C46/(DATOS!$B$14*E46))^2/(2*9.81)+B46+0.5*(((DATOS!$B$27*C46/(DATOS!$B$14*E46))^2/((DATOS!$B$14*E46)/(DATOS!$B$14+2*E46))^(4/3))+((DATOS!$B$27*C47/(DATOS!$B$14*((AT47+AU47)/2)))^2/((DATOS!$B$14*((AT47+AU47)/2))/(DATOS!$B$14+2*((AT47+AU47)/2)))^(4/3)))*(A46-A47)))&lt;0,AU47,((AT47+AU47)/2))</f>
        <v/>
      </c>
      <c r="AX47" s="16">
        <f>IF((((AV47+AW47)/2)+(C47/(DATOS!$B$14*((AV47+AW47)/2)))^2/(2*9.81)+B47-(E46+(C46/(DATOS!$B$14*E46))^2/(2*9.81)+B46+0.5*(((DATOS!$B$27*C46/(DATOS!$B$14*E46))^2/((DATOS!$B$14*E46)/(DATOS!$B$14+2*E46))^(4/3))+((DATOS!$B$27*C47/(DATOS!$B$14*((AV47+AW47)/2)))^2/((DATOS!$B$14*((AV47+AW47)/2))/(DATOS!$B$14+2*((AV47+AW47)/2)))^(4/3)))*(A46-A47)))&lt;0,((AV47+AW47)/2),AV47)</f>
        <v/>
      </c>
      <c r="AY47" s="16">
        <f>IF((((AV47+AW47)/2)+(C47/(DATOS!$B$14*((AV47+AW47)/2)))^2/(2*9.81)+B47-(E46+(C46/(DATOS!$B$14*E46))^2/(2*9.81)+B46+0.5*(((DATOS!$B$27*C46/(DATOS!$B$14*E46))^2/((DATOS!$B$14*E46)/(DATOS!$B$14+2*E46))^(4/3))+((DATOS!$B$27*C47/(DATOS!$B$14*((AV47+AW47)/2)))^2/((DATOS!$B$14*((AV47+AW47)/2))/(DATOS!$B$14+2*((AV47+AW47)/2)))^(4/3)))*(A46-A47)))&lt;0,AW47,((AV47+AW47)/2))</f>
        <v/>
      </c>
      <c r="AZ47" s="16">
        <f>IF((((AX47+AY47)/2)+(C47/(DATOS!$B$14*((AX47+AY47)/2)))^2/(2*9.81)+B47-(E46+(C46/(DATOS!$B$14*E46))^2/(2*9.81)+B46+0.5*(((DATOS!$B$27*C46/(DATOS!$B$14*E46))^2/((DATOS!$B$14*E46)/(DATOS!$B$14+2*E46))^(4/3))+((DATOS!$B$27*C47/(DATOS!$B$14*((AX47+AY47)/2)))^2/((DATOS!$B$14*((AX47+AY47)/2))/(DATOS!$B$14+2*((AX47+AY47)/2)))^(4/3)))*(A46-A47)))&lt;0,((AX47+AY47)/2),AX47)</f>
        <v/>
      </c>
      <c r="BA47" s="16">
        <f>IF((((AX47+AY47)/2)+(C47/(DATOS!$B$14*((AX47+AY47)/2)))^2/(2*9.81)+B47-(E46+(C46/(DATOS!$B$14*E46))^2/(2*9.81)+B46+0.5*(((DATOS!$B$27*C46/(DATOS!$B$14*E46))^2/((DATOS!$B$14*E46)/(DATOS!$B$14+2*E46))^(4/3))+((DATOS!$B$27*C47/(DATOS!$B$14*((AX47+AY47)/2)))^2/((DATOS!$B$14*((AX47+AY47)/2))/(DATOS!$B$14+2*((AX47+AY47)/2)))^(4/3)))*(A46-A47)))&lt;0,AY47,((AX47+AY47)/2))</f>
        <v/>
      </c>
      <c r="BB47" s="16">
        <f>IF((((AZ47+BA47)/2)+(C47/(DATOS!$B$14*((AZ47+BA47)/2)))^2/(2*9.81)+B47-(E46+(C46/(DATOS!$B$14*E46))^2/(2*9.81)+B46+0.5*(((DATOS!$B$27*C46/(DATOS!$B$14*E46))^2/((DATOS!$B$14*E46)/(DATOS!$B$14+2*E46))^(4/3))+((DATOS!$B$27*C47/(DATOS!$B$14*((AZ47+BA47)/2)))^2/((DATOS!$B$14*((AZ47+BA47)/2))/(DATOS!$B$14+2*((AZ47+BA47)/2)))^(4/3)))*(A46-A47)))&lt;0,((AZ47+BA47)/2),AZ47)</f>
        <v/>
      </c>
      <c r="BC47" s="16">
        <f>IF((((AZ47+BA47)/2)+(C47/(DATOS!$B$14*((AZ47+BA47)/2)))^2/(2*9.81)+B47-(E46+(C46/(DATOS!$B$14*E46))^2/(2*9.81)+B46+0.5*(((DATOS!$B$27*C46/(DATOS!$B$14*E46))^2/((DATOS!$B$14*E46)/(DATOS!$B$14+2*E46))^(4/3))+((DATOS!$B$27*C47/(DATOS!$B$14*((AZ47+BA47)/2)))^2/((DATOS!$B$14*((AZ47+BA47)/2))/(DATOS!$B$14+2*((AZ47+BA47)/2)))^(4/3)))*(A46-A47)))&lt;0,BA47,((AZ47+BA47)/2))</f>
        <v/>
      </c>
      <c r="BD47" s="16">
        <f>IF((((BB47+BC47)/2)+(C47/(DATOS!$B$14*((BB47+BC47)/2)))^2/(2*9.81)+B47-(E46+(C46/(DATOS!$B$14*E46))^2/(2*9.81)+B46+0.5*(((DATOS!$B$27*C46/(DATOS!$B$14*E46))^2/((DATOS!$B$14*E46)/(DATOS!$B$14+2*E46))^(4/3))+((DATOS!$B$27*C47/(DATOS!$B$14*((BB47+BC47)/2)))^2/((DATOS!$B$14*((BB47+BC47)/2))/(DATOS!$B$14+2*((BB47+BC47)/2)))^(4/3)))*(A46-A47)))&lt;0,((BB47+BC47)/2),BB47)</f>
        <v/>
      </c>
      <c r="BE47" s="16">
        <f>IF((((BB47+BC47)/2)+(C47/(DATOS!$B$14*((BB47+BC47)/2)))^2/(2*9.81)+B47-(E46+(C46/(DATOS!$B$14*E46))^2/(2*9.81)+B46+0.5*(((DATOS!$B$27*C46/(DATOS!$B$14*E46))^2/((DATOS!$B$14*E46)/(DATOS!$B$14+2*E46))^(4/3))+((DATOS!$B$27*C47/(DATOS!$B$14*((BB47+BC47)/2)))^2/((DATOS!$B$14*((BB47+BC47)/2))/(DATOS!$B$14+2*((BB47+BC47)/2)))^(4/3)))*(A46-A47)))&lt;0,BC47,((BB47+BC47)/2))</f>
        <v/>
      </c>
      <c r="BF47" s="16">
        <f>IF((((BD47+BE47)/2)+(C47/(DATOS!$B$14*((BD47+BE47)/2)))^2/(2*9.81)+B47-(E46+(C46/(DATOS!$B$14*E46))^2/(2*9.81)+B46+0.5*(((DATOS!$B$27*C46/(DATOS!$B$14*E46))^2/((DATOS!$B$14*E46)/(DATOS!$B$14+2*E46))^(4/3))+((DATOS!$B$27*C47/(DATOS!$B$14*((BD47+BE47)/2)))^2/((DATOS!$B$14*((BD47+BE47)/2))/(DATOS!$B$14+2*((BD47+BE47)/2)))^(4/3)))*(A46-A47)))&lt;0,((BD47+BE47)/2),BD47)</f>
        <v/>
      </c>
      <c r="BG47" s="16">
        <f>IF((((BD47+BE47)/2)+(C47/(DATOS!$B$14*((BD47+BE47)/2)))^2/(2*9.81)+B47-(E46+(C46/(DATOS!$B$14*E46))^2/(2*9.81)+B46+0.5*(((DATOS!$B$27*C46/(DATOS!$B$14*E46))^2/((DATOS!$B$14*E46)/(DATOS!$B$14+2*E46))^(4/3))+((DATOS!$B$27*C47/(DATOS!$B$14*((BD47+BE47)/2)))^2/((DATOS!$B$14*((BD47+BE47)/2))/(DATOS!$B$14+2*((BD47+BE47)/2)))^(4/3)))*(A46-A47)))&lt;0,BE47,((BD47+BE47)/2))</f>
        <v/>
      </c>
      <c r="BH47" s="16">
        <f>IF((((BF47+BG47)/2)+(C47/(DATOS!$B$14*((BF47+BG47)/2)))^2/(2*9.81)+B47-(E46+(C46/(DATOS!$B$14*E46))^2/(2*9.81)+B46+0.5*(((DATOS!$B$27*C46/(DATOS!$B$14*E46))^2/((DATOS!$B$14*E46)/(DATOS!$B$14+2*E46))^(4/3))+((DATOS!$B$27*C47/(DATOS!$B$14*((BF47+BG47)/2)))^2/((DATOS!$B$14*((BF47+BG47)/2))/(DATOS!$B$14+2*((BF47+BG47)/2)))^(4/3)))*(A46-A47)))&lt;0,((BF47+BG47)/2),BF47)</f>
        <v/>
      </c>
      <c r="BI47" s="16">
        <f>IF((((BF47+BG47)/2)+(C47/(DATOS!$B$14*((BF47+BG47)/2)))^2/(2*9.81)+B47-(E46+(C46/(DATOS!$B$14*E46))^2/(2*9.81)+B46+0.5*(((DATOS!$B$27*C46/(DATOS!$B$14*E46))^2/((DATOS!$B$14*E46)/(DATOS!$B$14+2*E46))^(4/3))+((DATOS!$B$27*C47/(DATOS!$B$14*((BF47+BG47)/2)))^2/((DATOS!$B$14*((BF47+BG47)/2))/(DATOS!$B$14+2*((BF47+BG47)/2)))^(4/3)))*(A46-A47)))&lt;0,BG47,((BF47+BG47)/2))</f>
        <v/>
      </c>
      <c r="BJ47" s="16">
        <f>IF((((BH47+BI47)/2)+(C47/(DATOS!$B$14*((BH47+BI47)/2)))^2/(2*9.81)+B47-(E46+(C46/(DATOS!$B$14*E46))^2/(2*9.81)+B46+0.5*(((DATOS!$B$27*C46/(DATOS!$B$14*E46))^2/((DATOS!$B$14*E46)/(DATOS!$B$14+2*E46))^(4/3))+((DATOS!$B$27*C47/(DATOS!$B$14*((BH47+BI47)/2)))^2/((DATOS!$B$14*((BH47+BI47)/2))/(DATOS!$B$14+2*((BH47+BI47)/2)))^(4/3)))*(A46-A47)))&lt;0,((BH47+BI47)/2),BH47)</f>
        <v/>
      </c>
      <c r="BK47" s="16">
        <f>IF((((BH47+BI47)/2)+(C47/(DATOS!$B$14*((BH47+BI47)/2)))^2/(2*9.81)+B47-(E46+(C46/(DATOS!$B$14*E46))^2/(2*9.81)+B46+0.5*(((DATOS!$B$27*C46/(DATOS!$B$14*E46))^2/((DATOS!$B$14*E46)/(DATOS!$B$14+2*E46))^(4/3))+((DATOS!$B$27*C47/(DATOS!$B$14*((BH47+BI47)/2)))^2/((DATOS!$B$14*((BH47+BI47)/2))/(DATOS!$B$14+2*((BH47+BI47)/2)))^(4/3)))*(A46-A47)))&lt;0,BI47,((BH47+BI47)/2))</f>
        <v/>
      </c>
      <c r="BL47" s="16">
        <f>IF((((BJ47+BK47)/2)+(C47/(DATOS!$B$14*((BJ47+BK47)/2)))^2/(2*9.81)+B47-(E46+(C46/(DATOS!$B$14*E46))^2/(2*9.81)+B46+0.5*(((DATOS!$B$27*C46/(DATOS!$B$14*E46))^2/((DATOS!$B$14*E46)/(DATOS!$B$14+2*E46))^(4/3))+((DATOS!$B$27*C47/(DATOS!$B$14*((BJ47+BK47)/2)))^2/((DATOS!$B$14*((BJ47+BK47)/2))/(DATOS!$B$14+2*((BJ47+BK47)/2)))^(4/3)))*(A46-A47)))&lt;0,((BJ47+BK47)/2),BJ47)</f>
        <v/>
      </c>
      <c r="BM47" s="16">
        <f>IF((((BJ47+BK47)/2)+(C47/(DATOS!$B$14*((BJ47+BK47)/2)))^2/(2*9.81)+B47-(E46+(C46/(DATOS!$B$14*E46))^2/(2*9.81)+B46+0.5*(((DATOS!$B$27*C46/(DATOS!$B$14*E46))^2/((DATOS!$B$14*E46)/(DATOS!$B$14+2*E46))^(4/3))+((DATOS!$B$27*C47/(DATOS!$B$14*((BJ47+BK47)/2)))^2/((DATOS!$B$14*((BJ47+BK47)/2))/(DATOS!$B$14+2*((BJ47+BK47)/2)))^(4/3)))*(A46-A47)))&lt;0,BK47,((BJ47+BK47)/2))</f>
        <v/>
      </c>
      <c r="BN47" s="16">
        <f>IF((((BL47+BM47)/2)+(C47/(DATOS!$B$14*((BL47+BM47)/2)))^2/(2*9.81)+B47-(E46+(C46/(DATOS!$B$14*E46))^2/(2*9.81)+B46+0.5*(((DATOS!$B$27*C46/(DATOS!$B$14*E46))^2/((DATOS!$B$14*E46)/(DATOS!$B$14+2*E46))^(4/3))+((DATOS!$B$27*C47/(DATOS!$B$14*((BL47+BM47)/2)))^2/((DATOS!$B$14*((BL47+BM47)/2))/(DATOS!$B$14+2*((BL47+BM47)/2)))^(4/3)))*(A46-A47)))&lt;0,((BL47+BM47)/2),BL47)</f>
        <v/>
      </c>
      <c r="BO47" s="16">
        <f>IF((((BL47+BM47)/2)+(C47/(DATOS!$B$14*((BL47+BM47)/2)))^2/(2*9.81)+B47-(E46+(C46/(DATOS!$B$14*E46))^2/(2*9.81)+B46+0.5*(((DATOS!$B$27*C46/(DATOS!$B$14*E46))^2/((DATOS!$B$14*E46)/(DATOS!$B$14+2*E46))^(4/3))+((DATOS!$B$27*C47/(DATOS!$B$14*((BL47+BM47)/2)))^2/((DATOS!$B$14*((BL47+BM47)/2))/(DATOS!$B$14+2*((BL47+BM47)/2)))^(4/3)))*(A46-A47)))&lt;0,BM47,((BL47+BM47)/2))</f>
        <v/>
      </c>
      <c r="BP47" s="16">
        <f>IF((((BN47+BO47)/2)+(C47/(DATOS!$B$14*((BN47+BO47)/2)))^2/(2*9.81)+B47-(E46+(C46/(DATOS!$B$14*E46))^2/(2*9.81)+B46+0.5*(((DATOS!$B$27*C46/(DATOS!$B$14*E46))^2/((DATOS!$B$14*E46)/(DATOS!$B$14+2*E46))^(4/3))+((DATOS!$B$27*C47/(DATOS!$B$14*((BN47+BO47)/2)))^2/((DATOS!$B$14*((BN47+BO47)/2))/(DATOS!$B$14+2*((BN47+BO47)/2)))^(4/3)))*(A46-A47)))&lt;0,((BN47+BO47)/2),BN47)</f>
        <v/>
      </c>
      <c r="BQ47" s="16">
        <f>IF((((BN47+BO47)/2)+(C47/(DATOS!$B$14*((BN47+BO47)/2)))^2/(2*9.81)+B47-(E46+(C46/(DATOS!$B$14*E46))^2/(2*9.81)+B46+0.5*(((DATOS!$B$27*C46/(DATOS!$B$14*E46))^2/((DATOS!$B$14*E46)/(DATOS!$B$14+2*E46))^(4/3))+((DATOS!$B$27*C47/(DATOS!$B$14*((BN47+BO47)/2)))^2/((DATOS!$B$14*((BN47+BO47)/2))/(DATOS!$B$14+2*((BN47+BO47)/2)))^(4/3)))*(A46-A47)))&lt;0,BO47,((BN47+BO47)/2))</f>
        <v/>
      </c>
      <c r="BR47" s="16">
        <f>IF((((BP47+BQ47)/2)+(C47/(DATOS!$B$14*((BP47+BQ47)/2)))^2/(2*9.81)+B47-(E46+(C46/(DATOS!$B$14*E46))^2/(2*9.81)+B46+0.5*(((DATOS!$B$27*C46/(DATOS!$B$14*E46))^2/((DATOS!$B$14*E46)/(DATOS!$B$14+2*E46))^(4/3))+((DATOS!$B$27*C47/(DATOS!$B$14*((BP47+BQ47)/2)))^2/((DATOS!$B$14*((BP47+BQ47)/2))/(DATOS!$B$14+2*((BP47+BQ47)/2)))^(4/3)))*(A46-A47)))&lt;0,((BP47+BQ47)/2),BP47)</f>
        <v/>
      </c>
      <c r="BS47" s="16">
        <f>IF((((BP47+BQ47)/2)+(C47/(DATOS!$B$14*((BP47+BQ47)/2)))^2/(2*9.81)+B47-(E46+(C46/(DATOS!$B$14*E46))^2/(2*9.81)+B46+0.5*(((DATOS!$B$27*C46/(DATOS!$B$14*E46))^2/((DATOS!$B$14*E46)/(DATOS!$B$14+2*E46))^(4/3))+((DATOS!$B$27*C47/(DATOS!$B$14*((BP47+BQ47)/2)))^2/((DATOS!$B$14*((BP47+BQ47)/2))/(DATOS!$B$14+2*((BP47+BQ47)/2)))^(4/3)))*(A46-A47)))&lt;0,BQ47,((BP47+BQ47)/2))</f>
        <v/>
      </c>
      <c r="BT47" s="16">
        <f>IF((((BR47+BS47)/2)+(C47/(DATOS!$B$14*((BR47+BS47)/2)))^2/(2*9.81)+B47-(E46+(C46/(DATOS!$B$14*E46))^2/(2*9.81)+B46+0.5*(((DATOS!$B$27*C46/(DATOS!$B$14*E46))^2/((DATOS!$B$14*E46)/(DATOS!$B$14+2*E46))^(4/3))+((DATOS!$B$27*C47/(DATOS!$B$14*((BR47+BS47)/2)))^2/((DATOS!$B$14*((BR47+BS47)/2))/(DATOS!$B$14+2*((BR47+BS47)/2)))^(4/3)))*(A46-A47)))&lt;0,((BR47+BS47)/2),BR47)</f>
        <v/>
      </c>
      <c r="BU47" s="16">
        <f>IF((((BR47+BS47)/2)+(C47/(DATOS!$B$14*((BR47+BS47)/2)))^2/(2*9.81)+B47-(E46+(C46/(DATOS!$B$14*E46))^2/(2*9.81)+B46+0.5*(((DATOS!$B$27*C46/(DATOS!$B$14*E46))^2/((DATOS!$B$14*E46)/(DATOS!$B$14+2*E46))^(4/3))+((DATOS!$B$27*C47/(DATOS!$B$14*((BR47+BS47)/2)))^2/((DATOS!$B$14*((BR47+BS47)/2))/(DATOS!$B$14+2*((BR47+BS47)/2)))^(4/3)))*(A46-A47)))&lt;0,BS47,((BR47+BS47)/2))</f>
        <v/>
      </c>
    </row>
    <row r="48">
      <c r="A48" s="30" t="n">
        <v>58</v>
      </c>
      <c r="B48" s="21">
        <f>DATOS!$B$16-DATOS!$B$19*A48</f>
        <v/>
      </c>
      <c r="C48" s="21">
        <f>IF(A48&lt;CAUDALES!$B$13,CAUDALES!$D$12,IF(A48&lt;CAUDALES!$B$14,CAUDALES!$D$13,IF(A48&lt;CAUDALES!$B$15,CAUDALES!$D$14,CAUDALES!$D$15)))/1000</f>
        <v/>
      </c>
      <c r="D48" s="21">
        <f>(C48^2/(9.81*DATOS!$B$14^2))^(1/3)</f>
        <v/>
      </c>
      <c r="E48" s="29">
        <f>(BT48+BU48)/2</f>
        <v/>
      </c>
      <c r="F48" s="21">
        <f>B48+E48</f>
        <v/>
      </c>
      <c r="G48" s="17">
        <f>C48/(DATOS!$B$14*E48)</f>
        <v/>
      </c>
      <c r="H48" s="17">
        <f>G48/SQRT(9.81*E48)</f>
        <v/>
      </c>
      <c r="I48" s="21">
        <f>IF(A48&lt;=DATOS!$B$20,DATOS!$B$21-IF(AND(A48&gt;=DATOS!$B$23,A48&lt;DATOS!$B$24),DATOS!$B$25,DATOS!$B$22),B48+DATOS!$B$26)</f>
        <v/>
      </c>
      <c r="J48" s="17">
        <f>I48-B48</f>
        <v/>
      </c>
      <c r="K48" s="31">
        <f>E48/J48</f>
        <v/>
      </c>
      <c r="L48" s="21">
        <f>I48-F48</f>
        <v/>
      </c>
      <c r="M48" s="32">
        <f>IF(AND(K48&lt;=DATOS!$B$29,L48&gt;=DATOS!$B$30),"CUMPLE","NO CUMPLE")</f>
        <v/>
      </c>
      <c r="N48" s="13">
        <f>IF(A48&gt;DATOS!$B$20,"cubierto - tramo final",IF(AND(A48&gt;=DATOS!$B$23,A48&lt;DATOS!$B$24),"cubierto - camiones","cubierto"))</f>
        <v/>
      </c>
      <c r="P48" s="16">
        <f>D48*1.001</f>
        <v/>
      </c>
      <c r="Q48" s="16" t="n">
        <v>2</v>
      </c>
      <c r="R48" s="16">
        <f>IF((((P48+Q48)/2)+(C48/(DATOS!$B$14*((P48+Q48)/2)))^2/(2*9.81)+B48-(E47+(C47/(DATOS!$B$14*E47))^2/(2*9.81)+B47+0.5*(((DATOS!$B$27*C47/(DATOS!$B$14*E47))^2/((DATOS!$B$14*E47)/(DATOS!$B$14+2*E47))^(4/3))+((DATOS!$B$27*C48/(DATOS!$B$14*((P48+Q48)/2)))^2/((DATOS!$B$14*((P48+Q48)/2))/(DATOS!$B$14+2*((P48+Q48)/2)))^(4/3)))*(A47-A48)))&lt;0,((P48+Q48)/2),P48)</f>
        <v/>
      </c>
      <c r="S48" s="16">
        <f>IF((((P48+Q48)/2)+(C48/(DATOS!$B$14*((P48+Q48)/2)))^2/(2*9.81)+B48-(E47+(C47/(DATOS!$B$14*E47))^2/(2*9.81)+B47+0.5*(((DATOS!$B$27*C47/(DATOS!$B$14*E47))^2/((DATOS!$B$14*E47)/(DATOS!$B$14+2*E47))^(4/3))+((DATOS!$B$27*C48/(DATOS!$B$14*((P48+Q48)/2)))^2/((DATOS!$B$14*((P48+Q48)/2))/(DATOS!$B$14+2*((P48+Q48)/2)))^(4/3)))*(A47-A48)))&lt;0,Q48,((P48+Q48)/2))</f>
        <v/>
      </c>
      <c r="T48" s="16">
        <f>IF((((R48+S48)/2)+(C48/(DATOS!$B$14*((R48+S48)/2)))^2/(2*9.81)+B48-(E47+(C47/(DATOS!$B$14*E47))^2/(2*9.81)+B47+0.5*(((DATOS!$B$27*C47/(DATOS!$B$14*E47))^2/((DATOS!$B$14*E47)/(DATOS!$B$14+2*E47))^(4/3))+((DATOS!$B$27*C48/(DATOS!$B$14*((R48+S48)/2)))^2/((DATOS!$B$14*((R48+S48)/2))/(DATOS!$B$14+2*((R48+S48)/2)))^(4/3)))*(A47-A48)))&lt;0,((R48+S48)/2),R48)</f>
        <v/>
      </c>
      <c r="U48" s="16">
        <f>IF((((R48+S48)/2)+(C48/(DATOS!$B$14*((R48+S48)/2)))^2/(2*9.81)+B48-(E47+(C47/(DATOS!$B$14*E47))^2/(2*9.81)+B47+0.5*(((DATOS!$B$27*C47/(DATOS!$B$14*E47))^2/((DATOS!$B$14*E47)/(DATOS!$B$14+2*E47))^(4/3))+((DATOS!$B$27*C48/(DATOS!$B$14*((R48+S48)/2)))^2/((DATOS!$B$14*((R48+S48)/2))/(DATOS!$B$14+2*((R48+S48)/2)))^(4/3)))*(A47-A48)))&lt;0,S48,((R48+S48)/2))</f>
        <v/>
      </c>
      <c r="V48" s="16">
        <f>IF((((T48+U48)/2)+(C48/(DATOS!$B$14*((T48+U48)/2)))^2/(2*9.81)+B48-(E47+(C47/(DATOS!$B$14*E47))^2/(2*9.81)+B47+0.5*(((DATOS!$B$27*C47/(DATOS!$B$14*E47))^2/((DATOS!$B$14*E47)/(DATOS!$B$14+2*E47))^(4/3))+((DATOS!$B$27*C48/(DATOS!$B$14*((T48+U48)/2)))^2/((DATOS!$B$14*((T48+U48)/2))/(DATOS!$B$14+2*((T48+U48)/2)))^(4/3)))*(A47-A48)))&lt;0,((T48+U48)/2),T48)</f>
        <v/>
      </c>
      <c r="W48" s="16">
        <f>IF((((T48+U48)/2)+(C48/(DATOS!$B$14*((T48+U48)/2)))^2/(2*9.81)+B48-(E47+(C47/(DATOS!$B$14*E47))^2/(2*9.81)+B47+0.5*(((DATOS!$B$27*C47/(DATOS!$B$14*E47))^2/((DATOS!$B$14*E47)/(DATOS!$B$14+2*E47))^(4/3))+((DATOS!$B$27*C48/(DATOS!$B$14*((T48+U48)/2)))^2/((DATOS!$B$14*((T48+U48)/2))/(DATOS!$B$14+2*((T48+U48)/2)))^(4/3)))*(A47-A48)))&lt;0,U48,((T48+U48)/2))</f>
        <v/>
      </c>
      <c r="X48" s="16">
        <f>IF((((V48+W48)/2)+(C48/(DATOS!$B$14*((V48+W48)/2)))^2/(2*9.81)+B48-(E47+(C47/(DATOS!$B$14*E47))^2/(2*9.81)+B47+0.5*(((DATOS!$B$27*C47/(DATOS!$B$14*E47))^2/((DATOS!$B$14*E47)/(DATOS!$B$14+2*E47))^(4/3))+((DATOS!$B$27*C48/(DATOS!$B$14*((V48+W48)/2)))^2/((DATOS!$B$14*((V48+W48)/2))/(DATOS!$B$14+2*((V48+W48)/2)))^(4/3)))*(A47-A48)))&lt;0,((V48+W48)/2),V48)</f>
        <v/>
      </c>
      <c r="Y48" s="16">
        <f>IF((((V48+W48)/2)+(C48/(DATOS!$B$14*((V48+W48)/2)))^2/(2*9.81)+B48-(E47+(C47/(DATOS!$B$14*E47))^2/(2*9.81)+B47+0.5*(((DATOS!$B$27*C47/(DATOS!$B$14*E47))^2/((DATOS!$B$14*E47)/(DATOS!$B$14+2*E47))^(4/3))+((DATOS!$B$27*C48/(DATOS!$B$14*((V48+W48)/2)))^2/((DATOS!$B$14*((V48+W48)/2))/(DATOS!$B$14+2*((V48+W48)/2)))^(4/3)))*(A47-A48)))&lt;0,W48,((V48+W48)/2))</f>
        <v/>
      </c>
      <c r="Z48" s="16">
        <f>IF((((X48+Y48)/2)+(C48/(DATOS!$B$14*((X48+Y48)/2)))^2/(2*9.81)+B48-(E47+(C47/(DATOS!$B$14*E47))^2/(2*9.81)+B47+0.5*(((DATOS!$B$27*C47/(DATOS!$B$14*E47))^2/((DATOS!$B$14*E47)/(DATOS!$B$14+2*E47))^(4/3))+((DATOS!$B$27*C48/(DATOS!$B$14*((X48+Y48)/2)))^2/((DATOS!$B$14*((X48+Y48)/2))/(DATOS!$B$14+2*((X48+Y48)/2)))^(4/3)))*(A47-A48)))&lt;0,((X48+Y48)/2),X48)</f>
        <v/>
      </c>
      <c r="AA48" s="16">
        <f>IF((((X48+Y48)/2)+(C48/(DATOS!$B$14*((X48+Y48)/2)))^2/(2*9.81)+B48-(E47+(C47/(DATOS!$B$14*E47))^2/(2*9.81)+B47+0.5*(((DATOS!$B$27*C47/(DATOS!$B$14*E47))^2/((DATOS!$B$14*E47)/(DATOS!$B$14+2*E47))^(4/3))+((DATOS!$B$27*C48/(DATOS!$B$14*((X48+Y48)/2)))^2/((DATOS!$B$14*((X48+Y48)/2))/(DATOS!$B$14+2*((X48+Y48)/2)))^(4/3)))*(A47-A48)))&lt;0,Y48,((X48+Y48)/2))</f>
        <v/>
      </c>
      <c r="AB48" s="16">
        <f>IF((((Z48+AA48)/2)+(C48/(DATOS!$B$14*((Z48+AA48)/2)))^2/(2*9.81)+B48-(E47+(C47/(DATOS!$B$14*E47))^2/(2*9.81)+B47+0.5*(((DATOS!$B$27*C47/(DATOS!$B$14*E47))^2/((DATOS!$B$14*E47)/(DATOS!$B$14+2*E47))^(4/3))+((DATOS!$B$27*C48/(DATOS!$B$14*((Z48+AA48)/2)))^2/((DATOS!$B$14*((Z48+AA48)/2))/(DATOS!$B$14+2*((Z48+AA48)/2)))^(4/3)))*(A47-A48)))&lt;0,((Z48+AA48)/2),Z48)</f>
        <v/>
      </c>
      <c r="AC48" s="16">
        <f>IF((((Z48+AA48)/2)+(C48/(DATOS!$B$14*((Z48+AA48)/2)))^2/(2*9.81)+B48-(E47+(C47/(DATOS!$B$14*E47))^2/(2*9.81)+B47+0.5*(((DATOS!$B$27*C47/(DATOS!$B$14*E47))^2/((DATOS!$B$14*E47)/(DATOS!$B$14+2*E47))^(4/3))+((DATOS!$B$27*C48/(DATOS!$B$14*((Z48+AA48)/2)))^2/((DATOS!$B$14*((Z48+AA48)/2))/(DATOS!$B$14+2*((Z48+AA48)/2)))^(4/3)))*(A47-A48)))&lt;0,AA48,((Z48+AA48)/2))</f>
        <v/>
      </c>
      <c r="AD48" s="16">
        <f>IF((((AB48+AC48)/2)+(C48/(DATOS!$B$14*((AB48+AC48)/2)))^2/(2*9.81)+B48-(E47+(C47/(DATOS!$B$14*E47))^2/(2*9.81)+B47+0.5*(((DATOS!$B$27*C47/(DATOS!$B$14*E47))^2/((DATOS!$B$14*E47)/(DATOS!$B$14+2*E47))^(4/3))+((DATOS!$B$27*C48/(DATOS!$B$14*((AB48+AC48)/2)))^2/((DATOS!$B$14*((AB48+AC48)/2))/(DATOS!$B$14+2*((AB48+AC48)/2)))^(4/3)))*(A47-A48)))&lt;0,((AB48+AC48)/2),AB48)</f>
        <v/>
      </c>
      <c r="AE48" s="16">
        <f>IF((((AB48+AC48)/2)+(C48/(DATOS!$B$14*((AB48+AC48)/2)))^2/(2*9.81)+B48-(E47+(C47/(DATOS!$B$14*E47))^2/(2*9.81)+B47+0.5*(((DATOS!$B$27*C47/(DATOS!$B$14*E47))^2/((DATOS!$B$14*E47)/(DATOS!$B$14+2*E47))^(4/3))+((DATOS!$B$27*C48/(DATOS!$B$14*((AB48+AC48)/2)))^2/((DATOS!$B$14*((AB48+AC48)/2))/(DATOS!$B$14+2*((AB48+AC48)/2)))^(4/3)))*(A47-A48)))&lt;0,AC48,((AB48+AC48)/2))</f>
        <v/>
      </c>
      <c r="AF48" s="16">
        <f>IF((((AD48+AE48)/2)+(C48/(DATOS!$B$14*((AD48+AE48)/2)))^2/(2*9.81)+B48-(E47+(C47/(DATOS!$B$14*E47))^2/(2*9.81)+B47+0.5*(((DATOS!$B$27*C47/(DATOS!$B$14*E47))^2/((DATOS!$B$14*E47)/(DATOS!$B$14+2*E47))^(4/3))+((DATOS!$B$27*C48/(DATOS!$B$14*((AD48+AE48)/2)))^2/((DATOS!$B$14*((AD48+AE48)/2))/(DATOS!$B$14+2*((AD48+AE48)/2)))^(4/3)))*(A47-A48)))&lt;0,((AD48+AE48)/2),AD48)</f>
        <v/>
      </c>
      <c r="AG48" s="16">
        <f>IF((((AD48+AE48)/2)+(C48/(DATOS!$B$14*((AD48+AE48)/2)))^2/(2*9.81)+B48-(E47+(C47/(DATOS!$B$14*E47))^2/(2*9.81)+B47+0.5*(((DATOS!$B$27*C47/(DATOS!$B$14*E47))^2/((DATOS!$B$14*E47)/(DATOS!$B$14+2*E47))^(4/3))+((DATOS!$B$27*C48/(DATOS!$B$14*((AD48+AE48)/2)))^2/((DATOS!$B$14*((AD48+AE48)/2))/(DATOS!$B$14+2*((AD48+AE48)/2)))^(4/3)))*(A47-A48)))&lt;0,AE48,((AD48+AE48)/2))</f>
        <v/>
      </c>
      <c r="AH48" s="16">
        <f>IF((((AF48+AG48)/2)+(C48/(DATOS!$B$14*((AF48+AG48)/2)))^2/(2*9.81)+B48-(E47+(C47/(DATOS!$B$14*E47))^2/(2*9.81)+B47+0.5*(((DATOS!$B$27*C47/(DATOS!$B$14*E47))^2/((DATOS!$B$14*E47)/(DATOS!$B$14+2*E47))^(4/3))+((DATOS!$B$27*C48/(DATOS!$B$14*((AF48+AG48)/2)))^2/((DATOS!$B$14*((AF48+AG48)/2))/(DATOS!$B$14+2*((AF48+AG48)/2)))^(4/3)))*(A47-A48)))&lt;0,((AF48+AG48)/2),AF48)</f>
        <v/>
      </c>
      <c r="AI48" s="16">
        <f>IF((((AF48+AG48)/2)+(C48/(DATOS!$B$14*((AF48+AG48)/2)))^2/(2*9.81)+B48-(E47+(C47/(DATOS!$B$14*E47))^2/(2*9.81)+B47+0.5*(((DATOS!$B$27*C47/(DATOS!$B$14*E47))^2/((DATOS!$B$14*E47)/(DATOS!$B$14+2*E47))^(4/3))+((DATOS!$B$27*C48/(DATOS!$B$14*((AF48+AG48)/2)))^2/((DATOS!$B$14*((AF48+AG48)/2))/(DATOS!$B$14+2*((AF48+AG48)/2)))^(4/3)))*(A47-A48)))&lt;0,AG48,((AF48+AG48)/2))</f>
        <v/>
      </c>
      <c r="AJ48" s="16">
        <f>IF((((AH48+AI48)/2)+(C48/(DATOS!$B$14*((AH48+AI48)/2)))^2/(2*9.81)+B48-(E47+(C47/(DATOS!$B$14*E47))^2/(2*9.81)+B47+0.5*(((DATOS!$B$27*C47/(DATOS!$B$14*E47))^2/((DATOS!$B$14*E47)/(DATOS!$B$14+2*E47))^(4/3))+((DATOS!$B$27*C48/(DATOS!$B$14*((AH48+AI48)/2)))^2/((DATOS!$B$14*((AH48+AI48)/2))/(DATOS!$B$14+2*((AH48+AI48)/2)))^(4/3)))*(A47-A48)))&lt;0,((AH48+AI48)/2),AH48)</f>
        <v/>
      </c>
      <c r="AK48" s="16">
        <f>IF((((AH48+AI48)/2)+(C48/(DATOS!$B$14*((AH48+AI48)/2)))^2/(2*9.81)+B48-(E47+(C47/(DATOS!$B$14*E47))^2/(2*9.81)+B47+0.5*(((DATOS!$B$27*C47/(DATOS!$B$14*E47))^2/((DATOS!$B$14*E47)/(DATOS!$B$14+2*E47))^(4/3))+((DATOS!$B$27*C48/(DATOS!$B$14*((AH48+AI48)/2)))^2/((DATOS!$B$14*((AH48+AI48)/2))/(DATOS!$B$14+2*((AH48+AI48)/2)))^(4/3)))*(A47-A48)))&lt;0,AI48,((AH48+AI48)/2))</f>
        <v/>
      </c>
      <c r="AL48" s="16">
        <f>IF((((AJ48+AK48)/2)+(C48/(DATOS!$B$14*((AJ48+AK48)/2)))^2/(2*9.81)+B48-(E47+(C47/(DATOS!$B$14*E47))^2/(2*9.81)+B47+0.5*(((DATOS!$B$27*C47/(DATOS!$B$14*E47))^2/((DATOS!$B$14*E47)/(DATOS!$B$14+2*E47))^(4/3))+((DATOS!$B$27*C48/(DATOS!$B$14*((AJ48+AK48)/2)))^2/((DATOS!$B$14*((AJ48+AK48)/2))/(DATOS!$B$14+2*((AJ48+AK48)/2)))^(4/3)))*(A47-A48)))&lt;0,((AJ48+AK48)/2),AJ48)</f>
        <v/>
      </c>
      <c r="AM48" s="16">
        <f>IF((((AJ48+AK48)/2)+(C48/(DATOS!$B$14*((AJ48+AK48)/2)))^2/(2*9.81)+B48-(E47+(C47/(DATOS!$B$14*E47))^2/(2*9.81)+B47+0.5*(((DATOS!$B$27*C47/(DATOS!$B$14*E47))^2/((DATOS!$B$14*E47)/(DATOS!$B$14+2*E47))^(4/3))+((DATOS!$B$27*C48/(DATOS!$B$14*((AJ48+AK48)/2)))^2/((DATOS!$B$14*((AJ48+AK48)/2))/(DATOS!$B$14+2*((AJ48+AK48)/2)))^(4/3)))*(A47-A48)))&lt;0,AK48,((AJ48+AK48)/2))</f>
        <v/>
      </c>
      <c r="AN48" s="16">
        <f>IF((((AL48+AM48)/2)+(C48/(DATOS!$B$14*((AL48+AM48)/2)))^2/(2*9.81)+B48-(E47+(C47/(DATOS!$B$14*E47))^2/(2*9.81)+B47+0.5*(((DATOS!$B$27*C47/(DATOS!$B$14*E47))^2/((DATOS!$B$14*E47)/(DATOS!$B$14+2*E47))^(4/3))+((DATOS!$B$27*C48/(DATOS!$B$14*((AL48+AM48)/2)))^2/((DATOS!$B$14*((AL48+AM48)/2))/(DATOS!$B$14+2*((AL48+AM48)/2)))^(4/3)))*(A47-A48)))&lt;0,((AL48+AM48)/2),AL48)</f>
        <v/>
      </c>
      <c r="AO48" s="16">
        <f>IF((((AL48+AM48)/2)+(C48/(DATOS!$B$14*((AL48+AM48)/2)))^2/(2*9.81)+B48-(E47+(C47/(DATOS!$B$14*E47))^2/(2*9.81)+B47+0.5*(((DATOS!$B$27*C47/(DATOS!$B$14*E47))^2/((DATOS!$B$14*E47)/(DATOS!$B$14+2*E47))^(4/3))+((DATOS!$B$27*C48/(DATOS!$B$14*((AL48+AM48)/2)))^2/((DATOS!$B$14*((AL48+AM48)/2))/(DATOS!$B$14+2*((AL48+AM48)/2)))^(4/3)))*(A47-A48)))&lt;0,AM48,((AL48+AM48)/2))</f>
        <v/>
      </c>
      <c r="AP48" s="16">
        <f>IF((((AN48+AO48)/2)+(C48/(DATOS!$B$14*((AN48+AO48)/2)))^2/(2*9.81)+B48-(E47+(C47/(DATOS!$B$14*E47))^2/(2*9.81)+B47+0.5*(((DATOS!$B$27*C47/(DATOS!$B$14*E47))^2/((DATOS!$B$14*E47)/(DATOS!$B$14+2*E47))^(4/3))+((DATOS!$B$27*C48/(DATOS!$B$14*((AN48+AO48)/2)))^2/((DATOS!$B$14*((AN48+AO48)/2))/(DATOS!$B$14+2*((AN48+AO48)/2)))^(4/3)))*(A47-A48)))&lt;0,((AN48+AO48)/2),AN48)</f>
        <v/>
      </c>
      <c r="AQ48" s="16">
        <f>IF((((AN48+AO48)/2)+(C48/(DATOS!$B$14*((AN48+AO48)/2)))^2/(2*9.81)+B48-(E47+(C47/(DATOS!$B$14*E47))^2/(2*9.81)+B47+0.5*(((DATOS!$B$27*C47/(DATOS!$B$14*E47))^2/((DATOS!$B$14*E47)/(DATOS!$B$14+2*E47))^(4/3))+((DATOS!$B$27*C48/(DATOS!$B$14*((AN48+AO48)/2)))^2/((DATOS!$B$14*((AN48+AO48)/2))/(DATOS!$B$14+2*((AN48+AO48)/2)))^(4/3)))*(A47-A48)))&lt;0,AO48,((AN48+AO48)/2))</f>
        <v/>
      </c>
      <c r="AR48" s="16">
        <f>IF((((AP48+AQ48)/2)+(C48/(DATOS!$B$14*((AP48+AQ48)/2)))^2/(2*9.81)+B48-(E47+(C47/(DATOS!$B$14*E47))^2/(2*9.81)+B47+0.5*(((DATOS!$B$27*C47/(DATOS!$B$14*E47))^2/((DATOS!$B$14*E47)/(DATOS!$B$14+2*E47))^(4/3))+((DATOS!$B$27*C48/(DATOS!$B$14*((AP48+AQ48)/2)))^2/((DATOS!$B$14*((AP48+AQ48)/2))/(DATOS!$B$14+2*((AP48+AQ48)/2)))^(4/3)))*(A47-A48)))&lt;0,((AP48+AQ48)/2),AP48)</f>
        <v/>
      </c>
      <c r="AS48" s="16">
        <f>IF((((AP48+AQ48)/2)+(C48/(DATOS!$B$14*((AP48+AQ48)/2)))^2/(2*9.81)+B48-(E47+(C47/(DATOS!$B$14*E47))^2/(2*9.81)+B47+0.5*(((DATOS!$B$27*C47/(DATOS!$B$14*E47))^2/((DATOS!$B$14*E47)/(DATOS!$B$14+2*E47))^(4/3))+((DATOS!$B$27*C48/(DATOS!$B$14*((AP48+AQ48)/2)))^2/((DATOS!$B$14*((AP48+AQ48)/2))/(DATOS!$B$14+2*((AP48+AQ48)/2)))^(4/3)))*(A47-A48)))&lt;0,AQ48,((AP48+AQ48)/2))</f>
        <v/>
      </c>
      <c r="AT48" s="16">
        <f>IF((((AR48+AS48)/2)+(C48/(DATOS!$B$14*((AR48+AS48)/2)))^2/(2*9.81)+B48-(E47+(C47/(DATOS!$B$14*E47))^2/(2*9.81)+B47+0.5*(((DATOS!$B$27*C47/(DATOS!$B$14*E47))^2/((DATOS!$B$14*E47)/(DATOS!$B$14+2*E47))^(4/3))+((DATOS!$B$27*C48/(DATOS!$B$14*((AR48+AS48)/2)))^2/((DATOS!$B$14*((AR48+AS48)/2))/(DATOS!$B$14+2*((AR48+AS48)/2)))^(4/3)))*(A47-A48)))&lt;0,((AR48+AS48)/2),AR48)</f>
        <v/>
      </c>
      <c r="AU48" s="16">
        <f>IF((((AR48+AS48)/2)+(C48/(DATOS!$B$14*((AR48+AS48)/2)))^2/(2*9.81)+B48-(E47+(C47/(DATOS!$B$14*E47))^2/(2*9.81)+B47+0.5*(((DATOS!$B$27*C47/(DATOS!$B$14*E47))^2/((DATOS!$B$14*E47)/(DATOS!$B$14+2*E47))^(4/3))+((DATOS!$B$27*C48/(DATOS!$B$14*((AR48+AS48)/2)))^2/((DATOS!$B$14*((AR48+AS48)/2))/(DATOS!$B$14+2*((AR48+AS48)/2)))^(4/3)))*(A47-A48)))&lt;0,AS48,((AR48+AS48)/2))</f>
        <v/>
      </c>
      <c r="AV48" s="16">
        <f>IF((((AT48+AU48)/2)+(C48/(DATOS!$B$14*((AT48+AU48)/2)))^2/(2*9.81)+B48-(E47+(C47/(DATOS!$B$14*E47))^2/(2*9.81)+B47+0.5*(((DATOS!$B$27*C47/(DATOS!$B$14*E47))^2/((DATOS!$B$14*E47)/(DATOS!$B$14+2*E47))^(4/3))+((DATOS!$B$27*C48/(DATOS!$B$14*((AT48+AU48)/2)))^2/((DATOS!$B$14*((AT48+AU48)/2))/(DATOS!$B$14+2*((AT48+AU48)/2)))^(4/3)))*(A47-A48)))&lt;0,((AT48+AU48)/2),AT48)</f>
        <v/>
      </c>
      <c r="AW48" s="16">
        <f>IF((((AT48+AU48)/2)+(C48/(DATOS!$B$14*((AT48+AU48)/2)))^2/(2*9.81)+B48-(E47+(C47/(DATOS!$B$14*E47))^2/(2*9.81)+B47+0.5*(((DATOS!$B$27*C47/(DATOS!$B$14*E47))^2/((DATOS!$B$14*E47)/(DATOS!$B$14+2*E47))^(4/3))+((DATOS!$B$27*C48/(DATOS!$B$14*((AT48+AU48)/2)))^2/((DATOS!$B$14*((AT48+AU48)/2))/(DATOS!$B$14+2*((AT48+AU48)/2)))^(4/3)))*(A47-A48)))&lt;0,AU48,((AT48+AU48)/2))</f>
        <v/>
      </c>
      <c r="AX48" s="16">
        <f>IF((((AV48+AW48)/2)+(C48/(DATOS!$B$14*((AV48+AW48)/2)))^2/(2*9.81)+B48-(E47+(C47/(DATOS!$B$14*E47))^2/(2*9.81)+B47+0.5*(((DATOS!$B$27*C47/(DATOS!$B$14*E47))^2/((DATOS!$B$14*E47)/(DATOS!$B$14+2*E47))^(4/3))+((DATOS!$B$27*C48/(DATOS!$B$14*((AV48+AW48)/2)))^2/((DATOS!$B$14*((AV48+AW48)/2))/(DATOS!$B$14+2*((AV48+AW48)/2)))^(4/3)))*(A47-A48)))&lt;0,((AV48+AW48)/2),AV48)</f>
        <v/>
      </c>
      <c r="AY48" s="16">
        <f>IF((((AV48+AW48)/2)+(C48/(DATOS!$B$14*((AV48+AW48)/2)))^2/(2*9.81)+B48-(E47+(C47/(DATOS!$B$14*E47))^2/(2*9.81)+B47+0.5*(((DATOS!$B$27*C47/(DATOS!$B$14*E47))^2/((DATOS!$B$14*E47)/(DATOS!$B$14+2*E47))^(4/3))+((DATOS!$B$27*C48/(DATOS!$B$14*((AV48+AW48)/2)))^2/((DATOS!$B$14*((AV48+AW48)/2))/(DATOS!$B$14+2*((AV48+AW48)/2)))^(4/3)))*(A47-A48)))&lt;0,AW48,((AV48+AW48)/2))</f>
        <v/>
      </c>
      <c r="AZ48" s="16">
        <f>IF((((AX48+AY48)/2)+(C48/(DATOS!$B$14*((AX48+AY48)/2)))^2/(2*9.81)+B48-(E47+(C47/(DATOS!$B$14*E47))^2/(2*9.81)+B47+0.5*(((DATOS!$B$27*C47/(DATOS!$B$14*E47))^2/((DATOS!$B$14*E47)/(DATOS!$B$14+2*E47))^(4/3))+((DATOS!$B$27*C48/(DATOS!$B$14*((AX48+AY48)/2)))^2/((DATOS!$B$14*((AX48+AY48)/2))/(DATOS!$B$14+2*((AX48+AY48)/2)))^(4/3)))*(A47-A48)))&lt;0,((AX48+AY48)/2),AX48)</f>
        <v/>
      </c>
      <c r="BA48" s="16">
        <f>IF((((AX48+AY48)/2)+(C48/(DATOS!$B$14*((AX48+AY48)/2)))^2/(2*9.81)+B48-(E47+(C47/(DATOS!$B$14*E47))^2/(2*9.81)+B47+0.5*(((DATOS!$B$27*C47/(DATOS!$B$14*E47))^2/((DATOS!$B$14*E47)/(DATOS!$B$14+2*E47))^(4/3))+((DATOS!$B$27*C48/(DATOS!$B$14*((AX48+AY48)/2)))^2/((DATOS!$B$14*((AX48+AY48)/2))/(DATOS!$B$14+2*((AX48+AY48)/2)))^(4/3)))*(A47-A48)))&lt;0,AY48,((AX48+AY48)/2))</f>
        <v/>
      </c>
      <c r="BB48" s="16">
        <f>IF((((AZ48+BA48)/2)+(C48/(DATOS!$B$14*((AZ48+BA48)/2)))^2/(2*9.81)+B48-(E47+(C47/(DATOS!$B$14*E47))^2/(2*9.81)+B47+0.5*(((DATOS!$B$27*C47/(DATOS!$B$14*E47))^2/((DATOS!$B$14*E47)/(DATOS!$B$14+2*E47))^(4/3))+((DATOS!$B$27*C48/(DATOS!$B$14*((AZ48+BA48)/2)))^2/((DATOS!$B$14*((AZ48+BA48)/2))/(DATOS!$B$14+2*((AZ48+BA48)/2)))^(4/3)))*(A47-A48)))&lt;0,((AZ48+BA48)/2),AZ48)</f>
        <v/>
      </c>
      <c r="BC48" s="16">
        <f>IF((((AZ48+BA48)/2)+(C48/(DATOS!$B$14*((AZ48+BA48)/2)))^2/(2*9.81)+B48-(E47+(C47/(DATOS!$B$14*E47))^2/(2*9.81)+B47+0.5*(((DATOS!$B$27*C47/(DATOS!$B$14*E47))^2/((DATOS!$B$14*E47)/(DATOS!$B$14+2*E47))^(4/3))+((DATOS!$B$27*C48/(DATOS!$B$14*((AZ48+BA48)/2)))^2/((DATOS!$B$14*((AZ48+BA48)/2))/(DATOS!$B$14+2*((AZ48+BA48)/2)))^(4/3)))*(A47-A48)))&lt;0,BA48,((AZ48+BA48)/2))</f>
        <v/>
      </c>
      <c r="BD48" s="16">
        <f>IF((((BB48+BC48)/2)+(C48/(DATOS!$B$14*((BB48+BC48)/2)))^2/(2*9.81)+B48-(E47+(C47/(DATOS!$B$14*E47))^2/(2*9.81)+B47+0.5*(((DATOS!$B$27*C47/(DATOS!$B$14*E47))^2/((DATOS!$B$14*E47)/(DATOS!$B$14+2*E47))^(4/3))+((DATOS!$B$27*C48/(DATOS!$B$14*((BB48+BC48)/2)))^2/((DATOS!$B$14*((BB48+BC48)/2))/(DATOS!$B$14+2*((BB48+BC48)/2)))^(4/3)))*(A47-A48)))&lt;0,((BB48+BC48)/2),BB48)</f>
        <v/>
      </c>
      <c r="BE48" s="16">
        <f>IF((((BB48+BC48)/2)+(C48/(DATOS!$B$14*((BB48+BC48)/2)))^2/(2*9.81)+B48-(E47+(C47/(DATOS!$B$14*E47))^2/(2*9.81)+B47+0.5*(((DATOS!$B$27*C47/(DATOS!$B$14*E47))^2/((DATOS!$B$14*E47)/(DATOS!$B$14+2*E47))^(4/3))+((DATOS!$B$27*C48/(DATOS!$B$14*((BB48+BC48)/2)))^2/((DATOS!$B$14*((BB48+BC48)/2))/(DATOS!$B$14+2*((BB48+BC48)/2)))^(4/3)))*(A47-A48)))&lt;0,BC48,((BB48+BC48)/2))</f>
        <v/>
      </c>
      <c r="BF48" s="16">
        <f>IF((((BD48+BE48)/2)+(C48/(DATOS!$B$14*((BD48+BE48)/2)))^2/(2*9.81)+B48-(E47+(C47/(DATOS!$B$14*E47))^2/(2*9.81)+B47+0.5*(((DATOS!$B$27*C47/(DATOS!$B$14*E47))^2/((DATOS!$B$14*E47)/(DATOS!$B$14+2*E47))^(4/3))+((DATOS!$B$27*C48/(DATOS!$B$14*((BD48+BE48)/2)))^2/((DATOS!$B$14*((BD48+BE48)/2))/(DATOS!$B$14+2*((BD48+BE48)/2)))^(4/3)))*(A47-A48)))&lt;0,((BD48+BE48)/2),BD48)</f>
        <v/>
      </c>
      <c r="BG48" s="16">
        <f>IF((((BD48+BE48)/2)+(C48/(DATOS!$B$14*((BD48+BE48)/2)))^2/(2*9.81)+B48-(E47+(C47/(DATOS!$B$14*E47))^2/(2*9.81)+B47+0.5*(((DATOS!$B$27*C47/(DATOS!$B$14*E47))^2/((DATOS!$B$14*E47)/(DATOS!$B$14+2*E47))^(4/3))+((DATOS!$B$27*C48/(DATOS!$B$14*((BD48+BE48)/2)))^2/((DATOS!$B$14*((BD48+BE48)/2))/(DATOS!$B$14+2*((BD48+BE48)/2)))^(4/3)))*(A47-A48)))&lt;0,BE48,((BD48+BE48)/2))</f>
        <v/>
      </c>
      <c r="BH48" s="16">
        <f>IF((((BF48+BG48)/2)+(C48/(DATOS!$B$14*((BF48+BG48)/2)))^2/(2*9.81)+B48-(E47+(C47/(DATOS!$B$14*E47))^2/(2*9.81)+B47+0.5*(((DATOS!$B$27*C47/(DATOS!$B$14*E47))^2/((DATOS!$B$14*E47)/(DATOS!$B$14+2*E47))^(4/3))+((DATOS!$B$27*C48/(DATOS!$B$14*((BF48+BG48)/2)))^2/((DATOS!$B$14*((BF48+BG48)/2))/(DATOS!$B$14+2*((BF48+BG48)/2)))^(4/3)))*(A47-A48)))&lt;0,((BF48+BG48)/2),BF48)</f>
        <v/>
      </c>
      <c r="BI48" s="16">
        <f>IF((((BF48+BG48)/2)+(C48/(DATOS!$B$14*((BF48+BG48)/2)))^2/(2*9.81)+B48-(E47+(C47/(DATOS!$B$14*E47))^2/(2*9.81)+B47+0.5*(((DATOS!$B$27*C47/(DATOS!$B$14*E47))^2/((DATOS!$B$14*E47)/(DATOS!$B$14+2*E47))^(4/3))+((DATOS!$B$27*C48/(DATOS!$B$14*((BF48+BG48)/2)))^2/((DATOS!$B$14*((BF48+BG48)/2))/(DATOS!$B$14+2*((BF48+BG48)/2)))^(4/3)))*(A47-A48)))&lt;0,BG48,((BF48+BG48)/2))</f>
        <v/>
      </c>
      <c r="BJ48" s="16">
        <f>IF((((BH48+BI48)/2)+(C48/(DATOS!$B$14*((BH48+BI48)/2)))^2/(2*9.81)+B48-(E47+(C47/(DATOS!$B$14*E47))^2/(2*9.81)+B47+0.5*(((DATOS!$B$27*C47/(DATOS!$B$14*E47))^2/((DATOS!$B$14*E47)/(DATOS!$B$14+2*E47))^(4/3))+((DATOS!$B$27*C48/(DATOS!$B$14*((BH48+BI48)/2)))^2/((DATOS!$B$14*((BH48+BI48)/2))/(DATOS!$B$14+2*((BH48+BI48)/2)))^(4/3)))*(A47-A48)))&lt;0,((BH48+BI48)/2),BH48)</f>
        <v/>
      </c>
      <c r="BK48" s="16">
        <f>IF((((BH48+BI48)/2)+(C48/(DATOS!$B$14*((BH48+BI48)/2)))^2/(2*9.81)+B48-(E47+(C47/(DATOS!$B$14*E47))^2/(2*9.81)+B47+0.5*(((DATOS!$B$27*C47/(DATOS!$B$14*E47))^2/((DATOS!$B$14*E47)/(DATOS!$B$14+2*E47))^(4/3))+((DATOS!$B$27*C48/(DATOS!$B$14*((BH48+BI48)/2)))^2/((DATOS!$B$14*((BH48+BI48)/2))/(DATOS!$B$14+2*((BH48+BI48)/2)))^(4/3)))*(A47-A48)))&lt;0,BI48,((BH48+BI48)/2))</f>
        <v/>
      </c>
      <c r="BL48" s="16">
        <f>IF((((BJ48+BK48)/2)+(C48/(DATOS!$B$14*((BJ48+BK48)/2)))^2/(2*9.81)+B48-(E47+(C47/(DATOS!$B$14*E47))^2/(2*9.81)+B47+0.5*(((DATOS!$B$27*C47/(DATOS!$B$14*E47))^2/((DATOS!$B$14*E47)/(DATOS!$B$14+2*E47))^(4/3))+((DATOS!$B$27*C48/(DATOS!$B$14*((BJ48+BK48)/2)))^2/((DATOS!$B$14*((BJ48+BK48)/2))/(DATOS!$B$14+2*((BJ48+BK48)/2)))^(4/3)))*(A47-A48)))&lt;0,((BJ48+BK48)/2),BJ48)</f>
        <v/>
      </c>
      <c r="BM48" s="16">
        <f>IF((((BJ48+BK48)/2)+(C48/(DATOS!$B$14*((BJ48+BK48)/2)))^2/(2*9.81)+B48-(E47+(C47/(DATOS!$B$14*E47))^2/(2*9.81)+B47+0.5*(((DATOS!$B$27*C47/(DATOS!$B$14*E47))^2/((DATOS!$B$14*E47)/(DATOS!$B$14+2*E47))^(4/3))+((DATOS!$B$27*C48/(DATOS!$B$14*((BJ48+BK48)/2)))^2/((DATOS!$B$14*((BJ48+BK48)/2))/(DATOS!$B$14+2*((BJ48+BK48)/2)))^(4/3)))*(A47-A48)))&lt;0,BK48,((BJ48+BK48)/2))</f>
        <v/>
      </c>
      <c r="BN48" s="16">
        <f>IF((((BL48+BM48)/2)+(C48/(DATOS!$B$14*((BL48+BM48)/2)))^2/(2*9.81)+B48-(E47+(C47/(DATOS!$B$14*E47))^2/(2*9.81)+B47+0.5*(((DATOS!$B$27*C47/(DATOS!$B$14*E47))^2/((DATOS!$B$14*E47)/(DATOS!$B$14+2*E47))^(4/3))+((DATOS!$B$27*C48/(DATOS!$B$14*((BL48+BM48)/2)))^2/((DATOS!$B$14*((BL48+BM48)/2))/(DATOS!$B$14+2*((BL48+BM48)/2)))^(4/3)))*(A47-A48)))&lt;0,((BL48+BM48)/2),BL48)</f>
        <v/>
      </c>
      <c r="BO48" s="16">
        <f>IF((((BL48+BM48)/2)+(C48/(DATOS!$B$14*((BL48+BM48)/2)))^2/(2*9.81)+B48-(E47+(C47/(DATOS!$B$14*E47))^2/(2*9.81)+B47+0.5*(((DATOS!$B$27*C47/(DATOS!$B$14*E47))^2/((DATOS!$B$14*E47)/(DATOS!$B$14+2*E47))^(4/3))+((DATOS!$B$27*C48/(DATOS!$B$14*((BL48+BM48)/2)))^2/((DATOS!$B$14*((BL48+BM48)/2))/(DATOS!$B$14+2*((BL48+BM48)/2)))^(4/3)))*(A47-A48)))&lt;0,BM48,((BL48+BM48)/2))</f>
        <v/>
      </c>
      <c r="BP48" s="16">
        <f>IF((((BN48+BO48)/2)+(C48/(DATOS!$B$14*((BN48+BO48)/2)))^2/(2*9.81)+B48-(E47+(C47/(DATOS!$B$14*E47))^2/(2*9.81)+B47+0.5*(((DATOS!$B$27*C47/(DATOS!$B$14*E47))^2/((DATOS!$B$14*E47)/(DATOS!$B$14+2*E47))^(4/3))+((DATOS!$B$27*C48/(DATOS!$B$14*((BN48+BO48)/2)))^2/((DATOS!$B$14*((BN48+BO48)/2))/(DATOS!$B$14+2*((BN48+BO48)/2)))^(4/3)))*(A47-A48)))&lt;0,((BN48+BO48)/2),BN48)</f>
        <v/>
      </c>
      <c r="BQ48" s="16">
        <f>IF((((BN48+BO48)/2)+(C48/(DATOS!$B$14*((BN48+BO48)/2)))^2/(2*9.81)+B48-(E47+(C47/(DATOS!$B$14*E47))^2/(2*9.81)+B47+0.5*(((DATOS!$B$27*C47/(DATOS!$B$14*E47))^2/((DATOS!$B$14*E47)/(DATOS!$B$14+2*E47))^(4/3))+((DATOS!$B$27*C48/(DATOS!$B$14*((BN48+BO48)/2)))^2/((DATOS!$B$14*((BN48+BO48)/2))/(DATOS!$B$14+2*((BN48+BO48)/2)))^(4/3)))*(A47-A48)))&lt;0,BO48,((BN48+BO48)/2))</f>
        <v/>
      </c>
      <c r="BR48" s="16">
        <f>IF((((BP48+BQ48)/2)+(C48/(DATOS!$B$14*((BP48+BQ48)/2)))^2/(2*9.81)+B48-(E47+(C47/(DATOS!$B$14*E47))^2/(2*9.81)+B47+0.5*(((DATOS!$B$27*C47/(DATOS!$B$14*E47))^2/((DATOS!$B$14*E47)/(DATOS!$B$14+2*E47))^(4/3))+((DATOS!$B$27*C48/(DATOS!$B$14*((BP48+BQ48)/2)))^2/((DATOS!$B$14*((BP48+BQ48)/2))/(DATOS!$B$14+2*((BP48+BQ48)/2)))^(4/3)))*(A47-A48)))&lt;0,((BP48+BQ48)/2),BP48)</f>
        <v/>
      </c>
      <c r="BS48" s="16">
        <f>IF((((BP48+BQ48)/2)+(C48/(DATOS!$B$14*((BP48+BQ48)/2)))^2/(2*9.81)+B48-(E47+(C47/(DATOS!$B$14*E47))^2/(2*9.81)+B47+0.5*(((DATOS!$B$27*C47/(DATOS!$B$14*E47))^2/((DATOS!$B$14*E47)/(DATOS!$B$14+2*E47))^(4/3))+((DATOS!$B$27*C48/(DATOS!$B$14*((BP48+BQ48)/2)))^2/((DATOS!$B$14*((BP48+BQ48)/2))/(DATOS!$B$14+2*((BP48+BQ48)/2)))^(4/3)))*(A47-A48)))&lt;0,BQ48,((BP48+BQ48)/2))</f>
        <v/>
      </c>
      <c r="BT48" s="16">
        <f>IF((((BR48+BS48)/2)+(C48/(DATOS!$B$14*((BR48+BS48)/2)))^2/(2*9.81)+B48-(E47+(C47/(DATOS!$B$14*E47))^2/(2*9.81)+B47+0.5*(((DATOS!$B$27*C47/(DATOS!$B$14*E47))^2/((DATOS!$B$14*E47)/(DATOS!$B$14+2*E47))^(4/3))+((DATOS!$B$27*C48/(DATOS!$B$14*((BR48+BS48)/2)))^2/((DATOS!$B$14*((BR48+BS48)/2))/(DATOS!$B$14+2*((BR48+BS48)/2)))^(4/3)))*(A47-A48)))&lt;0,((BR48+BS48)/2),BR48)</f>
        <v/>
      </c>
      <c r="BU48" s="16">
        <f>IF((((BR48+BS48)/2)+(C48/(DATOS!$B$14*((BR48+BS48)/2)))^2/(2*9.81)+B48-(E47+(C47/(DATOS!$B$14*E47))^2/(2*9.81)+B47+0.5*(((DATOS!$B$27*C47/(DATOS!$B$14*E47))^2/((DATOS!$B$14*E47)/(DATOS!$B$14+2*E47))^(4/3))+((DATOS!$B$27*C48/(DATOS!$B$14*((BR48+BS48)/2)))^2/((DATOS!$B$14*((BR48+BS48)/2))/(DATOS!$B$14+2*((BR48+BS48)/2)))^(4/3)))*(A47-A48)))&lt;0,BS48,((BR48+BS48)/2))</f>
        <v/>
      </c>
    </row>
    <row r="49">
      <c r="A49" s="30" t="n">
        <v>56</v>
      </c>
      <c r="B49" s="21">
        <f>DATOS!$B$16-DATOS!$B$19*A49</f>
        <v/>
      </c>
      <c r="C49" s="21">
        <f>IF(A49&lt;CAUDALES!$B$13,CAUDALES!$D$12,IF(A49&lt;CAUDALES!$B$14,CAUDALES!$D$13,IF(A49&lt;CAUDALES!$B$15,CAUDALES!$D$14,CAUDALES!$D$15)))/1000</f>
        <v/>
      </c>
      <c r="D49" s="21">
        <f>(C49^2/(9.81*DATOS!$B$14^2))^(1/3)</f>
        <v/>
      </c>
      <c r="E49" s="29">
        <f>(BT49+BU49)/2</f>
        <v/>
      </c>
      <c r="F49" s="21">
        <f>B49+E49</f>
        <v/>
      </c>
      <c r="G49" s="17">
        <f>C49/(DATOS!$B$14*E49)</f>
        <v/>
      </c>
      <c r="H49" s="17">
        <f>G49/SQRT(9.81*E49)</f>
        <v/>
      </c>
      <c r="I49" s="21">
        <f>IF(A49&lt;=DATOS!$B$20,DATOS!$B$21-IF(AND(A49&gt;=DATOS!$B$23,A49&lt;DATOS!$B$24),DATOS!$B$25,DATOS!$B$22),B49+DATOS!$B$26)</f>
        <v/>
      </c>
      <c r="J49" s="17">
        <f>I49-B49</f>
        <v/>
      </c>
      <c r="K49" s="31">
        <f>E49/J49</f>
        <v/>
      </c>
      <c r="L49" s="21">
        <f>I49-F49</f>
        <v/>
      </c>
      <c r="M49" s="32">
        <f>IF(AND(K49&lt;=DATOS!$B$29,L49&gt;=DATOS!$B$30),"CUMPLE","NO CUMPLE")</f>
        <v/>
      </c>
      <c r="N49" s="13">
        <f>IF(A49&gt;DATOS!$B$20,"cubierto - tramo final",IF(AND(A49&gt;=DATOS!$B$23,A49&lt;DATOS!$B$24),"cubierto - camiones","cubierto"))</f>
        <v/>
      </c>
      <c r="P49" s="16">
        <f>D49*1.001</f>
        <v/>
      </c>
      <c r="Q49" s="16" t="n">
        <v>2</v>
      </c>
      <c r="R49" s="16">
        <f>IF((((P49+Q49)/2)+(C49/(DATOS!$B$14*((P49+Q49)/2)))^2/(2*9.81)+B49-(E48+(C48/(DATOS!$B$14*E48))^2/(2*9.81)+B48+0.5*(((DATOS!$B$27*C48/(DATOS!$B$14*E48))^2/((DATOS!$B$14*E48)/(DATOS!$B$14+2*E48))^(4/3))+((DATOS!$B$27*C49/(DATOS!$B$14*((P49+Q49)/2)))^2/((DATOS!$B$14*((P49+Q49)/2))/(DATOS!$B$14+2*((P49+Q49)/2)))^(4/3)))*(A48-A49)))&lt;0,((P49+Q49)/2),P49)</f>
        <v/>
      </c>
      <c r="S49" s="16">
        <f>IF((((P49+Q49)/2)+(C49/(DATOS!$B$14*((P49+Q49)/2)))^2/(2*9.81)+B49-(E48+(C48/(DATOS!$B$14*E48))^2/(2*9.81)+B48+0.5*(((DATOS!$B$27*C48/(DATOS!$B$14*E48))^2/((DATOS!$B$14*E48)/(DATOS!$B$14+2*E48))^(4/3))+((DATOS!$B$27*C49/(DATOS!$B$14*((P49+Q49)/2)))^2/((DATOS!$B$14*((P49+Q49)/2))/(DATOS!$B$14+2*((P49+Q49)/2)))^(4/3)))*(A48-A49)))&lt;0,Q49,((P49+Q49)/2))</f>
        <v/>
      </c>
      <c r="T49" s="16">
        <f>IF((((R49+S49)/2)+(C49/(DATOS!$B$14*((R49+S49)/2)))^2/(2*9.81)+B49-(E48+(C48/(DATOS!$B$14*E48))^2/(2*9.81)+B48+0.5*(((DATOS!$B$27*C48/(DATOS!$B$14*E48))^2/((DATOS!$B$14*E48)/(DATOS!$B$14+2*E48))^(4/3))+((DATOS!$B$27*C49/(DATOS!$B$14*((R49+S49)/2)))^2/((DATOS!$B$14*((R49+S49)/2))/(DATOS!$B$14+2*((R49+S49)/2)))^(4/3)))*(A48-A49)))&lt;0,((R49+S49)/2),R49)</f>
        <v/>
      </c>
      <c r="U49" s="16">
        <f>IF((((R49+S49)/2)+(C49/(DATOS!$B$14*((R49+S49)/2)))^2/(2*9.81)+B49-(E48+(C48/(DATOS!$B$14*E48))^2/(2*9.81)+B48+0.5*(((DATOS!$B$27*C48/(DATOS!$B$14*E48))^2/((DATOS!$B$14*E48)/(DATOS!$B$14+2*E48))^(4/3))+((DATOS!$B$27*C49/(DATOS!$B$14*((R49+S49)/2)))^2/((DATOS!$B$14*((R49+S49)/2))/(DATOS!$B$14+2*((R49+S49)/2)))^(4/3)))*(A48-A49)))&lt;0,S49,((R49+S49)/2))</f>
        <v/>
      </c>
      <c r="V49" s="16">
        <f>IF((((T49+U49)/2)+(C49/(DATOS!$B$14*((T49+U49)/2)))^2/(2*9.81)+B49-(E48+(C48/(DATOS!$B$14*E48))^2/(2*9.81)+B48+0.5*(((DATOS!$B$27*C48/(DATOS!$B$14*E48))^2/((DATOS!$B$14*E48)/(DATOS!$B$14+2*E48))^(4/3))+((DATOS!$B$27*C49/(DATOS!$B$14*((T49+U49)/2)))^2/((DATOS!$B$14*((T49+U49)/2))/(DATOS!$B$14+2*((T49+U49)/2)))^(4/3)))*(A48-A49)))&lt;0,((T49+U49)/2),T49)</f>
        <v/>
      </c>
      <c r="W49" s="16">
        <f>IF((((T49+U49)/2)+(C49/(DATOS!$B$14*((T49+U49)/2)))^2/(2*9.81)+B49-(E48+(C48/(DATOS!$B$14*E48))^2/(2*9.81)+B48+0.5*(((DATOS!$B$27*C48/(DATOS!$B$14*E48))^2/((DATOS!$B$14*E48)/(DATOS!$B$14+2*E48))^(4/3))+((DATOS!$B$27*C49/(DATOS!$B$14*((T49+U49)/2)))^2/((DATOS!$B$14*((T49+U49)/2))/(DATOS!$B$14+2*((T49+U49)/2)))^(4/3)))*(A48-A49)))&lt;0,U49,((T49+U49)/2))</f>
        <v/>
      </c>
      <c r="X49" s="16">
        <f>IF((((V49+W49)/2)+(C49/(DATOS!$B$14*((V49+W49)/2)))^2/(2*9.81)+B49-(E48+(C48/(DATOS!$B$14*E48))^2/(2*9.81)+B48+0.5*(((DATOS!$B$27*C48/(DATOS!$B$14*E48))^2/((DATOS!$B$14*E48)/(DATOS!$B$14+2*E48))^(4/3))+((DATOS!$B$27*C49/(DATOS!$B$14*((V49+W49)/2)))^2/((DATOS!$B$14*((V49+W49)/2))/(DATOS!$B$14+2*((V49+W49)/2)))^(4/3)))*(A48-A49)))&lt;0,((V49+W49)/2),V49)</f>
        <v/>
      </c>
      <c r="Y49" s="16">
        <f>IF((((V49+W49)/2)+(C49/(DATOS!$B$14*((V49+W49)/2)))^2/(2*9.81)+B49-(E48+(C48/(DATOS!$B$14*E48))^2/(2*9.81)+B48+0.5*(((DATOS!$B$27*C48/(DATOS!$B$14*E48))^2/((DATOS!$B$14*E48)/(DATOS!$B$14+2*E48))^(4/3))+((DATOS!$B$27*C49/(DATOS!$B$14*((V49+W49)/2)))^2/((DATOS!$B$14*((V49+W49)/2))/(DATOS!$B$14+2*((V49+W49)/2)))^(4/3)))*(A48-A49)))&lt;0,W49,((V49+W49)/2))</f>
        <v/>
      </c>
      <c r="Z49" s="16">
        <f>IF((((X49+Y49)/2)+(C49/(DATOS!$B$14*((X49+Y49)/2)))^2/(2*9.81)+B49-(E48+(C48/(DATOS!$B$14*E48))^2/(2*9.81)+B48+0.5*(((DATOS!$B$27*C48/(DATOS!$B$14*E48))^2/((DATOS!$B$14*E48)/(DATOS!$B$14+2*E48))^(4/3))+((DATOS!$B$27*C49/(DATOS!$B$14*((X49+Y49)/2)))^2/((DATOS!$B$14*((X49+Y49)/2))/(DATOS!$B$14+2*((X49+Y49)/2)))^(4/3)))*(A48-A49)))&lt;0,((X49+Y49)/2),X49)</f>
        <v/>
      </c>
      <c r="AA49" s="16">
        <f>IF((((X49+Y49)/2)+(C49/(DATOS!$B$14*((X49+Y49)/2)))^2/(2*9.81)+B49-(E48+(C48/(DATOS!$B$14*E48))^2/(2*9.81)+B48+0.5*(((DATOS!$B$27*C48/(DATOS!$B$14*E48))^2/((DATOS!$B$14*E48)/(DATOS!$B$14+2*E48))^(4/3))+((DATOS!$B$27*C49/(DATOS!$B$14*((X49+Y49)/2)))^2/((DATOS!$B$14*((X49+Y49)/2))/(DATOS!$B$14+2*((X49+Y49)/2)))^(4/3)))*(A48-A49)))&lt;0,Y49,((X49+Y49)/2))</f>
        <v/>
      </c>
      <c r="AB49" s="16">
        <f>IF((((Z49+AA49)/2)+(C49/(DATOS!$B$14*((Z49+AA49)/2)))^2/(2*9.81)+B49-(E48+(C48/(DATOS!$B$14*E48))^2/(2*9.81)+B48+0.5*(((DATOS!$B$27*C48/(DATOS!$B$14*E48))^2/((DATOS!$B$14*E48)/(DATOS!$B$14+2*E48))^(4/3))+((DATOS!$B$27*C49/(DATOS!$B$14*((Z49+AA49)/2)))^2/((DATOS!$B$14*((Z49+AA49)/2))/(DATOS!$B$14+2*((Z49+AA49)/2)))^(4/3)))*(A48-A49)))&lt;0,((Z49+AA49)/2),Z49)</f>
        <v/>
      </c>
      <c r="AC49" s="16">
        <f>IF((((Z49+AA49)/2)+(C49/(DATOS!$B$14*((Z49+AA49)/2)))^2/(2*9.81)+B49-(E48+(C48/(DATOS!$B$14*E48))^2/(2*9.81)+B48+0.5*(((DATOS!$B$27*C48/(DATOS!$B$14*E48))^2/((DATOS!$B$14*E48)/(DATOS!$B$14+2*E48))^(4/3))+((DATOS!$B$27*C49/(DATOS!$B$14*((Z49+AA49)/2)))^2/((DATOS!$B$14*((Z49+AA49)/2))/(DATOS!$B$14+2*((Z49+AA49)/2)))^(4/3)))*(A48-A49)))&lt;0,AA49,((Z49+AA49)/2))</f>
        <v/>
      </c>
      <c r="AD49" s="16">
        <f>IF((((AB49+AC49)/2)+(C49/(DATOS!$B$14*((AB49+AC49)/2)))^2/(2*9.81)+B49-(E48+(C48/(DATOS!$B$14*E48))^2/(2*9.81)+B48+0.5*(((DATOS!$B$27*C48/(DATOS!$B$14*E48))^2/((DATOS!$B$14*E48)/(DATOS!$B$14+2*E48))^(4/3))+((DATOS!$B$27*C49/(DATOS!$B$14*((AB49+AC49)/2)))^2/((DATOS!$B$14*((AB49+AC49)/2))/(DATOS!$B$14+2*((AB49+AC49)/2)))^(4/3)))*(A48-A49)))&lt;0,((AB49+AC49)/2),AB49)</f>
        <v/>
      </c>
      <c r="AE49" s="16">
        <f>IF((((AB49+AC49)/2)+(C49/(DATOS!$B$14*((AB49+AC49)/2)))^2/(2*9.81)+B49-(E48+(C48/(DATOS!$B$14*E48))^2/(2*9.81)+B48+0.5*(((DATOS!$B$27*C48/(DATOS!$B$14*E48))^2/((DATOS!$B$14*E48)/(DATOS!$B$14+2*E48))^(4/3))+((DATOS!$B$27*C49/(DATOS!$B$14*((AB49+AC49)/2)))^2/((DATOS!$B$14*((AB49+AC49)/2))/(DATOS!$B$14+2*((AB49+AC49)/2)))^(4/3)))*(A48-A49)))&lt;0,AC49,((AB49+AC49)/2))</f>
        <v/>
      </c>
      <c r="AF49" s="16">
        <f>IF((((AD49+AE49)/2)+(C49/(DATOS!$B$14*((AD49+AE49)/2)))^2/(2*9.81)+B49-(E48+(C48/(DATOS!$B$14*E48))^2/(2*9.81)+B48+0.5*(((DATOS!$B$27*C48/(DATOS!$B$14*E48))^2/((DATOS!$B$14*E48)/(DATOS!$B$14+2*E48))^(4/3))+((DATOS!$B$27*C49/(DATOS!$B$14*((AD49+AE49)/2)))^2/((DATOS!$B$14*((AD49+AE49)/2))/(DATOS!$B$14+2*((AD49+AE49)/2)))^(4/3)))*(A48-A49)))&lt;0,((AD49+AE49)/2),AD49)</f>
        <v/>
      </c>
      <c r="AG49" s="16">
        <f>IF((((AD49+AE49)/2)+(C49/(DATOS!$B$14*((AD49+AE49)/2)))^2/(2*9.81)+B49-(E48+(C48/(DATOS!$B$14*E48))^2/(2*9.81)+B48+0.5*(((DATOS!$B$27*C48/(DATOS!$B$14*E48))^2/((DATOS!$B$14*E48)/(DATOS!$B$14+2*E48))^(4/3))+((DATOS!$B$27*C49/(DATOS!$B$14*((AD49+AE49)/2)))^2/((DATOS!$B$14*((AD49+AE49)/2))/(DATOS!$B$14+2*((AD49+AE49)/2)))^(4/3)))*(A48-A49)))&lt;0,AE49,((AD49+AE49)/2))</f>
        <v/>
      </c>
      <c r="AH49" s="16">
        <f>IF((((AF49+AG49)/2)+(C49/(DATOS!$B$14*((AF49+AG49)/2)))^2/(2*9.81)+B49-(E48+(C48/(DATOS!$B$14*E48))^2/(2*9.81)+B48+0.5*(((DATOS!$B$27*C48/(DATOS!$B$14*E48))^2/((DATOS!$B$14*E48)/(DATOS!$B$14+2*E48))^(4/3))+((DATOS!$B$27*C49/(DATOS!$B$14*((AF49+AG49)/2)))^2/((DATOS!$B$14*((AF49+AG49)/2))/(DATOS!$B$14+2*((AF49+AG49)/2)))^(4/3)))*(A48-A49)))&lt;0,((AF49+AG49)/2),AF49)</f>
        <v/>
      </c>
      <c r="AI49" s="16">
        <f>IF((((AF49+AG49)/2)+(C49/(DATOS!$B$14*((AF49+AG49)/2)))^2/(2*9.81)+B49-(E48+(C48/(DATOS!$B$14*E48))^2/(2*9.81)+B48+0.5*(((DATOS!$B$27*C48/(DATOS!$B$14*E48))^2/((DATOS!$B$14*E48)/(DATOS!$B$14+2*E48))^(4/3))+((DATOS!$B$27*C49/(DATOS!$B$14*((AF49+AG49)/2)))^2/((DATOS!$B$14*((AF49+AG49)/2))/(DATOS!$B$14+2*((AF49+AG49)/2)))^(4/3)))*(A48-A49)))&lt;0,AG49,((AF49+AG49)/2))</f>
        <v/>
      </c>
      <c r="AJ49" s="16">
        <f>IF((((AH49+AI49)/2)+(C49/(DATOS!$B$14*((AH49+AI49)/2)))^2/(2*9.81)+B49-(E48+(C48/(DATOS!$B$14*E48))^2/(2*9.81)+B48+0.5*(((DATOS!$B$27*C48/(DATOS!$B$14*E48))^2/((DATOS!$B$14*E48)/(DATOS!$B$14+2*E48))^(4/3))+((DATOS!$B$27*C49/(DATOS!$B$14*((AH49+AI49)/2)))^2/((DATOS!$B$14*((AH49+AI49)/2))/(DATOS!$B$14+2*((AH49+AI49)/2)))^(4/3)))*(A48-A49)))&lt;0,((AH49+AI49)/2),AH49)</f>
        <v/>
      </c>
      <c r="AK49" s="16">
        <f>IF((((AH49+AI49)/2)+(C49/(DATOS!$B$14*((AH49+AI49)/2)))^2/(2*9.81)+B49-(E48+(C48/(DATOS!$B$14*E48))^2/(2*9.81)+B48+0.5*(((DATOS!$B$27*C48/(DATOS!$B$14*E48))^2/((DATOS!$B$14*E48)/(DATOS!$B$14+2*E48))^(4/3))+((DATOS!$B$27*C49/(DATOS!$B$14*((AH49+AI49)/2)))^2/((DATOS!$B$14*((AH49+AI49)/2))/(DATOS!$B$14+2*((AH49+AI49)/2)))^(4/3)))*(A48-A49)))&lt;0,AI49,((AH49+AI49)/2))</f>
        <v/>
      </c>
      <c r="AL49" s="16">
        <f>IF((((AJ49+AK49)/2)+(C49/(DATOS!$B$14*((AJ49+AK49)/2)))^2/(2*9.81)+B49-(E48+(C48/(DATOS!$B$14*E48))^2/(2*9.81)+B48+0.5*(((DATOS!$B$27*C48/(DATOS!$B$14*E48))^2/((DATOS!$B$14*E48)/(DATOS!$B$14+2*E48))^(4/3))+((DATOS!$B$27*C49/(DATOS!$B$14*((AJ49+AK49)/2)))^2/((DATOS!$B$14*((AJ49+AK49)/2))/(DATOS!$B$14+2*((AJ49+AK49)/2)))^(4/3)))*(A48-A49)))&lt;0,((AJ49+AK49)/2),AJ49)</f>
        <v/>
      </c>
      <c r="AM49" s="16">
        <f>IF((((AJ49+AK49)/2)+(C49/(DATOS!$B$14*((AJ49+AK49)/2)))^2/(2*9.81)+B49-(E48+(C48/(DATOS!$B$14*E48))^2/(2*9.81)+B48+0.5*(((DATOS!$B$27*C48/(DATOS!$B$14*E48))^2/((DATOS!$B$14*E48)/(DATOS!$B$14+2*E48))^(4/3))+((DATOS!$B$27*C49/(DATOS!$B$14*((AJ49+AK49)/2)))^2/((DATOS!$B$14*((AJ49+AK49)/2))/(DATOS!$B$14+2*((AJ49+AK49)/2)))^(4/3)))*(A48-A49)))&lt;0,AK49,((AJ49+AK49)/2))</f>
        <v/>
      </c>
      <c r="AN49" s="16">
        <f>IF((((AL49+AM49)/2)+(C49/(DATOS!$B$14*((AL49+AM49)/2)))^2/(2*9.81)+B49-(E48+(C48/(DATOS!$B$14*E48))^2/(2*9.81)+B48+0.5*(((DATOS!$B$27*C48/(DATOS!$B$14*E48))^2/((DATOS!$B$14*E48)/(DATOS!$B$14+2*E48))^(4/3))+((DATOS!$B$27*C49/(DATOS!$B$14*((AL49+AM49)/2)))^2/((DATOS!$B$14*((AL49+AM49)/2))/(DATOS!$B$14+2*((AL49+AM49)/2)))^(4/3)))*(A48-A49)))&lt;0,((AL49+AM49)/2),AL49)</f>
        <v/>
      </c>
      <c r="AO49" s="16">
        <f>IF((((AL49+AM49)/2)+(C49/(DATOS!$B$14*((AL49+AM49)/2)))^2/(2*9.81)+B49-(E48+(C48/(DATOS!$B$14*E48))^2/(2*9.81)+B48+0.5*(((DATOS!$B$27*C48/(DATOS!$B$14*E48))^2/((DATOS!$B$14*E48)/(DATOS!$B$14+2*E48))^(4/3))+((DATOS!$B$27*C49/(DATOS!$B$14*((AL49+AM49)/2)))^2/((DATOS!$B$14*((AL49+AM49)/2))/(DATOS!$B$14+2*((AL49+AM49)/2)))^(4/3)))*(A48-A49)))&lt;0,AM49,((AL49+AM49)/2))</f>
        <v/>
      </c>
      <c r="AP49" s="16">
        <f>IF((((AN49+AO49)/2)+(C49/(DATOS!$B$14*((AN49+AO49)/2)))^2/(2*9.81)+B49-(E48+(C48/(DATOS!$B$14*E48))^2/(2*9.81)+B48+0.5*(((DATOS!$B$27*C48/(DATOS!$B$14*E48))^2/((DATOS!$B$14*E48)/(DATOS!$B$14+2*E48))^(4/3))+((DATOS!$B$27*C49/(DATOS!$B$14*((AN49+AO49)/2)))^2/((DATOS!$B$14*((AN49+AO49)/2))/(DATOS!$B$14+2*((AN49+AO49)/2)))^(4/3)))*(A48-A49)))&lt;0,((AN49+AO49)/2),AN49)</f>
        <v/>
      </c>
      <c r="AQ49" s="16">
        <f>IF((((AN49+AO49)/2)+(C49/(DATOS!$B$14*((AN49+AO49)/2)))^2/(2*9.81)+B49-(E48+(C48/(DATOS!$B$14*E48))^2/(2*9.81)+B48+0.5*(((DATOS!$B$27*C48/(DATOS!$B$14*E48))^2/((DATOS!$B$14*E48)/(DATOS!$B$14+2*E48))^(4/3))+((DATOS!$B$27*C49/(DATOS!$B$14*((AN49+AO49)/2)))^2/((DATOS!$B$14*((AN49+AO49)/2))/(DATOS!$B$14+2*((AN49+AO49)/2)))^(4/3)))*(A48-A49)))&lt;0,AO49,((AN49+AO49)/2))</f>
        <v/>
      </c>
      <c r="AR49" s="16">
        <f>IF((((AP49+AQ49)/2)+(C49/(DATOS!$B$14*((AP49+AQ49)/2)))^2/(2*9.81)+B49-(E48+(C48/(DATOS!$B$14*E48))^2/(2*9.81)+B48+0.5*(((DATOS!$B$27*C48/(DATOS!$B$14*E48))^2/((DATOS!$B$14*E48)/(DATOS!$B$14+2*E48))^(4/3))+((DATOS!$B$27*C49/(DATOS!$B$14*((AP49+AQ49)/2)))^2/((DATOS!$B$14*((AP49+AQ49)/2))/(DATOS!$B$14+2*((AP49+AQ49)/2)))^(4/3)))*(A48-A49)))&lt;0,((AP49+AQ49)/2),AP49)</f>
        <v/>
      </c>
      <c r="AS49" s="16">
        <f>IF((((AP49+AQ49)/2)+(C49/(DATOS!$B$14*((AP49+AQ49)/2)))^2/(2*9.81)+B49-(E48+(C48/(DATOS!$B$14*E48))^2/(2*9.81)+B48+0.5*(((DATOS!$B$27*C48/(DATOS!$B$14*E48))^2/((DATOS!$B$14*E48)/(DATOS!$B$14+2*E48))^(4/3))+((DATOS!$B$27*C49/(DATOS!$B$14*((AP49+AQ49)/2)))^2/((DATOS!$B$14*((AP49+AQ49)/2))/(DATOS!$B$14+2*((AP49+AQ49)/2)))^(4/3)))*(A48-A49)))&lt;0,AQ49,((AP49+AQ49)/2))</f>
        <v/>
      </c>
      <c r="AT49" s="16">
        <f>IF((((AR49+AS49)/2)+(C49/(DATOS!$B$14*((AR49+AS49)/2)))^2/(2*9.81)+B49-(E48+(C48/(DATOS!$B$14*E48))^2/(2*9.81)+B48+0.5*(((DATOS!$B$27*C48/(DATOS!$B$14*E48))^2/((DATOS!$B$14*E48)/(DATOS!$B$14+2*E48))^(4/3))+((DATOS!$B$27*C49/(DATOS!$B$14*((AR49+AS49)/2)))^2/((DATOS!$B$14*((AR49+AS49)/2))/(DATOS!$B$14+2*((AR49+AS49)/2)))^(4/3)))*(A48-A49)))&lt;0,((AR49+AS49)/2),AR49)</f>
        <v/>
      </c>
      <c r="AU49" s="16">
        <f>IF((((AR49+AS49)/2)+(C49/(DATOS!$B$14*((AR49+AS49)/2)))^2/(2*9.81)+B49-(E48+(C48/(DATOS!$B$14*E48))^2/(2*9.81)+B48+0.5*(((DATOS!$B$27*C48/(DATOS!$B$14*E48))^2/((DATOS!$B$14*E48)/(DATOS!$B$14+2*E48))^(4/3))+((DATOS!$B$27*C49/(DATOS!$B$14*((AR49+AS49)/2)))^2/((DATOS!$B$14*((AR49+AS49)/2))/(DATOS!$B$14+2*((AR49+AS49)/2)))^(4/3)))*(A48-A49)))&lt;0,AS49,((AR49+AS49)/2))</f>
        <v/>
      </c>
      <c r="AV49" s="16">
        <f>IF((((AT49+AU49)/2)+(C49/(DATOS!$B$14*((AT49+AU49)/2)))^2/(2*9.81)+B49-(E48+(C48/(DATOS!$B$14*E48))^2/(2*9.81)+B48+0.5*(((DATOS!$B$27*C48/(DATOS!$B$14*E48))^2/((DATOS!$B$14*E48)/(DATOS!$B$14+2*E48))^(4/3))+((DATOS!$B$27*C49/(DATOS!$B$14*((AT49+AU49)/2)))^2/((DATOS!$B$14*((AT49+AU49)/2))/(DATOS!$B$14+2*((AT49+AU49)/2)))^(4/3)))*(A48-A49)))&lt;0,((AT49+AU49)/2),AT49)</f>
        <v/>
      </c>
      <c r="AW49" s="16">
        <f>IF((((AT49+AU49)/2)+(C49/(DATOS!$B$14*((AT49+AU49)/2)))^2/(2*9.81)+B49-(E48+(C48/(DATOS!$B$14*E48))^2/(2*9.81)+B48+0.5*(((DATOS!$B$27*C48/(DATOS!$B$14*E48))^2/((DATOS!$B$14*E48)/(DATOS!$B$14+2*E48))^(4/3))+((DATOS!$B$27*C49/(DATOS!$B$14*((AT49+AU49)/2)))^2/((DATOS!$B$14*((AT49+AU49)/2))/(DATOS!$B$14+2*((AT49+AU49)/2)))^(4/3)))*(A48-A49)))&lt;0,AU49,((AT49+AU49)/2))</f>
        <v/>
      </c>
      <c r="AX49" s="16">
        <f>IF((((AV49+AW49)/2)+(C49/(DATOS!$B$14*((AV49+AW49)/2)))^2/(2*9.81)+B49-(E48+(C48/(DATOS!$B$14*E48))^2/(2*9.81)+B48+0.5*(((DATOS!$B$27*C48/(DATOS!$B$14*E48))^2/((DATOS!$B$14*E48)/(DATOS!$B$14+2*E48))^(4/3))+((DATOS!$B$27*C49/(DATOS!$B$14*((AV49+AW49)/2)))^2/((DATOS!$B$14*((AV49+AW49)/2))/(DATOS!$B$14+2*((AV49+AW49)/2)))^(4/3)))*(A48-A49)))&lt;0,((AV49+AW49)/2),AV49)</f>
        <v/>
      </c>
      <c r="AY49" s="16">
        <f>IF((((AV49+AW49)/2)+(C49/(DATOS!$B$14*((AV49+AW49)/2)))^2/(2*9.81)+B49-(E48+(C48/(DATOS!$B$14*E48))^2/(2*9.81)+B48+0.5*(((DATOS!$B$27*C48/(DATOS!$B$14*E48))^2/((DATOS!$B$14*E48)/(DATOS!$B$14+2*E48))^(4/3))+((DATOS!$B$27*C49/(DATOS!$B$14*((AV49+AW49)/2)))^2/((DATOS!$B$14*((AV49+AW49)/2))/(DATOS!$B$14+2*((AV49+AW49)/2)))^(4/3)))*(A48-A49)))&lt;0,AW49,((AV49+AW49)/2))</f>
        <v/>
      </c>
      <c r="AZ49" s="16">
        <f>IF((((AX49+AY49)/2)+(C49/(DATOS!$B$14*((AX49+AY49)/2)))^2/(2*9.81)+B49-(E48+(C48/(DATOS!$B$14*E48))^2/(2*9.81)+B48+0.5*(((DATOS!$B$27*C48/(DATOS!$B$14*E48))^2/((DATOS!$B$14*E48)/(DATOS!$B$14+2*E48))^(4/3))+((DATOS!$B$27*C49/(DATOS!$B$14*((AX49+AY49)/2)))^2/((DATOS!$B$14*((AX49+AY49)/2))/(DATOS!$B$14+2*((AX49+AY49)/2)))^(4/3)))*(A48-A49)))&lt;0,((AX49+AY49)/2),AX49)</f>
        <v/>
      </c>
      <c r="BA49" s="16">
        <f>IF((((AX49+AY49)/2)+(C49/(DATOS!$B$14*((AX49+AY49)/2)))^2/(2*9.81)+B49-(E48+(C48/(DATOS!$B$14*E48))^2/(2*9.81)+B48+0.5*(((DATOS!$B$27*C48/(DATOS!$B$14*E48))^2/((DATOS!$B$14*E48)/(DATOS!$B$14+2*E48))^(4/3))+((DATOS!$B$27*C49/(DATOS!$B$14*((AX49+AY49)/2)))^2/((DATOS!$B$14*((AX49+AY49)/2))/(DATOS!$B$14+2*((AX49+AY49)/2)))^(4/3)))*(A48-A49)))&lt;0,AY49,((AX49+AY49)/2))</f>
        <v/>
      </c>
      <c r="BB49" s="16">
        <f>IF((((AZ49+BA49)/2)+(C49/(DATOS!$B$14*((AZ49+BA49)/2)))^2/(2*9.81)+B49-(E48+(C48/(DATOS!$B$14*E48))^2/(2*9.81)+B48+0.5*(((DATOS!$B$27*C48/(DATOS!$B$14*E48))^2/((DATOS!$B$14*E48)/(DATOS!$B$14+2*E48))^(4/3))+((DATOS!$B$27*C49/(DATOS!$B$14*((AZ49+BA49)/2)))^2/((DATOS!$B$14*((AZ49+BA49)/2))/(DATOS!$B$14+2*((AZ49+BA49)/2)))^(4/3)))*(A48-A49)))&lt;0,((AZ49+BA49)/2),AZ49)</f>
        <v/>
      </c>
      <c r="BC49" s="16">
        <f>IF((((AZ49+BA49)/2)+(C49/(DATOS!$B$14*((AZ49+BA49)/2)))^2/(2*9.81)+B49-(E48+(C48/(DATOS!$B$14*E48))^2/(2*9.81)+B48+0.5*(((DATOS!$B$27*C48/(DATOS!$B$14*E48))^2/((DATOS!$B$14*E48)/(DATOS!$B$14+2*E48))^(4/3))+((DATOS!$B$27*C49/(DATOS!$B$14*((AZ49+BA49)/2)))^2/((DATOS!$B$14*((AZ49+BA49)/2))/(DATOS!$B$14+2*((AZ49+BA49)/2)))^(4/3)))*(A48-A49)))&lt;0,BA49,((AZ49+BA49)/2))</f>
        <v/>
      </c>
      <c r="BD49" s="16">
        <f>IF((((BB49+BC49)/2)+(C49/(DATOS!$B$14*((BB49+BC49)/2)))^2/(2*9.81)+B49-(E48+(C48/(DATOS!$B$14*E48))^2/(2*9.81)+B48+0.5*(((DATOS!$B$27*C48/(DATOS!$B$14*E48))^2/((DATOS!$B$14*E48)/(DATOS!$B$14+2*E48))^(4/3))+((DATOS!$B$27*C49/(DATOS!$B$14*((BB49+BC49)/2)))^2/((DATOS!$B$14*((BB49+BC49)/2))/(DATOS!$B$14+2*((BB49+BC49)/2)))^(4/3)))*(A48-A49)))&lt;0,((BB49+BC49)/2),BB49)</f>
        <v/>
      </c>
      <c r="BE49" s="16">
        <f>IF((((BB49+BC49)/2)+(C49/(DATOS!$B$14*((BB49+BC49)/2)))^2/(2*9.81)+B49-(E48+(C48/(DATOS!$B$14*E48))^2/(2*9.81)+B48+0.5*(((DATOS!$B$27*C48/(DATOS!$B$14*E48))^2/((DATOS!$B$14*E48)/(DATOS!$B$14+2*E48))^(4/3))+((DATOS!$B$27*C49/(DATOS!$B$14*((BB49+BC49)/2)))^2/((DATOS!$B$14*((BB49+BC49)/2))/(DATOS!$B$14+2*((BB49+BC49)/2)))^(4/3)))*(A48-A49)))&lt;0,BC49,((BB49+BC49)/2))</f>
        <v/>
      </c>
      <c r="BF49" s="16">
        <f>IF((((BD49+BE49)/2)+(C49/(DATOS!$B$14*((BD49+BE49)/2)))^2/(2*9.81)+B49-(E48+(C48/(DATOS!$B$14*E48))^2/(2*9.81)+B48+0.5*(((DATOS!$B$27*C48/(DATOS!$B$14*E48))^2/((DATOS!$B$14*E48)/(DATOS!$B$14+2*E48))^(4/3))+((DATOS!$B$27*C49/(DATOS!$B$14*((BD49+BE49)/2)))^2/((DATOS!$B$14*((BD49+BE49)/2))/(DATOS!$B$14+2*((BD49+BE49)/2)))^(4/3)))*(A48-A49)))&lt;0,((BD49+BE49)/2),BD49)</f>
        <v/>
      </c>
      <c r="BG49" s="16">
        <f>IF((((BD49+BE49)/2)+(C49/(DATOS!$B$14*((BD49+BE49)/2)))^2/(2*9.81)+B49-(E48+(C48/(DATOS!$B$14*E48))^2/(2*9.81)+B48+0.5*(((DATOS!$B$27*C48/(DATOS!$B$14*E48))^2/((DATOS!$B$14*E48)/(DATOS!$B$14+2*E48))^(4/3))+((DATOS!$B$27*C49/(DATOS!$B$14*((BD49+BE49)/2)))^2/((DATOS!$B$14*((BD49+BE49)/2))/(DATOS!$B$14+2*((BD49+BE49)/2)))^(4/3)))*(A48-A49)))&lt;0,BE49,((BD49+BE49)/2))</f>
        <v/>
      </c>
      <c r="BH49" s="16">
        <f>IF((((BF49+BG49)/2)+(C49/(DATOS!$B$14*((BF49+BG49)/2)))^2/(2*9.81)+B49-(E48+(C48/(DATOS!$B$14*E48))^2/(2*9.81)+B48+0.5*(((DATOS!$B$27*C48/(DATOS!$B$14*E48))^2/((DATOS!$B$14*E48)/(DATOS!$B$14+2*E48))^(4/3))+((DATOS!$B$27*C49/(DATOS!$B$14*((BF49+BG49)/2)))^2/((DATOS!$B$14*((BF49+BG49)/2))/(DATOS!$B$14+2*((BF49+BG49)/2)))^(4/3)))*(A48-A49)))&lt;0,((BF49+BG49)/2),BF49)</f>
        <v/>
      </c>
      <c r="BI49" s="16">
        <f>IF((((BF49+BG49)/2)+(C49/(DATOS!$B$14*((BF49+BG49)/2)))^2/(2*9.81)+B49-(E48+(C48/(DATOS!$B$14*E48))^2/(2*9.81)+B48+0.5*(((DATOS!$B$27*C48/(DATOS!$B$14*E48))^2/((DATOS!$B$14*E48)/(DATOS!$B$14+2*E48))^(4/3))+((DATOS!$B$27*C49/(DATOS!$B$14*((BF49+BG49)/2)))^2/((DATOS!$B$14*((BF49+BG49)/2))/(DATOS!$B$14+2*((BF49+BG49)/2)))^(4/3)))*(A48-A49)))&lt;0,BG49,((BF49+BG49)/2))</f>
        <v/>
      </c>
      <c r="BJ49" s="16">
        <f>IF((((BH49+BI49)/2)+(C49/(DATOS!$B$14*((BH49+BI49)/2)))^2/(2*9.81)+B49-(E48+(C48/(DATOS!$B$14*E48))^2/(2*9.81)+B48+0.5*(((DATOS!$B$27*C48/(DATOS!$B$14*E48))^2/((DATOS!$B$14*E48)/(DATOS!$B$14+2*E48))^(4/3))+((DATOS!$B$27*C49/(DATOS!$B$14*((BH49+BI49)/2)))^2/((DATOS!$B$14*((BH49+BI49)/2))/(DATOS!$B$14+2*((BH49+BI49)/2)))^(4/3)))*(A48-A49)))&lt;0,((BH49+BI49)/2),BH49)</f>
        <v/>
      </c>
      <c r="BK49" s="16">
        <f>IF((((BH49+BI49)/2)+(C49/(DATOS!$B$14*((BH49+BI49)/2)))^2/(2*9.81)+B49-(E48+(C48/(DATOS!$B$14*E48))^2/(2*9.81)+B48+0.5*(((DATOS!$B$27*C48/(DATOS!$B$14*E48))^2/((DATOS!$B$14*E48)/(DATOS!$B$14+2*E48))^(4/3))+((DATOS!$B$27*C49/(DATOS!$B$14*((BH49+BI49)/2)))^2/((DATOS!$B$14*((BH49+BI49)/2))/(DATOS!$B$14+2*((BH49+BI49)/2)))^(4/3)))*(A48-A49)))&lt;0,BI49,((BH49+BI49)/2))</f>
        <v/>
      </c>
      <c r="BL49" s="16">
        <f>IF((((BJ49+BK49)/2)+(C49/(DATOS!$B$14*((BJ49+BK49)/2)))^2/(2*9.81)+B49-(E48+(C48/(DATOS!$B$14*E48))^2/(2*9.81)+B48+0.5*(((DATOS!$B$27*C48/(DATOS!$B$14*E48))^2/((DATOS!$B$14*E48)/(DATOS!$B$14+2*E48))^(4/3))+((DATOS!$B$27*C49/(DATOS!$B$14*((BJ49+BK49)/2)))^2/((DATOS!$B$14*((BJ49+BK49)/2))/(DATOS!$B$14+2*((BJ49+BK49)/2)))^(4/3)))*(A48-A49)))&lt;0,((BJ49+BK49)/2),BJ49)</f>
        <v/>
      </c>
      <c r="BM49" s="16">
        <f>IF((((BJ49+BK49)/2)+(C49/(DATOS!$B$14*((BJ49+BK49)/2)))^2/(2*9.81)+B49-(E48+(C48/(DATOS!$B$14*E48))^2/(2*9.81)+B48+0.5*(((DATOS!$B$27*C48/(DATOS!$B$14*E48))^2/((DATOS!$B$14*E48)/(DATOS!$B$14+2*E48))^(4/3))+((DATOS!$B$27*C49/(DATOS!$B$14*((BJ49+BK49)/2)))^2/((DATOS!$B$14*((BJ49+BK49)/2))/(DATOS!$B$14+2*((BJ49+BK49)/2)))^(4/3)))*(A48-A49)))&lt;0,BK49,((BJ49+BK49)/2))</f>
        <v/>
      </c>
      <c r="BN49" s="16">
        <f>IF((((BL49+BM49)/2)+(C49/(DATOS!$B$14*((BL49+BM49)/2)))^2/(2*9.81)+B49-(E48+(C48/(DATOS!$B$14*E48))^2/(2*9.81)+B48+0.5*(((DATOS!$B$27*C48/(DATOS!$B$14*E48))^2/((DATOS!$B$14*E48)/(DATOS!$B$14+2*E48))^(4/3))+((DATOS!$B$27*C49/(DATOS!$B$14*((BL49+BM49)/2)))^2/((DATOS!$B$14*((BL49+BM49)/2))/(DATOS!$B$14+2*((BL49+BM49)/2)))^(4/3)))*(A48-A49)))&lt;0,((BL49+BM49)/2),BL49)</f>
        <v/>
      </c>
      <c r="BO49" s="16">
        <f>IF((((BL49+BM49)/2)+(C49/(DATOS!$B$14*((BL49+BM49)/2)))^2/(2*9.81)+B49-(E48+(C48/(DATOS!$B$14*E48))^2/(2*9.81)+B48+0.5*(((DATOS!$B$27*C48/(DATOS!$B$14*E48))^2/((DATOS!$B$14*E48)/(DATOS!$B$14+2*E48))^(4/3))+((DATOS!$B$27*C49/(DATOS!$B$14*((BL49+BM49)/2)))^2/((DATOS!$B$14*((BL49+BM49)/2))/(DATOS!$B$14+2*((BL49+BM49)/2)))^(4/3)))*(A48-A49)))&lt;0,BM49,((BL49+BM49)/2))</f>
        <v/>
      </c>
      <c r="BP49" s="16">
        <f>IF((((BN49+BO49)/2)+(C49/(DATOS!$B$14*((BN49+BO49)/2)))^2/(2*9.81)+B49-(E48+(C48/(DATOS!$B$14*E48))^2/(2*9.81)+B48+0.5*(((DATOS!$B$27*C48/(DATOS!$B$14*E48))^2/((DATOS!$B$14*E48)/(DATOS!$B$14+2*E48))^(4/3))+((DATOS!$B$27*C49/(DATOS!$B$14*((BN49+BO49)/2)))^2/((DATOS!$B$14*((BN49+BO49)/2))/(DATOS!$B$14+2*((BN49+BO49)/2)))^(4/3)))*(A48-A49)))&lt;0,((BN49+BO49)/2),BN49)</f>
        <v/>
      </c>
      <c r="BQ49" s="16">
        <f>IF((((BN49+BO49)/2)+(C49/(DATOS!$B$14*((BN49+BO49)/2)))^2/(2*9.81)+B49-(E48+(C48/(DATOS!$B$14*E48))^2/(2*9.81)+B48+0.5*(((DATOS!$B$27*C48/(DATOS!$B$14*E48))^2/((DATOS!$B$14*E48)/(DATOS!$B$14+2*E48))^(4/3))+((DATOS!$B$27*C49/(DATOS!$B$14*((BN49+BO49)/2)))^2/((DATOS!$B$14*((BN49+BO49)/2))/(DATOS!$B$14+2*((BN49+BO49)/2)))^(4/3)))*(A48-A49)))&lt;0,BO49,((BN49+BO49)/2))</f>
        <v/>
      </c>
      <c r="BR49" s="16">
        <f>IF((((BP49+BQ49)/2)+(C49/(DATOS!$B$14*((BP49+BQ49)/2)))^2/(2*9.81)+B49-(E48+(C48/(DATOS!$B$14*E48))^2/(2*9.81)+B48+0.5*(((DATOS!$B$27*C48/(DATOS!$B$14*E48))^2/((DATOS!$B$14*E48)/(DATOS!$B$14+2*E48))^(4/3))+((DATOS!$B$27*C49/(DATOS!$B$14*((BP49+BQ49)/2)))^2/((DATOS!$B$14*((BP49+BQ49)/2))/(DATOS!$B$14+2*((BP49+BQ49)/2)))^(4/3)))*(A48-A49)))&lt;0,((BP49+BQ49)/2),BP49)</f>
        <v/>
      </c>
      <c r="BS49" s="16">
        <f>IF((((BP49+BQ49)/2)+(C49/(DATOS!$B$14*((BP49+BQ49)/2)))^2/(2*9.81)+B49-(E48+(C48/(DATOS!$B$14*E48))^2/(2*9.81)+B48+0.5*(((DATOS!$B$27*C48/(DATOS!$B$14*E48))^2/((DATOS!$B$14*E48)/(DATOS!$B$14+2*E48))^(4/3))+((DATOS!$B$27*C49/(DATOS!$B$14*((BP49+BQ49)/2)))^2/((DATOS!$B$14*((BP49+BQ49)/2))/(DATOS!$B$14+2*((BP49+BQ49)/2)))^(4/3)))*(A48-A49)))&lt;0,BQ49,((BP49+BQ49)/2))</f>
        <v/>
      </c>
      <c r="BT49" s="16">
        <f>IF((((BR49+BS49)/2)+(C49/(DATOS!$B$14*((BR49+BS49)/2)))^2/(2*9.81)+B49-(E48+(C48/(DATOS!$B$14*E48))^2/(2*9.81)+B48+0.5*(((DATOS!$B$27*C48/(DATOS!$B$14*E48))^2/((DATOS!$B$14*E48)/(DATOS!$B$14+2*E48))^(4/3))+((DATOS!$B$27*C49/(DATOS!$B$14*((BR49+BS49)/2)))^2/((DATOS!$B$14*((BR49+BS49)/2))/(DATOS!$B$14+2*((BR49+BS49)/2)))^(4/3)))*(A48-A49)))&lt;0,((BR49+BS49)/2),BR49)</f>
        <v/>
      </c>
      <c r="BU49" s="16">
        <f>IF((((BR49+BS49)/2)+(C49/(DATOS!$B$14*((BR49+BS49)/2)))^2/(2*9.81)+B49-(E48+(C48/(DATOS!$B$14*E48))^2/(2*9.81)+B48+0.5*(((DATOS!$B$27*C48/(DATOS!$B$14*E48))^2/((DATOS!$B$14*E48)/(DATOS!$B$14+2*E48))^(4/3))+((DATOS!$B$27*C49/(DATOS!$B$14*((BR49+BS49)/2)))^2/((DATOS!$B$14*((BR49+BS49)/2))/(DATOS!$B$14+2*((BR49+BS49)/2)))^(4/3)))*(A48-A49)))&lt;0,BS49,((BR49+BS49)/2))</f>
        <v/>
      </c>
    </row>
    <row r="50">
      <c r="A50" s="30" t="n">
        <v>54</v>
      </c>
      <c r="B50" s="21">
        <f>DATOS!$B$16-DATOS!$B$19*A50</f>
        <v/>
      </c>
      <c r="C50" s="21">
        <f>IF(A50&lt;CAUDALES!$B$13,CAUDALES!$D$12,IF(A50&lt;CAUDALES!$B$14,CAUDALES!$D$13,IF(A50&lt;CAUDALES!$B$15,CAUDALES!$D$14,CAUDALES!$D$15)))/1000</f>
        <v/>
      </c>
      <c r="D50" s="21">
        <f>(C50^2/(9.81*DATOS!$B$14^2))^(1/3)</f>
        <v/>
      </c>
      <c r="E50" s="29">
        <f>(BT50+BU50)/2</f>
        <v/>
      </c>
      <c r="F50" s="21">
        <f>B50+E50</f>
        <v/>
      </c>
      <c r="G50" s="17">
        <f>C50/(DATOS!$B$14*E50)</f>
        <v/>
      </c>
      <c r="H50" s="17">
        <f>G50/SQRT(9.81*E50)</f>
        <v/>
      </c>
      <c r="I50" s="21">
        <f>IF(A50&lt;=DATOS!$B$20,DATOS!$B$21-IF(AND(A50&gt;=DATOS!$B$23,A50&lt;DATOS!$B$24),DATOS!$B$25,DATOS!$B$22),B50+DATOS!$B$26)</f>
        <v/>
      </c>
      <c r="J50" s="17">
        <f>I50-B50</f>
        <v/>
      </c>
      <c r="K50" s="31">
        <f>E50/J50</f>
        <v/>
      </c>
      <c r="L50" s="21">
        <f>I50-F50</f>
        <v/>
      </c>
      <c r="M50" s="32">
        <f>IF(AND(K50&lt;=DATOS!$B$29,L50&gt;=DATOS!$B$30),"CUMPLE","NO CUMPLE")</f>
        <v/>
      </c>
      <c r="N50" s="13">
        <f>IF(A50&gt;DATOS!$B$20,"cubierto - tramo final",IF(AND(A50&gt;=DATOS!$B$23,A50&lt;DATOS!$B$24),"cubierto - camiones","cubierto"))</f>
        <v/>
      </c>
      <c r="P50" s="16">
        <f>D50*1.001</f>
        <v/>
      </c>
      <c r="Q50" s="16" t="n">
        <v>2</v>
      </c>
      <c r="R50" s="16">
        <f>IF((((P50+Q50)/2)+(C50/(DATOS!$B$14*((P50+Q50)/2)))^2/(2*9.81)+B50-(E49+(C49/(DATOS!$B$14*E49))^2/(2*9.81)+B49+0.5*(((DATOS!$B$27*C49/(DATOS!$B$14*E49))^2/((DATOS!$B$14*E49)/(DATOS!$B$14+2*E49))^(4/3))+((DATOS!$B$27*C50/(DATOS!$B$14*((P50+Q50)/2)))^2/((DATOS!$B$14*((P50+Q50)/2))/(DATOS!$B$14+2*((P50+Q50)/2)))^(4/3)))*(A49-A50)))&lt;0,((P50+Q50)/2),P50)</f>
        <v/>
      </c>
      <c r="S50" s="16">
        <f>IF((((P50+Q50)/2)+(C50/(DATOS!$B$14*((P50+Q50)/2)))^2/(2*9.81)+B50-(E49+(C49/(DATOS!$B$14*E49))^2/(2*9.81)+B49+0.5*(((DATOS!$B$27*C49/(DATOS!$B$14*E49))^2/((DATOS!$B$14*E49)/(DATOS!$B$14+2*E49))^(4/3))+((DATOS!$B$27*C50/(DATOS!$B$14*((P50+Q50)/2)))^2/((DATOS!$B$14*((P50+Q50)/2))/(DATOS!$B$14+2*((P50+Q50)/2)))^(4/3)))*(A49-A50)))&lt;0,Q50,((P50+Q50)/2))</f>
        <v/>
      </c>
      <c r="T50" s="16">
        <f>IF((((R50+S50)/2)+(C50/(DATOS!$B$14*((R50+S50)/2)))^2/(2*9.81)+B50-(E49+(C49/(DATOS!$B$14*E49))^2/(2*9.81)+B49+0.5*(((DATOS!$B$27*C49/(DATOS!$B$14*E49))^2/((DATOS!$B$14*E49)/(DATOS!$B$14+2*E49))^(4/3))+((DATOS!$B$27*C50/(DATOS!$B$14*((R50+S50)/2)))^2/((DATOS!$B$14*((R50+S50)/2))/(DATOS!$B$14+2*((R50+S50)/2)))^(4/3)))*(A49-A50)))&lt;0,((R50+S50)/2),R50)</f>
        <v/>
      </c>
      <c r="U50" s="16">
        <f>IF((((R50+S50)/2)+(C50/(DATOS!$B$14*((R50+S50)/2)))^2/(2*9.81)+B50-(E49+(C49/(DATOS!$B$14*E49))^2/(2*9.81)+B49+0.5*(((DATOS!$B$27*C49/(DATOS!$B$14*E49))^2/((DATOS!$B$14*E49)/(DATOS!$B$14+2*E49))^(4/3))+((DATOS!$B$27*C50/(DATOS!$B$14*((R50+S50)/2)))^2/((DATOS!$B$14*((R50+S50)/2))/(DATOS!$B$14+2*((R50+S50)/2)))^(4/3)))*(A49-A50)))&lt;0,S50,((R50+S50)/2))</f>
        <v/>
      </c>
      <c r="V50" s="16">
        <f>IF((((T50+U50)/2)+(C50/(DATOS!$B$14*((T50+U50)/2)))^2/(2*9.81)+B50-(E49+(C49/(DATOS!$B$14*E49))^2/(2*9.81)+B49+0.5*(((DATOS!$B$27*C49/(DATOS!$B$14*E49))^2/((DATOS!$B$14*E49)/(DATOS!$B$14+2*E49))^(4/3))+((DATOS!$B$27*C50/(DATOS!$B$14*((T50+U50)/2)))^2/((DATOS!$B$14*((T50+U50)/2))/(DATOS!$B$14+2*((T50+U50)/2)))^(4/3)))*(A49-A50)))&lt;0,((T50+U50)/2),T50)</f>
        <v/>
      </c>
      <c r="W50" s="16">
        <f>IF((((T50+U50)/2)+(C50/(DATOS!$B$14*((T50+U50)/2)))^2/(2*9.81)+B50-(E49+(C49/(DATOS!$B$14*E49))^2/(2*9.81)+B49+0.5*(((DATOS!$B$27*C49/(DATOS!$B$14*E49))^2/((DATOS!$B$14*E49)/(DATOS!$B$14+2*E49))^(4/3))+((DATOS!$B$27*C50/(DATOS!$B$14*((T50+U50)/2)))^2/((DATOS!$B$14*((T50+U50)/2))/(DATOS!$B$14+2*((T50+U50)/2)))^(4/3)))*(A49-A50)))&lt;0,U50,((T50+U50)/2))</f>
        <v/>
      </c>
      <c r="X50" s="16">
        <f>IF((((V50+W50)/2)+(C50/(DATOS!$B$14*((V50+W50)/2)))^2/(2*9.81)+B50-(E49+(C49/(DATOS!$B$14*E49))^2/(2*9.81)+B49+0.5*(((DATOS!$B$27*C49/(DATOS!$B$14*E49))^2/((DATOS!$B$14*E49)/(DATOS!$B$14+2*E49))^(4/3))+((DATOS!$B$27*C50/(DATOS!$B$14*((V50+W50)/2)))^2/((DATOS!$B$14*((V50+W50)/2))/(DATOS!$B$14+2*((V50+W50)/2)))^(4/3)))*(A49-A50)))&lt;0,((V50+W50)/2),V50)</f>
        <v/>
      </c>
      <c r="Y50" s="16">
        <f>IF((((V50+W50)/2)+(C50/(DATOS!$B$14*((V50+W50)/2)))^2/(2*9.81)+B50-(E49+(C49/(DATOS!$B$14*E49))^2/(2*9.81)+B49+0.5*(((DATOS!$B$27*C49/(DATOS!$B$14*E49))^2/((DATOS!$B$14*E49)/(DATOS!$B$14+2*E49))^(4/3))+((DATOS!$B$27*C50/(DATOS!$B$14*((V50+W50)/2)))^2/((DATOS!$B$14*((V50+W50)/2))/(DATOS!$B$14+2*((V50+W50)/2)))^(4/3)))*(A49-A50)))&lt;0,W50,((V50+W50)/2))</f>
        <v/>
      </c>
      <c r="Z50" s="16">
        <f>IF((((X50+Y50)/2)+(C50/(DATOS!$B$14*((X50+Y50)/2)))^2/(2*9.81)+B50-(E49+(C49/(DATOS!$B$14*E49))^2/(2*9.81)+B49+0.5*(((DATOS!$B$27*C49/(DATOS!$B$14*E49))^2/((DATOS!$B$14*E49)/(DATOS!$B$14+2*E49))^(4/3))+((DATOS!$B$27*C50/(DATOS!$B$14*((X50+Y50)/2)))^2/((DATOS!$B$14*((X50+Y50)/2))/(DATOS!$B$14+2*((X50+Y50)/2)))^(4/3)))*(A49-A50)))&lt;0,((X50+Y50)/2),X50)</f>
        <v/>
      </c>
      <c r="AA50" s="16">
        <f>IF((((X50+Y50)/2)+(C50/(DATOS!$B$14*((X50+Y50)/2)))^2/(2*9.81)+B50-(E49+(C49/(DATOS!$B$14*E49))^2/(2*9.81)+B49+0.5*(((DATOS!$B$27*C49/(DATOS!$B$14*E49))^2/((DATOS!$B$14*E49)/(DATOS!$B$14+2*E49))^(4/3))+((DATOS!$B$27*C50/(DATOS!$B$14*((X50+Y50)/2)))^2/((DATOS!$B$14*((X50+Y50)/2))/(DATOS!$B$14+2*((X50+Y50)/2)))^(4/3)))*(A49-A50)))&lt;0,Y50,((X50+Y50)/2))</f>
        <v/>
      </c>
      <c r="AB50" s="16">
        <f>IF((((Z50+AA50)/2)+(C50/(DATOS!$B$14*((Z50+AA50)/2)))^2/(2*9.81)+B50-(E49+(C49/(DATOS!$B$14*E49))^2/(2*9.81)+B49+0.5*(((DATOS!$B$27*C49/(DATOS!$B$14*E49))^2/((DATOS!$B$14*E49)/(DATOS!$B$14+2*E49))^(4/3))+((DATOS!$B$27*C50/(DATOS!$B$14*((Z50+AA50)/2)))^2/((DATOS!$B$14*((Z50+AA50)/2))/(DATOS!$B$14+2*((Z50+AA50)/2)))^(4/3)))*(A49-A50)))&lt;0,((Z50+AA50)/2),Z50)</f>
        <v/>
      </c>
      <c r="AC50" s="16">
        <f>IF((((Z50+AA50)/2)+(C50/(DATOS!$B$14*((Z50+AA50)/2)))^2/(2*9.81)+B50-(E49+(C49/(DATOS!$B$14*E49))^2/(2*9.81)+B49+0.5*(((DATOS!$B$27*C49/(DATOS!$B$14*E49))^2/((DATOS!$B$14*E49)/(DATOS!$B$14+2*E49))^(4/3))+((DATOS!$B$27*C50/(DATOS!$B$14*((Z50+AA50)/2)))^2/((DATOS!$B$14*((Z50+AA50)/2))/(DATOS!$B$14+2*((Z50+AA50)/2)))^(4/3)))*(A49-A50)))&lt;0,AA50,((Z50+AA50)/2))</f>
        <v/>
      </c>
      <c r="AD50" s="16">
        <f>IF((((AB50+AC50)/2)+(C50/(DATOS!$B$14*((AB50+AC50)/2)))^2/(2*9.81)+B50-(E49+(C49/(DATOS!$B$14*E49))^2/(2*9.81)+B49+0.5*(((DATOS!$B$27*C49/(DATOS!$B$14*E49))^2/((DATOS!$B$14*E49)/(DATOS!$B$14+2*E49))^(4/3))+((DATOS!$B$27*C50/(DATOS!$B$14*((AB50+AC50)/2)))^2/((DATOS!$B$14*((AB50+AC50)/2))/(DATOS!$B$14+2*((AB50+AC50)/2)))^(4/3)))*(A49-A50)))&lt;0,((AB50+AC50)/2),AB50)</f>
        <v/>
      </c>
      <c r="AE50" s="16">
        <f>IF((((AB50+AC50)/2)+(C50/(DATOS!$B$14*((AB50+AC50)/2)))^2/(2*9.81)+B50-(E49+(C49/(DATOS!$B$14*E49))^2/(2*9.81)+B49+0.5*(((DATOS!$B$27*C49/(DATOS!$B$14*E49))^2/((DATOS!$B$14*E49)/(DATOS!$B$14+2*E49))^(4/3))+((DATOS!$B$27*C50/(DATOS!$B$14*((AB50+AC50)/2)))^2/((DATOS!$B$14*((AB50+AC50)/2))/(DATOS!$B$14+2*((AB50+AC50)/2)))^(4/3)))*(A49-A50)))&lt;0,AC50,((AB50+AC50)/2))</f>
        <v/>
      </c>
      <c r="AF50" s="16">
        <f>IF((((AD50+AE50)/2)+(C50/(DATOS!$B$14*((AD50+AE50)/2)))^2/(2*9.81)+B50-(E49+(C49/(DATOS!$B$14*E49))^2/(2*9.81)+B49+0.5*(((DATOS!$B$27*C49/(DATOS!$B$14*E49))^2/((DATOS!$B$14*E49)/(DATOS!$B$14+2*E49))^(4/3))+((DATOS!$B$27*C50/(DATOS!$B$14*((AD50+AE50)/2)))^2/((DATOS!$B$14*((AD50+AE50)/2))/(DATOS!$B$14+2*((AD50+AE50)/2)))^(4/3)))*(A49-A50)))&lt;0,((AD50+AE50)/2),AD50)</f>
        <v/>
      </c>
      <c r="AG50" s="16">
        <f>IF((((AD50+AE50)/2)+(C50/(DATOS!$B$14*((AD50+AE50)/2)))^2/(2*9.81)+B50-(E49+(C49/(DATOS!$B$14*E49))^2/(2*9.81)+B49+0.5*(((DATOS!$B$27*C49/(DATOS!$B$14*E49))^2/((DATOS!$B$14*E49)/(DATOS!$B$14+2*E49))^(4/3))+((DATOS!$B$27*C50/(DATOS!$B$14*((AD50+AE50)/2)))^2/((DATOS!$B$14*((AD50+AE50)/2))/(DATOS!$B$14+2*((AD50+AE50)/2)))^(4/3)))*(A49-A50)))&lt;0,AE50,((AD50+AE50)/2))</f>
        <v/>
      </c>
      <c r="AH50" s="16">
        <f>IF((((AF50+AG50)/2)+(C50/(DATOS!$B$14*((AF50+AG50)/2)))^2/(2*9.81)+B50-(E49+(C49/(DATOS!$B$14*E49))^2/(2*9.81)+B49+0.5*(((DATOS!$B$27*C49/(DATOS!$B$14*E49))^2/((DATOS!$B$14*E49)/(DATOS!$B$14+2*E49))^(4/3))+((DATOS!$B$27*C50/(DATOS!$B$14*((AF50+AG50)/2)))^2/((DATOS!$B$14*((AF50+AG50)/2))/(DATOS!$B$14+2*((AF50+AG50)/2)))^(4/3)))*(A49-A50)))&lt;0,((AF50+AG50)/2),AF50)</f>
        <v/>
      </c>
      <c r="AI50" s="16">
        <f>IF((((AF50+AG50)/2)+(C50/(DATOS!$B$14*((AF50+AG50)/2)))^2/(2*9.81)+B50-(E49+(C49/(DATOS!$B$14*E49))^2/(2*9.81)+B49+0.5*(((DATOS!$B$27*C49/(DATOS!$B$14*E49))^2/((DATOS!$B$14*E49)/(DATOS!$B$14+2*E49))^(4/3))+((DATOS!$B$27*C50/(DATOS!$B$14*((AF50+AG50)/2)))^2/((DATOS!$B$14*((AF50+AG50)/2))/(DATOS!$B$14+2*((AF50+AG50)/2)))^(4/3)))*(A49-A50)))&lt;0,AG50,((AF50+AG50)/2))</f>
        <v/>
      </c>
      <c r="AJ50" s="16">
        <f>IF((((AH50+AI50)/2)+(C50/(DATOS!$B$14*((AH50+AI50)/2)))^2/(2*9.81)+B50-(E49+(C49/(DATOS!$B$14*E49))^2/(2*9.81)+B49+0.5*(((DATOS!$B$27*C49/(DATOS!$B$14*E49))^2/((DATOS!$B$14*E49)/(DATOS!$B$14+2*E49))^(4/3))+((DATOS!$B$27*C50/(DATOS!$B$14*((AH50+AI50)/2)))^2/((DATOS!$B$14*((AH50+AI50)/2))/(DATOS!$B$14+2*((AH50+AI50)/2)))^(4/3)))*(A49-A50)))&lt;0,((AH50+AI50)/2),AH50)</f>
        <v/>
      </c>
      <c r="AK50" s="16">
        <f>IF((((AH50+AI50)/2)+(C50/(DATOS!$B$14*((AH50+AI50)/2)))^2/(2*9.81)+B50-(E49+(C49/(DATOS!$B$14*E49))^2/(2*9.81)+B49+0.5*(((DATOS!$B$27*C49/(DATOS!$B$14*E49))^2/((DATOS!$B$14*E49)/(DATOS!$B$14+2*E49))^(4/3))+((DATOS!$B$27*C50/(DATOS!$B$14*((AH50+AI50)/2)))^2/((DATOS!$B$14*((AH50+AI50)/2))/(DATOS!$B$14+2*((AH50+AI50)/2)))^(4/3)))*(A49-A50)))&lt;0,AI50,((AH50+AI50)/2))</f>
        <v/>
      </c>
      <c r="AL50" s="16">
        <f>IF((((AJ50+AK50)/2)+(C50/(DATOS!$B$14*((AJ50+AK50)/2)))^2/(2*9.81)+B50-(E49+(C49/(DATOS!$B$14*E49))^2/(2*9.81)+B49+0.5*(((DATOS!$B$27*C49/(DATOS!$B$14*E49))^2/((DATOS!$B$14*E49)/(DATOS!$B$14+2*E49))^(4/3))+((DATOS!$B$27*C50/(DATOS!$B$14*((AJ50+AK50)/2)))^2/((DATOS!$B$14*((AJ50+AK50)/2))/(DATOS!$B$14+2*((AJ50+AK50)/2)))^(4/3)))*(A49-A50)))&lt;0,((AJ50+AK50)/2),AJ50)</f>
        <v/>
      </c>
      <c r="AM50" s="16">
        <f>IF((((AJ50+AK50)/2)+(C50/(DATOS!$B$14*((AJ50+AK50)/2)))^2/(2*9.81)+B50-(E49+(C49/(DATOS!$B$14*E49))^2/(2*9.81)+B49+0.5*(((DATOS!$B$27*C49/(DATOS!$B$14*E49))^2/((DATOS!$B$14*E49)/(DATOS!$B$14+2*E49))^(4/3))+((DATOS!$B$27*C50/(DATOS!$B$14*((AJ50+AK50)/2)))^2/((DATOS!$B$14*((AJ50+AK50)/2))/(DATOS!$B$14+2*((AJ50+AK50)/2)))^(4/3)))*(A49-A50)))&lt;0,AK50,((AJ50+AK50)/2))</f>
        <v/>
      </c>
      <c r="AN50" s="16">
        <f>IF((((AL50+AM50)/2)+(C50/(DATOS!$B$14*((AL50+AM50)/2)))^2/(2*9.81)+B50-(E49+(C49/(DATOS!$B$14*E49))^2/(2*9.81)+B49+0.5*(((DATOS!$B$27*C49/(DATOS!$B$14*E49))^2/((DATOS!$B$14*E49)/(DATOS!$B$14+2*E49))^(4/3))+((DATOS!$B$27*C50/(DATOS!$B$14*((AL50+AM50)/2)))^2/((DATOS!$B$14*((AL50+AM50)/2))/(DATOS!$B$14+2*((AL50+AM50)/2)))^(4/3)))*(A49-A50)))&lt;0,((AL50+AM50)/2),AL50)</f>
        <v/>
      </c>
      <c r="AO50" s="16">
        <f>IF((((AL50+AM50)/2)+(C50/(DATOS!$B$14*((AL50+AM50)/2)))^2/(2*9.81)+B50-(E49+(C49/(DATOS!$B$14*E49))^2/(2*9.81)+B49+0.5*(((DATOS!$B$27*C49/(DATOS!$B$14*E49))^2/((DATOS!$B$14*E49)/(DATOS!$B$14+2*E49))^(4/3))+((DATOS!$B$27*C50/(DATOS!$B$14*((AL50+AM50)/2)))^2/((DATOS!$B$14*((AL50+AM50)/2))/(DATOS!$B$14+2*((AL50+AM50)/2)))^(4/3)))*(A49-A50)))&lt;0,AM50,((AL50+AM50)/2))</f>
        <v/>
      </c>
      <c r="AP50" s="16">
        <f>IF((((AN50+AO50)/2)+(C50/(DATOS!$B$14*((AN50+AO50)/2)))^2/(2*9.81)+B50-(E49+(C49/(DATOS!$B$14*E49))^2/(2*9.81)+B49+0.5*(((DATOS!$B$27*C49/(DATOS!$B$14*E49))^2/((DATOS!$B$14*E49)/(DATOS!$B$14+2*E49))^(4/3))+((DATOS!$B$27*C50/(DATOS!$B$14*((AN50+AO50)/2)))^2/((DATOS!$B$14*((AN50+AO50)/2))/(DATOS!$B$14+2*((AN50+AO50)/2)))^(4/3)))*(A49-A50)))&lt;0,((AN50+AO50)/2),AN50)</f>
        <v/>
      </c>
      <c r="AQ50" s="16">
        <f>IF((((AN50+AO50)/2)+(C50/(DATOS!$B$14*((AN50+AO50)/2)))^2/(2*9.81)+B50-(E49+(C49/(DATOS!$B$14*E49))^2/(2*9.81)+B49+0.5*(((DATOS!$B$27*C49/(DATOS!$B$14*E49))^2/((DATOS!$B$14*E49)/(DATOS!$B$14+2*E49))^(4/3))+((DATOS!$B$27*C50/(DATOS!$B$14*((AN50+AO50)/2)))^2/((DATOS!$B$14*((AN50+AO50)/2))/(DATOS!$B$14+2*((AN50+AO50)/2)))^(4/3)))*(A49-A50)))&lt;0,AO50,((AN50+AO50)/2))</f>
        <v/>
      </c>
      <c r="AR50" s="16">
        <f>IF((((AP50+AQ50)/2)+(C50/(DATOS!$B$14*((AP50+AQ50)/2)))^2/(2*9.81)+B50-(E49+(C49/(DATOS!$B$14*E49))^2/(2*9.81)+B49+0.5*(((DATOS!$B$27*C49/(DATOS!$B$14*E49))^2/((DATOS!$B$14*E49)/(DATOS!$B$14+2*E49))^(4/3))+((DATOS!$B$27*C50/(DATOS!$B$14*((AP50+AQ50)/2)))^2/((DATOS!$B$14*((AP50+AQ50)/2))/(DATOS!$B$14+2*((AP50+AQ50)/2)))^(4/3)))*(A49-A50)))&lt;0,((AP50+AQ50)/2),AP50)</f>
        <v/>
      </c>
      <c r="AS50" s="16">
        <f>IF((((AP50+AQ50)/2)+(C50/(DATOS!$B$14*((AP50+AQ50)/2)))^2/(2*9.81)+B50-(E49+(C49/(DATOS!$B$14*E49))^2/(2*9.81)+B49+0.5*(((DATOS!$B$27*C49/(DATOS!$B$14*E49))^2/((DATOS!$B$14*E49)/(DATOS!$B$14+2*E49))^(4/3))+((DATOS!$B$27*C50/(DATOS!$B$14*((AP50+AQ50)/2)))^2/((DATOS!$B$14*((AP50+AQ50)/2))/(DATOS!$B$14+2*((AP50+AQ50)/2)))^(4/3)))*(A49-A50)))&lt;0,AQ50,((AP50+AQ50)/2))</f>
        <v/>
      </c>
      <c r="AT50" s="16">
        <f>IF((((AR50+AS50)/2)+(C50/(DATOS!$B$14*((AR50+AS50)/2)))^2/(2*9.81)+B50-(E49+(C49/(DATOS!$B$14*E49))^2/(2*9.81)+B49+0.5*(((DATOS!$B$27*C49/(DATOS!$B$14*E49))^2/((DATOS!$B$14*E49)/(DATOS!$B$14+2*E49))^(4/3))+((DATOS!$B$27*C50/(DATOS!$B$14*((AR50+AS50)/2)))^2/((DATOS!$B$14*((AR50+AS50)/2))/(DATOS!$B$14+2*((AR50+AS50)/2)))^(4/3)))*(A49-A50)))&lt;0,((AR50+AS50)/2),AR50)</f>
        <v/>
      </c>
      <c r="AU50" s="16">
        <f>IF((((AR50+AS50)/2)+(C50/(DATOS!$B$14*((AR50+AS50)/2)))^2/(2*9.81)+B50-(E49+(C49/(DATOS!$B$14*E49))^2/(2*9.81)+B49+0.5*(((DATOS!$B$27*C49/(DATOS!$B$14*E49))^2/((DATOS!$B$14*E49)/(DATOS!$B$14+2*E49))^(4/3))+((DATOS!$B$27*C50/(DATOS!$B$14*((AR50+AS50)/2)))^2/((DATOS!$B$14*((AR50+AS50)/2))/(DATOS!$B$14+2*((AR50+AS50)/2)))^(4/3)))*(A49-A50)))&lt;0,AS50,((AR50+AS50)/2))</f>
        <v/>
      </c>
      <c r="AV50" s="16">
        <f>IF((((AT50+AU50)/2)+(C50/(DATOS!$B$14*((AT50+AU50)/2)))^2/(2*9.81)+B50-(E49+(C49/(DATOS!$B$14*E49))^2/(2*9.81)+B49+0.5*(((DATOS!$B$27*C49/(DATOS!$B$14*E49))^2/((DATOS!$B$14*E49)/(DATOS!$B$14+2*E49))^(4/3))+((DATOS!$B$27*C50/(DATOS!$B$14*((AT50+AU50)/2)))^2/((DATOS!$B$14*((AT50+AU50)/2))/(DATOS!$B$14+2*((AT50+AU50)/2)))^(4/3)))*(A49-A50)))&lt;0,((AT50+AU50)/2),AT50)</f>
        <v/>
      </c>
      <c r="AW50" s="16">
        <f>IF((((AT50+AU50)/2)+(C50/(DATOS!$B$14*((AT50+AU50)/2)))^2/(2*9.81)+B50-(E49+(C49/(DATOS!$B$14*E49))^2/(2*9.81)+B49+0.5*(((DATOS!$B$27*C49/(DATOS!$B$14*E49))^2/((DATOS!$B$14*E49)/(DATOS!$B$14+2*E49))^(4/3))+((DATOS!$B$27*C50/(DATOS!$B$14*((AT50+AU50)/2)))^2/((DATOS!$B$14*((AT50+AU50)/2))/(DATOS!$B$14+2*((AT50+AU50)/2)))^(4/3)))*(A49-A50)))&lt;0,AU50,((AT50+AU50)/2))</f>
        <v/>
      </c>
      <c r="AX50" s="16">
        <f>IF((((AV50+AW50)/2)+(C50/(DATOS!$B$14*((AV50+AW50)/2)))^2/(2*9.81)+B50-(E49+(C49/(DATOS!$B$14*E49))^2/(2*9.81)+B49+0.5*(((DATOS!$B$27*C49/(DATOS!$B$14*E49))^2/((DATOS!$B$14*E49)/(DATOS!$B$14+2*E49))^(4/3))+((DATOS!$B$27*C50/(DATOS!$B$14*((AV50+AW50)/2)))^2/((DATOS!$B$14*((AV50+AW50)/2))/(DATOS!$B$14+2*((AV50+AW50)/2)))^(4/3)))*(A49-A50)))&lt;0,((AV50+AW50)/2),AV50)</f>
        <v/>
      </c>
      <c r="AY50" s="16">
        <f>IF((((AV50+AW50)/2)+(C50/(DATOS!$B$14*((AV50+AW50)/2)))^2/(2*9.81)+B50-(E49+(C49/(DATOS!$B$14*E49))^2/(2*9.81)+B49+0.5*(((DATOS!$B$27*C49/(DATOS!$B$14*E49))^2/((DATOS!$B$14*E49)/(DATOS!$B$14+2*E49))^(4/3))+((DATOS!$B$27*C50/(DATOS!$B$14*((AV50+AW50)/2)))^2/((DATOS!$B$14*((AV50+AW50)/2))/(DATOS!$B$14+2*((AV50+AW50)/2)))^(4/3)))*(A49-A50)))&lt;0,AW50,((AV50+AW50)/2))</f>
        <v/>
      </c>
      <c r="AZ50" s="16">
        <f>IF((((AX50+AY50)/2)+(C50/(DATOS!$B$14*((AX50+AY50)/2)))^2/(2*9.81)+B50-(E49+(C49/(DATOS!$B$14*E49))^2/(2*9.81)+B49+0.5*(((DATOS!$B$27*C49/(DATOS!$B$14*E49))^2/((DATOS!$B$14*E49)/(DATOS!$B$14+2*E49))^(4/3))+((DATOS!$B$27*C50/(DATOS!$B$14*((AX50+AY50)/2)))^2/((DATOS!$B$14*((AX50+AY50)/2))/(DATOS!$B$14+2*((AX50+AY50)/2)))^(4/3)))*(A49-A50)))&lt;0,((AX50+AY50)/2),AX50)</f>
        <v/>
      </c>
      <c r="BA50" s="16">
        <f>IF((((AX50+AY50)/2)+(C50/(DATOS!$B$14*((AX50+AY50)/2)))^2/(2*9.81)+B50-(E49+(C49/(DATOS!$B$14*E49))^2/(2*9.81)+B49+0.5*(((DATOS!$B$27*C49/(DATOS!$B$14*E49))^2/((DATOS!$B$14*E49)/(DATOS!$B$14+2*E49))^(4/3))+((DATOS!$B$27*C50/(DATOS!$B$14*((AX50+AY50)/2)))^2/((DATOS!$B$14*((AX50+AY50)/2))/(DATOS!$B$14+2*((AX50+AY50)/2)))^(4/3)))*(A49-A50)))&lt;0,AY50,((AX50+AY50)/2))</f>
        <v/>
      </c>
      <c r="BB50" s="16">
        <f>IF((((AZ50+BA50)/2)+(C50/(DATOS!$B$14*((AZ50+BA50)/2)))^2/(2*9.81)+B50-(E49+(C49/(DATOS!$B$14*E49))^2/(2*9.81)+B49+0.5*(((DATOS!$B$27*C49/(DATOS!$B$14*E49))^2/((DATOS!$B$14*E49)/(DATOS!$B$14+2*E49))^(4/3))+((DATOS!$B$27*C50/(DATOS!$B$14*((AZ50+BA50)/2)))^2/((DATOS!$B$14*((AZ50+BA50)/2))/(DATOS!$B$14+2*((AZ50+BA50)/2)))^(4/3)))*(A49-A50)))&lt;0,((AZ50+BA50)/2),AZ50)</f>
        <v/>
      </c>
      <c r="BC50" s="16">
        <f>IF((((AZ50+BA50)/2)+(C50/(DATOS!$B$14*((AZ50+BA50)/2)))^2/(2*9.81)+B50-(E49+(C49/(DATOS!$B$14*E49))^2/(2*9.81)+B49+0.5*(((DATOS!$B$27*C49/(DATOS!$B$14*E49))^2/((DATOS!$B$14*E49)/(DATOS!$B$14+2*E49))^(4/3))+((DATOS!$B$27*C50/(DATOS!$B$14*((AZ50+BA50)/2)))^2/((DATOS!$B$14*((AZ50+BA50)/2))/(DATOS!$B$14+2*((AZ50+BA50)/2)))^(4/3)))*(A49-A50)))&lt;0,BA50,((AZ50+BA50)/2))</f>
        <v/>
      </c>
      <c r="BD50" s="16">
        <f>IF((((BB50+BC50)/2)+(C50/(DATOS!$B$14*((BB50+BC50)/2)))^2/(2*9.81)+B50-(E49+(C49/(DATOS!$B$14*E49))^2/(2*9.81)+B49+0.5*(((DATOS!$B$27*C49/(DATOS!$B$14*E49))^2/((DATOS!$B$14*E49)/(DATOS!$B$14+2*E49))^(4/3))+((DATOS!$B$27*C50/(DATOS!$B$14*((BB50+BC50)/2)))^2/((DATOS!$B$14*((BB50+BC50)/2))/(DATOS!$B$14+2*((BB50+BC50)/2)))^(4/3)))*(A49-A50)))&lt;0,((BB50+BC50)/2),BB50)</f>
        <v/>
      </c>
      <c r="BE50" s="16">
        <f>IF((((BB50+BC50)/2)+(C50/(DATOS!$B$14*((BB50+BC50)/2)))^2/(2*9.81)+B50-(E49+(C49/(DATOS!$B$14*E49))^2/(2*9.81)+B49+0.5*(((DATOS!$B$27*C49/(DATOS!$B$14*E49))^2/((DATOS!$B$14*E49)/(DATOS!$B$14+2*E49))^(4/3))+((DATOS!$B$27*C50/(DATOS!$B$14*((BB50+BC50)/2)))^2/((DATOS!$B$14*((BB50+BC50)/2))/(DATOS!$B$14+2*((BB50+BC50)/2)))^(4/3)))*(A49-A50)))&lt;0,BC50,((BB50+BC50)/2))</f>
        <v/>
      </c>
      <c r="BF50" s="16">
        <f>IF((((BD50+BE50)/2)+(C50/(DATOS!$B$14*((BD50+BE50)/2)))^2/(2*9.81)+B50-(E49+(C49/(DATOS!$B$14*E49))^2/(2*9.81)+B49+0.5*(((DATOS!$B$27*C49/(DATOS!$B$14*E49))^2/((DATOS!$B$14*E49)/(DATOS!$B$14+2*E49))^(4/3))+((DATOS!$B$27*C50/(DATOS!$B$14*((BD50+BE50)/2)))^2/((DATOS!$B$14*((BD50+BE50)/2))/(DATOS!$B$14+2*((BD50+BE50)/2)))^(4/3)))*(A49-A50)))&lt;0,((BD50+BE50)/2),BD50)</f>
        <v/>
      </c>
      <c r="BG50" s="16">
        <f>IF((((BD50+BE50)/2)+(C50/(DATOS!$B$14*((BD50+BE50)/2)))^2/(2*9.81)+B50-(E49+(C49/(DATOS!$B$14*E49))^2/(2*9.81)+B49+0.5*(((DATOS!$B$27*C49/(DATOS!$B$14*E49))^2/((DATOS!$B$14*E49)/(DATOS!$B$14+2*E49))^(4/3))+((DATOS!$B$27*C50/(DATOS!$B$14*((BD50+BE50)/2)))^2/((DATOS!$B$14*((BD50+BE50)/2))/(DATOS!$B$14+2*((BD50+BE50)/2)))^(4/3)))*(A49-A50)))&lt;0,BE50,((BD50+BE50)/2))</f>
        <v/>
      </c>
      <c r="BH50" s="16">
        <f>IF((((BF50+BG50)/2)+(C50/(DATOS!$B$14*((BF50+BG50)/2)))^2/(2*9.81)+B50-(E49+(C49/(DATOS!$B$14*E49))^2/(2*9.81)+B49+0.5*(((DATOS!$B$27*C49/(DATOS!$B$14*E49))^2/((DATOS!$B$14*E49)/(DATOS!$B$14+2*E49))^(4/3))+((DATOS!$B$27*C50/(DATOS!$B$14*((BF50+BG50)/2)))^2/((DATOS!$B$14*((BF50+BG50)/2))/(DATOS!$B$14+2*((BF50+BG50)/2)))^(4/3)))*(A49-A50)))&lt;0,((BF50+BG50)/2),BF50)</f>
        <v/>
      </c>
      <c r="BI50" s="16">
        <f>IF((((BF50+BG50)/2)+(C50/(DATOS!$B$14*((BF50+BG50)/2)))^2/(2*9.81)+B50-(E49+(C49/(DATOS!$B$14*E49))^2/(2*9.81)+B49+0.5*(((DATOS!$B$27*C49/(DATOS!$B$14*E49))^2/((DATOS!$B$14*E49)/(DATOS!$B$14+2*E49))^(4/3))+((DATOS!$B$27*C50/(DATOS!$B$14*((BF50+BG50)/2)))^2/((DATOS!$B$14*((BF50+BG50)/2))/(DATOS!$B$14+2*((BF50+BG50)/2)))^(4/3)))*(A49-A50)))&lt;0,BG50,((BF50+BG50)/2))</f>
        <v/>
      </c>
      <c r="BJ50" s="16">
        <f>IF((((BH50+BI50)/2)+(C50/(DATOS!$B$14*((BH50+BI50)/2)))^2/(2*9.81)+B50-(E49+(C49/(DATOS!$B$14*E49))^2/(2*9.81)+B49+0.5*(((DATOS!$B$27*C49/(DATOS!$B$14*E49))^2/((DATOS!$B$14*E49)/(DATOS!$B$14+2*E49))^(4/3))+((DATOS!$B$27*C50/(DATOS!$B$14*((BH50+BI50)/2)))^2/((DATOS!$B$14*((BH50+BI50)/2))/(DATOS!$B$14+2*((BH50+BI50)/2)))^(4/3)))*(A49-A50)))&lt;0,((BH50+BI50)/2),BH50)</f>
        <v/>
      </c>
      <c r="BK50" s="16">
        <f>IF((((BH50+BI50)/2)+(C50/(DATOS!$B$14*((BH50+BI50)/2)))^2/(2*9.81)+B50-(E49+(C49/(DATOS!$B$14*E49))^2/(2*9.81)+B49+0.5*(((DATOS!$B$27*C49/(DATOS!$B$14*E49))^2/((DATOS!$B$14*E49)/(DATOS!$B$14+2*E49))^(4/3))+((DATOS!$B$27*C50/(DATOS!$B$14*((BH50+BI50)/2)))^2/((DATOS!$B$14*((BH50+BI50)/2))/(DATOS!$B$14+2*((BH50+BI50)/2)))^(4/3)))*(A49-A50)))&lt;0,BI50,((BH50+BI50)/2))</f>
        <v/>
      </c>
      <c r="BL50" s="16">
        <f>IF((((BJ50+BK50)/2)+(C50/(DATOS!$B$14*((BJ50+BK50)/2)))^2/(2*9.81)+B50-(E49+(C49/(DATOS!$B$14*E49))^2/(2*9.81)+B49+0.5*(((DATOS!$B$27*C49/(DATOS!$B$14*E49))^2/((DATOS!$B$14*E49)/(DATOS!$B$14+2*E49))^(4/3))+((DATOS!$B$27*C50/(DATOS!$B$14*((BJ50+BK50)/2)))^2/((DATOS!$B$14*((BJ50+BK50)/2))/(DATOS!$B$14+2*((BJ50+BK50)/2)))^(4/3)))*(A49-A50)))&lt;0,((BJ50+BK50)/2),BJ50)</f>
        <v/>
      </c>
      <c r="BM50" s="16">
        <f>IF((((BJ50+BK50)/2)+(C50/(DATOS!$B$14*((BJ50+BK50)/2)))^2/(2*9.81)+B50-(E49+(C49/(DATOS!$B$14*E49))^2/(2*9.81)+B49+0.5*(((DATOS!$B$27*C49/(DATOS!$B$14*E49))^2/((DATOS!$B$14*E49)/(DATOS!$B$14+2*E49))^(4/3))+((DATOS!$B$27*C50/(DATOS!$B$14*((BJ50+BK50)/2)))^2/((DATOS!$B$14*((BJ50+BK50)/2))/(DATOS!$B$14+2*((BJ50+BK50)/2)))^(4/3)))*(A49-A50)))&lt;0,BK50,((BJ50+BK50)/2))</f>
        <v/>
      </c>
      <c r="BN50" s="16">
        <f>IF((((BL50+BM50)/2)+(C50/(DATOS!$B$14*((BL50+BM50)/2)))^2/(2*9.81)+B50-(E49+(C49/(DATOS!$B$14*E49))^2/(2*9.81)+B49+0.5*(((DATOS!$B$27*C49/(DATOS!$B$14*E49))^2/((DATOS!$B$14*E49)/(DATOS!$B$14+2*E49))^(4/3))+((DATOS!$B$27*C50/(DATOS!$B$14*((BL50+BM50)/2)))^2/((DATOS!$B$14*((BL50+BM50)/2))/(DATOS!$B$14+2*((BL50+BM50)/2)))^(4/3)))*(A49-A50)))&lt;0,((BL50+BM50)/2),BL50)</f>
        <v/>
      </c>
      <c r="BO50" s="16">
        <f>IF((((BL50+BM50)/2)+(C50/(DATOS!$B$14*((BL50+BM50)/2)))^2/(2*9.81)+B50-(E49+(C49/(DATOS!$B$14*E49))^2/(2*9.81)+B49+0.5*(((DATOS!$B$27*C49/(DATOS!$B$14*E49))^2/((DATOS!$B$14*E49)/(DATOS!$B$14+2*E49))^(4/3))+((DATOS!$B$27*C50/(DATOS!$B$14*((BL50+BM50)/2)))^2/((DATOS!$B$14*((BL50+BM50)/2))/(DATOS!$B$14+2*((BL50+BM50)/2)))^(4/3)))*(A49-A50)))&lt;0,BM50,((BL50+BM50)/2))</f>
        <v/>
      </c>
      <c r="BP50" s="16">
        <f>IF((((BN50+BO50)/2)+(C50/(DATOS!$B$14*((BN50+BO50)/2)))^2/(2*9.81)+B50-(E49+(C49/(DATOS!$B$14*E49))^2/(2*9.81)+B49+0.5*(((DATOS!$B$27*C49/(DATOS!$B$14*E49))^2/((DATOS!$B$14*E49)/(DATOS!$B$14+2*E49))^(4/3))+((DATOS!$B$27*C50/(DATOS!$B$14*((BN50+BO50)/2)))^2/((DATOS!$B$14*((BN50+BO50)/2))/(DATOS!$B$14+2*((BN50+BO50)/2)))^(4/3)))*(A49-A50)))&lt;0,((BN50+BO50)/2),BN50)</f>
        <v/>
      </c>
      <c r="BQ50" s="16">
        <f>IF((((BN50+BO50)/2)+(C50/(DATOS!$B$14*((BN50+BO50)/2)))^2/(2*9.81)+B50-(E49+(C49/(DATOS!$B$14*E49))^2/(2*9.81)+B49+0.5*(((DATOS!$B$27*C49/(DATOS!$B$14*E49))^2/((DATOS!$B$14*E49)/(DATOS!$B$14+2*E49))^(4/3))+((DATOS!$B$27*C50/(DATOS!$B$14*((BN50+BO50)/2)))^2/((DATOS!$B$14*((BN50+BO50)/2))/(DATOS!$B$14+2*((BN50+BO50)/2)))^(4/3)))*(A49-A50)))&lt;0,BO50,((BN50+BO50)/2))</f>
        <v/>
      </c>
      <c r="BR50" s="16">
        <f>IF((((BP50+BQ50)/2)+(C50/(DATOS!$B$14*((BP50+BQ50)/2)))^2/(2*9.81)+B50-(E49+(C49/(DATOS!$B$14*E49))^2/(2*9.81)+B49+0.5*(((DATOS!$B$27*C49/(DATOS!$B$14*E49))^2/((DATOS!$B$14*E49)/(DATOS!$B$14+2*E49))^(4/3))+((DATOS!$B$27*C50/(DATOS!$B$14*((BP50+BQ50)/2)))^2/((DATOS!$B$14*((BP50+BQ50)/2))/(DATOS!$B$14+2*((BP50+BQ50)/2)))^(4/3)))*(A49-A50)))&lt;0,((BP50+BQ50)/2),BP50)</f>
        <v/>
      </c>
      <c r="BS50" s="16">
        <f>IF((((BP50+BQ50)/2)+(C50/(DATOS!$B$14*((BP50+BQ50)/2)))^2/(2*9.81)+B50-(E49+(C49/(DATOS!$B$14*E49))^2/(2*9.81)+B49+0.5*(((DATOS!$B$27*C49/(DATOS!$B$14*E49))^2/((DATOS!$B$14*E49)/(DATOS!$B$14+2*E49))^(4/3))+((DATOS!$B$27*C50/(DATOS!$B$14*((BP50+BQ50)/2)))^2/((DATOS!$B$14*((BP50+BQ50)/2))/(DATOS!$B$14+2*((BP50+BQ50)/2)))^(4/3)))*(A49-A50)))&lt;0,BQ50,((BP50+BQ50)/2))</f>
        <v/>
      </c>
      <c r="BT50" s="16">
        <f>IF((((BR50+BS50)/2)+(C50/(DATOS!$B$14*((BR50+BS50)/2)))^2/(2*9.81)+B50-(E49+(C49/(DATOS!$B$14*E49))^2/(2*9.81)+B49+0.5*(((DATOS!$B$27*C49/(DATOS!$B$14*E49))^2/((DATOS!$B$14*E49)/(DATOS!$B$14+2*E49))^(4/3))+((DATOS!$B$27*C50/(DATOS!$B$14*((BR50+BS50)/2)))^2/((DATOS!$B$14*((BR50+BS50)/2))/(DATOS!$B$14+2*((BR50+BS50)/2)))^(4/3)))*(A49-A50)))&lt;0,((BR50+BS50)/2),BR50)</f>
        <v/>
      </c>
      <c r="BU50" s="16">
        <f>IF((((BR50+BS50)/2)+(C50/(DATOS!$B$14*((BR50+BS50)/2)))^2/(2*9.81)+B50-(E49+(C49/(DATOS!$B$14*E49))^2/(2*9.81)+B49+0.5*(((DATOS!$B$27*C49/(DATOS!$B$14*E49))^2/((DATOS!$B$14*E49)/(DATOS!$B$14+2*E49))^(4/3))+((DATOS!$B$27*C50/(DATOS!$B$14*((BR50+BS50)/2)))^2/((DATOS!$B$14*((BR50+BS50)/2))/(DATOS!$B$14+2*((BR50+BS50)/2)))^(4/3)))*(A49-A50)))&lt;0,BS50,((BR50+BS50)/2))</f>
        <v/>
      </c>
    </row>
    <row r="51">
      <c r="A51" s="30" t="n">
        <v>52</v>
      </c>
      <c r="B51" s="21">
        <f>DATOS!$B$16-DATOS!$B$19*A51</f>
        <v/>
      </c>
      <c r="C51" s="21">
        <f>IF(A51&lt;CAUDALES!$B$13,CAUDALES!$D$12,IF(A51&lt;CAUDALES!$B$14,CAUDALES!$D$13,IF(A51&lt;CAUDALES!$B$15,CAUDALES!$D$14,CAUDALES!$D$15)))/1000</f>
        <v/>
      </c>
      <c r="D51" s="21">
        <f>(C51^2/(9.81*DATOS!$B$14^2))^(1/3)</f>
        <v/>
      </c>
      <c r="E51" s="29">
        <f>(BT51+BU51)/2</f>
        <v/>
      </c>
      <c r="F51" s="21">
        <f>B51+E51</f>
        <v/>
      </c>
      <c r="G51" s="17">
        <f>C51/(DATOS!$B$14*E51)</f>
        <v/>
      </c>
      <c r="H51" s="17">
        <f>G51/SQRT(9.81*E51)</f>
        <v/>
      </c>
      <c r="I51" s="21">
        <f>IF(A51&lt;=DATOS!$B$20,DATOS!$B$21-IF(AND(A51&gt;=DATOS!$B$23,A51&lt;DATOS!$B$24),DATOS!$B$25,DATOS!$B$22),B51+DATOS!$B$26)</f>
        <v/>
      </c>
      <c r="J51" s="17">
        <f>I51-B51</f>
        <v/>
      </c>
      <c r="K51" s="31">
        <f>E51/J51</f>
        <v/>
      </c>
      <c r="L51" s="21">
        <f>I51-F51</f>
        <v/>
      </c>
      <c r="M51" s="32">
        <f>IF(AND(K51&lt;=DATOS!$B$29,L51&gt;=DATOS!$B$30),"CUMPLE","NO CUMPLE")</f>
        <v/>
      </c>
      <c r="N51" s="13">
        <f>IF(A51&gt;DATOS!$B$20,"cubierto - tramo final",IF(AND(A51&gt;=DATOS!$B$23,A51&lt;DATOS!$B$24),"cubierto - camiones","cubierto"))</f>
        <v/>
      </c>
      <c r="P51" s="16">
        <f>D51*1.001</f>
        <v/>
      </c>
      <c r="Q51" s="16" t="n">
        <v>2</v>
      </c>
      <c r="R51" s="16">
        <f>IF((((P51+Q51)/2)+(C51/(DATOS!$B$14*((P51+Q51)/2)))^2/(2*9.81)+B51-(E50+(C50/(DATOS!$B$14*E50))^2/(2*9.81)+B50+0.5*(((DATOS!$B$27*C50/(DATOS!$B$14*E50))^2/((DATOS!$B$14*E50)/(DATOS!$B$14+2*E50))^(4/3))+((DATOS!$B$27*C51/(DATOS!$B$14*((P51+Q51)/2)))^2/((DATOS!$B$14*((P51+Q51)/2))/(DATOS!$B$14+2*((P51+Q51)/2)))^(4/3)))*(A50-A51)))&lt;0,((P51+Q51)/2),P51)</f>
        <v/>
      </c>
      <c r="S51" s="16">
        <f>IF((((P51+Q51)/2)+(C51/(DATOS!$B$14*((P51+Q51)/2)))^2/(2*9.81)+B51-(E50+(C50/(DATOS!$B$14*E50))^2/(2*9.81)+B50+0.5*(((DATOS!$B$27*C50/(DATOS!$B$14*E50))^2/((DATOS!$B$14*E50)/(DATOS!$B$14+2*E50))^(4/3))+((DATOS!$B$27*C51/(DATOS!$B$14*((P51+Q51)/2)))^2/((DATOS!$B$14*((P51+Q51)/2))/(DATOS!$B$14+2*((P51+Q51)/2)))^(4/3)))*(A50-A51)))&lt;0,Q51,((P51+Q51)/2))</f>
        <v/>
      </c>
      <c r="T51" s="16">
        <f>IF((((R51+S51)/2)+(C51/(DATOS!$B$14*((R51+S51)/2)))^2/(2*9.81)+B51-(E50+(C50/(DATOS!$B$14*E50))^2/(2*9.81)+B50+0.5*(((DATOS!$B$27*C50/(DATOS!$B$14*E50))^2/((DATOS!$B$14*E50)/(DATOS!$B$14+2*E50))^(4/3))+((DATOS!$B$27*C51/(DATOS!$B$14*((R51+S51)/2)))^2/((DATOS!$B$14*((R51+S51)/2))/(DATOS!$B$14+2*((R51+S51)/2)))^(4/3)))*(A50-A51)))&lt;0,((R51+S51)/2),R51)</f>
        <v/>
      </c>
      <c r="U51" s="16">
        <f>IF((((R51+S51)/2)+(C51/(DATOS!$B$14*((R51+S51)/2)))^2/(2*9.81)+B51-(E50+(C50/(DATOS!$B$14*E50))^2/(2*9.81)+B50+0.5*(((DATOS!$B$27*C50/(DATOS!$B$14*E50))^2/((DATOS!$B$14*E50)/(DATOS!$B$14+2*E50))^(4/3))+((DATOS!$B$27*C51/(DATOS!$B$14*((R51+S51)/2)))^2/((DATOS!$B$14*((R51+S51)/2))/(DATOS!$B$14+2*((R51+S51)/2)))^(4/3)))*(A50-A51)))&lt;0,S51,((R51+S51)/2))</f>
        <v/>
      </c>
      <c r="V51" s="16">
        <f>IF((((T51+U51)/2)+(C51/(DATOS!$B$14*((T51+U51)/2)))^2/(2*9.81)+B51-(E50+(C50/(DATOS!$B$14*E50))^2/(2*9.81)+B50+0.5*(((DATOS!$B$27*C50/(DATOS!$B$14*E50))^2/((DATOS!$B$14*E50)/(DATOS!$B$14+2*E50))^(4/3))+((DATOS!$B$27*C51/(DATOS!$B$14*((T51+U51)/2)))^2/((DATOS!$B$14*((T51+U51)/2))/(DATOS!$B$14+2*((T51+U51)/2)))^(4/3)))*(A50-A51)))&lt;0,((T51+U51)/2),T51)</f>
        <v/>
      </c>
      <c r="W51" s="16">
        <f>IF((((T51+U51)/2)+(C51/(DATOS!$B$14*((T51+U51)/2)))^2/(2*9.81)+B51-(E50+(C50/(DATOS!$B$14*E50))^2/(2*9.81)+B50+0.5*(((DATOS!$B$27*C50/(DATOS!$B$14*E50))^2/((DATOS!$B$14*E50)/(DATOS!$B$14+2*E50))^(4/3))+((DATOS!$B$27*C51/(DATOS!$B$14*((T51+U51)/2)))^2/((DATOS!$B$14*((T51+U51)/2))/(DATOS!$B$14+2*((T51+U51)/2)))^(4/3)))*(A50-A51)))&lt;0,U51,((T51+U51)/2))</f>
        <v/>
      </c>
      <c r="X51" s="16">
        <f>IF((((V51+W51)/2)+(C51/(DATOS!$B$14*((V51+W51)/2)))^2/(2*9.81)+B51-(E50+(C50/(DATOS!$B$14*E50))^2/(2*9.81)+B50+0.5*(((DATOS!$B$27*C50/(DATOS!$B$14*E50))^2/((DATOS!$B$14*E50)/(DATOS!$B$14+2*E50))^(4/3))+((DATOS!$B$27*C51/(DATOS!$B$14*((V51+W51)/2)))^2/((DATOS!$B$14*((V51+W51)/2))/(DATOS!$B$14+2*((V51+W51)/2)))^(4/3)))*(A50-A51)))&lt;0,((V51+W51)/2),V51)</f>
        <v/>
      </c>
      <c r="Y51" s="16">
        <f>IF((((V51+W51)/2)+(C51/(DATOS!$B$14*((V51+W51)/2)))^2/(2*9.81)+B51-(E50+(C50/(DATOS!$B$14*E50))^2/(2*9.81)+B50+0.5*(((DATOS!$B$27*C50/(DATOS!$B$14*E50))^2/((DATOS!$B$14*E50)/(DATOS!$B$14+2*E50))^(4/3))+((DATOS!$B$27*C51/(DATOS!$B$14*((V51+W51)/2)))^2/((DATOS!$B$14*((V51+W51)/2))/(DATOS!$B$14+2*((V51+W51)/2)))^(4/3)))*(A50-A51)))&lt;0,W51,((V51+W51)/2))</f>
        <v/>
      </c>
      <c r="Z51" s="16">
        <f>IF((((X51+Y51)/2)+(C51/(DATOS!$B$14*((X51+Y51)/2)))^2/(2*9.81)+B51-(E50+(C50/(DATOS!$B$14*E50))^2/(2*9.81)+B50+0.5*(((DATOS!$B$27*C50/(DATOS!$B$14*E50))^2/((DATOS!$B$14*E50)/(DATOS!$B$14+2*E50))^(4/3))+((DATOS!$B$27*C51/(DATOS!$B$14*((X51+Y51)/2)))^2/((DATOS!$B$14*((X51+Y51)/2))/(DATOS!$B$14+2*((X51+Y51)/2)))^(4/3)))*(A50-A51)))&lt;0,((X51+Y51)/2),X51)</f>
        <v/>
      </c>
      <c r="AA51" s="16">
        <f>IF((((X51+Y51)/2)+(C51/(DATOS!$B$14*((X51+Y51)/2)))^2/(2*9.81)+B51-(E50+(C50/(DATOS!$B$14*E50))^2/(2*9.81)+B50+0.5*(((DATOS!$B$27*C50/(DATOS!$B$14*E50))^2/((DATOS!$B$14*E50)/(DATOS!$B$14+2*E50))^(4/3))+((DATOS!$B$27*C51/(DATOS!$B$14*((X51+Y51)/2)))^2/((DATOS!$B$14*((X51+Y51)/2))/(DATOS!$B$14+2*((X51+Y51)/2)))^(4/3)))*(A50-A51)))&lt;0,Y51,((X51+Y51)/2))</f>
        <v/>
      </c>
      <c r="AB51" s="16">
        <f>IF((((Z51+AA51)/2)+(C51/(DATOS!$B$14*((Z51+AA51)/2)))^2/(2*9.81)+B51-(E50+(C50/(DATOS!$B$14*E50))^2/(2*9.81)+B50+0.5*(((DATOS!$B$27*C50/(DATOS!$B$14*E50))^2/((DATOS!$B$14*E50)/(DATOS!$B$14+2*E50))^(4/3))+((DATOS!$B$27*C51/(DATOS!$B$14*((Z51+AA51)/2)))^2/((DATOS!$B$14*((Z51+AA51)/2))/(DATOS!$B$14+2*((Z51+AA51)/2)))^(4/3)))*(A50-A51)))&lt;0,((Z51+AA51)/2),Z51)</f>
        <v/>
      </c>
      <c r="AC51" s="16">
        <f>IF((((Z51+AA51)/2)+(C51/(DATOS!$B$14*((Z51+AA51)/2)))^2/(2*9.81)+B51-(E50+(C50/(DATOS!$B$14*E50))^2/(2*9.81)+B50+0.5*(((DATOS!$B$27*C50/(DATOS!$B$14*E50))^2/((DATOS!$B$14*E50)/(DATOS!$B$14+2*E50))^(4/3))+((DATOS!$B$27*C51/(DATOS!$B$14*((Z51+AA51)/2)))^2/((DATOS!$B$14*((Z51+AA51)/2))/(DATOS!$B$14+2*((Z51+AA51)/2)))^(4/3)))*(A50-A51)))&lt;0,AA51,((Z51+AA51)/2))</f>
        <v/>
      </c>
      <c r="AD51" s="16">
        <f>IF((((AB51+AC51)/2)+(C51/(DATOS!$B$14*((AB51+AC51)/2)))^2/(2*9.81)+B51-(E50+(C50/(DATOS!$B$14*E50))^2/(2*9.81)+B50+0.5*(((DATOS!$B$27*C50/(DATOS!$B$14*E50))^2/((DATOS!$B$14*E50)/(DATOS!$B$14+2*E50))^(4/3))+((DATOS!$B$27*C51/(DATOS!$B$14*((AB51+AC51)/2)))^2/((DATOS!$B$14*((AB51+AC51)/2))/(DATOS!$B$14+2*((AB51+AC51)/2)))^(4/3)))*(A50-A51)))&lt;0,((AB51+AC51)/2),AB51)</f>
        <v/>
      </c>
      <c r="AE51" s="16">
        <f>IF((((AB51+AC51)/2)+(C51/(DATOS!$B$14*((AB51+AC51)/2)))^2/(2*9.81)+B51-(E50+(C50/(DATOS!$B$14*E50))^2/(2*9.81)+B50+0.5*(((DATOS!$B$27*C50/(DATOS!$B$14*E50))^2/((DATOS!$B$14*E50)/(DATOS!$B$14+2*E50))^(4/3))+((DATOS!$B$27*C51/(DATOS!$B$14*((AB51+AC51)/2)))^2/((DATOS!$B$14*((AB51+AC51)/2))/(DATOS!$B$14+2*((AB51+AC51)/2)))^(4/3)))*(A50-A51)))&lt;0,AC51,((AB51+AC51)/2))</f>
        <v/>
      </c>
      <c r="AF51" s="16">
        <f>IF((((AD51+AE51)/2)+(C51/(DATOS!$B$14*((AD51+AE51)/2)))^2/(2*9.81)+B51-(E50+(C50/(DATOS!$B$14*E50))^2/(2*9.81)+B50+0.5*(((DATOS!$B$27*C50/(DATOS!$B$14*E50))^2/((DATOS!$B$14*E50)/(DATOS!$B$14+2*E50))^(4/3))+((DATOS!$B$27*C51/(DATOS!$B$14*((AD51+AE51)/2)))^2/((DATOS!$B$14*((AD51+AE51)/2))/(DATOS!$B$14+2*((AD51+AE51)/2)))^(4/3)))*(A50-A51)))&lt;0,((AD51+AE51)/2),AD51)</f>
        <v/>
      </c>
      <c r="AG51" s="16">
        <f>IF((((AD51+AE51)/2)+(C51/(DATOS!$B$14*((AD51+AE51)/2)))^2/(2*9.81)+B51-(E50+(C50/(DATOS!$B$14*E50))^2/(2*9.81)+B50+0.5*(((DATOS!$B$27*C50/(DATOS!$B$14*E50))^2/((DATOS!$B$14*E50)/(DATOS!$B$14+2*E50))^(4/3))+((DATOS!$B$27*C51/(DATOS!$B$14*((AD51+AE51)/2)))^2/((DATOS!$B$14*((AD51+AE51)/2))/(DATOS!$B$14+2*((AD51+AE51)/2)))^(4/3)))*(A50-A51)))&lt;0,AE51,((AD51+AE51)/2))</f>
        <v/>
      </c>
      <c r="AH51" s="16">
        <f>IF((((AF51+AG51)/2)+(C51/(DATOS!$B$14*((AF51+AG51)/2)))^2/(2*9.81)+B51-(E50+(C50/(DATOS!$B$14*E50))^2/(2*9.81)+B50+0.5*(((DATOS!$B$27*C50/(DATOS!$B$14*E50))^2/((DATOS!$B$14*E50)/(DATOS!$B$14+2*E50))^(4/3))+((DATOS!$B$27*C51/(DATOS!$B$14*((AF51+AG51)/2)))^2/((DATOS!$B$14*((AF51+AG51)/2))/(DATOS!$B$14+2*((AF51+AG51)/2)))^(4/3)))*(A50-A51)))&lt;0,((AF51+AG51)/2),AF51)</f>
        <v/>
      </c>
      <c r="AI51" s="16">
        <f>IF((((AF51+AG51)/2)+(C51/(DATOS!$B$14*((AF51+AG51)/2)))^2/(2*9.81)+B51-(E50+(C50/(DATOS!$B$14*E50))^2/(2*9.81)+B50+0.5*(((DATOS!$B$27*C50/(DATOS!$B$14*E50))^2/((DATOS!$B$14*E50)/(DATOS!$B$14+2*E50))^(4/3))+((DATOS!$B$27*C51/(DATOS!$B$14*((AF51+AG51)/2)))^2/((DATOS!$B$14*((AF51+AG51)/2))/(DATOS!$B$14+2*((AF51+AG51)/2)))^(4/3)))*(A50-A51)))&lt;0,AG51,((AF51+AG51)/2))</f>
        <v/>
      </c>
      <c r="AJ51" s="16">
        <f>IF((((AH51+AI51)/2)+(C51/(DATOS!$B$14*((AH51+AI51)/2)))^2/(2*9.81)+B51-(E50+(C50/(DATOS!$B$14*E50))^2/(2*9.81)+B50+0.5*(((DATOS!$B$27*C50/(DATOS!$B$14*E50))^2/((DATOS!$B$14*E50)/(DATOS!$B$14+2*E50))^(4/3))+((DATOS!$B$27*C51/(DATOS!$B$14*((AH51+AI51)/2)))^2/((DATOS!$B$14*((AH51+AI51)/2))/(DATOS!$B$14+2*((AH51+AI51)/2)))^(4/3)))*(A50-A51)))&lt;0,((AH51+AI51)/2),AH51)</f>
        <v/>
      </c>
      <c r="AK51" s="16">
        <f>IF((((AH51+AI51)/2)+(C51/(DATOS!$B$14*((AH51+AI51)/2)))^2/(2*9.81)+B51-(E50+(C50/(DATOS!$B$14*E50))^2/(2*9.81)+B50+0.5*(((DATOS!$B$27*C50/(DATOS!$B$14*E50))^2/((DATOS!$B$14*E50)/(DATOS!$B$14+2*E50))^(4/3))+((DATOS!$B$27*C51/(DATOS!$B$14*((AH51+AI51)/2)))^2/((DATOS!$B$14*((AH51+AI51)/2))/(DATOS!$B$14+2*((AH51+AI51)/2)))^(4/3)))*(A50-A51)))&lt;0,AI51,((AH51+AI51)/2))</f>
        <v/>
      </c>
      <c r="AL51" s="16">
        <f>IF((((AJ51+AK51)/2)+(C51/(DATOS!$B$14*((AJ51+AK51)/2)))^2/(2*9.81)+B51-(E50+(C50/(DATOS!$B$14*E50))^2/(2*9.81)+B50+0.5*(((DATOS!$B$27*C50/(DATOS!$B$14*E50))^2/((DATOS!$B$14*E50)/(DATOS!$B$14+2*E50))^(4/3))+((DATOS!$B$27*C51/(DATOS!$B$14*((AJ51+AK51)/2)))^2/((DATOS!$B$14*((AJ51+AK51)/2))/(DATOS!$B$14+2*((AJ51+AK51)/2)))^(4/3)))*(A50-A51)))&lt;0,((AJ51+AK51)/2),AJ51)</f>
        <v/>
      </c>
      <c r="AM51" s="16">
        <f>IF((((AJ51+AK51)/2)+(C51/(DATOS!$B$14*((AJ51+AK51)/2)))^2/(2*9.81)+B51-(E50+(C50/(DATOS!$B$14*E50))^2/(2*9.81)+B50+0.5*(((DATOS!$B$27*C50/(DATOS!$B$14*E50))^2/((DATOS!$B$14*E50)/(DATOS!$B$14+2*E50))^(4/3))+((DATOS!$B$27*C51/(DATOS!$B$14*((AJ51+AK51)/2)))^2/((DATOS!$B$14*((AJ51+AK51)/2))/(DATOS!$B$14+2*((AJ51+AK51)/2)))^(4/3)))*(A50-A51)))&lt;0,AK51,((AJ51+AK51)/2))</f>
        <v/>
      </c>
      <c r="AN51" s="16">
        <f>IF((((AL51+AM51)/2)+(C51/(DATOS!$B$14*((AL51+AM51)/2)))^2/(2*9.81)+B51-(E50+(C50/(DATOS!$B$14*E50))^2/(2*9.81)+B50+0.5*(((DATOS!$B$27*C50/(DATOS!$B$14*E50))^2/((DATOS!$B$14*E50)/(DATOS!$B$14+2*E50))^(4/3))+((DATOS!$B$27*C51/(DATOS!$B$14*((AL51+AM51)/2)))^2/((DATOS!$B$14*((AL51+AM51)/2))/(DATOS!$B$14+2*((AL51+AM51)/2)))^(4/3)))*(A50-A51)))&lt;0,((AL51+AM51)/2),AL51)</f>
        <v/>
      </c>
      <c r="AO51" s="16">
        <f>IF((((AL51+AM51)/2)+(C51/(DATOS!$B$14*((AL51+AM51)/2)))^2/(2*9.81)+B51-(E50+(C50/(DATOS!$B$14*E50))^2/(2*9.81)+B50+0.5*(((DATOS!$B$27*C50/(DATOS!$B$14*E50))^2/((DATOS!$B$14*E50)/(DATOS!$B$14+2*E50))^(4/3))+((DATOS!$B$27*C51/(DATOS!$B$14*((AL51+AM51)/2)))^2/((DATOS!$B$14*((AL51+AM51)/2))/(DATOS!$B$14+2*((AL51+AM51)/2)))^(4/3)))*(A50-A51)))&lt;0,AM51,((AL51+AM51)/2))</f>
        <v/>
      </c>
      <c r="AP51" s="16">
        <f>IF((((AN51+AO51)/2)+(C51/(DATOS!$B$14*((AN51+AO51)/2)))^2/(2*9.81)+B51-(E50+(C50/(DATOS!$B$14*E50))^2/(2*9.81)+B50+0.5*(((DATOS!$B$27*C50/(DATOS!$B$14*E50))^2/((DATOS!$B$14*E50)/(DATOS!$B$14+2*E50))^(4/3))+((DATOS!$B$27*C51/(DATOS!$B$14*((AN51+AO51)/2)))^2/((DATOS!$B$14*((AN51+AO51)/2))/(DATOS!$B$14+2*((AN51+AO51)/2)))^(4/3)))*(A50-A51)))&lt;0,((AN51+AO51)/2),AN51)</f>
        <v/>
      </c>
      <c r="AQ51" s="16">
        <f>IF((((AN51+AO51)/2)+(C51/(DATOS!$B$14*((AN51+AO51)/2)))^2/(2*9.81)+B51-(E50+(C50/(DATOS!$B$14*E50))^2/(2*9.81)+B50+0.5*(((DATOS!$B$27*C50/(DATOS!$B$14*E50))^2/((DATOS!$B$14*E50)/(DATOS!$B$14+2*E50))^(4/3))+((DATOS!$B$27*C51/(DATOS!$B$14*((AN51+AO51)/2)))^2/((DATOS!$B$14*((AN51+AO51)/2))/(DATOS!$B$14+2*((AN51+AO51)/2)))^(4/3)))*(A50-A51)))&lt;0,AO51,((AN51+AO51)/2))</f>
        <v/>
      </c>
      <c r="AR51" s="16">
        <f>IF((((AP51+AQ51)/2)+(C51/(DATOS!$B$14*((AP51+AQ51)/2)))^2/(2*9.81)+B51-(E50+(C50/(DATOS!$B$14*E50))^2/(2*9.81)+B50+0.5*(((DATOS!$B$27*C50/(DATOS!$B$14*E50))^2/((DATOS!$B$14*E50)/(DATOS!$B$14+2*E50))^(4/3))+((DATOS!$B$27*C51/(DATOS!$B$14*((AP51+AQ51)/2)))^2/((DATOS!$B$14*((AP51+AQ51)/2))/(DATOS!$B$14+2*((AP51+AQ51)/2)))^(4/3)))*(A50-A51)))&lt;0,((AP51+AQ51)/2),AP51)</f>
        <v/>
      </c>
      <c r="AS51" s="16">
        <f>IF((((AP51+AQ51)/2)+(C51/(DATOS!$B$14*((AP51+AQ51)/2)))^2/(2*9.81)+B51-(E50+(C50/(DATOS!$B$14*E50))^2/(2*9.81)+B50+0.5*(((DATOS!$B$27*C50/(DATOS!$B$14*E50))^2/((DATOS!$B$14*E50)/(DATOS!$B$14+2*E50))^(4/3))+((DATOS!$B$27*C51/(DATOS!$B$14*((AP51+AQ51)/2)))^2/((DATOS!$B$14*((AP51+AQ51)/2))/(DATOS!$B$14+2*((AP51+AQ51)/2)))^(4/3)))*(A50-A51)))&lt;0,AQ51,((AP51+AQ51)/2))</f>
        <v/>
      </c>
      <c r="AT51" s="16">
        <f>IF((((AR51+AS51)/2)+(C51/(DATOS!$B$14*((AR51+AS51)/2)))^2/(2*9.81)+B51-(E50+(C50/(DATOS!$B$14*E50))^2/(2*9.81)+B50+0.5*(((DATOS!$B$27*C50/(DATOS!$B$14*E50))^2/((DATOS!$B$14*E50)/(DATOS!$B$14+2*E50))^(4/3))+((DATOS!$B$27*C51/(DATOS!$B$14*((AR51+AS51)/2)))^2/((DATOS!$B$14*((AR51+AS51)/2))/(DATOS!$B$14+2*((AR51+AS51)/2)))^(4/3)))*(A50-A51)))&lt;0,((AR51+AS51)/2),AR51)</f>
        <v/>
      </c>
      <c r="AU51" s="16">
        <f>IF((((AR51+AS51)/2)+(C51/(DATOS!$B$14*((AR51+AS51)/2)))^2/(2*9.81)+B51-(E50+(C50/(DATOS!$B$14*E50))^2/(2*9.81)+B50+0.5*(((DATOS!$B$27*C50/(DATOS!$B$14*E50))^2/((DATOS!$B$14*E50)/(DATOS!$B$14+2*E50))^(4/3))+((DATOS!$B$27*C51/(DATOS!$B$14*((AR51+AS51)/2)))^2/((DATOS!$B$14*((AR51+AS51)/2))/(DATOS!$B$14+2*((AR51+AS51)/2)))^(4/3)))*(A50-A51)))&lt;0,AS51,((AR51+AS51)/2))</f>
        <v/>
      </c>
      <c r="AV51" s="16">
        <f>IF((((AT51+AU51)/2)+(C51/(DATOS!$B$14*((AT51+AU51)/2)))^2/(2*9.81)+B51-(E50+(C50/(DATOS!$B$14*E50))^2/(2*9.81)+B50+0.5*(((DATOS!$B$27*C50/(DATOS!$B$14*E50))^2/((DATOS!$B$14*E50)/(DATOS!$B$14+2*E50))^(4/3))+((DATOS!$B$27*C51/(DATOS!$B$14*((AT51+AU51)/2)))^2/((DATOS!$B$14*((AT51+AU51)/2))/(DATOS!$B$14+2*((AT51+AU51)/2)))^(4/3)))*(A50-A51)))&lt;0,((AT51+AU51)/2),AT51)</f>
        <v/>
      </c>
      <c r="AW51" s="16">
        <f>IF((((AT51+AU51)/2)+(C51/(DATOS!$B$14*((AT51+AU51)/2)))^2/(2*9.81)+B51-(E50+(C50/(DATOS!$B$14*E50))^2/(2*9.81)+B50+0.5*(((DATOS!$B$27*C50/(DATOS!$B$14*E50))^2/((DATOS!$B$14*E50)/(DATOS!$B$14+2*E50))^(4/3))+((DATOS!$B$27*C51/(DATOS!$B$14*((AT51+AU51)/2)))^2/((DATOS!$B$14*((AT51+AU51)/2))/(DATOS!$B$14+2*((AT51+AU51)/2)))^(4/3)))*(A50-A51)))&lt;0,AU51,((AT51+AU51)/2))</f>
        <v/>
      </c>
      <c r="AX51" s="16">
        <f>IF((((AV51+AW51)/2)+(C51/(DATOS!$B$14*((AV51+AW51)/2)))^2/(2*9.81)+B51-(E50+(C50/(DATOS!$B$14*E50))^2/(2*9.81)+B50+0.5*(((DATOS!$B$27*C50/(DATOS!$B$14*E50))^2/((DATOS!$B$14*E50)/(DATOS!$B$14+2*E50))^(4/3))+((DATOS!$B$27*C51/(DATOS!$B$14*((AV51+AW51)/2)))^2/((DATOS!$B$14*((AV51+AW51)/2))/(DATOS!$B$14+2*((AV51+AW51)/2)))^(4/3)))*(A50-A51)))&lt;0,((AV51+AW51)/2),AV51)</f>
        <v/>
      </c>
      <c r="AY51" s="16">
        <f>IF((((AV51+AW51)/2)+(C51/(DATOS!$B$14*((AV51+AW51)/2)))^2/(2*9.81)+B51-(E50+(C50/(DATOS!$B$14*E50))^2/(2*9.81)+B50+0.5*(((DATOS!$B$27*C50/(DATOS!$B$14*E50))^2/((DATOS!$B$14*E50)/(DATOS!$B$14+2*E50))^(4/3))+((DATOS!$B$27*C51/(DATOS!$B$14*((AV51+AW51)/2)))^2/((DATOS!$B$14*((AV51+AW51)/2))/(DATOS!$B$14+2*((AV51+AW51)/2)))^(4/3)))*(A50-A51)))&lt;0,AW51,((AV51+AW51)/2))</f>
        <v/>
      </c>
      <c r="AZ51" s="16">
        <f>IF((((AX51+AY51)/2)+(C51/(DATOS!$B$14*((AX51+AY51)/2)))^2/(2*9.81)+B51-(E50+(C50/(DATOS!$B$14*E50))^2/(2*9.81)+B50+0.5*(((DATOS!$B$27*C50/(DATOS!$B$14*E50))^2/((DATOS!$B$14*E50)/(DATOS!$B$14+2*E50))^(4/3))+((DATOS!$B$27*C51/(DATOS!$B$14*((AX51+AY51)/2)))^2/((DATOS!$B$14*((AX51+AY51)/2))/(DATOS!$B$14+2*((AX51+AY51)/2)))^(4/3)))*(A50-A51)))&lt;0,((AX51+AY51)/2),AX51)</f>
        <v/>
      </c>
      <c r="BA51" s="16">
        <f>IF((((AX51+AY51)/2)+(C51/(DATOS!$B$14*((AX51+AY51)/2)))^2/(2*9.81)+B51-(E50+(C50/(DATOS!$B$14*E50))^2/(2*9.81)+B50+0.5*(((DATOS!$B$27*C50/(DATOS!$B$14*E50))^2/((DATOS!$B$14*E50)/(DATOS!$B$14+2*E50))^(4/3))+((DATOS!$B$27*C51/(DATOS!$B$14*((AX51+AY51)/2)))^2/((DATOS!$B$14*((AX51+AY51)/2))/(DATOS!$B$14+2*((AX51+AY51)/2)))^(4/3)))*(A50-A51)))&lt;0,AY51,((AX51+AY51)/2))</f>
        <v/>
      </c>
      <c r="BB51" s="16">
        <f>IF((((AZ51+BA51)/2)+(C51/(DATOS!$B$14*((AZ51+BA51)/2)))^2/(2*9.81)+B51-(E50+(C50/(DATOS!$B$14*E50))^2/(2*9.81)+B50+0.5*(((DATOS!$B$27*C50/(DATOS!$B$14*E50))^2/((DATOS!$B$14*E50)/(DATOS!$B$14+2*E50))^(4/3))+((DATOS!$B$27*C51/(DATOS!$B$14*((AZ51+BA51)/2)))^2/((DATOS!$B$14*((AZ51+BA51)/2))/(DATOS!$B$14+2*((AZ51+BA51)/2)))^(4/3)))*(A50-A51)))&lt;0,((AZ51+BA51)/2),AZ51)</f>
        <v/>
      </c>
      <c r="BC51" s="16">
        <f>IF((((AZ51+BA51)/2)+(C51/(DATOS!$B$14*((AZ51+BA51)/2)))^2/(2*9.81)+B51-(E50+(C50/(DATOS!$B$14*E50))^2/(2*9.81)+B50+0.5*(((DATOS!$B$27*C50/(DATOS!$B$14*E50))^2/((DATOS!$B$14*E50)/(DATOS!$B$14+2*E50))^(4/3))+((DATOS!$B$27*C51/(DATOS!$B$14*((AZ51+BA51)/2)))^2/((DATOS!$B$14*((AZ51+BA51)/2))/(DATOS!$B$14+2*((AZ51+BA51)/2)))^(4/3)))*(A50-A51)))&lt;0,BA51,((AZ51+BA51)/2))</f>
        <v/>
      </c>
      <c r="BD51" s="16">
        <f>IF((((BB51+BC51)/2)+(C51/(DATOS!$B$14*((BB51+BC51)/2)))^2/(2*9.81)+B51-(E50+(C50/(DATOS!$B$14*E50))^2/(2*9.81)+B50+0.5*(((DATOS!$B$27*C50/(DATOS!$B$14*E50))^2/((DATOS!$B$14*E50)/(DATOS!$B$14+2*E50))^(4/3))+((DATOS!$B$27*C51/(DATOS!$B$14*((BB51+BC51)/2)))^2/((DATOS!$B$14*((BB51+BC51)/2))/(DATOS!$B$14+2*((BB51+BC51)/2)))^(4/3)))*(A50-A51)))&lt;0,((BB51+BC51)/2),BB51)</f>
        <v/>
      </c>
      <c r="BE51" s="16">
        <f>IF((((BB51+BC51)/2)+(C51/(DATOS!$B$14*((BB51+BC51)/2)))^2/(2*9.81)+B51-(E50+(C50/(DATOS!$B$14*E50))^2/(2*9.81)+B50+0.5*(((DATOS!$B$27*C50/(DATOS!$B$14*E50))^2/((DATOS!$B$14*E50)/(DATOS!$B$14+2*E50))^(4/3))+((DATOS!$B$27*C51/(DATOS!$B$14*((BB51+BC51)/2)))^2/((DATOS!$B$14*((BB51+BC51)/2))/(DATOS!$B$14+2*((BB51+BC51)/2)))^(4/3)))*(A50-A51)))&lt;0,BC51,((BB51+BC51)/2))</f>
        <v/>
      </c>
      <c r="BF51" s="16">
        <f>IF((((BD51+BE51)/2)+(C51/(DATOS!$B$14*((BD51+BE51)/2)))^2/(2*9.81)+B51-(E50+(C50/(DATOS!$B$14*E50))^2/(2*9.81)+B50+0.5*(((DATOS!$B$27*C50/(DATOS!$B$14*E50))^2/((DATOS!$B$14*E50)/(DATOS!$B$14+2*E50))^(4/3))+((DATOS!$B$27*C51/(DATOS!$B$14*((BD51+BE51)/2)))^2/((DATOS!$B$14*((BD51+BE51)/2))/(DATOS!$B$14+2*((BD51+BE51)/2)))^(4/3)))*(A50-A51)))&lt;0,((BD51+BE51)/2),BD51)</f>
        <v/>
      </c>
      <c r="BG51" s="16">
        <f>IF((((BD51+BE51)/2)+(C51/(DATOS!$B$14*((BD51+BE51)/2)))^2/(2*9.81)+B51-(E50+(C50/(DATOS!$B$14*E50))^2/(2*9.81)+B50+0.5*(((DATOS!$B$27*C50/(DATOS!$B$14*E50))^2/((DATOS!$B$14*E50)/(DATOS!$B$14+2*E50))^(4/3))+((DATOS!$B$27*C51/(DATOS!$B$14*((BD51+BE51)/2)))^2/((DATOS!$B$14*((BD51+BE51)/2))/(DATOS!$B$14+2*((BD51+BE51)/2)))^(4/3)))*(A50-A51)))&lt;0,BE51,((BD51+BE51)/2))</f>
        <v/>
      </c>
      <c r="BH51" s="16">
        <f>IF((((BF51+BG51)/2)+(C51/(DATOS!$B$14*((BF51+BG51)/2)))^2/(2*9.81)+B51-(E50+(C50/(DATOS!$B$14*E50))^2/(2*9.81)+B50+0.5*(((DATOS!$B$27*C50/(DATOS!$B$14*E50))^2/((DATOS!$B$14*E50)/(DATOS!$B$14+2*E50))^(4/3))+((DATOS!$B$27*C51/(DATOS!$B$14*((BF51+BG51)/2)))^2/((DATOS!$B$14*((BF51+BG51)/2))/(DATOS!$B$14+2*((BF51+BG51)/2)))^(4/3)))*(A50-A51)))&lt;0,((BF51+BG51)/2),BF51)</f>
        <v/>
      </c>
      <c r="BI51" s="16">
        <f>IF((((BF51+BG51)/2)+(C51/(DATOS!$B$14*((BF51+BG51)/2)))^2/(2*9.81)+B51-(E50+(C50/(DATOS!$B$14*E50))^2/(2*9.81)+B50+0.5*(((DATOS!$B$27*C50/(DATOS!$B$14*E50))^2/((DATOS!$B$14*E50)/(DATOS!$B$14+2*E50))^(4/3))+((DATOS!$B$27*C51/(DATOS!$B$14*((BF51+BG51)/2)))^2/((DATOS!$B$14*((BF51+BG51)/2))/(DATOS!$B$14+2*((BF51+BG51)/2)))^(4/3)))*(A50-A51)))&lt;0,BG51,((BF51+BG51)/2))</f>
        <v/>
      </c>
      <c r="BJ51" s="16">
        <f>IF((((BH51+BI51)/2)+(C51/(DATOS!$B$14*((BH51+BI51)/2)))^2/(2*9.81)+B51-(E50+(C50/(DATOS!$B$14*E50))^2/(2*9.81)+B50+0.5*(((DATOS!$B$27*C50/(DATOS!$B$14*E50))^2/((DATOS!$B$14*E50)/(DATOS!$B$14+2*E50))^(4/3))+((DATOS!$B$27*C51/(DATOS!$B$14*((BH51+BI51)/2)))^2/((DATOS!$B$14*((BH51+BI51)/2))/(DATOS!$B$14+2*((BH51+BI51)/2)))^(4/3)))*(A50-A51)))&lt;0,((BH51+BI51)/2),BH51)</f>
        <v/>
      </c>
      <c r="BK51" s="16">
        <f>IF((((BH51+BI51)/2)+(C51/(DATOS!$B$14*((BH51+BI51)/2)))^2/(2*9.81)+B51-(E50+(C50/(DATOS!$B$14*E50))^2/(2*9.81)+B50+0.5*(((DATOS!$B$27*C50/(DATOS!$B$14*E50))^2/((DATOS!$B$14*E50)/(DATOS!$B$14+2*E50))^(4/3))+((DATOS!$B$27*C51/(DATOS!$B$14*((BH51+BI51)/2)))^2/((DATOS!$B$14*((BH51+BI51)/2))/(DATOS!$B$14+2*((BH51+BI51)/2)))^(4/3)))*(A50-A51)))&lt;0,BI51,((BH51+BI51)/2))</f>
        <v/>
      </c>
      <c r="BL51" s="16">
        <f>IF((((BJ51+BK51)/2)+(C51/(DATOS!$B$14*((BJ51+BK51)/2)))^2/(2*9.81)+B51-(E50+(C50/(DATOS!$B$14*E50))^2/(2*9.81)+B50+0.5*(((DATOS!$B$27*C50/(DATOS!$B$14*E50))^2/((DATOS!$B$14*E50)/(DATOS!$B$14+2*E50))^(4/3))+((DATOS!$B$27*C51/(DATOS!$B$14*((BJ51+BK51)/2)))^2/((DATOS!$B$14*((BJ51+BK51)/2))/(DATOS!$B$14+2*((BJ51+BK51)/2)))^(4/3)))*(A50-A51)))&lt;0,((BJ51+BK51)/2),BJ51)</f>
        <v/>
      </c>
      <c r="BM51" s="16">
        <f>IF((((BJ51+BK51)/2)+(C51/(DATOS!$B$14*((BJ51+BK51)/2)))^2/(2*9.81)+B51-(E50+(C50/(DATOS!$B$14*E50))^2/(2*9.81)+B50+0.5*(((DATOS!$B$27*C50/(DATOS!$B$14*E50))^2/((DATOS!$B$14*E50)/(DATOS!$B$14+2*E50))^(4/3))+((DATOS!$B$27*C51/(DATOS!$B$14*((BJ51+BK51)/2)))^2/((DATOS!$B$14*((BJ51+BK51)/2))/(DATOS!$B$14+2*((BJ51+BK51)/2)))^(4/3)))*(A50-A51)))&lt;0,BK51,((BJ51+BK51)/2))</f>
        <v/>
      </c>
      <c r="BN51" s="16">
        <f>IF((((BL51+BM51)/2)+(C51/(DATOS!$B$14*((BL51+BM51)/2)))^2/(2*9.81)+B51-(E50+(C50/(DATOS!$B$14*E50))^2/(2*9.81)+B50+0.5*(((DATOS!$B$27*C50/(DATOS!$B$14*E50))^2/((DATOS!$B$14*E50)/(DATOS!$B$14+2*E50))^(4/3))+((DATOS!$B$27*C51/(DATOS!$B$14*((BL51+BM51)/2)))^2/((DATOS!$B$14*((BL51+BM51)/2))/(DATOS!$B$14+2*((BL51+BM51)/2)))^(4/3)))*(A50-A51)))&lt;0,((BL51+BM51)/2),BL51)</f>
        <v/>
      </c>
      <c r="BO51" s="16">
        <f>IF((((BL51+BM51)/2)+(C51/(DATOS!$B$14*((BL51+BM51)/2)))^2/(2*9.81)+B51-(E50+(C50/(DATOS!$B$14*E50))^2/(2*9.81)+B50+0.5*(((DATOS!$B$27*C50/(DATOS!$B$14*E50))^2/((DATOS!$B$14*E50)/(DATOS!$B$14+2*E50))^(4/3))+((DATOS!$B$27*C51/(DATOS!$B$14*((BL51+BM51)/2)))^2/((DATOS!$B$14*((BL51+BM51)/2))/(DATOS!$B$14+2*((BL51+BM51)/2)))^(4/3)))*(A50-A51)))&lt;0,BM51,((BL51+BM51)/2))</f>
        <v/>
      </c>
      <c r="BP51" s="16">
        <f>IF((((BN51+BO51)/2)+(C51/(DATOS!$B$14*((BN51+BO51)/2)))^2/(2*9.81)+B51-(E50+(C50/(DATOS!$B$14*E50))^2/(2*9.81)+B50+0.5*(((DATOS!$B$27*C50/(DATOS!$B$14*E50))^2/((DATOS!$B$14*E50)/(DATOS!$B$14+2*E50))^(4/3))+((DATOS!$B$27*C51/(DATOS!$B$14*((BN51+BO51)/2)))^2/((DATOS!$B$14*((BN51+BO51)/2))/(DATOS!$B$14+2*((BN51+BO51)/2)))^(4/3)))*(A50-A51)))&lt;0,((BN51+BO51)/2),BN51)</f>
        <v/>
      </c>
      <c r="BQ51" s="16">
        <f>IF((((BN51+BO51)/2)+(C51/(DATOS!$B$14*((BN51+BO51)/2)))^2/(2*9.81)+B51-(E50+(C50/(DATOS!$B$14*E50))^2/(2*9.81)+B50+0.5*(((DATOS!$B$27*C50/(DATOS!$B$14*E50))^2/((DATOS!$B$14*E50)/(DATOS!$B$14+2*E50))^(4/3))+((DATOS!$B$27*C51/(DATOS!$B$14*((BN51+BO51)/2)))^2/((DATOS!$B$14*((BN51+BO51)/2))/(DATOS!$B$14+2*((BN51+BO51)/2)))^(4/3)))*(A50-A51)))&lt;0,BO51,((BN51+BO51)/2))</f>
        <v/>
      </c>
      <c r="BR51" s="16">
        <f>IF((((BP51+BQ51)/2)+(C51/(DATOS!$B$14*((BP51+BQ51)/2)))^2/(2*9.81)+B51-(E50+(C50/(DATOS!$B$14*E50))^2/(2*9.81)+B50+0.5*(((DATOS!$B$27*C50/(DATOS!$B$14*E50))^2/((DATOS!$B$14*E50)/(DATOS!$B$14+2*E50))^(4/3))+((DATOS!$B$27*C51/(DATOS!$B$14*((BP51+BQ51)/2)))^2/((DATOS!$B$14*((BP51+BQ51)/2))/(DATOS!$B$14+2*((BP51+BQ51)/2)))^(4/3)))*(A50-A51)))&lt;0,((BP51+BQ51)/2),BP51)</f>
        <v/>
      </c>
      <c r="BS51" s="16">
        <f>IF((((BP51+BQ51)/2)+(C51/(DATOS!$B$14*((BP51+BQ51)/2)))^2/(2*9.81)+B51-(E50+(C50/(DATOS!$B$14*E50))^2/(2*9.81)+B50+0.5*(((DATOS!$B$27*C50/(DATOS!$B$14*E50))^2/((DATOS!$B$14*E50)/(DATOS!$B$14+2*E50))^(4/3))+((DATOS!$B$27*C51/(DATOS!$B$14*((BP51+BQ51)/2)))^2/((DATOS!$B$14*((BP51+BQ51)/2))/(DATOS!$B$14+2*((BP51+BQ51)/2)))^(4/3)))*(A50-A51)))&lt;0,BQ51,((BP51+BQ51)/2))</f>
        <v/>
      </c>
      <c r="BT51" s="16">
        <f>IF((((BR51+BS51)/2)+(C51/(DATOS!$B$14*((BR51+BS51)/2)))^2/(2*9.81)+B51-(E50+(C50/(DATOS!$B$14*E50))^2/(2*9.81)+B50+0.5*(((DATOS!$B$27*C50/(DATOS!$B$14*E50))^2/((DATOS!$B$14*E50)/(DATOS!$B$14+2*E50))^(4/3))+((DATOS!$B$27*C51/(DATOS!$B$14*((BR51+BS51)/2)))^2/((DATOS!$B$14*((BR51+BS51)/2))/(DATOS!$B$14+2*((BR51+BS51)/2)))^(4/3)))*(A50-A51)))&lt;0,((BR51+BS51)/2),BR51)</f>
        <v/>
      </c>
      <c r="BU51" s="16">
        <f>IF((((BR51+BS51)/2)+(C51/(DATOS!$B$14*((BR51+BS51)/2)))^2/(2*9.81)+B51-(E50+(C50/(DATOS!$B$14*E50))^2/(2*9.81)+B50+0.5*(((DATOS!$B$27*C50/(DATOS!$B$14*E50))^2/((DATOS!$B$14*E50)/(DATOS!$B$14+2*E50))^(4/3))+((DATOS!$B$27*C51/(DATOS!$B$14*((BR51+BS51)/2)))^2/((DATOS!$B$14*((BR51+BS51)/2))/(DATOS!$B$14+2*((BR51+BS51)/2)))^(4/3)))*(A50-A51)))&lt;0,BS51,((BR51+BS51)/2))</f>
        <v/>
      </c>
    </row>
    <row r="52">
      <c r="A52" s="30" t="n">
        <v>50</v>
      </c>
      <c r="B52" s="21">
        <f>DATOS!$B$16-DATOS!$B$19*A52</f>
        <v/>
      </c>
      <c r="C52" s="21">
        <f>IF(A52&lt;CAUDALES!$B$13,CAUDALES!$D$12,IF(A52&lt;CAUDALES!$B$14,CAUDALES!$D$13,IF(A52&lt;CAUDALES!$B$15,CAUDALES!$D$14,CAUDALES!$D$15)))/1000</f>
        <v/>
      </c>
      <c r="D52" s="21">
        <f>(C52^2/(9.81*DATOS!$B$14^2))^(1/3)</f>
        <v/>
      </c>
      <c r="E52" s="29">
        <f>(BT52+BU52)/2</f>
        <v/>
      </c>
      <c r="F52" s="21">
        <f>B52+E52</f>
        <v/>
      </c>
      <c r="G52" s="17">
        <f>C52/(DATOS!$B$14*E52)</f>
        <v/>
      </c>
      <c r="H52" s="17">
        <f>G52/SQRT(9.81*E52)</f>
        <v/>
      </c>
      <c r="I52" s="21">
        <f>IF(A52&lt;=DATOS!$B$20,DATOS!$B$21-IF(AND(A52&gt;=DATOS!$B$23,A52&lt;DATOS!$B$24),DATOS!$B$25,DATOS!$B$22),B52+DATOS!$B$26)</f>
        <v/>
      </c>
      <c r="J52" s="17">
        <f>I52-B52</f>
        <v/>
      </c>
      <c r="K52" s="31">
        <f>E52/J52</f>
        <v/>
      </c>
      <c r="L52" s="21">
        <f>I52-F52</f>
        <v/>
      </c>
      <c r="M52" s="32">
        <f>IF(AND(K52&lt;=DATOS!$B$29,L52&gt;=DATOS!$B$30),"CUMPLE","NO CUMPLE")</f>
        <v/>
      </c>
      <c r="N52" s="13">
        <f>IF(A52&gt;DATOS!$B$20,"cubierto - tramo final",IF(AND(A52&gt;=DATOS!$B$23,A52&lt;DATOS!$B$24),"cubierto - camiones","cubierto"))</f>
        <v/>
      </c>
      <c r="P52" s="16">
        <f>D52*1.001</f>
        <v/>
      </c>
      <c r="Q52" s="16" t="n">
        <v>2</v>
      </c>
      <c r="R52" s="16">
        <f>IF((((P52+Q52)/2)+(C52/(DATOS!$B$14*((P52+Q52)/2)))^2/(2*9.81)+B52-(E51+(C51/(DATOS!$B$14*E51))^2/(2*9.81)+B51+0.5*(((DATOS!$B$27*C51/(DATOS!$B$14*E51))^2/((DATOS!$B$14*E51)/(DATOS!$B$14+2*E51))^(4/3))+((DATOS!$B$27*C52/(DATOS!$B$14*((P52+Q52)/2)))^2/((DATOS!$B$14*((P52+Q52)/2))/(DATOS!$B$14+2*((P52+Q52)/2)))^(4/3)))*(A51-A52)))&lt;0,((P52+Q52)/2),P52)</f>
        <v/>
      </c>
      <c r="S52" s="16">
        <f>IF((((P52+Q52)/2)+(C52/(DATOS!$B$14*((P52+Q52)/2)))^2/(2*9.81)+B52-(E51+(C51/(DATOS!$B$14*E51))^2/(2*9.81)+B51+0.5*(((DATOS!$B$27*C51/(DATOS!$B$14*E51))^2/((DATOS!$B$14*E51)/(DATOS!$B$14+2*E51))^(4/3))+((DATOS!$B$27*C52/(DATOS!$B$14*((P52+Q52)/2)))^2/((DATOS!$B$14*((P52+Q52)/2))/(DATOS!$B$14+2*((P52+Q52)/2)))^(4/3)))*(A51-A52)))&lt;0,Q52,((P52+Q52)/2))</f>
        <v/>
      </c>
      <c r="T52" s="16">
        <f>IF((((R52+S52)/2)+(C52/(DATOS!$B$14*((R52+S52)/2)))^2/(2*9.81)+B52-(E51+(C51/(DATOS!$B$14*E51))^2/(2*9.81)+B51+0.5*(((DATOS!$B$27*C51/(DATOS!$B$14*E51))^2/((DATOS!$B$14*E51)/(DATOS!$B$14+2*E51))^(4/3))+((DATOS!$B$27*C52/(DATOS!$B$14*((R52+S52)/2)))^2/((DATOS!$B$14*((R52+S52)/2))/(DATOS!$B$14+2*((R52+S52)/2)))^(4/3)))*(A51-A52)))&lt;0,((R52+S52)/2),R52)</f>
        <v/>
      </c>
      <c r="U52" s="16">
        <f>IF((((R52+S52)/2)+(C52/(DATOS!$B$14*((R52+S52)/2)))^2/(2*9.81)+B52-(E51+(C51/(DATOS!$B$14*E51))^2/(2*9.81)+B51+0.5*(((DATOS!$B$27*C51/(DATOS!$B$14*E51))^2/((DATOS!$B$14*E51)/(DATOS!$B$14+2*E51))^(4/3))+((DATOS!$B$27*C52/(DATOS!$B$14*((R52+S52)/2)))^2/((DATOS!$B$14*((R52+S52)/2))/(DATOS!$B$14+2*((R52+S52)/2)))^(4/3)))*(A51-A52)))&lt;0,S52,((R52+S52)/2))</f>
        <v/>
      </c>
      <c r="V52" s="16">
        <f>IF((((T52+U52)/2)+(C52/(DATOS!$B$14*((T52+U52)/2)))^2/(2*9.81)+B52-(E51+(C51/(DATOS!$B$14*E51))^2/(2*9.81)+B51+0.5*(((DATOS!$B$27*C51/(DATOS!$B$14*E51))^2/((DATOS!$B$14*E51)/(DATOS!$B$14+2*E51))^(4/3))+((DATOS!$B$27*C52/(DATOS!$B$14*((T52+U52)/2)))^2/((DATOS!$B$14*((T52+U52)/2))/(DATOS!$B$14+2*((T52+U52)/2)))^(4/3)))*(A51-A52)))&lt;0,((T52+U52)/2),T52)</f>
        <v/>
      </c>
      <c r="W52" s="16">
        <f>IF((((T52+U52)/2)+(C52/(DATOS!$B$14*((T52+U52)/2)))^2/(2*9.81)+B52-(E51+(C51/(DATOS!$B$14*E51))^2/(2*9.81)+B51+0.5*(((DATOS!$B$27*C51/(DATOS!$B$14*E51))^2/((DATOS!$B$14*E51)/(DATOS!$B$14+2*E51))^(4/3))+((DATOS!$B$27*C52/(DATOS!$B$14*((T52+U52)/2)))^2/((DATOS!$B$14*((T52+U52)/2))/(DATOS!$B$14+2*((T52+U52)/2)))^(4/3)))*(A51-A52)))&lt;0,U52,((T52+U52)/2))</f>
        <v/>
      </c>
      <c r="X52" s="16">
        <f>IF((((V52+W52)/2)+(C52/(DATOS!$B$14*((V52+W52)/2)))^2/(2*9.81)+B52-(E51+(C51/(DATOS!$B$14*E51))^2/(2*9.81)+B51+0.5*(((DATOS!$B$27*C51/(DATOS!$B$14*E51))^2/((DATOS!$B$14*E51)/(DATOS!$B$14+2*E51))^(4/3))+((DATOS!$B$27*C52/(DATOS!$B$14*((V52+W52)/2)))^2/((DATOS!$B$14*((V52+W52)/2))/(DATOS!$B$14+2*((V52+W52)/2)))^(4/3)))*(A51-A52)))&lt;0,((V52+W52)/2),V52)</f>
        <v/>
      </c>
      <c r="Y52" s="16">
        <f>IF((((V52+W52)/2)+(C52/(DATOS!$B$14*((V52+W52)/2)))^2/(2*9.81)+B52-(E51+(C51/(DATOS!$B$14*E51))^2/(2*9.81)+B51+0.5*(((DATOS!$B$27*C51/(DATOS!$B$14*E51))^2/((DATOS!$B$14*E51)/(DATOS!$B$14+2*E51))^(4/3))+((DATOS!$B$27*C52/(DATOS!$B$14*((V52+W52)/2)))^2/((DATOS!$B$14*((V52+W52)/2))/(DATOS!$B$14+2*((V52+W52)/2)))^(4/3)))*(A51-A52)))&lt;0,W52,((V52+W52)/2))</f>
        <v/>
      </c>
      <c r="Z52" s="16">
        <f>IF((((X52+Y52)/2)+(C52/(DATOS!$B$14*((X52+Y52)/2)))^2/(2*9.81)+B52-(E51+(C51/(DATOS!$B$14*E51))^2/(2*9.81)+B51+0.5*(((DATOS!$B$27*C51/(DATOS!$B$14*E51))^2/((DATOS!$B$14*E51)/(DATOS!$B$14+2*E51))^(4/3))+((DATOS!$B$27*C52/(DATOS!$B$14*((X52+Y52)/2)))^2/((DATOS!$B$14*((X52+Y52)/2))/(DATOS!$B$14+2*((X52+Y52)/2)))^(4/3)))*(A51-A52)))&lt;0,((X52+Y52)/2),X52)</f>
        <v/>
      </c>
      <c r="AA52" s="16">
        <f>IF((((X52+Y52)/2)+(C52/(DATOS!$B$14*((X52+Y52)/2)))^2/(2*9.81)+B52-(E51+(C51/(DATOS!$B$14*E51))^2/(2*9.81)+B51+0.5*(((DATOS!$B$27*C51/(DATOS!$B$14*E51))^2/((DATOS!$B$14*E51)/(DATOS!$B$14+2*E51))^(4/3))+((DATOS!$B$27*C52/(DATOS!$B$14*((X52+Y52)/2)))^2/((DATOS!$B$14*((X52+Y52)/2))/(DATOS!$B$14+2*((X52+Y52)/2)))^(4/3)))*(A51-A52)))&lt;0,Y52,((X52+Y52)/2))</f>
        <v/>
      </c>
      <c r="AB52" s="16">
        <f>IF((((Z52+AA52)/2)+(C52/(DATOS!$B$14*((Z52+AA52)/2)))^2/(2*9.81)+B52-(E51+(C51/(DATOS!$B$14*E51))^2/(2*9.81)+B51+0.5*(((DATOS!$B$27*C51/(DATOS!$B$14*E51))^2/((DATOS!$B$14*E51)/(DATOS!$B$14+2*E51))^(4/3))+((DATOS!$B$27*C52/(DATOS!$B$14*((Z52+AA52)/2)))^2/((DATOS!$B$14*((Z52+AA52)/2))/(DATOS!$B$14+2*((Z52+AA52)/2)))^(4/3)))*(A51-A52)))&lt;0,((Z52+AA52)/2),Z52)</f>
        <v/>
      </c>
      <c r="AC52" s="16">
        <f>IF((((Z52+AA52)/2)+(C52/(DATOS!$B$14*((Z52+AA52)/2)))^2/(2*9.81)+B52-(E51+(C51/(DATOS!$B$14*E51))^2/(2*9.81)+B51+0.5*(((DATOS!$B$27*C51/(DATOS!$B$14*E51))^2/((DATOS!$B$14*E51)/(DATOS!$B$14+2*E51))^(4/3))+((DATOS!$B$27*C52/(DATOS!$B$14*((Z52+AA52)/2)))^2/((DATOS!$B$14*((Z52+AA52)/2))/(DATOS!$B$14+2*((Z52+AA52)/2)))^(4/3)))*(A51-A52)))&lt;0,AA52,((Z52+AA52)/2))</f>
        <v/>
      </c>
      <c r="AD52" s="16">
        <f>IF((((AB52+AC52)/2)+(C52/(DATOS!$B$14*((AB52+AC52)/2)))^2/(2*9.81)+B52-(E51+(C51/(DATOS!$B$14*E51))^2/(2*9.81)+B51+0.5*(((DATOS!$B$27*C51/(DATOS!$B$14*E51))^2/((DATOS!$B$14*E51)/(DATOS!$B$14+2*E51))^(4/3))+((DATOS!$B$27*C52/(DATOS!$B$14*((AB52+AC52)/2)))^2/((DATOS!$B$14*((AB52+AC52)/2))/(DATOS!$B$14+2*((AB52+AC52)/2)))^(4/3)))*(A51-A52)))&lt;0,((AB52+AC52)/2),AB52)</f>
        <v/>
      </c>
      <c r="AE52" s="16">
        <f>IF((((AB52+AC52)/2)+(C52/(DATOS!$B$14*((AB52+AC52)/2)))^2/(2*9.81)+B52-(E51+(C51/(DATOS!$B$14*E51))^2/(2*9.81)+B51+0.5*(((DATOS!$B$27*C51/(DATOS!$B$14*E51))^2/((DATOS!$B$14*E51)/(DATOS!$B$14+2*E51))^(4/3))+((DATOS!$B$27*C52/(DATOS!$B$14*((AB52+AC52)/2)))^2/((DATOS!$B$14*((AB52+AC52)/2))/(DATOS!$B$14+2*((AB52+AC52)/2)))^(4/3)))*(A51-A52)))&lt;0,AC52,((AB52+AC52)/2))</f>
        <v/>
      </c>
      <c r="AF52" s="16">
        <f>IF((((AD52+AE52)/2)+(C52/(DATOS!$B$14*((AD52+AE52)/2)))^2/(2*9.81)+B52-(E51+(C51/(DATOS!$B$14*E51))^2/(2*9.81)+B51+0.5*(((DATOS!$B$27*C51/(DATOS!$B$14*E51))^2/((DATOS!$B$14*E51)/(DATOS!$B$14+2*E51))^(4/3))+((DATOS!$B$27*C52/(DATOS!$B$14*((AD52+AE52)/2)))^2/((DATOS!$B$14*((AD52+AE52)/2))/(DATOS!$B$14+2*((AD52+AE52)/2)))^(4/3)))*(A51-A52)))&lt;0,((AD52+AE52)/2),AD52)</f>
        <v/>
      </c>
      <c r="AG52" s="16">
        <f>IF((((AD52+AE52)/2)+(C52/(DATOS!$B$14*((AD52+AE52)/2)))^2/(2*9.81)+B52-(E51+(C51/(DATOS!$B$14*E51))^2/(2*9.81)+B51+0.5*(((DATOS!$B$27*C51/(DATOS!$B$14*E51))^2/((DATOS!$B$14*E51)/(DATOS!$B$14+2*E51))^(4/3))+((DATOS!$B$27*C52/(DATOS!$B$14*((AD52+AE52)/2)))^2/((DATOS!$B$14*((AD52+AE52)/2))/(DATOS!$B$14+2*((AD52+AE52)/2)))^(4/3)))*(A51-A52)))&lt;0,AE52,((AD52+AE52)/2))</f>
        <v/>
      </c>
      <c r="AH52" s="16">
        <f>IF((((AF52+AG52)/2)+(C52/(DATOS!$B$14*((AF52+AG52)/2)))^2/(2*9.81)+B52-(E51+(C51/(DATOS!$B$14*E51))^2/(2*9.81)+B51+0.5*(((DATOS!$B$27*C51/(DATOS!$B$14*E51))^2/((DATOS!$B$14*E51)/(DATOS!$B$14+2*E51))^(4/3))+((DATOS!$B$27*C52/(DATOS!$B$14*((AF52+AG52)/2)))^2/((DATOS!$B$14*((AF52+AG52)/2))/(DATOS!$B$14+2*((AF52+AG52)/2)))^(4/3)))*(A51-A52)))&lt;0,((AF52+AG52)/2),AF52)</f>
        <v/>
      </c>
      <c r="AI52" s="16">
        <f>IF((((AF52+AG52)/2)+(C52/(DATOS!$B$14*((AF52+AG52)/2)))^2/(2*9.81)+B52-(E51+(C51/(DATOS!$B$14*E51))^2/(2*9.81)+B51+0.5*(((DATOS!$B$27*C51/(DATOS!$B$14*E51))^2/((DATOS!$B$14*E51)/(DATOS!$B$14+2*E51))^(4/3))+((DATOS!$B$27*C52/(DATOS!$B$14*((AF52+AG52)/2)))^2/((DATOS!$B$14*((AF52+AG52)/2))/(DATOS!$B$14+2*((AF52+AG52)/2)))^(4/3)))*(A51-A52)))&lt;0,AG52,((AF52+AG52)/2))</f>
        <v/>
      </c>
      <c r="AJ52" s="16">
        <f>IF((((AH52+AI52)/2)+(C52/(DATOS!$B$14*((AH52+AI52)/2)))^2/(2*9.81)+B52-(E51+(C51/(DATOS!$B$14*E51))^2/(2*9.81)+B51+0.5*(((DATOS!$B$27*C51/(DATOS!$B$14*E51))^2/((DATOS!$B$14*E51)/(DATOS!$B$14+2*E51))^(4/3))+((DATOS!$B$27*C52/(DATOS!$B$14*((AH52+AI52)/2)))^2/((DATOS!$B$14*((AH52+AI52)/2))/(DATOS!$B$14+2*((AH52+AI52)/2)))^(4/3)))*(A51-A52)))&lt;0,((AH52+AI52)/2),AH52)</f>
        <v/>
      </c>
      <c r="AK52" s="16">
        <f>IF((((AH52+AI52)/2)+(C52/(DATOS!$B$14*((AH52+AI52)/2)))^2/(2*9.81)+B52-(E51+(C51/(DATOS!$B$14*E51))^2/(2*9.81)+B51+0.5*(((DATOS!$B$27*C51/(DATOS!$B$14*E51))^2/((DATOS!$B$14*E51)/(DATOS!$B$14+2*E51))^(4/3))+((DATOS!$B$27*C52/(DATOS!$B$14*((AH52+AI52)/2)))^2/((DATOS!$B$14*((AH52+AI52)/2))/(DATOS!$B$14+2*((AH52+AI52)/2)))^(4/3)))*(A51-A52)))&lt;0,AI52,((AH52+AI52)/2))</f>
        <v/>
      </c>
      <c r="AL52" s="16">
        <f>IF((((AJ52+AK52)/2)+(C52/(DATOS!$B$14*((AJ52+AK52)/2)))^2/(2*9.81)+B52-(E51+(C51/(DATOS!$B$14*E51))^2/(2*9.81)+B51+0.5*(((DATOS!$B$27*C51/(DATOS!$B$14*E51))^2/((DATOS!$B$14*E51)/(DATOS!$B$14+2*E51))^(4/3))+((DATOS!$B$27*C52/(DATOS!$B$14*((AJ52+AK52)/2)))^2/((DATOS!$B$14*((AJ52+AK52)/2))/(DATOS!$B$14+2*((AJ52+AK52)/2)))^(4/3)))*(A51-A52)))&lt;0,((AJ52+AK52)/2),AJ52)</f>
        <v/>
      </c>
      <c r="AM52" s="16">
        <f>IF((((AJ52+AK52)/2)+(C52/(DATOS!$B$14*((AJ52+AK52)/2)))^2/(2*9.81)+B52-(E51+(C51/(DATOS!$B$14*E51))^2/(2*9.81)+B51+0.5*(((DATOS!$B$27*C51/(DATOS!$B$14*E51))^2/((DATOS!$B$14*E51)/(DATOS!$B$14+2*E51))^(4/3))+((DATOS!$B$27*C52/(DATOS!$B$14*((AJ52+AK52)/2)))^2/((DATOS!$B$14*((AJ52+AK52)/2))/(DATOS!$B$14+2*((AJ52+AK52)/2)))^(4/3)))*(A51-A52)))&lt;0,AK52,((AJ52+AK52)/2))</f>
        <v/>
      </c>
      <c r="AN52" s="16">
        <f>IF((((AL52+AM52)/2)+(C52/(DATOS!$B$14*((AL52+AM52)/2)))^2/(2*9.81)+B52-(E51+(C51/(DATOS!$B$14*E51))^2/(2*9.81)+B51+0.5*(((DATOS!$B$27*C51/(DATOS!$B$14*E51))^2/((DATOS!$B$14*E51)/(DATOS!$B$14+2*E51))^(4/3))+((DATOS!$B$27*C52/(DATOS!$B$14*((AL52+AM52)/2)))^2/((DATOS!$B$14*((AL52+AM52)/2))/(DATOS!$B$14+2*((AL52+AM52)/2)))^(4/3)))*(A51-A52)))&lt;0,((AL52+AM52)/2),AL52)</f>
        <v/>
      </c>
      <c r="AO52" s="16">
        <f>IF((((AL52+AM52)/2)+(C52/(DATOS!$B$14*((AL52+AM52)/2)))^2/(2*9.81)+B52-(E51+(C51/(DATOS!$B$14*E51))^2/(2*9.81)+B51+0.5*(((DATOS!$B$27*C51/(DATOS!$B$14*E51))^2/((DATOS!$B$14*E51)/(DATOS!$B$14+2*E51))^(4/3))+((DATOS!$B$27*C52/(DATOS!$B$14*((AL52+AM52)/2)))^2/((DATOS!$B$14*((AL52+AM52)/2))/(DATOS!$B$14+2*((AL52+AM52)/2)))^(4/3)))*(A51-A52)))&lt;0,AM52,((AL52+AM52)/2))</f>
        <v/>
      </c>
      <c r="AP52" s="16">
        <f>IF((((AN52+AO52)/2)+(C52/(DATOS!$B$14*((AN52+AO52)/2)))^2/(2*9.81)+B52-(E51+(C51/(DATOS!$B$14*E51))^2/(2*9.81)+B51+0.5*(((DATOS!$B$27*C51/(DATOS!$B$14*E51))^2/((DATOS!$B$14*E51)/(DATOS!$B$14+2*E51))^(4/3))+((DATOS!$B$27*C52/(DATOS!$B$14*((AN52+AO52)/2)))^2/((DATOS!$B$14*((AN52+AO52)/2))/(DATOS!$B$14+2*((AN52+AO52)/2)))^(4/3)))*(A51-A52)))&lt;0,((AN52+AO52)/2),AN52)</f>
        <v/>
      </c>
      <c r="AQ52" s="16">
        <f>IF((((AN52+AO52)/2)+(C52/(DATOS!$B$14*((AN52+AO52)/2)))^2/(2*9.81)+B52-(E51+(C51/(DATOS!$B$14*E51))^2/(2*9.81)+B51+0.5*(((DATOS!$B$27*C51/(DATOS!$B$14*E51))^2/((DATOS!$B$14*E51)/(DATOS!$B$14+2*E51))^(4/3))+((DATOS!$B$27*C52/(DATOS!$B$14*((AN52+AO52)/2)))^2/((DATOS!$B$14*((AN52+AO52)/2))/(DATOS!$B$14+2*((AN52+AO52)/2)))^(4/3)))*(A51-A52)))&lt;0,AO52,((AN52+AO52)/2))</f>
        <v/>
      </c>
      <c r="AR52" s="16">
        <f>IF((((AP52+AQ52)/2)+(C52/(DATOS!$B$14*((AP52+AQ52)/2)))^2/(2*9.81)+B52-(E51+(C51/(DATOS!$B$14*E51))^2/(2*9.81)+B51+0.5*(((DATOS!$B$27*C51/(DATOS!$B$14*E51))^2/((DATOS!$B$14*E51)/(DATOS!$B$14+2*E51))^(4/3))+((DATOS!$B$27*C52/(DATOS!$B$14*((AP52+AQ52)/2)))^2/((DATOS!$B$14*((AP52+AQ52)/2))/(DATOS!$B$14+2*((AP52+AQ52)/2)))^(4/3)))*(A51-A52)))&lt;0,((AP52+AQ52)/2),AP52)</f>
        <v/>
      </c>
      <c r="AS52" s="16">
        <f>IF((((AP52+AQ52)/2)+(C52/(DATOS!$B$14*((AP52+AQ52)/2)))^2/(2*9.81)+B52-(E51+(C51/(DATOS!$B$14*E51))^2/(2*9.81)+B51+0.5*(((DATOS!$B$27*C51/(DATOS!$B$14*E51))^2/((DATOS!$B$14*E51)/(DATOS!$B$14+2*E51))^(4/3))+((DATOS!$B$27*C52/(DATOS!$B$14*((AP52+AQ52)/2)))^2/((DATOS!$B$14*((AP52+AQ52)/2))/(DATOS!$B$14+2*((AP52+AQ52)/2)))^(4/3)))*(A51-A52)))&lt;0,AQ52,((AP52+AQ52)/2))</f>
        <v/>
      </c>
      <c r="AT52" s="16">
        <f>IF((((AR52+AS52)/2)+(C52/(DATOS!$B$14*((AR52+AS52)/2)))^2/(2*9.81)+B52-(E51+(C51/(DATOS!$B$14*E51))^2/(2*9.81)+B51+0.5*(((DATOS!$B$27*C51/(DATOS!$B$14*E51))^2/((DATOS!$B$14*E51)/(DATOS!$B$14+2*E51))^(4/3))+((DATOS!$B$27*C52/(DATOS!$B$14*((AR52+AS52)/2)))^2/((DATOS!$B$14*((AR52+AS52)/2))/(DATOS!$B$14+2*((AR52+AS52)/2)))^(4/3)))*(A51-A52)))&lt;0,((AR52+AS52)/2),AR52)</f>
        <v/>
      </c>
      <c r="AU52" s="16">
        <f>IF((((AR52+AS52)/2)+(C52/(DATOS!$B$14*((AR52+AS52)/2)))^2/(2*9.81)+B52-(E51+(C51/(DATOS!$B$14*E51))^2/(2*9.81)+B51+0.5*(((DATOS!$B$27*C51/(DATOS!$B$14*E51))^2/((DATOS!$B$14*E51)/(DATOS!$B$14+2*E51))^(4/3))+((DATOS!$B$27*C52/(DATOS!$B$14*((AR52+AS52)/2)))^2/((DATOS!$B$14*((AR52+AS52)/2))/(DATOS!$B$14+2*((AR52+AS52)/2)))^(4/3)))*(A51-A52)))&lt;0,AS52,((AR52+AS52)/2))</f>
        <v/>
      </c>
      <c r="AV52" s="16">
        <f>IF((((AT52+AU52)/2)+(C52/(DATOS!$B$14*((AT52+AU52)/2)))^2/(2*9.81)+B52-(E51+(C51/(DATOS!$B$14*E51))^2/(2*9.81)+B51+0.5*(((DATOS!$B$27*C51/(DATOS!$B$14*E51))^2/((DATOS!$B$14*E51)/(DATOS!$B$14+2*E51))^(4/3))+((DATOS!$B$27*C52/(DATOS!$B$14*((AT52+AU52)/2)))^2/((DATOS!$B$14*((AT52+AU52)/2))/(DATOS!$B$14+2*((AT52+AU52)/2)))^(4/3)))*(A51-A52)))&lt;0,((AT52+AU52)/2),AT52)</f>
        <v/>
      </c>
      <c r="AW52" s="16">
        <f>IF((((AT52+AU52)/2)+(C52/(DATOS!$B$14*((AT52+AU52)/2)))^2/(2*9.81)+B52-(E51+(C51/(DATOS!$B$14*E51))^2/(2*9.81)+B51+0.5*(((DATOS!$B$27*C51/(DATOS!$B$14*E51))^2/((DATOS!$B$14*E51)/(DATOS!$B$14+2*E51))^(4/3))+((DATOS!$B$27*C52/(DATOS!$B$14*((AT52+AU52)/2)))^2/((DATOS!$B$14*((AT52+AU52)/2))/(DATOS!$B$14+2*((AT52+AU52)/2)))^(4/3)))*(A51-A52)))&lt;0,AU52,((AT52+AU52)/2))</f>
        <v/>
      </c>
      <c r="AX52" s="16">
        <f>IF((((AV52+AW52)/2)+(C52/(DATOS!$B$14*((AV52+AW52)/2)))^2/(2*9.81)+B52-(E51+(C51/(DATOS!$B$14*E51))^2/(2*9.81)+B51+0.5*(((DATOS!$B$27*C51/(DATOS!$B$14*E51))^2/((DATOS!$B$14*E51)/(DATOS!$B$14+2*E51))^(4/3))+((DATOS!$B$27*C52/(DATOS!$B$14*((AV52+AW52)/2)))^2/((DATOS!$B$14*((AV52+AW52)/2))/(DATOS!$B$14+2*((AV52+AW52)/2)))^(4/3)))*(A51-A52)))&lt;0,((AV52+AW52)/2),AV52)</f>
        <v/>
      </c>
      <c r="AY52" s="16">
        <f>IF((((AV52+AW52)/2)+(C52/(DATOS!$B$14*((AV52+AW52)/2)))^2/(2*9.81)+B52-(E51+(C51/(DATOS!$B$14*E51))^2/(2*9.81)+B51+0.5*(((DATOS!$B$27*C51/(DATOS!$B$14*E51))^2/((DATOS!$B$14*E51)/(DATOS!$B$14+2*E51))^(4/3))+((DATOS!$B$27*C52/(DATOS!$B$14*((AV52+AW52)/2)))^2/((DATOS!$B$14*((AV52+AW52)/2))/(DATOS!$B$14+2*((AV52+AW52)/2)))^(4/3)))*(A51-A52)))&lt;0,AW52,((AV52+AW52)/2))</f>
        <v/>
      </c>
      <c r="AZ52" s="16">
        <f>IF((((AX52+AY52)/2)+(C52/(DATOS!$B$14*((AX52+AY52)/2)))^2/(2*9.81)+B52-(E51+(C51/(DATOS!$B$14*E51))^2/(2*9.81)+B51+0.5*(((DATOS!$B$27*C51/(DATOS!$B$14*E51))^2/((DATOS!$B$14*E51)/(DATOS!$B$14+2*E51))^(4/3))+((DATOS!$B$27*C52/(DATOS!$B$14*((AX52+AY52)/2)))^2/((DATOS!$B$14*((AX52+AY52)/2))/(DATOS!$B$14+2*((AX52+AY52)/2)))^(4/3)))*(A51-A52)))&lt;0,((AX52+AY52)/2),AX52)</f>
        <v/>
      </c>
      <c r="BA52" s="16">
        <f>IF((((AX52+AY52)/2)+(C52/(DATOS!$B$14*((AX52+AY52)/2)))^2/(2*9.81)+B52-(E51+(C51/(DATOS!$B$14*E51))^2/(2*9.81)+B51+0.5*(((DATOS!$B$27*C51/(DATOS!$B$14*E51))^2/((DATOS!$B$14*E51)/(DATOS!$B$14+2*E51))^(4/3))+((DATOS!$B$27*C52/(DATOS!$B$14*((AX52+AY52)/2)))^2/((DATOS!$B$14*((AX52+AY52)/2))/(DATOS!$B$14+2*((AX52+AY52)/2)))^(4/3)))*(A51-A52)))&lt;0,AY52,((AX52+AY52)/2))</f>
        <v/>
      </c>
      <c r="BB52" s="16">
        <f>IF((((AZ52+BA52)/2)+(C52/(DATOS!$B$14*((AZ52+BA52)/2)))^2/(2*9.81)+B52-(E51+(C51/(DATOS!$B$14*E51))^2/(2*9.81)+B51+0.5*(((DATOS!$B$27*C51/(DATOS!$B$14*E51))^2/((DATOS!$B$14*E51)/(DATOS!$B$14+2*E51))^(4/3))+((DATOS!$B$27*C52/(DATOS!$B$14*((AZ52+BA52)/2)))^2/((DATOS!$B$14*((AZ52+BA52)/2))/(DATOS!$B$14+2*((AZ52+BA52)/2)))^(4/3)))*(A51-A52)))&lt;0,((AZ52+BA52)/2),AZ52)</f>
        <v/>
      </c>
      <c r="BC52" s="16">
        <f>IF((((AZ52+BA52)/2)+(C52/(DATOS!$B$14*((AZ52+BA52)/2)))^2/(2*9.81)+B52-(E51+(C51/(DATOS!$B$14*E51))^2/(2*9.81)+B51+0.5*(((DATOS!$B$27*C51/(DATOS!$B$14*E51))^2/((DATOS!$B$14*E51)/(DATOS!$B$14+2*E51))^(4/3))+((DATOS!$B$27*C52/(DATOS!$B$14*((AZ52+BA52)/2)))^2/((DATOS!$B$14*((AZ52+BA52)/2))/(DATOS!$B$14+2*((AZ52+BA52)/2)))^(4/3)))*(A51-A52)))&lt;0,BA52,((AZ52+BA52)/2))</f>
        <v/>
      </c>
      <c r="BD52" s="16">
        <f>IF((((BB52+BC52)/2)+(C52/(DATOS!$B$14*((BB52+BC52)/2)))^2/(2*9.81)+B52-(E51+(C51/(DATOS!$B$14*E51))^2/(2*9.81)+B51+0.5*(((DATOS!$B$27*C51/(DATOS!$B$14*E51))^2/((DATOS!$B$14*E51)/(DATOS!$B$14+2*E51))^(4/3))+((DATOS!$B$27*C52/(DATOS!$B$14*((BB52+BC52)/2)))^2/((DATOS!$B$14*((BB52+BC52)/2))/(DATOS!$B$14+2*((BB52+BC52)/2)))^(4/3)))*(A51-A52)))&lt;0,((BB52+BC52)/2),BB52)</f>
        <v/>
      </c>
      <c r="BE52" s="16">
        <f>IF((((BB52+BC52)/2)+(C52/(DATOS!$B$14*((BB52+BC52)/2)))^2/(2*9.81)+B52-(E51+(C51/(DATOS!$B$14*E51))^2/(2*9.81)+B51+0.5*(((DATOS!$B$27*C51/(DATOS!$B$14*E51))^2/((DATOS!$B$14*E51)/(DATOS!$B$14+2*E51))^(4/3))+((DATOS!$B$27*C52/(DATOS!$B$14*((BB52+BC52)/2)))^2/((DATOS!$B$14*((BB52+BC52)/2))/(DATOS!$B$14+2*((BB52+BC52)/2)))^(4/3)))*(A51-A52)))&lt;0,BC52,((BB52+BC52)/2))</f>
        <v/>
      </c>
      <c r="BF52" s="16">
        <f>IF((((BD52+BE52)/2)+(C52/(DATOS!$B$14*((BD52+BE52)/2)))^2/(2*9.81)+B52-(E51+(C51/(DATOS!$B$14*E51))^2/(2*9.81)+B51+0.5*(((DATOS!$B$27*C51/(DATOS!$B$14*E51))^2/((DATOS!$B$14*E51)/(DATOS!$B$14+2*E51))^(4/3))+((DATOS!$B$27*C52/(DATOS!$B$14*((BD52+BE52)/2)))^2/((DATOS!$B$14*((BD52+BE52)/2))/(DATOS!$B$14+2*((BD52+BE52)/2)))^(4/3)))*(A51-A52)))&lt;0,((BD52+BE52)/2),BD52)</f>
        <v/>
      </c>
      <c r="BG52" s="16">
        <f>IF((((BD52+BE52)/2)+(C52/(DATOS!$B$14*((BD52+BE52)/2)))^2/(2*9.81)+B52-(E51+(C51/(DATOS!$B$14*E51))^2/(2*9.81)+B51+0.5*(((DATOS!$B$27*C51/(DATOS!$B$14*E51))^2/((DATOS!$B$14*E51)/(DATOS!$B$14+2*E51))^(4/3))+((DATOS!$B$27*C52/(DATOS!$B$14*((BD52+BE52)/2)))^2/((DATOS!$B$14*((BD52+BE52)/2))/(DATOS!$B$14+2*((BD52+BE52)/2)))^(4/3)))*(A51-A52)))&lt;0,BE52,((BD52+BE52)/2))</f>
        <v/>
      </c>
      <c r="BH52" s="16">
        <f>IF((((BF52+BG52)/2)+(C52/(DATOS!$B$14*((BF52+BG52)/2)))^2/(2*9.81)+B52-(E51+(C51/(DATOS!$B$14*E51))^2/(2*9.81)+B51+0.5*(((DATOS!$B$27*C51/(DATOS!$B$14*E51))^2/((DATOS!$B$14*E51)/(DATOS!$B$14+2*E51))^(4/3))+((DATOS!$B$27*C52/(DATOS!$B$14*((BF52+BG52)/2)))^2/((DATOS!$B$14*((BF52+BG52)/2))/(DATOS!$B$14+2*((BF52+BG52)/2)))^(4/3)))*(A51-A52)))&lt;0,((BF52+BG52)/2),BF52)</f>
        <v/>
      </c>
      <c r="BI52" s="16">
        <f>IF((((BF52+BG52)/2)+(C52/(DATOS!$B$14*((BF52+BG52)/2)))^2/(2*9.81)+B52-(E51+(C51/(DATOS!$B$14*E51))^2/(2*9.81)+B51+0.5*(((DATOS!$B$27*C51/(DATOS!$B$14*E51))^2/((DATOS!$B$14*E51)/(DATOS!$B$14+2*E51))^(4/3))+((DATOS!$B$27*C52/(DATOS!$B$14*((BF52+BG52)/2)))^2/((DATOS!$B$14*((BF52+BG52)/2))/(DATOS!$B$14+2*((BF52+BG52)/2)))^(4/3)))*(A51-A52)))&lt;0,BG52,((BF52+BG52)/2))</f>
        <v/>
      </c>
      <c r="BJ52" s="16">
        <f>IF((((BH52+BI52)/2)+(C52/(DATOS!$B$14*((BH52+BI52)/2)))^2/(2*9.81)+B52-(E51+(C51/(DATOS!$B$14*E51))^2/(2*9.81)+B51+0.5*(((DATOS!$B$27*C51/(DATOS!$B$14*E51))^2/((DATOS!$B$14*E51)/(DATOS!$B$14+2*E51))^(4/3))+((DATOS!$B$27*C52/(DATOS!$B$14*((BH52+BI52)/2)))^2/((DATOS!$B$14*((BH52+BI52)/2))/(DATOS!$B$14+2*((BH52+BI52)/2)))^(4/3)))*(A51-A52)))&lt;0,((BH52+BI52)/2),BH52)</f>
        <v/>
      </c>
      <c r="BK52" s="16">
        <f>IF((((BH52+BI52)/2)+(C52/(DATOS!$B$14*((BH52+BI52)/2)))^2/(2*9.81)+B52-(E51+(C51/(DATOS!$B$14*E51))^2/(2*9.81)+B51+0.5*(((DATOS!$B$27*C51/(DATOS!$B$14*E51))^2/((DATOS!$B$14*E51)/(DATOS!$B$14+2*E51))^(4/3))+((DATOS!$B$27*C52/(DATOS!$B$14*((BH52+BI52)/2)))^2/((DATOS!$B$14*((BH52+BI52)/2))/(DATOS!$B$14+2*((BH52+BI52)/2)))^(4/3)))*(A51-A52)))&lt;0,BI52,((BH52+BI52)/2))</f>
        <v/>
      </c>
      <c r="BL52" s="16">
        <f>IF((((BJ52+BK52)/2)+(C52/(DATOS!$B$14*((BJ52+BK52)/2)))^2/(2*9.81)+B52-(E51+(C51/(DATOS!$B$14*E51))^2/(2*9.81)+B51+0.5*(((DATOS!$B$27*C51/(DATOS!$B$14*E51))^2/((DATOS!$B$14*E51)/(DATOS!$B$14+2*E51))^(4/3))+((DATOS!$B$27*C52/(DATOS!$B$14*((BJ52+BK52)/2)))^2/((DATOS!$B$14*((BJ52+BK52)/2))/(DATOS!$B$14+2*((BJ52+BK52)/2)))^(4/3)))*(A51-A52)))&lt;0,((BJ52+BK52)/2),BJ52)</f>
        <v/>
      </c>
      <c r="BM52" s="16">
        <f>IF((((BJ52+BK52)/2)+(C52/(DATOS!$B$14*((BJ52+BK52)/2)))^2/(2*9.81)+B52-(E51+(C51/(DATOS!$B$14*E51))^2/(2*9.81)+B51+0.5*(((DATOS!$B$27*C51/(DATOS!$B$14*E51))^2/((DATOS!$B$14*E51)/(DATOS!$B$14+2*E51))^(4/3))+((DATOS!$B$27*C52/(DATOS!$B$14*((BJ52+BK52)/2)))^2/((DATOS!$B$14*((BJ52+BK52)/2))/(DATOS!$B$14+2*((BJ52+BK52)/2)))^(4/3)))*(A51-A52)))&lt;0,BK52,((BJ52+BK52)/2))</f>
        <v/>
      </c>
      <c r="BN52" s="16">
        <f>IF((((BL52+BM52)/2)+(C52/(DATOS!$B$14*((BL52+BM52)/2)))^2/(2*9.81)+B52-(E51+(C51/(DATOS!$B$14*E51))^2/(2*9.81)+B51+0.5*(((DATOS!$B$27*C51/(DATOS!$B$14*E51))^2/((DATOS!$B$14*E51)/(DATOS!$B$14+2*E51))^(4/3))+((DATOS!$B$27*C52/(DATOS!$B$14*((BL52+BM52)/2)))^2/((DATOS!$B$14*((BL52+BM52)/2))/(DATOS!$B$14+2*((BL52+BM52)/2)))^(4/3)))*(A51-A52)))&lt;0,((BL52+BM52)/2),BL52)</f>
        <v/>
      </c>
      <c r="BO52" s="16">
        <f>IF((((BL52+BM52)/2)+(C52/(DATOS!$B$14*((BL52+BM52)/2)))^2/(2*9.81)+B52-(E51+(C51/(DATOS!$B$14*E51))^2/(2*9.81)+B51+0.5*(((DATOS!$B$27*C51/(DATOS!$B$14*E51))^2/((DATOS!$B$14*E51)/(DATOS!$B$14+2*E51))^(4/3))+((DATOS!$B$27*C52/(DATOS!$B$14*((BL52+BM52)/2)))^2/((DATOS!$B$14*((BL52+BM52)/2))/(DATOS!$B$14+2*((BL52+BM52)/2)))^(4/3)))*(A51-A52)))&lt;0,BM52,((BL52+BM52)/2))</f>
        <v/>
      </c>
      <c r="BP52" s="16">
        <f>IF((((BN52+BO52)/2)+(C52/(DATOS!$B$14*((BN52+BO52)/2)))^2/(2*9.81)+B52-(E51+(C51/(DATOS!$B$14*E51))^2/(2*9.81)+B51+0.5*(((DATOS!$B$27*C51/(DATOS!$B$14*E51))^2/((DATOS!$B$14*E51)/(DATOS!$B$14+2*E51))^(4/3))+((DATOS!$B$27*C52/(DATOS!$B$14*((BN52+BO52)/2)))^2/((DATOS!$B$14*((BN52+BO52)/2))/(DATOS!$B$14+2*((BN52+BO52)/2)))^(4/3)))*(A51-A52)))&lt;0,((BN52+BO52)/2),BN52)</f>
        <v/>
      </c>
      <c r="BQ52" s="16">
        <f>IF((((BN52+BO52)/2)+(C52/(DATOS!$B$14*((BN52+BO52)/2)))^2/(2*9.81)+B52-(E51+(C51/(DATOS!$B$14*E51))^2/(2*9.81)+B51+0.5*(((DATOS!$B$27*C51/(DATOS!$B$14*E51))^2/((DATOS!$B$14*E51)/(DATOS!$B$14+2*E51))^(4/3))+((DATOS!$B$27*C52/(DATOS!$B$14*((BN52+BO52)/2)))^2/((DATOS!$B$14*((BN52+BO52)/2))/(DATOS!$B$14+2*((BN52+BO52)/2)))^(4/3)))*(A51-A52)))&lt;0,BO52,((BN52+BO52)/2))</f>
        <v/>
      </c>
      <c r="BR52" s="16">
        <f>IF((((BP52+BQ52)/2)+(C52/(DATOS!$B$14*((BP52+BQ52)/2)))^2/(2*9.81)+B52-(E51+(C51/(DATOS!$B$14*E51))^2/(2*9.81)+B51+0.5*(((DATOS!$B$27*C51/(DATOS!$B$14*E51))^2/((DATOS!$B$14*E51)/(DATOS!$B$14+2*E51))^(4/3))+((DATOS!$B$27*C52/(DATOS!$B$14*((BP52+BQ52)/2)))^2/((DATOS!$B$14*((BP52+BQ52)/2))/(DATOS!$B$14+2*((BP52+BQ52)/2)))^(4/3)))*(A51-A52)))&lt;0,((BP52+BQ52)/2),BP52)</f>
        <v/>
      </c>
      <c r="BS52" s="16">
        <f>IF((((BP52+BQ52)/2)+(C52/(DATOS!$B$14*((BP52+BQ52)/2)))^2/(2*9.81)+B52-(E51+(C51/(DATOS!$B$14*E51))^2/(2*9.81)+B51+0.5*(((DATOS!$B$27*C51/(DATOS!$B$14*E51))^2/((DATOS!$B$14*E51)/(DATOS!$B$14+2*E51))^(4/3))+((DATOS!$B$27*C52/(DATOS!$B$14*((BP52+BQ52)/2)))^2/((DATOS!$B$14*((BP52+BQ52)/2))/(DATOS!$B$14+2*((BP52+BQ52)/2)))^(4/3)))*(A51-A52)))&lt;0,BQ52,((BP52+BQ52)/2))</f>
        <v/>
      </c>
      <c r="BT52" s="16">
        <f>IF((((BR52+BS52)/2)+(C52/(DATOS!$B$14*((BR52+BS52)/2)))^2/(2*9.81)+B52-(E51+(C51/(DATOS!$B$14*E51))^2/(2*9.81)+B51+0.5*(((DATOS!$B$27*C51/(DATOS!$B$14*E51))^2/((DATOS!$B$14*E51)/(DATOS!$B$14+2*E51))^(4/3))+((DATOS!$B$27*C52/(DATOS!$B$14*((BR52+BS52)/2)))^2/((DATOS!$B$14*((BR52+BS52)/2))/(DATOS!$B$14+2*((BR52+BS52)/2)))^(4/3)))*(A51-A52)))&lt;0,((BR52+BS52)/2),BR52)</f>
        <v/>
      </c>
      <c r="BU52" s="16">
        <f>IF((((BR52+BS52)/2)+(C52/(DATOS!$B$14*((BR52+BS52)/2)))^2/(2*9.81)+B52-(E51+(C51/(DATOS!$B$14*E51))^2/(2*9.81)+B51+0.5*(((DATOS!$B$27*C51/(DATOS!$B$14*E51))^2/((DATOS!$B$14*E51)/(DATOS!$B$14+2*E51))^(4/3))+((DATOS!$B$27*C52/(DATOS!$B$14*((BR52+BS52)/2)))^2/((DATOS!$B$14*((BR52+BS52)/2))/(DATOS!$B$14+2*((BR52+BS52)/2)))^(4/3)))*(A51-A52)))&lt;0,BS52,((BR52+BS52)/2))</f>
        <v/>
      </c>
    </row>
    <row r="53">
      <c r="A53" s="30" t="n">
        <v>49.38</v>
      </c>
      <c r="B53" s="21">
        <f>DATOS!$B$16-DATOS!$B$19*A53</f>
        <v/>
      </c>
      <c r="C53" s="21">
        <f>IF(A53&lt;CAUDALES!$B$13,CAUDALES!$D$12,IF(A53&lt;CAUDALES!$B$14,CAUDALES!$D$13,IF(A53&lt;CAUDALES!$B$15,CAUDALES!$D$14,CAUDALES!$D$15)))/1000</f>
        <v/>
      </c>
      <c r="D53" s="21">
        <f>(C53^2/(9.81*DATOS!$B$14^2))^(1/3)</f>
        <v/>
      </c>
      <c r="E53" s="29">
        <f>(BT53+BU53)/2</f>
        <v/>
      </c>
      <c r="F53" s="21">
        <f>B53+E53</f>
        <v/>
      </c>
      <c r="G53" s="17">
        <f>C53/(DATOS!$B$14*E53)</f>
        <v/>
      </c>
      <c r="H53" s="17">
        <f>G53/SQRT(9.81*E53)</f>
        <v/>
      </c>
      <c r="I53" s="21">
        <f>IF(A53&lt;=DATOS!$B$20,DATOS!$B$21-IF(AND(A53&gt;=DATOS!$B$23,A53&lt;DATOS!$B$24),DATOS!$B$25,DATOS!$B$22),B53+DATOS!$B$26)</f>
        <v/>
      </c>
      <c r="J53" s="17">
        <f>I53-B53</f>
        <v/>
      </c>
      <c r="K53" s="31">
        <f>E53/J53</f>
        <v/>
      </c>
      <c r="L53" s="21">
        <f>I53-F53</f>
        <v/>
      </c>
      <c r="M53" s="32">
        <f>IF(AND(K53&lt;=DATOS!$B$29,L53&gt;=DATOS!$B$30),"CUMPLE","NO CUMPLE")</f>
        <v/>
      </c>
      <c r="N53" s="13">
        <f>IF(A53&gt;DATOS!$B$20,"cubierto - tramo final",IF(AND(A53&gt;=DATOS!$B$23,A53&lt;DATOS!$B$24),"cubierto - camiones","cubierto"))</f>
        <v/>
      </c>
      <c r="P53" s="16">
        <f>D53*1.001</f>
        <v/>
      </c>
      <c r="Q53" s="16" t="n">
        <v>2</v>
      </c>
      <c r="R53" s="16">
        <f>IF((((P53+Q53)/2)+(C53/(DATOS!$B$14*((P53+Q53)/2)))^2/(2*9.81)+B53-(E52+(C52/(DATOS!$B$14*E52))^2/(2*9.81)+B52+0.5*(((DATOS!$B$27*C52/(DATOS!$B$14*E52))^2/((DATOS!$B$14*E52)/(DATOS!$B$14+2*E52))^(4/3))+((DATOS!$B$27*C53/(DATOS!$B$14*((P53+Q53)/2)))^2/((DATOS!$B$14*((P53+Q53)/2))/(DATOS!$B$14+2*((P53+Q53)/2)))^(4/3)))*(A52-A53)))&lt;0,((P53+Q53)/2),P53)</f>
        <v/>
      </c>
      <c r="S53" s="16">
        <f>IF((((P53+Q53)/2)+(C53/(DATOS!$B$14*((P53+Q53)/2)))^2/(2*9.81)+B53-(E52+(C52/(DATOS!$B$14*E52))^2/(2*9.81)+B52+0.5*(((DATOS!$B$27*C52/(DATOS!$B$14*E52))^2/((DATOS!$B$14*E52)/(DATOS!$B$14+2*E52))^(4/3))+((DATOS!$B$27*C53/(DATOS!$B$14*((P53+Q53)/2)))^2/((DATOS!$B$14*((P53+Q53)/2))/(DATOS!$B$14+2*((P53+Q53)/2)))^(4/3)))*(A52-A53)))&lt;0,Q53,((P53+Q53)/2))</f>
        <v/>
      </c>
      <c r="T53" s="16">
        <f>IF((((R53+S53)/2)+(C53/(DATOS!$B$14*((R53+S53)/2)))^2/(2*9.81)+B53-(E52+(C52/(DATOS!$B$14*E52))^2/(2*9.81)+B52+0.5*(((DATOS!$B$27*C52/(DATOS!$B$14*E52))^2/((DATOS!$B$14*E52)/(DATOS!$B$14+2*E52))^(4/3))+((DATOS!$B$27*C53/(DATOS!$B$14*((R53+S53)/2)))^2/((DATOS!$B$14*((R53+S53)/2))/(DATOS!$B$14+2*((R53+S53)/2)))^(4/3)))*(A52-A53)))&lt;0,((R53+S53)/2),R53)</f>
        <v/>
      </c>
      <c r="U53" s="16">
        <f>IF((((R53+S53)/2)+(C53/(DATOS!$B$14*((R53+S53)/2)))^2/(2*9.81)+B53-(E52+(C52/(DATOS!$B$14*E52))^2/(2*9.81)+B52+0.5*(((DATOS!$B$27*C52/(DATOS!$B$14*E52))^2/((DATOS!$B$14*E52)/(DATOS!$B$14+2*E52))^(4/3))+((DATOS!$B$27*C53/(DATOS!$B$14*((R53+S53)/2)))^2/((DATOS!$B$14*((R53+S53)/2))/(DATOS!$B$14+2*((R53+S53)/2)))^(4/3)))*(A52-A53)))&lt;0,S53,((R53+S53)/2))</f>
        <v/>
      </c>
      <c r="V53" s="16">
        <f>IF((((T53+U53)/2)+(C53/(DATOS!$B$14*((T53+U53)/2)))^2/(2*9.81)+B53-(E52+(C52/(DATOS!$B$14*E52))^2/(2*9.81)+B52+0.5*(((DATOS!$B$27*C52/(DATOS!$B$14*E52))^2/((DATOS!$B$14*E52)/(DATOS!$B$14+2*E52))^(4/3))+((DATOS!$B$27*C53/(DATOS!$B$14*((T53+U53)/2)))^2/((DATOS!$B$14*((T53+U53)/2))/(DATOS!$B$14+2*((T53+U53)/2)))^(4/3)))*(A52-A53)))&lt;0,((T53+U53)/2),T53)</f>
        <v/>
      </c>
      <c r="W53" s="16">
        <f>IF((((T53+U53)/2)+(C53/(DATOS!$B$14*((T53+U53)/2)))^2/(2*9.81)+B53-(E52+(C52/(DATOS!$B$14*E52))^2/(2*9.81)+B52+0.5*(((DATOS!$B$27*C52/(DATOS!$B$14*E52))^2/((DATOS!$B$14*E52)/(DATOS!$B$14+2*E52))^(4/3))+((DATOS!$B$27*C53/(DATOS!$B$14*((T53+U53)/2)))^2/((DATOS!$B$14*((T53+U53)/2))/(DATOS!$B$14+2*((T53+U53)/2)))^(4/3)))*(A52-A53)))&lt;0,U53,((T53+U53)/2))</f>
        <v/>
      </c>
      <c r="X53" s="16">
        <f>IF((((V53+W53)/2)+(C53/(DATOS!$B$14*((V53+W53)/2)))^2/(2*9.81)+B53-(E52+(C52/(DATOS!$B$14*E52))^2/(2*9.81)+B52+0.5*(((DATOS!$B$27*C52/(DATOS!$B$14*E52))^2/((DATOS!$B$14*E52)/(DATOS!$B$14+2*E52))^(4/3))+((DATOS!$B$27*C53/(DATOS!$B$14*((V53+W53)/2)))^2/((DATOS!$B$14*((V53+W53)/2))/(DATOS!$B$14+2*((V53+W53)/2)))^(4/3)))*(A52-A53)))&lt;0,((V53+W53)/2),V53)</f>
        <v/>
      </c>
      <c r="Y53" s="16">
        <f>IF((((V53+W53)/2)+(C53/(DATOS!$B$14*((V53+W53)/2)))^2/(2*9.81)+B53-(E52+(C52/(DATOS!$B$14*E52))^2/(2*9.81)+B52+0.5*(((DATOS!$B$27*C52/(DATOS!$B$14*E52))^2/((DATOS!$B$14*E52)/(DATOS!$B$14+2*E52))^(4/3))+((DATOS!$B$27*C53/(DATOS!$B$14*((V53+W53)/2)))^2/((DATOS!$B$14*((V53+W53)/2))/(DATOS!$B$14+2*((V53+W53)/2)))^(4/3)))*(A52-A53)))&lt;0,W53,((V53+W53)/2))</f>
        <v/>
      </c>
      <c r="Z53" s="16">
        <f>IF((((X53+Y53)/2)+(C53/(DATOS!$B$14*((X53+Y53)/2)))^2/(2*9.81)+B53-(E52+(C52/(DATOS!$B$14*E52))^2/(2*9.81)+B52+0.5*(((DATOS!$B$27*C52/(DATOS!$B$14*E52))^2/((DATOS!$B$14*E52)/(DATOS!$B$14+2*E52))^(4/3))+((DATOS!$B$27*C53/(DATOS!$B$14*((X53+Y53)/2)))^2/((DATOS!$B$14*((X53+Y53)/2))/(DATOS!$B$14+2*((X53+Y53)/2)))^(4/3)))*(A52-A53)))&lt;0,((X53+Y53)/2),X53)</f>
        <v/>
      </c>
      <c r="AA53" s="16">
        <f>IF((((X53+Y53)/2)+(C53/(DATOS!$B$14*((X53+Y53)/2)))^2/(2*9.81)+B53-(E52+(C52/(DATOS!$B$14*E52))^2/(2*9.81)+B52+0.5*(((DATOS!$B$27*C52/(DATOS!$B$14*E52))^2/((DATOS!$B$14*E52)/(DATOS!$B$14+2*E52))^(4/3))+((DATOS!$B$27*C53/(DATOS!$B$14*((X53+Y53)/2)))^2/((DATOS!$B$14*((X53+Y53)/2))/(DATOS!$B$14+2*((X53+Y53)/2)))^(4/3)))*(A52-A53)))&lt;0,Y53,((X53+Y53)/2))</f>
        <v/>
      </c>
      <c r="AB53" s="16">
        <f>IF((((Z53+AA53)/2)+(C53/(DATOS!$B$14*((Z53+AA53)/2)))^2/(2*9.81)+B53-(E52+(C52/(DATOS!$B$14*E52))^2/(2*9.81)+B52+0.5*(((DATOS!$B$27*C52/(DATOS!$B$14*E52))^2/((DATOS!$B$14*E52)/(DATOS!$B$14+2*E52))^(4/3))+((DATOS!$B$27*C53/(DATOS!$B$14*((Z53+AA53)/2)))^2/((DATOS!$B$14*((Z53+AA53)/2))/(DATOS!$B$14+2*((Z53+AA53)/2)))^(4/3)))*(A52-A53)))&lt;0,((Z53+AA53)/2),Z53)</f>
        <v/>
      </c>
      <c r="AC53" s="16">
        <f>IF((((Z53+AA53)/2)+(C53/(DATOS!$B$14*((Z53+AA53)/2)))^2/(2*9.81)+B53-(E52+(C52/(DATOS!$B$14*E52))^2/(2*9.81)+B52+0.5*(((DATOS!$B$27*C52/(DATOS!$B$14*E52))^2/((DATOS!$B$14*E52)/(DATOS!$B$14+2*E52))^(4/3))+((DATOS!$B$27*C53/(DATOS!$B$14*((Z53+AA53)/2)))^2/((DATOS!$B$14*((Z53+AA53)/2))/(DATOS!$B$14+2*((Z53+AA53)/2)))^(4/3)))*(A52-A53)))&lt;0,AA53,((Z53+AA53)/2))</f>
        <v/>
      </c>
      <c r="AD53" s="16">
        <f>IF((((AB53+AC53)/2)+(C53/(DATOS!$B$14*((AB53+AC53)/2)))^2/(2*9.81)+B53-(E52+(C52/(DATOS!$B$14*E52))^2/(2*9.81)+B52+0.5*(((DATOS!$B$27*C52/(DATOS!$B$14*E52))^2/((DATOS!$B$14*E52)/(DATOS!$B$14+2*E52))^(4/3))+((DATOS!$B$27*C53/(DATOS!$B$14*((AB53+AC53)/2)))^2/((DATOS!$B$14*((AB53+AC53)/2))/(DATOS!$B$14+2*((AB53+AC53)/2)))^(4/3)))*(A52-A53)))&lt;0,((AB53+AC53)/2),AB53)</f>
        <v/>
      </c>
      <c r="AE53" s="16">
        <f>IF((((AB53+AC53)/2)+(C53/(DATOS!$B$14*((AB53+AC53)/2)))^2/(2*9.81)+B53-(E52+(C52/(DATOS!$B$14*E52))^2/(2*9.81)+B52+0.5*(((DATOS!$B$27*C52/(DATOS!$B$14*E52))^2/((DATOS!$B$14*E52)/(DATOS!$B$14+2*E52))^(4/3))+((DATOS!$B$27*C53/(DATOS!$B$14*((AB53+AC53)/2)))^2/((DATOS!$B$14*((AB53+AC53)/2))/(DATOS!$B$14+2*((AB53+AC53)/2)))^(4/3)))*(A52-A53)))&lt;0,AC53,((AB53+AC53)/2))</f>
        <v/>
      </c>
      <c r="AF53" s="16">
        <f>IF((((AD53+AE53)/2)+(C53/(DATOS!$B$14*((AD53+AE53)/2)))^2/(2*9.81)+B53-(E52+(C52/(DATOS!$B$14*E52))^2/(2*9.81)+B52+0.5*(((DATOS!$B$27*C52/(DATOS!$B$14*E52))^2/((DATOS!$B$14*E52)/(DATOS!$B$14+2*E52))^(4/3))+((DATOS!$B$27*C53/(DATOS!$B$14*((AD53+AE53)/2)))^2/((DATOS!$B$14*((AD53+AE53)/2))/(DATOS!$B$14+2*((AD53+AE53)/2)))^(4/3)))*(A52-A53)))&lt;0,((AD53+AE53)/2),AD53)</f>
        <v/>
      </c>
      <c r="AG53" s="16">
        <f>IF((((AD53+AE53)/2)+(C53/(DATOS!$B$14*((AD53+AE53)/2)))^2/(2*9.81)+B53-(E52+(C52/(DATOS!$B$14*E52))^2/(2*9.81)+B52+0.5*(((DATOS!$B$27*C52/(DATOS!$B$14*E52))^2/((DATOS!$B$14*E52)/(DATOS!$B$14+2*E52))^(4/3))+((DATOS!$B$27*C53/(DATOS!$B$14*((AD53+AE53)/2)))^2/((DATOS!$B$14*((AD53+AE53)/2))/(DATOS!$B$14+2*((AD53+AE53)/2)))^(4/3)))*(A52-A53)))&lt;0,AE53,((AD53+AE53)/2))</f>
        <v/>
      </c>
      <c r="AH53" s="16">
        <f>IF((((AF53+AG53)/2)+(C53/(DATOS!$B$14*((AF53+AG53)/2)))^2/(2*9.81)+B53-(E52+(C52/(DATOS!$B$14*E52))^2/(2*9.81)+B52+0.5*(((DATOS!$B$27*C52/(DATOS!$B$14*E52))^2/((DATOS!$B$14*E52)/(DATOS!$B$14+2*E52))^(4/3))+((DATOS!$B$27*C53/(DATOS!$B$14*((AF53+AG53)/2)))^2/((DATOS!$B$14*((AF53+AG53)/2))/(DATOS!$B$14+2*((AF53+AG53)/2)))^(4/3)))*(A52-A53)))&lt;0,((AF53+AG53)/2),AF53)</f>
        <v/>
      </c>
      <c r="AI53" s="16">
        <f>IF((((AF53+AG53)/2)+(C53/(DATOS!$B$14*((AF53+AG53)/2)))^2/(2*9.81)+B53-(E52+(C52/(DATOS!$B$14*E52))^2/(2*9.81)+B52+0.5*(((DATOS!$B$27*C52/(DATOS!$B$14*E52))^2/((DATOS!$B$14*E52)/(DATOS!$B$14+2*E52))^(4/3))+((DATOS!$B$27*C53/(DATOS!$B$14*((AF53+AG53)/2)))^2/((DATOS!$B$14*((AF53+AG53)/2))/(DATOS!$B$14+2*((AF53+AG53)/2)))^(4/3)))*(A52-A53)))&lt;0,AG53,((AF53+AG53)/2))</f>
        <v/>
      </c>
      <c r="AJ53" s="16">
        <f>IF((((AH53+AI53)/2)+(C53/(DATOS!$B$14*((AH53+AI53)/2)))^2/(2*9.81)+B53-(E52+(C52/(DATOS!$B$14*E52))^2/(2*9.81)+B52+0.5*(((DATOS!$B$27*C52/(DATOS!$B$14*E52))^2/((DATOS!$B$14*E52)/(DATOS!$B$14+2*E52))^(4/3))+((DATOS!$B$27*C53/(DATOS!$B$14*((AH53+AI53)/2)))^2/((DATOS!$B$14*((AH53+AI53)/2))/(DATOS!$B$14+2*((AH53+AI53)/2)))^(4/3)))*(A52-A53)))&lt;0,((AH53+AI53)/2),AH53)</f>
        <v/>
      </c>
      <c r="AK53" s="16">
        <f>IF((((AH53+AI53)/2)+(C53/(DATOS!$B$14*((AH53+AI53)/2)))^2/(2*9.81)+B53-(E52+(C52/(DATOS!$B$14*E52))^2/(2*9.81)+B52+0.5*(((DATOS!$B$27*C52/(DATOS!$B$14*E52))^2/((DATOS!$B$14*E52)/(DATOS!$B$14+2*E52))^(4/3))+((DATOS!$B$27*C53/(DATOS!$B$14*((AH53+AI53)/2)))^2/((DATOS!$B$14*((AH53+AI53)/2))/(DATOS!$B$14+2*((AH53+AI53)/2)))^(4/3)))*(A52-A53)))&lt;0,AI53,((AH53+AI53)/2))</f>
        <v/>
      </c>
      <c r="AL53" s="16">
        <f>IF((((AJ53+AK53)/2)+(C53/(DATOS!$B$14*((AJ53+AK53)/2)))^2/(2*9.81)+B53-(E52+(C52/(DATOS!$B$14*E52))^2/(2*9.81)+B52+0.5*(((DATOS!$B$27*C52/(DATOS!$B$14*E52))^2/((DATOS!$B$14*E52)/(DATOS!$B$14+2*E52))^(4/3))+((DATOS!$B$27*C53/(DATOS!$B$14*((AJ53+AK53)/2)))^2/((DATOS!$B$14*((AJ53+AK53)/2))/(DATOS!$B$14+2*((AJ53+AK53)/2)))^(4/3)))*(A52-A53)))&lt;0,((AJ53+AK53)/2),AJ53)</f>
        <v/>
      </c>
      <c r="AM53" s="16">
        <f>IF((((AJ53+AK53)/2)+(C53/(DATOS!$B$14*((AJ53+AK53)/2)))^2/(2*9.81)+B53-(E52+(C52/(DATOS!$B$14*E52))^2/(2*9.81)+B52+0.5*(((DATOS!$B$27*C52/(DATOS!$B$14*E52))^2/((DATOS!$B$14*E52)/(DATOS!$B$14+2*E52))^(4/3))+((DATOS!$B$27*C53/(DATOS!$B$14*((AJ53+AK53)/2)))^2/((DATOS!$B$14*((AJ53+AK53)/2))/(DATOS!$B$14+2*((AJ53+AK53)/2)))^(4/3)))*(A52-A53)))&lt;0,AK53,((AJ53+AK53)/2))</f>
        <v/>
      </c>
      <c r="AN53" s="16">
        <f>IF((((AL53+AM53)/2)+(C53/(DATOS!$B$14*((AL53+AM53)/2)))^2/(2*9.81)+B53-(E52+(C52/(DATOS!$B$14*E52))^2/(2*9.81)+B52+0.5*(((DATOS!$B$27*C52/(DATOS!$B$14*E52))^2/((DATOS!$B$14*E52)/(DATOS!$B$14+2*E52))^(4/3))+((DATOS!$B$27*C53/(DATOS!$B$14*((AL53+AM53)/2)))^2/((DATOS!$B$14*((AL53+AM53)/2))/(DATOS!$B$14+2*((AL53+AM53)/2)))^(4/3)))*(A52-A53)))&lt;0,((AL53+AM53)/2),AL53)</f>
        <v/>
      </c>
      <c r="AO53" s="16">
        <f>IF((((AL53+AM53)/2)+(C53/(DATOS!$B$14*((AL53+AM53)/2)))^2/(2*9.81)+B53-(E52+(C52/(DATOS!$B$14*E52))^2/(2*9.81)+B52+0.5*(((DATOS!$B$27*C52/(DATOS!$B$14*E52))^2/((DATOS!$B$14*E52)/(DATOS!$B$14+2*E52))^(4/3))+((DATOS!$B$27*C53/(DATOS!$B$14*((AL53+AM53)/2)))^2/((DATOS!$B$14*((AL53+AM53)/2))/(DATOS!$B$14+2*((AL53+AM53)/2)))^(4/3)))*(A52-A53)))&lt;0,AM53,((AL53+AM53)/2))</f>
        <v/>
      </c>
      <c r="AP53" s="16">
        <f>IF((((AN53+AO53)/2)+(C53/(DATOS!$B$14*((AN53+AO53)/2)))^2/(2*9.81)+B53-(E52+(C52/(DATOS!$B$14*E52))^2/(2*9.81)+B52+0.5*(((DATOS!$B$27*C52/(DATOS!$B$14*E52))^2/((DATOS!$B$14*E52)/(DATOS!$B$14+2*E52))^(4/3))+((DATOS!$B$27*C53/(DATOS!$B$14*((AN53+AO53)/2)))^2/((DATOS!$B$14*((AN53+AO53)/2))/(DATOS!$B$14+2*((AN53+AO53)/2)))^(4/3)))*(A52-A53)))&lt;0,((AN53+AO53)/2),AN53)</f>
        <v/>
      </c>
      <c r="AQ53" s="16">
        <f>IF((((AN53+AO53)/2)+(C53/(DATOS!$B$14*((AN53+AO53)/2)))^2/(2*9.81)+B53-(E52+(C52/(DATOS!$B$14*E52))^2/(2*9.81)+B52+0.5*(((DATOS!$B$27*C52/(DATOS!$B$14*E52))^2/((DATOS!$B$14*E52)/(DATOS!$B$14+2*E52))^(4/3))+((DATOS!$B$27*C53/(DATOS!$B$14*((AN53+AO53)/2)))^2/((DATOS!$B$14*((AN53+AO53)/2))/(DATOS!$B$14+2*((AN53+AO53)/2)))^(4/3)))*(A52-A53)))&lt;0,AO53,((AN53+AO53)/2))</f>
        <v/>
      </c>
      <c r="AR53" s="16">
        <f>IF((((AP53+AQ53)/2)+(C53/(DATOS!$B$14*((AP53+AQ53)/2)))^2/(2*9.81)+B53-(E52+(C52/(DATOS!$B$14*E52))^2/(2*9.81)+B52+0.5*(((DATOS!$B$27*C52/(DATOS!$B$14*E52))^2/((DATOS!$B$14*E52)/(DATOS!$B$14+2*E52))^(4/3))+((DATOS!$B$27*C53/(DATOS!$B$14*((AP53+AQ53)/2)))^2/((DATOS!$B$14*((AP53+AQ53)/2))/(DATOS!$B$14+2*((AP53+AQ53)/2)))^(4/3)))*(A52-A53)))&lt;0,((AP53+AQ53)/2),AP53)</f>
        <v/>
      </c>
      <c r="AS53" s="16">
        <f>IF((((AP53+AQ53)/2)+(C53/(DATOS!$B$14*((AP53+AQ53)/2)))^2/(2*9.81)+B53-(E52+(C52/(DATOS!$B$14*E52))^2/(2*9.81)+B52+0.5*(((DATOS!$B$27*C52/(DATOS!$B$14*E52))^2/((DATOS!$B$14*E52)/(DATOS!$B$14+2*E52))^(4/3))+((DATOS!$B$27*C53/(DATOS!$B$14*((AP53+AQ53)/2)))^2/((DATOS!$B$14*((AP53+AQ53)/2))/(DATOS!$B$14+2*((AP53+AQ53)/2)))^(4/3)))*(A52-A53)))&lt;0,AQ53,((AP53+AQ53)/2))</f>
        <v/>
      </c>
      <c r="AT53" s="16">
        <f>IF((((AR53+AS53)/2)+(C53/(DATOS!$B$14*((AR53+AS53)/2)))^2/(2*9.81)+B53-(E52+(C52/(DATOS!$B$14*E52))^2/(2*9.81)+B52+0.5*(((DATOS!$B$27*C52/(DATOS!$B$14*E52))^2/((DATOS!$B$14*E52)/(DATOS!$B$14+2*E52))^(4/3))+((DATOS!$B$27*C53/(DATOS!$B$14*((AR53+AS53)/2)))^2/((DATOS!$B$14*((AR53+AS53)/2))/(DATOS!$B$14+2*((AR53+AS53)/2)))^(4/3)))*(A52-A53)))&lt;0,((AR53+AS53)/2),AR53)</f>
        <v/>
      </c>
      <c r="AU53" s="16">
        <f>IF((((AR53+AS53)/2)+(C53/(DATOS!$B$14*((AR53+AS53)/2)))^2/(2*9.81)+B53-(E52+(C52/(DATOS!$B$14*E52))^2/(2*9.81)+B52+0.5*(((DATOS!$B$27*C52/(DATOS!$B$14*E52))^2/((DATOS!$B$14*E52)/(DATOS!$B$14+2*E52))^(4/3))+((DATOS!$B$27*C53/(DATOS!$B$14*((AR53+AS53)/2)))^2/((DATOS!$B$14*((AR53+AS53)/2))/(DATOS!$B$14+2*((AR53+AS53)/2)))^(4/3)))*(A52-A53)))&lt;0,AS53,((AR53+AS53)/2))</f>
        <v/>
      </c>
      <c r="AV53" s="16">
        <f>IF((((AT53+AU53)/2)+(C53/(DATOS!$B$14*((AT53+AU53)/2)))^2/(2*9.81)+B53-(E52+(C52/(DATOS!$B$14*E52))^2/(2*9.81)+B52+0.5*(((DATOS!$B$27*C52/(DATOS!$B$14*E52))^2/((DATOS!$B$14*E52)/(DATOS!$B$14+2*E52))^(4/3))+((DATOS!$B$27*C53/(DATOS!$B$14*((AT53+AU53)/2)))^2/((DATOS!$B$14*((AT53+AU53)/2))/(DATOS!$B$14+2*((AT53+AU53)/2)))^(4/3)))*(A52-A53)))&lt;0,((AT53+AU53)/2),AT53)</f>
        <v/>
      </c>
      <c r="AW53" s="16">
        <f>IF((((AT53+AU53)/2)+(C53/(DATOS!$B$14*((AT53+AU53)/2)))^2/(2*9.81)+B53-(E52+(C52/(DATOS!$B$14*E52))^2/(2*9.81)+B52+0.5*(((DATOS!$B$27*C52/(DATOS!$B$14*E52))^2/((DATOS!$B$14*E52)/(DATOS!$B$14+2*E52))^(4/3))+((DATOS!$B$27*C53/(DATOS!$B$14*((AT53+AU53)/2)))^2/((DATOS!$B$14*((AT53+AU53)/2))/(DATOS!$B$14+2*((AT53+AU53)/2)))^(4/3)))*(A52-A53)))&lt;0,AU53,((AT53+AU53)/2))</f>
        <v/>
      </c>
      <c r="AX53" s="16">
        <f>IF((((AV53+AW53)/2)+(C53/(DATOS!$B$14*((AV53+AW53)/2)))^2/(2*9.81)+B53-(E52+(C52/(DATOS!$B$14*E52))^2/(2*9.81)+B52+0.5*(((DATOS!$B$27*C52/(DATOS!$B$14*E52))^2/((DATOS!$B$14*E52)/(DATOS!$B$14+2*E52))^(4/3))+((DATOS!$B$27*C53/(DATOS!$B$14*((AV53+AW53)/2)))^2/((DATOS!$B$14*((AV53+AW53)/2))/(DATOS!$B$14+2*((AV53+AW53)/2)))^(4/3)))*(A52-A53)))&lt;0,((AV53+AW53)/2),AV53)</f>
        <v/>
      </c>
      <c r="AY53" s="16">
        <f>IF((((AV53+AW53)/2)+(C53/(DATOS!$B$14*((AV53+AW53)/2)))^2/(2*9.81)+B53-(E52+(C52/(DATOS!$B$14*E52))^2/(2*9.81)+B52+0.5*(((DATOS!$B$27*C52/(DATOS!$B$14*E52))^2/((DATOS!$B$14*E52)/(DATOS!$B$14+2*E52))^(4/3))+((DATOS!$B$27*C53/(DATOS!$B$14*((AV53+AW53)/2)))^2/((DATOS!$B$14*((AV53+AW53)/2))/(DATOS!$B$14+2*((AV53+AW53)/2)))^(4/3)))*(A52-A53)))&lt;0,AW53,((AV53+AW53)/2))</f>
        <v/>
      </c>
      <c r="AZ53" s="16">
        <f>IF((((AX53+AY53)/2)+(C53/(DATOS!$B$14*((AX53+AY53)/2)))^2/(2*9.81)+B53-(E52+(C52/(DATOS!$B$14*E52))^2/(2*9.81)+B52+0.5*(((DATOS!$B$27*C52/(DATOS!$B$14*E52))^2/((DATOS!$B$14*E52)/(DATOS!$B$14+2*E52))^(4/3))+((DATOS!$B$27*C53/(DATOS!$B$14*((AX53+AY53)/2)))^2/((DATOS!$B$14*((AX53+AY53)/2))/(DATOS!$B$14+2*((AX53+AY53)/2)))^(4/3)))*(A52-A53)))&lt;0,((AX53+AY53)/2),AX53)</f>
        <v/>
      </c>
      <c r="BA53" s="16">
        <f>IF((((AX53+AY53)/2)+(C53/(DATOS!$B$14*((AX53+AY53)/2)))^2/(2*9.81)+B53-(E52+(C52/(DATOS!$B$14*E52))^2/(2*9.81)+B52+0.5*(((DATOS!$B$27*C52/(DATOS!$B$14*E52))^2/((DATOS!$B$14*E52)/(DATOS!$B$14+2*E52))^(4/3))+((DATOS!$B$27*C53/(DATOS!$B$14*((AX53+AY53)/2)))^2/((DATOS!$B$14*((AX53+AY53)/2))/(DATOS!$B$14+2*((AX53+AY53)/2)))^(4/3)))*(A52-A53)))&lt;0,AY53,((AX53+AY53)/2))</f>
        <v/>
      </c>
      <c r="BB53" s="16">
        <f>IF((((AZ53+BA53)/2)+(C53/(DATOS!$B$14*((AZ53+BA53)/2)))^2/(2*9.81)+B53-(E52+(C52/(DATOS!$B$14*E52))^2/(2*9.81)+B52+0.5*(((DATOS!$B$27*C52/(DATOS!$B$14*E52))^2/((DATOS!$B$14*E52)/(DATOS!$B$14+2*E52))^(4/3))+((DATOS!$B$27*C53/(DATOS!$B$14*((AZ53+BA53)/2)))^2/((DATOS!$B$14*((AZ53+BA53)/2))/(DATOS!$B$14+2*((AZ53+BA53)/2)))^(4/3)))*(A52-A53)))&lt;0,((AZ53+BA53)/2),AZ53)</f>
        <v/>
      </c>
      <c r="BC53" s="16">
        <f>IF((((AZ53+BA53)/2)+(C53/(DATOS!$B$14*((AZ53+BA53)/2)))^2/(2*9.81)+B53-(E52+(C52/(DATOS!$B$14*E52))^2/(2*9.81)+B52+0.5*(((DATOS!$B$27*C52/(DATOS!$B$14*E52))^2/((DATOS!$B$14*E52)/(DATOS!$B$14+2*E52))^(4/3))+((DATOS!$B$27*C53/(DATOS!$B$14*((AZ53+BA53)/2)))^2/((DATOS!$B$14*((AZ53+BA53)/2))/(DATOS!$B$14+2*((AZ53+BA53)/2)))^(4/3)))*(A52-A53)))&lt;0,BA53,((AZ53+BA53)/2))</f>
        <v/>
      </c>
      <c r="BD53" s="16">
        <f>IF((((BB53+BC53)/2)+(C53/(DATOS!$B$14*((BB53+BC53)/2)))^2/(2*9.81)+B53-(E52+(C52/(DATOS!$B$14*E52))^2/(2*9.81)+B52+0.5*(((DATOS!$B$27*C52/(DATOS!$B$14*E52))^2/((DATOS!$B$14*E52)/(DATOS!$B$14+2*E52))^(4/3))+((DATOS!$B$27*C53/(DATOS!$B$14*((BB53+BC53)/2)))^2/((DATOS!$B$14*((BB53+BC53)/2))/(DATOS!$B$14+2*((BB53+BC53)/2)))^(4/3)))*(A52-A53)))&lt;0,((BB53+BC53)/2),BB53)</f>
        <v/>
      </c>
      <c r="BE53" s="16">
        <f>IF((((BB53+BC53)/2)+(C53/(DATOS!$B$14*((BB53+BC53)/2)))^2/(2*9.81)+B53-(E52+(C52/(DATOS!$B$14*E52))^2/(2*9.81)+B52+0.5*(((DATOS!$B$27*C52/(DATOS!$B$14*E52))^2/((DATOS!$B$14*E52)/(DATOS!$B$14+2*E52))^(4/3))+((DATOS!$B$27*C53/(DATOS!$B$14*((BB53+BC53)/2)))^2/((DATOS!$B$14*((BB53+BC53)/2))/(DATOS!$B$14+2*((BB53+BC53)/2)))^(4/3)))*(A52-A53)))&lt;0,BC53,((BB53+BC53)/2))</f>
        <v/>
      </c>
      <c r="BF53" s="16">
        <f>IF((((BD53+BE53)/2)+(C53/(DATOS!$B$14*((BD53+BE53)/2)))^2/(2*9.81)+B53-(E52+(C52/(DATOS!$B$14*E52))^2/(2*9.81)+B52+0.5*(((DATOS!$B$27*C52/(DATOS!$B$14*E52))^2/((DATOS!$B$14*E52)/(DATOS!$B$14+2*E52))^(4/3))+((DATOS!$B$27*C53/(DATOS!$B$14*((BD53+BE53)/2)))^2/((DATOS!$B$14*((BD53+BE53)/2))/(DATOS!$B$14+2*((BD53+BE53)/2)))^(4/3)))*(A52-A53)))&lt;0,((BD53+BE53)/2),BD53)</f>
        <v/>
      </c>
      <c r="BG53" s="16">
        <f>IF((((BD53+BE53)/2)+(C53/(DATOS!$B$14*((BD53+BE53)/2)))^2/(2*9.81)+B53-(E52+(C52/(DATOS!$B$14*E52))^2/(2*9.81)+B52+0.5*(((DATOS!$B$27*C52/(DATOS!$B$14*E52))^2/((DATOS!$B$14*E52)/(DATOS!$B$14+2*E52))^(4/3))+((DATOS!$B$27*C53/(DATOS!$B$14*((BD53+BE53)/2)))^2/((DATOS!$B$14*((BD53+BE53)/2))/(DATOS!$B$14+2*((BD53+BE53)/2)))^(4/3)))*(A52-A53)))&lt;0,BE53,((BD53+BE53)/2))</f>
        <v/>
      </c>
      <c r="BH53" s="16">
        <f>IF((((BF53+BG53)/2)+(C53/(DATOS!$B$14*((BF53+BG53)/2)))^2/(2*9.81)+B53-(E52+(C52/(DATOS!$B$14*E52))^2/(2*9.81)+B52+0.5*(((DATOS!$B$27*C52/(DATOS!$B$14*E52))^2/((DATOS!$B$14*E52)/(DATOS!$B$14+2*E52))^(4/3))+((DATOS!$B$27*C53/(DATOS!$B$14*((BF53+BG53)/2)))^2/((DATOS!$B$14*((BF53+BG53)/2))/(DATOS!$B$14+2*((BF53+BG53)/2)))^(4/3)))*(A52-A53)))&lt;0,((BF53+BG53)/2),BF53)</f>
        <v/>
      </c>
      <c r="BI53" s="16">
        <f>IF((((BF53+BG53)/2)+(C53/(DATOS!$B$14*((BF53+BG53)/2)))^2/(2*9.81)+B53-(E52+(C52/(DATOS!$B$14*E52))^2/(2*9.81)+B52+0.5*(((DATOS!$B$27*C52/(DATOS!$B$14*E52))^2/((DATOS!$B$14*E52)/(DATOS!$B$14+2*E52))^(4/3))+((DATOS!$B$27*C53/(DATOS!$B$14*((BF53+BG53)/2)))^2/((DATOS!$B$14*((BF53+BG53)/2))/(DATOS!$B$14+2*((BF53+BG53)/2)))^(4/3)))*(A52-A53)))&lt;0,BG53,((BF53+BG53)/2))</f>
        <v/>
      </c>
      <c r="BJ53" s="16">
        <f>IF((((BH53+BI53)/2)+(C53/(DATOS!$B$14*((BH53+BI53)/2)))^2/(2*9.81)+B53-(E52+(C52/(DATOS!$B$14*E52))^2/(2*9.81)+B52+0.5*(((DATOS!$B$27*C52/(DATOS!$B$14*E52))^2/((DATOS!$B$14*E52)/(DATOS!$B$14+2*E52))^(4/3))+((DATOS!$B$27*C53/(DATOS!$B$14*((BH53+BI53)/2)))^2/((DATOS!$B$14*((BH53+BI53)/2))/(DATOS!$B$14+2*((BH53+BI53)/2)))^(4/3)))*(A52-A53)))&lt;0,((BH53+BI53)/2),BH53)</f>
        <v/>
      </c>
      <c r="BK53" s="16">
        <f>IF((((BH53+BI53)/2)+(C53/(DATOS!$B$14*((BH53+BI53)/2)))^2/(2*9.81)+B53-(E52+(C52/(DATOS!$B$14*E52))^2/(2*9.81)+B52+0.5*(((DATOS!$B$27*C52/(DATOS!$B$14*E52))^2/((DATOS!$B$14*E52)/(DATOS!$B$14+2*E52))^(4/3))+((DATOS!$B$27*C53/(DATOS!$B$14*((BH53+BI53)/2)))^2/((DATOS!$B$14*((BH53+BI53)/2))/(DATOS!$B$14+2*((BH53+BI53)/2)))^(4/3)))*(A52-A53)))&lt;0,BI53,((BH53+BI53)/2))</f>
        <v/>
      </c>
      <c r="BL53" s="16">
        <f>IF((((BJ53+BK53)/2)+(C53/(DATOS!$B$14*((BJ53+BK53)/2)))^2/(2*9.81)+B53-(E52+(C52/(DATOS!$B$14*E52))^2/(2*9.81)+B52+0.5*(((DATOS!$B$27*C52/(DATOS!$B$14*E52))^2/((DATOS!$B$14*E52)/(DATOS!$B$14+2*E52))^(4/3))+((DATOS!$B$27*C53/(DATOS!$B$14*((BJ53+BK53)/2)))^2/((DATOS!$B$14*((BJ53+BK53)/2))/(DATOS!$B$14+2*((BJ53+BK53)/2)))^(4/3)))*(A52-A53)))&lt;0,((BJ53+BK53)/2),BJ53)</f>
        <v/>
      </c>
      <c r="BM53" s="16">
        <f>IF((((BJ53+BK53)/2)+(C53/(DATOS!$B$14*((BJ53+BK53)/2)))^2/(2*9.81)+B53-(E52+(C52/(DATOS!$B$14*E52))^2/(2*9.81)+B52+0.5*(((DATOS!$B$27*C52/(DATOS!$B$14*E52))^2/((DATOS!$B$14*E52)/(DATOS!$B$14+2*E52))^(4/3))+((DATOS!$B$27*C53/(DATOS!$B$14*((BJ53+BK53)/2)))^2/((DATOS!$B$14*((BJ53+BK53)/2))/(DATOS!$B$14+2*((BJ53+BK53)/2)))^(4/3)))*(A52-A53)))&lt;0,BK53,((BJ53+BK53)/2))</f>
        <v/>
      </c>
      <c r="BN53" s="16">
        <f>IF((((BL53+BM53)/2)+(C53/(DATOS!$B$14*((BL53+BM53)/2)))^2/(2*9.81)+B53-(E52+(C52/(DATOS!$B$14*E52))^2/(2*9.81)+B52+0.5*(((DATOS!$B$27*C52/(DATOS!$B$14*E52))^2/((DATOS!$B$14*E52)/(DATOS!$B$14+2*E52))^(4/3))+((DATOS!$B$27*C53/(DATOS!$B$14*((BL53+BM53)/2)))^2/((DATOS!$B$14*((BL53+BM53)/2))/(DATOS!$B$14+2*((BL53+BM53)/2)))^(4/3)))*(A52-A53)))&lt;0,((BL53+BM53)/2),BL53)</f>
        <v/>
      </c>
      <c r="BO53" s="16">
        <f>IF((((BL53+BM53)/2)+(C53/(DATOS!$B$14*((BL53+BM53)/2)))^2/(2*9.81)+B53-(E52+(C52/(DATOS!$B$14*E52))^2/(2*9.81)+B52+0.5*(((DATOS!$B$27*C52/(DATOS!$B$14*E52))^2/((DATOS!$B$14*E52)/(DATOS!$B$14+2*E52))^(4/3))+((DATOS!$B$27*C53/(DATOS!$B$14*((BL53+BM53)/2)))^2/((DATOS!$B$14*((BL53+BM53)/2))/(DATOS!$B$14+2*((BL53+BM53)/2)))^(4/3)))*(A52-A53)))&lt;0,BM53,((BL53+BM53)/2))</f>
        <v/>
      </c>
      <c r="BP53" s="16">
        <f>IF((((BN53+BO53)/2)+(C53/(DATOS!$B$14*((BN53+BO53)/2)))^2/(2*9.81)+B53-(E52+(C52/(DATOS!$B$14*E52))^2/(2*9.81)+B52+0.5*(((DATOS!$B$27*C52/(DATOS!$B$14*E52))^2/((DATOS!$B$14*E52)/(DATOS!$B$14+2*E52))^(4/3))+((DATOS!$B$27*C53/(DATOS!$B$14*((BN53+BO53)/2)))^2/((DATOS!$B$14*((BN53+BO53)/2))/(DATOS!$B$14+2*((BN53+BO53)/2)))^(4/3)))*(A52-A53)))&lt;0,((BN53+BO53)/2),BN53)</f>
        <v/>
      </c>
      <c r="BQ53" s="16">
        <f>IF((((BN53+BO53)/2)+(C53/(DATOS!$B$14*((BN53+BO53)/2)))^2/(2*9.81)+B53-(E52+(C52/(DATOS!$B$14*E52))^2/(2*9.81)+B52+0.5*(((DATOS!$B$27*C52/(DATOS!$B$14*E52))^2/((DATOS!$B$14*E52)/(DATOS!$B$14+2*E52))^(4/3))+((DATOS!$B$27*C53/(DATOS!$B$14*((BN53+BO53)/2)))^2/((DATOS!$B$14*((BN53+BO53)/2))/(DATOS!$B$14+2*((BN53+BO53)/2)))^(4/3)))*(A52-A53)))&lt;0,BO53,((BN53+BO53)/2))</f>
        <v/>
      </c>
      <c r="BR53" s="16">
        <f>IF((((BP53+BQ53)/2)+(C53/(DATOS!$B$14*((BP53+BQ53)/2)))^2/(2*9.81)+B53-(E52+(C52/(DATOS!$B$14*E52))^2/(2*9.81)+B52+0.5*(((DATOS!$B$27*C52/(DATOS!$B$14*E52))^2/((DATOS!$B$14*E52)/(DATOS!$B$14+2*E52))^(4/3))+((DATOS!$B$27*C53/(DATOS!$B$14*((BP53+BQ53)/2)))^2/((DATOS!$B$14*((BP53+BQ53)/2))/(DATOS!$B$14+2*((BP53+BQ53)/2)))^(4/3)))*(A52-A53)))&lt;0,((BP53+BQ53)/2),BP53)</f>
        <v/>
      </c>
      <c r="BS53" s="16">
        <f>IF((((BP53+BQ53)/2)+(C53/(DATOS!$B$14*((BP53+BQ53)/2)))^2/(2*9.81)+B53-(E52+(C52/(DATOS!$B$14*E52))^2/(2*9.81)+B52+0.5*(((DATOS!$B$27*C52/(DATOS!$B$14*E52))^2/((DATOS!$B$14*E52)/(DATOS!$B$14+2*E52))^(4/3))+((DATOS!$B$27*C53/(DATOS!$B$14*((BP53+BQ53)/2)))^2/((DATOS!$B$14*((BP53+BQ53)/2))/(DATOS!$B$14+2*((BP53+BQ53)/2)))^(4/3)))*(A52-A53)))&lt;0,BQ53,((BP53+BQ53)/2))</f>
        <v/>
      </c>
      <c r="BT53" s="16">
        <f>IF((((BR53+BS53)/2)+(C53/(DATOS!$B$14*((BR53+BS53)/2)))^2/(2*9.81)+B53-(E52+(C52/(DATOS!$B$14*E52))^2/(2*9.81)+B52+0.5*(((DATOS!$B$27*C52/(DATOS!$B$14*E52))^2/((DATOS!$B$14*E52)/(DATOS!$B$14+2*E52))^(4/3))+((DATOS!$B$27*C53/(DATOS!$B$14*((BR53+BS53)/2)))^2/((DATOS!$B$14*((BR53+BS53)/2))/(DATOS!$B$14+2*((BR53+BS53)/2)))^(4/3)))*(A52-A53)))&lt;0,((BR53+BS53)/2),BR53)</f>
        <v/>
      </c>
      <c r="BU53" s="16">
        <f>IF((((BR53+BS53)/2)+(C53/(DATOS!$B$14*((BR53+BS53)/2)))^2/(2*9.81)+B53-(E52+(C52/(DATOS!$B$14*E52))^2/(2*9.81)+B52+0.5*(((DATOS!$B$27*C52/(DATOS!$B$14*E52))^2/((DATOS!$B$14*E52)/(DATOS!$B$14+2*E52))^(4/3))+((DATOS!$B$27*C53/(DATOS!$B$14*((BR53+BS53)/2)))^2/((DATOS!$B$14*((BR53+BS53)/2))/(DATOS!$B$14+2*((BR53+BS53)/2)))^(4/3)))*(A52-A53)))&lt;0,BS53,((BR53+BS53)/2))</f>
        <v/>
      </c>
    </row>
    <row r="54">
      <c r="A54" s="30" t="n">
        <v>48</v>
      </c>
      <c r="B54" s="21">
        <f>DATOS!$B$16-DATOS!$B$19*A54</f>
        <v/>
      </c>
      <c r="C54" s="21">
        <f>IF(A54&lt;CAUDALES!$B$13,CAUDALES!$D$12,IF(A54&lt;CAUDALES!$B$14,CAUDALES!$D$13,IF(A54&lt;CAUDALES!$B$15,CAUDALES!$D$14,CAUDALES!$D$15)))/1000</f>
        <v/>
      </c>
      <c r="D54" s="21">
        <f>(C54^2/(9.81*DATOS!$B$14^2))^(1/3)</f>
        <v/>
      </c>
      <c r="E54" s="29">
        <f>(BT54+BU54)/2</f>
        <v/>
      </c>
      <c r="F54" s="21">
        <f>B54+E54</f>
        <v/>
      </c>
      <c r="G54" s="17">
        <f>C54/(DATOS!$B$14*E54)</f>
        <v/>
      </c>
      <c r="H54" s="17">
        <f>G54/SQRT(9.81*E54)</f>
        <v/>
      </c>
      <c r="I54" s="21">
        <f>IF(A54&lt;=DATOS!$B$20,DATOS!$B$21-IF(AND(A54&gt;=DATOS!$B$23,A54&lt;DATOS!$B$24),DATOS!$B$25,DATOS!$B$22),B54+DATOS!$B$26)</f>
        <v/>
      </c>
      <c r="J54" s="17">
        <f>I54-B54</f>
        <v/>
      </c>
      <c r="K54" s="31">
        <f>E54/J54</f>
        <v/>
      </c>
      <c r="L54" s="21">
        <f>I54-F54</f>
        <v/>
      </c>
      <c r="M54" s="32">
        <f>IF(AND(K54&lt;=DATOS!$B$29,L54&gt;=DATOS!$B$30),"CUMPLE","NO CUMPLE")</f>
        <v/>
      </c>
      <c r="N54" s="13">
        <f>IF(A54&gt;DATOS!$B$20,"cubierto - tramo final",IF(AND(A54&gt;=DATOS!$B$23,A54&lt;DATOS!$B$24),"cubierto - camiones","cubierto"))</f>
        <v/>
      </c>
      <c r="P54" s="16">
        <f>D54*1.001</f>
        <v/>
      </c>
      <c r="Q54" s="16" t="n">
        <v>2</v>
      </c>
      <c r="R54" s="16">
        <f>IF((((P54+Q54)/2)+(C54/(DATOS!$B$14*((P54+Q54)/2)))^2/(2*9.81)+B54-(E53+(C53/(DATOS!$B$14*E53))^2/(2*9.81)+B53+0.5*(((DATOS!$B$27*C53/(DATOS!$B$14*E53))^2/((DATOS!$B$14*E53)/(DATOS!$B$14+2*E53))^(4/3))+((DATOS!$B$27*C54/(DATOS!$B$14*((P54+Q54)/2)))^2/((DATOS!$B$14*((P54+Q54)/2))/(DATOS!$B$14+2*((P54+Q54)/2)))^(4/3)))*(A53-A54)))&lt;0,((P54+Q54)/2),P54)</f>
        <v/>
      </c>
      <c r="S54" s="16">
        <f>IF((((P54+Q54)/2)+(C54/(DATOS!$B$14*((P54+Q54)/2)))^2/(2*9.81)+B54-(E53+(C53/(DATOS!$B$14*E53))^2/(2*9.81)+B53+0.5*(((DATOS!$B$27*C53/(DATOS!$B$14*E53))^2/((DATOS!$B$14*E53)/(DATOS!$B$14+2*E53))^(4/3))+((DATOS!$B$27*C54/(DATOS!$B$14*((P54+Q54)/2)))^2/((DATOS!$B$14*((P54+Q54)/2))/(DATOS!$B$14+2*((P54+Q54)/2)))^(4/3)))*(A53-A54)))&lt;0,Q54,((P54+Q54)/2))</f>
        <v/>
      </c>
      <c r="T54" s="16">
        <f>IF((((R54+S54)/2)+(C54/(DATOS!$B$14*((R54+S54)/2)))^2/(2*9.81)+B54-(E53+(C53/(DATOS!$B$14*E53))^2/(2*9.81)+B53+0.5*(((DATOS!$B$27*C53/(DATOS!$B$14*E53))^2/((DATOS!$B$14*E53)/(DATOS!$B$14+2*E53))^(4/3))+((DATOS!$B$27*C54/(DATOS!$B$14*((R54+S54)/2)))^2/((DATOS!$B$14*((R54+S54)/2))/(DATOS!$B$14+2*((R54+S54)/2)))^(4/3)))*(A53-A54)))&lt;0,((R54+S54)/2),R54)</f>
        <v/>
      </c>
      <c r="U54" s="16">
        <f>IF((((R54+S54)/2)+(C54/(DATOS!$B$14*((R54+S54)/2)))^2/(2*9.81)+B54-(E53+(C53/(DATOS!$B$14*E53))^2/(2*9.81)+B53+0.5*(((DATOS!$B$27*C53/(DATOS!$B$14*E53))^2/((DATOS!$B$14*E53)/(DATOS!$B$14+2*E53))^(4/3))+((DATOS!$B$27*C54/(DATOS!$B$14*((R54+S54)/2)))^2/((DATOS!$B$14*((R54+S54)/2))/(DATOS!$B$14+2*((R54+S54)/2)))^(4/3)))*(A53-A54)))&lt;0,S54,((R54+S54)/2))</f>
        <v/>
      </c>
      <c r="V54" s="16">
        <f>IF((((T54+U54)/2)+(C54/(DATOS!$B$14*((T54+U54)/2)))^2/(2*9.81)+B54-(E53+(C53/(DATOS!$B$14*E53))^2/(2*9.81)+B53+0.5*(((DATOS!$B$27*C53/(DATOS!$B$14*E53))^2/((DATOS!$B$14*E53)/(DATOS!$B$14+2*E53))^(4/3))+((DATOS!$B$27*C54/(DATOS!$B$14*((T54+U54)/2)))^2/((DATOS!$B$14*((T54+U54)/2))/(DATOS!$B$14+2*((T54+U54)/2)))^(4/3)))*(A53-A54)))&lt;0,((T54+U54)/2),T54)</f>
        <v/>
      </c>
      <c r="W54" s="16">
        <f>IF((((T54+U54)/2)+(C54/(DATOS!$B$14*((T54+U54)/2)))^2/(2*9.81)+B54-(E53+(C53/(DATOS!$B$14*E53))^2/(2*9.81)+B53+0.5*(((DATOS!$B$27*C53/(DATOS!$B$14*E53))^2/((DATOS!$B$14*E53)/(DATOS!$B$14+2*E53))^(4/3))+((DATOS!$B$27*C54/(DATOS!$B$14*((T54+U54)/2)))^2/((DATOS!$B$14*((T54+U54)/2))/(DATOS!$B$14+2*((T54+U54)/2)))^(4/3)))*(A53-A54)))&lt;0,U54,((T54+U54)/2))</f>
        <v/>
      </c>
      <c r="X54" s="16">
        <f>IF((((V54+W54)/2)+(C54/(DATOS!$B$14*((V54+W54)/2)))^2/(2*9.81)+B54-(E53+(C53/(DATOS!$B$14*E53))^2/(2*9.81)+B53+0.5*(((DATOS!$B$27*C53/(DATOS!$B$14*E53))^2/((DATOS!$B$14*E53)/(DATOS!$B$14+2*E53))^(4/3))+((DATOS!$B$27*C54/(DATOS!$B$14*((V54+W54)/2)))^2/((DATOS!$B$14*((V54+W54)/2))/(DATOS!$B$14+2*((V54+W54)/2)))^(4/3)))*(A53-A54)))&lt;0,((V54+W54)/2),V54)</f>
        <v/>
      </c>
      <c r="Y54" s="16">
        <f>IF((((V54+W54)/2)+(C54/(DATOS!$B$14*((V54+W54)/2)))^2/(2*9.81)+B54-(E53+(C53/(DATOS!$B$14*E53))^2/(2*9.81)+B53+0.5*(((DATOS!$B$27*C53/(DATOS!$B$14*E53))^2/((DATOS!$B$14*E53)/(DATOS!$B$14+2*E53))^(4/3))+((DATOS!$B$27*C54/(DATOS!$B$14*((V54+W54)/2)))^2/((DATOS!$B$14*((V54+W54)/2))/(DATOS!$B$14+2*((V54+W54)/2)))^(4/3)))*(A53-A54)))&lt;0,W54,((V54+W54)/2))</f>
        <v/>
      </c>
      <c r="Z54" s="16">
        <f>IF((((X54+Y54)/2)+(C54/(DATOS!$B$14*((X54+Y54)/2)))^2/(2*9.81)+B54-(E53+(C53/(DATOS!$B$14*E53))^2/(2*9.81)+B53+0.5*(((DATOS!$B$27*C53/(DATOS!$B$14*E53))^2/((DATOS!$B$14*E53)/(DATOS!$B$14+2*E53))^(4/3))+((DATOS!$B$27*C54/(DATOS!$B$14*((X54+Y54)/2)))^2/((DATOS!$B$14*((X54+Y54)/2))/(DATOS!$B$14+2*((X54+Y54)/2)))^(4/3)))*(A53-A54)))&lt;0,((X54+Y54)/2),X54)</f>
        <v/>
      </c>
      <c r="AA54" s="16">
        <f>IF((((X54+Y54)/2)+(C54/(DATOS!$B$14*((X54+Y54)/2)))^2/(2*9.81)+B54-(E53+(C53/(DATOS!$B$14*E53))^2/(2*9.81)+B53+0.5*(((DATOS!$B$27*C53/(DATOS!$B$14*E53))^2/((DATOS!$B$14*E53)/(DATOS!$B$14+2*E53))^(4/3))+((DATOS!$B$27*C54/(DATOS!$B$14*((X54+Y54)/2)))^2/((DATOS!$B$14*((X54+Y54)/2))/(DATOS!$B$14+2*((X54+Y54)/2)))^(4/3)))*(A53-A54)))&lt;0,Y54,((X54+Y54)/2))</f>
        <v/>
      </c>
      <c r="AB54" s="16">
        <f>IF((((Z54+AA54)/2)+(C54/(DATOS!$B$14*((Z54+AA54)/2)))^2/(2*9.81)+B54-(E53+(C53/(DATOS!$B$14*E53))^2/(2*9.81)+B53+0.5*(((DATOS!$B$27*C53/(DATOS!$B$14*E53))^2/((DATOS!$B$14*E53)/(DATOS!$B$14+2*E53))^(4/3))+((DATOS!$B$27*C54/(DATOS!$B$14*((Z54+AA54)/2)))^2/((DATOS!$B$14*((Z54+AA54)/2))/(DATOS!$B$14+2*((Z54+AA54)/2)))^(4/3)))*(A53-A54)))&lt;0,((Z54+AA54)/2),Z54)</f>
        <v/>
      </c>
      <c r="AC54" s="16">
        <f>IF((((Z54+AA54)/2)+(C54/(DATOS!$B$14*((Z54+AA54)/2)))^2/(2*9.81)+B54-(E53+(C53/(DATOS!$B$14*E53))^2/(2*9.81)+B53+0.5*(((DATOS!$B$27*C53/(DATOS!$B$14*E53))^2/((DATOS!$B$14*E53)/(DATOS!$B$14+2*E53))^(4/3))+((DATOS!$B$27*C54/(DATOS!$B$14*((Z54+AA54)/2)))^2/((DATOS!$B$14*((Z54+AA54)/2))/(DATOS!$B$14+2*((Z54+AA54)/2)))^(4/3)))*(A53-A54)))&lt;0,AA54,((Z54+AA54)/2))</f>
        <v/>
      </c>
      <c r="AD54" s="16">
        <f>IF((((AB54+AC54)/2)+(C54/(DATOS!$B$14*((AB54+AC54)/2)))^2/(2*9.81)+B54-(E53+(C53/(DATOS!$B$14*E53))^2/(2*9.81)+B53+0.5*(((DATOS!$B$27*C53/(DATOS!$B$14*E53))^2/((DATOS!$B$14*E53)/(DATOS!$B$14+2*E53))^(4/3))+((DATOS!$B$27*C54/(DATOS!$B$14*((AB54+AC54)/2)))^2/((DATOS!$B$14*((AB54+AC54)/2))/(DATOS!$B$14+2*((AB54+AC54)/2)))^(4/3)))*(A53-A54)))&lt;0,((AB54+AC54)/2),AB54)</f>
        <v/>
      </c>
      <c r="AE54" s="16">
        <f>IF((((AB54+AC54)/2)+(C54/(DATOS!$B$14*((AB54+AC54)/2)))^2/(2*9.81)+B54-(E53+(C53/(DATOS!$B$14*E53))^2/(2*9.81)+B53+0.5*(((DATOS!$B$27*C53/(DATOS!$B$14*E53))^2/((DATOS!$B$14*E53)/(DATOS!$B$14+2*E53))^(4/3))+((DATOS!$B$27*C54/(DATOS!$B$14*((AB54+AC54)/2)))^2/((DATOS!$B$14*((AB54+AC54)/2))/(DATOS!$B$14+2*((AB54+AC54)/2)))^(4/3)))*(A53-A54)))&lt;0,AC54,((AB54+AC54)/2))</f>
        <v/>
      </c>
      <c r="AF54" s="16">
        <f>IF((((AD54+AE54)/2)+(C54/(DATOS!$B$14*((AD54+AE54)/2)))^2/(2*9.81)+B54-(E53+(C53/(DATOS!$B$14*E53))^2/(2*9.81)+B53+0.5*(((DATOS!$B$27*C53/(DATOS!$B$14*E53))^2/((DATOS!$B$14*E53)/(DATOS!$B$14+2*E53))^(4/3))+((DATOS!$B$27*C54/(DATOS!$B$14*((AD54+AE54)/2)))^2/((DATOS!$B$14*((AD54+AE54)/2))/(DATOS!$B$14+2*((AD54+AE54)/2)))^(4/3)))*(A53-A54)))&lt;0,((AD54+AE54)/2),AD54)</f>
        <v/>
      </c>
      <c r="AG54" s="16">
        <f>IF((((AD54+AE54)/2)+(C54/(DATOS!$B$14*((AD54+AE54)/2)))^2/(2*9.81)+B54-(E53+(C53/(DATOS!$B$14*E53))^2/(2*9.81)+B53+0.5*(((DATOS!$B$27*C53/(DATOS!$B$14*E53))^2/((DATOS!$B$14*E53)/(DATOS!$B$14+2*E53))^(4/3))+((DATOS!$B$27*C54/(DATOS!$B$14*((AD54+AE54)/2)))^2/((DATOS!$B$14*((AD54+AE54)/2))/(DATOS!$B$14+2*((AD54+AE54)/2)))^(4/3)))*(A53-A54)))&lt;0,AE54,((AD54+AE54)/2))</f>
        <v/>
      </c>
      <c r="AH54" s="16">
        <f>IF((((AF54+AG54)/2)+(C54/(DATOS!$B$14*((AF54+AG54)/2)))^2/(2*9.81)+B54-(E53+(C53/(DATOS!$B$14*E53))^2/(2*9.81)+B53+0.5*(((DATOS!$B$27*C53/(DATOS!$B$14*E53))^2/((DATOS!$B$14*E53)/(DATOS!$B$14+2*E53))^(4/3))+((DATOS!$B$27*C54/(DATOS!$B$14*((AF54+AG54)/2)))^2/((DATOS!$B$14*((AF54+AG54)/2))/(DATOS!$B$14+2*((AF54+AG54)/2)))^(4/3)))*(A53-A54)))&lt;0,((AF54+AG54)/2),AF54)</f>
        <v/>
      </c>
      <c r="AI54" s="16">
        <f>IF((((AF54+AG54)/2)+(C54/(DATOS!$B$14*((AF54+AG54)/2)))^2/(2*9.81)+B54-(E53+(C53/(DATOS!$B$14*E53))^2/(2*9.81)+B53+0.5*(((DATOS!$B$27*C53/(DATOS!$B$14*E53))^2/((DATOS!$B$14*E53)/(DATOS!$B$14+2*E53))^(4/3))+((DATOS!$B$27*C54/(DATOS!$B$14*((AF54+AG54)/2)))^2/((DATOS!$B$14*((AF54+AG54)/2))/(DATOS!$B$14+2*((AF54+AG54)/2)))^(4/3)))*(A53-A54)))&lt;0,AG54,((AF54+AG54)/2))</f>
        <v/>
      </c>
      <c r="AJ54" s="16">
        <f>IF((((AH54+AI54)/2)+(C54/(DATOS!$B$14*((AH54+AI54)/2)))^2/(2*9.81)+B54-(E53+(C53/(DATOS!$B$14*E53))^2/(2*9.81)+B53+0.5*(((DATOS!$B$27*C53/(DATOS!$B$14*E53))^2/((DATOS!$B$14*E53)/(DATOS!$B$14+2*E53))^(4/3))+((DATOS!$B$27*C54/(DATOS!$B$14*((AH54+AI54)/2)))^2/((DATOS!$B$14*((AH54+AI54)/2))/(DATOS!$B$14+2*((AH54+AI54)/2)))^(4/3)))*(A53-A54)))&lt;0,((AH54+AI54)/2),AH54)</f>
        <v/>
      </c>
      <c r="AK54" s="16">
        <f>IF((((AH54+AI54)/2)+(C54/(DATOS!$B$14*((AH54+AI54)/2)))^2/(2*9.81)+B54-(E53+(C53/(DATOS!$B$14*E53))^2/(2*9.81)+B53+0.5*(((DATOS!$B$27*C53/(DATOS!$B$14*E53))^2/((DATOS!$B$14*E53)/(DATOS!$B$14+2*E53))^(4/3))+((DATOS!$B$27*C54/(DATOS!$B$14*((AH54+AI54)/2)))^2/((DATOS!$B$14*((AH54+AI54)/2))/(DATOS!$B$14+2*((AH54+AI54)/2)))^(4/3)))*(A53-A54)))&lt;0,AI54,((AH54+AI54)/2))</f>
        <v/>
      </c>
      <c r="AL54" s="16">
        <f>IF((((AJ54+AK54)/2)+(C54/(DATOS!$B$14*((AJ54+AK54)/2)))^2/(2*9.81)+B54-(E53+(C53/(DATOS!$B$14*E53))^2/(2*9.81)+B53+0.5*(((DATOS!$B$27*C53/(DATOS!$B$14*E53))^2/((DATOS!$B$14*E53)/(DATOS!$B$14+2*E53))^(4/3))+((DATOS!$B$27*C54/(DATOS!$B$14*((AJ54+AK54)/2)))^2/((DATOS!$B$14*((AJ54+AK54)/2))/(DATOS!$B$14+2*((AJ54+AK54)/2)))^(4/3)))*(A53-A54)))&lt;0,((AJ54+AK54)/2),AJ54)</f>
        <v/>
      </c>
      <c r="AM54" s="16">
        <f>IF((((AJ54+AK54)/2)+(C54/(DATOS!$B$14*((AJ54+AK54)/2)))^2/(2*9.81)+B54-(E53+(C53/(DATOS!$B$14*E53))^2/(2*9.81)+B53+0.5*(((DATOS!$B$27*C53/(DATOS!$B$14*E53))^2/((DATOS!$B$14*E53)/(DATOS!$B$14+2*E53))^(4/3))+((DATOS!$B$27*C54/(DATOS!$B$14*((AJ54+AK54)/2)))^2/((DATOS!$B$14*((AJ54+AK54)/2))/(DATOS!$B$14+2*((AJ54+AK54)/2)))^(4/3)))*(A53-A54)))&lt;0,AK54,((AJ54+AK54)/2))</f>
        <v/>
      </c>
      <c r="AN54" s="16">
        <f>IF((((AL54+AM54)/2)+(C54/(DATOS!$B$14*((AL54+AM54)/2)))^2/(2*9.81)+B54-(E53+(C53/(DATOS!$B$14*E53))^2/(2*9.81)+B53+0.5*(((DATOS!$B$27*C53/(DATOS!$B$14*E53))^2/((DATOS!$B$14*E53)/(DATOS!$B$14+2*E53))^(4/3))+((DATOS!$B$27*C54/(DATOS!$B$14*((AL54+AM54)/2)))^2/((DATOS!$B$14*((AL54+AM54)/2))/(DATOS!$B$14+2*((AL54+AM54)/2)))^(4/3)))*(A53-A54)))&lt;0,((AL54+AM54)/2),AL54)</f>
        <v/>
      </c>
      <c r="AO54" s="16">
        <f>IF((((AL54+AM54)/2)+(C54/(DATOS!$B$14*((AL54+AM54)/2)))^2/(2*9.81)+B54-(E53+(C53/(DATOS!$B$14*E53))^2/(2*9.81)+B53+0.5*(((DATOS!$B$27*C53/(DATOS!$B$14*E53))^2/((DATOS!$B$14*E53)/(DATOS!$B$14+2*E53))^(4/3))+((DATOS!$B$27*C54/(DATOS!$B$14*((AL54+AM54)/2)))^2/((DATOS!$B$14*((AL54+AM54)/2))/(DATOS!$B$14+2*((AL54+AM54)/2)))^(4/3)))*(A53-A54)))&lt;0,AM54,((AL54+AM54)/2))</f>
        <v/>
      </c>
      <c r="AP54" s="16">
        <f>IF((((AN54+AO54)/2)+(C54/(DATOS!$B$14*((AN54+AO54)/2)))^2/(2*9.81)+B54-(E53+(C53/(DATOS!$B$14*E53))^2/(2*9.81)+B53+0.5*(((DATOS!$B$27*C53/(DATOS!$B$14*E53))^2/((DATOS!$B$14*E53)/(DATOS!$B$14+2*E53))^(4/3))+((DATOS!$B$27*C54/(DATOS!$B$14*((AN54+AO54)/2)))^2/((DATOS!$B$14*((AN54+AO54)/2))/(DATOS!$B$14+2*((AN54+AO54)/2)))^(4/3)))*(A53-A54)))&lt;0,((AN54+AO54)/2),AN54)</f>
        <v/>
      </c>
      <c r="AQ54" s="16">
        <f>IF((((AN54+AO54)/2)+(C54/(DATOS!$B$14*((AN54+AO54)/2)))^2/(2*9.81)+B54-(E53+(C53/(DATOS!$B$14*E53))^2/(2*9.81)+B53+0.5*(((DATOS!$B$27*C53/(DATOS!$B$14*E53))^2/((DATOS!$B$14*E53)/(DATOS!$B$14+2*E53))^(4/3))+((DATOS!$B$27*C54/(DATOS!$B$14*((AN54+AO54)/2)))^2/((DATOS!$B$14*((AN54+AO54)/2))/(DATOS!$B$14+2*((AN54+AO54)/2)))^(4/3)))*(A53-A54)))&lt;0,AO54,((AN54+AO54)/2))</f>
        <v/>
      </c>
      <c r="AR54" s="16">
        <f>IF((((AP54+AQ54)/2)+(C54/(DATOS!$B$14*((AP54+AQ54)/2)))^2/(2*9.81)+B54-(E53+(C53/(DATOS!$B$14*E53))^2/(2*9.81)+B53+0.5*(((DATOS!$B$27*C53/(DATOS!$B$14*E53))^2/((DATOS!$B$14*E53)/(DATOS!$B$14+2*E53))^(4/3))+((DATOS!$B$27*C54/(DATOS!$B$14*((AP54+AQ54)/2)))^2/((DATOS!$B$14*((AP54+AQ54)/2))/(DATOS!$B$14+2*((AP54+AQ54)/2)))^(4/3)))*(A53-A54)))&lt;0,((AP54+AQ54)/2),AP54)</f>
        <v/>
      </c>
      <c r="AS54" s="16">
        <f>IF((((AP54+AQ54)/2)+(C54/(DATOS!$B$14*((AP54+AQ54)/2)))^2/(2*9.81)+B54-(E53+(C53/(DATOS!$B$14*E53))^2/(2*9.81)+B53+0.5*(((DATOS!$B$27*C53/(DATOS!$B$14*E53))^2/((DATOS!$B$14*E53)/(DATOS!$B$14+2*E53))^(4/3))+((DATOS!$B$27*C54/(DATOS!$B$14*((AP54+AQ54)/2)))^2/((DATOS!$B$14*((AP54+AQ54)/2))/(DATOS!$B$14+2*((AP54+AQ54)/2)))^(4/3)))*(A53-A54)))&lt;0,AQ54,((AP54+AQ54)/2))</f>
        <v/>
      </c>
      <c r="AT54" s="16">
        <f>IF((((AR54+AS54)/2)+(C54/(DATOS!$B$14*((AR54+AS54)/2)))^2/(2*9.81)+B54-(E53+(C53/(DATOS!$B$14*E53))^2/(2*9.81)+B53+0.5*(((DATOS!$B$27*C53/(DATOS!$B$14*E53))^2/((DATOS!$B$14*E53)/(DATOS!$B$14+2*E53))^(4/3))+((DATOS!$B$27*C54/(DATOS!$B$14*((AR54+AS54)/2)))^2/((DATOS!$B$14*((AR54+AS54)/2))/(DATOS!$B$14+2*((AR54+AS54)/2)))^(4/3)))*(A53-A54)))&lt;0,((AR54+AS54)/2),AR54)</f>
        <v/>
      </c>
      <c r="AU54" s="16">
        <f>IF((((AR54+AS54)/2)+(C54/(DATOS!$B$14*((AR54+AS54)/2)))^2/(2*9.81)+B54-(E53+(C53/(DATOS!$B$14*E53))^2/(2*9.81)+B53+0.5*(((DATOS!$B$27*C53/(DATOS!$B$14*E53))^2/((DATOS!$B$14*E53)/(DATOS!$B$14+2*E53))^(4/3))+((DATOS!$B$27*C54/(DATOS!$B$14*((AR54+AS54)/2)))^2/((DATOS!$B$14*((AR54+AS54)/2))/(DATOS!$B$14+2*((AR54+AS54)/2)))^(4/3)))*(A53-A54)))&lt;0,AS54,((AR54+AS54)/2))</f>
        <v/>
      </c>
      <c r="AV54" s="16">
        <f>IF((((AT54+AU54)/2)+(C54/(DATOS!$B$14*((AT54+AU54)/2)))^2/(2*9.81)+B54-(E53+(C53/(DATOS!$B$14*E53))^2/(2*9.81)+B53+0.5*(((DATOS!$B$27*C53/(DATOS!$B$14*E53))^2/((DATOS!$B$14*E53)/(DATOS!$B$14+2*E53))^(4/3))+((DATOS!$B$27*C54/(DATOS!$B$14*((AT54+AU54)/2)))^2/((DATOS!$B$14*((AT54+AU54)/2))/(DATOS!$B$14+2*((AT54+AU54)/2)))^(4/3)))*(A53-A54)))&lt;0,((AT54+AU54)/2),AT54)</f>
        <v/>
      </c>
      <c r="AW54" s="16">
        <f>IF((((AT54+AU54)/2)+(C54/(DATOS!$B$14*((AT54+AU54)/2)))^2/(2*9.81)+B54-(E53+(C53/(DATOS!$B$14*E53))^2/(2*9.81)+B53+0.5*(((DATOS!$B$27*C53/(DATOS!$B$14*E53))^2/((DATOS!$B$14*E53)/(DATOS!$B$14+2*E53))^(4/3))+((DATOS!$B$27*C54/(DATOS!$B$14*((AT54+AU54)/2)))^2/((DATOS!$B$14*((AT54+AU54)/2))/(DATOS!$B$14+2*((AT54+AU54)/2)))^(4/3)))*(A53-A54)))&lt;0,AU54,((AT54+AU54)/2))</f>
        <v/>
      </c>
      <c r="AX54" s="16">
        <f>IF((((AV54+AW54)/2)+(C54/(DATOS!$B$14*((AV54+AW54)/2)))^2/(2*9.81)+B54-(E53+(C53/(DATOS!$B$14*E53))^2/(2*9.81)+B53+0.5*(((DATOS!$B$27*C53/(DATOS!$B$14*E53))^2/((DATOS!$B$14*E53)/(DATOS!$B$14+2*E53))^(4/3))+((DATOS!$B$27*C54/(DATOS!$B$14*((AV54+AW54)/2)))^2/((DATOS!$B$14*((AV54+AW54)/2))/(DATOS!$B$14+2*((AV54+AW54)/2)))^(4/3)))*(A53-A54)))&lt;0,((AV54+AW54)/2),AV54)</f>
        <v/>
      </c>
      <c r="AY54" s="16">
        <f>IF((((AV54+AW54)/2)+(C54/(DATOS!$B$14*((AV54+AW54)/2)))^2/(2*9.81)+B54-(E53+(C53/(DATOS!$B$14*E53))^2/(2*9.81)+B53+0.5*(((DATOS!$B$27*C53/(DATOS!$B$14*E53))^2/((DATOS!$B$14*E53)/(DATOS!$B$14+2*E53))^(4/3))+((DATOS!$B$27*C54/(DATOS!$B$14*((AV54+AW54)/2)))^2/((DATOS!$B$14*((AV54+AW54)/2))/(DATOS!$B$14+2*((AV54+AW54)/2)))^(4/3)))*(A53-A54)))&lt;0,AW54,((AV54+AW54)/2))</f>
        <v/>
      </c>
      <c r="AZ54" s="16">
        <f>IF((((AX54+AY54)/2)+(C54/(DATOS!$B$14*((AX54+AY54)/2)))^2/(2*9.81)+B54-(E53+(C53/(DATOS!$B$14*E53))^2/(2*9.81)+B53+0.5*(((DATOS!$B$27*C53/(DATOS!$B$14*E53))^2/((DATOS!$B$14*E53)/(DATOS!$B$14+2*E53))^(4/3))+((DATOS!$B$27*C54/(DATOS!$B$14*((AX54+AY54)/2)))^2/((DATOS!$B$14*((AX54+AY54)/2))/(DATOS!$B$14+2*((AX54+AY54)/2)))^(4/3)))*(A53-A54)))&lt;0,((AX54+AY54)/2),AX54)</f>
        <v/>
      </c>
      <c r="BA54" s="16">
        <f>IF((((AX54+AY54)/2)+(C54/(DATOS!$B$14*((AX54+AY54)/2)))^2/(2*9.81)+B54-(E53+(C53/(DATOS!$B$14*E53))^2/(2*9.81)+B53+0.5*(((DATOS!$B$27*C53/(DATOS!$B$14*E53))^2/((DATOS!$B$14*E53)/(DATOS!$B$14+2*E53))^(4/3))+((DATOS!$B$27*C54/(DATOS!$B$14*((AX54+AY54)/2)))^2/((DATOS!$B$14*((AX54+AY54)/2))/(DATOS!$B$14+2*((AX54+AY54)/2)))^(4/3)))*(A53-A54)))&lt;0,AY54,((AX54+AY54)/2))</f>
        <v/>
      </c>
      <c r="BB54" s="16">
        <f>IF((((AZ54+BA54)/2)+(C54/(DATOS!$B$14*((AZ54+BA54)/2)))^2/(2*9.81)+B54-(E53+(C53/(DATOS!$B$14*E53))^2/(2*9.81)+B53+0.5*(((DATOS!$B$27*C53/(DATOS!$B$14*E53))^2/((DATOS!$B$14*E53)/(DATOS!$B$14+2*E53))^(4/3))+((DATOS!$B$27*C54/(DATOS!$B$14*((AZ54+BA54)/2)))^2/((DATOS!$B$14*((AZ54+BA54)/2))/(DATOS!$B$14+2*((AZ54+BA54)/2)))^(4/3)))*(A53-A54)))&lt;0,((AZ54+BA54)/2),AZ54)</f>
        <v/>
      </c>
      <c r="BC54" s="16">
        <f>IF((((AZ54+BA54)/2)+(C54/(DATOS!$B$14*((AZ54+BA54)/2)))^2/(2*9.81)+B54-(E53+(C53/(DATOS!$B$14*E53))^2/(2*9.81)+B53+0.5*(((DATOS!$B$27*C53/(DATOS!$B$14*E53))^2/((DATOS!$B$14*E53)/(DATOS!$B$14+2*E53))^(4/3))+((DATOS!$B$27*C54/(DATOS!$B$14*((AZ54+BA54)/2)))^2/((DATOS!$B$14*((AZ54+BA54)/2))/(DATOS!$B$14+2*((AZ54+BA54)/2)))^(4/3)))*(A53-A54)))&lt;0,BA54,((AZ54+BA54)/2))</f>
        <v/>
      </c>
      <c r="BD54" s="16">
        <f>IF((((BB54+BC54)/2)+(C54/(DATOS!$B$14*((BB54+BC54)/2)))^2/(2*9.81)+B54-(E53+(C53/(DATOS!$B$14*E53))^2/(2*9.81)+B53+0.5*(((DATOS!$B$27*C53/(DATOS!$B$14*E53))^2/((DATOS!$B$14*E53)/(DATOS!$B$14+2*E53))^(4/3))+((DATOS!$B$27*C54/(DATOS!$B$14*((BB54+BC54)/2)))^2/((DATOS!$B$14*((BB54+BC54)/2))/(DATOS!$B$14+2*((BB54+BC54)/2)))^(4/3)))*(A53-A54)))&lt;0,((BB54+BC54)/2),BB54)</f>
        <v/>
      </c>
      <c r="BE54" s="16">
        <f>IF((((BB54+BC54)/2)+(C54/(DATOS!$B$14*((BB54+BC54)/2)))^2/(2*9.81)+B54-(E53+(C53/(DATOS!$B$14*E53))^2/(2*9.81)+B53+0.5*(((DATOS!$B$27*C53/(DATOS!$B$14*E53))^2/((DATOS!$B$14*E53)/(DATOS!$B$14+2*E53))^(4/3))+((DATOS!$B$27*C54/(DATOS!$B$14*((BB54+BC54)/2)))^2/((DATOS!$B$14*((BB54+BC54)/2))/(DATOS!$B$14+2*((BB54+BC54)/2)))^(4/3)))*(A53-A54)))&lt;0,BC54,((BB54+BC54)/2))</f>
        <v/>
      </c>
      <c r="BF54" s="16">
        <f>IF((((BD54+BE54)/2)+(C54/(DATOS!$B$14*((BD54+BE54)/2)))^2/(2*9.81)+B54-(E53+(C53/(DATOS!$B$14*E53))^2/(2*9.81)+B53+0.5*(((DATOS!$B$27*C53/(DATOS!$B$14*E53))^2/((DATOS!$B$14*E53)/(DATOS!$B$14+2*E53))^(4/3))+((DATOS!$B$27*C54/(DATOS!$B$14*((BD54+BE54)/2)))^2/((DATOS!$B$14*((BD54+BE54)/2))/(DATOS!$B$14+2*((BD54+BE54)/2)))^(4/3)))*(A53-A54)))&lt;0,((BD54+BE54)/2),BD54)</f>
        <v/>
      </c>
      <c r="BG54" s="16">
        <f>IF((((BD54+BE54)/2)+(C54/(DATOS!$B$14*((BD54+BE54)/2)))^2/(2*9.81)+B54-(E53+(C53/(DATOS!$B$14*E53))^2/(2*9.81)+B53+0.5*(((DATOS!$B$27*C53/(DATOS!$B$14*E53))^2/((DATOS!$B$14*E53)/(DATOS!$B$14+2*E53))^(4/3))+((DATOS!$B$27*C54/(DATOS!$B$14*((BD54+BE54)/2)))^2/((DATOS!$B$14*((BD54+BE54)/2))/(DATOS!$B$14+2*((BD54+BE54)/2)))^(4/3)))*(A53-A54)))&lt;0,BE54,((BD54+BE54)/2))</f>
        <v/>
      </c>
      <c r="BH54" s="16">
        <f>IF((((BF54+BG54)/2)+(C54/(DATOS!$B$14*((BF54+BG54)/2)))^2/(2*9.81)+B54-(E53+(C53/(DATOS!$B$14*E53))^2/(2*9.81)+B53+0.5*(((DATOS!$B$27*C53/(DATOS!$B$14*E53))^2/((DATOS!$B$14*E53)/(DATOS!$B$14+2*E53))^(4/3))+((DATOS!$B$27*C54/(DATOS!$B$14*((BF54+BG54)/2)))^2/((DATOS!$B$14*((BF54+BG54)/2))/(DATOS!$B$14+2*((BF54+BG54)/2)))^(4/3)))*(A53-A54)))&lt;0,((BF54+BG54)/2),BF54)</f>
        <v/>
      </c>
      <c r="BI54" s="16">
        <f>IF((((BF54+BG54)/2)+(C54/(DATOS!$B$14*((BF54+BG54)/2)))^2/(2*9.81)+B54-(E53+(C53/(DATOS!$B$14*E53))^2/(2*9.81)+B53+0.5*(((DATOS!$B$27*C53/(DATOS!$B$14*E53))^2/((DATOS!$B$14*E53)/(DATOS!$B$14+2*E53))^(4/3))+((DATOS!$B$27*C54/(DATOS!$B$14*((BF54+BG54)/2)))^2/((DATOS!$B$14*((BF54+BG54)/2))/(DATOS!$B$14+2*((BF54+BG54)/2)))^(4/3)))*(A53-A54)))&lt;0,BG54,((BF54+BG54)/2))</f>
        <v/>
      </c>
      <c r="BJ54" s="16">
        <f>IF((((BH54+BI54)/2)+(C54/(DATOS!$B$14*((BH54+BI54)/2)))^2/(2*9.81)+B54-(E53+(C53/(DATOS!$B$14*E53))^2/(2*9.81)+B53+0.5*(((DATOS!$B$27*C53/(DATOS!$B$14*E53))^2/((DATOS!$B$14*E53)/(DATOS!$B$14+2*E53))^(4/3))+((DATOS!$B$27*C54/(DATOS!$B$14*((BH54+BI54)/2)))^2/((DATOS!$B$14*((BH54+BI54)/2))/(DATOS!$B$14+2*((BH54+BI54)/2)))^(4/3)))*(A53-A54)))&lt;0,((BH54+BI54)/2),BH54)</f>
        <v/>
      </c>
      <c r="BK54" s="16">
        <f>IF((((BH54+BI54)/2)+(C54/(DATOS!$B$14*((BH54+BI54)/2)))^2/(2*9.81)+B54-(E53+(C53/(DATOS!$B$14*E53))^2/(2*9.81)+B53+0.5*(((DATOS!$B$27*C53/(DATOS!$B$14*E53))^2/((DATOS!$B$14*E53)/(DATOS!$B$14+2*E53))^(4/3))+((DATOS!$B$27*C54/(DATOS!$B$14*((BH54+BI54)/2)))^2/((DATOS!$B$14*((BH54+BI54)/2))/(DATOS!$B$14+2*((BH54+BI54)/2)))^(4/3)))*(A53-A54)))&lt;0,BI54,((BH54+BI54)/2))</f>
        <v/>
      </c>
      <c r="BL54" s="16">
        <f>IF((((BJ54+BK54)/2)+(C54/(DATOS!$B$14*((BJ54+BK54)/2)))^2/(2*9.81)+B54-(E53+(C53/(DATOS!$B$14*E53))^2/(2*9.81)+B53+0.5*(((DATOS!$B$27*C53/(DATOS!$B$14*E53))^2/((DATOS!$B$14*E53)/(DATOS!$B$14+2*E53))^(4/3))+((DATOS!$B$27*C54/(DATOS!$B$14*((BJ54+BK54)/2)))^2/((DATOS!$B$14*((BJ54+BK54)/2))/(DATOS!$B$14+2*((BJ54+BK54)/2)))^(4/3)))*(A53-A54)))&lt;0,((BJ54+BK54)/2),BJ54)</f>
        <v/>
      </c>
      <c r="BM54" s="16">
        <f>IF((((BJ54+BK54)/2)+(C54/(DATOS!$B$14*((BJ54+BK54)/2)))^2/(2*9.81)+B54-(E53+(C53/(DATOS!$B$14*E53))^2/(2*9.81)+B53+0.5*(((DATOS!$B$27*C53/(DATOS!$B$14*E53))^2/((DATOS!$B$14*E53)/(DATOS!$B$14+2*E53))^(4/3))+((DATOS!$B$27*C54/(DATOS!$B$14*((BJ54+BK54)/2)))^2/((DATOS!$B$14*((BJ54+BK54)/2))/(DATOS!$B$14+2*((BJ54+BK54)/2)))^(4/3)))*(A53-A54)))&lt;0,BK54,((BJ54+BK54)/2))</f>
        <v/>
      </c>
      <c r="BN54" s="16">
        <f>IF((((BL54+BM54)/2)+(C54/(DATOS!$B$14*((BL54+BM54)/2)))^2/(2*9.81)+B54-(E53+(C53/(DATOS!$B$14*E53))^2/(2*9.81)+B53+0.5*(((DATOS!$B$27*C53/(DATOS!$B$14*E53))^2/((DATOS!$B$14*E53)/(DATOS!$B$14+2*E53))^(4/3))+((DATOS!$B$27*C54/(DATOS!$B$14*((BL54+BM54)/2)))^2/((DATOS!$B$14*((BL54+BM54)/2))/(DATOS!$B$14+2*((BL54+BM54)/2)))^(4/3)))*(A53-A54)))&lt;0,((BL54+BM54)/2),BL54)</f>
        <v/>
      </c>
      <c r="BO54" s="16">
        <f>IF((((BL54+BM54)/2)+(C54/(DATOS!$B$14*((BL54+BM54)/2)))^2/(2*9.81)+B54-(E53+(C53/(DATOS!$B$14*E53))^2/(2*9.81)+B53+0.5*(((DATOS!$B$27*C53/(DATOS!$B$14*E53))^2/((DATOS!$B$14*E53)/(DATOS!$B$14+2*E53))^(4/3))+((DATOS!$B$27*C54/(DATOS!$B$14*((BL54+BM54)/2)))^2/((DATOS!$B$14*((BL54+BM54)/2))/(DATOS!$B$14+2*((BL54+BM54)/2)))^(4/3)))*(A53-A54)))&lt;0,BM54,((BL54+BM54)/2))</f>
        <v/>
      </c>
      <c r="BP54" s="16">
        <f>IF((((BN54+BO54)/2)+(C54/(DATOS!$B$14*((BN54+BO54)/2)))^2/(2*9.81)+B54-(E53+(C53/(DATOS!$B$14*E53))^2/(2*9.81)+B53+0.5*(((DATOS!$B$27*C53/(DATOS!$B$14*E53))^2/((DATOS!$B$14*E53)/(DATOS!$B$14+2*E53))^(4/3))+((DATOS!$B$27*C54/(DATOS!$B$14*((BN54+BO54)/2)))^2/((DATOS!$B$14*((BN54+BO54)/2))/(DATOS!$B$14+2*((BN54+BO54)/2)))^(4/3)))*(A53-A54)))&lt;0,((BN54+BO54)/2),BN54)</f>
        <v/>
      </c>
      <c r="BQ54" s="16">
        <f>IF((((BN54+BO54)/2)+(C54/(DATOS!$B$14*((BN54+BO54)/2)))^2/(2*9.81)+B54-(E53+(C53/(DATOS!$B$14*E53))^2/(2*9.81)+B53+0.5*(((DATOS!$B$27*C53/(DATOS!$B$14*E53))^2/((DATOS!$B$14*E53)/(DATOS!$B$14+2*E53))^(4/3))+((DATOS!$B$27*C54/(DATOS!$B$14*((BN54+BO54)/2)))^2/((DATOS!$B$14*((BN54+BO54)/2))/(DATOS!$B$14+2*((BN54+BO54)/2)))^(4/3)))*(A53-A54)))&lt;0,BO54,((BN54+BO54)/2))</f>
        <v/>
      </c>
      <c r="BR54" s="16">
        <f>IF((((BP54+BQ54)/2)+(C54/(DATOS!$B$14*((BP54+BQ54)/2)))^2/(2*9.81)+B54-(E53+(C53/(DATOS!$B$14*E53))^2/(2*9.81)+B53+0.5*(((DATOS!$B$27*C53/(DATOS!$B$14*E53))^2/((DATOS!$B$14*E53)/(DATOS!$B$14+2*E53))^(4/3))+((DATOS!$B$27*C54/(DATOS!$B$14*((BP54+BQ54)/2)))^2/((DATOS!$B$14*((BP54+BQ54)/2))/(DATOS!$B$14+2*((BP54+BQ54)/2)))^(4/3)))*(A53-A54)))&lt;0,((BP54+BQ54)/2),BP54)</f>
        <v/>
      </c>
      <c r="BS54" s="16">
        <f>IF((((BP54+BQ54)/2)+(C54/(DATOS!$B$14*((BP54+BQ54)/2)))^2/(2*9.81)+B54-(E53+(C53/(DATOS!$B$14*E53))^2/(2*9.81)+B53+0.5*(((DATOS!$B$27*C53/(DATOS!$B$14*E53))^2/((DATOS!$B$14*E53)/(DATOS!$B$14+2*E53))^(4/3))+((DATOS!$B$27*C54/(DATOS!$B$14*((BP54+BQ54)/2)))^2/((DATOS!$B$14*((BP54+BQ54)/2))/(DATOS!$B$14+2*((BP54+BQ54)/2)))^(4/3)))*(A53-A54)))&lt;0,BQ54,((BP54+BQ54)/2))</f>
        <v/>
      </c>
      <c r="BT54" s="16">
        <f>IF((((BR54+BS54)/2)+(C54/(DATOS!$B$14*((BR54+BS54)/2)))^2/(2*9.81)+B54-(E53+(C53/(DATOS!$B$14*E53))^2/(2*9.81)+B53+0.5*(((DATOS!$B$27*C53/(DATOS!$B$14*E53))^2/((DATOS!$B$14*E53)/(DATOS!$B$14+2*E53))^(4/3))+((DATOS!$B$27*C54/(DATOS!$B$14*((BR54+BS54)/2)))^2/((DATOS!$B$14*((BR54+BS54)/2))/(DATOS!$B$14+2*((BR54+BS54)/2)))^(4/3)))*(A53-A54)))&lt;0,((BR54+BS54)/2),BR54)</f>
        <v/>
      </c>
      <c r="BU54" s="16">
        <f>IF((((BR54+BS54)/2)+(C54/(DATOS!$B$14*((BR54+BS54)/2)))^2/(2*9.81)+B54-(E53+(C53/(DATOS!$B$14*E53))^2/(2*9.81)+B53+0.5*(((DATOS!$B$27*C53/(DATOS!$B$14*E53))^2/((DATOS!$B$14*E53)/(DATOS!$B$14+2*E53))^(4/3))+((DATOS!$B$27*C54/(DATOS!$B$14*((BR54+BS54)/2)))^2/((DATOS!$B$14*((BR54+BS54)/2))/(DATOS!$B$14+2*((BR54+BS54)/2)))^(4/3)))*(A53-A54)))&lt;0,BS54,((BR54+BS54)/2))</f>
        <v/>
      </c>
    </row>
    <row r="55">
      <c r="A55" s="30" t="n">
        <v>46</v>
      </c>
      <c r="B55" s="21">
        <f>DATOS!$B$16-DATOS!$B$19*A55</f>
        <v/>
      </c>
      <c r="C55" s="21">
        <f>IF(A55&lt;CAUDALES!$B$13,CAUDALES!$D$12,IF(A55&lt;CAUDALES!$B$14,CAUDALES!$D$13,IF(A55&lt;CAUDALES!$B$15,CAUDALES!$D$14,CAUDALES!$D$15)))/1000</f>
        <v/>
      </c>
      <c r="D55" s="21">
        <f>(C55^2/(9.81*DATOS!$B$14^2))^(1/3)</f>
        <v/>
      </c>
      <c r="E55" s="29">
        <f>(BT55+BU55)/2</f>
        <v/>
      </c>
      <c r="F55" s="21">
        <f>B55+E55</f>
        <v/>
      </c>
      <c r="G55" s="17">
        <f>C55/(DATOS!$B$14*E55)</f>
        <v/>
      </c>
      <c r="H55" s="17">
        <f>G55/SQRT(9.81*E55)</f>
        <v/>
      </c>
      <c r="I55" s="21">
        <f>IF(A55&lt;=DATOS!$B$20,DATOS!$B$21-IF(AND(A55&gt;=DATOS!$B$23,A55&lt;DATOS!$B$24),DATOS!$B$25,DATOS!$B$22),B55+DATOS!$B$26)</f>
        <v/>
      </c>
      <c r="J55" s="17">
        <f>I55-B55</f>
        <v/>
      </c>
      <c r="K55" s="31">
        <f>E55/J55</f>
        <v/>
      </c>
      <c r="L55" s="21">
        <f>I55-F55</f>
        <v/>
      </c>
      <c r="M55" s="32">
        <f>IF(AND(K55&lt;=DATOS!$B$29,L55&gt;=DATOS!$B$30),"CUMPLE","NO CUMPLE")</f>
        <v/>
      </c>
      <c r="N55" s="13">
        <f>IF(A55&gt;DATOS!$B$20,"cubierto - tramo final",IF(AND(A55&gt;=DATOS!$B$23,A55&lt;DATOS!$B$24),"cubierto - camiones","cubierto"))</f>
        <v/>
      </c>
      <c r="P55" s="16">
        <f>D55*1.001</f>
        <v/>
      </c>
      <c r="Q55" s="16" t="n">
        <v>2</v>
      </c>
      <c r="R55" s="16">
        <f>IF((((P55+Q55)/2)+(C55/(DATOS!$B$14*((P55+Q55)/2)))^2/(2*9.81)+B55-(E54+(C54/(DATOS!$B$14*E54))^2/(2*9.81)+B54+0.5*(((DATOS!$B$27*C54/(DATOS!$B$14*E54))^2/((DATOS!$B$14*E54)/(DATOS!$B$14+2*E54))^(4/3))+((DATOS!$B$27*C55/(DATOS!$B$14*((P55+Q55)/2)))^2/((DATOS!$B$14*((P55+Q55)/2))/(DATOS!$B$14+2*((P55+Q55)/2)))^(4/3)))*(A54-A55)))&lt;0,((P55+Q55)/2),P55)</f>
        <v/>
      </c>
      <c r="S55" s="16">
        <f>IF((((P55+Q55)/2)+(C55/(DATOS!$B$14*((P55+Q55)/2)))^2/(2*9.81)+B55-(E54+(C54/(DATOS!$B$14*E54))^2/(2*9.81)+B54+0.5*(((DATOS!$B$27*C54/(DATOS!$B$14*E54))^2/((DATOS!$B$14*E54)/(DATOS!$B$14+2*E54))^(4/3))+((DATOS!$B$27*C55/(DATOS!$B$14*((P55+Q55)/2)))^2/((DATOS!$B$14*((P55+Q55)/2))/(DATOS!$B$14+2*((P55+Q55)/2)))^(4/3)))*(A54-A55)))&lt;0,Q55,((P55+Q55)/2))</f>
        <v/>
      </c>
      <c r="T55" s="16">
        <f>IF((((R55+S55)/2)+(C55/(DATOS!$B$14*((R55+S55)/2)))^2/(2*9.81)+B55-(E54+(C54/(DATOS!$B$14*E54))^2/(2*9.81)+B54+0.5*(((DATOS!$B$27*C54/(DATOS!$B$14*E54))^2/((DATOS!$B$14*E54)/(DATOS!$B$14+2*E54))^(4/3))+((DATOS!$B$27*C55/(DATOS!$B$14*((R55+S55)/2)))^2/((DATOS!$B$14*((R55+S55)/2))/(DATOS!$B$14+2*((R55+S55)/2)))^(4/3)))*(A54-A55)))&lt;0,((R55+S55)/2),R55)</f>
        <v/>
      </c>
      <c r="U55" s="16">
        <f>IF((((R55+S55)/2)+(C55/(DATOS!$B$14*((R55+S55)/2)))^2/(2*9.81)+B55-(E54+(C54/(DATOS!$B$14*E54))^2/(2*9.81)+B54+0.5*(((DATOS!$B$27*C54/(DATOS!$B$14*E54))^2/((DATOS!$B$14*E54)/(DATOS!$B$14+2*E54))^(4/3))+((DATOS!$B$27*C55/(DATOS!$B$14*((R55+S55)/2)))^2/((DATOS!$B$14*((R55+S55)/2))/(DATOS!$B$14+2*((R55+S55)/2)))^(4/3)))*(A54-A55)))&lt;0,S55,((R55+S55)/2))</f>
        <v/>
      </c>
      <c r="V55" s="16">
        <f>IF((((T55+U55)/2)+(C55/(DATOS!$B$14*((T55+U55)/2)))^2/(2*9.81)+B55-(E54+(C54/(DATOS!$B$14*E54))^2/(2*9.81)+B54+0.5*(((DATOS!$B$27*C54/(DATOS!$B$14*E54))^2/((DATOS!$B$14*E54)/(DATOS!$B$14+2*E54))^(4/3))+((DATOS!$B$27*C55/(DATOS!$B$14*((T55+U55)/2)))^2/((DATOS!$B$14*((T55+U55)/2))/(DATOS!$B$14+2*((T55+U55)/2)))^(4/3)))*(A54-A55)))&lt;0,((T55+U55)/2),T55)</f>
        <v/>
      </c>
      <c r="W55" s="16">
        <f>IF((((T55+U55)/2)+(C55/(DATOS!$B$14*((T55+U55)/2)))^2/(2*9.81)+B55-(E54+(C54/(DATOS!$B$14*E54))^2/(2*9.81)+B54+0.5*(((DATOS!$B$27*C54/(DATOS!$B$14*E54))^2/((DATOS!$B$14*E54)/(DATOS!$B$14+2*E54))^(4/3))+((DATOS!$B$27*C55/(DATOS!$B$14*((T55+U55)/2)))^2/((DATOS!$B$14*((T55+U55)/2))/(DATOS!$B$14+2*((T55+U55)/2)))^(4/3)))*(A54-A55)))&lt;0,U55,((T55+U55)/2))</f>
        <v/>
      </c>
      <c r="X55" s="16">
        <f>IF((((V55+W55)/2)+(C55/(DATOS!$B$14*((V55+W55)/2)))^2/(2*9.81)+B55-(E54+(C54/(DATOS!$B$14*E54))^2/(2*9.81)+B54+0.5*(((DATOS!$B$27*C54/(DATOS!$B$14*E54))^2/((DATOS!$B$14*E54)/(DATOS!$B$14+2*E54))^(4/3))+((DATOS!$B$27*C55/(DATOS!$B$14*((V55+W55)/2)))^2/((DATOS!$B$14*((V55+W55)/2))/(DATOS!$B$14+2*((V55+W55)/2)))^(4/3)))*(A54-A55)))&lt;0,((V55+W55)/2),V55)</f>
        <v/>
      </c>
      <c r="Y55" s="16">
        <f>IF((((V55+W55)/2)+(C55/(DATOS!$B$14*((V55+W55)/2)))^2/(2*9.81)+B55-(E54+(C54/(DATOS!$B$14*E54))^2/(2*9.81)+B54+0.5*(((DATOS!$B$27*C54/(DATOS!$B$14*E54))^2/((DATOS!$B$14*E54)/(DATOS!$B$14+2*E54))^(4/3))+((DATOS!$B$27*C55/(DATOS!$B$14*((V55+W55)/2)))^2/((DATOS!$B$14*((V55+W55)/2))/(DATOS!$B$14+2*((V55+W55)/2)))^(4/3)))*(A54-A55)))&lt;0,W55,((V55+W55)/2))</f>
        <v/>
      </c>
      <c r="Z55" s="16">
        <f>IF((((X55+Y55)/2)+(C55/(DATOS!$B$14*((X55+Y55)/2)))^2/(2*9.81)+B55-(E54+(C54/(DATOS!$B$14*E54))^2/(2*9.81)+B54+0.5*(((DATOS!$B$27*C54/(DATOS!$B$14*E54))^2/((DATOS!$B$14*E54)/(DATOS!$B$14+2*E54))^(4/3))+((DATOS!$B$27*C55/(DATOS!$B$14*((X55+Y55)/2)))^2/((DATOS!$B$14*((X55+Y55)/2))/(DATOS!$B$14+2*((X55+Y55)/2)))^(4/3)))*(A54-A55)))&lt;0,((X55+Y55)/2),X55)</f>
        <v/>
      </c>
      <c r="AA55" s="16">
        <f>IF((((X55+Y55)/2)+(C55/(DATOS!$B$14*((X55+Y55)/2)))^2/(2*9.81)+B55-(E54+(C54/(DATOS!$B$14*E54))^2/(2*9.81)+B54+0.5*(((DATOS!$B$27*C54/(DATOS!$B$14*E54))^2/((DATOS!$B$14*E54)/(DATOS!$B$14+2*E54))^(4/3))+((DATOS!$B$27*C55/(DATOS!$B$14*((X55+Y55)/2)))^2/((DATOS!$B$14*((X55+Y55)/2))/(DATOS!$B$14+2*((X55+Y55)/2)))^(4/3)))*(A54-A55)))&lt;0,Y55,((X55+Y55)/2))</f>
        <v/>
      </c>
      <c r="AB55" s="16">
        <f>IF((((Z55+AA55)/2)+(C55/(DATOS!$B$14*((Z55+AA55)/2)))^2/(2*9.81)+B55-(E54+(C54/(DATOS!$B$14*E54))^2/(2*9.81)+B54+0.5*(((DATOS!$B$27*C54/(DATOS!$B$14*E54))^2/((DATOS!$B$14*E54)/(DATOS!$B$14+2*E54))^(4/3))+((DATOS!$B$27*C55/(DATOS!$B$14*((Z55+AA55)/2)))^2/((DATOS!$B$14*((Z55+AA55)/2))/(DATOS!$B$14+2*((Z55+AA55)/2)))^(4/3)))*(A54-A55)))&lt;0,((Z55+AA55)/2),Z55)</f>
        <v/>
      </c>
      <c r="AC55" s="16">
        <f>IF((((Z55+AA55)/2)+(C55/(DATOS!$B$14*((Z55+AA55)/2)))^2/(2*9.81)+B55-(E54+(C54/(DATOS!$B$14*E54))^2/(2*9.81)+B54+0.5*(((DATOS!$B$27*C54/(DATOS!$B$14*E54))^2/((DATOS!$B$14*E54)/(DATOS!$B$14+2*E54))^(4/3))+((DATOS!$B$27*C55/(DATOS!$B$14*((Z55+AA55)/2)))^2/((DATOS!$B$14*((Z55+AA55)/2))/(DATOS!$B$14+2*((Z55+AA55)/2)))^(4/3)))*(A54-A55)))&lt;0,AA55,((Z55+AA55)/2))</f>
        <v/>
      </c>
      <c r="AD55" s="16">
        <f>IF((((AB55+AC55)/2)+(C55/(DATOS!$B$14*((AB55+AC55)/2)))^2/(2*9.81)+B55-(E54+(C54/(DATOS!$B$14*E54))^2/(2*9.81)+B54+0.5*(((DATOS!$B$27*C54/(DATOS!$B$14*E54))^2/((DATOS!$B$14*E54)/(DATOS!$B$14+2*E54))^(4/3))+((DATOS!$B$27*C55/(DATOS!$B$14*((AB55+AC55)/2)))^2/((DATOS!$B$14*((AB55+AC55)/2))/(DATOS!$B$14+2*((AB55+AC55)/2)))^(4/3)))*(A54-A55)))&lt;0,((AB55+AC55)/2),AB55)</f>
        <v/>
      </c>
      <c r="AE55" s="16">
        <f>IF((((AB55+AC55)/2)+(C55/(DATOS!$B$14*((AB55+AC55)/2)))^2/(2*9.81)+B55-(E54+(C54/(DATOS!$B$14*E54))^2/(2*9.81)+B54+0.5*(((DATOS!$B$27*C54/(DATOS!$B$14*E54))^2/((DATOS!$B$14*E54)/(DATOS!$B$14+2*E54))^(4/3))+((DATOS!$B$27*C55/(DATOS!$B$14*((AB55+AC55)/2)))^2/((DATOS!$B$14*((AB55+AC55)/2))/(DATOS!$B$14+2*((AB55+AC55)/2)))^(4/3)))*(A54-A55)))&lt;0,AC55,((AB55+AC55)/2))</f>
        <v/>
      </c>
      <c r="AF55" s="16">
        <f>IF((((AD55+AE55)/2)+(C55/(DATOS!$B$14*((AD55+AE55)/2)))^2/(2*9.81)+B55-(E54+(C54/(DATOS!$B$14*E54))^2/(2*9.81)+B54+0.5*(((DATOS!$B$27*C54/(DATOS!$B$14*E54))^2/((DATOS!$B$14*E54)/(DATOS!$B$14+2*E54))^(4/3))+((DATOS!$B$27*C55/(DATOS!$B$14*((AD55+AE55)/2)))^2/((DATOS!$B$14*((AD55+AE55)/2))/(DATOS!$B$14+2*((AD55+AE55)/2)))^(4/3)))*(A54-A55)))&lt;0,((AD55+AE55)/2),AD55)</f>
        <v/>
      </c>
      <c r="AG55" s="16">
        <f>IF((((AD55+AE55)/2)+(C55/(DATOS!$B$14*((AD55+AE55)/2)))^2/(2*9.81)+B55-(E54+(C54/(DATOS!$B$14*E54))^2/(2*9.81)+B54+0.5*(((DATOS!$B$27*C54/(DATOS!$B$14*E54))^2/((DATOS!$B$14*E54)/(DATOS!$B$14+2*E54))^(4/3))+((DATOS!$B$27*C55/(DATOS!$B$14*((AD55+AE55)/2)))^2/((DATOS!$B$14*((AD55+AE55)/2))/(DATOS!$B$14+2*((AD55+AE55)/2)))^(4/3)))*(A54-A55)))&lt;0,AE55,((AD55+AE55)/2))</f>
        <v/>
      </c>
      <c r="AH55" s="16">
        <f>IF((((AF55+AG55)/2)+(C55/(DATOS!$B$14*((AF55+AG55)/2)))^2/(2*9.81)+B55-(E54+(C54/(DATOS!$B$14*E54))^2/(2*9.81)+B54+0.5*(((DATOS!$B$27*C54/(DATOS!$B$14*E54))^2/((DATOS!$B$14*E54)/(DATOS!$B$14+2*E54))^(4/3))+((DATOS!$B$27*C55/(DATOS!$B$14*((AF55+AG55)/2)))^2/((DATOS!$B$14*((AF55+AG55)/2))/(DATOS!$B$14+2*((AF55+AG55)/2)))^(4/3)))*(A54-A55)))&lt;0,((AF55+AG55)/2),AF55)</f>
        <v/>
      </c>
      <c r="AI55" s="16">
        <f>IF((((AF55+AG55)/2)+(C55/(DATOS!$B$14*((AF55+AG55)/2)))^2/(2*9.81)+B55-(E54+(C54/(DATOS!$B$14*E54))^2/(2*9.81)+B54+0.5*(((DATOS!$B$27*C54/(DATOS!$B$14*E54))^2/((DATOS!$B$14*E54)/(DATOS!$B$14+2*E54))^(4/3))+((DATOS!$B$27*C55/(DATOS!$B$14*((AF55+AG55)/2)))^2/((DATOS!$B$14*((AF55+AG55)/2))/(DATOS!$B$14+2*((AF55+AG55)/2)))^(4/3)))*(A54-A55)))&lt;0,AG55,((AF55+AG55)/2))</f>
        <v/>
      </c>
      <c r="AJ55" s="16">
        <f>IF((((AH55+AI55)/2)+(C55/(DATOS!$B$14*((AH55+AI55)/2)))^2/(2*9.81)+B55-(E54+(C54/(DATOS!$B$14*E54))^2/(2*9.81)+B54+0.5*(((DATOS!$B$27*C54/(DATOS!$B$14*E54))^2/((DATOS!$B$14*E54)/(DATOS!$B$14+2*E54))^(4/3))+((DATOS!$B$27*C55/(DATOS!$B$14*((AH55+AI55)/2)))^2/((DATOS!$B$14*((AH55+AI55)/2))/(DATOS!$B$14+2*((AH55+AI55)/2)))^(4/3)))*(A54-A55)))&lt;0,((AH55+AI55)/2),AH55)</f>
        <v/>
      </c>
      <c r="AK55" s="16">
        <f>IF((((AH55+AI55)/2)+(C55/(DATOS!$B$14*((AH55+AI55)/2)))^2/(2*9.81)+B55-(E54+(C54/(DATOS!$B$14*E54))^2/(2*9.81)+B54+0.5*(((DATOS!$B$27*C54/(DATOS!$B$14*E54))^2/((DATOS!$B$14*E54)/(DATOS!$B$14+2*E54))^(4/3))+((DATOS!$B$27*C55/(DATOS!$B$14*((AH55+AI55)/2)))^2/((DATOS!$B$14*((AH55+AI55)/2))/(DATOS!$B$14+2*((AH55+AI55)/2)))^(4/3)))*(A54-A55)))&lt;0,AI55,((AH55+AI55)/2))</f>
        <v/>
      </c>
      <c r="AL55" s="16">
        <f>IF((((AJ55+AK55)/2)+(C55/(DATOS!$B$14*((AJ55+AK55)/2)))^2/(2*9.81)+B55-(E54+(C54/(DATOS!$B$14*E54))^2/(2*9.81)+B54+0.5*(((DATOS!$B$27*C54/(DATOS!$B$14*E54))^2/((DATOS!$B$14*E54)/(DATOS!$B$14+2*E54))^(4/3))+((DATOS!$B$27*C55/(DATOS!$B$14*((AJ55+AK55)/2)))^2/((DATOS!$B$14*((AJ55+AK55)/2))/(DATOS!$B$14+2*((AJ55+AK55)/2)))^(4/3)))*(A54-A55)))&lt;0,((AJ55+AK55)/2),AJ55)</f>
        <v/>
      </c>
      <c r="AM55" s="16">
        <f>IF((((AJ55+AK55)/2)+(C55/(DATOS!$B$14*((AJ55+AK55)/2)))^2/(2*9.81)+B55-(E54+(C54/(DATOS!$B$14*E54))^2/(2*9.81)+B54+0.5*(((DATOS!$B$27*C54/(DATOS!$B$14*E54))^2/((DATOS!$B$14*E54)/(DATOS!$B$14+2*E54))^(4/3))+((DATOS!$B$27*C55/(DATOS!$B$14*((AJ55+AK55)/2)))^2/((DATOS!$B$14*((AJ55+AK55)/2))/(DATOS!$B$14+2*((AJ55+AK55)/2)))^(4/3)))*(A54-A55)))&lt;0,AK55,((AJ55+AK55)/2))</f>
        <v/>
      </c>
      <c r="AN55" s="16">
        <f>IF((((AL55+AM55)/2)+(C55/(DATOS!$B$14*((AL55+AM55)/2)))^2/(2*9.81)+B55-(E54+(C54/(DATOS!$B$14*E54))^2/(2*9.81)+B54+0.5*(((DATOS!$B$27*C54/(DATOS!$B$14*E54))^2/((DATOS!$B$14*E54)/(DATOS!$B$14+2*E54))^(4/3))+((DATOS!$B$27*C55/(DATOS!$B$14*((AL55+AM55)/2)))^2/((DATOS!$B$14*((AL55+AM55)/2))/(DATOS!$B$14+2*((AL55+AM55)/2)))^(4/3)))*(A54-A55)))&lt;0,((AL55+AM55)/2),AL55)</f>
        <v/>
      </c>
      <c r="AO55" s="16">
        <f>IF((((AL55+AM55)/2)+(C55/(DATOS!$B$14*((AL55+AM55)/2)))^2/(2*9.81)+B55-(E54+(C54/(DATOS!$B$14*E54))^2/(2*9.81)+B54+0.5*(((DATOS!$B$27*C54/(DATOS!$B$14*E54))^2/((DATOS!$B$14*E54)/(DATOS!$B$14+2*E54))^(4/3))+((DATOS!$B$27*C55/(DATOS!$B$14*((AL55+AM55)/2)))^2/((DATOS!$B$14*((AL55+AM55)/2))/(DATOS!$B$14+2*((AL55+AM55)/2)))^(4/3)))*(A54-A55)))&lt;0,AM55,((AL55+AM55)/2))</f>
        <v/>
      </c>
      <c r="AP55" s="16">
        <f>IF((((AN55+AO55)/2)+(C55/(DATOS!$B$14*((AN55+AO55)/2)))^2/(2*9.81)+B55-(E54+(C54/(DATOS!$B$14*E54))^2/(2*9.81)+B54+0.5*(((DATOS!$B$27*C54/(DATOS!$B$14*E54))^2/((DATOS!$B$14*E54)/(DATOS!$B$14+2*E54))^(4/3))+((DATOS!$B$27*C55/(DATOS!$B$14*((AN55+AO55)/2)))^2/((DATOS!$B$14*((AN55+AO55)/2))/(DATOS!$B$14+2*((AN55+AO55)/2)))^(4/3)))*(A54-A55)))&lt;0,((AN55+AO55)/2),AN55)</f>
        <v/>
      </c>
      <c r="AQ55" s="16">
        <f>IF((((AN55+AO55)/2)+(C55/(DATOS!$B$14*((AN55+AO55)/2)))^2/(2*9.81)+B55-(E54+(C54/(DATOS!$B$14*E54))^2/(2*9.81)+B54+0.5*(((DATOS!$B$27*C54/(DATOS!$B$14*E54))^2/((DATOS!$B$14*E54)/(DATOS!$B$14+2*E54))^(4/3))+((DATOS!$B$27*C55/(DATOS!$B$14*((AN55+AO55)/2)))^2/((DATOS!$B$14*((AN55+AO55)/2))/(DATOS!$B$14+2*((AN55+AO55)/2)))^(4/3)))*(A54-A55)))&lt;0,AO55,((AN55+AO55)/2))</f>
        <v/>
      </c>
      <c r="AR55" s="16">
        <f>IF((((AP55+AQ55)/2)+(C55/(DATOS!$B$14*((AP55+AQ55)/2)))^2/(2*9.81)+B55-(E54+(C54/(DATOS!$B$14*E54))^2/(2*9.81)+B54+0.5*(((DATOS!$B$27*C54/(DATOS!$B$14*E54))^2/((DATOS!$B$14*E54)/(DATOS!$B$14+2*E54))^(4/3))+((DATOS!$B$27*C55/(DATOS!$B$14*((AP55+AQ55)/2)))^2/((DATOS!$B$14*((AP55+AQ55)/2))/(DATOS!$B$14+2*((AP55+AQ55)/2)))^(4/3)))*(A54-A55)))&lt;0,((AP55+AQ55)/2),AP55)</f>
        <v/>
      </c>
      <c r="AS55" s="16">
        <f>IF((((AP55+AQ55)/2)+(C55/(DATOS!$B$14*((AP55+AQ55)/2)))^2/(2*9.81)+B55-(E54+(C54/(DATOS!$B$14*E54))^2/(2*9.81)+B54+0.5*(((DATOS!$B$27*C54/(DATOS!$B$14*E54))^2/((DATOS!$B$14*E54)/(DATOS!$B$14+2*E54))^(4/3))+((DATOS!$B$27*C55/(DATOS!$B$14*((AP55+AQ55)/2)))^2/((DATOS!$B$14*((AP55+AQ55)/2))/(DATOS!$B$14+2*((AP55+AQ55)/2)))^(4/3)))*(A54-A55)))&lt;0,AQ55,((AP55+AQ55)/2))</f>
        <v/>
      </c>
      <c r="AT55" s="16">
        <f>IF((((AR55+AS55)/2)+(C55/(DATOS!$B$14*((AR55+AS55)/2)))^2/(2*9.81)+B55-(E54+(C54/(DATOS!$B$14*E54))^2/(2*9.81)+B54+0.5*(((DATOS!$B$27*C54/(DATOS!$B$14*E54))^2/((DATOS!$B$14*E54)/(DATOS!$B$14+2*E54))^(4/3))+((DATOS!$B$27*C55/(DATOS!$B$14*((AR55+AS55)/2)))^2/((DATOS!$B$14*((AR55+AS55)/2))/(DATOS!$B$14+2*((AR55+AS55)/2)))^(4/3)))*(A54-A55)))&lt;0,((AR55+AS55)/2),AR55)</f>
        <v/>
      </c>
      <c r="AU55" s="16">
        <f>IF((((AR55+AS55)/2)+(C55/(DATOS!$B$14*((AR55+AS55)/2)))^2/(2*9.81)+B55-(E54+(C54/(DATOS!$B$14*E54))^2/(2*9.81)+B54+0.5*(((DATOS!$B$27*C54/(DATOS!$B$14*E54))^2/((DATOS!$B$14*E54)/(DATOS!$B$14+2*E54))^(4/3))+((DATOS!$B$27*C55/(DATOS!$B$14*((AR55+AS55)/2)))^2/((DATOS!$B$14*((AR55+AS55)/2))/(DATOS!$B$14+2*((AR55+AS55)/2)))^(4/3)))*(A54-A55)))&lt;0,AS55,((AR55+AS55)/2))</f>
        <v/>
      </c>
      <c r="AV55" s="16">
        <f>IF((((AT55+AU55)/2)+(C55/(DATOS!$B$14*((AT55+AU55)/2)))^2/(2*9.81)+B55-(E54+(C54/(DATOS!$B$14*E54))^2/(2*9.81)+B54+0.5*(((DATOS!$B$27*C54/(DATOS!$B$14*E54))^2/((DATOS!$B$14*E54)/(DATOS!$B$14+2*E54))^(4/3))+((DATOS!$B$27*C55/(DATOS!$B$14*((AT55+AU55)/2)))^2/((DATOS!$B$14*((AT55+AU55)/2))/(DATOS!$B$14+2*((AT55+AU55)/2)))^(4/3)))*(A54-A55)))&lt;0,((AT55+AU55)/2),AT55)</f>
        <v/>
      </c>
      <c r="AW55" s="16">
        <f>IF((((AT55+AU55)/2)+(C55/(DATOS!$B$14*((AT55+AU55)/2)))^2/(2*9.81)+B55-(E54+(C54/(DATOS!$B$14*E54))^2/(2*9.81)+B54+0.5*(((DATOS!$B$27*C54/(DATOS!$B$14*E54))^2/((DATOS!$B$14*E54)/(DATOS!$B$14+2*E54))^(4/3))+((DATOS!$B$27*C55/(DATOS!$B$14*((AT55+AU55)/2)))^2/((DATOS!$B$14*((AT55+AU55)/2))/(DATOS!$B$14+2*((AT55+AU55)/2)))^(4/3)))*(A54-A55)))&lt;0,AU55,((AT55+AU55)/2))</f>
        <v/>
      </c>
      <c r="AX55" s="16">
        <f>IF((((AV55+AW55)/2)+(C55/(DATOS!$B$14*((AV55+AW55)/2)))^2/(2*9.81)+B55-(E54+(C54/(DATOS!$B$14*E54))^2/(2*9.81)+B54+0.5*(((DATOS!$B$27*C54/(DATOS!$B$14*E54))^2/((DATOS!$B$14*E54)/(DATOS!$B$14+2*E54))^(4/3))+((DATOS!$B$27*C55/(DATOS!$B$14*((AV55+AW55)/2)))^2/((DATOS!$B$14*((AV55+AW55)/2))/(DATOS!$B$14+2*((AV55+AW55)/2)))^(4/3)))*(A54-A55)))&lt;0,((AV55+AW55)/2),AV55)</f>
        <v/>
      </c>
      <c r="AY55" s="16">
        <f>IF((((AV55+AW55)/2)+(C55/(DATOS!$B$14*((AV55+AW55)/2)))^2/(2*9.81)+B55-(E54+(C54/(DATOS!$B$14*E54))^2/(2*9.81)+B54+0.5*(((DATOS!$B$27*C54/(DATOS!$B$14*E54))^2/((DATOS!$B$14*E54)/(DATOS!$B$14+2*E54))^(4/3))+((DATOS!$B$27*C55/(DATOS!$B$14*((AV55+AW55)/2)))^2/((DATOS!$B$14*((AV55+AW55)/2))/(DATOS!$B$14+2*((AV55+AW55)/2)))^(4/3)))*(A54-A55)))&lt;0,AW55,((AV55+AW55)/2))</f>
        <v/>
      </c>
      <c r="AZ55" s="16">
        <f>IF((((AX55+AY55)/2)+(C55/(DATOS!$B$14*((AX55+AY55)/2)))^2/(2*9.81)+B55-(E54+(C54/(DATOS!$B$14*E54))^2/(2*9.81)+B54+0.5*(((DATOS!$B$27*C54/(DATOS!$B$14*E54))^2/((DATOS!$B$14*E54)/(DATOS!$B$14+2*E54))^(4/3))+((DATOS!$B$27*C55/(DATOS!$B$14*((AX55+AY55)/2)))^2/((DATOS!$B$14*((AX55+AY55)/2))/(DATOS!$B$14+2*((AX55+AY55)/2)))^(4/3)))*(A54-A55)))&lt;0,((AX55+AY55)/2),AX55)</f>
        <v/>
      </c>
      <c r="BA55" s="16">
        <f>IF((((AX55+AY55)/2)+(C55/(DATOS!$B$14*((AX55+AY55)/2)))^2/(2*9.81)+B55-(E54+(C54/(DATOS!$B$14*E54))^2/(2*9.81)+B54+0.5*(((DATOS!$B$27*C54/(DATOS!$B$14*E54))^2/((DATOS!$B$14*E54)/(DATOS!$B$14+2*E54))^(4/3))+((DATOS!$B$27*C55/(DATOS!$B$14*((AX55+AY55)/2)))^2/((DATOS!$B$14*((AX55+AY55)/2))/(DATOS!$B$14+2*((AX55+AY55)/2)))^(4/3)))*(A54-A55)))&lt;0,AY55,((AX55+AY55)/2))</f>
        <v/>
      </c>
      <c r="BB55" s="16">
        <f>IF((((AZ55+BA55)/2)+(C55/(DATOS!$B$14*((AZ55+BA55)/2)))^2/(2*9.81)+B55-(E54+(C54/(DATOS!$B$14*E54))^2/(2*9.81)+B54+0.5*(((DATOS!$B$27*C54/(DATOS!$B$14*E54))^2/((DATOS!$B$14*E54)/(DATOS!$B$14+2*E54))^(4/3))+((DATOS!$B$27*C55/(DATOS!$B$14*((AZ55+BA55)/2)))^2/((DATOS!$B$14*((AZ55+BA55)/2))/(DATOS!$B$14+2*((AZ55+BA55)/2)))^(4/3)))*(A54-A55)))&lt;0,((AZ55+BA55)/2),AZ55)</f>
        <v/>
      </c>
      <c r="BC55" s="16">
        <f>IF((((AZ55+BA55)/2)+(C55/(DATOS!$B$14*((AZ55+BA55)/2)))^2/(2*9.81)+B55-(E54+(C54/(DATOS!$B$14*E54))^2/(2*9.81)+B54+0.5*(((DATOS!$B$27*C54/(DATOS!$B$14*E54))^2/((DATOS!$B$14*E54)/(DATOS!$B$14+2*E54))^(4/3))+((DATOS!$B$27*C55/(DATOS!$B$14*((AZ55+BA55)/2)))^2/((DATOS!$B$14*((AZ55+BA55)/2))/(DATOS!$B$14+2*((AZ55+BA55)/2)))^(4/3)))*(A54-A55)))&lt;0,BA55,((AZ55+BA55)/2))</f>
        <v/>
      </c>
      <c r="BD55" s="16">
        <f>IF((((BB55+BC55)/2)+(C55/(DATOS!$B$14*((BB55+BC55)/2)))^2/(2*9.81)+B55-(E54+(C54/(DATOS!$B$14*E54))^2/(2*9.81)+B54+0.5*(((DATOS!$B$27*C54/(DATOS!$B$14*E54))^2/((DATOS!$B$14*E54)/(DATOS!$B$14+2*E54))^(4/3))+((DATOS!$B$27*C55/(DATOS!$B$14*((BB55+BC55)/2)))^2/((DATOS!$B$14*((BB55+BC55)/2))/(DATOS!$B$14+2*((BB55+BC55)/2)))^(4/3)))*(A54-A55)))&lt;0,((BB55+BC55)/2),BB55)</f>
        <v/>
      </c>
      <c r="BE55" s="16">
        <f>IF((((BB55+BC55)/2)+(C55/(DATOS!$B$14*((BB55+BC55)/2)))^2/(2*9.81)+B55-(E54+(C54/(DATOS!$B$14*E54))^2/(2*9.81)+B54+0.5*(((DATOS!$B$27*C54/(DATOS!$B$14*E54))^2/((DATOS!$B$14*E54)/(DATOS!$B$14+2*E54))^(4/3))+((DATOS!$B$27*C55/(DATOS!$B$14*((BB55+BC55)/2)))^2/((DATOS!$B$14*((BB55+BC55)/2))/(DATOS!$B$14+2*((BB55+BC55)/2)))^(4/3)))*(A54-A55)))&lt;0,BC55,((BB55+BC55)/2))</f>
        <v/>
      </c>
      <c r="BF55" s="16">
        <f>IF((((BD55+BE55)/2)+(C55/(DATOS!$B$14*((BD55+BE55)/2)))^2/(2*9.81)+B55-(E54+(C54/(DATOS!$B$14*E54))^2/(2*9.81)+B54+0.5*(((DATOS!$B$27*C54/(DATOS!$B$14*E54))^2/((DATOS!$B$14*E54)/(DATOS!$B$14+2*E54))^(4/3))+((DATOS!$B$27*C55/(DATOS!$B$14*((BD55+BE55)/2)))^2/((DATOS!$B$14*((BD55+BE55)/2))/(DATOS!$B$14+2*((BD55+BE55)/2)))^(4/3)))*(A54-A55)))&lt;0,((BD55+BE55)/2),BD55)</f>
        <v/>
      </c>
      <c r="BG55" s="16">
        <f>IF((((BD55+BE55)/2)+(C55/(DATOS!$B$14*((BD55+BE55)/2)))^2/(2*9.81)+B55-(E54+(C54/(DATOS!$B$14*E54))^2/(2*9.81)+B54+0.5*(((DATOS!$B$27*C54/(DATOS!$B$14*E54))^2/((DATOS!$B$14*E54)/(DATOS!$B$14+2*E54))^(4/3))+((DATOS!$B$27*C55/(DATOS!$B$14*((BD55+BE55)/2)))^2/((DATOS!$B$14*((BD55+BE55)/2))/(DATOS!$B$14+2*((BD55+BE55)/2)))^(4/3)))*(A54-A55)))&lt;0,BE55,((BD55+BE55)/2))</f>
        <v/>
      </c>
      <c r="BH55" s="16">
        <f>IF((((BF55+BG55)/2)+(C55/(DATOS!$B$14*((BF55+BG55)/2)))^2/(2*9.81)+B55-(E54+(C54/(DATOS!$B$14*E54))^2/(2*9.81)+B54+0.5*(((DATOS!$B$27*C54/(DATOS!$B$14*E54))^2/((DATOS!$B$14*E54)/(DATOS!$B$14+2*E54))^(4/3))+((DATOS!$B$27*C55/(DATOS!$B$14*((BF55+BG55)/2)))^2/((DATOS!$B$14*((BF55+BG55)/2))/(DATOS!$B$14+2*((BF55+BG55)/2)))^(4/3)))*(A54-A55)))&lt;0,((BF55+BG55)/2),BF55)</f>
        <v/>
      </c>
      <c r="BI55" s="16">
        <f>IF((((BF55+BG55)/2)+(C55/(DATOS!$B$14*((BF55+BG55)/2)))^2/(2*9.81)+B55-(E54+(C54/(DATOS!$B$14*E54))^2/(2*9.81)+B54+0.5*(((DATOS!$B$27*C54/(DATOS!$B$14*E54))^2/((DATOS!$B$14*E54)/(DATOS!$B$14+2*E54))^(4/3))+((DATOS!$B$27*C55/(DATOS!$B$14*((BF55+BG55)/2)))^2/((DATOS!$B$14*((BF55+BG55)/2))/(DATOS!$B$14+2*((BF55+BG55)/2)))^(4/3)))*(A54-A55)))&lt;0,BG55,((BF55+BG55)/2))</f>
        <v/>
      </c>
      <c r="BJ55" s="16">
        <f>IF((((BH55+BI55)/2)+(C55/(DATOS!$B$14*((BH55+BI55)/2)))^2/(2*9.81)+B55-(E54+(C54/(DATOS!$B$14*E54))^2/(2*9.81)+B54+0.5*(((DATOS!$B$27*C54/(DATOS!$B$14*E54))^2/((DATOS!$B$14*E54)/(DATOS!$B$14+2*E54))^(4/3))+((DATOS!$B$27*C55/(DATOS!$B$14*((BH55+BI55)/2)))^2/((DATOS!$B$14*((BH55+BI55)/2))/(DATOS!$B$14+2*((BH55+BI55)/2)))^(4/3)))*(A54-A55)))&lt;0,((BH55+BI55)/2),BH55)</f>
        <v/>
      </c>
      <c r="BK55" s="16">
        <f>IF((((BH55+BI55)/2)+(C55/(DATOS!$B$14*((BH55+BI55)/2)))^2/(2*9.81)+B55-(E54+(C54/(DATOS!$B$14*E54))^2/(2*9.81)+B54+0.5*(((DATOS!$B$27*C54/(DATOS!$B$14*E54))^2/((DATOS!$B$14*E54)/(DATOS!$B$14+2*E54))^(4/3))+((DATOS!$B$27*C55/(DATOS!$B$14*((BH55+BI55)/2)))^2/((DATOS!$B$14*((BH55+BI55)/2))/(DATOS!$B$14+2*((BH55+BI55)/2)))^(4/3)))*(A54-A55)))&lt;0,BI55,((BH55+BI55)/2))</f>
        <v/>
      </c>
      <c r="BL55" s="16">
        <f>IF((((BJ55+BK55)/2)+(C55/(DATOS!$B$14*((BJ55+BK55)/2)))^2/(2*9.81)+B55-(E54+(C54/(DATOS!$B$14*E54))^2/(2*9.81)+B54+0.5*(((DATOS!$B$27*C54/(DATOS!$B$14*E54))^2/((DATOS!$B$14*E54)/(DATOS!$B$14+2*E54))^(4/3))+((DATOS!$B$27*C55/(DATOS!$B$14*((BJ55+BK55)/2)))^2/((DATOS!$B$14*((BJ55+BK55)/2))/(DATOS!$B$14+2*((BJ55+BK55)/2)))^(4/3)))*(A54-A55)))&lt;0,((BJ55+BK55)/2),BJ55)</f>
        <v/>
      </c>
      <c r="BM55" s="16">
        <f>IF((((BJ55+BK55)/2)+(C55/(DATOS!$B$14*((BJ55+BK55)/2)))^2/(2*9.81)+B55-(E54+(C54/(DATOS!$B$14*E54))^2/(2*9.81)+B54+0.5*(((DATOS!$B$27*C54/(DATOS!$B$14*E54))^2/((DATOS!$B$14*E54)/(DATOS!$B$14+2*E54))^(4/3))+((DATOS!$B$27*C55/(DATOS!$B$14*((BJ55+BK55)/2)))^2/((DATOS!$B$14*((BJ55+BK55)/2))/(DATOS!$B$14+2*((BJ55+BK55)/2)))^(4/3)))*(A54-A55)))&lt;0,BK55,((BJ55+BK55)/2))</f>
        <v/>
      </c>
      <c r="BN55" s="16">
        <f>IF((((BL55+BM55)/2)+(C55/(DATOS!$B$14*((BL55+BM55)/2)))^2/(2*9.81)+B55-(E54+(C54/(DATOS!$B$14*E54))^2/(2*9.81)+B54+0.5*(((DATOS!$B$27*C54/(DATOS!$B$14*E54))^2/((DATOS!$B$14*E54)/(DATOS!$B$14+2*E54))^(4/3))+((DATOS!$B$27*C55/(DATOS!$B$14*((BL55+BM55)/2)))^2/((DATOS!$B$14*((BL55+BM55)/2))/(DATOS!$B$14+2*((BL55+BM55)/2)))^(4/3)))*(A54-A55)))&lt;0,((BL55+BM55)/2),BL55)</f>
        <v/>
      </c>
      <c r="BO55" s="16">
        <f>IF((((BL55+BM55)/2)+(C55/(DATOS!$B$14*((BL55+BM55)/2)))^2/(2*9.81)+B55-(E54+(C54/(DATOS!$B$14*E54))^2/(2*9.81)+B54+0.5*(((DATOS!$B$27*C54/(DATOS!$B$14*E54))^2/((DATOS!$B$14*E54)/(DATOS!$B$14+2*E54))^(4/3))+((DATOS!$B$27*C55/(DATOS!$B$14*((BL55+BM55)/2)))^2/((DATOS!$B$14*((BL55+BM55)/2))/(DATOS!$B$14+2*((BL55+BM55)/2)))^(4/3)))*(A54-A55)))&lt;0,BM55,((BL55+BM55)/2))</f>
        <v/>
      </c>
      <c r="BP55" s="16">
        <f>IF((((BN55+BO55)/2)+(C55/(DATOS!$B$14*((BN55+BO55)/2)))^2/(2*9.81)+B55-(E54+(C54/(DATOS!$B$14*E54))^2/(2*9.81)+B54+0.5*(((DATOS!$B$27*C54/(DATOS!$B$14*E54))^2/((DATOS!$B$14*E54)/(DATOS!$B$14+2*E54))^(4/3))+((DATOS!$B$27*C55/(DATOS!$B$14*((BN55+BO55)/2)))^2/((DATOS!$B$14*((BN55+BO55)/2))/(DATOS!$B$14+2*((BN55+BO55)/2)))^(4/3)))*(A54-A55)))&lt;0,((BN55+BO55)/2),BN55)</f>
        <v/>
      </c>
      <c r="BQ55" s="16">
        <f>IF((((BN55+BO55)/2)+(C55/(DATOS!$B$14*((BN55+BO55)/2)))^2/(2*9.81)+B55-(E54+(C54/(DATOS!$B$14*E54))^2/(2*9.81)+B54+0.5*(((DATOS!$B$27*C54/(DATOS!$B$14*E54))^2/((DATOS!$B$14*E54)/(DATOS!$B$14+2*E54))^(4/3))+((DATOS!$B$27*C55/(DATOS!$B$14*((BN55+BO55)/2)))^2/((DATOS!$B$14*((BN55+BO55)/2))/(DATOS!$B$14+2*((BN55+BO55)/2)))^(4/3)))*(A54-A55)))&lt;0,BO55,((BN55+BO55)/2))</f>
        <v/>
      </c>
      <c r="BR55" s="16">
        <f>IF((((BP55+BQ55)/2)+(C55/(DATOS!$B$14*((BP55+BQ55)/2)))^2/(2*9.81)+B55-(E54+(C54/(DATOS!$B$14*E54))^2/(2*9.81)+B54+0.5*(((DATOS!$B$27*C54/(DATOS!$B$14*E54))^2/((DATOS!$B$14*E54)/(DATOS!$B$14+2*E54))^(4/3))+((DATOS!$B$27*C55/(DATOS!$B$14*((BP55+BQ55)/2)))^2/((DATOS!$B$14*((BP55+BQ55)/2))/(DATOS!$B$14+2*((BP55+BQ55)/2)))^(4/3)))*(A54-A55)))&lt;0,((BP55+BQ55)/2),BP55)</f>
        <v/>
      </c>
      <c r="BS55" s="16">
        <f>IF((((BP55+BQ55)/2)+(C55/(DATOS!$B$14*((BP55+BQ55)/2)))^2/(2*9.81)+B55-(E54+(C54/(DATOS!$B$14*E54))^2/(2*9.81)+B54+0.5*(((DATOS!$B$27*C54/(DATOS!$B$14*E54))^2/((DATOS!$B$14*E54)/(DATOS!$B$14+2*E54))^(4/3))+((DATOS!$B$27*C55/(DATOS!$B$14*((BP55+BQ55)/2)))^2/((DATOS!$B$14*((BP55+BQ55)/2))/(DATOS!$B$14+2*((BP55+BQ55)/2)))^(4/3)))*(A54-A55)))&lt;0,BQ55,((BP55+BQ55)/2))</f>
        <v/>
      </c>
      <c r="BT55" s="16">
        <f>IF((((BR55+BS55)/2)+(C55/(DATOS!$B$14*((BR55+BS55)/2)))^2/(2*9.81)+B55-(E54+(C54/(DATOS!$B$14*E54))^2/(2*9.81)+B54+0.5*(((DATOS!$B$27*C54/(DATOS!$B$14*E54))^2/((DATOS!$B$14*E54)/(DATOS!$B$14+2*E54))^(4/3))+((DATOS!$B$27*C55/(DATOS!$B$14*((BR55+BS55)/2)))^2/((DATOS!$B$14*((BR55+BS55)/2))/(DATOS!$B$14+2*((BR55+BS55)/2)))^(4/3)))*(A54-A55)))&lt;0,((BR55+BS55)/2),BR55)</f>
        <v/>
      </c>
      <c r="BU55" s="16">
        <f>IF((((BR55+BS55)/2)+(C55/(DATOS!$B$14*((BR55+BS55)/2)))^2/(2*9.81)+B55-(E54+(C54/(DATOS!$B$14*E54))^2/(2*9.81)+B54+0.5*(((DATOS!$B$27*C54/(DATOS!$B$14*E54))^2/((DATOS!$B$14*E54)/(DATOS!$B$14+2*E54))^(4/3))+((DATOS!$B$27*C55/(DATOS!$B$14*((BR55+BS55)/2)))^2/((DATOS!$B$14*((BR55+BS55)/2))/(DATOS!$B$14+2*((BR55+BS55)/2)))^(4/3)))*(A54-A55)))&lt;0,BS55,((BR55+BS55)/2))</f>
        <v/>
      </c>
    </row>
    <row r="56">
      <c r="A56" s="30" t="n">
        <v>44</v>
      </c>
      <c r="B56" s="21">
        <f>DATOS!$B$16-DATOS!$B$19*A56</f>
        <v/>
      </c>
      <c r="C56" s="21">
        <f>IF(A56&lt;CAUDALES!$B$13,CAUDALES!$D$12,IF(A56&lt;CAUDALES!$B$14,CAUDALES!$D$13,IF(A56&lt;CAUDALES!$B$15,CAUDALES!$D$14,CAUDALES!$D$15)))/1000</f>
        <v/>
      </c>
      <c r="D56" s="21">
        <f>(C56^2/(9.81*DATOS!$B$14^2))^(1/3)</f>
        <v/>
      </c>
      <c r="E56" s="29">
        <f>(BT56+BU56)/2</f>
        <v/>
      </c>
      <c r="F56" s="21">
        <f>B56+E56</f>
        <v/>
      </c>
      <c r="G56" s="17">
        <f>C56/(DATOS!$B$14*E56)</f>
        <v/>
      </c>
      <c r="H56" s="17">
        <f>G56/SQRT(9.81*E56)</f>
        <v/>
      </c>
      <c r="I56" s="21">
        <f>IF(A56&lt;=DATOS!$B$20,DATOS!$B$21-IF(AND(A56&gt;=DATOS!$B$23,A56&lt;DATOS!$B$24),DATOS!$B$25,DATOS!$B$22),B56+DATOS!$B$26)</f>
        <v/>
      </c>
      <c r="J56" s="17">
        <f>I56-B56</f>
        <v/>
      </c>
      <c r="K56" s="31">
        <f>E56/J56</f>
        <v/>
      </c>
      <c r="L56" s="21">
        <f>I56-F56</f>
        <v/>
      </c>
      <c r="M56" s="32">
        <f>IF(AND(K56&lt;=DATOS!$B$29,L56&gt;=DATOS!$B$30),"CUMPLE","NO CUMPLE")</f>
        <v/>
      </c>
      <c r="N56" s="13">
        <f>IF(A56&gt;DATOS!$B$20,"cubierto - tramo final",IF(AND(A56&gt;=DATOS!$B$23,A56&lt;DATOS!$B$24),"cubierto - camiones","cubierto"))</f>
        <v/>
      </c>
      <c r="P56" s="16">
        <f>D56*1.001</f>
        <v/>
      </c>
      <c r="Q56" s="16" t="n">
        <v>2</v>
      </c>
      <c r="R56" s="16">
        <f>IF((((P56+Q56)/2)+(C56/(DATOS!$B$14*((P56+Q56)/2)))^2/(2*9.81)+B56-(E55+(C55/(DATOS!$B$14*E55))^2/(2*9.81)+B55+0.5*(((DATOS!$B$27*C55/(DATOS!$B$14*E55))^2/((DATOS!$B$14*E55)/(DATOS!$B$14+2*E55))^(4/3))+((DATOS!$B$27*C56/(DATOS!$B$14*((P56+Q56)/2)))^2/((DATOS!$B$14*((P56+Q56)/2))/(DATOS!$B$14+2*((P56+Q56)/2)))^(4/3)))*(A55-A56)))&lt;0,((P56+Q56)/2),P56)</f>
        <v/>
      </c>
      <c r="S56" s="16">
        <f>IF((((P56+Q56)/2)+(C56/(DATOS!$B$14*((P56+Q56)/2)))^2/(2*9.81)+B56-(E55+(C55/(DATOS!$B$14*E55))^2/(2*9.81)+B55+0.5*(((DATOS!$B$27*C55/(DATOS!$B$14*E55))^2/((DATOS!$B$14*E55)/(DATOS!$B$14+2*E55))^(4/3))+((DATOS!$B$27*C56/(DATOS!$B$14*((P56+Q56)/2)))^2/((DATOS!$B$14*((P56+Q56)/2))/(DATOS!$B$14+2*((P56+Q56)/2)))^(4/3)))*(A55-A56)))&lt;0,Q56,((P56+Q56)/2))</f>
        <v/>
      </c>
      <c r="T56" s="16">
        <f>IF((((R56+S56)/2)+(C56/(DATOS!$B$14*((R56+S56)/2)))^2/(2*9.81)+B56-(E55+(C55/(DATOS!$B$14*E55))^2/(2*9.81)+B55+0.5*(((DATOS!$B$27*C55/(DATOS!$B$14*E55))^2/((DATOS!$B$14*E55)/(DATOS!$B$14+2*E55))^(4/3))+((DATOS!$B$27*C56/(DATOS!$B$14*((R56+S56)/2)))^2/((DATOS!$B$14*((R56+S56)/2))/(DATOS!$B$14+2*((R56+S56)/2)))^(4/3)))*(A55-A56)))&lt;0,((R56+S56)/2),R56)</f>
        <v/>
      </c>
      <c r="U56" s="16">
        <f>IF((((R56+S56)/2)+(C56/(DATOS!$B$14*((R56+S56)/2)))^2/(2*9.81)+B56-(E55+(C55/(DATOS!$B$14*E55))^2/(2*9.81)+B55+0.5*(((DATOS!$B$27*C55/(DATOS!$B$14*E55))^2/((DATOS!$B$14*E55)/(DATOS!$B$14+2*E55))^(4/3))+((DATOS!$B$27*C56/(DATOS!$B$14*((R56+S56)/2)))^2/((DATOS!$B$14*((R56+S56)/2))/(DATOS!$B$14+2*((R56+S56)/2)))^(4/3)))*(A55-A56)))&lt;0,S56,((R56+S56)/2))</f>
        <v/>
      </c>
      <c r="V56" s="16">
        <f>IF((((T56+U56)/2)+(C56/(DATOS!$B$14*((T56+U56)/2)))^2/(2*9.81)+B56-(E55+(C55/(DATOS!$B$14*E55))^2/(2*9.81)+B55+0.5*(((DATOS!$B$27*C55/(DATOS!$B$14*E55))^2/((DATOS!$B$14*E55)/(DATOS!$B$14+2*E55))^(4/3))+((DATOS!$B$27*C56/(DATOS!$B$14*((T56+U56)/2)))^2/((DATOS!$B$14*((T56+U56)/2))/(DATOS!$B$14+2*((T56+U56)/2)))^(4/3)))*(A55-A56)))&lt;0,((T56+U56)/2),T56)</f>
        <v/>
      </c>
      <c r="W56" s="16">
        <f>IF((((T56+U56)/2)+(C56/(DATOS!$B$14*((T56+U56)/2)))^2/(2*9.81)+B56-(E55+(C55/(DATOS!$B$14*E55))^2/(2*9.81)+B55+0.5*(((DATOS!$B$27*C55/(DATOS!$B$14*E55))^2/((DATOS!$B$14*E55)/(DATOS!$B$14+2*E55))^(4/3))+((DATOS!$B$27*C56/(DATOS!$B$14*((T56+U56)/2)))^2/((DATOS!$B$14*((T56+U56)/2))/(DATOS!$B$14+2*((T56+U56)/2)))^(4/3)))*(A55-A56)))&lt;0,U56,((T56+U56)/2))</f>
        <v/>
      </c>
      <c r="X56" s="16">
        <f>IF((((V56+W56)/2)+(C56/(DATOS!$B$14*((V56+W56)/2)))^2/(2*9.81)+B56-(E55+(C55/(DATOS!$B$14*E55))^2/(2*9.81)+B55+0.5*(((DATOS!$B$27*C55/(DATOS!$B$14*E55))^2/((DATOS!$B$14*E55)/(DATOS!$B$14+2*E55))^(4/3))+((DATOS!$B$27*C56/(DATOS!$B$14*((V56+W56)/2)))^2/((DATOS!$B$14*((V56+W56)/2))/(DATOS!$B$14+2*((V56+W56)/2)))^(4/3)))*(A55-A56)))&lt;0,((V56+W56)/2),V56)</f>
        <v/>
      </c>
      <c r="Y56" s="16">
        <f>IF((((V56+W56)/2)+(C56/(DATOS!$B$14*((V56+W56)/2)))^2/(2*9.81)+B56-(E55+(C55/(DATOS!$B$14*E55))^2/(2*9.81)+B55+0.5*(((DATOS!$B$27*C55/(DATOS!$B$14*E55))^2/((DATOS!$B$14*E55)/(DATOS!$B$14+2*E55))^(4/3))+((DATOS!$B$27*C56/(DATOS!$B$14*((V56+W56)/2)))^2/((DATOS!$B$14*((V56+W56)/2))/(DATOS!$B$14+2*((V56+W56)/2)))^(4/3)))*(A55-A56)))&lt;0,W56,((V56+W56)/2))</f>
        <v/>
      </c>
      <c r="Z56" s="16">
        <f>IF((((X56+Y56)/2)+(C56/(DATOS!$B$14*((X56+Y56)/2)))^2/(2*9.81)+B56-(E55+(C55/(DATOS!$B$14*E55))^2/(2*9.81)+B55+0.5*(((DATOS!$B$27*C55/(DATOS!$B$14*E55))^2/((DATOS!$B$14*E55)/(DATOS!$B$14+2*E55))^(4/3))+((DATOS!$B$27*C56/(DATOS!$B$14*((X56+Y56)/2)))^2/((DATOS!$B$14*((X56+Y56)/2))/(DATOS!$B$14+2*((X56+Y56)/2)))^(4/3)))*(A55-A56)))&lt;0,((X56+Y56)/2),X56)</f>
        <v/>
      </c>
      <c r="AA56" s="16">
        <f>IF((((X56+Y56)/2)+(C56/(DATOS!$B$14*((X56+Y56)/2)))^2/(2*9.81)+B56-(E55+(C55/(DATOS!$B$14*E55))^2/(2*9.81)+B55+0.5*(((DATOS!$B$27*C55/(DATOS!$B$14*E55))^2/((DATOS!$B$14*E55)/(DATOS!$B$14+2*E55))^(4/3))+((DATOS!$B$27*C56/(DATOS!$B$14*((X56+Y56)/2)))^2/((DATOS!$B$14*((X56+Y56)/2))/(DATOS!$B$14+2*((X56+Y56)/2)))^(4/3)))*(A55-A56)))&lt;0,Y56,((X56+Y56)/2))</f>
        <v/>
      </c>
      <c r="AB56" s="16">
        <f>IF((((Z56+AA56)/2)+(C56/(DATOS!$B$14*((Z56+AA56)/2)))^2/(2*9.81)+B56-(E55+(C55/(DATOS!$B$14*E55))^2/(2*9.81)+B55+0.5*(((DATOS!$B$27*C55/(DATOS!$B$14*E55))^2/((DATOS!$B$14*E55)/(DATOS!$B$14+2*E55))^(4/3))+((DATOS!$B$27*C56/(DATOS!$B$14*((Z56+AA56)/2)))^2/((DATOS!$B$14*((Z56+AA56)/2))/(DATOS!$B$14+2*((Z56+AA56)/2)))^(4/3)))*(A55-A56)))&lt;0,((Z56+AA56)/2),Z56)</f>
        <v/>
      </c>
      <c r="AC56" s="16">
        <f>IF((((Z56+AA56)/2)+(C56/(DATOS!$B$14*((Z56+AA56)/2)))^2/(2*9.81)+B56-(E55+(C55/(DATOS!$B$14*E55))^2/(2*9.81)+B55+0.5*(((DATOS!$B$27*C55/(DATOS!$B$14*E55))^2/((DATOS!$B$14*E55)/(DATOS!$B$14+2*E55))^(4/3))+((DATOS!$B$27*C56/(DATOS!$B$14*((Z56+AA56)/2)))^2/((DATOS!$B$14*((Z56+AA56)/2))/(DATOS!$B$14+2*((Z56+AA56)/2)))^(4/3)))*(A55-A56)))&lt;0,AA56,((Z56+AA56)/2))</f>
        <v/>
      </c>
      <c r="AD56" s="16">
        <f>IF((((AB56+AC56)/2)+(C56/(DATOS!$B$14*((AB56+AC56)/2)))^2/(2*9.81)+B56-(E55+(C55/(DATOS!$B$14*E55))^2/(2*9.81)+B55+0.5*(((DATOS!$B$27*C55/(DATOS!$B$14*E55))^2/((DATOS!$B$14*E55)/(DATOS!$B$14+2*E55))^(4/3))+((DATOS!$B$27*C56/(DATOS!$B$14*((AB56+AC56)/2)))^2/((DATOS!$B$14*((AB56+AC56)/2))/(DATOS!$B$14+2*((AB56+AC56)/2)))^(4/3)))*(A55-A56)))&lt;0,((AB56+AC56)/2),AB56)</f>
        <v/>
      </c>
      <c r="AE56" s="16">
        <f>IF((((AB56+AC56)/2)+(C56/(DATOS!$B$14*((AB56+AC56)/2)))^2/(2*9.81)+B56-(E55+(C55/(DATOS!$B$14*E55))^2/(2*9.81)+B55+0.5*(((DATOS!$B$27*C55/(DATOS!$B$14*E55))^2/((DATOS!$B$14*E55)/(DATOS!$B$14+2*E55))^(4/3))+((DATOS!$B$27*C56/(DATOS!$B$14*((AB56+AC56)/2)))^2/((DATOS!$B$14*((AB56+AC56)/2))/(DATOS!$B$14+2*((AB56+AC56)/2)))^(4/3)))*(A55-A56)))&lt;0,AC56,((AB56+AC56)/2))</f>
        <v/>
      </c>
      <c r="AF56" s="16">
        <f>IF((((AD56+AE56)/2)+(C56/(DATOS!$B$14*((AD56+AE56)/2)))^2/(2*9.81)+B56-(E55+(C55/(DATOS!$B$14*E55))^2/(2*9.81)+B55+0.5*(((DATOS!$B$27*C55/(DATOS!$B$14*E55))^2/((DATOS!$B$14*E55)/(DATOS!$B$14+2*E55))^(4/3))+((DATOS!$B$27*C56/(DATOS!$B$14*((AD56+AE56)/2)))^2/((DATOS!$B$14*((AD56+AE56)/2))/(DATOS!$B$14+2*((AD56+AE56)/2)))^(4/3)))*(A55-A56)))&lt;0,((AD56+AE56)/2),AD56)</f>
        <v/>
      </c>
      <c r="AG56" s="16">
        <f>IF((((AD56+AE56)/2)+(C56/(DATOS!$B$14*((AD56+AE56)/2)))^2/(2*9.81)+B56-(E55+(C55/(DATOS!$B$14*E55))^2/(2*9.81)+B55+0.5*(((DATOS!$B$27*C55/(DATOS!$B$14*E55))^2/((DATOS!$B$14*E55)/(DATOS!$B$14+2*E55))^(4/3))+((DATOS!$B$27*C56/(DATOS!$B$14*((AD56+AE56)/2)))^2/((DATOS!$B$14*((AD56+AE56)/2))/(DATOS!$B$14+2*((AD56+AE56)/2)))^(4/3)))*(A55-A56)))&lt;0,AE56,((AD56+AE56)/2))</f>
        <v/>
      </c>
      <c r="AH56" s="16">
        <f>IF((((AF56+AG56)/2)+(C56/(DATOS!$B$14*((AF56+AG56)/2)))^2/(2*9.81)+B56-(E55+(C55/(DATOS!$B$14*E55))^2/(2*9.81)+B55+0.5*(((DATOS!$B$27*C55/(DATOS!$B$14*E55))^2/((DATOS!$B$14*E55)/(DATOS!$B$14+2*E55))^(4/3))+((DATOS!$B$27*C56/(DATOS!$B$14*((AF56+AG56)/2)))^2/((DATOS!$B$14*((AF56+AG56)/2))/(DATOS!$B$14+2*((AF56+AG56)/2)))^(4/3)))*(A55-A56)))&lt;0,((AF56+AG56)/2),AF56)</f>
        <v/>
      </c>
      <c r="AI56" s="16">
        <f>IF((((AF56+AG56)/2)+(C56/(DATOS!$B$14*((AF56+AG56)/2)))^2/(2*9.81)+B56-(E55+(C55/(DATOS!$B$14*E55))^2/(2*9.81)+B55+0.5*(((DATOS!$B$27*C55/(DATOS!$B$14*E55))^2/((DATOS!$B$14*E55)/(DATOS!$B$14+2*E55))^(4/3))+((DATOS!$B$27*C56/(DATOS!$B$14*((AF56+AG56)/2)))^2/((DATOS!$B$14*((AF56+AG56)/2))/(DATOS!$B$14+2*((AF56+AG56)/2)))^(4/3)))*(A55-A56)))&lt;0,AG56,((AF56+AG56)/2))</f>
        <v/>
      </c>
      <c r="AJ56" s="16">
        <f>IF((((AH56+AI56)/2)+(C56/(DATOS!$B$14*((AH56+AI56)/2)))^2/(2*9.81)+B56-(E55+(C55/(DATOS!$B$14*E55))^2/(2*9.81)+B55+0.5*(((DATOS!$B$27*C55/(DATOS!$B$14*E55))^2/((DATOS!$B$14*E55)/(DATOS!$B$14+2*E55))^(4/3))+((DATOS!$B$27*C56/(DATOS!$B$14*((AH56+AI56)/2)))^2/((DATOS!$B$14*((AH56+AI56)/2))/(DATOS!$B$14+2*((AH56+AI56)/2)))^(4/3)))*(A55-A56)))&lt;0,((AH56+AI56)/2),AH56)</f>
        <v/>
      </c>
      <c r="AK56" s="16">
        <f>IF((((AH56+AI56)/2)+(C56/(DATOS!$B$14*((AH56+AI56)/2)))^2/(2*9.81)+B56-(E55+(C55/(DATOS!$B$14*E55))^2/(2*9.81)+B55+0.5*(((DATOS!$B$27*C55/(DATOS!$B$14*E55))^2/((DATOS!$B$14*E55)/(DATOS!$B$14+2*E55))^(4/3))+((DATOS!$B$27*C56/(DATOS!$B$14*((AH56+AI56)/2)))^2/((DATOS!$B$14*((AH56+AI56)/2))/(DATOS!$B$14+2*((AH56+AI56)/2)))^(4/3)))*(A55-A56)))&lt;0,AI56,((AH56+AI56)/2))</f>
        <v/>
      </c>
      <c r="AL56" s="16">
        <f>IF((((AJ56+AK56)/2)+(C56/(DATOS!$B$14*((AJ56+AK56)/2)))^2/(2*9.81)+B56-(E55+(C55/(DATOS!$B$14*E55))^2/(2*9.81)+B55+0.5*(((DATOS!$B$27*C55/(DATOS!$B$14*E55))^2/((DATOS!$B$14*E55)/(DATOS!$B$14+2*E55))^(4/3))+((DATOS!$B$27*C56/(DATOS!$B$14*((AJ56+AK56)/2)))^2/((DATOS!$B$14*((AJ56+AK56)/2))/(DATOS!$B$14+2*((AJ56+AK56)/2)))^(4/3)))*(A55-A56)))&lt;0,((AJ56+AK56)/2),AJ56)</f>
        <v/>
      </c>
      <c r="AM56" s="16">
        <f>IF((((AJ56+AK56)/2)+(C56/(DATOS!$B$14*((AJ56+AK56)/2)))^2/(2*9.81)+B56-(E55+(C55/(DATOS!$B$14*E55))^2/(2*9.81)+B55+0.5*(((DATOS!$B$27*C55/(DATOS!$B$14*E55))^2/((DATOS!$B$14*E55)/(DATOS!$B$14+2*E55))^(4/3))+((DATOS!$B$27*C56/(DATOS!$B$14*((AJ56+AK56)/2)))^2/((DATOS!$B$14*((AJ56+AK56)/2))/(DATOS!$B$14+2*((AJ56+AK56)/2)))^(4/3)))*(A55-A56)))&lt;0,AK56,((AJ56+AK56)/2))</f>
        <v/>
      </c>
      <c r="AN56" s="16">
        <f>IF((((AL56+AM56)/2)+(C56/(DATOS!$B$14*((AL56+AM56)/2)))^2/(2*9.81)+B56-(E55+(C55/(DATOS!$B$14*E55))^2/(2*9.81)+B55+0.5*(((DATOS!$B$27*C55/(DATOS!$B$14*E55))^2/((DATOS!$B$14*E55)/(DATOS!$B$14+2*E55))^(4/3))+((DATOS!$B$27*C56/(DATOS!$B$14*((AL56+AM56)/2)))^2/((DATOS!$B$14*((AL56+AM56)/2))/(DATOS!$B$14+2*((AL56+AM56)/2)))^(4/3)))*(A55-A56)))&lt;0,((AL56+AM56)/2),AL56)</f>
        <v/>
      </c>
      <c r="AO56" s="16">
        <f>IF((((AL56+AM56)/2)+(C56/(DATOS!$B$14*((AL56+AM56)/2)))^2/(2*9.81)+B56-(E55+(C55/(DATOS!$B$14*E55))^2/(2*9.81)+B55+0.5*(((DATOS!$B$27*C55/(DATOS!$B$14*E55))^2/((DATOS!$B$14*E55)/(DATOS!$B$14+2*E55))^(4/3))+((DATOS!$B$27*C56/(DATOS!$B$14*((AL56+AM56)/2)))^2/((DATOS!$B$14*((AL56+AM56)/2))/(DATOS!$B$14+2*((AL56+AM56)/2)))^(4/3)))*(A55-A56)))&lt;0,AM56,((AL56+AM56)/2))</f>
        <v/>
      </c>
      <c r="AP56" s="16">
        <f>IF((((AN56+AO56)/2)+(C56/(DATOS!$B$14*((AN56+AO56)/2)))^2/(2*9.81)+B56-(E55+(C55/(DATOS!$B$14*E55))^2/(2*9.81)+B55+0.5*(((DATOS!$B$27*C55/(DATOS!$B$14*E55))^2/((DATOS!$B$14*E55)/(DATOS!$B$14+2*E55))^(4/3))+((DATOS!$B$27*C56/(DATOS!$B$14*((AN56+AO56)/2)))^2/((DATOS!$B$14*((AN56+AO56)/2))/(DATOS!$B$14+2*((AN56+AO56)/2)))^(4/3)))*(A55-A56)))&lt;0,((AN56+AO56)/2),AN56)</f>
        <v/>
      </c>
      <c r="AQ56" s="16">
        <f>IF((((AN56+AO56)/2)+(C56/(DATOS!$B$14*((AN56+AO56)/2)))^2/(2*9.81)+B56-(E55+(C55/(DATOS!$B$14*E55))^2/(2*9.81)+B55+0.5*(((DATOS!$B$27*C55/(DATOS!$B$14*E55))^2/((DATOS!$B$14*E55)/(DATOS!$B$14+2*E55))^(4/3))+((DATOS!$B$27*C56/(DATOS!$B$14*((AN56+AO56)/2)))^2/((DATOS!$B$14*((AN56+AO56)/2))/(DATOS!$B$14+2*((AN56+AO56)/2)))^(4/3)))*(A55-A56)))&lt;0,AO56,((AN56+AO56)/2))</f>
        <v/>
      </c>
      <c r="AR56" s="16">
        <f>IF((((AP56+AQ56)/2)+(C56/(DATOS!$B$14*((AP56+AQ56)/2)))^2/(2*9.81)+B56-(E55+(C55/(DATOS!$B$14*E55))^2/(2*9.81)+B55+0.5*(((DATOS!$B$27*C55/(DATOS!$B$14*E55))^2/((DATOS!$B$14*E55)/(DATOS!$B$14+2*E55))^(4/3))+((DATOS!$B$27*C56/(DATOS!$B$14*((AP56+AQ56)/2)))^2/((DATOS!$B$14*((AP56+AQ56)/2))/(DATOS!$B$14+2*((AP56+AQ56)/2)))^(4/3)))*(A55-A56)))&lt;0,((AP56+AQ56)/2),AP56)</f>
        <v/>
      </c>
      <c r="AS56" s="16">
        <f>IF((((AP56+AQ56)/2)+(C56/(DATOS!$B$14*((AP56+AQ56)/2)))^2/(2*9.81)+B56-(E55+(C55/(DATOS!$B$14*E55))^2/(2*9.81)+B55+0.5*(((DATOS!$B$27*C55/(DATOS!$B$14*E55))^2/((DATOS!$B$14*E55)/(DATOS!$B$14+2*E55))^(4/3))+((DATOS!$B$27*C56/(DATOS!$B$14*((AP56+AQ56)/2)))^2/((DATOS!$B$14*((AP56+AQ56)/2))/(DATOS!$B$14+2*((AP56+AQ56)/2)))^(4/3)))*(A55-A56)))&lt;0,AQ56,((AP56+AQ56)/2))</f>
        <v/>
      </c>
      <c r="AT56" s="16">
        <f>IF((((AR56+AS56)/2)+(C56/(DATOS!$B$14*((AR56+AS56)/2)))^2/(2*9.81)+B56-(E55+(C55/(DATOS!$B$14*E55))^2/(2*9.81)+B55+0.5*(((DATOS!$B$27*C55/(DATOS!$B$14*E55))^2/((DATOS!$B$14*E55)/(DATOS!$B$14+2*E55))^(4/3))+((DATOS!$B$27*C56/(DATOS!$B$14*((AR56+AS56)/2)))^2/((DATOS!$B$14*((AR56+AS56)/2))/(DATOS!$B$14+2*((AR56+AS56)/2)))^(4/3)))*(A55-A56)))&lt;0,((AR56+AS56)/2),AR56)</f>
        <v/>
      </c>
      <c r="AU56" s="16">
        <f>IF((((AR56+AS56)/2)+(C56/(DATOS!$B$14*((AR56+AS56)/2)))^2/(2*9.81)+B56-(E55+(C55/(DATOS!$B$14*E55))^2/(2*9.81)+B55+0.5*(((DATOS!$B$27*C55/(DATOS!$B$14*E55))^2/((DATOS!$B$14*E55)/(DATOS!$B$14+2*E55))^(4/3))+((DATOS!$B$27*C56/(DATOS!$B$14*((AR56+AS56)/2)))^2/((DATOS!$B$14*((AR56+AS56)/2))/(DATOS!$B$14+2*((AR56+AS56)/2)))^(4/3)))*(A55-A56)))&lt;0,AS56,((AR56+AS56)/2))</f>
        <v/>
      </c>
      <c r="AV56" s="16">
        <f>IF((((AT56+AU56)/2)+(C56/(DATOS!$B$14*((AT56+AU56)/2)))^2/(2*9.81)+B56-(E55+(C55/(DATOS!$B$14*E55))^2/(2*9.81)+B55+0.5*(((DATOS!$B$27*C55/(DATOS!$B$14*E55))^2/((DATOS!$B$14*E55)/(DATOS!$B$14+2*E55))^(4/3))+((DATOS!$B$27*C56/(DATOS!$B$14*((AT56+AU56)/2)))^2/((DATOS!$B$14*((AT56+AU56)/2))/(DATOS!$B$14+2*((AT56+AU56)/2)))^(4/3)))*(A55-A56)))&lt;0,((AT56+AU56)/2),AT56)</f>
        <v/>
      </c>
      <c r="AW56" s="16">
        <f>IF((((AT56+AU56)/2)+(C56/(DATOS!$B$14*((AT56+AU56)/2)))^2/(2*9.81)+B56-(E55+(C55/(DATOS!$B$14*E55))^2/(2*9.81)+B55+0.5*(((DATOS!$B$27*C55/(DATOS!$B$14*E55))^2/((DATOS!$B$14*E55)/(DATOS!$B$14+2*E55))^(4/3))+((DATOS!$B$27*C56/(DATOS!$B$14*((AT56+AU56)/2)))^2/((DATOS!$B$14*((AT56+AU56)/2))/(DATOS!$B$14+2*((AT56+AU56)/2)))^(4/3)))*(A55-A56)))&lt;0,AU56,((AT56+AU56)/2))</f>
        <v/>
      </c>
      <c r="AX56" s="16">
        <f>IF((((AV56+AW56)/2)+(C56/(DATOS!$B$14*((AV56+AW56)/2)))^2/(2*9.81)+B56-(E55+(C55/(DATOS!$B$14*E55))^2/(2*9.81)+B55+0.5*(((DATOS!$B$27*C55/(DATOS!$B$14*E55))^2/((DATOS!$B$14*E55)/(DATOS!$B$14+2*E55))^(4/3))+((DATOS!$B$27*C56/(DATOS!$B$14*((AV56+AW56)/2)))^2/((DATOS!$B$14*((AV56+AW56)/2))/(DATOS!$B$14+2*((AV56+AW56)/2)))^(4/3)))*(A55-A56)))&lt;0,((AV56+AW56)/2),AV56)</f>
        <v/>
      </c>
      <c r="AY56" s="16">
        <f>IF((((AV56+AW56)/2)+(C56/(DATOS!$B$14*((AV56+AW56)/2)))^2/(2*9.81)+B56-(E55+(C55/(DATOS!$B$14*E55))^2/(2*9.81)+B55+0.5*(((DATOS!$B$27*C55/(DATOS!$B$14*E55))^2/((DATOS!$B$14*E55)/(DATOS!$B$14+2*E55))^(4/3))+((DATOS!$B$27*C56/(DATOS!$B$14*((AV56+AW56)/2)))^2/((DATOS!$B$14*((AV56+AW56)/2))/(DATOS!$B$14+2*((AV56+AW56)/2)))^(4/3)))*(A55-A56)))&lt;0,AW56,((AV56+AW56)/2))</f>
        <v/>
      </c>
      <c r="AZ56" s="16">
        <f>IF((((AX56+AY56)/2)+(C56/(DATOS!$B$14*((AX56+AY56)/2)))^2/(2*9.81)+B56-(E55+(C55/(DATOS!$B$14*E55))^2/(2*9.81)+B55+0.5*(((DATOS!$B$27*C55/(DATOS!$B$14*E55))^2/((DATOS!$B$14*E55)/(DATOS!$B$14+2*E55))^(4/3))+((DATOS!$B$27*C56/(DATOS!$B$14*((AX56+AY56)/2)))^2/((DATOS!$B$14*((AX56+AY56)/2))/(DATOS!$B$14+2*((AX56+AY56)/2)))^(4/3)))*(A55-A56)))&lt;0,((AX56+AY56)/2),AX56)</f>
        <v/>
      </c>
      <c r="BA56" s="16">
        <f>IF((((AX56+AY56)/2)+(C56/(DATOS!$B$14*((AX56+AY56)/2)))^2/(2*9.81)+B56-(E55+(C55/(DATOS!$B$14*E55))^2/(2*9.81)+B55+0.5*(((DATOS!$B$27*C55/(DATOS!$B$14*E55))^2/((DATOS!$B$14*E55)/(DATOS!$B$14+2*E55))^(4/3))+((DATOS!$B$27*C56/(DATOS!$B$14*((AX56+AY56)/2)))^2/((DATOS!$B$14*((AX56+AY56)/2))/(DATOS!$B$14+2*((AX56+AY56)/2)))^(4/3)))*(A55-A56)))&lt;0,AY56,((AX56+AY56)/2))</f>
        <v/>
      </c>
      <c r="BB56" s="16">
        <f>IF((((AZ56+BA56)/2)+(C56/(DATOS!$B$14*((AZ56+BA56)/2)))^2/(2*9.81)+B56-(E55+(C55/(DATOS!$B$14*E55))^2/(2*9.81)+B55+0.5*(((DATOS!$B$27*C55/(DATOS!$B$14*E55))^2/((DATOS!$B$14*E55)/(DATOS!$B$14+2*E55))^(4/3))+((DATOS!$B$27*C56/(DATOS!$B$14*((AZ56+BA56)/2)))^2/((DATOS!$B$14*((AZ56+BA56)/2))/(DATOS!$B$14+2*((AZ56+BA56)/2)))^(4/3)))*(A55-A56)))&lt;0,((AZ56+BA56)/2),AZ56)</f>
        <v/>
      </c>
      <c r="BC56" s="16">
        <f>IF((((AZ56+BA56)/2)+(C56/(DATOS!$B$14*((AZ56+BA56)/2)))^2/(2*9.81)+B56-(E55+(C55/(DATOS!$B$14*E55))^2/(2*9.81)+B55+0.5*(((DATOS!$B$27*C55/(DATOS!$B$14*E55))^2/((DATOS!$B$14*E55)/(DATOS!$B$14+2*E55))^(4/3))+((DATOS!$B$27*C56/(DATOS!$B$14*((AZ56+BA56)/2)))^2/((DATOS!$B$14*((AZ56+BA56)/2))/(DATOS!$B$14+2*((AZ56+BA56)/2)))^(4/3)))*(A55-A56)))&lt;0,BA56,((AZ56+BA56)/2))</f>
        <v/>
      </c>
      <c r="BD56" s="16">
        <f>IF((((BB56+BC56)/2)+(C56/(DATOS!$B$14*((BB56+BC56)/2)))^2/(2*9.81)+B56-(E55+(C55/(DATOS!$B$14*E55))^2/(2*9.81)+B55+0.5*(((DATOS!$B$27*C55/(DATOS!$B$14*E55))^2/((DATOS!$B$14*E55)/(DATOS!$B$14+2*E55))^(4/3))+((DATOS!$B$27*C56/(DATOS!$B$14*((BB56+BC56)/2)))^2/((DATOS!$B$14*((BB56+BC56)/2))/(DATOS!$B$14+2*((BB56+BC56)/2)))^(4/3)))*(A55-A56)))&lt;0,((BB56+BC56)/2),BB56)</f>
        <v/>
      </c>
      <c r="BE56" s="16">
        <f>IF((((BB56+BC56)/2)+(C56/(DATOS!$B$14*((BB56+BC56)/2)))^2/(2*9.81)+B56-(E55+(C55/(DATOS!$B$14*E55))^2/(2*9.81)+B55+0.5*(((DATOS!$B$27*C55/(DATOS!$B$14*E55))^2/((DATOS!$B$14*E55)/(DATOS!$B$14+2*E55))^(4/3))+((DATOS!$B$27*C56/(DATOS!$B$14*((BB56+BC56)/2)))^2/((DATOS!$B$14*((BB56+BC56)/2))/(DATOS!$B$14+2*((BB56+BC56)/2)))^(4/3)))*(A55-A56)))&lt;0,BC56,((BB56+BC56)/2))</f>
        <v/>
      </c>
      <c r="BF56" s="16">
        <f>IF((((BD56+BE56)/2)+(C56/(DATOS!$B$14*((BD56+BE56)/2)))^2/(2*9.81)+B56-(E55+(C55/(DATOS!$B$14*E55))^2/(2*9.81)+B55+0.5*(((DATOS!$B$27*C55/(DATOS!$B$14*E55))^2/((DATOS!$B$14*E55)/(DATOS!$B$14+2*E55))^(4/3))+((DATOS!$B$27*C56/(DATOS!$B$14*((BD56+BE56)/2)))^2/((DATOS!$B$14*((BD56+BE56)/2))/(DATOS!$B$14+2*((BD56+BE56)/2)))^(4/3)))*(A55-A56)))&lt;0,((BD56+BE56)/2),BD56)</f>
        <v/>
      </c>
      <c r="BG56" s="16">
        <f>IF((((BD56+BE56)/2)+(C56/(DATOS!$B$14*((BD56+BE56)/2)))^2/(2*9.81)+B56-(E55+(C55/(DATOS!$B$14*E55))^2/(2*9.81)+B55+0.5*(((DATOS!$B$27*C55/(DATOS!$B$14*E55))^2/((DATOS!$B$14*E55)/(DATOS!$B$14+2*E55))^(4/3))+((DATOS!$B$27*C56/(DATOS!$B$14*((BD56+BE56)/2)))^2/((DATOS!$B$14*((BD56+BE56)/2))/(DATOS!$B$14+2*((BD56+BE56)/2)))^(4/3)))*(A55-A56)))&lt;0,BE56,((BD56+BE56)/2))</f>
        <v/>
      </c>
      <c r="BH56" s="16">
        <f>IF((((BF56+BG56)/2)+(C56/(DATOS!$B$14*((BF56+BG56)/2)))^2/(2*9.81)+B56-(E55+(C55/(DATOS!$B$14*E55))^2/(2*9.81)+B55+0.5*(((DATOS!$B$27*C55/(DATOS!$B$14*E55))^2/((DATOS!$B$14*E55)/(DATOS!$B$14+2*E55))^(4/3))+((DATOS!$B$27*C56/(DATOS!$B$14*((BF56+BG56)/2)))^2/((DATOS!$B$14*((BF56+BG56)/2))/(DATOS!$B$14+2*((BF56+BG56)/2)))^(4/3)))*(A55-A56)))&lt;0,((BF56+BG56)/2),BF56)</f>
        <v/>
      </c>
      <c r="BI56" s="16">
        <f>IF((((BF56+BG56)/2)+(C56/(DATOS!$B$14*((BF56+BG56)/2)))^2/(2*9.81)+B56-(E55+(C55/(DATOS!$B$14*E55))^2/(2*9.81)+B55+0.5*(((DATOS!$B$27*C55/(DATOS!$B$14*E55))^2/((DATOS!$B$14*E55)/(DATOS!$B$14+2*E55))^(4/3))+((DATOS!$B$27*C56/(DATOS!$B$14*((BF56+BG56)/2)))^2/((DATOS!$B$14*((BF56+BG56)/2))/(DATOS!$B$14+2*((BF56+BG56)/2)))^(4/3)))*(A55-A56)))&lt;0,BG56,((BF56+BG56)/2))</f>
        <v/>
      </c>
      <c r="BJ56" s="16">
        <f>IF((((BH56+BI56)/2)+(C56/(DATOS!$B$14*((BH56+BI56)/2)))^2/(2*9.81)+B56-(E55+(C55/(DATOS!$B$14*E55))^2/(2*9.81)+B55+0.5*(((DATOS!$B$27*C55/(DATOS!$B$14*E55))^2/((DATOS!$B$14*E55)/(DATOS!$B$14+2*E55))^(4/3))+((DATOS!$B$27*C56/(DATOS!$B$14*((BH56+BI56)/2)))^2/((DATOS!$B$14*((BH56+BI56)/2))/(DATOS!$B$14+2*((BH56+BI56)/2)))^(4/3)))*(A55-A56)))&lt;0,((BH56+BI56)/2),BH56)</f>
        <v/>
      </c>
      <c r="BK56" s="16">
        <f>IF((((BH56+BI56)/2)+(C56/(DATOS!$B$14*((BH56+BI56)/2)))^2/(2*9.81)+B56-(E55+(C55/(DATOS!$B$14*E55))^2/(2*9.81)+B55+0.5*(((DATOS!$B$27*C55/(DATOS!$B$14*E55))^2/((DATOS!$B$14*E55)/(DATOS!$B$14+2*E55))^(4/3))+((DATOS!$B$27*C56/(DATOS!$B$14*((BH56+BI56)/2)))^2/((DATOS!$B$14*((BH56+BI56)/2))/(DATOS!$B$14+2*((BH56+BI56)/2)))^(4/3)))*(A55-A56)))&lt;0,BI56,((BH56+BI56)/2))</f>
        <v/>
      </c>
      <c r="BL56" s="16">
        <f>IF((((BJ56+BK56)/2)+(C56/(DATOS!$B$14*((BJ56+BK56)/2)))^2/(2*9.81)+B56-(E55+(C55/(DATOS!$B$14*E55))^2/(2*9.81)+B55+0.5*(((DATOS!$B$27*C55/(DATOS!$B$14*E55))^2/((DATOS!$B$14*E55)/(DATOS!$B$14+2*E55))^(4/3))+((DATOS!$B$27*C56/(DATOS!$B$14*((BJ56+BK56)/2)))^2/((DATOS!$B$14*((BJ56+BK56)/2))/(DATOS!$B$14+2*((BJ56+BK56)/2)))^(4/3)))*(A55-A56)))&lt;0,((BJ56+BK56)/2),BJ56)</f>
        <v/>
      </c>
      <c r="BM56" s="16">
        <f>IF((((BJ56+BK56)/2)+(C56/(DATOS!$B$14*((BJ56+BK56)/2)))^2/(2*9.81)+B56-(E55+(C55/(DATOS!$B$14*E55))^2/(2*9.81)+B55+0.5*(((DATOS!$B$27*C55/(DATOS!$B$14*E55))^2/((DATOS!$B$14*E55)/(DATOS!$B$14+2*E55))^(4/3))+((DATOS!$B$27*C56/(DATOS!$B$14*((BJ56+BK56)/2)))^2/((DATOS!$B$14*((BJ56+BK56)/2))/(DATOS!$B$14+2*((BJ56+BK56)/2)))^(4/3)))*(A55-A56)))&lt;0,BK56,((BJ56+BK56)/2))</f>
        <v/>
      </c>
      <c r="BN56" s="16">
        <f>IF((((BL56+BM56)/2)+(C56/(DATOS!$B$14*((BL56+BM56)/2)))^2/(2*9.81)+B56-(E55+(C55/(DATOS!$B$14*E55))^2/(2*9.81)+B55+0.5*(((DATOS!$B$27*C55/(DATOS!$B$14*E55))^2/((DATOS!$B$14*E55)/(DATOS!$B$14+2*E55))^(4/3))+((DATOS!$B$27*C56/(DATOS!$B$14*((BL56+BM56)/2)))^2/((DATOS!$B$14*((BL56+BM56)/2))/(DATOS!$B$14+2*((BL56+BM56)/2)))^(4/3)))*(A55-A56)))&lt;0,((BL56+BM56)/2),BL56)</f>
        <v/>
      </c>
      <c r="BO56" s="16">
        <f>IF((((BL56+BM56)/2)+(C56/(DATOS!$B$14*((BL56+BM56)/2)))^2/(2*9.81)+B56-(E55+(C55/(DATOS!$B$14*E55))^2/(2*9.81)+B55+0.5*(((DATOS!$B$27*C55/(DATOS!$B$14*E55))^2/((DATOS!$B$14*E55)/(DATOS!$B$14+2*E55))^(4/3))+((DATOS!$B$27*C56/(DATOS!$B$14*((BL56+BM56)/2)))^2/((DATOS!$B$14*((BL56+BM56)/2))/(DATOS!$B$14+2*((BL56+BM56)/2)))^(4/3)))*(A55-A56)))&lt;0,BM56,((BL56+BM56)/2))</f>
        <v/>
      </c>
      <c r="BP56" s="16">
        <f>IF((((BN56+BO56)/2)+(C56/(DATOS!$B$14*((BN56+BO56)/2)))^2/(2*9.81)+B56-(E55+(C55/(DATOS!$B$14*E55))^2/(2*9.81)+B55+0.5*(((DATOS!$B$27*C55/(DATOS!$B$14*E55))^2/((DATOS!$B$14*E55)/(DATOS!$B$14+2*E55))^(4/3))+((DATOS!$B$27*C56/(DATOS!$B$14*((BN56+BO56)/2)))^2/((DATOS!$B$14*((BN56+BO56)/2))/(DATOS!$B$14+2*((BN56+BO56)/2)))^(4/3)))*(A55-A56)))&lt;0,((BN56+BO56)/2),BN56)</f>
        <v/>
      </c>
      <c r="BQ56" s="16">
        <f>IF((((BN56+BO56)/2)+(C56/(DATOS!$B$14*((BN56+BO56)/2)))^2/(2*9.81)+B56-(E55+(C55/(DATOS!$B$14*E55))^2/(2*9.81)+B55+0.5*(((DATOS!$B$27*C55/(DATOS!$B$14*E55))^2/((DATOS!$B$14*E55)/(DATOS!$B$14+2*E55))^(4/3))+((DATOS!$B$27*C56/(DATOS!$B$14*((BN56+BO56)/2)))^2/((DATOS!$B$14*((BN56+BO56)/2))/(DATOS!$B$14+2*((BN56+BO56)/2)))^(4/3)))*(A55-A56)))&lt;0,BO56,((BN56+BO56)/2))</f>
        <v/>
      </c>
      <c r="BR56" s="16">
        <f>IF((((BP56+BQ56)/2)+(C56/(DATOS!$B$14*((BP56+BQ56)/2)))^2/(2*9.81)+B56-(E55+(C55/(DATOS!$B$14*E55))^2/(2*9.81)+B55+0.5*(((DATOS!$B$27*C55/(DATOS!$B$14*E55))^2/((DATOS!$B$14*E55)/(DATOS!$B$14+2*E55))^(4/3))+((DATOS!$B$27*C56/(DATOS!$B$14*((BP56+BQ56)/2)))^2/((DATOS!$B$14*((BP56+BQ56)/2))/(DATOS!$B$14+2*((BP56+BQ56)/2)))^(4/3)))*(A55-A56)))&lt;0,((BP56+BQ56)/2),BP56)</f>
        <v/>
      </c>
      <c r="BS56" s="16">
        <f>IF((((BP56+BQ56)/2)+(C56/(DATOS!$B$14*((BP56+BQ56)/2)))^2/(2*9.81)+B56-(E55+(C55/(DATOS!$B$14*E55))^2/(2*9.81)+B55+0.5*(((DATOS!$B$27*C55/(DATOS!$B$14*E55))^2/((DATOS!$B$14*E55)/(DATOS!$B$14+2*E55))^(4/3))+((DATOS!$B$27*C56/(DATOS!$B$14*((BP56+BQ56)/2)))^2/((DATOS!$B$14*((BP56+BQ56)/2))/(DATOS!$B$14+2*((BP56+BQ56)/2)))^(4/3)))*(A55-A56)))&lt;0,BQ56,((BP56+BQ56)/2))</f>
        <v/>
      </c>
      <c r="BT56" s="16">
        <f>IF((((BR56+BS56)/2)+(C56/(DATOS!$B$14*((BR56+BS56)/2)))^2/(2*9.81)+B56-(E55+(C55/(DATOS!$B$14*E55))^2/(2*9.81)+B55+0.5*(((DATOS!$B$27*C55/(DATOS!$B$14*E55))^2/((DATOS!$B$14*E55)/(DATOS!$B$14+2*E55))^(4/3))+((DATOS!$B$27*C56/(DATOS!$B$14*((BR56+BS56)/2)))^2/((DATOS!$B$14*((BR56+BS56)/2))/(DATOS!$B$14+2*((BR56+BS56)/2)))^(4/3)))*(A55-A56)))&lt;0,((BR56+BS56)/2),BR56)</f>
        <v/>
      </c>
      <c r="BU56" s="16">
        <f>IF((((BR56+BS56)/2)+(C56/(DATOS!$B$14*((BR56+BS56)/2)))^2/(2*9.81)+B56-(E55+(C55/(DATOS!$B$14*E55))^2/(2*9.81)+B55+0.5*(((DATOS!$B$27*C55/(DATOS!$B$14*E55))^2/((DATOS!$B$14*E55)/(DATOS!$B$14+2*E55))^(4/3))+((DATOS!$B$27*C56/(DATOS!$B$14*((BR56+BS56)/2)))^2/((DATOS!$B$14*((BR56+BS56)/2))/(DATOS!$B$14+2*((BR56+BS56)/2)))^(4/3)))*(A55-A56)))&lt;0,BS56,((BR56+BS56)/2))</f>
        <v/>
      </c>
    </row>
    <row r="57">
      <c r="A57" s="30" t="n">
        <v>42</v>
      </c>
      <c r="B57" s="21">
        <f>DATOS!$B$16-DATOS!$B$19*A57</f>
        <v/>
      </c>
      <c r="C57" s="21">
        <f>IF(A57&lt;CAUDALES!$B$13,CAUDALES!$D$12,IF(A57&lt;CAUDALES!$B$14,CAUDALES!$D$13,IF(A57&lt;CAUDALES!$B$15,CAUDALES!$D$14,CAUDALES!$D$15)))/1000</f>
        <v/>
      </c>
      <c r="D57" s="21">
        <f>(C57^2/(9.81*DATOS!$B$14^2))^(1/3)</f>
        <v/>
      </c>
      <c r="E57" s="29">
        <f>(BT57+BU57)/2</f>
        <v/>
      </c>
      <c r="F57" s="21">
        <f>B57+E57</f>
        <v/>
      </c>
      <c r="G57" s="17">
        <f>C57/(DATOS!$B$14*E57)</f>
        <v/>
      </c>
      <c r="H57" s="17">
        <f>G57/SQRT(9.81*E57)</f>
        <v/>
      </c>
      <c r="I57" s="21">
        <f>IF(A57&lt;=DATOS!$B$20,DATOS!$B$21-IF(AND(A57&gt;=DATOS!$B$23,A57&lt;DATOS!$B$24),DATOS!$B$25,DATOS!$B$22),B57+DATOS!$B$26)</f>
        <v/>
      </c>
      <c r="J57" s="17">
        <f>I57-B57</f>
        <v/>
      </c>
      <c r="K57" s="31">
        <f>E57/J57</f>
        <v/>
      </c>
      <c r="L57" s="21">
        <f>I57-F57</f>
        <v/>
      </c>
      <c r="M57" s="32">
        <f>IF(AND(K57&lt;=DATOS!$B$29,L57&gt;=DATOS!$B$30),"CUMPLE","NO CUMPLE")</f>
        <v/>
      </c>
      <c r="N57" s="13">
        <f>IF(A57&gt;DATOS!$B$20,"cubierto - tramo final",IF(AND(A57&gt;=DATOS!$B$23,A57&lt;DATOS!$B$24),"cubierto - camiones","cubierto"))</f>
        <v/>
      </c>
      <c r="P57" s="16">
        <f>D57*1.001</f>
        <v/>
      </c>
      <c r="Q57" s="16" t="n">
        <v>2</v>
      </c>
      <c r="R57" s="16">
        <f>IF((((P57+Q57)/2)+(C57/(DATOS!$B$14*((P57+Q57)/2)))^2/(2*9.81)+B57-(E56+(C56/(DATOS!$B$14*E56))^2/(2*9.81)+B56+0.5*(((DATOS!$B$27*C56/(DATOS!$B$14*E56))^2/((DATOS!$B$14*E56)/(DATOS!$B$14+2*E56))^(4/3))+((DATOS!$B$27*C57/(DATOS!$B$14*((P57+Q57)/2)))^2/((DATOS!$B$14*((P57+Q57)/2))/(DATOS!$B$14+2*((P57+Q57)/2)))^(4/3)))*(A56-A57)))&lt;0,((P57+Q57)/2),P57)</f>
        <v/>
      </c>
      <c r="S57" s="16">
        <f>IF((((P57+Q57)/2)+(C57/(DATOS!$B$14*((P57+Q57)/2)))^2/(2*9.81)+B57-(E56+(C56/(DATOS!$B$14*E56))^2/(2*9.81)+B56+0.5*(((DATOS!$B$27*C56/(DATOS!$B$14*E56))^2/((DATOS!$B$14*E56)/(DATOS!$B$14+2*E56))^(4/3))+((DATOS!$B$27*C57/(DATOS!$B$14*((P57+Q57)/2)))^2/((DATOS!$B$14*((P57+Q57)/2))/(DATOS!$B$14+2*((P57+Q57)/2)))^(4/3)))*(A56-A57)))&lt;0,Q57,((P57+Q57)/2))</f>
        <v/>
      </c>
      <c r="T57" s="16">
        <f>IF((((R57+S57)/2)+(C57/(DATOS!$B$14*((R57+S57)/2)))^2/(2*9.81)+B57-(E56+(C56/(DATOS!$B$14*E56))^2/(2*9.81)+B56+0.5*(((DATOS!$B$27*C56/(DATOS!$B$14*E56))^2/((DATOS!$B$14*E56)/(DATOS!$B$14+2*E56))^(4/3))+((DATOS!$B$27*C57/(DATOS!$B$14*((R57+S57)/2)))^2/((DATOS!$B$14*((R57+S57)/2))/(DATOS!$B$14+2*((R57+S57)/2)))^(4/3)))*(A56-A57)))&lt;0,((R57+S57)/2),R57)</f>
        <v/>
      </c>
      <c r="U57" s="16">
        <f>IF((((R57+S57)/2)+(C57/(DATOS!$B$14*((R57+S57)/2)))^2/(2*9.81)+B57-(E56+(C56/(DATOS!$B$14*E56))^2/(2*9.81)+B56+0.5*(((DATOS!$B$27*C56/(DATOS!$B$14*E56))^2/((DATOS!$B$14*E56)/(DATOS!$B$14+2*E56))^(4/3))+((DATOS!$B$27*C57/(DATOS!$B$14*((R57+S57)/2)))^2/((DATOS!$B$14*((R57+S57)/2))/(DATOS!$B$14+2*((R57+S57)/2)))^(4/3)))*(A56-A57)))&lt;0,S57,((R57+S57)/2))</f>
        <v/>
      </c>
      <c r="V57" s="16">
        <f>IF((((T57+U57)/2)+(C57/(DATOS!$B$14*((T57+U57)/2)))^2/(2*9.81)+B57-(E56+(C56/(DATOS!$B$14*E56))^2/(2*9.81)+B56+0.5*(((DATOS!$B$27*C56/(DATOS!$B$14*E56))^2/((DATOS!$B$14*E56)/(DATOS!$B$14+2*E56))^(4/3))+((DATOS!$B$27*C57/(DATOS!$B$14*((T57+U57)/2)))^2/((DATOS!$B$14*((T57+U57)/2))/(DATOS!$B$14+2*((T57+U57)/2)))^(4/3)))*(A56-A57)))&lt;0,((T57+U57)/2),T57)</f>
        <v/>
      </c>
      <c r="W57" s="16">
        <f>IF((((T57+U57)/2)+(C57/(DATOS!$B$14*((T57+U57)/2)))^2/(2*9.81)+B57-(E56+(C56/(DATOS!$B$14*E56))^2/(2*9.81)+B56+0.5*(((DATOS!$B$27*C56/(DATOS!$B$14*E56))^2/((DATOS!$B$14*E56)/(DATOS!$B$14+2*E56))^(4/3))+((DATOS!$B$27*C57/(DATOS!$B$14*((T57+U57)/2)))^2/((DATOS!$B$14*((T57+U57)/2))/(DATOS!$B$14+2*((T57+U57)/2)))^(4/3)))*(A56-A57)))&lt;0,U57,((T57+U57)/2))</f>
        <v/>
      </c>
      <c r="X57" s="16">
        <f>IF((((V57+W57)/2)+(C57/(DATOS!$B$14*((V57+W57)/2)))^2/(2*9.81)+B57-(E56+(C56/(DATOS!$B$14*E56))^2/(2*9.81)+B56+0.5*(((DATOS!$B$27*C56/(DATOS!$B$14*E56))^2/((DATOS!$B$14*E56)/(DATOS!$B$14+2*E56))^(4/3))+((DATOS!$B$27*C57/(DATOS!$B$14*((V57+W57)/2)))^2/((DATOS!$B$14*((V57+W57)/2))/(DATOS!$B$14+2*((V57+W57)/2)))^(4/3)))*(A56-A57)))&lt;0,((V57+W57)/2),V57)</f>
        <v/>
      </c>
      <c r="Y57" s="16">
        <f>IF((((V57+W57)/2)+(C57/(DATOS!$B$14*((V57+W57)/2)))^2/(2*9.81)+B57-(E56+(C56/(DATOS!$B$14*E56))^2/(2*9.81)+B56+0.5*(((DATOS!$B$27*C56/(DATOS!$B$14*E56))^2/((DATOS!$B$14*E56)/(DATOS!$B$14+2*E56))^(4/3))+((DATOS!$B$27*C57/(DATOS!$B$14*((V57+W57)/2)))^2/((DATOS!$B$14*((V57+W57)/2))/(DATOS!$B$14+2*((V57+W57)/2)))^(4/3)))*(A56-A57)))&lt;0,W57,((V57+W57)/2))</f>
        <v/>
      </c>
      <c r="Z57" s="16">
        <f>IF((((X57+Y57)/2)+(C57/(DATOS!$B$14*((X57+Y57)/2)))^2/(2*9.81)+B57-(E56+(C56/(DATOS!$B$14*E56))^2/(2*9.81)+B56+0.5*(((DATOS!$B$27*C56/(DATOS!$B$14*E56))^2/((DATOS!$B$14*E56)/(DATOS!$B$14+2*E56))^(4/3))+((DATOS!$B$27*C57/(DATOS!$B$14*((X57+Y57)/2)))^2/((DATOS!$B$14*((X57+Y57)/2))/(DATOS!$B$14+2*((X57+Y57)/2)))^(4/3)))*(A56-A57)))&lt;0,((X57+Y57)/2),X57)</f>
        <v/>
      </c>
      <c r="AA57" s="16">
        <f>IF((((X57+Y57)/2)+(C57/(DATOS!$B$14*((X57+Y57)/2)))^2/(2*9.81)+B57-(E56+(C56/(DATOS!$B$14*E56))^2/(2*9.81)+B56+0.5*(((DATOS!$B$27*C56/(DATOS!$B$14*E56))^2/((DATOS!$B$14*E56)/(DATOS!$B$14+2*E56))^(4/3))+((DATOS!$B$27*C57/(DATOS!$B$14*((X57+Y57)/2)))^2/((DATOS!$B$14*((X57+Y57)/2))/(DATOS!$B$14+2*((X57+Y57)/2)))^(4/3)))*(A56-A57)))&lt;0,Y57,((X57+Y57)/2))</f>
        <v/>
      </c>
      <c r="AB57" s="16">
        <f>IF((((Z57+AA57)/2)+(C57/(DATOS!$B$14*((Z57+AA57)/2)))^2/(2*9.81)+B57-(E56+(C56/(DATOS!$B$14*E56))^2/(2*9.81)+B56+0.5*(((DATOS!$B$27*C56/(DATOS!$B$14*E56))^2/((DATOS!$B$14*E56)/(DATOS!$B$14+2*E56))^(4/3))+((DATOS!$B$27*C57/(DATOS!$B$14*((Z57+AA57)/2)))^2/((DATOS!$B$14*((Z57+AA57)/2))/(DATOS!$B$14+2*((Z57+AA57)/2)))^(4/3)))*(A56-A57)))&lt;0,((Z57+AA57)/2),Z57)</f>
        <v/>
      </c>
      <c r="AC57" s="16">
        <f>IF((((Z57+AA57)/2)+(C57/(DATOS!$B$14*((Z57+AA57)/2)))^2/(2*9.81)+B57-(E56+(C56/(DATOS!$B$14*E56))^2/(2*9.81)+B56+0.5*(((DATOS!$B$27*C56/(DATOS!$B$14*E56))^2/((DATOS!$B$14*E56)/(DATOS!$B$14+2*E56))^(4/3))+((DATOS!$B$27*C57/(DATOS!$B$14*((Z57+AA57)/2)))^2/((DATOS!$B$14*((Z57+AA57)/2))/(DATOS!$B$14+2*((Z57+AA57)/2)))^(4/3)))*(A56-A57)))&lt;0,AA57,((Z57+AA57)/2))</f>
        <v/>
      </c>
      <c r="AD57" s="16">
        <f>IF((((AB57+AC57)/2)+(C57/(DATOS!$B$14*((AB57+AC57)/2)))^2/(2*9.81)+B57-(E56+(C56/(DATOS!$B$14*E56))^2/(2*9.81)+B56+0.5*(((DATOS!$B$27*C56/(DATOS!$B$14*E56))^2/((DATOS!$B$14*E56)/(DATOS!$B$14+2*E56))^(4/3))+((DATOS!$B$27*C57/(DATOS!$B$14*((AB57+AC57)/2)))^2/((DATOS!$B$14*((AB57+AC57)/2))/(DATOS!$B$14+2*((AB57+AC57)/2)))^(4/3)))*(A56-A57)))&lt;0,((AB57+AC57)/2),AB57)</f>
        <v/>
      </c>
      <c r="AE57" s="16">
        <f>IF((((AB57+AC57)/2)+(C57/(DATOS!$B$14*((AB57+AC57)/2)))^2/(2*9.81)+B57-(E56+(C56/(DATOS!$B$14*E56))^2/(2*9.81)+B56+0.5*(((DATOS!$B$27*C56/(DATOS!$B$14*E56))^2/((DATOS!$B$14*E56)/(DATOS!$B$14+2*E56))^(4/3))+((DATOS!$B$27*C57/(DATOS!$B$14*((AB57+AC57)/2)))^2/((DATOS!$B$14*((AB57+AC57)/2))/(DATOS!$B$14+2*((AB57+AC57)/2)))^(4/3)))*(A56-A57)))&lt;0,AC57,((AB57+AC57)/2))</f>
        <v/>
      </c>
      <c r="AF57" s="16">
        <f>IF((((AD57+AE57)/2)+(C57/(DATOS!$B$14*((AD57+AE57)/2)))^2/(2*9.81)+B57-(E56+(C56/(DATOS!$B$14*E56))^2/(2*9.81)+B56+0.5*(((DATOS!$B$27*C56/(DATOS!$B$14*E56))^2/((DATOS!$B$14*E56)/(DATOS!$B$14+2*E56))^(4/3))+((DATOS!$B$27*C57/(DATOS!$B$14*((AD57+AE57)/2)))^2/((DATOS!$B$14*((AD57+AE57)/2))/(DATOS!$B$14+2*((AD57+AE57)/2)))^(4/3)))*(A56-A57)))&lt;0,((AD57+AE57)/2),AD57)</f>
        <v/>
      </c>
      <c r="AG57" s="16">
        <f>IF((((AD57+AE57)/2)+(C57/(DATOS!$B$14*((AD57+AE57)/2)))^2/(2*9.81)+B57-(E56+(C56/(DATOS!$B$14*E56))^2/(2*9.81)+B56+0.5*(((DATOS!$B$27*C56/(DATOS!$B$14*E56))^2/((DATOS!$B$14*E56)/(DATOS!$B$14+2*E56))^(4/3))+((DATOS!$B$27*C57/(DATOS!$B$14*((AD57+AE57)/2)))^2/((DATOS!$B$14*((AD57+AE57)/2))/(DATOS!$B$14+2*((AD57+AE57)/2)))^(4/3)))*(A56-A57)))&lt;0,AE57,((AD57+AE57)/2))</f>
        <v/>
      </c>
      <c r="AH57" s="16">
        <f>IF((((AF57+AG57)/2)+(C57/(DATOS!$B$14*((AF57+AG57)/2)))^2/(2*9.81)+B57-(E56+(C56/(DATOS!$B$14*E56))^2/(2*9.81)+B56+0.5*(((DATOS!$B$27*C56/(DATOS!$B$14*E56))^2/((DATOS!$B$14*E56)/(DATOS!$B$14+2*E56))^(4/3))+((DATOS!$B$27*C57/(DATOS!$B$14*((AF57+AG57)/2)))^2/((DATOS!$B$14*((AF57+AG57)/2))/(DATOS!$B$14+2*((AF57+AG57)/2)))^(4/3)))*(A56-A57)))&lt;0,((AF57+AG57)/2),AF57)</f>
        <v/>
      </c>
      <c r="AI57" s="16">
        <f>IF((((AF57+AG57)/2)+(C57/(DATOS!$B$14*((AF57+AG57)/2)))^2/(2*9.81)+B57-(E56+(C56/(DATOS!$B$14*E56))^2/(2*9.81)+B56+0.5*(((DATOS!$B$27*C56/(DATOS!$B$14*E56))^2/((DATOS!$B$14*E56)/(DATOS!$B$14+2*E56))^(4/3))+((DATOS!$B$27*C57/(DATOS!$B$14*((AF57+AG57)/2)))^2/((DATOS!$B$14*((AF57+AG57)/2))/(DATOS!$B$14+2*((AF57+AG57)/2)))^(4/3)))*(A56-A57)))&lt;0,AG57,((AF57+AG57)/2))</f>
        <v/>
      </c>
      <c r="AJ57" s="16">
        <f>IF((((AH57+AI57)/2)+(C57/(DATOS!$B$14*((AH57+AI57)/2)))^2/(2*9.81)+B57-(E56+(C56/(DATOS!$B$14*E56))^2/(2*9.81)+B56+0.5*(((DATOS!$B$27*C56/(DATOS!$B$14*E56))^2/((DATOS!$B$14*E56)/(DATOS!$B$14+2*E56))^(4/3))+((DATOS!$B$27*C57/(DATOS!$B$14*((AH57+AI57)/2)))^2/((DATOS!$B$14*((AH57+AI57)/2))/(DATOS!$B$14+2*((AH57+AI57)/2)))^(4/3)))*(A56-A57)))&lt;0,((AH57+AI57)/2),AH57)</f>
        <v/>
      </c>
      <c r="AK57" s="16">
        <f>IF((((AH57+AI57)/2)+(C57/(DATOS!$B$14*((AH57+AI57)/2)))^2/(2*9.81)+B57-(E56+(C56/(DATOS!$B$14*E56))^2/(2*9.81)+B56+0.5*(((DATOS!$B$27*C56/(DATOS!$B$14*E56))^2/((DATOS!$B$14*E56)/(DATOS!$B$14+2*E56))^(4/3))+((DATOS!$B$27*C57/(DATOS!$B$14*((AH57+AI57)/2)))^2/((DATOS!$B$14*((AH57+AI57)/2))/(DATOS!$B$14+2*((AH57+AI57)/2)))^(4/3)))*(A56-A57)))&lt;0,AI57,((AH57+AI57)/2))</f>
        <v/>
      </c>
      <c r="AL57" s="16">
        <f>IF((((AJ57+AK57)/2)+(C57/(DATOS!$B$14*((AJ57+AK57)/2)))^2/(2*9.81)+B57-(E56+(C56/(DATOS!$B$14*E56))^2/(2*9.81)+B56+0.5*(((DATOS!$B$27*C56/(DATOS!$B$14*E56))^2/((DATOS!$B$14*E56)/(DATOS!$B$14+2*E56))^(4/3))+((DATOS!$B$27*C57/(DATOS!$B$14*((AJ57+AK57)/2)))^2/((DATOS!$B$14*((AJ57+AK57)/2))/(DATOS!$B$14+2*((AJ57+AK57)/2)))^(4/3)))*(A56-A57)))&lt;0,((AJ57+AK57)/2),AJ57)</f>
        <v/>
      </c>
      <c r="AM57" s="16">
        <f>IF((((AJ57+AK57)/2)+(C57/(DATOS!$B$14*((AJ57+AK57)/2)))^2/(2*9.81)+B57-(E56+(C56/(DATOS!$B$14*E56))^2/(2*9.81)+B56+0.5*(((DATOS!$B$27*C56/(DATOS!$B$14*E56))^2/((DATOS!$B$14*E56)/(DATOS!$B$14+2*E56))^(4/3))+((DATOS!$B$27*C57/(DATOS!$B$14*((AJ57+AK57)/2)))^2/((DATOS!$B$14*((AJ57+AK57)/2))/(DATOS!$B$14+2*((AJ57+AK57)/2)))^(4/3)))*(A56-A57)))&lt;0,AK57,((AJ57+AK57)/2))</f>
        <v/>
      </c>
      <c r="AN57" s="16">
        <f>IF((((AL57+AM57)/2)+(C57/(DATOS!$B$14*((AL57+AM57)/2)))^2/(2*9.81)+B57-(E56+(C56/(DATOS!$B$14*E56))^2/(2*9.81)+B56+0.5*(((DATOS!$B$27*C56/(DATOS!$B$14*E56))^2/((DATOS!$B$14*E56)/(DATOS!$B$14+2*E56))^(4/3))+((DATOS!$B$27*C57/(DATOS!$B$14*((AL57+AM57)/2)))^2/((DATOS!$B$14*((AL57+AM57)/2))/(DATOS!$B$14+2*((AL57+AM57)/2)))^(4/3)))*(A56-A57)))&lt;0,((AL57+AM57)/2),AL57)</f>
        <v/>
      </c>
      <c r="AO57" s="16">
        <f>IF((((AL57+AM57)/2)+(C57/(DATOS!$B$14*((AL57+AM57)/2)))^2/(2*9.81)+B57-(E56+(C56/(DATOS!$B$14*E56))^2/(2*9.81)+B56+0.5*(((DATOS!$B$27*C56/(DATOS!$B$14*E56))^2/((DATOS!$B$14*E56)/(DATOS!$B$14+2*E56))^(4/3))+((DATOS!$B$27*C57/(DATOS!$B$14*((AL57+AM57)/2)))^2/((DATOS!$B$14*((AL57+AM57)/2))/(DATOS!$B$14+2*((AL57+AM57)/2)))^(4/3)))*(A56-A57)))&lt;0,AM57,((AL57+AM57)/2))</f>
        <v/>
      </c>
      <c r="AP57" s="16">
        <f>IF((((AN57+AO57)/2)+(C57/(DATOS!$B$14*((AN57+AO57)/2)))^2/(2*9.81)+B57-(E56+(C56/(DATOS!$B$14*E56))^2/(2*9.81)+B56+0.5*(((DATOS!$B$27*C56/(DATOS!$B$14*E56))^2/((DATOS!$B$14*E56)/(DATOS!$B$14+2*E56))^(4/3))+((DATOS!$B$27*C57/(DATOS!$B$14*((AN57+AO57)/2)))^2/((DATOS!$B$14*((AN57+AO57)/2))/(DATOS!$B$14+2*((AN57+AO57)/2)))^(4/3)))*(A56-A57)))&lt;0,((AN57+AO57)/2),AN57)</f>
        <v/>
      </c>
      <c r="AQ57" s="16">
        <f>IF((((AN57+AO57)/2)+(C57/(DATOS!$B$14*((AN57+AO57)/2)))^2/(2*9.81)+B57-(E56+(C56/(DATOS!$B$14*E56))^2/(2*9.81)+B56+0.5*(((DATOS!$B$27*C56/(DATOS!$B$14*E56))^2/((DATOS!$B$14*E56)/(DATOS!$B$14+2*E56))^(4/3))+((DATOS!$B$27*C57/(DATOS!$B$14*((AN57+AO57)/2)))^2/((DATOS!$B$14*((AN57+AO57)/2))/(DATOS!$B$14+2*((AN57+AO57)/2)))^(4/3)))*(A56-A57)))&lt;0,AO57,((AN57+AO57)/2))</f>
        <v/>
      </c>
      <c r="AR57" s="16">
        <f>IF((((AP57+AQ57)/2)+(C57/(DATOS!$B$14*((AP57+AQ57)/2)))^2/(2*9.81)+B57-(E56+(C56/(DATOS!$B$14*E56))^2/(2*9.81)+B56+0.5*(((DATOS!$B$27*C56/(DATOS!$B$14*E56))^2/((DATOS!$B$14*E56)/(DATOS!$B$14+2*E56))^(4/3))+((DATOS!$B$27*C57/(DATOS!$B$14*((AP57+AQ57)/2)))^2/((DATOS!$B$14*((AP57+AQ57)/2))/(DATOS!$B$14+2*((AP57+AQ57)/2)))^(4/3)))*(A56-A57)))&lt;0,((AP57+AQ57)/2),AP57)</f>
        <v/>
      </c>
      <c r="AS57" s="16">
        <f>IF((((AP57+AQ57)/2)+(C57/(DATOS!$B$14*((AP57+AQ57)/2)))^2/(2*9.81)+B57-(E56+(C56/(DATOS!$B$14*E56))^2/(2*9.81)+B56+0.5*(((DATOS!$B$27*C56/(DATOS!$B$14*E56))^2/((DATOS!$B$14*E56)/(DATOS!$B$14+2*E56))^(4/3))+((DATOS!$B$27*C57/(DATOS!$B$14*((AP57+AQ57)/2)))^2/((DATOS!$B$14*((AP57+AQ57)/2))/(DATOS!$B$14+2*((AP57+AQ57)/2)))^(4/3)))*(A56-A57)))&lt;0,AQ57,((AP57+AQ57)/2))</f>
        <v/>
      </c>
      <c r="AT57" s="16">
        <f>IF((((AR57+AS57)/2)+(C57/(DATOS!$B$14*((AR57+AS57)/2)))^2/(2*9.81)+B57-(E56+(C56/(DATOS!$B$14*E56))^2/(2*9.81)+B56+0.5*(((DATOS!$B$27*C56/(DATOS!$B$14*E56))^2/((DATOS!$B$14*E56)/(DATOS!$B$14+2*E56))^(4/3))+((DATOS!$B$27*C57/(DATOS!$B$14*((AR57+AS57)/2)))^2/((DATOS!$B$14*((AR57+AS57)/2))/(DATOS!$B$14+2*((AR57+AS57)/2)))^(4/3)))*(A56-A57)))&lt;0,((AR57+AS57)/2),AR57)</f>
        <v/>
      </c>
      <c r="AU57" s="16">
        <f>IF((((AR57+AS57)/2)+(C57/(DATOS!$B$14*((AR57+AS57)/2)))^2/(2*9.81)+B57-(E56+(C56/(DATOS!$B$14*E56))^2/(2*9.81)+B56+0.5*(((DATOS!$B$27*C56/(DATOS!$B$14*E56))^2/((DATOS!$B$14*E56)/(DATOS!$B$14+2*E56))^(4/3))+((DATOS!$B$27*C57/(DATOS!$B$14*((AR57+AS57)/2)))^2/((DATOS!$B$14*((AR57+AS57)/2))/(DATOS!$B$14+2*((AR57+AS57)/2)))^(4/3)))*(A56-A57)))&lt;0,AS57,((AR57+AS57)/2))</f>
        <v/>
      </c>
      <c r="AV57" s="16">
        <f>IF((((AT57+AU57)/2)+(C57/(DATOS!$B$14*((AT57+AU57)/2)))^2/(2*9.81)+B57-(E56+(C56/(DATOS!$B$14*E56))^2/(2*9.81)+B56+0.5*(((DATOS!$B$27*C56/(DATOS!$B$14*E56))^2/((DATOS!$B$14*E56)/(DATOS!$B$14+2*E56))^(4/3))+((DATOS!$B$27*C57/(DATOS!$B$14*((AT57+AU57)/2)))^2/((DATOS!$B$14*((AT57+AU57)/2))/(DATOS!$B$14+2*((AT57+AU57)/2)))^(4/3)))*(A56-A57)))&lt;0,((AT57+AU57)/2),AT57)</f>
        <v/>
      </c>
      <c r="AW57" s="16">
        <f>IF((((AT57+AU57)/2)+(C57/(DATOS!$B$14*((AT57+AU57)/2)))^2/(2*9.81)+B57-(E56+(C56/(DATOS!$B$14*E56))^2/(2*9.81)+B56+0.5*(((DATOS!$B$27*C56/(DATOS!$B$14*E56))^2/((DATOS!$B$14*E56)/(DATOS!$B$14+2*E56))^(4/3))+((DATOS!$B$27*C57/(DATOS!$B$14*((AT57+AU57)/2)))^2/((DATOS!$B$14*((AT57+AU57)/2))/(DATOS!$B$14+2*((AT57+AU57)/2)))^(4/3)))*(A56-A57)))&lt;0,AU57,((AT57+AU57)/2))</f>
        <v/>
      </c>
      <c r="AX57" s="16">
        <f>IF((((AV57+AW57)/2)+(C57/(DATOS!$B$14*((AV57+AW57)/2)))^2/(2*9.81)+B57-(E56+(C56/(DATOS!$B$14*E56))^2/(2*9.81)+B56+0.5*(((DATOS!$B$27*C56/(DATOS!$B$14*E56))^2/((DATOS!$B$14*E56)/(DATOS!$B$14+2*E56))^(4/3))+((DATOS!$B$27*C57/(DATOS!$B$14*((AV57+AW57)/2)))^2/((DATOS!$B$14*((AV57+AW57)/2))/(DATOS!$B$14+2*((AV57+AW57)/2)))^(4/3)))*(A56-A57)))&lt;0,((AV57+AW57)/2),AV57)</f>
        <v/>
      </c>
      <c r="AY57" s="16">
        <f>IF((((AV57+AW57)/2)+(C57/(DATOS!$B$14*((AV57+AW57)/2)))^2/(2*9.81)+B57-(E56+(C56/(DATOS!$B$14*E56))^2/(2*9.81)+B56+0.5*(((DATOS!$B$27*C56/(DATOS!$B$14*E56))^2/((DATOS!$B$14*E56)/(DATOS!$B$14+2*E56))^(4/3))+((DATOS!$B$27*C57/(DATOS!$B$14*((AV57+AW57)/2)))^2/((DATOS!$B$14*((AV57+AW57)/2))/(DATOS!$B$14+2*((AV57+AW57)/2)))^(4/3)))*(A56-A57)))&lt;0,AW57,((AV57+AW57)/2))</f>
        <v/>
      </c>
      <c r="AZ57" s="16">
        <f>IF((((AX57+AY57)/2)+(C57/(DATOS!$B$14*((AX57+AY57)/2)))^2/(2*9.81)+B57-(E56+(C56/(DATOS!$B$14*E56))^2/(2*9.81)+B56+0.5*(((DATOS!$B$27*C56/(DATOS!$B$14*E56))^2/((DATOS!$B$14*E56)/(DATOS!$B$14+2*E56))^(4/3))+((DATOS!$B$27*C57/(DATOS!$B$14*((AX57+AY57)/2)))^2/((DATOS!$B$14*((AX57+AY57)/2))/(DATOS!$B$14+2*((AX57+AY57)/2)))^(4/3)))*(A56-A57)))&lt;0,((AX57+AY57)/2),AX57)</f>
        <v/>
      </c>
      <c r="BA57" s="16">
        <f>IF((((AX57+AY57)/2)+(C57/(DATOS!$B$14*((AX57+AY57)/2)))^2/(2*9.81)+B57-(E56+(C56/(DATOS!$B$14*E56))^2/(2*9.81)+B56+0.5*(((DATOS!$B$27*C56/(DATOS!$B$14*E56))^2/((DATOS!$B$14*E56)/(DATOS!$B$14+2*E56))^(4/3))+((DATOS!$B$27*C57/(DATOS!$B$14*((AX57+AY57)/2)))^2/((DATOS!$B$14*((AX57+AY57)/2))/(DATOS!$B$14+2*((AX57+AY57)/2)))^(4/3)))*(A56-A57)))&lt;0,AY57,((AX57+AY57)/2))</f>
        <v/>
      </c>
      <c r="BB57" s="16">
        <f>IF((((AZ57+BA57)/2)+(C57/(DATOS!$B$14*((AZ57+BA57)/2)))^2/(2*9.81)+B57-(E56+(C56/(DATOS!$B$14*E56))^2/(2*9.81)+B56+0.5*(((DATOS!$B$27*C56/(DATOS!$B$14*E56))^2/((DATOS!$B$14*E56)/(DATOS!$B$14+2*E56))^(4/3))+((DATOS!$B$27*C57/(DATOS!$B$14*((AZ57+BA57)/2)))^2/((DATOS!$B$14*((AZ57+BA57)/2))/(DATOS!$B$14+2*((AZ57+BA57)/2)))^(4/3)))*(A56-A57)))&lt;0,((AZ57+BA57)/2),AZ57)</f>
        <v/>
      </c>
      <c r="BC57" s="16">
        <f>IF((((AZ57+BA57)/2)+(C57/(DATOS!$B$14*((AZ57+BA57)/2)))^2/(2*9.81)+B57-(E56+(C56/(DATOS!$B$14*E56))^2/(2*9.81)+B56+0.5*(((DATOS!$B$27*C56/(DATOS!$B$14*E56))^2/((DATOS!$B$14*E56)/(DATOS!$B$14+2*E56))^(4/3))+((DATOS!$B$27*C57/(DATOS!$B$14*((AZ57+BA57)/2)))^2/((DATOS!$B$14*((AZ57+BA57)/2))/(DATOS!$B$14+2*((AZ57+BA57)/2)))^(4/3)))*(A56-A57)))&lt;0,BA57,((AZ57+BA57)/2))</f>
        <v/>
      </c>
      <c r="BD57" s="16">
        <f>IF((((BB57+BC57)/2)+(C57/(DATOS!$B$14*((BB57+BC57)/2)))^2/(2*9.81)+B57-(E56+(C56/(DATOS!$B$14*E56))^2/(2*9.81)+B56+0.5*(((DATOS!$B$27*C56/(DATOS!$B$14*E56))^2/((DATOS!$B$14*E56)/(DATOS!$B$14+2*E56))^(4/3))+((DATOS!$B$27*C57/(DATOS!$B$14*((BB57+BC57)/2)))^2/((DATOS!$B$14*((BB57+BC57)/2))/(DATOS!$B$14+2*((BB57+BC57)/2)))^(4/3)))*(A56-A57)))&lt;0,((BB57+BC57)/2),BB57)</f>
        <v/>
      </c>
      <c r="BE57" s="16">
        <f>IF((((BB57+BC57)/2)+(C57/(DATOS!$B$14*((BB57+BC57)/2)))^2/(2*9.81)+B57-(E56+(C56/(DATOS!$B$14*E56))^2/(2*9.81)+B56+0.5*(((DATOS!$B$27*C56/(DATOS!$B$14*E56))^2/((DATOS!$B$14*E56)/(DATOS!$B$14+2*E56))^(4/3))+((DATOS!$B$27*C57/(DATOS!$B$14*((BB57+BC57)/2)))^2/((DATOS!$B$14*((BB57+BC57)/2))/(DATOS!$B$14+2*((BB57+BC57)/2)))^(4/3)))*(A56-A57)))&lt;0,BC57,((BB57+BC57)/2))</f>
        <v/>
      </c>
      <c r="BF57" s="16">
        <f>IF((((BD57+BE57)/2)+(C57/(DATOS!$B$14*((BD57+BE57)/2)))^2/(2*9.81)+B57-(E56+(C56/(DATOS!$B$14*E56))^2/(2*9.81)+B56+0.5*(((DATOS!$B$27*C56/(DATOS!$B$14*E56))^2/((DATOS!$B$14*E56)/(DATOS!$B$14+2*E56))^(4/3))+((DATOS!$B$27*C57/(DATOS!$B$14*((BD57+BE57)/2)))^2/((DATOS!$B$14*((BD57+BE57)/2))/(DATOS!$B$14+2*((BD57+BE57)/2)))^(4/3)))*(A56-A57)))&lt;0,((BD57+BE57)/2),BD57)</f>
        <v/>
      </c>
      <c r="BG57" s="16">
        <f>IF((((BD57+BE57)/2)+(C57/(DATOS!$B$14*((BD57+BE57)/2)))^2/(2*9.81)+B57-(E56+(C56/(DATOS!$B$14*E56))^2/(2*9.81)+B56+0.5*(((DATOS!$B$27*C56/(DATOS!$B$14*E56))^2/((DATOS!$B$14*E56)/(DATOS!$B$14+2*E56))^(4/3))+((DATOS!$B$27*C57/(DATOS!$B$14*((BD57+BE57)/2)))^2/((DATOS!$B$14*((BD57+BE57)/2))/(DATOS!$B$14+2*((BD57+BE57)/2)))^(4/3)))*(A56-A57)))&lt;0,BE57,((BD57+BE57)/2))</f>
        <v/>
      </c>
      <c r="BH57" s="16">
        <f>IF((((BF57+BG57)/2)+(C57/(DATOS!$B$14*((BF57+BG57)/2)))^2/(2*9.81)+B57-(E56+(C56/(DATOS!$B$14*E56))^2/(2*9.81)+B56+0.5*(((DATOS!$B$27*C56/(DATOS!$B$14*E56))^2/((DATOS!$B$14*E56)/(DATOS!$B$14+2*E56))^(4/3))+((DATOS!$B$27*C57/(DATOS!$B$14*((BF57+BG57)/2)))^2/((DATOS!$B$14*((BF57+BG57)/2))/(DATOS!$B$14+2*((BF57+BG57)/2)))^(4/3)))*(A56-A57)))&lt;0,((BF57+BG57)/2),BF57)</f>
        <v/>
      </c>
      <c r="BI57" s="16">
        <f>IF((((BF57+BG57)/2)+(C57/(DATOS!$B$14*((BF57+BG57)/2)))^2/(2*9.81)+B57-(E56+(C56/(DATOS!$B$14*E56))^2/(2*9.81)+B56+0.5*(((DATOS!$B$27*C56/(DATOS!$B$14*E56))^2/((DATOS!$B$14*E56)/(DATOS!$B$14+2*E56))^(4/3))+((DATOS!$B$27*C57/(DATOS!$B$14*((BF57+BG57)/2)))^2/((DATOS!$B$14*((BF57+BG57)/2))/(DATOS!$B$14+2*((BF57+BG57)/2)))^(4/3)))*(A56-A57)))&lt;0,BG57,((BF57+BG57)/2))</f>
        <v/>
      </c>
      <c r="BJ57" s="16">
        <f>IF((((BH57+BI57)/2)+(C57/(DATOS!$B$14*((BH57+BI57)/2)))^2/(2*9.81)+B57-(E56+(C56/(DATOS!$B$14*E56))^2/(2*9.81)+B56+0.5*(((DATOS!$B$27*C56/(DATOS!$B$14*E56))^2/((DATOS!$B$14*E56)/(DATOS!$B$14+2*E56))^(4/3))+((DATOS!$B$27*C57/(DATOS!$B$14*((BH57+BI57)/2)))^2/((DATOS!$B$14*((BH57+BI57)/2))/(DATOS!$B$14+2*((BH57+BI57)/2)))^(4/3)))*(A56-A57)))&lt;0,((BH57+BI57)/2),BH57)</f>
        <v/>
      </c>
      <c r="BK57" s="16">
        <f>IF((((BH57+BI57)/2)+(C57/(DATOS!$B$14*((BH57+BI57)/2)))^2/(2*9.81)+B57-(E56+(C56/(DATOS!$B$14*E56))^2/(2*9.81)+B56+0.5*(((DATOS!$B$27*C56/(DATOS!$B$14*E56))^2/((DATOS!$B$14*E56)/(DATOS!$B$14+2*E56))^(4/3))+((DATOS!$B$27*C57/(DATOS!$B$14*((BH57+BI57)/2)))^2/((DATOS!$B$14*((BH57+BI57)/2))/(DATOS!$B$14+2*((BH57+BI57)/2)))^(4/3)))*(A56-A57)))&lt;0,BI57,((BH57+BI57)/2))</f>
        <v/>
      </c>
      <c r="BL57" s="16">
        <f>IF((((BJ57+BK57)/2)+(C57/(DATOS!$B$14*((BJ57+BK57)/2)))^2/(2*9.81)+B57-(E56+(C56/(DATOS!$B$14*E56))^2/(2*9.81)+B56+0.5*(((DATOS!$B$27*C56/(DATOS!$B$14*E56))^2/((DATOS!$B$14*E56)/(DATOS!$B$14+2*E56))^(4/3))+((DATOS!$B$27*C57/(DATOS!$B$14*((BJ57+BK57)/2)))^2/((DATOS!$B$14*((BJ57+BK57)/2))/(DATOS!$B$14+2*((BJ57+BK57)/2)))^(4/3)))*(A56-A57)))&lt;0,((BJ57+BK57)/2),BJ57)</f>
        <v/>
      </c>
      <c r="BM57" s="16">
        <f>IF((((BJ57+BK57)/2)+(C57/(DATOS!$B$14*((BJ57+BK57)/2)))^2/(2*9.81)+B57-(E56+(C56/(DATOS!$B$14*E56))^2/(2*9.81)+B56+0.5*(((DATOS!$B$27*C56/(DATOS!$B$14*E56))^2/((DATOS!$B$14*E56)/(DATOS!$B$14+2*E56))^(4/3))+((DATOS!$B$27*C57/(DATOS!$B$14*((BJ57+BK57)/2)))^2/((DATOS!$B$14*((BJ57+BK57)/2))/(DATOS!$B$14+2*((BJ57+BK57)/2)))^(4/3)))*(A56-A57)))&lt;0,BK57,((BJ57+BK57)/2))</f>
        <v/>
      </c>
      <c r="BN57" s="16">
        <f>IF((((BL57+BM57)/2)+(C57/(DATOS!$B$14*((BL57+BM57)/2)))^2/(2*9.81)+B57-(E56+(C56/(DATOS!$B$14*E56))^2/(2*9.81)+B56+0.5*(((DATOS!$B$27*C56/(DATOS!$B$14*E56))^2/((DATOS!$B$14*E56)/(DATOS!$B$14+2*E56))^(4/3))+((DATOS!$B$27*C57/(DATOS!$B$14*((BL57+BM57)/2)))^2/((DATOS!$B$14*((BL57+BM57)/2))/(DATOS!$B$14+2*((BL57+BM57)/2)))^(4/3)))*(A56-A57)))&lt;0,((BL57+BM57)/2),BL57)</f>
        <v/>
      </c>
      <c r="BO57" s="16">
        <f>IF((((BL57+BM57)/2)+(C57/(DATOS!$B$14*((BL57+BM57)/2)))^2/(2*9.81)+B57-(E56+(C56/(DATOS!$B$14*E56))^2/(2*9.81)+B56+0.5*(((DATOS!$B$27*C56/(DATOS!$B$14*E56))^2/((DATOS!$B$14*E56)/(DATOS!$B$14+2*E56))^(4/3))+((DATOS!$B$27*C57/(DATOS!$B$14*((BL57+BM57)/2)))^2/((DATOS!$B$14*((BL57+BM57)/2))/(DATOS!$B$14+2*((BL57+BM57)/2)))^(4/3)))*(A56-A57)))&lt;0,BM57,((BL57+BM57)/2))</f>
        <v/>
      </c>
      <c r="BP57" s="16">
        <f>IF((((BN57+BO57)/2)+(C57/(DATOS!$B$14*((BN57+BO57)/2)))^2/(2*9.81)+B57-(E56+(C56/(DATOS!$B$14*E56))^2/(2*9.81)+B56+0.5*(((DATOS!$B$27*C56/(DATOS!$B$14*E56))^2/((DATOS!$B$14*E56)/(DATOS!$B$14+2*E56))^(4/3))+((DATOS!$B$27*C57/(DATOS!$B$14*((BN57+BO57)/2)))^2/((DATOS!$B$14*((BN57+BO57)/2))/(DATOS!$B$14+2*((BN57+BO57)/2)))^(4/3)))*(A56-A57)))&lt;0,((BN57+BO57)/2),BN57)</f>
        <v/>
      </c>
      <c r="BQ57" s="16">
        <f>IF((((BN57+BO57)/2)+(C57/(DATOS!$B$14*((BN57+BO57)/2)))^2/(2*9.81)+B57-(E56+(C56/(DATOS!$B$14*E56))^2/(2*9.81)+B56+0.5*(((DATOS!$B$27*C56/(DATOS!$B$14*E56))^2/((DATOS!$B$14*E56)/(DATOS!$B$14+2*E56))^(4/3))+((DATOS!$B$27*C57/(DATOS!$B$14*((BN57+BO57)/2)))^2/((DATOS!$B$14*((BN57+BO57)/2))/(DATOS!$B$14+2*((BN57+BO57)/2)))^(4/3)))*(A56-A57)))&lt;0,BO57,((BN57+BO57)/2))</f>
        <v/>
      </c>
      <c r="BR57" s="16">
        <f>IF((((BP57+BQ57)/2)+(C57/(DATOS!$B$14*((BP57+BQ57)/2)))^2/(2*9.81)+B57-(E56+(C56/(DATOS!$B$14*E56))^2/(2*9.81)+B56+0.5*(((DATOS!$B$27*C56/(DATOS!$B$14*E56))^2/((DATOS!$B$14*E56)/(DATOS!$B$14+2*E56))^(4/3))+((DATOS!$B$27*C57/(DATOS!$B$14*((BP57+BQ57)/2)))^2/((DATOS!$B$14*((BP57+BQ57)/2))/(DATOS!$B$14+2*((BP57+BQ57)/2)))^(4/3)))*(A56-A57)))&lt;0,((BP57+BQ57)/2),BP57)</f>
        <v/>
      </c>
      <c r="BS57" s="16">
        <f>IF((((BP57+BQ57)/2)+(C57/(DATOS!$B$14*((BP57+BQ57)/2)))^2/(2*9.81)+B57-(E56+(C56/(DATOS!$B$14*E56))^2/(2*9.81)+B56+0.5*(((DATOS!$B$27*C56/(DATOS!$B$14*E56))^2/((DATOS!$B$14*E56)/(DATOS!$B$14+2*E56))^(4/3))+((DATOS!$B$27*C57/(DATOS!$B$14*((BP57+BQ57)/2)))^2/((DATOS!$B$14*((BP57+BQ57)/2))/(DATOS!$B$14+2*((BP57+BQ57)/2)))^(4/3)))*(A56-A57)))&lt;0,BQ57,((BP57+BQ57)/2))</f>
        <v/>
      </c>
      <c r="BT57" s="16">
        <f>IF((((BR57+BS57)/2)+(C57/(DATOS!$B$14*((BR57+BS57)/2)))^2/(2*9.81)+B57-(E56+(C56/(DATOS!$B$14*E56))^2/(2*9.81)+B56+0.5*(((DATOS!$B$27*C56/(DATOS!$B$14*E56))^2/((DATOS!$B$14*E56)/(DATOS!$B$14+2*E56))^(4/3))+((DATOS!$B$27*C57/(DATOS!$B$14*((BR57+BS57)/2)))^2/((DATOS!$B$14*((BR57+BS57)/2))/(DATOS!$B$14+2*((BR57+BS57)/2)))^(4/3)))*(A56-A57)))&lt;0,((BR57+BS57)/2),BR57)</f>
        <v/>
      </c>
      <c r="BU57" s="16">
        <f>IF((((BR57+BS57)/2)+(C57/(DATOS!$B$14*((BR57+BS57)/2)))^2/(2*9.81)+B57-(E56+(C56/(DATOS!$B$14*E56))^2/(2*9.81)+B56+0.5*(((DATOS!$B$27*C56/(DATOS!$B$14*E56))^2/((DATOS!$B$14*E56)/(DATOS!$B$14+2*E56))^(4/3))+((DATOS!$B$27*C57/(DATOS!$B$14*((BR57+BS57)/2)))^2/((DATOS!$B$14*((BR57+BS57)/2))/(DATOS!$B$14+2*((BR57+BS57)/2)))^(4/3)))*(A56-A57)))&lt;0,BS57,((BR57+BS57)/2))</f>
        <v/>
      </c>
    </row>
    <row r="58">
      <c r="A58" s="30" t="n">
        <v>40</v>
      </c>
      <c r="B58" s="21">
        <f>DATOS!$B$16-DATOS!$B$19*A58</f>
        <v/>
      </c>
      <c r="C58" s="21">
        <f>IF(A58&lt;CAUDALES!$B$13,CAUDALES!$D$12,IF(A58&lt;CAUDALES!$B$14,CAUDALES!$D$13,IF(A58&lt;CAUDALES!$B$15,CAUDALES!$D$14,CAUDALES!$D$15)))/1000</f>
        <v/>
      </c>
      <c r="D58" s="21">
        <f>(C58^2/(9.81*DATOS!$B$14^2))^(1/3)</f>
        <v/>
      </c>
      <c r="E58" s="29">
        <f>(BT58+BU58)/2</f>
        <v/>
      </c>
      <c r="F58" s="21">
        <f>B58+E58</f>
        <v/>
      </c>
      <c r="G58" s="17">
        <f>C58/(DATOS!$B$14*E58)</f>
        <v/>
      </c>
      <c r="H58" s="17">
        <f>G58/SQRT(9.81*E58)</f>
        <v/>
      </c>
      <c r="I58" s="21">
        <f>IF(A58&lt;=DATOS!$B$20,DATOS!$B$21-IF(AND(A58&gt;=DATOS!$B$23,A58&lt;DATOS!$B$24),DATOS!$B$25,DATOS!$B$22),B58+DATOS!$B$26)</f>
        <v/>
      </c>
      <c r="J58" s="17">
        <f>I58-B58</f>
        <v/>
      </c>
      <c r="K58" s="31">
        <f>E58/J58</f>
        <v/>
      </c>
      <c r="L58" s="21">
        <f>I58-F58</f>
        <v/>
      </c>
      <c r="M58" s="32">
        <f>IF(AND(K58&lt;=DATOS!$B$29,L58&gt;=DATOS!$B$30),"CUMPLE","NO CUMPLE")</f>
        <v/>
      </c>
      <c r="N58" s="13">
        <f>IF(A58&gt;DATOS!$B$20,"cubierto - tramo final",IF(AND(A58&gt;=DATOS!$B$23,A58&lt;DATOS!$B$24),"cubierto - camiones","cubierto"))</f>
        <v/>
      </c>
      <c r="P58" s="16">
        <f>D58*1.001</f>
        <v/>
      </c>
      <c r="Q58" s="16" t="n">
        <v>2</v>
      </c>
      <c r="R58" s="16">
        <f>IF((((P58+Q58)/2)+(C58/(DATOS!$B$14*((P58+Q58)/2)))^2/(2*9.81)+B58-(E57+(C57/(DATOS!$B$14*E57))^2/(2*9.81)+B57+0.5*(((DATOS!$B$27*C57/(DATOS!$B$14*E57))^2/((DATOS!$B$14*E57)/(DATOS!$B$14+2*E57))^(4/3))+((DATOS!$B$27*C58/(DATOS!$B$14*((P58+Q58)/2)))^2/((DATOS!$B$14*((P58+Q58)/2))/(DATOS!$B$14+2*((P58+Q58)/2)))^(4/3)))*(A57-A58)))&lt;0,((P58+Q58)/2),P58)</f>
        <v/>
      </c>
      <c r="S58" s="16">
        <f>IF((((P58+Q58)/2)+(C58/(DATOS!$B$14*((P58+Q58)/2)))^2/(2*9.81)+B58-(E57+(C57/(DATOS!$B$14*E57))^2/(2*9.81)+B57+0.5*(((DATOS!$B$27*C57/(DATOS!$B$14*E57))^2/((DATOS!$B$14*E57)/(DATOS!$B$14+2*E57))^(4/3))+((DATOS!$B$27*C58/(DATOS!$B$14*((P58+Q58)/2)))^2/((DATOS!$B$14*((P58+Q58)/2))/(DATOS!$B$14+2*((P58+Q58)/2)))^(4/3)))*(A57-A58)))&lt;0,Q58,((P58+Q58)/2))</f>
        <v/>
      </c>
      <c r="T58" s="16">
        <f>IF((((R58+S58)/2)+(C58/(DATOS!$B$14*((R58+S58)/2)))^2/(2*9.81)+B58-(E57+(C57/(DATOS!$B$14*E57))^2/(2*9.81)+B57+0.5*(((DATOS!$B$27*C57/(DATOS!$B$14*E57))^2/((DATOS!$B$14*E57)/(DATOS!$B$14+2*E57))^(4/3))+((DATOS!$B$27*C58/(DATOS!$B$14*((R58+S58)/2)))^2/((DATOS!$B$14*((R58+S58)/2))/(DATOS!$B$14+2*((R58+S58)/2)))^(4/3)))*(A57-A58)))&lt;0,((R58+S58)/2),R58)</f>
        <v/>
      </c>
      <c r="U58" s="16">
        <f>IF((((R58+S58)/2)+(C58/(DATOS!$B$14*((R58+S58)/2)))^2/(2*9.81)+B58-(E57+(C57/(DATOS!$B$14*E57))^2/(2*9.81)+B57+0.5*(((DATOS!$B$27*C57/(DATOS!$B$14*E57))^2/((DATOS!$B$14*E57)/(DATOS!$B$14+2*E57))^(4/3))+((DATOS!$B$27*C58/(DATOS!$B$14*((R58+S58)/2)))^2/((DATOS!$B$14*((R58+S58)/2))/(DATOS!$B$14+2*((R58+S58)/2)))^(4/3)))*(A57-A58)))&lt;0,S58,((R58+S58)/2))</f>
        <v/>
      </c>
      <c r="V58" s="16">
        <f>IF((((T58+U58)/2)+(C58/(DATOS!$B$14*((T58+U58)/2)))^2/(2*9.81)+B58-(E57+(C57/(DATOS!$B$14*E57))^2/(2*9.81)+B57+0.5*(((DATOS!$B$27*C57/(DATOS!$B$14*E57))^2/((DATOS!$B$14*E57)/(DATOS!$B$14+2*E57))^(4/3))+((DATOS!$B$27*C58/(DATOS!$B$14*((T58+U58)/2)))^2/((DATOS!$B$14*((T58+U58)/2))/(DATOS!$B$14+2*((T58+U58)/2)))^(4/3)))*(A57-A58)))&lt;0,((T58+U58)/2),T58)</f>
        <v/>
      </c>
      <c r="W58" s="16">
        <f>IF((((T58+U58)/2)+(C58/(DATOS!$B$14*((T58+U58)/2)))^2/(2*9.81)+B58-(E57+(C57/(DATOS!$B$14*E57))^2/(2*9.81)+B57+0.5*(((DATOS!$B$27*C57/(DATOS!$B$14*E57))^2/((DATOS!$B$14*E57)/(DATOS!$B$14+2*E57))^(4/3))+((DATOS!$B$27*C58/(DATOS!$B$14*((T58+U58)/2)))^2/((DATOS!$B$14*((T58+U58)/2))/(DATOS!$B$14+2*((T58+U58)/2)))^(4/3)))*(A57-A58)))&lt;0,U58,((T58+U58)/2))</f>
        <v/>
      </c>
      <c r="X58" s="16">
        <f>IF((((V58+W58)/2)+(C58/(DATOS!$B$14*((V58+W58)/2)))^2/(2*9.81)+B58-(E57+(C57/(DATOS!$B$14*E57))^2/(2*9.81)+B57+0.5*(((DATOS!$B$27*C57/(DATOS!$B$14*E57))^2/((DATOS!$B$14*E57)/(DATOS!$B$14+2*E57))^(4/3))+((DATOS!$B$27*C58/(DATOS!$B$14*((V58+W58)/2)))^2/((DATOS!$B$14*((V58+W58)/2))/(DATOS!$B$14+2*((V58+W58)/2)))^(4/3)))*(A57-A58)))&lt;0,((V58+W58)/2),V58)</f>
        <v/>
      </c>
      <c r="Y58" s="16">
        <f>IF((((V58+W58)/2)+(C58/(DATOS!$B$14*((V58+W58)/2)))^2/(2*9.81)+B58-(E57+(C57/(DATOS!$B$14*E57))^2/(2*9.81)+B57+0.5*(((DATOS!$B$27*C57/(DATOS!$B$14*E57))^2/((DATOS!$B$14*E57)/(DATOS!$B$14+2*E57))^(4/3))+((DATOS!$B$27*C58/(DATOS!$B$14*((V58+W58)/2)))^2/((DATOS!$B$14*((V58+W58)/2))/(DATOS!$B$14+2*((V58+W58)/2)))^(4/3)))*(A57-A58)))&lt;0,W58,((V58+W58)/2))</f>
        <v/>
      </c>
      <c r="Z58" s="16">
        <f>IF((((X58+Y58)/2)+(C58/(DATOS!$B$14*((X58+Y58)/2)))^2/(2*9.81)+B58-(E57+(C57/(DATOS!$B$14*E57))^2/(2*9.81)+B57+0.5*(((DATOS!$B$27*C57/(DATOS!$B$14*E57))^2/((DATOS!$B$14*E57)/(DATOS!$B$14+2*E57))^(4/3))+((DATOS!$B$27*C58/(DATOS!$B$14*((X58+Y58)/2)))^2/((DATOS!$B$14*((X58+Y58)/2))/(DATOS!$B$14+2*((X58+Y58)/2)))^(4/3)))*(A57-A58)))&lt;0,((X58+Y58)/2),X58)</f>
        <v/>
      </c>
      <c r="AA58" s="16">
        <f>IF((((X58+Y58)/2)+(C58/(DATOS!$B$14*((X58+Y58)/2)))^2/(2*9.81)+B58-(E57+(C57/(DATOS!$B$14*E57))^2/(2*9.81)+B57+0.5*(((DATOS!$B$27*C57/(DATOS!$B$14*E57))^2/((DATOS!$B$14*E57)/(DATOS!$B$14+2*E57))^(4/3))+((DATOS!$B$27*C58/(DATOS!$B$14*((X58+Y58)/2)))^2/((DATOS!$B$14*((X58+Y58)/2))/(DATOS!$B$14+2*((X58+Y58)/2)))^(4/3)))*(A57-A58)))&lt;0,Y58,((X58+Y58)/2))</f>
        <v/>
      </c>
      <c r="AB58" s="16">
        <f>IF((((Z58+AA58)/2)+(C58/(DATOS!$B$14*((Z58+AA58)/2)))^2/(2*9.81)+B58-(E57+(C57/(DATOS!$B$14*E57))^2/(2*9.81)+B57+0.5*(((DATOS!$B$27*C57/(DATOS!$B$14*E57))^2/((DATOS!$B$14*E57)/(DATOS!$B$14+2*E57))^(4/3))+((DATOS!$B$27*C58/(DATOS!$B$14*((Z58+AA58)/2)))^2/((DATOS!$B$14*((Z58+AA58)/2))/(DATOS!$B$14+2*((Z58+AA58)/2)))^(4/3)))*(A57-A58)))&lt;0,((Z58+AA58)/2),Z58)</f>
        <v/>
      </c>
      <c r="AC58" s="16">
        <f>IF((((Z58+AA58)/2)+(C58/(DATOS!$B$14*((Z58+AA58)/2)))^2/(2*9.81)+B58-(E57+(C57/(DATOS!$B$14*E57))^2/(2*9.81)+B57+0.5*(((DATOS!$B$27*C57/(DATOS!$B$14*E57))^2/((DATOS!$B$14*E57)/(DATOS!$B$14+2*E57))^(4/3))+((DATOS!$B$27*C58/(DATOS!$B$14*((Z58+AA58)/2)))^2/((DATOS!$B$14*((Z58+AA58)/2))/(DATOS!$B$14+2*((Z58+AA58)/2)))^(4/3)))*(A57-A58)))&lt;0,AA58,((Z58+AA58)/2))</f>
        <v/>
      </c>
      <c r="AD58" s="16">
        <f>IF((((AB58+AC58)/2)+(C58/(DATOS!$B$14*((AB58+AC58)/2)))^2/(2*9.81)+B58-(E57+(C57/(DATOS!$B$14*E57))^2/(2*9.81)+B57+0.5*(((DATOS!$B$27*C57/(DATOS!$B$14*E57))^2/((DATOS!$B$14*E57)/(DATOS!$B$14+2*E57))^(4/3))+((DATOS!$B$27*C58/(DATOS!$B$14*((AB58+AC58)/2)))^2/((DATOS!$B$14*((AB58+AC58)/2))/(DATOS!$B$14+2*((AB58+AC58)/2)))^(4/3)))*(A57-A58)))&lt;0,((AB58+AC58)/2),AB58)</f>
        <v/>
      </c>
      <c r="AE58" s="16">
        <f>IF((((AB58+AC58)/2)+(C58/(DATOS!$B$14*((AB58+AC58)/2)))^2/(2*9.81)+B58-(E57+(C57/(DATOS!$B$14*E57))^2/(2*9.81)+B57+0.5*(((DATOS!$B$27*C57/(DATOS!$B$14*E57))^2/((DATOS!$B$14*E57)/(DATOS!$B$14+2*E57))^(4/3))+((DATOS!$B$27*C58/(DATOS!$B$14*((AB58+AC58)/2)))^2/((DATOS!$B$14*((AB58+AC58)/2))/(DATOS!$B$14+2*((AB58+AC58)/2)))^(4/3)))*(A57-A58)))&lt;0,AC58,((AB58+AC58)/2))</f>
        <v/>
      </c>
      <c r="AF58" s="16">
        <f>IF((((AD58+AE58)/2)+(C58/(DATOS!$B$14*((AD58+AE58)/2)))^2/(2*9.81)+B58-(E57+(C57/(DATOS!$B$14*E57))^2/(2*9.81)+B57+0.5*(((DATOS!$B$27*C57/(DATOS!$B$14*E57))^2/((DATOS!$B$14*E57)/(DATOS!$B$14+2*E57))^(4/3))+((DATOS!$B$27*C58/(DATOS!$B$14*((AD58+AE58)/2)))^2/((DATOS!$B$14*((AD58+AE58)/2))/(DATOS!$B$14+2*((AD58+AE58)/2)))^(4/3)))*(A57-A58)))&lt;0,((AD58+AE58)/2),AD58)</f>
        <v/>
      </c>
      <c r="AG58" s="16">
        <f>IF((((AD58+AE58)/2)+(C58/(DATOS!$B$14*((AD58+AE58)/2)))^2/(2*9.81)+B58-(E57+(C57/(DATOS!$B$14*E57))^2/(2*9.81)+B57+0.5*(((DATOS!$B$27*C57/(DATOS!$B$14*E57))^2/((DATOS!$B$14*E57)/(DATOS!$B$14+2*E57))^(4/3))+((DATOS!$B$27*C58/(DATOS!$B$14*((AD58+AE58)/2)))^2/((DATOS!$B$14*((AD58+AE58)/2))/(DATOS!$B$14+2*((AD58+AE58)/2)))^(4/3)))*(A57-A58)))&lt;0,AE58,((AD58+AE58)/2))</f>
        <v/>
      </c>
      <c r="AH58" s="16">
        <f>IF((((AF58+AG58)/2)+(C58/(DATOS!$B$14*((AF58+AG58)/2)))^2/(2*9.81)+B58-(E57+(C57/(DATOS!$B$14*E57))^2/(2*9.81)+B57+0.5*(((DATOS!$B$27*C57/(DATOS!$B$14*E57))^2/((DATOS!$B$14*E57)/(DATOS!$B$14+2*E57))^(4/3))+((DATOS!$B$27*C58/(DATOS!$B$14*((AF58+AG58)/2)))^2/((DATOS!$B$14*((AF58+AG58)/2))/(DATOS!$B$14+2*((AF58+AG58)/2)))^(4/3)))*(A57-A58)))&lt;0,((AF58+AG58)/2),AF58)</f>
        <v/>
      </c>
      <c r="AI58" s="16">
        <f>IF((((AF58+AG58)/2)+(C58/(DATOS!$B$14*((AF58+AG58)/2)))^2/(2*9.81)+B58-(E57+(C57/(DATOS!$B$14*E57))^2/(2*9.81)+B57+0.5*(((DATOS!$B$27*C57/(DATOS!$B$14*E57))^2/((DATOS!$B$14*E57)/(DATOS!$B$14+2*E57))^(4/3))+((DATOS!$B$27*C58/(DATOS!$B$14*((AF58+AG58)/2)))^2/((DATOS!$B$14*((AF58+AG58)/2))/(DATOS!$B$14+2*((AF58+AG58)/2)))^(4/3)))*(A57-A58)))&lt;0,AG58,((AF58+AG58)/2))</f>
        <v/>
      </c>
      <c r="AJ58" s="16">
        <f>IF((((AH58+AI58)/2)+(C58/(DATOS!$B$14*((AH58+AI58)/2)))^2/(2*9.81)+B58-(E57+(C57/(DATOS!$B$14*E57))^2/(2*9.81)+B57+0.5*(((DATOS!$B$27*C57/(DATOS!$B$14*E57))^2/((DATOS!$B$14*E57)/(DATOS!$B$14+2*E57))^(4/3))+((DATOS!$B$27*C58/(DATOS!$B$14*((AH58+AI58)/2)))^2/((DATOS!$B$14*((AH58+AI58)/2))/(DATOS!$B$14+2*((AH58+AI58)/2)))^(4/3)))*(A57-A58)))&lt;0,((AH58+AI58)/2),AH58)</f>
        <v/>
      </c>
      <c r="AK58" s="16">
        <f>IF((((AH58+AI58)/2)+(C58/(DATOS!$B$14*((AH58+AI58)/2)))^2/(2*9.81)+B58-(E57+(C57/(DATOS!$B$14*E57))^2/(2*9.81)+B57+0.5*(((DATOS!$B$27*C57/(DATOS!$B$14*E57))^2/((DATOS!$B$14*E57)/(DATOS!$B$14+2*E57))^(4/3))+((DATOS!$B$27*C58/(DATOS!$B$14*((AH58+AI58)/2)))^2/((DATOS!$B$14*((AH58+AI58)/2))/(DATOS!$B$14+2*((AH58+AI58)/2)))^(4/3)))*(A57-A58)))&lt;0,AI58,((AH58+AI58)/2))</f>
        <v/>
      </c>
      <c r="AL58" s="16">
        <f>IF((((AJ58+AK58)/2)+(C58/(DATOS!$B$14*((AJ58+AK58)/2)))^2/(2*9.81)+B58-(E57+(C57/(DATOS!$B$14*E57))^2/(2*9.81)+B57+0.5*(((DATOS!$B$27*C57/(DATOS!$B$14*E57))^2/((DATOS!$B$14*E57)/(DATOS!$B$14+2*E57))^(4/3))+((DATOS!$B$27*C58/(DATOS!$B$14*((AJ58+AK58)/2)))^2/((DATOS!$B$14*((AJ58+AK58)/2))/(DATOS!$B$14+2*((AJ58+AK58)/2)))^(4/3)))*(A57-A58)))&lt;0,((AJ58+AK58)/2),AJ58)</f>
        <v/>
      </c>
      <c r="AM58" s="16">
        <f>IF((((AJ58+AK58)/2)+(C58/(DATOS!$B$14*((AJ58+AK58)/2)))^2/(2*9.81)+B58-(E57+(C57/(DATOS!$B$14*E57))^2/(2*9.81)+B57+0.5*(((DATOS!$B$27*C57/(DATOS!$B$14*E57))^2/((DATOS!$B$14*E57)/(DATOS!$B$14+2*E57))^(4/3))+((DATOS!$B$27*C58/(DATOS!$B$14*((AJ58+AK58)/2)))^2/((DATOS!$B$14*((AJ58+AK58)/2))/(DATOS!$B$14+2*((AJ58+AK58)/2)))^(4/3)))*(A57-A58)))&lt;0,AK58,((AJ58+AK58)/2))</f>
        <v/>
      </c>
      <c r="AN58" s="16">
        <f>IF((((AL58+AM58)/2)+(C58/(DATOS!$B$14*((AL58+AM58)/2)))^2/(2*9.81)+B58-(E57+(C57/(DATOS!$B$14*E57))^2/(2*9.81)+B57+0.5*(((DATOS!$B$27*C57/(DATOS!$B$14*E57))^2/((DATOS!$B$14*E57)/(DATOS!$B$14+2*E57))^(4/3))+((DATOS!$B$27*C58/(DATOS!$B$14*((AL58+AM58)/2)))^2/((DATOS!$B$14*((AL58+AM58)/2))/(DATOS!$B$14+2*((AL58+AM58)/2)))^(4/3)))*(A57-A58)))&lt;0,((AL58+AM58)/2),AL58)</f>
        <v/>
      </c>
      <c r="AO58" s="16">
        <f>IF((((AL58+AM58)/2)+(C58/(DATOS!$B$14*((AL58+AM58)/2)))^2/(2*9.81)+B58-(E57+(C57/(DATOS!$B$14*E57))^2/(2*9.81)+B57+0.5*(((DATOS!$B$27*C57/(DATOS!$B$14*E57))^2/((DATOS!$B$14*E57)/(DATOS!$B$14+2*E57))^(4/3))+((DATOS!$B$27*C58/(DATOS!$B$14*((AL58+AM58)/2)))^2/((DATOS!$B$14*((AL58+AM58)/2))/(DATOS!$B$14+2*((AL58+AM58)/2)))^(4/3)))*(A57-A58)))&lt;0,AM58,((AL58+AM58)/2))</f>
        <v/>
      </c>
      <c r="AP58" s="16">
        <f>IF((((AN58+AO58)/2)+(C58/(DATOS!$B$14*((AN58+AO58)/2)))^2/(2*9.81)+B58-(E57+(C57/(DATOS!$B$14*E57))^2/(2*9.81)+B57+0.5*(((DATOS!$B$27*C57/(DATOS!$B$14*E57))^2/((DATOS!$B$14*E57)/(DATOS!$B$14+2*E57))^(4/3))+((DATOS!$B$27*C58/(DATOS!$B$14*((AN58+AO58)/2)))^2/((DATOS!$B$14*((AN58+AO58)/2))/(DATOS!$B$14+2*((AN58+AO58)/2)))^(4/3)))*(A57-A58)))&lt;0,((AN58+AO58)/2),AN58)</f>
        <v/>
      </c>
      <c r="AQ58" s="16">
        <f>IF((((AN58+AO58)/2)+(C58/(DATOS!$B$14*((AN58+AO58)/2)))^2/(2*9.81)+B58-(E57+(C57/(DATOS!$B$14*E57))^2/(2*9.81)+B57+0.5*(((DATOS!$B$27*C57/(DATOS!$B$14*E57))^2/((DATOS!$B$14*E57)/(DATOS!$B$14+2*E57))^(4/3))+((DATOS!$B$27*C58/(DATOS!$B$14*((AN58+AO58)/2)))^2/((DATOS!$B$14*((AN58+AO58)/2))/(DATOS!$B$14+2*((AN58+AO58)/2)))^(4/3)))*(A57-A58)))&lt;0,AO58,((AN58+AO58)/2))</f>
        <v/>
      </c>
      <c r="AR58" s="16">
        <f>IF((((AP58+AQ58)/2)+(C58/(DATOS!$B$14*((AP58+AQ58)/2)))^2/(2*9.81)+B58-(E57+(C57/(DATOS!$B$14*E57))^2/(2*9.81)+B57+0.5*(((DATOS!$B$27*C57/(DATOS!$B$14*E57))^2/((DATOS!$B$14*E57)/(DATOS!$B$14+2*E57))^(4/3))+((DATOS!$B$27*C58/(DATOS!$B$14*((AP58+AQ58)/2)))^2/((DATOS!$B$14*((AP58+AQ58)/2))/(DATOS!$B$14+2*((AP58+AQ58)/2)))^(4/3)))*(A57-A58)))&lt;0,((AP58+AQ58)/2),AP58)</f>
        <v/>
      </c>
      <c r="AS58" s="16">
        <f>IF((((AP58+AQ58)/2)+(C58/(DATOS!$B$14*((AP58+AQ58)/2)))^2/(2*9.81)+B58-(E57+(C57/(DATOS!$B$14*E57))^2/(2*9.81)+B57+0.5*(((DATOS!$B$27*C57/(DATOS!$B$14*E57))^2/((DATOS!$B$14*E57)/(DATOS!$B$14+2*E57))^(4/3))+((DATOS!$B$27*C58/(DATOS!$B$14*((AP58+AQ58)/2)))^2/((DATOS!$B$14*((AP58+AQ58)/2))/(DATOS!$B$14+2*((AP58+AQ58)/2)))^(4/3)))*(A57-A58)))&lt;0,AQ58,((AP58+AQ58)/2))</f>
        <v/>
      </c>
      <c r="AT58" s="16">
        <f>IF((((AR58+AS58)/2)+(C58/(DATOS!$B$14*((AR58+AS58)/2)))^2/(2*9.81)+B58-(E57+(C57/(DATOS!$B$14*E57))^2/(2*9.81)+B57+0.5*(((DATOS!$B$27*C57/(DATOS!$B$14*E57))^2/((DATOS!$B$14*E57)/(DATOS!$B$14+2*E57))^(4/3))+((DATOS!$B$27*C58/(DATOS!$B$14*((AR58+AS58)/2)))^2/((DATOS!$B$14*((AR58+AS58)/2))/(DATOS!$B$14+2*((AR58+AS58)/2)))^(4/3)))*(A57-A58)))&lt;0,((AR58+AS58)/2),AR58)</f>
        <v/>
      </c>
      <c r="AU58" s="16">
        <f>IF((((AR58+AS58)/2)+(C58/(DATOS!$B$14*((AR58+AS58)/2)))^2/(2*9.81)+B58-(E57+(C57/(DATOS!$B$14*E57))^2/(2*9.81)+B57+0.5*(((DATOS!$B$27*C57/(DATOS!$B$14*E57))^2/((DATOS!$B$14*E57)/(DATOS!$B$14+2*E57))^(4/3))+((DATOS!$B$27*C58/(DATOS!$B$14*((AR58+AS58)/2)))^2/((DATOS!$B$14*((AR58+AS58)/2))/(DATOS!$B$14+2*((AR58+AS58)/2)))^(4/3)))*(A57-A58)))&lt;0,AS58,((AR58+AS58)/2))</f>
        <v/>
      </c>
      <c r="AV58" s="16">
        <f>IF((((AT58+AU58)/2)+(C58/(DATOS!$B$14*((AT58+AU58)/2)))^2/(2*9.81)+B58-(E57+(C57/(DATOS!$B$14*E57))^2/(2*9.81)+B57+0.5*(((DATOS!$B$27*C57/(DATOS!$B$14*E57))^2/((DATOS!$B$14*E57)/(DATOS!$B$14+2*E57))^(4/3))+((DATOS!$B$27*C58/(DATOS!$B$14*((AT58+AU58)/2)))^2/((DATOS!$B$14*((AT58+AU58)/2))/(DATOS!$B$14+2*((AT58+AU58)/2)))^(4/3)))*(A57-A58)))&lt;0,((AT58+AU58)/2),AT58)</f>
        <v/>
      </c>
      <c r="AW58" s="16">
        <f>IF((((AT58+AU58)/2)+(C58/(DATOS!$B$14*((AT58+AU58)/2)))^2/(2*9.81)+B58-(E57+(C57/(DATOS!$B$14*E57))^2/(2*9.81)+B57+0.5*(((DATOS!$B$27*C57/(DATOS!$B$14*E57))^2/((DATOS!$B$14*E57)/(DATOS!$B$14+2*E57))^(4/3))+((DATOS!$B$27*C58/(DATOS!$B$14*((AT58+AU58)/2)))^2/((DATOS!$B$14*((AT58+AU58)/2))/(DATOS!$B$14+2*((AT58+AU58)/2)))^(4/3)))*(A57-A58)))&lt;0,AU58,((AT58+AU58)/2))</f>
        <v/>
      </c>
      <c r="AX58" s="16">
        <f>IF((((AV58+AW58)/2)+(C58/(DATOS!$B$14*((AV58+AW58)/2)))^2/(2*9.81)+B58-(E57+(C57/(DATOS!$B$14*E57))^2/(2*9.81)+B57+0.5*(((DATOS!$B$27*C57/(DATOS!$B$14*E57))^2/((DATOS!$B$14*E57)/(DATOS!$B$14+2*E57))^(4/3))+((DATOS!$B$27*C58/(DATOS!$B$14*((AV58+AW58)/2)))^2/((DATOS!$B$14*((AV58+AW58)/2))/(DATOS!$B$14+2*((AV58+AW58)/2)))^(4/3)))*(A57-A58)))&lt;0,((AV58+AW58)/2),AV58)</f>
        <v/>
      </c>
      <c r="AY58" s="16">
        <f>IF((((AV58+AW58)/2)+(C58/(DATOS!$B$14*((AV58+AW58)/2)))^2/(2*9.81)+B58-(E57+(C57/(DATOS!$B$14*E57))^2/(2*9.81)+B57+0.5*(((DATOS!$B$27*C57/(DATOS!$B$14*E57))^2/((DATOS!$B$14*E57)/(DATOS!$B$14+2*E57))^(4/3))+((DATOS!$B$27*C58/(DATOS!$B$14*((AV58+AW58)/2)))^2/((DATOS!$B$14*((AV58+AW58)/2))/(DATOS!$B$14+2*((AV58+AW58)/2)))^(4/3)))*(A57-A58)))&lt;0,AW58,((AV58+AW58)/2))</f>
        <v/>
      </c>
      <c r="AZ58" s="16">
        <f>IF((((AX58+AY58)/2)+(C58/(DATOS!$B$14*((AX58+AY58)/2)))^2/(2*9.81)+B58-(E57+(C57/(DATOS!$B$14*E57))^2/(2*9.81)+B57+0.5*(((DATOS!$B$27*C57/(DATOS!$B$14*E57))^2/((DATOS!$B$14*E57)/(DATOS!$B$14+2*E57))^(4/3))+((DATOS!$B$27*C58/(DATOS!$B$14*((AX58+AY58)/2)))^2/((DATOS!$B$14*((AX58+AY58)/2))/(DATOS!$B$14+2*((AX58+AY58)/2)))^(4/3)))*(A57-A58)))&lt;0,((AX58+AY58)/2),AX58)</f>
        <v/>
      </c>
      <c r="BA58" s="16">
        <f>IF((((AX58+AY58)/2)+(C58/(DATOS!$B$14*((AX58+AY58)/2)))^2/(2*9.81)+B58-(E57+(C57/(DATOS!$B$14*E57))^2/(2*9.81)+B57+0.5*(((DATOS!$B$27*C57/(DATOS!$B$14*E57))^2/((DATOS!$B$14*E57)/(DATOS!$B$14+2*E57))^(4/3))+((DATOS!$B$27*C58/(DATOS!$B$14*((AX58+AY58)/2)))^2/((DATOS!$B$14*((AX58+AY58)/2))/(DATOS!$B$14+2*((AX58+AY58)/2)))^(4/3)))*(A57-A58)))&lt;0,AY58,((AX58+AY58)/2))</f>
        <v/>
      </c>
      <c r="BB58" s="16">
        <f>IF((((AZ58+BA58)/2)+(C58/(DATOS!$B$14*((AZ58+BA58)/2)))^2/(2*9.81)+B58-(E57+(C57/(DATOS!$B$14*E57))^2/(2*9.81)+B57+0.5*(((DATOS!$B$27*C57/(DATOS!$B$14*E57))^2/((DATOS!$B$14*E57)/(DATOS!$B$14+2*E57))^(4/3))+((DATOS!$B$27*C58/(DATOS!$B$14*((AZ58+BA58)/2)))^2/((DATOS!$B$14*((AZ58+BA58)/2))/(DATOS!$B$14+2*((AZ58+BA58)/2)))^(4/3)))*(A57-A58)))&lt;0,((AZ58+BA58)/2),AZ58)</f>
        <v/>
      </c>
      <c r="BC58" s="16">
        <f>IF((((AZ58+BA58)/2)+(C58/(DATOS!$B$14*((AZ58+BA58)/2)))^2/(2*9.81)+B58-(E57+(C57/(DATOS!$B$14*E57))^2/(2*9.81)+B57+0.5*(((DATOS!$B$27*C57/(DATOS!$B$14*E57))^2/((DATOS!$B$14*E57)/(DATOS!$B$14+2*E57))^(4/3))+((DATOS!$B$27*C58/(DATOS!$B$14*((AZ58+BA58)/2)))^2/((DATOS!$B$14*((AZ58+BA58)/2))/(DATOS!$B$14+2*((AZ58+BA58)/2)))^(4/3)))*(A57-A58)))&lt;0,BA58,((AZ58+BA58)/2))</f>
        <v/>
      </c>
      <c r="BD58" s="16">
        <f>IF((((BB58+BC58)/2)+(C58/(DATOS!$B$14*((BB58+BC58)/2)))^2/(2*9.81)+B58-(E57+(C57/(DATOS!$B$14*E57))^2/(2*9.81)+B57+0.5*(((DATOS!$B$27*C57/(DATOS!$B$14*E57))^2/((DATOS!$B$14*E57)/(DATOS!$B$14+2*E57))^(4/3))+((DATOS!$B$27*C58/(DATOS!$B$14*((BB58+BC58)/2)))^2/((DATOS!$B$14*((BB58+BC58)/2))/(DATOS!$B$14+2*((BB58+BC58)/2)))^(4/3)))*(A57-A58)))&lt;0,((BB58+BC58)/2),BB58)</f>
        <v/>
      </c>
      <c r="BE58" s="16">
        <f>IF((((BB58+BC58)/2)+(C58/(DATOS!$B$14*((BB58+BC58)/2)))^2/(2*9.81)+B58-(E57+(C57/(DATOS!$B$14*E57))^2/(2*9.81)+B57+0.5*(((DATOS!$B$27*C57/(DATOS!$B$14*E57))^2/((DATOS!$B$14*E57)/(DATOS!$B$14+2*E57))^(4/3))+((DATOS!$B$27*C58/(DATOS!$B$14*((BB58+BC58)/2)))^2/((DATOS!$B$14*((BB58+BC58)/2))/(DATOS!$B$14+2*((BB58+BC58)/2)))^(4/3)))*(A57-A58)))&lt;0,BC58,((BB58+BC58)/2))</f>
        <v/>
      </c>
      <c r="BF58" s="16">
        <f>IF((((BD58+BE58)/2)+(C58/(DATOS!$B$14*((BD58+BE58)/2)))^2/(2*9.81)+B58-(E57+(C57/(DATOS!$B$14*E57))^2/(2*9.81)+B57+0.5*(((DATOS!$B$27*C57/(DATOS!$B$14*E57))^2/((DATOS!$B$14*E57)/(DATOS!$B$14+2*E57))^(4/3))+((DATOS!$B$27*C58/(DATOS!$B$14*((BD58+BE58)/2)))^2/((DATOS!$B$14*((BD58+BE58)/2))/(DATOS!$B$14+2*((BD58+BE58)/2)))^(4/3)))*(A57-A58)))&lt;0,((BD58+BE58)/2),BD58)</f>
        <v/>
      </c>
      <c r="BG58" s="16">
        <f>IF((((BD58+BE58)/2)+(C58/(DATOS!$B$14*((BD58+BE58)/2)))^2/(2*9.81)+B58-(E57+(C57/(DATOS!$B$14*E57))^2/(2*9.81)+B57+0.5*(((DATOS!$B$27*C57/(DATOS!$B$14*E57))^2/((DATOS!$B$14*E57)/(DATOS!$B$14+2*E57))^(4/3))+((DATOS!$B$27*C58/(DATOS!$B$14*((BD58+BE58)/2)))^2/((DATOS!$B$14*((BD58+BE58)/2))/(DATOS!$B$14+2*((BD58+BE58)/2)))^(4/3)))*(A57-A58)))&lt;0,BE58,((BD58+BE58)/2))</f>
        <v/>
      </c>
      <c r="BH58" s="16">
        <f>IF((((BF58+BG58)/2)+(C58/(DATOS!$B$14*((BF58+BG58)/2)))^2/(2*9.81)+B58-(E57+(C57/(DATOS!$B$14*E57))^2/(2*9.81)+B57+0.5*(((DATOS!$B$27*C57/(DATOS!$B$14*E57))^2/((DATOS!$B$14*E57)/(DATOS!$B$14+2*E57))^(4/3))+((DATOS!$B$27*C58/(DATOS!$B$14*((BF58+BG58)/2)))^2/((DATOS!$B$14*((BF58+BG58)/2))/(DATOS!$B$14+2*((BF58+BG58)/2)))^(4/3)))*(A57-A58)))&lt;0,((BF58+BG58)/2),BF58)</f>
        <v/>
      </c>
      <c r="BI58" s="16">
        <f>IF((((BF58+BG58)/2)+(C58/(DATOS!$B$14*((BF58+BG58)/2)))^2/(2*9.81)+B58-(E57+(C57/(DATOS!$B$14*E57))^2/(2*9.81)+B57+0.5*(((DATOS!$B$27*C57/(DATOS!$B$14*E57))^2/((DATOS!$B$14*E57)/(DATOS!$B$14+2*E57))^(4/3))+((DATOS!$B$27*C58/(DATOS!$B$14*((BF58+BG58)/2)))^2/((DATOS!$B$14*((BF58+BG58)/2))/(DATOS!$B$14+2*((BF58+BG58)/2)))^(4/3)))*(A57-A58)))&lt;0,BG58,((BF58+BG58)/2))</f>
        <v/>
      </c>
      <c r="BJ58" s="16">
        <f>IF((((BH58+BI58)/2)+(C58/(DATOS!$B$14*((BH58+BI58)/2)))^2/(2*9.81)+B58-(E57+(C57/(DATOS!$B$14*E57))^2/(2*9.81)+B57+0.5*(((DATOS!$B$27*C57/(DATOS!$B$14*E57))^2/((DATOS!$B$14*E57)/(DATOS!$B$14+2*E57))^(4/3))+((DATOS!$B$27*C58/(DATOS!$B$14*((BH58+BI58)/2)))^2/((DATOS!$B$14*((BH58+BI58)/2))/(DATOS!$B$14+2*((BH58+BI58)/2)))^(4/3)))*(A57-A58)))&lt;0,((BH58+BI58)/2),BH58)</f>
        <v/>
      </c>
      <c r="BK58" s="16">
        <f>IF((((BH58+BI58)/2)+(C58/(DATOS!$B$14*((BH58+BI58)/2)))^2/(2*9.81)+B58-(E57+(C57/(DATOS!$B$14*E57))^2/(2*9.81)+B57+0.5*(((DATOS!$B$27*C57/(DATOS!$B$14*E57))^2/((DATOS!$B$14*E57)/(DATOS!$B$14+2*E57))^(4/3))+((DATOS!$B$27*C58/(DATOS!$B$14*((BH58+BI58)/2)))^2/((DATOS!$B$14*((BH58+BI58)/2))/(DATOS!$B$14+2*((BH58+BI58)/2)))^(4/3)))*(A57-A58)))&lt;0,BI58,((BH58+BI58)/2))</f>
        <v/>
      </c>
      <c r="BL58" s="16">
        <f>IF((((BJ58+BK58)/2)+(C58/(DATOS!$B$14*((BJ58+BK58)/2)))^2/(2*9.81)+B58-(E57+(C57/(DATOS!$B$14*E57))^2/(2*9.81)+B57+0.5*(((DATOS!$B$27*C57/(DATOS!$B$14*E57))^2/((DATOS!$B$14*E57)/(DATOS!$B$14+2*E57))^(4/3))+((DATOS!$B$27*C58/(DATOS!$B$14*((BJ58+BK58)/2)))^2/((DATOS!$B$14*((BJ58+BK58)/2))/(DATOS!$B$14+2*((BJ58+BK58)/2)))^(4/3)))*(A57-A58)))&lt;0,((BJ58+BK58)/2),BJ58)</f>
        <v/>
      </c>
      <c r="BM58" s="16">
        <f>IF((((BJ58+BK58)/2)+(C58/(DATOS!$B$14*((BJ58+BK58)/2)))^2/(2*9.81)+B58-(E57+(C57/(DATOS!$B$14*E57))^2/(2*9.81)+B57+0.5*(((DATOS!$B$27*C57/(DATOS!$B$14*E57))^2/((DATOS!$B$14*E57)/(DATOS!$B$14+2*E57))^(4/3))+((DATOS!$B$27*C58/(DATOS!$B$14*((BJ58+BK58)/2)))^2/((DATOS!$B$14*((BJ58+BK58)/2))/(DATOS!$B$14+2*((BJ58+BK58)/2)))^(4/3)))*(A57-A58)))&lt;0,BK58,((BJ58+BK58)/2))</f>
        <v/>
      </c>
      <c r="BN58" s="16">
        <f>IF((((BL58+BM58)/2)+(C58/(DATOS!$B$14*((BL58+BM58)/2)))^2/(2*9.81)+B58-(E57+(C57/(DATOS!$B$14*E57))^2/(2*9.81)+B57+0.5*(((DATOS!$B$27*C57/(DATOS!$B$14*E57))^2/((DATOS!$B$14*E57)/(DATOS!$B$14+2*E57))^(4/3))+((DATOS!$B$27*C58/(DATOS!$B$14*((BL58+BM58)/2)))^2/((DATOS!$B$14*((BL58+BM58)/2))/(DATOS!$B$14+2*((BL58+BM58)/2)))^(4/3)))*(A57-A58)))&lt;0,((BL58+BM58)/2),BL58)</f>
        <v/>
      </c>
      <c r="BO58" s="16">
        <f>IF((((BL58+BM58)/2)+(C58/(DATOS!$B$14*((BL58+BM58)/2)))^2/(2*9.81)+B58-(E57+(C57/(DATOS!$B$14*E57))^2/(2*9.81)+B57+0.5*(((DATOS!$B$27*C57/(DATOS!$B$14*E57))^2/((DATOS!$B$14*E57)/(DATOS!$B$14+2*E57))^(4/3))+((DATOS!$B$27*C58/(DATOS!$B$14*((BL58+BM58)/2)))^2/((DATOS!$B$14*((BL58+BM58)/2))/(DATOS!$B$14+2*((BL58+BM58)/2)))^(4/3)))*(A57-A58)))&lt;0,BM58,((BL58+BM58)/2))</f>
        <v/>
      </c>
      <c r="BP58" s="16">
        <f>IF((((BN58+BO58)/2)+(C58/(DATOS!$B$14*((BN58+BO58)/2)))^2/(2*9.81)+B58-(E57+(C57/(DATOS!$B$14*E57))^2/(2*9.81)+B57+0.5*(((DATOS!$B$27*C57/(DATOS!$B$14*E57))^2/((DATOS!$B$14*E57)/(DATOS!$B$14+2*E57))^(4/3))+((DATOS!$B$27*C58/(DATOS!$B$14*((BN58+BO58)/2)))^2/((DATOS!$B$14*((BN58+BO58)/2))/(DATOS!$B$14+2*((BN58+BO58)/2)))^(4/3)))*(A57-A58)))&lt;0,((BN58+BO58)/2),BN58)</f>
        <v/>
      </c>
      <c r="BQ58" s="16">
        <f>IF((((BN58+BO58)/2)+(C58/(DATOS!$B$14*((BN58+BO58)/2)))^2/(2*9.81)+B58-(E57+(C57/(DATOS!$B$14*E57))^2/(2*9.81)+B57+0.5*(((DATOS!$B$27*C57/(DATOS!$B$14*E57))^2/((DATOS!$B$14*E57)/(DATOS!$B$14+2*E57))^(4/3))+((DATOS!$B$27*C58/(DATOS!$B$14*((BN58+BO58)/2)))^2/((DATOS!$B$14*((BN58+BO58)/2))/(DATOS!$B$14+2*((BN58+BO58)/2)))^(4/3)))*(A57-A58)))&lt;0,BO58,((BN58+BO58)/2))</f>
        <v/>
      </c>
      <c r="BR58" s="16">
        <f>IF((((BP58+BQ58)/2)+(C58/(DATOS!$B$14*((BP58+BQ58)/2)))^2/(2*9.81)+B58-(E57+(C57/(DATOS!$B$14*E57))^2/(2*9.81)+B57+0.5*(((DATOS!$B$27*C57/(DATOS!$B$14*E57))^2/((DATOS!$B$14*E57)/(DATOS!$B$14+2*E57))^(4/3))+((DATOS!$B$27*C58/(DATOS!$B$14*((BP58+BQ58)/2)))^2/((DATOS!$B$14*((BP58+BQ58)/2))/(DATOS!$B$14+2*((BP58+BQ58)/2)))^(4/3)))*(A57-A58)))&lt;0,((BP58+BQ58)/2),BP58)</f>
        <v/>
      </c>
      <c r="BS58" s="16">
        <f>IF((((BP58+BQ58)/2)+(C58/(DATOS!$B$14*((BP58+BQ58)/2)))^2/(2*9.81)+B58-(E57+(C57/(DATOS!$B$14*E57))^2/(2*9.81)+B57+0.5*(((DATOS!$B$27*C57/(DATOS!$B$14*E57))^2/((DATOS!$B$14*E57)/(DATOS!$B$14+2*E57))^(4/3))+((DATOS!$B$27*C58/(DATOS!$B$14*((BP58+BQ58)/2)))^2/((DATOS!$B$14*((BP58+BQ58)/2))/(DATOS!$B$14+2*((BP58+BQ58)/2)))^(4/3)))*(A57-A58)))&lt;0,BQ58,((BP58+BQ58)/2))</f>
        <v/>
      </c>
      <c r="BT58" s="16">
        <f>IF((((BR58+BS58)/2)+(C58/(DATOS!$B$14*((BR58+BS58)/2)))^2/(2*9.81)+B58-(E57+(C57/(DATOS!$B$14*E57))^2/(2*9.81)+B57+0.5*(((DATOS!$B$27*C57/(DATOS!$B$14*E57))^2/((DATOS!$B$14*E57)/(DATOS!$B$14+2*E57))^(4/3))+((DATOS!$B$27*C58/(DATOS!$B$14*((BR58+BS58)/2)))^2/((DATOS!$B$14*((BR58+BS58)/2))/(DATOS!$B$14+2*((BR58+BS58)/2)))^(4/3)))*(A57-A58)))&lt;0,((BR58+BS58)/2),BR58)</f>
        <v/>
      </c>
      <c r="BU58" s="16">
        <f>IF((((BR58+BS58)/2)+(C58/(DATOS!$B$14*((BR58+BS58)/2)))^2/(2*9.81)+B58-(E57+(C57/(DATOS!$B$14*E57))^2/(2*9.81)+B57+0.5*(((DATOS!$B$27*C57/(DATOS!$B$14*E57))^2/((DATOS!$B$14*E57)/(DATOS!$B$14+2*E57))^(4/3))+((DATOS!$B$27*C58/(DATOS!$B$14*((BR58+BS58)/2)))^2/((DATOS!$B$14*((BR58+BS58)/2))/(DATOS!$B$14+2*((BR58+BS58)/2)))^(4/3)))*(A57-A58)))&lt;0,BS58,((BR58+BS58)/2))</f>
        <v/>
      </c>
    </row>
    <row r="59">
      <c r="A59" s="30" t="n">
        <v>38</v>
      </c>
      <c r="B59" s="21">
        <f>DATOS!$B$16-DATOS!$B$19*A59</f>
        <v/>
      </c>
      <c r="C59" s="21">
        <f>IF(A59&lt;CAUDALES!$B$13,CAUDALES!$D$12,IF(A59&lt;CAUDALES!$B$14,CAUDALES!$D$13,IF(A59&lt;CAUDALES!$B$15,CAUDALES!$D$14,CAUDALES!$D$15)))/1000</f>
        <v/>
      </c>
      <c r="D59" s="21">
        <f>(C59^2/(9.81*DATOS!$B$14^2))^(1/3)</f>
        <v/>
      </c>
      <c r="E59" s="29">
        <f>(BT59+BU59)/2</f>
        <v/>
      </c>
      <c r="F59" s="21">
        <f>B59+E59</f>
        <v/>
      </c>
      <c r="G59" s="17">
        <f>C59/(DATOS!$B$14*E59)</f>
        <v/>
      </c>
      <c r="H59" s="17">
        <f>G59/SQRT(9.81*E59)</f>
        <v/>
      </c>
      <c r="I59" s="21">
        <f>IF(A59&lt;=DATOS!$B$20,DATOS!$B$21-IF(AND(A59&gt;=DATOS!$B$23,A59&lt;DATOS!$B$24),DATOS!$B$25,DATOS!$B$22),B59+DATOS!$B$26)</f>
        <v/>
      </c>
      <c r="J59" s="17">
        <f>I59-B59</f>
        <v/>
      </c>
      <c r="K59" s="31">
        <f>E59/J59</f>
        <v/>
      </c>
      <c r="L59" s="21">
        <f>I59-F59</f>
        <v/>
      </c>
      <c r="M59" s="32">
        <f>IF(AND(K59&lt;=DATOS!$B$29,L59&gt;=DATOS!$B$30),"CUMPLE","NO CUMPLE")</f>
        <v/>
      </c>
      <c r="N59" s="13">
        <f>IF(A59&gt;DATOS!$B$20,"cubierto - tramo final",IF(AND(A59&gt;=DATOS!$B$23,A59&lt;DATOS!$B$24),"cubierto - camiones","cubierto"))</f>
        <v/>
      </c>
      <c r="P59" s="16">
        <f>D59*1.001</f>
        <v/>
      </c>
      <c r="Q59" s="16" t="n">
        <v>2</v>
      </c>
      <c r="R59" s="16">
        <f>IF((((P59+Q59)/2)+(C59/(DATOS!$B$14*((P59+Q59)/2)))^2/(2*9.81)+B59-(E58+(C58/(DATOS!$B$14*E58))^2/(2*9.81)+B58+0.5*(((DATOS!$B$27*C58/(DATOS!$B$14*E58))^2/((DATOS!$B$14*E58)/(DATOS!$B$14+2*E58))^(4/3))+((DATOS!$B$27*C59/(DATOS!$B$14*((P59+Q59)/2)))^2/((DATOS!$B$14*((P59+Q59)/2))/(DATOS!$B$14+2*((P59+Q59)/2)))^(4/3)))*(A58-A59)))&lt;0,((P59+Q59)/2),P59)</f>
        <v/>
      </c>
      <c r="S59" s="16">
        <f>IF((((P59+Q59)/2)+(C59/(DATOS!$B$14*((P59+Q59)/2)))^2/(2*9.81)+B59-(E58+(C58/(DATOS!$B$14*E58))^2/(2*9.81)+B58+0.5*(((DATOS!$B$27*C58/(DATOS!$B$14*E58))^2/((DATOS!$B$14*E58)/(DATOS!$B$14+2*E58))^(4/3))+((DATOS!$B$27*C59/(DATOS!$B$14*((P59+Q59)/2)))^2/((DATOS!$B$14*((P59+Q59)/2))/(DATOS!$B$14+2*((P59+Q59)/2)))^(4/3)))*(A58-A59)))&lt;0,Q59,((P59+Q59)/2))</f>
        <v/>
      </c>
      <c r="T59" s="16">
        <f>IF((((R59+S59)/2)+(C59/(DATOS!$B$14*((R59+S59)/2)))^2/(2*9.81)+B59-(E58+(C58/(DATOS!$B$14*E58))^2/(2*9.81)+B58+0.5*(((DATOS!$B$27*C58/(DATOS!$B$14*E58))^2/((DATOS!$B$14*E58)/(DATOS!$B$14+2*E58))^(4/3))+((DATOS!$B$27*C59/(DATOS!$B$14*((R59+S59)/2)))^2/((DATOS!$B$14*((R59+S59)/2))/(DATOS!$B$14+2*((R59+S59)/2)))^(4/3)))*(A58-A59)))&lt;0,((R59+S59)/2),R59)</f>
        <v/>
      </c>
      <c r="U59" s="16">
        <f>IF((((R59+S59)/2)+(C59/(DATOS!$B$14*((R59+S59)/2)))^2/(2*9.81)+B59-(E58+(C58/(DATOS!$B$14*E58))^2/(2*9.81)+B58+0.5*(((DATOS!$B$27*C58/(DATOS!$B$14*E58))^2/((DATOS!$B$14*E58)/(DATOS!$B$14+2*E58))^(4/3))+((DATOS!$B$27*C59/(DATOS!$B$14*((R59+S59)/2)))^2/((DATOS!$B$14*((R59+S59)/2))/(DATOS!$B$14+2*((R59+S59)/2)))^(4/3)))*(A58-A59)))&lt;0,S59,((R59+S59)/2))</f>
        <v/>
      </c>
      <c r="V59" s="16">
        <f>IF((((T59+U59)/2)+(C59/(DATOS!$B$14*((T59+U59)/2)))^2/(2*9.81)+B59-(E58+(C58/(DATOS!$B$14*E58))^2/(2*9.81)+B58+0.5*(((DATOS!$B$27*C58/(DATOS!$B$14*E58))^2/((DATOS!$B$14*E58)/(DATOS!$B$14+2*E58))^(4/3))+((DATOS!$B$27*C59/(DATOS!$B$14*((T59+U59)/2)))^2/((DATOS!$B$14*((T59+U59)/2))/(DATOS!$B$14+2*((T59+U59)/2)))^(4/3)))*(A58-A59)))&lt;0,((T59+U59)/2),T59)</f>
        <v/>
      </c>
      <c r="W59" s="16">
        <f>IF((((T59+U59)/2)+(C59/(DATOS!$B$14*((T59+U59)/2)))^2/(2*9.81)+B59-(E58+(C58/(DATOS!$B$14*E58))^2/(2*9.81)+B58+0.5*(((DATOS!$B$27*C58/(DATOS!$B$14*E58))^2/((DATOS!$B$14*E58)/(DATOS!$B$14+2*E58))^(4/3))+((DATOS!$B$27*C59/(DATOS!$B$14*((T59+U59)/2)))^2/((DATOS!$B$14*((T59+U59)/2))/(DATOS!$B$14+2*((T59+U59)/2)))^(4/3)))*(A58-A59)))&lt;0,U59,((T59+U59)/2))</f>
        <v/>
      </c>
      <c r="X59" s="16">
        <f>IF((((V59+W59)/2)+(C59/(DATOS!$B$14*((V59+W59)/2)))^2/(2*9.81)+B59-(E58+(C58/(DATOS!$B$14*E58))^2/(2*9.81)+B58+0.5*(((DATOS!$B$27*C58/(DATOS!$B$14*E58))^2/((DATOS!$B$14*E58)/(DATOS!$B$14+2*E58))^(4/3))+((DATOS!$B$27*C59/(DATOS!$B$14*((V59+W59)/2)))^2/((DATOS!$B$14*((V59+W59)/2))/(DATOS!$B$14+2*((V59+W59)/2)))^(4/3)))*(A58-A59)))&lt;0,((V59+W59)/2),V59)</f>
        <v/>
      </c>
      <c r="Y59" s="16">
        <f>IF((((V59+W59)/2)+(C59/(DATOS!$B$14*((V59+W59)/2)))^2/(2*9.81)+B59-(E58+(C58/(DATOS!$B$14*E58))^2/(2*9.81)+B58+0.5*(((DATOS!$B$27*C58/(DATOS!$B$14*E58))^2/((DATOS!$B$14*E58)/(DATOS!$B$14+2*E58))^(4/3))+((DATOS!$B$27*C59/(DATOS!$B$14*((V59+W59)/2)))^2/((DATOS!$B$14*((V59+W59)/2))/(DATOS!$B$14+2*((V59+W59)/2)))^(4/3)))*(A58-A59)))&lt;0,W59,((V59+W59)/2))</f>
        <v/>
      </c>
      <c r="Z59" s="16">
        <f>IF((((X59+Y59)/2)+(C59/(DATOS!$B$14*((X59+Y59)/2)))^2/(2*9.81)+B59-(E58+(C58/(DATOS!$B$14*E58))^2/(2*9.81)+B58+0.5*(((DATOS!$B$27*C58/(DATOS!$B$14*E58))^2/((DATOS!$B$14*E58)/(DATOS!$B$14+2*E58))^(4/3))+((DATOS!$B$27*C59/(DATOS!$B$14*((X59+Y59)/2)))^2/((DATOS!$B$14*((X59+Y59)/2))/(DATOS!$B$14+2*((X59+Y59)/2)))^(4/3)))*(A58-A59)))&lt;0,((X59+Y59)/2),X59)</f>
        <v/>
      </c>
      <c r="AA59" s="16">
        <f>IF((((X59+Y59)/2)+(C59/(DATOS!$B$14*((X59+Y59)/2)))^2/(2*9.81)+B59-(E58+(C58/(DATOS!$B$14*E58))^2/(2*9.81)+B58+0.5*(((DATOS!$B$27*C58/(DATOS!$B$14*E58))^2/((DATOS!$B$14*E58)/(DATOS!$B$14+2*E58))^(4/3))+((DATOS!$B$27*C59/(DATOS!$B$14*((X59+Y59)/2)))^2/((DATOS!$B$14*((X59+Y59)/2))/(DATOS!$B$14+2*((X59+Y59)/2)))^(4/3)))*(A58-A59)))&lt;0,Y59,((X59+Y59)/2))</f>
        <v/>
      </c>
      <c r="AB59" s="16">
        <f>IF((((Z59+AA59)/2)+(C59/(DATOS!$B$14*((Z59+AA59)/2)))^2/(2*9.81)+B59-(E58+(C58/(DATOS!$B$14*E58))^2/(2*9.81)+B58+0.5*(((DATOS!$B$27*C58/(DATOS!$B$14*E58))^2/((DATOS!$B$14*E58)/(DATOS!$B$14+2*E58))^(4/3))+((DATOS!$B$27*C59/(DATOS!$B$14*((Z59+AA59)/2)))^2/((DATOS!$B$14*((Z59+AA59)/2))/(DATOS!$B$14+2*((Z59+AA59)/2)))^(4/3)))*(A58-A59)))&lt;0,((Z59+AA59)/2),Z59)</f>
        <v/>
      </c>
      <c r="AC59" s="16">
        <f>IF((((Z59+AA59)/2)+(C59/(DATOS!$B$14*((Z59+AA59)/2)))^2/(2*9.81)+B59-(E58+(C58/(DATOS!$B$14*E58))^2/(2*9.81)+B58+0.5*(((DATOS!$B$27*C58/(DATOS!$B$14*E58))^2/((DATOS!$B$14*E58)/(DATOS!$B$14+2*E58))^(4/3))+((DATOS!$B$27*C59/(DATOS!$B$14*((Z59+AA59)/2)))^2/((DATOS!$B$14*((Z59+AA59)/2))/(DATOS!$B$14+2*((Z59+AA59)/2)))^(4/3)))*(A58-A59)))&lt;0,AA59,((Z59+AA59)/2))</f>
        <v/>
      </c>
      <c r="AD59" s="16">
        <f>IF((((AB59+AC59)/2)+(C59/(DATOS!$B$14*((AB59+AC59)/2)))^2/(2*9.81)+B59-(E58+(C58/(DATOS!$B$14*E58))^2/(2*9.81)+B58+0.5*(((DATOS!$B$27*C58/(DATOS!$B$14*E58))^2/((DATOS!$B$14*E58)/(DATOS!$B$14+2*E58))^(4/3))+((DATOS!$B$27*C59/(DATOS!$B$14*((AB59+AC59)/2)))^2/((DATOS!$B$14*((AB59+AC59)/2))/(DATOS!$B$14+2*((AB59+AC59)/2)))^(4/3)))*(A58-A59)))&lt;0,((AB59+AC59)/2),AB59)</f>
        <v/>
      </c>
      <c r="AE59" s="16">
        <f>IF((((AB59+AC59)/2)+(C59/(DATOS!$B$14*((AB59+AC59)/2)))^2/(2*9.81)+B59-(E58+(C58/(DATOS!$B$14*E58))^2/(2*9.81)+B58+0.5*(((DATOS!$B$27*C58/(DATOS!$B$14*E58))^2/((DATOS!$B$14*E58)/(DATOS!$B$14+2*E58))^(4/3))+((DATOS!$B$27*C59/(DATOS!$B$14*((AB59+AC59)/2)))^2/((DATOS!$B$14*((AB59+AC59)/2))/(DATOS!$B$14+2*((AB59+AC59)/2)))^(4/3)))*(A58-A59)))&lt;0,AC59,((AB59+AC59)/2))</f>
        <v/>
      </c>
      <c r="AF59" s="16">
        <f>IF((((AD59+AE59)/2)+(C59/(DATOS!$B$14*((AD59+AE59)/2)))^2/(2*9.81)+B59-(E58+(C58/(DATOS!$B$14*E58))^2/(2*9.81)+B58+0.5*(((DATOS!$B$27*C58/(DATOS!$B$14*E58))^2/((DATOS!$B$14*E58)/(DATOS!$B$14+2*E58))^(4/3))+((DATOS!$B$27*C59/(DATOS!$B$14*((AD59+AE59)/2)))^2/((DATOS!$B$14*((AD59+AE59)/2))/(DATOS!$B$14+2*((AD59+AE59)/2)))^(4/3)))*(A58-A59)))&lt;0,((AD59+AE59)/2),AD59)</f>
        <v/>
      </c>
      <c r="AG59" s="16">
        <f>IF((((AD59+AE59)/2)+(C59/(DATOS!$B$14*((AD59+AE59)/2)))^2/(2*9.81)+B59-(E58+(C58/(DATOS!$B$14*E58))^2/(2*9.81)+B58+0.5*(((DATOS!$B$27*C58/(DATOS!$B$14*E58))^2/((DATOS!$B$14*E58)/(DATOS!$B$14+2*E58))^(4/3))+((DATOS!$B$27*C59/(DATOS!$B$14*((AD59+AE59)/2)))^2/((DATOS!$B$14*((AD59+AE59)/2))/(DATOS!$B$14+2*((AD59+AE59)/2)))^(4/3)))*(A58-A59)))&lt;0,AE59,((AD59+AE59)/2))</f>
        <v/>
      </c>
      <c r="AH59" s="16">
        <f>IF((((AF59+AG59)/2)+(C59/(DATOS!$B$14*((AF59+AG59)/2)))^2/(2*9.81)+B59-(E58+(C58/(DATOS!$B$14*E58))^2/(2*9.81)+B58+0.5*(((DATOS!$B$27*C58/(DATOS!$B$14*E58))^2/((DATOS!$B$14*E58)/(DATOS!$B$14+2*E58))^(4/3))+((DATOS!$B$27*C59/(DATOS!$B$14*((AF59+AG59)/2)))^2/((DATOS!$B$14*((AF59+AG59)/2))/(DATOS!$B$14+2*((AF59+AG59)/2)))^(4/3)))*(A58-A59)))&lt;0,((AF59+AG59)/2),AF59)</f>
        <v/>
      </c>
      <c r="AI59" s="16">
        <f>IF((((AF59+AG59)/2)+(C59/(DATOS!$B$14*((AF59+AG59)/2)))^2/(2*9.81)+B59-(E58+(C58/(DATOS!$B$14*E58))^2/(2*9.81)+B58+0.5*(((DATOS!$B$27*C58/(DATOS!$B$14*E58))^2/((DATOS!$B$14*E58)/(DATOS!$B$14+2*E58))^(4/3))+((DATOS!$B$27*C59/(DATOS!$B$14*((AF59+AG59)/2)))^2/((DATOS!$B$14*((AF59+AG59)/2))/(DATOS!$B$14+2*((AF59+AG59)/2)))^(4/3)))*(A58-A59)))&lt;0,AG59,((AF59+AG59)/2))</f>
        <v/>
      </c>
      <c r="AJ59" s="16">
        <f>IF((((AH59+AI59)/2)+(C59/(DATOS!$B$14*((AH59+AI59)/2)))^2/(2*9.81)+B59-(E58+(C58/(DATOS!$B$14*E58))^2/(2*9.81)+B58+0.5*(((DATOS!$B$27*C58/(DATOS!$B$14*E58))^2/((DATOS!$B$14*E58)/(DATOS!$B$14+2*E58))^(4/3))+((DATOS!$B$27*C59/(DATOS!$B$14*((AH59+AI59)/2)))^2/((DATOS!$B$14*((AH59+AI59)/2))/(DATOS!$B$14+2*((AH59+AI59)/2)))^(4/3)))*(A58-A59)))&lt;0,((AH59+AI59)/2),AH59)</f>
        <v/>
      </c>
      <c r="AK59" s="16">
        <f>IF((((AH59+AI59)/2)+(C59/(DATOS!$B$14*((AH59+AI59)/2)))^2/(2*9.81)+B59-(E58+(C58/(DATOS!$B$14*E58))^2/(2*9.81)+B58+0.5*(((DATOS!$B$27*C58/(DATOS!$B$14*E58))^2/((DATOS!$B$14*E58)/(DATOS!$B$14+2*E58))^(4/3))+((DATOS!$B$27*C59/(DATOS!$B$14*((AH59+AI59)/2)))^2/((DATOS!$B$14*((AH59+AI59)/2))/(DATOS!$B$14+2*((AH59+AI59)/2)))^(4/3)))*(A58-A59)))&lt;0,AI59,((AH59+AI59)/2))</f>
        <v/>
      </c>
      <c r="AL59" s="16">
        <f>IF((((AJ59+AK59)/2)+(C59/(DATOS!$B$14*((AJ59+AK59)/2)))^2/(2*9.81)+B59-(E58+(C58/(DATOS!$B$14*E58))^2/(2*9.81)+B58+0.5*(((DATOS!$B$27*C58/(DATOS!$B$14*E58))^2/((DATOS!$B$14*E58)/(DATOS!$B$14+2*E58))^(4/3))+((DATOS!$B$27*C59/(DATOS!$B$14*((AJ59+AK59)/2)))^2/((DATOS!$B$14*((AJ59+AK59)/2))/(DATOS!$B$14+2*((AJ59+AK59)/2)))^(4/3)))*(A58-A59)))&lt;0,((AJ59+AK59)/2),AJ59)</f>
        <v/>
      </c>
      <c r="AM59" s="16">
        <f>IF((((AJ59+AK59)/2)+(C59/(DATOS!$B$14*((AJ59+AK59)/2)))^2/(2*9.81)+B59-(E58+(C58/(DATOS!$B$14*E58))^2/(2*9.81)+B58+0.5*(((DATOS!$B$27*C58/(DATOS!$B$14*E58))^2/((DATOS!$B$14*E58)/(DATOS!$B$14+2*E58))^(4/3))+((DATOS!$B$27*C59/(DATOS!$B$14*((AJ59+AK59)/2)))^2/((DATOS!$B$14*((AJ59+AK59)/2))/(DATOS!$B$14+2*((AJ59+AK59)/2)))^(4/3)))*(A58-A59)))&lt;0,AK59,((AJ59+AK59)/2))</f>
        <v/>
      </c>
      <c r="AN59" s="16">
        <f>IF((((AL59+AM59)/2)+(C59/(DATOS!$B$14*((AL59+AM59)/2)))^2/(2*9.81)+B59-(E58+(C58/(DATOS!$B$14*E58))^2/(2*9.81)+B58+0.5*(((DATOS!$B$27*C58/(DATOS!$B$14*E58))^2/((DATOS!$B$14*E58)/(DATOS!$B$14+2*E58))^(4/3))+((DATOS!$B$27*C59/(DATOS!$B$14*((AL59+AM59)/2)))^2/((DATOS!$B$14*((AL59+AM59)/2))/(DATOS!$B$14+2*((AL59+AM59)/2)))^(4/3)))*(A58-A59)))&lt;0,((AL59+AM59)/2),AL59)</f>
        <v/>
      </c>
      <c r="AO59" s="16">
        <f>IF((((AL59+AM59)/2)+(C59/(DATOS!$B$14*((AL59+AM59)/2)))^2/(2*9.81)+B59-(E58+(C58/(DATOS!$B$14*E58))^2/(2*9.81)+B58+0.5*(((DATOS!$B$27*C58/(DATOS!$B$14*E58))^2/((DATOS!$B$14*E58)/(DATOS!$B$14+2*E58))^(4/3))+((DATOS!$B$27*C59/(DATOS!$B$14*((AL59+AM59)/2)))^2/((DATOS!$B$14*((AL59+AM59)/2))/(DATOS!$B$14+2*((AL59+AM59)/2)))^(4/3)))*(A58-A59)))&lt;0,AM59,((AL59+AM59)/2))</f>
        <v/>
      </c>
      <c r="AP59" s="16">
        <f>IF((((AN59+AO59)/2)+(C59/(DATOS!$B$14*((AN59+AO59)/2)))^2/(2*9.81)+B59-(E58+(C58/(DATOS!$B$14*E58))^2/(2*9.81)+B58+0.5*(((DATOS!$B$27*C58/(DATOS!$B$14*E58))^2/((DATOS!$B$14*E58)/(DATOS!$B$14+2*E58))^(4/3))+((DATOS!$B$27*C59/(DATOS!$B$14*((AN59+AO59)/2)))^2/((DATOS!$B$14*((AN59+AO59)/2))/(DATOS!$B$14+2*((AN59+AO59)/2)))^(4/3)))*(A58-A59)))&lt;0,((AN59+AO59)/2),AN59)</f>
        <v/>
      </c>
      <c r="AQ59" s="16">
        <f>IF((((AN59+AO59)/2)+(C59/(DATOS!$B$14*((AN59+AO59)/2)))^2/(2*9.81)+B59-(E58+(C58/(DATOS!$B$14*E58))^2/(2*9.81)+B58+0.5*(((DATOS!$B$27*C58/(DATOS!$B$14*E58))^2/((DATOS!$B$14*E58)/(DATOS!$B$14+2*E58))^(4/3))+((DATOS!$B$27*C59/(DATOS!$B$14*((AN59+AO59)/2)))^2/((DATOS!$B$14*((AN59+AO59)/2))/(DATOS!$B$14+2*((AN59+AO59)/2)))^(4/3)))*(A58-A59)))&lt;0,AO59,((AN59+AO59)/2))</f>
        <v/>
      </c>
      <c r="AR59" s="16">
        <f>IF((((AP59+AQ59)/2)+(C59/(DATOS!$B$14*((AP59+AQ59)/2)))^2/(2*9.81)+B59-(E58+(C58/(DATOS!$B$14*E58))^2/(2*9.81)+B58+0.5*(((DATOS!$B$27*C58/(DATOS!$B$14*E58))^2/((DATOS!$B$14*E58)/(DATOS!$B$14+2*E58))^(4/3))+((DATOS!$B$27*C59/(DATOS!$B$14*((AP59+AQ59)/2)))^2/((DATOS!$B$14*((AP59+AQ59)/2))/(DATOS!$B$14+2*((AP59+AQ59)/2)))^(4/3)))*(A58-A59)))&lt;0,((AP59+AQ59)/2),AP59)</f>
        <v/>
      </c>
      <c r="AS59" s="16">
        <f>IF((((AP59+AQ59)/2)+(C59/(DATOS!$B$14*((AP59+AQ59)/2)))^2/(2*9.81)+B59-(E58+(C58/(DATOS!$B$14*E58))^2/(2*9.81)+B58+0.5*(((DATOS!$B$27*C58/(DATOS!$B$14*E58))^2/((DATOS!$B$14*E58)/(DATOS!$B$14+2*E58))^(4/3))+((DATOS!$B$27*C59/(DATOS!$B$14*((AP59+AQ59)/2)))^2/((DATOS!$B$14*((AP59+AQ59)/2))/(DATOS!$B$14+2*((AP59+AQ59)/2)))^(4/3)))*(A58-A59)))&lt;0,AQ59,((AP59+AQ59)/2))</f>
        <v/>
      </c>
      <c r="AT59" s="16">
        <f>IF((((AR59+AS59)/2)+(C59/(DATOS!$B$14*((AR59+AS59)/2)))^2/(2*9.81)+B59-(E58+(C58/(DATOS!$B$14*E58))^2/(2*9.81)+B58+0.5*(((DATOS!$B$27*C58/(DATOS!$B$14*E58))^2/((DATOS!$B$14*E58)/(DATOS!$B$14+2*E58))^(4/3))+((DATOS!$B$27*C59/(DATOS!$B$14*((AR59+AS59)/2)))^2/((DATOS!$B$14*((AR59+AS59)/2))/(DATOS!$B$14+2*((AR59+AS59)/2)))^(4/3)))*(A58-A59)))&lt;0,((AR59+AS59)/2),AR59)</f>
        <v/>
      </c>
      <c r="AU59" s="16">
        <f>IF((((AR59+AS59)/2)+(C59/(DATOS!$B$14*((AR59+AS59)/2)))^2/(2*9.81)+B59-(E58+(C58/(DATOS!$B$14*E58))^2/(2*9.81)+B58+0.5*(((DATOS!$B$27*C58/(DATOS!$B$14*E58))^2/((DATOS!$B$14*E58)/(DATOS!$B$14+2*E58))^(4/3))+((DATOS!$B$27*C59/(DATOS!$B$14*((AR59+AS59)/2)))^2/((DATOS!$B$14*((AR59+AS59)/2))/(DATOS!$B$14+2*((AR59+AS59)/2)))^(4/3)))*(A58-A59)))&lt;0,AS59,((AR59+AS59)/2))</f>
        <v/>
      </c>
      <c r="AV59" s="16">
        <f>IF((((AT59+AU59)/2)+(C59/(DATOS!$B$14*((AT59+AU59)/2)))^2/(2*9.81)+B59-(E58+(C58/(DATOS!$B$14*E58))^2/(2*9.81)+B58+0.5*(((DATOS!$B$27*C58/(DATOS!$B$14*E58))^2/((DATOS!$B$14*E58)/(DATOS!$B$14+2*E58))^(4/3))+((DATOS!$B$27*C59/(DATOS!$B$14*((AT59+AU59)/2)))^2/((DATOS!$B$14*((AT59+AU59)/2))/(DATOS!$B$14+2*((AT59+AU59)/2)))^(4/3)))*(A58-A59)))&lt;0,((AT59+AU59)/2),AT59)</f>
        <v/>
      </c>
      <c r="AW59" s="16">
        <f>IF((((AT59+AU59)/2)+(C59/(DATOS!$B$14*((AT59+AU59)/2)))^2/(2*9.81)+B59-(E58+(C58/(DATOS!$B$14*E58))^2/(2*9.81)+B58+0.5*(((DATOS!$B$27*C58/(DATOS!$B$14*E58))^2/((DATOS!$B$14*E58)/(DATOS!$B$14+2*E58))^(4/3))+((DATOS!$B$27*C59/(DATOS!$B$14*((AT59+AU59)/2)))^2/((DATOS!$B$14*((AT59+AU59)/2))/(DATOS!$B$14+2*((AT59+AU59)/2)))^(4/3)))*(A58-A59)))&lt;0,AU59,((AT59+AU59)/2))</f>
        <v/>
      </c>
      <c r="AX59" s="16">
        <f>IF((((AV59+AW59)/2)+(C59/(DATOS!$B$14*((AV59+AW59)/2)))^2/(2*9.81)+B59-(E58+(C58/(DATOS!$B$14*E58))^2/(2*9.81)+B58+0.5*(((DATOS!$B$27*C58/(DATOS!$B$14*E58))^2/((DATOS!$B$14*E58)/(DATOS!$B$14+2*E58))^(4/3))+((DATOS!$B$27*C59/(DATOS!$B$14*((AV59+AW59)/2)))^2/((DATOS!$B$14*((AV59+AW59)/2))/(DATOS!$B$14+2*((AV59+AW59)/2)))^(4/3)))*(A58-A59)))&lt;0,((AV59+AW59)/2),AV59)</f>
        <v/>
      </c>
      <c r="AY59" s="16">
        <f>IF((((AV59+AW59)/2)+(C59/(DATOS!$B$14*((AV59+AW59)/2)))^2/(2*9.81)+B59-(E58+(C58/(DATOS!$B$14*E58))^2/(2*9.81)+B58+0.5*(((DATOS!$B$27*C58/(DATOS!$B$14*E58))^2/((DATOS!$B$14*E58)/(DATOS!$B$14+2*E58))^(4/3))+((DATOS!$B$27*C59/(DATOS!$B$14*((AV59+AW59)/2)))^2/((DATOS!$B$14*((AV59+AW59)/2))/(DATOS!$B$14+2*((AV59+AW59)/2)))^(4/3)))*(A58-A59)))&lt;0,AW59,((AV59+AW59)/2))</f>
        <v/>
      </c>
      <c r="AZ59" s="16">
        <f>IF((((AX59+AY59)/2)+(C59/(DATOS!$B$14*((AX59+AY59)/2)))^2/(2*9.81)+B59-(E58+(C58/(DATOS!$B$14*E58))^2/(2*9.81)+B58+0.5*(((DATOS!$B$27*C58/(DATOS!$B$14*E58))^2/((DATOS!$B$14*E58)/(DATOS!$B$14+2*E58))^(4/3))+((DATOS!$B$27*C59/(DATOS!$B$14*((AX59+AY59)/2)))^2/((DATOS!$B$14*((AX59+AY59)/2))/(DATOS!$B$14+2*((AX59+AY59)/2)))^(4/3)))*(A58-A59)))&lt;0,((AX59+AY59)/2),AX59)</f>
        <v/>
      </c>
      <c r="BA59" s="16">
        <f>IF((((AX59+AY59)/2)+(C59/(DATOS!$B$14*((AX59+AY59)/2)))^2/(2*9.81)+B59-(E58+(C58/(DATOS!$B$14*E58))^2/(2*9.81)+B58+0.5*(((DATOS!$B$27*C58/(DATOS!$B$14*E58))^2/((DATOS!$B$14*E58)/(DATOS!$B$14+2*E58))^(4/3))+((DATOS!$B$27*C59/(DATOS!$B$14*((AX59+AY59)/2)))^2/((DATOS!$B$14*((AX59+AY59)/2))/(DATOS!$B$14+2*((AX59+AY59)/2)))^(4/3)))*(A58-A59)))&lt;0,AY59,((AX59+AY59)/2))</f>
        <v/>
      </c>
      <c r="BB59" s="16">
        <f>IF((((AZ59+BA59)/2)+(C59/(DATOS!$B$14*((AZ59+BA59)/2)))^2/(2*9.81)+B59-(E58+(C58/(DATOS!$B$14*E58))^2/(2*9.81)+B58+0.5*(((DATOS!$B$27*C58/(DATOS!$B$14*E58))^2/((DATOS!$B$14*E58)/(DATOS!$B$14+2*E58))^(4/3))+((DATOS!$B$27*C59/(DATOS!$B$14*((AZ59+BA59)/2)))^2/((DATOS!$B$14*((AZ59+BA59)/2))/(DATOS!$B$14+2*((AZ59+BA59)/2)))^(4/3)))*(A58-A59)))&lt;0,((AZ59+BA59)/2),AZ59)</f>
        <v/>
      </c>
      <c r="BC59" s="16">
        <f>IF((((AZ59+BA59)/2)+(C59/(DATOS!$B$14*((AZ59+BA59)/2)))^2/(2*9.81)+B59-(E58+(C58/(DATOS!$B$14*E58))^2/(2*9.81)+B58+0.5*(((DATOS!$B$27*C58/(DATOS!$B$14*E58))^2/((DATOS!$B$14*E58)/(DATOS!$B$14+2*E58))^(4/3))+((DATOS!$B$27*C59/(DATOS!$B$14*((AZ59+BA59)/2)))^2/((DATOS!$B$14*((AZ59+BA59)/2))/(DATOS!$B$14+2*((AZ59+BA59)/2)))^(4/3)))*(A58-A59)))&lt;0,BA59,((AZ59+BA59)/2))</f>
        <v/>
      </c>
      <c r="BD59" s="16">
        <f>IF((((BB59+BC59)/2)+(C59/(DATOS!$B$14*((BB59+BC59)/2)))^2/(2*9.81)+B59-(E58+(C58/(DATOS!$B$14*E58))^2/(2*9.81)+B58+0.5*(((DATOS!$B$27*C58/(DATOS!$B$14*E58))^2/((DATOS!$B$14*E58)/(DATOS!$B$14+2*E58))^(4/3))+((DATOS!$B$27*C59/(DATOS!$B$14*((BB59+BC59)/2)))^2/((DATOS!$B$14*((BB59+BC59)/2))/(DATOS!$B$14+2*((BB59+BC59)/2)))^(4/3)))*(A58-A59)))&lt;0,((BB59+BC59)/2),BB59)</f>
        <v/>
      </c>
      <c r="BE59" s="16">
        <f>IF((((BB59+BC59)/2)+(C59/(DATOS!$B$14*((BB59+BC59)/2)))^2/(2*9.81)+B59-(E58+(C58/(DATOS!$B$14*E58))^2/(2*9.81)+B58+0.5*(((DATOS!$B$27*C58/(DATOS!$B$14*E58))^2/((DATOS!$B$14*E58)/(DATOS!$B$14+2*E58))^(4/3))+((DATOS!$B$27*C59/(DATOS!$B$14*((BB59+BC59)/2)))^2/((DATOS!$B$14*((BB59+BC59)/2))/(DATOS!$B$14+2*((BB59+BC59)/2)))^(4/3)))*(A58-A59)))&lt;0,BC59,((BB59+BC59)/2))</f>
        <v/>
      </c>
      <c r="BF59" s="16">
        <f>IF((((BD59+BE59)/2)+(C59/(DATOS!$B$14*((BD59+BE59)/2)))^2/(2*9.81)+B59-(E58+(C58/(DATOS!$B$14*E58))^2/(2*9.81)+B58+0.5*(((DATOS!$B$27*C58/(DATOS!$B$14*E58))^2/((DATOS!$B$14*E58)/(DATOS!$B$14+2*E58))^(4/3))+((DATOS!$B$27*C59/(DATOS!$B$14*((BD59+BE59)/2)))^2/((DATOS!$B$14*((BD59+BE59)/2))/(DATOS!$B$14+2*((BD59+BE59)/2)))^(4/3)))*(A58-A59)))&lt;0,((BD59+BE59)/2),BD59)</f>
        <v/>
      </c>
      <c r="BG59" s="16">
        <f>IF((((BD59+BE59)/2)+(C59/(DATOS!$B$14*((BD59+BE59)/2)))^2/(2*9.81)+B59-(E58+(C58/(DATOS!$B$14*E58))^2/(2*9.81)+B58+0.5*(((DATOS!$B$27*C58/(DATOS!$B$14*E58))^2/((DATOS!$B$14*E58)/(DATOS!$B$14+2*E58))^(4/3))+((DATOS!$B$27*C59/(DATOS!$B$14*((BD59+BE59)/2)))^2/((DATOS!$B$14*((BD59+BE59)/2))/(DATOS!$B$14+2*((BD59+BE59)/2)))^(4/3)))*(A58-A59)))&lt;0,BE59,((BD59+BE59)/2))</f>
        <v/>
      </c>
      <c r="BH59" s="16">
        <f>IF((((BF59+BG59)/2)+(C59/(DATOS!$B$14*((BF59+BG59)/2)))^2/(2*9.81)+B59-(E58+(C58/(DATOS!$B$14*E58))^2/(2*9.81)+B58+0.5*(((DATOS!$B$27*C58/(DATOS!$B$14*E58))^2/((DATOS!$B$14*E58)/(DATOS!$B$14+2*E58))^(4/3))+((DATOS!$B$27*C59/(DATOS!$B$14*((BF59+BG59)/2)))^2/((DATOS!$B$14*((BF59+BG59)/2))/(DATOS!$B$14+2*((BF59+BG59)/2)))^(4/3)))*(A58-A59)))&lt;0,((BF59+BG59)/2),BF59)</f>
        <v/>
      </c>
      <c r="BI59" s="16">
        <f>IF((((BF59+BG59)/2)+(C59/(DATOS!$B$14*((BF59+BG59)/2)))^2/(2*9.81)+B59-(E58+(C58/(DATOS!$B$14*E58))^2/(2*9.81)+B58+0.5*(((DATOS!$B$27*C58/(DATOS!$B$14*E58))^2/((DATOS!$B$14*E58)/(DATOS!$B$14+2*E58))^(4/3))+((DATOS!$B$27*C59/(DATOS!$B$14*((BF59+BG59)/2)))^2/((DATOS!$B$14*((BF59+BG59)/2))/(DATOS!$B$14+2*((BF59+BG59)/2)))^(4/3)))*(A58-A59)))&lt;0,BG59,((BF59+BG59)/2))</f>
        <v/>
      </c>
      <c r="BJ59" s="16">
        <f>IF((((BH59+BI59)/2)+(C59/(DATOS!$B$14*((BH59+BI59)/2)))^2/(2*9.81)+B59-(E58+(C58/(DATOS!$B$14*E58))^2/(2*9.81)+B58+0.5*(((DATOS!$B$27*C58/(DATOS!$B$14*E58))^2/((DATOS!$B$14*E58)/(DATOS!$B$14+2*E58))^(4/3))+((DATOS!$B$27*C59/(DATOS!$B$14*((BH59+BI59)/2)))^2/((DATOS!$B$14*((BH59+BI59)/2))/(DATOS!$B$14+2*((BH59+BI59)/2)))^(4/3)))*(A58-A59)))&lt;0,((BH59+BI59)/2),BH59)</f>
        <v/>
      </c>
      <c r="BK59" s="16">
        <f>IF((((BH59+BI59)/2)+(C59/(DATOS!$B$14*((BH59+BI59)/2)))^2/(2*9.81)+B59-(E58+(C58/(DATOS!$B$14*E58))^2/(2*9.81)+B58+0.5*(((DATOS!$B$27*C58/(DATOS!$B$14*E58))^2/((DATOS!$B$14*E58)/(DATOS!$B$14+2*E58))^(4/3))+((DATOS!$B$27*C59/(DATOS!$B$14*((BH59+BI59)/2)))^2/((DATOS!$B$14*((BH59+BI59)/2))/(DATOS!$B$14+2*((BH59+BI59)/2)))^(4/3)))*(A58-A59)))&lt;0,BI59,((BH59+BI59)/2))</f>
        <v/>
      </c>
      <c r="BL59" s="16">
        <f>IF((((BJ59+BK59)/2)+(C59/(DATOS!$B$14*((BJ59+BK59)/2)))^2/(2*9.81)+B59-(E58+(C58/(DATOS!$B$14*E58))^2/(2*9.81)+B58+0.5*(((DATOS!$B$27*C58/(DATOS!$B$14*E58))^2/((DATOS!$B$14*E58)/(DATOS!$B$14+2*E58))^(4/3))+((DATOS!$B$27*C59/(DATOS!$B$14*((BJ59+BK59)/2)))^2/((DATOS!$B$14*((BJ59+BK59)/2))/(DATOS!$B$14+2*((BJ59+BK59)/2)))^(4/3)))*(A58-A59)))&lt;0,((BJ59+BK59)/2),BJ59)</f>
        <v/>
      </c>
      <c r="BM59" s="16">
        <f>IF((((BJ59+BK59)/2)+(C59/(DATOS!$B$14*((BJ59+BK59)/2)))^2/(2*9.81)+B59-(E58+(C58/(DATOS!$B$14*E58))^2/(2*9.81)+B58+0.5*(((DATOS!$B$27*C58/(DATOS!$B$14*E58))^2/((DATOS!$B$14*E58)/(DATOS!$B$14+2*E58))^(4/3))+((DATOS!$B$27*C59/(DATOS!$B$14*((BJ59+BK59)/2)))^2/((DATOS!$B$14*((BJ59+BK59)/2))/(DATOS!$B$14+2*((BJ59+BK59)/2)))^(4/3)))*(A58-A59)))&lt;0,BK59,((BJ59+BK59)/2))</f>
        <v/>
      </c>
      <c r="BN59" s="16">
        <f>IF((((BL59+BM59)/2)+(C59/(DATOS!$B$14*((BL59+BM59)/2)))^2/(2*9.81)+B59-(E58+(C58/(DATOS!$B$14*E58))^2/(2*9.81)+B58+0.5*(((DATOS!$B$27*C58/(DATOS!$B$14*E58))^2/((DATOS!$B$14*E58)/(DATOS!$B$14+2*E58))^(4/3))+((DATOS!$B$27*C59/(DATOS!$B$14*((BL59+BM59)/2)))^2/((DATOS!$B$14*((BL59+BM59)/2))/(DATOS!$B$14+2*((BL59+BM59)/2)))^(4/3)))*(A58-A59)))&lt;0,((BL59+BM59)/2),BL59)</f>
        <v/>
      </c>
      <c r="BO59" s="16">
        <f>IF((((BL59+BM59)/2)+(C59/(DATOS!$B$14*((BL59+BM59)/2)))^2/(2*9.81)+B59-(E58+(C58/(DATOS!$B$14*E58))^2/(2*9.81)+B58+0.5*(((DATOS!$B$27*C58/(DATOS!$B$14*E58))^2/((DATOS!$B$14*E58)/(DATOS!$B$14+2*E58))^(4/3))+((DATOS!$B$27*C59/(DATOS!$B$14*((BL59+BM59)/2)))^2/((DATOS!$B$14*((BL59+BM59)/2))/(DATOS!$B$14+2*((BL59+BM59)/2)))^(4/3)))*(A58-A59)))&lt;0,BM59,((BL59+BM59)/2))</f>
        <v/>
      </c>
      <c r="BP59" s="16">
        <f>IF((((BN59+BO59)/2)+(C59/(DATOS!$B$14*((BN59+BO59)/2)))^2/(2*9.81)+B59-(E58+(C58/(DATOS!$B$14*E58))^2/(2*9.81)+B58+0.5*(((DATOS!$B$27*C58/(DATOS!$B$14*E58))^2/((DATOS!$B$14*E58)/(DATOS!$B$14+2*E58))^(4/3))+((DATOS!$B$27*C59/(DATOS!$B$14*((BN59+BO59)/2)))^2/((DATOS!$B$14*((BN59+BO59)/2))/(DATOS!$B$14+2*((BN59+BO59)/2)))^(4/3)))*(A58-A59)))&lt;0,((BN59+BO59)/2),BN59)</f>
        <v/>
      </c>
      <c r="BQ59" s="16">
        <f>IF((((BN59+BO59)/2)+(C59/(DATOS!$B$14*((BN59+BO59)/2)))^2/(2*9.81)+B59-(E58+(C58/(DATOS!$B$14*E58))^2/(2*9.81)+B58+0.5*(((DATOS!$B$27*C58/(DATOS!$B$14*E58))^2/((DATOS!$B$14*E58)/(DATOS!$B$14+2*E58))^(4/3))+((DATOS!$B$27*C59/(DATOS!$B$14*((BN59+BO59)/2)))^2/((DATOS!$B$14*((BN59+BO59)/2))/(DATOS!$B$14+2*((BN59+BO59)/2)))^(4/3)))*(A58-A59)))&lt;0,BO59,((BN59+BO59)/2))</f>
        <v/>
      </c>
      <c r="BR59" s="16">
        <f>IF((((BP59+BQ59)/2)+(C59/(DATOS!$B$14*((BP59+BQ59)/2)))^2/(2*9.81)+B59-(E58+(C58/(DATOS!$B$14*E58))^2/(2*9.81)+B58+0.5*(((DATOS!$B$27*C58/(DATOS!$B$14*E58))^2/((DATOS!$B$14*E58)/(DATOS!$B$14+2*E58))^(4/3))+((DATOS!$B$27*C59/(DATOS!$B$14*((BP59+BQ59)/2)))^2/((DATOS!$B$14*((BP59+BQ59)/2))/(DATOS!$B$14+2*((BP59+BQ59)/2)))^(4/3)))*(A58-A59)))&lt;0,((BP59+BQ59)/2),BP59)</f>
        <v/>
      </c>
      <c r="BS59" s="16">
        <f>IF((((BP59+BQ59)/2)+(C59/(DATOS!$B$14*((BP59+BQ59)/2)))^2/(2*9.81)+B59-(E58+(C58/(DATOS!$B$14*E58))^2/(2*9.81)+B58+0.5*(((DATOS!$B$27*C58/(DATOS!$B$14*E58))^2/((DATOS!$B$14*E58)/(DATOS!$B$14+2*E58))^(4/3))+((DATOS!$B$27*C59/(DATOS!$B$14*((BP59+BQ59)/2)))^2/((DATOS!$B$14*((BP59+BQ59)/2))/(DATOS!$B$14+2*((BP59+BQ59)/2)))^(4/3)))*(A58-A59)))&lt;0,BQ59,((BP59+BQ59)/2))</f>
        <v/>
      </c>
      <c r="BT59" s="16">
        <f>IF((((BR59+BS59)/2)+(C59/(DATOS!$B$14*((BR59+BS59)/2)))^2/(2*9.81)+B59-(E58+(C58/(DATOS!$B$14*E58))^2/(2*9.81)+B58+0.5*(((DATOS!$B$27*C58/(DATOS!$B$14*E58))^2/((DATOS!$B$14*E58)/(DATOS!$B$14+2*E58))^(4/3))+((DATOS!$B$27*C59/(DATOS!$B$14*((BR59+BS59)/2)))^2/((DATOS!$B$14*((BR59+BS59)/2))/(DATOS!$B$14+2*((BR59+BS59)/2)))^(4/3)))*(A58-A59)))&lt;0,((BR59+BS59)/2),BR59)</f>
        <v/>
      </c>
      <c r="BU59" s="16">
        <f>IF((((BR59+BS59)/2)+(C59/(DATOS!$B$14*((BR59+BS59)/2)))^2/(2*9.81)+B59-(E58+(C58/(DATOS!$B$14*E58))^2/(2*9.81)+B58+0.5*(((DATOS!$B$27*C58/(DATOS!$B$14*E58))^2/((DATOS!$B$14*E58)/(DATOS!$B$14+2*E58))^(4/3))+((DATOS!$B$27*C59/(DATOS!$B$14*((BR59+BS59)/2)))^2/((DATOS!$B$14*((BR59+BS59)/2))/(DATOS!$B$14+2*((BR59+BS59)/2)))^(4/3)))*(A58-A59)))&lt;0,BS59,((BR59+BS59)/2))</f>
        <v/>
      </c>
    </row>
    <row r="60">
      <c r="A60" s="30" t="n">
        <v>37.95</v>
      </c>
      <c r="B60" s="21">
        <f>DATOS!$B$16-DATOS!$B$19*A60</f>
        <v/>
      </c>
      <c r="C60" s="21">
        <f>IF(A60&lt;CAUDALES!$B$13,CAUDALES!$D$12,IF(A60&lt;CAUDALES!$B$14,CAUDALES!$D$13,IF(A60&lt;CAUDALES!$B$15,CAUDALES!$D$14,CAUDALES!$D$15)))/1000</f>
        <v/>
      </c>
      <c r="D60" s="21">
        <f>(C60^2/(9.81*DATOS!$B$14^2))^(1/3)</f>
        <v/>
      </c>
      <c r="E60" s="29">
        <f>(BT60+BU60)/2</f>
        <v/>
      </c>
      <c r="F60" s="21">
        <f>B60+E60</f>
        <v/>
      </c>
      <c r="G60" s="17">
        <f>C60/(DATOS!$B$14*E60)</f>
        <v/>
      </c>
      <c r="H60" s="17">
        <f>G60/SQRT(9.81*E60)</f>
        <v/>
      </c>
      <c r="I60" s="21">
        <f>IF(A60&lt;=DATOS!$B$20,DATOS!$B$21-IF(AND(A60&gt;=DATOS!$B$23,A60&lt;DATOS!$B$24),DATOS!$B$25,DATOS!$B$22),B60+DATOS!$B$26)</f>
        <v/>
      </c>
      <c r="J60" s="17">
        <f>I60-B60</f>
        <v/>
      </c>
      <c r="K60" s="31">
        <f>E60/J60</f>
        <v/>
      </c>
      <c r="L60" s="21">
        <f>I60-F60</f>
        <v/>
      </c>
      <c r="M60" s="32">
        <f>IF(AND(K60&lt;=DATOS!$B$29,L60&gt;=DATOS!$B$30),"CUMPLE","NO CUMPLE")</f>
        <v/>
      </c>
      <c r="N60" s="13">
        <f>IF(A60&gt;DATOS!$B$20,"cubierto - tramo final",IF(AND(A60&gt;=DATOS!$B$23,A60&lt;DATOS!$B$24),"cubierto - camiones","cubierto"))</f>
        <v/>
      </c>
      <c r="P60" s="16">
        <f>D60*1.001</f>
        <v/>
      </c>
      <c r="Q60" s="16" t="n">
        <v>2</v>
      </c>
      <c r="R60" s="16">
        <f>IF((((P60+Q60)/2)+(C60/(DATOS!$B$14*((P60+Q60)/2)))^2/(2*9.81)+B60-(E59+(C59/(DATOS!$B$14*E59))^2/(2*9.81)+B59+0.5*(((DATOS!$B$27*C59/(DATOS!$B$14*E59))^2/((DATOS!$B$14*E59)/(DATOS!$B$14+2*E59))^(4/3))+((DATOS!$B$27*C60/(DATOS!$B$14*((P60+Q60)/2)))^2/((DATOS!$B$14*((P60+Q60)/2))/(DATOS!$B$14+2*((P60+Q60)/2)))^(4/3)))*(A59-A60)))&lt;0,((P60+Q60)/2),P60)</f>
        <v/>
      </c>
      <c r="S60" s="16">
        <f>IF((((P60+Q60)/2)+(C60/(DATOS!$B$14*((P60+Q60)/2)))^2/(2*9.81)+B60-(E59+(C59/(DATOS!$B$14*E59))^2/(2*9.81)+B59+0.5*(((DATOS!$B$27*C59/(DATOS!$B$14*E59))^2/((DATOS!$B$14*E59)/(DATOS!$B$14+2*E59))^(4/3))+((DATOS!$B$27*C60/(DATOS!$B$14*((P60+Q60)/2)))^2/((DATOS!$B$14*((P60+Q60)/2))/(DATOS!$B$14+2*((P60+Q60)/2)))^(4/3)))*(A59-A60)))&lt;0,Q60,((P60+Q60)/2))</f>
        <v/>
      </c>
      <c r="T60" s="16">
        <f>IF((((R60+S60)/2)+(C60/(DATOS!$B$14*((R60+S60)/2)))^2/(2*9.81)+B60-(E59+(C59/(DATOS!$B$14*E59))^2/(2*9.81)+B59+0.5*(((DATOS!$B$27*C59/(DATOS!$B$14*E59))^2/((DATOS!$B$14*E59)/(DATOS!$B$14+2*E59))^(4/3))+((DATOS!$B$27*C60/(DATOS!$B$14*((R60+S60)/2)))^2/((DATOS!$B$14*((R60+S60)/2))/(DATOS!$B$14+2*((R60+S60)/2)))^(4/3)))*(A59-A60)))&lt;0,((R60+S60)/2),R60)</f>
        <v/>
      </c>
      <c r="U60" s="16">
        <f>IF((((R60+S60)/2)+(C60/(DATOS!$B$14*((R60+S60)/2)))^2/(2*9.81)+B60-(E59+(C59/(DATOS!$B$14*E59))^2/(2*9.81)+B59+0.5*(((DATOS!$B$27*C59/(DATOS!$B$14*E59))^2/((DATOS!$B$14*E59)/(DATOS!$B$14+2*E59))^(4/3))+((DATOS!$B$27*C60/(DATOS!$B$14*((R60+S60)/2)))^2/((DATOS!$B$14*((R60+S60)/2))/(DATOS!$B$14+2*((R60+S60)/2)))^(4/3)))*(A59-A60)))&lt;0,S60,((R60+S60)/2))</f>
        <v/>
      </c>
      <c r="V60" s="16">
        <f>IF((((T60+U60)/2)+(C60/(DATOS!$B$14*((T60+U60)/2)))^2/(2*9.81)+B60-(E59+(C59/(DATOS!$B$14*E59))^2/(2*9.81)+B59+0.5*(((DATOS!$B$27*C59/(DATOS!$B$14*E59))^2/((DATOS!$B$14*E59)/(DATOS!$B$14+2*E59))^(4/3))+((DATOS!$B$27*C60/(DATOS!$B$14*((T60+U60)/2)))^2/((DATOS!$B$14*((T60+U60)/2))/(DATOS!$B$14+2*((T60+U60)/2)))^(4/3)))*(A59-A60)))&lt;0,((T60+U60)/2),T60)</f>
        <v/>
      </c>
      <c r="W60" s="16">
        <f>IF((((T60+U60)/2)+(C60/(DATOS!$B$14*((T60+U60)/2)))^2/(2*9.81)+B60-(E59+(C59/(DATOS!$B$14*E59))^2/(2*9.81)+B59+0.5*(((DATOS!$B$27*C59/(DATOS!$B$14*E59))^2/((DATOS!$B$14*E59)/(DATOS!$B$14+2*E59))^(4/3))+((DATOS!$B$27*C60/(DATOS!$B$14*((T60+U60)/2)))^2/((DATOS!$B$14*((T60+U60)/2))/(DATOS!$B$14+2*((T60+U60)/2)))^(4/3)))*(A59-A60)))&lt;0,U60,((T60+U60)/2))</f>
        <v/>
      </c>
      <c r="X60" s="16">
        <f>IF((((V60+W60)/2)+(C60/(DATOS!$B$14*((V60+W60)/2)))^2/(2*9.81)+B60-(E59+(C59/(DATOS!$B$14*E59))^2/(2*9.81)+B59+0.5*(((DATOS!$B$27*C59/(DATOS!$B$14*E59))^2/((DATOS!$B$14*E59)/(DATOS!$B$14+2*E59))^(4/3))+((DATOS!$B$27*C60/(DATOS!$B$14*((V60+W60)/2)))^2/((DATOS!$B$14*((V60+W60)/2))/(DATOS!$B$14+2*((V60+W60)/2)))^(4/3)))*(A59-A60)))&lt;0,((V60+W60)/2),V60)</f>
        <v/>
      </c>
      <c r="Y60" s="16">
        <f>IF((((V60+W60)/2)+(C60/(DATOS!$B$14*((V60+W60)/2)))^2/(2*9.81)+B60-(E59+(C59/(DATOS!$B$14*E59))^2/(2*9.81)+B59+0.5*(((DATOS!$B$27*C59/(DATOS!$B$14*E59))^2/((DATOS!$B$14*E59)/(DATOS!$B$14+2*E59))^(4/3))+((DATOS!$B$27*C60/(DATOS!$B$14*((V60+W60)/2)))^2/((DATOS!$B$14*((V60+W60)/2))/(DATOS!$B$14+2*((V60+W60)/2)))^(4/3)))*(A59-A60)))&lt;0,W60,((V60+W60)/2))</f>
        <v/>
      </c>
      <c r="Z60" s="16">
        <f>IF((((X60+Y60)/2)+(C60/(DATOS!$B$14*((X60+Y60)/2)))^2/(2*9.81)+B60-(E59+(C59/(DATOS!$B$14*E59))^2/(2*9.81)+B59+0.5*(((DATOS!$B$27*C59/(DATOS!$B$14*E59))^2/((DATOS!$B$14*E59)/(DATOS!$B$14+2*E59))^(4/3))+((DATOS!$B$27*C60/(DATOS!$B$14*((X60+Y60)/2)))^2/((DATOS!$B$14*((X60+Y60)/2))/(DATOS!$B$14+2*((X60+Y60)/2)))^(4/3)))*(A59-A60)))&lt;0,((X60+Y60)/2),X60)</f>
        <v/>
      </c>
      <c r="AA60" s="16">
        <f>IF((((X60+Y60)/2)+(C60/(DATOS!$B$14*((X60+Y60)/2)))^2/(2*9.81)+B60-(E59+(C59/(DATOS!$B$14*E59))^2/(2*9.81)+B59+0.5*(((DATOS!$B$27*C59/(DATOS!$B$14*E59))^2/((DATOS!$B$14*E59)/(DATOS!$B$14+2*E59))^(4/3))+((DATOS!$B$27*C60/(DATOS!$B$14*((X60+Y60)/2)))^2/((DATOS!$B$14*((X60+Y60)/2))/(DATOS!$B$14+2*((X60+Y60)/2)))^(4/3)))*(A59-A60)))&lt;0,Y60,((X60+Y60)/2))</f>
        <v/>
      </c>
      <c r="AB60" s="16">
        <f>IF((((Z60+AA60)/2)+(C60/(DATOS!$B$14*((Z60+AA60)/2)))^2/(2*9.81)+B60-(E59+(C59/(DATOS!$B$14*E59))^2/(2*9.81)+B59+0.5*(((DATOS!$B$27*C59/(DATOS!$B$14*E59))^2/((DATOS!$B$14*E59)/(DATOS!$B$14+2*E59))^(4/3))+((DATOS!$B$27*C60/(DATOS!$B$14*((Z60+AA60)/2)))^2/((DATOS!$B$14*((Z60+AA60)/2))/(DATOS!$B$14+2*((Z60+AA60)/2)))^(4/3)))*(A59-A60)))&lt;0,((Z60+AA60)/2),Z60)</f>
        <v/>
      </c>
      <c r="AC60" s="16">
        <f>IF((((Z60+AA60)/2)+(C60/(DATOS!$B$14*((Z60+AA60)/2)))^2/(2*9.81)+B60-(E59+(C59/(DATOS!$B$14*E59))^2/(2*9.81)+B59+0.5*(((DATOS!$B$27*C59/(DATOS!$B$14*E59))^2/((DATOS!$B$14*E59)/(DATOS!$B$14+2*E59))^(4/3))+((DATOS!$B$27*C60/(DATOS!$B$14*((Z60+AA60)/2)))^2/((DATOS!$B$14*((Z60+AA60)/2))/(DATOS!$B$14+2*((Z60+AA60)/2)))^(4/3)))*(A59-A60)))&lt;0,AA60,((Z60+AA60)/2))</f>
        <v/>
      </c>
      <c r="AD60" s="16">
        <f>IF((((AB60+AC60)/2)+(C60/(DATOS!$B$14*((AB60+AC60)/2)))^2/(2*9.81)+B60-(E59+(C59/(DATOS!$B$14*E59))^2/(2*9.81)+B59+0.5*(((DATOS!$B$27*C59/(DATOS!$B$14*E59))^2/((DATOS!$B$14*E59)/(DATOS!$B$14+2*E59))^(4/3))+((DATOS!$B$27*C60/(DATOS!$B$14*((AB60+AC60)/2)))^2/((DATOS!$B$14*((AB60+AC60)/2))/(DATOS!$B$14+2*((AB60+AC60)/2)))^(4/3)))*(A59-A60)))&lt;0,((AB60+AC60)/2),AB60)</f>
        <v/>
      </c>
      <c r="AE60" s="16">
        <f>IF((((AB60+AC60)/2)+(C60/(DATOS!$B$14*((AB60+AC60)/2)))^2/(2*9.81)+B60-(E59+(C59/(DATOS!$B$14*E59))^2/(2*9.81)+B59+0.5*(((DATOS!$B$27*C59/(DATOS!$B$14*E59))^2/((DATOS!$B$14*E59)/(DATOS!$B$14+2*E59))^(4/3))+((DATOS!$B$27*C60/(DATOS!$B$14*((AB60+AC60)/2)))^2/((DATOS!$B$14*((AB60+AC60)/2))/(DATOS!$B$14+2*((AB60+AC60)/2)))^(4/3)))*(A59-A60)))&lt;0,AC60,((AB60+AC60)/2))</f>
        <v/>
      </c>
      <c r="AF60" s="16">
        <f>IF((((AD60+AE60)/2)+(C60/(DATOS!$B$14*((AD60+AE60)/2)))^2/(2*9.81)+B60-(E59+(C59/(DATOS!$B$14*E59))^2/(2*9.81)+B59+0.5*(((DATOS!$B$27*C59/(DATOS!$B$14*E59))^2/((DATOS!$B$14*E59)/(DATOS!$B$14+2*E59))^(4/3))+((DATOS!$B$27*C60/(DATOS!$B$14*((AD60+AE60)/2)))^2/((DATOS!$B$14*((AD60+AE60)/2))/(DATOS!$B$14+2*((AD60+AE60)/2)))^(4/3)))*(A59-A60)))&lt;0,((AD60+AE60)/2),AD60)</f>
        <v/>
      </c>
      <c r="AG60" s="16">
        <f>IF((((AD60+AE60)/2)+(C60/(DATOS!$B$14*((AD60+AE60)/2)))^2/(2*9.81)+B60-(E59+(C59/(DATOS!$B$14*E59))^2/(2*9.81)+B59+0.5*(((DATOS!$B$27*C59/(DATOS!$B$14*E59))^2/((DATOS!$B$14*E59)/(DATOS!$B$14+2*E59))^(4/3))+((DATOS!$B$27*C60/(DATOS!$B$14*((AD60+AE60)/2)))^2/((DATOS!$B$14*((AD60+AE60)/2))/(DATOS!$B$14+2*((AD60+AE60)/2)))^(4/3)))*(A59-A60)))&lt;0,AE60,((AD60+AE60)/2))</f>
        <v/>
      </c>
      <c r="AH60" s="16">
        <f>IF((((AF60+AG60)/2)+(C60/(DATOS!$B$14*((AF60+AG60)/2)))^2/(2*9.81)+B60-(E59+(C59/(DATOS!$B$14*E59))^2/(2*9.81)+B59+0.5*(((DATOS!$B$27*C59/(DATOS!$B$14*E59))^2/((DATOS!$B$14*E59)/(DATOS!$B$14+2*E59))^(4/3))+((DATOS!$B$27*C60/(DATOS!$B$14*((AF60+AG60)/2)))^2/((DATOS!$B$14*((AF60+AG60)/2))/(DATOS!$B$14+2*((AF60+AG60)/2)))^(4/3)))*(A59-A60)))&lt;0,((AF60+AG60)/2),AF60)</f>
        <v/>
      </c>
      <c r="AI60" s="16">
        <f>IF((((AF60+AG60)/2)+(C60/(DATOS!$B$14*((AF60+AG60)/2)))^2/(2*9.81)+B60-(E59+(C59/(DATOS!$B$14*E59))^2/(2*9.81)+B59+0.5*(((DATOS!$B$27*C59/(DATOS!$B$14*E59))^2/((DATOS!$B$14*E59)/(DATOS!$B$14+2*E59))^(4/3))+((DATOS!$B$27*C60/(DATOS!$B$14*((AF60+AG60)/2)))^2/((DATOS!$B$14*((AF60+AG60)/2))/(DATOS!$B$14+2*((AF60+AG60)/2)))^(4/3)))*(A59-A60)))&lt;0,AG60,((AF60+AG60)/2))</f>
        <v/>
      </c>
      <c r="AJ60" s="16">
        <f>IF((((AH60+AI60)/2)+(C60/(DATOS!$B$14*((AH60+AI60)/2)))^2/(2*9.81)+B60-(E59+(C59/(DATOS!$B$14*E59))^2/(2*9.81)+B59+0.5*(((DATOS!$B$27*C59/(DATOS!$B$14*E59))^2/((DATOS!$B$14*E59)/(DATOS!$B$14+2*E59))^(4/3))+((DATOS!$B$27*C60/(DATOS!$B$14*((AH60+AI60)/2)))^2/((DATOS!$B$14*((AH60+AI60)/2))/(DATOS!$B$14+2*((AH60+AI60)/2)))^(4/3)))*(A59-A60)))&lt;0,((AH60+AI60)/2),AH60)</f>
        <v/>
      </c>
      <c r="AK60" s="16">
        <f>IF((((AH60+AI60)/2)+(C60/(DATOS!$B$14*((AH60+AI60)/2)))^2/(2*9.81)+B60-(E59+(C59/(DATOS!$B$14*E59))^2/(2*9.81)+B59+0.5*(((DATOS!$B$27*C59/(DATOS!$B$14*E59))^2/((DATOS!$B$14*E59)/(DATOS!$B$14+2*E59))^(4/3))+((DATOS!$B$27*C60/(DATOS!$B$14*((AH60+AI60)/2)))^2/((DATOS!$B$14*((AH60+AI60)/2))/(DATOS!$B$14+2*((AH60+AI60)/2)))^(4/3)))*(A59-A60)))&lt;0,AI60,((AH60+AI60)/2))</f>
        <v/>
      </c>
      <c r="AL60" s="16">
        <f>IF((((AJ60+AK60)/2)+(C60/(DATOS!$B$14*((AJ60+AK60)/2)))^2/(2*9.81)+B60-(E59+(C59/(DATOS!$B$14*E59))^2/(2*9.81)+B59+0.5*(((DATOS!$B$27*C59/(DATOS!$B$14*E59))^2/((DATOS!$B$14*E59)/(DATOS!$B$14+2*E59))^(4/3))+((DATOS!$B$27*C60/(DATOS!$B$14*((AJ60+AK60)/2)))^2/((DATOS!$B$14*((AJ60+AK60)/2))/(DATOS!$B$14+2*((AJ60+AK60)/2)))^(4/3)))*(A59-A60)))&lt;0,((AJ60+AK60)/2),AJ60)</f>
        <v/>
      </c>
      <c r="AM60" s="16">
        <f>IF((((AJ60+AK60)/2)+(C60/(DATOS!$B$14*((AJ60+AK60)/2)))^2/(2*9.81)+B60-(E59+(C59/(DATOS!$B$14*E59))^2/(2*9.81)+B59+0.5*(((DATOS!$B$27*C59/(DATOS!$B$14*E59))^2/((DATOS!$B$14*E59)/(DATOS!$B$14+2*E59))^(4/3))+((DATOS!$B$27*C60/(DATOS!$B$14*((AJ60+AK60)/2)))^2/((DATOS!$B$14*((AJ60+AK60)/2))/(DATOS!$B$14+2*((AJ60+AK60)/2)))^(4/3)))*(A59-A60)))&lt;0,AK60,((AJ60+AK60)/2))</f>
        <v/>
      </c>
      <c r="AN60" s="16">
        <f>IF((((AL60+AM60)/2)+(C60/(DATOS!$B$14*((AL60+AM60)/2)))^2/(2*9.81)+B60-(E59+(C59/(DATOS!$B$14*E59))^2/(2*9.81)+B59+0.5*(((DATOS!$B$27*C59/(DATOS!$B$14*E59))^2/((DATOS!$B$14*E59)/(DATOS!$B$14+2*E59))^(4/3))+((DATOS!$B$27*C60/(DATOS!$B$14*((AL60+AM60)/2)))^2/((DATOS!$B$14*((AL60+AM60)/2))/(DATOS!$B$14+2*((AL60+AM60)/2)))^(4/3)))*(A59-A60)))&lt;0,((AL60+AM60)/2),AL60)</f>
        <v/>
      </c>
      <c r="AO60" s="16">
        <f>IF((((AL60+AM60)/2)+(C60/(DATOS!$B$14*((AL60+AM60)/2)))^2/(2*9.81)+B60-(E59+(C59/(DATOS!$B$14*E59))^2/(2*9.81)+B59+0.5*(((DATOS!$B$27*C59/(DATOS!$B$14*E59))^2/((DATOS!$B$14*E59)/(DATOS!$B$14+2*E59))^(4/3))+((DATOS!$B$27*C60/(DATOS!$B$14*((AL60+AM60)/2)))^2/((DATOS!$B$14*((AL60+AM60)/2))/(DATOS!$B$14+2*((AL60+AM60)/2)))^(4/3)))*(A59-A60)))&lt;0,AM60,((AL60+AM60)/2))</f>
        <v/>
      </c>
      <c r="AP60" s="16">
        <f>IF((((AN60+AO60)/2)+(C60/(DATOS!$B$14*((AN60+AO60)/2)))^2/(2*9.81)+B60-(E59+(C59/(DATOS!$B$14*E59))^2/(2*9.81)+B59+0.5*(((DATOS!$B$27*C59/(DATOS!$B$14*E59))^2/((DATOS!$B$14*E59)/(DATOS!$B$14+2*E59))^(4/3))+((DATOS!$B$27*C60/(DATOS!$B$14*((AN60+AO60)/2)))^2/((DATOS!$B$14*((AN60+AO60)/2))/(DATOS!$B$14+2*((AN60+AO60)/2)))^(4/3)))*(A59-A60)))&lt;0,((AN60+AO60)/2),AN60)</f>
        <v/>
      </c>
      <c r="AQ60" s="16">
        <f>IF((((AN60+AO60)/2)+(C60/(DATOS!$B$14*((AN60+AO60)/2)))^2/(2*9.81)+B60-(E59+(C59/(DATOS!$B$14*E59))^2/(2*9.81)+B59+0.5*(((DATOS!$B$27*C59/(DATOS!$B$14*E59))^2/((DATOS!$B$14*E59)/(DATOS!$B$14+2*E59))^(4/3))+((DATOS!$B$27*C60/(DATOS!$B$14*((AN60+AO60)/2)))^2/((DATOS!$B$14*((AN60+AO60)/2))/(DATOS!$B$14+2*((AN60+AO60)/2)))^(4/3)))*(A59-A60)))&lt;0,AO60,((AN60+AO60)/2))</f>
        <v/>
      </c>
      <c r="AR60" s="16">
        <f>IF((((AP60+AQ60)/2)+(C60/(DATOS!$B$14*((AP60+AQ60)/2)))^2/(2*9.81)+B60-(E59+(C59/(DATOS!$B$14*E59))^2/(2*9.81)+B59+0.5*(((DATOS!$B$27*C59/(DATOS!$B$14*E59))^2/((DATOS!$B$14*E59)/(DATOS!$B$14+2*E59))^(4/3))+((DATOS!$B$27*C60/(DATOS!$B$14*((AP60+AQ60)/2)))^2/((DATOS!$B$14*((AP60+AQ60)/2))/(DATOS!$B$14+2*((AP60+AQ60)/2)))^(4/3)))*(A59-A60)))&lt;0,((AP60+AQ60)/2),AP60)</f>
        <v/>
      </c>
      <c r="AS60" s="16">
        <f>IF((((AP60+AQ60)/2)+(C60/(DATOS!$B$14*((AP60+AQ60)/2)))^2/(2*9.81)+B60-(E59+(C59/(DATOS!$B$14*E59))^2/(2*9.81)+B59+0.5*(((DATOS!$B$27*C59/(DATOS!$B$14*E59))^2/((DATOS!$B$14*E59)/(DATOS!$B$14+2*E59))^(4/3))+((DATOS!$B$27*C60/(DATOS!$B$14*((AP60+AQ60)/2)))^2/((DATOS!$B$14*((AP60+AQ60)/2))/(DATOS!$B$14+2*((AP60+AQ60)/2)))^(4/3)))*(A59-A60)))&lt;0,AQ60,((AP60+AQ60)/2))</f>
        <v/>
      </c>
      <c r="AT60" s="16">
        <f>IF((((AR60+AS60)/2)+(C60/(DATOS!$B$14*((AR60+AS60)/2)))^2/(2*9.81)+B60-(E59+(C59/(DATOS!$B$14*E59))^2/(2*9.81)+B59+0.5*(((DATOS!$B$27*C59/(DATOS!$B$14*E59))^2/((DATOS!$B$14*E59)/(DATOS!$B$14+2*E59))^(4/3))+((DATOS!$B$27*C60/(DATOS!$B$14*((AR60+AS60)/2)))^2/((DATOS!$B$14*((AR60+AS60)/2))/(DATOS!$B$14+2*((AR60+AS60)/2)))^(4/3)))*(A59-A60)))&lt;0,((AR60+AS60)/2),AR60)</f>
        <v/>
      </c>
      <c r="AU60" s="16">
        <f>IF((((AR60+AS60)/2)+(C60/(DATOS!$B$14*((AR60+AS60)/2)))^2/(2*9.81)+B60-(E59+(C59/(DATOS!$B$14*E59))^2/(2*9.81)+B59+0.5*(((DATOS!$B$27*C59/(DATOS!$B$14*E59))^2/((DATOS!$B$14*E59)/(DATOS!$B$14+2*E59))^(4/3))+((DATOS!$B$27*C60/(DATOS!$B$14*((AR60+AS60)/2)))^2/((DATOS!$B$14*((AR60+AS60)/2))/(DATOS!$B$14+2*((AR60+AS60)/2)))^(4/3)))*(A59-A60)))&lt;0,AS60,((AR60+AS60)/2))</f>
        <v/>
      </c>
      <c r="AV60" s="16">
        <f>IF((((AT60+AU60)/2)+(C60/(DATOS!$B$14*((AT60+AU60)/2)))^2/(2*9.81)+B60-(E59+(C59/(DATOS!$B$14*E59))^2/(2*9.81)+B59+0.5*(((DATOS!$B$27*C59/(DATOS!$B$14*E59))^2/((DATOS!$B$14*E59)/(DATOS!$B$14+2*E59))^(4/3))+((DATOS!$B$27*C60/(DATOS!$B$14*((AT60+AU60)/2)))^2/((DATOS!$B$14*((AT60+AU60)/2))/(DATOS!$B$14+2*((AT60+AU60)/2)))^(4/3)))*(A59-A60)))&lt;0,((AT60+AU60)/2),AT60)</f>
        <v/>
      </c>
      <c r="AW60" s="16">
        <f>IF((((AT60+AU60)/2)+(C60/(DATOS!$B$14*((AT60+AU60)/2)))^2/(2*9.81)+B60-(E59+(C59/(DATOS!$B$14*E59))^2/(2*9.81)+B59+0.5*(((DATOS!$B$27*C59/(DATOS!$B$14*E59))^2/((DATOS!$B$14*E59)/(DATOS!$B$14+2*E59))^(4/3))+((DATOS!$B$27*C60/(DATOS!$B$14*((AT60+AU60)/2)))^2/((DATOS!$B$14*((AT60+AU60)/2))/(DATOS!$B$14+2*((AT60+AU60)/2)))^(4/3)))*(A59-A60)))&lt;0,AU60,((AT60+AU60)/2))</f>
        <v/>
      </c>
      <c r="AX60" s="16">
        <f>IF((((AV60+AW60)/2)+(C60/(DATOS!$B$14*((AV60+AW60)/2)))^2/(2*9.81)+B60-(E59+(C59/(DATOS!$B$14*E59))^2/(2*9.81)+B59+0.5*(((DATOS!$B$27*C59/(DATOS!$B$14*E59))^2/((DATOS!$B$14*E59)/(DATOS!$B$14+2*E59))^(4/3))+((DATOS!$B$27*C60/(DATOS!$B$14*((AV60+AW60)/2)))^2/((DATOS!$B$14*((AV60+AW60)/2))/(DATOS!$B$14+2*((AV60+AW60)/2)))^(4/3)))*(A59-A60)))&lt;0,((AV60+AW60)/2),AV60)</f>
        <v/>
      </c>
      <c r="AY60" s="16">
        <f>IF((((AV60+AW60)/2)+(C60/(DATOS!$B$14*((AV60+AW60)/2)))^2/(2*9.81)+B60-(E59+(C59/(DATOS!$B$14*E59))^2/(2*9.81)+B59+0.5*(((DATOS!$B$27*C59/(DATOS!$B$14*E59))^2/((DATOS!$B$14*E59)/(DATOS!$B$14+2*E59))^(4/3))+((DATOS!$B$27*C60/(DATOS!$B$14*((AV60+AW60)/2)))^2/((DATOS!$B$14*((AV60+AW60)/2))/(DATOS!$B$14+2*((AV60+AW60)/2)))^(4/3)))*(A59-A60)))&lt;0,AW60,((AV60+AW60)/2))</f>
        <v/>
      </c>
      <c r="AZ60" s="16">
        <f>IF((((AX60+AY60)/2)+(C60/(DATOS!$B$14*((AX60+AY60)/2)))^2/(2*9.81)+B60-(E59+(C59/(DATOS!$B$14*E59))^2/(2*9.81)+B59+0.5*(((DATOS!$B$27*C59/(DATOS!$B$14*E59))^2/((DATOS!$B$14*E59)/(DATOS!$B$14+2*E59))^(4/3))+((DATOS!$B$27*C60/(DATOS!$B$14*((AX60+AY60)/2)))^2/((DATOS!$B$14*((AX60+AY60)/2))/(DATOS!$B$14+2*((AX60+AY60)/2)))^(4/3)))*(A59-A60)))&lt;0,((AX60+AY60)/2),AX60)</f>
        <v/>
      </c>
      <c r="BA60" s="16">
        <f>IF((((AX60+AY60)/2)+(C60/(DATOS!$B$14*((AX60+AY60)/2)))^2/(2*9.81)+B60-(E59+(C59/(DATOS!$B$14*E59))^2/(2*9.81)+B59+0.5*(((DATOS!$B$27*C59/(DATOS!$B$14*E59))^2/((DATOS!$B$14*E59)/(DATOS!$B$14+2*E59))^(4/3))+((DATOS!$B$27*C60/(DATOS!$B$14*((AX60+AY60)/2)))^2/((DATOS!$B$14*((AX60+AY60)/2))/(DATOS!$B$14+2*((AX60+AY60)/2)))^(4/3)))*(A59-A60)))&lt;0,AY60,((AX60+AY60)/2))</f>
        <v/>
      </c>
      <c r="BB60" s="16">
        <f>IF((((AZ60+BA60)/2)+(C60/(DATOS!$B$14*((AZ60+BA60)/2)))^2/(2*9.81)+B60-(E59+(C59/(DATOS!$B$14*E59))^2/(2*9.81)+B59+0.5*(((DATOS!$B$27*C59/(DATOS!$B$14*E59))^2/((DATOS!$B$14*E59)/(DATOS!$B$14+2*E59))^(4/3))+((DATOS!$B$27*C60/(DATOS!$B$14*((AZ60+BA60)/2)))^2/((DATOS!$B$14*((AZ60+BA60)/2))/(DATOS!$B$14+2*((AZ60+BA60)/2)))^(4/3)))*(A59-A60)))&lt;0,((AZ60+BA60)/2),AZ60)</f>
        <v/>
      </c>
      <c r="BC60" s="16">
        <f>IF((((AZ60+BA60)/2)+(C60/(DATOS!$B$14*((AZ60+BA60)/2)))^2/(2*9.81)+B60-(E59+(C59/(DATOS!$B$14*E59))^2/(2*9.81)+B59+0.5*(((DATOS!$B$27*C59/(DATOS!$B$14*E59))^2/((DATOS!$B$14*E59)/(DATOS!$B$14+2*E59))^(4/3))+((DATOS!$B$27*C60/(DATOS!$B$14*((AZ60+BA60)/2)))^2/((DATOS!$B$14*((AZ60+BA60)/2))/(DATOS!$B$14+2*((AZ60+BA60)/2)))^(4/3)))*(A59-A60)))&lt;0,BA60,((AZ60+BA60)/2))</f>
        <v/>
      </c>
      <c r="BD60" s="16">
        <f>IF((((BB60+BC60)/2)+(C60/(DATOS!$B$14*((BB60+BC60)/2)))^2/(2*9.81)+B60-(E59+(C59/(DATOS!$B$14*E59))^2/(2*9.81)+B59+0.5*(((DATOS!$B$27*C59/(DATOS!$B$14*E59))^2/((DATOS!$B$14*E59)/(DATOS!$B$14+2*E59))^(4/3))+((DATOS!$B$27*C60/(DATOS!$B$14*((BB60+BC60)/2)))^2/((DATOS!$B$14*((BB60+BC60)/2))/(DATOS!$B$14+2*((BB60+BC60)/2)))^(4/3)))*(A59-A60)))&lt;0,((BB60+BC60)/2),BB60)</f>
        <v/>
      </c>
      <c r="BE60" s="16">
        <f>IF((((BB60+BC60)/2)+(C60/(DATOS!$B$14*((BB60+BC60)/2)))^2/(2*9.81)+B60-(E59+(C59/(DATOS!$B$14*E59))^2/(2*9.81)+B59+0.5*(((DATOS!$B$27*C59/(DATOS!$B$14*E59))^2/((DATOS!$B$14*E59)/(DATOS!$B$14+2*E59))^(4/3))+((DATOS!$B$27*C60/(DATOS!$B$14*((BB60+BC60)/2)))^2/((DATOS!$B$14*((BB60+BC60)/2))/(DATOS!$B$14+2*((BB60+BC60)/2)))^(4/3)))*(A59-A60)))&lt;0,BC60,((BB60+BC60)/2))</f>
        <v/>
      </c>
      <c r="BF60" s="16">
        <f>IF((((BD60+BE60)/2)+(C60/(DATOS!$B$14*((BD60+BE60)/2)))^2/(2*9.81)+B60-(E59+(C59/(DATOS!$B$14*E59))^2/(2*9.81)+B59+0.5*(((DATOS!$B$27*C59/(DATOS!$B$14*E59))^2/((DATOS!$B$14*E59)/(DATOS!$B$14+2*E59))^(4/3))+((DATOS!$B$27*C60/(DATOS!$B$14*((BD60+BE60)/2)))^2/((DATOS!$B$14*((BD60+BE60)/2))/(DATOS!$B$14+2*((BD60+BE60)/2)))^(4/3)))*(A59-A60)))&lt;0,((BD60+BE60)/2),BD60)</f>
        <v/>
      </c>
      <c r="BG60" s="16">
        <f>IF((((BD60+BE60)/2)+(C60/(DATOS!$B$14*((BD60+BE60)/2)))^2/(2*9.81)+B60-(E59+(C59/(DATOS!$B$14*E59))^2/(2*9.81)+B59+0.5*(((DATOS!$B$27*C59/(DATOS!$B$14*E59))^2/((DATOS!$B$14*E59)/(DATOS!$B$14+2*E59))^(4/3))+((DATOS!$B$27*C60/(DATOS!$B$14*((BD60+BE60)/2)))^2/((DATOS!$B$14*((BD60+BE60)/2))/(DATOS!$B$14+2*((BD60+BE60)/2)))^(4/3)))*(A59-A60)))&lt;0,BE60,((BD60+BE60)/2))</f>
        <v/>
      </c>
      <c r="BH60" s="16">
        <f>IF((((BF60+BG60)/2)+(C60/(DATOS!$B$14*((BF60+BG60)/2)))^2/(2*9.81)+B60-(E59+(C59/(DATOS!$B$14*E59))^2/(2*9.81)+B59+0.5*(((DATOS!$B$27*C59/(DATOS!$B$14*E59))^2/((DATOS!$B$14*E59)/(DATOS!$B$14+2*E59))^(4/3))+((DATOS!$B$27*C60/(DATOS!$B$14*((BF60+BG60)/2)))^2/((DATOS!$B$14*((BF60+BG60)/2))/(DATOS!$B$14+2*((BF60+BG60)/2)))^(4/3)))*(A59-A60)))&lt;0,((BF60+BG60)/2),BF60)</f>
        <v/>
      </c>
      <c r="BI60" s="16">
        <f>IF((((BF60+BG60)/2)+(C60/(DATOS!$B$14*((BF60+BG60)/2)))^2/(2*9.81)+B60-(E59+(C59/(DATOS!$B$14*E59))^2/(2*9.81)+B59+0.5*(((DATOS!$B$27*C59/(DATOS!$B$14*E59))^2/((DATOS!$B$14*E59)/(DATOS!$B$14+2*E59))^(4/3))+((DATOS!$B$27*C60/(DATOS!$B$14*((BF60+BG60)/2)))^2/((DATOS!$B$14*((BF60+BG60)/2))/(DATOS!$B$14+2*((BF60+BG60)/2)))^(4/3)))*(A59-A60)))&lt;0,BG60,((BF60+BG60)/2))</f>
        <v/>
      </c>
      <c r="BJ60" s="16">
        <f>IF((((BH60+BI60)/2)+(C60/(DATOS!$B$14*((BH60+BI60)/2)))^2/(2*9.81)+B60-(E59+(C59/(DATOS!$B$14*E59))^2/(2*9.81)+B59+0.5*(((DATOS!$B$27*C59/(DATOS!$B$14*E59))^2/((DATOS!$B$14*E59)/(DATOS!$B$14+2*E59))^(4/3))+((DATOS!$B$27*C60/(DATOS!$B$14*((BH60+BI60)/2)))^2/((DATOS!$B$14*((BH60+BI60)/2))/(DATOS!$B$14+2*((BH60+BI60)/2)))^(4/3)))*(A59-A60)))&lt;0,((BH60+BI60)/2),BH60)</f>
        <v/>
      </c>
      <c r="BK60" s="16">
        <f>IF((((BH60+BI60)/2)+(C60/(DATOS!$B$14*((BH60+BI60)/2)))^2/(2*9.81)+B60-(E59+(C59/(DATOS!$B$14*E59))^2/(2*9.81)+B59+0.5*(((DATOS!$B$27*C59/(DATOS!$B$14*E59))^2/((DATOS!$B$14*E59)/(DATOS!$B$14+2*E59))^(4/3))+((DATOS!$B$27*C60/(DATOS!$B$14*((BH60+BI60)/2)))^2/((DATOS!$B$14*((BH60+BI60)/2))/(DATOS!$B$14+2*((BH60+BI60)/2)))^(4/3)))*(A59-A60)))&lt;0,BI60,((BH60+BI60)/2))</f>
        <v/>
      </c>
      <c r="BL60" s="16">
        <f>IF((((BJ60+BK60)/2)+(C60/(DATOS!$B$14*((BJ60+BK60)/2)))^2/(2*9.81)+B60-(E59+(C59/(DATOS!$B$14*E59))^2/(2*9.81)+B59+0.5*(((DATOS!$B$27*C59/(DATOS!$B$14*E59))^2/((DATOS!$B$14*E59)/(DATOS!$B$14+2*E59))^(4/3))+((DATOS!$B$27*C60/(DATOS!$B$14*((BJ60+BK60)/2)))^2/((DATOS!$B$14*((BJ60+BK60)/2))/(DATOS!$B$14+2*((BJ60+BK60)/2)))^(4/3)))*(A59-A60)))&lt;0,((BJ60+BK60)/2),BJ60)</f>
        <v/>
      </c>
      <c r="BM60" s="16">
        <f>IF((((BJ60+BK60)/2)+(C60/(DATOS!$B$14*((BJ60+BK60)/2)))^2/(2*9.81)+B60-(E59+(C59/(DATOS!$B$14*E59))^2/(2*9.81)+B59+0.5*(((DATOS!$B$27*C59/(DATOS!$B$14*E59))^2/((DATOS!$B$14*E59)/(DATOS!$B$14+2*E59))^(4/3))+((DATOS!$B$27*C60/(DATOS!$B$14*((BJ60+BK60)/2)))^2/((DATOS!$B$14*((BJ60+BK60)/2))/(DATOS!$B$14+2*((BJ60+BK60)/2)))^(4/3)))*(A59-A60)))&lt;0,BK60,((BJ60+BK60)/2))</f>
        <v/>
      </c>
      <c r="BN60" s="16">
        <f>IF((((BL60+BM60)/2)+(C60/(DATOS!$B$14*((BL60+BM60)/2)))^2/(2*9.81)+B60-(E59+(C59/(DATOS!$B$14*E59))^2/(2*9.81)+B59+0.5*(((DATOS!$B$27*C59/(DATOS!$B$14*E59))^2/((DATOS!$B$14*E59)/(DATOS!$B$14+2*E59))^(4/3))+((DATOS!$B$27*C60/(DATOS!$B$14*((BL60+BM60)/2)))^2/((DATOS!$B$14*((BL60+BM60)/2))/(DATOS!$B$14+2*((BL60+BM60)/2)))^(4/3)))*(A59-A60)))&lt;0,((BL60+BM60)/2),BL60)</f>
        <v/>
      </c>
      <c r="BO60" s="16">
        <f>IF((((BL60+BM60)/2)+(C60/(DATOS!$B$14*((BL60+BM60)/2)))^2/(2*9.81)+B60-(E59+(C59/(DATOS!$B$14*E59))^2/(2*9.81)+B59+0.5*(((DATOS!$B$27*C59/(DATOS!$B$14*E59))^2/((DATOS!$B$14*E59)/(DATOS!$B$14+2*E59))^(4/3))+((DATOS!$B$27*C60/(DATOS!$B$14*((BL60+BM60)/2)))^2/((DATOS!$B$14*((BL60+BM60)/2))/(DATOS!$B$14+2*((BL60+BM60)/2)))^(4/3)))*(A59-A60)))&lt;0,BM60,((BL60+BM60)/2))</f>
        <v/>
      </c>
      <c r="BP60" s="16">
        <f>IF((((BN60+BO60)/2)+(C60/(DATOS!$B$14*((BN60+BO60)/2)))^2/(2*9.81)+B60-(E59+(C59/(DATOS!$B$14*E59))^2/(2*9.81)+B59+0.5*(((DATOS!$B$27*C59/(DATOS!$B$14*E59))^2/((DATOS!$B$14*E59)/(DATOS!$B$14+2*E59))^(4/3))+((DATOS!$B$27*C60/(DATOS!$B$14*((BN60+BO60)/2)))^2/((DATOS!$B$14*((BN60+BO60)/2))/(DATOS!$B$14+2*((BN60+BO60)/2)))^(4/3)))*(A59-A60)))&lt;0,((BN60+BO60)/2),BN60)</f>
        <v/>
      </c>
      <c r="BQ60" s="16">
        <f>IF((((BN60+BO60)/2)+(C60/(DATOS!$B$14*((BN60+BO60)/2)))^2/(2*9.81)+B60-(E59+(C59/(DATOS!$B$14*E59))^2/(2*9.81)+B59+0.5*(((DATOS!$B$27*C59/(DATOS!$B$14*E59))^2/((DATOS!$B$14*E59)/(DATOS!$B$14+2*E59))^(4/3))+((DATOS!$B$27*C60/(DATOS!$B$14*((BN60+BO60)/2)))^2/((DATOS!$B$14*((BN60+BO60)/2))/(DATOS!$B$14+2*((BN60+BO60)/2)))^(4/3)))*(A59-A60)))&lt;0,BO60,((BN60+BO60)/2))</f>
        <v/>
      </c>
      <c r="BR60" s="16">
        <f>IF((((BP60+BQ60)/2)+(C60/(DATOS!$B$14*((BP60+BQ60)/2)))^2/(2*9.81)+B60-(E59+(C59/(DATOS!$B$14*E59))^2/(2*9.81)+B59+0.5*(((DATOS!$B$27*C59/(DATOS!$B$14*E59))^2/((DATOS!$B$14*E59)/(DATOS!$B$14+2*E59))^(4/3))+((DATOS!$B$27*C60/(DATOS!$B$14*((BP60+BQ60)/2)))^2/((DATOS!$B$14*((BP60+BQ60)/2))/(DATOS!$B$14+2*((BP60+BQ60)/2)))^(4/3)))*(A59-A60)))&lt;0,((BP60+BQ60)/2),BP60)</f>
        <v/>
      </c>
      <c r="BS60" s="16">
        <f>IF((((BP60+BQ60)/2)+(C60/(DATOS!$B$14*((BP60+BQ60)/2)))^2/(2*9.81)+B60-(E59+(C59/(DATOS!$B$14*E59))^2/(2*9.81)+B59+0.5*(((DATOS!$B$27*C59/(DATOS!$B$14*E59))^2/((DATOS!$B$14*E59)/(DATOS!$B$14+2*E59))^(4/3))+((DATOS!$B$27*C60/(DATOS!$B$14*((BP60+BQ60)/2)))^2/((DATOS!$B$14*((BP60+BQ60)/2))/(DATOS!$B$14+2*((BP60+BQ60)/2)))^(4/3)))*(A59-A60)))&lt;0,BQ60,((BP60+BQ60)/2))</f>
        <v/>
      </c>
      <c r="BT60" s="16">
        <f>IF((((BR60+BS60)/2)+(C60/(DATOS!$B$14*((BR60+BS60)/2)))^2/(2*9.81)+B60-(E59+(C59/(DATOS!$B$14*E59))^2/(2*9.81)+B59+0.5*(((DATOS!$B$27*C59/(DATOS!$B$14*E59))^2/((DATOS!$B$14*E59)/(DATOS!$B$14+2*E59))^(4/3))+((DATOS!$B$27*C60/(DATOS!$B$14*((BR60+BS60)/2)))^2/((DATOS!$B$14*((BR60+BS60)/2))/(DATOS!$B$14+2*((BR60+BS60)/2)))^(4/3)))*(A59-A60)))&lt;0,((BR60+BS60)/2),BR60)</f>
        <v/>
      </c>
      <c r="BU60" s="16">
        <f>IF((((BR60+BS60)/2)+(C60/(DATOS!$B$14*((BR60+BS60)/2)))^2/(2*9.81)+B60-(E59+(C59/(DATOS!$B$14*E59))^2/(2*9.81)+B59+0.5*(((DATOS!$B$27*C59/(DATOS!$B$14*E59))^2/((DATOS!$B$14*E59)/(DATOS!$B$14+2*E59))^(4/3))+((DATOS!$B$27*C60/(DATOS!$B$14*((BR60+BS60)/2)))^2/((DATOS!$B$14*((BR60+BS60)/2))/(DATOS!$B$14+2*((BR60+BS60)/2)))^(4/3)))*(A59-A60)))&lt;0,BS60,((BR60+BS60)/2))</f>
        <v/>
      </c>
    </row>
    <row r="61">
      <c r="A61" s="30" t="n">
        <v>36</v>
      </c>
      <c r="B61" s="21">
        <f>DATOS!$B$16-DATOS!$B$19*A61</f>
        <v/>
      </c>
      <c r="C61" s="21">
        <f>IF(A61&lt;CAUDALES!$B$13,CAUDALES!$D$12,IF(A61&lt;CAUDALES!$B$14,CAUDALES!$D$13,IF(A61&lt;CAUDALES!$B$15,CAUDALES!$D$14,CAUDALES!$D$15)))/1000</f>
        <v/>
      </c>
      <c r="D61" s="21">
        <f>(C61^2/(9.81*DATOS!$B$14^2))^(1/3)</f>
        <v/>
      </c>
      <c r="E61" s="29">
        <f>(BT61+BU61)/2</f>
        <v/>
      </c>
      <c r="F61" s="21">
        <f>B61+E61</f>
        <v/>
      </c>
      <c r="G61" s="17">
        <f>C61/(DATOS!$B$14*E61)</f>
        <v/>
      </c>
      <c r="H61" s="17">
        <f>G61/SQRT(9.81*E61)</f>
        <v/>
      </c>
      <c r="I61" s="21">
        <f>IF(A61&lt;=DATOS!$B$20,DATOS!$B$21-IF(AND(A61&gt;=DATOS!$B$23,A61&lt;DATOS!$B$24),DATOS!$B$25,DATOS!$B$22),B61+DATOS!$B$26)</f>
        <v/>
      </c>
      <c r="J61" s="17">
        <f>I61-B61</f>
        <v/>
      </c>
      <c r="K61" s="31">
        <f>E61/J61</f>
        <v/>
      </c>
      <c r="L61" s="21">
        <f>I61-F61</f>
        <v/>
      </c>
      <c r="M61" s="32">
        <f>IF(AND(K61&lt;=DATOS!$B$29,L61&gt;=DATOS!$B$30),"CUMPLE","NO CUMPLE")</f>
        <v/>
      </c>
      <c r="N61" s="13">
        <f>IF(A61&gt;DATOS!$B$20,"cubierto - tramo final",IF(AND(A61&gt;=DATOS!$B$23,A61&lt;DATOS!$B$24),"cubierto - camiones","cubierto"))</f>
        <v/>
      </c>
      <c r="P61" s="16">
        <f>D61*1.001</f>
        <v/>
      </c>
      <c r="Q61" s="16" t="n">
        <v>2</v>
      </c>
      <c r="R61" s="16">
        <f>IF((((P61+Q61)/2)+(C61/(DATOS!$B$14*((P61+Q61)/2)))^2/(2*9.81)+B61-(E60+(C60/(DATOS!$B$14*E60))^2/(2*9.81)+B60+0.5*(((DATOS!$B$27*C60/(DATOS!$B$14*E60))^2/((DATOS!$B$14*E60)/(DATOS!$B$14+2*E60))^(4/3))+((DATOS!$B$27*C61/(DATOS!$B$14*((P61+Q61)/2)))^2/((DATOS!$B$14*((P61+Q61)/2))/(DATOS!$B$14+2*((P61+Q61)/2)))^(4/3)))*(A60-A61)))&lt;0,((P61+Q61)/2),P61)</f>
        <v/>
      </c>
      <c r="S61" s="16">
        <f>IF((((P61+Q61)/2)+(C61/(DATOS!$B$14*((P61+Q61)/2)))^2/(2*9.81)+B61-(E60+(C60/(DATOS!$B$14*E60))^2/(2*9.81)+B60+0.5*(((DATOS!$B$27*C60/(DATOS!$B$14*E60))^2/((DATOS!$B$14*E60)/(DATOS!$B$14+2*E60))^(4/3))+((DATOS!$B$27*C61/(DATOS!$B$14*((P61+Q61)/2)))^2/((DATOS!$B$14*((P61+Q61)/2))/(DATOS!$B$14+2*((P61+Q61)/2)))^(4/3)))*(A60-A61)))&lt;0,Q61,((P61+Q61)/2))</f>
        <v/>
      </c>
      <c r="T61" s="16">
        <f>IF((((R61+S61)/2)+(C61/(DATOS!$B$14*((R61+S61)/2)))^2/(2*9.81)+B61-(E60+(C60/(DATOS!$B$14*E60))^2/(2*9.81)+B60+0.5*(((DATOS!$B$27*C60/(DATOS!$B$14*E60))^2/((DATOS!$B$14*E60)/(DATOS!$B$14+2*E60))^(4/3))+((DATOS!$B$27*C61/(DATOS!$B$14*((R61+S61)/2)))^2/((DATOS!$B$14*((R61+S61)/2))/(DATOS!$B$14+2*((R61+S61)/2)))^(4/3)))*(A60-A61)))&lt;0,((R61+S61)/2),R61)</f>
        <v/>
      </c>
      <c r="U61" s="16">
        <f>IF((((R61+S61)/2)+(C61/(DATOS!$B$14*((R61+S61)/2)))^2/(2*9.81)+B61-(E60+(C60/(DATOS!$B$14*E60))^2/(2*9.81)+B60+0.5*(((DATOS!$B$27*C60/(DATOS!$B$14*E60))^2/((DATOS!$B$14*E60)/(DATOS!$B$14+2*E60))^(4/3))+((DATOS!$B$27*C61/(DATOS!$B$14*((R61+S61)/2)))^2/((DATOS!$B$14*((R61+S61)/2))/(DATOS!$B$14+2*((R61+S61)/2)))^(4/3)))*(A60-A61)))&lt;0,S61,((R61+S61)/2))</f>
        <v/>
      </c>
      <c r="V61" s="16">
        <f>IF((((T61+U61)/2)+(C61/(DATOS!$B$14*((T61+U61)/2)))^2/(2*9.81)+B61-(E60+(C60/(DATOS!$B$14*E60))^2/(2*9.81)+B60+0.5*(((DATOS!$B$27*C60/(DATOS!$B$14*E60))^2/((DATOS!$B$14*E60)/(DATOS!$B$14+2*E60))^(4/3))+((DATOS!$B$27*C61/(DATOS!$B$14*((T61+U61)/2)))^2/((DATOS!$B$14*((T61+U61)/2))/(DATOS!$B$14+2*((T61+U61)/2)))^(4/3)))*(A60-A61)))&lt;0,((T61+U61)/2),T61)</f>
        <v/>
      </c>
      <c r="W61" s="16">
        <f>IF((((T61+U61)/2)+(C61/(DATOS!$B$14*((T61+U61)/2)))^2/(2*9.81)+B61-(E60+(C60/(DATOS!$B$14*E60))^2/(2*9.81)+B60+0.5*(((DATOS!$B$27*C60/(DATOS!$B$14*E60))^2/((DATOS!$B$14*E60)/(DATOS!$B$14+2*E60))^(4/3))+((DATOS!$B$27*C61/(DATOS!$B$14*((T61+U61)/2)))^2/((DATOS!$B$14*((T61+U61)/2))/(DATOS!$B$14+2*((T61+U61)/2)))^(4/3)))*(A60-A61)))&lt;0,U61,((T61+U61)/2))</f>
        <v/>
      </c>
      <c r="X61" s="16">
        <f>IF((((V61+W61)/2)+(C61/(DATOS!$B$14*((V61+W61)/2)))^2/(2*9.81)+B61-(E60+(C60/(DATOS!$B$14*E60))^2/(2*9.81)+B60+0.5*(((DATOS!$B$27*C60/(DATOS!$B$14*E60))^2/((DATOS!$B$14*E60)/(DATOS!$B$14+2*E60))^(4/3))+((DATOS!$B$27*C61/(DATOS!$B$14*((V61+W61)/2)))^2/((DATOS!$B$14*((V61+W61)/2))/(DATOS!$B$14+2*((V61+W61)/2)))^(4/3)))*(A60-A61)))&lt;0,((V61+W61)/2),V61)</f>
        <v/>
      </c>
      <c r="Y61" s="16">
        <f>IF((((V61+W61)/2)+(C61/(DATOS!$B$14*((V61+W61)/2)))^2/(2*9.81)+B61-(E60+(C60/(DATOS!$B$14*E60))^2/(2*9.81)+B60+0.5*(((DATOS!$B$27*C60/(DATOS!$B$14*E60))^2/((DATOS!$B$14*E60)/(DATOS!$B$14+2*E60))^(4/3))+((DATOS!$B$27*C61/(DATOS!$B$14*((V61+W61)/2)))^2/((DATOS!$B$14*((V61+W61)/2))/(DATOS!$B$14+2*((V61+W61)/2)))^(4/3)))*(A60-A61)))&lt;0,W61,((V61+W61)/2))</f>
        <v/>
      </c>
      <c r="Z61" s="16">
        <f>IF((((X61+Y61)/2)+(C61/(DATOS!$B$14*((X61+Y61)/2)))^2/(2*9.81)+B61-(E60+(C60/(DATOS!$B$14*E60))^2/(2*9.81)+B60+0.5*(((DATOS!$B$27*C60/(DATOS!$B$14*E60))^2/((DATOS!$B$14*E60)/(DATOS!$B$14+2*E60))^(4/3))+((DATOS!$B$27*C61/(DATOS!$B$14*((X61+Y61)/2)))^2/((DATOS!$B$14*((X61+Y61)/2))/(DATOS!$B$14+2*((X61+Y61)/2)))^(4/3)))*(A60-A61)))&lt;0,((X61+Y61)/2),X61)</f>
        <v/>
      </c>
      <c r="AA61" s="16">
        <f>IF((((X61+Y61)/2)+(C61/(DATOS!$B$14*((X61+Y61)/2)))^2/(2*9.81)+B61-(E60+(C60/(DATOS!$B$14*E60))^2/(2*9.81)+B60+0.5*(((DATOS!$B$27*C60/(DATOS!$B$14*E60))^2/((DATOS!$B$14*E60)/(DATOS!$B$14+2*E60))^(4/3))+((DATOS!$B$27*C61/(DATOS!$B$14*((X61+Y61)/2)))^2/((DATOS!$B$14*((X61+Y61)/2))/(DATOS!$B$14+2*((X61+Y61)/2)))^(4/3)))*(A60-A61)))&lt;0,Y61,((X61+Y61)/2))</f>
        <v/>
      </c>
      <c r="AB61" s="16">
        <f>IF((((Z61+AA61)/2)+(C61/(DATOS!$B$14*((Z61+AA61)/2)))^2/(2*9.81)+B61-(E60+(C60/(DATOS!$B$14*E60))^2/(2*9.81)+B60+0.5*(((DATOS!$B$27*C60/(DATOS!$B$14*E60))^2/((DATOS!$B$14*E60)/(DATOS!$B$14+2*E60))^(4/3))+((DATOS!$B$27*C61/(DATOS!$B$14*((Z61+AA61)/2)))^2/((DATOS!$B$14*((Z61+AA61)/2))/(DATOS!$B$14+2*((Z61+AA61)/2)))^(4/3)))*(A60-A61)))&lt;0,((Z61+AA61)/2),Z61)</f>
        <v/>
      </c>
      <c r="AC61" s="16">
        <f>IF((((Z61+AA61)/2)+(C61/(DATOS!$B$14*((Z61+AA61)/2)))^2/(2*9.81)+B61-(E60+(C60/(DATOS!$B$14*E60))^2/(2*9.81)+B60+0.5*(((DATOS!$B$27*C60/(DATOS!$B$14*E60))^2/((DATOS!$B$14*E60)/(DATOS!$B$14+2*E60))^(4/3))+((DATOS!$B$27*C61/(DATOS!$B$14*((Z61+AA61)/2)))^2/((DATOS!$B$14*((Z61+AA61)/2))/(DATOS!$B$14+2*((Z61+AA61)/2)))^(4/3)))*(A60-A61)))&lt;0,AA61,((Z61+AA61)/2))</f>
        <v/>
      </c>
      <c r="AD61" s="16">
        <f>IF((((AB61+AC61)/2)+(C61/(DATOS!$B$14*((AB61+AC61)/2)))^2/(2*9.81)+B61-(E60+(C60/(DATOS!$B$14*E60))^2/(2*9.81)+B60+0.5*(((DATOS!$B$27*C60/(DATOS!$B$14*E60))^2/((DATOS!$B$14*E60)/(DATOS!$B$14+2*E60))^(4/3))+((DATOS!$B$27*C61/(DATOS!$B$14*((AB61+AC61)/2)))^2/((DATOS!$B$14*((AB61+AC61)/2))/(DATOS!$B$14+2*((AB61+AC61)/2)))^(4/3)))*(A60-A61)))&lt;0,((AB61+AC61)/2),AB61)</f>
        <v/>
      </c>
      <c r="AE61" s="16">
        <f>IF((((AB61+AC61)/2)+(C61/(DATOS!$B$14*((AB61+AC61)/2)))^2/(2*9.81)+B61-(E60+(C60/(DATOS!$B$14*E60))^2/(2*9.81)+B60+0.5*(((DATOS!$B$27*C60/(DATOS!$B$14*E60))^2/((DATOS!$B$14*E60)/(DATOS!$B$14+2*E60))^(4/3))+((DATOS!$B$27*C61/(DATOS!$B$14*((AB61+AC61)/2)))^2/((DATOS!$B$14*((AB61+AC61)/2))/(DATOS!$B$14+2*((AB61+AC61)/2)))^(4/3)))*(A60-A61)))&lt;0,AC61,((AB61+AC61)/2))</f>
        <v/>
      </c>
      <c r="AF61" s="16">
        <f>IF((((AD61+AE61)/2)+(C61/(DATOS!$B$14*((AD61+AE61)/2)))^2/(2*9.81)+B61-(E60+(C60/(DATOS!$B$14*E60))^2/(2*9.81)+B60+0.5*(((DATOS!$B$27*C60/(DATOS!$B$14*E60))^2/((DATOS!$B$14*E60)/(DATOS!$B$14+2*E60))^(4/3))+((DATOS!$B$27*C61/(DATOS!$B$14*((AD61+AE61)/2)))^2/((DATOS!$B$14*((AD61+AE61)/2))/(DATOS!$B$14+2*((AD61+AE61)/2)))^(4/3)))*(A60-A61)))&lt;0,((AD61+AE61)/2),AD61)</f>
        <v/>
      </c>
      <c r="AG61" s="16">
        <f>IF((((AD61+AE61)/2)+(C61/(DATOS!$B$14*((AD61+AE61)/2)))^2/(2*9.81)+B61-(E60+(C60/(DATOS!$B$14*E60))^2/(2*9.81)+B60+0.5*(((DATOS!$B$27*C60/(DATOS!$B$14*E60))^2/((DATOS!$B$14*E60)/(DATOS!$B$14+2*E60))^(4/3))+((DATOS!$B$27*C61/(DATOS!$B$14*((AD61+AE61)/2)))^2/((DATOS!$B$14*((AD61+AE61)/2))/(DATOS!$B$14+2*((AD61+AE61)/2)))^(4/3)))*(A60-A61)))&lt;0,AE61,((AD61+AE61)/2))</f>
        <v/>
      </c>
      <c r="AH61" s="16">
        <f>IF((((AF61+AG61)/2)+(C61/(DATOS!$B$14*((AF61+AG61)/2)))^2/(2*9.81)+B61-(E60+(C60/(DATOS!$B$14*E60))^2/(2*9.81)+B60+0.5*(((DATOS!$B$27*C60/(DATOS!$B$14*E60))^2/((DATOS!$B$14*E60)/(DATOS!$B$14+2*E60))^(4/3))+((DATOS!$B$27*C61/(DATOS!$B$14*((AF61+AG61)/2)))^2/((DATOS!$B$14*((AF61+AG61)/2))/(DATOS!$B$14+2*((AF61+AG61)/2)))^(4/3)))*(A60-A61)))&lt;0,((AF61+AG61)/2),AF61)</f>
        <v/>
      </c>
      <c r="AI61" s="16">
        <f>IF((((AF61+AG61)/2)+(C61/(DATOS!$B$14*((AF61+AG61)/2)))^2/(2*9.81)+B61-(E60+(C60/(DATOS!$B$14*E60))^2/(2*9.81)+B60+0.5*(((DATOS!$B$27*C60/(DATOS!$B$14*E60))^2/((DATOS!$B$14*E60)/(DATOS!$B$14+2*E60))^(4/3))+((DATOS!$B$27*C61/(DATOS!$B$14*((AF61+AG61)/2)))^2/((DATOS!$B$14*((AF61+AG61)/2))/(DATOS!$B$14+2*((AF61+AG61)/2)))^(4/3)))*(A60-A61)))&lt;0,AG61,((AF61+AG61)/2))</f>
        <v/>
      </c>
      <c r="AJ61" s="16">
        <f>IF((((AH61+AI61)/2)+(C61/(DATOS!$B$14*((AH61+AI61)/2)))^2/(2*9.81)+B61-(E60+(C60/(DATOS!$B$14*E60))^2/(2*9.81)+B60+0.5*(((DATOS!$B$27*C60/(DATOS!$B$14*E60))^2/((DATOS!$B$14*E60)/(DATOS!$B$14+2*E60))^(4/3))+((DATOS!$B$27*C61/(DATOS!$B$14*((AH61+AI61)/2)))^2/((DATOS!$B$14*((AH61+AI61)/2))/(DATOS!$B$14+2*((AH61+AI61)/2)))^(4/3)))*(A60-A61)))&lt;0,((AH61+AI61)/2),AH61)</f>
        <v/>
      </c>
      <c r="AK61" s="16">
        <f>IF((((AH61+AI61)/2)+(C61/(DATOS!$B$14*((AH61+AI61)/2)))^2/(2*9.81)+B61-(E60+(C60/(DATOS!$B$14*E60))^2/(2*9.81)+B60+0.5*(((DATOS!$B$27*C60/(DATOS!$B$14*E60))^2/((DATOS!$B$14*E60)/(DATOS!$B$14+2*E60))^(4/3))+((DATOS!$B$27*C61/(DATOS!$B$14*((AH61+AI61)/2)))^2/((DATOS!$B$14*((AH61+AI61)/2))/(DATOS!$B$14+2*((AH61+AI61)/2)))^(4/3)))*(A60-A61)))&lt;0,AI61,((AH61+AI61)/2))</f>
        <v/>
      </c>
      <c r="AL61" s="16">
        <f>IF((((AJ61+AK61)/2)+(C61/(DATOS!$B$14*((AJ61+AK61)/2)))^2/(2*9.81)+B61-(E60+(C60/(DATOS!$B$14*E60))^2/(2*9.81)+B60+0.5*(((DATOS!$B$27*C60/(DATOS!$B$14*E60))^2/((DATOS!$B$14*E60)/(DATOS!$B$14+2*E60))^(4/3))+((DATOS!$B$27*C61/(DATOS!$B$14*((AJ61+AK61)/2)))^2/((DATOS!$B$14*((AJ61+AK61)/2))/(DATOS!$B$14+2*((AJ61+AK61)/2)))^(4/3)))*(A60-A61)))&lt;0,((AJ61+AK61)/2),AJ61)</f>
        <v/>
      </c>
      <c r="AM61" s="16">
        <f>IF((((AJ61+AK61)/2)+(C61/(DATOS!$B$14*((AJ61+AK61)/2)))^2/(2*9.81)+B61-(E60+(C60/(DATOS!$B$14*E60))^2/(2*9.81)+B60+0.5*(((DATOS!$B$27*C60/(DATOS!$B$14*E60))^2/((DATOS!$B$14*E60)/(DATOS!$B$14+2*E60))^(4/3))+((DATOS!$B$27*C61/(DATOS!$B$14*((AJ61+AK61)/2)))^2/((DATOS!$B$14*((AJ61+AK61)/2))/(DATOS!$B$14+2*((AJ61+AK61)/2)))^(4/3)))*(A60-A61)))&lt;0,AK61,((AJ61+AK61)/2))</f>
        <v/>
      </c>
      <c r="AN61" s="16">
        <f>IF((((AL61+AM61)/2)+(C61/(DATOS!$B$14*((AL61+AM61)/2)))^2/(2*9.81)+B61-(E60+(C60/(DATOS!$B$14*E60))^2/(2*9.81)+B60+0.5*(((DATOS!$B$27*C60/(DATOS!$B$14*E60))^2/((DATOS!$B$14*E60)/(DATOS!$B$14+2*E60))^(4/3))+((DATOS!$B$27*C61/(DATOS!$B$14*((AL61+AM61)/2)))^2/((DATOS!$B$14*((AL61+AM61)/2))/(DATOS!$B$14+2*((AL61+AM61)/2)))^(4/3)))*(A60-A61)))&lt;0,((AL61+AM61)/2),AL61)</f>
        <v/>
      </c>
      <c r="AO61" s="16">
        <f>IF((((AL61+AM61)/2)+(C61/(DATOS!$B$14*((AL61+AM61)/2)))^2/(2*9.81)+B61-(E60+(C60/(DATOS!$B$14*E60))^2/(2*9.81)+B60+0.5*(((DATOS!$B$27*C60/(DATOS!$B$14*E60))^2/((DATOS!$B$14*E60)/(DATOS!$B$14+2*E60))^(4/3))+((DATOS!$B$27*C61/(DATOS!$B$14*((AL61+AM61)/2)))^2/((DATOS!$B$14*((AL61+AM61)/2))/(DATOS!$B$14+2*((AL61+AM61)/2)))^(4/3)))*(A60-A61)))&lt;0,AM61,((AL61+AM61)/2))</f>
        <v/>
      </c>
      <c r="AP61" s="16">
        <f>IF((((AN61+AO61)/2)+(C61/(DATOS!$B$14*((AN61+AO61)/2)))^2/(2*9.81)+B61-(E60+(C60/(DATOS!$B$14*E60))^2/(2*9.81)+B60+0.5*(((DATOS!$B$27*C60/(DATOS!$B$14*E60))^2/((DATOS!$B$14*E60)/(DATOS!$B$14+2*E60))^(4/3))+((DATOS!$B$27*C61/(DATOS!$B$14*((AN61+AO61)/2)))^2/((DATOS!$B$14*((AN61+AO61)/2))/(DATOS!$B$14+2*((AN61+AO61)/2)))^(4/3)))*(A60-A61)))&lt;0,((AN61+AO61)/2),AN61)</f>
        <v/>
      </c>
      <c r="AQ61" s="16">
        <f>IF((((AN61+AO61)/2)+(C61/(DATOS!$B$14*((AN61+AO61)/2)))^2/(2*9.81)+B61-(E60+(C60/(DATOS!$B$14*E60))^2/(2*9.81)+B60+0.5*(((DATOS!$B$27*C60/(DATOS!$B$14*E60))^2/((DATOS!$B$14*E60)/(DATOS!$B$14+2*E60))^(4/3))+((DATOS!$B$27*C61/(DATOS!$B$14*((AN61+AO61)/2)))^2/((DATOS!$B$14*((AN61+AO61)/2))/(DATOS!$B$14+2*((AN61+AO61)/2)))^(4/3)))*(A60-A61)))&lt;0,AO61,((AN61+AO61)/2))</f>
        <v/>
      </c>
      <c r="AR61" s="16">
        <f>IF((((AP61+AQ61)/2)+(C61/(DATOS!$B$14*((AP61+AQ61)/2)))^2/(2*9.81)+B61-(E60+(C60/(DATOS!$B$14*E60))^2/(2*9.81)+B60+0.5*(((DATOS!$B$27*C60/(DATOS!$B$14*E60))^2/((DATOS!$B$14*E60)/(DATOS!$B$14+2*E60))^(4/3))+((DATOS!$B$27*C61/(DATOS!$B$14*((AP61+AQ61)/2)))^2/((DATOS!$B$14*((AP61+AQ61)/2))/(DATOS!$B$14+2*((AP61+AQ61)/2)))^(4/3)))*(A60-A61)))&lt;0,((AP61+AQ61)/2),AP61)</f>
        <v/>
      </c>
      <c r="AS61" s="16">
        <f>IF((((AP61+AQ61)/2)+(C61/(DATOS!$B$14*((AP61+AQ61)/2)))^2/(2*9.81)+B61-(E60+(C60/(DATOS!$B$14*E60))^2/(2*9.81)+B60+0.5*(((DATOS!$B$27*C60/(DATOS!$B$14*E60))^2/((DATOS!$B$14*E60)/(DATOS!$B$14+2*E60))^(4/3))+((DATOS!$B$27*C61/(DATOS!$B$14*((AP61+AQ61)/2)))^2/((DATOS!$B$14*((AP61+AQ61)/2))/(DATOS!$B$14+2*((AP61+AQ61)/2)))^(4/3)))*(A60-A61)))&lt;0,AQ61,((AP61+AQ61)/2))</f>
        <v/>
      </c>
      <c r="AT61" s="16">
        <f>IF((((AR61+AS61)/2)+(C61/(DATOS!$B$14*((AR61+AS61)/2)))^2/(2*9.81)+B61-(E60+(C60/(DATOS!$B$14*E60))^2/(2*9.81)+B60+0.5*(((DATOS!$B$27*C60/(DATOS!$B$14*E60))^2/((DATOS!$B$14*E60)/(DATOS!$B$14+2*E60))^(4/3))+((DATOS!$B$27*C61/(DATOS!$B$14*((AR61+AS61)/2)))^2/((DATOS!$B$14*((AR61+AS61)/2))/(DATOS!$B$14+2*((AR61+AS61)/2)))^(4/3)))*(A60-A61)))&lt;0,((AR61+AS61)/2),AR61)</f>
        <v/>
      </c>
      <c r="AU61" s="16">
        <f>IF((((AR61+AS61)/2)+(C61/(DATOS!$B$14*((AR61+AS61)/2)))^2/(2*9.81)+B61-(E60+(C60/(DATOS!$B$14*E60))^2/(2*9.81)+B60+0.5*(((DATOS!$B$27*C60/(DATOS!$B$14*E60))^2/((DATOS!$B$14*E60)/(DATOS!$B$14+2*E60))^(4/3))+((DATOS!$B$27*C61/(DATOS!$B$14*((AR61+AS61)/2)))^2/((DATOS!$B$14*((AR61+AS61)/2))/(DATOS!$B$14+2*((AR61+AS61)/2)))^(4/3)))*(A60-A61)))&lt;0,AS61,((AR61+AS61)/2))</f>
        <v/>
      </c>
      <c r="AV61" s="16">
        <f>IF((((AT61+AU61)/2)+(C61/(DATOS!$B$14*((AT61+AU61)/2)))^2/(2*9.81)+B61-(E60+(C60/(DATOS!$B$14*E60))^2/(2*9.81)+B60+0.5*(((DATOS!$B$27*C60/(DATOS!$B$14*E60))^2/((DATOS!$B$14*E60)/(DATOS!$B$14+2*E60))^(4/3))+((DATOS!$B$27*C61/(DATOS!$B$14*((AT61+AU61)/2)))^2/((DATOS!$B$14*((AT61+AU61)/2))/(DATOS!$B$14+2*((AT61+AU61)/2)))^(4/3)))*(A60-A61)))&lt;0,((AT61+AU61)/2),AT61)</f>
        <v/>
      </c>
      <c r="AW61" s="16">
        <f>IF((((AT61+AU61)/2)+(C61/(DATOS!$B$14*((AT61+AU61)/2)))^2/(2*9.81)+B61-(E60+(C60/(DATOS!$B$14*E60))^2/(2*9.81)+B60+0.5*(((DATOS!$B$27*C60/(DATOS!$B$14*E60))^2/((DATOS!$B$14*E60)/(DATOS!$B$14+2*E60))^(4/3))+((DATOS!$B$27*C61/(DATOS!$B$14*((AT61+AU61)/2)))^2/((DATOS!$B$14*((AT61+AU61)/2))/(DATOS!$B$14+2*((AT61+AU61)/2)))^(4/3)))*(A60-A61)))&lt;0,AU61,((AT61+AU61)/2))</f>
        <v/>
      </c>
      <c r="AX61" s="16">
        <f>IF((((AV61+AW61)/2)+(C61/(DATOS!$B$14*((AV61+AW61)/2)))^2/(2*9.81)+B61-(E60+(C60/(DATOS!$B$14*E60))^2/(2*9.81)+B60+0.5*(((DATOS!$B$27*C60/(DATOS!$B$14*E60))^2/((DATOS!$B$14*E60)/(DATOS!$B$14+2*E60))^(4/3))+((DATOS!$B$27*C61/(DATOS!$B$14*((AV61+AW61)/2)))^2/((DATOS!$B$14*((AV61+AW61)/2))/(DATOS!$B$14+2*((AV61+AW61)/2)))^(4/3)))*(A60-A61)))&lt;0,((AV61+AW61)/2),AV61)</f>
        <v/>
      </c>
      <c r="AY61" s="16">
        <f>IF((((AV61+AW61)/2)+(C61/(DATOS!$B$14*((AV61+AW61)/2)))^2/(2*9.81)+B61-(E60+(C60/(DATOS!$B$14*E60))^2/(2*9.81)+B60+0.5*(((DATOS!$B$27*C60/(DATOS!$B$14*E60))^2/((DATOS!$B$14*E60)/(DATOS!$B$14+2*E60))^(4/3))+((DATOS!$B$27*C61/(DATOS!$B$14*((AV61+AW61)/2)))^2/((DATOS!$B$14*((AV61+AW61)/2))/(DATOS!$B$14+2*((AV61+AW61)/2)))^(4/3)))*(A60-A61)))&lt;0,AW61,((AV61+AW61)/2))</f>
        <v/>
      </c>
      <c r="AZ61" s="16">
        <f>IF((((AX61+AY61)/2)+(C61/(DATOS!$B$14*((AX61+AY61)/2)))^2/(2*9.81)+B61-(E60+(C60/(DATOS!$B$14*E60))^2/(2*9.81)+B60+0.5*(((DATOS!$B$27*C60/(DATOS!$B$14*E60))^2/((DATOS!$B$14*E60)/(DATOS!$B$14+2*E60))^(4/3))+((DATOS!$B$27*C61/(DATOS!$B$14*((AX61+AY61)/2)))^2/((DATOS!$B$14*((AX61+AY61)/2))/(DATOS!$B$14+2*((AX61+AY61)/2)))^(4/3)))*(A60-A61)))&lt;0,((AX61+AY61)/2),AX61)</f>
        <v/>
      </c>
      <c r="BA61" s="16">
        <f>IF((((AX61+AY61)/2)+(C61/(DATOS!$B$14*((AX61+AY61)/2)))^2/(2*9.81)+B61-(E60+(C60/(DATOS!$B$14*E60))^2/(2*9.81)+B60+0.5*(((DATOS!$B$27*C60/(DATOS!$B$14*E60))^2/((DATOS!$B$14*E60)/(DATOS!$B$14+2*E60))^(4/3))+((DATOS!$B$27*C61/(DATOS!$B$14*((AX61+AY61)/2)))^2/((DATOS!$B$14*((AX61+AY61)/2))/(DATOS!$B$14+2*((AX61+AY61)/2)))^(4/3)))*(A60-A61)))&lt;0,AY61,((AX61+AY61)/2))</f>
        <v/>
      </c>
      <c r="BB61" s="16">
        <f>IF((((AZ61+BA61)/2)+(C61/(DATOS!$B$14*((AZ61+BA61)/2)))^2/(2*9.81)+B61-(E60+(C60/(DATOS!$B$14*E60))^2/(2*9.81)+B60+0.5*(((DATOS!$B$27*C60/(DATOS!$B$14*E60))^2/((DATOS!$B$14*E60)/(DATOS!$B$14+2*E60))^(4/3))+((DATOS!$B$27*C61/(DATOS!$B$14*((AZ61+BA61)/2)))^2/((DATOS!$B$14*((AZ61+BA61)/2))/(DATOS!$B$14+2*((AZ61+BA61)/2)))^(4/3)))*(A60-A61)))&lt;0,((AZ61+BA61)/2),AZ61)</f>
        <v/>
      </c>
      <c r="BC61" s="16">
        <f>IF((((AZ61+BA61)/2)+(C61/(DATOS!$B$14*((AZ61+BA61)/2)))^2/(2*9.81)+B61-(E60+(C60/(DATOS!$B$14*E60))^2/(2*9.81)+B60+0.5*(((DATOS!$B$27*C60/(DATOS!$B$14*E60))^2/((DATOS!$B$14*E60)/(DATOS!$B$14+2*E60))^(4/3))+((DATOS!$B$27*C61/(DATOS!$B$14*((AZ61+BA61)/2)))^2/((DATOS!$B$14*((AZ61+BA61)/2))/(DATOS!$B$14+2*((AZ61+BA61)/2)))^(4/3)))*(A60-A61)))&lt;0,BA61,((AZ61+BA61)/2))</f>
        <v/>
      </c>
      <c r="BD61" s="16">
        <f>IF((((BB61+BC61)/2)+(C61/(DATOS!$B$14*((BB61+BC61)/2)))^2/(2*9.81)+B61-(E60+(C60/(DATOS!$B$14*E60))^2/(2*9.81)+B60+0.5*(((DATOS!$B$27*C60/(DATOS!$B$14*E60))^2/((DATOS!$B$14*E60)/(DATOS!$B$14+2*E60))^(4/3))+((DATOS!$B$27*C61/(DATOS!$B$14*((BB61+BC61)/2)))^2/((DATOS!$B$14*((BB61+BC61)/2))/(DATOS!$B$14+2*((BB61+BC61)/2)))^(4/3)))*(A60-A61)))&lt;0,((BB61+BC61)/2),BB61)</f>
        <v/>
      </c>
      <c r="BE61" s="16">
        <f>IF((((BB61+BC61)/2)+(C61/(DATOS!$B$14*((BB61+BC61)/2)))^2/(2*9.81)+B61-(E60+(C60/(DATOS!$B$14*E60))^2/(2*9.81)+B60+0.5*(((DATOS!$B$27*C60/(DATOS!$B$14*E60))^2/((DATOS!$B$14*E60)/(DATOS!$B$14+2*E60))^(4/3))+((DATOS!$B$27*C61/(DATOS!$B$14*((BB61+BC61)/2)))^2/((DATOS!$B$14*((BB61+BC61)/2))/(DATOS!$B$14+2*((BB61+BC61)/2)))^(4/3)))*(A60-A61)))&lt;0,BC61,((BB61+BC61)/2))</f>
        <v/>
      </c>
      <c r="BF61" s="16">
        <f>IF((((BD61+BE61)/2)+(C61/(DATOS!$B$14*((BD61+BE61)/2)))^2/(2*9.81)+B61-(E60+(C60/(DATOS!$B$14*E60))^2/(2*9.81)+B60+0.5*(((DATOS!$B$27*C60/(DATOS!$B$14*E60))^2/((DATOS!$B$14*E60)/(DATOS!$B$14+2*E60))^(4/3))+((DATOS!$B$27*C61/(DATOS!$B$14*((BD61+BE61)/2)))^2/((DATOS!$B$14*((BD61+BE61)/2))/(DATOS!$B$14+2*((BD61+BE61)/2)))^(4/3)))*(A60-A61)))&lt;0,((BD61+BE61)/2),BD61)</f>
        <v/>
      </c>
      <c r="BG61" s="16">
        <f>IF((((BD61+BE61)/2)+(C61/(DATOS!$B$14*((BD61+BE61)/2)))^2/(2*9.81)+B61-(E60+(C60/(DATOS!$B$14*E60))^2/(2*9.81)+B60+0.5*(((DATOS!$B$27*C60/(DATOS!$B$14*E60))^2/((DATOS!$B$14*E60)/(DATOS!$B$14+2*E60))^(4/3))+((DATOS!$B$27*C61/(DATOS!$B$14*((BD61+BE61)/2)))^2/((DATOS!$B$14*((BD61+BE61)/2))/(DATOS!$B$14+2*((BD61+BE61)/2)))^(4/3)))*(A60-A61)))&lt;0,BE61,((BD61+BE61)/2))</f>
        <v/>
      </c>
      <c r="BH61" s="16">
        <f>IF((((BF61+BG61)/2)+(C61/(DATOS!$B$14*((BF61+BG61)/2)))^2/(2*9.81)+B61-(E60+(C60/(DATOS!$B$14*E60))^2/(2*9.81)+B60+0.5*(((DATOS!$B$27*C60/(DATOS!$B$14*E60))^2/((DATOS!$B$14*E60)/(DATOS!$B$14+2*E60))^(4/3))+((DATOS!$B$27*C61/(DATOS!$B$14*((BF61+BG61)/2)))^2/((DATOS!$B$14*((BF61+BG61)/2))/(DATOS!$B$14+2*((BF61+BG61)/2)))^(4/3)))*(A60-A61)))&lt;0,((BF61+BG61)/2),BF61)</f>
        <v/>
      </c>
      <c r="BI61" s="16">
        <f>IF((((BF61+BG61)/2)+(C61/(DATOS!$B$14*((BF61+BG61)/2)))^2/(2*9.81)+B61-(E60+(C60/(DATOS!$B$14*E60))^2/(2*9.81)+B60+0.5*(((DATOS!$B$27*C60/(DATOS!$B$14*E60))^2/((DATOS!$B$14*E60)/(DATOS!$B$14+2*E60))^(4/3))+((DATOS!$B$27*C61/(DATOS!$B$14*((BF61+BG61)/2)))^2/((DATOS!$B$14*((BF61+BG61)/2))/(DATOS!$B$14+2*((BF61+BG61)/2)))^(4/3)))*(A60-A61)))&lt;0,BG61,((BF61+BG61)/2))</f>
        <v/>
      </c>
      <c r="BJ61" s="16">
        <f>IF((((BH61+BI61)/2)+(C61/(DATOS!$B$14*((BH61+BI61)/2)))^2/(2*9.81)+B61-(E60+(C60/(DATOS!$B$14*E60))^2/(2*9.81)+B60+0.5*(((DATOS!$B$27*C60/(DATOS!$B$14*E60))^2/((DATOS!$B$14*E60)/(DATOS!$B$14+2*E60))^(4/3))+((DATOS!$B$27*C61/(DATOS!$B$14*((BH61+BI61)/2)))^2/((DATOS!$B$14*((BH61+BI61)/2))/(DATOS!$B$14+2*((BH61+BI61)/2)))^(4/3)))*(A60-A61)))&lt;0,((BH61+BI61)/2),BH61)</f>
        <v/>
      </c>
      <c r="BK61" s="16">
        <f>IF((((BH61+BI61)/2)+(C61/(DATOS!$B$14*((BH61+BI61)/2)))^2/(2*9.81)+B61-(E60+(C60/(DATOS!$B$14*E60))^2/(2*9.81)+B60+0.5*(((DATOS!$B$27*C60/(DATOS!$B$14*E60))^2/((DATOS!$B$14*E60)/(DATOS!$B$14+2*E60))^(4/3))+((DATOS!$B$27*C61/(DATOS!$B$14*((BH61+BI61)/2)))^2/((DATOS!$B$14*((BH61+BI61)/2))/(DATOS!$B$14+2*((BH61+BI61)/2)))^(4/3)))*(A60-A61)))&lt;0,BI61,((BH61+BI61)/2))</f>
        <v/>
      </c>
      <c r="BL61" s="16">
        <f>IF((((BJ61+BK61)/2)+(C61/(DATOS!$B$14*((BJ61+BK61)/2)))^2/(2*9.81)+B61-(E60+(C60/(DATOS!$B$14*E60))^2/(2*9.81)+B60+0.5*(((DATOS!$B$27*C60/(DATOS!$B$14*E60))^2/((DATOS!$B$14*E60)/(DATOS!$B$14+2*E60))^(4/3))+((DATOS!$B$27*C61/(DATOS!$B$14*((BJ61+BK61)/2)))^2/((DATOS!$B$14*((BJ61+BK61)/2))/(DATOS!$B$14+2*((BJ61+BK61)/2)))^(4/3)))*(A60-A61)))&lt;0,((BJ61+BK61)/2),BJ61)</f>
        <v/>
      </c>
      <c r="BM61" s="16">
        <f>IF((((BJ61+BK61)/2)+(C61/(DATOS!$B$14*((BJ61+BK61)/2)))^2/(2*9.81)+B61-(E60+(C60/(DATOS!$B$14*E60))^2/(2*9.81)+B60+0.5*(((DATOS!$B$27*C60/(DATOS!$B$14*E60))^2/((DATOS!$B$14*E60)/(DATOS!$B$14+2*E60))^(4/3))+((DATOS!$B$27*C61/(DATOS!$B$14*((BJ61+BK61)/2)))^2/((DATOS!$B$14*((BJ61+BK61)/2))/(DATOS!$B$14+2*((BJ61+BK61)/2)))^(4/3)))*(A60-A61)))&lt;0,BK61,((BJ61+BK61)/2))</f>
        <v/>
      </c>
      <c r="BN61" s="16">
        <f>IF((((BL61+BM61)/2)+(C61/(DATOS!$B$14*((BL61+BM61)/2)))^2/(2*9.81)+B61-(E60+(C60/(DATOS!$B$14*E60))^2/(2*9.81)+B60+0.5*(((DATOS!$B$27*C60/(DATOS!$B$14*E60))^2/((DATOS!$B$14*E60)/(DATOS!$B$14+2*E60))^(4/3))+((DATOS!$B$27*C61/(DATOS!$B$14*((BL61+BM61)/2)))^2/((DATOS!$B$14*((BL61+BM61)/2))/(DATOS!$B$14+2*((BL61+BM61)/2)))^(4/3)))*(A60-A61)))&lt;0,((BL61+BM61)/2),BL61)</f>
        <v/>
      </c>
      <c r="BO61" s="16">
        <f>IF((((BL61+BM61)/2)+(C61/(DATOS!$B$14*((BL61+BM61)/2)))^2/(2*9.81)+B61-(E60+(C60/(DATOS!$B$14*E60))^2/(2*9.81)+B60+0.5*(((DATOS!$B$27*C60/(DATOS!$B$14*E60))^2/((DATOS!$B$14*E60)/(DATOS!$B$14+2*E60))^(4/3))+((DATOS!$B$27*C61/(DATOS!$B$14*((BL61+BM61)/2)))^2/((DATOS!$B$14*((BL61+BM61)/2))/(DATOS!$B$14+2*((BL61+BM61)/2)))^(4/3)))*(A60-A61)))&lt;0,BM61,((BL61+BM61)/2))</f>
        <v/>
      </c>
      <c r="BP61" s="16">
        <f>IF((((BN61+BO61)/2)+(C61/(DATOS!$B$14*((BN61+BO61)/2)))^2/(2*9.81)+B61-(E60+(C60/(DATOS!$B$14*E60))^2/(2*9.81)+B60+0.5*(((DATOS!$B$27*C60/(DATOS!$B$14*E60))^2/((DATOS!$B$14*E60)/(DATOS!$B$14+2*E60))^(4/3))+((DATOS!$B$27*C61/(DATOS!$B$14*((BN61+BO61)/2)))^2/((DATOS!$B$14*((BN61+BO61)/2))/(DATOS!$B$14+2*((BN61+BO61)/2)))^(4/3)))*(A60-A61)))&lt;0,((BN61+BO61)/2),BN61)</f>
        <v/>
      </c>
      <c r="BQ61" s="16">
        <f>IF((((BN61+BO61)/2)+(C61/(DATOS!$B$14*((BN61+BO61)/2)))^2/(2*9.81)+B61-(E60+(C60/(DATOS!$B$14*E60))^2/(2*9.81)+B60+0.5*(((DATOS!$B$27*C60/(DATOS!$B$14*E60))^2/((DATOS!$B$14*E60)/(DATOS!$B$14+2*E60))^(4/3))+((DATOS!$B$27*C61/(DATOS!$B$14*((BN61+BO61)/2)))^2/((DATOS!$B$14*((BN61+BO61)/2))/(DATOS!$B$14+2*((BN61+BO61)/2)))^(4/3)))*(A60-A61)))&lt;0,BO61,((BN61+BO61)/2))</f>
        <v/>
      </c>
      <c r="BR61" s="16">
        <f>IF((((BP61+BQ61)/2)+(C61/(DATOS!$B$14*((BP61+BQ61)/2)))^2/(2*9.81)+B61-(E60+(C60/(DATOS!$B$14*E60))^2/(2*9.81)+B60+0.5*(((DATOS!$B$27*C60/(DATOS!$B$14*E60))^2/((DATOS!$B$14*E60)/(DATOS!$B$14+2*E60))^(4/3))+((DATOS!$B$27*C61/(DATOS!$B$14*((BP61+BQ61)/2)))^2/((DATOS!$B$14*((BP61+BQ61)/2))/(DATOS!$B$14+2*((BP61+BQ61)/2)))^(4/3)))*(A60-A61)))&lt;0,((BP61+BQ61)/2),BP61)</f>
        <v/>
      </c>
      <c r="BS61" s="16">
        <f>IF((((BP61+BQ61)/2)+(C61/(DATOS!$B$14*((BP61+BQ61)/2)))^2/(2*9.81)+B61-(E60+(C60/(DATOS!$B$14*E60))^2/(2*9.81)+B60+0.5*(((DATOS!$B$27*C60/(DATOS!$B$14*E60))^2/((DATOS!$B$14*E60)/(DATOS!$B$14+2*E60))^(4/3))+((DATOS!$B$27*C61/(DATOS!$B$14*((BP61+BQ61)/2)))^2/((DATOS!$B$14*((BP61+BQ61)/2))/(DATOS!$B$14+2*((BP61+BQ61)/2)))^(4/3)))*(A60-A61)))&lt;0,BQ61,((BP61+BQ61)/2))</f>
        <v/>
      </c>
      <c r="BT61" s="16">
        <f>IF((((BR61+BS61)/2)+(C61/(DATOS!$B$14*((BR61+BS61)/2)))^2/(2*9.81)+B61-(E60+(C60/(DATOS!$B$14*E60))^2/(2*9.81)+B60+0.5*(((DATOS!$B$27*C60/(DATOS!$B$14*E60))^2/((DATOS!$B$14*E60)/(DATOS!$B$14+2*E60))^(4/3))+((DATOS!$B$27*C61/(DATOS!$B$14*((BR61+BS61)/2)))^2/((DATOS!$B$14*((BR61+BS61)/2))/(DATOS!$B$14+2*((BR61+BS61)/2)))^(4/3)))*(A60-A61)))&lt;0,((BR61+BS61)/2),BR61)</f>
        <v/>
      </c>
      <c r="BU61" s="16">
        <f>IF((((BR61+BS61)/2)+(C61/(DATOS!$B$14*((BR61+BS61)/2)))^2/(2*9.81)+B61-(E60+(C60/(DATOS!$B$14*E60))^2/(2*9.81)+B60+0.5*(((DATOS!$B$27*C60/(DATOS!$B$14*E60))^2/((DATOS!$B$14*E60)/(DATOS!$B$14+2*E60))^(4/3))+((DATOS!$B$27*C61/(DATOS!$B$14*((BR61+BS61)/2)))^2/((DATOS!$B$14*((BR61+BS61)/2))/(DATOS!$B$14+2*((BR61+BS61)/2)))^(4/3)))*(A60-A61)))&lt;0,BS61,((BR61+BS61)/2))</f>
        <v/>
      </c>
    </row>
    <row r="62">
      <c r="A62" s="30" t="n">
        <v>34</v>
      </c>
      <c r="B62" s="21">
        <f>DATOS!$B$16-DATOS!$B$19*A62</f>
        <v/>
      </c>
      <c r="C62" s="21">
        <f>IF(A62&lt;CAUDALES!$B$13,CAUDALES!$D$12,IF(A62&lt;CAUDALES!$B$14,CAUDALES!$D$13,IF(A62&lt;CAUDALES!$B$15,CAUDALES!$D$14,CAUDALES!$D$15)))/1000</f>
        <v/>
      </c>
      <c r="D62" s="21">
        <f>(C62^2/(9.81*DATOS!$B$14^2))^(1/3)</f>
        <v/>
      </c>
      <c r="E62" s="29">
        <f>(BT62+BU62)/2</f>
        <v/>
      </c>
      <c r="F62" s="21">
        <f>B62+E62</f>
        <v/>
      </c>
      <c r="G62" s="17">
        <f>C62/(DATOS!$B$14*E62)</f>
        <v/>
      </c>
      <c r="H62" s="17">
        <f>G62/SQRT(9.81*E62)</f>
        <v/>
      </c>
      <c r="I62" s="21">
        <f>IF(A62&lt;=DATOS!$B$20,DATOS!$B$21-IF(AND(A62&gt;=DATOS!$B$23,A62&lt;DATOS!$B$24),DATOS!$B$25,DATOS!$B$22),B62+DATOS!$B$26)</f>
        <v/>
      </c>
      <c r="J62" s="17">
        <f>I62-B62</f>
        <v/>
      </c>
      <c r="K62" s="31">
        <f>E62/J62</f>
        <v/>
      </c>
      <c r="L62" s="21">
        <f>I62-F62</f>
        <v/>
      </c>
      <c r="M62" s="32">
        <f>IF(AND(K62&lt;=DATOS!$B$29,L62&gt;=DATOS!$B$30),"CUMPLE","NO CUMPLE")</f>
        <v/>
      </c>
      <c r="N62" s="13">
        <f>IF(A62&gt;DATOS!$B$20,"cubierto - tramo final",IF(AND(A62&gt;=DATOS!$B$23,A62&lt;DATOS!$B$24),"cubierto - camiones","cubierto"))</f>
        <v/>
      </c>
      <c r="P62" s="16">
        <f>D62*1.001</f>
        <v/>
      </c>
      <c r="Q62" s="16" t="n">
        <v>2</v>
      </c>
      <c r="R62" s="16">
        <f>IF((((P62+Q62)/2)+(C62/(DATOS!$B$14*((P62+Q62)/2)))^2/(2*9.81)+B62-(E61+(C61/(DATOS!$B$14*E61))^2/(2*9.81)+B61+0.5*(((DATOS!$B$27*C61/(DATOS!$B$14*E61))^2/((DATOS!$B$14*E61)/(DATOS!$B$14+2*E61))^(4/3))+((DATOS!$B$27*C62/(DATOS!$B$14*((P62+Q62)/2)))^2/((DATOS!$B$14*((P62+Q62)/2))/(DATOS!$B$14+2*((P62+Q62)/2)))^(4/3)))*(A61-A62)))&lt;0,((P62+Q62)/2),P62)</f>
        <v/>
      </c>
      <c r="S62" s="16">
        <f>IF((((P62+Q62)/2)+(C62/(DATOS!$B$14*((P62+Q62)/2)))^2/(2*9.81)+B62-(E61+(C61/(DATOS!$B$14*E61))^2/(2*9.81)+B61+0.5*(((DATOS!$B$27*C61/(DATOS!$B$14*E61))^2/((DATOS!$B$14*E61)/(DATOS!$B$14+2*E61))^(4/3))+((DATOS!$B$27*C62/(DATOS!$B$14*((P62+Q62)/2)))^2/((DATOS!$B$14*((P62+Q62)/2))/(DATOS!$B$14+2*((P62+Q62)/2)))^(4/3)))*(A61-A62)))&lt;0,Q62,((P62+Q62)/2))</f>
        <v/>
      </c>
      <c r="T62" s="16">
        <f>IF((((R62+S62)/2)+(C62/(DATOS!$B$14*((R62+S62)/2)))^2/(2*9.81)+B62-(E61+(C61/(DATOS!$B$14*E61))^2/(2*9.81)+B61+0.5*(((DATOS!$B$27*C61/(DATOS!$B$14*E61))^2/((DATOS!$B$14*E61)/(DATOS!$B$14+2*E61))^(4/3))+((DATOS!$B$27*C62/(DATOS!$B$14*((R62+S62)/2)))^2/((DATOS!$B$14*((R62+S62)/2))/(DATOS!$B$14+2*((R62+S62)/2)))^(4/3)))*(A61-A62)))&lt;0,((R62+S62)/2),R62)</f>
        <v/>
      </c>
      <c r="U62" s="16">
        <f>IF((((R62+S62)/2)+(C62/(DATOS!$B$14*((R62+S62)/2)))^2/(2*9.81)+B62-(E61+(C61/(DATOS!$B$14*E61))^2/(2*9.81)+B61+0.5*(((DATOS!$B$27*C61/(DATOS!$B$14*E61))^2/((DATOS!$B$14*E61)/(DATOS!$B$14+2*E61))^(4/3))+((DATOS!$B$27*C62/(DATOS!$B$14*((R62+S62)/2)))^2/((DATOS!$B$14*((R62+S62)/2))/(DATOS!$B$14+2*((R62+S62)/2)))^(4/3)))*(A61-A62)))&lt;0,S62,((R62+S62)/2))</f>
        <v/>
      </c>
      <c r="V62" s="16">
        <f>IF((((T62+U62)/2)+(C62/(DATOS!$B$14*((T62+U62)/2)))^2/(2*9.81)+B62-(E61+(C61/(DATOS!$B$14*E61))^2/(2*9.81)+B61+0.5*(((DATOS!$B$27*C61/(DATOS!$B$14*E61))^2/((DATOS!$B$14*E61)/(DATOS!$B$14+2*E61))^(4/3))+((DATOS!$B$27*C62/(DATOS!$B$14*((T62+U62)/2)))^2/((DATOS!$B$14*((T62+U62)/2))/(DATOS!$B$14+2*((T62+U62)/2)))^(4/3)))*(A61-A62)))&lt;0,((T62+U62)/2),T62)</f>
        <v/>
      </c>
      <c r="W62" s="16">
        <f>IF((((T62+U62)/2)+(C62/(DATOS!$B$14*((T62+U62)/2)))^2/(2*9.81)+B62-(E61+(C61/(DATOS!$B$14*E61))^2/(2*9.81)+B61+0.5*(((DATOS!$B$27*C61/(DATOS!$B$14*E61))^2/((DATOS!$B$14*E61)/(DATOS!$B$14+2*E61))^(4/3))+((DATOS!$B$27*C62/(DATOS!$B$14*((T62+U62)/2)))^2/((DATOS!$B$14*((T62+U62)/2))/(DATOS!$B$14+2*((T62+U62)/2)))^(4/3)))*(A61-A62)))&lt;0,U62,((T62+U62)/2))</f>
        <v/>
      </c>
      <c r="X62" s="16">
        <f>IF((((V62+W62)/2)+(C62/(DATOS!$B$14*((V62+W62)/2)))^2/(2*9.81)+B62-(E61+(C61/(DATOS!$B$14*E61))^2/(2*9.81)+B61+0.5*(((DATOS!$B$27*C61/(DATOS!$B$14*E61))^2/((DATOS!$B$14*E61)/(DATOS!$B$14+2*E61))^(4/3))+((DATOS!$B$27*C62/(DATOS!$B$14*((V62+W62)/2)))^2/((DATOS!$B$14*((V62+W62)/2))/(DATOS!$B$14+2*((V62+W62)/2)))^(4/3)))*(A61-A62)))&lt;0,((V62+W62)/2),V62)</f>
        <v/>
      </c>
      <c r="Y62" s="16">
        <f>IF((((V62+W62)/2)+(C62/(DATOS!$B$14*((V62+W62)/2)))^2/(2*9.81)+B62-(E61+(C61/(DATOS!$B$14*E61))^2/(2*9.81)+B61+0.5*(((DATOS!$B$27*C61/(DATOS!$B$14*E61))^2/((DATOS!$B$14*E61)/(DATOS!$B$14+2*E61))^(4/3))+((DATOS!$B$27*C62/(DATOS!$B$14*((V62+W62)/2)))^2/((DATOS!$B$14*((V62+W62)/2))/(DATOS!$B$14+2*((V62+W62)/2)))^(4/3)))*(A61-A62)))&lt;0,W62,((V62+W62)/2))</f>
        <v/>
      </c>
      <c r="Z62" s="16">
        <f>IF((((X62+Y62)/2)+(C62/(DATOS!$B$14*((X62+Y62)/2)))^2/(2*9.81)+B62-(E61+(C61/(DATOS!$B$14*E61))^2/(2*9.81)+B61+0.5*(((DATOS!$B$27*C61/(DATOS!$B$14*E61))^2/((DATOS!$B$14*E61)/(DATOS!$B$14+2*E61))^(4/3))+((DATOS!$B$27*C62/(DATOS!$B$14*((X62+Y62)/2)))^2/((DATOS!$B$14*((X62+Y62)/2))/(DATOS!$B$14+2*((X62+Y62)/2)))^(4/3)))*(A61-A62)))&lt;0,((X62+Y62)/2),X62)</f>
        <v/>
      </c>
      <c r="AA62" s="16">
        <f>IF((((X62+Y62)/2)+(C62/(DATOS!$B$14*((X62+Y62)/2)))^2/(2*9.81)+B62-(E61+(C61/(DATOS!$B$14*E61))^2/(2*9.81)+B61+0.5*(((DATOS!$B$27*C61/(DATOS!$B$14*E61))^2/((DATOS!$B$14*E61)/(DATOS!$B$14+2*E61))^(4/3))+((DATOS!$B$27*C62/(DATOS!$B$14*((X62+Y62)/2)))^2/((DATOS!$B$14*((X62+Y62)/2))/(DATOS!$B$14+2*((X62+Y62)/2)))^(4/3)))*(A61-A62)))&lt;0,Y62,((X62+Y62)/2))</f>
        <v/>
      </c>
      <c r="AB62" s="16">
        <f>IF((((Z62+AA62)/2)+(C62/(DATOS!$B$14*((Z62+AA62)/2)))^2/(2*9.81)+B62-(E61+(C61/(DATOS!$B$14*E61))^2/(2*9.81)+B61+0.5*(((DATOS!$B$27*C61/(DATOS!$B$14*E61))^2/((DATOS!$B$14*E61)/(DATOS!$B$14+2*E61))^(4/3))+((DATOS!$B$27*C62/(DATOS!$B$14*((Z62+AA62)/2)))^2/((DATOS!$B$14*((Z62+AA62)/2))/(DATOS!$B$14+2*((Z62+AA62)/2)))^(4/3)))*(A61-A62)))&lt;0,((Z62+AA62)/2),Z62)</f>
        <v/>
      </c>
      <c r="AC62" s="16">
        <f>IF((((Z62+AA62)/2)+(C62/(DATOS!$B$14*((Z62+AA62)/2)))^2/(2*9.81)+B62-(E61+(C61/(DATOS!$B$14*E61))^2/(2*9.81)+B61+0.5*(((DATOS!$B$27*C61/(DATOS!$B$14*E61))^2/((DATOS!$B$14*E61)/(DATOS!$B$14+2*E61))^(4/3))+((DATOS!$B$27*C62/(DATOS!$B$14*((Z62+AA62)/2)))^2/((DATOS!$B$14*((Z62+AA62)/2))/(DATOS!$B$14+2*((Z62+AA62)/2)))^(4/3)))*(A61-A62)))&lt;0,AA62,((Z62+AA62)/2))</f>
        <v/>
      </c>
      <c r="AD62" s="16">
        <f>IF((((AB62+AC62)/2)+(C62/(DATOS!$B$14*((AB62+AC62)/2)))^2/(2*9.81)+B62-(E61+(C61/(DATOS!$B$14*E61))^2/(2*9.81)+B61+0.5*(((DATOS!$B$27*C61/(DATOS!$B$14*E61))^2/((DATOS!$B$14*E61)/(DATOS!$B$14+2*E61))^(4/3))+((DATOS!$B$27*C62/(DATOS!$B$14*((AB62+AC62)/2)))^2/((DATOS!$B$14*((AB62+AC62)/2))/(DATOS!$B$14+2*((AB62+AC62)/2)))^(4/3)))*(A61-A62)))&lt;0,((AB62+AC62)/2),AB62)</f>
        <v/>
      </c>
      <c r="AE62" s="16">
        <f>IF((((AB62+AC62)/2)+(C62/(DATOS!$B$14*((AB62+AC62)/2)))^2/(2*9.81)+B62-(E61+(C61/(DATOS!$B$14*E61))^2/(2*9.81)+B61+0.5*(((DATOS!$B$27*C61/(DATOS!$B$14*E61))^2/((DATOS!$B$14*E61)/(DATOS!$B$14+2*E61))^(4/3))+((DATOS!$B$27*C62/(DATOS!$B$14*((AB62+AC62)/2)))^2/((DATOS!$B$14*((AB62+AC62)/2))/(DATOS!$B$14+2*((AB62+AC62)/2)))^(4/3)))*(A61-A62)))&lt;0,AC62,((AB62+AC62)/2))</f>
        <v/>
      </c>
      <c r="AF62" s="16">
        <f>IF((((AD62+AE62)/2)+(C62/(DATOS!$B$14*((AD62+AE62)/2)))^2/(2*9.81)+B62-(E61+(C61/(DATOS!$B$14*E61))^2/(2*9.81)+B61+0.5*(((DATOS!$B$27*C61/(DATOS!$B$14*E61))^2/((DATOS!$B$14*E61)/(DATOS!$B$14+2*E61))^(4/3))+((DATOS!$B$27*C62/(DATOS!$B$14*((AD62+AE62)/2)))^2/((DATOS!$B$14*((AD62+AE62)/2))/(DATOS!$B$14+2*((AD62+AE62)/2)))^(4/3)))*(A61-A62)))&lt;0,((AD62+AE62)/2),AD62)</f>
        <v/>
      </c>
      <c r="AG62" s="16">
        <f>IF((((AD62+AE62)/2)+(C62/(DATOS!$B$14*((AD62+AE62)/2)))^2/(2*9.81)+B62-(E61+(C61/(DATOS!$B$14*E61))^2/(2*9.81)+B61+0.5*(((DATOS!$B$27*C61/(DATOS!$B$14*E61))^2/((DATOS!$B$14*E61)/(DATOS!$B$14+2*E61))^(4/3))+((DATOS!$B$27*C62/(DATOS!$B$14*((AD62+AE62)/2)))^2/((DATOS!$B$14*((AD62+AE62)/2))/(DATOS!$B$14+2*((AD62+AE62)/2)))^(4/3)))*(A61-A62)))&lt;0,AE62,((AD62+AE62)/2))</f>
        <v/>
      </c>
      <c r="AH62" s="16">
        <f>IF((((AF62+AG62)/2)+(C62/(DATOS!$B$14*((AF62+AG62)/2)))^2/(2*9.81)+B62-(E61+(C61/(DATOS!$B$14*E61))^2/(2*9.81)+B61+0.5*(((DATOS!$B$27*C61/(DATOS!$B$14*E61))^2/((DATOS!$B$14*E61)/(DATOS!$B$14+2*E61))^(4/3))+((DATOS!$B$27*C62/(DATOS!$B$14*((AF62+AG62)/2)))^2/((DATOS!$B$14*((AF62+AG62)/2))/(DATOS!$B$14+2*((AF62+AG62)/2)))^(4/3)))*(A61-A62)))&lt;0,((AF62+AG62)/2),AF62)</f>
        <v/>
      </c>
      <c r="AI62" s="16">
        <f>IF((((AF62+AG62)/2)+(C62/(DATOS!$B$14*((AF62+AG62)/2)))^2/(2*9.81)+B62-(E61+(C61/(DATOS!$B$14*E61))^2/(2*9.81)+B61+0.5*(((DATOS!$B$27*C61/(DATOS!$B$14*E61))^2/((DATOS!$B$14*E61)/(DATOS!$B$14+2*E61))^(4/3))+((DATOS!$B$27*C62/(DATOS!$B$14*((AF62+AG62)/2)))^2/((DATOS!$B$14*((AF62+AG62)/2))/(DATOS!$B$14+2*((AF62+AG62)/2)))^(4/3)))*(A61-A62)))&lt;0,AG62,((AF62+AG62)/2))</f>
        <v/>
      </c>
      <c r="AJ62" s="16">
        <f>IF((((AH62+AI62)/2)+(C62/(DATOS!$B$14*((AH62+AI62)/2)))^2/(2*9.81)+B62-(E61+(C61/(DATOS!$B$14*E61))^2/(2*9.81)+B61+0.5*(((DATOS!$B$27*C61/(DATOS!$B$14*E61))^2/((DATOS!$B$14*E61)/(DATOS!$B$14+2*E61))^(4/3))+((DATOS!$B$27*C62/(DATOS!$B$14*((AH62+AI62)/2)))^2/((DATOS!$B$14*((AH62+AI62)/2))/(DATOS!$B$14+2*((AH62+AI62)/2)))^(4/3)))*(A61-A62)))&lt;0,((AH62+AI62)/2),AH62)</f>
        <v/>
      </c>
      <c r="AK62" s="16">
        <f>IF((((AH62+AI62)/2)+(C62/(DATOS!$B$14*((AH62+AI62)/2)))^2/(2*9.81)+B62-(E61+(C61/(DATOS!$B$14*E61))^2/(2*9.81)+B61+0.5*(((DATOS!$B$27*C61/(DATOS!$B$14*E61))^2/((DATOS!$B$14*E61)/(DATOS!$B$14+2*E61))^(4/3))+((DATOS!$B$27*C62/(DATOS!$B$14*((AH62+AI62)/2)))^2/((DATOS!$B$14*((AH62+AI62)/2))/(DATOS!$B$14+2*((AH62+AI62)/2)))^(4/3)))*(A61-A62)))&lt;0,AI62,((AH62+AI62)/2))</f>
        <v/>
      </c>
      <c r="AL62" s="16">
        <f>IF((((AJ62+AK62)/2)+(C62/(DATOS!$B$14*((AJ62+AK62)/2)))^2/(2*9.81)+B62-(E61+(C61/(DATOS!$B$14*E61))^2/(2*9.81)+B61+0.5*(((DATOS!$B$27*C61/(DATOS!$B$14*E61))^2/((DATOS!$B$14*E61)/(DATOS!$B$14+2*E61))^(4/3))+((DATOS!$B$27*C62/(DATOS!$B$14*((AJ62+AK62)/2)))^2/((DATOS!$B$14*((AJ62+AK62)/2))/(DATOS!$B$14+2*((AJ62+AK62)/2)))^(4/3)))*(A61-A62)))&lt;0,((AJ62+AK62)/2),AJ62)</f>
        <v/>
      </c>
      <c r="AM62" s="16">
        <f>IF((((AJ62+AK62)/2)+(C62/(DATOS!$B$14*((AJ62+AK62)/2)))^2/(2*9.81)+B62-(E61+(C61/(DATOS!$B$14*E61))^2/(2*9.81)+B61+0.5*(((DATOS!$B$27*C61/(DATOS!$B$14*E61))^2/((DATOS!$B$14*E61)/(DATOS!$B$14+2*E61))^(4/3))+((DATOS!$B$27*C62/(DATOS!$B$14*((AJ62+AK62)/2)))^2/((DATOS!$B$14*((AJ62+AK62)/2))/(DATOS!$B$14+2*((AJ62+AK62)/2)))^(4/3)))*(A61-A62)))&lt;0,AK62,((AJ62+AK62)/2))</f>
        <v/>
      </c>
      <c r="AN62" s="16">
        <f>IF((((AL62+AM62)/2)+(C62/(DATOS!$B$14*((AL62+AM62)/2)))^2/(2*9.81)+B62-(E61+(C61/(DATOS!$B$14*E61))^2/(2*9.81)+B61+0.5*(((DATOS!$B$27*C61/(DATOS!$B$14*E61))^2/((DATOS!$B$14*E61)/(DATOS!$B$14+2*E61))^(4/3))+((DATOS!$B$27*C62/(DATOS!$B$14*((AL62+AM62)/2)))^2/((DATOS!$B$14*((AL62+AM62)/2))/(DATOS!$B$14+2*((AL62+AM62)/2)))^(4/3)))*(A61-A62)))&lt;0,((AL62+AM62)/2),AL62)</f>
        <v/>
      </c>
      <c r="AO62" s="16">
        <f>IF((((AL62+AM62)/2)+(C62/(DATOS!$B$14*((AL62+AM62)/2)))^2/(2*9.81)+B62-(E61+(C61/(DATOS!$B$14*E61))^2/(2*9.81)+B61+0.5*(((DATOS!$B$27*C61/(DATOS!$B$14*E61))^2/((DATOS!$B$14*E61)/(DATOS!$B$14+2*E61))^(4/3))+((DATOS!$B$27*C62/(DATOS!$B$14*((AL62+AM62)/2)))^2/((DATOS!$B$14*((AL62+AM62)/2))/(DATOS!$B$14+2*((AL62+AM62)/2)))^(4/3)))*(A61-A62)))&lt;0,AM62,((AL62+AM62)/2))</f>
        <v/>
      </c>
      <c r="AP62" s="16">
        <f>IF((((AN62+AO62)/2)+(C62/(DATOS!$B$14*((AN62+AO62)/2)))^2/(2*9.81)+B62-(E61+(C61/(DATOS!$B$14*E61))^2/(2*9.81)+B61+0.5*(((DATOS!$B$27*C61/(DATOS!$B$14*E61))^2/((DATOS!$B$14*E61)/(DATOS!$B$14+2*E61))^(4/3))+((DATOS!$B$27*C62/(DATOS!$B$14*((AN62+AO62)/2)))^2/((DATOS!$B$14*((AN62+AO62)/2))/(DATOS!$B$14+2*((AN62+AO62)/2)))^(4/3)))*(A61-A62)))&lt;0,((AN62+AO62)/2),AN62)</f>
        <v/>
      </c>
      <c r="AQ62" s="16">
        <f>IF((((AN62+AO62)/2)+(C62/(DATOS!$B$14*((AN62+AO62)/2)))^2/(2*9.81)+B62-(E61+(C61/(DATOS!$B$14*E61))^2/(2*9.81)+B61+0.5*(((DATOS!$B$27*C61/(DATOS!$B$14*E61))^2/((DATOS!$B$14*E61)/(DATOS!$B$14+2*E61))^(4/3))+((DATOS!$B$27*C62/(DATOS!$B$14*((AN62+AO62)/2)))^2/((DATOS!$B$14*((AN62+AO62)/2))/(DATOS!$B$14+2*((AN62+AO62)/2)))^(4/3)))*(A61-A62)))&lt;0,AO62,((AN62+AO62)/2))</f>
        <v/>
      </c>
      <c r="AR62" s="16">
        <f>IF((((AP62+AQ62)/2)+(C62/(DATOS!$B$14*((AP62+AQ62)/2)))^2/(2*9.81)+B62-(E61+(C61/(DATOS!$B$14*E61))^2/(2*9.81)+B61+0.5*(((DATOS!$B$27*C61/(DATOS!$B$14*E61))^2/((DATOS!$B$14*E61)/(DATOS!$B$14+2*E61))^(4/3))+((DATOS!$B$27*C62/(DATOS!$B$14*((AP62+AQ62)/2)))^2/((DATOS!$B$14*((AP62+AQ62)/2))/(DATOS!$B$14+2*((AP62+AQ62)/2)))^(4/3)))*(A61-A62)))&lt;0,((AP62+AQ62)/2),AP62)</f>
        <v/>
      </c>
      <c r="AS62" s="16">
        <f>IF((((AP62+AQ62)/2)+(C62/(DATOS!$B$14*((AP62+AQ62)/2)))^2/(2*9.81)+B62-(E61+(C61/(DATOS!$B$14*E61))^2/(2*9.81)+B61+0.5*(((DATOS!$B$27*C61/(DATOS!$B$14*E61))^2/((DATOS!$B$14*E61)/(DATOS!$B$14+2*E61))^(4/3))+((DATOS!$B$27*C62/(DATOS!$B$14*((AP62+AQ62)/2)))^2/((DATOS!$B$14*((AP62+AQ62)/2))/(DATOS!$B$14+2*((AP62+AQ62)/2)))^(4/3)))*(A61-A62)))&lt;0,AQ62,((AP62+AQ62)/2))</f>
        <v/>
      </c>
      <c r="AT62" s="16">
        <f>IF((((AR62+AS62)/2)+(C62/(DATOS!$B$14*((AR62+AS62)/2)))^2/(2*9.81)+B62-(E61+(C61/(DATOS!$B$14*E61))^2/(2*9.81)+B61+0.5*(((DATOS!$B$27*C61/(DATOS!$B$14*E61))^2/((DATOS!$B$14*E61)/(DATOS!$B$14+2*E61))^(4/3))+((DATOS!$B$27*C62/(DATOS!$B$14*((AR62+AS62)/2)))^2/((DATOS!$B$14*((AR62+AS62)/2))/(DATOS!$B$14+2*((AR62+AS62)/2)))^(4/3)))*(A61-A62)))&lt;0,((AR62+AS62)/2),AR62)</f>
        <v/>
      </c>
      <c r="AU62" s="16">
        <f>IF((((AR62+AS62)/2)+(C62/(DATOS!$B$14*((AR62+AS62)/2)))^2/(2*9.81)+B62-(E61+(C61/(DATOS!$B$14*E61))^2/(2*9.81)+B61+0.5*(((DATOS!$B$27*C61/(DATOS!$B$14*E61))^2/((DATOS!$B$14*E61)/(DATOS!$B$14+2*E61))^(4/3))+((DATOS!$B$27*C62/(DATOS!$B$14*((AR62+AS62)/2)))^2/((DATOS!$B$14*((AR62+AS62)/2))/(DATOS!$B$14+2*((AR62+AS62)/2)))^(4/3)))*(A61-A62)))&lt;0,AS62,((AR62+AS62)/2))</f>
        <v/>
      </c>
      <c r="AV62" s="16">
        <f>IF((((AT62+AU62)/2)+(C62/(DATOS!$B$14*((AT62+AU62)/2)))^2/(2*9.81)+B62-(E61+(C61/(DATOS!$B$14*E61))^2/(2*9.81)+B61+0.5*(((DATOS!$B$27*C61/(DATOS!$B$14*E61))^2/((DATOS!$B$14*E61)/(DATOS!$B$14+2*E61))^(4/3))+((DATOS!$B$27*C62/(DATOS!$B$14*((AT62+AU62)/2)))^2/((DATOS!$B$14*((AT62+AU62)/2))/(DATOS!$B$14+2*((AT62+AU62)/2)))^(4/3)))*(A61-A62)))&lt;0,((AT62+AU62)/2),AT62)</f>
        <v/>
      </c>
      <c r="AW62" s="16">
        <f>IF((((AT62+AU62)/2)+(C62/(DATOS!$B$14*((AT62+AU62)/2)))^2/(2*9.81)+B62-(E61+(C61/(DATOS!$B$14*E61))^2/(2*9.81)+B61+0.5*(((DATOS!$B$27*C61/(DATOS!$B$14*E61))^2/((DATOS!$B$14*E61)/(DATOS!$B$14+2*E61))^(4/3))+((DATOS!$B$27*C62/(DATOS!$B$14*((AT62+AU62)/2)))^2/((DATOS!$B$14*((AT62+AU62)/2))/(DATOS!$B$14+2*((AT62+AU62)/2)))^(4/3)))*(A61-A62)))&lt;0,AU62,((AT62+AU62)/2))</f>
        <v/>
      </c>
      <c r="AX62" s="16">
        <f>IF((((AV62+AW62)/2)+(C62/(DATOS!$B$14*((AV62+AW62)/2)))^2/(2*9.81)+B62-(E61+(C61/(DATOS!$B$14*E61))^2/(2*9.81)+B61+0.5*(((DATOS!$B$27*C61/(DATOS!$B$14*E61))^2/((DATOS!$B$14*E61)/(DATOS!$B$14+2*E61))^(4/3))+((DATOS!$B$27*C62/(DATOS!$B$14*((AV62+AW62)/2)))^2/((DATOS!$B$14*((AV62+AW62)/2))/(DATOS!$B$14+2*((AV62+AW62)/2)))^(4/3)))*(A61-A62)))&lt;0,((AV62+AW62)/2),AV62)</f>
        <v/>
      </c>
      <c r="AY62" s="16">
        <f>IF((((AV62+AW62)/2)+(C62/(DATOS!$B$14*((AV62+AW62)/2)))^2/(2*9.81)+B62-(E61+(C61/(DATOS!$B$14*E61))^2/(2*9.81)+B61+0.5*(((DATOS!$B$27*C61/(DATOS!$B$14*E61))^2/((DATOS!$B$14*E61)/(DATOS!$B$14+2*E61))^(4/3))+((DATOS!$B$27*C62/(DATOS!$B$14*((AV62+AW62)/2)))^2/((DATOS!$B$14*((AV62+AW62)/2))/(DATOS!$B$14+2*((AV62+AW62)/2)))^(4/3)))*(A61-A62)))&lt;0,AW62,((AV62+AW62)/2))</f>
        <v/>
      </c>
      <c r="AZ62" s="16">
        <f>IF((((AX62+AY62)/2)+(C62/(DATOS!$B$14*((AX62+AY62)/2)))^2/(2*9.81)+B62-(E61+(C61/(DATOS!$B$14*E61))^2/(2*9.81)+B61+0.5*(((DATOS!$B$27*C61/(DATOS!$B$14*E61))^2/((DATOS!$B$14*E61)/(DATOS!$B$14+2*E61))^(4/3))+((DATOS!$B$27*C62/(DATOS!$B$14*((AX62+AY62)/2)))^2/((DATOS!$B$14*((AX62+AY62)/2))/(DATOS!$B$14+2*((AX62+AY62)/2)))^(4/3)))*(A61-A62)))&lt;0,((AX62+AY62)/2),AX62)</f>
        <v/>
      </c>
      <c r="BA62" s="16">
        <f>IF((((AX62+AY62)/2)+(C62/(DATOS!$B$14*((AX62+AY62)/2)))^2/(2*9.81)+B62-(E61+(C61/(DATOS!$B$14*E61))^2/(2*9.81)+B61+0.5*(((DATOS!$B$27*C61/(DATOS!$B$14*E61))^2/((DATOS!$B$14*E61)/(DATOS!$B$14+2*E61))^(4/3))+((DATOS!$B$27*C62/(DATOS!$B$14*((AX62+AY62)/2)))^2/((DATOS!$B$14*((AX62+AY62)/2))/(DATOS!$B$14+2*((AX62+AY62)/2)))^(4/3)))*(A61-A62)))&lt;0,AY62,((AX62+AY62)/2))</f>
        <v/>
      </c>
      <c r="BB62" s="16">
        <f>IF((((AZ62+BA62)/2)+(C62/(DATOS!$B$14*((AZ62+BA62)/2)))^2/(2*9.81)+B62-(E61+(C61/(DATOS!$B$14*E61))^2/(2*9.81)+B61+0.5*(((DATOS!$B$27*C61/(DATOS!$B$14*E61))^2/((DATOS!$B$14*E61)/(DATOS!$B$14+2*E61))^(4/3))+((DATOS!$B$27*C62/(DATOS!$B$14*((AZ62+BA62)/2)))^2/((DATOS!$B$14*((AZ62+BA62)/2))/(DATOS!$B$14+2*((AZ62+BA62)/2)))^(4/3)))*(A61-A62)))&lt;0,((AZ62+BA62)/2),AZ62)</f>
        <v/>
      </c>
      <c r="BC62" s="16">
        <f>IF((((AZ62+BA62)/2)+(C62/(DATOS!$B$14*((AZ62+BA62)/2)))^2/(2*9.81)+B62-(E61+(C61/(DATOS!$B$14*E61))^2/(2*9.81)+B61+0.5*(((DATOS!$B$27*C61/(DATOS!$B$14*E61))^2/((DATOS!$B$14*E61)/(DATOS!$B$14+2*E61))^(4/3))+((DATOS!$B$27*C62/(DATOS!$B$14*((AZ62+BA62)/2)))^2/((DATOS!$B$14*((AZ62+BA62)/2))/(DATOS!$B$14+2*((AZ62+BA62)/2)))^(4/3)))*(A61-A62)))&lt;0,BA62,((AZ62+BA62)/2))</f>
        <v/>
      </c>
      <c r="BD62" s="16">
        <f>IF((((BB62+BC62)/2)+(C62/(DATOS!$B$14*((BB62+BC62)/2)))^2/(2*9.81)+B62-(E61+(C61/(DATOS!$B$14*E61))^2/(2*9.81)+B61+0.5*(((DATOS!$B$27*C61/(DATOS!$B$14*E61))^2/((DATOS!$B$14*E61)/(DATOS!$B$14+2*E61))^(4/3))+((DATOS!$B$27*C62/(DATOS!$B$14*((BB62+BC62)/2)))^2/((DATOS!$B$14*((BB62+BC62)/2))/(DATOS!$B$14+2*((BB62+BC62)/2)))^(4/3)))*(A61-A62)))&lt;0,((BB62+BC62)/2),BB62)</f>
        <v/>
      </c>
      <c r="BE62" s="16">
        <f>IF((((BB62+BC62)/2)+(C62/(DATOS!$B$14*((BB62+BC62)/2)))^2/(2*9.81)+B62-(E61+(C61/(DATOS!$B$14*E61))^2/(2*9.81)+B61+0.5*(((DATOS!$B$27*C61/(DATOS!$B$14*E61))^2/((DATOS!$B$14*E61)/(DATOS!$B$14+2*E61))^(4/3))+((DATOS!$B$27*C62/(DATOS!$B$14*((BB62+BC62)/2)))^2/((DATOS!$B$14*((BB62+BC62)/2))/(DATOS!$B$14+2*((BB62+BC62)/2)))^(4/3)))*(A61-A62)))&lt;0,BC62,((BB62+BC62)/2))</f>
        <v/>
      </c>
      <c r="BF62" s="16">
        <f>IF((((BD62+BE62)/2)+(C62/(DATOS!$B$14*((BD62+BE62)/2)))^2/(2*9.81)+B62-(E61+(C61/(DATOS!$B$14*E61))^2/(2*9.81)+B61+0.5*(((DATOS!$B$27*C61/(DATOS!$B$14*E61))^2/((DATOS!$B$14*E61)/(DATOS!$B$14+2*E61))^(4/3))+((DATOS!$B$27*C62/(DATOS!$B$14*((BD62+BE62)/2)))^2/((DATOS!$B$14*((BD62+BE62)/2))/(DATOS!$B$14+2*((BD62+BE62)/2)))^(4/3)))*(A61-A62)))&lt;0,((BD62+BE62)/2),BD62)</f>
        <v/>
      </c>
      <c r="BG62" s="16">
        <f>IF((((BD62+BE62)/2)+(C62/(DATOS!$B$14*((BD62+BE62)/2)))^2/(2*9.81)+B62-(E61+(C61/(DATOS!$B$14*E61))^2/(2*9.81)+B61+0.5*(((DATOS!$B$27*C61/(DATOS!$B$14*E61))^2/((DATOS!$B$14*E61)/(DATOS!$B$14+2*E61))^(4/3))+((DATOS!$B$27*C62/(DATOS!$B$14*((BD62+BE62)/2)))^2/((DATOS!$B$14*((BD62+BE62)/2))/(DATOS!$B$14+2*((BD62+BE62)/2)))^(4/3)))*(A61-A62)))&lt;0,BE62,((BD62+BE62)/2))</f>
        <v/>
      </c>
      <c r="BH62" s="16">
        <f>IF((((BF62+BG62)/2)+(C62/(DATOS!$B$14*((BF62+BG62)/2)))^2/(2*9.81)+B62-(E61+(C61/(DATOS!$B$14*E61))^2/(2*9.81)+B61+0.5*(((DATOS!$B$27*C61/(DATOS!$B$14*E61))^2/((DATOS!$B$14*E61)/(DATOS!$B$14+2*E61))^(4/3))+((DATOS!$B$27*C62/(DATOS!$B$14*((BF62+BG62)/2)))^2/((DATOS!$B$14*((BF62+BG62)/2))/(DATOS!$B$14+2*((BF62+BG62)/2)))^(4/3)))*(A61-A62)))&lt;0,((BF62+BG62)/2),BF62)</f>
        <v/>
      </c>
      <c r="BI62" s="16">
        <f>IF((((BF62+BG62)/2)+(C62/(DATOS!$B$14*((BF62+BG62)/2)))^2/(2*9.81)+B62-(E61+(C61/(DATOS!$B$14*E61))^2/(2*9.81)+B61+0.5*(((DATOS!$B$27*C61/(DATOS!$B$14*E61))^2/((DATOS!$B$14*E61)/(DATOS!$B$14+2*E61))^(4/3))+((DATOS!$B$27*C62/(DATOS!$B$14*((BF62+BG62)/2)))^2/((DATOS!$B$14*((BF62+BG62)/2))/(DATOS!$B$14+2*((BF62+BG62)/2)))^(4/3)))*(A61-A62)))&lt;0,BG62,((BF62+BG62)/2))</f>
        <v/>
      </c>
      <c r="BJ62" s="16">
        <f>IF((((BH62+BI62)/2)+(C62/(DATOS!$B$14*((BH62+BI62)/2)))^2/(2*9.81)+B62-(E61+(C61/(DATOS!$B$14*E61))^2/(2*9.81)+B61+0.5*(((DATOS!$B$27*C61/(DATOS!$B$14*E61))^2/((DATOS!$B$14*E61)/(DATOS!$B$14+2*E61))^(4/3))+((DATOS!$B$27*C62/(DATOS!$B$14*((BH62+BI62)/2)))^2/((DATOS!$B$14*((BH62+BI62)/2))/(DATOS!$B$14+2*((BH62+BI62)/2)))^(4/3)))*(A61-A62)))&lt;0,((BH62+BI62)/2),BH62)</f>
        <v/>
      </c>
      <c r="BK62" s="16">
        <f>IF((((BH62+BI62)/2)+(C62/(DATOS!$B$14*((BH62+BI62)/2)))^2/(2*9.81)+B62-(E61+(C61/(DATOS!$B$14*E61))^2/(2*9.81)+B61+0.5*(((DATOS!$B$27*C61/(DATOS!$B$14*E61))^2/((DATOS!$B$14*E61)/(DATOS!$B$14+2*E61))^(4/3))+((DATOS!$B$27*C62/(DATOS!$B$14*((BH62+BI62)/2)))^2/((DATOS!$B$14*((BH62+BI62)/2))/(DATOS!$B$14+2*((BH62+BI62)/2)))^(4/3)))*(A61-A62)))&lt;0,BI62,((BH62+BI62)/2))</f>
        <v/>
      </c>
      <c r="BL62" s="16">
        <f>IF((((BJ62+BK62)/2)+(C62/(DATOS!$B$14*((BJ62+BK62)/2)))^2/(2*9.81)+B62-(E61+(C61/(DATOS!$B$14*E61))^2/(2*9.81)+B61+0.5*(((DATOS!$B$27*C61/(DATOS!$B$14*E61))^2/((DATOS!$B$14*E61)/(DATOS!$B$14+2*E61))^(4/3))+((DATOS!$B$27*C62/(DATOS!$B$14*((BJ62+BK62)/2)))^2/((DATOS!$B$14*((BJ62+BK62)/2))/(DATOS!$B$14+2*((BJ62+BK62)/2)))^(4/3)))*(A61-A62)))&lt;0,((BJ62+BK62)/2),BJ62)</f>
        <v/>
      </c>
      <c r="BM62" s="16">
        <f>IF((((BJ62+BK62)/2)+(C62/(DATOS!$B$14*((BJ62+BK62)/2)))^2/(2*9.81)+B62-(E61+(C61/(DATOS!$B$14*E61))^2/(2*9.81)+B61+0.5*(((DATOS!$B$27*C61/(DATOS!$B$14*E61))^2/((DATOS!$B$14*E61)/(DATOS!$B$14+2*E61))^(4/3))+((DATOS!$B$27*C62/(DATOS!$B$14*((BJ62+BK62)/2)))^2/((DATOS!$B$14*((BJ62+BK62)/2))/(DATOS!$B$14+2*((BJ62+BK62)/2)))^(4/3)))*(A61-A62)))&lt;0,BK62,((BJ62+BK62)/2))</f>
        <v/>
      </c>
      <c r="BN62" s="16">
        <f>IF((((BL62+BM62)/2)+(C62/(DATOS!$B$14*((BL62+BM62)/2)))^2/(2*9.81)+B62-(E61+(C61/(DATOS!$B$14*E61))^2/(2*9.81)+B61+0.5*(((DATOS!$B$27*C61/(DATOS!$B$14*E61))^2/((DATOS!$B$14*E61)/(DATOS!$B$14+2*E61))^(4/3))+((DATOS!$B$27*C62/(DATOS!$B$14*((BL62+BM62)/2)))^2/((DATOS!$B$14*((BL62+BM62)/2))/(DATOS!$B$14+2*((BL62+BM62)/2)))^(4/3)))*(A61-A62)))&lt;0,((BL62+BM62)/2),BL62)</f>
        <v/>
      </c>
      <c r="BO62" s="16">
        <f>IF((((BL62+BM62)/2)+(C62/(DATOS!$B$14*((BL62+BM62)/2)))^2/(2*9.81)+B62-(E61+(C61/(DATOS!$B$14*E61))^2/(2*9.81)+B61+0.5*(((DATOS!$B$27*C61/(DATOS!$B$14*E61))^2/((DATOS!$B$14*E61)/(DATOS!$B$14+2*E61))^(4/3))+((DATOS!$B$27*C62/(DATOS!$B$14*((BL62+BM62)/2)))^2/((DATOS!$B$14*((BL62+BM62)/2))/(DATOS!$B$14+2*((BL62+BM62)/2)))^(4/3)))*(A61-A62)))&lt;0,BM62,((BL62+BM62)/2))</f>
        <v/>
      </c>
      <c r="BP62" s="16">
        <f>IF((((BN62+BO62)/2)+(C62/(DATOS!$B$14*((BN62+BO62)/2)))^2/(2*9.81)+B62-(E61+(C61/(DATOS!$B$14*E61))^2/(2*9.81)+B61+0.5*(((DATOS!$B$27*C61/(DATOS!$B$14*E61))^2/((DATOS!$B$14*E61)/(DATOS!$B$14+2*E61))^(4/3))+((DATOS!$B$27*C62/(DATOS!$B$14*((BN62+BO62)/2)))^2/((DATOS!$B$14*((BN62+BO62)/2))/(DATOS!$B$14+2*((BN62+BO62)/2)))^(4/3)))*(A61-A62)))&lt;0,((BN62+BO62)/2),BN62)</f>
        <v/>
      </c>
      <c r="BQ62" s="16">
        <f>IF((((BN62+BO62)/2)+(C62/(DATOS!$B$14*((BN62+BO62)/2)))^2/(2*9.81)+B62-(E61+(C61/(DATOS!$B$14*E61))^2/(2*9.81)+B61+0.5*(((DATOS!$B$27*C61/(DATOS!$B$14*E61))^2/((DATOS!$B$14*E61)/(DATOS!$B$14+2*E61))^(4/3))+((DATOS!$B$27*C62/(DATOS!$B$14*((BN62+BO62)/2)))^2/((DATOS!$B$14*((BN62+BO62)/2))/(DATOS!$B$14+2*((BN62+BO62)/2)))^(4/3)))*(A61-A62)))&lt;0,BO62,((BN62+BO62)/2))</f>
        <v/>
      </c>
      <c r="BR62" s="16">
        <f>IF((((BP62+BQ62)/2)+(C62/(DATOS!$B$14*((BP62+BQ62)/2)))^2/(2*9.81)+B62-(E61+(C61/(DATOS!$B$14*E61))^2/(2*9.81)+B61+0.5*(((DATOS!$B$27*C61/(DATOS!$B$14*E61))^2/((DATOS!$B$14*E61)/(DATOS!$B$14+2*E61))^(4/3))+((DATOS!$B$27*C62/(DATOS!$B$14*((BP62+BQ62)/2)))^2/((DATOS!$B$14*((BP62+BQ62)/2))/(DATOS!$B$14+2*((BP62+BQ62)/2)))^(4/3)))*(A61-A62)))&lt;0,((BP62+BQ62)/2),BP62)</f>
        <v/>
      </c>
      <c r="BS62" s="16">
        <f>IF((((BP62+BQ62)/2)+(C62/(DATOS!$B$14*((BP62+BQ62)/2)))^2/(2*9.81)+B62-(E61+(C61/(DATOS!$B$14*E61))^2/(2*9.81)+B61+0.5*(((DATOS!$B$27*C61/(DATOS!$B$14*E61))^2/((DATOS!$B$14*E61)/(DATOS!$B$14+2*E61))^(4/3))+((DATOS!$B$27*C62/(DATOS!$B$14*((BP62+BQ62)/2)))^2/((DATOS!$B$14*((BP62+BQ62)/2))/(DATOS!$B$14+2*((BP62+BQ62)/2)))^(4/3)))*(A61-A62)))&lt;0,BQ62,((BP62+BQ62)/2))</f>
        <v/>
      </c>
      <c r="BT62" s="16">
        <f>IF((((BR62+BS62)/2)+(C62/(DATOS!$B$14*((BR62+BS62)/2)))^2/(2*9.81)+B62-(E61+(C61/(DATOS!$B$14*E61))^2/(2*9.81)+B61+0.5*(((DATOS!$B$27*C61/(DATOS!$B$14*E61))^2/((DATOS!$B$14*E61)/(DATOS!$B$14+2*E61))^(4/3))+((DATOS!$B$27*C62/(DATOS!$B$14*((BR62+BS62)/2)))^2/((DATOS!$B$14*((BR62+BS62)/2))/(DATOS!$B$14+2*((BR62+BS62)/2)))^(4/3)))*(A61-A62)))&lt;0,((BR62+BS62)/2),BR62)</f>
        <v/>
      </c>
      <c r="BU62" s="16">
        <f>IF((((BR62+BS62)/2)+(C62/(DATOS!$B$14*((BR62+BS62)/2)))^2/(2*9.81)+B62-(E61+(C61/(DATOS!$B$14*E61))^2/(2*9.81)+B61+0.5*(((DATOS!$B$27*C61/(DATOS!$B$14*E61))^2/((DATOS!$B$14*E61)/(DATOS!$B$14+2*E61))^(4/3))+((DATOS!$B$27*C62/(DATOS!$B$14*((BR62+BS62)/2)))^2/((DATOS!$B$14*((BR62+BS62)/2))/(DATOS!$B$14+2*((BR62+BS62)/2)))^(4/3)))*(A61-A62)))&lt;0,BS62,((BR62+BS62)/2))</f>
        <v/>
      </c>
    </row>
    <row r="63">
      <c r="A63" s="30" t="n">
        <v>32</v>
      </c>
      <c r="B63" s="21">
        <f>DATOS!$B$16-DATOS!$B$19*A63</f>
        <v/>
      </c>
      <c r="C63" s="21">
        <f>IF(A63&lt;CAUDALES!$B$13,CAUDALES!$D$12,IF(A63&lt;CAUDALES!$B$14,CAUDALES!$D$13,IF(A63&lt;CAUDALES!$B$15,CAUDALES!$D$14,CAUDALES!$D$15)))/1000</f>
        <v/>
      </c>
      <c r="D63" s="21">
        <f>(C63^2/(9.81*DATOS!$B$14^2))^(1/3)</f>
        <v/>
      </c>
      <c r="E63" s="29">
        <f>(BT63+BU63)/2</f>
        <v/>
      </c>
      <c r="F63" s="21">
        <f>B63+E63</f>
        <v/>
      </c>
      <c r="G63" s="17">
        <f>C63/(DATOS!$B$14*E63)</f>
        <v/>
      </c>
      <c r="H63" s="17">
        <f>G63/SQRT(9.81*E63)</f>
        <v/>
      </c>
      <c r="I63" s="21">
        <f>IF(A63&lt;=DATOS!$B$20,DATOS!$B$21-IF(AND(A63&gt;=DATOS!$B$23,A63&lt;DATOS!$B$24),DATOS!$B$25,DATOS!$B$22),B63+DATOS!$B$26)</f>
        <v/>
      </c>
      <c r="J63" s="17">
        <f>I63-B63</f>
        <v/>
      </c>
      <c r="K63" s="31">
        <f>E63/J63</f>
        <v/>
      </c>
      <c r="L63" s="21">
        <f>I63-F63</f>
        <v/>
      </c>
      <c r="M63" s="32">
        <f>IF(AND(K63&lt;=DATOS!$B$29,L63&gt;=DATOS!$B$30),"CUMPLE","NO CUMPLE")</f>
        <v/>
      </c>
      <c r="N63" s="13">
        <f>IF(A63&gt;DATOS!$B$20,"cubierto - tramo final",IF(AND(A63&gt;=DATOS!$B$23,A63&lt;DATOS!$B$24),"cubierto - camiones","cubierto"))</f>
        <v/>
      </c>
      <c r="P63" s="16">
        <f>D63*1.001</f>
        <v/>
      </c>
      <c r="Q63" s="16" t="n">
        <v>2</v>
      </c>
      <c r="R63" s="16">
        <f>IF((((P63+Q63)/2)+(C63/(DATOS!$B$14*((P63+Q63)/2)))^2/(2*9.81)+B63-(E62+(C62/(DATOS!$B$14*E62))^2/(2*9.81)+B62+0.5*(((DATOS!$B$27*C62/(DATOS!$B$14*E62))^2/((DATOS!$B$14*E62)/(DATOS!$B$14+2*E62))^(4/3))+((DATOS!$B$27*C63/(DATOS!$B$14*((P63+Q63)/2)))^2/((DATOS!$B$14*((P63+Q63)/2))/(DATOS!$B$14+2*((P63+Q63)/2)))^(4/3)))*(A62-A63)))&lt;0,((P63+Q63)/2),P63)</f>
        <v/>
      </c>
      <c r="S63" s="16">
        <f>IF((((P63+Q63)/2)+(C63/(DATOS!$B$14*((P63+Q63)/2)))^2/(2*9.81)+B63-(E62+(C62/(DATOS!$B$14*E62))^2/(2*9.81)+B62+0.5*(((DATOS!$B$27*C62/(DATOS!$B$14*E62))^2/((DATOS!$B$14*E62)/(DATOS!$B$14+2*E62))^(4/3))+((DATOS!$B$27*C63/(DATOS!$B$14*((P63+Q63)/2)))^2/((DATOS!$B$14*((P63+Q63)/2))/(DATOS!$B$14+2*((P63+Q63)/2)))^(4/3)))*(A62-A63)))&lt;0,Q63,((P63+Q63)/2))</f>
        <v/>
      </c>
      <c r="T63" s="16">
        <f>IF((((R63+S63)/2)+(C63/(DATOS!$B$14*((R63+S63)/2)))^2/(2*9.81)+B63-(E62+(C62/(DATOS!$B$14*E62))^2/(2*9.81)+B62+0.5*(((DATOS!$B$27*C62/(DATOS!$B$14*E62))^2/((DATOS!$B$14*E62)/(DATOS!$B$14+2*E62))^(4/3))+((DATOS!$B$27*C63/(DATOS!$B$14*((R63+S63)/2)))^2/((DATOS!$B$14*((R63+S63)/2))/(DATOS!$B$14+2*((R63+S63)/2)))^(4/3)))*(A62-A63)))&lt;0,((R63+S63)/2),R63)</f>
        <v/>
      </c>
      <c r="U63" s="16">
        <f>IF((((R63+S63)/2)+(C63/(DATOS!$B$14*((R63+S63)/2)))^2/(2*9.81)+B63-(E62+(C62/(DATOS!$B$14*E62))^2/(2*9.81)+B62+0.5*(((DATOS!$B$27*C62/(DATOS!$B$14*E62))^2/((DATOS!$B$14*E62)/(DATOS!$B$14+2*E62))^(4/3))+((DATOS!$B$27*C63/(DATOS!$B$14*((R63+S63)/2)))^2/((DATOS!$B$14*((R63+S63)/2))/(DATOS!$B$14+2*((R63+S63)/2)))^(4/3)))*(A62-A63)))&lt;0,S63,((R63+S63)/2))</f>
        <v/>
      </c>
      <c r="V63" s="16">
        <f>IF((((T63+U63)/2)+(C63/(DATOS!$B$14*((T63+U63)/2)))^2/(2*9.81)+B63-(E62+(C62/(DATOS!$B$14*E62))^2/(2*9.81)+B62+0.5*(((DATOS!$B$27*C62/(DATOS!$B$14*E62))^2/((DATOS!$B$14*E62)/(DATOS!$B$14+2*E62))^(4/3))+((DATOS!$B$27*C63/(DATOS!$B$14*((T63+U63)/2)))^2/((DATOS!$B$14*((T63+U63)/2))/(DATOS!$B$14+2*((T63+U63)/2)))^(4/3)))*(A62-A63)))&lt;0,((T63+U63)/2),T63)</f>
        <v/>
      </c>
      <c r="W63" s="16">
        <f>IF((((T63+U63)/2)+(C63/(DATOS!$B$14*((T63+U63)/2)))^2/(2*9.81)+B63-(E62+(C62/(DATOS!$B$14*E62))^2/(2*9.81)+B62+0.5*(((DATOS!$B$27*C62/(DATOS!$B$14*E62))^2/((DATOS!$B$14*E62)/(DATOS!$B$14+2*E62))^(4/3))+((DATOS!$B$27*C63/(DATOS!$B$14*((T63+U63)/2)))^2/((DATOS!$B$14*((T63+U63)/2))/(DATOS!$B$14+2*((T63+U63)/2)))^(4/3)))*(A62-A63)))&lt;0,U63,((T63+U63)/2))</f>
        <v/>
      </c>
      <c r="X63" s="16">
        <f>IF((((V63+W63)/2)+(C63/(DATOS!$B$14*((V63+W63)/2)))^2/(2*9.81)+B63-(E62+(C62/(DATOS!$B$14*E62))^2/(2*9.81)+B62+0.5*(((DATOS!$B$27*C62/(DATOS!$B$14*E62))^2/((DATOS!$B$14*E62)/(DATOS!$B$14+2*E62))^(4/3))+((DATOS!$B$27*C63/(DATOS!$B$14*((V63+W63)/2)))^2/((DATOS!$B$14*((V63+W63)/2))/(DATOS!$B$14+2*((V63+W63)/2)))^(4/3)))*(A62-A63)))&lt;0,((V63+W63)/2),V63)</f>
        <v/>
      </c>
      <c r="Y63" s="16">
        <f>IF((((V63+W63)/2)+(C63/(DATOS!$B$14*((V63+W63)/2)))^2/(2*9.81)+B63-(E62+(C62/(DATOS!$B$14*E62))^2/(2*9.81)+B62+0.5*(((DATOS!$B$27*C62/(DATOS!$B$14*E62))^2/((DATOS!$B$14*E62)/(DATOS!$B$14+2*E62))^(4/3))+((DATOS!$B$27*C63/(DATOS!$B$14*((V63+W63)/2)))^2/((DATOS!$B$14*((V63+W63)/2))/(DATOS!$B$14+2*((V63+W63)/2)))^(4/3)))*(A62-A63)))&lt;0,W63,((V63+W63)/2))</f>
        <v/>
      </c>
      <c r="Z63" s="16">
        <f>IF((((X63+Y63)/2)+(C63/(DATOS!$B$14*((X63+Y63)/2)))^2/(2*9.81)+B63-(E62+(C62/(DATOS!$B$14*E62))^2/(2*9.81)+B62+0.5*(((DATOS!$B$27*C62/(DATOS!$B$14*E62))^2/((DATOS!$B$14*E62)/(DATOS!$B$14+2*E62))^(4/3))+((DATOS!$B$27*C63/(DATOS!$B$14*((X63+Y63)/2)))^2/((DATOS!$B$14*((X63+Y63)/2))/(DATOS!$B$14+2*((X63+Y63)/2)))^(4/3)))*(A62-A63)))&lt;0,((X63+Y63)/2),X63)</f>
        <v/>
      </c>
      <c r="AA63" s="16">
        <f>IF((((X63+Y63)/2)+(C63/(DATOS!$B$14*((X63+Y63)/2)))^2/(2*9.81)+B63-(E62+(C62/(DATOS!$B$14*E62))^2/(2*9.81)+B62+0.5*(((DATOS!$B$27*C62/(DATOS!$B$14*E62))^2/((DATOS!$B$14*E62)/(DATOS!$B$14+2*E62))^(4/3))+((DATOS!$B$27*C63/(DATOS!$B$14*((X63+Y63)/2)))^2/((DATOS!$B$14*((X63+Y63)/2))/(DATOS!$B$14+2*((X63+Y63)/2)))^(4/3)))*(A62-A63)))&lt;0,Y63,((X63+Y63)/2))</f>
        <v/>
      </c>
      <c r="AB63" s="16">
        <f>IF((((Z63+AA63)/2)+(C63/(DATOS!$B$14*((Z63+AA63)/2)))^2/(2*9.81)+B63-(E62+(C62/(DATOS!$B$14*E62))^2/(2*9.81)+B62+0.5*(((DATOS!$B$27*C62/(DATOS!$B$14*E62))^2/((DATOS!$B$14*E62)/(DATOS!$B$14+2*E62))^(4/3))+((DATOS!$B$27*C63/(DATOS!$B$14*((Z63+AA63)/2)))^2/((DATOS!$B$14*((Z63+AA63)/2))/(DATOS!$B$14+2*((Z63+AA63)/2)))^(4/3)))*(A62-A63)))&lt;0,((Z63+AA63)/2),Z63)</f>
        <v/>
      </c>
      <c r="AC63" s="16">
        <f>IF((((Z63+AA63)/2)+(C63/(DATOS!$B$14*((Z63+AA63)/2)))^2/(2*9.81)+B63-(E62+(C62/(DATOS!$B$14*E62))^2/(2*9.81)+B62+0.5*(((DATOS!$B$27*C62/(DATOS!$B$14*E62))^2/((DATOS!$B$14*E62)/(DATOS!$B$14+2*E62))^(4/3))+((DATOS!$B$27*C63/(DATOS!$B$14*((Z63+AA63)/2)))^2/((DATOS!$B$14*((Z63+AA63)/2))/(DATOS!$B$14+2*((Z63+AA63)/2)))^(4/3)))*(A62-A63)))&lt;0,AA63,((Z63+AA63)/2))</f>
        <v/>
      </c>
      <c r="AD63" s="16">
        <f>IF((((AB63+AC63)/2)+(C63/(DATOS!$B$14*((AB63+AC63)/2)))^2/(2*9.81)+B63-(E62+(C62/(DATOS!$B$14*E62))^2/(2*9.81)+B62+0.5*(((DATOS!$B$27*C62/(DATOS!$B$14*E62))^2/((DATOS!$B$14*E62)/(DATOS!$B$14+2*E62))^(4/3))+((DATOS!$B$27*C63/(DATOS!$B$14*((AB63+AC63)/2)))^2/((DATOS!$B$14*((AB63+AC63)/2))/(DATOS!$B$14+2*((AB63+AC63)/2)))^(4/3)))*(A62-A63)))&lt;0,((AB63+AC63)/2),AB63)</f>
        <v/>
      </c>
      <c r="AE63" s="16">
        <f>IF((((AB63+AC63)/2)+(C63/(DATOS!$B$14*((AB63+AC63)/2)))^2/(2*9.81)+B63-(E62+(C62/(DATOS!$B$14*E62))^2/(2*9.81)+B62+0.5*(((DATOS!$B$27*C62/(DATOS!$B$14*E62))^2/((DATOS!$B$14*E62)/(DATOS!$B$14+2*E62))^(4/3))+((DATOS!$B$27*C63/(DATOS!$B$14*((AB63+AC63)/2)))^2/((DATOS!$B$14*((AB63+AC63)/2))/(DATOS!$B$14+2*((AB63+AC63)/2)))^(4/3)))*(A62-A63)))&lt;0,AC63,((AB63+AC63)/2))</f>
        <v/>
      </c>
      <c r="AF63" s="16">
        <f>IF((((AD63+AE63)/2)+(C63/(DATOS!$B$14*((AD63+AE63)/2)))^2/(2*9.81)+B63-(E62+(C62/(DATOS!$B$14*E62))^2/(2*9.81)+B62+0.5*(((DATOS!$B$27*C62/(DATOS!$B$14*E62))^2/((DATOS!$B$14*E62)/(DATOS!$B$14+2*E62))^(4/3))+((DATOS!$B$27*C63/(DATOS!$B$14*((AD63+AE63)/2)))^2/((DATOS!$B$14*((AD63+AE63)/2))/(DATOS!$B$14+2*((AD63+AE63)/2)))^(4/3)))*(A62-A63)))&lt;0,((AD63+AE63)/2),AD63)</f>
        <v/>
      </c>
      <c r="AG63" s="16">
        <f>IF((((AD63+AE63)/2)+(C63/(DATOS!$B$14*((AD63+AE63)/2)))^2/(2*9.81)+B63-(E62+(C62/(DATOS!$B$14*E62))^2/(2*9.81)+B62+0.5*(((DATOS!$B$27*C62/(DATOS!$B$14*E62))^2/((DATOS!$B$14*E62)/(DATOS!$B$14+2*E62))^(4/3))+((DATOS!$B$27*C63/(DATOS!$B$14*((AD63+AE63)/2)))^2/((DATOS!$B$14*((AD63+AE63)/2))/(DATOS!$B$14+2*((AD63+AE63)/2)))^(4/3)))*(A62-A63)))&lt;0,AE63,((AD63+AE63)/2))</f>
        <v/>
      </c>
      <c r="AH63" s="16">
        <f>IF((((AF63+AG63)/2)+(C63/(DATOS!$B$14*((AF63+AG63)/2)))^2/(2*9.81)+B63-(E62+(C62/(DATOS!$B$14*E62))^2/(2*9.81)+B62+0.5*(((DATOS!$B$27*C62/(DATOS!$B$14*E62))^2/((DATOS!$B$14*E62)/(DATOS!$B$14+2*E62))^(4/3))+((DATOS!$B$27*C63/(DATOS!$B$14*((AF63+AG63)/2)))^2/((DATOS!$B$14*((AF63+AG63)/2))/(DATOS!$B$14+2*((AF63+AG63)/2)))^(4/3)))*(A62-A63)))&lt;0,((AF63+AG63)/2),AF63)</f>
        <v/>
      </c>
      <c r="AI63" s="16">
        <f>IF((((AF63+AG63)/2)+(C63/(DATOS!$B$14*((AF63+AG63)/2)))^2/(2*9.81)+B63-(E62+(C62/(DATOS!$B$14*E62))^2/(2*9.81)+B62+0.5*(((DATOS!$B$27*C62/(DATOS!$B$14*E62))^2/((DATOS!$B$14*E62)/(DATOS!$B$14+2*E62))^(4/3))+((DATOS!$B$27*C63/(DATOS!$B$14*((AF63+AG63)/2)))^2/((DATOS!$B$14*((AF63+AG63)/2))/(DATOS!$B$14+2*((AF63+AG63)/2)))^(4/3)))*(A62-A63)))&lt;0,AG63,((AF63+AG63)/2))</f>
        <v/>
      </c>
      <c r="AJ63" s="16">
        <f>IF((((AH63+AI63)/2)+(C63/(DATOS!$B$14*((AH63+AI63)/2)))^2/(2*9.81)+B63-(E62+(C62/(DATOS!$B$14*E62))^2/(2*9.81)+B62+0.5*(((DATOS!$B$27*C62/(DATOS!$B$14*E62))^2/((DATOS!$B$14*E62)/(DATOS!$B$14+2*E62))^(4/3))+((DATOS!$B$27*C63/(DATOS!$B$14*((AH63+AI63)/2)))^2/((DATOS!$B$14*((AH63+AI63)/2))/(DATOS!$B$14+2*((AH63+AI63)/2)))^(4/3)))*(A62-A63)))&lt;0,((AH63+AI63)/2),AH63)</f>
        <v/>
      </c>
      <c r="AK63" s="16">
        <f>IF((((AH63+AI63)/2)+(C63/(DATOS!$B$14*((AH63+AI63)/2)))^2/(2*9.81)+B63-(E62+(C62/(DATOS!$B$14*E62))^2/(2*9.81)+B62+0.5*(((DATOS!$B$27*C62/(DATOS!$B$14*E62))^2/((DATOS!$B$14*E62)/(DATOS!$B$14+2*E62))^(4/3))+((DATOS!$B$27*C63/(DATOS!$B$14*((AH63+AI63)/2)))^2/((DATOS!$B$14*((AH63+AI63)/2))/(DATOS!$B$14+2*((AH63+AI63)/2)))^(4/3)))*(A62-A63)))&lt;0,AI63,((AH63+AI63)/2))</f>
        <v/>
      </c>
      <c r="AL63" s="16">
        <f>IF((((AJ63+AK63)/2)+(C63/(DATOS!$B$14*((AJ63+AK63)/2)))^2/(2*9.81)+B63-(E62+(C62/(DATOS!$B$14*E62))^2/(2*9.81)+B62+0.5*(((DATOS!$B$27*C62/(DATOS!$B$14*E62))^2/((DATOS!$B$14*E62)/(DATOS!$B$14+2*E62))^(4/3))+((DATOS!$B$27*C63/(DATOS!$B$14*((AJ63+AK63)/2)))^2/((DATOS!$B$14*((AJ63+AK63)/2))/(DATOS!$B$14+2*((AJ63+AK63)/2)))^(4/3)))*(A62-A63)))&lt;0,((AJ63+AK63)/2),AJ63)</f>
        <v/>
      </c>
      <c r="AM63" s="16">
        <f>IF((((AJ63+AK63)/2)+(C63/(DATOS!$B$14*((AJ63+AK63)/2)))^2/(2*9.81)+B63-(E62+(C62/(DATOS!$B$14*E62))^2/(2*9.81)+B62+0.5*(((DATOS!$B$27*C62/(DATOS!$B$14*E62))^2/((DATOS!$B$14*E62)/(DATOS!$B$14+2*E62))^(4/3))+((DATOS!$B$27*C63/(DATOS!$B$14*((AJ63+AK63)/2)))^2/((DATOS!$B$14*((AJ63+AK63)/2))/(DATOS!$B$14+2*((AJ63+AK63)/2)))^(4/3)))*(A62-A63)))&lt;0,AK63,((AJ63+AK63)/2))</f>
        <v/>
      </c>
      <c r="AN63" s="16">
        <f>IF((((AL63+AM63)/2)+(C63/(DATOS!$B$14*((AL63+AM63)/2)))^2/(2*9.81)+B63-(E62+(C62/(DATOS!$B$14*E62))^2/(2*9.81)+B62+0.5*(((DATOS!$B$27*C62/(DATOS!$B$14*E62))^2/((DATOS!$B$14*E62)/(DATOS!$B$14+2*E62))^(4/3))+((DATOS!$B$27*C63/(DATOS!$B$14*((AL63+AM63)/2)))^2/((DATOS!$B$14*((AL63+AM63)/2))/(DATOS!$B$14+2*((AL63+AM63)/2)))^(4/3)))*(A62-A63)))&lt;0,((AL63+AM63)/2),AL63)</f>
        <v/>
      </c>
      <c r="AO63" s="16">
        <f>IF((((AL63+AM63)/2)+(C63/(DATOS!$B$14*((AL63+AM63)/2)))^2/(2*9.81)+B63-(E62+(C62/(DATOS!$B$14*E62))^2/(2*9.81)+B62+0.5*(((DATOS!$B$27*C62/(DATOS!$B$14*E62))^2/((DATOS!$B$14*E62)/(DATOS!$B$14+2*E62))^(4/3))+((DATOS!$B$27*C63/(DATOS!$B$14*((AL63+AM63)/2)))^2/((DATOS!$B$14*((AL63+AM63)/2))/(DATOS!$B$14+2*((AL63+AM63)/2)))^(4/3)))*(A62-A63)))&lt;0,AM63,((AL63+AM63)/2))</f>
        <v/>
      </c>
      <c r="AP63" s="16">
        <f>IF((((AN63+AO63)/2)+(C63/(DATOS!$B$14*((AN63+AO63)/2)))^2/(2*9.81)+B63-(E62+(C62/(DATOS!$B$14*E62))^2/(2*9.81)+B62+0.5*(((DATOS!$B$27*C62/(DATOS!$B$14*E62))^2/((DATOS!$B$14*E62)/(DATOS!$B$14+2*E62))^(4/3))+((DATOS!$B$27*C63/(DATOS!$B$14*((AN63+AO63)/2)))^2/((DATOS!$B$14*((AN63+AO63)/2))/(DATOS!$B$14+2*((AN63+AO63)/2)))^(4/3)))*(A62-A63)))&lt;0,((AN63+AO63)/2),AN63)</f>
        <v/>
      </c>
      <c r="AQ63" s="16">
        <f>IF((((AN63+AO63)/2)+(C63/(DATOS!$B$14*((AN63+AO63)/2)))^2/(2*9.81)+B63-(E62+(C62/(DATOS!$B$14*E62))^2/(2*9.81)+B62+0.5*(((DATOS!$B$27*C62/(DATOS!$B$14*E62))^2/((DATOS!$B$14*E62)/(DATOS!$B$14+2*E62))^(4/3))+((DATOS!$B$27*C63/(DATOS!$B$14*((AN63+AO63)/2)))^2/((DATOS!$B$14*((AN63+AO63)/2))/(DATOS!$B$14+2*((AN63+AO63)/2)))^(4/3)))*(A62-A63)))&lt;0,AO63,((AN63+AO63)/2))</f>
        <v/>
      </c>
      <c r="AR63" s="16">
        <f>IF((((AP63+AQ63)/2)+(C63/(DATOS!$B$14*((AP63+AQ63)/2)))^2/(2*9.81)+B63-(E62+(C62/(DATOS!$B$14*E62))^2/(2*9.81)+B62+0.5*(((DATOS!$B$27*C62/(DATOS!$B$14*E62))^2/((DATOS!$B$14*E62)/(DATOS!$B$14+2*E62))^(4/3))+((DATOS!$B$27*C63/(DATOS!$B$14*((AP63+AQ63)/2)))^2/((DATOS!$B$14*((AP63+AQ63)/2))/(DATOS!$B$14+2*((AP63+AQ63)/2)))^(4/3)))*(A62-A63)))&lt;0,((AP63+AQ63)/2),AP63)</f>
        <v/>
      </c>
      <c r="AS63" s="16">
        <f>IF((((AP63+AQ63)/2)+(C63/(DATOS!$B$14*((AP63+AQ63)/2)))^2/(2*9.81)+B63-(E62+(C62/(DATOS!$B$14*E62))^2/(2*9.81)+B62+0.5*(((DATOS!$B$27*C62/(DATOS!$B$14*E62))^2/((DATOS!$B$14*E62)/(DATOS!$B$14+2*E62))^(4/3))+((DATOS!$B$27*C63/(DATOS!$B$14*((AP63+AQ63)/2)))^2/((DATOS!$B$14*((AP63+AQ63)/2))/(DATOS!$B$14+2*((AP63+AQ63)/2)))^(4/3)))*(A62-A63)))&lt;0,AQ63,((AP63+AQ63)/2))</f>
        <v/>
      </c>
      <c r="AT63" s="16">
        <f>IF((((AR63+AS63)/2)+(C63/(DATOS!$B$14*((AR63+AS63)/2)))^2/(2*9.81)+B63-(E62+(C62/(DATOS!$B$14*E62))^2/(2*9.81)+B62+0.5*(((DATOS!$B$27*C62/(DATOS!$B$14*E62))^2/((DATOS!$B$14*E62)/(DATOS!$B$14+2*E62))^(4/3))+((DATOS!$B$27*C63/(DATOS!$B$14*((AR63+AS63)/2)))^2/((DATOS!$B$14*((AR63+AS63)/2))/(DATOS!$B$14+2*((AR63+AS63)/2)))^(4/3)))*(A62-A63)))&lt;0,((AR63+AS63)/2),AR63)</f>
        <v/>
      </c>
      <c r="AU63" s="16">
        <f>IF((((AR63+AS63)/2)+(C63/(DATOS!$B$14*((AR63+AS63)/2)))^2/(2*9.81)+B63-(E62+(C62/(DATOS!$B$14*E62))^2/(2*9.81)+B62+0.5*(((DATOS!$B$27*C62/(DATOS!$B$14*E62))^2/((DATOS!$B$14*E62)/(DATOS!$B$14+2*E62))^(4/3))+((DATOS!$B$27*C63/(DATOS!$B$14*((AR63+AS63)/2)))^2/((DATOS!$B$14*((AR63+AS63)/2))/(DATOS!$B$14+2*((AR63+AS63)/2)))^(4/3)))*(A62-A63)))&lt;0,AS63,((AR63+AS63)/2))</f>
        <v/>
      </c>
      <c r="AV63" s="16">
        <f>IF((((AT63+AU63)/2)+(C63/(DATOS!$B$14*((AT63+AU63)/2)))^2/(2*9.81)+B63-(E62+(C62/(DATOS!$B$14*E62))^2/(2*9.81)+B62+0.5*(((DATOS!$B$27*C62/(DATOS!$B$14*E62))^2/((DATOS!$B$14*E62)/(DATOS!$B$14+2*E62))^(4/3))+((DATOS!$B$27*C63/(DATOS!$B$14*((AT63+AU63)/2)))^2/((DATOS!$B$14*((AT63+AU63)/2))/(DATOS!$B$14+2*((AT63+AU63)/2)))^(4/3)))*(A62-A63)))&lt;0,((AT63+AU63)/2),AT63)</f>
        <v/>
      </c>
      <c r="AW63" s="16">
        <f>IF((((AT63+AU63)/2)+(C63/(DATOS!$B$14*((AT63+AU63)/2)))^2/(2*9.81)+B63-(E62+(C62/(DATOS!$B$14*E62))^2/(2*9.81)+B62+0.5*(((DATOS!$B$27*C62/(DATOS!$B$14*E62))^2/((DATOS!$B$14*E62)/(DATOS!$B$14+2*E62))^(4/3))+((DATOS!$B$27*C63/(DATOS!$B$14*((AT63+AU63)/2)))^2/((DATOS!$B$14*((AT63+AU63)/2))/(DATOS!$B$14+2*((AT63+AU63)/2)))^(4/3)))*(A62-A63)))&lt;0,AU63,((AT63+AU63)/2))</f>
        <v/>
      </c>
      <c r="AX63" s="16">
        <f>IF((((AV63+AW63)/2)+(C63/(DATOS!$B$14*((AV63+AW63)/2)))^2/(2*9.81)+B63-(E62+(C62/(DATOS!$B$14*E62))^2/(2*9.81)+B62+0.5*(((DATOS!$B$27*C62/(DATOS!$B$14*E62))^2/((DATOS!$B$14*E62)/(DATOS!$B$14+2*E62))^(4/3))+((DATOS!$B$27*C63/(DATOS!$B$14*((AV63+AW63)/2)))^2/((DATOS!$B$14*((AV63+AW63)/2))/(DATOS!$B$14+2*((AV63+AW63)/2)))^(4/3)))*(A62-A63)))&lt;0,((AV63+AW63)/2),AV63)</f>
        <v/>
      </c>
      <c r="AY63" s="16">
        <f>IF((((AV63+AW63)/2)+(C63/(DATOS!$B$14*((AV63+AW63)/2)))^2/(2*9.81)+B63-(E62+(C62/(DATOS!$B$14*E62))^2/(2*9.81)+B62+0.5*(((DATOS!$B$27*C62/(DATOS!$B$14*E62))^2/((DATOS!$B$14*E62)/(DATOS!$B$14+2*E62))^(4/3))+((DATOS!$B$27*C63/(DATOS!$B$14*((AV63+AW63)/2)))^2/((DATOS!$B$14*((AV63+AW63)/2))/(DATOS!$B$14+2*((AV63+AW63)/2)))^(4/3)))*(A62-A63)))&lt;0,AW63,((AV63+AW63)/2))</f>
        <v/>
      </c>
      <c r="AZ63" s="16">
        <f>IF((((AX63+AY63)/2)+(C63/(DATOS!$B$14*((AX63+AY63)/2)))^2/(2*9.81)+B63-(E62+(C62/(DATOS!$B$14*E62))^2/(2*9.81)+B62+0.5*(((DATOS!$B$27*C62/(DATOS!$B$14*E62))^2/((DATOS!$B$14*E62)/(DATOS!$B$14+2*E62))^(4/3))+((DATOS!$B$27*C63/(DATOS!$B$14*((AX63+AY63)/2)))^2/((DATOS!$B$14*((AX63+AY63)/2))/(DATOS!$B$14+2*((AX63+AY63)/2)))^(4/3)))*(A62-A63)))&lt;0,((AX63+AY63)/2),AX63)</f>
        <v/>
      </c>
      <c r="BA63" s="16">
        <f>IF((((AX63+AY63)/2)+(C63/(DATOS!$B$14*((AX63+AY63)/2)))^2/(2*9.81)+B63-(E62+(C62/(DATOS!$B$14*E62))^2/(2*9.81)+B62+0.5*(((DATOS!$B$27*C62/(DATOS!$B$14*E62))^2/((DATOS!$B$14*E62)/(DATOS!$B$14+2*E62))^(4/3))+((DATOS!$B$27*C63/(DATOS!$B$14*((AX63+AY63)/2)))^2/((DATOS!$B$14*((AX63+AY63)/2))/(DATOS!$B$14+2*((AX63+AY63)/2)))^(4/3)))*(A62-A63)))&lt;0,AY63,((AX63+AY63)/2))</f>
        <v/>
      </c>
      <c r="BB63" s="16">
        <f>IF((((AZ63+BA63)/2)+(C63/(DATOS!$B$14*((AZ63+BA63)/2)))^2/(2*9.81)+B63-(E62+(C62/(DATOS!$B$14*E62))^2/(2*9.81)+B62+0.5*(((DATOS!$B$27*C62/(DATOS!$B$14*E62))^2/((DATOS!$B$14*E62)/(DATOS!$B$14+2*E62))^(4/3))+((DATOS!$B$27*C63/(DATOS!$B$14*((AZ63+BA63)/2)))^2/((DATOS!$B$14*((AZ63+BA63)/2))/(DATOS!$B$14+2*((AZ63+BA63)/2)))^(4/3)))*(A62-A63)))&lt;0,((AZ63+BA63)/2),AZ63)</f>
        <v/>
      </c>
      <c r="BC63" s="16">
        <f>IF((((AZ63+BA63)/2)+(C63/(DATOS!$B$14*((AZ63+BA63)/2)))^2/(2*9.81)+B63-(E62+(C62/(DATOS!$B$14*E62))^2/(2*9.81)+B62+0.5*(((DATOS!$B$27*C62/(DATOS!$B$14*E62))^2/((DATOS!$B$14*E62)/(DATOS!$B$14+2*E62))^(4/3))+((DATOS!$B$27*C63/(DATOS!$B$14*((AZ63+BA63)/2)))^2/((DATOS!$B$14*((AZ63+BA63)/2))/(DATOS!$B$14+2*((AZ63+BA63)/2)))^(4/3)))*(A62-A63)))&lt;0,BA63,((AZ63+BA63)/2))</f>
        <v/>
      </c>
      <c r="BD63" s="16">
        <f>IF((((BB63+BC63)/2)+(C63/(DATOS!$B$14*((BB63+BC63)/2)))^2/(2*9.81)+B63-(E62+(C62/(DATOS!$B$14*E62))^2/(2*9.81)+B62+0.5*(((DATOS!$B$27*C62/(DATOS!$B$14*E62))^2/((DATOS!$B$14*E62)/(DATOS!$B$14+2*E62))^(4/3))+((DATOS!$B$27*C63/(DATOS!$B$14*((BB63+BC63)/2)))^2/((DATOS!$B$14*((BB63+BC63)/2))/(DATOS!$B$14+2*((BB63+BC63)/2)))^(4/3)))*(A62-A63)))&lt;0,((BB63+BC63)/2),BB63)</f>
        <v/>
      </c>
      <c r="BE63" s="16">
        <f>IF((((BB63+BC63)/2)+(C63/(DATOS!$B$14*((BB63+BC63)/2)))^2/(2*9.81)+B63-(E62+(C62/(DATOS!$B$14*E62))^2/(2*9.81)+B62+0.5*(((DATOS!$B$27*C62/(DATOS!$B$14*E62))^2/((DATOS!$B$14*E62)/(DATOS!$B$14+2*E62))^(4/3))+((DATOS!$B$27*C63/(DATOS!$B$14*((BB63+BC63)/2)))^2/((DATOS!$B$14*((BB63+BC63)/2))/(DATOS!$B$14+2*((BB63+BC63)/2)))^(4/3)))*(A62-A63)))&lt;0,BC63,((BB63+BC63)/2))</f>
        <v/>
      </c>
      <c r="BF63" s="16">
        <f>IF((((BD63+BE63)/2)+(C63/(DATOS!$B$14*((BD63+BE63)/2)))^2/(2*9.81)+B63-(E62+(C62/(DATOS!$B$14*E62))^2/(2*9.81)+B62+0.5*(((DATOS!$B$27*C62/(DATOS!$B$14*E62))^2/((DATOS!$B$14*E62)/(DATOS!$B$14+2*E62))^(4/3))+((DATOS!$B$27*C63/(DATOS!$B$14*((BD63+BE63)/2)))^2/((DATOS!$B$14*((BD63+BE63)/2))/(DATOS!$B$14+2*((BD63+BE63)/2)))^(4/3)))*(A62-A63)))&lt;0,((BD63+BE63)/2),BD63)</f>
        <v/>
      </c>
      <c r="BG63" s="16">
        <f>IF((((BD63+BE63)/2)+(C63/(DATOS!$B$14*((BD63+BE63)/2)))^2/(2*9.81)+B63-(E62+(C62/(DATOS!$B$14*E62))^2/(2*9.81)+B62+0.5*(((DATOS!$B$27*C62/(DATOS!$B$14*E62))^2/((DATOS!$B$14*E62)/(DATOS!$B$14+2*E62))^(4/3))+((DATOS!$B$27*C63/(DATOS!$B$14*((BD63+BE63)/2)))^2/((DATOS!$B$14*((BD63+BE63)/2))/(DATOS!$B$14+2*((BD63+BE63)/2)))^(4/3)))*(A62-A63)))&lt;0,BE63,((BD63+BE63)/2))</f>
        <v/>
      </c>
      <c r="BH63" s="16">
        <f>IF((((BF63+BG63)/2)+(C63/(DATOS!$B$14*((BF63+BG63)/2)))^2/(2*9.81)+B63-(E62+(C62/(DATOS!$B$14*E62))^2/(2*9.81)+B62+0.5*(((DATOS!$B$27*C62/(DATOS!$B$14*E62))^2/((DATOS!$B$14*E62)/(DATOS!$B$14+2*E62))^(4/3))+((DATOS!$B$27*C63/(DATOS!$B$14*((BF63+BG63)/2)))^2/((DATOS!$B$14*((BF63+BG63)/2))/(DATOS!$B$14+2*((BF63+BG63)/2)))^(4/3)))*(A62-A63)))&lt;0,((BF63+BG63)/2),BF63)</f>
        <v/>
      </c>
      <c r="BI63" s="16">
        <f>IF((((BF63+BG63)/2)+(C63/(DATOS!$B$14*((BF63+BG63)/2)))^2/(2*9.81)+B63-(E62+(C62/(DATOS!$B$14*E62))^2/(2*9.81)+B62+0.5*(((DATOS!$B$27*C62/(DATOS!$B$14*E62))^2/((DATOS!$B$14*E62)/(DATOS!$B$14+2*E62))^(4/3))+((DATOS!$B$27*C63/(DATOS!$B$14*((BF63+BG63)/2)))^2/((DATOS!$B$14*((BF63+BG63)/2))/(DATOS!$B$14+2*((BF63+BG63)/2)))^(4/3)))*(A62-A63)))&lt;0,BG63,((BF63+BG63)/2))</f>
        <v/>
      </c>
      <c r="BJ63" s="16">
        <f>IF((((BH63+BI63)/2)+(C63/(DATOS!$B$14*((BH63+BI63)/2)))^2/(2*9.81)+B63-(E62+(C62/(DATOS!$B$14*E62))^2/(2*9.81)+B62+0.5*(((DATOS!$B$27*C62/(DATOS!$B$14*E62))^2/((DATOS!$B$14*E62)/(DATOS!$B$14+2*E62))^(4/3))+((DATOS!$B$27*C63/(DATOS!$B$14*((BH63+BI63)/2)))^2/((DATOS!$B$14*((BH63+BI63)/2))/(DATOS!$B$14+2*((BH63+BI63)/2)))^(4/3)))*(A62-A63)))&lt;0,((BH63+BI63)/2),BH63)</f>
        <v/>
      </c>
      <c r="BK63" s="16">
        <f>IF((((BH63+BI63)/2)+(C63/(DATOS!$B$14*((BH63+BI63)/2)))^2/(2*9.81)+B63-(E62+(C62/(DATOS!$B$14*E62))^2/(2*9.81)+B62+0.5*(((DATOS!$B$27*C62/(DATOS!$B$14*E62))^2/((DATOS!$B$14*E62)/(DATOS!$B$14+2*E62))^(4/3))+((DATOS!$B$27*C63/(DATOS!$B$14*((BH63+BI63)/2)))^2/((DATOS!$B$14*((BH63+BI63)/2))/(DATOS!$B$14+2*((BH63+BI63)/2)))^(4/3)))*(A62-A63)))&lt;0,BI63,((BH63+BI63)/2))</f>
        <v/>
      </c>
      <c r="BL63" s="16">
        <f>IF((((BJ63+BK63)/2)+(C63/(DATOS!$B$14*((BJ63+BK63)/2)))^2/(2*9.81)+B63-(E62+(C62/(DATOS!$B$14*E62))^2/(2*9.81)+B62+0.5*(((DATOS!$B$27*C62/(DATOS!$B$14*E62))^2/((DATOS!$B$14*E62)/(DATOS!$B$14+2*E62))^(4/3))+((DATOS!$B$27*C63/(DATOS!$B$14*((BJ63+BK63)/2)))^2/((DATOS!$B$14*((BJ63+BK63)/2))/(DATOS!$B$14+2*((BJ63+BK63)/2)))^(4/3)))*(A62-A63)))&lt;0,((BJ63+BK63)/2),BJ63)</f>
        <v/>
      </c>
      <c r="BM63" s="16">
        <f>IF((((BJ63+BK63)/2)+(C63/(DATOS!$B$14*((BJ63+BK63)/2)))^2/(2*9.81)+B63-(E62+(C62/(DATOS!$B$14*E62))^2/(2*9.81)+B62+0.5*(((DATOS!$B$27*C62/(DATOS!$B$14*E62))^2/((DATOS!$B$14*E62)/(DATOS!$B$14+2*E62))^(4/3))+((DATOS!$B$27*C63/(DATOS!$B$14*((BJ63+BK63)/2)))^2/((DATOS!$B$14*((BJ63+BK63)/2))/(DATOS!$B$14+2*((BJ63+BK63)/2)))^(4/3)))*(A62-A63)))&lt;0,BK63,((BJ63+BK63)/2))</f>
        <v/>
      </c>
      <c r="BN63" s="16">
        <f>IF((((BL63+BM63)/2)+(C63/(DATOS!$B$14*((BL63+BM63)/2)))^2/(2*9.81)+B63-(E62+(C62/(DATOS!$B$14*E62))^2/(2*9.81)+B62+0.5*(((DATOS!$B$27*C62/(DATOS!$B$14*E62))^2/((DATOS!$B$14*E62)/(DATOS!$B$14+2*E62))^(4/3))+((DATOS!$B$27*C63/(DATOS!$B$14*((BL63+BM63)/2)))^2/((DATOS!$B$14*((BL63+BM63)/2))/(DATOS!$B$14+2*((BL63+BM63)/2)))^(4/3)))*(A62-A63)))&lt;0,((BL63+BM63)/2),BL63)</f>
        <v/>
      </c>
      <c r="BO63" s="16">
        <f>IF((((BL63+BM63)/2)+(C63/(DATOS!$B$14*((BL63+BM63)/2)))^2/(2*9.81)+B63-(E62+(C62/(DATOS!$B$14*E62))^2/(2*9.81)+B62+0.5*(((DATOS!$B$27*C62/(DATOS!$B$14*E62))^2/((DATOS!$B$14*E62)/(DATOS!$B$14+2*E62))^(4/3))+((DATOS!$B$27*C63/(DATOS!$B$14*((BL63+BM63)/2)))^2/((DATOS!$B$14*((BL63+BM63)/2))/(DATOS!$B$14+2*((BL63+BM63)/2)))^(4/3)))*(A62-A63)))&lt;0,BM63,((BL63+BM63)/2))</f>
        <v/>
      </c>
      <c r="BP63" s="16">
        <f>IF((((BN63+BO63)/2)+(C63/(DATOS!$B$14*((BN63+BO63)/2)))^2/(2*9.81)+B63-(E62+(C62/(DATOS!$B$14*E62))^2/(2*9.81)+B62+0.5*(((DATOS!$B$27*C62/(DATOS!$B$14*E62))^2/((DATOS!$B$14*E62)/(DATOS!$B$14+2*E62))^(4/3))+((DATOS!$B$27*C63/(DATOS!$B$14*((BN63+BO63)/2)))^2/((DATOS!$B$14*((BN63+BO63)/2))/(DATOS!$B$14+2*((BN63+BO63)/2)))^(4/3)))*(A62-A63)))&lt;0,((BN63+BO63)/2),BN63)</f>
        <v/>
      </c>
      <c r="BQ63" s="16">
        <f>IF((((BN63+BO63)/2)+(C63/(DATOS!$B$14*((BN63+BO63)/2)))^2/(2*9.81)+B63-(E62+(C62/(DATOS!$B$14*E62))^2/(2*9.81)+B62+0.5*(((DATOS!$B$27*C62/(DATOS!$B$14*E62))^2/((DATOS!$B$14*E62)/(DATOS!$B$14+2*E62))^(4/3))+((DATOS!$B$27*C63/(DATOS!$B$14*((BN63+BO63)/2)))^2/((DATOS!$B$14*((BN63+BO63)/2))/(DATOS!$B$14+2*((BN63+BO63)/2)))^(4/3)))*(A62-A63)))&lt;0,BO63,((BN63+BO63)/2))</f>
        <v/>
      </c>
      <c r="BR63" s="16">
        <f>IF((((BP63+BQ63)/2)+(C63/(DATOS!$B$14*((BP63+BQ63)/2)))^2/(2*9.81)+B63-(E62+(C62/(DATOS!$B$14*E62))^2/(2*9.81)+B62+0.5*(((DATOS!$B$27*C62/(DATOS!$B$14*E62))^2/((DATOS!$B$14*E62)/(DATOS!$B$14+2*E62))^(4/3))+((DATOS!$B$27*C63/(DATOS!$B$14*((BP63+BQ63)/2)))^2/((DATOS!$B$14*((BP63+BQ63)/2))/(DATOS!$B$14+2*((BP63+BQ63)/2)))^(4/3)))*(A62-A63)))&lt;0,((BP63+BQ63)/2),BP63)</f>
        <v/>
      </c>
      <c r="BS63" s="16">
        <f>IF((((BP63+BQ63)/2)+(C63/(DATOS!$B$14*((BP63+BQ63)/2)))^2/(2*9.81)+B63-(E62+(C62/(DATOS!$B$14*E62))^2/(2*9.81)+B62+0.5*(((DATOS!$B$27*C62/(DATOS!$B$14*E62))^2/((DATOS!$B$14*E62)/(DATOS!$B$14+2*E62))^(4/3))+((DATOS!$B$27*C63/(DATOS!$B$14*((BP63+BQ63)/2)))^2/((DATOS!$B$14*((BP63+BQ63)/2))/(DATOS!$B$14+2*((BP63+BQ63)/2)))^(4/3)))*(A62-A63)))&lt;0,BQ63,((BP63+BQ63)/2))</f>
        <v/>
      </c>
      <c r="BT63" s="16">
        <f>IF((((BR63+BS63)/2)+(C63/(DATOS!$B$14*((BR63+BS63)/2)))^2/(2*9.81)+B63-(E62+(C62/(DATOS!$B$14*E62))^2/(2*9.81)+B62+0.5*(((DATOS!$B$27*C62/(DATOS!$B$14*E62))^2/((DATOS!$B$14*E62)/(DATOS!$B$14+2*E62))^(4/3))+((DATOS!$B$27*C63/(DATOS!$B$14*((BR63+BS63)/2)))^2/((DATOS!$B$14*((BR63+BS63)/2))/(DATOS!$B$14+2*((BR63+BS63)/2)))^(4/3)))*(A62-A63)))&lt;0,((BR63+BS63)/2),BR63)</f>
        <v/>
      </c>
      <c r="BU63" s="16">
        <f>IF((((BR63+BS63)/2)+(C63/(DATOS!$B$14*((BR63+BS63)/2)))^2/(2*9.81)+B63-(E62+(C62/(DATOS!$B$14*E62))^2/(2*9.81)+B62+0.5*(((DATOS!$B$27*C62/(DATOS!$B$14*E62))^2/((DATOS!$B$14*E62)/(DATOS!$B$14+2*E62))^(4/3))+((DATOS!$B$27*C63/(DATOS!$B$14*((BR63+BS63)/2)))^2/((DATOS!$B$14*((BR63+BS63)/2))/(DATOS!$B$14+2*((BR63+BS63)/2)))^(4/3)))*(A62-A63)))&lt;0,BS63,((BR63+BS63)/2))</f>
        <v/>
      </c>
    </row>
    <row r="64">
      <c r="A64" s="30" t="n">
        <v>30</v>
      </c>
      <c r="B64" s="21">
        <f>DATOS!$B$16-DATOS!$B$19*A64</f>
        <v/>
      </c>
      <c r="C64" s="21">
        <f>IF(A64&lt;CAUDALES!$B$13,CAUDALES!$D$12,IF(A64&lt;CAUDALES!$B$14,CAUDALES!$D$13,IF(A64&lt;CAUDALES!$B$15,CAUDALES!$D$14,CAUDALES!$D$15)))/1000</f>
        <v/>
      </c>
      <c r="D64" s="21">
        <f>(C64^2/(9.81*DATOS!$B$14^2))^(1/3)</f>
        <v/>
      </c>
      <c r="E64" s="29">
        <f>(BT64+BU64)/2</f>
        <v/>
      </c>
      <c r="F64" s="21">
        <f>B64+E64</f>
        <v/>
      </c>
      <c r="G64" s="17">
        <f>C64/(DATOS!$B$14*E64)</f>
        <v/>
      </c>
      <c r="H64" s="17">
        <f>G64/SQRT(9.81*E64)</f>
        <v/>
      </c>
      <c r="I64" s="21">
        <f>IF(A64&lt;=DATOS!$B$20,DATOS!$B$21-IF(AND(A64&gt;=DATOS!$B$23,A64&lt;DATOS!$B$24),DATOS!$B$25,DATOS!$B$22),B64+DATOS!$B$26)</f>
        <v/>
      </c>
      <c r="J64" s="17">
        <f>I64-B64</f>
        <v/>
      </c>
      <c r="K64" s="31">
        <f>E64/J64</f>
        <v/>
      </c>
      <c r="L64" s="21">
        <f>I64-F64</f>
        <v/>
      </c>
      <c r="M64" s="32">
        <f>IF(AND(K64&lt;=DATOS!$B$29,L64&gt;=DATOS!$B$30),"CUMPLE","NO CUMPLE")</f>
        <v/>
      </c>
      <c r="N64" s="13">
        <f>IF(A64&gt;DATOS!$B$20,"cubierto - tramo final",IF(AND(A64&gt;=DATOS!$B$23,A64&lt;DATOS!$B$24),"cubierto - camiones","cubierto"))</f>
        <v/>
      </c>
      <c r="P64" s="16">
        <f>D64*1.001</f>
        <v/>
      </c>
      <c r="Q64" s="16" t="n">
        <v>2</v>
      </c>
      <c r="R64" s="16">
        <f>IF((((P64+Q64)/2)+(C64/(DATOS!$B$14*((P64+Q64)/2)))^2/(2*9.81)+B64-(E63+(C63/(DATOS!$B$14*E63))^2/(2*9.81)+B63+0.5*(((DATOS!$B$27*C63/(DATOS!$B$14*E63))^2/((DATOS!$B$14*E63)/(DATOS!$B$14+2*E63))^(4/3))+((DATOS!$B$27*C64/(DATOS!$B$14*((P64+Q64)/2)))^2/((DATOS!$B$14*((P64+Q64)/2))/(DATOS!$B$14+2*((P64+Q64)/2)))^(4/3)))*(A63-A64)))&lt;0,((P64+Q64)/2),P64)</f>
        <v/>
      </c>
      <c r="S64" s="16">
        <f>IF((((P64+Q64)/2)+(C64/(DATOS!$B$14*((P64+Q64)/2)))^2/(2*9.81)+B64-(E63+(C63/(DATOS!$B$14*E63))^2/(2*9.81)+B63+0.5*(((DATOS!$B$27*C63/(DATOS!$B$14*E63))^2/((DATOS!$B$14*E63)/(DATOS!$B$14+2*E63))^(4/3))+((DATOS!$B$27*C64/(DATOS!$B$14*((P64+Q64)/2)))^2/((DATOS!$B$14*((P64+Q64)/2))/(DATOS!$B$14+2*((P64+Q64)/2)))^(4/3)))*(A63-A64)))&lt;0,Q64,((P64+Q64)/2))</f>
        <v/>
      </c>
      <c r="T64" s="16">
        <f>IF((((R64+S64)/2)+(C64/(DATOS!$B$14*((R64+S64)/2)))^2/(2*9.81)+B64-(E63+(C63/(DATOS!$B$14*E63))^2/(2*9.81)+B63+0.5*(((DATOS!$B$27*C63/(DATOS!$B$14*E63))^2/((DATOS!$B$14*E63)/(DATOS!$B$14+2*E63))^(4/3))+((DATOS!$B$27*C64/(DATOS!$B$14*((R64+S64)/2)))^2/((DATOS!$B$14*((R64+S64)/2))/(DATOS!$B$14+2*((R64+S64)/2)))^(4/3)))*(A63-A64)))&lt;0,((R64+S64)/2),R64)</f>
        <v/>
      </c>
      <c r="U64" s="16">
        <f>IF((((R64+S64)/2)+(C64/(DATOS!$B$14*((R64+S64)/2)))^2/(2*9.81)+B64-(E63+(C63/(DATOS!$B$14*E63))^2/(2*9.81)+B63+0.5*(((DATOS!$B$27*C63/(DATOS!$B$14*E63))^2/((DATOS!$B$14*E63)/(DATOS!$B$14+2*E63))^(4/3))+((DATOS!$B$27*C64/(DATOS!$B$14*((R64+S64)/2)))^2/((DATOS!$B$14*((R64+S64)/2))/(DATOS!$B$14+2*((R64+S64)/2)))^(4/3)))*(A63-A64)))&lt;0,S64,((R64+S64)/2))</f>
        <v/>
      </c>
      <c r="V64" s="16">
        <f>IF((((T64+U64)/2)+(C64/(DATOS!$B$14*((T64+U64)/2)))^2/(2*9.81)+B64-(E63+(C63/(DATOS!$B$14*E63))^2/(2*9.81)+B63+0.5*(((DATOS!$B$27*C63/(DATOS!$B$14*E63))^2/((DATOS!$B$14*E63)/(DATOS!$B$14+2*E63))^(4/3))+((DATOS!$B$27*C64/(DATOS!$B$14*((T64+U64)/2)))^2/((DATOS!$B$14*((T64+U64)/2))/(DATOS!$B$14+2*((T64+U64)/2)))^(4/3)))*(A63-A64)))&lt;0,((T64+U64)/2),T64)</f>
        <v/>
      </c>
      <c r="W64" s="16">
        <f>IF((((T64+U64)/2)+(C64/(DATOS!$B$14*((T64+U64)/2)))^2/(2*9.81)+B64-(E63+(C63/(DATOS!$B$14*E63))^2/(2*9.81)+B63+0.5*(((DATOS!$B$27*C63/(DATOS!$B$14*E63))^2/((DATOS!$B$14*E63)/(DATOS!$B$14+2*E63))^(4/3))+((DATOS!$B$27*C64/(DATOS!$B$14*((T64+U64)/2)))^2/((DATOS!$B$14*((T64+U64)/2))/(DATOS!$B$14+2*((T64+U64)/2)))^(4/3)))*(A63-A64)))&lt;0,U64,((T64+U64)/2))</f>
        <v/>
      </c>
      <c r="X64" s="16">
        <f>IF((((V64+W64)/2)+(C64/(DATOS!$B$14*((V64+W64)/2)))^2/(2*9.81)+B64-(E63+(C63/(DATOS!$B$14*E63))^2/(2*9.81)+B63+0.5*(((DATOS!$B$27*C63/(DATOS!$B$14*E63))^2/((DATOS!$B$14*E63)/(DATOS!$B$14+2*E63))^(4/3))+((DATOS!$B$27*C64/(DATOS!$B$14*((V64+W64)/2)))^2/((DATOS!$B$14*((V64+W64)/2))/(DATOS!$B$14+2*((V64+W64)/2)))^(4/3)))*(A63-A64)))&lt;0,((V64+W64)/2),V64)</f>
        <v/>
      </c>
      <c r="Y64" s="16">
        <f>IF((((V64+W64)/2)+(C64/(DATOS!$B$14*((V64+W64)/2)))^2/(2*9.81)+B64-(E63+(C63/(DATOS!$B$14*E63))^2/(2*9.81)+B63+0.5*(((DATOS!$B$27*C63/(DATOS!$B$14*E63))^2/((DATOS!$B$14*E63)/(DATOS!$B$14+2*E63))^(4/3))+((DATOS!$B$27*C64/(DATOS!$B$14*((V64+W64)/2)))^2/((DATOS!$B$14*((V64+W64)/2))/(DATOS!$B$14+2*((V64+W64)/2)))^(4/3)))*(A63-A64)))&lt;0,W64,((V64+W64)/2))</f>
        <v/>
      </c>
      <c r="Z64" s="16">
        <f>IF((((X64+Y64)/2)+(C64/(DATOS!$B$14*((X64+Y64)/2)))^2/(2*9.81)+B64-(E63+(C63/(DATOS!$B$14*E63))^2/(2*9.81)+B63+0.5*(((DATOS!$B$27*C63/(DATOS!$B$14*E63))^2/((DATOS!$B$14*E63)/(DATOS!$B$14+2*E63))^(4/3))+((DATOS!$B$27*C64/(DATOS!$B$14*((X64+Y64)/2)))^2/((DATOS!$B$14*((X64+Y64)/2))/(DATOS!$B$14+2*((X64+Y64)/2)))^(4/3)))*(A63-A64)))&lt;0,((X64+Y64)/2),X64)</f>
        <v/>
      </c>
      <c r="AA64" s="16">
        <f>IF((((X64+Y64)/2)+(C64/(DATOS!$B$14*((X64+Y64)/2)))^2/(2*9.81)+B64-(E63+(C63/(DATOS!$B$14*E63))^2/(2*9.81)+B63+0.5*(((DATOS!$B$27*C63/(DATOS!$B$14*E63))^2/((DATOS!$B$14*E63)/(DATOS!$B$14+2*E63))^(4/3))+((DATOS!$B$27*C64/(DATOS!$B$14*((X64+Y64)/2)))^2/((DATOS!$B$14*((X64+Y64)/2))/(DATOS!$B$14+2*((X64+Y64)/2)))^(4/3)))*(A63-A64)))&lt;0,Y64,((X64+Y64)/2))</f>
        <v/>
      </c>
      <c r="AB64" s="16">
        <f>IF((((Z64+AA64)/2)+(C64/(DATOS!$B$14*((Z64+AA64)/2)))^2/(2*9.81)+B64-(E63+(C63/(DATOS!$B$14*E63))^2/(2*9.81)+B63+0.5*(((DATOS!$B$27*C63/(DATOS!$B$14*E63))^2/((DATOS!$B$14*E63)/(DATOS!$B$14+2*E63))^(4/3))+((DATOS!$B$27*C64/(DATOS!$B$14*((Z64+AA64)/2)))^2/((DATOS!$B$14*((Z64+AA64)/2))/(DATOS!$B$14+2*((Z64+AA64)/2)))^(4/3)))*(A63-A64)))&lt;0,((Z64+AA64)/2),Z64)</f>
        <v/>
      </c>
      <c r="AC64" s="16">
        <f>IF((((Z64+AA64)/2)+(C64/(DATOS!$B$14*((Z64+AA64)/2)))^2/(2*9.81)+B64-(E63+(C63/(DATOS!$B$14*E63))^2/(2*9.81)+B63+0.5*(((DATOS!$B$27*C63/(DATOS!$B$14*E63))^2/((DATOS!$B$14*E63)/(DATOS!$B$14+2*E63))^(4/3))+((DATOS!$B$27*C64/(DATOS!$B$14*((Z64+AA64)/2)))^2/((DATOS!$B$14*((Z64+AA64)/2))/(DATOS!$B$14+2*((Z64+AA64)/2)))^(4/3)))*(A63-A64)))&lt;0,AA64,((Z64+AA64)/2))</f>
        <v/>
      </c>
      <c r="AD64" s="16">
        <f>IF((((AB64+AC64)/2)+(C64/(DATOS!$B$14*((AB64+AC64)/2)))^2/(2*9.81)+B64-(E63+(C63/(DATOS!$B$14*E63))^2/(2*9.81)+B63+0.5*(((DATOS!$B$27*C63/(DATOS!$B$14*E63))^2/((DATOS!$B$14*E63)/(DATOS!$B$14+2*E63))^(4/3))+((DATOS!$B$27*C64/(DATOS!$B$14*((AB64+AC64)/2)))^2/((DATOS!$B$14*((AB64+AC64)/2))/(DATOS!$B$14+2*((AB64+AC64)/2)))^(4/3)))*(A63-A64)))&lt;0,((AB64+AC64)/2),AB64)</f>
        <v/>
      </c>
      <c r="AE64" s="16">
        <f>IF((((AB64+AC64)/2)+(C64/(DATOS!$B$14*((AB64+AC64)/2)))^2/(2*9.81)+B64-(E63+(C63/(DATOS!$B$14*E63))^2/(2*9.81)+B63+0.5*(((DATOS!$B$27*C63/(DATOS!$B$14*E63))^2/((DATOS!$B$14*E63)/(DATOS!$B$14+2*E63))^(4/3))+((DATOS!$B$27*C64/(DATOS!$B$14*((AB64+AC64)/2)))^2/((DATOS!$B$14*((AB64+AC64)/2))/(DATOS!$B$14+2*((AB64+AC64)/2)))^(4/3)))*(A63-A64)))&lt;0,AC64,((AB64+AC64)/2))</f>
        <v/>
      </c>
      <c r="AF64" s="16">
        <f>IF((((AD64+AE64)/2)+(C64/(DATOS!$B$14*((AD64+AE64)/2)))^2/(2*9.81)+B64-(E63+(C63/(DATOS!$B$14*E63))^2/(2*9.81)+B63+0.5*(((DATOS!$B$27*C63/(DATOS!$B$14*E63))^2/((DATOS!$B$14*E63)/(DATOS!$B$14+2*E63))^(4/3))+((DATOS!$B$27*C64/(DATOS!$B$14*((AD64+AE64)/2)))^2/((DATOS!$B$14*((AD64+AE64)/2))/(DATOS!$B$14+2*((AD64+AE64)/2)))^(4/3)))*(A63-A64)))&lt;0,((AD64+AE64)/2),AD64)</f>
        <v/>
      </c>
      <c r="AG64" s="16">
        <f>IF((((AD64+AE64)/2)+(C64/(DATOS!$B$14*((AD64+AE64)/2)))^2/(2*9.81)+B64-(E63+(C63/(DATOS!$B$14*E63))^2/(2*9.81)+B63+0.5*(((DATOS!$B$27*C63/(DATOS!$B$14*E63))^2/((DATOS!$B$14*E63)/(DATOS!$B$14+2*E63))^(4/3))+((DATOS!$B$27*C64/(DATOS!$B$14*((AD64+AE64)/2)))^2/((DATOS!$B$14*((AD64+AE64)/2))/(DATOS!$B$14+2*((AD64+AE64)/2)))^(4/3)))*(A63-A64)))&lt;0,AE64,((AD64+AE64)/2))</f>
        <v/>
      </c>
      <c r="AH64" s="16">
        <f>IF((((AF64+AG64)/2)+(C64/(DATOS!$B$14*((AF64+AG64)/2)))^2/(2*9.81)+B64-(E63+(C63/(DATOS!$B$14*E63))^2/(2*9.81)+B63+0.5*(((DATOS!$B$27*C63/(DATOS!$B$14*E63))^2/((DATOS!$B$14*E63)/(DATOS!$B$14+2*E63))^(4/3))+((DATOS!$B$27*C64/(DATOS!$B$14*((AF64+AG64)/2)))^2/((DATOS!$B$14*((AF64+AG64)/2))/(DATOS!$B$14+2*((AF64+AG64)/2)))^(4/3)))*(A63-A64)))&lt;0,((AF64+AG64)/2),AF64)</f>
        <v/>
      </c>
      <c r="AI64" s="16">
        <f>IF((((AF64+AG64)/2)+(C64/(DATOS!$B$14*((AF64+AG64)/2)))^2/(2*9.81)+B64-(E63+(C63/(DATOS!$B$14*E63))^2/(2*9.81)+B63+0.5*(((DATOS!$B$27*C63/(DATOS!$B$14*E63))^2/((DATOS!$B$14*E63)/(DATOS!$B$14+2*E63))^(4/3))+((DATOS!$B$27*C64/(DATOS!$B$14*((AF64+AG64)/2)))^2/((DATOS!$B$14*((AF64+AG64)/2))/(DATOS!$B$14+2*((AF64+AG64)/2)))^(4/3)))*(A63-A64)))&lt;0,AG64,((AF64+AG64)/2))</f>
        <v/>
      </c>
      <c r="AJ64" s="16">
        <f>IF((((AH64+AI64)/2)+(C64/(DATOS!$B$14*((AH64+AI64)/2)))^2/(2*9.81)+B64-(E63+(C63/(DATOS!$B$14*E63))^2/(2*9.81)+B63+0.5*(((DATOS!$B$27*C63/(DATOS!$B$14*E63))^2/((DATOS!$B$14*E63)/(DATOS!$B$14+2*E63))^(4/3))+((DATOS!$B$27*C64/(DATOS!$B$14*((AH64+AI64)/2)))^2/((DATOS!$B$14*((AH64+AI64)/2))/(DATOS!$B$14+2*((AH64+AI64)/2)))^(4/3)))*(A63-A64)))&lt;0,((AH64+AI64)/2),AH64)</f>
        <v/>
      </c>
      <c r="AK64" s="16">
        <f>IF((((AH64+AI64)/2)+(C64/(DATOS!$B$14*((AH64+AI64)/2)))^2/(2*9.81)+B64-(E63+(C63/(DATOS!$B$14*E63))^2/(2*9.81)+B63+0.5*(((DATOS!$B$27*C63/(DATOS!$B$14*E63))^2/((DATOS!$B$14*E63)/(DATOS!$B$14+2*E63))^(4/3))+((DATOS!$B$27*C64/(DATOS!$B$14*((AH64+AI64)/2)))^2/((DATOS!$B$14*((AH64+AI64)/2))/(DATOS!$B$14+2*((AH64+AI64)/2)))^(4/3)))*(A63-A64)))&lt;0,AI64,((AH64+AI64)/2))</f>
        <v/>
      </c>
      <c r="AL64" s="16">
        <f>IF((((AJ64+AK64)/2)+(C64/(DATOS!$B$14*((AJ64+AK64)/2)))^2/(2*9.81)+B64-(E63+(C63/(DATOS!$B$14*E63))^2/(2*9.81)+B63+0.5*(((DATOS!$B$27*C63/(DATOS!$B$14*E63))^2/((DATOS!$B$14*E63)/(DATOS!$B$14+2*E63))^(4/3))+((DATOS!$B$27*C64/(DATOS!$B$14*((AJ64+AK64)/2)))^2/((DATOS!$B$14*((AJ64+AK64)/2))/(DATOS!$B$14+2*((AJ64+AK64)/2)))^(4/3)))*(A63-A64)))&lt;0,((AJ64+AK64)/2),AJ64)</f>
        <v/>
      </c>
      <c r="AM64" s="16">
        <f>IF((((AJ64+AK64)/2)+(C64/(DATOS!$B$14*((AJ64+AK64)/2)))^2/(2*9.81)+B64-(E63+(C63/(DATOS!$B$14*E63))^2/(2*9.81)+B63+0.5*(((DATOS!$B$27*C63/(DATOS!$B$14*E63))^2/((DATOS!$B$14*E63)/(DATOS!$B$14+2*E63))^(4/3))+((DATOS!$B$27*C64/(DATOS!$B$14*((AJ64+AK64)/2)))^2/((DATOS!$B$14*((AJ64+AK64)/2))/(DATOS!$B$14+2*((AJ64+AK64)/2)))^(4/3)))*(A63-A64)))&lt;0,AK64,((AJ64+AK64)/2))</f>
        <v/>
      </c>
      <c r="AN64" s="16">
        <f>IF((((AL64+AM64)/2)+(C64/(DATOS!$B$14*((AL64+AM64)/2)))^2/(2*9.81)+B64-(E63+(C63/(DATOS!$B$14*E63))^2/(2*9.81)+B63+0.5*(((DATOS!$B$27*C63/(DATOS!$B$14*E63))^2/((DATOS!$B$14*E63)/(DATOS!$B$14+2*E63))^(4/3))+((DATOS!$B$27*C64/(DATOS!$B$14*((AL64+AM64)/2)))^2/((DATOS!$B$14*((AL64+AM64)/2))/(DATOS!$B$14+2*((AL64+AM64)/2)))^(4/3)))*(A63-A64)))&lt;0,((AL64+AM64)/2),AL64)</f>
        <v/>
      </c>
      <c r="AO64" s="16">
        <f>IF((((AL64+AM64)/2)+(C64/(DATOS!$B$14*((AL64+AM64)/2)))^2/(2*9.81)+B64-(E63+(C63/(DATOS!$B$14*E63))^2/(2*9.81)+B63+0.5*(((DATOS!$B$27*C63/(DATOS!$B$14*E63))^2/((DATOS!$B$14*E63)/(DATOS!$B$14+2*E63))^(4/3))+((DATOS!$B$27*C64/(DATOS!$B$14*((AL64+AM64)/2)))^2/((DATOS!$B$14*((AL64+AM64)/2))/(DATOS!$B$14+2*((AL64+AM64)/2)))^(4/3)))*(A63-A64)))&lt;0,AM64,((AL64+AM64)/2))</f>
        <v/>
      </c>
      <c r="AP64" s="16">
        <f>IF((((AN64+AO64)/2)+(C64/(DATOS!$B$14*((AN64+AO64)/2)))^2/(2*9.81)+B64-(E63+(C63/(DATOS!$B$14*E63))^2/(2*9.81)+B63+0.5*(((DATOS!$B$27*C63/(DATOS!$B$14*E63))^2/((DATOS!$B$14*E63)/(DATOS!$B$14+2*E63))^(4/3))+((DATOS!$B$27*C64/(DATOS!$B$14*((AN64+AO64)/2)))^2/((DATOS!$B$14*((AN64+AO64)/2))/(DATOS!$B$14+2*((AN64+AO64)/2)))^(4/3)))*(A63-A64)))&lt;0,((AN64+AO64)/2),AN64)</f>
        <v/>
      </c>
      <c r="AQ64" s="16">
        <f>IF((((AN64+AO64)/2)+(C64/(DATOS!$B$14*((AN64+AO64)/2)))^2/(2*9.81)+B64-(E63+(C63/(DATOS!$B$14*E63))^2/(2*9.81)+B63+0.5*(((DATOS!$B$27*C63/(DATOS!$B$14*E63))^2/((DATOS!$B$14*E63)/(DATOS!$B$14+2*E63))^(4/3))+((DATOS!$B$27*C64/(DATOS!$B$14*((AN64+AO64)/2)))^2/((DATOS!$B$14*((AN64+AO64)/2))/(DATOS!$B$14+2*((AN64+AO64)/2)))^(4/3)))*(A63-A64)))&lt;0,AO64,((AN64+AO64)/2))</f>
        <v/>
      </c>
      <c r="AR64" s="16">
        <f>IF((((AP64+AQ64)/2)+(C64/(DATOS!$B$14*((AP64+AQ64)/2)))^2/(2*9.81)+B64-(E63+(C63/(DATOS!$B$14*E63))^2/(2*9.81)+B63+0.5*(((DATOS!$B$27*C63/(DATOS!$B$14*E63))^2/((DATOS!$B$14*E63)/(DATOS!$B$14+2*E63))^(4/3))+((DATOS!$B$27*C64/(DATOS!$B$14*((AP64+AQ64)/2)))^2/((DATOS!$B$14*((AP64+AQ64)/2))/(DATOS!$B$14+2*((AP64+AQ64)/2)))^(4/3)))*(A63-A64)))&lt;0,((AP64+AQ64)/2),AP64)</f>
        <v/>
      </c>
      <c r="AS64" s="16">
        <f>IF((((AP64+AQ64)/2)+(C64/(DATOS!$B$14*((AP64+AQ64)/2)))^2/(2*9.81)+B64-(E63+(C63/(DATOS!$B$14*E63))^2/(2*9.81)+B63+0.5*(((DATOS!$B$27*C63/(DATOS!$B$14*E63))^2/((DATOS!$B$14*E63)/(DATOS!$B$14+2*E63))^(4/3))+((DATOS!$B$27*C64/(DATOS!$B$14*((AP64+AQ64)/2)))^2/((DATOS!$B$14*((AP64+AQ64)/2))/(DATOS!$B$14+2*((AP64+AQ64)/2)))^(4/3)))*(A63-A64)))&lt;0,AQ64,((AP64+AQ64)/2))</f>
        <v/>
      </c>
      <c r="AT64" s="16">
        <f>IF((((AR64+AS64)/2)+(C64/(DATOS!$B$14*((AR64+AS64)/2)))^2/(2*9.81)+B64-(E63+(C63/(DATOS!$B$14*E63))^2/(2*9.81)+B63+0.5*(((DATOS!$B$27*C63/(DATOS!$B$14*E63))^2/((DATOS!$B$14*E63)/(DATOS!$B$14+2*E63))^(4/3))+((DATOS!$B$27*C64/(DATOS!$B$14*((AR64+AS64)/2)))^2/((DATOS!$B$14*((AR64+AS64)/2))/(DATOS!$B$14+2*((AR64+AS64)/2)))^(4/3)))*(A63-A64)))&lt;0,((AR64+AS64)/2),AR64)</f>
        <v/>
      </c>
      <c r="AU64" s="16">
        <f>IF((((AR64+AS64)/2)+(C64/(DATOS!$B$14*((AR64+AS64)/2)))^2/(2*9.81)+B64-(E63+(C63/(DATOS!$B$14*E63))^2/(2*9.81)+B63+0.5*(((DATOS!$B$27*C63/(DATOS!$B$14*E63))^2/((DATOS!$B$14*E63)/(DATOS!$B$14+2*E63))^(4/3))+((DATOS!$B$27*C64/(DATOS!$B$14*((AR64+AS64)/2)))^2/((DATOS!$B$14*((AR64+AS64)/2))/(DATOS!$B$14+2*((AR64+AS64)/2)))^(4/3)))*(A63-A64)))&lt;0,AS64,((AR64+AS64)/2))</f>
        <v/>
      </c>
      <c r="AV64" s="16">
        <f>IF((((AT64+AU64)/2)+(C64/(DATOS!$B$14*((AT64+AU64)/2)))^2/(2*9.81)+B64-(E63+(C63/(DATOS!$B$14*E63))^2/(2*9.81)+B63+0.5*(((DATOS!$B$27*C63/(DATOS!$B$14*E63))^2/((DATOS!$B$14*E63)/(DATOS!$B$14+2*E63))^(4/3))+((DATOS!$B$27*C64/(DATOS!$B$14*((AT64+AU64)/2)))^2/((DATOS!$B$14*((AT64+AU64)/2))/(DATOS!$B$14+2*((AT64+AU64)/2)))^(4/3)))*(A63-A64)))&lt;0,((AT64+AU64)/2),AT64)</f>
        <v/>
      </c>
      <c r="AW64" s="16">
        <f>IF((((AT64+AU64)/2)+(C64/(DATOS!$B$14*((AT64+AU64)/2)))^2/(2*9.81)+B64-(E63+(C63/(DATOS!$B$14*E63))^2/(2*9.81)+B63+0.5*(((DATOS!$B$27*C63/(DATOS!$B$14*E63))^2/((DATOS!$B$14*E63)/(DATOS!$B$14+2*E63))^(4/3))+((DATOS!$B$27*C64/(DATOS!$B$14*((AT64+AU64)/2)))^2/((DATOS!$B$14*((AT64+AU64)/2))/(DATOS!$B$14+2*((AT64+AU64)/2)))^(4/3)))*(A63-A64)))&lt;0,AU64,((AT64+AU64)/2))</f>
        <v/>
      </c>
      <c r="AX64" s="16">
        <f>IF((((AV64+AW64)/2)+(C64/(DATOS!$B$14*((AV64+AW64)/2)))^2/(2*9.81)+B64-(E63+(C63/(DATOS!$B$14*E63))^2/(2*9.81)+B63+0.5*(((DATOS!$B$27*C63/(DATOS!$B$14*E63))^2/((DATOS!$B$14*E63)/(DATOS!$B$14+2*E63))^(4/3))+((DATOS!$B$27*C64/(DATOS!$B$14*((AV64+AW64)/2)))^2/((DATOS!$B$14*((AV64+AW64)/2))/(DATOS!$B$14+2*((AV64+AW64)/2)))^(4/3)))*(A63-A64)))&lt;0,((AV64+AW64)/2),AV64)</f>
        <v/>
      </c>
      <c r="AY64" s="16">
        <f>IF((((AV64+AW64)/2)+(C64/(DATOS!$B$14*((AV64+AW64)/2)))^2/(2*9.81)+B64-(E63+(C63/(DATOS!$B$14*E63))^2/(2*9.81)+B63+0.5*(((DATOS!$B$27*C63/(DATOS!$B$14*E63))^2/((DATOS!$B$14*E63)/(DATOS!$B$14+2*E63))^(4/3))+((DATOS!$B$27*C64/(DATOS!$B$14*((AV64+AW64)/2)))^2/((DATOS!$B$14*((AV64+AW64)/2))/(DATOS!$B$14+2*((AV64+AW64)/2)))^(4/3)))*(A63-A64)))&lt;0,AW64,((AV64+AW64)/2))</f>
        <v/>
      </c>
      <c r="AZ64" s="16">
        <f>IF((((AX64+AY64)/2)+(C64/(DATOS!$B$14*((AX64+AY64)/2)))^2/(2*9.81)+B64-(E63+(C63/(DATOS!$B$14*E63))^2/(2*9.81)+B63+0.5*(((DATOS!$B$27*C63/(DATOS!$B$14*E63))^2/((DATOS!$B$14*E63)/(DATOS!$B$14+2*E63))^(4/3))+((DATOS!$B$27*C64/(DATOS!$B$14*((AX64+AY64)/2)))^2/((DATOS!$B$14*((AX64+AY64)/2))/(DATOS!$B$14+2*((AX64+AY64)/2)))^(4/3)))*(A63-A64)))&lt;0,((AX64+AY64)/2),AX64)</f>
        <v/>
      </c>
      <c r="BA64" s="16">
        <f>IF((((AX64+AY64)/2)+(C64/(DATOS!$B$14*((AX64+AY64)/2)))^2/(2*9.81)+B64-(E63+(C63/(DATOS!$B$14*E63))^2/(2*9.81)+B63+0.5*(((DATOS!$B$27*C63/(DATOS!$B$14*E63))^2/((DATOS!$B$14*E63)/(DATOS!$B$14+2*E63))^(4/3))+((DATOS!$B$27*C64/(DATOS!$B$14*((AX64+AY64)/2)))^2/((DATOS!$B$14*((AX64+AY64)/2))/(DATOS!$B$14+2*((AX64+AY64)/2)))^(4/3)))*(A63-A64)))&lt;0,AY64,((AX64+AY64)/2))</f>
        <v/>
      </c>
      <c r="BB64" s="16">
        <f>IF((((AZ64+BA64)/2)+(C64/(DATOS!$B$14*((AZ64+BA64)/2)))^2/(2*9.81)+B64-(E63+(C63/(DATOS!$B$14*E63))^2/(2*9.81)+B63+0.5*(((DATOS!$B$27*C63/(DATOS!$B$14*E63))^2/((DATOS!$B$14*E63)/(DATOS!$B$14+2*E63))^(4/3))+((DATOS!$B$27*C64/(DATOS!$B$14*((AZ64+BA64)/2)))^2/((DATOS!$B$14*((AZ64+BA64)/2))/(DATOS!$B$14+2*((AZ64+BA64)/2)))^(4/3)))*(A63-A64)))&lt;0,((AZ64+BA64)/2),AZ64)</f>
        <v/>
      </c>
      <c r="BC64" s="16">
        <f>IF((((AZ64+BA64)/2)+(C64/(DATOS!$B$14*((AZ64+BA64)/2)))^2/(2*9.81)+B64-(E63+(C63/(DATOS!$B$14*E63))^2/(2*9.81)+B63+0.5*(((DATOS!$B$27*C63/(DATOS!$B$14*E63))^2/((DATOS!$B$14*E63)/(DATOS!$B$14+2*E63))^(4/3))+((DATOS!$B$27*C64/(DATOS!$B$14*((AZ64+BA64)/2)))^2/((DATOS!$B$14*((AZ64+BA64)/2))/(DATOS!$B$14+2*((AZ64+BA64)/2)))^(4/3)))*(A63-A64)))&lt;0,BA64,((AZ64+BA64)/2))</f>
        <v/>
      </c>
      <c r="BD64" s="16">
        <f>IF((((BB64+BC64)/2)+(C64/(DATOS!$B$14*((BB64+BC64)/2)))^2/(2*9.81)+B64-(E63+(C63/(DATOS!$B$14*E63))^2/(2*9.81)+B63+0.5*(((DATOS!$B$27*C63/(DATOS!$B$14*E63))^2/((DATOS!$B$14*E63)/(DATOS!$B$14+2*E63))^(4/3))+((DATOS!$B$27*C64/(DATOS!$B$14*((BB64+BC64)/2)))^2/((DATOS!$B$14*((BB64+BC64)/2))/(DATOS!$B$14+2*((BB64+BC64)/2)))^(4/3)))*(A63-A64)))&lt;0,((BB64+BC64)/2),BB64)</f>
        <v/>
      </c>
      <c r="BE64" s="16">
        <f>IF((((BB64+BC64)/2)+(C64/(DATOS!$B$14*((BB64+BC64)/2)))^2/(2*9.81)+B64-(E63+(C63/(DATOS!$B$14*E63))^2/(2*9.81)+B63+0.5*(((DATOS!$B$27*C63/(DATOS!$B$14*E63))^2/((DATOS!$B$14*E63)/(DATOS!$B$14+2*E63))^(4/3))+((DATOS!$B$27*C64/(DATOS!$B$14*((BB64+BC64)/2)))^2/((DATOS!$B$14*((BB64+BC64)/2))/(DATOS!$B$14+2*((BB64+BC64)/2)))^(4/3)))*(A63-A64)))&lt;0,BC64,((BB64+BC64)/2))</f>
        <v/>
      </c>
      <c r="BF64" s="16">
        <f>IF((((BD64+BE64)/2)+(C64/(DATOS!$B$14*((BD64+BE64)/2)))^2/(2*9.81)+B64-(E63+(C63/(DATOS!$B$14*E63))^2/(2*9.81)+B63+0.5*(((DATOS!$B$27*C63/(DATOS!$B$14*E63))^2/((DATOS!$B$14*E63)/(DATOS!$B$14+2*E63))^(4/3))+((DATOS!$B$27*C64/(DATOS!$B$14*((BD64+BE64)/2)))^2/((DATOS!$B$14*((BD64+BE64)/2))/(DATOS!$B$14+2*((BD64+BE64)/2)))^(4/3)))*(A63-A64)))&lt;0,((BD64+BE64)/2),BD64)</f>
        <v/>
      </c>
      <c r="BG64" s="16">
        <f>IF((((BD64+BE64)/2)+(C64/(DATOS!$B$14*((BD64+BE64)/2)))^2/(2*9.81)+B64-(E63+(C63/(DATOS!$B$14*E63))^2/(2*9.81)+B63+0.5*(((DATOS!$B$27*C63/(DATOS!$B$14*E63))^2/((DATOS!$B$14*E63)/(DATOS!$B$14+2*E63))^(4/3))+((DATOS!$B$27*C64/(DATOS!$B$14*((BD64+BE64)/2)))^2/((DATOS!$B$14*((BD64+BE64)/2))/(DATOS!$B$14+2*((BD64+BE64)/2)))^(4/3)))*(A63-A64)))&lt;0,BE64,((BD64+BE64)/2))</f>
        <v/>
      </c>
      <c r="BH64" s="16">
        <f>IF((((BF64+BG64)/2)+(C64/(DATOS!$B$14*((BF64+BG64)/2)))^2/(2*9.81)+B64-(E63+(C63/(DATOS!$B$14*E63))^2/(2*9.81)+B63+0.5*(((DATOS!$B$27*C63/(DATOS!$B$14*E63))^2/((DATOS!$B$14*E63)/(DATOS!$B$14+2*E63))^(4/3))+((DATOS!$B$27*C64/(DATOS!$B$14*((BF64+BG64)/2)))^2/((DATOS!$B$14*((BF64+BG64)/2))/(DATOS!$B$14+2*((BF64+BG64)/2)))^(4/3)))*(A63-A64)))&lt;0,((BF64+BG64)/2),BF64)</f>
        <v/>
      </c>
      <c r="BI64" s="16">
        <f>IF((((BF64+BG64)/2)+(C64/(DATOS!$B$14*((BF64+BG64)/2)))^2/(2*9.81)+B64-(E63+(C63/(DATOS!$B$14*E63))^2/(2*9.81)+B63+0.5*(((DATOS!$B$27*C63/(DATOS!$B$14*E63))^2/((DATOS!$B$14*E63)/(DATOS!$B$14+2*E63))^(4/3))+((DATOS!$B$27*C64/(DATOS!$B$14*((BF64+BG64)/2)))^2/((DATOS!$B$14*((BF64+BG64)/2))/(DATOS!$B$14+2*((BF64+BG64)/2)))^(4/3)))*(A63-A64)))&lt;0,BG64,((BF64+BG64)/2))</f>
        <v/>
      </c>
      <c r="BJ64" s="16">
        <f>IF((((BH64+BI64)/2)+(C64/(DATOS!$B$14*((BH64+BI64)/2)))^2/(2*9.81)+B64-(E63+(C63/(DATOS!$B$14*E63))^2/(2*9.81)+B63+0.5*(((DATOS!$B$27*C63/(DATOS!$B$14*E63))^2/((DATOS!$B$14*E63)/(DATOS!$B$14+2*E63))^(4/3))+((DATOS!$B$27*C64/(DATOS!$B$14*((BH64+BI64)/2)))^2/((DATOS!$B$14*((BH64+BI64)/2))/(DATOS!$B$14+2*((BH64+BI64)/2)))^(4/3)))*(A63-A64)))&lt;0,((BH64+BI64)/2),BH64)</f>
        <v/>
      </c>
      <c r="BK64" s="16">
        <f>IF((((BH64+BI64)/2)+(C64/(DATOS!$B$14*((BH64+BI64)/2)))^2/(2*9.81)+B64-(E63+(C63/(DATOS!$B$14*E63))^2/(2*9.81)+B63+0.5*(((DATOS!$B$27*C63/(DATOS!$B$14*E63))^2/((DATOS!$B$14*E63)/(DATOS!$B$14+2*E63))^(4/3))+((DATOS!$B$27*C64/(DATOS!$B$14*((BH64+BI64)/2)))^2/((DATOS!$B$14*((BH64+BI64)/2))/(DATOS!$B$14+2*((BH64+BI64)/2)))^(4/3)))*(A63-A64)))&lt;0,BI64,((BH64+BI64)/2))</f>
        <v/>
      </c>
      <c r="BL64" s="16">
        <f>IF((((BJ64+BK64)/2)+(C64/(DATOS!$B$14*((BJ64+BK64)/2)))^2/(2*9.81)+B64-(E63+(C63/(DATOS!$B$14*E63))^2/(2*9.81)+B63+0.5*(((DATOS!$B$27*C63/(DATOS!$B$14*E63))^2/((DATOS!$B$14*E63)/(DATOS!$B$14+2*E63))^(4/3))+((DATOS!$B$27*C64/(DATOS!$B$14*((BJ64+BK64)/2)))^2/((DATOS!$B$14*((BJ64+BK64)/2))/(DATOS!$B$14+2*((BJ64+BK64)/2)))^(4/3)))*(A63-A64)))&lt;0,((BJ64+BK64)/2),BJ64)</f>
        <v/>
      </c>
      <c r="BM64" s="16">
        <f>IF((((BJ64+BK64)/2)+(C64/(DATOS!$B$14*((BJ64+BK64)/2)))^2/(2*9.81)+B64-(E63+(C63/(DATOS!$B$14*E63))^2/(2*9.81)+B63+0.5*(((DATOS!$B$27*C63/(DATOS!$B$14*E63))^2/((DATOS!$B$14*E63)/(DATOS!$B$14+2*E63))^(4/3))+((DATOS!$B$27*C64/(DATOS!$B$14*((BJ64+BK64)/2)))^2/((DATOS!$B$14*((BJ64+BK64)/2))/(DATOS!$B$14+2*((BJ64+BK64)/2)))^(4/3)))*(A63-A64)))&lt;0,BK64,((BJ64+BK64)/2))</f>
        <v/>
      </c>
      <c r="BN64" s="16">
        <f>IF((((BL64+BM64)/2)+(C64/(DATOS!$B$14*((BL64+BM64)/2)))^2/(2*9.81)+B64-(E63+(C63/(DATOS!$B$14*E63))^2/(2*9.81)+B63+0.5*(((DATOS!$B$27*C63/(DATOS!$B$14*E63))^2/((DATOS!$B$14*E63)/(DATOS!$B$14+2*E63))^(4/3))+((DATOS!$B$27*C64/(DATOS!$B$14*((BL64+BM64)/2)))^2/((DATOS!$B$14*((BL64+BM64)/2))/(DATOS!$B$14+2*((BL64+BM64)/2)))^(4/3)))*(A63-A64)))&lt;0,((BL64+BM64)/2),BL64)</f>
        <v/>
      </c>
      <c r="BO64" s="16">
        <f>IF((((BL64+BM64)/2)+(C64/(DATOS!$B$14*((BL64+BM64)/2)))^2/(2*9.81)+B64-(E63+(C63/(DATOS!$B$14*E63))^2/(2*9.81)+B63+0.5*(((DATOS!$B$27*C63/(DATOS!$B$14*E63))^2/((DATOS!$B$14*E63)/(DATOS!$B$14+2*E63))^(4/3))+((DATOS!$B$27*C64/(DATOS!$B$14*((BL64+BM64)/2)))^2/((DATOS!$B$14*((BL64+BM64)/2))/(DATOS!$B$14+2*((BL64+BM64)/2)))^(4/3)))*(A63-A64)))&lt;0,BM64,((BL64+BM64)/2))</f>
        <v/>
      </c>
      <c r="BP64" s="16">
        <f>IF((((BN64+BO64)/2)+(C64/(DATOS!$B$14*((BN64+BO64)/2)))^2/(2*9.81)+B64-(E63+(C63/(DATOS!$B$14*E63))^2/(2*9.81)+B63+0.5*(((DATOS!$B$27*C63/(DATOS!$B$14*E63))^2/((DATOS!$B$14*E63)/(DATOS!$B$14+2*E63))^(4/3))+((DATOS!$B$27*C64/(DATOS!$B$14*((BN64+BO64)/2)))^2/((DATOS!$B$14*((BN64+BO64)/2))/(DATOS!$B$14+2*((BN64+BO64)/2)))^(4/3)))*(A63-A64)))&lt;0,((BN64+BO64)/2),BN64)</f>
        <v/>
      </c>
      <c r="BQ64" s="16">
        <f>IF((((BN64+BO64)/2)+(C64/(DATOS!$B$14*((BN64+BO64)/2)))^2/(2*9.81)+B64-(E63+(C63/(DATOS!$B$14*E63))^2/(2*9.81)+B63+0.5*(((DATOS!$B$27*C63/(DATOS!$B$14*E63))^2/((DATOS!$B$14*E63)/(DATOS!$B$14+2*E63))^(4/3))+((DATOS!$B$27*C64/(DATOS!$B$14*((BN64+BO64)/2)))^2/((DATOS!$B$14*((BN64+BO64)/2))/(DATOS!$B$14+2*((BN64+BO64)/2)))^(4/3)))*(A63-A64)))&lt;0,BO64,((BN64+BO64)/2))</f>
        <v/>
      </c>
      <c r="BR64" s="16">
        <f>IF((((BP64+BQ64)/2)+(C64/(DATOS!$B$14*((BP64+BQ64)/2)))^2/(2*9.81)+B64-(E63+(C63/(DATOS!$B$14*E63))^2/(2*9.81)+B63+0.5*(((DATOS!$B$27*C63/(DATOS!$B$14*E63))^2/((DATOS!$B$14*E63)/(DATOS!$B$14+2*E63))^(4/3))+((DATOS!$B$27*C64/(DATOS!$B$14*((BP64+BQ64)/2)))^2/((DATOS!$B$14*((BP64+BQ64)/2))/(DATOS!$B$14+2*((BP64+BQ64)/2)))^(4/3)))*(A63-A64)))&lt;0,((BP64+BQ64)/2),BP64)</f>
        <v/>
      </c>
      <c r="BS64" s="16">
        <f>IF((((BP64+BQ64)/2)+(C64/(DATOS!$B$14*((BP64+BQ64)/2)))^2/(2*9.81)+B64-(E63+(C63/(DATOS!$B$14*E63))^2/(2*9.81)+B63+0.5*(((DATOS!$B$27*C63/(DATOS!$B$14*E63))^2/((DATOS!$B$14*E63)/(DATOS!$B$14+2*E63))^(4/3))+((DATOS!$B$27*C64/(DATOS!$B$14*((BP64+BQ64)/2)))^2/((DATOS!$B$14*((BP64+BQ64)/2))/(DATOS!$B$14+2*((BP64+BQ64)/2)))^(4/3)))*(A63-A64)))&lt;0,BQ64,((BP64+BQ64)/2))</f>
        <v/>
      </c>
      <c r="BT64" s="16">
        <f>IF((((BR64+BS64)/2)+(C64/(DATOS!$B$14*((BR64+BS64)/2)))^2/(2*9.81)+B64-(E63+(C63/(DATOS!$B$14*E63))^2/(2*9.81)+B63+0.5*(((DATOS!$B$27*C63/(DATOS!$B$14*E63))^2/((DATOS!$B$14*E63)/(DATOS!$B$14+2*E63))^(4/3))+((DATOS!$B$27*C64/(DATOS!$B$14*((BR64+BS64)/2)))^2/((DATOS!$B$14*((BR64+BS64)/2))/(DATOS!$B$14+2*((BR64+BS64)/2)))^(4/3)))*(A63-A64)))&lt;0,((BR64+BS64)/2),BR64)</f>
        <v/>
      </c>
      <c r="BU64" s="16">
        <f>IF((((BR64+BS64)/2)+(C64/(DATOS!$B$14*((BR64+BS64)/2)))^2/(2*9.81)+B64-(E63+(C63/(DATOS!$B$14*E63))^2/(2*9.81)+B63+0.5*(((DATOS!$B$27*C63/(DATOS!$B$14*E63))^2/((DATOS!$B$14*E63)/(DATOS!$B$14+2*E63))^(4/3))+((DATOS!$B$27*C64/(DATOS!$B$14*((BR64+BS64)/2)))^2/((DATOS!$B$14*((BR64+BS64)/2))/(DATOS!$B$14+2*((BR64+BS64)/2)))^(4/3)))*(A63-A64)))&lt;0,BS64,((BR64+BS64)/2))</f>
        <v/>
      </c>
    </row>
    <row r="65">
      <c r="A65" s="30" t="n">
        <v>28</v>
      </c>
      <c r="B65" s="21">
        <f>DATOS!$B$16-DATOS!$B$19*A65</f>
        <v/>
      </c>
      <c r="C65" s="21">
        <f>IF(A65&lt;CAUDALES!$B$13,CAUDALES!$D$12,IF(A65&lt;CAUDALES!$B$14,CAUDALES!$D$13,IF(A65&lt;CAUDALES!$B$15,CAUDALES!$D$14,CAUDALES!$D$15)))/1000</f>
        <v/>
      </c>
      <c r="D65" s="21">
        <f>(C65^2/(9.81*DATOS!$B$14^2))^(1/3)</f>
        <v/>
      </c>
      <c r="E65" s="29">
        <f>(BT65+BU65)/2</f>
        <v/>
      </c>
      <c r="F65" s="21">
        <f>B65+E65</f>
        <v/>
      </c>
      <c r="G65" s="17">
        <f>C65/(DATOS!$B$14*E65)</f>
        <v/>
      </c>
      <c r="H65" s="17">
        <f>G65/SQRT(9.81*E65)</f>
        <v/>
      </c>
      <c r="I65" s="21">
        <f>IF(A65&lt;=DATOS!$B$20,DATOS!$B$21-IF(AND(A65&gt;=DATOS!$B$23,A65&lt;DATOS!$B$24),DATOS!$B$25,DATOS!$B$22),B65+DATOS!$B$26)</f>
        <v/>
      </c>
      <c r="J65" s="17">
        <f>I65-B65</f>
        <v/>
      </c>
      <c r="K65" s="31">
        <f>E65/J65</f>
        <v/>
      </c>
      <c r="L65" s="21">
        <f>I65-F65</f>
        <v/>
      </c>
      <c r="M65" s="32">
        <f>IF(AND(K65&lt;=DATOS!$B$29,L65&gt;=DATOS!$B$30),"CUMPLE","NO CUMPLE")</f>
        <v/>
      </c>
      <c r="N65" s="13">
        <f>IF(A65&gt;DATOS!$B$20,"cubierto - tramo final",IF(AND(A65&gt;=DATOS!$B$23,A65&lt;DATOS!$B$24),"cubierto - camiones","cubierto"))</f>
        <v/>
      </c>
      <c r="P65" s="16">
        <f>D65*1.001</f>
        <v/>
      </c>
      <c r="Q65" s="16" t="n">
        <v>2</v>
      </c>
      <c r="R65" s="16">
        <f>IF((((P65+Q65)/2)+(C65/(DATOS!$B$14*((P65+Q65)/2)))^2/(2*9.81)+B65-(E64+(C64/(DATOS!$B$14*E64))^2/(2*9.81)+B64+0.5*(((DATOS!$B$27*C64/(DATOS!$B$14*E64))^2/((DATOS!$B$14*E64)/(DATOS!$B$14+2*E64))^(4/3))+((DATOS!$B$27*C65/(DATOS!$B$14*((P65+Q65)/2)))^2/((DATOS!$B$14*((P65+Q65)/2))/(DATOS!$B$14+2*((P65+Q65)/2)))^(4/3)))*(A64-A65)))&lt;0,((P65+Q65)/2),P65)</f>
        <v/>
      </c>
      <c r="S65" s="16">
        <f>IF((((P65+Q65)/2)+(C65/(DATOS!$B$14*((P65+Q65)/2)))^2/(2*9.81)+B65-(E64+(C64/(DATOS!$B$14*E64))^2/(2*9.81)+B64+0.5*(((DATOS!$B$27*C64/(DATOS!$B$14*E64))^2/((DATOS!$B$14*E64)/(DATOS!$B$14+2*E64))^(4/3))+((DATOS!$B$27*C65/(DATOS!$B$14*((P65+Q65)/2)))^2/((DATOS!$B$14*((P65+Q65)/2))/(DATOS!$B$14+2*((P65+Q65)/2)))^(4/3)))*(A64-A65)))&lt;0,Q65,((P65+Q65)/2))</f>
        <v/>
      </c>
      <c r="T65" s="16">
        <f>IF((((R65+S65)/2)+(C65/(DATOS!$B$14*((R65+S65)/2)))^2/(2*9.81)+B65-(E64+(C64/(DATOS!$B$14*E64))^2/(2*9.81)+B64+0.5*(((DATOS!$B$27*C64/(DATOS!$B$14*E64))^2/((DATOS!$B$14*E64)/(DATOS!$B$14+2*E64))^(4/3))+((DATOS!$B$27*C65/(DATOS!$B$14*((R65+S65)/2)))^2/((DATOS!$B$14*((R65+S65)/2))/(DATOS!$B$14+2*((R65+S65)/2)))^(4/3)))*(A64-A65)))&lt;0,((R65+S65)/2),R65)</f>
        <v/>
      </c>
      <c r="U65" s="16">
        <f>IF((((R65+S65)/2)+(C65/(DATOS!$B$14*((R65+S65)/2)))^2/(2*9.81)+B65-(E64+(C64/(DATOS!$B$14*E64))^2/(2*9.81)+B64+0.5*(((DATOS!$B$27*C64/(DATOS!$B$14*E64))^2/((DATOS!$B$14*E64)/(DATOS!$B$14+2*E64))^(4/3))+((DATOS!$B$27*C65/(DATOS!$B$14*((R65+S65)/2)))^2/((DATOS!$B$14*((R65+S65)/2))/(DATOS!$B$14+2*((R65+S65)/2)))^(4/3)))*(A64-A65)))&lt;0,S65,((R65+S65)/2))</f>
        <v/>
      </c>
      <c r="V65" s="16">
        <f>IF((((T65+U65)/2)+(C65/(DATOS!$B$14*((T65+U65)/2)))^2/(2*9.81)+B65-(E64+(C64/(DATOS!$B$14*E64))^2/(2*9.81)+B64+0.5*(((DATOS!$B$27*C64/(DATOS!$B$14*E64))^2/((DATOS!$B$14*E64)/(DATOS!$B$14+2*E64))^(4/3))+((DATOS!$B$27*C65/(DATOS!$B$14*((T65+U65)/2)))^2/((DATOS!$B$14*((T65+U65)/2))/(DATOS!$B$14+2*((T65+U65)/2)))^(4/3)))*(A64-A65)))&lt;0,((T65+U65)/2),T65)</f>
        <v/>
      </c>
      <c r="W65" s="16">
        <f>IF((((T65+U65)/2)+(C65/(DATOS!$B$14*((T65+U65)/2)))^2/(2*9.81)+B65-(E64+(C64/(DATOS!$B$14*E64))^2/(2*9.81)+B64+0.5*(((DATOS!$B$27*C64/(DATOS!$B$14*E64))^2/((DATOS!$B$14*E64)/(DATOS!$B$14+2*E64))^(4/3))+((DATOS!$B$27*C65/(DATOS!$B$14*((T65+U65)/2)))^2/((DATOS!$B$14*((T65+U65)/2))/(DATOS!$B$14+2*((T65+U65)/2)))^(4/3)))*(A64-A65)))&lt;0,U65,((T65+U65)/2))</f>
        <v/>
      </c>
      <c r="X65" s="16">
        <f>IF((((V65+W65)/2)+(C65/(DATOS!$B$14*((V65+W65)/2)))^2/(2*9.81)+B65-(E64+(C64/(DATOS!$B$14*E64))^2/(2*9.81)+B64+0.5*(((DATOS!$B$27*C64/(DATOS!$B$14*E64))^2/((DATOS!$B$14*E64)/(DATOS!$B$14+2*E64))^(4/3))+((DATOS!$B$27*C65/(DATOS!$B$14*((V65+W65)/2)))^2/((DATOS!$B$14*((V65+W65)/2))/(DATOS!$B$14+2*((V65+W65)/2)))^(4/3)))*(A64-A65)))&lt;0,((V65+W65)/2),V65)</f>
        <v/>
      </c>
      <c r="Y65" s="16">
        <f>IF((((V65+W65)/2)+(C65/(DATOS!$B$14*((V65+W65)/2)))^2/(2*9.81)+B65-(E64+(C64/(DATOS!$B$14*E64))^2/(2*9.81)+B64+0.5*(((DATOS!$B$27*C64/(DATOS!$B$14*E64))^2/((DATOS!$B$14*E64)/(DATOS!$B$14+2*E64))^(4/3))+((DATOS!$B$27*C65/(DATOS!$B$14*((V65+W65)/2)))^2/((DATOS!$B$14*((V65+W65)/2))/(DATOS!$B$14+2*((V65+W65)/2)))^(4/3)))*(A64-A65)))&lt;0,W65,((V65+W65)/2))</f>
        <v/>
      </c>
      <c r="Z65" s="16">
        <f>IF((((X65+Y65)/2)+(C65/(DATOS!$B$14*((X65+Y65)/2)))^2/(2*9.81)+B65-(E64+(C64/(DATOS!$B$14*E64))^2/(2*9.81)+B64+0.5*(((DATOS!$B$27*C64/(DATOS!$B$14*E64))^2/((DATOS!$B$14*E64)/(DATOS!$B$14+2*E64))^(4/3))+((DATOS!$B$27*C65/(DATOS!$B$14*((X65+Y65)/2)))^2/((DATOS!$B$14*((X65+Y65)/2))/(DATOS!$B$14+2*((X65+Y65)/2)))^(4/3)))*(A64-A65)))&lt;0,((X65+Y65)/2),X65)</f>
        <v/>
      </c>
      <c r="AA65" s="16">
        <f>IF((((X65+Y65)/2)+(C65/(DATOS!$B$14*((X65+Y65)/2)))^2/(2*9.81)+B65-(E64+(C64/(DATOS!$B$14*E64))^2/(2*9.81)+B64+0.5*(((DATOS!$B$27*C64/(DATOS!$B$14*E64))^2/((DATOS!$B$14*E64)/(DATOS!$B$14+2*E64))^(4/3))+((DATOS!$B$27*C65/(DATOS!$B$14*((X65+Y65)/2)))^2/((DATOS!$B$14*((X65+Y65)/2))/(DATOS!$B$14+2*((X65+Y65)/2)))^(4/3)))*(A64-A65)))&lt;0,Y65,((X65+Y65)/2))</f>
        <v/>
      </c>
      <c r="AB65" s="16">
        <f>IF((((Z65+AA65)/2)+(C65/(DATOS!$B$14*((Z65+AA65)/2)))^2/(2*9.81)+B65-(E64+(C64/(DATOS!$B$14*E64))^2/(2*9.81)+B64+0.5*(((DATOS!$B$27*C64/(DATOS!$B$14*E64))^2/((DATOS!$B$14*E64)/(DATOS!$B$14+2*E64))^(4/3))+((DATOS!$B$27*C65/(DATOS!$B$14*((Z65+AA65)/2)))^2/((DATOS!$B$14*((Z65+AA65)/2))/(DATOS!$B$14+2*((Z65+AA65)/2)))^(4/3)))*(A64-A65)))&lt;0,((Z65+AA65)/2),Z65)</f>
        <v/>
      </c>
      <c r="AC65" s="16">
        <f>IF((((Z65+AA65)/2)+(C65/(DATOS!$B$14*((Z65+AA65)/2)))^2/(2*9.81)+B65-(E64+(C64/(DATOS!$B$14*E64))^2/(2*9.81)+B64+0.5*(((DATOS!$B$27*C64/(DATOS!$B$14*E64))^2/((DATOS!$B$14*E64)/(DATOS!$B$14+2*E64))^(4/3))+((DATOS!$B$27*C65/(DATOS!$B$14*((Z65+AA65)/2)))^2/((DATOS!$B$14*((Z65+AA65)/2))/(DATOS!$B$14+2*((Z65+AA65)/2)))^(4/3)))*(A64-A65)))&lt;0,AA65,((Z65+AA65)/2))</f>
        <v/>
      </c>
      <c r="AD65" s="16">
        <f>IF((((AB65+AC65)/2)+(C65/(DATOS!$B$14*((AB65+AC65)/2)))^2/(2*9.81)+B65-(E64+(C64/(DATOS!$B$14*E64))^2/(2*9.81)+B64+0.5*(((DATOS!$B$27*C64/(DATOS!$B$14*E64))^2/((DATOS!$B$14*E64)/(DATOS!$B$14+2*E64))^(4/3))+((DATOS!$B$27*C65/(DATOS!$B$14*((AB65+AC65)/2)))^2/((DATOS!$B$14*((AB65+AC65)/2))/(DATOS!$B$14+2*((AB65+AC65)/2)))^(4/3)))*(A64-A65)))&lt;0,((AB65+AC65)/2),AB65)</f>
        <v/>
      </c>
      <c r="AE65" s="16">
        <f>IF((((AB65+AC65)/2)+(C65/(DATOS!$B$14*((AB65+AC65)/2)))^2/(2*9.81)+B65-(E64+(C64/(DATOS!$B$14*E64))^2/(2*9.81)+B64+0.5*(((DATOS!$B$27*C64/(DATOS!$B$14*E64))^2/((DATOS!$B$14*E64)/(DATOS!$B$14+2*E64))^(4/3))+((DATOS!$B$27*C65/(DATOS!$B$14*((AB65+AC65)/2)))^2/((DATOS!$B$14*((AB65+AC65)/2))/(DATOS!$B$14+2*((AB65+AC65)/2)))^(4/3)))*(A64-A65)))&lt;0,AC65,((AB65+AC65)/2))</f>
        <v/>
      </c>
      <c r="AF65" s="16">
        <f>IF((((AD65+AE65)/2)+(C65/(DATOS!$B$14*((AD65+AE65)/2)))^2/(2*9.81)+B65-(E64+(C64/(DATOS!$B$14*E64))^2/(2*9.81)+B64+0.5*(((DATOS!$B$27*C64/(DATOS!$B$14*E64))^2/((DATOS!$B$14*E64)/(DATOS!$B$14+2*E64))^(4/3))+((DATOS!$B$27*C65/(DATOS!$B$14*((AD65+AE65)/2)))^2/((DATOS!$B$14*((AD65+AE65)/2))/(DATOS!$B$14+2*((AD65+AE65)/2)))^(4/3)))*(A64-A65)))&lt;0,((AD65+AE65)/2),AD65)</f>
        <v/>
      </c>
      <c r="AG65" s="16">
        <f>IF((((AD65+AE65)/2)+(C65/(DATOS!$B$14*((AD65+AE65)/2)))^2/(2*9.81)+B65-(E64+(C64/(DATOS!$B$14*E64))^2/(2*9.81)+B64+0.5*(((DATOS!$B$27*C64/(DATOS!$B$14*E64))^2/((DATOS!$B$14*E64)/(DATOS!$B$14+2*E64))^(4/3))+((DATOS!$B$27*C65/(DATOS!$B$14*((AD65+AE65)/2)))^2/((DATOS!$B$14*((AD65+AE65)/2))/(DATOS!$B$14+2*((AD65+AE65)/2)))^(4/3)))*(A64-A65)))&lt;0,AE65,((AD65+AE65)/2))</f>
        <v/>
      </c>
      <c r="AH65" s="16">
        <f>IF((((AF65+AG65)/2)+(C65/(DATOS!$B$14*((AF65+AG65)/2)))^2/(2*9.81)+B65-(E64+(C64/(DATOS!$B$14*E64))^2/(2*9.81)+B64+0.5*(((DATOS!$B$27*C64/(DATOS!$B$14*E64))^2/((DATOS!$B$14*E64)/(DATOS!$B$14+2*E64))^(4/3))+((DATOS!$B$27*C65/(DATOS!$B$14*((AF65+AG65)/2)))^2/((DATOS!$B$14*((AF65+AG65)/2))/(DATOS!$B$14+2*((AF65+AG65)/2)))^(4/3)))*(A64-A65)))&lt;0,((AF65+AG65)/2),AF65)</f>
        <v/>
      </c>
      <c r="AI65" s="16">
        <f>IF((((AF65+AG65)/2)+(C65/(DATOS!$B$14*((AF65+AG65)/2)))^2/(2*9.81)+B65-(E64+(C64/(DATOS!$B$14*E64))^2/(2*9.81)+B64+0.5*(((DATOS!$B$27*C64/(DATOS!$B$14*E64))^2/((DATOS!$B$14*E64)/(DATOS!$B$14+2*E64))^(4/3))+((DATOS!$B$27*C65/(DATOS!$B$14*((AF65+AG65)/2)))^2/((DATOS!$B$14*((AF65+AG65)/2))/(DATOS!$B$14+2*((AF65+AG65)/2)))^(4/3)))*(A64-A65)))&lt;0,AG65,((AF65+AG65)/2))</f>
        <v/>
      </c>
      <c r="AJ65" s="16">
        <f>IF((((AH65+AI65)/2)+(C65/(DATOS!$B$14*((AH65+AI65)/2)))^2/(2*9.81)+B65-(E64+(C64/(DATOS!$B$14*E64))^2/(2*9.81)+B64+0.5*(((DATOS!$B$27*C64/(DATOS!$B$14*E64))^2/((DATOS!$B$14*E64)/(DATOS!$B$14+2*E64))^(4/3))+((DATOS!$B$27*C65/(DATOS!$B$14*((AH65+AI65)/2)))^2/((DATOS!$B$14*((AH65+AI65)/2))/(DATOS!$B$14+2*((AH65+AI65)/2)))^(4/3)))*(A64-A65)))&lt;0,((AH65+AI65)/2),AH65)</f>
        <v/>
      </c>
      <c r="AK65" s="16">
        <f>IF((((AH65+AI65)/2)+(C65/(DATOS!$B$14*((AH65+AI65)/2)))^2/(2*9.81)+B65-(E64+(C64/(DATOS!$B$14*E64))^2/(2*9.81)+B64+0.5*(((DATOS!$B$27*C64/(DATOS!$B$14*E64))^2/((DATOS!$B$14*E64)/(DATOS!$B$14+2*E64))^(4/3))+((DATOS!$B$27*C65/(DATOS!$B$14*((AH65+AI65)/2)))^2/((DATOS!$B$14*((AH65+AI65)/2))/(DATOS!$B$14+2*((AH65+AI65)/2)))^(4/3)))*(A64-A65)))&lt;0,AI65,((AH65+AI65)/2))</f>
        <v/>
      </c>
      <c r="AL65" s="16">
        <f>IF((((AJ65+AK65)/2)+(C65/(DATOS!$B$14*((AJ65+AK65)/2)))^2/(2*9.81)+B65-(E64+(C64/(DATOS!$B$14*E64))^2/(2*9.81)+B64+0.5*(((DATOS!$B$27*C64/(DATOS!$B$14*E64))^2/((DATOS!$B$14*E64)/(DATOS!$B$14+2*E64))^(4/3))+((DATOS!$B$27*C65/(DATOS!$B$14*((AJ65+AK65)/2)))^2/((DATOS!$B$14*((AJ65+AK65)/2))/(DATOS!$B$14+2*((AJ65+AK65)/2)))^(4/3)))*(A64-A65)))&lt;0,((AJ65+AK65)/2),AJ65)</f>
        <v/>
      </c>
      <c r="AM65" s="16">
        <f>IF((((AJ65+AK65)/2)+(C65/(DATOS!$B$14*((AJ65+AK65)/2)))^2/(2*9.81)+B65-(E64+(C64/(DATOS!$B$14*E64))^2/(2*9.81)+B64+0.5*(((DATOS!$B$27*C64/(DATOS!$B$14*E64))^2/((DATOS!$B$14*E64)/(DATOS!$B$14+2*E64))^(4/3))+((DATOS!$B$27*C65/(DATOS!$B$14*((AJ65+AK65)/2)))^2/((DATOS!$B$14*((AJ65+AK65)/2))/(DATOS!$B$14+2*((AJ65+AK65)/2)))^(4/3)))*(A64-A65)))&lt;0,AK65,((AJ65+AK65)/2))</f>
        <v/>
      </c>
      <c r="AN65" s="16">
        <f>IF((((AL65+AM65)/2)+(C65/(DATOS!$B$14*((AL65+AM65)/2)))^2/(2*9.81)+B65-(E64+(C64/(DATOS!$B$14*E64))^2/(2*9.81)+B64+0.5*(((DATOS!$B$27*C64/(DATOS!$B$14*E64))^2/((DATOS!$B$14*E64)/(DATOS!$B$14+2*E64))^(4/3))+((DATOS!$B$27*C65/(DATOS!$B$14*((AL65+AM65)/2)))^2/((DATOS!$B$14*((AL65+AM65)/2))/(DATOS!$B$14+2*((AL65+AM65)/2)))^(4/3)))*(A64-A65)))&lt;0,((AL65+AM65)/2),AL65)</f>
        <v/>
      </c>
      <c r="AO65" s="16">
        <f>IF((((AL65+AM65)/2)+(C65/(DATOS!$B$14*((AL65+AM65)/2)))^2/(2*9.81)+B65-(E64+(C64/(DATOS!$B$14*E64))^2/(2*9.81)+B64+0.5*(((DATOS!$B$27*C64/(DATOS!$B$14*E64))^2/((DATOS!$B$14*E64)/(DATOS!$B$14+2*E64))^(4/3))+((DATOS!$B$27*C65/(DATOS!$B$14*((AL65+AM65)/2)))^2/((DATOS!$B$14*((AL65+AM65)/2))/(DATOS!$B$14+2*((AL65+AM65)/2)))^(4/3)))*(A64-A65)))&lt;0,AM65,((AL65+AM65)/2))</f>
        <v/>
      </c>
      <c r="AP65" s="16">
        <f>IF((((AN65+AO65)/2)+(C65/(DATOS!$B$14*((AN65+AO65)/2)))^2/(2*9.81)+B65-(E64+(C64/(DATOS!$B$14*E64))^2/(2*9.81)+B64+0.5*(((DATOS!$B$27*C64/(DATOS!$B$14*E64))^2/((DATOS!$B$14*E64)/(DATOS!$B$14+2*E64))^(4/3))+((DATOS!$B$27*C65/(DATOS!$B$14*((AN65+AO65)/2)))^2/((DATOS!$B$14*((AN65+AO65)/2))/(DATOS!$B$14+2*((AN65+AO65)/2)))^(4/3)))*(A64-A65)))&lt;0,((AN65+AO65)/2),AN65)</f>
        <v/>
      </c>
      <c r="AQ65" s="16">
        <f>IF((((AN65+AO65)/2)+(C65/(DATOS!$B$14*((AN65+AO65)/2)))^2/(2*9.81)+B65-(E64+(C64/(DATOS!$B$14*E64))^2/(2*9.81)+B64+0.5*(((DATOS!$B$27*C64/(DATOS!$B$14*E64))^2/((DATOS!$B$14*E64)/(DATOS!$B$14+2*E64))^(4/3))+((DATOS!$B$27*C65/(DATOS!$B$14*((AN65+AO65)/2)))^2/((DATOS!$B$14*((AN65+AO65)/2))/(DATOS!$B$14+2*((AN65+AO65)/2)))^(4/3)))*(A64-A65)))&lt;0,AO65,((AN65+AO65)/2))</f>
        <v/>
      </c>
      <c r="AR65" s="16">
        <f>IF((((AP65+AQ65)/2)+(C65/(DATOS!$B$14*((AP65+AQ65)/2)))^2/(2*9.81)+B65-(E64+(C64/(DATOS!$B$14*E64))^2/(2*9.81)+B64+0.5*(((DATOS!$B$27*C64/(DATOS!$B$14*E64))^2/((DATOS!$B$14*E64)/(DATOS!$B$14+2*E64))^(4/3))+((DATOS!$B$27*C65/(DATOS!$B$14*((AP65+AQ65)/2)))^2/((DATOS!$B$14*((AP65+AQ65)/2))/(DATOS!$B$14+2*((AP65+AQ65)/2)))^(4/3)))*(A64-A65)))&lt;0,((AP65+AQ65)/2),AP65)</f>
        <v/>
      </c>
      <c r="AS65" s="16">
        <f>IF((((AP65+AQ65)/2)+(C65/(DATOS!$B$14*((AP65+AQ65)/2)))^2/(2*9.81)+B65-(E64+(C64/(DATOS!$B$14*E64))^2/(2*9.81)+B64+0.5*(((DATOS!$B$27*C64/(DATOS!$B$14*E64))^2/((DATOS!$B$14*E64)/(DATOS!$B$14+2*E64))^(4/3))+((DATOS!$B$27*C65/(DATOS!$B$14*((AP65+AQ65)/2)))^2/((DATOS!$B$14*((AP65+AQ65)/2))/(DATOS!$B$14+2*((AP65+AQ65)/2)))^(4/3)))*(A64-A65)))&lt;0,AQ65,((AP65+AQ65)/2))</f>
        <v/>
      </c>
      <c r="AT65" s="16">
        <f>IF((((AR65+AS65)/2)+(C65/(DATOS!$B$14*((AR65+AS65)/2)))^2/(2*9.81)+B65-(E64+(C64/(DATOS!$B$14*E64))^2/(2*9.81)+B64+0.5*(((DATOS!$B$27*C64/(DATOS!$B$14*E64))^2/((DATOS!$B$14*E64)/(DATOS!$B$14+2*E64))^(4/3))+((DATOS!$B$27*C65/(DATOS!$B$14*((AR65+AS65)/2)))^2/((DATOS!$B$14*((AR65+AS65)/2))/(DATOS!$B$14+2*((AR65+AS65)/2)))^(4/3)))*(A64-A65)))&lt;0,((AR65+AS65)/2),AR65)</f>
        <v/>
      </c>
      <c r="AU65" s="16">
        <f>IF((((AR65+AS65)/2)+(C65/(DATOS!$B$14*((AR65+AS65)/2)))^2/(2*9.81)+B65-(E64+(C64/(DATOS!$B$14*E64))^2/(2*9.81)+B64+0.5*(((DATOS!$B$27*C64/(DATOS!$B$14*E64))^2/((DATOS!$B$14*E64)/(DATOS!$B$14+2*E64))^(4/3))+((DATOS!$B$27*C65/(DATOS!$B$14*((AR65+AS65)/2)))^2/((DATOS!$B$14*((AR65+AS65)/2))/(DATOS!$B$14+2*((AR65+AS65)/2)))^(4/3)))*(A64-A65)))&lt;0,AS65,((AR65+AS65)/2))</f>
        <v/>
      </c>
      <c r="AV65" s="16">
        <f>IF((((AT65+AU65)/2)+(C65/(DATOS!$B$14*((AT65+AU65)/2)))^2/(2*9.81)+B65-(E64+(C64/(DATOS!$B$14*E64))^2/(2*9.81)+B64+0.5*(((DATOS!$B$27*C64/(DATOS!$B$14*E64))^2/((DATOS!$B$14*E64)/(DATOS!$B$14+2*E64))^(4/3))+((DATOS!$B$27*C65/(DATOS!$B$14*((AT65+AU65)/2)))^2/((DATOS!$B$14*((AT65+AU65)/2))/(DATOS!$B$14+2*((AT65+AU65)/2)))^(4/3)))*(A64-A65)))&lt;0,((AT65+AU65)/2),AT65)</f>
        <v/>
      </c>
      <c r="AW65" s="16">
        <f>IF((((AT65+AU65)/2)+(C65/(DATOS!$B$14*((AT65+AU65)/2)))^2/(2*9.81)+B65-(E64+(C64/(DATOS!$B$14*E64))^2/(2*9.81)+B64+0.5*(((DATOS!$B$27*C64/(DATOS!$B$14*E64))^2/((DATOS!$B$14*E64)/(DATOS!$B$14+2*E64))^(4/3))+((DATOS!$B$27*C65/(DATOS!$B$14*((AT65+AU65)/2)))^2/((DATOS!$B$14*((AT65+AU65)/2))/(DATOS!$B$14+2*((AT65+AU65)/2)))^(4/3)))*(A64-A65)))&lt;0,AU65,((AT65+AU65)/2))</f>
        <v/>
      </c>
      <c r="AX65" s="16">
        <f>IF((((AV65+AW65)/2)+(C65/(DATOS!$B$14*((AV65+AW65)/2)))^2/(2*9.81)+B65-(E64+(C64/(DATOS!$B$14*E64))^2/(2*9.81)+B64+0.5*(((DATOS!$B$27*C64/(DATOS!$B$14*E64))^2/((DATOS!$B$14*E64)/(DATOS!$B$14+2*E64))^(4/3))+((DATOS!$B$27*C65/(DATOS!$B$14*((AV65+AW65)/2)))^2/((DATOS!$B$14*((AV65+AW65)/2))/(DATOS!$B$14+2*((AV65+AW65)/2)))^(4/3)))*(A64-A65)))&lt;0,((AV65+AW65)/2),AV65)</f>
        <v/>
      </c>
      <c r="AY65" s="16">
        <f>IF((((AV65+AW65)/2)+(C65/(DATOS!$B$14*((AV65+AW65)/2)))^2/(2*9.81)+B65-(E64+(C64/(DATOS!$B$14*E64))^2/(2*9.81)+B64+0.5*(((DATOS!$B$27*C64/(DATOS!$B$14*E64))^2/((DATOS!$B$14*E64)/(DATOS!$B$14+2*E64))^(4/3))+((DATOS!$B$27*C65/(DATOS!$B$14*((AV65+AW65)/2)))^2/((DATOS!$B$14*((AV65+AW65)/2))/(DATOS!$B$14+2*((AV65+AW65)/2)))^(4/3)))*(A64-A65)))&lt;0,AW65,((AV65+AW65)/2))</f>
        <v/>
      </c>
      <c r="AZ65" s="16">
        <f>IF((((AX65+AY65)/2)+(C65/(DATOS!$B$14*((AX65+AY65)/2)))^2/(2*9.81)+B65-(E64+(C64/(DATOS!$B$14*E64))^2/(2*9.81)+B64+0.5*(((DATOS!$B$27*C64/(DATOS!$B$14*E64))^2/((DATOS!$B$14*E64)/(DATOS!$B$14+2*E64))^(4/3))+((DATOS!$B$27*C65/(DATOS!$B$14*((AX65+AY65)/2)))^2/((DATOS!$B$14*((AX65+AY65)/2))/(DATOS!$B$14+2*((AX65+AY65)/2)))^(4/3)))*(A64-A65)))&lt;0,((AX65+AY65)/2),AX65)</f>
        <v/>
      </c>
      <c r="BA65" s="16">
        <f>IF((((AX65+AY65)/2)+(C65/(DATOS!$B$14*((AX65+AY65)/2)))^2/(2*9.81)+B65-(E64+(C64/(DATOS!$B$14*E64))^2/(2*9.81)+B64+0.5*(((DATOS!$B$27*C64/(DATOS!$B$14*E64))^2/((DATOS!$B$14*E64)/(DATOS!$B$14+2*E64))^(4/3))+((DATOS!$B$27*C65/(DATOS!$B$14*((AX65+AY65)/2)))^2/((DATOS!$B$14*((AX65+AY65)/2))/(DATOS!$B$14+2*((AX65+AY65)/2)))^(4/3)))*(A64-A65)))&lt;0,AY65,((AX65+AY65)/2))</f>
        <v/>
      </c>
      <c r="BB65" s="16">
        <f>IF((((AZ65+BA65)/2)+(C65/(DATOS!$B$14*((AZ65+BA65)/2)))^2/(2*9.81)+B65-(E64+(C64/(DATOS!$B$14*E64))^2/(2*9.81)+B64+0.5*(((DATOS!$B$27*C64/(DATOS!$B$14*E64))^2/((DATOS!$B$14*E64)/(DATOS!$B$14+2*E64))^(4/3))+((DATOS!$B$27*C65/(DATOS!$B$14*((AZ65+BA65)/2)))^2/((DATOS!$B$14*((AZ65+BA65)/2))/(DATOS!$B$14+2*((AZ65+BA65)/2)))^(4/3)))*(A64-A65)))&lt;0,((AZ65+BA65)/2),AZ65)</f>
        <v/>
      </c>
      <c r="BC65" s="16">
        <f>IF((((AZ65+BA65)/2)+(C65/(DATOS!$B$14*((AZ65+BA65)/2)))^2/(2*9.81)+B65-(E64+(C64/(DATOS!$B$14*E64))^2/(2*9.81)+B64+0.5*(((DATOS!$B$27*C64/(DATOS!$B$14*E64))^2/((DATOS!$B$14*E64)/(DATOS!$B$14+2*E64))^(4/3))+((DATOS!$B$27*C65/(DATOS!$B$14*((AZ65+BA65)/2)))^2/((DATOS!$B$14*((AZ65+BA65)/2))/(DATOS!$B$14+2*((AZ65+BA65)/2)))^(4/3)))*(A64-A65)))&lt;0,BA65,((AZ65+BA65)/2))</f>
        <v/>
      </c>
      <c r="BD65" s="16">
        <f>IF((((BB65+BC65)/2)+(C65/(DATOS!$B$14*((BB65+BC65)/2)))^2/(2*9.81)+B65-(E64+(C64/(DATOS!$B$14*E64))^2/(2*9.81)+B64+0.5*(((DATOS!$B$27*C64/(DATOS!$B$14*E64))^2/((DATOS!$B$14*E64)/(DATOS!$B$14+2*E64))^(4/3))+((DATOS!$B$27*C65/(DATOS!$B$14*((BB65+BC65)/2)))^2/((DATOS!$B$14*((BB65+BC65)/2))/(DATOS!$B$14+2*((BB65+BC65)/2)))^(4/3)))*(A64-A65)))&lt;0,((BB65+BC65)/2),BB65)</f>
        <v/>
      </c>
      <c r="BE65" s="16">
        <f>IF((((BB65+BC65)/2)+(C65/(DATOS!$B$14*((BB65+BC65)/2)))^2/(2*9.81)+B65-(E64+(C64/(DATOS!$B$14*E64))^2/(2*9.81)+B64+0.5*(((DATOS!$B$27*C64/(DATOS!$B$14*E64))^2/((DATOS!$B$14*E64)/(DATOS!$B$14+2*E64))^(4/3))+((DATOS!$B$27*C65/(DATOS!$B$14*((BB65+BC65)/2)))^2/((DATOS!$B$14*((BB65+BC65)/2))/(DATOS!$B$14+2*((BB65+BC65)/2)))^(4/3)))*(A64-A65)))&lt;0,BC65,((BB65+BC65)/2))</f>
        <v/>
      </c>
      <c r="BF65" s="16">
        <f>IF((((BD65+BE65)/2)+(C65/(DATOS!$B$14*((BD65+BE65)/2)))^2/(2*9.81)+B65-(E64+(C64/(DATOS!$B$14*E64))^2/(2*9.81)+B64+0.5*(((DATOS!$B$27*C64/(DATOS!$B$14*E64))^2/((DATOS!$B$14*E64)/(DATOS!$B$14+2*E64))^(4/3))+((DATOS!$B$27*C65/(DATOS!$B$14*((BD65+BE65)/2)))^2/((DATOS!$B$14*((BD65+BE65)/2))/(DATOS!$B$14+2*((BD65+BE65)/2)))^(4/3)))*(A64-A65)))&lt;0,((BD65+BE65)/2),BD65)</f>
        <v/>
      </c>
      <c r="BG65" s="16">
        <f>IF((((BD65+BE65)/2)+(C65/(DATOS!$B$14*((BD65+BE65)/2)))^2/(2*9.81)+B65-(E64+(C64/(DATOS!$B$14*E64))^2/(2*9.81)+B64+0.5*(((DATOS!$B$27*C64/(DATOS!$B$14*E64))^2/((DATOS!$B$14*E64)/(DATOS!$B$14+2*E64))^(4/3))+((DATOS!$B$27*C65/(DATOS!$B$14*((BD65+BE65)/2)))^2/((DATOS!$B$14*((BD65+BE65)/2))/(DATOS!$B$14+2*((BD65+BE65)/2)))^(4/3)))*(A64-A65)))&lt;0,BE65,((BD65+BE65)/2))</f>
        <v/>
      </c>
      <c r="BH65" s="16">
        <f>IF((((BF65+BG65)/2)+(C65/(DATOS!$B$14*((BF65+BG65)/2)))^2/(2*9.81)+B65-(E64+(C64/(DATOS!$B$14*E64))^2/(2*9.81)+B64+0.5*(((DATOS!$B$27*C64/(DATOS!$B$14*E64))^2/((DATOS!$B$14*E64)/(DATOS!$B$14+2*E64))^(4/3))+((DATOS!$B$27*C65/(DATOS!$B$14*((BF65+BG65)/2)))^2/((DATOS!$B$14*((BF65+BG65)/2))/(DATOS!$B$14+2*((BF65+BG65)/2)))^(4/3)))*(A64-A65)))&lt;0,((BF65+BG65)/2),BF65)</f>
        <v/>
      </c>
      <c r="BI65" s="16">
        <f>IF((((BF65+BG65)/2)+(C65/(DATOS!$B$14*((BF65+BG65)/2)))^2/(2*9.81)+B65-(E64+(C64/(DATOS!$B$14*E64))^2/(2*9.81)+B64+0.5*(((DATOS!$B$27*C64/(DATOS!$B$14*E64))^2/((DATOS!$B$14*E64)/(DATOS!$B$14+2*E64))^(4/3))+((DATOS!$B$27*C65/(DATOS!$B$14*((BF65+BG65)/2)))^2/((DATOS!$B$14*((BF65+BG65)/2))/(DATOS!$B$14+2*((BF65+BG65)/2)))^(4/3)))*(A64-A65)))&lt;0,BG65,((BF65+BG65)/2))</f>
        <v/>
      </c>
      <c r="BJ65" s="16">
        <f>IF((((BH65+BI65)/2)+(C65/(DATOS!$B$14*((BH65+BI65)/2)))^2/(2*9.81)+B65-(E64+(C64/(DATOS!$B$14*E64))^2/(2*9.81)+B64+0.5*(((DATOS!$B$27*C64/(DATOS!$B$14*E64))^2/((DATOS!$B$14*E64)/(DATOS!$B$14+2*E64))^(4/3))+((DATOS!$B$27*C65/(DATOS!$B$14*((BH65+BI65)/2)))^2/((DATOS!$B$14*((BH65+BI65)/2))/(DATOS!$B$14+2*((BH65+BI65)/2)))^(4/3)))*(A64-A65)))&lt;0,((BH65+BI65)/2),BH65)</f>
        <v/>
      </c>
      <c r="BK65" s="16">
        <f>IF((((BH65+BI65)/2)+(C65/(DATOS!$B$14*((BH65+BI65)/2)))^2/(2*9.81)+B65-(E64+(C64/(DATOS!$B$14*E64))^2/(2*9.81)+B64+0.5*(((DATOS!$B$27*C64/(DATOS!$B$14*E64))^2/((DATOS!$B$14*E64)/(DATOS!$B$14+2*E64))^(4/3))+((DATOS!$B$27*C65/(DATOS!$B$14*((BH65+BI65)/2)))^2/((DATOS!$B$14*((BH65+BI65)/2))/(DATOS!$B$14+2*((BH65+BI65)/2)))^(4/3)))*(A64-A65)))&lt;0,BI65,((BH65+BI65)/2))</f>
        <v/>
      </c>
      <c r="BL65" s="16">
        <f>IF((((BJ65+BK65)/2)+(C65/(DATOS!$B$14*((BJ65+BK65)/2)))^2/(2*9.81)+B65-(E64+(C64/(DATOS!$B$14*E64))^2/(2*9.81)+B64+0.5*(((DATOS!$B$27*C64/(DATOS!$B$14*E64))^2/((DATOS!$B$14*E64)/(DATOS!$B$14+2*E64))^(4/3))+((DATOS!$B$27*C65/(DATOS!$B$14*((BJ65+BK65)/2)))^2/((DATOS!$B$14*((BJ65+BK65)/2))/(DATOS!$B$14+2*((BJ65+BK65)/2)))^(4/3)))*(A64-A65)))&lt;0,((BJ65+BK65)/2),BJ65)</f>
        <v/>
      </c>
      <c r="BM65" s="16">
        <f>IF((((BJ65+BK65)/2)+(C65/(DATOS!$B$14*((BJ65+BK65)/2)))^2/(2*9.81)+B65-(E64+(C64/(DATOS!$B$14*E64))^2/(2*9.81)+B64+0.5*(((DATOS!$B$27*C64/(DATOS!$B$14*E64))^2/((DATOS!$B$14*E64)/(DATOS!$B$14+2*E64))^(4/3))+((DATOS!$B$27*C65/(DATOS!$B$14*((BJ65+BK65)/2)))^2/((DATOS!$B$14*((BJ65+BK65)/2))/(DATOS!$B$14+2*((BJ65+BK65)/2)))^(4/3)))*(A64-A65)))&lt;0,BK65,((BJ65+BK65)/2))</f>
        <v/>
      </c>
      <c r="BN65" s="16">
        <f>IF((((BL65+BM65)/2)+(C65/(DATOS!$B$14*((BL65+BM65)/2)))^2/(2*9.81)+B65-(E64+(C64/(DATOS!$B$14*E64))^2/(2*9.81)+B64+0.5*(((DATOS!$B$27*C64/(DATOS!$B$14*E64))^2/((DATOS!$B$14*E64)/(DATOS!$B$14+2*E64))^(4/3))+((DATOS!$B$27*C65/(DATOS!$B$14*((BL65+BM65)/2)))^2/((DATOS!$B$14*((BL65+BM65)/2))/(DATOS!$B$14+2*((BL65+BM65)/2)))^(4/3)))*(A64-A65)))&lt;0,((BL65+BM65)/2),BL65)</f>
        <v/>
      </c>
      <c r="BO65" s="16">
        <f>IF((((BL65+BM65)/2)+(C65/(DATOS!$B$14*((BL65+BM65)/2)))^2/(2*9.81)+B65-(E64+(C64/(DATOS!$B$14*E64))^2/(2*9.81)+B64+0.5*(((DATOS!$B$27*C64/(DATOS!$B$14*E64))^2/((DATOS!$B$14*E64)/(DATOS!$B$14+2*E64))^(4/3))+((DATOS!$B$27*C65/(DATOS!$B$14*((BL65+BM65)/2)))^2/((DATOS!$B$14*((BL65+BM65)/2))/(DATOS!$B$14+2*((BL65+BM65)/2)))^(4/3)))*(A64-A65)))&lt;0,BM65,((BL65+BM65)/2))</f>
        <v/>
      </c>
      <c r="BP65" s="16">
        <f>IF((((BN65+BO65)/2)+(C65/(DATOS!$B$14*((BN65+BO65)/2)))^2/(2*9.81)+B65-(E64+(C64/(DATOS!$B$14*E64))^2/(2*9.81)+B64+0.5*(((DATOS!$B$27*C64/(DATOS!$B$14*E64))^2/((DATOS!$B$14*E64)/(DATOS!$B$14+2*E64))^(4/3))+((DATOS!$B$27*C65/(DATOS!$B$14*((BN65+BO65)/2)))^2/((DATOS!$B$14*((BN65+BO65)/2))/(DATOS!$B$14+2*((BN65+BO65)/2)))^(4/3)))*(A64-A65)))&lt;0,((BN65+BO65)/2),BN65)</f>
        <v/>
      </c>
      <c r="BQ65" s="16">
        <f>IF((((BN65+BO65)/2)+(C65/(DATOS!$B$14*((BN65+BO65)/2)))^2/(2*9.81)+B65-(E64+(C64/(DATOS!$B$14*E64))^2/(2*9.81)+B64+0.5*(((DATOS!$B$27*C64/(DATOS!$B$14*E64))^2/((DATOS!$B$14*E64)/(DATOS!$B$14+2*E64))^(4/3))+((DATOS!$B$27*C65/(DATOS!$B$14*((BN65+BO65)/2)))^2/((DATOS!$B$14*((BN65+BO65)/2))/(DATOS!$B$14+2*((BN65+BO65)/2)))^(4/3)))*(A64-A65)))&lt;0,BO65,((BN65+BO65)/2))</f>
        <v/>
      </c>
      <c r="BR65" s="16">
        <f>IF((((BP65+BQ65)/2)+(C65/(DATOS!$B$14*((BP65+BQ65)/2)))^2/(2*9.81)+B65-(E64+(C64/(DATOS!$B$14*E64))^2/(2*9.81)+B64+0.5*(((DATOS!$B$27*C64/(DATOS!$B$14*E64))^2/((DATOS!$B$14*E64)/(DATOS!$B$14+2*E64))^(4/3))+((DATOS!$B$27*C65/(DATOS!$B$14*((BP65+BQ65)/2)))^2/((DATOS!$B$14*((BP65+BQ65)/2))/(DATOS!$B$14+2*((BP65+BQ65)/2)))^(4/3)))*(A64-A65)))&lt;0,((BP65+BQ65)/2),BP65)</f>
        <v/>
      </c>
      <c r="BS65" s="16">
        <f>IF((((BP65+BQ65)/2)+(C65/(DATOS!$B$14*((BP65+BQ65)/2)))^2/(2*9.81)+B65-(E64+(C64/(DATOS!$B$14*E64))^2/(2*9.81)+B64+0.5*(((DATOS!$B$27*C64/(DATOS!$B$14*E64))^2/((DATOS!$B$14*E64)/(DATOS!$B$14+2*E64))^(4/3))+((DATOS!$B$27*C65/(DATOS!$B$14*((BP65+BQ65)/2)))^2/((DATOS!$B$14*((BP65+BQ65)/2))/(DATOS!$B$14+2*((BP65+BQ65)/2)))^(4/3)))*(A64-A65)))&lt;0,BQ65,((BP65+BQ65)/2))</f>
        <v/>
      </c>
      <c r="BT65" s="16">
        <f>IF((((BR65+BS65)/2)+(C65/(DATOS!$B$14*((BR65+BS65)/2)))^2/(2*9.81)+B65-(E64+(C64/(DATOS!$B$14*E64))^2/(2*9.81)+B64+0.5*(((DATOS!$B$27*C64/(DATOS!$B$14*E64))^2/((DATOS!$B$14*E64)/(DATOS!$B$14+2*E64))^(4/3))+((DATOS!$B$27*C65/(DATOS!$B$14*((BR65+BS65)/2)))^2/((DATOS!$B$14*((BR65+BS65)/2))/(DATOS!$B$14+2*((BR65+BS65)/2)))^(4/3)))*(A64-A65)))&lt;0,((BR65+BS65)/2),BR65)</f>
        <v/>
      </c>
      <c r="BU65" s="16">
        <f>IF((((BR65+BS65)/2)+(C65/(DATOS!$B$14*((BR65+BS65)/2)))^2/(2*9.81)+B65-(E64+(C64/(DATOS!$B$14*E64))^2/(2*9.81)+B64+0.5*(((DATOS!$B$27*C64/(DATOS!$B$14*E64))^2/((DATOS!$B$14*E64)/(DATOS!$B$14+2*E64))^(4/3))+((DATOS!$B$27*C65/(DATOS!$B$14*((BR65+BS65)/2)))^2/((DATOS!$B$14*((BR65+BS65)/2))/(DATOS!$B$14+2*((BR65+BS65)/2)))^(4/3)))*(A64-A65)))&lt;0,BS65,((BR65+BS65)/2))</f>
        <v/>
      </c>
    </row>
    <row r="66">
      <c r="A66" s="30" t="n">
        <v>26</v>
      </c>
      <c r="B66" s="21">
        <f>DATOS!$B$16-DATOS!$B$19*A66</f>
        <v/>
      </c>
      <c r="C66" s="21">
        <f>IF(A66&lt;CAUDALES!$B$13,CAUDALES!$D$12,IF(A66&lt;CAUDALES!$B$14,CAUDALES!$D$13,IF(A66&lt;CAUDALES!$B$15,CAUDALES!$D$14,CAUDALES!$D$15)))/1000</f>
        <v/>
      </c>
      <c r="D66" s="21">
        <f>(C66^2/(9.81*DATOS!$B$14^2))^(1/3)</f>
        <v/>
      </c>
      <c r="E66" s="29">
        <f>(BT66+BU66)/2</f>
        <v/>
      </c>
      <c r="F66" s="21">
        <f>B66+E66</f>
        <v/>
      </c>
      <c r="G66" s="17">
        <f>C66/(DATOS!$B$14*E66)</f>
        <v/>
      </c>
      <c r="H66" s="17">
        <f>G66/SQRT(9.81*E66)</f>
        <v/>
      </c>
      <c r="I66" s="21">
        <f>IF(A66&lt;=DATOS!$B$20,DATOS!$B$21-IF(AND(A66&gt;=DATOS!$B$23,A66&lt;DATOS!$B$24),DATOS!$B$25,DATOS!$B$22),B66+DATOS!$B$26)</f>
        <v/>
      </c>
      <c r="J66" s="17">
        <f>I66-B66</f>
        <v/>
      </c>
      <c r="K66" s="31">
        <f>E66/J66</f>
        <v/>
      </c>
      <c r="L66" s="21">
        <f>I66-F66</f>
        <v/>
      </c>
      <c r="M66" s="32">
        <f>IF(AND(K66&lt;=DATOS!$B$29,L66&gt;=DATOS!$B$30),"CUMPLE","NO CUMPLE")</f>
        <v/>
      </c>
      <c r="N66" s="13">
        <f>IF(A66&gt;DATOS!$B$20,"cubierto - tramo final",IF(AND(A66&gt;=DATOS!$B$23,A66&lt;DATOS!$B$24),"cubierto - camiones","cubierto"))</f>
        <v/>
      </c>
      <c r="P66" s="16">
        <f>D66*1.001</f>
        <v/>
      </c>
      <c r="Q66" s="16" t="n">
        <v>2</v>
      </c>
      <c r="R66" s="16">
        <f>IF((((P66+Q66)/2)+(C66/(DATOS!$B$14*((P66+Q66)/2)))^2/(2*9.81)+B66-(E65+(C65/(DATOS!$B$14*E65))^2/(2*9.81)+B65+0.5*(((DATOS!$B$27*C65/(DATOS!$B$14*E65))^2/((DATOS!$B$14*E65)/(DATOS!$B$14+2*E65))^(4/3))+((DATOS!$B$27*C66/(DATOS!$B$14*((P66+Q66)/2)))^2/((DATOS!$B$14*((P66+Q66)/2))/(DATOS!$B$14+2*((P66+Q66)/2)))^(4/3)))*(A65-A66)))&lt;0,((P66+Q66)/2),P66)</f>
        <v/>
      </c>
      <c r="S66" s="16">
        <f>IF((((P66+Q66)/2)+(C66/(DATOS!$B$14*((P66+Q66)/2)))^2/(2*9.81)+B66-(E65+(C65/(DATOS!$B$14*E65))^2/(2*9.81)+B65+0.5*(((DATOS!$B$27*C65/(DATOS!$B$14*E65))^2/((DATOS!$B$14*E65)/(DATOS!$B$14+2*E65))^(4/3))+((DATOS!$B$27*C66/(DATOS!$B$14*((P66+Q66)/2)))^2/((DATOS!$B$14*((P66+Q66)/2))/(DATOS!$B$14+2*((P66+Q66)/2)))^(4/3)))*(A65-A66)))&lt;0,Q66,((P66+Q66)/2))</f>
        <v/>
      </c>
      <c r="T66" s="16">
        <f>IF((((R66+S66)/2)+(C66/(DATOS!$B$14*((R66+S66)/2)))^2/(2*9.81)+B66-(E65+(C65/(DATOS!$B$14*E65))^2/(2*9.81)+B65+0.5*(((DATOS!$B$27*C65/(DATOS!$B$14*E65))^2/((DATOS!$B$14*E65)/(DATOS!$B$14+2*E65))^(4/3))+((DATOS!$B$27*C66/(DATOS!$B$14*((R66+S66)/2)))^2/((DATOS!$B$14*((R66+S66)/2))/(DATOS!$B$14+2*((R66+S66)/2)))^(4/3)))*(A65-A66)))&lt;0,((R66+S66)/2),R66)</f>
        <v/>
      </c>
      <c r="U66" s="16">
        <f>IF((((R66+S66)/2)+(C66/(DATOS!$B$14*((R66+S66)/2)))^2/(2*9.81)+B66-(E65+(C65/(DATOS!$B$14*E65))^2/(2*9.81)+B65+0.5*(((DATOS!$B$27*C65/(DATOS!$B$14*E65))^2/((DATOS!$B$14*E65)/(DATOS!$B$14+2*E65))^(4/3))+((DATOS!$B$27*C66/(DATOS!$B$14*((R66+S66)/2)))^2/((DATOS!$B$14*((R66+S66)/2))/(DATOS!$B$14+2*((R66+S66)/2)))^(4/3)))*(A65-A66)))&lt;0,S66,((R66+S66)/2))</f>
        <v/>
      </c>
      <c r="V66" s="16">
        <f>IF((((T66+U66)/2)+(C66/(DATOS!$B$14*((T66+U66)/2)))^2/(2*9.81)+B66-(E65+(C65/(DATOS!$B$14*E65))^2/(2*9.81)+B65+0.5*(((DATOS!$B$27*C65/(DATOS!$B$14*E65))^2/((DATOS!$B$14*E65)/(DATOS!$B$14+2*E65))^(4/3))+((DATOS!$B$27*C66/(DATOS!$B$14*((T66+U66)/2)))^2/((DATOS!$B$14*((T66+U66)/2))/(DATOS!$B$14+2*((T66+U66)/2)))^(4/3)))*(A65-A66)))&lt;0,((T66+U66)/2),T66)</f>
        <v/>
      </c>
      <c r="W66" s="16">
        <f>IF((((T66+U66)/2)+(C66/(DATOS!$B$14*((T66+U66)/2)))^2/(2*9.81)+B66-(E65+(C65/(DATOS!$B$14*E65))^2/(2*9.81)+B65+0.5*(((DATOS!$B$27*C65/(DATOS!$B$14*E65))^2/((DATOS!$B$14*E65)/(DATOS!$B$14+2*E65))^(4/3))+((DATOS!$B$27*C66/(DATOS!$B$14*((T66+U66)/2)))^2/((DATOS!$B$14*((T66+U66)/2))/(DATOS!$B$14+2*((T66+U66)/2)))^(4/3)))*(A65-A66)))&lt;0,U66,((T66+U66)/2))</f>
        <v/>
      </c>
      <c r="X66" s="16">
        <f>IF((((V66+W66)/2)+(C66/(DATOS!$B$14*((V66+W66)/2)))^2/(2*9.81)+B66-(E65+(C65/(DATOS!$B$14*E65))^2/(2*9.81)+B65+0.5*(((DATOS!$B$27*C65/(DATOS!$B$14*E65))^2/((DATOS!$B$14*E65)/(DATOS!$B$14+2*E65))^(4/3))+((DATOS!$B$27*C66/(DATOS!$B$14*((V66+W66)/2)))^2/((DATOS!$B$14*((V66+W66)/2))/(DATOS!$B$14+2*((V66+W66)/2)))^(4/3)))*(A65-A66)))&lt;0,((V66+W66)/2),V66)</f>
        <v/>
      </c>
      <c r="Y66" s="16">
        <f>IF((((V66+W66)/2)+(C66/(DATOS!$B$14*((V66+W66)/2)))^2/(2*9.81)+B66-(E65+(C65/(DATOS!$B$14*E65))^2/(2*9.81)+B65+0.5*(((DATOS!$B$27*C65/(DATOS!$B$14*E65))^2/((DATOS!$B$14*E65)/(DATOS!$B$14+2*E65))^(4/3))+((DATOS!$B$27*C66/(DATOS!$B$14*((V66+W66)/2)))^2/((DATOS!$B$14*((V66+W66)/2))/(DATOS!$B$14+2*((V66+W66)/2)))^(4/3)))*(A65-A66)))&lt;0,W66,((V66+W66)/2))</f>
        <v/>
      </c>
      <c r="Z66" s="16">
        <f>IF((((X66+Y66)/2)+(C66/(DATOS!$B$14*((X66+Y66)/2)))^2/(2*9.81)+B66-(E65+(C65/(DATOS!$B$14*E65))^2/(2*9.81)+B65+0.5*(((DATOS!$B$27*C65/(DATOS!$B$14*E65))^2/((DATOS!$B$14*E65)/(DATOS!$B$14+2*E65))^(4/3))+((DATOS!$B$27*C66/(DATOS!$B$14*((X66+Y66)/2)))^2/((DATOS!$B$14*((X66+Y66)/2))/(DATOS!$B$14+2*((X66+Y66)/2)))^(4/3)))*(A65-A66)))&lt;0,((X66+Y66)/2),X66)</f>
        <v/>
      </c>
      <c r="AA66" s="16">
        <f>IF((((X66+Y66)/2)+(C66/(DATOS!$B$14*((X66+Y66)/2)))^2/(2*9.81)+B66-(E65+(C65/(DATOS!$B$14*E65))^2/(2*9.81)+B65+0.5*(((DATOS!$B$27*C65/(DATOS!$B$14*E65))^2/((DATOS!$B$14*E65)/(DATOS!$B$14+2*E65))^(4/3))+((DATOS!$B$27*C66/(DATOS!$B$14*((X66+Y66)/2)))^2/((DATOS!$B$14*((X66+Y66)/2))/(DATOS!$B$14+2*((X66+Y66)/2)))^(4/3)))*(A65-A66)))&lt;0,Y66,((X66+Y66)/2))</f>
        <v/>
      </c>
      <c r="AB66" s="16">
        <f>IF((((Z66+AA66)/2)+(C66/(DATOS!$B$14*((Z66+AA66)/2)))^2/(2*9.81)+B66-(E65+(C65/(DATOS!$B$14*E65))^2/(2*9.81)+B65+0.5*(((DATOS!$B$27*C65/(DATOS!$B$14*E65))^2/((DATOS!$B$14*E65)/(DATOS!$B$14+2*E65))^(4/3))+((DATOS!$B$27*C66/(DATOS!$B$14*((Z66+AA66)/2)))^2/((DATOS!$B$14*((Z66+AA66)/2))/(DATOS!$B$14+2*((Z66+AA66)/2)))^(4/3)))*(A65-A66)))&lt;0,((Z66+AA66)/2),Z66)</f>
        <v/>
      </c>
      <c r="AC66" s="16">
        <f>IF((((Z66+AA66)/2)+(C66/(DATOS!$B$14*((Z66+AA66)/2)))^2/(2*9.81)+B66-(E65+(C65/(DATOS!$B$14*E65))^2/(2*9.81)+B65+0.5*(((DATOS!$B$27*C65/(DATOS!$B$14*E65))^2/((DATOS!$B$14*E65)/(DATOS!$B$14+2*E65))^(4/3))+((DATOS!$B$27*C66/(DATOS!$B$14*((Z66+AA66)/2)))^2/((DATOS!$B$14*((Z66+AA66)/2))/(DATOS!$B$14+2*((Z66+AA66)/2)))^(4/3)))*(A65-A66)))&lt;0,AA66,((Z66+AA66)/2))</f>
        <v/>
      </c>
      <c r="AD66" s="16">
        <f>IF((((AB66+AC66)/2)+(C66/(DATOS!$B$14*((AB66+AC66)/2)))^2/(2*9.81)+B66-(E65+(C65/(DATOS!$B$14*E65))^2/(2*9.81)+B65+0.5*(((DATOS!$B$27*C65/(DATOS!$B$14*E65))^2/((DATOS!$B$14*E65)/(DATOS!$B$14+2*E65))^(4/3))+((DATOS!$B$27*C66/(DATOS!$B$14*((AB66+AC66)/2)))^2/((DATOS!$B$14*((AB66+AC66)/2))/(DATOS!$B$14+2*((AB66+AC66)/2)))^(4/3)))*(A65-A66)))&lt;0,((AB66+AC66)/2),AB66)</f>
        <v/>
      </c>
      <c r="AE66" s="16">
        <f>IF((((AB66+AC66)/2)+(C66/(DATOS!$B$14*((AB66+AC66)/2)))^2/(2*9.81)+B66-(E65+(C65/(DATOS!$B$14*E65))^2/(2*9.81)+B65+0.5*(((DATOS!$B$27*C65/(DATOS!$B$14*E65))^2/((DATOS!$B$14*E65)/(DATOS!$B$14+2*E65))^(4/3))+((DATOS!$B$27*C66/(DATOS!$B$14*((AB66+AC66)/2)))^2/((DATOS!$B$14*((AB66+AC66)/2))/(DATOS!$B$14+2*((AB66+AC66)/2)))^(4/3)))*(A65-A66)))&lt;0,AC66,((AB66+AC66)/2))</f>
        <v/>
      </c>
      <c r="AF66" s="16">
        <f>IF((((AD66+AE66)/2)+(C66/(DATOS!$B$14*((AD66+AE66)/2)))^2/(2*9.81)+B66-(E65+(C65/(DATOS!$B$14*E65))^2/(2*9.81)+B65+0.5*(((DATOS!$B$27*C65/(DATOS!$B$14*E65))^2/((DATOS!$B$14*E65)/(DATOS!$B$14+2*E65))^(4/3))+((DATOS!$B$27*C66/(DATOS!$B$14*((AD66+AE66)/2)))^2/((DATOS!$B$14*((AD66+AE66)/2))/(DATOS!$B$14+2*((AD66+AE66)/2)))^(4/3)))*(A65-A66)))&lt;0,((AD66+AE66)/2),AD66)</f>
        <v/>
      </c>
      <c r="AG66" s="16">
        <f>IF((((AD66+AE66)/2)+(C66/(DATOS!$B$14*((AD66+AE66)/2)))^2/(2*9.81)+B66-(E65+(C65/(DATOS!$B$14*E65))^2/(2*9.81)+B65+0.5*(((DATOS!$B$27*C65/(DATOS!$B$14*E65))^2/((DATOS!$B$14*E65)/(DATOS!$B$14+2*E65))^(4/3))+((DATOS!$B$27*C66/(DATOS!$B$14*((AD66+AE66)/2)))^2/((DATOS!$B$14*((AD66+AE66)/2))/(DATOS!$B$14+2*((AD66+AE66)/2)))^(4/3)))*(A65-A66)))&lt;0,AE66,((AD66+AE66)/2))</f>
        <v/>
      </c>
      <c r="AH66" s="16">
        <f>IF((((AF66+AG66)/2)+(C66/(DATOS!$B$14*((AF66+AG66)/2)))^2/(2*9.81)+B66-(E65+(C65/(DATOS!$B$14*E65))^2/(2*9.81)+B65+0.5*(((DATOS!$B$27*C65/(DATOS!$B$14*E65))^2/((DATOS!$B$14*E65)/(DATOS!$B$14+2*E65))^(4/3))+((DATOS!$B$27*C66/(DATOS!$B$14*((AF66+AG66)/2)))^2/((DATOS!$B$14*((AF66+AG66)/2))/(DATOS!$B$14+2*((AF66+AG66)/2)))^(4/3)))*(A65-A66)))&lt;0,((AF66+AG66)/2),AF66)</f>
        <v/>
      </c>
      <c r="AI66" s="16">
        <f>IF((((AF66+AG66)/2)+(C66/(DATOS!$B$14*((AF66+AG66)/2)))^2/(2*9.81)+B66-(E65+(C65/(DATOS!$B$14*E65))^2/(2*9.81)+B65+0.5*(((DATOS!$B$27*C65/(DATOS!$B$14*E65))^2/((DATOS!$B$14*E65)/(DATOS!$B$14+2*E65))^(4/3))+((DATOS!$B$27*C66/(DATOS!$B$14*((AF66+AG66)/2)))^2/((DATOS!$B$14*((AF66+AG66)/2))/(DATOS!$B$14+2*((AF66+AG66)/2)))^(4/3)))*(A65-A66)))&lt;0,AG66,((AF66+AG66)/2))</f>
        <v/>
      </c>
      <c r="AJ66" s="16">
        <f>IF((((AH66+AI66)/2)+(C66/(DATOS!$B$14*((AH66+AI66)/2)))^2/(2*9.81)+B66-(E65+(C65/(DATOS!$B$14*E65))^2/(2*9.81)+B65+0.5*(((DATOS!$B$27*C65/(DATOS!$B$14*E65))^2/((DATOS!$B$14*E65)/(DATOS!$B$14+2*E65))^(4/3))+((DATOS!$B$27*C66/(DATOS!$B$14*((AH66+AI66)/2)))^2/((DATOS!$B$14*((AH66+AI66)/2))/(DATOS!$B$14+2*((AH66+AI66)/2)))^(4/3)))*(A65-A66)))&lt;0,((AH66+AI66)/2),AH66)</f>
        <v/>
      </c>
      <c r="AK66" s="16">
        <f>IF((((AH66+AI66)/2)+(C66/(DATOS!$B$14*((AH66+AI66)/2)))^2/(2*9.81)+B66-(E65+(C65/(DATOS!$B$14*E65))^2/(2*9.81)+B65+0.5*(((DATOS!$B$27*C65/(DATOS!$B$14*E65))^2/((DATOS!$B$14*E65)/(DATOS!$B$14+2*E65))^(4/3))+((DATOS!$B$27*C66/(DATOS!$B$14*((AH66+AI66)/2)))^2/((DATOS!$B$14*((AH66+AI66)/2))/(DATOS!$B$14+2*((AH66+AI66)/2)))^(4/3)))*(A65-A66)))&lt;0,AI66,((AH66+AI66)/2))</f>
        <v/>
      </c>
      <c r="AL66" s="16">
        <f>IF((((AJ66+AK66)/2)+(C66/(DATOS!$B$14*((AJ66+AK66)/2)))^2/(2*9.81)+B66-(E65+(C65/(DATOS!$B$14*E65))^2/(2*9.81)+B65+0.5*(((DATOS!$B$27*C65/(DATOS!$B$14*E65))^2/((DATOS!$B$14*E65)/(DATOS!$B$14+2*E65))^(4/3))+((DATOS!$B$27*C66/(DATOS!$B$14*((AJ66+AK66)/2)))^2/((DATOS!$B$14*((AJ66+AK66)/2))/(DATOS!$B$14+2*((AJ66+AK66)/2)))^(4/3)))*(A65-A66)))&lt;0,((AJ66+AK66)/2),AJ66)</f>
        <v/>
      </c>
      <c r="AM66" s="16">
        <f>IF((((AJ66+AK66)/2)+(C66/(DATOS!$B$14*((AJ66+AK66)/2)))^2/(2*9.81)+B66-(E65+(C65/(DATOS!$B$14*E65))^2/(2*9.81)+B65+0.5*(((DATOS!$B$27*C65/(DATOS!$B$14*E65))^2/((DATOS!$B$14*E65)/(DATOS!$B$14+2*E65))^(4/3))+((DATOS!$B$27*C66/(DATOS!$B$14*((AJ66+AK66)/2)))^2/((DATOS!$B$14*((AJ66+AK66)/2))/(DATOS!$B$14+2*((AJ66+AK66)/2)))^(4/3)))*(A65-A66)))&lt;0,AK66,((AJ66+AK66)/2))</f>
        <v/>
      </c>
      <c r="AN66" s="16">
        <f>IF((((AL66+AM66)/2)+(C66/(DATOS!$B$14*((AL66+AM66)/2)))^2/(2*9.81)+B66-(E65+(C65/(DATOS!$B$14*E65))^2/(2*9.81)+B65+0.5*(((DATOS!$B$27*C65/(DATOS!$B$14*E65))^2/((DATOS!$B$14*E65)/(DATOS!$B$14+2*E65))^(4/3))+((DATOS!$B$27*C66/(DATOS!$B$14*((AL66+AM66)/2)))^2/((DATOS!$B$14*((AL66+AM66)/2))/(DATOS!$B$14+2*((AL66+AM66)/2)))^(4/3)))*(A65-A66)))&lt;0,((AL66+AM66)/2),AL66)</f>
        <v/>
      </c>
      <c r="AO66" s="16">
        <f>IF((((AL66+AM66)/2)+(C66/(DATOS!$B$14*((AL66+AM66)/2)))^2/(2*9.81)+B66-(E65+(C65/(DATOS!$B$14*E65))^2/(2*9.81)+B65+0.5*(((DATOS!$B$27*C65/(DATOS!$B$14*E65))^2/((DATOS!$B$14*E65)/(DATOS!$B$14+2*E65))^(4/3))+((DATOS!$B$27*C66/(DATOS!$B$14*((AL66+AM66)/2)))^2/((DATOS!$B$14*((AL66+AM66)/2))/(DATOS!$B$14+2*((AL66+AM66)/2)))^(4/3)))*(A65-A66)))&lt;0,AM66,((AL66+AM66)/2))</f>
        <v/>
      </c>
      <c r="AP66" s="16">
        <f>IF((((AN66+AO66)/2)+(C66/(DATOS!$B$14*((AN66+AO66)/2)))^2/(2*9.81)+B66-(E65+(C65/(DATOS!$B$14*E65))^2/(2*9.81)+B65+0.5*(((DATOS!$B$27*C65/(DATOS!$B$14*E65))^2/((DATOS!$B$14*E65)/(DATOS!$B$14+2*E65))^(4/3))+((DATOS!$B$27*C66/(DATOS!$B$14*((AN66+AO66)/2)))^2/((DATOS!$B$14*((AN66+AO66)/2))/(DATOS!$B$14+2*((AN66+AO66)/2)))^(4/3)))*(A65-A66)))&lt;0,((AN66+AO66)/2),AN66)</f>
        <v/>
      </c>
      <c r="AQ66" s="16">
        <f>IF((((AN66+AO66)/2)+(C66/(DATOS!$B$14*((AN66+AO66)/2)))^2/(2*9.81)+B66-(E65+(C65/(DATOS!$B$14*E65))^2/(2*9.81)+B65+0.5*(((DATOS!$B$27*C65/(DATOS!$B$14*E65))^2/((DATOS!$B$14*E65)/(DATOS!$B$14+2*E65))^(4/3))+((DATOS!$B$27*C66/(DATOS!$B$14*((AN66+AO66)/2)))^2/((DATOS!$B$14*((AN66+AO66)/2))/(DATOS!$B$14+2*((AN66+AO66)/2)))^(4/3)))*(A65-A66)))&lt;0,AO66,((AN66+AO66)/2))</f>
        <v/>
      </c>
      <c r="AR66" s="16">
        <f>IF((((AP66+AQ66)/2)+(C66/(DATOS!$B$14*((AP66+AQ66)/2)))^2/(2*9.81)+B66-(E65+(C65/(DATOS!$B$14*E65))^2/(2*9.81)+B65+0.5*(((DATOS!$B$27*C65/(DATOS!$B$14*E65))^2/((DATOS!$B$14*E65)/(DATOS!$B$14+2*E65))^(4/3))+((DATOS!$B$27*C66/(DATOS!$B$14*((AP66+AQ66)/2)))^2/((DATOS!$B$14*((AP66+AQ66)/2))/(DATOS!$B$14+2*((AP66+AQ66)/2)))^(4/3)))*(A65-A66)))&lt;0,((AP66+AQ66)/2),AP66)</f>
        <v/>
      </c>
      <c r="AS66" s="16">
        <f>IF((((AP66+AQ66)/2)+(C66/(DATOS!$B$14*((AP66+AQ66)/2)))^2/(2*9.81)+B66-(E65+(C65/(DATOS!$B$14*E65))^2/(2*9.81)+B65+0.5*(((DATOS!$B$27*C65/(DATOS!$B$14*E65))^2/((DATOS!$B$14*E65)/(DATOS!$B$14+2*E65))^(4/3))+((DATOS!$B$27*C66/(DATOS!$B$14*((AP66+AQ66)/2)))^2/((DATOS!$B$14*((AP66+AQ66)/2))/(DATOS!$B$14+2*((AP66+AQ66)/2)))^(4/3)))*(A65-A66)))&lt;0,AQ66,((AP66+AQ66)/2))</f>
        <v/>
      </c>
      <c r="AT66" s="16">
        <f>IF((((AR66+AS66)/2)+(C66/(DATOS!$B$14*((AR66+AS66)/2)))^2/(2*9.81)+B66-(E65+(C65/(DATOS!$B$14*E65))^2/(2*9.81)+B65+0.5*(((DATOS!$B$27*C65/(DATOS!$B$14*E65))^2/((DATOS!$B$14*E65)/(DATOS!$B$14+2*E65))^(4/3))+((DATOS!$B$27*C66/(DATOS!$B$14*((AR66+AS66)/2)))^2/((DATOS!$B$14*((AR66+AS66)/2))/(DATOS!$B$14+2*((AR66+AS66)/2)))^(4/3)))*(A65-A66)))&lt;0,((AR66+AS66)/2),AR66)</f>
        <v/>
      </c>
      <c r="AU66" s="16">
        <f>IF((((AR66+AS66)/2)+(C66/(DATOS!$B$14*((AR66+AS66)/2)))^2/(2*9.81)+B66-(E65+(C65/(DATOS!$B$14*E65))^2/(2*9.81)+B65+0.5*(((DATOS!$B$27*C65/(DATOS!$B$14*E65))^2/((DATOS!$B$14*E65)/(DATOS!$B$14+2*E65))^(4/3))+((DATOS!$B$27*C66/(DATOS!$B$14*((AR66+AS66)/2)))^2/((DATOS!$B$14*((AR66+AS66)/2))/(DATOS!$B$14+2*((AR66+AS66)/2)))^(4/3)))*(A65-A66)))&lt;0,AS66,((AR66+AS66)/2))</f>
        <v/>
      </c>
      <c r="AV66" s="16">
        <f>IF((((AT66+AU66)/2)+(C66/(DATOS!$B$14*((AT66+AU66)/2)))^2/(2*9.81)+B66-(E65+(C65/(DATOS!$B$14*E65))^2/(2*9.81)+B65+0.5*(((DATOS!$B$27*C65/(DATOS!$B$14*E65))^2/((DATOS!$B$14*E65)/(DATOS!$B$14+2*E65))^(4/3))+((DATOS!$B$27*C66/(DATOS!$B$14*((AT66+AU66)/2)))^2/((DATOS!$B$14*((AT66+AU66)/2))/(DATOS!$B$14+2*((AT66+AU66)/2)))^(4/3)))*(A65-A66)))&lt;0,((AT66+AU66)/2),AT66)</f>
        <v/>
      </c>
      <c r="AW66" s="16">
        <f>IF((((AT66+AU66)/2)+(C66/(DATOS!$B$14*((AT66+AU66)/2)))^2/(2*9.81)+B66-(E65+(C65/(DATOS!$B$14*E65))^2/(2*9.81)+B65+0.5*(((DATOS!$B$27*C65/(DATOS!$B$14*E65))^2/((DATOS!$B$14*E65)/(DATOS!$B$14+2*E65))^(4/3))+((DATOS!$B$27*C66/(DATOS!$B$14*((AT66+AU66)/2)))^2/((DATOS!$B$14*((AT66+AU66)/2))/(DATOS!$B$14+2*((AT66+AU66)/2)))^(4/3)))*(A65-A66)))&lt;0,AU66,((AT66+AU66)/2))</f>
        <v/>
      </c>
      <c r="AX66" s="16">
        <f>IF((((AV66+AW66)/2)+(C66/(DATOS!$B$14*((AV66+AW66)/2)))^2/(2*9.81)+B66-(E65+(C65/(DATOS!$B$14*E65))^2/(2*9.81)+B65+0.5*(((DATOS!$B$27*C65/(DATOS!$B$14*E65))^2/((DATOS!$B$14*E65)/(DATOS!$B$14+2*E65))^(4/3))+((DATOS!$B$27*C66/(DATOS!$B$14*((AV66+AW66)/2)))^2/((DATOS!$B$14*((AV66+AW66)/2))/(DATOS!$B$14+2*((AV66+AW66)/2)))^(4/3)))*(A65-A66)))&lt;0,((AV66+AW66)/2),AV66)</f>
        <v/>
      </c>
      <c r="AY66" s="16">
        <f>IF((((AV66+AW66)/2)+(C66/(DATOS!$B$14*((AV66+AW66)/2)))^2/(2*9.81)+B66-(E65+(C65/(DATOS!$B$14*E65))^2/(2*9.81)+B65+0.5*(((DATOS!$B$27*C65/(DATOS!$B$14*E65))^2/((DATOS!$B$14*E65)/(DATOS!$B$14+2*E65))^(4/3))+((DATOS!$B$27*C66/(DATOS!$B$14*((AV66+AW66)/2)))^2/((DATOS!$B$14*((AV66+AW66)/2))/(DATOS!$B$14+2*((AV66+AW66)/2)))^(4/3)))*(A65-A66)))&lt;0,AW66,((AV66+AW66)/2))</f>
        <v/>
      </c>
      <c r="AZ66" s="16">
        <f>IF((((AX66+AY66)/2)+(C66/(DATOS!$B$14*((AX66+AY66)/2)))^2/(2*9.81)+B66-(E65+(C65/(DATOS!$B$14*E65))^2/(2*9.81)+B65+0.5*(((DATOS!$B$27*C65/(DATOS!$B$14*E65))^2/((DATOS!$B$14*E65)/(DATOS!$B$14+2*E65))^(4/3))+((DATOS!$B$27*C66/(DATOS!$B$14*((AX66+AY66)/2)))^2/((DATOS!$B$14*((AX66+AY66)/2))/(DATOS!$B$14+2*((AX66+AY66)/2)))^(4/3)))*(A65-A66)))&lt;0,((AX66+AY66)/2),AX66)</f>
        <v/>
      </c>
      <c r="BA66" s="16">
        <f>IF((((AX66+AY66)/2)+(C66/(DATOS!$B$14*((AX66+AY66)/2)))^2/(2*9.81)+B66-(E65+(C65/(DATOS!$B$14*E65))^2/(2*9.81)+B65+0.5*(((DATOS!$B$27*C65/(DATOS!$B$14*E65))^2/((DATOS!$B$14*E65)/(DATOS!$B$14+2*E65))^(4/3))+((DATOS!$B$27*C66/(DATOS!$B$14*((AX66+AY66)/2)))^2/((DATOS!$B$14*((AX66+AY66)/2))/(DATOS!$B$14+2*((AX66+AY66)/2)))^(4/3)))*(A65-A66)))&lt;0,AY66,((AX66+AY66)/2))</f>
        <v/>
      </c>
      <c r="BB66" s="16">
        <f>IF((((AZ66+BA66)/2)+(C66/(DATOS!$B$14*((AZ66+BA66)/2)))^2/(2*9.81)+B66-(E65+(C65/(DATOS!$B$14*E65))^2/(2*9.81)+B65+0.5*(((DATOS!$B$27*C65/(DATOS!$B$14*E65))^2/((DATOS!$B$14*E65)/(DATOS!$B$14+2*E65))^(4/3))+((DATOS!$B$27*C66/(DATOS!$B$14*((AZ66+BA66)/2)))^2/((DATOS!$B$14*((AZ66+BA66)/2))/(DATOS!$B$14+2*((AZ66+BA66)/2)))^(4/3)))*(A65-A66)))&lt;0,((AZ66+BA66)/2),AZ66)</f>
        <v/>
      </c>
      <c r="BC66" s="16">
        <f>IF((((AZ66+BA66)/2)+(C66/(DATOS!$B$14*((AZ66+BA66)/2)))^2/(2*9.81)+B66-(E65+(C65/(DATOS!$B$14*E65))^2/(2*9.81)+B65+0.5*(((DATOS!$B$27*C65/(DATOS!$B$14*E65))^2/((DATOS!$B$14*E65)/(DATOS!$B$14+2*E65))^(4/3))+((DATOS!$B$27*C66/(DATOS!$B$14*((AZ66+BA66)/2)))^2/((DATOS!$B$14*((AZ66+BA66)/2))/(DATOS!$B$14+2*((AZ66+BA66)/2)))^(4/3)))*(A65-A66)))&lt;0,BA66,((AZ66+BA66)/2))</f>
        <v/>
      </c>
      <c r="BD66" s="16">
        <f>IF((((BB66+BC66)/2)+(C66/(DATOS!$B$14*((BB66+BC66)/2)))^2/(2*9.81)+B66-(E65+(C65/(DATOS!$B$14*E65))^2/(2*9.81)+B65+0.5*(((DATOS!$B$27*C65/(DATOS!$B$14*E65))^2/((DATOS!$B$14*E65)/(DATOS!$B$14+2*E65))^(4/3))+((DATOS!$B$27*C66/(DATOS!$B$14*((BB66+BC66)/2)))^2/((DATOS!$B$14*((BB66+BC66)/2))/(DATOS!$B$14+2*((BB66+BC66)/2)))^(4/3)))*(A65-A66)))&lt;0,((BB66+BC66)/2),BB66)</f>
        <v/>
      </c>
      <c r="BE66" s="16">
        <f>IF((((BB66+BC66)/2)+(C66/(DATOS!$B$14*((BB66+BC66)/2)))^2/(2*9.81)+B66-(E65+(C65/(DATOS!$B$14*E65))^2/(2*9.81)+B65+0.5*(((DATOS!$B$27*C65/(DATOS!$B$14*E65))^2/((DATOS!$B$14*E65)/(DATOS!$B$14+2*E65))^(4/3))+((DATOS!$B$27*C66/(DATOS!$B$14*((BB66+BC66)/2)))^2/((DATOS!$B$14*((BB66+BC66)/2))/(DATOS!$B$14+2*((BB66+BC66)/2)))^(4/3)))*(A65-A66)))&lt;0,BC66,((BB66+BC66)/2))</f>
        <v/>
      </c>
      <c r="BF66" s="16">
        <f>IF((((BD66+BE66)/2)+(C66/(DATOS!$B$14*((BD66+BE66)/2)))^2/(2*9.81)+B66-(E65+(C65/(DATOS!$B$14*E65))^2/(2*9.81)+B65+0.5*(((DATOS!$B$27*C65/(DATOS!$B$14*E65))^2/((DATOS!$B$14*E65)/(DATOS!$B$14+2*E65))^(4/3))+((DATOS!$B$27*C66/(DATOS!$B$14*((BD66+BE66)/2)))^2/((DATOS!$B$14*((BD66+BE66)/2))/(DATOS!$B$14+2*((BD66+BE66)/2)))^(4/3)))*(A65-A66)))&lt;0,((BD66+BE66)/2),BD66)</f>
        <v/>
      </c>
      <c r="BG66" s="16">
        <f>IF((((BD66+BE66)/2)+(C66/(DATOS!$B$14*((BD66+BE66)/2)))^2/(2*9.81)+B66-(E65+(C65/(DATOS!$B$14*E65))^2/(2*9.81)+B65+0.5*(((DATOS!$B$27*C65/(DATOS!$B$14*E65))^2/((DATOS!$B$14*E65)/(DATOS!$B$14+2*E65))^(4/3))+((DATOS!$B$27*C66/(DATOS!$B$14*((BD66+BE66)/2)))^2/((DATOS!$B$14*((BD66+BE66)/2))/(DATOS!$B$14+2*((BD66+BE66)/2)))^(4/3)))*(A65-A66)))&lt;0,BE66,((BD66+BE66)/2))</f>
        <v/>
      </c>
      <c r="BH66" s="16">
        <f>IF((((BF66+BG66)/2)+(C66/(DATOS!$B$14*((BF66+BG66)/2)))^2/(2*9.81)+B66-(E65+(C65/(DATOS!$B$14*E65))^2/(2*9.81)+B65+0.5*(((DATOS!$B$27*C65/(DATOS!$B$14*E65))^2/((DATOS!$B$14*E65)/(DATOS!$B$14+2*E65))^(4/3))+((DATOS!$B$27*C66/(DATOS!$B$14*((BF66+BG66)/2)))^2/((DATOS!$B$14*((BF66+BG66)/2))/(DATOS!$B$14+2*((BF66+BG66)/2)))^(4/3)))*(A65-A66)))&lt;0,((BF66+BG66)/2),BF66)</f>
        <v/>
      </c>
      <c r="BI66" s="16">
        <f>IF((((BF66+BG66)/2)+(C66/(DATOS!$B$14*((BF66+BG66)/2)))^2/(2*9.81)+B66-(E65+(C65/(DATOS!$B$14*E65))^2/(2*9.81)+B65+0.5*(((DATOS!$B$27*C65/(DATOS!$B$14*E65))^2/((DATOS!$B$14*E65)/(DATOS!$B$14+2*E65))^(4/3))+((DATOS!$B$27*C66/(DATOS!$B$14*((BF66+BG66)/2)))^2/((DATOS!$B$14*((BF66+BG66)/2))/(DATOS!$B$14+2*((BF66+BG66)/2)))^(4/3)))*(A65-A66)))&lt;0,BG66,((BF66+BG66)/2))</f>
        <v/>
      </c>
      <c r="BJ66" s="16">
        <f>IF((((BH66+BI66)/2)+(C66/(DATOS!$B$14*((BH66+BI66)/2)))^2/(2*9.81)+B66-(E65+(C65/(DATOS!$B$14*E65))^2/(2*9.81)+B65+0.5*(((DATOS!$B$27*C65/(DATOS!$B$14*E65))^2/((DATOS!$B$14*E65)/(DATOS!$B$14+2*E65))^(4/3))+((DATOS!$B$27*C66/(DATOS!$B$14*((BH66+BI66)/2)))^2/((DATOS!$B$14*((BH66+BI66)/2))/(DATOS!$B$14+2*((BH66+BI66)/2)))^(4/3)))*(A65-A66)))&lt;0,((BH66+BI66)/2),BH66)</f>
        <v/>
      </c>
      <c r="BK66" s="16">
        <f>IF((((BH66+BI66)/2)+(C66/(DATOS!$B$14*((BH66+BI66)/2)))^2/(2*9.81)+B66-(E65+(C65/(DATOS!$B$14*E65))^2/(2*9.81)+B65+0.5*(((DATOS!$B$27*C65/(DATOS!$B$14*E65))^2/((DATOS!$B$14*E65)/(DATOS!$B$14+2*E65))^(4/3))+((DATOS!$B$27*C66/(DATOS!$B$14*((BH66+BI66)/2)))^2/((DATOS!$B$14*((BH66+BI66)/2))/(DATOS!$B$14+2*((BH66+BI66)/2)))^(4/3)))*(A65-A66)))&lt;0,BI66,((BH66+BI66)/2))</f>
        <v/>
      </c>
      <c r="BL66" s="16">
        <f>IF((((BJ66+BK66)/2)+(C66/(DATOS!$B$14*((BJ66+BK66)/2)))^2/(2*9.81)+B66-(E65+(C65/(DATOS!$B$14*E65))^2/(2*9.81)+B65+0.5*(((DATOS!$B$27*C65/(DATOS!$B$14*E65))^2/((DATOS!$B$14*E65)/(DATOS!$B$14+2*E65))^(4/3))+((DATOS!$B$27*C66/(DATOS!$B$14*((BJ66+BK66)/2)))^2/((DATOS!$B$14*((BJ66+BK66)/2))/(DATOS!$B$14+2*((BJ66+BK66)/2)))^(4/3)))*(A65-A66)))&lt;0,((BJ66+BK66)/2),BJ66)</f>
        <v/>
      </c>
      <c r="BM66" s="16">
        <f>IF((((BJ66+BK66)/2)+(C66/(DATOS!$B$14*((BJ66+BK66)/2)))^2/(2*9.81)+B66-(E65+(C65/(DATOS!$B$14*E65))^2/(2*9.81)+B65+0.5*(((DATOS!$B$27*C65/(DATOS!$B$14*E65))^2/((DATOS!$B$14*E65)/(DATOS!$B$14+2*E65))^(4/3))+((DATOS!$B$27*C66/(DATOS!$B$14*((BJ66+BK66)/2)))^2/((DATOS!$B$14*((BJ66+BK66)/2))/(DATOS!$B$14+2*((BJ66+BK66)/2)))^(4/3)))*(A65-A66)))&lt;0,BK66,((BJ66+BK66)/2))</f>
        <v/>
      </c>
      <c r="BN66" s="16">
        <f>IF((((BL66+BM66)/2)+(C66/(DATOS!$B$14*((BL66+BM66)/2)))^2/(2*9.81)+B66-(E65+(C65/(DATOS!$B$14*E65))^2/(2*9.81)+B65+0.5*(((DATOS!$B$27*C65/(DATOS!$B$14*E65))^2/((DATOS!$B$14*E65)/(DATOS!$B$14+2*E65))^(4/3))+((DATOS!$B$27*C66/(DATOS!$B$14*((BL66+BM66)/2)))^2/((DATOS!$B$14*((BL66+BM66)/2))/(DATOS!$B$14+2*((BL66+BM66)/2)))^(4/3)))*(A65-A66)))&lt;0,((BL66+BM66)/2),BL66)</f>
        <v/>
      </c>
      <c r="BO66" s="16">
        <f>IF((((BL66+BM66)/2)+(C66/(DATOS!$B$14*((BL66+BM66)/2)))^2/(2*9.81)+B66-(E65+(C65/(DATOS!$B$14*E65))^2/(2*9.81)+B65+0.5*(((DATOS!$B$27*C65/(DATOS!$B$14*E65))^2/((DATOS!$B$14*E65)/(DATOS!$B$14+2*E65))^(4/3))+((DATOS!$B$27*C66/(DATOS!$B$14*((BL66+BM66)/2)))^2/((DATOS!$B$14*((BL66+BM66)/2))/(DATOS!$B$14+2*((BL66+BM66)/2)))^(4/3)))*(A65-A66)))&lt;0,BM66,((BL66+BM66)/2))</f>
        <v/>
      </c>
      <c r="BP66" s="16">
        <f>IF((((BN66+BO66)/2)+(C66/(DATOS!$B$14*((BN66+BO66)/2)))^2/(2*9.81)+B66-(E65+(C65/(DATOS!$B$14*E65))^2/(2*9.81)+B65+0.5*(((DATOS!$B$27*C65/(DATOS!$B$14*E65))^2/((DATOS!$B$14*E65)/(DATOS!$B$14+2*E65))^(4/3))+((DATOS!$B$27*C66/(DATOS!$B$14*((BN66+BO66)/2)))^2/((DATOS!$B$14*((BN66+BO66)/2))/(DATOS!$B$14+2*((BN66+BO66)/2)))^(4/3)))*(A65-A66)))&lt;0,((BN66+BO66)/2),BN66)</f>
        <v/>
      </c>
      <c r="BQ66" s="16">
        <f>IF((((BN66+BO66)/2)+(C66/(DATOS!$B$14*((BN66+BO66)/2)))^2/(2*9.81)+B66-(E65+(C65/(DATOS!$B$14*E65))^2/(2*9.81)+B65+0.5*(((DATOS!$B$27*C65/(DATOS!$B$14*E65))^2/((DATOS!$B$14*E65)/(DATOS!$B$14+2*E65))^(4/3))+((DATOS!$B$27*C66/(DATOS!$B$14*((BN66+BO66)/2)))^2/((DATOS!$B$14*((BN66+BO66)/2))/(DATOS!$B$14+2*((BN66+BO66)/2)))^(4/3)))*(A65-A66)))&lt;0,BO66,((BN66+BO66)/2))</f>
        <v/>
      </c>
      <c r="BR66" s="16">
        <f>IF((((BP66+BQ66)/2)+(C66/(DATOS!$B$14*((BP66+BQ66)/2)))^2/(2*9.81)+B66-(E65+(C65/(DATOS!$B$14*E65))^2/(2*9.81)+B65+0.5*(((DATOS!$B$27*C65/(DATOS!$B$14*E65))^2/((DATOS!$B$14*E65)/(DATOS!$B$14+2*E65))^(4/3))+((DATOS!$B$27*C66/(DATOS!$B$14*((BP66+BQ66)/2)))^2/((DATOS!$B$14*((BP66+BQ66)/2))/(DATOS!$B$14+2*((BP66+BQ66)/2)))^(4/3)))*(A65-A66)))&lt;0,((BP66+BQ66)/2),BP66)</f>
        <v/>
      </c>
      <c r="BS66" s="16">
        <f>IF((((BP66+BQ66)/2)+(C66/(DATOS!$B$14*((BP66+BQ66)/2)))^2/(2*9.81)+B66-(E65+(C65/(DATOS!$B$14*E65))^2/(2*9.81)+B65+0.5*(((DATOS!$B$27*C65/(DATOS!$B$14*E65))^2/((DATOS!$B$14*E65)/(DATOS!$B$14+2*E65))^(4/3))+((DATOS!$B$27*C66/(DATOS!$B$14*((BP66+BQ66)/2)))^2/((DATOS!$B$14*((BP66+BQ66)/2))/(DATOS!$B$14+2*((BP66+BQ66)/2)))^(4/3)))*(A65-A66)))&lt;0,BQ66,((BP66+BQ66)/2))</f>
        <v/>
      </c>
      <c r="BT66" s="16">
        <f>IF((((BR66+BS66)/2)+(C66/(DATOS!$B$14*((BR66+BS66)/2)))^2/(2*9.81)+B66-(E65+(C65/(DATOS!$B$14*E65))^2/(2*9.81)+B65+0.5*(((DATOS!$B$27*C65/(DATOS!$B$14*E65))^2/((DATOS!$B$14*E65)/(DATOS!$B$14+2*E65))^(4/3))+((DATOS!$B$27*C66/(DATOS!$B$14*((BR66+BS66)/2)))^2/((DATOS!$B$14*((BR66+BS66)/2))/(DATOS!$B$14+2*((BR66+BS66)/2)))^(4/3)))*(A65-A66)))&lt;0,((BR66+BS66)/2),BR66)</f>
        <v/>
      </c>
      <c r="BU66" s="16">
        <f>IF((((BR66+BS66)/2)+(C66/(DATOS!$B$14*((BR66+BS66)/2)))^2/(2*9.81)+B66-(E65+(C65/(DATOS!$B$14*E65))^2/(2*9.81)+B65+0.5*(((DATOS!$B$27*C65/(DATOS!$B$14*E65))^2/((DATOS!$B$14*E65)/(DATOS!$B$14+2*E65))^(4/3))+((DATOS!$B$27*C66/(DATOS!$B$14*((BR66+BS66)/2)))^2/((DATOS!$B$14*((BR66+BS66)/2))/(DATOS!$B$14+2*((BR66+BS66)/2)))^(4/3)))*(A65-A66)))&lt;0,BS66,((BR66+BS66)/2))</f>
        <v/>
      </c>
    </row>
    <row r="67">
      <c r="A67" s="30" t="n">
        <v>24</v>
      </c>
      <c r="B67" s="21">
        <f>DATOS!$B$16-DATOS!$B$19*A67</f>
        <v/>
      </c>
      <c r="C67" s="21">
        <f>IF(A67&lt;CAUDALES!$B$13,CAUDALES!$D$12,IF(A67&lt;CAUDALES!$B$14,CAUDALES!$D$13,IF(A67&lt;CAUDALES!$B$15,CAUDALES!$D$14,CAUDALES!$D$15)))/1000</f>
        <v/>
      </c>
      <c r="D67" s="21">
        <f>(C67^2/(9.81*DATOS!$B$14^2))^(1/3)</f>
        <v/>
      </c>
      <c r="E67" s="29">
        <f>(BT67+BU67)/2</f>
        <v/>
      </c>
      <c r="F67" s="21">
        <f>B67+E67</f>
        <v/>
      </c>
      <c r="G67" s="17">
        <f>C67/(DATOS!$B$14*E67)</f>
        <v/>
      </c>
      <c r="H67" s="17">
        <f>G67/SQRT(9.81*E67)</f>
        <v/>
      </c>
      <c r="I67" s="21">
        <f>IF(A67&lt;=DATOS!$B$20,DATOS!$B$21-IF(AND(A67&gt;=DATOS!$B$23,A67&lt;DATOS!$B$24),DATOS!$B$25,DATOS!$B$22),B67+DATOS!$B$26)</f>
        <v/>
      </c>
      <c r="J67" s="17">
        <f>I67-B67</f>
        <v/>
      </c>
      <c r="K67" s="31">
        <f>E67/J67</f>
        <v/>
      </c>
      <c r="L67" s="21">
        <f>I67-F67</f>
        <v/>
      </c>
      <c r="M67" s="32">
        <f>IF(AND(K67&lt;=DATOS!$B$29,L67&gt;=DATOS!$B$30),"CUMPLE","NO CUMPLE")</f>
        <v/>
      </c>
      <c r="N67" s="13">
        <f>IF(A67&gt;DATOS!$B$20,"cubierto - tramo final",IF(AND(A67&gt;=DATOS!$B$23,A67&lt;DATOS!$B$24),"cubierto - camiones","cubierto"))</f>
        <v/>
      </c>
      <c r="P67" s="16">
        <f>D67*1.001</f>
        <v/>
      </c>
      <c r="Q67" s="16" t="n">
        <v>2</v>
      </c>
      <c r="R67" s="16">
        <f>IF((((P67+Q67)/2)+(C67/(DATOS!$B$14*((P67+Q67)/2)))^2/(2*9.81)+B67-(E66+(C66/(DATOS!$B$14*E66))^2/(2*9.81)+B66+0.5*(((DATOS!$B$27*C66/(DATOS!$B$14*E66))^2/((DATOS!$B$14*E66)/(DATOS!$B$14+2*E66))^(4/3))+((DATOS!$B$27*C67/(DATOS!$B$14*((P67+Q67)/2)))^2/((DATOS!$B$14*((P67+Q67)/2))/(DATOS!$B$14+2*((P67+Q67)/2)))^(4/3)))*(A66-A67)))&lt;0,((P67+Q67)/2),P67)</f>
        <v/>
      </c>
      <c r="S67" s="16">
        <f>IF((((P67+Q67)/2)+(C67/(DATOS!$B$14*((P67+Q67)/2)))^2/(2*9.81)+B67-(E66+(C66/(DATOS!$B$14*E66))^2/(2*9.81)+B66+0.5*(((DATOS!$B$27*C66/(DATOS!$B$14*E66))^2/((DATOS!$B$14*E66)/(DATOS!$B$14+2*E66))^(4/3))+((DATOS!$B$27*C67/(DATOS!$B$14*((P67+Q67)/2)))^2/((DATOS!$B$14*((P67+Q67)/2))/(DATOS!$B$14+2*((P67+Q67)/2)))^(4/3)))*(A66-A67)))&lt;0,Q67,((P67+Q67)/2))</f>
        <v/>
      </c>
      <c r="T67" s="16">
        <f>IF((((R67+S67)/2)+(C67/(DATOS!$B$14*((R67+S67)/2)))^2/(2*9.81)+B67-(E66+(C66/(DATOS!$B$14*E66))^2/(2*9.81)+B66+0.5*(((DATOS!$B$27*C66/(DATOS!$B$14*E66))^2/((DATOS!$B$14*E66)/(DATOS!$B$14+2*E66))^(4/3))+((DATOS!$B$27*C67/(DATOS!$B$14*((R67+S67)/2)))^2/((DATOS!$B$14*((R67+S67)/2))/(DATOS!$B$14+2*((R67+S67)/2)))^(4/3)))*(A66-A67)))&lt;0,((R67+S67)/2),R67)</f>
        <v/>
      </c>
      <c r="U67" s="16">
        <f>IF((((R67+S67)/2)+(C67/(DATOS!$B$14*((R67+S67)/2)))^2/(2*9.81)+B67-(E66+(C66/(DATOS!$B$14*E66))^2/(2*9.81)+B66+0.5*(((DATOS!$B$27*C66/(DATOS!$B$14*E66))^2/((DATOS!$B$14*E66)/(DATOS!$B$14+2*E66))^(4/3))+((DATOS!$B$27*C67/(DATOS!$B$14*((R67+S67)/2)))^2/((DATOS!$B$14*((R67+S67)/2))/(DATOS!$B$14+2*((R67+S67)/2)))^(4/3)))*(A66-A67)))&lt;0,S67,((R67+S67)/2))</f>
        <v/>
      </c>
      <c r="V67" s="16">
        <f>IF((((T67+U67)/2)+(C67/(DATOS!$B$14*((T67+U67)/2)))^2/(2*9.81)+B67-(E66+(C66/(DATOS!$B$14*E66))^2/(2*9.81)+B66+0.5*(((DATOS!$B$27*C66/(DATOS!$B$14*E66))^2/((DATOS!$B$14*E66)/(DATOS!$B$14+2*E66))^(4/3))+((DATOS!$B$27*C67/(DATOS!$B$14*((T67+U67)/2)))^2/((DATOS!$B$14*((T67+U67)/2))/(DATOS!$B$14+2*((T67+U67)/2)))^(4/3)))*(A66-A67)))&lt;0,((T67+U67)/2),T67)</f>
        <v/>
      </c>
      <c r="W67" s="16">
        <f>IF((((T67+U67)/2)+(C67/(DATOS!$B$14*((T67+U67)/2)))^2/(2*9.81)+B67-(E66+(C66/(DATOS!$B$14*E66))^2/(2*9.81)+B66+0.5*(((DATOS!$B$27*C66/(DATOS!$B$14*E66))^2/((DATOS!$B$14*E66)/(DATOS!$B$14+2*E66))^(4/3))+((DATOS!$B$27*C67/(DATOS!$B$14*((T67+U67)/2)))^2/((DATOS!$B$14*((T67+U67)/2))/(DATOS!$B$14+2*((T67+U67)/2)))^(4/3)))*(A66-A67)))&lt;0,U67,((T67+U67)/2))</f>
        <v/>
      </c>
      <c r="X67" s="16">
        <f>IF((((V67+W67)/2)+(C67/(DATOS!$B$14*((V67+W67)/2)))^2/(2*9.81)+B67-(E66+(C66/(DATOS!$B$14*E66))^2/(2*9.81)+B66+0.5*(((DATOS!$B$27*C66/(DATOS!$B$14*E66))^2/((DATOS!$B$14*E66)/(DATOS!$B$14+2*E66))^(4/3))+((DATOS!$B$27*C67/(DATOS!$B$14*((V67+W67)/2)))^2/((DATOS!$B$14*((V67+W67)/2))/(DATOS!$B$14+2*((V67+W67)/2)))^(4/3)))*(A66-A67)))&lt;0,((V67+W67)/2),V67)</f>
        <v/>
      </c>
      <c r="Y67" s="16">
        <f>IF((((V67+W67)/2)+(C67/(DATOS!$B$14*((V67+W67)/2)))^2/(2*9.81)+B67-(E66+(C66/(DATOS!$B$14*E66))^2/(2*9.81)+B66+0.5*(((DATOS!$B$27*C66/(DATOS!$B$14*E66))^2/((DATOS!$B$14*E66)/(DATOS!$B$14+2*E66))^(4/3))+((DATOS!$B$27*C67/(DATOS!$B$14*((V67+W67)/2)))^2/((DATOS!$B$14*((V67+W67)/2))/(DATOS!$B$14+2*((V67+W67)/2)))^(4/3)))*(A66-A67)))&lt;0,W67,((V67+W67)/2))</f>
        <v/>
      </c>
      <c r="Z67" s="16">
        <f>IF((((X67+Y67)/2)+(C67/(DATOS!$B$14*((X67+Y67)/2)))^2/(2*9.81)+B67-(E66+(C66/(DATOS!$B$14*E66))^2/(2*9.81)+B66+0.5*(((DATOS!$B$27*C66/(DATOS!$B$14*E66))^2/((DATOS!$B$14*E66)/(DATOS!$B$14+2*E66))^(4/3))+((DATOS!$B$27*C67/(DATOS!$B$14*((X67+Y67)/2)))^2/((DATOS!$B$14*((X67+Y67)/2))/(DATOS!$B$14+2*((X67+Y67)/2)))^(4/3)))*(A66-A67)))&lt;0,((X67+Y67)/2),X67)</f>
        <v/>
      </c>
      <c r="AA67" s="16">
        <f>IF((((X67+Y67)/2)+(C67/(DATOS!$B$14*((X67+Y67)/2)))^2/(2*9.81)+B67-(E66+(C66/(DATOS!$B$14*E66))^2/(2*9.81)+B66+0.5*(((DATOS!$B$27*C66/(DATOS!$B$14*E66))^2/((DATOS!$B$14*E66)/(DATOS!$B$14+2*E66))^(4/3))+((DATOS!$B$27*C67/(DATOS!$B$14*((X67+Y67)/2)))^2/((DATOS!$B$14*((X67+Y67)/2))/(DATOS!$B$14+2*((X67+Y67)/2)))^(4/3)))*(A66-A67)))&lt;0,Y67,((X67+Y67)/2))</f>
        <v/>
      </c>
      <c r="AB67" s="16">
        <f>IF((((Z67+AA67)/2)+(C67/(DATOS!$B$14*((Z67+AA67)/2)))^2/(2*9.81)+B67-(E66+(C66/(DATOS!$B$14*E66))^2/(2*9.81)+B66+0.5*(((DATOS!$B$27*C66/(DATOS!$B$14*E66))^2/((DATOS!$B$14*E66)/(DATOS!$B$14+2*E66))^(4/3))+((DATOS!$B$27*C67/(DATOS!$B$14*((Z67+AA67)/2)))^2/((DATOS!$B$14*((Z67+AA67)/2))/(DATOS!$B$14+2*((Z67+AA67)/2)))^(4/3)))*(A66-A67)))&lt;0,((Z67+AA67)/2),Z67)</f>
        <v/>
      </c>
      <c r="AC67" s="16">
        <f>IF((((Z67+AA67)/2)+(C67/(DATOS!$B$14*((Z67+AA67)/2)))^2/(2*9.81)+B67-(E66+(C66/(DATOS!$B$14*E66))^2/(2*9.81)+B66+0.5*(((DATOS!$B$27*C66/(DATOS!$B$14*E66))^2/((DATOS!$B$14*E66)/(DATOS!$B$14+2*E66))^(4/3))+((DATOS!$B$27*C67/(DATOS!$B$14*((Z67+AA67)/2)))^2/((DATOS!$B$14*((Z67+AA67)/2))/(DATOS!$B$14+2*((Z67+AA67)/2)))^(4/3)))*(A66-A67)))&lt;0,AA67,((Z67+AA67)/2))</f>
        <v/>
      </c>
      <c r="AD67" s="16">
        <f>IF((((AB67+AC67)/2)+(C67/(DATOS!$B$14*((AB67+AC67)/2)))^2/(2*9.81)+B67-(E66+(C66/(DATOS!$B$14*E66))^2/(2*9.81)+B66+0.5*(((DATOS!$B$27*C66/(DATOS!$B$14*E66))^2/((DATOS!$B$14*E66)/(DATOS!$B$14+2*E66))^(4/3))+((DATOS!$B$27*C67/(DATOS!$B$14*((AB67+AC67)/2)))^2/((DATOS!$B$14*((AB67+AC67)/2))/(DATOS!$B$14+2*((AB67+AC67)/2)))^(4/3)))*(A66-A67)))&lt;0,((AB67+AC67)/2),AB67)</f>
        <v/>
      </c>
      <c r="AE67" s="16">
        <f>IF((((AB67+AC67)/2)+(C67/(DATOS!$B$14*((AB67+AC67)/2)))^2/(2*9.81)+B67-(E66+(C66/(DATOS!$B$14*E66))^2/(2*9.81)+B66+0.5*(((DATOS!$B$27*C66/(DATOS!$B$14*E66))^2/((DATOS!$B$14*E66)/(DATOS!$B$14+2*E66))^(4/3))+((DATOS!$B$27*C67/(DATOS!$B$14*((AB67+AC67)/2)))^2/((DATOS!$B$14*((AB67+AC67)/2))/(DATOS!$B$14+2*((AB67+AC67)/2)))^(4/3)))*(A66-A67)))&lt;0,AC67,((AB67+AC67)/2))</f>
        <v/>
      </c>
      <c r="AF67" s="16">
        <f>IF((((AD67+AE67)/2)+(C67/(DATOS!$B$14*((AD67+AE67)/2)))^2/(2*9.81)+B67-(E66+(C66/(DATOS!$B$14*E66))^2/(2*9.81)+B66+0.5*(((DATOS!$B$27*C66/(DATOS!$B$14*E66))^2/((DATOS!$B$14*E66)/(DATOS!$B$14+2*E66))^(4/3))+((DATOS!$B$27*C67/(DATOS!$B$14*((AD67+AE67)/2)))^2/((DATOS!$B$14*((AD67+AE67)/2))/(DATOS!$B$14+2*((AD67+AE67)/2)))^(4/3)))*(A66-A67)))&lt;0,((AD67+AE67)/2),AD67)</f>
        <v/>
      </c>
      <c r="AG67" s="16">
        <f>IF((((AD67+AE67)/2)+(C67/(DATOS!$B$14*((AD67+AE67)/2)))^2/(2*9.81)+B67-(E66+(C66/(DATOS!$B$14*E66))^2/(2*9.81)+B66+0.5*(((DATOS!$B$27*C66/(DATOS!$B$14*E66))^2/((DATOS!$B$14*E66)/(DATOS!$B$14+2*E66))^(4/3))+((DATOS!$B$27*C67/(DATOS!$B$14*((AD67+AE67)/2)))^2/((DATOS!$B$14*((AD67+AE67)/2))/(DATOS!$B$14+2*((AD67+AE67)/2)))^(4/3)))*(A66-A67)))&lt;0,AE67,((AD67+AE67)/2))</f>
        <v/>
      </c>
      <c r="AH67" s="16">
        <f>IF((((AF67+AG67)/2)+(C67/(DATOS!$B$14*((AF67+AG67)/2)))^2/(2*9.81)+B67-(E66+(C66/(DATOS!$B$14*E66))^2/(2*9.81)+B66+0.5*(((DATOS!$B$27*C66/(DATOS!$B$14*E66))^2/((DATOS!$B$14*E66)/(DATOS!$B$14+2*E66))^(4/3))+((DATOS!$B$27*C67/(DATOS!$B$14*((AF67+AG67)/2)))^2/((DATOS!$B$14*((AF67+AG67)/2))/(DATOS!$B$14+2*((AF67+AG67)/2)))^(4/3)))*(A66-A67)))&lt;0,((AF67+AG67)/2),AF67)</f>
        <v/>
      </c>
      <c r="AI67" s="16">
        <f>IF((((AF67+AG67)/2)+(C67/(DATOS!$B$14*((AF67+AG67)/2)))^2/(2*9.81)+B67-(E66+(C66/(DATOS!$B$14*E66))^2/(2*9.81)+B66+0.5*(((DATOS!$B$27*C66/(DATOS!$B$14*E66))^2/((DATOS!$B$14*E66)/(DATOS!$B$14+2*E66))^(4/3))+((DATOS!$B$27*C67/(DATOS!$B$14*((AF67+AG67)/2)))^2/((DATOS!$B$14*((AF67+AG67)/2))/(DATOS!$B$14+2*((AF67+AG67)/2)))^(4/3)))*(A66-A67)))&lt;0,AG67,((AF67+AG67)/2))</f>
        <v/>
      </c>
      <c r="AJ67" s="16">
        <f>IF((((AH67+AI67)/2)+(C67/(DATOS!$B$14*((AH67+AI67)/2)))^2/(2*9.81)+B67-(E66+(C66/(DATOS!$B$14*E66))^2/(2*9.81)+B66+0.5*(((DATOS!$B$27*C66/(DATOS!$B$14*E66))^2/((DATOS!$B$14*E66)/(DATOS!$B$14+2*E66))^(4/3))+((DATOS!$B$27*C67/(DATOS!$B$14*((AH67+AI67)/2)))^2/((DATOS!$B$14*((AH67+AI67)/2))/(DATOS!$B$14+2*((AH67+AI67)/2)))^(4/3)))*(A66-A67)))&lt;0,((AH67+AI67)/2),AH67)</f>
        <v/>
      </c>
      <c r="AK67" s="16">
        <f>IF((((AH67+AI67)/2)+(C67/(DATOS!$B$14*((AH67+AI67)/2)))^2/(2*9.81)+B67-(E66+(C66/(DATOS!$B$14*E66))^2/(2*9.81)+B66+0.5*(((DATOS!$B$27*C66/(DATOS!$B$14*E66))^2/((DATOS!$B$14*E66)/(DATOS!$B$14+2*E66))^(4/3))+((DATOS!$B$27*C67/(DATOS!$B$14*((AH67+AI67)/2)))^2/((DATOS!$B$14*((AH67+AI67)/2))/(DATOS!$B$14+2*((AH67+AI67)/2)))^(4/3)))*(A66-A67)))&lt;0,AI67,((AH67+AI67)/2))</f>
        <v/>
      </c>
      <c r="AL67" s="16">
        <f>IF((((AJ67+AK67)/2)+(C67/(DATOS!$B$14*((AJ67+AK67)/2)))^2/(2*9.81)+B67-(E66+(C66/(DATOS!$B$14*E66))^2/(2*9.81)+B66+0.5*(((DATOS!$B$27*C66/(DATOS!$B$14*E66))^2/((DATOS!$B$14*E66)/(DATOS!$B$14+2*E66))^(4/3))+((DATOS!$B$27*C67/(DATOS!$B$14*((AJ67+AK67)/2)))^2/((DATOS!$B$14*((AJ67+AK67)/2))/(DATOS!$B$14+2*((AJ67+AK67)/2)))^(4/3)))*(A66-A67)))&lt;0,((AJ67+AK67)/2),AJ67)</f>
        <v/>
      </c>
      <c r="AM67" s="16">
        <f>IF((((AJ67+AK67)/2)+(C67/(DATOS!$B$14*((AJ67+AK67)/2)))^2/(2*9.81)+B67-(E66+(C66/(DATOS!$B$14*E66))^2/(2*9.81)+B66+0.5*(((DATOS!$B$27*C66/(DATOS!$B$14*E66))^2/((DATOS!$B$14*E66)/(DATOS!$B$14+2*E66))^(4/3))+((DATOS!$B$27*C67/(DATOS!$B$14*((AJ67+AK67)/2)))^2/((DATOS!$B$14*((AJ67+AK67)/2))/(DATOS!$B$14+2*((AJ67+AK67)/2)))^(4/3)))*(A66-A67)))&lt;0,AK67,((AJ67+AK67)/2))</f>
        <v/>
      </c>
      <c r="AN67" s="16">
        <f>IF((((AL67+AM67)/2)+(C67/(DATOS!$B$14*((AL67+AM67)/2)))^2/(2*9.81)+B67-(E66+(C66/(DATOS!$B$14*E66))^2/(2*9.81)+B66+0.5*(((DATOS!$B$27*C66/(DATOS!$B$14*E66))^2/((DATOS!$B$14*E66)/(DATOS!$B$14+2*E66))^(4/3))+((DATOS!$B$27*C67/(DATOS!$B$14*((AL67+AM67)/2)))^2/((DATOS!$B$14*((AL67+AM67)/2))/(DATOS!$B$14+2*((AL67+AM67)/2)))^(4/3)))*(A66-A67)))&lt;0,((AL67+AM67)/2),AL67)</f>
        <v/>
      </c>
      <c r="AO67" s="16">
        <f>IF((((AL67+AM67)/2)+(C67/(DATOS!$B$14*((AL67+AM67)/2)))^2/(2*9.81)+B67-(E66+(C66/(DATOS!$B$14*E66))^2/(2*9.81)+B66+0.5*(((DATOS!$B$27*C66/(DATOS!$B$14*E66))^2/((DATOS!$B$14*E66)/(DATOS!$B$14+2*E66))^(4/3))+((DATOS!$B$27*C67/(DATOS!$B$14*((AL67+AM67)/2)))^2/((DATOS!$B$14*((AL67+AM67)/2))/(DATOS!$B$14+2*((AL67+AM67)/2)))^(4/3)))*(A66-A67)))&lt;0,AM67,((AL67+AM67)/2))</f>
        <v/>
      </c>
      <c r="AP67" s="16">
        <f>IF((((AN67+AO67)/2)+(C67/(DATOS!$B$14*((AN67+AO67)/2)))^2/(2*9.81)+B67-(E66+(C66/(DATOS!$B$14*E66))^2/(2*9.81)+B66+0.5*(((DATOS!$B$27*C66/(DATOS!$B$14*E66))^2/((DATOS!$B$14*E66)/(DATOS!$B$14+2*E66))^(4/3))+((DATOS!$B$27*C67/(DATOS!$B$14*((AN67+AO67)/2)))^2/((DATOS!$B$14*((AN67+AO67)/2))/(DATOS!$B$14+2*((AN67+AO67)/2)))^(4/3)))*(A66-A67)))&lt;0,((AN67+AO67)/2),AN67)</f>
        <v/>
      </c>
      <c r="AQ67" s="16">
        <f>IF((((AN67+AO67)/2)+(C67/(DATOS!$B$14*((AN67+AO67)/2)))^2/(2*9.81)+B67-(E66+(C66/(DATOS!$B$14*E66))^2/(2*9.81)+B66+0.5*(((DATOS!$B$27*C66/(DATOS!$B$14*E66))^2/((DATOS!$B$14*E66)/(DATOS!$B$14+2*E66))^(4/3))+((DATOS!$B$27*C67/(DATOS!$B$14*((AN67+AO67)/2)))^2/((DATOS!$B$14*((AN67+AO67)/2))/(DATOS!$B$14+2*((AN67+AO67)/2)))^(4/3)))*(A66-A67)))&lt;0,AO67,((AN67+AO67)/2))</f>
        <v/>
      </c>
      <c r="AR67" s="16">
        <f>IF((((AP67+AQ67)/2)+(C67/(DATOS!$B$14*((AP67+AQ67)/2)))^2/(2*9.81)+B67-(E66+(C66/(DATOS!$B$14*E66))^2/(2*9.81)+B66+0.5*(((DATOS!$B$27*C66/(DATOS!$B$14*E66))^2/((DATOS!$B$14*E66)/(DATOS!$B$14+2*E66))^(4/3))+((DATOS!$B$27*C67/(DATOS!$B$14*((AP67+AQ67)/2)))^2/((DATOS!$B$14*((AP67+AQ67)/2))/(DATOS!$B$14+2*((AP67+AQ67)/2)))^(4/3)))*(A66-A67)))&lt;0,((AP67+AQ67)/2),AP67)</f>
        <v/>
      </c>
      <c r="AS67" s="16">
        <f>IF((((AP67+AQ67)/2)+(C67/(DATOS!$B$14*((AP67+AQ67)/2)))^2/(2*9.81)+B67-(E66+(C66/(DATOS!$B$14*E66))^2/(2*9.81)+B66+0.5*(((DATOS!$B$27*C66/(DATOS!$B$14*E66))^2/((DATOS!$B$14*E66)/(DATOS!$B$14+2*E66))^(4/3))+((DATOS!$B$27*C67/(DATOS!$B$14*((AP67+AQ67)/2)))^2/((DATOS!$B$14*((AP67+AQ67)/2))/(DATOS!$B$14+2*((AP67+AQ67)/2)))^(4/3)))*(A66-A67)))&lt;0,AQ67,((AP67+AQ67)/2))</f>
        <v/>
      </c>
      <c r="AT67" s="16">
        <f>IF((((AR67+AS67)/2)+(C67/(DATOS!$B$14*((AR67+AS67)/2)))^2/(2*9.81)+B67-(E66+(C66/(DATOS!$B$14*E66))^2/(2*9.81)+B66+0.5*(((DATOS!$B$27*C66/(DATOS!$B$14*E66))^2/((DATOS!$B$14*E66)/(DATOS!$B$14+2*E66))^(4/3))+((DATOS!$B$27*C67/(DATOS!$B$14*((AR67+AS67)/2)))^2/((DATOS!$B$14*((AR67+AS67)/2))/(DATOS!$B$14+2*((AR67+AS67)/2)))^(4/3)))*(A66-A67)))&lt;0,((AR67+AS67)/2),AR67)</f>
        <v/>
      </c>
      <c r="AU67" s="16">
        <f>IF((((AR67+AS67)/2)+(C67/(DATOS!$B$14*((AR67+AS67)/2)))^2/(2*9.81)+B67-(E66+(C66/(DATOS!$B$14*E66))^2/(2*9.81)+B66+0.5*(((DATOS!$B$27*C66/(DATOS!$B$14*E66))^2/((DATOS!$B$14*E66)/(DATOS!$B$14+2*E66))^(4/3))+((DATOS!$B$27*C67/(DATOS!$B$14*((AR67+AS67)/2)))^2/((DATOS!$B$14*((AR67+AS67)/2))/(DATOS!$B$14+2*((AR67+AS67)/2)))^(4/3)))*(A66-A67)))&lt;0,AS67,((AR67+AS67)/2))</f>
        <v/>
      </c>
      <c r="AV67" s="16">
        <f>IF((((AT67+AU67)/2)+(C67/(DATOS!$B$14*((AT67+AU67)/2)))^2/(2*9.81)+B67-(E66+(C66/(DATOS!$B$14*E66))^2/(2*9.81)+B66+0.5*(((DATOS!$B$27*C66/(DATOS!$B$14*E66))^2/((DATOS!$B$14*E66)/(DATOS!$B$14+2*E66))^(4/3))+((DATOS!$B$27*C67/(DATOS!$B$14*((AT67+AU67)/2)))^2/((DATOS!$B$14*((AT67+AU67)/2))/(DATOS!$B$14+2*((AT67+AU67)/2)))^(4/3)))*(A66-A67)))&lt;0,((AT67+AU67)/2),AT67)</f>
        <v/>
      </c>
      <c r="AW67" s="16">
        <f>IF((((AT67+AU67)/2)+(C67/(DATOS!$B$14*((AT67+AU67)/2)))^2/(2*9.81)+B67-(E66+(C66/(DATOS!$B$14*E66))^2/(2*9.81)+B66+0.5*(((DATOS!$B$27*C66/(DATOS!$B$14*E66))^2/((DATOS!$B$14*E66)/(DATOS!$B$14+2*E66))^(4/3))+((DATOS!$B$27*C67/(DATOS!$B$14*((AT67+AU67)/2)))^2/((DATOS!$B$14*((AT67+AU67)/2))/(DATOS!$B$14+2*((AT67+AU67)/2)))^(4/3)))*(A66-A67)))&lt;0,AU67,((AT67+AU67)/2))</f>
        <v/>
      </c>
      <c r="AX67" s="16">
        <f>IF((((AV67+AW67)/2)+(C67/(DATOS!$B$14*((AV67+AW67)/2)))^2/(2*9.81)+B67-(E66+(C66/(DATOS!$B$14*E66))^2/(2*9.81)+B66+0.5*(((DATOS!$B$27*C66/(DATOS!$B$14*E66))^2/((DATOS!$B$14*E66)/(DATOS!$B$14+2*E66))^(4/3))+((DATOS!$B$27*C67/(DATOS!$B$14*((AV67+AW67)/2)))^2/((DATOS!$B$14*((AV67+AW67)/2))/(DATOS!$B$14+2*((AV67+AW67)/2)))^(4/3)))*(A66-A67)))&lt;0,((AV67+AW67)/2),AV67)</f>
        <v/>
      </c>
      <c r="AY67" s="16">
        <f>IF((((AV67+AW67)/2)+(C67/(DATOS!$B$14*((AV67+AW67)/2)))^2/(2*9.81)+B67-(E66+(C66/(DATOS!$B$14*E66))^2/(2*9.81)+B66+0.5*(((DATOS!$B$27*C66/(DATOS!$B$14*E66))^2/((DATOS!$B$14*E66)/(DATOS!$B$14+2*E66))^(4/3))+((DATOS!$B$27*C67/(DATOS!$B$14*((AV67+AW67)/2)))^2/((DATOS!$B$14*((AV67+AW67)/2))/(DATOS!$B$14+2*((AV67+AW67)/2)))^(4/3)))*(A66-A67)))&lt;0,AW67,((AV67+AW67)/2))</f>
        <v/>
      </c>
      <c r="AZ67" s="16">
        <f>IF((((AX67+AY67)/2)+(C67/(DATOS!$B$14*((AX67+AY67)/2)))^2/(2*9.81)+B67-(E66+(C66/(DATOS!$B$14*E66))^2/(2*9.81)+B66+0.5*(((DATOS!$B$27*C66/(DATOS!$B$14*E66))^2/((DATOS!$B$14*E66)/(DATOS!$B$14+2*E66))^(4/3))+((DATOS!$B$27*C67/(DATOS!$B$14*((AX67+AY67)/2)))^2/((DATOS!$B$14*((AX67+AY67)/2))/(DATOS!$B$14+2*((AX67+AY67)/2)))^(4/3)))*(A66-A67)))&lt;0,((AX67+AY67)/2),AX67)</f>
        <v/>
      </c>
      <c r="BA67" s="16">
        <f>IF((((AX67+AY67)/2)+(C67/(DATOS!$B$14*((AX67+AY67)/2)))^2/(2*9.81)+B67-(E66+(C66/(DATOS!$B$14*E66))^2/(2*9.81)+B66+0.5*(((DATOS!$B$27*C66/(DATOS!$B$14*E66))^2/((DATOS!$B$14*E66)/(DATOS!$B$14+2*E66))^(4/3))+((DATOS!$B$27*C67/(DATOS!$B$14*((AX67+AY67)/2)))^2/((DATOS!$B$14*((AX67+AY67)/2))/(DATOS!$B$14+2*((AX67+AY67)/2)))^(4/3)))*(A66-A67)))&lt;0,AY67,((AX67+AY67)/2))</f>
        <v/>
      </c>
      <c r="BB67" s="16">
        <f>IF((((AZ67+BA67)/2)+(C67/(DATOS!$B$14*((AZ67+BA67)/2)))^2/(2*9.81)+B67-(E66+(C66/(DATOS!$B$14*E66))^2/(2*9.81)+B66+0.5*(((DATOS!$B$27*C66/(DATOS!$B$14*E66))^2/((DATOS!$B$14*E66)/(DATOS!$B$14+2*E66))^(4/3))+((DATOS!$B$27*C67/(DATOS!$B$14*((AZ67+BA67)/2)))^2/((DATOS!$B$14*((AZ67+BA67)/2))/(DATOS!$B$14+2*((AZ67+BA67)/2)))^(4/3)))*(A66-A67)))&lt;0,((AZ67+BA67)/2),AZ67)</f>
        <v/>
      </c>
      <c r="BC67" s="16">
        <f>IF((((AZ67+BA67)/2)+(C67/(DATOS!$B$14*((AZ67+BA67)/2)))^2/(2*9.81)+B67-(E66+(C66/(DATOS!$B$14*E66))^2/(2*9.81)+B66+0.5*(((DATOS!$B$27*C66/(DATOS!$B$14*E66))^2/((DATOS!$B$14*E66)/(DATOS!$B$14+2*E66))^(4/3))+((DATOS!$B$27*C67/(DATOS!$B$14*((AZ67+BA67)/2)))^2/((DATOS!$B$14*((AZ67+BA67)/2))/(DATOS!$B$14+2*((AZ67+BA67)/2)))^(4/3)))*(A66-A67)))&lt;0,BA67,((AZ67+BA67)/2))</f>
        <v/>
      </c>
      <c r="BD67" s="16">
        <f>IF((((BB67+BC67)/2)+(C67/(DATOS!$B$14*((BB67+BC67)/2)))^2/(2*9.81)+B67-(E66+(C66/(DATOS!$B$14*E66))^2/(2*9.81)+B66+0.5*(((DATOS!$B$27*C66/(DATOS!$B$14*E66))^2/((DATOS!$B$14*E66)/(DATOS!$B$14+2*E66))^(4/3))+((DATOS!$B$27*C67/(DATOS!$B$14*((BB67+BC67)/2)))^2/((DATOS!$B$14*((BB67+BC67)/2))/(DATOS!$B$14+2*((BB67+BC67)/2)))^(4/3)))*(A66-A67)))&lt;0,((BB67+BC67)/2),BB67)</f>
        <v/>
      </c>
      <c r="BE67" s="16">
        <f>IF((((BB67+BC67)/2)+(C67/(DATOS!$B$14*((BB67+BC67)/2)))^2/(2*9.81)+B67-(E66+(C66/(DATOS!$B$14*E66))^2/(2*9.81)+B66+0.5*(((DATOS!$B$27*C66/(DATOS!$B$14*E66))^2/((DATOS!$B$14*E66)/(DATOS!$B$14+2*E66))^(4/3))+((DATOS!$B$27*C67/(DATOS!$B$14*((BB67+BC67)/2)))^2/((DATOS!$B$14*((BB67+BC67)/2))/(DATOS!$B$14+2*((BB67+BC67)/2)))^(4/3)))*(A66-A67)))&lt;0,BC67,((BB67+BC67)/2))</f>
        <v/>
      </c>
      <c r="BF67" s="16">
        <f>IF((((BD67+BE67)/2)+(C67/(DATOS!$B$14*((BD67+BE67)/2)))^2/(2*9.81)+B67-(E66+(C66/(DATOS!$B$14*E66))^2/(2*9.81)+B66+0.5*(((DATOS!$B$27*C66/(DATOS!$B$14*E66))^2/((DATOS!$B$14*E66)/(DATOS!$B$14+2*E66))^(4/3))+((DATOS!$B$27*C67/(DATOS!$B$14*((BD67+BE67)/2)))^2/((DATOS!$B$14*((BD67+BE67)/2))/(DATOS!$B$14+2*((BD67+BE67)/2)))^(4/3)))*(A66-A67)))&lt;0,((BD67+BE67)/2),BD67)</f>
        <v/>
      </c>
      <c r="BG67" s="16">
        <f>IF((((BD67+BE67)/2)+(C67/(DATOS!$B$14*((BD67+BE67)/2)))^2/(2*9.81)+B67-(E66+(C66/(DATOS!$B$14*E66))^2/(2*9.81)+B66+0.5*(((DATOS!$B$27*C66/(DATOS!$B$14*E66))^2/((DATOS!$B$14*E66)/(DATOS!$B$14+2*E66))^(4/3))+((DATOS!$B$27*C67/(DATOS!$B$14*((BD67+BE67)/2)))^2/((DATOS!$B$14*((BD67+BE67)/2))/(DATOS!$B$14+2*((BD67+BE67)/2)))^(4/3)))*(A66-A67)))&lt;0,BE67,((BD67+BE67)/2))</f>
        <v/>
      </c>
      <c r="BH67" s="16">
        <f>IF((((BF67+BG67)/2)+(C67/(DATOS!$B$14*((BF67+BG67)/2)))^2/(2*9.81)+B67-(E66+(C66/(DATOS!$B$14*E66))^2/(2*9.81)+B66+0.5*(((DATOS!$B$27*C66/(DATOS!$B$14*E66))^2/((DATOS!$B$14*E66)/(DATOS!$B$14+2*E66))^(4/3))+((DATOS!$B$27*C67/(DATOS!$B$14*((BF67+BG67)/2)))^2/((DATOS!$B$14*((BF67+BG67)/2))/(DATOS!$B$14+2*((BF67+BG67)/2)))^(4/3)))*(A66-A67)))&lt;0,((BF67+BG67)/2),BF67)</f>
        <v/>
      </c>
      <c r="BI67" s="16">
        <f>IF((((BF67+BG67)/2)+(C67/(DATOS!$B$14*((BF67+BG67)/2)))^2/(2*9.81)+B67-(E66+(C66/(DATOS!$B$14*E66))^2/(2*9.81)+B66+0.5*(((DATOS!$B$27*C66/(DATOS!$B$14*E66))^2/((DATOS!$B$14*E66)/(DATOS!$B$14+2*E66))^(4/3))+((DATOS!$B$27*C67/(DATOS!$B$14*((BF67+BG67)/2)))^2/((DATOS!$B$14*((BF67+BG67)/2))/(DATOS!$B$14+2*((BF67+BG67)/2)))^(4/3)))*(A66-A67)))&lt;0,BG67,((BF67+BG67)/2))</f>
        <v/>
      </c>
      <c r="BJ67" s="16">
        <f>IF((((BH67+BI67)/2)+(C67/(DATOS!$B$14*((BH67+BI67)/2)))^2/(2*9.81)+B67-(E66+(C66/(DATOS!$B$14*E66))^2/(2*9.81)+B66+0.5*(((DATOS!$B$27*C66/(DATOS!$B$14*E66))^2/((DATOS!$B$14*E66)/(DATOS!$B$14+2*E66))^(4/3))+((DATOS!$B$27*C67/(DATOS!$B$14*((BH67+BI67)/2)))^2/((DATOS!$B$14*((BH67+BI67)/2))/(DATOS!$B$14+2*((BH67+BI67)/2)))^(4/3)))*(A66-A67)))&lt;0,((BH67+BI67)/2),BH67)</f>
        <v/>
      </c>
      <c r="BK67" s="16">
        <f>IF((((BH67+BI67)/2)+(C67/(DATOS!$B$14*((BH67+BI67)/2)))^2/(2*9.81)+B67-(E66+(C66/(DATOS!$B$14*E66))^2/(2*9.81)+B66+0.5*(((DATOS!$B$27*C66/(DATOS!$B$14*E66))^2/((DATOS!$B$14*E66)/(DATOS!$B$14+2*E66))^(4/3))+((DATOS!$B$27*C67/(DATOS!$B$14*((BH67+BI67)/2)))^2/((DATOS!$B$14*((BH67+BI67)/2))/(DATOS!$B$14+2*((BH67+BI67)/2)))^(4/3)))*(A66-A67)))&lt;0,BI67,((BH67+BI67)/2))</f>
        <v/>
      </c>
      <c r="BL67" s="16">
        <f>IF((((BJ67+BK67)/2)+(C67/(DATOS!$B$14*((BJ67+BK67)/2)))^2/(2*9.81)+B67-(E66+(C66/(DATOS!$B$14*E66))^2/(2*9.81)+B66+0.5*(((DATOS!$B$27*C66/(DATOS!$B$14*E66))^2/((DATOS!$B$14*E66)/(DATOS!$B$14+2*E66))^(4/3))+((DATOS!$B$27*C67/(DATOS!$B$14*((BJ67+BK67)/2)))^2/((DATOS!$B$14*((BJ67+BK67)/2))/(DATOS!$B$14+2*((BJ67+BK67)/2)))^(4/3)))*(A66-A67)))&lt;0,((BJ67+BK67)/2),BJ67)</f>
        <v/>
      </c>
      <c r="BM67" s="16">
        <f>IF((((BJ67+BK67)/2)+(C67/(DATOS!$B$14*((BJ67+BK67)/2)))^2/(2*9.81)+B67-(E66+(C66/(DATOS!$B$14*E66))^2/(2*9.81)+B66+0.5*(((DATOS!$B$27*C66/(DATOS!$B$14*E66))^2/((DATOS!$B$14*E66)/(DATOS!$B$14+2*E66))^(4/3))+((DATOS!$B$27*C67/(DATOS!$B$14*((BJ67+BK67)/2)))^2/((DATOS!$B$14*((BJ67+BK67)/2))/(DATOS!$B$14+2*((BJ67+BK67)/2)))^(4/3)))*(A66-A67)))&lt;0,BK67,((BJ67+BK67)/2))</f>
        <v/>
      </c>
      <c r="BN67" s="16">
        <f>IF((((BL67+BM67)/2)+(C67/(DATOS!$B$14*((BL67+BM67)/2)))^2/(2*9.81)+B67-(E66+(C66/(DATOS!$B$14*E66))^2/(2*9.81)+B66+0.5*(((DATOS!$B$27*C66/(DATOS!$B$14*E66))^2/((DATOS!$B$14*E66)/(DATOS!$B$14+2*E66))^(4/3))+((DATOS!$B$27*C67/(DATOS!$B$14*((BL67+BM67)/2)))^2/((DATOS!$B$14*((BL67+BM67)/2))/(DATOS!$B$14+2*((BL67+BM67)/2)))^(4/3)))*(A66-A67)))&lt;0,((BL67+BM67)/2),BL67)</f>
        <v/>
      </c>
      <c r="BO67" s="16">
        <f>IF((((BL67+BM67)/2)+(C67/(DATOS!$B$14*((BL67+BM67)/2)))^2/(2*9.81)+B67-(E66+(C66/(DATOS!$B$14*E66))^2/(2*9.81)+B66+0.5*(((DATOS!$B$27*C66/(DATOS!$B$14*E66))^2/((DATOS!$B$14*E66)/(DATOS!$B$14+2*E66))^(4/3))+((DATOS!$B$27*C67/(DATOS!$B$14*((BL67+BM67)/2)))^2/((DATOS!$B$14*((BL67+BM67)/2))/(DATOS!$B$14+2*((BL67+BM67)/2)))^(4/3)))*(A66-A67)))&lt;0,BM67,((BL67+BM67)/2))</f>
        <v/>
      </c>
      <c r="BP67" s="16">
        <f>IF((((BN67+BO67)/2)+(C67/(DATOS!$B$14*((BN67+BO67)/2)))^2/(2*9.81)+B67-(E66+(C66/(DATOS!$B$14*E66))^2/(2*9.81)+B66+0.5*(((DATOS!$B$27*C66/(DATOS!$B$14*E66))^2/((DATOS!$B$14*E66)/(DATOS!$B$14+2*E66))^(4/3))+((DATOS!$B$27*C67/(DATOS!$B$14*((BN67+BO67)/2)))^2/((DATOS!$B$14*((BN67+BO67)/2))/(DATOS!$B$14+2*((BN67+BO67)/2)))^(4/3)))*(A66-A67)))&lt;0,((BN67+BO67)/2),BN67)</f>
        <v/>
      </c>
      <c r="BQ67" s="16">
        <f>IF((((BN67+BO67)/2)+(C67/(DATOS!$B$14*((BN67+BO67)/2)))^2/(2*9.81)+B67-(E66+(C66/(DATOS!$B$14*E66))^2/(2*9.81)+B66+0.5*(((DATOS!$B$27*C66/(DATOS!$B$14*E66))^2/((DATOS!$B$14*E66)/(DATOS!$B$14+2*E66))^(4/3))+((DATOS!$B$27*C67/(DATOS!$B$14*((BN67+BO67)/2)))^2/((DATOS!$B$14*((BN67+BO67)/2))/(DATOS!$B$14+2*((BN67+BO67)/2)))^(4/3)))*(A66-A67)))&lt;0,BO67,((BN67+BO67)/2))</f>
        <v/>
      </c>
      <c r="BR67" s="16">
        <f>IF((((BP67+BQ67)/2)+(C67/(DATOS!$B$14*((BP67+BQ67)/2)))^2/(2*9.81)+B67-(E66+(C66/(DATOS!$B$14*E66))^2/(2*9.81)+B66+0.5*(((DATOS!$B$27*C66/(DATOS!$B$14*E66))^2/((DATOS!$B$14*E66)/(DATOS!$B$14+2*E66))^(4/3))+((DATOS!$B$27*C67/(DATOS!$B$14*((BP67+BQ67)/2)))^2/((DATOS!$B$14*((BP67+BQ67)/2))/(DATOS!$B$14+2*((BP67+BQ67)/2)))^(4/3)))*(A66-A67)))&lt;0,((BP67+BQ67)/2),BP67)</f>
        <v/>
      </c>
      <c r="BS67" s="16">
        <f>IF((((BP67+BQ67)/2)+(C67/(DATOS!$B$14*((BP67+BQ67)/2)))^2/(2*9.81)+B67-(E66+(C66/(DATOS!$B$14*E66))^2/(2*9.81)+B66+0.5*(((DATOS!$B$27*C66/(DATOS!$B$14*E66))^2/((DATOS!$B$14*E66)/(DATOS!$B$14+2*E66))^(4/3))+((DATOS!$B$27*C67/(DATOS!$B$14*((BP67+BQ67)/2)))^2/((DATOS!$B$14*((BP67+BQ67)/2))/(DATOS!$B$14+2*((BP67+BQ67)/2)))^(4/3)))*(A66-A67)))&lt;0,BQ67,((BP67+BQ67)/2))</f>
        <v/>
      </c>
      <c r="BT67" s="16">
        <f>IF((((BR67+BS67)/2)+(C67/(DATOS!$B$14*((BR67+BS67)/2)))^2/(2*9.81)+B67-(E66+(C66/(DATOS!$B$14*E66))^2/(2*9.81)+B66+0.5*(((DATOS!$B$27*C66/(DATOS!$B$14*E66))^2/((DATOS!$B$14*E66)/(DATOS!$B$14+2*E66))^(4/3))+((DATOS!$B$27*C67/(DATOS!$B$14*((BR67+BS67)/2)))^2/((DATOS!$B$14*((BR67+BS67)/2))/(DATOS!$B$14+2*((BR67+BS67)/2)))^(4/3)))*(A66-A67)))&lt;0,((BR67+BS67)/2),BR67)</f>
        <v/>
      </c>
      <c r="BU67" s="16">
        <f>IF((((BR67+BS67)/2)+(C67/(DATOS!$B$14*((BR67+BS67)/2)))^2/(2*9.81)+B67-(E66+(C66/(DATOS!$B$14*E66))^2/(2*9.81)+B66+0.5*(((DATOS!$B$27*C66/(DATOS!$B$14*E66))^2/((DATOS!$B$14*E66)/(DATOS!$B$14+2*E66))^(4/3))+((DATOS!$B$27*C67/(DATOS!$B$14*((BR67+BS67)/2)))^2/((DATOS!$B$14*((BR67+BS67)/2))/(DATOS!$B$14+2*((BR67+BS67)/2)))^(4/3)))*(A66-A67)))&lt;0,BS67,((BR67+BS67)/2))</f>
        <v/>
      </c>
    </row>
    <row r="68">
      <c r="A68" s="30" t="n">
        <v>22</v>
      </c>
      <c r="B68" s="21">
        <f>DATOS!$B$16-DATOS!$B$19*A68</f>
        <v/>
      </c>
      <c r="C68" s="21">
        <f>IF(A68&lt;CAUDALES!$B$13,CAUDALES!$D$12,IF(A68&lt;CAUDALES!$B$14,CAUDALES!$D$13,IF(A68&lt;CAUDALES!$B$15,CAUDALES!$D$14,CAUDALES!$D$15)))/1000</f>
        <v/>
      </c>
      <c r="D68" s="21">
        <f>(C68^2/(9.81*DATOS!$B$14^2))^(1/3)</f>
        <v/>
      </c>
      <c r="E68" s="29">
        <f>(BT68+BU68)/2</f>
        <v/>
      </c>
      <c r="F68" s="21">
        <f>B68+E68</f>
        <v/>
      </c>
      <c r="G68" s="17">
        <f>C68/(DATOS!$B$14*E68)</f>
        <v/>
      </c>
      <c r="H68" s="17">
        <f>G68/SQRT(9.81*E68)</f>
        <v/>
      </c>
      <c r="I68" s="21">
        <f>IF(A68&lt;=DATOS!$B$20,DATOS!$B$21-IF(AND(A68&gt;=DATOS!$B$23,A68&lt;DATOS!$B$24),DATOS!$B$25,DATOS!$B$22),B68+DATOS!$B$26)</f>
        <v/>
      </c>
      <c r="J68" s="17">
        <f>I68-B68</f>
        <v/>
      </c>
      <c r="K68" s="31">
        <f>E68/J68</f>
        <v/>
      </c>
      <c r="L68" s="21">
        <f>I68-F68</f>
        <v/>
      </c>
      <c r="M68" s="32">
        <f>IF(AND(K68&lt;=DATOS!$B$29,L68&gt;=DATOS!$B$30),"CUMPLE","NO CUMPLE")</f>
        <v/>
      </c>
      <c r="N68" s="13">
        <f>IF(A68&gt;DATOS!$B$20,"cubierto - tramo final",IF(AND(A68&gt;=DATOS!$B$23,A68&lt;DATOS!$B$24),"cubierto - camiones","cubierto"))</f>
        <v/>
      </c>
      <c r="P68" s="16">
        <f>D68*1.001</f>
        <v/>
      </c>
      <c r="Q68" s="16" t="n">
        <v>2</v>
      </c>
      <c r="R68" s="16">
        <f>IF((((P68+Q68)/2)+(C68/(DATOS!$B$14*((P68+Q68)/2)))^2/(2*9.81)+B68-(E67+(C67/(DATOS!$B$14*E67))^2/(2*9.81)+B67+0.5*(((DATOS!$B$27*C67/(DATOS!$B$14*E67))^2/((DATOS!$B$14*E67)/(DATOS!$B$14+2*E67))^(4/3))+((DATOS!$B$27*C68/(DATOS!$B$14*((P68+Q68)/2)))^2/((DATOS!$B$14*((P68+Q68)/2))/(DATOS!$B$14+2*((P68+Q68)/2)))^(4/3)))*(A67-A68)))&lt;0,((P68+Q68)/2),P68)</f>
        <v/>
      </c>
      <c r="S68" s="16">
        <f>IF((((P68+Q68)/2)+(C68/(DATOS!$B$14*((P68+Q68)/2)))^2/(2*9.81)+B68-(E67+(C67/(DATOS!$B$14*E67))^2/(2*9.81)+B67+0.5*(((DATOS!$B$27*C67/(DATOS!$B$14*E67))^2/((DATOS!$B$14*E67)/(DATOS!$B$14+2*E67))^(4/3))+((DATOS!$B$27*C68/(DATOS!$B$14*((P68+Q68)/2)))^2/((DATOS!$B$14*((P68+Q68)/2))/(DATOS!$B$14+2*((P68+Q68)/2)))^(4/3)))*(A67-A68)))&lt;0,Q68,((P68+Q68)/2))</f>
        <v/>
      </c>
      <c r="T68" s="16">
        <f>IF((((R68+S68)/2)+(C68/(DATOS!$B$14*((R68+S68)/2)))^2/(2*9.81)+B68-(E67+(C67/(DATOS!$B$14*E67))^2/(2*9.81)+B67+0.5*(((DATOS!$B$27*C67/(DATOS!$B$14*E67))^2/((DATOS!$B$14*E67)/(DATOS!$B$14+2*E67))^(4/3))+((DATOS!$B$27*C68/(DATOS!$B$14*((R68+S68)/2)))^2/((DATOS!$B$14*((R68+S68)/2))/(DATOS!$B$14+2*((R68+S68)/2)))^(4/3)))*(A67-A68)))&lt;0,((R68+S68)/2),R68)</f>
        <v/>
      </c>
      <c r="U68" s="16">
        <f>IF((((R68+S68)/2)+(C68/(DATOS!$B$14*((R68+S68)/2)))^2/(2*9.81)+B68-(E67+(C67/(DATOS!$B$14*E67))^2/(2*9.81)+B67+0.5*(((DATOS!$B$27*C67/(DATOS!$B$14*E67))^2/((DATOS!$B$14*E67)/(DATOS!$B$14+2*E67))^(4/3))+((DATOS!$B$27*C68/(DATOS!$B$14*((R68+S68)/2)))^2/((DATOS!$B$14*((R68+S68)/2))/(DATOS!$B$14+2*((R68+S68)/2)))^(4/3)))*(A67-A68)))&lt;0,S68,((R68+S68)/2))</f>
        <v/>
      </c>
      <c r="V68" s="16">
        <f>IF((((T68+U68)/2)+(C68/(DATOS!$B$14*((T68+U68)/2)))^2/(2*9.81)+B68-(E67+(C67/(DATOS!$B$14*E67))^2/(2*9.81)+B67+0.5*(((DATOS!$B$27*C67/(DATOS!$B$14*E67))^2/((DATOS!$B$14*E67)/(DATOS!$B$14+2*E67))^(4/3))+((DATOS!$B$27*C68/(DATOS!$B$14*((T68+U68)/2)))^2/((DATOS!$B$14*((T68+U68)/2))/(DATOS!$B$14+2*((T68+U68)/2)))^(4/3)))*(A67-A68)))&lt;0,((T68+U68)/2),T68)</f>
        <v/>
      </c>
      <c r="W68" s="16">
        <f>IF((((T68+U68)/2)+(C68/(DATOS!$B$14*((T68+U68)/2)))^2/(2*9.81)+B68-(E67+(C67/(DATOS!$B$14*E67))^2/(2*9.81)+B67+0.5*(((DATOS!$B$27*C67/(DATOS!$B$14*E67))^2/((DATOS!$B$14*E67)/(DATOS!$B$14+2*E67))^(4/3))+((DATOS!$B$27*C68/(DATOS!$B$14*((T68+U68)/2)))^2/((DATOS!$B$14*((T68+U68)/2))/(DATOS!$B$14+2*((T68+U68)/2)))^(4/3)))*(A67-A68)))&lt;0,U68,((T68+U68)/2))</f>
        <v/>
      </c>
      <c r="X68" s="16">
        <f>IF((((V68+W68)/2)+(C68/(DATOS!$B$14*((V68+W68)/2)))^2/(2*9.81)+B68-(E67+(C67/(DATOS!$B$14*E67))^2/(2*9.81)+B67+0.5*(((DATOS!$B$27*C67/(DATOS!$B$14*E67))^2/((DATOS!$B$14*E67)/(DATOS!$B$14+2*E67))^(4/3))+((DATOS!$B$27*C68/(DATOS!$B$14*((V68+W68)/2)))^2/((DATOS!$B$14*((V68+W68)/2))/(DATOS!$B$14+2*((V68+W68)/2)))^(4/3)))*(A67-A68)))&lt;0,((V68+W68)/2),V68)</f>
        <v/>
      </c>
      <c r="Y68" s="16">
        <f>IF((((V68+W68)/2)+(C68/(DATOS!$B$14*((V68+W68)/2)))^2/(2*9.81)+B68-(E67+(C67/(DATOS!$B$14*E67))^2/(2*9.81)+B67+0.5*(((DATOS!$B$27*C67/(DATOS!$B$14*E67))^2/((DATOS!$B$14*E67)/(DATOS!$B$14+2*E67))^(4/3))+((DATOS!$B$27*C68/(DATOS!$B$14*((V68+W68)/2)))^2/((DATOS!$B$14*((V68+W68)/2))/(DATOS!$B$14+2*((V68+W68)/2)))^(4/3)))*(A67-A68)))&lt;0,W68,((V68+W68)/2))</f>
        <v/>
      </c>
      <c r="Z68" s="16">
        <f>IF((((X68+Y68)/2)+(C68/(DATOS!$B$14*((X68+Y68)/2)))^2/(2*9.81)+B68-(E67+(C67/(DATOS!$B$14*E67))^2/(2*9.81)+B67+0.5*(((DATOS!$B$27*C67/(DATOS!$B$14*E67))^2/((DATOS!$B$14*E67)/(DATOS!$B$14+2*E67))^(4/3))+((DATOS!$B$27*C68/(DATOS!$B$14*((X68+Y68)/2)))^2/((DATOS!$B$14*((X68+Y68)/2))/(DATOS!$B$14+2*((X68+Y68)/2)))^(4/3)))*(A67-A68)))&lt;0,((X68+Y68)/2),X68)</f>
        <v/>
      </c>
      <c r="AA68" s="16">
        <f>IF((((X68+Y68)/2)+(C68/(DATOS!$B$14*((X68+Y68)/2)))^2/(2*9.81)+B68-(E67+(C67/(DATOS!$B$14*E67))^2/(2*9.81)+B67+0.5*(((DATOS!$B$27*C67/(DATOS!$B$14*E67))^2/((DATOS!$B$14*E67)/(DATOS!$B$14+2*E67))^(4/3))+((DATOS!$B$27*C68/(DATOS!$B$14*((X68+Y68)/2)))^2/((DATOS!$B$14*((X68+Y68)/2))/(DATOS!$B$14+2*((X68+Y68)/2)))^(4/3)))*(A67-A68)))&lt;0,Y68,((X68+Y68)/2))</f>
        <v/>
      </c>
      <c r="AB68" s="16">
        <f>IF((((Z68+AA68)/2)+(C68/(DATOS!$B$14*((Z68+AA68)/2)))^2/(2*9.81)+B68-(E67+(C67/(DATOS!$B$14*E67))^2/(2*9.81)+B67+0.5*(((DATOS!$B$27*C67/(DATOS!$B$14*E67))^2/((DATOS!$B$14*E67)/(DATOS!$B$14+2*E67))^(4/3))+((DATOS!$B$27*C68/(DATOS!$B$14*((Z68+AA68)/2)))^2/((DATOS!$B$14*((Z68+AA68)/2))/(DATOS!$B$14+2*((Z68+AA68)/2)))^(4/3)))*(A67-A68)))&lt;0,((Z68+AA68)/2),Z68)</f>
        <v/>
      </c>
      <c r="AC68" s="16">
        <f>IF((((Z68+AA68)/2)+(C68/(DATOS!$B$14*((Z68+AA68)/2)))^2/(2*9.81)+B68-(E67+(C67/(DATOS!$B$14*E67))^2/(2*9.81)+B67+0.5*(((DATOS!$B$27*C67/(DATOS!$B$14*E67))^2/((DATOS!$B$14*E67)/(DATOS!$B$14+2*E67))^(4/3))+((DATOS!$B$27*C68/(DATOS!$B$14*((Z68+AA68)/2)))^2/((DATOS!$B$14*((Z68+AA68)/2))/(DATOS!$B$14+2*((Z68+AA68)/2)))^(4/3)))*(A67-A68)))&lt;0,AA68,((Z68+AA68)/2))</f>
        <v/>
      </c>
      <c r="AD68" s="16">
        <f>IF((((AB68+AC68)/2)+(C68/(DATOS!$B$14*((AB68+AC68)/2)))^2/(2*9.81)+B68-(E67+(C67/(DATOS!$B$14*E67))^2/(2*9.81)+B67+0.5*(((DATOS!$B$27*C67/(DATOS!$B$14*E67))^2/((DATOS!$B$14*E67)/(DATOS!$B$14+2*E67))^(4/3))+((DATOS!$B$27*C68/(DATOS!$B$14*((AB68+AC68)/2)))^2/((DATOS!$B$14*((AB68+AC68)/2))/(DATOS!$B$14+2*((AB68+AC68)/2)))^(4/3)))*(A67-A68)))&lt;0,((AB68+AC68)/2),AB68)</f>
        <v/>
      </c>
      <c r="AE68" s="16">
        <f>IF((((AB68+AC68)/2)+(C68/(DATOS!$B$14*((AB68+AC68)/2)))^2/(2*9.81)+B68-(E67+(C67/(DATOS!$B$14*E67))^2/(2*9.81)+B67+0.5*(((DATOS!$B$27*C67/(DATOS!$B$14*E67))^2/((DATOS!$B$14*E67)/(DATOS!$B$14+2*E67))^(4/3))+((DATOS!$B$27*C68/(DATOS!$B$14*((AB68+AC68)/2)))^2/((DATOS!$B$14*((AB68+AC68)/2))/(DATOS!$B$14+2*((AB68+AC68)/2)))^(4/3)))*(A67-A68)))&lt;0,AC68,((AB68+AC68)/2))</f>
        <v/>
      </c>
      <c r="AF68" s="16">
        <f>IF((((AD68+AE68)/2)+(C68/(DATOS!$B$14*((AD68+AE68)/2)))^2/(2*9.81)+B68-(E67+(C67/(DATOS!$B$14*E67))^2/(2*9.81)+B67+0.5*(((DATOS!$B$27*C67/(DATOS!$B$14*E67))^2/((DATOS!$B$14*E67)/(DATOS!$B$14+2*E67))^(4/3))+((DATOS!$B$27*C68/(DATOS!$B$14*((AD68+AE68)/2)))^2/((DATOS!$B$14*((AD68+AE68)/2))/(DATOS!$B$14+2*((AD68+AE68)/2)))^(4/3)))*(A67-A68)))&lt;0,((AD68+AE68)/2),AD68)</f>
        <v/>
      </c>
      <c r="AG68" s="16">
        <f>IF((((AD68+AE68)/2)+(C68/(DATOS!$B$14*((AD68+AE68)/2)))^2/(2*9.81)+B68-(E67+(C67/(DATOS!$B$14*E67))^2/(2*9.81)+B67+0.5*(((DATOS!$B$27*C67/(DATOS!$B$14*E67))^2/((DATOS!$B$14*E67)/(DATOS!$B$14+2*E67))^(4/3))+((DATOS!$B$27*C68/(DATOS!$B$14*((AD68+AE68)/2)))^2/((DATOS!$B$14*((AD68+AE68)/2))/(DATOS!$B$14+2*((AD68+AE68)/2)))^(4/3)))*(A67-A68)))&lt;0,AE68,((AD68+AE68)/2))</f>
        <v/>
      </c>
      <c r="AH68" s="16">
        <f>IF((((AF68+AG68)/2)+(C68/(DATOS!$B$14*((AF68+AG68)/2)))^2/(2*9.81)+B68-(E67+(C67/(DATOS!$B$14*E67))^2/(2*9.81)+B67+0.5*(((DATOS!$B$27*C67/(DATOS!$B$14*E67))^2/((DATOS!$B$14*E67)/(DATOS!$B$14+2*E67))^(4/3))+((DATOS!$B$27*C68/(DATOS!$B$14*((AF68+AG68)/2)))^2/((DATOS!$B$14*((AF68+AG68)/2))/(DATOS!$B$14+2*((AF68+AG68)/2)))^(4/3)))*(A67-A68)))&lt;0,((AF68+AG68)/2),AF68)</f>
        <v/>
      </c>
      <c r="AI68" s="16">
        <f>IF((((AF68+AG68)/2)+(C68/(DATOS!$B$14*((AF68+AG68)/2)))^2/(2*9.81)+B68-(E67+(C67/(DATOS!$B$14*E67))^2/(2*9.81)+B67+0.5*(((DATOS!$B$27*C67/(DATOS!$B$14*E67))^2/((DATOS!$B$14*E67)/(DATOS!$B$14+2*E67))^(4/3))+((DATOS!$B$27*C68/(DATOS!$B$14*((AF68+AG68)/2)))^2/((DATOS!$B$14*((AF68+AG68)/2))/(DATOS!$B$14+2*((AF68+AG68)/2)))^(4/3)))*(A67-A68)))&lt;0,AG68,((AF68+AG68)/2))</f>
        <v/>
      </c>
      <c r="AJ68" s="16">
        <f>IF((((AH68+AI68)/2)+(C68/(DATOS!$B$14*((AH68+AI68)/2)))^2/(2*9.81)+B68-(E67+(C67/(DATOS!$B$14*E67))^2/(2*9.81)+B67+0.5*(((DATOS!$B$27*C67/(DATOS!$B$14*E67))^2/((DATOS!$B$14*E67)/(DATOS!$B$14+2*E67))^(4/3))+((DATOS!$B$27*C68/(DATOS!$B$14*((AH68+AI68)/2)))^2/((DATOS!$B$14*((AH68+AI68)/2))/(DATOS!$B$14+2*((AH68+AI68)/2)))^(4/3)))*(A67-A68)))&lt;0,((AH68+AI68)/2),AH68)</f>
        <v/>
      </c>
      <c r="AK68" s="16">
        <f>IF((((AH68+AI68)/2)+(C68/(DATOS!$B$14*((AH68+AI68)/2)))^2/(2*9.81)+B68-(E67+(C67/(DATOS!$B$14*E67))^2/(2*9.81)+B67+0.5*(((DATOS!$B$27*C67/(DATOS!$B$14*E67))^2/((DATOS!$B$14*E67)/(DATOS!$B$14+2*E67))^(4/3))+((DATOS!$B$27*C68/(DATOS!$B$14*((AH68+AI68)/2)))^2/((DATOS!$B$14*((AH68+AI68)/2))/(DATOS!$B$14+2*((AH68+AI68)/2)))^(4/3)))*(A67-A68)))&lt;0,AI68,((AH68+AI68)/2))</f>
        <v/>
      </c>
      <c r="AL68" s="16">
        <f>IF((((AJ68+AK68)/2)+(C68/(DATOS!$B$14*((AJ68+AK68)/2)))^2/(2*9.81)+B68-(E67+(C67/(DATOS!$B$14*E67))^2/(2*9.81)+B67+0.5*(((DATOS!$B$27*C67/(DATOS!$B$14*E67))^2/((DATOS!$B$14*E67)/(DATOS!$B$14+2*E67))^(4/3))+((DATOS!$B$27*C68/(DATOS!$B$14*((AJ68+AK68)/2)))^2/((DATOS!$B$14*((AJ68+AK68)/2))/(DATOS!$B$14+2*((AJ68+AK68)/2)))^(4/3)))*(A67-A68)))&lt;0,((AJ68+AK68)/2),AJ68)</f>
        <v/>
      </c>
      <c r="AM68" s="16">
        <f>IF((((AJ68+AK68)/2)+(C68/(DATOS!$B$14*((AJ68+AK68)/2)))^2/(2*9.81)+B68-(E67+(C67/(DATOS!$B$14*E67))^2/(2*9.81)+B67+0.5*(((DATOS!$B$27*C67/(DATOS!$B$14*E67))^2/((DATOS!$B$14*E67)/(DATOS!$B$14+2*E67))^(4/3))+((DATOS!$B$27*C68/(DATOS!$B$14*((AJ68+AK68)/2)))^2/((DATOS!$B$14*((AJ68+AK68)/2))/(DATOS!$B$14+2*((AJ68+AK68)/2)))^(4/3)))*(A67-A68)))&lt;0,AK68,((AJ68+AK68)/2))</f>
        <v/>
      </c>
      <c r="AN68" s="16">
        <f>IF((((AL68+AM68)/2)+(C68/(DATOS!$B$14*((AL68+AM68)/2)))^2/(2*9.81)+B68-(E67+(C67/(DATOS!$B$14*E67))^2/(2*9.81)+B67+0.5*(((DATOS!$B$27*C67/(DATOS!$B$14*E67))^2/((DATOS!$B$14*E67)/(DATOS!$B$14+2*E67))^(4/3))+((DATOS!$B$27*C68/(DATOS!$B$14*((AL68+AM68)/2)))^2/((DATOS!$B$14*((AL68+AM68)/2))/(DATOS!$B$14+2*((AL68+AM68)/2)))^(4/3)))*(A67-A68)))&lt;0,((AL68+AM68)/2),AL68)</f>
        <v/>
      </c>
      <c r="AO68" s="16">
        <f>IF((((AL68+AM68)/2)+(C68/(DATOS!$B$14*((AL68+AM68)/2)))^2/(2*9.81)+B68-(E67+(C67/(DATOS!$B$14*E67))^2/(2*9.81)+B67+0.5*(((DATOS!$B$27*C67/(DATOS!$B$14*E67))^2/((DATOS!$B$14*E67)/(DATOS!$B$14+2*E67))^(4/3))+((DATOS!$B$27*C68/(DATOS!$B$14*((AL68+AM68)/2)))^2/((DATOS!$B$14*((AL68+AM68)/2))/(DATOS!$B$14+2*((AL68+AM68)/2)))^(4/3)))*(A67-A68)))&lt;0,AM68,((AL68+AM68)/2))</f>
        <v/>
      </c>
      <c r="AP68" s="16">
        <f>IF((((AN68+AO68)/2)+(C68/(DATOS!$B$14*((AN68+AO68)/2)))^2/(2*9.81)+B68-(E67+(C67/(DATOS!$B$14*E67))^2/(2*9.81)+B67+0.5*(((DATOS!$B$27*C67/(DATOS!$B$14*E67))^2/((DATOS!$B$14*E67)/(DATOS!$B$14+2*E67))^(4/3))+((DATOS!$B$27*C68/(DATOS!$B$14*((AN68+AO68)/2)))^2/((DATOS!$B$14*((AN68+AO68)/2))/(DATOS!$B$14+2*((AN68+AO68)/2)))^(4/3)))*(A67-A68)))&lt;0,((AN68+AO68)/2),AN68)</f>
        <v/>
      </c>
      <c r="AQ68" s="16">
        <f>IF((((AN68+AO68)/2)+(C68/(DATOS!$B$14*((AN68+AO68)/2)))^2/(2*9.81)+B68-(E67+(C67/(DATOS!$B$14*E67))^2/(2*9.81)+B67+0.5*(((DATOS!$B$27*C67/(DATOS!$B$14*E67))^2/((DATOS!$B$14*E67)/(DATOS!$B$14+2*E67))^(4/3))+((DATOS!$B$27*C68/(DATOS!$B$14*((AN68+AO68)/2)))^2/((DATOS!$B$14*((AN68+AO68)/2))/(DATOS!$B$14+2*((AN68+AO68)/2)))^(4/3)))*(A67-A68)))&lt;0,AO68,((AN68+AO68)/2))</f>
        <v/>
      </c>
      <c r="AR68" s="16">
        <f>IF((((AP68+AQ68)/2)+(C68/(DATOS!$B$14*((AP68+AQ68)/2)))^2/(2*9.81)+B68-(E67+(C67/(DATOS!$B$14*E67))^2/(2*9.81)+B67+0.5*(((DATOS!$B$27*C67/(DATOS!$B$14*E67))^2/((DATOS!$B$14*E67)/(DATOS!$B$14+2*E67))^(4/3))+((DATOS!$B$27*C68/(DATOS!$B$14*((AP68+AQ68)/2)))^2/((DATOS!$B$14*((AP68+AQ68)/2))/(DATOS!$B$14+2*((AP68+AQ68)/2)))^(4/3)))*(A67-A68)))&lt;0,((AP68+AQ68)/2),AP68)</f>
        <v/>
      </c>
      <c r="AS68" s="16">
        <f>IF((((AP68+AQ68)/2)+(C68/(DATOS!$B$14*((AP68+AQ68)/2)))^2/(2*9.81)+B68-(E67+(C67/(DATOS!$B$14*E67))^2/(2*9.81)+B67+0.5*(((DATOS!$B$27*C67/(DATOS!$B$14*E67))^2/((DATOS!$B$14*E67)/(DATOS!$B$14+2*E67))^(4/3))+((DATOS!$B$27*C68/(DATOS!$B$14*((AP68+AQ68)/2)))^2/((DATOS!$B$14*((AP68+AQ68)/2))/(DATOS!$B$14+2*((AP68+AQ68)/2)))^(4/3)))*(A67-A68)))&lt;0,AQ68,((AP68+AQ68)/2))</f>
        <v/>
      </c>
      <c r="AT68" s="16">
        <f>IF((((AR68+AS68)/2)+(C68/(DATOS!$B$14*((AR68+AS68)/2)))^2/(2*9.81)+B68-(E67+(C67/(DATOS!$B$14*E67))^2/(2*9.81)+B67+0.5*(((DATOS!$B$27*C67/(DATOS!$B$14*E67))^2/((DATOS!$B$14*E67)/(DATOS!$B$14+2*E67))^(4/3))+((DATOS!$B$27*C68/(DATOS!$B$14*((AR68+AS68)/2)))^2/((DATOS!$B$14*((AR68+AS68)/2))/(DATOS!$B$14+2*((AR68+AS68)/2)))^(4/3)))*(A67-A68)))&lt;0,((AR68+AS68)/2),AR68)</f>
        <v/>
      </c>
      <c r="AU68" s="16">
        <f>IF((((AR68+AS68)/2)+(C68/(DATOS!$B$14*((AR68+AS68)/2)))^2/(2*9.81)+B68-(E67+(C67/(DATOS!$B$14*E67))^2/(2*9.81)+B67+0.5*(((DATOS!$B$27*C67/(DATOS!$B$14*E67))^2/((DATOS!$B$14*E67)/(DATOS!$B$14+2*E67))^(4/3))+((DATOS!$B$27*C68/(DATOS!$B$14*((AR68+AS68)/2)))^2/((DATOS!$B$14*((AR68+AS68)/2))/(DATOS!$B$14+2*((AR68+AS68)/2)))^(4/3)))*(A67-A68)))&lt;0,AS68,((AR68+AS68)/2))</f>
        <v/>
      </c>
      <c r="AV68" s="16">
        <f>IF((((AT68+AU68)/2)+(C68/(DATOS!$B$14*((AT68+AU68)/2)))^2/(2*9.81)+B68-(E67+(C67/(DATOS!$B$14*E67))^2/(2*9.81)+B67+0.5*(((DATOS!$B$27*C67/(DATOS!$B$14*E67))^2/((DATOS!$B$14*E67)/(DATOS!$B$14+2*E67))^(4/3))+((DATOS!$B$27*C68/(DATOS!$B$14*((AT68+AU68)/2)))^2/((DATOS!$B$14*((AT68+AU68)/2))/(DATOS!$B$14+2*((AT68+AU68)/2)))^(4/3)))*(A67-A68)))&lt;0,((AT68+AU68)/2),AT68)</f>
        <v/>
      </c>
      <c r="AW68" s="16">
        <f>IF((((AT68+AU68)/2)+(C68/(DATOS!$B$14*((AT68+AU68)/2)))^2/(2*9.81)+B68-(E67+(C67/(DATOS!$B$14*E67))^2/(2*9.81)+B67+0.5*(((DATOS!$B$27*C67/(DATOS!$B$14*E67))^2/((DATOS!$B$14*E67)/(DATOS!$B$14+2*E67))^(4/3))+((DATOS!$B$27*C68/(DATOS!$B$14*((AT68+AU68)/2)))^2/((DATOS!$B$14*((AT68+AU68)/2))/(DATOS!$B$14+2*((AT68+AU68)/2)))^(4/3)))*(A67-A68)))&lt;0,AU68,((AT68+AU68)/2))</f>
        <v/>
      </c>
      <c r="AX68" s="16">
        <f>IF((((AV68+AW68)/2)+(C68/(DATOS!$B$14*((AV68+AW68)/2)))^2/(2*9.81)+B68-(E67+(C67/(DATOS!$B$14*E67))^2/(2*9.81)+B67+0.5*(((DATOS!$B$27*C67/(DATOS!$B$14*E67))^2/((DATOS!$B$14*E67)/(DATOS!$B$14+2*E67))^(4/3))+((DATOS!$B$27*C68/(DATOS!$B$14*((AV68+AW68)/2)))^2/((DATOS!$B$14*((AV68+AW68)/2))/(DATOS!$B$14+2*((AV68+AW68)/2)))^(4/3)))*(A67-A68)))&lt;0,((AV68+AW68)/2),AV68)</f>
        <v/>
      </c>
      <c r="AY68" s="16">
        <f>IF((((AV68+AW68)/2)+(C68/(DATOS!$B$14*((AV68+AW68)/2)))^2/(2*9.81)+B68-(E67+(C67/(DATOS!$B$14*E67))^2/(2*9.81)+B67+0.5*(((DATOS!$B$27*C67/(DATOS!$B$14*E67))^2/((DATOS!$B$14*E67)/(DATOS!$B$14+2*E67))^(4/3))+((DATOS!$B$27*C68/(DATOS!$B$14*((AV68+AW68)/2)))^2/((DATOS!$B$14*((AV68+AW68)/2))/(DATOS!$B$14+2*((AV68+AW68)/2)))^(4/3)))*(A67-A68)))&lt;0,AW68,((AV68+AW68)/2))</f>
        <v/>
      </c>
      <c r="AZ68" s="16">
        <f>IF((((AX68+AY68)/2)+(C68/(DATOS!$B$14*((AX68+AY68)/2)))^2/(2*9.81)+B68-(E67+(C67/(DATOS!$B$14*E67))^2/(2*9.81)+B67+0.5*(((DATOS!$B$27*C67/(DATOS!$B$14*E67))^2/((DATOS!$B$14*E67)/(DATOS!$B$14+2*E67))^(4/3))+((DATOS!$B$27*C68/(DATOS!$B$14*((AX68+AY68)/2)))^2/((DATOS!$B$14*((AX68+AY68)/2))/(DATOS!$B$14+2*((AX68+AY68)/2)))^(4/3)))*(A67-A68)))&lt;0,((AX68+AY68)/2),AX68)</f>
        <v/>
      </c>
      <c r="BA68" s="16">
        <f>IF((((AX68+AY68)/2)+(C68/(DATOS!$B$14*((AX68+AY68)/2)))^2/(2*9.81)+B68-(E67+(C67/(DATOS!$B$14*E67))^2/(2*9.81)+B67+0.5*(((DATOS!$B$27*C67/(DATOS!$B$14*E67))^2/((DATOS!$B$14*E67)/(DATOS!$B$14+2*E67))^(4/3))+((DATOS!$B$27*C68/(DATOS!$B$14*((AX68+AY68)/2)))^2/((DATOS!$B$14*((AX68+AY68)/2))/(DATOS!$B$14+2*((AX68+AY68)/2)))^(4/3)))*(A67-A68)))&lt;0,AY68,((AX68+AY68)/2))</f>
        <v/>
      </c>
      <c r="BB68" s="16">
        <f>IF((((AZ68+BA68)/2)+(C68/(DATOS!$B$14*((AZ68+BA68)/2)))^2/(2*9.81)+B68-(E67+(C67/(DATOS!$B$14*E67))^2/(2*9.81)+B67+0.5*(((DATOS!$B$27*C67/(DATOS!$B$14*E67))^2/((DATOS!$B$14*E67)/(DATOS!$B$14+2*E67))^(4/3))+((DATOS!$B$27*C68/(DATOS!$B$14*((AZ68+BA68)/2)))^2/((DATOS!$B$14*((AZ68+BA68)/2))/(DATOS!$B$14+2*((AZ68+BA68)/2)))^(4/3)))*(A67-A68)))&lt;0,((AZ68+BA68)/2),AZ68)</f>
        <v/>
      </c>
      <c r="BC68" s="16">
        <f>IF((((AZ68+BA68)/2)+(C68/(DATOS!$B$14*((AZ68+BA68)/2)))^2/(2*9.81)+B68-(E67+(C67/(DATOS!$B$14*E67))^2/(2*9.81)+B67+0.5*(((DATOS!$B$27*C67/(DATOS!$B$14*E67))^2/((DATOS!$B$14*E67)/(DATOS!$B$14+2*E67))^(4/3))+((DATOS!$B$27*C68/(DATOS!$B$14*((AZ68+BA68)/2)))^2/((DATOS!$B$14*((AZ68+BA68)/2))/(DATOS!$B$14+2*((AZ68+BA68)/2)))^(4/3)))*(A67-A68)))&lt;0,BA68,((AZ68+BA68)/2))</f>
        <v/>
      </c>
      <c r="BD68" s="16">
        <f>IF((((BB68+BC68)/2)+(C68/(DATOS!$B$14*((BB68+BC68)/2)))^2/(2*9.81)+B68-(E67+(C67/(DATOS!$B$14*E67))^2/(2*9.81)+B67+0.5*(((DATOS!$B$27*C67/(DATOS!$B$14*E67))^2/((DATOS!$B$14*E67)/(DATOS!$B$14+2*E67))^(4/3))+((DATOS!$B$27*C68/(DATOS!$B$14*((BB68+BC68)/2)))^2/((DATOS!$B$14*((BB68+BC68)/2))/(DATOS!$B$14+2*((BB68+BC68)/2)))^(4/3)))*(A67-A68)))&lt;0,((BB68+BC68)/2),BB68)</f>
        <v/>
      </c>
      <c r="BE68" s="16">
        <f>IF((((BB68+BC68)/2)+(C68/(DATOS!$B$14*((BB68+BC68)/2)))^2/(2*9.81)+B68-(E67+(C67/(DATOS!$B$14*E67))^2/(2*9.81)+B67+0.5*(((DATOS!$B$27*C67/(DATOS!$B$14*E67))^2/((DATOS!$B$14*E67)/(DATOS!$B$14+2*E67))^(4/3))+((DATOS!$B$27*C68/(DATOS!$B$14*((BB68+BC68)/2)))^2/((DATOS!$B$14*((BB68+BC68)/2))/(DATOS!$B$14+2*((BB68+BC68)/2)))^(4/3)))*(A67-A68)))&lt;0,BC68,((BB68+BC68)/2))</f>
        <v/>
      </c>
      <c r="BF68" s="16">
        <f>IF((((BD68+BE68)/2)+(C68/(DATOS!$B$14*((BD68+BE68)/2)))^2/(2*9.81)+B68-(E67+(C67/(DATOS!$B$14*E67))^2/(2*9.81)+B67+0.5*(((DATOS!$B$27*C67/(DATOS!$B$14*E67))^2/((DATOS!$B$14*E67)/(DATOS!$B$14+2*E67))^(4/3))+((DATOS!$B$27*C68/(DATOS!$B$14*((BD68+BE68)/2)))^2/((DATOS!$B$14*((BD68+BE68)/2))/(DATOS!$B$14+2*((BD68+BE68)/2)))^(4/3)))*(A67-A68)))&lt;0,((BD68+BE68)/2),BD68)</f>
        <v/>
      </c>
      <c r="BG68" s="16">
        <f>IF((((BD68+BE68)/2)+(C68/(DATOS!$B$14*((BD68+BE68)/2)))^2/(2*9.81)+B68-(E67+(C67/(DATOS!$B$14*E67))^2/(2*9.81)+B67+0.5*(((DATOS!$B$27*C67/(DATOS!$B$14*E67))^2/((DATOS!$B$14*E67)/(DATOS!$B$14+2*E67))^(4/3))+((DATOS!$B$27*C68/(DATOS!$B$14*((BD68+BE68)/2)))^2/((DATOS!$B$14*((BD68+BE68)/2))/(DATOS!$B$14+2*((BD68+BE68)/2)))^(4/3)))*(A67-A68)))&lt;0,BE68,((BD68+BE68)/2))</f>
        <v/>
      </c>
      <c r="BH68" s="16">
        <f>IF((((BF68+BG68)/2)+(C68/(DATOS!$B$14*((BF68+BG68)/2)))^2/(2*9.81)+B68-(E67+(C67/(DATOS!$B$14*E67))^2/(2*9.81)+B67+0.5*(((DATOS!$B$27*C67/(DATOS!$B$14*E67))^2/((DATOS!$B$14*E67)/(DATOS!$B$14+2*E67))^(4/3))+((DATOS!$B$27*C68/(DATOS!$B$14*((BF68+BG68)/2)))^2/((DATOS!$B$14*((BF68+BG68)/2))/(DATOS!$B$14+2*((BF68+BG68)/2)))^(4/3)))*(A67-A68)))&lt;0,((BF68+BG68)/2),BF68)</f>
        <v/>
      </c>
      <c r="BI68" s="16">
        <f>IF((((BF68+BG68)/2)+(C68/(DATOS!$B$14*((BF68+BG68)/2)))^2/(2*9.81)+B68-(E67+(C67/(DATOS!$B$14*E67))^2/(2*9.81)+B67+0.5*(((DATOS!$B$27*C67/(DATOS!$B$14*E67))^2/((DATOS!$B$14*E67)/(DATOS!$B$14+2*E67))^(4/3))+((DATOS!$B$27*C68/(DATOS!$B$14*((BF68+BG68)/2)))^2/((DATOS!$B$14*((BF68+BG68)/2))/(DATOS!$B$14+2*((BF68+BG68)/2)))^(4/3)))*(A67-A68)))&lt;0,BG68,((BF68+BG68)/2))</f>
        <v/>
      </c>
      <c r="BJ68" s="16">
        <f>IF((((BH68+BI68)/2)+(C68/(DATOS!$B$14*((BH68+BI68)/2)))^2/(2*9.81)+B68-(E67+(C67/(DATOS!$B$14*E67))^2/(2*9.81)+B67+0.5*(((DATOS!$B$27*C67/(DATOS!$B$14*E67))^2/((DATOS!$B$14*E67)/(DATOS!$B$14+2*E67))^(4/3))+((DATOS!$B$27*C68/(DATOS!$B$14*((BH68+BI68)/2)))^2/((DATOS!$B$14*((BH68+BI68)/2))/(DATOS!$B$14+2*((BH68+BI68)/2)))^(4/3)))*(A67-A68)))&lt;0,((BH68+BI68)/2),BH68)</f>
        <v/>
      </c>
      <c r="BK68" s="16">
        <f>IF((((BH68+BI68)/2)+(C68/(DATOS!$B$14*((BH68+BI68)/2)))^2/(2*9.81)+B68-(E67+(C67/(DATOS!$B$14*E67))^2/(2*9.81)+B67+0.5*(((DATOS!$B$27*C67/(DATOS!$B$14*E67))^2/((DATOS!$B$14*E67)/(DATOS!$B$14+2*E67))^(4/3))+((DATOS!$B$27*C68/(DATOS!$B$14*((BH68+BI68)/2)))^2/((DATOS!$B$14*((BH68+BI68)/2))/(DATOS!$B$14+2*((BH68+BI68)/2)))^(4/3)))*(A67-A68)))&lt;0,BI68,((BH68+BI68)/2))</f>
        <v/>
      </c>
      <c r="BL68" s="16">
        <f>IF((((BJ68+BK68)/2)+(C68/(DATOS!$B$14*((BJ68+BK68)/2)))^2/(2*9.81)+B68-(E67+(C67/(DATOS!$B$14*E67))^2/(2*9.81)+B67+0.5*(((DATOS!$B$27*C67/(DATOS!$B$14*E67))^2/((DATOS!$B$14*E67)/(DATOS!$B$14+2*E67))^(4/3))+((DATOS!$B$27*C68/(DATOS!$B$14*((BJ68+BK68)/2)))^2/((DATOS!$B$14*((BJ68+BK68)/2))/(DATOS!$B$14+2*((BJ68+BK68)/2)))^(4/3)))*(A67-A68)))&lt;0,((BJ68+BK68)/2),BJ68)</f>
        <v/>
      </c>
      <c r="BM68" s="16">
        <f>IF((((BJ68+BK68)/2)+(C68/(DATOS!$B$14*((BJ68+BK68)/2)))^2/(2*9.81)+B68-(E67+(C67/(DATOS!$B$14*E67))^2/(2*9.81)+B67+0.5*(((DATOS!$B$27*C67/(DATOS!$B$14*E67))^2/((DATOS!$B$14*E67)/(DATOS!$B$14+2*E67))^(4/3))+((DATOS!$B$27*C68/(DATOS!$B$14*((BJ68+BK68)/2)))^2/((DATOS!$B$14*((BJ68+BK68)/2))/(DATOS!$B$14+2*((BJ68+BK68)/2)))^(4/3)))*(A67-A68)))&lt;0,BK68,((BJ68+BK68)/2))</f>
        <v/>
      </c>
      <c r="BN68" s="16">
        <f>IF((((BL68+BM68)/2)+(C68/(DATOS!$B$14*((BL68+BM68)/2)))^2/(2*9.81)+B68-(E67+(C67/(DATOS!$B$14*E67))^2/(2*9.81)+B67+0.5*(((DATOS!$B$27*C67/(DATOS!$B$14*E67))^2/((DATOS!$B$14*E67)/(DATOS!$B$14+2*E67))^(4/3))+((DATOS!$B$27*C68/(DATOS!$B$14*((BL68+BM68)/2)))^2/((DATOS!$B$14*((BL68+BM68)/2))/(DATOS!$B$14+2*((BL68+BM68)/2)))^(4/3)))*(A67-A68)))&lt;0,((BL68+BM68)/2),BL68)</f>
        <v/>
      </c>
      <c r="BO68" s="16">
        <f>IF((((BL68+BM68)/2)+(C68/(DATOS!$B$14*((BL68+BM68)/2)))^2/(2*9.81)+B68-(E67+(C67/(DATOS!$B$14*E67))^2/(2*9.81)+B67+0.5*(((DATOS!$B$27*C67/(DATOS!$B$14*E67))^2/((DATOS!$B$14*E67)/(DATOS!$B$14+2*E67))^(4/3))+((DATOS!$B$27*C68/(DATOS!$B$14*((BL68+BM68)/2)))^2/((DATOS!$B$14*((BL68+BM68)/2))/(DATOS!$B$14+2*((BL68+BM68)/2)))^(4/3)))*(A67-A68)))&lt;0,BM68,((BL68+BM68)/2))</f>
        <v/>
      </c>
      <c r="BP68" s="16">
        <f>IF((((BN68+BO68)/2)+(C68/(DATOS!$B$14*((BN68+BO68)/2)))^2/(2*9.81)+B68-(E67+(C67/(DATOS!$B$14*E67))^2/(2*9.81)+B67+0.5*(((DATOS!$B$27*C67/(DATOS!$B$14*E67))^2/((DATOS!$B$14*E67)/(DATOS!$B$14+2*E67))^(4/3))+((DATOS!$B$27*C68/(DATOS!$B$14*((BN68+BO68)/2)))^2/((DATOS!$B$14*((BN68+BO68)/2))/(DATOS!$B$14+2*((BN68+BO68)/2)))^(4/3)))*(A67-A68)))&lt;0,((BN68+BO68)/2),BN68)</f>
        <v/>
      </c>
      <c r="BQ68" s="16">
        <f>IF((((BN68+BO68)/2)+(C68/(DATOS!$B$14*((BN68+BO68)/2)))^2/(2*9.81)+B68-(E67+(C67/(DATOS!$B$14*E67))^2/(2*9.81)+B67+0.5*(((DATOS!$B$27*C67/(DATOS!$B$14*E67))^2/((DATOS!$B$14*E67)/(DATOS!$B$14+2*E67))^(4/3))+((DATOS!$B$27*C68/(DATOS!$B$14*((BN68+BO68)/2)))^2/((DATOS!$B$14*((BN68+BO68)/2))/(DATOS!$B$14+2*((BN68+BO68)/2)))^(4/3)))*(A67-A68)))&lt;0,BO68,((BN68+BO68)/2))</f>
        <v/>
      </c>
      <c r="BR68" s="16">
        <f>IF((((BP68+BQ68)/2)+(C68/(DATOS!$B$14*((BP68+BQ68)/2)))^2/(2*9.81)+B68-(E67+(C67/(DATOS!$B$14*E67))^2/(2*9.81)+B67+0.5*(((DATOS!$B$27*C67/(DATOS!$B$14*E67))^2/((DATOS!$B$14*E67)/(DATOS!$B$14+2*E67))^(4/3))+((DATOS!$B$27*C68/(DATOS!$B$14*((BP68+BQ68)/2)))^2/((DATOS!$B$14*((BP68+BQ68)/2))/(DATOS!$B$14+2*((BP68+BQ68)/2)))^(4/3)))*(A67-A68)))&lt;0,((BP68+BQ68)/2),BP68)</f>
        <v/>
      </c>
      <c r="BS68" s="16">
        <f>IF((((BP68+BQ68)/2)+(C68/(DATOS!$B$14*((BP68+BQ68)/2)))^2/(2*9.81)+B68-(E67+(C67/(DATOS!$B$14*E67))^2/(2*9.81)+B67+0.5*(((DATOS!$B$27*C67/(DATOS!$B$14*E67))^2/((DATOS!$B$14*E67)/(DATOS!$B$14+2*E67))^(4/3))+((DATOS!$B$27*C68/(DATOS!$B$14*((BP68+BQ68)/2)))^2/((DATOS!$B$14*((BP68+BQ68)/2))/(DATOS!$B$14+2*((BP68+BQ68)/2)))^(4/3)))*(A67-A68)))&lt;0,BQ68,((BP68+BQ68)/2))</f>
        <v/>
      </c>
      <c r="BT68" s="16">
        <f>IF((((BR68+BS68)/2)+(C68/(DATOS!$B$14*((BR68+BS68)/2)))^2/(2*9.81)+B68-(E67+(C67/(DATOS!$B$14*E67))^2/(2*9.81)+B67+0.5*(((DATOS!$B$27*C67/(DATOS!$B$14*E67))^2/((DATOS!$B$14*E67)/(DATOS!$B$14+2*E67))^(4/3))+((DATOS!$B$27*C68/(DATOS!$B$14*((BR68+BS68)/2)))^2/((DATOS!$B$14*((BR68+BS68)/2))/(DATOS!$B$14+2*((BR68+BS68)/2)))^(4/3)))*(A67-A68)))&lt;0,((BR68+BS68)/2),BR68)</f>
        <v/>
      </c>
      <c r="BU68" s="16">
        <f>IF((((BR68+BS68)/2)+(C68/(DATOS!$B$14*((BR68+BS68)/2)))^2/(2*9.81)+B68-(E67+(C67/(DATOS!$B$14*E67))^2/(2*9.81)+B67+0.5*(((DATOS!$B$27*C67/(DATOS!$B$14*E67))^2/((DATOS!$B$14*E67)/(DATOS!$B$14+2*E67))^(4/3))+((DATOS!$B$27*C68/(DATOS!$B$14*((BR68+BS68)/2)))^2/((DATOS!$B$14*((BR68+BS68)/2))/(DATOS!$B$14+2*((BR68+BS68)/2)))^(4/3)))*(A67-A68)))&lt;0,BS68,((BR68+BS68)/2))</f>
        <v/>
      </c>
    </row>
    <row r="69">
      <c r="A69" s="30" t="n">
        <v>20</v>
      </c>
      <c r="B69" s="21">
        <f>DATOS!$B$16-DATOS!$B$19*A69</f>
        <v/>
      </c>
      <c r="C69" s="21">
        <f>IF(A69&lt;CAUDALES!$B$13,CAUDALES!$D$12,IF(A69&lt;CAUDALES!$B$14,CAUDALES!$D$13,IF(A69&lt;CAUDALES!$B$15,CAUDALES!$D$14,CAUDALES!$D$15)))/1000</f>
        <v/>
      </c>
      <c r="D69" s="21">
        <f>(C69^2/(9.81*DATOS!$B$14^2))^(1/3)</f>
        <v/>
      </c>
      <c r="E69" s="29">
        <f>(BT69+BU69)/2</f>
        <v/>
      </c>
      <c r="F69" s="21">
        <f>B69+E69</f>
        <v/>
      </c>
      <c r="G69" s="17">
        <f>C69/(DATOS!$B$14*E69)</f>
        <v/>
      </c>
      <c r="H69" s="17">
        <f>G69/SQRT(9.81*E69)</f>
        <v/>
      </c>
      <c r="I69" s="21">
        <f>IF(A69&lt;=DATOS!$B$20,DATOS!$B$21-IF(AND(A69&gt;=DATOS!$B$23,A69&lt;DATOS!$B$24),DATOS!$B$25,DATOS!$B$22),B69+DATOS!$B$26)</f>
        <v/>
      </c>
      <c r="J69" s="17">
        <f>I69-B69</f>
        <v/>
      </c>
      <c r="K69" s="31">
        <f>E69/J69</f>
        <v/>
      </c>
      <c r="L69" s="21">
        <f>I69-F69</f>
        <v/>
      </c>
      <c r="M69" s="32">
        <f>IF(AND(K69&lt;=DATOS!$B$29,L69&gt;=DATOS!$B$30),"CUMPLE","NO CUMPLE")</f>
        <v/>
      </c>
      <c r="N69" s="13">
        <f>IF(A69&gt;DATOS!$B$20,"cubierto - tramo final",IF(AND(A69&gt;=DATOS!$B$23,A69&lt;DATOS!$B$24),"cubierto - camiones","cubierto"))</f>
        <v/>
      </c>
      <c r="P69" s="16">
        <f>D69*1.001</f>
        <v/>
      </c>
      <c r="Q69" s="16" t="n">
        <v>2</v>
      </c>
      <c r="R69" s="16">
        <f>IF((((P69+Q69)/2)+(C69/(DATOS!$B$14*((P69+Q69)/2)))^2/(2*9.81)+B69-(E68+(C68/(DATOS!$B$14*E68))^2/(2*9.81)+B68+0.5*(((DATOS!$B$27*C68/(DATOS!$B$14*E68))^2/((DATOS!$B$14*E68)/(DATOS!$B$14+2*E68))^(4/3))+((DATOS!$B$27*C69/(DATOS!$B$14*((P69+Q69)/2)))^2/((DATOS!$B$14*((P69+Q69)/2))/(DATOS!$B$14+2*((P69+Q69)/2)))^(4/3)))*(A68-A69)))&lt;0,((P69+Q69)/2),P69)</f>
        <v/>
      </c>
      <c r="S69" s="16">
        <f>IF((((P69+Q69)/2)+(C69/(DATOS!$B$14*((P69+Q69)/2)))^2/(2*9.81)+B69-(E68+(C68/(DATOS!$B$14*E68))^2/(2*9.81)+B68+0.5*(((DATOS!$B$27*C68/(DATOS!$B$14*E68))^2/((DATOS!$B$14*E68)/(DATOS!$B$14+2*E68))^(4/3))+((DATOS!$B$27*C69/(DATOS!$B$14*((P69+Q69)/2)))^2/((DATOS!$B$14*((P69+Q69)/2))/(DATOS!$B$14+2*((P69+Q69)/2)))^(4/3)))*(A68-A69)))&lt;0,Q69,((P69+Q69)/2))</f>
        <v/>
      </c>
      <c r="T69" s="16">
        <f>IF((((R69+S69)/2)+(C69/(DATOS!$B$14*((R69+S69)/2)))^2/(2*9.81)+B69-(E68+(C68/(DATOS!$B$14*E68))^2/(2*9.81)+B68+0.5*(((DATOS!$B$27*C68/(DATOS!$B$14*E68))^2/((DATOS!$B$14*E68)/(DATOS!$B$14+2*E68))^(4/3))+((DATOS!$B$27*C69/(DATOS!$B$14*((R69+S69)/2)))^2/((DATOS!$B$14*((R69+S69)/2))/(DATOS!$B$14+2*((R69+S69)/2)))^(4/3)))*(A68-A69)))&lt;0,((R69+S69)/2),R69)</f>
        <v/>
      </c>
      <c r="U69" s="16">
        <f>IF((((R69+S69)/2)+(C69/(DATOS!$B$14*((R69+S69)/2)))^2/(2*9.81)+B69-(E68+(C68/(DATOS!$B$14*E68))^2/(2*9.81)+B68+0.5*(((DATOS!$B$27*C68/(DATOS!$B$14*E68))^2/((DATOS!$B$14*E68)/(DATOS!$B$14+2*E68))^(4/3))+((DATOS!$B$27*C69/(DATOS!$B$14*((R69+S69)/2)))^2/((DATOS!$B$14*((R69+S69)/2))/(DATOS!$B$14+2*((R69+S69)/2)))^(4/3)))*(A68-A69)))&lt;0,S69,((R69+S69)/2))</f>
        <v/>
      </c>
      <c r="V69" s="16">
        <f>IF((((T69+U69)/2)+(C69/(DATOS!$B$14*((T69+U69)/2)))^2/(2*9.81)+B69-(E68+(C68/(DATOS!$B$14*E68))^2/(2*9.81)+B68+0.5*(((DATOS!$B$27*C68/(DATOS!$B$14*E68))^2/((DATOS!$B$14*E68)/(DATOS!$B$14+2*E68))^(4/3))+((DATOS!$B$27*C69/(DATOS!$B$14*((T69+U69)/2)))^2/((DATOS!$B$14*((T69+U69)/2))/(DATOS!$B$14+2*((T69+U69)/2)))^(4/3)))*(A68-A69)))&lt;0,((T69+U69)/2),T69)</f>
        <v/>
      </c>
      <c r="W69" s="16">
        <f>IF((((T69+U69)/2)+(C69/(DATOS!$B$14*((T69+U69)/2)))^2/(2*9.81)+B69-(E68+(C68/(DATOS!$B$14*E68))^2/(2*9.81)+B68+0.5*(((DATOS!$B$27*C68/(DATOS!$B$14*E68))^2/((DATOS!$B$14*E68)/(DATOS!$B$14+2*E68))^(4/3))+((DATOS!$B$27*C69/(DATOS!$B$14*((T69+U69)/2)))^2/((DATOS!$B$14*((T69+U69)/2))/(DATOS!$B$14+2*((T69+U69)/2)))^(4/3)))*(A68-A69)))&lt;0,U69,((T69+U69)/2))</f>
        <v/>
      </c>
      <c r="X69" s="16">
        <f>IF((((V69+W69)/2)+(C69/(DATOS!$B$14*((V69+W69)/2)))^2/(2*9.81)+B69-(E68+(C68/(DATOS!$B$14*E68))^2/(2*9.81)+B68+0.5*(((DATOS!$B$27*C68/(DATOS!$B$14*E68))^2/((DATOS!$B$14*E68)/(DATOS!$B$14+2*E68))^(4/3))+((DATOS!$B$27*C69/(DATOS!$B$14*((V69+W69)/2)))^2/((DATOS!$B$14*((V69+W69)/2))/(DATOS!$B$14+2*((V69+W69)/2)))^(4/3)))*(A68-A69)))&lt;0,((V69+W69)/2),V69)</f>
        <v/>
      </c>
      <c r="Y69" s="16">
        <f>IF((((V69+W69)/2)+(C69/(DATOS!$B$14*((V69+W69)/2)))^2/(2*9.81)+B69-(E68+(C68/(DATOS!$B$14*E68))^2/(2*9.81)+B68+0.5*(((DATOS!$B$27*C68/(DATOS!$B$14*E68))^2/((DATOS!$B$14*E68)/(DATOS!$B$14+2*E68))^(4/3))+((DATOS!$B$27*C69/(DATOS!$B$14*((V69+W69)/2)))^2/((DATOS!$B$14*((V69+W69)/2))/(DATOS!$B$14+2*((V69+W69)/2)))^(4/3)))*(A68-A69)))&lt;0,W69,((V69+W69)/2))</f>
        <v/>
      </c>
      <c r="Z69" s="16">
        <f>IF((((X69+Y69)/2)+(C69/(DATOS!$B$14*((X69+Y69)/2)))^2/(2*9.81)+B69-(E68+(C68/(DATOS!$B$14*E68))^2/(2*9.81)+B68+0.5*(((DATOS!$B$27*C68/(DATOS!$B$14*E68))^2/((DATOS!$B$14*E68)/(DATOS!$B$14+2*E68))^(4/3))+((DATOS!$B$27*C69/(DATOS!$B$14*((X69+Y69)/2)))^2/((DATOS!$B$14*((X69+Y69)/2))/(DATOS!$B$14+2*((X69+Y69)/2)))^(4/3)))*(A68-A69)))&lt;0,((X69+Y69)/2),X69)</f>
        <v/>
      </c>
      <c r="AA69" s="16">
        <f>IF((((X69+Y69)/2)+(C69/(DATOS!$B$14*((X69+Y69)/2)))^2/(2*9.81)+B69-(E68+(C68/(DATOS!$B$14*E68))^2/(2*9.81)+B68+0.5*(((DATOS!$B$27*C68/(DATOS!$B$14*E68))^2/((DATOS!$B$14*E68)/(DATOS!$B$14+2*E68))^(4/3))+((DATOS!$B$27*C69/(DATOS!$B$14*((X69+Y69)/2)))^2/((DATOS!$B$14*((X69+Y69)/2))/(DATOS!$B$14+2*((X69+Y69)/2)))^(4/3)))*(A68-A69)))&lt;0,Y69,((X69+Y69)/2))</f>
        <v/>
      </c>
      <c r="AB69" s="16">
        <f>IF((((Z69+AA69)/2)+(C69/(DATOS!$B$14*((Z69+AA69)/2)))^2/(2*9.81)+B69-(E68+(C68/(DATOS!$B$14*E68))^2/(2*9.81)+B68+0.5*(((DATOS!$B$27*C68/(DATOS!$B$14*E68))^2/((DATOS!$B$14*E68)/(DATOS!$B$14+2*E68))^(4/3))+((DATOS!$B$27*C69/(DATOS!$B$14*((Z69+AA69)/2)))^2/((DATOS!$B$14*((Z69+AA69)/2))/(DATOS!$B$14+2*((Z69+AA69)/2)))^(4/3)))*(A68-A69)))&lt;0,((Z69+AA69)/2),Z69)</f>
        <v/>
      </c>
      <c r="AC69" s="16">
        <f>IF((((Z69+AA69)/2)+(C69/(DATOS!$B$14*((Z69+AA69)/2)))^2/(2*9.81)+B69-(E68+(C68/(DATOS!$B$14*E68))^2/(2*9.81)+B68+0.5*(((DATOS!$B$27*C68/(DATOS!$B$14*E68))^2/((DATOS!$B$14*E68)/(DATOS!$B$14+2*E68))^(4/3))+((DATOS!$B$27*C69/(DATOS!$B$14*((Z69+AA69)/2)))^2/((DATOS!$B$14*((Z69+AA69)/2))/(DATOS!$B$14+2*((Z69+AA69)/2)))^(4/3)))*(A68-A69)))&lt;0,AA69,((Z69+AA69)/2))</f>
        <v/>
      </c>
      <c r="AD69" s="16">
        <f>IF((((AB69+AC69)/2)+(C69/(DATOS!$B$14*((AB69+AC69)/2)))^2/(2*9.81)+B69-(E68+(C68/(DATOS!$B$14*E68))^2/(2*9.81)+B68+0.5*(((DATOS!$B$27*C68/(DATOS!$B$14*E68))^2/((DATOS!$B$14*E68)/(DATOS!$B$14+2*E68))^(4/3))+((DATOS!$B$27*C69/(DATOS!$B$14*((AB69+AC69)/2)))^2/((DATOS!$B$14*((AB69+AC69)/2))/(DATOS!$B$14+2*((AB69+AC69)/2)))^(4/3)))*(A68-A69)))&lt;0,((AB69+AC69)/2),AB69)</f>
        <v/>
      </c>
      <c r="AE69" s="16">
        <f>IF((((AB69+AC69)/2)+(C69/(DATOS!$B$14*((AB69+AC69)/2)))^2/(2*9.81)+B69-(E68+(C68/(DATOS!$B$14*E68))^2/(2*9.81)+B68+0.5*(((DATOS!$B$27*C68/(DATOS!$B$14*E68))^2/((DATOS!$B$14*E68)/(DATOS!$B$14+2*E68))^(4/3))+((DATOS!$B$27*C69/(DATOS!$B$14*((AB69+AC69)/2)))^2/((DATOS!$B$14*((AB69+AC69)/2))/(DATOS!$B$14+2*((AB69+AC69)/2)))^(4/3)))*(A68-A69)))&lt;0,AC69,((AB69+AC69)/2))</f>
        <v/>
      </c>
      <c r="AF69" s="16">
        <f>IF((((AD69+AE69)/2)+(C69/(DATOS!$B$14*((AD69+AE69)/2)))^2/(2*9.81)+B69-(E68+(C68/(DATOS!$B$14*E68))^2/(2*9.81)+B68+0.5*(((DATOS!$B$27*C68/(DATOS!$B$14*E68))^2/((DATOS!$B$14*E68)/(DATOS!$B$14+2*E68))^(4/3))+((DATOS!$B$27*C69/(DATOS!$B$14*((AD69+AE69)/2)))^2/((DATOS!$B$14*((AD69+AE69)/2))/(DATOS!$B$14+2*((AD69+AE69)/2)))^(4/3)))*(A68-A69)))&lt;0,((AD69+AE69)/2),AD69)</f>
        <v/>
      </c>
      <c r="AG69" s="16">
        <f>IF((((AD69+AE69)/2)+(C69/(DATOS!$B$14*((AD69+AE69)/2)))^2/(2*9.81)+B69-(E68+(C68/(DATOS!$B$14*E68))^2/(2*9.81)+B68+0.5*(((DATOS!$B$27*C68/(DATOS!$B$14*E68))^2/((DATOS!$B$14*E68)/(DATOS!$B$14+2*E68))^(4/3))+((DATOS!$B$27*C69/(DATOS!$B$14*((AD69+AE69)/2)))^2/((DATOS!$B$14*((AD69+AE69)/2))/(DATOS!$B$14+2*((AD69+AE69)/2)))^(4/3)))*(A68-A69)))&lt;0,AE69,((AD69+AE69)/2))</f>
        <v/>
      </c>
      <c r="AH69" s="16">
        <f>IF((((AF69+AG69)/2)+(C69/(DATOS!$B$14*((AF69+AG69)/2)))^2/(2*9.81)+B69-(E68+(C68/(DATOS!$B$14*E68))^2/(2*9.81)+B68+0.5*(((DATOS!$B$27*C68/(DATOS!$B$14*E68))^2/((DATOS!$B$14*E68)/(DATOS!$B$14+2*E68))^(4/3))+((DATOS!$B$27*C69/(DATOS!$B$14*((AF69+AG69)/2)))^2/((DATOS!$B$14*((AF69+AG69)/2))/(DATOS!$B$14+2*((AF69+AG69)/2)))^(4/3)))*(A68-A69)))&lt;0,((AF69+AG69)/2),AF69)</f>
        <v/>
      </c>
      <c r="AI69" s="16">
        <f>IF((((AF69+AG69)/2)+(C69/(DATOS!$B$14*((AF69+AG69)/2)))^2/(2*9.81)+B69-(E68+(C68/(DATOS!$B$14*E68))^2/(2*9.81)+B68+0.5*(((DATOS!$B$27*C68/(DATOS!$B$14*E68))^2/((DATOS!$B$14*E68)/(DATOS!$B$14+2*E68))^(4/3))+((DATOS!$B$27*C69/(DATOS!$B$14*((AF69+AG69)/2)))^2/((DATOS!$B$14*((AF69+AG69)/2))/(DATOS!$B$14+2*((AF69+AG69)/2)))^(4/3)))*(A68-A69)))&lt;0,AG69,((AF69+AG69)/2))</f>
        <v/>
      </c>
      <c r="AJ69" s="16">
        <f>IF((((AH69+AI69)/2)+(C69/(DATOS!$B$14*((AH69+AI69)/2)))^2/(2*9.81)+B69-(E68+(C68/(DATOS!$B$14*E68))^2/(2*9.81)+B68+0.5*(((DATOS!$B$27*C68/(DATOS!$B$14*E68))^2/((DATOS!$B$14*E68)/(DATOS!$B$14+2*E68))^(4/3))+((DATOS!$B$27*C69/(DATOS!$B$14*((AH69+AI69)/2)))^2/((DATOS!$B$14*((AH69+AI69)/2))/(DATOS!$B$14+2*((AH69+AI69)/2)))^(4/3)))*(A68-A69)))&lt;0,((AH69+AI69)/2),AH69)</f>
        <v/>
      </c>
      <c r="AK69" s="16">
        <f>IF((((AH69+AI69)/2)+(C69/(DATOS!$B$14*((AH69+AI69)/2)))^2/(2*9.81)+B69-(E68+(C68/(DATOS!$B$14*E68))^2/(2*9.81)+B68+0.5*(((DATOS!$B$27*C68/(DATOS!$B$14*E68))^2/((DATOS!$B$14*E68)/(DATOS!$B$14+2*E68))^(4/3))+((DATOS!$B$27*C69/(DATOS!$B$14*((AH69+AI69)/2)))^2/((DATOS!$B$14*((AH69+AI69)/2))/(DATOS!$B$14+2*((AH69+AI69)/2)))^(4/3)))*(A68-A69)))&lt;0,AI69,((AH69+AI69)/2))</f>
        <v/>
      </c>
      <c r="AL69" s="16">
        <f>IF((((AJ69+AK69)/2)+(C69/(DATOS!$B$14*((AJ69+AK69)/2)))^2/(2*9.81)+B69-(E68+(C68/(DATOS!$B$14*E68))^2/(2*9.81)+B68+0.5*(((DATOS!$B$27*C68/(DATOS!$B$14*E68))^2/((DATOS!$B$14*E68)/(DATOS!$B$14+2*E68))^(4/3))+((DATOS!$B$27*C69/(DATOS!$B$14*((AJ69+AK69)/2)))^2/((DATOS!$B$14*((AJ69+AK69)/2))/(DATOS!$B$14+2*((AJ69+AK69)/2)))^(4/3)))*(A68-A69)))&lt;0,((AJ69+AK69)/2),AJ69)</f>
        <v/>
      </c>
      <c r="AM69" s="16">
        <f>IF((((AJ69+AK69)/2)+(C69/(DATOS!$B$14*((AJ69+AK69)/2)))^2/(2*9.81)+B69-(E68+(C68/(DATOS!$B$14*E68))^2/(2*9.81)+B68+0.5*(((DATOS!$B$27*C68/(DATOS!$B$14*E68))^2/((DATOS!$B$14*E68)/(DATOS!$B$14+2*E68))^(4/3))+((DATOS!$B$27*C69/(DATOS!$B$14*((AJ69+AK69)/2)))^2/((DATOS!$B$14*((AJ69+AK69)/2))/(DATOS!$B$14+2*((AJ69+AK69)/2)))^(4/3)))*(A68-A69)))&lt;0,AK69,((AJ69+AK69)/2))</f>
        <v/>
      </c>
      <c r="AN69" s="16">
        <f>IF((((AL69+AM69)/2)+(C69/(DATOS!$B$14*((AL69+AM69)/2)))^2/(2*9.81)+B69-(E68+(C68/(DATOS!$B$14*E68))^2/(2*9.81)+B68+0.5*(((DATOS!$B$27*C68/(DATOS!$B$14*E68))^2/((DATOS!$B$14*E68)/(DATOS!$B$14+2*E68))^(4/3))+((DATOS!$B$27*C69/(DATOS!$B$14*((AL69+AM69)/2)))^2/((DATOS!$B$14*((AL69+AM69)/2))/(DATOS!$B$14+2*((AL69+AM69)/2)))^(4/3)))*(A68-A69)))&lt;0,((AL69+AM69)/2),AL69)</f>
        <v/>
      </c>
      <c r="AO69" s="16">
        <f>IF((((AL69+AM69)/2)+(C69/(DATOS!$B$14*((AL69+AM69)/2)))^2/(2*9.81)+B69-(E68+(C68/(DATOS!$B$14*E68))^2/(2*9.81)+B68+0.5*(((DATOS!$B$27*C68/(DATOS!$B$14*E68))^2/((DATOS!$B$14*E68)/(DATOS!$B$14+2*E68))^(4/3))+((DATOS!$B$27*C69/(DATOS!$B$14*((AL69+AM69)/2)))^2/((DATOS!$B$14*((AL69+AM69)/2))/(DATOS!$B$14+2*((AL69+AM69)/2)))^(4/3)))*(A68-A69)))&lt;0,AM69,((AL69+AM69)/2))</f>
        <v/>
      </c>
      <c r="AP69" s="16">
        <f>IF((((AN69+AO69)/2)+(C69/(DATOS!$B$14*((AN69+AO69)/2)))^2/(2*9.81)+B69-(E68+(C68/(DATOS!$B$14*E68))^2/(2*9.81)+B68+0.5*(((DATOS!$B$27*C68/(DATOS!$B$14*E68))^2/((DATOS!$B$14*E68)/(DATOS!$B$14+2*E68))^(4/3))+((DATOS!$B$27*C69/(DATOS!$B$14*((AN69+AO69)/2)))^2/((DATOS!$B$14*((AN69+AO69)/2))/(DATOS!$B$14+2*((AN69+AO69)/2)))^(4/3)))*(A68-A69)))&lt;0,((AN69+AO69)/2),AN69)</f>
        <v/>
      </c>
      <c r="AQ69" s="16">
        <f>IF((((AN69+AO69)/2)+(C69/(DATOS!$B$14*((AN69+AO69)/2)))^2/(2*9.81)+B69-(E68+(C68/(DATOS!$B$14*E68))^2/(2*9.81)+B68+0.5*(((DATOS!$B$27*C68/(DATOS!$B$14*E68))^2/((DATOS!$B$14*E68)/(DATOS!$B$14+2*E68))^(4/3))+((DATOS!$B$27*C69/(DATOS!$B$14*((AN69+AO69)/2)))^2/((DATOS!$B$14*((AN69+AO69)/2))/(DATOS!$B$14+2*((AN69+AO69)/2)))^(4/3)))*(A68-A69)))&lt;0,AO69,((AN69+AO69)/2))</f>
        <v/>
      </c>
      <c r="AR69" s="16">
        <f>IF((((AP69+AQ69)/2)+(C69/(DATOS!$B$14*((AP69+AQ69)/2)))^2/(2*9.81)+B69-(E68+(C68/(DATOS!$B$14*E68))^2/(2*9.81)+B68+0.5*(((DATOS!$B$27*C68/(DATOS!$B$14*E68))^2/((DATOS!$B$14*E68)/(DATOS!$B$14+2*E68))^(4/3))+((DATOS!$B$27*C69/(DATOS!$B$14*((AP69+AQ69)/2)))^2/((DATOS!$B$14*((AP69+AQ69)/2))/(DATOS!$B$14+2*((AP69+AQ69)/2)))^(4/3)))*(A68-A69)))&lt;0,((AP69+AQ69)/2),AP69)</f>
        <v/>
      </c>
      <c r="AS69" s="16">
        <f>IF((((AP69+AQ69)/2)+(C69/(DATOS!$B$14*((AP69+AQ69)/2)))^2/(2*9.81)+B69-(E68+(C68/(DATOS!$B$14*E68))^2/(2*9.81)+B68+0.5*(((DATOS!$B$27*C68/(DATOS!$B$14*E68))^2/((DATOS!$B$14*E68)/(DATOS!$B$14+2*E68))^(4/3))+((DATOS!$B$27*C69/(DATOS!$B$14*((AP69+AQ69)/2)))^2/((DATOS!$B$14*((AP69+AQ69)/2))/(DATOS!$B$14+2*((AP69+AQ69)/2)))^(4/3)))*(A68-A69)))&lt;0,AQ69,((AP69+AQ69)/2))</f>
        <v/>
      </c>
      <c r="AT69" s="16">
        <f>IF((((AR69+AS69)/2)+(C69/(DATOS!$B$14*((AR69+AS69)/2)))^2/(2*9.81)+B69-(E68+(C68/(DATOS!$B$14*E68))^2/(2*9.81)+B68+0.5*(((DATOS!$B$27*C68/(DATOS!$B$14*E68))^2/((DATOS!$B$14*E68)/(DATOS!$B$14+2*E68))^(4/3))+((DATOS!$B$27*C69/(DATOS!$B$14*((AR69+AS69)/2)))^2/((DATOS!$B$14*((AR69+AS69)/2))/(DATOS!$B$14+2*((AR69+AS69)/2)))^(4/3)))*(A68-A69)))&lt;0,((AR69+AS69)/2),AR69)</f>
        <v/>
      </c>
      <c r="AU69" s="16">
        <f>IF((((AR69+AS69)/2)+(C69/(DATOS!$B$14*((AR69+AS69)/2)))^2/(2*9.81)+B69-(E68+(C68/(DATOS!$B$14*E68))^2/(2*9.81)+B68+0.5*(((DATOS!$B$27*C68/(DATOS!$B$14*E68))^2/((DATOS!$B$14*E68)/(DATOS!$B$14+2*E68))^(4/3))+((DATOS!$B$27*C69/(DATOS!$B$14*((AR69+AS69)/2)))^2/((DATOS!$B$14*((AR69+AS69)/2))/(DATOS!$B$14+2*((AR69+AS69)/2)))^(4/3)))*(A68-A69)))&lt;0,AS69,((AR69+AS69)/2))</f>
        <v/>
      </c>
      <c r="AV69" s="16">
        <f>IF((((AT69+AU69)/2)+(C69/(DATOS!$B$14*((AT69+AU69)/2)))^2/(2*9.81)+B69-(E68+(C68/(DATOS!$B$14*E68))^2/(2*9.81)+B68+0.5*(((DATOS!$B$27*C68/(DATOS!$B$14*E68))^2/((DATOS!$B$14*E68)/(DATOS!$B$14+2*E68))^(4/3))+((DATOS!$B$27*C69/(DATOS!$B$14*((AT69+AU69)/2)))^2/((DATOS!$B$14*((AT69+AU69)/2))/(DATOS!$B$14+2*((AT69+AU69)/2)))^(4/3)))*(A68-A69)))&lt;0,((AT69+AU69)/2),AT69)</f>
        <v/>
      </c>
      <c r="AW69" s="16">
        <f>IF((((AT69+AU69)/2)+(C69/(DATOS!$B$14*((AT69+AU69)/2)))^2/(2*9.81)+B69-(E68+(C68/(DATOS!$B$14*E68))^2/(2*9.81)+B68+0.5*(((DATOS!$B$27*C68/(DATOS!$B$14*E68))^2/((DATOS!$B$14*E68)/(DATOS!$B$14+2*E68))^(4/3))+((DATOS!$B$27*C69/(DATOS!$B$14*((AT69+AU69)/2)))^2/((DATOS!$B$14*((AT69+AU69)/2))/(DATOS!$B$14+2*((AT69+AU69)/2)))^(4/3)))*(A68-A69)))&lt;0,AU69,((AT69+AU69)/2))</f>
        <v/>
      </c>
      <c r="AX69" s="16">
        <f>IF((((AV69+AW69)/2)+(C69/(DATOS!$B$14*((AV69+AW69)/2)))^2/(2*9.81)+B69-(E68+(C68/(DATOS!$B$14*E68))^2/(2*9.81)+B68+0.5*(((DATOS!$B$27*C68/(DATOS!$B$14*E68))^2/((DATOS!$B$14*E68)/(DATOS!$B$14+2*E68))^(4/3))+((DATOS!$B$27*C69/(DATOS!$B$14*((AV69+AW69)/2)))^2/((DATOS!$B$14*((AV69+AW69)/2))/(DATOS!$B$14+2*((AV69+AW69)/2)))^(4/3)))*(A68-A69)))&lt;0,((AV69+AW69)/2),AV69)</f>
        <v/>
      </c>
      <c r="AY69" s="16">
        <f>IF((((AV69+AW69)/2)+(C69/(DATOS!$B$14*((AV69+AW69)/2)))^2/(2*9.81)+B69-(E68+(C68/(DATOS!$B$14*E68))^2/(2*9.81)+B68+0.5*(((DATOS!$B$27*C68/(DATOS!$B$14*E68))^2/((DATOS!$B$14*E68)/(DATOS!$B$14+2*E68))^(4/3))+((DATOS!$B$27*C69/(DATOS!$B$14*((AV69+AW69)/2)))^2/((DATOS!$B$14*((AV69+AW69)/2))/(DATOS!$B$14+2*((AV69+AW69)/2)))^(4/3)))*(A68-A69)))&lt;0,AW69,((AV69+AW69)/2))</f>
        <v/>
      </c>
      <c r="AZ69" s="16">
        <f>IF((((AX69+AY69)/2)+(C69/(DATOS!$B$14*((AX69+AY69)/2)))^2/(2*9.81)+B69-(E68+(C68/(DATOS!$B$14*E68))^2/(2*9.81)+B68+0.5*(((DATOS!$B$27*C68/(DATOS!$B$14*E68))^2/((DATOS!$B$14*E68)/(DATOS!$B$14+2*E68))^(4/3))+((DATOS!$B$27*C69/(DATOS!$B$14*((AX69+AY69)/2)))^2/((DATOS!$B$14*((AX69+AY69)/2))/(DATOS!$B$14+2*((AX69+AY69)/2)))^(4/3)))*(A68-A69)))&lt;0,((AX69+AY69)/2),AX69)</f>
        <v/>
      </c>
      <c r="BA69" s="16">
        <f>IF((((AX69+AY69)/2)+(C69/(DATOS!$B$14*((AX69+AY69)/2)))^2/(2*9.81)+B69-(E68+(C68/(DATOS!$B$14*E68))^2/(2*9.81)+B68+0.5*(((DATOS!$B$27*C68/(DATOS!$B$14*E68))^2/((DATOS!$B$14*E68)/(DATOS!$B$14+2*E68))^(4/3))+((DATOS!$B$27*C69/(DATOS!$B$14*((AX69+AY69)/2)))^2/((DATOS!$B$14*((AX69+AY69)/2))/(DATOS!$B$14+2*((AX69+AY69)/2)))^(4/3)))*(A68-A69)))&lt;0,AY69,((AX69+AY69)/2))</f>
        <v/>
      </c>
      <c r="BB69" s="16">
        <f>IF((((AZ69+BA69)/2)+(C69/(DATOS!$B$14*((AZ69+BA69)/2)))^2/(2*9.81)+B69-(E68+(C68/(DATOS!$B$14*E68))^2/(2*9.81)+B68+0.5*(((DATOS!$B$27*C68/(DATOS!$B$14*E68))^2/((DATOS!$B$14*E68)/(DATOS!$B$14+2*E68))^(4/3))+((DATOS!$B$27*C69/(DATOS!$B$14*((AZ69+BA69)/2)))^2/((DATOS!$B$14*((AZ69+BA69)/2))/(DATOS!$B$14+2*((AZ69+BA69)/2)))^(4/3)))*(A68-A69)))&lt;0,((AZ69+BA69)/2),AZ69)</f>
        <v/>
      </c>
      <c r="BC69" s="16">
        <f>IF((((AZ69+BA69)/2)+(C69/(DATOS!$B$14*((AZ69+BA69)/2)))^2/(2*9.81)+B69-(E68+(C68/(DATOS!$B$14*E68))^2/(2*9.81)+B68+0.5*(((DATOS!$B$27*C68/(DATOS!$B$14*E68))^2/((DATOS!$B$14*E68)/(DATOS!$B$14+2*E68))^(4/3))+((DATOS!$B$27*C69/(DATOS!$B$14*((AZ69+BA69)/2)))^2/((DATOS!$B$14*((AZ69+BA69)/2))/(DATOS!$B$14+2*((AZ69+BA69)/2)))^(4/3)))*(A68-A69)))&lt;0,BA69,((AZ69+BA69)/2))</f>
        <v/>
      </c>
      <c r="BD69" s="16">
        <f>IF((((BB69+BC69)/2)+(C69/(DATOS!$B$14*((BB69+BC69)/2)))^2/(2*9.81)+B69-(E68+(C68/(DATOS!$B$14*E68))^2/(2*9.81)+B68+0.5*(((DATOS!$B$27*C68/(DATOS!$B$14*E68))^2/((DATOS!$B$14*E68)/(DATOS!$B$14+2*E68))^(4/3))+((DATOS!$B$27*C69/(DATOS!$B$14*((BB69+BC69)/2)))^2/((DATOS!$B$14*((BB69+BC69)/2))/(DATOS!$B$14+2*((BB69+BC69)/2)))^(4/3)))*(A68-A69)))&lt;0,((BB69+BC69)/2),BB69)</f>
        <v/>
      </c>
      <c r="BE69" s="16">
        <f>IF((((BB69+BC69)/2)+(C69/(DATOS!$B$14*((BB69+BC69)/2)))^2/(2*9.81)+B69-(E68+(C68/(DATOS!$B$14*E68))^2/(2*9.81)+B68+0.5*(((DATOS!$B$27*C68/(DATOS!$B$14*E68))^2/((DATOS!$B$14*E68)/(DATOS!$B$14+2*E68))^(4/3))+((DATOS!$B$27*C69/(DATOS!$B$14*((BB69+BC69)/2)))^2/((DATOS!$B$14*((BB69+BC69)/2))/(DATOS!$B$14+2*((BB69+BC69)/2)))^(4/3)))*(A68-A69)))&lt;0,BC69,((BB69+BC69)/2))</f>
        <v/>
      </c>
      <c r="BF69" s="16">
        <f>IF((((BD69+BE69)/2)+(C69/(DATOS!$B$14*((BD69+BE69)/2)))^2/(2*9.81)+B69-(E68+(C68/(DATOS!$B$14*E68))^2/(2*9.81)+B68+0.5*(((DATOS!$B$27*C68/(DATOS!$B$14*E68))^2/((DATOS!$B$14*E68)/(DATOS!$B$14+2*E68))^(4/3))+((DATOS!$B$27*C69/(DATOS!$B$14*((BD69+BE69)/2)))^2/((DATOS!$B$14*((BD69+BE69)/2))/(DATOS!$B$14+2*((BD69+BE69)/2)))^(4/3)))*(A68-A69)))&lt;0,((BD69+BE69)/2),BD69)</f>
        <v/>
      </c>
      <c r="BG69" s="16">
        <f>IF((((BD69+BE69)/2)+(C69/(DATOS!$B$14*((BD69+BE69)/2)))^2/(2*9.81)+B69-(E68+(C68/(DATOS!$B$14*E68))^2/(2*9.81)+B68+0.5*(((DATOS!$B$27*C68/(DATOS!$B$14*E68))^2/((DATOS!$B$14*E68)/(DATOS!$B$14+2*E68))^(4/3))+((DATOS!$B$27*C69/(DATOS!$B$14*((BD69+BE69)/2)))^2/((DATOS!$B$14*((BD69+BE69)/2))/(DATOS!$B$14+2*((BD69+BE69)/2)))^(4/3)))*(A68-A69)))&lt;0,BE69,((BD69+BE69)/2))</f>
        <v/>
      </c>
      <c r="BH69" s="16">
        <f>IF((((BF69+BG69)/2)+(C69/(DATOS!$B$14*((BF69+BG69)/2)))^2/(2*9.81)+B69-(E68+(C68/(DATOS!$B$14*E68))^2/(2*9.81)+B68+0.5*(((DATOS!$B$27*C68/(DATOS!$B$14*E68))^2/((DATOS!$B$14*E68)/(DATOS!$B$14+2*E68))^(4/3))+((DATOS!$B$27*C69/(DATOS!$B$14*((BF69+BG69)/2)))^2/((DATOS!$B$14*((BF69+BG69)/2))/(DATOS!$B$14+2*((BF69+BG69)/2)))^(4/3)))*(A68-A69)))&lt;0,((BF69+BG69)/2),BF69)</f>
        <v/>
      </c>
      <c r="BI69" s="16">
        <f>IF((((BF69+BG69)/2)+(C69/(DATOS!$B$14*((BF69+BG69)/2)))^2/(2*9.81)+B69-(E68+(C68/(DATOS!$B$14*E68))^2/(2*9.81)+B68+0.5*(((DATOS!$B$27*C68/(DATOS!$B$14*E68))^2/((DATOS!$B$14*E68)/(DATOS!$B$14+2*E68))^(4/3))+((DATOS!$B$27*C69/(DATOS!$B$14*((BF69+BG69)/2)))^2/((DATOS!$B$14*((BF69+BG69)/2))/(DATOS!$B$14+2*((BF69+BG69)/2)))^(4/3)))*(A68-A69)))&lt;0,BG69,((BF69+BG69)/2))</f>
        <v/>
      </c>
      <c r="BJ69" s="16">
        <f>IF((((BH69+BI69)/2)+(C69/(DATOS!$B$14*((BH69+BI69)/2)))^2/(2*9.81)+B69-(E68+(C68/(DATOS!$B$14*E68))^2/(2*9.81)+B68+0.5*(((DATOS!$B$27*C68/(DATOS!$B$14*E68))^2/((DATOS!$B$14*E68)/(DATOS!$B$14+2*E68))^(4/3))+((DATOS!$B$27*C69/(DATOS!$B$14*((BH69+BI69)/2)))^2/((DATOS!$B$14*((BH69+BI69)/2))/(DATOS!$B$14+2*((BH69+BI69)/2)))^(4/3)))*(A68-A69)))&lt;0,((BH69+BI69)/2),BH69)</f>
        <v/>
      </c>
      <c r="BK69" s="16">
        <f>IF((((BH69+BI69)/2)+(C69/(DATOS!$B$14*((BH69+BI69)/2)))^2/(2*9.81)+B69-(E68+(C68/(DATOS!$B$14*E68))^2/(2*9.81)+B68+0.5*(((DATOS!$B$27*C68/(DATOS!$B$14*E68))^2/((DATOS!$B$14*E68)/(DATOS!$B$14+2*E68))^(4/3))+((DATOS!$B$27*C69/(DATOS!$B$14*((BH69+BI69)/2)))^2/((DATOS!$B$14*((BH69+BI69)/2))/(DATOS!$B$14+2*((BH69+BI69)/2)))^(4/3)))*(A68-A69)))&lt;0,BI69,((BH69+BI69)/2))</f>
        <v/>
      </c>
      <c r="BL69" s="16">
        <f>IF((((BJ69+BK69)/2)+(C69/(DATOS!$B$14*((BJ69+BK69)/2)))^2/(2*9.81)+B69-(E68+(C68/(DATOS!$B$14*E68))^2/(2*9.81)+B68+0.5*(((DATOS!$B$27*C68/(DATOS!$B$14*E68))^2/((DATOS!$B$14*E68)/(DATOS!$B$14+2*E68))^(4/3))+((DATOS!$B$27*C69/(DATOS!$B$14*((BJ69+BK69)/2)))^2/((DATOS!$B$14*((BJ69+BK69)/2))/(DATOS!$B$14+2*((BJ69+BK69)/2)))^(4/3)))*(A68-A69)))&lt;0,((BJ69+BK69)/2),BJ69)</f>
        <v/>
      </c>
      <c r="BM69" s="16">
        <f>IF((((BJ69+BK69)/2)+(C69/(DATOS!$B$14*((BJ69+BK69)/2)))^2/(2*9.81)+B69-(E68+(C68/(DATOS!$B$14*E68))^2/(2*9.81)+B68+0.5*(((DATOS!$B$27*C68/(DATOS!$B$14*E68))^2/((DATOS!$B$14*E68)/(DATOS!$B$14+2*E68))^(4/3))+((DATOS!$B$27*C69/(DATOS!$B$14*((BJ69+BK69)/2)))^2/((DATOS!$B$14*((BJ69+BK69)/2))/(DATOS!$B$14+2*((BJ69+BK69)/2)))^(4/3)))*(A68-A69)))&lt;0,BK69,((BJ69+BK69)/2))</f>
        <v/>
      </c>
      <c r="BN69" s="16">
        <f>IF((((BL69+BM69)/2)+(C69/(DATOS!$B$14*((BL69+BM69)/2)))^2/(2*9.81)+B69-(E68+(C68/(DATOS!$B$14*E68))^2/(2*9.81)+B68+0.5*(((DATOS!$B$27*C68/(DATOS!$B$14*E68))^2/((DATOS!$B$14*E68)/(DATOS!$B$14+2*E68))^(4/3))+((DATOS!$B$27*C69/(DATOS!$B$14*((BL69+BM69)/2)))^2/((DATOS!$B$14*((BL69+BM69)/2))/(DATOS!$B$14+2*((BL69+BM69)/2)))^(4/3)))*(A68-A69)))&lt;0,((BL69+BM69)/2),BL69)</f>
        <v/>
      </c>
      <c r="BO69" s="16">
        <f>IF((((BL69+BM69)/2)+(C69/(DATOS!$B$14*((BL69+BM69)/2)))^2/(2*9.81)+B69-(E68+(C68/(DATOS!$B$14*E68))^2/(2*9.81)+B68+0.5*(((DATOS!$B$27*C68/(DATOS!$B$14*E68))^2/((DATOS!$B$14*E68)/(DATOS!$B$14+2*E68))^(4/3))+((DATOS!$B$27*C69/(DATOS!$B$14*((BL69+BM69)/2)))^2/((DATOS!$B$14*((BL69+BM69)/2))/(DATOS!$B$14+2*((BL69+BM69)/2)))^(4/3)))*(A68-A69)))&lt;0,BM69,((BL69+BM69)/2))</f>
        <v/>
      </c>
      <c r="BP69" s="16">
        <f>IF((((BN69+BO69)/2)+(C69/(DATOS!$B$14*((BN69+BO69)/2)))^2/(2*9.81)+B69-(E68+(C68/(DATOS!$B$14*E68))^2/(2*9.81)+B68+0.5*(((DATOS!$B$27*C68/(DATOS!$B$14*E68))^2/((DATOS!$B$14*E68)/(DATOS!$B$14+2*E68))^(4/3))+((DATOS!$B$27*C69/(DATOS!$B$14*((BN69+BO69)/2)))^2/((DATOS!$B$14*((BN69+BO69)/2))/(DATOS!$B$14+2*((BN69+BO69)/2)))^(4/3)))*(A68-A69)))&lt;0,((BN69+BO69)/2),BN69)</f>
        <v/>
      </c>
      <c r="BQ69" s="16">
        <f>IF((((BN69+BO69)/2)+(C69/(DATOS!$B$14*((BN69+BO69)/2)))^2/(2*9.81)+B69-(E68+(C68/(DATOS!$B$14*E68))^2/(2*9.81)+B68+0.5*(((DATOS!$B$27*C68/(DATOS!$B$14*E68))^2/((DATOS!$B$14*E68)/(DATOS!$B$14+2*E68))^(4/3))+((DATOS!$B$27*C69/(DATOS!$B$14*((BN69+BO69)/2)))^2/((DATOS!$B$14*((BN69+BO69)/2))/(DATOS!$B$14+2*((BN69+BO69)/2)))^(4/3)))*(A68-A69)))&lt;0,BO69,((BN69+BO69)/2))</f>
        <v/>
      </c>
      <c r="BR69" s="16">
        <f>IF((((BP69+BQ69)/2)+(C69/(DATOS!$B$14*((BP69+BQ69)/2)))^2/(2*9.81)+B69-(E68+(C68/(DATOS!$B$14*E68))^2/(2*9.81)+B68+0.5*(((DATOS!$B$27*C68/(DATOS!$B$14*E68))^2/((DATOS!$B$14*E68)/(DATOS!$B$14+2*E68))^(4/3))+((DATOS!$B$27*C69/(DATOS!$B$14*((BP69+BQ69)/2)))^2/((DATOS!$B$14*((BP69+BQ69)/2))/(DATOS!$B$14+2*((BP69+BQ69)/2)))^(4/3)))*(A68-A69)))&lt;0,((BP69+BQ69)/2),BP69)</f>
        <v/>
      </c>
      <c r="BS69" s="16">
        <f>IF((((BP69+BQ69)/2)+(C69/(DATOS!$B$14*((BP69+BQ69)/2)))^2/(2*9.81)+B69-(E68+(C68/(DATOS!$B$14*E68))^2/(2*9.81)+B68+0.5*(((DATOS!$B$27*C68/(DATOS!$B$14*E68))^2/((DATOS!$B$14*E68)/(DATOS!$B$14+2*E68))^(4/3))+((DATOS!$B$27*C69/(DATOS!$B$14*((BP69+BQ69)/2)))^2/((DATOS!$B$14*((BP69+BQ69)/2))/(DATOS!$B$14+2*((BP69+BQ69)/2)))^(4/3)))*(A68-A69)))&lt;0,BQ69,((BP69+BQ69)/2))</f>
        <v/>
      </c>
      <c r="BT69" s="16">
        <f>IF((((BR69+BS69)/2)+(C69/(DATOS!$B$14*((BR69+BS69)/2)))^2/(2*9.81)+B69-(E68+(C68/(DATOS!$B$14*E68))^2/(2*9.81)+B68+0.5*(((DATOS!$B$27*C68/(DATOS!$B$14*E68))^2/((DATOS!$B$14*E68)/(DATOS!$B$14+2*E68))^(4/3))+((DATOS!$B$27*C69/(DATOS!$B$14*((BR69+BS69)/2)))^2/((DATOS!$B$14*((BR69+BS69)/2))/(DATOS!$B$14+2*((BR69+BS69)/2)))^(4/3)))*(A68-A69)))&lt;0,((BR69+BS69)/2),BR69)</f>
        <v/>
      </c>
      <c r="BU69" s="16">
        <f>IF((((BR69+BS69)/2)+(C69/(DATOS!$B$14*((BR69+BS69)/2)))^2/(2*9.81)+B69-(E68+(C68/(DATOS!$B$14*E68))^2/(2*9.81)+B68+0.5*(((DATOS!$B$27*C68/(DATOS!$B$14*E68))^2/((DATOS!$B$14*E68)/(DATOS!$B$14+2*E68))^(4/3))+((DATOS!$B$27*C69/(DATOS!$B$14*((BR69+BS69)/2)))^2/((DATOS!$B$14*((BR69+BS69)/2))/(DATOS!$B$14+2*((BR69+BS69)/2)))^(4/3)))*(A68-A69)))&lt;0,BS69,((BR69+BS69)/2))</f>
        <v/>
      </c>
    </row>
    <row r="70">
      <c r="A70" s="30" t="n">
        <v>18</v>
      </c>
      <c r="B70" s="21">
        <f>DATOS!$B$16-DATOS!$B$19*A70</f>
        <v/>
      </c>
      <c r="C70" s="21">
        <f>IF(A70&lt;CAUDALES!$B$13,CAUDALES!$D$12,IF(A70&lt;CAUDALES!$B$14,CAUDALES!$D$13,IF(A70&lt;CAUDALES!$B$15,CAUDALES!$D$14,CAUDALES!$D$15)))/1000</f>
        <v/>
      </c>
      <c r="D70" s="21">
        <f>(C70^2/(9.81*DATOS!$B$14^2))^(1/3)</f>
        <v/>
      </c>
      <c r="E70" s="29">
        <f>(BT70+BU70)/2</f>
        <v/>
      </c>
      <c r="F70" s="21">
        <f>B70+E70</f>
        <v/>
      </c>
      <c r="G70" s="17">
        <f>C70/(DATOS!$B$14*E70)</f>
        <v/>
      </c>
      <c r="H70" s="17">
        <f>G70/SQRT(9.81*E70)</f>
        <v/>
      </c>
      <c r="I70" s="21">
        <f>IF(A70&lt;=DATOS!$B$20,DATOS!$B$21-IF(AND(A70&gt;=DATOS!$B$23,A70&lt;DATOS!$B$24),DATOS!$B$25,DATOS!$B$22),B70+DATOS!$B$26)</f>
        <v/>
      </c>
      <c r="J70" s="17">
        <f>I70-B70</f>
        <v/>
      </c>
      <c r="K70" s="31">
        <f>E70/J70</f>
        <v/>
      </c>
      <c r="L70" s="21">
        <f>I70-F70</f>
        <v/>
      </c>
      <c r="M70" s="32">
        <f>IF(AND(K70&lt;=DATOS!$B$29,L70&gt;=DATOS!$B$30),"CUMPLE","NO CUMPLE")</f>
        <v/>
      </c>
      <c r="N70" s="13">
        <f>IF(A70&gt;DATOS!$B$20,"cubierto - tramo final",IF(AND(A70&gt;=DATOS!$B$23,A70&lt;DATOS!$B$24),"cubierto - camiones","cubierto"))</f>
        <v/>
      </c>
      <c r="P70" s="16">
        <f>D70*1.001</f>
        <v/>
      </c>
      <c r="Q70" s="16" t="n">
        <v>2</v>
      </c>
      <c r="R70" s="16">
        <f>IF((((P70+Q70)/2)+(C70/(DATOS!$B$14*((P70+Q70)/2)))^2/(2*9.81)+B70-(E69+(C69/(DATOS!$B$14*E69))^2/(2*9.81)+B69+0.5*(((DATOS!$B$27*C69/(DATOS!$B$14*E69))^2/((DATOS!$B$14*E69)/(DATOS!$B$14+2*E69))^(4/3))+((DATOS!$B$27*C70/(DATOS!$B$14*((P70+Q70)/2)))^2/((DATOS!$B$14*((P70+Q70)/2))/(DATOS!$B$14+2*((P70+Q70)/2)))^(4/3)))*(A69-A70)))&lt;0,((P70+Q70)/2),P70)</f>
        <v/>
      </c>
      <c r="S70" s="16">
        <f>IF((((P70+Q70)/2)+(C70/(DATOS!$B$14*((P70+Q70)/2)))^2/(2*9.81)+B70-(E69+(C69/(DATOS!$B$14*E69))^2/(2*9.81)+B69+0.5*(((DATOS!$B$27*C69/(DATOS!$B$14*E69))^2/((DATOS!$B$14*E69)/(DATOS!$B$14+2*E69))^(4/3))+((DATOS!$B$27*C70/(DATOS!$B$14*((P70+Q70)/2)))^2/((DATOS!$B$14*((P70+Q70)/2))/(DATOS!$B$14+2*((P70+Q70)/2)))^(4/3)))*(A69-A70)))&lt;0,Q70,((P70+Q70)/2))</f>
        <v/>
      </c>
      <c r="T70" s="16">
        <f>IF((((R70+S70)/2)+(C70/(DATOS!$B$14*((R70+S70)/2)))^2/(2*9.81)+B70-(E69+(C69/(DATOS!$B$14*E69))^2/(2*9.81)+B69+0.5*(((DATOS!$B$27*C69/(DATOS!$B$14*E69))^2/((DATOS!$B$14*E69)/(DATOS!$B$14+2*E69))^(4/3))+((DATOS!$B$27*C70/(DATOS!$B$14*((R70+S70)/2)))^2/((DATOS!$B$14*((R70+S70)/2))/(DATOS!$B$14+2*((R70+S70)/2)))^(4/3)))*(A69-A70)))&lt;0,((R70+S70)/2),R70)</f>
        <v/>
      </c>
      <c r="U70" s="16">
        <f>IF((((R70+S70)/2)+(C70/(DATOS!$B$14*((R70+S70)/2)))^2/(2*9.81)+B70-(E69+(C69/(DATOS!$B$14*E69))^2/(2*9.81)+B69+0.5*(((DATOS!$B$27*C69/(DATOS!$B$14*E69))^2/((DATOS!$B$14*E69)/(DATOS!$B$14+2*E69))^(4/3))+((DATOS!$B$27*C70/(DATOS!$B$14*((R70+S70)/2)))^2/((DATOS!$B$14*((R70+S70)/2))/(DATOS!$B$14+2*((R70+S70)/2)))^(4/3)))*(A69-A70)))&lt;0,S70,((R70+S70)/2))</f>
        <v/>
      </c>
      <c r="V70" s="16">
        <f>IF((((T70+U70)/2)+(C70/(DATOS!$B$14*((T70+U70)/2)))^2/(2*9.81)+B70-(E69+(C69/(DATOS!$B$14*E69))^2/(2*9.81)+B69+0.5*(((DATOS!$B$27*C69/(DATOS!$B$14*E69))^2/((DATOS!$B$14*E69)/(DATOS!$B$14+2*E69))^(4/3))+((DATOS!$B$27*C70/(DATOS!$B$14*((T70+U70)/2)))^2/((DATOS!$B$14*((T70+U70)/2))/(DATOS!$B$14+2*((T70+U70)/2)))^(4/3)))*(A69-A70)))&lt;0,((T70+U70)/2),T70)</f>
        <v/>
      </c>
      <c r="W70" s="16">
        <f>IF((((T70+U70)/2)+(C70/(DATOS!$B$14*((T70+U70)/2)))^2/(2*9.81)+B70-(E69+(C69/(DATOS!$B$14*E69))^2/(2*9.81)+B69+0.5*(((DATOS!$B$27*C69/(DATOS!$B$14*E69))^2/((DATOS!$B$14*E69)/(DATOS!$B$14+2*E69))^(4/3))+((DATOS!$B$27*C70/(DATOS!$B$14*((T70+U70)/2)))^2/((DATOS!$B$14*((T70+U70)/2))/(DATOS!$B$14+2*((T70+U70)/2)))^(4/3)))*(A69-A70)))&lt;0,U70,((T70+U70)/2))</f>
        <v/>
      </c>
      <c r="X70" s="16">
        <f>IF((((V70+W70)/2)+(C70/(DATOS!$B$14*((V70+W70)/2)))^2/(2*9.81)+B70-(E69+(C69/(DATOS!$B$14*E69))^2/(2*9.81)+B69+0.5*(((DATOS!$B$27*C69/(DATOS!$B$14*E69))^2/((DATOS!$B$14*E69)/(DATOS!$B$14+2*E69))^(4/3))+((DATOS!$B$27*C70/(DATOS!$B$14*((V70+W70)/2)))^2/((DATOS!$B$14*((V70+W70)/2))/(DATOS!$B$14+2*((V70+W70)/2)))^(4/3)))*(A69-A70)))&lt;0,((V70+W70)/2),V70)</f>
        <v/>
      </c>
      <c r="Y70" s="16">
        <f>IF((((V70+W70)/2)+(C70/(DATOS!$B$14*((V70+W70)/2)))^2/(2*9.81)+B70-(E69+(C69/(DATOS!$B$14*E69))^2/(2*9.81)+B69+0.5*(((DATOS!$B$27*C69/(DATOS!$B$14*E69))^2/((DATOS!$B$14*E69)/(DATOS!$B$14+2*E69))^(4/3))+((DATOS!$B$27*C70/(DATOS!$B$14*((V70+W70)/2)))^2/((DATOS!$B$14*((V70+W70)/2))/(DATOS!$B$14+2*((V70+W70)/2)))^(4/3)))*(A69-A70)))&lt;0,W70,((V70+W70)/2))</f>
        <v/>
      </c>
      <c r="Z70" s="16">
        <f>IF((((X70+Y70)/2)+(C70/(DATOS!$B$14*((X70+Y70)/2)))^2/(2*9.81)+B70-(E69+(C69/(DATOS!$B$14*E69))^2/(2*9.81)+B69+0.5*(((DATOS!$B$27*C69/(DATOS!$B$14*E69))^2/((DATOS!$B$14*E69)/(DATOS!$B$14+2*E69))^(4/3))+((DATOS!$B$27*C70/(DATOS!$B$14*((X70+Y70)/2)))^2/((DATOS!$B$14*((X70+Y70)/2))/(DATOS!$B$14+2*((X70+Y70)/2)))^(4/3)))*(A69-A70)))&lt;0,((X70+Y70)/2),X70)</f>
        <v/>
      </c>
      <c r="AA70" s="16">
        <f>IF((((X70+Y70)/2)+(C70/(DATOS!$B$14*((X70+Y70)/2)))^2/(2*9.81)+B70-(E69+(C69/(DATOS!$B$14*E69))^2/(2*9.81)+B69+0.5*(((DATOS!$B$27*C69/(DATOS!$B$14*E69))^2/((DATOS!$B$14*E69)/(DATOS!$B$14+2*E69))^(4/3))+((DATOS!$B$27*C70/(DATOS!$B$14*((X70+Y70)/2)))^2/((DATOS!$B$14*((X70+Y70)/2))/(DATOS!$B$14+2*((X70+Y70)/2)))^(4/3)))*(A69-A70)))&lt;0,Y70,((X70+Y70)/2))</f>
        <v/>
      </c>
      <c r="AB70" s="16">
        <f>IF((((Z70+AA70)/2)+(C70/(DATOS!$B$14*((Z70+AA70)/2)))^2/(2*9.81)+B70-(E69+(C69/(DATOS!$B$14*E69))^2/(2*9.81)+B69+0.5*(((DATOS!$B$27*C69/(DATOS!$B$14*E69))^2/((DATOS!$B$14*E69)/(DATOS!$B$14+2*E69))^(4/3))+((DATOS!$B$27*C70/(DATOS!$B$14*((Z70+AA70)/2)))^2/((DATOS!$B$14*((Z70+AA70)/2))/(DATOS!$B$14+2*((Z70+AA70)/2)))^(4/3)))*(A69-A70)))&lt;0,((Z70+AA70)/2),Z70)</f>
        <v/>
      </c>
      <c r="AC70" s="16">
        <f>IF((((Z70+AA70)/2)+(C70/(DATOS!$B$14*((Z70+AA70)/2)))^2/(2*9.81)+B70-(E69+(C69/(DATOS!$B$14*E69))^2/(2*9.81)+B69+0.5*(((DATOS!$B$27*C69/(DATOS!$B$14*E69))^2/((DATOS!$B$14*E69)/(DATOS!$B$14+2*E69))^(4/3))+((DATOS!$B$27*C70/(DATOS!$B$14*((Z70+AA70)/2)))^2/((DATOS!$B$14*((Z70+AA70)/2))/(DATOS!$B$14+2*((Z70+AA70)/2)))^(4/3)))*(A69-A70)))&lt;0,AA70,((Z70+AA70)/2))</f>
        <v/>
      </c>
      <c r="AD70" s="16">
        <f>IF((((AB70+AC70)/2)+(C70/(DATOS!$B$14*((AB70+AC70)/2)))^2/(2*9.81)+B70-(E69+(C69/(DATOS!$B$14*E69))^2/(2*9.81)+B69+0.5*(((DATOS!$B$27*C69/(DATOS!$B$14*E69))^2/((DATOS!$B$14*E69)/(DATOS!$B$14+2*E69))^(4/3))+((DATOS!$B$27*C70/(DATOS!$B$14*((AB70+AC70)/2)))^2/((DATOS!$B$14*((AB70+AC70)/2))/(DATOS!$B$14+2*((AB70+AC70)/2)))^(4/3)))*(A69-A70)))&lt;0,((AB70+AC70)/2),AB70)</f>
        <v/>
      </c>
      <c r="AE70" s="16">
        <f>IF((((AB70+AC70)/2)+(C70/(DATOS!$B$14*((AB70+AC70)/2)))^2/(2*9.81)+B70-(E69+(C69/(DATOS!$B$14*E69))^2/(2*9.81)+B69+0.5*(((DATOS!$B$27*C69/(DATOS!$B$14*E69))^2/((DATOS!$B$14*E69)/(DATOS!$B$14+2*E69))^(4/3))+((DATOS!$B$27*C70/(DATOS!$B$14*((AB70+AC70)/2)))^2/((DATOS!$B$14*((AB70+AC70)/2))/(DATOS!$B$14+2*((AB70+AC70)/2)))^(4/3)))*(A69-A70)))&lt;0,AC70,((AB70+AC70)/2))</f>
        <v/>
      </c>
      <c r="AF70" s="16">
        <f>IF((((AD70+AE70)/2)+(C70/(DATOS!$B$14*((AD70+AE70)/2)))^2/(2*9.81)+B70-(E69+(C69/(DATOS!$B$14*E69))^2/(2*9.81)+B69+0.5*(((DATOS!$B$27*C69/(DATOS!$B$14*E69))^2/((DATOS!$B$14*E69)/(DATOS!$B$14+2*E69))^(4/3))+((DATOS!$B$27*C70/(DATOS!$B$14*((AD70+AE70)/2)))^2/((DATOS!$B$14*((AD70+AE70)/2))/(DATOS!$B$14+2*((AD70+AE70)/2)))^(4/3)))*(A69-A70)))&lt;0,((AD70+AE70)/2),AD70)</f>
        <v/>
      </c>
      <c r="AG70" s="16">
        <f>IF((((AD70+AE70)/2)+(C70/(DATOS!$B$14*((AD70+AE70)/2)))^2/(2*9.81)+B70-(E69+(C69/(DATOS!$B$14*E69))^2/(2*9.81)+B69+0.5*(((DATOS!$B$27*C69/(DATOS!$B$14*E69))^2/((DATOS!$B$14*E69)/(DATOS!$B$14+2*E69))^(4/3))+((DATOS!$B$27*C70/(DATOS!$B$14*((AD70+AE70)/2)))^2/((DATOS!$B$14*((AD70+AE70)/2))/(DATOS!$B$14+2*((AD70+AE70)/2)))^(4/3)))*(A69-A70)))&lt;0,AE70,((AD70+AE70)/2))</f>
        <v/>
      </c>
      <c r="AH70" s="16">
        <f>IF((((AF70+AG70)/2)+(C70/(DATOS!$B$14*((AF70+AG70)/2)))^2/(2*9.81)+B70-(E69+(C69/(DATOS!$B$14*E69))^2/(2*9.81)+B69+0.5*(((DATOS!$B$27*C69/(DATOS!$B$14*E69))^2/((DATOS!$B$14*E69)/(DATOS!$B$14+2*E69))^(4/3))+((DATOS!$B$27*C70/(DATOS!$B$14*((AF70+AG70)/2)))^2/((DATOS!$B$14*((AF70+AG70)/2))/(DATOS!$B$14+2*((AF70+AG70)/2)))^(4/3)))*(A69-A70)))&lt;0,((AF70+AG70)/2),AF70)</f>
        <v/>
      </c>
      <c r="AI70" s="16">
        <f>IF((((AF70+AG70)/2)+(C70/(DATOS!$B$14*((AF70+AG70)/2)))^2/(2*9.81)+B70-(E69+(C69/(DATOS!$B$14*E69))^2/(2*9.81)+B69+0.5*(((DATOS!$B$27*C69/(DATOS!$B$14*E69))^2/((DATOS!$B$14*E69)/(DATOS!$B$14+2*E69))^(4/3))+((DATOS!$B$27*C70/(DATOS!$B$14*((AF70+AG70)/2)))^2/((DATOS!$B$14*((AF70+AG70)/2))/(DATOS!$B$14+2*((AF70+AG70)/2)))^(4/3)))*(A69-A70)))&lt;0,AG70,((AF70+AG70)/2))</f>
        <v/>
      </c>
      <c r="AJ70" s="16">
        <f>IF((((AH70+AI70)/2)+(C70/(DATOS!$B$14*((AH70+AI70)/2)))^2/(2*9.81)+B70-(E69+(C69/(DATOS!$B$14*E69))^2/(2*9.81)+B69+0.5*(((DATOS!$B$27*C69/(DATOS!$B$14*E69))^2/((DATOS!$B$14*E69)/(DATOS!$B$14+2*E69))^(4/3))+((DATOS!$B$27*C70/(DATOS!$B$14*((AH70+AI70)/2)))^2/((DATOS!$B$14*((AH70+AI70)/2))/(DATOS!$B$14+2*((AH70+AI70)/2)))^(4/3)))*(A69-A70)))&lt;0,((AH70+AI70)/2),AH70)</f>
        <v/>
      </c>
      <c r="AK70" s="16">
        <f>IF((((AH70+AI70)/2)+(C70/(DATOS!$B$14*((AH70+AI70)/2)))^2/(2*9.81)+B70-(E69+(C69/(DATOS!$B$14*E69))^2/(2*9.81)+B69+0.5*(((DATOS!$B$27*C69/(DATOS!$B$14*E69))^2/((DATOS!$B$14*E69)/(DATOS!$B$14+2*E69))^(4/3))+((DATOS!$B$27*C70/(DATOS!$B$14*((AH70+AI70)/2)))^2/((DATOS!$B$14*((AH70+AI70)/2))/(DATOS!$B$14+2*((AH70+AI70)/2)))^(4/3)))*(A69-A70)))&lt;0,AI70,((AH70+AI70)/2))</f>
        <v/>
      </c>
      <c r="AL70" s="16">
        <f>IF((((AJ70+AK70)/2)+(C70/(DATOS!$B$14*((AJ70+AK70)/2)))^2/(2*9.81)+B70-(E69+(C69/(DATOS!$B$14*E69))^2/(2*9.81)+B69+0.5*(((DATOS!$B$27*C69/(DATOS!$B$14*E69))^2/((DATOS!$B$14*E69)/(DATOS!$B$14+2*E69))^(4/3))+((DATOS!$B$27*C70/(DATOS!$B$14*((AJ70+AK70)/2)))^2/((DATOS!$B$14*((AJ70+AK70)/2))/(DATOS!$B$14+2*((AJ70+AK70)/2)))^(4/3)))*(A69-A70)))&lt;0,((AJ70+AK70)/2),AJ70)</f>
        <v/>
      </c>
      <c r="AM70" s="16">
        <f>IF((((AJ70+AK70)/2)+(C70/(DATOS!$B$14*((AJ70+AK70)/2)))^2/(2*9.81)+B70-(E69+(C69/(DATOS!$B$14*E69))^2/(2*9.81)+B69+0.5*(((DATOS!$B$27*C69/(DATOS!$B$14*E69))^2/((DATOS!$B$14*E69)/(DATOS!$B$14+2*E69))^(4/3))+((DATOS!$B$27*C70/(DATOS!$B$14*((AJ70+AK70)/2)))^2/((DATOS!$B$14*((AJ70+AK70)/2))/(DATOS!$B$14+2*((AJ70+AK70)/2)))^(4/3)))*(A69-A70)))&lt;0,AK70,((AJ70+AK70)/2))</f>
        <v/>
      </c>
      <c r="AN70" s="16">
        <f>IF((((AL70+AM70)/2)+(C70/(DATOS!$B$14*((AL70+AM70)/2)))^2/(2*9.81)+B70-(E69+(C69/(DATOS!$B$14*E69))^2/(2*9.81)+B69+0.5*(((DATOS!$B$27*C69/(DATOS!$B$14*E69))^2/((DATOS!$B$14*E69)/(DATOS!$B$14+2*E69))^(4/3))+((DATOS!$B$27*C70/(DATOS!$B$14*((AL70+AM70)/2)))^2/((DATOS!$B$14*((AL70+AM70)/2))/(DATOS!$B$14+2*((AL70+AM70)/2)))^(4/3)))*(A69-A70)))&lt;0,((AL70+AM70)/2),AL70)</f>
        <v/>
      </c>
      <c r="AO70" s="16">
        <f>IF((((AL70+AM70)/2)+(C70/(DATOS!$B$14*((AL70+AM70)/2)))^2/(2*9.81)+B70-(E69+(C69/(DATOS!$B$14*E69))^2/(2*9.81)+B69+0.5*(((DATOS!$B$27*C69/(DATOS!$B$14*E69))^2/((DATOS!$B$14*E69)/(DATOS!$B$14+2*E69))^(4/3))+((DATOS!$B$27*C70/(DATOS!$B$14*((AL70+AM70)/2)))^2/((DATOS!$B$14*((AL70+AM70)/2))/(DATOS!$B$14+2*((AL70+AM70)/2)))^(4/3)))*(A69-A70)))&lt;0,AM70,((AL70+AM70)/2))</f>
        <v/>
      </c>
      <c r="AP70" s="16">
        <f>IF((((AN70+AO70)/2)+(C70/(DATOS!$B$14*((AN70+AO70)/2)))^2/(2*9.81)+B70-(E69+(C69/(DATOS!$B$14*E69))^2/(2*9.81)+B69+0.5*(((DATOS!$B$27*C69/(DATOS!$B$14*E69))^2/((DATOS!$B$14*E69)/(DATOS!$B$14+2*E69))^(4/3))+((DATOS!$B$27*C70/(DATOS!$B$14*((AN70+AO70)/2)))^2/((DATOS!$B$14*((AN70+AO70)/2))/(DATOS!$B$14+2*((AN70+AO70)/2)))^(4/3)))*(A69-A70)))&lt;0,((AN70+AO70)/2),AN70)</f>
        <v/>
      </c>
      <c r="AQ70" s="16">
        <f>IF((((AN70+AO70)/2)+(C70/(DATOS!$B$14*((AN70+AO70)/2)))^2/(2*9.81)+B70-(E69+(C69/(DATOS!$B$14*E69))^2/(2*9.81)+B69+0.5*(((DATOS!$B$27*C69/(DATOS!$B$14*E69))^2/((DATOS!$B$14*E69)/(DATOS!$B$14+2*E69))^(4/3))+((DATOS!$B$27*C70/(DATOS!$B$14*((AN70+AO70)/2)))^2/((DATOS!$B$14*((AN70+AO70)/2))/(DATOS!$B$14+2*((AN70+AO70)/2)))^(4/3)))*(A69-A70)))&lt;0,AO70,((AN70+AO70)/2))</f>
        <v/>
      </c>
      <c r="AR70" s="16">
        <f>IF((((AP70+AQ70)/2)+(C70/(DATOS!$B$14*((AP70+AQ70)/2)))^2/(2*9.81)+B70-(E69+(C69/(DATOS!$B$14*E69))^2/(2*9.81)+B69+0.5*(((DATOS!$B$27*C69/(DATOS!$B$14*E69))^2/((DATOS!$B$14*E69)/(DATOS!$B$14+2*E69))^(4/3))+((DATOS!$B$27*C70/(DATOS!$B$14*((AP70+AQ70)/2)))^2/((DATOS!$B$14*((AP70+AQ70)/2))/(DATOS!$B$14+2*((AP70+AQ70)/2)))^(4/3)))*(A69-A70)))&lt;0,((AP70+AQ70)/2),AP70)</f>
        <v/>
      </c>
      <c r="AS70" s="16">
        <f>IF((((AP70+AQ70)/2)+(C70/(DATOS!$B$14*((AP70+AQ70)/2)))^2/(2*9.81)+B70-(E69+(C69/(DATOS!$B$14*E69))^2/(2*9.81)+B69+0.5*(((DATOS!$B$27*C69/(DATOS!$B$14*E69))^2/((DATOS!$B$14*E69)/(DATOS!$B$14+2*E69))^(4/3))+((DATOS!$B$27*C70/(DATOS!$B$14*((AP70+AQ70)/2)))^2/((DATOS!$B$14*((AP70+AQ70)/2))/(DATOS!$B$14+2*((AP70+AQ70)/2)))^(4/3)))*(A69-A70)))&lt;0,AQ70,((AP70+AQ70)/2))</f>
        <v/>
      </c>
      <c r="AT70" s="16">
        <f>IF((((AR70+AS70)/2)+(C70/(DATOS!$B$14*((AR70+AS70)/2)))^2/(2*9.81)+B70-(E69+(C69/(DATOS!$B$14*E69))^2/(2*9.81)+B69+0.5*(((DATOS!$B$27*C69/(DATOS!$B$14*E69))^2/((DATOS!$B$14*E69)/(DATOS!$B$14+2*E69))^(4/3))+((DATOS!$B$27*C70/(DATOS!$B$14*((AR70+AS70)/2)))^2/((DATOS!$B$14*((AR70+AS70)/2))/(DATOS!$B$14+2*((AR70+AS70)/2)))^(4/3)))*(A69-A70)))&lt;0,((AR70+AS70)/2),AR70)</f>
        <v/>
      </c>
      <c r="AU70" s="16">
        <f>IF((((AR70+AS70)/2)+(C70/(DATOS!$B$14*((AR70+AS70)/2)))^2/(2*9.81)+B70-(E69+(C69/(DATOS!$B$14*E69))^2/(2*9.81)+B69+0.5*(((DATOS!$B$27*C69/(DATOS!$B$14*E69))^2/((DATOS!$B$14*E69)/(DATOS!$B$14+2*E69))^(4/3))+((DATOS!$B$27*C70/(DATOS!$B$14*((AR70+AS70)/2)))^2/((DATOS!$B$14*((AR70+AS70)/2))/(DATOS!$B$14+2*((AR70+AS70)/2)))^(4/3)))*(A69-A70)))&lt;0,AS70,((AR70+AS70)/2))</f>
        <v/>
      </c>
      <c r="AV70" s="16">
        <f>IF((((AT70+AU70)/2)+(C70/(DATOS!$B$14*((AT70+AU70)/2)))^2/(2*9.81)+B70-(E69+(C69/(DATOS!$B$14*E69))^2/(2*9.81)+B69+0.5*(((DATOS!$B$27*C69/(DATOS!$B$14*E69))^2/((DATOS!$B$14*E69)/(DATOS!$B$14+2*E69))^(4/3))+((DATOS!$B$27*C70/(DATOS!$B$14*((AT70+AU70)/2)))^2/((DATOS!$B$14*((AT70+AU70)/2))/(DATOS!$B$14+2*((AT70+AU70)/2)))^(4/3)))*(A69-A70)))&lt;0,((AT70+AU70)/2),AT70)</f>
        <v/>
      </c>
      <c r="AW70" s="16">
        <f>IF((((AT70+AU70)/2)+(C70/(DATOS!$B$14*((AT70+AU70)/2)))^2/(2*9.81)+B70-(E69+(C69/(DATOS!$B$14*E69))^2/(2*9.81)+B69+0.5*(((DATOS!$B$27*C69/(DATOS!$B$14*E69))^2/((DATOS!$B$14*E69)/(DATOS!$B$14+2*E69))^(4/3))+((DATOS!$B$27*C70/(DATOS!$B$14*((AT70+AU70)/2)))^2/((DATOS!$B$14*((AT70+AU70)/2))/(DATOS!$B$14+2*((AT70+AU70)/2)))^(4/3)))*(A69-A70)))&lt;0,AU70,((AT70+AU70)/2))</f>
        <v/>
      </c>
      <c r="AX70" s="16">
        <f>IF((((AV70+AW70)/2)+(C70/(DATOS!$B$14*((AV70+AW70)/2)))^2/(2*9.81)+B70-(E69+(C69/(DATOS!$B$14*E69))^2/(2*9.81)+B69+0.5*(((DATOS!$B$27*C69/(DATOS!$B$14*E69))^2/((DATOS!$B$14*E69)/(DATOS!$B$14+2*E69))^(4/3))+((DATOS!$B$27*C70/(DATOS!$B$14*((AV70+AW70)/2)))^2/((DATOS!$B$14*((AV70+AW70)/2))/(DATOS!$B$14+2*((AV70+AW70)/2)))^(4/3)))*(A69-A70)))&lt;0,((AV70+AW70)/2),AV70)</f>
        <v/>
      </c>
      <c r="AY70" s="16">
        <f>IF((((AV70+AW70)/2)+(C70/(DATOS!$B$14*((AV70+AW70)/2)))^2/(2*9.81)+B70-(E69+(C69/(DATOS!$B$14*E69))^2/(2*9.81)+B69+0.5*(((DATOS!$B$27*C69/(DATOS!$B$14*E69))^2/((DATOS!$B$14*E69)/(DATOS!$B$14+2*E69))^(4/3))+((DATOS!$B$27*C70/(DATOS!$B$14*((AV70+AW70)/2)))^2/((DATOS!$B$14*((AV70+AW70)/2))/(DATOS!$B$14+2*((AV70+AW70)/2)))^(4/3)))*(A69-A70)))&lt;0,AW70,((AV70+AW70)/2))</f>
        <v/>
      </c>
      <c r="AZ70" s="16">
        <f>IF((((AX70+AY70)/2)+(C70/(DATOS!$B$14*((AX70+AY70)/2)))^2/(2*9.81)+B70-(E69+(C69/(DATOS!$B$14*E69))^2/(2*9.81)+B69+0.5*(((DATOS!$B$27*C69/(DATOS!$B$14*E69))^2/((DATOS!$B$14*E69)/(DATOS!$B$14+2*E69))^(4/3))+((DATOS!$B$27*C70/(DATOS!$B$14*((AX70+AY70)/2)))^2/((DATOS!$B$14*((AX70+AY70)/2))/(DATOS!$B$14+2*((AX70+AY70)/2)))^(4/3)))*(A69-A70)))&lt;0,((AX70+AY70)/2),AX70)</f>
        <v/>
      </c>
      <c r="BA70" s="16">
        <f>IF((((AX70+AY70)/2)+(C70/(DATOS!$B$14*((AX70+AY70)/2)))^2/(2*9.81)+B70-(E69+(C69/(DATOS!$B$14*E69))^2/(2*9.81)+B69+0.5*(((DATOS!$B$27*C69/(DATOS!$B$14*E69))^2/((DATOS!$B$14*E69)/(DATOS!$B$14+2*E69))^(4/3))+((DATOS!$B$27*C70/(DATOS!$B$14*((AX70+AY70)/2)))^2/((DATOS!$B$14*((AX70+AY70)/2))/(DATOS!$B$14+2*((AX70+AY70)/2)))^(4/3)))*(A69-A70)))&lt;0,AY70,((AX70+AY70)/2))</f>
        <v/>
      </c>
      <c r="BB70" s="16">
        <f>IF((((AZ70+BA70)/2)+(C70/(DATOS!$B$14*((AZ70+BA70)/2)))^2/(2*9.81)+B70-(E69+(C69/(DATOS!$B$14*E69))^2/(2*9.81)+B69+0.5*(((DATOS!$B$27*C69/(DATOS!$B$14*E69))^2/((DATOS!$B$14*E69)/(DATOS!$B$14+2*E69))^(4/3))+((DATOS!$B$27*C70/(DATOS!$B$14*((AZ70+BA70)/2)))^2/((DATOS!$B$14*((AZ70+BA70)/2))/(DATOS!$B$14+2*((AZ70+BA70)/2)))^(4/3)))*(A69-A70)))&lt;0,((AZ70+BA70)/2),AZ70)</f>
        <v/>
      </c>
      <c r="BC70" s="16">
        <f>IF((((AZ70+BA70)/2)+(C70/(DATOS!$B$14*((AZ70+BA70)/2)))^2/(2*9.81)+B70-(E69+(C69/(DATOS!$B$14*E69))^2/(2*9.81)+B69+0.5*(((DATOS!$B$27*C69/(DATOS!$B$14*E69))^2/((DATOS!$B$14*E69)/(DATOS!$B$14+2*E69))^(4/3))+((DATOS!$B$27*C70/(DATOS!$B$14*((AZ70+BA70)/2)))^2/((DATOS!$B$14*((AZ70+BA70)/2))/(DATOS!$B$14+2*((AZ70+BA70)/2)))^(4/3)))*(A69-A70)))&lt;0,BA70,((AZ70+BA70)/2))</f>
        <v/>
      </c>
      <c r="BD70" s="16">
        <f>IF((((BB70+BC70)/2)+(C70/(DATOS!$B$14*((BB70+BC70)/2)))^2/(2*9.81)+B70-(E69+(C69/(DATOS!$B$14*E69))^2/(2*9.81)+B69+0.5*(((DATOS!$B$27*C69/(DATOS!$B$14*E69))^2/((DATOS!$B$14*E69)/(DATOS!$B$14+2*E69))^(4/3))+((DATOS!$B$27*C70/(DATOS!$B$14*((BB70+BC70)/2)))^2/((DATOS!$B$14*((BB70+BC70)/2))/(DATOS!$B$14+2*((BB70+BC70)/2)))^(4/3)))*(A69-A70)))&lt;0,((BB70+BC70)/2),BB70)</f>
        <v/>
      </c>
      <c r="BE70" s="16">
        <f>IF((((BB70+BC70)/2)+(C70/(DATOS!$B$14*((BB70+BC70)/2)))^2/(2*9.81)+B70-(E69+(C69/(DATOS!$B$14*E69))^2/(2*9.81)+B69+0.5*(((DATOS!$B$27*C69/(DATOS!$B$14*E69))^2/((DATOS!$B$14*E69)/(DATOS!$B$14+2*E69))^(4/3))+((DATOS!$B$27*C70/(DATOS!$B$14*((BB70+BC70)/2)))^2/((DATOS!$B$14*((BB70+BC70)/2))/(DATOS!$B$14+2*((BB70+BC70)/2)))^(4/3)))*(A69-A70)))&lt;0,BC70,((BB70+BC70)/2))</f>
        <v/>
      </c>
      <c r="BF70" s="16">
        <f>IF((((BD70+BE70)/2)+(C70/(DATOS!$B$14*((BD70+BE70)/2)))^2/(2*9.81)+B70-(E69+(C69/(DATOS!$B$14*E69))^2/(2*9.81)+B69+0.5*(((DATOS!$B$27*C69/(DATOS!$B$14*E69))^2/((DATOS!$B$14*E69)/(DATOS!$B$14+2*E69))^(4/3))+((DATOS!$B$27*C70/(DATOS!$B$14*((BD70+BE70)/2)))^2/((DATOS!$B$14*((BD70+BE70)/2))/(DATOS!$B$14+2*((BD70+BE70)/2)))^(4/3)))*(A69-A70)))&lt;0,((BD70+BE70)/2),BD70)</f>
        <v/>
      </c>
      <c r="BG70" s="16">
        <f>IF((((BD70+BE70)/2)+(C70/(DATOS!$B$14*((BD70+BE70)/2)))^2/(2*9.81)+B70-(E69+(C69/(DATOS!$B$14*E69))^2/(2*9.81)+B69+0.5*(((DATOS!$B$27*C69/(DATOS!$B$14*E69))^2/((DATOS!$B$14*E69)/(DATOS!$B$14+2*E69))^(4/3))+((DATOS!$B$27*C70/(DATOS!$B$14*((BD70+BE70)/2)))^2/((DATOS!$B$14*((BD70+BE70)/2))/(DATOS!$B$14+2*((BD70+BE70)/2)))^(4/3)))*(A69-A70)))&lt;0,BE70,((BD70+BE70)/2))</f>
        <v/>
      </c>
      <c r="BH70" s="16">
        <f>IF((((BF70+BG70)/2)+(C70/(DATOS!$B$14*((BF70+BG70)/2)))^2/(2*9.81)+B70-(E69+(C69/(DATOS!$B$14*E69))^2/(2*9.81)+B69+0.5*(((DATOS!$B$27*C69/(DATOS!$B$14*E69))^2/((DATOS!$B$14*E69)/(DATOS!$B$14+2*E69))^(4/3))+((DATOS!$B$27*C70/(DATOS!$B$14*((BF70+BG70)/2)))^2/((DATOS!$B$14*((BF70+BG70)/2))/(DATOS!$B$14+2*((BF70+BG70)/2)))^(4/3)))*(A69-A70)))&lt;0,((BF70+BG70)/2),BF70)</f>
        <v/>
      </c>
      <c r="BI70" s="16">
        <f>IF((((BF70+BG70)/2)+(C70/(DATOS!$B$14*((BF70+BG70)/2)))^2/(2*9.81)+B70-(E69+(C69/(DATOS!$B$14*E69))^2/(2*9.81)+B69+0.5*(((DATOS!$B$27*C69/(DATOS!$B$14*E69))^2/((DATOS!$B$14*E69)/(DATOS!$B$14+2*E69))^(4/3))+((DATOS!$B$27*C70/(DATOS!$B$14*((BF70+BG70)/2)))^2/((DATOS!$B$14*((BF70+BG70)/2))/(DATOS!$B$14+2*((BF70+BG70)/2)))^(4/3)))*(A69-A70)))&lt;0,BG70,((BF70+BG70)/2))</f>
        <v/>
      </c>
      <c r="BJ70" s="16">
        <f>IF((((BH70+BI70)/2)+(C70/(DATOS!$B$14*((BH70+BI70)/2)))^2/(2*9.81)+B70-(E69+(C69/(DATOS!$B$14*E69))^2/(2*9.81)+B69+0.5*(((DATOS!$B$27*C69/(DATOS!$B$14*E69))^2/((DATOS!$B$14*E69)/(DATOS!$B$14+2*E69))^(4/3))+((DATOS!$B$27*C70/(DATOS!$B$14*((BH70+BI70)/2)))^2/((DATOS!$B$14*((BH70+BI70)/2))/(DATOS!$B$14+2*((BH70+BI70)/2)))^(4/3)))*(A69-A70)))&lt;0,((BH70+BI70)/2),BH70)</f>
        <v/>
      </c>
      <c r="BK70" s="16">
        <f>IF((((BH70+BI70)/2)+(C70/(DATOS!$B$14*((BH70+BI70)/2)))^2/(2*9.81)+B70-(E69+(C69/(DATOS!$B$14*E69))^2/(2*9.81)+B69+0.5*(((DATOS!$B$27*C69/(DATOS!$B$14*E69))^2/((DATOS!$B$14*E69)/(DATOS!$B$14+2*E69))^(4/3))+((DATOS!$B$27*C70/(DATOS!$B$14*((BH70+BI70)/2)))^2/((DATOS!$B$14*((BH70+BI70)/2))/(DATOS!$B$14+2*((BH70+BI70)/2)))^(4/3)))*(A69-A70)))&lt;0,BI70,((BH70+BI70)/2))</f>
        <v/>
      </c>
      <c r="BL70" s="16">
        <f>IF((((BJ70+BK70)/2)+(C70/(DATOS!$B$14*((BJ70+BK70)/2)))^2/(2*9.81)+B70-(E69+(C69/(DATOS!$B$14*E69))^2/(2*9.81)+B69+0.5*(((DATOS!$B$27*C69/(DATOS!$B$14*E69))^2/((DATOS!$B$14*E69)/(DATOS!$B$14+2*E69))^(4/3))+((DATOS!$B$27*C70/(DATOS!$B$14*((BJ70+BK70)/2)))^2/((DATOS!$B$14*((BJ70+BK70)/2))/(DATOS!$B$14+2*((BJ70+BK70)/2)))^(4/3)))*(A69-A70)))&lt;0,((BJ70+BK70)/2),BJ70)</f>
        <v/>
      </c>
      <c r="BM70" s="16">
        <f>IF((((BJ70+BK70)/2)+(C70/(DATOS!$B$14*((BJ70+BK70)/2)))^2/(2*9.81)+B70-(E69+(C69/(DATOS!$B$14*E69))^2/(2*9.81)+B69+0.5*(((DATOS!$B$27*C69/(DATOS!$B$14*E69))^2/((DATOS!$B$14*E69)/(DATOS!$B$14+2*E69))^(4/3))+((DATOS!$B$27*C70/(DATOS!$B$14*((BJ70+BK70)/2)))^2/((DATOS!$B$14*((BJ70+BK70)/2))/(DATOS!$B$14+2*((BJ70+BK70)/2)))^(4/3)))*(A69-A70)))&lt;0,BK70,((BJ70+BK70)/2))</f>
        <v/>
      </c>
      <c r="BN70" s="16">
        <f>IF((((BL70+BM70)/2)+(C70/(DATOS!$B$14*((BL70+BM70)/2)))^2/(2*9.81)+B70-(E69+(C69/(DATOS!$B$14*E69))^2/(2*9.81)+B69+0.5*(((DATOS!$B$27*C69/(DATOS!$B$14*E69))^2/((DATOS!$B$14*E69)/(DATOS!$B$14+2*E69))^(4/3))+((DATOS!$B$27*C70/(DATOS!$B$14*((BL70+BM70)/2)))^2/((DATOS!$B$14*((BL70+BM70)/2))/(DATOS!$B$14+2*((BL70+BM70)/2)))^(4/3)))*(A69-A70)))&lt;0,((BL70+BM70)/2),BL70)</f>
        <v/>
      </c>
      <c r="BO70" s="16">
        <f>IF((((BL70+BM70)/2)+(C70/(DATOS!$B$14*((BL70+BM70)/2)))^2/(2*9.81)+B70-(E69+(C69/(DATOS!$B$14*E69))^2/(2*9.81)+B69+0.5*(((DATOS!$B$27*C69/(DATOS!$B$14*E69))^2/((DATOS!$B$14*E69)/(DATOS!$B$14+2*E69))^(4/3))+((DATOS!$B$27*C70/(DATOS!$B$14*((BL70+BM70)/2)))^2/((DATOS!$B$14*((BL70+BM70)/2))/(DATOS!$B$14+2*((BL70+BM70)/2)))^(4/3)))*(A69-A70)))&lt;0,BM70,((BL70+BM70)/2))</f>
        <v/>
      </c>
      <c r="BP70" s="16">
        <f>IF((((BN70+BO70)/2)+(C70/(DATOS!$B$14*((BN70+BO70)/2)))^2/(2*9.81)+B70-(E69+(C69/(DATOS!$B$14*E69))^2/(2*9.81)+B69+0.5*(((DATOS!$B$27*C69/(DATOS!$B$14*E69))^2/((DATOS!$B$14*E69)/(DATOS!$B$14+2*E69))^(4/3))+((DATOS!$B$27*C70/(DATOS!$B$14*((BN70+BO70)/2)))^2/((DATOS!$B$14*((BN70+BO70)/2))/(DATOS!$B$14+2*((BN70+BO70)/2)))^(4/3)))*(A69-A70)))&lt;0,((BN70+BO70)/2),BN70)</f>
        <v/>
      </c>
      <c r="BQ70" s="16">
        <f>IF((((BN70+BO70)/2)+(C70/(DATOS!$B$14*((BN70+BO70)/2)))^2/(2*9.81)+B70-(E69+(C69/(DATOS!$B$14*E69))^2/(2*9.81)+B69+0.5*(((DATOS!$B$27*C69/(DATOS!$B$14*E69))^2/((DATOS!$B$14*E69)/(DATOS!$B$14+2*E69))^(4/3))+((DATOS!$B$27*C70/(DATOS!$B$14*((BN70+BO70)/2)))^2/((DATOS!$B$14*((BN70+BO70)/2))/(DATOS!$B$14+2*((BN70+BO70)/2)))^(4/3)))*(A69-A70)))&lt;0,BO70,((BN70+BO70)/2))</f>
        <v/>
      </c>
      <c r="BR70" s="16">
        <f>IF((((BP70+BQ70)/2)+(C70/(DATOS!$B$14*((BP70+BQ70)/2)))^2/(2*9.81)+B70-(E69+(C69/(DATOS!$B$14*E69))^2/(2*9.81)+B69+0.5*(((DATOS!$B$27*C69/(DATOS!$B$14*E69))^2/((DATOS!$B$14*E69)/(DATOS!$B$14+2*E69))^(4/3))+((DATOS!$B$27*C70/(DATOS!$B$14*((BP70+BQ70)/2)))^2/((DATOS!$B$14*((BP70+BQ70)/2))/(DATOS!$B$14+2*((BP70+BQ70)/2)))^(4/3)))*(A69-A70)))&lt;0,((BP70+BQ70)/2),BP70)</f>
        <v/>
      </c>
      <c r="BS70" s="16">
        <f>IF((((BP70+BQ70)/2)+(C70/(DATOS!$B$14*((BP70+BQ70)/2)))^2/(2*9.81)+B70-(E69+(C69/(DATOS!$B$14*E69))^2/(2*9.81)+B69+0.5*(((DATOS!$B$27*C69/(DATOS!$B$14*E69))^2/((DATOS!$B$14*E69)/(DATOS!$B$14+2*E69))^(4/3))+((DATOS!$B$27*C70/(DATOS!$B$14*((BP70+BQ70)/2)))^2/((DATOS!$B$14*((BP70+BQ70)/2))/(DATOS!$B$14+2*((BP70+BQ70)/2)))^(4/3)))*(A69-A70)))&lt;0,BQ70,((BP70+BQ70)/2))</f>
        <v/>
      </c>
      <c r="BT70" s="16">
        <f>IF((((BR70+BS70)/2)+(C70/(DATOS!$B$14*((BR70+BS70)/2)))^2/(2*9.81)+B70-(E69+(C69/(DATOS!$B$14*E69))^2/(2*9.81)+B69+0.5*(((DATOS!$B$27*C69/(DATOS!$B$14*E69))^2/((DATOS!$B$14*E69)/(DATOS!$B$14+2*E69))^(4/3))+((DATOS!$B$27*C70/(DATOS!$B$14*((BR70+BS70)/2)))^2/((DATOS!$B$14*((BR70+BS70)/2))/(DATOS!$B$14+2*((BR70+BS70)/2)))^(4/3)))*(A69-A70)))&lt;0,((BR70+BS70)/2),BR70)</f>
        <v/>
      </c>
      <c r="BU70" s="16">
        <f>IF((((BR70+BS70)/2)+(C70/(DATOS!$B$14*((BR70+BS70)/2)))^2/(2*9.81)+B70-(E69+(C69/(DATOS!$B$14*E69))^2/(2*9.81)+B69+0.5*(((DATOS!$B$27*C69/(DATOS!$B$14*E69))^2/((DATOS!$B$14*E69)/(DATOS!$B$14+2*E69))^(4/3))+((DATOS!$B$27*C70/(DATOS!$B$14*((BR70+BS70)/2)))^2/((DATOS!$B$14*((BR70+BS70)/2))/(DATOS!$B$14+2*((BR70+BS70)/2)))^(4/3)))*(A69-A70)))&lt;0,BS70,((BR70+BS70)/2))</f>
        <v/>
      </c>
    </row>
    <row r="71">
      <c r="A71" s="30" t="n">
        <v>16</v>
      </c>
      <c r="B71" s="21">
        <f>DATOS!$B$16-DATOS!$B$19*A71</f>
        <v/>
      </c>
      <c r="C71" s="21">
        <f>IF(A71&lt;CAUDALES!$B$13,CAUDALES!$D$12,IF(A71&lt;CAUDALES!$B$14,CAUDALES!$D$13,IF(A71&lt;CAUDALES!$B$15,CAUDALES!$D$14,CAUDALES!$D$15)))/1000</f>
        <v/>
      </c>
      <c r="D71" s="21">
        <f>(C71^2/(9.81*DATOS!$B$14^2))^(1/3)</f>
        <v/>
      </c>
      <c r="E71" s="29">
        <f>(BT71+BU71)/2</f>
        <v/>
      </c>
      <c r="F71" s="21">
        <f>B71+E71</f>
        <v/>
      </c>
      <c r="G71" s="17">
        <f>C71/(DATOS!$B$14*E71)</f>
        <v/>
      </c>
      <c r="H71" s="17">
        <f>G71/SQRT(9.81*E71)</f>
        <v/>
      </c>
      <c r="I71" s="21">
        <f>IF(A71&lt;=DATOS!$B$20,DATOS!$B$21-IF(AND(A71&gt;=DATOS!$B$23,A71&lt;DATOS!$B$24),DATOS!$B$25,DATOS!$B$22),B71+DATOS!$B$26)</f>
        <v/>
      </c>
      <c r="J71" s="17">
        <f>I71-B71</f>
        <v/>
      </c>
      <c r="K71" s="31">
        <f>E71/J71</f>
        <v/>
      </c>
      <c r="L71" s="21">
        <f>I71-F71</f>
        <v/>
      </c>
      <c r="M71" s="32">
        <f>IF(AND(K71&lt;=DATOS!$B$29,L71&gt;=DATOS!$B$30),"CUMPLE","NO CUMPLE")</f>
        <v/>
      </c>
      <c r="N71" s="13">
        <f>IF(A71&gt;DATOS!$B$20,"cubierto - tramo final",IF(AND(A71&gt;=DATOS!$B$23,A71&lt;DATOS!$B$24),"cubierto - camiones","cubierto"))</f>
        <v/>
      </c>
      <c r="P71" s="16">
        <f>D71*1.001</f>
        <v/>
      </c>
      <c r="Q71" s="16" t="n">
        <v>2</v>
      </c>
      <c r="R71" s="16">
        <f>IF((((P71+Q71)/2)+(C71/(DATOS!$B$14*((P71+Q71)/2)))^2/(2*9.81)+B71-(E70+(C70/(DATOS!$B$14*E70))^2/(2*9.81)+B70+0.5*(((DATOS!$B$27*C70/(DATOS!$B$14*E70))^2/((DATOS!$B$14*E70)/(DATOS!$B$14+2*E70))^(4/3))+((DATOS!$B$27*C71/(DATOS!$B$14*((P71+Q71)/2)))^2/((DATOS!$B$14*((P71+Q71)/2))/(DATOS!$B$14+2*((P71+Q71)/2)))^(4/3)))*(A70-A71)))&lt;0,((P71+Q71)/2),P71)</f>
        <v/>
      </c>
      <c r="S71" s="16">
        <f>IF((((P71+Q71)/2)+(C71/(DATOS!$B$14*((P71+Q71)/2)))^2/(2*9.81)+B71-(E70+(C70/(DATOS!$B$14*E70))^2/(2*9.81)+B70+0.5*(((DATOS!$B$27*C70/(DATOS!$B$14*E70))^2/((DATOS!$B$14*E70)/(DATOS!$B$14+2*E70))^(4/3))+((DATOS!$B$27*C71/(DATOS!$B$14*((P71+Q71)/2)))^2/((DATOS!$B$14*((P71+Q71)/2))/(DATOS!$B$14+2*((P71+Q71)/2)))^(4/3)))*(A70-A71)))&lt;0,Q71,((P71+Q71)/2))</f>
        <v/>
      </c>
      <c r="T71" s="16">
        <f>IF((((R71+S71)/2)+(C71/(DATOS!$B$14*((R71+S71)/2)))^2/(2*9.81)+B71-(E70+(C70/(DATOS!$B$14*E70))^2/(2*9.81)+B70+0.5*(((DATOS!$B$27*C70/(DATOS!$B$14*E70))^2/((DATOS!$B$14*E70)/(DATOS!$B$14+2*E70))^(4/3))+((DATOS!$B$27*C71/(DATOS!$B$14*((R71+S71)/2)))^2/((DATOS!$B$14*((R71+S71)/2))/(DATOS!$B$14+2*((R71+S71)/2)))^(4/3)))*(A70-A71)))&lt;0,((R71+S71)/2),R71)</f>
        <v/>
      </c>
      <c r="U71" s="16">
        <f>IF((((R71+S71)/2)+(C71/(DATOS!$B$14*((R71+S71)/2)))^2/(2*9.81)+B71-(E70+(C70/(DATOS!$B$14*E70))^2/(2*9.81)+B70+0.5*(((DATOS!$B$27*C70/(DATOS!$B$14*E70))^2/((DATOS!$B$14*E70)/(DATOS!$B$14+2*E70))^(4/3))+((DATOS!$B$27*C71/(DATOS!$B$14*((R71+S71)/2)))^2/((DATOS!$B$14*((R71+S71)/2))/(DATOS!$B$14+2*((R71+S71)/2)))^(4/3)))*(A70-A71)))&lt;0,S71,((R71+S71)/2))</f>
        <v/>
      </c>
      <c r="V71" s="16">
        <f>IF((((T71+U71)/2)+(C71/(DATOS!$B$14*((T71+U71)/2)))^2/(2*9.81)+B71-(E70+(C70/(DATOS!$B$14*E70))^2/(2*9.81)+B70+0.5*(((DATOS!$B$27*C70/(DATOS!$B$14*E70))^2/((DATOS!$B$14*E70)/(DATOS!$B$14+2*E70))^(4/3))+((DATOS!$B$27*C71/(DATOS!$B$14*((T71+U71)/2)))^2/((DATOS!$B$14*((T71+U71)/2))/(DATOS!$B$14+2*((T71+U71)/2)))^(4/3)))*(A70-A71)))&lt;0,((T71+U71)/2),T71)</f>
        <v/>
      </c>
      <c r="W71" s="16">
        <f>IF((((T71+U71)/2)+(C71/(DATOS!$B$14*((T71+U71)/2)))^2/(2*9.81)+B71-(E70+(C70/(DATOS!$B$14*E70))^2/(2*9.81)+B70+0.5*(((DATOS!$B$27*C70/(DATOS!$B$14*E70))^2/((DATOS!$B$14*E70)/(DATOS!$B$14+2*E70))^(4/3))+((DATOS!$B$27*C71/(DATOS!$B$14*((T71+U71)/2)))^2/((DATOS!$B$14*((T71+U71)/2))/(DATOS!$B$14+2*((T71+U71)/2)))^(4/3)))*(A70-A71)))&lt;0,U71,((T71+U71)/2))</f>
        <v/>
      </c>
      <c r="X71" s="16">
        <f>IF((((V71+W71)/2)+(C71/(DATOS!$B$14*((V71+W71)/2)))^2/(2*9.81)+B71-(E70+(C70/(DATOS!$B$14*E70))^2/(2*9.81)+B70+0.5*(((DATOS!$B$27*C70/(DATOS!$B$14*E70))^2/((DATOS!$B$14*E70)/(DATOS!$B$14+2*E70))^(4/3))+((DATOS!$B$27*C71/(DATOS!$B$14*((V71+W71)/2)))^2/((DATOS!$B$14*((V71+W71)/2))/(DATOS!$B$14+2*((V71+W71)/2)))^(4/3)))*(A70-A71)))&lt;0,((V71+W71)/2),V71)</f>
        <v/>
      </c>
      <c r="Y71" s="16">
        <f>IF((((V71+W71)/2)+(C71/(DATOS!$B$14*((V71+W71)/2)))^2/(2*9.81)+B71-(E70+(C70/(DATOS!$B$14*E70))^2/(2*9.81)+B70+0.5*(((DATOS!$B$27*C70/(DATOS!$B$14*E70))^2/((DATOS!$B$14*E70)/(DATOS!$B$14+2*E70))^(4/3))+((DATOS!$B$27*C71/(DATOS!$B$14*((V71+W71)/2)))^2/((DATOS!$B$14*((V71+W71)/2))/(DATOS!$B$14+2*((V71+W71)/2)))^(4/3)))*(A70-A71)))&lt;0,W71,((V71+W71)/2))</f>
        <v/>
      </c>
      <c r="Z71" s="16">
        <f>IF((((X71+Y71)/2)+(C71/(DATOS!$B$14*((X71+Y71)/2)))^2/(2*9.81)+B71-(E70+(C70/(DATOS!$B$14*E70))^2/(2*9.81)+B70+0.5*(((DATOS!$B$27*C70/(DATOS!$B$14*E70))^2/((DATOS!$B$14*E70)/(DATOS!$B$14+2*E70))^(4/3))+((DATOS!$B$27*C71/(DATOS!$B$14*((X71+Y71)/2)))^2/((DATOS!$B$14*((X71+Y71)/2))/(DATOS!$B$14+2*((X71+Y71)/2)))^(4/3)))*(A70-A71)))&lt;0,((X71+Y71)/2),X71)</f>
        <v/>
      </c>
      <c r="AA71" s="16">
        <f>IF((((X71+Y71)/2)+(C71/(DATOS!$B$14*((X71+Y71)/2)))^2/(2*9.81)+B71-(E70+(C70/(DATOS!$B$14*E70))^2/(2*9.81)+B70+0.5*(((DATOS!$B$27*C70/(DATOS!$B$14*E70))^2/((DATOS!$B$14*E70)/(DATOS!$B$14+2*E70))^(4/3))+((DATOS!$B$27*C71/(DATOS!$B$14*((X71+Y71)/2)))^2/((DATOS!$B$14*((X71+Y71)/2))/(DATOS!$B$14+2*((X71+Y71)/2)))^(4/3)))*(A70-A71)))&lt;0,Y71,((X71+Y71)/2))</f>
        <v/>
      </c>
      <c r="AB71" s="16">
        <f>IF((((Z71+AA71)/2)+(C71/(DATOS!$B$14*((Z71+AA71)/2)))^2/(2*9.81)+B71-(E70+(C70/(DATOS!$B$14*E70))^2/(2*9.81)+B70+0.5*(((DATOS!$B$27*C70/(DATOS!$B$14*E70))^2/((DATOS!$B$14*E70)/(DATOS!$B$14+2*E70))^(4/3))+((DATOS!$B$27*C71/(DATOS!$B$14*((Z71+AA71)/2)))^2/((DATOS!$B$14*((Z71+AA71)/2))/(DATOS!$B$14+2*((Z71+AA71)/2)))^(4/3)))*(A70-A71)))&lt;0,((Z71+AA71)/2),Z71)</f>
        <v/>
      </c>
      <c r="AC71" s="16">
        <f>IF((((Z71+AA71)/2)+(C71/(DATOS!$B$14*((Z71+AA71)/2)))^2/(2*9.81)+B71-(E70+(C70/(DATOS!$B$14*E70))^2/(2*9.81)+B70+0.5*(((DATOS!$B$27*C70/(DATOS!$B$14*E70))^2/((DATOS!$B$14*E70)/(DATOS!$B$14+2*E70))^(4/3))+((DATOS!$B$27*C71/(DATOS!$B$14*((Z71+AA71)/2)))^2/((DATOS!$B$14*((Z71+AA71)/2))/(DATOS!$B$14+2*((Z71+AA71)/2)))^(4/3)))*(A70-A71)))&lt;0,AA71,((Z71+AA71)/2))</f>
        <v/>
      </c>
      <c r="AD71" s="16">
        <f>IF((((AB71+AC71)/2)+(C71/(DATOS!$B$14*((AB71+AC71)/2)))^2/(2*9.81)+B71-(E70+(C70/(DATOS!$B$14*E70))^2/(2*9.81)+B70+0.5*(((DATOS!$B$27*C70/(DATOS!$B$14*E70))^2/((DATOS!$B$14*E70)/(DATOS!$B$14+2*E70))^(4/3))+((DATOS!$B$27*C71/(DATOS!$B$14*((AB71+AC71)/2)))^2/((DATOS!$B$14*((AB71+AC71)/2))/(DATOS!$B$14+2*((AB71+AC71)/2)))^(4/3)))*(A70-A71)))&lt;0,((AB71+AC71)/2),AB71)</f>
        <v/>
      </c>
      <c r="AE71" s="16">
        <f>IF((((AB71+AC71)/2)+(C71/(DATOS!$B$14*((AB71+AC71)/2)))^2/(2*9.81)+B71-(E70+(C70/(DATOS!$B$14*E70))^2/(2*9.81)+B70+0.5*(((DATOS!$B$27*C70/(DATOS!$B$14*E70))^2/((DATOS!$B$14*E70)/(DATOS!$B$14+2*E70))^(4/3))+((DATOS!$B$27*C71/(DATOS!$B$14*((AB71+AC71)/2)))^2/((DATOS!$B$14*((AB71+AC71)/2))/(DATOS!$B$14+2*((AB71+AC71)/2)))^(4/3)))*(A70-A71)))&lt;0,AC71,((AB71+AC71)/2))</f>
        <v/>
      </c>
      <c r="AF71" s="16">
        <f>IF((((AD71+AE71)/2)+(C71/(DATOS!$B$14*((AD71+AE71)/2)))^2/(2*9.81)+B71-(E70+(C70/(DATOS!$B$14*E70))^2/(2*9.81)+B70+0.5*(((DATOS!$B$27*C70/(DATOS!$B$14*E70))^2/((DATOS!$B$14*E70)/(DATOS!$B$14+2*E70))^(4/3))+((DATOS!$B$27*C71/(DATOS!$B$14*((AD71+AE71)/2)))^2/((DATOS!$B$14*((AD71+AE71)/2))/(DATOS!$B$14+2*((AD71+AE71)/2)))^(4/3)))*(A70-A71)))&lt;0,((AD71+AE71)/2),AD71)</f>
        <v/>
      </c>
      <c r="AG71" s="16">
        <f>IF((((AD71+AE71)/2)+(C71/(DATOS!$B$14*((AD71+AE71)/2)))^2/(2*9.81)+B71-(E70+(C70/(DATOS!$B$14*E70))^2/(2*9.81)+B70+0.5*(((DATOS!$B$27*C70/(DATOS!$B$14*E70))^2/((DATOS!$B$14*E70)/(DATOS!$B$14+2*E70))^(4/3))+((DATOS!$B$27*C71/(DATOS!$B$14*((AD71+AE71)/2)))^2/((DATOS!$B$14*((AD71+AE71)/2))/(DATOS!$B$14+2*((AD71+AE71)/2)))^(4/3)))*(A70-A71)))&lt;0,AE71,((AD71+AE71)/2))</f>
        <v/>
      </c>
      <c r="AH71" s="16">
        <f>IF((((AF71+AG71)/2)+(C71/(DATOS!$B$14*((AF71+AG71)/2)))^2/(2*9.81)+B71-(E70+(C70/(DATOS!$B$14*E70))^2/(2*9.81)+B70+0.5*(((DATOS!$B$27*C70/(DATOS!$B$14*E70))^2/((DATOS!$B$14*E70)/(DATOS!$B$14+2*E70))^(4/3))+((DATOS!$B$27*C71/(DATOS!$B$14*((AF71+AG71)/2)))^2/((DATOS!$B$14*((AF71+AG71)/2))/(DATOS!$B$14+2*((AF71+AG71)/2)))^(4/3)))*(A70-A71)))&lt;0,((AF71+AG71)/2),AF71)</f>
        <v/>
      </c>
      <c r="AI71" s="16">
        <f>IF((((AF71+AG71)/2)+(C71/(DATOS!$B$14*((AF71+AG71)/2)))^2/(2*9.81)+B71-(E70+(C70/(DATOS!$B$14*E70))^2/(2*9.81)+B70+0.5*(((DATOS!$B$27*C70/(DATOS!$B$14*E70))^2/((DATOS!$B$14*E70)/(DATOS!$B$14+2*E70))^(4/3))+((DATOS!$B$27*C71/(DATOS!$B$14*((AF71+AG71)/2)))^2/((DATOS!$B$14*((AF71+AG71)/2))/(DATOS!$B$14+2*((AF71+AG71)/2)))^(4/3)))*(A70-A71)))&lt;0,AG71,((AF71+AG71)/2))</f>
        <v/>
      </c>
      <c r="AJ71" s="16">
        <f>IF((((AH71+AI71)/2)+(C71/(DATOS!$B$14*((AH71+AI71)/2)))^2/(2*9.81)+B71-(E70+(C70/(DATOS!$B$14*E70))^2/(2*9.81)+B70+0.5*(((DATOS!$B$27*C70/(DATOS!$B$14*E70))^2/((DATOS!$B$14*E70)/(DATOS!$B$14+2*E70))^(4/3))+((DATOS!$B$27*C71/(DATOS!$B$14*((AH71+AI71)/2)))^2/((DATOS!$B$14*((AH71+AI71)/2))/(DATOS!$B$14+2*((AH71+AI71)/2)))^(4/3)))*(A70-A71)))&lt;0,((AH71+AI71)/2),AH71)</f>
        <v/>
      </c>
      <c r="AK71" s="16">
        <f>IF((((AH71+AI71)/2)+(C71/(DATOS!$B$14*((AH71+AI71)/2)))^2/(2*9.81)+B71-(E70+(C70/(DATOS!$B$14*E70))^2/(2*9.81)+B70+0.5*(((DATOS!$B$27*C70/(DATOS!$B$14*E70))^2/((DATOS!$B$14*E70)/(DATOS!$B$14+2*E70))^(4/3))+((DATOS!$B$27*C71/(DATOS!$B$14*((AH71+AI71)/2)))^2/((DATOS!$B$14*((AH71+AI71)/2))/(DATOS!$B$14+2*((AH71+AI71)/2)))^(4/3)))*(A70-A71)))&lt;0,AI71,((AH71+AI71)/2))</f>
        <v/>
      </c>
      <c r="AL71" s="16">
        <f>IF((((AJ71+AK71)/2)+(C71/(DATOS!$B$14*((AJ71+AK71)/2)))^2/(2*9.81)+B71-(E70+(C70/(DATOS!$B$14*E70))^2/(2*9.81)+B70+0.5*(((DATOS!$B$27*C70/(DATOS!$B$14*E70))^2/((DATOS!$B$14*E70)/(DATOS!$B$14+2*E70))^(4/3))+((DATOS!$B$27*C71/(DATOS!$B$14*((AJ71+AK71)/2)))^2/((DATOS!$B$14*((AJ71+AK71)/2))/(DATOS!$B$14+2*((AJ71+AK71)/2)))^(4/3)))*(A70-A71)))&lt;0,((AJ71+AK71)/2),AJ71)</f>
        <v/>
      </c>
      <c r="AM71" s="16">
        <f>IF((((AJ71+AK71)/2)+(C71/(DATOS!$B$14*((AJ71+AK71)/2)))^2/(2*9.81)+B71-(E70+(C70/(DATOS!$B$14*E70))^2/(2*9.81)+B70+0.5*(((DATOS!$B$27*C70/(DATOS!$B$14*E70))^2/((DATOS!$B$14*E70)/(DATOS!$B$14+2*E70))^(4/3))+((DATOS!$B$27*C71/(DATOS!$B$14*((AJ71+AK71)/2)))^2/((DATOS!$B$14*((AJ71+AK71)/2))/(DATOS!$B$14+2*((AJ71+AK71)/2)))^(4/3)))*(A70-A71)))&lt;0,AK71,((AJ71+AK71)/2))</f>
        <v/>
      </c>
      <c r="AN71" s="16">
        <f>IF((((AL71+AM71)/2)+(C71/(DATOS!$B$14*((AL71+AM71)/2)))^2/(2*9.81)+B71-(E70+(C70/(DATOS!$B$14*E70))^2/(2*9.81)+B70+0.5*(((DATOS!$B$27*C70/(DATOS!$B$14*E70))^2/((DATOS!$B$14*E70)/(DATOS!$B$14+2*E70))^(4/3))+((DATOS!$B$27*C71/(DATOS!$B$14*((AL71+AM71)/2)))^2/((DATOS!$B$14*((AL71+AM71)/2))/(DATOS!$B$14+2*((AL71+AM71)/2)))^(4/3)))*(A70-A71)))&lt;0,((AL71+AM71)/2),AL71)</f>
        <v/>
      </c>
      <c r="AO71" s="16">
        <f>IF((((AL71+AM71)/2)+(C71/(DATOS!$B$14*((AL71+AM71)/2)))^2/(2*9.81)+B71-(E70+(C70/(DATOS!$B$14*E70))^2/(2*9.81)+B70+0.5*(((DATOS!$B$27*C70/(DATOS!$B$14*E70))^2/((DATOS!$B$14*E70)/(DATOS!$B$14+2*E70))^(4/3))+((DATOS!$B$27*C71/(DATOS!$B$14*((AL71+AM71)/2)))^2/((DATOS!$B$14*((AL71+AM71)/2))/(DATOS!$B$14+2*((AL71+AM71)/2)))^(4/3)))*(A70-A71)))&lt;0,AM71,((AL71+AM71)/2))</f>
        <v/>
      </c>
      <c r="AP71" s="16">
        <f>IF((((AN71+AO71)/2)+(C71/(DATOS!$B$14*((AN71+AO71)/2)))^2/(2*9.81)+B71-(E70+(C70/(DATOS!$B$14*E70))^2/(2*9.81)+B70+0.5*(((DATOS!$B$27*C70/(DATOS!$B$14*E70))^2/((DATOS!$B$14*E70)/(DATOS!$B$14+2*E70))^(4/3))+((DATOS!$B$27*C71/(DATOS!$B$14*((AN71+AO71)/2)))^2/((DATOS!$B$14*((AN71+AO71)/2))/(DATOS!$B$14+2*((AN71+AO71)/2)))^(4/3)))*(A70-A71)))&lt;0,((AN71+AO71)/2),AN71)</f>
        <v/>
      </c>
      <c r="AQ71" s="16">
        <f>IF((((AN71+AO71)/2)+(C71/(DATOS!$B$14*((AN71+AO71)/2)))^2/(2*9.81)+B71-(E70+(C70/(DATOS!$B$14*E70))^2/(2*9.81)+B70+0.5*(((DATOS!$B$27*C70/(DATOS!$B$14*E70))^2/((DATOS!$B$14*E70)/(DATOS!$B$14+2*E70))^(4/3))+((DATOS!$B$27*C71/(DATOS!$B$14*((AN71+AO71)/2)))^2/((DATOS!$B$14*((AN71+AO71)/2))/(DATOS!$B$14+2*((AN71+AO71)/2)))^(4/3)))*(A70-A71)))&lt;0,AO71,((AN71+AO71)/2))</f>
        <v/>
      </c>
      <c r="AR71" s="16">
        <f>IF((((AP71+AQ71)/2)+(C71/(DATOS!$B$14*((AP71+AQ71)/2)))^2/(2*9.81)+B71-(E70+(C70/(DATOS!$B$14*E70))^2/(2*9.81)+B70+0.5*(((DATOS!$B$27*C70/(DATOS!$B$14*E70))^2/((DATOS!$B$14*E70)/(DATOS!$B$14+2*E70))^(4/3))+((DATOS!$B$27*C71/(DATOS!$B$14*((AP71+AQ71)/2)))^2/((DATOS!$B$14*((AP71+AQ71)/2))/(DATOS!$B$14+2*((AP71+AQ71)/2)))^(4/3)))*(A70-A71)))&lt;0,((AP71+AQ71)/2),AP71)</f>
        <v/>
      </c>
      <c r="AS71" s="16">
        <f>IF((((AP71+AQ71)/2)+(C71/(DATOS!$B$14*((AP71+AQ71)/2)))^2/(2*9.81)+B71-(E70+(C70/(DATOS!$B$14*E70))^2/(2*9.81)+B70+0.5*(((DATOS!$B$27*C70/(DATOS!$B$14*E70))^2/((DATOS!$B$14*E70)/(DATOS!$B$14+2*E70))^(4/3))+((DATOS!$B$27*C71/(DATOS!$B$14*((AP71+AQ71)/2)))^2/((DATOS!$B$14*((AP71+AQ71)/2))/(DATOS!$B$14+2*((AP71+AQ71)/2)))^(4/3)))*(A70-A71)))&lt;0,AQ71,((AP71+AQ71)/2))</f>
        <v/>
      </c>
      <c r="AT71" s="16">
        <f>IF((((AR71+AS71)/2)+(C71/(DATOS!$B$14*((AR71+AS71)/2)))^2/(2*9.81)+B71-(E70+(C70/(DATOS!$B$14*E70))^2/(2*9.81)+B70+0.5*(((DATOS!$B$27*C70/(DATOS!$B$14*E70))^2/((DATOS!$B$14*E70)/(DATOS!$B$14+2*E70))^(4/3))+((DATOS!$B$27*C71/(DATOS!$B$14*((AR71+AS71)/2)))^2/((DATOS!$B$14*((AR71+AS71)/2))/(DATOS!$B$14+2*((AR71+AS71)/2)))^(4/3)))*(A70-A71)))&lt;0,((AR71+AS71)/2),AR71)</f>
        <v/>
      </c>
      <c r="AU71" s="16">
        <f>IF((((AR71+AS71)/2)+(C71/(DATOS!$B$14*((AR71+AS71)/2)))^2/(2*9.81)+B71-(E70+(C70/(DATOS!$B$14*E70))^2/(2*9.81)+B70+0.5*(((DATOS!$B$27*C70/(DATOS!$B$14*E70))^2/((DATOS!$B$14*E70)/(DATOS!$B$14+2*E70))^(4/3))+((DATOS!$B$27*C71/(DATOS!$B$14*((AR71+AS71)/2)))^2/((DATOS!$B$14*((AR71+AS71)/2))/(DATOS!$B$14+2*((AR71+AS71)/2)))^(4/3)))*(A70-A71)))&lt;0,AS71,((AR71+AS71)/2))</f>
        <v/>
      </c>
      <c r="AV71" s="16">
        <f>IF((((AT71+AU71)/2)+(C71/(DATOS!$B$14*((AT71+AU71)/2)))^2/(2*9.81)+B71-(E70+(C70/(DATOS!$B$14*E70))^2/(2*9.81)+B70+0.5*(((DATOS!$B$27*C70/(DATOS!$B$14*E70))^2/((DATOS!$B$14*E70)/(DATOS!$B$14+2*E70))^(4/3))+((DATOS!$B$27*C71/(DATOS!$B$14*((AT71+AU71)/2)))^2/((DATOS!$B$14*((AT71+AU71)/2))/(DATOS!$B$14+2*((AT71+AU71)/2)))^(4/3)))*(A70-A71)))&lt;0,((AT71+AU71)/2),AT71)</f>
        <v/>
      </c>
      <c r="AW71" s="16">
        <f>IF((((AT71+AU71)/2)+(C71/(DATOS!$B$14*((AT71+AU71)/2)))^2/(2*9.81)+B71-(E70+(C70/(DATOS!$B$14*E70))^2/(2*9.81)+B70+0.5*(((DATOS!$B$27*C70/(DATOS!$B$14*E70))^2/((DATOS!$B$14*E70)/(DATOS!$B$14+2*E70))^(4/3))+((DATOS!$B$27*C71/(DATOS!$B$14*((AT71+AU71)/2)))^2/((DATOS!$B$14*((AT71+AU71)/2))/(DATOS!$B$14+2*((AT71+AU71)/2)))^(4/3)))*(A70-A71)))&lt;0,AU71,((AT71+AU71)/2))</f>
        <v/>
      </c>
      <c r="AX71" s="16">
        <f>IF((((AV71+AW71)/2)+(C71/(DATOS!$B$14*((AV71+AW71)/2)))^2/(2*9.81)+B71-(E70+(C70/(DATOS!$B$14*E70))^2/(2*9.81)+B70+0.5*(((DATOS!$B$27*C70/(DATOS!$B$14*E70))^2/((DATOS!$B$14*E70)/(DATOS!$B$14+2*E70))^(4/3))+((DATOS!$B$27*C71/(DATOS!$B$14*((AV71+AW71)/2)))^2/((DATOS!$B$14*((AV71+AW71)/2))/(DATOS!$B$14+2*((AV71+AW71)/2)))^(4/3)))*(A70-A71)))&lt;0,((AV71+AW71)/2),AV71)</f>
        <v/>
      </c>
      <c r="AY71" s="16">
        <f>IF((((AV71+AW71)/2)+(C71/(DATOS!$B$14*((AV71+AW71)/2)))^2/(2*9.81)+B71-(E70+(C70/(DATOS!$B$14*E70))^2/(2*9.81)+B70+0.5*(((DATOS!$B$27*C70/(DATOS!$B$14*E70))^2/((DATOS!$B$14*E70)/(DATOS!$B$14+2*E70))^(4/3))+((DATOS!$B$27*C71/(DATOS!$B$14*((AV71+AW71)/2)))^2/((DATOS!$B$14*((AV71+AW71)/2))/(DATOS!$B$14+2*((AV71+AW71)/2)))^(4/3)))*(A70-A71)))&lt;0,AW71,((AV71+AW71)/2))</f>
        <v/>
      </c>
      <c r="AZ71" s="16">
        <f>IF((((AX71+AY71)/2)+(C71/(DATOS!$B$14*((AX71+AY71)/2)))^2/(2*9.81)+B71-(E70+(C70/(DATOS!$B$14*E70))^2/(2*9.81)+B70+0.5*(((DATOS!$B$27*C70/(DATOS!$B$14*E70))^2/((DATOS!$B$14*E70)/(DATOS!$B$14+2*E70))^(4/3))+((DATOS!$B$27*C71/(DATOS!$B$14*((AX71+AY71)/2)))^2/((DATOS!$B$14*((AX71+AY71)/2))/(DATOS!$B$14+2*((AX71+AY71)/2)))^(4/3)))*(A70-A71)))&lt;0,((AX71+AY71)/2),AX71)</f>
        <v/>
      </c>
      <c r="BA71" s="16">
        <f>IF((((AX71+AY71)/2)+(C71/(DATOS!$B$14*((AX71+AY71)/2)))^2/(2*9.81)+B71-(E70+(C70/(DATOS!$B$14*E70))^2/(2*9.81)+B70+0.5*(((DATOS!$B$27*C70/(DATOS!$B$14*E70))^2/((DATOS!$B$14*E70)/(DATOS!$B$14+2*E70))^(4/3))+((DATOS!$B$27*C71/(DATOS!$B$14*((AX71+AY71)/2)))^2/((DATOS!$B$14*((AX71+AY71)/2))/(DATOS!$B$14+2*((AX71+AY71)/2)))^(4/3)))*(A70-A71)))&lt;0,AY71,((AX71+AY71)/2))</f>
        <v/>
      </c>
      <c r="BB71" s="16">
        <f>IF((((AZ71+BA71)/2)+(C71/(DATOS!$B$14*((AZ71+BA71)/2)))^2/(2*9.81)+B71-(E70+(C70/(DATOS!$B$14*E70))^2/(2*9.81)+B70+0.5*(((DATOS!$B$27*C70/(DATOS!$B$14*E70))^2/((DATOS!$B$14*E70)/(DATOS!$B$14+2*E70))^(4/3))+((DATOS!$B$27*C71/(DATOS!$B$14*((AZ71+BA71)/2)))^2/((DATOS!$B$14*((AZ71+BA71)/2))/(DATOS!$B$14+2*((AZ71+BA71)/2)))^(4/3)))*(A70-A71)))&lt;0,((AZ71+BA71)/2),AZ71)</f>
        <v/>
      </c>
      <c r="BC71" s="16">
        <f>IF((((AZ71+BA71)/2)+(C71/(DATOS!$B$14*((AZ71+BA71)/2)))^2/(2*9.81)+B71-(E70+(C70/(DATOS!$B$14*E70))^2/(2*9.81)+B70+0.5*(((DATOS!$B$27*C70/(DATOS!$B$14*E70))^2/((DATOS!$B$14*E70)/(DATOS!$B$14+2*E70))^(4/3))+((DATOS!$B$27*C71/(DATOS!$B$14*((AZ71+BA71)/2)))^2/((DATOS!$B$14*((AZ71+BA71)/2))/(DATOS!$B$14+2*((AZ71+BA71)/2)))^(4/3)))*(A70-A71)))&lt;0,BA71,((AZ71+BA71)/2))</f>
        <v/>
      </c>
      <c r="BD71" s="16">
        <f>IF((((BB71+BC71)/2)+(C71/(DATOS!$B$14*((BB71+BC71)/2)))^2/(2*9.81)+B71-(E70+(C70/(DATOS!$B$14*E70))^2/(2*9.81)+B70+0.5*(((DATOS!$B$27*C70/(DATOS!$B$14*E70))^2/((DATOS!$B$14*E70)/(DATOS!$B$14+2*E70))^(4/3))+((DATOS!$B$27*C71/(DATOS!$B$14*((BB71+BC71)/2)))^2/((DATOS!$B$14*((BB71+BC71)/2))/(DATOS!$B$14+2*((BB71+BC71)/2)))^(4/3)))*(A70-A71)))&lt;0,((BB71+BC71)/2),BB71)</f>
        <v/>
      </c>
      <c r="BE71" s="16">
        <f>IF((((BB71+BC71)/2)+(C71/(DATOS!$B$14*((BB71+BC71)/2)))^2/(2*9.81)+B71-(E70+(C70/(DATOS!$B$14*E70))^2/(2*9.81)+B70+0.5*(((DATOS!$B$27*C70/(DATOS!$B$14*E70))^2/((DATOS!$B$14*E70)/(DATOS!$B$14+2*E70))^(4/3))+((DATOS!$B$27*C71/(DATOS!$B$14*((BB71+BC71)/2)))^2/((DATOS!$B$14*((BB71+BC71)/2))/(DATOS!$B$14+2*((BB71+BC71)/2)))^(4/3)))*(A70-A71)))&lt;0,BC71,((BB71+BC71)/2))</f>
        <v/>
      </c>
      <c r="BF71" s="16">
        <f>IF((((BD71+BE71)/2)+(C71/(DATOS!$B$14*((BD71+BE71)/2)))^2/(2*9.81)+B71-(E70+(C70/(DATOS!$B$14*E70))^2/(2*9.81)+B70+0.5*(((DATOS!$B$27*C70/(DATOS!$B$14*E70))^2/((DATOS!$B$14*E70)/(DATOS!$B$14+2*E70))^(4/3))+((DATOS!$B$27*C71/(DATOS!$B$14*((BD71+BE71)/2)))^2/((DATOS!$B$14*((BD71+BE71)/2))/(DATOS!$B$14+2*((BD71+BE71)/2)))^(4/3)))*(A70-A71)))&lt;0,((BD71+BE71)/2),BD71)</f>
        <v/>
      </c>
      <c r="BG71" s="16">
        <f>IF((((BD71+BE71)/2)+(C71/(DATOS!$B$14*((BD71+BE71)/2)))^2/(2*9.81)+B71-(E70+(C70/(DATOS!$B$14*E70))^2/(2*9.81)+B70+0.5*(((DATOS!$B$27*C70/(DATOS!$B$14*E70))^2/((DATOS!$B$14*E70)/(DATOS!$B$14+2*E70))^(4/3))+((DATOS!$B$27*C71/(DATOS!$B$14*((BD71+BE71)/2)))^2/((DATOS!$B$14*((BD71+BE71)/2))/(DATOS!$B$14+2*((BD71+BE71)/2)))^(4/3)))*(A70-A71)))&lt;0,BE71,((BD71+BE71)/2))</f>
        <v/>
      </c>
      <c r="BH71" s="16">
        <f>IF((((BF71+BG71)/2)+(C71/(DATOS!$B$14*((BF71+BG71)/2)))^2/(2*9.81)+B71-(E70+(C70/(DATOS!$B$14*E70))^2/(2*9.81)+B70+0.5*(((DATOS!$B$27*C70/(DATOS!$B$14*E70))^2/((DATOS!$B$14*E70)/(DATOS!$B$14+2*E70))^(4/3))+((DATOS!$B$27*C71/(DATOS!$B$14*((BF71+BG71)/2)))^2/((DATOS!$B$14*((BF71+BG71)/2))/(DATOS!$B$14+2*((BF71+BG71)/2)))^(4/3)))*(A70-A71)))&lt;0,((BF71+BG71)/2),BF71)</f>
        <v/>
      </c>
      <c r="BI71" s="16">
        <f>IF((((BF71+BG71)/2)+(C71/(DATOS!$B$14*((BF71+BG71)/2)))^2/(2*9.81)+B71-(E70+(C70/(DATOS!$B$14*E70))^2/(2*9.81)+B70+0.5*(((DATOS!$B$27*C70/(DATOS!$B$14*E70))^2/((DATOS!$B$14*E70)/(DATOS!$B$14+2*E70))^(4/3))+((DATOS!$B$27*C71/(DATOS!$B$14*((BF71+BG71)/2)))^2/((DATOS!$B$14*((BF71+BG71)/2))/(DATOS!$B$14+2*((BF71+BG71)/2)))^(4/3)))*(A70-A71)))&lt;0,BG71,((BF71+BG71)/2))</f>
        <v/>
      </c>
      <c r="BJ71" s="16">
        <f>IF((((BH71+BI71)/2)+(C71/(DATOS!$B$14*((BH71+BI71)/2)))^2/(2*9.81)+B71-(E70+(C70/(DATOS!$B$14*E70))^2/(2*9.81)+B70+0.5*(((DATOS!$B$27*C70/(DATOS!$B$14*E70))^2/((DATOS!$B$14*E70)/(DATOS!$B$14+2*E70))^(4/3))+((DATOS!$B$27*C71/(DATOS!$B$14*((BH71+BI71)/2)))^2/((DATOS!$B$14*((BH71+BI71)/2))/(DATOS!$B$14+2*((BH71+BI71)/2)))^(4/3)))*(A70-A71)))&lt;0,((BH71+BI71)/2),BH71)</f>
        <v/>
      </c>
      <c r="BK71" s="16">
        <f>IF((((BH71+BI71)/2)+(C71/(DATOS!$B$14*((BH71+BI71)/2)))^2/(2*9.81)+B71-(E70+(C70/(DATOS!$B$14*E70))^2/(2*9.81)+B70+0.5*(((DATOS!$B$27*C70/(DATOS!$B$14*E70))^2/((DATOS!$B$14*E70)/(DATOS!$B$14+2*E70))^(4/3))+((DATOS!$B$27*C71/(DATOS!$B$14*((BH71+BI71)/2)))^2/((DATOS!$B$14*((BH71+BI71)/2))/(DATOS!$B$14+2*((BH71+BI71)/2)))^(4/3)))*(A70-A71)))&lt;0,BI71,((BH71+BI71)/2))</f>
        <v/>
      </c>
      <c r="BL71" s="16">
        <f>IF((((BJ71+BK71)/2)+(C71/(DATOS!$B$14*((BJ71+BK71)/2)))^2/(2*9.81)+B71-(E70+(C70/(DATOS!$B$14*E70))^2/(2*9.81)+B70+0.5*(((DATOS!$B$27*C70/(DATOS!$B$14*E70))^2/((DATOS!$B$14*E70)/(DATOS!$B$14+2*E70))^(4/3))+((DATOS!$B$27*C71/(DATOS!$B$14*((BJ71+BK71)/2)))^2/((DATOS!$B$14*((BJ71+BK71)/2))/(DATOS!$B$14+2*((BJ71+BK71)/2)))^(4/3)))*(A70-A71)))&lt;0,((BJ71+BK71)/2),BJ71)</f>
        <v/>
      </c>
      <c r="BM71" s="16">
        <f>IF((((BJ71+BK71)/2)+(C71/(DATOS!$B$14*((BJ71+BK71)/2)))^2/(2*9.81)+B71-(E70+(C70/(DATOS!$B$14*E70))^2/(2*9.81)+B70+0.5*(((DATOS!$B$27*C70/(DATOS!$B$14*E70))^2/((DATOS!$B$14*E70)/(DATOS!$B$14+2*E70))^(4/3))+((DATOS!$B$27*C71/(DATOS!$B$14*((BJ71+BK71)/2)))^2/((DATOS!$B$14*((BJ71+BK71)/2))/(DATOS!$B$14+2*((BJ71+BK71)/2)))^(4/3)))*(A70-A71)))&lt;0,BK71,((BJ71+BK71)/2))</f>
        <v/>
      </c>
      <c r="BN71" s="16">
        <f>IF((((BL71+BM71)/2)+(C71/(DATOS!$B$14*((BL71+BM71)/2)))^2/(2*9.81)+B71-(E70+(C70/(DATOS!$B$14*E70))^2/(2*9.81)+B70+0.5*(((DATOS!$B$27*C70/(DATOS!$B$14*E70))^2/((DATOS!$B$14*E70)/(DATOS!$B$14+2*E70))^(4/3))+((DATOS!$B$27*C71/(DATOS!$B$14*((BL71+BM71)/2)))^2/((DATOS!$B$14*((BL71+BM71)/2))/(DATOS!$B$14+2*((BL71+BM71)/2)))^(4/3)))*(A70-A71)))&lt;0,((BL71+BM71)/2),BL71)</f>
        <v/>
      </c>
      <c r="BO71" s="16">
        <f>IF((((BL71+BM71)/2)+(C71/(DATOS!$B$14*((BL71+BM71)/2)))^2/(2*9.81)+B71-(E70+(C70/(DATOS!$B$14*E70))^2/(2*9.81)+B70+0.5*(((DATOS!$B$27*C70/(DATOS!$B$14*E70))^2/((DATOS!$B$14*E70)/(DATOS!$B$14+2*E70))^(4/3))+((DATOS!$B$27*C71/(DATOS!$B$14*((BL71+BM71)/2)))^2/((DATOS!$B$14*((BL71+BM71)/2))/(DATOS!$B$14+2*((BL71+BM71)/2)))^(4/3)))*(A70-A71)))&lt;0,BM71,((BL71+BM71)/2))</f>
        <v/>
      </c>
      <c r="BP71" s="16">
        <f>IF((((BN71+BO71)/2)+(C71/(DATOS!$B$14*((BN71+BO71)/2)))^2/(2*9.81)+B71-(E70+(C70/(DATOS!$B$14*E70))^2/(2*9.81)+B70+0.5*(((DATOS!$B$27*C70/(DATOS!$B$14*E70))^2/((DATOS!$B$14*E70)/(DATOS!$B$14+2*E70))^(4/3))+((DATOS!$B$27*C71/(DATOS!$B$14*((BN71+BO71)/2)))^2/((DATOS!$B$14*((BN71+BO71)/2))/(DATOS!$B$14+2*((BN71+BO71)/2)))^(4/3)))*(A70-A71)))&lt;0,((BN71+BO71)/2),BN71)</f>
        <v/>
      </c>
      <c r="BQ71" s="16">
        <f>IF((((BN71+BO71)/2)+(C71/(DATOS!$B$14*((BN71+BO71)/2)))^2/(2*9.81)+B71-(E70+(C70/(DATOS!$B$14*E70))^2/(2*9.81)+B70+0.5*(((DATOS!$B$27*C70/(DATOS!$B$14*E70))^2/((DATOS!$B$14*E70)/(DATOS!$B$14+2*E70))^(4/3))+((DATOS!$B$27*C71/(DATOS!$B$14*((BN71+BO71)/2)))^2/((DATOS!$B$14*((BN71+BO71)/2))/(DATOS!$B$14+2*((BN71+BO71)/2)))^(4/3)))*(A70-A71)))&lt;0,BO71,((BN71+BO71)/2))</f>
        <v/>
      </c>
      <c r="BR71" s="16">
        <f>IF((((BP71+BQ71)/2)+(C71/(DATOS!$B$14*((BP71+BQ71)/2)))^2/(2*9.81)+B71-(E70+(C70/(DATOS!$B$14*E70))^2/(2*9.81)+B70+0.5*(((DATOS!$B$27*C70/(DATOS!$B$14*E70))^2/((DATOS!$B$14*E70)/(DATOS!$B$14+2*E70))^(4/3))+((DATOS!$B$27*C71/(DATOS!$B$14*((BP71+BQ71)/2)))^2/((DATOS!$B$14*((BP71+BQ71)/2))/(DATOS!$B$14+2*((BP71+BQ71)/2)))^(4/3)))*(A70-A71)))&lt;0,((BP71+BQ71)/2),BP71)</f>
        <v/>
      </c>
      <c r="BS71" s="16">
        <f>IF((((BP71+BQ71)/2)+(C71/(DATOS!$B$14*((BP71+BQ71)/2)))^2/(2*9.81)+B71-(E70+(C70/(DATOS!$B$14*E70))^2/(2*9.81)+B70+0.5*(((DATOS!$B$27*C70/(DATOS!$B$14*E70))^2/((DATOS!$B$14*E70)/(DATOS!$B$14+2*E70))^(4/3))+((DATOS!$B$27*C71/(DATOS!$B$14*((BP71+BQ71)/2)))^2/((DATOS!$B$14*((BP71+BQ71)/2))/(DATOS!$B$14+2*((BP71+BQ71)/2)))^(4/3)))*(A70-A71)))&lt;0,BQ71,((BP71+BQ71)/2))</f>
        <v/>
      </c>
      <c r="BT71" s="16">
        <f>IF((((BR71+BS71)/2)+(C71/(DATOS!$B$14*((BR71+BS71)/2)))^2/(2*9.81)+B71-(E70+(C70/(DATOS!$B$14*E70))^2/(2*9.81)+B70+0.5*(((DATOS!$B$27*C70/(DATOS!$B$14*E70))^2/((DATOS!$B$14*E70)/(DATOS!$B$14+2*E70))^(4/3))+((DATOS!$B$27*C71/(DATOS!$B$14*((BR71+BS71)/2)))^2/((DATOS!$B$14*((BR71+BS71)/2))/(DATOS!$B$14+2*((BR71+BS71)/2)))^(4/3)))*(A70-A71)))&lt;0,((BR71+BS71)/2),BR71)</f>
        <v/>
      </c>
      <c r="BU71" s="16">
        <f>IF((((BR71+BS71)/2)+(C71/(DATOS!$B$14*((BR71+BS71)/2)))^2/(2*9.81)+B71-(E70+(C70/(DATOS!$B$14*E70))^2/(2*9.81)+B70+0.5*(((DATOS!$B$27*C70/(DATOS!$B$14*E70))^2/((DATOS!$B$14*E70)/(DATOS!$B$14+2*E70))^(4/3))+((DATOS!$B$27*C71/(DATOS!$B$14*((BR71+BS71)/2)))^2/((DATOS!$B$14*((BR71+BS71)/2))/(DATOS!$B$14+2*((BR71+BS71)/2)))^(4/3)))*(A70-A71)))&lt;0,BS71,((BR71+BS71)/2))</f>
        <v/>
      </c>
    </row>
    <row r="72">
      <c r="A72" s="30" t="n">
        <v>14</v>
      </c>
      <c r="B72" s="21">
        <f>DATOS!$B$16-DATOS!$B$19*A72</f>
        <v/>
      </c>
      <c r="C72" s="21">
        <f>IF(A72&lt;CAUDALES!$B$13,CAUDALES!$D$12,IF(A72&lt;CAUDALES!$B$14,CAUDALES!$D$13,IF(A72&lt;CAUDALES!$B$15,CAUDALES!$D$14,CAUDALES!$D$15)))/1000</f>
        <v/>
      </c>
      <c r="D72" s="21">
        <f>(C72^2/(9.81*DATOS!$B$14^2))^(1/3)</f>
        <v/>
      </c>
      <c r="E72" s="29">
        <f>(BT72+BU72)/2</f>
        <v/>
      </c>
      <c r="F72" s="21">
        <f>B72+E72</f>
        <v/>
      </c>
      <c r="G72" s="17">
        <f>C72/(DATOS!$B$14*E72)</f>
        <v/>
      </c>
      <c r="H72" s="17">
        <f>G72/SQRT(9.81*E72)</f>
        <v/>
      </c>
      <c r="I72" s="21">
        <f>IF(A72&lt;=DATOS!$B$20,DATOS!$B$21-IF(AND(A72&gt;=DATOS!$B$23,A72&lt;DATOS!$B$24),DATOS!$B$25,DATOS!$B$22),B72+DATOS!$B$26)</f>
        <v/>
      </c>
      <c r="J72" s="17">
        <f>I72-B72</f>
        <v/>
      </c>
      <c r="K72" s="31">
        <f>E72/J72</f>
        <v/>
      </c>
      <c r="L72" s="21">
        <f>I72-F72</f>
        <v/>
      </c>
      <c r="M72" s="32">
        <f>IF(AND(K72&lt;=DATOS!$B$29,L72&gt;=DATOS!$B$30),"CUMPLE","NO CUMPLE")</f>
        <v/>
      </c>
      <c r="N72" s="13">
        <f>IF(A72&gt;DATOS!$B$20,"cubierto - tramo final",IF(AND(A72&gt;=DATOS!$B$23,A72&lt;DATOS!$B$24),"cubierto - camiones","cubierto"))</f>
        <v/>
      </c>
      <c r="P72" s="16">
        <f>D72*1.001</f>
        <v/>
      </c>
      <c r="Q72" s="16" t="n">
        <v>2</v>
      </c>
      <c r="R72" s="16">
        <f>IF((((P72+Q72)/2)+(C72/(DATOS!$B$14*((P72+Q72)/2)))^2/(2*9.81)+B72-(E71+(C71/(DATOS!$B$14*E71))^2/(2*9.81)+B71+0.5*(((DATOS!$B$27*C71/(DATOS!$B$14*E71))^2/((DATOS!$B$14*E71)/(DATOS!$B$14+2*E71))^(4/3))+((DATOS!$B$27*C72/(DATOS!$B$14*((P72+Q72)/2)))^2/((DATOS!$B$14*((P72+Q72)/2))/(DATOS!$B$14+2*((P72+Q72)/2)))^(4/3)))*(A71-A72)))&lt;0,((P72+Q72)/2),P72)</f>
        <v/>
      </c>
      <c r="S72" s="16">
        <f>IF((((P72+Q72)/2)+(C72/(DATOS!$B$14*((P72+Q72)/2)))^2/(2*9.81)+B72-(E71+(C71/(DATOS!$B$14*E71))^2/(2*9.81)+B71+0.5*(((DATOS!$B$27*C71/(DATOS!$B$14*E71))^2/((DATOS!$B$14*E71)/(DATOS!$B$14+2*E71))^(4/3))+((DATOS!$B$27*C72/(DATOS!$B$14*((P72+Q72)/2)))^2/((DATOS!$B$14*((P72+Q72)/2))/(DATOS!$B$14+2*((P72+Q72)/2)))^(4/3)))*(A71-A72)))&lt;0,Q72,((P72+Q72)/2))</f>
        <v/>
      </c>
      <c r="T72" s="16">
        <f>IF((((R72+S72)/2)+(C72/(DATOS!$B$14*((R72+S72)/2)))^2/(2*9.81)+B72-(E71+(C71/(DATOS!$B$14*E71))^2/(2*9.81)+B71+0.5*(((DATOS!$B$27*C71/(DATOS!$B$14*E71))^2/((DATOS!$B$14*E71)/(DATOS!$B$14+2*E71))^(4/3))+((DATOS!$B$27*C72/(DATOS!$B$14*((R72+S72)/2)))^2/((DATOS!$B$14*((R72+S72)/2))/(DATOS!$B$14+2*((R72+S72)/2)))^(4/3)))*(A71-A72)))&lt;0,((R72+S72)/2),R72)</f>
        <v/>
      </c>
      <c r="U72" s="16">
        <f>IF((((R72+S72)/2)+(C72/(DATOS!$B$14*((R72+S72)/2)))^2/(2*9.81)+B72-(E71+(C71/(DATOS!$B$14*E71))^2/(2*9.81)+B71+0.5*(((DATOS!$B$27*C71/(DATOS!$B$14*E71))^2/((DATOS!$B$14*E71)/(DATOS!$B$14+2*E71))^(4/3))+((DATOS!$B$27*C72/(DATOS!$B$14*((R72+S72)/2)))^2/((DATOS!$B$14*((R72+S72)/2))/(DATOS!$B$14+2*((R72+S72)/2)))^(4/3)))*(A71-A72)))&lt;0,S72,((R72+S72)/2))</f>
        <v/>
      </c>
      <c r="V72" s="16">
        <f>IF((((T72+U72)/2)+(C72/(DATOS!$B$14*((T72+U72)/2)))^2/(2*9.81)+B72-(E71+(C71/(DATOS!$B$14*E71))^2/(2*9.81)+B71+0.5*(((DATOS!$B$27*C71/(DATOS!$B$14*E71))^2/((DATOS!$B$14*E71)/(DATOS!$B$14+2*E71))^(4/3))+((DATOS!$B$27*C72/(DATOS!$B$14*((T72+U72)/2)))^2/((DATOS!$B$14*((T72+U72)/2))/(DATOS!$B$14+2*((T72+U72)/2)))^(4/3)))*(A71-A72)))&lt;0,((T72+U72)/2),T72)</f>
        <v/>
      </c>
      <c r="W72" s="16">
        <f>IF((((T72+U72)/2)+(C72/(DATOS!$B$14*((T72+U72)/2)))^2/(2*9.81)+B72-(E71+(C71/(DATOS!$B$14*E71))^2/(2*9.81)+B71+0.5*(((DATOS!$B$27*C71/(DATOS!$B$14*E71))^2/((DATOS!$B$14*E71)/(DATOS!$B$14+2*E71))^(4/3))+((DATOS!$B$27*C72/(DATOS!$B$14*((T72+U72)/2)))^2/((DATOS!$B$14*((T72+U72)/2))/(DATOS!$B$14+2*((T72+U72)/2)))^(4/3)))*(A71-A72)))&lt;0,U72,((T72+U72)/2))</f>
        <v/>
      </c>
      <c r="X72" s="16">
        <f>IF((((V72+W72)/2)+(C72/(DATOS!$B$14*((V72+W72)/2)))^2/(2*9.81)+B72-(E71+(C71/(DATOS!$B$14*E71))^2/(2*9.81)+B71+0.5*(((DATOS!$B$27*C71/(DATOS!$B$14*E71))^2/((DATOS!$B$14*E71)/(DATOS!$B$14+2*E71))^(4/3))+((DATOS!$B$27*C72/(DATOS!$B$14*((V72+W72)/2)))^2/((DATOS!$B$14*((V72+W72)/2))/(DATOS!$B$14+2*((V72+W72)/2)))^(4/3)))*(A71-A72)))&lt;0,((V72+W72)/2),V72)</f>
        <v/>
      </c>
      <c r="Y72" s="16">
        <f>IF((((V72+W72)/2)+(C72/(DATOS!$B$14*((V72+W72)/2)))^2/(2*9.81)+B72-(E71+(C71/(DATOS!$B$14*E71))^2/(2*9.81)+B71+0.5*(((DATOS!$B$27*C71/(DATOS!$B$14*E71))^2/((DATOS!$B$14*E71)/(DATOS!$B$14+2*E71))^(4/3))+((DATOS!$B$27*C72/(DATOS!$B$14*((V72+W72)/2)))^2/((DATOS!$B$14*((V72+W72)/2))/(DATOS!$B$14+2*((V72+W72)/2)))^(4/3)))*(A71-A72)))&lt;0,W72,((V72+W72)/2))</f>
        <v/>
      </c>
      <c r="Z72" s="16">
        <f>IF((((X72+Y72)/2)+(C72/(DATOS!$B$14*((X72+Y72)/2)))^2/(2*9.81)+B72-(E71+(C71/(DATOS!$B$14*E71))^2/(2*9.81)+B71+0.5*(((DATOS!$B$27*C71/(DATOS!$B$14*E71))^2/((DATOS!$B$14*E71)/(DATOS!$B$14+2*E71))^(4/3))+((DATOS!$B$27*C72/(DATOS!$B$14*((X72+Y72)/2)))^2/((DATOS!$B$14*((X72+Y72)/2))/(DATOS!$B$14+2*((X72+Y72)/2)))^(4/3)))*(A71-A72)))&lt;0,((X72+Y72)/2),X72)</f>
        <v/>
      </c>
      <c r="AA72" s="16">
        <f>IF((((X72+Y72)/2)+(C72/(DATOS!$B$14*((X72+Y72)/2)))^2/(2*9.81)+B72-(E71+(C71/(DATOS!$B$14*E71))^2/(2*9.81)+B71+0.5*(((DATOS!$B$27*C71/(DATOS!$B$14*E71))^2/((DATOS!$B$14*E71)/(DATOS!$B$14+2*E71))^(4/3))+((DATOS!$B$27*C72/(DATOS!$B$14*((X72+Y72)/2)))^2/((DATOS!$B$14*((X72+Y72)/2))/(DATOS!$B$14+2*((X72+Y72)/2)))^(4/3)))*(A71-A72)))&lt;0,Y72,((X72+Y72)/2))</f>
        <v/>
      </c>
      <c r="AB72" s="16">
        <f>IF((((Z72+AA72)/2)+(C72/(DATOS!$B$14*((Z72+AA72)/2)))^2/(2*9.81)+B72-(E71+(C71/(DATOS!$B$14*E71))^2/(2*9.81)+B71+0.5*(((DATOS!$B$27*C71/(DATOS!$B$14*E71))^2/((DATOS!$B$14*E71)/(DATOS!$B$14+2*E71))^(4/3))+((DATOS!$B$27*C72/(DATOS!$B$14*((Z72+AA72)/2)))^2/((DATOS!$B$14*((Z72+AA72)/2))/(DATOS!$B$14+2*((Z72+AA72)/2)))^(4/3)))*(A71-A72)))&lt;0,((Z72+AA72)/2),Z72)</f>
        <v/>
      </c>
      <c r="AC72" s="16">
        <f>IF((((Z72+AA72)/2)+(C72/(DATOS!$B$14*((Z72+AA72)/2)))^2/(2*9.81)+B72-(E71+(C71/(DATOS!$B$14*E71))^2/(2*9.81)+B71+0.5*(((DATOS!$B$27*C71/(DATOS!$B$14*E71))^2/((DATOS!$B$14*E71)/(DATOS!$B$14+2*E71))^(4/3))+((DATOS!$B$27*C72/(DATOS!$B$14*((Z72+AA72)/2)))^2/((DATOS!$B$14*((Z72+AA72)/2))/(DATOS!$B$14+2*((Z72+AA72)/2)))^(4/3)))*(A71-A72)))&lt;0,AA72,((Z72+AA72)/2))</f>
        <v/>
      </c>
      <c r="AD72" s="16">
        <f>IF((((AB72+AC72)/2)+(C72/(DATOS!$B$14*((AB72+AC72)/2)))^2/(2*9.81)+B72-(E71+(C71/(DATOS!$B$14*E71))^2/(2*9.81)+B71+0.5*(((DATOS!$B$27*C71/(DATOS!$B$14*E71))^2/((DATOS!$B$14*E71)/(DATOS!$B$14+2*E71))^(4/3))+((DATOS!$B$27*C72/(DATOS!$B$14*((AB72+AC72)/2)))^2/((DATOS!$B$14*((AB72+AC72)/2))/(DATOS!$B$14+2*((AB72+AC72)/2)))^(4/3)))*(A71-A72)))&lt;0,((AB72+AC72)/2),AB72)</f>
        <v/>
      </c>
      <c r="AE72" s="16">
        <f>IF((((AB72+AC72)/2)+(C72/(DATOS!$B$14*((AB72+AC72)/2)))^2/(2*9.81)+B72-(E71+(C71/(DATOS!$B$14*E71))^2/(2*9.81)+B71+0.5*(((DATOS!$B$27*C71/(DATOS!$B$14*E71))^2/((DATOS!$B$14*E71)/(DATOS!$B$14+2*E71))^(4/3))+((DATOS!$B$27*C72/(DATOS!$B$14*((AB72+AC72)/2)))^2/((DATOS!$B$14*((AB72+AC72)/2))/(DATOS!$B$14+2*((AB72+AC72)/2)))^(4/3)))*(A71-A72)))&lt;0,AC72,((AB72+AC72)/2))</f>
        <v/>
      </c>
      <c r="AF72" s="16">
        <f>IF((((AD72+AE72)/2)+(C72/(DATOS!$B$14*((AD72+AE72)/2)))^2/(2*9.81)+B72-(E71+(C71/(DATOS!$B$14*E71))^2/(2*9.81)+B71+0.5*(((DATOS!$B$27*C71/(DATOS!$B$14*E71))^2/((DATOS!$B$14*E71)/(DATOS!$B$14+2*E71))^(4/3))+((DATOS!$B$27*C72/(DATOS!$B$14*((AD72+AE72)/2)))^2/((DATOS!$B$14*((AD72+AE72)/2))/(DATOS!$B$14+2*((AD72+AE72)/2)))^(4/3)))*(A71-A72)))&lt;0,((AD72+AE72)/2),AD72)</f>
        <v/>
      </c>
      <c r="AG72" s="16">
        <f>IF((((AD72+AE72)/2)+(C72/(DATOS!$B$14*((AD72+AE72)/2)))^2/(2*9.81)+B72-(E71+(C71/(DATOS!$B$14*E71))^2/(2*9.81)+B71+0.5*(((DATOS!$B$27*C71/(DATOS!$B$14*E71))^2/((DATOS!$B$14*E71)/(DATOS!$B$14+2*E71))^(4/3))+((DATOS!$B$27*C72/(DATOS!$B$14*((AD72+AE72)/2)))^2/((DATOS!$B$14*((AD72+AE72)/2))/(DATOS!$B$14+2*((AD72+AE72)/2)))^(4/3)))*(A71-A72)))&lt;0,AE72,((AD72+AE72)/2))</f>
        <v/>
      </c>
      <c r="AH72" s="16">
        <f>IF((((AF72+AG72)/2)+(C72/(DATOS!$B$14*((AF72+AG72)/2)))^2/(2*9.81)+B72-(E71+(C71/(DATOS!$B$14*E71))^2/(2*9.81)+B71+0.5*(((DATOS!$B$27*C71/(DATOS!$B$14*E71))^2/((DATOS!$B$14*E71)/(DATOS!$B$14+2*E71))^(4/3))+((DATOS!$B$27*C72/(DATOS!$B$14*((AF72+AG72)/2)))^2/((DATOS!$B$14*((AF72+AG72)/2))/(DATOS!$B$14+2*((AF72+AG72)/2)))^(4/3)))*(A71-A72)))&lt;0,((AF72+AG72)/2),AF72)</f>
        <v/>
      </c>
      <c r="AI72" s="16">
        <f>IF((((AF72+AG72)/2)+(C72/(DATOS!$B$14*((AF72+AG72)/2)))^2/(2*9.81)+B72-(E71+(C71/(DATOS!$B$14*E71))^2/(2*9.81)+B71+0.5*(((DATOS!$B$27*C71/(DATOS!$B$14*E71))^2/((DATOS!$B$14*E71)/(DATOS!$B$14+2*E71))^(4/3))+((DATOS!$B$27*C72/(DATOS!$B$14*((AF72+AG72)/2)))^2/((DATOS!$B$14*((AF72+AG72)/2))/(DATOS!$B$14+2*((AF72+AG72)/2)))^(4/3)))*(A71-A72)))&lt;0,AG72,((AF72+AG72)/2))</f>
        <v/>
      </c>
      <c r="AJ72" s="16">
        <f>IF((((AH72+AI72)/2)+(C72/(DATOS!$B$14*((AH72+AI72)/2)))^2/(2*9.81)+B72-(E71+(C71/(DATOS!$B$14*E71))^2/(2*9.81)+B71+0.5*(((DATOS!$B$27*C71/(DATOS!$B$14*E71))^2/((DATOS!$B$14*E71)/(DATOS!$B$14+2*E71))^(4/3))+((DATOS!$B$27*C72/(DATOS!$B$14*((AH72+AI72)/2)))^2/((DATOS!$B$14*((AH72+AI72)/2))/(DATOS!$B$14+2*((AH72+AI72)/2)))^(4/3)))*(A71-A72)))&lt;0,((AH72+AI72)/2),AH72)</f>
        <v/>
      </c>
      <c r="AK72" s="16">
        <f>IF((((AH72+AI72)/2)+(C72/(DATOS!$B$14*((AH72+AI72)/2)))^2/(2*9.81)+B72-(E71+(C71/(DATOS!$B$14*E71))^2/(2*9.81)+B71+0.5*(((DATOS!$B$27*C71/(DATOS!$B$14*E71))^2/((DATOS!$B$14*E71)/(DATOS!$B$14+2*E71))^(4/3))+((DATOS!$B$27*C72/(DATOS!$B$14*((AH72+AI72)/2)))^2/((DATOS!$B$14*((AH72+AI72)/2))/(DATOS!$B$14+2*((AH72+AI72)/2)))^(4/3)))*(A71-A72)))&lt;0,AI72,((AH72+AI72)/2))</f>
        <v/>
      </c>
      <c r="AL72" s="16">
        <f>IF((((AJ72+AK72)/2)+(C72/(DATOS!$B$14*((AJ72+AK72)/2)))^2/(2*9.81)+B72-(E71+(C71/(DATOS!$B$14*E71))^2/(2*9.81)+B71+0.5*(((DATOS!$B$27*C71/(DATOS!$B$14*E71))^2/((DATOS!$B$14*E71)/(DATOS!$B$14+2*E71))^(4/3))+((DATOS!$B$27*C72/(DATOS!$B$14*((AJ72+AK72)/2)))^2/((DATOS!$B$14*((AJ72+AK72)/2))/(DATOS!$B$14+2*((AJ72+AK72)/2)))^(4/3)))*(A71-A72)))&lt;0,((AJ72+AK72)/2),AJ72)</f>
        <v/>
      </c>
      <c r="AM72" s="16">
        <f>IF((((AJ72+AK72)/2)+(C72/(DATOS!$B$14*((AJ72+AK72)/2)))^2/(2*9.81)+B72-(E71+(C71/(DATOS!$B$14*E71))^2/(2*9.81)+B71+0.5*(((DATOS!$B$27*C71/(DATOS!$B$14*E71))^2/((DATOS!$B$14*E71)/(DATOS!$B$14+2*E71))^(4/3))+((DATOS!$B$27*C72/(DATOS!$B$14*((AJ72+AK72)/2)))^2/((DATOS!$B$14*((AJ72+AK72)/2))/(DATOS!$B$14+2*((AJ72+AK72)/2)))^(4/3)))*(A71-A72)))&lt;0,AK72,((AJ72+AK72)/2))</f>
        <v/>
      </c>
      <c r="AN72" s="16">
        <f>IF((((AL72+AM72)/2)+(C72/(DATOS!$B$14*((AL72+AM72)/2)))^2/(2*9.81)+B72-(E71+(C71/(DATOS!$B$14*E71))^2/(2*9.81)+B71+0.5*(((DATOS!$B$27*C71/(DATOS!$B$14*E71))^2/((DATOS!$B$14*E71)/(DATOS!$B$14+2*E71))^(4/3))+((DATOS!$B$27*C72/(DATOS!$B$14*((AL72+AM72)/2)))^2/((DATOS!$B$14*((AL72+AM72)/2))/(DATOS!$B$14+2*((AL72+AM72)/2)))^(4/3)))*(A71-A72)))&lt;0,((AL72+AM72)/2),AL72)</f>
        <v/>
      </c>
      <c r="AO72" s="16">
        <f>IF((((AL72+AM72)/2)+(C72/(DATOS!$B$14*((AL72+AM72)/2)))^2/(2*9.81)+B72-(E71+(C71/(DATOS!$B$14*E71))^2/(2*9.81)+B71+0.5*(((DATOS!$B$27*C71/(DATOS!$B$14*E71))^2/((DATOS!$B$14*E71)/(DATOS!$B$14+2*E71))^(4/3))+((DATOS!$B$27*C72/(DATOS!$B$14*((AL72+AM72)/2)))^2/((DATOS!$B$14*((AL72+AM72)/2))/(DATOS!$B$14+2*((AL72+AM72)/2)))^(4/3)))*(A71-A72)))&lt;0,AM72,((AL72+AM72)/2))</f>
        <v/>
      </c>
      <c r="AP72" s="16">
        <f>IF((((AN72+AO72)/2)+(C72/(DATOS!$B$14*((AN72+AO72)/2)))^2/(2*9.81)+B72-(E71+(C71/(DATOS!$B$14*E71))^2/(2*9.81)+B71+0.5*(((DATOS!$B$27*C71/(DATOS!$B$14*E71))^2/((DATOS!$B$14*E71)/(DATOS!$B$14+2*E71))^(4/3))+((DATOS!$B$27*C72/(DATOS!$B$14*((AN72+AO72)/2)))^2/((DATOS!$B$14*((AN72+AO72)/2))/(DATOS!$B$14+2*((AN72+AO72)/2)))^(4/3)))*(A71-A72)))&lt;0,((AN72+AO72)/2),AN72)</f>
        <v/>
      </c>
      <c r="AQ72" s="16">
        <f>IF((((AN72+AO72)/2)+(C72/(DATOS!$B$14*((AN72+AO72)/2)))^2/(2*9.81)+B72-(E71+(C71/(DATOS!$B$14*E71))^2/(2*9.81)+B71+0.5*(((DATOS!$B$27*C71/(DATOS!$B$14*E71))^2/((DATOS!$B$14*E71)/(DATOS!$B$14+2*E71))^(4/3))+((DATOS!$B$27*C72/(DATOS!$B$14*((AN72+AO72)/2)))^2/((DATOS!$B$14*((AN72+AO72)/2))/(DATOS!$B$14+2*((AN72+AO72)/2)))^(4/3)))*(A71-A72)))&lt;0,AO72,((AN72+AO72)/2))</f>
        <v/>
      </c>
      <c r="AR72" s="16">
        <f>IF((((AP72+AQ72)/2)+(C72/(DATOS!$B$14*((AP72+AQ72)/2)))^2/(2*9.81)+B72-(E71+(C71/(DATOS!$B$14*E71))^2/(2*9.81)+B71+0.5*(((DATOS!$B$27*C71/(DATOS!$B$14*E71))^2/((DATOS!$B$14*E71)/(DATOS!$B$14+2*E71))^(4/3))+((DATOS!$B$27*C72/(DATOS!$B$14*((AP72+AQ72)/2)))^2/((DATOS!$B$14*((AP72+AQ72)/2))/(DATOS!$B$14+2*((AP72+AQ72)/2)))^(4/3)))*(A71-A72)))&lt;0,((AP72+AQ72)/2),AP72)</f>
        <v/>
      </c>
      <c r="AS72" s="16">
        <f>IF((((AP72+AQ72)/2)+(C72/(DATOS!$B$14*((AP72+AQ72)/2)))^2/(2*9.81)+B72-(E71+(C71/(DATOS!$B$14*E71))^2/(2*9.81)+B71+0.5*(((DATOS!$B$27*C71/(DATOS!$B$14*E71))^2/((DATOS!$B$14*E71)/(DATOS!$B$14+2*E71))^(4/3))+((DATOS!$B$27*C72/(DATOS!$B$14*((AP72+AQ72)/2)))^2/((DATOS!$B$14*((AP72+AQ72)/2))/(DATOS!$B$14+2*((AP72+AQ72)/2)))^(4/3)))*(A71-A72)))&lt;0,AQ72,((AP72+AQ72)/2))</f>
        <v/>
      </c>
      <c r="AT72" s="16">
        <f>IF((((AR72+AS72)/2)+(C72/(DATOS!$B$14*((AR72+AS72)/2)))^2/(2*9.81)+B72-(E71+(C71/(DATOS!$B$14*E71))^2/(2*9.81)+B71+0.5*(((DATOS!$B$27*C71/(DATOS!$B$14*E71))^2/((DATOS!$B$14*E71)/(DATOS!$B$14+2*E71))^(4/3))+((DATOS!$B$27*C72/(DATOS!$B$14*((AR72+AS72)/2)))^2/((DATOS!$B$14*((AR72+AS72)/2))/(DATOS!$B$14+2*((AR72+AS72)/2)))^(4/3)))*(A71-A72)))&lt;0,((AR72+AS72)/2),AR72)</f>
        <v/>
      </c>
      <c r="AU72" s="16">
        <f>IF((((AR72+AS72)/2)+(C72/(DATOS!$B$14*((AR72+AS72)/2)))^2/(2*9.81)+B72-(E71+(C71/(DATOS!$B$14*E71))^2/(2*9.81)+B71+0.5*(((DATOS!$B$27*C71/(DATOS!$B$14*E71))^2/((DATOS!$B$14*E71)/(DATOS!$B$14+2*E71))^(4/3))+((DATOS!$B$27*C72/(DATOS!$B$14*((AR72+AS72)/2)))^2/((DATOS!$B$14*((AR72+AS72)/2))/(DATOS!$B$14+2*((AR72+AS72)/2)))^(4/3)))*(A71-A72)))&lt;0,AS72,((AR72+AS72)/2))</f>
        <v/>
      </c>
      <c r="AV72" s="16">
        <f>IF((((AT72+AU72)/2)+(C72/(DATOS!$B$14*((AT72+AU72)/2)))^2/(2*9.81)+B72-(E71+(C71/(DATOS!$B$14*E71))^2/(2*9.81)+B71+0.5*(((DATOS!$B$27*C71/(DATOS!$B$14*E71))^2/((DATOS!$B$14*E71)/(DATOS!$B$14+2*E71))^(4/3))+((DATOS!$B$27*C72/(DATOS!$B$14*((AT72+AU72)/2)))^2/((DATOS!$B$14*((AT72+AU72)/2))/(DATOS!$B$14+2*((AT72+AU72)/2)))^(4/3)))*(A71-A72)))&lt;0,((AT72+AU72)/2),AT72)</f>
        <v/>
      </c>
      <c r="AW72" s="16">
        <f>IF((((AT72+AU72)/2)+(C72/(DATOS!$B$14*((AT72+AU72)/2)))^2/(2*9.81)+B72-(E71+(C71/(DATOS!$B$14*E71))^2/(2*9.81)+B71+0.5*(((DATOS!$B$27*C71/(DATOS!$B$14*E71))^2/((DATOS!$B$14*E71)/(DATOS!$B$14+2*E71))^(4/3))+((DATOS!$B$27*C72/(DATOS!$B$14*((AT72+AU72)/2)))^2/((DATOS!$B$14*((AT72+AU72)/2))/(DATOS!$B$14+2*((AT72+AU72)/2)))^(4/3)))*(A71-A72)))&lt;0,AU72,((AT72+AU72)/2))</f>
        <v/>
      </c>
      <c r="AX72" s="16">
        <f>IF((((AV72+AW72)/2)+(C72/(DATOS!$B$14*((AV72+AW72)/2)))^2/(2*9.81)+B72-(E71+(C71/(DATOS!$B$14*E71))^2/(2*9.81)+B71+0.5*(((DATOS!$B$27*C71/(DATOS!$B$14*E71))^2/((DATOS!$B$14*E71)/(DATOS!$B$14+2*E71))^(4/3))+((DATOS!$B$27*C72/(DATOS!$B$14*((AV72+AW72)/2)))^2/((DATOS!$B$14*((AV72+AW72)/2))/(DATOS!$B$14+2*((AV72+AW72)/2)))^(4/3)))*(A71-A72)))&lt;0,((AV72+AW72)/2),AV72)</f>
        <v/>
      </c>
      <c r="AY72" s="16">
        <f>IF((((AV72+AW72)/2)+(C72/(DATOS!$B$14*((AV72+AW72)/2)))^2/(2*9.81)+B72-(E71+(C71/(DATOS!$B$14*E71))^2/(2*9.81)+B71+0.5*(((DATOS!$B$27*C71/(DATOS!$B$14*E71))^2/((DATOS!$B$14*E71)/(DATOS!$B$14+2*E71))^(4/3))+((DATOS!$B$27*C72/(DATOS!$B$14*((AV72+AW72)/2)))^2/((DATOS!$B$14*((AV72+AW72)/2))/(DATOS!$B$14+2*((AV72+AW72)/2)))^(4/3)))*(A71-A72)))&lt;0,AW72,((AV72+AW72)/2))</f>
        <v/>
      </c>
      <c r="AZ72" s="16">
        <f>IF((((AX72+AY72)/2)+(C72/(DATOS!$B$14*((AX72+AY72)/2)))^2/(2*9.81)+B72-(E71+(C71/(DATOS!$B$14*E71))^2/(2*9.81)+B71+0.5*(((DATOS!$B$27*C71/(DATOS!$B$14*E71))^2/((DATOS!$B$14*E71)/(DATOS!$B$14+2*E71))^(4/3))+((DATOS!$B$27*C72/(DATOS!$B$14*((AX72+AY72)/2)))^2/((DATOS!$B$14*((AX72+AY72)/2))/(DATOS!$B$14+2*((AX72+AY72)/2)))^(4/3)))*(A71-A72)))&lt;0,((AX72+AY72)/2),AX72)</f>
        <v/>
      </c>
      <c r="BA72" s="16">
        <f>IF((((AX72+AY72)/2)+(C72/(DATOS!$B$14*((AX72+AY72)/2)))^2/(2*9.81)+B72-(E71+(C71/(DATOS!$B$14*E71))^2/(2*9.81)+B71+0.5*(((DATOS!$B$27*C71/(DATOS!$B$14*E71))^2/((DATOS!$B$14*E71)/(DATOS!$B$14+2*E71))^(4/3))+((DATOS!$B$27*C72/(DATOS!$B$14*((AX72+AY72)/2)))^2/((DATOS!$B$14*((AX72+AY72)/2))/(DATOS!$B$14+2*((AX72+AY72)/2)))^(4/3)))*(A71-A72)))&lt;0,AY72,((AX72+AY72)/2))</f>
        <v/>
      </c>
      <c r="BB72" s="16">
        <f>IF((((AZ72+BA72)/2)+(C72/(DATOS!$B$14*((AZ72+BA72)/2)))^2/(2*9.81)+B72-(E71+(C71/(DATOS!$B$14*E71))^2/(2*9.81)+B71+0.5*(((DATOS!$B$27*C71/(DATOS!$B$14*E71))^2/((DATOS!$B$14*E71)/(DATOS!$B$14+2*E71))^(4/3))+((DATOS!$B$27*C72/(DATOS!$B$14*((AZ72+BA72)/2)))^2/((DATOS!$B$14*((AZ72+BA72)/2))/(DATOS!$B$14+2*((AZ72+BA72)/2)))^(4/3)))*(A71-A72)))&lt;0,((AZ72+BA72)/2),AZ72)</f>
        <v/>
      </c>
      <c r="BC72" s="16">
        <f>IF((((AZ72+BA72)/2)+(C72/(DATOS!$B$14*((AZ72+BA72)/2)))^2/(2*9.81)+B72-(E71+(C71/(DATOS!$B$14*E71))^2/(2*9.81)+B71+0.5*(((DATOS!$B$27*C71/(DATOS!$B$14*E71))^2/((DATOS!$B$14*E71)/(DATOS!$B$14+2*E71))^(4/3))+((DATOS!$B$27*C72/(DATOS!$B$14*((AZ72+BA72)/2)))^2/((DATOS!$B$14*((AZ72+BA72)/2))/(DATOS!$B$14+2*((AZ72+BA72)/2)))^(4/3)))*(A71-A72)))&lt;0,BA72,((AZ72+BA72)/2))</f>
        <v/>
      </c>
      <c r="BD72" s="16">
        <f>IF((((BB72+BC72)/2)+(C72/(DATOS!$B$14*((BB72+BC72)/2)))^2/(2*9.81)+B72-(E71+(C71/(DATOS!$B$14*E71))^2/(2*9.81)+B71+0.5*(((DATOS!$B$27*C71/(DATOS!$B$14*E71))^2/((DATOS!$B$14*E71)/(DATOS!$B$14+2*E71))^(4/3))+((DATOS!$B$27*C72/(DATOS!$B$14*((BB72+BC72)/2)))^2/((DATOS!$B$14*((BB72+BC72)/2))/(DATOS!$B$14+2*((BB72+BC72)/2)))^(4/3)))*(A71-A72)))&lt;0,((BB72+BC72)/2),BB72)</f>
        <v/>
      </c>
      <c r="BE72" s="16">
        <f>IF((((BB72+BC72)/2)+(C72/(DATOS!$B$14*((BB72+BC72)/2)))^2/(2*9.81)+B72-(E71+(C71/(DATOS!$B$14*E71))^2/(2*9.81)+B71+0.5*(((DATOS!$B$27*C71/(DATOS!$B$14*E71))^2/((DATOS!$B$14*E71)/(DATOS!$B$14+2*E71))^(4/3))+((DATOS!$B$27*C72/(DATOS!$B$14*((BB72+BC72)/2)))^2/((DATOS!$B$14*((BB72+BC72)/2))/(DATOS!$B$14+2*((BB72+BC72)/2)))^(4/3)))*(A71-A72)))&lt;0,BC72,((BB72+BC72)/2))</f>
        <v/>
      </c>
      <c r="BF72" s="16">
        <f>IF((((BD72+BE72)/2)+(C72/(DATOS!$B$14*((BD72+BE72)/2)))^2/(2*9.81)+B72-(E71+(C71/(DATOS!$B$14*E71))^2/(2*9.81)+B71+0.5*(((DATOS!$B$27*C71/(DATOS!$B$14*E71))^2/((DATOS!$B$14*E71)/(DATOS!$B$14+2*E71))^(4/3))+((DATOS!$B$27*C72/(DATOS!$B$14*((BD72+BE72)/2)))^2/((DATOS!$B$14*((BD72+BE72)/2))/(DATOS!$B$14+2*((BD72+BE72)/2)))^(4/3)))*(A71-A72)))&lt;0,((BD72+BE72)/2),BD72)</f>
        <v/>
      </c>
      <c r="BG72" s="16">
        <f>IF((((BD72+BE72)/2)+(C72/(DATOS!$B$14*((BD72+BE72)/2)))^2/(2*9.81)+B72-(E71+(C71/(DATOS!$B$14*E71))^2/(2*9.81)+B71+0.5*(((DATOS!$B$27*C71/(DATOS!$B$14*E71))^2/((DATOS!$B$14*E71)/(DATOS!$B$14+2*E71))^(4/3))+((DATOS!$B$27*C72/(DATOS!$B$14*((BD72+BE72)/2)))^2/((DATOS!$B$14*((BD72+BE72)/2))/(DATOS!$B$14+2*((BD72+BE72)/2)))^(4/3)))*(A71-A72)))&lt;0,BE72,((BD72+BE72)/2))</f>
        <v/>
      </c>
      <c r="BH72" s="16">
        <f>IF((((BF72+BG72)/2)+(C72/(DATOS!$B$14*((BF72+BG72)/2)))^2/(2*9.81)+B72-(E71+(C71/(DATOS!$B$14*E71))^2/(2*9.81)+B71+0.5*(((DATOS!$B$27*C71/(DATOS!$B$14*E71))^2/((DATOS!$B$14*E71)/(DATOS!$B$14+2*E71))^(4/3))+((DATOS!$B$27*C72/(DATOS!$B$14*((BF72+BG72)/2)))^2/((DATOS!$B$14*((BF72+BG72)/2))/(DATOS!$B$14+2*((BF72+BG72)/2)))^(4/3)))*(A71-A72)))&lt;0,((BF72+BG72)/2),BF72)</f>
        <v/>
      </c>
      <c r="BI72" s="16">
        <f>IF((((BF72+BG72)/2)+(C72/(DATOS!$B$14*((BF72+BG72)/2)))^2/(2*9.81)+B72-(E71+(C71/(DATOS!$B$14*E71))^2/(2*9.81)+B71+0.5*(((DATOS!$B$27*C71/(DATOS!$B$14*E71))^2/((DATOS!$B$14*E71)/(DATOS!$B$14+2*E71))^(4/3))+((DATOS!$B$27*C72/(DATOS!$B$14*((BF72+BG72)/2)))^2/((DATOS!$B$14*((BF72+BG72)/2))/(DATOS!$B$14+2*((BF72+BG72)/2)))^(4/3)))*(A71-A72)))&lt;0,BG72,((BF72+BG72)/2))</f>
        <v/>
      </c>
      <c r="BJ72" s="16">
        <f>IF((((BH72+BI72)/2)+(C72/(DATOS!$B$14*((BH72+BI72)/2)))^2/(2*9.81)+B72-(E71+(C71/(DATOS!$B$14*E71))^2/(2*9.81)+B71+0.5*(((DATOS!$B$27*C71/(DATOS!$B$14*E71))^2/((DATOS!$B$14*E71)/(DATOS!$B$14+2*E71))^(4/3))+((DATOS!$B$27*C72/(DATOS!$B$14*((BH72+BI72)/2)))^2/((DATOS!$B$14*((BH72+BI72)/2))/(DATOS!$B$14+2*((BH72+BI72)/2)))^(4/3)))*(A71-A72)))&lt;0,((BH72+BI72)/2),BH72)</f>
        <v/>
      </c>
      <c r="BK72" s="16">
        <f>IF((((BH72+BI72)/2)+(C72/(DATOS!$B$14*((BH72+BI72)/2)))^2/(2*9.81)+B72-(E71+(C71/(DATOS!$B$14*E71))^2/(2*9.81)+B71+0.5*(((DATOS!$B$27*C71/(DATOS!$B$14*E71))^2/((DATOS!$B$14*E71)/(DATOS!$B$14+2*E71))^(4/3))+((DATOS!$B$27*C72/(DATOS!$B$14*((BH72+BI72)/2)))^2/((DATOS!$B$14*((BH72+BI72)/2))/(DATOS!$B$14+2*((BH72+BI72)/2)))^(4/3)))*(A71-A72)))&lt;0,BI72,((BH72+BI72)/2))</f>
        <v/>
      </c>
      <c r="BL72" s="16">
        <f>IF((((BJ72+BK72)/2)+(C72/(DATOS!$B$14*((BJ72+BK72)/2)))^2/(2*9.81)+B72-(E71+(C71/(DATOS!$B$14*E71))^2/(2*9.81)+B71+0.5*(((DATOS!$B$27*C71/(DATOS!$B$14*E71))^2/((DATOS!$B$14*E71)/(DATOS!$B$14+2*E71))^(4/3))+((DATOS!$B$27*C72/(DATOS!$B$14*((BJ72+BK72)/2)))^2/((DATOS!$B$14*((BJ72+BK72)/2))/(DATOS!$B$14+2*((BJ72+BK72)/2)))^(4/3)))*(A71-A72)))&lt;0,((BJ72+BK72)/2),BJ72)</f>
        <v/>
      </c>
      <c r="BM72" s="16">
        <f>IF((((BJ72+BK72)/2)+(C72/(DATOS!$B$14*((BJ72+BK72)/2)))^2/(2*9.81)+B72-(E71+(C71/(DATOS!$B$14*E71))^2/(2*9.81)+B71+0.5*(((DATOS!$B$27*C71/(DATOS!$B$14*E71))^2/((DATOS!$B$14*E71)/(DATOS!$B$14+2*E71))^(4/3))+((DATOS!$B$27*C72/(DATOS!$B$14*((BJ72+BK72)/2)))^2/((DATOS!$B$14*((BJ72+BK72)/2))/(DATOS!$B$14+2*((BJ72+BK72)/2)))^(4/3)))*(A71-A72)))&lt;0,BK72,((BJ72+BK72)/2))</f>
        <v/>
      </c>
      <c r="BN72" s="16">
        <f>IF((((BL72+BM72)/2)+(C72/(DATOS!$B$14*((BL72+BM72)/2)))^2/(2*9.81)+B72-(E71+(C71/(DATOS!$B$14*E71))^2/(2*9.81)+B71+0.5*(((DATOS!$B$27*C71/(DATOS!$B$14*E71))^2/((DATOS!$B$14*E71)/(DATOS!$B$14+2*E71))^(4/3))+((DATOS!$B$27*C72/(DATOS!$B$14*((BL72+BM72)/2)))^2/((DATOS!$B$14*((BL72+BM72)/2))/(DATOS!$B$14+2*((BL72+BM72)/2)))^(4/3)))*(A71-A72)))&lt;0,((BL72+BM72)/2),BL72)</f>
        <v/>
      </c>
      <c r="BO72" s="16">
        <f>IF((((BL72+BM72)/2)+(C72/(DATOS!$B$14*((BL72+BM72)/2)))^2/(2*9.81)+B72-(E71+(C71/(DATOS!$B$14*E71))^2/(2*9.81)+B71+0.5*(((DATOS!$B$27*C71/(DATOS!$B$14*E71))^2/((DATOS!$B$14*E71)/(DATOS!$B$14+2*E71))^(4/3))+((DATOS!$B$27*C72/(DATOS!$B$14*((BL72+BM72)/2)))^2/((DATOS!$B$14*((BL72+BM72)/2))/(DATOS!$B$14+2*((BL72+BM72)/2)))^(4/3)))*(A71-A72)))&lt;0,BM72,((BL72+BM72)/2))</f>
        <v/>
      </c>
      <c r="BP72" s="16">
        <f>IF((((BN72+BO72)/2)+(C72/(DATOS!$B$14*((BN72+BO72)/2)))^2/(2*9.81)+B72-(E71+(C71/(DATOS!$B$14*E71))^2/(2*9.81)+B71+0.5*(((DATOS!$B$27*C71/(DATOS!$B$14*E71))^2/((DATOS!$B$14*E71)/(DATOS!$B$14+2*E71))^(4/3))+((DATOS!$B$27*C72/(DATOS!$B$14*((BN72+BO72)/2)))^2/((DATOS!$B$14*((BN72+BO72)/2))/(DATOS!$B$14+2*((BN72+BO72)/2)))^(4/3)))*(A71-A72)))&lt;0,((BN72+BO72)/2),BN72)</f>
        <v/>
      </c>
      <c r="BQ72" s="16">
        <f>IF((((BN72+BO72)/2)+(C72/(DATOS!$B$14*((BN72+BO72)/2)))^2/(2*9.81)+B72-(E71+(C71/(DATOS!$B$14*E71))^2/(2*9.81)+B71+0.5*(((DATOS!$B$27*C71/(DATOS!$B$14*E71))^2/((DATOS!$B$14*E71)/(DATOS!$B$14+2*E71))^(4/3))+((DATOS!$B$27*C72/(DATOS!$B$14*((BN72+BO72)/2)))^2/((DATOS!$B$14*((BN72+BO72)/2))/(DATOS!$B$14+2*((BN72+BO72)/2)))^(4/3)))*(A71-A72)))&lt;0,BO72,((BN72+BO72)/2))</f>
        <v/>
      </c>
      <c r="BR72" s="16">
        <f>IF((((BP72+BQ72)/2)+(C72/(DATOS!$B$14*((BP72+BQ72)/2)))^2/(2*9.81)+B72-(E71+(C71/(DATOS!$B$14*E71))^2/(2*9.81)+B71+0.5*(((DATOS!$B$27*C71/(DATOS!$B$14*E71))^2/((DATOS!$B$14*E71)/(DATOS!$B$14+2*E71))^(4/3))+((DATOS!$B$27*C72/(DATOS!$B$14*((BP72+BQ72)/2)))^2/((DATOS!$B$14*((BP72+BQ72)/2))/(DATOS!$B$14+2*((BP72+BQ72)/2)))^(4/3)))*(A71-A72)))&lt;0,((BP72+BQ72)/2),BP72)</f>
        <v/>
      </c>
      <c r="BS72" s="16">
        <f>IF((((BP72+BQ72)/2)+(C72/(DATOS!$B$14*((BP72+BQ72)/2)))^2/(2*9.81)+B72-(E71+(C71/(DATOS!$B$14*E71))^2/(2*9.81)+B71+0.5*(((DATOS!$B$27*C71/(DATOS!$B$14*E71))^2/((DATOS!$B$14*E71)/(DATOS!$B$14+2*E71))^(4/3))+((DATOS!$B$27*C72/(DATOS!$B$14*((BP72+BQ72)/2)))^2/((DATOS!$B$14*((BP72+BQ72)/2))/(DATOS!$B$14+2*((BP72+BQ72)/2)))^(4/3)))*(A71-A72)))&lt;0,BQ72,((BP72+BQ72)/2))</f>
        <v/>
      </c>
      <c r="BT72" s="16">
        <f>IF((((BR72+BS72)/2)+(C72/(DATOS!$B$14*((BR72+BS72)/2)))^2/(2*9.81)+B72-(E71+(C71/(DATOS!$B$14*E71))^2/(2*9.81)+B71+0.5*(((DATOS!$B$27*C71/(DATOS!$B$14*E71))^2/((DATOS!$B$14*E71)/(DATOS!$B$14+2*E71))^(4/3))+((DATOS!$B$27*C72/(DATOS!$B$14*((BR72+BS72)/2)))^2/((DATOS!$B$14*((BR72+BS72)/2))/(DATOS!$B$14+2*((BR72+BS72)/2)))^(4/3)))*(A71-A72)))&lt;0,((BR72+BS72)/2),BR72)</f>
        <v/>
      </c>
      <c r="BU72" s="16">
        <f>IF((((BR72+BS72)/2)+(C72/(DATOS!$B$14*((BR72+BS72)/2)))^2/(2*9.81)+B72-(E71+(C71/(DATOS!$B$14*E71))^2/(2*9.81)+B71+0.5*(((DATOS!$B$27*C71/(DATOS!$B$14*E71))^2/((DATOS!$B$14*E71)/(DATOS!$B$14+2*E71))^(4/3))+((DATOS!$B$27*C72/(DATOS!$B$14*((BR72+BS72)/2)))^2/((DATOS!$B$14*((BR72+BS72)/2))/(DATOS!$B$14+2*((BR72+BS72)/2)))^(4/3)))*(A71-A72)))&lt;0,BS72,((BR72+BS72)/2))</f>
        <v/>
      </c>
    </row>
    <row r="73">
      <c r="A73" s="30" t="n">
        <v>12</v>
      </c>
      <c r="B73" s="21">
        <f>DATOS!$B$16-DATOS!$B$19*A73</f>
        <v/>
      </c>
      <c r="C73" s="21">
        <f>IF(A73&lt;CAUDALES!$B$13,CAUDALES!$D$12,IF(A73&lt;CAUDALES!$B$14,CAUDALES!$D$13,IF(A73&lt;CAUDALES!$B$15,CAUDALES!$D$14,CAUDALES!$D$15)))/1000</f>
        <v/>
      </c>
      <c r="D73" s="21">
        <f>(C73^2/(9.81*DATOS!$B$14^2))^(1/3)</f>
        <v/>
      </c>
      <c r="E73" s="29">
        <f>(BT73+BU73)/2</f>
        <v/>
      </c>
      <c r="F73" s="21">
        <f>B73+E73</f>
        <v/>
      </c>
      <c r="G73" s="17">
        <f>C73/(DATOS!$B$14*E73)</f>
        <v/>
      </c>
      <c r="H73" s="17">
        <f>G73/SQRT(9.81*E73)</f>
        <v/>
      </c>
      <c r="I73" s="21">
        <f>IF(A73&lt;=DATOS!$B$20,DATOS!$B$21-IF(AND(A73&gt;=DATOS!$B$23,A73&lt;DATOS!$B$24),DATOS!$B$25,DATOS!$B$22),B73+DATOS!$B$26)</f>
        <v/>
      </c>
      <c r="J73" s="17">
        <f>I73-B73</f>
        <v/>
      </c>
      <c r="K73" s="31">
        <f>E73/J73</f>
        <v/>
      </c>
      <c r="L73" s="21">
        <f>I73-F73</f>
        <v/>
      </c>
      <c r="M73" s="32">
        <f>IF(AND(K73&lt;=DATOS!$B$29,L73&gt;=DATOS!$B$30),"CUMPLE","NO CUMPLE")</f>
        <v/>
      </c>
      <c r="N73" s="13">
        <f>IF(A73&gt;DATOS!$B$20,"cubierto - tramo final",IF(AND(A73&gt;=DATOS!$B$23,A73&lt;DATOS!$B$24),"cubierto - camiones","cubierto"))</f>
        <v/>
      </c>
      <c r="P73" s="16">
        <f>D73*1.001</f>
        <v/>
      </c>
      <c r="Q73" s="16" t="n">
        <v>2</v>
      </c>
      <c r="R73" s="16">
        <f>IF((((P73+Q73)/2)+(C73/(DATOS!$B$14*((P73+Q73)/2)))^2/(2*9.81)+B73-(E72+(C72/(DATOS!$B$14*E72))^2/(2*9.81)+B72+0.5*(((DATOS!$B$27*C72/(DATOS!$B$14*E72))^2/((DATOS!$B$14*E72)/(DATOS!$B$14+2*E72))^(4/3))+((DATOS!$B$27*C73/(DATOS!$B$14*((P73+Q73)/2)))^2/((DATOS!$B$14*((P73+Q73)/2))/(DATOS!$B$14+2*((P73+Q73)/2)))^(4/3)))*(A72-A73)))&lt;0,((P73+Q73)/2),P73)</f>
        <v/>
      </c>
      <c r="S73" s="16">
        <f>IF((((P73+Q73)/2)+(C73/(DATOS!$B$14*((P73+Q73)/2)))^2/(2*9.81)+B73-(E72+(C72/(DATOS!$B$14*E72))^2/(2*9.81)+B72+0.5*(((DATOS!$B$27*C72/(DATOS!$B$14*E72))^2/((DATOS!$B$14*E72)/(DATOS!$B$14+2*E72))^(4/3))+((DATOS!$B$27*C73/(DATOS!$B$14*((P73+Q73)/2)))^2/((DATOS!$B$14*((P73+Q73)/2))/(DATOS!$B$14+2*((P73+Q73)/2)))^(4/3)))*(A72-A73)))&lt;0,Q73,((P73+Q73)/2))</f>
        <v/>
      </c>
      <c r="T73" s="16">
        <f>IF((((R73+S73)/2)+(C73/(DATOS!$B$14*((R73+S73)/2)))^2/(2*9.81)+B73-(E72+(C72/(DATOS!$B$14*E72))^2/(2*9.81)+B72+0.5*(((DATOS!$B$27*C72/(DATOS!$B$14*E72))^2/((DATOS!$B$14*E72)/(DATOS!$B$14+2*E72))^(4/3))+((DATOS!$B$27*C73/(DATOS!$B$14*((R73+S73)/2)))^2/((DATOS!$B$14*((R73+S73)/2))/(DATOS!$B$14+2*((R73+S73)/2)))^(4/3)))*(A72-A73)))&lt;0,((R73+S73)/2),R73)</f>
        <v/>
      </c>
      <c r="U73" s="16">
        <f>IF((((R73+S73)/2)+(C73/(DATOS!$B$14*((R73+S73)/2)))^2/(2*9.81)+B73-(E72+(C72/(DATOS!$B$14*E72))^2/(2*9.81)+B72+0.5*(((DATOS!$B$27*C72/(DATOS!$B$14*E72))^2/((DATOS!$B$14*E72)/(DATOS!$B$14+2*E72))^(4/3))+((DATOS!$B$27*C73/(DATOS!$B$14*((R73+S73)/2)))^2/((DATOS!$B$14*((R73+S73)/2))/(DATOS!$B$14+2*((R73+S73)/2)))^(4/3)))*(A72-A73)))&lt;0,S73,((R73+S73)/2))</f>
        <v/>
      </c>
      <c r="V73" s="16">
        <f>IF((((T73+U73)/2)+(C73/(DATOS!$B$14*((T73+U73)/2)))^2/(2*9.81)+B73-(E72+(C72/(DATOS!$B$14*E72))^2/(2*9.81)+B72+0.5*(((DATOS!$B$27*C72/(DATOS!$B$14*E72))^2/((DATOS!$B$14*E72)/(DATOS!$B$14+2*E72))^(4/3))+((DATOS!$B$27*C73/(DATOS!$B$14*((T73+U73)/2)))^2/((DATOS!$B$14*((T73+U73)/2))/(DATOS!$B$14+2*((T73+U73)/2)))^(4/3)))*(A72-A73)))&lt;0,((T73+U73)/2),T73)</f>
        <v/>
      </c>
      <c r="W73" s="16">
        <f>IF((((T73+U73)/2)+(C73/(DATOS!$B$14*((T73+U73)/2)))^2/(2*9.81)+B73-(E72+(C72/(DATOS!$B$14*E72))^2/(2*9.81)+B72+0.5*(((DATOS!$B$27*C72/(DATOS!$B$14*E72))^2/((DATOS!$B$14*E72)/(DATOS!$B$14+2*E72))^(4/3))+((DATOS!$B$27*C73/(DATOS!$B$14*((T73+U73)/2)))^2/((DATOS!$B$14*((T73+U73)/2))/(DATOS!$B$14+2*((T73+U73)/2)))^(4/3)))*(A72-A73)))&lt;0,U73,((T73+U73)/2))</f>
        <v/>
      </c>
      <c r="X73" s="16">
        <f>IF((((V73+W73)/2)+(C73/(DATOS!$B$14*((V73+W73)/2)))^2/(2*9.81)+B73-(E72+(C72/(DATOS!$B$14*E72))^2/(2*9.81)+B72+0.5*(((DATOS!$B$27*C72/(DATOS!$B$14*E72))^2/((DATOS!$B$14*E72)/(DATOS!$B$14+2*E72))^(4/3))+((DATOS!$B$27*C73/(DATOS!$B$14*((V73+W73)/2)))^2/((DATOS!$B$14*((V73+W73)/2))/(DATOS!$B$14+2*((V73+W73)/2)))^(4/3)))*(A72-A73)))&lt;0,((V73+W73)/2),V73)</f>
        <v/>
      </c>
      <c r="Y73" s="16">
        <f>IF((((V73+W73)/2)+(C73/(DATOS!$B$14*((V73+W73)/2)))^2/(2*9.81)+B73-(E72+(C72/(DATOS!$B$14*E72))^2/(2*9.81)+B72+0.5*(((DATOS!$B$27*C72/(DATOS!$B$14*E72))^2/((DATOS!$B$14*E72)/(DATOS!$B$14+2*E72))^(4/3))+((DATOS!$B$27*C73/(DATOS!$B$14*((V73+W73)/2)))^2/((DATOS!$B$14*((V73+W73)/2))/(DATOS!$B$14+2*((V73+W73)/2)))^(4/3)))*(A72-A73)))&lt;0,W73,((V73+W73)/2))</f>
        <v/>
      </c>
      <c r="Z73" s="16">
        <f>IF((((X73+Y73)/2)+(C73/(DATOS!$B$14*((X73+Y73)/2)))^2/(2*9.81)+B73-(E72+(C72/(DATOS!$B$14*E72))^2/(2*9.81)+B72+0.5*(((DATOS!$B$27*C72/(DATOS!$B$14*E72))^2/((DATOS!$B$14*E72)/(DATOS!$B$14+2*E72))^(4/3))+((DATOS!$B$27*C73/(DATOS!$B$14*((X73+Y73)/2)))^2/((DATOS!$B$14*((X73+Y73)/2))/(DATOS!$B$14+2*((X73+Y73)/2)))^(4/3)))*(A72-A73)))&lt;0,((X73+Y73)/2),X73)</f>
        <v/>
      </c>
      <c r="AA73" s="16">
        <f>IF((((X73+Y73)/2)+(C73/(DATOS!$B$14*((X73+Y73)/2)))^2/(2*9.81)+B73-(E72+(C72/(DATOS!$B$14*E72))^2/(2*9.81)+B72+0.5*(((DATOS!$B$27*C72/(DATOS!$B$14*E72))^2/((DATOS!$B$14*E72)/(DATOS!$B$14+2*E72))^(4/3))+((DATOS!$B$27*C73/(DATOS!$B$14*((X73+Y73)/2)))^2/((DATOS!$B$14*((X73+Y73)/2))/(DATOS!$B$14+2*((X73+Y73)/2)))^(4/3)))*(A72-A73)))&lt;0,Y73,((X73+Y73)/2))</f>
        <v/>
      </c>
      <c r="AB73" s="16">
        <f>IF((((Z73+AA73)/2)+(C73/(DATOS!$B$14*((Z73+AA73)/2)))^2/(2*9.81)+B73-(E72+(C72/(DATOS!$B$14*E72))^2/(2*9.81)+B72+0.5*(((DATOS!$B$27*C72/(DATOS!$B$14*E72))^2/((DATOS!$B$14*E72)/(DATOS!$B$14+2*E72))^(4/3))+((DATOS!$B$27*C73/(DATOS!$B$14*((Z73+AA73)/2)))^2/((DATOS!$B$14*((Z73+AA73)/2))/(DATOS!$B$14+2*((Z73+AA73)/2)))^(4/3)))*(A72-A73)))&lt;0,((Z73+AA73)/2),Z73)</f>
        <v/>
      </c>
      <c r="AC73" s="16">
        <f>IF((((Z73+AA73)/2)+(C73/(DATOS!$B$14*((Z73+AA73)/2)))^2/(2*9.81)+B73-(E72+(C72/(DATOS!$B$14*E72))^2/(2*9.81)+B72+0.5*(((DATOS!$B$27*C72/(DATOS!$B$14*E72))^2/((DATOS!$B$14*E72)/(DATOS!$B$14+2*E72))^(4/3))+((DATOS!$B$27*C73/(DATOS!$B$14*((Z73+AA73)/2)))^2/((DATOS!$B$14*((Z73+AA73)/2))/(DATOS!$B$14+2*((Z73+AA73)/2)))^(4/3)))*(A72-A73)))&lt;0,AA73,((Z73+AA73)/2))</f>
        <v/>
      </c>
      <c r="AD73" s="16">
        <f>IF((((AB73+AC73)/2)+(C73/(DATOS!$B$14*((AB73+AC73)/2)))^2/(2*9.81)+B73-(E72+(C72/(DATOS!$B$14*E72))^2/(2*9.81)+B72+0.5*(((DATOS!$B$27*C72/(DATOS!$B$14*E72))^2/((DATOS!$B$14*E72)/(DATOS!$B$14+2*E72))^(4/3))+((DATOS!$B$27*C73/(DATOS!$B$14*((AB73+AC73)/2)))^2/((DATOS!$B$14*((AB73+AC73)/2))/(DATOS!$B$14+2*((AB73+AC73)/2)))^(4/3)))*(A72-A73)))&lt;0,((AB73+AC73)/2),AB73)</f>
        <v/>
      </c>
      <c r="AE73" s="16">
        <f>IF((((AB73+AC73)/2)+(C73/(DATOS!$B$14*((AB73+AC73)/2)))^2/(2*9.81)+B73-(E72+(C72/(DATOS!$B$14*E72))^2/(2*9.81)+B72+0.5*(((DATOS!$B$27*C72/(DATOS!$B$14*E72))^2/((DATOS!$B$14*E72)/(DATOS!$B$14+2*E72))^(4/3))+((DATOS!$B$27*C73/(DATOS!$B$14*((AB73+AC73)/2)))^2/((DATOS!$B$14*((AB73+AC73)/2))/(DATOS!$B$14+2*((AB73+AC73)/2)))^(4/3)))*(A72-A73)))&lt;0,AC73,((AB73+AC73)/2))</f>
        <v/>
      </c>
      <c r="AF73" s="16">
        <f>IF((((AD73+AE73)/2)+(C73/(DATOS!$B$14*((AD73+AE73)/2)))^2/(2*9.81)+B73-(E72+(C72/(DATOS!$B$14*E72))^2/(2*9.81)+B72+0.5*(((DATOS!$B$27*C72/(DATOS!$B$14*E72))^2/((DATOS!$B$14*E72)/(DATOS!$B$14+2*E72))^(4/3))+((DATOS!$B$27*C73/(DATOS!$B$14*((AD73+AE73)/2)))^2/((DATOS!$B$14*((AD73+AE73)/2))/(DATOS!$B$14+2*((AD73+AE73)/2)))^(4/3)))*(A72-A73)))&lt;0,((AD73+AE73)/2),AD73)</f>
        <v/>
      </c>
      <c r="AG73" s="16">
        <f>IF((((AD73+AE73)/2)+(C73/(DATOS!$B$14*((AD73+AE73)/2)))^2/(2*9.81)+B73-(E72+(C72/(DATOS!$B$14*E72))^2/(2*9.81)+B72+0.5*(((DATOS!$B$27*C72/(DATOS!$B$14*E72))^2/((DATOS!$B$14*E72)/(DATOS!$B$14+2*E72))^(4/3))+((DATOS!$B$27*C73/(DATOS!$B$14*((AD73+AE73)/2)))^2/((DATOS!$B$14*((AD73+AE73)/2))/(DATOS!$B$14+2*((AD73+AE73)/2)))^(4/3)))*(A72-A73)))&lt;0,AE73,((AD73+AE73)/2))</f>
        <v/>
      </c>
      <c r="AH73" s="16">
        <f>IF((((AF73+AG73)/2)+(C73/(DATOS!$B$14*((AF73+AG73)/2)))^2/(2*9.81)+B73-(E72+(C72/(DATOS!$B$14*E72))^2/(2*9.81)+B72+0.5*(((DATOS!$B$27*C72/(DATOS!$B$14*E72))^2/((DATOS!$B$14*E72)/(DATOS!$B$14+2*E72))^(4/3))+((DATOS!$B$27*C73/(DATOS!$B$14*((AF73+AG73)/2)))^2/((DATOS!$B$14*((AF73+AG73)/2))/(DATOS!$B$14+2*((AF73+AG73)/2)))^(4/3)))*(A72-A73)))&lt;0,((AF73+AG73)/2),AF73)</f>
        <v/>
      </c>
      <c r="AI73" s="16">
        <f>IF((((AF73+AG73)/2)+(C73/(DATOS!$B$14*((AF73+AG73)/2)))^2/(2*9.81)+B73-(E72+(C72/(DATOS!$B$14*E72))^2/(2*9.81)+B72+0.5*(((DATOS!$B$27*C72/(DATOS!$B$14*E72))^2/((DATOS!$B$14*E72)/(DATOS!$B$14+2*E72))^(4/3))+((DATOS!$B$27*C73/(DATOS!$B$14*((AF73+AG73)/2)))^2/((DATOS!$B$14*((AF73+AG73)/2))/(DATOS!$B$14+2*((AF73+AG73)/2)))^(4/3)))*(A72-A73)))&lt;0,AG73,((AF73+AG73)/2))</f>
        <v/>
      </c>
      <c r="AJ73" s="16">
        <f>IF((((AH73+AI73)/2)+(C73/(DATOS!$B$14*((AH73+AI73)/2)))^2/(2*9.81)+B73-(E72+(C72/(DATOS!$B$14*E72))^2/(2*9.81)+B72+0.5*(((DATOS!$B$27*C72/(DATOS!$B$14*E72))^2/((DATOS!$B$14*E72)/(DATOS!$B$14+2*E72))^(4/3))+((DATOS!$B$27*C73/(DATOS!$B$14*((AH73+AI73)/2)))^2/((DATOS!$B$14*((AH73+AI73)/2))/(DATOS!$B$14+2*((AH73+AI73)/2)))^(4/3)))*(A72-A73)))&lt;0,((AH73+AI73)/2),AH73)</f>
        <v/>
      </c>
      <c r="AK73" s="16">
        <f>IF((((AH73+AI73)/2)+(C73/(DATOS!$B$14*((AH73+AI73)/2)))^2/(2*9.81)+B73-(E72+(C72/(DATOS!$B$14*E72))^2/(2*9.81)+B72+0.5*(((DATOS!$B$27*C72/(DATOS!$B$14*E72))^2/((DATOS!$B$14*E72)/(DATOS!$B$14+2*E72))^(4/3))+((DATOS!$B$27*C73/(DATOS!$B$14*((AH73+AI73)/2)))^2/((DATOS!$B$14*((AH73+AI73)/2))/(DATOS!$B$14+2*((AH73+AI73)/2)))^(4/3)))*(A72-A73)))&lt;0,AI73,((AH73+AI73)/2))</f>
        <v/>
      </c>
      <c r="AL73" s="16">
        <f>IF((((AJ73+AK73)/2)+(C73/(DATOS!$B$14*((AJ73+AK73)/2)))^2/(2*9.81)+B73-(E72+(C72/(DATOS!$B$14*E72))^2/(2*9.81)+B72+0.5*(((DATOS!$B$27*C72/(DATOS!$B$14*E72))^2/((DATOS!$B$14*E72)/(DATOS!$B$14+2*E72))^(4/3))+((DATOS!$B$27*C73/(DATOS!$B$14*((AJ73+AK73)/2)))^2/((DATOS!$B$14*((AJ73+AK73)/2))/(DATOS!$B$14+2*((AJ73+AK73)/2)))^(4/3)))*(A72-A73)))&lt;0,((AJ73+AK73)/2),AJ73)</f>
        <v/>
      </c>
      <c r="AM73" s="16">
        <f>IF((((AJ73+AK73)/2)+(C73/(DATOS!$B$14*((AJ73+AK73)/2)))^2/(2*9.81)+B73-(E72+(C72/(DATOS!$B$14*E72))^2/(2*9.81)+B72+0.5*(((DATOS!$B$27*C72/(DATOS!$B$14*E72))^2/((DATOS!$B$14*E72)/(DATOS!$B$14+2*E72))^(4/3))+((DATOS!$B$27*C73/(DATOS!$B$14*((AJ73+AK73)/2)))^2/((DATOS!$B$14*((AJ73+AK73)/2))/(DATOS!$B$14+2*((AJ73+AK73)/2)))^(4/3)))*(A72-A73)))&lt;0,AK73,((AJ73+AK73)/2))</f>
        <v/>
      </c>
      <c r="AN73" s="16">
        <f>IF((((AL73+AM73)/2)+(C73/(DATOS!$B$14*((AL73+AM73)/2)))^2/(2*9.81)+B73-(E72+(C72/(DATOS!$B$14*E72))^2/(2*9.81)+B72+0.5*(((DATOS!$B$27*C72/(DATOS!$B$14*E72))^2/((DATOS!$B$14*E72)/(DATOS!$B$14+2*E72))^(4/3))+((DATOS!$B$27*C73/(DATOS!$B$14*((AL73+AM73)/2)))^2/((DATOS!$B$14*((AL73+AM73)/2))/(DATOS!$B$14+2*((AL73+AM73)/2)))^(4/3)))*(A72-A73)))&lt;0,((AL73+AM73)/2),AL73)</f>
        <v/>
      </c>
      <c r="AO73" s="16">
        <f>IF((((AL73+AM73)/2)+(C73/(DATOS!$B$14*((AL73+AM73)/2)))^2/(2*9.81)+B73-(E72+(C72/(DATOS!$B$14*E72))^2/(2*9.81)+B72+0.5*(((DATOS!$B$27*C72/(DATOS!$B$14*E72))^2/((DATOS!$B$14*E72)/(DATOS!$B$14+2*E72))^(4/3))+((DATOS!$B$27*C73/(DATOS!$B$14*((AL73+AM73)/2)))^2/((DATOS!$B$14*((AL73+AM73)/2))/(DATOS!$B$14+2*((AL73+AM73)/2)))^(4/3)))*(A72-A73)))&lt;0,AM73,((AL73+AM73)/2))</f>
        <v/>
      </c>
      <c r="AP73" s="16">
        <f>IF((((AN73+AO73)/2)+(C73/(DATOS!$B$14*((AN73+AO73)/2)))^2/(2*9.81)+B73-(E72+(C72/(DATOS!$B$14*E72))^2/(2*9.81)+B72+0.5*(((DATOS!$B$27*C72/(DATOS!$B$14*E72))^2/((DATOS!$B$14*E72)/(DATOS!$B$14+2*E72))^(4/3))+((DATOS!$B$27*C73/(DATOS!$B$14*((AN73+AO73)/2)))^2/((DATOS!$B$14*((AN73+AO73)/2))/(DATOS!$B$14+2*((AN73+AO73)/2)))^(4/3)))*(A72-A73)))&lt;0,((AN73+AO73)/2),AN73)</f>
        <v/>
      </c>
      <c r="AQ73" s="16">
        <f>IF((((AN73+AO73)/2)+(C73/(DATOS!$B$14*((AN73+AO73)/2)))^2/(2*9.81)+B73-(E72+(C72/(DATOS!$B$14*E72))^2/(2*9.81)+B72+0.5*(((DATOS!$B$27*C72/(DATOS!$B$14*E72))^2/((DATOS!$B$14*E72)/(DATOS!$B$14+2*E72))^(4/3))+((DATOS!$B$27*C73/(DATOS!$B$14*((AN73+AO73)/2)))^2/((DATOS!$B$14*((AN73+AO73)/2))/(DATOS!$B$14+2*((AN73+AO73)/2)))^(4/3)))*(A72-A73)))&lt;0,AO73,((AN73+AO73)/2))</f>
        <v/>
      </c>
      <c r="AR73" s="16">
        <f>IF((((AP73+AQ73)/2)+(C73/(DATOS!$B$14*((AP73+AQ73)/2)))^2/(2*9.81)+B73-(E72+(C72/(DATOS!$B$14*E72))^2/(2*9.81)+B72+0.5*(((DATOS!$B$27*C72/(DATOS!$B$14*E72))^2/((DATOS!$B$14*E72)/(DATOS!$B$14+2*E72))^(4/3))+((DATOS!$B$27*C73/(DATOS!$B$14*((AP73+AQ73)/2)))^2/((DATOS!$B$14*((AP73+AQ73)/2))/(DATOS!$B$14+2*((AP73+AQ73)/2)))^(4/3)))*(A72-A73)))&lt;0,((AP73+AQ73)/2),AP73)</f>
        <v/>
      </c>
      <c r="AS73" s="16">
        <f>IF((((AP73+AQ73)/2)+(C73/(DATOS!$B$14*((AP73+AQ73)/2)))^2/(2*9.81)+B73-(E72+(C72/(DATOS!$B$14*E72))^2/(2*9.81)+B72+0.5*(((DATOS!$B$27*C72/(DATOS!$B$14*E72))^2/((DATOS!$B$14*E72)/(DATOS!$B$14+2*E72))^(4/3))+((DATOS!$B$27*C73/(DATOS!$B$14*((AP73+AQ73)/2)))^2/((DATOS!$B$14*((AP73+AQ73)/2))/(DATOS!$B$14+2*((AP73+AQ73)/2)))^(4/3)))*(A72-A73)))&lt;0,AQ73,((AP73+AQ73)/2))</f>
        <v/>
      </c>
      <c r="AT73" s="16">
        <f>IF((((AR73+AS73)/2)+(C73/(DATOS!$B$14*((AR73+AS73)/2)))^2/(2*9.81)+B73-(E72+(C72/(DATOS!$B$14*E72))^2/(2*9.81)+B72+0.5*(((DATOS!$B$27*C72/(DATOS!$B$14*E72))^2/((DATOS!$B$14*E72)/(DATOS!$B$14+2*E72))^(4/3))+((DATOS!$B$27*C73/(DATOS!$B$14*((AR73+AS73)/2)))^2/((DATOS!$B$14*((AR73+AS73)/2))/(DATOS!$B$14+2*((AR73+AS73)/2)))^(4/3)))*(A72-A73)))&lt;0,((AR73+AS73)/2),AR73)</f>
        <v/>
      </c>
      <c r="AU73" s="16">
        <f>IF((((AR73+AS73)/2)+(C73/(DATOS!$B$14*((AR73+AS73)/2)))^2/(2*9.81)+B73-(E72+(C72/(DATOS!$B$14*E72))^2/(2*9.81)+B72+0.5*(((DATOS!$B$27*C72/(DATOS!$B$14*E72))^2/((DATOS!$B$14*E72)/(DATOS!$B$14+2*E72))^(4/3))+((DATOS!$B$27*C73/(DATOS!$B$14*((AR73+AS73)/2)))^2/((DATOS!$B$14*((AR73+AS73)/2))/(DATOS!$B$14+2*((AR73+AS73)/2)))^(4/3)))*(A72-A73)))&lt;0,AS73,((AR73+AS73)/2))</f>
        <v/>
      </c>
      <c r="AV73" s="16">
        <f>IF((((AT73+AU73)/2)+(C73/(DATOS!$B$14*((AT73+AU73)/2)))^2/(2*9.81)+B73-(E72+(C72/(DATOS!$B$14*E72))^2/(2*9.81)+B72+0.5*(((DATOS!$B$27*C72/(DATOS!$B$14*E72))^2/((DATOS!$B$14*E72)/(DATOS!$B$14+2*E72))^(4/3))+((DATOS!$B$27*C73/(DATOS!$B$14*((AT73+AU73)/2)))^2/((DATOS!$B$14*((AT73+AU73)/2))/(DATOS!$B$14+2*((AT73+AU73)/2)))^(4/3)))*(A72-A73)))&lt;0,((AT73+AU73)/2),AT73)</f>
        <v/>
      </c>
      <c r="AW73" s="16">
        <f>IF((((AT73+AU73)/2)+(C73/(DATOS!$B$14*((AT73+AU73)/2)))^2/(2*9.81)+B73-(E72+(C72/(DATOS!$B$14*E72))^2/(2*9.81)+B72+0.5*(((DATOS!$B$27*C72/(DATOS!$B$14*E72))^2/((DATOS!$B$14*E72)/(DATOS!$B$14+2*E72))^(4/3))+((DATOS!$B$27*C73/(DATOS!$B$14*((AT73+AU73)/2)))^2/((DATOS!$B$14*((AT73+AU73)/2))/(DATOS!$B$14+2*((AT73+AU73)/2)))^(4/3)))*(A72-A73)))&lt;0,AU73,((AT73+AU73)/2))</f>
        <v/>
      </c>
      <c r="AX73" s="16">
        <f>IF((((AV73+AW73)/2)+(C73/(DATOS!$B$14*((AV73+AW73)/2)))^2/(2*9.81)+B73-(E72+(C72/(DATOS!$B$14*E72))^2/(2*9.81)+B72+0.5*(((DATOS!$B$27*C72/(DATOS!$B$14*E72))^2/((DATOS!$B$14*E72)/(DATOS!$B$14+2*E72))^(4/3))+((DATOS!$B$27*C73/(DATOS!$B$14*((AV73+AW73)/2)))^2/((DATOS!$B$14*((AV73+AW73)/2))/(DATOS!$B$14+2*((AV73+AW73)/2)))^(4/3)))*(A72-A73)))&lt;0,((AV73+AW73)/2),AV73)</f>
        <v/>
      </c>
      <c r="AY73" s="16">
        <f>IF((((AV73+AW73)/2)+(C73/(DATOS!$B$14*((AV73+AW73)/2)))^2/(2*9.81)+B73-(E72+(C72/(DATOS!$B$14*E72))^2/(2*9.81)+B72+0.5*(((DATOS!$B$27*C72/(DATOS!$B$14*E72))^2/((DATOS!$B$14*E72)/(DATOS!$B$14+2*E72))^(4/3))+((DATOS!$B$27*C73/(DATOS!$B$14*((AV73+AW73)/2)))^2/((DATOS!$B$14*((AV73+AW73)/2))/(DATOS!$B$14+2*((AV73+AW73)/2)))^(4/3)))*(A72-A73)))&lt;0,AW73,((AV73+AW73)/2))</f>
        <v/>
      </c>
      <c r="AZ73" s="16">
        <f>IF((((AX73+AY73)/2)+(C73/(DATOS!$B$14*((AX73+AY73)/2)))^2/(2*9.81)+B73-(E72+(C72/(DATOS!$B$14*E72))^2/(2*9.81)+B72+0.5*(((DATOS!$B$27*C72/(DATOS!$B$14*E72))^2/((DATOS!$B$14*E72)/(DATOS!$B$14+2*E72))^(4/3))+((DATOS!$B$27*C73/(DATOS!$B$14*((AX73+AY73)/2)))^2/((DATOS!$B$14*((AX73+AY73)/2))/(DATOS!$B$14+2*((AX73+AY73)/2)))^(4/3)))*(A72-A73)))&lt;0,((AX73+AY73)/2),AX73)</f>
        <v/>
      </c>
      <c r="BA73" s="16">
        <f>IF((((AX73+AY73)/2)+(C73/(DATOS!$B$14*((AX73+AY73)/2)))^2/(2*9.81)+B73-(E72+(C72/(DATOS!$B$14*E72))^2/(2*9.81)+B72+0.5*(((DATOS!$B$27*C72/(DATOS!$B$14*E72))^2/((DATOS!$B$14*E72)/(DATOS!$B$14+2*E72))^(4/3))+((DATOS!$B$27*C73/(DATOS!$B$14*((AX73+AY73)/2)))^2/((DATOS!$B$14*((AX73+AY73)/2))/(DATOS!$B$14+2*((AX73+AY73)/2)))^(4/3)))*(A72-A73)))&lt;0,AY73,((AX73+AY73)/2))</f>
        <v/>
      </c>
      <c r="BB73" s="16">
        <f>IF((((AZ73+BA73)/2)+(C73/(DATOS!$B$14*((AZ73+BA73)/2)))^2/(2*9.81)+B73-(E72+(C72/(DATOS!$B$14*E72))^2/(2*9.81)+B72+0.5*(((DATOS!$B$27*C72/(DATOS!$B$14*E72))^2/((DATOS!$B$14*E72)/(DATOS!$B$14+2*E72))^(4/3))+((DATOS!$B$27*C73/(DATOS!$B$14*((AZ73+BA73)/2)))^2/((DATOS!$B$14*((AZ73+BA73)/2))/(DATOS!$B$14+2*((AZ73+BA73)/2)))^(4/3)))*(A72-A73)))&lt;0,((AZ73+BA73)/2),AZ73)</f>
        <v/>
      </c>
      <c r="BC73" s="16">
        <f>IF((((AZ73+BA73)/2)+(C73/(DATOS!$B$14*((AZ73+BA73)/2)))^2/(2*9.81)+B73-(E72+(C72/(DATOS!$B$14*E72))^2/(2*9.81)+B72+0.5*(((DATOS!$B$27*C72/(DATOS!$B$14*E72))^2/((DATOS!$B$14*E72)/(DATOS!$B$14+2*E72))^(4/3))+((DATOS!$B$27*C73/(DATOS!$B$14*((AZ73+BA73)/2)))^2/((DATOS!$B$14*((AZ73+BA73)/2))/(DATOS!$B$14+2*((AZ73+BA73)/2)))^(4/3)))*(A72-A73)))&lt;0,BA73,((AZ73+BA73)/2))</f>
        <v/>
      </c>
      <c r="BD73" s="16">
        <f>IF((((BB73+BC73)/2)+(C73/(DATOS!$B$14*((BB73+BC73)/2)))^2/(2*9.81)+B73-(E72+(C72/(DATOS!$B$14*E72))^2/(2*9.81)+B72+0.5*(((DATOS!$B$27*C72/(DATOS!$B$14*E72))^2/((DATOS!$B$14*E72)/(DATOS!$B$14+2*E72))^(4/3))+((DATOS!$B$27*C73/(DATOS!$B$14*((BB73+BC73)/2)))^2/((DATOS!$B$14*((BB73+BC73)/2))/(DATOS!$B$14+2*((BB73+BC73)/2)))^(4/3)))*(A72-A73)))&lt;0,((BB73+BC73)/2),BB73)</f>
        <v/>
      </c>
      <c r="BE73" s="16">
        <f>IF((((BB73+BC73)/2)+(C73/(DATOS!$B$14*((BB73+BC73)/2)))^2/(2*9.81)+B73-(E72+(C72/(DATOS!$B$14*E72))^2/(2*9.81)+B72+0.5*(((DATOS!$B$27*C72/(DATOS!$B$14*E72))^2/((DATOS!$B$14*E72)/(DATOS!$B$14+2*E72))^(4/3))+((DATOS!$B$27*C73/(DATOS!$B$14*((BB73+BC73)/2)))^2/((DATOS!$B$14*((BB73+BC73)/2))/(DATOS!$B$14+2*((BB73+BC73)/2)))^(4/3)))*(A72-A73)))&lt;0,BC73,((BB73+BC73)/2))</f>
        <v/>
      </c>
      <c r="BF73" s="16">
        <f>IF((((BD73+BE73)/2)+(C73/(DATOS!$B$14*((BD73+BE73)/2)))^2/(2*9.81)+B73-(E72+(C72/(DATOS!$B$14*E72))^2/(2*9.81)+B72+0.5*(((DATOS!$B$27*C72/(DATOS!$B$14*E72))^2/((DATOS!$B$14*E72)/(DATOS!$B$14+2*E72))^(4/3))+((DATOS!$B$27*C73/(DATOS!$B$14*((BD73+BE73)/2)))^2/((DATOS!$B$14*((BD73+BE73)/2))/(DATOS!$B$14+2*((BD73+BE73)/2)))^(4/3)))*(A72-A73)))&lt;0,((BD73+BE73)/2),BD73)</f>
        <v/>
      </c>
      <c r="BG73" s="16">
        <f>IF((((BD73+BE73)/2)+(C73/(DATOS!$B$14*((BD73+BE73)/2)))^2/(2*9.81)+B73-(E72+(C72/(DATOS!$B$14*E72))^2/(2*9.81)+B72+0.5*(((DATOS!$B$27*C72/(DATOS!$B$14*E72))^2/((DATOS!$B$14*E72)/(DATOS!$B$14+2*E72))^(4/3))+((DATOS!$B$27*C73/(DATOS!$B$14*((BD73+BE73)/2)))^2/((DATOS!$B$14*((BD73+BE73)/2))/(DATOS!$B$14+2*((BD73+BE73)/2)))^(4/3)))*(A72-A73)))&lt;0,BE73,((BD73+BE73)/2))</f>
        <v/>
      </c>
      <c r="BH73" s="16">
        <f>IF((((BF73+BG73)/2)+(C73/(DATOS!$B$14*((BF73+BG73)/2)))^2/(2*9.81)+B73-(E72+(C72/(DATOS!$B$14*E72))^2/(2*9.81)+B72+0.5*(((DATOS!$B$27*C72/(DATOS!$B$14*E72))^2/((DATOS!$B$14*E72)/(DATOS!$B$14+2*E72))^(4/3))+((DATOS!$B$27*C73/(DATOS!$B$14*((BF73+BG73)/2)))^2/((DATOS!$B$14*((BF73+BG73)/2))/(DATOS!$B$14+2*((BF73+BG73)/2)))^(4/3)))*(A72-A73)))&lt;0,((BF73+BG73)/2),BF73)</f>
        <v/>
      </c>
      <c r="BI73" s="16">
        <f>IF((((BF73+BG73)/2)+(C73/(DATOS!$B$14*((BF73+BG73)/2)))^2/(2*9.81)+B73-(E72+(C72/(DATOS!$B$14*E72))^2/(2*9.81)+B72+0.5*(((DATOS!$B$27*C72/(DATOS!$B$14*E72))^2/((DATOS!$B$14*E72)/(DATOS!$B$14+2*E72))^(4/3))+((DATOS!$B$27*C73/(DATOS!$B$14*((BF73+BG73)/2)))^2/((DATOS!$B$14*((BF73+BG73)/2))/(DATOS!$B$14+2*((BF73+BG73)/2)))^(4/3)))*(A72-A73)))&lt;0,BG73,((BF73+BG73)/2))</f>
        <v/>
      </c>
      <c r="BJ73" s="16">
        <f>IF((((BH73+BI73)/2)+(C73/(DATOS!$B$14*((BH73+BI73)/2)))^2/(2*9.81)+B73-(E72+(C72/(DATOS!$B$14*E72))^2/(2*9.81)+B72+0.5*(((DATOS!$B$27*C72/(DATOS!$B$14*E72))^2/((DATOS!$B$14*E72)/(DATOS!$B$14+2*E72))^(4/3))+((DATOS!$B$27*C73/(DATOS!$B$14*((BH73+BI73)/2)))^2/((DATOS!$B$14*((BH73+BI73)/2))/(DATOS!$B$14+2*((BH73+BI73)/2)))^(4/3)))*(A72-A73)))&lt;0,((BH73+BI73)/2),BH73)</f>
        <v/>
      </c>
      <c r="BK73" s="16">
        <f>IF((((BH73+BI73)/2)+(C73/(DATOS!$B$14*((BH73+BI73)/2)))^2/(2*9.81)+B73-(E72+(C72/(DATOS!$B$14*E72))^2/(2*9.81)+B72+0.5*(((DATOS!$B$27*C72/(DATOS!$B$14*E72))^2/((DATOS!$B$14*E72)/(DATOS!$B$14+2*E72))^(4/3))+((DATOS!$B$27*C73/(DATOS!$B$14*((BH73+BI73)/2)))^2/((DATOS!$B$14*((BH73+BI73)/2))/(DATOS!$B$14+2*((BH73+BI73)/2)))^(4/3)))*(A72-A73)))&lt;0,BI73,((BH73+BI73)/2))</f>
        <v/>
      </c>
      <c r="BL73" s="16">
        <f>IF((((BJ73+BK73)/2)+(C73/(DATOS!$B$14*((BJ73+BK73)/2)))^2/(2*9.81)+B73-(E72+(C72/(DATOS!$B$14*E72))^2/(2*9.81)+B72+0.5*(((DATOS!$B$27*C72/(DATOS!$B$14*E72))^2/((DATOS!$B$14*E72)/(DATOS!$B$14+2*E72))^(4/3))+((DATOS!$B$27*C73/(DATOS!$B$14*((BJ73+BK73)/2)))^2/((DATOS!$B$14*((BJ73+BK73)/2))/(DATOS!$B$14+2*((BJ73+BK73)/2)))^(4/3)))*(A72-A73)))&lt;0,((BJ73+BK73)/2),BJ73)</f>
        <v/>
      </c>
      <c r="BM73" s="16">
        <f>IF((((BJ73+BK73)/2)+(C73/(DATOS!$B$14*((BJ73+BK73)/2)))^2/(2*9.81)+B73-(E72+(C72/(DATOS!$B$14*E72))^2/(2*9.81)+B72+0.5*(((DATOS!$B$27*C72/(DATOS!$B$14*E72))^2/((DATOS!$B$14*E72)/(DATOS!$B$14+2*E72))^(4/3))+((DATOS!$B$27*C73/(DATOS!$B$14*((BJ73+BK73)/2)))^2/((DATOS!$B$14*((BJ73+BK73)/2))/(DATOS!$B$14+2*((BJ73+BK73)/2)))^(4/3)))*(A72-A73)))&lt;0,BK73,((BJ73+BK73)/2))</f>
        <v/>
      </c>
      <c r="BN73" s="16">
        <f>IF((((BL73+BM73)/2)+(C73/(DATOS!$B$14*((BL73+BM73)/2)))^2/(2*9.81)+B73-(E72+(C72/(DATOS!$B$14*E72))^2/(2*9.81)+B72+0.5*(((DATOS!$B$27*C72/(DATOS!$B$14*E72))^2/((DATOS!$B$14*E72)/(DATOS!$B$14+2*E72))^(4/3))+((DATOS!$B$27*C73/(DATOS!$B$14*((BL73+BM73)/2)))^2/((DATOS!$B$14*((BL73+BM73)/2))/(DATOS!$B$14+2*((BL73+BM73)/2)))^(4/3)))*(A72-A73)))&lt;0,((BL73+BM73)/2),BL73)</f>
        <v/>
      </c>
      <c r="BO73" s="16">
        <f>IF((((BL73+BM73)/2)+(C73/(DATOS!$B$14*((BL73+BM73)/2)))^2/(2*9.81)+B73-(E72+(C72/(DATOS!$B$14*E72))^2/(2*9.81)+B72+0.5*(((DATOS!$B$27*C72/(DATOS!$B$14*E72))^2/((DATOS!$B$14*E72)/(DATOS!$B$14+2*E72))^(4/3))+((DATOS!$B$27*C73/(DATOS!$B$14*((BL73+BM73)/2)))^2/((DATOS!$B$14*((BL73+BM73)/2))/(DATOS!$B$14+2*((BL73+BM73)/2)))^(4/3)))*(A72-A73)))&lt;0,BM73,((BL73+BM73)/2))</f>
        <v/>
      </c>
      <c r="BP73" s="16">
        <f>IF((((BN73+BO73)/2)+(C73/(DATOS!$B$14*((BN73+BO73)/2)))^2/(2*9.81)+B73-(E72+(C72/(DATOS!$B$14*E72))^2/(2*9.81)+B72+0.5*(((DATOS!$B$27*C72/(DATOS!$B$14*E72))^2/((DATOS!$B$14*E72)/(DATOS!$B$14+2*E72))^(4/3))+((DATOS!$B$27*C73/(DATOS!$B$14*((BN73+BO73)/2)))^2/((DATOS!$B$14*((BN73+BO73)/2))/(DATOS!$B$14+2*((BN73+BO73)/2)))^(4/3)))*(A72-A73)))&lt;0,((BN73+BO73)/2),BN73)</f>
        <v/>
      </c>
      <c r="BQ73" s="16">
        <f>IF((((BN73+BO73)/2)+(C73/(DATOS!$B$14*((BN73+BO73)/2)))^2/(2*9.81)+B73-(E72+(C72/(DATOS!$B$14*E72))^2/(2*9.81)+B72+0.5*(((DATOS!$B$27*C72/(DATOS!$B$14*E72))^2/((DATOS!$B$14*E72)/(DATOS!$B$14+2*E72))^(4/3))+((DATOS!$B$27*C73/(DATOS!$B$14*((BN73+BO73)/2)))^2/((DATOS!$B$14*((BN73+BO73)/2))/(DATOS!$B$14+2*((BN73+BO73)/2)))^(4/3)))*(A72-A73)))&lt;0,BO73,((BN73+BO73)/2))</f>
        <v/>
      </c>
      <c r="BR73" s="16">
        <f>IF((((BP73+BQ73)/2)+(C73/(DATOS!$B$14*((BP73+BQ73)/2)))^2/(2*9.81)+B73-(E72+(C72/(DATOS!$B$14*E72))^2/(2*9.81)+B72+0.5*(((DATOS!$B$27*C72/(DATOS!$B$14*E72))^2/((DATOS!$B$14*E72)/(DATOS!$B$14+2*E72))^(4/3))+((DATOS!$B$27*C73/(DATOS!$B$14*((BP73+BQ73)/2)))^2/((DATOS!$B$14*((BP73+BQ73)/2))/(DATOS!$B$14+2*((BP73+BQ73)/2)))^(4/3)))*(A72-A73)))&lt;0,((BP73+BQ73)/2),BP73)</f>
        <v/>
      </c>
      <c r="BS73" s="16">
        <f>IF((((BP73+BQ73)/2)+(C73/(DATOS!$B$14*((BP73+BQ73)/2)))^2/(2*9.81)+B73-(E72+(C72/(DATOS!$B$14*E72))^2/(2*9.81)+B72+0.5*(((DATOS!$B$27*C72/(DATOS!$B$14*E72))^2/((DATOS!$B$14*E72)/(DATOS!$B$14+2*E72))^(4/3))+((DATOS!$B$27*C73/(DATOS!$B$14*((BP73+BQ73)/2)))^2/((DATOS!$B$14*((BP73+BQ73)/2))/(DATOS!$B$14+2*((BP73+BQ73)/2)))^(4/3)))*(A72-A73)))&lt;0,BQ73,((BP73+BQ73)/2))</f>
        <v/>
      </c>
      <c r="BT73" s="16">
        <f>IF((((BR73+BS73)/2)+(C73/(DATOS!$B$14*((BR73+BS73)/2)))^2/(2*9.81)+B73-(E72+(C72/(DATOS!$B$14*E72))^2/(2*9.81)+B72+0.5*(((DATOS!$B$27*C72/(DATOS!$B$14*E72))^2/((DATOS!$B$14*E72)/(DATOS!$B$14+2*E72))^(4/3))+((DATOS!$B$27*C73/(DATOS!$B$14*((BR73+BS73)/2)))^2/((DATOS!$B$14*((BR73+BS73)/2))/(DATOS!$B$14+2*((BR73+BS73)/2)))^(4/3)))*(A72-A73)))&lt;0,((BR73+BS73)/2),BR73)</f>
        <v/>
      </c>
      <c r="BU73" s="16">
        <f>IF((((BR73+BS73)/2)+(C73/(DATOS!$B$14*((BR73+BS73)/2)))^2/(2*9.81)+B73-(E72+(C72/(DATOS!$B$14*E72))^2/(2*9.81)+B72+0.5*(((DATOS!$B$27*C72/(DATOS!$B$14*E72))^2/((DATOS!$B$14*E72)/(DATOS!$B$14+2*E72))^(4/3))+((DATOS!$B$27*C73/(DATOS!$B$14*((BR73+BS73)/2)))^2/((DATOS!$B$14*((BR73+BS73)/2))/(DATOS!$B$14+2*((BR73+BS73)/2)))^(4/3)))*(A72-A73)))&lt;0,BS73,((BR73+BS73)/2))</f>
        <v/>
      </c>
    </row>
    <row r="74">
      <c r="A74" s="30" t="n">
        <v>10</v>
      </c>
      <c r="B74" s="21">
        <f>DATOS!$B$16-DATOS!$B$19*A74</f>
        <v/>
      </c>
      <c r="C74" s="21">
        <f>IF(A74&lt;CAUDALES!$B$13,CAUDALES!$D$12,IF(A74&lt;CAUDALES!$B$14,CAUDALES!$D$13,IF(A74&lt;CAUDALES!$B$15,CAUDALES!$D$14,CAUDALES!$D$15)))/1000</f>
        <v/>
      </c>
      <c r="D74" s="21">
        <f>(C74^2/(9.81*DATOS!$B$14^2))^(1/3)</f>
        <v/>
      </c>
      <c r="E74" s="29">
        <f>(BT74+BU74)/2</f>
        <v/>
      </c>
      <c r="F74" s="21">
        <f>B74+E74</f>
        <v/>
      </c>
      <c r="G74" s="17">
        <f>C74/(DATOS!$B$14*E74)</f>
        <v/>
      </c>
      <c r="H74" s="17">
        <f>G74/SQRT(9.81*E74)</f>
        <v/>
      </c>
      <c r="I74" s="21">
        <f>IF(A74&lt;=DATOS!$B$20,DATOS!$B$21-IF(AND(A74&gt;=DATOS!$B$23,A74&lt;DATOS!$B$24),DATOS!$B$25,DATOS!$B$22),B74+DATOS!$B$26)</f>
        <v/>
      </c>
      <c r="J74" s="17">
        <f>I74-B74</f>
        <v/>
      </c>
      <c r="K74" s="31">
        <f>E74/J74</f>
        <v/>
      </c>
      <c r="L74" s="21">
        <f>I74-F74</f>
        <v/>
      </c>
      <c r="M74" s="32">
        <f>IF(AND(K74&lt;=DATOS!$B$29,L74&gt;=DATOS!$B$30),"CUMPLE","NO CUMPLE")</f>
        <v/>
      </c>
      <c r="N74" s="13">
        <f>IF(A74&gt;DATOS!$B$20,"cubierto - tramo final",IF(AND(A74&gt;=DATOS!$B$23,A74&lt;DATOS!$B$24),"cubierto - camiones","cubierto"))</f>
        <v/>
      </c>
      <c r="P74" s="16">
        <f>D74*1.001</f>
        <v/>
      </c>
      <c r="Q74" s="16" t="n">
        <v>2</v>
      </c>
      <c r="R74" s="16">
        <f>IF((((P74+Q74)/2)+(C74/(DATOS!$B$14*((P74+Q74)/2)))^2/(2*9.81)+B74-(E73+(C73/(DATOS!$B$14*E73))^2/(2*9.81)+B73+0.5*(((DATOS!$B$27*C73/(DATOS!$B$14*E73))^2/((DATOS!$B$14*E73)/(DATOS!$B$14+2*E73))^(4/3))+((DATOS!$B$27*C74/(DATOS!$B$14*((P74+Q74)/2)))^2/((DATOS!$B$14*((P74+Q74)/2))/(DATOS!$B$14+2*((P74+Q74)/2)))^(4/3)))*(A73-A74)))&lt;0,((P74+Q74)/2),P74)</f>
        <v/>
      </c>
      <c r="S74" s="16">
        <f>IF((((P74+Q74)/2)+(C74/(DATOS!$B$14*((P74+Q74)/2)))^2/(2*9.81)+B74-(E73+(C73/(DATOS!$B$14*E73))^2/(2*9.81)+B73+0.5*(((DATOS!$B$27*C73/(DATOS!$B$14*E73))^2/((DATOS!$B$14*E73)/(DATOS!$B$14+2*E73))^(4/3))+((DATOS!$B$27*C74/(DATOS!$B$14*((P74+Q74)/2)))^2/((DATOS!$B$14*((P74+Q74)/2))/(DATOS!$B$14+2*((P74+Q74)/2)))^(4/3)))*(A73-A74)))&lt;0,Q74,((P74+Q74)/2))</f>
        <v/>
      </c>
      <c r="T74" s="16">
        <f>IF((((R74+S74)/2)+(C74/(DATOS!$B$14*((R74+S74)/2)))^2/(2*9.81)+B74-(E73+(C73/(DATOS!$B$14*E73))^2/(2*9.81)+B73+0.5*(((DATOS!$B$27*C73/(DATOS!$B$14*E73))^2/((DATOS!$B$14*E73)/(DATOS!$B$14+2*E73))^(4/3))+((DATOS!$B$27*C74/(DATOS!$B$14*((R74+S74)/2)))^2/((DATOS!$B$14*((R74+S74)/2))/(DATOS!$B$14+2*((R74+S74)/2)))^(4/3)))*(A73-A74)))&lt;0,((R74+S74)/2),R74)</f>
        <v/>
      </c>
      <c r="U74" s="16">
        <f>IF((((R74+S74)/2)+(C74/(DATOS!$B$14*((R74+S74)/2)))^2/(2*9.81)+B74-(E73+(C73/(DATOS!$B$14*E73))^2/(2*9.81)+B73+0.5*(((DATOS!$B$27*C73/(DATOS!$B$14*E73))^2/((DATOS!$B$14*E73)/(DATOS!$B$14+2*E73))^(4/3))+((DATOS!$B$27*C74/(DATOS!$B$14*((R74+S74)/2)))^2/((DATOS!$B$14*((R74+S74)/2))/(DATOS!$B$14+2*((R74+S74)/2)))^(4/3)))*(A73-A74)))&lt;0,S74,((R74+S74)/2))</f>
        <v/>
      </c>
      <c r="V74" s="16">
        <f>IF((((T74+U74)/2)+(C74/(DATOS!$B$14*((T74+U74)/2)))^2/(2*9.81)+B74-(E73+(C73/(DATOS!$B$14*E73))^2/(2*9.81)+B73+0.5*(((DATOS!$B$27*C73/(DATOS!$B$14*E73))^2/((DATOS!$B$14*E73)/(DATOS!$B$14+2*E73))^(4/3))+((DATOS!$B$27*C74/(DATOS!$B$14*((T74+U74)/2)))^2/((DATOS!$B$14*((T74+U74)/2))/(DATOS!$B$14+2*((T74+U74)/2)))^(4/3)))*(A73-A74)))&lt;0,((T74+U74)/2),T74)</f>
        <v/>
      </c>
      <c r="W74" s="16">
        <f>IF((((T74+U74)/2)+(C74/(DATOS!$B$14*((T74+U74)/2)))^2/(2*9.81)+B74-(E73+(C73/(DATOS!$B$14*E73))^2/(2*9.81)+B73+0.5*(((DATOS!$B$27*C73/(DATOS!$B$14*E73))^2/((DATOS!$B$14*E73)/(DATOS!$B$14+2*E73))^(4/3))+((DATOS!$B$27*C74/(DATOS!$B$14*((T74+U74)/2)))^2/((DATOS!$B$14*((T74+U74)/2))/(DATOS!$B$14+2*((T74+U74)/2)))^(4/3)))*(A73-A74)))&lt;0,U74,((T74+U74)/2))</f>
        <v/>
      </c>
      <c r="X74" s="16">
        <f>IF((((V74+W74)/2)+(C74/(DATOS!$B$14*((V74+W74)/2)))^2/(2*9.81)+B74-(E73+(C73/(DATOS!$B$14*E73))^2/(2*9.81)+B73+0.5*(((DATOS!$B$27*C73/(DATOS!$B$14*E73))^2/((DATOS!$B$14*E73)/(DATOS!$B$14+2*E73))^(4/3))+((DATOS!$B$27*C74/(DATOS!$B$14*((V74+W74)/2)))^2/((DATOS!$B$14*((V74+W74)/2))/(DATOS!$B$14+2*((V74+W74)/2)))^(4/3)))*(A73-A74)))&lt;0,((V74+W74)/2),V74)</f>
        <v/>
      </c>
      <c r="Y74" s="16">
        <f>IF((((V74+W74)/2)+(C74/(DATOS!$B$14*((V74+W74)/2)))^2/(2*9.81)+B74-(E73+(C73/(DATOS!$B$14*E73))^2/(2*9.81)+B73+0.5*(((DATOS!$B$27*C73/(DATOS!$B$14*E73))^2/((DATOS!$B$14*E73)/(DATOS!$B$14+2*E73))^(4/3))+((DATOS!$B$27*C74/(DATOS!$B$14*((V74+W74)/2)))^2/((DATOS!$B$14*((V74+W74)/2))/(DATOS!$B$14+2*((V74+W74)/2)))^(4/3)))*(A73-A74)))&lt;0,W74,((V74+W74)/2))</f>
        <v/>
      </c>
      <c r="Z74" s="16">
        <f>IF((((X74+Y74)/2)+(C74/(DATOS!$B$14*((X74+Y74)/2)))^2/(2*9.81)+B74-(E73+(C73/(DATOS!$B$14*E73))^2/(2*9.81)+B73+0.5*(((DATOS!$B$27*C73/(DATOS!$B$14*E73))^2/((DATOS!$B$14*E73)/(DATOS!$B$14+2*E73))^(4/3))+((DATOS!$B$27*C74/(DATOS!$B$14*((X74+Y74)/2)))^2/((DATOS!$B$14*((X74+Y74)/2))/(DATOS!$B$14+2*((X74+Y74)/2)))^(4/3)))*(A73-A74)))&lt;0,((X74+Y74)/2),X74)</f>
        <v/>
      </c>
      <c r="AA74" s="16">
        <f>IF((((X74+Y74)/2)+(C74/(DATOS!$B$14*((X74+Y74)/2)))^2/(2*9.81)+B74-(E73+(C73/(DATOS!$B$14*E73))^2/(2*9.81)+B73+0.5*(((DATOS!$B$27*C73/(DATOS!$B$14*E73))^2/((DATOS!$B$14*E73)/(DATOS!$B$14+2*E73))^(4/3))+((DATOS!$B$27*C74/(DATOS!$B$14*((X74+Y74)/2)))^2/((DATOS!$B$14*((X74+Y74)/2))/(DATOS!$B$14+2*((X74+Y74)/2)))^(4/3)))*(A73-A74)))&lt;0,Y74,((X74+Y74)/2))</f>
        <v/>
      </c>
      <c r="AB74" s="16">
        <f>IF((((Z74+AA74)/2)+(C74/(DATOS!$B$14*((Z74+AA74)/2)))^2/(2*9.81)+B74-(E73+(C73/(DATOS!$B$14*E73))^2/(2*9.81)+B73+0.5*(((DATOS!$B$27*C73/(DATOS!$B$14*E73))^2/((DATOS!$B$14*E73)/(DATOS!$B$14+2*E73))^(4/3))+((DATOS!$B$27*C74/(DATOS!$B$14*((Z74+AA74)/2)))^2/((DATOS!$B$14*((Z74+AA74)/2))/(DATOS!$B$14+2*((Z74+AA74)/2)))^(4/3)))*(A73-A74)))&lt;0,((Z74+AA74)/2),Z74)</f>
        <v/>
      </c>
      <c r="AC74" s="16">
        <f>IF((((Z74+AA74)/2)+(C74/(DATOS!$B$14*((Z74+AA74)/2)))^2/(2*9.81)+B74-(E73+(C73/(DATOS!$B$14*E73))^2/(2*9.81)+B73+0.5*(((DATOS!$B$27*C73/(DATOS!$B$14*E73))^2/((DATOS!$B$14*E73)/(DATOS!$B$14+2*E73))^(4/3))+((DATOS!$B$27*C74/(DATOS!$B$14*((Z74+AA74)/2)))^2/((DATOS!$B$14*((Z74+AA74)/2))/(DATOS!$B$14+2*((Z74+AA74)/2)))^(4/3)))*(A73-A74)))&lt;0,AA74,((Z74+AA74)/2))</f>
        <v/>
      </c>
      <c r="AD74" s="16">
        <f>IF((((AB74+AC74)/2)+(C74/(DATOS!$B$14*((AB74+AC74)/2)))^2/(2*9.81)+B74-(E73+(C73/(DATOS!$B$14*E73))^2/(2*9.81)+B73+0.5*(((DATOS!$B$27*C73/(DATOS!$B$14*E73))^2/((DATOS!$B$14*E73)/(DATOS!$B$14+2*E73))^(4/3))+((DATOS!$B$27*C74/(DATOS!$B$14*((AB74+AC74)/2)))^2/((DATOS!$B$14*((AB74+AC74)/2))/(DATOS!$B$14+2*((AB74+AC74)/2)))^(4/3)))*(A73-A74)))&lt;0,((AB74+AC74)/2),AB74)</f>
        <v/>
      </c>
      <c r="AE74" s="16">
        <f>IF((((AB74+AC74)/2)+(C74/(DATOS!$B$14*((AB74+AC74)/2)))^2/(2*9.81)+B74-(E73+(C73/(DATOS!$B$14*E73))^2/(2*9.81)+B73+0.5*(((DATOS!$B$27*C73/(DATOS!$B$14*E73))^2/((DATOS!$B$14*E73)/(DATOS!$B$14+2*E73))^(4/3))+((DATOS!$B$27*C74/(DATOS!$B$14*((AB74+AC74)/2)))^2/((DATOS!$B$14*((AB74+AC74)/2))/(DATOS!$B$14+2*((AB74+AC74)/2)))^(4/3)))*(A73-A74)))&lt;0,AC74,((AB74+AC74)/2))</f>
        <v/>
      </c>
      <c r="AF74" s="16">
        <f>IF((((AD74+AE74)/2)+(C74/(DATOS!$B$14*((AD74+AE74)/2)))^2/(2*9.81)+B74-(E73+(C73/(DATOS!$B$14*E73))^2/(2*9.81)+B73+0.5*(((DATOS!$B$27*C73/(DATOS!$B$14*E73))^2/((DATOS!$B$14*E73)/(DATOS!$B$14+2*E73))^(4/3))+((DATOS!$B$27*C74/(DATOS!$B$14*((AD74+AE74)/2)))^2/((DATOS!$B$14*((AD74+AE74)/2))/(DATOS!$B$14+2*((AD74+AE74)/2)))^(4/3)))*(A73-A74)))&lt;0,((AD74+AE74)/2),AD74)</f>
        <v/>
      </c>
      <c r="AG74" s="16">
        <f>IF((((AD74+AE74)/2)+(C74/(DATOS!$B$14*((AD74+AE74)/2)))^2/(2*9.81)+B74-(E73+(C73/(DATOS!$B$14*E73))^2/(2*9.81)+B73+0.5*(((DATOS!$B$27*C73/(DATOS!$B$14*E73))^2/((DATOS!$B$14*E73)/(DATOS!$B$14+2*E73))^(4/3))+((DATOS!$B$27*C74/(DATOS!$B$14*((AD74+AE74)/2)))^2/((DATOS!$B$14*((AD74+AE74)/2))/(DATOS!$B$14+2*((AD74+AE74)/2)))^(4/3)))*(A73-A74)))&lt;0,AE74,((AD74+AE74)/2))</f>
        <v/>
      </c>
      <c r="AH74" s="16">
        <f>IF((((AF74+AG74)/2)+(C74/(DATOS!$B$14*((AF74+AG74)/2)))^2/(2*9.81)+B74-(E73+(C73/(DATOS!$B$14*E73))^2/(2*9.81)+B73+0.5*(((DATOS!$B$27*C73/(DATOS!$B$14*E73))^2/((DATOS!$B$14*E73)/(DATOS!$B$14+2*E73))^(4/3))+((DATOS!$B$27*C74/(DATOS!$B$14*((AF74+AG74)/2)))^2/((DATOS!$B$14*((AF74+AG74)/2))/(DATOS!$B$14+2*((AF74+AG74)/2)))^(4/3)))*(A73-A74)))&lt;0,((AF74+AG74)/2),AF74)</f>
        <v/>
      </c>
      <c r="AI74" s="16">
        <f>IF((((AF74+AG74)/2)+(C74/(DATOS!$B$14*((AF74+AG74)/2)))^2/(2*9.81)+B74-(E73+(C73/(DATOS!$B$14*E73))^2/(2*9.81)+B73+0.5*(((DATOS!$B$27*C73/(DATOS!$B$14*E73))^2/((DATOS!$B$14*E73)/(DATOS!$B$14+2*E73))^(4/3))+((DATOS!$B$27*C74/(DATOS!$B$14*((AF74+AG74)/2)))^2/((DATOS!$B$14*((AF74+AG74)/2))/(DATOS!$B$14+2*((AF74+AG74)/2)))^(4/3)))*(A73-A74)))&lt;0,AG74,((AF74+AG74)/2))</f>
        <v/>
      </c>
      <c r="AJ74" s="16">
        <f>IF((((AH74+AI74)/2)+(C74/(DATOS!$B$14*((AH74+AI74)/2)))^2/(2*9.81)+B74-(E73+(C73/(DATOS!$B$14*E73))^2/(2*9.81)+B73+0.5*(((DATOS!$B$27*C73/(DATOS!$B$14*E73))^2/((DATOS!$B$14*E73)/(DATOS!$B$14+2*E73))^(4/3))+((DATOS!$B$27*C74/(DATOS!$B$14*((AH74+AI74)/2)))^2/((DATOS!$B$14*((AH74+AI74)/2))/(DATOS!$B$14+2*((AH74+AI74)/2)))^(4/3)))*(A73-A74)))&lt;0,((AH74+AI74)/2),AH74)</f>
        <v/>
      </c>
      <c r="AK74" s="16">
        <f>IF((((AH74+AI74)/2)+(C74/(DATOS!$B$14*((AH74+AI74)/2)))^2/(2*9.81)+B74-(E73+(C73/(DATOS!$B$14*E73))^2/(2*9.81)+B73+0.5*(((DATOS!$B$27*C73/(DATOS!$B$14*E73))^2/((DATOS!$B$14*E73)/(DATOS!$B$14+2*E73))^(4/3))+((DATOS!$B$27*C74/(DATOS!$B$14*((AH74+AI74)/2)))^2/((DATOS!$B$14*((AH74+AI74)/2))/(DATOS!$B$14+2*((AH74+AI74)/2)))^(4/3)))*(A73-A74)))&lt;0,AI74,((AH74+AI74)/2))</f>
        <v/>
      </c>
      <c r="AL74" s="16">
        <f>IF((((AJ74+AK74)/2)+(C74/(DATOS!$B$14*((AJ74+AK74)/2)))^2/(2*9.81)+B74-(E73+(C73/(DATOS!$B$14*E73))^2/(2*9.81)+B73+0.5*(((DATOS!$B$27*C73/(DATOS!$B$14*E73))^2/((DATOS!$B$14*E73)/(DATOS!$B$14+2*E73))^(4/3))+((DATOS!$B$27*C74/(DATOS!$B$14*((AJ74+AK74)/2)))^2/((DATOS!$B$14*((AJ74+AK74)/2))/(DATOS!$B$14+2*((AJ74+AK74)/2)))^(4/3)))*(A73-A74)))&lt;0,((AJ74+AK74)/2),AJ74)</f>
        <v/>
      </c>
      <c r="AM74" s="16">
        <f>IF((((AJ74+AK74)/2)+(C74/(DATOS!$B$14*((AJ74+AK74)/2)))^2/(2*9.81)+B74-(E73+(C73/(DATOS!$B$14*E73))^2/(2*9.81)+B73+0.5*(((DATOS!$B$27*C73/(DATOS!$B$14*E73))^2/((DATOS!$B$14*E73)/(DATOS!$B$14+2*E73))^(4/3))+((DATOS!$B$27*C74/(DATOS!$B$14*((AJ74+AK74)/2)))^2/((DATOS!$B$14*((AJ74+AK74)/2))/(DATOS!$B$14+2*((AJ74+AK74)/2)))^(4/3)))*(A73-A74)))&lt;0,AK74,((AJ74+AK74)/2))</f>
        <v/>
      </c>
      <c r="AN74" s="16">
        <f>IF((((AL74+AM74)/2)+(C74/(DATOS!$B$14*((AL74+AM74)/2)))^2/(2*9.81)+B74-(E73+(C73/(DATOS!$B$14*E73))^2/(2*9.81)+B73+0.5*(((DATOS!$B$27*C73/(DATOS!$B$14*E73))^2/((DATOS!$B$14*E73)/(DATOS!$B$14+2*E73))^(4/3))+((DATOS!$B$27*C74/(DATOS!$B$14*((AL74+AM74)/2)))^2/((DATOS!$B$14*((AL74+AM74)/2))/(DATOS!$B$14+2*((AL74+AM74)/2)))^(4/3)))*(A73-A74)))&lt;0,((AL74+AM74)/2),AL74)</f>
        <v/>
      </c>
      <c r="AO74" s="16">
        <f>IF((((AL74+AM74)/2)+(C74/(DATOS!$B$14*((AL74+AM74)/2)))^2/(2*9.81)+B74-(E73+(C73/(DATOS!$B$14*E73))^2/(2*9.81)+B73+0.5*(((DATOS!$B$27*C73/(DATOS!$B$14*E73))^2/((DATOS!$B$14*E73)/(DATOS!$B$14+2*E73))^(4/3))+((DATOS!$B$27*C74/(DATOS!$B$14*((AL74+AM74)/2)))^2/((DATOS!$B$14*((AL74+AM74)/2))/(DATOS!$B$14+2*((AL74+AM74)/2)))^(4/3)))*(A73-A74)))&lt;0,AM74,((AL74+AM74)/2))</f>
        <v/>
      </c>
      <c r="AP74" s="16">
        <f>IF((((AN74+AO74)/2)+(C74/(DATOS!$B$14*((AN74+AO74)/2)))^2/(2*9.81)+B74-(E73+(C73/(DATOS!$B$14*E73))^2/(2*9.81)+B73+0.5*(((DATOS!$B$27*C73/(DATOS!$B$14*E73))^2/((DATOS!$B$14*E73)/(DATOS!$B$14+2*E73))^(4/3))+((DATOS!$B$27*C74/(DATOS!$B$14*((AN74+AO74)/2)))^2/((DATOS!$B$14*((AN74+AO74)/2))/(DATOS!$B$14+2*((AN74+AO74)/2)))^(4/3)))*(A73-A74)))&lt;0,((AN74+AO74)/2),AN74)</f>
        <v/>
      </c>
      <c r="AQ74" s="16">
        <f>IF((((AN74+AO74)/2)+(C74/(DATOS!$B$14*((AN74+AO74)/2)))^2/(2*9.81)+B74-(E73+(C73/(DATOS!$B$14*E73))^2/(2*9.81)+B73+0.5*(((DATOS!$B$27*C73/(DATOS!$B$14*E73))^2/((DATOS!$B$14*E73)/(DATOS!$B$14+2*E73))^(4/3))+((DATOS!$B$27*C74/(DATOS!$B$14*((AN74+AO74)/2)))^2/((DATOS!$B$14*((AN74+AO74)/2))/(DATOS!$B$14+2*((AN74+AO74)/2)))^(4/3)))*(A73-A74)))&lt;0,AO74,((AN74+AO74)/2))</f>
        <v/>
      </c>
      <c r="AR74" s="16">
        <f>IF((((AP74+AQ74)/2)+(C74/(DATOS!$B$14*((AP74+AQ74)/2)))^2/(2*9.81)+B74-(E73+(C73/(DATOS!$B$14*E73))^2/(2*9.81)+B73+0.5*(((DATOS!$B$27*C73/(DATOS!$B$14*E73))^2/((DATOS!$B$14*E73)/(DATOS!$B$14+2*E73))^(4/3))+((DATOS!$B$27*C74/(DATOS!$B$14*((AP74+AQ74)/2)))^2/((DATOS!$B$14*((AP74+AQ74)/2))/(DATOS!$B$14+2*((AP74+AQ74)/2)))^(4/3)))*(A73-A74)))&lt;0,((AP74+AQ74)/2),AP74)</f>
        <v/>
      </c>
      <c r="AS74" s="16">
        <f>IF((((AP74+AQ74)/2)+(C74/(DATOS!$B$14*((AP74+AQ74)/2)))^2/(2*9.81)+B74-(E73+(C73/(DATOS!$B$14*E73))^2/(2*9.81)+B73+0.5*(((DATOS!$B$27*C73/(DATOS!$B$14*E73))^2/((DATOS!$B$14*E73)/(DATOS!$B$14+2*E73))^(4/3))+((DATOS!$B$27*C74/(DATOS!$B$14*((AP74+AQ74)/2)))^2/((DATOS!$B$14*((AP74+AQ74)/2))/(DATOS!$B$14+2*((AP74+AQ74)/2)))^(4/3)))*(A73-A74)))&lt;0,AQ74,((AP74+AQ74)/2))</f>
        <v/>
      </c>
      <c r="AT74" s="16">
        <f>IF((((AR74+AS74)/2)+(C74/(DATOS!$B$14*((AR74+AS74)/2)))^2/(2*9.81)+B74-(E73+(C73/(DATOS!$B$14*E73))^2/(2*9.81)+B73+0.5*(((DATOS!$B$27*C73/(DATOS!$B$14*E73))^2/((DATOS!$B$14*E73)/(DATOS!$B$14+2*E73))^(4/3))+((DATOS!$B$27*C74/(DATOS!$B$14*((AR74+AS74)/2)))^2/((DATOS!$B$14*((AR74+AS74)/2))/(DATOS!$B$14+2*((AR74+AS74)/2)))^(4/3)))*(A73-A74)))&lt;0,((AR74+AS74)/2),AR74)</f>
        <v/>
      </c>
      <c r="AU74" s="16">
        <f>IF((((AR74+AS74)/2)+(C74/(DATOS!$B$14*((AR74+AS74)/2)))^2/(2*9.81)+B74-(E73+(C73/(DATOS!$B$14*E73))^2/(2*9.81)+B73+0.5*(((DATOS!$B$27*C73/(DATOS!$B$14*E73))^2/((DATOS!$B$14*E73)/(DATOS!$B$14+2*E73))^(4/3))+((DATOS!$B$27*C74/(DATOS!$B$14*((AR74+AS74)/2)))^2/((DATOS!$B$14*((AR74+AS74)/2))/(DATOS!$B$14+2*((AR74+AS74)/2)))^(4/3)))*(A73-A74)))&lt;0,AS74,((AR74+AS74)/2))</f>
        <v/>
      </c>
      <c r="AV74" s="16">
        <f>IF((((AT74+AU74)/2)+(C74/(DATOS!$B$14*((AT74+AU74)/2)))^2/(2*9.81)+B74-(E73+(C73/(DATOS!$B$14*E73))^2/(2*9.81)+B73+0.5*(((DATOS!$B$27*C73/(DATOS!$B$14*E73))^2/((DATOS!$B$14*E73)/(DATOS!$B$14+2*E73))^(4/3))+((DATOS!$B$27*C74/(DATOS!$B$14*((AT74+AU74)/2)))^2/((DATOS!$B$14*((AT74+AU74)/2))/(DATOS!$B$14+2*((AT74+AU74)/2)))^(4/3)))*(A73-A74)))&lt;0,((AT74+AU74)/2),AT74)</f>
        <v/>
      </c>
      <c r="AW74" s="16">
        <f>IF((((AT74+AU74)/2)+(C74/(DATOS!$B$14*((AT74+AU74)/2)))^2/(2*9.81)+B74-(E73+(C73/(DATOS!$B$14*E73))^2/(2*9.81)+B73+0.5*(((DATOS!$B$27*C73/(DATOS!$B$14*E73))^2/((DATOS!$B$14*E73)/(DATOS!$B$14+2*E73))^(4/3))+((DATOS!$B$27*C74/(DATOS!$B$14*((AT74+AU74)/2)))^2/((DATOS!$B$14*((AT74+AU74)/2))/(DATOS!$B$14+2*((AT74+AU74)/2)))^(4/3)))*(A73-A74)))&lt;0,AU74,((AT74+AU74)/2))</f>
        <v/>
      </c>
      <c r="AX74" s="16">
        <f>IF((((AV74+AW74)/2)+(C74/(DATOS!$B$14*((AV74+AW74)/2)))^2/(2*9.81)+B74-(E73+(C73/(DATOS!$B$14*E73))^2/(2*9.81)+B73+0.5*(((DATOS!$B$27*C73/(DATOS!$B$14*E73))^2/((DATOS!$B$14*E73)/(DATOS!$B$14+2*E73))^(4/3))+((DATOS!$B$27*C74/(DATOS!$B$14*((AV74+AW74)/2)))^2/((DATOS!$B$14*((AV74+AW74)/2))/(DATOS!$B$14+2*((AV74+AW74)/2)))^(4/3)))*(A73-A74)))&lt;0,((AV74+AW74)/2),AV74)</f>
        <v/>
      </c>
      <c r="AY74" s="16">
        <f>IF((((AV74+AW74)/2)+(C74/(DATOS!$B$14*((AV74+AW74)/2)))^2/(2*9.81)+B74-(E73+(C73/(DATOS!$B$14*E73))^2/(2*9.81)+B73+0.5*(((DATOS!$B$27*C73/(DATOS!$B$14*E73))^2/((DATOS!$B$14*E73)/(DATOS!$B$14+2*E73))^(4/3))+((DATOS!$B$27*C74/(DATOS!$B$14*((AV74+AW74)/2)))^2/((DATOS!$B$14*((AV74+AW74)/2))/(DATOS!$B$14+2*((AV74+AW74)/2)))^(4/3)))*(A73-A74)))&lt;0,AW74,((AV74+AW74)/2))</f>
        <v/>
      </c>
      <c r="AZ74" s="16">
        <f>IF((((AX74+AY74)/2)+(C74/(DATOS!$B$14*((AX74+AY74)/2)))^2/(2*9.81)+B74-(E73+(C73/(DATOS!$B$14*E73))^2/(2*9.81)+B73+0.5*(((DATOS!$B$27*C73/(DATOS!$B$14*E73))^2/((DATOS!$B$14*E73)/(DATOS!$B$14+2*E73))^(4/3))+((DATOS!$B$27*C74/(DATOS!$B$14*((AX74+AY74)/2)))^2/((DATOS!$B$14*((AX74+AY74)/2))/(DATOS!$B$14+2*((AX74+AY74)/2)))^(4/3)))*(A73-A74)))&lt;0,((AX74+AY74)/2),AX74)</f>
        <v/>
      </c>
      <c r="BA74" s="16">
        <f>IF((((AX74+AY74)/2)+(C74/(DATOS!$B$14*((AX74+AY74)/2)))^2/(2*9.81)+B74-(E73+(C73/(DATOS!$B$14*E73))^2/(2*9.81)+B73+0.5*(((DATOS!$B$27*C73/(DATOS!$B$14*E73))^2/((DATOS!$B$14*E73)/(DATOS!$B$14+2*E73))^(4/3))+((DATOS!$B$27*C74/(DATOS!$B$14*((AX74+AY74)/2)))^2/((DATOS!$B$14*((AX74+AY74)/2))/(DATOS!$B$14+2*((AX74+AY74)/2)))^(4/3)))*(A73-A74)))&lt;0,AY74,((AX74+AY74)/2))</f>
        <v/>
      </c>
      <c r="BB74" s="16">
        <f>IF((((AZ74+BA74)/2)+(C74/(DATOS!$B$14*((AZ74+BA74)/2)))^2/(2*9.81)+B74-(E73+(C73/(DATOS!$B$14*E73))^2/(2*9.81)+B73+0.5*(((DATOS!$B$27*C73/(DATOS!$B$14*E73))^2/((DATOS!$B$14*E73)/(DATOS!$B$14+2*E73))^(4/3))+((DATOS!$B$27*C74/(DATOS!$B$14*((AZ74+BA74)/2)))^2/((DATOS!$B$14*((AZ74+BA74)/2))/(DATOS!$B$14+2*((AZ74+BA74)/2)))^(4/3)))*(A73-A74)))&lt;0,((AZ74+BA74)/2),AZ74)</f>
        <v/>
      </c>
      <c r="BC74" s="16">
        <f>IF((((AZ74+BA74)/2)+(C74/(DATOS!$B$14*((AZ74+BA74)/2)))^2/(2*9.81)+B74-(E73+(C73/(DATOS!$B$14*E73))^2/(2*9.81)+B73+0.5*(((DATOS!$B$27*C73/(DATOS!$B$14*E73))^2/((DATOS!$B$14*E73)/(DATOS!$B$14+2*E73))^(4/3))+((DATOS!$B$27*C74/(DATOS!$B$14*((AZ74+BA74)/2)))^2/((DATOS!$B$14*((AZ74+BA74)/2))/(DATOS!$B$14+2*((AZ74+BA74)/2)))^(4/3)))*(A73-A74)))&lt;0,BA74,((AZ74+BA74)/2))</f>
        <v/>
      </c>
      <c r="BD74" s="16">
        <f>IF((((BB74+BC74)/2)+(C74/(DATOS!$B$14*((BB74+BC74)/2)))^2/(2*9.81)+B74-(E73+(C73/(DATOS!$B$14*E73))^2/(2*9.81)+B73+0.5*(((DATOS!$B$27*C73/(DATOS!$B$14*E73))^2/((DATOS!$B$14*E73)/(DATOS!$B$14+2*E73))^(4/3))+((DATOS!$B$27*C74/(DATOS!$B$14*((BB74+BC74)/2)))^2/((DATOS!$B$14*((BB74+BC74)/2))/(DATOS!$B$14+2*((BB74+BC74)/2)))^(4/3)))*(A73-A74)))&lt;0,((BB74+BC74)/2),BB74)</f>
        <v/>
      </c>
      <c r="BE74" s="16">
        <f>IF((((BB74+BC74)/2)+(C74/(DATOS!$B$14*((BB74+BC74)/2)))^2/(2*9.81)+B74-(E73+(C73/(DATOS!$B$14*E73))^2/(2*9.81)+B73+0.5*(((DATOS!$B$27*C73/(DATOS!$B$14*E73))^2/((DATOS!$B$14*E73)/(DATOS!$B$14+2*E73))^(4/3))+((DATOS!$B$27*C74/(DATOS!$B$14*((BB74+BC74)/2)))^2/((DATOS!$B$14*((BB74+BC74)/2))/(DATOS!$B$14+2*((BB74+BC74)/2)))^(4/3)))*(A73-A74)))&lt;0,BC74,((BB74+BC74)/2))</f>
        <v/>
      </c>
      <c r="BF74" s="16">
        <f>IF((((BD74+BE74)/2)+(C74/(DATOS!$B$14*((BD74+BE74)/2)))^2/(2*9.81)+B74-(E73+(C73/(DATOS!$B$14*E73))^2/(2*9.81)+B73+0.5*(((DATOS!$B$27*C73/(DATOS!$B$14*E73))^2/((DATOS!$B$14*E73)/(DATOS!$B$14+2*E73))^(4/3))+((DATOS!$B$27*C74/(DATOS!$B$14*((BD74+BE74)/2)))^2/((DATOS!$B$14*((BD74+BE74)/2))/(DATOS!$B$14+2*((BD74+BE74)/2)))^(4/3)))*(A73-A74)))&lt;0,((BD74+BE74)/2),BD74)</f>
        <v/>
      </c>
      <c r="BG74" s="16">
        <f>IF((((BD74+BE74)/2)+(C74/(DATOS!$B$14*((BD74+BE74)/2)))^2/(2*9.81)+B74-(E73+(C73/(DATOS!$B$14*E73))^2/(2*9.81)+B73+0.5*(((DATOS!$B$27*C73/(DATOS!$B$14*E73))^2/((DATOS!$B$14*E73)/(DATOS!$B$14+2*E73))^(4/3))+((DATOS!$B$27*C74/(DATOS!$B$14*((BD74+BE74)/2)))^2/((DATOS!$B$14*((BD74+BE74)/2))/(DATOS!$B$14+2*((BD74+BE74)/2)))^(4/3)))*(A73-A74)))&lt;0,BE74,((BD74+BE74)/2))</f>
        <v/>
      </c>
      <c r="BH74" s="16">
        <f>IF((((BF74+BG74)/2)+(C74/(DATOS!$B$14*((BF74+BG74)/2)))^2/(2*9.81)+B74-(E73+(C73/(DATOS!$B$14*E73))^2/(2*9.81)+B73+0.5*(((DATOS!$B$27*C73/(DATOS!$B$14*E73))^2/((DATOS!$B$14*E73)/(DATOS!$B$14+2*E73))^(4/3))+((DATOS!$B$27*C74/(DATOS!$B$14*((BF74+BG74)/2)))^2/((DATOS!$B$14*((BF74+BG74)/2))/(DATOS!$B$14+2*((BF74+BG74)/2)))^(4/3)))*(A73-A74)))&lt;0,((BF74+BG74)/2),BF74)</f>
        <v/>
      </c>
      <c r="BI74" s="16">
        <f>IF((((BF74+BG74)/2)+(C74/(DATOS!$B$14*((BF74+BG74)/2)))^2/(2*9.81)+B74-(E73+(C73/(DATOS!$B$14*E73))^2/(2*9.81)+B73+0.5*(((DATOS!$B$27*C73/(DATOS!$B$14*E73))^2/((DATOS!$B$14*E73)/(DATOS!$B$14+2*E73))^(4/3))+((DATOS!$B$27*C74/(DATOS!$B$14*((BF74+BG74)/2)))^2/((DATOS!$B$14*((BF74+BG74)/2))/(DATOS!$B$14+2*((BF74+BG74)/2)))^(4/3)))*(A73-A74)))&lt;0,BG74,((BF74+BG74)/2))</f>
        <v/>
      </c>
      <c r="BJ74" s="16">
        <f>IF((((BH74+BI74)/2)+(C74/(DATOS!$B$14*((BH74+BI74)/2)))^2/(2*9.81)+B74-(E73+(C73/(DATOS!$B$14*E73))^2/(2*9.81)+B73+0.5*(((DATOS!$B$27*C73/(DATOS!$B$14*E73))^2/((DATOS!$B$14*E73)/(DATOS!$B$14+2*E73))^(4/3))+((DATOS!$B$27*C74/(DATOS!$B$14*((BH74+BI74)/2)))^2/((DATOS!$B$14*((BH74+BI74)/2))/(DATOS!$B$14+2*((BH74+BI74)/2)))^(4/3)))*(A73-A74)))&lt;0,((BH74+BI74)/2),BH74)</f>
        <v/>
      </c>
      <c r="BK74" s="16">
        <f>IF((((BH74+BI74)/2)+(C74/(DATOS!$B$14*((BH74+BI74)/2)))^2/(2*9.81)+B74-(E73+(C73/(DATOS!$B$14*E73))^2/(2*9.81)+B73+0.5*(((DATOS!$B$27*C73/(DATOS!$B$14*E73))^2/((DATOS!$B$14*E73)/(DATOS!$B$14+2*E73))^(4/3))+((DATOS!$B$27*C74/(DATOS!$B$14*((BH74+BI74)/2)))^2/((DATOS!$B$14*((BH74+BI74)/2))/(DATOS!$B$14+2*((BH74+BI74)/2)))^(4/3)))*(A73-A74)))&lt;0,BI74,((BH74+BI74)/2))</f>
        <v/>
      </c>
      <c r="BL74" s="16">
        <f>IF((((BJ74+BK74)/2)+(C74/(DATOS!$B$14*((BJ74+BK74)/2)))^2/(2*9.81)+B74-(E73+(C73/(DATOS!$B$14*E73))^2/(2*9.81)+B73+0.5*(((DATOS!$B$27*C73/(DATOS!$B$14*E73))^2/((DATOS!$B$14*E73)/(DATOS!$B$14+2*E73))^(4/3))+((DATOS!$B$27*C74/(DATOS!$B$14*((BJ74+BK74)/2)))^2/((DATOS!$B$14*((BJ74+BK74)/2))/(DATOS!$B$14+2*((BJ74+BK74)/2)))^(4/3)))*(A73-A74)))&lt;0,((BJ74+BK74)/2),BJ74)</f>
        <v/>
      </c>
      <c r="BM74" s="16">
        <f>IF((((BJ74+BK74)/2)+(C74/(DATOS!$B$14*((BJ74+BK74)/2)))^2/(2*9.81)+B74-(E73+(C73/(DATOS!$B$14*E73))^2/(2*9.81)+B73+0.5*(((DATOS!$B$27*C73/(DATOS!$B$14*E73))^2/((DATOS!$B$14*E73)/(DATOS!$B$14+2*E73))^(4/3))+((DATOS!$B$27*C74/(DATOS!$B$14*((BJ74+BK74)/2)))^2/((DATOS!$B$14*((BJ74+BK74)/2))/(DATOS!$B$14+2*((BJ74+BK74)/2)))^(4/3)))*(A73-A74)))&lt;0,BK74,((BJ74+BK74)/2))</f>
        <v/>
      </c>
      <c r="BN74" s="16">
        <f>IF((((BL74+BM74)/2)+(C74/(DATOS!$B$14*((BL74+BM74)/2)))^2/(2*9.81)+B74-(E73+(C73/(DATOS!$B$14*E73))^2/(2*9.81)+B73+0.5*(((DATOS!$B$27*C73/(DATOS!$B$14*E73))^2/((DATOS!$B$14*E73)/(DATOS!$B$14+2*E73))^(4/3))+((DATOS!$B$27*C74/(DATOS!$B$14*((BL74+BM74)/2)))^2/((DATOS!$B$14*((BL74+BM74)/2))/(DATOS!$B$14+2*((BL74+BM74)/2)))^(4/3)))*(A73-A74)))&lt;0,((BL74+BM74)/2),BL74)</f>
        <v/>
      </c>
      <c r="BO74" s="16">
        <f>IF((((BL74+BM74)/2)+(C74/(DATOS!$B$14*((BL74+BM74)/2)))^2/(2*9.81)+B74-(E73+(C73/(DATOS!$B$14*E73))^2/(2*9.81)+B73+0.5*(((DATOS!$B$27*C73/(DATOS!$B$14*E73))^2/((DATOS!$B$14*E73)/(DATOS!$B$14+2*E73))^(4/3))+((DATOS!$B$27*C74/(DATOS!$B$14*((BL74+BM74)/2)))^2/((DATOS!$B$14*((BL74+BM74)/2))/(DATOS!$B$14+2*((BL74+BM74)/2)))^(4/3)))*(A73-A74)))&lt;0,BM74,((BL74+BM74)/2))</f>
        <v/>
      </c>
      <c r="BP74" s="16">
        <f>IF((((BN74+BO74)/2)+(C74/(DATOS!$B$14*((BN74+BO74)/2)))^2/(2*9.81)+B74-(E73+(C73/(DATOS!$B$14*E73))^2/(2*9.81)+B73+0.5*(((DATOS!$B$27*C73/(DATOS!$B$14*E73))^2/((DATOS!$B$14*E73)/(DATOS!$B$14+2*E73))^(4/3))+((DATOS!$B$27*C74/(DATOS!$B$14*((BN74+BO74)/2)))^2/((DATOS!$B$14*((BN74+BO74)/2))/(DATOS!$B$14+2*((BN74+BO74)/2)))^(4/3)))*(A73-A74)))&lt;0,((BN74+BO74)/2),BN74)</f>
        <v/>
      </c>
      <c r="BQ74" s="16">
        <f>IF((((BN74+BO74)/2)+(C74/(DATOS!$B$14*((BN74+BO74)/2)))^2/(2*9.81)+B74-(E73+(C73/(DATOS!$B$14*E73))^2/(2*9.81)+B73+0.5*(((DATOS!$B$27*C73/(DATOS!$B$14*E73))^2/((DATOS!$B$14*E73)/(DATOS!$B$14+2*E73))^(4/3))+((DATOS!$B$27*C74/(DATOS!$B$14*((BN74+BO74)/2)))^2/((DATOS!$B$14*((BN74+BO74)/2))/(DATOS!$B$14+2*((BN74+BO74)/2)))^(4/3)))*(A73-A74)))&lt;0,BO74,((BN74+BO74)/2))</f>
        <v/>
      </c>
      <c r="BR74" s="16">
        <f>IF((((BP74+BQ74)/2)+(C74/(DATOS!$B$14*((BP74+BQ74)/2)))^2/(2*9.81)+B74-(E73+(C73/(DATOS!$B$14*E73))^2/(2*9.81)+B73+0.5*(((DATOS!$B$27*C73/(DATOS!$B$14*E73))^2/((DATOS!$B$14*E73)/(DATOS!$B$14+2*E73))^(4/3))+((DATOS!$B$27*C74/(DATOS!$B$14*((BP74+BQ74)/2)))^2/((DATOS!$B$14*((BP74+BQ74)/2))/(DATOS!$B$14+2*((BP74+BQ74)/2)))^(4/3)))*(A73-A74)))&lt;0,((BP74+BQ74)/2),BP74)</f>
        <v/>
      </c>
      <c r="BS74" s="16">
        <f>IF((((BP74+BQ74)/2)+(C74/(DATOS!$B$14*((BP74+BQ74)/2)))^2/(2*9.81)+B74-(E73+(C73/(DATOS!$B$14*E73))^2/(2*9.81)+B73+0.5*(((DATOS!$B$27*C73/(DATOS!$B$14*E73))^2/((DATOS!$B$14*E73)/(DATOS!$B$14+2*E73))^(4/3))+((DATOS!$B$27*C74/(DATOS!$B$14*((BP74+BQ74)/2)))^2/((DATOS!$B$14*((BP74+BQ74)/2))/(DATOS!$B$14+2*((BP74+BQ74)/2)))^(4/3)))*(A73-A74)))&lt;0,BQ74,((BP74+BQ74)/2))</f>
        <v/>
      </c>
      <c r="BT74" s="16">
        <f>IF((((BR74+BS74)/2)+(C74/(DATOS!$B$14*((BR74+BS74)/2)))^2/(2*9.81)+B74-(E73+(C73/(DATOS!$B$14*E73))^2/(2*9.81)+B73+0.5*(((DATOS!$B$27*C73/(DATOS!$B$14*E73))^2/((DATOS!$B$14*E73)/(DATOS!$B$14+2*E73))^(4/3))+((DATOS!$B$27*C74/(DATOS!$B$14*((BR74+BS74)/2)))^2/((DATOS!$B$14*((BR74+BS74)/2))/(DATOS!$B$14+2*((BR74+BS74)/2)))^(4/3)))*(A73-A74)))&lt;0,((BR74+BS74)/2),BR74)</f>
        <v/>
      </c>
      <c r="BU74" s="16">
        <f>IF((((BR74+BS74)/2)+(C74/(DATOS!$B$14*((BR74+BS74)/2)))^2/(2*9.81)+B74-(E73+(C73/(DATOS!$B$14*E73))^2/(2*9.81)+B73+0.5*(((DATOS!$B$27*C73/(DATOS!$B$14*E73))^2/((DATOS!$B$14*E73)/(DATOS!$B$14+2*E73))^(4/3))+((DATOS!$B$27*C74/(DATOS!$B$14*((BR74+BS74)/2)))^2/((DATOS!$B$14*((BR74+BS74)/2))/(DATOS!$B$14+2*((BR74+BS74)/2)))^(4/3)))*(A73-A74)))&lt;0,BS74,((BR74+BS74)/2))</f>
        <v/>
      </c>
    </row>
    <row r="75">
      <c r="A75" s="30" t="n">
        <v>8</v>
      </c>
      <c r="B75" s="21">
        <f>DATOS!$B$16-DATOS!$B$19*A75</f>
        <v/>
      </c>
      <c r="C75" s="21">
        <f>IF(A75&lt;CAUDALES!$B$13,CAUDALES!$D$12,IF(A75&lt;CAUDALES!$B$14,CAUDALES!$D$13,IF(A75&lt;CAUDALES!$B$15,CAUDALES!$D$14,CAUDALES!$D$15)))/1000</f>
        <v/>
      </c>
      <c r="D75" s="21">
        <f>(C75^2/(9.81*DATOS!$B$14^2))^(1/3)</f>
        <v/>
      </c>
      <c r="E75" s="29">
        <f>(BT75+BU75)/2</f>
        <v/>
      </c>
      <c r="F75" s="21">
        <f>B75+E75</f>
        <v/>
      </c>
      <c r="G75" s="17">
        <f>C75/(DATOS!$B$14*E75)</f>
        <v/>
      </c>
      <c r="H75" s="17">
        <f>G75/SQRT(9.81*E75)</f>
        <v/>
      </c>
      <c r="I75" s="21">
        <f>IF(A75&lt;=DATOS!$B$20,DATOS!$B$21-IF(AND(A75&gt;=DATOS!$B$23,A75&lt;DATOS!$B$24),DATOS!$B$25,DATOS!$B$22),B75+DATOS!$B$26)</f>
        <v/>
      </c>
      <c r="J75" s="17">
        <f>I75-B75</f>
        <v/>
      </c>
      <c r="K75" s="31">
        <f>E75/J75</f>
        <v/>
      </c>
      <c r="L75" s="21">
        <f>I75-F75</f>
        <v/>
      </c>
      <c r="M75" s="32">
        <f>IF(AND(K75&lt;=DATOS!$B$29,L75&gt;=DATOS!$B$30),"CUMPLE","NO CUMPLE")</f>
        <v/>
      </c>
      <c r="N75" s="13">
        <f>IF(A75&gt;DATOS!$B$20,"cubierto - tramo final",IF(AND(A75&gt;=DATOS!$B$23,A75&lt;DATOS!$B$24),"cubierto - camiones","cubierto"))</f>
        <v/>
      </c>
      <c r="P75" s="16">
        <f>D75*1.001</f>
        <v/>
      </c>
      <c r="Q75" s="16" t="n">
        <v>2</v>
      </c>
      <c r="R75" s="16">
        <f>IF((((P75+Q75)/2)+(C75/(DATOS!$B$14*((P75+Q75)/2)))^2/(2*9.81)+B75-(E74+(C74/(DATOS!$B$14*E74))^2/(2*9.81)+B74+0.5*(((DATOS!$B$27*C74/(DATOS!$B$14*E74))^2/((DATOS!$B$14*E74)/(DATOS!$B$14+2*E74))^(4/3))+((DATOS!$B$27*C75/(DATOS!$B$14*((P75+Q75)/2)))^2/((DATOS!$B$14*((P75+Q75)/2))/(DATOS!$B$14+2*((P75+Q75)/2)))^(4/3)))*(A74-A75)))&lt;0,((P75+Q75)/2),P75)</f>
        <v/>
      </c>
      <c r="S75" s="16">
        <f>IF((((P75+Q75)/2)+(C75/(DATOS!$B$14*((P75+Q75)/2)))^2/(2*9.81)+B75-(E74+(C74/(DATOS!$B$14*E74))^2/(2*9.81)+B74+0.5*(((DATOS!$B$27*C74/(DATOS!$B$14*E74))^2/((DATOS!$B$14*E74)/(DATOS!$B$14+2*E74))^(4/3))+((DATOS!$B$27*C75/(DATOS!$B$14*((P75+Q75)/2)))^2/((DATOS!$B$14*((P75+Q75)/2))/(DATOS!$B$14+2*((P75+Q75)/2)))^(4/3)))*(A74-A75)))&lt;0,Q75,((P75+Q75)/2))</f>
        <v/>
      </c>
      <c r="T75" s="16">
        <f>IF((((R75+S75)/2)+(C75/(DATOS!$B$14*((R75+S75)/2)))^2/(2*9.81)+B75-(E74+(C74/(DATOS!$B$14*E74))^2/(2*9.81)+B74+0.5*(((DATOS!$B$27*C74/(DATOS!$B$14*E74))^2/((DATOS!$B$14*E74)/(DATOS!$B$14+2*E74))^(4/3))+((DATOS!$B$27*C75/(DATOS!$B$14*((R75+S75)/2)))^2/((DATOS!$B$14*((R75+S75)/2))/(DATOS!$B$14+2*((R75+S75)/2)))^(4/3)))*(A74-A75)))&lt;0,((R75+S75)/2),R75)</f>
        <v/>
      </c>
      <c r="U75" s="16">
        <f>IF((((R75+S75)/2)+(C75/(DATOS!$B$14*((R75+S75)/2)))^2/(2*9.81)+B75-(E74+(C74/(DATOS!$B$14*E74))^2/(2*9.81)+B74+0.5*(((DATOS!$B$27*C74/(DATOS!$B$14*E74))^2/((DATOS!$B$14*E74)/(DATOS!$B$14+2*E74))^(4/3))+((DATOS!$B$27*C75/(DATOS!$B$14*((R75+S75)/2)))^2/((DATOS!$B$14*((R75+S75)/2))/(DATOS!$B$14+2*((R75+S75)/2)))^(4/3)))*(A74-A75)))&lt;0,S75,((R75+S75)/2))</f>
        <v/>
      </c>
      <c r="V75" s="16">
        <f>IF((((T75+U75)/2)+(C75/(DATOS!$B$14*((T75+U75)/2)))^2/(2*9.81)+B75-(E74+(C74/(DATOS!$B$14*E74))^2/(2*9.81)+B74+0.5*(((DATOS!$B$27*C74/(DATOS!$B$14*E74))^2/((DATOS!$B$14*E74)/(DATOS!$B$14+2*E74))^(4/3))+((DATOS!$B$27*C75/(DATOS!$B$14*((T75+U75)/2)))^2/((DATOS!$B$14*((T75+U75)/2))/(DATOS!$B$14+2*((T75+U75)/2)))^(4/3)))*(A74-A75)))&lt;0,((T75+U75)/2),T75)</f>
        <v/>
      </c>
      <c r="W75" s="16">
        <f>IF((((T75+U75)/2)+(C75/(DATOS!$B$14*((T75+U75)/2)))^2/(2*9.81)+B75-(E74+(C74/(DATOS!$B$14*E74))^2/(2*9.81)+B74+0.5*(((DATOS!$B$27*C74/(DATOS!$B$14*E74))^2/((DATOS!$B$14*E74)/(DATOS!$B$14+2*E74))^(4/3))+((DATOS!$B$27*C75/(DATOS!$B$14*((T75+U75)/2)))^2/((DATOS!$B$14*((T75+U75)/2))/(DATOS!$B$14+2*((T75+U75)/2)))^(4/3)))*(A74-A75)))&lt;0,U75,((T75+U75)/2))</f>
        <v/>
      </c>
      <c r="X75" s="16">
        <f>IF((((V75+W75)/2)+(C75/(DATOS!$B$14*((V75+W75)/2)))^2/(2*9.81)+B75-(E74+(C74/(DATOS!$B$14*E74))^2/(2*9.81)+B74+0.5*(((DATOS!$B$27*C74/(DATOS!$B$14*E74))^2/((DATOS!$B$14*E74)/(DATOS!$B$14+2*E74))^(4/3))+((DATOS!$B$27*C75/(DATOS!$B$14*((V75+W75)/2)))^2/((DATOS!$B$14*((V75+W75)/2))/(DATOS!$B$14+2*((V75+W75)/2)))^(4/3)))*(A74-A75)))&lt;0,((V75+W75)/2),V75)</f>
        <v/>
      </c>
      <c r="Y75" s="16">
        <f>IF((((V75+W75)/2)+(C75/(DATOS!$B$14*((V75+W75)/2)))^2/(2*9.81)+B75-(E74+(C74/(DATOS!$B$14*E74))^2/(2*9.81)+B74+0.5*(((DATOS!$B$27*C74/(DATOS!$B$14*E74))^2/((DATOS!$B$14*E74)/(DATOS!$B$14+2*E74))^(4/3))+((DATOS!$B$27*C75/(DATOS!$B$14*((V75+W75)/2)))^2/((DATOS!$B$14*((V75+W75)/2))/(DATOS!$B$14+2*((V75+W75)/2)))^(4/3)))*(A74-A75)))&lt;0,W75,((V75+W75)/2))</f>
        <v/>
      </c>
      <c r="Z75" s="16">
        <f>IF((((X75+Y75)/2)+(C75/(DATOS!$B$14*((X75+Y75)/2)))^2/(2*9.81)+B75-(E74+(C74/(DATOS!$B$14*E74))^2/(2*9.81)+B74+0.5*(((DATOS!$B$27*C74/(DATOS!$B$14*E74))^2/((DATOS!$B$14*E74)/(DATOS!$B$14+2*E74))^(4/3))+((DATOS!$B$27*C75/(DATOS!$B$14*((X75+Y75)/2)))^2/((DATOS!$B$14*((X75+Y75)/2))/(DATOS!$B$14+2*((X75+Y75)/2)))^(4/3)))*(A74-A75)))&lt;0,((X75+Y75)/2),X75)</f>
        <v/>
      </c>
      <c r="AA75" s="16">
        <f>IF((((X75+Y75)/2)+(C75/(DATOS!$B$14*((X75+Y75)/2)))^2/(2*9.81)+B75-(E74+(C74/(DATOS!$B$14*E74))^2/(2*9.81)+B74+0.5*(((DATOS!$B$27*C74/(DATOS!$B$14*E74))^2/((DATOS!$B$14*E74)/(DATOS!$B$14+2*E74))^(4/3))+((DATOS!$B$27*C75/(DATOS!$B$14*((X75+Y75)/2)))^2/((DATOS!$B$14*((X75+Y75)/2))/(DATOS!$B$14+2*((X75+Y75)/2)))^(4/3)))*(A74-A75)))&lt;0,Y75,((X75+Y75)/2))</f>
        <v/>
      </c>
      <c r="AB75" s="16">
        <f>IF((((Z75+AA75)/2)+(C75/(DATOS!$B$14*((Z75+AA75)/2)))^2/(2*9.81)+B75-(E74+(C74/(DATOS!$B$14*E74))^2/(2*9.81)+B74+0.5*(((DATOS!$B$27*C74/(DATOS!$B$14*E74))^2/((DATOS!$B$14*E74)/(DATOS!$B$14+2*E74))^(4/3))+((DATOS!$B$27*C75/(DATOS!$B$14*((Z75+AA75)/2)))^2/((DATOS!$B$14*((Z75+AA75)/2))/(DATOS!$B$14+2*((Z75+AA75)/2)))^(4/3)))*(A74-A75)))&lt;0,((Z75+AA75)/2),Z75)</f>
        <v/>
      </c>
      <c r="AC75" s="16">
        <f>IF((((Z75+AA75)/2)+(C75/(DATOS!$B$14*((Z75+AA75)/2)))^2/(2*9.81)+B75-(E74+(C74/(DATOS!$B$14*E74))^2/(2*9.81)+B74+0.5*(((DATOS!$B$27*C74/(DATOS!$B$14*E74))^2/((DATOS!$B$14*E74)/(DATOS!$B$14+2*E74))^(4/3))+((DATOS!$B$27*C75/(DATOS!$B$14*((Z75+AA75)/2)))^2/((DATOS!$B$14*((Z75+AA75)/2))/(DATOS!$B$14+2*((Z75+AA75)/2)))^(4/3)))*(A74-A75)))&lt;0,AA75,((Z75+AA75)/2))</f>
        <v/>
      </c>
      <c r="AD75" s="16">
        <f>IF((((AB75+AC75)/2)+(C75/(DATOS!$B$14*((AB75+AC75)/2)))^2/(2*9.81)+B75-(E74+(C74/(DATOS!$B$14*E74))^2/(2*9.81)+B74+0.5*(((DATOS!$B$27*C74/(DATOS!$B$14*E74))^2/((DATOS!$B$14*E74)/(DATOS!$B$14+2*E74))^(4/3))+((DATOS!$B$27*C75/(DATOS!$B$14*((AB75+AC75)/2)))^2/((DATOS!$B$14*((AB75+AC75)/2))/(DATOS!$B$14+2*((AB75+AC75)/2)))^(4/3)))*(A74-A75)))&lt;0,((AB75+AC75)/2),AB75)</f>
        <v/>
      </c>
      <c r="AE75" s="16">
        <f>IF((((AB75+AC75)/2)+(C75/(DATOS!$B$14*((AB75+AC75)/2)))^2/(2*9.81)+B75-(E74+(C74/(DATOS!$B$14*E74))^2/(2*9.81)+B74+0.5*(((DATOS!$B$27*C74/(DATOS!$B$14*E74))^2/((DATOS!$B$14*E74)/(DATOS!$B$14+2*E74))^(4/3))+((DATOS!$B$27*C75/(DATOS!$B$14*((AB75+AC75)/2)))^2/((DATOS!$B$14*((AB75+AC75)/2))/(DATOS!$B$14+2*((AB75+AC75)/2)))^(4/3)))*(A74-A75)))&lt;0,AC75,((AB75+AC75)/2))</f>
        <v/>
      </c>
      <c r="AF75" s="16">
        <f>IF((((AD75+AE75)/2)+(C75/(DATOS!$B$14*((AD75+AE75)/2)))^2/(2*9.81)+B75-(E74+(C74/(DATOS!$B$14*E74))^2/(2*9.81)+B74+0.5*(((DATOS!$B$27*C74/(DATOS!$B$14*E74))^2/((DATOS!$B$14*E74)/(DATOS!$B$14+2*E74))^(4/3))+((DATOS!$B$27*C75/(DATOS!$B$14*((AD75+AE75)/2)))^2/((DATOS!$B$14*((AD75+AE75)/2))/(DATOS!$B$14+2*((AD75+AE75)/2)))^(4/3)))*(A74-A75)))&lt;0,((AD75+AE75)/2),AD75)</f>
        <v/>
      </c>
      <c r="AG75" s="16">
        <f>IF((((AD75+AE75)/2)+(C75/(DATOS!$B$14*((AD75+AE75)/2)))^2/(2*9.81)+B75-(E74+(C74/(DATOS!$B$14*E74))^2/(2*9.81)+B74+0.5*(((DATOS!$B$27*C74/(DATOS!$B$14*E74))^2/((DATOS!$B$14*E74)/(DATOS!$B$14+2*E74))^(4/3))+((DATOS!$B$27*C75/(DATOS!$B$14*((AD75+AE75)/2)))^2/((DATOS!$B$14*((AD75+AE75)/2))/(DATOS!$B$14+2*((AD75+AE75)/2)))^(4/3)))*(A74-A75)))&lt;0,AE75,((AD75+AE75)/2))</f>
        <v/>
      </c>
      <c r="AH75" s="16">
        <f>IF((((AF75+AG75)/2)+(C75/(DATOS!$B$14*((AF75+AG75)/2)))^2/(2*9.81)+B75-(E74+(C74/(DATOS!$B$14*E74))^2/(2*9.81)+B74+0.5*(((DATOS!$B$27*C74/(DATOS!$B$14*E74))^2/((DATOS!$B$14*E74)/(DATOS!$B$14+2*E74))^(4/3))+((DATOS!$B$27*C75/(DATOS!$B$14*((AF75+AG75)/2)))^2/((DATOS!$B$14*((AF75+AG75)/2))/(DATOS!$B$14+2*((AF75+AG75)/2)))^(4/3)))*(A74-A75)))&lt;0,((AF75+AG75)/2),AF75)</f>
        <v/>
      </c>
      <c r="AI75" s="16">
        <f>IF((((AF75+AG75)/2)+(C75/(DATOS!$B$14*((AF75+AG75)/2)))^2/(2*9.81)+B75-(E74+(C74/(DATOS!$B$14*E74))^2/(2*9.81)+B74+0.5*(((DATOS!$B$27*C74/(DATOS!$B$14*E74))^2/((DATOS!$B$14*E74)/(DATOS!$B$14+2*E74))^(4/3))+((DATOS!$B$27*C75/(DATOS!$B$14*((AF75+AG75)/2)))^2/((DATOS!$B$14*((AF75+AG75)/2))/(DATOS!$B$14+2*((AF75+AG75)/2)))^(4/3)))*(A74-A75)))&lt;0,AG75,((AF75+AG75)/2))</f>
        <v/>
      </c>
      <c r="AJ75" s="16">
        <f>IF((((AH75+AI75)/2)+(C75/(DATOS!$B$14*((AH75+AI75)/2)))^2/(2*9.81)+B75-(E74+(C74/(DATOS!$B$14*E74))^2/(2*9.81)+B74+0.5*(((DATOS!$B$27*C74/(DATOS!$B$14*E74))^2/((DATOS!$B$14*E74)/(DATOS!$B$14+2*E74))^(4/3))+((DATOS!$B$27*C75/(DATOS!$B$14*((AH75+AI75)/2)))^2/((DATOS!$B$14*((AH75+AI75)/2))/(DATOS!$B$14+2*((AH75+AI75)/2)))^(4/3)))*(A74-A75)))&lt;0,((AH75+AI75)/2),AH75)</f>
        <v/>
      </c>
      <c r="AK75" s="16">
        <f>IF((((AH75+AI75)/2)+(C75/(DATOS!$B$14*((AH75+AI75)/2)))^2/(2*9.81)+B75-(E74+(C74/(DATOS!$B$14*E74))^2/(2*9.81)+B74+0.5*(((DATOS!$B$27*C74/(DATOS!$B$14*E74))^2/((DATOS!$B$14*E74)/(DATOS!$B$14+2*E74))^(4/3))+((DATOS!$B$27*C75/(DATOS!$B$14*((AH75+AI75)/2)))^2/((DATOS!$B$14*((AH75+AI75)/2))/(DATOS!$B$14+2*((AH75+AI75)/2)))^(4/3)))*(A74-A75)))&lt;0,AI75,((AH75+AI75)/2))</f>
        <v/>
      </c>
      <c r="AL75" s="16">
        <f>IF((((AJ75+AK75)/2)+(C75/(DATOS!$B$14*((AJ75+AK75)/2)))^2/(2*9.81)+B75-(E74+(C74/(DATOS!$B$14*E74))^2/(2*9.81)+B74+0.5*(((DATOS!$B$27*C74/(DATOS!$B$14*E74))^2/((DATOS!$B$14*E74)/(DATOS!$B$14+2*E74))^(4/3))+((DATOS!$B$27*C75/(DATOS!$B$14*((AJ75+AK75)/2)))^2/((DATOS!$B$14*((AJ75+AK75)/2))/(DATOS!$B$14+2*((AJ75+AK75)/2)))^(4/3)))*(A74-A75)))&lt;0,((AJ75+AK75)/2),AJ75)</f>
        <v/>
      </c>
      <c r="AM75" s="16">
        <f>IF((((AJ75+AK75)/2)+(C75/(DATOS!$B$14*((AJ75+AK75)/2)))^2/(2*9.81)+B75-(E74+(C74/(DATOS!$B$14*E74))^2/(2*9.81)+B74+0.5*(((DATOS!$B$27*C74/(DATOS!$B$14*E74))^2/((DATOS!$B$14*E74)/(DATOS!$B$14+2*E74))^(4/3))+((DATOS!$B$27*C75/(DATOS!$B$14*((AJ75+AK75)/2)))^2/((DATOS!$B$14*((AJ75+AK75)/2))/(DATOS!$B$14+2*((AJ75+AK75)/2)))^(4/3)))*(A74-A75)))&lt;0,AK75,((AJ75+AK75)/2))</f>
        <v/>
      </c>
      <c r="AN75" s="16">
        <f>IF((((AL75+AM75)/2)+(C75/(DATOS!$B$14*((AL75+AM75)/2)))^2/(2*9.81)+B75-(E74+(C74/(DATOS!$B$14*E74))^2/(2*9.81)+B74+0.5*(((DATOS!$B$27*C74/(DATOS!$B$14*E74))^2/((DATOS!$B$14*E74)/(DATOS!$B$14+2*E74))^(4/3))+((DATOS!$B$27*C75/(DATOS!$B$14*((AL75+AM75)/2)))^2/((DATOS!$B$14*((AL75+AM75)/2))/(DATOS!$B$14+2*((AL75+AM75)/2)))^(4/3)))*(A74-A75)))&lt;0,((AL75+AM75)/2),AL75)</f>
        <v/>
      </c>
      <c r="AO75" s="16">
        <f>IF((((AL75+AM75)/2)+(C75/(DATOS!$B$14*((AL75+AM75)/2)))^2/(2*9.81)+B75-(E74+(C74/(DATOS!$B$14*E74))^2/(2*9.81)+B74+0.5*(((DATOS!$B$27*C74/(DATOS!$B$14*E74))^2/((DATOS!$B$14*E74)/(DATOS!$B$14+2*E74))^(4/3))+((DATOS!$B$27*C75/(DATOS!$B$14*((AL75+AM75)/2)))^2/((DATOS!$B$14*((AL75+AM75)/2))/(DATOS!$B$14+2*((AL75+AM75)/2)))^(4/3)))*(A74-A75)))&lt;0,AM75,((AL75+AM75)/2))</f>
        <v/>
      </c>
      <c r="AP75" s="16">
        <f>IF((((AN75+AO75)/2)+(C75/(DATOS!$B$14*((AN75+AO75)/2)))^2/(2*9.81)+B75-(E74+(C74/(DATOS!$B$14*E74))^2/(2*9.81)+B74+0.5*(((DATOS!$B$27*C74/(DATOS!$B$14*E74))^2/((DATOS!$B$14*E74)/(DATOS!$B$14+2*E74))^(4/3))+((DATOS!$B$27*C75/(DATOS!$B$14*((AN75+AO75)/2)))^2/((DATOS!$B$14*((AN75+AO75)/2))/(DATOS!$B$14+2*((AN75+AO75)/2)))^(4/3)))*(A74-A75)))&lt;0,((AN75+AO75)/2),AN75)</f>
        <v/>
      </c>
      <c r="AQ75" s="16">
        <f>IF((((AN75+AO75)/2)+(C75/(DATOS!$B$14*((AN75+AO75)/2)))^2/(2*9.81)+B75-(E74+(C74/(DATOS!$B$14*E74))^2/(2*9.81)+B74+0.5*(((DATOS!$B$27*C74/(DATOS!$B$14*E74))^2/((DATOS!$B$14*E74)/(DATOS!$B$14+2*E74))^(4/3))+((DATOS!$B$27*C75/(DATOS!$B$14*((AN75+AO75)/2)))^2/((DATOS!$B$14*((AN75+AO75)/2))/(DATOS!$B$14+2*((AN75+AO75)/2)))^(4/3)))*(A74-A75)))&lt;0,AO75,((AN75+AO75)/2))</f>
        <v/>
      </c>
      <c r="AR75" s="16">
        <f>IF((((AP75+AQ75)/2)+(C75/(DATOS!$B$14*((AP75+AQ75)/2)))^2/(2*9.81)+B75-(E74+(C74/(DATOS!$B$14*E74))^2/(2*9.81)+B74+0.5*(((DATOS!$B$27*C74/(DATOS!$B$14*E74))^2/((DATOS!$B$14*E74)/(DATOS!$B$14+2*E74))^(4/3))+((DATOS!$B$27*C75/(DATOS!$B$14*((AP75+AQ75)/2)))^2/((DATOS!$B$14*((AP75+AQ75)/2))/(DATOS!$B$14+2*((AP75+AQ75)/2)))^(4/3)))*(A74-A75)))&lt;0,((AP75+AQ75)/2),AP75)</f>
        <v/>
      </c>
      <c r="AS75" s="16">
        <f>IF((((AP75+AQ75)/2)+(C75/(DATOS!$B$14*((AP75+AQ75)/2)))^2/(2*9.81)+B75-(E74+(C74/(DATOS!$B$14*E74))^2/(2*9.81)+B74+0.5*(((DATOS!$B$27*C74/(DATOS!$B$14*E74))^2/((DATOS!$B$14*E74)/(DATOS!$B$14+2*E74))^(4/3))+((DATOS!$B$27*C75/(DATOS!$B$14*((AP75+AQ75)/2)))^2/((DATOS!$B$14*((AP75+AQ75)/2))/(DATOS!$B$14+2*((AP75+AQ75)/2)))^(4/3)))*(A74-A75)))&lt;0,AQ75,((AP75+AQ75)/2))</f>
        <v/>
      </c>
      <c r="AT75" s="16">
        <f>IF((((AR75+AS75)/2)+(C75/(DATOS!$B$14*((AR75+AS75)/2)))^2/(2*9.81)+B75-(E74+(C74/(DATOS!$B$14*E74))^2/(2*9.81)+B74+0.5*(((DATOS!$B$27*C74/(DATOS!$B$14*E74))^2/((DATOS!$B$14*E74)/(DATOS!$B$14+2*E74))^(4/3))+((DATOS!$B$27*C75/(DATOS!$B$14*((AR75+AS75)/2)))^2/((DATOS!$B$14*((AR75+AS75)/2))/(DATOS!$B$14+2*((AR75+AS75)/2)))^(4/3)))*(A74-A75)))&lt;0,((AR75+AS75)/2),AR75)</f>
        <v/>
      </c>
      <c r="AU75" s="16">
        <f>IF((((AR75+AS75)/2)+(C75/(DATOS!$B$14*((AR75+AS75)/2)))^2/(2*9.81)+B75-(E74+(C74/(DATOS!$B$14*E74))^2/(2*9.81)+B74+0.5*(((DATOS!$B$27*C74/(DATOS!$B$14*E74))^2/((DATOS!$B$14*E74)/(DATOS!$B$14+2*E74))^(4/3))+((DATOS!$B$27*C75/(DATOS!$B$14*((AR75+AS75)/2)))^2/((DATOS!$B$14*((AR75+AS75)/2))/(DATOS!$B$14+2*((AR75+AS75)/2)))^(4/3)))*(A74-A75)))&lt;0,AS75,((AR75+AS75)/2))</f>
        <v/>
      </c>
      <c r="AV75" s="16">
        <f>IF((((AT75+AU75)/2)+(C75/(DATOS!$B$14*((AT75+AU75)/2)))^2/(2*9.81)+B75-(E74+(C74/(DATOS!$B$14*E74))^2/(2*9.81)+B74+0.5*(((DATOS!$B$27*C74/(DATOS!$B$14*E74))^2/((DATOS!$B$14*E74)/(DATOS!$B$14+2*E74))^(4/3))+((DATOS!$B$27*C75/(DATOS!$B$14*((AT75+AU75)/2)))^2/((DATOS!$B$14*((AT75+AU75)/2))/(DATOS!$B$14+2*((AT75+AU75)/2)))^(4/3)))*(A74-A75)))&lt;0,((AT75+AU75)/2),AT75)</f>
        <v/>
      </c>
      <c r="AW75" s="16">
        <f>IF((((AT75+AU75)/2)+(C75/(DATOS!$B$14*((AT75+AU75)/2)))^2/(2*9.81)+B75-(E74+(C74/(DATOS!$B$14*E74))^2/(2*9.81)+B74+0.5*(((DATOS!$B$27*C74/(DATOS!$B$14*E74))^2/((DATOS!$B$14*E74)/(DATOS!$B$14+2*E74))^(4/3))+((DATOS!$B$27*C75/(DATOS!$B$14*((AT75+AU75)/2)))^2/((DATOS!$B$14*((AT75+AU75)/2))/(DATOS!$B$14+2*((AT75+AU75)/2)))^(4/3)))*(A74-A75)))&lt;0,AU75,((AT75+AU75)/2))</f>
        <v/>
      </c>
      <c r="AX75" s="16">
        <f>IF((((AV75+AW75)/2)+(C75/(DATOS!$B$14*((AV75+AW75)/2)))^2/(2*9.81)+B75-(E74+(C74/(DATOS!$B$14*E74))^2/(2*9.81)+B74+0.5*(((DATOS!$B$27*C74/(DATOS!$B$14*E74))^2/((DATOS!$B$14*E74)/(DATOS!$B$14+2*E74))^(4/3))+((DATOS!$B$27*C75/(DATOS!$B$14*((AV75+AW75)/2)))^2/((DATOS!$B$14*((AV75+AW75)/2))/(DATOS!$B$14+2*((AV75+AW75)/2)))^(4/3)))*(A74-A75)))&lt;0,((AV75+AW75)/2),AV75)</f>
        <v/>
      </c>
      <c r="AY75" s="16">
        <f>IF((((AV75+AW75)/2)+(C75/(DATOS!$B$14*((AV75+AW75)/2)))^2/(2*9.81)+B75-(E74+(C74/(DATOS!$B$14*E74))^2/(2*9.81)+B74+0.5*(((DATOS!$B$27*C74/(DATOS!$B$14*E74))^2/((DATOS!$B$14*E74)/(DATOS!$B$14+2*E74))^(4/3))+((DATOS!$B$27*C75/(DATOS!$B$14*((AV75+AW75)/2)))^2/((DATOS!$B$14*((AV75+AW75)/2))/(DATOS!$B$14+2*((AV75+AW75)/2)))^(4/3)))*(A74-A75)))&lt;0,AW75,((AV75+AW75)/2))</f>
        <v/>
      </c>
      <c r="AZ75" s="16">
        <f>IF((((AX75+AY75)/2)+(C75/(DATOS!$B$14*((AX75+AY75)/2)))^2/(2*9.81)+B75-(E74+(C74/(DATOS!$B$14*E74))^2/(2*9.81)+B74+0.5*(((DATOS!$B$27*C74/(DATOS!$B$14*E74))^2/((DATOS!$B$14*E74)/(DATOS!$B$14+2*E74))^(4/3))+((DATOS!$B$27*C75/(DATOS!$B$14*((AX75+AY75)/2)))^2/((DATOS!$B$14*((AX75+AY75)/2))/(DATOS!$B$14+2*((AX75+AY75)/2)))^(4/3)))*(A74-A75)))&lt;0,((AX75+AY75)/2),AX75)</f>
        <v/>
      </c>
      <c r="BA75" s="16">
        <f>IF((((AX75+AY75)/2)+(C75/(DATOS!$B$14*((AX75+AY75)/2)))^2/(2*9.81)+B75-(E74+(C74/(DATOS!$B$14*E74))^2/(2*9.81)+B74+0.5*(((DATOS!$B$27*C74/(DATOS!$B$14*E74))^2/((DATOS!$B$14*E74)/(DATOS!$B$14+2*E74))^(4/3))+((DATOS!$B$27*C75/(DATOS!$B$14*((AX75+AY75)/2)))^2/((DATOS!$B$14*((AX75+AY75)/2))/(DATOS!$B$14+2*((AX75+AY75)/2)))^(4/3)))*(A74-A75)))&lt;0,AY75,((AX75+AY75)/2))</f>
        <v/>
      </c>
      <c r="BB75" s="16">
        <f>IF((((AZ75+BA75)/2)+(C75/(DATOS!$B$14*((AZ75+BA75)/2)))^2/(2*9.81)+B75-(E74+(C74/(DATOS!$B$14*E74))^2/(2*9.81)+B74+0.5*(((DATOS!$B$27*C74/(DATOS!$B$14*E74))^2/((DATOS!$B$14*E74)/(DATOS!$B$14+2*E74))^(4/3))+((DATOS!$B$27*C75/(DATOS!$B$14*((AZ75+BA75)/2)))^2/((DATOS!$B$14*((AZ75+BA75)/2))/(DATOS!$B$14+2*((AZ75+BA75)/2)))^(4/3)))*(A74-A75)))&lt;0,((AZ75+BA75)/2),AZ75)</f>
        <v/>
      </c>
      <c r="BC75" s="16">
        <f>IF((((AZ75+BA75)/2)+(C75/(DATOS!$B$14*((AZ75+BA75)/2)))^2/(2*9.81)+B75-(E74+(C74/(DATOS!$B$14*E74))^2/(2*9.81)+B74+0.5*(((DATOS!$B$27*C74/(DATOS!$B$14*E74))^2/((DATOS!$B$14*E74)/(DATOS!$B$14+2*E74))^(4/3))+((DATOS!$B$27*C75/(DATOS!$B$14*((AZ75+BA75)/2)))^2/((DATOS!$B$14*((AZ75+BA75)/2))/(DATOS!$B$14+2*((AZ75+BA75)/2)))^(4/3)))*(A74-A75)))&lt;0,BA75,((AZ75+BA75)/2))</f>
        <v/>
      </c>
      <c r="BD75" s="16">
        <f>IF((((BB75+BC75)/2)+(C75/(DATOS!$B$14*((BB75+BC75)/2)))^2/(2*9.81)+B75-(E74+(C74/(DATOS!$B$14*E74))^2/(2*9.81)+B74+0.5*(((DATOS!$B$27*C74/(DATOS!$B$14*E74))^2/((DATOS!$B$14*E74)/(DATOS!$B$14+2*E74))^(4/3))+((DATOS!$B$27*C75/(DATOS!$B$14*((BB75+BC75)/2)))^2/((DATOS!$B$14*((BB75+BC75)/2))/(DATOS!$B$14+2*((BB75+BC75)/2)))^(4/3)))*(A74-A75)))&lt;0,((BB75+BC75)/2),BB75)</f>
        <v/>
      </c>
      <c r="BE75" s="16">
        <f>IF((((BB75+BC75)/2)+(C75/(DATOS!$B$14*((BB75+BC75)/2)))^2/(2*9.81)+B75-(E74+(C74/(DATOS!$B$14*E74))^2/(2*9.81)+B74+0.5*(((DATOS!$B$27*C74/(DATOS!$B$14*E74))^2/((DATOS!$B$14*E74)/(DATOS!$B$14+2*E74))^(4/3))+((DATOS!$B$27*C75/(DATOS!$B$14*((BB75+BC75)/2)))^2/((DATOS!$B$14*((BB75+BC75)/2))/(DATOS!$B$14+2*((BB75+BC75)/2)))^(4/3)))*(A74-A75)))&lt;0,BC75,((BB75+BC75)/2))</f>
        <v/>
      </c>
      <c r="BF75" s="16">
        <f>IF((((BD75+BE75)/2)+(C75/(DATOS!$B$14*((BD75+BE75)/2)))^2/(2*9.81)+B75-(E74+(C74/(DATOS!$B$14*E74))^2/(2*9.81)+B74+0.5*(((DATOS!$B$27*C74/(DATOS!$B$14*E74))^2/((DATOS!$B$14*E74)/(DATOS!$B$14+2*E74))^(4/3))+((DATOS!$B$27*C75/(DATOS!$B$14*((BD75+BE75)/2)))^2/((DATOS!$B$14*((BD75+BE75)/2))/(DATOS!$B$14+2*((BD75+BE75)/2)))^(4/3)))*(A74-A75)))&lt;0,((BD75+BE75)/2),BD75)</f>
        <v/>
      </c>
      <c r="BG75" s="16">
        <f>IF((((BD75+BE75)/2)+(C75/(DATOS!$B$14*((BD75+BE75)/2)))^2/(2*9.81)+B75-(E74+(C74/(DATOS!$B$14*E74))^2/(2*9.81)+B74+0.5*(((DATOS!$B$27*C74/(DATOS!$B$14*E74))^2/((DATOS!$B$14*E74)/(DATOS!$B$14+2*E74))^(4/3))+((DATOS!$B$27*C75/(DATOS!$B$14*((BD75+BE75)/2)))^2/((DATOS!$B$14*((BD75+BE75)/2))/(DATOS!$B$14+2*((BD75+BE75)/2)))^(4/3)))*(A74-A75)))&lt;0,BE75,((BD75+BE75)/2))</f>
        <v/>
      </c>
      <c r="BH75" s="16">
        <f>IF((((BF75+BG75)/2)+(C75/(DATOS!$B$14*((BF75+BG75)/2)))^2/(2*9.81)+B75-(E74+(C74/(DATOS!$B$14*E74))^2/(2*9.81)+B74+0.5*(((DATOS!$B$27*C74/(DATOS!$B$14*E74))^2/((DATOS!$B$14*E74)/(DATOS!$B$14+2*E74))^(4/3))+((DATOS!$B$27*C75/(DATOS!$B$14*((BF75+BG75)/2)))^2/((DATOS!$B$14*((BF75+BG75)/2))/(DATOS!$B$14+2*((BF75+BG75)/2)))^(4/3)))*(A74-A75)))&lt;0,((BF75+BG75)/2),BF75)</f>
        <v/>
      </c>
      <c r="BI75" s="16">
        <f>IF((((BF75+BG75)/2)+(C75/(DATOS!$B$14*((BF75+BG75)/2)))^2/(2*9.81)+B75-(E74+(C74/(DATOS!$B$14*E74))^2/(2*9.81)+B74+0.5*(((DATOS!$B$27*C74/(DATOS!$B$14*E74))^2/((DATOS!$B$14*E74)/(DATOS!$B$14+2*E74))^(4/3))+((DATOS!$B$27*C75/(DATOS!$B$14*((BF75+BG75)/2)))^2/((DATOS!$B$14*((BF75+BG75)/2))/(DATOS!$B$14+2*((BF75+BG75)/2)))^(4/3)))*(A74-A75)))&lt;0,BG75,((BF75+BG75)/2))</f>
        <v/>
      </c>
      <c r="BJ75" s="16">
        <f>IF((((BH75+BI75)/2)+(C75/(DATOS!$B$14*((BH75+BI75)/2)))^2/(2*9.81)+B75-(E74+(C74/(DATOS!$B$14*E74))^2/(2*9.81)+B74+0.5*(((DATOS!$B$27*C74/(DATOS!$B$14*E74))^2/((DATOS!$B$14*E74)/(DATOS!$B$14+2*E74))^(4/3))+((DATOS!$B$27*C75/(DATOS!$B$14*((BH75+BI75)/2)))^2/((DATOS!$B$14*((BH75+BI75)/2))/(DATOS!$B$14+2*((BH75+BI75)/2)))^(4/3)))*(A74-A75)))&lt;0,((BH75+BI75)/2),BH75)</f>
        <v/>
      </c>
      <c r="BK75" s="16">
        <f>IF((((BH75+BI75)/2)+(C75/(DATOS!$B$14*((BH75+BI75)/2)))^2/(2*9.81)+B75-(E74+(C74/(DATOS!$B$14*E74))^2/(2*9.81)+B74+0.5*(((DATOS!$B$27*C74/(DATOS!$B$14*E74))^2/((DATOS!$B$14*E74)/(DATOS!$B$14+2*E74))^(4/3))+((DATOS!$B$27*C75/(DATOS!$B$14*((BH75+BI75)/2)))^2/((DATOS!$B$14*((BH75+BI75)/2))/(DATOS!$B$14+2*((BH75+BI75)/2)))^(4/3)))*(A74-A75)))&lt;0,BI75,((BH75+BI75)/2))</f>
        <v/>
      </c>
      <c r="BL75" s="16">
        <f>IF((((BJ75+BK75)/2)+(C75/(DATOS!$B$14*((BJ75+BK75)/2)))^2/(2*9.81)+B75-(E74+(C74/(DATOS!$B$14*E74))^2/(2*9.81)+B74+0.5*(((DATOS!$B$27*C74/(DATOS!$B$14*E74))^2/((DATOS!$B$14*E74)/(DATOS!$B$14+2*E74))^(4/3))+((DATOS!$B$27*C75/(DATOS!$B$14*((BJ75+BK75)/2)))^2/((DATOS!$B$14*((BJ75+BK75)/2))/(DATOS!$B$14+2*((BJ75+BK75)/2)))^(4/3)))*(A74-A75)))&lt;0,((BJ75+BK75)/2),BJ75)</f>
        <v/>
      </c>
      <c r="BM75" s="16">
        <f>IF((((BJ75+BK75)/2)+(C75/(DATOS!$B$14*((BJ75+BK75)/2)))^2/(2*9.81)+B75-(E74+(C74/(DATOS!$B$14*E74))^2/(2*9.81)+B74+0.5*(((DATOS!$B$27*C74/(DATOS!$B$14*E74))^2/((DATOS!$B$14*E74)/(DATOS!$B$14+2*E74))^(4/3))+((DATOS!$B$27*C75/(DATOS!$B$14*((BJ75+BK75)/2)))^2/((DATOS!$B$14*((BJ75+BK75)/2))/(DATOS!$B$14+2*((BJ75+BK75)/2)))^(4/3)))*(A74-A75)))&lt;0,BK75,((BJ75+BK75)/2))</f>
        <v/>
      </c>
      <c r="BN75" s="16">
        <f>IF((((BL75+BM75)/2)+(C75/(DATOS!$B$14*((BL75+BM75)/2)))^2/(2*9.81)+B75-(E74+(C74/(DATOS!$B$14*E74))^2/(2*9.81)+B74+0.5*(((DATOS!$B$27*C74/(DATOS!$B$14*E74))^2/((DATOS!$B$14*E74)/(DATOS!$B$14+2*E74))^(4/3))+((DATOS!$B$27*C75/(DATOS!$B$14*((BL75+BM75)/2)))^2/((DATOS!$B$14*((BL75+BM75)/2))/(DATOS!$B$14+2*((BL75+BM75)/2)))^(4/3)))*(A74-A75)))&lt;0,((BL75+BM75)/2),BL75)</f>
        <v/>
      </c>
      <c r="BO75" s="16">
        <f>IF((((BL75+BM75)/2)+(C75/(DATOS!$B$14*((BL75+BM75)/2)))^2/(2*9.81)+B75-(E74+(C74/(DATOS!$B$14*E74))^2/(2*9.81)+B74+0.5*(((DATOS!$B$27*C74/(DATOS!$B$14*E74))^2/((DATOS!$B$14*E74)/(DATOS!$B$14+2*E74))^(4/3))+((DATOS!$B$27*C75/(DATOS!$B$14*((BL75+BM75)/2)))^2/((DATOS!$B$14*((BL75+BM75)/2))/(DATOS!$B$14+2*((BL75+BM75)/2)))^(4/3)))*(A74-A75)))&lt;0,BM75,((BL75+BM75)/2))</f>
        <v/>
      </c>
      <c r="BP75" s="16">
        <f>IF((((BN75+BO75)/2)+(C75/(DATOS!$B$14*((BN75+BO75)/2)))^2/(2*9.81)+B75-(E74+(C74/(DATOS!$B$14*E74))^2/(2*9.81)+B74+0.5*(((DATOS!$B$27*C74/(DATOS!$B$14*E74))^2/((DATOS!$B$14*E74)/(DATOS!$B$14+2*E74))^(4/3))+((DATOS!$B$27*C75/(DATOS!$B$14*((BN75+BO75)/2)))^2/((DATOS!$B$14*((BN75+BO75)/2))/(DATOS!$B$14+2*((BN75+BO75)/2)))^(4/3)))*(A74-A75)))&lt;0,((BN75+BO75)/2),BN75)</f>
        <v/>
      </c>
      <c r="BQ75" s="16">
        <f>IF((((BN75+BO75)/2)+(C75/(DATOS!$B$14*((BN75+BO75)/2)))^2/(2*9.81)+B75-(E74+(C74/(DATOS!$B$14*E74))^2/(2*9.81)+B74+0.5*(((DATOS!$B$27*C74/(DATOS!$B$14*E74))^2/((DATOS!$B$14*E74)/(DATOS!$B$14+2*E74))^(4/3))+((DATOS!$B$27*C75/(DATOS!$B$14*((BN75+BO75)/2)))^2/((DATOS!$B$14*((BN75+BO75)/2))/(DATOS!$B$14+2*((BN75+BO75)/2)))^(4/3)))*(A74-A75)))&lt;0,BO75,((BN75+BO75)/2))</f>
        <v/>
      </c>
      <c r="BR75" s="16">
        <f>IF((((BP75+BQ75)/2)+(C75/(DATOS!$B$14*((BP75+BQ75)/2)))^2/(2*9.81)+B75-(E74+(C74/(DATOS!$B$14*E74))^2/(2*9.81)+B74+0.5*(((DATOS!$B$27*C74/(DATOS!$B$14*E74))^2/((DATOS!$B$14*E74)/(DATOS!$B$14+2*E74))^(4/3))+((DATOS!$B$27*C75/(DATOS!$B$14*((BP75+BQ75)/2)))^2/((DATOS!$B$14*((BP75+BQ75)/2))/(DATOS!$B$14+2*((BP75+BQ75)/2)))^(4/3)))*(A74-A75)))&lt;0,((BP75+BQ75)/2),BP75)</f>
        <v/>
      </c>
      <c r="BS75" s="16">
        <f>IF((((BP75+BQ75)/2)+(C75/(DATOS!$B$14*((BP75+BQ75)/2)))^2/(2*9.81)+B75-(E74+(C74/(DATOS!$B$14*E74))^2/(2*9.81)+B74+0.5*(((DATOS!$B$27*C74/(DATOS!$B$14*E74))^2/((DATOS!$B$14*E74)/(DATOS!$B$14+2*E74))^(4/3))+((DATOS!$B$27*C75/(DATOS!$B$14*((BP75+BQ75)/2)))^2/((DATOS!$B$14*((BP75+BQ75)/2))/(DATOS!$B$14+2*((BP75+BQ75)/2)))^(4/3)))*(A74-A75)))&lt;0,BQ75,((BP75+BQ75)/2))</f>
        <v/>
      </c>
      <c r="BT75" s="16">
        <f>IF((((BR75+BS75)/2)+(C75/(DATOS!$B$14*((BR75+BS75)/2)))^2/(2*9.81)+B75-(E74+(C74/(DATOS!$B$14*E74))^2/(2*9.81)+B74+0.5*(((DATOS!$B$27*C74/(DATOS!$B$14*E74))^2/((DATOS!$B$14*E74)/(DATOS!$B$14+2*E74))^(4/3))+((DATOS!$B$27*C75/(DATOS!$B$14*((BR75+BS75)/2)))^2/((DATOS!$B$14*((BR75+BS75)/2))/(DATOS!$B$14+2*((BR75+BS75)/2)))^(4/3)))*(A74-A75)))&lt;0,((BR75+BS75)/2),BR75)</f>
        <v/>
      </c>
      <c r="BU75" s="16">
        <f>IF((((BR75+BS75)/2)+(C75/(DATOS!$B$14*((BR75+BS75)/2)))^2/(2*9.81)+B75-(E74+(C74/(DATOS!$B$14*E74))^2/(2*9.81)+B74+0.5*(((DATOS!$B$27*C74/(DATOS!$B$14*E74))^2/((DATOS!$B$14*E74)/(DATOS!$B$14+2*E74))^(4/3))+((DATOS!$B$27*C75/(DATOS!$B$14*((BR75+BS75)/2)))^2/((DATOS!$B$14*((BR75+BS75)/2))/(DATOS!$B$14+2*((BR75+BS75)/2)))^(4/3)))*(A74-A75)))&lt;0,BS75,((BR75+BS75)/2))</f>
        <v/>
      </c>
    </row>
    <row r="76">
      <c r="A76" s="30" t="n">
        <v>6</v>
      </c>
      <c r="B76" s="21">
        <f>DATOS!$B$16-DATOS!$B$19*A76</f>
        <v/>
      </c>
      <c r="C76" s="21">
        <f>IF(A76&lt;CAUDALES!$B$13,CAUDALES!$D$12,IF(A76&lt;CAUDALES!$B$14,CAUDALES!$D$13,IF(A76&lt;CAUDALES!$B$15,CAUDALES!$D$14,CAUDALES!$D$15)))/1000</f>
        <v/>
      </c>
      <c r="D76" s="21">
        <f>(C76^2/(9.81*DATOS!$B$14^2))^(1/3)</f>
        <v/>
      </c>
      <c r="E76" s="29">
        <f>(BT76+BU76)/2</f>
        <v/>
      </c>
      <c r="F76" s="21">
        <f>B76+E76</f>
        <v/>
      </c>
      <c r="G76" s="17">
        <f>C76/(DATOS!$B$14*E76)</f>
        <v/>
      </c>
      <c r="H76" s="17">
        <f>G76/SQRT(9.81*E76)</f>
        <v/>
      </c>
      <c r="I76" s="21">
        <f>IF(A76&lt;=DATOS!$B$20,DATOS!$B$21-IF(AND(A76&gt;=DATOS!$B$23,A76&lt;DATOS!$B$24),DATOS!$B$25,DATOS!$B$22),B76+DATOS!$B$26)</f>
        <v/>
      </c>
      <c r="J76" s="17">
        <f>I76-B76</f>
        <v/>
      </c>
      <c r="K76" s="31">
        <f>E76/J76</f>
        <v/>
      </c>
      <c r="L76" s="21">
        <f>I76-F76</f>
        <v/>
      </c>
      <c r="M76" s="32">
        <f>IF(AND(K76&lt;=DATOS!$B$29,L76&gt;=DATOS!$B$30),"CUMPLE","NO CUMPLE")</f>
        <v/>
      </c>
      <c r="N76" s="13">
        <f>IF(A76&gt;DATOS!$B$20,"cubierto - tramo final",IF(AND(A76&gt;=DATOS!$B$23,A76&lt;DATOS!$B$24),"cubierto - camiones","cubierto"))</f>
        <v/>
      </c>
      <c r="P76" s="16">
        <f>D76*1.001</f>
        <v/>
      </c>
      <c r="Q76" s="16" t="n">
        <v>2</v>
      </c>
      <c r="R76" s="16">
        <f>IF((((P76+Q76)/2)+(C76/(DATOS!$B$14*((P76+Q76)/2)))^2/(2*9.81)+B76-(E75+(C75/(DATOS!$B$14*E75))^2/(2*9.81)+B75+0.5*(((DATOS!$B$27*C75/(DATOS!$B$14*E75))^2/((DATOS!$B$14*E75)/(DATOS!$B$14+2*E75))^(4/3))+((DATOS!$B$27*C76/(DATOS!$B$14*((P76+Q76)/2)))^2/((DATOS!$B$14*((P76+Q76)/2))/(DATOS!$B$14+2*((P76+Q76)/2)))^(4/3)))*(A75-A76)))&lt;0,((P76+Q76)/2),P76)</f>
        <v/>
      </c>
      <c r="S76" s="16">
        <f>IF((((P76+Q76)/2)+(C76/(DATOS!$B$14*((P76+Q76)/2)))^2/(2*9.81)+B76-(E75+(C75/(DATOS!$B$14*E75))^2/(2*9.81)+B75+0.5*(((DATOS!$B$27*C75/(DATOS!$B$14*E75))^2/((DATOS!$B$14*E75)/(DATOS!$B$14+2*E75))^(4/3))+((DATOS!$B$27*C76/(DATOS!$B$14*((P76+Q76)/2)))^2/((DATOS!$B$14*((P76+Q76)/2))/(DATOS!$B$14+2*((P76+Q76)/2)))^(4/3)))*(A75-A76)))&lt;0,Q76,((P76+Q76)/2))</f>
        <v/>
      </c>
      <c r="T76" s="16">
        <f>IF((((R76+S76)/2)+(C76/(DATOS!$B$14*((R76+S76)/2)))^2/(2*9.81)+B76-(E75+(C75/(DATOS!$B$14*E75))^2/(2*9.81)+B75+0.5*(((DATOS!$B$27*C75/(DATOS!$B$14*E75))^2/((DATOS!$B$14*E75)/(DATOS!$B$14+2*E75))^(4/3))+((DATOS!$B$27*C76/(DATOS!$B$14*((R76+S76)/2)))^2/((DATOS!$B$14*((R76+S76)/2))/(DATOS!$B$14+2*((R76+S76)/2)))^(4/3)))*(A75-A76)))&lt;0,((R76+S76)/2),R76)</f>
        <v/>
      </c>
      <c r="U76" s="16">
        <f>IF((((R76+S76)/2)+(C76/(DATOS!$B$14*((R76+S76)/2)))^2/(2*9.81)+B76-(E75+(C75/(DATOS!$B$14*E75))^2/(2*9.81)+B75+0.5*(((DATOS!$B$27*C75/(DATOS!$B$14*E75))^2/((DATOS!$B$14*E75)/(DATOS!$B$14+2*E75))^(4/3))+((DATOS!$B$27*C76/(DATOS!$B$14*((R76+S76)/2)))^2/((DATOS!$B$14*((R76+S76)/2))/(DATOS!$B$14+2*((R76+S76)/2)))^(4/3)))*(A75-A76)))&lt;0,S76,((R76+S76)/2))</f>
        <v/>
      </c>
      <c r="V76" s="16">
        <f>IF((((T76+U76)/2)+(C76/(DATOS!$B$14*((T76+U76)/2)))^2/(2*9.81)+B76-(E75+(C75/(DATOS!$B$14*E75))^2/(2*9.81)+B75+0.5*(((DATOS!$B$27*C75/(DATOS!$B$14*E75))^2/((DATOS!$B$14*E75)/(DATOS!$B$14+2*E75))^(4/3))+((DATOS!$B$27*C76/(DATOS!$B$14*((T76+U76)/2)))^2/((DATOS!$B$14*((T76+U76)/2))/(DATOS!$B$14+2*((T76+U76)/2)))^(4/3)))*(A75-A76)))&lt;0,((T76+U76)/2),T76)</f>
        <v/>
      </c>
      <c r="W76" s="16">
        <f>IF((((T76+U76)/2)+(C76/(DATOS!$B$14*((T76+U76)/2)))^2/(2*9.81)+B76-(E75+(C75/(DATOS!$B$14*E75))^2/(2*9.81)+B75+0.5*(((DATOS!$B$27*C75/(DATOS!$B$14*E75))^2/((DATOS!$B$14*E75)/(DATOS!$B$14+2*E75))^(4/3))+((DATOS!$B$27*C76/(DATOS!$B$14*((T76+U76)/2)))^2/((DATOS!$B$14*((T76+U76)/2))/(DATOS!$B$14+2*((T76+U76)/2)))^(4/3)))*(A75-A76)))&lt;0,U76,((T76+U76)/2))</f>
        <v/>
      </c>
      <c r="X76" s="16">
        <f>IF((((V76+W76)/2)+(C76/(DATOS!$B$14*((V76+W76)/2)))^2/(2*9.81)+B76-(E75+(C75/(DATOS!$B$14*E75))^2/(2*9.81)+B75+0.5*(((DATOS!$B$27*C75/(DATOS!$B$14*E75))^2/((DATOS!$B$14*E75)/(DATOS!$B$14+2*E75))^(4/3))+((DATOS!$B$27*C76/(DATOS!$B$14*((V76+W76)/2)))^2/((DATOS!$B$14*((V76+W76)/2))/(DATOS!$B$14+2*((V76+W76)/2)))^(4/3)))*(A75-A76)))&lt;0,((V76+W76)/2),V76)</f>
        <v/>
      </c>
      <c r="Y76" s="16">
        <f>IF((((V76+W76)/2)+(C76/(DATOS!$B$14*((V76+W76)/2)))^2/(2*9.81)+B76-(E75+(C75/(DATOS!$B$14*E75))^2/(2*9.81)+B75+0.5*(((DATOS!$B$27*C75/(DATOS!$B$14*E75))^2/((DATOS!$B$14*E75)/(DATOS!$B$14+2*E75))^(4/3))+((DATOS!$B$27*C76/(DATOS!$B$14*((V76+W76)/2)))^2/((DATOS!$B$14*((V76+W76)/2))/(DATOS!$B$14+2*((V76+W76)/2)))^(4/3)))*(A75-A76)))&lt;0,W76,((V76+W76)/2))</f>
        <v/>
      </c>
      <c r="Z76" s="16">
        <f>IF((((X76+Y76)/2)+(C76/(DATOS!$B$14*((X76+Y76)/2)))^2/(2*9.81)+B76-(E75+(C75/(DATOS!$B$14*E75))^2/(2*9.81)+B75+0.5*(((DATOS!$B$27*C75/(DATOS!$B$14*E75))^2/((DATOS!$B$14*E75)/(DATOS!$B$14+2*E75))^(4/3))+((DATOS!$B$27*C76/(DATOS!$B$14*((X76+Y76)/2)))^2/((DATOS!$B$14*((X76+Y76)/2))/(DATOS!$B$14+2*((X76+Y76)/2)))^(4/3)))*(A75-A76)))&lt;0,((X76+Y76)/2),X76)</f>
        <v/>
      </c>
      <c r="AA76" s="16">
        <f>IF((((X76+Y76)/2)+(C76/(DATOS!$B$14*((X76+Y76)/2)))^2/(2*9.81)+B76-(E75+(C75/(DATOS!$B$14*E75))^2/(2*9.81)+B75+0.5*(((DATOS!$B$27*C75/(DATOS!$B$14*E75))^2/((DATOS!$B$14*E75)/(DATOS!$B$14+2*E75))^(4/3))+((DATOS!$B$27*C76/(DATOS!$B$14*((X76+Y76)/2)))^2/((DATOS!$B$14*((X76+Y76)/2))/(DATOS!$B$14+2*((X76+Y76)/2)))^(4/3)))*(A75-A76)))&lt;0,Y76,((X76+Y76)/2))</f>
        <v/>
      </c>
      <c r="AB76" s="16">
        <f>IF((((Z76+AA76)/2)+(C76/(DATOS!$B$14*((Z76+AA76)/2)))^2/(2*9.81)+B76-(E75+(C75/(DATOS!$B$14*E75))^2/(2*9.81)+B75+0.5*(((DATOS!$B$27*C75/(DATOS!$B$14*E75))^2/((DATOS!$B$14*E75)/(DATOS!$B$14+2*E75))^(4/3))+((DATOS!$B$27*C76/(DATOS!$B$14*((Z76+AA76)/2)))^2/((DATOS!$B$14*((Z76+AA76)/2))/(DATOS!$B$14+2*((Z76+AA76)/2)))^(4/3)))*(A75-A76)))&lt;0,((Z76+AA76)/2),Z76)</f>
        <v/>
      </c>
      <c r="AC76" s="16">
        <f>IF((((Z76+AA76)/2)+(C76/(DATOS!$B$14*((Z76+AA76)/2)))^2/(2*9.81)+B76-(E75+(C75/(DATOS!$B$14*E75))^2/(2*9.81)+B75+0.5*(((DATOS!$B$27*C75/(DATOS!$B$14*E75))^2/((DATOS!$B$14*E75)/(DATOS!$B$14+2*E75))^(4/3))+((DATOS!$B$27*C76/(DATOS!$B$14*((Z76+AA76)/2)))^2/((DATOS!$B$14*((Z76+AA76)/2))/(DATOS!$B$14+2*((Z76+AA76)/2)))^(4/3)))*(A75-A76)))&lt;0,AA76,((Z76+AA76)/2))</f>
        <v/>
      </c>
      <c r="AD76" s="16">
        <f>IF((((AB76+AC76)/2)+(C76/(DATOS!$B$14*((AB76+AC76)/2)))^2/(2*9.81)+B76-(E75+(C75/(DATOS!$B$14*E75))^2/(2*9.81)+B75+0.5*(((DATOS!$B$27*C75/(DATOS!$B$14*E75))^2/((DATOS!$B$14*E75)/(DATOS!$B$14+2*E75))^(4/3))+((DATOS!$B$27*C76/(DATOS!$B$14*((AB76+AC76)/2)))^2/((DATOS!$B$14*((AB76+AC76)/2))/(DATOS!$B$14+2*((AB76+AC76)/2)))^(4/3)))*(A75-A76)))&lt;0,((AB76+AC76)/2),AB76)</f>
        <v/>
      </c>
      <c r="AE76" s="16">
        <f>IF((((AB76+AC76)/2)+(C76/(DATOS!$B$14*((AB76+AC76)/2)))^2/(2*9.81)+B76-(E75+(C75/(DATOS!$B$14*E75))^2/(2*9.81)+B75+0.5*(((DATOS!$B$27*C75/(DATOS!$B$14*E75))^2/((DATOS!$B$14*E75)/(DATOS!$B$14+2*E75))^(4/3))+((DATOS!$B$27*C76/(DATOS!$B$14*((AB76+AC76)/2)))^2/((DATOS!$B$14*((AB76+AC76)/2))/(DATOS!$B$14+2*((AB76+AC76)/2)))^(4/3)))*(A75-A76)))&lt;0,AC76,((AB76+AC76)/2))</f>
        <v/>
      </c>
      <c r="AF76" s="16">
        <f>IF((((AD76+AE76)/2)+(C76/(DATOS!$B$14*((AD76+AE76)/2)))^2/(2*9.81)+B76-(E75+(C75/(DATOS!$B$14*E75))^2/(2*9.81)+B75+0.5*(((DATOS!$B$27*C75/(DATOS!$B$14*E75))^2/((DATOS!$B$14*E75)/(DATOS!$B$14+2*E75))^(4/3))+((DATOS!$B$27*C76/(DATOS!$B$14*((AD76+AE76)/2)))^2/((DATOS!$B$14*((AD76+AE76)/2))/(DATOS!$B$14+2*((AD76+AE76)/2)))^(4/3)))*(A75-A76)))&lt;0,((AD76+AE76)/2),AD76)</f>
        <v/>
      </c>
      <c r="AG76" s="16">
        <f>IF((((AD76+AE76)/2)+(C76/(DATOS!$B$14*((AD76+AE76)/2)))^2/(2*9.81)+B76-(E75+(C75/(DATOS!$B$14*E75))^2/(2*9.81)+B75+0.5*(((DATOS!$B$27*C75/(DATOS!$B$14*E75))^2/((DATOS!$B$14*E75)/(DATOS!$B$14+2*E75))^(4/3))+((DATOS!$B$27*C76/(DATOS!$B$14*((AD76+AE76)/2)))^2/((DATOS!$B$14*((AD76+AE76)/2))/(DATOS!$B$14+2*((AD76+AE76)/2)))^(4/3)))*(A75-A76)))&lt;0,AE76,((AD76+AE76)/2))</f>
        <v/>
      </c>
      <c r="AH76" s="16">
        <f>IF((((AF76+AG76)/2)+(C76/(DATOS!$B$14*((AF76+AG76)/2)))^2/(2*9.81)+B76-(E75+(C75/(DATOS!$B$14*E75))^2/(2*9.81)+B75+0.5*(((DATOS!$B$27*C75/(DATOS!$B$14*E75))^2/((DATOS!$B$14*E75)/(DATOS!$B$14+2*E75))^(4/3))+((DATOS!$B$27*C76/(DATOS!$B$14*((AF76+AG76)/2)))^2/((DATOS!$B$14*((AF76+AG76)/2))/(DATOS!$B$14+2*((AF76+AG76)/2)))^(4/3)))*(A75-A76)))&lt;0,((AF76+AG76)/2),AF76)</f>
        <v/>
      </c>
      <c r="AI76" s="16">
        <f>IF((((AF76+AG76)/2)+(C76/(DATOS!$B$14*((AF76+AG76)/2)))^2/(2*9.81)+B76-(E75+(C75/(DATOS!$B$14*E75))^2/(2*9.81)+B75+0.5*(((DATOS!$B$27*C75/(DATOS!$B$14*E75))^2/((DATOS!$B$14*E75)/(DATOS!$B$14+2*E75))^(4/3))+((DATOS!$B$27*C76/(DATOS!$B$14*((AF76+AG76)/2)))^2/((DATOS!$B$14*((AF76+AG76)/2))/(DATOS!$B$14+2*((AF76+AG76)/2)))^(4/3)))*(A75-A76)))&lt;0,AG76,((AF76+AG76)/2))</f>
        <v/>
      </c>
      <c r="AJ76" s="16">
        <f>IF((((AH76+AI76)/2)+(C76/(DATOS!$B$14*((AH76+AI76)/2)))^2/(2*9.81)+B76-(E75+(C75/(DATOS!$B$14*E75))^2/(2*9.81)+B75+0.5*(((DATOS!$B$27*C75/(DATOS!$B$14*E75))^2/((DATOS!$B$14*E75)/(DATOS!$B$14+2*E75))^(4/3))+((DATOS!$B$27*C76/(DATOS!$B$14*((AH76+AI76)/2)))^2/((DATOS!$B$14*((AH76+AI76)/2))/(DATOS!$B$14+2*((AH76+AI76)/2)))^(4/3)))*(A75-A76)))&lt;0,((AH76+AI76)/2),AH76)</f>
        <v/>
      </c>
      <c r="AK76" s="16">
        <f>IF((((AH76+AI76)/2)+(C76/(DATOS!$B$14*((AH76+AI76)/2)))^2/(2*9.81)+B76-(E75+(C75/(DATOS!$B$14*E75))^2/(2*9.81)+B75+0.5*(((DATOS!$B$27*C75/(DATOS!$B$14*E75))^2/((DATOS!$B$14*E75)/(DATOS!$B$14+2*E75))^(4/3))+((DATOS!$B$27*C76/(DATOS!$B$14*((AH76+AI76)/2)))^2/((DATOS!$B$14*((AH76+AI76)/2))/(DATOS!$B$14+2*((AH76+AI76)/2)))^(4/3)))*(A75-A76)))&lt;0,AI76,((AH76+AI76)/2))</f>
        <v/>
      </c>
      <c r="AL76" s="16">
        <f>IF((((AJ76+AK76)/2)+(C76/(DATOS!$B$14*((AJ76+AK76)/2)))^2/(2*9.81)+B76-(E75+(C75/(DATOS!$B$14*E75))^2/(2*9.81)+B75+0.5*(((DATOS!$B$27*C75/(DATOS!$B$14*E75))^2/((DATOS!$B$14*E75)/(DATOS!$B$14+2*E75))^(4/3))+((DATOS!$B$27*C76/(DATOS!$B$14*((AJ76+AK76)/2)))^2/((DATOS!$B$14*((AJ76+AK76)/2))/(DATOS!$B$14+2*((AJ76+AK76)/2)))^(4/3)))*(A75-A76)))&lt;0,((AJ76+AK76)/2),AJ76)</f>
        <v/>
      </c>
      <c r="AM76" s="16">
        <f>IF((((AJ76+AK76)/2)+(C76/(DATOS!$B$14*((AJ76+AK76)/2)))^2/(2*9.81)+B76-(E75+(C75/(DATOS!$B$14*E75))^2/(2*9.81)+B75+0.5*(((DATOS!$B$27*C75/(DATOS!$B$14*E75))^2/((DATOS!$B$14*E75)/(DATOS!$B$14+2*E75))^(4/3))+((DATOS!$B$27*C76/(DATOS!$B$14*((AJ76+AK76)/2)))^2/((DATOS!$B$14*((AJ76+AK76)/2))/(DATOS!$B$14+2*((AJ76+AK76)/2)))^(4/3)))*(A75-A76)))&lt;0,AK76,((AJ76+AK76)/2))</f>
        <v/>
      </c>
      <c r="AN76" s="16">
        <f>IF((((AL76+AM76)/2)+(C76/(DATOS!$B$14*((AL76+AM76)/2)))^2/(2*9.81)+B76-(E75+(C75/(DATOS!$B$14*E75))^2/(2*9.81)+B75+0.5*(((DATOS!$B$27*C75/(DATOS!$B$14*E75))^2/((DATOS!$B$14*E75)/(DATOS!$B$14+2*E75))^(4/3))+((DATOS!$B$27*C76/(DATOS!$B$14*((AL76+AM76)/2)))^2/((DATOS!$B$14*((AL76+AM76)/2))/(DATOS!$B$14+2*((AL76+AM76)/2)))^(4/3)))*(A75-A76)))&lt;0,((AL76+AM76)/2),AL76)</f>
        <v/>
      </c>
      <c r="AO76" s="16">
        <f>IF((((AL76+AM76)/2)+(C76/(DATOS!$B$14*((AL76+AM76)/2)))^2/(2*9.81)+B76-(E75+(C75/(DATOS!$B$14*E75))^2/(2*9.81)+B75+0.5*(((DATOS!$B$27*C75/(DATOS!$B$14*E75))^2/((DATOS!$B$14*E75)/(DATOS!$B$14+2*E75))^(4/3))+((DATOS!$B$27*C76/(DATOS!$B$14*((AL76+AM76)/2)))^2/((DATOS!$B$14*((AL76+AM76)/2))/(DATOS!$B$14+2*((AL76+AM76)/2)))^(4/3)))*(A75-A76)))&lt;0,AM76,((AL76+AM76)/2))</f>
        <v/>
      </c>
      <c r="AP76" s="16">
        <f>IF((((AN76+AO76)/2)+(C76/(DATOS!$B$14*((AN76+AO76)/2)))^2/(2*9.81)+B76-(E75+(C75/(DATOS!$B$14*E75))^2/(2*9.81)+B75+0.5*(((DATOS!$B$27*C75/(DATOS!$B$14*E75))^2/((DATOS!$B$14*E75)/(DATOS!$B$14+2*E75))^(4/3))+((DATOS!$B$27*C76/(DATOS!$B$14*((AN76+AO76)/2)))^2/((DATOS!$B$14*((AN76+AO76)/2))/(DATOS!$B$14+2*((AN76+AO76)/2)))^(4/3)))*(A75-A76)))&lt;0,((AN76+AO76)/2),AN76)</f>
        <v/>
      </c>
      <c r="AQ76" s="16">
        <f>IF((((AN76+AO76)/2)+(C76/(DATOS!$B$14*((AN76+AO76)/2)))^2/(2*9.81)+B76-(E75+(C75/(DATOS!$B$14*E75))^2/(2*9.81)+B75+0.5*(((DATOS!$B$27*C75/(DATOS!$B$14*E75))^2/((DATOS!$B$14*E75)/(DATOS!$B$14+2*E75))^(4/3))+((DATOS!$B$27*C76/(DATOS!$B$14*((AN76+AO76)/2)))^2/((DATOS!$B$14*((AN76+AO76)/2))/(DATOS!$B$14+2*((AN76+AO76)/2)))^(4/3)))*(A75-A76)))&lt;0,AO76,((AN76+AO76)/2))</f>
        <v/>
      </c>
      <c r="AR76" s="16">
        <f>IF((((AP76+AQ76)/2)+(C76/(DATOS!$B$14*((AP76+AQ76)/2)))^2/(2*9.81)+B76-(E75+(C75/(DATOS!$B$14*E75))^2/(2*9.81)+B75+0.5*(((DATOS!$B$27*C75/(DATOS!$B$14*E75))^2/((DATOS!$B$14*E75)/(DATOS!$B$14+2*E75))^(4/3))+((DATOS!$B$27*C76/(DATOS!$B$14*((AP76+AQ76)/2)))^2/((DATOS!$B$14*((AP76+AQ76)/2))/(DATOS!$B$14+2*((AP76+AQ76)/2)))^(4/3)))*(A75-A76)))&lt;0,((AP76+AQ76)/2),AP76)</f>
        <v/>
      </c>
      <c r="AS76" s="16">
        <f>IF((((AP76+AQ76)/2)+(C76/(DATOS!$B$14*((AP76+AQ76)/2)))^2/(2*9.81)+B76-(E75+(C75/(DATOS!$B$14*E75))^2/(2*9.81)+B75+0.5*(((DATOS!$B$27*C75/(DATOS!$B$14*E75))^2/((DATOS!$B$14*E75)/(DATOS!$B$14+2*E75))^(4/3))+((DATOS!$B$27*C76/(DATOS!$B$14*((AP76+AQ76)/2)))^2/((DATOS!$B$14*((AP76+AQ76)/2))/(DATOS!$B$14+2*((AP76+AQ76)/2)))^(4/3)))*(A75-A76)))&lt;0,AQ76,((AP76+AQ76)/2))</f>
        <v/>
      </c>
      <c r="AT76" s="16">
        <f>IF((((AR76+AS76)/2)+(C76/(DATOS!$B$14*((AR76+AS76)/2)))^2/(2*9.81)+B76-(E75+(C75/(DATOS!$B$14*E75))^2/(2*9.81)+B75+0.5*(((DATOS!$B$27*C75/(DATOS!$B$14*E75))^2/((DATOS!$B$14*E75)/(DATOS!$B$14+2*E75))^(4/3))+((DATOS!$B$27*C76/(DATOS!$B$14*((AR76+AS76)/2)))^2/((DATOS!$B$14*((AR76+AS76)/2))/(DATOS!$B$14+2*((AR76+AS76)/2)))^(4/3)))*(A75-A76)))&lt;0,((AR76+AS76)/2),AR76)</f>
        <v/>
      </c>
      <c r="AU76" s="16">
        <f>IF((((AR76+AS76)/2)+(C76/(DATOS!$B$14*((AR76+AS76)/2)))^2/(2*9.81)+B76-(E75+(C75/(DATOS!$B$14*E75))^2/(2*9.81)+B75+0.5*(((DATOS!$B$27*C75/(DATOS!$B$14*E75))^2/((DATOS!$B$14*E75)/(DATOS!$B$14+2*E75))^(4/3))+((DATOS!$B$27*C76/(DATOS!$B$14*((AR76+AS76)/2)))^2/((DATOS!$B$14*((AR76+AS76)/2))/(DATOS!$B$14+2*((AR76+AS76)/2)))^(4/3)))*(A75-A76)))&lt;0,AS76,((AR76+AS76)/2))</f>
        <v/>
      </c>
      <c r="AV76" s="16">
        <f>IF((((AT76+AU76)/2)+(C76/(DATOS!$B$14*((AT76+AU76)/2)))^2/(2*9.81)+B76-(E75+(C75/(DATOS!$B$14*E75))^2/(2*9.81)+B75+0.5*(((DATOS!$B$27*C75/(DATOS!$B$14*E75))^2/((DATOS!$B$14*E75)/(DATOS!$B$14+2*E75))^(4/3))+((DATOS!$B$27*C76/(DATOS!$B$14*((AT76+AU76)/2)))^2/((DATOS!$B$14*((AT76+AU76)/2))/(DATOS!$B$14+2*((AT76+AU76)/2)))^(4/3)))*(A75-A76)))&lt;0,((AT76+AU76)/2),AT76)</f>
        <v/>
      </c>
      <c r="AW76" s="16">
        <f>IF((((AT76+AU76)/2)+(C76/(DATOS!$B$14*((AT76+AU76)/2)))^2/(2*9.81)+B76-(E75+(C75/(DATOS!$B$14*E75))^2/(2*9.81)+B75+0.5*(((DATOS!$B$27*C75/(DATOS!$B$14*E75))^2/((DATOS!$B$14*E75)/(DATOS!$B$14+2*E75))^(4/3))+((DATOS!$B$27*C76/(DATOS!$B$14*((AT76+AU76)/2)))^2/((DATOS!$B$14*((AT76+AU76)/2))/(DATOS!$B$14+2*((AT76+AU76)/2)))^(4/3)))*(A75-A76)))&lt;0,AU76,((AT76+AU76)/2))</f>
        <v/>
      </c>
      <c r="AX76" s="16">
        <f>IF((((AV76+AW76)/2)+(C76/(DATOS!$B$14*((AV76+AW76)/2)))^2/(2*9.81)+B76-(E75+(C75/(DATOS!$B$14*E75))^2/(2*9.81)+B75+0.5*(((DATOS!$B$27*C75/(DATOS!$B$14*E75))^2/((DATOS!$B$14*E75)/(DATOS!$B$14+2*E75))^(4/3))+((DATOS!$B$27*C76/(DATOS!$B$14*((AV76+AW76)/2)))^2/((DATOS!$B$14*((AV76+AW76)/2))/(DATOS!$B$14+2*((AV76+AW76)/2)))^(4/3)))*(A75-A76)))&lt;0,((AV76+AW76)/2),AV76)</f>
        <v/>
      </c>
      <c r="AY76" s="16">
        <f>IF((((AV76+AW76)/2)+(C76/(DATOS!$B$14*((AV76+AW76)/2)))^2/(2*9.81)+B76-(E75+(C75/(DATOS!$B$14*E75))^2/(2*9.81)+B75+0.5*(((DATOS!$B$27*C75/(DATOS!$B$14*E75))^2/((DATOS!$B$14*E75)/(DATOS!$B$14+2*E75))^(4/3))+((DATOS!$B$27*C76/(DATOS!$B$14*((AV76+AW76)/2)))^2/((DATOS!$B$14*((AV76+AW76)/2))/(DATOS!$B$14+2*((AV76+AW76)/2)))^(4/3)))*(A75-A76)))&lt;0,AW76,((AV76+AW76)/2))</f>
        <v/>
      </c>
      <c r="AZ76" s="16">
        <f>IF((((AX76+AY76)/2)+(C76/(DATOS!$B$14*((AX76+AY76)/2)))^2/(2*9.81)+B76-(E75+(C75/(DATOS!$B$14*E75))^2/(2*9.81)+B75+0.5*(((DATOS!$B$27*C75/(DATOS!$B$14*E75))^2/((DATOS!$B$14*E75)/(DATOS!$B$14+2*E75))^(4/3))+((DATOS!$B$27*C76/(DATOS!$B$14*((AX76+AY76)/2)))^2/((DATOS!$B$14*((AX76+AY76)/2))/(DATOS!$B$14+2*((AX76+AY76)/2)))^(4/3)))*(A75-A76)))&lt;0,((AX76+AY76)/2),AX76)</f>
        <v/>
      </c>
      <c r="BA76" s="16">
        <f>IF((((AX76+AY76)/2)+(C76/(DATOS!$B$14*((AX76+AY76)/2)))^2/(2*9.81)+B76-(E75+(C75/(DATOS!$B$14*E75))^2/(2*9.81)+B75+0.5*(((DATOS!$B$27*C75/(DATOS!$B$14*E75))^2/((DATOS!$B$14*E75)/(DATOS!$B$14+2*E75))^(4/3))+((DATOS!$B$27*C76/(DATOS!$B$14*((AX76+AY76)/2)))^2/((DATOS!$B$14*((AX76+AY76)/2))/(DATOS!$B$14+2*((AX76+AY76)/2)))^(4/3)))*(A75-A76)))&lt;0,AY76,((AX76+AY76)/2))</f>
        <v/>
      </c>
      <c r="BB76" s="16">
        <f>IF((((AZ76+BA76)/2)+(C76/(DATOS!$B$14*((AZ76+BA76)/2)))^2/(2*9.81)+B76-(E75+(C75/(DATOS!$B$14*E75))^2/(2*9.81)+B75+0.5*(((DATOS!$B$27*C75/(DATOS!$B$14*E75))^2/((DATOS!$B$14*E75)/(DATOS!$B$14+2*E75))^(4/3))+((DATOS!$B$27*C76/(DATOS!$B$14*((AZ76+BA76)/2)))^2/((DATOS!$B$14*((AZ76+BA76)/2))/(DATOS!$B$14+2*((AZ76+BA76)/2)))^(4/3)))*(A75-A76)))&lt;0,((AZ76+BA76)/2),AZ76)</f>
        <v/>
      </c>
      <c r="BC76" s="16">
        <f>IF((((AZ76+BA76)/2)+(C76/(DATOS!$B$14*((AZ76+BA76)/2)))^2/(2*9.81)+B76-(E75+(C75/(DATOS!$B$14*E75))^2/(2*9.81)+B75+0.5*(((DATOS!$B$27*C75/(DATOS!$B$14*E75))^2/((DATOS!$B$14*E75)/(DATOS!$B$14+2*E75))^(4/3))+((DATOS!$B$27*C76/(DATOS!$B$14*((AZ76+BA76)/2)))^2/((DATOS!$B$14*((AZ76+BA76)/2))/(DATOS!$B$14+2*((AZ76+BA76)/2)))^(4/3)))*(A75-A76)))&lt;0,BA76,((AZ76+BA76)/2))</f>
        <v/>
      </c>
      <c r="BD76" s="16">
        <f>IF((((BB76+BC76)/2)+(C76/(DATOS!$B$14*((BB76+BC76)/2)))^2/(2*9.81)+B76-(E75+(C75/(DATOS!$B$14*E75))^2/(2*9.81)+B75+0.5*(((DATOS!$B$27*C75/(DATOS!$B$14*E75))^2/((DATOS!$B$14*E75)/(DATOS!$B$14+2*E75))^(4/3))+((DATOS!$B$27*C76/(DATOS!$B$14*((BB76+BC76)/2)))^2/((DATOS!$B$14*((BB76+BC76)/2))/(DATOS!$B$14+2*((BB76+BC76)/2)))^(4/3)))*(A75-A76)))&lt;0,((BB76+BC76)/2),BB76)</f>
        <v/>
      </c>
      <c r="BE76" s="16">
        <f>IF((((BB76+BC76)/2)+(C76/(DATOS!$B$14*((BB76+BC76)/2)))^2/(2*9.81)+B76-(E75+(C75/(DATOS!$B$14*E75))^2/(2*9.81)+B75+0.5*(((DATOS!$B$27*C75/(DATOS!$B$14*E75))^2/((DATOS!$B$14*E75)/(DATOS!$B$14+2*E75))^(4/3))+((DATOS!$B$27*C76/(DATOS!$B$14*((BB76+BC76)/2)))^2/((DATOS!$B$14*((BB76+BC76)/2))/(DATOS!$B$14+2*((BB76+BC76)/2)))^(4/3)))*(A75-A76)))&lt;0,BC76,((BB76+BC76)/2))</f>
        <v/>
      </c>
      <c r="BF76" s="16">
        <f>IF((((BD76+BE76)/2)+(C76/(DATOS!$B$14*((BD76+BE76)/2)))^2/(2*9.81)+B76-(E75+(C75/(DATOS!$B$14*E75))^2/(2*9.81)+B75+0.5*(((DATOS!$B$27*C75/(DATOS!$B$14*E75))^2/((DATOS!$B$14*E75)/(DATOS!$B$14+2*E75))^(4/3))+((DATOS!$B$27*C76/(DATOS!$B$14*((BD76+BE76)/2)))^2/((DATOS!$B$14*((BD76+BE76)/2))/(DATOS!$B$14+2*((BD76+BE76)/2)))^(4/3)))*(A75-A76)))&lt;0,((BD76+BE76)/2),BD76)</f>
        <v/>
      </c>
      <c r="BG76" s="16">
        <f>IF((((BD76+BE76)/2)+(C76/(DATOS!$B$14*((BD76+BE76)/2)))^2/(2*9.81)+B76-(E75+(C75/(DATOS!$B$14*E75))^2/(2*9.81)+B75+0.5*(((DATOS!$B$27*C75/(DATOS!$B$14*E75))^2/((DATOS!$B$14*E75)/(DATOS!$B$14+2*E75))^(4/3))+((DATOS!$B$27*C76/(DATOS!$B$14*((BD76+BE76)/2)))^2/((DATOS!$B$14*((BD76+BE76)/2))/(DATOS!$B$14+2*((BD76+BE76)/2)))^(4/3)))*(A75-A76)))&lt;0,BE76,((BD76+BE76)/2))</f>
        <v/>
      </c>
      <c r="BH76" s="16">
        <f>IF((((BF76+BG76)/2)+(C76/(DATOS!$B$14*((BF76+BG76)/2)))^2/(2*9.81)+B76-(E75+(C75/(DATOS!$B$14*E75))^2/(2*9.81)+B75+0.5*(((DATOS!$B$27*C75/(DATOS!$B$14*E75))^2/((DATOS!$B$14*E75)/(DATOS!$B$14+2*E75))^(4/3))+((DATOS!$B$27*C76/(DATOS!$B$14*((BF76+BG76)/2)))^2/((DATOS!$B$14*((BF76+BG76)/2))/(DATOS!$B$14+2*((BF76+BG76)/2)))^(4/3)))*(A75-A76)))&lt;0,((BF76+BG76)/2),BF76)</f>
        <v/>
      </c>
      <c r="BI76" s="16">
        <f>IF((((BF76+BG76)/2)+(C76/(DATOS!$B$14*((BF76+BG76)/2)))^2/(2*9.81)+B76-(E75+(C75/(DATOS!$B$14*E75))^2/(2*9.81)+B75+0.5*(((DATOS!$B$27*C75/(DATOS!$B$14*E75))^2/((DATOS!$B$14*E75)/(DATOS!$B$14+2*E75))^(4/3))+((DATOS!$B$27*C76/(DATOS!$B$14*((BF76+BG76)/2)))^2/((DATOS!$B$14*((BF76+BG76)/2))/(DATOS!$B$14+2*((BF76+BG76)/2)))^(4/3)))*(A75-A76)))&lt;0,BG76,((BF76+BG76)/2))</f>
        <v/>
      </c>
      <c r="BJ76" s="16">
        <f>IF((((BH76+BI76)/2)+(C76/(DATOS!$B$14*((BH76+BI76)/2)))^2/(2*9.81)+B76-(E75+(C75/(DATOS!$B$14*E75))^2/(2*9.81)+B75+0.5*(((DATOS!$B$27*C75/(DATOS!$B$14*E75))^2/((DATOS!$B$14*E75)/(DATOS!$B$14+2*E75))^(4/3))+((DATOS!$B$27*C76/(DATOS!$B$14*((BH76+BI76)/2)))^2/((DATOS!$B$14*((BH76+BI76)/2))/(DATOS!$B$14+2*((BH76+BI76)/2)))^(4/3)))*(A75-A76)))&lt;0,((BH76+BI76)/2),BH76)</f>
        <v/>
      </c>
      <c r="BK76" s="16">
        <f>IF((((BH76+BI76)/2)+(C76/(DATOS!$B$14*((BH76+BI76)/2)))^2/(2*9.81)+B76-(E75+(C75/(DATOS!$B$14*E75))^2/(2*9.81)+B75+0.5*(((DATOS!$B$27*C75/(DATOS!$B$14*E75))^2/((DATOS!$B$14*E75)/(DATOS!$B$14+2*E75))^(4/3))+((DATOS!$B$27*C76/(DATOS!$B$14*((BH76+BI76)/2)))^2/((DATOS!$B$14*((BH76+BI76)/2))/(DATOS!$B$14+2*((BH76+BI76)/2)))^(4/3)))*(A75-A76)))&lt;0,BI76,((BH76+BI76)/2))</f>
        <v/>
      </c>
      <c r="BL76" s="16">
        <f>IF((((BJ76+BK76)/2)+(C76/(DATOS!$B$14*((BJ76+BK76)/2)))^2/(2*9.81)+B76-(E75+(C75/(DATOS!$B$14*E75))^2/(2*9.81)+B75+0.5*(((DATOS!$B$27*C75/(DATOS!$B$14*E75))^2/((DATOS!$B$14*E75)/(DATOS!$B$14+2*E75))^(4/3))+((DATOS!$B$27*C76/(DATOS!$B$14*((BJ76+BK76)/2)))^2/((DATOS!$B$14*((BJ76+BK76)/2))/(DATOS!$B$14+2*((BJ76+BK76)/2)))^(4/3)))*(A75-A76)))&lt;0,((BJ76+BK76)/2),BJ76)</f>
        <v/>
      </c>
      <c r="BM76" s="16">
        <f>IF((((BJ76+BK76)/2)+(C76/(DATOS!$B$14*((BJ76+BK76)/2)))^2/(2*9.81)+B76-(E75+(C75/(DATOS!$B$14*E75))^2/(2*9.81)+B75+0.5*(((DATOS!$B$27*C75/(DATOS!$B$14*E75))^2/((DATOS!$B$14*E75)/(DATOS!$B$14+2*E75))^(4/3))+((DATOS!$B$27*C76/(DATOS!$B$14*((BJ76+BK76)/2)))^2/((DATOS!$B$14*((BJ76+BK76)/2))/(DATOS!$B$14+2*((BJ76+BK76)/2)))^(4/3)))*(A75-A76)))&lt;0,BK76,((BJ76+BK76)/2))</f>
        <v/>
      </c>
      <c r="BN76" s="16">
        <f>IF((((BL76+BM76)/2)+(C76/(DATOS!$B$14*((BL76+BM76)/2)))^2/(2*9.81)+B76-(E75+(C75/(DATOS!$B$14*E75))^2/(2*9.81)+B75+0.5*(((DATOS!$B$27*C75/(DATOS!$B$14*E75))^2/((DATOS!$B$14*E75)/(DATOS!$B$14+2*E75))^(4/3))+((DATOS!$B$27*C76/(DATOS!$B$14*((BL76+BM76)/2)))^2/((DATOS!$B$14*((BL76+BM76)/2))/(DATOS!$B$14+2*((BL76+BM76)/2)))^(4/3)))*(A75-A76)))&lt;0,((BL76+BM76)/2),BL76)</f>
        <v/>
      </c>
      <c r="BO76" s="16">
        <f>IF((((BL76+BM76)/2)+(C76/(DATOS!$B$14*((BL76+BM76)/2)))^2/(2*9.81)+B76-(E75+(C75/(DATOS!$B$14*E75))^2/(2*9.81)+B75+0.5*(((DATOS!$B$27*C75/(DATOS!$B$14*E75))^2/((DATOS!$B$14*E75)/(DATOS!$B$14+2*E75))^(4/3))+((DATOS!$B$27*C76/(DATOS!$B$14*((BL76+BM76)/2)))^2/((DATOS!$B$14*((BL76+BM76)/2))/(DATOS!$B$14+2*((BL76+BM76)/2)))^(4/3)))*(A75-A76)))&lt;0,BM76,((BL76+BM76)/2))</f>
        <v/>
      </c>
      <c r="BP76" s="16">
        <f>IF((((BN76+BO76)/2)+(C76/(DATOS!$B$14*((BN76+BO76)/2)))^2/(2*9.81)+B76-(E75+(C75/(DATOS!$B$14*E75))^2/(2*9.81)+B75+0.5*(((DATOS!$B$27*C75/(DATOS!$B$14*E75))^2/((DATOS!$B$14*E75)/(DATOS!$B$14+2*E75))^(4/3))+((DATOS!$B$27*C76/(DATOS!$B$14*((BN76+BO76)/2)))^2/((DATOS!$B$14*((BN76+BO76)/2))/(DATOS!$B$14+2*((BN76+BO76)/2)))^(4/3)))*(A75-A76)))&lt;0,((BN76+BO76)/2),BN76)</f>
        <v/>
      </c>
      <c r="BQ76" s="16">
        <f>IF((((BN76+BO76)/2)+(C76/(DATOS!$B$14*((BN76+BO76)/2)))^2/(2*9.81)+B76-(E75+(C75/(DATOS!$B$14*E75))^2/(2*9.81)+B75+0.5*(((DATOS!$B$27*C75/(DATOS!$B$14*E75))^2/((DATOS!$B$14*E75)/(DATOS!$B$14+2*E75))^(4/3))+((DATOS!$B$27*C76/(DATOS!$B$14*((BN76+BO76)/2)))^2/((DATOS!$B$14*((BN76+BO76)/2))/(DATOS!$B$14+2*((BN76+BO76)/2)))^(4/3)))*(A75-A76)))&lt;0,BO76,((BN76+BO76)/2))</f>
        <v/>
      </c>
      <c r="BR76" s="16">
        <f>IF((((BP76+BQ76)/2)+(C76/(DATOS!$B$14*((BP76+BQ76)/2)))^2/(2*9.81)+B76-(E75+(C75/(DATOS!$B$14*E75))^2/(2*9.81)+B75+0.5*(((DATOS!$B$27*C75/(DATOS!$B$14*E75))^2/((DATOS!$B$14*E75)/(DATOS!$B$14+2*E75))^(4/3))+((DATOS!$B$27*C76/(DATOS!$B$14*((BP76+BQ76)/2)))^2/((DATOS!$B$14*((BP76+BQ76)/2))/(DATOS!$B$14+2*((BP76+BQ76)/2)))^(4/3)))*(A75-A76)))&lt;0,((BP76+BQ76)/2),BP76)</f>
        <v/>
      </c>
      <c r="BS76" s="16">
        <f>IF((((BP76+BQ76)/2)+(C76/(DATOS!$B$14*((BP76+BQ76)/2)))^2/(2*9.81)+B76-(E75+(C75/(DATOS!$B$14*E75))^2/(2*9.81)+B75+0.5*(((DATOS!$B$27*C75/(DATOS!$B$14*E75))^2/((DATOS!$B$14*E75)/(DATOS!$B$14+2*E75))^(4/3))+((DATOS!$B$27*C76/(DATOS!$B$14*((BP76+BQ76)/2)))^2/((DATOS!$B$14*((BP76+BQ76)/2))/(DATOS!$B$14+2*((BP76+BQ76)/2)))^(4/3)))*(A75-A76)))&lt;0,BQ76,((BP76+BQ76)/2))</f>
        <v/>
      </c>
      <c r="BT76" s="16">
        <f>IF((((BR76+BS76)/2)+(C76/(DATOS!$B$14*((BR76+BS76)/2)))^2/(2*9.81)+B76-(E75+(C75/(DATOS!$B$14*E75))^2/(2*9.81)+B75+0.5*(((DATOS!$B$27*C75/(DATOS!$B$14*E75))^2/((DATOS!$B$14*E75)/(DATOS!$B$14+2*E75))^(4/3))+((DATOS!$B$27*C76/(DATOS!$B$14*((BR76+BS76)/2)))^2/((DATOS!$B$14*((BR76+BS76)/2))/(DATOS!$B$14+2*((BR76+BS76)/2)))^(4/3)))*(A75-A76)))&lt;0,((BR76+BS76)/2),BR76)</f>
        <v/>
      </c>
      <c r="BU76" s="16">
        <f>IF((((BR76+BS76)/2)+(C76/(DATOS!$B$14*((BR76+BS76)/2)))^2/(2*9.81)+B76-(E75+(C75/(DATOS!$B$14*E75))^2/(2*9.81)+B75+0.5*(((DATOS!$B$27*C75/(DATOS!$B$14*E75))^2/((DATOS!$B$14*E75)/(DATOS!$B$14+2*E75))^(4/3))+((DATOS!$B$27*C76/(DATOS!$B$14*((BR76+BS76)/2)))^2/((DATOS!$B$14*((BR76+BS76)/2))/(DATOS!$B$14+2*((BR76+BS76)/2)))^(4/3)))*(A75-A76)))&lt;0,BS76,((BR76+BS76)/2))</f>
        <v/>
      </c>
    </row>
    <row r="77">
      <c r="A77" s="30" t="n">
        <v>4</v>
      </c>
      <c r="B77" s="21">
        <f>DATOS!$B$16-DATOS!$B$19*A77</f>
        <v/>
      </c>
      <c r="C77" s="21">
        <f>IF(A77&lt;CAUDALES!$B$13,CAUDALES!$D$12,IF(A77&lt;CAUDALES!$B$14,CAUDALES!$D$13,IF(A77&lt;CAUDALES!$B$15,CAUDALES!$D$14,CAUDALES!$D$15)))/1000</f>
        <v/>
      </c>
      <c r="D77" s="21">
        <f>(C77^2/(9.81*DATOS!$B$14^2))^(1/3)</f>
        <v/>
      </c>
      <c r="E77" s="29">
        <f>(BT77+BU77)/2</f>
        <v/>
      </c>
      <c r="F77" s="21">
        <f>B77+E77</f>
        <v/>
      </c>
      <c r="G77" s="17">
        <f>C77/(DATOS!$B$14*E77)</f>
        <v/>
      </c>
      <c r="H77" s="17">
        <f>G77/SQRT(9.81*E77)</f>
        <v/>
      </c>
      <c r="I77" s="21">
        <f>IF(A77&lt;=DATOS!$B$20,DATOS!$B$21-IF(AND(A77&gt;=DATOS!$B$23,A77&lt;DATOS!$B$24),DATOS!$B$25,DATOS!$B$22),B77+DATOS!$B$26)</f>
        <v/>
      </c>
      <c r="J77" s="17">
        <f>I77-B77</f>
        <v/>
      </c>
      <c r="K77" s="31">
        <f>E77/J77</f>
        <v/>
      </c>
      <c r="L77" s="21">
        <f>I77-F77</f>
        <v/>
      </c>
      <c r="M77" s="32">
        <f>IF(AND(K77&lt;=DATOS!$B$29,L77&gt;=DATOS!$B$30),"CUMPLE","NO CUMPLE")</f>
        <v/>
      </c>
      <c r="N77" s="13">
        <f>IF(A77&gt;DATOS!$B$20,"cubierto - tramo final",IF(AND(A77&gt;=DATOS!$B$23,A77&lt;DATOS!$B$24),"cubierto - camiones","cubierto"))</f>
        <v/>
      </c>
      <c r="P77" s="16">
        <f>D77*1.001</f>
        <v/>
      </c>
      <c r="Q77" s="16" t="n">
        <v>2</v>
      </c>
      <c r="R77" s="16">
        <f>IF((((P77+Q77)/2)+(C77/(DATOS!$B$14*((P77+Q77)/2)))^2/(2*9.81)+B77-(E76+(C76/(DATOS!$B$14*E76))^2/(2*9.81)+B76+0.5*(((DATOS!$B$27*C76/(DATOS!$B$14*E76))^2/((DATOS!$B$14*E76)/(DATOS!$B$14+2*E76))^(4/3))+((DATOS!$B$27*C77/(DATOS!$B$14*((P77+Q77)/2)))^2/((DATOS!$B$14*((P77+Q77)/2))/(DATOS!$B$14+2*((P77+Q77)/2)))^(4/3)))*(A76-A77)))&lt;0,((P77+Q77)/2),P77)</f>
        <v/>
      </c>
      <c r="S77" s="16">
        <f>IF((((P77+Q77)/2)+(C77/(DATOS!$B$14*((P77+Q77)/2)))^2/(2*9.81)+B77-(E76+(C76/(DATOS!$B$14*E76))^2/(2*9.81)+B76+0.5*(((DATOS!$B$27*C76/(DATOS!$B$14*E76))^2/((DATOS!$B$14*E76)/(DATOS!$B$14+2*E76))^(4/3))+((DATOS!$B$27*C77/(DATOS!$B$14*((P77+Q77)/2)))^2/((DATOS!$B$14*((P77+Q77)/2))/(DATOS!$B$14+2*((P77+Q77)/2)))^(4/3)))*(A76-A77)))&lt;0,Q77,((P77+Q77)/2))</f>
        <v/>
      </c>
      <c r="T77" s="16">
        <f>IF((((R77+S77)/2)+(C77/(DATOS!$B$14*((R77+S77)/2)))^2/(2*9.81)+B77-(E76+(C76/(DATOS!$B$14*E76))^2/(2*9.81)+B76+0.5*(((DATOS!$B$27*C76/(DATOS!$B$14*E76))^2/((DATOS!$B$14*E76)/(DATOS!$B$14+2*E76))^(4/3))+((DATOS!$B$27*C77/(DATOS!$B$14*((R77+S77)/2)))^2/((DATOS!$B$14*((R77+S77)/2))/(DATOS!$B$14+2*((R77+S77)/2)))^(4/3)))*(A76-A77)))&lt;0,((R77+S77)/2),R77)</f>
        <v/>
      </c>
      <c r="U77" s="16">
        <f>IF((((R77+S77)/2)+(C77/(DATOS!$B$14*((R77+S77)/2)))^2/(2*9.81)+B77-(E76+(C76/(DATOS!$B$14*E76))^2/(2*9.81)+B76+0.5*(((DATOS!$B$27*C76/(DATOS!$B$14*E76))^2/((DATOS!$B$14*E76)/(DATOS!$B$14+2*E76))^(4/3))+((DATOS!$B$27*C77/(DATOS!$B$14*((R77+S77)/2)))^2/((DATOS!$B$14*((R77+S77)/2))/(DATOS!$B$14+2*((R77+S77)/2)))^(4/3)))*(A76-A77)))&lt;0,S77,((R77+S77)/2))</f>
        <v/>
      </c>
      <c r="V77" s="16">
        <f>IF((((T77+U77)/2)+(C77/(DATOS!$B$14*((T77+U77)/2)))^2/(2*9.81)+B77-(E76+(C76/(DATOS!$B$14*E76))^2/(2*9.81)+B76+0.5*(((DATOS!$B$27*C76/(DATOS!$B$14*E76))^2/((DATOS!$B$14*E76)/(DATOS!$B$14+2*E76))^(4/3))+((DATOS!$B$27*C77/(DATOS!$B$14*((T77+U77)/2)))^2/((DATOS!$B$14*((T77+U77)/2))/(DATOS!$B$14+2*((T77+U77)/2)))^(4/3)))*(A76-A77)))&lt;0,((T77+U77)/2),T77)</f>
        <v/>
      </c>
      <c r="W77" s="16">
        <f>IF((((T77+U77)/2)+(C77/(DATOS!$B$14*((T77+U77)/2)))^2/(2*9.81)+B77-(E76+(C76/(DATOS!$B$14*E76))^2/(2*9.81)+B76+0.5*(((DATOS!$B$27*C76/(DATOS!$B$14*E76))^2/((DATOS!$B$14*E76)/(DATOS!$B$14+2*E76))^(4/3))+((DATOS!$B$27*C77/(DATOS!$B$14*((T77+U77)/2)))^2/((DATOS!$B$14*((T77+U77)/2))/(DATOS!$B$14+2*((T77+U77)/2)))^(4/3)))*(A76-A77)))&lt;0,U77,((T77+U77)/2))</f>
        <v/>
      </c>
      <c r="X77" s="16">
        <f>IF((((V77+W77)/2)+(C77/(DATOS!$B$14*((V77+W77)/2)))^2/(2*9.81)+B77-(E76+(C76/(DATOS!$B$14*E76))^2/(2*9.81)+B76+0.5*(((DATOS!$B$27*C76/(DATOS!$B$14*E76))^2/((DATOS!$B$14*E76)/(DATOS!$B$14+2*E76))^(4/3))+((DATOS!$B$27*C77/(DATOS!$B$14*((V77+W77)/2)))^2/((DATOS!$B$14*((V77+W77)/2))/(DATOS!$B$14+2*((V77+W77)/2)))^(4/3)))*(A76-A77)))&lt;0,((V77+W77)/2),V77)</f>
        <v/>
      </c>
      <c r="Y77" s="16">
        <f>IF((((V77+W77)/2)+(C77/(DATOS!$B$14*((V77+W77)/2)))^2/(2*9.81)+B77-(E76+(C76/(DATOS!$B$14*E76))^2/(2*9.81)+B76+0.5*(((DATOS!$B$27*C76/(DATOS!$B$14*E76))^2/((DATOS!$B$14*E76)/(DATOS!$B$14+2*E76))^(4/3))+((DATOS!$B$27*C77/(DATOS!$B$14*((V77+W77)/2)))^2/((DATOS!$B$14*((V77+W77)/2))/(DATOS!$B$14+2*((V77+W77)/2)))^(4/3)))*(A76-A77)))&lt;0,W77,((V77+W77)/2))</f>
        <v/>
      </c>
      <c r="Z77" s="16">
        <f>IF((((X77+Y77)/2)+(C77/(DATOS!$B$14*((X77+Y77)/2)))^2/(2*9.81)+B77-(E76+(C76/(DATOS!$B$14*E76))^2/(2*9.81)+B76+0.5*(((DATOS!$B$27*C76/(DATOS!$B$14*E76))^2/((DATOS!$B$14*E76)/(DATOS!$B$14+2*E76))^(4/3))+((DATOS!$B$27*C77/(DATOS!$B$14*((X77+Y77)/2)))^2/((DATOS!$B$14*((X77+Y77)/2))/(DATOS!$B$14+2*((X77+Y77)/2)))^(4/3)))*(A76-A77)))&lt;0,((X77+Y77)/2),X77)</f>
        <v/>
      </c>
      <c r="AA77" s="16">
        <f>IF((((X77+Y77)/2)+(C77/(DATOS!$B$14*((X77+Y77)/2)))^2/(2*9.81)+B77-(E76+(C76/(DATOS!$B$14*E76))^2/(2*9.81)+B76+0.5*(((DATOS!$B$27*C76/(DATOS!$B$14*E76))^2/((DATOS!$B$14*E76)/(DATOS!$B$14+2*E76))^(4/3))+((DATOS!$B$27*C77/(DATOS!$B$14*((X77+Y77)/2)))^2/((DATOS!$B$14*((X77+Y77)/2))/(DATOS!$B$14+2*((X77+Y77)/2)))^(4/3)))*(A76-A77)))&lt;0,Y77,((X77+Y77)/2))</f>
        <v/>
      </c>
      <c r="AB77" s="16">
        <f>IF((((Z77+AA77)/2)+(C77/(DATOS!$B$14*((Z77+AA77)/2)))^2/(2*9.81)+B77-(E76+(C76/(DATOS!$B$14*E76))^2/(2*9.81)+B76+0.5*(((DATOS!$B$27*C76/(DATOS!$B$14*E76))^2/((DATOS!$B$14*E76)/(DATOS!$B$14+2*E76))^(4/3))+((DATOS!$B$27*C77/(DATOS!$B$14*((Z77+AA77)/2)))^2/((DATOS!$B$14*((Z77+AA77)/2))/(DATOS!$B$14+2*((Z77+AA77)/2)))^(4/3)))*(A76-A77)))&lt;0,((Z77+AA77)/2),Z77)</f>
        <v/>
      </c>
      <c r="AC77" s="16">
        <f>IF((((Z77+AA77)/2)+(C77/(DATOS!$B$14*((Z77+AA77)/2)))^2/(2*9.81)+B77-(E76+(C76/(DATOS!$B$14*E76))^2/(2*9.81)+B76+0.5*(((DATOS!$B$27*C76/(DATOS!$B$14*E76))^2/((DATOS!$B$14*E76)/(DATOS!$B$14+2*E76))^(4/3))+((DATOS!$B$27*C77/(DATOS!$B$14*((Z77+AA77)/2)))^2/((DATOS!$B$14*((Z77+AA77)/2))/(DATOS!$B$14+2*((Z77+AA77)/2)))^(4/3)))*(A76-A77)))&lt;0,AA77,((Z77+AA77)/2))</f>
        <v/>
      </c>
      <c r="AD77" s="16">
        <f>IF((((AB77+AC77)/2)+(C77/(DATOS!$B$14*((AB77+AC77)/2)))^2/(2*9.81)+B77-(E76+(C76/(DATOS!$B$14*E76))^2/(2*9.81)+B76+0.5*(((DATOS!$B$27*C76/(DATOS!$B$14*E76))^2/((DATOS!$B$14*E76)/(DATOS!$B$14+2*E76))^(4/3))+((DATOS!$B$27*C77/(DATOS!$B$14*((AB77+AC77)/2)))^2/((DATOS!$B$14*((AB77+AC77)/2))/(DATOS!$B$14+2*((AB77+AC77)/2)))^(4/3)))*(A76-A77)))&lt;0,((AB77+AC77)/2),AB77)</f>
        <v/>
      </c>
      <c r="AE77" s="16">
        <f>IF((((AB77+AC77)/2)+(C77/(DATOS!$B$14*((AB77+AC77)/2)))^2/(2*9.81)+B77-(E76+(C76/(DATOS!$B$14*E76))^2/(2*9.81)+B76+0.5*(((DATOS!$B$27*C76/(DATOS!$B$14*E76))^2/((DATOS!$B$14*E76)/(DATOS!$B$14+2*E76))^(4/3))+((DATOS!$B$27*C77/(DATOS!$B$14*((AB77+AC77)/2)))^2/((DATOS!$B$14*((AB77+AC77)/2))/(DATOS!$B$14+2*((AB77+AC77)/2)))^(4/3)))*(A76-A77)))&lt;0,AC77,((AB77+AC77)/2))</f>
        <v/>
      </c>
      <c r="AF77" s="16">
        <f>IF((((AD77+AE77)/2)+(C77/(DATOS!$B$14*((AD77+AE77)/2)))^2/(2*9.81)+B77-(E76+(C76/(DATOS!$B$14*E76))^2/(2*9.81)+B76+0.5*(((DATOS!$B$27*C76/(DATOS!$B$14*E76))^2/((DATOS!$B$14*E76)/(DATOS!$B$14+2*E76))^(4/3))+((DATOS!$B$27*C77/(DATOS!$B$14*((AD77+AE77)/2)))^2/((DATOS!$B$14*((AD77+AE77)/2))/(DATOS!$B$14+2*((AD77+AE77)/2)))^(4/3)))*(A76-A77)))&lt;0,((AD77+AE77)/2),AD77)</f>
        <v/>
      </c>
      <c r="AG77" s="16">
        <f>IF((((AD77+AE77)/2)+(C77/(DATOS!$B$14*((AD77+AE77)/2)))^2/(2*9.81)+B77-(E76+(C76/(DATOS!$B$14*E76))^2/(2*9.81)+B76+0.5*(((DATOS!$B$27*C76/(DATOS!$B$14*E76))^2/((DATOS!$B$14*E76)/(DATOS!$B$14+2*E76))^(4/3))+((DATOS!$B$27*C77/(DATOS!$B$14*((AD77+AE77)/2)))^2/((DATOS!$B$14*((AD77+AE77)/2))/(DATOS!$B$14+2*((AD77+AE77)/2)))^(4/3)))*(A76-A77)))&lt;0,AE77,((AD77+AE77)/2))</f>
        <v/>
      </c>
      <c r="AH77" s="16">
        <f>IF((((AF77+AG77)/2)+(C77/(DATOS!$B$14*((AF77+AG77)/2)))^2/(2*9.81)+B77-(E76+(C76/(DATOS!$B$14*E76))^2/(2*9.81)+B76+0.5*(((DATOS!$B$27*C76/(DATOS!$B$14*E76))^2/((DATOS!$B$14*E76)/(DATOS!$B$14+2*E76))^(4/3))+((DATOS!$B$27*C77/(DATOS!$B$14*((AF77+AG77)/2)))^2/((DATOS!$B$14*((AF77+AG77)/2))/(DATOS!$B$14+2*((AF77+AG77)/2)))^(4/3)))*(A76-A77)))&lt;0,((AF77+AG77)/2),AF77)</f>
        <v/>
      </c>
      <c r="AI77" s="16">
        <f>IF((((AF77+AG77)/2)+(C77/(DATOS!$B$14*((AF77+AG77)/2)))^2/(2*9.81)+B77-(E76+(C76/(DATOS!$B$14*E76))^2/(2*9.81)+B76+0.5*(((DATOS!$B$27*C76/(DATOS!$B$14*E76))^2/((DATOS!$B$14*E76)/(DATOS!$B$14+2*E76))^(4/3))+((DATOS!$B$27*C77/(DATOS!$B$14*((AF77+AG77)/2)))^2/((DATOS!$B$14*((AF77+AG77)/2))/(DATOS!$B$14+2*((AF77+AG77)/2)))^(4/3)))*(A76-A77)))&lt;0,AG77,((AF77+AG77)/2))</f>
        <v/>
      </c>
      <c r="AJ77" s="16">
        <f>IF((((AH77+AI77)/2)+(C77/(DATOS!$B$14*((AH77+AI77)/2)))^2/(2*9.81)+B77-(E76+(C76/(DATOS!$B$14*E76))^2/(2*9.81)+B76+0.5*(((DATOS!$B$27*C76/(DATOS!$B$14*E76))^2/((DATOS!$B$14*E76)/(DATOS!$B$14+2*E76))^(4/3))+((DATOS!$B$27*C77/(DATOS!$B$14*((AH77+AI77)/2)))^2/((DATOS!$B$14*((AH77+AI77)/2))/(DATOS!$B$14+2*((AH77+AI77)/2)))^(4/3)))*(A76-A77)))&lt;0,((AH77+AI77)/2),AH77)</f>
        <v/>
      </c>
      <c r="AK77" s="16">
        <f>IF((((AH77+AI77)/2)+(C77/(DATOS!$B$14*((AH77+AI77)/2)))^2/(2*9.81)+B77-(E76+(C76/(DATOS!$B$14*E76))^2/(2*9.81)+B76+0.5*(((DATOS!$B$27*C76/(DATOS!$B$14*E76))^2/((DATOS!$B$14*E76)/(DATOS!$B$14+2*E76))^(4/3))+((DATOS!$B$27*C77/(DATOS!$B$14*((AH77+AI77)/2)))^2/((DATOS!$B$14*((AH77+AI77)/2))/(DATOS!$B$14+2*((AH77+AI77)/2)))^(4/3)))*(A76-A77)))&lt;0,AI77,((AH77+AI77)/2))</f>
        <v/>
      </c>
      <c r="AL77" s="16">
        <f>IF((((AJ77+AK77)/2)+(C77/(DATOS!$B$14*((AJ77+AK77)/2)))^2/(2*9.81)+B77-(E76+(C76/(DATOS!$B$14*E76))^2/(2*9.81)+B76+0.5*(((DATOS!$B$27*C76/(DATOS!$B$14*E76))^2/((DATOS!$B$14*E76)/(DATOS!$B$14+2*E76))^(4/3))+((DATOS!$B$27*C77/(DATOS!$B$14*((AJ77+AK77)/2)))^2/((DATOS!$B$14*((AJ77+AK77)/2))/(DATOS!$B$14+2*((AJ77+AK77)/2)))^(4/3)))*(A76-A77)))&lt;0,((AJ77+AK77)/2),AJ77)</f>
        <v/>
      </c>
      <c r="AM77" s="16">
        <f>IF((((AJ77+AK77)/2)+(C77/(DATOS!$B$14*((AJ77+AK77)/2)))^2/(2*9.81)+B77-(E76+(C76/(DATOS!$B$14*E76))^2/(2*9.81)+B76+0.5*(((DATOS!$B$27*C76/(DATOS!$B$14*E76))^2/((DATOS!$B$14*E76)/(DATOS!$B$14+2*E76))^(4/3))+((DATOS!$B$27*C77/(DATOS!$B$14*((AJ77+AK77)/2)))^2/((DATOS!$B$14*((AJ77+AK77)/2))/(DATOS!$B$14+2*((AJ77+AK77)/2)))^(4/3)))*(A76-A77)))&lt;0,AK77,((AJ77+AK77)/2))</f>
        <v/>
      </c>
      <c r="AN77" s="16">
        <f>IF((((AL77+AM77)/2)+(C77/(DATOS!$B$14*((AL77+AM77)/2)))^2/(2*9.81)+B77-(E76+(C76/(DATOS!$B$14*E76))^2/(2*9.81)+B76+0.5*(((DATOS!$B$27*C76/(DATOS!$B$14*E76))^2/((DATOS!$B$14*E76)/(DATOS!$B$14+2*E76))^(4/3))+((DATOS!$B$27*C77/(DATOS!$B$14*((AL77+AM77)/2)))^2/((DATOS!$B$14*((AL77+AM77)/2))/(DATOS!$B$14+2*((AL77+AM77)/2)))^(4/3)))*(A76-A77)))&lt;0,((AL77+AM77)/2),AL77)</f>
        <v/>
      </c>
      <c r="AO77" s="16">
        <f>IF((((AL77+AM77)/2)+(C77/(DATOS!$B$14*((AL77+AM77)/2)))^2/(2*9.81)+B77-(E76+(C76/(DATOS!$B$14*E76))^2/(2*9.81)+B76+0.5*(((DATOS!$B$27*C76/(DATOS!$B$14*E76))^2/((DATOS!$B$14*E76)/(DATOS!$B$14+2*E76))^(4/3))+((DATOS!$B$27*C77/(DATOS!$B$14*((AL77+AM77)/2)))^2/((DATOS!$B$14*((AL77+AM77)/2))/(DATOS!$B$14+2*((AL77+AM77)/2)))^(4/3)))*(A76-A77)))&lt;0,AM77,((AL77+AM77)/2))</f>
        <v/>
      </c>
      <c r="AP77" s="16">
        <f>IF((((AN77+AO77)/2)+(C77/(DATOS!$B$14*((AN77+AO77)/2)))^2/(2*9.81)+B77-(E76+(C76/(DATOS!$B$14*E76))^2/(2*9.81)+B76+0.5*(((DATOS!$B$27*C76/(DATOS!$B$14*E76))^2/((DATOS!$B$14*E76)/(DATOS!$B$14+2*E76))^(4/3))+((DATOS!$B$27*C77/(DATOS!$B$14*((AN77+AO77)/2)))^2/((DATOS!$B$14*((AN77+AO77)/2))/(DATOS!$B$14+2*((AN77+AO77)/2)))^(4/3)))*(A76-A77)))&lt;0,((AN77+AO77)/2),AN77)</f>
        <v/>
      </c>
      <c r="AQ77" s="16">
        <f>IF((((AN77+AO77)/2)+(C77/(DATOS!$B$14*((AN77+AO77)/2)))^2/(2*9.81)+B77-(E76+(C76/(DATOS!$B$14*E76))^2/(2*9.81)+B76+0.5*(((DATOS!$B$27*C76/(DATOS!$B$14*E76))^2/((DATOS!$B$14*E76)/(DATOS!$B$14+2*E76))^(4/3))+((DATOS!$B$27*C77/(DATOS!$B$14*((AN77+AO77)/2)))^2/((DATOS!$B$14*((AN77+AO77)/2))/(DATOS!$B$14+2*((AN77+AO77)/2)))^(4/3)))*(A76-A77)))&lt;0,AO77,((AN77+AO77)/2))</f>
        <v/>
      </c>
      <c r="AR77" s="16">
        <f>IF((((AP77+AQ77)/2)+(C77/(DATOS!$B$14*((AP77+AQ77)/2)))^2/(2*9.81)+B77-(E76+(C76/(DATOS!$B$14*E76))^2/(2*9.81)+B76+0.5*(((DATOS!$B$27*C76/(DATOS!$B$14*E76))^2/((DATOS!$B$14*E76)/(DATOS!$B$14+2*E76))^(4/3))+((DATOS!$B$27*C77/(DATOS!$B$14*((AP77+AQ77)/2)))^2/((DATOS!$B$14*((AP77+AQ77)/2))/(DATOS!$B$14+2*((AP77+AQ77)/2)))^(4/3)))*(A76-A77)))&lt;0,((AP77+AQ77)/2),AP77)</f>
        <v/>
      </c>
      <c r="AS77" s="16">
        <f>IF((((AP77+AQ77)/2)+(C77/(DATOS!$B$14*((AP77+AQ77)/2)))^2/(2*9.81)+B77-(E76+(C76/(DATOS!$B$14*E76))^2/(2*9.81)+B76+0.5*(((DATOS!$B$27*C76/(DATOS!$B$14*E76))^2/((DATOS!$B$14*E76)/(DATOS!$B$14+2*E76))^(4/3))+((DATOS!$B$27*C77/(DATOS!$B$14*((AP77+AQ77)/2)))^2/((DATOS!$B$14*((AP77+AQ77)/2))/(DATOS!$B$14+2*((AP77+AQ77)/2)))^(4/3)))*(A76-A77)))&lt;0,AQ77,((AP77+AQ77)/2))</f>
        <v/>
      </c>
      <c r="AT77" s="16">
        <f>IF((((AR77+AS77)/2)+(C77/(DATOS!$B$14*((AR77+AS77)/2)))^2/(2*9.81)+B77-(E76+(C76/(DATOS!$B$14*E76))^2/(2*9.81)+B76+0.5*(((DATOS!$B$27*C76/(DATOS!$B$14*E76))^2/((DATOS!$B$14*E76)/(DATOS!$B$14+2*E76))^(4/3))+((DATOS!$B$27*C77/(DATOS!$B$14*((AR77+AS77)/2)))^2/((DATOS!$B$14*((AR77+AS77)/2))/(DATOS!$B$14+2*((AR77+AS77)/2)))^(4/3)))*(A76-A77)))&lt;0,((AR77+AS77)/2),AR77)</f>
        <v/>
      </c>
      <c r="AU77" s="16">
        <f>IF((((AR77+AS77)/2)+(C77/(DATOS!$B$14*((AR77+AS77)/2)))^2/(2*9.81)+B77-(E76+(C76/(DATOS!$B$14*E76))^2/(2*9.81)+B76+0.5*(((DATOS!$B$27*C76/(DATOS!$B$14*E76))^2/((DATOS!$B$14*E76)/(DATOS!$B$14+2*E76))^(4/3))+((DATOS!$B$27*C77/(DATOS!$B$14*((AR77+AS77)/2)))^2/((DATOS!$B$14*((AR77+AS77)/2))/(DATOS!$B$14+2*((AR77+AS77)/2)))^(4/3)))*(A76-A77)))&lt;0,AS77,((AR77+AS77)/2))</f>
        <v/>
      </c>
      <c r="AV77" s="16">
        <f>IF((((AT77+AU77)/2)+(C77/(DATOS!$B$14*((AT77+AU77)/2)))^2/(2*9.81)+B77-(E76+(C76/(DATOS!$B$14*E76))^2/(2*9.81)+B76+0.5*(((DATOS!$B$27*C76/(DATOS!$B$14*E76))^2/((DATOS!$B$14*E76)/(DATOS!$B$14+2*E76))^(4/3))+((DATOS!$B$27*C77/(DATOS!$B$14*((AT77+AU77)/2)))^2/((DATOS!$B$14*((AT77+AU77)/2))/(DATOS!$B$14+2*((AT77+AU77)/2)))^(4/3)))*(A76-A77)))&lt;0,((AT77+AU77)/2),AT77)</f>
        <v/>
      </c>
      <c r="AW77" s="16">
        <f>IF((((AT77+AU77)/2)+(C77/(DATOS!$B$14*((AT77+AU77)/2)))^2/(2*9.81)+B77-(E76+(C76/(DATOS!$B$14*E76))^2/(2*9.81)+B76+0.5*(((DATOS!$B$27*C76/(DATOS!$B$14*E76))^2/((DATOS!$B$14*E76)/(DATOS!$B$14+2*E76))^(4/3))+((DATOS!$B$27*C77/(DATOS!$B$14*((AT77+AU77)/2)))^2/((DATOS!$B$14*((AT77+AU77)/2))/(DATOS!$B$14+2*((AT77+AU77)/2)))^(4/3)))*(A76-A77)))&lt;0,AU77,((AT77+AU77)/2))</f>
        <v/>
      </c>
      <c r="AX77" s="16">
        <f>IF((((AV77+AW77)/2)+(C77/(DATOS!$B$14*((AV77+AW77)/2)))^2/(2*9.81)+B77-(E76+(C76/(DATOS!$B$14*E76))^2/(2*9.81)+B76+0.5*(((DATOS!$B$27*C76/(DATOS!$B$14*E76))^2/((DATOS!$B$14*E76)/(DATOS!$B$14+2*E76))^(4/3))+((DATOS!$B$27*C77/(DATOS!$B$14*((AV77+AW77)/2)))^2/((DATOS!$B$14*((AV77+AW77)/2))/(DATOS!$B$14+2*((AV77+AW77)/2)))^(4/3)))*(A76-A77)))&lt;0,((AV77+AW77)/2),AV77)</f>
        <v/>
      </c>
      <c r="AY77" s="16">
        <f>IF((((AV77+AW77)/2)+(C77/(DATOS!$B$14*((AV77+AW77)/2)))^2/(2*9.81)+B77-(E76+(C76/(DATOS!$B$14*E76))^2/(2*9.81)+B76+0.5*(((DATOS!$B$27*C76/(DATOS!$B$14*E76))^2/((DATOS!$B$14*E76)/(DATOS!$B$14+2*E76))^(4/3))+((DATOS!$B$27*C77/(DATOS!$B$14*((AV77+AW77)/2)))^2/((DATOS!$B$14*((AV77+AW77)/2))/(DATOS!$B$14+2*((AV77+AW77)/2)))^(4/3)))*(A76-A77)))&lt;0,AW77,((AV77+AW77)/2))</f>
        <v/>
      </c>
      <c r="AZ77" s="16">
        <f>IF((((AX77+AY77)/2)+(C77/(DATOS!$B$14*((AX77+AY77)/2)))^2/(2*9.81)+B77-(E76+(C76/(DATOS!$B$14*E76))^2/(2*9.81)+B76+0.5*(((DATOS!$B$27*C76/(DATOS!$B$14*E76))^2/((DATOS!$B$14*E76)/(DATOS!$B$14+2*E76))^(4/3))+((DATOS!$B$27*C77/(DATOS!$B$14*((AX77+AY77)/2)))^2/((DATOS!$B$14*((AX77+AY77)/2))/(DATOS!$B$14+2*((AX77+AY77)/2)))^(4/3)))*(A76-A77)))&lt;0,((AX77+AY77)/2),AX77)</f>
        <v/>
      </c>
      <c r="BA77" s="16">
        <f>IF((((AX77+AY77)/2)+(C77/(DATOS!$B$14*((AX77+AY77)/2)))^2/(2*9.81)+B77-(E76+(C76/(DATOS!$B$14*E76))^2/(2*9.81)+B76+0.5*(((DATOS!$B$27*C76/(DATOS!$B$14*E76))^2/((DATOS!$B$14*E76)/(DATOS!$B$14+2*E76))^(4/3))+((DATOS!$B$27*C77/(DATOS!$B$14*((AX77+AY77)/2)))^2/((DATOS!$B$14*((AX77+AY77)/2))/(DATOS!$B$14+2*((AX77+AY77)/2)))^(4/3)))*(A76-A77)))&lt;0,AY77,((AX77+AY77)/2))</f>
        <v/>
      </c>
      <c r="BB77" s="16">
        <f>IF((((AZ77+BA77)/2)+(C77/(DATOS!$B$14*((AZ77+BA77)/2)))^2/(2*9.81)+B77-(E76+(C76/(DATOS!$B$14*E76))^2/(2*9.81)+B76+0.5*(((DATOS!$B$27*C76/(DATOS!$B$14*E76))^2/((DATOS!$B$14*E76)/(DATOS!$B$14+2*E76))^(4/3))+((DATOS!$B$27*C77/(DATOS!$B$14*((AZ77+BA77)/2)))^2/((DATOS!$B$14*((AZ77+BA77)/2))/(DATOS!$B$14+2*((AZ77+BA77)/2)))^(4/3)))*(A76-A77)))&lt;0,((AZ77+BA77)/2),AZ77)</f>
        <v/>
      </c>
      <c r="BC77" s="16">
        <f>IF((((AZ77+BA77)/2)+(C77/(DATOS!$B$14*((AZ77+BA77)/2)))^2/(2*9.81)+B77-(E76+(C76/(DATOS!$B$14*E76))^2/(2*9.81)+B76+0.5*(((DATOS!$B$27*C76/(DATOS!$B$14*E76))^2/((DATOS!$B$14*E76)/(DATOS!$B$14+2*E76))^(4/3))+((DATOS!$B$27*C77/(DATOS!$B$14*((AZ77+BA77)/2)))^2/((DATOS!$B$14*((AZ77+BA77)/2))/(DATOS!$B$14+2*((AZ77+BA77)/2)))^(4/3)))*(A76-A77)))&lt;0,BA77,((AZ77+BA77)/2))</f>
        <v/>
      </c>
      <c r="BD77" s="16">
        <f>IF((((BB77+BC77)/2)+(C77/(DATOS!$B$14*((BB77+BC77)/2)))^2/(2*9.81)+B77-(E76+(C76/(DATOS!$B$14*E76))^2/(2*9.81)+B76+0.5*(((DATOS!$B$27*C76/(DATOS!$B$14*E76))^2/((DATOS!$B$14*E76)/(DATOS!$B$14+2*E76))^(4/3))+((DATOS!$B$27*C77/(DATOS!$B$14*((BB77+BC77)/2)))^2/((DATOS!$B$14*((BB77+BC77)/2))/(DATOS!$B$14+2*((BB77+BC77)/2)))^(4/3)))*(A76-A77)))&lt;0,((BB77+BC77)/2),BB77)</f>
        <v/>
      </c>
      <c r="BE77" s="16">
        <f>IF((((BB77+BC77)/2)+(C77/(DATOS!$B$14*((BB77+BC77)/2)))^2/(2*9.81)+B77-(E76+(C76/(DATOS!$B$14*E76))^2/(2*9.81)+B76+0.5*(((DATOS!$B$27*C76/(DATOS!$B$14*E76))^2/((DATOS!$B$14*E76)/(DATOS!$B$14+2*E76))^(4/3))+((DATOS!$B$27*C77/(DATOS!$B$14*((BB77+BC77)/2)))^2/((DATOS!$B$14*((BB77+BC77)/2))/(DATOS!$B$14+2*((BB77+BC77)/2)))^(4/3)))*(A76-A77)))&lt;0,BC77,((BB77+BC77)/2))</f>
        <v/>
      </c>
      <c r="BF77" s="16">
        <f>IF((((BD77+BE77)/2)+(C77/(DATOS!$B$14*((BD77+BE77)/2)))^2/(2*9.81)+B77-(E76+(C76/(DATOS!$B$14*E76))^2/(2*9.81)+B76+0.5*(((DATOS!$B$27*C76/(DATOS!$B$14*E76))^2/((DATOS!$B$14*E76)/(DATOS!$B$14+2*E76))^(4/3))+((DATOS!$B$27*C77/(DATOS!$B$14*((BD77+BE77)/2)))^2/((DATOS!$B$14*((BD77+BE77)/2))/(DATOS!$B$14+2*((BD77+BE77)/2)))^(4/3)))*(A76-A77)))&lt;0,((BD77+BE77)/2),BD77)</f>
        <v/>
      </c>
      <c r="BG77" s="16">
        <f>IF((((BD77+BE77)/2)+(C77/(DATOS!$B$14*((BD77+BE77)/2)))^2/(2*9.81)+B77-(E76+(C76/(DATOS!$B$14*E76))^2/(2*9.81)+B76+0.5*(((DATOS!$B$27*C76/(DATOS!$B$14*E76))^2/((DATOS!$B$14*E76)/(DATOS!$B$14+2*E76))^(4/3))+((DATOS!$B$27*C77/(DATOS!$B$14*((BD77+BE77)/2)))^2/((DATOS!$B$14*((BD77+BE77)/2))/(DATOS!$B$14+2*((BD77+BE77)/2)))^(4/3)))*(A76-A77)))&lt;0,BE77,((BD77+BE77)/2))</f>
        <v/>
      </c>
      <c r="BH77" s="16">
        <f>IF((((BF77+BG77)/2)+(C77/(DATOS!$B$14*((BF77+BG77)/2)))^2/(2*9.81)+B77-(E76+(C76/(DATOS!$B$14*E76))^2/(2*9.81)+B76+0.5*(((DATOS!$B$27*C76/(DATOS!$B$14*E76))^2/((DATOS!$B$14*E76)/(DATOS!$B$14+2*E76))^(4/3))+((DATOS!$B$27*C77/(DATOS!$B$14*((BF77+BG77)/2)))^2/((DATOS!$B$14*((BF77+BG77)/2))/(DATOS!$B$14+2*((BF77+BG77)/2)))^(4/3)))*(A76-A77)))&lt;0,((BF77+BG77)/2),BF77)</f>
        <v/>
      </c>
      <c r="BI77" s="16">
        <f>IF((((BF77+BG77)/2)+(C77/(DATOS!$B$14*((BF77+BG77)/2)))^2/(2*9.81)+B77-(E76+(C76/(DATOS!$B$14*E76))^2/(2*9.81)+B76+0.5*(((DATOS!$B$27*C76/(DATOS!$B$14*E76))^2/((DATOS!$B$14*E76)/(DATOS!$B$14+2*E76))^(4/3))+((DATOS!$B$27*C77/(DATOS!$B$14*((BF77+BG77)/2)))^2/((DATOS!$B$14*((BF77+BG77)/2))/(DATOS!$B$14+2*((BF77+BG77)/2)))^(4/3)))*(A76-A77)))&lt;0,BG77,((BF77+BG77)/2))</f>
        <v/>
      </c>
      <c r="BJ77" s="16">
        <f>IF((((BH77+BI77)/2)+(C77/(DATOS!$B$14*((BH77+BI77)/2)))^2/(2*9.81)+B77-(E76+(C76/(DATOS!$B$14*E76))^2/(2*9.81)+B76+0.5*(((DATOS!$B$27*C76/(DATOS!$B$14*E76))^2/((DATOS!$B$14*E76)/(DATOS!$B$14+2*E76))^(4/3))+((DATOS!$B$27*C77/(DATOS!$B$14*((BH77+BI77)/2)))^2/((DATOS!$B$14*((BH77+BI77)/2))/(DATOS!$B$14+2*((BH77+BI77)/2)))^(4/3)))*(A76-A77)))&lt;0,((BH77+BI77)/2),BH77)</f>
        <v/>
      </c>
      <c r="BK77" s="16">
        <f>IF((((BH77+BI77)/2)+(C77/(DATOS!$B$14*((BH77+BI77)/2)))^2/(2*9.81)+B77-(E76+(C76/(DATOS!$B$14*E76))^2/(2*9.81)+B76+0.5*(((DATOS!$B$27*C76/(DATOS!$B$14*E76))^2/((DATOS!$B$14*E76)/(DATOS!$B$14+2*E76))^(4/3))+((DATOS!$B$27*C77/(DATOS!$B$14*((BH77+BI77)/2)))^2/((DATOS!$B$14*((BH77+BI77)/2))/(DATOS!$B$14+2*((BH77+BI77)/2)))^(4/3)))*(A76-A77)))&lt;0,BI77,((BH77+BI77)/2))</f>
        <v/>
      </c>
      <c r="BL77" s="16">
        <f>IF((((BJ77+BK77)/2)+(C77/(DATOS!$B$14*((BJ77+BK77)/2)))^2/(2*9.81)+B77-(E76+(C76/(DATOS!$B$14*E76))^2/(2*9.81)+B76+0.5*(((DATOS!$B$27*C76/(DATOS!$B$14*E76))^2/((DATOS!$B$14*E76)/(DATOS!$B$14+2*E76))^(4/3))+((DATOS!$B$27*C77/(DATOS!$B$14*((BJ77+BK77)/2)))^2/((DATOS!$B$14*((BJ77+BK77)/2))/(DATOS!$B$14+2*((BJ77+BK77)/2)))^(4/3)))*(A76-A77)))&lt;0,((BJ77+BK77)/2),BJ77)</f>
        <v/>
      </c>
      <c r="BM77" s="16">
        <f>IF((((BJ77+BK77)/2)+(C77/(DATOS!$B$14*((BJ77+BK77)/2)))^2/(2*9.81)+B77-(E76+(C76/(DATOS!$B$14*E76))^2/(2*9.81)+B76+0.5*(((DATOS!$B$27*C76/(DATOS!$B$14*E76))^2/((DATOS!$B$14*E76)/(DATOS!$B$14+2*E76))^(4/3))+((DATOS!$B$27*C77/(DATOS!$B$14*((BJ77+BK77)/2)))^2/((DATOS!$B$14*((BJ77+BK77)/2))/(DATOS!$B$14+2*((BJ77+BK77)/2)))^(4/3)))*(A76-A77)))&lt;0,BK77,((BJ77+BK77)/2))</f>
        <v/>
      </c>
      <c r="BN77" s="16">
        <f>IF((((BL77+BM77)/2)+(C77/(DATOS!$B$14*((BL77+BM77)/2)))^2/(2*9.81)+B77-(E76+(C76/(DATOS!$B$14*E76))^2/(2*9.81)+B76+0.5*(((DATOS!$B$27*C76/(DATOS!$B$14*E76))^2/((DATOS!$B$14*E76)/(DATOS!$B$14+2*E76))^(4/3))+((DATOS!$B$27*C77/(DATOS!$B$14*((BL77+BM77)/2)))^2/((DATOS!$B$14*((BL77+BM77)/2))/(DATOS!$B$14+2*((BL77+BM77)/2)))^(4/3)))*(A76-A77)))&lt;0,((BL77+BM77)/2),BL77)</f>
        <v/>
      </c>
      <c r="BO77" s="16">
        <f>IF((((BL77+BM77)/2)+(C77/(DATOS!$B$14*((BL77+BM77)/2)))^2/(2*9.81)+B77-(E76+(C76/(DATOS!$B$14*E76))^2/(2*9.81)+B76+0.5*(((DATOS!$B$27*C76/(DATOS!$B$14*E76))^2/((DATOS!$B$14*E76)/(DATOS!$B$14+2*E76))^(4/3))+((DATOS!$B$27*C77/(DATOS!$B$14*((BL77+BM77)/2)))^2/((DATOS!$B$14*((BL77+BM77)/2))/(DATOS!$B$14+2*((BL77+BM77)/2)))^(4/3)))*(A76-A77)))&lt;0,BM77,((BL77+BM77)/2))</f>
        <v/>
      </c>
      <c r="BP77" s="16">
        <f>IF((((BN77+BO77)/2)+(C77/(DATOS!$B$14*((BN77+BO77)/2)))^2/(2*9.81)+B77-(E76+(C76/(DATOS!$B$14*E76))^2/(2*9.81)+B76+0.5*(((DATOS!$B$27*C76/(DATOS!$B$14*E76))^2/((DATOS!$B$14*E76)/(DATOS!$B$14+2*E76))^(4/3))+((DATOS!$B$27*C77/(DATOS!$B$14*((BN77+BO77)/2)))^2/((DATOS!$B$14*((BN77+BO77)/2))/(DATOS!$B$14+2*((BN77+BO77)/2)))^(4/3)))*(A76-A77)))&lt;0,((BN77+BO77)/2),BN77)</f>
        <v/>
      </c>
      <c r="BQ77" s="16">
        <f>IF((((BN77+BO77)/2)+(C77/(DATOS!$B$14*((BN77+BO77)/2)))^2/(2*9.81)+B77-(E76+(C76/(DATOS!$B$14*E76))^2/(2*9.81)+B76+0.5*(((DATOS!$B$27*C76/(DATOS!$B$14*E76))^2/((DATOS!$B$14*E76)/(DATOS!$B$14+2*E76))^(4/3))+((DATOS!$B$27*C77/(DATOS!$B$14*((BN77+BO77)/2)))^2/((DATOS!$B$14*((BN77+BO77)/2))/(DATOS!$B$14+2*((BN77+BO77)/2)))^(4/3)))*(A76-A77)))&lt;0,BO77,((BN77+BO77)/2))</f>
        <v/>
      </c>
      <c r="BR77" s="16">
        <f>IF((((BP77+BQ77)/2)+(C77/(DATOS!$B$14*((BP77+BQ77)/2)))^2/(2*9.81)+B77-(E76+(C76/(DATOS!$B$14*E76))^2/(2*9.81)+B76+0.5*(((DATOS!$B$27*C76/(DATOS!$B$14*E76))^2/((DATOS!$B$14*E76)/(DATOS!$B$14+2*E76))^(4/3))+((DATOS!$B$27*C77/(DATOS!$B$14*((BP77+BQ77)/2)))^2/((DATOS!$B$14*((BP77+BQ77)/2))/(DATOS!$B$14+2*((BP77+BQ77)/2)))^(4/3)))*(A76-A77)))&lt;0,((BP77+BQ77)/2),BP77)</f>
        <v/>
      </c>
      <c r="BS77" s="16">
        <f>IF((((BP77+BQ77)/2)+(C77/(DATOS!$B$14*((BP77+BQ77)/2)))^2/(2*9.81)+B77-(E76+(C76/(DATOS!$B$14*E76))^2/(2*9.81)+B76+0.5*(((DATOS!$B$27*C76/(DATOS!$B$14*E76))^2/((DATOS!$B$14*E76)/(DATOS!$B$14+2*E76))^(4/3))+((DATOS!$B$27*C77/(DATOS!$B$14*((BP77+BQ77)/2)))^2/((DATOS!$B$14*((BP77+BQ77)/2))/(DATOS!$B$14+2*((BP77+BQ77)/2)))^(4/3)))*(A76-A77)))&lt;0,BQ77,((BP77+BQ77)/2))</f>
        <v/>
      </c>
      <c r="BT77" s="16">
        <f>IF((((BR77+BS77)/2)+(C77/(DATOS!$B$14*((BR77+BS77)/2)))^2/(2*9.81)+B77-(E76+(C76/(DATOS!$B$14*E76))^2/(2*9.81)+B76+0.5*(((DATOS!$B$27*C76/(DATOS!$B$14*E76))^2/((DATOS!$B$14*E76)/(DATOS!$B$14+2*E76))^(4/3))+((DATOS!$B$27*C77/(DATOS!$B$14*((BR77+BS77)/2)))^2/((DATOS!$B$14*((BR77+BS77)/2))/(DATOS!$B$14+2*((BR77+BS77)/2)))^(4/3)))*(A76-A77)))&lt;0,((BR77+BS77)/2),BR77)</f>
        <v/>
      </c>
      <c r="BU77" s="16">
        <f>IF((((BR77+BS77)/2)+(C77/(DATOS!$B$14*((BR77+BS77)/2)))^2/(2*9.81)+B77-(E76+(C76/(DATOS!$B$14*E76))^2/(2*9.81)+B76+0.5*(((DATOS!$B$27*C76/(DATOS!$B$14*E76))^2/((DATOS!$B$14*E76)/(DATOS!$B$14+2*E76))^(4/3))+((DATOS!$B$27*C77/(DATOS!$B$14*((BR77+BS77)/2)))^2/((DATOS!$B$14*((BR77+BS77)/2))/(DATOS!$B$14+2*((BR77+BS77)/2)))^(4/3)))*(A76-A77)))&lt;0,BS77,((BR77+BS77)/2))</f>
        <v/>
      </c>
    </row>
    <row r="78">
      <c r="A78" s="30" t="n">
        <v>2</v>
      </c>
      <c r="B78" s="21">
        <f>DATOS!$B$16-DATOS!$B$19*A78</f>
        <v/>
      </c>
      <c r="C78" s="21">
        <f>IF(A78&lt;CAUDALES!$B$13,CAUDALES!$D$12,IF(A78&lt;CAUDALES!$B$14,CAUDALES!$D$13,IF(A78&lt;CAUDALES!$B$15,CAUDALES!$D$14,CAUDALES!$D$15)))/1000</f>
        <v/>
      </c>
      <c r="D78" s="21">
        <f>(C78^2/(9.81*DATOS!$B$14^2))^(1/3)</f>
        <v/>
      </c>
      <c r="E78" s="29">
        <f>(BT78+BU78)/2</f>
        <v/>
      </c>
      <c r="F78" s="21">
        <f>B78+E78</f>
        <v/>
      </c>
      <c r="G78" s="17">
        <f>C78/(DATOS!$B$14*E78)</f>
        <v/>
      </c>
      <c r="H78" s="17">
        <f>G78/SQRT(9.81*E78)</f>
        <v/>
      </c>
      <c r="I78" s="21">
        <f>IF(A78&lt;=DATOS!$B$20,DATOS!$B$21-IF(AND(A78&gt;=DATOS!$B$23,A78&lt;DATOS!$B$24),DATOS!$B$25,DATOS!$B$22),B78+DATOS!$B$26)</f>
        <v/>
      </c>
      <c r="J78" s="17">
        <f>I78-B78</f>
        <v/>
      </c>
      <c r="K78" s="31">
        <f>E78/J78</f>
        <v/>
      </c>
      <c r="L78" s="21">
        <f>I78-F78</f>
        <v/>
      </c>
      <c r="M78" s="32">
        <f>IF(AND(K78&lt;=DATOS!$B$29,L78&gt;=DATOS!$B$30),"CUMPLE","NO CUMPLE")</f>
        <v/>
      </c>
      <c r="N78" s="13">
        <f>IF(A78&gt;DATOS!$B$20,"cubierto - tramo final",IF(AND(A78&gt;=DATOS!$B$23,A78&lt;DATOS!$B$24),"cubierto - camiones","cubierto"))</f>
        <v/>
      </c>
      <c r="P78" s="16">
        <f>D78*1.001</f>
        <v/>
      </c>
      <c r="Q78" s="16" t="n">
        <v>2</v>
      </c>
      <c r="R78" s="16">
        <f>IF((((P78+Q78)/2)+(C78/(DATOS!$B$14*((P78+Q78)/2)))^2/(2*9.81)+B78-(E77+(C77/(DATOS!$B$14*E77))^2/(2*9.81)+B77+0.5*(((DATOS!$B$27*C77/(DATOS!$B$14*E77))^2/((DATOS!$B$14*E77)/(DATOS!$B$14+2*E77))^(4/3))+((DATOS!$B$27*C78/(DATOS!$B$14*((P78+Q78)/2)))^2/((DATOS!$B$14*((P78+Q78)/2))/(DATOS!$B$14+2*((P78+Q78)/2)))^(4/3)))*(A77-A78)))&lt;0,((P78+Q78)/2),P78)</f>
        <v/>
      </c>
      <c r="S78" s="16">
        <f>IF((((P78+Q78)/2)+(C78/(DATOS!$B$14*((P78+Q78)/2)))^2/(2*9.81)+B78-(E77+(C77/(DATOS!$B$14*E77))^2/(2*9.81)+B77+0.5*(((DATOS!$B$27*C77/(DATOS!$B$14*E77))^2/((DATOS!$B$14*E77)/(DATOS!$B$14+2*E77))^(4/3))+((DATOS!$B$27*C78/(DATOS!$B$14*((P78+Q78)/2)))^2/((DATOS!$B$14*((P78+Q78)/2))/(DATOS!$B$14+2*((P78+Q78)/2)))^(4/3)))*(A77-A78)))&lt;0,Q78,((P78+Q78)/2))</f>
        <v/>
      </c>
      <c r="T78" s="16">
        <f>IF((((R78+S78)/2)+(C78/(DATOS!$B$14*((R78+S78)/2)))^2/(2*9.81)+B78-(E77+(C77/(DATOS!$B$14*E77))^2/(2*9.81)+B77+0.5*(((DATOS!$B$27*C77/(DATOS!$B$14*E77))^2/((DATOS!$B$14*E77)/(DATOS!$B$14+2*E77))^(4/3))+((DATOS!$B$27*C78/(DATOS!$B$14*((R78+S78)/2)))^2/((DATOS!$B$14*((R78+S78)/2))/(DATOS!$B$14+2*((R78+S78)/2)))^(4/3)))*(A77-A78)))&lt;0,((R78+S78)/2),R78)</f>
        <v/>
      </c>
      <c r="U78" s="16">
        <f>IF((((R78+S78)/2)+(C78/(DATOS!$B$14*((R78+S78)/2)))^2/(2*9.81)+B78-(E77+(C77/(DATOS!$B$14*E77))^2/(2*9.81)+B77+0.5*(((DATOS!$B$27*C77/(DATOS!$B$14*E77))^2/((DATOS!$B$14*E77)/(DATOS!$B$14+2*E77))^(4/3))+((DATOS!$B$27*C78/(DATOS!$B$14*((R78+S78)/2)))^2/((DATOS!$B$14*((R78+S78)/2))/(DATOS!$B$14+2*((R78+S78)/2)))^(4/3)))*(A77-A78)))&lt;0,S78,((R78+S78)/2))</f>
        <v/>
      </c>
      <c r="V78" s="16">
        <f>IF((((T78+U78)/2)+(C78/(DATOS!$B$14*((T78+U78)/2)))^2/(2*9.81)+B78-(E77+(C77/(DATOS!$B$14*E77))^2/(2*9.81)+B77+0.5*(((DATOS!$B$27*C77/(DATOS!$B$14*E77))^2/((DATOS!$B$14*E77)/(DATOS!$B$14+2*E77))^(4/3))+((DATOS!$B$27*C78/(DATOS!$B$14*((T78+U78)/2)))^2/((DATOS!$B$14*((T78+U78)/2))/(DATOS!$B$14+2*((T78+U78)/2)))^(4/3)))*(A77-A78)))&lt;0,((T78+U78)/2),T78)</f>
        <v/>
      </c>
      <c r="W78" s="16">
        <f>IF((((T78+U78)/2)+(C78/(DATOS!$B$14*((T78+U78)/2)))^2/(2*9.81)+B78-(E77+(C77/(DATOS!$B$14*E77))^2/(2*9.81)+B77+0.5*(((DATOS!$B$27*C77/(DATOS!$B$14*E77))^2/((DATOS!$B$14*E77)/(DATOS!$B$14+2*E77))^(4/3))+((DATOS!$B$27*C78/(DATOS!$B$14*((T78+U78)/2)))^2/((DATOS!$B$14*((T78+U78)/2))/(DATOS!$B$14+2*((T78+U78)/2)))^(4/3)))*(A77-A78)))&lt;0,U78,((T78+U78)/2))</f>
        <v/>
      </c>
      <c r="X78" s="16">
        <f>IF((((V78+W78)/2)+(C78/(DATOS!$B$14*((V78+W78)/2)))^2/(2*9.81)+B78-(E77+(C77/(DATOS!$B$14*E77))^2/(2*9.81)+B77+0.5*(((DATOS!$B$27*C77/(DATOS!$B$14*E77))^2/((DATOS!$B$14*E77)/(DATOS!$B$14+2*E77))^(4/3))+((DATOS!$B$27*C78/(DATOS!$B$14*((V78+W78)/2)))^2/((DATOS!$B$14*((V78+W78)/2))/(DATOS!$B$14+2*((V78+W78)/2)))^(4/3)))*(A77-A78)))&lt;0,((V78+W78)/2),V78)</f>
        <v/>
      </c>
      <c r="Y78" s="16">
        <f>IF((((V78+W78)/2)+(C78/(DATOS!$B$14*((V78+W78)/2)))^2/(2*9.81)+B78-(E77+(C77/(DATOS!$B$14*E77))^2/(2*9.81)+B77+0.5*(((DATOS!$B$27*C77/(DATOS!$B$14*E77))^2/((DATOS!$B$14*E77)/(DATOS!$B$14+2*E77))^(4/3))+((DATOS!$B$27*C78/(DATOS!$B$14*((V78+W78)/2)))^2/((DATOS!$B$14*((V78+W78)/2))/(DATOS!$B$14+2*((V78+W78)/2)))^(4/3)))*(A77-A78)))&lt;0,W78,((V78+W78)/2))</f>
        <v/>
      </c>
      <c r="Z78" s="16">
        <f>IF((((X78+Y78)/2)+(C78/(DATOS!$B$14*((X78+Y78)/2)))^2/(2*9.81)+B78-(E77+(C77/(DATOS!$B$14*E77))^2/(2*9.81)+B77+0.5*(((DATOS!$B$27*C77/(DATOS!$B$14*E77))^2/((DATOS!$B$14*E77)/(DATOS!$B$14+2*E77))^(4/3))+((DATOS!$B$27*C78/(DATOS!$B$14*((X78+Y78)/2)))^2/((DATOS!$B$14*((X78+Y78)/2))/(DATOS!$B$14+2*((X78+Y78)/2)))^(4/3)))*(A77-A78)))&lt;0,((X78+Y78)/2),X78)</f>
        <v/>
      </c>
      <c r="AA78" s="16">
        <f>IF((((X78+Y78)/2)+(C78/(DATOS!$B$14*((X78+Y78)/2)))^2/(2*9.81)+B78-(E77+(C77/(DATOS!$B$14*E77))^2/(2*9.81)+B77+0.5*(((DATOS!$B$27*C77/(DATOS!$B$14*E77))^2/((DATOS!$B$14*E77)/(DATOS!$B$14+2*E77))^(4/3))+((DATOS!$B$27*C78/(DATOS!$B$14*((X78+Y78)/2)))^2/((DATOS!$B$14*((X78+Y78)/2))/(DATOS!$B$14+2*((X78+Y78)/2)))^(4/3)))*(A77-A78)))&lt;0,Y78,((X78+Y78)/2))</f>
        <v/>
      </c>
      <c r="AB78" s="16">
        <f>IF((((Z78+AA78)/2)+(C78/(DATOS!$B$14*((Z78+AA78)/2)))^2/(2*9.81)+B78-(E77+(C77/(DATOS!$B$14*E77))^2/(2*9.81)+B77+0.5*(((DATOS!$B$27*C77/(DATOS!$B$14*E77))^2/((DATOS!$B$14*E77)/(DATOS!$B$14+2*E77))^(4/3))+((DATOS!$B$27*C78/(DATOS!$B$14*((Z78+AA78)/2)))^2/((DATOS!$B$14*((Z78+AA78)/2))/(DATOS!$B$14+2*((Z78+AA78)/2)))^(4/3)))*(A77-A78)))&lt;0,((Z78+AA78)/2),Z78)</f>
        <v/>
      </c>
      <c r="AC78" s="16">
        <f>IF((((Z78+AA78)/2)+(C78/(DATOS!$B$14*((Z78+AA78)/2)))^2/(2*9.81)+B78-(E77+(C77/(DATOS!$B$14*E77))^2/(2*9.81)+B77+0.5*(((DATOS!$B$27*C77/(DATOS!$B$14*E77))^2/((DATOS!$B$14*E77)/(DATOS!$B$14+2*E77))^(4/3))+((DATOS!$B$27*C78/(DATOS!$B$14*((Z78+AA78)/2)))^2/((DATOS!$B$14*((Z78+AA78)/2))/(DATOS!$B$14+2*((Z78+AA78)/2)))^(4/3)))*(A77-A78)))&lt;0,AA78,((Z78+AA78)/2))</f>
        <v/>
      </c>
      <c r="AD78" s="16">
        <f>IF((((AB78+AC78)/2)+(C78/(DATOS!$B$14*((AB78+AC78)/2)))^2/(2*9.81)+B78-(E77+(C77/(DATOS!$B$14*E77))^2/(2*9.81)+B77+0.5*(((DATOS!$B$27*C77/(DATOS!$B$14*E77))^2/((DATOS!$B$14*E77)/(DATOS!$B$14+2*E77))^(4/3))+((DATOS!$B$27*C78/(DATOS!$B$14*((AB78+AC78)/2)))^2/((DATOS!$B$14*((AB78+AC78)/2))/(DATOS!$B$14+2*((AB78+AC78)/2)))^(4/3)))*(A77-A78)))&lt;0,((AB78+AC78)/2),AB78)</f>
        <v/>
      </c>
      <c r="AE78" s="16">
        <f>IF((((AB78+AC78)/2)+(C78/(DATOS!$B$14*((AB78+AC78)/2)))^2/(2*9.81)+B78-(E77+(C77/(DATOS!$B$14*E77))^2/(2*9.81)+B77+0.5*(((DATOS!$B$27*C77/(DATOS!$B$14*E77))^2/((DATOS!$B$14*E77)/(DATOS!$B$14+2*E77))^(4/3))+((DATOS!$B$27*C78/(DATOS!$B$14*((AB78+AC78)/2)))^2/((DATOS!$B$14*((AB78+AC78)/2))/(DATOS!$B$14+2*((AB78+AC78)/2)))^(4/3)))*(A77-A78)))&lt;0,AC78,((AB78+AC78)/2))</f>
        <v/>
      </c>
      <c r="AF78" s="16">
        <f>IF((((AD78+AE78)/2)+(C78/(DATOS!$B$14*((AD78+AE78)/2)))^2/(2*9.81)+B78-(E77+(C77/(DATOS!$B$14*E77))^2/(2*9.81)+B77+0.5*(((DATOS!$B$27*C77/(DATOS!$B$14*E77))^2/((DATOS!$B$14*E77)/(DATOS!$B$14+2*E77))^(4/3))+((DATOS!$B$27*C78/(DATOS!$B$14*((AD78+AE78)/2)))^2/((DATOS!$B$14*((AD78+AE78)/2))/(DATOS!$B$14+2*((AD78+AE78)/2)))^(4/3)))*(A77-A78)))&lt;0,((AD78+AE78)/2),AD78)</f>
        <v/>
      </c>
      <c r="AG78" s="16">
        <f>IF((((AD78+AE78)/2)+(C78/(DATOS!$B$14*((AD78+AE78)/2)))^2/(2*9.81)+B78-(E77+(C77/(DATOS!$B$14*E77))^2/(2*9.81)+B77+0.5*(((DATOS!$B$27*C77/(DATOS!$B$14*E77))^2/((DATOS!$B$14*E77)/(DATOS!$B$14+2*E77))^(4/3))+((DATOS!$B$27*C78/(DATOS!$B$14*((AD78+AE78)/2)))^2/((DATOS!$B$14*((AD78+AE78)/2))/(DATOS!$B$14+2*((AD78+AE78)/2)))^(4/3)))*(A77-A78)))&lt;0,AE78,((AD78+AE78)/2))</f>
        <v/>
      </c>
      <c r="AH78" s="16">
        <f>IF((((AF78+AG78)/2)+(C78/(DATOS!$B$14*((AF78+AG78)/2)))^2/(2*9.81)+B78-(E77+(C77/(DATOS!$B$14*E77))^2/(2*9.81)+B77+0.5*(((DATOS!$B$27*C77/(DATOS!$B$14*E77))^2/((DATOS!$B$14*E77)/(DATOS!$B$14+2*E77))^(4/3))+((DATOS!$B$27*C78/(DATOS!$B$14*((AF78+AG78)/2)))^2/((DATOS!$B$14*((AF78+AG78)/2))/(DATOS!$B$14+2*((AF78+AG78)/2)))^(4/3)))*(A77-A78)))&lt;0,((AF78+AG78)/2),AF78)</f>
        <v/>
      </c>
      <c r="AI78" s="16">
        <f>IF((((AF78+AG78)/2)+(C78/(DATOS!$B$14*((AF78+AG78)/2)))^2/(2*9.81)+B78-(E77+(C77/(DATOS!$B$14*E77))^2/(2*9.81)+B77+0.5*(((DATOS!$B$27*C77/(DATOS!$B$14*E77))^2/((DATOS!$B$14*E77)/(DATOS!$B$14+2*E77))^(4/3))+((DATOS!$B$27*C78/(DATOS!$B$14*((AF78+AG78)/2)))^2/((DATOS!$B$14*((AF78+AG78)/2))/(DATOS!$B$14+2*((AF78+AG78)/2)))^(4/3)))*(A77-A78)))&lt;0,AG78,((AF78+AG78)/2))</f>
        <v/>
      </c>
      <c r="AJ78" s="16">
        <f>IF((((AH78+AI78)/2)+(C78/(DATOS!$B$14*((AH78+AI78)/2)))^2/(2*9.81)+B78-(E77+(C77/(DATOS!$B$14*E77))^2/(2*9.81)+B77+0.5*(((DATOS!$B$27*C77/(DATOS!$B$14*E77))^2/((DATOS!$B$14*E77)/(DATOS!$B$14+2*E77))^(4/3))+((DATOS!$B$27*C78/(DATOS!$B$14*((AH78+AI78)/2)))^2/((DATOS!$B$14*((AH78+AI78)/2))/(DATOS!$B$14+2*((AH78+AI78)/2)))^(4/3)))*(A77-A78)))&lt;0,((AH78+AI78)/2),AH78)</f>
        <v/>
      </c>
      <c r="AK78" s="16">
        <f>IF((((AH78+AI78)/2)+(C78/(DATOS!$B$14*((AH78+AI78)/2)))^2/(2*9.81)+B78-(E77+(C77/(DATOS!$B$14*E77))^2/(2*9.81)+B77+0.5*(((DATOS!$B$27*C77/(DATOS!$B$14*E77))^2/((DATOS!$B$14*E77)/(DATOS!$B$14+2*E77))^(4/3))+((DATOS!$B$27*C78/(DATOS!$B$14*((AH78+AI78)/2)))^2/((DATOS!$B$14*((AH78+AI78)/2))/(DATOS!$B$14+2*((AH78+AI78)/2)))^(4/3)))*(A77-A78)))&lt;0,AI78,((AH78+AI78)/2))</f>
        <v/>
      </c>
      <c r="AL78" s="16">
        <f>IF((((AJ78+AK78)/2)+(C78/(DATOS!$B$14*((AJ78+AK78)/2)))^2/(2*9.81)+B78-(E77+(C77/(DATOS!$B$14*E77))^2/(2*9.81)+B77+0.5*(((DATOS!$B$27*C77/(DATOS!$B$14*E77))^2/((DATOS!$B$14*E77)/(DATOS!$B$14+2*E77))^(4/3))+((DATOS!$B$27*C78/(DATOS!$B$14*((AJ78+AK78)/2)))^2/((DATOS!$B$14*((AJ78+AK78)/2))/(DATOS!$B$14+2*((AJ78+AK78)/2)))^(4/3)))*(A77-A78)))&lt;0,((AJ78+AK78)/2),AJ78)</f>
        <v/>
      </c>
      <c r="AM78" s="16">
        <f>IF((((AJ78+AK78)/2)+(C78/(DATOS!$B$14*((AJ78+AK78)/2)))^2/(2*9.81)+B78-(E77+(C77/(DATOS!$B$14*E77))^2/(2*9.81)+B77+0.5*(((DATOS!$B$27*C77/(DATOS!$B$14*E77))^2/((DATOS!$B$14*E77)/(DATOS!$B$14+2*E77))^(4/3))+((DATOS!$B$27*C78/(DATOS!$B$14*((AJ78+AK78)/2)))^2/((DATOS!$B$14*((AJ78+AK78)/2))/(DATOS!$B$14+2*((AJ78+AK78)/2)))^(4/3)))*(A77-A78)))&lt;0,AK78,((AJ78+AK78)/2))</f>
        <v/>
      </c>
      <c r="AN78" s="16">
        <f>IF((((AL78+AM78)/2)+(C78/(DATOS!$B$14*((AL78+AM78)/2)))^2/(2*9.81)+B78-(E77+(C77/(DATOS!$B$14*E77))^2/(2*9.81)+B77+0.5*(((DATOS!$B$27*C77/(DATOS!$B$14*E77))^2/((DATOS!$B$14*E77)/(DATOS!$B$14+2*E77))^(4/3))+((DATOS!$B$27*C78/(DATOS!$B$14*((AL78+AM78)/2)))^2/((DATOS!$B$14*((AL78+AM78)/2))/(DATOS!$B$14+2*((AL78+AM78)/2)))^(4/3)))*(A77-A78)))&lt;0,((AL78+AM78)/2),AL78)</f>
        <v/>
      </c>
      <c r="AO78" s="16">
        <f>IF((((AL78+AM78)/2)+(C78/(DATOS!$B$14*((AL78+AM78)/2)))^2/(2*9.81)+B78-(E77+(C77/(DATOS!$B$14*E77))^2/(2*9.81)+B77+0.5*(((DATOS!$B$27*C77/(DATOS!$B$14*E77))^2/((DATOS!$B$14*E77)/(DATOS!$B$14+2*E77))^(4/3))+((DATOS!$B$27*C78/(DATOS!$B$14*((AL78+AM78)/2)))^2/((DATOS!$B$14*((AL78+AM78)/2))/(DATOS!$B$14+2*((AL78+AM78)/2)))^(4/3)))*(A77-A78)))&lt;0,AM78,((AL78+AM78)/2))</f>
        <v/>
      </c>
      <c r="AP78" s="16">
        <f>IF((((AN78+AO78)/2)+(C78/(DATOS!$B$14*((AN78+AO78)/2)))^2/(2*9.81)+B78-(E77+(C77/(DATOS!$B$14*E77))^2/(2*9.81)+B77+0.5*(((DATOS!$B$27*C77/(DATOS!$B$14*E77))^2/((DATOS!$B$14*E77)/(DATOS!$B$14+2*E77))^(4/3))+((DATOS!$B$27*C78/(DATOS!$B$14*((AN78+AO78)/2)))^2/((DATOS!$B$14*((AN78+AO78)/2))/(DATOS!$B$14+2*((AN78+AO78)/2)))^(4/3)))*(A77-A78)))&lt;0,((AN78+AO78)/2),AN78)</f>
        <v/>
      </c>
      <c r="AQ78" s="16">
        <f>IF((((AN78+AO78)/2)+(C78/(DATOS!$B$14*((AN78+AO78)/2)))^2/(2*9.81)+B78-(E77+(C77/(DATOS!$B$14*E77))^2/(2*9.81)+B77+0.5*(((DATOS!$B$27*C77/(DATOS!$B$14*E77))^2/((DATOS!$B$14*E77)/(DATOS!$B$14+2*E77))^(4/3))+((DATOS!$B$27*C78/(DATOS!$B$14*((AN78+AO78)/2)))^2/((DATOS!$B$14*((AN78+AO78)/2))/(DATOS!$B$14+2*((AN78+AO78)/2)))^(4/3)))*(A77-A78)))&lt;0,AO78,((AN78+AO78)/2))</f>
        <v/>
      </c>
      <c r="AR78" s="16">
        <f>IF((((AP78+AQ78)/2)+(C78/(DATOS!$B$14*((AP78+AQ78)/2)))^2/(2*9.81)+B78-(E77+(C77/(DATOS!$B$14*E77))^2/(2*9.81)+B77+0.5*(((DATOS!$B$27*C77/(DATOS!$B$14*E77))^2/((DATOS!$B$14*E77)/(DATOS!$B$14+2*E77))^(4/3))+((DATOS!$B$27*C78/(DATOS!$B$14*((AP78+AQ78)/2)))^2/((DATOS!$B$14*((AP78+AQ78)/2))/(DATOS!$B$14+2*((AP78+AQ78)/2)))^(4/3)))*(A77-A78)))&lt;0,((AP78+AQ78)/2),AP78)</f>
        <v/>
      </c>
      <c r="AS78" s="16">
        <f>IF((((AP78+AQ78)/2)+(C78/(DATOS!$B$14*((AP78+AQ78)/2)))^2/(2*9.81)+B78-(E77+(C77/(DATOS!$B$14*E77))^2/(2*9.81)+B77+0.5*(((DATOS!$B$27*C77/(DATOS!$B$14*E77))^2/((DATOS!$B$14*E77)/(DATOS!$B$14+2*E77))^(4/3))+((DATOS!$B$27*C78/(DATOS!$B$14*((AP78+AQ78)/2)))^2/((DATOS!$B$14*((AP78+AQ78)/2))/(DATOS!$B$14+2*((AP78+AQ78)/2)))^(4/3)))*(A77-A78)))&lt;0,AQ78,((AP78+AQ78)/2))</f>
        <v/>
      </c>
      <c r="AT78" s="16">
        <f>IF((((AR78+AS78)/2)+(C78/(DATOS!$B$14*((AR78+AS78)/2)))^2/(2*9.81)+B78-(E77+(C77/(DATOS!$B$14*E77))^2/(2*9.81)+B77+0.5*(((DATOS!$B$27*C77/(DATOS!$B$14*E77))^2/((DATOS!$B$14*E77)/(DATOS!$B$14+2*E77))^(4/3))+((DATOS!$B$27*C78/(DATOS!$B$14*((AR78+AS78)/2)))^2/((DATOS!$B$14*((AR78+AS78)/2))/(DATOS!$B$14+2*((AR78+AS78)/2)))^(4/3)))*(A77-A78)))&lt;0,((AR78+AS78)/2),AR78)</f>
        <v/>
      </c>
      <c r="AU78" s="16">
        <f>IF((((AR78+AS78)/2)+(C78/(DATOS!$B$14*((AR78+AS78)/2)))^2/(2*9.81)+B78-(E77+(C77/(DATOS!$B$14*E77))^2/(2*9.81)+B77+0.5*(((DATOS!$B$27*C77/(DATOS!$B$14*E77))^2/((DATOS!$B$14*E77)/(DATOS!$B$14+2*E77))^(4/3))+((DATOS!$B$27*C78/(DATOS!$B$14*((AR78+AS78)/2)))^2/((DATOS!$B$14*((AR78+AS78)/2))/(DATOS!$B$14+2*((AR78+AS78)/2)))^(4/3)))*(A77-A78)))&lt;0,AS78,((AR78+AS78)/2))</f>
        <v/>
      </c>
      <c r="AV78" s="16">
        <f>IF((((AT78+AU78)/2)+(C78/(DATOS!$B$14*((AT78+AU78)/2)))^2/(2*9.81)+B78-(E77+(C77/(DATOS!$B$14*E77))^2/(2*9.81)+B77+0.5*(((DATOS!$B$27*C77/(DATOS!$B$14*E77))^2/((DATOS!$B$14*E77)/(DATOS!$B$14+2*E77))^(4/3))+((DATOS!$B$27*C78/(DATOS!$B$14*((AT78+AU78)/2)))^2/((DATOS!$B$14*((AT78+AU78)/2))/(DATOS!$B$14+2*((AT78+AU78)/2)))^(4/3)))*(A77-A78)))&lt;0,((AT78+AU78)/2),AT78)</f>
        <v/>
      </c>
      <c r="AW78" s="16">
        <f>IF((((AT78+AU78)/2)+(C78/(DATOS!$B$14*((AT78+AU78)/2)))^2/(2*9.81)+B78-(E77+(C77/(DATOS!$B$14*E77))^2/(2*9.81)+B77+0.5*(((DATOS!$B$27*C77/(DATOS!$B$14*E77))^2/((DATOS!$B$14*E77)/(DATOS!$B$14+2*E77))^(4/3))+((DATOS!$B$27*C78/(DATOS!$B$14*((AT78+AU78)/2)))^2/((DATOS!$B$14*((AT78+AU78)/2))/(DATOS!$B$14+2*((AT78+AU78)/2)))^(4/3)))*(A77-A78)))&lt;0,AU78,((AT78+AU78)/2))</f>
        <v/>
      </c>
      <c r="AX78" s="16">
        <f>IF((((AV78+AW78)/2)+(C78/(DATOS!$B$14*((AV78+AW78)/2)))^2/(2*9.81)+B78-(E77+(C77/(DATOS!$B$14*E77))^2/(2*9.81)+B77+0.5*(((DATOS!$B$27*C77/(DATOS!$B$14*E77))^2/((DATOS!$B$14*E77)/(DATOS!$B$14+2*E77))^(4/3))+((DATOS!$B$27*C78/(DATOS!$B$14*((AV78+AW78)/2)))^2/((DATOS!$B$14*((AV78+AW78)/2))/(DATOS!$B$14+2*((AV78+AW78)/2)))^(4/3)))*(A77-A78)))&lt;0,((AV78+AW78)/2),AV78)</f>
        <v/>
      </c>
      <c r="AY78" s="16">
        <f>IF((((AV78+AW78)/2)+(C78/(DATOS!$B$14*((AV78+AW78)/2)))^2/(2*9.81)+B78-(E77+(C77/(DATOS!$B$14*E77))^2/(2*9.81)+B77+0.5*(((DATOS!$B$27*C77/(DATOS!$B$14*E77))^2/((DATOS!$B$14*E77)/(DATOS!$B$14+2*E77))^(4/3))+((DATOS!$B$27*C78/(DATOS!$B$14*((AV78+AW78)/2)))^2/((DATOS!$B$14*((AV78+AW78)/2))/(DATOS!$B$14+2*((AV78+AW78)/2)))^(4/3)))*(A77-A78)))&lt;0,AW78,((AV78+AW78)/2))</f>
        <v/>
      </c>
      <c r="AZ78" s="16">
        <f>IF((((AX78+AY78)/2)+(C78/(DATOS!$B$14*((AX78+AY78)/2)))^2/(2*9.81)+B78-(E77+(C77/(DATOS!$B$14*E77))^2/(2*9.81)+B77+0.5*(((DATOS!$B$27*C77/(DATOS!$B$14*E77))^2/((DATOS!$B$14*E77)/(DATOS!$B$14+2*E77))^(4/3))+((DATOS!$B$27*C78/(DATOS!$B$14*((AX78+AY78)/2)))^2/((DATOS!$B$14*((AX78+AY78)/2))/(DATOS!$B$14+2*((AX78+AY78)/2)))^(4/3)))*(A77-A78)))&lt;0,((AX78+AY78)/2),AX78)</f>
        <v/>
      </c>
      <c r="BA78" s="16">
        <f>IF((((AX78+AY78)/2)+(C78/(DATOS!$B$14*((AX78+AY78)/2)))^2/(2*9.81)+B78-(E77+(C77/(DATOS!$B$14*E77))^2/(2*9.81)+B77+0.5*(((DATOS!$B$27*C77/(DATOS!$B$14*E77))^2/((DATOS!$B$14*E77)/(DATOS!$B$14+2*E77))^(4/3))+((DATOS!$B$27*C78/(DATOS!$B$14*((AX78+AY78)/2)))^2/((DATOS!$B$14*((AX78+AY78)/2))/(DATOS!$B$14+2*((AX78+AY78)/2)))^(4/3)))*(A77-A78)))&lt;0,AY78,((AX78+AY78)/2))</f>
        <v/>
      </c>
      <c r="BB78" s="16">
        <f>IF((((AZ78+BA78)/2)+(C78/(DATOS!$B$14*((AZ78+BA78)/2)))^2/(2*9.81)+B78-(E77+(C77/(DATOS!$B$14*E77))^2/(2*9.81)+B77+0.5*(((DATOS!$B$27*C77/(DATOS!$B$14*E77))^2/((DATOS!$B$14*E77)/(DATOS!$B$14+2*E77))^(4/3))+((DATOS!$B$27*C78/(DATOS!$B$14*((AZ78+BA78)/2)))^2/((DATOS!$B$14*((AZ78+BA78)/2))/(DATOS!$B$14+2*((AZ78+BA78)/2)))^(4/3)))*(A77-A78)))&lt;0,((AZ78+BA78)/2),AZ78)</f>
        <v/>
      </c>
      <c r="BC78" s="16">
        <f>IF((((AZ78+BA78)/2)+(C78/(DATOS!$B$14*((AZ78+BA78)/2)))^2/(2*9.81)+B78-(E77+(C77/(DATOS!$B$14*E77))^2/(2*9.81)+B77+0.5*(((DATOS!$B$27*C77/(DATOS!$B$14*E77))^2/((DATOS!$B$14*E77)/(DATOS!$B$14+2*E77))^(4/3))+((DATOS!$B$27*C78/(DATOS!$B$14*((AZ78+BA78)/2)))^2/((DATOS!$B$14*((AZ78+BA78)/2))/(DATOS!$B$14+2*((AZ78+BA78)/2)))^(4/3)))*(A77-A78)))&lt;0,BA78,((AZ78+BA78)/2))</f>
        <v/>
      </c>
      <c r="BD78" s="16">
        <f>IF((((BB78+BC78)/2)+(C78/(DATOS!$B$14*((BB78+BC78)/2)))^2/(2*9.81)+B78-(E77+(C77/(DATOS!$B$14*E77))^2/(2*9.81)+B77+0.5*(((DATOS!$B$27*C77/(DATOS!$B$14*E77))^2/((DATOS!$B$14*E77)/(DATOS!$B$14+2*E77))^(4/3))+((DATOS!$B$27*C78/(DATOS!$B$14*((BB78+BC78)/2)))^2/((DATOS!$B$14*((BB78+BC78)/2))/(DATOS!$B$14+2*((BB78+BC78)/2)))^(4/3)))*(A77-A78)))&lt;0,((BB78+BC78)/2),BB78)</f>
        <v/>
      </c>
      <c r="BE78" s="16">
        <f>IF((((BB78+BC78)/2)+(C78/(DATOS!$B$14*((BB78+BC78)/2)))^2/(2*9.81)+B78-(E77+(C77/(DATOS!$B$14*E77))^2/(2*9.81)+B77+0.5*(((DATOS!$B$27*C77/(DATOS!$B$14*E77))^2/((DATOS!$B$14*E77)/(DATOS!$B$14+2*E77))^(4/3))+((DATOS!$B$27*C78/(DATOS!$B$14*((BB78+BC78)/2)))^2/((DATOS!$B$14*((BB78+BC78)/2))/(DATOS!$B$14+2*((BB78+BC78)/2)))^(4/3)))*(A77-A78)))&lt;0,BC78,((BB78+BC78)/2))</f>
        <v/>
      </c>
      <c r="BF78" s="16">
        <f>IF((((BD78+BE78)/2)+(C78/(DATOS!$B$14*((BD78+BE78)/2)))^2/(2*9.81)+B78-(E77+(C77/(DATOS!$B$14*E77))^2/(2*9.81)+B77+0.5*(((DATOS!$B$27*C77/(DATOS!$B$14*E77))^2/((DATOS!$B$14*E77)/(DATOS!$B$14+2*E77))^(4/3))+((DATOS!$B$27*C78/(DATOS!$B$14*((BD78+BE78)/2)))^2/((DATOS!$B$14*((BD78+BE78)/2))/(DATOS!$B$14+2*((BD78+BE78)/2)))^(4/3)))*(A77-A78)))&lt;0,((BD78+BE78)/2),BD78)</f>
        <v/>
      </c>
      <c r="BG78" s="16">
        <f>IF((((BD78+BE78)/2)+(C78/(DATOS!$B$14*((BD78+BE78)/2)))^2/(2*9.81)+B78-(E77+(C77/(DATOS!$B$14*E77))^2/(2*9.81)+B77+0.5*(((DATOS!$B$27*C77/(DATOS!$B$14*E77))^2/((DATOS!$B$14*E77)/(DATOS!$B$14+2*E77))^(4/3))+((DATOS!$B$27*C78/(DATOS!$B$14*((BD78+BE78)/2)))^2/((DATOS!$B$14*((BD78+BE78)/2))/(DATOS!$B$14+2*((BD78+BE78)/2)))^(4/3)))*(A77-A78)))&lt;0,BE78,((BD78+BE78)/2))</f>
        <v/>
      </c>
      <c r="BH78" s="16">
        <f>IF((((BF78+BG78)/2)+(C78/(DATOS!$B$14*((BF78+BG78)/2)))^2/(2*9.81)+B78-(E77+(C77/(DATOS!$B$14*E77))^2/(2*9.81)+B77+0.5*(((DATOS!$B$27*C77/(DATOS!$B$14*E77))^2/((DATOS!$B$14*E77)/(DATOS!$B$14+2*E77))^(4/3))+((DATOS!$B$27*C78/(DATOS!$B$14*((BF78+BG78)/2)))^2/((DATOS!$B$14*((BF78+BG78)/2))/(DATOS!$B$14+2*((BF78+BG78)/2)))^(4/3)))*(A77-A78)))&lt;0,((BF78+BG78)/2),BF78)</f>
        <v/>
      </c>
      <c r="BI78" s="16">
        <f>IF((((BF78+BG78)/2)+(C78/(DATOS!$B$14*((BF78+BG78)/2)))^2/(2*9.81)+B78-(E77+(C77/(DATOS!$B$14*E77))^2/(2*9.81)+B77+0.5*(((DATOS!$B$27*C77/(DATOS!$B$14*E77))^2/((DATOS!$B$14*E77)/(DATOS!$B$14+2*E77))^(4/3))+((DATOS!$B$27*C78/(DATOS!$B$14*((BF78+BG78)/2)))^2/((DATOS!$B$14*((BF78+BG78)/2))/(DATOS!$B$14+2*((BF78+BG78)/2)))^(4/3)))*(A77-A78)))&lt;0,BG78,((BF78+BG78)/2))</f>
        <v/>
      </c>
      <c r="BJ78" s="16">
        <f>IF((((BH78+BI78)/2)+(C78/(DATOS!$B$14*((BH78+BI78)/2)))^2/(2*9.81)+B78-(E77+(C77/(DATOS!$B$14*E77))^2/(2*9.81)+B77+0.5*(((DATOS!$B$27*C77/(DATOS!$B$14*E77))^2/((DATOS!$B$14*E77)/(DATOS!$B$14+2*E77))^(4/3))+((DATOS!$B$27*C78/(DATOS!$B$14*((BH78+BI78)/2)))^2/((DATOS!$B$14*((BH78+BI78)/2))/(DATOS!$B$14+2*((BH78+BI78)/2)))^(4/3)))*(A77-A78)))&lt;0,((BH78+BI78)/2),BH78)</f>
        <v/>
      </c>
      <c r="BK78" s="16">
        <f>IF((((BH78+BI78)/2)+(C78/(DATOS!$B$14*((BH78+BI78)/2)))^2/(2*9.81)+B78-(E77+(C77/(DATOS!$B$14*E77))^2/(2*9.81)+B77+0.5*(((DATOS!$B$27*C77/(DATOS!$B$14*E77))^2/((DATOS!$B$14*E77)/(DATOS!$B$14+2*E77))^(4/3))+((DATOS!$B$27*C78/(DATOS!$B$14*((BH78+BI78)/2)))^2/((DATOS!$B$14*((BH78+BI78)/2))/(DATOS!$B$14+2*((BH78+BI78)/2)))^(4/3)))*(A77-A78)))&lt;0,BI78,((BH78+BI78)/2))</f>
        <v/>
      </c>
      <c r="BL78" s="16">
        <f>IF((((BJ78+BK78)/2)+(C78/(DATOS!$B$14*((BJ78+BK78)/2)))^2/(2*9.81)+B78-(E77+(C77/(DATOS!$B$14*E77))^2/(2*9.81)+B77+0.5*(((DATOS!$B$27*C77/(DATOS!$B$14*E77))^2/((DATOS!$B$14*E77)/(DATOS!$B$14+2*E77))^(4/3))+((DATOS!$B$27*C78/(DATOS!$B$14*((BJ78+BK78)/2)))^2/((DATOS!$B$14*((BJ78+BK78)/2))/(DATOS!$B$14+2*((BJ78+BK78)/2)))^(4/3)))*(A77-A78)))&lt;0,((BJ78+BK78)/2),BJ78)</f>
        <v/>
      </c>
      <c r="BM78" s="16">
        <f>IF((((BJ78+BK78)/2)+(C78/(DATOS!$B$14*((BJ78+BK78)/2)))^2/(2*9.81)+B78-(E77+(C77/(DATOS!$B$14*E77))^2/(2*9.81)+B77+0.5*(((DATOS!$B$27*C77/(DATOS!$B$14*E77))^2/((DATOS!$B$14*E77)/(DATOS!$B$14+2*E77))^(4/3))+((DATOS!$B$27*C78/(DATOS!$B$14*((BJ78+BK78)/2)))^2/((DATOS!$B$14*((BJ78+BK78)/2))/(DATOS!$B$14+2*((BJ78+BK78)/2)))^(4/3)))*(A77-A78)))&lt;0,BK78,((BJ78+BK78)/2))</f>
        <v/>
      </c>
      <c r="BN78" s="16">
        <f>IF((((BL78+BM78)/2)+(C78/(DATOS!$B$14*((BL78+BM78)/2)))^2/(2*9.81)+B78-(E77+(C77/(DATOS!$B$14*E77))^2/(2*9.81)+B77+0.5*(((DATOS!$B$27*C77/(DATOS!$B$14*E77))^2/((DATOS!$B$14*E77)/(DATOS!$B$14+2*E77))^(4/3))+((DATOS!$B$27*C78/(DATOS!$B$14*((BL78+BM78)/2)))^2/((DATOS!$B$14*((BL78+BM78)/2))/(DATOS!$B$14+2*((BL78+BM78)/2)))^(4/3)))*(A77-A78)))&lt;0,((BL78+BM78)/2),BL78)</f>
        <v/>
      </c>
      <c r="BO78" s="16">
        <f>IF((((BL78+BM78)/2)+(C78/(DATOS!$B$14*((BL78+BM78)/2)))^2/(2*9.81)+B78-(E77+(C77/(DATOS!$B$14*E77))^2/(2*9.81)+B77+0.5*(((DATOS!$B$27*C77/(DATOS!$B$14*E77))^2/((DATOS!$B$14*E77)/(DATOS!$B$14+2*E77))^(4/3))+((DATOS!$B$27*C78/(DATOS!$B$14*((BL78+BM78)/2)))^2/((DATOS!$B$14*((BL78+BM78)/2))/(DATOS!$B$14+2*((BL78+BM78)/2)))^(4/3)))*(A77-A78)))&lt;0,BM78,((BL78+BM78)/2))</f>
        <v/>
      </c>
      <c r="BP78" s="16">
        <f>IF((((BN78+BO78)/2)+(C78/(DATOS!$B$14*((BN78+BO78)/2)))^2/(2*9.81)+B78-(E77+(C77/(DATOS!$B$14*E77))^2/(2*9.81)+B77+0.5*(((DATOS!$B$27*C77/(DATOS!$B$14*E77))^2/((DATOS!$B$14*E77)/(DATOS!$B$14+2*E77))^(4/3))+((DATOS!$B$27*C78/(DATOS!$B$14*((BN78+BO78)/2)))^2/((DATOS!$B$14*((BN78+BO78)/2))/(DATOS!$B$14+2*((BN78+BO78)/2)))^(4/3)))*(A77-A78)))&lt;0,((BN78+BO78)/2),BN78)</f>
        <v/>
      </c>
      <c r="BQ78" s="16">
        <f>IF((((BN78+BO78)/2)+(C78/(DATOS!$B$14*((BN78+BO78)/2)))^2/(2*9.81)+B78-(E77+(C77/(DATOS!$B$14*E77))^2/(2*9.81)+B77+0.5*(((DATOS!$B$27*C77/(DATOS!$B$14*E77))^2/((DATOS!$B$14*E77)/(DATOS!$B$14+2*E77))^(4/3))+((DATOS!$B$27*C78/(DATOS!$B$14*((BN78+BO78)/2)))^2/((DATOS!$B$14*((BN78+BO78)/2))/(DATOS!$B$14+2*((BN78+BO78)/2)))^(4/3)))*(A77-A78)))&lt;0,BO78,((BN78+BO78)/2))</f>
        <v/>
      </c>
      <c r="BR78" s="16">
        <f>IF((((BP78+BQ78)/2)+(C78/(DATOS!$B$14*((BP78+BQ78)/2)))^2/(2*9.81)+B78-(E77+(C77/(DATOS!$B$14*E77))^2/(2*9.81)+B77+0.5*(((DATOS!$B$27*C77/(DATOS!$B$14*E77))^2/((DATOS!$B$14*E77)/(DATOS!$B$14+2*E77))^(4/3))+((DATOS!$B$27*C78/(DATOS!$B$14*((BP78+BQ78)/2)))^2/((DATOS!$B$14*((BP78+BQ78)/2))/(DATOS!$B$14+2*((BP78+BQ78)/2)))^(4/3)))*(A77-A78)))&lt;0,((BP78+BQ78)/2),BP78)</f>
        <v/>
      </c>
      <c r="BS78" s="16">
        <f>IF((((BP78+BQ78)/2)+(C78/(DATOS!$B$14*((BP78+BQ78)/2)))^2/(2*9.81)+B78-(E77+(C77/(DATOS!$B$14*E77))^2/(2*9.81)+B77+0.5*(((DATOS!$B$27*C77/(DATOS!$B$14*E77))^2/((DATOS!$B$14*E77)/(DATOS!$B$14+2*E77))^(4/3))+((DATOS!$B$27*C78/(DATOS!$B$14*((BP78+BQ78)/2)))^2/((DATOS!$B$14*((BP78+BQ78)/2))/(DATOS!$B$14+2*((BP78+BQ78)/2)))^(4/3)))*(A77-A78)))&lt;0,BQ78,((BP78+BQ78)/2))</f>
        <v/>
      </c>
      <c r="BT78" s="16">
        <f>IF((((BR78+BS78)/2)+(C78/(DATOS!$B$14*((BR78+BS78)/2)))^2/(2*9.81)+B78-(E77+(C77/(DATOS!$B$14*E77))^2/(2*9.81)+B77+0.5*(((DATOS!$B$27*C77/(DATOS!$B$14*E77))^2/((DATOS!$B$14*E77)/(DATOS!$B$14+2*E77))^(4/3))+((DATOS!$B$27*C78/(DATOS!$B$14*((BR78+BS78)/2)))^2/((DATOS!$B$14*((BR78+BS78)/2))/(DATOS!$B$14+2*((BR78+BS78)/2)))^(4/3)))*(A77-A78)))&lt;0,((BR78+BS78)/2),BR78)</f>
        <v/>
      </c>
      <c r="BU78" s="16">
        <f>IF((((BR78+BS78)/2)+(C78/(DATOS!$B$14*((BR78+BS78)/2)))^2/(2*9.81)+B78-(E77+(C77/(DATOS!$B$14*E77))^2/(2*9.81)+B77+0.5*(((DATOS!$B$27*C77/(DATOS!$B$14*E77))^2/((DATOS!$B$14*E77)/(DATOS!$B$14+2*E77))^(4/3))+((DATOS!$B$27*C78/(DATOS!$B$14*((BR78+BS78)/2)))^2/((DATOS!$B$14*((BR78+BS78)/2))/(DATOS!$B$14+2*((BR78+BS78)/2)))^(4/3)))*(A77-A78)))&lt;0,BS78,((BR78+BS78)/2))</f>
        <v/>
      </c>
    </row>
    <row r="79">
      <c r="A79" s="30" t="n">
        <v>0</v>
      </c>
      <c r="B79" s="21">
        <f>DATOS!$B$16-DATOS!$B$19*A79</f>
        <v/>
      </c>
      <c r="C79" s="21">
        <f>IF(A79&lt;CAUDALES!$B$13,CAUDALES!$D$12,IF(A79&lt;CAUDALES!$B$14,CAUDALES!$D$13,IF(A79&lt;CAUDALES!$B$15,CAUDALES!$D$14,CAUDALES!$D$15)))/1000</f>
        <v/>
      </c>
      <c r="D79" s="21">
        <f>(C79^2/(9.81*DATOS!$B$14^2))^(1/3)</f>
        <v/>
      </c>
      <c r="E79" s="29">
        <f>(BT79+BU79)/2</f>
        <v/>
      </c>
      <c r="F79" s="21">
        <f>B79+E79</f>
        <v/>
      </c>
      <c r="G79" s="17">
        <f>C79/(DATOS!$B$14*E79)</f>
        <v/>
      </c>
      <c r="H79" s="17">
        <f>G79/SQRT(9.81*E79)</f>
        <v/>
      </c>
      <c r="I79" s="21">
        <f>IF(A79&lt;=DATOS!$B$20,DATOS!$B$21-IF(AND(A79&gt;=DATOS!$B$23,A79&lt;DATOS!$B$24),DATOS!$B$25,DATOS!$B$22),B79+DATOS!$B$26)</f>
        <v/>
      </c>
      <c r="J79" s="17">
        <f>I79-B79</f>
        <v/>
      </c>
      <c r="K79" s="31">
        <f>E79/J79</f>
        <v/>
      </c>
      <c r="L79" s="21">
        <f>I79-F79</f>
        <v/>
      </c>
      <c r="M79" s="32">
        <f>IF(AND(K79&lt;=DATOS!$B$29,L79&gt;=DATOS!$B$30),"CUMPLE","NO CUMPLE")</f>
        <v/>
      </c>
      <c r="N79" s="13">
        <f>IF(A79&gt;DATOS!$B$20,"cubierto - tramo final",IF(AND(A79&gt;=DATOS!$B$23,A79&lt;DATOS!$B$24),"cubierto - camiones","cubierto"))</f>
        <v/>
      </c>
      <c r="P79" s="16">
        <f>D79*1.001</f>
        <v/>
      </c>
      <c r="Q79" s="16" t="n">
        <v>2</v>
      </c>
      <c r="R79" s="16">
        <f>IF((((P79+Q79)/2)+(C79/(DATOS!$B$14*((P79+Q79)/2)))^2/(2*9.81)+B79-(E78+(C78/(DATOS!$B$14*E78))^2/(2*9.81)+B78+0.5*(((DATOS!$B$27*C78/(DATOS!$B$14*E78))^2/((DATOS!$B$14*E78)/(DATOS!$B$14+2*E78))^(4/3))+((DATOS!$B$27*C79/(DATOS!$B$14*((P79+Q79)/2)))^2/((DATOS!$B$14*((P79+Q79)/2))/(DATOS!$B$14+2*((P79+Q79)/2)))^(4/3)))*(A78-A79)))&lt;0,((P79+Q79)/2),P79)</f>
        <v/>
      </c>
      <c r="S79" s="16">
        <f>IF((((P79+Q79)/2)+(C79/(DATOS!$B$14*((P79+Q79)/2)))^2/(2*9.81)+B79-(E78+(C78/(DATOS!$B$14*E78))^2/(2*9.81)+B78+0.5*(((DATOS!$B$27*C78/(DATOS!$B$14*E78))^2/((DATOS!$B$14*E78)/(DATOS!$B$14+2*E78))^(4/3))+((DATOS!$B$27*C79/(DATOS!$B$14*((P79+Q79)/2)))^2/((DATOS!$B$14*((P79+Q79)/2))/(DATOS!$B$14+2*((P79+Q79)/2)))^(4/3)))*(A78-A79)))&lt;0,Q79,((P79+Q79)/2))</f>
        <v/>
      </c>
      <c r="T79" s="16">
        <f>IF((((R79+S79)/2)+(C79/(DATOS!$B$14*((R79+S79)/2)))^2/(2*9.81)+B79-(E78+(C78/(DATOS!$B$14*E78))^2/(2*9.81)+B78+0.5*(((DATOS!$B$27*C78/(DATOS!$B$14*E78))^2/((DATOS!$B$14*E78)/(DATOS!$B$14+2*E78))^(4/3))+((DATOS!$B$27*C79/(DATOS!$B$14*((R79+S79)/2)))^2/((DATOS!$B$14*((R79+S79)/2))/(DATOS!$B$14+2*((R79+S79)/2)))^(4/3)))*(A78-A79)))&lt;0,((R79+S79)/2),R79)</f>
        <v/>
      </c>
      <c r="U79" s="16">
        <f>IF((((R79+S79)/2)+(C79/(DATOS!$B$14*((R79+S79)/2)))^2/(2*9.81)+B79-(E78+(C78/(DATOS!$B$14*E78))^2/(2*9.81)+B78+0.5*(((DATOS!$B$27*C78/(DATOS!$B$14*E78))^2/((DATOS!$B$14*E78)/(DATOS!$B$14+2*E78))^(4/3))+((DATOS!$B$27*C79/(DATOS!$B$14*((R79+S79)/2)))^2/((DATOS!$B$14*((R79+S79)/2))/(DATOS!$B$14+2*((R79+S79)/2)))^(4/3)))*(A78-A79)))&lt;0,S79,((R79+S79)/2))</f>
        <v/>
      </c>
      <c r="V79" s="16">
        <f>IF((((T79+U79)/2)+(C79/(DATOS!$B$14*((T79+U79)/2)))^2/(2*9.81)+B79-(E78+(C78/(DATOS!$B$14*E78))^2/(2*9.81)+B78+0.5*(((DATOS!$B$27*C78/(DATOS!$B$14*E78))^2/((DATOS!$B$14*E78)/(DATOS!$B$14+2*E78))^(4/3))+((DATOS!$B$27*C79/(DATOS!$B$14*((T79+U79)/2)))^2/((DATOS!$B$14*((T79+U79)/2))/(DATOS!$B$14+2*((T79+U79)/2)))^(4/3)))*(A78-A79)))&lt;0,((T79+U79)/2),T79)</f>
        <v/>
      </c>
      <c r="W79" s="16">
        <f>IF((((T79+U79)/2)+(C79/(DATOS!$B$14*((T79+U79)/2)))^2/(2*9.81)+B79-(E78+(C78/(DATOS!$B$14*E78))^2/(2*9.81)+B78+0.5*(((DATOS!$B$27*C78/(DATOS!$B$14*E78))^2/((DATOS!$B$14*E78)/(DATOS!$B$14+2*E78))^(4/3))+((DATOS!$B$27*C79/(DATOS!$B$14*((T79+U79)/2)))^2/((DATOS!$B$14*((T79+U79)/2))/(DATOS!$B$14+2*((T79+U79)/2)))^(4/3)))*(A78-A79)))&lt;0,U79,((T79+U79)/2))</f>
        <v/>
      </c>
      <c r="X79" s="16">
        <f>IF((((V79+W79)/2)+(C79/(DATOS!$B$14*((V79+W79)/2)))^2/(2*9.81)+B79-(E78+(C78/(DATOS!$B$14*E78))^2/(2*9.81)+B78+0.5*(((DATOS!$B$27*C78/(DATOS!$B$14*E78))^2/((DATOS!$B$14*E78)/(DATOS!$B$14+2*E78))^(4/3))+((DATOS!$B$27*C79/(DATOS!$B$14*((V79+W79)/2)))^2/((DATOS!$B$14*((V79+W79)/2))/(DATOS!$B$14+2*((V79+W79)/2)))^(4/3)))*(A78-A79)))&lt;0,((V79+W79)/2),V79)</f>
        <v/>
      </c>
      <c r="Y79" s="16">
        <f>IF((((V79+W79)/2)+(C79/(DATOS!$B$14*((V79+W79)/2)))^2/(2*9.81)+B79-(E78+(C78/(DATOS!$B$14*E78))^2/(2*9.81)+B78+0.5*(((DATOS!$B$27*C78/(DATOS!$B$14*E78))^2/((DATOS!$B$14*E78)/(DATOS!$B$14+2*E78))^(4/3))+((DATOS!$B$27*C79/(DATOS!$B$14*((V79+W79)/2)))^2/((DATOS!$B$14*((V79+W79)/2))/(DATOS!$B$14+2*((V79+W79)/2)))^(4/3)))*(A78-A79)))&lt;0,W79,((V79+W79)/2))</f>
        <v/>
      </c>
      <c r="Z79" s="16">
        <f>IF((((X79+Y79)/2)+(C79/(DATOS!$B$14*((X79+Y79)/2)))^2/(2*9.81)+B79-(E78+(C78/(DATOS!$B$14*E78))^2/(2*9.81)+B78+0.5*(((DATOS!$B$27*C78/(DATOS!$B$14*E78))^2/((DATOS!$B$14*E78)/(DATOS!$B$14+2*E78))^(4/3))+((DATOS!$B$27*C79/(DATOS!$B$14*((X79+Y79)/2)))^2/((DATOS!$B$14*((X79+Y79)/2))/(DATOS!$B$14+2*((X79+Y79)/2)))^(4/3)))*(A78-A79)))&lt;0,((X79+Y79)/2),X79)</f>
        <v/>
      </c>
      <c r="AA79" s="16">
        <f>IF((((X79+Y79)/2)+(C79/(DATOS!$B$14*((X79+Y79)/2)))^2/(2*9.81)+B79-(E78+(C78/(DATOS!$B$14*E78))^2/(2*9.81)+B78+0.5*(((DATOS!$B$27*C78/(DATOS!$B$14*E78))^2/((DATOS!$B$14*E78)/(DATOS!$B$14+2*E78))^(4/3))+((DATOS!$B$27*C79/(DATOS!$B$14*((X79+Y79)/2)))^2/((DATOS!$B$14*((X79+Y79)/2))/(DATOS!$B$14+2*((X79+Y79)/2)))^(4/3)))*(A78-A79)))&lt;0,Y79,((X79+Y79)/2))</f>
        <v/>
      </c>
      <c r="AB79" s="16">
        <f>IF((((Z79+AA79)/2)+(C79/(DATOS!$B$14*((Z79+AA79)/2)))^2/(2*9.81)+B79-(E78+(C78/(DATOS!$B$14*E78))^2/(2*9.81)+B78+0.5*(((DATOS!$B$27*C78/(DATOS!$B$14*E78))^2/((DATOS!$B$14*E78)/(DATOS!$B$14+2*E78))^(4/3))+((DATOS!$B$27*C79/(DATOS!$B$14*((Z79+AA79)/2)))^2/((DATOS!$B$14*((Z79+AA79)/2))/(DATOS!$B$14+2*((Z79+AA79)/2)))^(4/3)))*(A78-A79)))&lt;0,((Z79+AA79)/2),Z79)</f>
        <v/>
      </c>
      <c r="AC79" s="16">
        <f>IF((((Z79+AA79)/2)+(C79/(DATOS!$B$14*((Z79+AA79)/2)))^2/(2*9.81)+B79-(E78+(C78/(DATOS!$B$14*E78))^2/(2*9.81)+B78+0.5*(((DATOS!$B$27*C78/(DATOS!$B$14*E78))^2/((DATOS!$B$14*E78)/(DATOS!$B$14+2*E78))^(4/3))+((DATOS!$B$27*C79/(DATOS!$B$14*((Z79+AA79)/2)))^2/((DATOS!$B$14*((Z79+AA79)/2))/(DATOS!$B$14+2*((Z79+AA79)/2)))^(4/3)))*(A78-A79)))&lt;0,AA79,((Z79+AA79)/2))</f>
        <v/>
      </c>
      <c r="AD79" s="16">
        <f>IF((((AB79+AC79)/2)+(C79/(DATOS!$B$14*((AB79+AC79)/2)))^2/(2*9.81)+B79-(E78+(C78/(DATOS!$B$14*E78))^2/(2*9.81)+B78+0.5*(((DATOS!$B$27*C78/(DATOS!$B$14*E78))^2/((DATOS!$B$14*E78)/(DATOS!$B$14+2*E78))^(4/3))+((DATOS!$B$27*C79/(DATOS!$B$14*((AB79+AC79)/2)))^2/((DATOS!$B$14*((AB79+AC79)/2))/(DATOS!$B$14+2*((AB79+AC79)/2)))^(4/3)))*(A78-A79)))&lt;0,((AB79+AC79)/2),AB79)</f>
        <v/>
      </c>
      <c r="AE79" s="16">
        <f>IF((((AB79+AC79)/2)+(C79/(DATOS!$B$14*((AB79+AC79)/2)))^2/(2*9.81)+B79-(E78+(C78/(DATOS!$B$14*E78))^2/(2*9.81)+B78+0.5*(((DATOS!$B$27*C78/(DATOS!$B$14*E78))^2/((DATOS!$B$14*E78)/(DATOS!$B$14+2*E78))^(4/3))+((DATOS!$B$27*C79/(DATOS!$B$14*((AB79+AC79)/2)))^2/((DATOS!$B$14*((AB79+AC79)/2))/(DATOS!$B$14+2*((AB79+AC79)/2)))^(4/3)))*(A78-A79)))&lt;0,AC79,((AB79+AC79)/2))</f>
        <v/>
      </c>
      <c r="AF79" s="16">
        <f>IF((((AD79+AE79)/2)+(C79/(DATOS!$B$14*((AD79+AE79)/2)))^2/(2*9.81)+B79-(E78+(C78/(DATOS!$B$14*E78))^2/(2*9.81)+B78+0.5*(((DATOS!$B$27*C78/(DATOS!$B$14*E78))^2/((DATOS!$B$14*E78)/(DATOS!$B$14+2*E78))^(4/3))+((DATOS!$B$27*C79/(DATOS!$B$14*((AD79+AE79)/2)))^2/((DATOS!$B$14*((AD79+AE79)/2))/(DATOS!$B$14+2*((AD79+AE79)/2)))^(4/3)))*(A78-A79)))&lt;0,((AD79+AE79)/2),AD79)</f>
        <v/>
      </c>
      <c r="AG79" s="16">
        <f>IF((((AD79+AE79)/2)+(C79/(DATOS!$B$14*((AD79+AE79)/2)))^2/(2*9.81)+B79-(E78+(C78/(DATOS!$B$14*E78))^2/(2*9.81)+B78+0.5*(((DATOS!$B$27*C78/(DATOS!$B$14*E78))^2/((DATOS!$B$14*E78)/(DATOS!$B$14+2*E78))^(4/3))+((DATOS!$B$27*C79/(DATOS!$B$14*((AD79+AE79)/2)))^2/((DATOS!$B$14*((AD79+AE79)/2))/(DATOS!$B$14+2*((AD79+AE79)/2)))^(4/3)))*(A78-A79)))&lt;0,AE79,((AD79+AE79)/2))</f>
        <v/>
      </c>
      <c r="AH79" s="16">
        <f>IF((((AF79+AG79)/2)+(C79/(DATOS!$B$14*((AF79+AG79)/2)))^2/(2*9.81)+B79-(E78+(C78/(DATOS!$B$14*E78))^2/(2*9.81)+B78+0.5*(((DATOS!$B$27*C78/(DATOS!$B$14*E78))^2/((DATOS!$B$14*E78)/(DATOS!$B$14+2*E78))^(4/3))+((DATOS!$B$27*C79/(DATOS!$B$14*((AF79+AG79)/2)))^2/((DATOS!$B$14*((AF79+AG79)/2))/(DATOS!$B$14+2*((AF79+AG79)/2)))^(4/3)))*(A78-A79)))&lt;0,((AF79+AG79)/2),AF79)</f>
        <v/>
      </c>
      <c r="AI79" s="16">
        <f>IF((((AF79+AG79)/2)+(C79/(DATOS!$B$14*((AF79+AG79)/2)))^2/(2*9.81)+B79-(E78+(C78/(DATOS!$B$14*E78))^2/(2*9.81)+B78+0.5*(((DATOS!$B$27*C78/(DATOS!$B$14*E78))^2/((DATOS!$B$14*E78)/(DATOS!$B$14+2*E78))^(4/3))+((DATOS!$B$27*C79/(DATOS!$B$14*((AF79+AG79)/2)))^2/((DATOS!$B$14*((AF79+AG79)/2))/(DATOS!$B$14+2*((AF79+AG79)/2)))^(4/3)))*(A78-A79)))&lt;0,AG79,((AF79+AG79)/2))</f>
        <v/>
      </c>
      <c r="AJ79" s="16">
        <f>IF((((AH79+AI79)/2)+(C79/(DATOS!$B$14*((AH79+AI79)/2)))^2/(2*9.81)+B79-(E78+(C78/(DATOS!$B$14*E78))^2/(2*9.81)+B78+0.5*(((DATOS!$B$27*C78/(DATOS!$B$14*E78))^2/((DATOS!$B$14*E78)/(DATOS!$B$14+2*E78))^(4/3))+((DATOS!$B$27*C79/(DATOS!$B$14*((AH79+AI79)/2)))^2/((DATOS!$B$14*((AH79+AI79)/2))/(DATOS!$B$14+2*((AH79+AI79)/2)))^(4/3)))*(A78-A79)))&lt;0,((AH79+AI79)/2),AH79)</f>
        <v/>
      </c>
      <c r="AK79" s="16">
        <f>IF((((AH79+AI79)/2)+(C79/(DATOS!$B$14*((AH79+AI79)/2)))^2/(2*9.81)+B79-(E78+(C78/(DATOS!$B$14*E78))^2/(2*9.81)+B78+0.5*(((DATOS!$B$27*C78/(DATOS!$B$14*E78))^2/((DATOS!$B$14*E78)/(DATOS!$B$14+2*E78))^(4/3))+((DATOS!$B$27*C79/(DATOS!$B$14*((AH79+AI79)/2)))^2/((DATOS!$B$14*((AH79+AI79)/2))/(DATOS!$B$14+2*((AH79+AI79)/2)))^(4/3)))*(A78-A79)))&lt;0,AI79,((AH79+AI79)/2))</f>
        <v/>
      </c>
      <c r="AL79" s="16">
        <f>IF((((AJ79+AK79)/2)+(C79/(DATOS!$B$14*((AJ79+AK79)/2)))^2/(2*9.81)+B79-(E78+(C78/(DATOS!$B$14*E78))^2/(2*9.81)+B78+0.5*(((DATOS!$B$27*C78/(DATOS!$B$14*E78))^2/((DATOS!$B$14*E78)/(DATOS!$B$14+2*E78))^(4/3))+((DATOS!$B$27*C79/(DATOS!$B$14*((AJ79+AK79)/2)))^2/((DATOS!$B$14*((AJ79+AK79)/2))/(DATOS!$B$14+2*((AJ79+AK79)/2)))^(4/3)))*(A78-A79)))&lt;0,((AJ79+AK79)/2),AJ79)</f>
        <v/>
      </c>
      <c r="AM79" s="16">
        <f>IF((((AJ79+AK79)/2)+(C79/(DATOS!$B$14*((AJ79+AK79)/2)))^2/(2*9.81)+B79-(E78+(C78/(DATOS!$B$14*E78))^2/(2*9.81)+B78+0.5*(((DATOS!$B$27*C78/(DATOS!$B$14*E78))^2/((DATOS!$B$14*E78)/(DATOS!$B$14+2*E78))^(4/3))+((DATOS!$B$27*C79/(DATOS!$B$14*((AJ79+AK79)/2)))^2/((DATOS!$B$14*((AJ79+AK79)/2))/(DATOS!$B$14+2*((AJ79+AK79)/2)))^(4/3)))*(A78-A79)))&lt;0,AK79,((AJ79+AK79)/2))</f>
        <v/>
      </c>
      <c r="AN79" s="16">
        <f>IF((((AL79+AM79)/2)+(C79/(DATOS!$B$14*((AL79+AM79)/2)))^2/(2*9.81)+B79-(E78+(C78/(DATOS!$B$14*E78))^2/(2*9.81)+B78+0.5*(((DATOS!$B$27*C78/(DATOS!$B$14*E78))^2/((DATOS!$B$14*E78)/(DATOS!$B$14+2*E78))^(4/3))+((DATOS!$B$27*C79/(DATOS!$B$14*((AL79+AM79)/2)))^2/((DATOS!$B$14*((AL79+AM79)/2))/(DATOS!$B$14+2*((AL79+AM79)/2)))^(4/3)))*(A78-A79)))&lt;0,((AL79+AM79)/2),AL79)</f>
        <v/>
      </c>
      <c r="AO79" s="16">
        <f>IF((((AL79+AM79)/2)+(C79/(DATOS!$B$14*((AL79+AM79)/2)))^2/(2*9.81)+B79-(E78+(C78/(DATOS!$B$14*E78))^2/(2*9.81)+B78+0.5*(((DATOS!$B$27*C78/(DATOS!$B$14*E78))^2/((DATOS!$B$14*E78)/(DATOS!$B$14+2*E78))^(4/3))+((DATOS!$B$27*C79/(DATOS!$B$14*((AL79+AM79)/2)))^2/((DATOS!$B$14*((AL79+AM79)/2))/(DATOS!$B$14+2*((AL79+AM79)/2)))^(4/3)))*(A78-A79)))&lt;0,AM79,((AL79+AM79)/2))</f>
        <v/>
      </c>
      <c r="AP79" s="16">
        <f>IF((((AN79+AO79)/2)+(C79/(DATOS!$B$14*((AN79+AO79)/2)))^2/(2*9.81)+B79-(E78+(C78/(DATOS!$B$14*E78))^2/(2*9.81)+B78+0.5*(((DATOS!$B$27*C78/(DATOS!$B$14*E78))^2/((DATOS!$B$14*E78)/(DATOS!$B$14+2*E78))^(4/3))+((DATOS!$B$27*C79/(DATOS!$B$14*((AN79+AO79)/2)))^2/((DATOS!$B$14*((AN79+AO79)/2))/(DATOS!$B$14+2*((AN79+AO79)/2)))^(4/3)))*(A78-A79)))&lt;0,((AN79+AO79)/2),AN79)</f>
        <v/>
      </c>
      <c r="AQ79" s="16">
        <f>IF((((AN79+AO79)/2)+(C79/(DATOS!$B$14*((AN79+AO79)/2)))^2/(2*9.81)+B79-(E78+(C78/(DATOS!$B$14*E78))^2/(2*9.81)+B78+0.5*(((DATOS!$B$27*C78/(DATOS!$B$14*E78))^2/((DATOS!$B$14*E78)/(DATOS!$B$14+2*E78))^(4/3))+((DATOS!$B$27*C79/(DATOS!$B$14*((AN79+AO79)/2)))^2/((DATOS!$B$14*((AN79+AO79)/2))/(DATOS!$B$14+2*((AN79+AO79)/2)))^(4/3)))*(A78-A79)))&lt;0,AO79,((AN79+AO79)/2))</f>
        <v/>
      </c>
      <c r="AR79" s="16">
        <f>IF((((AP79+AQ79)/2)+(C79/(DATOS!$B$14*((AP79+AQ79)/2)))^2/(2*9.81)+B79-(E78+(C78/(DATOS!$B$14*E78))^2/(2*9.81)+B78+0.5*(((DATOS!$B$27*C78/(DATOS!$B$14*E78))^2/((DATOS!$B$14*E78)/(DATOS!$B$14+2*E78))^(4/3))+((DATOS!$B$27*C79/(DATOS!$B$14*((AP79+AQ79)/2)))^2/((DATOS!$B$14*((AP79+AQ79)/2))/(DATOS!$B$14+2*((AP79+AQ79)/2)))^(4/3)))*(A78-A79)))&lt;0,((AP79+AQ79)/2),AP79)</f>
        <v/>
      </c>
      <c r="AS79" s="16">
        <f>IF((((AP79+AQ79)/2)+(C79/(DATOS!$B$14*((AP79+AQ79)/2)))^2/(2*9.81)+B79-(E78+(C78/(DATOS!$B$14*E78))^2/(2*9.81)+B78+0.5*(((DATOS!$B$27*C78/(DATOS!$B$14*E78))^2/((DATOS!$B$14*E78)/(DATOS!$B$14+2*E78))^(4/3))+((DATOS!$B$27*C79/(DATOS!$B$14*((AP79+AQ79)/2)))^2/((DATOS!$B$14*((AP79+AQ79)/2))/(DATOS!$B$14+2*((AP79+AQ79)/2)))^(4/3)))*(A78-A79)))&lt;0,AQ79,((AP79+AQ79)/2))</f>
        <v/>
      </c>
      <c r="AT79" s="16">
        <f>IF((((AR79+AS79)/2)+(C79/(DATOS!$B$14*((AR79+AS79)/2)))^2/(2*9.81)+B79-(E78+(C78/(DATOS!$B$14*E78))^2/(2*9.81)+B78+0.5*(((DATOS!$B$27*C78/(DATOS!$B$14*E78))^2/((DATOS!$B$14*E78)/(DATOS!$B$14+2*E78))^(4/3))+((DATOS!$B$27*C79/(DATOS!$B$14*((AR79+AS79)/2)))^2/((DATOS!$B$14*((AR79+AS79)/2))/(DATOS!$B$14+2*((AR79+AS79)/2)))^(4/3)))*(A78-A79)))&lt;0,((AR79+AS79)/2),AR79)</f>
        <v/>
      </c>
      <c r="AU79" s="16">
        <f>IF((((AR79+AS79)/2)+(C79/(DATOS!$B$14*((AR79+AS79)/2)))^2/(2*9.81)+B79-(E78+(C78/(DATOS!$B$14*E78))^2/(2*9.81)+B78+0.5*(((DATOS!$B$27*C78/(DATOS!$B$14*E78))^2/((DATOS!$B$14*E78)/(DATOS!$B$14+2*E78))^(4/3))+((DATOS!$B$27*C79/(DATOS!$B$14*((AR79+AS79)/2)))^2/((DATOS!$B$14*((AR79+AS79)/2))/(DATOS!$B$14+2*((AR79+AS79)/2)))^(4/3)))*(A78-A79)))&lt;0,AS79,((AR79+AS79)/2))</f>
        <v/>
      </c>
      <c r="AV79" s="16">
        <f>IF((((AT79+AU79)/2)+(C79/(DATOS!$B$14*((AT79+AU79)/2)))^2/(2*9.81)+B79-(E78+(C78/(DATOS!$B$14*E78))^2/(2*9.81)+B78+0.5*(((DATOS!$B$27*C78/(DATOS!$B$14*E78))^2/((DATOS!$B$14*E78)/(DATOS!$B$14+2*E78))^(4/3))+((DATOS!$B$27*C79/(DATOS!$B$14*((AT79+AU79)/2)))^2/((DATOS!$B$14*((AT79+AU79)/2))/(DATOS!$B$14+2*((AT79+AU79)/2)))^(4/3)))*(A78-A79)))&lt;0,((AT79+AU79)/2),AT79)</f>
        <v/>
      </c>
      <c r="AW79" s="16">
        <f>IF((((AT79+AU79)/2)+(C79/(DATOS!$B$14*((AT79+AU79)/2)))^2/(2*9.81)+B79-(E78+(C78/(DATOS!$B$14*E78))^2/(2*9.81)+B78+0.5*(((DATOS!$B$27*C78/(DATOS!$B$14*E78))^2/((DATOS!$B$14*E78)/(DATOS!$B$14+2*E78))^(4/3))+((DATOS!$B$27*C79/(DATOS!$B$14*((AT79+AU79)/2)))^2/((DATOS!$B$14*((AT79+AU79)/2))/(DATOS!$B$14+2*((AT79+AU79)/2)))^(4/3)))*(A78-A79)))&lt;0,AU79,((AT79+AU79)/2))</f>
        <v/>
      </c>
      <c r="AX79" s="16">
        <f>IF((((AV79+AW79)/2)+(C79/(DATOS!$B$14*((AV79+AW79)/2)))^2/(2*9.81)+B79-(E78+(C78/(DATOS!$B$14*E78))^2/(2*9.81)+B78+0.5*(((DATOS!$B$27*C78/(DATOS!$B$14*E78))^2/((DATOS!$B$14*E78)/(DATOS!$B$14+2*E78))^(4/3))+((DATOS!$B$27*C79/(DATOS!$B$14*((AV79+AW79)/2)))^2/((DATOS!$B$14*((AV79+AW79)/2))/(DATOS!$B$14+2*((AV79+AW79)/2)))^(4/3)))*(A78-A79)))&lt;0,((AV79+AW79)/2),AV79)</f>
        <v/>
      </c>
      <c r="AY79" s="16">
        <f>IF((((AV79+AW79)/2)+(C79/(DATOS!$B$14*((AV79+AW79)/2)))^2/(2*9.81)+B79-(E78+(C78/(DATOS!$B$14*E78))^2/(2*9.81)+B78+0.5*(((DATOS!$B$27*C78/(DATOS!$B$14*E78))^2/((DATOS!$B$14*E78)/(DATOS!$B$14+2*E78))^(4/3))+((DATOS!$B$27*C79/(DATOS!$B$14*((AV79+AW79)/2)))^2/((DATOS!$B$14*((AV79+AW79)/2))/(DATOS!$B$14+2*((AV79+AW79)/2)))^(4/3)))*(A78-A79)))&lt;0,AW79,((AV79+AW79)/2))</f>
        <v/>
      </c>
      <c r="AZ79" s="16">
        <f>IF((((AX79+AY79)/2)+(C79/(DATOS!$B$14*((AX79+AY79)/2)))^2/(2*9.81)+B79-(E78+(C78/(DATOS!$B$14*E78))^2/(2*9.81)+B78+0.5*(((DATOS!$B$27*C78/(DATOS!$B$14*E78))^2/((DATOS!$B$14*E78)/(DATOS!$B$14+2*E78))^(4/3))+((DATOS!$B$27*C79/(DATOS!$B$14*((AX79+AY79)/2)))^2/((DATOS!$B$14*((AX79+AY79)/2))/(DATOS!$B$14+2*((AX79+AY79)/2)))^(4/3)))*(A78-A79)))&lt;0,((AX79+AY79)/2),AX79)</f>
        <v/>
      </c>
      <c r="BA79" s="16">
        <f>IF((((AX79+AY79)/2)+(C79/(DATOS!$B$14*((AX79+AY79)/2)))^2/(2*9.81)+B79-(E78+(C78/(DATOS!$B$14*E78))^2/(2*9.81)+B78+0.5*(((DATOS!$B$27*C78/(DATOS!$B$14*E78))^2/((DATOS!$B$14*E78)/(DATOS!$B$14+2*E78))^(4/3))+((DATOS!$B$27*C79/(DATOS!$B$14*((AX79+AY79)/2)))^2/((DATOS!$B$14*((AX79+AY79)/2))/(DATOS!$B$14+2*((AX79+AY79)/2)))^(4/3)))*(A78-A79)))&lt;0,AY79,((AX79+AY79)/2))</f>
        <v/>
      </c>
      <c r="BB79" s="16">
        <f>IF((((AZ79+BA79)/2)+(C79/(DATOS!$B$14*((AZ79+BA79)/2)))^2/(2*9.81)+B79-(E78+(C78/(DATOS!$B$14*E78))^2/(2*9.81)+B78+0.5*(((DATOS!$B$27*C78/(DATOS!$B$14*E78))^2/((DATOS!$B$14*E78)/(DATOS!$B$14+2*E78))^(4/3))+((DATOS!$B$27*C79/(DATOS!$B$14*((AZ79+BA79)/2)))^2/((DATOS!$B$14*((AZ79+BA79)/2))/(DATOS!$B$14+2*((AZ79+BA79)/2)))^(4/3)))*(A78-A79)))&lt;0,((AZ79+BA79)/2),AZ79)</f>
        <v/>
      </c>
      <c r="BC79" s="16">
        <f>IF((((AZ79+BA79)/2)+(C79/(DATOS!$B$14*((AZ79+BA79)/2)))^2/(2*9.81)+B79-(E78+(C78/(DATOS!$B$14*E78))^2/(2*9.81)+B78+0.5*(((DATOS!$B$27*C78/(DATOS!$B$14*E78))^2/((DATOS!$B$14*E78)/(DATOS!$B$14+2*E78))^(4/3))+((DATOS!$B$27*C79/(DATOS!$B$14*((AZ79+BA79)/2)))^2/((DATOS!$B$14*((AZ79+BA79)/2))/(DATOS!$B$14+2*((AZ79+BA79)/2)))^(4/3)))*(A78-A79)))&lt;0,BA79,((AZ79+BA79)/2))</f>
        <v/>
      </c>
      <c r="BD79" s="16">
        <f>IF((((BB79+BC79)/2)+(C79/(DATOS!$B$14*((BB79+BC79)/2)))^2/(2*9.81)+B79-(E78+(C78/(DATOS!$B$14*E78))^2/(2*9.81)+B78+0.5*(((DATOS!$B$27*C78/(DATOS!$B$14*E78))^2/((DATOS!$B$14*E78)/(DATOS!$B$14+2*E78))^(4/3))+((DATOS!$B$27*C79/(DATOS!$B$14*((BB79+BC79)/2)))^2/((DATOS!$B$14*((BB79+BC79)/2))/(DATOS!$B$14+2*((BB79+BC79)/2)))^(4/3)))*(A78-A79)))&lt;0,((BB79+BC79)/2),BB79)</f>
        <v/>
      </c>
      <c r="BE79" s="16">
        <f>IF((((BB79+BC79)/2)+(C79/(DATOS!$B$14*((BB79+BC79)/2)))^2/(2*9.81)+B79-(E78+(C78/(DATOS!$B$14*E78))^2/(2*9.81)+B78+0.5*(((DATOS!$B$27*C78/(DATOS!$B$14*E78))^2/((DATOS!$B$14*E78)/(DATOS!$B$14+2*E78))^(4/3))+((DATOS!$B$27*C79/(DATOS!$B$14*((BB79+BC79)/2)))^2/((DATOS!$B$14*((BB79+BC79)/2))/(DATOS!$B$14+2*((BB79+BC79)/2)))^(4/3)))*(A78-A79)))&lt;0,BC79,((BB79+BC79)/2))</f>
        <v/>
      </c>
      <c r="BF79" s="16">
        <f>IF((((BD79+BE79)/2)+(C79/(DATOS!$B$14*((BD79+BE79)/2)))^2/(2*9.81)+B79-(E78+(C78/(DATOS!$B$14*E78))^2/(2*9.81)+B78+0.5*(((DATOS!$B$27*C78/(DATOS!$B$14*E78))^2/((DATOS!$B$14*E78)/(DATOS!$B$14+2*E78))^(4/3))+((DATOS!$B$27*C79/(DATOS!$B$14*((BD79+BE79)/2)))^2/((DATOS!$B$14*((BD79+BE79)/2))/(DATOS!$B$14+2*((BD79+BE79)/2)))^(4/3)))*(A78-A79)))&lt;0,((BD79+BE79)/2),BD79)</f>
        <v/>
      </c>
      <c r="BG79" s="16">
        <f>IF((((BD79+BE79)/2)+(C79/(DATOS!$B$14*((BD79+BE79)/2)))^2/(2*9.81)+B79-(E78+(C78/(DATOS!$B$14*E78))^2/(2*9.81)+B78+0.5*(((DATOS!$B$27*C78/(DATOS!$B$14*E78))^2/((DATOS!$B$14*E78)/(DATOS!$B$14+2*E78))^(4/3))+((DATOS!$B$27*C79/(DATOS!$B$14*((BD79+BE79)/2)))^2/((DATOS!$B$14*((BD79+BE79)/2))/(DATOS!$B$14+2*((BD79+BE79)/2)))^(4/3)))*(A78-A79)))&lt;0,BE79,((BD79+BE79)/2))</f>
        <v/>
      </c>
      <c r="BH79" s="16">
        <f>IF((((BF79+BG79)/2)+(C79/(DATOS!$B$14*((BF79+BG79)/2)))^2/(2*9.81)+B79-(E78+(C78/(DATOS!$B$14*E78))^2/(2*9.81)+B78+0.5*(((DATOS!$B$27*C78/(DATOS!$B$14*E78))^2/((DATOS!$B$14*E78)/(DATOS!$B$14+2*E78))^(4/3))+((DATOS!$B$27*C79/(DATOS!$B$14*((BF79+BG79)/2)))^2/((DATOS!$B$14*((BF79+BG79)/2))/(DATOS!$B$14+2*((BF79+BG79)/2)))^(4/3)))*(A78-A79)))&lt;0,((BF79+BG79)/2),BF79)</f>
        <v/>
      </c>
      <c r="BI79" s="16">
        <f>IF((((BF79+BG79)/2)+(C79/(DATOS!$B$14*((BF79+BG79)/2)))^2/(2*9.81)+B79-(E78+(C78/(DATOS!$B$14*E78))^2/(2*9.81)+B78+0.5*(((DATOS!$B$27*C78/(DATOS!$B$14*E78))^2/((DATOS!$B$14*E78)/(DATOS!$B$14+2*E78))^(4/3))+((DATOS!$B$27*C79/(DATOS!$B$14*((BF79+BG79)/2)))^2/((DATOS!$B$14*((BF79+BG79)/2))/(DATOS!$B$14+2*((BF79+BG79)/2)))^(4/3)))*(A78-A79)))&lt;0,BG79,((BF79+BG79)/2))</f>
        <v/>
      </c>
      <c r="BJ79" s="16">
        <f>IF((((BH79+BI79)/2)+(C79/(DATOS!$B$14*((BH79+BI79)/2)))^2/(2*9.81)+B79-(E78+(C78/(DATOS!$B$14*E78))^2/(2*9.81)+B78+0.5*(((DATOS!$B$27*C78/(DATOS!$B$14*E78))^2/((DATOS!$B$14*E78)/(DATOS!$B$14+2*E78))^(4/3))+((DATOS!$B$27*C79/(DATOS!$B$14*((BH79+BI79)/2)))^2/((DATOS!$B$14*((BH79+BI79)/2))/(DATOS!$B$14+2*((BH79+BI79)/2)))^(4/3)))*(A78-A79)))&lt;0,((BH79+BI79)/2),BH79)</f>
        <v/>
      </c>
      <c r="BK79" s="16">
        <f>IF((((BH79+BI79)/2)+(C79/(DATOS!$B$14*((BH79+BI79)/2)))^2/(2*9.81)+B79-(E78+(C78/(DATOS!$B$14*E78))^2/(2*9.81)+B78+0.5*(((DATOS!$B$27*C78/(DATOS!$B$14*E78))^2/((DATOS!$B$14*E78)/(DATOS!$B$14+2*E78))^(4/3))+((DATOS!$B$27*C79/(DATOS!$B$14*((BH79+BI79)/2)))^2/((DATOS!$B$14*((BH79+BI79)/2))/(DATOS!$B$14+2*((BH79+BI79)/2)))^(4/3)))*(A78-A79)))&lt;0,BI79,((BH79+BI79)/2))</f>
        <v/>
      </c>
      <c r="BL79" s="16">
        <f>IF((((BJ79+BK79)/2)+(C79/(DATOS!$B$14*((BJ79+BK79)/2)))^2/(2*9.81)+B79-(E78+(C78/(DATOS!$B$14*E78))^2/(2*9.81)+B78+0.5*(((DATOS!$B$27*C78/(DATOS!$B$14*E78))^2/((DATOS!$B$14*E78)/(DATOS!$B$14+2*E78))^(4/3))+((DATOS!$B$27*C79/(DATOS!$B$14*((BJ79+BK79)/2)))^2/((DATOS!$B$14*((BJ79+BK79)/2))/(DATOS!$B$14+2*((BJ79+BK79)/2)))^(4/3)))*(A78-A79)))&lt;0,((BJ79+BK79)/2),BJ79)</f>
        <v/>
      </c>
      <c r="BM79" s="16">
        <f>IF((((BJ79+BK79)/2)+(C79/(DATOS!$B$14*((BJ79+BK79)/2)))^2/(2*9.81)+B79-(E78+(C78/(DATOS!$B$14*E78))^2/(2*9.81)+B78+0.5*(((DATOS!$B$27*C78/(DATOS!$B$14*E78))^2/((DATOS!$B$14*E78)/(DATOS!$B$14+2*E78))^(4/3))+((DATOS!$B$27*C79/(DATOS!$B$14*((BJ79+BK79)/2)))^2/((DATOS!$B$14*((BJ79+BK79)/2))/(DATOS!$B$14+2*((BJ79+BK79)/2)))^(4/3)))*(A78-A79)))&lt;0,BK79,((BJ79+BK79)/2))</f>
        <v/>
      </c>
      <c r="BN79" s="16">
        <f>IF((((BL79+BM79)/2)+(C79/(DATOS!$B$14*((BL79+BM79)/2)))^2/(2*9.81)+B79-(E78+(C78/(DATOS!$B$14*E78))^2/(2*9.81)+B78+0.5*(((DATOS!$B$27*C78/(DATOS!$B$14*E78))^2/((DATOS!$B$14*E78)/(DATOS!$B$14+2*E78))^(4/3))+((DATOS!$B$27*C79/(DATOS!$B$14*((BL79+BM79)/2)))^2/((DATOS!$B$14*((BL79+BM79)/2))/(DATOS!$B$14+2*((BL79+BM79)/2)))^(4/3)))*(A78-A79)))&lt;0,((BL79+BM79)/2),BL79)</f>
        <v/>
      </c>
      <c r="BO79" s="16">
        <f>IF((((BL79+BM79)/2)+(C79/(DATOS!$B$14*((BL79+BM79)/2)))^2/(2*9.81)+B79-(E78+(C78/(DATOS!$B$14*E78))^2/(2*9.81)+B78+0.5*(((DATOS!$B$27*C78/(DATOS!$B$14*E78))^2/((DATOS!$B$14*E78)/(DATOS!$B$14+2*E78))^(4/3))+((DATOS!$B$27*C79/(DATOS!$B$14*((BL79+BM79)/2)))^2/((DATOS!$B$14*((BL79+BM79)/2))/(DATOS!$B$14+2*((BL79+BM79)/2)))^(4/3)))*(A78-A79)))&lt;0,BM79,((BL79+BM79)/2))</f>
        <v/>
      </c>
      <c r="BP79" s="16">
        <f>IF((((BN79+BO79)/2)+(C79/(DATOS!$B$14*((BN79+BO79)/2)))^2/(2*9.81)+B79-(E78+(C78/(DATOS!$B$14*E78))^2/(2*9.81)+B78+0.5*(((DATOS!$B$27*C78/(DATOS!$B$14*E78))^2/((DATOS!$B$14*E78)/(DATOS!$B$14+2*E78))^(4/3))+((DATOS!$B$27*C79/(DATOS!$B$14*((BN79+BO79)/2)))^2/((DATOS!$B$14*((BN79+BO79)/2))/(DATOS!$B$14+2*((BN79+BO79)/2)))^(4/3)))*(A78-A79)))&lt;0,((BN79+BO79)/2),BN79)</f>
        <v/>
      </c>
      <c r="BQ79" s="16">
        <f>IF((((BN79+BO79)/2)+(C79/(DATOS!$B$14*((BN79+BO79)/2)))^2/(2*9.81)+B79-(E78+(C78/(DATOS!$B$14*E78))^2/(2*9.81)+B78+0.5*(((DATOS!$B$27*C78/(DATOS!$B$14*E78))^2/((DATOS!$B$14*E78)/(DATOS!$B$14+2*E78))^(4/3))+((DATOS!$B$27*C79/(DATOS!$B$14*((BN79+BO79)/2)))^2/((DATOS!$B$14*((BN79+BO79)/2))/(DATOS!$B$14+2*((BN79+BO79)/2)))^(4/3)))*(A78-A79)))&lt;0,BO79,((BN79+BO79)/2))</f>
        <v/>
      </c>
      <c r="BR79" s="16">
        <f>IF((((BP79+BQ79)/2)+(C79/(DATOS!$B$14*((BP79+BQ79)/2)))^2/(2*9.81)+B79-(E78+(C78/(DATOS!$B$14*E78))^2/(2*9.81)+B78+0.5*(((DATOS!$B$27*C78/(DATOS!$B$14*E78))^2/((DATOS!$B$14*E78)/(DATOS!$B$14+2*E78))^(4/3))+((DATOS!$B$27*C79/(DATOS!$B$14*((BP79+BQ79)/2)))^2/((DATOS!$B$14*((BP79+BQ79)/2))/(DATOS!$B$14+2*((BP79+BQ79)/2)))^(4/3)))*(A78-A79)))&lt;0,((BP79+BQ79)/2),BP79)</f>
        <v/>
      </c>
      <c r="BS79" s="16">
        <f>IF((((BP79+BQ79)/2)+(C79/(DATOS!$B$14*((BP79+BQ79)/2)))^2/(2*9.81)+B79-(E78+(C78/(DATOS!$B$14*E78))^2/(2*9.81)+B78+0.5*(((DATOS!$B$27*C78/(DATOS!$B$14*E78))^2/((DATOS!$B$14*E78)/(DATOS!$B$14+2*E78))^(4/3))+((DATOS!$B$27*C79/(DATOS!$B$14*((BP79+BQ79)/2)))^2/((DATOS!$B$14*((BP79+BQ79)/2))/(DATOS!$B$14+2*((BP79+BQ79)/2)))^(4/3)))*(A78-A79)))&lt;0,BQ79,((BP79+BQ79)/2))</f>
        <v/>
      </c>
      <c r="BT79" s="16">
        <f>IF((((BR79+BS79)/2)+(C79/(DATOS!$B$14*((BR79+BS79)/2)))^2/(2*9.81)+B79-(E78+(C78/(DATOS!$B$14*E78))^2/(2*9.81)+B78+0.5*(((DATOS!$B$27*C78/(DATOS!$B$14*E78))^2/((DATOS!$B$14*E78)/(DATOS!$B$14+2*E78))^(4/3))+((DATOS!$B$27*C79/(DATOS!$B$14*((BR79+BS79)/2)))^2/((DATOS!$B$14*((BR79+BS79)/2))/(DATOS!$B$14+2*((BR79+BS79)/2)))^(4/3)))*(A78-A79)))&lt;0,((BR79+BS79)/2),BR79)</f>
        <v/>
      </c>
      <c r="BU79" s="16">
        <f>IF((((BR79+BS79)/2)+(C79/(DATOS!$B$14*((BR79+BS79)/2)))^2/(2*9.81)+B79-(E78+(C78/(DATOS!$B$14*E78))^2/(2*9.81)+B78+0.5*(((DATOS!$B$27*C78/(DATOS!$B$14*E78))^2/((DATOS!$B$14*E78)/(DATOS!$B$14+2*E78))^(4/3))+((DATOS!$B$27*C79/(DATOS!$B$14*((BR79+BS79)/2)))^2/((DATOS!$B$14*((BR79+BS79)/2))/(DATOS!$B$14+2*((BR79+BS79)/2)))^(4/3)))*(A78-A79)))&lt;0,BS79,((BR79+BS79)/2))</f>
        <v/>
      </c>
    </row>
    <row r="81">
      <c r="A81" s="33" t="inlineStr">
        <is>
          <t>Resumen:</t>
        </is>
      </c>
    </row>
    <row r="82">
      <c r="A82" s="8" t="inlineStr">
        <is>
          <t>Llenado maximo</t>
        </is>
      </c>
      <c r="B82" s="34">
        <f>MAX(K5:K79)</f>
        <v/>
      </c>
    </row>
    <row r="83">
      <c r="A83" s="8" t="inlineStr">
        <is>
          <t>Borde libre minimo (m)</t>
        </is>
      </c>
      <c r="B83" s="29">
        <f>MIN(L5:L79)</f>
        <v/>
      </c>
    </row>
    <row r="84">
      <c r="A84" s="8" t="inlineStr">
        <is>
          <t>Estaciones que no cumplen</t>
        </is>
      </c>
      <c r="B84" s="35">
        <f>COUNTIF(M5:M79,"NO CUMPLE")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" customWidth="1" min="3" max="3"/>
    <col width="64" customWidth="1" min="4" max="4"/>
    <col width="14" customWidth="1" min="5" max="5"/>
  </cols>
  <sheetData>
    <row r="1" ht="24" customHeight="1">
      <c r="A1" s="1" t="inlineStr">
        <is>
          <t>5. VERIFICACION ESTRUCTURAL (RNE E.060, cargas E.020 / rueda AASHTO LRFD)</t>
        </is>
      </c>
    </row>
    <row r="2">
      <c r="A2" s="2" t="inlineStr">
        <is>
          <t>Colector pluvial frontal - tramo CAR Mujeres (CUI 2717013), dimensionado para recibir CAR Varones (CUI 2705619) y Hogar de Refugio (CUI 2675514) - Morales, San Martin</t>
        </is>
      </c>
    </row>
    <row r="3"/>
    <row r="4" ht="32" customHeight="1">
      <c r="A4" s="9" t="inlineStr">
        <is>
          <t>ELEMENTO / PARAMETRO</t>
        </is>
      </c>
      <c r="B4" s="9" t="inlineStr">
        <is>
          <t>VALOR</t>
        </is>
      </c>
      <c r="C4" s="9" t="inlineStr">
        <is>
          <t>UND</t>
        </is>
      </c>
      <c r="D4" s="9" t="inlineStr">
        <is>
          <t>FORMULA / CRITERIO</t>
        </is>
      </c>
      <c r="E4" s="9" t="inlineStr">
        <is>
          <t>RESULTADO</t>
        </is>
      </c>
    </row>
    <row r="5">
      <c r="A5" s="10" t="inlineStr">
        <is>
          <t>PARAMETROS</t>
        </is>
      </c>
    </row>
    <row r="6">
      <c r="A6" s="4" t="inlineStr">
        <is>
          <t>f'c</t>
        </is>
      </c>
      <c r="B6" s="36" t="n">
        <v>210</v>
      </c>
      <c r="C6" s="13" t="inlineStr">
        <is>
          <t>kg/cm2</t>
        </is>
      </c>
      <c r="D6" s="37" t="inlineStr">
        <is>
          <t>E.060</t>
        </is>
      </c>
      <c r="E6" s="32" t="n"/>
    </row>
    <row r="7">
      <c r="A7" s="4" t="inlineStr">
        <is>
          <t>fy</t>
        </is>
      </c>
      <c r="B7" s="36" t="n">
        <v>4200</v>
      </c>
      <c r="C7" s="13" t="inlineStr">
        <is>
          <t>kg/cm2</t>
        </is>
      </c>
      <c r="D7" s="37" t="inlineStr">
        <is>
          <t>Grado 60</t>
        </is>
      </c>
      <c r="E7" s="32" t="n"/>
    </row>
    <row r="8">
      <c r="A8" s="4" t="inlineStr">
        <is>
          <t>Peso concreto armado</t>
        </is>
      </c>
      <c r="B8" s="21" t="n">
        <v>2.4</v>
      </c>
      <c r="C8" s="13" t="inlineStr">
        <is>
          <t>t/m3</t>
        </is>
      </c>
      <c r="D8" s="37" t="inlineStr">
        <is>
          <t>E.020</t>
        </is>
      </c>
      <c r="E8" s="32" t="n"/>
    </row>
    <row r="9">
      <c r="A9" s="4" t="inlineStr">
        <is>
          <t>Peso suelo / relleno</t>
        </is>
      </c>
      <c r="B9" s="21" t="n">
        <v>1.8</v>
      </c>
      <c r="C9" s="13" t="inlineStr">
        <is>
          <t>t/m3</t>
        </is>
      </c>
      <c r="D9" s="37" t="inlineStr">
        <is>
          <t>Verificar con EMS</t>
        </is>
      </c>
      <c r="E9" s="32" t="n"/>
    </row>
    <row r="10">
      <c r="A10" s="4" t="inlineStr">
        <is>
          <t>Ko (reposo)</t>
        </is>
      </c>
      <c r="B10" s="21" t="n">
        <v>0.5</v>
      </c>
      <c r="C10" s="13" t="inlineStr">
        <is>
          <t>-</t>
        </is>
      </c>
      <c r="D10" s="37" t="inlineStr"/>
      <c r="E10" s="32" t="n"/>
    </row>
    <row r="11">
      <c r="A11" s="4" t="inlineStr">
        <is>
          <t>Sobrecarga peatonal</t>
        </is>
      </c>
      <c r="B11" s="21" t="n">
        <v>0.5</v>
      </c>
      <c r="C11" s="13" t="inlineStr">
        <is>
          <t>t/m2</t>
        </is>
      </c>
      <c r="D11" s="37" t="inlineStr">
        <is>
          <t>E.020</t>
        </is>
      </c>
      <c r="E11" s="32" t="n"/>
    </row>
    <row r="12">
      <c r="A12" s="4" t="inlineStr">
        <is>
          <t>Sobrecarga lateral autos</t>
        </is>
      </c>
      <c r="B12" s="21" t="n">
        <v>1</v>
      </c>
      <c r="C12" s="13" t="inlineStr">
        <is>
          <t>t/m2</t>
        </is>
      </c>
      <c r="D12" s="37" t="inlineStr"/>
      <c r="E12" s="32" t="n"/>
    </row>
    <row r="13">
      <c r="A13" s="4" t="inlineStr">
        <is>
          <t>Sobrecarga lateral camion (heq 1.50 m)</t>
        </is>
      </c>
      <c r="B13" s="21" t="n">
        <v>2.7</v>
      </c>
      <c r="C13" s="13" t="inlineStr">
        <is>
          <t>t/m2</t>
        </is>
      </c>
      <c r="D13" s="37" t="inlineStr">
        <is>
          <t>AASHTO 3.11.6.4</t>
        </is>
      </c>
      <c r="E13" s="32" t="n"/>
    </row>
    <row r="14">
      <c r="A14" s="4" t="inlineStr">
        <is>
          <t>Rueda auto / camioneta</t>
        </is>
      </c>
      <c r="B14" s="21" t="n">
        <v>1</v>
      </c>
      <c r="C14" s="13" t="inlineStr">
        <is>
          <t>t</t>
        </is>
      </c>
      <c r="D14" s="37" t="inlineStr"/>
      <c r="E14" s="32" t="n"/>
    </row>
    <row r="15">
      <c r="A15" s="4" t="inlineStr">
        <is>
          <t>Rueda camion HL-93</t>
        </is>
      </c>
      <c r="B15" s="21" t="n">
        <v>7.26</v>
      </c>
      <c r="C15" s="13" t="inlineStr">
        <is>
          <t>t</t>
        </is>
      </c>
      <c r="D15" s="37" t="inlineStr">
        <is>
          <t>AASHTO</t>
        </is>
      </c>
      <c r="E15" s="32" t="n"/>
    </row>
    <row r="16">
      <c r="A16" s="4" t="inlineStr">
        <is>
          <t>Impacto</t>
        </is>
      </c>
      <c r="B16" s="21" t="n">
        <v>0.33</v>
      </c>
      <c r="C16" s="13" t="inlineStr">
        <is>
          <t>-</t>
        </is>
      </c>
      <c r="D16" s="37" t="inlineStr">
        <is>
          <t>AASHTO 3.6.2</t>
        </is>
      </c>
      <c r="E16" s="32" t="n"/>
    </row>
    <row r="17">
      <c r="A17" s="4" t="inlineStr">
        <is>
          <t>Huella de rueda</t>
        </is>
      </c>
      <c r="B17" s="21" t="n">
        <v>0.25</v>
      </c>
      <c r="C17" s="13" t="inlineStr">
        <is>
          <t>m</t>
        </is>
      </c>
      <c r="D17" s="37" t="inlineStr">
        <is>
          <t>AASHTO 3.6.1.2.5</t>
        </is>
      </c>
      <c r="E17" s="32" t="n"/>
    </row>
    <row r="18">
      <c r="A18" s="4" t="inlineStr">
        <is>
          <t>Luz de calculo de tapas y losa superior</t>
        </is>
      </c>
      <c r="B18" s="21">
        <f>DATOS!$B$14+0.10</f>
        <v/>
      </c>
      <c r="C18" s="13" t="inlineStr">
        <is>
          <t>m</t>
        </is>
      </c>
      <c r="D18" s="37" t="inlineStr">
        <is>
          <t>b + apoyo</t>
        </is>
      </c>
      <c r="E18" s="32" t="n"/>
    </row>
    <row r="19">
      <c r="A19" s="10" t="inlineStr">
        <is>
          <t>A. LOSA SUPERIOR MONOLITICA e=0.10 - TRAMO EN VEREDA (marco 3/8" @0.20)</t>
        </is>
      </c>
    </row>
    <row r="20">
      <c r="A20" s="4" t="inlineStr">
        <is>
          <t>Espesor</t>
        </is>
      </c>
      <c r="B20" s="21" t="n">
        <v>0.1</v>
      </c>
      <c r="C20" s="13" t="inlineStr">
        <is>
          <t>m</t>
        </is>
      </c>
      <c r="D20" s="37" t="inlineStr"/>
      <c r="E20" s="32" t="n"/>
    </row>
    <row r="21">
      <c r="A21" s="4" t="inlineStr">
        <is>
          <t>Carga ultima</t>
        </is>
      </c>
      <c r="B21" s="21">
        <f>1.4*B8*B20+1.7*B11</f>
        <v/>
      </c>
      <c r="C21" s="13" t="inlineStr">
        <is>
          <t>t/m2</t>
        </is>
      </c>
      <c r="D21" s="37" t="inlineStr">
        <is>
          <t>1.4 D + 1.7 L</t>
        </is>
      </c>
      <c r="E21" s="32" t="n"/>
    </row>
    <row r="22">
      <c r="A22" s="4" t="inlineStr">
        <is>
          <t>Mu (simplemente apoyada, conservador)</t>
        </is>
      </c>
      <c r="B22" s="21">
        <f>B21*B18^2/8</f>
        <v/>
      </c>
      <c r="C22" s="13" t="inlineStr">
        <is>
          <t>t.m/m</t>
        </is>
      </c>
      <c r="D22" s="37" t="inlineStr">
        <is>
          <t>wu L2/8</t>
        </is>
      </c>
      <c r="E22" s="32" t="n"/>
    </row>
    <row r="23">
      <c r="A23" s="10" t="inlineStr">
        <is>
          <t>A. (cont.) Flexion</t>
        </is>
      </c>
    </row>
    <row r="24">
      <c r="A24" s="4" t="inlineStr">
        <is>
          <t>Peralte efectivo d</t>
        </is>
      </c>
      <c r="B24" s="17">
        <f>B20*100/2</f>
        <v/>
      </c>
      <c r="C24" s="13" t="inlineStr">
        <is>
          <t>cm</t>
        </is>
      </c>
      <c r="D24" s="37" t="inlineStr"/>
      <c r="E24" s="32" t="n"/>
    </row>
    <row r="25">
      <c r="A25" s="4" t="inlineStr">
        <is>
          <t>As colocado</t>
        </is>
      </c>
      <c r="B25" s="17">
        <f>0.71/0.2</f>
        <v/>
      </c>
      <c r="C25" s="13" t="inlineStr">
        <is>
          <t>cm2/m</t>
        </is>
      </c>
      <c r="D25" s="37" t="inlineStr"/>
      <c r="E25" s="32" t="n"/>
    </row>
    <row r="26">
      <c r="A26" s="4" t="inlineStr">
        <is>
          <t>a</t>
        </is>
      </c>
      <c r="B26" s="17">
        <f>B25*B7/(0.85*B6*100)</f>
        <v/>
      </c>
      <c r="C26" s="13" t="inlineStr">
        <is>
          <t>cm</t>
        </is>
      </c>
      <c r="D26" s="37" t="inlineStr"/>
      <c r="E26" s="32" t="n"/>
    </row>
    <row r="27">
      <c r="A27" s="4" t="inlineStr">
        <is>
          <t>Momento resistente fMn</t>
        </is>
      </c>
      <c r="B27" s="21">
        <f>0.9*B25*B7*(B24-B26/2)/100000</f>
        <v/>
      </c>
      <c r="C27" s="13" t="inlineStr">
        <is>
          <t>t.m/m</t>
        </is>
      </c>
      <c r="D27" s="37" t="inlineStr">
        <is>
          <t>0.9 As fy (d-a/2)</t>
        </is>
      </c>
      <c r="E27" s="32">
        <f>IF(B27&gt;=B22,"CUMPLE","NO CUMPLE")</f>
        <v/>
      </c>
    </row>
    <row r="28">
      <c r="A28" s="4" t="inlineStr">
        <is>
          <t>Cuantia minima 0.0018 b e</t>
        </is>
      </c>
      <c r="B28" s="17">
        <f>0.0018*100*B20*100</f>
        <v/>
      </c>
      <c r="C28" s="13" t="inlineStr">
        <is>
          <t>cm2/m</t>
        </is>
      </c>
      <c r="D28" s="37" t="inlineStr">
        <is>
          <t>E.060 9.7.2</t>
        </is>
      </c>
      <c r="E28" s="32">
        <f>IF(B25&gt;=B28,"CUMPLE","NO CUMPLE")</f>
        <v/>
      </c>
    </row>
    <row r="29">
      <c r="A29" s="10" t="inlineStr">
        <is>
          <t>B. LOSA SUPERIOR MONOLITICA e=0.10 - CRUCE DE AUTOS (marco 3/8" @0.15)</t>
        </is>
      </c>
    </row>
    <row r="30">
      <c r="A30" s="4" t="inlineStr">
        <is>
          <t>Espesor</t>
        </is>
      </c>
      <c r="B30" s="21" t="n">
        <v>0.1</v>
      </c>
      <c r="C30" s="13" t="inlineStr">
        <is>
          <t>m</t>
        </is>
      </c>
      <c r="D30" s="37" t="inlineStr"/>
      <c r="E30" s="32" t="n"/>
    </row>
    <row r="31">
      <c r="A31" s="4" t="inlineStr">
        <is>
          <t>Ancho de franja E</t>
        </is>
      </c>
      <c r="B31" s="21">
        <f>0.66+0.55*B18</f>
        <v/>
      </c>
      <c r="C31" s="13" t="inlineStr">
        <is>
          <t>m</t>
        </is>
      </c>
      <c r="D31" s="37" t="inlineStr">
        <is>
          <t>AASHTO 4.6.2.1.3 (losa continua)</t>
        </is>
      </c>
      <c r="E31" s="32" t="n"/>
    </row>
    <row r="32">
      <c r="A32" s="4" t="inlineStr">
        <is>
          <t>Momento por rueda</t>
        </is>
      </c>
      <c r="B32" s="21">
        <f>B14*(1+B16)*(B18/4-B17/8)/B31</f>
        <v/>
      </c>
      <c r="C32" s="13" t="inlineStr">
        <is>
          <t>t.m/m</t>
        </is>
      </c>
      <c r="D32" s="37" t="inlineStr">
        <is>
          <t>P(1+IM)(L/4-c/8)/E</t>
        </is>
      </c>
      <c r="E32" s="32" t="n"/>
    </row>
    <row r="33">
      <c r="A33" s="4" t="inlineStr">
        <is>
          <t>Mu</t>
        </is>
      </c>
      <c r="B33" s="21">
        <f>1.4*B8*B30*B18^2/8+1.7*B32</f>
        <v/>
      </c>
      <c r="C33" s="13" t="inlineStr">
        <is>
          <t>t.m/m</t>
        </is>
      </c>
      <c r="D33" s="37" t="inlineStr">
        <is>
          <t>1.4 MD + 1.7 ML</t>
        </is>
      </c>
      <c r="E33" s="32" t="n"/>
    </row>
    <row r="34">
      <c r="A34" s="10" t="inlineStr">
        <is>
          <t>B. (cont.) Flexion</t>
        </is>
      </c>
    </row>
    <row r="35">
      <c r="A35" s="4" t="inlineStr">
        <is>
          <t>Peralte efectivo d</t>
        </is>
      </c>
      <c r="B35" s="17">
        <f>B30*100/2</f>
        <v/>
      </c>
      <c r="C35" s="13" t="inlineStr">
        <is>
          <t>cm</t>
        </is>
      </c>
      <c r="D35" s="37" t="inlineStr"/>
      <c r="E35" s="32" t="n"/>
    </row>
    <row r="36">
      <c r="A36" s="4" t="inlineStr">
        <is>
          <t>As colocado</t>
        </is>
      </c>
      <c r="B36" s="17">
        <f>0.71/0.15</f>
        <v/>
      </c>
      <c r="C36" s="13" t="inlineStr">
        <is>
          <t>cm2/m</t>
        </is>
      </c>
      <c r="D36" s="37" t="inlineStr"/>
      <c r="E36" s="32" t="n"/>
    </row>
    <row r="37">
      <c r="A37" s="4" t="inlineStr">
        <is>
          <t>a</t>
        </is>
      </c>
      <c r="B37" s="17">
        <f>B36*B7/(0.85*B6*100)</f>
        <v/>
      </c>
      <c r="C37" s="13" t="inlineStr">
        <is>
          <t>cm</t>
        </is>
      </c>
      <c r="D37" s="37" t="inlineStr"/>
      <c r="E37" s="32" t="n"/>
    </row>
    <row r="38">
      <c r="A38" s="4" t="inlineStr">
        <is>
          <t>Momento resistente fMn</t>
        </is>
      </c>
      <c r="B38" s="21">
        <f>0.9*B36*B7*(B35-B37/2)/100000</f>
        <v/>
      </c>
      <c r="C38" s="13" t="inlineStr">
        <is>
          <t>t.m/m</t>
        </is>
      </c>
      <c r="D38" s="37" t="inlineStr">
        <is>
          <t>0.9 As fy (d-a/2)</t>
        </is>
      </c>
      <c r="E38" s="32">
        <f>IF(B38&gt;=B33,"CUMPLE","NO CUMPLE")</f>
        <v/>
      </c>
    </row>
    <row r="39">
      <c r="A39" s="4" t="inlineStr">
        <is>
          <t>Cuantia minima 0.0018 b e</t>
        </is>
      </c>
      <c r="B39" s="17">
        <f>0.0018*100*B30*100</f>
        <v/>
      </c>
      <c r="C39" s="13" t="inlineStr">
        <is>
          <t>cm2/m</t>
        </is>
      </c>
      <c r="D39" s="37" t="inlineStr">
        <is>
          <t>E.060 9.7.2</t>
        </is>
      </c>
      <c r="E39" s="32">
        <f>IF(B36&gt;=B39,"CUMPLE","NO CUMPLE")</f>
        <v/>
      </c>
    </row>
    <row r="40">
      <c r="A40" s="10" t="inlineStr">
        <is>
          <t>B2. TAPA DE REGISTRO 0.68 x 0.68 x 0.08 - 3/8" @0.10 (rueda de auto) - apoyada 0.05 m en el rebaje</t>
        </is>
      </c>
    </row>
    <row r="41">
      <c r="A41" s="4" t="inlineStr">
        <is>
          <t>Espesor</t>
        </is>
      </c>
      <c r="B41" s="21" t="n">
        <v>0.08</v>
      </c>
      <c r="C41" s="13" t="inlineStr">
        <is>
          <t>m</t>
        </is>
      </c>
      <c r="D41" s="37" t="inlineStr"/>
      <c r="E41" s="32" t="n"/>
    </row>
    <row r="42">
      <c r="A42" s="4" t="inlineStr">
        <is>
          <t>Luz de calculo</t>
        </is>
      </c>
      <c r="B42" s="21" t="n">
        <v>0.64</v>
      </c>
      <c r="C42" s="13" t="inlineStr">
        <is>
          <t>m</t>
        </is>
      </c>
      <c r="D42" s="37" t="inlineStr">
        <is>
          <t>luz libre 0.60 + apoyo 0.02 a cada lado</t>
        </is>
      </c>
      <c r="E42" s="32" t="n"/>
    </row>
    <row r="43">
      <c r="A43" s="4" t="inlineStr">
        <is>
          <t>Ancho de franja</t>
        </is>
      </c>
      <c r="B43" s="21">
        <f>MIN(0.66+0.55*B42,0.68)</f>
        <v/>
      </c>
      <c r="C43" s="13" t="inlineStr">
        <is>
          <t>m</t>
        </is>
      </c>
      <c r="D43" s="37" t="inlineStr">
        <is>
          <t>limitado al ancho de la tapa</t>
        </is>
      </c>
      <c r="E43" s="32" t="n"/>
    </row>
    <row r="44">
      <c r="A44" s="4" t="inlineStr">
        <is>
          <t>Momento por rueda</t>
        </is>
      </c>
      <c r="B44" s="21">
        <f>B14*(1+B16)*(B42/4-B17/8)/B43</f>
        <v/>
      </c>
      <c r="C44" s="13" t="inlineStr">
        <is>
          <t>t.m/m</t>
        </is>
      </c>
      <c r="D44" s="37" t="inlineStr"/>
      <c r="E44" s="32" t="n"/>
    </row>
    <row r="45">
      <c r="A45" s="4" t="inlineStr">
        <is>
          <t>Mu</t>
        </is>
      </c>
      <c r="B45" s="21">
        <f>1.4*B8*B41*B42^2/8+1.7*B44</f>
        <v/>
      </c>
      <c r="C45" s="13" t="inlineStr">
        <is>
          <t>t.m/m</t>
        </is>
      </c>
      <c r="D45" s="37" t="inlineStr"/>
      <c r="E45" s="32" t="n"/>
    </row>
    <row r="46">
      <c r="A46" s="10" t="inlineStr">
        <is>
          <t>B2. (cont.) Flexion</t>
        </is>
      </c>
    </row>
    <row r="47">
      <c r="A47" s="4" t="inlineStr">
        <is>
          <t>Peralte efectivo d</t>
        </is>
      </c>
      <c r="B47" s="17">
        <f>(B41-0.025)*100-0.48</f>
        <v/>
      </c>
      <c r="C47" s="13" t="inlineStr">
        <is>
          <t>cm</t>
        </is>
      </c>
      <c r="D47" s="37" t="inlineStr"/>
      <c r="E47" s="32" t="n"/>
    </row>
    <row r="48">
      <c r="A48" s="4" t="inlineStr">
        <is>
          <t>As colocado</t>
        </is>
      </c>
      <c r="B48" s="17">
        <f>0.71/0.1</f>
        <v/>
      </c>
      <c r="C48" s="13" t="inlineStr">
        <is>
          <t>cm2/m</t>
        </is>
      </c>
      <c r="D48" s="37" t="inlineStr"/>
      <c r="E48" s="32" t="n"/>
    </row>
    <row r="49">
      <c r="A49" s="4" t="inlineStr">
        <is>
          <t>a</t>
        </is>
      </c>
      <c r="B49" s="17">
        <f>B48*B7/(0.85*B6*100)</f>
        <v/>
      </c>
      <c r="C49" s="13" t="inlineStr">
        <is>
          <t>cm</t>
        </is>
      </c>
      <c r="D49" s="37" t="inlineStr"/>
      <c r="E49" s="32" t="n"/>
    </row>
    <row r="50">
      <c r="A50" s="4" t="inlineStr">
        <is>
          <t>Momento resistente fMn</t>
        </is>
      </c>
      <c r="B50" s="21">
        <f>0.9*B48*B7*(B47-B49/2)/100000</f>
        <v/>
      </c>
      <c r="C50" s="13" t="inlineStr">
        <is>
          <t>t.m/m</t>
        </is>
      </c>
      <c r="D50" s="37" t="inlineStr">
        <is>
          <t>0.9 As fy (d-a/2)</t>
        </is>
      </c>
      <c r="E50" s="32">
        <f>IF(B50&gt;=B45,"CUMPLE","NO CUMPLE")</f>
        <v/>
      </c>
    </row>
    <row r="51">
      <c r="A51" s="4" t="inlineStr">
        <is>
          <t>Cuantia minima 0.0018 b e</t>
        </is>
      </c>
      <c r="B51" s="17">
        <f>0.0018*100*B41*100</f>
        <v/>
      </c>
      <c r="C51" s="13" t="inlineStr">
        <is>
          <t>cm2/m</t>
        </is>
      </c>
      <c r="D51" s="37" t="inlineStr">
        <is>
          <t>E.060 9.7.2</t>
        </is>
      </c>
      <c r="E51" s="32">
        <f>IF(B48&gt;=B51,"CUMPLE","NO CUMPLE")</f>
        <v/>
      </c>
    </row>
    <row r="52">
      <c r="A52" s="10" t="inlineStr">
        <is>
          <t>C. LOSA SUPERIOR VACIADA IN SITU EN CRUCE DE CAMIONES e=0.20 - 1/2" @0.15 inferior</t>
        </is>
      </c>
    </row>
    <row r="53">
      <c r="A53" s="4" t="inlineStr">
        <is>
          <t>Espesor</t>
        </is>
      </c>
      <c r="B53" s="21">
        <f>DATOS!$B$25</f>
        <v/>
      </c>
      <c r="C53" s="13" t="inlineStr">
        <is>
          <t>m</t>
        </is>
      </c>
      <c r="D53" s="37" t="inlineStr"/>
      <c r="E53" s="32" t="n"/>
    </row>
    <row r="54">
      <c r="A54" s="4" t="inlineStr">
        <is>
          <t>Ancho de franja E</t>
        </is>
      </c>
      <c r="B54" s="21">
        <f>0.66+0.55*B18</f>
        <v/>
      </c>
      <c r="C54" s="13" t="inlineStr">
        <is>
          <t>m</t>
        </is>
      </c>
      <c r="D54" s="37" t="inlineStr">
        <is>
          <t>AASHTO 4.6.2.1.3 (losa continua)</t>
        </is>
      </c>
      <c r="E54" s="32" t="n"/>
    </row>
    <row r="55">
      <c r="A55" s="4" t="inlineStr">
        <is>
          <t>Momento por rueda</t>
        </is>
      </c>
      <c r="B55" s="21">
        <f>B15*(1+B16)*(B18/4-B17/8)/B54</f>
        <v/>
      </c>
      <c r="C55" s="13" t="inlineStr">
        <is>
          <t>t.m/m</t>
        </is>
      </c>
      <c r="D55" s="37" t="inlineStr">
        <is>
          <t>P(1+IM)(L/4-c/8)/E, simplemente apoyada (conservador)</t>
        </is>
      </c>
      <c r="E55" s="32" t="n"/>
    </row>
    <row r="56">
      <c r="A56" s="4" t="inlineStr">
        <is>
          <t>Mu</t>
        </is>
      </c>
      <c r="B56" s="21">
        <f>1.4*B8*B53*B18^2/8+1.7*B55</f>
        <v/>
      </c>
      <c r="C56" s="13" t="inlineStr">
        <is>
          <t>t.m/m</t>
        </is>
      </c>
      <c r="D56" s="37" t="inlineStr"/>
      <c r="E56" s="32" t="n"/>
    </row>
    <row r="57">
      <c r="A57" s="10" t="inlineStr">
        <is>
          <t>C. (cont.) Flexion</t>
        </is>
      </c>
    </row>
    <row r="58">
      <c r="A58" s="4" t="inlineStr">
        <is>
          <t>Peralte efectivo d</t>
        </is>
      </c>
      <c r="B58" s="17">
        <f>(B53-0.04)*100-0.635</f>
        <v/>
      </c>
      <c r="C58" s="13" t="inlineStr">
        <is>
          <t>cm</t>
        </is>
      </c>
      <c r="D58" s="37" t="inlineStr"/>
      <c r="E58" s="32" t="n"/>
    </row>
    <row r="59">
      <c r="A59" s="4" t="inlineStr">
        <is>
          <t>As colocado</t>
        </is>
      </c>
      <c r="B59" s="17">
        <f>1.27/0.15</f>
        <v/>
      </c>
      <c r="C59" s="13" t="inlineStr">
        <is>
          <t>cm2/m</t>
        </is>
      </c>
      <c r="D59" s="37" t="inlineStr"/>
      <c r="E59" s="32" t="n"/>
    </row>
    <row r="60">
      <c r="A60" s="4" t="inlineStr">
        <is>
          <t>a</t>
        </is>
      </c>
      <c r="B60" s="17">
        <f>B59*B7/(0.85*B6*100)</f>
        <v/>
      </c>
      <c r="C60" s="13" t="inlineStr">
        <is>
          <t>cm</t>
        </is>
      </c>
      <c r="D60" s="37" t="inlineStr"/>
      <c r="E60" s="32" t="n"/>
    </row>
    <row r="61">
      <c r="A61" s="4" t="inlineStr">
        <is>
          <t>Momento resistente fMn</t>
        </is>
      </c>
      <c r="B61" s="21">
        <f>0.9*B59*B7*(B58-B60/2)/100000</f>
        <v/>
      </c>
      <c r="C61" s="13" t="inlineStr">
        <is>
          <t>t.m/m</t>
        </is>
      </c>
      <c r="D61" s="37" t="inlineStr">
        <is>
          <t>0.9 As fy (d-a/2)</t>
        </is>
      </c>
      <c r="E61" s="32">
        <f>IF(B61&gt;=B56,"CUMPLE","NO CUMPLE")</f>
        <v/>
      </c>
    </row>
    <row r="62">
      <c r="A62" s="4" t="inlineStr">
        <is>
          <t>Cuantia minima 0.0018 b e</t>
        </is>
      </c>
      <c r="B62" s="17">
        <f>0.0018*100*B53*100</f>
        <v/>
      </c>
      <c r="C62" s="13" t="inlineStr">
        <is>
          <t>cm2/m</t>
        </is>
      </c>
      <c r="D62" s="37" t="inlineStr">
        <is>
          <t>E.060 9.7.2</t>
        </is>
      </c>
      <c r="E62" s="32">
        <f>IF(B59&gt;=B62,"CUMPLE","NO CUMPLE")</f>
        <v/>
      </c>
    </row>
    <row r="63">
      <c r="A63" s="4" t="inlineStr">
        <is>
          <t>Cortante ultimo Vu</t>
        </is>
      </c>
      <c r="B63" s="21">
        <f>1.7*B15*(1+B16)*(B18-B58/100-B17/2)/B18/B54+1.4*B8*B53*B18/2</f>
        <v/>
      </c>
      <c r="C63" s="13" t="inlineStr">
        <is>
          <t>t/m</t>
        </is>
      </c>
      <c r="D63" s="37" t="inlineStr">
        <is>
          <t>rueda a d del apoyo</t>
        </is>
      </c>
      <c r="E63" s="32" t="n"/>
    </row>
    <row r="64">
      <c r="A64" s="4" t="inlineStr">
        <is>
          <t>Cortante resistente fVc</t>
        </is>
      </c>
      <c r="B64" s="21">
        <f>0.85*0.53*SQRT(B6)*100*B58/1000</f>
        <v/>
      </c>
      <c r="C64" s="13" t="inlineStr">
        <is>
          <t>t/m</t>
        </is>
      </c>
      <c r="D64" s="37" t="inlineStr"/>
      <c r="E64" s="32">
        <f>IF(B64&gt;=B63,"CUMPLE","NO CUMPLE")</f>
        <v/>
      </c>
    </row>
    <row r="65">
      <c r="A65" s="10" t="inlineStr">
        <is>
          <t>D. MURO e=0.10 - vereda (marco 3/8" @0.20)</t>
        </is>
      </c>
    </row>
    <row r="66">
      <c r="A66" s="4" t="inlineStr">
        <is>
          <t>Altura del muro H</t>
        </is>
      </c>
      <c r="B66" s="21">
        <f>DATOS!$B$21-(DATOS!$B$16-DATOS!$B$19*DATOS!$B$20)</f>
        <v/>
      </c>
      <c r="C66" s="13" t="inlineStr">
        <is>
          <t>m</t>
        </is>
      </c>
      <c r="D66" s="37" t="inlineStr"/>
      <c r="E66" s="32" t="n"/>
    </row>
    <row r="67">
      <c r="A67" s="4" t="inlineStr">
        <is>
          <t>Sobrecarga lateral</t>
        </is>
      </c>
      <c r="B67" s="21">
        <f>B11</f>
        <v/>
      </c>
      <c r="C67" s="13" t="inlineStr">
        <is>
          <t>t/m2</t>
        </is>
      </c>
      <c r="D67" s="37" t="inlineStr"/>
      <c r="E67" s="32" t="n"/>
    </row>
    <row r="68">
      <c r="A68" s="4" t="inlineStr">
        <is>
          <t>Momento de servicio</t>
        </is>
      </c>
      <c r="B68" s="21">
        <f>B10*B9*B66^3/6+B10*B67*B66^2/2</f>
        <v/>
      </c>
      <c r="C68" s="13" t="inlineStr">
        <is>
          <t>t.m/m</t>
        </is>
      </c>
      <c r="D68" s="37" t="inlineStr">
        <is>
          <t>voladizo (conservador)</t>
        </is>
      </c>
      <c r="E68" s="32" t="n"/>
    </row>
    <row r="69">
      <c r="A69" s="4" t="inlineStr">
        <is>
          <t>Mu</t>
        </is>
      </c>
      <c r="B69" s="21">
        <f>1.7*B68</f>
        <v/>
      </c>
      <c r="C69" s="13" t="inlineStr">
        <is>
          <t>t.m/m</t>
        </is>
      </c>
      <c r="D69" s="37" t="inlineStr">
        <is>
          <t>1.7 empuje</t>
        </is>
      </c>
      <c r="E69" s="32" t="n"/>
    </row>
    <row r="70">
      <c r="A70" s="10" t="inlineStr">
        <is>
          <t>D. MURO e=0.10 - vereda (marco 3/8" @0.20) - flexion</t>
        </is>
      </c>
    </row>
    <row r="71">
      <c r="A71" s="4" t="inlineStr">
        <is>
          <t>Peralte efectivo d</t>
        </is>
      </c>
      <c r="B71" s="17">
        <f>0.1*100/2</f>
        <v/>
      </c>
      <c r="C71" s="13" t="inlineStr">
        <is>
          <t>cm</t>
        </is>
      </c>
      <c r="D71" s="37" t="inlineStr"/>
      <c r="E71" s="32" t="n"/>
    </row>
    <row r="72">
      <c r="A72" s="4" t="inlineStr">
        <is>
          <t>As colocado</t>
        </is>
      </c>
      <c r="B72" s="17">
        <f>0.71/0.2</f>
        <v/>
      </c>
      <c r="C72" s="13" t="inlineStr">
        <is>
          <t>cm2/m</t>
        </is>
      </c>
      <c r="D72" s="37" t="inlineStr"/>
      <c r="E72" s="32" t="n"/>
    </row>
    <row r="73">
      <c r="A73" s="4" t="inlineStr">
        <is>
          <t>a</t>
        </is>
      </c>
      <c r="B73" s="17">
        <f>B72*B7/(0.85*B6*100)</f>
        <v/>
      </c>
      <c r="C73" s="13" t="inlineStr">
        <is>
          <t>cm</t>
        </is>
      </c>
      <c r="D73" s="37" t="inlineStr"/>
      <c r="E73" s="32" t="n"/>
    </row>
    <row r="74">
      <c r="A74" s="4" t="inlineStr">
        <is>
          <t>Momento resistente fMn</t>
        </is>
      </c>
      <c r="B74" s="21">
        <f>0.9*B72*B7*(B71-B73/2)/100000</f>
        <v/>
      </c>
      <c r="C74" s="13" t="inlineStr">
        <is>
          <t>t.m/m</t>
        </is>
      </c>
      <c r="D74" s="37" t="inlineStr">
        <is>
          <t>0.9 As fy (d-a/2)</t>
        </is>
      </c>
      <c r="E74" s="32">
        <f>IF(B74&gt;=B69,"CUMPLE","NO CUMPLE")</f>
        <v/>
      </c>
    </row>
    <row r="75">
      <c r="A75" s="4" t="inlineStr">
        <is>
          <t>Cuantia minima 0.0018 b e</t>
        </is>
      </c>
      <c r="B75" s="17">
        <f>0.0018*100*0.1*100</f>
        <v/>
      </c>
      <c r="C75" s="13" t="inlineStr">
        <is>
          <t>cm2/m</t>
        </is>
      </c>
      <c r="D75" s="37" t="inlineStr">
        <is>
          <t>E.060 9.7.2</t>
        </is>
      </c>
      <c r="E75" s="32">
        <f>IF(B72&gt;=B75,"CUMPLE","NO CUMPLE")</f>
        <v/>
      </c>
    </row>
    <row r="76">
      <c r="A76" s="4" t="inlineStr">
        <is>
          <t>Vu</t>
        </is>
      </c>
      <c r="B76" s="21">
        <f>1.7*(B10*B9*B66^2/2+B10*B67*B66)</f>
        <v/>
      </c>
      <c r="C76" s="13" t="inlineStr">
        <is>
          <t>t/m</t>
        </is>
      </c>
      <c r="D76" s="37" t="inlineStr"/>
      <c r="E76" s="32" t="n"/>
    </row>
    <row r="77">
      <c r="A77" s="4" t="inlineStr">
        <is>
          <t>fVc</t>
        </is>
      </c>
      <c r="B77" s="21">
        <f>0.85*0.53*SQRT(B6)*100*B71/1000</f>
        <v/>
      </c>
      <c r="C77" s="13" t="inlineStr">
        <is>
          <t>t/m</t>
        </is>
      </c>
      <c r="D77" s="37" t="inlineStr"/>
      <c r="E77" s="32">
        <f>IF(B77&gt;=B76,"CUMPLE","NO CUMPLE")</f>
        <v/>
      </c>
    </row>
    <row r="78">
      <c r="A78" s="10" t="inlineStr">
        <is>
          <t>E. MURO e=0.10 - cruce de autos (marco 3/8" @0.15)</t>
        </is>
      </c>
    </row>
    <row r="79">
      <c r="A79" s="4" t="inlineStr">
        <is>
          <t>Altura del muro H</t>
        </is>
      </c>
      <c r="B79" s="21">
        <f>DATOS!$B$21-(DATOS!$B$16-DATOS!$B$19*DATOS!$B$20)</f>
        <v/>
      </c>
      <c r="C79" s="13" t="inlineStr">
        <is>
          <t>m</t>
        </is>
      </c>
      <c r="D79" s="37" t="inlineStr"/>
      <c r="E79" s="32" t="n"/>
    </row>
    <row r="80">
      <c r="A80" s="4" t="inlineStr">
        <is>
          <t>Sobrecarga lateral</t>
        </is>
      </c>
      <c r="B80" s="21">
        <f>B12</f>
        <v/>
      </c>
      <c r="C80" s="13" t="inlineStr">
        <is>
          <t>t/m2</t>
        </is>
      </c>
      <c r="D80" s="37" t="inlineStr"/>
      <c r="E80" s="32" t="n"/>
    </row>
    <row r="81">
      <c r="A81" s="4" t="inlineStr">
        <is>
          <t>Momento de servicio</t>
        </is>
      </c>
      <c r="B81" s="21">
        <f>B10*B9*B79^3/6+B10*B80*B79^2/2</f>
        <v/>
      </c>
      <c r="C81" s="13" t="inlineStr">
        <is>
          <t>t.m/m</t>
        </is>
      </c>
      <c r="D81" s="37" t="inlineStr">
        <is>
          <t>voladizo (conservador)</t>
        </is>
      </c>
      <c r="E81" s="32" t="n"/>
    </row>
    <row r="82">
      <c r="A82" s="4" t="inlineStr">
        <is>
          <t>Mu</t>
        </is>
      </c>
      <c r="B82" s="21">
        <f>1.7*B81</f>
        <v/>
      </c>
      <c r="C82" s="13" t="inlineStr">
        <is>
          <t>t.m/m</t>
        </is>
      </c>
      <c r="D82" s="37" t="inlineStr">
        <is>
          <t>1.7 empuje</t>
        </is>
      </c>
      <c r="E82" s="32" t="n"/>
    </row>
    <row r="83">
      <c r="A83" s="10" t="inlineStr">
        <is>
          <t>E. MURO e=0.10 - cruce de autos (marco 3/8" @0.15) - flexion</t>
        </is>
      </c>
    </row>
    <row r="84">
      <c r="A84" s="4" t="inlineStr">
        <is>
          <t>Peralte efectivo d</t>
        </is>
      </c>
      <c r="B84" s="17">
        <f>0.1*100/2</f>
        <v/>
      </c>
      <c r="C84" s="13" t="inlineStr">
        <is>
          <t>cm</t>
        </is>
      </c>
      <c r="D84" s="37" t="inlineStr"/>
      <c r="E84" s="32" t="n"/>
    </row>
    <row r="85">
      <c r="A85" s="4" t="inlineStr">
        <is>
          <t>As colocado</t>
        </is>
      </c>
      <c r="B85" s="17">
        <f>0.71/0.15</f>
        <v/>
      </c>
      <c r="C85" s="13" t="inlineStr">
        <is>
          <t>cm2/m</t>
        </is>
      </c>
      <c r="D85" s="37" t="inlineStr"/>
      <c r="E85" s="32" t="n"/>
    </row>
    <row r="86">
      <c r="A86" s="4" t="inlineStr">
        <is>
          <t>a</t>
        </is>
      </c>
      <c r="B86" s="17">
        <f>B85*B7/(0.85*B6*100)</f>
        <v/>
      </c>
      <c r="C86" s="13" t="inlineStr">
        <is>
          <t>cm</t>
        </is>
      </c>
      <c r="D86" s="37" t="inlineStr"/>
      <c r="E86" s="32" t="n"/>
    </row>
    <row r="87">
      <c r="A87" s="4" t="inlineStr">
        <is>
          <t>Momento resistente fMn</t>
        </is>
      </c>
      <c r="B87" s="21">
        <f>0.9*B85*B7*(B84-B86/2)/100000</f>
        <v/>
      </c>
      <c r="C87" s="13" t="inlineStr">
        <is>
          <t>t.m/m</t>
        </is>
      </c>
      <c r="D87" s="37" t="inlineStr">
        <is>
          <t>0.9 As fy (d-a/2)</t>
        </is>
      </c>
      <c r="E87" s="32">
        <f>IF(B87&gt;=B82,"CUMPLE","NO CUMPLE")</f>
        <v/>
      </c>
    </row>
    <row r="88">
      <c r="A88" s="4" t="inlineStr">
        <is>
          <t>Cuantia minima 0.0018 b e</t>
        </is>
      </c>
      <c r="B88" s="17">
        <f>0.0018*100*0.1*100</f>
        <v/>
      </c>
      <c r="C88" s="13" t="inlineStr">
        <is>
          <t>cm2/m</t>
        </is>
      </c>
      <c r="D88" s="37" t="inlineStr">
        <is>
          <t>E.060 9.7.2</t>
        </is>
      </c>
      <c r="E88" s="32">
        <f>IF(B85&gt;=B88,"CUMPLE","NO CUMPLE")</f>
        <v/>
      </c>
    </row>
    <row r="89">
      <c r="A89" s="4" t="inlineStr">
        <is>
          <t>Vu</t>
        </is>
      </c>
      <c r="B89" s="21">
        <f>1.7*(B10*B9*B79^2/2+B10*B80*B79)</f>
        <v/>
      </c>
      <c r="C89" s="13" t="inlineStr">
        <is>
          <t>t/m</t>
        </is>
      </c>
      <c r="D89" s="37" t="inlineStr"/>
      <c r="E89" s="32" t="n"/>
    </row>
    <row r="90">
      <c r="A90" s="4" t="inlineStr">
        <is>
          <t>fVc</t>
        </is>
      </c>
      <c r="B90" s="21">
        <f>0.85*0.53*SQRT(B6)*100*B84/1000</f>
        <v/>
      </c>
      <c r="C90" s="13" t="inlineStr">
        <is>
          <t>t/m</t>
        </is>
      </c>
      <c r="D90" s="37" t="inlineStr"/>
      <c r="E90" s="32">
        <f>IF(B90&gt;=B89,"CUMPLE","NO CUMPLE")</f>
        <v/>
      </c>
    </row>
    <row r="91">
      <c r="A91" s="10" t="inlineStr">
        <is>
          <t>F. MURO e=0.15 - cruce de camiones (marcos 1/2" @0.15, doble)</t>
        </is>
      </c>
    </row>
    <row r="92">
      <c r="A92" s="4" t="inlineStr">
        <is>
          <t>Altura del muro H</t>
        </is>
      </c>
      <c r="B92" s="21">
        <f>DATOS!$B$21-(DATOS!$B$16-DATOS!$B$19*DATOS!$B$20)</f>
        <v/>
      </c>
      <c r="C92" s="13" t="inlineStr">
        <is>
          <t>m</t>
        </is>
      </c>
      <c r="D92" s="37" t="inlineStr"/>
      <c r="E92" s="32" t="n"/>
    </row>
    <row r="93">
      <c r="A93" s="4" t="inlineStr">
        <is>
          <t>Sobrecarga lateral</t>
        </is>
      </c>
      <c r="B93" s="21">
        <f>B13</f>
        <v/>
      </c>
      <c r="C93" s="13" t="inlineStr">
        <is>
          <t>t/m2</t>
        </is>
      </c>
      <c r="D93" s="37" t="inlineStr"/>
      <c r="E93" s="32" t="n"/>
    </row>
    <row r="94">
      <c r="A94" s="4" t="inlineStr">
        <is>
          <t>Momento de servicio</t>
        </is>
      </c>
      <c r="B94" s="21">
        <f>B10*B9*B92^3/6+B10*B93*B92^2/2</f>
        <v/>
      </c>
      <c r="C94" s="13" t="inlineStr">
        <is>
          <t>t.m/m</t>
        </is>
      </c>
      <c r="D94" s="37" t="inlineStr">
        <is>
          <t>voladizo (conservador)</t>
        </is>
      </c>
      <c r="E94" s="32" t="n"/>
    </row>
    <row r="95">
      <c r="A95" s="4" t="inlineStr">
        <is>
          <t>Mu</t>
        </is>
      </c>
      <c r="B95" s="21">
        <f>1.7*B94</f>
        <v/>
      </c>
      <c r="C95" s="13" t="inlineStr">
        <is>
          <t>t.m/m</t>
        </is>
      </c>
      <c r="D95" s="37" t="inlineStr">
        <is>
          <t>1.7 empuje</t>
        </is>
      </c>
      <c r="E95" s="32" t="n"/>
    </row>
    <row r="96">
      <c r="A96" s="10" t="inlineStr">
        <is>
          <t>F. MURO e=0.15 - cruce de camiones (marcos 1/2" @0.15, doble) - flexion</t>
        </is>
      </c>
    </row>
    <row r="97">
      <c r="A97" s="4" t="inlineStr">
        <is>
          <t>Peralte efectivo d</t>
        </is>
      </c>
      <c r="B97" s="17">
        <f>(0.15-0.04)*100-0.635</f>
        <v/>
      </c>
      <c r="C97" s="13" t="inlineStr">
        <is>
          <t>cm</t>
        </is>
      </c>
      <c r="D97" s="37" t="inlineStr"/>
      <c r="E97" s="32" t="n"/>
    </row>
    <row r="98">
      <c r="A98" s="4" t="inlineStr">
        <is>
          <t>As colocado</t>
        </is>
      </c>
      <c r="B98" s="17">
        <f>1.27/0.15</f>
        <v/>
      </c>
      <c r="C98" s="13" t="inlineStr">
        <is>
          <t>cm2/m</t>
        </is>
      </c>
      <c r="D98" s="37" t="inlineStr"/>
      <c r="E98" s="32" t="n"/>
    </row>
    <row r="99">
      <c r="A99" s="4" t="inlineStr">
        <is>
          <t>a</t>
        </is>
      </c>
      <c r="B99" s="17">
        <f>B98*B7/(0.85*B6*100)</f>
        <v/>
      </c>
      <c r="C99" s="13" t="inlineStr">
        <is>
          <t>cm</t>
        </is>
      </c>
      <c r="D99" s="37" t="inlineStr"/>
      <c r="E99" s="32" t="n"/>
    </row>
    <row r="100">
      <c r="A100" s="4" t="inlineStr">
        <is>
          <t>Momento resistente fMn</t>
        </is>
      </c>
      <c r="B100" s="21">
        <f>0.9*B98*B7*(B97-B99/2)/100000</f>
        <v/>
      </c>
      <c r="C100" s="13" t="inlineStr">
        <is>
          <t>t.m/m</t>
        </is>
      </c>
      <c r="D100" s="37" t="inlineStr">
        <is>
          <t>0.9 As fy (d-a/2)</t>
        </is>
      </c>
      <c r="E100" s="32">
        <f>IF(B100&gt;=B95,"CUMPLE","NO CUMPLE")</f>
        <v/>
      </c>
    </row>
    <row r="101">
      <c r="A101" s="4" t="inlineStr">
        <is>
          <t>Cuantia minima 0.0018 b e</t>
        </is>
      </c>
      <c r="B101" s="17">
        <f>0.0018*100*0.15*100</f>
        <v/>
      </c>
      <c r="C101" s="13" t="inlineStr">
        <is>
          <t>cm2/m</t>
        </is>
      </c>
      <c r="D101" s="37" t="inlineStr">
        <is>
          <t>E.060 9.7.2</t>
        </is>
      </c>
      <c r="E101" s="32">
        <f>IF(B98&gt;=B101,"CUMPLE","NO CUMPLE")</f>
        <v/>
      </c>
    </row>
    <row r="102">
      <c r="A102" s="4" t="inlineStr">
        <is>
          <t>Vu</t>
        </is>
      </c>
      <c r="B102" s="21">
        <f>1.7*(B10*B9*B92^2/2+B10*B93*B92)</f>
        <v/>
      </c>
      <c r="C102" s="13" t="inlineStr">
        <is>
          <t>t/m</t>
        </is>
      </c>
      <c r="D102" s="37" t="inlineStr"/>
      <c r="E102" s="32" t="n"/>
    </row>
    <row r="103">
      <c r="A103" s="4" t="inlineStr">
        <is>
          <t>fVc</t>
        </is>
      </c>
      <c r="B103" s="21">
        <f>0.85*0.53*SQRT(B6)*100*B97/1000</f>
        <v/>
      </c>
      <c r="C103" s="13" t="inlineStr">
        <is>
          <t>t/m</t>
        </is>
      </c>
      <c r="D103" s="37" t="inlineStr"/>
      <c r="E103" s="32">
        <f>IF(B103&gt;=B102,"CUMPLE","NO CUMPLE")</f>
        <v/>
      </c>
    </row>
    <row r="104">
      <c r="A104" s="10" t="inlineStr">
        <is>
          <t>G. LOSA DE FONDO e=0.10 - vereda (3/8" @0.20)</t>
        </is>
      </c>
    </row>
    <row r="105">
      <c r="A105" s="4" t="inlineStr">
        <is>
          <t>Reaccion del suelo bajo la losa</t>
        </is>
      </c>
      <c r="B105" s="21">
        <f>(B8*0.10*(DATOS!$B$14+0.10)+B11*(DATOS!$B$14+0.10)+2*0.10*0.80*B8)/(DATOS!$B$14+0.20)</f>
        <v/>
      </c>
      <c r="C105" s="13" t="inlineStr">
        <is>
          <t>t/m2</t>
        </is>
      </c>
      <c r="D105" s="37" t="inlineStr">
        <is>
          <t>cargas que bajan por los muros / ancho exterior</t>
        </is>
      </c>
      <c r="E105" s="32" t="n"/>
    </row>
    <row r="106">
      <c r="A106" s="4" t="inlineStr">
        <is>
          <t>Mu (luz entre ejes de muros)</t>
        </is>
      </c>
      <c r="B106" s="21">
        <f>1.7*B105*(DATOS!$B$14+0.1)^2/8</f>
        <v/>
      </c>
      <c r="C106" s="13" t="inlineStr">
        <is>
          <t>t.m/m</t>
        </is>
      </c>
      <c r="D106" s="37" t="inlineStr">
        <is>
          <t>1.7 q L2/8</t>
        </is>
      </c>
      <c r="E106" s="32" t="n"/>
    </row>
    <row r="107">
      <c r="A107" s="10" t="inlineStr">
        <is>
          <t>G. LOSA DE FONDO e=0.10 - vereda (3/8" @0.20) - flexion</t>
        </is>
      </c>
    </row>
    <row r="108">
      <c r="A108" s="4" t="inlineStr">
        <is>
          <t>Peralte efectivo d</t>
        </is>
      </c>
      <c r="B108" s="17">
        <f>0.10*100/2</f>
        <v/>
      </c>
      <c r="C108" s="13" t="inlineStr">
        <is>
          <t>cm</t>
        </is>
      </c>
      <c r="D108" s="37" t="inlineStr"/>
      <c r="E108" s="32" t="n"/>
    </row>
    <row r="109">
      <c r="A109" s="4" t="inlineStr">
        <is>
          <t>As colocado</t>
        </is>
      </c>
      <c r="B109" s="17">
        <f>0.71/0.2</f>
        <v/>
      </c>
      <c r="C109" s="13" t="inlineStr">
        <is>
          <t>cm2/m</t>
        </is>
      </c>
      <c r="D109" s="37" t="inlineStr"/>
      <c r="E109" s="32" t="n"/>
    </row>
    <row r="110">
      <c r="A110" s="4" t="inlineStr">
        <is>
          <t>a</t>
        </is>
      </c>
      <c r="B110" s="17">
        <f>B109*B7/(0.85*B6*100)</f>
        <v/>
      </c>
      <c r="C110" s="13" t="inlineStr">
        <is>
          <t>cm</t>
        </is>
      </c>
      <c r="D110" s="37" t="inlineStr"/>
      <c r="E110" s="32" t="n"/>
    </row>
    <row r="111">
      <c r="A111" s="4" t="inlineStr">
        <is>
          <t>Momento resistente fMn</t>
        </is>
      </c>
      <c r="B111" s="21">
        <f>0.9*B109*B7*(B108-B110/2)/100000</f>
        <v/>
      </c>
      <c r="C111" s="13" t="inlineStr">
        <is>
          <t>t.m/m</t>
        </is>
      </c>
      <c r="D111" s="37" t="inlineStr">
        <is>
          <t>0.9 As fy (d-a/2)</t>
        </is>
      </c>
      <c r="E111" s="32">
        <f>IF(B111&gt;=B106,"CUMPLE","NO CUMPLE")</f>
        <v/>
      </c>
    </row>
    <row r="112">
      <c r="A112" s="4" t="inlineStr">
        <is>
          <t>Cuantia minima 0.0018 b e</t>
        </is>
      </c>
      <c r="B112" s="17">
        <f>0.0018*100*0.1*100</f>
        <v/>
      </c>
      <c r="C112" s="13" t="inlineStr">
        <is>
          <t>cm2/m</t>
        </is>
      </c>
      <c r="D112" s="37" t="inlineStr">
        <is>
          <t>E.060 9.7.2</t>
        </is>
      </c>
      <c r="E112" s="32">
        <f>IF(B109&gt;=B112,"CUMPLE","NO CUMPLE")</f>
        <v/>
      </c>
    </row>
    <row r="113">
      <c r="A113" s="10" t="inlineStr">
        <is>
          <t>H. LOSA DE FONDO e=0.10 - cruce de autos (3/8" @0.15)</t>
        </is>
      </c>
    </row>
    <row r="114">
      <c r="A114" s="4" t="inlineStr">
        <is>
          <t>Reaccion del suelo bajo la losa</t>
        </is>
      </c>
      <c r="B114" s="21">
        <f>(B8*0.15*(DATOS!$B$14+0.10)+B14*(1+B16)/(0.40+2*0.80)+2*0.10*0.80*B8)/(DATOS!$B$14+0.20)</f>
        <v/>
      </c>
      <c r="C114" s="13" t="inlineStr">
        <is>
          <t>t/m2</t>
        </is>
      </c>
      <c r="D114" s="37" t="inlineStr">
        <is>
          <t>cargas que bajan por los muros / ancho exterior</t>
        </is>
      </c>
      <c r="E114" s="32" t="n"/>
    </row>
    <row r="115">
      <c r="A115" s="4" t="inlineStr">
        <is>
          <t>Mu (luz entre ejes de muros)</t>
        </is>
      </c>
      <c r="B115" s="21">
        <f>1.7*B114*(DATOS!$B$14+0.1)^2/8</f>
        <v/>
      </c>
      <c r="C115" s="13" t="inlineStr">
        <is>
          <t>t.m/m</t>
        </is>
      </c>
      <c r="D115" s="37" t="inlineStr">
        <is>
          <t>1.7 q L2/8</t>
        </is>
      </c>
      <c r="E115" s="32" t="n"/>
    </row>
    <row r="116">
      <c r="A116" s="10" t="inlineStr">
        <is>
          <t>H. LOSA DE FONDO e=0.10 - cruce de autos (3/8" @0.15) - flexion</t>
        </is>
      </c>
    </row>
    <row r="117">
      <c r="A117" s="4" t="inlineStr">
        <is>
          <t>Peralte efectivo d</t>
        </is>
      </c>
      <c r="B117" s="17">
        <f>0.10*100/2</f>
        <v/>
      </c>
      <c r="C117" s="13" t="inlineStr">
        <is>
          <t>cm</t>
        </is>
      </c>
      <c r="D117" s="37" t="inlineStr"/>
      <c r="E117" s="32" t="n"/>
    </row>
    <row r="118">
      <c r="A118" s="4" t="inlineStr">
        <is>
          <t>As colocado</t>
        </is>
      </c>
      <c r="B118" s="17">
        <f>0.71/0.15</f>
        <v/>
      </c>
      <c r="C118" s="13" t="inlineStr">
        <is>
          <t>cm2/m</t>
        </is>
      </c>
      <c r="D118" s="37" t="inlineStr"/>
      <c r="E118" s="32" t="n"/>
    </row>
    <row r="119">
      <c r="A119" s="4" t="inlineStr">
        <is>
          <t>a</t>
        </is>
      </c>
      <c r="B119" s="17">
        <f>B118*B7/(0.85*B6*100)</f>
        <v/>
      </c>
      <c r="C119" s="13" t="inlineStr">
        <is>
          <t>cm</t>
        </is>
      </c>
      <c r="D119" s="37" t="inlineStr"/>
      <c r="E119" s="32" t="n"/>
    </row>
    <row r="120">
      <c r="A120" s="4" t="inlineStr">
        <is>
          <t>Momento resistente fMn</t>
        </is>
      </c>
      <c r="B120" s="21">
        <f>0.9*B118*B7*(B117-B119/2)/100000</f>
        <v/>
      </c>
      <c r="C120" s="13" t="inlineStr">
        <is>
          <t>t.m/m</t>
        </is>
      </c>
      <c r="D120" s="37" t="inlineStr">
        <is>
          <t>0.9 As fy (d-a/2)</t>
        </is>
      </c>
      <c r="E120" s="32">
        <f>IF(B120&gt;=B115,"CUMPLE","NO CUMPLE")</f>
        <v/>
      </c>
    </row>
    <row r="121">
      <c r="A121" s="4" t="inlineStr">
        <is>
          <t>Cuantia minima 0.0018 b e</t>
        </is>
      </c>
      <c r="B121" s="17">
        <f>0.0018*100*0.1*100</f>
        <v/>
      </c>
      <c r="C121" s="13" t="inlineStr">
        <is>
          <t>cm2/m</t>
        </is>
      </c>
      <c r="D121" s="37" t="inlineStr">
        <is>
          <t>E.060 9.7.2</t>
        </is>
      </c>
      <c r="E121" s="32">
        <f>IF(B118&gt;=B121,"CUMPLE","NO CUMPLE")</f>
        <v/>
      </c>
    </row>
    <row r="122">
      <c r="A122" s="10" t="inlineStr">
        <is>
          <t>I. LOSA DE FONDO e=0.20 - cruce de camiones (1/2" @0.15 doble malla)</t>
        </is>
      </c>
    </row>
    <row r="123">
      <c r="A123" s="4" t="inlineStr">
        <is>
          <t>Reaccion del suelo bajo la losa</t>
        </is>
      </c>
      <c r="B123" s="21">
        <f>(B8*B53*(DATOS!$B$14+0.30)+B15*(1+B16)/(1.00+2*0.90)+2*0.15*0.90*B8)/(DATOS!$B$14+0.30)</f>
        <v/>
      </c>
      <c r="C123" s="13" t="inlineStr">
        <is>
          <t>t/m2</t>
        </is>
      </c>
      <c r="D123" s="37" t="inlineStr">
        <is>
          <t>cargas que bajan por los muros / ancho exterior</t>
        </is>
      </c>
      <c r="E123" s="32" t="n"/>
    </row>
    <row r="124">
      <c r="A124" s="4" t="inlineStr">
        <is>
          <t>Mu (luz entre ejes de muros)</t>
        </is>
      </c>
      <c r="B124" s="21">
        <f>1.7*B123*(DATOS!$B$14+0.2)^2/8</f>
        <v/>
      </c>
      <c r="C124" s="13" t="inlineStr">
        <is>
          <t>t.m/m</t>
        </is>
      </c>
      <c r="D124" s="37" t="inlineStr">
        <is>
          <t>1.7 q L2/8</t>
        </is>
      </c>
      <c r="E124" s="32" t="n"/>
    </row>
    <row r="125">
      <c r="A125" s="10" t="inlineStr">
        <is>
          <t>I. LOSA DE FONDO e=0.20 - cruce de camiones (1/2" @0.15 doble malla) - flexion</t>
        </is>
      </c>
    </row>
    <row r="126">
      <c r="A126" s="4" t="inlineStr">
        <is>
          <t>Peralte efectivo d</t>
        </is>
      </c>
      <c r="B126" s="17">
        <f>(0.20-0.04)*100-0.635</f>
        <v/>
      </c>
      <c r="C126" s="13" t="inlineStr">
        <is>
          <t>cm</t>
        </is>
      </c>
      <c r="D126" s="37" t="inlineStr"/>
      <c r="E126" s="32" t="n"/>
    </row>
    <row r="127">
      <c r="A127" s="4" t="inlineStr">
        <is>
          <t>As colocado</t>
        </is>
      </c>
      <c r="B127" s="17">
        <f>1.27/0.15</f>
        <v/>
      </c>
      <c r="C127" s="13" t="inlineStr">
        <is>
          <t>cm2/m</t>
        </is>
      </c>
      <c r="D127" s="37" t="inlineStr"/>
      <c r="E127" s="32" t="n"/>
    </row>
    <row r="128">
      <c r="A128" s="4" t="inlineStr">
        <is>
          <t>a</t>
        </is>
      </c>
      <c r="B128" s="17">
        <f>B127*B7/(0.85*B6*100)</f>
        <v/>
      </c>
      <c r="C128" s="13" t="inlineStr">
        <is>
          <t>cm</t>
        </is>
      </c>
      <c r="D128" s="37" t="inlineStr"/>
      <c r="E128" s="32" t="n"/>
    </row>
    <row r="129">
      <c r="A129" s="4" t="inlineStr">
        <is>
          <t>Momento resistente fMn</t>
        </is>
      </c>
      <c r="B129" s="21">
        <f>0.9*B127*B7*(B126-B128/2)/100000</f>
        <v/>
      </c>
      <c r="C129" s="13" t="inlineStr">
        <is>
          <t>t.m/m</t>
        </is>
      </c>
      <c r="D129" s="37" t="inlineStr">
        <is>
          <t>0.9 As fy (d-a/2)</t>
        </is>
      </c>
      <c r="E129" s="32">
        <f>IF(B129&gt;=B124,"CUMPLE","NO CUMPLE")</f>
        <v/>
      </c>
    </row>
    <row r="130">
      <c r="A130" s="4" t="inlineStr">
        <is>
          <t>Cuantia minima 0.0018 b e</t>
        </is>
      </c>
      <c r="B130" s="17">
        <f>0.0018*100*0.2*100</f>
        <v/>
      </c>
      <c r="C130" s="13" t="inlineStr">
        <is>
          <t>cm2/m</t>
        </is>
      </c>
      <c r="D130" s="37" t="inlineStr">
        <is>
          <t>E.060 9.7.2</t>
        </is>
      </c>
      <c r="E130" s="32">
        <f>IF(B127&gt;=B130,"CUMPLE","NO CUMPLE")</f>
        <v/>
      </c>
    </row>
    <row r="131">
      <c r="A131" s="10" t="inlineStr">
        <is>
          <t>J. PRESION SOBRE EL SUELO (caso mas desfavorable: cruce de camiones con canal lleno)</t>
        </is>
      </c>
    </row>
    <row r="132">
      <c r="A132" s="4" t="inlineStr">
        <is>
          <t>Presion de contacto</t>
        </is>
      </c>
      <c r="B132" s="21">
        <f>((B8*(B53*(DATOS!$B$14+0.30)+2*0.15*0.90+0.20*(DATOS!$B$14+0.30)))+1*DATOS!$B$14*0.50+B15*(1+B16)/(1.00+2*0.90))/(DATOS!$B$14+0.30)/10</f>
        <v/>
      </c>
      <c r="C132" s="13" t="inlineStr">
        <is>
          <t>kg/cm2</t>
        </is>
      </c>
      <c r="D132" s="37" t="inlineStr">
        <is>
          <t>rueda repartida 1:1 hasta el fondo</t>
        </is>
      </c>
      <c r="E132" s="32" t="n"/>
    </row>
    <row r="133">
      <c r="A133" s="4" t="inlineStr">
        <is>
          <t>Capacidad admisible (verificar con EMS)</t>
        </is>
      </c>
      <c r="B133" s="17" t="n">
        <v>0.8</v>
      </c>
      <c r="C133" s="13" t="inlineStr">
        <is>
          <t>kg/cm2</t>
        </is>
      </c>
      <c r="D133" s="37" t="inlineStr"/>
      <c r="E133" s="32">
        <f>IF(B132&lt;=B133,"CUMPLE","VERIFICAR EMS")</f>
        <v/>
      </c>
    </row>
  </sheetData>
  <mergeCells count="24">
    <mergeCell ref="A34:E34"/>
    <mergeCell ref="A83:E83"/>
    <mergeCell ref="A107:E107"/>
    <mergeCell ref="A1:E1"/>
    <mergeCell ref="A70:E70"/>
    <mergeCell ref="A65:E65"/>
    <mergeCell ref="A78:E78"/>
    <mergeCell ref="A46:E46"/>
    <mergeCell ref="A57:E57"/>
    <mergeCell ref="A113:E113"/>
    <mergeCell ref="A2:E2"/>
    <mergeCell ref="A104:E104"/>
    <mergeCell ref="A116:E116"/>
    <mergeCell ref="A5:E5"/>
    <mergeCell ref="A23:E23"/>
    <mergeCell ref="A122:E122"/>
    <mergeCell ref="A91:E91"/>
    <mergeCell ref="A29:E29"/>
    <mergeCell ref="A131:E131"/>
    <mergeCell ref="A96:E96"/>
    <mergeCell ref="A125:E125"/>
    <mergeCell ref="A52:E52"/>
    <mergeCell ref="A19:E1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2026-10-02T20:01:01Z</dcterms:created>
  <dcterms:modified xmlns:dcterms="http://purl.org/dc/terms/" xmlns:xsi="http://www.w3.org/2001/XMLSchema-instance" xsi:type="dcterms:W3CDTF">2026-10-02T20:01:02Z</dcterms:modified>
</cp:coreProperties>
</file>