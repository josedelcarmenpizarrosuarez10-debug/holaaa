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<sst xmlns="http://schemas.openxmlformats.org/spreadsheetml/2006/main" count="3401" uniqueCount="1184">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</sst>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241.959543966302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210.979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241.959543966302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</v>
      </c>
      <c r="K316" s="27"/>
      <c r="L316" s="26"/>
    </row>
    <row r="317" customFormat="false" ht="46.5" hidden="false" customHeight="true" outlineLevel="0" collapsed="false">
      <c r="A317" s="26"/>
      <c r="B317" s="26" t="s">
        <v>219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151.42 kg; concreto 0.37 m3; acero 173.38 kg; pintura 9.82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210.979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</v>
      </c>
      <c r="I12" s="135" t="n">
        <f aca="false">H12*G12</f>
        <v>9</v>
      </c>
      <c r="J12" s="117" t="n">
        <f aca="false">MAX(1,ROUNDDOWN(E12/4,0))</f>
        <v>1</v>
      </c>
      <c r="K12" s="117" t="n">
        <f aca="false">C12</f>
        <v>3</v>
      </c>
      <c r="L12" s="135" t="n">
        <f aca="false">K12*J12</f>
        <v>3</v>
      </c>
      <c r="M12" s="117" t="n">
        <v>2</v>
      </c>
      <c r="N12" s="117" t="n">
        <f aca="false">C12</f>
        <v>3</v>
      </c>
      <c r="O12" s="135" t="n">
        <f aca="false">N12*M12</f>
        <v>6</v>
      </c>
      <c r="P12" s="138"/>
      <c r="Q12" s="138"/>
      <c r="R12" s="139" t="n">
        <f aca="false">Q12*P12</f>
        <v>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</v>
      </c>
      <c r="I13" s="135" t="n">
        <f aca="false">H13*G13</f>
        <v>9</v>
      </c>
      <c r="J13" s="117" t="n">
        <f aca="false">MAX(1,ROUNDDOWN(E13/4,0))</f>
        <v>1</v>
      </c>
      <c r="K13" s="117" t="n">
        <f aca="false">C13</f>
        <v>3</v>
      </c>
      <c r="L13" s="135" t="n">
        <f aca="false">K13*J13</f>
        <v>3</v>
      </c>
      <c r="M13" s="117" t="n">
        <v>2</v>
      </c>
      <c r="N13" s="117" t="n">
        <f aca="false">C13</f>
        <v>3</v>
      </c>
      <c r="O13" s="135" t="n">
        <f aca="false">N13*M13</f>
        <v>6</v>
      </c>
      <c r="P13" s="138"/>
      <c r="Q13" s="138"/>
      <c r="R13" s="139" t="n">
        <f aca="false">Q13*P13</f>
        <v>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</v>
      </c>
      <c r="I15" s="135" t="n">
        <f aca="false">H15*G15</f>
        <v>6</v>
      </c>
      <c r="J15" s="117" t="n">
        <f aca="false">MAX(1,ROUNDDOWN(E15/4,0))</f>
        <v>1</v>
      </c>
      <c r="K15" s="117" t="n">
        <f aca="false">C15</f>
        <v>2</v>
      </c>
      <c r="L15" s="135" t="n">
        <f aca="false">K15*J15</f>
        <v>2</v>
      </c>
      <c r="M15" s="117" t="n">
        <v>2</v>
      </c>
      <c r="N15" s="117" t="n">
        <f aca="false">C15</f>
        <v>2</v>
      </c>
      <c r="O15" s="135" t="n">
        <f aca="false">N15*M15</f>
        <v>4</v>
      </c>
      <c r="P15" s="138"/>
      <c r="Q15" s="138"/>
      <c r="R15" s="139" t="n">
        <f aca="false">Q15*P15</f>
        <v>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</v>
      </c>
      <c r="I16" s="135" t="n">
        <f aca="false">H16*G16</f>
        <v>6</v>
      </c>
      <c r="J16" s="117" t="n">
        <f aca="false">MAX(1,ROUNDDOWN(E16/4,0))</f>
        <v>1</v>
      </c>
      <c r="K16" s="117" t="n">
        <f aca="false">C16</f>
        <v>2</v>
      </c>
      <c r="L16" s="135" t="n">
        <f aca="false">K16*J16</f>
        <v>2</v>
      </c>
      <c r="M16" s="117" t="n">
        <v>2</v>
      </c>
      <c r="N16" s="117" t="n">
        <f aca="false">C16</f>
        <v>2</v>
      </c>
      <c r="O16" s="135" t="n">
        <f aca="false">N16*M16</f>
        <v>4</v>
      </c>
      <c r="P16" s="138"/>
      <c r="Q16" s="138"/>
      <c r="R16" s="139" t="n">
        <f aca="false">Q16*P16</f>
        <v>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</v>
      </c>
      <c r="I18" s="135" t="n">
        <f aca="false">H18*G18</f>
        <v>6</v>
      </c>
      <c r="J18" s="117" t="n">
        <f aca="false">MAX(1,ROUNDDOWN(E18/4,0))</f>
        <v>1</v>
      </c>
      <c r="K18" s="117" t="n">
        <f aca="false">C18</f>
        <v>2</v>
      </c>
      <c r="L18" s="135" t="n">
        <f aca="false">K18*J18</f>
        <v>2</v>
      </c>
      <c r="M18" s="117" t="n">
        <v>2</v>
      </c>
      <c r="N18" s="117" t="n">
        <f aca="false">C18</f>
        <v>2</v>
      </c>
      <c r="O18" s="135" t="n">
        <f aca="false">N18*M18</f>
        <v>4</v>
      </c>
      <c r="P18" s="138"/>
      <c r="Q18" s="138"/>
      <c r="R18" s="139" t="n">
        <f aca="false">Q18*P18</f>
        <v>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</v>
      </c>
      <c r="I19" s="135" t="n">
        <f aca="false">H19*G19</f>
        <v>6</v>
      </c>
      <c r="J19" s="117" t="n">
        <f aca="false">MAX(1,ROUNDDOWN(E19/4,0))</f>
        <v>1</v>
      </c>
      <c r="K19" s="117" t="n">
        <f aca="false">C19</f>
        <v>2</v>
      </c>
      <c r="L19" s="135" t="n">
        <f aca="false">K19*J19</f>
        <v>2</v>
      </c>
      <c r="M19" s="117" t="n">
        <v>2</v>
      </c>
      <c r="N19" s="117" t="n">
        <f aca="false">C19</f>
        <v>2</v>
      </c>
      <c r="O19" s="135" t="n">
        <f aca="false">N19*M19</f>
        <v>4</v>
      </c>
      <c r="P19" s="138"/>
      <c r="Q19" s="138"/>
      <c r="R19" s="139" t="n">
        <f aca="false">Q19*P19</f>
        <v>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</v>
      </c>
      <c r="I21" s="135" t="n">
        <f aca="false">H21*G21</f>
        <v>9</v>
      </c>
      <c r="J21" s="117" t="n">
        <f aca="false">MAX(1,ROUNDDOWN(E21/4,0))</f>
        <v>1</v>
      </c>
      <c r="K21" s="117" t="n">
        <f aca="false">C21</f>
        <v>3</v>
      </c>
      <c r="L21" s="135" t="n">
        <f aca="false">K21*J21</f>
        <v>3</v>
      </c>
      <c r="M21" s="117" t="n">
        <v>2</v>
      </c>
      <c r="N21" s="117" t="n">
        <f aca="false">C21</f>
        <v>3</v>
      </c>
      <c r="O21" s="135" t="n">
        <f aca="false">N21*M21</f>
        <v>6</v>
      </c>
      <c r="P21" s="138"/>
      <c r="Q21" s="138"/>
      <c r="R21" s="139" t="n">
        <f aca="false">Q21*P21</f>
        <v>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</v>
      </c>
      <c r="I22" s="135" t="n">
        <f aca="false">H22*G22</f>
        <v>9</v>
      </c>
      <c r="J22" s="117" t="n">
        <f aca="false">MAX(1,ROUNDDOWN(E22/4,0))</f>
        <v>1</v>
      </c>
      <c r="K22" s="117" t="n">
        <f aca="false">C22</f>
        <v>3</v>
      </c>
      <c r="L22" s="135" t="n">
        <f aca="false">K22*J22</f>
        <v>3</v>
      </c>
      <c r="M22" s="117" t="n">
        <v>2</v>
      </c>
      <c r="N22" s="117" t="n">
        <f aca="false">C22</f>
        <v>3</v>
      </c>
      <c r="O22" s="135" t="n">
        <f aca="false">N22*M22</f>
        <v>6</v>
      </c>
      <c r="P22" s="138"/>
      <c r="Q22" s="138"/>
      <c r="R22" s="139" t="n">
        <f aca="false">Q22*P22</f>
        <v>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</v>
      </c>
      <c r="I24" s="135" t="n">
        <f aca="false">H24*G24</f>
        <v>9</v>
      </c>
      <c r="J24" s="117" t="n">
        <f aca="false">MAX(1,ROUNDDOWN(E24/4,0))</f>
        <v>1</v>
      </c>
      <c r="K24" s="117" t="n">
        <f aca="false">C24</f>
        <v>3</v>
      </c>
      <c r="L24" s="135" t="n">
        <f aca="false">K24*J24</f>
        <v>3</v>
      </c>
      <c r="M24" s="117" t="n">
        <v>2</v>
      </c>
      <c r="N24" s="117" t="n">
        <f aca="false">C24</f>
        <v>3</v>
      </c>
      <c r="O24" s="135" t="n">
        <f aca="false">N24*M24</f>
        <v>6</v>
      </c>
      <c r="P24" s="138"/>
      <c r="Q24" s="138"/>
      <c r="R24" s="139" t="n">
        <f aca="false">Q24*P24</f>
        <v>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</v>
      </c>
      <c r="I25" s="135" t="n">
        <f aca="false">H25*G25</f>
        <v>9</v>
      </c>
      <c r="J25" s="117" t="n">
        <f aca="false">MAX(1,ROUNDDOWN(E25/4,0))</f>
        <v>1</v>
      </c>
      <c r="K25" s="117" t="n">
        <f aca="false">C25</f>
        <v>3</v>
      </c>
      <c r="L25" s="135" t="n">
        <f aca="false">K25*J25</f>
        <v>3</v>
      </c>
      <c r="M25" s="117" t="n">
        <v>2</v>
      </c>
      <c r="N25" s="117" t="n">
        <f aca="false">C25</f>
        <v>3</v>
      </c>
      <c r="O25" s="135" t="n">
        <f aca="false">N25*M25</f>
        <v>6</v>
      </c>
      <c r="P25" s="138"/>
      <c r="Q25" s="138"/>
      <c r="R25" s="139" t="n">
        <f aca="false">Q25*P25</f>
        <v>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</v>
      </c>
      <c r="I27" s="135" t="n">
        <f aca="false">H27*G27</f>
        <v>6</v>
      </c>
      <c r="J27" s="117" t="n">
        <f aca="false">MAX(1,ROUNDDOWN(E27/4,0))</f>
        <v>1</v>
      </c>
      <c r="K27" s="117" t="n">
        <f aca="false">C27</f>
        <v>2</v>
      </c>
      <c r="L27" s="135" t="n">
        <f aca="false">K27*J27</f>
        <v>2</v>
      </c>
      <c r="M27" s="117" t="n">
        <v>2</v>
      </c>
      <c r="N27" s="117" t="n">
        <f aca="false">C27</f>
        <v>2</v>
      </c>
      <c r="O27" s="135" t="n">
        <f aca="false">N27*M27</f>
        <v>4</v>
      </c>
      <c r="P27" s="138"/>
      <c r="Q27" s="138"/>
      <c r="R27" s="139" t="n">
        <f aca="false">Q27*P27</f>
        <v>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</v>
      </c>
      <c r="I28" s="135" t="n">
        <f aca="false">H28*G28</f>
        <v>6</v>
      </c>
      <c r="J28" s="117" t="n">
        <f aca="false">MAX(1,ROUNDDOWN(E28/4,0))</f>
        <v>1</v>
      </c>
      <c r="K28" s="117" t="n">
        <f aca="false">C28</f>
        <v>2</v>
      </c>
      <c r="L28" s="135" t="n">
        <f aca="false">K28*J28</f>
        <v>2</v>
      </c>
      <c r="M28" s="117" t="n">
        <v>2</v>
      </c>
      <c r="N28" s="117" t="n">
        <f aca="false">C28</f>
        <v>2</v>
      </c>
      <c r="O28" s="135" t="n">
        <f aca="false">N28*M28</f>
        <v>4</v>
      </c>
      <c r="P28" s="138"/>
      <c r="Q28" s="138"/>
      <c r="R28" s="139" t="n">
        <f aca="false">Q28*P28</f>
        <v>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</v>
      </c>
      <c r="I30" s="135" t="n">
        <f aca="false">H30*G30</f>
        <v>9</v>
      </c>
      <c r="J30" s="117" t="n">
        <f aca="false">MAX(1,ROUNDDOWN(E30/4,0))</f>
        <v>1</v>
      </c>
      <c r="K30" s="117" t="n">
        <f aca="false">C30</f>
        <v>3</v>
      </c>
      <c r="L30" s="135" t="n">
        <f aca="false">K30*J30</f>
        <v>3</v>
      </c>
      <c r="M30" s="117" t="n">
        <v>2</v>
      </c>
      <c r="N30" s="117" t="n">
        <f aca="false">C30</f>
        <v>3</v>
      </c>
      <c r="O30" s="135" t="n">
        <f aca="false">N30*M30</f>
        <v>6</v>
      </c>
      <c r="P30" s="138"/>
      <c r="Q30" s="138"/>
      <c r="R30" s="139" t="n">
        <f aca="false">Q30*P30</f>
        <v>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</v>
      </c>
      <c r="I31" s="135" t="n">
        <f aca="false">H31*G31</f>
        <v>9</v>
      </c>
      <c r="J31" s="117" t="n">
        <f aca="false">MAX(1,ROUNDDOWN(E31/4,0))</f>
        <v>1</v>
      </c>
      <c r="K31" s="117" t="n">
        <f aca="false">C31</f>
        <v>3</v>
      </c>
      <c r="L31" s="135" t="n">
        <f aca="false">K31*J31</f>
        <v>3</v>
      </c>
      <c r="M31" s="117" t="n">
        <v>2</v>
      </c>
      <c r="N31" s="117" t="n">
        <f aca="false">C31</f>
        <v>3</v>
      </c>
      <c r="O31" s="135" t="n">
        <f aca="false">N31*M31</f>
        <v>6</v>
      </c>
      <c r="P31" s="138"/>
      <c r="Q31" s="138"/>
      <c r="R31" s="139" t="n">
        <f aca="false">Q31*P31</f>
        <v>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</v>
      </c>
      <c r="I33" s="135" t="n">
        <f aca="false">H33*G33</f>
        <v>6</v>
      </c>
      <c r="J33" s="117" t="n">
        <f aca="false">MAX(1,ROUNDDOWN(E33/4,0))</f>
        <v>1</v>
      </c>
      <c r="K33" s="117" t="n">
        <f aca="false">C33</f>
        <v>2</v>
      </c>
      <c r="L33" s="135" t="n">
        <f aca="false">K33*J33</f>
        <v>2</v>
      </c>
      <c r="M33" s="117" t="n">
        <v>2</v>
      </c>
      <c r="N33" s="117" t="n">
        <f aca="false">C33</f>
        <v>2</v>
      </c>
      <c r="O33" s="135" t="n">
        <f aca="false">N33*M33</f>
        <v>4</v>
      </c>
      <c r="P33" s="138"/>
      <c r="Q33" s="138"/>
      <c r="R33" s="139" t="n">
        <f aca="false">Q33*P33</f>
        <v>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</v>
      </c>
      <c r="I34" s="135" t="n">
        <f aca="false">H34*G34</f>
        <v>6</v>
      </c>
      <c r="J34" s="117" t="n">
        <f aca="false">MAX(1,ROUNDDOWN(E34/4,0))</f>
        <v>1</v>
      </c>
      <c r="K34" s="117" t="n">
        <f aca="false">C34</f>
        <v>2</v>
      </c>
      <c r="L34" s="135" t="n">
        <f aca="false">K34*J34</f>
        <v>2</v>
      </c>
      <c r="M34" s="117" t="n">
        <v>2</v>
      </c>
      <c r="N34" s="117" t="n">
        <f aca="false">C34</f>
        <v>2</v>
      </c>
      <c r="O34" s="135" t="n">
        <f aca="false">N34*M34</f>
        <v>4</v>
      </c>
      <c r="P34" s="138"/>
      <c r="Q34" s="138"/>
      <c r="R34" s="139" t="n">
        <f aca="false">Q34*P34</f>
        <v>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</v>
      </c>
      <c r="I36" s="135" t="n">
        <f aca="false">H36*G36</f>
        <v>6</v>
      </c>
      <c r="J36" s="117" t="n">
        <f aca="false">MAX(1,ROUNDDOWN(E36/4,0))</f>
        <v>1</v>
      </c>
      <c r="K36" s="117" t="n">
        <f aca="false">C36</f>
        <v>2</v>
      </c>
      <c r="L36" s="135" t="n">
        <f aca="false">K36*J36</f>
        <v>2</v>
      </c>
      <c r="M36" s="117" t="n">
        <v>2</v>
      </c>
      <c r="N36" s="117" t="n">
        <f aca="false">C36</f>
        <v>2</v>
      </c>
      <c r="O36" s="135" t="n">
        <f aca="false">N36*M36</f>
        <v>4</v>
      </c>
      <c r="P36" s="138"/>
      <c r="Q36" s="138"/>
      <c r="R36" s="139" t="n">
        <f aca="false">Q36*P36</f>
        <v>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</v>
      </c>
      <c r="I37" s="135" t="n">
        <f aca="false">H37*G37</f>
        <v>6</v>
      </c>
      <c r="J37" s="117" t="n">
        <f aca="false">MAX(1,ROUNDDOWN(E37/4,0))</f>
        <v>1</v>
      </c>
      <c r="K37" s="117" t="n">
        <f aca="false">C37</f>
        <v>2</v>
      </c>
      <c r="L37" s="135" t="n">
        <f aca="false">K37*J37</f>
        <v>2</v>
      </c>
      <c r="M37" s="117" t="n">
        <v>2</v>
      </c>
      <c r="N37" s="117" t="n">
        <f aca="false">C37</f>
        <v>2</v>
      </c>
      <c r="O37" s="135" t="n">
        <f aca="false">N37*M37</f>
        <v>4</v>
      </c>
      <c r="P37" s="138"/>
      <c r="Q37" s="138"/>
      <c r="R37" s="139" t="n">
        <f aca="false">Q37*P37</f>
        <v>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</v>
      </c>
      <c r="E39" s="117" t="n">
        <v>11</v>
      </c>
      <c r="F39" s="135" t="n">
        <f aca="false">E39*D39</f>
        <v>44</v>
      </c>
      <c r="G39" s="117" t="n">
        <v>3</v>
      </c>
      <c r="H39" s="117" t="n">
        <f aca="false">C39</f>
        <v>4</v>
      </c>
      <c r="I39" s="135" t="n">
        <f aca="false">H39*G39</f>
        <v>12</v>
      </c>
      <c r="J39" s="117" t="n">
        <v>3</v>
      </c>
      <c r="K39" s="117" t="n">
        <f aca="false">C39</f>
        <v>4</v>
      </c>
      <c r="L39" s="135" t="n">
        <f aca="false">K39*J39</f>
        <v>12</v>
      </c>
      <c r="M39" s="117" t="n">
        <v>0</v>
      </c>
      <c r="N39" s="117" t="n">
        <f aca="false">C39</f>
        <v>4</v>
      </c>
      <c r="O39" s="135" t="n">
        <f aca="false">N39*M39</f>
        <v>0</v>
      </c>
      <c r="P39" s="138"/>
      <c r="Q39" s="138"/>
      <c r="R39" s="139" t="n">
        <f aca="false">Q39*P39</f>
        <v>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</v>
      </c>
      <c r="E40" s="117" t="n">
        <v>11</v>
      </c>
      <c r="F40" s="135" t="n">
        <f aca="false">E40*D40</f>
        <v>44</v>
      </c>
      <c r="G40" s="117" t="n">
        <v>3</v>
      </c>
      <c r="H40" s="117" t="n">
        <f aca="false">C40</f>
        <v>4</v>
      </c>
      <c r="I40" s="135" t="n">
        <f aca="false">H40*G40</f>
        <v>12</v>
      </c>
      <c r="J40" s="117" t="n">
        <v>3</v>
      </c>
      <c r="K40" s="117" t="n">
        <f aca="false">C40</f>
        <v>4</v>
      </c>
      <c r="L40" s="135" t="n">
        <f aca="false">K40*J40</f>
        <v>12</v>
      </c>
      <c r="M40" s="117" t="n">
        <v>0</v>
      </c>
      <c r="N40" s="117" t="n">
        <f aca="false">C40</f>
        <v>4</v>
      </c>
      <c r="O40" s="135" t="n">
        <f aca="false">N40*M40</f>
        <v>0</v>
      </c>
      <c r="P40" s="138"/>
      <c r="Q40" s="138"/>
      <c r="R40" s="139" t="n">
        <f aca="false">Q40*P40</f>
        <v>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</v>
      </c>
      <c r="E41" s="117" t="n">
        <v>6</v>
      </c>
      <c r="F41" s="135" t="n">
        <f aca="false">E41*D41</f>
        <v>6</v>
      </c>
      <c r="G41" s="117" t="n">
        <v>3</v>
      </c>
      <c r="H41" s="117" t="n">
        <f aca="false">C41</f>
        <v>1</v>
      </c>
      <c r="I41" s="135" t="n">
        <f aca="false">H41*G41</f>
        <v>3</v>
      </c>
      <c r="J41" s="117" t="n">
        <v>1</v>
      </c>
      <c r="K41" s="117" t="n">
        <f aca="false">C41</f>
        <v>1</v>
      </c>
      <c r="L41" s="135" t="n">
        <f aca="false">K41*J41</f>
        <v>1</v>
      </c>
      <c r="M41" s="117" t="n">
        <v>1</v>
      </c>
      <c r="N41" s="117" t="n">
        <f aca="false">C41</f>
        <v>1</v>
      </c>
      <c r="O41" s="135" t="n">
        <f aca="false">N41*M41</f>
        <v>1</v>
      </c>
      <c r="P41" s="138"/>
      <c r="Q41" s="138"/>
      <c r="R41" s="139" t="n">
        <f aca="false">Q41*P41</f>
        <v>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</v>
      </c>
      <c r="E42" s="117" t="n">
        <v>6</v>
      </c>
      <c r="F42" s="135" t="n">
        <f aca="false">E42*D42</f>
        <v>6</v>
      </c>
      <c r="G42" s="117" t="n">
        <v>3</v>
      </c>
      <c r="H42" s="117" t="n">
        <f aca="false">C42</f>
        <v>1</v>
      </c>
      <c r="I42" s="135" t="n">
        <f aca="false">H42*G42</f>
        <v>3</v>
      </c>
      <c r="J42" s="117" t="n">
        <v>1</v>
      </c>
      <c r="K42" s="117" t="n">
        <f aca="false">C42</f>
        <v>1</v>
      </c>
      <c r="L42" s="135" t="n">
        <f aca="false">K42*J42</f>
        <v>1</v>
      </c>
      <c r="M42" s="117" t="n">
        <v>1</v>
      </c>
      <c r="N42" s="117" t="n">
        <f aca="false">C42</f>
        <v>1</v>
      </c>
      <c r="O42" s="135" t="n">
        <f aca="false">N42*M42</f>
        <v>1</v>
      </c>
      <c r="P42" s="138"/>
      <c r="Q42" s="138"/>
      <c r="R42" s="139" t="n">
        <f aca="false">Q42*P42</f>
        <v>0</v>
      </c>
    </row>
    <row r="43" customFormat="false" ht="23.25" hidden="false" customHeight="true" outlineLevel="0" collapsed="false">
      <c r="C43" s="142" t="n">
        <f aca="false">SUM(C11:C42)</f>
        <v>54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</v>
      </c>
      <c r="J43" s="117"/>
      <c r="K43" s="117"/>
      <c r="L43" s="142" t="n">
        <f aca="false">SUM(L11:L42)</f>
        <v>70</v>
      </c>
      <c r="M43" s="117"/>
      <c r="N43" s="117"/>
      <c r="O43" s="142" t="n">
        <f aca="false">SUM(O11:O42)</f>
        <v>90</v>
      </c>
      <c r="P43" s="138"/>
      <c r="Q43" s="138"/>
      <c r="R43" s="142" t="n">
        <f aca="false">SUM(R11:R42)</f>
        <v>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</v>
      </c>
      <c r="G12" s="135" t="n">
        <f aca="false">C12*F12</f>
        <v>44</v>
      </c>
      <c r="H12" s="145" t="n">
        <f aca="false">$F$51</f>
        <v>2</v>
      </c>
      <c r="I12" s="135" t="n">
        <f aca="false">C12*H12</f>
        <v>2</v>
      </c>
      <c r="J12" s="117" t="n">
        <f aca="false">'METRADO MONTANTES'!C12</f>
        <v>3</v>
      </c>
      <c r="K12" s="135" t="n">
        <f aca="false">C12*J12</f>
        <v>3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</v>
      </c>
      <c r="G13" s="135" t="n">
        <f aca="false">C13*F13</f>
        <v>44</v>
      </c>
      <c r="H13" s="145" t="n">
        <f aca="false">$F$51</f>
        <v>2</v>
      </c>
      <c r="I13" s="135" t="n">
        <f aca="false">C13*H13</f>
        <v>2</v>
      </c>
      <c r="J13" s="117" t="n">
        <f aca="false">'METRADO MONTANTES'!C13</f>
        <v>3</v>
      </c>
      <c r="K13" s="135" t="n">
        <f aca="false">C13*J13</f>
        <v>3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</v>
      </c>
      <c r="G15" s="135" t="n">
        <f aca="false">C15*F15</f>
        <v>25</v>
      </c>
      <c r="H15" s="145" t="n">
        <f aca="false">$F$51</f>
        <v>2</v>
      </c>
      <c r="I15" s="135" t="n">
        <f aca="false">C15*H15</f>
        <v>2</v>
      </c>
      <c r="J15" s="117" t="n">
        <f aca="false">'METRADO MONTANTES'!C15</f>
        <v>2</v>
      </c>
      <c r="K15" s="135" t="n">
        <f aca="false">C15*J15</f>
        <v>2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</v>
      </c>
      <c r="G16" s="135" t="n">
        <f aca="false">C16*F16</f>
        <v>25</v>
      </c>
      <c r="H16" s="145" t="n">
        <f aca="false">$F$51</f>
        <v>2</v>
      </c>
      <c r="I16" s="135" t="n">
        <f aca="false">C16*H16</f>
        <v>2</v>
      </c>
      <c r="J16" s="117" t="n">
        <f aca="false">'METRADO MONTANTES'!C16</f>
        <v>2</v>
      </c>
      <c r="K16" s="135" t="n">
        <f aca="false">C16*J16</f>
        <v>2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</v>
      </c>
      <c r="G18" s="135" t="n">
        <f aca="false">C18*F18</f>
        <v>30</v>
      </c>
      <c r="H18" s="145" t="n">
        <f aca="false">$F$51</f>
        <v>2</v>
      </c>
      <c r="I18" s="135" t="n">
        <f aca="false">C18*H18</f>
        <v>2</v>
      </c>
      <c r="J18" s="117" t="n">
        <f aca="false">'METRADO MONTANTES'!C18</f>
        <v>2</v>
      </c>
      <c r="K18" s="135" t="n">
        <f aca="false">C18*J18</f>
        <v>2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</v>
      </c>
      <c r="G19" s="135" t="n">
        <f aca="false">C19*F19</f>
        <v>30</v>
      </c>
      <c r="H19" s="145" t="n">
        <f aca="false">$F$51</f>
        <v>2</v>
      </c>
      <c r="I19" s="135" t="n">
        <f aca="false">C19*H19</f>
        <v>2</v>
      </c>
      <c r="J19" s="117" t="n">
        <f aca="false">'METRADO MONTANTES'!C19</f>
        <v>2</v>
      </c>
      <c r="K19" s="135" t="n">
        <f aca="false">C19*J19</f>
        <v>2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</v>
      </c>
      <c r="G21" s="135" t="n">
        <f aca="false">C21*F21</f>
        <v>65</v>
      </c>
      <c r="H21" s="145" t="n">
        <f aca="false">$F$51</f>
        <v>2</v>
      </c>
      <c r="I21" s="135" t="n">
        <f aca="false">C21*H21</f>
        <v>2</v>
      </c>
      <c r="J21" s="117" t="n">
        <f aca="false">'METRADO MONTANTES'!C21</f>
        <v>3</v>
      </c>
      <c r="K21" s="135" t="n">
        <f aca="false">C21*J21</f>
        <v>3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</v>
      </c>
      <c r="G22" s="135" t="n">
        <f aca="false">C22*F22</f>
        <v>65</v>
      </c>
      <c r="H22" s="145" t="n">
        <f aca="false">$F$51</f>
        <v>2</v>
      </c>
      <c r="I22" s="135" t="n">
        <f aca="false">C22*H22</f>
        <v>2</v>
      </c>
      <c r="J22" s="117" t="n">
        <f aca="false">'METRADO MONTANTES'!C22</f>
        <v>3</v>
      </c>
      <c r="K22" s="135" t="n">
        <f aca="false">C22*J22</f>
        <v>3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</v>
      </c>
      <c r="G24" s="135" t="n">
        <f aca="false">C24*F24</f>
        <v>55</v>
      </c>
      <c r="H24" s="145" t="n">
        <f aca="false">$F$51</f>
        <v>2</v>
      </c>
      <c r="I24" s="135" t="n">
        <f aca="false">C24*H24</f>
        <v>2</v>
      </c>
      <c r="J24" s="117" t="n">
        <f aca="false">'METRADO MONTANTES'!C24</f>
        <v>3</v>
      </c>
      <c r="K24" s="135" t="n">
        <f aca="false">C24*J24</f>
        <v>3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</v>
      </c>
      <c r="G25" s="135" t="n">
        <f aca="false">C25*F25</f>
        <v>55</v>
      </c>
      <c r="H25" s="145" t="n">
        <f aca="false">$F$51</f>
        <v>2</v>
      </c>
      <c r="I25" s="135" t="n">
        <f aca="false">C25*H25</f>
        <v>2</v>
      </c>
      <c r="J25" s="117" t="n">
        <f aca="false">'METRADO MONTANTES'!C25</f>
        <v>3</v>
      </c>
      <c r="K25" s="135" t="n">
        <f aca="false">C25*J25</f>
        <v>3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</v>
      </c>
      <c r="G27" s="135" t="n">
        <f aca="false">C27*F27</f>
        <v>36</v>
      </c>
      <c r="H27" s="145" t="n">
        <f aca="false">$F$51</f>
        <v>2</v>
      </c>
      <c r="I27" s="135" t="n">
        <f aca="false">C27*H27</f>
        <v>2</v>
      </c>
      <c r="J27" s="117" t="n">
        <f aca="false">'METRADO MONTANTES'!C27</f>
        <v>2</v>
      </c>
      <c r="K27" s="135" t="n">
        <f aca="false">C27*J27</f>
        <v>2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</v>
      </c>
      <c r="G28" s="135" t="n">
        <f aca="false">C28*F28</f>
        <v>36</v>
      </c>
      <c r="H28" s="145" t="n">
        <f aca="false">$F$51</f>
        <v>2</v>
      </c>
      <c r="I28" s="135" t="n">
        <f aca="false">C28*H28</f>
        <v>2</v>
      </c>
      <c r="J28" s="117" t="n">
        <f aca="false">'METRADO MONTANTES'!C28</f>
        <v>2</v>
      </c>
      <c r="K28" s="135" t="n">
        <f aca="false">C28*J28</f>
        <v>2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</v>
      </c>
      <c r="G30" s="135" t="n">
        <f aca="false">C30*F30</f>
        <v>65</v>
      </c>
      <c r="H30" s="145" t="n">
        <f aca="false">$F$51</f>
        <v>2</v>
      </c>
      <c r="I30" s="135" t="n">
        <f aca="false">C30*H30</f>
        <v>2</v>
      </c>
      <c r="J30" s="117" t="n">
        <f aca="false">'METRADO MONTANTES'!C30</f>
        <v>3</v>
      </c>
      <c r="K30" s="135" t="n">
        <f aca="false">C30*J30</f>
        <v>3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</v>
      </c>
      <c r="G31" s="135" t="n">
        <f aca="false">C31*F31</f>
        <v>65</v>
      </c>
      <c r="H31" s="145" t="n">
        <f aca="false">$F$51</f>
        <v>2</v>
      </c>
      <c r="I31" s="135" t="n">
        <f aca="false">C31*H31</f>
        <v>2</v>
      </c>
      <c r="J31" s="117" t="n">
        <f aca="false">'METRADO MONTANTES'!C31</f>
        <v>3</v>
      </c>
      <c r="K31" s="135" t="n">
        <f aca="false">C31*J31</f>
        <v>3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</v>
      </c>
      <c r="G33" s="135" t="n">
        <f aca="false">C33*F33</f>
        <v>36</v>
      </c>
      <c r="H33" s="145" t="n">
        <f aca="false">$F$51</f>
        <v>2</v>
      </c>
      <c r="I33" s="135" t="n">
        <f aca="false">C33*H33</f>
        <v>2</v>
      </c>
      <c r="J33" s="117" t="n">
        <f aca="false">'METRADO MONTANTES'!C33</f>
        <v>2</v>
      </c>
      <c r="K33" s="135" t="n">
        <f aca="false">C33*J33</f>
        <v>2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</v>
      </c>
      <c r="G34" s="135" t="n">
        <f aca="false">C34*F34</f>
        <v>36</v>
      </c>
      <c r="H34" s="145" t="n">
        <f aca="false">$F$51</f>
        <v>2</v>
      </c>
      <c r="I34" s="135" t="n">
        <f aca="false">C34*H34</f>
        <v>2</v>
      </c>
      <c r="J34" s="117" t="n">
        <f aca="false">'METRADO MONTANTES'!C34</f>
        <v>2</v>
      </c>
      <c r="K34" s="135" t="n">
        <f aca="false">C34*J34</f>
        <v>2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</v>
      </c>
      <c r="G36" s="135" t="n">
        <f aca="false">C36*F36</f>
        <v>26</v>
      </c>
      <c r="H36" s="145" t="n">
        <f aca="false">$F$51</f>
        <v>2</v>
      </c>
      <c r="I36" s="135" t="n">
        <f aca="false">C36*H36</f>
        <v>2</v>
      </c>
      <c r="J36" s="117" t="n">
        <f aca="false">'METRADO MONTANTES'!C36</f>
        <v>2</v>
      </c>
      <c r="K36" s="135" t="n">
        <f aca="false">C36*J36</f>
        <v>2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</v>
      </c>
      <c r="G37" s="135" t="n">
        <f aca="false">C37*F37</f>
        <v>26</v>
      </c>
      <c r="H37" s="145" t="n">
        <f aca="false">$F$51</f>
        <v>2</v>
      </c>
      <c r="I37" s="135" t="n">
        <f aca="false">C37*H37</f>
        <v>2</v>
      </c>
      <c r="J37" s="117" t="n">
        <f aca="false">'METRADO MONTANTES'!C37</f>
        <v>2</v>
      </c>
      <c r="K37" s="135" t="n">
        <f aca="false">C37*J37</f>
        <v>2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</v>
      </c>
      <c r="G39" s="135" t="n">
        <f aca="false">C39*F39</f>
        <v>60</v>
      </c>
      <c r="H39" s="145" t="n">
        <f aca="false">$F$51</f>
        <v>2</v>
      </c>
      <c r="I39" s="135" t="n">
        <f aca="false">C39*H39</f>
        <v>2</v>
      </c>
      <c r="J39" s="117" t="n">
        <f aca="false">'METRADO MONTANTES'!C39</f>
        <v>4</v>
      </c>
      <c r="K39" s="135" t="n">
        <f aca="false">C39*J39</f>
        <v>4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</v>
      </c>
      <c r="G40" s="135" t="n">
        <f aca="false">C40*F40</f>
        <v>60</v>
      </c>
      <c r="H40" s="145" t="n">
        <f aca="false">$F$51</f>
        <v>2</v>
      </c>
      <c r="I40" s="135" t="n">
        <f aca="false">C40*H40</f>
        <v>2</v>
      </c>
      <c r="J40" s="117" t="n">
        <f aca="false">'METRADO MONTANTES'!C40</f>
        <v>4</v>
      </c>
      <c r="K40" s="135" t="n">
        <f aca="false">C40*J40</f>
        <v>4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</v>
      </c>
      <c r="D41" s="142"/>
      <c r="E41" s="146" t="n">
        <f aca="false">SUM(E11:E40)</f>
        <v>513.98</v>
      </c>
      <c r="F41" s="142"/>
      <c r="G41" s="142" t="n">
        <f aca="false">SUM(G11:G40)</f>
        <v>884</v>
      </c>
      <c r="H41" s="142"/>
      <c r="I41" s="142" t="n">
        <f aca="false">SUM(I11:I40)</f>
        <v>40</v>
      </c>
      <c r="J41" s="142"/>
      <c r="K41" s="142" t="n">
        <f aca="false">SUM(K11:K40)</f>
        <v>52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</v>
      </c>
      <c r="D12" s="171" t="n">
        <f aca="false">SUM(D8:D11)</f>
        <v>24</v>
      </c>
      <c r="E12" s="171" t="n">
        <f aca="false">SUM(E8:E11)</f>
        <v>0</v>
      </c>
      <c r="F12" s="171" t="n">
        <f aca="false">SUM(F8:F11)</f>
        <v>4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</v>
      </c>
      <c r="N11" s="195" t="n">
        <f aca="false">IF(B11="","",G11*M11)</f>
        <v>84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</v>
      </c>
      <c r="AD11" s="199" t="n">
        <f aca="false">IF(B11="","",IF(D11="TAPADA",IFERROR(IF($X$1="ENTERO (redondeo arriba)",ROUNDUP(G11/Z11,0)+1,G11/Z11+1),0),0))</f>
        <v>0</v>
      </c>
      <c r="AE11" s="199" t="n">
        <f aca="false">IF(B11="","",IF(D11="TAPADA",AC11*AD11,0))</f>
        <v>0</v>
      </c>
      <c r="AF11" s="199" t="n">
        <f aca="false">IF(B11="","",IF(D11="TAPADA",AE11*Y11,0))</f>
        <v>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</v>
      </c>
      <c r="AD13" s="199" t="n">
        <f aca="false">IF(B13="","",IF(D13="TAPADA",IFERROR(IF($X$1="ENTERO (redondeo arriba)",ROUNDUP(G13/Z13,0)+1,G13/Z13+1),0),0))</f>
        <v>0</v>
      </c>
      <c r="AE13" s="199" t="n">
        <f aca="false">IF(B13="","",IF(D13="TAPADA",AC13*AD13,0))</f>
        <v>0</v>
      </c>
      <c r="AF13" s="199" t="n">
        <f aca="false">IF(B13="","",IF(D13="TAPADA",AE13*Y13,0))</f>
        <v>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</v>
      </c>
      <c r="AD15" s="199" t="n">
        <f aca="false">IF(B15="","",IF(D15="TAPADA",IFERROR(IF($X$1="ENTERO (redondeo arriba)",ROUNDUP(G15/Z15,0)+1,G15/Z15+1),0),0))</f>
        <v>0</v>
      </c>
      <c r="AE15" s="199" t="n">
        <f aca="false">IF(B15="","",IF(D15="TAPADA",AC15*AD15,0))</f>
        <v>0</v>
      </c>
      <c r="AF15" s="199" t="n">
        <f aca="false">IF(B15="","",IF(D15="TAPADA",AE15*Y15,0))</f>
        <v>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</v>
      </c>
      <c r="AD17" s="199" t="n">
        <f aca="false">IF(B17="","",IF(D17="TAPADA",IFERROR(IF($X$1="ENTERO (redondeo arriba)",ROUNDUP(G17/Z17,0)+1,G17/Z17+1),0),0))</f>
        <v>0</v>
      </c>
      <c r="AE17" s="199" t="n">
        <f aca="false">IF(B17="","",IF(D17="TAPADA",AC17*AD17,0))</f>
        <v>0</v>
      </c>
      <c r="AF17" s="199" t="n">
        <f aca="false">IF(B17="","",IF(D17="TAPADA",AE17*Y17,0))</f>
        <v>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</v>
      </c>
      <c r="N18" s="195" t="n">
        <f aca="false">IF(B18="","",G18*M18)</f>
        <v>27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</v>
      </c>
      <c r="AD20" s="199" t="n">
        <f aca="false">IF(B20="","",IF(D20="TAPADA",IFERROR(IF($X$1="ENTERO (redondeo arriba)",ROUNDUP(G20/Z20,0)+1,G20/Z20+1),0),0))</f>
        <v>0</v>
      </c>
      <c r="AE20" s="199" t="n">
        <f aca="false">IF(B20="","",IF(D20="TAPADA",AC20*AD20,0))</f>
        <v>0</v>
      </c>
      <c r="AF20" s="199" t="n">
        <f aca="false">IF(B20="","",IF(D20="TAPADA",AE20*Y20,0))</f>
        <v>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</v>
      </c>
      <c r="AD22" s="199" t="n">
        <f aca="false">IF(B22="","",IF(D22="TAPADA",IFERROR(IF($X$1="ENTERO (redondeo arriba)",ROUNDUP(G22/Z22,0)+1,G22/Z22+1),0),0))</f>
        <v>0</v>
      </c>
      <c r="AE22" s="199" t="n">
        <f aca="false">IF(B22="","",IF(D22="TAPADA",AC22*AD22,0))</f>
        <v>0</v>
      </c>
      <c r="AF22" s="199" t="n">
        <f aca="false">IF(B22="","",IF(D22="TAPADA",AE22*Y22,0))</f>
        <v>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</v>
      </c>
      <c r="AD24" s="199" t="n">
        <f aca="false">IF(B24="","",IF(D24="TAPADA",IFERROR(IF($X$1="ENTERO (redondeo arriba)",ROUNDUP(G24/Z24,0)+1,G24/Z24+1),0),0))</f>
        <v>0</v>
      </c>
      <c r="AE24" s="199" t="n">
        <f aca="false">IF(B24="","",IF(D24="TAPADA",AC24*AD24,0))</f>
        <v>0</v>
      </c>
      <c r="AF24" s="199" t="n">
        <f aca="false">IF(B24="","",IF(D24="TAPADA",AE24*Y24,0))</f>
        <v>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</v>
      </c>
      <c r="N25" s="195" t="n">
        <f aca="false">IF(B25="","",G25*M25)</f>
        <v>180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</v>
      </c>
      <c r="AD26" s="199" t="n">
        <f aca="false">IF(B26="","",IF(D26="TAPADA",IFERROR(IF($X$1="ENTERO (redondeo arriba)",ROUNDUP(G26/Z26,0)+1,G26/Z26+1),0),0))</f>
        <v>0</v>
      </c>
      <c r="AE26" s="199" t="n">
        <f aca="false">IF(B26="","",IF(D26="TAPADA",AC26*AD26,0))</f>
        <v>0</v>
      </c>
      <c r="AF26" s="199" t="n">
        <f aca="false">IF(B26="","",IF(D26="TAPADA",AE26*Y26,0))</f>
        <v>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</v>
      </c>
      <c r="N28" s="195" t="n">
        <f aca="false">IF(B28="","",G28*M28)</f>
        <v>637.5</v>
      </c>
      <c r="O28" s="195" t="n">
        <f aca="false">IF(B28="","",N28*I28)</f>
        <v>357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</v>
      </c>
      <c r="AD28" s="199" t="n">
        <f aca="false">IF(B28="","",IF(D28="TAPADA",IFERROR(IF($X$1="ENTERO (redondeo arriba)",ROUNDUP(G28/Z28,0)+1,G28/Z28+1),0),0))</f>
        <v>0</v>
      </c>
      <c r="AE28" s="199" t="n">
        <f aca="false">IF(B28="","",IF(D28="TAPADA",AC28*AD28,0))</f>
        <v>0</v>
      </c>
      <c r="AF28" s="199" t="n">
        <f aca="false">IF(B28="","",IF(D28="TAPADA",AE28*Y28,0))</f>
        <v>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</v>
      </c>
      <c r="N32" s="195" t="n">
        <f aca="false">IF(B32="","",G32*M32)</f>
        <v>56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</v>
      </c>
      <c r="AD33" s="199" t="n">
        <f aca="false">IF(B33="","",IF(D33="TAPADA",IFERROR(IF($X$1="ENTERO (redondeo arriba)",ROUNDUP(G33/Z33,0)+1,G33/Z33+1),0),0))</f>
        <v>0</v>
      </c>
      <c r="AE33" s="199" t="n">
        <f aca="false">IF(B33="","",IF(D33="TAPADA",AC33*AD33,0))</f>
        <v>0</v>
      </c>
      <c r="AF33" s="199" t="n">
        <f aca="false">IF(B33="","",IF(D33="TAPADA",AE33*Y33,0))</f>
        <v>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</v>
      </c>
      <c r="N34" s="195" t="n">
        <f aca="false">IF(B34="","",G34*M34)</f>
        <v>22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</v>
      </c>
      <c r="N35" s="195" t="n">
        <f aca="false">IF(B35="","",G35*M35)</f>
        <v>65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</v>
      </c>
      <c r="AD36" s="199" t="n">
        <f aca="false">IF(B36="","",IF(D36="TAPADA",IFERROR(IF($X$1="ENTERO (redondeo arriba)",ROUNDUP(G36/Z36,0)+1,G36/Z36+1),0),0))</f>
        <v>0</v>
      </c>
      <c r="AE36" s="199" t="n">
        <f aca="false">IF(B36="","",IF(D36="TAPADA",AC36*AD36,0))</f>
        <v>0</v>
      </c>
      <c r="AF36" s="199" t="n">
        <f aca="false">IF(B36="","",IF(D36="TAPADA",AE36*Y36,0))</f>
        <v>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</v>
      </c>
      <c r="M7" s="211" t="n">
        <f aca="false">SUM(J7:L7)</f>
        <v>37.12</v>
      </c>
      <c r="N7" s="212" t="n">
        <f aca="false">IF(B7="","",IF(D7="TAPADA",4,3))</f>
        <v>3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</v>
      </c>
      <c r="L9" s="199" t="n">
        <f aca="false">IF(B9="","",IF(D9="TAPADA",E9*F9,0))</f>
        <v>0</v>
      </c>
      <c r="M9" s="211" t="n">
        <f aca="false">SUM(J9:L9)</f>
        <v>44.25</v>
      </c>
      <c r="N9" s="212" t="n">
        <f aca="false">IF(B9="","",IF(D9="TAPADA",4,3))</f>
        <v>3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</v>
      </c>
      <c r="M11" s="211" t="n">
        <f aca="false">SUM(J11:L11)</f>
        <v>51.0679</v>
      </c>
      <c r="N11" s="212" t="n">
        <f aca="false">IF(B11="","",IF(D11="TAPADA",4,3))</f>
        <v>3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</v>
      </c>
      <c r="M13" s="211" t="n">
        <f aca="false">SUM(J13:L13)</f>
        <v>61.0236</v>
      </c>
      <c r="N13" s="212" t="n">
        <f aca="false">IF(B13="","",IF(D13="TAPADA",4,3))</f>
        <v>3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</v>
      </c>
      <c r="M16" s="211" t="n">
        <f aca="false">SUM(J16:L16)</f>
        <v>5.9364</v>
      </c>
      <c r="N16" s="212" t="n">
        <f aca="false">IF(B16="","",IF(D16="TAPADA",4,3))</f>
        <v>3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</v>
      </c>
      <c r="M17" s="211" t="n">
        <f aca="false">SUM(J17:L17)</f>
        <v>8.944</v>
      </c>
      <c r="N17" s="212" t="n">
        <f aca="false">IF(B17="","",IF(D17="TAPADA",4,3))</f>
        <v>3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</v>
      </c>
      <c r="M18" s="211" t="n">
        <f aca="false">SUM(J18:L18)</f>
        <v>44.2854</v>
      </c>
      <c r="N18" s="212" t="n">
        <f aca="false">IF(B18="","",IF(D18="TAPADA",4,3))</f>
        <v>3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</v>
      </c>
      <c r="M20" s="211" t="n">
        <f aca="false">SUM(J20:L20)</f>
        <v>44.2854</v>
      </c>
      <c r="N20" s="212" t="n">
        <f aca="false">IF(B20="","",IF(D20="TAPADA",4,3))</f>
        <v>3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</v>
      </c>
      <c r="M22" s="211" t="n">
        <f aca="false">SUM(J22:L22)</f>
        <v>100.1968</v>
      </c>
      <c r="N22" s="212" t="n">
        <f aca="false">IF(B22="","",IF(D22="TAPADA",4,3))</f>
        <v>3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</v>
      </c>
      <c r="L23" s="199" t="n">
        <f aca="false">IF(B23="","",IF(D23="TAPADA",E23*F23,0))</f>
        <v>6</v>
      </c>
      <c r="M23" s="211" t="n">
        <f aca="false">SUM(J23:L23)</f>
        <v>37.8</v>
      </c>
      <c r="N23" s="212" t="n">
        <f aca="false">IF(B23="","",IF(D23="TAPADA",4,3))</f>
        <v>4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</v>
      </c>
      <c r="M24" s="211" t="n">
        <f aca="false">SUM(J24:L24)</f>
        <v>44.2854</v>
      </c>
      <c r="N24" s="212" t="n">
        <f aca="false">IF(B24="","",IF(D24="TAPADA",4,3))</f>
        <v>3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</v>
      </c>
      <c r="M26" s="211" t="n">
        <f aca="false">SUM(J26:L26)</f>
        <v>112.2</v>
      </c>
      <c r="N26" s="212" t="n">
        <f aca="false">IF(B26="","",IF(D26="TAPADA",4,3))</f>
        <v>3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</v>
      </c>
      <c r="M31" s="211" t="n">
        <f aca="false">SUM(J31:L31)</f>
        <v>17.28</v>
      </c>
      <c r="N31" s="212" t="n">
        <f aca="false">IF(B31="","",IF(D31="TAPADA",4,3))</f>
        <v>3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</v>
      </c>
      <c r="M32" s="211" t="n">
        <f aca="false">SUM(J32:L32)</f>
        <v>82.2156</v>
      </c>
      <c r="N32" s="212" t="n">
        <f aca="false">IF(B32="","",IF(D32="TAPADA",4,3))</f>
        <v>3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</v>
      </c>
      <c r="M35" s="211" t="n">
        <f aca="false">SUM(J35:L35)</f>
        <v>66.1122</v>
      </c>
      <c r="N35" s="212" t="n">
        <f aca="false">IF(B35="","",IF(D35="TAPADA",4,3))</f>
        <v>3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442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446</v>
      </c>
      <c r="B10" s="237" t="s">
        <v>447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454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241.959543966302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</v>
      </c>
      <c r="H13" s="242" t="n">
        <f aca="false">ROUNDUP(D13/G13,0)</f>
        <v>13</v>
      </c>
      <c r="I13" s="242" t="n">
        <f aca="false">B9</f>
        <v>2</v>
      </c>
      <c r="J13" s="242" t="n">
        <f aca="false">H13*I13*F13</f>
        <v>9.8497576736672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</v>
      </c>
      <c r="H14" s="242" t="n">
        <f aca="false">ROUNDUP(D14/G14,0)</f>
        <v>44</v>
      </c>
      <c r="I14" s="242" t="n">
        <f aca="false">B9</f>
        <v>2</v>
      </c>
      <c r="J14" s="242" t="n">
        <f aca="false">H14*I14*F14</f>
        <v>52.6722200993504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</v>
      </c>
      <c r="H15" s="242" t="n">
        <f aca="false">ROUNDUP(D15/G15,0)</f>
        <v>2</v>
      </c>
      <c r="I15" s="242" t="n">
        <f aca="false">B9</f>
        <v>2</v>
      </c>
      <c r="J15" s="242" t="n">
        <f aca="false">H15*I15*F15</f>
        <v>1.25773195876289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</v>
      </c>
      <c r="H16" s="242" t="n">
        <f aca="false">ROUNDUP(D16/G16,0)</f>
        <v>3</v>
      </c>
      <c r="I16" s="242" t="n">
        <f aca="false">B9</f>
        <v>2</v>
      </c>
      <c r="J16" s="242" t="n">
        <f aca="false">H16*I16*F16</f>
        <v>1.92558139534884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</v>
      </c>
      <c r="H17" s="242" t="n">
        <f aca="false">ROUNDUP(D17/G17,0)</f>
        <v>15</v>
      </c>
      <c r="I17" s="242" t="n">
        <f aca="false">B9</f>
        <v>2</v>
      </c>
      <c r="J17" s="242" t="n">
        <f aca="false">H17*I17*F17</f>
        <v>12.2831367106176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</v>
      </c>
      <c r="H18" s="242" t="n">
        <f aca="false">ROUNDUP(D18/G18,0)</f>
        <v>41</v>
      </c>
      <c r="I18" s="242" t="n">
        <f aca="false">B9</f>
        <v>2</v>
      </c>
      <c r="J18" s="242" t="n">
        <f aca="false">H18*I18*F18</f>
        <v>47.4995014955135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</v>
      </c>
      <c r="H19" s="242" t="n">
        <f aca="false">ROUNDUP(D19/G19,0)</f>
        <v>42</v>
      </c>
      <c r="I19" s="242" t="n">
        <f aca="false">B9</f>
        <v>2</v>
      </c>
      <c r="J19" s="242" t="n">
        <f aca="false">H19*I19*F19</f>
        <v>49.7852028639618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</v>
      </c>
      <c r="H20" s="242" t="n">
        <f aca="false">ROUNDUP(D20/G20,0)</f>
        <v>3</v>
      </c>
      <c r="I20" s="242" t="n">
        <f aca="false">B9</f>
        <v>2</v>
      </c>
      <c r="J20" s="242" t="n">
        <f aca="false">H20*I20*F20</f>
        <v>1.91707317073171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</v>
      </c>
      <c r="H21" s="242" t="n">
        <f aca="false">ROUNDUP(D21/G21,0)</f>
        <v>3</v>
      </c>
      <c r="I21" s="242" t="n">
        <f aca="false">B9</f>
        <v>2</v>
      </c>
      <c r="J21" s="242" t="n">
        <f aca="false">H21*I21*F21</f>
        <v>1.90285714285714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</v>
      </c>
      <c r="H22" s="242" t="n">
        <f aca="false">ROUNDUP(D22/G22,0)</f>
        <v>6</v>
      </c>
      <c r="I22" s="242" t="n">
        <f aca="false">B9</f>
        <v>2</v>
      </c>
      <c r="J22" s="242" t="n">
        <f aca="false">H22*I22*F22</f>
        <v>4.08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</v>
      </c>
      <c r="F23" s="242" t="n">
        <f aca="false">E23/D23</f>
        <v>0.461796809403862</v>
      </c>
      <c r="G23" s="242" t="n">
        <f aca="false">B8</f>
        <v>3</v>
      </c>
      <c r="H23" s="242" t="n">
        <f aca="false">ROUNDUP(D23/G23,0)</f>
        <v>24</v>
      </c>
      <c r="I23" s="242" t="n">
        <f aca="false">B9</f>
        <v>2</v>
      </c>
      <c r="J23" s="242" t="n">
        <f aca="false">H23*I23*F23</f>
        <v>22.1662468513854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</v>
      </c>
      <c r="F24" s="242" t="n">
        <f aca="false">E24/D24</f>
        <v>0.494868035190616</v>
      </c>
      <c r="G24" s="242" t="n">
        <f aca="false">B8</f>
        <v>3</v>
      </c>
      <c r="H24" s="242" t="n">
        <f aca="false">ROUNDUP(D24/G24,0)</f>
        <v>37</v>
      </c>
      <c r="I24" s="242" t="n">
        <f aca="false">B9</f>
        <v>2</v>
      </c>
      <c r="J24" s="242" t="n">
        <f aca="false">H24*I24*F24</f>
        <v>36.6202346041056</v>
      </c>
    </row>
  </sheetData>
  <mergeCells count="5">
    <mergeCell ref="A1:J1"/>
    <mergeCell ref="B2:J2"/>
    <mergeCell ref="B3:J3"/>
    <mergeCell ref="B4:J4"/>
    <mergeCell ref="B5:J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</v>
      </c>
      <c r="D20" s="256" t="n">
        <f aca="false">PARAMETROS!B5-2*PARAMETROS!B8</f>
        <v>0.55</v>
      </c>
      <c r="E20" s="256" t="n">
        <f aca="false">ROUND((PARAMETROS!B6-2*PARAMETROS!B8)/PARAMETROS!B9,0)+1</f>
        <v>5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</v>
      </c>
      <c r="D21" s="256" t="n">
        <f aca="false">PARAMETROS!B6-2*PARAMETROS!B8</f>
        <v>0.55</v>
      </c>
      <c r="E21" s="256" t="n">
        <f aca="false">ROUND((PARAMETROS!B5-2*PARAMETROS!B8)/PARAMETROS!B9,0)+1</f>
        <v>5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596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598</v>
      </c>
      <c r="C38" s="284" t="n">
        <v>3.63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600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601</v>
      </c>
      <c r="C40" s="284" t="n">
        <v>0.203</v>
      </c>
      <c r="D40" s="285" t="s">
        <v>602</v>
      </c>
      <c r="E40" s="286" t="s">
        <v>603</v>
      </c>
    </row>
    <row r="41" customFormat="false" ht="15" hidden="false" customHeight="true" outlineLevel="0" collapsed="false">
      <c r="A41" s="283" t="n">
        <v>32</v>
      </c>
      <c r="B41" s="149" t="s">
        <v>604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</v>
      </c>
      <c r="G33" s="289" t="n">
        <v>1.4</v>
      </c>
      <c r="H33" s="290" t="n">
        <f aca="false">E33*F33*G33</f>
        <v>112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</v>
      </c>
      <c r="G35" s="289" t="n">
        <v>0.4</v>
      </c>
      <c r="H35" s="290" t="n">
        <f aca="false">E35*F35*G35</f>
        <v>8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</v>
      </c>
      <c r="G36" s="289" t="n">
        <v>0.2</v>
      </c>
      <c r="H36" s="290" t="n">
        <f aca="false">E36*F36*G36</f>
        <v>16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864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893</v>
      </c>
      <c r="C23" s="285" t="s">
        <v>60</v>
      </c>
      <c r="D23" s="283" t="s">
        <v>894</v>
      </c>
      <c r="E23" s="296" t="n">
        <f aca="false">E19</f>
        <v>10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898</v>
      </c>
      <c r="E25" s="296" t="n">
        <f aca="false">E19*('COLECTOR PARAMETROS'!$C$36*'COLECTOR PARAMETROS'!$C$38+'COLECTOR PARAMETROS'!$C$37*'COLECTOR PARAMETROS'!$C$39)</f>
        <v>151.416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904</v>
      </c>
      <c r="E28" s="296" t="n">
        <f aca="false">E19*('COLECTOR PARAMETROS'!$C$36*'COLECTOR PARAMETROS'!$C$40+'COLECTOR PARAMETROS'!$C$37*'COLECTOR PARAMETROS'!$C$41)</f>
        <v>9.8184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907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917</v>
      </c>
      <c r="C16" s="301" t="str">
        <f aca="false">"2 x 0+"&amp;TEXT('COLECTOR PARAMETROS'!$C$64,"000.00")</f>
        <v>2 x 0+069.89</v>
      </c>
      <c r="D16" s="298" t="n">
        <v>2</v>
      </c>
      <c r="E16" s="290" t="n">
        <f aca="false">'COLECTOR PARAMETROS'!$C$64</f>
        <v>69.887</v>
      </c>
      <c r="F16" s="290" t="n">
        <f aca="false">D16*E16</f>
        <v>139.774</v>
      </c>
      <c r="G16" s="286" t="s">
        <v>918</v>
      </c>
    </row>
    <row r="17" customFormat="false" ht="30" hidden="false" customHeight="true" outlineLevel="0" collapsed="false">
      <c r="A17" s="283" t="n">
        <v>3</v>
      </c>
      <c r="B17" s="149" t="s">
        <v>919</v>
      </c>
      <c r="C17" s="283" t="s">
        <v>920</v>
      </c>
      <c r="D17" s="298" t="n">
        <v>2</v>
      </c>
      <c r="E17" s="290" t="n">
        <f aca="false">'COLECTOR MOV. TIERRAS'!D21+2*'COLECTOR PARAMETROS'!$C$11+0.3</f>
        <v>2.1</v>
      </c>
      <c r="F17" s="290" t="n">
        <f aca="false">D17*E17</f>
        <v>4.2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921</v>
      </c>
      <c r="C18" s="283" t="s">
        <v>920</v>
      </c>
      <c r="D18" s="298" t="n">
        <v>2</v>
      </c>
      <c r="E18" s="290" t="n">
        <f aca="false">'COLECTOR MOV. TIERRAS'!D22+2*'COLECTOR PARAMETROS'!$C$11+0.3</f>
        <v>4.1</v>
      </c>
      <c r="F18" s="290" t="n">
        <f aca="false">D18*E18</f>
        <v>8.2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210.979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151.416</v>
      </c>
      <c r="E60" s="295" t="s">
        <v>977</v>
      </c>
      <c r="F60" s="285" t="s">
        <v>50</v>
      </c>
      <c r="G60" s="284" t="n">
        <v>1.05</v>
      </c>
      <c r="H60" s="296" t="n">
        <f aca="false">G60*$D$60</f>
        <v>158.9868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4.54248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15.1416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15.1416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9.8184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0.785472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0.785472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983</v>
      </c>
      <c r="F66" s="285" t="s">
        <v>984</v>
      </c>
      <c r="G66" s="284" t="n">
        <v>0.05</v>
      </c>
      <c r="H66" s="296" t="n">
        <f aca="false">G66*$D$64</f>
        <v>0.49092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952</v>
      </c>
      <c r="F67" s="285" t="s">
        <v>953</v>
      </c>
      <c r="G67" s="284" t="n">
        <v>0.4</v>
      </c>
      <c r="H67" s="296" t="n">
        <f aca="false">G67*$D$64</f>
        <v>3.92736</v>
      </c>
    </row>
    <row r="68" customFormat="false" ht="19.5" hidden="false" customHeight="true" outlineLevel="0" collapsed="false">
      <c r="A68" s="283" t="n">
        <v>12</v>
      </c>
      <c r="B68" s="295" t="s">
        <v>985</v>
      </c>
      <c r="C68" s="285" t="s">
        <v>57</v>
      </c>
      <c r="D68" s="290" t="n">
        <f aca="false">'PLANILLA GENERAL DE METRADOS'!K321</f>
        <v>100.64</v>
      </c>
      <c r="E68" s="295" t="s">
        <v>986</v>
      </c>
      <c r="F68" s="285" t="s">
        <v>168</v>
      </c>
      <c r="G68" s="284" t="n">
        <v>0.25</v>
      </c>
      <c r="H68" s="296" t="n">
        <f aca="false">G68*$D$68</f>
        <v>25.16</v>
      </c>
    </row>
    <row r="69" customFormat="false" ht="19.5" hidden="false" customHeight="true" outlineLevel="0" collapsed="false">
      <c r="A69" s="21"/>
      <c r="B69" s="304"/>
      <c r="C69" s="21"/>
      <c r="D69" s="21"/>
      <c r="E69" s="295" t="s">
        <v>987</v>
      </c>
      <c r="F69" s="285" t="inlineStr">
        <is>
          <t>m3</t>
        </is>
      </c>
      <c r="G69" s="284" t="n">
        <v>0.0013</v>
      </c>
      <c r="H69" s="296" t="n">
        <f aca="false">G69*$D$68</f>
        <v>0.130832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952</v>
      </c>
      <c r="F70" s="285" t="s">
        <v>953</v>
      </c>
      <c r="G70" s="284" t="n">
        <v>0.2</v>
      </c>
      <c r="H70" s="296" t="n">
        <f aca="false">G70*$D$68</f>
        <v>20.128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955</v>
      </c>
      <c r="F71" s="285" t="s">
        <v>953</v>
      </c>
      <c r="G71" s="284" t="n">
        <v>0.2</v>
      </c>
      <c r="H71" s="296" t="n">
        <f aca="false">G71*$D$68</f>
        <v>20.128</v>
      </c>
    </row>
    <row r="72" customFormat="false" ht="19.5" hidden="false" customHeight="true" outlineLevel="0" collapsed="false">
      <c r="A72" s="283" t="n">
        <v>13</v>
      </c>
      <c r="B72" s="295" t="s">
        <v>988</v>
      </c>
      <c r="C72" s="285" t="s">
        <v>57</v>
      </c>
      <c r="D72" s="290" t="n">
        <f aca="false">'PLANILLA GENERAL DE METRADOS'!K322</f>
        <v>210.979</v>
      </c>
      <c r="E72" s="295" t="s">
        <v>986</v>
      </c>
      <c r="F72" s="285" t="s">
        <v>168</v>
      </c>
      <c r="G72" s="284" t="n">
        <v>0.15</v>
      </c>
      <c r="H72" s="296" t="n">
        <f aca="false">G72*$D$72</f>
        <v>31.64685</v>
      </c>
    </row>
    <row r="73" customFormat="false" ht="19.5" hidden="false" customHeight="true" outlineLevel="0" collapsed="false">
      <c r="A73" s="21"/>
      <c r="B73" s="304"/>
      <c r="C73" s="21"/>
      <c r="D73" s="21"/>
      <c r="E73" s="295" t="s">
        <v>955</v>
      </c>
      <c r="F73" s="285" t="s">
        <v>953</v>
      </c>
      <c r="G73" s="284" t="n">
        <v>0.1</v>
      </c>
      <c r="H73" s="296" t="n">
        <f aca="false">G73*$D$72</f>
        <v>21.0979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990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996</v>
      </c>
      <c r="C11" s="285" t="s">
        <v>60</v>
      </c>
      <c r="D11" s="290" t="n">
        <f aca="false">+'COLECTOR REGISTROS Y TAPAS'!E23</f>
        <v>10</v>
      </c>
      <c r="E11" s="305" t="n">
        <f aca="false">+'COLECTOR REGISTROS Y TAPAS'!E19</f>
        <v>10</v>
      </c>
      <c r="F11" s="306" t="n">
        <f aca="false">D11/E11</f>
        <v>1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</v>
      </c>
      <c r="E12" s="305" t="n">
        <f aca="false">+'COLECTOR REGISTROS Y TAPAS'!E19</f>
        <v>10</v>
      </c>
      <c r="F12" s="306" t="n">
        <f aca="false">D12/E12</f>
        <v>1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151.416</v>
      </c>
      <c r="E13" s="305" t="n">
        <f aca="false">+'COLECTOR REGISTROS Y TAPAS'!E19</f>
        <v>10</v>
      </c>
      <c r="F13" s="306" t="n">
        <f aca="false">D13/E13</f>
        <v>15.1416</v>
      </c>
      <c r="G13" s="283" t="s">
        <v>1003</v>
      </c>
      <c r="H13" s="149" t="s">
        <v>1004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</v>
      </c>
      <c r="E14" s="305" t="n">
        <f aca="false">+'COLECTOR REGISTROS Y TAPAS'!E19</f>
        <v>10</v>
      </c>
      <c r="F14" s="306" t="n">
        <f aca="false">D14/E14</f>
        <v>1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9.8184</v>
      </c>
      <c r="E17" s="305" t="n">
        <f aca="false">+'COLECTOR REGISTROS Y TAPAS'!E19</f>
        <v>10</v>
      </c>
      <c r="F17" s="306" t="n">
        <f aca="false">D17/E17</f>
        <v>0.98184</v>
      </c>
      <c r="G17" s="283" t="s">
        <v>1014</v>
      </c>
      <c r="H17" s="149" t="s">
        <v>1015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1024</v>
      </c>
      <c r="C22" s="285" t="s">
        <v>50</v>
      </c>
      <c r="D22" s="306" t="n">
        <f aca="false">'COLECTOR PARAMETROS'!C36*'COLECTOR PARAMETROS'!C38</f>
        <v>10.164</v>
      </c>
      <c r="E22" s="306" t="n">
        <f aca="false">+'COLECTOR INSUMOS'!G60</f>
        <v>1.05</v>
      </c>
      <c r="F22" s="306" t="n">
        <f aca="false">D22*E22</f>
        <v>10.6722</v>
      </c>
      <c r="G22" s="290" t="n">
        <f aca="false">F22*SUMIF($B$68:$B$93,B22,$F$68:$F$93)</f>
        <v>49.732452</v>
      </c>
      <c r="H22" s="149" t="s">
        <v>1025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24.3553968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15.1416</v>
      </c>
      <c r="E24" s="306" t="n">
        <f aca="false">+'COLECTOR INSUMOS'!G61</f>
        <v>0.03</v>
      </c>
      <c r="F24" s="306" t="n">
        <f aca="false">D24*E24</f>
        <v>0.454248</v>
      </c>
      <c r="G24" s="290" t="n">
        <f aca="false">F24*SUMIF($B$68:$B$93,B24,$F$68:$F$93)</f>
        <v>6.15960288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15.1416</v>
      </c>
      <c r="E25" s="306" t="n">
        <f aca="false">+'COLECTOR INSUMOS'!G62</f>
        <v>0.1</v>
      </c>
      <c r="F25" s="306" t="n">
        <f aca="false">D25*E25</f>
        <v>1.51416</v>
      </c>
      <c r="G25" s="290" t="n">
        <f aca="false">F25*SUMIF($B$68:$B$93,B25,$F$68:$F$93)</f>
        <v>46.0607472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15.1416</v>
      </c>
      <c r="E26" s="306" t="n">
        <f aca="false">+'COLECTOR INSUMOS'!G63</f>
        <v>0.1</v>
      </c>
      <c r="F26" s="306" t="n">
        <f aca="false">D26*E26</f>
        <v>1.51416</v>
      </c>
      <c r="G26" s="290" t="n">
        <f aca="false">F26*SUMIF($B$68:$B$93,B26,$F$68:$F$93)</f>
        <v>34.749972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15.1416</v>
      </c>
      <c r="E27" s="306" t="n">
        <f aca="false">+'COLECTOR INSUMOS'!G62</f>
        <v>0.1</v>
      </c>
      <c r="F27" s="306" t="n">
        <f aca="false">D27*E27</f>
        <v>1.51416</v>
      </c>
      <c r="G27" s="290" t="n">
        <f aca="false">F27*SUMIF($B$68:$B$93,B27,$F$68:$F$93)</f>
        <v>12.11328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173.17145088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10.9815302016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0.978142464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0.03440256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0.443904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0.295936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0.900237312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21.229042944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5.842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5.842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69.3590688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16.877113344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104.253416064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0.98184</v>
      </c>
      <c r="E50" s="306" t="n">
        <f aca="false">+'COLECTOR INSUMOS'!G64</f>
        <v>0.08</v>
      </c>
      <c r="F50" s="306" t="n">
        <f aca="false">D50*E50</f>
        <v>0.0785472</v>
      </c>
      <c r="G50" s="290" t="n">
        <f aca="false">F50*SUMIF($B$68:$B$93,B50,$F$68:$F$93)</f>
        <v>4.659419904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0.98184</v>
      </c>
      <c r="E51" s="306" t="n">
        <f aca="false">+'COLECTOR INSUMOS'!G65</f>
        <v>0.08</v>
      </c>
      <c r="F51" s="306" t="n">
        <f aca="false">D51*E51</f>
        <v>0.0785472</v>
      </c>
      <c r="G51" s="290" t="n">
        <f aca="false">F51*SUMIF($B$68:$B$93,B51,$F$68:$F$93)</f>
        <v>4.326379776</v>
      </c>
      <c r="H51" s="149" t="s">
        <v>1036</v>
      </c>
    </row>
    <row r="52" customFormat="false" ht="19.5" hidden="false" customHeight="true" outlineLevel="0" collapsed="false">
      <c r="A52" s="21"/>
      <c r="B52" s="295" t="s">
        <v>983</v>
      </c>
      <c r="C52" s="285" t="s">
        <v>984</v>
      </c>
      <c r="D52" s="306" t="n">
        <f aca="false">F17</f>
        <v>0.98184</v>
      </c>
      <c r="E52" s="306" t="n">
        <f aca="false">+'COLECTOR INSUMOS'!G66</f>
        <v>0.05</v>
      </c>
      <c r="F52" s="306" t="n">
        <f aca="false">D52*E52</f>
        <v>0.049092</v>
      </c>
      <c r="G52" s="290" t="n">
        <f aca="false">F52*SUMIF($B$68:$B$93,B52,$F$68:$F$93)</f>
        <v>1.24791864</v>
      </c>
      <c r="H52" s="149" t="s">
        <v>1036</v>
      </c>
    </row>
    <row r="53" customFormat="false" ht="19.5" hidden="false" customHeight="true" outlineLevel="0" collapsed="false">
      <c r="A53" s="21"/>
      <c r="B53" s="295" t="s">
        <v>952</v>
      </c>
      <c r="C53" s="285" t="s">
        <v>953</v>
      </c>
      <c r="D53" s="306" t="n">
        <f aca="false">F17</f>
        <v>0.98184</v>
      </c>
      <c r="E53" s="306" t="n">
        <f aca="false">+'COLECTOR INSUMOS'!G67</f>
        <v>0.4</v>
      </c>
      <c r="F53" s="306" t="n">
        <f aca="false">D53*E53</f>
        <v>0.392736</v>
      </c>
      <c r="G53" s="290" t="n">
        <f aca="false">F53*SUMIF($B$68:$B$93,B53,$F$68:$F$93)</f>
        <v>11.94702912</v>
      </c>
      <c r="H53" s="149" t="s">
        <v>1036</v>
      </c>
    </row>
    <row r="54" customFormat="false" ht="19.5" hidden="false" customHeight="true" outlineLevel="0" collapsed="false">
      <c r="A54" s="21"/>
      <c r="B54" s="294" t="s">
        <v>1049</v>
      </c>
      <c r="C54" s="295"/>
      <c r="D54" s="295"/>
      <c r="E54" s="295"/>
      <c r="F54" s="295"/>
      <c r="G54" s="296" t="n">
        <f aca="false">SUM(G50:G53)</f>
        <v>22.18074744</v>
      </c>
      <c r="H54" s="295"/>
    </row>
    <row r="55" customFormat="false" ht="31.5" hidden="false" customHeight="true" outlineLevel="0" collapsed="false">
      <c r="A55" s="283" t="s">
        <v>1050</v>
      </c>
      <c r="B55" s="294" t="s">
        <v>1051</v>
      </c>
      <c r="C55" s="294"/>
      <c r="D55" s="294"/>
      <c r="E55" s="294"/>
      <c r="F55" s="294"/>
      <c r="G55" s="294"/>
      <c r="H55" s="294"/>
    </row>
    <row r="56" customFormat="false" ht="19.5" hidden="false" customHeight="true" outlineLevel="0" collapsed="false">
      <c r="A56" s="21"/>
      <c r="B56" s="295" t="s">
        <v>952</v>
      </c>
      <c r="C56" s="285" t="s">
        <v>953</v>
      </c>
      <c r="D56" s="306" t="n">
        <f aca="false">F14</f>
        <v>1</v>
      </c>
      <c r="E56" s="307" t="n">
        <v>1</v>
      </c>
      <c r="F56" s="306" t="n">
        <f aca="false">D56*E56</f>
        <v>1</v>
      </c>
      <c r="G56" s="290" t="n">
        <f aca="false">F56*SUMIF($B$68:$B$93,B56,$F$68:$F$93)</f>
        <v>30.42</v>
      </c>
      <c r="H56" s="149" t="s">
        <v>1052</v>
      </c>
    </row>
    <row r="57" customFormat="false" ht="19.5" hidden="false" customHeight="true" outlineLevel="0" collapsed="false">
      <c r="A57" s="21"/>
      <c r="B57" s="295" t="s">
        <v>955</v>
      </c>
      <c r="C57" s="285" t="s">
        <v>953</v>
      </c>
      <c r="D57" s="306" t="n">
        <f aca="false">F14</f>
        <v>1</v>
      </c>
      <c r="E57" s="307" t="n">
        <v>1</v>
      </c>
      <c r="F57" s="306" t="n">
        <f aca="false">D57*E57</f>
        <v>1</v>
      </c>
      <c r="G57" s="290" t="n">
        <f aca="false">F57*SUMIF($B$68:$B$93,B57,$F$68:$F$93)</f>
        <v>20.79</v>
      </c>
      <c r="H57" s="149" t="s">
        <v>1052</v>
      </c>
    </row>
    <row r="58" customFormat="false" ht="19.5" hidden="false" customHeight="true" outlineLevel="0" collapsed="false">
      <c r="A58" s="21"/>
      <c r="B58" s="294" t="s">
        <v>1053</v>
      </c>
      <c r="C58" s="295"/>
      <c r="D58" s="295"/>
      <c r="E58" s="295"/>
      <c r="F58" s="295"/>
      <c r="G58" s="296" t="n">
        <f aca="false">SUM(G56:G57)</f>
        <v>51.21</v>
      </c>
      <c r="H58" s="295"/>
    </row>
    <row r="59" customFormat="false" ht="19.5" hidden="false" customHeight="true" outlineLevel="0" collapsed="false">
      <c r="A59" s="295"/>
      <c r="B59" s="294" t="s">
        <v>1054</v>
      </c>
      <c r="C59" s="295"/>
      <c r="D59" s="295"/>
      <c r="E59" s="295"/>
      <c r="F59" s="295"/>
      <c r="G59" s="296" t="n">
        <f aca="false">+G28+G39+G42+G48+G54+G58</f>
        <v>377.886657328</v>
      </c>
      <c r="H59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2.29141480198968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</v>
      </c>
      <c r="E69" s="306" t="n">
        <f aca="false">SUMIF($B$21:$B$58,B69,$F$21:$F$58)</f>
        <v>3.4912928</v>
      </c>
      <c r="F69" s="289" t="n">
        <v>30.42</v>
      </c>
      <c r="G69" s="290" t="n">
        <f aca="false">E69*F69</f>
        <v>106.205126976</v>
      </c>
      <c r="H69" s="149" t="s">
        <v>1067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0.601083014292013</v>
      </c>
      <c r="E70" s="306" t="n">
        <f aca="false">SUMIF($B$21:$B$58,B70,$F$21:$F$58)</f>
        <v>2.0985568</v>
      </c>
      <c r="F70" s="289" t="n">
        <v>22.95</v>
      </c>
      <c r="G70" s="290" t="n">
        <f aca="false">E70*F70</f>
        <v>48.16187856</v>
      </c>
      <c r="H70" s="149" t="s">
        <v>1067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0.354238063332872</v>
      </c>
      <c r="E71" s="306" t="n">
        <f aca="false">SUMIF($B$21:$B$58,B71,$F$21:$F$58)</f>
        <v>1.2367488</v>
      </c>
      <c r="F71" s="289" t="n">
        <v>20.79</v>
      </c>
      <c r="G71" s="290" t="n">
        <f aca="false">E71*F71</f>
        <v>25.712007552</v>
      </c>
      <c r="H71" s="149" t="s">
        <v>1067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180.079013088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1024</v>
      </c>
      <c r="C74" s="285" t="s">
        <v>50</v>
      </c>
      <c r="D74" s="295"/>
      <c r="E74" s="306" t="n">
        <f aca="false">SUMIF($B$21:$B$58,B74,$F$21:$F$58)</f>
        <v>10.6722</v>
      </c>
      <c r="F74" s="289" t="n">
        <v>4.66</v>
      </c>
      <c r="G74" s="290" t="n">
        <f aca="false">E74*F74</f>
        <v>49.732452</v>
      </c>
      <c r="H74" s="149" t="s">
        <v>1070</v>
      </c>
    </row>
    <row r="75" customFormat="false" ht="19.5" hidden="false" customHeight="true" outlineLevel="0" collapsed="false">
      <c r="A75" s="283" t="n">
        <v>5</v>
      </c>
      <c r="B75" s="295" t="s">
        <v>1026</v>
      </c>
      <c r="C75" s="285" t="s">
        <v>50</v>
      </c>
      <c r="D75" s="295"/>
      <c r="E75" s="306" t="n">
        <f aca="false">SUMIF($B$21:$B$58,B75,$F$21:$F$58)</f>
        <v>5.22648</v>
      </c>
      <c r="F75" s="289" t="n">
        <v>4.66</v>
      </c>
      <c r="G75" s="290" t="n">
        <f aca="false">E75*F75</f>
        <v>24.3553968</v>
      </c>
      <c r="H75" s="149" t="s">
        <v>1070</v>
      </c>
    </row>
    <row r="76" customFormat="false" ht="19.5" hidden="false" customHeight="true" outlineLevel="0" collapsed="false">
      <c r="A76" s="283" t="n">
        <v>6</v>
      </c>
      <c r="B76" s="295" t="s">
        <v>1028</v>
      </c>
      <c r="C76" s="285" t="s">
        <v>50</v>
      </c>
      <c r="D76" s="295"/>
      <c r="E76" s="306" t="n">
        <f aca="false">SUMIF($B$21:$B$58,B76,$F$21:$F$58)</f>
        <v>0.454248</v>
      </c>
      <c r="F76" s="289" t="n">
        <v>13.56</v>
      </c>
      <c r="G76" s="290" t="n">
        <f aca="false">E76*F76</f>
        <v>6.15960288</v>
      </c>
      <c r="H76" s="149" t="s">
        <v>1070</v>
      </c>
    </row>
    <row r="77" customFormat="false" ht="19.5" hidden="false" customHeight="true" outlineLevel="0" collapsed="false">
      <c r="A77" s="283" t="n">
        <v>7</v>
      </c>
      <c r="B77" s="295" t="s">
        <v>944</v>
      </c>
      <c r="C77" s="285" t="s">
        <v>945</v>
      </c>
      <c r="D77" s="295"/>
      <c r="E77" s="306" t="n">
        <f aca="false">SUMIF($B$21:$B$58,B77,$F$21:$F$58)</f>
        <v>0.35993216</v>
      </c>
      <c r="F77" s="289" t="n">
        <v>30.51</v>
      </c>
      <c r="G77" s="290" t="n">
        <f aca="false">E77*F77</f>
        <v>10.9815302016</v>
      </c>
      <c r="H77" s="149" t="s">
        <v>1070</v>
      </c>
    </row>
    <row r="78" customFormat="false" ht="19.5" hidden="false" customHeight="true" outlineLevel="0" collapsed="false">
      <c r="A78" s="283" t="n">
        <v>8</v>
      </c>
      <c r="B78" s="295" t="s">
        <v>946</v>
      </c>
      <c r="C78" s="285" t="s">
        <v>167</v>
      </c>
      <c r="D78" s="295"/>
      <c r="E78" s="306" t="n">
        <f aca="false">SUMIF($B$21:$B$58,B78,$F$21:$F$58)</f>
        <v>0.01923584</v>
      </c>
      <c r="F78" s="289" t="n">
        <v>50.85</v>
      </c>
      <c r="G78" s="290" t="n">
        <f aca="false">E78*F78</f>
        <v>0.978142464</v>
      </c>
      <c r="H78" s="149" t="s">
        <v>1070</v>
      </c>
    </row>
    <row r="79" customFormat="false" ht="19.5" hidden="false" customHeight="true" outlineLevel="0" collapsed="false">
      <c r="A79" s="283" t="n">
        <v>9</v>
      </c>
      <c r="B79" s="295" t="s">
        <v>947</v>
      </c>
      <c r="C79" s="285" t="s">
        <v>167</v>
      </c>
      <c r="D79" s="295"/>
      <c r="E79" s="306" t="n">
        <f aca="false">SUMIF($B$21:$B$58,B79,$F$21:$F$58)</f>
        <v>0.01960576</v>
      </c>
      <c r="F79" s="289" t="n">
        <v>101.69</v>
      </c>
      <c r="G79" s="290" t="n">
        <f aca="false">E79*F79</f>
        <v>1.9937097344</v>
      </c>
      <c r="H79" s="149" t="s">
        <v>1070</v>
      </c>
    </row>
    <row r="80" customFormat="false" ht="19.5" hidden="false" customHeight="true" outlineLevel="0" collapsed="false">
      <c r="A80" s="283" t="n">
        <v>10</v>
      </c>
      <c r="B80" s="295" t="s">
        <v>948</v>
      </c>
      <c r="C80" s="285" t="s">
        <v>167</v>
      </c>
      <c r="D80" s="295"/>
      <c r="E80" s="306" t="n">
        <f aca="false">SUMIF($B$21:$B$58,B80,$F$21:$F$58)</f>
        <v>0.006880512</v>
      </c>
      <c r="F80" s="289" t="n">
        <v>5</v>
      </c>
      <c r="G80" s="290" t="n">
        <f aca="false">E80*F80</f>
        <v>0.03440256</v>
      </c>
      <c r="H80" s="149" t="s">
        <v>1070</v>
      </c>
    </row>
    <row r="81" customFormat="false" ht="19.5" hidden="false" customHeight="true" outlineLevel="0" collapsed="false">
      <c r="A81" s="283" t="n">
        <v>11</v>
      </c>
      <c r="B81" s="295" t="s">
        <v>959</v>
      </c>
      <c r="C81" s="285" t="s">
        <v>960</v>
      </c>
      <c r="D81" s="295"/>
      <c r="E81" s="306" t="n">
        <f aca="false">SUMIF($B$21:$B$58,B81,$F$21:$F$58)</f>
        <v>1.15</v>
      </c>
      <c r="F81" s="289" t="n">
        <v>5.08</v>
      </c>
      <c r="G81" s="290" t="n">
        <f aca="false">E81*F81</f>
        <v>5.842</v>
      </c>
      <c r="H81" s="149" t="s">
        <v>1070</v>
      </c>
    </row>
    <row r="82" customFormat="false" ht="19.5" hidden="false" customHeight="true" outlineLevel="0" collapsed="false">
      <c r="A82" s="283" t="n">
        <v>12</v>
      </c>
      <c r="B82" s="295" t="s">
        <v>1044</v>
      </c>
      <c r="C82" s="285" t="s">
        <v>50</v>
      </c>
      <c r="D82" s="295"/>
      <c r="E82" s="306" t="n">
        <f aca="false">SUMIF($B$21:$B$58,B82,$F$21:$F$58)</f>
        <v>18.20448</v>
      </c>
      <c r="F82" s="289" t="n">
        <v>3.81</v>
      </c>
      <c r="G82" s="290" t="n">
        <f aca="false">E82*F82</f>
        <v>69.3590688</v>
      </c>
      <c r="H82" s="149" t="s">
        <v>1070</v>
      </c>
    </row>
    <row r="83" customFormat="false" ht="19.5" hidden="false" customHeight="true" outlineLevel="0" collapsed="false">
      <c r="A83" s="283" t="n">
        <v>13</v>
      </c>
      <c r="B83" s="295" t="s">
        <v>965</v>
      </c>
      <c r="C83" s="285" t="s">
        <v>50</v>
      </c>
      <c r="D83" s="295"/>
      <c r="E83" s="306" t="n">
        <f aca="false">SUMIF($B$21:$B$58,B83,$F$21:$F$58)</f>
        <v>1.040256</v>
      </c>
      <c r="F83" s="289" t="n">
        <v>5.08</v>
      </c>
      <c r="G83" s="290" t="n">
        <f aca="false">E83*F83</f>
        <v>5.28450048</v>
      </c>
      <c r="H83" s="149" t="s">
        <v>1070</v>
      </c>
    </row>
    <row r="84" customFormat="false" ht="19.5" hidden="false" customHeight="true" outlineLevel="0" collapsed="false">
      <c r="A84" s="283" t="n">
        <v>14</v>
      </c>
      <c r="B84" s="295" t="s">
        <v>980</v>
      </c>
      <c r="C84" s="285" t="s">
        <v>981</v>
      </c>
      <c r="D84" s="295"/>
      <c r="E84" s="306" t="n">
        <f aca="false">SUMIF($B$21:$B$58,B84,$F$21:$F$58)</f>
        <v>0.0785472</v>
      </c>
      <c r="F84" s="289" t="n">
        <v>59.32</v>
      </c>
      <c r="G84" s="290" t="n">
        <f aca="false">E84*F84</f>
        <v>4.659419904</v>
      </c>
      <c r="H84" s="149" t="s">
        <v>1070</v>
      </c>
    </row>
    <row r="85" customFormat="false" ht="19.5" hidden="false" customHeight="true" outlineLevel="0" collapsed="false">
      <c r="A85" s="283" t="n">
        <v>15</v>
      </c>
      <c r="B85" s="295" t="s">
        <v>982</v>
      </c>
      <c r="C85" s="285" t="s">
        <v>981</v>
      </c>
      <c r="D85" s="295"/>
      <c r="E85" s="306" t="n">
        <f aca="false">SUMIF($B$21:$B$58,B85,$F$21:$F$58)</f>
        <v>0.0785472</v>
      </c>
      <c r="F85" s="289" t="n">
        <v>55.08</v>
      </c>
      <c r="G85" s="290" t="n">
        <f aca="false">E85*F85</f>
        <v>4.326379776</v>
      </c>
      <c r="H85" s="149" t="s">
        <v>1070</v>
      </c>
    </row>
    <row r="86" customFormat="false" ht="19.5" hidden="false" customHeight="true" outlineLevel="0" collapsed="false">
      <c r="A86" s="283" t="n">
        <v>16</v>
      </c>
      <c r="B86" s="295" t="s">
        <v>983</v>
      </c>
      <c r="C86" s="285" t="s">
        <v>984</v>
      </c>
      <c r="D86" s="295"/>
      <c r="E86" s="306" t="n">
        <f aca="false">SUMIF($B$21:$B$58,B86,$F$21:$F$58)</f>
        <v>0.049092</v>
      </c>
      <c r="F86" s="289" t="n">
        <v>25.42</v>
      </c>
      <c r="G86" s="290" t="n">
        <f aca="false">E86*F86</f>
        <v>1.24791864</v>
      </c>
      <c r="H86" s="149" t="s">
        <v>1070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184.95452424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180.079013088</v>
      </c>
      <c r="G89" s="290" t="n">
        <f aca="false">E89*F89</f>
        <v>5.40237039264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0.00847640163552023</v>
      </c>
      <c r="E90" s="306" t="n">
        <f aca="false">SUMIF($B$21:$B$58,B90,$F$21:$F$58)</f>
        <v>0.0295936</v>
      </c>
      <c r="F90" s="289" t="n">
        <v>15</v>
      </c>
      <c r="G90" s="290" t="n">
        <f aca="false">E90*F90</f>
        <v>0.443904</v>
      </c>
      <c r="H90" s="149" t="s">
        <v>1074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0.00847640163552023</v>
      </c>
      <c r="E91" s="306" t="n">
        <f aca="false">SUMIF($B$21:$B$58,B91,$F$21:$F$58)</f>
        <v>0.0295936</v>
      </c>
      <c r="F91" s="289" t="n">
        <v>10</v>
      </c>
      <c r="G91" s="290" t="n">
        <f aca="false">E91*F91</f>
        <v>0.295936</v>
      </c>
      <c r="H91" s="149" t="s">
        <v>1074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0.433696079572587</v>
      </c>
      <c r="E92" s="306" t="n">
        <f aca="false">SUMIF($B$21:$B$58,B92,$F$21:$F$58)</f>
        <v>1.51416</v>
      </c>
      <c r="F92" s="289" t="n">
        <v>8</v>
      </c>
      <c r="G92" s="290" t="n">
        <f aca="false">E92*F92</f>
        <v>12.11328</v>
      </c>
      <c r="H92" s="149" t="s">
        <v>1074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18.25549039264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383.28902772064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3832.8902772064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IF(ABS(G59+G89-G94)&lt;0.005,"CONFORME","REVISAR")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5:H55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v>30.42</v>
      </c>
      <c r="G31" s="290" t="n">
        <f aca="false">E31*F31</f>
        <v>9.7344</v>
      </c>
      <c r="H31" s="149" t="s">
        <v>1067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v>20.79</v>
      </c>
      <c r="G32" s="290" t="n">
        <f aca="false">E32*F32</f>
        <v>6.6528</v>
      </c>
      <c r="H32" s="149" t="s">
        <v>1067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16.3872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16.3872</v>
      </c>
      <c r="G40" s="290" t="n">
        <f aca="false">E40*F40</f>
        <v>0.81936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0.81936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40.6357685040984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20885.9722957365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v>30.42</v>
      </c>
      <c r="G51" s="290" t="n">
        <f aca="false">E51*F51</f>
        <v>6.084</v>
      </c>
      <c r="H51" s="149" t="s">
        <v>1067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v>20.79</v>
      </c>
      <c r="G52" s="290" t="n">
        <f aca="false">E52*F52</f>
        <v>2.079</v>
      </c>
      <c r="H52" s="149" t="s">
        <v>1067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8.163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8.163</v>
      </c>
      <c r="G60" s="290" t="n">
        <f aca="false">E60*F60</f>
        <v>0.40815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0.40815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16.78745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14840.1058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v>30.42</v>
      </c>
      <c r="G71" s="290" t="n">
        <f aca="false">E71*F71</f>
        <v>8.112</v>
      </c>
      <c r="H71" s="149" t="s">
        <v>1067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v>20.79</v>
      </c>
      <c r="G72" s="290" t="n">
        <f aca="false">E72*F72</f>
        <v>2.772</v>
      </c>
      <c r="H72" s="149" t="s">
        <v>1067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10.884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10.884</v>
      </c>
      <c r="G80" s="290" t="n">
        <f aca="false">E80*F80</f>
        <v>0.5442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0.5442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16.0325525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641.3021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v>30.42</v>
      </c>
      <c r="G91" s="290" t="n">
        <f aca="false">E91*F91</f>
        <v>15.21</v>
      </c>
      <c r="H91" s="149" t="s">
        <v>1067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v>20.79</v>
      </c>
      <c r="G92" s="290" t="n">
        <f aca="false">E92*F92</f>
        <v>5.1975</v>
      </c>
      <c r="H92" s="149" t="s">
        <v>1067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20.4075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20.4075</v>
      </c>
      <c r="G100" s="290" t="n">
        <f aca="false">E100*F100</f>
        <v>1.020375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1.020375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27.9158733730072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1451.62541539637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40.6357685040984</v>
      </c>
      <c r="F107" s="290" t="n">
        <f aca="false">+G43</f>
        <v>20885.9722957365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</v>
      </c>
      <c r="E108" s="290" t="n">
        <f aca="false">+G62</f>
        <v>16.78745</v>
      </c>
      <c r="F108" s="290" t="n">
        <f aca="false">+G63</f>
        <v>14840.1058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</v>
      </c>
      <c r="E109" s="290" t="n">
        <f aca="false">+G82</f>
        <v>16.0325525</v>
      </c>
      <c r="F109" s="290" t="n">
        <f aca="false">+G83</f>
        <v>641.3021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</v>
      </c>
      <c r="E110" s="290" t="n">
        <f aca="false">+G102</f>
        <v>27.9158733730072</v>
      </c>
      <c r="F110" s="290" t="n">
        <f aca="false">+G103</f>
        <v>1451.62541539637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37819.0056111329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1154</v>
      </c>
      <c r="C25" s="285" t="s">
        <v>50</v>
      </c>
      <c r="D25" s="306" t="n">
        <f aca="false">'COLECTOR PARAMETROS'!C36*'COLECTOR PARAMETROS'!C38</f>
        <v>10.164</v>
      </c>
      <c r="E25" s="301" t="n">
        <f aca="false">+$F$20</f>
        <v>10</v>
      </c>
      <c r="F25" s="306" t="n">
        <f aca="false">D25*E25</f>
        <v>101.64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15.1416</v>
      </c>
      <c r="E27" s="295"/>
      <c r="F27" s="296" t="n">
        <f aca="false">SUM(F25:F26)</f>
        <v>151.416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1174</v>
      </c>
      <c r="C38" s="285" t="s">
        <v>168</v>
      </c>
      <c r="D38" s="306" t="n">
        <f aca="false">'COLECTOR PARAMETROS'!C36*'COLECTOR PARAMETROS'!C40+'COLECTOR PARAMETROS'!C37*'COLECTOR PARAMETROS'!C41</f>
        <v>0.98184</v>
      </c>
      <c r="E38" s="301" t="n">
        <f aca="false">+$F$20</f>
        <v>10</v>
      </c>
      <c r="F38" s="306" t="n">
        <f aca="false">D38*E38</f>
        <v>9.8184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0.98184</v>
      </c>
      <c r="E39" s="295"/>
      <c r="F39" s="296" t="n">
        <f aca="false">SUM(F38:F38)</f>
        <v>9.8184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151.416</v>
      </c>
      <c r="F43" s="306" t="n">
        <f aca="false">+'COLECTOR REGISTROS Y TAPAS'!E25</f>
        <v>151.416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9.8184</v>
      </c>
      <c r="F46" s="306" t="n">
        <f aca="false">+'COLECTOR REGISTROS Y TAPAS'!E28</f>
        <v>9.8184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