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TBM\ALDEA INFANTIL\KATIUSKA\"/>
    </mc:Choice>
  </mc:AlternateContent>
  <xr:revisionPtr revIDLastSave="0" documentId="13_ncr:1_{B1BF7F0A-7229-41D6-B05C-E395E0E8294A}" xr6:coauthVersionLast="47" xr6:coauthVersionMax="47" xr10:uidLastSave="{00000000-0000-0000-0000-000000000000}"/>
  <bookViews>
    <workbookView xWindow="-110" yWindow="-110" windowWidth="25820" windowHeight="15500" activeTab="1" xr2:uid="{1629627B-547B-4654-83F7-868241885114}"/>
  </bookViews>
  <sheets>
    <sheet name="A. Estación" sheetId="30" r:id="rId1"/>
    <sheet name="B.Modelo Distribución" sheetId="43" r:id="rId2"/>
    <sheet name="C. Prueba Kolmorov-Smirnov" sheetId="42" r:id="rId3"/>
    <sheet name="D.Resumen" sheetId="44" r:id="rId4"/>
    <sheet name="A. Parametros" sheetId="21" r:id="rId5"/>
    <sheet name="B. Int.maxima" sheetId="22" r:id="rId6"/>
    <sheet name="C. P diseño" sheetId="20" r:id="rId7"/>
    <sheet name="Hoja1" sheetId="49" state="hidden" r:id="rId8"/>
    <sheet name="210" sheetId="48" state="hidden" r:id="rId9"/>
  </sheets>
  <externalReferences>
    <externalReference r:id="rId10"/>
  </externalReferences>
  <definedNames>
    <definedName name="_xlnm.Print_Area" localSheetId="0">'A. Estación'!$A$1:$O$72</definedName>
    <definedName name="_xlnm.Print_Area" localSheetId="4">'A. Parametros'!$A$1:$I$54</definedName>
    <definedName name="_xlnm.Print_Area" localSheetId="5">'B. Int.maxima'!$A$1:$J$59</definedName>
    <definedName name="_xlnm.Print_Area" localSheetId="1">'B.Modelo Distribución'!$A$1:$R$71</definedName>
    <definedName name="_xlnm.Print_Area" localSheetId="6">'C. P diseño'!$A$1:$F$169</definedName>
    <definedName name="_xlnm.Print_Area" localSheetId="2">'C. Prueba Kolmorov-Smirnov'!$A$1:$AA$56</definedName>
    <definedName name="_xlnm.Print_Area" localSheetId="3">D.Resumen!$A$1:$M$46</definedName>
    <definedName name="CoefAsimE6">'[1]N-LN-LP3_VEI'!$C$50</definedName>
    <definedName name="CuadroResultados">#N/A</definedName>
    <definedName name="DatosOrdenadosLogaritmo">#N/A</definedName>
    <definedName name="DatosOrdenadosNormal">#N/A</definedName>
    <definedName name="Desv_Estand_LogP">'[1]N-LN-LP3_VEI'!$C$47</definedName>
    <definedName name="Desv_Estand_P">'[1]N-LN-LP3_VEI'!$B$47</definedName>
    <definedName name="MaxValor">#N/A</definedName>
    <definedName name="NumeroDatos">#REF!</definedName>
    <definedName name="Promedio_LogP">'[1]N-LN-LP3_VEI'!$C$46</definedName>
    <definedName name="Promedio_P">'[1]N-LN-LP3_VEI'!$B$46</definedName>
    <definedName name="Registrados_P">#N/A</definedName>
    <definedName name="Registrados_TR">#N/A</definedName>
    <definedName name="Registro">#N/A</definedName>
    <definedName name="tabla">#N/A</definedName>
    <definedName name="_xlnm.Print_Titles" localSheetId="4">'A. Parametros'!$2:$8</definedName>
    <definedName name="_xlnm.Print_Titles" localSheetId="1">'B.Modelo Distribución'!$2:$7</definedName>
    <definedName name="_xlnm.Print_Titles" localSheetId="6">'C. P diseño'!$2:$6</definedName>
    <definedName name="_xlnm.Print_Titles" localSheetId="3">D.Resumen!$2:$5</definedName>
    <definedName name="ValoresRangoLogaritmo">#N/A</definedName>
    <definedName name="ValoresRangoNormal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8" i="21" l="1"/>
  <c r="O59" i="21"/>
  <c r="O60" i="21"/>
  <c r="O61" i="21"/>
  <c r="O62" i="21"/>
  <c r="O63" i="21"/>
  <c r="O64" i="21"/>
  <c r="O65" i="21"/>
  <c r="O57" i="21"/>
  <c r="N58" i="21"/>
  <c r="N59" i="21"/>
  <c r="N60" i="21"/>
  <c r="N61" i="21"/>
  <c r="N62" i="21"/>
  <c r="N63" i="21"/>
  <c r="N64" i="21"/>
  <c r="N65" i="21"/>
  <c r="N57" i="21"/>
  <c r="O49" i="21"/>
  <c r="O50" i="21"/>
  <c r="O51" i="21"/>
  <c r="O52" i="21"/>
  <c r="O53" i="21"/>
  <c r="O54" i="21"/>
  <c r="O55" i="21"/>
  <c r="O56" i="21"/>
  <c r="O48" i="21"/>
  <c r="N49" i="21"/>
  <c r="N50" i="21"/>
  <c r="N51" i="21"/>
  <c r="N52" i="21"/>
  <c r="N53" i="21"/>
  <c r="N54" i="21"/>
  <c r="N55" i="21"/>
  <c r="N56" i="21"/>
  <c r="N48" i="21"/>
  <c r="O40" i="21"/>
  <c r="O41" i="21"/>
  <c r="O42" i="21"/>
  <c r="O43" i="21"/>
  <c r="O44" i="21"/>
  <c r="O45" i="21"/>
  <c r="O46" i="21"/>
  <c r="O47" i="21"/>
  <c r="O39" i="21"/>
  <c r="N40" i="21"/>
  <c r="N41" i="21"/>
  <c r="N42" i="21"/>
  <c r="N43" i="21"/>
  <c r="N44" i="21"/>
  <c r="N45" i="21"/>
  <c r="N46" i="21"/>
  <c r="N47" i="21"/>
  <c r="N39" i="21"/>
  <c r="O31" i="21"/>
  <c r="O32" i="21"/>
  <c r="O33" i="21"/>
  <c r="O34" i="21"/>
  <c r="O35" i="21"/>
  <c r="O36" i="21"/>
  <c r="O37" i="21"/>
  <c r="O38" i="21"/>
  <c r="O30" i="21"/>
  <c r="N31" i="21"/>
  <c r="N32" i="21"/>
  <c r="N33" i="21"/>
  <c r="N34" i="21"/>
  <c r="N35" i="21"/>
  <c r="N36" i="21"/>
  <c r="N37" i="21"/>
  <c r="N38" i="21"/>
  <c r="N30" i="21"/>
  <c r="O22" i="21"/>
  <c r="O23" i="21"/>
  <c r="O24" i="21"/>
  <c r="O25" i="21"/>
  <c r="O26" i="21"/>
  <c r="O27" i="21"/>
  <c r="O28" i="21"/>
  <c r="O29" i="21"/>
  <c r="O21" i="21"/>
  <c r="N22" i="21"/>
  <c r="N23" i="21"/>
  <c r="N24" i="21"/>
  <c r="N25" i="21"/>
  <c r="N26" i="21"/>
  <c r="N27" i="21"/>
  <c r="N28" i="21"/>
  <c r="N29" i="21"/>
  <c r="N21" i="21"/>
  <c r="O13" i="21"/>
  <c r="O14" i="21"/>
  <c r="O15" i="21"/>
  <c r="O16" i="21"/>
  <c r="O17" i="21"/>
  <c r="O18" i="21"/>
  <c r="O19" i="21"/>
  <c r="O20" i="21"/>
  <c r="O12" i="21"/>
  <c r="N13" i="21"/>
  <c r="N14" i="21"/>
  <c r="N15" i="21"/>
  <c r="N16" i="21"/>
  <c r="N17" i="21"/>
  <c r="N18" i="21"/>
  <c r="N19" i="21"/>
  <c r="N20" i="21"/>
  <c r="N12" i="21"/>
  <c r="E20" i="44"/>
  <c r="E12" i="44"/>
  <c r="K12" i="42"/>
  <c r="P16" i="42"/>
  <c r="F12" i="42"/>
  <c r="P13" i="42"/>
  <c r="P12" i="42"/>
  <c r="P11" i="42"/>
  <c r="K13" i="42"/>
  <c r="K11" i="42"/>
  <c r="F13" i="42"/>
  <c r="F11" i="42"/>
  <c r="V23" i="42"/>
  <c r="V24" i="42"/>
  <c r="V25" i="42"/>
  <c r="V26" i="42"/>
  <c r="V27" i="42"/>
  <c r="V28" i="42"/>
  <c r="V29" i="42"/>
  <c r="V30" i="42"/>
  <c r="V31" i="42"/>
  <c r="V32" i="42"/>
  <c r="V33" i="42"/>
  <c r="V34" i="42"/>
  <c r="V35" i="42"/>
  <c r="V36" i="42"/>
  <c r="V37" i="42"/>
  <c r="V38" i="42"/>
  <c r="V39" i="42"/>
  <c r="V40" i="42"/>
  <c r="V41" i="42"/>
  <c r="V42" i="42"/>
  <c r="V43" i="42"/>
  <c r="V44" i="42"/>
  <c r="V45" i="42"/>
  <c r="V46" i="42"/>
  <c r="V47" i="42"/>
  <c r="N23" i="42"/>
  <c r="N24" i="42"/>
  <c r="N25" i="42"/>
  <c r="N26" i="42"/>
  <c r="N27" i="42"/>
  <c r="N28" i="42"/>
  <c r="N29" i="42"/>
  <c r="N30" i="42"/>
  <c r="N31" i="42"/>
  <c r="N32" i="42"/>
  <c r="N33" i="42"/>
  <c r="N34" i="42"/>
  <c r="N35" i="42"/>
  <c r="N36" i="42"/>
  <c r="N37" i="42"/>
  <c r="N38" i="42"/>
  <c r="N39" i="42"/>
  <c r="N40" i="42"/>
  <c r="N41" i="42"/>
  <c r="N42" i="42"/>
  <c r="N43" i="42"/>
  <c r="N44" i="42"/>
  <c r="N45" i="42"/>
  <c r="N46" i="42"/>
  <c r="N47" i="42"/>
  <c r="J23" i="42"/>
  <c r="K23" i="42" s="1"/>
  <c r="L23" i="42" s="1"/>
  <c r="J24" i="42"/>
  <c r="K24" i="42" s="1"/>
  <c r="L24" i="42" s="1"/>
  <c r="J25" i="42"/>
  <c r="K25" i="42" s="1"/>
  <c r="L25" i="42" s="1"/>
  <c r="J26" i="42"/>
  <c r="K26" i="42" s="1"/>
  <c r="L26" i="42" s="1"/>
  <c r="J27" i="42"/>
  <c r="K27" i="42" s="1"/>
  <c r="L27" i="42" s="1"/>
  <c r="J28" i="42"/>
  <c r="K28" i="42" s="1"/>
  <c r="L28" i="42" s="1"/>
  <c r="J29" i="42"/>
  <c r="K29" i="42" s="1"/>
  <c r="L29" i="42" s="1"/>
  <c r="J30" i="42"/>
  <c r="K30" i="42" s="1"/>
  <c r="L30" i="42" s="1"/>
  <c r="J31" i="42"/>
  <c r="K31" i="42" s="1"/>
  <c r="L31" i="42" s="1"/>
  <c r="J32" i="42"/>
  <c r="K32" i="42" s="1"/>
  <c r="L32" i="42" s="1"/>
  <c r="J33" i="42"/>
  <c r="K33" i="42" s="1"/>
  <c r="L33" i="42" s="1"/>
  <c r="J34" i="42"/>
  <c r="K34" i="42" s="1"/>
  <c r="L34" i="42" s="1"/>
  <c r="J35" i="42"/>
  <c r="K35" i="42" s="1"/>
  <c r="L35" i="42" s="1"/>
  <c r="J36" i="42"/>
  <c r="K36" i="42" s="1"/>
  <c r="L36" i="42" s="1"/>
  <c r="J37" i="42"/>
  <c r="K37" i="42" s="1"/>
  <c r="L37" i="42" s="1"/>
  <c r="J38" i="42"/>
  <c r="K38" i="42" s="1"/>
  <c r="L38" i="42" s="1"/>
  <c r="J39" i="42"/>
  <c r="K39" i="42" s="1"/>
  <c r="L39" i="42" s="1"/>
  <c r="J40" i="42"/>
  <c r="K40" i="42" s="1"/>
  <c r="L40" i="42" s="1"/>
  <c r="J41" i="42"/>
  <c r="K41" i="42" s="1"/>
  <c r="L41" i="42" s="1"/>
  <c r="J42" i="42"/>
  <c r="K42" i="42" s="1"/>
  <c r="L42" i="42" s="1"/>
  <c r="J43" i="42"/>
  <c r="K43" i="42" s="1"/>
  <c r="L43" i="42" s="1"/>
  <c r="J44" i="42"/>
  <c r="K44" i="42" s="1"/>
  <c r="L44" i="42" s="1"/>
  <c r="J45" i="42"/>
  <c r="K45" i="42" s="1"/>
  <c r="L45" i="42" s="1"/>
  <c r="J46" i="42"/>
  <c r="K46" i="42" s="1"/>
  <c r="L46" i="42" s="1"/>
  <c r="J47" i="42"/>
  <c r="K47" i="42" s="1"/>
  <c r="L47" i="42" s="1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C23" i="42"/>
  <c r="C24" i="42"/>
  <c r="C25" i="42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44" i="42"/>
  <c r="C45" i="42"/>
  <c r="C46" i="42"/>
  <c r="C47" i="42"/>
  <c r="C22" i="42"/>
  <c r="B47" i="42"/>
  <c r="B46" i="42"/>
  <c r="K10" i="42"/>
  <c r="P10" i="42" s="1"/>
  <c r="F10" i="42"/>
  <c r="D40" i="43"/>
  <c r="D39" i="43"/>
  <c r="D38" i="43"/>
  <c r="D37" i="43"/>
  <c r="D41" i="43"/>
  <c r="D42" i="43"/>
  <c r="C42" i="43"/>
  <c r="C40" i="43"/>
  <c r="C39" i="43"/>
  <c r="C37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C12" i="43"/>
  <c r="C13" i="43"/>
  <c r="C14" i="43"/>
  <c r="C15" i="43"/>
  <c r="C16" i="43"/>
  <c r="C17" i="43"/>
  <c r="C18" i="43"/>
  <c r="C19" i="43"/>
  <c r="C20" i="43"/>
  <c r="C21" i="43"/>
  <c r="C22" i="43"/>
  <c r="C23" i="43"/>
  <c r="C24" i="43"/>
  <c r="C25" i="43"/>
  <c r="C26" i="43"/>
  <c r="C27" i="43"/>
  <c r="C28" i="43"/>
  <c r="C29" i="43"/>
  <c r="C30" i="43"/>
  <c r="C31" i="43"/>
  <c r="C32" i="43"/>
  <c r="C33" i="43"/>
  <c r="C34" i="43"/>
  <c r="C35" i="43"/>
  <c r="C36" i="43"/>
  <c r="O19" i="30"/>
  <c r="O20" i="30"/>
  <c r="O21" i="30"/>
  <c r="O22" i="30"/>
  <c r="O23" i="30"/>
  <c r="O24" i="30"/>
  <c r="O25" i="30"/>
  <c r="O26" i="30"/>
  <c r="O27" i="30"/>
  <c r="O28" i="30"/>
  <c r="O29" i="30"/>
  <c r="O30" i="30"/>
  <c r="O31" i="30"/>
  <c r="O32" i="30"/>
  <c r="O33" i="30"/>
  <c r="O34" i="30"/>
  <c r="O35" i="30"/>
  <c r="O36" i="30"/>
  <c r="O37" i="30"/>
  <c r="O38" i="30"/>
  <c r="O39" i="30"/>
  <c r="O40" i="30"/>
  <c r="O41" i="30"/>
  <c r="O42" i="30"/>
  <c r="O43" i="30"/>
  <c r="O18" i="30"/>
  <c r="C11" i="43"/>
  <c r="A19" i="30"/>
  <c r="A20" i="30"/>
  <c r="A28" i="30"/>
  <c r="A30" i="30"/>
  <c r="A35" i="30"/>
  <c r="A37" i="30"/>
  <c r="A38" i="30"/>
  <c r="F4" i="48"/>
  <c r="G4" i="48"/>
  <c r="M4" i="48"/>
  <c r="N4" i="48" s="1"/>
  <c r="F5" i="48"/>
  <c r="G5" i="48" s="1"/>
  <c r="M5" i="48"/>
  <c r="N5" i="48" s="1"/>
  <c r="F6" i="48"/>
  <c r="G6" i="48" s="1"/>
  <c r="M6" i="48"/>
  <c r="N6" i="48"/>
  <c r="F7" i="48"/>
  <c r="G7" i="48" s="1"/>
  <c r="M7" i="48"/>
  <c r="N7" i="48" s="1"/>
  <c r="F8" i="48"/>
  <c r="G8" i="48"/>
  <c r="M8" i="48"/>
  <c r="N8" i="48"/>
  <c r="F9" i="48"/>
  <c r="G9" i="48" s="1"/>
  <c r="M9" i="48"/>
  <c r="N9" i="48" s="1"/>
  <c r="F10" i="48"/>
  <c r="G10" i="48"/>
  <c r="M10" i="48"/>
  <c r="N10" i="48"/>
  <c r="F11" i="48"/>
  <c r="G11" i="48"/>
  <c r="M11" i="48"/>
  <c r="N11" i="48" s="1"/>
  <c r="F12" i="48"/>
  <c r="G12" i="48"/>
  <c r="F13" i="48"/>
  <c r="G13" i="48"/>
  <c r="F14" i="48"/>
  <c r="G14" i="48"/>
  <c r="M15" i="48"/>
  <c r="N15" i="48"/>
  <c r="M16" i="48"/>
  <c r="N16" i="48"/>
  <c r="M17" i="48"/>
  <c r="N17" i="48"/>
  <c r="M18" i="48"/>
  <c r="N18" i="48"/>
  <c r="M19" i="48"/>
  <c r="N19" i="48"/>
  <c r="M20" i="48"/>
  <c r="N20" i="48"/>
  <c r="G21" i="48"/>
  <c r="I25" i="48" s="1"/>
  <c r="I26" i="48" s="1"/>
  <c r="M21" i="48"/>
  <c r="N21" i="48" s="1"/>
  <c r="G22" i="48"/>
  <c r="J25" i="48"/>
  <c r="J26" i="48" s="1"/>
  <c r="G38" i="48"/>
  <c r="H38" i="48"/>
  <c r="G39" i="48"/>
  <c r="H39" i="48"/>
  <c r="G40" i="48"/>
  <c r="H40" i="48"/>
  <c r="G41" i="48"/>
  <c r="H41" i="48"/>
  <c r="G42" i="48"/>
  <c r="H42" i="48"/>
  <c r="G43" i="48"/>
  <c r="H43" i="48"/>
  <c r="G44" i="48"/>
  <c r="H44" i="48"/>
  <c r="G45" i="48"/>
  <c r="H45" i="48"/>
  <c r="G46" i="48"/>
  <c r="H46" i="48"/>
  <c r="G47" i="48"/>
  <c r="H47" i="48"/>
  <c r="G48" i="48"/>
  <c r="H48" i="48"/>
  <c r="G49" i="48"/>
  <c r="H49" i="48"/>
  <c r="G50" i="48"/>
  <c r="H50" i="48" s="1"/>
  <c r="G51" i="48"/>
  <c r="H51" i="48"/>
  <c r="G52" i="48"/>
  <c r="H52" i="48"/>
  <c r="G53" i="48"/>
  <c r="H53" i="48" s="1"/>
  <c r="D61" i="48"/>
  <c r="D65" i="48"/>
  <c r="D67" i="48"/>
  <c r="D74" i="48"/>
  <c r="D75" i="48"/>
  <c r="C2" i="20"/>
  <c r="C3" i="20"/>
  <c r="C4" i="20"/>
  <c r="C5" i="20"/>
  <c r="C11" i="20"/>
  <c r="B12" i="20"/>
  <c r="B13" i="20" s="1"/>
  <c r="B14" i="20" s="1"/>
  <c r="C12" i="20"/>
  <c r="C13" i="20"/>
  <c r="C35" i="20"/>
  <c r="C36" i="20"/>
  <c r="C37" i="20"/>
  <c r="C38" i="20"/>
  <c r="C39" i="20"/>
  <c r="C40" i="20"/>
  <c r="C41" i="20"/>
  <c r="C46" i="20"/>
  <c r="B47" i="20"/>
  <c r="C47" i="20" s="1"/>
  <c r="C70" i="20"/>
  <c r="C71" i="20"/>
  <c r="C72" i="20"/>
  <c r="C73" i="20"/>
  <c r="C74" i="20"/>
  <c r="C75" i="20"/>
  <c r="C76" i="20"/>
  <c r="C81" i="20"/>
  <c r="B82" i="20"/>
  <c r="C82" i="20"/>
  <c r="B83" i="20"/>
  <c r="C105" i="20"/>
  <c r="C106" i="20"/>
  <c r="C107" i="20"/>
  <c r="C108" i="20"/>
  <c r="C109" i="20"/>
  <c r="C110" i="20"/>
  <c r="C111" i="20"/>
  <c r="C135" i="20"/>
  <c r="C116" i="20"/>
  <c r="C136" i="20"/>
  <c r="C117" i="20"/>
  <c r="C137" i="20"/>
  <c r="C118" i="20"/>
  <c r="C138" i="20"/>
  <c r="C119" i="20"/>
  <c r="C139" i="20"/>
  <c r="C120" i="20"/>
  <c r="C140" i="20"/>
  <c r="C121" i="20"/>
  <c r="C141" i="20"/>
  <c r="C122" i="20"/>
  <c r="C142" i="20"/>
  <c r="C123" i="20"/>
  <c r="C143" i="20"/>
  <c r="C124" i="20"/>
  <c r="C144" i="20"/>
  <c r="C125" i="20"/>
  <c r="C145" i="20"/>
  <c r="C126" i="20"/>
  <c r="C146" i="20"/>
  <c r="C127" i="20"/>
  <c r="C147" i="20"/>
  <c r="C128" i="20"/>
  <c r="C148" i="20"/>
  <c r="C129" i="20"/>
  <c r="C149" i="20"/>
  <c r="C130" i="20"/>
  <c r="C154" i="20"/>
  <c r="C155" i="20"/>
  <c r="C156" i="20"/>
  <c r="C157" i="20"/>
  <c r="C158" i="20"/>
  <c r="C159" i="20"/>
  <c r="C160" i="20"/>
  <c r="C161" i="20"/>
  <c r="C162" i="20"/>
  <c r="C163" i="20"/>
  <c r="C164" i="20"/>
  <c r="C165" i="20"/>
  <c r="C166" i="20"/>
  <c r="C167" i="20"/>
  <c r="C168" i="20"/>
  <c r="C2" i="22"/>
  <c r="C3" i="22"/>
  <c r="C4" i="22"/>
  <c r="C5" i="22"/>
  <c r="K31" i="22"/>
  <c r="L31" i="22"/>
  <c r="M31" i="22"/>
  <c r="N31" i="22"/>
  <c r="O31" i="22"/>
  <c r="P31" i="22"/>
  <c r="C2" i="21"/>
  <c r="C3" i="21"/>
  <c r="C4" i="21"/>
  <c r="C5" i="21"/>
  <c r="L12" i="21"/>
  <c r="L21" i="21"/>
  <c r="L30" i="21"/>
  <c r="L39" i="21"/>
  <c r="B41" i="21"/>
  <c r="B44" i="21"/>
  <c r="B47" i="21"/>
  <c r="L48" i="21"/>
  <c r="L57" i="21"/>
  <c r="C2" i="44"/>
  <c r="C3" i="44"/>
  <c r="C4" i="44"/>
  <c r="C5" i="44"/>
  <c r="C2" i="42"/>
  <c r="C3" i="42"/>
  <c r="C4" i="42"/>
  <c r="C5" i="42"/>
  <c r="B23" i="42"/>
  <c r="B24" i="42" s="1"/>
  <c r="B25" i="42" s="1"/>
  <c r="B26" i="42" s="1"/>
  <c r="B27" i="42" s="1"/>
  <c r="B28" i="42" s="1"/>
  <c r="B29" i="42" s="1"/>
  <c r="B30" i="42" s="1"/>
  <c r="B31" i="42" s="1"/>
  <c r="B32" i="42" s="1"/>
  <c r="B33" i="42" s="1"/>
  <c r="B34" i="42" s="1"/>
  <c r="B35" i="42" s="1"/>
  <c r="B36" i="42" s="1"/>
  <c r="B37" i="42" s="1"/>
  <c r="B38" i="42" s="1"/>
  <c r="B39" i="42" s="1"/>
  <c r="B40" i="42" s="1"/>
  <c r="B41" i="42" s="1"/>
  <c r="B42" i="42" s="1"/>
  <c r="B43" i="42" s="1"/>
  <c r="B44" i="42" s="1"/>
  <c r="B45" i="42" s="1"/>
  <c r="AD50" i="42"/>
  <c r="AD52" i="42"/>
  <c r="AD53" i="42"/>
  <c r="C2" i="43"/>
  <c r="C3" i="43"/>
  <c r="C4" i="43"/>
  <c r="C5" i="43"/>
  <c r="G11" i="43"/>
  <c r="H11" i="43" s="1"/>
  <c r="I11" i="43" s="1"/>
  <c r="G12" i="43"/>
  <c r="H12" i="43" s="1"/>
  <c r="I12" i="43" s="1"/>
  <c r="G13" i="43"/>
  <c r="H13" i="43" s="1"/>
  <c r="I13" i="43" s="1"/>
  <c r="G14" i="43"/>
  <c r="H14" i="43"/>
  <c r="I14" i="43"/>
  <c r="G15" i="43"/>
  <c r="H15" i="43" s="1"/>
  <c r="I15" i="43" s="1"/>
  <c r="G16" i="43"/>
  <c r="H16" i="43" s="1"/>
  <c r="I16" i="43" s="1"/>
  <c r="G17" i="43"/>
  <c r="H17" i="43"/>
  <c r="I17" i="43" s="1"/>
  <c r="G18" i="43"/>
  <c r="H18" i="43"/>
  <c r="I18" i="43" s="1"/>
  <c r="G19" i="43"/>
  <c r="H19" i="43" s="1"/>
  <c r="I19" i="43" s="1"/>
  <c r="D59" i="43"/>
  <c r="E59" i="43" s="1"/>
  <c r="F59" i="43" s="1"/>
  <c r="D60" i="43"/>
  <c r="E60" i="43" s="1"/>
  <c r="F60" i="43" s="1"/>
  <c r="D61" i="43"/>
  <c r="E61" i="43" s="1"/>
  <c r="F61" i="43" s="1"/>
  <c r="D62" i="43"/>
  <c r="E62" i="43" s="1"/>
  <c r="F62" i="43" s="1"/>
  <c r="D63" i="43"/>
  <c r="E63" i="43" s="1"/>
  <c r="F63" i="43" s="1"/>
  <c r="D64" i="43"/>
  <c r="E64" i="43" s="1"/>
  <c r="F64" i="43" s="1"/>
  <c r="D65" i="43"/>
  <c r="E65" i="43" s="1"/>
  <c r="F65" i="43" s="1"/>
  <c r="D66" i="43"/>
  <c r="E66" i="43" s="1"/>
  <c r="F66" i="43" s="1"/>
  <c r="D67" i="43"/>
  <c r="E67" i="43" s="1"/>
  <c r="F67" i="43" s="1"/>
  <c r="M11" i="43"/>
  <c r="N11" i="43" s="1"/>
  <c r="O11" i="43" s="1"/>
  <c r="M12" i="43"/>
  <c r="N12" i="43" s="1"/>
  <c r="O12" i="43" s="1"/>
  <c r="M13" i="43"/>
  <c r="N13" i="43" s="1"/>
  <c r="O13" i="43" s="1"/>
  <c r="M14" i="43"/>
  <c r="N14" i="43" s="1"/>
  <c r="O14" i="43" s="1"/>
  <c r="M15" i="43"/>
  <c r="N15" i="43"/>
  <c r="O15" i="43" s="1"/>
  <c r="M16" i="43"/>
  <c r="N16" i="43" s="1"/>
  <c r="O16" i="43" s="1"/>
  <c r="M17" i="43"/>
  <c r="N17" i="43" s="1"/>
  <c r="O17" i="43" s="1"/>
  <c r="M18" i="43"/>
  <c r="N18" i="43" s="1"/>
  <c r="O18" i="43" s="1"/>
  <c r="M19" i="43"/>
  <c r="N19" i="43"/>
  <c r="O19" i="43" s="1"/>
  <c r="D47" i="43"/>
  <c r="D48" i="43"/>
  <c r="D49" i="43"/>
  <c r="D50" i="43"/>
  <c r="D51" i="43"/>
  <c r="D52" i="43"/>
  <c r="D53" i="43"/>
  <c r="D54" i="43"/>
  <c r="D55" i="43"/>
  <c r="B84" i="20"/>
  <c r="C83" i="20"/>
  <c r="T24" i="42" l="1"/>
  <c r="T25" i="42"/>
  <c r="T27" i="42"/>
  <c r="T29" i="42"/>
  <c r="T31" i="42"/>
  <c r="T33" i="42"/>
  <c r="T35" i="42"/>
  <c r="T37" i="42"/>
  <c r="T39" i="42"/>
  <c r="T40" i="42"/>
  <c r="T42" i="42"/>
  <c r="T44" i="42"/>
  <c r="T46" i="42"/>
  <c r="T23" i="42"/>
  <c r="T26" i="42"/>
  <c r="T28" i="42"/>
  <c r="T30" i="42"/>
  <c r="T32" i="42"/>
  <c r="T34" i="42"/>
  <c r="T36" i="42"/>
  <c r="T38" i="42"/>
  <c r="T41" i="42"/>
  <c r="T43" i="42"/>
  <c r="T45" i="42"/>
  <c r="T47" i="42"/>
  <c r="E30" i="42"/>
  <c r="M30" i="42" s="1"/>
  <c r="E33" i="42"/>
  <c r="M33" i="42" s="1"/>
  <c r="E35" i="42"/>
  <c r="M35" i="42" s="1"/>
  <c r="E37" i="42"/>
  <c r="M37" i="42" s="1"/>
  <c r="E39" i="42"/>
  <c r="M39" i="42" s="1"/>
  <c r="E42" i="42"/>
  <c r="M42" i="42" s="1"/>
  <c r="E44" i="42"/>
  <c r="M44" i="42" s="1"/>
  <c r="E46" i="42"/>
  <c r="M46" i="42" s="1"/>
  <c r="E27" i="42"/>
  <c r="M27" i="42" s="1"/>
  <c r="E28" i="42"/>
  <c r="M28" i="42" s="1"/>
  <c r="E29" i="42"/>
  <c r="M29" i="42" s="1"/>
  <c r="E31" i="42"/>
  <c r="E32" i="42"/>
  <c r="E34" i="42"/>
  <c r="E36" i="42"/>
  <c r="E38" i="42"/>
  <c r="E40" i="42"/>
  <c r="E41" i="42"/>
  <c r="E43" i="42"/>
  <c r="E45" i="42"/>
  <c r="E47" i="42"/>
  <c r="M31" i="42"/>
  <c r="M32" i="42"/>
  <c r="M34" i="42"/>
  <c r="M36" i="42"/>
  <c r="M38" i="42"/>
  <c r="M40" i="42"/>
  <c r="M41" i="42"/>
  <c r="M43" i="42"/>
  <c r="M45" i="42"/>
  <c r="M47" i="42"/>
  <c r="E23" i="42"/>
  <c r="M23" i="42" s="1"/>
  <c r="E24" i="42"/>
  <c r="M24" i="42" s="1"/>
  <c r="E25" i="42"/>
  <c r="M25" i="42" s="1"/>
  <c r="E26" i="42"/>
  <c r="M26" i="42" s="1"/>
  <c r="F42" i="21"/>
  <c r="B51" i="21" s="1"/>
  <c r="F23" i="42"/>
  <c r="G23" i="42" s="1"/>
  <c r="H23" i="42" s="1"/>
  <c r="F24" i="42"/>
  <c r="G24" i="42" s="1"/>
  <c r="H24" i="42" s="1"/>
  <c r="F25" i="42"/>
  <c r="G25" i="42" s="1"/>
  <c r="H25" i="42" s="1"/>
  <c r="F26" i="42"/>
  <c r="G26" i="42" s="1"/>
  <c r="H26" i="42" s="1"/>
  <c r="F27" i="42"/>
  <c r="G27" i="42" s="1"/>
  <c r="H27" i="42" s="1"/>
  <c r="F28" i="42"/>
  <c r="G28" i="42" s="1"/>
  <c r="H28" i="42" s="1"/>
  <c r="F29" i="42"/>
  <c r="G29" i="42" s="1"/>
  <c r="H29" i="42" s="1"/>
  <c r="F30" i="42"/>
  <c r="G30" i="42" s="1"/>
  <c r="H30" i="42" s="1"/>
  <c r="I30" i="42" s="1"/>
  <c r="F31" i="42"/>
  <c r="G31" i="42" s="1"/>
  <c r="H31" i="42" s="1"/>
  <c r="I31" i="42" s="1"/>
  <c r="F32" i="42"/>
  <c r="G32" i="42" s="1"/>
  <c r="H32" i="42" s="1"/>
  <c r="I32" i="42" s="1"/>
  <c r="F33" i="42"/>
  <c r="G33" i="42" s="1"/>
  <c r="H33" i="42" s="1"/>
  <c r="F34" i="42"/>
  <c r="G34" i="42" s="1"/>
  <c r="H34" i="42" s="1"/>
  <c r="F35" i="42"/>
  <c r="G35" i="42" s="1"/>
  <c r="H35" i="42" s="1"/>
  <c r="F36" i="42"/>
  <c r="G36" i="42" s="1"/>
  <c r="H36" i="42" s="1"/>
  <c r="F37" i="42"/>
  <c r="G37" i="42" s="1"/>
  <c r="H37" i="42" s="1"/>
  <c r="F38" i="42"/>
  <c r="G38" i="42" s="1"/>
  <c r="H38" i="42" s="1"/>
  <c r="F39" i="42"/>
  <c r="G39" i="42" s="1"/>
  <c r="H39" i="42" s="1"/>
  <c r="F40" i="42"/>
  <c r="G40" i="42" s="1"/>
  <c r="H40" i="42" s="1"/>
  <c r="F41" i="42"/>
  <c r="G41" i="42" s="1"/>
  <c r="H41" i="42" s="1"/>
  <c r="F42" i="42"/>
  <c r="G42" i="42" s="1"/>
  <c r="H42" i="42" s="1"/>
  <c r="F43" i="42"/>
  <c r="G43" i="42" s="1"/>
  <c r="H43" i="42" s="1"/>
  <c r="F44" i="42"/>
  <c r="G44" i="42" s="1"/>
  <c r="H44" i="42" s="1"/>
  <c r="F45" i="42"/>
  <c r="G45" i="42" s="1"/>
  <c r="H45" i="42" s="1"/>
  <c r="F46" i="42"/>
  <c r="G46" i="42" s="1"/>
  <c r="H46" i="42" s="1"/>
  <c r="F47" i="42"/>
  <c r="G47" i="42" s="1"/>
  <c r="H47" i="42" s="1"/>
  <c r="E22" i="42"/>
  <c r="P51" i="42"/>
  <c r="P53" i="42" s="1"/>
  <c r="D11" i="43"/>
  <c r="A21" i="30"/>
  <c r="V10" i="42"/>
  <c r="A39" i="30"/>
  <c r="A33" i="30"/>
  <c r="A32" i="30"/>
  <c r="A31" i="30"/>
  <c r="A36" i="30"/>
  <c r="A26" i="30"/>
  <c r="F45" i="21"/>
  <c r="B52" i="21" s="1"/>
  <c r="A34" i="30"/>
  <c r="A29" i="30"/>
  <c r="A25" i="30"/>
  <c r="A24" i="30"/>
  <c r="A22" i="30"/>
  <c r="B85" i="20"/>
  <c r="C84" i="20"/>
  <c r="A23" i="30"/>
  <c r="T22" i="42"/>
  <c r="C14" i="20"/>
  <c r="B15" i="20"/>
  <c r="H45" i="21"/>
  <c r="D52" i="21" s="1"/>
  <c r="A18" i="30"/>
  <c r="A27" i="30"/>
  <c r="B48" i="20"/>
  <c r="I29" i="42" l="1"/>
  <c r="I33" i="42"/>
  <c r="I34" i="42"/>
  <c r="I35" i="42"/>
  <c r="I36" i="42"/>
  <c r="I37" i="42"/>
  <c r="I23" i="42"/>
  <c r="I24" i="42"/>
  <c r="I25" i="42"/>
  <c r="I26" i="42"/>
  <c r="I27" i="42"/>
  <c r="I28" i="42"/>
  <c r="I38" i="42"/>
  <c r="I39" i="42"/>
  <c r="I40" i="42"/>
  <c r="I41" i="42"/>
  <c r="I42" i="42"/>
  <c r="I43" i="42"/>
  <c r="I44" i="42"/>
  <c r="I45" i="42"/>
  <c r="I46" i="42"/>
  <c r="I47" i="42"/>
  <c r="V16" i="42"/>
  <c r="V17" i="42"/>
  <c r="E13" i="44"/>
  <c r="E18" i="44"/>
  <c r="N22" i="42"/>
  <c r="D22" i="42"/>
  <c r="V22" i="42"/>
  <c r="C15" i="20"/>
  <c r="B16" i="20"/>
  <c r="C48" i="20"/>
  <c r="B49" i="20"/>
  <c r="B86" i="20"/>
  <c r="C85" i="20"/>
  <c r="C16" i="20" l="1"/>
  <c r="B17" i="20"/>
  <c r="E11" i="44"/>
  <c r="C38" i="43"/>
  <c r="E54" i="43"/>
  <c r="K17" i="44" s="1"/>
  <c r="E47" i="43"/>
  <c r="K10" i="44" s="1"/>
  <c r="J13" i="43"/>
  <c r="H12" i="44" s="1"/>
  <c r="E50" i="43"/>
  <c r="K13" i="44" s="1"/>
  <c r="J16" i="43"/>
  <c r="H15" i="44" s="1"/>
  <c r="J11" i="43"/>
  <c r="H10" i="44" s="1"/>
  <c r="J17" i="43"/>
  <c r="H16" i="44" s="1"/>
  <c r="J14" i="43"/>
  <c r="H13" i="44" s="1"/>
  <c r="E52" i="43"/>
  <c r="K15" i="44" s="1"/>
  <c r="E55" i="43"/>
  <c r="K18" i="44" s="1"/>
  <c r="J18" i="43"/>
  <c r="H17" i="44" s="1"/>
  <c r="J12" i="43"/>
  <c r="H11" i="44" s="1"/>
  <c r="J19" i="43"/>
  <c r="H18" i="44" s="1"/>
  <c r="E10" i="44"/>
  <c r="E49" i="43"/>
  <c r="K12" i="44" s="1"/>
  <c r="E51" i="43"/>
  <c r="K14" i="44" s="1"/>
  <c r="E53" i="43"/>
  <c r="K16" i="44" s="1"/>
  <c r="E48" i="43"/>
  <c r="K11" i="44" s="1"/>
  <c r="J15" i="43"/>
  <c r="H14" i="44" s="1"/>
  <c r="C86" i="20"/>
  <c r="B87" i="20"/>
  <c r="B50" i="20"/>
  <c r="C49" i="20"/>
  <c r="E14" i="44"/>
  <c r="E15" i="44" s="1"/>
  <c r="E22" i="44"/>
  <c r="E23" i="44" s="1"/>
  <c r="E24" i="44" s="1"/>
  <c r="E21" i="44" l="1"/>
  <c r="E19" i="44"/>
  <c r="G59" i="43"/>
  <c r="H59" i="43" s="1"/>
  <c r="I10" i="44" s="1"/>
  <c r="L10" i="44" s="1"/>
  <c r="G64" i="43"/>
  <c r="H64" i="43" s="1"/>
  <c r="I15" i="44" s="1"/>
  <c r="L15" i="44" s="1"/>
  <c r="G66" i="43"/>
  <c r="H66" i="43" s="1"/>
  <c r="I17" i="44" s="1"/>
  <c r="L17" i="44" s="1"/>
  <c r="C13" i="21" s="1"/>
  <c r="C26" i="21" s="1"/>
  <c r="G67" i="43"/>
  <c r="H67" i="43" s="1"/>
  <c r="I18" i="44" s="1"/>
  <c r="L18" i="44" s="1"/>
  <c r="G61" i="43"/>
  <c r="H61" i="43" s="1"/>
  <c r="I12" i="44" s="1"/>
  <c r="L12" i="44" s="1"/>
  <c r="G62" i="43"/>
  <c r="H62" i="43" s="1"/>
  <c r="I13" i="44" s="1"/>
  <c r="L13" i="44" s="1"/>
  <c r="G63" i="43"/>
  <c r="H63" i="43" s="1"/>
  <c r="I14" i="44" s="1"/>
  <c r="L14" i="44" s="1"/>
  <c r="G65" i="43"/>
  <c r="H65" i="43" s="1"/>
  <c r="I16" i="44" s="1"/>
  <c r="L16" i="44" s="1"/>
  <c r="G60" i="43"/>
  <c r="H60" i="43" s="1"/>
  <c r="I11" i="44" s="1"/>
  <c r="L11" i="44" s="1"/>
  <c r="C19" i="21" s="1"/>
  <c r="C32" i="21" s="1"/>
  <c r="P15" i="43"/>
  <c r="Q15" i="43" s="1"/>
  <c r="R15" i="43" s="1"/>
  <c r="J14" i="44" s="1"/>
  <c r="P12" i="43"/>
  <c r="Q12" i="43" s="1"/>
  <c r="R12" i="43" s="1"/>
  <c r="J11" i="44" s="1"/>
  <c r="P14" i="43"/>
  <c r="Q14" i="43" s="1"/>
  <c r="R14" i="43" s="1"/>
  <c r="J13" i="44" s="1"/>
  <c r="P17" i="43"/>
  <c r="Q17" i="43" s="1"/>
  <c r="R17" i="43" s="1"/>
  <c r="J16" i="44" s="1"/>
  <c r="E25" i="44"/>
  <c r="P18" i="43"/>
  <c r="Q18" i="43" s="1"/>
  <c r="R18" i="43" s="1"/>
  <c r="J17" i="44" s="1"/>
  <c r="C87" i="20"/>
  <c r="B88" i="20"/>
  <c r="C17" i="20"/>
  <c r="B18" i="20"/>
  <c r="C50" i="20"/>
  <c r="B51" i="20"/>
  <c r="E9" i="20" l="1"/>
  <c r="C12" i="21"/>
  <c r="P11" i="43"/>
  <c r="Q11" i="43" s="1"/>
  <c r="R11" i="43" s="1"/>
  <c r="J10" i="44" s="1"/>
  <c r="C20" i="21" s="1"/>
  <c r="C33" i="21" s="1"/>
  <c r="P13" i="43"/>
  <c r="Q13" i="43" s="1"/>
  <c r="R13" i="43" s="1"/>
  <c r="J12" i="44" s="1"/>
  <c r="P16" i="43"/>
  <c r="Q16" i="43" s="1"/>
  <c r="R16" i="43" s="1"/>
  <c r="J15" i="44" s="1"/>
  <c r="P19" i="43"/>
  <c r="Q19" i="43" s="1"/>
  <c r="R19" i="43" s="1"/>
  <c r="J18" i="44" s="1"/>
  <c r="E114" i="20"/>
  <c r="C16" i="21"/>
  <c r="C29" i="21" s="1"/>
  <c r="C17" i="21"/>
  <c r="C30" i="21" s="1"/>
  <c r="E133" i="20"/>
  <c r="E44" i="20"/>
  <c r="C14" i="21"/>
  <c r="C27" i="21" s="1"/>
  <c r="B52" i="20"/>
  <c r="C51" i="20"/>
  <c r="C18" i="20"/>
  <c r="B19" i="20"/>
  <c r="C88" i="20"/>
  <c r="B89" i="20"/>
  <c r="E152" i="20" l="1"/>
  <c r="C18" i="21"/>
  <c r="C15" i="21"/>
  <c r="C28" i="21" s="1"/>
  <c r="E79" i="20"/>
  <c r="C25" i="21"/>
  <c r="D116" i="20"/>
  <c r="E116" i="20" s="1"/>
  <c r="D126" i="20"/>
  <c r="E126" i="20" s="1"/>
  <c r="D121" i="20"/>
  <c r="E121" i="20" s="1"/>
  <c r="D129" i="20"/>
  <c r="E129" i="20" s="1"/>
  <c r="D123" i="20"/>
  <c r="E123" i="20" s="1"/>
  <c r="D120" i="20"/>
  <c r="E120" i="20" s="1"/>
  <c r="D118" i="20"/>
  <c r="E118" i="20" s="1"/>
  <c r="D117" i="20"/>
  <c r="E117" i="20" s="1"/>
  <c r="D122" i="20"/>
  <c r="E122" i="20" s="1"/>
  <c r="D128" i="20"/>
  <c r="E128" i="20" s="1"/>
  <c r="D127" i="20"/>
  <c r="E127" i="20" s="1"/>
  <c r="D124" i="20"/>
  <c r="E124" i="20" s="1"/>
  <c r="D130" i="20"/>
  <c r="E130" i="20" s="1"/>
  <c r="D119" i="20"/>
  <c r="E119" i="20" s="1"/>
  <c r="D125" i="20"/>
  <c r="E125" i="20" s="1"/>
  <c r="D144" i="20"/>
  <c r="E144" i="20" s="1"/>
  <c r="D149" i="20"/>
  <c r="E149" i="20" s="1"/>
  <c r="D145" i="20"/>
  <c r="E145" i="20" s="1"/>
  <c r="D139" i="20"/>
  <c r="E139" i="20" s="1"/>
  <c r="D141" i="20"/>
  <c r="E141" i="20" s="1"/>
  <c r="D136" i="20"/>
  <c r="E136" i="20" s="1"/>
  <c r="D147" i="20"/>
  <c r="E147" i="20" s="1"/>
  <c r="D143" i="20"/>
  <c r="E143" i="20" s="1"/>
  <c r="D140" i="20"/>
  <c r="E140" i="20" s="1"/>
  <c r="D138" i="20"/>
  <c r="E138" i="20" s="1"/>
  <c r="D137" i="20"/>
  <c r="E137" i="20" s="1"/>
  <c r="D148" i="20"/>
  <c r="E148" i="20" s="1"/>
  <c r="D135" i="20"/>
  <c r="E135" i="20" s="1"/>
  <c r="D142" i="20"/>
  <c r="E142" i="20" s="1"/>
  <c r="D146" i="20"/>
  <c r="E146" i="20" s="1"/>
  <c r="D74" i="20"/>
  <c r="E74" i="20" s="1"/>
  <c r="D75" i="20"/>
  <c r="E75" i="20" s="1"/>
  <c r="D72" i="20"/>
  <c r="E72" i="20" s="1"/>
  <c r="D51" i="20"/>
  <c r="E51" i="20" s="1"/>
  <c r="D50" i="20"/>
  <c r="E50" i="20" s="1"/>
  <c r="D76" i="20"/>
  <c r="E76" i="20" s="1"/>
  <c r="D48" i="20"/>
  <c r="E48" i="20" s="1"/>
  <c r="D73" i="20"/>
  <c r="E73" i="20" s="1"/>
  <c r="D49" i="20"/>
  <c r="E49" i="20" s="1"/>
  <c r="D70" i="20"/>
  <c r="E70" i="20" s="1"/>
  <c r="D47" i="20"/>
  <c r="E47" i="20" s="1"/>
  <c r="D46" i="20"/>
  <c r="E46" i="20" s="1"/>
  <c r="D71" i="20"/>
  <c r="E71" i="20" s="1"/>
  <c r="D52" i="20"/>
  <c r="B90" i="20"/>
  <c r="C89" i="20"/>
  <c r="C19" i="20"/>
  <c r="B20" i="20"/>
  <c r="B53" i="20"/>
  <c r="C52" i="20"/>
  <c r="D109" i="20" l="1"/>
  <c r="E109" i="20" s="1"/>
  <c r="D105" i="20"/>
  <c r="E105" i="20" s="1"/>
  <c r="D81" i="20"/>
  <c r="E81" i="20" s="1"/>
  <c r="D89" i="20"/>
  <c r="E89" i="20" s="1"/>
  <c r="D110" i="20"/>
  <c r="E110" i="20" s="1"/>
  <c r="D88" i="20"/>
  <c r="E88" i="20" s="1"/>
  <c r="D85" i="20"/>
  <c r="E85" i="20" s="1"/>
  <c r="D111" i="20"/>
  <c r="E111" i="20" s="1"/>
  <c r="D106" i="20"/>
  <c r="E106" i="20" s="1"/>
  <c r="D108" i="20"/>
  <c r="E108" i="20" s="1"/>
  <c r="D164" i="20"/>
  <c r="E164" i="20" s="1"/>
  <c r="D167" i="20"/>
  <c r="E167" i="20" s="1"/>
  <c r="D161" i="20"/>
  <c r="E161" i="20" s="1"/>
  <c r="D163" i="20"/>
  <c r="E163" i="20" s="1"/>
  <c r="D162" i="20"/>
  <c r="E162" i="20" s="1"/>
  <c r="D168" i="20"/>
  <c r="E168" i="20" s="1"/>
  <c r="D166" i="20"/>
  <c r="E166" i="20" s="1"/>
  <c r="D155" i="20"/>
  <c r="E155" i="20" s="1"/>
  <c r="D165" i="20"/>
  <c r="E165" i="20" s="1"/>
  <c r="D158" i="20"/>
  <c r="E158" i="20" s="1"/>
  <c r="D157" i="20"/>
  <c r="E157" i="20" s="1"/>
  <c r="D160" i="20"/>
  <c r="E160" i="20" s="1"/>
  <c r="D159" i="20"/>
  <c r="E159" i="20" s="1"/>
  <c r="D156" i="20"/>
  <c r="E156" i="20" s="1"/>
  <c r="D154" i="20"/>
  <c r="E154" i="20" s="1"/>
  <c r="I18" i="21"/>
  <c r="C31" i="21"/>
  <c r="D82" i="20"/>
  <c r="E82" i="20" s="1"/>
  <c r="D87" i="20"/>
  <c r="E87" i="20" s="1"/>
  <c r="D84" i="20"/>
  <c r="E84" i="20" s="1"/>
  <c r="D107" i="20"/>
  <c r="E107" i="20" s="1"/>
  <c r="D86" i="20"/>
  <c r="E86" i="20" s="1"/>
  <c r="D83" i="20"/>
  <c r="E83" i="20" s="1"/>
  <c r="D13" i="20"/>
  <c r="E13" i="20" s="1"/>
  <c r="D11" i="20"/>
  <c r="E11" i="20" s="1"/>
  <c r="D41" i="20"/>
  <c r="E41" i="20" s="1"/>
  <c r="D16" i="20"/>
  <c r="E16" i="20" s="1"/>
  <c r="D18" i="20"/>
  <c r="E18" i="20" s="1"/>
  <c r="D40" i="20"/>
  <c r="E40" i="20" s="1"/>
  <c r="D36" i="20"/>
  <c r="E36" i="20" s="1"/>
  <c r="D14" i="20"/>
  <c r="E14" i="20" s="1"/>
  <c r="D15" i="20"/>
  <c r="E15" i="20" s="1"/>
  <c r="D19" i="20"/>
  <c r="E19" i="20" s="1"/>
  <c r="D39" i="20"/>
  <c r="E39" i="20" s="1"/>
  <c r="D37" i="20"/>
  <c r="E37" i="20" s="1"/>
  <c r="D12" i="20"/>
  <c r="E12" i="20" s="1"/>
  <c r="D35" i="20"/>
  <c r="E35" i="20" s="1"/>
  <c r="D38" i="20"/>
  <c r="E38" i="20" s="1"/>
  <c r="D17" i="20"/>
  <c r="E17" i="20" s="1"/>
  <c r="E52" i="20"/>
  <c r="C20" i="20"/>
  <c r="B21" i="20"/>
  <c r="D20" i="20"/>
  <c r="E20" i="20" s="1"/>
  <c r="C90" i="20"/>
  <c r="B91" i="20"/>
  <c r="D90" i="20"/>
  <c r="E90" i="20" s="1"/>
  <c r="C53" i="20"/>
  <c r="B54" i="20"/>
  <c r="D53" i="20"/>
  <c r="H14" i="21" l="1"/>
  <c r="H27" i="21" s="1"/>
  <c r="M50" i="21" s="1"/>
  <c r="G19" i="21"/>
  <c r="G32" i="21" s="1"/>
  <c r="M46" i="21" s="1"/>
  <c r="F19" i="21"/>
  <c r="F32" i="21" s="1"/>
  <c r="M37" i="21" s="1"/>
  <c r="I16" i="21"/>
  <c r="I29" i="21" s="1"/>
  <c r="M61" i="21" s="1"/>
  <c r="D12" i="21"/>
  <c r="D25" i="21" s="1"/>
  <c r="M12" i="21" s="1"/>
  <c r="H18" i="21"/>
  <c r="H31" i="21" s="1"/>
  <c r="M54" i="21" s="1"/>
  <c r="F16" i="21"/>
  <c r="F29" i="21" s="1"/>
  <c r="M34" i="21" s="1"/>
  <c r="G14" i="21"/>
  <c r="G27" i="21" s="1"/>
  <c r="M41" i="21" s="1"/>
  <c r="I31" i="21"/>
  <c r="M63" i="21" s="1"/>
  <c r="G20" i="21"/>
  <c r="H16" i="21"/>
  <c r="H29" i="21" s="1"/>
  <c r="M52" i="21" s="1"/>
  <c r="E13" i="21"/>
  <c r="E26" i="21" s="1"/>
  <c r="M22" i="21" s="1"/>
  <c r="D14" i="21"/>
  <c r="I12" i="21"/>
  <c r="H12" i="21"/>
  <c r="I17" i="21"/>
  <c r="H20" i="21"/>
  <c r="H33" i="21" s="1"/>
  <c r="M56" i="21" s="1"/>
  <c r="F14" i="21"/>
  <c r="D17" i="21"/>
  <c r="G18" i="21"/>
  <c r="G17" i="21"/>
  <c r="D13" i="21"/>
  <c r="F12" i="21"/>
  <c r="F15" i="21"/>
  <c r="E15" i="21"/>
  <c r="I14" i="21"/>
  <c r="H13" i="21"/>
  <c r="D18" i="21"/>
  <c r="D15" i="21"/>
  <c r="E19" i="21"/>
  <c r="F13" i="21"/>
  <c r="H15" i="21"/>
  <c r="G13" i="21"/>
  <c r="I13" i="21"/>
  <c r="E17" i="21"/>
  <c r="I20" i="21"/>
  <c r="E20" i="21"/>
  <c r="F18" i="21"/>
  <c r="G15" i="21"/>
  <c r="E16" i="21"/>
  <c r="E14" i="21"/>
  <c r="E12" i="21"/>
  <c r="F17" i="21"/>
  <c r="F20" i="21"/>
  <c r="D19" i="21"/>
  <c r="D16" i="21"/>
  <c r="G16" i="21"/>
  <c r="I15" i="21"/>
  <c r="G12" i="21"/>
  <c r="I19" i="21"/>
  <c r="D20" i="21"/>
  <c r="H17" i="21"/>
  <c r="H19" i="21"/>
  <c r="E18" i="21"/>
  <c r="C91" i="20"/>
  <c r="B92" i="20"/>
  <c r="D91" i="20"/>
  <c r="E91" i="20" s="1"/>
  <c r="E53" i="20"/>
  <c r="C21" i="20"/>
  <c r="B22" i="20"/>
  <c r="D21" i="20"/>
  <c r="E21" i="20" s="1"/>
  <c r="B55" i="20"/>
  <c r="C54" i="20"/>
  <c r="D54" i="20"/>
  <c r="E54" i="20" s="1"/>
  <c r="D27" i="21" l="1"/>
  <c r="M14" i="21" s="1"/>
  <c r="F27" i="21"/>
  <c r="M32" i="21" s="1"/>
  <c r="D26" i="21"/>
  <c r="M13" i="21" s="1"/>
  <c r="F25" i="21"/>
  <c r="M30" i="21" s="1"/>
  <c r="F28" i="21"/>
  <c r="M33" i="21" s="1"/>
  <c r="E28" i="21"/>
  <c r="M24" i="21" s="1"/>
  <c r="I27" i="21"/>
  <c r="M59" i="21" s="1"/>
  <c r="H26" i="21"/>
  <c r="M49" i="21" s="1"/>
  <c r="D31" i="21"/>
  <c r="M18" i="21" s="1"/>
  <c r="D28" i="21"/>
  <c r="M15" i="21" s="1"/>
  <c r="G33" i="21"/>
  <c r="M47" i="21" s="1"/>
  <c r="I25" i="21"/>
  <c r="M57" i="21" s="1"/>
  <c r="H25" i="21"/>
  <c r="M48" i="21" s="1"/>
  <c r="I30" i="21"/>
  <c r="M62" i="21" s="1"/>
  <c r="D30" i="21"/>
  <c r="M17" i="21" s="1"/>
  <c r="G31" i="21"/>
  <c r="M45" i="21" s="1"/>
  <c r="G30" i="21"/>
  <c r="M44" i="21" s="1"/>
  <c r="E32" i="21"/>
  <c r="M28" i="21" s="1"/>
  <c r="F26" i="21"/>
  <c r="M31" i="21" s="1"/>
  <c r="H28" i="21"/>
  <c r="M51" i="21" s="1"/>
  <c r="D33" i="21"/>
  <c r="M20" i="21" s="1"/>
  <c r="H30" i="21"/>
  <c r="M53" i="21" s="1"/>
  <c r="H32" i="21"/>
  <c r="M55" i="21" s="1"/>
  <c r="E31" i="21"/>
  <c r="M27" i="21" s="1"/>
  <c r="G26" i="21"/>
  <c r="M40" i="21" s="1"/>
  <c r="I26" i="21"/>
  <c r="M58" i="21" s="1"/>
  <c r="E30" i="21"/>
  <c r="M26" i="21" s="1"/>
  <c r="I33" i="21"/>
  <c r="M65" i="21" s="1"/>
  <c r="E33" i="21"/>
  <c r="M29" i="21" s="1"/>
  <c r="F31" i="21"/>
  <c r="M36" i="21" s="1"/>
  <c r="G28" i="21"/>
  <c r="M42" i="21" s="1"/>
  <c r="E29" i="21"/>
  <c r="M25" i="21" s="1"/>
  <c r="E27" i="21"/>
  <c r="M23" i="21" s="1"/>
  <c r="E25" i="21"/>
  <c r="M21" i="21" s="1"/>
  <c r="F30" i="21"/>
  <c r="M35" i="21" s="1"/>
  <c r="F33" i="21"/>
  <c r="M38" i="21" s="1"/>
  <c r="D32" i="21"/>
  <c r="M19" i="21" s="1"/>
  <c r="D29" i="21"/>
  <c r="M16" i="21" s="1"/>
  <c r="G29" i="21"/>
  <c r="M43" i="21" s="1"/>
  <c r="I28" i="21"/>
  <c r="M60" i="21" s="1"/>
  <c r="G25" i="21"/>
  <c r="M39" i="21" s="1"/>
  <c r="I32" i="21"/>
  <c r="M64" i="21" s="1"/>
  <c r="C22" i="20"/>
  <c r="B23" i="20"/>
  <c r="D22" i="20"/>
  <c r="B93" i="20"/>
  <c r="C92" i="20"/>
  <c r="D92" i="20"/>
  <c r="E92" i="20" s="1"/>
  <c r="C55" i="20"/>
  <c r="B56" i="20"/>
  <c r="D55" i="20"/>
  <c r="E55" i="20" s="1"/>
  <c r="H42" i="21" l="1"/>
  <c r="D51" i="21" s="1"/>
  <c r="G45" i="21"/>
  <c r="C52" i="21" s="1"/>
  <c r="G42" i="21"/>
  <c r="C51" i="21" s="1"/>
  <c r="F48" i="21"/>
  <c r="B53" i="21" s="1"/>
  <c r="H48" i="21"/>
  <c r="D53" i="21" s="1"/>
  <c r="G48" i="21"/>
  <c r="C53" i="21" s="1"/>
  <c r="I45" i="21"/>
  <c r="E52" i="21" s="1"/>
  <c r="I42" i="21"/>
  <c r="E51" i="21" s="1"/>
  <c r="I48" i="21"/>
  <c r="E53" i="21" s="1"/>
  <c r="E22" i="20"/>
  <c r="C23" i="20"/>
  <c r="B24" i="20"/>
  <c r="D23" i="20"/>
  <c r="E23" i="20" s="1"/>
  <c r="B57" i="20"/>
  <c r="C56" i="20"/>
  <c r="D56" i="20"/>
  <c r="E56" i="20" s="1"/>
  <c r="B94" i="20"/>
  <c r="C93" i="20"/>
  <c r="D93" i="20"/>
  <c r="E93" i="20" s="1"/>
  <c r="F51" i="21" l="1" a="1"/>
  <c r="C94" i="20"/>
  <c r="B95" i="20"/>
  <c r="D94" i="20"/>
  <c r="E94" i="20" s="1"/>
  <c r="B58" i="20"/>
  <c r="C57" i="20"/>
  <c r="D57" i="20"/>
  <c r="E57" i="20" s="1"/>
  <c r="C24" i="20"/>
  <c r="B25" i="20"/>
  <c r="D24" i="20"/>
  <c r="E24" i="20" s="1"/>
  <c r="H51" i="21" l="1"/>
  <c r="F52" i="21"/>
  <c r="G52" i="21"/>
  <c r="G53" i="21"/>
  <c r="G51" i="21"/>
  <c r="H53" i="21"/>
  <c r="H52" i="21"/>
  <c r="F53" i="21"/>
  <c r="F51" i="21"/>
  <c r="B96" i="20"/>
  <c r="C95" i="20"/>
  <c r="D95" i="20"/>
  <c r="E95" i="20" s="1"/>
  <c r="C58" i="20"/>
  <c r="B59" i="20"/>
  <c r="D58" i="20"/>
  <c r="E58" i="20" s="1"/>
  <c r="C25" i="20"/>
  <c r="B26" i="20"/>
  <c r="D25" i="20"/>
  <c r="I51" i="21" l="1" a="1"/>
  <c r="E25" i="20"/>
  <c r="B27" i="20"/>
  <c r="C26" i="20"/>
  <c r="D26" i="20"/>
  <c r="B60" i="20"/>
  <c r="C59" i="20"/>
  <c r="D59" i="20"/>
  <c r="E59" i="20" s="1"/>
  <c r="C96" i="20"/>
  <c r="B97" i="20"/>
  <c r="D96" i="20"/>
  <c r="E96" i="20" s="1"/>
  <c r="I52" i="21" l="1"/>
  <c r="D14" i="22" s="1"/>
  <c r="I53" i="21"/>
  <c r="D12" i="22" s="1"/>
  <c r="I51" i="21"/>
  <c r="D13" i="22" s="1"/>
  <c r="E26" i="20"/>
  <c r="B98" i="20"/>
  <c r="C97" i="20"/>
  <c r="D97" i="20"/>
  <c r="E97" i="20" s="1"/>
  <c r="B28" i="20"/>
  <c r="C27" i="20"/>
  <c r="D27" i="20"/>
  <c r="E27" i="20" s="1"/>
  <c r="B61" i="20"/>
  <c r="C60" i="20"/>
  <c r="D60" i="20"/>
  <c r="E60" i="20" s="1"/>
  <c r="G27" i="22" l="1"/>
  <c r="G20" i="22"/>
  <c r="G29" i="22"/>
  <c r="G26" i="22"/>
  <c r="G19" i="22"/>
  <c r="G18" i="22"/>
  <c r="G24" i="22"/>
  <c r="G22" i="22"/>
  <c r="G28" i="22"/>
  <c r="G25" i="22"/>
  <c r="G23" i="22"/>
  <c r="G21" i="22"/>
  <c r="C24" i="22"/>
  <c r="E20" i="22"/>
  <c r="C20" i="22"/>
  <c r="F19" i="22"/>
  <c r="C25" i="22"/>
  <c r="C22" i="22"/>
  <c r="E28" i="22"/>
  <c r="C26" i="22"/>
  <c r="D25" i="22"/>
  <c r="H18" i="22"/>
  <c r="I20" i="22"/>
  <c r="H22" i="22"/>
  <c r="C29" i="22"/>
  <c r="H27" i="22"/>
  <c r="F18" i="22"/>
  <c r="I26" i="22"/>
  <c r="E29" i="22"/>
  <c r="I28" i="22"/>
  <c r="H28" i="22"/>
  <c r="D29" i="22"/>
  <c r="H25" i="22"/>
  <c r="I18" i="22"/>
  <c r="D18" i="22"/>
  <c r="E24" i="22"/>
  <c r="E18" i="22"/>
  <c r="C18" i="22"/>
  <c r="H20" i="22"/>
  <c r="F29" i="22"/>
  <c r="I29" i="22"/>
  <c r="C28" i="22"/>
  <c r="H29" i="22"/>
  <c r="H19" i="22"/>
  <c r="E22" i="22"/>
  <c r="D26" i="22"/>
  <c r="D21" i="22"/>
  <c r="E25" i="22"/>
  <c r="I24" i="22"/>
  <c r="F25" i="22"/>
  <c r="C19" i="22"/>
  <c r="F26" i="22"/>
  <c r="F23" i="22"/>
  <c r="C23" i="22"/>
  <c r="H26" i="22"/>
  <c r="F21" i="22"/>
  <c r="I23" i="22"/>
  <c r="D23" i="22"/>
  <c r="I27" i="22"/>
  <c r="E27" i="22"/>
  <c r="D27" i="22"/>
  <c r="H21" i="22"/>
  <c r="E19" i="22"/>
  <c r="D22" i="22"/>
  <c r="H24" i="22"/>
  <c r="E26" i="22"/>
  <c r="D19" i="22"/>
  <c r="C27" i="22"/>
  <c r="I25" i="22"/>
  <c r="D24" i="22"/>
  <c r="E21" i="22"/>
  <c r="F24" i="22"/>
  <c r="F22" i="22"/>
  <c r="F28" i="22"/>
  <c r="I22" i="22"/>
  <c r="I21" i="22"/>
  <c r="D28" i="22"/>
  <c r="F27" i="22"/>
  <c r="H23" i="22"/>
  <c r="F20" i="22"/>
  <c r="D20" i="22"/>
  <c r="I19" i="22"/>
  <c r="E23" i="22"/>
  <c r="C21" i="22"/>
  <c r="B62" i="20"/>
  <c r="C61" i="20"/>
  <c r="D61" i="20"/>
  <c r="E61" i="20" s="1"/>
  <c r="C28" i="20"/>
  <c r="B29" i="20"/>
  <c r="D28" i="20"/>
  <c r="E28" i="20" s="1"/>
  <c r="C98" i="20"/>
  <c r="B99" i="20"/>
  <c r="D98" i="20"/>
  <c r="E98" i="20" s="1"/>
  <c r="C99" i="20" l="1"/>
  <c r="B100" i="20"/>
  <c r="D99" i="20"/>
  <c r="E99" i="20" s="1"/>
  <c r="B30" i="20"/>
  <c r="C29" i="20"/>
  <c r="D29" i="20"/>
  <c r="E29" i="20" s="1"/>
  <c r="C62" i="20"/>
  <c r="B63" i="20"/>
  <c r="D62" i="20"/>
  <c r="E62" i="20" s="1"/>
  <c r="B64" i="20" l="1"/>
  <c r="C63" i="20"/>
  <c r="D63" i="20"/>
  <c r="E63" i="20" s="1"/>
  <c r="B101" i="20"/>
  <c r="C100" i="20"/>
  <c r="D100" i="20"/>
  <c r="E100" i="20" s="1"/>
  <c r="B31" i="20"/>
  <c r="C30" i="20"/>
  <c r="D30" i="20"/>
  <c r="E30" i="20" s="1"/>
  <c r="C31" i="20" l="1"/>
  <c r="B32" i="20"/>
  <c r="D31" i="20"/>
  <c r="E31" i="20" s="1"/>
  <c r="C101" i="20"/>
  <c r="B102" i="20"/>
  <c r="D101" i="20"/>
  <c r="E101" i="20" s="1"/>
  <c r="C64" i="20"/>
  <c r="B65" i="20"/>
  <c r="D64" i="20"/>
  <c r="E64" i="20" l="1"/>
  <c r="B103" i="20"/>
  <c r="C102" i="20"/>
  <c r="D102" i="20"/>
  <c r="E102" i="20" s="1"/>
  <c r="C32" i="20"/>
  <c r="B33" i="20"/>
  <c r="D32" i="20"/>
  <c r="E32" i="20" s="1"/>
  <c r="C65" i="20"/>
  <c r="B66" i="20"/>
  <c r="D65" i="20"/>
  <c r="E65" i="20" s="1"/>
  <c r="C66" i="20" l="1"/>
  <c r="B67" i="20"/>
  <c r="D66" i="20"/>
  <c r="E66" i="20" s="1"/>
  <c r="C33" i="20"/>
  <c r="B34" i="20"/>
  <c r="D33" i="20"/>
  <c r="E33" i="20" s="1"/>
  <c r="C103" i="20"/>
  <c r="B104" i="20"/>
  <c r="D103" i="20"/>
  <c r="E103" i="20" s="1"/>
  <c r="B68" i="20" l="1"/>
  <c r="C67" i="20"/>
  <c r="D67" i="20"/>
  <c r="E67" i="20" s="1"/>
  <c r="C104" i="20"/>
  <c r="D104" i="20"/>
  <c r="C34" i="20"/>
  <c r="D34" i="20"/>
  <c r="E34" i="20" s="1"/>
  <c r="E104" i="20" l="1"/>
  <c r="C68" i="20"/>
  <c r="B69" i="20"/>
  <c r="D68" i="20"/>
  <c r="E68" i="20" s="1"/>
  <c r="C69" i="20" l="1"/>
  <c r="D69" i="20"/>
  <c r="E69" i="20" s="1"/>
  <c r="V12" i="42" l="1"/>
  <c r="F15" i="42" l="1"/>
  <c r="F16" i="42" s="1"/>
  <c r="F17" i="42" s="1"/>
  <c r="V13" i="42"/>
  <c r="F14" i="42"/>
  <c r="V11" i="42"/>
  <c r="F22" i="42"/>
  <c r="G22" i="42" s="1"/>
  <c r="H22" i="42" s="1"/>
  <c r="I22" i="42" s="1"/>
  <c r="I48" i="42" s="1"/>
  <c r="P15" i="42"/>
  <c r="P14" i="42"/>
  <c r="Q23" i="42" l="1"/>
  <c r="Q24" i="42"/>
  <c r="Q25" i="42"/>
  <c r="Q26" i="42"/>
  <c r="Q27" i="42"/>
  <c r="Q28" i="42"/>
  <c r="Q29" i="42"/>
  <c r="Q30" i="42"/>
  <c r="Q31" i="42"/>
  <c r="Q32" i="42"/>
  <c r="Q33" i="42"/>
  <c r="Q34" i="42"/>
  <c r="Q35" i="42"/>
  <c r="Q36" i="42"/>
  <c r="Q37" i="42"/>
  <c r="Q38" i="42"/>
  <c r="Q39" i="42"/>
  <c r="Q40" i="42"/>
  <c r="Q41" i="42"/>
  <c r="Q42" i="42"/>
  <c r="Q43" i="42"/>
  <c r="Q44" i="42"/>
  <c r="Q45" i="42"/>
  <c r="Q46" i="42"/>
  <c r="Q47" i="42"/>
  <c r="W23" i="42"/>
  <c r="X23" i="42" s="1"/>
  <c r="Y23" i="42" s="1"/>
  <c r="Z23" i="42" s="1"/>
  <c r="W24" i="42"/>
  <c r="X24" i="42" s="1"/>
  <c r="Y24" i="42" s="1"/>
  <c r="Z24" i="42" s="1"/>
  <c r="W25" i="42"/>
  <c r="X25" i="42" s="1"/>
  <c r="Y25" i="42" s="1"/>
  <c r="Z25" i="42" s="1"/>
  <c r="W26" i="42"/>
  <c r="X26" i="42" s="1"/>
  <c r="Y26" i="42" s="1"/>
  <c r="Z26" i="42" s="1"/>
  <c r="W27" i="42"/>
  <c r="X27" i="42" s="1"/>
  <c r="Y27" i="42" s="1"/>
  <c r="Z27" i="42" s="1"/>
  <c r="W28" i="42"/>
  <c r="X28" i="42" s="1"/>
  <c r="Y28" i="42" s="1"/>
  <c r="Z28" i="42" s="1"/>
  <c r="W29" i="42"/>
  <c r="X29" i="42" s="1"/>
  <c r="Y29" i="42" s="1"/>
  <c r="Z29" i="42" s="1"/>
  <c r="W30" i="42"/>
  <c r="X30" i="42" s="1"/>
  <c r="Y30" i="42" s="1"/>
  <c r="Z30" i="42" s="1"/>
  <c r="W31" i="42"/>
  <c r="X31" i="42" s="1"/>
  <c r="Y31" i="42" s="1"/>
  <c r="Z31" i="42" s="1"/>
  <c r="W32" i="42"/>
  <c r="X32" i="42" s="1"/>
  <c r="Y32" i="42" s="1"/>
  <c r="Z32" i="42" s="1"/>
  <c r="W33" i="42"/>
  <c r="X33" i="42" s="1"/>
  <c r="Y33" i="42" s="1"/>
  <c r="Z33" i="42" s="1"/>
  <c r="W34" i="42"/>
  <c r="X34" i="42" s="1"/>
  <c r="Y34" i="42" s="1"/>
  <c r="Z34" i="42" s="1"/>
  <c r="W35" i="42"/>
  <c r="X35" i="42" s="1"/>
  <c r="Y35" i="42" s="1"/>
  <c r="Z35" i="42" s="1"/>
  <c r="W36" i="42"/>
  <c r="X36" i="42" s="1"/>
  <c r="Y36" i="42" s="1"/>
  <c r="Z36" i="42" s="1"/>
  <c r="W37" i="42"/>
  <c r="X37" i="42" s="1"/>
  <c r="Y37" i="42" s="1"/>
  <c r="Z37" i="42" s="1"/>
  <c r="W38" i="42"/>
  <c r="X38" i="42" s="1"/>
  <c r="Y38" i="42" s="1"/>
  <c r="Z38" i="42" s="1"/>
  <c r="W39" i="42"/>
  <c r="X39" i="42" s="1"/>
  <c r="Y39" i="42" s="1"/>
  <c r="Z39" i="42" s="1"/>
  <c r="W40" i="42"/>
  <c r="X40" i="42" s="1"/>
  <c r="Y40" i="42" s="1"/>
  <c r="Z40" i="42" s="1"/>
  <c r="W41" i="42"/>
  <c r="X41" i="42" s="1"/>
  <c r="Y41" i="42" s="1"/>
  <c r="Z41" i="42" s="1"/>
  <c r="W42" i="42"/>
  <c r="X42" i="42" s="1"/>
  <c r="Y42" i="42" s="1"/>
  <c r="Z42" i="42" s="1"/>
  <c r="W43" i="42"/>
  <c r="X43" i="42" s="1"/>
  <c r="Y43" i="42" s="1"/>
  <c r="Z43" i="42" s="1"/>
  <c r="W44" i="42"/>
  <c r="X44" i="42" s="1"/>
  <c r="Y44" i="42" s="1"/>
  <c r="Z44" i="42" s="1"/>
  <c r="W45" i="42"/>
  <c r="X45" i="42" s="1"/>
  <c r="Y45" i="42" s="1"/>
  <c r="Z45" i="42" s="1"/>
  <c r="W46" i="42"/>
  <c r="X46" i="42" s="1"/>
  <c r="Y46" i="42" s="1"/>
  <c r="Z46" i="42" s="1"/>
  <c r="W47" i="42"/>
  <c r="X47" i="42" s="1"/>
  <c r="Y47" i="42" s="1"/>
  <c r="Z47" i="42" s="1"/>
  <c r="D53" i="42"/>
  <c r="W22" i="42"/>
  <c r="X22" i="42" s="1"/>
  <c r="Y22" i="42" s="1"/>
  <c r="Z22" i="42" s="1"/>
  <c r="J22" i="42"/>
  <c r="K22" i="42" s="1"/>
  <c r="L22" i="42" s="1"/>
  <c r="M22" i="42" s="1"/>
  <c r="M48" i="42" s="1"/>
  <c r="Q22" i="42"/>
  <c r="P17" i="42"/>
  <c r="O23" i="42" l="1"/>
  <c r="P23" i="42" s="1"/>
  <c r="R23" i="42" s="1"/>
  <c r="S23" i="42" s="1"/>
  <c r="U23" i="42" s="1"/>
  <c r="O24" i="42"/>
  <c r="P24" i="42" s="1"/>
  <c r="R24" i="42" s="1"/>
  <c r="S24" i="42" s="1"/>
  <c r="U24" i="42" s="1"/>
  <c r="O25" i="42"/>
  <c r="P25" i="42" s="1"/>
  <c r="R25" i="42" s="1"/>
  <c r="S25" i="42" s="1"/>
  <c r="U25" i="42" s="1"/>
  <c r="O26" i="42"/>
  <c r="P26" i="42" s="1"/>
  <c r="R26" i="42" s="1"/>
  <c r="S26" i="42" s="1"/>
  <c r="U26" i="42" s="1"/>
  <c r="O27" i="42"/>
  <c r="P27" i="42" s="1"/>
  <c r="R27" i="42" s="1"/>
  <c r="S27" i="42" s="1"/>
  <c r="U27" i="42" s="1"/>
  <c r="O28" i="42"/>
  <c r="P28" i="42" s="1"/>
  <c r="R28" i="42" s="1"/>
  <c r="S28" i="42" s="1"/>
  <c r="U28" i="42" s="1"/>
  <c r="O29" i="42"/>
  <c r="P29" i="42" s="1"/>
  <c r="R29" i="42" s="1"/>
  <c r="S29" i="42" s="1"/>
  <c r="U29" i="42" s="1"/>
  <c r="O30" i="42"/>
  <c r="P30" i="42" s="1"/>
  <c r="R30" i="42" s="1"/>
  <c r="S30" i="42" s="1"/>
  <c r="U30" i="42" s="1"/>
  <c r="O31" i="42"/>
  <c r="P31" i="42" s="1"/>
  <c r="R31" i="42" s="1"/>
  <c r="S31" i="42" s="1"/>
  <c r="U31" i="42" s="1"/>
  <c r="O32" i="42"/>
  <c r="P32" i="42" s="1"/>
  <c r="R32" i="42" s="1"/>
  <c r="S32" i="42" s="1"/>
  <c r="U32" i="42" s="1"/>
  <c r="O33" i="42"/>
  <c r="P33" i="42" s="1"/>
  <c r="R33" i="42" s="1"/>
  <c r="S33" i="42" s="1"/>
  <c r="U33" i="42" s="1"/>
  <c r="O34" i="42"/>
  <c r="P34" i="42" s="1"/>
  <c r="R34" i="42" s="1"/>
  <c r="S34" i="42" s="1"/>
  <c r="U34" i="42" s="1"/>
  <c r="O35" i="42"/>
  <c r="P35" i="42" s="1"/>
  <c r="R35" i="42" s="1"/>
  <c r="S35" i="42" s="1"/>
  <c r="U35" i="42" s="1"/>
  <c r="O36" i="42"/>
  <c r="P36" i="42" s="1"/>
  <c r="R36" i="42" s="1"/>
  <c r="S36" i="42" s="1"/>
  <c r="U36" i="42" s="1"/>
  <c r="O37" i="42"/>
  <c r="P37" i="42" s="1"/>
  <c r="R37" i="42" s="1"/>
  <c r="S37" i="42" s="1"/>
  <c r="U37" i="42" s="1"/>
  <c r="O38" i="42"/>
  <c r="P38" i="42" s="1"/>
  <c r="R38" i="42" s="1"/>
  <c r="S38" i="42" s="1"/>
  <c r="U38" i="42" s="1"/>
  <c r="O39" i="42"/>
  <c r="P39" i="42" s="1"/>
  <c r="R39" i="42" s="1"/>
  <c r="S39" i="42" s="1"/>
  <c r="U39" i="42" s="1"/>
  <c r="O40" i="42"/>
  <c r="P40" i="42" s="1"/>
  <c r="R40" i="42" s="1"/>
  <c r="S40" i="42" s="1"/>
  <c r="U40" i="42" s="1"/>
  <c r="O41" i="42"/>
  <c r="P41" i="42" s="1"/>
  <c r="R41" i="42" s="1"/>
  <c r="S41" i="42" s="1"/>
  <c r="U41" i="42" s="1"/>
  <c r="O42" i="42"/>
  <c r="P42" i="42" s="1"/>
  <c r="R42" i="42" s="1"/>
  <c r="S42" i="42" s="1"/>
  <c r="U42" i="42" s="1"/>
  <c r="O43" i="42"/>
  <c r="P43" i="42" s="1"/>
  <c r="R43" i="42" s="1"/>
  <c r="S43" i="42" s="1"/>
  <c r="U43" i="42" s="1"/>
  <c r="O44" i="42"/>
  <c r="P44" i="42" s="1"/>
  <c r="R44" i="42" s="1"/>
  <c r="S44" i="42" s="1"/>
  <c r="U44" i="42" s="1"/>
  <c r="O45" i="42"/>
  <c r="P45" i="42" s="1"/>
  <c r="R45" i="42" s="1"/>
  <c r="S45" i="42" s="1"/>
  <c r="U45" i="42" s="1"/>
  <c r="O46" i="42"/>
  <c r="P46" i="42" s="1"/>
  <c r="R46" i="42" s="1"/>
  <c r="S46" i="42" s="1"/>
  <c r="U46" i="42" s="1"/>
  <c r="O47" i="42"/>
  <c r="P47" i="42" s="1"/>
  <c r="R47" i="42" s="1"/>
  <c r="S47" i="42" s="1"/>
  <c r="U47" i="42" s="1"/>
  <c r="AB50" i="42"/>
  <c r="AC50" i="42" s="1"/>
  <c r="E53" i="42" s="1"/>
  <c r="Z48" i="42"/>
  <c r="AB53" i="42" s="1"/>
  <c r="AC53" i="42" s="1"/>
  <c r="I53" i="42" s="1"/>
  <c r="O22" i="42"/>
  <c r="P22" i="42" s="1"/>
  <c r="R22" i="42" s="1"/>
  <c r="S22" i="42" s="1"/>
  <c r="U22" i="42" s="1"/>
  <c r="U48" i="42" l="1"/>
  <c r="AB52" i="42" l="1"/>
  <c r="AC52" i="42" s="1"/>
  <c r="AC56" i="42" s="1"/>
  <c r="AC57" i="42" s="1"/>
  <c r="G55" i="42" s="1"/>
  <c r="G53" i="42"/>
</calcChain>
</file>

<file path=xl/sharedStrings.xml><?xml version="1.0" encoding="utf-8"?>
<sst xmlns="http://schemas.openxmlformats.org/spreadsheetml/2006/main" count="489" uniqueCount="326">
  <si>
    <t>P</t>
  </si>
  <si>
    <t>Log P</t>
  </si>
  <si>
    <t>w</t>
  </si>
  <si>
    <t>z</t>
  </si>
  <si>
    <t>Media Aritmética</t>
  </si>
  <si>
    <t>Desviación Estándar</t>
  </si>
  <si>
    <t>Coeficiente de Asimetría</t>
  </si>
  <si>
    <t>Numero de datos</t>
  </si>
  <si>
    <t>P (mm)</t>
  </si>
  <si>
    <t xml:space="preserve">       Normales</t>
  </si>
  <si>
    <t>Variación del Coef. de Asimetría</t>
  </si>
  <si>
    <t>Desv. Est. Coef. de Asimetría</t>
  </si>
  <si>
    <t xml:space="preserve">      Logarítmica</t>
  </si>
  <si>
    <t>D.S. Coef As</t>
  </si>
  <si>
    <t>Varianza</t>
  </si>
  <si>
    <t>Diseño</t>
  </si>
  <si>
    <t>Gumbel</t>
  </si>
  <si>
    <t>Log Pearson III</t>
  </si>
  <si>
    <t>Log Normal</t>
  </si>
  <si>
    <t>Normal</t>
  </si>
  <si>
    <t>T   (años)</t>
  </si>
  <si>
    <t>Y</t>
  </si>
  <si>
    <t>N</t>
  </si>
  <si>
    <t>T</t>
  </si>
  <si>
    <t>P.Max</t>
  </si>
  <si>
    <t>Duración en minutos</t>
  </si>
  <si>
    <t>años</t>
  </si>
  <si>
    <t>24 horas</t>
  </si>
  <si>
    <t>Fuente: Modelo de Bell</t>
  </si>
  <si>
    <t>X1</t>
  </si>
  <si>
    <t>X2</t>
  </si>
  <si>
    <t>Log (I)</t>
  </si>
  <si>
    <t>Log (T)</t>
  </si>
  <si>
    <t>Log (t)</t>
  </si>
  <si>
    <t>Duración (t)</t>
  </si>
  <si>
    <t>Período de Retorno (T)  en años</t>
  </si>
  <si>
    <t>(minutos)</t>
  </si>
  <si>
    <t>Precipitación Pmax24 horas, T = 500 años</t>
  </si>
  <si>
    <t>D (min)</t>
  </si>
  <si>
    <t>D (horas)</t>
  </si>
  <si>
    <t>I (mm/hr)</t>
  </si>
  <si>
    <t>Precipitación Pmax24 horas, T = 100 años</t>
  </si>
  <si>
    <t>Precipitación Pmax24 horas, T = 50 años</t>
  </si>
  <si>
    <t>Precipitación Pmax24 horas, T = 10 años</t>
  </si>
  <si>
    <t>Precipitación Pmax24 horas, T = 20 años</t>
  </si>
  <si>
    <t xml:space="preserve">Latitud    </t>
  </si>
  <si>
    <t xml:space="preserve">Longitud </t>
  </si>
  <si>
    <t xml:space="preserve">Altura      </t>
  </si>
  <si>
    <t>Provincia</t>
  </si>
  <si>
    <t>Distrito</t>
  </si>
  <si>
    <t>Dpto.</t>
  </si>
  <si>
    <t>Cuadro N°04: Lluvias máximas  (mm)</t>
  </si>
  <si>
    <t>Cuadro N°05: Intensidades máximas (mm/hora)</t>
  </si>
  <si>
    <t>Abril</t>
  </si>
  <si>
    <t>Febrero</t>
  </si>
  <si>
    <t>Octubre</t>
  </si>
  <si>
    <t>Enero</t>
  </si>
  <si>
    <t>Marzo</t>
  </si>
  <si>
    <t>Julio</t>
  </si>
  <si>
    <t>Noviembre</t>
  </si>
  <si>
    <t>Setiembre</t>
  </si>
  <si>
    <t>Diciembre</t>
  </si>
  <si>
    <t>Aparicio pag. 264</t>
  </si>
  <si>
    <t>tabla para distribución Gumbel.</t>
  </si>
  <si>
    <t>X</t>
  </si>
  <si>
    <t>log X</t>
  </si>
  <si>
    <t>ln X</t>
  </si>
  <si>
    <t>n</t>
  </si>
  <si>
    <t>media de datos</t>
  </si>
  <si>
    <t>P = x</t>
  </si>
  <si>
    <t>P = LOG x</t>
  </si>
  <si>
    <t>LnP</t>
  </si>
  <si>
    <t>Y=(x-δ1)/α1</t>
  </si>
  <si>
    <t>2Y</t>
  </si>
  <si>
    <t>2β1</t>
  </si>
  <si>
    <t>χ2</t>
  </si>
  <si>
    <t>Fx</t>
  </si>
  <si>
    <t>Fo</t>
  </si>
  <si>
    <t>K</t>
  </si>
  <si>
    <t>MAX.</t>
  </si>
  <si>
    <t>RESUMEN DE RESULTADOS</t>
  </si>
  <si>
    <t>n :</t>
  </si>
  <si>
    <t>K-S</t>
  </si>
  <si>
    <t>Máximo tabular:</t>
  </si>
  <si>
    <t>FUNCION DE DISTRIBUCION SELECCIONADA :</t>
  </si>
  <si>
    <t>MINIMO</t>
  </si>
  <si>
    <t>DISTRIBUCIÓN</t>
  </si>
  <si>
    <t>Agosto</t>
  </si>
  <si>
    <t>Junio</t>
  </si>
  <si>
    <t>Mayo</t>
  </si>
  <si>
    <t>Año</t>
  </si>
  <si>
    <t>Proyecto</t>
  </si>
  <si>
    <t>Entidad</t>
  </si>
  <si>
    <t>Ubicación</t>
  </si>
  <si>
    <t>Fecha</t>
  </si>
  <si>
    <t>KT</t>
  </si>
  <si>
    <t>Precipitación Máxima en 24 Horas (mm)</t>
  </si>
  <si>
    <t>P máx</t>
  </si>
  <si>
    <t>Precipitación Máxima Anual en mm</t>
  </si>
  <si>
    <r>
      <t>m</t>
    </r>
    <r>
      <rPr>
        <vertAlign val="subscript"/>
        <sz val="10"/>
        <rFont val="Arial Narrow"/>
        <family val="2"/>
      </rPr>
      <t>y</t>
    </r>
    <r>
      <rPr>
        <sz val="10"/>
        <rFont val="Arial Narrow"/>
        <family val="2"/>
      </rPr>
      <t xml:space="preserve"> </t>
    </r>
  </si>
  <si>
    <r>
      <t>s</t>
    </r>
    <r>
      <rPr>
        <vertAlign val="subscript"/>
        <sz val="10"/>
        <rFont val="Arial Narrow"/>
        <family val="2"/>
      </rPr>
      <t>y</t>
    </r>
    <r>
      <rPr>
        <sz val="10"/>
        <rFont val="Arial Narrow"/>
        <family val="2"/>
      </rPr>
      <t xml:space="preserve"> </t>
    </r>
  </si>
  <si>
    <r>
      <t>x</t>
    </r>
    <r>
      <rPr>
        <vertAlign val="subscript"/>
        <sz val="10"/>
        <rFont val="Arial Narrow"/>
        <family val="2"/>
      </rPr>
      <t>e</t>
    </r>
    <r>
      <rPr>
        <sz val="10"/>
        <rFont val="Arial Narrow"/>
        <family val="2"/>
      </rPr>
      <t xml:space="preserve"> =b-1/a ln ln (T/(T-1)</t>
    </r>
  </si>
  <si>
    <t>a :</t>
  </si>
  <si>
    <r>
      <t>D</t>
    </r>
    <r>
      <rPr>
        <b/>
        <vertAlign val="subscript"/>
        <sz val="10"/>
        <rFont val="Arial Narrow"/>
        <family val="2"/>
      </rPr>
      <t>(N)</t>
    </r>
    <r>
      <rPr>
        <b/>
        <sz val="10"/>
        <rFont val="Arial Narrow"/>
        <family val="2"/>
      </rPr>
      <t xml:space="preserve"> &lt; Dα</t>
    </r>
  </si>
  <si>
    <r>
      <t>D</t>
    </r>
    <r>
      <rPr>
        <vertAlign val="subscript"/>
        <sz val="10"/>
        <rFont val="Arial Narrow"/>
        <family val="2"/>
      </rPr>
      <t>(N)</t>
    </r>
  </si>
  <si>
    <r>
      <t>K T</t>
    </r>
    <r>
      <rPr>
        <u/>
        <vertAlign val="superscript"/>
        <sz val="10"/>
        <rFont val="Arial Narrow"/>
        <family val="2"/>
      </rPr>
      <t>m</t>
    </r>
  </si>
  <si>
    <r>
      <t>t</t>
    </r>
    <r>
      <rPr>
        <vertAlign val="superscript"/>
        <sz val="10"/>
        <rFont val="Arial Narrow"/>
        <family val="2"/>
      </rPr>
      <t>n</t>
    </r>
  </si>
  <si>
    <t>P Máxima</t>
  </si>
  <si>
    <t>P máx  (mm)</t>
  </si>
  <si>
    <t>B. MODELOS DE DISTRIBUCIÓN DE DATOS ESTADÍSTICOS DE PRECIPITACIÓN MÁXIMAS EXTREMAS EN 24  HORAS</t>
  </si>
  <si>
    <t>T(años)</t>
  </si>
  <si>
    <t>T (años)</t>
  </si>
  <si>
    <t>B.1.  Distribución Normal</t>
  </si>
  <si>
    <t>B.3.  Distribución Log Pearson III</t>
  </si>
  <si>
    <t>B.2.  Distribución Log Normal</t>
  </si>
  <si>
    <t>m  (media)</t>
  </si>
  <si>
    <t>var (varianza)</t>
  </si>
  <si>
    <t>Coef. Asimetría</t>
  </si>
  <si>
    <t>k  (Factor k)</t>
  </si>
  <si>
    <t>s (desv.Est)</t>
  </si>
  <si>
    <t>n ( n°de datos)</t>
  </si>
  <si>
    <r>
      <t xml:space="preserve">C.4 </t>
    </r>
    <r>
      <rPr>
        <b/>
        <u/>
        <sz val="12"/>
        <rFont val="Arial Narrow"/>
        <family val="2"/>
      </rPr>
      <t>RESUMEN DE LOS RESULTADOS DE LAS DISTRIBUCIONES ESTADISTICAS</t>
    </r>
  </si>
  <si>
    <t>B.4.    Distribución Extrema Tipo I - Gumbel</t>
  </si>
  <si>
    <t>Función de Distribución</t>
  </si>
  <si>
    <t>Estadístico</t>
  </si>
  <si>
    <t>Log - Normal</t>
  </si>
  <si>
    <t>Log Pearson Tipo III</t>
  </si>
  <si>
    <t>Distribución Normal</t>
  </si>
  <si>
    <t>Distribución Log Normal</t>
  </si>
  <si>
    <t>Distribución Log Pearson Tipo III</t>
  </si>
  <si>
    <t>Distribución Gumbel</t>
  </si>
  <si>
    <t>Valor</t>
  </si>
  <si>
    <r>
      <t xml:space="preserve">C. </t>
    </r>
    <r>
      <rPr>
        <b/>
        <u/>
        <sz val="12"/>
        <rFont val="Arial Narrow"/>
        <family val="2"/>
      </rPr>
      <t>PRUEBA DE BONDAD DE KOLMOGOROV - SMIRNOV</t>
    </r>
  </si>
  <si>
    <t>A. PARAMETROS DE INTENSIDADES MAXIMAS</t>
  </si>
  <si>
    <t>PARTE II:  DETERMINACIÓN DE LA TORMENTA DE DISEÑO</t>
  </si>
  <si>
    <r>
      <t xml:space="preserve">B. </t>
    </r>
    <r>
      <rPr>
        <b/>
        <u/>
        <sz val="12"/>
        <rFont val="Arial Narrow"/>
        <family val="2"/>
      </rPr>
      <t>CÁLCULO DE INTENSIDADES MÁXIMAS (mm/h)</t>
    </r>
  </si>
  <si>
    <r>
      <t>C.</t>
    </r>
    <r>
      <rPr>
        <b/>
        <u/>
        <sz val="12"/>
        <rFont val="Arial Narrow"/>
        <family val="2"/>
      </rPr>
      <t xml:space="preserve"> INTENSIDADES DE DISEÑO PARA PRECIPITACIONES MENORES A 24 HORAS (mm/h)</t>
    </r>
  </si>
  <si>
    <t>PARTE I : DETERMINACIÓN DE PRECIPITACIONES DE DISEÑO  MÁXIMAS EN 24 HORAS</t>
  </si>
  <si>
    <t>Duración</t>
  </si>
  <si>
    <t>Minutos</t>
  </si>
  <si>
    <t>Ecuación de la regresión Lineal Múltiple</t>
  </si>
  <si>
    <t>Sistema de Ecuaciones Normalizada (1)</t>
  </si>
  <si>
    <t>Sistema de Ecuaciones Normalizada (2)</t>
  </si>
  <si>
    <t>Sistema de Ecuaciones Normalizada (3)</t>
  </si>
  <si>
    <t>Cuadro N°06: Ecuaciones de la Regresión Lineal Múltiple</t>
  </si>
  <si>
    <t>Σ(Y)</t>
  </si>
  <si>
    <t>Σ(X1)(Y )</t>
  </si>
  <si>
    <t>Σ(X2)(Y )</t>
  </si>
  <si>
    <t>AΣ(X1) + BΣ(X2) + C(n) =  Σ(Y)</t>
  </si>
  <si>
    <t>AΣ(X1²) + BΣ(X1)(X2) + CΣX1 = Σ(X1)(Y )</t>
  </si>
  <si>
    <t>AΣ(X1)(X2) + BΣ(X2²) + CΣX2 = Σ(X2)(Y )</t>
  </si>
  <si>
    <t>m</t>
  </si>
  <si>
    <t>mΣ(X1) + nΣ(X2) + (logK)(n) =  Σ(Y)</t>
  </si>
  <si>
    <t>mΣ(X1²) + nΣ(X1)(X2) + (logK)ΣX1 = Σ(X1)(Y )</t>
  </si>
  <si>
    <t>mΣ(X1)(X2) + nΣ(X2²) + (logK)ΣX2 = Σ(X2)(Y )</t>
  </si>
  <si>
    <t>mΣ(X1)</t>
  </si>
  <si>
    <t>nΣ(X2)</t>
  </si>
  <si>
    <t>(logK)(n)</t>
  </si>
  <si>
    <t xml:space="preserve">(logK)ΣX1 </t>
  </si>
  <si>
    <t xml:space="preserve">(logK)ΣX2 </t>
  </si>
  <si>
    <t>mΣ(X1²)</t>
  </si>
  <si>
    <t>nΣ(X1)(X2)</t>
  </si>
  <si>
    <t>mΣ(X1)(X2)</t>
  </si>
  <si>
    <t>nΣ(X2²)</t>
  </si>
  <si>
    <t>I  =</t>
  </si>
  <si>
    <t>Matriz de Sistema de Ecuaciones</t>
  </si>
  <si>
    <t>Inversa de la Matriz</t>
  </si>
  <si>
    <t xml:space="preserve">Valor </t>
  </si>
  <si>
    <t>Descripción</t>
  </si>
  <si>
    <t>Precipitación Pmax24 horas, T = 25 años</t>
  </si>
  <si>
    <t>Intensidad máx. (mm/h)</t>
  </si>
  <si>
    <t>Coef. Escorrentia</t>
  </si>
  <si>
    <t>Área (ha)</t>
  </si>
  <si>
    <t>Caudal (m3/s)</t>
  </si>
  <si>
    <t>Caudales en Techos de Edificaciones</t>
  </si>
  <si>
    <t>MUDULO 1</t>
  </si>
  <si>
    <t>MUDULO 2</t>
  </si>
  <si>
    <t>MUDULO 3</t>
  </si>
  <si>
    <t>MUDULO 4</t>
  </si>
  <si>
    <t>MUDULO 5</t>
  </si>
  <si>
    <t>MUDULO 6</t>
  </si>
  <si>
    <t>OE1</t>
  </si>
  <si>
    <t>OC1</t>
  </si>
  <si>
    <t>OC2</t>
  </si>
  <si>
    <t>OC3</t>
  </si>
  <si>
    <t>OC4</t>
  </si>
  <si>
    <t>OE2</t>
  </si>
  <si>
    <t>OE3</t>
  </si>
  <si>
    <t>Area m2</t>
  </si>
  <si>
    <t>OE12</t>
  </si>
  <si>
    <t>OC6</t>
  </si>
  <si>
    <t>OE6</t>
  </si>
  <si>
    <t>Caudales en Áreas Verdes</t>
  </si>
  <si>
    <t>Caudales en suelos</t>
  </si>
  <si>
    <t>CAIDA 3.1</t>
  </si>
  <si>
    <t>CAIDA 4.1</t>
  </si>
  <si>
    <t>CAIDA 6.1</t>
  </si>
  <si>
    <t>CAIDA 6.2</t>
  </si>
  <si>
    <t>CAIDA 3.2</t>
  </si>
  <si>
    <t>CAIDA 4.2</t>
  </si>
  <si>
    <r>
      <t xml:space="preserve">Numero de datos </t>
    </r>
    <r>
      <rPr>
        <b/>
        <sz val="12"/>
        <rFont val="Arial Narrow"/>
        <family val="2"/>
      </rPr>
      <t>n :</t>
    </r>
  </si>
  <si>
    <r>
      <t xml:space="preserve">Promedio </t>
    </r>
    <r>
      <rPr>
        <b/>
        <sz val="12"/>
        <rFont val="Arial Narrow"/>
        <family val="2"/>
      </rPr>
      <t>x :</t>
    </r>
  </si>
  <si>
    <r>
      <t xml:space="preserve">Promedio </t>
    </r>
    <r>
      <rPr>
        <b/>
        <sz val="12"/>
        <rFont val="Arial Narrow"/>
        <family val="2"/>
      </rPr>
      <t>Log</t>
    </r>
    <r>
      <rPr>
        <sz val="12"/>
        <rFont val="Arial Narrow"/>
        <family val="2"/>
      </rPr>
      <t xml:space="preserve"> </t>
    </r>
    <r>
      <rPr>
        <b/>
        <sz val="12"/>
        <rFont val="Arial Narrow"/>
        <family val="2"/>
      </rPr>
      <t>x :</t>
    </r>
  </si>
  <si>
    <r>
      <t xml:space="preserve">Desviacion estándar </t>
    </r>
    <r>
      <rPr>
        <b/>
        <sz val="12"/>
        <rFont val="Arial Narrow"/>
        <family val="2"/>
      </rPr>
      <t>s :</t>
    </r>
  </si>
  <si>
    <r>
      <t xml:space="preserve">Coeficiente asimetria </t>
    </r>
    <r>
      <rPr>
        <b/>
        <sz val="12"/>
        <rFont val="Arial Narrow"/>
        <family val="2"/>
      </rPr>
      <t>Cs</t>
    </r>
    <r>
      <rPr>
        <sz val="12"/>
        <rFont val="Arial Narrow"/>
        <family val="2"/>
      </rPr>
      <t xml:space="preserve"> (sesgo):</t>
    </r>
  </si>
  <si>
    <r>
      <t xml:space="preserve">Coeficiente asimetría </t>
    </r>
    <r>
      <rPr>
        <b/>
        <sz val="12"/>
        <rFont val="Arial Narrow"/>
        <family val="2"/>
      </rPr>
      <t>Cs</t>
    </r>
    <r>
      <rPr>
        <sz val="12"/>
        <rFont val="Arial Narrow"/>
        <family val="2"/>
      </rPr>
      <t xml:space="preserve"> (sesgo):</t>
    </r>
  </si>
  <si>
    <r>
      <rPr>
        <b/>
        <sz val="12"/>
        <rFont val="Arial Narrow"/>
        <family val="2"/>
      </rPr>
      <t>k</t>
    </r>
    <r>
      <rPr>
        <sz val="12"/>
        <rFont val="Arial Narrow"/>
        <family val="2"/>
      </rPr>
      <t xml:space="preserve"> = Cs/6 :</t>
    </r>
  </si>
  <si>
    <r>
      <t>β1=(2/Cs)</t>
    </r>
    <r>
      <rPr>
        <vertAlign val="superscript"/>
        <sz val="12"/>
        <rFont val="Arial Narrow"/>
        <family val="2"/>
      </rPr>
      <t>2</t>
    </r>
    <r>
      <rPr>
        <sz val="12"/>
        <rFont val="Arial Narrow"/>
        <family val="2"/>
      </rPr>
      <t>:</t>
    </r>
  </si>
  <si>
    <r>
      <t>α</t>
    </r>
    <r>
      <rPr>
        <vertAlign val="subscript"/>
        <sz val="12"/>
        <rFont val="Arial Narrow"/>
        <family val="2"/>
      </rPr>
      <t>1</t>
    </r>
    <r>
      <rPr>
        <sz val="12"/>
        <rFont val="Arial Narrow"/>
        <family val="2"/>
      </rPr>
      <t>=S/√β</t>
    </r>
    <r>
      <rPr>
        <vertAlign val="subscript"/>
        <sz val="12"/>
        <rFont val="Arial Narrow"/>
        <family val="2"/>
      </rPr>
      <t>1</t>
    </r>
  </si>
  <si>
    <r>
      <t>µ</t>
    </r>
    <r>
      <rPr>
        <b/>
        <vertAlign val="subscript"/>
        <sz val="12"/>
        <rFont val="Arial Narrow"/>
        <family val="2"/>
      </rPr>
      <t>Y</t>
    </r>
    <r>
      <rPr>
        <sz val="12"/>
        <rFont val="Arial Narrow"/>
        <family val="2"/>
      </rPr>
      <t xml:space="preserve"> :</t>
    </r>
  </si>
  <si>
    <r>
      <t>δ</t>
    </r>
    <r>
      <rPr>
        <vertAlign val="subscript"/>
        <sz val="12"/>
        <rFont val="Arial Narrow"/>
        <family val="2"/>
      </rPr>
      <t>1</t>
    </r>
    <r>
      <rPr>
        <sz val="12"/>
        <rFont val="Arial Narrow"/>
        <family val="2"/>
      </rPr>
      <t>=X-α</t>
    </r>
    <r>
      <rPr>
        <vertAlign val="subscript"/>
        <sz val="12"/>
        <rFont val="Arial Narrow"/>
        <family val="2"/>
      </rPr>
      <t>1</t>
    </r>
    <r>
      <rPr>
        <sz val="12"/>
        <rFont val="Arial Narrow"/>
        <family val="2"/>
      </rPr>
      <t>β</t>
    </r>
    <r>
      <rPr>
        <vertAlign val="subscript"/>
        <sz val="12"/>
        <rFont val="Arial Narrow"/>
        <family val="2"/>
      </rPr>
      <t>1</t>
    </r>
  </si>
  <si>
    <r>
      <t>s</t>
    </r>
    <r>
      <rPr>
        <b/>
        <vertAlign val="subscript"/>
        <sz val="12"/>
        <rFont val="Arial Narrow"/>
        <family val="2"/>
      </rPr>
      <t>Y</t>
    </r>
    <r>
      <rPr>
        <sz val="12"/>
        <rFont val="Arial Narrow"/>
        <family val="2"/>
      </rPr>
      <t xml:space="preserve"> :</t>
    </r>
  </si>
  <si>
    <t>GERENCIA TERRITORIAL BAJO MAYO</t>
  </si>
  <si>
    <t>AREADO 1</t>
  </si>
  <si>
    <t>AREADO 2</t>
  </si>
  <si>
    <t>AREADO 3</t>
  </si>
  <si>
    <t>AREADO 4</t>
  </si>
  <si>
    <t>AREADO 5</t>
  </si>
  <si>
    <t>AREADO 6</t>
  </si>
  <si>
    <t>AREADO 7</t>
  </si>
  <si>
    <t>AREADO 8</t>
  </si>
  <si>
    <t>AREADO 9</t>
  </si>
  <si>
    <t>AREADO 10</t>
  </si>
  <si>
    <t>AREADO 11</t>
  </si>
  <si>
    <t>area verde 1</t>
  </si>
  <si>
    <t>area verde 2</t>
  </si>
  <si>
    <t>area verde 3</t>
  </si>
  <si>
    <t>Cemento Bruñido 1</t>
  </si>
  <si>
    <t>Cemento Bruñido 2</t>
  </si>
  <si>
    <t>Cemento Bruñido 3</t>
  </si>
  <si>
    <t>Cemento Bruñido 4</t>
  </si>
  <si>
    <t>Cemento Bruñido 5</t>
  </si>
  <si>
    <t>Cemento Bruñido 6</t>
  </si>
  <si>
    <t>Cemento Bruñido 7</t>
  </si>
  <si>
    <t>area de techos</t>
  </si>
  <si>
    <t>CAIDA 1</t>
  </si>
  <si>
    <t>CAIDA 2</t>
  </si>
  <si>
    <t>CAIDA 5</t>
  </si>
  <si>
    <t>CAIDA 7.1</t>
  </si>
  <si>
    <t>CAIDA 7.2</t>
  </si>
  <si>
    <t>CAIDA 8.1</t>
  </si>
  <si>
    <t>CAIDA 8.2</t>
  </si>
  <si>
    <t>CAIDA 9</t>
  </si>
  <si>
    <t>CAIDA 10</t>
  </si>
  <si>
    <t>CAIDA 11</t>
  </si>
  <si>
    <t>area verde 4</t>
  </si>
  <si>
    <t>area verde 5</t>
  </si>
  <si>
    <t>area verde 6</t>
  </si>
  <si>
    <t>area verde 7</t>
  </si>
  <si>
    <t>area verde 8</t>
  </si>
  <si>
    <t>BRUÑADO 1(3ERA PARTE)</t>
  </si>
  <si>
    <t>BRUÑIDO 2</t>
  </si>
  <si>
    <t>BRUÑIDO 3</t>
  </si>
  <si>
    <t>AREA VERDE 5</t>
  </si>
  <si>
    <t>AREA VERDE 4/2</t>
  </si>
  <si>
    <t>AREA VERDE 3</t>
  </si>
  <si>
    <t>AREADO 5/2</t>
  </si>
  <si>
    <t>CAIDA1</t>
  </si>
  <si>
    <t>AREA VERDE 6</t>
  </si>
  <si>
    <t>AREA VERDE 7</t>
  </si>
  <si>
    <t>BRUÑIDO 4</t>
  </si>
  <si>
    <t>BRUÑIDO 5</t>
  </si>
  <si>
    <t>BRUÑIDO 6</t>
  </si>
  <si>
    <t>AREA VERDE 1</t>
  </si>
  <si>
    <t>AREA VERDE 2</t>
  </si>
  <si>
    <r>
      <t>P(X≥x</t>
    </r>
    <r>
      <rPr>
        <b/>
        <vertAlign val="subscript"/>
        <sz val="10"/>
        <color theme="0"/>
        <rFont val="Arial Narrow"/>
        <family val="2"/>
      </rPr>
      <t>T</t>
    </r>
    <r>
      <rPr>
        <b/>
        <sz val="10"/>
        <color theme="0"/>
        <rFont val="Arial Narrow"/>
        <family val="2"/>
      </rPr>
      <t>)</t>
    </r>
    <r>
      <rPr>
        <b/>
        <vertAlign val="subscript"/>
        <sz val="10"/>
        <color theme="0"/>
        <rFont val="Arial Narrow"/>
        <family val="2"/>
      </rPr>
      <t>OBS</t>
    </r>
  </si>
  <si>
    <r>
      <t>F</t>
    </r>
    <r>
      <rPr>
        <b/>
        <vertAlign val="subscript"/>
        <sz val="10"/>
        <color theme="0"/>
        <rFont val="Arial Narrow"/>
        <family val="2"/>
      </rPr>
      <t>(Z)</t>
    </r>
  </si>
  <si>
    <r>
      <t>P(X≥x</t>
    </r>
    <r>
      <rPr>
        <b/>
        <vertAlign val="subscript"/>
        <sz val="10"/>
        <color theme="0"/>
        <rFont val="Arial Narrow"/>
        <family val="2"/>
      </rPr>
      <t>T</t>
    </r>
    <r>
      <rPr>
        <b/>
        <sz val="10"/>
        <color theme="0"/>
        <rFont val="Arial Narrow"/>
        <family val="2"/>
      </rPr>
      <t>)</t>
    </r>
    <r>
      <rPr>
        <b/>
        <vertAlign val="subscript"/>
        <sz val="10"/>
        <color theme="0"/>
        <rFont val="Arial Narrow"/>
        <family val="2"/>
      </rPr>
      <t>TEO</t>
    </r>
  </si>
  <si>
    <r>
      <t>D</t>
    </r>
    <r>
      <rPr>
        <b/>
        <vertAlign val="subscript"/>
        <sz val="10"/>
        <color theme="0"/>
        <rFont val="Arial Narrow"/>
        <family val="2"/>
      </rPr>
      <t>(N)</t>
    </r>
  </si>
  <si>
    <t>SETIEMBRE 2026</t>
  </si>
  <si>
    <t>356 msnm.</t>
  </si>
  <si>
    <t>:SAN MARTIN</t>
  </si>
  <si>
    <t>: SAN MARTIN</t>
  </si>
  <si>
    <t>TARAPOTO</t>
  </si>
  <si>
    <t>06° 28′ S</t>
  </si>
  <si>
    <t xml:space="preserve">76° 22′ O  </t>
  </si>
  <si>
    <t>REGISTRO DE PRECIPITACIONES MÁXIMAS EN 24 HORAS  (mm) - ESTACIÓN CO:TARAPOTO</t>
  </si>
  <si>
    <t>S/D</t>
  </si>
  <si>
    <t>—</t>
  </si>
  <si>
    <t>SAN MARTIN - SAN MARTIN - MORALES</t>
  </si>
  <si>
    <t xml:space="preserve">m(X1) - n(X2) + logK = Y  </t>
  </si>
  <si>
    <t>Edificacion 01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</si>
  <si>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</si>
  <si>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</si>
  <si>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</si>
  <si>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</si>
  <si>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</si>
  <si>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</si>
  <si>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</si>
  <si>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</si>
  <si>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N.°</t>
  </si>
  <si>
    <t>Coeficiente de escorrentía C</t>
  </si>
  <si>
    <t>Área (m²)</t>
  </si>
  <si>
    <t>Área libre de cemento frotachado 01</t>
  </si>
  <si>
    <t>Área libre de cemento frotachado 02</t>
  </si>
  <si>
    <t>Área libre de cemento frotachado 03</t>
  </si>
  <si>
    <t>Área libre de cemento frotachado 04</t>
  </si>
  <si>
    <t>Área libre de cemento frotachado 05</t>
  </si>
  <si>
    <t>Área verde</t>
  </si>
  <si>
    <t>Tabla N° Áreas de drenaje de techo en edificaciones</t>
  </si>
  <si>
    <t>Tabla N.°  Áreas libres de concreto frotachado</t>
  </si>
  <si>
    <t>Tabla N.°  Area Verde</t>
  </si>
  <si>
    <t>Tabla N.°  Áreas libres de Pavimento (Estacionamiento)</t>
  </si>
  <si>
    <t>Edificación</t>
  </si>
  <si>
    <t>Techo (m²)</t>
  </si>
  <si>
    <t>Vereda (m²)</t>
  </si>
  <si>
    <t>Verde (m²)</t>
  </si>
  <si>
    <t>Edificación 01</t>
  </si>
  <si>
    <t>Edificación 02</t>
  </si>
  <si>
    <t>Edificación 03</t>
  </si>
  <si>
    <t>Edificación 04</t>
  </si>
  <si>
    <t>Edificación 05</t>
  </si>
  <si>
    <t>Edificación 06</t>
  </si>
  <si>
    <t>Edificación 07</t>
  </si>
  <si>
    <t>Edificación 08</t>
  </si>
  <si>
    <t>Edificación 09</t>
  </si>
  <si>
    <t>Losa Deportiva</t>
  </si>
  <si>
    <t>Edificacion 10</t>
  </si>
  <si>
    <t>Estacionamiento (Pavimento)01</t>
  </si>
  <si>
    <t>Edificación 10</t>
  </si>
  <si>
    <t>“CREACIÓN DEL SERVICIO DE PROTECCIÓN INTEGRAL A NIÑAS, NIÑOS Y ADOLESCENTES SIN CUIDADOS PARENTALES O EN RIESGO DE PERDERLOS EN CENTRO DE ACOGIDA RESIDENCIAL - VARONES DISTRITO DE MORALES DE LA PROVINCIA DE SAN MARTÍN DEL DEPARTAMENTO DE SAN MARTÍN”, con CUI N.° 2705619</t>
  </si>
  <si>
    <t>Guardiania</t>
  </si>
  <si>
    <t>Entrada 01</t>
  </si>
  <si>
    <t>Entrada 02</t>
  </si>
  <si>
    <t>Pavimento (m²)</t>
  </si>
  <si>
    <t>Guardianía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</si>
</sst>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0.0"/>
    <numFmt numFmtId="165" formatCode="0.000000"/>
    <numFmt numFmtId="166" formatCode="0.00000"/>
    <numFmt numFmtId="167" formatCode="0.0000"/>
    <numFmt numFmtId="168" formatCode="0.000"/>
    <numFmt numFmtId="169" formatCode="0&quot; años&quot;"/>
    <numFmt numFmtId="170" formatCode="_(* #,##0.0000_);_(* \(#,##0.0000\);_(* &quot;-&quot;????_);_(@_)"/>
    <numFmt numFmtId="171" formatCode="#,##0.00\ &quot;m&quot;"/>
    <numFmt numFmtId="172" formatCode="#,##0.00\ &quot;n&quot;"/>
    <numFmt numFmtId="173" formatCode="#,##0.00\ &quot;logK&quot;"/>
    <numFmt numFmtId="174" formatCode="&quot;m = &quot;#,##0.000"/>
    <numFmt numFmtId="175" formatCode="&quot;n = &quot;#,##0.000"/>
    <numFmt numFmtId="176" formatCode="&quot;logK = &quot;#,##0.000"/>
  </numFmts>
  <fonts count="4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8"/>
      <name val="Arial"/>
      <family val="2"/>
    </font>
    <font>
      <b/>
      <sz val="10"/>
      <name val="Arial Narrow"/>
      <family val="2"/>
    </font>
    <font>
      <u/>
      <sz val="10"/>
      <name val="Arial Narrow"/>
      <family val="2"/>
    </font>
    <font>
      <i/>
      <sz val="10"/>
      <name val="Arial Narrow"/>
      <family val="2"/>
    </font>
    <font>
      <vertAlign val="superscript"/>
      <sz val="10"/>
      <name val="Arial Narrow"/>
      <family val="2"/>
    </font>
    <font>
      <b/>
      <sz val="12"/>
      <name val="Arial Narrow"/>
      <family val="2"/>
    </font>
    <font>
      <b/>
      <u/>
      <sz val="10"/>
      <name val="Arial Narrow"/>
      <family val="2"/>
    </font>
    <font>
      <b/>
      <u/>
      <sz val="12"/>
      <name val="Arial Narrow"/>
      <family val="2"/>
    </font>
    <font>
      <b/>
      <vertAlign val="subscript"/>
      <sz val="10"/>
      <name val="Arial Narrow"/>
      <family val="2"/>
    </font>
    <font>
      <u/>
      <vertAlign val="superscript"/>
      <sz val="10"/>
      <name val="Arial Narrow"/>
      <family val="2"/>
    </font>
    <font>
      <sz val="12"/>
      <name val="Times New Roman"/>
      <family val="1"/>
    </font>
    <font>
      <vertAlign val="subscript"/>
      <sz val="1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sz val="10"/>
      <name val="Calibri"/>
      <family val="2"/>
    </font>
    <font>
      <b/>
      <sz val="11"/>
      <name val="Arial Narrow"/>
      <family val="2"/>
    </font>
    <font>
      <sz val="12"/>
      <name val="Swis721 LtCn BT"/>
      <family val="2"/>
    </font>
    <font>
      <b/>
      <sz val="12"/>
      <name val="Swis721 LtCn BT"/>
      <family val="2"/>
    </font>
    <font>
      <b/>
      <sz val="14"/>
      <name val="Swis721 LtCn BT"/>
      <family val="2"/>
    </font>
    <font>
      <sz val="11"/>
      <name val="Arial Narrow"/>
      <family val="2"/>
    </font>
    <font>
      <sz val="12"/>
      <name val="Arial Narrow"/>
      <family val="2"/>
    </font>
    <font>
      <vertAlign val="superscript"/>
      <sz val="12"/>
      <name val="Arial Narrow"/>
      <family val="2"/>
    </font>
    <font>
      <vertAlign val="subscript"/>
      <sz val="12"/>
      <name val="Arial Narrow"/>
      <family val="2"/>
    </font>
    <font>
      <b/>
      <vertAlign val="subscript"/>
      <sz val="12"/>
      <name val="Arial Narrow"/>
      <family val="2"/>
    </font>
    <font>
      <sz val="11"/>
      <color indexed="8"/>
      <name val="Arial Narrow"/>
      <family val="2"/>
    </font>
    <font>
      <u/>
      <sz val="10"/>
      <color theme="10"/>
      <name val="Arial"/>
      <family val="2"/>
    </font>
    <font>
      <sz val="10"/>
      <color theme="0"/>
      <name val="Arial Narrow"/>
      <family val="2"/>
    </font>
    <font>
      <sz val="10"/>
      <color rgb="FFFF0000"/>
      <name val="Arial Narrow"/>
      <family val="2"/>
    </font>
    <font>
      <b/>
      <sz val="10"/>
      <color rgb="FFFF0000"/>
      <name val="Arial Narrow"/>
      <family val="2"/>
    </font>
    <font>
      <b/>
      <u/>
      <sz val="14"/>
      <color rgb="FF002060"/>
      <name val="Arial Narrow"/>
      <family val="2"/>
    </font>
    <font>
      <b/>
      <sz val="10"/>
      <color theme="0"/>
      <name val="Arial Narrow"/>
      <family val="2"/>
    </font>
    <font>
      <b/>
      <sz val="12"/>
      <color rgb="FF000000"/>
      <name val="Swis721 LtCn BT"/>
      <family val="2"/>
    </font>
    <font>
      <sz val="12"/>
      <color theme="1"/>
      <name val="Swis721 LtCn BT"/>
      <family val="2"/>
    </font>
    <font>
      <b/>
      <sz val="12"/>
      <color theme="0"/>
      <name val="Arial Narrow"/>
      <family val="2"/>
    </font>
    <font>
      <b/>
      <u/>
      <sz val="12"/>
      <color rgb="FF002060"/>
      <name val="Arial Narrow"/>
      <family val="2"/>
    </font>
    <font>
      <b/>
      <sz val="14"/>
      <color rgb="FF000000"/>
      <name val="Swis721 LtCn BT"/>
      <family val="2"/>
    </font>
    <font>
      <sz val="12"/>
      <color rgb="FF000000"/>
      <name val="Arial Narrow"/>
      <family val="2"/>
    </font>
    <font>
      <b/>
      <vertAlign val="subscript"/>
      <sz val="10"/>
      <color theme="0"/>
      <name val="Arial Narrow"/>
      <family val="2"/>
    </font>
    <font>
      <b/>
      <u/>
      <sz val="14"/>
      <name val="Arial Narrow"/>
      <family val="2"/>
    </font>
    <font>
      <sz val="11"/>
      <name val="Calibri"/>
      <family val="2"/>
    </font>
    <font>
      <b/>
      <sz val="11"/>
      <color rgb="FF00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2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860000"/>
        <bgColor indexed="64"/>
      </patternFill>
    </fill>
    <fill>
      <patternFill patternType="solid">
        <fgColor rgb="FF6ABBE4"/>
        <bgColor indexed="64"/>
      </patternFill>
    </fill>
    <fill>
      <patternFill patternType="solid">
        <fgColor rgb="FF9A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FFF6E6"/>
        <bgColor indexed="64"/>
      </patternFill>
    </fill>
    <fill>
      <patternFill patternType="solid">
        <fgColor rgb="FFFCE3B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thin">
        <color rgb="FF0070C0"/>
      </top>
      <bottom style="double">
        <color rgb="FF0070C0"/>
      </bottom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 style="double">
        <color rgb="FF0070C0"/>
      </left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double">
        <color rgb="FF0070C0"/>
      </top>
      <bottom style="hair">
        <color rgb="FF0070C0"/>
      </bottom>
      <diagonal/>
    </border>
    <border>
      <left style="thin">
        <color rgb="FF0070C0"/>
      </left>
      <right style="double">
        <color rgb="FF0070C0"/>
      </right>
      <top style="double">
        <color rgb="FF0070C0"/>
      </top>
      <bottom style="hair">
        <color rgb="FF0070C0"/>
      </bottom>
      <diagonal/>
    </border>
    <border>
      <left/>
      <right style="thin">
        <color rgb="FF0070C0"/>
      </right>
      <top style="double">
        <color rgb="FF0070C0"/>
      </top>
      <bottom style="thin">
        <color rgb="FF0070C0"/>
      </bottom>
      <diagonal/>
    </border>
    <border>
      <left/>
      <right style="thin">
        <color rgb="FF0070C0"/>
      </right>
      <top style="thin">
        <color rgb="FF0070C0"/>
      </top>
      <bottom style="double">
        <color rgb="FF0070C0"/>
      </bottom>
      <diagonal/>
    </border>
    <border>
      <left style="double">
        <color rgb="FF0070C0"/>
      </left>
      <right style="thin">
        <color rgb="FF0070C0"/>
      </right>
      <top style="double">
        <color rgb="FF0070C0"/>
      </top>
      <bottom/>
      <diagonal/>
    </border>
    <border>
      <left style="double">
        <color rgb="FF0070C0"/>
      </left>
      <right style="thin">
        <color rgb="FF0070C0"/>
      </right>
      <top/>
      <bottom/>
      <diagonal/>
    </border>
    <border>
      <left style="double">
        <color rgb="FF0070C0"/>
      </left>
      <right style="thin">
        <color rgb="FF0070C0"/>
      </right>
      <top/>
      <bottom style="double">
        <color rgb="FF007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</borders>
  <cellStyleXfs count="6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>
      <alignment vertical="center"/>
    </xf>
    <xf numFmtId="0" fontId="2" fillId="0" borderId="0"/>
    <xf numFmtId="9" fontId="14" fillId="0" borderId="0" applyFont="0" applyFill="0" applyBorder="0" applyAlignment="0" applyProtection="0"/>
  </cellStyleXfs>
  <cellXfs count="255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4" applyFont="1" applyAlignment="1">
      <alignment vertical="center"/>
    </xf>
    <xf numFmtId="164" fontId="3" fillId="0" borderId="0" xfId="4" applyNumberFormat="1" applyFont="1" applyAlignment="1">
      <alignment vertical="center"/>
    </xf>
    <xf numFmtId="0" fontId="3" fillId="0" borderId="0" xfId="4" applyFont="1" applyAlignment="1">
      <alignment horizontal="center" vertical="center"/>
    </xf>
    <xf numFmtId="0" fontId="3" fillId="0" borderId="0" xfId="0" applyFont="1"/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right" vertical="center"/>
    </xf>
    <xf numFmtId="1" fontId="3" fillId="2" borderId="0" xfId="2" applyNumberFormat="1" applyFont="1" applyFill="1" applyAlignment="1">
      <alignment horizontal="center" vertical="center"/>
    </xf>
    <xf numFmtId="9" fontId="3" fillId="2" borderId="0" xfId="5" applyFont="1" applyFill="1" applyAlignment="1">
      <alignment horizontal="center" vertical="center"/>
    </xf>
    <xf numFmtId="168" fontId="3" fillId="0" borderId="0" xfId="2" applyNumberFormat="1" applyFont="1" applyAlignment="1">
      <alignment horizontal="center" vertical="center"/>
    </xf>
    <xf numFmtId="170" fontId="3" fillId="0" borderId="0" xfId="2" applyNumberFormat="1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justify"/>
    </xf>
    <xf numFmtId="2" fontId="30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0" xfId="2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6" fillId="0" borderId="0" xfId="2" applyFont="1" applyAlignment="1">
      <alignment horizontal="center" vertical="center"/>
    </xf>
    <xf numFmtId="167" fontId="3" fillId="0" borderId="0" xfId="2" applyNumberFormat="1" applyFont="1" applyAlignment="1">
      <alignment horizontal="right" vertical="center"/>
    </xf>
    <xf numFmtId="167" fontId="3" fillId="0" borderId="0" xfId="2" applyNumberFormat="1" applyFont="1" applyAlignment="1">
      <alignment vertical="center"/>
    </xf>
    <xf numFmtId="167" fontId="3" fillId="0" borderId="0" xfId="2" applyNumberFormat="1" applyFont="1" applyAlignment="1">
      <alignment horizontal="left" vertical="center"/>
    </xf>
    <xf numFmtId="168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1" fillId="0" borderId="0" xfId="4" applyFont="1" applyAlignment="1">
      <alignment vertical="center"/>
    </xf>
    <xf numFmtId="0" fontId="32" fillId="0" borderId="0" xfId="4" applyFont="1" applyAlignment="1">
      <alignment vertical="center"/>
    </xf>
    <xf numFmtId="0" fontId="5" fillId="0" borderId="0" xfId="0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167" fontId="17" fillId="0" borderId="0" xfId="2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5" fillId="0" borderId="0" xfId="4" applyFont="1" applyAlignment="1">
      <alignment horizontal="center" vertical="center"/>
    </xf>
    <xf numFmtId="2" fontId="3" fillId="0" borderId="0" xfId="4" applyNumberFormat="1" applyFont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165" fontId="3" fillId="0" borderId="20" xfId="4" applyNumberFormat="1" applyFont="1" applyBorder="1" applyAlignment="1">
      <alignment horizontal="center" vertical="center"/>
    </xf>
    <xf numFmtId="166" fontId="3" fillId="0" borderId="21" xfId="4" applyNumberFormat="1" applyFont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0" borderId="16" xfId="4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169" fontId="30" fillId="0" borderId="0" xfId="0" applyNumberFormat="1" applyFont="1" applyAlignment="1">
      <alignment horizontal="center" vertical="center"/>
    </xf>
    <xf numFmtId="0" fontId="34" fillId="5" borderId="4" xfId="0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167" fontId="20" fillId="0" borderId="4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167" fontId="20" fillId="0" borderId="0" xfId="0" applyNumberFormat="1" applyFont="1" applyAlignment="1">
      <alignment horizontal="center" vertical="center" wrapText="1"/>
    </xf>
    <xf numFmtId="0" fontId="35" fillId="0" borderId="0" xfId="0" applyFont="1"/>
    <xf numFmtId="168" fontId="20" fillId="0" borderId="4" xfId="0" applyNumberFormat="1" applyFont="1" applyBorder="1" applyAlignment="1">
      <alignment horizontal="center" vertical="center" wrapText="1"/>
    </xf>
    <xf numFmtId="0" fontId="9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4" fillId="0" borderId="0" xfId="2" applyFont="1" applyAlignment="1">
      <alignment vertical="center"/>
    </xf>
    <xf numFmtId="0" fontId="24" fillId="0" borderId="0" xfId="2" applyFont="1" applyAlignment="1">
      <alignment horizontal="right" vertical="center"/>
    </xf>
    <xf numFmtId="1" fontId="24" fillId="0" borderId="0" xfId="2" applyNumberFormat="1" applyFont="1" applyAlignment="1">
      <alignment horizontal="center" vertical="center"/>
    </xf>
    <xf numFmtId="2" fontId="24" fillId="0" borderId="0" xfId="2" applyNumberFormat="1" applyFont="1" applyAlignment="1">
      <alignment horizontal="center" vertical="center"/>
    </xf>
    <xf numFmtId="168" fontId="24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right" vertical="center"/>
    </xf>
    <xf numFmtId="168" fontId="24" fillId="2" borderId="0" xfId="2" applyNumberFormat="1" applyFont="1" applyFill="1" applyAlignment="1">
      <alignment horizontal="center" vertical="center"/>
    </xf>
    <xf numFmtId="0" fontId="24" fillId="0" borderId="0" xfId="2" applyFont="1" applyAlignment="1">
      <alignment horizontal="left" vertical="center"/>
    </xf>
    <xf numFmtId="0" fontId="9" fillId="0" borderId="0" xfId="2" applyFont="1" applyAlignment="1">
      <alignment vertical="center"/>
    </xf>
    <xf numFmtId="1" fontId="28" fillId="0" borderId="0" xfId="0" applyNumberFormat="1" applyFont="1" applyAlignment="1">
      <alignment horizontal="center" vertical="center"/>
    </xf>
    <xf numFmtId="2" fontId="23" fillId="0" borderId="0" xfId="2" applyNumberFormat="1" applyFont="1" applyAlignment="1">
      <alignment horizontal="center" vertical="center"/>
    </xf>
    <xf numFmtId="168" fontId="23" fillId="0" borderId="0" xfId="2" applyNumberFormat="1" applyFont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167" fontId="19" fillId="0" borderId="0" xfId="2" applyNumberFormat="1" applyFont="1" applyAlignment="1">
      <alignment horizontal="center" vertical="center"/>
    </xf>
    <xf numFmtId="2" fontId="20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35" fillId="0" borderId="0" xfId="0" applyFont="1" applyAlignment="1">
      <alignment wrapText="1"/>
    </xf>
    <xf numFmtId="168" fontId="20" fillId="0" borderId="0" xfId="0" applyNumberFormat="1" applyFont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20" fillId="0" borderId="8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37" fillId="5" borderId="4" xfId="0" applyFont="1" applyFill="1" applyBorder="1" applyAlignment="1">
      <alignment vertical="center"/>
    </xf>
    <xf numFmtId="0" fontId="3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4" fillId="5" borderId="4" xfId="0" applyFont="1" applyFill="1" applyBorder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2" fontId="9" fillId="0" borderId="4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168" fontId="3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167" fontId="3" fillId="0" borderId="4" xfId="0" applyNumberFormat="1" applyFont="1" applyBorder="1" applyAlignment="1">
      <alignment horizontal="center" vertical="center"/>
    </xf>
    <xf numFmtId="0" fontId="34" fillId="7" borderId="4" xfId="0" applyFont="1" applyFill="1" applyBorder="1" applyAlignment="1">
      <alignment vertical="center"/>
    </xf>
    <xf numFmtId="0" fontId="34" fillId="7" borderId="4" xfId="0" applyFont="1" applyFill="1" applyBorder="1" applyAlignment="1">
      <alignment horizontal="center" vertical="center"/>
    </xf>
    <xf numFmtId="0" fontId="34" fillId="7" borderId="4" xfId="0" applyFont="1" applyFill="1" applyBorder="1" applyAlignment="1">
      <alignment horizontal="center" vertical="center" wrapText="1"/>
    </xf>
    <xf numFmtId="1" fontId="28" fillId="0" borderId="4" xfId="0" applyNumberFormat="1" applyFont="1" applyBorder="1" applyAlignment="1">
      <alignment horizontal="center" vertical="center"/>
    </xf>
    <xf numFmtId="2" fontId="23" fillId="0" borderId="4" xfId="2" applyNumberFormat="1" applyFont="1" applyBorder="1" applyAlignment="1">
      <alignment horizontal="center" vertical="center"/>
    </xf>
    <xf numFmtId="168" fontId="23" fillId="0" borderId="4" xfId="2" applyNumberFormat="1" applyFont="1" applyBorder="1" applyAlignment="1">
      <alignment horizontal="center" vertical="center"/>
    </xf>
    <xf numFmtId="167" fontId="23" fillId="0" borderId="4" xfId="2" applyNumberFormat="1" applyFont="1" applyBorder="1" applyAlignment="1">
      <alignment horizontal="center" vertical="center"/>
    </xf>
    <xf numFmtId="0" fontId="34" fillId="7" borderId="4" xfId="2" applyFont="1" applyFill="1" applyBorder="1" applyAlignment="1">
      <alignment horizontal="center" vertical="center"/>
    </xf>
    <xf numFmtId="167" fontId="3" fillId="0" borderId="4" xfId="2" applyNumberFormat="1" applyFont="1" applyBorder="1" applyAlignment="1">
      <alignment horizontal="center" vertical="center"/>
    </xf>
    <xf numFmtId="0" fontId="19" fillId="8" borderId="4" xfId="2" applyFont="1" applyFill="1" applyBorder="1" applyAlignment="1">
      <alignment horizontal="center" vertical="center"/>
    </xf>
    <xf numFmtId="167" fontId="19" fillId="8" borderId="4" xfId="2" applyNumberFormat="1" applyFont="1" applyFill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34" fillId="7" borderId="4" xfId="4" applyFont="1" applyFill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2" fontId="3" fillId="0" borderId="4" xfId="4" applyNumberFormat="1" applyFont="1" applyBorder="1" applyAlignment="1">
      <alignment horizontal="center" vertical="center"/>
    </xf>
    <xf numFmtId="0" fontId="5" fillId="0" borderId="4" xfId="4" applyFont="1" applyBorder="1" applyAlignment="1">
      <alignment horizontal="center" vertical="center"/>
    </xf>
    <xf numFmtId="0" fontId="18" fillId="0" borderId="4" xfId="4" applyFont="1" applyBorder="1" applyAlignment="1">
      <alignment horizontal="center" vertical="center"/>
    </xf>
    <xf numFmtId="165" fontId="3" fillId="0" borderId="4" xfId="4" applyNumberFormat="1" applyFont="1" applyBorder="1" applyAlignment="1">
      <alignment horizontal="center" vertical="center"/>
    </xf>
    <xf numFmtId="171" fontId="3" fillId="0" borderId="4" xfId="4" applyNumberFormat="1" applyFont="1" applyBorder="1" applyAlignment="1">
      <alignment horizontal="center" vertical="center"/>
    </xf>
    <xf numFmtId="172" fontId="3" fillId="0" borderId="4" xfId="4" applyNumberFormat="1" applyFont="1" applyBorder="1" applyAlignment="1">
      <alignment horizontal="center" vertical="center"/>
    </xf>
    <xf numFmtId="173" fontId="3" fillId="0" borderId="4" xfId="4" applyNumberFormat="1" applyFont="1" applyBorder="1" applyAlignment="1">
      <alignment horizontal="center" vertical="center"/>
    </xf>
    <xf numFmtId="171" fontId="3" fillId="3" borderId="4" xfId="4" applyNumberFormat="1" applyFont="1" applyFill="1" applyBorder="1" applyAlignment="1">
      <alignment horizontal="center" vertical="center"/>
    </xf>
    <xf numFmtId="172" fontId="3" fillId="3" borderId="4" xfId="4" applyNumberFormat="1" applyFont="1" applyFill="1" applyBorder="1" applyAlignment="1">
      <alignment horizontal="center" vertical="center"/>
    </xf>
    <xf numFmtId="173" fontId="3" fillId="3" borderId="4" xfId="4" applyNumberFormat="1" applyFont="1" applyFill="1" applyBorder="1" applyAlignment="1">
      <alignment horizontal="center" vertical="center"/>
    </xf>
    <xf numFmtId="2" fontId="3" fillId="4" borderId="4" xfId="4" applyNumberFormat="1" applyFont="1" applyFill="1" applyBorder="1" applyAlignment="1">
      <alignment horizontal="center" vertical="center"/>
    </xf>
    <xf numFmtId="174" fontId="3" fillId="0" borderId="4" xfId="4" applyNumberFormat="1" applyFont="1" applyBorder="1" applyAlignment="1">
      <alignment horizontal="center" vertical="center"/>
    </xf>
    <xf numFmtId="167" fontId="3" fillId="0" borderId="4" xfId="4" applyNumberFormat="1" applyFont="1" applyBorder="1" applyAlignment="1">
      <alignment horizontal="center" vertical="center"/>
    </xf>
    <xf numFmtId="175" fontId="3" fillId="0" borderId="4" xfId="4" applyNumberFormat="1" applyFont="1" applyBorder="1" applyAlignment="1">
      <alignment horizontal="center" vertical="center"/>
    </xf>
    <xf numFmtId="176" fontId="3" fillId="0" borderId="4" xfId="4" applyNumberFormat="1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center" vertical="center"/>
    </xf>
    <xf numFmtId="1" fontId="34" fillId="7" borderId="4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0" fillId="9" borderId="28" xfId="0" applyFont="1" applyFill="1" applyBorder="1" applyAlignment="1">
      <alignment horizontal="center" vertical="center" wrapText="1"/>
    </xf>
    <xf numFmtId="0" fontId="40" fillId="9" borderId="29" xfId="0" applyFont="1" applyFill="1" applyBorder="1" applyAlignment="1">
      <alignment horizontal="center" vertical="center" wrapText="1"/>
    </xf>
    <xf numFmtId="0" fontId="40" fillId="10" borderId="30" xfId="0" applyFont="1" applyFill="1" applyBorder="1" applyAlignment="1">
      <alignment horizontal="center" vertical="center" wrapText="1"/>
    </xf>
    <xf numFmtId="0" fontId="40" fillId="10" borderId="31" xfId="0" applyFont="1" applyFill="1" applyBorder="1" applyAlignment="1">
      <alignment horizontal="center" vertical="center" wrapText="1"/>
    </xf>
    <xf numFmtId="0" fontId="40" fillId="9" borderId="30" xfId="0" applyFont="1" applyFill="1" applyBorder="1" applyAlignment="1">
      <alignment horizontal="center" vertical="center" wrapText="1"/>
    </xf>
    <xf numFmtId="0" fontId="40" fillId="9" borderId="31" xfId="0" applyFont="1" applyFill="1" applyBorder="1" applyAlignment="1">
      <alignment horizontal="center" vertical="center" wrapText="1"/>
    </xf>
    <xf numFmtId="0" fontId="40" fillId="11" borderId="30" xfId="0" applyFont="1" applyFill="1" applyBorder="1" applyAlignment="1">
      <alignment horizontal="center" vertical="center" wrapText="1"/>
    </xf>
    <xf numFmtId="0" fontId="40" fillId="11" borderId="31" xfId="0" applyFont="1" applyFill="1" applyBorder="1" applyAlignment="1">
      <alignment horizontal="center" vertical="center" wrapText="1"/>
    </xf>
    <xf numFmtId="0" fontId="40" fillId="12" borderId="31" xfId="0" applyFont="1" applyFill="1" applyBorder="1" applyAlignment="1">
      <alignment horizontal="center" vertical="center" wrapText="1"/>
    </xf>
    <xf numFmtId="2" fontId="3" fillId="13" borderId="4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/>
    </xf>
    <xf numFmtId="168" fontId="24" fillId="0" borderId="4" xfId="0" applyNumberFormat="1" applyFont="1" applyBorder="1" applyAlignment="1">
      <alignment horizontal="center" vertical="center"/>
    </xf>
    <xf numFmtId="167" fontId="24" fillId="0" borderId="4" xfId="0" applyNumberFormat="1" applyFont="1" applyBorder="1" applyAlignment="1">
      <alignment horizontal="center" vertical="center"/>
    </xf>
    <xf numFmtId="164" fontId="24" fillId="0" borderId="4" xfId="0" applyNumberFormat="1" applyFont="1" applyBorder="1" applyAlignment="1">
      <alignment horizontal="center" vertical="center"/>
    </xf>
    <xf numFmtId="2" fontId="24" fillId="0" borderId="0" xfId="0" applyNumberFormat="1" applyFont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37" fillId="7" borderId="4" xfId="0" applyFont="1" applyFill="1" applyBorder="1" applyAlignment="1">
      <alignment horizontal="center" vertical="center" wrapText="1"/>
    </xf>
    <xf numFmtId="0" fontId="37" fillId="7" borderId="4" xfId="0" applyFont="1" applyFill="1" applyBorder="1" applyAlignment="1">
      <alignment horizontal="center" vertical="center"/>
    </xf>
    <xf numFmtId="167" fontId="24" fillId="0" borderId="0" xfId="0" applyNumberFormat="1" applyFont="1" applyAlignment="1">
      <alignment horizontal="center" vertical="center"/>
    </xf>
    <xf numFmtId="168" fontId="24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168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>
      <alignment horizontal="left"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 wrapText="1"/>
    </xf>
    <xf numFmtId="2" fontId="24" fillId="0" borderId="0" xfId="0" applyNumberFormat="1" applyFont="1" applyAlignment="1">
      <alignment horizontal="center" vertical="center" wrapText="1"/>
    </xf>
    <xf numFmtId="0" fontId="44" fillId="14" borderId="4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2" fontId="45" fillId="0" borderId="4" xfId="0" applyNumberFormat="1" applyFont="1" applyBorder="1" applyAlignment="1">
      <alignment horizontal="center" vertical="center"/>
    </xf>
    <xf numFmtId="0" fontId="44" fillId="9" borderId="4" xfId="0" applyFont="1" applyFill="1" applyBorder="1" applyAlignment="1">
      <alignment horizontal="center" vertical="center" wrapText="1"/>
    </xf>
    <xf numFmtId="0" fontId="46" fillId="0" borderId="4" xfId="0" applyFont="1" applyBorder="1" applyAlignment="1">
      <alignment horizontal="center" vertical="center" wrapText="1"/>
    </xf>
    <xf numFmtId="0" fontId="44" fillId="16" borderId="4" xfId="0" applyFont="1" applyFill="1" applyBorder="1" applyAlignment="1">
      <alignment horizontal="center" vertical="center" wrapText="1"/>
    </xf>
    <xf numFmtId="0" fontId="44" fillId="15" borderId="4" xfId="0" applyFont="1" applyFill="1" applyBorder="1" applyAlignment="1">
      <alignment horizontal="center" vertical="center" wrapText="1"/>
    </xf>
    <xf numFmtId="0" fontId="44" fillId="9" borderId="0" xfId="0" applyFont="1" applyFill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2" fontId="45" fillId="0" borderId="0" xfId="0" applyNumberFormat="1" applyFont="1" applyAlignment="1">
      <alignment horizontal="center" vertical="center"/>
    </xf>
    <xf numFmtId="0" fontId="44" fillId="17" borderId="4" xfId="0" applyFont="1" applyFill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2" fontId="3" fillId="18" borderId="4" xfId="0" applyNumberFormat="1" applyFont="1" applyFill="1" applyBorder="1" applyAlignment="1">
      <alignment horizontal="center" vertical="center"/>
    </xf>
    <xf numFmtId="0" fontId="34" fillId="5" borderId="4" xfId="0" applyFont="1" applyFill="1" applyBorder="1" applyAlignment="1">
      <alignment horizontal="center" vertical="center"/>
    </xf>
    <xf numFmtId="0" fontId="9" fillId="19" borderId="4" xfId="0" applyFont="1" applyFill="1" applyBorder="1" applyAlignment="1">
      <alignment horizontal="center" vertical="center" wrapText="1"/>
    </xf>
    <xf numFmtId="0" fontId="9" fillId="19" borderId="4" xfId="0" applyFont="1" applyFill="1" applyBorder="1" applyAlignment="1">
      <alignment horizontal="right" vertical="center" wrapText="1"/>
    </xf>
    <xf numFmtId="0" fontId="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7" fillId="7" borderId="27" xfId="0" applyFont="1" applyFill="1" applyBorder="1" applyAlignment="1">
      <alignment horizontal="center" vertical="center" wrapText="1"/>
    </xf>
    <xf numFmtId="0" fontId="37" fillId="7" borderId="3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49" fontId="24" fillId="0" borderId="9" xfId="0" applyNumberFormat="1" applyFont="1" applyBorder="1" applyAlignment="1">
      <alignment horizontal="left" vertical="center" wrapText="1"/>
    </xf>
    <xf numFmtId="49" fontId="24" fillId="0" borderId="10" xfId="0" applyNumberFormat="1" applyFont="1" applyBorder="1" applyAlignment="1">
      <alignment horizontal="left" vertical="center" wrapText="1"/>
    </xf>
    <xf numFmtId="49" fontId="24" fillId="0" borderId="8" xfId="0" applyNumberFormat="1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167" fontId="5" fillId="0" borderId="0" xfId="2" applyNumberFormat="1" applyFont="1" applyAlignment="1">
      <alignment horizontal="center" vertical="center"/>
    </xf>
    <xf numFmtId="0" fontId="24" fillId="0" borderId="0" xfId="2" applyFont="1" applyAlignment="1">
      <alignment horizontal="right" vertical="center"/>
    </xf>
    <xf numFmtId="0" fontId="3" fillId="0" borderId="4" xfId="2" applyFont="1" applyBorder="1" applyAlignment="1">
      <alignment horizontal="center" vertical="center"/>
    </xf>
    <xf numFmtId="167" fontId="3" fillId="0" borderId="4" xfId="2" applyNumberFormat="1" applyFont="1" applyBorder="1" applyAlignment="1">
      <alignment horizontal="center" vertical="center"/>
    </xf>
    <xf numFmtId="167" fontId="3" fillId="0" borderId="4" xfId="2" applyNumberFormat="1" applyFont="1" applyBorder="1" applyAlignment="1">
      <alignment horizontal="center" vertical="center" wrapText="1"/>
    </xf>
    <xf numFmtId="2" fontId="24" fillId="0" borderId="0" xfId="2" applyNumberFormat="1" applyFont="1" applyAlignment="1">
      <alignment horizontal="right" vertical="center"/>
    </xf>
    <xf numFmtId="0" fontId="34" fillId="7" borderId="4" xfId="2" applyFont="1" applyFill="1" applyBorder="1" applyAlignment="1">
      <alignment horizontal="center" vertical="center"/>
    </xf>
    <xf numFmtId="0" fontId="34" fillId="7" borderId="4" xfId="2" applyFont="1" applyFill="1" applyBorder="1" applyAlignment="1">
      <alignment horizontal="center" vertical="center" wrapText="1"/>
    </xf>
    <xf numFmtId="0" fontId="24" fillId="0" borderId="9" xfId="0" applyFont="1" applyBorder="1" applyAlignment="1">
      <alignment horizontal="left" wrapText="1"/>
    </xf>
    <xf numFmtId="0" fontId="24" fillId="0" borderId="10" xfId="0" applyFont="1" applyBorder="1" applyAlignment="1">
      <alignment horizontal="left" wrapText="1"/>
    </xf>
    <xf numFmtId="0" fontId="24" fillId="0" borderId="8" xfId="0" applyFont="1" applyBorder="1" applyAlignment="1">
      <alignment horizontal="left" wrapText="1"/>
    </xf>
    <xf numFmtId="0" fontId="24" fillId="0" borderId="9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5" fillId="0" borderId="0" xfId="2" applyFont="1" applyAlignment="1">
      <alignment horizontal="center" vertical="center"/>
    </xf>
    <xf numFmtId="0" fontId="34" fillId="7" borderId="4" xfId="0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/>
    </xf>
    <xf numFmtId="0" fontId="24" fillId="0" borderId="0" xfId="2" applyFont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vertical="justify"/>
    </xf>
    <xf numFmtId="0" fontId="34" fillId="7" borderId="4" xfId="0" applyFont="1" applyFill="1" applyBorder="1" applyAlignment="1">
      <alignment horizontal="center" vertical="center"/>
    </xf>
    <xf numFmtId="0" fontId="34" fillId="7" borderId="9" xfId="0" applyFont="1" applyFill="1" applyBorder="1" applyAlignment="1">
      <alignment horizontal="center" vertical="center"/>
    </xf>
    <xf numFmtId="0" fontId="34" fillId="7" borderId="10" xfId="0" applyFont="1" applyFill="1" applyBorder="1" applyAlignment="1">
      <alignment horizontal="center" vertical="center"/>
    </xf>
    <xf numFmtId="0" fontId="34" fillId="7" borderId="8" xfId="0" applyFont="1" applyFill="1" applyBorder="1" applyAlignment="1">
      <alignment horizontal="center" vertical="center"/>
    </xf>
    <xf numFmtId="0" fontId="3" fillId="0" borderId="4" xfId="4" applyFont="1" applyBorder="1" applyAlignment="1">
      <alignment horizontal="center" vertical="center"/>
    </xf>
    <xf numFmtId="0" fontId="5" fillId="0" borderId="24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4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3" fillId="0" borderId="4" xfId="0" applyFont="1" applyBorder="1" applyAlignment="1">
      <alignment horizontal="left" vertical="center" wrapText="1"/>
    </xf>
    <xf numFmtId="0" fontId="34" fillId="7" borderId="4" xfId="4" applyFont="1" applyFill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/>
    </xf>
    <xf numFmtId="0" fontId="21" fillId="0" borderId="1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</cellXfs>
  <cellStyles count="6">
    <cellStyle name="Hipervínculo 8" xfId="1" xr:uid="{5A089101-F63F-40C4-9308-7AB1A41CD7CD}"/>
    <cellStyle name="Normal" xfId="0" builtinId="0"/>
    <cellStyle name="Normal 2" xfId="2" xr:uid="{A5F8557F-66B8-485A-A016-7A4384188334}"/>
    <cellStyle name="Normal 2 2" xfId="3" xr:uid="{D9EB3CCB-2948-4050-805D-D2FF40D162DF}"/>
    <cellStyle name="Normal_Hidrologia Proyecto Piloto" xfId="4" xr:uid="{60885A0B-297D-4AFC-8BD5-BE6DA5E69EEA}"/>
    <cellStyle name="Porcentual 2" xfId="5" xr:uid="{CFD905F6-5A5A-47AA-A555-3D91E4FFCD37}"/>
  </cellStyles>
  <dxfs count="2">
    <dxf>
      <font>
        <b/>
        <i val="0"/>
      </font>
    </dxf>
    <dxf>
      <font>
        <b/>
        <i val="0"/>
      </font>
    </dxf>
  </dxfs>
  <tableStyles count="0" defaultTableStyle="TableStyleMedium9" defaultPivotStyle="PivotStyleLight16"/>
  <colors>
    <mruColors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000" b="1" i="0" u="none" strike="noStrike" baseline="0">
                <a:solidFill>
                  <a:srgbClr val="000000"/>
                </a:solidFill>
                <a:latin typeface="Arial Narrow"/>
              </a:rPr>
              <a:t>HIDROGRAMA DE PRECIPITACION  MAXIMA 24 HORAS</a:t>
            </a:r>
          </a:p>
          <a:p>
            <a:pPr>
              <a:defRPr sz="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000" b="1" i="0" u="none" strike="noStrike" baseline="0">
                <a:solidFill>
                  <a:srgbClr val="000000"/>
                </a:solidFill>
                <a:latin typeface="Arial Narrow"/>
              </a:rPr>
              <a:t>ESTACION  CO-TARAPOTO</a:t>
            </a:r>
            <a:endParaRPr lang="es-PE" sz="800" b="0" i="0" u="none" strike="noStrike" baseline="0">
              <a:solidFill>
                <a:srgbClr val="000000"/>
              </a:solidFill>
              <a:latin typeface="Arial Narrow"/>
            </a:endParaRPr>
          </a:p>
        </c:rich>
      </c:tx>
      <c:layout>
        <c:manualLayout>
          <c:xMode val="edge"/>
          <c:yMode val="edge"/>
          <c:x val="0.3384753411915386"/>
          <c:y val="5.15826639036819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7347192341905842E-2"/>
          <c:y val="0.17976109553642713"/>
          <c:w val="0.91457764157874633"/>
          <c:h val="0.70344289009454208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 rot="5400000" vert="horz" wrap="square" lIns="38100" tIns="19050" rIns="38100" bIns="19050" anchor="ctr">
                <a:spAutoFit/>
              </a:bodyPr>
              <a:lstStyle/>
              <a:p>
                <a:pPr algn="ctr">
                  <a:defRPr sz="7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s-P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'A. Estación'!$B$18:$B$43</c:f>
              <c:numCache>
                <c:formatCode>General</c:formatCod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numCache>
            </c:numRef>
          </c:cat>
          <c:val>
            <c:numRef>
              <c:f>'A. Estación'!$O$18:$O$43</c:f>
              <c:numCache>
                <c:formatCode>0.00</c:formatCode>
                <c:ptCount val="26"/>
                <c:pt idx="0">
                  <c:v>79.3</c:v>
                </c:pt>
                <c:pt idx="1">
                  <c:v>82.5</c:v>
                </c:pt>
                <c:pt idx="2">
                  <c:v>75.900000000000006</c:v>
                </c:pt>
                <c:pt idx="3">
                  <c:v>43.6</c:v>
                </c:pt>
                <c:pt idx="4">
                  <c:v>84.5</c:v>
                </c:pt>
                <c:pt idx="5">
                  <c:v>64.2</c:v>
                </c:pt>
                <c:pt idx="6">
                  <c:v>71</c:v>
                </c:pt>
                <c:pt idx="7">
                  <c:v>113.3</c:v>
                </c:pt>
                <c:pt idx="8">
                  <c:v>63.5</c:v>
                </c:pt>
                <c:pt idx="9">
                  <c:v>91</c:v>
                </c:pt>
                <c:pt idx="10">
                  <c:v>49</c:v>
                </c:pt>
                <c:pt idx="11">
                  <c:v>98.4</c:v>
                </c:pt>
                <c:pt idx="12">
                  <c:v>65.2</c:v>
                </c:pt>
                <c:pt idx="13">
                  <c:v>100.5</c:v>
                </c:pt>
                <c:pt idx="14">
                  <c:v>71.7</c:v>
                </c:pt>
                <c:pt idx="15">
                  <c:v>89.5</c:v>
                </c:pt>
                <c:pt idx="16">
                  <c:v>64.2</c:v>
                </c:pt>
                <c:pt idx="17">
                  <c:v>50</c:v>
                </c:pt>
                <c:pt idx="18">
                  <c:v>73.599999999999994</c:v>
                </c:pt>
                <c:pt idx="19">
                  <c:v>69.599999999999994</c:v>
                </c:pt>
                <c:pt idx="20">
                  <c:v>86.9</c:v>
                </c:pt>
                <c:pt idx="21">
                  <c:v>152.5</c:v>
                </c:pt>
                <c:pt idx="22">
                  <c:v>73.5</c:v>
                </c:pt>
                <c:pt idx="23">
                  <c:v>85.2</c:v>
                </c:pt>
                <c:pt idx="24">
                  <c:v>92.4</c:v>
                </c:pt>
                <c:pt idx="25">
                  <c:v>72.2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F-4F52-86F6-817AFB35A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049487"/>
        <c:axId val="1"/>
      </c:barChart>
      <c:catAx>
        <c:axId val="196049487"/>
        <c:scaling>
          <c:orientation val="minMax"/>
        </c:scaling>
        <c:delete val="0"/>
        <c:axPos val="b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AÑO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tickLblSkip val="4"/>
        <c:tickMarkSkip val="1"/>
        <c:noMultiLvlLbl val="0"/>
      </c:catAx>
      <c:valAx>
        <c:axId val="1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969696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P MÁX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>
            <a:solidFill>
              <a:srgbClr val="000000"/>
            </a:solidFill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s-PE"/>
          </a:p>
        </c:txPr>
        <c:crossAx val="196049487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 alignWithMargins="0"/>
    <c:pageMargins b="1" l="0.75000000000000022" r="0.75000000000000022" t="1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Variacion de la precipitacion máxima Distribución Normal</a:t>
            </a:r>
          </a:p>
        </c:rich>
      </c:tx>
      <c:layout>
        <c:manualLayout>
          <c:xMode val="edge"/>
          <c:yMode val="edge"/>
          <c:x val="1.6765767637112949E-3"/>
          <c:y val="0.12150697777438985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5"/>
          <c:y val="0.20183558605976393"/>
          <c:w val="0.86000104980596903"/>
          <c:h val="0.56617519685039375"/>
        </c:manualLayout>
      </c:layout>
      <c:lineChart>
        <c:grouping val="standard"/>
        <c:varyColors val="0"/>
        <c:ser>
          <c:idx val="0"/>
          <c:order val="0"/>
          <c:tx>
            <c:v>Precipitación máxima 24 horas</c:v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'B.Modelo Distribución'!$F$11:$F$19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cat>
          <c:val>
            <c:numRef>
              <c:f>'B.Modelo Distribución'!$J$11:$J$19</c:f>
              <c:numCache>
                <c:formatCode>0.0</c:formatCode>
                <c:ptCount val="9"/>
                <c:pt idx="0">
                  <c:v>79.353843924806228</c:v>
                </c:pt>
                <c:pt idx="1">
                  <c:v>97.923318143375923</c:v>
                </c:pt>
                <c:pt idx="2">
                  <c:v>107.63934884360201</c:v>
                </c:pt>
                <c:pt idx="3">
                  <c:v>115.66077332491227</c:v>
                </c:pt>
                <c:pt idx="4">
                  <c:v>117.99702996256144</c:v>
                </c:pt>
                <c:pt idx="5">
                  <c:v>124.68618075020755</c:v>
                </c:pt>
                <c:pt idx="6">
                  <c:v>130.70191215352008</c:v>
                </c:pt>
                <c:pt idx="7">
                  <c:v>136.20685209416649</c:v>
                </c:pt>
                <c:pt idx="8">
                  <c:v>142.87742073227903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A-4035-B9B5-21BB0B154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62303"/>
        <c:axId val="1"/>
      </c:lineChart>
      <c:catAx>
        <c:axId val="1960623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s-PE"/>
          </a:p>
        </c:txPr>
        <c:crossAx val="19606230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3225593467483233"/>
          <c:y val="0.87035482160739874"/>
          <c:w val="0.56806579177602801"/>
          <c:h val="9.2272468435211197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Arial Narrow" panose="020B0606020202030204" pitchFamily="34" charset="0"/>
          <a:ea typeface="Calibri"/>
          <a:cs typeface="Calibri"/>
        </a:defRPr>
      </a:pPr>
      <a:endParaRPr lang="es-PE"/>
    </a:p>
  </c:txPr>
  <c:printSettings>
    <c:headerFooter/>
    <c:pageMargins b="1" l="0.75" r="0.75" t="1" header="0" footer="0"/>
    <c:pageSetup paperSize="9"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/>
              <a:t>Variacion de la precipitacion máxima Distribución Log Normal</a:t>
            </a:r>
          </a:p>
        </c:rich>
      </c:tx>
      <c:layout>
        <c:manualLayout>
          <c:xMode val="edge"/>
          <c:yMode val="edge"/>
          <c:x val="0.2060488533823783"/>
          <c:y val="4.84426067344597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5"/>
          <c:y val="0.20183558605976393"/>
          <c:w val="0.86000104980596903"/>
          <c:h val="0.56617519685039375"/>
        </c:manualLayout>
      </c:layout>
      <c:lineChart>
        <c:grouping val="standard"/>
        <c:varyColors val="0"/>
        <c:ser>
          <c:idx val="0"/>
          <c:order val="0"/>
          <c:tx>
            <c:v>Precipitación máxima 24 horas</c:v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'B.Modelo Distribución'!$C$59:$C$67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cat>
          <c:val>
            <c:numRef>
              <c:f>'B.Modelo Distribución'!$H$59:$H$67</c:f>
              <c:numCache>
                <c:formatCode>0.0</c:formatCode>
                <c:ptCount val="9"/>
                <c:pt idx="0">
                  <c:v>76.690732607764517</c:v>
                </c:pt>
                <c:pt idx="1">
                  <c:v>95.785384604308092</c:v>
                </c:pt>
                <c:pt idx="2">
                  <c:v>107.60192491262981</c:v>
                </c:pt>
                <c:pt idx="3">
                  <c:v>118.44843556710663</c:v>
                </c:pt>
                <c:pt idx="4">
                  <c:v>121.8084022033932</c:v>
                </c:pt>
                <c:pt idx="5">
                  <c:v>131.96509162994809</c:v>
                </c:pt>
                <c:pt idx="6">
                  <c:v>141.82058677652495</c:v>
                </c:pt>
                <c:pt idx="7">
                  <c:v>151.48286540144682</c:v>
                </c:pt>
                <c:pt idx="8">
                  <c:v>164.07737767641453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D9-46F8-A23B-4BBBFD6D5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62783"/>
        <c:axId val="1"/>
      </c:lineChart>
      <c:catAx>
        <c:axId val="1960627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9606278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2012368526926834"/>
          <c:y val="0.86937601392790731"/>
          <c:w val="0.5656159549399391"/>
          <c:h val="8.7942468246745564E-2"/>
        </c:manualLayout>
      </c:layout>
      <c:overlay val="0"/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1" l="0.75" r="0.75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/>
              <a:t>Variacion de la precipitacion máxima Distribución Log Pearson III</a:t>
            </a:r>
          </a:p>
        </c:rich>
      </c:tx>
      <c:layout>
        <c:manualLayout>
          <c:xMode val="edge"/>
          <c:yMode val="edge"/>
          <c:x val="0.2030591003710743"/>
          <c:y val="4.844267284544544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5"/>
          <c:y val="0.20183558605976393"/>
          <c:w val="0.86000104980596903"/>
          <c:h val="0.56617519685039375"/>
        </c:manualLayout>
      </c:layout>
      <c:lineChart>
        <c:grouping val="standard"/>
        <c:varyColors val="0"/>
        <c:ser>
          <c:idx val="0"/>
          <c:order val="0"/>
          <c:tx>
            <c:v>Precipitación máxima 24 horas</c:v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'B.Modelo Distribución'!$L$11:$L$19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cat>
          <c:val>
            <c:numRef>
              <c:f>'B.Modelo Distribución'!$R$11:$R$19</c:f>
              <c:numCache>
                <c:formatCode>0.0</c:formatCode>
                <c:ptCount val="9"/>
                <c:pt idx="0">
                  <c:v>76.164875519647666</c:v>
                </c:pt>
                <c:pt idx="1">
                  <c:v>95.567723974641808</c:v>
                </c:pt>
                <c:pt idx="2">
                  <c:v>108.04282342020164</c:v>
                </c:pt>
                <c:pt idx="3">
                  <c:v>119.80877519305307</c:v>
                </c:pt>
                <c:pt idx="4">
                  <c:v>123.51458204316748</c:v>
                </c:pt>
                <c:pt idx="5">
                  <c:v>134.89166232060634</c:v>
                </c:pt>
                <c:pt idx="6">
                  <c:v>146.18185524411615</c:v>
                </c:pt>
                <c:pt idx="7">
                  <c:v>157.48908215119906</c:v>
                </c:pt>
                <c:pt idx="8">
                  <c:v>172.58013813472925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1-4BB3-AD5F-5686D2987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766111"/>
        <c:axId val="1"/>
      </c:lineChart>
      <c:catAx>
        <c:axId val="1037661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03766111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92663848053476"/>
          <c:y val="0.87003043572171934"/>
          <c:w val="0.56594391218339091"/>
          <c:h val="9.2502994482298151E-2"/>
        </c:manualLayout>
      </c:layout>
      <c:overlay val="0"/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0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1" l="0.75" r="0.75" t="1" header="0" footer="0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/>
              <a:t>Variacion de la precipitacion máxima Extrema Tipo I - Gumbel</a:t>
            </a:r>
          </a:p>
        </c:rich>
      </c:tx>
      <c:layout>
        <c:manualLayout>
          <c:xMode val="edge"/>
          <c:yMode val="edge"/>
          <c:x val="0.12645484292437015"/>
          <c:y val="6.12910460495843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50012512222305"/>
          <c:y val="0.20183558605976393"/>
          <c:w val="0.86000104980596903"/>
          <c:h val="0.56617519685039375"/>
        </c:manualLayout>
      </c:layout>
      <c:lineChart>
        <c:grouping val="standard"/>
        <c:varyColors val="0"/>
        <c:ser>
          <c:idx val="0"/>
          <c:order val="0"/>
          <c:tx>
            <c:v>Precipitación máxima 24 horas</c:v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'B.Modelo Distribución'!$C$47:$C$55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cat>
          <c:val>
            <c:numRef>
              <c:f>'B.Modelo Distribución'!$E$47:$E$55</c:f>
              <c:numCache>
                <c:formatCode>0.0</c:formatCode>
                <c:ptCount val="9"/>
                <c:pt idx="0">
                  <c:v>75.728650683290738</c:v>
                </c:pt>
                <c:pt idx="1">
                  <c:v>95.231007818131175</c:v>
                </c:pt>
                <c:pt idx="2">
                  <c:v>108.14326519748275</c:v>
                </c:pt>
                <c:pt idx="3">
                  <c:v>120.52901248031689</c:v>
                </c:pt>
                <c:pt idx="4">
                  <c:v>124.45793662602418</c:v>
                </c:pt>
                <c:pt idx="5">
                  <c:v>136.56109187961601</c:v>
                </c:pt>
                <c:pt idx="6">
                  <c:v>148.57487933465774</c:v>
                </c:pt>
                <c:pt idx="7">
                  <c:v>160.54483049731795</c:v>
                </c:pt>
                <c:pt idx="8">
                  <c:v>176.33690814505781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6E-4A4E-86C5-EFBC30BF3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916863"/>
        <c:axId val="1"/>
      </c:lineChart>
      <c:catAx>
        <c:axId val="201916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201916863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84818527639992"/>
          <c:y val="0.87035469637502738"/>
          <c:w val="0.56893267196226016"/>
          <c:h val="9.2272250798371536E-2"/>
        </c:manualLayout>
      </c:layout>
      <c:overlay val="0"/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1" l="0.75" r="0.75" t="1" header="0" footer="0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000" b="1" i="0" u="sng" strike="noStrike" baseline="0">
                <a:solidFill>
                  <a:srgbClr val="000000"/>
                </a:solidFill>
                <a:latin typeface="Arial"/>
                <a:cs typeface="Arial"/>
              </a:rPr>
              <a:t>Comparación de Distribuciones</a:t>
            </a: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PE" sz="1000" b="1" i="0" u="sng" strike="noStrike" baseline="0">
                <a:solidFill>
                  <a:srgbClr val="000000"/>
                </a:solidFill>
                <a:latin typeface="Arial"/>
                <a:cs typeface="Arial"/>
              </a:rPr>
              <a:t>Estación CO TARAPOTO</a:t>
            </a:r>
            <a:endParaRPr lang="es-PE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 sz="12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2443524632770537"/>
          <c:y val="2.81101102362204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787429807509085E-2"/>
          <c:y val="1.7985487904650106E-2"/>
          <c:w val="0.87626861636011266"/>
          <c:h val="0.68705035971222983"/>
        </c:manualLayout>
      </c:layout>
      <c:scatterChart>
        <c:scatterStyle val="smoothMarker"/>
        <c:varyColors val="0"/>
        <c:ser>
          <c:idx val="0"/>
          <c:order val="0"/>
          <c:tx>
            <c:v>Normal</c:v>
          </c:tx>
          <c:spPr>
            <a:ln w="25400">
              <a:solidFill>
                <a:srgbClr val="000080"/>
              </a:solidFill>
              <a:prstDash val="lgDashDotDot"/>
            </a:ln>
          </c:spPr>
          <c:marker>
            <c:symbol val="none"/>
          </c:marker>
          <c:xVal>
            <c:numRef>
              <c:f>D.Resumen!$G$10:$G$18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xVal>
          <c:yVal>
            <c:numRef>
              <c:f>D.Resumen!$H$10:$H$18</c:f>
              <c:numCache>
                <c:formatCode>0.00</c:formatCode>
                <c:ptCount val="9"/>
                <c:pt idx="0">
                  <c:v>79.353843924806228</c:v>
                </c:pt>
                <c:pt idx="1">
                  <c:v>97.923318143375923</c:v>
                </c:pt>
                <c:pt idx="2">
                  <c:v>107.63934884360201</c:v>
                </c:pt>
                <c:pt idx="3">
                  <c:v>115.66077332491227</c:v>
                </c:pt>
                <c:pt idx="4">
                  <c:v>117.99702996256144</c:v>
                </c:pt>
                <c:pt idx="5">
                  <c:v>124.68618075020755</c:v>
                </c:pt>
                <c:pt idx="6">
                  <c:v>130.70191215352008</c:v>
                </c:pt>
                <c:pt idx="7">
                  <c:v>136.20685209416649</c:v>
                </c:pt>
                <c:pt idx="8">
                  <c:v>142.87742073227903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56-43A7-9D83-55A17291B83A}"/>
            </c:ext>
          </c:extLst>
        </c:ser>
        <c:ser>
          <c:idx val="1"/>
          <c:order val="1"/>
          <c:tx>
            <c:v>Log Normal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xVal>
            <c:numRef>
              <c:f>D.Resumen!$G$10:$G$18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xVal>
          <c:yVal>
            <c:numRef>
              <c:f>D.Resumen!$I$10:$I$18</c:f>
              <c:numCache>
                <c:formatCode>0.00</c:formatCode>
                <c:ptCount val="9"/>
                <c:pt idx="0">
                  <c:v>76.690732607764517</c:v>
                </c:pt>
                <c:pt idx="1">
                  <c:v>95.785384604308092</c:v>
                </c:pt>
                <c:pt idx="2">
                  <c:v>107.60192491262981</c:v>
                </c:pt>
                <c:pt idx="3">
                  <c:v>118.44843556710663</c:v>
                </c:pt>
                <c:pt idx="4">
                  <c:v>121.8084022033932</c:v>
                </c:pt>
                <c:pt idx="5">
                  <c:v>131.96509162994809</c:v>
                </c:pt>
                <c:pt idx="6">
                  <c:v>141.82058677652495</c:v>
                </c:pt>
                <c:pt idx="7">
                  <c:v>151.48286540144682</c:v>
                </c:pt>
                <c:pt idx="8">
                  <c:v>164.07737767641453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F56-43A7-9D83-55A17291B83A}"/>
            </c:ext>
          </c:extLst>
        </c:ser>
        <c:ser>
          <c:idx val="2"/>
          <c:order val="2"/>
          <c:tx>
            <c:v>Log Person III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D.Resumen!$G$10:$G$18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xVal>
          <c:yVal>
            <c:numRef>
              <c:f>D.Resumen!$J$10:$J$18</c:f>
              <c:numCache>
                <c:formatCode>0.00</c:formatCode>
                <c:ptCount val="9"/>
                <c:pt idx="0">
                  <c:v>76.164875519647666</c:v>
                </c:pt>
                <c:pt idx="1">
                  <c:v>95.567723974641808</c:v>
                </c:pt>
                <c:pt idx="2">
                  <c:v>108.04282342020164</c:v>
                </c:pt>
                <c:pt idx="3">
                  <c:v>119.80877519305307</c:v>
                </c:pt>
                <c:pt idx="4">
                  <c:v>123.51458204316748</c:v>
                </c:pt>
                <c:pt idx="5">
                  <c:v>134.89166232060634</c:v>
                </c:pt>
                <c:pt idx="6">
                  <c:v>146.18185524411615</c:v>
                </c:pt>
                <c:pt idx="7">
                  <c:v>157.48908215119906</c:v>
                </c:pt>
                <c:pt idx="8">
                  <c:v>172.58013813472925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F56-43A7-9D83-55A17291B83A}"/>
            </c:ext>
          </c:extLst>
        </c:ser>
        <c:ser>
          <c:idx val="3"/>
          <c:order val="3"/>
          <c:tx>
            <c:v>Gumbel</c:v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xVal>
            <c:numRef>
              <c:f>D.Resumen!$G$10:$G$18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  <c:pt idx="7">
                  <c:v>200</c:v>
                </c:pt>
                <c:pt idx="8">
                  <c:v>500</c:v>
                </c:pt>
              </c:numCache>
            </c:numRef>
          </c:xVal>
          <c:yVal>
            <c:numRef>
              <c:f>D.Resumen!$K$10:$K$18</c:f>
              <c:numCache>
                <c:formatCode>0.00</c:formatCode>
                <c:ptCount val="9"/>
                <c:pt idx="0">
                  <c:v>75.728650683290738</c:v>
                </c:pt>
                <c:pt idx="1">
                  <c:v>95.231007818131175</c:v>
                </c:pt>
                <c:pt idx="2">
                  <c:v>108.14326519748275</c:v>
                </c:pt>
                <c:pt idx="3">
                  <c:v>120.52901248031689</c:v>
                </c:pt>
                <c:pt idx="4">
                  <c:v>124.45793662602418</c:v>
                </c:pt>
                <c:pt idx="5">
                  <c:v>136.56109187961601</c:v>
                </c:pt>
                <c:pt idx="6">
                  <c:v>148.57487933465774</c:v>
                </c:pt>
                <c:pt idx="7">
                  <c:v>160.54483049731795</c:v>
                </c:pt>
                <c:pt idx="8">
                  <c:v>176.33690814505781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F56-43A7-9D83-55A17291B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099727"/>
        <c:axId val="1"/>
      </c:scatterChart>
      <c:valAx>
        <c:axId val="189099727"/>
        <c:scaling>
          <c:logBase val="10"/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Periodo de Retorno (Años)</a:t>
                </a:r>
              </a:p>
            </c:rich>
          </c:tx>
          <c:layout>
            <c:manualLayout>
              <c:xMode val="edge"/>
              <c:yMode val="edge"/>
              <c:x val="0.40902989815759583"/>
              <c:y val="0.776593889763779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PE"/>
                  <a:t>Precipitación máxima 24 horas (mm)
</a:t>
                </a:r>
              </a:p>
            </c:rich>
          </c:tx>
          <c:layout>
            <c:manualLayout>
              <c:xMode val="edge"/>
              <c:yMode val="edge"/>
              <c:x val="2.2558060438044266E-3"/>
              <c:y val="0.1341404724409448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18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89099727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6830050889115636E-2"/>
          <c:y val="0.87842746456692911"/>
          <c:w val="0.94962298416854363"/>
          <c:h val="8.1602519685039399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PE"/>
    </a:p>
  </c:txPr>
  <c:printSettings>
    <c:headerFooter/>
    <c:pageMargins b="1" l="0.75000000000000022" r="0.75000000000000022" t="1" header="0" footer="0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s-PE"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Gráfico N° 04 : Curva Intensidad - Duracion - Frecuencia</a:t>
            </a:r>
          </a:p>
        </c:rich>
      </c:tx>
      <c:layout>
        <c:manualLayout>
          <c:xMode val="edge"/>
          <c:yMode val="edge"/>
          <c:x val="0.2609775796658958"/>
          <c:y val="3.29834122847320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09789372658694"/>
          <c:y val="0.14752700645527903"/>
          <c:w val="0.80088495575221241"/>
          <c:h val="0.66861725720573151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'B. Int.maxima'!$K$31</c:f>
              <c:strCache>
                <c:ptCount val="1"/>
                <c:pt idx="0">
                  <c:v>2 años</c:v>
                </c:pt>
              </c:strCache>
            </c:strRef>
          </c:tx>
          <c:spPr>
            <a:ln w="12700"/>
          </c:spPr>
          <c:marker>
            <c:symbol val="x"/>
            <c:size val="3"/>
          </c:marker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Int.maxima'!$C$18:$C$29</c:f>
              <c:numCache>
                <c:formatCode>#,##0.00</c:formatCode>
                <c:ptCount val="12"/>
                <c:pt idx="0">
                  <c:v>54.45</c:v>
                </c:pt>
                <c:pt idx="1">
                  <c:v>37.78</c:v>
                </c:pt>
                <c:pt idx="2">
                  <c:v>30.51</c:v>
                </c:pt>
                <c:pt idx="3">
                  <c:v>26.22</c:v>
                </c:pt>
                <c:pt idx="4">
                  <c:v>23.31</c:v>
                </c:pt>
                <c:pt idx="5">
                  <c:v>21.17</c:v>
                </c:pt>
                <c:pt idx="6">
                  <c:v>19.52</c:v>
                </c:pt>
                <c:pt idx="7">
                  <c:v>18.190000000000001</c:v>
                </c:pt>
                <c:pt idx="8">
                  <c:v>17.100000000000001</c:v>
                </c:pt>
                <c:pt idx="9">
                  <c:v>16.18</c:v>
                </c:pt>
                <c:pt idx="10">
                  <c:v>15.38</c:v>
                </c:pt>
                <c:pt idx="11">
                  <c:v>14.69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53-4F8C-98CD-01BE9261BA9F}"/>
            </c:ext>
          </c:extLst>
        </c:ser>
        <c:ser>
          <c:idx val="4"/>
          <c:order val="1"/>
          <c:tx>
            <c:strRef>
              <c:f>'B. Int.maxima'!$L$31</c:f>
              <c:strCache>
                <c:ptCount val="1"/>
                <c:pt idx="0">
                  <c:v>5 años</c:v>
                </c:pt>
              </c:strCache>
            </c:strRef>
          </c:tx>
          <c:spPr>
            <a:ln w="12700"/>
          </c:spPr>
          <c:marker>
            <c:symbol val="star"/>
            <c:size val="3"/>
          </c:marker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Int.maxima'!$D$18:$D$29</c:f>
              <c:numCache>
                <c:formatCode>#,##0.00</c:formatCode>
                <c:ptCount val="12"/>
                <c:pt idx="0">
                  <c:v>64.13</c:v>
                </c:pt>
                <c:pt idx="1">
                  <c:v>44.5</c:v>
                </c:pt>
                <c:pt idx="2">
                  <c:v>35.94</c:v>
                </c:pt>
                <c:pt idx="3">
                  <c:v>30.88</c:v>
                </c:pt>
                <c:pt idx="4">
                  <c:v>27.45</c:v>
                </c:pt>
                <c:pt idx="5">
                  <c:v>24.94</c:v>
                </c:pt>
                <c:pt idx="6">
                  <c:v>22.99</c:v>
                </c:pt>
                <c:pt idx="7">
                  <c:v>21.43</c:v>
                </c:pt>
                <c:pt idx="8">
                  <c:v>20.14</c:v>
                </c:pt>
                <c:pt idx="9">
                  <c:v>19.05</c:v>
                </c:pt>
                <c:pt idx="10">
                  <c:v>18.12</c:v>
                </c:pt>
                <c:pt idx="11">
                  <c:v>17.309999999999999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53-4F8C-98CD-01BE9261BA9F}"/>
            </c:ext>
          </c:extLst>
        </c:ser>
        <c:ser>
          <c:idx val="5"/>
          <c:order val="2"/>
          <c:tx>
            <c:strRef>
              <c:f>'B. Int.maxima'!$M$31</c:f>
              <c:strCache>
                <c:ptCount val="1"/>
                <c:pt idx="0">
                  <c:v>10 años</c:v>
                </c:pt>
              </c:strCache>
            </c:strRef>
          </c:tx>
          <c:spPr>
            <a:ln w="12700"/>
          </c:spPr>
          <c:marker>
            <c:symbol val="circle"/>
            <c:size val="3"/>
          </c:marker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Int.maxima'!$E$18:$E$29</c:f>
              <c:numCache>
                <c:formatCode>#,##0.00</c:formatCode>
                <c:ptCount val="12"/>
                <c:pt idx="0">
                  <c:v>72.58</c:v>
                </c:pt>
                <c:pt idx="1">
                  <c:v>50.36</c:v>
                </c:pt>
                <c:pt idx="2">
                  <c:v>40.67</c:v>
                </c:pt>
                <c:pt idx="3">
                  <c:v>34.950000000000003</c:v>
                </c:pt>
                <c:pt idx="4">
                  <c:v>31.07</c:v>
                </c:pt>
                <c:pt idx="5">
                  <c:v>28.22</c:v>
                </c:pt>
                <c:pt idx="6">
                  <c:v>26.02</c:v>
                </c:pt>
                <c:pt idx="7">
                  <c:v>24.25</c:v>
                </c:pt>
                <c:pt idx="8">
                  <c:v>22.79</c:v>
                </c:pt>
                <c:pt idx="9">
                  <c:v>21.56</c:v>
                </c:pt>
                <c:pt idx="10">
                  <c:v>20.51</c:v>
                </c:pt>
                <c:pt idx="11">
                  <c:v>19.59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53-4F8C-98CD-01BE9261BA9F}"/>
            </c:ext>
          </c:extLst>
        </c:ser>
        <c:ser>
          <c:idx val="0"/>
          <c:order val="3"/>
          <c:tx>
            <c:strRef>
              <c:f>'B. Int.maxima'!$N$31</c:f>
              <c:strCache>
                <c:ptCount val="1"/>
                <c:pt idx="0">
                  <c:v>20 años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Int.maxima'!$F$18:$F$29</c:f>
              <c:numCache>
                <c:formatCode>#,##0.00</c:formatCode>
                <c:ptCount val="12"/>
                <c:pt idx="0">
                  <c:v>82.14</c:v>
                </c:pt>
                <c:pt idx="1">
                  <c:v>57</c:v>
                </c:pt>
                <c:pt idx="2">
                  <c:v>46.03</c:v>
                </c:pt>
                <c:pt idx="3">
                  <c:v>39.549999999999997</c:v>
                </c:pt>
                <c:pt idx="4">
                  <c:v>35.17</c:v>
                </c:pt>
                <c:pt idx="5">
                  <c:v>31.94</c:v>
                </c:pt>
                <c:pt idx="6">
                  <c:v>29.45</c:v>
                </c:pt>
                <c:pt idx="7">
                  <c:v>27.45</c:v>
                </c:pt>
                <c:pt idx="8">
                  <c:v>25.8</c:v>
                </c:pt>
                <c:pt idx="9">
                  <c:v>24.4</c:v>
                </c:pt>
                <c:pt idx="10">
                  <c:v>23.21</c:v>
                </c:pt>
                <c:pt idx="11">
                  <c:v>22.17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153-4F8C-98CD-01BE9261BA9F}"/>
            </c:ext>
          </c:extLst>
        </c:ser>
        <c:ser>
          <c:idx val="6"/>
          <c:order val="4"/>
          <c:tx>
            <c:v>25 años</c:v>
          </c:tx>
          <c:spPr>
            <a:ln w="12700"/>
          </c:spPr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Int.maxima'!$G$18:$G$29</c:f>
              <c:numCache>
                <c:formatCode>#,##0.00</c:formatCode>
                <c:ptCount val="12"/>
                <c:pt idx="0">
                  <c:v>85.48</c:v>
                </c:pt>
                <c:pt idx="1">
                  <c:v>59.32</c:v>
                </c:pt>
                <c:pt idx="2">
                  <c:v>47.9</c:v>
                </c:pt>
                <c:pt idx="3">
                  <c:v>41.16</c:v>
                </c:pt>
                <c:pt idx="4">
                  <c:v>36.590000000000003</c:v>
                </c:pt>
                <c:pt idx="5">
                  <c:v>33.24</c:v>
                </c:pt>
                <c:pt idx="6">
                  <c:v>30.65</c:v>
                </c:pt>
                <c:pt idx="7">
                  <c:v>28.56</c:v>
                </c:pt>
                <c:pt idx="8">
                  <c:v>26.84</c:v>
                </c:pt>
                <c:pt idx="9">
                  <c:v>25.39</c:v>
                </c:pt>
                <c:pt idx="10">
                  <c:v>24.15</c:v>
                </c:pt>
                <c:pt idx="11">
                  <c:v>23.07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24-4A2E-B50F-C3EF3770B0DC}"/>
            </c:ext>
          </c:extLst>
        </c:ser>
        <c:ser>
          <c:idx val="1"/>
          <c:order val="5"/>
          <c:tx>
            <c:strRef>
              <c:f>'B. Int.maxima'!$O$31</c:f>
              <c:strCache>
                <c:ptCount val="1"/>
                <c:pt idx="0">
                  <c:v>50 años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Int.maxima'!$H$18:$H$29</c:f>
              <c:numCache>
                <c:formatCode>#,##0.00</c:formatCode>
                <c:ptCount val="12"/>
                <c:pt idx="0">
                  <c:v>96.74</c:v>
                </c:pt>
                <c:pt idx="1">
                  <c:v>67.13</c:v>
                </c:pt>
                <c:pt idx="2">
                  <c:v>54.21</c:v>
                </c:pt>
                <c:pt idx="3">
                  <c:v>46.59</c:v>
                </c:pt>
                <c:pt idx="4">
                  <c:v>41.42</c:v>
                </c:pt>
                <c:pt idx="5">
                  <c:v>37.619999999999997</c:v>
                </c:pt>
                <c:pt idx="6">
                  <c:v>34.69</c:v>
                </c:pt>
                <c:pt idx="7">
                  <c:v>32.33</c:v>
                </c:pt>
                <c:pt idx="8">
                  <c:v>30.38</c:v>
                </c:pt>
                <c:pt idx="9">
                  <c:v>28.74</c:v>
                </c:pt>
                <c:pt idx="10">
                  <c:v>27.33</c:v>
                </c:pt>
                <c:pt idx="11">
                  <c:v>26.11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153-4F8C-98CD-01BE9261BA9F}"/>
            </c:ext>
          </c:extLst>
        </c:ser>
        <c:ser>
          <c:idx val="2"/>
          <c:order val="6"/>
          <c:tx>
            <c:strRef>
              <c:f>'B. Int.maxima'!$P$31</c:f>
              <c:strCache>
                <c:ptCount val="1"/>
                <c:pt idx="0">
                  <c:v>100 años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</c:spPr>
          </c:marker>
          <c:xVal>
            <c:numRef>
              <c:f>'B. Int.maxima'!$B$18:$B$29</c:f>
              <c:numCache>
                <c:formatCode>General</c:formatCode>
                <c:ptCount val="12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</c:numCache>
            </c:numRef>
          </c:xVal>
          <c:yVal>
            <c:numRef>
              <c:f>'B. Int.maxima'!$I$18:$I$29</c:f>
              <c:numCache>
                <c:formatCode>#,##0.00</c:formatCode>
                <c:ptCount val="12"/>
                <c:pt idx="0">
                  <c:v>109.49</c:v>
                </c:pt>
                <c:pt idx="1">
                  <c:v>75.98</c:v>
                </c:pt>
                <c:pt idx="2">
                  <c:v>61.36</c:v>
                </c:pt>
                <c:pt idx="3">
                  <c:v>52.72</c:v>
                </c:pt>
                <c:pt idx="4">
                  <c:v>46.87</c:v>
                </c:pt>
                <c:pt idx="5">
                  <c:v>42.58</c:v>
                </c:pt>
                <c:pt idx="6">
                  <c:v>39.26</c:v>
                </c:pt>
                <c:pt idx="7">
                  <c:v>36.590000000000003</c:v>
                </c:pt>
                <c:pt idx="8">
                  <c:v>34.39</c:v>
                </c:pt>
                <c:pt idx="9">
                  <c:v>32.53</c:v>
                </c:pt>
                <c:pt idx="10">
                  <c:v>30.93</c:v>
                </c:pt>
                <c:pt idx="11">
                  <c:v>29.55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153-4F8C-98CD-01BE9261B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990800"/>
        <c:axId val="1"/>
      </c:scatterChart>
      <c:valAx>
        <c:axId val="1738990800"/>
        <c:scaling>
          <c:orientation val="minMax"/>
          <c:max val="12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Duración (minutos)</a:t>
                </a:r>
              </a:p>
            </c:rich>
          </c:tx>
          <c:layout>
            <c:manualLayout>
              <c:xMode val="edge"/>
              <c:yMode val="edge"/>
              <c:x val="0.43362826541092298"/>
              <c:y val="0.861070676024651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s-PE"/>
          </a:p>
        </c:txPr>
        <c:crossAx val="1"/>
        <c:crossesAt val="0"/>
        <c:crossBetween val="midCat"/>
        <c:majorUnit val="20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Intensidad (mm/hora)</a:t>
                </a:r>
              </a:p>
            </c:rich>
          </c:tx>
          <c:layout>
            <c:manualLayout>
              <c:xMode val="edge"/>
              <c:yMode val="edge"/>
              <c:x val="3.5398277078719197E-2"/>
              <c:y val="0.3898648584419905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s-PE"/>
          </a:p>
        </c:txPr>
        <c:crossAx val="1738990800"/>
        <c:crosses val="autoZero"/>
        <c:crossBetween val="midCat"/>
        <c:majorUnit val="40"/>
        <c:minorUnit val="10"/>
      </c:valAx>
    </c:plotArea>
    <c:legend>
      <c:legendPos val="r"/>
      <c:layout>
        <c:manualLayout>
          <c:xMode val="edge"/>
          <c:yMode val="edge"/>
          <c:x val="0.15977874924315824"/>
          <c:y val="0.91534780653581937"/>
          <c:w val="0.73265451948095761"/>
          <c:h val="5.12551925323955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s-PE"/>
    </a:p>
  </c:txPr>
  <c:printSettings>
    <c:headerFooter alignWithMargins="0"/>
    <c:pageMargins b="1" l="0.75" r="0.75" t="1" header="0" footer="0"/>
    <c:pageSetup paperSize="9"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405020</xdr:colOff>
      <xdr:row>45</xdr:row>
      <xdr:rowOff>3314</xdr:rowOff>
    </xdr:from>
    <xdr:to>
      <xdr:col>14</xdr:col>
      <xdr:colOff>24020</xdr:colOff>
      <xdr:row>70</xdr:row>
      <xdr:rowOff>61844</xdr:rowOff>
    </xdr:to>
    <xdr:graphicFrame macro="">
      <xdr:nvGraphicFramePr>
        <xdr:cNvPr id="15395846" name="Chart 5">
          <a:extLst>
            <a:ext uri="{FF2B5EF4-FFF2-40B4-BE49-F238E27FC236}">
              <a16:creationId xmlns:a16="http://schemas.microsoft.com/office/drawing/2014/main" id="{FFB9DC65-2F7A-4A41-E482-8CE2345F6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388580</xdr:colOff>
      <xdr:row>22</xdr:row>
      <xdr:rowOff>33817</xdr:rowOff>
    </xdr:from>
    <xdr:to>
      <xdr:col>10</xdr:col>
      <xdr:colOff>538994</xdr:colOff>
      <xdr:row>33</xdr:row>
      <xdr:rowOff>20933</xdr:rowOff>
    </xdr:to>
    <xdr:graphicFrame macro="">
      <xdr:nvGraphicFramePr>
        <xdr:cNvPr id="15397912" name="Chart 453">
          <a:extLst>
            <a:ext uri="{FF2B5EF4-FFF2-40B4-BE49-F238E27FC236}">
              <a16:creationId xmlns:a16="http://schemas.microsoft.com/office/drawing/2014/main" id="{E19A82AC-1E97-2661-B00B-B042112FC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289542</xdr:colOff>
      <xdr:row>56</xdr:row>
      <xdr:rowOff>1649</xdr:rowOff>
    </xdr:from>
    <xdr:to>
      <xdr:col>13</xdr:col>
      <xdr:colOff>638132</xdr:colOff>
      <xdr:row>69</xdr:row>
      <xdr:rowOff>30761</xdr:rowOff>
    </xdr:to>
    <xdr:graphicFrame macro="">
      <xdr:nvGraphicFramePr>
        <xdr:cNvPr id="15397913" name="Chart 453">
          <a:extLst>
            <a:ext uri="{FF2B5EF4-FFF2-40B4-BE49-F238E27FC236}">
              <a16:creationId xmlns:a16="http://schemas.microsoft.com/office/drawing/2014/main" id="{AA0A06DC-22A2-60B3-BE61-E61DFBE0E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193793</xdr:colOff>
      <xdr:row>22</xdr:row>
      <xdr:rowOff>36454</xdr:rowOff>
    </xdr:from>
    <xdr:to>
      <xdr:col>16</xdr:col>
      <xdr:colOff>912915</xdr:colOff>
      <xdr:row>33</xdr:row>
      <xdr:rowOff>16427</xdr:rowOff>
    </xdr:to>
    <xdr:graphicFrame macro="">
      <xdr:nvGraphicFramePr>
        <xdr:cNvPr id="15397914" name="Chart 453">
          <a:extLst>
            <a:ext uri="{FF2B5EF4-FFF2-40B4-BE49-F238E27FC236}">
              <a16:creationId xmlns:a16="http://schemas.microsoft.com/office/drawing/2014/main" id="{CB6FD9CC-578A-BD8E-B80E-8290E9C6AC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544286</xdr:colOff>
      <xdr:row>43</xdr:row>
      <xdr:rowOff>87923</xdr:rowOff>
    </xdr:from>
    <xdr:to>
      <xdr:col>11</xdr:col>
      <xdr:colOff>535214</xdr:colOff>
      <xdr:row>55</xdr:row>
      <xdr:rowOff>9071</xdr:rowOff>
    </xdr:to>
    <xdr:graphicFrame macro="">
      <xdr:nvGraphicFramePr>
        <xdr:cNvPr id="15397915" name="Chart 453">
          <a:extLst>
            <a:ext uri="{FF2B5EF4-FFF2-40B4-BE49-F238E27FC236}">
              <a16:creationId xmlns:a16="http://schemas.microsoft.com/office/drawing/2014/main" id="{5716F627-A87A-963A-1D94-95BF4EAAF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106484</xdr:colOff>
      <xdr:row>26</xdr:row>
      <xdr:rowOff>205154</xdr:rowOff>
    </xdr:from>
    <xdr:to>
      <xdr:col>11</xdr:col>
      <xdr:colOff>709734</xdr:colOff>
      <xdr:row>46</xdr:row>
      <xdr:rowOff>46404</xdr:rowOff>
    </xdr:to>
    <xdr:graphicFrame macro="">
      <xdr:nvGraphicFramePr>
        <xdr:cNvPr id="15403014" name="Chart 429">
          <a:extLst>
            <a:ext uri="{FF2B5EF4-FFF2-40B4-BE49-F238E27FC236}">
              <a16:creationId xmlns:a16="http://schemas.microsoft.com/office/drawing/2014/main" id="{5D0EF882-D766-7E34-1D83-1B894ED26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221457</xdr:colOff>
      <xdr:row>0</xdr:row>
      <xdr:rowOff>0</xdr:rowOff>
    </xdr:from>
    <xdr:to>
      <xdr:col>17</xdr:col>
      <xdr:colOff>221457</xdr:colOff>
      <xdr:row>8</xdr:row>
      <xdr:rowOff>184150</xdr:rowOff>
    </xdr:to>
    <xdr:pic>
      <xdr:nvPicPr>
        <xdr:cNvPr id="15405062" name="Imagen 6">
          <a:extLst>
            <a:ext uri="{FF2B5EF4-FFF2-40B4-BE49-F238E27FC236}">
              <a16:creationId xmlns:a16="http://schemas.microsoft.com/office/drawing/2014/main" id="{0D2DFAA0-24A0-7135-984F-37394E9A6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1" y="0"/>
          <a:ext cx="5611812" cy="23510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277211</xdr:colOff>
      <xdr:row>30</xdr:row>
      <xdr:rowOff>16548</xdr:rowOff>
    </xdr:from>
    <xdr:to>
      <xdr:col>8</xdr:col>
      <xdr:colOff>630621</xdr:colOff>
      <xdr:row>57</xdr:row>
      <xdr:rowOff>205954</xdr:rowOff>
    </xdr:to>
    <xdr:graphicFrame macro="">
      <xdr:nvGraphicFramePr>
        <xdr:cNvPr id="15406086" name="Chart 1">
          <a:extLst>
            <a:ext uri="{FF2B5EF4-FFF2-40B4-BE49-F238E27FC236}">
              <a16:creationId xmlns:a16="http://schemas.microsoft.com/office/drawing/2014/main" id="{38679FF5-A4D7-5073-21EC-711981D6B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642383</xdr:colOff>
      <xdr:row>24</xdr:row>
      <xdr:rowOff>0</xdr:rowOff>
    </xdr:from>
    <xdr:to>
      <xdr:col>14</xdr:col>
      <xdr:colOff>112356</xdr:colOff>
      <xdr:row>40</xdr:row>
      <xdr:rowOff>66899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C1C2D4-3C70-4A56-86D4-D0E40D6E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37736" y="6899791"/>
          <a:ext cx="5842385" cy="3185058"/>
        </a:xfrm>
        <a:prstGeom prst="rect">
          <a:avLst/>
        </a:prstGeom>
      </xdr:spPr>
    </xdr:pic>
    <xdr:clientData/>
  </xdr:twoCellAnchor>
  <xdr:twoCellAnchor>
    <xdr:from>
      <xdr:col>1</xdr:col>
      <xdr:colOff>562875</xdr:colOff>
      <xdr:row>38</xdr:row>
      <xdr:rowOff>2241</xdr:rowOff>
    </xdr:from>
    <xdr:to>
      <xdr:col>7</xdr:col>
      <xdr:colOff>480049</xdr:colOff>
      <xdr:row>39</xdr:row>
      <xdr:rowOff>68157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1359B78-40B3-72A9-1EBA-5065BE37049A}"/>
            </a:ext>
          </a:extLst>
        </xdr:cNvPr>
        <xdr:cNvSpPr/>
      </xdr:nvSpPr>
      <xdr:spPr>
        <a:xfrm>
          <a:off x="1324875" y="9574866"/>
          <a:ext cx="6116362" cy="26435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aj_Cel/INFORMES/INFORME02_21Febrero/B.%20Hidrologia/DicFinal_Andahuaylas/Anexo%20B_Hidrologia/BIF10%20Octubre_hidrologiaA.xls" TargetMode="External"/><Relationship Id="rId1" Type="http://schemas.openxmlformats.org/officeDocument/2006/relationships/externalLinkPath" Target="/Caj_Cel/INFORMES/INFORME02_21Febrero/B.%20Hidrologia/DicFinal_Andahuaylas/Anexo%20B_Hidrologia/BIF10%20Octubre_hidrologia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os"/>
      <sheetName val="N-LN-LP3_VEI"/>
      <sheetName val="Chi2"/>
      <sheetName val="Chi2-LN"/>
      <sheetName val="Kolgomorov"/>
      <sheetName val="No Imp_Dick_50"/>
      <sheetName val="No Imp_Tendencias"/>
      <sheetName val="Grafico Compacion-No Imp"/>
      <sheetName val="Intensidad_No Imp"/>
      <sheetName val="No Imp-INT"/>
      <sheetName val="No Imp_Intensidades"/>
      <sheetName val="No Imp_HUT"/>
      <sheetName val="No Imp_coef-esc"/>
      <sheetName val="NoImp_Param"/>
      <sheetName val="No Imp_Metodo Racional"/>
      <sheetName val="MRac_Pontones"/>
      <sheetName val="No Imp_Predim"/>
      <sheetName val="No Imp_Tiposuelo"/>
      <sheetName val="HU_Quebrada_No Imp"/>
      <sheetName val="HU_ponts-Simp1"/>
      <sheetName val="HU_ponts-Simp2"/>
      <sheetName val="Soc_Pont,100años"/>
      <sheetName val="Socav._Pont,200años"/>
      <sheetName val="Hoja1"/>
      <sheetName val="Hoja2"/>
      <sheetName val="No Imprimir_Chumbao"/>
    </sheetNames>
    <sheetDataSet>
      <sheetData sheetId="0" refreshError="1"/>
      <sheetData sheetId="1" refreshError="1">
        <row r="46">
          <cell r="B46">
            <v>26.29354838709677</v>
          </cell>
          <cell r="C46">
            <v>1.4065973623941588</v>
          </cell>
        </row>
        <row r="47">
          <cell r="B47">
            <v>6.5070185432793046</v>
          </cell>
          <cell r="C47">
            <v>0.11095100580967311</v>
          </cell>
        </row>
        <row r="50">
          <cell r="C50">
            <v>-7.9063831126992404E-2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FBF96-4274-47DB-A624-FEF28D53A6F8}">
  <sheetPr>
    <tabColor rgb="FFFF0000"/>
  </sheetPr>
  <dimension ref="A2:O297"/>
  <sheetViews>
    <sheetView view="pageBreakPreview" topLeftCell="A33" zoomScale="124" zoomScaleNormal="85" zoomScaleSheetLayoutView="124" workbookViewId="0">
      <selection activeCell="C2" sqref="C2:O2"/>
    </sheetView>
  </sheetViews>
  <sheetFormatPr baseColWidth="10" defaultColWidth="11.453125" defaultRowHeight="13" x14ac:dyDescent="0.25"/>
  <cols>
    <col min="1" max="1" width="2" style="1" customWidth="1"/>
    <col min="2" max="2" width="11.453125" style="1"/>
    <col min="3" max="5" width="10" style="1" customWidth="1"/>
    <col min="6" max="6" width="11.7265625" style="1" customWidth="1"/>
    <col min="7" max="7" width="13.453125" style="1" customWidth="1"/>
    <col min="8" max="12" width="10" style="1" customWidth="1"/>
    <col min="13" max="13" width="10.6328125" style="1" customWidth="1"/>
    <col min="14" max="14" width="10" style="1" customWidth="1"/>
    <col min="15" max="15" width="8.81640625" style="1" customWidth="1"/>
    <col min="16" max="16384" width="11.453125" style="1"/>
  </cols>
  <sheetData>
    <row r="2" spans="2:15" ht="50.4" customHeight="1" x14ac:dyDescent="0.25">
      <c r="B2" s="95" t="s">
        <v>91</v>
      </c>
      <c r="C2" s="197" t="s">
        <v>320</v>
      </c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9"/>
    </row>
    <row r="3" spans="2:15" ht="18.75" customHeight="1" x14ac:dyDescent="0.25">
      <c r="B3" s="95" t="s">
        <v>92</v>
      </c>
      <c r="C3" s="197" t="s">
        <v>212</v>
      </c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9"/>
    </row>
    <row r="4" spans="2:15" ht="19.5" customHeight="1" x14ac:dyDescent="0.25">
      <c r="B4" s="95" t="s">
        <v>93</v>
      </c>
      <c r="C4" s="197" t="s">
        <v>279</v>
      </c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9"/>
    </row>
    <row r="5" spans="2:15" ht="19.5" customHeight="1" x14ac:dyDescent="0.25">
      <c r="B5" s="95" t="s">
        <v>94</v>
      </c>
      <c r="C5" s="200" t="s">
        <v>269</v>
      </c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2"/>
    </row>
    <row r="6" spans="2:15" ht="6" customHeight="1" x14ac:dyDescent="0.25"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</row>
    <row r="7" spans="2:15" ht="20.149999999999999" customHeight="1" x14ac:dyDescent="0.25">
      <c r="B7" s="96" t="s">
        <v>137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</row>
    <row r="8" spans="2:15" ht="4.75" customHeight="1" x14ac:dyDescent="0.25">
      <c r="B8" s="43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</row>
    <row r="9" spans="2:15" ht="20.149999999999999" customHeight="1" x14ac:dyDescent="0.25">
      <c r="B9" s="196" t="s">
        <v>276</v>
      </c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</row>
    <row r="10" spans="2:15" ht="3.65" customHeight="1" x14ac:dyDescent="0.25"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70"/>
    </row>
    <row r="11" spans="2:15" ht="15" customHeight="1" x14ac:dyDescent="0.25">
      <c r="B11" s="97" t="s">
        <v>45</v>
      </c>
      <c r="C11" s="143" t="s">
        <v>274</v>
      </c>
      <c r="D11" s="70"/>
      <c r="E11" s="70"/>
      <c r="F11" s="97" t="s">
        <v>50</v>
      </c>
      <c r="G11" s="98" t="s">
        <v>272</v>
      </c>
      <c r="H11" s="70"/>
      <c r="I11" s="70"/>
      <c r="J11" s="70"/>
      <c r="K11" s="70"/>
      <c r="L11" s="70"/>
      <c r="M11" s="98"/>
      <c r="N11" s="70"/>
      <c r="O11" s="70"/>
    </row>
    <row r="12" spans="2:15" ht="15" customHeight="1" x14ac:dyDescent="0.25">
      <c r="B12" s="97" t="s">
        <v>46</v>
      </c>
      <c r="C12" s="143" t="s">
        <v>275</v>
      </c>
      <c r="D12" s="70"/>
      <c r="E12" s="70"/>
      <c r="F12" s="97" t="s">
        <v>48</v>
      </c>
      <c r="G12" s="98" t="s">
        <v>271</v>
      </c>
      <c r="H12" s="70"/>
      <c r="I12" s="70"/>
      <c r="J12" s="70"/>
      <c r="K12" s="70"/>
      <c r="L12" s="70"/>
      <c r="M12" s="98"/>
      <c r="N12" s="70"/>
      <c r="O12" s="70"/>
    </row>
    <row r="13" spans="2:15" ht="15" customHeight="1" x14ac:dyDescent="0.25">
      <c r="B13" s="97" t="s">
        <v>47</v>
      </c>
      <c r="C13" s="143" t="s">
        <v>270</v>
      </c>
      <c r="D13" s="70"/>
      <c r="E13" s="70"/>
      <c r="F13" s="97" t="s">
        <v>49</v>
      </c>
      <c r="G13" s="98" t="s">
        <v>273</v>
      </c>
      <c r="H13" s="70"/>
      <c r="I13" s="70"/>
      <c r="J13" s="70"/>
      <c r="K13" s="70"/>
      <c r="L13" s="70"/>
      <c r="M13" s="98"/>
      <c r="N13" s="70"/>
      <c r="O13" s="70"/>
    </row>
    <row r="14" spans="2:15" ht="15.5" x14ac:dyDescent="0.25">
      <c r="B14" s="4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</row>
    <row r="15" spans="2:15" ht="20.149999999999999" customHeight="1" x14ac:dyDescent="0.25">
      <c r="B15" s="193" t="s">
        <v>96</v>
      </c>
      <c r="C15" s="194"/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5"/>
    </row>
    <row r="16" spans="2:15" s="3" customFormat="1" ht="20.149999999999999" customHeight="1" x14ac:dyDescent="0.25">
      <c r="B16" s="191" t="s">
        <v>90</v>
      </c>
      <c r="C16" s="191" t="s">
        <v>56</v>
      </c>
      <c r="D16" s="191" t="s">
        <v>54</v>
      </c>
      <c r="E16" s="191" t="s">
        <v>57</v>
      </c>
      <c r="F16" s="191" t="s">
        <v>53</v>
      </c>
      <c r="G16" s="191" t="s">
        <v>89</v>
      </c>
      <c r="H16" s="191" t="s">
        <v>88</v>
      </c>
      <c r="I16" s="191" t="s">
        <v>58</v>
      </c>
      <c r="J16" s="191" t="s">
        <v>87</v>
      </c>
      <c r="K16" s="191" t="s">
        <v>60</v>
      </c>
      <c r="L16" s="191" t="s">
        <v>55</v>
      </c>
      <c r="M16" s="191" t="s">
        <v>59</v>
      </c>
      <c r="N16" s="191" t="s">
        <v>61</v>
      </c>
      <c r="O16" s="191" t="s">
        <v>107</v>
      </c>
    </row>
    <row r="17" spans="1:15" s="3" customFormat="1" ht="20.149999999999999" customHeight="1" thickBot="1" x14ac:dyDescent="0.3"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</row>
    <row r="18" spans="1:15" ht="20.149999999999999" customHeight="1" thickBot="1" x14ac:dyDescent="0.3">
      <c r="A18" s="20">
        <f t="shared" ref="A18:A39" si="0">O18</f>
        <v>79.3</v>
      </c>
      <c r="B18" s="101">
        <v>1999</v>
      </c>
      <c r="C18" s="144">
        <v>79.3</v>
      </c>
      <c r="D18" s="145">
        <v>42.5</v>
      </c>
      <c r="E18" s="145">
        <v>39.299999999999997</v>
      </c>
      <c r="F18" s="145">
        <v>16.899999999999999</v>
      </c>
      <c r="G18" s="145">
        <v>54.5</v>
      </c>
      <c r="H18" s="145">
        <v>17.5</v>
      </c>
      <c r="I18" s="145">
        <v>27.9</v>
      </c>
      <c r="J18" s="145">
        <v>23</v>
      </c>
      <c r="K18" s="145">
        <v>11.3</v>
      </c>
      <c r="L18" s="145">
        <v>17.3</v>
      </c>
      <c r="M18" s="145">
        <v>48.8</v>
      </c>
      <c r="N18" s="145">
        <v>46.5</v>
      </c>
      <c r="O18" s="102">
        <f>MAX(C18:N18)</f>
        <v>79.3</v>
      </c>
    </row>
    <row r="19" spans="1:15" ht="20.149999999999999" customHeight="1" thickBot="1" x14ac:dyDescent="0.3">
      <c r="A19" s="20">
        <f t="shared" si="0"/>
        <v>82.5</v>
      </c>
      <c r="B19" s="103">
        <v>2000</v>
      </c>
      <c r="C19" s="146">
        <v>27.5</v>
      </c>
      <c r="D19" s="147">
        <v>34.200000000000003</v>
      </c>
      <c r="E19" s="147">
        <v>15.6</v>
      </c>
      <c r="F19" s="147">
        <v>34.700000000000003</v>
      </c>
      <c r="G19" s="147">
        <v>30.2</v>
      </c>
      <c r="H19" s="147">
        <v>12.6</v>
      </c>
      <c r="I19" s="147">
        <v>17.5</v>
      </c>
      <c r="J19" s="147">
        <v>52.6</v>
      </c>
      <c r="K19" s="147">
        <v>82.5</v>
      </c>
      <c r="L19" s="147">
        <v>19.399999999999999</v>
      </c>
      <c r="M19" s="147">
        <v>24.2</v>
      </c>
      <c r="N19" s="147">
        <v>30.3</v>
      </c>
      <c r="O19" s="102">
        <f t="shared" ref="O19:O43" si="1">MAX(C19:N19)</f>
        <v>82.5</v>
      </c>
    </row>
    <row r="20" spans="1:15" ht="20.149999999999999" customHeight="1" thickBot="1" x14ac:dyDescent="0.3">
      <c r="A20" s="20">
        <f t="shared" si="0"/>
        <v>75.900000000000006</v>
      </c>
      <c r="B20" s="101">
        <v>2001</v>
      </c>
      <c r="C20" s="148">
        <v>16.2</v>
      </c>
      <c r="D20" s="149">
        <v>32</v>
      </c>
      <c r="E20" s="149">
        <v>35</v>
      </c>
      <c r="F20" s="149">
        <v>75.900000000000006</v>
      </c>
      <c r="G20" s="149">
        <v>40.299999999999997</v>
      </c>
      <c r="H20" s="149">
        <v>13.8</v>
      </c>
      <c r="I20" s="149">
        <v>40.6</v>
      </c>
      <c r="J20" s="149">
        <v>21.3</v>
      </c>
      <c r="K20" s="149">
        <v>24.3</v>
      </c>
      <c r="L20" s="149">
        <v>61</v>
      </c>
      <c r="M20" s="149">
        <v>30</v>
      </c>
      <c r="N20" s="149">
        <v>42.2</v>
      </c>
      <c r="O20" s="102">
        <f t="shared" si="1"/>
        <v>75.900000000000006</v>
      </c>
    </row>
    <row r="21" spans="1:15" ht="20.149999999999999" customHeight="1" thickBot="1" x14ac:dyDescent="0.3">
      <c r="A21" s="20">
        <f t="shared" si="0"/>
        <v>43.6</v>
      </c>
      <c r="B21" s="103">
        <v>2002</v>
      </c>
      <c r="C21" s="146">
        <v>9.3000000000000007</v>
      </c>
      <c r="D21" s="147">
        <v>30</v>
      </c>
      <c r="E21" s="147">
        <v>14.8</v>
      </c>
      <c r="F21" s="147">
        <v>39.799999999999997</v>
      </c>
      <c r="G21" s="147">
        <v>12.5</v>
      </c>
      <c r="H21" s="147">
        <v>43.6</v>
      </c>
      <c r="I21" s="147">
        <v>35.299999999999997</v>
      </c>
      <c r="J21" s="147">
        <v>7.1</v>
      </c>
      <c r="K21" s="147">
        <v>5.8</v>
      </c>
      <c r="L21" s="147">
        <v>32.299999999999997</v>
      </c>
      <c r="M21" s="147">
        <v>27.5</v>
      </c>
      <c r="N21" s="147">
        <v>20.7</v>
      </c>
      <c r="O21" s="102">
        <f t="shared" si="1"/>
        <v>43.6</v>
      </c>
    </row>
    <row r="22" spans="1:15" ht="20.149999999999999" customHeight="1" thickBot="1" x14ac:dyDescent="0.3">
      <c r="A22" s="20">
        <f t="shared" si="0"/>
        <v>84.5</v>
      </c>
      <c r="B22" s="101">
        <v>2003</v>
      </c>
      <c r="C22" s="148">
        <v>74</v>
      </c>
      <c r="D22" s="149">
        <v>37</v>
      </c>
      <c r="E22" s="149">
        <v>54.6</v>
      </c>
      <c r="F22" s="149">
        <v>33.1</v>
      </c>
      <c r="G22" s="149">
        <v>37.6</v>
      </c>
      <c r="H22" s="149">
        <v>27.5</v>
      </c>
      <c r="I22" s="149">
        <v>17.8</v>
      </c>
      <c r="J22" s="149">
        <v>18</v>
      </c>
      <c r="K22" s="149">
        <v>18</v>
      </c>
      <c r="L22" s="149">
        <v>84.5</v>
      </c>
      <c r="M22" s="149">
        <v>40.200000000000003</v>
      </c>
      <c r="N22" s="149">
        <v>52.2</v>
      </c>
      <c r="O22" s="102">
        <f t="shared" si="1"/>
        <v>84.5</v>
      </c>
    </row>
    <row r="23" spans="1:15" ht="20.149999999999999" customHeight="1" thickBot="1" x14ac:dyDescent="0.3">
      <c r="A23" s="20">
        <f t="shared" si="0"/>
        <v>64.2</v>
      </c>
      <c r="B23" s="103">
        <v>2004</v>
      </c>
      <c r="C23" s="146">
        <v>15.8</v>
      </c>
      <c r="D23" s="147">
        <v>64.2</v>
      </c>
      <c r="E23" s="147">
        <v>24</v>
      </c>
      <c r="F23" s="147">
        <v>26.2</v>
      </c>
      <c r="G23" s="147">
        <v>48.1</v>
      </c>
      <c r="H23" s="147">
        <v>30.7</v>
      </c>
      <c r="I23" s="147">
        <v>25.7</v>
      </c>
      <c r="J23" s="147">
        <v>25.6</v>
      </c>
      <c r="K23" s="147">
        <v>28.2</v>
      </c>
      <c r="L23" s="147">
        <v>33.200000000000003</v>
      </c>
      <c r="M23" s="147">
        <v>46.2</v>
      </c>
      <c r="N23" s="147">
        <v>59.9</v>
      </c>
      <c r="O23" s="102">
        <f t="shared" si="1"/>
        <v>64.2</v>
      </c>
    </row>
    <row r="24" spans="1:15" ht="20.149999999999999" customHeight="1" thickBot="1" x14ac:dyDescent="0.3">
      <c r="A24" s="20">
        <f t="shared" si="0"/>
        <v>71</v>
      </c>
      <c r="B24" s="101">
        <v>2005</v>
      </c>
      <c r="C24" s="148">
        <v>15.9</v>
      </c>
      <c r="D24" s="149">
        <v>33.700000000000003</v>
      </c>
      <c r="E24" s="149">
        <v>48.8</v>
      </c>
      <c r="F24" s="149">
        <v>44</v>
      </c>
      <c r="G24" s="149">
        <v>22.4</v>
      </c>
      <c r="H24" s="149">
        <v>26.8</v>
      </c>
      <c r="I24" s="149">
        <v>16.3</v>
      </c>
      <c r="J24" s="149">
        <v>15.5</v>
      </c>
      <c r="K24" s="149">
        <v>26</v>
      </c>
      <c r="L24" s="149">
        <v>45</v>
      </c>
      <c r="M24" s="149">
        <v>71</v>
      </c>
      <c r="N24" s="149">
        <v>9.3000000000000007</v>
      </c>
      <c r="O24" s="102">
        <f t="shared" si="1"/>
        <v>71</v>
      </c>
    </row>
    <row r="25" spans="1:15" ht="20.149999999999999" customHeight="1" thickBot="1" x14ac:dyDescent="0.3">
      <c r="A25" s="20">
        <f t="shared" si="0"/>
        <v>113.3</v>
      </c>
      <c r="B25" s="103">
        <v>2006</v>
      </c>
      <c r="C25" s="146">
        <v>38.5</v>
      </c>
      <c r="D25" s="147">
        <v>44.5</v>
      </c>
      <c r="E25" s="147">
        <v>41.5</v>
      </c>
      <c r="F25" s="147">
        <v>52</v>
      </c>
      <c r="G25" s="147">
        <v>39</v>
      </c>
      <c r="H25" s="147">
        <v>17.3</v>
      </c>
      <c r="I25" s="147">
        <v>113.3</v>
      </c>
      <c r="J25" s="147">
        <v>7</v>
      </c>
      <c r="K25" s="147">
        <v>18.5</v>
      </c>
      <c r="L25" s="147">
        <v>39.200000000000003</v>
      </c>
      <c r="M25" s="147">
        <v>74</v>
      </c>
      <c r="N25" s="147">
        <v>28</v>
      </c>
      <c r="O25" s="102">
        <f t="shared" si="1"/>
        <v>113.3</v>
      </c>
    </row>
    <row r="26" spans="1:15" ht="20.149999999999999" customHeight="1" thickBot="1" x14ac:dyDescent="0.3">
      <c r="A26" s="20">
        <f t="shared" si="0"/>
        <v>63.5</v>
      </c>
      <c r="B26" s="101">
        <v>2007</v>
      </c>
      <c r="C26" s="148">
        <v>37</v>
      </c>
      <c r="D26" s="149">
        <v>7.5</v>
      </c>
      <c r="E26" s="149">
        <v>48</v>
      </c>
      <c r="F26" s="149">
        <v>21</v>
      </c>
      <c r="G26" s="149">
        <v>45.4</v>
      </c>
      <c r="H26" s="149">
        <v>16.5</v>
      </c>
      <c r="I26" s="149">
        <v>60</v>
      </c>
      <c r="J26" s="149">
        <v>46.2</v>
      </c>
      <c r="K26" s="149">
        <v>45.2</v>
      </c>
      <c r="L26" s="149">
        <v>37.799999999999997</v>
      </c>
      <c r="M26" s="149">
        <v>63.5</v>
      </c>
      <c r="N26" s="149">
        <v>18.5</v>
      </c>
      <c r="O26" s="102">
        <f t="shared" si="1"/>
        <v>63.5</v>
      </c>
    </row>
    <row r="27" spans="1:15" ht="20.149999999999999" customHeight="1" thickBot="1" x14ac:dyDescent="0.3">
      <c r="A27" s="20">
        <f t="shared" si="0"/>
        <v>91</v>
      </c>
      <c r="B27" s="103">
        <v>2008</v>
      </c>
      <c r="C27" s="146">
        <v>25.6</v>
      </c>
      <c r="D27" s="147">
        <v>91</v>
      </c>
      <c r="E27" s="147">
        <v>27.5</v>
      </c>
      <c r="F27" s="147">
        <v>51</v>
      </c>
      <c r="G27" s="147">
        <v>25.6</v>
      </c>
      <c r="H27" s="147">
        <v>24</v>
      </c>
      <c r="I27" s="147">
        <v>9.3000000000000007</v>
      </c>
      <c r="J27" s="147">
        <v>10.4</v>
      </c>
      <c r="K27" s="147">
        <v>38</v>
      </c>
      <c r="L27" s="147">
        <v>17.399999999999999</v>
      </c>
      <c r="M27" s="147">
        <v>18</v>
      </c>
      <c r="N27" s="147">
        <v>15.3</v>
      </c>
      <c r="O27" s="102">
        <f t="shared" si="1"/>
        <v>91</v>
      </c>
    </row>
    <row r="28" spans="1:15" ht="20.149999999999999" customHeight="1" thickBot="1" x14ac:dyDescent="0.3">
      <c r="A28" s="20">
        <f t="shared" si="0"/>
        <v>49</v>
      </c>
      <c r="B28" s="101">
        <v>2009</v>
      </c>
      <c r="C28" s="148">
        <v>29.4</v>
      </c>
      <c r="D28" s="149">
        <v>49</v>
      </c>
      <c r="E28" s="149">
        <v>28</v>
      </c>
      <c r="F28" s="149">
        <v>35.5</v>
      </c>
      <c r="G28" s="149">
        <v>36.5</v>
      </c>
      <c r="H28" s="149">
        <v>47</v>
      </c>
      <c r="I28" s="149">
        <v>9.1</v>
      </c>
      <c r="J28" s="149">
        <v>25</v>
      </c>
      <c r="K28" s="149">
        <v>31.5</v>
      </c>
      <c r="L28" s="149">
        <v>18.399999999999999</v>
      </c>
      <c r="M28" s="149">
        <v>25.5</v>
      </c>
      <c r="N28" s="149">
        <v>42</v>
      </c>
      <c r="O28" s="102">
        <f t="shared" si="1"/>
        <v>49</v>
      </c>
    </row>
    <row r="29" spans="1:15" ht="20.149999999999999" customHeight="1" thickBot="1" x14ac:dyDescent="0.3">
      <c r="A29" s="20">
        <f t="shared" si="0"/>
        <v>98.4</v>
      </c>
      <c r="B29" s="103">
        <v>2010</v>
      </c>
      <c r="C29" s="146">
        <v>32.200000000000003</v>
      </c>
      <c r="D29" s="147">
        <v>62.4</v>
      </c>
      <c r="E29" s="147">
        <v>17.600000000000001</v>
      </c>
      <c r="F29" s="147">
        <v>72.8</v>
      </c>
      <c r="G29" s="147">
        <v>31.6</v>
      </c>
      <c r="H29" s="147">
        <v>40.6</v>
      </c>
      <c r="I29" s="147">
        <v>6.1</v>
      </c>
      <c r="J29" s="147">
        <v>44.5</v>
      </c>
      <c r="K29" s="147">
        <v>23.9</v>
      </c>
      <c r="L29" s="147">
        <v>27.7</v>
      </c>
      <c r="M29" s="147">
        <v>98.4</v>
      </c>
      <c r="N29" s="147">
        <v>47.8</v>
      </c>
      <c r="O29" s="102">
        <f t="shared" si="1"/>
        <v>98.4</v>
      </c>
    </row>
    <row r="30" spans="1:15" ht="20.149999999999999" customHeight="1" thickBot="1" x14ac:dyDescent="0.3">
      <c r="A30" s="20">
        <f t="shared" si="0"/>
        <v>65.2</v>
      </c>
      <c r="B30" s="101">
        <v>2011</v>
      </c>
      <c r="C30" s="148">
        <v>42.4</v>
      </c>
      <c r="D30" s="149">
        <v>11.8</v>
      </c>
      <c r="E30" s="149">
        <v>63.2</v>
      </c>
      <c r="F30" s="149">
        <v>51.9</v>
      </c>
      <c r="G30" s="149">
        <v>31.5</v>
      </c>
      <c r="H30" s="149">
        <v>65.2</v>
      </c>
      <c r="I30" s="149">
        <v>49.2</v>
      </c>
      <c r="J30" s="149">
        <v>14.5</v>
      </c>
      <c r="K30" s="149">
        <v>21.6</v>
      </c>
      <c r="L30" s="149">
        <v>24.6</v>
      </c>
      <c r="M30" s="149">
        <v>49.2</v>
      </c>
      <c r="N30" s="149">
        <v>61.8</v>
      </c>
      <c r="O30" s="102">
        <f t="shared" si="1"/>
        <v>65.2</v>
      </c>
    </row>
    <row r="31" spans="1:15" ht="20.149999999999999" customHeight="1" thickBot="1" x14ac:dyDescent="0.3">
      <c r="A31" s="20">
        <f t="shared" si="0"/>
        <v>100.5</v>
      </c>
      <c r="B31" s="103">
        <v>2012</v>
      </c>
      <c r="C31" s="146">
        <v>71.7</v>
      </c>
      <c r="D31" s="147">
        <v>35.6</v>
      </c>
      <c r="E31" s="147">
        <v>53.1</v>
      </c>
      <c r="F31" s="147">
        <v>100.5</v>
      </c>
      <c r="G31" s="147">
        <v>40.799999999999997</v>
      </c>
      <c r="H31" s="147">
        <v>28.8</v>
      </c>
      <c r="I31" s="147">
        <v>20</v>
      </c>
      <c r="J31" s="147">
        <v>8.3000000000000007</v>
      </c>
      <c r="K31" s="147">
        <v>31.2</v>
      </c>
      <c r="L31" s="147">
        <v>40.200000000000003</v>
      </c>
      <c r="M31" s="147">
        <v>15.6</v>
      </c>
      <c r="N31" s="147">
        <v>82.4</v>
      </c>
      <c r="O31" s="102">
        <f t="shared" si="1"/>
        <v>100.5</v>
      </c>
    </row>
    <row r="32" spans="1:15" ht="20.149999999999999" customHeight="1" thickBot="1" x14ac:dyDescent="0.3">
      <c r="A32" s="20">
        <f t="shared" si="0"/>
        <v>71.7</v>
      </c>
      <c r="B32" s="101">
        <v>2013</v>
      </c>
      <c r="C32" s="148">
        <v>71.7</v>
      </c>
      <c r="D32" s="149">
        <v>32.700000000000003</v>
      </c>
      <c r="E32" s="149">
        <v>45.3</v>
      </c>
      <c r="F32" s="149">
        <v>27.4</v>
      </c>
      <c r="G32" s="149">
        <v>32.1</v>
      </c>
      <c r="H32" s="149">
        <v>20.100000000000001</v>
      </c>
      <c r="I32" s="149">
        <v>15</v>
      </c>
      <c r="J32" s="149">
        <v>49</v>
      </c>
      <c r="K32" s="149">
        <v>41.8</v>
      </c>
      <c r="L32" s="149">
        <v>27</v>
      </c>
      <c r="M32" s="149">
        <v>64.5</v>
      </c>
      <c r="N32" s="149">
        <v>28.4</v>
      </c>
      <c r="O32" s="102">
        <f t="shared" si="1"/>
        <v>71.7</v>
      </c>
    </row>
    <row r="33" spans="1:15" ht="20.149999999999999" customHeight="1" thickBot="1" x14ac:dyDescent="0.3">
      <c r="A33" s="20">
        <f t="shared" si="0"/>
        <v>89.5</v>
      </c>
      <c r="B33" s="103">
        <v>2014</v>
      </c>
      <c r="C33" s="146">
        <v>33.4</v>
      </c>
      <c r="D33" s="147">
        <v>29.5</v>
      </c>
      <c r="E33" s="147">
        <v>60.3</v>
      </c>
      <c r="F33" s="147">
        <v>37.6</v>
      </c>
      <c r="G33" s="147">
        <v>32.1</v>
      </c>
      <c r="H33" s="147">
        <v>13.2</v>
      </c>
      <c r="I33" s="147">
        <v>32.5</v>
      </c>
      <c r="J33" s="147">
        <v>22.4</v>
      </c>
      <c r="K33" s="147">
        <v>28.2</v>
      </c>
      <c r="L33" s="147">
        <v>89.5</v>
      </c>
      <c r="M33" s="147">
        <v>46.1</v>
      </c>
      <c r="N33" s="147">
        <v>26</v>
      </c>
      <c r="O33" s="102">
        <f t="shared" si="1"/>
        <v>89.5</v>
      </c>
    </row>
    <row r="34" spans="1:15" ht="20.149999999999999" customHeight="1" thickBot="1" x14ac:dyDescent="0.3">
      <c r="A34" s="20">
        <f t="shared" si="0"/>
        <v>64.2</v>
      </c>
      <c r="B34" s="101">
        <v>2015</v>
      </c>
      <c r="C34" s="148">
        <v>28.4</v>
      </c>
      <c r="D34" s="149">
        <v>40.9</v>
      </c>
      <c r="E34" s="149">
        <v>16.399999999999999</v>
      </c>
      <c r="F34" s="149">
        <v>43.7</v>
      </c>
      <c r="G34" s="149">
        <v>34.4</v>
      </c>
      <c r="H34" s="149">
        <v>40.200000000000003</v>
      </c>
      <c r="I34" s="149">
        <v>12.8</v>
      </c>
      <c r="J34" s="149">
        <v>34.6</v>
      </c>
      <c r="K34" s="149">
        <v>13.7</v>
      </c>
      <c r="L34" s="149">
        <v>32.9</v>
      </c>
      <c r="M34" s="149">
        <v>64.2</v>
      </c>
      <c r="N34" s="149">
        <v>60.3</v>
      </c>
      <c r="O34" s="102">
        <f t="shared" si="1"/>
        <v>64.2</v>
      </c>
    </row>
    <row r="35" spans="1:15" ht="20.149999999999999" customHeight="1" thickBot="1" x14ac:dyDescent="0.3">
      <c r="A35" s="20">
        <f t="shared" si="0"/>
        <v>50</v>
      </c>
      <c r="B35" s="103">
        <v>2016</v>
      </c>
      <c r="C35" s="146">
        <v>36</v>
      </c>
      <c r="D35" s="147">
        <v>40.1</v>
      </c>
      <c r="E35" s="147">
        <v>35.9</v>
      </c>
      <c r="F35" s="147">
        <v>18.600000000000001</v>
      </c>
      <c r="G35" s="147">
        <v>32.200000000000003</v>
      </c>
      <c r="H35" s="147">
        <v>47.5</v>
      </c>
      <c r="I35" s="147">
        <v>19.399999999999999</v>
      </c>
      <c r="J35" s="147">
        <v>10.3</v>
      </c>
      <c r="K35" s="147">
        <v>19</v>
      </c>
      <c r="L35" s="147">
        <v>50</v>
      </c>
      <c r="M35" s="147">
        <v>27</v>
      </c>
      <c r="N35" s="147">
        <v>33.5</v>
      </c>
      <c r="O35" s="102">
        <f t="shared" si="1"/>
        <v>50</v>
      </c>
    </row>
    <row r="36" spans="1:15" ht="20.149999999999999" customHeight="1" thickBot="1" x14ac:dyDescent="0.3">
      <c r="A36" s="20">
        <f t="shared" si="0"/>
        <v>73.599999999999994</v>
      </c>
      <c r="B36" s="101">
        <v>2017</v>
      </c>
      <c r="C36" s="148">
        <v>51.2</v>
      </c>
      <c r="D36" s="149">
        <v>73.599999999999994</v>
      </c>
      <c r="E36" s="149">
        <v>62.9</v>
      </c>
      <c r="F36" s="149">
        <v>51.8</v>
      </c>
      <c r="G36" s="149">
        <v>36</v>
      </c>
      <c r="H36" s="149">
        <v>39.6</v>
      </c>
      <c r="I36" s="149">
        <v>19.5</v>
      </c>
      <c r="J36" s="149">
        <v>30.8</v>
      </c>
      <c r="K36" s="149">
        <v>47.7</v>
      </c>
      <c r="L36" s="149">
        <v>15.7</v>
      </c>
      <c r="M36" s="149">
        <v>72.5</v>
      </c>
      <c r="N36" s="149">
        <v>63.7</v>
      </c>
      <c r="O36" s="102">
        <f t="shared" si="1"/>
        <v>73.599999999999994</v>
      </c>
    </row>
    <row r="37" spans="1:15" ht="20.149999999999999" customHeight="1" thickBot="1" x14ac:dyDescent="0.3">
      <c r="A37" s="20">
        <f t="shared" si="0"/>
        <v>69.599999999999994</v>
      </c>
      <c r="B37" s="103">
        <v>2018</v>
      </c>
      <c r="C37" s="146">
        <v>25.6</v>
      </c>
      <c r="D37" s="147">
        <v>42.5</v>
      </c>
      <c r="E37" s="147">
        <v>55.4</v>
      </c>
      <c r="F37" s="147">
        <v>47.4</v>
      </c>
      <c r="G37" s="147">
        <v>27.5</v>
      </c>
      <c r="H37" s="147">
        <v>35</v>
      </c>
      <c r="I37" s="147">
        <v>34.200000000000003</v>
      </c>
      <c r="J37" s="147">
        <v>18.399999999999999</v>
      </c>
      <c r="K37" s="147">
        <v>34.700000000000003</v>
      </c>
      <c r="L37" s="147">
        <v>27.5</v>
      </c>
      <c r="M37" s="147">
        <v>26.5</v>
      </c>
      <c r="N37" s="147">
        <v>69.599999999999994</v>
      </c>
      <c r="O37" s="102">
        <f t="shared" si="1"/>
        <v>69.599999999999994</v>
      </c>
    </row>
    <row r="38" spans="1:15" ht="20.149999999999999" customHeight="1" thickBot="1" x14ac:dyDescent="0.3">
      <c r="A38" s="20">
        <f t="shared" si="0"/>
        <v>86.9</v>
      </c>
      <c r="B38" s="101">
        <v>2019</v>
      </c>
      <c r="C38" s="148">
        <v>42.9</v>
      </c>
      <c r="D38" s="149">
        <v>42.3</v>
      </c>
      <c r="E38" s="149">
        <v>20.8</v>
      </c>
      <c r="F38" s="149">
        <v>23.5</v>
      </c>
      <c r="G38" s="149">
        <v>32</v>
      </c>
      <c r="H38" s="149">
        <v>9.6999999999999993</v>
      </c>
      <c r="I38" s="149">
        <v>39.799999999999997</v>
      </c>
      <c r="J38" s="149">
        <v>23.7</v>
      </c>
      <c r="K38" s="149">
        <v>25.3</v>
      </c>
      <c r="L38" s="149">
        <v>86.9</v>
      </c>
      <c r="M38" s="149">
        <v>36.4</v>
      </c>
      <c r="N38" s="149">
        <v>44</v>
      </c>
      <c r="O38" s="102">
        <f t="shared" si="1"/>
        <v>86.9</v>
      </c>
    </row>
    <row r="39" spans="1:15" ht="20.149999999999999" customHeight="1" thickBot="1" x14ac:dyDescent="0.3">
      <c r="A39" s="20">
        <f t="shared" si="0"/>
        <v>152.5</v>
      </c>
      <c r="B39" s="103">
        <v>2020</v>
      </c>
      <c r="C39" s="150">
        <v>152.5</v>
      </c>
      <c r="D39" s="151">
        <v>33</v>
      </c>
      <c r="E39" s="151">
        <v>50.6</v>
      </c>
      <c r="F39" s="152" t="s">
        <v>277</v>
      </c>
      <c r="G39" s="152" t="s">
        <v>277</v>
      </c>
      <c r="H39" s="152" t="s">
        <v>277</v>
      </c>
      <c r="I39" s="152" t="s">
        <v>277</v>
      </c>
      <c r="J39" s="151">
        <v>32.200000000000003</v>
      </c>
      <c r="K39" s="151">
        <v>32.9</v>
      </c>
      <c r="L39" s="151">
        <v>50.6</v>
      </c>
      <c r="M39" s="151">
        <v>38.4</v>
      </c>
      <c r="N39" s="151">
        <v>14.2</v>
      </c>
      <c r="O39" s="102">
        <f t="shared" si="1"/>
        <v>152.5</v>
      </c>
    </row>
    <row r="40" spans="1:15" ht="20.149999999999999" customHeight="1" thickBot="1" x14ac:dyDescent="0.3">
      <c r="A40" s="20"/>
      <c r="B40" s="101">
        <v>2021</v>
      </c>
      <c r="C40" s="144">
        <v>42.4</v>
      </c>
      <c r="D40" s="145">
        <v>46.8</v>
      </c>
      <c r="E40" s="145">
        <v>73.5</v>
      </c>
      <c r="F40" s="145">
        <v>28.5</v>
      </c>
      <c r="G40" s="145">
        <v>12.9</v>
      </c>
      <c r="H40" s="145">
        <v>32.4</v>
      </c>
      <c r="I40" s="145">
        <v>59.9</v>
      </c>
      <c r="J40" s="145">
        <v>24.3</v>
      </c>
      <c r="K40" s="145">
        <v>54.3</v>
      </c>
      <c r="L40" s="145">
        <v>28.8</v>
      </c>
      <c r="M40" s="145">
        <v>30.8</v>
      </c>
      <c r="N40" s="145">
        <v>69.7</v>
      </c>
      <c r="O40" s="102">
        <f t="shared" si="1"/>
        <v>73.5</v>
      </c>
    </row>
    <row r="41" spans="1:15" ht="20.149999999999999" customHeight="1" thickBot="1" x14ac:dyDescent="0.3">
      <c r="A41" s="20"/>
      <c r="B41" s="103">
        <v>2022</v>
      </c>
      <c r="C41" s="146">
        <v>15</v>
      </c>
      <c r="D41" s="147">
        <v>48.8</v>
      </c>
      <c r="E41" s="147">
        <v>54.4</v>
      </c>
      <c r="F41" s="147">
        <v>39</v>
      </c>
      <c r="G41" s="147">
        <v>48.1</v>
      </c>
      <c r="H41" s="147">
        <v>17</v>
      </c>
      <c r="I41" s="147">
        <v>15.8</v>
      </c>
      <c r="J41" s="147">
        <v>40.9</v>
      </c>
      <c r="K41" s="147">
        <v>32.799999999999997</v>
      </c>
      <c r="L41" s="147">
        <v>31.6</v>
      </c>
      <c r="M41" s="147">
        <v>85.2</v>
      </c>
      <c r="N41" s="147">
        <v>43</v>
      </c>
      <c r="O41" s="102">
        <f t="shared" si="1"/>
        <v>85.2</v>
      </c>
    </row>
    <row r="42" spans="1:15" ht="20.5" customHeight="1" thickBot="1" x14ac:dyDescent="0.3">
      <c r="B42" s="101">
        <v>2023</v>
      </c>
      <c r="C42" s="148">
        <v>58</v>
      </c>
      <c r="D42" s="149">
        <v>22.8</v>
      </c>
      <c r="E42" s="149">
        <v>92.4</v>
      </c>
      <c r="F42" s="149">
        <v>43.3</v>
      </c>
      <c r="G42" s="149">
        <v>25.8</v>
      </c>
      <c r="H42" s="149">
        <v>9.1999999999999993</v>
      </c>
      <c r="I42" s="149">
        <v>14.5</v>
      </c>
      <c r="J42" s="149">
        <v>26</v>
      </c>
      <c r="K42" s="149">
        <v>14</v>
      </c>
      <c r="L42" s="149">
        <v>14.2</v>
      </c>
      <c r="M42" s="149">
        <v>77.5</v>
      </c>
      <c r="N42" s="149">
        <v>56.5</v>
      </c>
      <c r="O42" s="102">
        <f t="shared" si="1"/>
        <v>92.4</v>
      </c>
    </row>
    <row r="43" spans="1:15" ht="20.5" customHeight="1" thickBot="1" x14ac:dyDescent="0.3">
      <c r="B43" s="103">
        <v>2024</v>
      </c>
      <c r="C43" s="150">
        <v>57.8</v>
      </c>
      <c r="D43" s="151">
        <v>72.2</v>
      </c>
      <c r="E43" s="151">
        <v>30.8</v>
      </c>
      <c r="F43" s="151">
        <v>34.5</v>
      </c>
      <c r="G43" s="151">
        <v>16.399999999999999</v>
      </c>
      <c r="H43" s="151">
        <v>10.4</v>
      </c>
      <c r="I43" s="151">
        <v>6</v>
      </c>
      <c r="J43" s="152" t="s">
        <v>278</v>
      </c>
      <c r="K43" s="152" t="s">
        <v>278</v>
      </c>
      <c r="L43" s="152" t="s">
        <v>278</v>
      </c>
      <c r="M43" s="152" t="s">
        <v>278</v>
      </c>
      <c r="N43" s="152" t="s">
        <v>278</v>
      </c>
      <c r="O43" s="102">
        <f t="shared" si="1"/>
        <v>72.2</v>
      </c>
    </row>
    <row r="44" spans="1:15" ht="20.5" customHeight="1" x14ac:dyDescent="0.25"/>
    <row r="45" spans="1:15" ht="12.65" customHeight="1" x14ac:dyDescent="0.25"/>
    <row r="46" spans="1:15" ht="12.65" customHeight="1" x14ac:dyDescent="0.25"/>
    <row r="47" spans="1:15" ht="12.65" customHeight="1" x14ac:dyDescent="0.25"/>
    <row r="48" spans="1:15" ht="12.65" customHeight="1" x14ac:dyDescent="0.25"/>
    <row r="49" ht="12.65" customHeight="1" x14ac:dyDescent="0.25"/>
    <row r="50" ht="12.65" customHeight="1" x14ac:dyDescent="0.25"/>
    <row r="51" ht="12.65" customHeight="1" x14ac:dyDescent="0.25"/>
    <row r="52" ht="12.65" customHeight="1" x14ac:dyDescent="0.25"/>
    <row r="53" ht="12.65" customHeight="1" x14ac:dyDescent="0.25"/>
    <row r="54" ht="12.65" customHeight="1" x14ac:dyDescent="0.25"/>
    <row r="55" ht="12.65" customHeight="1" x14ac:dyDescent="0.25"/>
    <row r="56" ht="12.65" customHeight="1" x14ac:dyDescent="0.25"/>
    <row r="57" ht="12.65" customHeight="1" x14ac:dyDescent="0.25"/>
    <row r="58" ht="12.65" customHeight="1" x14ac:dyDescent="0.25"/>
    <row r="59" ht="12.65" customHeight="1" x14ac:dyDescent="0.25"/>
    <row r="60" ht="12.65" customHeight="1" x14ac:dyDescent="0.25"/>
    <row r="61" ht="12.65" customHeight="1" x14ac:dyDescent="0.25"/>
    <row r="62" ht="12.65" customHeight="1" x14ac:dyDescent="0.25"/>
    <row r="63" ht="12.65" customHeight="1" x14ac:dyDescent="0.25"/>
    <row r="64" ht="12.65" customHeight="1" x14ac:dyDescent="0.25"/>
    <row r="65" ht="12.65" customHeight="1" x14ac:dyDescent="0.25"/>
    <row r="66" ht="12.65" customHeight="1" x14ac:dyDescent="0.25"/>
    <row r="67" ht="12.65" customHeight="1" x14ac:dyDescent="0.25"/>
    <row r="68" ht="12.65" customHeight="1" x14ac:dyDescent="0.25"/>
    <row r="69" ht="12.65" customHeight="1" x14ac:dyDescent="0.25"/>
    <row r="70" ht="12.65" customHeight="1" x14ac:dyDescent="0.25"/>
    <row r="71" ht="12.65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ht="20.149999999999999" customHeight="1" x14ac:dyDescent="0.25"/>
    <row r="98" ht="20.149999999999999" customHeight="1" x14ac:dyDescent="0.25"/>
    <row r="99" ht="20.149999999999999" customHeight="1" x14ac:dyDescent="0.25"/>
    <row r="100" ht="20.149999999999999" customHeight="1" x14ac:dyDescent="0.25"/>
    <row r="101" ht="20.149999999999999" customHeight="1" x14ac:dyDescent="0.25"/>
    <row r="102" ht="20.149999999999999" customHeight="1" x14ac:dyDescent="0.25"/>
    <row r="103" ht="20.149999999999999" customHeight="1" x14ac:dyDescent="0.25"/>
    <row r="104" ht="20.149999999999999" customHeight="1" x14ac:dyDescent="0.25"/>
    <row r="105" ht="20.149999999999999" customHeight="1" x14ac:dyDescent="0.25"/>
    <row r="106" ht="20.149999999999999" customHeight="1" x14ac:dyDescent="0.25"/>
    <row r="107" ht="20.149999999999999" customHeight="1" x14ac:dyDescent="0.25"/>
    <row r="108" ht="20.149999999999999" customHeight="1" x14ac:dyDescent="0.25"/>
    <row r="109" ht="20.149999999999999" customHeight="1" x14ac:dyDescent="0.25"/>
    <row r="110" ht="20.149999999999999" customHeight="1" x14ac:dyDescent="0.25"/>
    <row r="111" ht="20.149999999999999" customHeight="1" x14ac:dyDescent="0.25"/>
    <row r="112" ht="20.149999999999999" customHeight="1" x14ac:dyDescent="0.25"/>
    <row r="113" ht="20.149999999999999" customHeight="1" x14ac:dyDescent="0.25"/>
    <row r="114" ht="20.149999999999999" customHeight="1" x14ac:dyDescent="0.25"/>
    <row r="115" ht="20.149999999999999" customHeight="1" x14ac:dyDescent="0.25"/>
    <row r="116" ht="20.149999999999999" customHeight="1" x14ac:dyDescent="0.25"/>
    <row r="117" ht="20.149999999999999" customHeight="1" x14ac:dyDescent="0.25"/>
    <row r="118" ht="20.149999999999999" customHeight="1" x14ac:dyDescent="0.25"/>
    <row r="119" ht="20.149999999999999" customHeight="1" x14ac:dyDescent="0.25"/>
    <row r="120" ht="20.149999999999999" customHeight="1" x14ac:dyDescent="0.25"/>
    <row r="121" ht="20.149999999999999" customHeight="1" x14ac:dyDescent="0.25"/>
    <row r="122" ht="20.149999999999999" customHeight="1" x14ac:dyDescent="0.25"/>
    <row r="123" ht="20.149999999999999" customHeight="1" x14ac:dyDescent="0.25"/>
    <row r="124" ht="20.149999999999999" customHeight="1" x14ac:dyDescent="0.25"/>
    <row r="125" ht="20.149999999999999" customHeight="1" x14ac:dyDescent="0.25"/>
    <row r="126" ht="20.149999999999999" customHeight="1" x14ac:dyDescent="0.25"/>
    <row r="127" ht="20.149999999999999" customHeight="1" x14ac:dyDescent="0.25"/>
    <row r="128" ht="20.149999999999999" customHeight="1" x14ac:dyDescent="0.25"/>
    <row r="129" ht="20.149999999999999" customHeight="1" x14ac:dyDescent="0.25"/>
    <row r="130" ht="20.149999999999999" customHeight="1" x14ac:dyDescent="0.25"/>
    <row r="131" ht="20.149999999999999" customHeight="1" x14ac:dyDescent="0.25"/>
    <row r="132" ht="20.149999999999999" customHeight="1" x14ac:dyDescent="0.25"/>
    <row r="133" ht="20.149999999999999" customHeight="1" x14ac:dyDescent="0.25"/>
    <row r="134" ht="20.149999999999999" customHeight="1" x14ac:dyDescent="0.25"/>
    <row r="135" ht="20.149999999999999" customHeight="1" x14ac:dyDescent="0.25"/>
    <row r="136" ht="20.149999999999999" customHeight="1" x14ac:dyDescent="0.25"/>
    <row r="137" ht="20.149999999999999" customHeight="1" x14ac:dyDescent="0.25"/>
    <row r="138" ht="20.149999999999999" customHeight="1" x14ac:dyDescent="0.25"/>
    <row r="139" ht="20.149999999999999" customHeight="1" x14ac:dyDescent="0.25"/>
    <row r="140" ht="20.149999999999999" customHeight="1" x14ac:dyDescent="0.25"/>
    <row r="141" ht="20.149999999999999" customHeight="1" x14ac:dyDescent="0.25"/>
    <row r="142" ht="20.149999999999999" customHeight="1" x14ac:dyDescent="0.25"/>
    <row r="143" ht="20.149999999999999" customHeight="1" x14ac:dyDescent="0.25"/>
    <row r="144" ht="20.149999999999999" customHeight="1" x14ac:dyDescent="0.25"/>
    <row r="145" ht="20.149999999999999" customHeight="1" x14ac:dyDescent="0.25"/>
    <row r="146" ht="20.149999999999999" customHeight="1" x14ac:dyDescent="0.25"/>
    <row r="147" ht="20.149999999999999" customHeight="1" x14ac:dyDescent="0.25"/>
    <row r="148" ht="20.149999999999999" customHeight="1" x14ac:dyDescent="0.25"/>
    <row r="149" ht="20.149999999999999" customHeight="1" x14ac:dyDescent="0.25"/>
    <row r="150" ht="20.149999999999999" customHeight="1" x14ac:dyDescent="0.25"/>
    <row r="151" ht="20.149999999999999" customHeight="1" x14ac:dyDescent="0.25"/>
    <row r="152" ht="20.149999999999999" customHeight="1" x14ac:dyDescent="0.25"/>
    <row r="153" ht="20.149999999999999" customHeight="1" x14ac:dyDescent="0.25"/>
    <row r="154" ht="20.149999999999999" customHeight="1" x14ac:dyDescent="0.25"/>
    <row r="155" ht="20.149999999999999" customHeight="1" x14ac:dyDescent="0.25"/>
    <row r="156" ht="20.149999999999999" customHeight="1" x14ac:dyDescent="0.25"/>
    <row r="157" ht="20.149999999999999" customHeight="1" x14ac:dyDescent="0.25"/>
    <row r="158" ht="20.149999999999999" customHeight="1" x14ac:dyDescent="0.25"/>
    <row r="159" ht="20.149999999999999" customHeight="1" x14ac:dyDescent="0.25"/>
    <row r="160" ht="20.149999999999999" customHeight="1" x14ac:dyDescent="0.25"/>
    <row r="161" ht="20.149999999999999" customHeight="1" x14ac:dyDescent="0.25"/>
    <row r="162" ht="20.149999999999999" customHeight="1" x14ac:dyDescent="0.25"/>
    <row r="163" ht="20.149999999999999" customHeight="1" x14ac:dyDescent="0.25"/>
    <row r="164" ht="20.149999999999999" customHeight="1" x14ac:dyDescent="0.25"/>
    <row r="165" ht="20.149999999999999" customHeight="1" x14ac:dyDescent="0.25"/>
    <row r="166" ht="20.149999999999999" customHeight="1" x14ac:dyDescent="0.25"/>
    <row r="167" ht="20.149999999999999" customHeight="1" x14ac:dyDescent="0.25"/>
    <row r="168" ht="20.149999999999999" customHeight="1" x14ac:dyDescent="0.25"/>
    <row r="169" ht="20.149999999999999" customHeight="1" x14ac:dyDescent="0.25"/>
    <row r="170" ht="20.149999999999999" customHeight="1" x14ac:dyDescent="0.25"/>
    <row r="171" ht="20.149999999999999" customHeight="1" x14ac:dyDescent="0.25"/>
    <row r="172" ht="20.149999999999999" customHeight="1" x14ac:dyDescent="0.25"/>
    <row r="173" ht="20.149999999999999" customHeight="1" x14ac:dyDescent="0.25"/>
    <row r="174" ht="20.149999999999999" customHeight="1" x14ac:dyDescent="0.25"/>
    <row r="175" ht="20.149999999999999" customHeight="1" x14ac:dyDescent="0.25"/>
    <row r="176" ht="20.149999999999999" customHeight="1" x14ac:dyDescent="0.25"/>
    <row r="177" ht="20.149999999999999" customHeight="1" x14ac:dyDescent="0.25"/>
    <row r="178" ht="20.149999999999999" customHeight="1" x14ac:dyDescent="0.25"/>
    <row r="179" ht="20.149999999999999" customHeight="1" x14ac:dyDescent="0.25"/>
    <row r="180" ht="20.149999999999999" customHeight="1" x14ac:dyDescent="0.25"/>
    <row r="181" ht="20.149999999999999" customHeight="1" x14ac:dyDescent="0.25"/>
    <row r="182" ht="20.149999999999999" customHeight="1" x14ac:dyDescent="0.25"/>
    <row r="183" ht="20.149999999999999" customHeight="1" x14ac:dyDescent="0.25"/>
    <row r="184" ht="20.149999999999999" customHeight="1" x14ac:dyDescent="0.25"/>
    <row r="185" ht="20.149999999999999" customHeight="1" x14ac:dyDescent="0.25"/>
    <row r="186" ht="20.149999999999999" customHeight="1" x14ac:dyDescent="0.25"/>
    <row r="187" ht="20.149999999999999" customHeight="1" x14ac:dyDescent="0.25"/>
    <row r="188" ht="20.149999999999999" customHeight="1" x14ac:dyDescent="0.25"/>
    <row r="189" ht="20.149999999999999" customHeight="1" x14ac:dyDescent="0.25"/>
    <row r="190" ht="20.149999999999999" customHeight="1" x14ac:dyDescent="0.25"/>
    <row r="191" ht="20.149999999999999" customHeight="1" x14ac:dyDescent="0.25"/>
    <row r="192" ht="20.149999999999999" customHeight="1" x14ac:dyDescent="0.25"/>
    <row r="193" ht="20.149999999999999" customHeight="1" x14ac:dyDescent="0.25"/>
    <row r="194" ht="20.149999999999999" customHeight="1" x14ac:dyDescent="0.25"/>
    <row r="195" ht="20.149999999999999" customHeight="1" x14ac:dyDescent="0.25"/>
    <row r="196" ht="20.149999999999999" customHeight="1" x14ac:dyDescent="0.25"/>
    <row r="197" ht="20.149999999999999" customHeight="1" x14ac:dyDescent="0.25"/>
    <row r="198" ht="20.149999999999999" customHeight="1" x14ac:dyDescent="0.25"/>
    <row r="199" ht="20.149999999999999" customHeight="1" x14ac:dyDescent="0.25"/>
    <row r="200" ht="20.149999999999999" customHeight="1" x14ac:dyDescent="0.25"/>
    <row r="201" ht="20.149999999999999" customHeight="1" x14ac:dyDescent="0.25"/>
    <row r="202" ht="20.149999999999999" customHeight="1" x14ac:dyDescent="0.25"/>
    <row r="203" ht="20.149999999999999" customHeight="1" x14ac:dyDescent="0.25"/>
    <row r="204" ht="20.149999999999999" customHeight="1" x14ac:dyDescent="0.25"/>
    <row r="205" ht="20.149999999999999" customHeight="1" x14ac:dyDescent="0.25"/>
    <row r="206" ht="20.149999999999999" customHeight="1" x14ac:dyDescent="0.25"/>
    <row r="207" ht="20.149999999999999" customHeight="1" x14ac:dyDescent="0.25"/>
    <row r="208" ht="20.149999999999999" customHeight="1" x14ac:dyDescent="0.25"/>
    <row r="209" ht="20.149999999999999" customHeight="1" x14ac:dyDescent="0.25"/>
    <row r="210" ht="20.149999999999999" customHeight="1" x14ac:dyDescent="0.25"/>
    <row r="211" ht="20.149999999999999" customHeight="1" x14ac:dyDescent="0.25"/>
    <row r="212" ht="20.149999999999999" customHeight="1" x14ac:dyDescent="0.25"/>
    <row r="213" ht="20.149999999999999" customHeight="1" x14ac:dyDescent="0.25"/>
    <row r="214" ht="20.149999999999999" customHeight="1" x14ac:dyDescent="0.25"/>
    <row r="215" ht="20.149999999999999" customHeight="1" x14ac:dyDescent="0.25"/>
    <row r="216" ht="20.149999999999999" customHeight="1" x14ac:dyDescent="0.25"/>
    <row r="217" ht="20.149999999999999" customHeight="1" x14ac:dyDescent="0.25"/>
    <row r="218" ht="20.149999999999999" customHeight="1" x14ac:dyDescent="0.25"/>
    <row r="219" ht="20.149999999999999" customHeight="1" x14ac:dyDescent="0.25"/>
    <row r="220" ht="20.149999999999999" customHeight="1" x14ac:dyDescent="0.25"/>
    <row r="221" ht="20.149999999999999" customHeight="1" x14ac:dyDescent="0.25"/>
    <row r="222" ht="20.149999999999999" customHeight="1" x14ac:dyDescent="0.25"/>
    <row r="223" ht="20.149999999999999" customHeight="1" x14ac:dyDescent="0.25"/>
    <row r="224" ht="20.149999999999999" customHeight="1" x14ac:dyDescent="0.25"/>
    <row r="225" ht="20.149999999999999" customHeight="1" x14ac:dyDescent="0.25"/>
    <row r="226" ht="20.149999999999999" customHeight="1" x14ac:dyDescent="0.25"/>
    <row r="227" ht="20.149999999999999" customHeight="1" x14ac:dyDescent="0.25"/>
    <row r="228" ht="20.149999999999999" customHeight="1" x14ac:dyDescent="0.25"/>
    <row r="229" ht="20.149999999999999" customHeight="1" x14ac:dyDescent="0.25"/>
    <row r="230" ht="20.149999999999999" customHeight="1" x14ac:dyDescent="0.25"/>
    <row r="231" ht="20.149999999999999" customHeight="1" x14ac:dyDescent="0.25"/>
    <row r="232" ht="20.149999999999999" customHeight="1" x14ac:dyDescent="0.25"/>
    <row r="233" ht="20.149999999999999" customHeight="1" x14ac:dyDescent="0.25"/>
    <row r="234" ht="20.149999999999999" customHeight="1" x14ac:dyDescent="0.25"/>
    <row r="235" ht="20.149999999999999" customHeight="1" x14ac:dyDescent="0.25"/>
    <row r="236" ht="20.149999999999999" customHeight="1" x14ac:dyDescent="0.25"/>
    <row r="237" ht="20.149999999999999" customHeight="1" x14ac:dyDescent="0.25"/>
    <row r="238" ht="20.149999999999999" customHeight="1" x14ac:dyDescent="0.25"/>
    <row r="239" ht="20.149999999999999" customHeight="1" x14ac:dyDescent="0.25"/>
    <row r="240" ht="20.149999999999999" customHeight="1" x14ac:dyDescent="0.25"/>
    <row r="241" ht="20.149999999999999" customHeight="1" x14ac:dyDescent="0.25"/>
    <row r="242" ht="20.149999999999999" customHeight="1" x14ac:dyDescent="0.25"/>
    <row r="243" ht="20.149999999999999" customHeight="1" x14ac:dyDescent="0.25"/>
    <row r="244" ht="20.149999999999999" customHeight="1" x14ac:dyDescent="0.25"/>
    <row r="245" ht="20.149999999999999" customHeight="1" x14ac:dyDescent="0.25"/>
    <row r="246" ht="20.149999999999999" customHeight="1" x14ac:dyDescent="0.25"/>
    <row r="247" ht="20.149999999999999" customHeight="1" x14ac:dyDescent="0.25"/>
    <row r="248" ht="20.149999999999999" customHeight="1" x14ac:dyDescent="0.25"/>
    <row r="249" ht="20.149999999999999" customHeight="1" x14ac:dyDescent="0.25"/>
    <row r="250" ht="20.149999999999999" customHeight="1" x14ac:dyDescent="0.25"/>
    <row r="251" ht="20.149999999999999" customHeight="1" x14ac:dyDescent="0.25"/>
    <row r="252" ht="20.149999999999999" customHeight="1" x14ac:dyDescent="0.25"/>
    <row r="253" ht="20.149999999999999" customHeight="1" x14ac:dyDescent="0.25"/>
    <row r="254" ht="20.149999999999999" customHeight="1" x14ac:dyDescent="0.25"/>
    <row r="255" ht="20.149999999999999" customHeight="1" x14ac:dyDescent="0.25"/>
    <row r="256" ht="20.149999999999999" customHeight="1" x14ac:dyDescent="0.25"/>
    <row r="257" ht="20.149999999999999" customHeight="1" x14ac:dyDescent="0.25"/>
    <row r="258" ht="20.149999999999999" customHeight="1" x14ac:dyDescent="0.25"/>
    <row r="259" ht="20.149999999999999" customHeight="1" x14ac:dyDescent="0.25"/>
    <row r="260" ht="20.149999999999999" customHeight="1" x14ac:dyDescent="0.25"/>
    <row r="261" ht="20.149999999999999" customHeight="1" x14ac:dyDescent="0.25"/>
    <row r="262" ht="20.149999999999999" customHeight="1" x14ac:dyDescent="0.25"/>
    <row r="263" ht="20.149999999999999" customHeight="1" x14ac:dyDescent="0.25"/>
    <row r="264" ht="20.149999999999999" customHeight="1" x14ac:dyDescent="0.25"/>
    <row r="265" ht="20.149999999999999" customHeight="1" x14ac:dyDescent="0.25"/>
    <row r="266" ht="20.149999999999999" customHeight="1" x14ac:dyDescent="0.25"/>
    <row r="267" ht="20.149999999999999" customHeight="1" x14ac:dyDescent="0.25"/>
    <row r="268" ht="20.149999999999999" customHeight="1" x14ac:dyDescent="0.25"/>
    <row r="269" ht="20.149999999999999" customHeight="1" x14ac:dyDescent="0.25"/>
    <row r="270" ht="20.149999999999999" customHeight="1" x14ac:dyDescent="0.25"/>
    <row r="271" ht="20.149999999999999" customHeight="1" x14ac:dyDescent="0.25"/>
    <row r="272" ht="20.149999999999999" customHeight="1" x14ac:dyDescent="0.25"/>
    <row r="273" ht="20.149999999999999" customHeight="1" x14ac:dyDescent="0.25"/>
    <row r="274" ht="20.149999999999999" customHeight="1" x14ac:dyDescent="0.25"/>
    <row r="275" ht="20.149999999999999" customHeight="1" x14ac:dyDescent="0.25"/>
    <row r="276" ht="20.149999999999999" customHeight="1" x14ac:dyDescent="0.25"/>
    <row r="277" ht="20.149999999999999" customHeight="1" x14ac:dyDescent="0.25"/>
    <row r="278" ht="20.149999999999999" customHeight="1" x14ac:dyDescent="0.25"/>
    <row r="279" ht="20.149999999999999" customHeight="1" x14ac:dyDescent="0.25"/>
    <row r="280" ht="20.149999999999999" customHeight="1" x14ac:dyDescent="0.25"/>
    <row r="281" ht="20.149999999999999" customHeight="1" x14ac:dyDescent="0.25"/>
    <row r="282" ht="20.149999999999999" customHeight="1" x14ac:dyDescent="0.25"/>
    <row r="283" ht="20.149999999999999" customHeight="1" x14ac:dyDescent="0.25"/>
    <row r="284" ht="20.149999999999999" customHeight="1" x14ac:dyDescent="0.25"/>
    <row r="285" ht="20.149999999999999" customHeight="1" x14ac:dyDescent="0.25"/>
    <row r="286" ht="20.149999999999999" customHeight="1" x14ac:dyDescent="0.25"/>
    <row r="287" ht="20.149999999999999" customHeight="1" x14ac:dyDescent="0.25"/>
    <row r="288" ht="20.149999999999999" customHeight="1" x14ac:dyDescent="0.25"/>
    <row r="289" ht="20.149999999999999" customHeight="1" x14ac:dyDescent="0.25"/>
    <row r="290" ht="20.149999999999999" customHeight="1" x14ac:dyDescent="0.25"/>
    <row r="291" ht="20.149999999999999" customHeight="1" x14ac:dyDescent="0.25"/>
    <row r="292" ht="20.149999999999999" customHeight="1" x14ac:dyDescent="0.25"/>
    <row r="293" ht="20.149999999999999" customHeight="1" x14ac:dyDescent="0.25"/>
    <row r="294" ht="20.149999999999999" customHeight="1" x14ac:dyDescent="0.25"/>
    <row r="295" ht="20.149999999999999" customHeight="1" x14ac:dyDescent="0.25"/>
    <row r="296" ht="20.149999999999999" customHeight="1" x14ac:dyDescent="0.25"/>
    <row r="297" ht="20.149999999999999" customHeight="1" x14ac:dyDescent="0.25"/>
  </sheetData>
  <mergeCells count="20">
    <mergeCell ref="B9:O9"/>
    <mergeCell ref="C2:O2"/>
    <mergeCell ref="C5:O5"/>
    <mergeCell ref="C3:O3"/>
    <mergeCell ref="C4:O4"/>
    <mergeCell ref="B16:B17"/>
    <mergeCell ref="B15:O15"/>
    <mergeCell ref="O16:O17"/>
    <mergeCell ref="I16:I17"/>
    <mergeCell ref="J16:J17"/>
    <mergeCell ref="K16:K17"/>
    <mergeCell ref="L16:L17"/>
    <mergeCell ref="M16:M17"/>
    <mergeCell ref="N16:N17"/>
    <mergeCell ref="E16:E17"/>
    <mergeCell ref="D16:D17"/>
    <mergeCell ref="C16:C17"/>
    <mergeCell ref="F16:F17"/>
    <mergeCell ref="G16:G17"/>
    <mergeCell ref="H16:H17"/>
  </mergeCells>
  <phoneticPr fontId="1" type="noConversion"/>
  <printOptions horizontalCentered="1"/>
  <pageMargins left="0.59055118110236227" right="0.59055118110236227" top="0.70866141732283472" bottom="0.70866141732283472" header="0.31496062992125984" footer="0.31496062992125984"/>
  <pageSetup paperSize="9" scale="56" orientation="portrait" r:id="rId1"/>
  <rowBreaks count="1" manualBreakCount="1">
    <brk id="75" max="15" man="1"/>
  </rowBreaks>
  <ignoredErrors>
    <ignoredError sqref="O18 O19:O43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4442-B46E-400B-8B20-8C420D5DAA52}">
  <sheetPr>
    <tabColor rgb="FFFF0000"/>
  </sheetPr>
  <dimension ref="B1:S67"/>
  <sheetViews>
    <sheetView tabSelected="1" view="pageBreakPreview" topLeftCell="A23" zoomScale="130" zoomScaleNormal="70" zoomScaleSheetLayoutView="130" workbookViewId="0">
      <selection activeCell="G39" sqref="G39"/>
    </sheetView>
  </sheetViews>
  <sheetFormatPr baseColWidth="10" defaultColWidth="9.90625" defaultRowHeight="13" x14ac:dyDescent="0.3"/>
  <cols>
    <col min="1" max="1" width="2.54296875" style="9" customWidth="1"/>
    <col min="2" max="2" width="14.1796875" style="9" customWidth="1"/>
    <col min="3" max="4" width="10.6328125" style="9" customWidth="1"/>
    <col min="5" max="5" width="6.7265625" style="9" customWidth="1"/>
    <col min="6" max="7" width="10.6328125" style="9" customWidth="1"/>
    <col min="8" max="8" width="12.90625" style="9" customWidth="1"/>
    <col min="9" max="10" width="10.6328125" style="9" customWidth="1"/>
    <col min="11" max="11" width="13.26953125" style="9" customWidth="1"/>
    <col min="12" max="12" width="12.7265625" style="9" customWidth="1"/>
    <col min="13" max="16" width="10.6328125" style="9" customWidth="1"/>
    <col min="17" max="17" width="16.54296875" style="9" customWidth="1"/>
    <col min="18" max="18" width="11.90625" style="9" customWidth="1"/>
    <col min="19" max="16384" width="9.90625" style="9"/>
  </cols>
  <sheetData>
    <row r="1" spans="2:19" ht="21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ht="41.25" customHeight="1" x14ac:dyDescent="0.3">
      <c r="B2" s="99" t="s">
        <v>91</v>
      </c>
      <c r="C2" s="203" t="str">
        <f>+'A. Estación'!C2</f>
        <v>“CREACIÓN DEL SERVICIO DE PROTECCIÓN INTEGRAL A NIÑAS, NIÑOS Y ADOLESCENTES SIN CUIDADOS PARENTALES O EN RIESGO DE PERDERLOS EN CENTRO DE ACOGIDA RESIDENCIAL - VARONES DISTRITO DE MORALES DE LA PROVINCIA DE SAN MARTÍN DEL DEPARTAMENTO DE SAN MARTÍN”, con CUI N.° 2705619</v>
      </c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5"/>
      <c r="R2" s="1"/>
      <c r="S2" s="1"/>
    </row>
    <row r="3" spans="2:19" ht="18.75" customHeight="1" x14ac:dyDescent="0.3">
      <c r="B3" s="99" t="s">
        <v>92</v>
      </c>
      <c r="C3" s="206" t="str">
        <f>+'A. Estación'!C3</f>
        <v>GERENCIA TERRITORIAL BAJO MAYO</v>
      </c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8"/>
      <c r="R3" s="1"/>
      <c r="S3" s="1"/>
    </row>
    <row r="4" spans="2:19" ht="18.75" customHeight="1" x14ac:dyDescent="0.3">
      <c r="B4" s="99" t="s">
        <v>93</v>
      </c>
      <c r="C4" s="206" t="str">
        <f>+'A. Estación'!C4</f>
        <v>SAN MARTIN - SAN MARTIN - MORALES</v>
      </c>
      <c r="D4" s="207"/>
      <c r="E4" s="207"/>
      <c r="F4" s="207"/>
      <c r="G4" s="207"/>
      <c r="H4" s="207"/>
      <c r="I4" s="207"/>
      <c r="J4" s="207"/>
      <c r="K4" s="207"/>
      <c r="L4" s="207"/>
      <c r="M4" s="207"/>
      <c r="N4" s="207"/>
      <c r="O4" s="207"/>
      <c r="P4" s="207"/>
      <c r="Q4" s="208"/>
      <c r="R4" s="1"/>
      <c r="S4" s="1"/>
    </row>
    <row r="5" spans="2:19" ht="16.5" customHeight="1" x14ac:dyDescent="0.3">
      <c r="B5" s="99" t="s">
        <v>94</v>
      </c>
      <c r="C5" s="206" t="str">
        <f>+'A. Estación'!C5</f>
        <v>SETIEMBRE 2026</v>
      </c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8"/>
      <c r="R5" s="1"/>
      <c r="S5" s="1"/>
    </row>
    <row r="6" spans="2:19" s="1" customFormat="1" ht="20.149999999999999" customHeight="1" x14ac:dyDescent="0.25"/>
    <row r="7" spans="2:19" s="1" customFormat="1" ht="20.149999999999999" customHeight="1" x14ac:dyDescent="0.25">
      <c r="B7" s="4" t="s">
        <v>109</v>
      </c>
    </row>
    <row r="8" spans="2:19" s="1" customFormat="1" x14ac:dyDescent="0.25">
      <c r="C8" s="5"/>
      <c r="D8" s="5"/>
      <c r="E8" s="5"/>
      <c r="F8" s="5"/>
      <c r="G8" s="5"/>
      <c r="H8" s="5"/>
      <c r="I8" s="5"/>
      <c r="J8" s="5"/>
    </row>
    <row r="9" spans="2:19" s="1" customFormat="1" ht="20.149999999999999" customHeight="1" x14ac:dyDescent="0.25">
      <c r="B9" s="189" t="s">
        <v>98</v>
      </c>
      <c r="C9" s="189"/>
      <c r="D9" s="189"/>
      <c r="F9" s="189" t="s">
        <v>112</v>
      </c>
      <c r="G9" s="189"/>
      <c r="H9" s="189"/>
      <c r="I9" s="189"/>
      <c r="J9" s="189"/>
      <c r="L9" s="209" t="s">
        <v>113</v>
      </c>
      <c r="M9" s="209"/>
      <c r="N9" s="209"/>
      <c r="O9" s="209"/>
      <c r="P9" s="209"/>
      <c r="Q9" s="209"/>
      <c r="R9" s="209"/>
    </row>
    <row r="10" spans="2:19" s="1" customFormat="1" ht="20.149999999999999" customHeight="1" x14ac:dyDescent="0.25">
      <c r="B10" s="110" t="s">
        <v>90</v>
      </c>
      <c r="C10" s="110" t="s">
        <v>97</v>
      </c>
      <c r="D10" s="110" t="s">
        <v>1</v>
      </c>
      <c r="F10" s="111" t="s">
        <v>111</v>
      </c>
      <c r="G10" s="110" t="s">
        <v>0</v>
      </c>
      <c r="H10" s="110" t="s">
        <v>2</v>
      </c>
      <c r="I10" s="110" t="s">
        <v>3</v>
      </c>
      <c r="J10" s="111" t="s">
        <v>108</v>
      </c>
      <c r="L10" s="160" t="s">
        <v>111</v>
      </c>
      <c r="M10" s="161" t="s">
        <v>0</v>
      </c>
      <c r="N10" s="161" t="s">
        <v>2</v>
      </c>
      <c r="O10" s="161" t="s">
        <v>3</v>
      </c>
      <c r="P10" s="161" t="s">
        <v>95</v>
      </c>
      <c r="Q10" s="161" t="s">
        <v>1</v>
      </c>
      <c r="R10" s="160" t="s">
        <v>108</v>
      </c>
    </row>
    <row r="11" spans="2:19" s="1" customFormat="1" ht="20.149999999999999" customHeight="1" x14ac:dyDescent="0.25">
      <c r="B11" s="101">
        <v>1999</v>
      </c>
      <c r="C11" s="154">
        <f>'A. Estación'!O18</f>
        <v>79.3</v>
      </c>
      <c r="D11" s="155">
        <f t="shared" ref="D11:D36" si="0">LOG(C11)</f>
        <v>1.8992731873176039</v>
      </c>
      <c r="E11" s="70"/>
      <c r="F11" s="101">
        <v>2</v>
      </c>
      <c r="G11" s="156">
        <f t="shared" ref="G11:G19" si="1">1/F11</f>
        <v>0.5</v>
      </c>
      <c r="H11" s="155">
        <f t="shared" ref="H11:H19" si="2">(LN(1/G11^2))^0.5</f>
        <v>1.1774100225154747</v>
      </c>
      <c r="I11" s="155">
        <f t="shared" ref="I11:I19" si="3">+H11-(2.515517+0.802853*H11+0.010328*H11^2)/(1+1.432788*H11+0.189269*H11^2+0.001308*H11^3)</f>
        <v>-1.0100667546808495E-7</v>
      </c>
      <c r="J11" s="157">
        <f t="shared" ref="J11:J19" si="4">+$C$37+I11*$C$39</f>
        <v>79.353843924806228</v>
      </c>
      <c r="K11" s="70"/>
      <c r="L11" s="101">
        <v>2</v>
      </c>
      <c r="M11" s="156">
        <f>1/L11</f>
        <v>0.5</v>
      </c>
      <c r="N11" s="155">
        <f>(LN(1/M11^2))^0.5</f>
        <v>1.1774100225154747</v>
      </c>
      <c r="O11" s="154">
        <f>+N11-(2.515517+0.802853*N11+0.010328*N11^2)/(1+1.432788*N11+0.189269*N11^2+0.001308*N11^3)</f>
        <v>-1.0100667546808495E-7</v>
      </c>
      <c r="P11" s="155">
        <f t="shared" ref="P11:P19" si="5">+O11+(O11^2-1)*$D$41+1/3*(O11^3-6*O11)*$D$41^2-(O11^2-1)*$D$41^3+O11*$D$41^4+1/3*$D$41^5</f>
        <v>-2.6040840915248789E-2</v>
      </c>
      <c r="Q11" s="155">
        <f t="shared" ref="Q11:Q19" si="6">+$D$37+P11*$D$39</f>
        <v>1.8817547366304532</v>
      </c>
      <c r="R11" s="157">
        <f t="shared" ref="R11:R19" si="7">10^Q11</f>
        <v>76.164875519647666</v>
      </c>
    </row>
    <row r="12" spans="2:19" s="1" customFormat="1" ht="20.149999999999999" customHeight="1" x14ac:dyDescent="0.25">
      <c r="B12" s="103">
        <v>2000</v>
      </c>
      <c r="C12" s="154">
        <f>'A. Estación'!O19</f>
        <v>82.5</v>
      </c>
      <c r="D12" s="155">
        <f t="shared" si="0"/>
        <v>1.916453948549925</v>
      </c>
      <c r="E12" s="70"/>
      <c r="F12" s="101">
        <v>5</v>
      </c>
      <c r="G12" s="156">
        <f t="shared" si="1"/>
        <v>0.2</v>
      </c>
      <c r="H12" s="155">
        <f t="shared" si="2"/>
        <v>1.7941225779941015</v>
      </c>
      <c r="I12" s="155">
        <f t="shared" si="3"/>
        <v>0.84145671735478367</v>
      </c>
      <c r="J12" s="157">
        <f t="shared" si="4"/>
        <v>97.923318143375923</v>
      </c>
      <c r="K12" s="70"/>
      <c r="L12" s="101">
        <v>5</v>
      </c>
      <c r="M12" s="156">
        <f t="shared" ref="M12:M19" si="8">1/L12</f>
        <v>0.2</v>
      </c>
      <c r="N12" s="155">
        <f t="shared" ref="N12:N19" si="9">(LN(1/M12^2))^0.5</f>
        <v>1.7941225779941015</v>
      </c>
      <c r="O12" s="154">
        <f t="shared" ref="O12:O19" si="10">+N12-(2.515517+0.802853*N12+0.010328*N12^2)/(1+1.432788*N12+0.189269*N12^2+0.001308*N12^3)</f>
        <v>0.84145671735478367</v>
      </c>
      <c r="P12" s="155">
        <f t="shared" si="5"/>
        <v>0.83284658557972224</v>
      </c>
      <c r="Q12" s="155">
        <f t="shared" si="6"/>
        <v>1.9803112430452301</v>
      </c>
      <c r="R12" s="157">
        <f t="shared" si="7"/>
        <v>95.567723974641808</v>
      </c>
    </row>
    <row r="13" spans="2:19" s="1" customFormat="1" ht="20.149999999999999" customHeight="1" x14ac:dyDescent="0.25">
      <c r="B13" s="101">
        <v>2001</v>
      </c>
      <c r="C13" s="154">
        <f>'A. Estación'!O20</f>
        <v>75.900000000000006</v>
      </c>
      <c r="D13" s="155">
        <f t="shared" si="0"/>
        <v>1.8802417758954804</v>
      </c>
      <c r="E13" s="70"/>
      <c r="F13" s="101">
        <v>10</v>
      </c>
      <c r="G13" s="156">
        <f t="shared" si="1"/>
        <v>0.1</v>
      </c>
      <c r="H13" s="155">
        <f t="shared" si="2"/>
        <v>2.1459660262893472</v>
      </c>
      <c r="I13" s="155">
        <f t="shared" si="3"/>
        <v>1.2817287565027089</v>
      </c>
      <c r="J13" s="157">
        <f t="shared" si="4"/>
        <v>107.63934884360201</v>
      </c>
      <c r="K13" s="70"/>
      <c r="L13" s="101">
        <v>10</v>
      </c>
      <c r="M13" s="156">
        <f t="shared" si="8"/>
        <v>0.1</v>
      </c>
      <c r="N13" s="155">
        <f t="shared" si="9"/>
        <v>2.1459660262893472</v>
      </c>
      <c r="O13" s="154">
        <f t="shared" si="10"/>
        <v>1.2817287565027089</v>
      </c>
      <c r="P13" s="155">
        <f t="shared" si="5"/>
        <v>1.297205001612427</v>
      </c>
      <c r="Q13" s="155">
        <f t="shared" si="6"/>
        <v>2.0335959248285547</v>
      </c>
      <c r="R13" s="157">
        <f t="shared" si="7"/>
        <v>108.04282342020164</v>
      </c>
    </row>
    <row r="14" spans="2:19" s="1" customFormat="1" ht="20.149999999999999" customHeight="1" x14ac:dyDescent="0.25">
      <c r="B14" s="103">
        <v>2002</v>
      </c>
      <c r="C14" s="154">
        <f>'A. Estación'!O21</f>
        <v>43.6</v>
      </c>
      <c r="D14" s="155">
        <f t="shared" si="0"/>
        <v>1.6394864892685861</v>
      </c>
      <c r="E14" s="70"/>
      <c r="F14" s="101">
        <v>20</v>
      </c>
      <c r="G14" s="156">
        <f t="shared" si="1"/>
        <v>0.05</v>
      </c>
      <c r="H14" s="155">
        <f t="shared" si="2"/>
        <v>2.4477468306808166</v>
      </c>
      <c r="I14" s="155">
        <f t="shared" si="3"/>
        <v>1.6452114401438158</v>
      </c>
      <c r="J14" s="157">
        <f t="shared" si="4"/>
        <v>115.66077332491227</v>
      </c>
      <c r="K14" s="70"/>
      <c r="L14" s="101">
        <v>20</v>
      </c>
      <c r="M14" s="156">
        <f t="shared" si="8"/>
        <v>0.05</v>
      </c>
      <c r="N14" s="155">
        <f t="shared" si="9"/>
        <v>2.4477468306808166</v>
      </c>
      <c r="O14" s="154">
        <f t="shared" si="10"/>
        <v>1.6452114401438158</v>
      </c>
      <c r="P14" s="155">
        <f t="shared" si="5"/>
        <v>1.6884300970730879</v>
      </c>
      <c r="Q14" s="155">
        <f t="shared" si="6"/>
        <v>2.0784886283901152</v>
      </c>
      <c r="R14" s="157">
        <f t="shared" si="7"/>
        <v>119.80877519305307</v>
      </c>
    </row>
    <row r="15" spans="2:19" s="1" customFormat="1" ht="20.149999999999999" customHeight="1" x14ac:dyDescent="0.25">
      <c r="B15" s="101">
        <v>2003</v>
      </c>
      <c r="C15" s="154">
        <f>'A. Estación'!O22</f>
        <v>84.5</v>
      </c>
      <c r="D15" s="155">
        <f t="shared" si="0"/>
        <v>1.9268567089496924</v>
      </c>
      <c r="E15" s="70"/>
      <c r="F15" s="101">
        <v>25</v>
      </c>
      <c r="G15" s="156">
        <f t="shared" si="1"/>
        <v>0.04</v>
      </c>
      <c r="H15" s="155">
        <f t="shared" si="2"/>
        <v>2.5372724823590391</v>
      </c>
      <c r="I15" s="155">
        <f t="shared" si="3"/>
        <v>1.751076531101869</v>
      </c>
      <c r="J15" s="157">
        <f t="shared" si="4"/>
        <v>117.99702996256144</v>
      </c>
      <c r="K15" s="70"/>
      <c r="L15" s="101">
        <v>25</v>
      </c>
      <c r="M15" s="156">
        <f>1/L15</f>
        <v>0.04</v>
      </c>
      <c r="N15" s="155">
        <f>(LN(1/M15^2))^0.5</f>
        <v>2.5372724823590391</v>
      </c>
      <c r="O15" s="154">
        <f>+N15-(2.515517+0.802853*N15+0.010328*N15^2)/(1+1.432788*N15+0.189269*N15^2+0.001308*N15^3)</f>
        <v>1.751076531101869</v>
      </c>
      <c r="P15" s="155">
        <f t="shared" si="5"/>
        <v>1.8037217360714068</v>
      </c>
      <c r="Q15" s="155">
        <f t="shared" si="6"/>
        <v>2.0917182331182667</v>
      </c>
      <c r="R15" s="157">
        <f t="shared" si="7"/>
        <v>123.51458204316748</v>
      </c>
    </row>
    <row r="16" spans="2:19" s="1" customFormat="1" ht="20.149999999999999" customHeight="1" x14ac:dyDescent="0.25">
      <c r="B16" s="103">
        <v>2004</v>
      </c>
      <c r="C16" s="154">
        <f>'A. Estación'!O23</f>
        <v>64.2</v>
      </c>
      <c r="D16" s="155">
        <f t="shared" si="0"/>
        <v>1.8075350280688534</v>
      </c>
      <c r="E16" s="70"/>
      <c r="F16" s="101">
        <v>50</v>
      </c>
      <c r="G16" s="156">
        <f t="shared" si="1"/>
        <v>0.02</v>
      </c>
      <c r="H16" s="155">
        <f t="shared" si="2"/>
        <v>2.7971496225365371</v>
      </c>
      <c r="I16" s="155">
        <f t="shared" si="3"/>
        <v>2.0541885887218987</v>
      </c>
      <c r="J16" s="157">
        <f t="shared" si="4"/>
        <v>124.68618075020755</v>
      </c>
      <c r="K16" s="70"/>
      <c r="L16" s="101">
        <v>50</v>
      </c>
      <c r="M16" s="156">
        <f t="shared" si="8"/>
        <v>0.02</v>
      </c>
      <c r="N16" s="155">
        <f t="shared" si="9"/>
        <v>2.7971496225365371</v>
      </c>
      <c r="O16" s="154">
        <f t="shared" si="10"/>
        <v>2.0541885887218987</v>
      </c>
      <c r="P16" s="155">
        <f t="shared" si="5"/>
        <v>2.1372049097977506</v>
      </c>
      <c r="Q16" s="155">
        <f t="shared" si="6"/>
        <v>2.1299851066766644</v>
      </c>
      <c r="R16" s="157">
        <f t="shared" si="7"/>
        <v>134.89166232060634</v>
      </c>
    </row>
    <row r="17" spans="2:18" s="1" customFormat="1" ht="20.149999999999999" customHeight="1" x14ac:dyDescent="0.25">
      <c r="B17" s="101">
        <v>2005</v>
      </c>
      <c r="C17" s="154">
        <f>'A. Estación'!O24</f>
        <v>71</v>
      </c>
      <c r="D17" s="155">
        <f t="shared" si="0"/>
        <v>1.8512583487190752</v>
      </c>
      <c r="E17" s="70"/>
      <c r="F17" s="101">
        <v>100</v>
      </c>
      <c r="G17" s="156">
        <f t="shared" si="1"/>
        <v>0.01</v>
      </c>
      <c r="H17" s="155">
        <f t="shared" si="2"/>
        <v>3.0348542587702929</v>
      </c>
      <c r="I17" s="155">
        <f t="shared" si="3"/>
        <v>2.3267853325589662</v>
      </c>
      <c r="J17" s="157">
        <f t="shared" si="4"/>
        <v>130.70191215352008</v>
      </c>
      <c r="K17" s="70"/>
      <c r="L17" s="101">
        <v>100</v>
      </c>
      <c r="M17" s="156">
        <f t="shared" si="8"/>
        <v>0.01</v>
      </c>
      <c r="N17" s="155">
        <f t="shared" si="9"/>
        <v>3.0348542587702929</v>
      </c>
      <c r="O17" s="154">
        <f t="shared" si="10"/>
        <v>2.3267853325589662</v>
      </c>
      <c r="P17" s="155">
        <f t="shared" si="5"/>
        <v>2.4414197696965827</v>
      </c>
      <c r="Q17" s="155">
        <f t="shared" si="6"/>
        <v>2.1648934693633142</v>
      </c>
      <c r="R17" s="157">
        <f t="shared" si="7"/>
        <v>146.18185524411615</v>
      </c>
    </row>
    <row r="18" spans="2:18" s="1" customFormat="1" ht="20.149999999999999" customHeight="1" x14ac:dyDescent="0.25">
      <c r="B18" s="103">
        <v>2006</v>
      </c>
      <c r="C18" s="154">
        <f>'A. Estación'!O25</f>
        <v>113.3</v>
      </c>
      <c r="D18" s="155">
        <f t="shared" si="0"/>
        <v>2.0542299098633974</v>
      </c>
      <c r="E18" s="70"/>
      <c r="F18" s="101">
        <v>200</v>
      </c>
      <c r="G18" s="156">
        <f t="shared" si="1"/>
        <v>5.0000000000000001E-3</v>
      </c>
      <c r="H18" s="155">
        <f t="shared" si="2"/>
        <v>3.2552472614374586</v>
      </c>
      <c r="I18" s="155">
        <f t="shared" si="3"/>
        <v>2.5762360813095708</v>
      </c>
      <c r="J18" s="157">
        <f t="shared" si="4"/>
        <v>136.20685209416649</v>
      </c>
      <c r="K18" s="70"/>
      <c r="L18" s="101">
        <v>200</v>
      </c>
      <c r="M18" s="156">
        <f t="shared" si="8"/>
        <v>5.0000000000000001E-3</v>
      </c>
      <c r="N18" s="155">
        <f>(LN(1/M18^2))^0.5</f>
        <v>3.2552472614374586</v>
      </c>
      <c r="O18" s="154">
        <f t="shared" si="10"/>
        <v>2.5762360813095708</v>
      </c>
      <c r="P18" s="155">
        <f t="shared" si="5"/>
        <v>2.7234001938882897</v>
      </c>
      <c r="Q18" s="155">
        <f t="shared" si="6"/>
        <v>2.1972504519298233</v>
      </c>
      <c r="R18" s="157">
        <f t="shared" si="7"/>
        <v>157.48908215119906</v>
      </c>
    </row>
    <row r="19" spans="2:18" s="1" customFormat="1" ht="20.149999999999999" customHeight="1" x14ac:dyDescent="0.25">
      <c r="B19" s="101">
        <v>2007</v>
      </c>
      <c r="C19" s="154">
        <f>'A. Estación'!O26</f>
        <v>63.5</v>
      </c>
      <c r="D19" s="155">
        <f t="shared" si="0"/>
        <v>1.8027737252919758</v>
      </c>
      <c r="E19" s="70"/>
      <c r="F19" s="101">
        <v>500</v>
      </c>
      <c r="G19" s="156">
        <f t="shared" si="1"/>
        <v>2E-3</v>
      </c>
      <c r="H19" s="155">
        <f t="shared" si="2"/>
        <v>3.5255093528232742</v>
      </c>
      <c r="I19" s="155">
        <f t="shared" si="3"/>
        <v>2.8785061077422442</v>
      </c>
      <c r="J19" s="157">
        <f t="shared" si="4"/>
        <v>142.87742073227903</v>
      </c>
      <c r="K19" s="70"/>
      <c r="L19" s="101">
        <v>500</v>
      </c>
      <c r="M19" s="156">
        <f t="shared" si="8"/>
        <v>2E-3</v>
      </c>
      <c r="N19" s="155">
        <f t="shared" si="9"/>
        <v>3.5255093528232742</v>
      </c>
      <c r="O19" s="154">
        <f t="shared" si="10"/>
        <v>2.8785061077422442</v>
      </c>
      <c r="P19" s="155">
        <f t="shared" si="5"/>
        <v>3.0697243185886443</v>
      </c>
      <c r="Q19" s="155">
        <f t="shared" si="6"/>
        <v>2.2369908122665829</v>
      </c>
      <c r="R19" s="157">
        <f t="shared" si="7"/>
        <v>172.58013813472925</v>
      </c>
    </row>
    <row r="20" spans="2:18" s="1" customFormat="1" ht="20.149999999999999" customHeight="1" x14ac:dyDescent="0.25">
      <c r="B20" s="103">
        <v>2008</v>
      </c>
      <c r="C20" s="154">
        <f>'A. Estación'!O27</f>
        <v>91</v>
      </c>
      <c r="D20" s="155">
        <f t="shared" si="0"/>
        <v>1.9590413923210936</v>
      </c>
      <c r="E20" s="70"/>
      <c r="F20" s="70"/>
      <c r="G20" s="158"/>
      <c r="H20" s="70"/>
      <c r="I20" s="70"/>
      <c r="J20" s="70"/>
      <c r="K20" s="70"/>
      <c r="L20" s="70"/>
      <c r="M20" s="70"/>
      <c r="N20" s="70"/>
      <c r="O20" s="70"/>
      <c r="P20" s="70"/>
      <c r="Q20" s="70"/>
    </row>
    <row r="21" spans="2:18" s="1" customFormat="1" ht="20.149999999999999" customHeight="1" x14ac:dyDescent="0.25">
      <c r="B21" s="101">
        <v>2009</v>
      </c>
      <c r="C21" s="154">
        <f>'A. Estación'!O28</f>
        <v>49</v>
      </c>
      <c r="D21" s="155">
        <f t="shared" si="0"/>
        <v>1.6901960800285136</v>
      </c>
      <c r="E21" s="70"/>
      <c r="L21" s="70"/>
      <c r="M21" s="70"/>
      <c r="N21" s="70"/>
      <c r="O21" s="70"/>
      <c r="P21" s="70"/>
      <c r="Q21" s="70"/>
    </row>
    <row r="22" spans="2:18" s="1" customFormat="1" ht="20.149999999999999" customHeight="1" x14ac:dyDescent="0.25">
      <c r="B22" s="103">
        <v>2010</v>
      </c>
      <c r="C22" s="154">
        <f>'A. Estación'!O29</f>
        <v>98.4</v>
      </c>
      <c r="D22" s="155">
        <f t="shared" si="0"/>
        <v>1.9929950984313416</v>
      </c>
      <c r="E22" s="70"/>
      <c r="L22" s="70"/>
      <c r="M22" s="70"/>
      <c r="N22" s="70"/>
      <c r="O22" s="70"/>
      <c r="P22" s="70"/>
      <c r="Q22" s="70"/>
    </row>
    <row r="23" spans="2:18" s="1" customFormat="1" ht="20.149999999999999" customHeight="1" x14ac:dyDescent="0.25">
      <c r="B23" s="101">
        <v>2011</v>
      </c>
      <c r="C23" s="154">
        <f>'A. Estación'!O30</f>
        <v>65.2</v>
      </c>
      <c r="D23" s="155">
        <f t="shared" si="0"/>
        <v>1.8142475957319202</v>
      </c>
      <c r="E23" s="70"/>
      <c r="L23" s="70"/>
      <c r="M23" s="70"/>
      <c r="N23" s="70"/>
      <c r="O23" s="70"/>
      <c r="P23" s="70"/>
      <c r="Q23" s="70"/>
    </row>
    <row r="24" spans="2:18" s="1" customFormat="1" ht="20.149999999999999" customHeight="1" x14ac:dyDescent="0.25">
      <c r="B24" s="103">
        <v>2012</v>
      </c>
      <c r="C24" s="154">
        <f>'A. Estación'!O31</f>
        <v>100.5</v>
      </c>
      <c r="D24" s="155">
        <f t="shared" si="0"/>
        <v>2.0021660617565078</v>
      </c>
      <c r="E24" s="70"/>
      <c r="L24" s="70"/>
      <c r="M24" s="70"/>
      <c r="N24" s="70"/>
      <c r="O24" s="70"/>
      <c r="P24" s="70"/>
      <c r="Q24" s="70"/>
    </row>
    <row r="25" spans="2:18" s="1" customFormat="1" ht="20.149999999999999" customHeight="1" x14ac:dyDescent="0.25">
      <c r="B25" s="101">
        <v>2013</v>
      </c>
      <c r="C25" s="154">
        <f>'A. Estación'!O32</f>
        <v>71.7</v>
      </c>
      <c r="D25" s="155">
        <f t="shared" si="0"/>
        <v>1.8555191556678001</v>
      </c>
      <c r="E25" s="70"/>
      <c r="L25" s="70"/>
      <c r="M25" s="70"/>
      <c r="N25" s="70"/>
      <c r="O25" s="70"/>
      <c r="P25" s="70"/>
      <c r="Q25" s="70"/>
    </row>
    <row r="26" spans="2:18" s="1" customFormat="1" ht="20.149999999999999" customHeight="1" x14ac:dyDescent="0.25">
      <c r="B26" s="103">
        <v>2014</v>
      </c>
      <c r="C26" s="154">
        <f>'A. Estación'!O33</f>
        <v>89.5</v>
      </c>
      <c r="D26" s="155">
        <f t="shared" si="0"/>
        <v>1.9518230353159121</v>
      </c>
      <c r="E26" s="70"/>
      <c r="L26" s="70"/>
      <c r="M26" s="70"/>
      <c r="N26" s="70"/>
      <c r="O26" s="70"/>
      <c r="P26" s="70"/>
      <c r="Q26" s="70"/>
    </row>
    <row r="27" spans="2:18" s="1" customFormat="1" ht="20.149999999999999" customHeight="1" x14ac:dyDescent="0.25">
      <c r="B27" s="101">
        <v>2015</v>
      </c>
      <c r="C27" s="154">
        <f>'A. Estación'!O34</f>
        <v>64.2</v>
      </c>
      <c r="D27" s="155">
        <f t="shared" si="0"/>
        <v>1.8075350280688534</v>
      </c>
      <c r="E27" s="70"/>
      <c r="L27" s="70"/>
      <c r="M27" s="70"/>
      <c r="N27" s="70"/>
      <c r="O27" s="70"/>
      <c r="P27" s="70"/>
      <c r="Q27" s="70"/>
    </row>
    <row r="28" spans="2:18" s="1" customFormat="1" ht="20.149999999999999" customHeight="1" x14ac:dyDescent="0.25">
      <c r="B28" s="103">
        <v>2016</v>
      </c>
      <c r="C28" s="154">
        <f>'A. Estación'!O35</f>
        <v>50</v>
      </c>
      <c r="D28" s="155">
        <f t="shared" si="0"/>
        <v>1.6989700043360187</v>
      </c>
      <c r="E28" s="70"/>
      <c r="L28" s="70"/>
      <c r="M28" s="70"/>
      <c r="N28" s="70"/>
      <c r="O28" s="70"/>
      <c r="P28" s="70"/>
      <c r="Q28" s="70"/>
    </row>
    <row r="29" spans="2:18" s="1" customFormat="1" ht="20.149999999999999" customHeight="1" x14ac:dyDescent="0.25">
      <c r="B29" s="101">
        <v>2017</v>
      </c>
      <c r="C29" s="154">
        <f>'A. Estación'!O36</f>
        <v>73.599999999999994</v>
      </c>
      <c r="D29" s="155">
        <f t="shared" si="0"/>
        <v>1.8668778143374989</v>
      </c>
      <c r="E29" s="70"/>
      <c r="L29" s="70"/>
      <c r="M29" s="70"/>
      <c r="N29" s="70"/>
      <c r="O29" s="70"/>
      <c r="P29" s="70"/>
      <c r="Q29" s="70"/>
    </row>
    <row r="30" spans="2:18" s="1" customFormat="1" ht="20.149999999999999" customHeight="1" x14ac:dyDescent="0.25">
      <c r="B30" s="103">
        <v>2018</v>
      </c>
      <c r="C30" s="154">
        <f>'A. Estación'!O37</f>
        <v>69.599999999999994</v>
      </c>
      <c r="D30" s="155">
        <f t="shared" si="0"/>
        <v>1.842609239610562</v>
      </c>
      <c r="E30" s="70"/>
      <c r="L30" s="70"/>
      <c r="M30" s="70"/>
      <c r="N30" s="70"/>
      <c r="O30" s="70"/>
      <c r="P30" s="70"/>
      <c r="Q30" s="70"/>
    </row>
    <row r="31" spans="2:18" s="1" customFormat="1" ht="20.149999999999999" customHeight="1" x14ac:dyDescent="0.25">
      <c r="B31" s="101">
        <v>2019</v>
      </c>
      <c r="C31" s="154">
        <f>'A. Estación'!O38</f>
        <v>86.9</v>
      </c>
      <c r="D31" s="155">
        <f t="shared" si="0"/>
        <v>1.9390197764486665</v>
      </c>
      <c r="E31" s="70"/>
      <c r="L31" s="70"/>
      <c r="M31" s="70"/>
      <c r="N31" s="70"/>
      <c r="O31" s="70"/>
      <c r="P31" s="70"/>
      <c r="Q31" s="70"/>
    </row>
    <row r="32" spans="2:18" s="1" customFormat="1" ht="20.149999999999999" customHeight="1" x14ac:dyDescent="0.25">
      <c r="B32" s="103">
        <v>2020</v>
      </c>
      <c r="C32" s="154">
        <f>'A. Estación'!O39</f>
        <v>152.5</v>
      </c>
      <c r="D32" s="155">
        <f t="shared" si="0"/>
        <v>2.1832698436828046</v>
      </c>
      <c r="E32" s="70"/>
      <c r="F32" s="143"/>
      <c r="G32" s="162"/>
      <c r="H32" s="163"/>
      <c r="I32" s="163"/>
      <c r="J32" s="163"/>
      <c r="K32" s="164"/>
      <c r="L32" s="70"/>
      <c r="M32" s="70"/>
      <c r="N32" s="70"/>
      <c r="O32" s="70"/>
      <c r="P32" s="70"/>
      <c r="Q32" s="70"/>
    </row>
    <row r="33" spans="2:17" s="1" customFormat="1" ht="20.149999999999999" customHeight="1" x14ac:dyDescent="0.25">
      <c r="B33" s="101">
        <v>2021</v>
      </c>
      <c r="C33" s="154">
        <f>'A. Estación'!O40</f>
        <v>73.5</v>
      </c>
      <c r="D33" s="155">
        <f t="shared" si="0"/>
        <v>1.866287339084195</v>
      </c>
      <c r="E33" s="70"/>
      <c r="M33" s="70"/>
      <c r="N33" s="70"/>
      <c r="O33" s="70"/>
      <c r="P33" s="70"/>
      <c r="Q33" s="70"/>
    </row>
    <row r="34" spans="2:17" s="1" customFormat="1" ht="20.149999999999999" customHeight="1" x14ac:dyDescent="0.25">
      <c r="B34" s="103">
        <v>2022</v>
      </c>
      <c r="C34" s="154">
        <f>'A. Estación'!O41</f>
        <v>85.2</v>
      </c>
      <c r="D34" s="155">
        <f t="shared" si="0"/>
        <v>1.9304395947667001</v>
      </c>
      <c r="E34" s="70"/>
      <c r="M34" s="70"/>
      <c r="N34" s="70"/>
      <c r="O34" s="70"/>
      <c r="P34" s="70"/>
      <c r="Q34" s="70"/>
    </row>
    <row r="35" spans="2:17" s="1" customFormat="1" ht="20.149999999999999" customHeight="1" x14ac:dyDescent="0.25">
      <c r="B35" s="101">
        <v>2023</v>
      </c>
      <c r="C35" s="154">
        <f>'A. Estación'!O42</f>
        <v>92.4</v>
      </c>
      <c r="D35" s="155">
        <f t="shared" si="0"/>
        <v>1.9656719712201067</v>
      </c>
      <c r="E35" s="70"/>
      <c r="M35" s="70"/>
      <c r="N35" s="70"/>
      <c r="O35" s="70"/>
      <c r="P35" s="70"/>
      <c r="Q35" s="70"/>
    </row>
    <row r="36" spans="2:17" s="1" customFormat="1" ht="20.149999999999999" customHeight="1" x14ac:dyDescent="0.25">
      <c r="B36" s="103">
        <v>2024</v>
      </c>
      <c r="C36" s="154">
        <f>'A. Estación'!O43</f>
        <v>72.2</v>
      </c>
      <c r="D36" s="155">
        <f t="shared" si="0"/>
        <v>1.8585371975696392</v>
      </c>
      <c r="E36" s="70"/>
      <c r="M36" s="70"/>
      <c r="N36" s="70"/>
      <c r="O36" s="70"/>
      <c r="P36" s="70"/>
      <c r="Q36" s="70"/>
    </row>
    <row r="37" spans="2:17" s="1" customFormat="1" ht="20.149999999999999" customHeight="1" x14ac:dyDescent="0.25">
      <c r="B37" s="165" t="s">
        <v>115</v>
      </c>
      <c r="C37" s="102">
        <f>AVERAGE(C11:C36)</f>
        <v>79.353846153846163</v>
      </c>
      <c r="D37" s="166">
        <f>AVERAGE(D11:D36)</f>
        <v>1.8847428980885659</v>
      </c>
      <c r="E37" s="70"/>
      <c r="M37" s="70"/>
      <c r="N37" s="70"/>
      <c r="O37" s="70"/>
      <c r="P37" s="70"/>
      <c r="Q37" s="70"/>
    </row>
    <row r="38" spans="2:17" s="1" customFormat="1" ht="20.149999999999999" customHeight="1" x14ac:dyDescent="0.25">
      <c r="B38" s="165" t="s">
        <v>116</v>
      </c>
      <c r="C38" s="102">
        <f>+C39^2</f>
        <v>487.00738461538452</v>
      </c>
      <c r="D38" s="102">
        <f>+D39^2</f>
        <v>1.3167341848629088E-2</v>
      </c>
      <c r="E38" s="70"/>
      <c r="M38" s="70"/>
      <c r="N38" s="70"/>
      <c r="O38" s="70"/>
      <c r="P38" s="70"/>
      <c r="Q38" s="70"/>
    </row>
    <row r="39" spans="2:17" s="1" customFormat="1" ht="20.149999999999999" customHeight="1" x14ac:dyDescent="0.25">
      <c r="B39" s="165" t="s">
        <v>119</v>
      </c>
      <c r="C39" s="166">
        <f>STDEV(C11:C36)</f>
        <v>22.068243804512051</v>
      </c>
      <c r="D39" s="166">
        <f>STDEV(D11:D36)</f>
        <v>0.11474903855209022</v>
      </c>
      <c r="E39" s="70"/>
      <c r="M39" s="70"/>
      <c r="N39" s="70"/>
      <c r="O39" s="70"/>
      <c r="P39" s="70"/>
      <c r="Q39" s="70"/>
    </row>
    <row r="40" spans="2:17" s="1" customFormat="1" ht="20.149999999999999" customHeight="1" x14ac:dyDescent="0.25">
      <c r="B40" s="165" t="s">
        <v>117</v>
      </c>
      <c r="C40" s="166">
        <f>SKEW(C11:C36)</f>
        <v>1.3586957911481008</v>
      </c>
      <c r="D40" s="166">
        <f>SKEW(D11:D36)</f>
        <v>0.15635063298838556</v>
      </c>
      <c r="E40" s="70"/>
      <c r="M40" s="70"/>
      <c r="N40" s="70"/>
      <c r="O40" s="70"/>
      <c r="P40" s="70"/>
      <c r="Q40" s="70"/>
    </row>
    <row r="41" spans="2:17" s="1" customFormat="1" ht="20.149999999999999" customHeight="1" x14ac:dyDescent="0.25">
      <c r="B41" s="165" t="s">
        <v>118</v>
      </c>
      <c r="C41" s="167"/>
      <c r="D41" s="166">
        <f>+D40/6</f>
        <v>2.6058438831397593E-2</v>
      </c>
      <c r="E41" s="70"/>
      <c r="M41" s="70"/>
      <c r="N41" s="70"/>
      <c r="O41" s="70"/>
      <c r="P41" s="70"/>
      <c r="Q41" s="70"/>
    </row>
    <row r="42" spans="2:17" s="1" customFormat="1" ht="20.149999999999999" customHeight="1" x14ac:dyDescent="0.25">
      <c r="B42" s="168" t="s">
        <v>120</v>
      </c>
      <c r="C42" s="159">
        <f>COUNT(C11:C36)</f>
        <v>26</v>
      </c>
      <c r="D42" s="159">
        <f>COUNT(D11:D36)</f>
        <v>26</v>
      </c>
      <c r="E42" s="70"/>
      <c r="M42" s="70"/>
      <c r="N42" s="70"/>
      <c r="O42" s="70"/>
      <c r="P42" s="70"/>
      <c r="Q42" s="70"/>
    </row>
    <row r="43" spans="2:17" s="1" customFormat="1" ht="20.149999999999999" customHeight="1" x14ac:dyDescent="0.25">
      <c r="B43" s="70"/>
      <c r="C43" s="70"/>
      <c r="D43" s="70"/>
      <c r="E43" s="70"/>
      <c r="M43" s="70"/>
      <c r="N43" s="70"/>
      <c r="O43" s="70"/>
      <c r="P43" s="70"/>
      <c r="Q43" s="70"/>
    </row>
    <row r="44" spans="2:17" s="1" customFormat="1" ht="20.149999999999999" customHeight="1" x14ac:dyDescent="0.25">
      <c r="B44" s="70"/>
      <c r="J44" s="70"/>
      <c r="K44" s="70"/>
      <c r="L44" s="70"/>
      <c r="M44" s="70"/>
      <c r="N44" s="70"/>
      <c r="O44" s="70"/>
      <c r="P44" s="70"/>
      <c r="Q44" s="70"/>
    </row>
    <row r="45" spans="2:17" s="1" customFormat="1" ht="33.5" customHeight="1" x14ac:dyDescent="0.25">
      <c r="B45" s="70"/>
      <c r="C45" s="210" t="s">
        <v>122</v>
      </c>
      <c r="D45" s="210"/>
      <c r="E45" s="210"/>
      <c r="J45" s="70"/>
      <c r="K45" s="70"/>
      <c r="L45" s="70"/>
      <c r="M45" s="70"/>
      <c r="N45" s="70"/>
      <c r="O45" s="70"/>
      <c r="P45" s="70"/>
      <c r="Q45" s="70"/>
    </row>
    <row r="46" spans="2:17" s="1" customFormat="1" ht="20.149999999999999" customHeight="1" x14ac:dyDescent="0.25">
      <c r="B46" s="143"/>
      <c r="C46" s="160" t="s">
        <v>111</v>
      </c>
      <c r="D46" s="161" t="s">
        <v>95</v>
      </c>
      <c r="E46" s="160" t="s">
        <v>108</v>
      </c>
      <c r="J46" s="70"/>
      <c r="K46" s="70"/>
      <c r="L46" s="70"/>
      <c r="M46" s="70"/>
      <c r="N46" s="70"/>
      <c r="O46" s="70"/>
      <c r="P46" s="70"/>
      <c r="Q46" s="70"/>
    </row>
    <row r="47" spans="2:17" s="1" customFormat="1" ht="20.149999999999999" customHeight="1" x14ac:dyDescent="0.25">
      <c r="B47" s="70"/>
      <c r="C47" s="101">
        <v>2</v>
      </c>
      <c r="D47" s="156">
        <f t="shared" ref="D47:D55" si="11">-SQRT(6)/PI()*(0.5772+LN(LN(C47/(C47-1))))</f>
        <v>-0.16427204188374181</v>
      </c>
      <c r="E47" s="157">
        <f t="shared" ref="E47:E55" si="12">$C$37+D47*$C$39</f>
        <v>75.728650683290738</v>
      </c>
      <c r="J47" s="70"/>
      <c r="K47" s="70"/>
      <c r="L47" s="70"/>
      <c r="M47" s="70"/>
      <c r="N47" s="70"/>
      <c r="O47" s="70"/>
      <c r="P47" s="70"/>
      <c r="Q47" s="70"/>
    </row>
    <row r="48" spans="2:17" s="1" customFormat="1" ht="20.149999999999999" customHeight="1" x14ac:dyDescent="0.25">
      <c r="B48" s="70"/>
      <c r="C48" s="101">
        <v>5</v>
      </c>
      <c r="D48" s="156">
        <f t="shared" si="11"/>
        <v>0.7194574160467988</v>
      </c>
      <c r="E48" s="157">
        <f t="shared" si="12"/>
        <v>95.231007818131175</v>
      </c>
      <c r="P48" s="70"/>
      <c r="Q48" s="70"/>
    </row>
    <row r="49" spans="2:18" s="1" customFormat="1" ht="20.149999999999999" customHeight="1" x14ac:dyDescent="0.25">
      <c r="B49" s="70"/>
      <c r="C49" s="101">
        <v>10</v>
      </c>
      <c r="D49" s="156">
        <f t="shared" si="11"/>
        <v>1.3045632130342124</v>
      </c>
      <c r="E49" s="157">
        <f t="shared" si="12"/>
        <v>108.14326519748275</v>
      </c>
      <c r="P49" s="70"/>
      <c r="Q49" s="70"/>
    </row>
    <row r="50" spans="2:18" s="1" customFormat="1" ht="20.149999999999999" customHeight="1" x14ac:dyDescent="0.25">
      <c r="B50" s="70"/>
      <c r="C50" s="101">
        <v>20</v>
      </c>
      <c r="D50" s="156">
        <f t="shared" si="11"/>
        <v>1.8658107410455604</v>
      </c>
      <c r="E50" s="157">
        <f t="shared" si="12"/>
        <v>120.52901248031689</v>
      </c>
      <c r="P50" s="70"/>
      <c r="Q50" s="70"/>
    </row>
    <row r="51" spans="2:18" s="1" customFormat="1" ht="20.149999999999999" customHeight="1" x14ac:dyDescent="0.25">
      <c r="B51" s="70"/>
      <c r="C51" s="101">
        <v>25</v>
      </c>
      <c r="D51" s="156">
        <f t="shared" si="11"/>
        <v>2.0438459386132064</v>
      </c>
      <c r="E51" s="157">
        <f t="shared" si="12"/>
        <v>124.45793662602418</v>
      </c>
      <c r="P51" s="70"/>
      <c r="Q51" s="70"/>
    </row>
    <row r="52" spans="2:18" s="1" customFormat="1" ht="20.149999999999999" customHeight="1" x14ac:dyDescent="0.25">
      <c r="B52" s="70"/>
      <c r="C52" s="101">
        <v>50</v>
      </c>
      <c r="D52" s="156">
        <f t="shared" si="11"/>
        <v>2.5922880965305142</v>
      </c>
      <c r="E52" s="157">
        <f t="shared" si="12"/>
        <v>136.56109187961601</v>
      </c>
      <c r="P52" s="70"/>
      <c r="Q52" s="70"/>
    </row>
    <row r="53" spans="2:18" s="1" customFormat="1" ht="20.149999999999999" customHeight="1" x14ac:dyDescent="0.25">
      <c r="B53" s="70"/>
      <c r="C53" s="101">
        <v>100</v>
      </c>
      <c r="D53" s="156">
        <f t="shared" si="11"/>
        <v>3.1366806436431842</v>
      </c>
      <c r="E53" s="157">
        <f t="shared" si="12"/>
        <v>148.57487933465774</v>
      </c>
      <c r="P53" s="70"/>
      <c r="Q53" s="70"/>
    </row>
    <row r="54" spans="2:18" ht="20.149999999999999" customHeight="1" x14ac:dyDescent="0.35">
      <c r="B54" s="169"/>
      <c r="C54" s="101">
        <v>200</v>
      </c>
      <c r="D54" s="156">
        <f t="shared" si="11"/>
        <v>3.679086793796956</v>
      </c>
      <c r="E54" s="157">
        <f t="shared" si="12"/>
        <v>160.54483049731795</v>
      </c>
      <c r="P54" s="169"/>
      <c r="Q54" s="169"/>
      <c r="R54" s="1"/>
    </row>
    <row r="55" spans="2:18" ht="20.149999999999999" customHeight="1" x14ac:dyDescent="0.35">
      <c r="B55" s="169"/>
      <c r="C55" s="101">
        <v>500</v>
      </c>
      <c r="D55" s="156">
        <f t="shared" si="11"/>
        <v>4.3946887142592912</v>
      </c>
      <c r="E55" s="157">
        <f t="shared" si="12"/>
        <v>176.33690814505781</v>
      </c>
      <c r="P55" s="169"/>
      <c r="Q55" s="169"/>
      <c r="R55" s="1"/>
    </row>
    <row r="56" spans="2:18" ht="27.5" customHeight="1" x14ac:dyDescent="0.35">
      <c r="B56" s="70"/>
      <c r="F56" s="70"/>
      <c r="G56" s="70"/>
      <c r="H56" s="70"/>
      <c r="P56" s="169"/>
      <c r="Q56" s="169"/>
      <c r="R56" s="1"/>
    </row>
    <row r="57" spans="2:18" ht="25.5" customHeight="1" x14ac:dyDescent="0.35">
      <c r="B57" s="169"/>
      <c r="C57" s="209" t="s">
        <v>114</v>
      </c>
      <c r="D57" s="209"/>
      <c r="E57" s="209"/>
      <c r="F57" s="209"/>
      <c r="G57" s="209"/>
      <c r="H57" s="209"/>
      <c r="P57" s="169"/>
      <c r="Q57" s="169"/>
      <c r="R57" s="1"/>
    </row>
    <row r="58" spans="2:18" ht="20.149999999999999" customHeight="1" x14ac:dyDescent="0.35">
      <c r="B58" s="169"/>
      <c r="C58" s="160" t="s">
        <v>110</v>
      </c>
      <c r="D58" s="161" t="s">
        <v>0</v>
      </c>
      <c r="E58" s="161" t="s">
        <v>2</v>
      </c>
      <c r="F58" s="161" t="s">
        <v>3</v>
      </c>
      <c r="G58" s="160" t="s">
        <v>1</v>
      </c>
      <c r="H58" s="160" t="s">
        <v>108</v>
      </c>
      <c r="P58" s="169"/>
      <c r="Q58" s="169"/>
      <c r="R58" s="1"/>
    </row>
    <row r="59" spans="2:18" ht="20.149999999999999" customHeight="1" x14ac:dyDescent="0.35">
      <c r="B59" s="169"/>
      <c r="C59" s="101">
        <v>2</v>
      </c>
      <c r="D59" s="156">
        <f t="shared" ref="D59:D67" si="13">1/C59</f>
        <v>0.5</v>
      </c>
      <c r="E59" s="155">
        <f t="shared" ref="E59:E67" si="14">(LN(1/D59^2))^0.5</f>
        <v>1.1774100225154747</v>
      </c>
      <c r="F59" s="155">
        <f t="shared" ref="F59:F67" si="15">+E59-(2.515517+0.802853*E59+0.010328*E59^2)/(1+1.432788*E59+0.189269*E59^2+0.001308*E59^3)</f>
        <v>-1.0100667546808495E-7</v>
      </c>
      <c r="G59" s="155">
        <f t="shared" ref="G59:G67" si="16">$D$37+F59*$D$39</f>
        <v>1.884742886498147</v>
      </c>
      <c r="H59" s="157">
        <f t="shared" ref="H59:H67" si="17">10^G59</f>
        <v>76.690732607764517</v>
      </c>
      <c r="O59" s="169"/>
      <c r="P59" s="169"/>
      <c r="Q59" s="169"/>
      <c r="R59" s="1"/>
    </row>
    <row r="60" spans="2:18" ht="15.5" x14ac:dyDescent="0.35">
      <c r="B60" s="169"/>
      <c r="C60" s="101">
        <v>5</v>
      </c>
      <c r="D60" s="156">
        <f t="shared" si="13"/>
        <v>0.2</v>
      </c>
      <c r="E60" s="155">
        <f t="shared" si="14"/>
        <v>1.7941225779941015</v>
      </c>
      <c r="F60" s="155">
        <f t="shared" si="15"/>
        <v>0.84145671735478367</v>
      </c>
      <c r="G60" s="155">
        <f t="shared" si="16"/>
        <v>1.9812992473882252</v>
      </c>
      <c r="H60" s="157">
        <f t="shared" si="17"/>
        <v>95.785384604308092</v>
      </c>
      <c r="O60" s="169"/>
      <c r="P60" s="169"/>
      <c r="Q60" s="169"/>
      <c r="R60" s="1"/>
    </row>
    <row r="61" spans="2:18" ht="15.5" x14ac:dyDescent="0.35">
      <c r="B61" s="169"/>
      <c r="C61" s="101">
        <v>10</v>
      </c>
      <c r="D61" s="156">
        <f t="shared" si="13"/>
        <v>0.1</v>
      </c>
      <c r="E61" s="155">
        <f t="shared" si="14"/>
        <v>2.1459660262893472</v>
      </c>
      <c r="F61" s="155">
        <f t="shared" si="15"/>
        <v>1.2817287565027089</v>
      </c>
      <c r="G61" s="155">
        <f t="shared" si="16"/>
        <v>2.0318200405818176</v>
      </c>
      <c r="H61" s="157">
        <f t="shared" si="17"/>
        <v>107.60192491262981</v>
      </c>
      <c r="O61" s="169"/>
      <c r="P61" s="169"/>
      <c r="Q61" s="169"/>
      <c r="R61" s="1"/>
    </row>
    <row r="62" spans="2:18" ht="15.5" x14ac:dyDescent="0.35">
      <c r="B62" s="169"/>
      <c r="C62" s="101">
        <v>20</v>
      </c>
      <c r="D62" s="156">
        <f t="shared" si="13"/>
        <v>0.05</v>
      </c>
      <c r="E62" s="155">
        <f t="shared" si="14"/>
        <v>2.4477468306808166</v>
      </c>
      <c r="F62" s="155">
        <f t="shared" si="15"/>
        <v>1.6452114401438158</v>
      </c>
      <c r="G62" s="155">
        <f t="shared" si="16"/>
        <v>2.0735293290599683</v>
      </c>
      <c r="H62" s="157">
        <f t="shared" si="17"/>
        <v>118.44843556710663</v>
      </c>
      <c r="O62" s="169"/>
      <c r="P62" s="169"/>
      <c r="Q62" s="169"/>
      <c r="R62" s="1"/>
    </row>
    <row r="63" spans="2:18" ht="15.5" x14ac:dyDescent="0.35">
      <c r="B63" s="169"/>
      <c r="C63" s="101">
        <v>25</v>
      </c>
      <c r="D63" s="156">
        <f t="shared" si="13"/>
        <v>0.04</v>
      </c>
      <c r="E63" s="155">
        <f t="shared" si="14"/>
        <v>2.5372724823590391</v>
      </c>
      <c r="F63" s="155">
        <f t="shared" si="15"/>
        <v>1.751076531101869</v>
      </c>
      <c r="G63" s="155">
        <f t="shared" si="16"/>
        <v>2.0856772464636348</v>
      </c>
      <c r="H63" s="157">
        <f t="shared" si="17"/>
        <v>121.8084022033932</v>
      </c>
      <c r="O63" s="169"/>
      <c r="P63" s="169"/>
      <c r="Q63" s="169"/>
      <c r="R63" s="1"/>
    </row>
    <row r="64" spans="2:18" ht="15.5" x14ac:dyDescent="0.35">
      <c r="B64" s="169"/>
      <c r="C64" s="101">
        <v>50</v>
      </c>
      <c r="D64" s="156">
        <f t="shared" si="13"/>
        <v>0.02</v>
      </c>
      <c r="E64" s="155">
        <f t="shared" si="14"/>
        <v>2.7971496225365371</v>
      </c>
      <c r="F64" s="155">
        <f t="shared" si="15"/>
        <v>2.0541885887218987</v>
      </c>
      <c r="G64" s="155">
        <f t="shared" si="16"/>
        <v>2.1204590636490788</v>
      </c>
      <c r="H64" s="157">
        <f t="shared" si="17"/>
        <v>131.96509162994809</v>
      </c>
      <c r="O64" s="169"/>
      <c r="P64" s="169"/>
      <c r="Q64" s="169"/>
      <c r="R64" s="1"/>
    </row>
    <row r="65" spans="2:17" ht="15.5" x14ac:dyDescent="0.35">
      <c r="B65" s="169"/>
      <c r="C65" s="101">
        <v>100</v>
      </c>
      <c r="D65" s="156">
        <f t="shared" si="13"/>
        <v>0.01</v>
      </c>
      <c r="E65" s="155">
        <f t="shared" si="14"/>
        <v>3.0348542587702929</v>
      </c>
      <c r="F65" s="155">
        <f t="shared" si="15"/>
        <v>2.3267853325589662</v>
      </c>
      <c r="G65" s="155">
        <f t="shared" si="16"/>
        <v>2.1517392779168127</v>
      </c>
      <c r="H65" s="157">
        <f t="shared" si="17"/>
        <v>141.82058677652495</v>
      </c>
      <c r="O65" s="169"/>
      <c r="P65" s="169"/>
      <c r="Q65" s="169"/>
    </row>
    <row r="66" spans="2:17" ht="15.5" x14ac:dyDescent="0.35">
      <c r="B66" s="169"/>
      <c r="C66" s="101">
        <v>200</v>
      </c>
      <c r="D66" s="156">
        <f t="shared" si="13"/>
        <v>5.0000000000000001E-3</v>
      </c>
      <c r="E66" s="155">
        <f t="shared" si="14"/>
        <v>3.2552472614374586</v>
      </c>
      <c r="F66" s="155">
        <f t="shared" si="15"/>
        <v>2.5762360813095708</v>
      </c>
      <c r="G66" s="155">
        <f t="shared" si="16"/>
        <v>2.1803635115020437</v>
      </c>
      <c r="H66" s="157">
        <f t="shared" si="17"/>
        <v>151.48286540144682</v>
      </c>
      <c r="O66" s="169"/>
      <c r="P66" s="169"/>
      <c r="Q66" s="169"/>
    </row>
    <row r="67" spans="2:17" ht="15.5" x14ac:dyDescent="0.35">
      <c r="B67" s="169"/>
      <c r="C67" s="101">
        <v>500</v>
      </c>
      <c r="D67" s="156">
        <f t="shared" si="13"/>
        <v>2E-3</v>
      </c>
      <c r="E67" s="155">
        <f t="shared" si="14"/>
        <v>3.5255093528232742</v>
      </c>
      <c r="F67" s="155">
        <f t="shared" si="15"/>
        <v>2.8785061077422442</v>
      </c>
      <c r="G67" s="155">
        <f t="shared" si="16"/>
        <v>2.2150487064183078</v>
      </c>
      <c r="H67" s="157">
        <f t="shared" si="17"/>
        <v>164.07737767641453</v>
      </c>
      <c r="O67" s="169"/>
      <c r="P67" s="169"/>
      <c r="Q67" s="169"/>
    </row>
  </sheetData>
  <mergeCells count="9">
    <mergeCell ref="C2:Q2"/>
    <mergeCell ref="C3:Q3"/>
    <mergeCell ref="C4:Q4"/>
    <mergeCell ref="C5:Q5"/>
    <mergeCell ref="C57:H57"/>
    <mergeCell ref="F9:J9"/>
    <mergeCell ref="L9:R9"/>
    <mergeCell ref="C45:E45"/>
    <mergeCell ref="B9:D9"/>
  </mergeCells>
  <pageMargins left="1.299212598425197" right="0.70866141732283472" top="0.43307086614173229" bottom="0.19685039370078741" header="0.31496062992125984" footer="0.31496062992125984"/>
  <pageSetup paperSize="9" scale="60" orientation="landscape" horizontalDpi="4294967292" r:id="rId1"/>
  <rowBreaks count="1" manualBreakCount="1">
    <brk id="42" max="17" man="1"/>
  </rowBreaks>
  <ignoredErrors>
    <ignoredError sqref="J11:J19" evalErro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EA2B4-B08B-4DA9-BB29-32F80960F66D}">
  <sheetPr>
    <tabColor rgb="FFFF0000"/>
  </sheetPr>
  <dimension ref="B1:AI61"/>
  <sheetViews>
    <sheetView view="pageBreakPreview" zoomScaleNormal="70" zoomScaleSheetLayoutView="100" workbookViewId="0">
      <selection activeCell="AI44" sqref="AI44"/>
    </sheetView>
  </sheetViews>
  <sheetFormatPr baseColWidth="10" defaultColWidth="11.453125" defaultRowHeight="13" x14ac:dyDescent="0.3"/>
  <cols>
    <col min="1" max="1" width="2.36328125" style="9" customWidth="1"/>
    <col min="2" max="2" width="9.54296875" style="9" customWidth="1"/>
    <col min="3" max="3" width="7.6328125" style="9" customWidth="1"/>
    <col min="4" max="4" width="8.6328125" style="9" customWidth="1"/>
    <col min="5" max="5" width="9.90625" style="9" customWidth="1"/>
    <col min="6" max="6" width="7.54296875" style="9" customWidth="1"/>
    <col min="7" max="7" width="7.6328125" style="9" customWidth="1"/>
    <col min="8" max="8" width="8.08984375" style="9" customWidth="1"/>
    <col min="9" max="9" width="7.6328125" style="9" customWidth="1"/>
    <col min="10" max="10" width="8.54296875" style="9" customWidth="1"/>
    <col min="11" max="11" width="7.6328125" style="9" customWidth="1"/>
    <col min="12" max="12" width="8.1796875" style="9" customWidth="1"/>
    <col min="13" max="14" width="7.6328125" style="9" customWidth="1"/>
    <col min="15" max="15" width="10.1796875" style="9" customWidth="1"/>
    <col min="16" max="26" width="7.6328125" style="9" customWidth="1"/>
    <col min="27" max="27" width="3.36328125" style="9" customWidth="1"/>
    <col min="28" max="28" width="12.54296875" style="9" customWidth="1"/>
    <col min="29" max="29" width="7.90625" style="9" customWidth="1"/>
    <col min="30" max="30" width="5.6328125" style="9" customWidth="1"/>
    <col min="31" max="31" width="14.6328125" style="9" customWidth="1"/>
    <col min="32" max="16384" width="11.453125" style="9"/>
  </cols>
  <sheetData>
    <row r="1" spans="2:35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35" ht="35.25" customHeight="1" x14ac:dyDescent="0.35">
      <c r="B2" s="59" t="s">
        <v>91</v>
      </c>
      <c r="C2" s="219" t="str">
        <f>'A. Estación'!C2:O2</f>
        <v>“CREACIÓN DEL SERVICIO DE PROTECCIÓN INTEGRAL A NIÑAS, NIÑOS Y ADOLESCENTES SIN CUIDADOS PARENTALES O EN RIESGO DE PERDERLOS EN CENTRO DE ACOGIDA RESIDENCIAL - VARONES DISTRITO DE MORALES DE LA PROVINCIA DE SAN MARTÍN DEL DEPARTAMENTO DE SAN MARTÍN”, con CUI N.° 2705619</v>
      </c>
      <c r="D2" s="220"/>
      <c r="E2" s="220"/>
      <c r="F2" s="220"/>
      <c r="G2" s="220"/>
      <c r="H2" s="220"/>
      <c r="I2" s="220"/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1"/>
    </row>
    <row r="3" spans="2:35" ht="19.5" customHeight="1" x14ac:dyDescent="0.3">
      <c r="B3" s="59" t="s">
        <v>92</v>
      </c>
      <c r="C3" s="222" t="str">
        <f>'A. Estación'!C3:O3</f>
        <v>GERENCIA TERRITORIAL BAJO MAYO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4"/>
    </row>
    <row r="4" spans="2:35" ht="18" customHeight="1" x14ac:dyDescent="0.3">
      <c r="B4" s="59" t="s">
        <v>93</v>
      </c>
      <c r="C4" s="222" t="str">
        <f>'A. Estación'!C4:O4</f>
        <v>SAN MARTIN - SAN MARTIN - MORALES</v>
      </c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4"/>
    </row>
    <row r="5" spans="2:35" ht="17.25" customHeight="1" x14ac:dyDescent="0.3">
      <c r="B5" s="59" t="s">
        <v>94</v>
      </c>
      <c r="C5" s="222" t="str">
        <f>'A. Estación'!C5:O5</f>
        <v>SETIEMBRE 2026</v>
      </c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4"/>
    </row>
    <row r="6" spans="2:35" s="1" customFormat="1" x14ac:dyDescent="0.25"/>
    <row r="7" spans="2:35" s="1" customFormat="1" ht="20.149999999999999" customHeight="1" x14ac:dyDescent="0.25">
      <c r="B7" s="79" t="s">
        <v>132</v>
      </c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24"/>
      <c r="AB7" s="1" t="s">
        <v>62</v>
      </c>
      <c r="AE7" s="24"/>
      <c r="AF7" s="24"/>
      <c r="AG7" s="24"/>
      <c r="AH7" s="24"/>
      <c r="AI7" s="24"/>
    </row>
    <row r="8" spans="2:35" s="1" customFormat="1" ht="15.5" x14ac:dyDescent="0.25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24"/>
      <c r="AB8" s="1" t="s">
        <v>63</v>
      </c>
      <c r="AE8" s="24"/>
      <c r="AF8" s="24"/>
      <c r="AG8" s="24"/>
      <c r="AH8" s="24"/>
      <c r="AI8" s="24"/>
    </row>
    <row r="9" spans="2:35" s="1" customFormat="1" ht="20.149999999999999" customHeight="1" thickBot="1" x14ac:dyDescent="0.3">
      <c r="B9" s="68"/>
      <c r="C9" s="68"/>
      <c r="D9" s="68"/>
      <c r="E9" s="68"/>
      <c r="F9" s="68" t="s">
        <v>64</v>
      </c>
      <c r="G9" s="68"/>
      <c r="H9" s="68"/>
      <c r="I9" s="68"/>
      <c r="J9" s="68"/>
      <c r="K9" s="68" t="s">
        <v>65</v>
      </c>
      <c r="L9" s="68"/>
      <c r="M9" s="68"/>
      <c r="N9" s="68"/>
      <c r="O9" s="69"/>
      <c r="P9" s="68" t="s">
        <v>66</v>
      </c>
      <c r="Q9" s="70"/>
      <c r="R9" s="71"/>
      <c r="S9" s="71"/>
      <c r="T9" s="71"/>
      <c r="U9" s="71"/>
      <c r="V9" s="68" t="s">
        <v>64</v>
      </c>
      <c r="W9" s="71"/>
      <c r="X9" s="71"/>
      <c r="Y9" s="69"/>
      <c r="Z9" s="69"/>
      <c r="AA9" s="10"/>
      <c r="AB9" s="25" t="s">
        <v>67</v>
      </c>
      <c r="AC9" s="25" t="s">
        <v>99</v>
      </c>
      <c r="AD9" s="25" t="s">
        <v>100</v>
      </c>
      <c r="AE9" s="24"/>
      <c r="AF9" s="24"/>
      <c r="AG9" s="24"/>
      <c r="AH9" s="24"/>
      <c r="AI9" s="24"/>
    </row>
    <row r="10" spans="2:35" s="1" customFormat="1" ht="20.149999999999999" customHeight="1" thickTop="1" x14ac:dyDescent="0.25">
      <c r="B10" s="68"/>
      <c r="C10" s="212" t="s">
        <v>200</v>
      </c>
      <c r="D10" s="212"/>
      <c r="E10" s="212"/>
      <c r="F10" s="73">
        <f>+'B.Modelo Distribución'!C42</f>
        <v>26</v>
      </c>
      <c r="G10" s="68"/>
      <c r="H10" s="212" t="s">
        <v>200</v>
      </c>
      <c r="I10" s="212"/>
      <c r="J10" s="212"/>
      <c r="K10" s="73">
        <f>+'B.Modelo Distribución'!C42</f>
        <v>26</v>
      </c>
      <c r="L10" s="212" t="s">
        <v>200</v>
      </c>
      <c r="M10" s="212"/>
      <c r="N10" s="212"/>
      <c r="O10" s="212"/>
      <c r="P10" s="73">
        <f>K10</f>
        <v>26</v>
      </c>
      <c r="Q10" s="70"/>
      <c r="R10" s="212" t="s">
        <v>200</v>
      </c>
      <c r="S10" s="212"/>
      <c r="T10" s="212"/>
      <c r="U10" s="212"/>
      <c r="V10" s="69">
        <f>P10</f>
        <v>26</v>
      </c>
      <c r="W10" s="69"/>
      <c r="X10" s="69"/>
      <c r="Y10" s="70"/>
      <c r="Z10" s="70"/>
      <c r="AB10" s="26">
        <v>10</v>
      </c>
      <c r="AC10" s="26">
        <v>0.49519999999999997</v>
      </c>
      <c r="AD10" s="26">
        <v>0.9496</v>
      </c>
      <c r="AE10" s="24"/>
      <c r="AF10" s="24"/>
      <c r="AG10" s="24"/>
      <c r="AH10" s="24"/>
      <c r="AI10" s="24"/>
    </row>
    <row r="11" spans="2:35" s="1" customFormat="1" ht="20.149999999999999" customHeight="1" x14ac:dyDescent="0.25">
      <c r="B11" s="68"/>
      <c r="C11" s="212" t="s">
        <v>201</v>
      </c>
      <c r="D11" s="212"/>
      <c r="E11" s="212"/>
      <c r="F11" s="74">
        <f>AVERAGE(C22:C47)</f>
        <v>79.353846153846163</v>
      </c>
      <c r="G11" s="68"/>
      <c r="H11" s="212" t="s">
        <v>202</v>
      </c>
      <c r="I11" s="212"/>
      <c r="J11" s="212"/>
      <c r="K11" s="74">
        <f>AVERAGE(D22:D47)</f>
        <v>1.8847428980885668</v>
      </c>
      <c r="L11" s="212" t="s">
        <v>201</v>
      </c>
      <c r="M11" s="212"/>
      <c r="N11" s="212"/>
      <c r="O11" s="212"/>
      <c r="P11" s="74">
        <f>AVERAGE(N22:N47)</f>
        <v>4.3397809012651285</v>
      </c>
      <c r="Q11" s="70"/>
      <c r="R11" s="212" t="s">
        <v>201</v>
      </c>
      <c r="S11" s="212"/>
      <c r="T11" s="212"/>
      <c r="U11" s="212"/>
      <c r="V11" s="74">
        <f>F11</f>
        <v>79.353846153846163</v>
      </c>
      <c r="W11" s="69"/>
      <c r="X11" s="69"/>
      <c r="Y11" s="70"/>
      <c r="Z11" s="70"/>
      <c r="AB11" s="26">
        <v>15</v>
      </c>
      <c r="AC11" s="26">
        <v>0.51280000000000003</v>
      </c>
      <c r="AD11" s="26">
        <v>1.0206</v>
      </c>
      <c r="AE11" s="24"/>
      <c r="AF11" s="24"/>
      <c r="AG11" s="24"/>
      <c r="AH11" s="24"/>
      <c r="AI11" s="24"/>
    </row>
    <row r="12" spans="2:35" s="1" customFormat="1" ht="20.149999999999999" customHeight="1" x14ac:dyDescent="0.25">
      <c r="B12" s="68"/>
      <c r="C12" s="212" t="s">
        <v>203</v>
      </c>
      <c r="D12" s="212"/>
      <c r="E12" s="212"/>
      <c r="F12" s="74">
        <f>STDEV(C22:C47)</f>
        <v>22.068243804512051</v>
      </c>
      <c r="G12" s="68"/>
      <c r="H12" s="212" t="s">
        <v>203</v>
      </c>
      <c r="I12" s="212"/>
      <c r="J12" s="212"/>
      <c r="K12" s="74">
        <f>STDEV(D22:D47)</f>
        <v>0.11474903855209022</v>
      </c>
      <c r="L12" s="212" t="s">
        <v>203</v>
      </c>
      <c r="M12" s="212"/>
      <c r="N12" s="212"/>
      <c r="O12" s="212"/>
      <c r="P12" s="74">
        <f>STDEV(N22:N47)</f>
        <v>0.26421942560544193</v>
      </c>
      <c r="Q12" s="70"/>
      <c r="R12" s="212" t="s">
        <v>203</v>
      </c>
      <c r="S12" s="212"/>
      <c r="T12" s="212"/>
      <c r="U12" s="212"/>
      <c r="V12" s="74">
        <f>F12</f>
        <v>22.068243804512051</v>
      </c>
      <c r="W12" s="69"/>
      <c r="X12" s="69"/>
      <c r="Y12" s="70"/>
      <c r="Z12" s="70"/>
      <c r="AB12" s="26">
        <v>20</v>
      </c>
      <c r="AC12" s="26">
        <v>0.52359999999999995</v>
      </c>
      <c r="AD12" s="26">
        <v>1.0628</v>
      </c>
      <c r="AE12" s="24"/>
      <c r="AF12" s="24"/>
      <c r="AG12" s="24"/>
      <c r="AH12" s="24"/>
      <c r="AI12" s="24"/>
    </row>
    <row r="13" spans="2:35" s="1" customFormat="1" ht="20.149999999999999" customHeight="1" x14ac:dyDescent="0.25">
      <c r="B13" s="68"/>
      <c r="C13" s="228" t="s">
        <v>204</v>
      </c>
      <c r="D13" s="228"/>
      <c r="E13" s="228"/>
      <c r="F13" s="74">
        <f>SKEW(C22:C47)</f>
        <v>1.3586957911481008</v>
      </c>
      <c r="G13" s="68"/>
      <c r="H13" s="227" t="s">
        <v>205</v>
      </c>
      <c r="I13" s="227"/>
      <c r="J13" s="227"/>
      <c r="K13" s="74">
        <f>SKEW(D22:D47)</f>
        <v>0.15635063298836033</v>
      </c>
      <c r="L13" s="227" t="s">
        <v>204</v>
      </c>
      <c r="M13" s="227"/>
      <c r="N13" s="227"/>
      <c r="O13" s="227"/>
      <c r="P13" s="74">
        <f>SKEW(N22:N47)</f>
        <v>0.15635063298837418</v>
      </c>
      <c r="Q13" s="70"/>
      <c r="R13" s="212" t="s">
        <v>204</v>
      </c>
      <c r="S13" s="212"/>
      <c r="T13" s="212"/>
      <c r="U13" s="212"/>
      <c r="V13" s="74">
        <f>F13</f>
        <v>1.3586957911481008</v>
      </c>
      <c r="W13" s="69"/>
      <c r="X13" s="69"/>
      <c r="Y13" s="70"/>
      <c r="Z13" s="70"/>
      <c r="AB13" s="26">
        <v>25</v>
      </c>
      <c r="AC13" s="26">
        <v>0.53090000000000004</v>
      </c>
      <c r="AD13" s="26">
        <v>1.0913999999999999</v>
      </c>
      <c r="AE13" s="24"/>
      <c r="AF13" s="24"/>
      <c r="AG13" s="24"/>
      <c r="AH13" s="24"/>
      <c r="AI13" s="24"/>
    </row>
    <row r="14" spans="2:35" s="1" customFormat="1" ht="20.149999999999999" customHeight="1" x14ac:dyDescent="0.25">
      <c r="B14" s="68"/>
      <c r="C14" s="216" t="s">
        <v>206</v>
      </c>
      <c r="D14" s="216"/>
      <c r="E14" s="216"/>
      <c r="F14" s="74">
        <f>F13/6</f>
        <v>0.22644929852468346</v>
      </c>
      <c r="G14" s="68"/>
      <c r="H14" s="68"/>
      <c r="I14" s="68"/>
      <c r="J14" s="72"/>
      <c r="K14" s="74"/>
      <c r="L14" s="68"/>
      <c r="M14" s="68"/>
      <c r="N14" s="68"/>
      <c r="O14" s="74" t="s">
        <v>206</v>
      </c>
      <c r="P14" s="74">
        <f>P13/6</f>
        <v>2.6058438831395695E-2</v>
      </c>
      <c r="Q14" s="70"/>
      <c r="R14" s="71"/>
      <c r="S14" s="71"/>
      <c r="T14" s="71"/>
      <c r="U14" s="69"/>
      <c r="V14" s="75"/>
      <c r="W14" s="69"/>
      <c r="X14" s="69"/>
      <c r="Y14" s="70"/>
      <c r="Z14" s="70"/>
      <c r="AB14" s="26">
        <v>30</v>
      </c>
      <c r="AC14" s="26">
        <v>0.53620000000000001</v>
      </c>
      <c r="AD14" s="26">
        <v>1.1124000000000001</v>
      </c>
      <c r="AE14" s="24"/>
      <c r="AF14" s="24"/>
      <c r="AG14" s="24"/>
      <c r="AH14" s="24"/>
      <c r="AI14" s="24"/>
    </row>
    <row r="15" spans="2:35" s="1" customFormat="1" ht="20.149999999999999" customHeight="1" x14ac:dyDescent="0.25">
      <c r="B15" s="68"/>
      <c r="C15" s="212" t="s">
        <v>207</v>
      </c>
      <c r="D15" s="212"/>
      <c r="E15" s="212"/>
      <c r="F15" s="74">
        <f>(2/F13)^2</f>
        <v>2.1667835567410556</v>
      </c>
      <c r="G15" s="68"/>
      <c r="H15" s="68"/>
      <c r="I15" s="68"/>
      <c r="J15" s="68"/>
      <c r="K15" s="68"/>
      <c r="L15" s="68"/>
      <c r="M15" s="68"/>
      <c r="N15" s="68"/>
      <c r="O15" s="71" t="s">
        <v>207</v>
      </c>
      <c r="P15" s="74">
        <f>(2/P13)^2</f>
        <v>163.62916103563066</v>
      </c>
      <c r="Q15" s="70"/>
      <c r="R15" s="71"/>
      <c r="S15" s="71"/>
      <c r="T15" s="71"/>
      <c r="U15" s="69"/>
      <c r="V15" s="69"/>
      <c r="W15" s="69"/>
      <c r="X15" s="69"/>
      <c r="Y15" s="70"/>
      <c r="Z15" s="70"/>
      <c r="AB15" s="26">
        <v>90</v>
      </c>
      <c r="AC15" s="26">
        <v>0.55859999999999999</v>
      </c>
      <c r="AD15" s="26">
        <v>1.2007000000000001</v>
      </c>
      <c r="AE15" s="24"/>
      <c r="AF15" s="24"/>
      <c r="AG15" s="24"/>
      <c r="AH15" s="24"/>
      <c r="AI15" s="24"/>
    </row>
    <row r="16" spans="2:35" s="1" customFormat="1" ht="20.149999999999999" customHeight="1" x14ac:dyDescent="0.25">
      <c r="B16" s="68"/>
      <c r="C16" s="212" t="s">
        <v>208</v>
      </c>
      <c r="D16" s="212"/>
      <c r="E16" s="212"/>
      <c r="F16" s="74">
        <f>F12/SQRT(F15)</f>
        <v>14.992014987610338</v>
      </c>
      <c r="G16" s="68"/>
      <c r="H16" s="68"/>
      <c r="I16" s="68"/>
      <c r="J16" s="68"/>
      <c r="K16" s="68"/>
      <c r="L16" s="68"/>
      <c r="M16" s="68"/>
      <c r="N16" s="68"/>
      <c r="O16" s="71" t="s">
        <v>208</v>
      </c>
      <c r="P16" s="74">
        <f>P12/SQRT(P15)</f>
        <v>2.0655437220617742E-2</v>
      </c>
      <c r="Q16" s="70"/>
      <c r="R16" s="71"/>
      <c r="S16" s="71"/>
      <c r="T16" s="71"/>
      <c r="U16" s="76" t="s">
        <v>209</v>
      </c>
      <c r="V16" s="77">
        <f>FORECAST(V10,$AC$13:$AC$14,$AB$13:$AB$14)</f>
        <v>0.53195999999999999</v>
      </c>
      <c r="W16" s="78" t="s">
        <v>68</v>
      </c>
      <c r="X16" s="69"/>
      <c r="Y16" s="70"/>
      <c r="Z16" s="70"/>
      <c r="AB16" s="27">
        <v>95</v>
      </c>
      <c r="AC16" s="27">
        <v>0.55930000000000002</v>
      </c>
      <c r="AD16" s="27">
        <v>1.2037</v>
      </c>
      <c r="AE16" s="24"/>
      <c r="AF16" s="24"/>
      <c r="AG16" s="24"/>
      <c r="AH16" s="24"/>
      <c r="AI16" s="24"/>
    </row>
    <row r="17" spans="2:35" s="1" customFormat="1" ht="19.25" customHeight="1" x14ac:dyDescent="0.25">
      <c r="B17" s="68"/>
      <c r="C17" s="212" t="s">
        <v>210</v>
      </c>
      <c r="D17" s="212"/>
      <c r="E17" s="212"/>
      <c r="F17" s="74">
        <f>F11-F16*F15</f>
        <v>46.869394596276621</v>
      </c>
      <c r="G17" s="68"/>
      <c r="H17" s="68"/>
      <c r="I17" s="68"/>
      <c r="J17" s="68"/>
      <c r="K17" s="68"/>
      <c r="L17" s="68"/>
      <c r="M17" s="68"/>
      <c r="N17" s="68"/>
      <c r="O17" s="71" t="s">
        <v>210</v>
      </c>
      <c r="P17" s="74">
        <f>P11-P16*P15</f>
        <v>0.95994903803130871</v>
      </c>
      <c r="Q17" s="70"/>
      <c r="R17" s="71"/>
      <c r="S17" s="71"/>
      <c r="T17" s="71"/>
      <c r="U17" s="76" t="s">
        <v>211</v>
      </c>
      <c r="V17" s="77">
        <f>FORECAST(V10,$AD$13:$AD$14,$AB$13:$AB$14)</f>
        <v>1.0956000000000001</v>
      </c>
      <c r="W17" s="69"/>
      <c r="X17" s="69"/>
      <c r="Y17" s="70"/>
      <c r="Z17" s="70"/>
      <c r="AB17" s="28" t="s">
        <v>101</v>
      </c>
      <c r="AC17" s="24"/>
      <c r="AD17" s="24"/>
      <c r="AE17" s="24"/>
      <c r="AF17" s="24"/>
      <c r="AG17" s="24"/>
      <c r="AH17" s="24"/>
      <c r="AI17" s="24"/>
    </row>
    <row r="18" spans="2:35" s="1" customFormat="1" ht="16.75" hidden="1" customHeight="1" thickBot="1" x14ac:dyDescent="0.3">
      <c r="B18" s="68"/>
      <c r="C18" s="68"/>
      <c r="D18" s="68"/>
      <c r="E18" s="71"/>
      <c r="F18" s="74"/>
      <c r="G18" s="68"/>
      <c r="H18" s="68"/>
      <c r="I18" s="68"/>
      <c r="J18" s="68"/>
      <c r="K18" s="68"/>
      <c r="L18" s="68"/>
      <c r="M18" s="68"/>
      <c r="N18" s="68"/>
      <c r="O18" s="71"/>
      <c r="P18" s="71"/>
      <c r="Q18" s="70"/>
      <c r="R18" s="71"/>
      <c r="S18" s="71"/>
      <c r="T18" s="71"/>
      <c r="U18" s="72"/>
      <c r="V18" s="75"/>
      <c r="W18" s="71"/>
      <c r="X18" s="71"/>
      <c r="Y18" s="76"/>
      <c r="Z18" s="69"/>
      <c r="AA18" s="10"/>
      <c r="AB18" s="24"/>
      <c r="AC18" s="24"/>
      <c r="AD18" s="24"/>
      <c r="AE18" s="24"/>
      <c r="AF18" s="24"/>
      <c r="AG18" s="24"/>
      <c r="AH18" s="24"/>
      <c r="AI18" s="24"/>
    </row>
    <row r="19" spans="2:35" s="1" customFormat="1" ht="6" customHeight="1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24"/>
      <c r="AB19" s="24"/>
      <c r="AC19" s="24"/>
      <c r="AD19" s="24"/>
      <c r="AE19" s="24"/>
      <c r="AF19" s="24"/>
      <c r="AG19" s="24"/>
      <c r="AH19" s="24"/>
      <c r="AI19" s="24"/>
    </row>
    <row r="20" spans="2:35" s="1" customFormat="1" ht="20.149999999999999" customHeight="1" x14ac:dyDescent="0.25">
      <c r="B20" s="217" t="s">
        <v>22</v>
      </c>
      <c r="C20" s="217" t="s">
        <v>69</v>
      </c>
      <c r="D20" s="217" t="s">
        <v>70</v>
      </c>
      <c r="E20" s="217" t="s">
        <v>265</v>
      </c>
      <c r="F20" s="217" t="s">
        <v>127</v>
      </c>
      <c r="G20" s="217"/>
      <c r="H20" s="217"/>
      <c r="I20" s="217"/>
      <c r="J20" s="217" t="s">
        <v>128</v>
      </c>
      <c r="K20" s="217"/>
      <c r="L20" s="217"/>
      <c r="M20" s="217"/>
      <c r="N20" s="218" t="s">
        <v>129</v>
      </c>
      <c r="O20" s="226"/>
      <c r="P20" s="226"/>
      <c r="Q20" s="226"/>
      <c r="R20" s="226"/>
      <c r="S20" s="226"/>
      <c r="T20" s="226"/>
      <c r="U20" s="226"/>
      <c r="V20" s="217" t="s">
        <v>130</v>
      </c>
      <c r="W20" s="217"/>
      <c r="X20" s="217"/>
      <c r="Y20" s="217"/>
      <c r="Z20" s="217"/>
      <c r="AA20" s="24"/>
      <c r="AB20" s="24"/>
      <c r="AC20" s="24"/>
      <c r="AD20" s="24"/>
      <c r="AE20" s="24"/>
      <c r="AF20" s="24"/>
      <c r="AG20" s="24"/>
      <c r="AH20" s="24"/>
      <c r="AI20" s="24"/>
    </row>
    <row r="21" spans="2:35" s="1" customFormat="1" ht="20.149999999999999" customHeight="1" x14ac:dyDescent="0.25">
      <c r="B21" s="217"/>
      <c r="C21" s="217"/>
      <c r="D21" s="217" t="s">
        <v>70</v>
      </c>
      <c r="E21" s="217"/>
      <c r="F21" s="116" t="s">
        <v>3</v>
      </c>
      <c r="G21" s="116" t="s">
        <v>266</v>
      </c>
      <c r="H21" s="116" t="s">
        <v>267</v>
      </c>
      <c r="I21" s="116" t="s">
        <v>268</v>
      </c>
      <c r="J21" s="116" t="s">
        <v>3</v>
      </c>
      <c r="K21" s="116" t="s">
        <v>266</v>
      </c>
      <c r="L21" s="116" t="s">
        <v>267</v>
      </c>
      <c r="M21" s="116" t="s">
        <v>268</v>
      </c>
      <c r="N21" s="116" t="s">
        <v>71</v>
      </c>
      <c r="O21" s="116" t="s">
        <v>72</v>
      </c>
      <c r="P21" s="116" t="s">
        <v>73</v>
      </c>
      <c r="Q21" s="116" t="s">
        <v>74</v>
      </c>
      <c r="R21" s="116" t="s">
        <v>75</v>
      </c>
      <c r="S21" s="116" t="s">
        <v>76</v>
      </c>
      <c r="T21" s="116" t="s">
        <v>77</v>
      </c>
      <c r="U21" s="116" t="s">
        <v>268</v>
      </c>
      <c r="V21" s="116" t="s">
        <v>69</v>
      </c>
      <c r="W21" s="116" t="s">
        <v>78</v>
      </c>
      <c r="X21" s="116" t="s">
        <v>21</v>
      </c>
      <c r="Y21" s="116" t="s">
        <v>267</v>
      </c>
      <c r="Z21" s="116" t="s">
        <v>268</v>
      </c>
      <c r="AA21" s="24"/>
      <c r="AB21" s="24"/>
      <c r="AC21" s="24"/>
      <c r="AD21" s="24"/>
      <c r="AE21" s="24"/>
      <c r="AF21" s="24"/>
      <c r="AG21" s="24"/>
      <c r="AH21" s="24"/>
      <c r="AI21" s="24"/>
    </row>
    <row r="22" spans="2:35" s="1" customFormat="1" ht="20.149999999999999" customHeight="1" x14ac:dyDescent="0.25">
      <c r="B22" s="112">
        <v>1</v>
      </c>
      <c r="C22" s="113">
        <f>LARGE('A. Estación'!$O$18:$O$43,B22)</f>
        <v>152.5</v>
      </c>
      <c r="D22" s="113">
        <f>LOG(C22)</f>
        <v>2.1832698436828046</v>
      </c>
      <c r="E22" s="114">
        <f>B22/(F$10+1)</f>
        <v>3.7037037037037035E-2</v>
      </c>
      <c r="F22" s="113">
        <f>(C22-F$11)/F$12</f>
        <v>3.3145434903704682</v>
      </c>
      <c r="G22" s="115">
        <f>NORMSDIST(F22)</f>
        <v>0.99954103550283901</v>
      </c>
      <c r="H22" s="115">
        <f>1-G22</f>
        <v>4.589644971609852E-4</v>
      </c>
      <c r="I22" s="115">
        <f>ABS(H22-E22)</f>
        <v>3.657807253987605E-2</v>
      </c>
      <c r="J22" s="113">
        <f>(D22-K$11)/K$12</f>
        <v>2.6015638070790619</v>
      </c>
      <c r="K22" s="115">
        <f>NORMSDIST(J22)</f>
        <v>0.99536000998739216</v>
      </c>
      <c r="L22" s="114">
        <f>1-K22</f>
        <v>4.6399900126078419E-3</v>
      </c>
      <c r="M22" s="115">
        <f>ABS(L22-E22)</f>
        <v>3.2397047024429193E-2</v>
      </c>
      <c r="N22" s="113">
        <f>LN(C22)</f>
        <v>5.0271645960474665</v>
      </c>
      <c r="O22" s="113">
        <f>(N22-$P$17)/$P$16</f>
        <v>196.90774465700318</v>
      </c>
      <c r="P22" s="113">
        <f>2*O22</f>
        <v>393.81548931400636</v>
      </c>
      <c r="Q22" s="113">
        <f>2*$P$15</f>
        <v>327.25832207126132</v>
      </c>
      <c r="R22" s="114">
        <f>CHIDIST(P22,Q22)</f>
        <v>6.5876197679050428E-3</v>
      </c>
      <c r="S22" s="115">
        <f>R22</f>
        <v>6.5876197679050428E-3</v>
      </c>
      <c r="T22" s="114">
        <f>(B22/($P$10+1))</f>
        <v>3.7037037037037035E-2</v>
      </c>
      <c r="U22" s="114">
        <f>ABS(T22-S22)</f>
        <v>3.0449417269131994E-2</v>
      </c>
      <c r="V22" s="113">
        <f>C22</f>
        <v>152.5</v>
      </c>
      <c r="W22" s="113">
        <f t="shared" ref="W22:W47" si="0">(C22-V$11)/V$12</f>
        <v>3.3145434903704682</v>
      </c>
      <c r="X22" s="113">
        <f t="shared" ref="X22:X47" si="1">W22*V$17+V$16</f>
        <v>4.1633738480498854</v>
      </c>
      <c r="Y22" s="114">
        <f>1-EXP(-EXP(-X22))</f>
        <v>1.5434635120415763E-2</v>
      </c>
      <c r="Z22" s="114">
        <f>ABS(Y22-E22)</f>
        <v>2.1602401916621272E-2</v>
      </c>
      <c r="AA22" s="24"/>
      <c r="AB22" s="24"/>
      <c r="AC22" s="24"/>
      <c r="AD22" s="24"/>
      <c r="AE22" s="24"/>
      <c r="AF22" s="24"/>
      <c r="AG22" s="24"/>
      <c r="AH22" s="24"/>
      <c r="AI22" s="24"/>
    </row>
    <row r="23" spans="2:35" s="1" customFormat="1" ht="20.149999999999999" customHeight="1" x14ac:dyDescent="0.25">
      <c r="B23" s="112">
        <f>+B22+1</f>
        <v>2</v>
      </c>
      <c r="C23" s="113">
        <f>LARGE('A. Estación'!$O$18:$O$43,B23)</f>
        <v>113.3</v>
      </c>
      <c r="D23" s="113">
        <f t="shared" ref="D23:D47" si="2">LOG(C23)</f>
        <v>2.0542299098633974</v>
      </c>
      <c r="E23" s="114">
        <f t="shared" ref="E23:E47" si="3">B23/(F$10+1)</f>
        <v>7.407407407407407E-2</v>
      </c>
      <c r="F23" s="113">
        <f t="shared" ref="F23:F47" si="4">(C23-F$11)/F$12</f>
        <v>1.5382354004632321</v>
      </c>
      <c r="G23" s="115">
        <f t="shared" ref="G23:G47" si="5">NORMSDIST(F23)</f>
        <v>0.93800446587192587</v>
      </c>
      <c r="H23" s="115">
        <f t="shared" ref="H23:H47" si="6">1-G23</f>
        <v>6.1995534128074126E-2</v>
      </c>
      <c r="I23" s="115">
        <f t="shared" ref="I23:I47" si="7">ABS(H23-E23)</f>
        <v>1.2078539945999944E-2</v>
      </c>
      <c r="J23" s="113">
        <f t="shared" ref="J23:J47" si="8">(D23-K$11)/K$12</f>
        <v>1.4770233712929293</v>
      </c>
      <c r="K23" s="115">
        <f t="shared" ref="K23:K47" si="9">NORMSDIST(J23)</f>
        <v>0.93016531372603262</v>
      </c>
      <c r="L23" s="114">
        <f t="shared" ref="L23:L47" si="10">1-K23</f>
        <v>6.9834686273967383E-2</v>
      </c>
      <c r="M23" s="115">
        <f t="shared" ref="M23:M47" si="11">ABS(L23-E23)</f>
        <v>4.2393878001066865E-3</v>
      </c>
      <c r="N23" s="113">
        <f t="shared" ref="N23:N47" si="12">LN(C23)</f>
        <v>4.7300391680339606</v>
      </c>
      <c r="O23" s="113">
        <f t="shared" ref="O23:O47" si="13">(N23-$P$17)/$P$16</f>
        <v>182.5228916597051</v>
      </c>
      <c r="P23" s="113">
        <f t="shared" ref="P23:P47" si="14">2*O23</f>
        <v>365.04578331941019</v>
      </c>
      <c r="Q23" s="113">
        <f t="shared" ref="Q23:Q47" si="15">2*$P$15</f>
        <v>327.25832207126132</v>
      </c>
      <c r="R23" s="114">
        <f t="shared" ref="R23:R47" si="16">CHIDIST(P23,Q23)</f>
        <v>7.2218720419822274E-2</v>
      </c>
      <c r="S23" s="115">
        <f t="shared" ref="S23:S47" si="17">R23</f>
        <v>7.2218720419822274E-2</v>
      </c>
      <c r="T23" s="114">
        <f t="shared" ref="T23:T47" si="18">(B23/($P$10+1))</f>
        <v>7.407407407407407E-2</v>
      </c>
      <c r="U23" s="114">
        <f t="shared" ref="U23:U47" si="19">ABS(T23-S23)</f>
        <v>1.8553536542517957E-3</v>
      </c>
      <c r="V23" s="113">
        <f t="shared" ref="V23:V47" si="20">C23</f>
        <v>113.3</v>
      </c>
      <c r="W23" s="113">
        <f t="shared" si="0"/>
        <v>1.5382354004632321</v>
      </c>
      <c r="X23" s="113">
        <f t="shared" si="1"/>
        <v>2.2172507047475172</v>
      </c>
      <c r="Y23" s="114">
        <f t="shared" ref="Y23:Y47" si="21">1-EXP(-EXP(-X23))</f>
        <v>0.10318718549037376</v>
      </c>
      <c r="Z23" s="114">
        <f t="shared" ref="Z23:Z47" si="22">ABS(Y23-E23)</f>
        <v>2.9113111416299686E-2</v>
      </c>
      <c r="AA23" s="24"/>
      <c r="AB23" s="24"/>
      <c r="AC23" s="24"/>
      <c r="AD23" s="24"/>
      <c r="AE23" s="24"/>
      <c r="AF23" s="24"/>
      <c r="AG23" s="24"/>
      <c r="AH23" s="24"/>
      <c r="AI23" s="24"/>
    </row>
    <row r="24" spans="2:35" s="1" customFormat="1" ht="20.149999999999999" customHeight="1" x14ac:dyDescent="0.25">
      <c r="B24" s="112">
        <f>+B23+1</f>
        <v>3</v>
      </c>
      <c r="C24" s="113">
        <f>LARGE('A. Estación'!$O$18:$O$43,B24)</f>
        <v>100.5</v>
      </c>
      <c r="D24" s="113">
        <f t="shared" si="2"/>
        <v>2.0021660617565078</v>
      </c>
      <c r="E24" s="114">
        <f t="shared" si="3"/>
        <v>0.1111111111111111</v>
      </c>
      <c r="F24" s="113">
        <f t="shared" si="4"/>
        <v>0.95821643233025711</v>
      </c>
      <c r="G24" s="115">
        <f t="shared" si="5"/>
        <v>0.8310231835965366</v>
      </c>
      <c r="H24" s="115">
        <f t="shared" si="6"/>
        <v>0.1689768164034634</v>
      </c>
      <c r="I24" s="115">
        <f t="shared" si="7"/>
        <v>5.7865705292352299E-2</v>
      </c>
      <c r="J24" s="113">
        <f t="shared" si="8"/>
        <v>1.0233041178348252</v>
      </c>
      <c r="K24" s="115">
        <f t="shared" si="9"/>
        <v>0.84691796130308894</v>
      </c>
      <c r="L24" s="114">
        <f t="shared" si="10"/>
        <v>0.15308203869691106</v>
      </c>
      <c r="M24" s="115">
        <f t="shared" si="11"/>
        <v>4.1970927585799955E-2</v>
      </c>
      <c r="N24" s="113">
        <f t="shared" si="12"/>
        <v>4.6101577274991303</v>
      </c>
      <c r="O24" s="113">
        <f t="shared" si="13"/>
        <v>176.71902320345339</v>
      </c>
      <c r="P24" s="113">
        <f t="shared" si="14"/>
        <v>353.43804640690678</v>
      </c>
      <c r="Q24" s="113">
        <f t="shared" si="15"/>
        <v>327.25832207126132</v>
      </c>
      <c r="R24" s="114">
        <f t="shared" si="16"/>
        <v>0.15077998775538612</v>
      </c>
      <c r="S24" s="115">
        <f t="shared" si="17"/>
        <v>0.15077998775538612</v>
      </c>
      <c r="T24" s="114">
        <f t="shared" si="18"/>
        <v>0.1111111111111111</v>
      </c>
      <c r="U24" s="114">
        <f t="shared" si="19"/>
        <v>3.9668876644275014E-2</v>
      </c>
      <c r="V24" s="113">
        <f t="shared" si="20"/>
        <v>100.5</v>
      </c>
      <c r="W24" s="113">
        <f t="shared" si="0"/>
        <v>0.95821643233025711</v>
      </c>
      <c r="X24" s="113">
        <f t="shared" si="1"/>
        <v>1.5817819232610297</v>
      </c>
      <c r="Y24" s="114">
        <f t="shared" si="21"/>
        <v>0.18584815874184979</v>
      </c>
      <c r="Z24" s="114">
        <f t="shared" si="22"/>
        <v>7.4737047630738684E-2</v>
      </c>
      <c r="AA24" s="24"/>
      <c r="AB24" s="24"/>
      <c r="AC24" s="24"/>
      <c r="AD24" s="24"/>
      <c r="AE24" s="24"/>
      <c r="AF24" s="24"/>
      <c r="AG24" s="24"/>
      <c r="AH24" s="24"/>
      <c r="AI24" s="24"/>
    </row>
    <row r="25" spans="2:35" s="1" customFormat="1" ht="20.149999999999999" customHeight="1" x14ac:dyDescent="0.25">
      <c r="B25" s="112">
        <f t="shared" ref="B25:B47" si="23">+B24+1</f>
        <v>4</v>
      </c>
      <c r="C25" s="113">
        <f>LARGE('A. Estación'!$O$18:$O$43,B25)</f>
        <v>98.4</v>
      </c>
      <c r="D25" s="113">
        <f t="shared" si="2"/>
        <v>1.9929950984313416</v>
      </c>
      <c r="E25" s="114">
        <f t="shared" si="3"/>
        <v>0.14814814814814814</v>
      </c>
      <c r="F25" s="113">
        <f t="shared" si="4"/>
        <v>0.86305707037094115</v>
      </c>
      <c r="G25" s="115">
        <f t="shared" si="5"/>
        <v>0.80594695517436454</v>
      </c>
      <c r="H25" s="115">
        <f t="shared" si="6"/>
        <v>0.19405304482563546</v>
      </c>
      <c r="I25" s="115">
        <f t="shared" si="7"/>
        <v>4.5904896677487317E-2</v>
      </c>
      <c r="J25" s="113">
        <f t="shared" si="8"/>
        <v>0.94338219917750199</v>
      </c>
      <c r="K25" s="115">
        <f t="shared" si="9"/>
        <v>0.82725727756569756</v>
      </c>
      <c r="L25" s="114">
        <f t="shared" si="10"/>
        <v>0.17274272243430244</v>
      </c>
      <c r="M25" s="115">
        <f t="shared" si="11"/>
        <v>2.4594574286154303E-2</v>
      </c>
      <c r="N25" s="113">
        <f t="shared" si="12"/>
        <v>4.5890408040582074</v>
      </c>
      <c r="O25" s="113">
        <f t="shared" si="13"/>
        <v>175.69668108523163</v>
      </c>
      <c r="P25" s="113">
        <f t="shared" si="14"/>
        <v>351.39336217046326</v>
      </c>
      <c r="Q25" s="113">
        <f t="shared" si="15"/>
        <v>327.25832207126132</v>
      </c>
      <c r="R25" s="114">
        <f t="shared" si="16"/>
        <v>0.16927524189442489</v>
      </c>
      <c r="S25" s="115">
        <f t="shared" si="17"/>
        <v>0.16927524189442489</v>
      </c>
      <c r="T25" s="114">
        <f t="shared" si="18"/>
        <v>0.14814814814814814</v>
      </c>
      <c r="U25" s="114">
        <f t="shared" si="19"/>
        <v>2.1127093746276748E-2</v>
      </c>
      <c r="V25" s="113">
        <f t="shared" si="20"/>
        <v>98.4</v>
      </c>
      <c r="W25" s="113">
        <f t="shared" si="0"/>
        <v>0.86305707037094115</v>
      </c>
      <c r="X25" s="113">
        <f t="shared" si="1"/>
        <v>1.4775253262984034</v>
      </c>
      <c r="Y25" s="114">
        <f t="shared" si="21"/>
        <v>0.20403631416427725</v>
      </c>
      <c r="Z25" s="114">
        <f t="shared" si="22"/>
        <v>5.5888166016129115E-2</v>
      </c>
      <c r="AA25" s="24"/>
      <c r="AB25" s="24"/>
      <c r="AC25" s="24"/>
      <c r="AD25" s="24"/>
      <c r="AE25" s="24"/>
      <c r="AF25" s="24"/>
      <c r="AG25" s="24"/>
      <c r="AH25" s="24"/>
      <c r="AI25" s="24"/>
    </row>
    <row r="26" spans="2:35" s="1" customFormat="1" ht="20.149999999999999" customHeight="1" x14ac:dyDescent="0.25">
      <c r="B26" s="112">
        <f t="shared" si="23"/>
        <v>5</v>
      </c>
      <c r="C26" s="113">
        <f>LARGE('A. Estación'!$O$18:$O$43,B26)</f>
        <v>92.4</v>
      </c>
      <c r="D26" s="113">
        <f t="shared" si="2"/>
        <v>1.9656719712201067</v>
      </c>
      <c r="E26" s="114">
        <f t="shared" si="3"/>
        <v>0.18518518518518517</v>
      </c>
      <c r="F26" s="113">
        <f t="shared" si="4"/>
        <v>0.59117317905860911</v>
      </c>
      <c r="G26" s="115">
        <f t="shared" si="5"/>
        <v>0.72279780418931117</v>
      </c>
      <c r="H26" s="115">
        <f t="shared" si="6"/>
        <v>0.27720219581068883</v>
      </c>
      <c r="I26" s="115">
        <f t="shared" si="7"/>
        <v>9.2017010625503659E-2</v>
      </c>
      <c r="J26" s="113">
        <f t="shared" si="8"/>
        <v>0.70527016306809653</v>
      </c>
      <c r="K26" s="115">
        <f t="shared" si="9"/>
        <v>0.75967893760010574</v>
      </c>
      <c r="L26" s="114">
        <f t="shared" si="10"/>
        <v>0.24032106239989426</v>
      </c>
      <c r="M26" s="115">
        <f t="shared" si="11"/>
        <v>5.5135877214709084E-2</v>
      </c>
      <c r="N26" s="113">
        <f t="shared" si="12"/>
        <v>4.5261269786476381</v>
      </c>
      <c r="O26" s="113">
        <f t="shared" si="13"/>
        <v>172.65080872055614</v>
      </c>
      <c r="P26" s="113">
        <f t="shared" si="14"/>
        <v>345.30161744111228</v>
      </c>
      <c r="Q26" s="113">
        <f t="shared" si="15"/>
        <v>327.25832207126132</v>
      </c>
      <c r="R26" s="114">
        <f t="shared" si="16"/>
        <v>0.23310134962006643</v>
      </c>
      <c r="S26" s="115">
        <f t="shared" si="17"/>
        <v>0.23310134962006643</v>
      </c>
      <c r="T26" s="114">
        <f t="shared" si="18"/>
        <v>0.18518518518518517</v>
      </c>
      <c r="U26" s="114">
        <f t="shared" si="19"/>
        <v>4.7916164434881253E-2</v>
      </c>
      <c r="V26" s="113">
        <f t="shared" si="20"/>
        <v>92.4</v>
      </c>
      <c r="W26" s="113">
        <f t="shared" si="0"/>
        <v>0.59117317905860911</v>
      </c>
      <c r="X26" s="113">
        <f t="shared" si="1"/>
        <v>1.1796493349766122</v>
      </c>
      <c r="Y26" s="114">
        <f t="shared" si="21"/>
        <v>0.26463368002427923</v>
      </c>
      <c r="Z26" s="114">
        <f t="shared" si="22"/>
        <v>7.9448494839094053E-2</v>
      </c>
      <c r="AA26" s="24"/>
      <c r="AB26" s="24"/>
      <c r="AC26" s="24"/>
      <c r="AD26" s="24"/>
      <c r="AE26" s="24"/>
      <c r="AF26" s="24"/>
      <c r="AG26" s="24"/>
      <c r="AH26" s="24"/>
      <c r="AI26" s="24"/>
    </row>
    <row r="27" spans="2:35" s="1" customFormat="1" ht="20.149999999999999" customHeight="1" x14ac:dyDescent="0.25">
      <c r="B27" s="112">
        <f t="shared" si="23"/>
        <v>6</v>
      </c>
      <c r="C27" s="113">
        <f>LARGE('A. Estación'!$O$18:$O$43,B27)</f>
        <v>91</v>
      </c>
      <c r="D27" s="113">
        <f t="shared" si="2"/>
        <v>1.9590413923210936</v>
      </c>
      <c r="E27" s="114">
        <f t="shared" si="3"/>
        <v>0.22222222222222221</v>
      </c>
      <c r="F27" s="113">
        <f t="shared" si="4"/>
        <v>0.52773360441906469</v>
      </c>
      <c r="G27" s="115">
        <f t="shared" si="5"/>
        <v>0.70115787701860088</v>
      </c>
      <c r="H27" s="115">
        <f t="shared" si="6"/>
        <v>0.29884212298139912</v>
      </c>
      <c r="I27" s="115">
        <f t="shared" si="7"/>
        <v>7.6619900759176907E-2</v>
      </c>
      <c r="J27" s="113">
        <f t="shared" si="8"/>
        <v>0.64748685627373814</v>
      </c>
      <c r="K27" s="115">
        <f t="shared" si="9"/>
        <v>0.74134155077503838</v>
      </c>
      <c r="L27" s="114">
        <f t="shared" si="10"/>
        <v>0.25865844922496162</v>
      </c>
      <c r="M27" s="115">
        <f t="shared" si="11"/>
        <v>3.6436227002739408E-2</v>
      </c>
      <c r="N27" s="113">
        <f t="shared" si="12"/>
        <v>4.5108595065168497</v>
      </c>
      <c r="O27" s="113">
        <f t="shared" si="13"/>
        <v>171.91165844415585</v>
      </c>
      <c r="P27" s="113">
        <f t="shared" si="14"/>
        <v>343.82331688831169</v>
      </c>
      <c r="Q27" s="113">
        <f t="shared" si="15"/>
        <v>327.25832207126132</v>
      </c>
      <c r="R27" s="114">
        <f t="shared" si="16"/>
        <v>0.25052078569235137</v>
      </c>
      <c r="S27" s="115">
        <f t="shared" si="17"/>
        <v>0.25052078569235137</v>
      </c>
      <c r="T27" s="114">
        <f t="shared" si="18"/>
        <v>0.22222222222222221</v>
      </c>
      <c r="U27" s="114">
        <f t="shared" si="19"/>
        <v>2.8298563470129157E-2</v>
      </c>
      <c r="V27" s="113">
        <f t="shared" si="20"/>
        <v>91</v>
      </c>
      <c r="W27" s="113">
        <f t="shared" si="0"/>
        <v>0.52773360441906469</v>
      </c>
      <c r="X27" s="113">
        <f t="shared" si="1"/>
        <v>1.1101449370015275</v>
      </c>
      <c r="Y27" s="114">
        <f t="shared" si="21"/>
        <v>0.2807247702083131</v>
      </c>
      <c r="Z27" s="114">
        <f t="shared" si="22"/>
        <v>5.8502547986090891E-2</v>
      </c>
      <c r="AA27" s="24"/>
      <c r="AB27" s="24"/>
      <c r="AC27" s="24"/>
      <c r="AD27" s="24"/>
      <c r="AE27" s="24"/>
      <c r="AF27" s="24"/>
      <c r="AG27" s="24"/>
      <c r="AH27" s="24"/>
      <c r="AI27" s="24"/>
    </row>
    <row r="28" spans="2:35" s="1" customFormat="1" ht="20.149999999999999" customHeight="1" x14ac:dyDescent="0.25">
      <c r="B28" s="112">
        <f t="shared" si="23"/>
        <v>7</v>
      </c>
      <c r="C28" s="113">
        <f>LARGE('A. Estación'!$O$18:$O$43,B28)</f>
        <v>89.5</v>
      </c>
      <c r="D28" s="113">
        <f t="shared" si="2"/>
        <v>1.9518230353159121</v>
      </c>
      <c r="E28" s="114">
        <f t="shared" si="3"/>
        <v>0.25925925925925924</v>
      </c>
      <c r="F28" s="113">
        <f t="shared" si="4"/>
        <v>0.45976263159098163</v>
      </c>
      <c r="G28" s="115">
        <f t="shared" si="5"/>
        <v>0.67715669588200567</v>
      </c>
      <c r="H28" s="115">
        <f t="shared" si="6"/>
        <v>0.32284330411799433</v>
      </c>
      <c r="I28" s="115">
        <f t="shared" si="7"/>
        <v>6.3584044858735089E-2</v>
      </c>
      <c r="J28" s="113">
        <f t="shared" si="8"/>
        <v>0.58458125727035459</v>
      </c>
      <c r="K28" s="115">
        <f t="shared" si="9"/>
        <v>0.72058534334991087</v>
      </c>
      <c r="L28" s="114">
        <f t="shared" si="10"/>
        <v>0.27941465665008913</v>
      </c>
      <c r="M28" s="115">
        <f t="shared" si="11"/>
        <v>2.0155397390829888E-2</v>
      </c>
      <c r="N28" s="113">
        <f t="shared" si="12"/>
        <v>4.4942386252808095</v>
      </c>
      <c r="O28" s="113">
        <f t="shared" si="13"/>
        <v>171.10698502773212</v>
      </c>
      <c r="P28" s="113">
        <f t="shared" si="14"/>
        <v>342.21397005546424</v>
      </c>
      <c r="Q28" s="113">
        <f t="shared" si="15"/>
        <v>327.25832207126132</v>
      </c>
      <c r="R28" s="114">
        <f t="shared" si="16"/>
        <v>0.27030110869154234</v>
      </c>
      <c r="S28" s="115">
        <f t="shared" si="17"/>
        <v>0.27030110869154234</v>
      </c>
      <c r="T28" s="114">
        <f t="shared" si="18"/>
        <v>0.25925925925925924</v>
      </c>
      <c r="U28" s="114">
        <f t="shared" si="19"/>
        <v>1.1041849432283091E-2</v>
      </c>
      <c r="V28" s="113">
        <f t="shared" si="20"/>
        <v>89.5</v>
      </c>
      <c r="W28" s="113">
        <f t="shared" si="0"/>
        <v>0.45976263159098163</v>
      </c>
      <c r="X28" s="113">
        <f t="shared" si="1"/>
        <v>1.0356759391710795</v>
      </c>
      <c r="Y28" s="114">
        <f t="shared" si="21"/>
        <v>0.29881698615144536</v>
      </c>
      <c r="Z28" s="114">
        <f t="shared" si="22"/>
        <v>3.9557726892186118E-2</v>
      </c>
      <c r="AA28" s="24"/>
      <c r="AB28" s="24"/>
      <c r="AC28" s="24"/>
      <c r="AD28" s="24"/>
      <c r="AE28" s="24"/>
      <c r="AF28" s="24"/>
      <c r="AG28" s="24"/>
      <c r="AH28" s="24"/>
      <c r="AI28" s="24"/>
    </row>
    <row r="29" spans="2:35" s="1" customFormat="1" ht="20.149999999999999" customHeight="1" x14ac:dyDescent="0.25">
      <c r="B29" s="112">
        <f t="shared" si="23"/>
        <v>8</v>
      </c>
      <c r="C29" s="113">
        <f>LARGE('A. Estación'!$O$18:$O$43,B29)</f>
        <v>86.9</v>
      </c>
      <c r="D29" s="113">
        <f t="shared" si="2"/>
        <v>1.9390197764486665</v>
      </c>
      <c r="E29" s="114">
        <f t="shared" si="3"/>
        <v>0.29629629629629628</v>
      </c>
      <c r="F29" s="113">
        <f t="shared" si="4"/>
        <v>0.34194627868897132</v>
      </c>
      <c r="G29" s="115">
        <f t="shared" si="5"/>
        <v>0.63380433940582737</v>
      </c>
      <c r="H29" s="115">
        <f t="shared" si="6"/>
        <v>0.36619566059417263</v>
      </c>
      <c r="I29" s="115">
        <f t="shared" si="7"/>
        <v>6.9899364297876354E-2</v>
      </c>
      <c r="J29" s="113">
        <f t="shared" si="8"/>
        <v>0.47300508174158529</v>
      </c>
      <c r="K29" s="115">
        <f t="shared" si="9"/>
        <v>0.68189522316936801</v>
      </c>
      <c r="L29" s="114">
        <f t="shared" si="10"/>
        <v>0.31810477683063199</v>
      </c>
      <c r="M29" s="115">
        <f t="shared" si="11"/>
        <v>2.1808480534335706E-2</v>
      </c>
      <c r="N29" s="113">
        <f t="shared" si="12"/>
        <v>4.4647580322713463</v>
      </c>
      <c r="O29" s="113">
        <f t="shared" si="13"/>
        <v>169.67972920668194</v>
      </c>
      <c r="P29" s="113">
        <f t="shared" si="14"/>
        <v>339.35945841336388</v>
      </c>
      <c r="Q29" s="113">
        <f t="shared" si="15"/>
        <v>327.25832207126132</v>
      </c>
      <c r="R29" s="114">
        <f t="shared" si="16"/>
        <v>0.30736740117268246</v>
      </c>
      <c r="S29" s="115">
        <f t="shared" si="17"/>
        <v>0.30736740117268246</v>
      </c>
      <c r="T29" s="114">
        <f t="shared" si="18"/>
        <v>0.29629629629629628</v>
      </c>
      <c r="U29" s="114">
        <f t="shared" si="19"/>
        <v>1.1071104876386184E-2</v>
      </c>
      <c r="V29" s="113">
        <f t="shared" si="20"/>
        <v>86.9</v>
      </c>
      <c r="W29" s="113">
        <f t="shared" si="0"/>
        <v>0.34194627868897132</v>
      </c>
      <c r="X29" s="113">
        <f t="shared" si="1"/>
        <v>0.90659634293163704</v>
      </c>
      <c r="Y29" s="114">
        <f t="shared" si="21"/>
        <v>0.33228684923917551</v>
      </c>
      <c r="Z29" s="114">
        <f t="shared" si="22"/>
        <v>3.5990552942879228E-2</v>
      </c>
      <c r="AA29" s="24"/>
      <c r="AB29" s="24"/>
      <c r="AC29" s="24"/>
      <c r="AD29" s="24"/>
      <c r="AE29" s="24"/>
      <c r="AF29" s="24"/>
      <c r="AG29" s="24"/>
      <c r="AH29" s="24"/>
      <c r="AI29" s="24"/>
    </row>
    <row r="30" spans="2:35" s="1" customFormat="1" ht="20.149999999999999" customHeight="1" x14ac:dyDescent="0.25">
      <c r="B30" s="112">
        <f t="shared" si="23"/>
        <v>9</v>
      </c>
      <c r="C30" s="113">
        <f>LARGE('A. Estación'!$O$18:$O$43,B30)</f>
        <v>85.2</v>
      </c>
      <c r="D30" s="113">
        <f t="shared" si="2"/>
        <v>1.9304395947667001</v>
      </c>
      <c r="E30" s="114">
        <f t="shared" si="3"/>
        <v>0.33333333333333331</v>
      </c>
      <c r="F30" s="113">
        <f t="shared" si="4"/>
        <v>0.26491250948381045</v>
      </c>
      <c r="G30" s="115">
        <f t="shared" si="5"/>
        <v>0.60446156932434991</v>
      </c>
      <c r="H30" s="115">
        <f t="shared" si="6"/>
        <v>0.39553843067565009</v>
      </c>
      <c r="I30" s="115">
        <f t="shared" si="7"/>
        <v>6.2205097342316773E-2</v>
      </c>
      <c r="J30" s="113">
        <f t="shared" si="8"/>
        <v>0.39823163012724844</v>
      </c>
      <c r="K30" s="115">
        <f t="shared" si="9"/>
        <v>0.65477027374859054</v>
      </c>
      <c r="L30" s="114">
        <f t="shared" si="10"/>
        <v>0.34522972625140946</v>
      </c>
      <c r="M30" s="115">
        <f t="shared" si="11"/>
        <v>1.1896392918076149E-2</v>
      </c>
      <c r="N30" s="113">
        <f t="shared" si="12"/>
        <v>4.4450014338352704</v>
      </c>
      <c r="O30" s="113">
        <f t="shared" si="13"/>
        <v>168.72324505071572</v>
      </c>
      <c r="P30" s="113">
        <f t="shared" si="14"/>
        <v>337.44649010143144</v>
      </c>
      <c r="Q30" s="113">
        <f t="shared" si="15"/>
        <v>327.25832207126132</v>
      </c>
      <c r="R30" s="114">
        <f t="shared" si="16"/>
        <v>0.33351659307195236</v>
      </c>
      <c r="S30" s="115">
        <f t="shared" si="17"/>
        <v>0.33351659307195236</v>
      </c>
      <c r="T30" s="114">
        <f t="shared" si="18"/>
        <v>0.33333333333333331</v>
      </c>
      <c r="U30" s="114">
        <f t="shared" si="19"/>
        <v>1.8325973861904599E-4</v>
      </c>
      <c r="V30" s="113">
        <f t="shared" si="20"/>
        <v>85.2</v>
      </c>
      <c r="W30" s="113">
        <f t="shared" si="0"/>
        <v>0.26491250948381045</v>
      </c>
      <c r="X30" s="113">
        <f t="shared" si="1"/>
        <v>0.82219814539046276</v>
      </c>
      <c r="Y30" s="114">
        <f t="shared" si="21"/>
        <v>0.35561865980405039</v>
      </c>
      <c r="Z30" s="114">
        <f t="shared" si="22"/>
        <v>2.2285326470717071E-2</v>
      </c>
      <c r="AA30" s="24"/>
      <c r="AB30" s="24"/>
      <c r="AC30" s="24"/>
      <c r="AD30" s="24"/>
      <c r="AE30" s="24"/>
      <c r="AF30" s="24"/>
      <c r="AG30" s="24"/>
      <c r="AH30" s="24"/>
      <c r="AI30" s="24"/>
    </row>
    <row r="31" spans="2:35" s="1" customFormat="1" ht="20.149999999999999" customHeight="1" x14ac:dyDescent="0.25">
      <c r="B31" s="112">
        <f t="shared" si="23"/>
        <v>10</v>
      </c>
      <c r="C31" s="113">
        <f>LARGE('A. Estación'!$O$18:$O$43,B31)</f>
        <v>84.5</v>
      </c>
      <c r="D31" s="113">
        <f t="shared" si="2"/>
        <v>1.9268567089496924</v>
      </c>
      <c r="E31" s="114">
        <f t="shared" si="3"/>
        <v>0.37037037037037035</v>
      </c>
      <c r="F31" s="113">
        <f t="shared" si="4"/>
        <v>0.23319272216403825</v>
      </c>
      <c r="G31" s="115">
        <f t="shared" si="5"/>
        <v>0.59219412152041306</v>
      </c>
      <c r="H31" s="115">
        <f t="shared" si="6"/>
        <v>0.40780587847958694</v>
      </c>
      <c r="I31" s="115">
        <f t="shared" si="7"/>
        <v>3.7435508109216586E-2</v>
      </c>
      <c r="J31" s="113">
        <f t="shared" si="8"/>
        <v>0.36700796270295649</v>
      </c>
      <c r="K31" s="115">
        <f t="shared" si="9"/>
        <v>0.64319346076637507</v>
      </c>
      <c r="L31" s="114">
        <f t="shared" si="10"/>
        <v>0.35680653923362493</v>
      </c>
      <c r="M31" s="115">
        <f t="shared" si="11"/>
        <v>1.3563831136745419E-2</v>
      </c>
      <c r="N31" s="113">
        <f t="shared" si="12"/>
        <v>4.4367515343631281</v>
      </c>
      <c r="O31" s="113">
        <f t="shared" si="13"/>
        <v>168.32383934537884</v>
      </c>
      <c r="P31" s="113">
        <f t="shared" si="14"/>
        <v>336.64767869075769</v>
      </c>
      <c r="Q31" s="113">
        <f t="shared" si="15"/>
        <v>327.25832207126132</v>
      </c>
      <c r="R31" s="114">
        <f t="shared" si="16"/>
        <v>0.34471982141352808</v>
      </c>
      <c r="S31" s="115">
        <f t="shared" si="17"/>
        <v>0.34471982141352808</v>
      </c>
      <c r="T31" s="114">
        <f t="shared" si="18"/>
        <v>0.37037037037037035</v>
      </c>
      <c r="U31" s="114">
        <f t="shared" si="19"/>
        <v>2.5650548956842267E-2</v>
      </c>
      <c r="V31" s="113">
        <f t="shared" si="20"/>
        <v>84.5</v>
      </c>
      <c r="W31" s="113">
        <f t="shared" si="0"/>
        <v>0.23319272216403825</v>
      </c>
      <c r="X31" s="113">
        <f t="shared" si="1"/>
        <v>0.78744594640292032</v>
      </c>
      <c r="Y31" s="114">
        <f t="shared" si="21"/>
        <v>0.36555547121558307</v>
      </c>
      <c r="Z31" s="114">
        <f t="shared" si="22"/>
        <v>4.8148991547872777E-3</v>
      </c>
      <c r="AA31" s="24"/>
      <c r="AB31" s="24"/>
      <c r="AC31" s="24"/>
      <c r="AD31" s="24"/>
      <c r="AE31" s="24"/>
      <c r="AF31" s="24"/>
      <c r="AG31" s="24"/>
      <c r="AH31" s="24"/>
      <c r="AI31" s="24"/>
    </row>
    <row r="32" spans="2:35" s="1" customFormat="1" ht="20.149999999999999" customHeight="1" x14ac:dyDescent="0.25">
      <c r="B32" s="112">
        <f t="shared" si="23"/>
        <v>11</v>
      </c>
      <c r="C32" s="113">
        <f>LARGE('A. Estación'!$O$18:$O$43,B32)</f>
        <v>82.5</v>
      </c>
      <c r="D32" s="113">
        <f t="shared" si="2"/>
        <v>1.916453948549925</v>
      </c>
      <c r="E32" s="114">
        <f t="shared" si="3"/>
        <v>0.40740740740740738</v>
      </c>
      <c r="F32" s="113">
        <f t="shared" si="4"/>
        <v>0.14256475839326088</v>
      </c>
      <c r="G32" s="115">
        <f t="shared" si="5"/>
        <v>0.55668303408011188</v>
      </c>
      <c r="H32" s="115">
        <f t="shared" si="6"/>
        <v>0.44331696591988812</v>
      </c>
      <c r="I32" s="115">
        <f t="shared" si="7"/>
        <v>3.5909558512480733E-2</v>
      </c>
      <c r="J32" s="113">
        <f t="shared" si="8"/>
        <v>0.27635133907429688</v>
      </c>
      <c r="K32" s="115">
        <f t="shared" si="9"/>
        <v>0.60886088617273271</v>
      </c>
      <c r="L32" s="114">
        <f t="shared" si="10"/>
        <v>0.39113911382726729</v>
      </c>
      <c r="M32" s="115">
        <f t="shared" si="11"/>
        <v>1.6268293580140092E-2</v>
      </c>
      <c r="N32" s="113">
        <f t="shared" si="12"/>
        <v>4.4127982933406349</v>
      </c>
      <c r="O32" s="113">
        <f t="shared" si="13"/>
        <v>167.16418144191005</v>
      </c>
      <c r="P32" s="113">
        <f t="shared" si="14"/>
        <v>334.32836288382009</v>
      </c>
      <c r="Q32" s="113">
        <f t="shared" si="15"/>
        <v>327.25832207126132</v>
      </c>
      <c r="R32" s="114">
        <f t="shared" si="16"/>
        <v>0.37810073527412047</v>
      </c>
      <c r="S32" s="115">
        <f t="shared" si="17"/>
        <v>0.37810073527412047</v>
      </c>
      <c r="T32" s="114">
        <f t="shared" si="18"/>
        <v>0.40740740740740738</v>
      </c>
      <c r="U32" s="114">
        <f t="shared" si="19"/>
        <v>2.9306672133286915E-2</v>
      </c>
      <c r="V32" s="113">
        <f t="shared" si="20"/>
        <v>82.5</v>
      </c>
      <c r="W32" s="113">
        <f t="shared" si="0"/>
        <v>0.14256475839326088</v>
      </c>
      <c r="X32" s="113">
        <f t="shared" si="1"/>
        <v>0.68815394929565665</v>
      </c>
      <c r="Y32" s="114">
        <f t="shared" si="21"/>
        <v>0.39498550291180912</v>
      </c>
      <c r="Z32" s="114">
        <f t="shared" si="22"/>
        <v>1.2421904495598268E-2</v>
      </c>
      <c r="AA32" s="24"/>
      <c r="AB32" s="24"/>
      <c r="AC32" s="24"/>
      <c r="AD32" s="24"/>
      <c r="AE32" s="24"/>
      <c r="AF32" s="24"/>
      <c r="AG32" s="24"/>
      <c r="AH32" s="24"/>
      <c r="AI32" s="24"/>
    </row>
    <row r="33" spans="2:35" s="1" customFormat="1" ht="20.149999999999999" customHeight="1" x14ac:dyDescent="0.25">
      <c r="B33" s="112">
        <f t="shared" si="23"/>
        <v>12</v>
      </c>
      <c r="C33" s="113">
        <f>LARGE('A. Estación'!$O$18:$O$43,B33)</f>
        <v>79.3</v>
      </c>
      <c r="D33" s="113">
        <f t="shared" si="2"/>
        <v>1.8992731873176039</v>
      </c>
      <c r="E33" s="114">
        <f t="shared" si="3"/>
        <v>0.44444444444444442</v>
      </c>
      <c r="F33" s="113">
        <f t="shared" si="4"/>
        <v>-2.439983639983022E-3</v>
      </c>
      <c r="G33" s="115">
        <f t="shared" si="5"/>
        <v>0.49902658832839408</v>
      </c>
      <c r="H33" s="115">
        <f t="shared" si="6"/>
        <v>0.50097341167160592</v>
      </c>
      <c r="I33" s="115">
        <f t="shared" si="7"/>
        <v>5.6528967227161497E-2</v>
      </c>
      <c r="J33" s="113">
        <f t="shared" si="8"/>
        <v>0.12662667515459039</v>
      </c>
      <c r="K33" s="115">
        <f t="shared" si="9"/>
        <v>0.55038205841778909</v>
      </c>
      <c r="L33" s="114">
        <f t="shared" si="10"/>
        <v>0.44961794158221091</v>
      </c>
      <c r="M33" s="115">
        <f t="shared" si="11"/>
        <v>5.1734971377664918E-3</v>
      </c>
      <c r="N33" s="113">
        <f t="shared" si="12"/>
        <v>4.3732381286408026</v>
      </c>
      <c r="O33" s="113">
        <f t="shared" si="13"/>
        <v>165.2489392576224</v>
      </c>
      <c r="P33" s="113">
        <f t="shared" si="14"/>
        <v>330.49787851524479</v>
      </c>
      <c r="Q33" s="113">
        <f t="shared" si="15"/>
        <v>327.25832207126132</v>
      </c>
      <c r="R33" s="114">
        <f t="shared" si="16"/>
        <v>0.43551803197413819</v>
      </c>
      <c r="S33" s="115">
        <f t="shared" si="17"/>
        <v>0.43551803197413819</v>
      </c>
      <c r="T33" s="114">
        <f t="shared" si="18"/>
        <v>0.44444444444444442</v>
      </c>
      <c r="U33" s="114">
        <f t="shared" si="19"/>
        <v>8.9264124703062331E-3</v>
      </c>
      <c r="V33" s="113">
        <f t="shared" si="20"/>
        <v>79.3</v>
      </c>
      <c r="W33" s="113">
        <f t="shared" si="0"/>
        <v>-2.439983639983022E-3</v>
      </c>
      <c r="X33" s="113">
        <f t="shared" si="1"/>
        <v>0.52928675392403457</v>
      </c>
      <c r="Y33" s="114">
        <f t="shared" si="21"/>
        <v>0.44513194909362142</v>
      </c>
      <c r="Z33" s="114">
        <f t="shared" si="22"/>
        <v>6.8750464917699539E-4</v>
      </c>
      <c r="AA33" s="24"/>
      <c r="AB33" s="24"/>
      <c r="AC33" s="24"/>
      <c r="AD33" s="24"/>
      <c r="AE33" s="24"/>
      <c r="AF33" s="24"/>
      <c r="AG33" s="24"/>
      <c r="AH33" s="24"/>
      <c r="AI33" s="24"/>
    </row>
    <row r="34" spans="2:35" s="1" customFormat="1" ht="20.149999999999999" customHeight="1" x14ac:dyDescent="0.25">
      <c r="B34" s="112">
        <f t="shared" si="23"/>
        <v>13</v>
      </c>
      <c r="C34" s="113">
        <f>LARGE('A. Estación'!$O$18:$O$43,B34)</f>
        <v>75.900000000000006</v>
      </c>
      <c r="D34" s="113">
        <f t="shared" si="2"/>
        <v>1.8802417758954804</v>
      </c>
      <c r="E34" s="114">
        <f t="shared" si="3"/>
        <v>0.48148148148148145</v>
      </c>
      <c r="F34" s="113">
        <f t="shared" si="4"/>
        <v>-0.15650752205030413</v>
      </c>
      <c r="G34" s="115">
        <f t="shared" si="5"/>
        <v>0.43781649528411548</v>
      </c>
      <c r="H34" s="115">
        <f t="shared" si="6"/>
        <v>0.56218350471588452</v>
      </c>
      <c r="I34" s="115">
        <f t="shared" si="7"/>
        <v>8.0702023234403064E-2</v>
      </c>
      <c r="J34" s="113">
        <f t="shared" si="8"/>
        <v>-3.9225794393415545E-2</v>
      </c>
      <c r="K34" s="115">
        <f t="shared" si="9"/>
        <v>0.48435518425335783</v>
      </c>
      <c r="L34" s="114">
        <f t="shared" si="10"/>
        <v>0.51564481574664223</v>
      </c>
      <c r="M34" s="115">
        <f t="shared" si="11"/>
        <v>3.4163334265160772E-2</v>
      </c>
      <c r="N34" s="113">
        <f t="shared" si="12"/>
        <v>4.3294166844015844</v>
      </c>
      <c r="O34" s="113">
        <f t="shared" si="13"/>
        <v>163.12739403099911</v>
      </c>
      <c r="P34" s="113">
        <f t="shared" si="14"/>
        <v>326.25478806199823</v>
      </c>
      <c r="Q34" s="113">
        <f t="shared" si="15"/>
        <v>327.25832207126132</v>
      </c>
      <c r="R34" s="114">
        <f t="shared" si="16"/>
        <v>0.50123063546543511</v>
      </c>
      <c r="S34" s="115">
        <f t="shared" si="17"/>
        <v>0.50123063546543511</v>
      </c>
      <c r="T34" s="114">
        <f t="shared" si="18"/>
        <v>0.48148148148148145</v>
      </c>
      <c r="U34" s="114">
        <f t="shared" si="19"/>
        <v>1.974915398395366E-2</v>
      </c>
      <c r="V34" s="113">
        <f t="shared" si="20"/>
        <v>75.900000000000006</v>
      </c>
      <c r="W34" s="113">
        <f t="shared" si="0"/>
        <v>-0.15650752205030413</v>
      </c>
      <c r="X34" s="113">
        <f t="shared" si="1"/>
        <v>0.36049035884168679</v>
      </c>
      <c r="Y34" s="114">
        <f t="shared" si="21"/>
        <v>0.50208918193297891</v>
      </c>
      <c r="Z34" s="114">
        <f t="shared" si="22"/>
        <v>2.0607700451497457E-2</v>
      </c>
      <c r="AA34" s="24"/>
      <c r="AB34" s="24"/>
      <c r="AC34" s="24"/>
      <c r="AD34" s="24"/>
      <c r="AE34" s="24"/>
      <c r="AF34" s="24"/>
      <c r="AG34" s="24"/>
      <c r="AH34" s="24"/>
      <c r="AI34" s="24"/>
    </row>
    <row r="35" spans="2:35" s="1" customFormat="1" ht="20.149999999999999" customHeight="1" x14ac:dyDescent="0.25">
      <c r="B35" s="112">
        <f t="shared" si="23"/>
        <v>14</v>
      </c>
      <c r="C35" s="113">
        <f>LARGE('A. Estación'!$O$18:$O$43,B35)</f>
        <v>73.599999999999994</v>
      </c>
      <c r="D35" s="113">
        <f t="shared" si="2"/>
        <v>1.8668778143374989</v>
      </c>
      <c r="E35" s="114">
        <f t="shared" si="3"/>
        <v>0.51851851851851849</v>
      </c>
      <c r="F35" s="113">
        <f t="shared" si="4"/>
        <v>-0.26072968038669864</v>
      </c>
      <c r="G35" s="115">
        <f t="shared" si="5"/>
        <v>0.39715048792714142</v>
      </c>
      <c r="H35" s="115">
        <f t="shared" si="6"/>
        <v>0.60284951207285853</v>
      </c>
      <c r="I35" s="115">
        <f t="shared" si="7"/>
        <v>8.4330993554340039E-2</v>
      </c>
      <c r="J35" s="113">
        <f t="shared" si="8"/>
        <v>-0.15568830882149867</v>
      </c>
      <c r="K35" s="115">
        <f t="shared" si="9"/>
        <v>0.43813935650122954</v>
      </c>
      <c r="L35" s="114">
        <f t="shared" si="10"/>
        <v>0.56186064349877052</v>
      </c>
      <c r="M35" s="115">
        <f t="shared" si="11"/>
        <v>4.3342124980252028E-2</v>
      </c>
      <c r="N35" s="113">
        <f t="shared" si="12"/>
        <v>4.2986450257348308</v>
      </c>
      <c r="O35" s="113">
        <f t="shared" si="13"/>
        <v>161.63763332837704</v>
      </c>
      <c r="P35" s="113">
        <f t="shared" si="14"/>
        <v>323.27526665675407</v>
      </c>
      <c r="Q35" s="113">
        <f t="shared" si="15"/>
        <v>327.25832207126132</v>
      </c>
      <c r="R35" s="114">
        <f t="shared" si="16"/>
        <v>0.54780117844580389</v>
      </c>
      <c r="S35" s="115">
        <f t="shared" si="17"/>
        <v>0.54780117844580389</v>
      </c>
      <c r="T35" s="114">
        <f t="shared" si="18"/>
        <v>0.51851851851851849</v>
      </c>
      <c r="U35" s="114">
        <f t="shared" si="19"/>
        <v>2.9282659927285404E-2</v>
      </c>
      <c r="V35" s="113">
        <f t="shared" si="20"/>
        <v>73.599999999999994</v>
      </c>
      <c r="W35" s="113">
        <f t="shared" si="0"/>
        <v>-0.26072968038669864</v>
      </c>
      <c r="X35" s="113">
        <f t="shared" si="1"/>
        <v>0.24630456216833291</v>
      </c>
      <c r="Y35" s="114">
        <f t="shared" si="21"/>
        <v>0.54236534845727513</v>
      </c>
      <c r="Z35" s="114">
        <f t="shared" si="22"/>
        <v>2.3846829938756642E-2</v>
      </c>
      <c r="AA35" s="24"/>
      <c r="AB35" s="24"/>
      <c r="AC35" s="24"/>
      <c r="AD35" s="24"/>
      <c r="AE35" s="24"/>
      <c r="AF35" s="24"/>
      <c r="AG35" s="24"/>
      <c r="AH35" s="24"/>
      <c r="AI35" s="24"/>
    </row>
    <row r="36" spans="2:35" s="1" customFormat="1" ht="20.149999999999999" customHeight="1" x14ac:dyDescent="0.25">
      <c r="B36" s="112">
        <f t="shared" si="23"/>
        <v>15</v>
      </c>
      <c r="C36" s="113">
        <f>LARGE('A. Estación'!$O$18:$O$43,B36)</f>
        <v>73.5</v>
      </c>
      <c r="D36" s="113">
        <f t="shared" si="2"/>
        <v>1.866287339084195</v>
      </c>
      <c r="E36" s="114">
        <f t="shared" si="3"/>
        <v>0.55555555555555558</v>
      </c>
      <c r="F36" s="113">
        <f t="shared" si="4"/>
        <v>-0.26526107857523723</v>
      </c>
      <c r="G36" s="115">
        <f t="shared" si="5"/>
        <v>0.39540417279644735</v>
      </c>
      <c r="H36" s="115">
        <f t="shared" si="6"/>
        <v>0.60459582720355265</v>
      </c>
      <c r="I36" s="115">
        <f t="shared" si="7"/>
        <v>4.9040271647997069E-2</v>
      </c>
      <c r="J36" s="113">
        <f t="shared" si="8"/>
        <v>-0.16083410577766111</v>
      </c>
      <c r="K36" s="115">
        <f t="shared" si="9"/>
        <v>0.43611203119182046</v>
      </c>
      <c r="L36" s="114">
        <f t="shared" si="10"/>
        <v>0.56388796880817948</v>
      </c>
      <c r="M36" s="115">
        <f t="shared" si="11"/>
        <v>8.3324132526239048E-3</v>
      </c>
      <c r="N36" s="113">
        <f t="shared" si="12"/>
        <v>4.2972854062187906</v>
      </c>
      <c r="O36" s="113">
        <f t="shared" si="13"/>
        <v>161.57180952123522</v>
      </c>
      <c r="P36" s="113">
        <f t="shared" si="14"/>
        <v>323.14361904247045</v>
      </c>
      <c r="Q36" s="113">
        <f t="shared" si="15"/>
        <v>327.25832207126132</v>
      </c>
      <c r="R36" s="114">
        <f t="shared" si="16"/>
        <v>0.54985502579323087</v>
      </c>
      <c r="S36" s="115">
        <f t="shared" si="17"/>
        <v>0.54985502579323087</v>
      </c>
      <c r="T36" s="114">
        <f t="shared" si="18"/>
        <v>0.55555555555555558</v>
      </c>
      <c r="U36" s="114">
        <f t="shared" si="19"/>
        <v>5.7005297623247131E-3</v>
      </c>
      <c r="V36" s="113">
        <f t="shared" si="20"/>
        <v>73.5</v>
      </c>
      <c r="W36" s="113">
        <f t="shared" si="0"/>
        <v>-0.26526107857523723</v>
      </c>
      <c r="X36" s="113">
        <f t="shared" si="1"/>
        <v>0.24133996231297006</v>
      </c>
      <c r="Y36" s="114">
        <f t="shared" si="21"/>
        <v>0.54414227068164334</v>
      </c>
      <c r="Z36" s="114">
        <f t="shared" si="22"/>
        <v>1.1413284873912244E-2</v>
      </c>
      <c r="AA36" s="24"/>
      <c r="AB36" s="24"/>
      <c r="AC36" s="24"/>
      <c r="AD36" s="24"/>
      <c r="AE36" s="24"/>
      <c r="AF36" s="24"/>
      <c r="AG36" s="24"/>
      <c r="AH36" s="24"/>
      <c r="AI36" s="24"/>
    </row>
    <row r="37" spans="2:35" s="1" customFormat="1" ht="20.149999999999999" customHeight="1" x14ac:dyDescent="0.25">
      <c r="B37" s="112">
        <f t="shared" si="23"/>
        <v>16</v>
      </c>
      <c r="C37" s="113">
        <f>LARGE('A. Estación'!$O$18:$O$43,B37)</f>
        <v>72.2</v>
      </c>
      <c r="D37" s="113">
        <f t="shared" si="2"/>
        <v>1.8585371975696392</v>
      </c>
      <c r="E37" s="114">
        <f t="shared" si="3"/>
        <v>0.59259259259259256</v>
      </c>
      <c r="F37" s="113">
        <f t="shared" si="4"/>
        <v>-0.32416925502624239</v>
      </c>
      <c r="G37" s="115">
        <f t="shared" si="5"/>
        <v>0.37290494862647894</v>
      </c>
      <c r="H37" s="115">
        <f t="shared" si="6"/>
        <v>0.62709505137352106</v>
      </c>
      <c r="I37" s="115">
        <f t="shared" si="7"/>
        <v>3.4502458780928502E-2</v>
      </c>
      <c r="J37" s="113">
        <f t="shared" si="8"/>
        <v>-0.228374031273748</v>
      </c>
      <c r="K37" s="115">
        <f t="shared" si="9"/>
        <v>0.40967773804917751</v>
      </c>
      <c r="L37" s="114">
        <f t="shared" si="10"/>
        <v>0.59032226195082249</v>
      </c>
      <c r="M37" s="115">
        <f t="shared" si="11"/>
        <v>2.2703306417700686E-3</v>
      </c>
      <c r="N37" s="113">
        <f t="shared" si="12"/>
        <v>4.2794400458987809</v>
      </c>
      <c r="O37" s="113">
        <f t="shared" si="13"/>
        <v>160.70785490582784</v>
      </c>
      <c r="P37" s="113">
        <f t="shared" si="14"/>
        <v>321.41570981165569</v>
      </c>
      <c r="Q37" s="113">
        <f t="shared" si="15"/>
        <v>327.25832207126132</v>
      </c>
      <c r="R37" s="114">
        <f t="shared" si="16"/>
        <v>0.57671972251754022</v>
      </c>
      <c r="S37" s="115">
        <f t="shared" si="17"/>
        <v>0.57671972251754022</v>
      </c>
      <c r="T37" s="114">
        <f t="shared" si="18"/>
        <v>0.59259259259259256</v>
      </c>
      <c r="U37" s="114">
        <f t="shared" si="19"/>
        <v>1.5872870075052337E-2</v>
      </c>
      <c r="V37" s="113">
        <f t="shared" si="20"/>
        <v>72.2</v>
      </c>
      <c r="W37" s="113">
        <f t="shared" si="0"/>
        <v>-0.32416925502624239</v>
      </c>
      <c r="X37" s="113">
        <f t="shared" si="1"/>
        <v>0.17680016419324879</v>
      </c>
      <c r="Y37" s="114">
        <f t="shared" si="21"/>
        <v>0.567402359475357</v>
      </c>
      <c r="Z37" s="114">
        <f t="shared" si="22"/>
        <v>2.5190233117235561E-2</v>
      </c>
      <c r="AA37" s="24"/>
      <c r="AB37" s="24"/>
      <c r="AC37" s="24"/>
      <c r="AD37" s="24"/>
      <c r="AE37" s="24"/>
      <c r="AF37" s="24"/>
      <c r="AG37" s="24"/>
      <c r="AH37" s="24"/>
      <c r="AI37" s="24"/>
    </row>
    <row r="38" spans="2:35" s="1" customFormat="1" ht="20.149999999999999" customHeight="1" x14ac:dyDescent="0.25">
      <c r="B38" s="112">
        <f t="shared" si="23"/>
        <v>17</v>
      </c>
      <c r="C38" s="113">
        <f>LARGE('A. Estación'!$O$18:$O$43,B38)</f>
        <v>71.7</v>
      </c>
      <c r="D38" s="113">
        <f t="shared" si="2"/>
        <v>1.8555191556678001</v>
      </c>
      <c r="E38" s="114">
        <f t="shared" si="3"/>
        <v>0.62962962962962965</v>
      </c>
      <c r="F38" s="113">
        <f t="shared" si="4"/>
        <v>-0.34682624596893674</v>
      </c>
      <c r="G38" s="115">
        <f t="shared" si="5"/>
        <v>0.36436092907760897</v>
      </c>
      <c r="H38" s="115">
        <f t="shared" si="6"/>
        <v>0.63563907092239103</v>
      </c>
      <c r="I38" s="115">
        <f t="shared" si="7"/>
        <v>6.009441292761375E-3</v>
      </c>
      <c r="J38" s="113">
        <f t="shared" si="8"/>
        <v>-0.25467527039453625</v>
      </c>
      <c r="K38" s="115">
        <f t="shared" si="9"/>
        <v>0.39948695896794495</v>
      </c>
      <c r="L38" s="114">
        <f t="shared" si="10"/>
        <v>0.60051304103205505</v>
      </c>
      <c r="M38" s="115">
        <f t="shared" si="11"/>
        <v>2.91165885975746E-2</v>
      </c>
      <c r="N38" s="113">
        <f t="shared" si="12"/>
        <v>4.2724907476055751</v>
      </c>
      <c r="O38" s="113">
        <f t="shared" si="13"/>
        <v>160.37141572911224</v>
      </c>
      <c r="P38" s="113">
        <f t="shared" si="14"/>
        <v>320.74283145822449</v>
      </c>
      <c r="Q38" s="113">
        <f t="shared" si="15"/>
        <v>327.25832207126132</v>
      </c>
      <c r="R38" s="114">
        <f t="shared" si="16"/>
        <v>0.5871183863172792</v>
      </c>
      <c r="S38" s="115">
        <f t="shared" si="17"/>
        <v>0.5871183863172792</v>
      </c>
      <c r="T38" s="114">
        <f t="shared" si="18"/>
        <v>0.62962962962962965</v>
      </c>
      <c r="U38" s="114">
        <f t="shared" si="19"/>
        <v>4.2511243312350455E-2</v>
      </c>
      <c r="V38" s="113">
        <f t="shared" si="20"/>
        <v>71.7</v>
      </c>
      <c r="W38" s="113">
        <f t="shared" si="0"/>
        <v>-0.34682624596893674</v>
      </c>
      <c r="X38" s="113">
        <f t="shared" si="1"/>
        <v>0.15197716491643287</v>
      </c>
      <c r="Y38" s="114">
        <f t="shared" si="21"/>
        <v>0.57641788858041387</v>
      </c>
      <c r="Z38" s="114">
        <f t="shared" si="22"/>
        <v>5.3211741049215777E-2</v>
      </c>
      <c r="AA38" s="24"/>
      <c r="AB38" s="24"/>
      <c r="AC38" s="24"/>
      <c r="AD38" s="24"/>
      <c r="AE38" s="24"/>
      <c r="AF38" s="24"/>
      <c r="AG38" s="24"/>
      <c r="AH38" s="24"/>
      <c r="AI38" s="24"/>
    </row>
    <row r="39" spans="2:35" s="1" customFormat="1" ht="20.149999999999999" customHeight="1" x14ac:dyDescent="0.25">
      <c r="B39" s="112">
        <f t="shared" si="23"/>
        <v>18</v>
      </c>
      <c r="C39" s="113">
        <f>LARGE('A. Estación'!$O$18:$O$43,B39)</f>
        <v>71</v>
      </c>
      <c r="D39" s="113">
        <f t="shared" si="2"/>
        <v>1.8512583487190752</v>
      </c>
      <c r="E39" s="114">
        <f t="shared" si="3"/>
        <v>0.66666666666666663</v>
      </c>
      <c r="F39" s="113">
        <f t="shared" si="4"/>
        <v>-0.37854603328870895</v>
      </c>
      <c r="G39" s="115">
        <f t="shared" si="5"/>
        <v>0.35251250187745742</v>
      </c>
      <c r="H39" s="115">
        <f t="shared" si="6"/>
        <v>0.64748749812254258</v>
      </c>
      <c r="I39" s="115">
        <f t="shared" si="7"/>
        <v>1.9179168544124048E-2</v>
      </c>
      <c r="J39" s="113">
        <f t="shared" si="8"/>
        <v>-0.29180679674532733</v>
      </c>
      <c r="K39" s="115">
        <f t="shared" si="9"/>
        <v>0.38521717412910378</v>
      </c>
      <c r="L39" s="114">
        <f t="shared" si="10"/>
        <v>0.61478282587089628</v>
      </c>
      <c r="M39" s="115">
        <f t="shared" si="11"/>
        <v>5.1883840795770353E-2</v>
      </c>
      <c r="N39" s="113">
        <f t="shared" si="12"/>
        <v>4.2626798770413155</v>
      </c>
      <c r="O39" s="113">
        <f t="shared" si="13"/>
        <v>159.89643810169767</v>
      </c>
      <c r="P39" s="113">
        <f t="shared" si="14"/>
        <v>319.79287620339534</v>
      </c>
      <c r="Q39" s="113">
        <f t="shared" si="15"/>
        <v>327.25832207126132</v>
      </c>
      <c r="R39" s="114">
        <f t="shared" si="16"/>
        <v>0.60171844041194311</v>
      </c>
      <c r="S39" s="115">
        <f t="shared" si="17"/>
        <v>0.60171844041194311</v>
      </c>
      <c r="T39" s="114">
        <f t="shared" si="18"/>
        <v>0.66666666666666663</v>
      </c>
      <c r="U39" s="114">
        <f t="shared" si="19"/>
        <v>6.4948226254723518E-2</v>
      </c>
      <c r="V39" s="113">
        <f t="shared" si="20"/>
        <v>71</v>
      </c>
      <c r="W39" s="113">
        <f t="shared" si="0"/>
        <v>-0.37854603328870895</v>
      </c>
      <c r="X39" s="113">
        <f t="shared" si="1"/>
        <v>0.11722496592889042</v>
      </c>
      <c r="Y39" s="114">
        <f t="shared" si="21"/>
        <v>0.58909165298320321</v>
      </c>
      <c r="Z39" s="114">
        <f t="shared" si="22"/>
        <v>7.7575013683463423E-2</v>
      </c>
      <c r="AA39" s="24"/>
      <c r="AB39" s="24"/>
      <c r="AC39" s="24"/>
      <c r="AD39" s="24"/>
      <c r="AE39" s="24"/>
      <c r="AF39" s="24"/>
      <c r="AG39" s="24"/>
      <c r="AH39" s="24"/>
      <c r="AI39" s="24"/>
    </row>
    <row r="40" spans="2:35" s="1" customFormat="1" ht="20.149999999999999" customHeight="1" x14ac:dyDescent="0.25">
      <c r="B40" s="112">
        <f t="shared" si="23"/>
        <v>19</v>
      </c>
      <c r="C40" s="113">
        <f>LARGE('A. Estación'!$O$18:$O$43,B40)</f>
        <v>69.599999999999994</v>
      </c>
      <c r="D40" s="113">
        <f t="shared" si="2"/>
        <v>1.842609239610562</v>
      </c>
      <c r="E40" s="114">
        <f t="shared" si="3"/>
        <v>0.70370370370370372</v>
      </c>
      <c r="F40" s="113">
        <f t="shared" si="4"/>
        <v>-0.44198560792825331</v>
      </c>
      <c r="G40" s="115">
        <f t="shared" si="5"/>
        <v>0.32924981025646138</v>
      </c>
      <c r="H40" s="115">
        <f t="shared" si="6"/>
        <v>0.67075018974353862</v>
      </c>
      <c r="I40" s="115">
        <f t="shared" si="7"/>
        <v>3.2953513960165104E-2</v>
      </c>
      <c r="J40" s="113">
        <f t="shared" si="8"/>
        <v>-0.36718092813368741</v>
      </c>
      <c r="K40" s="115">
        <f t="shared" si="9"/>
        <v>0.35674203221382711</v>
      </c>
      <c r="L40" s="114">
        <f t="shared" si="10"/>
        <v>0.64325796778617295</v>
      </c>
      <c r="M40" s="115">
        <f t="shared" si="11"/>
        <v>6.0445735917530774E-2</v>
      </c>
      <c r="N40" s="113">
        <f t="shared" si="12"/>
        <v>4.242764567340374</v>
      </c>
      <c r="O40" s="113">
        <f t="shared" si="13"/>
        <v>158.9322701933533</v>
      </c>
      <c r="P40" s="113">
        <f t="shared" si="14"/>
        <v>317.86454038670661</v>
      </c>
      <c r="Q40" s="113">
        <f t="shared" si="15"/>
        <v>327.25832207126132</v>
      </c>
      <c r="R40" s="114">
        <f t="shared" si="16"/>
        <v>0.63098863369342029</v>
      </c>
      <c r="S40" s="115">
        <f t="shared" si="17"/>
        <v>0.63098863369342029</v>
      </c>
      <c r="T40" s="114">
        <f t="shared" si="18"/>
        <v>0.70370370370370372</v>
      </c>
      <c r="U40" s="114">
        <f t="shared" si="19"/>
        <v>7.2715070010283434E-2</v>
      </c>
      <c r="V40" s="113">
        <f t="shared" si="20"/>
        <v>69.599999999999994</v>
      </c>
      <c r="W40" s="113">
        <f t="shared" si="0"/>
        <v>-0.44198560792825331</v>
      </c>
      <c r="X40" s="113">
        <f t="shared" si="1"/>
        <v>4.7720567953805582E-2</v>
      </c>
      <c r="Y40" s="114">
        <f t="shared" si="21"/>
        <v>0.61457172502256951</v>
      </c>
      <c r="Z40" s="114">
        <f t="shared" si="22"/>
        <v>8.9131978681134205E-2</v>
      </c>
      <c r="AA40" s="24"/>
      <c r="AB40" s="24"/>
      <c r="AC40" s="24"/>
      <c r="AD40" s="24"/>
      <c r="AE40" s="24"/>
      <c r="AF40" s="24"/>
      <c r="AG40" s="24"/>
      <c r="AH40" s="24"/>
      <c r="AI40" s="24"/>
    </row>
    <row r="41" spans="2:35" s="1" customFormat="1" ht="20.149999999999999" customHeight="1" x14ac:dyDescent="0.25">
      <c r="B41" s="112">
        <f t="shared" si="23"/>
        <v>20</v>
      </c>
      <c r="C41" s="113">
        <f>LARGE('A. Estación'!$O$18:$O$43,B41)</f>
        <v>65.2</v>
      </c>
      <c r="D41" s="113">
        <f t="shared" si="2"/>
        <v>1.8142475957319202</v>
      </c>
      <c r="E41" s="114">
        <f t="shared" si="3"/>
        <v>0.7407407407407407</v>
      </c>
      <c r="F41" s="113">
        <f t="shared" si="4"/>
        <v>-0.64136712822396313</v>
      </c>
      <c r="G41" s="115">
        <f t="shared" si="5"/>
        <v>0.26064209239609598</v>
      </c>
      <c r="H41" s="115">
        <f t="shared" si="6"/>
        <v>0.73935790760390407</v>
      </c>
      <c r="I41" s="115">
        <f t="shared" si="7"/>
        <v>1.3828331368366253E-3</v>
      </c>
      <c r="J41" s="113">
        <f t="shared" si="8"/>
        <v>-0.61434329425466438</v>
      </c>
      <c r="K41" s="115">
        <f t="shared" si="9"/>
        <v>0.26949424946851175</v>
      </c>
      <c r="L41" s="114">
        <f t="shared" si="10"/>
        <v>0.73050575053148825</v>
      </c>
      <c r="M41" s="115">
        <f t="shared" si="11"/>
        <v>1.0234990209252448E-2</v>
      </c>
      <c r="N41" s="113">
        <f t="shared" si="12"/>
        <v>4.1774594689326072</v>
      </c>
      <c r="O41" s="113">
        <f t="shared" si="13"/>
        <v>155.77062816611115</v>
      </c>
      <c r="P41" s="113">
        <f t="shared" si="14"/>
        <v>311.5412563322223</v>
      </c>
      <c r="Q41" s="113">
        <f t="shared" si="15"/>
        <v>327.25832207126132</v>
      </c>
      <c r="R41" s="114">
        <f t="shared" si="16"/>
        <v>0.72176915346976656</v>
      </c>
      <c r="S41" s="115">
        <f t="shared" si="17"/>
        <v>0.72176915346976656</v>
      </c>
      <c r="T41" s="114">
        <f t="shared" si="18"/>
        <v>0.7407407407407407</v>
      </c>
      <c r="U41" s="114">
        <f t="shared" si="19"/>
        <v>1.8971587270974144E-2</v>
      </c>
      <c r="V41" s="113">
        <f t="shared" si="20"/>
        <v>65.2</v>
      </c>
      <c r="W41" s="113">
        <f t="shared" si="0"/>
        <v>-0.64136712822396313</v>
      </c>
      <c r="X41" s="113">
        <f t="shared" si="1"/>
        <v>-0.17072182568217409</v>
      </c>
      <c r="Y41" s="114">
        <f t="shared" si="21"/>
        <v>0.69460850755315129</v>
      </c>
      <c r="Z41" s="114">
        <f t="shared" si="22"/>
        <v>4.6132233187589411E-2</v>
      </c>
      <c r="AA41" s="24"/>
      <c r="AB41" s="24"/>
      <c r="AC41" s="24"/>
      <c r="AD41" s="24"/>
      <c r="AE41" s="24"/>
      <c r="AF41" s="24"/>
      <c r="AG41" s="24"/>
      <c r="AH41" s="24"/>
      <c r="AI41" s="24"/>
    </row>
    <row r="42" spans="2:35" s="1" customFormat="1" ht="20.149999999999999" customHeight="1" x14ac:dyDescent="0.25">
      <c r="B42" s="112">
        <f t="shared" si="23"/>
        <v>21</v>
      </c>
      <c r="C42" s="113">
        <f>LARGE('A. Estación'!$O$18:$O$43,B42)</f>
        <v>64.2</v>
      </c>
      <c r="D42" s="113">
        <f t="shared" si="2"/>
        <v>1.8075350280688534</v>
      </c>
      <c r="E42" s="114">
        <f t="shared" si="3"/>
        <v>0.77777777777777779</v>
      </c>
      <c r="F42" s="113">
        <f t="shared" si="4"/>
        <v>-0.68668111010935184</v>
      </c>
      <c r="G42" s="115">
        <f t="shared" si="5"/>
        <v>0.2461418516142429</v>
      </c>
      <c r="H42" s="115">
        <f t="shared" si="6"/>
        <v>0.75385814838575715</v>
      </c>
      <c r="I42" s="115">
        <f t="shared" si="7"/>
        <v>2.3919629392020636E-2</v>
      </c>
      <c r="J42" s="113">
        <f t="shared" si="8"/>
        <v>-0.6728411060687447</v>
      </c>
      <c r="K42" s="115">
        <f t="shared" si="9"/>
        <v>0.25052419163781503</v>
      </c>
      <c r="L42" s="114">
        <f t="shared" si="10"/>
        <v>0.74947580836218497</v>
      </c>
      <c r="M42" s="115">
        <f t="shared" si="11"/>
        <v>2.830196941559282E-2</v>
      </c>
      <c r="N42" s="113">
        <f t="shared" si="12"/>
        <v>4.1620032106959153</v>
      </c>
      <c r="O42" s="113">
        <f t="shared" si="13"/>
        <v>155.02233811194256</v>
      </c>
      <c r="P42" s="113">
        <f t="shared" si="14"/>
        <v>310.04467622388512</v>
      </c>
      <c r="Q42" s="113">
        <f t="shared" si="15"/>
        <v>327.25832207126132</v>
      </c>
      <c r="R42" s="114">
        <f t="shared" si="16"/>
        <v>0.74171362989689693</v>
      </c>
      <c r="S42" s="115">
        <f t="shared" si="17"/>
        <v>0.74171362989689693</v>
      </c>
      <c r="T42" s="114">
        <f t="shared" si="18"/>
        <v>0.77777777777777779</v>
      </c>
      <c r="U42" s="114">
        <f t="shared" si="19"/>
        <v>3.6064147880880859E-2</v>
      </c>
      <c r="V42" s="113">
        <f t="shared" si="20"/>
        <v>64.2</v>
      </c>
      <c r="W42" s="113">
        <f t="shared" si="0"/>
        <v>-0.68668111010935184</v>
      </c>
      <c r="X42" s="113">
        <f t="shared" si="1"/>
        <v>-0.22036782423580603</v>
      </c>
      <c r="Y42" s="114">
        <f t="shared" si="21"/>
        <v>0.71250078584220811</v>
      </c>
      <c r="Z42" s="114">
        <f t="shared" si="22"/>
        <v>6.5276991935569684E-2</v>
      </c>
      <c r="AA42" s="24"/>
      <c r="AB42" s="24"/>
      <c r="AC42" s="24"/>
      <c r="AD42" s="24"/>
      <c r="AE42" s="24"/>
      <c r="AF42" s="24"/>
      <c r="AG42" s="24"/>
      <c r="AH42" s="24"/>
      <c r="AI42" s="24"/>
    </row>
    <row r="43" spans="2:35" s="1" customFormat="1" ht="20.149999999999999" customHeight="1" x14ac:dyDescent="0.25">
      <c r="B43" s="112">
        <f t="shared" si="23"/>
        <v>22</v>
      </c>
      <c r="C43" s="113">
        <f>LARGE('A. Estación'!$O$18:$O$43,B43)</f>
        <v>64.2</v>
      </c>
      <c r="D43" s="113">
        <f t="shared" si="2"/>
        <v>1.8075350280688534</v>
      </c>
      <c r="E43" s="114">
        <f t="shared" si="3"/>
        <v>0.81481481481481477</v>
      </c>
      <c r="F43" s="113">
        <f t="shared" si="4"/>
        <v>-0.68668111010935184</v>
      </c>
      <c r="G43" s="115">
        <f t="shared" si="5"/>
        <v>0.2461418516142429</v>
      </c>
      <c r="H43" s="115">
        <f t="shared" si="6"/>
        <v>0.75385814838575715</v>
      </c>
      <c r="I43" s="115">
        <f t="shared" si="7"/>
        <v>6.0956666429057615E-2</v>
      </c>
      <c r="J43" s="113">
        <f t="shared" si="8"/>
        <v>-0.6728411060687447</v>
      </c>
      <c r="K43" s="115">
        <f t="shared" si="9"/>
        <v>0.25052419163781503</v>
      </c>
      <c r="L43" s="114">
        <f t="shared" si="10"/>
        <v>0.74947580836218497</v>
      </c>
      <c r="M43" s="115">
        <f t="shared" si="11"/>
        <v>6.53390064526298E-2</v>
      </c>
      <c r="N43" s="113">
        <f t="shared" si="12"/>
        <v>4.1620032106959153</v>
      </c>
      <c r="O43" s="113">
        <f t="shared" si="13"/>
        <v>155.02233811194256</v>
      </c>
      <c r="P43" s="113">
        <f t="shared" si="14"/>
        <v>310.04467622388512</v>
      </c>
      <c r="Q43" s="113">
        <f t="shared" si="15"/>
        <v>327.25832207126132</v>
      </c>
      <c r="R43" s="114">
        <f t="shared" si="16"/>
        <v>0.74171362989689693</v>
      </c>
      <c r="S43" s="115">
        <f t="shared" si="17"/>
        <v>0.74171362989689693</v>
      </c>
      <c r="T43" s="114">
        <f t="shared" si="18"/>
        <v>0.81481481481481477</v>
      </c>
      <c r="U43" s="114">
        <f t="shared" si="19"/>
        <v>7.3101184917917839E-2</v>
      </c>
      <c r="V43" s="113">
        <f t="shared" si="20"/>
        <v>64.2</v>
      </c>
      <c r="W43" s="113">
        <f t="shared" si="0"/>
        <v>-0.68668111010935184</v>
      </c>
      <c r="X43" s="113">
        <f t="shared" si="1"/>
        <v>-0.22036782423580603</v>
      </c>
      <c r="Y43" s="114">
        <f t="shared" si="21"/>
        <v>0.71250078584220811</v>
      </c>
      <c r="Z43" s="114">
        <f t="shared" si="22"/>
        <v>0.10231402897260666</v>
      </c>
      <c r="AA43" s="24"/>
      <c r="AB43" s="24"/>
      <c r="AC43" s="24"/>
      <c r="AD43" s="24"/>
      <c r="AE43" s="24"/>
      <c r="AF43" s="24"/>
      <c r="AG43" s="24"/>
      <c r="AH43" s="24"/>
      <c r="AI43" s="24"/>
    </row>
    <row r="44" spans="2:35" s="1" customFormat="1" ht="20.149999999999999" customHeight="1" x14ac:dyDescent="0.25">
      <c r="B44" s="112">
        <f t="shared" si="23"/>
        <v>23</v>
      </c>
      <c r="C44" s="113">
        <f>LARGE('A. Estación'!$O$18:$O$43,B44)</f>
        <v>63.5</v>
      </c>
      <c r="D44" s="113">
        <f t="shared" si="2"/>
        <v>1.8027737252919758</v>
      </c>
      <c r="E44" s="114">
        <f t="shared" si="3"/>
        <v>0.85185185185185186</v>
      </c>
      <c r="F44" s="113">
        <f t="shared" si="4"/>
        <v>-0.71840089742912405</v>
      </c>
      <c r="G44" s="115">
        <f t="shared" si="5"/>
        <v>0.23625506681766575</v>
      </c>
      <c r="H44" s="115">
        <f t="shared" si="6"/>
        <v>0.76374493318233427</v>
      </c>
      <c r="I44" s="115">
        <f t="shared" si="7"/>
        <v>8.8106918669517587E-2</v>
      </c>
      <c r="J44" s="113">
        <f t="shared" si="8"/>
        <v>-0.71433428838169455</v>
      </c>
      <c r="K44" s="115">
        <f t="shared" si="9"/>
        <v>0.2375102472858239</v>
      </c>
      <c r="L44" s="114">
        <f t="shared" si="10"/>
        <v>0.76248975271417607</v>
      </c>
      <c r="M44" s="115">
        <f t="shared" si="11"/>
        <v>8.9362099137675788E-2</v>
      </c>
      <c r="N44" s="113">
        <f t="shared" si="12"/>
        <v>4.1510399058986458</v>
      </c>
      <c r="O44" s="113">
        <f t="shared" si="13"/>
        <v>154.49156722192595</v>
      </c>
      <c r="P44" s="113">
        <f t="shared" si="14"/>
        <v>308.9831344438519</v>
      </c>
      <c r="Q44" s="113">
        <f t="shared" si="15"/>
        <v>327.25832207126132</v>
      </c>
      <c r="R44" s="114">
        <f t="shared" si="16"/>
        <v>0.75543474259655663</v>
      </c>
      <c r="S44" s="115">
        <f t="shared" si="17"/>
        <v>0.75543474259655663</v>
      </c>
      <c r="T44" s="114">
        <f t="shared" si="18"/>
        <v>0.85185185185185186</v>
      </c>
      <c r="U44" s="114">
        <f t="shared" si="19"/>
        <v>9.641710925529523E-2</v>
      </c>
      <c r="V44" s="113">
        <f t="shared" si="20"/>
        <v>63.5</v>
      </c>
      <c r="W44" s="113">
        <f t="shared" si="0"/>
        <v>-0.71840089742912405</v>
      </c>
      <c r="X44" s="113">
        <f t="shared" si="1"/>
        <v>-0.25512002322334837</v>
      </c>
      <c r="Y44" s="114">
        <f t="shared" si="21"/>
        <v>0.72489887332011838</v>
      </c>
      <c r="Z44" s="114">
        <f t="shared" si="22"/>
        <v>0.12695297853173348</v>
      </c>
      <c r="AA44" s="24"/>
      <c r="AB44" s="24"/>
      <c r="AC44" s="24"/>
      <c r="AD44" s="24"/>
      <c r="AE44" s="24"/>
      <c r="AF44" s="24"/>
      <c r="AG44" s="24"/>
      <c r="AH44" s="24"/>
      <c r="AI44" s="24"/>
    </row>
    <row r="45" spans="2:35" s="1" customFormat="1" ht="20.149999999999999" customHeight="1" x14ac:dyDescent="0.25">
      <c r="B45" s="112">
        <f t="shared" si="23"/>
        <v>24</v>
      </c>
      <c r="C45" s="113">
        <f>LARGE('A. Estación'!$O$18:$O$43,B45)</f>
        <v>50</v>
      </c>
      <c r="D45" s="113">
        <f t="shared" si="2"/>
        <v>1.6989700043360187</v>
      </c>
      <c r="E45" s="114">
        <f t="shared" si="3"/>
        <v>0.88888888888888884</v>
      </c>
      <c r="F45" s="113">
        <f t="shared" si="4"/>
        <v>-1.3301396528818712</v>
      </c>
      <c r="G45" s="115">
        <f t="shared" si="5"/>
        <v>9.1736131410795785E-2</v>
      </c>
      <c r="H45" s="115">
        <f t="shared" si="6"/>
        <v>0.90826386858920416</v>
      </c>
      <c r="I45" s="115">
        <f t="shared" si="7"/>
        <v>1.937497970031532E-2</v>
      </c>
      <c r="J45" s="113">
        <f t="shared" si="8"/>
        <v>-1.618949457848543</v>
      </c>
      <c r="K45" s="115">
        <f t="shared" si="9"/>
        <v>5.2729069112577701E-2</v>
      </c>
      <c r="L45" s="114">
        <f t="shared" si="10"/>
        <v>0.94727093088742231</v>
      </c>
      <c r="M45" s="115">
        <f t="shared" si="11"/>
        <v>5.8382041998533474E-2</v>
      </c>
      <c r="N45" s="113">
        <f t="shared" si="12"/>
        <v>3.912023005428146</v>
      </c>
      <c r="O45" s="113">
        <f t="shared" si="13"/>
        <v>142.91994576857229</v>
      </c>
      <c r="P45" s="113">
        <f t="shared" si="14"/>
        <v>285.83989153714458</v>
      </c>
      <c r="Q45" s="113">
        <f t="shared" si="15"/>
        <v>327.25832207126132</v>
      </c>
      <c r="R45" s="114">
        <f t="shared" si="16"/>
        <v>0.9511490809207408</v>
      </c>
      <c r="S45" s="115">
        <f t="shared" si="17"/>
        <v>0.9511490809207408</v>
      </c>
      <c r="T45" s="114">
        <f t="shared" si="18"/>
        <v>0.88888888888888884</v>
      </c>
      <c r="U45" s="114">
        <f t="shared" si="19"/>
        <v>6.2260192031851957E-2</v>
      </c>
      <c r="V45" s="113">
        <f t="shared" si="20"/>
        <v>50</v>
      </c>
      <c r="W45" s="113">
        <f t="shared" si="0"/>
        <v>-1.3301396528818712</v>
      </c>
      <c r="X45" s="113">
        <f t="shared" si="1"/>
        <v>-0.92534100369737837</v>
      </c>
      <c r="Y45" s="114">
        <f t="shared" si="21"/>
        <v>0.91975961790209215</v>
      </c>
      <c r="Z45" s="114">
        <f t="shared" si="22"/>
        <v>3.0870729013203313E-2</v>
      </c>
      <c r="AA45" s="24"/>
      <c r="AB45" s="24"/>
      <c r="AC45" s="24"/>
      <c r="AD45" s="24"/>
      <c r="AE45" s="24"/>
      <c r="AF45" s="24"/>
      <c r="AG45" s="24"/>
      <c r="AH45" s="24"/>
      <c r="AI45" s="24"/>
    </row>
    <row r="46" spans="2:35" s="1" customFormat="1" ht="20.149999999999999" customHeight="1" x14ac:dyDescent="0.25">
      <c r="B46" s="112">
        <f t="shared" si="23"/>
        <v>25</v>
      </c>
      <c r="C46" s="113">
        <f>LARGE('A. Estación'!$O$18:$O$43,B46)</f>
        <v>49</v>
      </c>
      <c r="D46" s="113">
        <f t="shared" si="2"/>
        <v>1.6901960800285136</v>
      </c>
      <c r="E46" s="114">
        <f t="shared" si="3"/>
        <v>0.92592592592592593</v>
      </c>
      <c r="F46" s="113">
        <f t="shared" si="4"/>
        <v>-1.3754536347672599</v>
      </c>
      <c r="G46" s="115">
        <f t="shared" si="5"/>
        <v>8.4495425326870002E-2</v>
      </c>
      <c r="H46" s="115">
        <f t="shared" si="6"/>
        <v>0.91550457467312996</v>
      </c>
      <c r="I46" s="115">
        <f t="shared" si="7"/>
        <v>1.0421351252795974E-2</v>
      </c>
      <c r="J46" s="113">
        <f t="shared" si="8"/>
        <v>-1.6954113125029697</v>
      </c>
      <c r="K46" s="115">
        <f t="shared" si="9"/>
        <v>4.4998710703076351E-2</v>
      </c>
      <c r="L46" s="114">
        <f t="shared" si="10"/>
        <v>0.95500128929692363</v>
      </c>
      <c r="M46" s="115">
        <f t="shared" si="11"/>
        <v>2.9075363370997698E-2</v>
      </c>
      <c r="N46" s="113">
        <f t="shared" si="12"/>
        <v>3.8918202981106265</v>
      </c>
      <c r="O46" s="113">
        <f t="shared" si="13"/>
        <v>141.94186396368298</v>
      </c>
      <c r="P46" s="113">
        <f t="shared" si="14"/>
        <v>283.88372792736595</v>
      </c>
      <c r="Q46" s="113">
        <f t="shared" si="15"/>
        <v>327.25832207126132</v>
      </c>
      <c r="R46" s="114">
        <f t="shared" si="16"/>
        <v>0.95906960826239662</v>
      </c>
      <c r="S46" s="115">
        <f t="shared" si="17"/>
        <v>0.95906960826239662</v>
      </c>
      <c r="T46" s="114">
        <f t="shared" si="18"/>
        <v>0.92592592592592593</v>
      </c>
      <c r="U46" s="114">
        <f t="shared" si="19"/>
        <v>3.3143682336470692E-2</v>
      </c>
      <c r="V46" s="113">
        <f t="shared" si="20"/>
        <v>49</v>
      </c>
      <c r="W46" s="113">
        <f t="shared" si="0"/>
        <v>-1.3754536347672599</v>
      </c>
      <c r="X46" s="113">
        <f t="shared" si="1"/>
        <v>-0.97498700225101009</v>
      </c>
      <c r="Y46" s="114">
        <f t="shared" si="21"/>
        <v>0.9294287719323775</v>
      </c>
      <c r="Z46" s="114">
        <f t="shared" si="22"/>
        <v>3.5028460064515654E-3</v>
      </c>
      <c r="AA46" s="24"/>
      <c r="AB46" s="24"/>
      <c r="AC46" s="24"/>
      <c r="AD46" s="24"/>
      <c r="AE46" s="24"/>
      <c r="AF46" s="24"/>
      <c r="AG46" s="24"/>
      <c r="AH46" s="24"/>
      <c r="AI46" s="24"/>
    </row>
    <row r="47" spans="2:35" s="1" customFormat="1" ht="20.149999999999999" customHeight="1" x14ac:dyDescent="0.25">
      <c r="B47" s="112">
        <f t="shared" si="23"/>
        <v>26</v>
      </c>
      <c r="C47" s="113">
        <f>LARGE('A. Estación'!$O$18:$O$43,B47)</f>
        <v>43.6</v>
      </c>
      <c r="D47" s="113">
        <f t="shared" si="2"/>
        <v>1.6394864892685861</v>
      </c>
      <c r="E47" s="114">
        <f t="shared" si="3"/>
        <v>0.96296296296296291</v>
      </c>
      <c r="F47" s="113">
        <f t="shared" si="4"/>
        <v>-1.6201491369483587</v>
      </c>
      <c r="G47" s="115">
        <f t="shared" si="5"/>
        <v>5.2600122174893127E-2</v>
      </c>
      <c r="H47" s="115">
        <f t="shared" si="6"/>
        <v>0.94739987782510693</v>
      </c>
      <c r="I47" s="115">
        <f t="shared" si="7"/>
        <v>1.5563085137855981E-2</v>
      </c>
      <c r="J47" s="113">
        <f t="shared" si="8"/>
        <v>-2.1373286601320562</v>
      </c>
      <c r="K47" s="115">
        <f t="shared" si="9"/>
        <v>1.6285634676903669E-2</v>
      </c>
      <c r="L47" s="114">
        <f t="shared" si="10"/>
        <v>0.98371436532309631</v>
      </c>
      <c r="M47" s="115">
        <f t="shared" si="11"/>
        <v>2.0751402360133397E-2</v>
      </c>
      <c r="N47" s="113">
        <f t="shared" si="12"/>
        <v>3.7750571503549888</v>
      </c>
      <c r="O47" s="113">
        <f t="shared" si="13"/>
        <v>136.28896267147081</v>
      </c>
      <c r="P47" s="113">
        <f t="shared" si="14"/>
        <v>272.57792534294163</v>
      </c>
      <c r="Q47" s="113">
        <f t="shared" si="15"/>
        <v>327.25832207126132</v>
      </c>
      <c r="R47" s="114">
        <f t="shared" si="16"/>
        <v>0.98721417338906992</v>
      </c>
      <c r="S47" s="115">
        <f t="shared" si="17"/>
        <v>0.98721417338906992</v>
      </c>
      <c r="T47" s="114">
        <f t="shared" si="18"/>
        <v>0.96296296296296291</v>
      </c>
      <c r="U47" s="114">
        <f t="shared" si="19"/>
        <v>2.4251210426107006E-2</v>
      </c>
      <c r="V47" s="113">
        <f t="shared" si="20"/>
        <v>43.6</v>
      </c>
      <c r="W47" s="113">
        <f t="shared" si="0"/>
        <v>-1.6201491369483587</v>
      </c>
      <c r="X47" s="113">
        <f t="shared" si="1"/>
        <v>-1.2430753944406221</v>
      </c>
      <c r="Y47" s="114">
        <f t="shared" si="21"/>
        <v>0.96876628621875815</v>
      </c>
      <c r="Z47" s="114">
        <f t="shared" si="22"/>
        <v>5.8033232557952452E-3</v>
      </c>
      <c r="AA47" s="24"/>
      <c r="AB47" s="24"/>
      <c r="AC47" s="24"/>
      <c r="AD47" s="24"/>
      <c r="AE47" s="24"/>
      <c r="AF47" s="24"/>
      <c r="AG47" s="24"/>
      <c r="AH47" s="24"/>
      <c r="AI47" s="24"/>
    </row>
    <row r="48" spans="2:35" s="1" customFormat="1" ht="20.149999999999999" customHeight="1" x14ac:dyDescent="0.25">
      <c r="B48" s="80"/>
      <c r="C48" s="81"/>
      <c r="D48" s="81"/>
      <c r="E48" s="82"/>
      <c r="F48" s="81"/>
      <c r="G48" s="83"/>
      <c r="H48" s="118" t="s">
        <v>79</v>
      </c>
      <c r="I48" s="119">
        <f>MAX(I22:I47)</f>
        <v>9.2017010625503659E-2</v>
      </c>
      <c r="J48" s="84"/>
      <c r="K48" s="84"/>
      <c r="L48" s="118" t="s">
        <v>79</v>
      </c>
      <c r="M48" s="119">
        <f>MAX(M22:M47)</f>
        <v>8.9362099137675788E-2</v>
      </c>
      <c r="N48" s="85"/>
      <c r="O48" s="84"/>
      <c r="P48" s="84"/>
      <c r="Q48" s="84"/>
      <c r="R48" s="84"/>
      <c r="S48" s="84"/>
      <c r="T48" s="118" t="s">
        <v>79</v>
      </c>
      <c r="U48" s="119">
        <f>MAX(U22:U47)</f>
        <v>9.641710925529523E-2</v>
      </c>
      <c r="V48" s="84"/>
      <c r="W48" s="84"/>
      <c r="X48" s="84"/>
      <c r="Y48" s="118" t="s">
        <v>79</v>
      </c>
      <c r="Z48" s="119">
        <f>MAX(Z22:Z45)</f>
        <v>0.12695297853173348</v>
      </c>
      <c r="AA48" s="24"/>
      <c r="AB48" s="30"/>
      <c r="AC48" s="30"/>
      <c r="AD48" s="24"/>
      <c r="AE48" s="24"/>
      <c r="AF48" s="24"/>
      <c r="AG48" s="24"/>
      <c r="AH48" s="24"/>
      <c r="AI48" s="24"/>
    </row>
    <row r="49" spans="2:35" s="1" customFormat="1" ht="20.149999999999999" customHeight="1" x14ac:dyDescent="0.25">
      <c r="B49" s="29"/>
      <c r="C49" s="29"/>
      <c r="D49" s="29"/>
      <c r="E49" s="29"/>
      <c r="F49" s="29"/>
      <c r="G49" s="29"/>
      <c r="H49" s="41"/>
      <c r="I49" s="42"/>
      <c r="J49" s="41"/>
      <c r="K49" s="41"/>
      <c r="L49" s="41"/>
      <c r="M49" s="42"/>
      <c r="N49" s="42"/>
      <c r="O49" s="41"/>
      <c r="P49" s="41"/>
      <c r="Q49" s="41"/>
      <c r="R49" s="41"/>
      <c r="S49" s="41"/>
      <c r="T49" s="41"/>
      <c r="U49" s="42"/>
      <c r="V49" s="41"/>
      <c r="W49" s="41"/>
      <c r="X49" s="41"/>
      <c r="Y49" s="41"/>
      <c r="Z49" s="42"/>
      <c r="AA49" s="24"/>
      <c r="AB49" s="30"/>
      <c r="AC49" s="30"/>
      <c r="AD49" s="24"/>
      <c r="AE49" s="24"/>
      <c r="AF49" s="24"/>
      <c r="AG49" s="24"/>
      <c r="AH49" s="24"/>
      <c r="AI49" s="24"/>
    </row>
    <row r="50" spans="2:35" s="1" customFormat="1" ht="20.149999999999999" customHeight="1" x14ac:dyDescent="0.25">
      <c r="B50" s="225" t="s">
        <v>80</v>
      </c>
      <c r="C50" s="225"/>
      <c r="D50" s="225"/>
      <c r="E50" s="225"/>
      <c r="F50" s="225"/>
      <c r="G50" s="225"/>
      <c r="H50" s="225"/>
      <c r="I50" s="225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30">
        <f>M48</f>
        <v>8.9362099137675788E-2</v>
      </c>
      <c r="AC50" s="30">
        <f>+IFERROR(AB50,"")</f>
        <v>8.9362099137675788E-2</v>
      </c>
      <c r="AD50" s="24" t="str">
        <f>E52</f>
        <v>Log - Normal</v>
      </c>
      <c r="AE50" s="24"/>
      <c r="AF50" s="24"/>
      <c r="AG50" s="24"/>
      <c r="AH50" s="24"/>
      <c r="AI50" s="24"/>
    </row>
    <row r="51" spans="2:35" s="1" customFormat="1" ht="20.149999999999999" customHeight="1" x14ac:dyDescent="0.25">
      <c r="B51" s="217" t="s">
        <v>124</v>
      </c>
      <c r="C51" s="217"/>
      <c r="D51" s="217" t="s">
        <v>123</v>
      </c>
      <c r="E51" s="217"/>
      <c r="F51" s="217"/>
      <c r="G51" s="217"/>
      <c r="H51" s="217"/>
      <c r="I51" s="217"/>
      <c r="J51" s="24"/>
      <c r="K51" s="24"/>
      <c r="L51" s="10"/>
      <c r="M51" s="10"/>
      <c r="N51" s="10"/>
      <c r="O51" s="11" t="s">
        <v>81</v>
      </c>
      <c r="P51" s="12">
        <f>+F10</f>
        <v>26</v>
      </c>
      <c r="Q51" s="24"/>
      <c r="R51" s="24"/>
      <c r="S51" s="24"/>
      <c r="T51" s="10"/>
      <c r="U51" s="10"/>
      <c r="V51" s="10"/>
      <c r="W51" s="24"/>
      <c r="X51" s="24"/>
      <c r="Y51" s="24"/>
      <c r="Z51" s="24"/>
      <c r="AA51" s="24"/>
      <c r="AB51" s="30"/>
      <c r="AC51" s="30"/>
      <c r="AD51" s="24"/>
      <c r="AE51" s="24"/>
      <c r="AF51" s="24"/>
      <c r="AG51" s="24"/>
      <c r="AH51" s="24"/>
      <c r="AI51" s="24"/>
    </row>
    <row r="52" spans="2:35" s="1" customFormat="1" ht="30.65" customHeight="1" x14ac:dyDescent="0.25">
      <c r="B52" s="217" t="s">
        <v>82</v>
      </c>
      <c r="C52" s="217"/>
      <c r="D52" s="116" t="s">
        <v>19</v>
      </c>
      <c r="E52" s="218" t="s">
        <v>125</v>
      </c>
      <c r="F52" s="218"/>
      <c r="G52" s="218" t="s">
        <v>126</v>
      </c>
      <c r="H52" s="218"/>
      <c r="I52" s="116" t="s">
        <v>16</v>
      </c>
      <c r="J52" s="24"/>
      <c r="K52" s="24"/>
      <c r="L52" s="10"/>
      <c r="M52" s="10"/>
      <c r="N52" s="10"/>
      <c r="O52" s="11" t="s">
        <v>102</v>
      </c>
      <c r="P52" s="13">
        <v>0.05</v>
      </c>
      <c r="Q52" s="24"/>
      <c r="R52" s="24"/>
      <c r="S52" s="24"/>
      <c r="T52" s="10"/>
      <c r="U52" s="10"/>
      <c r="V52" s="10"/>
      <c r="W52" s="24"/>
      <c r="X52" s="24"/>
      <c r="Y52" s="24"/>
      <c r="Z52" s="24"/>
      <c r="AA52" s="24"/>
      <c r="AB52" s="30">
        <f>U48</f>
        <v>9.641710925529523E-2</v>
      </c>
      <c r="AC52" s="30">
        <f>+IFERROR(AB52,"")</f>
        <v>9.641710925529523E-2</v>
      </c>
      <c r="AD52" s="24" t="str">
        <f>G52</f>
        <v>Log Pearson Tipo III</v>
      </c>
      <c r="AE52" s="24"/>
      <c r="AF52" s="24"/>
      <c r="AG52" s="24"/>
      <c r="AH52" s="24"/>
      <c r="AI52" s="24"/>
    </row>
    <row r="53" spans="2:35" s="1" customFormat="1" ht="20.149999999999999" customHeight="1" x14ac:dyDescent="0.25">
      <c r="B53" s="213" t="s">
        <v>104</v>
      </c>
      <c r="C53" s="213"/>
      <c r="D53" s="117">
        <f>+I48</f>
        <v>9.2017010625503659E-2</v>
      </c>
      <c r="E53" s="214">
        <f>+AC50</f>
        <v>8.9362099137675788E-2</v>
      </c>
      <c r="F53" s="214"/>
      <c r="G53" s="215">
        <f>+IFERROR(U48,"No se ajusta a la distribución Log-Pearson Tipo 3")</f>
        <v>9.641710925529523E-2</v>
      </c>
      <c r="H53" s="215"/>
      <c r="I53" s="117">
        <f>+AC53</f>
        <v>0.12695297853173348</v>
      </c>
      <c r="J53" s="24"/>
      <c r="K53" s="24"/>
      <c r="L53" s="10"/>
      <c r="M53" s="24"/>
      <c r="N53" s="24"/>
      <c r="O53" s="11" t="s">
        <v>83</v>
      </c>
      <c r="P53" s="14">
        <f>+(-LN($P$52/2)/2/$P$51)^0.5-1/6/$P$51</f>
        <v>0.25993536398210348</v>
      </c>
      <c r="Q53" s="24"/>
      <c r="R53" s="24"/>
      <c r="S53" s="24"/>
      <c r="T53" s="10"/>
      <c r="V53" s="10"/>
      <c r="W53" s="24"/>
      <c r="X53" s="24"/>
      <c r="Y53" s="24"/>
      <c r="Z53" s="24"/>
      <c r="AA53" s="24"/>
      <c r="AB53" s="30">
        <f>Z48</f>
        <v>0.12695297853173348</v>
      </c>
      <c r="AC53" s="30">
        <f>+IFERROR(AB53,"")</f>
        <v>0.12695297853173348</v>
      </c>
      <c r="AD53" s="24" t="str">
        <f>I52</f>
        <v>Gumbel</v>
      </c>
      <c r="AE53" s="24"/>
      <c r="AF53" s="24"/>
      <c r="AG53" s="24"/>
      <c r="AH53" s="24"/>
      <c r="AI53" s="24"/>
    </row>
    <row r="54" spans="2:35" s="1" customFormat="1" ht="20.149999999999999" customHeight="1" x14ac:dyDescent="0.25">
      <c r="B54" s="10"/>
      <c r="C54" s="24"/>
      <c r="D54" s="15"/>
      <c r="E54" s="10"/>
      <c r="F54" s="10"/>
      <c r="G54" s="10"/>
      <c r="H54" s="10"/>
      <c r="I54" s="24"/>
      <c r="J54" s="24"/>
      <c r="K54" s="24"/>
      <c r="L54" s="24"/>
      <c r="M54" s="24"/>
      <c r="N54" s="24"/>
      <c r="O54" s="24"/>
      <c r="P54" s="16" t="s">
        <v>103</v>
      </c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spans="2:35" s="1" customFormat="1" ht="20.149999999999999" customHeight="1" x14ac:dyDescent="0.25">
      <c r="B55" s="24"/>
      <c r="C55" s="24"/>
      <c r="D55" s="10"/>
      <c r="E55" s="10"/>
      <c r="F55" s="11" t="s">
        <v>84</v>
      </c>
      <c r="G55" s="211" t="str">
        <f>AC57</f>
        <v>Log - Normal</v>
      </c>
      <c r="H55" s="211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spans="2:35" s="1" customFormat="1" ht="20.149999999999999" customHeight="1" x14ac:dyDescent="0.25"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 t="s">
        <v>85</v>
      </c>
      <c r="AC56" s="31">
        <f>MIN(AC48:AC53)</f>
        <v>8.9362099137675788E-2</v>
      </c>
      <c r="AD56" s="24"/>
      <c r="AE56" s="24"/>
      <c r="AF56" s="24"/>
      <c r="AG56" s="24"/>
      <c r="AH56" s="24"/>
      <c r="AI56" s="24"/>
    </row>
    <row r="57" spans="2:35" s="1" customFormat="1" ht="20.149999999999999" customHeight="1" x14ac:dyDescent="0.25"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 t="s">
        <v>86</v>
      </c>
      <c r="AC57" s="32" t="str">
        <f>VLOOKUP(AC56,AC48:AE53,2,FALSE)</f>
        <v>Log - Normal</v>
      </c>
      <c r="AD57" s="24"/>
      <c r="AE57" s="24"/>
      <c r="AF57" s="24"/>
      <c r="AG57" s="24"/>
      <c r="AH57" s="24"/>
      <c r="AI57" s="24"/>
    </row>
    <row r="58" spans="2:35" s="1" customFormat="1" ht="20.149999999999999" customHeight="1" x14ac:dyDescent="0.25"/>
    <row r="59" spans="2:35" s="1" customFormat="1" ht="20.149999999999999" customHeight="1" x14ac:dyDescent="0.25"/>
    <row r="60" spans="2:35" s="1" customFormat="1" ht="20.149999999999999" customHeight="1" x14ac:dyDescent="0.25"/>
    <row r="61" spans="2:35" s="1" customFormat="1" ht="20.149999999999999" customHeight="1" x14ac:dyDescent="0.25"/>
  </sheetData>
  <mergeCells count="42">
    <mergeCell ref="V20:Z20"/>
    <mergeCell ref="E20:E21"/>
    <mergeCell ref="F20:I20"/>
    <mergeCell ref="L10:O10"/>
    <mergeCell ref="N20:U20"/>
    <mergeCell ref="R12:U12"/>
    <mergeCell ref="R13:U13"/>
    <mergeCell ref="R10:U10"/>
    <mergeCell ref="R11:U11"/>
    <mergeCell ref="L12:O12"/>
    <mergeCell ref="C11:E11"/>
    <mergeCell ref="H13:J13"/>
    <mergeCell ref="L13:O13"/>
    <mergeCell ref="C13:E13"/>
    <mergeCell ref="C10:E10"/>
    <mergeCell ref="H12:J12"/>
    <mergeCell ref="C2:Z2"/>
    <mergeCell ref="C3:Z3"/>
    <mergeCell ref="C4:Z4"/>
    <mergeCell ref="C5:Z5"/>
    <mergeCell ref="G52:H52"/>
    <mergeCell ref="C20:C21"/>
    <mergeCell ref="B50:I50"/>
    <mergeCell ref="B51:C51"/>
    <mergeCell ref="H10:J10"/>
    <mergeCell ref="J20:M20"/>
    <mergeCell ref="C17:E17"/>
    <mergeCell ref="D51:I51"/>
    <mergeCell ref="B20:B21"/>
    <mergeCell ref="L11:O11"/>
    <mergeCell ref="C15:E15"/>
    <mergeCell ref="C16:E16"/>
    <mergeCell ref="G55:H55"/>
    <mergeCell ref="H11:J11"/>
    <mergeCell ref="B53:C53"/>
    <mergeCell ref="E53:F53"/>
    <mergeCell ref="G53:H53"/>
    <mergeCell ref="C14:E14"/>
    <mergeCell ref="D20:D21"/>
    <mergeCell ref="C12:E12"/>
    <mergeCell ref="B52:C52"/>
    <mergeCell ref="E52:F52"/>
  </mergeCells>
  <conditionalFormatting sqref="D52:I52">
    <cfRule type="cellIs" dxfId="1" priority="4" stopIfTrue="1" operator="equal">
      <formula>$AC$57</formula>
    </cfRule>
  </conditionalFormatting>
  <conditionalFormatting sqref="D53:I53">
    <cfRule type="cellIs" dxfId="0" priority="3" stopIfTrue="1" operator="equal">
      <formula>$AC$56</formula>
    </cfRule>
  </conditionalFormatting>
  <pageMargins left="1.96" right="0.70866141732283472" top="0.35433070866141736" bottom="0.35433070866141736" header="0" footer="0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B064-4BE4-462A-9650-7713190ACFB5}">
  <sheetPr>
    <tabColor rgb="FFFF0000"/>
  </sheetPr>
  <dimension ref="B1:N64"/>
  <sheetViews>
    <sheetView view="pageBreakPreview" zoomScale="130" zoomScaleNormal="100" zoomScaleSheetLayoutView="130" workbookViewId="0">
      <selection activeCell="T56" sqref="T56"/>
    </sheetView>
  </sheetViews>
  <sheetFormatPr baseColWidth="10" defaultColWidth="9.90625" defaultRowHeight="13" x14ac:dyDescent="0.3"/>
  <cols>
    <col min="1" max="1" width="2.453125" style="9" customWidth="1"/>
    <col min="2" max="5" width="10.6328125" style="9" customWidth="1"/>
    <col min="6" max="6" width="3.54296875" style="9" customWidth="1"/>
    <col min="7" max="9" width="10.6328125" style="9" customWidth="1"/>
    <col min="10" max="10" width="14.54296875" style="9" customWidth="1"/>
    <col min="11" max="12" width="10.6328125" style="9" customWidth="1"/>
    <col min="13" max="13" width="2.7265625" style="9" customWidth="1"/>
    <col min="14" max="14" width="11.6328125" style="9" customWidth="1"/>
    <col min="15" max="15" width="6.54296875" style="9" customWidth="1"/>
    <col min="16" max="16" width="9.453125" style="9" customWidth="1"/>
    <col min="17" max="17" width="6.90625" style="9" customWidth="1"/>
    <col min="18" max="18" width="4.54296875" style="9" customWidth="1"/>
    <col min="19" max="19" width="6.08984375" style="9" customWidth="1"/>
    <col min="20" max="20" width="5.08984375" style="9" customWidth="1"/>
    <col min="21" max="21" width="6.08984375" style="9" bestFit="1" customWidth="1"/>
    <col min="22" max="22" width="4" style="9" bestFit="1" customWidth="1"/>
    <col min="23" max="23" width="4.90625" style="9" customWidth="1"/>
    <col min="24" max="24" width="6.54296875" style="9" bestFit="1" customWidth="1"/>
    <col min="25" max="25" width="4" style="9" bestFit="1" customWidth="1"/>
    <col min="26" max="26" width="4.6328125" style="9" customWidth="1"/>
    <col min="27" max="16384" width="9.90625" style="9"/>
  </cols>
  <sheetData>
    <row r="1" spans="2:14" ht="20.2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2:14" ht="43.5" customHeight="1" x14ac:dyDescent="0.3">
      <c r="B2" s="59" t="s">
        <v>91</v>
      </c>
      <c r="C2" s="230" t="str">
        <f>'A. Estación'!C2:O2</f>
        <v>“CREACIÓN DEL SERVICIO DE PROTECCIÓN INTEGRAL A NIÑAS, NIÑOS Y ADOLESCENTES SIN CUIDADOS PARENTALES O EN RIESGO DE PERDERLOS EN CENTRO DE ACOGIDA RESIDENCIAL - VARONES DISTRITO DE MORALES DE LA PROVINCIA DE SAN MARTÍN DEL DEPARTAMENTO DE SAN MARTÍN”, con CUI N.° 2705619</v>
      </c>
      <c r="D2" s="230"/>
      <c r="E2" s="230"/>
      <c r="F2" s="230"/>
      <c r="G2" s="230"/>
      <c r="H2" s="230"/>
      <c r="I2" s="230"/>
      <c r="J2" s="230"/>
      <c r="K2" s="230"/>
      <c r="L2" s="230"/>
    </row>
    <row r="3" spans="2:14" ht="15.75" customHeight="1" x14ac:dyDescent="0.3">
      <c r="B3" s="59" t="s">
        <v>92</v>
      </c>
      <c r="C3" s="230" t="str">
        <f>'A. Estación'!C3:O3</f>
        <v>GERENCIA TERRITORIAL BAJO MAYO</v>
      </c>
      <c r="D3" s="230"/>
      <c r="E3" s="230"/>
      <c r="F3" s="230"/>
      <c r="G3" s="230"/>
      <c r="H3" s="230"/>
      <c r="I3" s="230"/>
      <c r="J3" s="230"/>
      <c r="K3" s="230"/>
      <c r="L3" s="230"/>
    </row>
    <row r="4" spans="2:14" ht="16.5" customHeight="1" x14ac:dyDescent="0.3">
      <c r="B4" s="59" t="s">
        <v>93</v>
      </c>
      <c r="C4" s="230" t="str">
        <f>'A. Estación'!C4:O4</f>
        <v>SAN MARTIN - SAN MARTIN - MORALES</v>
      </c>
      <c r="D4" s="230"/>
      <c r="E4" s="230"/>
      <c r="F4" s="230"/>
      <c r="G4" s="230"/>
      <c r="H4" s="230"/>
      <c r="I4" s="230"/>
      <c r="J4" s="230"/>
      <c r="K4" s="230"/>
      <c r="L4" s="230"/>
    </row>
    <row r="5" spans="2:14" ht="15" customHeight="1" x14ac:dyDescent="0.3">
      <c r="B5" s="59" t="s">
        <v>94</v>
      </c>
      <c r="C5" s="230" t="str">
        <f>'A. Estación'!C5:O5</f>
        <v>SETIEMBRE 2026</v>
      </c>
      <c r="D5" s="230"/>
      <c r="E5" s="230"/>
      <c r="F5" s="230"/>
      <c r="G5" s="230"/>
      <c r="H5" s="230"/>
      <c r="I5" s="230"/>
      <c r="J5" s="230"/>
      <c r="K5" s="230"/>
      <c r="L5" s="230"/>
    </row>
    <row r="6" spans="2:14" s="1" customFormat="1" ht="20.149999999999999" customHeight="1" x14ac:dyDescent="0.25"/>
    <row r="7" spans="2:14" s="1" customFormat="1" ht="20.149999999999999" customHeight="1" x14ac:dyDescent="0.25">
      <c r="B7" s="4" t="s">
        <v>121</v>
      </c>
      <c r="C7" s="3"/>
    </row>
    <row r="8" spans="2:14" s="1" customFormat="1" x14ac:dyDescent="0.25">
      <c r="B8" s="23"/>
      <c r="C8" s="23"/>
    </row>
    <row r="9" spans="2:14" s="1" customFormat="1" ht="20.149999999999999" customHeight="1" x14ac:dyDescent="0.25">
      <c r="B9" s="231" t="s">
        <v>9</v>
      </c>
      <c r="C9" s="231"/>
      <c r="D9" s="231"/>
      <c r="E9" s="110" t="s">
        <v>131</v>
      </c>
      <c r="F9" s="40"/>
      <c r="G9" s="111" t="s">
        <v>20</v>
      </c>
      <c r="H9" s="110" t="s">
        <v>19</v>
      </c>
      <c r="I9" s="111" t="s">
        <v>18</v>
      </c>
      <c r="J9" s="111" t="s">
        <v>17</v>
      </c>
      <c r="K9" s="111" t="s">
        <v>16</v>
      </c>
      <c r="L9" s="111" t="s">
        <v>15</v>
      </c>
    </row>
    <row r="10" spans="2:14" s="1" customFormat="1" ht="20.149999999999999" customHeight="1" x14ac:dyDescent="0.25">
      <c r="B10" s="229" t="s">
        <v>4</v>
      </c>
      <c r="C10" s="229"/>
      <c r="D10" s="229"/>
      <c r="E10" s="106">
        <f>'B.Modelo Distribución'!C37</f>
        <v>79.353846153846163</v>
      </c>
      <c r="F10" s="28"/>
      <c r="G10" s="104">
        <v>2</v>
      </c>
      <c r="H10" s="105">
        <f>'B.Modelo Distribución'!J11</f>
        <v>79.353843924806228</v>
      </c>
      <c r="I10" s="153">
        <f>'B.Modelo Distribución'!H59</f>
        <v>76.690732607764517</v>
      </c>
      <c r="J10" s="121">
        <f>'B.Modelo Distribución'!R11</f>
        <v>76.164875519647666</v>
      </c>
      <c r="K10" s="121">
        <f>'B.Modelo Distribución'!E47</f>
        <v>75.728650683290738</v>
      </c>
      <c r="L10" s="122">
        <f>+I10</f>
        <v>76.690732607764517</v>
      </c>
      <c r="N10" s="21"/>
    </row>
    <row r="11" spans="2:14" s="1" customFormat="1" ht="20.149999999999999" customHeight="1" x14ac:dyDescent="0.25">
      <c r="B11" s="229" t="s">
        <v>5</v>
      </c>
      <c r="C11" s="229"/>
      <c r="D11" s="229"/>
      <c r="E11" s="106">
        <f>'B.Modelo Distribución'!C39</f>
        <v>22.068243804512051</v>
      </c>
      <c r="F11" s="28"/>
      <c r="G11" s="104">
        <v>5</v>
      </c>
      <c r="H11" s="105">
        <f>'B.Modelo Distribución'!J12</f>
        <v>97.923318143375923</v>
      </c>
      <c r="I11" s="153">
        <f>'B.Modelo Distribución'!H60</f>
        <v>95.785384604308092</v>
      </c>
      <c r="J11" s="121">
        <f>'B.Modelo Distribución'!R12</f>
        <v>95.567723974641808</v>
      </c>
      <c r="K11" s="121">
        <f>'B.Modelo Distribución'!E48</f>
        <v>95.231007818131175</v>
      </c>
      <c r="L11" s="122">
        <f t="shared" ref="L11:L18" si="0">+I11</f>
        <v>95.785384604308092</v>
      </c>
    </row>
    <row r="12" spans="2:14" s="1" customFormat="1" ht="20.149999999999999" customHeight="1" x14ac:dyDescent="0.25">
      <c r="B12" s="229" t="s">
        <v>6</v>
      </c>
      <c r="C12" s="229"/>
      <c r="D12" s="229"/>
      <c r="E12" s="106">
        <f>'B.Modelo Distribución'!C40</f>
        <v>1.3586957911481008</v>
      </c>
      <c r="F12" s="28"/>
      <c r="G12" s="104">
        <v>10</v>
      </c>
      <c r="H12" s="105">
        <f>'B.Modelo Distribución'!J13</f>
        <v>107.63934884360201</v>
      </c>
      <c r="I12" s="153">
        <f>'B.Modelo Distribución'!H61</f>
        <v>107.60192491262981</v>
      </c>
      <c r="J12" s="121">
        <f>'B.Modelo Distribución'!R13</f>
        <v>108.04282342020164</v>
      </c>
      <c r="K12" s="121">
        <f>'B.Modelo Distribución'!E49</f>
        <v>108.14326519748275</v>
      </c>
      <c r="L12" s="122">
        <f t="shared" si="0"/>
        <v>107.60192491262981</v>
      </c>
    </row>
    <row r="13" spans="2:14" s="1" customFormat="1" ht="20.149999999999999" customHeight="1" x14ac:dyDescent="0.25">
      <c r="B13" s="229" t="s">
        <v>7</v>
      </c>
      <c r="C13" s="229"/>
      <c r="D13" s="229"/>
      <c r="E13" s="120">
        <f>'B.Modelo Distribución'!C42</f>
        <v>26</v>
      </c>
      <c r="F13" s="28"/>
      <c r="G13" s="104">
        <v>20</v>
      </c>
      <c r="H13" s="105">
        <f>'B.Modelo Distribución'!J14</f>
        <v>115.66077332491227</v>
      </c>
      <c r="I13" s="153">
        <f>'B.Modelo Distribución'!H62</f>
        <v>118.44843556710663</v>
      </c>
      <c r="J13" s="121">
        <f>'B.Modelo Distribución'!R14</f>
        <v>119.80877519305307</v>
      </c>
      <c r="K13" s="121">
        <f>'B.Modelo Distribución'!E50</f>
        <v>120.52901248031689</v>
      </c>
      <c r="L13" s="122">
        <f t="shared" si="0"/>
        <v>118.44843556710663</v>
      </c>
    </row>
    <row r="14" spans="2:14" s="1" customFormat="1" ht="20.149999999999999" customHeight="1" x14ac:dyDescent="0.25">
      <c r="B14" s="229" t="s">
        <v>10</v>
      </c>
      <c r="C14" s="229"/>
      <c r="D14" s="229"/>
      <c r="E14" s="106">
        <f>6/E13</f>
        <v>0.23076923076923078</v>
      </c>
      <c r="F14" s="28"/>
      <c r="G14" s="104">
        <v>25</v>
      </c>
      <c r="H14" s="105">
        <f>'B.Modelo Distribución'!J15</f>
        <v>117.99702996256144</v>
      </c>
      <c r="I14" s="153">
        <f>'B.Modelo Distribución'!H63</f>
        <v>121.8084022033932</v>
      </c>
      <c r="J14" s="121">
        <f>'B.Modelo Distribución'!R15</f>
        <v>123.51458204316748</v>
      </c>
      <c r="K14" s="121">
        <f>'B.Modelo Distribución'!E51</f>
        <v>124.45793662602418</v>
      </c>
      <c r="L14" s="122">
        <f t="shared" si="0"/>
        <v>121.8084022033932</v>
      </c>
    </row>
    <row r="15" spans="2:14" s="1" customFormat="1" ht="20.149999999999999" customHeight="1" x14ac:dyDescent="0.25">
      <c r="B15" s="229" t="s">
        <v>11</v>
      </c>
      <c r="C15" s="229"/>
      <c r="D15" s="229"/>
      <c r="E15" s="106">
        <f>+SQRT(E14)</f>
        <v>0.48038446141526142</v>
      </c>
      <c r="F15" s="28"/>
      <c r="G15" s="104">
        <v>50</v>
      </c>
      <c r="H15" s="105">
        <f>'B.Modelo Distribución'!J16</f>
        <v>124.68618075020755</v>
      </c>
      <c r="I15" s="153">
        <f>'B.Modelo Distribución'!H64</f>
        <v>131.96509162994809</v>
      </c>
      <c r="J15" s="121">
        <f>'B.Modelo Distribución'!R16</f>
        <v>134.89166232060634</v>
      </c>
      <c r="K15" s="121">
        <f>'B.Modelo Distribución'!E52</f>
        <v>136.56109187961601</v>
      </c>
      <c r="L15" s="122">
        <f t="shared" si="0"/>
        <v>131.96509162994809</v>
      </c>
    </row>
    <row r="16" spans="2:14" s="1" customFormat="1" ht="20.149999999999999" customHeight="1" x14ac:dyDescent="0.25">
      <c r="G16" s="104">
        <v>100</v>
      </c>
      <c r="H16" s="105">
        <f>'B.Modelo Distribución'!J17</f>
        <v>130.70191215352008</v>
      </c>
      <c r="I16" s="153">
        <f>'B.Modelo Distribución'!H65</f>
        <v>141.82058677652495</v>
      </c>
      <c r="J16" s="121">
        <f>'B.Modelo Distribución'!R17</f>
        <v>146.18185524411615</v>
      </c>
      <c r="K16" s="121">
        <f>'B.Modelo Distribución'!E53</f>
        <v>148.57487933465774</v>
      </c>
      <c r="L16" s="122">
        <f t="shared" si="0"/>
        <v>141.82058677652495</v>
      </c>
    </row>
    <row r="17" spans="2:12" s="1" customFormat="1" ht="20.149999999999999" customHeight="1" x14ac:dyDescent="0.25">
      <c r="B17" s="232" t="s">
        <v>12</v>
      </c>
      <c r="C17" s="233"/>
      <c r="D17" s="234"/>
      <c r="E17" s="110" t="s">
        <v>131</v>
      </c>
      <c r="F17" s="40"/>
      <c r="G17" s="104">
        <v>200</v>
      </c>
      <c r="H17" s="105">
        <f>'B.Modelo Distribución'!J18</f>
        <v>136.20685209416649</v>
      </c>
      <c r="I17" s="153">
        <f>'B.Modelo Distribución'!H66</f>
        <v>151.48286540144682</v>
      </c>
      <c r="J17" s="121">
        <f>'B.Modelo Distribución'!R18</f>
        <v>157.48908215119906</v>
      </c>
      <c r="K17" s="121">
        <f>'B.Modelo Distribución'!E54</f>
        <v>160.54483049731795</v>
      </c>
      <c r="L17" s="122">
        <f t="shared" si="0"/>
        <v>151.48286540144682</v>
      </c>
    </row>
    <row r="18" spans="2:12" s="1" customFormat="1" ht="20.149999999999999" customHeight="1" x14ac:dyDescent="0.25">
      <c r="B18" s="206" t="s">
        <v>4</v>
      </c>
      <c r="C18" s="207"/>
      <c r="D18" s="208"/>
      <c r="E18" s="106">
        <f>+'B.Modelo Distribución'!D37</f>
        <v>1.8847428980885659</v>
      </c>
      <c r="F18" s="28"/>
      <c r="G18" s="104">
        <v>500</v>
      </c>
      <c r="H18" s="105">
        <f>'B.Modelo Distribución'!J19</f>
        <v>142.87742073227903</v>
      </c>
      <c r="I18" s="153">
        <f>'B.Modelo Distribución'!H67</f>
        <v>164.07737767641453</v>
      </c>
      <c r="J18" s="121">
        <f>'B.Modelo Distribución'!R19</f>
        <v>172.58013813472925</v>
      </c>
      <c r="K18" s="121">
        <f>'B.Modelo Distribución'!E55</f>
        <v>176.33690814505781</v>
      </c>
      <c r="L18" s="122">
        <f t="shared" si="0"/>
        <v>164.07737767641453</v>
      </c>
    </row>
    <row r="19" spans="2:12" s="1" customFormat="1" ht="20.149999999999999" customHeight="1" x14ac:dyDescent="0.25">
      <c r="B19" s="206" t="s">
        <v>5</v>
      </c>
      <c r="C19" s="207"/>
      <c r="D19" s="208"/>
      <c r="E19" s="106">
        <f>+'B.Modelo Distribución'!D39</f>
        <v>0.11474903855209022</v>
      </c>
      <c r="F19" s="28"/>
      <c r="H19" s="33"/>
    </row>
    <row r="20" spans="2:12" s="1" customFormat="1" ht="20.149999999999999" customHeight="1" x14ac:dyDescent="0.25">
      <c r="B20" s="206" t="s">
        <v>14</v>
      </c>
      <c r="C20" s="207"/>
      <c r="D20" s="208"/>
      <c r="E20" s="106">
        <f>+'B.Modelo Distribución'!D38</f>
        <v>1.3167341848629088E-2</v>
      </c>
      <c r="F20" s="28"/>
      <c r="H20" s="33"/>
    </row>
    <row r="21" spans="2:12" s="1" customFormat="1" ht="20.149999999999999" customHeight="1" x14ac:dyDescent="0.25">
      <c r="B21" s="206" t="s">
        <v>6</v>
      </c>
      <c r="C21" s="207"/>
      <c r="D21" s="208"/>
      <c r="E21" s="106">
        <f>+'B.Modelo Distribución'!D40</f>
        <v>0.15635063298838556</v>
      </c>
      <c r="F21" s="28"/>
      <c r="H21" s="33"/>
    </row>
    <row r="22" spans="2:12" s="1" customFormat="1" ht="20.149999999999999" customHeight="1" x14ac:dyDescent="0.25">
      <c r="B22" s="206" t="s">
        <v>7</v>
      </c>
      <c r="C22" s="207"/>
      <c r="D22" s="208"/>
      <c r="E22" s="120">
        <f>+E13</f>
        <v>26</v>
      </c>
      <c r="F22" s="28"/>
      <c r="H22" s="34"/>
    </row>
    <row r="23" spans="2:12" s="1" customFormat="1" ht="20.149999999999999" customHeight="1" x14ac:dyDescent="0.25">
      <c r="B23" s="206" t="s">
        <v>10</v>
      </c>
      <c r="C23" s="207"/>
      <c r="D23" s="208"/>
      <c r="E23" s="106">
        <f>6/E22</f>
        <v>0.23076923076923078</v>
      </c>
      <c r="F23" s="28"/>
      <c r="H23" s="33"/>
    </row>
    <row r="24" spans="2:12" s="1" customFormat="1" ht="20.149999999999999" customHeight="1" x14ac:dyDescent="0.25">
      <c r="B24" s="206" t="s">
        <v>13</v>
      </c>
      <c r="C24" s="207"/>
      <c r="D24" s="208"/>
      <c r="E24" s="106">
        <f>+SQRT(E23)</f>
        <v>0.48038446141526142</v>
      </c>
      <c r="F24" s="28"/>
      <c r="H24" s="33"/>
    </row>
    <row r="25" spans="2:12" s="1" customFormat="1" ht="20.149999999999999" customHeight="1" x14ac:dyDescent="0.25">
      <c r="B25" s="206" t="s">
        <v>78</v>
      </c>
      <c r="C25" s="207"/>
      <c r="D25" s="208"/>
      <c r="E25" s="106">
        <f>+'B.Modelo Distribución'!D41</f>
        <v>2.6058438831397593E-2</v>
      </c>
      <c r="F25" s="28"/>
      <c r="H25" s="33"/>
    </row>
    <row r="26" spans="2:12" s="1" customFormat="1" ht="20.149999999999999" customHeight="1" x14ac:dyDescent="0.25">
      <c r="B26" s="28"/>
      <c r="C26" s="28"/>
      <c r="D26" s="28"/>
      <c r="E26" s="33"/>
      <c r="F26" s="28"/>
      <c r="H26" s="33"/>
    </row>
    <row r="27" spans="2:12" s="1" customFormat="1" ht="20.149999999999999" customHeight="1" x14ac:dyDescent="0.25">
      <c r="I27" s="35"/>
    </row>
    <row r="28" spans="2:12" s="1" customFormat="1" ht="20.149999999999999" customHeight="1" x14ac:dyDescent="0.25">
      <c r="I28" s="35"/>
    </row>
    <row r="29" spans="2:12" s="1" customFormat="1" ht="20.149999999999999" customHeight="1" x14ac:dyDescent="0.25">
      <c r="H29" s="22"/>
      <c r="I29" s="35"/>
    </row>
    <row r="30" spans="2:12" s="1" customFormat="1" ht="20.149999999999999" customHeight="1" x14ac:dyDescent="0.25">
      <c r="H30" s="36"/>
      <c r="I30" s="37"/>
    </row>
    <row r="31" spans="2:12" s="1" customFormat="1" ht="20.149999999999999" customHeight="1" x14ac:dyDescent="0.25">
      <c r="H31" s="36"/>
      <c r="I31" s="37"/>
    </row>
    <row r="32" spans="2:12" s="1" customFormat="1" ht="20.149999999999999" customHeight="1" x14ac:dyDescent="0.25">
      <c r="H32" s="36"/>
      <c r="I32" s="37"/>
    </row>
    <row r="33" spans="8:9" s="1" customFormat="1" ht="20.149999999999999" customHeight="1" x14ac:dyDescent="0.25">
      <c r="H33" s="36"/>
      <c r="I33" s="37"/>
    </row>
    <row r="34" spans="8:9" s="1" customFormat="1" ht="20.149999999999999" customHeight="1" x14ac:dyDescent="0.25">
      <c r="H34" s="36"/>
      <c r="I34" s="35"/>
    </row>
    <row r="35" spans="8:9" s="1" customFormat="1" ht="20.149999999999999" customHeight="1" x14ac:dyDescent="0.25">
      <c r="H35" s="36"/>
      <c r="I35" s="37"/>
    </row>
    <row r="36" spans="8:9" s="1" customFormat="1" ht="20.149999999999999" customHeight="1" x14ac:dyDescent="0.25"/>
    <row r="37" spans="8:9" s="1" customFormat="1" ht="12.65" customHeight="1" x14ac:dyDescent="0.25"/>
    <row r="38" spans="8:9" s="1" customFormat="1" ht="12.65" customHeight="1" x14ac:dyDescent="0.25"/>
    <row r="39" spans="8:9" s="1" customFormat="1" ht="12.65" customHeight="1" x14ac:dyDescent="0.25"/>
    <row r="40" spans="8:9" s="1" customFormat="1" ht="12.65" customHeight="1" x14ac:dyDescent="0.25"/>
    <row r="41" spans="8:9" s="1" customFormat="1" ht="12.65" customHeight="1" x14ac:dyDescent="0.25"/>
    <row r="42" spans="8:9" s="1" customFormat="1" ht="12.65" customHeight="1" x14ac:dyDescent="0.25"/>
    <row r="43" spans="8:9" s="1" customFormat="1" ht="12.65" customHeight="1" x14ac:dyDescent="0.25"/>
    <row r="44" spans="8:9" s="1" customFormat="1" ht="12.65" customHeight="1" x14ac:dyDescent="0.25"/>
    <row r="45" spans="8:9" s="1" customFormat="1" ht="12.65" customHeight="1" x14ac:dyDescent="0.25"/>
    <row r="46" spans="8:9" s="1" customFormat="1" ht="12.65" customHeight="1" x14ac:dyDescent="0.25"/>
    <row r="47" spans="8:9" s="1" customFormat="1" ht="12.65" customHeight="1" x14ac:dyDescent="0.25"/>
    <row r="48" spans="8:9" s="1" customFormat="1" ht="12.65" customHeight="1" x14ac:dyDescent="0.25"/>
    <row r="49" s="1" customFormat="1" ht="12.65" customHeight="1" x14ac:dyDescent="0.25"/>
    <row r="50" s="1" customFormat="1" ht="12.65" customHeight="1" x14ac:dyDescent="0.25"/>
    <row r="51" s="1" customFormat="1" ht="12.65" customHeight="1" x14ac:dyDescent="0.25"/>
    <row r="52" s="1" customFormat="1" ht="12.65" customHeight="1" x14ac:dyDescent="0.25"/>
    <row r="53" s="1" customFormat="1" ht="12.65" customHeight="1" x14ac:dyDescent="0.25"/>
    <row r="54" s="1" customFormat="1" ht="12.65" customHeight="1" x14ac:dyDescent="0.25"/>
    <row r="55" s="1" customFormat="1" ht="12.65" customHeight="1" x14ac:dyDescent="0.25"/>
    <row r="56" s="1" customFormat="1" ht="12.65" customHeight="1" x14ac:dyDescent="0.25"/>
    <row r="57" s="1" customFormat="1" ht="12.65" customHeight="1" x14ac:dyDescent="0.25"/>
    <row r="58" s="1" customFormat="1" ht="12.65" customHeight="1" x14ac:dyDescent="0.25"/>
    <row r="59" s="1" customFormat="1" ht="12.65" customHeight="1" x14ac:dyDescent="0.25"/>
    <row r="60" s="1" customFormat="1" ht="12.65" customHeight="1" x14ac:dyDescent="0.25"/>
    <row r="61" s="1" customFormat="1" ht="12.65" customHeight="1" x14ac:dyDescent="0.25"/>
    <row r="62" s="1" customFormat="1" ht="20.149999999999999" customHeight="1" x14ac:dyDescent="0.25"/>
    <row r="63" s="1" customFormat="1" ht="20.149999999999999" customHeight="1" x14ac:dyDescent="0.25"/>
    <row r="64" s="1" customFormat="1" ht="20.149999999999999" customHeight="1" x14ac:dyDescent="0.25"/>
  </sheetData>
  <mergeCells count="20">
    <mergeCell ref="B11:D11"/>
    <mergeCell ref="B9:D9"/>
    <mergeCell ref="B18:D18"/>
    <mergeCell ref="B19:D19"/>
    <mergeCell ref="B20:D20"/>
    <mergeCell ref="B17:D17"/>
    <mergeCell ref="B12:D12"/>
    <mergeCell ref="B13:D13"/>
    <mergeCell ref="B14:D14"/>
    <mergeCell ref="C2:L2"/>
    <mergeCell ref="C3:L3"/>
    <mergeCell ref="C4:L4"/>
    <mergeCell ref="C5:L5"/>
    <mergeCell ref="B10:D10"/>
    <mergeCell ref="B23:D23"/>
    <mergeCell ref="B24:D24"/>
    <mergeCell ref="B25:D25"/>
    <mergeCell ref="B15:D15"/>
    <mergeCell ref="B21:D21"/>
    <mergeCell ref="B22:D22"/>
  </mergeCells>
  <printOptions horizontalCentered="1"/>
  <pageMargins left="0.31496062992125984" right="0.31496062992125984" top="0.67" bottom="0.35433070866141736" header="0.56000000000000005" footer="0.31496062992125984"/>
  <pageSetup paperSize="9" scale="98" orientation="landscape" horizontalDpi="4294967292" r:id="rId1"/>
  <rowBreaks count="1" manualBreakCount="1">
    <brk id="26" max="12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4A241-7F8E-4DB6-999E-DB3E33B859A4}">
  <sheetPr codeName="Hoja8">
    <tabColor rgb="FF0070C0"/>
  </sheetPr>
  <dimension ref="B2:O288"/>
  <sheetViews>
    <sheetView view="pageBreakPreview" zoomScale="115" zoomScaleNormal="100" zoomScaleSheetLayoutView="115" workbookViewId="0">
      <selection activeCell="H11" sqref="H11"/>
    </sheetView>
  </sheetViews>
  <sheetFormatPr baseColWidth="10" defaultColWidth="11.453125" defaultRowHeight="13" x14ac:dyDescent="0.25"/>
  <cols>
    <col min="1" max="1" width="0.1796875" style="6" customWidth="1"/>
    <col min="2" max="9" width="14.453125" style="6" customWidth="1"/>
    <col min="10" max="10" width="2.36328125" style="6" customWidth="1"/>
    <col min="11" max="16384" width="11.453125" style="6"/>
  </cols>
  <sheetData>
    <row r="2" spans="2:15" ht="51" customHeight="1" x14ac:dyDescent="0.25">
      <c r="B2" s="186" t="s">
        <v>91</v>
      </c>
      <c r="C2" s="241" t="str">
        <f>+'A. Estación'!C2</f>
        <v>“CREACIÓN DEL SERVICIO DE PROTECCIÓN INTEGRAL A NIÑAS, NIÑOS Y ADOLESCENTES SIN CUIDADOS PARENTALES O EN RIESGO DE PERDERLOS EN CENTRO DE ACOGIDA RESIDENCIAL - VARONES DISTRITO DE MORALES DE LA PROVINCIA DE SAN MARTÍN DEL DEPARTAMENTO DE SAN MARTÍN”, con CUI N.° 2705619</v>
      </c>
      <c r="D2" s="241"/>
      <c r="E2" s="241"/>
      <c r="F2" s="241"/>
      <c r="G2" s="241"/>
      <c r="H2" s="241"/>
      <c r="I2" s="241"/>
    </row>
    <row r="3" spans="2:15" x14ac:dyDescent="0.25">
      <c r="B3" s="186" t="s">
        <v>92</v>
      </c>
      <c r="C3" s="229" t="str">
        <f>+'A. Estación'!C3</f>
        <v>GERENCIA TERRITORIAL BAJO MAYO</v>
      </c>
      <c r="D3" s="229"/>
      <c r="E3" s="229"/>
      <c r="F3" s="229"/>
      <c r="G3" s="229"/>
      <c r="H3" s="229"/>
      <c r="I3" s="229"/>
    </row>
    <row r="4" spans="2:15" ht="17.25" customHeight="1" x14ac:dyDescent="0.25">
      <c r="B4" s="186" t="s">
        <v>93</v>
      </c>
      <c r="C4" s="229" t="str">
        <f>+'A. Estación'!C4</f>
        <v>SAN MARTIN - SAN MARTIN - MORALES</v>
      </c>
      <c r="D4" s="229"/>
      <c r="E4" s="229"/>
      <c r="F4" s="229"/>
      <c r="G4" s="229"/>
      <c r="H4" s="229"/>
      <c r="I4" s="229"/>
    </row>
    <row r="5" spans="2:15" ht="16.5" customHeight="1" x14ac:dyDescent="0.25">
      <c r="B5" s="186" t="s">
        <v>94</v>
      </c>
      <c r="C5" s="229" t="str">
        <f>+'A. Estación'!C5</f>
        <v>SETIEMBRE 2026</v>
      </c>
      <c r="D5" s="229"/>
      <c r="E5" s="229"/>
      <c r="F5" s="229"/>
      <c r="G5" s="229"/>
      <c r="H5" s="229"/>
      <c r="I5" s="229"/>
    </row>
    <row r="6" spans="2:15" ht="20.149999999999999" customHeight="1" x14ac:dyDescent="0.25"/>
    <row r="7" spans="2:15" ht="20.149999999999999" customHeight="1" x14ac:dyDescent="0.25">
      <c r="B7" s="44" t="s">
        <v>134</v>
      </c>
    </row>
    <row r="8" spans="2:15" ht="20.149999999999999" customHeight="1" x14ac:dyDescent="0.25">
      <c r="B8" s="43" t="s">
        <v>133</v>
      </c>
    </row>
    <row r="9" spans="2:15" ht="20.149999999999999" customHeight="1" thickBot="1" x14ac:dyDescent="0.3">
      <c r="B9" s="240" t="s">
        <v>51</v>
      </c>
      <c r="C9" s="240"/>
      <c r="D9" s="240"/>
      <c r="E9" s="240"/>
      <c r="F9" s="240"/>
      <c r="G9" s="240"/>
      <c r="H9" s="240"/>
      <c r="I9" s="240"/>
    </row>
    <row r="10" spans="2:15" ht="20.149999999999999" customHeight="1" thickTop="1" x14ac:dyDescent="0.25">
      <c r="B10" s="123" t="s">
        <v>23</v>
      </c>
      <c r="C10" s="123" t="s">
        <v>24</v>
      </c>
      <c r="D10" s="242" t="s">
        <v>25</v>
      </c>
      <c r="E10" s="242"/>
      <c r="F10" s="242"/>
      <c r="G10" s="242"/>
      <c r="H10" s="242"/>
      <c r="I10" s="242"/>
      <c r="L10" s="55" t="s">
        <v>138</v>
      </c>
      <c r="M10" s="53" t="s">
        <v>21</v>
      </c>
      <c r="N10" s="47" t="s">
        <v>29</v>
      </c>
      <c r="O10" s="48" t="s">
        <v>30</v>
      </c>
    </row>
    <row r="11" spans="2:15" ht="20.149999999999999" customHeight="1" thickBot="1" x14ac:dyDescent="0.3">
      <c r="B11" s="123" t="s">
        <v>26</v>
      </c>
      <c r="C11" s="123" t="s">
        <v>27</v>
      </c>
      <c r="D11" s="123">
        <v>5</v>
      </c>
      <c r="E11" s="123">
        <v>10</v>
      </c>
      <c r="F11" s="123">
        <v>15</v>
      </c>
      <c r="G11" s="123">
        <v>20</v>
      </c>
      <c r="H11" s="123">
        <v>30</v>
      </c>
      <c r="I11" s="123">
        <v>60</v>
      </c>
      <c r="L11" s="56" t="s">
        <v>139</v>
      </c>
      <c r="M11" s="54" t="s">
        <v>31</v>
      </c>
      <c r="N11" s="49" t="s">
        <v>32</v>
      </c>
      <c r="O11" s="50" t="s">
        <v>33</v>
      </c>
    </row>
    <row r="12" spans="2:15" ht="20.149999999999999" customHeight="1" thickTop="1" thickBot="1" x14ac:dyDescent="0.3">
      <c r="B12" s="124">
        <v>500</v>
      </c>
      <c r="C12" s="105">
        <f>D.Resumen!L18</f>
        <v>164.07737767641453</v>
      </c>
      <c r="D12" s="125">
        <f t="shared" ref="D12:I12" si="0">(0.21*LN($B12)+0.52)*(0.54*D$11^0.25-0.5)*$I$18</f>
        <v>15.557098577273566</v>
      </c>
      <c r="E12" s="125">
        <f t="shared" si="0"/>
        <v>23.286994983985931</v>
      </c>
      <c r="F12" s="125">
        <f t="shared" si="0"/>
        <v>28.470034631192522</v>
      </c>
      <c r="G12" s="125">
        <f t="shared" si="0"/>
        <v>32.479442789082235</v>
      </c>
      <c r="H12" s="125">
        <f t="shared" si="0"/>
        <v>38.643150414881518</v>
      </c>
      <c r="I12" s="125">
        <f t="shared" si="0"/>
        <v>50.741092086590939</v>
      </c>
      <c r="L12" s="236">
        <f>D11</f>
        <v>5</v>
      </c>
      <c r="M12" s="51">
        <f>LOG10(D25)</f>
        <v>2.2711443179490782</v>
      </c>
      <c r="N12" s="51">
        <f>LOG10($B25)</f>
        <v>2.6989700043360187</v>
      </c>
      <c r="O12" s="52">
        <f>LOG10($D$24)</f>
        <v>0.69897000433601886</v>
      </c>
    </row>
    <row r="13" spans="2:15" ht="20.149999999999999" customHeight="1" thickTop="1" thickBot="1" x14ac:dyDescent="0.3">
      <c r="B13" s="124">
        <v>200</v>
      </c>
      <c r="C13" s="105">
        <f>D.Resumen!L17</f>
        <v>151.48286540144682</v>
      </c>
      <c r="D13" s="125">
        <f>(0.21*LN($B13)+0.52)*(0.54*(D$11^0.25)-0.5)*$I$18</f>
        <v>13.916878162679078</v>
      </c>
      <c r="E13" s="125">
        <f>(0.21*LN($B13)+0.52)*(0.54*E$11^0.25-0.5)*$I$18</f>
        <v>20.831793946493558</v>
      </c>
      <c r="F13" s="125">
        <f>(0.21*LN($B13)+0.52)*(0.54*F$11^0.25-0.5)*$I$18</f>
        <v>25.468373892569254</v>
      </c>
      <c r="G13" s="125">
        <f>(0.21*LN($B13)+0.52)*(0.54*G$11^0.25-0.5)*$I$18</f>
        <v>29.055060996250351</v>
      </c>
      <c r="H13" s="125">
        <f>(0.21*LN($B13)+0.52)*(0.54*H$11^0.25-0.5)*$I$18</f>
        <v>34.568914857402504</v>
      </c>
      <c r="I13" s="125">
        <f>(0.21*LN($B13)+0.52)*(0.54*I$11^0.25-0.5)*$I$18</f>
        <v>45.391342923155925</v>
      </c>
      <c r="L13" s="237"/>
      <c r="M13" s="51">
        <f t="shared" ref="M13:M20" si="1">LOG10(D26)</f>
        <v>2.2227164711475833</v>
      </c>
      <c r="N13" s="51">
        <f t="shared" ref="N13:N20" si="2">LOG10($B26)</f>
        <v>2.3010299956639813</v>
      </c>
      <c r="O13" s="52">
        <f t="shared" ref="O13:O20" si="3">LOG10($D$24)</f>
        <v>0.69897000433601886</v>
      </c>
    </row>
    <row r="14" spans="2:15" ht="20.149999999999999" customHeight="1" thickTop="1" thickBot="1" x14ac:dyDescent="0.3">
      <c r="B14" s="124">
        <v>100</v>
      </c>
      <c r="C14" s="105">
        <f>D.Resumen!L16</f>
        <v>141.82058677652495</v>
      </c>
      <c r="D14" s="125">
        <f t="shared" ref="D14:D20" si="4">(0.21*LN($B14)+0.52)*(0.54*D$11^0.25-0.5)*$I$18</f>
        <v>12.676099317794748</v>
      </c>
      <c r="E14" s="125">
        <f t="shared" ref="E14:H20" si="5">(0.21*LN($B14)+0.52)*(0.54*E$11^0.25-0.5)*$I$18</f>
        <v>18.974506059967801</v>
      </c>
      <c r="F14" s="125">
        <f t="shared" si="5"/>
        <v>23.197705200200602</v>
      </c>
      <c r="G14" s="125">
        <f t="shared" si="5"/>
        <v>26.464616170941099</v>
      </c>
      <c r="H14" s="125">
        <f t="shared" si="5"/>
        <v>31.486874636579326</v>
      </c>
      <c r="I14" s="125">
        <f>(0.21*LN($B14)+0.52)*(0.54*I$11^0.25-0.5)*$I$18</f>
        <v>41.344413907783995</v>
      </c>
      <c r="L14" s="237"/>
      <c r="M14" s="51">
        <f t="shared" si="1"/>
        <v>2.1821292140529982</v>
      </c>
      <c r="N14" s="51">
        <f t="shared" si="2"/>
        <v>2</v>
      </c>
      <c r="O14" s="52">
        <f t="shared" si="3"/>
        <v>0.69897000433601886</v>
      </c>
    </row>
    <row r="15" spans="2:15" ht="20.149999999999999" customHeight="1" thickTop="1" thickBot="1" x14ac:dyDescent="0.3">
      <c r="B15" s="124">
        <v>50</v>
      </c>
      <c r="C15" s="105">
        <f>D.Resumen!L15</f>
        <v>131.96509162994809</v>
      </c>
      <c r="D15" s="125">
        <f t="shared" si="4"/>
        <v>11.435320472910414</v>
      </c>
      <c r="E15" s="125">
        <f t="shared" si="5"/>
        <v>17.117218173442044</v>
      </c>
      <c r="F15" s="125">
        <f t="shared" si="5"/>
        <v>20.927036507831946</v>
      </c>
      <c r="G15" s="125">
        <f t="shared" si="5"/>
        <v>23.874171345631847</v>
      </c>
      <c r="H15" s="125">
        <f t="shared" si="5"/>
        <v>28.404834415756145</v>
      </c>
      <c r="I15" s="125">
        <f>(0.21*LN($B15)+0.52)*(0.54*I$11^0.25-0.5)*$I$18</f>
        <v>37.297484892412058</v>
      </c>
      <c r="L15" s="237"/>
      <c r="M15" s="51">
        <f t="shared" si="1"/>
        <v>2.1373541113707328</v>
      </c>
      <c r="N15" s="51">
        <f t="shared" si="2"/>
        <v>1.6989700043360187</v>
      </c>
      <c r="O15" s="52">
        <f t="shared" si="3"/>
        <v>0.69897000433601886</v>
      </c>
    </row>
    <row r="16" spans="2:15" ht="20.149999999999999" customHeight="1" thickTop="1" thickBot="1" x14ac:dyDescent="0.3">
      <c r="B16" s="124">
        <v>25</v>
      </c>
      <c r="C16" s="105">
        <f>D.Resumen!L14</f>
        <v>121.8084022033932</v>
      </c>
      <c r="D16" s="125">
        <f t="shared" si="4"/>
        <v>10.194541628026082</v>
      </c>
      <c r="E16" s="125">
        <f t="shared" si="5"/>
        <v>15.259930286916283</v>
      </c>
      <c r="F16" s="125">
        <f t="shared" si="5"/>
        <v>18.656367815463291</v>
      </c>
      <c r="G16" s="125">
        <f t="shared" si="5"/>
        <v>21.283726520322595</v>
      </c>
      <c r="H16" s="125">
        <f t="shared" si="5"/>
        <v>25.322794194932964</v>
      </c>
      <c r="I16" s="125">
        <f>(0.21*LN($B16)+0.52)*(0.54*I$11^0.25-0.5)*$I$18</f>
        <v>33.250555877040121</v>
      </c>
      <c r="L16" s="237"/>
      <c r="M16" s="51">
        <f t="shared" si="1"/>
        <v>2.0874264570362855</v>
      </c>
      <c r="N16" s="51">
        <f t="shared" si="2"/>
        <v>1.3979400086720377</v>
      </c>
      <c r="O16" s="52">
        <f t="shared" si="3"/>
        <v>0.69897000433601886</v>
      </c>
    </row>
    <row r="17" spans="2:15" ht="20.149999999999999" customHeight="1" thickTop="1" thickBot="1" x14ac:dyDescent="0.3">
      <c r="B17" s="124">
        <v>20</v>
      </c>
      <c r="C17" s="105">
        <f>D.Resumen!L13</f>
        <v>118.44843556710663</v>
      </c>
      <c r="D17" s="125">
        <f t="shared" si="4"/>
        <v>9.795100058315926</v>
      </c>
      <c r="E17" s="125">
        <f t="shared" si="5"/>
        <v>14.662017135949673</v>
      </c>
      <c r="F17" s="125">
        <f t="shared" si="5"/>
        <v>17.925375769208678</v>
      </c>
      <c r="G17" s="125">
        <f t="shared" si="5"/>
        <v>20.449789552799967</v>
      </c>
      <c r="H17" s="125">
        <f t="shared" si="5"/>
        <v>24.330598858277135</v>
      </c>
      <c r="I17" s="125">
        <f>(0.21*LN($B17)+0.52)*(0.54*I$11^0.25-0.5)*$I$18</f>
        <v>31.947735728977051</v>
      </c>
      <c r="L17" s="237"/>
      <c r="M17" s="51">
        <f t="shared" si="1"/>
        <v>2.070037866607755</v>
      </c>
      <c r="N17" s="51">
        <f t="shared" si="2"/>
        <v>1.3010299956639813</v>
      </c>
      <c r="O17" s="52">
        <f t="shared" si="3"/>
        <v>0.69897000433601886</v>
      </c>
    </row>
    <row r="18" spans="2:15" ht="20.149999999999999" customHeight="1" thickTop="1" thickBot="1" x14ac:dyDescent="0.3">
      <c r="B18" s="124">
        <v>10</v>
      </c>
      <c r="C18" s="105">
        <f>D.Resumen!L12</f>
        <v>107.60192491262981</v>
      </c>
      <c r="D18" s="125">
        <f t="shared" si="4"/>
        <v>8.554321213431594</v>
      </c>
      <c r="E18" s="125">
        <f t="shared" si="5"/>
        <v>12.804729249423913</v>
      </c>
      <c r="F18" s="125">
        <f t="shared" si="5"/>
        <v>15.654707076840022</v>
      </c>
      <c r="G18" s="125">
        <f t="shared" si="5"/>
        <v>17.859344727490715</v>
      </c>
      <c r="H18" s="125">
        <f t="shared" si="5"/>
        <v>21.248558637453954</v>
      </c>
      <c r="I18" s="125">
        <f>0.4602*C18^0.876</f>
        <v>27.721770887460824</v>
      </c>
      <c r="L18" s="237"/>
      <c r="M18" s="51">
        <f t="shared" si="1"/>
        <v>2.0115704435972783</v>
      </c>
      <c r="N18" s="51">
        <f t="shared" si="2"/>
        <v>1</v>
      </c>
      <c r="O18" s="52">
        <f t="shared" si="3"/>
        <v>0.69897000433601886</v>
      </c>
    </row>
    <row r="19" spans="2:15" ht="20.149999999999999" customHeight="1" thickTop="1" thickBot="1" x14ac:dyDescent="0.3">
      <c r="B19" s="124">
        <v>5</v>
      </c>
      <c r="C19" s="105">
        <f>D.Resumen!L11</f>
        <v>95.785384604308092</v>
      </c>
      <c r="D19" s="125">
        <f t="shared" si="4"/>
        <v>7.3135423685472611</v>
      </c>
      <c r="E19" s="125">
        <f t="shared" si="5"/>
        <v>10.947441362898154</v>
      </c>
      <c r="F19" s="125">
        <f t="shared" si="5"/>
        <v>13.384038384471369</v>
      </c>
      <c r="G19" s="125">
        <f t="shared" si="5"/>
        <v>15.268899902181463</v>
      </c>
      <c r="H19" s="125">
        <f t="shared" si="5"/>
        <v>18.166518416630772</v>
      </c>
      <c r="I19" s="125">
        <f>(0.21*LN($B19)+0.52)*(0.54*I$11^0.25-0.5)*$I$18</f>
        <v>23.853877698233177</v>
      </c>
      <c r="L19" s="237"/>
      <c r="M19" s="51">
        <f t="shared" si="1"/>
        <v>1.9434945159061026</v>
      </c>
      <c r="N19" s="51">
        <f t="shared" si="2"/>
        <v>0.69897000433601886</v>
      </c>
      <c r="O19" s="52">
        <f t="shared" si="3"/>
        <v>0.69897000433601886</v>
      </c>
    </row>
    <row r="20" spans="2:15" ht="20.149999999999999" customHeight="1" thickTop="1" thickBot="1" x14ac:dyDescent="0.3">
      <c r="B20" s="124">
        <v>2</v>
      </c>
      <c r="C20" s="105">
        <f>D.Resumen!L10</f>
        <v>76.690732607764517</v>
      </c>
      <c r="D20" s="125">
        <f t="shared" si="4"/>
        <v>5.6733219539527733</v>
      </c>
      <c r="E20" s="125">
        <f t="shared" si="5"/>
        <v>8.4922403254057812</v>
      </c>
      <c r="F20" s="125">
        <f t="shared" si="5"/>
        <v>10.382377645848097</v>
      </c>
      <c r="G20" s="125">
        <f t="shared" si="5"/>
        <v>11.844518109349581</v>
      </c>
      <c r="H20" s="125">
        <f t="shared" si="5"/>
        <v>14.09228285915176</v>
      </c>
      <c r="I20" s="125">
        <f>(0.21*LN($B20)+0.52)*(0.54*I$11^0.25-0.5)*$I$18</f>
        <v>18.504128534798163</v>
      </c>
      <c r="L20" s="238"/>
      <c r="M20" s="51">
        <f t="shared" si="1"/>
        <v>1.8331471119127851</v>
      </c>
      <c r="N20" s="51">
        <f t="shared" si="2"/>
        <v>0.3010299956639812</v>
      </c>
      <c r="O20" s="52">
        <f t="shared" si="3"/>
        <v>0.69897000433601886</v>
      </c>
    </row>
    <row r="21" spans="2:15" ht="20.149999999999999" customHeight="1" thickTop="1" thickBot="1" x14ac:dyDescent="0.3">
      <c r="B21" s="6" t="s">
        <v>28</v>
      </c>
      <c r="C21" s="7"/>
      <c r="D21" s="7"/>
      <c r="E21" s="7"/>
      <c r="F21" s="7"/>
      <c r="G21" s="7"/>
      <c r="H21" s="7"/>
      <c r="I21" s="7"/>
      <c r="L21" s="236">
        <f>E11</f>
        <v>10</v>
      </c>
      <c r="M21" s="51">
        <f>LOG10(E25)</f>
        <v>2.1451964061141817</v>
      </c>
      <c r="N21" s="51">
        <f>LOG10($B25)</f>
        <v>2.6989700043360187</v>
      </c>
      <c r="O21" s="52">
        <f>LOG10($E$24)</f>
        <v>1</v>
      </c>
    </row>
    <row r="22" spans="2:15" ht="20.149999999999999" customHeight="1" thickTop="1" thickBot="1" x14ac:dyDescent="0.3">
      <c r="B22" s="240" t="s">
        <v>52</v>
      </c>
      <c r="C22" s="240"/>
      <c r="D22" s="240"/>
      <c r="E22" s="240"/>
      <c r="F22" s="240"/>
      <c r="G22" s="240"/>
      <c r="H22" s="240"/>
      <c r="I22" s="240"/>
      <c r="L22" s="237"/>
      <c r="M22" s="51">
        <f t="shared" ref="M22:M29" si="6">LOG10(E26)</f>
        <v>2.0969100130080562</v>
      </c>
      <c r="N22" s="51">
        <f t="shared" ref="N22:N29" si="7">LOG10($B26)</f>
        <v>2.3010299956639813</v>
      </c>
      <c r="O22" s="52">
        <f t="shared" ref="O22:O29" si="8">LOG10($E$24)</f>
        <v>1</v>
      </c>
    </row>
    <row r="23" spans="2:15" ht="20.149999999999999" customHeight="1" thickTop="1" thickBot="1" x14ac:dyDescent="0.3">
      <c r="B23" s="123" t="s">
        <v>23</v>
      </c>
      <c r="C23" s="123" t="s">
        <v>24</v>
      </c>
      <c r="D23" s="242" t="s">
        <v>25</v>
      </c>
      <c r="E23" s="242"/>
      <c r="F23" s="242"/>
      <c r="G23" s="242"/>
      <c r="H23" s="242"/>
      <c r="I23" s="242"/>
      <c r="L23" s="237"/>
      <c r="M23" s="51">
        <f t="shared" si="6"/>
        <v>2.0561422620590522</v>
      </c>
      <c r="N23" s="51">
        <f t="shared" si="7"/>
        <v>2</v>
      </c>
      <c r="O23" s="52">
        <f t="shared" si="8"/>
        <v>1</v>
      </c>
    </row>
    <row r="24" spans="2:15" ht="20.149999999999999" customHeight="1" thickTop="1" thickBot="1" x14ac:dyDescent="0.3">
      <c r="B24" s="123" t="s">
        <v>26</v>
      </c>
      <c r="C24" s="123" t="s">
        <v>27</v>
      </c>
      <c r="D24" s="123">
        <v>5</v>
      </c>
      <c r="E24" s="123">
        <v>10</v>
      </c>
      <c r="F24" s="123">
        <v>15</v>
      </c>
      <c r="G24" s="123">
        <v>20</v>
      </c>
      <c r="H24" s="123">
        <v>30</v>
      </c>
      <c r="I24" s="123">
        <v>60</v>
      </c>
      <c r="L24" s="237"/>
      <c r="M24" s="51">
        <f t="shared" si="6"/>
        <v>2.0115704435972783</v>
      </c>
      <c r="N24" s="51">
        <f t="shared" si="7"/>
        <v>1.6989700043360187</v>
      </c>
      <c r="O24" s="52">
        <f t="shared" si="8"/>
        <v>1</v>
      </c>
    </row>
    <row r="25" spans="2:15" ht="20.149999999999999" customHeight="1" thickTop="1" thickBot="1" x14ac:dyDescent="0.3">
      <c r="B25" s="124">
        <v>500</v>
      </c>
      <c r="C25" s="105">
        <f>C12</f>
        <v>164.07737767641453</v>
      </c>
      <c r="D25" s="125">
        <f t="shared" ref="D25:I25" si="9">ROUND(60*D12/D$11,1)</f>
        <v>186.7</v>
      </c>
      <c r="E25" s="125">
        <f t="shared" si="9"/>
        <v>139.69999999999999</v>
      </c>
      <c r="F25" s="125">
        <f t="shared" si="9"/>
        <v>113.9</v>
      </c>
      <c r="G25" s="125">
        <f t="shared" si="9"/>
        <v>97.4</v>
      </c>
      <c r="H25" s="125">
        <f t="shared" si="9"/>
        <v>77.3</v>
      </c>
      <c r="I25" s="125">
        <f t="shared" si="9"/>
        <v>50.7</v>
      </c>
      <c r="L25" s="237"/>
      <c r="M25" s="51">
        <f t="shared" si="6"/>
        <v>1.9618954736678504</v>
      </c>
      <c r="N25" s="51">
        <f t="shared" si="7"/>
        <v>1.3979400086720377</v>
      </c>
      <c r="O25" s="52">
        <f t="shared" si="8"/>
        <v>1</v>
      </c>
    </row>
    <row r="26" spans="2:15" ht="20.149999999999999" customHeight="1" thickTop="1" thickBot="1" x14ac:dyDescent="0.3">
      <c r="B26" s="124">
        <v>200</v>
      </c>
      <c r="C26" s="105">
        <f t="shared" ref="C26:C33" si="10">C13</f>
        <v>151.48286540144682</v>
      </c>
      <c r="D26" s="125">
        <f t="shared" ref="D26:I33" si="11">ROUND(60*D13/D$11,1)</f>
        <v>167</v>
      </c>
      <c r="E26" s="125">
        <f t="shared" si="11"/>
        <v>125</v>
      </c>
      <c r="F26" s="125">
        <f t="shared" si="11"/>
        <v>101.9</v>
      </c>
      <c r="G26" s="125">
        <f t="shared" si="11"/>
        <v>87.2</v>
      </c>
      <c r="H26" s="125">
        <f t="shared" si="11"/>
        <v>69.099999999999994</v>
      </c>
      <c r="I26" s="125">
        <f t="shared" si="11"/>
        <v>45.4</v>
      </c>
      <c r="L26" s="237"/>
      <c r="M26" s="51">
        <f t="shared" si="6"/>
        <v>1.9444826721501687</v>
      </c>
      <c r="N26" s="51">
        <f t="shared" si="7"/>
        <v>1.3010299956639813</v>
      </c>
      <c r="O26" s="52">
        <f t="shared" si="8"/>
        <v>1</v>
      </c>
    </row>
    <row r="27" spans="2:15" ht="20.149999999999999" customHeight="1" thickTop="1" thickBot="1" x14ac:dyDescent="0.3">
      <c r="B27" s="124">
        <v>100</v>
      </c>
      <c r="C27" s="105">
        <f t="shared" si="10"/>
        <v>141.82058677652495</v>
      </c>
      <c r="D27" s="125">
        <f t="shared" si="11"/>
        <v>152.1</v>
      </c>
      <c r="E27" s="125">
        <f t="shared" si="11"/>
        <v>113.8</v>
      </c>
      <c r="F27" s="125">
        <f t="shared" si="11"/>
        <v>92.8</v>
      </c>
      <c r="G27" s="125">
        <f t="shared" si="11"/>
        <v>79.400000000000006</v>
      </c>
      <c r="H27" s="125">
        <f t="shared" si="11"/>
        <v>63</v>
      </c>
      <c r="I27" s="125">
        <f t="shared" si="11"/>
        <v>41.3</v>
      </c>
      <c r="L27" s="237"/>
      <c r="M27" s="51">
        <f t="shared" si="6"/>
        <v>1.885361220031512</v>
      </c>
      <c r="N27" s="51">
        <f t="shared" si="7"/>
        <v>1</v>
      </c>
      <c r="O27" s="52">
        <f t="shared" si="8"/>
        <v>1</v>
      </c>
    </row>
    <row r="28" spans="2:15" ht="20.149999999999999" customHeight="1" thickTop="1" thickBot="1" x14ac:dyDescent="0.3">
      <c r="B28" s="124">
        <v>50</v>
      </c>
      <c r="C28" s="105">
        <f t="shared" si="10"/>
        <v>131.96509162994809</v>
      </c>
      <c r="D28" s="125">
        <f t="shared" si="11"/>
        <v>137.19999999999999</v>
      </c>
      <c r="E28" s="125">
        <f t="shared" si="11"/>
        <v>102.7</v>
      </c>
      <c r="F28" s="125">
        <f t="shared" si="11"/>
        <v>83.7</v>
      </c>
      <c r="G28" s="125">
        <f t="shared" si="11"/>
        <v>71.599999999999994</v>
      </c>
      <c r="H28" s="125">
        <f t="shared" si="11"/>
        <v>56.8</v>
      </c>
      <c r="I28" s="125">
        <f t="shared" si="11"/>
        <v>37.299999999999997</v>
      </c>
      <c r="L28" s="237"/>
      <c r="M28" s="51">
        <f t="shared" si="6"/>
        <v>1.8175653695597809</v>
      </c>
      <c r="N28" s="51">
        <f t="shared" si="7"/>
        <v>0.69897000433601886</v>
      </c>
      <c r="O28" s="52">
        <f t="shared" si="8"/>
        <v>1</v>
      </c>
    </row>
    <row r="29" spans="2:15" ht="20.149999999999999" customHeight="1" thickTop="1" thickBot="1" x14ac:dyDescent="0.3">
      <c r="B29" s="124">
        <v>25</v>
      </c>
      <c r="C29" s="105">
        <f t="shared" si="10"/>
        <v>121.8084022033932</v>
      </c>
      <c r="D29" s="125">
        <f t="shared" si="11"/>
        <v>122.3</v>
      </c>
      <c r="E29" s="125">
        <f t="shared" si="11"/>
        <v>91.6</v>
      </c>
      <c r="F29" s="125">
        <f t="shared" si="11"/>
        <v>74.599999999999994</v>
      </c>
      <c r="G29" s="125">
        <f t="shared" si="11"/>
        <v>63.9</v>
      </c>
      <c r="H29" s="125">
        <f t="shared" si="11"/>
        <v>50.6</v>
      </c>
      <c r="I29" s="125">
        <f t="shared" si="11"/>
        <v>33.299999999999997</v>
      </c>
      <c r="L29" s="238"/>
      <c r="M29" s="51">
        <f t="shared" si="6"/>
        <v>1.7075701760979363</v>
      </c>
      <c r="N29" s="51">
        <f t="shared" si="7"/>
        <v>0.3010299956639812</v>
      </c>
      <c r="O29" s="52">
        <f t="shared" si="8"/>
        <v>1</v>
      </c>
    </row>
    <row r="30" spans="2:15" ht="20.149999999999999" customHeight="1" thickTop="1" thickBot="1" x14ac:dyDescent="0.3">
      <c r="B30" s="124">
        <v>20</v>
      </c>
      <c r="C30" s="105">
        <f t="shared" si="10"/>
        <v>118.44843556710663</v>
      </c>
      <c r="D30" s="125">
        <f t="shared" si="11"/>
        <v>117.5</v>
      </c>
      <c r="E30" s="125">
        <f t="shared" si="11"/>
        <v>88</v>
      </c>
      <c r="F30" s="125">
        <f t="shared" si="11"/>
        <v>71.7</v>
      </c>
      <c r="G30" s="125">
        <f t="shared" si="11"/>
        <v>61.3</v>
      </c>
      <c r="H30" s="125">
        <f t="shared" si="11"/>
        <v>48.7</v>
      </c>
      <c r="I30" s="125">
        <f t="shared" si="11"/>
        <v>31.9</v>
      </c>
      <c r="L30" s="236">
        <f>F11</f>
        <v>15</v>
      </c>
      <c r="M30" s="51">
        <f>LOG10(F25)</f>
        <v>2.0565237240791006</v>
      </c>
      <c r="N30" s="51">
        <f>LOG10($B25)</f>
        <v>2.6989700043360187</v>
      </c>
      <c r="O30" s="52">
        <f>LOG10($F$24)</f>
        <v>1.1760912590556813</v>
      </c>
    </row>
    <row r="31" spans="2:15" ht="20.149999999999999" customHeight="1" thickTop="1" thickBot="1" x14ac:dyDescent="0.3">
      <c r="B31" s="124">
        <v>10</v>
      </c>
      <c r="C31" s="105">
        <f t="shared" si="10"/>
        <v>107.60192491262981</v>
      </c>
      <c r="D31" s="125">
        <f t="shared" si="11"/>
        <v>102.7</v>
      </c>
      <c r="E31" s="125">
        <f t="shared" si="11"/>
        <v>76.8</v>
      </c>
      <c r="F31" s="125">
        <f t="shared" si="11"/>
        <v>62.6</v>
      </c>
      <c r="G31" s="125">
        <f t="shared" si="11"/>
        <v>53.6</v>
      </c>
      <c r="H31" s="125">
        <f t="shared" si="11"/>
        <v>42.5</v>
      </c>
      <c r="I31" s="125">
        <f t="shared" si="11"/>
        <v>27.7</v>
      </c>
      <c r="L31" s="237"/>
      <c r="M31" s="51">
        <f t="shared" ref="M31:M38" si="12">LOG10(F26)</f>
        <v>2.0081741840064264</v>
      </c>
      <c r="N31" s="51">
        <f t="shared" ref="N31:N38" si="13">LOG10($B26)</f>
        <v>2.3010299956639813</v>
      </c>
      <c r="O31" s="52">
        <f t="shared" ref="O31:O38" si="14">LOG10($F$24)</f>
        <v>1.1760912590556813</v>
      </c>
    </row>
    <row r="32" spans="2:15" ht="20.149999999999999" customHeight="1" thickTop="1" thickBot="1" x14ac:dyDescent="0.3">
      <c r="B32" s="124">
        <v>5</v>
      </c>
      <c r="C32" s="105">
        <f t="shared" si="10"/>
        <v>95.785384604308092</v>
      </c>
      <c r="D32" s="125">
        <f t="shared" si="11"/>
        <v>87.8</v>
      </c>
      <c r="E32" s="125">
        <f t="shared" si="11"/>
        <v>65.7</v>
      </c>
      <c r="F32" s="125">
        <f t="shared" si="11"/>
        <v>53.5</v>
      </c>
      <c r="G32" s="125">
        <f t="shared" si="11"/>
        <v>45.8</v>
      </c>
      <c r="H32" s="125">
        <f t="shared" si="11"/>
        <v>36.299999999999997</v>
      </c>
      <c r="I32" s="125">
        <f t="shared" si="11"/>
        <v>23.9</v>
      </c>
      <c r="L32" s="237"/>
      <c r="M32" s="51">
        <f t="shared" si="12"/>
        <v>1.9675479762188621</v>
      </c>
      <c r="N32" s="51">
        <f t="shared" si="13"/>
        <v>2</v>
      </c>
      <c r="O32" s="52">
        <f t="shared" si="14"/>
        <v>1.1760912590556813</v>
      </c>
    </row>
    <row r="33" spans="2:15" ht="20.149999999999999" customHeight="1" thickTop="1" thickBot="1" x14ac:dyDescent="0.3">
      <c r="B33" s="124">
        <v>2</v>
      </c>
      <c r="C33" s="105">
        <f t="shared" si="10"/>
        <v>76.690732607764517</v>
      </c>
      <c r="D33" s="125">
        <f t="shared" si="11"/>
        <v>68.099999999999994</v>
      </c>
      <c r="E33" s="125">
        <f t="shared" si="11"/>
        <v>51</v>
      </c>
      <c r="F33" s="125">
        <f t="shared" si="11"/>
        <v>41.5</v>
      </c>
      <c r="G33" s="125">
        <f t="shared" si="11"/>
        <v>35.5</v>
      </c>
      <c r="H33" s="125">
        <f t="shared" si="11"/>
        <v>28.2</v>
      </c>
      <c r="I33" s="125">
        <f t="shared" si="11"/>
        <v>18.5</v>
      </c>
      <c r="L33" s="237"/>
      <c r="M33" s="51">
        <f t="shared" si="12"/>
        <v>1.92272545799326</v>
      </c>
      <c r="N33" s="51">
        <f t="shared" si="13"/>
        <v>1.6989700043360187</v>
      </c>
      <c r="O33" s="52">
        <f t="shared" si="14"/>
        <v>1.1760912590556813</v>
      </c>
    </row>
    <row r="34" spans="2:15" ht="20.149999999999999" customHeight="1" thickTop="1" thickBot="1" x14ac:dyDescent="0.3">
      <c r="L34" s="237"/>
      <c r="M34" s="51">
        <f t="shared" si="12"/>
        <v>1.8727388274726688</v>
      </c>
      <c r="N34" s="51">
        <f t="shared" si="13"/>
        <v>1.3979400086720377</v>
      </c>
      <c r="O34" s="52">
        <f t="shared" si="14"/>
        <v>1.1760912590556813</v>
      </c>
    </row>
    <row r="35" spans="2:15" ht="24" customHeight="1" thickTop="1" thickBot="1" x14ac:dyDescent="0.3">
      <c r="B35" s="240" t="s">
        <v>144</v>
      </c>
      <c r="C35" s="240"/>
      <c r="D35" s="240"/>
      <c r="E35" s="240"/>
      <c r="F35" s="240"/>
      <c r="G35" s="240"/>
      <c r="H35" s="240"/>
      <c r="I35" s="240"/>
      <c r="L35" s="237"/>
      <c r="M35" s="51">
        <f t="shared" si="12"/>
        <v>1.8555191556678001</v>
      </c>
      <c r="N35" s="51">
        <f t="shared" si="13"/>
        <v>1.3010299956639813</v>
      </c>
      <c r="O35" s="52">
        <f t="shared" si="14"/>
        <v>1.1760912590556813</v>
      </c>
    </row>
    <row r="36" spans="2:15" ht="24" customHeight="1" thickTop="1" thickBot="1" x14ac:dyDescent="0.3">
      <c r="B36" s="239" t="s">
        <v>140</v>
      </c>
      <c r="C36" s="239"/>
      <c r="D36" s="239"/>
      <c r="E36" s="239"/>
      <c r="F36" s="239" t="s">
        <v>280</v>
      </c>
      <c r="G36" s="239"/>
      <c r="H36" s="239"/>
      <c r="I36" s="239"/>
      <c r="L36" s="237"/>
      <c r="M36" s="51">
        <f t="shared" si="12"/>
        <v>1.7965743332104296</v>
      </c>
      <c r="N36" s="51">
        <f t="shared" si="13"/>
        <v>1</v>
      </c>
      <c r="O36" s="52">
        <f t="shared" si="14"/>
        <v>1.1760912590556813</v>
      </c>
    </row>
    <row r="37" spans="2:15" ht="24" customHeight="1" thickTop="1" thickBot="1" x14ac:dyDescent="0.3">
      <c r="B37" s="235" t="s">
        <v>141</v>
      </c>
      <c r="C37" s="235"/>
      <c r="D37" s="235"/>
      <c r="E37" s="235" t="s">
        <v>148</v>
      </c>
      <c r="F37" s="235" t="s">
        <v>152</v>
      </c>
      <c r="G37" s="235"/>
      <c r="H37" s="235"/>
      <c r="I37" s="235"/>
      <c r="L37" s="237"/>
      <c r="M37" s="51">
        <f t="shared" si="12"/>
        <v>1.7283537820212285</v>
      </c>
      <c r="N37" s="51">
        <f t="shared" si="13"/>
        <v>0.69897000433601886</v>
      </c>
      <c r="O37" s="52">
        <f t="shared" si="14"/>
        <v>1.1760912590556813</v>
      </c>
    </row>
    <row r="38" spans="2:15" ht="24" customHeight="1" thickTop="1" thickBot="1" x14ac:dyDescent="0.3">
      <c r="B38" s="235" t="s">
        <v>142</v>
      </c>
      <c r="C38" s="235"/>
      <c r="D38" s="235"/>
      <c r="E38" s="235" t="s">
        <v>149</v>
      </c>
      <c r="F38" s="235" t="s">
        <v>153</v>
      </c>
      <c r="G38" s="235"/>
      <c r="H38" s="235"/>
      <c r="I38" s="235"/>
      <c r="L38" s="238"/>
      <c r="M38" s="51">
        <f t="shared" si="12"/>
        <v>1.6180480967120927</v>
      </c>
      <c r="N38" s="51">
        <f t="shared" si="13"/>
        <v>0.3010299956639812</v>
      </c>
      <c r="O38" s="52">
        <f t="shared" si="14"/>
        <v>1.1760912590556813</v>
      </c>
    </row>
    <row r="39" spans="2:15" ht="24" customHeight="1" thickTop="1" thickBot="1" x14ac:dyDescent="0.3">
      <c r="B39" s="235" t="s">
        <v>143</v>
      </c>
      <c r="C39" s="235"/>
      <c r="D39" s="235"/>
      <c r="E39" s="235" t="s">
        <v>150</v>
      </c>
      <c r="F39" s="235" t="s">
        <v>154</v>
      </c>
      <c r="G39" s="235"/>
      <c r="H39" s="235"/>
      <c r="I39" s="235"/>
      <c r="L39" s="236">
        <f>G11</f>
        <v>20</v>
      </c>
      <c r="M39" s="51">
        <f>LOG10(G25)</f>
        <v>1.9885589568786155</v>
      </c>
      <c r="N39" s="51">
        <f>LOG10($B25)</f>
        <v>2.6989700043360187</v>
      </c>
      <c r="O39" s="52">
        <f>LOG10($G$24)</f>
        <v>1.3010299956639813</v>
      </c>
    </row>
    <row r="40" spans="2:15" ht="24" customHeight="1" thickTop="1" thickBot="1" x14ac:dyDescent="0.3">
      <c r="L40" s="237"/>
      <c r="M40" s="51">
        <f t="shared" ref="M40:M47" si="15">LOG10(G26)</f>
        <v>1.9405164849325673</v>
      </c>
      <c r="N40" s="51">
        <f t="shared" ref="N40:N47" si="16">LOG10($B26)</f>
        <v>2.3010299956639813</v>
      </c>
      <c r="O40" s="52">
        <f t="shared" ref="O40:O47" si="17">LOG10($G$24)</f>
        <v>1.3010299956639813</v>
      </c>
    </row>
    <row r="41" spans="2:15" ht="24" customHeight="1" thickTop="1" thickBot="1" x14ac:dyDescent="0.3">
      <c r="B41" s="235" t="str">
        <f>B37</f>
        <v>Sistema de Ecuaciones Normalizada (1)</v>
      </c>
      <c r="C41" s="235"/>
      <c r="D41" s="235"/>
      <c r="E41" s="235"/>
      <c r="F41" s="127" t="s">
        <v>155</v>
      </c>
      <c r="G41" s="128" t="s">
        <v>156</v>
      </c>
      <c r="H41" s="128" t="s">
        <v>157</v>
      </c>
      <c r="I41" s="124" t="s">
        <v>145</v>
      </c>
      <c r="L41" s="237"/>
      <c r="M41" s="51">
        <f t="shared" si="15"/>
        <v>1.8998205024270962</v>
      </c>
      <c r="N41" s="51">
        <f t="shared" si="16"/>
        <v>2</v>
      </c>
      <c r="O41" s="52">
        <f t="shared" si="17"/>
        <v>1.3010299956639813</v>
      </c>
    </row>
    <row r="42" spans="2:15" ht="24" customHeight="1" thickTop="1" thickBot="1" x14ac:dyDescent="0.3">
      <c r="B42" s="235"/>
      <c r="C42" s="235"/>
      <c r="D42" s="235"/>
      <c r="E42" s="235"/>
      <c r="F42" s="129">
        <f>SUM(N12:N65)</f>
        <v>80.387640052032225</v>
      </c>
      <c r="G42" s="130">
        <f>SUM(O12:O65)</f>
        <v>66.88227387743089</v>
      </c>
      <c r="H42" s="131">
        <f>COUNT(M12:M65)</f>
        <v>54</v>
      </c>
      <c r="I42" s="125">
        <f>SUM(M12:M65)</f>
        <v>98.404526581774917</v>
      </c>
      <c r="L42" s="237"/>
      <c r="M42" s="51">
        <f t="shared" si="15"/>
        <v>1.8549130223078556</v>
      </c>
      <c r="N42" s="51">
        <f t="shared" si="16"/>
        <v>1.6989700043360187</v>
      </c>
      <c r="O42" s="52">
        <f t="shared" si="17"/>
        <v>1.3010299956639813</v>
      </c>
    </row>
    <row r="43" spans="2:15" ht="24" customHeight="1" thickTop="1" thickBot="1" x14ac:dyDescent="0.3">
      <c r="B43" s="8"/>
      <c r="H43" s="8"/>
      <c r="I43" s="46"/>
      <c r="L43" s="237"/>
      <c r="M43" s="51">
        <f t="shared" si="15"/>
        <v>1.8055008581584002</v>
      </c>
      <c r="N43" s="51">
        <f t="shared" si="16"/>
        <v>1.3979400086720377</v>
      </c>
      <c r="O43" s="52">
        <f t="shared" si="17"/>
        <v>1.3010299956639813</v>
      </c>
    </row>
    <row r="44" spans="2:15" ht="24" customHeight="1" thickTop="1" thickBot="1" x14ac:dyDescent="0.3">
      <c r="B44" s="235" t="str">
        <f>B38</f>
        <v>Sistema de Ecuaciones Normalizada (2)</v>
      </c>
      <c r="C44" s="235"/>
      <c r="D44" s="235"/>
      <c r="E44" s="235"/>
      <c r="F44" s="127" t="s">
        <v>160</v>
      </c>
      <c r="G44" s="128" t="s">
        <v>161</v>
      </c>
      <c r="H44" s="128" t="s">
        <v>158</v>
      </c>
      <c r="I44" s="124" t="s">
        <v>146</v>
      </c>
      <c r="L44" s="237"/>
      <c r="M44" s="51">
        <f t="shared" si="15"/>
        <v>1.7874604745184151</v>
      </c>
      <c r="N44" s="51">
        <f t="shared" si="16"/>
        <v>1.3010299956639813</v>
      </c>
      <c r="O44" s="52">
        <f t="shared" si="17"/>
        <v>1.3010299956639813</v>
      </c>
    </row>
    <row r="45" spans="2:15" ht="24" customHeight="1" thickTop="1" thickBot="1" x14ac:dyDescent="0.3">
      <c r="B45" s="235"/>
      <c r="C45" s="235"/>
      <c r="D45" s="235"/>
      <c r="E45" s="235"/>
      <c r="F45" s="129">
        <f>SUMSQ(N12:N65)</f>
        <v>148.15062386159306</v>
      </c>
      <c r="G45" s="130">
        <f>SUMPRODUCT(N12:N65,O12:O65)</f>
        <v>99.564965894821341</v>
      </c>
      <c r="H45" s="131">
        <f>SUM(N12:N65)</f>
        <v>80.387640052032225</v>
      </c>
      <c r="I45" s="125">
        <f>SUMPRODUCT(M12:M65,N12:N65)</f>
        <v>151.57671743261457</v>
      </c>
      <c r="L45" s="237"/>
      <c r="M45" s="51">
        <f t="shared" si="15"/>
        <v>1.72916478969277</v>
      </c>
      <c r="N45" s="51">
        <f t="shared" si="16"/>
        <v>1</v>
      </c>
      <c r="O45" s="52">
        <f t="shared" si="17"/>
        <v>1.3010299956639813</v>
      </c>
    </row>
    <row r="46" spans="2:15" ht="24" customHeight="1" thickTop="1" thickBot="1" x14ac:dyDescent="0.3">
      <c r="B46" s="8"/>
      <c r="C46" s="8"/>
      <c r="D46" s="8"/>
      <c r="E46" s="8"/>
      <c r="F46" s="45"/>
      <c r="G46" s="45"/>
      <c r="H46" s="45"/>
      <c r="I46" s="45"/>
      <c r="L46" s="237"/>
      <c r="M46" s="51">
        <f t="shared" si="15"/>
        <v>1.6608654780038692</v>
      </c>
      <c r="N46" s="51">
        <f t="shared" si="16"/>
        <v>0.69897000433601886</v>
      </c>
      <c r="O46" s="52">
        <f t="shared" si="17"/>
        <v>1.3010299956639813</v>
      </c>
    </row>
    <row r="47" spans="2:15" ht="24" customHeight="1" thickTop="1" thickBot="1" x14ac:dyDescent="0.3">
      <c r="B47" s="235" t="str">
        <f>B39</f>
        <v>Sistema de Ecuaciones Normalizada (3)</v>
      </c>
      <c r="C47" s="235"/>
      <c r="D47" s="235"/>
      <c r="E47" s="235"/>
      <c r="F47" s="127" t="s">
        <v>162</v>
      </c>
      <c r="G47" s="128" t="s">
        <v>163</v>
      </c>
      <c r="H47" s="128" t="s">
        <v>159</v>
      </c>
      <c r="I47" s="124" t="s">
        <v>147</v>
      </c>
      <c r="L47" s="238"/>
      <c r="M47" s="51">
        <f t="shared" si="15"/>
        <v>1.550228353055094</v>
      </c>
      <c r="N47" s="51">
        <f t="shared" si="16"/>
        <v>0.3010299956639812</v>
      </c>
      <c r="O47" s="52">
        <f t="shared" si="17"/>
        <v>1.3010299956639813</v>
      </c>
    </row>
    <row r="48" spans="2:15" ht="24" customHeight="1" thickTop="1" thickBot="1" x14ac:dyDescent="0.3">
      <c r="B48" s="235"/>
      <c r="C48" s="235"/>
      <c r="D48" s="235"/>
      <c r="E48" s="235"/>
      <c r="F48" s="129">
        <f>SUMPRODUCT(N12:N65,O12:O65)</f>
        <v>99.564965894821341</v>
      </c>
      <c r="G48" s="130">
        <f>SUMSQ(O12:O65)</f>
        <v>89.173240529324332</v>
      </c>
      <c r="H48" s="131">
        <f>SUM(O12:O65)</f>
        <v>66.88227387743089</v>
      </c>
      <c r="I48" s="125">
        <f>SUMPRODUCT(M12:M65,O12:O65)</f>
        <v>118.54039848445477</v>
      </c>
      <c r="L48" s="236">
        <f>H11</f>
        <v>30</v>
      </c>
      <c r="M48" s="51">
        <f>LOG10(H25)</f>
        <v>1.888179493918325</v>
      </c>
      <c r="N48" s="51">
        <f>LOG10($B25)</f>
        <v>2.6989700043360187</v>
      </c>
      <c r="O48" s="52">
        <f>LOG10($H$24)</f>
        <v>1.4771212547196624</v>
      </c>
    </row>
    <row r="49" spans="2:15" ht="24" customHeight="1" thickTop="1" thickBot="1" x14ac:dyDescent="0.3">
      <c r="C49" s="45"/>
      <c r="D49" s="45"/>
      <c r="E49" s="45"/>
      <c r="G49" s="45"/>
      <c r="H49" s="45"/>
      <c r="I49" s="45"/>
      <c r="L49" s="237"/>
      <c r="M49" s="51">
        <f t="shared" ref="M49:M56" si="18">LOG10(H26)</f>
        <v>1.8394780473741983</v>
      </c>
      <c r="N49" s="51">
        <f t="shared" ref="N49:N56" si="19">LOG10($B26)</f>
        <v>2.3010299956639813</v>
      </c>
      <c r="O49" s="52">
        <f t="shared" ref="O49:O56" si="20">LOG10($H$24)</f>
        <v>1.4771212547196624</v>
      </c>
    </row>
    <row r="50" spans="2:15" ht="24" customHeight="1" thickTop="1" thickBot="1" x14ac:dyDescent="0.3">
      <c r="B50" s="239" t="s">
        <v>165</v>
      </c>
      <c r="C50" s="239"/>
      <c r="D50" s="239"/>
      <c r="E50" s="239"/>
      <c r="F50" s="189" t="s">
        <v>166</v>
      </c>
      <c r="G50" s="189"/>
      <c r="H50" s="189"/>
      <c r="I50" s="126" t="s">
        <v>167</v>
      </c>
      <c r="L50" s="237"/>
      <c r="M50" s="51">
        <f t="shared" si="18"/>
        <v>1.7993405494535817</v>
      </c>
      <c r="N50" s="51">
        <f t="shared" si="19"/>
        <v>2</v>
      </c>
      <c r="O50" s="52">
        <f t="shared" si="20"/>
        <v>1.4771212547196624</v>
      </c>
    </row>
    <row r="51" spans="2:15" ht="24" customHeight="1" thickTop="1" thickBot="1" x14ac:dyDescent="0.3">
      <c r="B51" s="132">
        <f>F42</f>
        <v>80.387640052032225</v>
      </c>
      <c r="C51" s="133">
        <f>G42</f>
        <v>66.88227387743089</v>
      </c>
      <c r="D51" s="134">
        <f>H42</f>
        <v>54</v>
      </c>
      <c r="E51" s="135">
        <f>I42</f>
        <v>98.404526581774917</v>
      </c>
      <c r="F51" s="108">
        <f t="array" ref="F51:H53">MINVERSE(B51:D53)</f>
        <v>-5.2268971220703293E-2</v>
      </c>
      <c r="G51" s="108">
        <v>3.5111423150263589E-2</v>
      </c>
      <c r="H51" s="108">
        <v>-2.3980416593584897E-17</v>
      </c>
      <c r="I51" s="136">
        <f t="array" ref="I51:I53">MMULT(F51:H53,E51:E53)</f>
        <v>0.1785708976147376</v>
      </c>
      <c r="L51" s="237"/>
      <c r="M51" s="51">
        <f t="shared" si="18"/>
        <v>1.7543483357110188</v>
      </c>
      <c r="N51" s="51">
        <f t="shared" si="19"/>
        <v>1.6989700043360187</v>
      </c>
      <c r="O51" s="52">
        <f t="shared" si="20"/>
        <v>1.4771212547196624</v>
      </c>
    </row>
    <row r="52" spans="2:15" ht="24" customHeight="1" thickTop="1" thickBot="1" x14ac:dyDescent="0.3">
      <c r="B52" s="132">
        <f>F45</f>
        <v>148.15062386159306</v>
      </c>
      <c r="C52" s="133">
        <f>G45</f>
        <v>99.564965894821341</v>
      </c>
      <c r="D52" s="134">
        <f>H45</f>
        <v>80.387640052032225</v>
      </c>
      <c r="E52" s="135">
        <f>I45</f>
        <v>151.57671743261457</v>
      </c>
      <c r="F52" s="137">
        <v>-0.19549565030219795</v>
      </c>
      <c r="G52" s="137">
        <v>-3.4912082001093497E-17</v>
      </c>
      <c r="H52" s="137">
        <v>0.15784100187241124</v>
      </c>
      <c r="I52" s="138">
        <v>-0.52712165764281593</v>
      </c>
      <c r="L52" s="237"/>
      <c r="M52" s="51">
        <f t="shared" si="18"/>
        <v>1.7041505168397992</v>
      </c>
      <c r="N52" s="51">
        <f t="shared" si="19"/>
        <v>1.3979400086720377</v>
      </c>
      <c r="O52" s="52">
        <f t="shared" si="20"/>
        <v>1.4771212547196624</v>
      </c>
    </row>
    <row r="53" spans="2:15" ht="24" customHeight="1" thickTop="1" thickBot="1" x14ac:dyDescent="0.3">
      <c r="B53" s="132">
        <f>F48</f>
        <v>99.564965894821341</v>
      </c>
      <c r="C53" s="133">
        <f>G48</f>
        <v>89.173240529324332</v>
      </c>
      <c r="D53" s="134">
        <f>H48</f>
        <v>66.88227387743089</v>
      </c>
      <c r="E53" s="135">
        <f>I48</f>
        <v>118.54039848445477</v>
      </c>
      <c r="F53" s="137">
        <v>0.33846246055070345</v>
      </c>
      <c r="G53" s="137">
        <v>-5.22689712207033E-2</v>
      </c>
      <c r="H53" s="137">
        <v>-0.19549565030219793</v>
      </c>
      <c r="I53" s="139">
        <v>2.2093468261804716</v>
      </c>
      <c r="L53" s="237"/>
      <c r="M53" s="51">
        <f t="shared" si="18"/>
        <v>1.6875289612146342</v>
      </c>
      <c r="N53" s="51">
        <f t="shared" si="19"/>
        <v>1.3010299956639813</v>
      </c>
      <c r="O53" s="52">
        <f t="shared" si="20"/>
        <v>1.4771212547196624</v>
      </c>
    </row>
    <row r="54" spans="2:15" ht="20.149999999999999" customHeight="1" thickTop="1" thickBot="1" x14ac:dyDescent="0.3">
      <c r="L54" s="237"/>
      <c r="M54" s="51">
        <f t="shared" si="18"/>
        <v>1.6283889300503116</v>
      </c>
      <c r="N54" s="51">
        <f t="shared" si="19"/>
        <v>1</v>
      </c>
      <c r="O54" s="52">
        <f t="shared" si="20"/>
        <v>1.4771212547196624</v>
      </c>
    </row>
    <row r="55" spans="2:15" ht="20.149999999999999" customHeight="1" thickTop="1" thickBot="1" x14ac:dyDescent="0.3">
      <c r="L55" s="237"/>
      <c r="M55" s="51">
        <f t="shared" si="18"/>
        <v>1.5599066250361124</v>
      </c>
      <c r="N55" s="51">
        <f t="shared" si="19"/>
        <v>0.69897000433601886</v>
      </c>
      <c r="O55" s="52">
        <f t="shared" si="20"/>
        <v>1.4771212547196624</v>
      </c>
    </row>
    <row r="56" spans="2:15" ht="20.149999999999999" customHeight="1" thickTop="1" thickBot="1" x14ac:dyDescent="0.3">
      <c r="L56" s="238"/>
      <c r="M56" s="51">
        <f t="shared" si="18"/>
        <v>1.4502491083193612</v>
      </c>
      <c r="N56" s="51">
        <f t="shared" si="19"/>
        <v>0.3010299956639812</v>
      </c>
      <c r="O56" s="52">
        <f t="shared" si="20"/>
        <v>1.4771212547196624</v>
      </c>
    </row>
    <row r="57" spans="2:15" ht="20.149999999999999" customHeight="1" thickTop="1" thickBot="1" x14ac:dyDescent="0.3">
      <c r="L57" s="236">
        <f>I11</f>
        <v>60</v>
      </c>
      <c r="M57" s="51">
        <f>LOG10(I25)</f>
        <v>1.705007959333336</v>
      </c>
      <c r="N57" s="51">
        <f>LOG10($B25)</f>
        <v>2.6989700043360187</v>
      </c>
      <c r="O57" s="52">
        <f>LOG10($I$24)</f>
        <v>1.7781512503836436</v>
      </c>
    </row>
    <row r="58" spans="2:15" ht="20.149999999999999" customHeight="1" thickTop="1" thickBot="1" x14ac:dyDescent="0.3">
      <c r="L58" s="237"/>
      <c r="M58" s="51">
        <f t="shared" ref="M58:M65" si="21">LOG10(I26)</f>
        <v>1.657055852857104</v>
      </c>
      <c r="N58" s="51">
        <f t="shared" ref="N58:N65" si="22">LOG10($B26)</f>
        <v>2.3010299956639813</v>
      </c>
      <c r="O58" s="52">
        <f t="shared" ref="O58:O65" si="23">LOG10($I$24)</f>
        <v>1.7781512503836436</v>
      </c>
    </row>
    <row r="59" spans="2:15" ht="20.149999999999999" customHeight="1" thickTop="1" thickBot="1" x14ac:dyDescent="0.3">
      <c r="L59" s="237"/>
      <c r="M59" s="51">
        <f t="shared" si="21"/>
        <v>1.6159500516564009</v>
      </c>
      <c r="N59" s="51">
        <f t="shared" si="22"/>
        <v>2</v>
      </c>
      <c r="O59" s="52">
        <f t="shared" si="23"/>
        <v>1.7781512503836436</v>
      </c>
    </row>
    <row r="60" spans="2:15" ht="20.149999999999999" customHeight="1" thickTop="1" thickBot="1" x14ac:dyDescent="0.3">
      <c r="L60" s="237"/>
      <c r="M60" s="51">
        <f t="shared" si="21"/>
        <v>1.5717088318086876</v>
      </c>
      <c r="N60" s="51">
        <f t="shared" si="22"/>
        <v>1.6989700043360187</v>
      </c>
      <c r="O60" s="52">
        <f t="shared" si="23"/>
        <v>1.7781512503836436</v>
      </c>
    </row>
    <row r="61" spans="2:15" ht="20.149999999999999" customHeight="1" thickTop="1" thickBot="1" x14ac:dyDescent="0.3">
      <c r="L61" s="237"/>
      <c r="M61" s="51">
        <f t="shared" si="21"/>
        <v>1.5224442335063197</v>
      </c>
      <c r="N61" s="51">
        <f t="shared" si="22"/>
        <v>1.3979400086720377</v>
      </c>
      <c r="O61" s="52">
        <f t="shared" si="23"/>
        <v>1.7781512503836436</v>
      </c>
    </row>
    <row r="62" spans="2:15" ht="20.149999999999999" customHeight="1" thickTop="1" thickBot="1" x14ac:dyDescent="0.3">
      <c r="L62" s="237"/>
      <c r="M62" s="51">
        <f t="shared" si="21"/>
        <v>1.503790683057181</v>
      </c>
      <c r="N62" s="51">
        <f t="shared" si="22"/>
        <v>1.3010299956639813</v>
      </c>
      <c r="O62" s="52">
        <f t="shared" si="23"/>
        <v>1.7781512503836436</v>
      </c>
    </row>
    <row r="63" spans="2:15" ht="20.149999999999999" customHeight="1" thickTop="1" thickBot="1" x14ac:dyDescent="0.3">
      <c r="B63" s="57"/>
      <c r="C63" s="45"/>
      <c r="D63" s="45"/>
      <c r="E63" s="45"/>
      <c r="G63" s="45"/>
      <c r="H63" s="45"/>
      <c r="I63" s="45"/>
      <c r="L63" s="237"/>
      <c r="M63" s="51">
        <f t="shared" si="21"/>
        <v>1.4424797690644486</v>
      </c>
      <c r="N63" s="51">
        <f t="shared" si="22"/>
        <v>1</v>
      </c>
      <c r="O63" s="52">
        <f t="shared" si="23"/>
        <v>1.7781512503836436</v>
      </c>
    </row>
    <row r="64" spans="2:15" ht="20.149999999999999" customHeight="1" thickTop="1" thickBot="1" x14ac:dyDescent="0.3">
      <c r="B64" s="57"/>
      <c r="C64" s="40"/>
      <c r="D64" s="40"/>
      <c r="E64" s="40"/>
      <c r="G64" s="40"/>
      <c r="H64" s="40"/>
      <c r="I64" s="40"/>
      <c r="L64" s="237"/>
      <c r="M64" s="51">
        <f t="shared" si="21"/>
        <v>1.3783979009481377</v>
      </c>
      <c r="N64" s="51">
        <f t="shared" si="22"/>
        <v>0.69897000433601886</v>
      </c>
      <c r="O64" s="52">
        <f t="shared" si="23"/>
        <v>1.7781512503836436</v>
      </c>
    </row>
    <row r="65" spans="3:15" ht="20.149999999999999" customHeight="1" thickTop="1" thickBot="1" x14ac:dyDescent="0.3">
      <c r="C65" s="40"/>
      <c r="D65" s="40"/>
      <c r="E65" s="40"/>
      <c r="G65" s="40"/>
      <c r="H65" s="40"/>
      <c r="I65" s="40"/>
      <c r="L65" s="238"/>
      <c r="M65" s="51">
        <f t="shared" si="21"/>
        <v>1.2671717284030137</v>
      </c>
      <c r="N65" s="51">
        <f t="shared" si="22"/>
        <v>0.3010299956639812</v>
      </c>
      <c r="O65" s="52">
        <f t="shared" si="23"/>
        <v>1.7781512503836436</v>
      </c>
    </row>
    <row r="66" spans="3:15" ht="20.149999999999999" customHeight="1" thickTop="1" x14ac:dyDescent="0.25"/>
    <row r="67" spans="3:15" ht="20.149999999999999" customHeight="1" x14ac:dyDescent="0.25"/>
    <row r="68" spans="3:15" ht="20.149999999999999" customHeight="1" x14ac:dyDescent="0.25"/>
    <row r="69" spans="3:15" ht="20.149999999999999" customHeight="1" x14ac:dyDescent="0.25"/>
    <row r="70" spans="3:15" ht="20.149999999999999" customHeight="1" x14ac:dyDescent="0.25"/>
    <row r="71" spans="3:15" ht="20.149999999999999" customHeight="1" x14ac:dyDescent="0.25"/>
    <row r="72" spans="3:15" ht="20.149999999999999" customHeight="1" x14ac:dyDescent="0.25"/>
    <row r="73" spans="3:15" ht="20.149999999999999" customHeight="1" x14ac:dyDescent="0.25"/>
    <row r="74" spans="3:15" ht="20.149999999999999" customHeight="1" x14ac:dyDescent="0.25"/>
    <row r="75" spans="3:15" ht="20.149999999999999" customHeight="1" x14ac:dyDescent="0.25"/>
    <row r="76" spans="3:15" ht="20.149999999999999" customHeight="1" x14ac:dyDescent="0.25"/>
    <row r="77" spans="3:15" ht="20.149999999999999" customHeight="1" x14ac:dyDescent="0.25"/>
    <row r="78" spans="3:15" ht="20.149999999999999" customHeight="1" x14ac:dyDescent="0.25"/>
    <row r="79" spans="3:15" ht="20.149999999999999" customHeight="1" x14ac:dyDescent="0.25"/>
    <row r="80" spans="3:15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spans="2:9" ht="20.149999999999999" customHeight="1" x14ac:dyDescent="0.25"/>
    <row r="98" spans="2:9" ht="20.149999999999999" customHeight="1" x14ac:dyDescent="0.25"/>
    <row r="99" spans="2:9" ht="20.149999999999999" customHeight="1" x14ac:dyDescent="0.25"/>
    <row r="100" spans="2:9" ht="20.149999999999999" customHeight="1" x14ac:dyDescent="0.25"/>
    <row r="101" spans="2:9" ht="20.149999999999999" customHeight="1" x14ac:dyDescent="0.25"/>
    <row r="102" spans="2:9" ht="20.149999999999999" customHeight="1" x14ac:dyDescent="0.25"/>
    <row r="103" spans="2:9" ht="20.149999999999999" customHeight="1" x14ac:dyDescent="0.25"/>
    <row r="104" spans="2:9" ht="20.149999999999999" customHeight="1" x14ac:dyDescent="0.25"/>
    <row r="105" spans="2:9" ht="20.149999999999999" customHeight="1" x14ac:dyDescent="0.25"/>
    <row r="106" spans="2:9" ht="20.149999999999999" customHeight="1" x14ac:dyDescent="0.25"/>
    <row r="107" spans="2:9" ht="20.149999999999999" customHeight="1" x14ac:dyDescent="0.25"/>
    <row r="108" spans="2:9" ht="20.149999999999999" customHeight="1" x14ac:dyDescent="0.25">
      <c r="B108" s="38"/>
      <c r="C108" s="38"/>
      <c r="D108" s="38"/>
      <c r="E108" s="38"/>
      <c r="F108" s="38"/>
      <c r="G108" s="38"/>
      <c r="H108" s="38"/>
      <c r="I108" s="38"/>
    </row>
    <row r="109" spans="2:9" ht="20.149999999999999" customHeight="1" x14ac:dyDescent="0.25">
      <c r="B109" s="39"/>
      <c r="C109" s="39"/>
      <c r="D109" s="39"/>
      <c r="E109" s="39"/>
      <c r="F109" s="39"/>
      <c r="G109" s="38"/>
      <c r="H109" s="38"/>
      <c r="I109" s="38"/>
    </row>
    <row r="110" spans="2:9" ht="20.149999999999999" customHeight="1" x14ac:dyDescent="0.25">
      <c r="F110" s="39"/>
      <c r="G110" s="38"/>
      <c r="H110" s="38"/>
      <c r="I110" s="38"/>
    </row>
    <row r="111" spans="2:9" ht="20.149999999999999" customHeight="1" x14ac:dyDescent="0.25">
      <c r="F111" s="39"/>
      <c r="G111" s="38"/>
      <c r="H111" s="38"/>
      <c r="I111" s="38"/>
    </row>
    <row r="112" spans="2:9" ht="20.149999999999999" customHeight="1" x14ac:dyDescent="0.25">
      <c r="F112" s="39"/>
      <c r="G112" s="38"/>
      <c r="H112" s="38"/>
      <c r="I112" s="38"/>
    </row>
    <row r="113" spans="6:9" ht="20.149999999999999" customHeight="1" x14ac:dyDescent="0.25">
      <c r="F113" s="39"/>
      <c r="G113" s="38"/>
      <c r="H113" s="38"/>
      <c r="I113" s="38"/>
    </row>
    <row r="114" spans="6:9" ht="20.149999999999999" customHeight="1" x14ac:dyDescent="0.25">
      <c r="F114" s="39"/>
      <c r="G114" s="38"/>
      <c r="H114" s="38"/>
      <c r="I114" s="38"/>
    </row>
    <row r="115" spans="6:9" ht="20.149999999999999" customHeight="1" x14ac:dyDescent="0.25"/>
    <row r="116" spans="6:9" ht="20.149999999999999" customHeight="1" x14ac:dyDescent="0.25"/>
    <row r="117" spans="6:9" ht="20.149999999999999" customHeight="1" x14ac:dyDescent="0.25"/>
    <row r="118" spans="6:9" ht="20.149999999999999" customHeight="1" x14ac:dyDescent="0.25"/>
    <row r="119" spans="6:9" ht="20.149999999999999" customHeight="1" x14ac:dyDescent="0.25"/>
    <row r="120" spans="6:9" ht="20.149999999999999" customHeight="1" x14ac:dyDescent="0.25"/>
    <row r="121" spans="6:9" ht="20.149999999999999" customHeight="1" x14ac:dyDescent="0.25"/>
    <row r="122" spans="6:9" ht="20.149999999999999" customHeight="1" x14ac:dyDescent="0.25"/>
    <row r="123" spans="6:9" ht="20.149999999999999" customHeight="1" x14ac:dyDescent="0.25"/>
    <row r="124" spans="6:9" ht="20.149999999999999" customHeight="1" x14ac:dyDescent="0.25"/>
    <row r="125" spans="6:9" ht="20.149999999999999" customHeight="1" x14ac:dyDescent="0.25"/>
    <row r="126" spans="6:9" ht="20.149999999999999" customHeight="1" x14ac:dyDescent="0.25"/>
    <row r="127" spans="6:9" ht="20.149999999999999" customHeight="1" x14ac:dyDescent="0.25"/>
    <row r="128" spans="6:9" ht="20.149999999999999" customHeight="1" x14ac:dyDescent="0.25"/>
    <row r="129" ht="20.149999999999999" customHeight="1" x14ac:dyDescent="0.25"/>
    <row r="130" ht="20.149999999999999" customHeight="1" x14ac:dyDescent="0.25"/>
    <row r="131" ht="20.149999999999999" customHeight="1" x14ac:dyDescent="0.25"/>
    <row r="132" ht="20.149999999999999" customHeight="1" x14ac:dyDescent="0.25"/>
    <row r="133" ht="20.149999999999999" customHeight="1" x14ac:dyDescent="0.25"/>
    <row r="134" ht="20.149999999999999" customHeight="1" x14ac:dyDescent="0.25"/>
    <row r="135" ht="20.149999999999999" customHeight="1" x14ac:dyDescent="0.25"/>
    <row r="136" ht="20.149999999999999" customHeight="1" x14ac:dyDescent="0.25"/>
    <row r="137" ht="20.149999999999999" customHeight="1" x14ac:dyDescent="0.25"/>
    <row r="138" ht="20.149999999999999" customHeight="1" x14ac:dyDescent="0.25"/>
    <row r="139" ht="20.149999999999999" customHeight="1" x14ac:dyDescent="0.25"/>
    <row r="140" ht="20.149999999999999" customHeight="1" x14ac:dyDescent="0.25"/>
    <row r="141" ht="20.149999999999999" customHeight="1" x14ac:dyDescent="0.25"/>
    <row r="142" ht="20.149999999999999" customHeight="1" x14ac:dyDescent="0.25"/>
    <row r="143" ht="20.149999999999999" customHeight="1" x14ac:dyDescent="0.25"/>
    <row r="144" ht="20.149999999999999" customHeight="1" x14ac:dyDescent="0.25"/>
    <row r="145" ht="20.149999999999999" customHeight="1" x14ac:dyDescent="0.25"/>
    <row r="146" ht="20.149999999999999" customHeight="1" x14ac:dyDescent="0.25"/>
    <row r="147" ht="20.149999999999999" customHeight="1" x14ac:dyDescent="0.25"/>
    <row r="148" ht="20.149999999999999" customHeight="1" x14ac:dyDescent="0.25"/>
    <row r="149" ht="20.149999999999999" customHeight="1" x14ac:dyDescent="0.25"/>
    <row r="150" ht="20.149999999999999" customHeight="1" x14ac:dyDescent="0.25"/>
    <row r="151" ht="20.149999999999999" customHeight="1" x14ac:dyDescent="0.25"/>
    <row r="152" ht="20.149999999999999" customHeight="1" x14ac:dyDescent="0.25"/>
    <row r="153" ht="20.149999999999999" customHeight="1" x14ac:dyDescent="0.25"/>
    <row r="154" ht="20.149999999999999" customHeight="1" x14ac:dyDescent="0.25"/>
    <row r="155" ht="20.149999999999999" customHeight="1" x14ac:dyDescent="0.25"/>
    <row r="156" ht="20.149999999999999" customHeight="1" x14ac:dyDescent="0.25"/>
    <row r="157" ht="20.149999999999999" customHeight="1" x14ac:dyDescent="0.25"/>
    <row r="158" ht="20.149999999999999" customHeight="1" x14ac:dyDescent="0.25"/>
    <row r="159" ht="20.149999999999999" customHeight="1" x14ac:dyDescent="0.25"/>
    <row r="160" ht="20.149999999999999" customHeight="1" x14ac:dyDescent="0.25"/>
    <row r="161" ht="20.149999999999999" customHeight="1" x14ac:dyDescent="0.25"/>
    <row r="162" ht="20.149999999999999" customHeight="1" x14ac:dyDescent="0.25"/>
    <row r="163" ht="20.149999999999999" customHeight="1" x14ac:dyDescent="0.25"/>
    <row r="164" ht="20.149999999999999" customHeight="1" x14ac:dyDescent="0.25"/>
    <row r="165" ht="20.149999999999999" customHeight="1" x14ac:dyDescent="0.25"/>
    <row r="166" ht="20.149999999999999" customHeight="1" x14ac:dyDescent="0.25"/>
    <row r="167" ht="20.149999999999999" customHeight="1" x14ac:dyDescent="0.25"/>
    <row r="168" ht="20.149999999999999" customHeight="1" x14ac:dyDescent="0.25"/>
    <row r="169" ht="20.149999999999999" customHeight="1" x14ac:dyDescent="0.25"/>
    <row r="170" ht="20.149999999999999" customHeight="1" x14ac:dyDescent="0.25"/>
    <row r="171" ht="20.149999999999999" customHeight="1" x14ac:dyDescent="0.25"/>
    <row r="172" ht="20.149999999999999" customHeight="1" x14ac:dyDescent="0.25"/>
    <row r="173" ht="20.149999999999999" customHeight="1" x14ac:dyDescent="0.25"/>
    <row r="174" ht="20.149999999999999" customHeight="1" x14ac:dyDescent="0.25"/>
    <row r="175" ht="20.149999999999999" customHeight="1" x14ac:dyDescent="0.25"/>
    <row r="176" ht="20.149999999999999" customHeight="1" x14ac:dyDescent="0.25"/>
    <row r="177" ht="20.149999999999999" customHeight="1" x14ac:dyDescent="0.25"/>
    <row r="178" ht="20.149999999999999" customHeight="1" x14ac:dyDescent="0.25"/>
    <row r="179" ht="20.149999999999999" customHeight="1" x14ac:dyDescent="0.25"/>
    <row r="180" ht="20.149999999999999" customHeight="1" x14ac:dyDescent="0.25"/>
    <row r="181" ht="20.149999999999999" customHeight="1" x14ac:dyDescent="0.25"/>
    <row r="182" ht="20.149999999999999" customHeight="1" x14ac:dyDescent="0.25"/>
    <row r="183" ht="20.149999999999999" customHeight="1" x14ac:dyDescent="0.25"/>
    <row r="184" ht="20.149999999999999" customHeight="1" x14ac:dyDescent="0.25"/>
    <row r="185" ht="20.149999999999999" customHeight="1" x14ac:dyDescent="0.25"/>
    <row r="186" ht="20.149999999999999" customHeight="1" x14ac:dyDescent="0.25"/>
    <row r="187" ht="20.149999999999999" customHeight="1" x14ac:dyDescent="0.25"/>
    <row r="188" ht="20.149999999999999" customHeight="1" x14ac:dyDescent="0.25"/>
    <row r="189" ht="20.149999999999999" customHeight="1" x14ac:dyDescent="0.25"/>
    <row r="190" ht="20.149999999999999" customHeight="1" x14ac:dyDescent="0.25"/>
    <row r="191" ht="20.149999999999999" customHeight="1" x14ac:dyDescent="0.25"/>
    <row r="192" ht="20.149999999999999" customHeight="1" x14ac:dyDescent="0.25"/>
    <row r="193" ht="20.149999999999999" customHeight="1" x14ac:dyDescent="0.25"/>
    <row r="194" ht="20.149999999999999" customHeight="1" x14ac:dyDescent="0.25"/>
    <row r="195" ht="20.149999999999999" customHeight="1" x14ac:dyDescent="0.25"/>
    <row r="196" ht="20.149999999999999" customHeight="1" x14ac:dyDescent="0.25"/>
    <row r="197" ht="20.149999999999999" customHeight="1" x14ac:dyDescent="0.25"/>
    <row r="198" ht="20.149999999999999" customHeight="1" x14ac:dyDescent="0.25"/>
    <row r="199" ht="20.149999999999999" customHeight="1" x14ac:dyDescent="0.25"/>
    <row r="200" ht="20.149999999999999" customHeight="1" x14ac:dyDescent="0.25"/>
    <row r="201" ht="20.149999999999999" customHeight="1" x14ac:dyDescent="0.25"/>
    <row r="202" ht="20.149999999999999" customHeight="1" x14ac:dyDescent="0.25"/>
    <row r="203" ht="20.149999999999999" customHeight="1" x14ac:dyDescent="0.25"/>
    <row r="204" ht="20.149999999999999" customHeight="1" x14ac:dyDescent="0.25"/>
    <row r="205" ht="20.149999999999999" customHeight="1" x14ac:dyDescent="0.25"/>
    <row r="206" ht="20.149999999999999" customHeight="1" x14ac:dyDescent="0.25"/>
    <row r="207" ht="20.149999999999999" customHeight="1" x14ac:dyDescent="0.25"/>
    <row r="208" ht="20.149999999999999" customHeight="1" x14ac:dyDescent="0.25"/>
    <row r="209" ht="20.149999999999999" customHeight="1" x14ac:dyDescent="0.25"/>
    <row r="210" ht="20.149999999999999" customHeight="1" x14ac:dyDescent="0.25"/>
    <row r="211" ht="20.149999999999999" customHeight="1" x14ac:dyDescent="0.25"/>
    <row r="212" ht="20.149999999999999" customHeight="1" x14ac:dyDescent="0.25"/>
    <row r="213" ht="20.149999999999999" customHeight="1" x14ac:dyDescent="0.25"/>
    <row r="214" ht="20.149999999999999" customHeight="1" x14ac:dyDescent="0.25"/>
    <row r="215" ht="20.149999999999999" customHeight="1" x14ac:dyDescent="0.25"/>
    <row r="216" ht="20.149999999999999" customHeight="1" x14ac:dyDescent="0.25"/>
    <row r="217" ht="20.149999999999999" customHeight="1" x14ac:dyDescent="0.25"/>
    <row r="218" ht="20.149999999999999" customHeight="1" x14ac:dyDescent="0.25"/>
    <row r="219" ht="20.149999999999999" customHeight="1" x14ac:dyDescent="0.25"/>
    <row r="220" ht="20.149999999999999" customHeight="1" x14ac:dyDescent="0.25"/>
    <row r="221" ht="20.149999999999999" customHeight="1" x14ac:dyDescent="0.25"/>
    <row r="222" ht="20.149999999999999" customHeight="1" x14ac:dyDescent="0.25"/>
    <row r="223" ht="20.149999999999999" customHeight="1" x14ac:dyDescent="0.25"/>
    <row r="224" ht="20.149999999999999" customHeight="1" x14ac:dyDescent="0.25"/>
    <row r="225" ht="20.149999999999999" customHeight="1" x14ac:dyDescent="0.25"/>
    <row r="226" ht="20.149999999999999" customHeight="1" x14ac:dyDescent="0.25"/>
    <row r="227" ht="20.149999999999999" customHeight="1" x14ac:dyDescent="0.25"/>
    <row r="228" ht="20.149999999999999" customHeight="1" x14ac:dyDescent="0.25"/>
    <row r="229" ht="20.149999999999999" customHeight="1" x14ac:dyDescent="0.25"/>
    <row r="230" ht="20.149999999999999" customHeight="1" x14ac:dyDescent="0.25"/>
    <row r="231" ht="20.149999999999999" customHeight="1" x14ac:dyDescent="0.25"/>
    <row r="232" ht="20.149999999999999" customHeight="1" x14ac:dyDescent="0.25"/>
    <row r="233" ht="20.149999999999999" customHeight="1" x14ac:dyDescent="0.25"/>
    <row r="234" ht="20.149999999999999" customHeight="1" x14ac:dyDescent="0.25"/>
    <row r="235" ht="20.149999999999999" customHeight="1" x14ac:dyDescent="0.25"/>
    <row r="236" ht="20.149999999999999" customHeight="1" x14ac:dyDescent="0.25"/>
    <row r="237" ht="20.149999999999999" customHeight="1" x14ac:dyDescent="0.25"/>
    <row r="238" ht="20.149999999999999" customHeight="1" x14ac:dyDescent="0.25"/>
    <row r="239" ht="20.149999999999999" customHeight="1" x14ac:dyDescent="0.25"/>
    <row r="240" ht="20.149999999999999" customHeight="1" x14ac:dyDescent="0.25"/>
    <row r="241" ht="20.149999999999999" customHeight="1" x14ac:dyDescent="0.25"/>
    <row r="242" ht="20.149999999999999" customHeight="1" x14ac:dyDescent="0.25"/>
    <row r="243" ht="20.149999999999999" customHeight="1" x14ac:dyDescent="0.25"/>
    <row r="244" ht="20.149999999999999" customHeight="1" x14ac:dyDescent="0.25"/>
    <row r="245" ht="20.149999999999999" customHeight="1" x14ac:dyDescent="0.25"/>
    <row r="246" ht="20.149999999999999" customHeight="1" x14ac:dyDescent="0.25"/>
    <row r="247" ht="20.149999999999999" customHeight="1" x14ac:dyDescent="0.25"/>
    <row r="248" ht="20.149999999999999" customHeight="1" x14ac:dyDescent="0.25"/>
    <row r="249" ht="20.149999999999999" customHeight="1" x14ac:dyDescent="0.25"/>
    <row r="250" ht="20.149999999999999" customHeight="1" x14ac:dyDescent="0.25"/>
    <row r="251" ht="20.149999999999999" customHeight="1" x14ac:dyDescent="0.25"/>
    <row r="252" ht="20.149999999999999" customHeight="1" x14ac:dyDescent="0.25"/>
    <row r="253" ht="20.149999999999999" customHeight="1" x14ac:dyDescent="0.25"/>
    <row r="254" ht="20.149999999999999" customHeight="1" x14ac:dyDescent="0.25"/>
    <row r="255" ht="20.149999999999999" customHeight="1" x14ac:dyDescent="0.25"/>
    <row r="256" ht="20.149999999999999" customHeight="1" x14ac:dyDescent="0.25"/>
    <row r="257" ht="20.149999999999999" customHeight="1" x14ac:dyDescent="0.25"/>
    <row r="258" ht="20.149999999999999" customHeight="1" x14ac:dyDescent="0.25"/>
    <row r="259" ht="20.149999999999999" customHeight="1" x14ac:dyDescent="0.25"/>
    <row r="260" ht="20.149999999999999" customHeight="1" x14ac:dyDescent="0.25"/>
    <row r="261" ht="20.149999999999999" customHeight="1" x14ac:dyDescent="0.25"/>
    <row r="262" ht="20.149999999999999" customHeight="1" x14ac:dyDescent="0.25"/>
    <row r="263" ht="20.149999999999999" customHeight="1" x14ac:dyDescent="0.25"/>
    <row r="264" ht="20.149999999999999" customHeight="1" x14ac:dyDescent="0.25"/>
    <row r="265" ht="20.149999999999999" customHeight="1" x14ac:dyDescent="0.25"/>
    <row r="266" ht="20.149999999999999" customHeight="1" x14ac:dyDescent="0.25"/>
    <row r="267" ht="20.149999999999999" customHeight="1" x14ac:dyDescent="0.25"/>
    <row r="268" ht="20.149999999999999" customHeight="1" x14ac:dyDescent="0.25"/>
    <row r="269" ht="20.149999999999999" customHeight="1" x14ac:dyDescent="0.25"/>
    <row r="270" ht="20.149999999999999" customHeight="1" x14ac:dyDescent="0.25"/>
    <row r="271" ht="20.149999999999999" customHeight="1" x14ac:dyDescent="0.25"/>
    <row r="272" ht="20.149999999999999" customHeight="1" x14ac:dyDescent="0.25"/>
    <row r="273" ht="20.149999999999999" customHeight="1" x14ac:dyDescent="0.25"/>
    <row r="274" ht="20.149999999999999" customHeight="1" x14ac:dyDescent="0.25"/>
    <row r="275" ht="20.149999999999999" customHeight="1" x14ac:dyDescent="0.25"/>
    <row r="276" ht="20.149999999999999" customHeight="1" x14ac:dyDescent="0.25"/>
    <row r="277" ht="20.149999999999999" customHeight="1" x14ac:dyDescent="0.25"/>
    <row r="278" ht="20.149999999999999" customHeight="1" x14ac:dyDescent="0.25"/>
    <row r="279" ht="20.149999999999999" customHeight="1" x14ac:dyDescent="0.25"/>
    <row r="280" ht="20.149999999999999" customHeight="1" x14ac:dyDescent="0.25"/>
    <row r="281" ht="20.149999999999999" customHeight="1" x14ac:dyDescent="0.25"/>
    <row r="282" ht="20.149999999999999" customHeight="1" x14ac:dyDescent="0.25"/>
    <row r="283" ht="20.149999999999999" customHeight="1" x14ac:dyDescent="0.25"/>
    <row r="284" ht="20.149999999999999" customHeight="1" x14ac:dyDescent="0.25"/>
    <row r="285" ht="20.149999999999999" customHeight="1" x14ac:dyDescent="0.25"/>
    <row r="286" ht="20.149999999999999" customHeight="1" x14ac:dyDescent="0.25"/>
    <row r="287" ht="20.149999999999999" customHeight="1" x14ac:dyDescent="0.25"/>
    <row r="288" ht="20.149999999999999" customHeight="1" x14ac:dyDescent="0.25"/>
  </sheetData>
  <mergeCells count="28">
    <mergeCell ref="L57:L65"/>
    <mergeCell ref="C2:I2"/>
    <mergeCell ref="B9:I9"/>
    <mergeCell ref="D10:I10"/>
    <mergeCell ref="B22:I22"/>
    <mergeCell ref="D23:I23"/>
    <mergeCell ref="C3:I3"/>
    <mergeCell ref="C4:I4"/>
    <mergeCell ref="C5:I5"/>
    <mergeCell ref="B39:E39"/>
    <mergeCell ref="L12:L20"/>
    <mergeCell ref="L21:L29"/>
    <mergeCell ref="L30:L38"/>
    <mergeCell ref="L39:L47"/>
    <mergeCell ref="B41:E42"/>
    <mergeCell ref="B44:E45"/>
    <mergeCell ref="B47:E48"/>
    <mergeCell ref="L48:L56"/>
    <mergeCell ref="B50:E50"/>
    <mergeCell ref="F50:H50"/>
    <mergeCell ref="B35:I35"/>
    <mergeCell ref="F36:I36"/>
    <mergeCell ref="F37:I37"/>
    <mergeCell ref="F38:I38"/>
    <mergeCell ref="F39:I39"/>
    <mergeCell ref="B36:E36"/>
    <mergeCell ref="B37:E37"/>
    <mergeCell ref="B38:E38"/>
  </mergeCells>
  <phoneticPr fontId="4" type="noConversion"/>
  <printOptions horizontalCentered="1"/>
  <pageMargins left="0.69" right="0.35433070866141736" top="0.51181102362204722" bottom="0.19685039370078741" header="0" footer="0"/>
  <pageSetup paperSize="9" scale="80" orientation="portrait" r:id="rId1"/>
  <headerFooter alignWithMargins="0"/>
  <rowBreaks count="1" manualBreakCount="1">
    <brk id="39" max="8" man="1"/>
  </rowBreaks>
  <ignoredErrors>
    <ignoredError sqref="I18:I19 D13" formula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06D6-4D77-4ED9-AEE2-9577AA96E533}">
  <sheetPr codeName="Hoja9">
    <tabColor rgb="FF0070C0"/>
  </sheetPr>
  <dimension ref="B2:P172"/>
  <sheetViews>
    <sheetView view="pageBreakPreview" topLeftCell="C1" zoomScale="130" zoomScaleNormal="100" zoomScaleSheetLayoutView="130" workbookViewId="0">
      <selection activeCell="M21" sqref="M21"/>
    </sheetView>
  </sheetViews>
  <sheetFormatPr baseColWidth="10" defaultColWidth="10.36328125" defaultRowHeight="13" x14ac:dyDescent="0.25"/>
  <cols>
    <col min="1" max="1" width="2.08984375" style="1" customWidth="1"/>
    <col min="2" max="2" width="13.08984375" style="1" customWidth="1"/>
    <col min="3" max="3" width="13.7265625" style="1" customWidth="1"/>
    <col min="4" max="4" width="18.6328125" style="1" customWidth="1"/>
    <col min="5" max="5" width="14.54296875" style="1" customWidth="1"/>
    <col min="6" max="6" width="13.81640625" style="1" customWidth="1"/>
    <col min="7" max="7" width="13.90625" style="1" customWidth="1"/>
    <col min="8" max="8" width="12.453125" style="1" customWidth="1"/>
    <col min="9" max="9" width="13.1796875" style="1" customWidth="1"/>
    <col min="10" max="10" width="1.6328125" style="1" customWidth="1"/>
    <col min="11" max="16384" width="10.36328125" style="1"/>
  </cols>
  <sheetData>
    <row r="2" spans="2:9" ht="50" customHeight="1" x14ac:dyDescent="0.25">
      <c r="B2" s="109" t="s">
        <v>91</v>
      </c>
      <c r="C2" s="190" t="str">
        <f>'A. Estación'!C2:O2</f>
        <v>“CREACIÓN DEL SERVICIO DE PROTECCIÓN INTEGRAL A NIÑAS, NIÑOS Y ADOLESCENTES SIN CUIDADOS PARENTALES O EN RIESGO DE PERDERLOS EN CENTRO DE ACOGIDA RESIDENCIAL - VARONES DISTRITO DE MORALES DE LA PROVINCIA DE SAN MARTÍN DEL DEPARTAMENTO DE SAN MARTÍN”, con CUI N.° 2705619</v>
      </c>
      <c r="D2" s="190"/>
      <c r="E2" s="190"/>
      <c r="F2" s="190"/>
      <c r="G2" s="190"/>
      <c r="H2" s="190"/>
      <c r="I2" s="190"/>
    </row>
    <row r="3" spans="2:9" ht="17.25" customHeight="1" x14ac:dyDescent="0.25">
      <c r="B3" s="109" t="s">
        <v>92</v>
      </c>
      <c r="C3" s="190" t="str">
        <f>'A. Estación'!C3:O3</f>
        <v>GERENCIA TERRITORIAL BAJO MAYO</v>
      </c>
      <c r="D3" s="190"/>
      <c r="E3" s="190"/>
      <c r="F3" s="190"/>
      <c r="G3" s="190"/>
      <c r="H3" s="190"/>
      <c r="I3" s="190"/>
    </row>
    <row r="4" spans="2:9" ht="26.25" customHeight="1" x14ac:dyDescent="0.25">
      <c r="B4" s="109" t="s">
        <v>93</v>
      </c>
      <c r="C4" s="190" t="str">
        <f>'A. Estación'!C4:O4</f>
        <v>SAN MARTIN - SAN MARTIN - MORALES</v>
      </c>
      <c r="D4" s="190"/>
      <c r="E4" s="190"/>
      <c r="F4" s="190"/>
      <c r="G4" s="190"/>
      <c r="H4" s="190"/>
      <c r="I4" s="190"/>
    </row>
    <row r="5" spans="2:9" ht="15.75" customHeight="1" x14ac:dyDescent="0.25">
      <c r="B5" s="109" t="s">
        <v>94</v>
      </c>
      <c r="C5" s="190" t="str">
        <f>'A. Estación'!C5:O5</f>
        <v>SETIEMBRE 2026</v>
      </c>
      <c r="D5" s="190"/>
      <c r="E5" s="190"/>
      <c r="F5" s="190"/>
      <c r="G5" s="190"/>
      <c r="H5" s="190"/>
      <c r="I5" s="190"/>
    </row>
    <row r="7" spans="2:9" ht="20.149999999999999" customHeight="1" x14ac:dyDescent="0.25">
      <c r="B7" s="4" t="s">
        <v>135</v>
      </c>
      <c r="C7" s="3"/>
      <c r="D7" s="3"/>
    </row>
    <row r="8" spans="2:9" ht="5.4" customHeight="1" x14ac:dyDescent="0.25"/>
    <row r="9" spans="2:9" ht="20.149999999999999" customHeight="1" x14ac:dyDescent="0.25">
      <c r="C9" s="243" t="s">
        <v>164</v>
      </c>
      <c r="D9" s="142" t="s">
        <v>105</v>
      </c>
    </row>
    <row r="10" spans="2:9" ht="20.149999999999999" customHeight="1" x14ac:dyDescent="0.25">
      <c r="C10" s="244"/>
      <c r="D10" s="104" t="s">
        <v>106</v>
      </c>
    </row>
    <row r="11" spans="2:9" ht="8.4" customHeight="1" x14ac:dyDescent="0.25">
      <c r="C11" s="2"/>
      <c r="D11" s="2"/>
    </row>
    <row r="12" spans="2:9" ht="20.149999999999999" customHeight="1" x14ac:dyDescent="0.25">
      <c r="C12" s="104" t="s">
        <v>78</v>
      </c>
      <c r="D12" s="105">
        <f>ROUND(10^'A. Parametros'!I53,2)</f>
        <v>161.94</v>
      </c>
    </row>
    <row r="13" spans="2:9" ht="20.149999999999999" customHeight="1" x14ac:dyDescent="0.25">
      <c r="C13" s="104" t="s">
        <v>151</v>
      </c>
      <c r="D13" s="106">
        <f>'A. Parametros'!I51</f>
        <v>0.1785708976147376</v>
      </c>
    </row>
    <row r="14" spans="2:9" ht="20.149999999999999" customHeight="1" x14ac:dyDescent="0.25">
      <c r="C14" s="104" t="s">
        <v>67</v>
      </c>
      <c r="D14" s="106">
        <f>ABS('A. Parametros'!I52)</f>
        <v>0.52712165764281593</v>
      </c>
    </row>
    <row r="15" spans="2:9" ht="10.25" customHeight="1" x14ac:dyDescent="0.25">
      <c r="C15" s="17"/>
      <c r="D15" s="18"/>
    </row>
    <row r="16" spans="2:9" ht="20.149999999999999" customHeight="1" x14ac:dyDescent="0.25">
      <c r="B16" s="110" t="s">
        <v>34</v>
      </c>
      <c r="C16" s="231" t="s">
        <v>35</v>
      </c>
      <c r="D16" s="231"/>
      <c r="E16" s="231"/>
      <c r="F16" s="231"/>
      <c r="G16" s="231"/>
      <c r="H16" s="231"/>
      <c r="I16" s="231"/>
    </row>
    <row r="17" spans="2:16" ht="20.149999999999999" customHeight="1" x14ac:dyDescent="0.25">
      <c r="B17" s="110" t="s">
        <v>36</v>
      </c>
      <c r="C17" s="141">
        <v>2</v>
      </c>
      <c r="D17" s="141">
        <v>5</v>
      </c>
      <c r="E17" s="141">
        <v>10</v>
      </c>
      <c r="F17" s="141">
        <v>20</v>
      </c>
      <c r="G17" s="141">
        <v>25</v>
      </c>
      <c r="H17" s="141">
        <v>50</v>
      </c>
      <c r="I17" s="141">
        <v>100</v>
      </c>
    </row>
    <row r="18" spans="2:16" ht="20.149999999999999" customHeight="1" x14ac:dyDescent="0.25">
      <c r="B18" s="110">
        <v>10</v>
      </c>
      <c r="C18" s="140">
        <f t="shared" ref="C18:C29" si="0">ROUND(($D$12*$C$17^$D$13)/B18^$D$14,2)</f>
        <v>54.45</v>
      </c>
      <c r="D18" s="140">
        <f t="shared" ref="D18:D29" si="1">ROUND(($D$12*$D$17^$D$13)/B18^$D$14,2)</f>
        <v>64.13</v>
      </c>
      <c r="E18" s="140">
        <f t="shared" ref="E18:E29" si="2">ROUND(($D$12*$E$17^$D$13)/B18^$D$14,2)</f>
        <v>72.58</v>
      </c>
      <c r="F18" s="140">
        <f t="shared" ref="F18:F29" si="3">ROUND(($D$12*$F$17^$D$13)/B18^$D$14,2)</f>
        <v>82.14</v>
      </c>
      <c r="G18" s="140">
        <f>ROUND(($D$12*$G$17^$D$13)/B18^$D$14,2)</f>
        <v>85.48</v>
      </c>
      <c r="H18" s="140">
        <f t="shared" ref="H18:H29" si="4">ROUND(($D$12*$H$17^$D$13)/B18^$D$14,2)</f>
        <v>96.74</v>
      </c>
      <c r="I18" s="140">
        <f t="shared" ref="I18:I29" si="5">ROUND(($D$12*$I$17^$D$13)/B18^$D$14,2)</f>
        <v>109.49</v>
      </c>
    </row>
    <row r="19" spans="2:16" ht="20.149999999999999" customHeight="1" x14ac:dyDescent="0.25">
      <c r="B19" s="110">
        <v>20</v>
      </c>
      <c r="C19" s="140">
        <f t="shared" si="0"/>
        <v>37.78</v>
      </c>
      <c r="D19" s="140">
        <f t="shared" si="1"/>
        <v>44.5</v>
      </c>
      <c r="E19" s="140">
        <f t="shared" si="2"/>
        <v>50.36</v>
      </c>
      <c r="F19" s="140">
        <f t="shared" si="3"/>
        <v>57</v>
      </c>
      <c r="G19" s="140">
        <f t="shared" ref="G19:G29" si="6">ROUND(($D$12*$G$17^$D$13)/B19^$D$14,2)</f>
        <v>59.32</v>
      </c>
      <c r="H19" s="140">
        <f t="shared" si="4"/>
        <v>67.13</v>
      </c>
      <c r="I19" s="140">
        <f t="shared" si="5"/>
        <v>75.98</v>
      </c>
    </row>
    <row r="20" spans="2:16" ht="20.149999999999999" customHeight="1" x14ac:dyDescent="0.25">
      <c r="B20" s="110">
        <v>30</v>
      </c>
      <c r="C20" s="140">
        <f t="shared" si="0"/>
        <v>30.51</v>
      </c>
      <c r="D20" s="140">
        <f t="shared" si="1"/>
        <v>35.94</v>
      </c>
      <c r="E20" s="140">
        <f t="shared" si="2"/>
        <v>40.67</v>
      </c>
      <c r="F20" s="140">
        <f t="shared" si="3"/>
        <v>46.03</v>
      </c>
      <c r="G20" s="140">
        <f t="shared" si="6"/>
        <v>47.9</v>
      </c>
      <c r="H20" s="140">
        <f t="shared" si="4"/>
        <v>54.21</v>
      </c>
      <c r="I20" s="140">
        <f t="shared" si="5"/>
        <v>61.36</v>
      </c>
    </row>
    <row r="21" spans="2:16" ht="20.149999999999999" customHeight="1" x14ac:dyDescent="0.25">
      <c r="B21" s="110">
        <v>40</v>
      </c>
      <c r="C21" s="140">
        <f t="shared" si="0"/>
        <v>26.22</v>
      </c>
      <c r="D21" s="140">
        <f t="shared" si="1"/>
        <v>30.88</v>
      </c>
      <c r="E21" s="140">
        <f t="shared" si="2"/>
        <v>34.950000000000003</v>
      </c>
      <c r="F21" s="140">
        <f t="shared" si="3"/>
        <v>39.549999999999997</v>
      </c>
      <c r="G21" s="140">
        <f t="shared" si="6"/>
        <v>41.16</v>
      </c>
      <c r="H21" s="140">
        <f t="shared" si="4"/>
        <v>46.59</v>
      </c>
      <c r="I21" s="140">
        <f t="shared" si="5"/>
        <v>52.72</v>
      </c>
    </row>
    <row r="22" spans="2:16" ht="20.149999999999999" customHeight="1" x14ac:dyDescent="0.25">
      <c r="B22" s="110">
        <v>50</v>
      </c>
      <c r="C22" s="140">
        <f t="shared" si="0"/>
        <v>23.31</v>
      </c>
      <c r="D22" s="140">
        <f t="shared" si="1"/>
        <v>27.45</v>
      </c>
      <c r="E22" s="140">
        <f t="shared" si="2"/>
        <v>31.07</v>
      </c>
      <c r="F22" s="140">
        <f t="shared" si="3"/>
        <v>35.17</v>
      </c>
      <c r="G22" s="140">
        <f t="shared" si="6"/>
        <v>36.590000000000003</v>
      </c>
      <c r="H22" s="140">
        <f t="shared" si="4"/>
        <v>41.42</v>
      </c>
      <c r="I22" s="140">
        <f t="shared" si="5"/>
        <v>46.87</v>
      </c>
    </row>
    <row r="23" spans="2:16" ht="20.149999999999999" customHeight="1" x14ac:dyDescent="0.25">
      <c r="B23" s="110">
        <v>60</v>
      </c>
      <c r="C23" s="140">
        <f t="shared" si="0"/>
        <v>21.17</v>
      </c>
      <c r="D23" s="140">
        <f t="shared" si="1"/>
        <v>24.94</v>
      </c>
      <c r="E23" s="140">
        <f t="shared" si="2"/>
        <v>28.22</v>
      </c>
      <c r="F23" s="140">
        <f t="shared" si="3"/>
        <v>31.94</v>
      </c>
      <c r="G23" s="140">
        <f t="shared" si="6"/>
        <v>33.24</v>
      </c>
      <c r="H23" s="140">
        <f t="shared" si="4"/>
        <v>37.619999999999997</v>
      </c>
      <c r="I23" s="140">
        <f t="shared" si="5"/>
        <v>42.58</v>
      </c>
    </row>
    <row r="24" spans="2:16" ht="20.149999999999999" customHeight="1" x14ac:dyDescent="0.25">
      <c r="B24" s="110">
        <v>70</v>
      </c>
      <c r="C24" s="140">
        <f t="shared" si="0"/>
        <v>19.52</v>
      </c>
      <c r="D24" s="140">
        <f t="shared" si="1"/>
        <v>22.99</v>
      </c>
      <c r="E24" s="140">
        <f t="shared" si="2"/>
        <v>26.02</v>
      </c>
      <c r="F24" s="140">
        <f t="shared" si="3"/>
        <v>29.45</v>
      </c>
      <c r="G24" s="140">
        <f t="shared" si="6"/>
        <v>30.65</v>
      </c>
      <c r="H24" s="140">
        <f t="shared" si="4"/>
        <v>34.69</v>
      </c>
      <c r="I24" s="140">
        <f t="shared" si="5"/>
        <v>39.26</v>
      </c>
    </row>
    <row r="25" spans="2:16" ht="20.149999999999999" customHeight="1" x14ac:dyDescent="0.25">
      <c r="B25" s="110">
        <v>80</v>
      </c>
      <c r="C25" s="140">
        <f t="shared" si="0"/>
        <v>18.190000000000001</v>
      </c>
      <c r="D25" s="140">
        <f t="shared" si="1"/>
        <v>21.43</v>
      </c>
      <c r="E25" s="140">
        <f t="shared" si="2"/>
        <v>24.25</v>
      </c>
      <c r="F25" s="140">
        <f t="shared" si="3"/>
        <v>27.45</v>
      </c>
      <c r="G25" s="140">
        <f t="shared" si="6"/>
        <v>28.56</v>
      </c>
      <c r="H25" s="140">
        <f t="shared" si="4"/>
        <v>32.33</v>
      </c>
      <c r="I25" s="140">
        <f t="shared" si="5"/>
        <v>36.590000000000003</v>
      </c>
    </row>
    <row r="26" spans="2:16" ht="20.149999999999999" customHeight="1" x14ac:dyDescent="0.25">
      <c r="B26" s="110">
        <v>90</v>
      </c>
      <c r="C26" s="140">
        <f t="shared" si="0"/>
        <v>17.100000000000001</v>
      </c>
      <c r="D26" s="140">
        <f t="shared" si="1"/>
        <v>20.14</v>
      </c>
      <c r="E26" s="140">
        <f t="shared" si="2"/>
        <v>22.79</v>
      </c>
      <c r="F26" s="140">
        <f t="shared" si="3"/>
        <v>25.8</v>
      </c>
      <c r="G26" s="140">
        <f t="shared" si="6"/>
        <v>26.84</v>
      </c>
      <c r="H26" s="140">
        <f t="shared" si="4"/>
        <v>30.38</v>
      </c>
      <c r="I26" s="140">
        <f t="shared" si="5"/>
        <v>34.39</v>
      </c>
    </row>
    <row r="27" spans="2:16" ht="20.149999999999999" customHeight="1" x14ac:dyDescent="0.25">
      <c r="B27" s="110">
        <v>100</v>
      </c>
      <c r="C27" s="140">
        <f t="shared" si="0"/>
        <v>16.18</v>
      </c>
      <c r="D27" s="140">
        <f t="shared" si="1"/>
        <v>19.05</v>
      </c>
      <c r="E27" s="140">
        <f t="shared" si="2"/>
        <v>21.56</v>
      </c>
      <c r="F27" s="140">
        <f t="shared" si="3"/>
        <v>24.4</v>
      </c>
      <c r="G27" s="140">
        <f t="shared" si="6"/>
        <v>25.39</v>
      </c>
      <c r="H27" s="140">
        <f t="shared" si="4"/>
        <v>28.74</v>
      </c>
      <c r="I27" s="140">
        <f t="shared" si="5"/>
        <v>32.53</v>
      </c>
    </row>
    <row r="28" spans="2:16" ht="20.149999999999999" customHeight="1" x14ac:dyDescent="0.25">
      <c r="B28" s="110">
        <v>110</v>
      </c>
      <c r="C28" s="140">
        <f t="shared" si="0"/>
        <v>15.38</v>
      </c>
      <c r="D28" s="140">
        <f t="shared" si="1"/>
        <v>18.12</v>
      </c>
      <c r="E28" s="140">
        <f t="shared" si="2"/>
        <v>20.51</v>
      </c>
      <c r="F28" s="140">
        <f t="shared" si="3"/>
        <v>23.21</v>
      </c>
      <c r="G28" s="140">
        <f t="shared" si="6"/>
        <v>24.15</v>
      </c>
      <c r="H28" s="140">
        <f t="shared" si="4"/>
        <v>27.33</v>
      </c>
      <c r="I28" s="140">
        <f t="shared" si="5"/>
        <v>30.93</v>
      </c>
    </row>
    <row r="29" spans="2:16" ht="20.149999999999999" customHeight="1" x14ac:dyDescent="0.25">
      <c r="B29" s="110">
        <v>120</v>
      </c>
      <c r="C29" s="140">
        <f t="shared" si="0"/>
        <v>14.69</v>
      </c>
      <c r="D29" s="140">
        <f t="shared" si="1"/>
        <v>17.309999999999999</v>
      </c>
      <c r="E29" s="140">
        <f t="shared" si="2"/>
        <v>19.59</v>
      </c>
      <c r="F29" s="140">
        <f t="shared" si="3"/>
        <v>22.17</v>
      </c>
      <c r="G29" s="140">
        <f t="shared" si="6"/>
        <v>23.07</v>
      </c>
      <c r="H29" s="140">
        <f t="shared" si="4"/>
        <v>26.11</v>
      </c>
      <c r="I29" s="140">
        <f t="shared" si="5"/>
        <v>29.55</v>
      </c>
    </row>
    <row r="30" spans="2:16" ht="20.149999999999999" customHeight="1" x14ac:dyDescent="0.25"/>
    <row r="31" spans="2:16" ht="9.9" customHeight="1" x14ac:dyDescent="0.25">
      <c r="K31" s="58">
        <f>+C17</f>
        <v>2</v>
      </c>
      <c r="L31" s="58">
        <f>+D17</f>
        <v>5</v>
      </c>
      <c r="M31" s="58">
        <f>+E17</f>
        <v>10</v>
      </c>
      <c r="N31" s="58">
        <f>+F17</f>
        <v>20</v>
      </c>
      <c r="O31" s="58">
        <f t="shared" ref="O31:P31" si="7">+H17</f>
        <v>50</v>
      </c>
      <c r="P31" s="58">
        <f t="shared" si="7"/>
        <v>100</v>
      </c>
    </row>
    <row r="32" spans="2:16" ht="9.9" customHeight="1" x14ac:dyDescent="0.25"/>
    <row r="33" ht="9.9" customHeight="1" x14ac:dyDescent="0.25"/>
    <row r="34" ht="9.9" customHeight="1" x14ac:dyDescent="0.25"/>
    <row r="35" ht="9.9" customHeight="1" x14ac:dyDescent="0.25"/>
    <row r="36" ht="9.9" customHeight="1" x14ac:dyDescent="0.25"/>
    <row r="37" ht="9.9" customHeight="1" x14ac:dyDescent="0.25"/>
    <row r="38" ht="9.9" customHeight="1" x14ac:dyDescent="0.25"/>
    <row r="39" ht="9.9" customHeight="1" x14ac:dyDescent="0.25"/>
    <row r="40" ht="9.9" customHeight="1" x14ac:dyDescent="0.25"/>
    <row r="41" ht="9.9" customHeight="1" x14ac:dyDescent="0.25"/>
    <row r="42" ht="9.9" customHeight="1" x14ac:dyDescent="0.25"/>
    <row r="43" ht="9.9" customHeight="1" x14ac:dyDescent="0.25"/>
    <row r="44" ht="9.9" customHeight="1" x14ac:dyDescent="0.25"/>
    <row r="45" ht="9.9" customHeight="1" x14ac:dyDescent="0.25"/>
    <row r="46" ht="9.9" customHeight="1" x14ac:dyDescent="0.25"/>
    <row r="47" ht="9.9" customHeight="1" x14ac:dyDescent="0.25"/>
    <row r="48" ht="9.9" customHeight="1" x14ac:dyDescent="0.25"/>
    <row r="49" ht="9.9" customHeight="1" x14ac:dyDescent="0.25"/>
    <row r="50" ht="9.9" customHeight="1" x14ac:dyDescent="0.25"/>
    <row r="51" ht="9.9" customHeight="1" x14ac:dyDescent="0.25"/>
    <row r="52" ht="9.9" customHeight="1" x14ac:dyDescent="0.25"/>
    <row r="53" ht="9.9" customHeight="1" x14ac:dyDescent="0.25"/>
    <row r="54" ht="9.9" customHeight="1" x14ac:dyDescent="0.25"/>
    <row r="55" ht="9.9" customHeight="1" x14ac:dyDescent="0.25"/>
    <row r="56" ht="9.9" customHeight="1" x14ac:dyDescent="0.25"/>
    <row r="57" ht="9.9" customHeight="1" x14ac:dyDescent="0.25"/>
    <row r="58" ht="20.149999999999999" customHeight="1" x14ac:dyDescent="0.25"/>
    <row r="59" ht="20.149999999999999" customHeight="1" x14ac:dyDescent="0.25"/>
    <row r="60" ht="20.149999999999999" customHeight="1" x14ac:dyDescent="0.25"/>
    <row r="61" ht="20.149999999999999" customHeight="1" x14ac:dyDescent="0.25"/>
    <row r="62" ht="20.149999999999999" customHeight="1" x14ac:dyDescent="0.25"/>
    <row r="63" ht="20.149999999999999" customHeight="1" x14ac:dyDescent="0.25"/>
    <row r="64" ht="20.149999999999999" customHeight="1" x14ac:dyDescent="0.25"/>
    <row r="65" ht="20.149999999999999" customHeight="1" x14ac:dyDescent="0.25"/>
    <row r="66" ht="20.149999999999999" customHeight="1" x14ac:dyDescent="0.25"/>
    <row r="67" ht="20.149999999999999" customHeight="1" x14ac:dyDescent="0.25"/>
    <row r="68" ht="20.149999999999999" customHeight="1" x14ac:dyDescent="0.25"/>
    <row r="69" ht="20.149999999999999" customHeight="1" x14ac:dyDescent="0.25"/>
    <row r="70" ht="20.149999999999999" customHeight="1" x14ac:dyDescent="0.25"/>
    <row r="71" ht="20.149999999999999" customHeight="1" x14ac:dyDescent="0.25"/>
    <row r="72" ht="20.149999999999999" customHeight="1" x14ac:dyDescent="0.25"/>
    <row r="73" ht="20.149999999999999" customHeight="1" x14ac:dyDescent="0.25"/>
    <row r="74" ht="20.149999999999999" customHeight="1" x14ac:dyDescent="0.25"/>
    <row r="75" ht="20.149999999999999" customHeight="1" x14ac:dyDescent="0.25"/>
    <row r="76" ht="20.149999999999999" customHeight="1" x14ac:dyDescent="0.25"/>
    <row r="77" ht="20.149999999999999" customHeight="1" x14ac:dyDescent="0.25"/>
    <row r="78" ht="20.149999999999999" customHeight="1" x14ac:dyDescent="0.25"/>
    <row r="79" ht="20.149999999999999" customHeight="1" x14ac:dyDescent="0.25"/>
    <row r="80" ht="20.149999999999999" customHeight="1" x14ac:dyDescent="0.25"/>
    <row r="81" ht="20.149999999999999" customHeight="1" x14ac:dyDescent="0.25"/>
    <row r="82" ht="20.149999999999999" customHeight="1" x14ac:dyDescent="0.25"/>
    <row r="83" ht="20.149999999999999" customHeight="1" x14ac:dyDescent="0.25"/>
    <row r="84" ht="20.149999999999999" customHeight="1" x14ac:dyDescent="0.25"/>
    <row r="85" ht="20.149999999999999" customHeight="1" x14ac:dyDescent="0.25"/>
    <row r="86" ht="20.149999999999999" customHeight="1" x14ac:dyDescent="0.25"/>
    <row r="87" ht="20.149999999999999" customHeight="1" x14ac:dyDescent="0.25"/>
    <row r="88" ht="20.149999999999999" customHeight="1" x14ac:dyDescent="0.25"/>
    <row r="89" ht="20.149999999999999" customHeight="1" x14ac:dyDescent="0.25"/>
    <row r="90" ht="20.149999999999999" customHeight="1" x14ac:dyDescent="0.25"/>
    <row r="91" ht="20.149999999999999" customHeight="1" x14ac:dyDescent="0.25"/>
    <row r="92" ht="20.149999999999999" customHeight="1" x14ac:dyDescent="0.25"/>
    <row r="93" ht="20.149999999999999" customHeight="1" x14ac:dyDescent="0.25"/>
    <row r="94" ht="20.149999999999999" customHeight="1" x14ac:dyDescent="0.25"/>
    <row r="95" ht="20.149999999999999" customHeight="1" x14ac:dyDescent="0.25"/>
    <row r="96" ht="20.149999999999999" customHeight="1" x14ac:dyDescent="0.25"/>
    <row r="97" ht="20.149999999999999" customHeight="1" x14ac:dyDescent="0.25"/>
    <row r="98" ht="20.149999999999999" customHeight="1" x14ac:dyDescent="0.25"/>
    <row r="99" ht="20.149999999999999" customHeight="1" x14ac:dyDescent="0.25"/>
    <row r="100" ht="20.149999999999999" customHeight="1" x14ac:dyDescent="0.25"/>
    <row r="101" ht="20.149999999999999" customHeight="1" x14ac:dyDescent="0.25"/>
    <row r="102" ht="20.149999999999999" customHeight="1" x14ac:dyDescent="0.25"/>
    <row r="103" ht="20.149999999999999" customHeight="1" x14ac:dyDescent="0.25"/>
    <row r="104" ht="20.149999999999999" customHeight="1" x14ac:dyDescent="0.25"/>
    <row r="105" ht="20.149999999999999" customHeight="1" x14ac:dyDescent="0.25"/>
    <row r="106" ht="20.149999999999999" customHeight="1" x14ac:dyDescent="0.25"/>
    <row r="107" ht="20.149999999999999" customHeight="1" x14ac:dyDescent="0.25"/>
    <row r="108" ht="20.149999999999999" customHeight="1" x14ac:dyDescent="0.25"/>
    <row r="109" ht="20.149999999999999" customHeight="1" x14ac:dyDescent="0.25"/>
    <row r="110" ht="20.149999999999999" customHeight="1" x14ac:dyDescent="0.25"/>
    <row r="111" ht="20.149999999999999" customHeight="1" x14ac:dyDescent="0.25"/>
    <row r="112" ht="20.149999999999999" customHeight="1" x14ac:dyDescent="0.25"/>
    <row r="113" ht="20.149999999999999" customHeight="1" x14ac:dyDescent="0.25"/>
    <row r="114" ht="20.149999999999999" customHeight="1" x14ac:dyDescent="0.25"/>
    <row r="115" ht="20.149999999999999" customHeight="1" x14ac:dyDescent="0.25"/>
    <row r="116" ht="20.149999999999999" customHeight="1" x14ac:dyDescent="0.25"/>
    <row r="117" ht="20.149999999999999" customHeight="1" x14ac:dyDescent="0.25"/>
    <row r="118" ht="20.149999999999999" customHeight="1" x14ac:dyDescent="0.25"/>
    <row r="119" ht="20.149999999999999" customHeight="1" x14ac:dyDescent="0.25"/>
    <row r="120" ht="20.149999999999999" customHeight="1" x14ac:dyDescent="0.25"/>
    <row r="121" ht="20.149999999999999" customHeight="1" x14ac:dyDescent="0.25"/>
    <row r="122" ht="20.149999999999999" customHeight="1" x14ac:dyDescent="0.25"/>
    <row r="123" ht="20.149999999999999" customHeight="1" x14ac:dyDescent="0.25"/>
    <row r="124" ht="20.149999999999999" customHeight="1" x14ac:dyDescent="0.25"/>
    <row r="125" ht="20.149999999999999" customHeight="1" x14ac:dyDescent="0.25"/>
    <row r="126" ht="20.149999999999999" customHeight="1" x14ac:dyDescent="0.25"/>
    <row r="127" ht="20.149999999999999" customHeight="1" x14ac:dyDescent="0.25"/>
    <row r="128" ht="20.149999999999999" customHeight="1" x14ac:dyDescent="0.25"/>
    <row r="129" ht="20.149999999999999" customHeight="1" x14ac:dyDescent="0.25"/>
    <row r="130" ht="20.149999999999999" customHeight="1" x14ac:dyDescent="0.25"/>
    <row r="131" ht="20.149999999999999" customHeight="1" x14ac:dyDescent="0.25"/>
    <row r="132" ht="20.149999999999999" customHeight="1" x14ac:dyDescent="0.25"/>
    <row r="133" ht="20.149999999999999" customHeight="1" x14ac:dyDescent="0.25"/>
    <row r="134" ht="20.149999999999999" customHeight="1" x14ac:dyDescent="0.25"/>
    <row r="135" ht="20.149999999999999" customHeight="1" x14ac:dyDescent="0.25"/>
    <row r="136" ht="20.149999999999999" customHeight="1" x14ac:dyDescent="0.25"/>
    <row r="137" ht="20.149999999999999" customHeight="1" x14ac:dyDescent="0.25"/>
    <row r="138" ht="20.149999999999999" customHeight="1" x14ac:dyDescent="0.25"/>
    <row r="139" ht="20.149999999999999" customHeight="1" x14ac:dyDescent="0.25"/>
    <row r="140" ht="20.149999999999999" customHeight="1" x14ac:dyDescent="0.25"/>
    <row r="141" ht="20.149999999999999" customHeight="1" x14ac:dyDescent="0.25"/>
    <row r="142" ht="20.149999999999999" customHeight="1" x14ac:dyDescent="0.25"/>
    <row r="143" ht="20.149999999999999" customHeight="1" x14ac:dyDescent="0.25"/>
    <row r="144" ht="20.149999999999999" customHeight="1" x14ac:dyDescent="0.25"/>
    <row r="145" ht="20.149999999999999" customHeight="1" x14ac:dyDescent="0.25"/>
    <row r="146" ht="20.149999999999999" customHeight="1" x14ac:dyDescent="0.25"/>
    <row r="147" ht="20.149999999999999" customHeight="1" x14ac:dyDescent="0.25"/>
    <row r="148" ht="20.149999999999999" customHeight="1" x14ac:dyDescent="0.25"/>
    <row r="149" ht="20.149999999999999" customHeight="1" x14ac:dyDescent="0.25"/>
    <row r="150" ht="20.149999999999999" customHeight="1" x14ac:dyDescent="0.25"/>
    <row r="151" ht="20.149999999999999" customHeight="1" x14ac:dyDescent="0.25"/>
    <row r="152" ht="20.149999999999999" customHeight="1" x14ac:dyDescent="0.25"/>
    <row r="153" ht="20.149999999999999" customHeight="1" x14ac:dyDescent="0.25"/>
    <row r="154" ht="20.149999999999999" customHeight="1" x14ac:dyDescent="0.25"/>
    <row r="155" ht="20.149999999999999" customHeight="1" x14ac:dyDescent="0.25"/>
    <row r="156" ht="20.149999999999999" customHeight="1" x14ac:dyDescent="0.25"/>
    <row r="157" ht="20.149999999999999" customHeight="1" x14ac:dyDescent="0.25"/>
    <row r="158" ht="20.149999999999999" customHeight="1" x14ac:dyDescent="0.25"/>
    <row r="159" ht="20.149999999999999" customHeight="1" x14ac:dyDescent="0.25"/>
    <row r="160" ht="20.149999999999999" customHeight="1" x14ac:dyDescent="0.25"/>
    <row r="161" ht="20.149999999999999" customHeight="1" x14ac:dyDescent="0.25"/>
    <row r="162" ht="20.149999999999999" customHeight="1" x14ac:dyDescent="0.25"/>
    <row r="163" ht="20.149999999999999" customHeight="1" x14ac:dyDescent="0.25"/>
    <row r="164" ht="20.149999999999999" customHeight="1" x14ac:dyDescent="0.25"/>
    <row r="165" ht="20.149999999999999" customHeight="1" x14ac:dyDescent="0.25"/>
    <row r="166" ht="20.149999999999999" customHeight="1" x14ac:dyDescent="0.25"/>
    <row r="167" ht="20.149999999999999" customHeight="1" x14ac:dyDescent="0.25"/>
    <row r="168" ht="20.149999999999999" customHeight="1" x14ac:dyDescent="0.25"/>
    <row r="169" ht="20.149999999999999" customHeight="1" x14ac:dyDescent="0.25"/>
    <row r="170" ht="20.149999999999999" customHeight="1" x14ac:dyDescent="0.25"/>
    <row r="171" ht="20.149999999999999" customHeight="1" x14ac:dyDescent="0.25"/>
    <row r="172" ht="20.149999999999999" customHeight="1" x14ac:dyDescent="0.25"/>
  </sheetData>
  <mergeCells count="6">
    <mergeCell ref="C2:I2"/>
    <mergeCell ref="C3:I3"/>
    <mergeCell ref="C4:I4"/>
    <mergeCell ref="C5:I5"/>
    <mergeCell ref="C16:I16"/>
    <mergeCell ref="C9:C10"/>
  </mergeCells>
  <phoneticPr fontId="4" type="noConversion"/>
  <printOptions horizontalCentered="1"/>
  <pageMargins left="0.51181102362204722" right="0.35433070866141736" top="0.75" bottom="0.19685039370078741" header="0" footer="0"/>
  <pageSetup paperSize="9" scale="8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6AFB0-4637-417F-A131-B2C2719F09AE}">
  <sheetPr codeName="Hoja10">
    <tabColor rgb="FF0070C0"/>
  </sheetPr>
  <dimension ref="B2:G169"/>
  <sheetViews>
    <sheetView view="pageBreakPreview" topLeftCell="A112" zoomScale="115" zoomScaleNormal="100" zoomScaleSheetLayoutView="115" workbookViewId="0">
      <selection activeCell="H126" sqref="H126"/>
    </sheetView>
  </sheetViews>
  <sheetFormatPr baseColWidth="10" defaultColWidth="11.453125" defaultRowHeight="13" x14ac:dyDescent="0.3"/>
  <cols>
    <col min="1" max="1" width="2.54296875" style="9" customWidth="1"/>
    <col min="2" max="2" width="20.6328125" style="9" customWidth="1"/>
    <col min="3" max="3" width="22.6328125" style="9" customWidth="1"/>
    <col min="4" max="4" width="23.7265625" style="9" customWidth="1"/>
    <col min="5" max="5" width="24.81640625" style="9" customWidth="1"/>
    <col min="6" max="6" width="2.08984375" style="9" customWidth="1"/>
    <col min="7" max="7" width="11.453125" style="9"/>
    <col min="8" max="8" width="20" style="9" customWidth="1"/>
    <col min="9" max="9" width="18" style="9" customWidth="1"/>
    <col min="10" max="11" width="20" style="9" customWidth="1"/>
    <col min="12" max="16384" width="11.453125" style="9"/>
  </cols>
  <sheetData>
    <row r="2" spans="2:7" ht="59.5" customHeight="1" x14ac:dyDescent="0.3">
      <c r="B2" s="109" t="s">
        <v>91</v>
      </c>
      <c r="C2" s="190" t="str">
        <f>'A. Estación'!C2</f>
        <v>“CREACIÓN DEL SERVICIO DE PROTECCIÓN INTEGRAL A NIÑAS, NIÑOS Y ADOLESCENTES SIN CUIDADOS PARENTALES O EN RIESGO DE PERDERLOS EN CENTRO DE ACOGIDA RESIDENCIAL - VARONES DISTRITO DE MORALES DE LA PROVINCIA DE SAN MARTÍN DEL DEPARTAMENTO DE SAN MARTÍN”, con CUI N.° 2705619</v>
      </c>
      <c r="D2" s="190"/>
      <c r="E2" s="190"/>
      <c r="F2" s="19"/>
      <c r="G2" s="19"/>
    </row>
    <row r="3" spans="2:7" ht="18" customHeight="1" x14ac:dyDescent="0.3">
      <c r="B3" s="109" t="s">
        <v>92</v>
      </c>
      <c r="C3" s="190" t="str">
        <f>'A. Estación'!C3</f>
        <v>GERENCIA TERRITORIAL BAJO MAYO</v>
      </c>
      <c r="D3" s="190"/>
      <c r="E3" s="190"/>
    </row>
    <row r="4" spans="2:7" ht="28" customHeight="1" x14ac:dyDescent="0.3">
      <c r="B4" s="109" t="s">
        <v>93</v>
      </c>
      <c r="C4" s="190" t="str">
        <f>'A. Estación'!C4</f>
        <v>SAN MARTIN - SAN MARTIN - MORALES</v>
      </c>
      <c r="D4" s="190"/>
      <c r="E4" s="190"/>
    </row>
    <row r="5" spans="2:7" ht="18" customHeight="1" x14ac:dyDescent="0.3">
      <c r="B5" s="109" t="s">
        <v>94</v>
      </c>
      <c r="C5" s="190" t="str">
        <f>'A. Estación'!C5</f>
        <v>SETIEMBRE 2026</v>
      </c>
      <c r="D5" s="190"/>
      <c r="E5" s="190"/>
    </row>
    <row r="6" spans="2:7" s="1" customFormat="1" x14ac:dyDescent="0.25"/>
    <row r="7" spans="2:7" s="1" customFormat="1" ht="20.149999999999999" customHeight="1" x14ac:dyDescent="0.25">
      <c r="B7" s="4" t="s">
        <v>136</v>
      </c>
    </row>
    <row r="8" spans="2:7" s="1" customFormat="1" x14ac:dyDescent="0.25">
      <c r="B8" s="23"/>
      <c r="C8" s="23"/>
    </row>
    <row r="9" spans="2:7" s="1" customFormat="1" ht="20.149999999999999" customHeight="1" x14ac:dyDescent="0.25">
      <c r="B9" s="189" t="s">
        <v>37</v>
      </c>
      <c r="C9" s="189"/>
      <c r="D9" s="189"/>
      <c r="E9" s="107">
        <f>D.Resumen!L18</f>
        <v>164.07737767641453</v>
      </c>
    </row>
    <row r="10" spans="2:7" s="1" customFormat="1" ht="20.149999999999999" customHeight="1" x14ac:dyDescent="0.25">
      <c r="B10" s="110" t="s">
        <v>38</v>
      </c>
      <c r="C10" s="110" t="s">
        <v>39</v>
      </c>
      <c r="D10" s="110" t="s">
        <v>8</v>
      </c>
      <c r="E10" s="110" t="s">
        <v>40</v>
      </c>
    </row>
    <row r="11" spans="2:7" s="1" customFormat="1" ht="20.149999999999999" customHeight="1" x14ac:dyDescent="0.25">
      <c r="B11" s="104">
        <v>10</v>
      </c>
      <c r="C11" s="105">
        <f>+B11/60</f>
        <v>0.16666666666666666</v>
      </c>
      <c r="D11" s="105">
        <f>+$E$9*(B11/1440)^0.25</f>
        <v>47.365059084702906</v>
      </c>
      <c r="E11" s="105">
        <f>+D11/C11</f>
        <v>284.19035450821747</v>
      </c>
    </row>
    <row r="12" spans="2:7" s="1" customFormat="1" ht="20.149999999999999" customHeight="1" x14ac:dyDescent="0.25">
      <c r="B12" s="104">
        <f>+B11+10</f>
        <v>20</v>
      </c>
      <c r="C12" s="105">
        <f t="shared" ref="C12:C41" si="0">+B12/60</f>
        <v>0.33333333333333331</v>
      </c>
      <c r="D12" s="105">
        <f t="shared" ref="D12:D41" si="1">+$E$9*(B12/1440)^0.25</f>
        <v>56.326865266052977</v>
      </c>
      <c r="E12" s="105">
        <f t="shared" ref="E12:E27" si="2">+D12/C12</f>
        <v>168.98059579815893</v>
      </c>
    </row>
    <row r="13" spans="2:7" s="1" customFormat="1" ht="20.149999999999999" customHeight="1" x14ac:dyDescent="0.25">
      <c r="B13" s="104">
        <f t="shared" ref="B13:B34" si="3">+B12+10</f>
        <v>30</v>
      </c>
      <c r="C13" s="105">
        <f t="shared" si="0"/>
        <v>0.5</v>
      </c>
      <c r="D13" s="105">
        <f t="shared" si="1"/>
        <v>62.335923383336869</v>
      </c>
      <c r="E13" s="105">
        <f t="shared" si="2"/>
        <v>124.67184676667374</v>
      </c>
    </row>
    <row r="14" spans="2:7" s="1" customFormat="1" ht="20.149999999999999" customHeight="1" x14ac:dyDescent="0.25">
      <c r="B14" s="104">
        <f t="shared" si="3"/>
        <v>40</v>
      </c>
      <c r="C14" s="105">
        <f t="shared" si="0"/>
        <v>0.66666666666666663</v>
      </c>
      <c r="D14" s="105">
        <f t="shared" si="1"/>
        <v>66.984308940189834</v>
      </c>
      <c r="E14" s="105">
        <f t="shared" si="2"/>
        <v>100.47646341028475</v>
      </c>
    </row>
    <row r="15" spans="2:7" s="1" customFormat="1" ht="20.149999999999999" customHeight="1" x14ac:dyDescent="0.25">
      <c r="B15" s="104">
        <f t="shared" si="3"/>
        <v>50</v>
      </c>
      <c r="C15" s="105">
        <f t="shared" si="0"/>
        <v>0.83333333333333337</v>
      </c>
      <c r="D15" s="105">
        <f t="shared" si="1"/>
        <v>70.827283374781601</v>
      </c>
      <c r="E15" s="105">
        <f t="shared" si="2"/>
        <v>84.992740049737918</v>
      </c>
    </row>
    <row r="16" spans="2:7" s="1" customFormat="1" ht="20.149999999999999" customHeight="1" x14ac:dyDescent="0.25">
      <c r="B16" s="104">
        <f t="shared" si="3"/>
        <v>60</v>
      </c>
      <c r="C16" s="105">
        <f t="shared" si="0"/>
        <v>1</v>
      </c>
      <c r="D16" s="105">
        <f t="shared" si="1"/>
        <v>74.130323607728698</v>
      </c>
      <c r="E16" s="105">
        <f t="shared" si="2"/>
        <v>74.130323607728698</v>
      </c>
    </row>
    <row r="17" spans="2:5" s="1" customFormat="1" ht="20.149999999999999" customHeight="1" x14ac:dyDescent="0.25">
      <c r="B17" s="104">
        <f t="shared" si="3"/>
        <v>70</v>
      </c>
      <c r="C17" s="105">
        <f t="shared" si="0"/>
        <v>1.1666666666666667</v>
      </c>
      <c r="D17" s="105">
        <f t="shared" si="1"/>
        <v>77.042894950608542</v>
      </c>
      <c r="E17" s="105">
        <f t="shared" si="2"/>
        <v>66.036767100521601</v>
      </c>
    </row>
    <row r="18" spans="2:5" s="1" customFormat="1" ht="20.149999999999999" customHeight="1" x14ac:dyDescent="0.25">
      <c r="B18" s="104">
        <f t="shared" si="3"/>
        <v>80</v>
      </c>
      <c r="C18" s="105">
        <f t="shared" si="0"/>
        <v>1.3333333333333333</v>
      </c>
      <c r="D18" s="105">
        <f t="shared" si="1"/>
        <v>79.658216785214123</v>
      </c>
      <c r="E18" s="105">
        <f t="shared" si="2"/>
        <v>59.743662588910595</v>
      </c>
    </row>
    <row r="19" spans="2:5" s="1" customFormat="1" ht="20.149999999999999" customHeight="1" x14ac:dyDescent="0.25">
      <c r="B19" s="104">
        <f t="shared" si="3"/>
        <v>90</v>
      </c>
      <c r="C19" s="105">
        <f t="shared" si="0"/>
        <v>1.5</v>
      </c>
      <c r="D19" s="105">
        <f t="shared" si="1"/>
        <v>82.038688838207264</v>
      </c>
      <c r="E19" s="105">
        <f t="shared" si="2"/>
        <v>54.692459225471509</v>
      </c>
    </row>
    <row r="20" spans="2:5" s="1" customFormat="1" ht="20.149999999999999" customHeight="1" x14ac:dyDescent="0.25">
      <c r="B20" s="104">
        <f t="shared" si="3"/>
        <v>100</v>
      </c>
      <c r="C20" s="105">
        <f t="shared" si="0"/>
        <v>1.6666666666666667</v>
      </c>
      <c r="D20" s="105">
        <f t="shared" si="1"/>
        <v>84.228309325604201</v>
      </c>
      <c r="E20" s="105">
        <f t="shared" si="2"/>
        <v>50.536985595362516</v>
      </c>
    </row>
    <row r="21" spans="2:5" s="1" customFormat="1" ht="20.149999999999999" customHeight="1" x14ac:dyDescent="0.25">
      <c r="B21" s="104">
        <f t="shared" si="3"/>
        <v>110</v>
      </c>
      <c r="C21" s="105">
        <f t="shared" si="0"/>
        <v>1.8333333333333333</v>
      </c>
      <c r="D21" s="105">
        <f t="shared" si="1"/>
        <v>86.259364588790305</v>
      </c>
      <c r="E21" s="105">
        <f t="shared" si="2"/>
        <v>47.050562502976533</v>
      </c>
    </row>
    <row r="22" spans="2:5" s="1" customFormat="1" ht="20.149999999999999" customHeight="1" x14ac:dyDescent="0.25">
      <c r="B22" s="104">
        <f t="shared" si="3"/>
        <v>120</v>
      </c>
      <c r="C22" s="105">
        <f t="shared" si="0"/>
        <v>2</v>
      </c>
      <c r="D22" s="105">
        <f t="shared" si="1"/>
        <v>88.156308271765155</v>
      </c>
      <c r="E22" s="105">
        <f t="shared" si="2"/>
        <v>44.078154135882578</v>
      </c>
    </row>
    <row r="23" spans="2:5" s="1" customFormat="1" ht="20.149999999999999" customHeight="1" x14ac:dyDescent="0.25">
      <c r="B23" s="104">
        <f t="shared" si="3"/>
        <v>130</v>
      </c>
      <c r="C23" s="105">
        <f t="shared" si="0"/>
        <v>2.1666666666666665</v>
      </c>
      <c r="D23" s="105">
        <f t="shared" si="1"/>
        <v>89.938144087764314</v>
      </c>
      <c r="E23" s="105">
        <f t="shared" si="2"/>
        <v>41.509912655891227</v>
      </c>
    </row>
    <row r="24" spans="2:5" s="1" customFormat="1" ht="20.149999999999999" customHeight="1" x14ac:dyDescent="0.25">
      <c r="B24" s="104">
        <f t="shared" si="3"/>
        <v>140</v>
      </c>
      <c r="C24" s="105">
        <f t="shared" si="0"/>
        <v>2.3333333333333335</v>
      </c>
      <c r="D24" s="105">
        <f t="shared" si="1"/>
        <v>91.619958835670886</v>
      </c>
      <c r="E24" s="105">
        <f t="shared" si="2"/>
        <v>39.265696643858952</v>
      </c>
    </row>
    <row r="25" spans="2:5" s="1" customFormat="1" ht="20.149999999999999" customHeight="1" x14ac:dyDescent="0.25">
      <c r="B25" s="104">
        <f t="shared" si="3"/>
        <v>150</v>
      </c>
      <c r="C25" s="105">
        <f t="shared" si="0"/>
        <v>2.5</v>
      </c>
      <c r="D25" s="105">
        <f t="shared" si="1"/>
        <v>93.21394705757217</v>
      </c>
      <c r="E25" s="105">
        <f t="shared" si="2"/>
        <v>37.285578823028871</v>
      </c>
    </row>
    <row r="26" spans="2:5" s="1" customFormat="1" ht="20.149999999999999" customHeight="1" x14ac:dyDescent="0.25">
      <c r="B26" s="104">
        <f t="shared" si="3"/>
        <v>160</v>
      </c>
      <c r="C26" s="105">
        <f t="shared" si="0"/>
        <v>2.6666666666666665</v>
      </c>
      <c r="D26" s="105">
        <f t="shared" si="1"/>
        <v>94.730118169405813</v>
      </c>
      <c r="E26" s="105">
        <f t="shared" si="2"/>
        <v>35.523794313527183</v>
      </c>
    </row>
    <row r="27" spans="2:5" s="1" customFormat="1" ht="20.149999999999999" customHeight="1" x14ac:dyDescent="0.25">
      <c r="B27" s="104">
        <f t="shared" si="3"/>
        <v>170</v>
      </c>
      <c r="C27" s="105">
        <f t="shared" si="0"/>
        <v>2.8333333333333335</v>
      </c>
      <c r="D27" s="105">
        <f t="shared" si="1"/>
        <v>96.176797925357718</v>
      </c>
      <c r="E27" s="105">
        <f t="shared" si="2"/>
        <v>33.94475220894978</v>
      </c>
    </row>
    <row r="28" spans="2:5" s="1" customFormat="1" ht="20.149999999999999" customHeight="1" x14ac:dyDescent="0.25">
      <c r="B28" s="104">
        <f t="shared" si="3"/>
        <v>180</v>
      </c>
      <c r="C28" s="105">
        <f t="shared" si="0"/>
        <v>3</v>
      </c>
      <c r="D28" s="105">
        <f t="shared" si="1"/>
        <v>97.560992471890387</v>
      </c>
      <c r="E28" s="105">
        <f>+D28/C28</f>
        <v>32.520330823963462</v>
      </c>
    </row>
    <row r="29" spans="2:5" s="1" customFormat="1" ht="20.149999999999999" customHeight="1" x14ac:dyDescent="0.25">
      <c r="B29" s="104">
        <f t="shared" si="3"/>
        <v>190</v>
      </c>
      <c r="C29" s="105">
        <f t="shared" si="0"/>
        <v>3.1666666666666665</v>
      </c>
      <c r="D29" s="105">
        <f t="shared" si="1"/>
        <v>98.88865809852976</v>
      </c>
      <c r="E29" s="105">
        <f t="shared" ref="E29:E41" si="4">+D29/C29</f>
        <v>31.227997294272559</v>
      </c>
    </row>
    <row r="30" spans="2:5" s="1" customFormat="1" ht="20.149999999999999" customHeight="1" x14ac:dyDescent="0.25">
      <c r="B30" s="104">
        <f t="shared" si="3"/>
        <v>200</v>
      </c>
      <c r="C30" s="105">
        <f t="shared" si="0"/>
        <v>3.3333333333333335</v>
      </c>
      <c r="D30" s="105">
        <f t="shared" si="1"/>
        <v>100.16490473465858</v>
      </c>
      <c r="E30" s="105">
        <f t="shared" si="4"/>
        <v>30.049471420397573</v>
      </c>
    </row>
    <row r="31" spans="2:5" s="1" customFormat="1" ht="20.149999999999999" customHeight="1" x14ac:dyDescent="0.25">
      <c r="B31" s="104">
        <f t="shared" si="3"/>
        <v>210</v>
      </c>
      <c r="C31" s="105">
        <f t="shared" si="0"/>
        <v>3.5</v>
      </c>
      <c r="D31" s="105">
        <f t="shared" si="1"/>
        <v>101.3941519271247</v>
      </c>
      <c r="E31" s="105">
        <f t="shared" si="4"/>
        <v>28.969757693464199</v>
      </c>
    </row>
    <row r="32" spans="2:5" s="1" customFormat="1" ht="20.149999999999999" customHeight="1" x14ac:dyDescent="0.25">
      <c r="B32" s="104">
        <f t="shared" si="3"/>
        <v>220</v>
      </c>
      <c r="C32" s="105">
        <f t="shared" si="0"/>
        <v>3.6666666666666665</v>
      </c>
      <c r="D32" s="105">
        <f t="shared" si="1"/>
        <v>102.58025010460319</v>
      </c>
      <c r="E32" s="105">
        <f t="shared" si="4"/>
        <v>27.976431846709964</v>
      </c>
    </row>
    <row r="33" spans="2:5" s="1" customFormat="1" ht="20.149999999999999" customHeight="1" x14ac:dyDescent="0.25">
      <c r="B33" s="104">
        <f t="shared" si="3"/>
        <v>230</v>
      </c>
      <c r="C33" s="105">
        <f t="shared" si="0"/>
        <v>3.8333333333333335</v>
      </c>
      <c r="D33" s="105">
        <f t="shared" si="1"/>
        <v>103.72657606396487</v>
      </c>
      <c r="E33" s="105">
        <f t="shared" si="4"/>
        <v>27.059106799295183</v>
      </c>
    </row>
    <row r="34" spans="2:5" s="1" customFormat="1" ht="20.149999999999999" customHeight="1" x14ac:dyDescent="0.25">
      <c r="B34" s="104">
        <f t="shared" si="3"/>
        <v>240</v>
      </c>
      <c r="C34" s="105">
        <f t="shared" si="0"/>
        <v>4</v>
      </c>
      <c r="D34" s="105">
        <f t="shared" si="1"/>
        <v>104.83610902915635</v>
      </c>
      <c r="E34" s="105">
        <f t="shared" si="4"/>
        <v>26.209027257289087</v>
      </c>
    </row>
    <row r="35" spans="2:5" s="1" customFormat="1" ht="20.149999999999999" customHeight="1" x14ac:dyDescent="0.25">
      <c r="B35" s="104">
        <v>300</v>
      </c>
      <c r="C35" s="105">
        <f t="shared" si="0"/>
        <v>5</v>
      </c>
      <c r="D35" s="105">
        <f t="shared" si="1"/>
        <v>110.85068905835179</v>
      </c>
      <c r="E35" s="105">
        <f t="shared" si="4"/>
        <v>22.170137811670358</v>
      </c>
    </row>
    <row r="36" spans="2:5" s="1" customFormat="1" ht="20.149999999999999" customHeight="1" x14ac:dyDescent="0.25">
      <c r="B36" s="104">
        <v>360</v>
      </c>
      <c r="C36" s="105">
        <f t="shared" si="0"/>
        <v>6</v>
      </c>
      <c r="D36" s="105">
        <f t="shared" si="1"/>
        <v>116.02022639429897</v>
      </c>
      <c r="E36" s="105">
        <f t="shared" si="4"/>
        <v>19.336704399049829</v>
      </c>
    </row>
    <row r="37" spans="2:5" s="1" customFormat="1" ht="20.149999999999999" customHeight="1" x14ac:dyDescent="0.25">
      <c r="B37" s="104">
        <v>420</v>
      </c>
      <c r="C37" s="105">
        <f t="shared" si="0"/>
        <v>7</v>
      </c>
      <c r="D37" s="105">
        <f t="shared" si="1"/>
        <v>120.57864689140354</v>
      </c>
      <c r="E37" s="105">
        <f t="shared" si="4"/>
        <v>17.22552098448622</v>
      </c>
    </row>
    <row r="38" spans="2:5" s="1" customFormat="1" ht="20.149999999999999" customHeight="1" x14ac:dyDescent="0.25">
      <c r="B38" s="104">
        <v>480</v>
      </c>
      <c r="C38" s="105">
        <f t="shared" si="0"/>
        <v>8</v>
      </c>
      <c r="D38" s="105">
        <f t="shared" si="1"/>
        <v>124.67184676667374</v>
      </c>
      <c r="E38" s="105">
        <f t="shared" si="4"/>
        <v>15.583980845834217</v>
      </c>
    </row>
    <row r="39" spans="2:5" s="1" customFormat="1" ht="20.149999999999999" customHeight="1" x14ac:dyDescent="0.25">
      <c r="B39" s="104">
        <v>600</v>
      </c>
      <c r="C39" s="105">
        <f t="shared" si="0"/>
        <v>10</v>
      </c>
      <c r="D39" s="105">
        <f t="shared" si="1"/>
        <v>131.82442813114622</v>
      </c>
      <c r="E39" s="105">
        <f t="shared" si="4"/>
        <v>13.182442813114623</v>
      </c>
    </row>
    <row r="40" spans="2:5" s="1" customFormat="1" ht="20.149999999999999" customHeight="1" x14ac:dyDescent="0.25">
      <c r="B40" s="104">
        <v>660</v>
      </c>
      <c r="C40" s="105">
        <f t="shared" si="0"/>
        <v>11</v>
      </c>
      <c r="D40" s="105">
        <f t="shared" si="1"/>
        <v>135.00320140483547</v>
      </c>
      <c r="E40" s="105">
        <f t="shared" si="4"/>
        <v>12.273018309530498</v>
      </c>
    </row>
    <row r="41" spans="2:5" s="1" customFormat="1" ht="20.149999999999999" customHeight="1" x14ac:dyDescent="0.25">
      <c r="B41" s="104">
        <v>720</v>
      </c>
      <c r="C41" s="105">
        <f t="shared" si="0"/>
        <v>12</v>
      </c>
      <c r="D41" s="105">
        <f t="shared" si="1"/>
        <v>137.97207871232681</v>
      </c>
      <c r="E41" s="105">
        <f t="shared" si="4"/>
        <v>11.497673226027233</v>
      </c>
    </row>
    <row r="42" spans="2:5" s="1" customFormat="1" ht="20.149999999999999" customHeight="1" x14ac:dyDescent="0.25">
      <c r="B42" s="2"/>
      <c r="C42" s="100"/>
      <c r="D42" s="100"/>
      <c r="E42" s="100"/>
    </row>
    <row r="43" spans="2:5" s="1" customFormat="1" x14ac:dyDescent="0.25"/>
    <row r="44" spans="2:5" s="1" customFormat="1" ht="20.149999999999999" customHeight="1" x14ac:dyDescent="0.25">
      <c r="B44" s="189" t="s">
        <v>41</v>
      </c>
      <c r="C44" s="189"/>
      <c r="D44" s="189"/>
      <c r="E44" s="107">
        <f>D.Resumen!L16</f>
        <v>141.82058677652495</v>
      </c>
    </row>
    <row r="45" spans="2:5" s="1" customFormat="1" ht="20.149999999999999" customHeight="1" x14ac:dyDescent="0.25">
      <c r="B45" s="110" t="s">
        <v>38</v>
      </c>
      <c r="C45" s="110" t="s">
        <v>39</v>
      </c>
      <c r="D45" s="110" t="s">
        <v>8</v>
      </c>
      <c r="E45" s="110" t="s">
        <v>40</v>
      </c>
    </row>
    <row r="46" spans="2:5" s="1" customFormat="1" ht="20.149999999999999" customHeight="1" x14ac:dyDescent="0.25">
      <c r="B46" s="104">
        <v>10</v>
      </c>
      <c r="C46" s="105">
        <f>+B46/60</f>
        <v>0.16666666666666666</v>
      </c>
      <c r="D46" s="105">
        <f>+$E$44*(B46/1440)^0.25</f>
        <v>40.940076976028678</v>
      </c>
      <c r="E46" s="105">
        <f t="shared" ref="E46:E62" si="5">+D46/C46</f>
        <v>245.64046185617207</v>
      </c>
    </row>
    <row r="47" spans="2:5" s="1" customFormat="1" ht="20.149999999999999" customHeight="1" x14ac:dyDescent="0.25">
      <c r="B47" s="104">
        <f>+B46+10</f>
        <v>20</v>
      </c>
      <c r="C47" s="105">
        <f t="shared" ref="C47:C76" si="6">+B47/60</f>
        <v>0.33333333333333331</v>
      </c>
      <c r="D47" s="105">
        <f t="shared" ref="D47:D76" si="7">+$E$44*(B47/1440)^0.25</f>
        <v>48.686230828652391</v>
      </c>
      <c r="E47" s="105">
        <f t="shared" si="5"/>
        <v>146.05869248595718</v>
      </c>
    </row>
    <row r="48" spans="2:5" s="1" customFormat="1" ht="20.149999999999999" customHeight="1" x14ac:dyDescent="0.25">
      <c r="B48" s="104">
        <f t="shared" ref="B48:B69" si="8">+B47+10</f>
        <v>30</v>
      </c>
      <c r="C48" s="105">
        <f t="shared" si="6"/>
        <v>0.5</v>
      </c>
      <c r="D48" s="105">
        <f t="shared" si="7"/>
        <v>53.880171396426007</v>
      </c>
      <c r="E48" s="105">
        <f t="shared" si="5"/>
        <v>107.76034279285201</v>
      </c>
    </row>
    <row r="49" spans="2:5" s="1" customFormat="1" ht="20.149999999999999" customHeight="1" x14ac:dyDescent="0.25">
      <c r="B49" s="104">
        <f t="shared" si="8"/>
        <v>40</v>
      </c>
      <c r="C49" s="105">
        <f t="shared" si="6"/>
        <v>0.66666666666666663</v>
      </c>
      <c r="D49" s="105">
        <f t="shared" si="7"/>
        <v>57.89801210409825</v>
      </c>
      <c r="E49" s="105">
        <f t="shared" si="5"/>
        <v>86.847018156147385</v>
      </c>
    </row>
    <row r="50" spans="2:5" s="1" customFormat="1" ht="20.149999999999999" customHeight="1" x14ac:dyDescent="0.25">
      <c r="B50" s="104">
        <f t="shared" si="8"/>
        <v>50</v>
      </c>
      <c r="C50" s="105">
        <f t="shared" si="6"/>
        <v>0.83333333333333337</v>
      </c>
      <c r="D50" s="105">
        <f t="shared" si="7"/>
        <v>61.219694209207439</v>
      </c>
      <c r="E50" s="105">
        <f t="shared" si="5"/>
        <v>73.46363305104893</v>
      </c>
    </row>
    <row r="51" spans="2:5" s="1" customFormat="1" ht="20.149999999999999" customHeight="1" x14ac:dyDescent="0.25">
      <c r="B51" s="104">
        <f t="shared" si="8"/>
        <v>60</v>
      </c>
      <c r="C51" s="105">
        <f t="shared" si="6"/>
        <v>1</v>
      </c>
      <c r="D51" s="105">
        <f t="shared" si="7"/>
        <v>64.074683182195898</v>
      </c>
      <c r="E51" s="105">
        <f t="shared" si="5"/>
        <v>64.074683182195898</v>
      </c>
    </row>
    <row r="52" spans="2:5" s="1" customFormat="1" ht="20.149999999999999" customHeight="1" x14ac:dyDescent="0.25">
      <c r="B52" s="104">
        <f t="shared" si="8"/>
        <v>70</v>
      </c>
      <c r="C52" s="105">
        <f t="shared" si="6"/>
        <v>1.1666666666666667</v>
      </c>
      <c r="D52" s="105">
        <f t="shared" si="7"/>
        <v>66.592169643311422</v>
      </c>
      <c r="E52" s="105">
        <f t="shared" si="5"/>
        <v>57.079002551409786</v>
      </c>
    </row>
    <row r="53" spans="2:5" s="1" customFormat="1" ht="20.149999999999999" customHeight="1" x14ac:dyDescent="0.25">
      <c r="B53" s="104">
        <f t="shared" si="8"/>
        <v>80</v>
      </c>
      <c r="C53" s="105">
        <f t="shared" si="6"/>
        <v>1.3333333333333333</v>
      </c>
      <c r="D53" s="105">
        <f t="shared" si="7"/>
        <v>68.852727938707289</v>
      </c>
      <c r="E53" s="105">
        <f t="shared" si="5"/>
        <v>51.639545954030467</v>
      </c>
    </row>
    <row r="54" spans="2:5" s="1" customFormat="1" ht="20.149999999999999" customHeight="1" x14ac:dyDescent="0.25">
      <c r="B54" s="104">
        <f t="shared" si="8"/>
        <v>90</v>
      </c>
      <c r="C54" s="105">
        <f t="shared" si="6"/>
        <v>1.5</v>
      </c>
      <c r="D54" s="105">
        <f t="shared" si="7"/>
        <v>70.910293388262474</v>
      </c>
      <c r="E54" s="105">
        <f t="shared" si="5"/>
        <v>47.273528925508316</v>
      </c>
    </row>
    <row r="55" spans="2:5" s="1" customFormat="1" ht="20.149999999999999" customHeight="1" x14ac:dyDescent="0.25">
      <c r="B55" s="104">
        <f t="shared" si="8"/>
        <v>100</v>
      </c>
      <c r="C55" s="105">
        <f t="shared" si="6"/>
        <v>1.6666666666666667</v>
      </c>
      <c r="D55" s="105">
        <f t="shared" si="7"/>
        <v>72.802895931880357</v>
      </c>
      <c r="E55" s="105">
        <f t="shared" si="5"/>
        <v>43.681737559128216</v>
      </c>
    </row>
    <row r="56" spans="2:5" s="1" customFormat="1" ht="20.149999999999999" customHeight="1" x14ac:dyDescent="0.25">
      <c r="B56" s="104">
        <f t="shared" si="8"/>
        <v>110</v>
      </c>
      <c r="C56" s="105">
        <f t="shared" si="6"/>
        <v>1.8333333333333333</v>
      </c>
      <c r="D56" s="105">
        <f t="shared" si="7"/>
        <v>74.558442328828946</v>
      </c>
      <c r="E56" s="105">
        <f t="shared" si="5"/>
        <v>40.668241270270336</v>
      </c>
    </row>
    <row r="57" spans="2:5" s="1" customFormat="1" ht="20.149999999999999" customHeight="1" x14ac:dyDescent="0.25">
      <c r="B57" s="104">
        <f t="shared" si="8"/>
        <v>120</v>
      </c>
      <c r="C57" s="105">
        <f t="shared" si="6"/>
        <v>2</v>
      </c>
      <c r="D57" s="105">
        <f t="shared" si="7"/>
        <v>76.198069131812574</v>
      </c>
      <c r="E57" s="105">
        <f t="shared" si="5"/>
        <v>38.099034565906287</v>
      </c>
    </row>
    <row r="58" spans="2:5" s="1" customFormat="1" ht="20.149999999999999" customHeight="1" x14ac:dyDescent="0.25">
      <c r="B58" s="104">
        <f t="shared" si="8"/>
        <v>130</v>
      </c>
      <c r="C58" s="105">
        <f t="shared" si="6"/>
        <v>2.1666666666666665</v>
      </c>
      <c r="D58" s="105">
        <f t="shared" si="7"/>
        <v>77.73820223573621</v>
      </c>
      <c r="E58" s="105">
        <f t="shared" si="5"/>
        <v>35.879170262647484</v>
      </c>
    </row>
    <row r="59" spans="2:5" s="1" customFormat="1" ht="20.149999999999999" customHeight="1" x14ac:dyDescent="0.25">
      <c r="B59" s="104">
        <f t="shared" si="8"/>
        <v>140</v>
      </c>
      <c r="C59" s="105">
        <f t="shared" si="6"/>
        <v>2.3333333333333335</v>
      </c>
      <c r="D59" s="105">
        <f t="shared" si="7"/>
        <v>79.191881943294149</v>
      </c>
      <c r="E59" s="105">
        <f t="shared" si="5"/>
        <v>33.939377975697489</v>
      </c>
    </row>
    <row r="60" spans="2:5" s="1" customFormat="1" ht="20.149999999999999" customHeight="1" x14ac:dyDescent="0.25">
      <c r="B60" s="104">
        <f t="shared" si="8"/>
        <v>150</v>
      </c>
      <c r="C60" s="105">
        <f t="shared" si="6"/>
        <v>2.5</v>
      </c>
      <c r="D60" s="105">
        <f t="shared" si="7"/>
        <v>80.569648629636092</v>
      </c>
      <c r="E60" s="105">
        <f t="shared" si="5"/>
        <v>32.227859451854435</v>
      </c>
    </row>
    <row r="61" spans="2:5" s="1" customFormat="1" ht="20.149999999999999" customHeight="1" x14ac:dyDescent="0.25">
      <c r="B61" s="104">
        <f t="shared" si="8"/>
        <v>160</v>
      </c>
      <c r="C61" s="105">
        <f t="shared" si="6"/>
        <v>2.6666666666666665</v>
      </c>
      <c r="D61" s="105">
        <f t="shared" si="7"/>
        <v>81.880153952057356</v>
      </c>
      <c r="E61" s="105">
        <f t="shared" si="5"/>
        <v>30.705057732021508</v>
      </c>
    </row>
    <row r="62" spans="2:5" s="1" customFormat="1" ht="20.149999999999999" customHeight="1" x14ac:dyDescent="0.25">
      <c r="B62" s="104">
        <f t="shared" si="8"/>
        <v>170</v>
      </c>
      <c r="C62" s="105">
        <f t="shared" si="6"/>
        <v>2.8333333333333335</v>
      </c>
      <c r="D62" s="105">
        <f t="shared" si="7"/>
        <v>83.130594291684446</v>
      </c>
      <c r="E62" s="105">
        <f t="shared" si="5"/>
        <v>29.340209750006274</v>
      </c>
    </row>
    <row r="63" spans="2:5" s="1" customFormat="1" ht="20.149999999999999" customHeight="1" x14ac:dyDescent="0.25">
      <c r="B63" s="104">
        <f t="shared" si="8"/>
        <v>180</v>
      </c>
      <c r="C63" s="105">
        <f t="shared" si="6"/>
        <v>3</v>
      </c>
      <c r="D63" s="105">
        <f t="shared" si="7"/>
        <v>84.327025424252142</v>
      </c>
      <c r="E63" s="105">
        <f>+D63/C63</f>
        <v>28.109008474750713</v>
      </c>
    </row>
    <row r="64" spans="2:5" s="1" customFormat="1" ht="20.149999999999999" customHeight="1" x14ac:dyDescent="0.25">
      <c r="B64" s="104">
        <f t="shared" si="8"/>
        <v>190</v>
      </c>
      <c r="C64" s="105">
        <f t="shared" si="6"/>
        <v>3.1666666666666665</v>
      </c>
      <c r="D64" s="105">
        <f t="shared" si="7"/>
        <v>85.474595679698055</v>
      </c>
      <c r="E64" s="105">
        <f t="shared" ref="E64:E76" si="9">+D64/C64</f>
        <v>26.991977583062546</v>
      </c>
    </row>
    <row r="65" spans="2:5" s="1" customFormat="1" ht="20.149999999999999" customHeight="1" x14ac:dyDescent="0.25">
      <c r="B65" s="104">
        <f t="shared" si="8"/>
        <v>200</v>
      </c>
      <c r="C65" s="105">
        <f t="shared" si="6"/>
        <v>3.3333333333333335</v>
      </c>
      <c r="D65" s="105">
        <f t="shared" si="7"/>
        <v>86.57772183499479</v>
      </c>
      <c r="E65" s="105">
        <f t="shared" si="9"/>
        <v>25.973316550498435</v>
      </c>
    </row>
    <row r="66" spans="2:5" s="1" customFormat="1" ht="20.149999999999999" customHeight="1" x14ac:dyDescent="0.25">
      <c r="B66" s="104">
        <f t="shared" si="8"/>
        <v>210</v>
      </c>
      <c r="C66" s="105">
        <f t="shared" si="6"/>
        <v>3.5</v>
      </c>
      <c r="D66" s="105">
        <f t="shared" si="7"/>
        <v>87.640223933686002</v>
      </c>
      <c r="E66" s="105">
        <f t="shared" si="9"/>
        <v>25.040063981053144</v>
      </c>
    </row>
    <row r="67" spans="2:5" s="1" customFormat="1" ht="20.149999999999999" customHeight="1" x14ac:dyDescent="0.25">
      <c r="B67" s="104">
        <f t="shared" si="8"/>
        <v>220</v>
      </c>
      <c r="C67" s="105">
        <f t="shared" si="6"/>
        <v>3.6666666666666665</v>
      </c>
      <c r="D67" s="105">
        <f t="shared" si="7"/>
        <v>88.665430100963434</v>
      </c>
      <c r="E67" s="105">
        <f t="shared" si="9"/>
        <v>24.181480936626393</v>
      </c>
    </row>
    <row r="68" spans="2:5" s="1" customFormat="1" ht="20.149999999999999" customHeight="1" x14ac:dyDescent="0.25">
      <c r="B68" s="104">
        <f t="shared" si="8"/>
        <v>230</v>
      </c>
      <c r="C68" s="105">
        <f t="shared" si="6"/>
        <v>3.8333333333333335</v>
      </c>
      <c r="D68" s="105">
        <f t="shared" si="7"/>
        <v>89.656259077487263</v>
      </c>
      <c r="E68" s="105">
        <f t="shared" si="9"/>
        <v>23.388589324561895</v>
      </c>
    </row>
    <row r="69" spans="2:5" s="1" customFormat="1" ht="20.149999999999999" customHeight="1" x14ac:dyDescent="0.25">
      <c r="B69" s="104">
        <f t="shared" si="8"/>
        <v>240</v>
      </c>
      <c r="C69" s="105">
        <f t="shared" si="6"/>
        <v>4</v>
      </c>
      <c r="D69" s="105">
        <f t="shared" si="7"/>
        <v>90.615285961020703</v>
      </c>
      <c r="E69" s="105">
        <f t="shared" si="9"/>
        <v>22.653821490255176</v>
      </c>
    </row>
    <row r="70" spans="2:5" s="1" customFormat="1" ht="20.149999999999999" customHeight="1" x14ac:dyDescent="0.25">
      <c r="B70" s="104">
        <v>300</v>
      </c>
      <c r="C70" s="105">
        <f t="shared" si="6"/>
        <v>5</v>
      </c>
      <c r="D70" s="105">
        <f t="shared" si="7"/>
        <v>95.813999403632494</v>
      </c>
      <c r="E70" s="105">
        <f t="shared" si="9"/>
        <v>19.162799880726499</v>
      </c>
    </row>
    <row r="71" spans="2:5" s="1" customFormat="1" ht="20.149999999999999" customHeight="1" x14ac:dyDescent="0.25">
      <c r="B71" s="104">
        <v>360</v>
      </c>
      <c r="C71" s="105">
        <f t="shared" si="6"/>
        <v>6</v>
      </c>
      <c r="D71" s="105">
        <f t="shared" si="7"/>
        <v>100.28229862153601</v>
      </c>
      <c r="E71" s="105">
        <f t="shared" si="9"/>
        <v>16.71371643692267</v>
      </c>
    </row>
    <row r="72" spans="2:5" s="1" customFormat="1" ht="20.149999999999999" customHeight="1" x14ac:dyDescent="0.25">
      <c r="B72" s="104">
        <v>420</v>
      </c>
      <c r="C72" s="105">
        <f t="shared" si="6"/>
        <v>7</v>
      </c>
      <c r="D72" s="105">
        <f t="shared" si="7"/>
        <v>104.22237786237115</v>
      </c>
      <c r="E72" s="105">
        <f t="shared" si="9"/>
        <v>14.888911123195879</v>
      </c>
    </row>
    <row r="73" spans="2:5" s="1" customFormat="1" ht="20.149999999999999" customHeight="1" x14ac:dyDescent="0.25">
      <c r="B73" s="104">
        <v>480</v>
      </c>
      <c r="C73" s="105">
        <f t="shared" si="6"/>
        <v>8</v>
      </c>
      <c r="D73" s="105">
        <f t="shared" si="7"/>
        <v>107.76034279285201</v>
      </c>
      <c r="E73" s="105">
        <f t="shared" si="9"/>
        <v>13.470042849106502</v>
      </c>
    </row>
    <row r="74" spans="2:5" s="1" customFormat="1" ht="20.149999999999999" customHeight="1" x14ac:dyDescent="0.25">
      <c r="B74" s="104">
        <v>600</v>
      </c>
      <c r="C74" s="105">
        <f t="shared" si="6"/>
        <v>10</v>
      </c>
      <c r="D74" s="105">
        <f t="shared" si="7"/>
        <v>113.94268980766623</v>
      </c>
      <c r="E74" s="105">
        <f t="shared" si="9"/>
        <v>11.394268980766622</v>
      </c>
    </row>
    <row r="75" spans="2:5" s="1" customFormat="1" ht="20.149999999999999" customHeight="1" x14ac:dyDescent="0.25">
      <c r="B75" s="104">
        <v>660</v>
      </c>
      <c r="C75" s="105">
        <f t="shared" si="6"/>
        <v>11</v>
      </c>
      <c r="D75" s="105">
        <f t="shared" si="7"/>
        <v>116.69026840313366</v>
      </c>
      <c r="E75" s="105">
        <f t="shared" si="9"/>
        <v>10.608206218466696</v>
      </c>
    </row>
    <row r="76" spans="2:5" s="1" customFormat="1" ht="20.149999999999999" customHeight="1" x14ac:dyDescent="0.25">
      <c r="B76" s="104">
        <v>720</v>
      </c>
      <c r="C76" s="105">
        <f t="shared" si="6"/>
        <v>12</v>
      </c>
      <c r="D76" s="105">
        <f t="shared" si="7"/>
        <v>119.25642302955818</v>
      </c>
      <c r="E76" s="105">
        <f t="shared" si="9"/>
        <v>9.9380352524631821</v>
      </c>
    </row>
    <row r="77" spans="2:5" s="1" customFormat="1" ht="20.149999999999999" customHeight="1" x14ac:dyDescent="0.25">
      <c r="B77" s="2"/>
      <c r="C77" s="100"/>
      <c r="D77" s="100"/>
      <c r="E77" s="100"/>
    </row>
    <row r="78" spans="2:5" s="1" customFormat="1" x14ac:dyDescent="0.25"/>
    <row r="79" spans="2:5" s="1" customFormat="1" ht="20.149999999999999" customHeight="1" x14ac:dyDescent="0.25">
      <c r="B79" s="189" t="s">
        <v>42</v>
      </c>
      <c r="C79" s="189"/>
      <c r="D79" s="189"/>
      <c r="E79" s="107">
        <f>D.Resumen!L15</f>
        <v>131.96509162994809</v>
      </c>
    </row>
    <row r="80" spans="2:5" s="1" customFormat="1" ht="20.149999999999999" customHeight="1" x14ac:dyDescent="0.25">
      <c r="B80" s="110" t="s">
        <v>38</v>
      </c>
      <c r="C80" s="110" t="s">
        <v>39</v>
      </c>
      <c r="D80" s="110" t="s">
        <v>8</v>
      </c>
      <c r="E80" s="110" t="s">
        <v>40</v>
      </c>
    </row>
    <row r="81" spans="2:5" s="1" customFormat="1" ht="20.149999999999999" customHeight="1" x14ac:dyDescent="0.25">
      <c r="B81" s="104">
        <v>10</v>
      </c>
      <c r="C81" s="105">
        <f>+B81/60</f>
        <v>0.16666666666666666</v>
      </c>
      <c r="D81" s="105">
        <f t="shared" ref="D81:D97" si="10">+$E$79*(B81/1440)^0.25</f>
        <v>38.095040588092075</v>
      </c>
      <c r="E81" s="105">
        <f t="shared" ref="E81:E97" si="11">+D81/C81</f>
        <v>228.57024352855245</v>
      </c>
    </row>
    <row r="82" spans="2:5" s="1" customFormat="1" ht="20.149999999999999" customHeight="1" x14ac:dyDescent="0.25">
      <c r="B82" s="104">
        <f>+B81+10</f>
        <v>20</v>
      </c>
      <c r="C82" s="105">
        <f t="shared" ref="C82:C111" si="12">+B82/60</f>
        <v>0.33333333333333331</v>
      </c>
      <c r="D82" s="105">
        <f t="shared" si="10"/>
        <v>45.302893313676549</v>
      </c>
      <c r="E82" s="105">
        <f t="shared" si="11"/>
        <v>135.90867994102965</v>
      </c>
    </row>
    <row r="83" spans="2:5" s="1" customFormat="1" ht="20.149999999999999" customHeight="1" x14ac:dyDescent="0.25">
      <c r="B83" s="104">
        <f t="shared" ref="B83:B104" si="13">+B82+10</f>
        <v>30</v>
      </c>
      <c r="C83" s="105">
        <f t="shared" si="12"/>
        <v>0.5</v>
      </c>
      <c r="D83" s="105">
        <f t="shared" si="10"/>
        <v>50.135892940358424</v>
      </c>
      <c r="E83" s="105">
        <f t="shared" si="11"/>
        <v>100.27178588071685</v>
      </c>
    </row>
    <row r="84" spans="2:5" s="1" customFormat="1" ht="20.149999999999999" customHeight="1" x14ac:dyDescent="0.25">
      <c r="B84" s="104">
        <f t="shared" si="13"/>
        <v>40</v>
      </c>
      <c r="C84" s="105">
        <f t="shared" si="12"/>
        <v>0.66666666666666663</v>
      </c>
      <c r="D84" s="105">
        <f t="shared" si="10"/>
        <v>53.874523058833347</v>
      </c>
      <c r="E84" s="105">
        <f t="shared" si="11"/>
        <v>80.811784588250021</v>
      </c>
    </row>
    <row r="85" spans="2:5" s="1" customFormat="1" ht="20.149999999999999" customHeight="1" x14ac:dyDescent="0.25">
      <c r="B85" s="104">
        <f t="shared" si="13"/>
        <v>50</v>
      </c>
      <c r="C85" s="105">
        <f t="shared" si="12"/>
        <v>0.83333333333333337</v>
      </c>
      <c r="D85" s="105">
        <f t="shared" si="10"/>
        <v>56.965372513976426</v>
      </c>
      <c r="E85" s="105">
        <f t="shared" si="11"/>
        <v>68.358447016771706</v>
      </c>
    </row>
    <row r="86" spans="2:5" s="1" customFormat="1" ht="20.149999999999999" customHeight="1" x14ac:dyDescent="0.25">
      <c r="B86" s="104">
        <f t="shared" si="13"/>
        <v>60</v>
      </c>
      <c r="C86" s="105">
        <f t="shared" si="12"/>
        <v>1</v>
      </c>
      <c r="D86" s="105">
        <f t="shared" si="10"/>
        <v>59.621960601688926</v>
      </c>
      <c r="E86" s="105">
        <f t="shared" si="11"/>
        <v>59.621960601688926</v>
      </c>
    </row>
    <row r="87" spans="2:5" s="1" customFormat="1" ht="20.149999999999999" customHeight="1" x14ac:dyDescent="0.25">
      <c r="B87" s="104">
        <f t="shared" si="13"/>
        <v>70</v>
      </c>
      <c r="C87" s="105">
        <f t="shared" si="12"/>
        <v>1.1666666666666667</v>
      </c>
      <c r="D87" s="105">
        <f t="shared" si="10"/>
        <v>61.964500137516417</v>
      </c>
      <c r="E87" s="105">
        <f t="shared" si="11"/>
        <v>53.112428689299783</v>
      </c>
    </row>
    <row r="88" spans="2:5" s="1" customFormat="1" ht="20.149999999999999" customHeight="1" x14ac:dyDescent="0.25">
      <c r="B88" s="104">
        <f t="shared" si="13"/>
        <v>80</v>
      </c>
      <c r="C88" s="105">
        <f t="shared" si="12"/>
        <v>1.3333333333333333</v>
      </c>
      <c r="D88" s="105">
        <f t="shared" si="10"/>
        <v>64.067966138942765</v>
      </c>
      <c r="E88" s="105">
        <f t="shared" si="11"/>
        <v>48.050974604207077</v>
      </c>
    </row>
    <row r="89" spans="2:5" s="1" customFormat="1" ht="20.149999999999999" customHeight="1" x14ac:dyDescent="0.25">
      <c r="B89" s="104">
        <f t="shared" si="13"/>
        <v>90</v>
      </c>
      <c r="C89" s="105">
        <f t="shared" si="12"/>
        <v>1.5</v>
      </c>
      <c r="D89" s="105">
        <f t="shared" si="10"/>
        <v>65.982545814974046</v>
      </c>
      <c r="E89" s="105">
        <f t="shared" si="11"/>
        <v>43.988363876649366</v>
      </c>
    </row>
    <row r="90" spans="2:5" s="1" customFormat="1" ht="20.149999999999999" customHeight="1" x14ac:dyDescent="0.25">
      <c r="B90" s="104">
        <f t="shared" si="13"/>
        <v>100</v>
      </c>
      <c r="C90" s="105">
        <f t="shared" si="12"/>
        <v>1.6666666666666667</v>
      </c>
      <c r="D90" s="105">
        <f t="shared" si="10"/>
        <v>67.743626302401196</v>
      </c>
      <c r="E90" s="105">
        <f t="shared" si="11"/>
        <v>40.646175781440718</v>
      </c>
    </row>
    <row r="91" spans="2:5" s="1" customFormat="1" ht="20.149999999999999" customHeight="1" x14ac:dyDescent="0.25">
      <c r="B91" s="104">
        <f t="shared" si="13"/>
        <v>110</v>
      </c>
      <c r="C91" s="105">
        <f t="shared" si="12"/>
        <v>1.8333333333333333</v>
      </c>
      <c r="D91" s="105">
        <f t="shared" si="10"/>
        <v>69.377175044510153</v>
      </c>
      <c r="E91" s="105">
        <f t="shared" si="11"/>
        <v>37.842095478823722</v>
      </c>
    </row>
    <row r="92" spans="2:5" s="1" customFormat="1" ht="20.149999999999999" customHeight="1" x14ac:dyDescent="0.25">
      <c r="B92" s="104">
        <f t="shared" si="13"/>
        <v>120</v>
      </c>
      <c r="C92" s="105">
        <f t="shared" si="12"/>
        <v>2</v>
      </c>
      <c r="D92" s="105">
        <f t="shared" si="10"/>
        <v>70.902859757940391</v>
      </c>
      <c r="E92" s="105">
        <f t="shared" si="11"/>
        <v>35.451429878970195</v>
      </c>
    </row>
    <row r="93" spans="2:5" s="1" customFormat="1" ht="20.149999999999999" customHeight="1" x14ac:dyDescent="0.25">
      <c r="B93" s="104">
        <f t="shared" si="13"/>
        <v>130</v>
      </c>
      <c r="C93" s="105">
        <f t="shared" si="12"/>
        <v>2.1666666666666665</v>
      </c>
      <c r="D93" s="105">
        <f t="shared" si="10"/>
        <v>72.33596485784993</v>
      </c>
      <c r="E93" s="105">
        <f t="shared" si="11"/>
        <v>33.385829934392277</v>
      </c>
    </row>
    <row r="94" spans="2:5" s="1" customFormat="1" ht="20.149999999999999" customHeight="1" x14ac:dyDescent="0.25">
      <c r="B94" s="104">
        <f t="shared" si="13"/>
        <v>140</v>
      </c>
      <c r="C94" s="105">
        <f t="shared" si="12"/>
        <v>2.3333333333333335</v>
      </c>
      <c r="D94" s="105">
        <f t="shared" si="10"/>
        <v>73.688624441121604</v>
      </c>
      <c r="E94" s="105">
        <f t="shared" si="11"/>
        <v>31.580839046194971</v>
      </c>
    </row>
    <row r="95" spans="2:5" s="1" customFormat="1" ht="20.149999999999999" customHeight="1" x14ac:dyDescent="0.25">
      <c r="B95" s="104">
        <f t="shared" si="13"/>
        <v>150</v>
      </c>
      <c r="C95" s="105">
        <f t="shared" si="12"/>
        <v>2.5</v>
      </c>
      <c r="D95" s="105">
        <f t="shared" si="10"/>
        <v>74.970646403802562</v>
      </c>
      <c r="E95" s="105">
        <f t="shared" si="11"/>
        <v>29.988258561521025</v>
      </c>
    </row>
    <row r="96" spans="2:5" s="1" customFormat="1" ht="20.149999999999999" customHeight="1" x14ac:dyDescent="0.25">
      <c r="B96" s="104">
        <f t="shared" si="13"/>
        <v>160</v>
      </c>
      <c r="C96" s="105">
        <f t="shared" si="12"/>
        <v>2.6666666666666665</v>
      </c>
      <c r="D96" s="105">
        <f t="shared" si="10"/>
        <v>76.190081176184151</v>
      </c>
      <c r="E96" s="105">
        <f t="shared" si="11"/>
        <v>28.571280441069057</v>
      </c>
    </row>
    <row r="97" spans="2:5" s="1" customFormat="1" ht="20.149999999999999" customHeight="1" x14ac:dyDescent="0.25">
      <c r="B97" s="104">
        <f t="shared" si="13"/>
        <v>170</v>
      </c>
      <c r="C97" s="105">
        <f t="shared" si="12"/>
        <v>2.8333333333333335</v>
      </c>
      <c r="D97" s="105">
        <f t="shared" si="10"/>
        <v>77.353625043455665</v>
      </c>
      <c r="E97" s="105">
        <f t="shared" si="11"/>
        <v>27.301279427101999</v>
      </c>
    </row>
    <row r="98" spans="2:5" s="1" customFormat="1" ht="20.149999999999999" customHeight="1" x14ac:dyDescent="0.25">
      <c r="B98" s="104">
        <f t="shared" si="13"/>
        <v>180</v>
      </c>
      <c r="C98" s="105">
        <f t="shared" si="12"/>
        <v>3</v>
      </c>
      <c r="D98" s="105">
        <f>+$E$79*(B98/1440)^0.25</f>
        <v>78.466912949160147</v>
      </c>
      <c r="E98" s="105">
        <f>+D98/C98</f>
        <v>26.155637649720049</v>
      </c>
    </row>
    <row r="99" spans="2:5" s="1" customFormat="1" ht="20.149999999999999" customHeight="1" x14ac:dyDescent="0.25">
      <c r="B99" s="104">
        <f t="shared" si="13"/>
        <v>190</v>
      </c>
      <c r="C99" s="105">
        <f t="shared" si="12"/>
        <v>3.1666666666666665</v>
      </c>
      <c r="D99" s="105">
        <f t="shared" ref="D99:D111" si="14">+$E$79*(B99/1440)^0.25</f>
        <v>79.534735451899863</v>
      </c>
      <c r="E99" s="105">
        <f t="shared" ref="E99:E111" si="15">+D99/C99</f>
        <v>25.11623224796838</v>
      </c>
    </row>
    <row r="100" spans="2:5" s="1" customFormat="1" ht="20.149999999999999" customHeight="1" x14ac:dyDescent="0.25">
      <c r="B100" s="104">
        <f t="shared" si="13"/>
        <v>200</v>
      </c>
      <c r="C100" s="105">
        <f t="shared" si="12"/>
        <v>3.3333333333333335</v>
      </c>
      <c r="D100" s="105">
        <f t="shared" si="14"/>
        <v>80.561202394900988</v>
      </c>
      <c r="E100" s="105">
        <f t="shared" si="15"/>
        <v>24.168360718470296</v>
      </c>
    </row>
    <row r="101" spans="2:5" s="1" customFormat="1" ht="20.149999999999999" customHeight="1" x14ac:dyDescent="0.25">
      <c r="B101" s="104">
        <f t="shared" si="13"/>
        <v>210</v>
      </c>
      <c r="C101" s="105">
        <f t="shared" si="12"/>
        <v>3.5</v>
      </c>
      <c r="D101" s="105">
        <f t="shared" si="14"/>
        <v>81.549868356576496</v>
      </c>
      <c r="E101" s="105">
        <f t="shared" si="15"/>
        <v>23.299962387593286</v>
      </c>
    </row>
    <row r="102" spans="2:5" s="1" customFormat="1" ht="20.149999999999999" customHeight="1" x14ac:dyDescent="0.25">
      <c r="B102" s="104">
        <f t="shared" si="13"/>
        <v>220</v>
      </c>
      <c r="C102" s="105">
        <f t="shared" si="12"/>
        <v>3.6666666666666665</v>
      </c>
      <c r="D102" s="105">
        <f t="shared" si="14"/>
        <v>82.503830181720687</v>
      </c>
      <c r="E102" s="105">
        <f t="shared" si="15"/>
        <v>22.501044595014733</v>
      </c>
    </row>
    <row r="103" spans="2:5" s="1" customFormat="1" ht="20.149999999999999" customHeight="1" x14ac:dyDescent="0.25">
      <c r="B103" s="104">
        <f t="shared" si="13"/>
        <v>230</v>
      </c>
      <c r="C103" s="105">
        <f t="shared" si="12"/>
        <v>3.8333333333333335</v>
      </c>
      <c r="D103" s="105">
        <f t="shared" si="14"/>
        <v>83.425803779831739</v>
      </c>
      <c r="E103" s="105">
        <f t="shared" si="15"/>
        <v>21.763253159956104</v>
      </c>
    </row>
    <row r="104" spans="2:5" s="1" customFormat="1" ht="20.149999999999999" customHeight="1" x14ac:dyDescent="0.25">
      <c r="B104" s="104">
        <f t="shared" si="13"/>
        <v>240</v>
      </c>
      <c r="C104" s="105">
        <f t="shared" si="12"/>
        <v>4</v>
      </c>
      <c r="D104" s="105">
        <f t="shared" si="14"/>
        <v>84.318185298182811</v>
      </c>
      <c r="E104" s="105">
        <f t="shared" si="15"/>
        <v>21.079546324545703</v>
      </c>
    </row>
    <row r="105" spans="2:5" s="1" customFormat="1" ht="20.149999999999999" customHeight="1" x14ac:dyDescent="0.25">
      <c r="B105" s="104">
        <v>300</v>
      </c>
      <c r="C105" s="105">
        <f t="shared" si="12"/>
        <v>5</v>
      </c>
      <c r="D105" s="105">
        <f t="shared" si="14"/>
        <v>89.155626119755169</v>
      </c>
      <c r="E105" s="105">
        <f t="shared" si="15"/>
        <v>17.831125223951034</v>
      </c>
    </row>
    <row r="106" spans="2:5" s="1" customFormat="1" ht="20.149999999999999" customHeight="1" x14ac:dyDescent="0.25">
      <c r="B106" s="104">
        <v>360</v>
      </c>
      <c r="C106" s="105">
        <f t="shared" si="12"/>
        <v>6</v>
      </c>
      <c r="D106" s="105">
        <f t="shared" si="14"/>
        <v>93.313411171440407</v>
      </c>
      <c r="E106" s="105">
        <f t="shared" si="15"/>
        <v>15.552235195240067</v>
      </c>
    </row>
    <row r="107" spans="2:5" s="1" customFormat="1" ht="20.149999999999999" customHeight="1" x14ac:dyDescent="0.25">
      <c r="B107" s="104">
        <v>420</v>
      </c>
      <c r="C107" s="105">
        <f t="shared" si="12"/>
        <v>7</v>
      </c>
      <c r="D107" s="105">
        <f t="shared" si="14"/>
        <v>96.979683677176013</v>
      </c>
      <c r="E107" s="105">
        <f t="shared" si="15"/>
        <v>13.854240525310859</v>
      </c>
    </row>
    <row r="108" spans="2:5" s="1" customFormat="1" ht="20.149999999999999" customHeight="1" x14ac:dyDescent="0.25">
      <c r="B108" s="104">
        <v>480</v>
      </c>
      <c r="C108" s="105">
        <f t="shared" si="12"/>
        <v>8</v>
      </c>
      <c r="D108" s="105">
        <f t="shared" si="14"/>
        <v>100.27178588071685</v>
      </c>
      <c r="E108" s="105">
        <f t="shared" si="15"/>
        <v>12.533973235089606</v>
      </c>
    </row>
    <row r="109" spans="2:5" s="1" customFormat="1" ht="20.149999999999999" customHeight="1" x14ac:dyDescent="0.25">
      <c r="B109" s="104">
        <v>600</v>
      </c>
      <c r="C109" s="105">
        <f t="shared" si="12"/>
        <v>10</v>
      </c>
      <c r="D109" s="105">
        <f t="shared" si="14"/>
        <v>106.0245049241353</v>
      </c>
      <c r="E109" s="105">
        <f t="shared" si="15"/>
        <v>10.60245049241353</v>
      </c>
    </row>
    <row r="110" spans="2:5" s="1" customFormat="1" ht="20.149999999999999" customHeight="1" x14ac:dyDescent="0.25">
      <c r="B110" s="104">
        <v>660</v>
      </c>
      <c r="C110" s="105">
        <f t="shared" si="12"/>
        <v>11</v>
      </c>
      <c r="D110" s="105">
        <f t="shared" si="14"/>
        <v>108.58114687120811</v>
      </c>
      <c r="E110" s="105">
        <f t="shared" si="15"/>
        <v>9.8710133519280099</v>
      </c>
    </row>
    <row r="111" spans="2:5" s="1" customFormat="1" ht="20.149999999999999" customHeight="1" x14ac:dyDescent="0.25">
      <c r="B111" s="104">
        <v>720</v>
      </c>
      <c r="C111" s="105">
        <f t="shared" si="12"/>
        <v>12</v>
      </c>
      <c r="D111" s="105">
        <f t="shared" si="14"/>
        <v>110.96897249025132</v>
      </c>
      <c r="E111" s="105">
        <f t="shared" si="15"/>
        <v>9.2474143741876098</v>
      </c>
    </row>
    <row r="112" spans="2:5" s="1" customFormat="1" ht="20.149999999999999" customHeight="1" x14ac:dyDescent="0.25">
      <c r="B112" s="2"/>
      <c r="C112" s="100"/>
      <c r="D112" s="100"/>
      <c r="E112" s="100"/>
    </row>
    <row r="113" spans="2:5" s="1" customFormat="1" ht="20.149999999999999" customHeight="1" x14ac:dyDescent="0.25">
      <c r="B113" s="2"/>
      <c r="C113" s="100"/>
      <c r="D113" s="100"/>
      <c r="E113" s="100"/>
    </row>
    <row r="114" spans="2:5" s="1" customFormat="1" ht="20.149999999999999" customHeight="1" x14ac:dyDescent="0.25">
      <c r="B114" s="189" t="s">
        <v>169</v>
      </c>
      <c r="C114" s="189"/>
      <c r="D114" s="189"/>
      <c r="E114" s="107">
        <f>D.Resumen!L14</f>
        <v>121.8084022033932</v>
      </c>
    </row>
    <row r="115" spans="2:5" s="1" customFormat="1" ht="20.149999999999999" customHeight="1" x14ac:dyDescent="0.25">
      <c r="B115" s="110" t="s">
        <v>38</v>
      </c>
      <c r="C115" s="110" t="s">
        <v>39</v>
      </c>
      <c r="D115" s="110" t="s">
        <v>8</v>
      </c>
      <c r="E115" s="110" t="s">
        <v>40</v>
      </c>
    </row>
    <row r="116" spans="2:5" s="1" customFormat="1" ht="20.149999999999999" customHeight="1" x14ac:dyDescent="0.25">
      <c r="B116" s="104">
        <v>10</v>
      </c>
      <c r="C116" s="105">
        <f>+B116/60</f>
        <v>0.16666666666666666</v>
      </c>
      <c r="D116" s="105">
        <f t="shared" ref="D116:D130" si="16">+$E$114*(B116/1440)^0.25</f>
        <v>35.163056900843635</v>
      </c>
      <c r="E116" s="185">
        <f>+D116/C116</f>
        <v>210.97834140506183</v>
      </c>
    </row>
    <row r="117" spans="2:5" s="1" customFormat="1" ht="20.149999999999999" customHeight="1" x14ac:dyDescent="0.25">
      <c r="B117" s="104">
        <v>20</v>
      </c>
      <c r="C117" s="105">
        <f t="shared" ref="C117:C130" si="17">+B117/60</f>
        <v>0.33333333333333331</v>
      </c>
      <c r="D117" s="105">
        <f t="shared" si="16"/>
        <v>41.816157451728785</v>
      </c>
      <c r="E117" s="105">
        <f t="shared" ref="E117:E130" si="18">+D117/C117</f>
        <v>125.44847235518635</v>
      </c>
    </row>
    <row r="118" spans="2:5" s="1" customFormat="1" ht="20.149999999999999" customHeight="1" x14ac:dyDescent="0.25">
      <c r="B118" s="104">
        <v>30</v>
      </c>
      <c r="C118" s="105">
        <f t="shared" si="17"/>
        <v>0.5</v>
      </c>
      <c r="D118" s="105">
        <f t="shared" si="16"/>
        <v>46.277185403170115</v>
      </c>
      <c r="E118" s="105">
        <f t="shared" si="18"/>
        <v>92.554370806340231</v>
      </c>
    </row>
    <row r="119" spans="2:5" s="1" customFormat="1" ht="20.149999999999999" customHeight="1" x14ac:dyDescent="0.25">
      <c r="B119" s="104">
        <v>40</v>
      </c>
      <c r="C119" s="105">
        <f t="shared" si="17"/>
        <v>0.66666666666666663</v>
      </c>
      <c r="D119" s="105">
        <f t="shared" si="16"/>
        <v>49.728071963669919</v>
      </c>
      <c r="E119" s="105">
        <f t="shared" si="18"/>
        <v>74.592107945504878</v>
      </c>
    </row>
    <row r="120" spans="2:5" s="1" customFormat="1" ht="20.149999999999999" customHeight="1" x14ac:dyDescent="0.25">
      <c r="B120" s="104">
        <v>50</v>
      </c>
      <c r="C120" s="105">
        <f t="shared" si="17"/>
        <v>0.83333333333333337</v>
      </c>
      <c r="D120" s="105">
        <f t="shared" si="16"/>
        <v>52.581034280688961</v>
      </c>
      <c r="E120" s="105">
        <f t="shared" si="18"/>
        <v>63.097241136826753</v>
      </c>
    </row>
    <row r="121" spans="2:5" s="1" customFormat="1" ht="20.149999999999999" customHeight="1" x14ac:dyDescent="0.25">
      <c r="B121" s="104">
        <v>60</v>
      </c>
      <c r="C121" s="105">
        <f t="shared" si="17"/>
        <v>1</v>
      </c>
      <c r="D121" s="105">
        <f t="shared" si="16"/>
        <v>55.033158143749965</v>
      </c>
      <c r="E121" s="105">
        <f t="shared" si="18"/>
        <v>55.033158143749965</v>
      </c>
    </row>
    <row r="122" spans="2:5" s="1" customFormat="1" ht="20.149999999999999" customHeight="1" x14ac:dyDescent="0.25">
      <c r="B122" s="104">
        <v>90</v>
      </c>
      <c r="C122" s="105">
        <f t="shared" si="17"/>
        <v>1.5</v>
      </c>
      <c r="D122" s="105">
        <f t="shared" si="16"/>
        <v>60.9042011016966</v>
      </c>
      <c r="E122" s="105">
        <f t="shared" si="18"/>
        <v>40.602800734464402</v>
      </c>
    </row>
    <row r="123" spans="2:5" s="1" customFormat="1" ht="20.149999999999999" customHeight="1" x14ac:dyDescent="0.25">
      <c r="B123" s="104">
        <v>120</v>
      </c>
      <c r="C123" s="105">
        <f t="shared" si="17"/>
        <v>2</v>
      </c>
      <c r="D123" s="105">
        <f t="shared" si="16"/>
        <v>65.445823225617403</v>
      </c>
      <c r="E123" s="105">
        <f t="shared" si="18"/>
        <v>32.722911612808701</v>
      </c>
    </row>
    <row r="124" spans="2:5" s="1" customFormat="1" ht="20.149999999999999" customHeight="1" x14ac:dyDescent="0.25">
      <c r="B124" s="104">
        <v>240</v>
      </c>
      <c r="C124" s="105">
        <f t="shared" si="17"/>
        <v>4</v>
      </c>
      <c r="D124" s="105">
        <f t="shared" si="16"/>
        <v>77.828638627114543</v>
      </c>
      <c r="E124" s="105">
        <f t="shared" si="18"/>
        <v>19.457159656778636</v>
      </c>
    </row>
    <row r="125" spans="2:5" s="1" customFormat="1" ht="20.149999999999999" customHeight="1" x14ac:dyDescent="0.25">
      <c r="B125" s="104">
        <v>360</v>
      </c>
      <c r="C125" s="105">
        <f t="shared" si="17"/>
        <v>6</v>
      </c>
      <c r="D125" s="105">
        <f t="shared" si="16"/>
        <v>86.131547203517741</v>
      </c>
      <c r="E125" s="105">
        <f t="shared" si="18"/>
        <v>14.355257867252957</v>
      </c>
    </row>
    <row r="126" spans="2:5" s="1" customFormat="1" ht="20.149999999999999" customHeight="1" x14ac:dyDescent="0.25">
      <c r="B126" s="104">
        <v>420</v>
      </c>
      <c r="C126" s="105">
        <f t="shared" si="17"/>
        <v>7</v>
      </c>
      <c r="D126" s="105">
        <f t="shared" si="16"/>
        <v>89.515645152831311</v>
      </c>
      <c r="E126" s="105">
        <f t="shared" si="18"/>
        <v>12.787949307547331</v>
      </c>
    </row>
    <row r="127" spans="2:5" s="1" customFormat="1" ht="20.149999999999999" customHeight="1" x14ac:dyDescent="0.25">
      <c r="B127" s="104">
        <v>480</v>
      </c>
      <c r="C127" s="105">
        <f t="shared" si="17"/>
        <v>8</v>
      </c>
      <c r="D127" s="105">
        <f t="shared" si="16"/>
        <v>92.554370806340231</v>
      </c>
      <c r="E127" s="105">
        <f t="shared" si="18"/>
        <v>11.569296350792529</v>
      </c>
    </row>
    <row r="128" spans="2:5" s="1" customFormat="1" ht="20.149999999999999" customHeight="1" x14ac:dyDescent="0.25">
      <c r="B128" s="104">
        <v>600</v>
      </c>
      <c r="C128" s="105">
        <f t="shared" si="17"/>
        <v>10</v>
      </c>
      <c r="D128" s="105">
        <f t="shared" si="16"/>
        <v>97.864331996446438</v>
      </c>
      <c r="E128" s="105">
        <f t="shared" si="18"/>
        <v>9.7864331996446445</v>
      </c>
    </row>
    <row r="129" spans="2:5" s="1" customFormat="1" ht="20.149999999999999" customHeight="1" x14ac:dyDescent="0.25">
      <c r="B129" s="104">
        <v>660</v>
      </c>
      <c r="C129" s="105">
        <f t="shared" si="17"/>
        <v>11</v>
      </c>
      <c r="D129" s="105">
        <f t="shared" si="16"/>
        <v>100.22420207066565</v>
      </c>
      <c r="E129" s="105">
        <f t="shared" si="18"/>
        <v>9.1112910973332415</v>
      </c>
    </row>
    <row r="130" spans="2:5" s="1" customFormat="1" ht="20.149999999999999" customHeight="1" x14ac:dyDescent="0.25">
      <c r="B130" s="104">
        <v>720</v>
      </c>
      <c r="C130" s="105">
        <f t="shared" si="17"/>
        <v>12</v>
      </c>
      <c r="D130" s="105">
        <f t="shared" si="16"/>
        <v>102.428248760616</v>
      </c>
      <c r="E130" s="105">
        <f t="shared" si="18"/>
        <v>8.535687396718</v>
      </c>
    </row>
    <row r="131" spans="2:5" s="1" customFormat="1" ht="20.149999999999999" customHeight="1" x14ac:dyDescent="0.25">
      <c r="B131" s="2"/>
      <c r="C131" s="100"/>
      <c r="D131" s="100"/>
      <c r="E131" s="100"/>
    </row>
    <row r="132" spans="2:5" s="1" customFormat="1" x14ac:dyDescent="0.25"/>
    <row r="133" spans="2:5" s="1" customFormat="1" ht="20.149999999999999" customHeight="1" x14ac:dyDescent="0.25">
      <c r="B133" s="189" t="s">
        <v>44</v>
      </c>
      <c r="C133" s="189"/>
      <c r="D133" s="189"/>
      <c r="E133" s="107">
        <f>D.Resumen!L13</f>
        <v>118.44843556710663</v>
      </c>
    </row>
    <row r="134" spans="2:5" s="1" customFormat="1" ht="20.149999999999999" customHeight="1" x14ac:dyDescent="0.25">
      <c r="B134" s="110" t="s">
        <v>38</v>
      </c>
      <c r="C134" s="110" t="s">
        <v>39</v>
      </c>
      <c r="D134" s="110" t="s">
        <v>8</v>
      </c>
      <c r="E134" s="110" t="s">
        <v>40</v>
      </c>
    </row>
    <row r="135" spans="2:5" s="1" customFormat="1" ht="20.149999999999999" customHeight="1" x14ac:dyDescent="0.25">
      <c r="B135" s="104">
        <v>10</v>
      </c>
      <c r="C135" s="105">
        <f>+B135/60</f>
        <v>0.16666666666666666</v>
      </c>
      <c r="D135" s="105">
        <f>+$E$133*(B135/1440)^0.25</f>
        <v>34.193118079879525</v>
      </c>
      <c r="E135" s="105">
        <f>+D135/C135</f>
        <v>205.15870847927715</v>
      </c>
    </row>
    <row r="136" spans="2:5" s="1" customFormat="1" ht="20.149999999999999" customHeight="1" x14ac:dyDescent="0.25">
      <c r="B136" s="104">
        <v>20</v>
      </c>
      <c r="C136" s="105">
        <f t="shared" ref="C136:C149" si="19">+B136/60</f>
        <v>0.33333333333333331</v>
      </c>
      <c r="D136" s="105">
        <f t="shared" ref="D136:D149" si="20">+$E$133*(B136/1440)^0.25</f>
        <v>40.662699304720917</v>
      </c>
      <c r="E136" s="105">
        <f t="shared" ref="E136:E149" si="21">+D136/C136</f>
        <v>121.98809791416275</v>
      </c>
    </row>
    <row r="137" spans="2:5" s="1" customFormat="1" ht="20.149999999999999" customHeight="1" x14ac:dyDescent="0.25">
      <c r="B137" s="104">
        <v>30</v>
      </c>
      <c r="C137" s="105">
        <f t="shared" si="19"/>
        <v>0.5</v>
      </c>
      <c r="D137" s="105">
        <f t="shared" si="20"/>
        <v>45.000674126745473</v>
      </c>
      <c r="E137" s="105">
        <f t="shared" si="21"/>
        <v>90.001348253490946</v>
      </c>
    </row>
    <row r="138" spans="2:5" s="1" customFormat="1" ht="20.149999999999999" customHeight="1" x14ac:dyDescent="0.25">
      <c r="B138" s="104">
        <v>40</v>
      </c>
      <c r="C138" s="105">
        <f t="shared" si="19"/>
        <v>0.66666666666666663</v>
      </c>
      <c r="D138" s="105">
        <f t="shared" si="20"/>
        <v>48.35637132839031</v>
      </c>
      <c r="E138" s="105">
        <f t="shared" si="21"/>
        <v>72.534556992585465</v>
      </c>
    </row>
    <row r="139" spans="2:5" s="1" customFormat="1" ht="20.149999999999999" customHeight="1" x14ac:dyDescent="0.25">
      <c r="B139" s="104">
        <v>50</v>
      </c>
      <c r="C139" s="105">
        <f t="shared" si="19"/>
        <v>0.83333333333333337</v>
      </c>
      <c r="D139" s="105">
        <f t="shared" si="20"/>
        <v>51.130637446901133</v>
      </c>
      <c r="E139" s="105">
        <f t="shared" si="21"/>
        <v>61.356764936281358</v>
      </c>
    </row>
    <row r="140" spans="2:5" s="1" customFormat="1" ht="20.149999999999999" customHeight="1" x14ac:dyDescent="0.25">
      <c r="B140" s="104">
        <v>60</v>
      </c>
      <c r="C140" s="105">
        <f t="shared" si="19"/>
        <v>1</v>
      </c>
      <c r="D140" s="105">
        <f t="shared" si="20"/>
        <v>53.515121851444576</v>
      </c>
      <c r="E140" s="105">
        <f t="shared" si="21"/>
        <v>53.515121851444576</v>
      </c>
    </row>
    <row r="141" spans="2:5" s="1" customFormat="1" ht="20.149999999999999" customHeight="1" x14ac:dyDescent="0.25">
      <c r="B141" s="104">
        <v>90</v>
      </c>
      <c r="C141" s="105">
        <f t="shared" si="19"/>
        <v>1.5</v>
      </c>
      <c r="D141" s="105">
        <f t="shared" si="20"/>
        <v>59.224217783553314</v>
      </c>
      <c r="E141" s="105">
        <f t="shared" si="21"/>
        <v>39.482811855702209</v>
      </c>
    </row>
    <row r="142" spans="2:5" s="1" customFormat="1" ht="20.149999999999999" customHeight="1" x14ac:dyDescent="0.25">
      <c r="B142" s="104">
        <v>120</v>
      </c>
      <c r="C142" s="105">
        <f t="shared" si="19"/>
        <v>2</v>
      </c>
      <c r="D142" s="105">
        <f t="shared" si="20"/>
        <v>63.640563665975485</v>
      </c>
      <c r="E142" s="105">
        <f t="shared" si="21"/>
        <v>31.820281832987742</v>
      </c>
    </row>
    <row r="143" spans="2:5" s="1" customFormat="1" ht="20.149999999999999" customHeight="1" x14ac:dyDescent="0.25">
      <c r="B143" s="104">
        <v>240</v>
      </c>
      <c r="C143" s="105">
        <f t="shared" si="19"/>
        <v>4</v>
      </c>
      <c r="D143" s="105">
        <f t="shared" si="20"/>
        <v>75.681811114361693</v>
      </c>
      <c r="E143" s="105">
        <f t="shared" si="21"/>
        <v>18.920452778590423</v>
      </c>
    </row>
    <row r="144" spans="2:5" s="1" customFormat="1" ht="20.149999999999999" customHeight="1" x14ac:dyDescent="0.25">
      <c r="B144" s="104">
        <v>360</v>
      </c>
      <c r="C144" s="105">
        <f t="shared" si="19"/>
        <v>6</v>
      </c>
      <c r="D144" s="105">
        <f t="shared" si="20"/>
        <v>83.755692010438949</v>
      </c>
      <c r="E144" s="105">
        <f t="shared" si="21"/>
        <v>13.959282001739824</v>
      </c>
    </row>
    <row r="145" spans="2:5" s="1" customFormat="1" ht="20.149999999999999" customHeight="1" x14ac:dyDescent="0.25">
      <c r="B145" s="104">
        <v>420</v>
      </c>
      <c r="C145" s="105">
        <f t="shared" si="19"/>
        <v>7</v>
      </c>
      <c r="D145" s="105">
        <f t="shared" si="20"/>
        <v>87.046442899960766</v>
      </c>
      <c r="E145" s="105">
        <f t="shared" si="21"/>
        <v>12.435206128565824</v>
      </c>
    </row>
    <row r="146" spans="2:5" s="1" customFormat="1" ht="20.149999999999999" customHeight="1" x14ac:dyDescent="0.25">
      <c r="B146" s="104">
        <v>480</v>
      </c>
      <c r="C146" s="105">
        <f t="shared" si="19"/>
        <v>8</v>
      </c>
      <c r="D146" s="105">
        <f t="shared" si="20"/>
        <v>90.001348253490946</v>
      </c>
      <c r="E146" s="105">
        <f t="shared" si="21"/>
        <v>11.250168531686368</v>
      </c>
    </row>
    <row r="147" spans="2:5" s="1" customFormat="1" ht="20.149999999999999" customHeight="1" x14ac:dyDescent="0.25">
      <c r="B147" s="104">
        <v>600</v>
      </c>
      <c r="C147" s="105">
        <f t="shared" si="19"/>
        <v>10</v>
      </c>
      <c r="D147" s="105">
        <f t="shared" si="20"/>
        <v>95.16483931414794</v>
      </c>
      <c r="E147" s="105">
        <f t="shared" si="21"/>
        <v>9.5164839314147933</v>
      </c>
    </row>
    <row r="148" spans="2:5" s="1" customFormat="1" ht="20.149999999999999" customHeight="1" x14ac:dyDescent="0.25">
      <c r="B148" s="104">
        <v>660</v>
      </c>
      <c r="C148" s="105">
        <f t="shared" si="19"/>
        <v>11</v>
      </c>
      <c r="D148" s="105">
        <f t="shared" si="20"/>
        <v>97.459614661140478</v>
      </c>
      <c r="E148" s="105">
        <f t="shared" si="21"/>
        <v>8.8599649691945892</v>
      </c>
    </row>
    <row r="149" spans="2:5" s="1" customFormat="1" ht="20.149999999999999" customHeight="1" x14ac:dyDescent="0.25">
      <c r="B149" s="104">
        <v>720</v>
      </c>
      <c r="C149" s="105">
        <f t="shared" si="19"/>
        <v>12</v>
      </c>
      <c r="D149" s="105">
        <f t="shared" si="20"/>
        <v>99.602864860790547</v>
      </c>
      <c r="E149" s="105">
        <f t="shared" si="21"/>
        <v>8.3002387383992122</v>
      </c>
    </row>
    <row r="150" spans="2:5" s="1" customFormat="1" ht="20.149999999999999" customHeight="1" x14ac:dyDescent="0.25">
      <c r="B150" s="2"/>
      <c r="C150" s="100"/>
      <c r="D150" s="100"/>
      <c r="E150" s="100"/>
    </row>
    <row r="151" spans="2:5" s="1" customFormat="1" x14ac:dyDescent="0.25"/>
    <row r="152" spans="2:5" s="1" customFormat="1" ht="20.149999999999999" customHeight="1" x14ac:dyDescent="0.25">
      <c r="B152" s="189" t="s">
        <v>43</v>
      </c>
      <c r="C152" s="189"/>
      <c r="D152" s="189"/>
      <c r="E152" s="107">
        <f>D.Resumen!L12</f>
        <v>107.60192491262981</v>
      </c>
    </row>
    <row r="153" spans="2:5" s="1" customFormat="1" ht="20.149999999999999" customHeight="1" x14ac:dyDescent="0.25">
      <c r="B153" s="110" t="s">
        <v>38</v>
      </c>
      <c r="C153" s="110" t="s">
        <v>39</v>
      </c>
      <c r="D153" s="110" t="s">
        <v>8</v>
      </c>
      <c r="E153" s="110" t="s">
        <v>40</v>
      </c>
    </row>
    <row r="154" spans="2:5" s="1" customFormat="1" ht="20.149999999999999" customHeight="1" x14ac:dyDescent="0.25">
      <c r="B154" s="104">
        <v>10</v>
      </c>
      <c r="C154" s="105">
        <f>+B154/60</f>
        <v>0.16666666666666666</v>
      </c>
      <c r="D154" s="105">
        <f>+$E$152*(B154/1440)^0.25</f>
        <v>31.06200015681436</v>
      </c>
      <c r="E154" s="105">
        <f>+D154/C154</f>
        <v>186.37200094088618</v>
      </c>
    </row>
    <row r="155" spans="2:5" s="1" customFormat="1" ht="20.149999999999999" customHeight="1" x14ac:dyDescent="0.25">
      <c r="B155" s="104">
        <v>20</v>
      </c>
      <c r="C155" s="105">
        <f t="shared" ref="C155:C168" si="22">+B155/60</f>
        <v>0.33333333333333331</v>
      </c>
      <c r="D155" s="105">
        <f t="shared" ref="D155:D168" si="23">+$E$152*(B155/1440)^0.25</f>
        <v>36.939151592699275</v>
      </c>
      <c r="E155" s="105">
        <f t="shared" ref="E155:E168" si="24">+D155/C155</f>
        <v>110.81745477809783</v>
      </c>
    </row>
    <row r="156" spans="2:5" s="1" customFormat="1" ht="20.149999999999999" customHeight="1" x14ac:dyDescent="0.25">
      <c r="B156" s="104">
        <v>30</v>
      </c>
      <c r="C156" s="105">
        <f t="shared" si="22"/>
        <v>0.5</v>
      </c>
      <c r="D156" s="105">
        <f t="shared" si="23"/>
        <v>40.879891196709622</v>
      </c>
      <c r="E156" s="105">
        <f t="shared" si="24"/>
        <v>81.759782393419243</v>
      </c>
    </row>
    <row r="157" spans="2:5" s="1" customFormat="1" ht="20.149999999999999" customHeight="1" x14ac:dyDescent="0.25">
      <c r="B157" s="104">
        <v>40</v>
      </c>
      <c r="C157" s="105">
        <f t="shared" si="22"/>
        <v>0.66666666666666663</v>
      </c>
      <c r="D157" s="105">
        <f t="shared" si="23"/>
        <v>43.928301896202072</v>
      </c>
      <c r="E157" s="105">
        <f t="shared" si="24"/>
        <v>65.892452844303108</v>
      </c>
    </row>
    <row r="158" spans="2:5" s="1" customFormat="1" ht="20.149999999999999" customHeight="1" x14ac:dyDescent="0.25">
      <c r="B158" s="104">
        <v>50</v>
      </c>
      <c r="C158" s="105">
        <f t="shared" si="22"/>
        <v>0.83333333333333337</v>
      </c>
      <c r="D158" s="105">
        <f t="shared" si="23"/>
        <v>46.448524076785716</v>
      </c>
      <c r="E158" s="105">
        <f t="shared" si="24"/>
        <v>55.738228892142857</v>
      </c>
    </row>
    <row r="159" spans="2:5" s="1" customFormat="1" ht="20.149999999999999" customHeight="1" x14ac:dyDescent="0.25">
      <c r="B159" s="104">
        <v>60</v>
      </c>
      <c r="C159" s="105">
        <f t="shared" si="22"/>
        <v>1</v>
      </c>
      <c r="D159" s="105">
        <f t="shared" si="23"/>
        <v>48.614657471664188</v>
      </c>
      <c r="E159" s="105">
        <f t="shared" si="24"/>
        <v>48.614657471664188</v>
      </c>
    </row>
    <row r="160" spans="2:5" s="1" customFormat="1" ht="20.149999999999999" customHeight="1" x14ac:dyDescent="0.25">
      <c r="B160" s="104">
        <v>90</v>
      </c>
      <c r="C160" s="105">
        <f t="shared" si="22"/>
        <v>1.5</v>
      </c>
      <c r="D160" s="105">
        <f t="shared" si="23"/>
        <v>53.800962456314906</v>
      </c>
      <c r="E160" s="105">
        <f t="shared" si="24"/>
        <v>35.867308304209935</v>
      </c>
    </row>
    <row r="161" spans="2:5" s="1" customFormat="1" ht="20.149999999999999" customHeight="1" x14ac:dyDescent="0.25">
      <c r="B161" s="104">
        <v>120</v>
      </c>
      <c r="C161" s="105">
        <f t="shared" si="22"/>
        <v>2</v>
      </c>
      <c r="D161" s="105">
        <f t="shared" si="23"/>
        <v>57.812896558723253</v>
      </c>
      <c r="E161" s="105">
        <f t="shared" si="24"/>
        <v>28.906448279361626</v>
      </c>
    </row>
    <row r="162" spans="2:5" s="1" customFormat="1" ht="20.149999999999999" customHeight="1" x14ac:dyDescent="0.25">
      <c r="B162" s="104">
        <v>240</v>
      </c>
      <c r="C162" s="105">
        <f t="shared" si="22"/>
        <v>4</v>
      </c>
      <c r="D162" s="105">
        <f t="shared" si="23"/>
        <v>68.751507926550005</v>
      </c>
      <c r="E162" s="105">
        <f t="shared" si="24"/>
        <v>17.187876981637501</v>
      </c>
    </row>
    <row r="163" spans="2:5" s="1" customFormat="1" ht="20.149999999999999" customHeight="1" x14ac:dyDescent="0.25">
      <c r="B163" s="104">
        <v>360</v>
      </c>
      <c r="C163" s="105">
        <f t="shared" si="22"/>
        <v>6</v>
      </c>
      <c r="D163" s="105">
        <f t="shared" si="23"/>
        <v>76.08605077444625</v>
      </c>
      <c r="E163" s="105">
        <f t="shared" si="24"/>
        <v>12.681008462407709</v>
      </c>
    </row>
    <row r="164" spans="2:5" s="1" customFormat="1" ht="20.149999999999999" customHeight="1" x14ac:dyDescent="0.25">
      <c r="B164" s="104">
        <v>420</v>
      </c>
      <c r="C164" s="105">
        <f t="shared" si="22"/>
        <v>7</v>
      </c>
      <c r="D164" s="105">
        <f t="shared" si="23"/>
        <v>79.075462398375095</v>
      </c>
      <c r="E164" s="105">
        <f t="shared" si="24"/>
        <v>11.2964946283393</v>
      </c>
    </row>
    <row r="165" spans="2:5" s="1" customFormat="1" ht="20.149999999999999" customHeight="1" x14ac:dyDescent="0.25">
      <c r="B165" s="104">
        <v>480</v>
      </c>
      <c r="C165" s="105">
        <f t="shared" si="22"/>
        <v>8</v>
      </c>
      <c r="D165" s="105">
        <f t="shared" si="23"/>
        <v>81.759782393419243</v>
      </c>
      <c r="E165" s="105">
        <f t="shared" si="24"/>
        <v>10.219972799177405</v>
      </c>
    </row>
    <row r="166" spans="2:5" s="1" customFormat="1" ht="20.149999999999999" customHeight="1" x14ac:dyDescent="0.25">
      <c r="B166" s="104">
        <v>600</v>
      </c>
      <c r="C166" s="105">
        <f t="shared" si="22"/>
        <v>10</v>
      </c>
      <c r="D166" s="105">
        <f t="shared" si="23"/>
        <v>86.450444407955302</v>
      </c>
      <c r="E166" s="105">
        <f t="shared" si="24"/>
        <v>8.6450444407955302</v>
      </c>
    </row>
    <row r="167" spans="2:5" s="1" customFormat="1" ht="20.149999999999999" customHeight="1" x14ac:dyDescent="0.25">
      <c r="B167" s="104">
        <v>660</v>
      </c>
      <c r="C167" s="105">
        <f t="shared" si="22"/>
        <v>11</v>
      </c>
      <c r="D167" s="105">
        <f t="shared" si="23"/>
        <v>88.53508354562085</v>
      </c>
      <c r="E167" s="105">
        <f t="shared" si="24"/>
        <v>8.0486439586928054</v>
      </c>
    </row>
    <row r="168" spans="2:5" s="1" customFormat="1" ht="20.149999999999999" customHeight="1" x14ac:dyDescent="0.25">
      <c r="B168" s="104">
        <v>720</v>
      </c>
      <c r="C168" s="105">
        <f t="shared" si="22"/>
        <v>12</v>
      </c>
      <c r="D168" s="105">
        <f t="shared" si="23"/>
        <v>90.482072933429762</v>
      </c>
      <c r="E168" s="105">
        <f t="shared" si="24"/>
        <v>7.5401727444524802</v>
      </c>
    </row>
    <row r="169" spans="2:5" s="1" customFormat="1" x14ac:dyDescent="0.25"/>
  </sheetData>
  <mergeCells count="10">
    <mergeCell ref="B114:D114"/>
    <mergeCell ref="B79:D79"/>
    <mergeCell ref="B133:D133"/>
    <mergeCell ref="B152:D152"/>
    <mergeCell ref="C2:E2"/>
    <mergeCell ref="C3:E3"/>
    <mergeCell ref="C4:E4"/>
    <mergeCell ref="C5:E5"/>
    <mergeCell ref="B9:D9"/>
    <mergeCell ref="B44:D44"/>
  </mergeCells>
  <phoneticPr fontId="4" type="noConversion"/>
  <printOptions horizontalCentered="1"/>
  <pageMargins left="0.35433070866141736" right="0.35433070866141736" top="0.53" bottom="0.67" header="0" footer="0"/>
  <pageSetup paperSize="9" scale="85" orientation="portrait" r:id="rId1"/>
  <headerFooter alignWithMargins="0"/>
  <rowBreaks count="4" manualBreakCount="4">
    <brk id="42" max="5" man="1"/>
    <brk id="77" max="5" man="1"/>
    <brk id="113" max="5" man="1"/>
    <brk id="131" max="5" man="1"/>
  </rowBreaks>
  <colBreaks count="1" manualBreakCount="1">
    <brk id="6" max="14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EA38-BD71-46EB-A0E7-DDDCEAF7FB0F}">
  <dimension ref="C5:R41"/>
  <sheetViews>
    <sheetView topLeftCell="B16" zoomScale="115" zoomScaleNormal="115" workbookViewId="0">
      <selection activeCell="M9" sqref="M9:P11"/>
    </sheetView>
  </sheetViews>
  <sheetFormatPr baseColWidth="10" defaultRowHeight="15.5" x14ac:dyDescent="0.25"/>
  <cols>
    <col min="1" max="2" width="10.90625" style="170"/>
    <col min="3" max="3" width="13.81640625" style="170" customWidth="1"/>
    <col min="4" max="4" width="17.1796875" style="170" customWidth="1"/>
    <col min="5" max="5" width="17.90625" style="170" customWidth="1"/>
    <col min="6" max="6" width="14.08984375" style="170" customWidth="1"/>
    <col min="7" max="7" width="14.90625" style="170" customWidth="1"/>
    <col min="8" max="8" width="10.90625" style="170"/>
    <col min="9" max="9" width="19.54296875" style="170" customWidth="1"/>
    <col min="10" max="13" width="10.90625" style="170"/>
    <col min="14" max="14" width="17.08984375" style="170" customWidth="1"/>
    <col min="15" max="15" width="13.81640625" style="170" customWidth="1"/>
    <col min="16" max="16384" width="10.90625" style="170"/>
  </cols>
  <sheetData>
    <row r="5" spans="3:18" x14ac:dyDescent="0.25">
      <c r="C5" s="245" t="s">
        <v>299</v>
      </c>
      <c r="D5" s="245"/>
      <c r="E5" s="245"/>
      <c r="F5" s="245"/>
      <c r="H5" s="246" t="s">
        <v>300</v>
      </c>
      <c r="I5" s="246"/>
      <c r="J5" s="246"/>
      <c r="K5" s="246"/>
      <c r="M5" s="246" t="s">
        <v>301</v>
      </c>
      <c r="N5" s="246"/>
      <c r="O5" s="246"/>
      <c r="P5" s="246"/>
    </row>
    <row r="6" spans="3:18" ht="27.5" customHeight="1" x14ac:dyDescent="0.25">
      <c r="C6" s="172" t="s">
        <v>290</v>
      </c>
      <c r="D6" s="172" t="s">
        <v>168</v>
      </c>
      <c r="E6" s="172" t="s">
        <v>291</v>
      </c>
      <c r="F6" s="172" t="s">
        <v>292</v>
      </c>
      <c r="H6" s="178" t="s">
        <v>290</v>
      </c>
      <c r="I6" s="178" t="s">
        <v>168</v>
      </c>
      <c r="J6" s="178" t="s">
        <v>291</v>
      </c>
      <c r="K6" s="178" t="s">
        <v>292</v>
      </c>
      <c r="M6" s="179" t="s">
        <v>290</v>
      </c>
      <c r="N6" s="179" t="s">
        <v>168</v>
      </c>
      <c r="O6" s="179" t="s">
        <v>291</v>
      </c>
      <c r="P6" s="179" t="s">
        <v>292</v>
      </c>
    </row>
    <row r="7" spans="3:18" ht="27" customHeight="1" x14ac:dyDescent="0.25">
      <c r="C7" s="173">
        <v>1</v>
      </c>
      <c r="D7" s="173" t="s">
        <v>281</v>
      </c>
      <c r="E7" s="174">
        <v>0.88</v>
      </c>
      <c r="F7" s="175">
        <v>298.37900000000002</v>
      </c>
      <c r="H7" s="176">
        <v>1</v>
      </c>
      <c r="I7" s="177" t="s">
        <v>293</v>
      </c>
      <c r="J7" s="177">
        <v>0.88</v>
      </c>
      <c r="K7" s="175">
        <v>44.64</v>
      </c>
      <c r="M7" s="176">
        <v>1</v>
      </c>
      <c r="N7" s="177" t="s">
        <v>298</v>
      </c>
      <c r="O7" s="177">
        <v>0.28999999999999998</v>
      </c>
      <c r="P7" s="174">
        <v>1232.2070000000001</v>
      </c>
      <c r="Q7" s="171"/>
      <c r="R7" s="171"/>
    </row>
    <row r="8" spans="3:18" ht="27" customHeight="1" x14ac:dyDescent="0.25">
      <c r="C8" s="173">
        <v>2</v>
      </c>
      <c r="D8" s="173" t="s">
        <v>282</v>
      </c>
      <c r="E8" s="174">
        <v>0.88</v>
      </c>
      <c r="F8" s="175">
        <v>130.50200000000001</v>
      </c>
      <c r="H8" s="176">
        <v>2</v>
      </c>
      <c r="I8" s="177" t="s">
        <v>294</v>
      </c>
      <c r="J8" s="177">
        <v>0.88</v>
      </c>
      <c r="K8" s="175">
        <v>9.9659999999999993</v>
      </c>
      <c r="M8" s="180"/>
      <c r="N8" s="181"/>
      <c r="O8" s="184"/>
      <c r="P8" s="182"/>
    </row>
    <row r="9" spans="3:18" ht="27" customHeight="1" x14ac:dyDescent="0.25">
      <c r="C9" s="173">
        <v>3</v>
      </c>
      <c r="D9" s="173" t="s">
        <v>283</v>
      </c>
      <c r="E9" s="174">
        <v>0.88</v>
      </c>
      <c r="F9" s="175">
        <v>128.56200000000001</v>
      </c>
      <c r="H9" s="176">
        <v>3</v>
      </c>
      <c r="I9" s="177" t="s">
        <v>295</v>
      </c>
      <c r="J9" s="177">
        <v>0.88</v>
      </c>
      <c r="K9" s="175">
        <v>952.43799999999999</v>
      </c>
      <c r="M9" s="210" t="s">
        <v>302</v>
      </c>
      <c r="N9" s="210"/>
      <c r="O9" s="210"/>
      <c r="P9" s="210"/>
    </row>
    <row r="10" spans="3:18" ht="27" customHeight="1" x14ac:dyDescent="0.25">
      <c r="C10" s="173">
        <v>4</v>
      </c>
      <c r="D10" s="173" t="s">
        <v>284</v>
      </c>
      <c r="E10" s="174">
        <v>0.88</v>
      </c>
      <c r="F10" s="175">
        <v>374.02600000000001</v>
      </c>
      <c r="H10" s="176">
        <v>4</v>
      </c>
      <c r="I10" s="177" t="s">
        <v>296</v>
      </c>
      <c r="J10" s="177">
        <v>0.88</v>
      </c>
      <c r="K10" s="175">
        <v>185.756</v>
      </c>
      <c r="M10" s="183" t="s">
        <v>290</v>
      </c>
      <c r="N10" s="183" t="s">
        <v>168</v>
      </c>
      <c r="O10" s="183" t="s">
        <v>291</v>
      </c>
      <c r="P10" s="183" t="s">
        <v>292</v>
      </c>
    </row>
    <row r="11" spans="3:18" ht="39" customHeight="1" x14ac:dyDescent="0.25">
      <c r="C11" s="173">
        <v>5</v>
      </c>
      <c r="D11" s="173" t="s">
        <v>285</v>
      </c>
      <c r="E11" s="174">
        <v>0.88</v>
      </c>
      <c r="F11" s="175">
        <v>374.01400000000001</v>
      </c>
      <c r="H11" s="176">
        <v>5</v>
      </c>
      <c r="I11" s="177" t="s">
        <v>297</v>
      </c>
      <c r="J11" s="177">
        <v>0.88</v>
      </c>
      <c r="K11" s="175">
        <v>71.801000000000002</v>
      </c>
      <c r="M11" s="173">
        <v>1</v>
      </c>
      <c r="N11" s="173" t="s">
        <v>318</v>
      </c>
      <c r="O11" s="173">
        <v>0.86</v>
      </c>
      <c r="P11" s="175">
        <v>574.37300000000005</v>
      </c>
    </row>
    <row r="12" spans="3:18" ht="39" customHeight="1" x14ac:dyDescent="0.25">
      <c r="C12" s="173">
        <v>6</v>
      </c>
      <c r="D12" s="173" t="s">
        <v>286</v>
      </c>
      <c r="E12" s="174">
        <v>0.88</v>
      </c>
      <c r="F12" s="175">
        <v>376.65600000000001</v>
      </c>
    </row>
    <row r="13" spans="3:18" ht="27" customHeight="1" x14ac:dyDescent="0.25">
      <c r="C13" s="173">
        <v>7</v>
      </c>
      <c r="D13" s="173" t="s">
        <v>287</v>
      </c>
      <c r="E13" s="174">
        <v>0.88</v>
      </c>
      <c r="F13" s="175">
        <v>371.42500000000001</v>
      </c>
      <c r="K13" s="171"/>
    </row>
    <row r="14" spans="3:18" ht="27" customHeight="1" x14ac:dyDescent="0.25">
      <c r="C14" s="173">
        <v>8</v>
      </c>
      <c r="D14" s="173" t="s">
        <v>288</v>
      </c>
      <c r="E14" s="174">
        <v>0.88</v>
      </c>
      <c r="F14" s="175">
        <v>474.75900000000001</v>
      </c>
    </row>
    <row r="15" spans="3:18" ht="27" customHeight="1" x14ac:dyDescent="0.25">
      <c r="C15" s="173">
        <v>9</v>
      </c>
      <c r="D15" s="173" t="s">
        <v>289</v>
      </c>
      <c r="E15" s="174">
        <v>0.88</v>
      </c>
      <c r="F15" s="175">
        <v>101.752</v>
      </c>
    </row>
    <row r="16" spans="3:18" ht="27" customHeight="1" x14ac:dyDescent="0.25">
      <c r="C16" s="173">
        <v>10</v>
      </c>
      <c r="D16" s="173" t="s">
        <v>317</v>
      </c>
      <c r="E16" s="174">
        <v>0.88</v>
      </c>
      <c r="F16" s="175">
        <v>100.98699999999999</v>
      </c>
    </row>
    <row r="17" spans="3:7" ht="27" customHeight="1" x14ac:dyDescent="0.25">
      <c r="C17" s="173">
        <v>11</v>
      </c>
      <c r="D17" s="173" t="s">
        <v>316</v>
      </c>
      <c r="E17" s="174">
        <v>0.88</v>
      </c>
      <c r="F17" s="175">
        <v>855.77</v>
      </c>
    </row>
    <row r="18" spans="3:7" x14ac:dyDescent="0.25">
      <c r="C18" s="173">
        <v>12</v>
      </c>
      <c r="D18" s="173" t="s">
        <v>321</v>
      </c>
      <c r="E18" s="174">
        <v>0.88</v>
      </c>
      <c r="F18" s="173">
        <v>62.929000000000002</v>
      </c>
    </row>
    <row r="19" spans="3:7" x14ac:dyDescent="0.25">
      <c r="C19" s="173">
        <v>13</v>
      </c>
      <c r="D19" s="173" t="s">
        <v>322</v>
      </c>
      <c r="E19" s="174">
        <v>0.88</v>
      </c>
      <c r="F19" s="173">
        <v>15.535</v>
      </c>
    </row>
    <row r="20" spans="3:7" x14ac:dyDescent="0.25">
      <c r="C20" s="173">
        <v>14</v>
      </c>
      <c r="D20" s="173" t="s">
        <v>323</v>
      </c>
      <c r="E20" s="174">
        <v>0.88</v>
      </c>
      <c r="F20" s="173">
        <v>15.535</v>
      </c>
    </row>
    <row r="22" spans="3:7" x14ac:dyDescent="0.25">
      <c r="F22" s="171"/>
    </row>
    <row r="27" spans="3:7" x14ac:dyDescent="0.25">
      <c r="C27" s="187" t="s">
        <v>303</v>
      </c>
      <c r="D27" s="188" t="s">
        <v>304</v>
      </c>
      <c r="E27" s="188" t="s">
        <v>305</v>
      </c>
      <c r="F27" s="188" t="s">
        <v>324</v>
      </c>
      <c r="G27" s="188" t="s">
        <v>306</v>
      </c>
    </row>
    <row r="28" spans="3:7" x14ac:dyDescent="0.25">
      <c r="C28" s="173" t="s">
        <v>307</v>
      </c>
      <c r="D28" s="174">
        <v>298.38</v>
      </c>
      <c r="E28" s="174">
        <v>102.51</v>
      </c>
      <c r="F28" s="174">
        <v>0</v>
      </c>
      <c r="G28" s="174">
        <v>99.89</v>
      </c>
    </row>
    <row r="29" spans="3:7" x14ac:dyDescent="0.25">
      <c r="C29" s="173" t="s">
        <v>308</v>
      </c>
      <c r="D29" s="174">
        <v>130.5</v>
      </c>
      <c r="E29" s="174">
        <v>44.84</v>
      </c>
      <c r="F29" s="174">
        <v>287.185</v>
      </c>
      <c r="G29" s="174">
        <v>43.69</v>
      </c>
    </row>
    <row r="30" spans="3:7" x14ac:dyDescent="0.25">
      <c r="C30" s="173" t="s">
        <v>309</v>
      </c>
      <c r="D30" s="174">
        <v>128.56</v>
      </c>
      <c r="E30" s="174">
        <v>44.17</v>
      </c>
      <c r="F30" s="174">
        <v>287.185</v>
      </c>
      <c r="G30" s="174">
        <v>43.04</v>
      </c>
    </row>
    <row r="31" spans="3:7" x14ac:dyDescent="0.25">
      <c r="C31" s="173" t="s">
        <v>310</v>
      </c>
      <c r="D31" s="174">
        <v>374.03</v>
      </c>
      <c r="E31" s="174">
        <v>128.5</v>
      </c>
      <c r="F31" s="174">
        <v>0</v>
      </c>
      <c r="G31" s="174">
        <v>125.21</v>
      </c>
    </row>
    <row r="32" spans="3:7" x14ac:dyDescent="0.25">
      <c r="C32" s="173" t="s">
        <v>311</v>
      </c>
      <c r="D32" s="174">
        <v>374.01</v>
      </c>
      <c r="E32" s="174">
        <v>128.5</v>
      </c>
      <c r="F32" s="174">
        <v>0</v>
      </c>
      <c r="G32" s="174">
        <v>125.2</v>
      </c>
    </row>
    <row r="33" spans="3:7" x14ac:dyDescent="0.25">
      <c r="C33" s="173" t="s">
        <v>312</v>
      </c>
      <c r="D33" s="174">
        <v>376.66</v>
      </c>
      <c r="E33" s="174">
        <v>129.41</v>
      </c>
      <c r="F33" s="174">
        <v>0</v>
      </c>
      <c r="G33" s="174">
        <v>126.09</v>
      </c>
    </row>
    <row r="34" spans="3:7" x14ac:dyDescent="0.25">
      <c r="C34" s="173" t="s">
        <v>313</v>
      </c>
      <c r="D34" s="174">
        <v>371.43</v>
      </c>
      <c r="E34" s="174">
        <v>127.61</v>
      </c>
      <c r="F34" s="174">
        <v>0</v>
      </c>
      <c r="G34" s="174">
        <v>124.34</v>
      </c>
    </row>
    <row r="35" spans="3:7" x14ac:dyDescent="0.25">
      <c r="C35" s="173" t="s">
        <v>314</v>
      </c>
      <c r="D35" s="174">
        <v>474.76</v>
      </c>
      <c r="E35" s="174">
        <v>163.11000000000001</v>
      </c>
      <c r="F35" s="174">
        <v>0</v>
      </c>
      <c r="G35" s="174">
        <v>158.93</v>
      </c>
    </row>
    <row r="36" spans="3:7" x14ac:dyDescent="0.25">
      <c r="C36" s="173" t="s">
        <v>315</v>
      </c>
      <c r="D36" s="174">
        <v>101.75</v>
      </c>
      <c r="E36" s="174">
        <v>34.96</v>
      </c>
      <c r="F36" s="174">
        <v>0</v>
      </c>
      <c r="G36" s="174">
        <v>34.06</v>
      </c>
    </row>
    <row r="37" spans="3:7" x14ac:dyDescent="0.25">
      <c r="C37" s="173" t="s">
        <v>319</v>
      </c>
      <c r="D37" s="174">
        <v>100.99</v>
      </c>
      <c r="E37" s="174">
        <v>34.700000000000003</v>
      </c>
      <c r="F37" s="174">
        <v>0</v>
      </c>
      <c r="G37" s="174">
        <v>33.81</v>
      </c>
    </row>
    <row r="38" spans="3:7" x14ac:dyDescent="0.25">
      <c r="C38" s="173" t="s">
        <v>316</v>
      </c>
      <c r="D38" s="174">
        <v>855.77</v>
      </c>
      <c r="E38" s="174">
        <v>294.01</v>
      </c>
      <c r="F38" s="174">
        <v>0</v>
      </c>
      <c r="G38" s="174">
        <v>286.48</v>
      </c>
    </row>
    <row r="39" spans="3:7" x14ac:dyDescent="0.25">
      <c r="C39" s="173" t="s">
        <v>325</v>
      </c>
      <c r="D39" s="174">
        <v>62.929000000000002</v>
      </c>
      <c r="E39" s="174">
        <v>21.62</v>
      </c>
      <c r="F39" s="174">
        <v>0</v>
      </c>
      <c r="G39" s="174">
        <v>21.07</v>
      </c>
    </row>
    <row r="40" spans="3:7" x14ac:dyDescent="0.25">
      <c r="C40" s="173" t="s">
        <v>322</v>
      </c>
      <c r="D40" s="174">
        <v>15.535</v>
      </c>
      <c r="E40" s="174">
        <v>5.34</v>
      </c>
      <c r="F40" s="174">
        <v>0</v>
      </c>
      <c r="G40" s="174">
        <v>5.2</v>
      </c>
    </row>
    <row r="41" spans="3:7" x14ac:dyDescent="0.25">
      <c r="C41" s="173" t="s">
        <v>323</v>
      </c>
      <c r="D41" s="174">
        <v>15.535</v>
      </c>
      <c r="E41" s="174">
        <v>5.34</v>
      </c>
      <c r="F41" s="174">
        <v>0</v>
      </c>
      <c r="G41" s="174">
        <v>5.2</v>
      </c>
    </row>
  </sheetData>
  <mergeCells count="4">
    <mergeCell ref="C5:F5"/>
    <mergeCell ref="H5:K5"/>
    <mergeCell ref="M5:P5"/>
    <mergeCell ref="M9:P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BDEF5-ED57-4224-95BB-8BEDA5E16C05}">
  <dimension ref="B2:S83"/>
  <sheetViews>
    <sheetView topLeftCell="B1" zoomScaleNormal="100" workbookViewId="0">
      <selection activeCell="G10" sqref="G10"/>
    </sheetView>
  </sheetViews>
  <sheetFormatPr baseColWidth="10" defaultColWidth="11.54296875" defaultRowHeight="15.5" x14ac:dyDescent="0.25"/>
  <cols>
    <col min="1" max="1" width="11.54296875" style="63"/>
    <col min="2" max="2" width="15.08984375" style="63" customWidth="1"/>
    <col min="3" max="3" width="14.90625" style="63" customWidth="1"/>
    <col min="4" max="4" width="15.90625" style="63" customWidth="1"/>
    <col min="5" max="5" width="16.453125" style="63" customWidth="1"/>
    <col min="6" max="6" width="13.81640625" style="63" customWidth="1"/>
    <col min="7" max="7" width="13.6328125" style="63" customWidth="1"/>
    <col min="8" max="8" width="11.54296875" style="63"/>
    <col min="9" max="9" width="22" style="63" customWidth="1"/>
    <col min="10" max="10" width="13" style="63" customWidth="1"/>
    <col min="11" max="11" width="14.36328125" style="63" customWidth="1"/>
    <col min="12" max="12" width="11.54296875" style="63"/>
    <col min="13" max="13" width="12.6328125" style="63" bestFit="1" customWidth="1"/>
    <col min="14" max="16384" width="11.54296875" style="63"/>
  </cols>
  <sheetData>
    <row r="2" spans="2:19" ht="18" x14ac:dyDescent="0.4">
      <c r="B2" s="247" t="s">
        <v>174</v>
      </c>
      <c r="C2" s="247"/>
      <c r="D2" s="247"/>
      <c r="E2" s="247"/>
      <c r="F2" s="247"/>
      <c r="G2" s="247"/>
      <c r="I2" s="248" t="s">
        <v>192</v>
      </c>
      <c r="J2" s="248"/>
      <c r="K2" s="248"/>
      <c r="L2" s="248"/>
      <c r="M2" s="248"/>
      <c r="N2" s="248"/>
    </row>
    <row r="3" spans="2:19" ht="46.25" customHeight="1" x14ac:dyDescent="0.25">
      <c r="B3" s="64" t="s">
        <v>168</v>
      </c>
      <c r="C3" s="64" t="s">
        <v>171</v>
      </c>
      <c r="D3" s="64" t="s">
        <v>170</v>
      </c>
      <c r="E3" s="64" t="s">
        <v>188</v>
      </c>
      <c r="F3" s="64" t="s">
        <v>172</v>
      </c>
      <c r="G3" s="64" t="s">
        <v>173</v>
      </c>
      <c r="I3" s="64" t="s">
        <v>168</v>
      </c>
      <c r="J3" s="64" t="s">
        <v>171</v>
      </c>
      <c r="K3" s="64" t="s">
        <v>170</v>
      </c>
      <c r="L3" s="64" t="s">
        <v>188</v>
      </c>
      <c r="M3" s="64" t="s">
        <v>172</v>
      </c>
      <c r="N3" s="64" t="s">
        <v>173</v>
      </c>
    </row>
    <row r="4" spans="2:19" ht="21" customHeight="1" x14ac:dyDescent="0.25">
      <c r="B4" s="60" t="s">
        <v>213</v>
      </c>
      <c r="C4" s="60">
        <v>0.95</v>
      </c>
      <c r="D4" s="61">
        <v>210.98</v>
      </c>
      <c r="E4" s="61">
        <v>984.78</v>
      </c>
      <c r="F4" s="67">
        <f t="shared" ref="F4:F14" si="0">E4/10000</f>
        <v>9.8477999999999996E-2</v>
      </c>
      <c r="G4" s="62">
        <f t="shared" ref="G4:G14" si="1">C4*D4*F4/360</f>
        <v>5.4827900049999989E-2</v>
      </c>
      <c r="I4" s="60" t="s">
        <v>224</v>
      </c>
      <c r="J4" s="60">
        <v>0.95</v>
      </c>
      <c r="K4" s="61">
        <v>210.98</v>
      </c>
      <c r="L4" s="61">
        <v>107.11</v>
      </c>
      <c r="M4" s="67">
        <f>L4/10000</f>
        <v>1.0711E-2</v>
      </c>
      <c r="N4" s="67">
        <f>J4*K4*M4/360</f>
        <v>5.9633790027777776E-3</v>
      </c>
    </row>
    <row r="5" spans="2:19" ht="21" customHeight="1" x14ac:dyDescent="0.25">
      <c r="B5" s="60" t="s">
        <v>214</v>
      </c>
      <c r="C5" s="60">
        <v>0.95</v>
      </c>
      <c r="D5" s="61">
        <v>210.98</v>
      </c>
      <c r="E5" s="61">
        <v>597.70000000000005</v>
      </c>
      <c r="F5" s="67">
        <f t="shared" si="0"/>
        <v>5.9770000000000004E-2</v>
      </c>
      <c r="G5" s="62">
        <f t="shared" si="1"/>
        <v>3.3277113527777777E-2</v>
      </c>
      <c r="I5" s="60" t="s">
        <v>225</v>
      </c>
      <c r="J5" s="60">
        <v>0.95</v>
      </c>
      <c r="K5" s="61">
        <v>210.98</v>
      </c>
      <c r="L5" s="61">
        <v>103.14</v>
      </c>
      <c r="M5" s="67">
        <f t="shared" ref="M5:M11" si="2">L5/10000</f>
        <v>1.0314E-2</v>
      </c>
      <c r="N5" s="67">
        <f t="shared" ref="N5:N11" si="3">J5*K5*M5/360</f>
        <v>5.7423481499999998E-3</v>
      </c>
      <c r="Q5" s="254"/>
    </row>
    <row r="6" spans="2:19" ht="21" customHeight="1" x14ac:dyDescent="0.25">
      <c r="B6" s="60" t="s">
        <v>215</v>
      </c>
      <c r="C6" s="60">
        <v>0.95</v>
      </c>
      <c r="D6" s="61">
        <v>210.98</v>
      </c>
      <c r="E6" s="61">
        <v>234.4</v>
      </c>
      <c r="F6" s="67">
        <f t="shared" si="0"/>
        <v>2.3439999999999999E-2</v>
      </c>
      <c r="G6" s="62">
        <f t="shared" si="1"/>
        <v>1.3050285111111108E-2</v>
      </c>
      <c r="I6" s="60" t="s">
        <v>226</v>
      </c>
      <c r="J6" s="60">
        <v>0.95</v>
      </c>
      <c r="K6" s="61">
        <v>210.98</v>
      </c>
      <c r="L6" s="61">
        <v>231.55</v>
      </c>
      <c r="M6" s="67">
        <f t="shared" si="2"/>
        <v>2.3155000000000002E-2</v>
      </c>
      <c r="N6" s="67">
        <f t="shared" si="3"/>
        <v>1.2891610569444444E-2</v>
      </c>
      <c r="Q6" s="254"/>
    </row>
    <row r="7" spans="2:19" ht="18" customHeight="1" x14ac:dyDescent="0.25">
      <c r="B7" s="60" t="s">
        <v>216</v>
      </c>
      <c r="C7" s="60">
        <v>0.95</v>
      </c>
      <c r="D7" s="61">
        <v>210.98</v>
      </c>
      <c r="E7" s="61">
        <v>305.60000000000002</v>
      </c>
      <c r="F7" s="67">
        <f t="shared" si="0"/>
        <v>3.0560000000000004E-2</v>
      </c>
      <c r="G7" s="62">
        <f t="shared" si="1"/>
        <v>1.701436488888889E-2</v>
      </c>
      <c r="I7" s="60" t="s">
        <v>245</v>
      </c>
      <c r="J7" s="60">
        <v>0.95</v>
      </c>
      <c r="K7" s="61">
        <v>210.98</v>
      </c>
      <c r="L7" s="61">
        <v>74.87</v>
      </c>
      <c r="M7" s="67">
        <f t="shared" si="2"/>
        <v>7.4870000000000006E-3</v>
      </c>
      <c r="N7" s="67">
        <f t="shared" si="3"/>
        <v>4.1684080472222228E-3</v>
      </c>
      <c r="Q7" s="254"/>
    </row>
    <row r="8" spans="2:19" ht="46.75" customHeight="1" x14ac:dyDescent="0.25">
      <c r="B8" s="60" t="s">
        <v>217</v>
      </c>
      <c r="C8" s="60">
        <v>0.95</v>
      </c>
      <c r="D8" s="61">
        <v>210.98</v>
      </c>
      <c r="E8" s="61">
        <v>224.59</v>
      </c>
      <c r="F8" s="67">
        <f t="shared" si="0"/>
        <v>2.2459E-2</v>
      </c>
      <c r="G8" s="62">
        <f t="shared" si="1"/>
        <v>1.2504110636111111E-2</v>
      </c>
      <c r="I8" s="60" t="s">
        <v>246</v>
      </c>
      <c r="J8" s="60">
        <v>0.95</v>
      </c>
      <c r="K8" s="61">
        <v>210.98</v>
      </c>
      <c r="L8" s="61">
        <v>98.73</v>
      </c>
      <c r="M8" s="67">
        <f t="shared" si="2"/>
        <v>9.8729999999999998E-3</v>
      </c>
      <c r="N8" s="67">
        <f t="shared" si="3"/>
        <v>5.4968201749999992E-3</v>
      </c>
      <c r="Q8" s="254"/>
    </row>
    <row r="9" spans="2:19" ht="31.25" customHeight="1" x14ac:dyDescent="0.25">
      <c r="B9" s="60" t="s">
        <v>218</v>
      </c>
      <c r="C9" s="60">
        <v>0.95</v>
      </c>
      <c r="D9" s="61">
        <v>210.98</v>
      </c>
      <c r="E9" s="61">
        <v>66.06</v>
      </c>
      <c r="F9" s="67">
        <f t="shared" si="0"/>
        <v>6.6059999999999999E-3</v>
      </c>
      <c r="G9" s="62">
        <f t="shared" si="1"/>
        <v>3.6779088499999993E-3</v>
      </c>
      <c r="I9" s="60" t="s">
        <v>247</v>
      </c>
      <c r="J9" s="60">
        <v>0.95</v>
      </c>
      <c r="K9" s="61">
        <v>210.98</v>
      </c>
      <c r="L9" s="61">
        <v>293.88</v>
      </c>
      <c r="M9" s="67">
        <f t="shared" si="2"/>
        <v>2.9388000000000001E-2</v>
      </c>
      <c r="N9" s="67">
        <f t="shared" si="3"/>
        <v>1.6361850633333334E-2</v>
      </c>
      <c r="Q9" s="254"/>
    </row>
    <row r="10" spans="2:19" ht="24.65" customHeight="1" x14ac:dyDescent="0.25">
      <c r="B10" s="60" t="s">
        <v>219</v>
      </c>
      <c r="C10" s="60">
        <v>0.95</v>
      </c>
      <c r="D10" s="61">
        <v>210.98</v>
      </c>
      <c r="E10" s="61">
        <v>196.47</v>
      </c>
      <c r="F10" s="67">
        <f t="shared" si="0"/>
        <v>1.9647000000000001E-2</v>
      </c>
      <c r="G10" s="62">
        <f t="shared" si="1"/>
        <v>1.0938521825E-2</v>
      </c>
      <c r="I10" s="60" t="s">
        <v>248</v>
      </c>
      <c r="J10" s="60">
        <v>0.95</v>
      </c>
      <c r="K10" s="61">
        <v>210.98</v>
      </c>
      <c r="L10" s="61">
        <v>38.909999999999997</v>
      </c>
      <c r="M10" s="67">
        <f t="shared" si="2"/>
        <v>3.8909999999999995E-3</v>
      </c>
      <c r="N10" s="67">
        <f t="shared" si="3"/>
        <v>2.1663250583333327E-3</v>
      </c>
      <c r="Q10" s="254"/>
    </row>
    <row r="11" spans="2:19" ht="18" customHeight="1" x14ac:dyDescent="0.25">
      <c r="B11" s="60" t="s">
        <v>220</v>
      </c>
      <c r="C11" s="60">
        <v>0.95</v>
      </c>
      <c r="D11" s="61">
        <v>210.98</v>
      </c>
      <c r="E11" s="61">
        <v>208.24</v>
      </c>
      <c r="F11" s="67">
        <f t="shared" si="0"/>
        <v>2.0824000000000002E-2</v>
      </c>
      <c r="G11" s="62">
        <f t="shared" si="1"/>
        <v>1.1593819844444445E-2</v>
      </c>
      <c r="I11" s="60" t="s">
        <v>249</v>
      </c>
      <c r="J11" s="60">
        <v>0.95</v>
      </c>
      <c r="K11" s="61">
        <v>210.98</v>
      </c>
      <c r="L11" s="61">
        <v>37.03</v>
      </c>
      <c r="M11" s="67">
        <f t="shared" si="2"/>
        <v>3.7030000000000001E-3</v>
      </c>
      <c r="N11" s="67">
        <f t="shared" si="3"/>
        <v>2.0616555361111111E-3</v>
      </c>
      <c r="P11" s="65"/>
      <c r="Q11" s="254"/>
      <c r="S11" s="65"/>
    </row>
    <row r="12" spans="2:19" x14ac:dyDescent="0.25">
      <c r="B12" s="60" t="s">
        <v>221</v>
      </c>
      <c r="C12" s="60">
        <v>0.95</v>
      </c>
      <c r="D12" s="61">
        <v>210.98</v>
      </c>
      <c r="E12" s="61">
        <v>558.9</v>
      </c>
      <c r="F12" s="67">
        <f t="shared" si="0"/>
        <v>5.5889999999999995E-2</v>
      </c>
      <c r="G12" s="62">
        <f t="shared" si="1"/>
        <v>3.1116912749999996E-2</v>
      </c>
      <c r="P12" s="65"/>
      <c r="Q12" s="254"/>
      <c r="S12" s="65"/>
    </row>
    <row r="13" spans="2:19" ht="39" customHeight="1" x14ac:dyDescent="0.4">
      <c r="B13" s="60" t="s">
        <v>222</v>
      </c>
      <c r="C13" s="60">
        <v>0.95</v>
      </c>
      <c r="D13" s="61">
        <v>210.98</v>
      </c>
      <c r="E13" s="61">
        <v>827.55</v>
      </c>
      <c r="F13" s="67">
        <f t="shared" si="0"/>
        <v>8.2754999999999995E-2</v>
      </c>
      <c r="G13" s="62">
        <f t="shared" si="1"/>
        <v>4.6074076124999988E-2</v>
      </c>
      <c r="I13" s="248" t="s">
        <v>193</v>
      </c>
      <c r="J13" s="248"/>
      <c r="K13" s="248"/>
      <c r="L13" s="248"/>
      <c r="M13" s="248"/>
      <c r="N13" s="248"/>
      <c r="P13" s="65"/>
      <c r="Q13" s="254"/>
      <c r="S13" s="65"/>
    </row>
    <row r="14" spans="2:19" ht="34.25" customHeight="1" x14ac:dyDescent="0.25">
      <c r="B14" s="60" t="s">
        <v>223</v>
      </c>
      <c r="C14" s="60">
        <v>0.95</v>
      </c>
      <c r="D14" s="61">
        <v>210.98</v>
      </c>
      <c r="E14" s="61">
        <v>50.58</v>
      </c>
      <c r="F14" s="67">
        <f t="shared" si="0"/>
        <v>5.058E-3</v>
      </c>
      <c r="G14" s="62">
        <f t="shared" si="1"/>
        <v>2.81605555E-3</v>
      </c>
      <c r="I14" s="64" t="s">
        <v>168</v>
      </c>
      <c r="J14" s="64" t="s">
        <v>171</v>
      </c>
      <c r="K14" s="64" t="s">
        <v>170</v>
      </c>
      <c r="L14" s="64" t="s">
        <v>188</v>
      </c>
      <c r="M14" s="64" t="s">
        <v>172</v>
      </c>
      <c r="N14" s="64" t="s">
        <v>173</v>
      </c>
      <c r="P14" s="65"/>
      <c r="Q14" s="254"/>
      <c r="S14" s="65"/>
    </row>
    <row r="15" spans="2:19" ht="19.25" customHeight="1" x14ac:dyDescent="0.25">
      <c r="I15" s="60" t="s">
        <v>227</v>
      </c>
      <c r="J15" s="60">
        <v>0.95</v>
      </c>
      <c r="K15" s="61">
        <v>210.98</v>
      </c>
      <c r="L15" s="61">
        <v>419.95</v>
      </c>
      <c r="M15" s="67">
        <f t="shared" ref="M15:M21" si="4">L15/10000</f>
        <v>4.1994999999999998E-2</v>
      </c>
      <c r="N15" s="67">
        <f>J15*K15*M15/360</f>
        <v>2.3380832902777777E-2</v>
      </c>
      <c r="P15" s="65"/>
      <c r="Q15" s="254"/>
      <c r="S15" s="65"/>
    </row>
    <row r="16" spans="2:19" ht="15.65" customHeight="1" x14ac:dyDescent="0.25">
      <c r="I16" s="60" t="s">
        <v>228</v>
      </c>
      <c r="J16" s="60">
        <v>0.95</v>
      </c>
      <c r="K16" s="61">
        <v>210.98</v>
      </c>
      <c r="L16" s="61">
        <v>136.99</v>
      </c>
      <c r="M16" s="67">
        <f t="shared" si="4"/>
        <v>1.3699000000000001E-2</v>
      </c>
      <c r="N16" s="67">
        <f t="shared" ref="N16:N21" si="5">J16*K16*M16/360</f>
        <v>7.6269563027777775E-3</v>
      </c>
      <c r="P16" s="65"/>
      <c r="Q16" s="254"/>
      <c r="S16" s="65"/>
    </row>
    <row r="17" spans="2:19" x14ac:dyDescent="0.25">
      <c r="I17" s="60" t="s">
        <v>229</v>
      </c>
      <c r="J17" s="60">
        <v>0.95</v>
      </c>
      <c r="K17" s="61">
        <v>210.98</v>
      </c>
      <c r="L17" s="61">
        <v>93.86</v>
      </c>
      <c r="M17" s="67">
        <f t="shared" si="4"/>
        <v>9.3860000000000002E-3</v>
      </c>
      <c r="N17" s="67">
        <f t="shared" si="5"/>
        <v>5.2256815722222221E-3</v>
      </c>
      <c r="Q17" s="254"/>
      <c r="S17" s="65"/>
    </row>
    <row r="18" spans="2:19" x14ac:dyDescent="0.35">
      <c r="B18" s="249" t="s">
        <v>234</v>
      </c>
      <c r="C18" s="249"/>
      <c r="E18" s="89"/>
      <c r="F18" s="89"/>
      <c r="I18" s="60" t="s">
        <v>230</v>
      </c>
      <c r="J18" s="60">
        <v>0.95</v>
      </c>
      <c r="K18" s="61">
        <v>210.98</v>
      </c>
      <c r="L18" s="61">
        <v>156.19999999999999</v>
      </c>
      <c r="M18" s="67">
        <f t="shared" si="4"/>
        <v>1.5619999999999998E-2</v>
      </c>
      <c r="N18" s="67">
        <f t="shared" si="5"/>
        <v>8.6964783888888886E-3</v>
      </c>
      <c r="Q18" s="254"/>
    </row>
    <row r="19" spans="2:19" ht="24" customHeight="1" x14ac:dyDescent="0.35">
      <c r="B19" s="64" t="s">
        <v>168</v>
      </c>
      <c r="C19" s="64" t="s">
        <v>188</v>
      </c>
      <c r="E19" s="87"/>
      <c r="F19" s="87"/>
      <c r="G19" s="66"/>
      <c r="H19" s="66"/>
      <c r="I19" s="60" t="s">
        <v>231</v>
      </c>
      <c r="J19" s="60">
        <v>0.95</v>
      </c>
      <c r="K19" s="61">
        <v>210.98</v>
      </c>
      <c r="L19" s="61">
        <v>219.65</v>
      </c>
      <c r="M19" s="67">
        <f t="shared" si="4"/>
        <v>2.1965000000000002E-2</v>
      </c>
      <c r="N19" s="67">
        <f t="shared" si="5"/>
        <v>1.2229074763888887E-2</v>
      </c>
      <c r="Q19" s="254"/>
    </row>
    <row r="20" spans="2:19" x14ac:dyDescent="0.25">
      <c r="B20" s="60" t="s">
        <v>175</v>
      </c>
      <c r="C20" s="61">
        <v>235.08179999999999</v>
      </c>
      <c r="F20" s="65"/>
      <c r="I20" s="60" t="s">
        <v>232</v>
      </c>
      <c r="J20" s="60">
        <v>0.95</v>
      </c>
      <c r="K20" s="61">
        <v>210.98</v>
      </c>
      <c r="L20" s="61">
        <v>163.06</v>
      </c>
      <c r="M20" s="67">
        <f t="shared" si="4"/>
        <v>1.6306000000000001E-2</v>
      </c>
      <c r="N20" s="67">
        <f t="shared" si="5"/>
        <v>9.0784107944444446E-3</v>
      </c>
      <c r="Q20" s="254"/>
    </row>
    <row r="21" spans="2:19" x14ac:dyDescent="0.25">
      <c r="B21" s="60" t="s">
        <v>176</v>
      </c>
      <c r="C21" s="61">
        <v>195.77340000000001</v>
      </c>
      <c r="G21" s="65">
        <f>SUM(E4:E14)</f>
        <v>4254.87</v>
      </c>
      <c r="I21" s="60" t="s">
        <v>233</v>
      </c>
      <c r="J21" s="60">
        <v>0.95</v>
      </c>
      <c r="K21" s="61">
        <v>210.98</v>
      </c>
      <c r="L21" s="61">
        <v>90.86</v>
      </c>
      <c r="M21" s="67">
        <f t="shared" si="4"/>
        <v>9.0860000000000003E-3</v>
      </c>
      <c r="N21" s="67">
        <f t="shared" si="5"/>
        <v>5.0586557388888889E-3</v>
      </c>
      <c r="Q21" s="254"/>
    </row>
    <row r="22" spans="2:19" x14ac:dyDescent="0.25">
      <c r="B22" s="60" t="s">
        <v>177</v>
      </c>
      <c r="C22" s="61">
        <v>192.63900000000001</v>
      </c>
      <c r="G22" s="65">
        <f>SUM(L15:L21)</f>
        <v>1280.57</v>
      </c>
      <c r="Q22" s="254"/>
    </row>
    <row r="23" spans="2:19" x14ac:dyDescent="0.25">
      <c r="B23" s="60" t="s">
        <v>178</v>
      </c>
      <c r="C23" s="61">
        <v>188.28219999999999</v>
      </c>
      <c r="Q23" s="254"/>
    </row>
    <row r="24" spans="2:19" ht="13.75" customHeight="1" x14ac:dyDescent="0.25">
      <c r="B24" s="60" t="s">
        <v>179</v>
      </c>
      <c r="C24" s="61">
        <v>192.63900000000001</v>
      </c>
      <c r="Q24" s="254"/>
    </row>
    <row r="25" spans="2:19" x14ac:dyDescent="0.25">
      <c r="B25" s="60" t="s">
        <v>180</v>
      </c>
      <c r="C25" s="61">
        <v>212.316</v>
      </c>
      <c r="E25" s="88"/>
      <c r="F25" s="88"/>
      <c r="I25" s="65">
        <f>G21+G22</f>
        <v>5535.44</v>
      </c>
      <c r="J25" s="65">
        <f>SUM(L15:L21)</f>
        <v>1280.57</v>
      </c>
      <c r="Q25" s="254"/>
    </row>
    <row r="26" spans="2:19" x14ac:dyDescent="0.25">
      <c r="B26" s="60" t="s">
        <v>182</v>
      </c>
      <c r="C26" s="61">
        <v>50.123699999999999</v>
      </c>
      <c r="E26" s="87"/>
      <c r="F26" s="87"/>
      <c r="I26" s="87">
        <f>I25/10000</f>
        <v>0.55354399999999992</v>
      </c>
      <c r="J26" s="87">
        <f>J25/10000</f>
        <v>0.128057</v>
      </c>
      <c r="Q26" s="254"/>
    </row>
    <row r="27" spans="2:19" x14ac:dyDescent="0.25">
      <c r="B27" s="60" t="s">
        <v>183</v>
      </c>
      <c r="C27" s="61">
        <v>50.123699999999999</v>
      </c>
      <c r="F27" s="65"/>
      <c r="Q27" s="254"/>
    </row>
    <row r="28" spans="2:19" x14ac:dyDescent="0.25">
      <c r="B28" s="60" t="s">
        <v>184</v>
      </c>
      <c r="C28" s="61">
        <v>4.9946000000000002</v>
      </c>
      <c r="Q28" s="254"/>
    </row>
    <row r="29" spans="2:19" x14ac:dyDescent="0.25">
      <c r="B29" s="60" t="s">
        <v>185</v>
      </c>
      <c r="C29" s="61">
        <v>50.351999999999997</v>
      </c>
      <c r="Q29" s="254"/>
    </row>
    <row r="30" spans="2:19" x14ac:dyDescent="0.25">
      <c r="B30" s="60" t="s">
        <v>190</v>
      </c>
      <c r="C30" s="61">
        <v>37.998399999999997</v>
      </c>
      <c r="Q30" s="254"/>
    </row>
    <row r="31" spans="2:19" x14ac:dyDescent="0.25">
      <c r="B31" s="60" t="s">
        <v>181</v>
      </c>
      <c r="C31" s="61">
        <v>22.900500000000001</v>
      </c>
    </row>
    <row r="32" spans="2:19" x14ac:dyDescent="0.25">
      <c r="B32" s="60" t="s">
        <v>186</v>
      </c>
      <c r="C32" s="61">
        <v>20.2637</v>
      </c>
    </row>
    <row r="33" spans="2:8" x14ac:dyDescent="0.25">
      <c r="B33" s="60" t="s">
        <v>187</v>
      </c>
      <c r="C33" s="61">
        <v>641.58230000000003</v>
      </c>
    </row>
    <row r="34" spans="2:8" x14ac:dyDescent="0.25">
      <c r="B34" s="60" t="s">
        <v>191</v>
      </c>
      <c r="C34" s="61">
        <v>77.08</v>
      </c>
    </row>
    <row r="35" spans="2:8" x14ac:dyDescent="0.25">
      <c r="B35" s="60" t="s">
        <v>189</v>
      </c>
      <c r="C35" s="61">
        <v>4.9534000000000002</v>
      </c>
    </row>
    <row r="38" spans="2:8" x14ac:dyDescent="0.25">
      <c r="B38" s="60" t="s">
        <v>213</v>
      </c>
      <c r="C38" s="92" t="s">
        <v>235</v>
      </c>
      <c r="D38" s="60">
        <v>0.95</v>
      </c>
      <c r="E38" s="61">
        <v>210.98</v>
      </c>
      <c r="F38" s="61">
        <v>984.78</v>
      </c>
      <c r="G38" s="62">
        <f>F38/10000</f>
        <v>9.8477999999999996E-2</v>
      </c>
      <c r="H38" s="62">
        <f>D38*E38*G38/360</f>
        <v>5.4827900049999989E-2</v>
      </c>
    </row>
    <row r="39" spans="2:8" x14ac:dyDescent="0.25">
      <c r="B39" s="60" t="s">
        <v>214</v>
      </c>
      <c r="C39" s="92" t="s">
        <v>236</v>
      </c>
      <c r="D39" s="60">
        <v>0.95</v>
      </c>
      <c r="E39" s="61">
        <v>210.98</v>
      </c>
      <c r="F39" s="61">
        <v>597.70000000000005</v>
      </c>
      <c r="G39" s="62">
        <f t="shared" ref="G39:G53" si="6">F39/10000</f>
        <v>5.9770000000000004E-2</v>
      </c>
      <c r="H39" s="62">
        <f t="shared" ref="H39:H53" si="7">D39*E39*G39/360</f>
        <v>3.3277113527777777E-2</v>
      </c>
    </row>
    <row r="40" spans="2:8" x14ac:dyDescent="0.25">
      <c r="B40" s="250" t="s">
        <v>215</v>
      </c>
      <c r="C40" s="92" t="s">
        <v>194</v>
      </c>
      <c r="D40" s="60">
        <v>0.95</v>
      </c>
      <c r="E40" s="61">
        <v>210.98</v>
      </c>
      <c r="F40" s="67">
        <v>183.89</v>
      </c>
      <c r="G40" s="62">
        <f t="shared" si="6"/>
        <v>1.8388999999999999E-2</v>
      </c>
      <c r="H40" s="62">
        <f t="shared" si="7"/>
        <v>1.0238126830555555E-2</v>
      </c>
    </row>
    <row r="41" spans="2:8" x14ac:dyDescent="0.25">
      <c r="B41" s="250"/>
      <c r="C41" s="92" t="s">
        <v>198</v>
      </c>
      <c r="D41" s="60">
        <v>0.95</v>
      </c>
      <c r="E41" s="61">
        <v>210.98</v>
      </c>
      <c r="F41" s="67">
        <v>50.51</v>
      </c>
      <c r="G41" s="62">
        <f t="shared" si="6"/>
        <v>5.0509999999999999E-3</v>
      </c>
      <c r="H41" s="62">
        <f t="shared" si="7"/>
        <v>2.8121582805555553E-3</v>
      </c>
    </row>
    <row r="42" spans="2:8" x14ac:dyDescent="0.25">
      <c r="B42" s="250" t="s">
        <v>216</v>
      </c>
      <c r="C42" s="92" t="s">
        <v>195</v>
      </c>
      <c r="D42" s="60">
        <v>0.95</v>
      </c>
      <c r="E42" s="61">
        <v>210.98</v>
      </c>
      <c r="F42" s="67">
        <v>239.32</v>
      </c>
      <c r="G42" s="62">
        <f t="shared" si="6"/>
        <v>2.3931999999999998E-2</v>
      </c>
      <c r="H42" s="62">
        <f t="shared" si="7"/>
        <v>1.3324207477777775E-2</v>
      </c>
    </row>
    <row r="43" spans="2:8" x14ac:dyDescent="0.25">
      <c r="B43" s="250"/>
      <c r="C43" s="92" t="s">
        <v>199</v>
      </c>
      <c r="D43" s="60">
        <v>0.95</v>
      </c>
      <c r="E43" s="61">
        <v>210.98</v>
      </c>
      <c r="F43" s="67">
        <v>65.73</v>
      </c>
      <c r="G43" s="62">
        <f t="shared" si="6"/>
        <v>6.5730000000000007E-3</v>
      </c>
      <c r="H43" s="62">
        <f t="shared" si="7"/>
        <v>3.6595360083333337E-3</v>
      </c>
    </row>
    <row r="44" spans="2:8" x14ac:dyDescent="0.25">
      <c r="B44" s="60" t="s">
        <v>217</v>
      </c>
      <c r="C44" s="92" t="s">
        <v>237</v>
      </c>
      <c r="D44" s="60">
        <v>0.95</v>
      </c>
      <c r="E44" s="61">
        <v>210.98</v>
      </c>
      <c r="F44" s="61">
        <v>224.59</v>
      </c>
      <c r="G44" s="62">
        <f t="shared" si="6"/>
        <v>2.2459E-2</v>
      </c>
      <c r="H44" s="62">
        <f t="shared" si="7"/>
        <v>1.2504110636111111E-2</v>
      </c>
    </row>
    <row r="45" spans="2:8" x14ac:dyDescent="0.25">
      <c r="B45" s="250" t="s">
        <v>218</v>
      </c>
      <c r="C45" s="92" t="s">
        <v>196</v>
      </c>
      <c r="D45" s="60">
        <v>0.95</v>
      </c>
      <c r="E45" s="61">
        <v>210.98</v>
      </c>
      <c r="F45" s="67">
        <v>14.21</v>
      </c>
      <c r="G45" s="62">
        <f t="shared" si="6"/>
        <v>1.4210000000000002E-3</v>
      </c>
      <c r="H45" s="62">
        <f t="shared" si="7"/>
        <v>7.9114569722222227E-4</v>
      </c>
    </row>
    <row r="46" spans="2:8" x14ac:dyDescent="0.25">
      <c r="B46" s="250"/>
      <c r="C46" s="92" t="s">
        <v>197</v>
      </c>
      <c r="D46" s="60">
        <v>0.95</v>
      </c>
      <c r="E46" s="61">
        <v>210.98</v>
      </c>
      <c r="F46" s="67">
        <v>51.83</v>
      </c>
      <c r="G46" s="62">
        <f t="shared" si="6"/>
        <v>5.1830000000000001E-3</v>
      </c>
      <c r="H46" s="62">
        <f t="shared" si="7"/>
        <v>2.8856496472222221E-3</v>
      </c>
    </row>
    <row r="47" spans="2:8" x14ac:dyDescent="0.25">
      <c r="B47" s="250" t="s">
        <v>219</v>
      </c>
      <c r="C47" s="92" t="s">
        <v>238</v>
      </c>
      <c r="D47" s="60">
        <v>0.95</v>
      </c>
      <c r="E47" s="61">
        <v>210.98</v>
      </c>
      <c r="F47" s="67">
        <v>42.34</v>
      </c>
      <c r="G47" s="62">
        <f t="shared" si="6"/>
        <v>4.2339999999999999E-3</v>
      </c>
      <c r="H47" s="62">
        <f t="shared" si="7"/>
        <v>2.3572912611111107E-3</v>
      </c>
    </row>
    <row r="48" spans="2:8" x14ac:dyDescent="0.25">
      <c r="B48" s="250"/>
      <c r="C48" s="92" t="s">
        <v>239</v>
      </c>
      <c r="D48" s="60">
        <v>0.95</v>
      </c>
      <c r="E48" s="61">
        <v>210.98</v>
      </c>
      <c r="F48" s="67">
        <v>154.13999999999999</v>
      </c>
      <c r="G48" s="62">
        <f t="shared" si="6"/>
        <v>1.5413999999999999E-2</v>
      </c>
      <c r="H48" s="62">
        <f t="shared" si="7"/>
        <v>8.5817873166666656E-3</v>
      </c>
    </row>
    <row r="49" spans="2:8" x14ac:dyDescent="0.25">
      <c r="B49" s="250" t="s">
        <v>220</v>
      </c>
      <c r="C49" s="92" t="s">
        <v>240</v>
      </c>
      <c r="D49" s="60">
        <v>0.95</v>
      </c>
      <c r="E49" s="61">
        <v>210.98</v>
      </c>
      <c r="F49" s="67">
        <v>44.87</v>
      </c>
      <c r="G49" s="62">
        <f t="shared" si="6"/>
        <v>4.4869999999999997E-3</v>
      </c>
      <c r="H49" s="62">
        <f t="shared" si="7"/>
        <v>2.4981497138888884E-3</v>
      </c>
    </row>
    <row r="50" spans="2:8" x14ac:dyDescent="0.25">
      <c r="B50" s="250"/>
      <c r="C50" s="92" t="s">
        <v>241</v>
      </c>
      <c r="D50" s="60">
        <v>0.95</v>
      </c>
      <c r="E50" s="61">
        <v>210.98</v>
      </c>
      <c r="F50" s="67">
        <v>163.37</v>
      </c>
      <c r="G50" s="62">
        <f t="shared" si="6"/>
        <v>1.6337000000000001E-2</v>
      </c>
      <c r="H50" s="62">
        <f t="shared" si="7"/>
        <v>9.0956701305555561E-3</v>
      </c>
    </row>
    <row r="51" spans="2:8" x14ac:dyDescent="0.25">
      <c r="B51" s="60" t="s">
        <v>221</v>
      </c>
      <c r="C51" s="92" t="s">
        <v>242</v>
      </c>
      <c r="D51" s="60">
        <v>0.95</v>
      </c>
      <c r="E51" s="61">
        <v>210.98</v>
      </c>
      <c r="F51" s="61">
        <v>558.9</v>
      </c>
      <c r="G51" s="62">
        <f t="shared" si="6"/>
        <v>5.5889999999999995E-2</v>
      </c>
      <c r="H51" s="62">
        <f t="shared" si="7"/>
        <v>3.1116912749999996E-2</v>
      </c>
    </row>
    <row r="52" spans="2:8" x14ac:dyDescent="0.25">
      <c r="B52" s="60" t="s">
        <v>222</v>
      </c>
      <c r="C52" s="92" t="s">
        <v>243</v>
      </c>
      <c r="D52" s="60">
        <v>0.95</v>
      </c>
      <c r="E52" s="61">
        <v>210.98</v>
      </c>
      <c r="F52" s="61">
        <v>827.55</v>
      </c>
      <c r="G52" s="62">
        <f t="shared" si="6"/>
        <v>8.2754999999999995E-2</v>
      </c>
      <c r="H52" s="62">
        <f t="shared" si="7"/>
        <v>4.6074076124999988E-2</v>
      </c>
    </row>
    <row r="53" spans="2:8" x14ac:dyDescent="0.25">
      <c r="B53" s="60" t="s">
        <v>223</v>
      </c>
      <c r="C53" s="92" t="s">
        <v>244</v>
      </c>
      <c r="D53" s="60">
        <v>0.95</v>
      </c>
      <c r="E53" s="61">
        <v>210.98</v>
      </c>
      <c r="F53" s="61">
        <v>50.58</v>
      </c>
      <c r="G53" s="62">
        <f t="shared" si="6"/>
        <v>5.058E-3</v>
      </c>
      <c r="H53" s="62">
        <f t="shared" si="7"/>
        <v>2.81605555E-3</v>
      </c>
    </row>
    <row r="54" spans="2:8" x14ac:dyDescent="0.25">
      <c r="B54" s="91"/>
      <c r="E54" s="86"/>
      <c r="F54" s="90"/>
      <c r="G54" s="65"/>
      <c r="H54" s="65"/>
    </row>
    <row r="55" spans="2:8" x14ac:dyDescent="0.25">
      <c r="B55" s="91"/>
      <c r="E55" s="86"/>
      <c r="F55" s="90"/>
      <c r="G55" s="65"/>
      <c r="H55" s="65"/>
    </row>
    <row r="56" spans="2:8" x14ac:dyDescent="0.25">
      <c r="B56" s="91"/>
      <c r="E56" s="86"/>
      <c r="F56" s="90"/>
      <c r="G56" s="65"/>
      <c r="H56" s="65"/>
    </row>
    <row r="57" spans="2:8" ht="16" thickBot="1" x14ac:dyDescent="0.3">
      <c r="B57" s="91"/>
      <c r="E57" s="86"/>
      <c r="F57" s="90"/>
      <c r="G57" s="65"/>
      <c r="H57" s="65"/>
    </row>
    <row r="58" spans="2:8" ht="16" thickBot="1" x14ac:dyDescent="0.3">
      <c r="B58" s="251">
        <v>1</v>
      </c>
      <c r="C58" s="93" t="s">
        <v>257</v>
      </c>
      <c r="D58" s="63">
        <v>984.78</v>
      </c>
      <c r="E58" s="86"/>
      <c r="F58" s="90"/>
      <c r="G58" s="65"/>
      <c r="H58" s="65"/>
    </row>
    <row r="59" spans="2:8" ht="15.65" customHeight="1" thickBot="1" x14ac:dyDescent="0.3">
      <c r="B59" s="252"/>
      <c r="C59" s="94" t="s">
        <v>258</v>
      </c>
      <c r="D59" s="61">
        <v>293.88</v>
      </c>
      <c r="E59" s="86"/>
      <c r="F59" s="90"/>
      <c r="G59" s="65"/>
      <c r="H59" s="65"/>
    </row>
    <row r="60" spans="2:8" ht="16" thickBot="1" x14ac:dyDescent="0.3">
      <c r="B60" s="252"/>
      <c r="C60" s="94" t="s">
        <v>259</v>
      </c>
      <c r="D60" s="61">
        <v>38.909999999999997</v>
      </c>
      <c r="E60" s="86"/>
      <c r="F60" s="90"/>
      <c r="G60" s="65"/>
      <c r="H60" s="65"/>
    </row>
    <row r="61" spans="2:8" ht="31.5" thickBot="1" x14ac:dyDescent="0.3">
      <c r="B61" s="253"/>
      <c r="C61" s="94" t="s">
        <v>250</v>
      </c>
      <c r="D61" s="61">
        <f>419.95/3</f>
        <v>139.98333333333332</v>
      </c>
      <c r="E61" s="86"/>
      <c r="F61" s="90"/>
      <c r="G61" s="65"/>
      <c r="H61" s="65"/>
    </row>
    <row r="62" spans="2:8" ht="16" thickBot="1" x14ac:dyDescent="0.3">
      <c r="B62" s="251">
        <v>2</v>
      </c>
      <c r="C62" s="94" t="s">
        <v>236</v>
      </c>
      <c r="D62" s="61">
        <v>597.70000000000005</v>
      </c>
      <c r="E62" s="86"/>
      <c r="F62" s="90"/>
      <c r="G62" s="65"/>
      <c r="H62" s="65"/>
    </row>
    <row r="63" spans="2:8" ht="16" thickBot="1" x14ac:dyDescent="0.3">
      <c r="B63" s="252"/>
      <c r="C63" s="94" t="s">
        <v>251</v>
      </c>
      <c r="D63" s="61">
        <v>136.99</v>
      </c>
      <c r="E63" s="86"/>
      <c r="F63" s="90">
        <v>98.879495635907688</v>
      </c>
      <c r="G63" s="65"/>
      <c r="H63" s="65"/>
    </row>
    <row r="64" spans="2:8" ht="16" thickBot="1" x14ac:dyDescent="0.3">
      <c r="B64" s="252"/>
      <c r="C64" s="94" t="s">
        <v>252</v>
      </c>
      <c r="D64" s="61">
        <v>93.86</v>
      </c>
      <c r="E64" s="86"/>
      <c r="F64" s="90">
        <v>50.371730556315519</v>
      </c>
      <c r="G64" s="65"/>
      <c r="H64" s="65"/>
    </row>
    <row r="65" spans="2:8" ht="31.5" thickBot="1" x14ac:dyDescent="0.3">
      <c r="B65" s="252"/>
      <c r="C65" s="94" t="s">
        <v>250</v>
      </c>
      <c r="D65" s="61">
        <f>419.95/3</f>
        <v>139.98333333333332</v>
      </c>
      <c r="E65" s="86"/>
      <c r="F65" s="86">
        <v>71.707423834426592</v>
      </c>
      <c r="G65" s="65"/>
      <c r="H65" s="65"/>
    </row>
    <row r="66" spans="2:8" ht="16" thickBot="1" x14ac:dyDescent="0.3">
      <c r="B66" s="252"/>
      <c r="C66" s="94" t="s">
        <v>253</v>
      </c>
      <c r="D66" s="61">
        <v>98.73</v>
      </c>
      <c r="E66" s="86"/>
      <c r="F66" s="86">
        <v>78.065722313401565</v>
      </c>
      <c r="G66" s="65"/>
      <c r="H66" s="65"/>
    </row>
    <row r="67" spans="2:8" ht="16" thickBot="1" x14ac:dyDescent="0.3">
      <c r="B67" s="253"/>
      <c r="C67" s="94" t="s">
        <v>254</v>
      </c>
      <c r="D67" s="61">
        <f>74.87/2</f>
        <v>37.435000000000002</v>
      </c>
      <c r="E67" s="86"/>
      <c r="F67" s="90"/>
      <c r="G67" s="65"/>
      <c r="H67" s="65"/>
    </row>
    <row r="68" spans="2:8" ht="16" thickBot="1" x14ac:dyDescent="0.3">
      <c r="B68" s="251">
        <v>3</v>
      </c>
      <c r="C68" s="94" t="s">
        <v>215</v>
      </c>
      <c r="D68" s="61">
        <v>234.4</v>
      </c>
      <c r="E68" s="86"/>
      <c r="G68" s="65"/>
      <c r="H68" s="65"/>
    </row>
    <row r="69" spans="2:8" ht="16" thickBot="1" x14ac:dyDescent="0.3">
      <c r="B69" s="252"/>
      <c r="C69" s="94" t="s">
        <v>216</v>
      </c>
      <c r="D69" s="61">
        <v>305.60000000000002</v>
      </c>
    </row>
    <row r="70" spans="2:8" ht="16" thickBot="1" x14ac:dyDescent="0.3">
      <c r="B70" s="252"/>
      <c r="C70" s="94" t="s">
        <v>255</v>
      </c>
      <c r="D70" s="61">
        <v>231.55</v>
      </c>
    </row>
    <row r="71" spans="2:8" ht="16" thickBot="1" x14ac:dyDescent="0.3">
      <c r="B71" s="252"/>
      <c r="C71" s="94" t="s">
        <v>260</v>
      </c>
      <c r="D71" s="61">
        <v>156.19999999999999</v>
      </c>
    </row>
    <row r="72" spans="2:8" ht="16" thickBot="1" x14ac:dyDescent="0.3">
      <c r="B72" s="252"/>
      <c r="C72" s="94" t="s">
        <v>222</v>
      </c>
      <c r="D72" s="61">
        <v>827.55</v>
      </c>
    </row>
    <row r="73" spans="2:8" ht="16" thickBot="1" x14ac:dyDescent="0.3">
      <c r="B73" s="252"/>
      <c r="C73" s="94" t="s">
        <v>223</v>
      </c>
      <c r="D73" s="61">
        <v>50.58</v>
      </c>
    </row>
    <row r="74" spans="2:8" ht="16" thickBot="1" x14ac:dyDescent="0.3">
      <c r="B74" s="253"/>
      <c r="C74" s="94" t="s">
        <v>256</v>
      </c>
      <c r="D74" s="61">
        <f>224.59/2</f>
        <v>112.295</v>
      </c>
    </row>
    <row r="75" spans="2:8" ht="16" thickBot="1" x14ac:dyDescent="0.3">
      <c r="B75" s="251">
        <v>4</v>
      </c>
      <c r="C75" s="94" t="s">
        <v>256</v>
      </c>
      <c r="D75" s="61">
        <f>224.59/2</f>
        <v>112.295</v>
      </c>
    </row>
    <row r="76" spans="2:8" ht="16" thickBot="1" x14ac:dyDescent="0.3">
      <c r="B76" s="252"/>
      <c r="C76" s="94" t="s">
        <v>261</v>
      </c>
      <c r="D76" s="61">
        <v>219.65</v>
      </c>
    </row>
    <row r="77" spans="2:8" ht="16" thickBot="1" x14ac:dyDescent="0.3">
      <c r="B77" s="252"/>
      <c r="C77" s="94" t="s">
        <v>262</v>
      </c>
      <c r="D77" s="61">
        <v>163.06</v>
      </c>
    </row>
    <row r="78" spans="2:8" ht="16" thickBot="1" x14ac:dyDescent="0.3">
      <c r="B78" s="252"/>
      <c r="C78" s="94" t="s">
        <v>263</v>
      </c>
      <c r="D78" s="61">
        <v>107.11</v>
      </c>
    </row>
    <row r="79" spans="2:8" ht="16" thickBot="1" x14ac:dyDescent="0.3">
      <c r="B79" s="252"/>
      <c r="C79" s="94" t="s">
        <v>218</v>
      </c>
      <c r="D79" s="61">
        <v>66.06</v>
      </c>
    </row>
    <row r="80" spans="2:8" ht="16" thickBot="1" x14ac:dyDescent="0.3">
      <c r="B80" s="252"/>
      <c r="C80" s="94" t="s">
        <v>219</v>
      </c>
      <c r="D80" s="61">
        <v>196.47</v>
      </c>
    </row>
    <row r="81" spans="2:4" ht="16" thickBot="1" x14ac:dyDescent="0.3">
      <c r="B81" s="252"/>
      <c r="C81" s="94" t="s">
        <v>220</v>
      </c>
      <c r="D81" s="61">
        <v>208.24</v>
      </c>
    </row>
    <row r="82" spans="2:4" ht="16" thickBot="1" x14ac:dyDescent="0.3">
      <c r="B82" s="252"/>
      <c r="C82" s="94" t="s">
        <v>221</v>
      </c>
      <c r="D82" s="61">
        <v>558.9</v>
      </c>
    </row>
    <row r="83" spans="2:4" ht="16" thickBot="1" x14ac:dyDescent="0.3">
      <c r="B83" s="253"/>
      <c r="C83" s="94" t="s">
        <v>264</v>
      </c>
      <c r="D83" s="61">
        <v>103.14</v>
      </c>
    </row>
  </sheetData>
  <mergeCells count="17">
    <mergeCell ref="B62:B67"/>
    <mergeCell ref="B68:B74"/>
    <mergeCell ref="B75:B83"/>
    <mergeCell ref="B49:B50"/>
    <mergeCell ref="Q5:Q8"/>
    <mergeCell ref="Q9:Q14"/>
    <mergeCell ref="Q15:Q21"/>
    <mergeCell ref="Q22:Q30"/>
    <mergeCell ref="B58:B61"/>
    <mergeCell ref="B47:B48"/>
    <mergeCell ref="B2:G2"/>
    <mergeCell ref="I2:N2"/>
    <mergeCell ref="I13:N13"/>
    <mergeCell ref="B18:C18"/>
    <mergeCell ref="B45:B46"/>
    <mergeCell ref="B40:B41"/>
    <mergeCell ref="B42:B4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11</vt:i4>
      </vt:variant>
    </vt:vector>
  </HeadingPairs>
  <TitlesOfParts>
    <vt:vector size="20" baseType="lpstr">
      <vt:lpstr>A. Estación</vt:lpstr>
      <vt:lpstr>B.Modelo Distribución</vt:lpstr>
      <vt:lpstr>C. Prueba Kolmorov-Smirnov</vt:lpstr>
      <vt:lpstr>D.Resumen</vt:lpstr>
      <vt:lpstr>A. Parametros</vt:lpstr>
      <vt:lpstr>B. Int.maxima</vt:lpstr>
      <vt:lpstr>C. P diseño</vt:lpstr>
      <vt:lpstr>Hoja1</vt:lpstr>
      <vt:lpstr>210</vt:lpstr>
      <vt:lpstr>'A. Estación'!Área_de_impresión</vt:lpstr>
      <vt:lpstr>'A. Parametros'!Área_de_impresión</vt:lpstr>
      <vt:lpstr>'B. Int.maxima'!Área_de_impresión</vt:lpstr>
      <vt:lpstr>'B.Modelo Distribución'!Área_de_impresión</vt:lpstr>
      <vt:lpstr>'C. P diseño'!Área_de_impresión</vt:lpstr>
      <vt:lpstr>'C. Prueba Kolmorov-Smirnov'!Área_de_impresión</vt:lpstr>
      <vt:lpstr>D.Resumen!Área_de_impresión</vt:lpstr>
      <vt:lpstr>'A. Parametros'!Títulos_a_imprimir</vt:lpstr>
      <vt:lpstr>'B.Modelo Distribución'!Títulos_a_imprimir</vt:lpstr>
      <vt:lpstr>'C. P diseño'!Títulos_a_imprimir</vt:lpstr>
      <vt:lpstr>D.Resumen!Títulos_a_imprimir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Rosales</dc:creator>
  <cp:lastModifiedBy>jose pizarro</cp:lastModifiedBy>
  <cp:lastPrinted>2026-09-10T18:47:50Z</cp:lastPrinted>
  <dcterms:created xsi:type="dcterms:W3CDTF">2005-04-07T19:29:38Z</dcterms:created>
  <dcterms:modified xsi:type="dcterms:W3CDTF">2026-09-11T22:37:10Z</dcterms:modified>
</cp:coreProperties>
</file>