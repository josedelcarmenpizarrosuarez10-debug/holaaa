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E" sheetId="1" state="visible" r:id="rId1"/>
    <sheet xmlns:r="http://schemas.openxmlformats.org/officeDocument/2006/relationships" name="DATOS" sheetId="2" state="visible" r:id="rId2"/>
    <sheet xmlns:r="http://schemas.openxmlformats.org/officeDocument/2006/relationships" name="ESCALAS" sheetId="3" state="visible" r:id="rId3"/>
    <sheet xmlns:r="http://schemas.openxmlformats.org/officeDocument/2006/relationships" name="IDENTIFICACION" sheetId="4" state="visible" r:id="rId4"/>
    <sheet xmlns:r="http://schemas.openxmlformats.org/officeDocument/2006/relationships" name="ANALISIS CUALITATIVO" sheetId="5" state="visible" r:id="rId5"/>
    <sheet xmlns:r="http://schemas.openxmlformats.org/officeDocument/2006/relationships" name="ANALISIS CUANTITATIVO" sheetId="6" state="visible" r:id="rId6"/>
    <sheet xmlns:r="http://schemas.openxmlformats.org/officeDocument/2006/relationships" name="MONTE CARLO" sheetId="7" state="visible" r:id="rId7"/>
    <sheet xmlns:r="http://schemas.openxmlformats.org/officeDocument/2006/relationships" name="MAPA DE CALOR" sheetId="8" state="visible" r:id="rId8"/>
    <sheet xmlns:r="http://schemas.openxmlformats.org/officeDocument/2006/relationships" name="PLAN DE RESPUESTA" sheetId="9" state="visible" r:id="rId9"/>
    <sheet xmlns:r="http://schemas.openxmlformats.org/officeDocument/2006/relationships" name="ASIGNACION" sheetId="10" state="visible" r:id="rId10"/>
    <sheet xmlns:r="http://schemas.openxmlformats.org/officeDocument/2006/relationships" name="OPORTUNIDADES" sheetId="11" state="visible" r:id="rId11"/>
    <sheet xmlns:r="http://schemas.openxmlformats.org/officeDocument/2006/relationships" name="SEGUIMIENTO" sheetId="12" state="visible" r:id="rId12"/>
    <sheet xmlns:r="http://schemas.openxmlformats.org/officeDocument/2006/relationships" name="CALENDARIO" sheetId="13" state="visible" r:id="rId13"/>
  </sheets>
  <definedNames/>
  <calcPr calcId="124519" fullCalcOnLoad="1"/>
</workbook>
</file>

<file path=xl/styles.xml><?xml version="1.0" encoding="utf-8"?>
<styleSheet xmlns="http://schemas.openxmlformats.org/spreadsheetml/2006/main">
  <numFmts count="4">
    <numFmt numFmtId="164" formatCode="0.000"/>
    <numFmt numFmtId="165" formatCode="0.0000&quot; %&quot;"/>
    <numFmt numFmtId="166" formatCode="0.00&quot; %&quot;"/>
    <numFmt numFmtId="167" formatCode="0.0"/>
  </numFmts>
  <fonts count="8">
    <font>
      <name val="Calibri"/>
      <family val="2"/>
      <color theme="1"/>
      <sz val="11"/>
      <scheme val="minor"/>
    </font>
    <font>
      <name val="Arial"/>
      <b val="1"/>
      <color rgb="001F4E79"/>
      <sz val="12"/>
    </font>
    <font>
      <name val="Arial"/>
      <i val="1"/>
      <sz val="8"/>
    </font>
    <font>
      <name val="Arial"/>
      <b val="1"/>
      <color rgb="00FFFFFF"/>
      <sz val="9"/>
    </font>
    <font>
      <name val="Arial"/>
      <sz val="9"/>
    </font>
    <font>
      <name val="Arial"/>
      <b val="1"/>
      <sz val="9"/>
    </font>
    <font>
      <name val="Arial"/>
      <i val="1"/>
      <sz val="9"/>
    </font>
    <font>
      <name val="Arial"/>
      <b val="1"/>
      <color rgb="001F4E79"/>
      <sz val="10"/>
    </font>
  </fonts>
  <fills count="9">
    <fill>
      <patternFill/>
    </fill>
    <fill>
      <patternFill patternType="gray125"/>
    </fill>
    <fill>
      <patternFill patternType="solid">
        <fgColor rgb="001F4E79"/>
      </patternFill>
    </fill>
    <fill>
      <patternFill patternType="solid">
        <fgColor rgb="00FFF2CC"/>
      </patternFill>
    </fill>
    <fill>
      <patternFill patternType="solid">
        <fgColor rgb="00FF7C80"/>
      </patternFill>
    </fill>
    <fill>
      <patternFill patternType="solid">
        <fgColor rgb="00FFD966"/>
      </patternFill>
    </fill>
    <fill>
      <patternFill patternType="solid">
        <fgColor rgb="00A9D08E"/>
      </patternFill>
    </fill>
    <fill>
      <patternFill patternType="solid">
        <fgColor rgb="00F2F2F2"/>
      </patternFill>
    </fill>
    <fill>
      <patternFill patternType="solid">
        <fgColor rgb="00E2EFDA"/>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0" borderId="1" applyAlignment="1" pivotButton="0" quotePrefix="0" xfId="0">
      <alignment horizontal="left" vertical="center" wrapText="1"/>
    </xf>
    <xf numFmtId="0" fontId="6" fillId="0" borderId="0" pivotButton="0" quotePrefix="0" xfId="0"/>
    <xf numFmtId="0" fontId="4" fillId="3" borderId="1" applyAlignment="1" pivotButton="0" quotePrefix="0" xfId="0">
      <alignment horizontal="left" vertical="center" wrapText="1"/>
    </xf>
    <xf numFmtId="164" fontId="4" fillId="3" borderId="1" applyAlignment="1" pivotButton="0" quotePrefix="0" xfId="0">
      <alignment horizontal="center" vertical="center" wrapText="1"/>
    </xf>
    <xf numFmtId="1" fontId="4" fillId="3" borderId="1" applyAlignment="1" pivotButton="0" quotePrefix="0" xfId="0">
      <alignment horizontal="center" vertical="center" wrapText="1"/>
    </xf>
    <xf numFmtId="3" fontId="4" fillId="3" borderId="1" applyAlignment="1" pivotButton="0" quotePrefix="0" xfId="0">
      <alignment horizontal="center" vertical="center" wrapText="1"/>
    </xf>
    <xf numFmtId="165" fontId="4" fillId="3" borderId="1" applyAlignment="1" pivotButton="0" quotePrefix="0" xfId="0">
      <alignment horizontal="center" vertical="center" wrapText="1"/>
    </xf>
    <xf numFmtId="2" fontId="4" fillId="3" borderId="1" applyAlignment="1" pivotButton="0" quotePrefix="0" xfId="0">
      <alignment horizontal="center" vertical="center" wrapText="1"/>
    </xf>
    <xf numFmtId="166"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pivotButton="0" quotePrefix="0" xfId="0"/>
    <xf numFmtId="0" fontId="5" fillId="7" borderId="1" applyAlignment="1" pivotButton="0" quotePrefix="0" xfId="0">
      <alignment horizontal="center" vertical="center" wrapText="1"/>
    </xf>
    <xf numFmtId="164"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4" fillId="3" borderId="1" applyAlignment="1" pivotButton="0" quotePrefix="0" xfId="0">
      <alignment horizontal="center" vertical="center" wrapText="1"/>
    </xf>
    <xf numFmtId="2" fontId="4" fillId="8" borderId="1" applyAlignment="1" pivotButton="0" quotePrefix="0" xfId="0">
      <alignment horizontal="center" vertical="center" wrapText="1"/>
    </xf>
    <xf numFmtId="1" fontId="4" fillId="8" borderId="1" applyAlignment="1" pivotButton="0" quotePrefix="0" xfId="0">
      <alignment horizontal="center" vertical="center" wrapText="1"/>
    </xf>
    <xf numFmtId="0" fontId="4" fillId="8" borderId="1" applyAlignment="1" pivotButton="0" quotePrefix="0" xfId="0">
      <alignment horizontal="center" vertical="center" wrapText="1"/>
    </xf>
    <xf numFmtId="164" fontId="4" fillId="8" borderId="1" applyAlignment="1" pivotButton="0" quotePrefix="0" xfId="0">
      <alignment horizontal="center" vertical="center" wrapText="1"/>
    </xf>
    <xf numFmtId="0" fontId="5" fillId="7" borderId="1" applyAlignment="1" pivotButton="0" quotePrefix="0" xfId="0">
      <alignment horizontal="left" vertical="center" wrapText="1"/>
    </xf>
    <xf numFmtId="166" fontId="4" fillId="8" borderId="1" applyAlignment="1" pivotButton="0" quotePrefix="0" xfId="0">
      <alignment horizontal="center" vertical="center" wrapText="1"/>
    </xf>
    <xf numFmtId="167" fontId="4" fillId="8" borderId="1" applyAlignment="1" pivotButton="0" quotePrefix="0" xfId="0">
      <alignment horizontal="center" vertical="center" wrapText="1"/>
    </xf>
    <xf numFmtId="166" fontId="5" fillId="7" borderId="1" applyAlignment="1" pivotButton="0" quotePrefix="0" xfId="0">
      <alignment horizontal="center" vertical="center" wrapText="1"/>
    </xf>
    <xf numFmtId="167" fontId="5" fillId="7" borderId="1" applyAlignment="1" pivotButton="0" quotePrefix="0" xfId="0">
      <alignment horizontal="center" vertical="center" wrapText="1"/>
    </xf>
    <xf numFmtId="0" fontId="2" fillId="0" borderId="0" applyAlignment="1" pivotButton="0" quotePrefix="0" xfId="0">
      <alignment wrapText="1"/>
    </xf>
    <xf numFmtId="166" fontId="4" fillId="0" borderId="1" applyAlignment="1" pivotButton="0" quotePrefix="0" xfId="0">
      <alignment horizontal="center" vertical="center" wrapText="1"/>
    </xf>
    <xf numFmtId="1" fontId="4" fillId="0" borderId="1" applyAlignment="1" pivotButton="0" quotePrefix="0" xfId="0">
      <alignment horizontal="center" vertical="center" wrapText="1"/>
    </xf>
    <xf numFmtId="0" fontId="5" fillId="4" borderId="1" applyAlignment="1" pivotButton="0" quotePrefix="0" xfId="0">
      <alignment horizontal="left" vertical="center" wrapText="1"/>
    </xf>
    <xf numFmtId="166" fontId="5" fillId="4" borderId="1" applyAlignment="1" pivotButton="0" quotePrefix="0" xfId="0">
      <alignment horizontal="center" vertical="center" wrapText="1"/>
    </xf>
    <xf numFmtId="0" fontId="5" fillId="0" borderId="0" pivotButton="0" quotePrefix="0" xfId="0"/>
    <xf numFmtId="0" fontId="4" fillId="0" borderId="0" pivotButton="0" quotePrefix="0" xfId="0"/>
    <xf numFmtId="2" fontId="4" fillId="0" borderId="1" applyAlignment="1" pivotButton="0" quotePrefix="0" xfId="0">
      <alignment horizontal="center" vertical="center" wrapText="1"/>
    </xf>
    <xf numFmtId="167" fontId="4" fillId="0"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3" borderId="1" applyAlignment="1" pivotButton="0" quotePrefix="0" xfId="0">
      <alignment horizontal="center" vertical="center" wrapText="1"/>
    </xf>
    <xf numFmtId="167" fontId="4" fillId="3" borderId="1" applyAlignment="1" pivotButton="0" quotePrefix="0" xfId="0">
      <alignment horizontal="center" vertical="center" wrapText="1"/>
    </xf>
    <xf numFmtId="1" fontId="5" fillId="7" borderId="1" applyAlignment="1" pivotButton="0" quotePrefix="0" xfId="0">
      <alignment horizontal="center" vertical="center" wrapText="1"/>
    </xf>
  </cellXfs>
  <cellStyles count="1">
    <cellStyle name="Normal" xfId="0" builtinId="0" hidden="0"/>
  </cellStyles>
  <dxfs count="3">
    <dxf>
      <fill>
        <patternFill patternType="solid">
          <fgColor rgb="00FF7C80"/>
        </patternFill>
      </fill>
    </dxf>
    <dxf>
      <fill>
        <patternFill patternType="solid">
          <fgColor rgb="00FFD966"/>
        </patternFill>
      </fill>
    </dxf>
    <dxf>
      <fill>
        <patternFill patternType="solid">
          <fgColor rgb="00A9D08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Costo para la Entidad</a:t>
            </a:r>
          </a:p>
        </rich>
      </tx>
    </title>
    <plotArea>
      <barChart>
        <barDir val="col"/>
        <grouping val="clustered"/>
        <ser>
          <idx val="0"/>
          <order val="0"/>
          <tx>
            <strRef>
              <f>'MONTE CARLO'!B25</f>
            </strRef>
          </tx>
          <spPr>
            <a:ln xmlns:a="http://schemas.openxmlformats.org/drawingml/2006/main">
              <a:prstDash val="solid"/>
            </a:ln>
          </spPr>
          <cat>
            <numRef>
              <f>'MONTE CARLO'!$A$26:$A$55</f>
            </numRef>
          </cat>
          <val>
            <numRef>
              <f>'MONTE CARLO'!$B$26:$B$55</f>
            </numRef>
          </val>
        </ser>
        <ser>
          <idx val="1"/>
          <order val="1"/>
          <tx>
            <strRef>
              <f>'MONTE CARLO'!C25</f>
            </strRef>
          </tx>
          <spPr>
            <a:ln xmlns:a="http://schemas.openxmlformats.org/drawingml/2006/main">
              <a:prstDash val="solid"/>
            </a:ln>
          </spPr>
          <cat>
            <numRef>
              <f>'MONTE CARLO'!$A$26:$A$55</f>
            </numRef>
          </cat>
          <val>
            <numRef>
              <f>'MONTE CARLO'!$C$26:$C$55</f>
            </numRef>
          </val>
        </ser>
        <gapWidth val="10"/>
        <axId val="10"/>
        <axId val="100"/>
      </barChart>
      <catAx>
        <axId val="10"/>
        <scaling>
          <orientation val="minMax"/>
        </scaling>
        <axPos val="l"/>
        <title>
          <tx>
            <rich>
              <a:bodyPr xmlns:a="http://schemas.openxmlformats.org/drawingml/2006/main"/>
              <a:p xmlns:a="http://schemas.openxmlformats.org/drawingml/2006/main">
                <a:pPr>
                  <a:defRPr/>
                </a:pPr>
                <a:r>
                  <a:t>% del presupuesto de obra</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de iteraciones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Lluvia mensual de referencia (mm)</a:t>
            </a:r>
          </a:p>
        </rich>
      </tx>
    </title>
    <plotArea>
      <barChart>
        <barDir val="col"/>
        <grouping val="clustered"/>
        <ser>
          <idx val="0"/>
          <order val="0"/>
          <tx>
            <strRef>
              <f>'CALENDARIO'!B5</f>
            </strRef>
          </tx>
          <spPr>
            <a:ln xmlns:a="http://schemas.openxmlformats.org/drawingml/2006/main">
              <a:prstDash val="solid"/>
            </a:ln>
          </spPr>
          <cat>
            <numRef>
              <f>'CALENDARIO'!$A$6:$A$17</f>
            </numRef>
          </cat>
          <val>
            <numRef>
              <f>'CALENDARIO'!$B$6:$B$17</f>
            </numRef>
          </val>
        </ser>
        <ser>
          <idx val="1"/>
          <order val="1"/>
          <tx>
            <strRef>
              <f>'CALENDARIO'!C5</f>
            </strRef>
          </tx>
          <spPr>
            <a:ln xmlns:a="http://schemas.openxmlformats.org/drawingml/2006/main">
              <a:prstDash val="solid"/>
            </a:ln>
          </spPr>
          <cat>
            <numRef>
              <f>'CALENDARIO'!$A$6:$A$17</f>
            </numRef>
          </cat>
          <val>
            <numRef>
              <f>'CALENDARIO'!$C$6:$C$17</f>
            </numRef>
          </val>
        </ser>
        <ser>
          <idx val="2"/>
          <order val="2"/>
          <tx>
            <strRef>
              <f>'CALENDARIO'!D5</f>
            </strRef>
          </tx>
          <spPr>
            <a:ln xmlns:a="http://schemas.openxmlformats.org/drawingml/2006/main">
              <a:prstDash val="solid"/>
            </a:ln>
          </spPr>
          <cat>
            <numRef>
              <f>'CALENDARIO'!$A$6:$A$17</f>
            </numRef>
          </cat>
          <val>
            <numRef>
              <f>'CALENDARIO'!$D$6:$D$17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4</col>
      <colOff>0</colOff>
      <row>23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20</row>
      <rowOff>0</rowOff>
    </from>
    <ext cx="72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C20"/>
  <sheetViews>
    <sheetView showGridLines="0" workbookViewId="0">
      <selection activeCell="A1" sqref="A1"/>
    </sheetView>
  </sheetViews>
  <sheetFormatPr baseColWidth="8" defaultRowHeight="15"/>
  <cols>
    <col width="6" customWidth="1" min="1" max="1"/>
    <col width="34" customWidth="1" min="2" max="2"/>
    <col width="90" customWidth="1" min="3" max="3"/>
  </cols>
  <sheetData>
    <row r="1">
      <c r="A1" s="1" t="inlineStr">
        <is>
          <t>MATRIZ DE GESTIÓN DE RIESGOS EN LA EJECUCIÓN DE LA OBRA</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N°</t>
        </is>
      </c>
      <c r="B4" s="3" t="inlineStr">
        <is>
          <t>HOJA</t>
        </is>
      </c>
      <c r="C4" s="3" t="inlineStr">
        <is>
          <t>CONTENIDO</t>
        </is>
      </c>
    </row>
    <row r="5">
      <c r="A5" s="4" t="n">
        <v>1</v>
      </c>
      <c r="B5" s="5" t="inlineStr">
        <is>
          <t>DATOS</t>
        </is>
      </c>
      <c r="C5" s="6" t="inlineStr">
        <is>
          <t>Datos del proyecto y costo diario de ampliación en porcentaje</t>
        </is>
      </c>
    </row>
    <row r="6">
      <c r="A6" s="4" t="n">
        <v>2</v>
      </c>
      <c r="B6" s="5" t="inlineStr">
        <is>
          <t>ESCALAS</t>
        </is>
      </c>
      <c r="C6" s="6" t="inlineStr">
        <is>
          <t>Escalas de probabilidad e impacto, umbrales y matriz P x I</t>
        </is>
      </c>
    </row>
    <row r="7">
      <c r="A7" s="4" t="n">
        <v>3</v>
      </c>
      <c r="B7" s="5" t="inlineStr">
        <is>
          <t>IDENTIFICACION</t>
        </is>
      </c>
      <c r="C7" s="6" t="inlineStr">
        <is>
          <t>Registro de riesgos: evento, causa, efecto, ubicación y evidencia</t>
        </is>
      </c>
    </row>
    <row r="8">
      <c r="A8" s="4" t="n">
        <v>4</v>
      </c>
      <c r="B8" s="5" t="inlineStr">
        <is>
          <t>ANALISIS CUALITATIVO</t>
        </is>
      </c>
      <c r="C8" s="6" t="inlineStr">
        <is>
          <t>Probabilidad, impacto en costo y plazo, P x I y nivel (inherente y residual)</t>
        </is>
      </c>
    </row>
    <row r="9">
      <c r="A9" s="4" t="n">
        <v>5</v>
      </c>
      <c r="B9" s="5" t="inlineStr">
        <is>
          <t>ANALISIS CUANTITATIVO</t>
        </is>
      </c>
      <c r="C9" s="6" t="inlineStr">
        <is>
          <t>Efecto en costo (%) y plazo triangulares, valor esperado y exposición de la Entidad</t>
        </is>
      </c>
    </row>
    <row r="10">
      <c r="A10" s="4" t="n">
        <v>6</v>
      </c>
      <c r="B10" s="5" t="inlineStr">
        <is>
          <t>MONTE CARLO</t>
        </is>
      </c>
      <c r="C10" s="6" t="inlineStr">
        <is>
          <t>Resultados de la simulación (20,000 iteraciones), inherente y residual</t>
        </is>
      </c>
    </row>
    <row r="11">
      <c r="A11" s="4" t="n">
        <v>7</v>
      </c>
      <c r="B11" s="5" t="inlineStr">
        <is>
          <t>MAPA DE CALOR</t>
        </is>
      </c>
      <c r="C11" s="6" t="inlineStr">
        <is>
          <t>Ubicación de cada riesgo en la matriz P x I, antes y después de la respuesta</t>
        </is>
      </c>
    </row>
    <row r="12">
      <c r="A12" s="4" t="n">
        <v>8</v>
      </c>
      <c r="B12" s="5" t="inlineStr">
        <is>
          <t>PLAN DE RESPUESTA</t>
        </is>
      </c>
      <c r="C12" s="6" t="inlineStr">
        <is>
          <t>Estrategia, acciones, responsable, partida, momento y alerta temprana</t>
        </is>
      </c>
    </row>
    <row r="13">
      <c r="A13" s="4" t="n">
        <v>9</v>
      </c>
      <c r="B13" s="5" t="inlineStr">
        <is>
          <t>ASIGNACION</t>
        </is>
      </c>
      <c r="C13" s="6" t="inlineStr">
        <is>
          <t>Parte que asume cada riesgo y criterio</t>
        </is>
      </c>
    </row>
    <row r="14">
      <c r="A14" s="4" t="n">
        <v>10</v>
      </c>
      <c r="B14" s="5" t="inlineStr">
        <is>
          <t>OPORTUNIDADES</t>
        </is>
      </c>
      <c r="C14" s="6" t="inlineStr">
        <is>
          <t>Oportunidades y su estrategia</t>
        </is>
      </c>
    </row>
    <row r="15">
      <c r="A15" s="4" t="n">
        <v>11</v>
      </c>
      <c r="B15" s="5" t="inlineStr">
        <is>
          <t>SEGUIMIENTO</t>
        </is>
      </c>
      <c r="C15" s="6" t="inlineStr">
        <is>
          <t>Formato de seguimiento mensual para el comité de gestión de riesgos</t>
        </is>
      </c>
    </row>
    <row r="16">
      <c r="A16" s="4" t="n">
        <v>12</v>
      </c>
      <c r="B16" s="5" t="inlineStr">
        <is>
          <t>CALENDARIO</t>
        </is>
      </c>
      <c r="C16" s="6" t="inlineStr">
        <is>
          <t>Lluvias mensuales de referencia y programación recomendada</t>
        </is>
      </c>
    </row>
    <row r="19">
      <c r="B19" s="7" t="inlineStr">
        <is>
          <t>Celda amarilla = dato; celda verde = fórmula.</t>
        </is>
      </c>
    </row>
    <row r="20">
      <c r="B20" s="7" t="inlineStr">
        <is>
          <t>Los efectos en costo se expresan en porcentaje (%) del presupuesto de obra.</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17"/>
  <sheetViews>
    <sheetView showGridLines="0" workbookViewId="0">
      <selection activeCell="A1" sqref="A1"/>
    </sheetView>
  </sheetViews>
  <sheetFormatPr baseColWidth="8" defaultRowHeight="15"/>
  <cols>
    <col width="52" customWidth="1" min="1" max="1"/>
    <col width="22" customWidth="1" min="2" max="2"/>
    <col width="60" customWidth="1" min="3" max="3"/>
  </cols>
  <sheetData>
    <row r="1">
      <c r="A1" s="1" t="inlineStr">
        <is>
          <t>DATOS DEL PROYECTO</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CONCEPTO</t>
        </is>
      </c>
      <c r="B4" s="3" t="inlineStr">
        <is>
          <t>VALOR</t>
        </is>
      </c>
      <c r="C4" s="3" t="inlineStr">
        <is>
          <t>FUENTE</t>
        </is>
      </c>
    </row>
    <row r="5">
      <c r="A5" s="6" t="inlineStr">
        <is>
          <t>Código único de inversiones (CUI)</t>
        </is>
      </c>
      <c r="B5" s="8" t="inlineStr">
        <is>
          <t>2673852</t>
        </is>
      </c>
      <c r="C5" s="6" t="inlineStr">
        <is>
          <t>Inventario vial / FTE</t>
        </is>
      </c>
    </row>
    <row r="6">
      <c r="A6" s="6" t="inlineStr">
        <is>
          <t>Entidad</t>
        </is>
      </c>
      <c r="B6" s="8" t="inlineStr">
        <is>
          <t>Gobierno Regional San Martín - Dirección Regional de Transportes y Comunicaciones</t>
        </is>
      </c>
      <c r="C6" s="6" t="inlineStr">
        <is>
          <t>FTE</t>
        </is>
      </c>
    </row>
    <row r="7">
      <c r="A7" s="6" t="inlineStr">
        <is>
          <t>Unidad ejecutora presupuestal</t>
        </is>
      </c>
      <c r="B7" s="8" t="inlineStr">
        <is>
          <t>925 - Región San Martín - Transportes</t>
        </is>
      </c>
      <c r="C7" s="6" t="inlineStr">
        <is>
          <t>FTE</t>
        </is>
      </c>
    </row>
    <row r="8">
      <c r="A8" s="6" t="inlineStr">
        <is>
          <t>Ubicación</t>
        </is>
      </c>
      <c r="B8" s="8" t="inlineStr">
        <is>
          <t>Distrito de Shamboyacu, provincia de Picota, departamento de San Martín</t>
        </is>
      </c>
      <c r="C8" s="6" t="inlineStr">
        <is>
          <t>FTE</t>
        </is>
      </c>
    </row>
    <row r="9">
      <c r="A9" s="6" t="inlineStr">
        <is>
          <t>Progresiva inicial</t>
        </is>
      </c>
      <c r="B9" s="8" t="inlineStr">
        <is>
          <t>19+343.39</t>
        </is>
      </c>
      <c r="C9" s="6" t="inlineStr">
        <is>
          <t>Inventario vial</t>
        </is>
      </c>
    </row>
    <row r="10">
      <c r="A10" s="6" t="inlineStr">
        <is>
          <t>Progresiva final</t>
        </is>
      </c>
      <c r="B10" s="8" t="inlineStr">
        <is>
          <t>44+693.39</t>
        </is>
      </c>
      <c r="C10" s="6" t="inlineStr">
        <is>
          <t>Inventario vial</t>
        </is>
      </c>
    </row>
    <row r="11">
      <c r="A11" s="6" t="inlineStr">
        <is>
          <t>Longitud del tramo (km)</t>
        </is>
      </c>
      <c r="B11" s="9" t="n">
        <v>25.35</v>
      </c>
      <c r="C11" s="6" t="inlineStr">
        <is>
          <t>Inventario vial</t>
        </is>
      </c>
    </row>
    <row r="12">
      <c r="A12" s="6" t="inlineStr">
        <is>
          <t>Plazo de ejecución (días calendario)</t>
        </is>
      </c>
      <c r="B12" s="10" t="n">
        <v>720</v>
      </c>
      <c r="C12" s="6" t="inlineStr">
        <is>
          <t>Resumen ejecutivo</t>
        </is>
      </c>
    </row>
    <row r="13">
      <c r="A13" s="6" t="inlineStr">
        <is>
          <t>Modalidad de ejecución</t>
        </is>
      </c>
      <c r="B13" s="8" t="inlineStr">
        <is>
          <t>Administración indirecta - por contrata</t>
        </is>
      </c>
      <c r="C13" s="6" t="inlineStr">
        <is>
          <t>FTE 19</t>
        </is>
      </c>
    </row>
    <row r="14">
      <c r="A14" s="6" t="inlineStr">
        <is>
          <t>Fuente de financiamiento</t>
        </is>
      </c>
      <c r="B14" s="8" t="inlineStr">
        <is>
          <t>Recursos determinados</t>
        </is>
      </c>
      <c r="C14" s="6" t="inlineStr">
        <is>
          <t>FTE 20</t>
        </is>
      </c>
    </row>
    <row r="15">
      <c r="A15" s="6" t="inlineStr">
        <is>
          <t>IMDA actual (veh/día)</t>
        </is>
      </c>
      <c r="B15" s="10" t="n">
        <v>254</v>
      </c>
      <c r="C15" s="6" t="inlineStr">
        <is>
          <t>FTE 9.1</t>
        </is>
      </c>
    </row>
    <row r="16">
      <c r="A16" s="6" t="inlineStr">
        <is>
          <t>Población beneficiaria directa (hab)</t>
        </is>
      </c>
      <c r="B16" s="11" t="n">
        <v>11960</v>
      </c>
      <c r="C16" s="6" t="inlineStr">
        <is>
          <t>FTE 6</t>
        </is>
      </c>
    </row>
    <row r="17">
      <c r="A17" s="5" t="inlineStr">
        <is>
          <t>Costo de un día de ampliación (gastos generales y supervisión), en % del presupuesto de obra por día</t>
        </is>
      </c>
      <c r="B17" s="12" t="n">
        <v>0.0179</v>
      </c>
      <c r="C17" s="6" t="inlineStr">
        <is>
          <t>Se reconoce cuando el retraso es atribuible a la Entidad</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30"/>
  <sheetViews>
    <sheetView showGridLines="0" workbookViewId="0">
      <selection activeCell="A1" sqref="A1"/>
    </sheetView>
  </sheetViews>
  <sheetFormatPr baseColWidth="8" defaultRowHeight="15"/>
  <cols>
    <col width="16" customWidth="1" min="1" max="1"/>
    <col width="17" customWidth="1" min="2" max="2"/>
    <col width="58" customWidth="1" min="3" max="3"/>
    <col width="18" customWidth="1" min="4" max="4"/>
    <col width="18" customWidth="1" min="5" max="5"/>
    <col width="17" customWidth="1" min="6" max="6"/>
    <col width="16" customWidth="1" min="7" max="7"/>
  </cols>
  <sheetData>
    <row r="1">
      <c r="A1" s="1" t="inlineStr">
        <is>
          <t>ESCALAS DE PROBABILIDAD E IMPACTO Y MATRIZ P x I</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PROBABILIDAD</t>
        </is>
      </c>
      <c r="B4" s="3" t="inlineStr">
        <is>
          <t>VALOR</t>
        </is>
      </c>
      <c r="C4" s="3" t="inlineStr">
        <is>
          <t>DESCRIPCIÓN</t>
        </is>
      </c>
    </row>
    <row r="5">
      <c r="A5" s="5" t="inlineStr">
        <is>
          <t>Muy baja</t>
        </is>
      </c>
      <c r="B5" s="13" t="n">
        <v>0.1</v>
      </c>
      <c r="C5" s="6" t="inlineStr">
        <is>
          <t>Puede ocurrir solo en circunstancias excepcionales</t>
        </is>
      </c>
    </row>
    <row r="6">
      <c r="A6" s="5" t="inlineStr">
        <is>
          <t>Baja</t>
        </is>
      </c>
      <c r="B6" s="13" t="n">
        <v>0.3</v>
      </c>
      <c r="C6" s="6" t="inlineStr">
        <is>
          <t>Podría ocurrir alguna vez durante la obra</t>
        </is>
      </c>
    </row>
    <row r="7">
      <c r="A7" s="5" t="inlineStr">
        <is>
          <t>Moderada</t>
        </is>
      </c>
      <c r="B7" s="13" t="n">
        <v>0.5</v>
      </c>
      <c r="C7" s="6" t="inlineStr">
        <is>
          <t>Puede ocurrir durante la obra</t>
        </is>
      </c>
    </row>
    <row r="8">
      <c r="A8" s="5" t="inlineStr">
        <is>
          <t>Alta</t>
        </is>
      </c>
      <c r="B8" s="13" t="n">
        <v>0.7</v>
      </c>
      <c r="C8" s="6" t="inlineStr">
        <is>
          <t>Es probable que ocurra durante la obra</t>
        </is>
      </c>
    </row>
    <row r="9">
      <c r="A9" s="5" t="inlineStr">
        <is>
          <t>Muy alta</t>
        </is>
      </c>
      <c r="B9" s="13" t="n">
        <v>0.9</v>
      </c>
      <c r="C9" s="6" t="inlineStr">
        <is>
          <t>Se espera que ocurra, casi con certeza</t>
        </is>
      </c>
    </row>
    <row r="11" ht="30" customHeight="1">
      <c r="A11" s="3" t="inlineStr">
        <is>
          <t>IMPACTO</t>
        </is>
      </c>
      <c r="B11" s="3" t="inlineStr">
        <is>
          <t>VALOR</t>
        </is>
      </c>
      <c r="C11" s="3" t="inlineStr">
        <is>
          <t>DESCRIPCIÓN</t>
        </is>
      </c>
      <c r="D11" s="3" t="inlineStr">
        <is>
          <t>COSTO HASTA (% DEL PRESUPUESTO DE OBRA)</t>
        </is>
      </c>
      <c r="E11" s="3" t="inlineStr">
        <is>
          <t>PLAZO HASTA (días)</t>
        </is>
      </c>
    </row>
    <row r="12">
      <c r="A12" s="5" t="inlineStr">
        <is>
          <t>Muy bajo</t>
        </is>
      </c>
      <c r="B12" s="13" t="n">
        <v>0.05</v>
      </c>
      <c r="C12" s="6" t="inlineStr">
        <is>
          <t>Efecto mínimo; se absorbe con la holgura del frente</t>
        </is>
      </c>
      <c r="D12" s="14" t="n">
        <v>0.1</v>
      </c>
      <c r="E12" s="10" t="n">
        <v>7</v>
      </c>
    </row>
    <row r="13">
      <c r="A13" s="5" t="inlineStr">
        <is>
          <t>Bajo</t>
        </is>
      </c>
      <c r="B13" s="13" t="n">
        <v>0.1</v>
      </c>
      <c r="C13" s="6" t="inlineStr">
        <is>
          <t>Afecta un frente; se recupera dentro del mes</t>
        </is>
      </c>
      <c r="D13" s="14" t="n">
        <v>0.5</v>
      </c>
      <c r="E13" s="10" t="n">
        <v>21</v>
      </c>
    </row>
    <row r="14">
      <c r="A14" s="5" t="inlineStr">
        <is>
          <t>Moderado</t>
        </is>
      </c>
      <c r="B14" s="13" t="n">
        <v>0.2</v>
      </c>
      <c r="C14" s="6" t="inlineStr">
        <is>
          <t>Afecta varios frentes o un hito; requiere reprogramar</t>
        </is>
      </c>
      <c r="D14" s="14" t="n">
        <v>1.5</v>
      </c>
      <c r="E14" s="10" t="n">
        <v>45</v>
      </c>
    </row>
    <row r="15">
      <c r="A15" s="5" t="inlineStr">
        <is>
          <t>Alto</t>
        </is>
      </c>
      <c r="B15" s="13" t="n">
        <v>0.4</v>
      </c>
      <c r="C15" s="6" t="inlineStr">
        <is>
          <t>Afecta la ruta crítica o el presupuesto de forma significativa</t>
        </is>
      </c>
      <c r="D15" s="14" t="n">
        <v>4</v>
      </c>
      <c r="E15" s="10" t="n">
        <v>90</v>
      </c>
    </row>
    <row r="16">
      <c r="A16" s="5" t="inlineStr">
        <is>
          <t>Muy alto</t>
        </is>
      </c>
      <c r="B16" s="13" t="n">
        <v>0.8</v>
      </c>
      <c r="C16" s="6" t="inlineStr">
        <is>
          <t>Compromete el plazo total, el financiamiento o la viabilidad</t>
        </is>
      </c>
      <c r="D16" s="4" t="inlineStr">
        <is>
          <t>mayor</t>
        </is>
      </c>
      <c r="E16" s="4" t="inlineStr">
        <is>
          <t>mayor</t>
        </is>
      </c>
    </row>
    <row r="17">
      <c r="A17" s="2" t="inlineStr">
        <is>
          <t>El nivel de impacto es el mayor entre el de costo y el de plazo, evaluados con el valor más probable.</t>
        </is>
      </c>
    </row>
    <row r="19" ht="30" customHeight="1">
      <c r="A19" s="3" t="inlineStr">
        <is>
          <t>UMBRAL</t>
        </is>
      </c>
      <c r="B19" s="3" t="inlineStr">
        <is>
          <t>P x I</t>
        </is>
      </c>
      <c r="C19" s="3" t="inlineStr">
        <is>
          <t>INTERPRETACIÓN</t>
        </is>
      </c>
    </row>
    <row r="20">
      <c r="A20" s="15" t="inlineStr">
        <is>
          <t>ALTO</t>
        </is>
      </c>
      <c r="B20" s="13" t="n">
        <v>0.18</v>
      </c>
      <c r="C20" s="6" t="inlineStr">
        <is>
          <t>P x I &gt;= 0.18: respuesta obligatoria antes del inicio, seguimiento mensual del comité</t>
        </is>
      </c>
    </row>
    <row r="21">
      <c r="A21" s="16" t="inlineStr">
        <is>
          <t>MODERADO</t>
        </is>
      </c>
      <c r="B21" s="13" t="n">
        <v>0.05</v>
      </c>
      <c r="C21" s="6" t="inlineStr">
        <is>
          <t>0.05 &lt;= P x I &lt; 0.18: respuesta planificada y seguimiento por el residente y el supervisor</t>
        </is>
      </c>
    </row>
    <row r="22">
      <c r="A22" s="17" t="inlineStr">
        <is>
          <t>BAJO</t>
        </is>
      </c>
      <c r="B22" s="4" t="inlineStr">
        <is>
          <t>&lt; 0.05</t>
        </is>
      </c>
      <c r="C22" s="6" t="inlineStr">
        <is>
          <t>Se acepta y se vigila con el registro</t>
        </is>
      </c>
    </row>
    <row r="24">
      <c r="A24" s="18" t="inlineStr">
        <is>
          <t>MATRIZ P x I</t>
        </is>
      </c>
    </row>
    <row r="25">
      <c r="A25" s="19" t="inlineStr">
        <is>
          <t>P \ I</t>
        </is>
      </c>
      <c r="B25" s="19">
        <f>A12&amp;" ("&amp;TEXT(B12,"0.00")&amp;")"</f>
        <v/>
      </c>
      <c r="C25" s="19">
        <f>A13&amp;" ("&amp;TEXT(B13,"0.00")&amp;")"</f>
        <v/>
      </c>
      <c r="D25" s="19">
        <f>A14&amp;" ("&amp;TEXT(B14,"0.00")&amp;")"</f>
        <v/>
      </c>
      <c r="E25" s="19">
        <f>A15&amp;" ("&amp;TEXT(B15,"0.00")&amp;")"</f>
        <v/>
      </c>
      <c r="F25" s="19">
        <f>A16&amp;" ("&amp;TEXT(B16,"0.00")&amp;")"</f>
        <v/>
      </c>
    </row>
    <row r="26">
      <c r="A26" s="19">
        <f>A9&amp;" ("&amp;TEXT(B9,"0.00")&amp;")"</f>
        <v/>
      </c>
      <c r="B26" s="20">
        <f>$B9*$B12</f>
        <v/>
      </c>
      <c r="C26" s="20">
        <f>$B9*$B13</f>
        <v/>
      </c>
      <c r="D26" s="20">
        <f>$B9*$B14</f>
        <v/>
      </c>
      <c r="E26" s="20">
        <f>$B9*$B15</f>
        <v/>
      </c>
      <c r="F26" s="20">
        <f>$B9*$B16</f>
        <v/>
      </c>
    </row>
    <row r="27">
      <c r="A27" s="19">
        <f>A8&amp;" ("&amp;TEXT(B8,"0.00")&amp;")"</f>
        <v/>
      </c>
      <c r="B27" s="20">
        <f>$B8*$B12</f>
        <v/>
      </c>
      <c r="C27" s="20">
        <f>$B8*$B13</f>
        <v/>
      </c>
      <c r="D27" s="20">
        <f>$B8*$B14</f>
        <v/>
      </c>
      <c r="E27" s="20">
        <f>$B8*$B15</f>
        <v/>
      </c>
      <c r="F27" s="20">
        <f>$B8*$B16</f>
        <v/>
      </c>
    </row>
    <row r="28">
      <c r="A28" s="19">
        <f>A7&amp;" ("&amp;TEXT(B7,"0.00")&amp;")"</f>
        <v/>
      </c>
      <c r="B28" s="20">
        <f>$B7*$B12</f>
        <v/>
      </c>
      <c r="C28" s="20">
        <f>$B7*$B13</f>
        <v/>
      </c>
      <c r="D28" s="20">
        <f>$B7*$B14</f>
        <v/>
      </c>
      <c r="E28" s="20">
        <f>$B7*$B15</f>
        <v/>
      </c>
      <c r="F28" s="20">
        <f>$B7*$B16</f>
        <v/>
      </c>
    </row>
    <row r="29">
      <c r="A29" s="19">
        <f>A6&amp;" ("&amp;TEXT(B6,"0.00")&amp;")"</f>
        <v/>
      </c>
      <c r="B29" s="20">
        <f>$B6*$B12</f>
        <v/>
      </c>
      <c r="C29" s="20">
        <f>$B6*$B13</f>
        <v/>
      </c>
      <c r="D29" s="20">
        <f>$B6*$B14</f>
        <v/>
      </c>
      <c r="E29" s="20">
        <f>$B6*$B15</f>
        <v/>
      </c>
      <c r="F29" s="20">
        <f>$B6*$B16</f>
        <v/>
      </c>
    </row>
    <row r="30">
      <c r="A30" s="19">
        <f>A5&amp;" ("&amp;TEXT(B5,"0.00")&amp;")"</f>
        <v/>
      </c>
      <c r="B30" s="20">
        <f>$B5*$B12</f>
        <v/>
      </c>
      <c r="C30" s="20">
        <f>$B5*$B13</f>
        <v/>
      </c>
      <c r="D30" s="20">
        <f>$B5*$B14</f>
        <v/>
      </c>
      <c r="E30" s="20">
        <f>$B5*$B15</f>
        <v/>
      </c>
      <c r="F30" s="20">
        <f>$B5*$B16</f>
        <v/>
      </c>
    </row>
  </sheetData>
  <conditionalFormatting sqref="B26:F30">
    <cfRule type="cellIs" priority="1" operator="greaterThanOrEqual" dxfId="0">
      <formula>$B$20</formula>
    </cfRule>
    <cfRule type="cellIs" priority="2" operator="between" dxfId="1">
      <formula>$B$21</formula>
      <formula>$B$20-0.000001</formula>
    </cfRule>
    <cfRule type="cellIs" priority="3" operator="lessThan" dxfId="2">
      <formula>$B$21</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G3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40" customWidth="1" min="3" max="3"/>
    <col width="42" customWidth="1" min="4" max="4"/>
    <col width="36" customWidth="1" min="5" max="5"/>
    <col width="32" customWidth="1" min="6" max="6"/>
    <col width="40" customWidth="1" min="7" max="7"/>
  </cols>
  <sheetData>
    <row r="1">
      <c r="A1" s="1" t="inlineStr">
        <is>
          <t>IDENTIFICACIÓN DE RIESGOS</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COD.</t>
        </is>
      </c>
      <c r="B4" s="3" t="inlineStr">
        <is>
          <t>CATEGORÍA</t>
        </is>
      </c>
      <c r="C4" s="3" t="inlineStr">
        <is>
          <t>RIESGO (EVENTO)</t>
        </is>
      </c>
      <c r="D4" s="3" t="inlineStr">
        <is>
          <t>CAUSA</t>
        </is>
      </c>
      <c r="E4" s="3" t="inlineStr">
        <is>
          <t>EFECTO</t>
        </is>
      </c>
      <c r="F4" s="3" t="inlineStr">
        <is>
          <t>UBICACIÓN / PROGRESIVA</t>
        </is>
      </c>
      <c r="G4" s="3" t="inlineStr">
        <is>
          <t>EVIDENCIA EN LOS DOCUMENTOS</t>
        </is>
      </c>
    </row>
    <row r="5" ht="75" customHeight="1">
      <c r="A5" s="21" t="inlineStr">
        <is>
          <t>R-01</t>
        </is>
      </c>
      <c r="B5" s="6" t="inlineStr">
        <is>
          <t>Clima y naturaleza</t>
        </is>
      </c>
      <c r="C5" s="6" t="inlineStr">
        <is>
          <t>Lluvias estacionales intensas (octubre a abril) que paralizan el movimiento de tierras, la pavimentación y los vaciados</t>
        </is>
      </c>
      <c r="D5" s="6" t="inlineStr">
        <is>
          <t>Clima cálido y húmedo con lluvias todo el año: 1,020 mm anuales en Tarapoto y 1,471 mm en Juanjuí (NOAA GHCN-Daily), con máximos en marzo y en octubre-noviembre; el plazo de 720 días abarca dos temporadas de lluvias.</t>
        </is>
      </c>
      <c r="E5" s="6" t="inlineStr">
        <is>
          <t>Días no trabajables, capas granulares saturadas que se deben reprocesar, retraso de la ruta crítica.</t>
        </is>
      </c>
      <c r="F5" s="6" t="inlineStr">
        <is>
          <t>Todo el tramo, 19+343 a 44+693</t>
        </is>
      </c>
      <c r="G5" s="6" t="inlineStr">
        <is>
          <t>FTE: lluvias intensas SI, nivel medio. Inventario: empozamientos y pérdida de material por escorrentía.</t>
        </is>
      </c>
    </row>
    <row r="6" ht="75" customHeight="1">
      <c r="A6" s="21" t="inlineStr">
        <is>
          <t>R-02</t>
        </is>
      </c>
      <c r="B6" s="6" t="inlineStr">
        <is>
          <t>Clima y naturaleza</t>
        </is>
      </c>
      <c r="C6" s="6" t="inlineStr">
        <is>
          <t>Lluvias extraordinarias o anomalías climáticas (El Niño / La Niña) con desborde de quebradas y daños a la obra ejecutada</t>
        </is>
      </c>
      <c r="D6" s="6" t="inlineStr">
        <is>
          <t>Eventos de lluvia superiores a los de diseño, declarados por el ENFEN o con declaratoria de emergencia.</t>
        </is>
      </c>
      <c r="E6" s="6" t="inlineStr">
        <is>
          <t>Daños en terraplenes, alcantarillas y accesos de puentes; ampliación de plazo con gastos generales.</t>
        </is>
      </c>
      <c r="F6" s="6" t="inlineStr">
        <is>
          <t>Quebradas de los 5 puentes y sectores bajos 19+343 a 23+000</t>
        </is>
      </c>
      <c r="G6" s="6" t="inlineStr">
        <is>
          <t>FTE 18.3: el área ha sido afectada por desastres. Inventario: inundación 20+360 a 21+170.</t>
        </is>
      </c>
    </row>
    <row r="7" ht="75" customHeight="1">
      <c r="A7" s="21" t="inlineStr">
        <is>
          <t>R-03</t>
        </is>
      </c>
      <c r="B7" s="6" t="inlineStr">
        <is>
          <t>Clima y naturaleza</t>
        </is>
      </c>
      <c r="C7" s="6" t="inlineStr">
        <is>
          <t>Crecidas de quebradas durante la construcción de estribos de los 5 puentes</t>
        </is>
      </c>
      <c r="D7" s="6" t="inlineStr">
        <is>
          <t>Demolición de estribos existentes y excavación bajo agua (806.94 m³ en cada puente de 40 m) en época de lluvias.</t>
        </is>
      </c>
      <c r="E7" s="6" t="inlineStr">
        <is>
          <t>Inundación de excavaciones, arrastre de encofrados y ataguías, reprogramación de la subestructura.</t>
        </is>
      </c>
      <c r="F7" s="6" t="inlineStr">
        <is>
          <t>Puentes Tingo de Ponasa 20+300, Barco 29+300, Paucarillo 37+870, Apangurayco 38+800, Chanchamayco 44+040</t>
        </is>
      </c>
      <c r="G7" s="6" t="inlineStr">
        <is>
          <t>S10 1.10: excavación bajo agua, encauzamiento de quebrada y desvío temporal en cada puente.</t>
        </is>
      </c>
    </row>
    <row r="8" ht="75" customHeight="1">
      <c r="A8" s="21" t="inlineStr">
        <is>
          <t>R-04</t>
        </is>
      </c>
      <c r="B8" s="6" t="inlineStr">
        <is>
          <t>Geotecnia</t>
        </is>
      </c>
      <c r="C8" s="6" t="inlineStr">
        <is>
          <t>Inestabilidad de taludes y deslizamientos durante los cortes en ladera</t>
        </is>
      </c>
      <c r="D8" s="6" t="inlineStr">
        <is>
          <t>Taludes altos (h = 20 a 30 m) en suelos limosos y arcillosos saturables; pendientes del entorno de hasta 40° (modelo digital).</t>
        </is>
      </c>
      <c r="E8" s="6" t="inlineStr">
        <is>
          <t>Derrumbes sobre la plataforma, cortes adicionales, banquetas o muros no previstos, riesgo para el personal.</t>
        </is>
      </c>
      <c r="F8" s="6" t="inlineStr">
        <is>
          <t>36+060 a 36+100 (h = 20 m, LI) y 37+520 a 37+780 (h = 30 m, LI); laderas 34+000 a 37+000 y 43+000 a 44+000</t>
        </is>
      </c>
      <c r="G8" s="6" t="inlineStr">
        <is>
          <t>Inventario: zonas críticas por inestabilidad de talud.</t>
        </is>
      </c>
    </row>
    <row r="9" ht="75" customHeight="1">
      <c r="A9" s="21" t="inlineStr">
        <is>
          <t>R-05</t>
        </is>
      </c>
      <c r="B9" s="6" t="inlineStr">
        <is>
          <t>Geotecnia</t>
        </is>
      </c>
      <c r="C9" s="6" t="inlineStr">
        <is>
          <t>Erosión y socavación de la plataforma y de los terraplenes en construcción</t>
        </is>
      </c>
      <c r="D9" s="6" t="inlineStr">
        <is>
          <t>Escorrentía sin control y bordes con desnivel de 2 a 5 m; drenaje transversal colmatado.</t>
        </is>
      </c>
      <c r="E9" s="6" t="inlineStr">
        <is>
          <t>Pérdida de terraplén, reducción del ancho útil, reconstrucción de capas y protección adicional.</t>
        </is>
      </c>
      <c r="F9" s="6" t="inlineStr">
        <is>
          <t>20+337 a 20+340; 34+766 a 34+786; 36+380 a 36+460; 39+380 a 39+840 (h = 3 a 5 m); 43+620 a 43+632</t>
        </is>
      </c>
      <c r="G9" s="6" t="inlineStr">
        <is>
          <t>Inventario: zonas críticas por erosión y alcantarillas colmatadas o semicolmatadas.</t>
        </is>
      </c>
    </row>
    <row r="10" ht="75" customHeight="1">
      <c r="A10" s="21" t="inlineStr">
        <is>
          <t>R-06</t>
        </is>
      </c>
      <c r="B10" s="6" t="inlineStr">
        <is>
          <t>Clima y naturaleza</t>
        </is>
      </c>
      <c r="C10" s="6" t="inlineStr">
        <is>
          <t>Saturación de terraplenes por inundación de arrozales, canales de riego y empozamientos</t>
        </is>
      </c>
      <c r="D10" s="6" t="inlineStr">
        <is>
          <t>La vía cruza zonas de cultivo de arroz con riego por inundación y sectores sin elemento de descarga.</t>
        </is>
      </c>
      <c r="E10" s="6" t="inlineStr">
        <is>
          <t>Subrasante saturada, mayor mejoramiento de suelos, retraso de la compactación.</t>
        </is>
      </c>
      <c r="F10" s="6" t="inlineStr">
        <is>
          <t>20+360 a 21+170; 22+270; 22+800 a 22+960; 26+924; 34+954; 40+380; 43+660</t>
        </is>
      </c>
      <c r="G10" s="6" t="inlineStr">
        <is>
          <t>Inventario: inundación por cultivos de arroz y empozamientos sin descarga; cuadro 8 propone alcantarillas en 26+924, 34+954, 40+380 y 43+660.</t>
        </is>
      </c>
    </row>
    <row r="11" ht="75" customHeight="1">
      <c r="A11" s="21" t="inlineStr">
        <is>
          <t>R-07</t>
        </is>
      </c>
      <c r="B11" s="6" t="inlineStr">
        <is>
          <t>Geotecnia</t>
        </is>
      </c>
      <c r="C11" s="6" t="inlineStr">
        <is>
          <t>Subrasante de menor capacidad de soporte que la prevista en el expediente</t>
        </is>
      </c>
      <c r="D11" s="6" t="inlineStr">
        <is>
          <t>Suelos limosos y arcillosos variables; exploración con espaciamiento insuficiente.</t>
        </is>
      </c>
      <c r="E11" s="6" t="inlineStr">
        <is>
          <t>Mayor volumen de mejoramiento de suelos y geomalla (mayores metrados).</t>
        </is>
      </c>
      <c r="F11" s="6" t="inlineStr">
        <is>
          <t>Sectores de terreno natural y material de préstamo expuesto</t>
        </is>
      </c>
      <c r="G11" s="6" t="inlineStr">
        <is>
          <t>Inventario 10.2: terreno natural limoso y arcilloso. S10: mejoramiento 59,801 m³.</t>
        </is>
      </c>
    </row>
    <row r="12" ht="75" customHeight="1">
      <c r="A12" s="21" t="inlineStr">
        <is>
          <t>R-08</t>
        </is>
      </c>
      <c r="B12" s="6" t="inlineStr">
        <is>
          <t>Insumos y canteras</t>
        </is>
      </c>
      <c r="C12" s="6" t="inlineStr">
        <is>
          <t>Cantera insuficiente, sin calidad o sin autorización, con mayor distancia de transporte</t>
        </is>
      </c>
      <c r="D12" s="6" t="inlineStr">
        <is>
          <t>Unos 423,600 m³ de material granular (terraplén, mejoramiento, subbase y base) dependen de canteras de río; la distancia media es ~31 km.</t>
        </is>
      </c>
      <c r="E12" s="6" t="inlineStr">
        <is>
          <t>Cada kilómetro adicional de transporte equivale a cerca de 0.75 % del presupuesto de obra; retraso en la producción de agregados.</t>
        </is>
      </c>
      <c r="F12" s="6" t="inlineStr">
        <is>
          <t>Cantera de río (4.50 ha) y accesos (2.50 km)</t>
        </is>
      </c>
      <c r="G12" s="6" t="inlineStr">
        <is>
          <t>S10 1.07.02 Transporte de material granular &gt; 1 km; 1.04.07 y 1.04.08 Cantera.</t>
        </is>
      </c>
    </row>
    <row r="13" ht="75" customHeight="1">
      <c r="A13" s="21" t="inlineStr">
        <is>
          <t>R-09</t>
        </is>
      </c>
      <c r="B13" s="6" t="inlineStr">
        <is>
          <t>Permisos</t>
        </is>
      </c>
      <c r="C13" s="6" t="inlineStr">
        <is>
          <t>Demora en autorizaciones de uso de agua y de extracción de material de cauce</t>
        </is>
      </c>
      <c r="D13" s="6" t="inlineStr">
        <is>
          <t>Trámites ante la Autoridad Local del Agua y la municipalidad no iniciados en la fase de formulación.</t>
        </is>
      </c>
      <c r="E13" s="6" t="inlineStr">
        <is>
          <t>Paralización de la producción de agregados, del riego y de los vaciados.</t>
        </is>
      </c>
      <c r="F13" s="6" t="inlineStr">
        <is>
          <t>Fuente de agua (acceso 1.70 km) y cantera de río</t>
        </is>
      </c>
      <c r="G13" s="6" t="inlineStr">
        <is>
          <t>S10 1.04.09 Acceso a fuente de agua; 1.04.08 Cantera de río.</t>
        </is>
      </c>
    </row>
    <row r="14" ht="75" customHeight="1">
      <c r="A14" s="21" t="inlineStr">
        <is>
          <t>R-10</t>
        </is>
      </c>
      <c r="B14" s="6" t="inlineStr">
        <is>
          <t>Social y predios</t>
        </is>
      </c>
      <c r="C14" s="6" t="inlineStr">
        <is>
          <t>Falta de libre disponibilidad del terreno para el ensanche de la plataforma</t>
        </is>
      </c>
      <c r="D14" s="6" t="inlineStr">
        <is>
          <t>El ancho pasa de 4.50-6.00 m a 7.00 m más cunetas; derecho de vía de 20 m inexistente; viviendas, cercos y cultivos en el borde.</t>
        </is>
      </c>
      <c r="E14" s="6" t="inlineStr">
        <is>
          <t>Frentes detenidos, compensaciones, rediseño de cunetas y del eje en zonas urbanas.</t>
        </is>
      </c>
      <c r="F14" s="6" t="inlineStr">
        <is>
          <t>Tingo de Ponasa 19+343 a 19+800; Aypena 21+940; Nuevo América 26+270; Leoncio Prado 28+080; San Antonio 31+420; Huañipo 33+780; Paucar 38+020; Alfonso Ugarte 38+730; Shamboyacu 44+300 a 44+693</t>
        </is>
      </c>
      <c r="G14" s="6" t="inlineStr">
        <is>
          <t>FTE 11: acta de libre disponibilidad del terreno. Resumen ejecutivo: derecho de vía de 20 m como mínimo con proyecto.</t>
        </is>
      </c>
    </row>
    <row r="15" ht="75" customHeight="1">
      <c r="A15" s="21" t="inlineStr">
        <is>
          <t>R-11</t>
        </is>
      </c>
      <c r="B15" s="6" t="inlineStr">
        <is>
          <t>Interferencias</t>
        </is>
      </c>
      <c r="C15" s="6" t="inlineStr">
        <is>
          <t>Interferencias con redes eléctricas, de agua potable y de telecomunicaciones</t>
        </is>
      </c>
      <c r="D15" s="6" t="inlineStr">
        <is>
          <t>73 postes a reubicar; pases de agua potable y tuberías de PVC bajo la vía.</t>
        </is>
      </c>
      <c r="E15" s="6" t="inlineStr">
        <is>
          <t>Cortes de servicio, reclamos, espera de la concesionaria, frentes detenidos.</t>
        </is>
      </c>
      <c r="F15" s="6" t="inlineStr">
        <is>
          <t>Pase de agua potable 22+425; PVC 21" 25+715; PVC 6" 34+688; postes en las 9 localidades</t>
        </is>
      </c>
      <c r="G15" s="6" t="inlineStr">
        <is>
          <t>S10 1.04.12 Reubicación de postes (73 und); inventario 11.3.</t>
        </is>
      </c>
    </row>
    <row r="16" ht="75" customHeight="1">
      <c r="A16" s="21" t="inlineStr">
        <is>
          <t>R-12</t>
        </is>
      </c>
      <c r="B16" s="6" t="inlineStr">
        <is>
          <t>Social y predios</t>
        </is>
      </c>
      <c r="C16" s="6" t="inlineStr">
        <is>
          <t>Afectación de canales y cruces de riego con reclamos de los agricultores</t>
        </is>
      </c>
      <c r="D16" s="6" t="inlineStr">
        <is>
          <t>6 cruces de canal, un canal paralelo (31+100 a 31+920) y alcantarillas compartidas con el riego.</t>
        </is>
      </c>
      <c r="E16" s="6" t="inlineStr">
        <is>
          <t>Corte del riego de arrozales, reclamos, paralización de frentes, indemnizaciones.</t>
        </is>
      </c>
      <c r="F16" s="6" t="inlineStr">
        <is>
          <t>Cruces 32+578, 35+950, 36+120, 37+400, 37+794, 38+370; canal 31+100 a 31+920</t>
        </is>
      </c>
      <c r="G16" s="6" t="inlineStr">
        <is>
          <t>Inventario 11.1 y 11.3: cruces de canal de regadío TMC 72" y de concreto.</t>
        </is>
      </c>
    </row>
    <row r="17" ht="75" customHeight="1">
      <c r="A17" s="21" t="inlineStr">
        <is>
          <t>R-13</t>
        </is>
      </c>
      <c r="B17" s="6" t="inlineStr">
        <is>
          <t>Social y predios</t>
        </is>
      </c>
      <c r="C17" s="6" t="inlineStr">
        <is>
          <t>Conflictos sociales y paralizaciones de la población</t>
        </is>
      </c>
      <c r="D17" s="6" t="inlineStr">
        <is>
          <t>Expectativas de empleo local, polvo, ruido, accesos a viviendas y afectaciones de predios.</t>
        </is>
      </c>
      <c r="E17" s="6" t="inlineStr">
        <is>
          <t>Paralización de frentes, reprogramación, compromisos adicionales.</t>
        </is>
      </c>
      <c r="F17" s="6" t="inlineStr">
        <is>
          <t>Localidades del tramo</t>
        </is>
      </c>
      <c r="G17" s="6" t="inlineStr">
        <is>
          <t>S10 1.11.08 Plan de gestión social.</t>
        </is>
      </c>
    </row>
    <row r="18" ht="75" customHeight="1">
      <c r="A18" s="21" t="inlineStr">
        <is>
          <t>R-14</t>
        </is>
      </c>
      <c r="B18" s="6" t="inlineStr">
        <is>
          <t>Permisos</t>
        </is>
      </c>
      <c r="C18" s="6" t="inlineStr">
        <is>
          <t>Hallazgos arqueológicos o falta del instrumento de intervención arqueológica aprobado</t>
        </is>
      </c>
      <c r="D18" s="6" t="inlineStr">
        <is>
          <t>Cortes, canteras, DME y ensanches en zonas que pueden tener restos arqueológicos; el proyecto contempla un plan de monitoreo arqueológico.</t>
        </is>
      </c>
      <c r="E18" s="6" t="inlineStr">
        <is>
          <t>Paralización de frentes por el Ministerio de Cultura hasta el rescate o la liberación.</t>
        </is>
      </c>
      <c r="F18" s="6" t="inlineStr">
        <is>
          <t>Cortes, canteras, DME y ensanches</t>
        </is>
      </c>
      <c r="G18" s="6" t="inlineStr">
        <is>
          <t>S10 1.12.01 Plan y monitoreo arqueológico.</t>
        </is>
      </c>
    </row>
    <row r="19" ht="75" customHeight="1">
      <c r="A19" s="21" t="inlineStr">
        <is>
          <t>R-15</t>
        </is>
      </c>
      <c r="B19" s="6" t="inlineStr">
        <is>
          <t>Permisos</t>
        </is>
      </c>
      <c r="C19" s="6" t="inlineStr">
        <is>
          <t>Demora o condicionamiento de la certificación ambiental</t>
        </is>
      </c>
      <c r="D19" s="6" t="inlineStr">
        <is>
          <t>La FTE señala que se requiere estudio de impacto ambiental; sin certificación no se puede iniciar la obra.</t>
        </is>
      </c>
      <c r="E19" s="6" t="inlineStr">
        <is>
          <t>Inicio postergado o cambios del Plan de Manejo Ambiental.</t>
        </is>
      </c>
      <c r="F19" s="6" t="inlineStr">
        <is>
          <t>Todo el proyecto y áreas auxiliares</t>
        </is>
      </c>
      <c r="G19" s="6" t="inlineStr">
        <is>
          <t>FTE 11 y 21; S10 1.11 Plan de manejo ambiental.</t>
        </is>
      </c>
    </row>
    <row r="20" ht="75" customHeight="1">
      <c r="A20" s="21" t="inlineStr">
        <is>
          <t>R-16</t>
        </is>
      </c>
      <c r="B20" s="6" t="inlineStr">
        <is>
          <t>Expediente técnico</t>
        </is>
      </c>
      <c r="C20" s="6" t="inlineStr">
        <is>
          <t>Deficiencias del expediente técnico (metrados, diseños, estudios básicos)</t>
        </is>
      </c>
      <c r="D20" s="6" t="inlineStr">
        <is>
          <t>Información de campo o de diseño incompleta o desactualizada (topografía, estudios básicos, metrados) que obliga a ajustar el expediente durante la obra.</t>
        </is>
      </c>
      <c r="E20" s="6" t="inlineStr">
        <is>
          <t>Adicionales, deductivos, consultas y controversias; mayor plazo.</t>
        </is>
      </c>
      <c r="F20" s="6" t="inlineStr">
        <is>
          <t>Todo el expediente</t>
        </is>
      </c>
      <c r="G20" s="6" t="inlineStr">
        <is>
          <t>Expediente técnico del proyecto.</t>
        </is>
      </c>
    </row>
    <row r="21" ht="75" customHeight="1">
      <c r="A21" s="21" t="inlineStr">
        <is>
          <t>R-17</t>
        </is>
      </c>
      <c r="B21" s="6" t="inlineStr">
        <is>
          <t>Económico</t>
        </is>
      </c>
      <c r="C21" s="6" t="inlineStr">
        <is>
          <t>Variación de precios de insumos críticos (asfalto, combustible, acero, TMC)</t>
        </is>
      </c>
      <c r="D21" s="6" t="inlineStr">
        <is>
          <t>El cemento asfáltico (6.5 % de la obra), el transporte (29.0 %) y las vigas metálicas dependen de precios internacionales.</t>
        </is>
      </c>
      <c r="E21" s="6" t="inlineStr">
        <is>
          <t>Mayor costo vía reajuste de precios; presión sobre el financiamiento.</t>
        </is>
      </c>
      <c r="F21" s="6" t="inlineStr">
        <is>
          <t>Todo el proyecto</t>
        </is>
      </c>
      <c r="G21" s="6" t="inlineStr">
        <is>
          <t>S10: 1.06.02.03 Cemento asfáltico; 1.07 Transporte; 1.10 Vigas metálicas 84.49 t por puente.</t>
        </is>
      </c>
    </row>
    <row r="22" ht="75" customHeight="1">
      <c r="A22" s="21" t="inlineStr">
        <is>
          <t>R-18</t>
        </is>
      </c>
      <c r="B22" s="6" t="inlineStr">
        <is>
          <t>Insumos y canteras</t>
        </is>
      </c>
      <c r="C22" s="6" t="inlineStr">
        <is>
          <t>Retraso en el suministro de materiales de importación o fabricación especial</t>
        </is>
      </c>
      <c r="D22" s="6" t="inlineStr">
        <is>
          <t>Cemento asfáltico, TMC MP-68, vigas metálicas (84.49 t en cada puente de 40 m), neoprenos y geosintéticos con plazos largos.</t>
        </is>
      </c>
      <c r="E22" s="6" t="inlineStr">
        <is>
          <t>Frentes detenidos, puentes fuera de secuencia.</t>
        </is>
      </c>
      <c r="F22" s="6" t="inlineStr">
        <is>
          <t>Puentes y pavimento</t>
        </is>
      </c>
      <c r="G22" s="6" t="inlineStr">
        <is>
          <t>S10 1.08.01.12 a 14 (TMC); 1.10.01.04 y 1.10.02.04 (vigas metálicas).</t>
        </is>
      </c>
    </row>
    <row r="23" ht="75" customHeight="1">
      <c r="A23" s="21" t="inlineStr">
        <is>
          <t>R-19</t>
        </is>
      </c>
      <c r="B23" s="6" t="inlineStr">
        <is>
          <t>Ejecución</t>
        </is>
      </c>
      <c r="C23" s="6" t="inlineStr">
        <is>
          <t>Falla o insuficiencia de equipos (planta de asfalto, chancadora, compactación)</t>
        </is>
      </c>
      <c r="D23" s="6" t="inlineStr">
        <is>
          <t>Zona alejada de talleres; transporte de equipo por la PE-5N.</t>
        </is>
      </c>
      <c r="E23" s="6" t="inlineStr">
        <is>
          <t>Baja producción y retraso del pavimento.</t>
        </is>
      </c>
      <c r="F23" s="6" t="inlineStr">
        <is>
          <t>Planta y frentes</t>
        </is>
      </c>
      <c r="G23" s="6" t="inlineStr">
        <is>
          <t>S10 1.01.03 Movilización de equipo y maquinaria pesada.</t>
        </is>
      </c>
    </row>
    <row r="24" ht="75" customHeight="1">
      <c r="A24" s="21" t="inlineStr">
        <is>
          <t>R-20</t>
        </is>
      </c>
      <c r="B24" s="6" t="inlineStr">
        <is>
          <t>Seguridad</t>
        </is>
      </c>
      <c r="C24" s="6" t="inlineStr">
        <is>
          <t>Accidentes de tránsito y atropellos en la vía en servicio durante la obra</t>
        </is>
      </c>
      <c r="D24" s="6" t="inlineStr">
        <is>
          <t>IMD de 254 veh/día, un carril, desvíos, maquinaria y peatones en 9 localidades.</t>
        </is>
      </c>
      <c r="E24" s="6" t="inlineStr">
        <is>
          <t>Víctimas, responsabilidad civil y penal, paralización del frente.</t>
        </is>
      </c>
      <c r="F24" s="6" t="inlineStr">
        <is>
          <t>Todo el tramo, en especial las localidades</t>
        </is>
      </c>
      <c r="G24" s="6" t="inlineStr">
        <is>
          <t>FTE: IMDA 254 veh/día. S10 1.04.02 Mantenimiento de tránsito temporal y seguridad vial.</t>
        </is>
      </c>
    </row>
    <row r="25" ht="75" customHeight="1">
      <c r="A25" s="21" t="inlineStr">
        <is>
          <t>R-21</t>
        </is>
      </c>
      <c r="B25" s="6" t="inlineStr">
        <is>
          <t>Seguridad</t>
        </is>
      </c>
      <c r="C25" s="6" t="inlineStr">
        <is>
          <t>Accidentes de trabajo graves (izaje de vigas, trabajo en agua, excavaciones, maquinaria)</t>
        </is>
      </c>
      <c r="D25" s="6" t="inlineStr">
        <is>
          <t>Montaje de vigas metálicas, excavación bajo agua y cortes altos.</t>
        </is>
      </c>
      <c r="E25" s="6" t="inlineStr">
        <is>
          <t>Lesiones o fatalidades, paralización por la autoridad de trabajo.</t>
        </is>
      </c>
      <c r="F25" s="6" t="inlineStr">
        <is>
          <t>Puentes y cortes en ladera</t>
        </is>
      </c>
      <c r="G25" s="6" t="inlineStr">
        <is>
          <t>S10 1.02 Seguridad y salud ocupacional; 1.10 Montaje de estructuras metálicas.</t>
        </is>
      </c>
    </row>
    <row r="26" ht="75" customHeight="1">
      <c r="A26" s="21" t="inlineStr">
        <is>
          <t>R-22</t>
        </is>
      </c>
      <c r="B26" s="6" t="inlineStr">
        <is>
          <t>Clima y naturaleza</t>
        </is>
      </c>
      <c r="C26" s="6" t="inlineStr">
        <is>
          <t>Sismo de intensidad moderada a alta durante la obra</t>
        </is>
      </c>
      <c r="D26" s="6" t="inlineStr">
        <is>
          <t>Actividad sísmica de la región nororiental.</t>
        </is>
      </c>
      <c r="E26" s="6" t="inlineStr">
        <is>
          <t>Daños a estructuras en construcción y a taludes; paralización.</t>
        </is>
      </c>
      <c r="F26" s="6" t="inlineStr">
        <is>
          <t>Todo el tramo</t>
        </is>
      </c>
      <c r="G26" s="6" t="inlineStr">
        <is>
          <t>FTE 18.3: sismos SI, nivel bajo.</t>
        </is>
      </c>
    </row>
    <row r="27" ht="75" customHeight="1">
      <c r="A27" s="21" t="inlineStr">
        <is>
          <t>R-23</t>
        </is>
      </c>
      <c r="B27" s="6" t="inlineStr">
        <is>
          <t>Económico</t>
        </is>
      </c>
      <c r="C27" s="6" t="inlineStr">
        <is>
          <t>Retraso en el financiamiento o en los pagos de valorizaciones</t>
        </is>
      </c>
      <c r="D27" s="6" t="inlineStr">
        <is>
          <t>Fuente de recursos determinados (canon, FONCOR) sujeta a variaciones; inversión alta concentrada en 24 meses.</t>
        </is>
      </c>
      <c r="E27" s="6" t="inlineStr">
        <is>
          <t>Ritmo de obra menor, paralización y reconocimiento de gastos generales.</t>
        </is>
      </c>
      <c r="F27" s="6" t="inlineStr">
        <is>
          <t>Todo el proyecto</t>
        </is>
      </c>
      <c r="G27" s="6" t="inlineStr">
        <is>
          <t>FTE 20: recursos determinados. Resumen ejecutivo: canon, FONCOR, RDR.</t>
        </is>
      </c>
    </row>
    <row r="28" ht="75" customHeight="1">
      <c r="A28" s="21" t="inlineStr">
        <is>
          <t>R-24</t>
        </is>
      </c>
      <c r="B28" s="6" t="inlineStr">
        <is>
          <t>Gestión del contrato</t>
        </is>
      </c>
      <c r="C28" s="6" t="inlineStr">
        <is>
          <t>Demoras en la absolución de consultas, aprobación de prestaciones adicionales y decisiones de la Entidad</t>
        </is>
      </c>
      <c r="D28" s="6" t="inlineStr">
        <is>
          <t>Volumen de consultas técnicas durante la obra; designación tardía de la supervisión.</t>
        </is>
      </c>
      <c r="E28" s="6" t="inlineStr">
        <is>
          <t>Frentes detenidos, ampliaciones de plazo y controversias.</t>
        </is>
      </c>
      <c r="F28" s="6" t="inlineStr">
        <is>
          <t>Todo el proyecto</t>
        </is>
      </c>
      <c r="G28" s="6" t="inlineStr">
        <is>
          <t>—</t>
        </is>
      </c>
    </row>
    <row r="29" ht="75" customHeight="1">
      <c r="A29" s="21" t="inlineStr">
        <is>
          <t>R-25</t>
        </is>
      </c>
      <c r="B29" s="6" t="inlineStr">
        <is>
          <t>Ambiental</t>
        </is>
      </c>
      <c r="C29" s="6" t="inlineStr">
        <is>
          <t>Áreas de depósito de material excedente (DME) insuficientes</t>
        </is>
      </c>
      <c r="D29" s="6" t="inlineStr">
        <is>
          <t>La obra genera cerca de 298,000 m³ de material excedente que deben disponerse en DME autorizados y cercanos a la vía.</t>
        </is>
      </c>
      <c r="E29" s="6" t="inlineStr">
        <is>
          <t>DME adicionales, mayor transporte, observaciones ambientales.</t>
        </is>
      </c>
      <c r="F29" s="6" t="inlineStr">
        <is>
          <t>DME del proyecto</t>
        </is>
      </c>
      <c r="G29" s="6" t="inlineStr">
        <is>
          <t>S10 1.04.04 Habilitación de DME; 1.11.01.01 Acomodo de material excedente.</t>
        </is>
      </c>
    </row>
    <row r="30" ht="75" customHeight="1">
      <c r="A30" s="21" t="inlineStr">
        <is>
          <t>R-26</t>
        </is>
      </c>
      <c r="B30" s="6" t="inlineStr">
        <is>
          <t>Ambiental</t>
        </is>
      </c>
      <c r="C30" s="6" t="inlineStr">
        <is>
          <t>Contaminación de quebradas y suelos (sedimentos, derrames de asfalto y combustible)</t>
        </is>
      </c>
      <c r="D30" s="6" t="inlineStr">
        <is>
          <t>Trabajos en cauce en 5 puentes, planta de asfalto y patio de máquinas.</t>
        </is>
      </c>
      <c r="E30" s="6" t="inlineStr">
        <is>
          <t>Sanción ambiental, paralización, remediación.</t>
        </is>
      </c>
      <c r="F30" s="6" t="inlineStr">
        <is>
          <t>Puentes, planta y patio de máquinas</t>
        </is>
      </c>
      <c r="G30" s="6" t="inlineStr">
        <is>
          <t>S10 1.11.02 Residuos; 1.11.10 Monitoreo de calidad de agua (2 und).</t>
        </is>
      </c>
    </row>
    <row r="31" ht="75" customHeight="1">
      <c r="A31" s="21" t="inlineStr">
        <is>
          <t>R-27</t>
        </is>
      </c>
      <c r="B31" s="6" t="inlineStr">
        <is>
          <t>Ejecución</t>
        </is>
      </c>
      <c r="C31" s="6" t="inlineStr">
        <is>
          <t>Interrupción prolongada del tránsito y del acceso a las localidades</t>
        </is>
      </c>
      <c r="D31" s="6" t="inlineStr">
        <is>
          <t>No existe vía alterna; demolición y reconstrucción de 5 puentes en el mismo eje.</t>
        </is>
      </c>
      <c r="E31" s="6" t="inlineStr">
        <is>
          <t>Aislamiento de centros poblados, reclamos, exigencia de puentes provisionales.</t>
        </is>
      </c>
      <c r="F31" s="6" t="inlineStr">
        <is>
          <t>Puentes 20+300, 29+300, 37+870, 38+800, 44+040</t>
        </is>
      </c>
      <c r="G31" s="6" t="inlineStr">
        <is>
          <t>S10: desvíos temporales en cada puente; 1.04.11 Desvío temporal durante la ejecución.</t>
        </is>
      </c>
    </row>
    <row r="32" ht="75" customHeight="1">
      <c r="A32" s="21" t="inlineStr">
        <is>
          <t>R-28</t>
        </is>
      </c>
      <c r="B32" s="6" t="inlineStr">
        <is>
          <t>Ejecución</t>
        </is>
      </c>
      <c r="C32" s="6" t="inlineStr">
        <is>
          <t>Calidad deficiente de la carpeta asfáltica o del concreto</t>
        </is>
      </c>
      <c r="D32" s="6" t="inlineStr">
        <is>
          <t>Colocación con lluvia, temperatura de la mezcla por distancia de transporte, curado insuficiente.</t>
        </is>
      </c>
      <c r="E32" s="6" t="inlineStr">
        <is>
          <t>Rechazo y reconstrucción, mayor plazo.</t>
        </is>
      </c>
      <c r="F32" s="6" t="inlineStr">
        <is>
          <t>Pavimento y estructuras</t>
        </is>
      </c>
      <c r="G32" s="6" t="inlineStr">
        <is>
          <t>S10 1.06.02 MAC 10,469 m³; 1.07.05 y 1.07.06 Transporte de mezcla.</t>
        </is>
      </c>
    </row>
    <row r="33" ht="75" customHeight="1">
      <c r="A33" s="21" t="inlineStr">
        <is>
          <t>R-29</t>
        </is>
      </c>
      <c r="B33" s="6" t="inlineStr">
        <is>
          <t>Seguridad</t>
        </is>
      </c>
      <c r="C33" s="6" t="inlineStr">
        <is>
          <t>Enfermedades transmitidas por vectores (dengue) y emergencias sanitarias en el personal</t>
        </is>
      </c>
      <c r="D33" s="6" t="inlineStr">
        <is>
          <t>Zona endémica de selva; campamento con agua estancada.</t>
        </is>
      </c>
      <c r="E33" s="6" t="inlineStr">
        <is>
          <t>Ausentismo y menor rendimiento.</t>
        </is>
      </c>
      <c r="F33" s="6" t="inlineStr">
        <is>
          <t>Campamento y frentes</t>
        </is>
      </c>
      <c r="G33" s="6" t="inlineStr">
        <is>
          <t>S10 1.02.05 Recursos para respuesta ante emergencias.</t>
        </is>
      </c>
    </row>
    <row r="34" ht="75" customHeight="1">
      <c r="A34" s="21" t="inlineStr">
        <is>
          <t>R-30</t>
        </is>
      </c>
      <c r="B34" s="6" t="inlineStr">
        <is>
          <t>Social y predios</t>
        </is>
      </c>
      <c r="C34" s="6" t="inlineStr">
        <is>
          <t>Conflictos laborales y presión de gremios de construcción civil</t>
        </is>
      </c>
      <c r="D34" s="6" t="inlineStr">
        <is>
          <t>Obra de gran monto en zona con oferta limitada de mano de obra calificada.</t>
        </is>
      </c>
      <c r="E34" s="6" t="inlineStr">
        <is>
          <t>Paralizaciones y amenazas al personal.</t>
        </is>
      </c>
      <c r="F34" s="6" t="inlineStr">
        <is>
          <t>Frentes de obra</t>
        </is>
      </c>
      <c r="G34" s="6" t="inlineStr">
        <is>
          <t>—</t>
        </is>
      </c>
    </row>
    <row r="35" ht="75" customHeight="1">
      <c r="A35" s="21" t="inlineStr">
        <is>
          <t>R-31</t>
        </is>
      </c>
      <c r="B35" s="6" t="inlineStr">
        <is>
          <t>Ejecución</t>
        </is>
      </c>
      <c r="C35" s="6" t="inlineStr">
        <is>
          <t>Robo y vandalismo de materiales, señales y equipos</t>
        </is>
      </c>
      <c r="D35" s="6" t="inlineStr">
        <is>
          <t>Frentes dispersos en 25 km.</t>
        </is>
      </c>
      <c r="E35" s="6" t="inlineStr">
        <is>
          <t>Reposición y retrasos menores.</t>
        </is>
      </c>
      <c r="F35" s="6" t="inlineStr">
        <is>
          <t>Almacenes y frentes</t>
        </is>
      </c>
      <c r="G35" s="6" t="inlineStr">
        <is>
          <t>—</t>
        </is>
      </c>
    </row>
    <row r="36" ht="75" customHeight="1">
      <c r="A36" s="21" t="inlineStr">
        <is>
          <t>R-32</t>
        </is>
      </c>
      <c r="B36" s="6" t="inlineStr">
        <is>
          <t>Clima y naturaleza</t>
        </is>
      </c>
      <c r="C36" s="6" t="inlineStr">
        <is>
          <t>Incendios y quemas agrícolas en época seca</t>
        </is>
      </c>
      <c r="D36" s="6" t="inlineStr">
        <is>
          <t>Quema de rastrojos en la campaña agrícola (julio a setiembre).</t>
        </is>
      </c>
      <c r="E36" s="6" t="inlineStr">
        <is>
          <t>Humo, baja visibilidad y daño a señales o geosintéticos.</t>
        </is>
      </c>
      <c r="F36" s="6" t="inlineStr">
        <is>
          <t>Sectores agrícolas</t>
        </is>
      </c>
      <c r="G36" s="6" t="inlineStr">
        <is>
          <t>—</t>
        </is>
      </c>
    </row>
    <row r="37" ht="75" customHeight="1">
      <c r="A37" s="21" t="inlineStr">
        <is>
          <t>R-33</t>
        </is>
      </c>
      <c r="B37" s="6" t="inlineStr">
        <is>
          <t>Ejecución</t>
        </is>
      </c>
      <c r="C37" s="6" t="inlineStr">
        <is>
          <t>Falla de los puentes existentes por el paso de equipo pesado antes de su reemplazo</t>
        </is>
      </c>
      <c r="D37" s="6" t="inlineStr">
        <is>
          <t>Puentes antiguos de viga y losa, con señal de carga máxima de 30 t en el puente Barco.</t>
        </is>
      </c>
      <c r="E37" s="6" t="inlineStr">
        <is>
          <t>Colapso o daño, corte de la vía, accidentes.</t>
        </is>
      </c>
      <c r="F37" s="6" t="inlineStr">
        <is>
          <t>Puentes existentes 20+300, 29+329, 37+960, 38+919, 44+149</t>
        </is>
      </c>
      <c r="G37" s="6" t="inlineStr">
        <is>
          <t>Inventario: señales 'Puente Barco carga máx. 30.0 TN' (29+318 y 29+380).</t>
        </is>
      </c>
    </row>
    <row r="38" ht="75" customHeight="1">
      <c r="A38" s="21" t="inlineStr">
        <is>
          <t>R-34</t>
        </is>
      </c>
      <c r="B38" s="6" t="inlineStr">
        <is>
          <t>Expediente técnico</t>
        </is>
      </c>
      <c r="C38" s="6" t="inlineStr">
        <is>
          <t>Cambio de diseño de puentes por condiciones de cauce, socavación o cimentación distintas</t>
        </is>
      </c>
      <c r="D38" s="6" t="inlineStr">
        <is>
          <t>Puentes de 12 a 40 m en cauces con socavación y suelos de fundación variables.</t>
        </is>
      </c>
      <c r="E38" s="6" t="inlineStr">
        <is>
          <t>Mayores profundidades de cimentación o luces, adicionales y plazo.</t>
        </is>
      </c>
      <c r="F38" s="6" t="inlineStr">
        <is>
          <t>Puentes Tingo de Ponasa 20+300 y Barco 29+300</t>
        </is>
      </c>
      <c r="G38" s="6" t="inlineStr">
        <is>
          <t>S10 1.10 Puentes; inventario vial 11.2 (puentes existentes).</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Q4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12" customWidth="1" min="3" max="3"/>
    <col width="7" customWidth="1" min="4" max="4"/>
    <col width="14" customWidth="1" min="5" max="5"/>
    <col width="8" customWidth="1" min="6" max="6"/>
    <col width="10" customWidth="1" min="7" max="7"/>
    <col width="8" customWidth="1" min="8" max="8"/>
    <col width="8" customWidth="1" min="9" max="9"/>
    <col width="11" customWidth="1" min="10" max="10"/>
    <col width="7" customWidth="1" min="11" max="11"/>
    <col width="8" customWidth="1" min="12" max="12"/>
    <col width="12" customWidth="1" min="13" max="13"/>
    <col width="12" customWidth="1" min="14" max="14"/>
    <col width="7" customWidth="1" min="15" max="15"/>
    <col width="8" customWidth="1" min="16" max="16"/>
    <col width="12" customWidth="1" min="17" max="17"/>
  </cols>
  <sheetData>
    <row r="1">
      <c r="A1" s="1" t="inlineStr">
        <is>
          <t>ANÁLISIS CUALITATIVO (P x I)</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42" customHeight="1">
      <c r="A4" s="3" t="inlineStr">
        <is>
          <t>COD.</t>
        </is>
      </c>
      <c r="B4" s="3" t="inlineStr">
        <is>
          <t>RIESGO</t>
        </is>
      </c>
      <c r="C4" s="3" t="inlineStr">
        <is>
          <t>PROBABILIDAD</t>
        </is>
      </c>
      <c r="D4" s="3" t="inlineStr">
        <is>
          <t>P</t>
        </is>
      </c>
      <c r="E4" s="3" t="inlineStr">
        <is>
          <t>COSTO MÁS PROBABLE (% PRESUPUESTO)</t>
        </is>
      </c>
      <c r="F4" s="3" t="inlineStr">
        <is>
          <t>NIVEL COSTO</t>
        </is>
      </c>
      <c r="G4" s="3" t="inlineStr">
        <is>
          <t>PLAZO MÁS PROBABLE (días)</t>
        </is>
      </c>
      <c r="H4" s="3" t="inlineStr">
        <is>
          <t>NIVEL PLAZO</t>
        </is>
      </c>
      <c r="I4" s="3" t="inlineStr">
        <is>
          <t>NIVEL IMPACTO</t>
        </is>
      </c>
      <c r="J4" s="3" t="inlineStr">
        <is>
          <t>IMPACTO</t>
        </is>
      </c>
      <c r="K4" s="3" t="inlineStr">
        <is>
          <t>I</t>
        </is>
      </c>
      <c r="L4" s="3" t="inlineStr">
        <is>
          <t>P x I</t>
        </is>
      </c>
      <c r="M4" s="3" t="inlineStr">
        <is>
          <t>NIVEL INHERENTE</t>
        </is>
      </c>
      <c r="N4" s="3" t="inlineStr">
        <is>
          <t>PROBABILIDAD RESIDUAL</t>
        </is>
      </c>
      <c r="O4" s="3" t="inlineStr">
        <is>
          <t>P RES.</t>
        </is>
      </c>
      <c r="P4" s="3" t="inlineStr">
        <is>
          <t>P x I RES.</t>
        </is>
      </c>
      <c r="Q4" s="3" t="inlineStr">
        <is>
          <t>NIVEL RESIDUAL</t>
        </is>
      </c>
    </row>
    <row r="5" ht="36" customHeight="1">
      <c r="A5" s="22">
        <f>IDENTIFICACION!A5</f>
        <v/>
      </c>
      <c r="B5" s="23">
        <f>IDENTIFICACION!C5</f>
        <v/>
      </c>
      <c r="C5" s="24" t="inlineStr">
        <is>
          <t>Muy alta</t>
        </is>
      </c>
      <c r="D5" s="25">
        <f>VLOOKUP(C5,ESCALAS!$A$5:$B$9,2,FALSE)</f>
        <v/>
      </c>
      <c r="E5" s="14" t="n">
        <v>0.3269</v>
      </c>
      <c r="F5" s="26">
        <f>1+(E5&gt;ESCALAS!$D$12)+(E5&gt;ESCALAS!$D$13)+(E5&gt;ESCALAS!$D$14)+(E5&gt;ESCALAS!$D$15)</f>
        <v/>
      </c>
      <c r="G5" s="10" t="n">
        <v>25</v>
      </c>
      <c r="H5" s="26">
        <f>1+(G5&gt;ESCALAS!$E$12)+(G5&gt;ESCALAS!$E$13)+(G5&gt;ESCALAS!$E$14)+(G5&gt;ESCALAS!$E$15)</f>
        <v/>
      </c>
      <c r="I5" s="26">
        <f>MAX(F5,H5)</f>
        <v/>
      </c>
      <c r="J5" s="27">
        <f>INDEX(ESCALAS!$A$12:$A$16,I5)</f>
        <v/>
      </c>
      <c r="K5" s="25">
        <f>INDEX(ESCALAS!$B$12:$B$16,I5)</f>
        <v/>
      </c>
      <c r="L5" s="28">
        <f>D5*K5</f>
        <v/>
      </c>
      <c r="M5" s="22">
        <f>IF(L5&gt;=ESCALAS!$B$20,"ALTO",IF(L5&gt;=ESCALAS!$B$21,"MODERADO","BAJO"))</f>
        <v/>
      </c>
      <c r="N5" s="24" t="inlineStr">
        <is>
          <t>Alta</t>
        </is>
      </c>
      <c r="O5" s="25">
        <f>VLOOKUP(N5,ESCALAS!$A$5:$B$9,2,FALSE)</f>
        <v/>
      </c>
      <c r="P5" s="28">
        <f>O5*K5</f>
        <v/>
      </c>
      <c r="Q5" s="22">
        <f>IF(P5&gt;=ESCALAS!$B$20,"ALTO",IF(P5&gt;=ESCALAS!$B$21,"MODERADO","BAJO"))</f>
        <v/>
      </c>
    </row>
    <row r="6" ht="36" customHeight="1">
      <c r="A6" s="22">
        <f>IDENTIFICACION!A6</f>
        <v/>
      </c>
      <c r="B6" s="23">
        <f>IDENTIFICACION!C6</f>
        <v/>
      </c>
      <c r="C6" s="24" t="inlineStr">
        <is>
          <t>Baja</t>
        </is>
      </c>
      <c r="D6" s="25">
        <f>VLOOKUP(C6,ESCALAS!$A$5:$B$9,2,FALSE)</f>
        <v/>
      </c>
      <c r="E6" s="14" t="n">
        <v>0.9806</v>
      </c>
      <c r="F6" s="26">
        <f>1+(E6&gt;ESCALAS!$D$12)+(E6&gt;ESCALAS!$D$13)+(E6&gt;ESCALAS!$D$14)+(E6&gt;ESCALAS!$D$15)</f>
        <v/>
      </c>
      <c r="G6" s="10" t="n">
        <v>30</v>
      </c>
      <c r="H6" s="26">
        <f>1+(G6&gt;ESCALAS!$E$12)+(G6&gt;ESCALAS!$E$13)+(G6&gt;ESCALAS!$E$14)+(G6&gt;ESCALAS!$E$15)</f>
        <v/>
      </c>
      <c r="I6" s="26">
        <f>MAX(F6,H6)</f>
        <v/>
      </c>
      <c r="J6" s="27">
        <f>INDEX(ESCALAS!$A$12:$A$16,I6)</f>
        <v/>
      </c>
      <c r="K6" s="25">
        <f>INDEX(ESCALAS!$B$12:$B$16,I6)</f>
        <v/>
      </c>
      <c r="L6" s="28">
        <f>D6*K6</f>
        <v/>
      </c>
      <c r="M6" s="22">
        <f>IF(L6&gt;=ESCALAS!$B$20,"ALTO",IF(L6&gt;=ESCALAS!$B$21,"MODERADO","BAJO"))</f>
        <v/>
      </c>
      <c r="N6" s="24" t="inlineStr">
        <is>
          <t>Baja</t>
        </is>
      </c>
      <c r="O6" s="25">
        <f>VLOOKUP(N6,ESCALAS!$A$5:$B$9,2,FALSE)</f>
        <v/>
      </c>
      <c r="P6" s="28">
        <f>O6*K6</f>
        <v/>
      </c>
      <c r="Q6" s="22">
        <f>IF(P6&gt;=ESCALAS!$B$20,"ALTO",IF(P6&gt;=ESCALAS!$B$21,"MODERADO","BAJO"))</f>
        <v/>
      </c>
    </row>
    <row r="7" ht="36" customHeight="1">
      <c r="A7" s="22">
        <f>IDENTIFICACION!A7</f>
        <v/>
      </c>
      <c r="B7" s="23">
        <f>IDENTIFICACION!C7</f>
        <v/>
      </c>
      <c r="C7" s="24" t="inlineStr">
        <is>
          <t>Moderada</t>
        </is>
      </c>
      <c r="D7" s="25">
        <f>VLOOKUP(C7,ESCALAS!$A$5:$B$9,2,FALSE)</f>
        <v/>
      </c>
      <c r="E7" s="14" t="n">
        <v>0.286</v>
      </c>
      <c r="F7" s="26">
        <f>1+(E7&gt;ESCALAS!$D$12)+(E7&gt;ESCALAS!$D$13)+(E7&gt;ESCALAS!$D$14)+(E7&gt;ESCALAS!$D$15)</f>
        <v/>
      </c>
      <c r="G7" s="10" t="n">
        <v>20</v>
      </c>
      <c r="H7" s="26">
        <f>1+(G7&gt;ESCALAS!$E$12)+(G7&gt;ESCALAS!$E$13)+(G7&gt;ESCALAS!$E$14)+(G7&gt;ESCALAS!$E$15)</f>
        <v/>
      </c>
      <c r="I7" s="26">
        <f>MAX(F7,H7)</f>
        <v/>
      </c>
      <c r="J7" s="27">
        <f>INDEX(ESCALAS!$A$12:$A$16,I7)</f>
        <v/>
      </c>
      <c r="K7" s="25">
        <f>INDEX(ESCALAS!$B$12:$B$16,I7)</f>
        <v/>
      </c>
      <c r="L7" s="28">
        <f>D7*K7</f>
        <v/>
      </c>
      <c r="M7" s="22">
        <f>IF(L7&gt;=ESCALAS!$B$20,"ALTO",IF(L7&gt;=ESCALAS!$B$21,"MODERADO","BAJO"))</f>
        <v/>
      </c>
      <c r="N7" s="24" t="inlineStr">
        <is>
          <t>Baja</t>
        </is>
      </c>
      <c r="O7" s="25">
        <f>VLOOKUP(N7,ESCALAS!$A$5:$B$9,2,FALSE)</f>
        <v/>
      </c>
      <c r="P7" s="28">
        <f>O7*K7</f>
        <v/>
      </c>
      <c r="Q7" s="22">
        <f>IF(P7&gt;=ESCALAS!$B$20,"ALTO",IF(P7&gt;=ESCALAS!$B$21,"MODERADO","BAJO"))</f>
        <v/>
      </c>
    </row>
    <row r="8" ht="36" customHeight="1">
      <c r="A8" s="22">
        <f>IDENTIFICACION!A8</f>
        <v/>
      </c>
      <c r="B8" s="23">
        <f>IDENTIFICACION!C8</f>
        <v/>
      </c>
      <c r="C8" s="24" t="inlineStr">
        <is>
          <t>Moderada</t>
        </is>
      </c>
      <c r="D8" s="25">
        <f>VLOOKUP(C8,ESCALAS!$A$5:$B$9,2,FALSE)</f>
        <v/>
      </c>
      <c r="E8" s="14" t="n">
        <v>0.572</v>
      </c>
      <c r="F8" s="26">
        <f>1+(E8&gt;ESCALAS!$D$12)+(E8&gt;ESCALAS!$D$13)+(E8&gt;ESCALAS!$D$14)+(E8&gt;ESCALAS!$D$15)</f>
        <v/>
      </c>
      <c r="G8" s="10" t="n">
        <v>20</v>
      </c>
      <c r="H8" s="26">
        <f>1+(G8&gt;ESCALAS!$E$12)+(G8&gt;ESCALAS!$E$13)+(G8&gt;ESCALAS!$E$14)+(G8&gt;ESCALAS!$E$15)</f>
        <v/>
      </c>
      <c r="I8" s="26">
        <f>MAX(F8,H8)</f>
        <v/>
      </c>
      <c r="J8" s="27">
        <f>INDEX(ESCALAS!$A$12:$A$16,I8)</f>
        <v/>
      </c>
      <c r="K8" s="25">
        <f>INDEX(ESCALAS!$B$12:$B$16,I8)</f>
        <v/>
      </c>
      <c r="L8" s="28">
        <f>D8*K8</f>
        <v/>
      </c>
      <c r="M8" s="22">
        <f>IF(L8&gt;=ESCALAS!$B$20,"ALTO",IF(L8&gt;=ESCALAS!$B$21,"MODERADO","BAJO"))</f>
        <v/>
      </c>
      <c r="N8" s="24" t="inlineStr">
        <is>
          <t>Baja</t>
        </is>
      </c>
      <c r="O8" s="25">
        <f>VLOOKUP(N8,ESCALAS!$A$5:$B$9,2,FALSE)</f>
        <v/>
      </c>
      <c r="P8" s="28">
        <f>O8*K8</f>
        <v/>
      </c>
      <c r="Q8" s="22">
        <f>IF(P8&gt;=ESCALAS!$B$20,"ALTO",IF(P8&gt;=ESCALAS!$B$21,"MODERADO","BAJO"))</f>
        <v/>
      </c>
    </row>
    <row r="9" ht="36" customHeight="1">
      <c r="A9" s="22">
        <f>IDENTIFICACION!A9</f>
        <v/>
      </c>
      <c r="B9" s="23">
        <f>IDENTIFICACION!C9</f>
        <v/>
      </c>
      <c r="C9" s="24" t="inlineStr">
        <is>
          <t>Alta</t>
        </is>
      </c>
      <c r="D9" s="25">
        <f>VLOOKUP(C9,ESCALAS!$A$5:$B$9,2,FALSE)</f>
        <v/>
      </c>
      <c r="E9" s="14" t="n">
        <v>0.4086</v>
      </c>
      <c r="F9" s="26">
        <f>1+(E9&gt;ESCALAS!$D$12)+(E9&gt;ESCALAS!$D$13)+(E9&gt;ESCALAS!$D$14)+(E9&gt;ESCALAS!$D$15)</f>
        <v/>
      </c>
      <c r="G9" s="10" t="n">
        <v>15</v>
      </c>
      <c r="H9" s="26">
        <f>1+(G9&gt;ESCALAS!$E$12)+(G9&gt;ESCALAS!$E$13)+(G9&gt;ESCALAS!$E$14)+(G9&gt;ESCALAS!$E$15)</f>
        <v/>
      </c>
      <c r="I9" s="26">
        <f>MAX(F9,H9)</f>
        <v/>
      </c>
      <c r="J9" s="27">
        <f>INDEX(ESCALAS!$A$12:$A$16,I9)</f>
        <v/>
      </c>
      <c r="K9" s="25">
        <f>INDEX(ESCALAS!$B$12:$B$16,I9)</f>
        <v/>
      </c>
      <c r="L9" s="28">
        <f>D9*K9</f>
        <v/>
      </c>
      <c r="M9" s="22">
        <f>IF(L9&gt;=ESCALAS!$B$20,"ALTO",IF(L9&gt;=ESCALAS!$B$21,"MODERADO","BAJO"))</f>
        <v/>
      </c>
      <c r="N9" s="24" t="inlineStr">
        <is>
          <t>Moderada</t>
        </is>
      </c>
      <c r="O9" s="25">
        <f>VLOOKUP(N9,ESCALAS!$A$5:$B$9,2,FALSE)</f>
        <v/>
      </c>
      <c r="P9" s="28">
        <f>O9*K9</f>
        <v/>
      </c>
      <c r="Q9" s="22">
        <f>IF(P9&gt;=ESCALAS!$B$20,"ALTO",IF(P9&gt;=ESCALAS!$B$21,"MODERADO","BAJO"))</f>
        <v/>
      </c>
    </row>
    <row r="10" ht="36" customHeight="1">
      <c r="A10" s="22">
        <f>IDENTIFICACION!A10</f>
        <v/>
      </c>
      <c r="B10" s="23">
        <f>IDENTIFICACION!C10</f>
        <v/>
      </c>
      <c r="C10" s="24" t="inlineStr">
        <is>
          <t>Alta</t>
        </is>
      </c>
      <c r="D10" s="25">
        <f>VLOOKUP(C10,ESCALAS!$A$5:$B$9,2,FALSE)</f>
        <v/>
      </c>
      <c r="E10" s="14" t="n">
        <v>0.4903</v>
      </c>
      <c r="F10" s="26">
        <f>1+(E10&gt;ESCALAS!$D$12)+(E10&gt;ESCALAS!$D$13)+(E10&gt;ESCALAS!$D$14)+(E10&gt;ESCALAS!$D$15)</f>
        <v/>
      </c>
      <c r="G10" s="10" t="n">
        <v>20</v>
      </c>
      <c r="H10" s="26">
        <f>1+(G10&gt;ESCALAS!$E$12)+(G10&gt;ESCALAS!$E$13)+(G10&gt;ESCALAS!$E$14)+(G10&gt;ESCALAS!$E$15)</f>
        <v/>
      </c>
      <c r="I10" s="26">
        <f>MAX(F10,H10)</f>
        <v/>
      </c>
      <c r="J10" s="27">
        <f>INDEX(ESCALAS!$A$12:$A$16,I10)</f>
        <v/>
      </c>
      <c r="K10" s="25">
        <f>INDEX(ESCALAS!$B$12:$B$16,I10)</f>
        <v/>
      </c>
      <c r="L10" s="28">
        <f>D10*K10</f>
        <v/>
      </c>
      <c r="M10" s="22">
        <f>IF(L10&gt;=ESCALAS!$B$20,"ALTO",IF(L10&gt;=ESCALAS!$B$21,"MODERADO","BAJO"))</f>
        <v/>
      </c>
      <c r="N10" s="24" t="inlineStr">
        <is>
          <t>Moderada</t>
        </is>
      </c>
      <c r="O10" s="25">
        <f>VLOOKUP(N10,ESCALAS!$A$5:$B$9,2,FALSE)</f>
        <v/>
      </c>
      <c r="P10" s="28">
        <f>O10*K10</f>
        <v/>
      </c>
      <c r="Q10" s="22">
        <f>IF(P10&gt;=ESCALAS!$B$20,"ALTO",IF(P10&gt;=ESCALAS!$B$21,"MODERADO","BAJO"))</f>
        <v/>
      </c>
    </row>
    <row r="11" ht="36" customHeight="1">
      <c r="A11" s="22">
        <f>IDENTIFICACION!A11</f>
        <v/>
      </c>
      <c r="B11" s="23">
        <f>IDENTIFICACION!C11</f>
        <v/>
      </c>
      <c r="C11" s="24" t="inlineStr">
        <is>
          <t>Moderada</t>
        </is>
      </c>
      <c r="D11" s="25">
        <f>VLOOKUP(C11,ESCALAS!$A$5:$B$9,2,FALSE)</f>
        <v/>
      </c>
      <c r="E11" s="14" t="n">
        <v>0.9969</v>
      </c>
      <c r="F11" s="26">
        <f>1+(E11&gt;ESCALAS!$D$12)+(E11&gt;ESCALAS!$D$13)+(E11&gt;ESCALAS!$D$14)+(E11&gt;ESCALAS!$D$15)</f>
        <v/>
      </c>
      <c r="G11" s="10" t="n">
        <v>20</v>
      </c>
      <c r="H11" s="26">
        <f>1+(G11&gt;ESCALAS!$E$12)+(G11&gt;ESCALAS!$E$13)+(G11&gt;ESCALAS!$E$14)+(G11&gt;ESCALAS!$E$15)</f>
        <v/>
      </c>
      <c r="I11" s="26">
        <f>MAX(F11,H11)</f>
        <v/>
      </c>
      <c r="J11" s="27">
        <f>INDEX(ESCALAS!$A$12:$A$16,I11)</f>
        <v/>
      </c>
      <c r="K11" s="25">
        <f>INDEX(ESCALAS!$B$12:$B$16,I11)</f>
        <v/>
      </c>
      <c r="L11" s="28">
        <f>D11*K11</f>
        <v/>
      </c>
      <c r="M11" s="22">
        <f>IF(L11&gt;=ESCALAS!$B$20,"ALTO",IF(L11&gt;=ESCALAS!$B$21,"MODERADO","BAJO"))</f>
        <v/>
      </c>
      <c r="N11" s="24" t="inlineStr">
        <is>
          <t>Baja</t>
        </is>
      </c>
      <c r="O11" s="25">
        <f>VLOOKUP(N11,ESCALAS!$A$5:$B$9,2,FALSE)</f>
        <v/>
      </c>
      <c r="P11" s="28">
        <f>O11*K11</f>
        <v/>
      </c>
      <c r="Q11" s="22">
        <f>IF(P11&gt;=ESCALAS!$B$20,"ALTO",IF(P11&gt;=ESCALAS!$B$21,"MODERADO","BAJO"))</f>
        <v/>
      </c>
    </row>
    <row r="12" ht="36" customHeight="1">
      <c r="A12" s="22">
        <f>IDENTIFICACION!A12</f>
        <v/>
      </c>
      <c r="B12" s="23">
        <f>IDENTIFICACION!C12</f>
        <v/>
      </c>
      <c r="C12" s="24" t="inlineStr">
        <is>
          <t>Moderada</t>
        </is>
      </c>
      <c r="D12" s="25">
        <f>VLOOKUP(C12,ESCALAS!$A$5:$B$9,2,FALSE)</f>
        <v/>
      </c>
      <c r="E12" s="14" t="n">
        <v>2.2635</v>
      </c>
      <c r="F12" s="26">
        <f>1+(E12&gt;ESCALAS!$D$12)+(E12&gt;ESCALAS!$D$13)+(E12&gt;ESCALAS!$D$14)+(E12&gt;ESCALAS!$D$15)</f>
        <v/>
      </c>
      <c r="G12" s="10" t="n">
        <v>30</v>
      </c>
      <c r="H12" s="26">
        <f>1+(G12&gt;ESCALAS!$E$12)+(G12&gt;ESCALAS!$E$13)+(G12&gt;ESCALAS!$E$14)+(G12&gt;ESCALAS!$E$15)</f>
        <v/>
      </c>
      <c r="I12" s="26">
        <f>MAX(F12,H12)</f>
        <v/>
      </c>
      <c r="J12" s="27">
        <f>INDEX(ESCALAS!$A$12:$A$16,I12)</f>
        <v/>
      </c>
      <c r="K12" s="25">
        <f>INDEX(ESCALAS!$B$12:$B$16,I12)</f>
        <v/>
      </c>
      <c r="L12" s="28">
        <f>D12*K12</f>
        <v/>
      </c>
      <c r="M12" s="22">
        <f>IF(L12&gt;=ESCALAS!$B$20,"ALTO",IF(L12&gt;=ESCALAS!$B$21,"MODERADO","BAJO"))</f>
        <v/>
      </c>
      <c r="N12" s="24" t="inlineStr">
        <is>
          <t>Muy baja</t>
        </is>
      </c>
      <c r="O12" s="25">
        <f>VLOOKUP(N12,ESCALAS!$A$5:$B$9,2,FALSE)</f>
        <v/>
      </c>
      <c r="P12" s="28">
        <f>O12*K12</f>
        <v/>
      </c>
      <c r="Q12" s="22">
        <f>IF(P12&gt;=ESCALAS!$B$20,"ALTO",IF(P12&gt;=ESCALAS!$B$21,"MODERADO","BAJO"))</f>
        <v/>
      </c>
    </row>
    <row r="13" ht="36" customHeight="1">
      <c r="A13" s="22">
        <f>IDENTIFICACION!A13</f>
        <v/>
      </c>
      <c r="B13" s="23">
        <f>IDENTIFICACION!C13</f>
        <v/>
      </c>
      <c r="C13" s="24" t="inlineStr">
        <is>
          <t>Moderada</t>
        </is>
      </c>
      <c r="D13" s="25">
        <f>VLOOKUP(C13,ESCALAS!$A$5:$B$9,2,FALSE)</f>
        <v/>
      </c>
      <c r="E13" s="14" t="n">
        <v>0.049</v>
      </c>
      <c r="F13" s="26">
        <f>1+(E13&gt;ESCALAS!$D$12)+(E13&gt;ESCALAS!$D$13)+(E13&gt;ESCALAS!$D$14)+(E13&gt;ESCALAS!$D$15)</f>
        <v/>
      </c>
      <c r="G13" s="10" t="n">
        <v>30</v>
      </c>
      <c r="H13" s="26">
        <f>1+(G13&gt;ESCALAS!$E$12)+(G13&gt;ESCALAS!$E$13)+(G13&gt;ESCALAS!$E$14)+(G13&gt;ESCALAS!$E$15)</f>
        <v/>
      </c>
      <c r="I13" s="26">
        <f>MAX(F13,H13)</f>
        <v/>
      </c>
      <c r="J13" s="27">
        <f>INDEX(ESCALAS!$A$12:$A$16,I13)</f>
        <v/>
      </c>
      <c r="K13" s="25">
        <f>INDEX(ESCALAS!$B$12:$B$16,I13)</f>
        <v/>
      </c>
      <c r="L13" s="28">
        <f>D13*K13</f>
        <v/>
      </c>
      <c r="M13" s="22">
        <f>IF(L13&gt;=ESCALAS!$B$20,"ALTO",IF(L13&gt;=ESCALAS!$B$21,"MODERADO","BAJO"))</f>
        <v/>
      </c>
      <c r="N13" s="24" t="inlineStr">
        <is>
          <t>Muy baja</t>
        </is>
      </c>
      <c r="O13" s="25">
        <f>VLOOKUP(N13,ESCALAS!$A$5:$B$9,2,FALSE)</f>
        <v/>
      </c>
      <c r="P13" s="28">
        <f>O13*K13</f>
        <v/>
      </c>
      <c r="Q13" s="22">
        <f>IF(P13&gt;=ESCALAS!$B$20,"ALTO",IF(P13&gt;=ESCALAS!$B$21,"MODERADO","BAJO"))</f>
        <v/>
      </c>
    </row>
    <row r="14" ht="36" customHeight="1">
      <c r="A14" s="22">
        <f>IDENTIFICACION!A14</f>
        <v/>
      </c>
      <c r="B14" s="23">
        <f>IDENTIFICACION!C14</f>
        <v/>
      </c>
      <c r="C14" s="24" t="inlineStr">
        <is>
          <t>Alta</t>
        </is>
      </c>
      <c r="D14" s="25">
        <f>VLOOKUP(C14,ESCALAS!$A$5:$B$9,2,FALSE)</f>
        <v/>
      </c>
      <c r="E14" s="14" t="n">
        <v>0.3269</v>
      </c>
      <c r="F14" s="26">
        <f>1+(E14&gt;ESCALAS!$D$12)+(E14&gt;ESCALAS!$D$13)+(E14&gt;ESCALAS!$D$14)+(E14&gt;ESCALAS!$D$15)</f>
        <v/>
      </c>
      <c r="G14" s="10" t="n">
        <v>30</v>
      </c>
      <c r="H14" s="26">
        <f>1+(G14&gt;ESCALAS!$E$12)+(G14&gt;ESCALAS!$E$13)+(G14&gt;ESCALAS!$E$14)+(G14&gt;ESCALAS!$E$15)</f>
        <v/>
      </c>
      <c r="I14" s="26">
        <f>MAX(F14,H14)</f>
        <v/>
      </c>
      <c r="J14" s="27">
        <f>INDEX(ESCALAS!$A$12:$A$16,I14)</f>
        <v/>
      </c>
      <c r="K14" s="25">
        <f>INDEX(ESCALAS!$B$12:$B$16,I14)</f>
        <v/>
      </c>
      <c r="L14" s="28">
        <f>D14*K14</f>
        <v/>
      </c>
      <c r="M14" s="22">
        <f>IF(L14&gt;=ESCALAS!$B$20,"ALTO",IF(L14&gt;=ESCALAS!$B$21,"MODERADO","BAJO"))</f>
        <v/>
      </c>
      <c r="N14" s="24" t="inlineStr">
        <is>
          <t>Baja</t>
        </is>
      </c>
      <c r="O14" s="25">
        <f>VLOOKUP(N14,ESCALAS!$A$5:$B$9,2,FALSE)</f>
        <v/>
      </c>
      <c r="P14" s="28">
        <f>O14*K14</f>
        <v/>
      </c>
      <c r="Q14" s="22">
        <f>IF(P14&gt;=ESCALAS!$B$20,"ALTO",IF(P14&gt;=ESCALAS!$B$21,"MODERADO","BAJO"))</f>
        <v/>
      </c>
    </row>
    <row r="15" ht="36" customHeight="1">
      <c r="A15" s="22">
        <f>IDENTIFICACION!A15</f>
        <v/>
      </c>
      <c r="B15" s="23">
        <f>IDENTIFICACION!C15</f>
        <v/>
      </c>
      <c r="C15" s="24" t="inlineStr">
        <is>
          <t>Alta</t>
        </is>
      </c>
      <c r="D15" s="25">
        <f>VLOOKUP(C15,ESCALAS!$A$5:$B$9,2,FALSE)</f>
        <v/>
      </c>
      <c r="E15" s="14" t="n">
        <v>0.1634</v>
      </c>
      <c r="F15" s="26">
        <f>1+(E15&gt;ESCALAS!$D$12)+(E15&gt;ESCALAS!$D$13)+(E15&gt;ESCALAS!$D$14)+(E15&gt;ESCALAS!$D$15)</f>
        <v/>
      </c>
      <c r="G15" s="10" t="n">
        <v>20</v>
      </c>
      <c r="H15" s="26">
        <f>1+(G15&gt;ESCALAS!$E$12)+(G15&gt;ESCALAS!$E$13)+(G15&gt;ESCALAS!$E$14)+(G15&gt;ESCALAS!$E$15)</f>
        <v/>
      </c>
      <c r="I15" s="26">
        <f>MAX(F15,H15)</f>
        <v/>
      </c>
      <c r="J15" s="27">
        <f>INDEX(ESCALAS!$A$12:$A$16,I15)</f>
        <v/>
      </c>
      <c r="K15" s="25">
        <f>INDEX(ESCALAS!$B$12:$B$16,I15)</f>
        <v/>
      </c>
      <c r="L15" s="28">
        <f>D15*K15</f>
        <v/>
      </c>
      <c r="M15" s="22">
        <f>IF(L15&gt;=ESCALAS!$B$20,"ALTO",IF(L15&gt;=ESCALAS!$B$21,"MODERADO","BAJO"))</f>
        <v/>
      </c>
      <c r="N15" s="24" t="inlineStr">
        <is>
          <t>Baja</t>
        </is>
      </c>
      <c r="O15" s="25">
        <f>VLOOKUP(N15,ESCALAS!$A$5:$B$9,2,FALSE)</f>
        <v/>
      </c>
      <c r="P15" s="28">
        <f>O15*K15</f>
        <v/>
      </c>
      <c r="Q15" s="22">
        <f>IF(P15&gt;=ESCALAS!$B$20,"ALTO",IF(P15&gt;=ESCALAS!$B$21,"MODERADO","BAJO"))</f>
        <v/>
      </c>
    </row>
    <row r="16" ht="36" customHeight="1">
      <c r="A16" s="22">
        <f>IDENTIFICACION!A16</f>
        <v/>
      </c>
      <c r="B16" s="23">
        <f>IDENTIFICACION!C16</f>
        <v/>
      </c>
      <c r="C16" s="24" t="inlineStr">
        <is>
          <t>Moderada</t>
        </is>
      </c>
      <c r="D16" s="25">
        <f>VLOOKUP(C16,ESCALAS!$A$5:$B$9,2,FALSE)</f>
        <v/>
      </c>
      <c r="E16" s="14" t="n">
        <v>0.1226</v>
      </c>
      <c r="F16" s="26">
        <f>1+(E16&gt;ESCALAS!$D$12)+(E16&gt;ESCALAS!$D$13)+(E16&gt;ESCALAS!$D$14)+(E16&gt;ESCALAS!$D$15)</f>
        <v/>
      </c>
      <c r="G16" s="10" t="n">
        <v>15</v>
      </c>
      <c r="H16" s="26">
        <f>1+(G16&gt;ESCALAS!$E$12)+(G16&gt;ESCALAS!$E$13)+(G16&gt;ESCALAS!$E$14)+(G16&gt;ESCALAS!$E$15)</f>
        <v/>
      </c>
      <c r="I16" s="26">
        <f>MAX(F16,H16)</f>
        <v/>
      </c>
      <c r="J16" s="27">
        <f>INDEX(ESCALAS!$A$12:$A$16,I16)</f>
        <v/>
      </c>
      <c r="K16" s="25">
        <f>INDEX(ESCALAS!$B$12:$B$16,I16)</f>
        <v/>
      </c>
      <c r="L16" s="28">
        <f>D16*K16</f>
        <v/>
      </c>
      <c r="M16" s="22">
        <f>IF(L16&gt;=ESCALAS!$B$20,"ALTO",IF(L16&gt;=ESCALAS!$B$21,"MODERADO","BAJO"))</f>
        <v/>
      </c>
      <c r="N16" s="24" t="inlineStr">
        <is>
          <t>Baja</t>
        </is>
      </c>
      <c r="O16" s="25">
        <f>VLOOKUP(N16,ESCALAS!$A$5:$B$9,2,FALSE)</f>
        <v/>
      </c>
      <c r="P16" s="28">
        <f>O16*K16</f>
        <v/>
      </c>
      <c r="Q16" s="22">
        <f>IF(P16&gt;=ESCALAS!$B$20,"ALTO",IF(P16&gt;=ESCALAS!$B$21,"MODERADO","BAJO"))</f>
        <v/>
      </c>
    </row>
    <row r="17" ht="36" customHeight="1">
      <c r="A17" s="22">
        <f>IDENTIFICACION!A17</f>
        <v/>
      </c>
      <c r="B17" s="23">
        <f>IDENTIFICACION!C17</f>
        <v/>
      </c>
      <c r="C17" s="24" t="inlineStr">
        <is>
          <t>Moderada</t>
        </is>
      </c>
      <c r="D17" s="25">
        <f>VLOOKUP(C17,ESCALAS!$A$5:$B$9,2,FALSE)</f>
        <v/>
      </c>
      <c r="E17" s="14" t="n">
        <v>0.1634</v>
      </c>
      <c r="F17" s="26">
        <f>1+(E17&gt;ESCALAS!$D$12)+(E17&gt;ESCALAS!$D$13)+(E17&gt;ESCALAS!$D$14)+(E17&gt;ESCALAS!$D$15)</f>
        <v/>
      </c>
      <c r="G17" s="10" t="n">
        <v>15</v>
      </c>
      <c r="H17" s="26">
        <f>1+(G17&gt;ESCALAS!$E$12)+(G17&gt;ESCALAS!$E$13)+(G17&gt;ESCALAS!$E$14)+(G17&gt;ESCALAS!$E$15)</f>
        <v/>
      </c>
      <c r="I17" s="26">
        <f>MAX(F17,H17)</f>
        <v/>
      </c>
      <c r="J17" s="27">
        <f>INDEX(ESCALAS!$A$12:$A$16,I17)</f>
        <v/>
      </c>
      <c r="K17" s="25">
        <f>INDEX(ESCALAS!$B$12:$B$16,I17)</f>
        <v/>
      </c>
      <c r="L17" s="28">
        <f>D17*K17</f>
        <v/>
      </c>
      <c r="M17" s="22">
        <f>IF(L17&gt;=ESCALAS!$B$20,"ALTO",IF(L17&gt;=ESCALAS!$B$21,"MODERADO","BAJO"))</f>
        <v/>
      </c>
      <c r="N17" s="24" t="inlineStr">
        <is>
          <t>Baja</t>
        </is>
      </c>
      <c r="O17" s="25">
        <f>VLOOKUP(N17,ESCALAS!$A$5:$B$9,2,FALSE)</f>
        <v/>
      </c>
      <c r="P17" s="28">
        <f>O17*K17</f>
        <v/>
      </c>
      <c r="Q17" s="22">
        <f>IF(P17&gt;=ESCALAS!$B$20,"ALTO",IF(P17&gt;=ESCALAS!$B$21,"MODERADO","BAJO"))</f>
        <v/>
      </c>
    </row>
    <row r="18" ht="36" customHeight="1">
      <c r="A18" s="22">
        <f>IDENTIFICACION!A18</f>
        <v/>
      </c>
      <c r="B18" s="23">
        <f>IDENTIFICACION!C18</f>
        <v/>
      </c>
      <c r="C18" s="24" t="inlineStr">
        <is>
          <t>Baja</t>
        </is>
      </c>
      <c r="D18" s="25">
        <f>VLOOKUP(C18,ESCALAS!$A$5:$B$9,2,FALSE)</f>
        <v/>
      </c>
      <c r="E18" s="14" t="n">
        <v>0.0654</v>
      </c>
      <c r="F18" s="26">
        <f>1+(E18&gt;ESCALAS!$D$12)+(E18&gt;ESCALAS!$D$13)+(E18&gt;ESCALAS!$D$14)+(E18&gt;ESCALAS!$D$15)</f>
        <v/>
      </c>
      <c r="G18" s="10" t="n">
        <v>30</v>
      </c>
      <c r="H18" s="26">
        <f>1+(G18&gt;ESCALAS!$E$12)+(G18&gt;ESCALAS!$E$13)+(G18&gt;ESCALAS!$E$14)+(G18&gt;ESCALAS!$E$15)</f>
        <v/>
      </c>
      <c r="I18" s="26">
        <f>MAX(F18,H18)</f>
        <v/>
      </c>
      <c r="J18" s="27">
        <f>INDEX(ESCALAS!$A$12:$A$16,I18)</f>
        <v/>
      </c>
      <c r="K18" s="25">
        <f>INDEX(ESCALAS!$B$12:$B$16,I18)</f>
        <v/>
      </c>
      <c r="L18" s="28">
        <f>D18*K18</f>
        <v/>
      </c>
      <c r="M18" s="22">
        <f>IF(L18&gt;=ESCALAS!$B$20,"ALTO",IF(L18&gt;=ESCALAS!$B$21,"MODERADO","BAJO"))</f>
        <v/>
      </c>
      <c r="N18" s="24" t="inlineStr">
        <is>
          <t>Muy baja</t>
        </is>
      </c>
      <c r="O18" s="25">
        <f>VLOOKUP(N18,ESCALAS!$A$5:$B$9,2,FALSE)</f>
        <v/>
      </c>
      <c r="P18" s="28">
        <f>O18*K18</f>
        <v/>
      </c>
      <c r="Q18" s="22">
        <f>IF(P18&gt;=ESCALAS!$B$20,"ALTO",IF(P18&gt;=ESCALAS!$B$21,"MODERADO","BAJO"))</f>
        <v/>
      </c>
    </row>
    <row r="19" ht="36" customHeight="1">
      <c r="A19" s="22">
        <f>IDENTIFICACION!A19</f>
        <v/>
      </c>
      <c r="B19" s="23">
        <f>IDENTIFICACION!C19</f>
        <v/>
      </c>
      <c r="C19" s="24" t="inlineStr">
        <is>
          <t>Moderada</t>
        </is>
      </c>
      <c r="D19" s="25">
        <f>VLOOKUP(C19,ESCALAS!$A$5:$B$9,2,FALSE)</f>
        <v/>
      </c>
      <c r="E19" s="14" t="n">
        <v>0.08169999999999999</v>
      </c>
      <c r="F19" s="26">
        <f>1+(E19&gt;ESCALAS!$D$12)+(E19&gt;ESCALAS!$D$13)+(E19&gt;ESCALAS!$D$14)+(E19&gt;ESCALAS!$D$15)</f>
        <v/>
      </c>
      <c r="G19" s="10" t="n">
        <v>60</v>
      </c>
      <c r="H19" s="26">
        <f>1+(G19&gt;ESCALAS!$E$12)+(G19&gt;ESCALAS!$E$13)+(G19&gt;ESCALAS!$E$14)+(G19&gt;ESCALAS!$E$15)</f>
        <v/>
      </c>
      <c r="I19" s="26">
        <f>MAX(F19,H19)</f>
        <v/>
      </c>
      <c r="J19" s="27">
        <f>INDEX(ESCALAS!$A$12:$A$16,I19)</f>
        <v/>
      </c>
      <c r="K19" s="25">
        <f>INDEX(ESCALAS!$B$12:$B$16,I19)</f>
        <v/>
      </c>
      <c r="L19" s="28">
        <f>D19*K19</f>
        <v/>
      </c>
      <c r="M19" s="22">
        <f>IF(L19&gt;=ESCALAS!$B$20,"ALTO",IF(L19&gt;=ESCALAS!$B$21,"MODERADO","BAJO"))</f>
        <v/>
      </c>
      <c r="N19" s="24" t="inlineStr">
        <is>
          <t>Muy baja</t>
        </is>
      </c>
      <c r="O19" s="25">
        <f>VLOOKUP(N19,ESCALAS!$A$5:$B$9,2,FALSE)</f>
        <v/>
      </c>
      <c r="P19" s="28">
        <f>O19*K19</f>
        <v/>
      </c>
      <c r="Q19" s="22">
        <f>IF(P19&gt;=ESCALAS!$B$20,"ALTO",IF(P19&gt;=ESCALAS!$B$21,"MODERADO","BAJO"))</f>
        <v/>
      </c>
    </row>
    <row r="20" ht="36" customHeight="1">
      <c r="A20" s="22">
        <f>IDENTIFICACION!A20</f>
        <v/>
      </c>
      <c r="B20" s="23">
        <f>IDENTIFICACION!C20</f>
        <v/>
      </c>
      <c r="C20" s="24" t="inlineStr">
        <is>
          <t>Alta</t>
        </is>
      </c>
      <c r="D20" s="25">
        <f>VLOOKUP(C20,ESCALAS!$A$5:$B$9,2,FALSE)</f>
        <v/>
      </c>
      <c r="E20" s="14" t="n">
        <v>1.2257</v>
      </c>
      <c r="F20" s="26">
        <f>1+(E20&gt;ESCALAS!$D$12)+(E20&gt;ESCALAS!$D$13)+(E20&gt;ESCALAS!$D$14)+(E20&gt;ESCALAS!$D$15)</f>
        <v/>
      </c>
      <c r="G20" s="10" t="n">
        <v>25</v>
      </c>
      <c r="H20" s="26">
        <f>1+(G20&gt;ESCALAS!$E$12)+(G20&gt;ESCALAS!$E$13)+(G20&gt;ESCALAS!$E$14)+(G20&gt;ESCALAS!$E$15)</f>
        <v/>
      </c>
      <c r="I20" s="26">
        <f>MAX(F20,H20)</f>
        <v/>
      </c>
      <c r="J20" s="27">
        <f>INDEX(ESCALAS!$A$12:$A$16,I20)</f>
        <v/>
      </c>
      <c r="K20" s="25">
        <f>INDEX(ESCALAS!$B$12:$B$16,I20)</f>
        <v/>
      </c>
      <c r="L20" s="28">
        <f>D20*K20</f>
        <v/>
      </c>
      <c r="M20" s="22">
        <f>IF(L20&gt;=ESCALAS!$B$20,"ALTO",IF(L20&gt;=ESCALAS!$B$21,"MODERADO","BAJO"))</f>
        <v/>
      </c>
      <c r="N20" s="24" t="inlineStr">
        <is>
          <t>Baja</t>
        </is>
      </c>
      <c r="O20" s="25">
        <f>VLOOKUP(N20,ESCALAS!$A$5:$B$9,2,FALSE)</f>
        <v/>
      </c>
      <c r="P20" s="28">
        <f>O20*K20</f>
        <v/>
      </c>
      <c r="Q20" s="22">
        <f>IF(P20&gt;=ESCALAS!$B$20,"ALTO",IF(P20&gt;=ESCALAS!$B$21,"MODERADO","BAJO"))</f>
        <v/>
      </c>
    </row>
    <row r="21" ht="36" customHeight="1">
      <c r="A21" s="22">
        <f>IDENTIFICACION!A21</f>
        <v/>
      </c>
      <c r="B21" s="23">
        <f>IDENTIFICACION!C21</f>
        <v/>
      </c>
      <c r="C21" s="24" t="inlineStr">
        <is>
          <t>Alta</t>
        </is>
      </c>
      <c r="D21" s="25">
        <f>VLOOKUP(C21,ESCALAS!$A$5:$B$9,2,FALSE)</f>
        <v/>
      </c>
      <c r="E21" s="14" t="n">
        <v>0.9806</v>
      </c>
      <c r="F21" s="26">
        <f>1+(E21&gt;ESCALAS!$D$12)+(E21&gt;ESCALAS!$D$13)+(E21&gt;ESCALAS!$D$14)+(E21&gt;ESCALAS!$D$15)</f>
        <v/>
      </c>
      <c r="G21" s="10" t="n">
        <v>0</v>
      </c>
      <c r="H21" s="26">
        <f>1+(G21&gt;ESCALAS!$E$12)+(G21&gt;ESCALAS!$E$13)+(G21&gt;ESCALAS!$E$14)+(G21&gt;ESCALAS!$E$15)</f>
        <v/>
      </c>
      <c r="I21" s="26">
        <f>MAX(F21,H21)</f>
        <v/>
      </c>
      <c r="J21" s="27">
        <f>INDEX(ESCALAS!$A$12:$A$16,I21)</f>
        <v/>
      </c>
      <c r="K21" s="25">
        <f>INDEX(ESCALAS!$B$12:$B$16,I21)</f>
        <v/>
      </c>
      <c r="L21" s="28">
        <f>D21*K21</f>
        <v/>
      </c>
      <c r="M21" s="22">
        <f>IF(L21&gt;=ESCALAS!$B$20,"ALTO",IF(L21&gt;=ESCALAS!$B$21,"MODERADO","BAJO"))</f>
        <v/>
      </c>
      <c r="N21" s="24" t="inlineStr">
        <is>
          <t>Alta</t>
        </is>
      </c>
      <c r="O21" s="25">
        <f>VLOOKUP(N21,ESCALAS!$A$5:$B$9,2,FALSE)</f>
        <v/>
      </c>
      <c r="P21" s="28">
        <f>O21*K21</f>
        <v/>
      </c>
      <c r="Q21" s="22">
        <f>IF(P21&gt;=ESCALAS!$B$20,"ALTO",IF(P21&gt;=ESCALAS!$B$21,"MODERADO","BAJO"))</f>
        <v/>
      </c>
    </row>
    <row r="22" ht="36" customHeight="1">
      <c r="A22" s="22">
        <f>IDENTIFICACION!A22</f>
        <v/>
      </c>
      <c r="B22" s="23">
        <f>IDENTIFICACION!C22</f>
        <v/>
      </c>
      <c r="C22" s="24" t="inlineStr">
        <is>
          <t>Moderada</t>
        </is>
      </c>
      <c r="D22" s="25">
        <f>VLOOKUP(C22,ESCALAS!$A$5:$B$9,2,FALSE)</f>
        <v/>
      </c>
      <c r="E22" s="14" t="n">
        <v>0.1226</v>
      </c>
      <c r="F22" s="26">
        <f>1+(E22&gt;ESCALAS!$D$12)+(E22&gt;ESCALAS!$D$13)+(E22&gt;ESCALAS!$D$14)+(E22&gt;ESCALAS!$D$15)</f>
        <v/>
      </c>
      <c r="G22" s="10" t="n">
        <v>20</v>
      </c>
      <c r="H22" s="26">
        <f>1+(G22&gt;ESCALAS!$E$12)+(G22&gt;ESCALAS!$E$13)+(G22&gt;ESCALAS!$E$14)+(G22&gt;ESCALAS!$E$15)</f>
        <v/>
      </c>
      <c r="I22" s="26">
        <f>MAX(F22,H22)</f>
        <v/>
      </c>
      <c r="J22" s="27">
        <f>INDEX(ESCALAS!$A$12:$A$16,I22)</f>
        <v/>
      </c>
      <c r="K22" s="25">
        <f>INDEX(ESCALAS!$B$12:$B$16,I22)</f>
        <v/>
      </c>
      <c r="L22" s="28">
        <f>D22*K22</f>
        <v/>
      </c>
      <c r="M22" s="22">
        <f>IF(L22&gt;=ESCALAS!$B$20,"ALTO",IF(L22&gt;=ESCALAS!$B$21,"MODERADO","BAJO"))</f>
        <v/>
      </c>
      <c r="N22" s="24" t="inlineStr">
        <is>
          <t>Baja</t>
        </is>
      </c>
      <c r="O22" s="25">
        <f>VLOOKUP(N22,ESCALAS!$A$5:$B$9,2,FALSE)</f>
        <v/>
      </c>
      <c r="P22" s="28">
        <f>O22*K22</f>
        <v/>
      </c>
      <c r="Q22" s="22">
        <f>IF(P22&gt;=ESCALAS!$B$20,"ALTO",IF(P22&gt;=ESCALAS!$B$21,"MODERADO","BAJO"))</f>
        <v/>
      </c>
    </row>
    <row r="23" ht="36" customHeight="1">
      <c r="A23" s="22">
        <f>IDENTIFICACION!A23</f>
        <v/>
      </c>
      <c r="B23" s="23">
        <f>IDENTIFICACION!C23</f>
        <v/>
      </c>
      <c r="C23" s="24" t="inlineStr">
        <is>
          <t>Moderada</t>
        </is>
      </c>
      <c r="D23" s="25">
        <f>VLOOKUP(C23,ESCALAS!$A$5:$B$9,2,FALSE)</f>
        <v/>
      </c>
      <c r="E23" s="14" t="n">
        <v>0.1634</v>
      </c>
      <c r="F23" s="26">
        <f>1+(E23&gt;ESCALAS!$D$12)+(E23&gt;ESCALAS!$D$13)+(E23&gt;ESCALAS!$D$14)+(E23&gt;ESCALAS!$D$15)</f>
        <v/>
      </c>
      <c r="G23" s="10" t="n">
        <v>15</v>
      </c>
      <c r="H23" s="26">
        <f>1+(G23&gt;ESCALAS!$E$12)+(G23&gt;ESCALAS!$E$13)+(G23&gt;ESCALAS!$E$14)+(G23&gt;ESCALAS!$E$15)</f>
        <v/>
      </c>
      <c r="I23" s="26">
        <f>MAX(F23,H23)</f>
        <v/>
      </c>
      <c r="J23" s="27">
        <f>INDEX(ESCALAS!$A$12:$A$16,I23)</f>
        <v/>
      </c>
      <c r="K23" s="25">
        <f>INDEX(ESCALAS!$B$12:$B$16,I23)</f>
        <v/>
      </c>
      <c r="L23" s="28">
        <f>D23*K23</f>
        <v/>
      </c>
      <c r="M23" s="22">
        <f>IF(L23&gt;=ESCALAS!$B$20,"ALTO",IF(L23&gt;=ESCALAS!$B$21,"MODERADO","BAJO"))</f>
        <v/>
      </c>
      <c r="N23" s="24" t="inlineStr">
        <is>
          <t>Baja</t>
        </is>
      </c>
      <c r="O23" s="25">
        <f>VLOOKUP(N23,ESCALAS!$A$5:$B$9,2,FALSE)</f>
        <v/>
      </c>
      <c r="P23" s="28">
        <f>O23*K23</f>
        <v/>
      </c>
      <c r="Q23" s="22">
        <f>IF(P23&gt;=ESCALAS!$B$20,"ALTO",IF(P23&gt;=ESCALAS!$B$21,"MODERADO","BAJO"))</f>
        <v/>
      </c>
    </row>
    <row r="24" ht="36" customHeight="1">
      <c r="A24" s="22">
        <f>IDENTIFICACION!A24</f>
        <v/>
      </c>
      <c r="B24" s="23">
        <f>IDENTIFICACION!C24</f>
        <v/>
      </c>
      <c r="C24" s="24" t="inlineStr">
        <is>
          <t>Moderada</t>
        </is>
      </c>
      <c r="D24" s="25">
        <f>VLOOKUP(C24,ESCALAS!$A$5:$B$9,2,FALSE)</f>
        <v/>
      </c>
      <c r="E24" s="14" t="n">
        <v>0.08169999999999999</v>
      </c>
      <c r="F24" s="26">
        <f>1+(E24&gt;ESCALAS!$D$12)+(E24&gt;ESCALAS!$D$13)+(E24&gt;ESCALAS!$D$14)+(E24&gt;ESCALAS!$D$15)</f>
        <v/>
      </c>
      <c r="G24" s="10" t="n">
        <v>5</v>
      </c>
      <c r="H24" s="26">
        <f>1+(G24&gt;ESCALAS!$E$12)+(G24&gt;ESCALAS!$E$13)+(G24&gt;ESCALAS!$E$14)+(G24&gt;ESCALAS!$E$15)</f>
        <v/>
      </c>
      <c r="I24" s="26">
        <f>MAX(F24,H24)</f>
        <v/>
      </c>
      <c r="J24" s="27">
        <f>INDEX(ESCALAS!$A$12:$A$16,I24)</f>
        <v/>
      </c>
      <c r="K24" s="25">
        <f>INDEX(ESCALAS!$B$12:$B$16,I24)</f>
        <v/>
      </c>
      <c r="L24" s="28">
        <f>D24*K24</f>
        <v/>
      </c>
      <c r="M24" s="22">
        <f>IF(L24&gt;=ESCALAS!$B$20,"ALTO",IF(L24&gt;=ESCALAS!$B$21,"MODERADO","BAJO"))</f>
        <v/>
      </c>
      <c r="N24" s="24" t="inlineStr">
        <is>
          <t>Baja</t>
        </is>
      </c>
      <c r="O24" s="25">
        <f>VLOOKUP(N24,ESCALAS!$A$5:$B$9,2,FALSE)</f>
        <v/>
      </c>
      <c r="P24" s="28">
        <f>O24*K24</f>
        <v/>
      </c>
      <c r="Q24" s="22">
        <f>IF(P24&gt;=ESCALAS!$B$20,"ALTO",IF(P24&gt;=ESCALAS!$B$21,"MODERADO","BAJO"))</f>
        <v/>
      </c>
    </row>
    <row r="25" ht="36" customHeight="1">
      <c r="A25" s="22">
        <f>IDENTIFICACION!A25</f>
        <v/>
      </c>
      <c r="B25" s="23">
        <f>IDENTIFICACION!C25</f>
        <v/>
      </c>
      <c r="C25" s="24" t="inlineStr">
        <is>
          <t>Baja</t>
        </is>
      </c>
      <c r="D25" s="25">
        <f>VLOOKUP(C25,ESCALAS!$A$5:$B$9,2,FALSE)</f>
        <v/>
      </c>
      <c r="E25" s="14" t="n">
        <v>0.1226</v>
      </c>
      <c r="F25" s="26">
        <f>1+(E25&gt;ESCALAS!$D$12)+(E25&gt;ESCALAS!$D$13)+(E25&gt;ESCALAS!$D$14)+(E25&gt;ESCALAS!$D$15)</f>
        <v/>
      </c>
      <c r="G25" s="10" t="n">
        <v>10</v>
      </c>
      <c r="H25" s="26">
        <f>1+(G25&gt;ESCALAS!$E$12)+(G25&gt;ESCALAS!$E$13)+(G25&gt;ESCALAS!$E$14)+(G25&gt;ESCALAS!$E$15)</f>
        <v/>
      </c>
      <c r="I25" s="26">
        <f>MAX(F25,H25)</f>
        <v/>
      </c>
      <c r="J25" s="27">
        <f>INDEX(ESCALAS!$A$12:$A$16,I25)</f>
        <v/>
      </c>
      <c r="K25" s="25">
        <f>INDEX(ESCALAS!$B$12:$B$16,I25)</f>
        <v/>
      </c>
      <c r="L25" s="28">
        <f>D25*K25</f>
        <v/>
      </c>
      <c r="M25" s="22">
        <f>IF(L25&gt;=ESCALAS!$B$20,"ALTO",IF(L25&gt;=ESCALAS!$B$21,"MODERADO","BAJO"))</f>
        <v/>
      </c>
      <c r="N25" s="24" t="inlineStr">
        <is>
          <t>Muy baja</t>
        </is>
      </c>
      <c r="O25" s="25">
        <f>VLOOKUP(N25,ESCALAS!$A$5:$B$9,2,FALSE)</f>
        <v/>
      </c>
      <c r="P25" s="28">
        <f>O25*K25</f>
        <v/>
      </c>
      <c r="Q25" s="22">
        <f>IF(P25&gt;=ESCALAS!$B$20,"ALTO",IF(P25&gt;=ESCALAS!$B$21,"MODERADO","BAJO"))</f>
        <v/>
      </c>
    </row>
    <row r="26" ht="36" customHeight="1">
      <c r="A26" s="22">
        <f>IDENTIFICACION!A26</f>
        <v/>
      </c>
      <c r="B26" s="23">
        <f>IDENTIFICACION!C26</f>
        <v/>
      </c>
      <c r="C26" s="24" t="inlineStr">
        <is>
          <t>Muy baja</t>
        </is>
      </c>
      <c r="D26" s="25">
        <f>VLOOKUP(C26,ESCALAS!$A$5:$B$9,2,FALSE)</f>
        <v/>
      </c>
      <c r="E26" s="14" t="n">
        <v>0.2451</v>
      </c>
      <c r="F26" s="26">
        <f>1+(E26&gt;ESCALAS!$D$12)+(E26&gt;ESCALAS!$D$13)+(E26&gt;ESCALAS!$D$14)+(E26&gt;ESCALAS!$D$15)</f>
        <v/>
      </c>
      <c r="G26" s="10" t="n">
        <v>15</v>
      </c>
      <c r="H26" s="26">
        <f>1+(G26&gt;ESCALAS!$E$12)+(G26&gt;ESCALAS!$E$13)+(G26&gt;ESCALAS!$E$14)+(G26&gt;ESCALAS!$E$15)</f>
        <v/>
      </c>
      <c r="I26" s="26">
        <f>MAX(F26,H26)</f>
        <v/>
      </c>
      <c r="J26" s="27">
        <f>INDEX(ESCALAS!$A$12:$A$16,I26)</f>
        <v/>
      </c>
      <c r="K26" s="25">
        <f>INDEX(ESCALAS!$B$12:$B$16,I26)</f>
        <v/>
      </c>
      <c r="L26" s="28">
        <f>D26*K26</f>
        <v/>
      </c>
      <c r="M26" s="22">
        <f>IF(L26&gt;=ESCALAS!$B$20,"ALTO",IF(L26&gt;=ESCALAS!$B$21,"MODERADO","BAJO"))</f>
        <v/>
      </c>
      <c r="N26" s="24" t="inlineStr">
        <is>
          <t>Muy baja</t>
        </is>
      </c>
      <c r="O26" s="25">
        <f>VLOOKUP(N26,ESCALAS!$A$5:$B$9,2,FALSE)</f>
        <v/>
      </c>
      <c r="P26" s="28">
        <f>O26*K26</f>
        <v/>
      </c>
      <c r="Q26" s="22">
        <f>IF(P26&gt;=ESCALAS!$B$20,"ALTO",IF(P26&gt;=ESCALAS!$B$21,"MODERADO","BAJO"))</f>
        <v/>
      </c>
    </row>
    <row r="27" ht="36" customHeight="1">
      <c r="A27" s="22">
        <f>IDENTIFICACION!A27</f>
        <v/>
      </c>
      <c r="B27" s="23">
        <f>IDENTIFICACION!C27</f>
        <v/>
      </c>
      <c r="C27" s="24" t="inlineStr">
        <is>
          <t>Moderada</t>
        </is>
      </c>
      <c r="D27" s="25">
        <f>VLOOKUP(C27,ESCALAS!$A$5:$B$9,2,FALSE)</f>
        <v/>
      </c>
      <c r="E27" s="14" t="n">
        <v>0.3269</v>
      </c>
      <c r="F27" s="26">
        <f>1+(E27&gt;ESCALAS!$D$12)+(E27&gt;ESCALAS!$D$13)+(E27&gt;ESCALAS!$D$14)+(E27&gt;ESCALAS!$D$15)</f>
        <v/>
      </c>
      <c r="G27" s="10" t="n">
        <v>30</v>
      </c>
      <c r="H27" s="26">
        <f>1+(G27&gt;ESCALAS!$E$12)+(G27&gt;ESCALAS!$E$13)+(G27&gt;ESCALAS!$E$14)+(G27&gt;ESCALAS!$E$15)</f>
        <v/>
      </c>
      <c r="I27" s="26">
        <f>MAX(F27,H27)</f>
        <v/>
      </c>
      <c r="J27" s="27">
        <f>INDEX(ESCALAS!$A$12:$A$16,I27)</f>
        <v/>
      </c>
      <c r="K27" s="25">
        <f>INDEX(ESCALAS!$B$12:$B$16,I27)</f>
        <v/>
      </c>
      <c r="L27" s="28">
        <f>D27*K27</f>
        <v/>
      </c>
      <c r="M27" s="22">
        <f>IF(L27&gt;=ESCALAS!$B$20,"ALTO",IF(L27&gt;=ESCALAS!$B$21,"MODERADO","BAJO"))</f>
        <v/>
      </c>
      <c r="N27" s="24" t="inlineStr">
        <is>
          <t>Baja</t>
        </is>
      </c>
      <c r="O27" s="25">
        <f>VLOOKUP(N27,ESCALAS!$A$5:$B$9,2,FALSE)</f>
        <v/>
      </c>
      <c r="P27" s="28">
        <f>O27*K27</f>
        <v/>
      </c>
      <c r="Q27" s="22">
        <f>IF(P27&gt;=ESCALAS!$B$20,"ALTO",IF(P27&gt;=ESCALAS!$B$21,"MODERADO","BAJO"))</f>
        <v/>
      </c>
    </row>
    <row r="28" ht="36" customHeight="1">
      <c r="A28" s="22">
        <f>IDENTIFICACION!A28</f>
        <v/>
      </c>
      <c r="B28" s="23">
        <f>IDENTIFICACION!C28</f>
        <v/>
      </c>
      <c r="C28" s="24" t="inlineStr">
        <is>
          <t>Moderada</t>
        </is>
      </c>
      <c r="D28" s="25">
        <f>VLOOKUP(C28,ESCALAS!$A$5:$B$9,2,FALSE)</f>
        <v/>
      </c>
      <c r="E28" s="14" t="n">
        <v>0.1226</v>
      </c>
      <c r="F28" s="26">
        <f>1+(E28&gt;ESCALAS!$D$12)+(E28&gt;ESCALAS!$D$13)+(E28&gt;ESCALAS!$D$14)+(E28&gt;ESCALAS!$D$15)</f>
        <v/>
      </c>
      <c r="G28" s="10" t="n">
        <v>20</v>
      </c>
      <c r="H28" s="26">
        <f>1+(G28&gt;ESCALAS!$E$12)+(G28&gt;ESCALAS!$E$13)+(G28&gt;ESCALAS!$E$14)+(G28&gt;ESCALAS!$E$15)</f>
        <v/>
      </c>
      <c r="I28" s="26">
        <f>MAX(F28,H28)</f>
        <v/>
      </c>
      <c r="J28" s="27">
        <f>INDEX(ESCALAS!$A$12:$A$16,I28)</f>
        <v/>
      </c>
      <c r="K28" s="25">
        <f>INDEX(ESCALAS!$B$12:$B$16,I28)</f>
        <v/>
      </c>
      <c r="L28" s="28">
        <f>D28*K28</f>
        <v/>
      </c>
      <c r="M28" s="22">
        <f>IF(L28&gt;=ESCALAS!$B$20,"ALTO",IF(L28&gt;=ESCALAS!$B$21,"MODERADO","BAJO"))</f>
        <v/>
      </c>
      <c r="N28" s="24" t="inlineStr">
        <is>
          <t>Baja</t>
        </is>
      </c>
      <c r="O28" s="25">
        <f>VLOOKUP(N28,ESCALAS!$A$5:$B$9,2,FALSE)</f>
        <v/>
      </c>
      <c r="P28" s="28">
        <f>O28*K28</f>
        <v/>
      </c>
      <c r="Q28" s="22">
        <f>IF(P28&gt;=ESCALAS!$B$20,"ALTO",IF(P28&gt;=ESCALAS!$B$21,"MODERADO","BAJO"))</f>
        <v/>
      </c>
    </row>
    <row r="29" ht="36" customHeight="1">
      <c r="A29" s="22">
        <f>IDENTIFICACION!A29</f>
        <v/>
      </c>
      <c r="B29" s="23">
        <f>IDENTIFICACION!C29</f>
        <v/>
      </c>
      <c r="C29" s="24" t="inlineStr">
        <is>
          <t>Muy alta</t>
        </is>
      </c>
      <c r="D29" s="25">
        <f>VLOOKUP(C29,ESCALAS!$A$5:$B$9,2,FALSE)</f>
        <v/>
      </c>
      <c r="E29" s="14" t="n">
        <v>0.7354000000000001</v>
      </c>
      <c r="F29" s="26">
        <f>1+(E29&gt;ESCALAS!$D$12)+(E29&gt;ESCALAS!$D$13)+(E29&gt;ESCALAS!$D$14)+(E29&gt;ESCALAS!$D$15)</f>
        <v/>
      </c>
      <c r="G29" s="10" t="n">
        <v>20</v>
      </c>
      <c r="H29" s="26">
        <f>1+(G29&gt;ESCALAS!$E$12)+(G29&gt;ESCALAS!$E$13)+(G29&gt;ESCALAS!$E$14)+(G29&gt;ESCALAS!$E$15)</f>
        <v/>
      </c>
      <c r="I29" s="26">
        <f>MAX(F29,H29)</f>
        <v/>
      </c>
      <c r="J29" s="27">
        <f>INDEX(ESCALAS!$A$12:$A$16,I29)</f>
        <v/>
      </c>
      <c r="K29" s="25">
        <f>INDEX(ESCALAS!$B$12:$B$16,I29)</f>
        <v/>
      </c>
      <c r="L29" s="28">
        <f>D29*K29</f>
        <v/>
      </c>
      <c r="M29" s="22">
        <f>IF(L29&gt;=ESCALAS!$B$20,"ALTO",IF(L29&gt;=ESCALAS!$B$21,"MODERADO","BAJO"))</f>
        <v/>
      </c>
      <c r="N29" s="24" t="inlineStr">
        <is>
          <t>Baja</t>
        </is>
      </c>
      <c r="O29" s="25">
        <f>VLOOKUP(N29,ESCALAS!$A$5:$B$9,2,FALSE)</f>
        <v/>
      </c>
      <c r="P29" s="28">
        <f>O29*K29</f>
        <v/>
      </c>
      <c r="Q29" s="22">
        <f>IF(P29&gt;=ESCALAS!$B$20,"ALTO",IF(P29&gt;=ESCALAS!$B$21,"MODERADO","BAJO"))</f>
        <v/>
      </c>
    </row>
    <row r="30" ht="36" customHeight="1">
      <c r="A30" s="22">
        <f>IDENTIFICACION!A30</f>
        <v/>
      </c>
      <c r="B30" s="23">
        <f>IDENTIFICACION!C30</f>
        <v/>
      </c>
      <c r="C30" s="24" t="inlineStr">
        <is>
          <t>Baja</t>
        </is>
      </c>
      <c r="D30" s="25">
        <f>VLOOKUP(C30,ESCALAS!$A$5:$B$9,2,FALSE)</f>
        <v/>
      </c>
      <c r="E30" s="14" t="n">
        <v>0.08169999999999999</v>
      </c>
      <c r="F30" s="26">
        <f>1+(E30&gt;ESCALAS!$D$12)+(E30&gt;ESCALAS!$D$13)+(E30&gt;ESCALAS!$D$14)+(E30&gt;ESCALAS!$D$15)</f>
        <v/>
      </c>
      <c r="G30" s="10" t="n">
        <v>10</v>
      </c>
      <c r="H30" s="26">
        <f>1+(G30&gt;ESCALAS!$E$12)+(G30&gt;ESCALAS!$E$13)+(G30&gt;ESCALAS!$E$14)+(G30&gt;ESCALAS!$E$15)</f>
        <v/>
      </c>
      <c r="I30" s="26">
        <f>MAX(F30,H30)</f>
        <v/>
      </c>
      <c r="J30" s="27">
        <f>INDEX(ESCALAS!$A$12:$A$16,I30)</f>
        <v/>
      </c>
      <c r="K30" s="25">
        <f>INDEX(ESCALAS!$B$12:$B$16,I30)</f>
        <v/>
      </c>
      <c r="L30" s="28">
        <f>D30*K30</f>
        <v/>
      </c>
      <c r="M30" s="22">
        <f>IF(L30&gt;=ESCALAS!$B$20,"ALTO",IF(L30&gt;=ESCALAS!$B$21,"MODERADO","BAJO"))</f>
        <v/>
      </c>
      <c r="N30" s="24" t="inlineStr">
        <is>
          <t>Muy baja</t>
        </is>
      </c>
      <c r="O30" s="25">
        <f>VLOOKUP(N30,ESCALAS!$A$5:$B$9,2,FALSE)</f>
        <v/>
      </c>
      <c r="P30" s="28">
        <f>O30*K30</f>
        <v/>
      </c>
      <c r="Q30" s="22">
        <f>IF(P30&gt;=ESCALAS!$B$20,"ALTO",IF(P30&gt;=ESCALAS!$B$21,"MODERADO","BAJO"))</f>
        <v/>
      </c>
    </row>
    <row r="31" ht="36" customHeight="1">
      <c r="A31" s="22">
        <f>IDENTIFICACION!A31</f>
        <v/>
      </c>
      <c r="B31" s="23">
        <f>IDENTIFICACION!C31</f>
        <v/>
      </c>
      <c r="C31" s="24" t="inlineStr">
        <is>
          <t>Moderada</t>
        </is>
      </c>
      <c r="D31" s="25">
        <f>VLOOKUP(C31,ESCALAS!$A$5:$B$9,2,FALSE)</f>
        <v/>
      </c>
      <c r="E31" s="14" t="n">
        <v>0.09810000000000001</v>
      </c>
      <c r="F31" s="26">
        <f>1+(E31&gt;ESCALAS!$D$12)+(E31&gt;ESCALAS!$D$13)+(E31&gt;ESCALAS!$D$14)+(E31&gt;ESCALAS!$D$15)</f>
        <v/>
      </c>
      <c r="G31" s="10" t="n">
        <v>10</v>
      </c>
      <c r="H31" s="26">
        <f>1+(G31&gt;ESCALAS!$E$12)+(G31&gt;ESCALAS!$E$13)+(G31&gt;ESCALAS!$E$14)+(G31&gt;ESCALAS!$E$15)</f>
        <v/>
      </c>
      <c r="I31" s="26">
        <f>MAX(F31,H31)</f>
        <v/>
      </c>
      <c r="J31" s="27">
        <f>INDEX(ESCALAS!$A$12:$A$16,I31)</f>
        <v/>
      </c>
      <c r="K31" s="25">
        <f>INDEX(ESCALAS!$B$12:$B$16,I31)</f>
        <v/>
      </c>
      <c r="L31" s="28">
        <f>D31*K31</f>
        <v/>
      </c>
      <c r="M31" s="22">
        <f>IF(L31&gt;=ESCALAS!$B$20,"ALTO",IF(L31&gt;=ESCALAS!$B$21,"MODERADO","BAJO"))</f>
        <v/>
      </c>
      <c r="N31" s="24" t="inlineStr">
        <is>
          <t>Baja</t>
        </is>
      </c>
      <c r="O31" s="25">
        <f>VLOOKUP(N31,ESCALAS!$A$5:$B$9,2,FALSE)</f>
        <v/>
      </c>
      <c r="P31" s="28">
        <f>O31*K31</f>
        <v/>
      </c>
      <c r="Q31" s="22">
        <f>IF(P31&gt;=ESCALAS!$B$20,"ALTO",IF(P31&gt;=ESCALAS!$B$21,"MODERADO","BAJO"))</f>
        <v/>
      </c>
    </row>
    <row r="32" ht="36" customHeight="1">
      <c r="A32" s="22">
        <f>IDENTIFICACION!A32</f>
        <v/>
      </c>
      <c r="B32" s="23">
        <f>IDENTIFICACION!C32</f>
        <v/>
      </c>
      <c r="C32" s="24" t="inlineStr">
        <is>
          <t>Baja</t>
        </is>
      </c>
      <c r="D32" s="25">
        <f>VLOOKUP(C32,ESCALAS!$A$5:$B$9,2,FALSE)</f>
        <v/>
      </c>
      <c r="E32" s="14" t="n">
        <v>0.3269</v>
      </c>
      <c r="F32" s="26">
        <f>1+(E32&gt;ESCALAS!$D$12)+(E32&gt;ESCALAS!$D$13)+(E32&gt;ESCALAS!$D$14)+(E32&gt;ESCALAS!$D$15)</f>
        <v/>
      </c>
      <c r="G32" s="10" t="n">
        <v>15</v>
      </c>
      <c r="H32" s="26">
        <f>1+(G32&gt;ESCALAS!$E$12)+(G32&gt;ESCALAS!$E$13)+(G32&gt;ESCALAS!$E$14)+(G32&gt;ESCALAS!$E$15)</f>
        <v/>
      </c>
      <c r="I32" s="26">
        <f>MAX(F32,H32)</f>
        <v/>
      </c>
      <c r="J32" s="27">
        <f>INDEX(ESCALAS!$A$12:$A$16,I32)</f>
        <v/>
      </c>
      <c r="K32" s="25">
        <f>INDEX(ESCALAS!$B$12:$B$16,I32)</f>
        <v/>
      </c>
      <c r="L32" s="28">
        <f>D32*K32</f>
        <v/>
      </c>
      <c r="M32" s="22">
        <f>IF(L32&gt;=ESCALAS!$B$20,"ALTO",IF(L32&gt;=ESCALAS!$B$21,"MODERADO","BAJO"))</f>
        <v/>
      </c>
      <c r="N32" s="24" t="inlineStr">
        <is>
          <t>Muy baja</t>
        </is>
      </c>
      <c r="O32" s="25">
        <f>VLOOKUP(N32,ESCALAS!$A$5:$B$9,2,FALSE)</f>
        <v/>
      </c>
      <c r="P32" s="28">
        <f>O32*K32</f>
        <v/>
      </c>
      <c r="Q32" s="22">
        <f>IF(P32&gt;=ESCALAS!$B$20,"ALTO",IF(P32&gt;=ESCALAS!$B$21,"MODERADO","BAJO"))</f>
        <v/>
      </c>
    </row>
    <row r="33" ht="36" customHeight="1">
      <c r="A33" s="22">
        <f>IDENTIFICACION!A33</f>
        <v/>
      </c>
      <c r="B33" s="23">
        <f>IDENTIFICACION!C33</f>
        <v/>
      </c>
      <c r="C33" s="24" t="inlineStr">
        <is>
          <t>Moderada</t>
        </is>
      </c>
      <c r="D33" s="25">
        <f>VLOOKUP(C33,ESCALAS!$A$5:$B$9,2,FALSE)</f>
        <v/>
      </c>
      <c r="E33" s="14" t="n">
        <v>0.049</v>
      </c>
      <c r="F33" s="26">
        <f>1+(E33&gt;ESCALAS!$D$12)+(E33&gt;ESCALAS!$D$13)+(E33&gt;ESCALAS!$D$14)+(E33&gt;ESCALAS!$D$15)</f>
        <v/>
      </c>
      <c r="G33" s="10" t="n">
        <v>10</v>
      </c>
      <c r="H33" s="26">
        <f>1+(G33&gt;ESCALAS!$E$12)+(G33&gt;ESCALAS!$E$13)+(G33&gt;ESCALAS!$E$14)+(G33&gt;ESCALAS!$E$15)</f>
        <v/>
      </c>
      <c r="I33" s="26">
        <f>MAX(F33,H33)</f>
        <v/>
      </c>
      <c r="J33" s="27">
        <f>INDEX(ESCALAS!$A$12:$A$16,I33)</f>
        <v/>
      </c>
      <c r="K33" s="25">
        <f>INDEX(ESCALAS!$B$12:$B$16,I33)</f>
        <v/>
      </c>
      <c r="L33" s="28">
        <f>D33*K33</f>
        <v/>
      </c>
      <c r="M33" s="22">
        <f>IF(L33&gt;=ESCALAS!$B$20,"ALTO",IF(L33&gt;=ESCALAS!$B$21,"MODERADO","BAJO"))</f>
        <v/>
      </c>
      <c r="N33" s="24" t="inlineStr">
        <is>
          <t>Baja</t>
        </is>
      </c>
      <c r="O33" s="25">
        <f>VLOOKUP(N33,ESCALAS!$A$5:$B$9,2,FALSE)</f>
        <v/>
      </c>
      <c r="P33" s="28">
        <f>O33*K33</f>
        <v/>
      </c>
      <c r="Q33" s="22">
        <f>IF(P33&gt;=ESCALAS!$B$20,"ALTO",IF(P33&gt;=ESCALAS!$B$21,"MODERADO","BAJO"))</f>
        <v/>
      </c>
    </row>
    <row r="34" ht="36" customHeight="1">
      <c r="A34" s="22">
        <f>IDENTIFICACION!A34</f>
        <v/>
      </c>
      <c r="B34" s="23">
        <f>IDENTIFICACION!C34</f>
        <v/>
      </c>
      <c r="C34" s="24" t="inlineStr">
        <is>
          <t>Baja</t>
        </is>
      </c>
      <c r="D34" s="25">
        <f>VLOOKUP(C34,ESCALAS!$A$5:$B$9,2,FALSE)</f>
        <v/>
      </c>
      <c r="E34" s="14" t="n">
        <v>0.08169999999999999</v>
      </c>
      <c r="F34" s="26">
        <f>1+(E34&gt;ESCALAS!$D$12)+(E34&gt;ESCALAS!$D$13)+(E34&gt;ESCALAS!$D$14)+(E34&gt;ESCALAS!$D$15)</f>
        <v/>
      </c>
      <c r="G34" s="10" t="n">
        <v>10</v>
      </c>
      <c r="H34" s="26">
        <f>1+(G34&gt;ESCALAS!$E$12)+(G34&gt;ESCALAS!$E$13)+(G34&gt;ESCALAS!$E$14)+(G34&gt;ESCALAS!$E$15)</f>
        <v/>
      </c>
      <c r="I34" s="26">
        <f>MAX(F34,H34)</f>
        <v/>
      </c>
      <c r="J34" s="27">
        <f>INDEX(ESCALAS!$A$12:$A$16,I34)</f>
        <v/>
      </c>
      <c r="K34" s="25">
        <f>INDEX(ESCALAS!$B$12:$B$16,I34)</f>
        <v/>
      </c>
      <c r="L34" s="28">
        <f>D34*K34</f>
        <v/>
      </c>
      <c r="M34" s="22">
        <f>IF(L34&gt;=ESCALAS!$B$20,"ALTO",IF(L34&gt;=ESCALAS!$B$21,"MODERADO","BAJO"))</f>
        <v/>
      </c>
      <c r="N34" s="24" t="inlineStr">
        <is>
          <t>Baja</t>
        </is>
      </c>
      <c r="O34" s="25">
        <f>VLOOKUP(N34,ESCALAS!$A$5:$B$9,2,FALSE)</f>
        <v/>
      </c>
      <c r="P34" s="28">
        <f>O34*K34</f>
        <v/>
      </c>
      <c r="Q34" s="22">
        <f>IF(P34&gt;=ESCALAS!$B$20,"ALTO",IF(P34&gt;=ESCALAS!$B$21,"MODERADO","BAJO"))</f>
        <v/>
      </c>
    </row>
    <row r="35" ht="36" customHeight="1">
      <c r="A35" s="22">
        <f>IDENTIFICACION!A35</f>
        <v/>
      </c>
      <c r="B35" s="23">
        <f>IDENTIFICACION!C35</f>
        <v/>
      </c>
      <c r="C35" s="24" t="inlineStr">
        <is>
          <t>Moderada</t>
        </is>
      </c>
      <c r="D35" s="25">
        <f>VLOOKUP(C35,ESCALAS!$A$5:$B$9,2,FALSE)</f>
        <v/>
      </c>
      <c r="E35" s="14" t="n">
        <v>0.049</v>
      </c>
      <c r="F35" s="26">
        <f>1+(E35&gt;ESCALAS!$D$12)+(E35&gt;ESCALAS!$D$13)+(E35&gt;ESCALAS!$D$14)+(E35&gt;ESCALAS!$D$15)</f>
        <v/>
      </c>
      <c r="G35" s="10" t="n">
        <v>3</v>
      </c>
      <c r="H35" s="26">
        <f>1+(G35&gt;ESCALAS!$E$12)+(G35&gt;ESCALAS!$E$13)+(G35&gt;ESCALAS!$E$14)+(G35&gt;ESCALAS!$E$15)</f>
        <v/>
      </c>
      <c r="I35" s="26">
        <f>MAX(F35,H35)</f>
        <v/>
      </c>
      <c r="J35" s="27">
        <f>INDEX(ESCALAS!$A$12:$A$16,I35)</f>
        <v/>
      </c>
      <c r="K35" s="25">
        <f>INDEX(ESCALAS!$B$12:$B$16,I35)</f>
        <v/>
      </c>
      <c r="L35" s="28">
        <f>D35*K35</f>
        <v/>
      </c>
      <c r="M35" s="22">
        <f>IF(L35&gt;=ESCALAS!$B$20,"ALTO",IF(L35&gt;=ESCALAS!$B$21,"MODERADO","BAJO"))</f>
        <v/>
      </c>
      <c r="N35" s="24" t="inlineStr">
        <is>
          <t>Baja</t>
        </is>
      </c>
      <c r="O35" s="25">
        <f>VLOOKUP(N35,ESCALAS!$A$5:$B$9,2,FALSE)</f>
        <v/>
      </c>
      <c r="P35" s="28">
        <f>O35*K35</f>
        <v/>
      </c>
      <c r="Q35" s="22">
        <f>IF(P35&gt;=ESCALAS!$B$20,"ALTO",IF(P35&gt;=ESCALAS!$B$21,"MODERADO","BAJO"))</f>
        <v/>
      </c>
    </row>
    <row r="36" ht="36" customHeight="1">
      <c r="A36" s="22">
        <f>IDENTIFICACION!A36</f>
        <v/>
      </c>
      <c r="B36" s="23">
        <f>IDENTIFICACION!C36</f>
        <v/>
      </c>
      <c r="C36" s="24" t="inlineStr">
        <is>
          <t>Baja</t>
        </is>
      </c>
      <c r="D36" s="25">
        <f>VLOOKUP(C36,ESCALAS!$A$5:$B$9,2,FALSE)</f>
        <v/>
      </c>
      <c r="E36" s="14" t="n">
        <v>0.0163</v>
      </c>
      <c r="F36" s="26">
        <f>1+(E36&gt;ESCALAS!$D$12)+(E36&gt;ESCALAS!$D$13)+(E36&gt;ESCALAS!$D$14)+(E36&gt;ESCALAS!$D$15)</f>
        <v/>
      </c>
      <c r="G36" s="10" t="n">
        <v>2</v>
      </c>
      <c r="H36" s="26">
        <f>1+(G36&gt;ESCALAS!$E$12)+(G36&gt;ESCALAS!$E$13)+(G36&gt;ESCALAS!$E$14)+(G36&gt;ESCALAS!$E$15)</f>
        <v/>
      </c>
      <c r="I36" s="26">
        <f>MAX(F36,H36)</f>
        <v/>
      </c>
      <c r="J36" s="27">
        <f>INDEX(ESCALAS!$A$12:$A$16,I36)</f>
        <v/>
      </c>
      <c r="K36" s="25">
        <f>INDEX(ESCALAS!$B$12:$B$16,I36)</f>
        <v/>
      </c>
      <c r="L36" s="28">
        <f>D36*K36</f>
        <v/>
      </c>
      <c r="M36" s="22">
        <f>IF(L36&gt;=ESCALAS!$B$20,"ALTO",IF(L36&gt;=ESCALAS!$B$21,"MODERADO","BAJO"))</f>
        <v/>
      </c>
      <c r="N36" s="24" t="inlineStr">
        <is>
          <t>Baja</t>
        </is>
      </c>
      <c r="O36" s="25">
        <f>VLOOKUP(N36,ESCALAS!$A$5:$B$9,2,FALSE)</f>
        <v/>
      </c>
      <c r="P36" s="28">
        <f>O36*K36</f>
        <v/>
      </c>
      <c r="Q36" s="22">
        <f>IF(P36&gt;=ESCALAS!$B$20,"ALTO",IF(P36&gt;=ESCALAS!$B$21,"MODERADO","BAJO"))</f>
        <v/>
      </c>
    </row>
    <row r="37" ht="36" customHeight="1">
      <c r="A37" s="22">
        <f>IDENTIFICACION!A37</f>
        <v/>
      </c>
      <c r="B37" s="23">
        <f>IDENTIFICACION!C37</f>
        <v/>
      </c>
      <c r="C37" s="24" t="inlineStr">
        <is>
          <t>Baja</t>
        </is>
      </c>
      <c r="D37" s="25">
        <f>VLOOKUP(C37,ESCALAS!$A$5:$B$9,2,FALSE)</f>
        <v/>
      </c>
      <c r="E37" s="14" t="n">
        <v>0.2043</v>
      </c>
      <c r="F37" s="26">
        <f>1+(E37&gt;ESCALAS!$D$12)+(E37&gt;ESCALAS!$D$13)+(E37&gt;ESCALAS!$D$14)+(E37&gt;ESCALAS!$D$15)</f>
        <v/>
      </c>
      <c r="G37" s="10" t="n">
        <v>20</v>
      </c>
      <c r="H37" s="26">
        <f>1+(G37&gt;ESCALAS!$E$12)+(G37&gt;ESCALAS!$E$13)+(G37&gt;ESCALAS!$E$14)+(G37&gt;ESCALAS!$E$15)</f>
        <v/>
      </c>
      <c r="I37" s="26">
        <f>MAX(F37,H37)</f>
        <v/>
      </c>
      <c r="J37" s="27">
        <f>INDEX(ESCALAS!$A$12:$A$16,I37)</f>
        <v/>
      </c>
      <c r="K37" s="25">
        <f>INDEX(ESCALAS!$B$12:$B$16,I37)</f>
        <v/>
      </c>
      <c r="L37" s="28">
        <f>D37*K37</f>
        <v/>
      </c>
      <c r="M37" s="22">
        <f>IF(L37&gt;=ESCALAS!$B$20,"ALTO",IF(L37&gt;=ESCALAS!$B$21,"MODERADO","BAJO"))</f>
        <v/>
      </c>
      <c r="N37" s="24" t="inlineStr">
        <is>
          <t>Muy baja</t>
        </is>
      </c>
      <c r="O37" s="25">
        <f>VLOOKUP(N37,ESCALAS!$A$5:$B$9,2,FALSE)</f>
        <v/>
      </c>
      <c r="P37" s="28">
        <f>O37*K37</f>
        <v/>
      </c>
      <c r="Q37" s="22">
        <f>IF(P37&gt;=ESCALAS!$B$20,"ALTO",IF(P37&gt;=ESCALAS!$B$21,"MODERADO","BAJO"))</f>
        <v/>
      </c>
    </row>
    <row r="38" ht="36" customHeight="1">
      <c r="A38" s="22">
        <f>IDENTIFICACION!A38</f>
        <v/>
      </c>
      <c r="B38" s="23">
        <f>IDENTIFICACION!C38</f>
        <v/>
      </c>
      <c r="C38" s="24" t="inlineStr">
        <is>
          <t>Baja</t>
        </is>
      </c>
      <c r="D38" s="25">
        <f>VLOOKUP(C38,ESCALAS!$A$5:$B$9,2,FALSE)</f>
        <v/>
      </c>
      <c r="E38" s="14" t="n">
        <v>0.6536999999999999</v>
      </c>
      <c r="F38" s="26">
        <f>1+(E38&gt;ESCALAS!$D$12)+(E38&gt;ESCALAS!$D$13)+(E38&gt;ESCALAS!$D$14)+(E38&gt;ESCALAS!$D$15)</f>
        <v/>
      </c>
      <c r="G38" s="10" t="n">
        <v>30</v>
      </c>
      <c r="H38" s="26">
        <f>1+(G38&gt;ESCALAS!$E$12)+(G38&gt;ESCALAS!$E$13)+(G38&gt;ESCALAS!$E$14)+(G38&gt;ESCALAS!$E$15)</f>
        <v/>
      </c>
      <c r="I38" s="26">
        <f>MAX(F38,H38)</f>
        <v/>
      </c>
      <c r="J38" s="27">
        <f>INDEX(ESCALAS!$A$12:$A$16,I38)</f>
        <v/>
      </c>
      <c r="K38" s="25">
        <f>INDEX(ESCALAS!$B$12:$B$16,I38)</f>
        <v/>
      </c>
      <c r="L38" s="28">
        <f>D38*K38</f>
        <v/>
      </c>
      <c r="M38" s="22">
        <f>IF(L38&gt;=ESCALAS!$B$20,"ALTO",IF(L38&gt;=ESCALAS!$B$21,"MODERADO","BAJO"))</f>
        <v/>
      </c>
      <c r="N38" s="24" t="inlineStr">
        <is>
          <t>Muy baja</t>
        </is>
      </c>
      <c r="O38" s="25">
        <f>VLOOKUP(N38,ESCALAS!$A$5:$B$9,2,FALSE)</f>
        <v/>
      </c>
      <c r="P38" s="28">
        <f>O38*K38</f>
        <v/>
      </c>
      <c r="Q38" s="22">
        <f>IF(P38&gt;=ESCALAS!$B$20,"ALTO",IF(P38&gt;=ESCALAS!$B$21,"MODERADO","BAJO"))</f>
        <v/>
      </c>
    </row>
    <row r="40">
      <c r="B40" s="29" t="inlineStr">
        <is>
          <t>RESUMEN</t>
        </is>
      </c>
      <c r="M40" s="19" t="inlineStr">
        <is>
          <t>INHERENTE</t>
        </is>
      </c>
      <c r="Q40" s="19" t="inlineStr">
        <is>
          <t>RESIDUAL</t>
        </is>
      </c>
    </row>
    <row r="41">
      <c r="B41" s="6" t="inlineStr">
        <is>
          <t>Riesgos de nivel ALTO</t>
        </is>
      </c>
      <c r="M41" s="26">
        <f>COUNTIF(M5:M38,"ALTO")</f>
        <v/>
      </c>
      <c r="Q41" s="26">
        <f>COUNTIF(Q5:Q38,"ALTO")</f>
        <v/>
      </c>
    </row>
    <row r="42">
      <c r="B42" s="6" t="inlineStr">
        <is>
          <t>Riesgos de nivel MODERADO</t>
        </is>
      </c>
      <c r="M42" s="26">
        <f>COUNTIF(M5:M38,"MODERADO")</f>
        <v/>
      </c>
      <c r="Q42" s="26">
        <f>COUNTIF(Q5:Q38,"MODERADO")</f>
        <v/>
      </c>
    </row>
    <row r="43">
      <c r="B43" s="6" t="inlineStr">
        <is>
          <t>Riesgos de nivel BAJO</t>
        </is>
      </c>
      <c r="M43" s="26">
        <f>COUNTIF(M5:M38,"BAJO")</f>
        <v/>
      </c>
      <c r="Q43" s="26">
        <f>COUNTIF(Q5:Q38,"BAJO")</f>
        <v/>
      </c>
    </row>
  </sheetData>
  <conditionalFormatting sqref="M5:M38">
    <cfRule type="cellIs" priority="1" operator="equal" dxfId="0">
      <formula>"ALTO"</formula>
    </cfRule>
    <cfRule type="cellIs" priority="2" operator="equal" dxfId="1">
      <formula>"MODERADO"</formula>
    </cfRule>
    <cfRule type="cellIs" priority="3" operator="equal" dxfId="2">
      <formula>"BAJO"</formula>
    </cfRule>
  </conditionalFormatting>
  <conditionalFormatting sqref="Q5:Q38">
    <cfRule type="cellIs" priority="4" operator="equal" dxfId="0">
      <formula>"ALTO"</formula>
    </cfRule>
    <cfRule type="cellIs" priority="5" operator="equal" dxfId="1">
      <formula>"MODERADO"</formula>
    </cfRule>
    <cfRule type="cellIs" priority="6" operator="equal" dxfId="2">
      <formula>"BAJO"</formula>
    </cfRule>
  </conditionalFormatting>
  <dataValidations count="1">
    <dataValidation sqref="C5 C6 C7 C8 C9 C10 C11 C12 C13 C14 C15 C16 C17 C18 C19 C20 C21 C22 C23 C24 C25 C26 C27 C28 C29 C30 C31 C32 C33 C34 C35 C36 C37 C38 N5 N6 N7 N8 N9 N10 N11 N12 N13 N14 N15 N16 N17 N18 N19 N20 N21 N22 N23 N24 N25 N26 N27 N28 N29 N30 N31 N32 N33 N34 N35 N36 N37 N38" showDropDown="0" showInputMessage="0" showErrorMessage="0" allowBlank="0" type="list">
      <formula1>=ESCALAS!$A$5:$A$9</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T4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40" customWidth="1" min="2" max="2"/>
    <col width="12" customWidth="1" min="3" max="3"/>
    <col width="8" customWidth="1" min="4" max="4"/>
    <col width="8" customWidth="1" min="5" max="5"/>
    <col width="8" customWidth="1" min="6" max="6"/>
    <col width="13" customWidth="1" min="7" max="7"/>
    <col width="13" customWidth="1" min="8" max="8"/>
    <col width="13" customWidth="1" min="9" max="9"/>
    <col width="13" customWidth="1" min="10" max="10"/>
    <col width="13" customWidth="1" min="11" max="11"/>
    <col width="7" customWidth="1" min="12" max="12"/>
    <col width="7" customWidth="1" min="13" max="13"/>
    <col width="7" customWidth="1" min="14" max="14"/>
    <col width="8" customWidth="1" min="15" max="15"/>
    <col width="8" customWidth="1" min="16" max="16"/>
    <col width="9" customWidth="1" min="17" max="17"/>
    <col width="14" customWidth="1" min="18" max="18"/>
    <col width="8" customWidth="1" min="19" max="19"/>
    <col width="14" customWidth="1" min="20" max="20"/>
  </cols>
  <sheetData>
    <row r="1">
      <c r="A1" s="1" t="inlineStr">
        <is>
          <t>ANÁLISIS CUANTITATIVO - VALOR ESPERADO (EFECTO EN COSTO EN % DEL PRESUPUESTO DE OBRA)</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54" customHeight="1">
      <c r="A4" s="3" t="inlineStr">
        <is>
          <t>COD.</t>
        </is>
      </c>
      <c r="B4" s="3" t="inlineStr">
        <is>
          <t>RIESGO</t>
        </is>
      </c>
      <c r="C4" s="3" t="inlineStr">
        <is>
          <t>ASIGNADO A</t>
        </is>
      </c>
      <c r="D4" s="3" t="inlineStr">
        <is>
          <t>FACTOR ENTIDAD</t>
        </is>
      </c>
      <c r="E4" s="3" t="inlineStr">
        <is>
          <t>FACTOR PÓLIZA</t>
        </is>
      </c>
      <c r="F4" s="3" t="inlineStr">
        <is>
          <t>P</t>
        </is>
      </c>
      <c r="G4" s="3" t="inlineStr">
        <is>
          <t>COSTO MÍN. (%)</t>
        </is>
      </c>
      <c r="H4" s="3" t="inlineStr">
        <is>
          <t>COSTO MÁS PROB. (%)</t>
        </is>
      </c>
      <c r="I4" s="3" t="inlineStr">
        <is>
          <t>COSTO MÁX. (%)</t>
        </is>
      </c>
      <c r="J4" s="3" t="inlineStr">
        <is>
          <t>COSTO MEDIO (%)</t>
        </is>
      </c>
      <c r="K4" s="3" t="inlineStr">
        <is>
          <t>VALOR ESPERADO COSTO (%)</t>
        </is>
      </c>
      <c r="L4" s="3" t="inlineStr">
        <is>
          <t>PLAZO MÍN.</t>
        </is>
      </c>
      <c r="M4" s="3" t="inlineStr">
        <is>
          <t>PLAZO MÁS PROB.</t>
        </is>
      </c>
      <c r="N4" s="3" t="inlineStr">
        <is>
          <t>PLAZO MÁX.</t>
        </is>
      </c>
      <c r="O4" s="3" t="inlineStr">
        <is>
          <t>PLAZO MEDIO</t>
        </is>
      </c>
      <c r="P4" s="3" t="inlineStr">
        <is>
          <t>VME PLAZO (días)</t>
        </is>
      </c>
      <c r="Q4" s="3" t="inlineStr">
        <is>
          <t>RUTA CRÍTICA</t>
        </is>
      </c>
      <c r="R4" s="3" t="inlineStr">
        <is>
          <t>EXPOSICIÓN ENTIDAD INHERENTE (%)</t>
        </is>
      </c>
      <c r="S4" s="3" t="inlineStr">
        <is>
          <t>P RES.</t>
        </is>
      </c>
      <c r="T4" s="3" t="inlineStr">
        <is>
          <t>EXPOSICIÓN ENTIDAD RESIDUAL (%)</t>
        </is>
      </c>
    </row>
    <row r="5" ht="30" customHeight="1">
      <c r="A5" s="22">
        <f>IDENTIFICACION!A5</f>
        <v/>
      </c>
      <c r="B5" s="23">
        <f>IDENTIFICACION!C5</f>
        <v/>
      </c>
      <c r="C5" s="24" t="inlineStr">
        <is>
          <t>Contratista</t>
        </is>
      </c>
      <c r="D5" s="25">
        <f>IF(C5="Entidad",1,IF(C5="Compartido",0.5,0))</f>
        <v/>
      </c>
      <c r="E5" s="13" t="n">
        <v>1</v>
      </c>
      <c r="F5" s="25">
        <f>'ANALISIS CUALITATIVO'!D5</f>
        <v/>
      </c>
      <c r="G5" s="14" t="n">
        <v>0.1226</v>
      </c>
      <c r="H5" s="30">
        <f>'ANALISIS CUALITATIVO'!E5</f>
        <v/>
      </c>
      <c r="I5" s="14" t="n">
        <v>0.7354000000000001</v>
      </c>
      <c r="J5" s="30">
        <f>AVERAGE(G5:I5)</f>
        <v/>
      </c>
      <c r="K5" s="30">
        <f>F5*J5</f>
        <v/>
      </c>
      <c r="L5" s="10" t="n">
        <v>10</v>
      </c>
      <c r="M5" s="26">
        <f>'ANALISIS CUALITATIVO'!G5</f>
        <v/>
      </c>
      <c r="N5" s="10" t="n">
        <v>60</v>
      </c>
      <c r="O5" s="31">
        <f>AVERAGE(L5:N5)</f>
        <v/>
      </c>
      <c r="P5" s="31">
        <f>F5*O5</f>
        <v/>
      </c>
      <c r="Q5" s="24" t="inlineStr">
        <is>
          <t>SI</t>
        </is>
      </c>
      <c r="R5" s="30">
        <f>F5*J5*D5*E5+IF(Q5="SI",F5*O5*D5*DATOS!$B$17,0)</f>
        <v/>
      </c>
      <c r="S5" s="25">
        <f>'ANALISIS CUALITATIVO'!O5</f>
        <v/>
      </c>
      <c r="T5" s="30">
        <f>S5*J5*D5*E5+IF(Q5="SI",S5*O5*D5*DATOS!$B$17,0)</f>
        <v/>
      </c>
    </row>
    <row r="6" ht="30" customHeight="1">
      <c r="A6" s="22">
        <f>IDENTIFICACION!A6</f>
        <v/>
      </c>
      <c r="B6" s="23">
        <f>IDENTIFICACION!C6</f>
        <v/>
      </c>
      <c r="C6" s="24" t="inlineStr">
        <is>
          <t>Entidad</t>
        </is>
      </c>
      <c r="D6" s="25">
        <f>IF(C6="Entidad",1,IF(C6="Compartido",0.5,0))</f>
        <v/>
      </c>
      <c r="E6" s="13" t="n">
        <v>0.4</v>
      </c>
      <c r="F6" s="25">
        <f>'ANALISIS CUALITATIVO'!D6</f>
        <v/>
      </c>
      <c r="G6" s="14" t="n">
        <v>0.2451</v>
      </c>
      <c r="H6" s="30">
        <f>'ANALISIS CUALITATIVO'!E6</f>
        <v/>
      </c>
      <c r="I6" s="14" t="n">
        <v>2.86</v>
      </c>
      <c r="J6" s="30">
        <f>AVERAGE(G6:I6)</f>
        <v/>
      </c>
      <c r="K6" s="30">
        <f>F6*J6</f>
        <v/>
      </c>
      <c r="L6" s="10" t="n">
        <v>15</v>
      </c>
      <c r="M6" s="26">
        <f>'ANALISIS CUALITATIVO'!G6</f>
        <v/>
      </c>
      <c r="N6" s="10" t="n">
        <v>60</v>
      </c>
      <c r="O6" s="31">
        <f>AVERAGE(L6:N6)</f>
        <v/>
      </c>
      <c r="P6" s="31">
        <f>F6*O6</f>
        <v/>
      </c>
      <c r="Q6" s="24" t="inlineStr">
        <is>
          <t>SI</t>
        </is>
      </c>
      <c r="R6" s="30">
        <f>F6*J6*D6*E6+IF(Q6="SI",F6*O6*D6*DATOS!$B$17,0)</f>
        <v/>
      </c>
      <c r="S6" s="25">
        <f>'ANALISIS CUALITATIVO'!O6</f>
        <v/>
      </c>
      <c r="T6" s="30">
        <f>S6*J6*D6*E6+IF(Q6="SI",S6*O6*D6*DATOS!$B$17,0)</f>
        <v/>
      </c>
    </row>
    <row r="7" ht="30" customHeight="1">
      <c r="A7" s="22">
        <f>IDENTIFICACION!A7</f>
        <v/>
      </c>
      <c r="B7" s="23">
        <f>IDENTIFICACION!C7</f>
        <v/>
      </c>
      <c r="C7" s="24" t="inlineStr">
        <is>
          <t>Contratista</t>
        </is>
      </c>
      <c r="D7" s="25">
        <f>IF(C7="Entidad",1,IF(C7="Compartido",0.5,0))</f>
        <v/>
      </c>
      <c r="E7" s="13" t="n">
        <v>1</v>
      </c>
      <c r="F7" s="25">
        <f>'ANALISIS CUALITATIVO'!D7</f>
        <v/>
      </c>
      <c r="G7" s="14" t="n">
        <v>0.08169999999999999</v>
      </c>
      <c r="H7" s="30">
        <f>'ANALISIS CUALITATIVO'!E7</f>
        <v/>
      </c>
      <c r="I7" s="14" t="n">
        <v>0.7354000000000001</v>
      </c>
      <c r="J7" s="30">
        <f>AVERAGE(G7:I7)</f>
        <v/>
      </c>
      <c r="K7" s="30">
        <f>F7*J7</f>
        <v/>
      </c>
      <c r="L7" s="10" t="n">
        <v>7</v>
      </c>
      <c r="M7" s="26">
        <f>'ANALISIS CUALITATIVO'!G7</f>
        <v/>
      </c>
      <c r="N7" s="10" t="n">
        <v>45</v>
      </c>
      <c r="O7" s="31">
        <f>AVERAGE(L7:N7)</f>
        <v/>
      </c>
      <c r="P7" s="31">
        <f>F7*O7</f>
        <v/>
      </c>
      <c r="Q7" s="24" t="inlineStr">
        <is>
          <t>SI</t>
        </is>
      </c>
      <c r="R7" s="30">
        <f>F7*J7*D7*E7+IF(Q7="SI",F7*O7*D7*DATOS!$B$17,0)</f>
        <v/>
      </c>
      <c r="S7" s="25">
        <f>'ANALISIS CUALITATIVO'!O7</f>
        <v/>
      </c>
      <c r="T7" s="30">
        <f>S7*J7*D7*E7+IF(Q7="SI",S7*O7*D7*DATOS!$B$17,0)</f>
        <v/>
      </c>
    </row>
    <row r="8" ht="30" customHeight="1">
      <c r="A8" s="22">
        <f>IDENTIFICACION!A8</f>
        <v/>
      </c>
      <c r="B8" s="23">
        <f>IDENTIFICACION!C8</f>
        <v/>
      </c>
      <c r="C8" s="24" t="inlineStr">
        <is>
          <t>Compartido</t>
        </is>
      </c>
      <c r="D8" s="25">
        <f>IF(C8="Entidad",1,IF(C8="Compartido",0.5,0))</f>
        <v/>
      </c>
      <c r="E8" s="13" t="n">
        <v>1</v>
      </c>
      <c r="F8" s="25">
        <f>'ANALISIS CUALITATIVO'!D8</f>
        <v/>
      </c>
      <c r="G8" s="14" t="n">
        <v>0.1634</v>
      </c>
      <c r="H8" s="30">
        <f>'ANALISIS CUALITATIVO'!E8</f>
        <v/>
      </c>
      <c r="I8" s="14" t="n">
        <v>1.6343</v>
      </c>
      <c r="J8" s="30">
        <f>AVERAGE(G8:I8)</f>
        <v/>
      </c>
      <c r="K8" s="30">
        <f>F8*J8</f>
        <v/>
      </c>
      <c r="L8" s="10" t="n">
        <v>7</v>
      </c>
      <c r="M8" s="26">
        <f>'ANALISIS CUALITATIVO'!G8</f>
        <v/>
      </c>
      <c r="N8" s="10" t="n">
        <v>45</v>
      </c>
      <c r="O8" s="31">
        <f>AVERAGE(L8:N8)</f>
        <v/>
      </c>
      <c r="P8" s="31">
        <f>F8*O8</f>
        <v/>
      </c>
      <c r="Q8" s="24" t="inlineStr">
        <is>
          <t>SI</t>
        </is>
      </c>
      <c r="R8" s="30">
        <f>F8*J8*D8*E8+IF(Q8="SI",F8*O8*D8*DATOS!$B$17,0)</f>
        <v/>
      </c>
      <c r="S8" s="25">
        <f>'ANALISIS CUALITATIVO'!O8</f>
        <v/>
      </c>
      <c r="T8" s="30">
        <f>S8*J8*D8*E8+IF(Q8="SI",S8*O8*D8*DATOS!$B$17,0)</f>
        <v/>
      </c>
    </row>
    <row r="9" ht="30" customHeight="1">
      <c r="A9" s="22">
        <f>IDENTIFICACION!A9</f>
        <v/>
      </c>
      <c r="B9" s="23">
        <f>IDENTIFICACION!C9</f>
        <v/>
      </c>
      <c r="C9" s="24" t="inlineStr">
        <is>
          <t>Contratista</t>
        </is>
      </c>
      <c r="D9" s="25">
        <f>IF(C9="Entidad",1,IF(C9="Compartido",0.5,0))</f>
        <v/>
      </c>
      <c r="E9" s="13" t="n">
        <v>1</v>
      </c>
      <c r="F9" s="25">
        <f>'ANALISIS CUALITATIVO'!D9</f>
        <v/>
      </c>
      <c r="G9" s="14" t="n">
        <v>0.1226</v>
      </c>
      <c r="H9" s="30">
        <f>'ANALISIS CUALITATIVO'!E9</f>
        <v/>
      </c>
      <c r="I9" s="14" t="n">
        <v>0.9806</v>
      </c>
      <c r="J9" s="30">
        <f>AVERAGE(G9:I9)</f>
        <v/>
      </c>
      <c r="K9" s="30">
        <f>F9*J9</f>
        <v/>
      </c>
      <c r="L9" s="10" t="n">
        <v>5</v>
      </c>
      <c r="M9" s="26">
        <f>'ANALISIS CUALITATIVO'!G9</f>
        <v/>
      </c>
      <c r="N9" s="10" t="n">
        <v>40</v>
      </c>
      <c r="O9" s="31">
        <f>AVERAGE(L9:N9)</f>
        <v/>
      </c>
      <c r="P9" s="31">
        <f>F9*O9</f>
        <v/>
      </c>
      <c r="Q9" s="24" t="inlineStr">
        <is>
          <t>NO</t>
        </is>
      </c>
      <c r="R9" s="30">
        <f>F9*J9*D9*E9+IF(Q9="SI",F9*O9*D9*DATOS!$B$17,0)</f>
        <v/>
      </c>
      <c r="S9" s="25">
        <f>'ANALISIS CUALITATIVO'!O9</f>
        <v/>
      </c>
      <c r="T9" s="30">
        <f>S9*J9*D9*E9+IF(Q9="SI",S9*O9*D9*DATOS!$B$17,0)</f>
        <v/>
      </c>
    </row>
    <row r="10" ht="30" customHeight="1">
      <c r="A10" s="22">
        <f>IDENTIFICACION!A10</f>
        <v/>
      </c>
      <c r="B10" s="23">
        <f>IDENTIFICACION!C10</f>
        <v/>
      </c>
      <c r="C10" s="24" t="inlineStr">
        <is>
          <t>Compartido</t>
        </is>
      </c>
      <c r="D10" s="25">
        <f>IF(C10="Entidad",1,IF(C10="Compartido",0.5,0))</f>
        <v/>
      </c>
      <c r="E10" s="13" t="n">
        <v>1</v>
      </c>
      <c r="F10" s="25">
        <f>'ANALISIS CUALITATIVO'!D10</f>
        <v/>
      </c>
      <c r="G10" s="14" t="n">
        <v>0.1634</v>
      </c>
      <c r="H10" s="30">
        <f>'ANALISIS CUALITATIVO'!E10</f>
        <v/>
      </c>
      <c r="I10" s="14" t="n">
        <v>1.2257</v>
      </c>
      <c r="J10" s="30">
        <f>AVERAGE(G10:I10)</f>
        <v/>
      </c>
      <c r="K10" s="30">
        <f>F10*J10</f>
        <v/>
      </c>
      <c r="L10" s="10" t="n">
        <v>10</v>
      </c>
      <c r="M10" s="26">
        <f>'ANALISIS CUALITATIVO'!G10</f>
        <v/>
      </c>
      <c r="N10" s="10" t="n">
        <v>45</v>
      </c>
      <c r="O10" s="31">
        <f>AVERAGE(L10:N10)</f>
        <v/>
      </c>
      <c r="P10" s="31">
        <f>F10*O10</f>
        <v/>
      </c>
      <c r="Q10" s="24" t="inlineStr">
        <is>
          <t>NO</t>
        </is>
      </c>
      <c r="R10" s="30">
        <f>F10*J10*D10*E10+IF(Q10="SI",F10*O10*D10*DATOS!$B$17,0)</f>
        <v/>
      </c>
      <c r="S10" s="25">
        <f>'ANALISIS CUALITATIVO'!O10</f>
        <v/>
      </c>
      <c r="T10" s="30">
        <f>S10*J10*D10*E10+IF(Q10="SI",S10*O10*D10*DATOS!$B$17,0)</f>
        <v/>
      </c>
    </row>
    <row r="11" ht="30" customHeight="1">
      <c r="A11" s="22">
        <f>IDENTIFICACION!A11</f>
        <v/>
      </c>
      <c r="B11" s="23">
        <f>IDENTIFICACION!C11</f>
        <v/>
      </c>
      <c r="C11" s="24" t="inlineStr">
        <is>
          <t>Entidad</t>
        </is>
      </c>
      <c r="D11" s="25">
        <f>IF(C11="Entidad",1,IF(C11="Compartido",0.5,0))</f>
        <v/>
      </c>
      <c r="E11" s="13" t="n">
        <v>1</v>
      </c>
      <c r="F11" s="25">
        <f>'ANALISIS CUALITATIVO'!D11</f>
        <v/>
      </c>
      <c r="G11" s="14" t="n">
        <v>0.4004</v>
      </c>
      <c r="H11" s="30">
        <f>'ANALISIS CUALITATIVO'!E11</f>
        <v/>
      </c>
      <c r="I11" s="14" t="n">
        <v>2.002</v>
      </c>
      <c r="J11" s="30">
        <f>AVERAGE(G11:I11)</f>
        <v/>
      </c>
      <c r="K11" s="30">
        <f>F11*J11</f>
        <v/>
      </c>
      <c r="L11" s="10" t="n">
        <v>10</v>
      </c>
      <c r="M11" s="26">
        <f>'ANALISIS CUALITATIVO'!G11</f>
        <v/>
      </c>
      <c r="N11" s="10" t="n">
        <v>40</v>
      </c>
      <c r="O11" s="31">
        <f>AVERAGE(L11:N11)</f>
        <v/>
      </c>
      <c r="P11" s="31">
        <f>F11*O11</f>
        <v/>
      </c>
      <c r="Q11" s="24" t="inlineStr">
        <is>
          <t>NO</t>
        </is>
      </c>
      <c r="R11" s="30">
        <f>F11*J11*D11*E11+IF(Q11="SI",F11*O11*D11*DATOS!$B$17,0)</f>
        <v/>
      </c>
      <c r="S11" s="25">
        <f>'ANALISIS CUALITATIVO'!O11</f>
        <v/>
      </c>
      <c r="T11" s="30">
        <f>S11*J11*D11*E11+IF(Q11="SI",S11*O11*D11*DATOS!$B$17,0)</f>
        <v/>
      </c>
    </row>
    <row r="12" ht="30" customHeight="1">
      <c r="A12" s="22">
        <f>IDENTIFICACION!A12</f>
        <v/>
      </c>
      <c r="B12" s="23">
        <f>IDENTIFICACION!C12</f>
        <v/>
      </c>
      <c r="C12" s="24" t="inlineStr">
        <is>
          <t>Entidad</t>
        </is>
      </c>
      <c r="D12" s="25">
        <f>IF(C12="Entidad",1,IF(C12="Compartido",0.5,0))</f>
        <v/>
      </c>
      <c r="E12" s="13" t="n">
        <v>1</v>
      </c>
      <c r="F12" s="25">
        <f>'ANALISIS CUALITATIVO'!D12</f>
        <v/>
      </c>
      <c r="G12" s="14" t="n">
        <v>0.7518</v>
      </c>
      <c r="H12" s="30">
        <f>'ANALISIS CUALITATIVO'!E12</f>
        <v/>
      </c>
      <c r="I12" s="14" t="n">
        <v>6.0306</v>
      </c>
      <c r="J12" s="30">
        <f>AVERAGE(G12:I12)</f>
        <v/>
      </c>
      <c r="K12" s="30">
        <f>F12*J12</f>
        <v/>
      </c>
      <c r="L12" s="10" t="n">
        <v>15</v>
      </c>
      <c r="M12" s="26">
        <f>'ANALISIS CUALITATIVO'!G12</f>
        <v/>
      </c>
      <c r="N12" s="10" t="n">
        <v>60</v>
      </c>
      <c r="O12" s="31">
        <f>AVERAGE(L12:N12)</f>
        <v/>
      </c>
      <c r="P12" s="31">
        <f>F12*O12</f>
        <v/>
      </c>
      <c r="Q12" s="24" t="inlineStr">
        <is>
          <t>SI</t>
        </is>
      </c>
      <c r="R12" s="30">
        <f>F12*J12*D12*E12+IF(Q12="SI",F12*O12*D12*DATOS!$B$17,0)</f>
        <v/>
      </c>
      <c r="S12" s="25">
        <f>'ANALISIS CUALITATIVO'!O12</f>
        <v/>
      </c>
      <c r="T12" s="30">
        <f>S12*J12*D12*E12+IF(Q12="SI",S12*O12*D12*DATOS!$B$17,0)</f>
        <v/>
      </c>
    </row>
    <row r="13" ht="30" customHeight="1">
      <c r="A13" s="22">
        <f>IDENTIFICACION!A13</f>
        <v/>
      </c>
      <c r="B13" s="23">
        <f>IDENTIFICACION!C13</f>
        <v/>
      </c>
      <c r="C13" s="24" t="inlineStr">
        <is>
          <t>Entidad</t>
        </is>
      </c>
      <c r="D13" s="25">
        <f>IF(C13="Entidad",1,IF(C13="Compartido",0.5,0))</f>
        <v/>
      </c>
      <c r="E13" s="13" t="n">
        <v>1</v>
      </c>
      <c r="F13" s="25">
        <f>'ANALISIS CUALITATIVO'!D13</f>
        <v/>
      </c>
      <c r="G13" s="14" t="n">
        <v>0.0163</v>
      </c>
      <c r="H13" s="30">
        <f>'ANALISIS CUALITATIVO'!E13</f>
        <v/>
      </c>
      <c r="I13" s="14" t="n">
        <v>0.1226</v>
      </c>
      <c r="J13" s="30">
        <f>AVERAGE(G13:I13)</f>
        <v/>
      </c>
      <c r="K13" s="30">
        <f>F13*J13</f>
        <v/>
      </c>
      <c r="L13" s="10" t="n">
        <v>15</v>
      </c>
      <c r="M13" s="26">
        <f>'ANALISIS CUALITATIVO'!G13</f>
        <v/>
      </c>
      <c r="N13" s="10" t="n">
        <v>60</v>
      </c>
      <c r="O13" s="31">
        <f>AVERAGE(L13:N13)</f>
        <v/>
      </c>
      <c r="P13" s="31">
        <f>F13*O13</f>
        <v/>
      </c>
      <c r="Q13" s="24" t="inlineStr">
        <is>
          <t>SI</t>
        </is>
      </c>
      <c r="R13" s="30">
        <f>F13*J13*D13*E13+IF(Q13="SI",F13*O13*D13*DATOS!$B$17,0)</f>
        <v/>
      </c>
      <c r="S13" s="25">
        <f>'ANALISIS CUALITATIVO'!O13</f>
        <v/>
      </c>
      <c r="T13" s="30">
        <f>S13*J13*D13*E13+IF(Q13="SI",S13*O13*D13*DATOS!$B$17,0)</f>
        <v/>
      </c>
    </row>
    <row r="14" ht="30" customHeight="1">
      <c r="A14" s="22">
        <f>IDENTIFICACION!A14</f>
        <v/>
      </c>
      <c r="B14" s="23">
        <f>IDENTIFICACION!C14</f>
        <v/>
      </c>
      <c r="C14" s="24" t="inlineStr">
        <is>
          <t>Entidad</t>
        </is>
      </c>
      <c r="D14" s="25">
        <f>IF(C14="Entidad",1,IF(C14="Compartido",0.5,0))</f>
        <v/>
      </c>
      <c r="E14" s="13" t="n">
        <v>1</v>
      </c>
      <c r="F14" s="25">
        <f>'ANALISIS CUALITATIVO'!D14</f>
        <v/>
      </c>
      <c r="G14" s="14" t="n">
        <v>0.08169999999999999</v>
      </c>
      <c r="H14" s="30">
        <f>'ANALISIS CUALITATIVO'!E14</f>
        <v/>
      </c>
      <c r="I14" s="14" t="n">
        <v>0.9806</v>
      </c>
      <c r="J14" s="30">
        <f>AVERAGE(G14:I14)</f>
        <v/>
      </c>
      <c r="K14" s="30">
        <f>F14*J14</f>
        <v/>
      </c>
      <c r="L14" s="10" t="n">
        <v>15</v>
      </c>
      <c r="M14" s="26">
        <f>'ANALISIS CUALITATIVO'!G14</f>
        <v/>
      </c>
      <c r="N14" s="10" t="n">
        <v>90</v>
      </c>
      <c r="O14" s="31">
        <f>AVERAGE(L14:N14)</f>
        <v/>
      </c>
      <c r="P14" s="31">
        <f>F14*O14</f>
        <v/>
      </c>
      <c r="Q14" s="24" t="inlineStr">
        <is>
          <t>SI</t>
        </is>
      </c>
      <c r="R14" s="30">
        <f>F14*J14*D14*E14+IF(Q14="SI",F14*O14*D14*DATOS!$B$17,0)</f>
        <v/>
      </c>
      <c r="S14" s="25">
        <f>'ANALISIS CUALITATIVO'!O14</f>
        <v/>
      </c>
      <c r="T14" s="30">
        <f>S14*J14*D14*E14+IF(Q14="SI",S14*O14*D14*DATOS!$B$17,0)</f>
        <v/>
      </c>
    </row>
    <row r="15" ht="30" customHeight="1">
      <c r="A15" s="22">
        <f>IDENTIFICACION!A15</f>
        <v/>
      </c>
      <c r="B15" s="23">
        <f>IDENTIFICACION!C15</f>
        <v/>
      </c>
      <c r="C15" s="24" t="inlineStr">
        <is>
          <t>Entidad</t>
        </is>
      </c>
      <c r="D15" s="25">
        <f>IF(C15="Entidad",1,IF(C15="Compartido",0.5,0))</f>
        <v/>
      </c>
      <c r="E15" s="13" t="n">
        <v>1</v>
      </c>
      <c r="F15" s="25">
        <f>'ANALISIS CUALITATIVO'!D15</f>
        <v/>
      </c>
      <c r="G15" s="14" t="n">
        <v>0.0409</v>
      </c>
      <c r="H15" s="30">
        <f>'ANALISIS CUALITATIVO'!E15</f>
        <v/>
      </c>
      <c r="I15" s="14" t="n">
        <v>0.4086</v>
      </c>
      <c r="J15" s="30">
        <f>AVERAGE(G15:I15)</f>
        <v/>
      </c>
      <c r="K15" s="30">
        <f>F15*J15</f>
        <v/>
      </c>
      <c r="L15" s="10" t="n">
        <v>10</v>
      </c>
      <c r="M15" s="26">
        <f>'ANALISIS CUALITATIVO'!G15</f>
        <v/>
      </c>
      <c r="N15" s="10" t="n">
        <v>45</v>
      </c>
      <c r="O15" s="31">
        <f>AVERAGE(L15:N15)</f>
        <v/>
      </c>
      <c r="P15" s="31">
        <f>F15*O15</f>
        <v/>
      </c>
      <c r="Q15" s="24" t="inlineStr">
        <is>
          <t>SI</t>
        </is>
      </c>
      <c r="R15" s="30">
        <f>F15*J15*D15*E15+IF(Q15="SI",F15*O15*D15*DATOS!$B$17,0)</f>
        <v/>
      </c>
      <c r="S15" s="25">
        <f>'ANALISIS CUALITATIVO'!O15</f>
        <v/>
      </c>
      <c r="T15" s="30">
        <f>S15*J15*D15*E15+IF(Q15="SI",S15*O15*D15*DATOS!$B$17,0)</f>
        <v/>
      </c>
    </row>
    <row r="16" ht="30" customHeight="1">
      <c r="A16" s="22">
        <f>IDENTIFICACION!A16</f>
        <v/>
      </c>
      <c r="B16" s="23">
        <f>IDENTIFICACION!C16</f>
        <v/>
      </c>
      <c r="C16" s="24" t="inlineStr">
        <is>
          <t>Compartido</t>
        </is>
      </c>
      <c r="D16" s="25">
        <f>IF(C16="Entidad",1,IF(C16="Compartido",0.5,0))</f>
        <v/>
      </c>
      <c r="E16" s="13" t="n">
        <v>1</v>
      </c>
      <c r="F16" s="25">
        <f>'ANALISIS CUALITATIVO'!D16</f>
        <v/>
      </c>
      <c r="G16" s="14" t="n">
        <v>0.0409</v>
      </c>
      <c r="H16" s="30">
        <f>'ANALISIS CUALITATIVO'!E16</f>
        <v/>
      </c>
      <c r="I16" s="14" t="n">
        <v>0.3269</v>
      </c>
      <c r="J16" s="30">
        <f>AVERAGE(G16:I16)</f>
        <v/>
      </c>
      <c r="K16" s="30">
        <f>F16*J16</f>
        <v/>
      </c>
      <c r="L16" s="10" t="n">
        <v>5</v>
      </c>
      <c r="M16" s="26">
        <f>'ANALISIS CUALITATIVO'!G16</f>
        <v/>
      </c>
      <c r="N16" s="10" t="n">
        <v>30</v>
      </c>
      <c r="O16" s="31">
        <f>AVERAGE(L16:N16)</f>
        <v/>
      </c>
      <c r="P16" s="31">
        <f>F16*O16</f>
        <v/>
      </c>
      <c r="Q16" s="24" t="inlineStr">
        <is>
          <t>NO</t>
        </is>
      </c>
      <c r="R16" s="30">
        <f>F16*J16*D16*E16+IF(Q16="SI",F16*O16*D16*DATOS!$B$17,0)</f>
        <v/>
      </c>
      <c r="S16" s="25">
        <f>'ANALISIS CUALITATIVO'!O16</f>
        <v/>
      </c>
      <c r="T16" s="30">
        <f>S16*J16*D16*E16+IF(Q16="SI",S16*O16*D16*DATOS!$B$17,0)</f>
        <v/>
      </c>
    </row>
    <row r="17" ht="30" customHeight="1">
      <c r="A17" s="22">
        <f>IDENTIFICACION!A17</f>
        <v/>
      </c>
      <c r="B17" s="23">
        <f>IDENTIFICACION!C17</f>
        <v/>
      </c>
      <c r="C17" s="24" t="inlineStr">
        <is>
          <t>Compartido</t>
        </is>
      </c>
      <c r="D17" s="25">
        <f>IF(C17="Entidad",1,IF(C17="Compartido",0.5,0))</f>
        <v/>
      </c>
      <c r="E17" s="13" t="n">
        <v>1</v>
      </c>
      <c r="F17" s="25">
        <f>'ANALISIS CUALITATIVO'!D17</f>
        <v/>
      </c>
      <c r="G17" s="14" t="n">
        <v>0.0409</v>
      </c>
      <c r="H17" s="30">
        <f>'ANALISIS CUALITATIVO'!E17</f>
        <v/>
      </c>
      <c r="I17" s="14" t="n">
        <v>0.4903</v>
      </c>
      <c r="J17" s="30">
        <f>AVERAGE(G17:I17)</f>
        <v/>
      </c>
      <c r="K17" s="30">
        <f>F17*J17</f>
        <v/>
      </c>
      <c r="L17" s="10" t="n">
        <v>5</v>
      </c>
      <c r="M17" s="26">
        <f>'ANALISIS CUALITATIVO'!G17</f>
        <v/>
      </c>
      <c r="N17" s="10" t="n">
        <v>45</v>
      </c>
      <c r="O17" s="31">
        <f>AVERAGE(L17:N17)</f>
        <v/>
      </c>
      <c r="P17" s="31">
        <f>F17*O17</f>
        <v/>
      </c>
      <c r="Q17" s="24" t="inlineStr">
        <is>
          <t>SI</t>
        </is>
      </c>
      <c r="R17" s="30">
        <f>F17*J17*D17*E17+IF(Q17="SI",F17*O17*D17*DATOS!$B$17,0)</f>
        <v/>
      </c>
      <c r="S17" s="25">
        <f>'ANALISIS CUALITATIVO'!O17</f>
        <v/>
      </c>
      <c r="T17" s="30">
        <f>S17*J17*D17*E17+IF(Q17="SI",S17*O17*D17*DATOS!$B$17,0)</f>
        <v/>
      </c>
    </row>
    <row r="18" ht="30" customHeight="1">
      <c r="A18" s="22">
        <f>IDENTIFICACION!A18</f>
        <v/>
      </c>
      <c r="B18" s="23">
        <f>IDENTIFICACION!C18</f>
        <v/>
      </c>
      <c r="C18" s="24" t="inlineStr">
        <is>
          <t>Entidad</t>
        </is>
      </c>
      <c r="D18" s="25">
        <f>IF(C18="Entidad",1,IF(C18="Compartido",0.5,0))</f>
        <v/>
      </c>
      <c r="E18" s="13" t="n">
        <v>1</v>
      </c>
      <c r="F18" s="25">
        <f>'ANALISIS CUALITATIVO'!D18</f>
        <v/>
      </c>
      <c r="G18" s="14" t="n">
        <v>0.0163</v>
      </c>
      <c r="H18" s="30">
        <f>'ANALISIS CUALITATIVO'!E18</f>
        <v/>
      </c>
      <c r="I18" s="14" t="n">
        <v>0.2451</v>
      </c>
      <c r="J18" s="30">
        <f>AVERAGE(G18:I18)</f>
        <v/>
      </c>
      <c r="K18" s="30">
        <f>F18*J18</f>
        <v/>
      </c>
      <c r="L18" s="10" t="n">
        <v>10</v>
      </c>
      <c r="M18" s="26">
        <f>'ANALISIS CUALITATIVO'!G18</f>
        <v/>
      </c>
      <c r="N18" s="10" t="n">
        <v>90</v>
      </c>
      <c r="O18" s="31">
        <f>AVERAGE(L18:N18)</f>
        <v/>
      </c>
      <c r="P18" s="31">
        <f>F18*O18</f>
        <v/>
      </c>
      <c r="Q18" s="24" t="inlineStr">
        <is>
          <t>SI</t>
        </is>
      </c>
      <c r="R18" s="30">
        <f>F18*J18*D18*E18+IF(Q18="SI",F18*O18*D18*DATOS!$B$17,0)</f>
        <v/>
      </c>
      <c r="S18" s="25">
        <f>'ANALISIS CUALITATIVO'!O18</f>
        <v/>
      </c>
      <c r="T18" s="30">
        <f>S18*J18*D18*E18+IF(Q18="SI",S18*O18*D18*DATOS!$B$17,0)</f>
        <v/>
      </c>
    </row>
    <row r="19" ht="30" customHeight="1">
      <c r="A19" s="22">
        <f>IDENTIFICACION!A19</f>
        <v/>
      </c>
      <c r="B19" s="23">
        <f>IDENTIFICACION!C19</f>
        <v/>
      </c>
      <c r="C19" s="24" t="inlineStr">
        <is>
          <t>Entidad</t>
        </is>
      </c>
      <c r="D19" s="25">
        <f>IF(C19="Entidad",1,IF(C19="Compartido",0.5,0))</f>
        <v/>
      </c>
      <c r="E19" s="13" t="n">
        <v>1</v>
      </c>
      <c r="F19" s="25">
        <f>'ANALISIS CUALITATIVO'!D19</f>
        <v/>
      </c>
      <c r="G19" s="14" t="n">
        <v>0.0245</v>
      </c>
      <c r="H19" s="30">
        <f>'ANALISIS CUALITATIVO'!E19</f>
        <v/>
      </c>
      <c r="I19" s="14" t="n">
        <v>0.2451</v>
      </c>
      <c r="J19" s="30">
        <f>AVERAGE(G19:I19)</f>
        <v/>
      </c>
      <c r="K19" s="30">
        <f>F19*J19</f>
        <v/>
      </c>
      <c r="L19" s="10" t="n">
        <v>30</v>
      </c>
      <c r="M19" s="26">
        <f>'ANALISIS CUALITATIVO'!G19</f>
        <v/>
      </c>
      <c r="N19" s="10" t="n">
        <v>120</v>
      </c>
      <c r="O19" s="31">
        <f>AVERAGE(L19:N19)</f>
        <v/>
      </c>
      <c r="P19" s="31">
        <f>F19*O19</f>
        <v/>
      </c>
      <c r="Q19" s="24" t="inlineStr">
        <is>
          <t>SI</t>
        </is>
      </c>
      <c r="R19" s="30">
        <f>F19*J19*D19*E19+IF(Q19="SI",F19*O19*D19*DATOS!$B$17,0)</f>
        <v/>
      </c>
      <c r="S19" s="25">
        <f>'ANALISIS CUALITATIVO'!O19</f>
        <v/>
      </c>
      <c r="T19" s="30">
        <f>S19*J19*D19*E19+IF(Q19="SI",S19*O19*D19*DATOS!$B$17,0)</f>
        <v/>
      </c>
    </row>
    <row r="20" ht="30" customHeight="1">
      <c r="A20" s="22">
        <f>IDENTIFICACION!A20</f>
        <v/>
      </c>
      <c r="B20" s="23">
        <f>IDENTIFICACION!C20</f>
        <v/>
      </c>
      <c r="C20" s="24" t="inlineStr">
        <is>
          <t>Entidad</t>
        </is>
      </c>
      <c r="D20" s="25">
        <f>IF(C20="Entidad",1,IF(C20="Compartido",0.5,0))</f>
        <v/>
      </c>
      <c r="E20" s="13" t="n">
        <v>1</v>
      </c>
      <c r="F20" s="25">
        <f>'ANALISIS CUALITATIVO'!D20</f>
        <v/>
      </c>
      <c r="G20" s="14" t="n">
        <v>0.4086</v>
      </c>
      <c r="H20" s="30">
        <f>'ANALISIS CUALITATIVO'!E20</f>
        <v/>
      </c>
      <c r="I20" s="14" t="n">
        <v>3.2686</v>
      </c>
      <c r="J20" s="30">
        <f>AVERAGE(G20:I20)</f>
        <v/>
      </c>
      <c r="K20" s="30">
        <f>F20*J20</f>
        <v/>
      </c>
      <c r="L20" s="10" t="n">
        <v>10</v>
      </c>
      <c r="M20" s="26">
        <f>'ANALISIS CUALITATIVO'!G20</f>
        <v/>
      </c>
      <c r="N20" s="10" t="n">
        <v>60</v>
      </c>
      <c r="O20" s="31">
        <f>AVERAGE(L20:N20)</f>
        <v/>
      </c>
      <c r="P20" s="31">
        <f>F20*O20</f>
        <v/>
      </c>
      <c r="Q20" s="24" t="inlineStr">
        <is>
          <t>SI</t>
        </is>
      </c>
      <c r="R20" s="30">
        <f>F20*J20*D20*E20+IF(Q20="SI",F20*O20*D20*DATOS!$B$17,0)</f>
        <v/>
      </c>
      <c r="S20" s="25">
        <f>'ANALISIS CUALITATIVO'!O20</f>
        <v/>
      </c>
      <c r="T20" s="30">
        <f>S20*J20*D20*E20+IF(Q20="SI",S20*O20*D20*DATOS!$B$17,0)</f>
        <v/>
      </c>
    </row>
    <row r="21" ht="30" customHeight="1">
      <c r="A21" s="22">
        <f>IDENTIFICACION!A21</f>
        <v/>
      </c>
      <c r="B21" s="23">
        <f>IDENTIFICACION!C21</f>
        <v/>
      </c>
      <c r="C21" s="24" t="inlineStr">
        <is>
          <t>Entidad</t>
        </is>
      </c>
      <c r="D21" s="25">
        <f>IF(C21="Entidad",1,IF(C21="Compartido",0.5,0))</f>
        <v/>
      </c>
      <c r="E21" s="13" t="n">
        <v>1</v>
      </c>
      <c r="F21" s="25">
        <f>'ANALISIS CUALITATIVO'!D21</f>
        <v/>
      </c>
      <c r="G21" s="14" t="n">
        <v>0.3269</v>
      </c>
      <c r="H21" s="30">
        <f>'ANALISIS CUALITATIVO'!E21</f>
        <v/>
      </c>
      <c r="I21" s="14" t="n">
        <v>2.4515</v>
      </c>
      <c r="J21" s="30">
        <f>AVERAGE(G21:I21)</f>
        <v/>
      </c>
      <c r="K21" s="30">
        <f>F21*J21</f>
        <v/>
      </c>
      <c r="L21" s="10" t="n">
        <v>0</v>
      </c>
      <c r="M21" s="26">
        <f>'ANALISIS CUALITATIVO'!G21</f>
        <v/>
      </c>
      <c r="N21" s="10" t="n">
        <v>0</v>
      </c>
      <c r="O21" s="31">
        <f>AVERAGE(L21:N21)</f>
        <v/>
      </c>
      <c r="P21" s="31">
        <f>F21*O21</f>
        <v/>
      </c>
      <c r="Q21" s="24" t="inlineStr">
        <is>
          <t>NO</t>
        </is>
      </c>
      <c r="R21" s="30">
        <f>F21*J21*D21*E21+IF(Q21="SI",F21*O21*D21*DATOS!$B$17,0)</f>
        <v/>
      </c>
      <c r="S21" s="25">
        <f>'ANALISIS CUALITATIVO'!O21</f>
        <v/>
      </c>
      <c r="T21" s="30">
        <f>S21*J21*D21*E21+IF(Q21="SI",S21*O21*D21*DATOS!$B$17,0)</f>
        <v/>
      </c>
    </row>
    <row r="22" ht="30" customHeight="1">
      <c r="A22" s="22">
        <f>IDENTIFICACION!A22</f>
        <v/>
      </c>
      <c r="B22" s="23">
        <f>IDENTIFICACION!C22</f>
        <v/>
      </c>
      <c r="C22" s="24" t="inlineStr">
        <is>
          <t>Contratista</t>
        </is>
      </c>
      <c r="D22" s="25">
        <f>IF(C22="Entidad",1,IF(C22="Compartido",0.5,0))</f>
        <v/>
      </c>
      <c r="E22" s="13" t="n">
        <v>1</v>
      </c>
      <c r="F22" s="25">
        <f>'ANALISIS CUALITATIVO'!D22</f>
        <v/>
      </c>
      <c r="G22" s="14" t="n">
        <v>0.0409</v>
      </c>
      <c r="H22" s="30">
        <f>'ANALISIS CUALITATIVO'!E22</f>
        <v/>
      </c>
      <c r="I22" s="14" t="n">
        <v>0.3269</v>
      </c>
      <c r="J22" s="30">
        <f>AVERAGE(G22:I22)</f>
        <v/>
      </c>
      <c r="K22" s="30">
        <f>F22*J22</f>
        <v/>
      </c>
      <c r="L22" s="10" t="n">
        <v>7</v>
      </c>
      <c r="M22" s="26">
        <f>'ANALISIS CUALITATIVO'!G22</f>
        <v/>
      </c>
      <c r="N22" s="10" t="n">
        <v>45</v>
      </c>
      <c r="O22" s="31">
        <f>AVERAGE(L22:N22)</f>
        <v/>
      </c>
      <c r="P22" s="31">
        <f>F22*O22</f>
        <v/>
      </c>
      <c r="Q22" s="24" t="inlineStr">
        <is>
          <t>SI</t>
        </is>
      </c>
      <c r="R22" s="30">
        <f>F22*J22*D22*E22+IF(Q22="SI",F22*O22*D22*DATOS!$B$17,0)</f>
        <v/>
      </c>
      <c r="S22" s="25">
        <f>'ANALISIS CUALITATIVO'!O22</f>
        <v/>
      </c>
      <c r="T22" s="30">
        <f>S22*J22*D22*E22+IF(Q22="SI",S22*O22*D22*DATOS!$B$17,0)</f>
        <v/>
      </c>
    </row>
    <row r="23" ht="30" customHeight="1">
      <c r="A23" s="22">
        <f>IDENTIFICACION!A23</f>
        <v/>
      </c>
      <c r="B23" s="23">
        <f>IDENTIFICACION!C23</f>
        <v/>
      </c>
      <c r="C23" s="24" t="inlineStr">
        <is>
          <t>Contratista</t>
        </is>
      </c>
      <c r="D23" s="25">
        <f>IF(C23="Entidad",1,IF(C23="Compartido",0.5,0))</f>
        <v/>
      </c>
      <c r="E23" s="13" t="n">
        <v>1</v>
      </c>
      <c r="F23" s="25">
        <f>'ANALISIS CUALITATIVO'!D23</f>
        <v/>
      </c>
      <c r="G23" s="14" t="n">
        <v>0.0409</v>
      </c>
      <c r="H23" s="30">
        <f>'ANALISIS CUALITATIVO'!E23</f>
        <v/>
      </c>
      <c r="I23" s="14" t="n">
        <v>0.4086</v>
      </c>
      <c r="J23" s="30">
        <f>AVERAGE(G23:I23)</f>
        <v/>
      </c>
      <c r="K23" s="30">
        <f>F23*J23</f>
        <v/>
      </c>
      <c r="L23" s="10" t="n">
        <v>5</v>
      </c>
      <c r="M23" s="26">
        <f>'ANALISIS CUALITATIVO'!G23</f>
        <v/>
      </c>
      <c r="N23" s="10" t="n">
        <v>30</v>
      </c>
      <c r="O23" s="31">
        <f>AVERAGE(L23:N23)</f>
        <v/>
      </c>
      <c r="P23" s="31">
        <f>F23*O23</f>
        <v/>
      </c>
      <c r="Q23" s="24" t="inlineStr">
        <is>
          <t>SI</t>
        </is>
      </c>
      <c r="R23" s="30">
        <f>F23*J23*D23*E23+IF(Q23="SI",F23*O23*D23*DATOS!$B$17,0)</f>
        <v/>
      </c>
      <c r="S23" s="25">
        <f>'ANALISIS CUALITATIVO'!O23</f>
        <v/>
      </c>
      <c r="T23" s="30">
        <f>S23*J23*D23*E23+IF(Q23="SI",S23*O23*D23*DATOS!$B$17,0)</f>
        <v/>
      </c>
    </row>
    <row r="24" ht="30" customHeight="1">
      <c r="A24" s="22">
        <f>IDENTIFICACION!A24</f>
        <v/>
      </c>
      <c r="B24" s="23">
        <f>IDENTIFICACION!C24</f>
        <v/>
      </c>
      <c r="C24" s="24" t="inlineStr">
        <is>
          <t>Contratista</t>
        </is>
      </c>
      <c r="D24" s="25">
        <f>IF(C24="Entidad",1,IF(C24="Compartido",0.5,0))</f>
        <v/>
      </c>
      <c r="E24" s="13" t="n">
        <v>1</v>
      </c>
      <c r="F24" s="25">
        <f>'ANALISIS CUALITATIVO'!D24</f>
        <v/>
      </c>
      <c r="G24" s="14" t="n">
        <v>0.0163</v>
      </c>
      <c r="H24" s="30">
        <f>'ANALISIS CUALITATIVO'!E24</f>
        <v/>
      </c>
      <c r="I24" s="14" t="n">
        <v>0.4086</v>
      </c>
      <c r="J24" s="30">
        <f>AVERAGE(G24:I24)</f>
        <v/>
      </c>
      <c r="K24" s="30">
        <f>F24*J24</f>
        <v/>
      </c>
      <c r="L24" s="10" t="n">
        <v>1</v>
      </c>
      <c r="M24" s="26">
        <f>'ANALISIS CUALITATIVO'!G24</f>
        <v/>
      </c>
      <c r="N24" s="10" t="n">
        <v>20</v>
      </c>
      <c r="O24" s="31">
        <f>AVERAGE(L24:N24)</f>
        <v/>
      </c>
      <c r="P24" s="31">
        <f>F24*O24</f>
        <v/>
      </c>
      <c r="Q24" s="24" t="inlineStr">
        <is>
          <t>NO</t>
        </is>
      </c>
      <c r="R24" s="30">
        <f>F24*J24*D24*E24+IF(Q24="SI",F24*O24*D24*DATOS!$B$17,0)</f>
        <v/>
      </c>
      <c r="S24" s="25">
        <f>'ANALISIS CUALITATIVO'!O24</f>
        <v/>
      </c>
      <c r="T24" s="30">
        <f>S24*J24*D24*E24+IF(Q24="SI",S24*O24*D24*DATOS!$B$17,0)</f>
        <v/>
      </c>
    </row>
    <row r="25" ht="30" customHeight="1">
      <c r="A25" s="22">
        <f>IDENTIFICACION!A25</f>
        <v/>
      </c>
      <c r="B25" s="23">
        <f>IDENTIFICACION!C25</f>
        <v/>
      </c>
      <c r="C25" s="24" t="inlineStr">
        <is>
          <t>Contratista</t>
        </is>
      </c>
      <c r="D25" s="25">
        <f>IF(C25="Entidad",1,IF(C25="Compartido",0.5,0))</f>
        <v/>
      </c>
      <c r="E25" s="13" t="n">
        <v>1</v>
      </c>
      <c r="F25" s="25">
        <f>'ANALISIS CUALITATIVO'!D25</f>
        <v/>
      </c>
      <c r="G25" s="14" t="n">
        <v>0.0245</v>
      </c>
      <c r="H25" s="30">
        <f>'ANALISIS CUALITATIVO'!E25</f>
        <v/>
      </c>
      <c r="I25" s="14" t="n">
        <v>0.4903</v>
      </c>
      <c r="J25" s="30">
        <f>AVERAGE(G25:I25)</f>
        <v/>
      </c>
      <c r="K25" s="30">
        <f>F25*J25</f>
        <v/>
      </c>
      <c r="L25" s="10" t="n">
        <v>3</v>
      </c>
      <c r="M25" s="26">
        <f>'ANALISIS CUALITATIVO'!G25</f>
        <v/>
      </c>
      <c r="N25" s="10" t="n">
        <v>30</v>
      </c>
      <c r="O25" s="31">
        <f>AVERAGE(L25:N25)</f>
        <v/>
      </c>
      <c r="P25" s="31">
        <f>F25*O25</f>
        <v/>
      </c>
      <c r="Q25" s="24" t="inlineStr">
        <is>
          <t>NO</t>
        </is>
      </c>
      <c r="R25" s="30">
        <f>F25*J25*D25*E25+IF(Q25="SI",F25*O25*D25*DATOS!$B$17,0)</f>
        <v/>
      </c>
      <c r="S25" s="25">
        <f>'ANALISIS CUALITATIVO'!O25</f>
        <v/>
      </c>
      <c r="T25" s="30">
        <f>S25*J25*D25*E25+IF(Q25="SI",S25*O25*D25*DATOS!$B$17,0)</f>
        <v/>
      </c>
    </row>
    <row r="26" ht="30" customHeight="1">
      <c r="A26" s="22">
        <f>IDENTIFICACION!A26</f>
        <v/>
      </c>
      <c r="B26" s="23">
        <f>IDENTIFICACION!C26</f>
        <v/>
      </c>
      <c r="C26" s="24" t="inlineStr">
        <is>
          <t>Entidad</t>
        </is>
      </c>
      <c r="D26" s="25">
        <f>IF(C26="Entidad",1,IF(C26="Compartido",0.5,0))</f>
        <v/>
      </c>
      <c r="E26" s="13" t="n">
        <v>0.4</v>
      </c>
      <c r="F26" s="25">
        <f>'ANALISIS CUALITATIVO'!D26</f>
        <v/>
      </c>
      <c r="G26" s="14" t="n">
        <v>0.0409</v>
      </c>
      <c r="H26" s="30">
        <f>'ANALISIS CUALITATIVO'!E26</f>
        <v/>
      </c>
      <c r="I26" s="14" t="n">
        <v>1.2257</v>
      </c>
      <c r="J26" s="30">
        <f>AVERAGE(G26:I26)</f>
        <v/>
      </c>
      <c r="K26" s="30">
        <f>F26*J26</f>
        <v/>
      </c>
      <c r="L26" s="10" t="n">
        <v>5</v>
      </c>
      <c r="M26" s="26">
        <f>'ANALISIS CUALITATIVO'!G26</f>
        <v/>
      </c>
      <c r="N26" s="10" t="n">
        <v>45</v>
      </c>
      <c r="O26" s="31">
        <f>AVERAGE(L26:N26)</f>
        <v/>
      </c>
      <c r="P26" s="31">
        <f>F26*O26</f>
        <v/>
      </c>
      <c r="Q26" s="24" t="inlineStr">
        <is>
          <t>SI</t>
        </is>
      </c>
      <c r="R26" s="30">
        <f>F26*J26*D26*E26+IF(Q26="SI",F26*O26*D26*DATOS!$B$17,0)</f>
        <v/>
      </c>
      <c r="S26" s="25">
        <f>'ANALISIS CUALITATIVO'!O26</f>
        <v/>
      </c>
      <c r="T26" s="30">
        <f>S26*J26*D26*E26+IF(Q26="SI",S26*O26*D26*DATOS!$B$17,0)</f>
        <v/>
      </c>
    </row>
    <row r="27" ht="30" customHeight="1">
      <c r="A27" s="22">
        <f>IDENTIFICACION!A27</f>
        <v/>
      </c>
      <c r="B27" s="23">
        <f>IDENTIFICACION!C27</f>
        <v/>
      </c>
      <c r="C27" s="24" t="inlineStr">
        <is>
          <t>Entidad</t>
        </is>
      </c>
      <c r="D27" s="25">
        <f>IF(C27="Entidad",1,IF(C27="Compartido",0.5,0))</f>
        <v/>
      </c>
      <c r="E27" s="13" t="n">
        <v>1</v>
      </c>
      <c r="F27" s="25">
        <f>'ANALISIS CUALITATIVO'!D27</f>
        <v/>
      </c>
      <c r="G27" s="14" t="n">
        <v>0.08169999999999999</v>
      </c>
      <c r="H27" s="30">
        <f>'ANALISIS CUALITATIVO'!E27</f>
        <v/>
      </c>
      <c r="I27" s="14" t="n">
        <v>1.2257</v>
      </c>
      <c r="J27" s="30">
        <f>AVERAGE(G27:I27)</f>
        <v/>
      </c>
      <c r="K27" s="30">
        <f>F27*J27</f>
        <v/>
      </c>
      <c r="L27" s="10" t="n">
        <v>10</v>
      </c>
      <c r="M27" s="26">
        <f>'ANALISIS CUALITATIVO'!G27</f>
        <v/>
      </c>
      <c r="N27" s="10" t="n">
        <v>90</v>
      </c>
      <c r="O27" s="31">
        <f>AVERAGE(L27:N27)</f>
        <v/>
      </c>
      <c r="P27" s="31">
        <f>F27*O27</f>
        <v/>
      </c>
      <c r="Q27" s="24" t="inlineStr">
        <is>
          <t>SI</t>
        </is>
      </c>
      <c r="R27" s="30">
        <f>F27*J27*D27*E27+IF(Q27="SI",F27*O27*D27*DATOS!$B$17,0)</f>
        <v/>
      </c>
      <c r="S27" s="25">
        <f>'ANALISIS CUALITATIVO'!O27</f>
        <v/>
      </c>
      <c r="T27" s="30">
        <f>S27*J27*D27*E27+IF(Q27="SI",S27*O27*D27*DATOS!$B$17,0)</f>
        <v/>
      </c>
    </row>
    <row r="28" ht="30" customHeight="1">
      <c r="A28" s="22">
        <f>IDENTIFICACION!A28</f>
        <v/>
      </c>
      <c r="B28" s="23">
        <f>IDENTIFICACION!C28</f>
        <v/>
      </c>
      <c r="C28" s="24" t="inlineStr">
        <is>
          <t>Entidad</t>
        </is>
      </c>
      <c r="D28" s="25">
        <f>IF(C28="Entidad",1,IF(C28="Compartido",0.5,0))</f>
        <v/>
      </c>
      <c r="E28" s="13" t="n">
        <v>1</v>
      </c>
      <c r="F28" s="25">
        <f>'ANALISIS CUALITATIVO'!D28</f>
        <v/>
      </c>
      <c r="G28" s="14" t="n">
        <v>0.0409</v>
      </c>
      <c r="H28" s="30">
        <f>'ANALISIS CUALITATIVO'!E28</f>
        <v/>
      </c>
      <c r="I28" s="14" t="n">
        <v>0.4086</v>
      </c>
      <c r="J28" s="30">
        <f>AVERAGE(G28:I28)</f>
        <v/>
      </c>
      <c r="K28" s="30">
        <f>F28*J28</f>
        <v/>
      </c>
      <c r="L28" s="10" t="n">
        <v>7</v>
      </c>
      <c r="M28" s="26">
        <f>'ANALISIS CUALITATIVO'!G28</f>
        <v/>
      </c>
      <c r="N28" s="10" t="n">
        <v>45</v>
      </c>
      <c r="O28" s="31">
        <f>AVERAGE(L28:N28)</f>
        <v/>
      </c>
      <c r="P28" s="31">
        <f>F28*O28</f>
        <v/>
      </c>
      <c r="Q28" s="24" t="inlineStr">
        <is>
          <t>SI</t>
        </is>
      </c>
      <c r="R28" s="30">
        <f>F28*J28*D28*E28+IF(Q28="SI",F28*O28*D28*DATOS!$B$17,0)</f>
        <v/>
      </c>
      <c r="S28" s="25">
        <f>'ANALISIS CUALITATIVO'!O28</f>
        <v/>
      </c>
      <c r="T28" s="30">
        <f>S28*J28*D28*E28+IF(Q28="SI",S28*O28*D28*DATOS!$B$17,0)</f>
        <v/>
      </c>
    </row>
    <row r="29" ht="30" customHeight="1">
      <c r="A29" s="22">
        <f>IDENTIFICACION!A29</f>
        <v/>
      </c>
      <c r="B29" s="23">
        <f>IDENTIFICACION!C29</f>
        <v/>
      </c>
      <c r="C29" s="24" t="inlineStr">
        <is>
          <t>Entidad</t>
        </is>
      </c>
      <c r="D29" s="25">
        <f>IF(C29="Entidad",1,IF(C29="Compartido",0.5,0))</f>
        <v/>
      </c>
      <c r="E29" s="13" t="n">
        <v>1</v>
      </c>
      <c r="F29" s="25">
        <f>'ANALISIS CUALITATIVO'!D29</f>
        <v/>
      </c>
      <c r="G29" s="14" t="n">
        <v>0.2451</v>
      </c>
      <c r="H29" s="30">
        <f>'ANALISIS CUALITATIVO'!E29</f>
        <v/>
      </c>
      <c r="I29" s="14" t="n">
        <v>1.6343</v>
      </c>
      <c r="J29" s="30">
        <f>AVERAGE(G29:I29)</f>
        <v/>
      </c>
      <c r="K29" s="30">
        <f>F29*J29</f>
        <v/>
      </c>
      <c r="L29" s="10" t="n">
        <v>10</v>
      </c>
      <c r="M29" s="26">
        <f>'ANALISIS CUALITATIVO'!G29</f>
        <v/>
      </c>
      <c r="N29" s="10" t="n">
        <v>45</v>
      </c>
      <c r="O29" s="31">
        <f>AVERAGE(L29:N29)</f>
        <v/>
      </c>
      <c r="P29" s="31">
        <f>F29*O29</f>
        <v/>
      </c>
      <c r="Q29" s="24" t="inlineStr">
        <is>
          <t>SI</t>
        </is>
      </c>
      <c r="R29" s="30">
        <f>F29*J29*D29*E29+IF(Q29="SI",F29*O29*D29*DATOS!$B$17,0)</f>
        <v/>
      </c>
      <c r="S29" s="25">
        <f>'ANALISIS CUALITATIVO'!O29</f>
        <v/>
      </c>
      <c r="T29" s="30">
        <f>S29*J29*D29*E29+IF(Q29="SI",S29*O29*D29*DATOS!$B$17,0)</f>
        <v/>
      </c>
    </row>
    <row r="30" ht="30" customHeight="1">
      <c r="A30" s="22">
        <f>IDENTIFICACION!A30</f>
        <v/>
      </c>
      <c r="B30" s="23">
        <f>IDENTIFICACION!C30</f>
        <v/>
      </c>
      <c r="C30" s="24" t="inlineStr">
        <is>
          <t>Contratista</t>
        </is>
      </c>
      <c r="D30" s="25">
        <f>IF(C30="Entidad",1,IF(C30="Compartido",0.5,0))</f>
        <v/>
      </c>
      <c r="E30" s="13" t="n">
        <v>1</v>
      </c>
      <c r="F30" s="25">
        <f>'ANALISIS CUALITATIVO'!D30</f>
        <v/>
      </c>
      <c r="G30" s="14" t="n">
        <v>0.0245</v>
      </c>
      <c r="H30" s="30">
        <f>'ANALISIS CUALITATIVO'!E30</f>
        <v/>
      </c>
      <c r="I30" s="14" t="n">
        <v>0.3269</v>
      </c>
      <c r="J30" s="30">
        <f>AVERAGE(G30:I30)</f>
        <v/>
      </c>
      <c r="K30" s="30">
        <f>F30*J30</f>
        <v/>
      </c>
      <c r="L30" s="10" t="n">
        <v>3</v>
      </c>
      <c r="M30" s="26">
        <f>'ANALISIS CUALITATIVO'!G30</f>
        <v/>
      </c>
      <c r="N30" s="10" t="n">
        <v>30</v>
      </c>
      <c r="O30" s="31">
        <f>AVERAGE(L30:N30)</f>
        <v/>
      </c>
      <c r="P30" s="31">
        <f>F30*O30</f>
        <v/>
      </c>
      <c r="Q30" s="24" t="inlineStr">
        <is>
          <t>NO</t>
        </is>
      </c>
      <c r="R30" s="30">
        <f>F30*J30*D30*E30+IF(Q30="SI",F30*O30*D30*DATOS!$B$17,0)</f>
        <v/>
      </c>
      <c r="S30" s="25">
        <f>'ANALISIS CUALITATIVO'!O30</f>
        <v/>
      </c>
      <c r="T30" s="30">
        <f>S30*J30*D30*E30+IF(Q30="SI",S30*O30*D30*DATOS!$B$17,0)</f>
        <v/>
      </c>
    </row>
    <row r="31" ht="30" customHeight="1">
      <c r="A31" s="22">
        <f>IDENTIFICACION!A31</f>
        <v/>
      </c>
      <c r="B31" s="23">
        <f>IDENTIFICACION!C31</f>
        <v/>
      </c>
      <c r="C31" s="24" t="inlineStr">
        <is>
          <t>Contratista</t>
        </is>
      </c>
      <c r="D31" s="25">
        <f>IF(C31="Entidad",1,IF(C31="Compartido",0.5,0))</f>
        <v/>
      </c>
      <c r="E31" s="13" t="n">
        <v>1</v>
      </c>
      <c r="F31" s="25">
        <f>'ANALISIS CUALITATIVO'!D31</f>
        <v/>
      </c>
      <c r="G31" s="14" t="n">
        <v>0.0245</v>
      </c>
      <c r="H31" s="30">
        <f>'ANALISIS CUALITATIVO'!E31</f>
        <v/>
      </c>
      <c r="I31" s="14" t="n">
        <v>0.2451</v>
      </c>
      <c r="J31" s="30">
        <f>AVERAGE(G31:I31)</f>
        <v/>
      </c>
      <c r="K31" s="30">
        <f>F31*J31</f>
        <v/>
      </c>
      <c r="L31" s="10" t="n">
        <v>3</v>
      </c>
      <c r="M31" s="26">
        <f>'ANALISIS CUALITATIVO'!G31</f>
        <v/>
      </c>
      <c r="N31" s="10" t="n">
        <v>25</v>
      </c>
      <c r="O31" s="31">
        <f>AVERAGE(L31:N31)</f>
        <v/>
      </c>
      <c r="P31" s="31">
        <f>F31*O31</f>
        <v/>
      </c>
      <c r="Q31" s="24" t="inlineStr">
        <is>
          <t>NO</t>
        </is>
      </c>
      <c r="R31" s="30">
        <f>F31*J31*D31*E31+IF(Q31="SI",F31*O31*D31*DATOS!$B$17,0)</f>
        <v/>
      </c>
      <c r="S31" s="25">
        <f>'ANALISIS CUALITATIVO'!O31</f>
        <v/>
      </c>
      <c r="T31" s="30">
        <f>S31*J31*D31*E31+IF(Q31="SI",S31*O31*D31*DATOS!$B$17,0)</f>
        <v/>
      </c>
    </row>
    <row r="32" ht="30" customHeight="1">
      <c r="A32" s="22">
        <f>IDENTIFICACION!A32</f>
        <v/>
      </c>
      <c r="B32" s="23">
        <f>IDENTIFICACION!C32</f>
        <v/>
      </c>
      <c r="C32" s="24" t="inlineStr">
        <is>
          <t>Contratista</t>
        </is>
      </c>
      <c r="D32" s="25">
        <f>IF(C32="Entidad",1,IF(C32="Compartido",0.5,0))</f>
        <v/>
      </c>
      <c r="E32" s="13" t="n">
        <v>1</v>
      </c>
      <c r="F32" s="25">
        <f>'ANALISIS CUALITATIVO'!D32</f>
        <v/>
      </c>
      <c r="G32" s="14" t="n">
        <v>0.08169999999999999</v>
      </c>
      <c r="H32" s="30">
        <f>'ANALISIS CUALITATIVO'!E32</f>
        <v/>
      </c>
      <c r="I32" s="14" t="n">
        <v>0.9806</v>
      </c>
      <c r="J32" s="30">
        <f>AVERAGE(G32:I32)</f>
        <v/>
      </c>
      <c r="K32" s="30">
        <f>F32*J32</f>
        <v/>
      </c>
      <c r="L32" s="10" t="n">
        <v>5</v>
      </c>
      <c r="M32" s="26">
        <f>'ANALISIS CUALITATIVO'!G32</f>
        <v/>
      </c>
      <c r="N32" s="10" t="n">
        <v>40</v>
      </c>
      <c r="O32" s="31">
        <f>AVERAGE(L32:N32)</f>
        <v/>
      </c>
      <c r="P32" s="31">
        <f>F32*O32</f>
        <v/>
      </c>
      <c r="Q32" s="24" t="inlineStr">
        <is>
          <t>NO</t>
        </is>
      </c>
      <c r="R32" s="30">
        <f>F32*J32*D32*E32+IF(Q32="SI",F32*O32*D32*DATOS!$B$17,0)</f>
        <v/>
      </c>
      <c r="S32" s="25">
        <f>'ANALISIS CUALITATIVO'!O32</f>
        <v/>
      </c>
      <c r="T32" s="30">
        <f>S32*J32*D32*E32+IF(Q32="SI",S32*O32*D32*DATOS!$B$17,0)</f>
        <v/>
      </c>
    </row>
    <row r="33" ht="30" customHeight="1">
      <c r="A33" s="22">
        <f>IDENTIFICACION!A33</f>
        <v/>
      </c>
      <c r="B33" s="23">
        <f>IDENTIFICACION!C33</f>
        <v/>
      </c>
      <c r="C33" s="24" t="inlineStr">
        <is>
          <t>Contratista</t>
        </is>
      </c>
      <c r="D33" s="25">
        <f>IF(C33="Entidad",1,IF(C33="Compartido",0.5,0))</f>
        <v/>
      </c>
      <c r="E33" s="13" t="n">
        <v>1</v>
      </c>
      <c r="F33" s="25">
        <f>'ANALISIS CUALITATIVO'!D33</f>
        <v/>
      </c>
      <c r="G33" s="14" t="n">
        <v>0.0163</v>
      </c>
      <c r="H33" s="30">
        <f>'ANALISIS CUALITATIVO'!E33</f>
        <v/>
      </c>
      <c r="I33" s="14" t="n">
        <v>0.1634</v>
      </c>
      <c r="J33" s="30">
        <f>AVERAGE(G33:I33)</f>
        <v/>
      </c>
      <c r="K33" s="30">
        <f>F33*J33</f>
        <v/>
      </c>
      <c r="L33" s="10" t="n">
        <v>3</v>
      </c>
      <c r="M33" s="26">
        <f>'ANALISIS CUALITATIVO'!G33</f>
        <v/>
      </c>
      <c r="N33" s="10" t="n">
        <v>30</v>
      </c>
      <c r="O33" s="31">
        <f>AVERAGE(L33:N33)</f>
        <v/>
      </c>
      <c r="P33" s="31">
        <f>F33*O33</f>
        <v/>
      </c>
      <c r="Q33" s="24" t="inlineStr">
        <is>
          <t>NO</t>
        </is>
      </c>
      <c r="R33" s="30">
        <f>F33*J33*D33*E33+IF(Q33="SI",F33*O33*D33*DATOS!$B$17,0)</f>
        <v/>
      </c>
      <c r="S33" s="25">
        <f>'ANALISIS CUALITATIVO'!O33</f>
        <v/>
      </c>
      <c r="T33" s="30">
        <f>S33*J33*D33*E33+IF(Q33="SI",S33*O33*D33*DATOS!$B$17,0)</f>
        <v/>
      </c>
    </row>
    <row r="34" ht="30" customHeight="1">
      <c r="A34" s="22">
        <f>IDENTIFICACION!A34</f>
        <v/>
      </c>
      <c r="B34" s="23">
        <f>IDENTIFICACION!C34</f>
        <v/>
      </c>
      <c r="C34" s="24" t="inlineStr">
        <is>
          <t>Contratista</t>
        </is>
      </c>
      <c r="D34" s="25">
        <f>IF(C34="Entidad",1,IF(C34="Compartido",0.5,0))</f>
        <v/>
      </c>
      <c r="E34" s="13" t="n">
        <v>1</v>
      </c>
      <c r="F34" s="25">
        <f>'ANALISIS CUALITATIVO'!D34</f>
        <v/>
      </c>
      <c r="G34" s="14" t="n">
        <v>0.0163</v>
      </c>
      <c r="H34" s="30">
        <f>'ANALISIS CUALITATIVO'!E34</f>
        <v/>
      </c>
      <c r="I34" s="14" t="n">
        <v>0.2451</v>
      </c>
      <c r="J34" s="30">
        <f>AVERAGE(G34:I34)</f>
        <v/>
      </c>
      <c r="K34" s="30">
        <f>F34*J34</f>
        <v/>
      </c>
      <c r="L34" s="10" t="n">
        <v>3</v>
      </c>
      <c r="M34" s="26">
        <f>'ANALISIS CUALITATIVO'!G34</f>
        <v/>
      </c>
      <c r="N34" s="10" t="n">
        <v>30</v>
      </c>
      <c r="O34" s="31">
        <f>AVERAGE(L34:N34)</f>
        <v/>
      </c>
      <c r="P34" s="31">
        <f>F34*O34</f>
        <v/>
      </c>
      <c r="Q34" s="24" t="inlineStr">
        <is>
          <t>NO</t>
        </is>
      </c>
      <c r="R34" s="30">
        <f>F34*J34*D34*E34+IF(Q34="SI",F34*O34*D34*DATOS!$B$17,0)</f>
        <v/>
      </c>
      <c r="S34" s="25">
        <f>'ANALISIS CUALITATIVO'!O34</f>
        <v/>
      </c>
      <c r="T34" s="30">
        <f>S34*J34*D34*E34+IF(Q34="SI",S34*O34*D34*DATOS!$B$17,0)</f>
        <v/>
      </c>
    </row>
    <row r="35" ht="30" customHeight="1">
      <c r="A35" s="22">
        <f>IDENTIFICACION!A35</f>
        <v/>
      </c>
      <c r="B35" s="23">
        <f>IDENTIFICACION!C35</f>
        <v/>
      </c>
      <c r="C35" s="24" t="inlineStr">
        <is>
          <t>Contratista</t>
        </is>
      </c>
      <c r="D35" s="25">
        <f>IF(C35="Entidad",1,IF(C35="Compartido",0.5,0))</f>
        <v/>
      </c>
      <c r="E35" s="13" t="n">
        <v>1</v>
      </c>
      <c r="F35" s="25">
        <f>'ANALISIS CUALITATIVO'!D35</f>
        <v/>
      </c>
      <c r="G35" s="14" t="n">
        <v>0.0163</v>
      </c>
      <c r="H35" s="30">
        <f>'ANALISIS CUALITATIVO'!E35</f>
        <v/>
      </c>
      <c r="I35" s="14" t="n">
        <v>0.1226</v>
      </c>
      <c r="J35" s="30">
        <f>AVERAGE(G35:I35)</f>
        <v/>
      </c>
      <c r="K35" s="30">
        <f>F35*J35</f>
        <v/>
      </c>
      <c r="L35" s="10" t="n">
        <v>1</v>
      </c>
      <c r="M35" s="26">
        <f>'ANALISIS CUALITATIVO'!G35</f>
        <v/>
      </c>
      <c r="N35" s="10" t="n">
        <v>10</v>
      </c>
      <c r="O35" s="31">
        <f>AVERAGE(L35:N35)</f>
        <v/>
      </c>
      <c r="P35" s="31">
        <f>F35*O35</f>
        <v/>
      </c>
      <c r="Q35" s="24" t="inlineStr">
        <is>
          <t>NO</t>
        </is>
      </c>
      <c r="R35" s="30">
        <f>F35*J35*D35*E35+IF(Q35="SI",F35*O35*D35*DATOS!$B$17,0)</f>
        <v/>
      </c>
      <c r="S35" s="25">
        <f>'ANALISIS CUALITATIVO'!O35</f>
        <v/>
      </c>
      <c r="T35" s="30">
        <f>S35*J35*D35*E35+IF(Q35="SI",S35*O35*D35*DATOS!$B$17,0)</f>
        <v/>
      </c>
    </row>
    <row r="36" ht="30" customHeight="1">
      <c r="A36" s="22">
        <f>IDENTIFICACION!A36</f>
        <v/>
      </c>
      <c r="B36" s="23">
        <f>IDENTIFICACION!C36</f>
        <v/>
      </c>
      <c r="C36" s="24" t="inlineStr">
        <is>
          <t>Contratista</t>
        </is>
      </c>
      <c r="D36" s="25">
        <f>IF(C36="Entidad",1,IF(C36="Compartido",0.5,0))</f>
        <v/>
      </c>
      <c r="E36" s="13" t="n">
        <v>1</v>
      </c>
      <c r="F36" s="25">
        <f>'ANALISIS CUALITATIVO'!D36</f>
        <v/>
      </c>
      <c r="G36" s="14" t="n">
        <v>0.0041</v>
      </c>
      <c r="H36" s="30">
        <f>'ANALISIS CUALITATIVO'!E36</f>
        <v/>
      </c>
      <c r="I36" s="14" t="n">
        <v>0.0654</v>
      </c>
      <c r="J36" s="30">
        <f>AVERAGE(G36:I36)</f>
        <v/>
      </c>
      <c r="K36" s="30">
        <f>F36*J36</f>
        <v/>
      </c>
      <c r="L36" s="10" t="n">
        <v>1</v>
      </c>
      <c r="M36" s="26">
        <f>'ANALISIS CUALITATIVO'!G36</f>
        <v/>
      </c>
      <c r="N36" s="10" t="n">
        <v>5</v>
      </c>
      <c r="O36" s="31">
        <f>AVERAGE(L36:N36)</f>
        <v/>
      </c>
      <c r="P36" s="31">
        <f>F36*O36</f>
        <v/>
      </c>
      <c r="Q36" s="24" t="inlineStr">
        <is>
          <t>NO</t>
        </is>
      </c>
      <c r="R36" s="30">
        <f>F36*J36*D36*E36+IF(Q36="SI",F36*O36*D36*DATOS!$B$17,0)</f>
        <v/>
      </c>
      <c r="S36" s="25">
        <f>'ANALISIS CUALITATIVO'!O36</f>
        <v/>
      </c>
      <c r="T36" s="30">
        <f>S36*J36*D36*E36+IF(Q36="SI",S36*O36*D36*DATOS!$B$17,0)</f>
        <v/>
      </c>
    </row>
    <row r="37" ht="30" customHeight="1">
      <c r="A37" s="22">
        <f>IDENTIFICACION!A37</f>
        <v/>
      </c>
      <c r="B37" s="23">
        <f>IDENTIFICACION!C37</f>
        <v/>
      </c>
      <c r="C37" s="24" t="inlineStr">
        <is>
          <t>Contratista</t>
        </is>
      </c>
      <c r="D37" s="25">
        <f>IF(C37="Entidad",1,IF(C37="Compartido",0.5,0))</f>
        <v/>
      </c>
      <c r="E37" s="13" t="n">
        <v>1</v>
      </c>
      <c r="F37" s="25">
        <f>'ANALISIS CUALITATIVO'!D37</f>
        <v/>
      </c>
      <c r="G37" s="14" t="n">
        <v>0.0409</v>
      </c>
      <c r="H37" s="30">
        <f>'ANALISIS CUALITATIVO'!E37</f>
        <v/>
      </c>
      <c r="I37" s="14" t="n">
        <v>0.6536999999999999</v>
      </c>
      <c r="J37" s="30">
        <f>AVERAGE(G37:I37)</f>
        <v/>
      </c>
      <c r="K37" s="30">
        <f>F37*J37</f>
        <v/>
      </c>
      <c r="L37" s="10" t="n">
        <v>5</v>
      </c>
      <c r="M37" s="26">
        <f>'ANALISIS CUALITATIVO'!G37</f>
        <v/>
      </c>
      <c r="N37" s="10" t="n">
        <v>45</v>
      </c>
      <c r="O37" s="31">
        <f>AVERAGE(L37:N37)</f>
        <v/>
      </c>
      <c r="P37" s="31">
        <f>F37*O37</f>
        <v/>
      </c>
      <c r="Q37" s="24" t="inlineStr">
        <is>
          <t>SI</t>
        </is>
      </c>
      <c r="R37" s="30">
        <f>F37*J37*D37*E37+IF(Q37="SI",F37*O37*D37*DATOS!$B$17,0)</f>
        <v/>
      </c>
      <c r="S37" s="25">
        <f>'ANALISIS CUALITATIVO'!O37</f>
        <v/>
      </c>
      <c r="T37" s="30">
        <f>S37*J37*D37*E37+IF(Q37="SI",S37*O37*D37*DATOS!$B$17,0)</f>
        <v/>
      </c>
    </row>
    <row r="38" ht="30" customHeight="1">
      <c r="A38" s="22">
        <f>IDENTIFICACION!A38</f>
        <v/>
      </c>
      <c r="B38" s="23">
        <f>IDENTIFICACION!C38</f>
        <v/>
      </c>
      <c r="C38" s="24" t="inlineStr">
        <is>
          <t>Entidad</t>
        </is>
      </c>
      <c r="D38" s="25">
        <f>IF(C38="Entidad",1,IF(C38="Compartido",0.5,0))</f>
        <v/>
      </c>
      <c r="E38" s="13" t="n">
        <v>1</v>
      </c>
      <c r="F38" s="25">
        <f>'ANALISIS CUALITATIVO'!D38</f>
        <v/>
      </c>
      <c r="G38" s="14" t="n">
        <v>0.1634</v>
      </c>
      <c r="H38" s="30">
        <f>'ANALISIS CUALITATIVO'!E38</f>
        <v/>
      </c>
      <c r="I38" s="14" t="n">
        <v>2.0429</v>
      </c>
      <c r="J38" s="30">
        <f>AVERAGE(G38:I38)</f>
        <v/>
      </c>
      <c r="K38" s="30">
        <f>F38*J38</f>
        <v/>
      </c>
      <c r="L38" s="10" t="n">
        <v>15</v>
      </c>
      <c r="M38" s="26">
        <f>'ANALISIS CUALITATIVO'!G38</f>
        <v/>
      </c>
      <c r="N38" s="10" t="n">
        <v>90</v>
      </c>
      <c r="O38" s="31">
        <f>AVERAGE(L38:N38)</f>
        <v/>
      </c>
      <c r="P38" s="31">
        <f>F38*O38</f>
        <v/>
      </c>
      <c r="Q38" s="24" t="inlineStr">
        <is>
          <t>SI</t>
        </is>
      </c>
      <c r="R38" s="30">
        <f>F38*J38*D38*E38+IF(Q38="SI",F38*O38*D38*DATOS!$B$17,0)</f>
        <v/>
      </c>
      <c r="S38" s="25">
        <f>'ANALISIS CUALITATIVO'!O38</f>
        <v/>
      </c>
      <c r="T38" s="30">
        <f>S38*J38*D38*E38+IF(Q38="SI",S38*O38*D38*DATOS!$B$17,0)</f>
        <v/>
      </c>
    </row>
    <row r="39">
      <c r="B39" s="29" t="inlineStr">
        <is>
          <t>TOTAL (suma simple, sin concurrencia de plazos)</t>
        </is>
      </c>
      <c r="K39" s="32">
        <f>SUM(K5:K38)</f>
        <v/>
      </c>
      <c r="P39" s="33">
        <f>SUM(P5:P38)</f>
        <v/>
      </c>
      <c r="R39" s="32">
        <f>SUM(R5:R38)</f>
        <v/>
      </c>
      <c r="T39" s="32">
        <f>SUM(T5:T38)</f>
        <v/>
      </c>
    </row>
    <row r="42" ht="36" customHeight="1">
      <c r="B42" s="34" t="inlineStr">
        <is>
          <t>Valor esperado = P x valor medio de la distribución triangular. Factor Entidad: 1 (Entidad), 0.5 (compartido), 0 (contratista); factor póliza: fracción que no cubre la póliza CAR. Los días de ruta crítica de la Entidad se valorizan con el costo diario de ampliación (hoja DATOS). La suma simple no considera que los retrasos se superponen; la hoja MONTE CARLO sí lo hace.</t>
        </is>
      </c>
    </row>
  </sheetData>
  <mergeCells count="1">
    <mergeCell ref="B42:T42"/>
  </mergeCells>
  <dataValidations count="1">
    <dataValidation sqref="C5 C6 C7 C8 C9 C10 C11 C12 C13 C14 C15 C16 C17 C18 C19 C20 C21 C22 C23 C24 C25 C26 C27 C28 C29 C30 C31 C32 C33 C34 C35 C36 C37 C38" showDropDown="0" showInputMessage="0" showErrorMessage="0" allowBlank="0" type="list">
      <formula1>"Entidad,Contratista,Compartido"</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55"/>
  <sheetViews>
    <sheetView showGridLines="0" workbookViewId="0">
      <selection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s>
  <sheetData>
    <row r="1">
      <c r="A1" s="1" t="inlineStr">
        <is>
          <t>SIMULACIÓN DE MONTE CARLO (20,000 ITERACIONES)</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RESULTADO</t>
        </is>
      </c>
      <c r="B4" s="3" t="inlineStr">
        <is>
          <t>P10</t>
        </is>
      </c>
      <c r="C4" s="3" t="inlineStr">
        <is>
          <t>P50</t>
        </is>
      </c>
      <c r="D4" s="3" t="inlineStr">
        <is>
          <t>P80</t>
        </is>
      </c>
      <c r="E4" s="3" t="inlineStr">
        <is>
          <t>P90</t>
        </is>
      </c>
      <c r="F4" s="3" t="inlineStr">
        <is>
          <t>MEDIA</t>
        </is>
      </c>
    </row>
    <row r="5">
      <c r="A5" s="5" t="inlineStr">
        <is>
          <t>Efecto en costo para la Entidad - inherente (% del presupuesto de obra)</t>
        </is>
      </c>
      <c r="B5" s="35" t="n">
        <v>6.077030654100231</v>
      </c>
      <c r="C5" s="35" t="n">
        <v>9.406508390468597</v>
      </c>
      <c r="D5" s="35" t="n">
        <v>11.81694019849031</v>
      </c>
      <c r="E5" s="35" t="n">
        <v>13.10737190407058</v>
      </c>
      <c r="F5" s="35" t="n">
        <v>9.495592967067257</v>
      </c>
    </row>
    <row r="6">
      <c r="A6" s="5" t="inlineStr">
        <is>
          <t>Efecto en costo para la Entidad - residual (% del presupuesto de obra)</t>
        </is>
      </c>
      <c r="B6" s="35" t="n">
        <v>2.218301700122334</v>
      </c>
      <c r="C6" s="35" t="n">
        <v>4.540792708664683</v>
      </c>
      <c r="D6" s="35" t="n">
        <v>6.430492466707665</v>
      </c>
      <c r="E6" s="35" t="n">
        <v>7.573374413233784</v>
      </c>
      <c r="F6" s="35" t="n">
        <v>4.754155870813144</v>
      </c>
    </row>
    <row r="7">
      <c r="A7" s="5" t="inlineStr">
        <is>
          <t>Retraso total de la obra - inherente (días)</t>
        </is>
      </c>
      <c r="B7" s="36" t="n">
        <v>143.6209191830724</v>
      </c>
      <c r="C7" s="36" t="n">
        <v>195.9459019189354</v>
      </c>
      <c r="D7" s="36" t="n">
        <v>230.0959863629766</v>
      </c>
      <c r="E7" s="36" t="n">
        <v>247.5410159117462</v>
      </c>
      <c r="F7" s="36" t="n">
        <v>195.7482909549181</v>
      </c>
    </row>
    <row r="8">
      <c r="A8" s="5" t="inlineStr">
        <is>
          <t>Retraso total de la obra - residual (días)</t>
        </is>
      </c>
      <c r="B8" s="36" t="n">
        <v>61.79083550554023</v>
      </c>
      <c r="C8" s="36" t="n">
        <v>113.2172646281843</v>
      </c>
      <c r="D8" s="36" t="n">
        <v>147.964020359484</v>
      </c>
      <c r="E8" s="36" t="n">
        <v>167.3977317103842</v>
      </c>
      <c r="F8" s="36" t="n">
        <v>114.1554850397865</v>
      </c>
    </row>
    <row r="9">
      <c r="A9" s="5" t="inlineStr">
        <is>
          <t>Retraso atribuible a la Entidad - inherente (días)</t>
        </is>
      </c>
      <c r="B9" s="36" t="n">
        <v>96.4898927011937</v>
      </c>
      <c r="C9" s="36" t="n">
        <v>149.3451284186263</v>
      </c>
      <c r="D9" s="36" t="n">
        <v>185.2152167413567</v>
      </c>
      <c r="E9" s="36" t="n">
        <v>203.8675882044946</v>
      </c>
      <c r="F9" s="36" t="inlineStr">
        <is>
          <t>—</t>
        </is>
      </c>
    </row>
    <row r="10">
      <c r="A10" s="5" t="inlineStr">
        <is>
          <t>Retraso atribuible a la Entidad - residual (días)</t>
        </is>
      </c>
      <c r="B10" s="36" t="n">
        <v>29.94549606352675</v>
      </c>
      <c r="C10" s="36" t="n">
        <v>76.9715225135275</v>
      </c>
      <c r="D10" s="36" t="n">
        <v>111.4677868780117</v>
      </c>
      <c r="E10" s="36" t="n">
        <v>130.8425694934361</v>
      </c>
      <c r="F10" s="36" t="inlineStr">
        <is>
          <t>—</t>
        </is>
      </c>
    </row>
    <row r="11">
      <c r="A11" s="5" t="inlineStr">
        <is>
          <t>Efecto en costo de riesgos del contratista - inherente (%)</t>
        </is>
      </c>
      <c r="B11" s="35" t="n">
        <v>1.413791606545747</v>
      </c>
      <c r="C11" s="35" t="n">
        <v>2.163491436038472</v>
      </c>
      <c r="D11" s="35" t="n">
        <v>2.70082552330484</v>
      </c>
      <c r="E11" s="35" t="n">
        <v>2.992082228893135</v>
      </c>
      <c r="F11" s="35" t="n">
        <v>2.185338680050731</v>
      </c>
    </row>
    <row r="12">
      <c r="A12" s="5" t="inlineStr">
        <is>
          <t>Efecto en costo de riesgos del contratista - residual (%)</t>
        </is>
      </c>
      <c r="B12" s="35" t="n">
        <v>0.6739270284522078</v>
      </c>
      <c r="C12" s="35" t="n">
        <v>1.333320268583962</v>
      </c>
      <c r="D12" s="35" t="n">
        <v>1.835338886501227</v>
      </c>
      <c r="E12" s="35" t="n">
        <v>2.115388798870447</v>
      </c>
      <c r="F12" s="35" t="n">
        <v>1.370142952801313</v>
      </c>
    </row>
    <row r="14">
      <c r="A14" s="37" t="inlineStr">
        <is>
          <t>Reserva de contingencia recomendada (P80 residual, % del presupuesto de obra)</t>
        </is>
      </c>
      <c r="B14" s="38" t="n">
        <v>6.430492466707665</v>
      </c>
    </row>
    <row r="16">
      <c r="A16" s="39" t="inlineStr">
        <is>
          <t>Método:</t>
        </is>
      </c>
    </row>
    <row r="17">
      <c r="A17" s="40" t="inlineStr">
        <is>
          <t>1. Cada riesgo ocurre en una iteración con su probabilidad (inherente o residual, hoja ANALISIS CUALITATIVO).</t>
        </is>
      </c>
    </row>
    <row r="18">
      <c r="A18" s="40" t="inlineStr">
        <is>
          <t>2. Si ocurre, su costo y su retraso se toman de una distribución triangular (mínimo, más probable, máximo).</t>
        </is>
      </c>
    </row>
    <row r="19">
      <c r="A19" s="40" t="inlineStr">
        <is>
          <t>3. Efecto en costo para la Entidad (% del presupuesto de obra): riesgos de la Entidad, 50 % de los compartidos (descontando la póliza CAR donde aplica) y los días de ampliación que le corresponden por el costo diario.</t>
        </is>
      </c>
    </row>
    <row r="20">
      <c r="A20" s="40" t="inlineStr">
        <is>
          <t>4. Plazo: los riesgos de ruta crítica se agrupan por etapa (inicio, clima, terreno, gestión); en cada grupo se suma el mayor retraso y el 25 % de los demás, y los grupos se suman.</t>
        </is>
      </c>
    </row>
    <row r="21">
      <c r="A21" s="40" t="inlineStr">
        <is>
          <t>5. Residual: con las respuestas del PLAN DE RESPUESTA ejecutadas en el momento indicado.</t>
        </is>
      </c>
    </row>
    <row r="24">
      <c r="A24" s="18" t="inlineStr">
        <is>
          <t>Histograma del efecto en costo para la Entidad (% del presupuesto de obra)</t>
        </is>
      </c>
    </row>
    <row r="25" ht="30" customHeight="1">
      <c r="A25" s="3" t="inlineStr">
        <is>
          <t>CLASE (% PRESUPUESTO)</t>
        </is>
      </c>
      <c r="B25" s="3" t="inlineStr">
        <is>
          <t>INHERENTE (% ITERACIONES)</t>
        </is>
      </c>
      <c r="C25" s="3" t="inlineStr">
        <is>
          <t>RESIDUAL (% ITERACIONES)</t>
        </is>
      </c>
    </row>
    <row r="26">
      <c r="A26" s="41" t="n">
        <v>0.29</v>
      </c>
      <c r="B26" s="42" t="n">
        <v>0</v>
      </c>
      <c r="C26" s="42" t="n">
        <v>0.6</v>
      </c>
    </row>
    <row r="27">
      <c r="A27" s="41" t="n">
        <v>0.86</v>
      </c>
      <c r="B27" s="42" t="n">
        <v>0</v>
      </c>
      <c r="C27" s="42" t="n">
        <v>1.8</v>
      </c>
    </row>
    <row r="28">
      <c r="A28" s="41" t="n">
        <v>1.43</v>
      </c>
      <c r="B28" s="42" t="n">
        <v>0.2</v>
      </c>
      <c r="C28" s="42" t="n">
        <v>3</v>
      </c>
    </row>
    <row r="29">
      <c r="A29" s="41" t="n">
        <v>2</v>
      </c>
      <c r="B29" s="42" t="n">
        <v>0</v>
      </c>
      <c r="C29" s="42" t="n">
        <v>5.6</v>
      </c>
    </row>
    <row r="30">
      <c r="A30" s="41" t="n">
        <v>2.58</v>
      </c>
      <c r="B30" s="42" t="n">
        <v>0.2</v>
      </c>
      <c r="C30" s="42" t="n">
        <v>7.8</v>
      </c>
    </row>
    <row r="31">
      <c r="A31" s="41" t="n">
        <v>3.15</v>
      </c>
      <c r="B31" s="42" t="n">
        <v>0.2</v>
      </c>
      <c r="C31" s="42" t="n">
        <v>10</v>
      </c>
    </row>
    <row r="32">
      <c r="A32" s="41" t="n">
        <v>3.72</v>
      </c>
      <c r="B32" s="42" t="n">
        <v>0.6</v>
      </c>
      <c r="C32" s="42" t="n">
        <v>11.2</v>
      </c>
    </row>
    <row r="33">
      <c r="A33" s="41" t="n">
        <v>4.29</v>
      </c>
      <c r="B33" s="42" t="n">
        <v>1.4</v>
      </c>
      <c r="C33" s="42" t="n">
        <v>11</v>
      </c>
    </row>
    <row r="34">
      <c r="A34" s="41" t="n">
        <v>4.87</v>
      </c>
      <c r="B34" s="42" t="n">
        <v>2</v>
      </c>
      <c r="C34" s="42" t="n">
        <v>10.6</v>
      </c>
    </row>
    <row r="35">
      <c r="A35" s="41" t="n">
        <v>5.44</v>
      </c>
      <c r="B35" s="42" t="n">
        <v>3.2</v>
      </c>
      <c r="C35" s="42" t="n">
        <v>9.4</v>
      </c>
    </row>
    <row r="36">
      <c r="A36" s="41" t="n">
        <v>6.01</v>
      </c>
      <c r="B36" s="42" t="n">
        <v>4</v>
      </c>
      <c r="C36" s="42" t="n">
        <v>7.6</v>
      </c>
    </row>
    <row r="37">
      <c r="A37" s="41" t="n">
        <v>6.58</v>
      </c>
      <c r="B37" s="42" t="n">
        <v>5.6</v>
      </c>
      <c r="C37" s="42" t="n">
        <v>6.2</v>
      </c>
    </row>
    <row r="38">
      <c r="A38" s="41" t="n">
        <v>7.16</v>
      </c>
      <c r="B38" s="42" t="n">
        <v>6.4</v>
      </c>
      <c r="C38" s="42" t="n">
        <v>4.4</v>
      </c>
    </row>
    <row r="39">
      <c r="A39" s="41" t="n">
        <v>7.73</v>
      </c>
      <c r="B39" s="42" t="n">
        <v>7.2</v>
      </c>
      <c r="C39" s="42" t="n">
        <v>3.4</v>
      </c>
    </row>
    <row r="40">
      <c r="A40" s="41" t="n">
        <v>8.300000000000001</v>
      </c>
      <c r="B40" s="42" t="n">
        <v>8</v>
      </c>
      <c r="C40" s="42" t="n">
        <v>2.4</v>
      </c>
    </row>
    <row r="41">
      <c r="A41" s="41" t="n">
        <v>8.869999999999999</v>
      </c>
      <c r="B41" s="42" t="n">
        <v>7.8</v>
      </c>
      <c r="C41" s="42" t="n">
        <v>1.6</v>
      </c>
    </row>
    <row r="42">
      <c r="A42" s="41" t="n">
        <v>9.449999999999999</v>
      </c>
      <c r="B42" s="42" t="n">
        <v>8</v>
      </c>
      <c r="C42" s="42" t="n">
        <v>1.2</v>
      </c>
    </row>
    <row r="43">
      <c r="A43" s="41" t="n">
        <v>10.02</v>
      </c>
      <c r="B43" s="42" t="n">
        <v>7.8</v>
      </c>
      <c r="C43" s="42" t="n">
        <v>0.8</v>
      </c>
    </row>
    <row r="44">
      <c r="A44" s="41" t="n">
        <v>10.59</v>
      </c>
      <c r="B44" s="42" t="n">
        <v>6.8</v>
      </c>
      <c r="C44" s="42" t="n">
        <v>0.6</v>
      </c>
    </row>
    <row r="45">
      <c r="A45" s="41" t="n">
        <v>11.16</v>
      </c>
      <c r="B45" s="42" t="n">
        <v>7</v>
      </c>
      <c r="C45" s="42" t="n">
        <v>0.4</v>
      </c>
    </row>
    <row r="46">
      <c r="A46" s="41" t="n">
        <v>11.74</v>
      </c>
      <c r="B46" s="42" t="n">
        <v>5.6</v>
      </c>
      <c r="C46" s="42" t="n">
        <v>0.2</v>
      </c>
    </row>
    <row r="47">
      <c r="A47" s="41" t="n">
        <v>12.31</v>
      </c>
      <c r="B47" s="42" t="n">
        <v>4.6</v>
      </c>
      <c r="C47" s="42" t="n">
        <v>0.2</v>
      </c>
    </row>
    <row r="48">
      <c r="A48" s="41" t="n">
        <v>12.88</v>
      </c>
      <c r="B48" s="42" t="n">
        <v>4</v>
      </c>
      <c r="C48" s="42" t="n">
        <v>0</v>
      </c>
    </row>
    <row r="49">
      <c r="A49" s="41" t="n">
        <v>13.45</v>
      </c>
      <c r="B49" s="42" t="n">
        <v>3</v>
      </c>
      <c r="C49" s="42" t="n">
        <v>0</v>
      </c>
    </row>
    <row r="50">
      <c r="A50" s="41" t="n">
        <v>14.03</v>
      </c>
      <c r="B50" s="42" t="n">
        <v>2.4</v>
      </c>
      <c r="C50" s="42" t="n">
        <v>0</v>
      </c>
    </row>
    <row r="51">
      <c r="A51" s="41" t="n">
        <v>14.6</v>
      </c>
      <c r="B51" s="42" t="n">
        <v>1.6</v>
      </c>
      <c r="C51" s="42" t="n">
        <v>0</v>
      </c>
    </row>
    <row r="52">
      <c r="A52" s="41" t="n">
        <v>15.17</v>
      </c>
      <c r="B52" s="42" t="n">
        <v>1.2</v>
      </c>
      <c r="C52" s="42" t="n">
        <v>0</v>
      </c>
    </row>
    <row r="53">
      <c r="A53" s="41" t="n">
        <v>15.74</v>
      </c>
      <c r="B53" s="42" t="n">
        <v>0.6</v>
      </c>
      <c r="C53" s="42" t="n">
        <v>0</v>
      </c>
    </row>
    <row r="54">
      <c r="A54" s="41" t="n">
        <v>16.32</v>
      </c>
      <c r="B54" s="42" t="n">
        <v>0.4</v>
      </c>
      <c r="C54" s="42" t="n">
        <v>0</v>
      </c>
    </row>
    <row r="55">
      <c r="A55" s="41" t="n">
        <v>16.89</v>
      </c>
      <c r="B55" s="42" t="n">
        <v>0.2</v>
      </c>
      <c r="C55" s="42" t="n">
        <v>0</v>
      </c>
    </row>
  </sheetData>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F19"/>
  <sheetViews>
    <sheetView showGridLines="0" workbookViewId="0">
      <selection activeCell="A1" sqref="A1"/>
    </sheetView>
  </sheetViews>
  <sheetFormatPr baseColWidth="8" defaultRowHeight="15"/>
  <cols>
    <col width="22" customWidth="1" min="1" max="1"/>
    <col width="24" customWidth="1" min="2" max="2"/>
    <col width="24" customWidth="1" min="3" max="3"/>
    <col width="24" customWidth="1" min="4" max="4"/>
    <col width="24" customWidth="1" min="5" max="5"/>
    <col width="24" customWidth="1" min="6" max="6"/>
  </cols>
  <sheetData>
    <row r="1">
      <c r="A1" s="1" t="inlineStr">
        <is>
          <t>MAPA DE CALOR - UBICACIÓN DE LOS RIESGOS EN LA MATRIZ P x I</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c r="A4" s="18" t="inlineStr">
        <is>
          <t>INHERENTE (antes de la respuesta)</t>
        </is>
      </c>
    </row>
    <row r="5">
      <c r="A5" s="19" t="inlineStr">
        <is>
          <t>PROBABILIDAD \ IMPACTO</t>
        </is>
      </c>
      <c r="B5" s="19" t="inlineStr">
        <is>
          <t>Muy bajo</t>
        </is>
      </c>
      <c r="C5" s="19" t="inlineStr">
        <is>
          <t>Bajo</t>
        </is>
      </c>
      <c r="D5" s="19" t="inlineStr">
        <is>
          <t>Moderado</t>
        </is>
      </c>
      <c r="E5" s="19" t="inlineStr">
        <is>
          <t>Alto</t>
        </is>
      </c>
      <c r="F5" s="19" t="inlineStr">
        <is>
          <t>Muy alto</t>
        </is>
      </c>
    </row>
    <row r="6" ht="34" customHeight="1">
      <c r="A6" s="19" t="inlineStr">
        <is>
          <t>Muy alta</t>
        </is>
      </c>
      <c r="B6" s="43" t="inlineStr"/>
      <c r="C6" s="44" t="inlineStr"/>
      <c r="D6" s="45" t="inlineStr">
        <is>
          <t>R-01, R-25</t>
        </is>
      </c>
      <c r="E6" s="45" t="inlineStr"/>
      <c r="F6" s="45" t="inlineStr"/>
    </row>
    <row r="7" ht="34" customHeight="1">
      <c r="A7" s="19" t="inlineStr">
        <is>
          <t>Alta</t>
        </is>
      </c>
      <c r="B7" s="43" t="inlineStr"/>
      <c r="C7" s="44" t="inlineStr">
        <is>
          <t>R-05, R-06, R-11</t>
        </is>
      </c>
      <c r="D7" s="44" t="inlineStr">
        <is>
          <t>R-10, R-16, R-17</t>
        </is>
      </c>
      <c r="E7" s="45" t="inlineStr"/>
      <c r="F7" s="45" t="inlineStr"/>
    </row>
    <row r="8" ht="34" customHeight="1">
      <c r="A8" s="19" t="inlineStr">
        <is>
          <t>Moderada</t>
        </is>
      </c>
      <c r="B8" s="43" t="inlineStr">
        <is>
          <t>R-20, R-31</t>
        </is>
      </c>
      <c r="C8" s="44" t="inlineStr">
        <is>
          <t>R-03, R-12, R-13, R-18, R-19, R-24, R-27, R-29</t>
        </is>
      </c>
      <c r="D8" s="44" t="inlineStr">
        <is>
          <t>R-04, R-07, R-09, R-23</t>
        </is>
      </c>
      <c r="E8" s="45" t="inlineStr">
        <is>
          <t>R-08, R-15</t>
        </is>
      </c>
      <c r="F8" s="45" t="inlineStr"/>
    </row>
    <row r="9" ht="34" customHeight="1">
      <c r="A9" s="19" t="inlineStr">
        <is>
          <t>Baja</t>
        </is>
      </c>
      <c r="B9" s="43" t="inlineStr">
        <is>
          <t>R-32</t>
        </is>
      </c>
      <c r="C9" s="43" t="inlineStr">
        <is>
          <t>R-21, R-26, R-28, R-30, R-33</t>
        </is>
      </c>
      <c r="D9" s="44" t="inlineStr">
        <is>
          <t>R-02, R-14, R-34</t>
        </is>
      </c>
      <c r="E9" s="44" t="inlineStr"/>
      <c r="F9" s="45" t="inlineStr"/>
    </row>
    <row r="10" ht="34" customHeight="1">
      <c r="A10" s="19" t="inlineStr">
        <is>
          <t>Muy baja</t>
        </is>
      </c>
      <c r="B10" s="43" t="inlineStr"/>
      <c r="C10" s="43" t="inlineStr">
        <is>
          <t>R-22</t>
        </is>
      </c>
      <c r="D10" s="43" t="inlineStr"/>
      <c r="E10" s="43" t="inlineStr"/>
      <c r="F10" s="44" t="inlineStr"/>
    </row>
    <row r="13">
      <c r="A13" s="18" t="inlineStr">
        <is>
          <t>RESIDUAL (con la respuesta ejecutada)</t>
        </is>
      </c>
    </row>
    <row r="14">
      <c r="A14" s="19" t="inlineStr">
        <is>
          <t>PROBABILIDAD \ IMPACTO</t>
        </is>
      </c>
      <c r="B14" s="19" t="inlineStr">
        <is>
          <t>Muy bajo</t>
        </is>
      </c>
      <c r="C14" s="19" t="inlineStr">
        <is>
          <t>Bajo</t>
        </is>
      </c>
      <c r="D14" s="19" t="inlineStr">
        <is>
          <t>Moderado</t>
        </is>
      </c>
      <c r="E14" s="19" t="inlineStr">
        <is>
          <t>Alto</t>
        </is>
      </c>
      <c r="F14" s="19" t="inlineStr">
        <is>
          <t>Muy alto</t>
        </is>
      </c>
    </row>
    <row r="15" ht="34" customHeight="1">
      <c r="A15" s="19" t="inlineStr">
        <is>
          <t>Muy alta</t>
        </is>
      </c>
      <c r="B15" s="43" t="inlineStr"/>
      <c r="C15" s="44" t="inlineStr"/>
      <c r="D15" s="45" t="inlineStr"/>
      <c r="E15" s="45" t="inlineStr"/>
      <c r="F15" s="45" t="inlineStr"/>
    </row>
    <row r="16" ht="34" customHeight="1">
      <c r="A16" s="19" t="inlineStr">
        <is>
          <t>Alta</t>
        </is>
      </c>
      <c r="B16" s="43" t="inlineStr"/>
      <c r="C16" s="44" t="inlineStr"/>
      <c r="D16" s="44" t="inlineStr">
        <is>
          <t>R-01, R-17</t>
        </is>
      </c>
      <c r="E16" s="45" t="inlineStr"/>
      <c r="F16" s="45" t="inlineStr"/>
    </row>
    <row r="17" ht="34" customHeight="1">
      <c r="A17" s="19" t="inlineStr">
        <is>
          <t>Moderada</t>
        </is>
      </c>
      <c r="B17" s="43" t="inlineStr"/>
      <c r="C17" s="44" t="inlineStr">
        <is>
          <t>R-05, R-06</t>
        </is>
      </c>
      <c r="D17" s="44" t="inlineStr"/>
      <c r="E17" s="45" t="inlineStr"/>
      <c r="F17" s="45" t="inlineStr"/>
    </row>
    <row r="18" ht="34" customHeight="1">
      <c r="A18" s="19" t="inlineStr">
        <is>
          <t>Baja</t>
        </is>
      </c>
      <c r="B18" s="43" t="inlineStr">
        <is>
          <t>R-20, R-31, R-32</t>
        </is>
      </c>
      <c r="C18" s="43" t="inlineStr">
        <is>
          <t>R-03, R-11, R-12, R-13, R-18, R-19, R-24, R-27, R-29, R-30</t>
        </is>
      </c>
      <c r="D18" s="44" t="inlineStr">
        <is>
          <t>R-02, R-04, R-07, R-10, R-16, R-23, R-25</t>
        </is>
      </c>
      <c r="E18" s="44" t="inlineStr"/>
      <c r="F18" s="45" t="inlineStr"/>
    </row>
    <row r="19" ht="34" customHeight="1">
      <c r="A19" s="19" t="inlineStr">
        <is>
          <t>Muy baja</t>
        </is>
      </c>
      <c r="B19" s="43" t="inlineStr"/>
      <c r="C19" s="43" t="inlineStr">
        <is>
          <t>R-21, R-22, R-26, R-28, R-33</t>
        </is>
      </c>
      <c r="D19" s="43" t="inlineStr">
        <is>
          <t>R-09, R-14, R-34</t>
        </is>
      </c>
      <c r="E19" s="43" t="inlineStr">
        <is>
          <t>R-08, R-15</t>
        </is>
      </c>
      <c r="F19" s="44" t="inlineStr"/>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J3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1" customWidth="1" min="3" max="3"/>
    <col width="14" customWidth="1" min="4" max="4"/>
    <col width="52" customWidth="1" min="5" max="5"/>
    <col width="22" customWidth="1" min="6" max="6"/>
    <col width="30" customWidth="1" min="7" max="7"/>
    <col width="18" customWidth="1" min="8" max="8"/>
    <col width="34" customWidth="1" min="9" max="9"/>
    <col width="11" customWidth="1" min="10" max="10"/>
  </cols>
  <sheetData>
    <row r="1">
      <c r="A1" s="1" t="inlineStr">
        <is>
          <t>PLAN DE RESPUESTA A LOS RIESGOS</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4" customHeight="1">
      <c r="A4" s="3" t="inlineStr">
        <is>
          <t>COD.</t>
        </is>
      </c>
      <c r="B4" s="3" t="inlineStr">
        <is>
          <t>RIESGO</t>
        </is>
      </c>
      <c r="C4" s="3" t="inlineStr">
        <is>
          <t>NIVEL INHERENTE</t>
        </is>
      </c>
      <c r="D4" s="3" t="inlineStr">
        <is>
          <t>ESTRATEGIA</t>
        </is>
      </c>
      <c r="E4" s="3" t="inlineStr">
        <is>
          <t>ACCIONES DE RESPUESTA</t>
        </is>
      </c>
      <c r="F4" s="3" t="inlineStr">
        <is>
          <t>RESPONSABLE</t>
        </is>
      </c>
      <c r="G4" s="3" t="inlineStr">
        <is>
          <t>PARTIDA O RECURSO</t>
        </is>
      </c>
      <c r="H4" s="3" t="inlineStr">
        <is>
          <t>MOMENTO</t>
        </is>
      </c>
      <c r="I4" s="3" t="inlineStr">
        <is>
          <t>ALERTA TEMPRANA (DISPARADOR)</t>
        </is>
      </c>
      <c r="J4" s="3" t="inlineStr">
        <is>
          <t>NIVEL RESIDUAL</t>
        </is>
      </c>
    </row>
    <row r="5" ht="80" customHeight="1">
      <c r="A5" s="22">
        <f>IDENTIFICACION!A5</f>
        <v/>
      </c>
      <c r="B5" s="23">
        <f>IDENTIFICACION!C5</f>
        <v/>
      </c>
      <c r="C5" s="22">
        <f>'ANALISIS CUALITATIVO'!M5</f>
        <v/>
      </c>
      <c r="D5" s="4" t="inlineStr">
        <is>
          <t>Mitigar</t>
        </is>
      </c>
      <c r="E5" s="6" t="inlineStr">
        <is>
          <t>Cronograma valorizado con calendario climático: terraplenes, bases y carpeta en mayo-setiembre; drenaje provisional y bombeo; protección de capas terminadas; frentes alternos (alcantarillas, cunetas) en temporada de lluvias.</t>
        </is>
      </c>
      <c r="F5" s="6" t="inlineStr">
        <is>
          <t>Residente de obra / Supervisor</t>
        </is>
      </c>
      <c r="G5" s="6" t="inlineStr">
        <is>
          <t>Gastos generales del contratista; 1.04.02 Mantenimiento de tránsito temporal</t>
        </is>
      </c>
      <c r="H5" s="6" t="inlineStr">
        <is>
          <t>Ejecución (oct-abr)</t>
        </is>
      </c>
      <c r="I5" s="6" t="inlineStr">
        <is>
          <t>Pronóstico y avisos meteorológicos del SENAMHI; lluvia &gt; 30 mm/día; dos días seguidos sin trabajo en un frente.</t>
        </is>
      </c>
      <c r="J5" s="22">
        <f>'ANALISIS CUALITATIVO'!Q5</f>
        <v/>
      </c>
    </row>
    <row r="6" ht="80" customHeight="1">
      <c r="A6" s="22">
        <f>IDENTIFICACION!A6</f>
        <v/>
      </c>
      <c r="B6" s="23">
        <f>IDENTIFICACION!C6</f>
        <v/>
      </c>
      <c r="C6" s="22">
        <f>'ANALISIS CUALITATIVO'!M6</f>
        <v/>
      </c>
      <c r="D6" s="4" t="inlineStr">
        <is>
          <t>Transferir / Mitigar</t>
        </is>
      </c>
      <c r="E6" s="6" t="inlineStr">
        <is>
          <t>Exigir póliza Todo Riesgo Construcción (CAR) con cobertura de eventos de la naturaleza; plan de contingencias por lluvias; registro en el cuaderno de obra y comunicación inmediata para la ampliación de plazo.</t>
        </is>
      </c>
      <c r="F6" s="6" t="inlineStr">
        <is>
          <t>Entidad (DRTC) / Supervisor</t>
        </is>
      </c>
      <c r="G6" s="6" t="inlineStr">
        <is>
          <t>Póliza CAR del contratista; reserva de contingencia de la Entidad</t>
        </is>
      </c>
      <c r="H6" s="6" t="inlineStr">
        <is>
          <t>Ejecución</t>
        </is>
      </c>
      <c r="I6" s="6" t="inlineStr">
        <is>
          <t>Comunicado oficial del ENFEN; nivel de agua en las quebradas sobre la marca de alerta.</t>
        </is>
      </c>
      <c r="J6" s="22">
        <f>'ANALISIS CUALITATIVO'!Q6</f>
        <v/>
      </c>
    </row>
    <row r="7" ht="80" customHeight="1">
      <c r="A7" s="22">
        <f>IDENTIFICACION!A7</f>
        <v/>
      </c>
      <c r="B7" s="23">
        <f>IDENTIFICACION!C7</f>
        <v/>
      </c>
      <c r="C7" s="22">
        <f>'ANALISIS CUALITATIVO'!M7</f>
        <v/>
      </c>
      <c r="D7" s="4" t="inlineStr">
        <is>
          <t>Mitigar</t>
        </is>
      </c>
      <c r="E7" s="6" t="inlineStr">
        <is>
          <t>Programar cimentaciones y estribos en estiaje (junio-setiembre); ataguías y bombeo; desvío del cauce antes de excavar; monitoreo diario del nivel de agua.</t>
        </is>
      </c>
      <c r="F7" s="6" t="inlineStr">
        <is>
          <t>Residente / Especialista en puentes</t>
        </is>
      </c>
      <c r="G7" s="6" t="inlineStr">
        <is>
          <t>1.04.10 Desvío provisional de curso de agua; 1.10.0x.01.05 Encauzamiento de quebrada</t>
        </is>
      </c>
      <c r="H7" s="6" t="inlineStr">
        <is>
          <t>Ejecución de puentes</t>
        </is>
      </c>
      <c r="I7" s="6" t="inlineStr">
        <is>
          <t>Subida del nivel de la quebrada &gt; 0.50 m en 24 h; lluvias en la cuenca alta.</t>
        </is>
      </c>
      <c r="J7" s="22">
        <f>'ANALISIS CUALITATIVO'!Q7</f>
        <v/>
      </c>
    </row>
    <row r="8" ht="80" customHeight="1">
      <c r="A8" s="22">
        <f>IDENTIFICACION!A8</f>
        <v/>
      </c>
      <c r="B8" s="23">
        <f>IDENTIFICACION!C8</f>
        <v/>
      </c>
      <c r="C8" s="22">
        <f>'ANALISIS CUALITATIVO'!M8</f>
        <v/>
      </c>
      <c r="D8" s="4" t="inlineStr">
        <is>
          <t>Mitigar</t>
        </is>
      </c>
      <c r="E8" s="6" t="inlineStr">
        <is>
          <t>Antes del inicio: verificar la estabilidad de cortes (factor de seguridad estático y seudoestático) y el diseño de muros en esos sectores; durante la obra: cortes por banquetas de arriba hacia abajo, drenaje de coronación, hitos de control de desplazamiento.</t>
        </is>
      </c>
      <c r="F8" s="6" t="inlineStr">
        <is>
          <t>Entidad (diseño) / Contratista (método de corte)</t>
        </is>
      </c>
      <c r="G8" s="6" t="inlineStr">
        <is>
          <t>1.05.02 a 1.05.04 Cortes; 1.08.03 Muros de contención</t>
        </is>
      </c>
      <c r="H8" s="6" t="inlineStr">
        <is>
          <t>Antes del inicio y ejecución</t>
        </is>
      </c>
      <c r="I8" s="6" t="inlineStr">
        <is>
          <t>Grietas de tracción en la corona, surgencias de agua, desplazamiento de hitos &gt; 2 cm.</t>
        </is>
      </c>
      <c r="J8" s="22">
        <f>'ANALISIS CUALITATIVO'!Q8</f>
        <v/>
      </c>
    </row>
    <row r="9" ht="80" customHeight="1">
      <c r="A9" s="22">
        <f>IDENTIFICACION!A9</f>
        <v/>
      </c>
      <c r="B9" s="23">
        <f>IDENTIFICACION!C9</f>
        <v/>
      </c>
      <c r="C9" s="22">
        <f>'ANALISIS CUALITATIVO'!M9</f>
        <v/>
      </c>
      <c r="D9" s="4" t="inlineStr">
        <is>
          <t>Mitigar</t>
        </is>
      </c>
      <c r="E9" s="6" t="inlineStr">
        <is>
          <t>Ejecutar primero los gaviones y la protección de pie en esos sectores; limpieza de alcantarillas y salidas antes del movimiento de tierras; protección temporal con geobolsas.</t>
        </is>
      </c>
      <c r="F9" s="6" t="inlineStr">
        <is>
          <t>Residente / Especialista en geotecnia</t>
        </is>
      </c>
      <c r="G9" s="6" t="inlineStr">
        <is>
          <t>1.08.04 Muros de gavión; 1.05.08 Geobolsas</t>
        </is>
      </c>
      <c r="H9" s="6" t="inlineStr">
        <is>
          <t>Ejecución</t>
        </is>
      </c>
      <c r="I9" s="6" t="inlineStr">
        <is>
          <t>Pérdida de material en el borde después de cada lluvia; socavación &gt; 0.30 m al pie.</t>
        </is>
      </c>
      <c r="J9" s="22">
        <f>'ANALISIS CUALITATIVO'!Q9</f>
        <v/>
      </c>
    </row>
    <row r="10" ht="80" customHeight="1">
      <c r="A10" s="22">
        <f>IDENTIFICACION!A10</f>
        <v/>
      </c>
      <c r="B10" s="23">
        <f>IDENTIFICACION!C10</f>
        <v/>
      </c>
      <c r="C10" s="22">
        <f>'ANALISIS CUALITATIVO'!M10</f>
        <v/>
      </c>
      <c r="D10" s="4" t="inlineStr">
        <is>
          <t>Mitigar</t>
        </is>
      </c>
      <c r="E10" s="6" t="inlineStr">
        <is>
          <t>Acordar con la junta y comisiones de usuarios de riego los turnos y cortes de agua en los frentes; subdrenaje y geotextil; construir primero las alcantarillas de alivio proyectadas.</t>
        </is>
      </c>
      <c r="F10" s="6" t="inlineStr">
        <is>
          <t>Entidad (coordinación) / Contratista (ejecución)</t>
        </is>
      </c>
      <c r="G10" s="6" t="inlineStr">
        <is>
          <t>1.05.06 Mejoramiento de suelos; 1.05.09 Geotextil; 1.05.11 a 1.05.13 Subdrenaje</t>
        </is>
      </c>
      <c r="H10" s="6" t="inlineStr">
        <is>
          <t>Ejecución</t>
        </is>
      </c>
      <c r="I10" s="6" t="inlineStr">
        <is>
          <t>Lámina de agua en los arrozales colindantes; humedad de la subrasante sobre la óptima + 2 %.</t>
        </is>
      </c>
      <c r="J10" s="22">
        <f>'ANALISIS CUALITATIVO'!Q10</f>
        <v/>
      </c>
    </row>
    <row r="11" ht="80" customHeight="1">
      <c r="A11" s="22">
        <f>IDENTIFICACION!A11</f>
        <v/>
      </c>
      <c r="B11" s="23">
        <f>IDENTIFICACION!C11</f>
        <v/>
      </c>
      <c r="C11" s="22">
        <f>'ANALISIS CUALITATIVO'!M11</f>
        <v/>
      </c>
      <c r="D11" s="4" t="inlineStr">
        <is>
          <t>Mitigar</t>
        </is>
      </c>
      <c r="E11" s="6" t="inlineStr">
        <is>
          <t>Completar calicatas y ensayos CBR cada 500 m antes de la convocatoria; definir criterios de reemplazo en el expediente.</t>
        </is>
      </c>
      <c r="F11" s="6" t="inlineStr">
        <is>
          <t>Entidad (expediente) / Supervisor</t>
        </is>
      </c>
      <c r="G11" s="6" t="inlineStr">
        <is>
          <t>1.05.06 Mejoramiento de suelos; 1.05.07 Geomalla</t>
        </is>
      </c>
      <c r="H11" s="6" t="inlineStr">
        <is>
          <t>Antes de la convocatoria</t>
        </is>
      </c>
      <c r="I11" s="6" t="inlineStr">
        <is>
          <t>CBR de campo menor al de diseño en dos sectores consecutivos.</t>
        </is>
      </c>
      <c r="J11" s="22">
        <f>'ANALISIS CUALITATIVO'!Q11</f>
        <v/>
      </c>
    </row>
    <row r="12" ht="80" customHeight="1">
      <c r="A12" s="22">
        <f>IDENTIFICACION!A12</f>
        <v/>
      </c>
      <c r="B12" s="23">
        <f>IDENTIFICACION!C12</f>
        <v/>
      </c>
      <c r="C12" s="22">
        <f>'ANALISIS CUALITATIVO'!M12</f>
        <v/>
      </c>
      <c r="D12" s="4" t="inlineStr">
        <is>
          <t>Evitar</t>
        </is>
      </c>
      <c r="E12" s="6" t="inlineStr">
        <is>
          <t>Antes de convocar: ensayos de calidad y cálculo de potencia, autorización de la municipalidad y de la ANA para extracción en cauce, y una cantera alternativa con su distancia.</t>
        </is>
      </c>
      <c r="F12" s="6" t="inlineStr">
        <is>
          <t>Entidad (DRTC)</t>
        </is>
      </c>
      <c r="G12" s="6" t="inlineStr">
        <is>
          <t>1.04.07, 1.04.08 Cantera; 1.07 Transporte</t>
        </is>
      </c>
      <c r="H12" s="6" t="inlineStr">
        <is>
          <t>Antes de la convocatoria</t>
        </is>
      </c>
      <c r="I12" s="6" t="inlineStr">
        <is>
          <t>Potencia útil menor al 120 % del volumen requerido; observación de la autoridad.</t>
        </is>
      </c>
      <c r="J12" s="22">
        <f>'ANALISIS CUALITATIVO'!Q12</f>
        <v/>
      </c>
    </row>
    <row r="13" ht="80" customHeight="1">
      <c r="A13" s="22">
        <f>IDENTIFICACION!A13</f>
        <v/>
      </c>
      <c r="B13" s="23">
        <f>IDENTIFICACION!C13</f>
        <v/>
      </c>
      <c r="C13" s="22">
        <f>'ANALISIS CUALITATIVO'!M13</f>
        <v/>
      </c>
      <c r="D13" s="4" t="inlineStr">
        <is>
          <t>Evitar</t>
        </is>
      </c>
      <c r="E13" s="6" t="inlineStr">
        <is>
          <t>Tramitar las autorizaciones antes del inicio de obra y entregarlas al contratista con el expediente.</t>
        </is>
      </c>
      <c r="F13" s="6" t="inlineStr">
        <is>
          <t>Entidad (DRTC)</t>
        </is>
      </c>
      <c r="G13" s="6" t="inlineStr">
        <is>
          <t>—</t>
        </is>
      </c>
      <c r="H13" s="6" t="inlineStr">
        <is>
          <t>Antes del inicio</t>
        </is>
      </c>
      <c r="I13" s="6" t="inlineStr">
        <is>
          <t>Autorización no emitida 30 días antes del inicio.</t>
        </is>
      </c>
      <c r="J13" s="22">
        <f>'ANALISIS CUALITATIVO'!Q13</f>
        <v/>
      </c>
    </row>
    <row r="14" ht="80" customHeight="1">
      <c r="A14" s="22">
        <f>IDENTIFICACION!A14</f>
        <v/>
      </c>
      <c r="B14" s="23">
        <f>IDENTIFICACION!C14</f>
        <v/>
      </c>
      <c r="C14" s="22">
        <f>'ANALISIS CUALITATIVO'!M14</f>
        <v/>
      </c>
      <c r="D14" s="4" t="inlineStr">
        <is>
          <t>Evitar</t>
        </is>
      </c>
      <c r="E14" s="6" t="inlineStr">
        <is>
          <t>Catastro de afectaciones por progresiva; actas de libre disponibilidad firmadas; evaluar el PACRI y el saneamiento físico-legal (Ley N.° 30025) antes de la convocatoria.</t>
        </is>
      </c>
      <c r="F14" s="6" t="inlineStr">
        <is>
          <t>Entidad (DRTC) / Municipalidades</t>
        </is>
      </c>
      <c r="G14" s="6" t="inlineStr">
        <is>
          <t>Fuera del presupuesto de obra (gestión de la Entidad)</t>
        </is>
      </c>
      <c r="H14" s="6" t="inlineStr">
        <is>
          <t>Antes de la convocatoria</t>
        </is>
      </c>
      <c r="I14" s="6" t="inlineStr">
        <is>
          <t>Predio sin acta a 60 días de su frente de trabajo.</t>
        </is>
      </c>
      <c r="J14" s="22">
        <f>'ANALISIS CUALITATIVO'!Q14</f>
        <v/>
      </c>
    </row>
    <row r="15" ht="80" customHeight="1">
      <c r="A15" s="22">
        <f>IDENTIFICACION!A15</f>
        <v/>
      </c>
      <c r="B15" s="23">
        <f>IDENTIFICACION!C15</f>
        <v/>
      </c>
      <c r="C15" s="22">
        <f>'ANALISIS CUALITATIVO'!M15</f>
        <v/>
      </c>
      <c r="D15" s="4" t="inlineStr">
        <is>
          <t>Mitigar</t>
        </is>
      </c>
      <c r="E15" s="6" t="inlineStr">
        <is>
          <t>Factibilidad y presupuesto aprobados por la concesionaria eléctrica y las JASS o EPS antes del inicio; cronograma de cortes programados.</t>
        </is>
      </c>
      <c r="F15" s="6" t="inlineStr">
        <is>
          <t>Entidad / Contratista</t>
        </is>
      </c>
      <c r="G15" s="6" t="inlineStr">
        <is>
          <t>1.04.12 Reubicación de postes</t>
        </is>
      </c>
      <c r="H15" s="6" t="inlineStr">
        <is>
          <t>Antes del inicio</t>
        </is>
      </c>
      <c r="I15" s="6" t="inlineStr">
        <is>
          <t>Concesionaria sin respuesta a 30 días.</t>
        </is>
      </c>
      <c r="J15" s="22">
        <f>'ANALISIS CUALITATIVO'!Q15</f>
        <v/>
      </c>
    </row>
    <row r="16" ht="80" customHeight="1">
      <c r="A16" s="22">
        <f>IDENTIFICACION!A16</f>
        <v/>
      </c>
      <c r="B16" s="23">
        <f>IDENTIFICACION!C16</f>
        <v/>
      </c>
      <c r="C16" s="22">
        <f>'ANALISIS CUALITATIVO'!M16</f>
        <v/>
      </c>
      <c r="D16" s="4" t="inlineStr">
        <is>
          <t>Mitigar</t>
        </is>
      </c>
      <c r="E16" s="6" t="inlineStr">
        <is>
          <t>Plan de trabajo con la comisión de regantes; ejecutar cada cruce fuera de la campaña de riego o con derivación temporal.</t>
        </is>
      </c>
      <c r="F16" s="6" t="inlineStr">
        <is>
          <t>Entidad (relacionamiento) / Contratista</t>
        </is>
      </c>
      <c r="G16" s="6" t="inlineStr">
        <is>
          <t>1.08.01 Alcantarillas TMC; 1.11.08 Plan de gestión social</t>
        </is>
      </c>
      <c r="H16" s="6" t="inlineStr">
        <is>
          <t>Ejecución</t>
        </is>
      </c>
      <c r="I16" s="6" t="inlineStr">
        <is>
          <t>Queja formal de la comisión de regantes; caudal cortado &gt; 24 h.</t>
        </is>
      </c>
      <c r="J16" s="22">
        <f>'ANALISIS CUALITATIVO'!Q16</f>
        <v/>
      </c>
    </row>
    <row r="17" ht="80" customHeight="1">
      <c r="A17" s="22">
        <f>IDENTIFICACION!A17</f>
        <v/>
      </c>
      <c r="B17" s="23">
        <f>IDENTIFICACION!C17</f>
        <v/>
      </c>
      <c r="C17" s="22">
        <f>'ANALISIS CUALITATIVO'!M17</f>
        <v/>
      </c>
      <c r="D17" s="4" t="inlineStr">
        <is>
          <t>Mitigar</t>
        </is>
      </c>
      <c r="E17" s="6" t="inlineStr">
        <is>
          <t>Relacionamiento comunitario durante todo el plazo, oficina de atención de quejas, contratación de mano de obra local, riego para polvo en zonas pobladas.</t>
        </is>
      </c>
      <c r="F17" s="6" t="inlineStr">
        <is>
          <t>Entidad / Contratista (especialista social)</t>
        </is>
      </c>
      <c r="G17" s="6" t="inlineStr">
        <is>
          <t>1.11.08 Plan de gestión social; 1.11.04 Riego para polvo</t>
        </is>
      </c>
      <c r="H17" s="6" t="inlineStr">
        <is>
          <t>Antes del inicio y ejecución</t>
        </is>
      </c>
      <c r="I17" s="6" t="inlineStr">
        <is>
          <t>Actas de reclamo sin respuesta; convocatoria a paro.</t>
        </is>
      </c>
      <c r="J17" s="22">
        <f>'ANALISIS CUALITATIVO'!Q17</f>
        <v/>
      </c>
    </row>
    <row r="18" ht="80" customHeight="1">
      <c r="A18" s="22">
        <f>IDENTIFICACION!A18</f>
        <v/>
      </c>
      <c r="B18" s="23">
        <f>IDENTIFICACION!C18</f>
        <v/>
      </c>
      <c r="C18" s="22">
        <f>'ANALISIS CUALITATIVO'!M18</f>
        <v/>
      </c>
      <c r="D18" s="4" t="inlineStr">
        <is>
          <t>Evitar</t>
        </is>
      </c>
      <c r="E18" s="6" t="inlineStr">
        <is>
          <t>Tramitar ante el Ministerio de Cultura el instrumento que corresponda (Reglamento de Intervenciones Arqueológicas, D.S. N.° 011-2022-MC) antes del inicio, incluidas las áreas auxiliares.</t>
        </is>
      </c>
      <c r="F18" s="6" t="inlineStr">
        <is>
          <t>Entidad (DRTC)</t>
        </is>
      </c>
      <c r="G18" s="6" t="inlineStr">
        <is>
          <t>1.12.01 Plan y monitoreo arqueológico</t>
        </is>
      </c>
      <c r="H18" s="6" t="inlineStr">
        <is>
          <t>Antes del inicio</t>
        </is>
      </c>
      <c r="I18" s="6" t="inlineStr">
        <is>
          <t>Hallazgo fortuito registrado por el arqueólogo.</t>
        </is>
      </c>
      <c r="J18" s="22">
        <f>'ANALISIS CUALITATIVO'!Q18</f>
        <v/>
      </c>
    </row>
    <row r="19" ht="80" customHeight="1">
      <c r="A19" s="22">
        <f>IDENTIFICACION!A19</f>
        <v/>
      </c>
      <c r="B19" s="23">
        <f>IDENTIFICACION!C19</f>
        <v/>
      </c>
      <c r="C19" s="22">
        <f>'ANALISIS CUALITATIVO'!M19</f>
        <v/>
      </c>
      <c r="D19" s="4" t="inlineStr">
        <is>
          <t>Evitar</t>
        </is>
      </c>
      <c r="E19" s="6" t="inlineStr">
        <is>
          <t>Obtener la certificación ambiental de la autoridad competente del SEIA (Ley N.° 27446) antes de convocar; compatibilizar el PMA con el presupuesto.</t>
        </is>
      </c>
      <c r="F19" s="6" t="inlineStr">
        <is>
          <t>Entidad (DRTC)</t>
        </is>
      </c>
      <c r="G19" s="6" t="inlineStr">
        <is>
          <t>1.11 Plan de manejo ambiental</t>
        </is>
      </c>
      <c r="H19" s="6" t="inlineStr">
        <is>
          <t>Antes de la convocatoria</t>
        </is>
      </c>
      <c r="I19" s="6" t="inlineStr">
        <is>
          <t>Observaciones de la autoridad sin levantar.</t>
        </is>
      </c>
      <c r="J19" s="22">
        <f>'ANALISIS CUALITATIVO'!Q19</f>
        <v/>
      </c>
    </row>
    <row r="20" ht="80" customHeight="1">
      <c r="A20" s="22">
        <f>IDENTIFICACION!A20</f>
        <v/>
      </c>
      <c r="B20" s="23">
        <f>IDENTIFICACION!C20</f>
        <v/>
      </c>
      <c r="C20" s="22">
        <f>'ANALISIS CUALITATIVO'!M20</f>
        <v/>
      </c>
      <c r="D20" s="4" t="inlineStr">
        <is>
          <t>Evitar</t>
        </is>
      </c>
      <c r="E20" s="6" t="inlineStr">
        <is>
          <t>Revisión integral y compatibilización del expediente antes de convocar; en solo construcción, el contratista revisa el expediente e informa los riesgos al supervisor.</t>
        </is>
      </c>
      <c r="F20" s="6" t="inlineStr">
        <is>
          <t>Entidad (DRTC) / Proyectista</t>
        </is>
      </c>
      <c r="G20" s="6" t="inlineStr">
        <is>
          <t>Expediente técnico</t>
        </is>
      </c>
      <c r="H20" s="6" t="inlineStr">
        <is>
          <t>Antes de la convocatoria</t>
        </is>
      </c>
      <c r="I20" s="6" t="inlineStr">
        <is>
          <t>Consulta de obra que revela incompatibilidad.</t>
        </is>
      </c>
      <c r="J20" s="22">
        <f>'ANALISIS CUALITATIVO'!Q20</f>
        <v/>
      </c>
    </row>
    <row r="21" ht="80" customHeight="1">
      <c r="A21" s="22">
        <f>IDENTIFICACION!A21</f>
        <v/>
      </c>
      <c r="B21" s="23">
        <f>IDENTIFICACION!C21</f>
        <v/>
      </c>
      <c r="C21" s="22">
        <f>'ANALISIS CUALITATIVO'!M21</f>
        <v/>
      </c>
      <c r="D21" s="4" t="inlineStr">
        <is>
          <t>Aceptar / Mitigar</t>
        </is>
      </c>
      <c r="E21" s="6" t="inlineStr">
        <is>
          <t>Reajuste por fórmulas polinómicas según el reglamento; previsión presupuestal multianual; abastecimiento anticipado de asfalto.</t>
        </is>
      </c>
      <c r="F21" s="6" t="inlineStr">
        <is>
          <t>Entidad (DRTC) / Oficina de Presupuesto</t>
        </is>
      </c>
      <c r="G21" s="6" t="inlineStr">
        <is>
          <t>Reajustes de precios</t>
        </is>
      </c>
      <c r="H21" s="6" t="inlineStr">
        <is>
          <t>Ejecución</t>
        </is>
      </c>
      <c r="I21" s="6" t="inlineStr">
        <is>
          <t>Índices unificados INEI con alza &gt; 5 % en el trimestre.</t>
        </is>
      </c>
      <c r="J21" s="22">
        <f>'ANALISIS CUALITATIVO'!Q21</f>
        <v/>
      </c>
    </row>
    <row r="22" ht="80" customHeight="1">
      <c r="A22" s="22">
        <f>IDENTIFICACION!A22</f>
        <v/>
      </c>
      <c r="B22" s="23">
        <f>IDENTIFICACION!C22</f>
        <v/>
      </c>
      <c r="C22" s="22">
        <f>'ANALISIS CUALITATIVO'!M22</f>
        <v/>
      </c>
      <c r="D22" s="4" t="inlineStr">
        <is>
          <t>Mitigar</t>
        </is>
      </c>
      <c r="E22" s="6" t="inlineStr">
        <is>
          <t>Plan de compras en el primer mes; fabricación de vigas con inspección en taller; stock mínimo de asfalto y TMC.</t>
        </is>
      </c>
      <c r="F22" s="6" t="inlineStr">
        <is>
          <t>Contratista (logística)</t>
        </is>
      </c>
      <c r="G22" s="6" t="inlineStr">
        <is>
          <t>Costos del contratista</t>
        </is>
      </c>
      <c r="H22" s="6" t="inlineStr">
        <is>
          <t>Inicio y ejecución</t>
        </is>
      </c>
      <c r="I22" s="6" t="inlineStr">
        <is>
          <t>Orden de compra no colocada en la fecha del plan.</t>
        </is>
      </c>
      <c r="J22" s="22">
        <f>'ANALISIS CUALITATIVO'!Q22</f>
        <v/>
      </c>
    </row>
    <row r="23" ht="80" customHeight="1">
      <c r="A23" s="22">
        <f>IDENTIFICACION!A23</f>
        <v/>
      </c>
      <c r="B23" s="23">
        <f>IDENTIFICACION!C23</f>
        <v/>
      </c>
      <c r="C23" s="22">
        <f>'ANALISIS CUALITATIVO'!M23</f>
        <v/>
      </c>
      <c r="D23" s="4" t="inlineStr">
        <is>
          <t>Mitigar</t>
        </is>
      </c>
      <c r="E23" s="6" t="inlineStr">
        <is>
          <t>Equipo de respaldo, mantenimiento preventivo y repuestos críticos en obra.</t>
        </is>
      </c>
      <c r="F23" s="6" t="inlineStr">
        <is>
          <t>Contratista</t>
        </is>
      </c>
      <c r="G23" s="6" t="inlineStr">
        <is>
          <t>Costos del contratista</t>
        </is>
      </c>
      <c r="H23" s="6" t="inlineStr">
        <is>
          <t>Ejecución</t>
        </is>
      </c>
      <c r="I23" s="6" t="inlineStr">
        <is>
          <t>Disponibilidad mecánica &lt; 85 %.</t>
        </is>
      </c>
      <c r="J23" s="22">
        <f>'ANALISIS CUALITATIVO'!Q23</f>
        <v/>
      </c>
    </row>
    <row r="24" ht="80" customHeight="1">
      <c r="A24" s="22">
        <f>IDENTIFICACION!A24</f>
        <v/>
      </c>
      <c r="B24" s="23">
        <f>IDENTIFICACION!C24</f>
        <v/>
      </c>
      <c r="C24" s="22">
        <f>'ANALISIS CUALITATIVO'!M24</f>
        <v/>
      </c>
      <c r="D24" s="4" t="inlineStr">
        <is>
          <t>Mitigar / Transferir</t>
        </is>
      </c>
      <c r="E24" s="6" t="inlineStr">
        <is>
          <t>Plan de manejo de tránsito aprobado, controladores, señalización transitoria, horarios; seguro de responsabilidad civil y SCTR.</t>
        </is>
      </c>
      <c r="F24" s="6" t="inlineStr">
        <is>
          <t>Contratista (prevencionista)</t>
        </is>
      </c>
      <c r="G24" s="6" t="inlineStr">
        <is>
          <t>1.04.02 Mantenimiento de tránsito; 1.02.03 Señalización transitoria</t>
        </is>
      </c>
      <c r="H24" s="6" t="inlineStr">
        <is>
          <t>Ejecución</t>
        </is>
      </c>
      <c r="I24" s="6" t="inlineStr">
        <is>
          <t>Incidente o casi accidente registrado.</t>
        </is>
      </c>
      <c r="J24" s="22">
        <f>'ANALISIS CUALITATIVO'!Q24</f>
        <v/>
      </c>
    </row>
    <row r="25" ht="80" customHeight="1">
      <c r="A25" s="22">
        <f>IDENTIFICACION!A25</f>
        <v/>
      </c>
      <c r="B25" s="23">
        <f>IDENTIFICACION!C25</f>
        <v/>
      </c>
      <c r="C25" s="22">
        <f>'ANALISIS CUALITATIVO'!M25</f>
        <v/>
      </c>
      <c r="D25" s="4" t="inlineStr">
        <is>
          <t>Mitigar / Transferir</t>
        </is>
      </c>
      <c r="E25" s="6" t="inlineStr">
        <is>
          <t>Plan de seguridad y salud en el trabajo (Ley N.° 29783 y D.S. N.° 011-2019-TR), procedimientos de izaje, permisos de trabajo de alto riesgo, SCTR.</t>
        </is>
      </c>
      <c r="F25" s="6" t="inlineStr">
        <is>
          <t>Contratista (prevencionista)</t>
        </is>
      </c>
      <c r="G25" s="6" t="inlineStr">
        <is>
          <t>1.02 Seguridad y salud ocupacional</t>
        </is>
      </c>
      <c r="H25" s="6" t="inlineStr">
        <is>
          <t>Ejecución</t>
        </is>
      </c>
      <c r="I25" s="6" t="inlineStr">
        <is>
          <t>Acto o condición subestándar repetida.</t>
        </is>
      </c>
      <c r="J25" s="22">
        <f>'ANALISIS CUALITATIVO'!Q25</f>
        <v/>
      </c>
    </row>
    <row r="26" ht="80" customHeight="1">
      <c r="A26" s="22">
        <f>IDENTIFICACION!A26</f>
        <v/>
      </c>
      <c r="B26" s="23">
        <f>IDENTIFICACION!C26</f>
        <v/>
      </c>
      <c r="C26" s="22">
        <f>'ANALISIS CUALITATIVO'!M26</f>
        <v/>
      </c>
      <c r="D26" s="4" t="inlineStr">
        <is>
          <t>Aceptar / Transferir</t>
        </is>
      </c>
      <c r="E26" s="6" t="inlineStr">
        <is>
          <t>Póliza CAR; puentes diseñados con el Manual de Puentes del MTC; plan de respuesta ante emergencias.</t>
        </is>
      </c>
      <c r="F26" s="6" t="inlineStr">
        <is>
          <t>Entidad / Contratista</t>
        </is>
      </c>
      <c r="G26" s="6" t="inlineStr">
        <is>
          <t>Póliza CAR; 1.02.05 Recursos para emergencias</t>
        </is>
      </c>
      <c r="H26" s="6" t="inlineStr">
        <is>
          <t>Ejecución</t>
        </is>
      </c>
      <c r="I26" s="6" t="inlineStr">
        <is>
          <t>Reporte del IGP de sismo sentido en la zona.</t>
        </is>
      </c>
      <c r="J26" s="22">
        <f>'ANALISIS CUALITATIVO'!Q26</f>
        <v/>
      </c>
    </row>
    <row r="27" ht="80" customHeight="1">
      <c r="A27" s="22">
        <f>IDENTIFICACION!A27</f>
        <v/>
      </c>
      <c r="B27" s="23">
        <f>IDENTIFICACION!C27</f>
        <v/>
      </c>
      <c r="C27" s="22">
        <f>'ANALISIS CUALITATIVO'!M27</f>
        <v/>
      </c>
      <c r="D27" s="4" t="inlineStr">
        <is>
          <t>Mitigar</t>
        </is>
      </c>
      <c r="E27" s="6" t="inlineStr">
        <is>
          <t>Certificación y previsión presupuestal multianual antes de convocar; cronograma de desembolsos alineado al calendario de avance.</t>
        </is>
      </c>
      <c r="F27" s="6" t="inlineStr">
        <is>
          <t>Entidad (Gerencia de Presupuesto)</t>
        </is>
      </c>
      <c r="G27" s="6" t="inlineStr">
        <is>
          <t>—</t>
        </is>
      </c>
      <c r="H27" s="6" t="inlineStr">
        <is>
          <t>Antes de la convocatoria y ejecución</t>
        </is>
      </c>
      <c r="I27" s="6" t="inlineStr">
        <is>
          <t>Valorización impaga a 30 días.</t>
        </is>
      </c>
      <c r="J27" s="22">
        <f>'ANALISIS CUALITATIVO'!Q27</f>
        <v/>
      </c>
    </row>
    <row r="28" ht="80" customHeight="1">
      <c r="A28" s="22">
        <f>IDENTIFICACION!A28</f>
        <v/>
      </c>
      <c r="B28" s="23">
        <f>IDENTIFICACION!C28</f>
        <v/>
      </c>
      <c r="C28" s="22">
        <f>'ANALISIS CUALITATIVO'!M28</f>
        <v/>
      </c>
      <c r="D28" s="4" t="inlineStr">
        <is>
          <t>Mitigar</t>
        </is>
      </c>
      <c r="E28" s="6" t="inlineStr">
        <is>
          <t>Comité de gestión de riesgos; plazos internos de respuesta; supervisión contratada antes del inicio; junta de prevención y resolución de disputas cuando corresponda.</t>
        </is>
      </c>
      <c r="F28" s="6" t="inlineStr">
        <is>
          <t>Entidad (DRTC)</t>
        </is>
      </c>
      <c r="G28" s="6" t="inlineStr">
        <is>
          <t>—</t>
        </is>
      </c>
      <c r="H28" s="6" t="inlineStr">
        <is>
          <t>Ejecución</t>
        </is>
      </c>
      <c r="I28" s="6" t="inlineStr">
        <is>
          <t>Consulta sin respuesta en el plazo del reglamento.</t>
        </is>
      </c>
      <c r="J28" s="22">
        <f>'ANALISIS CUALITATIVO'!Q28</f>
        <v/>
      </c>
    </row>
    <row r="29" ht="80" customHeight="1">
      <c r="A29" s="22">
        <f>IDENTIFICACION!A29</f>
        <v/>
      </c>
      <c r="B29" s="23">
        <f>IDENTIFICACION!C29</f>
        <v/>
      </c>
      <c r="C29" s="22">
        <f>'ANALISIS CUALITATIVO'!M29</f>
        <v/>
      </c>
      <c r="D29" s="4" t="inlineStr">
        <is>
          <t>Evitar</t>
        </is>
      </c>
      <c r="E29" s="6" t="inlineStr">
        <is>
          <t>Identificar DME con capacidad suficiente (unas 6 a 7.5 ha con 4 a 5 m de altura), con autorización del propietario y ubicación aprobada en el estudio ambiental.</t>
        </is>
      </c>
      <c r="F29" s="6" t="inlineStr">
        <is>
          <t>Entidad (expediente) / Especialista ambiental</t>
        </is>
      </c>
      <c r="G29" s="6" t="inlineStr">
        <is>
          <t>1.04.03, 1.04.04, 1.11.01 DME</t>
        </is>
      </c>
      <c r="H29" s="6" t="inlineStr">
        <is>
          <t>Antes de la convocatoria</t>
        </is>
      </c>
      <c r="I29" s="6" t="inlineStr">
        <is>
          <t>DME al 70 % de su capacidad.</t>
        </is>
      </c>
      <c r="J29" s="22">
        <f>'ANALISIS CUALITATIVO'!Q29</f>
        <v/>
      </c>
    </row>
    <row r="30" ht="80" customHeight="1">
      <c r="A30" s="22">
        <f>IDENTIFICACION!A30</f>
        <v/>
      </c>
      <c r="B30" s="23">
        <f>IDENTIFICACION!C30</f>
        <v/>
      </c>
      <c r="C30" s="22">
        <f>'ANALISIS CUALITATIVO'!M30</f>
        <v/>
      </c>
      <c r="D30" s="4" t="inlineStr">
        <is>
          <t>Mitigar</t>
        </is>
      </c>
      <c r="E30" s="6" t="inlineStr">
        <is>
          <t>Barreras de sedimentos, kits antiderrame, impermeabilización de la zona de combustibles, monitoreo de agua por puente.</t>
        </is>
      </c>
      <c r="F30" s="6" t="inlineStr">
        <is>
          <t>Contratista (especialista ambiental)</t>
        </is>
      </c>
      <c r="G30" s="6" t="inlineStr">
        <is>
          <t>1.11 Plan de manejo ambiental</t>
        </is>
      </c>
      <c r="H30" s="6" t="inlineStr">
        <is>
          <t>Ejecución</t>
        </is>
      </c>
      <c r="I30" s="6" t="inlineStr">
        <is>
          <t>Turbidez aguas abajo mayor que aguas arriba.</t>
        </is>
      </c>
      <c r="J30" s="22">
        <f>'ANALISIS CUALITATIVO'!Q30</f>
        <v/>
      </c>
    </row>
    <row r="31" ht="80" customHeight="1">
      <c r="A31" s="22">
        <f>IDENTIFICACION!A31</f>
        <v/>
      </c>
      <c r="B31" s="23">
        <f>IDENTIFICACION!C31</f>
        <v/>
      </c>
      <c r="C31" s="22">
        <f>'ANALISIS CUALITATIVO'!M31</f>
        <v/>
      </c>
      <c r="D31" s="4" t="inlineStr">
        <is>
          <t>Mitigar</t>
        </is>
      </c>
      <c r="E31" s="6" t="inlineStr">
        <is>
          <t>Desvíos con badén o puente modular provisional en los puentes de 40 m; demoler el puente existente solo con el desvío habilitado.</t>
        </is>
      </c>
      <c r="F31" s="6" t="inlineStr">
        <is>
          <t>Contratista / Supervisor</t>
        </is>
      </c>
      <c r="G31" s="6" t="inlineStr">
        <is>
          <t>1.04.11 Desvío temporal; desvíos de cada puente</t>
        </is>
      </c>
      <c r="H31" s="6" t="inlineStr">
        <is>
          <t>Ejecución de puentes</t>
        </is>
      </c>
      <c r="I31" s="6" t="inlineStr">
        <is>
          <t>Desvío intransitable después de una lluvia.</t>
        </is>
      </c>
      <c r="J31" s="22">
        <f>'ANALISIS CUALITATIVO'!Q31</f>
        <v/>
      </c>
    </row>
    <row r="32" ht="80" customHeight="1">
      <c r="A32" s="22">
        <f>IDENTIFICACION!A32</f>
        <v/>
      </c>
      <c r="B32" s="23">
        <f>IDENTIFICACION!C32</f>
        <v/>
      </c>
      <c r="C32" s="22">
        <f>'ANALISIS CUALITATIVO'!M32</f>
        <v/>
      </c>
      <c r="D32" s="4" t="inlineStr">
        <is>
          <t>Mitigar</t>
        </is>
      </c>
      <c r="E32" s="6" t="inlineStr">
        <is>
          <t>Plan de calidad, tramo de prueba, laboratorio en obra, no colocar mezcla con lluvia ni sobre base húmeda.</t>
        </is>
      </c>
      <c r="F32" s="6" t="inlineStr">
        <is>
          <t>Contratista / Supervisor</t>
        </is>
      </c>
      <c r="G32" s="6" t="inlineStr">
        <is>
          <t>Costos del contratista</t>
        </is>
      </c>
      <c r="H32" s="6" t="inlineStr">
        <is>
          <t>Ejecución</t>
        </is>
      </c>
      <c r="I32" s="6" t="inlineStr">
        <is>
          <t>Ensayo fuera de especificación.</t>
        </is>
      </c>
      <c r="J32" s="22">
        <f>'ANALISIS CUALITATIVO'!Q32</f>
        <v/>
      </c>
    </row>
    <row r="33" ht="80" customHeight="1">
      <c r="A33" s="22">
        <f>IDENTIFICACION!A33</f>
        <v/>
      </c>
      <c r="B33" s="23">
        <f>IDENTIFICACION!C33</f>
        <v/>
      </c>
      <c r="C33" s="22">
        <f>'ANALISIS CUALITATIVO'!M33</f>
        <v/>
      </c>
      <c r="D33" s="4" t="inlineStr">
        <is>
          <t>Mitigar</t>
        </is>
      </c>
      <c r="E33" s="6" t="inlineStr">
        <is>
          <t>Plan de salud, control de vectores en campamento, repelentes y coordinación con el establecimiento de salud de Tingo de Ponasa.</t>
        </is>
      </c>
      <c r="F33" s="6" t="inlineStr">
        <is>
          <t>Contratista</t>
        </is>
      </c>
      <c r="G33" s="6" t="inlineStr">
        <is>
          <t>1.02 Seguridad y salud</t>
        </is>
      </c>
      <c r="H33" s="6" t="inlineStr">
        <is>
          <t>Ejecución</t>
        </is>
      </c>
      <c r="I33" s="6" t="inlineStr">
        <is>
          <t>Casos febriles en el personal.</t>
        </is>
      </c>
      <c r="J33" s="22">
        <f>'ANALISIS CUALITATIVO'!Q33</f>
        <v/>
      </c>
    </row>
    <row r="34" ht="80" customHeight="1">
      <c r="A34" s="22">
        <f>IDENTIFICACION!A34</f>
        <v/>
      </c>
      <c r="B34" s="23">
        <f>IDENTIFICACION!C34</f>
        <v/>
      </c>
      <c r="C34" s="22">
        <f>'ANALISIS CUALITATIVO'!M34</f>
        <v/>
      </c>
      <c r="D34" s="4" t="inlineStr">
        <is>
          <t>Mitigar</t>
        </is>
      </c>
      <c r="E34" s="6" t="inlineStr">
        <is>
          <t>Registro de trabajadores, contratación local transparente, coordinación con la Policía Nacional y la autoridad de trabajo.</t>
        </is>
      </c>
      <c r="F34" s="6" t="inlineStr">
        <is>
          <t>Contratista</t>
        </is>
      </c>
      <c r="G34" s="6" t="inlineStr">
        <is>
          <t>1.11.08.03 Contratación de mano de obra</t>
        </is>
      </c>
      <c r="H34" s="6" t="inlineStr">
        <is>
          <t>Ejecución</t>
        </is>
      </c>
      <c r="I34" s="6" t="inlineStr">
        <is>
          <t>Presencia de grupos ajenos en el frente.</t>
        </is>
      </c>
      <c r="J34" s="22">
        <f>'ANALISIS CUALITATIVO'!Q34</f>
        <v/>
      </c>
    </row>
    <row r="35" ht="80" customHeight="1">
      <c r="A35" s="22">
        <f>IDENTIFICACION!A35</f>
        <v/>
      </c>
      <c r="B35" s="23">
        <f>IDENTIFICACION!C35</f>
        <v/>
      </c>
      <c r="C35" s="22">
        <f>'ANALISIS CUALITATIVO'!M35</f>
        <v/>
      </c>
      <c r="D35" s="4" t="inlineStr">
        <is>
          <t>Mitigar / Transferir</t>
        </is>
      </c>
      <c r="E35" s="6" t="inlineStr">
        <is>
          <t>Vigilancia, inventario semanal, seguro de equipos.</t>
        </is>
      </c>
      <c r="F35" s="6" t="inlineStr">
        <is>
          <t>Contratista</t>
        </is>
      </c>
      <c r="G35" s="6" t="inlineStr">
        <is>
          <t>1.01.01 Campamento y almacenes</t>
        </is>
      </c>
      <c r="H35" s="6" t="inlineStr">
        <is>
          <t>Ejecución</t>
        </is>
      </c>
      <c r="I35" s="6" t="inlineStr">
        <is>
          <t>Faltante en inventario.</t>
        </is>
      </c>
      <c r="J35" s="22">
        <f>'ANALISIS CUALITATIVO'!Q35</f>
        <v/>
      </c>
    </row>
    <row r="36" ht="80" customHeight="1">
      <c r="A36" s="22">
        <f>IDENTIFICACION!A36</f>
        <v/>
      </c>
      <c r="B36" s="23">
        <f>IDENTIFICACION!C36</f>
        <v/>
      </c>
      <c r="C36" s="22">
        <f>'ANALISIS CUALITATIVO'!M36</f>
        <v/>
      </c>
      <c r="D36" s="4" t="inlineStr">
        <is>
          <t>Aceptar</t>
        </is>
      </c>
      <c r="E36" s="6" t="inlineStr">
        <is>
          <t>Coordinación con las municipalidades y los agricultores; extintores en frentes.</t>
        </is>
      </c>
      <c r="F36" s="6" t="inlineStr">
        <is>
          <t>Contratista</t>
        </is>
      </c>
      <c r="G36" s="6" t="inlineStr">
        <is>
          <t>—</t>
        </is>
      </c>
      <c r="H36" s="6" t="inlineStr">
        <is>
          <t>Estiaje</t>
        </is>
      </c>
      <c r="I36" s="6" t="inlineStr">
        <is>
          <t>Focos de quema cerca de la vía.</t>
        </is>
      </c>
      <c r="J36" s="22">
        <f>'ANALISIS CUALITATIVO'!Q36</f>
        <v/>
      </c>
    </row>
    <row r="37" ht="80" customHeight="1">
      <c r="A37" s="22">
        <f>IDENTIFICACION!A37</f>
        <v/>
      </c>
      <c r="B37" s="23">
        <f>IDENTIFICACION!C37</f>
        <v/>
      </c>
      <c r="C37" s="22">
        <f>'ANALISIS CUALITATIVO'!M37</f>
        <v/>
      </c>
      <c r="D37" s="4" t="inlineStr">
        <is>
          <t>Evitar</t>
        </is>
      </c>
      <c r="E37" s="6" t="inlineStr">
        <is>
          <t>Evaluación de la capacidad de carga antes del inicio; prohibir el paso de equipo con cargas superiores; transportar el equipo pesado por desvío o vado.</t>
        </is>
      </c>
      <c r="F37" s="6" t="inlineStr">
        <is>
          <t>Contratista / Supervisor</t>
        </is>
      </c>
      <c r="G37" s="6" t="inlineStr">
        <is>
          <t>1.04.02 Mantenimiento de tránsito</t>
        </is>
      </c>
      <c r="H37" s="6" t="inlineStr">
        <is>
          <t>Inicio y ejecución</t>
        </is>
      </c>
      <c r="I37" s="6" t="inlineStr">
        <is>
          <t>Fisuras o deflexión visible en el tablero.</t>
        </is>
      </c>
      <c r="J37" s="22">
        <f>'ANALISIS CUALITATIVO'!Q37</f>
        <v/>
      </c>
    </row>
    <row r="38" ht="80" customHeight="1">
      <c r="A38" s="22">
        <f>IDENTIFICACION!A38</f>
        <v/>
      </c>
      <c r="B38" s="23">
        <f>IDENTIFICACION!C38</f>
        <v/>
      </c>
      <c r="C38" s="22">
        <f>'ANALISIS CUALITATIVO'!M38</f>
        <v/>
      </c>
      <c r="D38" s="4" t="inlineStr">
        <is>
          <t>Evitar</t>
        </is>
      </c>
      <c r="E38" s="6" t="inlineStr">
        <is>
          <t>Verificar por puente el estudio hidrológico, hidráulico, de socavación y geotécnico (Manual de Puentes del MTC) antes de convocar.</t>
        </is>
      </c>
      <c r="F38" s="6" t="inlineStr">
        <is>
          <t>Entidad / Proyectista</t>
        </is>
      </c>
      <c r="G38" s="6" t="inlineStr">
        <is>
          <t>1.10 Puentes</t>
        </is>
      </c>
      <c r="H38" s="6" t="inlineStr">
        <is>
          <t>Antes de la convocatoria</t>
        </is>
      </c>
      <c r="I38" s="6" t="inlineStr">
        <is>
          <t>Perforación con estrato de apoyo más profundo que el de diseño.</t>
        </is>
      </c>
      <c r="J38" s="22">
        <f>'ANALISIS CUALITATIVO'!Q38</f>
        <v/>
      </c>
    </row>
  </sheetData>
  <conditionalFormatting sqref="C5:C38">
    <cfRule type="cellIs" priority="1" operator="equal" dxfId="0">
      <formula>"ALTO"</formula>
    </cfRule>
    <cfRule type="cellIs" priority="2" operator="equal" dxfId="1">
      <formula>"MODERADO"</formula>
    </cfRule>
    <cfRule type="cellIs" priority="3" operator="equal" dxfId="2">
      <formula>"BAJO"</formula>
    </cfRule>
  </conditionalFormatting>
  <conditionalFormatting sqref="J5:J38">
    <cfRule type="cellIs" priority="4" operator="equal" dxfId="0">
      <formula>"ALTO"</formula>
    </cfRule>
    <cfRule type="cellIs" priority="5" operator="equal" dxfId="1">
      <formula>"MODERADO"</formula>
    </cfRule>
    <cfRule type="cellIs" priority="6" operator="equal" dxfId="2">
      <formula>"BAJO"</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D42"/>
  <sheetViews>
    <sheetView showGridLines="0" workbookViewId="0">
      <selection activeCell="A1" sqref="A1"/>
    </sheetView>
  </sheetViews>
  <sheetFormatPr baseColWidth="8" defaultRowHeight="15"/>
  <cols>
    <col width="7" customWidth="1" min="1" max="1"/>
    <col width="44" customWidth="1" min="2" max="2"/>
    <col width="14" customWidth="1" min="3" max="3"/>
    <col width="80" customWidth="1" min="4" max="4"/>
  </cols>
  <sheetData>
    <row r="1">
      <c r="A1" s="1" t="inlineStr">
        <is>
          <t>ASIGNACIÓN DE RIESGOS ENTRE LAS PARTES</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0" customHeight="1">
      <c r="A4" s="3" t="inlineStr">
        <is>
          <t>COD.</t>
        </is>
      </c>
      <c r="B4" s="3" t="inlineStr">
        <is>
          <t>RIESGO</t>
        </is>
      </c>
      <c r="C4" s="3" t="inlineStr">
        <is>
          <t>ASIGNADO A</t>
        </is>
      </c>
      <c r="D4" s="3" t="inlineStr">
        <is>
          <t>CRITERIO (se asigna a la parte que mejor puede gestionarlo y mitigarlo)</t>
        </is>
      </c>
    </row>
    <row r="5" ht="40" customHeight="1">
      <c r="A5" s="22">
        <f>IDENTIFICACION!A5</f>
        <v/>
      </c>
      <c r="B5" s="23">
        <f>IDENTIFICACION!C5</f>
        <v/>
      </c>
      <c r="C5" s="22">
        <f>'ANALISIS CUANTITATIVO'!C5</f>
        <v/>
      </c>
      <c r="D5" s="6" t="inlineStr">
        <is>
          <t>Depende de la planificación, los métodos, los recursos y la seguridad de la obra, que controla el contratista; se cubre con sus gastos generales, sus pólizas y su programación.</t>
        </is>
      </c>
    </row>
    <row r="6" ht="40" customHeight="1">
      <c r="A6" s="22">
        <f>IDENTIFICACION!A6</f>
        <v/>
      </c>
      <c r="B6" s="23">
        <f>IDENTIFICACION!C6</f>
        <v/>
      </c>
      <c r="C6" s="22">
        <f>'ANALISIS CUANTITATIVO'!C6</f>
        <v/>
      </c>
      <c r="D6" s="6" t="inlineStr">
        <is>
          <t>Depende de decisiones, permisos, predios, financiamiento o del contenido del expediente técnico, que controla la Entidad; si ocurre, procede la modificación contractual o la ampliación de plazo.</t>
        </is>
      </c>
    </row>
    <row r="7" ht="40" customHeight="1">
      <c r="A7" s="22">
        <f>IDENTIFICACION!A7</f>
        <v/>
      </c>
      <c r="B7" s="23">
        <f>IDENTIFICACION!C7</f>
        <v/>
      </c>
      <c r="C7" s="22">
        <f>'ANALISIS CUANTITATIVO'!C7</f>
        <v/>
      </c>
      <c r="D7" s="6" t="inlineStr">
        <is>
          <t>Depende de la planificación, los métodos, los recursos y la seguridad de la obra, que controla el contratista; se cubre con sus gastos generales, sus pólizas y su programación.</t>
        </is>
      </c>
    </row>
    <row r="8" ht="40" customHeight="1">
      <c r="A8" s="22">
        <f>IDENTIFICACION!A8</f>
        <v/>
      </c>
      <c r="B8" s="23">
        <f>IDENTIFICACION!C8</f>
        <v/>
      </c>
      <c r="C8" s="22">
        <f>'ANALISIS CUANTITATIVO'!C8</f>
        <v/>
      </c>
      <c r="D8" s="6" t="inlineStr">
        <is>
          <t>La causa tiene una parte de diseño o gestión de la Entidad y otra de ejecución del contratista; se reparte según la causa que se compruebe en obra (en el análisis se toma 50 %).</t>
        </is>
      </c>
    </row>
    <row r="9" ht="40" customHeight="1">
      <c r="A9" s="22">
        <f>IDENTIFICACION!A9</f>
        <v/>
      </c>
      <c r="B9" s="23">
        <f>IDENTIFICACION!C9</f>
        <v/>
      </c>
      <c r="C9" s="22">
        <f>'ANALISIS CUANTITATIVO'!C9</f>
        <v/>
      </c>
      <c r="D9" s="6" t="inlineStr">
        <is>
          <t>Depende de la planificación, los métodos, los recursos y la seguridad de la obra, que controla el contratista; se cubre con sus gastos generales, sus pólizas y su programación.</t>
        </is>
      </c>
    </row>
    <row r="10" ht="40" customHeight="1">
      <c r="A10" s="22">
        <f>IDENTIFICACION!A10</f>
        <v/>
      </c>
      <c r="B10" s="23">
        <f>IDENTIFICACION!C10</f>
        <v/>
      </c>
      <c r="C10" s="22">
        <f>'ANALISIS CUANTITATIVO'!C10</f>
        <v/>
      </c>
      <c r="D10" s="6" t="inlineStr">
        <is>
          <t>La causa tiene una parte de diseño o gestión de la Entidad y otra de ejecución del contratista; se reparte según la causa que se compruebe en obra (en el análisis se toma 50 %).</t>
        </is>
      </c>
    </row>
    <row r="11" ht="40" customHeight="1">
      <c r="A11" s="22">
        <f>IDENTIFICACION!A11</f>
        <v/>
      </c>
      <c r="B11" s="23">
        <f>IDENTIFICACION!C11</f>
        <v/>
      </c>
      <c r="C11" s="22">
        <f>'ANALISIS CUANTITATIVO'!C11</f>
        <v/>
      </c>
      <c r="D11" s="6" t="inlineStr">
        <is>
          <t>Depende de decisiones, permisos, predios, financiamiento o del contenido del expediente técnico, que controla la Entidad; si ocurre, procede la modificación contractual o la ampliación de plazo.</t>
        </is>
      </c>
    </row>
    <row r="12" ht="40" customHeight="1">
      <c r="A12" s="22">
        <f>IDENTIFICACION!A12</f>
        <v/>
      </c>
      <c r="B12" s="23">
        <f>IDENTIFICACION!C12</f>
        <v/>
      </c>
      <c r="C12" s="22">
        <f>'ANALISIS CUANTITATIVO'!C12</f>
        <v/>
      </c>
      <c r="D12" s="6" t="inlineStr">
        <is>
          <t>Depende de decisiones, permisos, predios, financiamiento o del contenido del expediente técnico, que controla la Entidad; si ocurre, procede la modificación contractual o la ampliación de plazo.</t>
        </is>
      </c>
    </row>
    <row r="13" ht="40" customHeight="1">
      <c r="A13" s="22">
        <f>IDENTIFICACION!A13</f>
        <v/>
      </c>
      <c r="B13" s="23">
        <f>IDENTIFICACION!C13</f>
        <v/>
      </c>
      <c r="C13" s="22">
        <f>'ANALISIS CUANTITATIVO'!C13</f>
        <v/>
      </c>
      <c r="D13" s="6" t="inlineStr">
        <is>
          <t>Depende de decisiones, permisos, predios, financiamiento o del contenido del expediente técnico, que controla la Entidad; si ocurre, procede la modificación contractual o la ampliación de plazo.</t>
        </is>
      </c>
    </row>
    <row r="14" ht="40" customHeight="1">
      <c r="A14" s="22">
        <f>IDENTIFICACION!A14</f>
        <v/>
      </c>
      <c r="B14" s="23">
        <f>IDENTIFICACION!C14</f>
        <v/>
      </c>
      <c r="C14" s="22">
        <f>'ANALISIS CUANTITATIVO'!C14</f>
        <v/>
      </c>
      <c r="D14" s="6" t="inlineStr">
        <is>
          <t>Depende de decisiones, permisos, predios, financiamiento o del contenido del expediente técnico, que controla la Entidad; si ocurre, procede la modificación contractual o la ampliación de plazo.</t>
        </is>
      </c>
    </row>
    <row r="15" ht="40" customHeight="1">
      <c r="A15" s="22">
        <f>IDENTIFICACION!A15</f>
        <v/>
      </c>
      <c r="B15" s="23">
        <f>IDENTIFICACION!C15</f>
        <v/>
      </c>
      <c r="C15" s="22">
        <f>'ANALISIS CUANTITATIVO'!C15</f>
        <v/>
      </c>
      <c r="D15" s="6" t="inlineStr">
        <is>
          <t>Depende de decisiones, permisos, predios, financiamiento o del contenido del expediente técnico, que controla la Entidad; si ocurre, procede la modificación contractual o la ampliación de plazo.</t>
        </is>
      </c>
    </row>
    <row r="16" ht="40" customHeight="1">
      <c r="A16" s="22">
        <f>IDENTIFICACION!A16</f>
        <v/>
      </c>
      <c r="B16" s="23">
        <f>IDENTIFICACION!C16</f>
        <v/>
      </c>
      <c r="C16" s="22">
        <f>'ANALISIS CUANTITATIVO'!C16</f>
        <v/>
      </c>
      <c r="D16" s="6" t="inlineStr">
        <is>
          <t>La causa tiene una parte de diseño o gestión de la Entidad y otra de ejecución del contratista; se reparte según la causa que se compruebe en obra (en el análisis se toma 50 %).</t>
        </is>
      </c>
    </row>
    <row r="17" ht="40" customHeight="1">
      <c r="A17" s="22">
        <f>IDENTIFICACION!A17</f>
        <v/>
      </c>
      <c r="B17" s="23">
        <f>IDENTIFICACION!C17</f>
        <v/>
      </c>
      <c r="C17" s="22">
        <f>'ANALISIS CUANTITATIVO'!C17</f>
        <v/>
      </c>
      <c r="D17" s="6" t="inlineStr">
        <is>
          <t>La causa tiene una parte de diseño o gestión de la Entidad y otra de ejecución del contratista; se reparte según la causa que se compruebe en obra (en el análisis se toma 50 %).</t>
        </is>
      </c>
    </row>
    <row r="18" ht="40" customHeight="1">
      <c r="A18" s="22">
        <f>IDENTIFICACION!A18</f>
        <v/>
      </c>
      <c r="B18" s="23">
        <f>IDENTIFICACION!C18</f>
        <v/>
      </c>
      <c r="C18" s="22">
        <f>'ANALISIS CUANTITATIVO'!C18</f>
        <v/>
      </c>
      <c r="D18" s="6" t="inlineStr">
        <is>
          <t>Depende de decisiones, permisos, predios, financiamiento o del contenido del expediente técnico, que controla la Entidad; si ocurre, procede la modificación contractual o la ampliación de plazo.</t>
        </is>
      </c>
    </row>
    <row r="19" ht="40" customHeight="1">
      <c r="A19" s="22">
        <f>IDENTIFICACION!A19</f>
        <v/>
      </c>
      <c r="B19" s="23">
        <f>IDENTIFICACION!C19</f>
        <v/>
      </c>
      <c r="C19" s="22">
        <f>'ANALISIS CUANTITATIVO'!C19</f>
        <v/>
      </c>
      <c r="D19" s="6" t="inlineStr">
        <is>
          <t>Depende de decisiones, permisos, predios, financiamiento o del contenido del expediente técnico, que controla la Entidad; si ocurre, procede la modificación contractual o la ampliación de plazo.</t>
        </is>
      </c>
    </row>
    <row r="20" ht="40" customHeight="1">
      <c r="A20" s="22">
        <f>IDENTIFICACION!A20</f>
        <v/>
      </c>
      <c r="B20" s="23">
        <f>IDENTIFICACION!C20</f>
        <v/>
      </c>
      <c r="C20" s="22">
        <f>'ANALISIS CUANTITATIVO'!C20</f>
        <v/>
      </c>
      <c r="D20" s="6" t="inlineStr">
        <is>
          <t>Depende de decisiones, permisos, predios, financiamiento o del contenido del expediente técnico, que controla la Entidad; si ocurre, procede la modificación contractual o la ampliación de plazo.</t>
        </is>
      </c>
    </row>
    <row r="21" ht="40" customHeight="1">
      <c r="A21" s="22">
        <f>IDENTIFICACION!A21</f>
        <v/>
      </c>
      <c r="B21" s="23">
        <f>IDENTIFICACION!C21</f>
        <v/>
      </c>
      <c r="C21" s="22">
        <f>'ANALISIS CUANTITATIVO'!C21</f>
        <v/>
      </c>
      <c r="D21" s="6" t="inlineStr">
        <is>
          <t>Depende de decisiones, permisos, predios, financiamiento o del contenido del expediente técnico, que controla la Entidad; si ocurre, procede la modificación contractual o la ampliación de plazo.</t>
        </is>
      </c>
    </row>
    <row r="22" ht="40" customHeight="1">
      <c r="A22" s="22">
        <f>IDENTIFICACION!A22</f>
        <v/>
      </c>
      <c r="B22" s="23">
        <f>IDENTIFICACION!C22</f>
        <v/>
      </c>
      <c r="C22" s="22">
        <f>'ANALISIS CUANTITATIVO'!C22</f>
        <v/>
      </c>
      <c r="D22" s="6" t="inlineStr">
        <is>
          <t>Depende de la planificación, los métodos, los recursos y la seguridad de la obra, que controla el contratista; se cubre con sus gastos generales, sus pólizas y su programación.</t>
        </is>
      </c>
    </row>
    <row r="23" ht="40" customHeight="1">
      <c r="A23" s="22">
        <f>IDENTIFICACION!A23</f>
        <v/>
      </c>
      <c r="B23" s="23">
        <f>IDENTIFICACION!C23</f>
        <v/>
      </c>
      <c r="C23" s="22">
        <f>'ANALISIS CUANTITATIVO'!C23</f>
        <v/>
      </c>
      <c r="D23" s="6" t="inlineStr">
        <is>
          <t>Depende de la planificación, los métodos, los recursos y la seguridad de la obra, que controla el contratista; se cubre con sus gastos generales, sus pólizas y su programación.</t>
        </is>
      </c>
    </row>
    <row r="24" ht="40" customHeight="1">
      <c r="A24" s="22">
        <f>IDENTIFICACION!A24</f>
        <v/>
      </c>
      <c r="B24" s="23">
        <f>IDENTIFICACION!C24</f>
        <v/>
      </c>
      <c r="C24" s="22">
        <f>'ANALISIS CUANTITATIVO'!C24</f>
        <v/>
      </c>
      <c r="D24" s="6" t="inlineStr">
        <is>
          <t>Depende de la planificación, los métodos, los recursos y la seguridad de la obra, que controla el contratista; se cubre con sus gastos generales, sus pólizas y su programación.</t>
        </is>
      </c>
    </row>
    <row r="25" ht="40" customHeight="1">
      <c r="A25" s="22">
        <f>IDENTIFICACION!A25</f>
        <v/>
      </c>
      <c r="B25" s="23">
        <f>IDENTIFICACION!C25</f>
        <v/>
      </c>
      <c r="C25" s="22">
        <f>'ANALISIS CUANTITATIVO'!C25</f>
        <v/>
      </c>
      <c r="D25" s="6" t="inlineStr">
        <is>
          <t>Depende de la planificación, los métodos, los recursos y la seguridad de la obra, que controla el contratista; se cubre con sus gastos generales, sus pólizas y su programación.</t>
        </is>
      </c>
    </row>
    <row r="26" ht="40" customHeight="1">
      <c r="A26" s="22">
        <f>IDENTIFICACION!A26</f>
        <v/>
      </c>
      <c r="B26" s="23">
        <f>IDENTIFICACION!C26</f>
        <v/>
      </c>
      <c r="C26" s="22">
        <f>'ANALISIS CUANTITATIVO'!C26</f>
        <v/>
      </c>
      <c r="D26" s="6" t="inlineStr">
        <is>
          <t>Depende de decisiones, permisos, predios, financiamiento o del contenido del expediente técnico, que controla la Entidad; si ocurre, procede la modificación contractual o la ampliación de plazo.</t>
        </is>
      </c>
    </row>
    <row r="27" ht="40" customHeight="1">
      <c r="A27" s="22">
        <f>IDENTIFICACION!A27</f>
        <v/>
      </c>
      <c r="B27" s="23">
        <f>IDENTIFICACION!C27</f>
        <v/>
      </c>
      <c r="C27" s="22">
        <f>'ANALISIS CUANTITATIVO'!C27</f>
        <v/>
      </c>
      <c r="D27" s="6" t="inlineStr">
        <is>
          <t>Depende de decisiones, permisos, predios, financiamiento o del contenido del expediente técnico, que controla la Entidad; si ocurre, procede la modificación contractual o la ampliación de plazo.</t>
        </is>
      </c>
    </row>
    <row r="28" ht="40" customHeight="1">
      <c r="A28" s="22">
        <f>IDENTIFICACION!A28</f>
        <v/>
      </c>
      <c r="B28" s="23">
        <f>IDENTIFICACION!C28</f>
        <v/>
      </c>
      <c r="C28" s="22">
        <f>'ANALISIS CUANTITATIVO'!C28</f>
        <v/>
      </c>
      <c r="D28" s="6" t="inlineStr">
        <is>
          <t>Depende de decisiones, permisos, predios, financiamiento o del contenido del expediente técnico, que controla la Entidad; si ocurre, procede la modificación contractual o la ampliación de plazo.</t>
        </is>
      </c>
    </row>
    <row r="29" ht="40" customHeight="1">
      <c r="A29" s="22">
        <f>IDENTIFICACION!A29</f>
        <v/>
      </c>
      <c r="B29" s="23">
        <f>IDENTIFICACION!C29</f>
        <v/>
      </c>
      <c r="C29" s="22">
        <f>'ANALISIS CUANTITATIVO'!C29</f>
        <v/>
      </c>
      <c r="D29" s="6" t="inlineStr">
        <is>
          <t>Depende de decisiones, permisos, predios, financiamiento o del contenido del expediente técnico, que controla la Entidad; si ocurre, procede la modificación contractual o la ampliación de plazo.</t>
        </is>
      </c>
    </row>
    <row r="30" ht="40" customHeight="1">
      <c r="A30" s="22">
        <f>IDENTIFICACION!A30</f>
        <v/>
      </c>
      <c r="B30" s="23">
        <f>IDENTIFICACION!C30</f>
        <v/>
      </c>
      <c r="C30" s="22">
        <f>'ANALISIS CUANTITATIVO'!C30</f>
        <v/>
      </c>
      <c r="D30" s="6" t="inlineStr">
        <is>
          <t>Depende de la planificación, los métodos, los recursos y la seguridad de la obra, que controla el contratista; se cubre con sus gastos generales, sus pólizas y su programación.</t>
        </is>
      </c>
    </row>
    <row r="31" ht="40" customHeight="1">
      <c r="A31" s="22">
        <f>IDENTIFICACION!A31</f>
        <v/>
      </c>
      <c r="B31" s="23">
        <f>IDENTIFICACION!C31</f>
        <v/>
      </c>
      <c r="C31" s="22">
        <f>'ANALISIS CUANTITATIVO'!C31</f>
        <v/>
      </c>
      <c r="D31" s="6" t="inlineStr">
        <is>
          <t>Depende de la planificación, los métodos, los recursos y la seguridad de la obra, que controla el contratista; se cubre con sus gastos generales, sus pólizas y su programación.</t>
        </is>
      </c>
    </row>
    <row r="32" ht="40" customHeight="1">
      <c r="A32" s="22">
        <f>IDENTIFICACION!A32</f>
        <v/>
      </c>
      <c r="B32" s="23">
        <f>IDENTIFICACION!C32</f>
        <v/>
      </c>
      <c r="C32" s="22">
        <f>'ANALISIS CUANTITATIVO'!C32</f>
        <v/>
      </c>
      <c r="D32" s="6" t="inlineStr">
        <is>
          <t>Depende de la planificación, los métodos, los recursos y la seguridad de la obra, que controla el contratista; se cubre con sus gastos generales, sus pólizas y su programación.</t>
        </is>
      </c>
    </row>
    <row r="33" ht="40" customHeight="1">
      <c r="A33" s="22">
        <f>IDENTIFICACION!A33</f>
        <v/>
      </c>
      <c r="B33" s="23">
        <f>IDENTIFICACION!C33</f>
        <v/>
      </c>
      <c r="C33" s="22">
        <f>'ANALISIS CUANTITATIVO'!C33</f>
        <v/>
      </c>
      <c r="D33" s="6" t="inlineStr">
        <is>
          <t>Depende de la planificación, los métodos, los recursos y la seguridad de la obra, que controla el contratista; se cubre con sus gastos generales, sus pólizas y su programación.</t>
        </is>
      </c>
    </row>
    <row r="34" ht="40" customHeight="1">
      <c r="A34" s="22">
        <f>IDENTIFICACION!A34</f>
        <v/>
      </c>
      <c r="B34" s="23">
        <f>IDENTIFICACION!C34</f>
        <v/>
      </c>
      <c r="C34" s="22">
        <f>'ANALISIS CUANTITATIVO'!C34</f>
        <v/>
      </c>
      <c r="D34" s="6" t="inlineStr">
        <is>
          <t>Depende de la planificación, los métodos, los recursos y la seguridad de la obra, que controla el contratista; se cubre con sus gastos generales, sus pólizas y su programación.</t>
        </is>
      </c>
    </row>
    <row r="35" ht="40" customHeight="1">
      <c r="A35" s="22">
        <f>IDENTIFICACION!A35</f>
        <v/>
      </c>
      <c r="B35" s="23">
        <f>IDENTIFICACION!C35</f>
        <v/>
      </c>
      <c r="C35" s="22">
        <f>'ANALISIS CUANTITATIVO'!C35</f>
        <v/>
      </c>
      <c r="D35" s="6" t="inlineStr">
        <is>
          <t>Depende de la planificación, los métodos, los recursos y la seguridad de la obra, que controla el contratista; se cubre con sus gastos generales, sus pólizas y su programación.</t>
        </is>
      </c>
    </row>
    <row r="36" ht="40" customHeight="1">
      <c r="A36" s="22">
        <f>IDENTIFICACION!A36</f>
        <v/>
      </c>
      <c r="B36" s="23">
        <f>IDENTIFICACION!C36</f>
        <v/>
      </c>
      <c r="C36" s="22">
        <f>'ANALISIS CUANTITATIVO'!C36</f>
        <v/>
      </c>
      <c r="D36" s="6" t="inlineStr">
        <is>
          <t>Depende de la planificación, los métodos, los recursos y la seguridad de la obra, que controla el contratista; se cubre con sus gastos generales, sus pólizas y su programación.</t>
        </is>
      </c>
    </row>
    <row r="37" ht="40" customHeight="1">
      <c r="A37" s="22">
        <f>IDENTIFICACION!A37</f>
        <v/>
      </c>
      <c r="B37" s="23">
        <f>IDENTIFICACION!C37</f>
        <v/>
      </c>
      <c r="C37" s="22">
        <f>'ANALISIS CUANTITATIVO'!C37</f>
        <v/>
      </c>
      <c r="D37" s="6" t="inlineStr">
        <is>
          <t>Depende de la planificación, los métodos, los recursos y la seguridad de la obra, que controla el contratista; se cubre con sus gastos generales, sus pólizas y su programación.</t>
        </is>
      </c>
    </row>
    <row r="38" ht="40" customHeight="1">
      <c r="A38" s="22">
        <f>IDENTIFICACION!A38</f>
        <v/>
      </c>
      <c r="B38" s="23">
        <f>IDENTIFICACION!C38</f>
        <v/>
      </c>
      <c r="C38" s="22">
        <f>'ANALISIS CUANTITATIVO'!C38</f>
        <v/>
      </c>
      <c r="D38" s="6" t="inlineStr">
        <is>
          <t>Depende de decisiones, permisos, predios, financiamiento o del contenido del expediente técnico, que controla la Entidad; si ocurre, procede la modificación contractual o la ampliación de plazo.</t>
        </is>
      </c>
    </row>
    <row r="40">
      <c r="B40" s="29" t="inlineStr">
        <is>
          <t>Riesgos asignados a: Entidad</t>
        </is>
      </c>
      <c r="C40" s="26">
        <f>COUNTIF(C5:C38,"Entidad")</f>
        <v/>
      </c>
    </row>
    <row r="41">
      <c r="B41" s="29" t="inlineStr">
        <is>
          <t>Riesgos asignados a: Contratista</t>
        </is>
      </c>
      <c r="C41" s="26">
        <f>COUNTIF(C5:C38,"Contratista")</f>
        <v/>
      </c>
    </row>
    <row r="42">
      <c r="B42" s="29" t="inlineStr">
        <is>
          <t>Riesgos asignados a: Compartido</t>
        </is>
      </c>
      <c r="C42" s="26">
        <f>COUNTIF(C5:C38,"Compartido")</f>
        <v/>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L7"/>
  <sheetViews>
    <sheetView showGridLines="0" workbookViewId="0">
      <selection activeCell="A1" sqref="A1"/>
    </sheetView>
  </sheetViews>
  <sheetFormatPr baseColWidth="8" defaultRowHeight="15"/>
  <cols>
    <col width="7" customWidth="1" min="1" max="1"/>
    <col width="40" customWidth="1" min="2" max="2"/>
    <col width="40" customWidth="1" min="3" max="3"/>
    <col width="12" customWidth="1" min="4" max="4"/>
    <col width="7" customWidth="1" min="5" max="5"/>
    <col width="14" customWidth="1" min="6" max="6"/>
    <col width="14" customWidth="1" min="7" max="7"/>
    <col width="14" customWidth="1" min="8" max="8"/>
    <col width="14" customWidth="1" min="9" max="9"/>
    <col width="12" customWidth="1" min="10" max="10"/>
    <col width="50" customWidth="1" min="11" max="11"/>
    <col width="20" customWidth="1" min="12" max="12"/>
  </cols>
  <sheetData>
    <row r="1">
      <c r="A1" s="1" t="inlineStr">
        <is>
          <t>OPORTUNIDADES</t>
        </is>
      </c>
    </row>
    <row r="2">
      <c r="A2" s="2" t="inlineStr">
        <is>
          <t>PROYECTO: MEJORAMIENTO DEL SERVICIO DE TRANSITABILIDAD VIAL INTERURBANA EN LA VÍA DEPARTAMENTAL SM-107, TRAMO TINGO DE PONASA - SHAMBOYACU, DISTRITO DE SHAMBOYACU, PROVINCIA DE PICOTA, DEPARTAMENTO DE SAN MARTÍN - CUI N.° 2673852</t>
        </is>
      </c>
    </row>
    <row r="4" ht="34" customHeight="1">
      <c r="A4" s="3" t="inlineStr">
        <is>
          <t>COD.</t>
        </is>
      </c>
      <c r="B4" s="3" t="inlineStr">
        <is>
          <t>OPORTUNIDAD</t>
        </is>
      </c>
      <c r="C4" s="3" t="inlineStr">
        <is>
          <t>CAUSA</t>
        </is>
      </c>
      <c r="D4" s="3" t="inlineStr">
        <is>
          <t>PROBABILIDAD</t>
        </is>
      </c>
      <c r="E4" s="3" t="inlineStr">
        <is>
          <t>P</t>
        </is>
      </c>
      <c r="F4" s="3" t="inlineStr">
        <is>
          <t>AHORRO MÍN. (%)</t>
        </is>
      </c>
      <c r="G4" s="3" t="inlineStr">
        <is>
          <t>AHORRO MÁS PROB. (%)</t>
        </is>
      </c>
      <c r="H4" s="3" t="inlineStr">
        <is>
          <t>AHORRO MÁX. (%)</t>
        </is>
      </c>
      <c r="I4" s="3" t="inlineStr">
        <is>
          <t>VALOR ESPERADO (%)</t>
        </is>
      </c>
      <c r="J4" s="3" t="inlineStr">
        <is>
          <t>ESTRATEGIA</t>
        </is>
      </c>
      <c r="K4" s="3" t="inlineStr">
        <is>
          <t>ACCIONES</t>
        </is>
      </c>
      <c r="L4" s="3" t="inlineStr">
        <is>
          <t>RESPONSABLE</t>
        </is>
      </c>
    </row>
    <row r="5" ht="45" customHeight="1">
      <c r="A5" s="21" t="inlineStr">
        <is>
          <t>O-01</t>
        </is>
      </c>
      <c r="B5" s="6" t="inlineStr">
        <is>
          <t>Aprovechar el material de corte como relleno de terraplén</t>
        </is>
      </c>
      <c r="C5" s="6" t="inlineStr">
        <is>
          <t>47,772 m³ de corte en material suelto y 3,337 m³ en roca.</t>
        </is>
      </c>
      <c r="D5" s="24" t="inlineStr">
        <is>
          <t>Moderada</t>
        </is>
      </c>
      <c r="E5" s="25">
        <f>VLOOKUP(D5,ESCALAS!$A$5:$B$9,2,FALSE)</f>
        <v/>
      </c>
      <c r="F5" s="14" t="n">
        <v>0.08169999999999999</v>
      </c>
      <c r="G5" s="14" t="n">
        <v>0.2451</v>
      </c>
      <c r="H5" s="14" t="n">
        <v>0.572</v>
      </c>
      <c r="I5" s="30">
        <f>E5*AVERAGE(F5:H5)</f>
        <v/>
      </c>
      <c r="J5" s="4" t="inlineStr">
        <is>
          <t>Explotar</t>
        </is>
      </c>
      <c r="K5" s="6" t="inlineStr">
        <is>
          <t>Clasificar el material de corte y usar el apto en terraplenes; reduce préstamo y transporte.</t>
        </is>
      </c>
      <c r="L5" s="6" t="inlineStr">
        <is>
          <t>Contratista / Supervisor</t>
        </is>
      </c>
    </row>
    <row r="6" ht="45" customHeight="1">
      <c r="A6" s="21" t="inlineStr">
        <is>
          <t>O-02</t>
        </is>
      </c>
      <c r="B6" s="6" t="inlineStr">
        <is>
          <t>Concentrar puentes, terraplenes y carpeta en el estiaje</t>
        </is>
      </c>
      <c r="C6" s="6" t="inlineStr">
        <is>
          <t>Las lluvias bajan en junio-agosto.</t>
        </is>
      </c>
      <c r="D6" s="24" t="inlineStr">
        <is>
          <t>Alta</t>
        </is>
      </c>
      <c r="E6" s="25">
        <f>VLOOKUP(D6,ESCALAS!$A$5:$B$9,2,FALSE)</f>
        <v/>
      </c>
      <c r="F6" s="14" t="n">
        <v>0</v>
      </c>
      <c r="G6" s="14" t="n">
        <v>0</v>
      </c>
      <c r="H6" s="14" t="n">
        <v>0</v>
      </c>
      <c r="I6" s="30">
        <f>E6*AVERAGE(F6:H6)</f>
        <v/>
      </c>
      <c r="J6" s="4" t="inlineStr">
        <is>
          <t>Mejorar</t>
        </is>
      </c>
      <c r="K6" s="6" t="inlineStr">
        <is>
          <t>Cronograma con hitos de estiaje y frentes paralelos; reduce la exposición a R-01 y R-03.</t>
        </is>
      </c>
      <c r="L6" s="6" t="inlineStr">
        <is>
          <t>Contratista / Entidad</t>
        </is>
      </c>
    </row>
    <row r="7" ht="45" customHeight="1">
      <c r="A7" s="21" t="inlineStr">
        <is>
          <t>O-03</t>
        </is>
      </c>
      <c r="B7" s="6" t="inlineStr">
        <is>
          <t>Compra anticipada de cemento asfáltico y alcantarillas TMC</t>
        </is>
      </c>
      <c r="C7" s="6" t="inlineStr">
        <is>
          <t>Precios volátiles y plazos de entrega largos.</t>
        </is>
      </c>
      <c r="D7" s="24" t="inlineStr">
        <is>
          <t>Baja</t>
        </is>
      </c>
      <c r="E7" s="25">
        <f>VLOOKUP(D7,ESCALAS!$A$5:$B$9,2,FALSE)</f>
        <v/>
      </c>
      <c r="F7" s="14" t="n">
        <v>0.0409</v>
      </c>
      <c r="G7" s="14" t="n">
        <v>0.1226</v>
      </c>
      <c r="H7" s="14" t="n">
        <v>0.3269</v>
      </c>
      <c r="I7" s="30">
        <f>E7*AVERAGE(F7:H7)</f>
        <v/>
      </c>
      <c r="J7" s="4" t="inlineStr">
        <is>
          <t>Mejorar</t>
        </is>
      </c>
      <c r="K7" s="6" t="inlineStr">
        <is>
          <t>Contratos de suministro al inicio de obra con entregas programadas.</t>
        </is>
      </c>
      <c r="L7" s="6" t="inlineStr">
        <is>
          <t>Contratista</t>
        </is>
      </c>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J4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7" customWidth="1" min="1" max="1"/>
    <col width="40" customWidth="1" min="2" max="2"/>
    <col width="12" customWidth="1" min="3" max="3"/>
    <col width="12" customWidth="1" min="4" max="4"/>
    <col width="12" customWidth="1" min="5" max="5"/>
    <col width="12" customWidth="1" min="6" max="6"/>
    <col width="12" customWidth="1" min="7" max="7"/>
    <col width="40" customWidth="1" min="8" max="8"/>
    <col width="18" customWidth="1" min="9" max="9"/>
    <col width="30" customWidth="1" min="10" max="10"/>
  </cols>
  <sheetData>
    <row r="1">
      <c r="A1" s="1" t="inlineStr">
        <is>
          <t>FORMATO DE SEGUIMIENTO MENSUAL DE RIESGOS (COMITÉ DE GESTIÓN DE RIESGOS)</t>
        </is>
      </c>
    </row>
    <row r="2">
      <c r="A2" s="2" t="inlineStr">
        <is>
          <t>PROYECTO: MEJORAMIENTO DEL SERVICIO DE TRANSITABILIDAD VIAL INTERURBANA EN LA VÍA DEPARTAMENTAL SM-107, TRAMO TINGO DE PONASA - SHAMBOYACU, DISTRITO DE SHAMBOYACU, PROVINCIA DE PICOTA, DEPARTAMENTO DE SAN MARTÍN - CUI N.° 2673852</t>
        </is>
      </c>
    </row>
    <row r="3">
      <c r="A3" s="40" t="inlineStr">
        <is>
          <t>Mes de obra: ______     Fecha de revisión: ____/____/______     Valorización N.°: ______</t>
        </is>
      </c>
    </row>
    <row r="5" ht="34" customHeight="1">
      <c r="A5" s="3" t="inlineStr">
        <is>
          <t>COD.</t>
        </is>
      </c>
      <c r="B5" s="3" t="inlineStr">
        <is>
          <t>RIESGO</t>
        </is>
      </c>
      <c r="C5" s="3" t="inlineStr">
        <is>
          <t>ESTADO</t>
        </is>
      </c>
      <c r="D5" s="3" t="inlineStr">
        <is>
          <t>PROBABILIDAD ACTUAL</t>
        </is>
      </c>
      <c r="E5" s="3" t="inlineStr">
        <is>
          <t>IMPACTO ACTUAL</t>
        </is>
      </c>
      <c r="F5" s="3" t="inlineStr">
        <is>
          <t>NIVEL ACTUAL</t>
        </is>
      </c>
      <c r="G5" s="3" t="inlineStr">
        <is>
          <t>¿ALERTA ACTIVADA?</t>
        </is>
      </c>
      <c r="H5" s="3" t="inlineStr">
        <is>
          <t>ACCIÓN EJECUTADA / PENDIENTE</t>
        </is>
      </c>
      <c r="I5" s="3" t="inlineStr">
        <is>
          <t>RESPONSABLE</t>
        </is>
      </c>
      <c r="J5" s="3" t="inlineStr">
        <is>
          <t>COMENTARIOS</t>
        </is>
      </c>
    </row>
    <row r="6" ht="30" customHeight="1">
      <c r="A6" s="21" t="inlineStr">
        <is>
          <t>R-01</t>
        </is>
      </c>
      <c r="B6" s="6" t="inlineStr">
        <is>
          <t>Lluvias estacionales intensas (octubre a abril) que paralizan el movimiento de tierras, la pavimentación y los vaciados</t>
        </is>
      </c>
      <c r="C6" s="24" t="inlineStr">
        <is>
          <t>Activo</t>
        </is>
      </c>
      <c r="D6" s="24" t="n"/>
      <c r="E6" s="24" t="n"/>
      <c r="F6" s="27">
        <f>IF(OR(D6="",E6=""),"",IF(VLOOKUP(D6,ESCALAS!$A$5:$B$9,2,FALSE)*VLOOKUP(E6,ESCALAS!$A$12:$B$16,2,FALSE)&gt;=ESCALAS!$B$20,"ALTO",IF(VLOOKUP(D6,ESCALAS!$A$5:$B$9,2,FALSE)*VLOOKUP(E6,ESCALAS!$A$12:$B$16,2,FALSE)&gt;=ESCALAS!$B$21,"MODERADO","BAJO")))</f>
        <v/>
      </c>
      <c r="G6" s="24" t="n"/>
      <c r="H6" s="24" t="n"/>
      <c r="I6" s="8" t="inlineStr">
        <is>
          <t>Residente de obra / Supervisor</t>
        </is>
      </c>
      <c r="J6" s="24" t="n"/>
    </row>
    <row r="7" ht="30" customHeight="1">
      <c r="A7" s="21" t="inlineStr">
        <is>
          <t>R-02</t>
        </is>
      </c>
      <c r="B7" s="6" t="inlineStr">
        <is>
          <t>Lluvias extraordinarias o anomalías climáticas (El Niño / La Niña) con desborde de quebradas y daños a la obra ejecutada</t>
        </is>
      </c>
      <c r="C7" s="24" t="inlineStr">
        <is>
          <t>Activo</t>
        </is>
      </c>
      <c r="D7" s="24" t="n"/>
      <c r="E7" s="24" t="n"/>
      <c r="F7" s="27">
        <f>IF(OR(D7="",E7=""),"",IF(VLOOKUP(D7,ESCALAS!$A$5:$B$9,2,FALSE)*VLOOKUP(E7,ESCALAS!$A$12:$B$16,2,FALSE)&gt;=ESCALAS!$B$20,"ALTO",IF(VLOOKUP(D7,ESCALAS!$A$5:$B$9,2,FALSE)*VLOOKUP(E7,ESCALAS!$A$12:$B$16,2,FALSE)&gt;=ESCALAS!$B$21,"MODERADO","BAJO")))</f>
        <v/>
      </c>
      <c r="G7" s="24" t="n"/>
      <c r="H7" s="24" t="n"/>
      <c r="I7" s="8" t="inlineStr">
        <is>
          <t>Entidad (DRTC) / Supervisor</t>
        </is>
      </c>
      <c r="J7" s="24" t="n"/>
    </row>
    <row r="8" ht="30" customHeight="1">
      <c r="A8" s="21" t="inlineStr">
        <is>
          <t>R-03</t>
        </is>
      </c>
      <c r="B8" s="6" t="inlineStr">
        <is>
          <t>Crecidas de quebradas durante la construcción de estribos de los 5 puentes</t>
        </is>
      </c>
      <c r="C8" s="24" t="inlineStr">
        <is>
          <t>Activo</t>
        </is>
      </c>
      <c r="D8" s="24" t="n"/>
      <c r="E8" s="24" t="n"/>
      <c r="F8" s="27">
        <f>IF(OR(D8="",E8=""),"",IF(VLOOKUP(D8,ESCALAS!$A$5:$B$9,2,FALSE)*VLOOKUP(E8,ESCALAS!$A$12:$B$16,2,FALSE)&gt;=ESCALAS!$B$20,"ALTO",IF(VLOOKUP(D8,ESCALAS!$A$5:$B$9,2,FALSE)*VLOOKUP(E8,ESCALAS!$A$12:$B$16,2,FALSE)&gt;=ESCALAS!$B$21,"MODERADO","BAJO")))</f>
        <v/>
      </c>
      <c r="G8" s="24" t="n"/>
      <c r="H8" s="24" t="n"/>
      <c r="I8" s="8" t="inlineStr">
        <is>
          <t>Residente / Especialista en puentes</t>
        </is>
      </c>
      <c r="J8" s="24" t="n"/>
    </row>
    <row r="9" ht="30" customHeight="1">
      <c r="A9" s="21" t="inlineStr">
        <is>
          <t>R-04</t>
        </is>
      </c>
      <c r="B9" s="6" t="inlineStr">
        <is>
          <t>Inestabilidad de taludes y deslizamientos durante los cortes en ladera</t>
        </is>
      </c>
      <c r="C9" s="24" t="inlineStr">
        <is>
          <t>Activo</t>
        </is>
      </c>
      <c r="D9" s="24" t="n"/>
      <c r="E9" s="24" t="n"/>
      <c r="F9" s="27">
        <f>IF(OR(D9="",E9=""),"",IF(VLOOKUP(D9,ESCALAS!$A$5:$B$9,2,FALSE)*VLOOKUP(E9,ESCALAS!$A$12:$B$16,2,FALSE)&gt;=ESCALAS!$B$20,"ALTO",IF(VLOOKUP(D9,ESCALAS!$A$5:$B$9,2,FALSE)*VLOOKUP(E9,ESCALAS!$A$12:$B$16,2,FALSE)&gt;=ESCALAS!$B$21,"MODERADO","BAJO")))</f>
        <v/>
      </c>
      <c r="G9" s="24" t="n"/>
      <c r="H9" s="24" t="n"/>
      <c r="I9" s="8" t="inlineStr">
        <is>
          <t>Entidad (diseño) / Contratista (método de corte)</t>
        </is>
      </c>
      <c r="J9" s="24" t="n"/>
    </row>
    <row r="10" ht="30" customHeight="1">
      <c r="A10" s="21" t="inlineStr">
        <is>
          <t>R-05</t>
        </is>
      </c>
      <c r="B10" s="6" t="inlineStr">
        <is>
          <t>Erosión y socavación de la plataforma y de los terraplenes en construcción</t>
        </is>
      </c>
      <c r="C10" s="24" t="inlineStr">
        <is>
          <t>Activo</t>
        </is>
      </c>
      <c r="D10" s="24" t="n"/>
      <c r="E10" s="24" t="n"/>
      <c r="F10" s="27">
        <f>IF(OR(D10="",E10=""),"",IF(VLOOKUP(D10,ESCALAS!$A$5:$B$9,2,FALSE)*VLOOKUP(E10,ESCALAS!$A$12:$B$16,2,FALSE)&gt;=ESCALAS!$B$20,"ALTO",IF(VLOOKUP(D10,ESCALAS!$A$5:$B$9,2,FALSE)*VLOOKUP(E10,ESCALAS!$A$12:$B$16,2,FALSE)&gt;=ESCALAS!$B$21,"MODERADO","BAJO")))</f>
        <v/>
      </c>
      <c r="G10" s="24" t="n"/>
      <c r="H10" s="24" t="n"/>
      <c r="I10" s="8" t="inlineStr">
        <is>
          <t>Residente / Especialista en geotecnia</t>
        </is>
      </c>
      <c r="J10" s="24" t="n"/>
    </row>
    <row r="11" ht="30" customHeight="1">
      <c r="A11" s="21" t="inlineStr">
        <is>
          <t>R-06</t>
        </is>
      </c>
      <c r="B11" s="6" t="inlineStr">
        <is>
          <t>Saturación de terraplenes por inundación de arrozales, canales de riego y empozamientos</t>
        </is>
      </c>
      <c r="C11" s="24" t="inlineStr">
        <is>
          <t>Activo</t>
        </is>
      </c>
      <c r="D11" s="24" t="n"/>
      <c r="E11" s="24" t="n"/>
      <c r="F11" s="27">
        <f>IF(OR(D11="",E11=""),"",IF(VLOOKUP(D11,ESCALAS!$A$5:$B$9,2,FALSE)*VLOOKUP(E11,ESCALAS!$A$12:$B$16,2,FALSE)&gt;=ESCALAS!$B$20,"ALTO",IF(VLOOKUP(D11,ESCALAS!$A$5:$B$9,2,FALSE)*VLOOKUP(E11,ESCALAS!$A$12:$B$16,2,FALSE)&gt;=ESCALAS!$B$21,"MODERADO","BAJO")))</f>
        <v/>
      </c>
      <c r="G11" s="24" t="n"/>
      <c r="H11" s="24" t="n"/>
      <c r="I11" s="8" t="inlineStr">
        <is>
          <t>Entidad (coordinación) / Contratista (ejecución)</t>
        </is>
      </c>
      <c r="J11" s="24" t="n"/>
    </row>
    <row r="12" ht="30" customHeight="1">
      <c r="A12" s="21" t="inlineStr">
        <is>
          <t>R-07</t>
        </is>
      </c>
      <c r="B12" s="6" t="inlineStr">
        <is>
          <t>Subrasante de menor capacidad de soporte que la prevista en el expediente</t>
        </is>
      </c>
      <c r="C12" s="24" t="inlineStr">
        <is>
          <t>Activo</t>
        </is>
      </c>
      <c r="D12" s="24" t="n"/>
      <c r="E12" s="24" t="n"/>
      <c r="F12" s="27">
        <f>IF(OR(D12="",E12=""),"",IF(VLOOKUP(D12,ESCALAS!$A$5:$B$9,2,FALSE)*VLOOKUP(E12,ESCALAS!$A$12:$B$16,2,FALSE)&gt;=ESCALAS!$B$20,"ALTO",IF(VLOOKUP(D12,ESCALAS!$A$5:$B$9,2,FALSE)*VLOOKUP(E12,ESCALAS!$A$12:$B$16,2,FALSE)&gt;=ESCALAS!$B$21,"MODERADO","BAJO")))</f>
        <v/>
      </c>
      <c r="G12" s="24" t="n"/>
      <c r="H12" s="24" t="n"/>
      <c r="I12" s="8" t="inlineStr">
        <is>
          <t>Entidad (expediente) / Supervisor</t>
        </is>
      </c>
      <c r="J12" s="24" t="n"/>
    </row>
    <row r="13" ht="30" customHeight="1">
      <c r="A13" s="21" t="inlineStr">
        <is>
          <t>R-08</t>
        </is>
      </c>
      <c r="B13" s="6" t="inlineStr">
        <is>
          <t>Cantera insuficiente, sin calidad o sin autorización, con mayor distancia de transporte</t>
        </is>
      </c>
      <c r="C13" s="24" t="inlineStr">
        <is>
          <t>Activo</t>
        </is>
      </c>
      <c r="D13" s="24" t="n"/>
      <c r="E13" s="24" t="n"/>
      <c r="F13" s="27">
        <f>IF(OR(D13="",E13=""),"",IF(VLOOKUP(D13,ESCALAS!$A$5:$B$9,2,FALSE)*VLOOKUP(E13,ESCALAS!$A$12:$B$16,2,FALSE)&gt;=ESCALAS!$B$20,"ALTO",IF(VLOOKUP(D13,ESCALAS!$A$5:$B$9,2,FALSE)*VLOOKUP(E13,ESCALAS!$A$12:$B$16,2,FALSE)&gt;=ESCALAS!$B$21,"MODERADO","BAJO")))</f>
        <v/>
      </c>
      <c r="G13" s="24" t="n"/>
      <c r="H13" s="24" t="n"/>
      <c r="I13" s="8" t="inlineStr">
        <is>
          <t>Entidad (DRTC)</t>
        </is>
      </c>
      <c r="J13" s="24" t="n"/>
    </row>
    <row r="14" ht="30" customHeight="1">
      <c r="A14" s="21" t="inlineStr">
        <is>
          <t>R-09</t>
        </is>
      </c>
      <c r="B14" s="6" t="inlineStr">
        <is>
          <t>Demora en autorizaciones de uso de agua y de extracción de material de cauce</t>
        </is>
      </c>
      <c r="C14" s="24" t="inlineStr">
        <is>
          <t>Activo</t>
        </is>
      </c>
      <c r="D14" s="24" t="n"/>
      <c r="E14" s="24" t="n"/>
      <c r="F14" s="27">
        <f>IF(OR(D14="",E14=""),"",IF(VLOOKUP(D14,ESCALAS!$A$5:$B$9,2,FALSE)*VLOOKUP(E14,ESCALAS!$A$12:$B$16,2,FALSE)&gt;=ESCALAS!$B$20,"ALTO",IF(VLOOKUP(D14,ESCALAS!$A$5:$B$9,2,FALSE)*VLOOKUP(E14,ESCALAS!$A$12:$B$16,2,FALSE)&gt;=ESCALAS!$B$21,"MODERADO","BAJO")))</f>
        <v/>
      </c>
      <c r="G14" s="24" t="n"/>
      <c r="H14" s="24" t="n"/>
      <c r="I14" s="8" t="inlineStr">
        <is>
          <t>Entidad (DRTC)</t>
        </is>
      </c>
      <c r="J14" s="24" t="n"/>
    </row>
    <row r="15" ht="30" customHeight="1">
      <c r="A15" s="21" t="inlineStr">
        <is>
          <t>R-10</t>
        </is>
      </c>
      <c r="B15" s="6" t="inlineStr">
        <is>
          <t>Falta de libre disponibilidad del terreno para el ensanche de la plataforma</t>
        </is>
      </c>
      <c r="C15" s="24" t="inlineStr">
        <is>
          <t>Activo</t>
        </is>
      </c>
      <c r="D15" s="24" t="n"/>
      <c r="E15" s="24" t="n"/>
      <c r="F15" s="27">
        <f>IF(OR(D15="",E15=""),"",IF(VLOOKUP(D15,ESCALAS!$A$5:$B$9,2,FALSE)*VLOOKUP(E15,ESCALAS!$A$12:$B$16,2,FALSE)&gt;=ESCALAS!$B$20,"ALTO",IF(VLOOKUP(D15,ESCALAS!$A$5:$B$9,2,FALSE)*VLOOKUP(E15,ESCALAS!$A$12:$B$16,2,FALSE)&gt;=ESCALAS!$B$21,"MODERADO","BAJO")))</f>
        <v/>
      </c>
      <c r="G15" s="24" t="n"/>
      <c r="H15" s="24" t="n"/>
      <c r="I15" s="8" t="inlineStr">
        <is>
          <t>Entidad (DRTC) / Municipalidades</t>
        </is>
      </c>
      <c r="J15" s="24" t="n"/>
    </row>
    <row r="16" ht="30" customHeight="1">
      <c r="A16" s="21" t="inlineStr">
        <is>
          <t>R-11</t>
        </is>
      </c>
      <c r="B16" s="6" t="inlineStr">
        <is>
          <t>Interferencias con redes eléctricas, de agua potable y de telecomunicaciones</t>
        </is>
      </c>
      <c r="C16" s="24" t="inlineStr">
        <is>
          <t>Activo</t>
        </is>
      </c>
      <c r="D16" s="24" t="n"/>
      <c r="E16" s="24" t="n"/>
      <c r="F16" s="27">
        <f>IF(OR(D16="",E16=""),"",IF(VLOOKUP(D16,ESCALAS!$A$5:$B$9,2,FALSE)*VLOOKUP(E16,ESCALAS!$A$12:$B$16,2,FALSE)&gt;=ESCALAS!$B$20,"ALTO",IF(VLOOKUP(D16,ESCALAS!$A$5:$B$9,2,FALSE)*VLOOKUP(E16,ESCALAS!$A$12:$B$16,2,FALSE)&gt;=ESCALAS!$B$21,"MODERADO","BAJO")))</f>
        <v/>
      </c>
      <c r="G16" s="24" t="n"/>
      <c r="H16" s="24" t="n"/>
      <c r="I16" s="8" t="inlineStr">
        <is>
          <t>Entidad / Contratista</t>
        </is>
      </c>
      <c r="J16" s="24" t="n"/>
    </row>
    <row r="17" ht="30" customHeight="1">
      <c r="A17" s="21" t="inlineStr">
        <is>
          <t>R-12</t>
        </is>
      </c>
      <c r="B17" s="6" t="inlineStr">
        <is>
          <t>Afectación de canales y cruces de riego con reclamos de los agricultores</t>
        </is>
      </c>
      <c r="C17" s="24" t="inlineStr">
        <is>
          <t>Activo</t>
        </is>
      </c>
      <c r="D17" s="24" t="n"/>
      <c r="E17" s="24" t="n"/>
      <c r="F17" s="27">
        <f>IF(OR(D17="",E17=""),"",IF(VLOOKUP(D17,ESCALAS!$A$5:$B$9,2,FALSE)*VLOOKUP(E17,ESCALAS!$A$12:$B$16,2,FALSE)&gt;=ESCALAS!$B$20,"ALTO",IF(VLOOKUP(D17,ESCALAS!$A$5:$B$9,2,FALSE)*VLOOKUP(E17,ESCALAS!$A$12:$B$16,2,FALSE)&gt;=ESCALAS!$B$21,"MODERADO","BAJO")))</f>
        <v/>
      </c>
      <c r="G17" s="24" t="n"/>
      <c r="H17" s="24" t="n"/>
      <c r="I17" s="8" t="inlineStr">
        <is>
          <t>Entidad (relacionamiento) / Contratista</t>
        </is>
      </c>
      <c r="J17" s="24" t="n"/>
    </row>
    <row r="18" ht="30" customHeight="1">
      <c r="A18" s="21" t="inlineStr">
        <is>
          <t>R-13</t>
        </is>
      </c>
      <c r="B18" s="6" t="inlineStr">
        <is>
          <t>Conflictos sociales y paralizaciones de la población</t>
        </is>
      </c>
      <c r="C18" s="24" t="inlineStr">
        <is>
          <t>Activo</t>
        </is>
      </c>
      <c r="D18" s="24" t="n"/>
      <c r="E18" s="24" t="n"/>
      <c r="F18" s="27">
        <f>IF(OR(D18="",E18=""),"",IF(VLOOKUP(D18,ESCALAS!$A$5:$B$9,2,FALSE)*VLOOKUP(E18,ESCALAS!$A$12:$B$16,2,FALSE)&gt;=ESCALAS!$B$20,"ALTO",IF(VLOOKUP(D18,ESCALAS!$A$5:$B$9,2,FALSE)*VLOOKUP(E18,ESCALAS!$A$12:$B$16,2,FALSE)&gt;=ESCALAS!$B$21,"MODERADO","BAJO")))</f>
        <v/>
      </c>
      <c r="G18" s="24" t="n"/>
      <c r="H18" s="24" t="n"/>
      <c r="I18" s="8" t="inlineStr">
        <is>
          <t>Entidad / Contratista (especialista social)</t>
        </is>
      </c>
      <c r="J18" s="24" t="n"/>
    </row>
    <row r="19" ht="30" customHeight="1">
      <c r="A19" s="21" t="inlineStr">
        <is>
          <t>R-14</t>
        </is>
      </c>
      <c r="B19" s="6" t="inlineStr">
        <is>
          <t>Hallazgos arqueológicos o falta del instrumento de intervención arqueológica aprobado</t>
        </is>
      </c>
      <c r="C19" s="24" t="inlineStr">
        <is>
          <t>Activo</t>
        </is>
      </c>
      <c r="D19" s="24" t="n"/>
      <c r="E19" s="24" t="n"/>
      <c r="F19" s="27">
        <f>IF(OR(D19="",E19=""),"",IF(VLOOKUP(D19,ESCALAS!$A$5:$B$9,2,FALSE)*VLOOKUP(E19,ESCALAS!$A$12:$B$16,2,FALSE)&gt;=ESCALAS!$B$20,"ALTO",IF(VLOOKUP(D19,ESCALAS!$A$5:$B$9,2,FALSE)*VLOOKUP(E19,ESCALAS!$A$12:$B$16,2,FALSE)&gt;=ESCALAS!$B$21,"MODERADO","BAJO")))</f>
        <v/>
      </c>
      <c r="G19" s="24" t="n"/>
      <c r="H19" s="24" t="n"/>
      <c r="I19" s="8" t="inlineStr">
        <is>
          <t>Entidad (DRTC)</t>
        </is>
      </c>
      <c r="J19" s="24" t="n"/>
    </row>
    <row r="20" ht="30" customHeight="1">
      <c r="A20" s="21" t="inlineStr">
        <is>
          <t>R-15</t>
        </is>
      </c>
      <c r="B20" s="6" t="inlineStr">
        <is>
          <t>Demora o condicionamiento de la certificación ambiental</t>
        </is>
      </c>
      <c r="C20" s="24" t="inlineStr">
        <is>
          <t>Activo</t>
        </is>
      </c>
      <c r="D20" s="24" t="n"/>
      <c r="E20" s="24" t="n"/>
      <c r="F20" s="27">
        <f>IF(OR(D20="",E20=""),"",IF(VLOOKUP(D20,ESCALAS!$A$5:$B$9,2,FALSE)*VLOOKUP(E20,ESCALAS!$A$12:$B$16,2,FALSE)&gt;=ESCALAS!$B$20,"ALTO",IF(VLOOKUP(D20,ESCALAS!$A$5:$B$9,2,FALSE)*VLOOKUP(E20,ESCALAS!$A$12:$B$16,2,FALSE)&gt;=ESCALAS!$B$21,"MODERADO","BAJO")))</f>
        <v/>
      </c>
      <c r="G20" s="24" t="n"/>
      <c r="H20" s="24" t="n"/>
      <c r="I20" s="8" t="inlineStr">
        <is>
          <t>Entidad (DRTC)</t>
        </is>
      </c>
      <c r="J20" s="24" t="n"/>
    </row>
    <row r="21" ht="30" customHeight="1">
      <c r="A21" s="21" t="inlineStr">
        <is>
          <t>R-16</t>
        </is>
      </c>
      <c r="B21" s="6" t="inlineStr">
        <is>
          <t>Deficiencias del expediente técnico (metrados, diseños, estudios básicos)</t>
        </is>
      </c>
      <c r="C21" s="24" t="inlineStr">
        <is>
          <t>Activo</t>
        </is>
      </c>
      <c r="D21" s="24" t="n"/>
      <c r="E21" s="24" t="n"/>
      <c r="F21" s="27">
        <f>IF(OR(D21="",E21=""),"",IF(VLOOKUP(D21,ESCALAS!$A$5:$B$9,2,FALSE)*VLOOKUP(E21,ESCALAS!$A$12:$B$16,2,FALSE)&gt;=ESCALAS!$B$20,"ALTO",IF(VLOOKUP(D21,ESCALAS!$A$5:$B$9,2,FALSE)*VLOOKUP(E21,ESCALAS!$A$12:$B$16,2,FALSE)&gt;=ESCALAS!$B$21,"MODERADO","BAJO")))</f>
        <v/>
      </c>
      <c r="G21" s="24" t="n"/>
      <c r="H21" s="24" t="n"/>
      <c r="I21" s="8" t="inlineStr">
        <is>
          <t>Entidad (DRTC) / Proyectista</t>
        </is>
      </c>
      <c r="J21" s="24" t="n"/>
    </row>
    <row r="22" ht="30" customHeight="1">
      <c r="A22" s="21" t="inlineStr">
        <is>
          <t>R-17</t>
        </is>
      </c>
      <c r="B22" s="6" t="inlineStr">
        <is>
          <t>Variación de precios de insumos críticos (asfalto, combustible, acero, TMC)</t>
        </is>
      </c>
      <c r="C22" s="24" t="inlineStr">
        <is>
          <t>Activo</t>
        </is>
      </c>
      <c r="D22" s="24" t="n"/>
      <c r="E22" s="24" t="n"/>
      <c r="F22" s="27">
        <f>IF(OR(D22="",E22=""),"",IF(VLOOKUP(D22,ESCALAS!$A$5:$B$9,2,FALSE)*VLOOKUP(E22,ESCALAS!$A$12:$B$16,2,FALSE)&gt;=ESCALAS!$B$20,"ALTO",IF(VLOOKUP(D22,ESCALAS!$A$5:$B$9,2,FALSE)*VLOOKUP(E22,ESCALAS!$A$12:$B$16,2,FALSE)&gt;=ESCALAS!$B$21,"MODERADO","BAJO")))</f>
        <v/>
      </c>
      <c r="G22" s="24" t="n"/>
      <c r="H22" s="24" t="n"/>
      <c r="I22" s="8" t="inlineStr">
        <is>
          <t>Entidad (DRTC) / Oficina de Presupuesto</t>
        </is>
      </c>
      <c r="J22" s="24" t="n"/>
    </row>
    <row r="23" ht="30" customHeight="1">
      <c r="A23" s="21" t="inlineStr">
        <is>
          <t>R-18</t>
        </is>
      </c>
      <c r="B23" s="6" t="inlineStr">
        <is>
          <t>Retraso en el suministro de materiales de importación o fabricación especial</t>
        </is>
      </c>
      <c r="C23" s="24" t="inlineStr">
        <is>
          <t>Activo</t>
        </is>
      </c>
      <c r="D23" s="24" t="n"/>
      <c r="E23" s="24" t="n"/>
      <c r="F23" s="27">
        <f>IF(OR(D23="",E23=""),"",IF(VLOOKUP(D23,ESCALAS!$A$5:$B$9,2,FALSE)*VLOOKUP(E23,ESCALAS!$A$12:$B$16,2,FALSE)&gt;=ESCALAS!$B$20,"ALTO",IF(VLOOKUP(D23,ESCALAS!$A$5:$B$9,2,FALSE)*VLOOKUP(E23,ESCALAS!$A$12:$B$16,2,FALSE)&gt;=ESCALAS!$B$21,"MODERADO","BAJO")))</f>
        <v/>
      </c>
      <c r="G23" s="24" t="n"/>
      <c r="H23" s="24" t="n"/>
      <c r="I23" s="8" t="inlineStr">
        <is>
          <t>Contratista (logística)</t>
        </is>
      </c>
      <c r="J23" s="24" t="n"/>
    </row>
    <row r="24" ht="30" customHeight="1">
      <c r="A24" s="21" t="inlineStr">
        <is>
          <t>R-19</t>
        </is>
      </c>
      <c r="B24" s="6" t="inlineStr">
        <is>
          <t>Falla o insuficiencia de equipos (planta de asfalto, chancadora, compactación)</t>
        </is>
      </c>
      <c r="C24" s="24" t="inlineStr">
        <is>
          <t>Activo</t>
        </is>
      </c>
      <c r="D24" s="24" t="n"/>
      <c r="E24" s="24" t="n"/>
      <c r="F24" s="27">
        <f>IF(OR(D24="",E24=""),"",IF(VLOOKUP(D24,ESCALAS!$A$5:$B$9,2,FALSE)*VLOOKUP(E24,ESCALAS!$A$12:$B$16,2,FALSE)&gt;=ESCALAS!$B$20,"ALTO",IF(VLOOKUP(D24,ESCALAS!$A$5:$B$9,2,FALSE)*VLOOKUP(E24,ESCALAS!$A$12:$B$16,2,FALSE)&gt;=ESCALAS!$B$21,"MODERADO","BAJO")))</f>
        <v/>
      </c>
      <c r="G24" s="24" t="n"/>
      <c r="H24" s="24" t="n"/>
      <c r="I24" s="8" t="inlineStr">
        <is>
          <t>Contratista</t>
        </is>
      </c>
      <c r="J24" s="24" t="n"/>
    </row>
    <row r="25" ht="30" customHeight="1">
      <c r="A25" s="21" t="inlineStr">
        <is>
          <t>R-20</t>
        </is>
      </c>
      <c r="B25" s="6" t="inlineStr">
        <is>
          <t>Accidentes de tránsito y atropellos en la vía en servicio durante la obra</t>
        </is>
      </c>
      <c r="C25" s="24" t="inlineStr">
        <is>
          <t>Activo</t>
        </is>
      </c>
      <c r="D25" s="24" t="n"/>
      <c r="E25" s="24" t="n"/>
      <c r="F25" s="27">
        <f>IF(OR(D25="",E25=""),"",IF(VLOOKUP(D25,ESCALAS!$A$5:$B$9,2,FALSE)*VLOOKUP(E25,ESCALAS!$A$12:$B$16,2,FALSE)&gt;=ESCALAS!$B$20,"ALTO",IF(VLOOKUP(D25,ESCALAS!$A$5:$B$9,2,FALSE)*VLOOKUP(E25,ESCALAS!$A$12:$B$16,2,FALSE)&gt;=ESCALAS!$B$21,"MODERADO","BAJO")))</f>
        <v/>
      </c>
      <c r="G25" s="24" t="n"/>
      <c r="H25" s="24" t="n"/>
      <c r="I25" s="8" t="inlineStr">
        <is>
          <t>Contratista (prevencionista)</t>
        </is>
      </c>
      <c r="J25" s="24" t="n"/>
    </row>
    <row r="26" ht="30" customHeight="1">
      <c r="A26" s="21" t="inlineStr">
        <is>
          <t>R-21</t>
        </is>
      </c>
      <c r="B26" s="6" t="inlineStr">
        <is>
          <t>Accidentes de trabajo graves (izaje de vigas, trabajo en agua, excavaciones, maquinaria)</t>
        </is>
      </c>
      <c r="C26" s="24" t="inlineStr">
        <is>
          <t>Activo</t>
        </is>
      </c>
      <c r="D26" s="24" t="n"/>
      <c r="E26" s="24" t="n"/>
      <c r="F26" s="27">
        <f>IF(OR(D26="",E26=""),"",IF(VLOOKUP(D26,ESCALAS!$A$5:$B$9,2,FALSE)*VLOOKUP(E26,ESCALAS!$A$12:$B$16,2,FALSE)&gt;=ESCALAS!$B$20,"ALTO",IF(VLOOKUP(D26,ESCALAS!$A$5:$B$9,2,FALSE)*VLOOKUP(E26,ESCALAS!$A$12:$B$16,2,FALSE)&gt;=ESCALAS!$B$21,"MODERADO","BAJO")))</f>
        <v/>
      </c>
      <c r="G26" s="24" t="n"/>
      <c r="H26" s="24" t="n"/>
      <c r="I26" s="8" t="inlineStr">
        <is>
          <t>Contratista (prevencionista)</t>
        </is>
      </c>
      <c r="J26" s="24" t="n"/>
    </row>
    <row r="27" ht="30" customHeight="1">
      <c r="A27" s="21" t="inlineStr">
        <is>
          <t>R-22</t>
        </is>
      </c>
      <c r="B27" s="6" t="inlineStr">
        <is>
          <t>Sismo de intensidad moderada a alta durante la obra</t>
        </is>
      </c>
      <c r="C27" s="24" t="inlineStr">
        <is>
          <t>Activo</t>
        </is>
      </c>
      <c r="D27" s="24" t="n"/>
      <c r="E27" s="24" t="n"/>
      <c r="F27" s="27">
        <f>IF(OR(D27="",E27=""),"",IF(VLOOKUP(D27,ESCALAS!$A$5:$B$9,2,FALSE)*VLOOKUP(E27,ESCALAS!$A$12:$B$16,2,FALSE)&gt;=ESCALAS!$B$20,"ALTO",IF(VLOOKUP(D27,ESCALAS!$A$5:$B$9,2,FALSE)*VLOOKUP(E27,ESCALAS!$A$12:$B$16,2,FALSE)&gt;=ESCALAS!$B$21,"MODERADO","BAJO")))</f>
        <v/>
      </c>
      <c r="G27" s="24" t="n"/>
      <c r="H27" s="24" t="n"/>
      <c r="I27" s="8" t="inlineStr">
        <is>
          <t>Entidad / Contratista</t>
        </is>
      </c>
      <c r="J27" s="24" t="n"/>
    </row>
    <row r="28" ht="30" customHeight="1">
      <c r="A28" s="21" t="inlineStr">
        <is>
          <t>R-23</t>
        </is>
      </c>
      <c r="B28" s="6" t="inlineStr">
        <is>
          <t>Retraso en el financiamiento o en los pagos de valorizaciones</t>
        </is>
      </c>
      <c r="C28" s="24" t="inlineStr">
        <is>
          <t>Activo</t>
        </is>
      </c>
      <c r="D28" s="24" t="n"/>
      <c r="E28" s="24" t="n"/>
      <c r="F28" s="27">
        <f>IF(OR(D28="",E28=""),"",IF(VLOOKUP(D28,ESCALAS!$A$5:$B$9,2,FALSE)*VLOOKUP(E28,ESCALAS!$A$12:$B$16,2,FALSE)&gt;=ESCALAS!$B$20,"ALTO",IF(VLOOKUP(D28,ESCALAS!$A$5:$B$9,2,FALSE)*VLOOKUP(E28,ESCALAS!$A$12:$B$16,2,FALSE)&gt;=ESCALAS!$B$21,"MODERADO","BAJO")))</f>
        <v/>
      </c>
      <c r="G28" s="24" t="n"/>
      <c r="H28" s="24" t="n"/>
      <c r="I28" s="8" t="inlineStr">
        <is>
          <t>Entidad (Gerencia de Presupuesto)</t>
        </is>
      </c>
      <c r="J28" s="24" t="n"/>
    </row>
    <row r="29" ht="30" customHeight="1">
      <c r="A29" s="21" t="inlineStr">
        <is>
          <t>R-24</t>
        </is>
      </c>
      <c r="B29" s="6" t="inlineStr">
        <is>
          <t>Demoras en la absolución de consultas, aprobación de prestaciones adicionales y decisiones de la Entidad</t>
        </is>
      </c>
      <c r="C29" s="24" t="inlineStr">
        <is>
          <t>Activo</t>
        </is>
      </c>
      <c r="D29" s="24" t="n"/>
      <c r="E29" s="24" t="n"/>
      <c r="F29" s="27">
        <f>IF(OR(D29="",E29=""),"",IF(VLOOKUP(D29,ESCALAS!$A$5:$B$9,2,FALSE)*VLOOKUP(E29,ESCALAS!$A$12:$B$16,2,FALSE)&gt;=ESCALAS!$B$20,"ALTO",IF(VLOOKUP(D29,ESCALAS!$A$5:$B$9,2,FALSE)*VLOOKUP(E29,ESCALAS!$A$12:$B$16,2,FALSE)&gt;=ESCALAS!$B$21,"MODERADO","BAJO")))</f>
        <v/>
      </c>
      <c r="G29" s="24" t="n"/>
      <c r="H29" s="24" t="n"/>
      <c r="I29" s="8" t="inlineStr">
        <is>
          <t>Entidad (DRTC)</t>
        </is>
      </c>
      <c r="J29" s="24" t="n"/>
    </row>
    <row r="30" ht="30" customHeight="1">
      <c r="A30" s="21" t="inlineStr">
        <is>
          <t>R-25</t>
        </is>
      </c>
      <c r="B30" s="6" t="inlineStr">
        <is>
          <t>Áreas de depósito de material excedente (DME) insuficientes</t>
        </is>
      </c>
      <c r="C30" s="24" t="inlineStr">
        <is>
          <t>Activo</t>
        </is>
      </c>
      <c r="D30" s="24" t="n"/>
      <c r="E30" s="24" t="n"/>
      <c r="F30" s="27">
        <f>IF(OR(D30="",E30=""),"",IF(VLOOKUP(D30,ESCALAS!$A$5:$B$9,2,FALSE)*VLOOKUP(E30,ESCALAS!$A$12:$B$16,2,FALSE)&gt;=ESCALAS!$B$20,"ALTO",IF(VLOOKUP(D30,ESCALAS!$A$5:$B$9,2,FALSE)*VLOOKUP(E30,ESCALAS!$A$12:$B$16,2,FALSE)&gt;=ESCALAS!$B$21,"MODERADO","BAJO")))</f>
        <v/>
      </c>
      <c r="G30" s="24" t="n"/>
      <c r="H30" s="24" t="n"/>
      <c r="I30" s="8" t="inlineStr">
        <is>
          <t>Entidad (expediente) / Especialista ambiental</t>
        </is>
      </c>
      <c r="J30" s="24" t="n"/>
    </row>
    <row r="31" ht="30" customHeight="1">
      <c r="A31" s="21" t="inlineStr">
        <is>
          <t>R-26</t>
        </is>
      </c>
      <c r="B31" s="6" t="inlineStr">
        <is>
          <t>Contaminación de quebradas y suelos (sedimentos, derrames de asfalto y combustible)</t>
        </is>
      </c>
      <c r="C31" s="24" t="inlineStr">
        <is>
          <t>Activo</t>
        </is>
      </c>
      <c r="D31" s="24" t="n"/>
      <c r="E31" s="24" t="n"/>
      <c r="F31" s="27">
        <f>IF(OR(D31="",E31=""),"",IF(VLOOKUP(D31,ESCALAS!$A$5:$B$9,2,FALSE)*VLOOKUP(E31,ESCALAS!$A$12:$B$16,2,FALSE)&gt;=ESCALAS!$B$20,"ALTO",IF(VLOOKUP(D31,ESCALAS!$A$5:$B$9,2,FALSE)*VLOOKUP(E31,ESCALAS!$A$12:$B$16,2,FALSE)&gt;=ESCALAS!$B$21,"MODERADO","BAJO")))</f>
        <v/>
      </c>
      <c r="G31" s="24" t="n"/>
      <c r="H31" s="24" t="n"/>
      <c r="I31" s="8" t="inlineStr">
        <is>
          <t>Contratista (especialista ambiental)</t>
        </is>
      </c>
      <c r="J31" s="24" t="n"/>
    </row>
    <row r="32" ht="30" customHeight="1">
      <c r="A32" s="21" t="inlineStr">
        <is>
          <t>R-27</t>
        </is>
      </c>
      <c r="B32" s="6" t="inlineStr">
        <is>
          <t>Interrupción prolongada del tránsito y del acceso a las localidades</t>
        </is>
      </c>
      <c r="C32" s="24" t="inlineStr">
        <is>
          <t>Activo</t>
        </is>
      </c>
      <c r="D32" s="24" t="n"/>
      <c r="E32" s="24" t="n"/>
      <c r="F32" s="27">
        <f>IF(OR(D32="",E32=""),"",IF(VLOOKUP(D32,ESCALAS!$A$5:$B$9,2,FALSE)*VLOOKUP(E32,ESCALAS!$A$12:$B$16,2,FALSE)&gt;=ESCALAS!$B$20,"ALTO",IF(VLOOKUP(D32,ESCALAS!$A$5:$B$9,2,FALSE)*VLOOKUP(E32,ESCALAS!$A$12:$B$16,2,FALSE)&gt;=ESCALAS!$B$21,"MODERADO","BAJO")))</f>
        <v/>
      </c>
      <c r="G32" s="24" t="n"/>
      <c r="H32" s="24" t="n"/>
      <c r="I32" s="8" t="inlineStr">
        <is>
          <t>Contratista / Supervisor</t>
        </is>
      </c>
      <c r="J32" s="24" t="n"/>
    </row>
    <row r="33" ht="30" customHeight="1">
      <c r="A33" s="21" t="inlineStr">
        <is>
          <t>R-28</t>
        </is>
      </c>
      <c r="B33" s="6" t="inlineStr">
        <is>
          <t>Calidad deficiente de la carpeta asfáltica o del concreto</t>
        </is>
      </c>
      <c r="C33" s="24" t="inlineStr">
        <is>
          <t>Activo</t>
        </is>
      </c>
      <c r="D33" s="24" t="n"/>
      <c r="E33" s="24" t="n"/>
      <c r="F33" s="27">
        <f>IF(OR(D33="",E33=""),"",IF(VLOOKUP(D33,ESCALAS!$A$5:$B$9,2,FALSE)*VLOOKUP(E33,ESCALAS!$A$12:$B$16,2,FALSE)&gt;=ESCALAS!$B$20,"ALTO",IF(VLOOKUP(D33,ESCALAS!$A$5:$B$9,2,FALSE)*VLOOKUP(E33,ESCALAS!$A$12:$B$16,2,FALSE)&gt;=ESCALAS!$B$21,"MODERADO","BAJO")))</f>
        <v/>
      </c>
      <c r="G33" s="24" t="n"/>
      <c r="H33" s="24" t="n"/>
      <c r="I33" s="8" t="inlineStr">
        <is>
          <t>Contratista / Supervisor</t>
        </is>
      </c>
      <c r="J33" s="24" t="n"/>
    </row>
    <row r="34" ht="30" customHeight="1">
      <c r="A34" s="21" t="inlineStr">
        <is>
          <t>R-29</t>
        </is>
      </c>
      <c r="B34" s="6" t="inlineStr">
        <is>
          <t>Enfermedades transmitidas por vectores (dengue) y emergencias sanitarias en el personal</t>
        </is>
      </c>
      <c r="C34" s="24" t="inlineStr">
        <is>
          <t>Activo</t>
        </is>
      </c>
      <c r="D34" s="24" t="n"/>
      <c r="E34" s="24" t="n"/>
      <c r="F34" s="27">
        <f>IF(OR(D34="",E34=""),"",IF(VLOOKUP(D34,ESCALAS!$A$5:$B$9,2,FALSE)*VLOOKUP(E34,ESCALAS!$A$12:$B$16,2,FALSE)&gt;=ESCALAS!$B$20,"ALTO",IF(VLOOKUP(D34,ESCALAS!$A$5:$B$9,2,FALSE)*VLOOKUP(E34,ESCALAS!$A$12:$B$16,2,FALSE)&gt;=ESCALAS!$B$21,"MODERADO","BAJO")))</f>
        <v/>
      </c>
      <c r="G34" s="24" t="n"/>
      <c r="H34" s="24" t="n"/>
      <c r="I34" s="8" t="inlineStr">
        <is>
          <t>Contratista</t>
        </is>
      </c>
      <c r="J34" s="24" t="n"/>
    </row>
    <row r="35" ht="30" customHeight="1">
      <c r="A35" s="21" t="inlineStr">
        <is>
          <t>R-30</t>
        </is>
      </c>
      <c r="B35" s="6" t="inlineStr">
        <is>
          <t>Conflictos laborales y presión de gremios de construcción civil</t>
        </is>
      </c>
      <c r="C35" s="24" t="inlineStr">
        <is>
          <t>Activo</t>
        </is>
      </c>
      <c r="D35" s="24" t="n"/>
      <c r="E35" s="24" t="n"/>
      <c r="F35" s="27">
        <f>IF(OR(D35="",E35=""),"",IF(VLOOKUP(D35,ESCALAS!$A$5:$B$9,2,FALSE)*VLOOKUP(E35,ESCALAS!$A$12:$B$16,2,FALSE)&gt;=ESCALAS!$B$20,"ALTO",IF(VLOOKUP(D35,ESCALAS!$A$5:$B$9,2,FALSE)*VLOOKUP(E35,ESCALAS!$A$12:$B$16,2,FALSE)&gt;=ESCALAS!$B$21,"MODERADO","BAJO")))</f>
        <v/>
      </c>
      <c r="G35" s="24" t="n"/>
      <c r="H35" s="24" t="n"/>
      <c r="I35" s="8" t="inlineStr">
        <is>
          <t>Contratista</t>
        </is>
      </c>
      <c r="J35" s="24" t="n"/>
    </row>
    <row r="36" ht="30" customHeight="1">
      <c r="A36" s="21" t="inlineStr">
        <is>
          <t>R-31</t>
        </is>
      </c>
      <c r="B36" s="6" t="inlineStr">
        <is>
          <t>Robo y vandalismo de materiales, señales y equipos</t>
        </is>
      </c>
      <c r="C36" s="24" t="inlineStr">
        <is>
          <t>Activo</t>
        </is>
      </c>
      <c r="D36" s="24" t="n"/>
      <c r="E36" s="24" t="n"/>
      <c r="F36" s="27">
        <f>IF(OR(D36="",E36=""),"",IF(VLOOKUP(D36,ESCALAS!$A$5:$B$9,2,FALSE)*VLOOKUP(E36,ESCALAS!$A$12:$B$16,2,FALSE)&gt;=ESCALAS!$B$20,"ALTO",IF(VLOOKUP(D36,ESCALAS!$A$5:$B$9,2,FALSE)*VLOOKUP(E36,ESCALAS!$A$12:$B$16,2,FALSE)&gt;=ESCALAS!$B$21,"MODERADO","BAJO")))</f>
        <v/>
      </c>
      <c r="G36" s="24" t="n"/>
      <c r="H36" s="24" t="n"/>
      <c r="I36" s="8" t="inlineStr">
        <is>
          <t>Contratista</t>
        </is>
      </c>
      <c r="J36" s="24" t="n"/>
    </row>
    <row r="37" ht="30" customHeight="1">
      <c r="A37" s="21" t="inlineStr">
        <is>
          <t>R-32</t>
        </is>
      </c>
      <c r="B37" s="6" t="inlineStr">
        <is>
          <t>Incendios y quemas agrícolas en época seca</t>
        </is>
      </c>
      <c r="C37" s="24" t="inlineStr">
        <is>
          <t>Activo</t>
        </is>
      </c>
      <c r="D37" s="24" t="n"/>
      <c r="E37" s="24" t="n"/>
      <c r="F37" s="27">
        <f>IF(OR(D37="",E37=""),"",IF(VLOOKUP(D37,ESCALAS!$A$5:$B$9,2,FALSE)*VLOOKUP(E37,ESCALAS!$A$12:$B$16,2,FALSE)&gt;=ESCALAS!$B$20,"ALTO",IF(VLOOKUP(D37,ESCALAS!$A$5:$B$9,2,FALSE)*VLOOKUP(E37,ESCALAS!$A$12:$B$16,2,FALSE)&gt;=ESCALAS!$B$21,"MODERADO","BAJO")))</f>
        <v/>
      </c>
      <c r="G37" s="24" t="n"/>
      <c r="H37" s="24" t="n"/>
      <c r="I37" s="8" t="inlineStr">
        <is>
          <t>Contratista</t>
        </is>
      </c>
      <c r="J37" s="24" t="n"/>
    </row>
    <row r="38" ht="30" customHeight="1">
      <c r="A38" s="21" t="inlineStr">
        <is>
          <t>R-33</t>
        </is>
      </c>
      <c r="B38" s="6" t="inlineStr">
        <is>
          <t>Falla de los puentes existentes por el paso de equipo pesado antes de su reemplazo</t>
        </is>
      </c>
      <c r="C38" s="24" t="inlineStr">
        <is>
          <t>Activo</t>
        </is>
      </c>
      <c r="D38" s="24" t="n"/>
      <c r="E38" s="24" t="n"/>
      <c r="F38" s="27">
        <f>IF(OR(D38="",E38=""),"",IF(VLOOKUP(D38,ESCALAS!$A$5:$B$9,2,FALSE)*VLOOKUP(E38,ESCALAS!$A$12:$B$16,2,FALSE)&gt;=ESCALAS!$B$20,"ALTO",IF(VLOOKUP(D38,ESCALAS!$A$5:$B$9,2,FALSE)*VLOOKUP(E38,ESCALAS!$A$12:$B$16,2,FALSE)&gt;=ESCALAS!$B$21,"MODERADO","BAJO")))</f>
        <v/>
      </c>
      <c r="G38" s="24" t="n"/>
      <c r="H38" s="24" t="n"/>
      <c r="I38" s="8" t="inlineStr">
        <is>
          <t>Contratista / Supervisor</t>
        </is>
      </c>
      <c r="J38" s="24" t="n"/>
    </row>
    <row r="39" ht="30" customHeight="1">
      <c r="A39" s="21" t="inlineStr">
        <is>
          <t>R-34</t>
        </is>
      </c>
      <c r="B39" s="6" t="inlineStr">
        <is>
          <t>Cambio de diseño de puentes por condiciones de cauce, socavación o cimentación distintas</t>
        </is>
      </c>
      <c r="C39" s="24" t="inlineStr">
        <is>
          <t>Activo</t>
        </is>
      </c>
      <c r="D39" s="24" t="n"/>
      <c r="E39" s="24" t="n"/>
      <c r="F39" s="27">
        <f>IF(OR(D39="",E39=""),"",IF(VLOOKUP(D39,ESCALAS!$A$5:$B$9,2,FALSE)*VLOOKUP(E39,ESCALAS!$A$12:$B$16,2,FALSE)&gt;=ESCALAS!$B$20,"ALTO",IF(VLOOKUP(D39,ESCALAS!$A$5:$B$9,2,FALSE)*VLOOKUP(E39,ESCALAS!$A$12:$B$16,2,FALSE)&gt;=ESCALAS!$B$21,"MODERADO","BAJO")))</f>
        <v/>
      </c>
      <c r="G39" s="24" t="n"/>
      <c r="H39" s="24" t="n"/>
      <c r="I39" s="8" t="inlineStr">
        <is>
          <t>Entidad / Proyectista</t>
        </is>
      </c>
      <c r="J39" s="24" t="n"/>
    </row>
    <row r="40">
      <c r="A40" s="46" t="inlineStr">
        <is>
          <t>R-35</t>
        </is>
      </c>
      <c r="B40" s="8" t="n"/>
      <c r="C40" s="24" t="inlineStr">
        <is>
          <t>Nuevo</t>
        </is>
      </c>
      <c r="D40" s="8" t="n"/>
      <c r="E40" s="8" t="n"/>
      <c r="F40" s="8" t="n"/>
      <c r="G40" s="8" t="n"/>
      <c r="H40" s="8" t="n"/>
      <c r="I40" s="8" t="n"/>
      <c r="J40" s="8" t="n"/>
    </row>
    <row r="41">
      <c r="A41" s="46" t="inlineStr">
        <is>
          <t>R-36</t>
        </is>
      </c>
      <c r="B41" s="8" t="n"/>
      <c r="C41" s="24" t="inlineStr">
        <is>
          <t>Nuevo</t>
        </is>
      </c>
      <c r="D41" s="8" t="n"/>
      <c r="E41" s="8" t="n"/>
      <c r="F41" s="8" t="n"/>
      <c r="G41" s="8" t="n"/>
      <c r="H41" s="8" t="n"/>
      <c r="I41" s="8" t="n"/>
      <c r="J41" s="8" t="n"/>
    </row>
    <row r="42">
      <c r="A42" s="46" t="inlineStr">
        <is>
          <t>R-37</t>
        </is>
      </c>
      <c r="B42" s="8" t="n"/>
      <c r="C42" s="24" t="inlineStr">
        <is>
          <t>Nuevo</t>
        </is>
      </c>
      <c r="D42" s="8" t="n"/>
      <c r="E42" s="8" t="n"/>
      <c r="F42" s="8" t="n"/>
      <c r="G42" s="8" t="n"/>
      <c r="H42" s="8" t="n"/>
      <c r="I42" s="8" t="n"/>
      <c r="J42" s="8" t="n"/>
    </row>
    <row r="43">
      <c r="A43" s="46" t="inlineStr">
        <is>
          <t>R-38</t>
        </is>
      </c>
      <c r="B43" s="8" t="n"/>
      <c r="C43" s="24" t="inlineStr">
        <is>
          <t>Nuevo</t>
        </is>
      </c>
      <c r="D43" s="8" t="n"/>
      <c r="E43" s="8" t="n"/>
      <c r="F43" s="8" t="n"/>
      <c r="G43" s="8" t="n"/>
      <c r="H43" s="8" t="n"/>
      <c r="I43" s="8" t="n"/>
      <c r="J43" s="8" t="n"/>
    </row>
    <row r="44">
      <c r="A44" s="46" t="inlineStr">
        <is>
          <t>R-39</t>
        </is>
      </c>
      <c r="B44" s="8" t="n"/>
      <c r="C44" s="24" t="inlineStr">
        <is>
          <t>Nuevo</t>
        </is>
      </c>
      <c r="D44" s="8" t="n"/>
      <c r="E44" s="8" t="n"/>
      <c r="F44" s="8" t="n"/>
      <c r="G44" s="8" t="n"/>
      <c r="H44" s="8" t="n"/>
      <c r="I44" s="8" t="n"/>
      <c r="J44" s="8" t="n"/>
    </row>
  </sheetData>
  <conditionalFormatting sqref="F6:F39">
    <cfRule type="cellIs" priority="1" operator="equal" dxfId="0">
      <formula>"ALTO"</formula>
    </cfRule>
    <cfRule type="cellIs" priority="2" operator="equal" dxfId="1">
      <formula>"MODERADO"</formula>
    </cfRule>
    <cfRule type="cellIs" priority="3" operator="equal" dxfId="2">
      <formula>"BAJO"</formula>
    </cfRule>
  </conditionalFormatting>
  <dataValidations count="4">
    <dataValidation sqref="C6 C7 C8 C9 C10 C11 C12 C13 C14 C15 C16 C17 C18 C19 C20 C21 C22 C23 C24 C25 C26 C27 C28 C29 C30 C31 C32 C33 C34 C35 C36 C37 C38 C39 C40 C41 C42 C43 C44" showDropDown="0" showInputMessage="0" showErrorMessage="0" allowBlank="0" type="list">
      <formula1>"Activo,Ocurrido,Cerrado,Nuevo"</formula1>
    </dataValidation>
    <dataValidation sqref="G6 G7 G8 G9 G10 G11 G12 G13 G14 G15 G16 G17 G18 G19 G20 G21 G22 G23 G24 G25 G26 G27 G28 G29 G30 G31 G32 G33 G34 G35 G36 G37 G38 G39" showDropDown="0" showInputMessage="0" showErrorMessage="0" allowBlank="0" type="list">
      <formula1>"SI,NO"</formula1>
    </dataValidation>
    <dataValidation sqref="D6 D7 D8 D9 D10 D11 D12 D13 D14 D15 D16 D17 D18 D19 D20 D21 D22 D23 D24 D25 D26 D27 D28 D29 D30 D31 D32 D33 D34 D35 D36 D37 D38 D39" showDropDown="0" showInputMessage="0" showErrorMessage="0" allowBlank="0" type="list">
      <formula1>=ESCALAS!$A$5:$A$9</formula1>
    </dataValidation>
    <dataValidation sqref="E6 E7 E8 E9 E10 E11 E12 E13 E14 E15 E16 E17 E18 E19 E20 E21 E22 E23 E24 E25 E26 E27 E28 E29 E30 E31 E32 E33 E34 E35 E36 E37 E38 E39" showDropDown="0" showInputMessage="0" showErrorMessage="0" allowBlank="0" type="list">
      <formula1>=ESCALAS!$A$12:$A$16</formula1>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G18"/>
  <sheetViews>
    <sheetView showGridLines="0"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6" customWidth="1" min="6" max="6"/>
    <col width="70" customWidth="1" min="7" max="7"/>
  </cols>
  <sheetData>
    <row r="1">
      <c r="A1" s="1" t="inlineStr">
        <is>
          <t>LLUVIA MENSUAL DE REFERENCIA Y PROGRAMACIÓN RECOMENDADA</t>
        </is>
      </c>
    </row>
    <row r="2">
      <c r="A2" s="2" t="inlineStr">
        <is>
          <t>PROYECTO: MEJORAMIENTO DEL SERVICIO DE TRANSITABILIDAD VIAL INTERURBANA EN LA VÍA DEPARTAMENTAL SM-107, TRAMO TINGO DE PONASA - SHAMBOYACU, DISTRITO DE SHAMBOYACU, PROVINCIA DE PICOTA, DEPARTAMENTO DE SAN MARTÍN - CUI N.° 2673852</t>
        </is>
      </c>
    </row>
    <row r="3">
      <c r="A3" s="2" t="inlineStr">
        <is>
          <t>Fuente: NOAA GHCN-Daily, estaciones TARAPOTO (PE000084455, 282 msnm, 1973-2005) y JUANJUI (PEM00084474, 350 msnm, 1973-1994); meses con al menos 90 % de datos. El tramo está entre ambas estaciones (56 y 60 km). Series cortas: usar el estudio hidrológico del expediente para el diseño.</t>
        </is>
      </c>
    </row>
    <row r="5" ht="34" customHeight="1">
      <c r="A5" s="3" t="inlineStr">
        <is>
          <t>MES</t>
        </is>
      </c>
      <c r="B5" s="3" t="inlineStr">
        <is>
          <t>TARAPOTO (mm)</t>
        </is>
      </c>
      <c r="C5" s="3" t="inlineStr">
        <is>
          <t>JUANJUÍ (mm)</t>
        </is>
      </c>
      <c r="D5" s="3" t="inlineStr">
        <is>
          <t>PROMEDIO (mm)</t>
        </is>
      </c>
      <c r="E5" s="3" t="inlineStr">
        <is>
          <t>DÍAS &gt;= 10 mm (prom.)</t>
        </is>
      </c>
      <c r="F5" s="3" t="inlineStr">
        <is>
          <t>TEMPORADA</t>
        </is>
      </c>
      <c r="G5" s="3" t="inlineStr">
        <is>
          <t>PROGRAMACIÓN RECOMENDADA</t>
        </is>
      </c>
    </row>
    <row r="6">
      <c r="A6" s="5" t="inlineStr">
        <is>
          <t>Enero</t>
        </is>
      </c>
      <c r="B6" s="10" t="n">
        <v>71.5</v>
      </c>
      <c r="C6" s="10" t="n">
        <v>108.1</v>
      </c>
      <c r="D6" s="26">
        <f>AVERAGE(B6:C6)</f>
        <v/>
      </c>
      <c r="E6" s="47" t="n">
        <v>2.6</v>
      </c>
      <c r="F6" s="22">
        <f>IF(D6&gt;=110,"LLUVIOSA",IF(D6&gt;=75,"TRANSICIÓN","ESTIAJE"))</f>
        <v/>
      </c>
      <c r="G6" s="23">
        <f>IF(F6="LLUVIOSA","Alcantarillas, cunetas, gaviones, fabricación de vigas, campamento; evitar terraplenes en zonas de arrozal y cimentación de puentes",IF(F6="TRANSICIÓN","Cortes con drenaje de coronación, subbase y base con protección; preparar desvíos de cauce","Cimentación y estribos de puentes, terraplenes en zonas bajas, base y carpeta asfáltica"))</f>
        <v/>
      </c>
    </row>
    <row r="7">
      <c r="A7" s="5" t="inlineStr">
        <is>
          <t>Febrero</t>
        </is>
      </c>
      <c r="B7" s="10" t="n">
        <v>95.59999999999999</v>
      </c>
      <c r="C7" s="10" t="n">
        <v>60</v>
      </c>
      <c r="D7" s="26">
        <f>AVERAGE(B7:C7)</f>
        <v/>
      </c>
      <c r="E7" s="47" t="n">
        <v>2.9</v>
      </c>
      <c r="F7" s="22">
        <f>IF(D7&gt;=110,"LLUVIOSA",IF(D7&gt;=75,"TRANSICIÓN","ESTIAJE"))</f>
        <v/>
      </c>
      <c r="G7" s="23">
        <f>IF(F7="LLUVIOSA","Alcantarillas, cunetas, gaviones, fabricación de vigas, campamento; evitar terraplenes en zonas de arrozal y cimentación de puentes",IF(F7="TRANSICIÓN","Cortes con drenaje de coronación, subbase y base con protección; preparar desvíos de cauce","Cimentación y estribos de puentes, terraplenes en zonas bajas, base y carpeta asfáltica"))</f>
        <v/>
      </c>
    </row>
    <row r="8">
      <c r="A8" s="5" t="inlineStr">
        <is>
          <t>Marzo</t>
        </is>
      </c>
      <c r="B8" s="10" t="n">
        <v>153.3</v>
      </c>
      <c r="C8" s="10" t="n">
        <v>238.9</v>
      </c>
      <c r="D8" s="26">
        <f>AVERAGE(B8:C8)</f>
        <v/>
      </c>
      <c r="E8" s="47" t="n">
        <v>5.2</v>
      </c>
      <c r="F8" s="22">
        <f>IF(D8&gt;=110,"LLUVIOSA",IF(D8&gt;=75,"TRANSICIÓN","ESTIAJE"))</f>
        <v/>
      </c>
      <c r="G8" s="23">
        <f>IF(F8="LLUVIOSA","Alcantarillas, cunetas, gaviones, fabricación de vigas, campamento; evitar terraplenes en zonas de arrozal y cimentación de puentes",IF(F8="TRANSICIÓN","Cortes con drenaje de coronación, subbase y base con protección; preparar desvíos de cauce","Cimentación y estribos de puentes, terraplenes en zonas bajas, base y carpeta asfáltica"))</f>
        <v/>
      </c>
    </row>
    <row r="9">
      <c r="A9" s="5" t="inlineStr">
        <is>
          <t>Abril</t>
        </is>
      </c>
      <c r="B9" s="10" t="n">
        <v>86.3</v>
      </c>
      <c r="C9" s="10" t="n">
        <v>162.1</v>
      </c>
      <c r="D9" s="26">
        <f>AVERAGE(B9:C9)</f>
        <v/>
      </c>
      <c r="E9" s="47" t="n">
        <v>3.3</v>
      </c>
      <c r="F9" s="22">
        <f>IF(D9&gt;=110,"LLUVIOSA",IF(D9&gt;=75,"TRANSICIÓN","ESTIAJE"))</f>
        <v/>
      </c>
      <c r="G9" s="23">
        <f>IF(F9="LLUVIOSA","Alcantarillas, cunetas, gaviones, fabricación de vigas, campamento; evitar terraplenes en zonas de arrozal y cimentación de puentes",IF(F9="TRANSICIÓN","Cortes con drenaje de coronación, subbase y base con protección; preparar desvíos de cauce","Cimentación y estribos de puentes, terraplenes en zonas bajas, base y carpeta asfáltica"))</f>
        <v/>
      </c>
    </row>
    <row r="10">
      <c r="A10" s="5" t="inlineStr">
        <is>
          <t>Mayo</t>
        </is>
      </c>
      <c r="B10" s="10" t="n">
        <v>65.7</v>
      </c>
      <c r="C10" s="10" t="n">
        <v>145</v>
      </c>
      <c r="D10" s="26">
        <f>AVERAGE(B10:C10)</f>
        <v/>
      </c>
      <c r="E10" s="47" t="n">
        <v>2.6</v>
      </c>
      <c r="F10" s="22">
        <f>IF(D10&gt;=110,"LLUVIOSA",IF(D10&gt;=75,"TRANSICIÓN","ESTIAJE"))</f>
        <v/>
      </c>
      <c r="G10" s="23">
        <f>IF(F10="LLUVIOSA","Alcantarillas, cunetas, gaviones, fabricación de vigas, campamento; evitar terraplenes en zonas de arrozal y cimentación de puentes",IF(F10="TRANSICIÓN","Cortes con drenaje de coronación, subbase y base con protección; preparar desvíos de cauce","Cimentación y estribos de puentes, terraplenes en zonas bajas, base y carpeta asfáltica"))</f>
        <v/>
      </c>
    </row>
    <row r="11">
      <c r="A11" s="5" t="inlineStr">
        <is>
          <t>Junio</t>
        </is>
      </c>
      <c r="B11" s="10" t="n">
        <v>92.90000000000001</v>
      </c>
      <c r="C11" s="10" t="n">
        <v>113.2</v>
      </c>
      <c r="D11" s="26">
        <f>AVERAGE(B11:C11)</f>
        <v/>
      </c>
      <c r="E11" s="47" t="n">
        <v>2.5</v>
      </c>
      <c r="F11" s="22">
        <f>IF(D11&gt;=110,"LLUVIOSA",IF(D11&gt;=75,"TRANSICIÓN","ESTIAJE"))</f>
        <v/>
      </c>
      <c r="G11" s="23">
        <f>IF(F11="LLUVIOSA","Alcantarillas, cunetas, gaviones, fabricación de vigas, campamento; evitar terraplenes en zonas de arrozal y cimentación de puentes",IF(F11="TRANSICIÓN","Cortes con drenaje de coronación, subbase y base con protección; preparar desvíos de cauce","Cimentación y estribos de puentes, terraplenes en zonas bajas, base y carpeta asfáltica"))</f>
        <v/>
      </c>
    </row>
    <row r="12">
      <c r="A12" s="5" t="inlineStr">
        <is>
          <t>Julio</t>
        </is>
      </c>
      <c r="B12" s="10" t="n">
        <v>29.8</v>
      </c>
      <c r="C12" s="10" t="n">
        <v>82.3</v>
      </c>
      <c r="D12" s="26">
        <f>AVERAGE(B12:C12)</f>
        <v/>
      </c>
      <c r="E12" s="47" t="n">
        <v>1.5</v>
      </c>
      <c r="F12" s="22">
        <f>IF(D12&gt;=110,"LLUVIOSA",IF(D12&gt;=75,"TRANSICIÓN","ESTIAJE"))</f>
        <v/>
      </c>
      <c r="G12" s="23">
        <f>IF(F12="LLUVIOSA","Alcantarillas, cunetas, gaviones, fabricación de vigas, campamento; evitar terraplenes en zonas de arrozal y cimentación de puentes",IF(F12="TRANSICIÓN","Cortes con drenaje de coronación, subbase y base con protección; preparar desvíos de cauce","Cimentación y estribos de puentes, terraplenes en zonas bajas, base y carpeta asfáltica"))</f>
        <v/>
      </c>
    </row>
    <row r="13">
      <c r="A13" s="5" t="inlineStr">
        <is>
          <t>Agosto</t>
        </is>
      </c>
      <c r="B13" s="10" t="n">
        <v>74.7</v>
      </c>
      <c r="C13" s="10" t="n">
        <v>41.7</v>
      </c>
      <c r="D13" s="26">
        <f>AVERAGE(B13:C13)</f>
        <v/>
      </c>
      <c r="E13" s="47" t="n">
        <v>1.8</v>
      </c>
      <c r="F13" s="22">
        <f>IF(D13&gt;=110,"LLUVIOSA",IF(D13&gt;=75,"TRANSICIÓN","ESTIAJE"))</f>
        <v/>
      </c>
      <c r="G13" s="23">
        <f>IF(F13="LLUVIOSA","Alcantarillas, cunetas, gaviones, fabricación de vigas, campamento; evitar terraplenes en zonas de arrozal y cimentación de puentes",IF(F13="TRANSICIÓN","Cortes con drenaje de coronación, subbase y base con protección; preparar desvíos de cauce","Cimentación y estribos de puentes, terraplenes en zonas bajas, base y carpeta asfáltica"))</f>
        <v/>
      </c>
    </row>
    <row r="14">
      <c r="A14" s="5" t="inlineStr">
        <is>
          <t>Setiembre</t>
        </is>
      </c>
      <c r="B14" s="10" t="n">
        <v>74.09999999999999</v>
      </c>
      <c r="C14" s="10" t="n">
        <v>62.2</v>
      </c>
      <c r="D14" s="26">
        <f>AVERAGE(B14:C14)</f>
        <v/>
      </c>
      <c r="E14" s="47" t="n">
        <v>2.3</v>
      </c>
      <c r="F14" s="22">
        <f>IF(D14&gt;=110,"LLUVIOSA",IF(D14&gt;=75,"TRANSICIÓN","ESTIAJE"))</f>
        <v/>
      </c>
      <c r="G14" s="23">
        <f>IF(F14="LLUVIOSA","Alcantarillas, cunetas, gaviones, fabricación de vigas, campamento; evitar terraplenes en zonas de arrozal y cimentación de puentes",IF(F14="TRANSICIÓN","Cortes con drenaje de coronación, subbase y base con protección; preparar desvíos de cauce","Cimentación y estribos de puentes, terraplenes en zonas bajas, base y carpeta asfáltica"))</f>
        <v/>
      </c>
    </row>
    <row r="15">
      <c r="A15" s="5" t="inlineStr">
        <is>
          <t>Octubre</t>
        </is>
      </c>
      <c r="B15" s="10" t="n">
        <v>90.59999999999999</v>
      </c>
      <c r="C15" s="10" t="n">
        <v>161.5</v>
      </c>
      <c r="D15" s="26">
        <f>AVERAGE(B15:C15)</f>
        <v/>
      </c>
      <c r="E15" s="47" t="n">
        <v>3.8</v>
      </c>
      <c r="F15" s="22">
        <f>IF(D15&gt;=110,"LLUVIOSA",IF(D15&gt;=75,"TRANSICIÓN","ESTIAJE"))</f>
        <v/>
      </c>
      <c r="G15" s="23">
        <f>IF(F15="LLUVIOSA","Alcantarillas, cunetas, gaviones, fabricación de vigas, campamento; evitar terraplenes en zonas de arrozal y cimentación de puentes",IF(F15="TRANSICIÓN","Cortes con drenaje de coronación, subbase y base con protección; preparar desvíos de cauce","Cimentación y estribos de puentes, terraplenes en zonas bajas, base y carpeta asfáltica"))</f>
        <v/>
      </c>
    </row>
    <row r="16">
      <c r="A16" s="5" t="inlineStr">
        <is>
          <t>Noviembre</t>
        </is>
      </c>
      <c r="B16" s="10" t="n">
        <v>94.40000000000001</v>
      </c>
      <c r="C16" s="10" t="n">
        <v>177.1</v>
      </c>
      <c r="D16" s="26">
        <f>AVERAGE(B16:C16)</f>
        <v/>
      </c>
      <c r="E16" s="47" t="n">
        <v>3.9</v>
      </c>
      <c r="F16" s="22">
        <f>IF(D16&gt;=110,"LLUVIOSA",IF(D16&gt;=75,"TRANSICIÓN","ESTIAJE"))</f>
        <v/>
      </c>
      <c r="G16" s="23">
        <f>IF(F16="LLUVIOSA","Alcantarillas, cunetas, gaviones, fabricación de vigas, campamento; evitar terraplenes en zonas de arrozal y cimentación de puentes",IF(F16="TRANSICIÓN","Cortes con drenaje de coronación, subbase y base con protección; preparar desvíos de cauce","Cimentación y estribos de puentes, terraplenes en zonas bajas, base y carpeta asfáltica"))</f>
        <v/>
      </c>
    </row>
    <row r="17">
      <c r="A17" s="5" t="inlineStr">
        <is>
          <t>Diciembre</t>
        </is>
      </c>
      <c r="B17" s="10" t="n">
        <v>91.2</v>
      </c>
      <c r="C17" s="10" t="n">
        <v>119</v>
      </c>
      <c r="D17" s="26">
        <f>AVERAGE(B17:C17)</f>
        <v/>
      </c>
      <c r="E17" s="47" t="n">
        <v>3</v>
      </c>
      <c r="F17" s="22">
        <f>IF(D17&gt;=110,"LLUVIOSA",IF(D17&gt;=75,"TRANSICIÓN","ESTIAJE"))</f>
        <v/>
      </c>
      <c r="G17" s="23">
        <f>IF(F17="LLUVIOSA","Alcantarillas, cunetas, gaviones, fabricación de vigas, campamento; evitar terraplenes en zonas de arrozal y cimentación de puentes",IF(F17="TRANSICIÓN","Cortes con drenaje de coronación, subbase y base con protección; preparar desvíos de cauce","Cimentación y estribos de puentes, terraplenes en zonas bajas, base y carpeta asfáltica"))</f>
        <v/>
      </c>
    </row>
    <row r="18">
      <c r="A18" s="29" t="inlineStr">
        <is>
          <t>ANUAL</t>
        </is>
      </c>
      <c r="B18" s="48">
        <f>SUM(B6:B17)</f>
        <v/>
      </c>
      <c r="C18" s="48">
        <f>SUM(C6:C17)</f>
        <v/>
      </c>
      <c r="D18" s="48">
        <f>SUM(D6:D17)</f>
        <v/>
      </c>
    </row>
  </sheetData>
  <conditionalFormatting sqref="F6:F17">
    <cfRule type="cellIs" priority="1" operator="equal" dxfId="0">
      <formula>"LLUVIOSA"</formula>
    </cfRule>
    <cfRule type="cellIs" priority="2" operator="equal" dxfId="1">
      <formula>"TRANSICIÓN"</formula>
    </cfRule>
    <cfRule type="cellIs" priority="3" operator="equal" dxfId="2">
      <formula>"ESTIAJE"</formula>
    </cfRule>
  </conditionalFormatting>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2026-10-16T23:45:49Z</dcterms:created>
  <dcterms:modified xmlns:dcterms="http://purl.org/dc/terms/" xmlns:xsi="http://www.w3.org/2001/XMLSchema-instance" xsi:type="dcterms:W3CDTF">2026-10-16T23:45:49Z</dcterms:modified>
</cp:coreProperties>
</file>