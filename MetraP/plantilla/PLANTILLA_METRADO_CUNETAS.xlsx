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GTBM\ALDEA INFANTIL\SOLANGE\"/>
    </mc:Choice>
  </mc:AlternateContent>
  <xr:revisionPtr revIDLastSave="0" documentId="13_ncr:1_{384E8F3D-C3A2-47BB-9BE5-470C20CE41B6}" xr6:coauthVersionLast="47" xr6:coauthVersionMax="47" xr10:uidLastSave="{00000000-0000-0000-0000-000000000000}"/>
  <bookViews>
    <workbookView xWindow="-28920" yWindow="-1275" windowWidth="29040" windowHeight="15720" tabRatio="839" activeTab="1" xr2:uid="{73C35D53-4977-439F-8551-B443FB034931}"/>
  </bookViews>
  <sheets>
    <sheet name="RESUMEN" sheetId="3" r:id="rId1"/>
    <sheet name="PLANILLA GENERAL DE METRADOS" sheetId="10" r:id="rId2"/>
    <sheet name="CONCRETO EN CUNETAS" sheetId="4" r:id="rId3"/>
    <sheet name="ENCOFRADO Y DESENCOFRADO" sheetId="9" r:id="rId4"/>
    <sheet name="METRADO MONTANTES" sheetId="8" r:id="rId5"/>
    <sheet name="METRADO  EN PISO (SUMIDERO)" sheetId="16" r:id="rId6"/>
    <sheet name="METRADO ACERO" sheetId="29" r:id="rId7"/>
    <sheet name="METRADO DE CURADO" sheetId="23" r:id="rId8"/>
    <sheet name="METRADO DE REJILLAS" sheetId="22" r:id="rId9"/>
    <sheet name="METRADO JUNTA DE DILATACION" sheetId="31" r:id="rId10"/>
    <sheet name="PLANILLA TAPAS REGISTRO INTERNO" sheetId="26" r:id="rId11"/>
    <sheet name="PARAMETROS" sheetId="27" r:id="rId12"/>
    <sheet name="Listas" sheetId="30" state="hidden" r:id="rId13"/>
  </sheets>
  <definedNames>
    <definedName name="_xlnm.Print_Area" localSheetId="2">'CONCRETO EN CUNETAS'!$A$1:$O$79</definedName>
    <definedName name="_xlnm.Print_Area" localSheetId="3">'ENCOFRADO Y DESENCOFRADO'!$A$1:$P$79</definedName>
    <definedName name="_xlnm.Print_Area" localSheetId="4">'METRADO MONTANTES'!$A$1:$R$59</definedName>
    <definedName name="_xlnm.Print_Area" localSheetId="1">'PLANILLA GENERAL DE METRADOS'!$A$1:$L$160</definedName>
    <definedName name="_xlnm.Print_Area" localSheetId="0">RESUMEN!$A$1:$D$49</definedName>
    <definedName name="_xlnm.Print_Titles" localSheetId="2">'CONCRETO EN CUNETAS'!$1:$8</definedName>
    <definedName name="_xlnm.Print_Titles" localSheetId="3">'ENCOFRADO Y DESENCOFRADO'!$2:$7</definedName>
    <definedName name="_xlnm.Print_Titles" localSheetId="4">'METRADO MONTANTES'!$1:$10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26" l="1"/>
  <c r="G8" i="22"/>
  <c r="G9" i="22"/>
  <c r="G10" i="22"/>
  <c r="G11" i="22"/>
  <c r="G12" i="22"/>
  <c r="G13" i="22"/>
  <c r="G14" i="22"/>
  <c r="G15" i="22"/>
  <c r="G16" i="22"/>
  <c r="G17" i="22"/>
  <c r="G18" i="22"/>
  <c r="G19" i="22"/>
  <c r="G20" i="22"/>
  <c r="G21" i="22"/>
  <c r="G22" i="22"/>
  <c r="G23" i="22"/>
  <c r="G24" i="22"/>
  <c r="G25" i="22"/>
  <c r="G26" i="22"/>
  <c r="G27" i="22"/>
  <c r="G28" i="22"/>
  <c r="G29" i="22"/>
  <c r="G30" i="22"/>
  <c r="G31" i="22"/>
  <c r="G32" i="22"/>
  <c r="G33" i="22"/>
  <c r="G34" i="22"/>
  <c r="G35" i="22"/>
  <c r="G36" i="22"/>
  <c r="N8" i="23"/>
  <c r="N9" i="23"/>
  <c r="N10" i="23"/>
  <c r="N11" i="23"/>
  <c r="N12" i="23"/>
  <c r="N13" i="23"/>
  <c r="N14" i="23"/>
  <c r="N15" i="23"/>
  <c r="N16" i="23"/>
  <c r="N17" i="23"/>
  <c r="N18" i="23"/>
  <c r="N19" i="23"/>
  <c r="N20" i="23"/>
  <c r="N21" i="23"/>
  <c r="N22" i="23"/>
  <c r="N23" i="23"/>
  <c r="N24" i="23"/>
  <c r="N25" i="23"/>
  <c r="N26" i="23"/>
  <c r="N27" i="23"/>
  <c r="N28" i="23"/>
  <c r="N29" i="23"/>
  <c r="N30" i="23"/>
  <c r="N31" i="23"/>
  <c r="N32" i="23"/>
  <c r="N33" i="23"/>
  <c r="N34" i="23"/>
  <c r="N35" i="23"/>
  <c r="N36" i="23"/>
  <c r="I31" i="23"/>
  <c r="J31" i="23"/>
  <c r="K31" i="23"/>
  <c r="M31" i="23" s="1"/>
  <c r="L31" i="23"/>
  <c r="I17" i="23"/>
  <c r="J17" i="23"/>
  <c r="I16" i="23"/>
  <c r="J16" i="23"/>
  <c r="K17" i="23"/>
  <c r="L17" i="23"/>
  <c r="K16" i="23"/>
  <c r="L16" i="23"/>
  <c r="I8" i="23"/>
  <c r="J8" i="23"/>
  <c r="K8" i="23"/>
  <c r="L8" i="23"/>
  <c r="M8" i="23"/>
  <c r="I9" i="23"/>
  <c r="J9" i="23"/>
  <c r="K9" i="23"/>
  <c r="L9" i="23"/>
  <c r="M9" i="23"/>
  <c r="I10" i="23"/>
  <c r="J10" i="23"/>
  <c r="K10" i="23"/>
  <c r="L10" i="23"/>
  <c r="M10" i="23" s="1"/>
  <c r="I11" i="23"/>
  <c r="J11" i="23"/>
  <c r="K11" i="23"/>
  <c r="L11" i="23"/>
  <c r="M11" i="23"/>
  <c r="I12" i="23"/>
  <c r="J12" i="23"/>
  <c r="K12" i="23"/>
  <c r="L12" i="23"/>
  <c r="M12" i="23" s="1"/>
  <c r="I13" i="23"/>
  <c r="J13" i="23" s="1"/>
  <c r="K13" i="23"/>
  <c r="L13" i="23"/>
  <c r="I14" i="23"/>
  <c r="J14" i="23"/>
  <c r="K14" i="23"/>
  <c r="L14" i="23"/>
  <c r="M14" i="23"/>
  <c r="I15" i="23"/>
  <c r="J15" i="23"/>
  <c r="K15" i="23"/>
  <c r="L15" i="23"/>
  <c r="M15" i="23"/>
  <c r="I18" i="23"/>
  <c r="J18" i="23"/>
  <c r="K18" i="23"/>
  <c r="L18" i="23"/>
  <c r="M18" i="23"/>
  <c r="I19" i="23"/>
  <c r="J19" i="23"/>
  <c r="K19" i="23"/>
  <c r="L19" i="23"/>
  <c r="I20" i="23"/>
  <c r="J20" i="23"/>
  <c r="K20" i="23"/>
  <c r="L20" i="23"/>
  <c r="M20" i="23" s="1"/>
  <c r="I21" i="23"/>
  <c r="J21" i="23"/>
  <c r="K21" i="23"/>
  <c r="L21" i="23"/>
  <c r="M21" i="23" s="1"/>
  <c r="I22" i="23"/>
  <c r="J22" i="23"/>
  <c r="K22" i="23"/>
  <c r="L22" i="23"/>
  <c r="I23" i="23"/>
  <c r="J23" i="23" s="1"/>
  <c r="K23" i="23"/>
  <c r="L23" i="23"/>
  <c r="I24" i="23"/>
  <c r="J24" i="23" s="1"/>
  <c r="K24" i="23"/>
  <c r="L24" i="23"/>
  <c r="I25" i="23"/>
  <c r="J25" i="23"/>
  <c r="K25" i="23"/>
  <c r="L25" i="23"/>
  <c r="I26" i="23"/>
  <c r="J26" i="23" s="1"/>
  <c r="K26" i="23"/>
  <c r="L26" i="23"/>
  <c r="I27" i="23"/>
  <c r="J27" i="23"/>
  <c r="K27" i="23"/>
  <c r="L27" i="23"/>
  <c r="M27" i="23"/>
  <c r="I28" i="23"/>
  <c r="J28" i="23"/>
  <c r="K28" i="23"/>
  <c r="L28" i="23"/>
  <c r="M28" i="23" s="1"/>
  <c r="I29" i="23"/>
  <c r="J29" i="23"/>
  <c r="K29" i="23"/>
  <c r="L29" i="23"/>
  <c r="M29" i="23" s="1"/>
  <c r="I30" i="23"/>
  <c r="J30" i="23"/>
  <c r="K30" i="23"/>
  <c r="L30" i="23"/>
  <c r="M30" i="23"/>
  <c r="I32" i="23"/>
  <c r="J32" i="23"/>
  <c r="K32" i="23"/>
  <c r="L32" i="23"/>
  <c r="M32" i="23"/>
  <c r="I33" i="23"/>
  <c r="J33" i="23"/>
  <c r="K33" i="23"/>
  <c r="L33" i="23"/>
  <c r="M33" i="23" s="1"/>
  <c r="I34" i="23"/>
  <c r="J34" i="23" s="1"/>
  <c r="K34" i="23"/>
  <c r="L34" i="23"/>
  <c r="I35" i="23"/>
  <c r="J35" i="23"/>
  <c r="K35" i="23"/>
  <c r="L35" i="23"/>
  <c r="I36" i="23"/>
  <c r="J36" i="23" s="1"/>
  <c r="K36" i="23"/>
  <c r="L36" i="23"/>
  <c r="M13" i="29"/>
  <c r="N13" i="29" s="1"/>
  <c r="O13" i="29" s="1"/>
  <c r="M14" i="29"/>
  <c r="N14" i="29"/>
  <c r="O14" i="29" s="1"/>
  <c r="N77" i="9"/>
  <c r="O75" i="9" s="1"/>
  <c r="P69" i="9" s="1"/>
  <c r="J126" i="10" s="1"/>
  <c r="F77" i="9"/>
  <c r="G75" i="9" s="1"/>
  <c r="H69" i="9" s="1"/>
  <c r="J125" i="10" s="1"/>
  <c r="F65" i="9"/>
  <c r="G63" i="9" s="1"/>
  <c r="H57" i="9" s="1"/>
  <c r="J123" i="10" s="1"/>
  <c r="N53" i="9"/>
  <c r="O51" i="9" s="1"/>
  <c r="P45" i="9" s="1"/>
  <c r="J122" i="10" s="1"/>
  <c r="F53" i="9"/>
  <c r="G51" i="9" s="1"/>
  <c r="H45" i="9" s="1"/>
  <c r="J121" i="10" s="1"/>
  <c r="N42" i="9"/>
  <c r="O40" i="9" s="1"/>
  <c r="P34" i="9" s="1"/>
  <c r="J120" i="10" s="1"/>
  <c r="F42" i="9"/>
  <c r="G40" i="9" s="1"/>
  <c r="H34" i="9" s="1"/>
  <c r="J119" i="10" s="1"/>
  <c r="N20" i="9"/>
  <c r="O18" i="9" s="1"/>
  <c r="P12" i="9" s="1"/>
  <c r="J116" i="10" s="1"/>
  <c r="F20" i="9"/>
  <c r="G18" i="9" s="1"/>
  <c r="H12" i="9" s="1"/>
  <c r="J115" i="10" s="1"/>
  <c r="J39" i="10"/>
  <c r="J40" i="10"/>
  <c r="J41" i="10"/>
  <c r="J42" i="10"/>
  <c r="J43" i="10"/>
  <c r="J44" i="10"/>
  <c r="J45" i="10"/>
  <c r="J46" i="10"/>
  <c r="J47" i="10"/>
  <c r="J48" i="10"/>
  <c r="J49" i="10"/>
  <c r="J50" i="10"/>
  <c r="G21" i="26"/>
  <c r="E21" i="26"/>
  <c r="D21" i="26"/>
  <c r="C21" i="26"/>
  <c r="I21" i="26" s="1"/>
  <c r="J21" i="26" s="1"/>
  <c r="G20" i="26"/>
  <c r="E20" i="26"/>
  <c r="D20" i="26"/>
  <c r="C20" i="26"/>
  <c r="I20" i="26" s="1"/>
  <c r="J20" i="26" s="1"/>
  <c r="J22" i="26" s="1"/>
  <c r="E16" i="26"/>
  <c r="D16" i="26"/>
  <c r="H16" i="26" s="1"/>
  <c r="C16" i="26"/>
  <c r="I16" i="26" s="1"/>
  <c r="J16" i="26" s="1"/>
  <c r="F15" i="26"/>
  <c r="D15" i="26"/>
  <c r="H15" i="26" s="1"/>
  <c r="C15" i="26"/>
  <c r="I15" i="26" s="1"/>
  <c r="J15" i="26" s="1"/>
  <c r="J17" i="26" s="1"/>
  <c r="F12" i="26"/>
  <c r="E12" i="26"/>
  <c r="D12" i="26"/>
  <c r="C12" i="26"/>
  <c r="I12" i="26" s="1"/>
  <c r="J12" i="26" s="1"/>
  <c r="K133" i="10"/>
  <c r="D30" i="3" s="1"/>
  <c r="B5" i="26"/>
  <c r="B4" i="26"/>
  <c r="B3" i="26"/>
  <c r="G7" i="22"/>
  <c r="H4" i="22"/>
  <c r="C4" i="22"/>
  <c r="C3" i="22"/>
  <c r="N7" i="23"/>
  <c r="L7" i="23"/>
  <c r="K7" i="23"/>
  <c r="I7" i="23"/>
  <c r="J7" i="23" s="1"/>
  <c r="M7" i="23" s="1"/>
  <c r="L4" i="23"/>
  <c r="C4" i="23"/>
  <c r="C3" i="23"/>
  <c r="I24" i="31"/>
  <c r="G24" i="31"/>
  <c r="H24" i="31" s="1"/>
  <c r="E24" i="31"/>
  <c r="F24" i="31" s="1"/>
  <c r="I23" i="31"/>
  <c r="G23" i="31"/>
  <c r="H23" i="31" s="1"/>
  <c r="E23" i="31"/>
  <c r="F23" i="31" s="1"/>
  <c r="I22" i="31"/>
  <c r="G22" i="31"/>
  <c r="H22" i="31" s="1"/>
  <c r="E22" i="31"/>
  <c r="F22" i="31" s="1"/>
  <c r="I21" i="31"/>
  <c r="G21" i="31"/>
  <c r="H21" i="31" s="1"/>
  <c r="E21" i="31"/>
  <c r="F21" i="31" s="1"/>
  <c r="I20" i="31"/>
  <c r="G20" i="31"/>
  <c r="H20" i="31" s="1"/>
  <c r="E20" i="31"/>
  <c r="F20" i="31" s="1"/>
  <c r="I19" i="31"/>
  <c r="G19" i="31"/>
  <c r="H19" i="31" s="1"/>
  <c r="E19" i="31"/>
  <c r="F19" i="31" s="1"/>
  <c r="I18" i="31"/>
  <c r="G18" i="31"/>
  <c r="H18" i="31" s="1"/>
  <c r="E18" i="31"/>
  <c r="F18" i="31" s="1"/>
  <c r="I17" i="31"/>
  <c r="G17" i="31"/>
  <c r="H17" i="31" s="1"/>
  <c r="E17" i="31"/>
  <c r="F17" i="31" s="1"/>
  <c r="I16" i="31"/>
  <c r="G16" i="31"/>
  <c r="H16" i="31" s="1"/>
  <c r="E16" i="31"/>
  <c r="F16" i="31" s="1"/>
  <c r="I15" i="31"/>
  <c r="G15" i="31"/>
  <c r="H15" i="31" s="1"/>
  <c r="E15" i="31"/>
  <c r="F15" i="31" s="1"/>
  <c r="I14" i="31"/>
  <c r="G14" i="31"/>
  <c r="H14" i="31" s="1"/>
  <c r="E14" i="31"/>
  <c r="F14" i="31" s="1"/>
  <c r="I13" i="31"/>
  <c r="G13" i="31"/>
  <c r="H13" i="31" s="1"/>
  <c r="E13" i="31"/>
  <c r="F13" i="31" s="1"/>
  <c r="B5" i="31"/>
  <c r="B4" i="31"/>
  <c r="B3" i="31"/>
  <c r="G38" i="29"/>
  <c r="AD37" i="29"/>
  <c r="AC37" i="29"/>
  <c r="AE37" i="29" s="1"/>
  <c r="T37" i="29"/>
  <c r="S37" i="29"/>
  <c r="M37" i="29"/>
  <c r="N37" i="29" s="1"/>
  <c r="O37" i="29" s="1"/>
  <c r="I37" i="29"/>
  <c r="AD36" i="29"/>
  <c r="AC36" i="29"/>
  <c r="AE36" i="29" s="1"/>
  <c r="AF36" i="29" s="1"/>
  <c r="T36" i="29"/>
  <c r="S36" i="29"/>
  <c r="U36" i="29" s="1"/>
  <c r="V36" i="29" s="1"/>
  <c r="M36" i="29"/>
  <c r="N36" i="29" s="1"/>
  <c r="O36" i="29" s="1"/>
  <c r="W36" i="29" s="1"/>
  <c r="I36" i="29"/>
  <c r="AD35" i="29"/>
  <c r="AC35" i="29"/>
  <c r="AE35" i="29" s="1"/>
  <c r="T35" i="29"/>
  <c r="S35" i="29"/>
  <c r="U35" i="29" s="1"/>
  <c r="V35" i="29" s="1"/>
  <c r="M35" i="29"/>
  <c r="N35" i="29" s="1"/>
  <c r="O35" i="29" s="1"/>
  <c r="W35" i="29" s="1"/>
  <c r="I35" i="29"/>
  <c r="AD34" i="29"/>
  <c r="AC34" i="29"/>
  <c r="AE34" i="29" s="1"/>
  <c r="T34" i="29"/>
  <c r="S34" i="29"/>
  <c r="U34" i="29" s="1"/>
  <c r="V34" i="29" s="1"/>
  <c r="M34" i="29"/>
  <c r="N34" i="29" s="1"/>
  <c r="O34" i="29" s="1"/>
  <c r="W34" i="29" s="1"/>
  <c r="I34" i="29"/>
  <c r="AF33" i="29"/>
  <c r="AE33" i="29"/>
  <c r="AD33" i="29"/>
  <c r="AC33" i="29"/>
  <c r="T33" i="29"/>
  <c r="S33" i="29"/>
  <c r="U33" i="29" s="1"/>
  <c r="V33" i="29" s="1"/>
  <c r="M33" i="29"/>
  <c r="N33" i="29" s="1"/>
  <c r="O33" i="29" s="1"/>
  <c r="W33" i="29" s="1"/>
  <c r="AG33" i="29" s="1"/>
  <c r="I33" i="29"/>
  <c r="AD32" i="29"/>
  <c r="AC32" i="29"/>
  <c r="AE32" i="29" s="1"/>
  <c r="T32" i="29"/>
  <c r="S32" i="29"/>
  <c r="U32" i="29" s="1"/>
  <c r="V32" i="29" s="1"/>
  <c r="M32" i="29"/>
  <c r="N32" i="29" s="1"/>
  <c r="O32" i="29" s="1"/>
  <c r="I32" i="29"/>
  <c r="AD31" i="29"/>
  <c r="AC31" i="29"/>
  <c r="AE31" i="29" s="1"/>
  <c r="T31" i="29"/>
  <c r="S31" i="29"/>
  <c r="U31" i="29" s="1"/>
  <c r="V31" i="29" s="1"/>
  <c r="M31" i="29"/>
  <c r="N31" i="29" s="1"/>
  <c r="O31" i="29" s="1"/>
  <c r="W31" i="29" s="1"/>
  <c r="I31" i="29"/>
  <c r="AD30" i="29"/>
  <c r="AC30" i="29"/>
  <c r="AE30" i="29" s="1"/>
  <c r="T30" i="29"/>
  <c r="S30" i="29"/>
  <c r="M30" i="29"/>
  <c r="N30" i="29" s="1"/>
  <c r="O30" i="29" s="1"/>
  <c r="I30" i="29"/>
  <c r="AD29" i="29"/>
  <c r="AC29" i="29"/>
  <c r="AE29" i="29" s="1"/>
  <c r="T29" i="29"/>
  <c r="S29" i="29"/>
  <c r="M29" i="29"/>
  <c r="N29" i="29" s="1"/>
  <c r="O29" i="29" s="1"/>
  <c r="I29" i="29"/>
  <c r="AD28" i="29"/>
  <c r="AC28" i="29"/>
  <c r="AE28" i="29" s="1"/>
  <c r="AF28" i="29" s="1"/>
  <c r="T28" i="29"/>
  <c r="S28" i="29"/>
  <c r="U28" i="29" s="1"/>
  <c r="V28" i="29" s="1"/>
  <c r="M28" i="29"/>
  <c r="N28" i="29" s="1"/>
  <c r="O28" i="29" s="1"/>
  <c r="I28" i="29"/>
  <c r="AD27" i="29"/>
  <c r="AC27" i="29"/>
  <c r="AE27" i="29" s="1"/>
  <c r="AF27" i="29" s="1"/>
  <c r="T27" i="29"/>
  <c r="S27" i="29"/>
  <c r="U27" i="29" s="1"/>
  <c r="V27" i="29" s="1"/>
  <c r="M27" i="29"/>
  <c r="N27" i="29" s="1"/>
  <c r="O27" i="29" s="1"/>
  <c r="W27" i="29" s="1"/>
  <c r="I27" i="29"/>
  <c r="AF26" i="29"/>
  <c r="AE26" i="29"/>
  <c r="AD26" i="29"/>
  <c r="AC26" i="29"/>
  <c r="T26" i="29"/>
  <c r="S26" i="29"/>
  <c r="M26" i="29"/>
  <c r="N26" i="29" s="1"/>
  <c r="O26" i="29" s="1"/>
  <c r="I26" i="29"/>
  <c r="AD25" i="29"/>
  <c r="AC25" i="29"/>
  <c r="AE25" i="29" s="1"/>
  <c r="T25" i="29"/>
  <c r="S25" i="29"/>
  <c r="U25" i="29" s="1"/>
  <c r="V25" i="29" s="1"/>
  <c r="M25" i="29"/>
  <c r="N25" i="29" s="1"/>
  <c r="O25" i="29" s="1"/>
  <c r="I25" i="29"/>
  <c r="AF24" i="29"/>
  <c r="AE24" i="29"/>
  <c r="AD24" i="29"/>
  <c r="AC24" i="29"/>
  <c r="T24" i="29"/>
  <c r="S24" i="29"/>
  <c r="U24" i="29" s="1"/>
  <c r="V24" i="29" s="1"/>
  <c r="M24" i="29"/>
  <c r="N24" i="29" s="1"/>
  <c r="O24" i="29" s="1"/>
  <c r="W24" i="29" s="1"/>
  <c r="AG24" i="29" s="1"/>
  <c r="I24" i="29"/>
  <c r="AD23" i="29"/>
  <c r="AC23" i="29"/>
  <c r="AE23" i="29" s="1"/>
  <c r="T23" i="29"/>
  <c r="S23" i="29"/>
  <c r="U23" i="29" s="1"/>
  <c r="V23" i="29" s="1"/>
  <c r="M23" i="29"/>
  <c r="N23" i="29" s="1"/>
  <c r="O23" i="29" s="1"/>
  <c r="I23" i="29"/>
  <c r="AD22" i="29"/>
  <c r="AC22" i="29"/>
  <c r="AE22" i="29" s="1"/>
  <c r="AF22" i="29" s="1"/>
  <c r="T22" i="29"/>
  <c r="S22" i="29"/>
  <c r="U22" i="29" s="1"/>
  <c r="V22" i="29" s="1"/>
  <c r="M22" i="29"/>
  <c r="N22" i="29" s="1"/>
  <c r="O22" i="29" s="1"/>
  <c r="W22" i="29" s="1"/>
  <c r="AG22" i="29" s="1"/>
  <c r="I22" i="29"/>
  <c r="AD21" i="29"/>
  <c r="AC21" i="29"/>
  <c r="AE21" i="29" s="1"/>
  <c r="T21" i="29"/>
  <c r="S21" i="29"/>
  <c r="M21" i="29"/>
  <c r="N21" i="29" s="1"/>
  <c r="O21" i="29" s="1"/>
  <c r="I21" i="29"/>
  <c r="AD20" i="29"/>
  <c r="AC20" i="29"/>
  <c r="AE20" i="29" s="1"/>
  <c r="AF20" i="29" s="1"/>
  <c r="T20" i="29"/>
  <c r="S20" i="29"/>
  <c r="U20" i="29" s="1"/>
  <c r="V20" i="29" s="1"/>
  <c r="M20" i="29"/>
  <c r="N20" i="29" s="1"/>
  <c r="O20" i="29" s="1"/>
  <c r="I20" i="29"/>
  <c r="AD19" i="29"/>
  <c r="AC19" i="29"/>
  <c r="T19" i="29"/>
  <c r="S19" i="29"/>
  <c r="U19" i="29" s="1"/>
  <c r="V19" i="29" s="1"/>
  <c r="M19" i="29"/>
  <c r="N19" i="29" s="1"/>
  <c r="O19" i="29" s="1"/>
  <c r="I19" i="29"/>
  <c r="AD18" i="29"/>
  <c r="AC18" i="29"/>
  <c r="AE18" i="29" s="1"/>
  <c r="AF18" i="29" s="1"/>
  <c r="T18" i="29"/>
  <c r="S18" i="29"/>
  <c r="U18" i="29" s="1"/>
  <c r="V18" i="29" s="1"/>
  <c r="M18" i="29"/>
  <c r="N18" i="29" s="1"/>
  <c r="O18" i="29" s="1"/>
  <c r="W18" i="29" s="1"/>
  <c r="I18" i="29"/>
  <c r="AF17" i="29"/>
  <c r="AE17" i="29"/>
  <c r="AD17" i="29"/>
  <c r="AC17" i="29"/>
  <c r="T17" i="29"/>
  <c r="S17" i="29"/>
  <c r="U17" i="29" s="1"/>
  <c r="V17" i="29" s="1"/>
  <c r="M17" i="29"/>
  <c r="N17" i="29" s="1"/>
  <c r="O17" i="29" s="1"/>
  <c r="W17" i="29" s="1"/>
  <c r="I17" i="29"/>
  <c r="AD16" i="29"/>
  <c r="AC16" i="29"/>
  <c r="AE16" i="29" s="1"/>
  <c r="T16" i="29"/>
  <c r="S16" i="29"/>
  <c r="M16" i="29"/>
  <c r="N16" i="29" s="1"/>
  <c r="O16" i="29" s="1"/>
  <c r="I16" i="29"/>
  <c r="AD15" i="29"/>
  <c r="AC15" i="29"/>
  <c r="AE15" i="29" s="1"/>
  <c r="AF15" i="29" s="1"/>
  <c r="T15" i="29"/>
  <c r="S15" i="29"/>
  <c r="U15" i="29" s="1"/>
  <c r="V15" i="29" s="1"/>
  <c r="M15" i="29"/>
  <c r="N15" i="29" s="1"/>
  <c r="O15" i="29" s="1"/>
  <c r="I15" i="29"/>
  <c r="AD14" i="29"/>
  <c r="AC14" i="29"/>
  <c r="AE14" i="29" s="1"/>
  <c r="T14" i="29"/>
  <c r="S14" i="29"/>
  <c r="U14" i="29" s="1"/>
  <c r="V14" i="29" s="1"/>
  <c r="I14" i="29"/>
  <c r="AD13" i="29"/>
  <c r="AC13" i="29"/>
  <c r="AE13" i="29" s="1"/>
  <c r="AF13" i="29" s="1"/>
  <c r="T13" i="29"/>
  <c r="S13" i="29"/>
  <c r="I13" i="29"/>
  <c r="AD12" i="29"/>
  <c r="AC12" i="29"/>
  <c r="T12" i="29"/>
  <c r="S12" i="29"/>
  <c r="U12" i="29" s="1"/>
  <c r="V12" i="29" s="1"/>
  <c r="M12" i="29"/>
  <c r="N12" i="29" s="1"/>
  <c r="O12" i="29" s="1"/>
  <c r="W12" i="29" s="1"/>
  <c r="I12" i="29"/>
  <c r="AF11" i="29"/>
  <c r="AE11" i="29"/>
  <c r="AD11" i="29"/>
  <c r="AC11" i="29"/>
  <c r="T11" i="29"/>
  <c r="S11" i="29"/>
  <c r="M11" i="29"/>
  <c r="N11" i="29" s="1"/>
  <c r="I11" i="29"/>
  <c r="B6" i="29"/>
  <c r="B5" i="29"/>
  <c r="B4" i="29"/>
  <c r="B3" i="29"/>
  <c r="F12" i="16"/>
  <c r="K153" i="10" s="1"/>
  <c r="D43" i="3" s="1"/>
  <c r="E12" i="16"/>
  <c r="D12" i="16"/>
  <c r="K152" i="10" s="1"/>
  <c r="D42" i="3" s="1"/>
  <c r="C12" i="16"/>
  <c r="K151" i="10" s="1"/>
  <c r="D41" i="3" s="1"/>
  <c r="B12" i="16"/>
  <c r="K150" i="10" s="1"/>
  <c r="D40" i="3" s="1"/>
  <c r="B5" i="16"/>
  <c r="B4" i="16"/>
  <c r="B3" i="16"/>
  <c r="B2" i="16"/>
  <c r="C57" i="8"/>
  <c r="R56" i="8"/>
  <c r="O56" i="8"/>
  <c r="L56" i="8"/>
  <c r="I56" i="8"/>
  <c r="F56" i="8"/>
  <c r="R55" i="8"/>
  <c r="O55" i="8"/>
  <c r="L55" i="8"/>
  <c r="I55" i="8"/>
  <c r="F55" i="8"/>
  <c r="R54" i="8"/>
  <c r="O54" i="8"/>
  <c r="L54" i="8"/>
  <c r="L57" i="8" s="1"/>
  <c r="K160" i="10" s="1"/>
  <c r="D49" i="3" s="1"/>
  <c r="I54" i="8"/>
  <c r="I57" i="8" s="1"/>
  <c r="K157" i="10" s="1"/>
  <c r="D46" i="3" s="1"/>
  <c r="F54" i="8"/>
  <c r="F57" i="8" s="1"/>
  <c r="K138" i="10" s="1"/>
  <c r="D34" i="3" s="1"/>
  <c r="R53" i="8"/>
  <c r="R57" i="8" s="1"/>
  <c r="K156" i="10" s="1"/>
  <c r="D45" i="3" s="1"/>
  <c r="O53" i="8"/>
  <c r="O57" i="8" s="1"/>
  <c r="K159" i="10" s="1"/>
  <c r="D48" i="3" s="1"/>
  <c r="L53" i="8"/>
  <c r="I53" i="8"/>
  <c r="F53" i="8"/>
  <c r="R52" i="8"/>
  <c r="O52" i="8"/>
  <c r="L52" i="8"/>
  <c r="I52" i="8"/>
  <c r="F52" i="8"/>
  <c r="R51" i="8"/>
  <c r="O51" i="8"/>
  <c r="L51" i="8"/>
  <c r="I51" i="8"/>
  <c r="F51" i="8"/>
  <c r="R49" i="8"/>
  <c r="O49" i="8"/>
  <c r="L49" i="8"/>
  <c r="I49" i="8"/>
  <c r="F49" i="8"/>
  <c r="R48" i="8"/>
  <c r="O48" i="8"/>
  <c r="L48" i="8"/>
  <c r="I48" i="8"/>
  <c r="F48" i="8"/>
  <c r="R46" i="8"/>
  <c r="O46" i="8"/>
  <c r="L46" i="8"/>
  <c r="I46" i="8"/>
  <c r="F46" i="8"/>
  <c r="R45" i="8"/>
  <c r="O45" i="8"/>
  <c r="L45" i="8"/>
  <c r="I45" i="8"/>
  <c r="F45" i="8"/>
  <c r="R43" i="8"/>
  <c r="O43" i="8"/>
  <c r="L43" i="8"/>
  <c r="I43" i="8"/>
  <c r="F43" i="8"/>
  <c r="R42" i="8"/>
  <c r="O42" i="8"/>
  <c r="L42" i="8"/>
  <c r="I42" i="8"/>
  <c r="F42" i="8"/>
  <c r="R40" i="8"/>
  <c r="O40" i="8"/>
  <c r="L40" i="8"/>
  <c r="I40" i="8"/>
  <c r="F40" i="8"/>
  <c r="R39" i="8"/>
  <c r="O39" i="8"/>
  <c r="L39" i="8"/>
  <c r="I39" i="8"/>
  <c r="F39" i="8"/>
  <c r="R37" i="8"/>
  <c r="O37" i="8"/>
  <c r="L37" i="8"/>
  <c r="I37" i="8"/>
  <c r="F37" i="8"/>
  <c r="R36" i="8"/>
  <c r="O36" i="8"/>
  <c r="L36" i="8"/>
  <c r="I36" i="8"/>
  <c r="F36" i="8"/>
  <c r="R34" i="8"/>
  <c r="O34" i="8"/>
  <c r="L34" i="8"/>
  <c r="I34" i="8"/>
  <c r="F34" i="8"/>
  <c r="R33" i="8"/>
  <c r="O33" i="8"/>
  <c r="L33" i="8"/>
  <c r="I33" i="8"/>
  <c r="F33" i="8"/>
  <c r="R31" i="8"/>
  <c r="O31" i="8"/>
  <c r="L31" i="8"/>
  <c r="I31" i="8"/>
  <c r="F31" i="8"/>
  <c r="R30" i="8"/>
  <c r="O30" i="8"/>
  <c r="L30" i="8"/>
  <c r="I30" i="8"/>
  <c r="F30" i="8"/>
  <c r="R28" i="8"/>
  <c r="O28" i="8"/>
  <c r="L28" i="8"/>
  <c r="I28" i="8"/>
  <c r="F28" i="8"/>
  <c r="R27" i="8"/>
  <c r="O27" i="8"/>
  <c r="L27" i="8"/>
  <c r="I27" i="8"/>
  <c r="F27" i="8"/>
  <c r="R25" i="8"/>
  <c r="O25" i="8"/>
  <c r="L25" i="8"/>
  <c r="I25" i="8"/>
  <c r="F25" i="8"/>
  <c r="R24" i="8"/>
  <c r="O24" i="8"/>
  <c r="L24" i="8"/>
  <c r="I24" i="8"/>
  <c r="F24" i="8"/>
  <c r="R22" i="8"/>
  <c r="O22" i="8"/>
  <c r="L22" i="8"/>
  <c r="I22" i="8"/>
  <c r="F22" i="8"/>
  <c r="R21" i="8"/>
  <c r="O21" i="8"/>
  <c r="L21" i="8"/>
  <c r="I21" i="8"/>
  <c r="F21" i="8"/>
  <c r="R19" i="8"/>
  <c r="O19" i="8"/>
  <c r="L19" i="8"/>
  <c r="I19" i="8"/>
  <c r="F19" i="8"/>
  <c r="R18" i="8"/>
  <c r="O18" i="8"/>
  <c r="L18" i="8"/>
  <c r="I18" i="8"/>
  <c r="F18" i="8"/>
  <c r="R16" i="8"/>
  <c r="O16" i="8"/>
  <c r="L16" i="8"/>
  <c r="I16" i="8"/>
  <c r="F16" i="8"/>
  <c r="R15" i="8"/>
  <c r="O15" i="8"/>
  <c r="L15" i="8"/>
  <c r="I15" i="8"/>
  <c r="F15" i="8"/>
  <c r="R13" i="8"/>
  <c r="O13" i="8"/>
  <c r="L13" i="8"/>
  <c r="I13" i="8"/>
  <c r="F13" i="8"/>
  <c r="R12" i="8"/>
  <c r="O12" i="8"/>
  <c r="L12" i="8"/>
  <c r="I12" i="8"/>
  <c r="F12" i="8"/>
  <c r="C6" i="8"/>
  <c r="C5" i="8"/>
  <c r="C4" i="8"/>
  <c r="C3" i="8"/>
  <c r="O73" i="9"/>
  <c r="G73" i="9"/>
  <c r="O71" i="9"/>
  <c r="G71" i="9"/>
  <c r="O69" i="9"/>
  <c r="G69" i="9"/>
  <c r="O63" i="9"/>
  <c r="O61" i="9"/>
  <c r="G61" i="9"/>
  <c r="O59" i="9"/>
  <c r="G59" i="9"/>
  <c r="O57" i="9"/>
  <c r="P57" i="9" s="1"/>
  <c r="J124" i="10" s="1"/>
  <c r="G57" i="9"/>
  <c r="O49" i="9"/>
  <c r="G49" i="9"/>
  <c r="O47" i="9"/>
  <c r="G47" i="9"/>
  <c r="O45" i="9"/>
  <c r="G45" i="9"/>
  <c r="O38" i="9"/>
  <c r="G38" i="9"/>
  <c r="O36" i="9"/>
  <c r="G36" i="9"/>
  <c r="O34" i="9"/>
  <c r="G34" i="9"/>
  <c r="O29" i="9"/>
  <c r="G29" i="9"/>
  <c r="O27" i="9"/>
  <c r="G27" i="9"/>
  <c r="O25" i="9"/>
  <c r="G25" i="9"/>
  <c r="O23" i="9"/>
  <c r="P23" i="9" s="1"/>
  <c r="J118" i="10" s="1"/>
  <c r="G23" i="9"/>
  <c r="O16" i="9"/>
  <c r="G16" i="9"/>
  <c r="O14" i="9"/>
  <c r="G14" i="9"/>
  <c r="O12" i="9"/>
  <c r="G12" i="9"/>
  <c r="C6" i="9"/>
  <c r="C5" i="9"/>
  <c r="C4" i="9"/>
  <c r="C3" i="9"/>
  <c r="N76" i="4"/>
  <c r="F76" i="4"/>
  <c r="N73" i="4"/>
  <c r="F73" i="4"/>
  <c r="N70" i="4"/>
  <c r="F70" i="4"/>
  <c r="G70" i="4" s="1"/>
  <c r="J107" i="10" s="1"/>
  <c r="N64" i="4"/>
  <c r="F64" i="4"/>
  <c r="N61" i="4"/>
  <c r="F61" i="4"/>
  <c r="N58" i="4"/>
  <c r="O58" i="4" s="1"/>
  <c r="J112" i="10" s="1"/>
  <c r="F58" i="4"/>
  <c r="G58" i="4" s="1"/>
  <c r="J106" i="10" s="1"/>
  <c r="N52" i="4"/>
  <c r="F52" i="4"/>
  <c r="N49" i="4"/>
  <c r="F49" i="4"/>
  <c r="N46" i="4"/>
  <c r="O46" i="4" s="1"/>
  <c r="J111" i="10" s="1"/>
  <c r="F46" i="4"/>
  <c r="G46" i="4" s="1"/>
  <c r="J105" i="10" s="1"/>
  <c r="N40" i="4"/>
  <c r="F40" i="4"/>
  <c r="N37" i="4"/>
  <c r="F37" i="4"/>
  <c r="N34" i="4"/>
  <c r="F34" i="4"/>
  <c r="G34" i="4" s="1"/>
  <c r="J104" i="10" s="1"/>
  <c r="N28" i="4"/>
  <c r="F28" i="4"/>
  <c r="N25" i="4"/>
  <c r="F25" i="4"/>
  <c r="N22" i="4"/>
  <c r="O22" i="4" s="1"/>
  <c r="J109" i="10" s="1"/>
  <c r="F22" i="4"/>
  <c r="N16" i="4"/>
  <c r="F16" i="4"/>
  <c r="N13" i="4"/>
  <c r="F13" i="4"/>
  <c r="N10" i="4"/>
  <c r="F10" i="4"/>
  <c r="G10" i="4" s="1"/>
  <c r="J102" i="10" s="1"/>
  <c r="C6" i="4"/>
  <c r="C5" i="4"/>
  <c r="C4" i="4"/>
  <c r="C3" i="4"/>
  <c r="J147" i="10"/>
  <c r="J146" i="10"/>
  <c r="K146" i="10" s="1"/>
  <c r="K145" i="10" s="1"/>
  <c r="D38" i="3" s="1"/>
  <c r="J144" i="10"/>
  <c r="J143" i="10"/>
  <c r="K143" i="10" s="1"/>
  <c r="K142" i="10" s="1"/>
  <c r="D37" i="3" s="1"/>
  <c r="J141" i="10"/>
  <c r="K140" i="10"/>
  <c r="J98" i="10"/>
  <c r="K97" i="10" s="1"/>
  <c r="D21" i="3" s="1"/>
  <c r="J96" i="10"/>
  <c r="J95" i="10"/>
  <c r="J94" i="10"/>
  <c r="J93" i="10"/>
  <c r="J92" i="10"/>
  <c r="J91" i="10"/>
  <c r="J90" i="10"/>
  <c r="J89" i="10"/>
  <c r="J88" i="10"/>
  <c r="J87" i="10"/>
  <c r="J86" i="10"/>
  <c r="J85" i="10"/>
  <c r="K84" i="10"/>
  <c r="D20" i="3" s="1"/>
  <c r="G80" i="10"/>
  <c r="J79" i="10"/>
  <c r="J78" i="10"/>
  <c r="J77" i="10"/>
  <c r="J76" i="10"/>
  <c r="J75" i="10"/>
  <c r="J74" i="10"/>
  <c r="J73" i="10"/>
  <c r="J72" i="10"/>
  <c r="J71" i="10"/>
  <c r="J70" i="10"/>
  <c r="J69" i="10"/>
  <c r="J68" i="10"/>
  <c r="J66" i="10"/>
  <c r="J65" i="10"/>
  <c r="J64" i="10"/>
  <c r="J63" i="10"/>
  <c r="J62" i="10"/>
  <c r="J61" i="10"/>
  <c r="J60" i="10"/>
  <c r="J59" i="10"/>
  <c r="J58" i="10"/>
  <c r="J57" i="10"/>
  <c r="J56" i="10"/>
  <c r="J55" i="10"/>
  <c r="K54" i="10"/>
  <c r="J52" i="10"/>
  <c r="K51" i="10" s="1"/>
  <c r="D15" i="3" s="1"/>
  <c r="J36" i="10"/>
  <c r="J35" i="10"/>
  <c r="J34" i="10"/>
  <c r="J33" i="10"/>
  <c r="J32" i="10"/>
  <c r="J31" i="10"/>
  <c r="J30" i="10"/>
  <c r="J29" i="10"/>
  <c r="J28" i="10"/>
  <c r="J27" i="10"/>
  <c r="J26" i="10"/>
  <c r="J25" i="10"/>
  <c r="K24" i="10"/>
  <c r="D12" i="3" s="1"/>
  <c r="J23" i="10"/>
  <c r="J22" i="10"/>
  <c r="J21" i="10"/>
  <c r="J20" i="10"/>
  <c r="J19" i="10"/>
  <c r="J18" i="10"/>
  <c r="J17" i="10"/>
  <c r="J16" i="10"/>
  <c r="J15" i="10"/>
  <c r="J14" i="10"/>
  <c r="J13" i="10"/>
  <c r="J12" i="10"/>
  <c r="B6" i="10"/>
  <c r="B5" i="10"/>
  <c r="B4" i="10"/>
  <c r="B3" i="10"/>
  <c r="D47" i="3"/>
  <c r="D36" i="3"/>
  <c r="D35" i="3"/>
  <c r="D16" i="3"/>
  <c r="G38" i="22" l="1"/>
  <c r="K132" i="10" s="1"/>
  <c r="D29" i="3" s="1"/>
  <c r="M17" i="23"/>
  <c r="M16" i="23"/>
  <c r="M34" i="23"/>
  <c r="M23" i="23"/>
  <c r="M13" i="23"/>
  <c r="M19" i="23"/>
  <c r="M22" i="23"/>
  <c r="M24" i="23"/>
  <c r="M25" i="23"/>
  <c r="M26" i="23"/>
  <c r="M35" i="23"/>
  <c r="M36" i="23"/>
  <c r="U26" i="29"/>
  <c r="V26" i="29" s="1"/>
  <c r="W26" i="29" s="1"/>
  <c r="AG26" i="29" s="1"/>
  <c r="U21" i="29"/>
  <c r="V21" i="29" s="1"/>
  <c r="W21" i="29" s="1"/>
  <c r="W19" i="29"/>
  <c r="AE19" i="29"/>
  <c r="AF19" i="29" s="1"/>
  <c r="W15" i="29"/>
  <c r="AG15" i="29" s="1"/>
  <c r="AF37" i="29"/>
  <c r="U37" i="29"/>
  <c r="V37" i="29" s="1"/>
  <c r="W37" i="29" s="1"/>
  <c r="AG37" i="29" s="1"/>
  <c r="AF35" i="29"/>
  <c r="AG35" i="29" s="1"/>
  <c r="AF34" i="29"/>
  <c r="AG34" i="29" s="1"/>
  <c r="AF32" i="29"/>
  <c r="W32" i="29"/>
  <c r="AG32" i="29" s="1"/>
  <c r="AF31" i="29"/>
  <c r="AG31" i="29" s="1"/>
  <c r="AF30" i="29"/>
  <c r="U30" i="29"/>
  <c r="V30" i="29" s="1"/>
  <c r="W30" i="29" s="1"/>
  <c r="AG30" i="29" s="1"/>
  <c r="AF29" i="29"/>
  <c r="U29" i="29"/>
  <c r="V29" i="29" s="1"/>
  <c r="W29" i="29" s="1"/>
  <c r="AG29" i="29" s="1"/>
  <c r="W28" i="29"/>
  <c r="AG28" i="29" s="1"/>
  <c r="AF25" i="29"/>
  <c r="W25" i="29"/>
  <c r="AF23" i="29"/>
  <c r="W23" i="29"/>
  <c r="AF21" i="29"/>
  <c r="AG21" i="29" s="1"/>
  <c r="W20" i="29"/>
  <c r="AG20" i="29" s="1"/>
  <c r="AF16" i="29"/>
  <c r="AG16" i="29" s="1"/>
  <c r="U16" i="29"/>
  <c r="V16" i="29" s="1"/>
  <c r="W16" i="29" s="1"/>
  <c r="AF14" i="29"/>
  <c r="W14" i="29"/>
  <c r="AG27" i="29"/>
  <c r="AG18" i="29"/>
  <c r="AG17" i="29"/>
  <c r="AG36" i="29"/>
  <c r="U13" i="29"/>
  <c r="V13" i="29" s="1"/>
  <c r="W13" i="29" s="1"/>
  <c r="AG13" i="29" s="1"/>
  <c r="AE12" i="29"/>
  <c r="U11" i="29"/>
  <c r="H23" i="9"/>
  <c r="J117" i="10" s="1"/>
  <c r="K114" i="10" s="1"/>
  <c r="D25" i="3" s="1"/>
  <c r="O10" i="4"/>
  <c r="J108" i="10" s="1"/>
  <c r="G22" i="4"/>
  <c r="J103" i="10" s="1"/>
  <c r="O70" i="4"/>
  <c r="J113" i="10" s="1"/>
  <c r="J24" i="31"/>
  <c r="J23" i="31"/>
  <c r="J22" i="31"/>
  <c r="O34" i="4"/>
  <c r="J110" i="10" s="1"/>
  <c r="J21" i="31"/>
  <c r="J20" i="31"/>
  <c r="J19" i="31"/>
  <c r="J18" i="31"/>
  <c r="J16" i="31"/>
  <c r="J15" i="31"/>
  <c r="J14" i="31"/>
  <c r="J13" i="31"/>
  <c r="K38" i="10"/>
  <c r="K11" i="10"/>
  <c r="D11" i="3" s="1"/>
  <c r="K67" i="10"/>
  <c r="N38" i="29"/>
  <c r="O11" i="29"/>
  <c r="J17" i="31"/>
  <c r="M38" i="23" l="1"/>
  <c r="AG25" i="29"/>
  <c r="AG19" i="29"/>
  <c r="AG23" i="29"/>
  <c r="AG14" i="29"/>
  <c r="AF12" i="29"/>
  <c r="AE38" i="29"/>
  <c r="V11" i="29"/>
  <c r="U38" i="29"/>
  <c r="K101" i="10"/>
  <c r="D24" i="3" s="1"/>
  <c r="J12" i="31"/>
  <c r="K134" i="10" s="1"/>
  <c r="D31" i="3" s="1"/>
  <c r="I81" i="10"/>
  <c r="J81" i="10" s="1"/>
  <c r="D14" i="3"/>
  <c r="I82" i="10"/>
  <c r="J82" i="10" s="1"/>
  <c r="K80" i="10" s="1"/>
  <c r="D18" i="3" s="1"/>
  <c r="D17" i="3"/>
  <c r="O38" i="29"/>
  <c r="K129" i="10" l="1"/>
  <c r="D27" i="3"/>
  <c r="AF38" i="29"/>
  <c r="AG12" i="29"/>
  <c r="V38" i="29"/>
  <c r="W11" i="29"/>
  <c r="W38" i="29" l="1"/>
  <c r="AG11" i="29"/>
  <c r="AG38" i="29" s="1"/>
  <c r="K127" i="10" s="1"/>
  <c r="D2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3" authorId="0" shapeId="0" xr:uid="{BE75A9F7-D71A-4132-A618-17F68837D255}">
      <text>
        <r>
          <rPr>
            <sz val="10"/>
            <rFont val="Arial"/>
            <family val="2"/>
          </rPr>
          <t>Área de muro (un solo muro) tomada de la hoja 'CONCRETO ARMADO EN CUNETAS' de tu Excel (fila AREA, bajo MUROS de cada eje).</t>
        </r>
      </text>
    </comment>
    <comment ref="F13" authorId="0" shapeId="0" xr:uid="{6257EFBE-D3D5-4CCB-8970-8D5E24A14ACC}">
      <text>
        <r>
          <rPr>
            <sz val="10"/>
            <rFont val="Arial"/>
            <family val="2"/>
          </rPr>
          <t>Altura de muro = Área de muro / Longitud del eje (misma altura usada para el volumen de concreto de muros en tu hoja original).</t>
        </r>
      </text>
    </comment>
    <comment ref="H13" authorId="0" shapeId="0" xr:uid="{BFA42468-0903-48A4-9E53-054FD872523E}">
      <text>
        <r>
          <rPr>
            <sz val="10"/>
            <rFont val="Arial"/>
            <family val="2"/>
          </rPr>
          <t>N° de juntas = REDONDEAR.MAS(Longitud eje / Espaciamiento). Ajusta si tu criterio es distinto (p.ej. no contar junta en los extremos).</t>
        </r>
      </text>
    </comment>
  </commentList>
</comments>
</file>

<file path=xl/sharedStrings.xml><?xml version="1.0" encoding="utf-8"?>
<sst xmlns="http://schemas.openxmlformats.org/spreadsheetml/2006/main" count="1549" uniqueCount="414">
  <si>
    <t>LIMPIEZA MANUAL DE TERRENO</t>
  </si>
  <si>
    <t>TRAZO, NIVELES Y REPLANTEO PRELIMINAR</t>
  </si>
  <si>
    <t>MOVIMIENTO DE TIERRAS</t>
  </si>
  <si>
    <t>EXCAVACIÓN  MANUAL DE ZANJA PARA CUNETA</t>
  </si>
  <si>
    <t>RELLENO COMPACTADO CON MATERIAL PROPIO</t>
  </si>
  <si>
    <t>OBRAS DE CONCRETO SIMPLE</t>
  </si>
  <si>
    <t>OBRAS DE CONCRETO ARMADO</t>
  </si>
  <si>
    <t>m2</t>
  </si>
  <si>
    <t>m3</t>
  </si>
  <si>
    <t>kg</t>
  </si>
  <si>
    <t>m</t>
  </si>
  <si>
    <t>und</t>
  </si>
  <si>
    <t>ITEM</t>
  </si>
  <si>
    <t>DESCRIPCION</t>
  </si>
  <si>
    <t>UND</t>
  </si>
  <si>
    <t>PARCIAL</t>
  </si>
  <si>
    <t>TOTAL</t>
  </si>
  <si>
    <t>VECES</t>
  </si>
  <si>
    <t>ANCHO</t>
  </si>
  <si>
    <t>LONGITUDES Y AREAS</t>
  </si>
  <si>
    <t>NORMAL</t>
  </si>
  <si>
    <t>TAPADO</t>
  </si>
  <si>
    <t>AREA</t>
  </si>
  <si>
    <t>ESPESOR</t>
  </si>
  <si>
    <t>CANT.</t>
  </si>
  <si>
    <t>TAPA</t>
  </si>
  <si>
    <t>LOSA</t>
  </si>
  <si>
    <t>LONGITUD</t>
  </si>
  <si>
    <t>ESPESOR</t>
  </si>
  <si>
    <t>MUROS</t>
  </si>
  <si>
    <t>Sub.TOTAL</t>
  </si>
  <si>
    <t>CANTIDAD</t>
  </si>
  <si>
    <t>VOLUMEN</t>
  </si>
  <si>
    <t>TOTAL (m2)</t>
  </si>
  <si>
    <t>MUROS EXTERNO</t>
  </si>
  <si>
    <t>MURO INTERNO</t>
  </si>
  <si>
    <t>MURO EXTERNO</t>
  </si>
  <si>
    <t>TOTAL (m3)</t>
  </si>
  <si>
    <t>FACT.</t>
  </si>
  <si>
    <t>PROYECTO</t>
  </si>
  <si>
    <t>FECHA</t>
  </si>
  <si>
    <t>RESUMEN METRADOS DE DRENAJE PLUVIAL</t>
  </si>
  <si>
    <t>ENTIDAD</t>
  </si>
  <si>
    <t>UBICACIÓN</t>
  </si>
  <si>
    <t>DADO 0.40 X 0.40</t>
  </si>
  <si>
    <t>ACCESORIOS</t>
  </si>
  <si>
    <t>GERENCIA TERRITORIAL BAJO MAYO - TARAPOTO</t>
  </si>
  <si>
    <t>EJE 1</t>
  </si>
  <si>
    <t>EJE 2</t>
  </si>
  <si>
    <t>EJE 3</t>
  </si>
  <si>
    <t>EJE 4</t>
  </si>
  <si>
    <t>EJE 8</t>
  </si>
  <si>
    <t>EJE 9</t>
  </si>
  <si>
    <t>EJE 10</t>
  </si>
  <si>
    <t>EJE 11</t>
  </si>
  <si>
    <t>ABIERTA</t>
  </si>
  <si>
    <t>EJE 5</t>
  </si>
  <si>
    <t>EJE 6</t>
  </si>
  <si>
    <t>EJE 7</t>
  </si>
  <si>
    <t>EDIFICACION 01</t>
  </si>
  <si>
    <t>EDIFICACION 02</t>
  </si>
  <si>
    <t>EDIFICACION 03</t>
  </si>
  <si>
    <t>EDIFICACION 04</t>
  </si>
  <si>
    <t>EDIFICACION 05</t>
  </si>
  <si>
    <t>EDIFICACION 06</t>
  </si>
  <si>
    <t>EDIFICACION 07</t>
  </si>
  <si>
    <t>EDIFICACION 08</t>
  </si>
  <si>
    <t>EDIFICACION 09</t>
  </si>
  <si>
    <t>EDIFICACION 10</t>
  </si>
  <si>
    <t>EDIFICACION 11</t>
  </si>
  <si>
    <t>EDIFICACION 12</t>
  </si>
  <si>
    <t>EDIFICACION 13</t>
  </si>
  <si>
    <t>MONTANTES</t>
  </si>
  <si>
    <t>ABRAZADERA 4"</t>
  </si>
  <si>
    <t>COLGADOR 4"</t>
  </si>
  <si>
    <t>CODO PVC 90° 4"</t>
  </si>
  <si>
    <t>LONG. TUBERIA PVC 4"</t>
  </si>
  <si>
    <t>TOTAL (m)</t>
  </si>
  <si>
    <t>TOTAL (und)</t>
  </si>
  <si>
    <t>OBRAS DE CONCRETO ARMADO - ENCOFRADO Y DESENCOFRADO CUNETAS</t>
  </si>
  <si>
    <t>EJE1</t>
  </si>
  <si>
    <t>EDIFICACION 14</t>
  </si>
  <si>
    <t>Acero Longitudinal</t>
  </si>
  <si>
    <t>Acero Transversal</t>
  </si>
  <si>
    <t>OBRA EXTERIOR 01</t>
  </si>
  <si>
    <t>OBRA EXTERIOR03</t>
  </si>
  <si>
    <t>OBRA EXTERIOR 05</t>
  </si>
  <si>
    <t>OBRA EXTERIOR 06</t>
  </si>
  <si>
    <t>Lado A</t>
  </si>
  <si>
    <t>Lado B</t>
  </si>
  <si>
    <t>ENCOFRADO Y DESENCOFRADO EN FALSA COLUMNA - MONTANTE PLUVIAL</t>
  </si>
  <si>
    <t>ACERO FY=4200 KG/CM2 EN FALSA COLUMNA (MONTANTE PLUVIAL)</t>
  </si>
  <si>
    <t>CONCRETO F´C=175 KG/CM2 EN FALSA COLUMNA</t>
  </si>
  <si>
    <t>CODO PVC 45° 4"</t>
  </si>
  <si>
    <t>ml</t>
  </si>
  <si>
    <t>Item</t>
  </si>
  <si>
    <t>Descripción</t>
  </si>
  <si>
    <t>Unid.</t>
  </si>
  <si>
    <t>01.04.03</t>
  </si>
  <si>
    <t>SISTEMA DE DRENAJE PLUVIAL</t>
  </si>
  <si>
    <t>01.04.03.01</t>
  </si>
  <si>
    <t>TRABAJOS PRELIMINARES</t>
  </si>
  <si>
    <t>01.04.03.01.01</t>
  </si>
  <si>
    <t>m²</t>
  </si>
  <si>
    <t>01.04.03.01.02</t>
  </si>
  <si>
    <t>01.04.03.02</t>
  </si>
  <si>
    <t>01.04.03.02.01</t>
  </si>
  <si>
    <t>EXCAVACIÓN MANUAL DE ZANJAS P/CUNETAS</t>
  </si>
  <si>
    <t>m³</t>
  </si>
  <si>
    <t>01.04.03.02.02</t>
  </si>
  <si>
    <t>EXCAVACIÓN MANUAL DE ZANJAS P/DADOS DE CONCRETO</t>
  </si>
  <si>
    <t>01.04.03.02.03</t>
  </si>
  <si>
    <t>REFINE, NIVELACIÓN Y COMPACTACIÓN EN TERRENO NORMAL</t>
  </si>
  <si>
    <t>01.04.03.02.04</t>
  </si>
  <si>
    <t>RELLENO COMPACTADO CON MATERIAL PROPIO SELECCIONADO</t>
  </si>
  <si>
    <t>01.04.03.02.05</t>
  </si>
  <si>
    <t>01.04.03.03</t>
  </si>
  <si>
    <t>01.04.03.03.01</t>
  </si>
  <si>
    <t>CONCRETO f'c=100 kg/cm2 PARA SOLADO E=4''</t>
  </si>
  <si>
    <t>01.04.03.03.02</t>
  </si>
  <si>
    <t>CONCRETO f'c=140 Kg/cm2 PARA DADOS DE CONCRETO</t>
  </si>
  <si>
    <t>01.04.03.04</t>
  </si>
  <si>
    <t>01.04.03.04.02</t>
  </si>
  <si>
    <t>CUNETAS</t>
  </si>
  <si>
    <t>01.04.03.04.02.01</t>
  </si>
  <si>
    <t>CONCRETO P/CUNETAS f'c=175 kg/cm2</t>
  </si>
  <si>
    <t>01.04.03.04.02.02</t>
  </si>
  <si>
    <t>ENCOFRADO Y DESENCOFRADO DE CUNETA</t>
  </si>
  <si>
    <t>01.04.03.04.02.03</t>
  </si>
  <si>
    <t>ACERO f'y=4200 kg/cm2 PARA CUNETA</t>
  </si>
  <si>
    <t>01.04.03.04.02.04</t>
  </si>
  <si>
    <t>CURADO DE CONCRETO EN CUNETA</t>
  </si>
  <si>
    <t>01.04.03.04.03</t>
  </si>
  <si>
    <t>VARIOS</t>
  </si>
  <si>
    <t>01.04.03.04.03.01</t>
  </si>
  <si>
    <t>REJILLA METALICA P/CUNETA C/PL 1''x 3/16'' Y ANGULO 1'' x 1'' x 3/16'', S/DETALLE</t>
  </si>
  <si>
    <t>01.04.03.04.03.02</t>
  </si>
  <si>
    <t>TAPA DE INSPECCION 0.60m x 0.60m</t>
  </si>
  <si>
    <t>01.04.03.04.03.03</t>
  </si>
  <si>
    <t>JUNTA DE DILATACION E=1" CON SELLADOR ASFALTO</t>
  </si>
  <si>
    <t>01.04.03.05</t>
  </si>
  <si>
    <t>RED DE COLECCIÓN</t>
  </si>
  <si>
    <t>01.04.03.05.01</t>
  </si>
  <si>
    <t>RED DE RECOLECCION TECHO</t>
  </si>
  <si>
    <t>01.04.03.05.01.01</t>
  </si>
  <si>
    <t>MONTANTE CON TUBERÍA PVC DE 4"</t>
  </si>
  <si>
    <t>01.04.03.05.01.02</t>
  </si>
  <si>
    <t>FALSA COLUMNA P/MONTANTE DE 0.20m x 0.15m x 1.30m</t>
  </si>
  <si>
    <t>01.04.03.05.02</t>
  </si>
  <si>
    <t>RED DE RECOLECCION PISO</t>
  </si>
  <si>
    <t>01.04.03.05.02.01</t>
  </si>
  <si>
    <t>TUBERIA DESAGÜE PVC-CP Ø4" x 3m</t>
  </si>
  <si>
    <t>01.04.03.05.02.02</t>
  </si>
  <si>
    <t>SUMIDERO METALICO C/PLATINA 1" X 3/16"</t>
  </si>
  <si>
    <t>01.04.03.05.03</t>
  </si>
  <si>
    <t>01.04.03.05.03.01</t>
  </si>
  <si>
    <t>CODO DESAGÜE PVC Ø4" x 45°</t>
  </si>
  <si>
    <t>01.04.03.05.03.02</t>
  </si>
  <si>
    <t>CODO DESAGÜE PVC Ø4" x 90°</t>
  </si>
  <si>
    <t>01.04.03.05.03.03</t>
  </si>
  <si>
    <t>COLGADOR F°G° P/TUBERIA PVC Ø4"</t>
  </si>
  <si>
    <t>01.04.03.05.03.04</t>
  </si>
  <si>
    <t>ABRAZADERA DE F°G° P/TUBERIA PVC Ø4"</t>
  </si>
  <si>
    <t>Total.</t>
  </si>
  <si>
    <t>Nº DE VECES</t>
  </si>
  <si>
    <t>LARGO</t>
  </si>
  <si>
    <t>ALTURA</t>
  </si>
  <si>
    <t>01.04.03.05.01.04</t>
  </si>
  <si>
    <t>01.04.03.05.01.04,01</t>
  </si>
  <si>
    <t>01.04.03.05.01.04,02</t>
  </si>
  <si>
    <t>01.04.03.05.01.04,03</t>
  </si>
  <si>
    <t>Kgr</t>
  </si>
  <si>
    <t>TEE DESAGÜE PVC Ø4"</t>
  </si>
  <si>
    <t>01.04.03.05.03.05</t>
  </si>
  <si>
    <t>N°</t>
  </si>
  <si>
    <t>EJE</t>
  </si>
  <si>
    <t>OBSERVACIÓN</t>
  </si>
  <si>
    <t>SEC. INI</t>
  </si>
  <si>
    <t>SEC. FIN</t>
  </si>
  <si>
    <t>FACTOR kg/m</t>
  </si>
  <si>
    <t>SEP. LONG. (m)</t>
  </si>
  <si>
    <t>BARRAS LONG. INI</t>
  </si>
  <si>
    <t>BARRAS LONG. FIN</t>
  </si>
  <si>
    <t>BARRAS PROM.</t>
  </si>
  <si>
    <t>LONG. ACERO LONG. (m)</t>
  </si>
  <si>
    <t>KG LONG.</t>
  </si>
  <si>
    <t>EJE 01</t>
  </si>
  <si>
    <t>EJE 02</t>
  </si>
  <si>
    <t>EJE 03</t>
  </si>
  <si>
    <t>EJE 04</t>
  </si>
  <si>
    <t>EJE 05</t>
  </si>
  <si>
    <t>EJE 06</t>
  </si>
  <si>
    <t>UND.</t>
  </si>
  <si>
    <t>TOTAL CALCULADO DE REJILLA EN CUNETAS ABIERTAS</t>
  </si>
  <si>
    <t xml:space="preserve"> ENCOFRADO Y DESENCOFRADO CUNETAS - DRENAJE PLUVIAL</t>
  </si>
  <si>
    <t>CALCULO DE MONTANTES POR EDIFICACION  - DRENAJE PLUVIAL</t>
  </si>
  <si>
    <t>PLANILLA DE METRADOS - RED DE DRENAJE EN PISO Y SUMIDEROS</t>
  </si>
  <si>
    <t>SECTOR</t>
  </si>
  <si>
    <t>TUBERÍA 4" PVC-U
Desagüe Clase Pesada (m)</t>
  </si>
  <si>
    <t>SUMIDERO DE 4"
(und)</t>
  </si>
  <si>
    <t>CODO 90° x 4"
(und)</t>
  </si>
  <si>
    <t>CODO 45° x 4"
(und)</t>
  </si>
  <si>
    <t>TEE° x 4"
(und)</t>
  </si>
  <si>
    <t>SECTOR 01</t>
  </si>
  <si>
    <t>Según sector</t>
  </si>
  <si>
    <t>SECTOR 02</t>
  </si>
  <si>
    <t>SECTOR 03</t>
  </si>
  <si>
    <t>SECTOR 04</t>
  </si>
  <si>
    <t>CONCRETO F´C=175 KG/CM2 PARA CUNETAS  - DRENAJE PLUVIAL</t>
  </si>
  <si>
    <t>CUNETA EJE 01</t>
  </si>
  <si>
    <t>CUNETA EJE 02</t>
  </si>
  <si>
    <t>CUNETA EJE 03</t>
  </si>
  <si>
    <t>CUNETA EJE 04</t>
  </si>
  <si>
    <t>CUNETA EJE 05</t>
  </si>
  <si>
    <t>CUNETA EJE 06</t>
  </si>
  <si>
    <t>CUNETA EJE 07</t>
  </si>
  <si>
    <t>CUNETA EJE 08</t>
  </si>
  <si>
    <t>CUNETA EJE 09</t>
  </si>
  <si>
    <t>CUNETA EJE 10</t>
  </si>
  <si>
    <t>CUNETA EJE 11</t>
  </si>
  <si>
    <t>METRADO DETALLADO POR EJE Y POR TRAMO</t>
  </si>
  <si>
    <t>IDENTIFICACIÓN Y GEOMETRÍA</t>
  </si>
  <si>
    <t>ACERO LONGITUDINAL DEL CUERPO U</t>
  </si>
  <si>
    <t>ACERO TRANSVERSAL DEL CUERPO U</t>
  </si>
  <si>
    <t>ACERO TRANSVERSAL DE LA TAPA (SOLO CUNETA TAPADA)</t>
  </si>
  <si>
    <t>RESULTADO</t>
  </si>
  <si>
    <t>TRAMO</t>
  </si>
  <si>
    <t>TIPO DE CUNETA</t>
  </si>
  <si>
    <t>LONGITUD TRAMO (m)</t>
  </si>
  <si>
    <t>Ø CUERPO</t>
  </si>
  <si>
    <t>FACTOR CUERPO (kg/m)</t>
  </si>
  <si>
    <t>SEP. TRANSV. U (m)</t>
  </si>
  <si>
    <t>DES. TRANSV. U INI (m)</t>
  </si>
  <si>
    <t>DES. TRANSV. U FIN (m)</t>
  </si>
  <si>
    <t>DES. PROM. U (m)</t>
  </si>
  <si>
    <t>CANT. TRANSV. U</t>
  </si>
  <si>
    <t>LONG. ACERO TRANSV. U (m)</t>
  </si>
  <si>
    <t>KG TRANSV. U</t>
  </si>
  <si>
    <t>TOTAL KG CUERPO U</t>
  </si>
  <si>
    <t>Ø TAPA</t>
  </si>
  <si>
    <t>FACTOR TAPA (kg/m)</t>
  </si>
  <si>
    <t>SEP. TRANSV. TAPA (m)</t>
  </si>
  <si>
    <t>LONG. BARRA TAPA INI (m)</t>
  </si>
  <si>
    <t>LONG. BARRA TAPA FIN (m)</t>
  </si>
  <si>
    <t>LONG. PROM. TAPA (m)</t>
  </si>
  <si>
    <t>CANT. BARRAS TAPA</t>
  </si>
  <si>
    <t>LONG. ACERO TAPA (m)</t>
  </si>
  <si>
    <t>KG ACERO TAPA</t>
  </si>
  <si>
    <t>TOTAL KG TRAMO</t>
  </si>
  <si>
    <t>TAPADA</t>
  </si>
  <si>
    <t>3/8"</t>
  </si>
  <si>
    <t>EJE 07</t>
  </si>
  <si>
    <t>EJE 08</t>
  </si>
  <si>
    <t>EJE 09</t>
  </si>
  <si>
    <t>TOTALES DE LA PLANILLA</t>
  </si>
  <si>
    <t>METRADO DE ACERO EN CUNETAS  - DRENAJE PLUVIAL</t>
  </si>
  <si>
    <t>La opción ENTERO redondea hacia arriba antes de sumar la barra final.</t>
  </si>
  <si>
    <t>La opción TEÓRICO mantiene cantidades decimales: Longitud / separación + 1.</t>
  </si>
  <si>
    <t>Los factores kg/m son editables. Si el proyecto usa otro factor, cámbialo aquí.</t>
  </si>
  <si>
    <t>NOTA</t>
  </si>
  <si>
    <t>1"</t>
  </si>
  <si>
    <t>3/4"</t>
  </si>
  <si>
    <t>5/8"</t>
  </si>
  <si>
    <t>1/2"</t>
  </si>
  <si>
    <t>12 mm</t>
  </si>
  <si>
    <t>ENTERO (redondeo arriba)</t>
  </si>
  <si>
    <t>8 mm</t>
  </si>
  <si>
    <t>TEÓRICO (L/s+1)</t>
  </si>
  <si>
    <t>6 mm</t>
  </si>
  <si>
    <t>CRITERIO DE CONTEO</t>
  </si>
  <si>
    <t>DIÁMETRO</t>
  </si>
  <si>
    <t>LISTAS, FACTORES Y PARÁMETROS EDITABLES</t>
  </si>
  <si>
    <t>LONGITUD CON REJILLA (m)</t>
  </si>
  <si>
    <t>DESCUENTO SIN REJILLA (m)</t>
  </si>
  <si>
    <t>LONGITUD DEL TRAMO (m)</t>
  </si>
  <si>
    <t>SAN MARTÍN - BANDA DE SHILCAYO - CIUDAD SATÉLITE</t>
  </si>
  <si>
    <t>“MEJORAMIENTO Y AMPLIACION DEL SERVICIO DE EDUCACIÓN INICIAL Y SERVICIO DE EDUCACIÓN PRIMARIA EN I.E. 292, I.E. 292 DE CENTRO POBLADO CIUDAD SATÉLITE DISTRITO DE LA BANDA DE SHILCAYO DE LA PROVINCIA DE SAN MARTIN DEL DEPARTAMENTO DE SAN MARTIN”, CUI N° 2684251.</t>
  </si>
  <si>
    <t>TOTAL DE CURADO DE CONCRETO EN CUNETAS</t>
  </si>
  <si>
    <t>N° CARAS</t>
  </si>
  <si>
    <t>TOTAL CURADO (m²)</t>
  </si>
  <si>
    <t>ÁREA TAPA / TECHO (m²)</t>
  </si>
  <si>
    <t>ÁREA FONDO (m²)</t>
  </si>
  <si>
    <t>ÁREA 2 MUROS (m²)</t>
  </si>
  <si>
    <t>ALTURA PROM. (m)</t>
  </si>
  <si>
    <t>ALTURA INT. FIN (m)</t>
  </si>
  <si>
    <t>ALTURA INT. INI (m)</t>
  </si>
  <si>
    <t>ANCHO INTERIOR (m)</t>
  </si>
  <si>
    <t>LONGITUD (m)</t>
  </si>
  <si>
    <t>METRADO DE CURADO DE CONCRETO EN CUNETAS</t>
  </si>
  <si>
    <t>DESCRIPCIÓN</t>
  </si>
  <si>
    <t>DIMENSIONES</t>
  </si>
  <si>
    <t>VOLUMEN / PARCIAL</t>
  </si>
  <si>
    <t>TAPA DE REGISTRO (DE CONCRETO)</t>
  </si>
  <si>
    <t>CONCRETO F´C=210 KG/CM2 EN TAPA DE REGISTRO</t>
  </si>
  <si>
    <t>ENCOFRADO Y DESENCOFRADO EN TAPA DE REGISTRO</t>
  </si>
  <si>
    <t>LATERALES DE TAPA</t>
  </si>
  <si>
    <t>FONDO DE MOLDE / BASE DE PREFABRICADO</t>
  </si>
  <si>
    <t>TOTAL ENCOFRADO FONDO + LATERALES</t>
  </si>
  <si>
    <t>ACERO FY=4200 KG/CM2 EN TAPA DE REGISTRO - VARILLA 3/8</t>
  </si>
  <si>
    <t>Acero longitudinal 3/8 - parrilla simple</t>
  </si>
  <si>
    <t>Acero transversal 3/8 - parrilla simple</t>
  </si>
  <si>
    <t>TOTAL ACERO 3/8</t>
  </si>
  <si>
    <t>01.04.03.04.03.02</t>
  </si>
  <si>
    <t>Solo equivalente de longitud, sin redondeo</t>
  </si>
  <si>
    <t>Longitud varilla comercial</t>
  </si>
  <si>
    <t>Peso unitario usado para metrado</t>
  </si>
  <si>
    <t>kg/m</t>
  </si>
  <si>
    <t>Peso varilla 3/8</t>
  </si>
  <si>
    <t>Parrilla simple en ambos sentidos</t>
  </si>
  <si>
    <t>Separación de varillas 3/8</t>
  </si>
  <si>
    <t>Editable según plano estructural</t>
  </si>
  <si>
    <t>Recubrimiento considerado</t>
  </si>
  <si>
    <t>Según detalle</t>
  </si>
  <si>
    <t>Espesor de tapa</t>
  </si>
  <si>
    <t>Ancho de tapa</t>
  </si>
  <si>
    <t>Largo de tapa</t>
  </si>
  <si>
    <t>Cantidad de tapas</t>
  </si>
  <si>
    <t>Criterio</t>
  </si>
  <si>
    <t>Unidad</t>
  </si>
  <si>
    <t>Valor</t>
  </si>
  <si>
    <t>PARÁMETROS  - TAPA DE REGISTRO DE CONCRETO</t>
  </si>
  <si>
    <t>Según resumen: 10 tapas</t>
  </si>
  <si>
    <t>TAPA 0.60 x 0.60 x 0.10 m</t>
  </si>
  <si>
    <t>CANTIDAD DE BARRAS POR TAPA</t>
  </si>
  <si>
    <t>LONGITUD DE CADA BARRA</t>
  </si>
  <si>
    <t>METRADO DE TAPAS DE REGISTRO EN CUNETAS TAPADAS</t>
  </si>
  <si>
    <t>EJE 12</t>
  </si>
  <si>
    <t>CUNETA EJE 12</t>
  </si>
  <si>
    <t>METRADO DE REJILLAS PARA CUNETAS</t>
  </si>
  <si>
    <t>SAN MARTIN - SAN MARTIN - MORALES</t>
  </si>
  <si>
    <t>m²</t>
  </si>
  <si>
    <t>m²</t>
  </si>
  <si>
    <t>m²</t>
  </si>
  <si>
    <t>m²</t>
  </si>
  <si>
    <t>m²</t>
  </si>
  <si>
    <t>PLANILLA DE METRADOS - JUNTA DE DILATACIÓN E=1" CON SELLADOR ASFÁLTICO EN MUROS DE CUNETAS</t>
  </si>
  <si>
    <t>PARÁMETROS</t>
  </si>
  <si>
    <t>Espaciamiento entre juntas (m)</t>
  </si>
  <si>
    <t>N° de muros con junta por cuneta</t>
  </si>
  <si>
    <t>Espesor de junta (referencial, no interviene en el metrado lineal)</t>
  </si>
  <si>
    <t>1" = 0.0254 m</t>
  </si>
  <si>
    <t>EJE / DESCRIPCIÓN</t>
  </si>
  <si>
    <t>LONGITUD
EJE (m)</t>
  </si>
  <si>
    <t>ÁREA MURO
(m²)</t>
  </si>
  <si>
    <t>ALTURA
MURO (m)</t>
  </si>
  <si>
    <t>ESPACIAMIENTO
(m)</t>
  </si>
  <si>
    <t>N° DE
JUNTAS</t>
  </si>
  <si>
    <t>N° MUROS
x JUNTA</t>
  </si>
  <si>
    <t>PARCIAL
(ml)</t>
  </si>
  <si>
    <t>Descripccion</t>
  </si>
  <si>
    <t>01.04.03.05.02.03</t>
  </si>
  <si>
    <t>01.04.03.05.02.04</t>
  </si>
  <si>
    <t>CODO 90° x 4"</t>
  </si>
  <si>
    <t>TEE° x 4"</t>
  </si>
  <si>
    <t>MONTANTE TUBERÍA PVC DE 4"</t>
  </si>
  <si>
    <t>ELIMINACIÓN DE MATERIAL EXCEDENTE</t>
  </si>
  <si>
    <t>PARÁMETROS - MOVIMIENTO DE TIERRAS</t>
  </si>
  <si>
    <t>Espesor de solado sumado a excavación y relleno</t>
  </si>
  <si>
    <t>Solado e=4" bajo la losa. Poner 0 si la altura ya lo incluye</t>
  </si>
  <si>
    <t>Factor de esponjamiento</t>
  </si>
  <si>
    <t>-</t>
  </si>
  <si>
    <t>Eliminación = (excavación − relleno) × factor</t>
  </si>
  <si>
    <t>“CREACIÓN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t>
  </si>
  <si>
    <t>TRAMO 01</t>
  </si>
  <si>
    <t>SEC 03</t>
  </si>
  <si>
    <t>SEC 04</t>
  </si>
  <si>
    <t>SEC 02</t>
  </si>
  <si>
    <t>SEC 06</t>
  </si>
  <si>
    <t>SEC 07</t>
  </si>
  <si>
    <t>SEC 08</t>
  </si>
  <si>
    <t>SEC 09</t>
  </si>
  <si>
    <t>SEC 10</t>
  </si>
  <si>
    <t xml:space="preserve">SEC 10 </t>
  </si>
  <si>
    <t>SEC 11</t>
  </si>
  <si>
    <t>SEC 12</t>
  </si>
  <si>
    <t>SEC 13</t>
  </si>
  <si>
    <t>SEC 14</t>
  </si>
  <si>
    <t>SEC 20</t>
  </si>
  <si>
    <t>SEC 21</t>
  </si>
  <si>
    <t>SEC 22</t>
  </si>
  <si>
    <t>SEC 24</t>
  </si>
  <si>
    <t>SEC 25</t>
  </si>
  <si>
    <t>SEC 26</t>
  </si>
  <si>
    <t xml:space="preserve">SEC 26 </t>
  </si>
  <si>
    <t>SEC 27</t>
  </si>
  <si>
    <t>SEC 28</t>
  </si>
  <si>
    <t>SEC 30</t>
  </si>
  <si>
    <t>SEC 31</t>
  </si>
  <si>
    <t>SEC 32</t>
  </si>
  <si>
    <t>SEC 33</t>
  </si>
  <si>
    <t>SEC 34</t>
  </si>
  <si>
    <t>SEC 35</t>
  </si>
  <si>
    <t>SEC 36</t>
  </si>
  <si>
    <t>SEC 37</t>
  </si>
  <si>
    <t>SEC 38</t>
  </si>
  <si>
    <t>SEC 39</t>
  </si>
  <si>
    <t>SEC 40</t>
  </si>
  <si>
    <t>SEC 44</t>
  </si>
  <si>
    <t>SEC 45</t>
  </si>
  <si>
    <t>SEC 46</t>
  </si>
  <si>
    <t>SEC 47</t>
  </si>
  <si>
    <t>SEC 48</t>
  </si>
  <si>
    <t>SEC 50</t>
  </si>
  <si>
    <t>SEC 51</t>
  </si>
  <si>
    <t>SEC 52</t>
  </si>
  <si>
    <t>SEC 53</t>
  </si>
  <si>
    <t>TRAMO 02</t>
  </si>
  <si>
    <t>TRAMO 03</t>
  </si>
  <si>
    <t>TRAMO 04</t>
  </si>
  <si>
    <t>TRAMO 05</t>
  </si>
  <si>
    <t>TRAMO 06</t>
  </si>
  <si>
    <t>TRAMO 07</t>
  </si>
  <si>
    <t>REJILLA METALICA P/CUNETA C/PL 1''x 3/16'' Y ANGULO 1'' x 1'' x 3/16''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</si>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</sst>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40">
    <font>
      <sz val="11"/>
      <color theme="1"/>
      <name val="Calibri"/>
      <family val="2"/>
      <scheme val="minor"/>
    </font>
    <font>
      <sz val="8"/>
      <name val="Calibri"/>
      <family val="2"/>
      <scheme val="minor"/>
    </font>
    <font>
      <sz val="11"/>
      <color theme="1"/>
      <name val="Arial Narrow"/>
      <family val="2"/>
    </font>
    <font>
      <b/>
      <sz val="12"/>
      <color theme="1"/>
      <name val="Arial Narrow"/>
      <family val="2"/>
    </font>
    <font>
      <sz val="12"/>
      <color theme="1"/>
      <name val="Arial Narrow"/>
      <family val="2"/>
    </font>
    <font>
      <sz val="10"/>
      <name val="Arial"/>
      <family val="2"/>
    </font>
    <font>
      <b/>
      <sz val="12"/>
      <name val="Arial Narrow"/>
      <family val="2"/>
    </font>
    <font>
      <sz val="12"/>
      <name val="Arial Narrow"/>
      <family val="2"/>
    </font>
    <font>
      <sz val="12"/>
      <color rgb="FF000000"/>
      <name val="Arial Narrow"/>
      <family val="2"/>
    </font>
    <font>
      <b/>
      <u/>
      <sz val="16"/>
      <color theme="0"/>
      <name val="Arial Narrow"/>
      <family val="2"/>
    </font>
    <font>
      <b/>
      <sz val="12"/>
      <color theme="0"/>
      <name val="Arial Narrow"/>
      <family val="2"/>
    </font>
    <font>
      <sz val="12"/>
      <color theme="0"/>
      <name val="Arial Narrow"/>
      <family val="2"/>
    </font>
    <font>
      <b/>
      <u/>
      <sz val="12"/>
      <color theme="0"/>
      <name val="Arial Narrow"/>
      <family val="2"/>
    </font>
    <font>
      <b/>
      <u/>
      <sz val="14"/>
      <color theme="0"/>
      <name val="Arial Narrow"/>
      <family val="2"/>
    </font>
    <font>
      <b/>
      <sz val="14"/>
      <name val="Arial Narrow"/>
      <family val="2"/>
    </font>
    <font>
      <sz val="14"/>
      <name val="Arial Narrow"/>
      <family val="2"/>
    </font>
    <font>
      <b/>
      <sz val="12"/>
      <color rgb="FFFFFFFF"/>
      <name val="Arial Narrow"/>
      <family val="2"/>
    </font>
    <font>
      <b/>
      <sz val="14"/>
      <color theme="0"/>
      <name val="Arial Narrow"/>
      <family val="2"/>
    </font>
    <font>
      <sz val="11"/>
      <name val="Arial Narrow"/>
      <family val="2"/>
    </font>
    <font>
      <b/>
      <sz val="14"/>
      <color rgb="FFFFFFFF"/>
      <name val="Arial Narrow"/>
      <family val="2"/>
    </font>
    <font>
      <b/>
      <sz val="11"/>
      <name val="Arial Narrow"/>
      <family val="2"/>
    </font>
    <font>
      <b/>
      <sz val="11"/>
      <color rgb="FFFFFFFF"/>
      <name val="Arial Narrow"/>
      <family val="2"/>
    </font>
    <font>
      <sz val="10"/>
      <name val="Arial Narrow"/>
      <family val="2"/>
    </font>
    <font>
      <b/>
      <sz val="11"/>
      <name val="Carlito"/>
    </font>
    <font>
      <b/>
      <sz val="11"/>
      <color rgb="FFFFFFFF"/>
      <name val="Carlito"/>
    </font>
    <font>
      <sz val="11"/>
      <name val="Carlito"/>
    </font>
    <font>
      <b/>
      <sz val="14"/>
      <color rgb="FFFFFFFF"/>
      <name val="Carlito"/>
    </font>
    <font>
      <b/>
      <sz val="16"/>
      <color rgb="FFFFFFFF"/>
      <name val="Arial Narrow"/>
      <family val="2"/>
    </font>
    <font>
      <sz val="11"/>
      <color rgb="FF1F1F1F"/>
      <name val="Arial Narrow"/>
      <family val="2"/>
    </font>
    <font>
      <b/>
      <sz val="11"/>
      <color theme="0"/>
      <name val="Arial Narrow"/>
      <family val="2"/>
    </font>
    <font>
      <b/>
      <sz val="10"/>
      <color rgb="FFFFFFFF"/>
      <name val="Arial Narrow"/>
      <family val="2"/>
    </font>
    <font>
      <b/>
      <sz val="11"/>
      <color theme="1"/>
      <name val="Arial Narrow"/>
      <family val="2"/>
    </font>
    <font>
      <b/>
      <sz val="14"/>
      <color rgb="FF1F1F1F"/>
      <name val="Arial Narrow"/>
      <family val="2"/>
    </font>
    <font>
      <b/>
      <sz val="16"/>
      <name val="Arial Narrow"/>
      <family val="2"/>
    </font>
    <font>
      <sz val="16"/>
      <name val="Arial Narrow"/>
      <family val="2"/>
    </font>
    <font>
      <b/>
      <u/>
      <sz val="18"/>
      <color theme="0"/>
      <name val="Arial Narrow"/>
      <family val="2"/>
    </font>
    <font>
      <b/>
      <sz val="11"/>
      <color rgb="FFC00000"/>
      <name val="Arial Narrow"/>
      <family val="2"/>
    </font>
    <font>
      <sz val="11"/>
      <color theme="1"/>
      <name val="Calibri"/>
      <family val="2"/>
      <charset val="1"/>
    </font>
    <font>
      <sz val="11"/>
      <color rgb="FF0000FF"/>
      <name val="Arial Narrow"/>
      <family val="2"/>
    </font>
    <font>
      <b/>
      <sz val="11"/>
      <color rgb="FF1F4E78"/>
      <name val="Arial Narrow"/>
      <family val="2"/>
    </font>
  </fonts>
  <fills count="39">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rgb="FF92D050"/>
        <bgColor indexed="64"/>
      </patternFill>
    </fill>
    <fill>
      <patternFill patternType="solid">
        <fgColor indexed="6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70C0"/>
        <bgColor indexed="64"/>
      </patternFill>
    </fill>
    <fill>
      <patternFill patternType="solid">
        <fgColor rgb="FF305496"/>
      </patternFill>
    </fill>
    <fill>
      <patternFill patternType="solid">
        <fgColor rgb="FFEAF4FB"/>
      </patternFill>
    </fill>
    <fill>
      <patternFill patternType="solid">
        <fgColor theme="4" tint="-0.249977111117893"/>
        <bgColor indexed="64"/>
      </patternFill>
    </fill>
    <fill>
      <patternFill patternType="solid">
        <fgColor rgb="FF1F4E78"/>
      </patternFill>
    </fill>
    <fill>
      <patternFill patternType="solid">
        <fgColor rgb="FFD9EAF7"/>
      </patternFill>
    </fill>
    <fill>
      <patternFill patternType="solid">
        <fgColor rgb="FFFFF2CC"/>
      </patternFill>
    </fill>
    <fill>
      <patternFill patternType="solid">
        <fgColor rgb="FFFBECC9"/>
        <bgColor indexed="64"/>
      </patternFill>
    </fill>
    <fill>
      <patternFill patternType="solid">
        <fgColor rgb="FFFCF6E0"/>
        <bgColor indexed="64"/>
      </patternFill>
    </fill>
    <fill>
      <patternFill patternType="solid">
        <fgColor rgb="FFF2F2F2"/>
      </patternFill>
    </fill>
    <fill>
      <patternFill patternType="solid">
        <fgColor rgb="FFEAF3F8"/>
      </patternFill>
    </fill>
    <fill>
      <patternFill patternType="solid">
        <fgColor rgb="FFF4B183"/>
      </patternFill>
    </fill>
    <fill>
      <patternFill patternType="solid">
        <fgColor rgb="FFE2F0D9"/>
      </patternFill>
    </fill>
    <fill>
      <patternFill patternType="solid">
        <fgColor theme="0"/>
      </patternFill>
    </fill>
    <fill>
      <patternFill patternType="solid">
        <fgColor theme="0" tint="-0.249977111117893"/>
        <bgColor indexed="64"/>
      </patternFill>
    </fill>
    <fill>
      <patternFill patternType="solid">
        <fgColor rgb="FFD9E1F2"/>
      </patternFill>
    </fill>
    <fill>
      <patternFill patternType="solid">
        <fgColor rgb="FFDDEBF7"/>
      </patternFill>
    </fill>
    <fill>
      <patternFill patternType="solid">
        <fgColor rgb="FFE4DFEC"/>
      </patternFill>
    </fill>
    <fill>
      <patternFill patternType="solid">
        <fgColor rgb="FFF0F7E8"/>
      </patternFill>
    </fill>
    <fill>
      <patternFill patternType="solid">
        <fgColor rgb="FF0B1F2A"/>
      </patternFill>
    </fill>
    <fill>
      <patternFill patternType="solid">
        <fgColor rgb="FF17365D"/>
      </patternFill>
    </fill>
    <fill>
      <patternFill patternType="solid">
        <fgColor theme="0" tint="-4.9989318521683403E-2"/>
        <bgColor indexed="64"/>
      </patternFill>
    </fill>
    <fill>
      <patternFill patternType="solid">
        <fgColor rgb="FFFF0000"/>
        <bgColor indexed="64"/>
      </patternFill>
    </fill>
    <fill>
      <patternFill patternType="solid">
        <fgColor theme="8" tint="0.79998168889431442"/>
        <bgColor indexed="64"/>
      </patternFill>
    </fill>
    <fill>
      <patternFill patternType="solid">
        <fgColor rgb="FF5B9BD5"/>
      </patternFill>
    </fill>
    <fill>
      <patternFill patternType="solid">
        <fgColor theme="2" tint="-0.249977111117893"/>
        <bgColor indexed="64"/>
      </patternFill>
    </fill>
    <fill>
      <patternFill patternType="solid">
        <fgColor theme="4" tint="-0.249977111117893"/>
        <bgColor rgb="FF969696"/>
      </patternFill>
    </fill>
    <fill>
      <patternFill patternType="solid">
        <fgColor theme="7" tint="0.79998168889431442"/>
        <bgColor rgb="FFFFFF00"/>
      </patternFill>
    </fill>
    <fill>
      <patternFill patternType="solid">
        <fgColor theme="7" tint="0.79998168889431442"/>
        <bgColor indexed="64"/>
      </patternFill>
    </fill>
    <fill>
      <patternFill patternType="solid">
        <fgColor theme="0" tint="-0.14999847407452621"/>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style="medium">
        <color indexed="64"/>
      </bottom>
      <diagonal/>
    </border>
    <border>
      <left/>
      <right style="medium">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s>
  <cellStyleXfs count="4">
    <xf numFmtId="0" fontId="0" fillId="0" borderId="0"/>
    <xf numFmtId="0" fontId="5" fillId="0" borderId="0"/>
    <xf numFmtId="0" fontId="25" fillId="0" borderId="0"/>
    <xf numFmtId="0" fontId="37" fillId="0" borderId="0"/>
  </cellStyleXfs>
  <cellXfs count="313">
    <xf numFmtId="0" fontId="0" fillId="0" borderId="0" xfId="0"/>
    <xf numFmtId="0" fontId="4" fillId="0" borderId="1" xfId="0" applyFont="1" applyBorder="1" applyAlignment="1">
      <alignment horizontal="center" vertical="center" wrapText="1"/>
    </xf>
    <xf numFmtId="165" fontId="4" fillId="0" borderId="1" xfId="0" applyNumberFormat="1" applyFont="1" applyBorder="1" applyAlignment="1">
      <alignment horizontal="center" vertical="center" wrapText="1"/>
    </xf>
    <xf numFmtId="0" fontId="2" fillId="0" borderId="0" xfId="0" applyFont="1"/>
    <xf numFmtId="0" fontId="2" fillId="0" borderId="0" xfId="0" applyFont="1" applyAlignment="1">
      <alignment vertical="center" wrapText="1"/>
    </xf>
    <xf numFmtId="2" fontId="2" fillId="0" borderId="0" xfId="0" applyNumberFormat="1" applyFont="1"/>
    <xf numFmtId="0" fontId="4" fillId="0" borderId="0" xfId="0" applyFont="1"/>
    <xf numFmtId="0" fontId="3" fillId="8" borderId="1" xfId="0" applyFont="1" applyFill="1" applyBorder="1" applyAlignment="1">
      <alignment horizontal="center" vertical="center" wrapText="1"/>
    </xf>
    <xf numFmtId="0" fontId="3" fillId="6" borderId="1" xfId="0" applyFont="1" applyFill="1" applyBorder="1" applyAlignment="1">
      <alignment horizontal="center"/>
    </xf>
    <xf numFmtId="0" fontId="3" fillId="7"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xf>
    <xf numFmtId="0" fontId="4" fillId="0" borderId="1" xfId="0" quotePrefix="1" applyFont="1" applyBorder="1" applyAlignment="1">
      <alignment horizontal="center" vertical="center" wrapText="1"/>
    </xf>
    <xf numFmtId="0" fontId="4" fillId="2" borderId="1" xfId="0" applyFont="1" applyFill="1" applyBorder="1" applyAlignment="1">
      <alignment horizontal="center" vertical="center" wrapText="1"/>
    </xf>
    <xf numFmtId="2" fontId="4" fillId="2" borderId="1" xfId="0" applyNumberFormat="1" applyFont="1" applyFill="1" applyBorder="1" applyAlignment="1">
      <alignment horizontal="center" vertical="center" wrapText="1"/>
    </xf>
    <xf numFmtId="2" fontId="4" fillId="0" borderId="1" xfId="0" applyNumberFormat="1" applyFont="1" applyBorder="1" applyAlignment="1">
      <alignment horizontal="center" vertical="center" wrapText="1"/>
    </xf>
    <xf numFmtId="2" fontId="4" fillId="0" borderId="1" xfId="0" applyNumberFormat="1" applyFont="1" applyBorder="1" applyAlignment="1">
      <alignment horizontal="center" wrapText="1"/>
    </xf>
    <xf numFmtId="0" fontId="10" fillId="9"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4" fillId="0" borderId="0" xfId="0" applyFont="1" applyAlignment="1">
      <alignment horizontal="center" vertical="center"/>
    </xf>
    <xf numFmtId="0" fontId="4" fillId="0" borderId="1" xfId="0" applyFont="1" applyBorder="1"/>
    <xf numFmtId="0" fontId="4" fillId="0" borderId="1" xfId="0" applyFont="1" applyBorder="1" applyAlignment="1">
      <alignment horizontal="center" vertical="center"/>
    </xf>
    <xf numFmtId="0" fontId="4" fillId="8"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0" borderId="1" xfId="0" applyFont="1" applyBorder="1" applyAlignment="1">
      <alignment horizontal="center" vertical="center"/>
    </xf>
    <xf numFmtId="0" fontId="4" fillId="8" borderId="0" xfId="0" applyFont="1" applyFill="1" applyAlignment="1">
      <alignment horizontal="center" vertical="center"/>
    </xf>
    <xf numFmtId="0" fontId="4" fillId="0" borderId="0" xfId="0" applyFont="1" applyAlignment="1">
      <alignment vertical="center"/>
    </xf>
    <xf numFmtId="49" fontId="16" fillId="10" borderId="1" xfId="0" applyNumberFormat="1" applyFont="1" applyFill="1" applyBorder="1" applyAlignment="1">
      <alignment horizontal="center" vertical="center" wrapText="1"/>
    </xf>
    <xf numFmtId="49" fontId="6" fillId="15" borderId="1" xfId="0" applyNumberFormat="1" applyFont="1" applyFill="1" applyBorder="1" applyAlignment="1">
      <alignment vertical="center" wrapText="1"/>
    </xf>
    <xf numFmtId="2" fontId="6" fillId="15" borderId="1" xfId="0" applyNumberFormat="1" applyFont="1" applyFill="1" applyBorder="1" applyAlignment="1">
      <alignment vertical="center" wrapText="1"/>
    </xf>
    <xf numFmtId="49" fontId="7" fillId="0" borderId="1" xfId="0" applyNumberFormat="1" applyFont="1" applyBorder="1" applyAlignment="1">
      <alignment wrapText="1"/>
    </xf>
    <xf numFmtId="2" fontId="7" fillId="0" borderId="1" xfId="0" applyNumberFormat="1" applyFont="1" applyBorder="1" applyAlignment="1">
      <alignment wrapText="1"/>
    </xf>
    <xf numFmtId="2" fontId="6" fillId="15" borderId="1" xfId="0" applyNumberFormat="1" applyFont="1" applyFill="1" applyBorder="1" applyAlignment="1">
      <alignment horizontal="right" vertical="center" wrapText="1"/>
    </xf>
    <xf numFmtId="49" fontId="6" fillId="14" borderId="1" xfId="0" applyNumberFormat="1" applyFont="1" applyFill="1" applyBorder="1" applyAlignment="1">
      <alignment vertical="center" wrapText="1"/>
    </xf>
    <xf numFmtId="2" fontId="6" fillId="14" borderId="1" xfId="0" applyNumberFormat="1" applyFont="1" applyFill="1" applyBorder="1" applyAlignment="1">
      <alignment vertical="center" wrapText="1"/>
    </xf>
    <xf numFmtId="0" fontId="7" fillId="0" borderId="1" xfId="0" applyFont="1" applyBorder="1" applyAlignment="1">
      <alignment wrapText="1"/>
    </xf>
    <xf numFmtId="49" fontId="6" fillId="11" borderId="1" xfId="0" applyNumberFormat="1" applyFont="1" applyFill="1" applyBorder="1" applyAlignment="1">
      <alignment vertical="center" wrapText="1"/>
    </xf>
    <xf numFmtId="2" fontId="6" fillId="11" borderId="1" xfId="0" applyNumberFormat="1" applyFont="1" applyFill="1" applyBorder="1" applyAlignment="1">
      <alignment vertical="center" wrapText="1"/>
    </xf>
    <xf numFmtId="49" fontId="6" fillId="16" borderId="1" xfId="0" applyNumberFormat="1" applyFont="1" applyFill="1" applyBorder="1" applyAlignment="1">
      <alignment vertical="center" wrapText="1"/>
    </xf>
    <xf numFmtId="2" fontId="6" fillId="16" borderId="1" xfId="0" applyNumberFormat="1" applyFont="1" applyFill="1" applyBorder="1" applyAlignment="1">
      <alignment vertical="center" wrapText="1"/>
    </xf>
    <xf numFmtId="49" fontId="6" fillId="2" borderId="1" xfId="0" applyNumberFormat="1" applyFont="1" applyFill="1" applyBorder="1" applyAlignment="1">
      <alignment vertical="center" wrapText="1"/>
    </xf>
    <xf numFmtId="2" fontId="6" fillId="2" borderId="1" xfId="0" applyNumberFormat="1" applyFont="1" applyFill="1" applyBorder="1" applyAlignment="1">
      <alignment vertical="center" wrapText="1"/>
    </xf>
    <xf numFmtId="49" fontId="6" fillId="0" borderId="1" xfId="0" applyNumberFormat="1" applyFont="1" applyBorder="1" applyAlignment="1">
      <alignment vertical="center" wrapText="1"/>
    </xf>
    <xf numFmtId="2" fontId="6" fillId="0" borderId="1" xfId="0" applyNumberFormat="1" applyFont="1" applyBorder="1" applyAlignment="1">
      <alignment vertical="center" wrapText="1"/>
    </xf>
    <xf numFmtId="49" fontId="6" fillId="15" borderId="1" xfId="0" applyNumberFormat="1" applyFont="1" applyFill="1" applyBorder="1" applyAlignment="1">
      <alignment horizontal="left" vertical="center" wrapText="1"/>
    </xf>
    <xf numFmtId="2" fontId="6" fillId="16" borderId="1" xfId="0" applyNumberFormat="1" applyFont="1" applyFill="1" applyBorder="1" applyAlignment="1">
      <alignment horizontal="right" vertical="center" wrapText="1"/>
    </xf>
    <xf numFmtId="49" fontId="6" fillId="16" borderId="1" xfId="0" applyNumberFormat="1" applyFont="1" applyFill="1" applyBorder="1" applyAlignment="1">
      <alignment horizontal="left" vertical="center" wrapText="1"/>
    </xf>
    <xf numFmtId="49" fontId="6" fillId="17" borderId="1" xfId="0" applyNumberFormat="1" applyFont="1" applyFill="1" applyBorder="1" applyAlignment="1">
      <alignment vertical="center" wrapText="1"/>
    </xf>
    <xf numFmtId="2" fontId="6" fillId="17" borderId="1" xfId="0" applyNumberFormat="1" applyFont="1" applyFill="1" applyBorder="1" applyAlignment="1">
      <alignment horizontal="left"/>
    </xf>
    <xf numFmtId="0" fontId="7" fillId="17" borderId="1" xfId="0" applyFont="1" applyFill="1" applyBorder="1"/>
    <xf numFmtId="2" fontId="6" fillId="17" borderId="1" xfId="0" applyNumberFormat="1" applyFont="1" applyFill="1" applyBorder="1" applyAlignment="1">
      <alignment vertical="center" wrapText="1"/>
    </xf>
    <xf numFmtId="2" fontId="6" fillId="17" borderId="1" xfId="0" applyNumberFormat="1" applyFont="1" applyFill="1" applyBorder="1" applyAlignment="1">
      <alignment horizontal="right" vertical="center"/>
    </xf>
    <xf numFmtId="2" fontId="6" fillId="2" borderId="1" xfId="0" applyNumberFormat="1" applyFont="1" applyFill="1" applyBorder="1" applyAlignment="1">
      <alignment horizontal="left"/>
    </xf>
    <xf numFmtId="2" fontId="7" fillId="2" borderId="1" xfId="0" applyNumberFormat="1" applyFont="1" applyFill="1" applyBorder="1" applyAlignment="1">
      <alignment horizontal="center" vertical="center" wrapText="1"/>
    </xf>
    <xf numFmtId="0" fontId="7" fillId="2" borderId="1" xfId="0" applyFont="1" applyFill="1" applyBorder="1"/>
    <xf numFmtId="2" fontId="6" fillId="2" borderId="1" xfId="0" applyNumberFormat="1" applyFont="1" applyFill="1" applyBorder="1" applyAlignment="1">
      <alignment horizontal="right" vertical="center"/>
    </xf>
    <xf numFmtId="2" fontId="6" fillId="17" borderId="1" xfId="0" applyNumberFormat="1" applyFont="1" applyFill="1" applyBorder="1" applyAlignment="1">
      <alignment horizontal="left" vertical="center" wrapText="1"/>
    </xf>
    <xf numFmtId="2" fontId="6" fillId="17" borderId="1" xfId="0" applyNumberFormat="1" applyFont="1" applyFill="1" applyBorder="1" applyAlignment="1">
      <alignment horizontal="right" vertical="center" wrapText="1"/>
    </xf>
    <xf numFmtId="2" fontId="6" fillId="2" borderId="1" xfId="0" applyNumberFormat="1" applyFont="1" applyFill="1" applyBorder="1" applyAlignment="1">
      <alignment horizontal="left" vertical="center" wrapText="1"/>
    </xf>
    <xf numFmtId="49" fontId="6" fillId="2" borderId="1" xfId="0" applyNumberFormat="1" applyFont="1" applyFill="1" applyBorder="1" applyAlignment="1">
      <alignment horizontal="left" vertical="top" wrapText="1" indent="1"/>
    </xf>
    <xf numFmtId="0" fontId="13" fillId="12" borderId="1" xfId="0" applyFont="1" applyFill="1" applyBorder="1" applyAlignment="1">
      <alignment vertical="center" wrapText="1"/>
    </xf>
    <xf numFmtId="0" fontId="4" fillId="2" borderId="0" xfId="0" applyFont="1" applyFill="1" applyAlignment="1">
      <alignment vertical="center"/>
    </xf>
    <xf numFmtId="0" fontId="12" fillId="0" borderId="0" xfId="0" applyFont="1" applyAlignment="1">
      <alignment vertical="center" wrapText="1"/>
    </xf>
    <xf numFmtId="0" fontId="6" fillId="0" borderId="0" xfId="0" applyFont="1" applyAlignment="1">
      <alignment horizontal="center" vertical="center"/>
    </xf>
    <xf numFmtId="2" fontId="7" fillId="0" borderId="1" xfId="0" applyNumberFormat="1" applyFont="1" applyBorder="1" applyAlignment="1">
      <alignment horizontal="center" vertical="center" wrapText="1"/>
    </xf>
    <xf numFmtId="0" fontId="2" fillId="0" borderId="0" xfId="0" applyFont="1" applyAlignment="1">
      <alignment wrapText="1"/>
    </xf>
    <xf numFmtId="0" fontId="22" fillId="0" borderId="0" xfId="0" applyFont="1" applyAlignment="1">
      <alignment vertical="center" wrapText="1"/>
    </xf>
    <xf numFmtId="0" fontId="6" fillId="21" borderId="19" xfId="0" applyFont="1" applyFill="1" applyBorder="1" applyAlignment="1">
      <alignment horizontal="center" vertical="center" wrapText="1"/>
    </xf>
    <xf numFmtId="1" fontId="7" fillId="0" borderId="1" xfId="0" applyNumberFormat="1" applyFont="1" applyBorder="1" applyAlignment="1">
      <alignment horizontal="center" vertical="center" wrapText="1"/>
    </xf>
    <xf numFmtId="0" fontId="7" fillId="0" borderId="3" xfId="0" applyFont="1" applyBorder="1" applyAlignment="1">
      <alignment horizontal="center" vertical="center" wrapText="1"/>
    </xf>
    <xf numFmtId="0" fontId="6" fillId="22" borderId="22" xfId="0" applyFont="1" applyFill="1" applyBorder="1" applyAlignment="1">
      <alignment horizontal="center" vertical="center" wrapText="1"/>
    </xf>
    <xf numFmtId="0" fontId="6" fillId="22" borderId="2" xfId="0" applyFont="1" applyFill="1" applyBorder="1" applyAlignment="1">
      <alignment horizontal="center" vertical="center" wrapText="1"/>
    </xf>
    <xf numFmtId="0" fontId="6" fillId="22" borderId="21" xfId="0" applyFont="1" applyFill="1" applyBorder="1" applyAlignment="1">
      <alignment horizontal="center" vertical="center" wrapText="1"/>
    </xf>
    <xf numFmtId="49" fontId="7" fillId="0" borderId="1" xfId="0" applyNumberFormat="1" applyFont="1" applyBorder="1" applyAlignment="1">
      <alignment vertical="center" wrapText="1"/>
    </xf>
    <xf numFmtId="2" fontId="7" fillId="0" borderId="1" xfId="0" applyNumberFormat="1" applyFont="1" applyBorder="1" applyAlignment="1">
      <alignment vertical="center" wrapText="1"/>
    </xf>
    <xf numFmtId="0" fontId="0" fillId="0" borderId="0" xfId="0" applyAlignment="1">
      <alignment vertical="center"/>
    </xf>
    <xf numFmtId="0" fontId="10" fillId="9"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2" fontId="4" fillId="2" borderId="10" xfId="0" applyNumberFormat="1" applyFont="1" applyFill="1" applyBorder="1" applyAlignment="1">
      <alignment horizontal="center" vertical="center" wrapText="1"/>
    </xf>
    <xf numFmtId="0" fontId="4" fillId="2" borderId="25" xfId="0" applyFont="1" applyFill="1" applyBorder="1" applyAlignment="1">
      <alignment horizontal="center" vertical="center" wrapText="1"/>
    </xf>
    <xf numFmtId="2" fontId="4" fillId="2" borderId="25" xfId="0" applyNumberFormat="1" applyFont="1" applyFill="1" applyBorder="1" applyAlignment="1">
      <alignment horizontal="center" vertical="center" wrapText="1"/>
    </xf>
    <xf numFmtId="0" fontId="4" fillId="2" borderId="26" xfId="0" applyFont="1" applyFill="1" applyBorder="1" applyAlignment="1">
      <alignment horizontal="center" vertical="center" wrapText="1"/>
    </xf>
    <xf numFmtId="2" fontId="4" fillId="2" borderId="26" xfId="0" applyNumberFormat="1" applyFont="1" applyFill="1" applyBorder="1" applyAlignment="1">
      <alignment horizontal="center" vertical="center" wrapText="1"/>
    </xf>
    <xf numFmtId="0" fontId="10" fillId="9" borderId="11" xfId="0" applyFont="1" applyFill="1" applyBorder="1" applyAlignment="1">
      <alignment horizontal="center" vertical="center" wrapText="1"/>
    </xf>
    <xf numFmtId="0" fontId="10" fillId="9" borderId="30" xfId="0" applyFont="1" applyFill="1" applyBorder="1" applyAlignment="1">
      <alignment horizontal="center" vertical="center" wrapText="1"/>
    </xf>
    <xf numFmtId="2" fontId="4" fillId="23" borderId="1"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2" fontId="4" fillId="2" borderId="2" xfId="0" applyNumberFormat="1" applyFont="1" applyFill="1" applyBorder="1" applyAlignment="1">
      <alignment horizontal="center" vertical="center" wrapText="1"/>
    </xf>
    <xf numFmtId="2" fontId="4" fillId="23" borderId="25" xfId="0" applyNumberFormat="1" applyFont="1" applyFill="1" applyBorder="1" applyAlignment="1">
      <alignment horizontal="center" vertical="center" wrapText="1"/>
    </xf>
    <xf numFmtId="0" fontId="25" fillId="0" borderId="0" xfId="2"/>
    <xf numFmtId="0" fontId="24" fillId="13" borderId="0" xfId="2" applyFont="1" applyFill="1" applyAlignment="1">
      <alignment horizontal="center" vertical="center"/>
    </xf>
    <xf numFmtId="164" fontId="25" fillId="15" borderId="0" xfId="2" applyNumberFormat="1" applyFill="1" applyAlignment="1">
      <alignment horizontal="center"/>
    </xf>
    <xf numFmtId="0" fontId="25" fillId="15" borderId="0" xfId="2" applyFill="1" applyAlignment="1">
      <alignment horizontal="center"/>
    </xf>
    <xf numFmtId="0" fontId="25" fillId="21" borderId="0" xfId="2" applyFill="1" applyAlignment="1">
      <alignment wrapText="1"/>
    </xf>
    <xf numFmtId="0" fontId="25" fillId="26" borderId="0" xfId="2" applyFill="1" applyAlignment="1">
      <alignment horizontal="center"/>
    </xf>
    <xf numFmtId="0" fontId="16" fillId="12" borderId="23" xfId="0" applyFont="1" applyFill="1" applyBorder="1" applyAlignment="1">
      <alignment horizontal="center" vertical="center" wrapText="1"/>
    </xf>
    <xf numFmtId="0" fontId="16" fillId="12" borderId="10" xfId="0" applyFont="1" applyFill="1" applyBorder="1" applyAlignment="1">
      <alignment horizontal="center" vertical="center" wrapText="1"/>
    </xf>
    <xf numFmtId="0" fontId="16" fillId="12" borderId="24" xfId="0" applyFont="1" applyFill="1" applyBorder="1" applyAlignment="1">
      <alignment horizontal="center" vertical="center" wrapText="1"/>
    </xf>
    <xf numFmtId="0" fontId="14" fillId="30" borderId="1" xfId="0" applyFont="1" applyFill="1" applyBorder="1" applyAlignment="1">
      <alignment horizontal="center" vertical="center" wrapText="1"/>
    </xf>
    <xf numFmtId="0" fontId="14" fillId="30" borderId="1" xfId="0" applyFont="1" applyFill="1" applyBorder="1" applyAlignment="1">
      <alignment horizontal="center" vertical="center"/>
    </xf>
    <xf numFmtId="0" fontId="18" fillId="0" borderId="0" xfId="2" applyFont="1"/>
    <xf numFmtId="2" fontId="21" fillId="29" borderId="0" xfId="2" applyNumberFormat="1" applyFont="1" applyFill="1" applyAlignment="1">
      <alignment horizontal="center" vertical="center"/>
    </xf>
    <xf numFmtId="0" fontId="7" fillId="0" borderId="0" xfId="2" applyFont="1"/>
    <xf numFmtId="0" fontId="7" fillId="0" borderId="1" xfId="2" applyFont="1" applyBorder="1" applyAlignment="1">
      <alignment horizontal="center" vertical="center" wrapText="1"/>
    </xf>
    <xf numFmtId="0" fontId="19" fillId="12" borderId="0" xfId="2" applyFont="1" applyFill="1" applyAlignment="1">
      <alignment horizontal="center" vertical="center" wrapText="1"/>
    </xf>
    <xf numFmtId="2" fontId="19" fillId="29" borderId="0" xfId="2" applyNumberFormat="1" applyFont="1" applyFill="1" applyAlignment="1">
      <alignment horizontal="center" vertical="center"/>
    </xf>
    <xf numFmtId="0" fontId="15" fillId="15" borderId="1" xfId="2" applyFont="1" applyFill="1" applyBorder="1" applyAlignment="1">
      <alignment horizontal="center" vertical="center" wrapText="1"/>
    </xf>
    <xf numFmtId="2" fontId="15" fillId="15" borderId="1" xfId="2" applyNumberFormat="1" applyFont="1" applyFill="1" applyBorder="1" applyAlignment="1">
      <alignment horizontal="center" vertical="center" wrapText="1"/>
    </xf>
    <xf numFmtId="2" fontId="15" fillId="27" borderId="1" xfId="2" applyNumberFormat="1" applyFont="1" applyFill="1" applyBorder="1" applyAlignment="1">
      <alignment horizontal="center" vertical="center" wrapText="1"/>
    </xf>
    <xf numFmtId="2" fontId="14" fillId="27" borderId="1" xfId="2" applyNumberFormat="1" applyFont="1" applyFill="1" applyBorder="1" applyAlignment="1">
      <alignment horizontal="center" vertical="center" wrapText="1"/>
    </xf>
    <xf numFmtId="1" fontId="15" fillId="27" borderId="1" xfId="2" applyNumberFormat="1" applyFont="1" applyFill="1" applyBorder="1" applyAlignment="1">
      <alignment horizontal="center" vertical="center" wrapText="1"/>
    </xf>
    <xf numFmtId="0" fontId="15" fillId="18" borderId="1" xfId="2" applyFont="1" applyFill="1" applyBorder="1" applyAlignment="1">
      <alignment horizontal="center" vertical="center" wrapText="1"/>
    </xf>
    <xf numFmtId="0" fontId="14" fillId="30" borderId="1" xfId="2" applyFont="1" applyFill="1" applyBorder="1" applyAlignment="1">
      <alignment vertical="center"/>
    </xf>
    <xf numFmtId="2" fontId="6" fillId="31" borderId="1" xfId="0" applyNumberFormat="1" applyFont="1" applyFill="1" applyBorder="1" applyAlignment="1">
      <alignment horizontal="right" vertical="center" wrapText="1"/>
    </xf>
    <xf numFmtId="2" fontId="6" fillId="31" borderId="1" xfId="0" applyNumberFormat="1" applyFont="1" applyFill="1" applyBorder="1" applyAlignment="1">
      <alignment vertical="center" wrapText="1"/>
    </xf>
    <xf numFmtId="0" fontId="29" fillId="12" borderId="1" xfId="2" applyFont="1" applyFill="1" applyBorder="1" applyAlignment="1">
      <alignment vertical="center"/>
    </xf>
    <xf numFmtId="17" fontId="18" fillId="0" borderId="1" xfId="2" applyNumberFormat="1" applyFont="1" applyBorder="1" applyAlignment="1">
      <alignment vertical="center" wrapText="1"/>
    </xf>
    <xf numFmtId="0" fontId="30" fillId="12" borderId="1" xfId="2" applyFont="1" applyFill="1" applyBorder="1" applyAlignment="1">
      <alignment horizontal="center" vertical="center" wrapText="1"/>
    </xf>
    <xf numFmtId="0" fontId="25" fillId="0" borderId="0" xfId="2" applyAlignment="1">
      <alignment horizontal="center" vertical="center" wrapText="1"/>
    </xf>
    <xf numFmtId="0" fontId="25" fillId="0" borderId="0" xfId="2" applyAlignment="1">
      <alignment vertical="center" wrapText="1"/>
    </xf>
    <xf numFmtId="0" fontId="23" fillId="14" borderId="0" xfId="2" applyFont="1" applyFill="1" applyAlignment="1">
      <alignment horizontal="center" vertical="center" wrapText="1"/>
    </xf>
    <xf numFmtId="164" fontId="25" fillId="0" borderId="0" xfId="2" applyNumberFormat="1" applyAlignment="1">
      <alignment horizontal="center" vertical="center" wrapText="1"/>
    </xf>
    <xf numFmtId="0" fontId="7" fillId="0" borderId="0" xfId="2" applyFont="1" applyAlignment="1">
      <alignment vertical="center" wrapText="1"/>
    </xf>
    <xf numFmtId="0" fontId="7" fillId="0" borderId="0" xfId="2" applyFont="1" applyAlignment="1">
      <alignment horizontal="center" vertical="center" wrapText="1"/>
    </xf>
    <xf numFmtId="0" fontId="16" fillId="13" borderId="1" xfId="2" applyFont="1" applyFill="1" applyBorder="1" applyAlignment="1">
      <alignment horizontal="center" vertical="center" wrapText="1"/>
    </xf>
    <xf numFmtId="0" fontId="7" fillId="0" borderId="1" xfId="2" applyFont="1" applyBorder="1" applyAlignment="1">
      <alignment horizontal="right" vertical="center" wrapText="1"/>
    </xf>
    <xf numFmtId="2" fontId="7" fillId="0" borderId="1" xfId="2" applyNumberFormat="1" applyFont="1" applyBorder="1" applyAlignment="1">
      <alignment horizontal="center" vertical="center" wrapText="1"/>
    </xf>
    <xf numFmtId="0" fontId="6" fillId="14" borderId="1" xfId="2" applyFont="1" applyFill="1" applyBorder="1" applyAlignment="1">
      <alignment horizontal="center" vertical="center" wrapText="1"/>
    </xf>
    <xf numFmtId="0" fontId="6" fillId="14" borderId="1" xfId="2" applyFont="1" applyFill="1" applyBorder="1" applyAlignment="1">
      <alignment horizontal="right" vertical="center" wrapText="1"/>
    </xf>
    <xf numFmtId="164" fontId="7" fillId="0" borderId="1" xfId="2" applyNumberFormat="1" applyFont="1" applyBorder="1" applyAlignment="1">
      <alignment horizontal="center" vertical="center" wrapText="1"/>
    </xf>
    <xf numFmtId="164" fontId="6" fillId="14" borderId="1" xfId="2" applyNumberFormat="1" applyFont="1" applyFill="1" applyBorder="1" applyAlignment="1">
      <alignment horizontal="center" vertical="center" wrapText="1"/>
    </xf>
    <xf numFmtId="0" fontId="31" fillId="32" borderId="0" xfId="0" applyFont="1" applyFill="1" applyAlignment="1">
      <alignment horizontal="center" vertical="center" wrapText="1"/>
    </xf>
    <xf numFmtId="164" fontId="20" fillId="14" borderId="1" xfId="2" applyNumberFormat="1" applyFont="1" applyFill="1" applyBorder="1" applyAlignment="1">
      <alignment horizontal="center" vertical="center" wrapText="1"/>
    </xf>
    <xf numFmtId="2" fontId="6" fillId="0" borderId="1" xfId="2" applyNumberFormat="1" applyFont="1" applyBorder="1" applyAlignment="1">
      <alignment horizontal="center" vertical="center" wrapText="1"/>
    </xf>
    <xf numFmtId="0" fontId="6" fillId="0" borderId="1" xfId="2" applyFont="1" applyBorder="1" applyAlignment="1">
      <alignment horizontal="center" vertical="center" wrapText="1"/>
    </xf>
    <xf numFmtId="0" fontId="15" fillId="2" borderId="1" xfId="2" applyFont="1" applyFill="1" applyBorder="1" applyAlignment="1">
      <alignment horizontal="center" vertical="center" wrapText="1"/>
    </xf>
    <xf numFmtId="2" fontId="15" fillId="2" borderId="1" xfId="2" applyNumberFormat="1" applyFont="1" applyFill="1" applyBorder="1" applyAlignment="1">
      <alignment horizontal="center" vertical="center" wrapText="1"/>
    </xf>
    <xf numFmtId="0" fontId="19" fillId="33" borderId="1" xfId="2" applyFont="1" applyFill="1" applyBorder="1" applyAlignment="1">
      <alignment horizontal="center" vertical="center" wrapText="1"/>
    </xf>
    <xf numFmtId="0" fontId="15" fillId="0" borderId="1" xfId="2" applyFont="1" applyBorder="1" applyAlignment="1">
      <alignment horizontal="center" vertical="center" wrapText="1"/>
    </xf>
    <xf numFmtId="0" fontId="14" fillId="26" borderId="1" xfId="2" applyFont="1" applyFill="1" applyBorder="1" applyAlignment="1">
      <alignment horizontal="center" vertical="center" wrapText="1"/>
    </xf>
    <xf numFmtId="164" fontId="15" fillId="25" borderId="1" xfId="2" applyNumberFormat="1" applyFont="1" applyFill="1" applyBorder="1" applyAlignment="1">
      <alignment horizontal="center" vertical="center" wrapText="1"/>
    </xf>
    <xf numFmtId="2" fontId="15" fillId="25" borderId="1" xfId="2" applyNumberFormat="1" applyFont="1" applyFill="1" applyBorder="1" applyAlignment="1">
      <alignment horizontal="center" vertical="center" wrapText="1"/>
    </xf>
    <xf numFmtId="0" fontId="15" fillId="21" borderId="1" xfId="2" applyFont="1" applyFill="1" applyBorder="1" applyAlignment="1">
      <alignment horizontal="center" vertical="center" wrapText="1"/>
    </xf>
    <xf numFmtId="164" fontId="15" fillId="27" borderId="1" xfId="2" applyNumberFormat="1" applyFont="1" applyFill="1" applyBorder="1" applyAlignment="1">
      <alignment horizontal="center" vertical="center" wrapText="1"/>
    </xf>
    <xf numFmtId="2" fontId="15" fillId="21" borderId="1" xfId="2" applyNumberFormat="1" applyFont="1" applyFill="1" applyBorder="1" applyAlignment="1">
      <alignment horizontal="center" vertical="center" wrapText="1"/>
    </xf>
    <xf numFmtId="2" fontId="14" fillId="20" borderId="1" xfId="2" applyNumberFormat="1" applyFont="1" applyFill="1" applyBorder="1" applyAlignment="1">
      <alignment horizontal="center" vertical="center" wrapText="1"/>
    </xf>
    <xf numFmtId="2" fontId="19" fillId="28" borderId="1" xfId="2" applyNumberFormat="1" applyFont="1" applyFill="1" applyBorder="1" applyAlignment="1">
      <alignment horizontal="center" vertical="center"/>
    </xf>
    <xf numFmtId="0" fontId="2" fillId="0" borderId="18" xfId="0" applyFont="1" applyBorder="1" applyAlignment="1">
      <alignment horizontal="center"/>
    </xf>
    <xf numFmtId="0" fontId="21" fillId="2" borderId="0" xfId="2" applyFont="1" applyFill="1" applyAlignment="1">
      <alignment horizontal="center" vertical="center"/>
    </xf>
    <xf numFmtId="0" fontId="18" fillId="2" borderId="0" xfId="2" applyFont="1" applyFill="1" applyAlignment="1">
      <alignment vertical="center" wrapText="1"/>
    </xf>
    <xf numFmtId="0" fontId="18" fillId="2" borderId="0" xfId="2" applyFont="1" applyFill="1"/>
    <xf numFmtId="0" fontId="32" fillId="20" borderId="1" xfId="2" applyFont="1" applyFill="1" applyBorder="1" applyAlignment="1">
      <alignment horizontal="center" vertical="center" wrapText="1"/>
    </xf>
    <xf numFmtId="0" fontId="33" fillId="30"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2" fontId="4" fillId="2" borderId="1" xfId="0" applyNumberFormat="1" applyFont="1" applyFill="1" applyBorder="1" applyAlignment="1">
      <alignment horizontal="center" wrapText="1"/>
    </xf>
    <xf numFmtId="2" fontId="6" fillId="22" borderId="2" xfId="0" applyNumberFormat="1" applyFont="1" applyFill="1" applyBorder="1" applyAlignment="1">
      <alignment horizontal="center" vertical="center" wrapText="1"/>
    </xf>
    <xf numFmtId="0" fontId="13" fillId="2" borderId="0" xfId="0" applyFont="1" applyFill="1" applyAlignment="1">
      <alignment vertical="center" wrapText="1"/>
    </xf>
    <xf numFmtId="49" fontId="16" fillId="12" borderId="1" xfId="0" applyNumberFormat="1" applyFont="1" applyFill="1" applyBorder="1" applyAlignment="1">
      <alignment horizontal="center" wrapText="1"/>
    </xf>
    <xf numFmtId="49" fontId="6" fillId="11" borderId="1" xfId="0" applyNumberFormat="1" applyFont="1" applyFill="1" applyBorder="1" applyAlignment="1">
      <alignment wrapText="1"/>
    </xf>
    <xf numFmtId="49" fontId="4" fillId="0" borderId="1" xfId="0" applyNumberFormat="1" applyFont="1" applyBorder="1" applyAlignment="1">
      <alignment wrapText="1"/>
    </xf>
    <xf numFmtId="15" fontId="4" fillId="0" borderId="1" xfId="0" applyNumberFormat="1" applyFont="1" applyBorder="1" applyAlignment="1">
      <alignment wrapText="1"/>
    </xf>
    <xf numFmtId="49" fontId="4" fillId="0" borderId="1" xfId="0" applyNumberFormat="1" applyFont="1" applyBorder="1" applyAlignment="1">
      <alignment horizontal="center" wrapText="1"/>
    </xf>
    <xf numFmtId="2" fontId="4" fillId="0" borderId="1" xfId="0" applyNumberFormat="1" applyFont="1" applyBorder="1" applyAlignment="1">
      <alignment horizontal="center" vertical="center"/>
    </xf>
    <xf numFmtId="49" fontId="6" fillId="11" borderId="1" xfId="0" applyNumberFormat="1" applyFont="1" applyFill="1" applyBorder="1" applyAlignment="1">
      <alignment horizontal="center" wrapText="1"/>
    </xf>
    <xf numFmtId="2" fontId="6" fillId="11" borderId="1" xfId="0" applyNumberFormat="1" applyFont="1" applyFill="1" applyBorder="1" applyAlignment="1">
      <alignment wrapText="1"/>
    </xf>
    <xf numFmtId="49" fontId="6" fillId="0" borderId="1" xfId="0" applyNumberFormat="1" applyFont="1" applyBorder="1" applyAlignment="1">
      <alignment wrapText="1"/>
    </xf>
    <xf numFmtId="49" fontId="4" fillId="0" borderId="1" xfId="0" applyNumberFormat="1" applyFont="1" applyBorder="1" applyAlignment="1">
      <alignment horizontal="left" vertical="center" wrapText="1"/>
    </xf>
    <xf numFmtId="0" fontId="0" fillId="0" borderId="1" xfId="0" applyBorder="1"/>
    <xf numFmtId="49" fontId="6" fillId="17" borderId="1" xfId="0" applyNumberFormat="1" applyFont="1" applyFill="1" applyBorder="1" applyAlignment="1">
      <alignment horizontal="left" vertical="center" wrapText="1" indent="1"/>
    </xf>
    <xf numFmtId="49" fontId="6" fillId="2" borderId="1" xfId="0" applyNumberFormat="1" applyFont="1" applyFill="1" applyBorder="1" applyAlignment="1">
      <alignment horizontal="left" vertical="center" wrapText="1" indent="1"/>
    </xf>
    <xf numFmtId="49" fontId="6" fillId="17" borderId="1" xfId="0" applyNumberFormat="1" applyFont="1" applyFill="1" applyBorder="1" applyAlignment="1">
      <alignment horizontal="left" vertical="top" wrapText="1" indent="1"/>
    </xf>
    <xf numFmtId="2" fontId="4" fillId="34" borderId="1" xfId="0" applyNumberFormat="1" applyFont="1" applyFill="1" applyBorder="1" applyAlignment="1">
      <alignment horizontal="center" vertical="center" wrapText="1"/>
    </xf>
    <xf numFmtId="2" fontId="4" fillId="34" borderId="10" xfId="0" applyNumberFormat="1" applyFont="1" applyFill="1" applyBorder="1" applyAlignment="1">
      <alignment horizontal="center" vertical="center" wrapText="1"/>
    </xf>
    <xf numFmtId="2" fontId="4" fillId="0" borderId="25" xfId="0" applyNumberFormat="1" applyFont="1" applyBorder="1" applyAlignment="1">
      <alignment horizontal="center" vertical="center" wrapText="1"/>
    </xf>
    <xf numFmtId="0" fontId="6" fillId="30" borderId="1" xfId="0" applyFont="1" applyFill="1" applyBorder="1" applyAlignment="1">
      <alignment horizontal="center" vertical="center" wrapText="1"/>
    </xf>
    <xf numFmtId="165" fontId="4" fillId="0" borderId="0" xfId="0" applyNumberFormat="1" applyFont="1"/>
    <xf numFmtId="2" fontId="7" fillId="2" borderId="1" xfId="2" applyNumberFormat="1" applyFont="1" applyFill="1" applyBorder="1" applyAlignment="1">
      <alignment horizontal="center" vertical="center" wrapText="1"/>
    </xf>
    <xf numFmtId="2" fontId="6" fillId="27" borderId="1" xfId="2" applyNumberFormat="1" applyFont="1" applyFill="1" applyBorder="1" applyAlignment="1">
      <alignment horizontal="center" vertical="center" wrapText="1"/>
    </xf>
    <xf numFmtId="0" fontId="7" fillId="18" borderId="1" xfId="2" applyFont="1" applyFill="1" applyBorder="1" applyAlignment="1">
      <alignment horizontal="center" vertical="center" wrapText="1"/>
    </xf>
    <xf numFmtId="0" fontId="2" fillId="0" borderId="0" xfId="3" applyFont="1" applyAlignment="1">
      <alignment horizontal="center" vertical="center" wrapText="1"/>
    </xf>
    <xf numFmtId="0" fontId="36" fillId="0" borderId="1" xfId="3" applyFont="1" applyBorder="1" applyAlignment="1">
      <alignment horizontal="center" vertical="center" wrapText="1"/>
    </xf>
    <xf numFmtId="0" fontId="2" fillId="0" borderId="1" xfId="3" applyFont="1" applyBorder="1" applyAlignment="1">
      <alignment horizontal="center" vertical="center" wrapText="1"/>
    </xf>
    <xf numFmtId="0" fontId="20" fillId="0" borderId="1" xfId="3" applyFont="1" applyBorder="1" applyAlignment="1">
      <alignment horizontal="center" vertical="center" wrapText="1"/>
    </xf>
    <xf numFmtId="0" fontId="38" fillId="36" borderId="1" xfId="3" applyFont="1" applyFill="1" applyBorder="1" applyAlignment="1">
      <alignment horizontal="center" vertical="center" wrapText="1"/>
    </xf>
    <xf numFmtId="0" fontId="18" fillId="0" borderId="1" xfId="3" applyFont="1" applyBorder="1" applyAlignment="1">
      <alignment horizontal="center" vertical="center" wrapText="1"/>
    </xf>
    <xf numFmtId="0" fontId="21" fillId="35" borderId="1" xfId="3" applyFont="1" applyFill="1" applyBorder="1" applyAlignment="1">
      <alignment horizontal="center" vertical="center" wrapText="1"/>
    </xf>
    <xf numFmtId="0" fontId="39" fillId="0" borderId="1" xfId="3" applyFont="1" applyBorder="1" applyAlignment="1">
      <alignment horizontal="center" vertical="center" wrapText="1"/>
    </xf>
    <xf numFmtId="2" fontId="39" fillId="0" borderId="1" xfId="3" applyNumberFormat="1" applyFont="1" applyBorder="1" applyAlignment="1">
      <alignment horizontal="center" vertical="center" wrapText="1"/>
    </xf>
    <xf numFmtId="2" fontId="18" fillId="0" borderId="1" xfId="3" applyNumberFormat="1" applyFont="1" applyBorder="1" applyAlignment="1">
      <alignment horizontal="center" vertical="center" wrapText="1"/>
    </xf>
    <xf numFmtId="0" fontId="6" fillId="0" borderId="1" xfId="3" applyFont="1" applyBorder="1" applyAlignment="1">
      <alignment horizontal="left" vertical="center" wrapText="1"/>
    </xf>
    <xf numFmtId="2" fontId="7" fillId="0" borderId="1" xfId="0" applyNumberFormat="1" applyFont="1" applyBorder="1" applyAlignment="1">
      <alignment horizontal="center" wrapText="1"/>
    </xf>
    <xf numFmtId="0" fontId="18" fillId="2" borderId="0" xfId="2" applyFont="1" applyFill="1" applyAlignment="1">
      <alignment horizontal="center" vertical="center" wrapText="1"/>
    </xf>
    <xf numFmtId="0" fontId="18" fillId="0" borderId="0" xfId="2" applyFont="1" applyAlignment="1">
      <alignment horizontal="center"/>
    </xf>
    <xf numFmtId="2" fontId="6" fillId="37" borderId="1" xfId="0" applyNumberFormat="1" applyFont="1" applyFill="1" applyBorder="1" applyAlignment="1">
      <alignment horizontal="right" vertical="center" wrapText="1"/>
    </xf>
    <xf numFmtId="2" fontId="6" fillId="37" borderId="1" xfId="0" applyNumberFormat="1" applyFont="1" applyFill="1" applyBorder="1" applyAlignment="1">
      <alignment vertical="center" wrapText="1"/>
    </xf>
    <xf numFmtId="0" fontId="24" fillId="13" borderId="0" xfId="2" applyFont="1" applyFill="1" applyAlignment="1">
      <alignment horizontal="center" vertical="center" wrapText="1"/>
    </xf>
    <xf numFmtId="49" fontId="4" fillId="31" borderId="1" xfId="0" applyNumberFormat="1" applyFont="1" applyFill="1" applyBorder="1" applyAlignment="1">
      <alignment wrapText="1"/>
    </xf>
    <xf numFmtId="49" fontId="6" fillId="31" borderId="1" xfId="0" applyNumberFormat="1" applyFont="1" applyFill="1" applyBorder="1" applyAlignment="1">
      <alignment wrapText="1"/>
    </xf>
    <xf numFmtId="49" fontId="4" fillId="31" borderId="1" xfId="0" applyNumberFormat="1" applyFont="1" applyFill="1" applyBorder="1" applyAlignment="1">
      <alignment horizontal="center" wrapText="1"/>
    </xf>
    <xf numFmtId="2" fontId="4" fillId="31" borderId="1" xfId="0" applyNumberFormat="1" applyFont="1" applyFill="1" applyBorder="1" applyAlignment="1">
      <alignment horizontal="center" vertical="center"/>
    </xf>
    <xf numFmtId="2" fontId="4" fillId="38" borderId="1" xfId="0" applyNumberFormat="1" applyFont="1" applyFill="1" applyBorder="1" applyAlignment="1">
      <alignment horizontal="center" vertical="center" wrapText="1"/>
    </xf>
    <xf numFmtId="2" fontId="4" fillId="38" borderId="1" xfId="0" applyNumberFormat="1" applyFont="1" applyFill="1" applyBorder="1" applyAlignment="1">
      <alignment horizontal="center" wrapText="1"/>
    </xf>
    <xf numFmtId="2" fontId="15" fillId="37" borderId="1" xfId="2" applyNumberFormat="1" applyFont="1" applyFill="1" applyBorder="1" applyAlignment="1">
      <alignment horizontal="center" vertical="center" wrapText="1"/>
    </xf>
    <xf numFmtId="0" fontId="13" fillId="12" borderId="1" xfId="0" applyFont="1" applyFill="1" applyBorder="1" applyAlignment="1">
      <alignment horizontal="center" vertical="center" wrapText="1"/>
    </xf>
    <xf numFmtId="17" fontId="15" fillId="5" borderId="1" xfId="0" applyNumberFormat="1" applyFont="1" applyFill="1" applyBorder="1" applyAlignment="1">
      <alignment horizontal="left" vertical="center" wrapText="1"/>
    </xf>
    <xf numFmtId="0" fontId="15" fillId="5" borderId="1" xfId="0" applyFont="1" applyFill="1" applyBorder="1" applyAlignment="1">
      <alignment horizontal="left" vertical="center" wrapText="1"/>
    </xf>
    <xf numFmtId="49" fontId="6" fillId="11" borderId="1" xfId="0" applyNumberFormat="1" applyFont="1" applyFill="1" applyBorder="1" applyAlignment="1">
      <alignment vertical="center" wrapText="1"/>
    </xf>
    <xf numFmtId="2" fontId="6" fillId="2" borderId="1" xfId="0" applyNumberFormat="1" applyFont="1" applyFill="1" applyBorder="1" applyAlignment="1">
      <alignment horizontal="right" vertical="center" wrapText="1"/>
    </xf>
    <xf numFmtId="2" fontId="7" fillId="0" borderId="1" xfId="0" applyNumberFormat="1" applyFont="1" applyBorder="1" applyAlignment="1">
      <alignment horizontal="right" vertical="center" wrapText="1"/>
    </xf>
    <xf numFmtId="49" fontId="6" fillId="14" borderId="1" xfId="0" applyNumberFormat="1" applyFont="1" applyFill="1" applyBorder="1" applyAlignment="1">
      <alignment vertical="center" wrapText="1"/>
    </xf>
    <xf numFmtId="49" fontId="6" fillId="11" borderId="1" xfId="0" applyNumberFormat="1" applyFont="1" applyFill="1" applyBorder="1" applyAlignment="1">
      <alignment horizontal="left" vertical="center" wrapText="1"/>
    </xf>
    <xf numFmtId="2" fontId="3" fillId="2" borderId="2" xfId="0" applyNumberFormat="1" applyFont="1" applyFill="1" applyBorder="1" applyAlignment="1">
      <alignment horizontal="center" vertical="center" wrapText="1"/>
    </xf>
    <xf numFmtId="2" fontId="3" fillId="2" borderId="9" xfId="0" applyNumberFormat="1" applyFont="1" applyFill="1" applyBorder="1" applyAlignment="1">
      <alignment horizontal="center" vertical="center" wrapText="1"/>
    </xf>
    <xf numFmtId="2" fontId="3" fillId="2" borderId="10" xfId="0" applyNumberFormat="1" applyFont="1" applyFill="1" applyBorder="1" applyAlignment="1">
      <alignment horizontal="center" vertical="center" wrapText="1"/>
    </xf>
    <xf numFmtId="2" fontId="3" fillId="2" borderId="30" xfId="0" applyNumberFormat="1" applyFont="1" applyFill="1" applyBorder="1" applyAlignment="1">
      <alignment horizontal="center" vertical="center" wrapText="1"/>
    </xf>
    <xf numFmtId="2" fontId="3" fillId="2" borderId="34" xfId="0" applyNumberFormat="1" applyFont="1" applyFill="1" applyBorder="1" applyAlignment="1">
      <alignment horizontal="center" vertical="center" wrapText="1"/>
    </xf>
    <xf numFmtId="2" fontId="3" fillId="2" borderId="35" xfId="0" applyNumberFormat="1" applyFont="1" applyFill="1" applyBorder="1" applyAlignment="1">
      <alignment horizontal="center" vertical="center" wrapText="1"/>
    </xf>
    <xf numFmtId="2" fontId="3" fillId="2" borderId="11" xfId="0" applyNumberFormat="1" applyFont="1" applyFill="1" applyBorder="1" applyAlignment="1">
      <alignment horizontal="center" vertical="center" wrapText="1"/>
    </xf>
    <xf numFmtId="2" fontId="3" fillId="2" borderId="12" xfId="0" applyNumberFormat="1"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17" fillId="9" borderId="36" xfId="0" applyFont="1" applyFill="1" applyBorder="1" applyAlignment="1">
      <alignment horizontal="center" vertical="center"/>
    </xf>
    <xf numFmtId="0" fontId="17" fillId="9" borderId="0" xfId="0" applyFont="1" applyFill="1" applyAlignment="1">
      <alignment horizontal="center" vertical="center"/>
    </xf>
    <xf numFmtId="0" fontId="10" fillId="9" borderId="1"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3" fillId="6" borderId="37" xfId="0" applyFont="1" applyFill="1" applyBorder="1" applyAlignment="1">
      <alignment horizontal="center" vertical="center" wrapText="1"/>
    </xf>
    <xf numFmtId="0" fontId="3" fillId="6" borderId="34" xfId="0" applyFont="1" applyFill="1" applyBorder="1" applyAlignment="1">
      <alignment horizontal="center" vertical="center" wrapText="1"/>
    </xf>
    <xf numFmtId="0" fontId="3" fillId="6" borderId="38"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10" fillId="9" borderId="27" xfId="0" applyFont="1" applyFill="1" applyBorder="1" applyAlignment="1">
      <alignment horizontal="center" vertical="center" wrapText="1"/>
    </xf>
    <xf numFmtId="0" fontId="10" fillId="9" borderId="11" xfId="0" applyFont="1" applyFill="1" applyBorder="1" applyAlignment="1">
      <alignment horizontal="center" vertical="center" wrapText="1"/>
    </xf>
    <xf numFmtId="0" fontId="3" fillId="6" borderId="31" xfId="0" applyFont="1" applyFill="1" applyBorder="1" applyAlignment="1">
      <alignment horizontal="center" vertical="center" wrapText="1"/>
    </xf>
    <xf numFmtId="0" fontId="3" fillId="6" borderId="28" xfId="0" applyFont="1" applyFill="1" applyBorder="1" applyAlignment="1">
      <alignment horizontal="center" vertical="center" wrapText="1"/>
    </xf>
    <xf numFmtId="0" fontId="3" fillId="6" borderId="3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9" fillId="12" borderId="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33" xfId="0" applyFont="1" applyFill="1" applyBorder="1" applyAlignment="1">
      <alignment horizontal="center" vertical="center" wrapText="1"/>
    </xf>
    <xf numFmtId="0" fontId="3" fillId="6" borderId="29" xfId="0" applyFont="1" applyFill="1" applyBorder="1" applyAlignment="1">
      <alignment horizontal="center" vertical="center" wrapText="1"/>
    </xf>
    <xf numFmtId="165" fontId="10" fillId="12" borderId="1" xfId="0" applyNumberFormat="1" applyFont="1" applyFill="1" applyBorder="1" applyAlignment="1">
      <alignment horizontal="center" vertical="center" wrapText="1"/>
    </xf>
    <xf numFmtId="165" fontId="3" fillId="0" borderId="1" xfId="0" applyNumberFormat="1" applyFont="1" applyBorder="1" applyAlignment="1">
      <alignment horizontal="center" vertical="center" wrapText="1"/>
    </xf>
    <xf numFmtId="165" fontId="3" fillId="3" borderId="1" xfId="0" applyNumberFormat="1" applyFont="1" applyFill="1" applyBorder="1" applyAlignment="1">
      <alignment horizontal="center" vertical="center" wrapText="1"/>
    </xf>
    <xf numFmtId="2" fontId="4" fillId="0" borderId="2" xfId="0" applyNumberFormat="1" applyFont="1" applyBorder="1" applyAlignment="1">
      <alignment horizontal="center" vertical="center" wrapText="1"/>
    </xf>
    <xf numFmtId="2" fontId="4" fillId="0" borderId="10" xfId="0" applyNumberFormat="1" applyFont="1" applyBorder="1" applyAlignment="1">
      <alignment horizontal="center" vertical="center" wrapText="1"/>
    </xf>
    <xf numFmtId="2" fontId="3" fillId="0" borderId="2" xfId="0" applyNumberFormat="1" applyFont="1" applyBorder="1" applyAlignment="1">
      <alignment horizontal="center" vertical="center" wrapText="1"/>
    </xf>
    <xf numFmtId="2" fontId="3" fillId="0" borderId="9" xfId="0" applyNumberFormat="1" applyFont="1" applyBorder="1" applyAlignment="1">
      <alignment horizontal="center" vertical="center" wrapText="1"/>
    </xf>
    <xf numFmtId="2" fontId="3" fillId="0" borderId="10" xfId="0" applyNumberFormat="1" applyFont="1" applyBorder="1" applyAlignment="1">
      <alignment horizontal="center" vertical="center" wrapText="1"/>
    </xf>
    <xf numFmtId="2" fontId="4" fillId="0" borderId="1" xfId="0" applyNumberFormat="1" applyFont="1" applyBorder="1" applyAlignment="1">
      <alignment horizontal="center" vertical="center" wrapText="1"/>
    </xf>
    <xf numFmtId="165" fontId="3" fillId="4" borderId="1" xfId="0" applyNumberFormat="1" applyFont="1" applyFill="1" applyBorder="1" applyAlignment="1">
      <alignment horizontal="center" vertical="center" wrapText="1"/>
    </xf>
    <xf numFmtId="0" fontId="7" fillId="5"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10" fillId="12" borderId="16" xfId="0" applyFont="1" applyFill="1" applyBorder="1" applyAlignment="1">
      <alignment horizontal="center" vertical="center" wrapText="1"/>
    </xf>
    <xf numFmtId="0" fontId="10" fillId="12" borderId="14" xfId="0" applyFont="1" applyFill="1" applyBorder="1" applyAlignment="1">
      <alignment horizontal="center" vertical="center" wrapText="1"/>
    </xf>
    <xf numFmtId="0" fontId="10" fillId="12" borderId="15" xfId="0" applyFont="1" applyFill="1" applyBorder="1" applyAlignment="1">
      <alignment horizontal="center" vertical="center" wrapText="1"/>
    </xf>
    <xf numFmtId="0" fontId="10" fillId="12" borderId="13" xfId="0" applyFont="1" applyFill="1" applyBorder="1" applyAlignment="1">
      <alignment horizontal="center" vertical="center" wrapText="1"/>
    </xf>
    <xf numFmtId="0" fontId="10" fillId="12" borderId="4" xfId="0" applyFont="1" applyFill="1" applyBorder="1" applyAlignment="1">
      <alignment horizontal="center" vertical="center" wrapText="1"/>
    </xf>
    <xf numFmtId="0" fontId="10" fillId="12" borderId="17"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2" fillId="12" borderId="20" xfId="0" applyFont="1" applyFill="1" applyBorder="1" applyAlignment="1">
      <alignment horizontal="center" vertical="center" wrapText="1"/>
    </xf>
    <xf numFmtId="0" fontId="12" fillId="12" borderId="0" xfId="0" applyFont="1" applyFill="1" applyAlignment="1">
      <alignment horizontal="center" vertical="center" wrapText="1"/>
    </xf>
    <xf numFmtId="17" fontId="7" fillId="5" borderId="1" xfId="0" applyNumberFormat="1" applyFont="1" applyFill="1" applyBorder="1" applyAlignment="1">
      <alignment horizontal="left" vertical="center" wrapText="1"/>
    </xf>
    <xf numFmtId="0" fontId="9" fillId="12" borderId="20" xfId="0" applyFont="1" applyFill="1" applyBorder="1" applyAlignment="1">
      <alignment horizontal="center" vertical="center" wrapText="1"/>
    </xf>
    <xf numFmtId="0" fontId="9" fillId="12" borderId="0" xfId="0" applyFont="1" applyFill="1" applyAlignment="1">
      <alignment horizontal="center" vertical="center" wrapText="1"/>
    </xf>
    <xf numFmtId="17" fontId="8" fillId="0" borderId="0" xfId="0" applyNumberFormat="1" applyFont="1" applyAlignment="1">
      <alignment horizontal="left" vertical="center" wrapText="1"/>
    </xf>
    <xf numFmtId="0" fontId="19" fillId="12" borderId="0" xfId="0" applyFont="1" applyFill="1" applyAlignment="1">
      <alignment horizontal="center" vertical="center" wrapText="1"/>
    </xf>
    <xf numFmtId="0" fontId="15" fillId="0" borderId="1" xfId="0" applyFont="1" applyBorder="1" applyAlignment="1">
      <alignment vertical="center" wrapText="1"/>
    </xf>
    <xf numFmtId="17" fontId="15" fillId="0" borderId="1" xfId="0" applyNumberFormat="1" applyFont="1" applyBorder="1" applyAlignment="1">
      <alignment horizontal="left" vertical="center" wrapText="1"/>
    </xf>
    <xf numFmtId="0" fontId="15" fillId="0" borderId="1" xfId="0" applyFont="1" applyBorder="1" applyAlignment="1">
      <alignment horizontal="left" vertical="center" wrapText="1"/>
    </xf>
    <xf numFmtId="2" fontId="19" fillId="28" borderId="1" xfId="2" applyNumberFormat="1" applyFont="1" applyFill="1" applyBorder="1" applyAlignment="1">
      <alignment horizontal="center" vertical="center"/>
    </xf>
    <xf numFmtId="0" fontId="27" fillId="13" borderId="1" xfId="2" applyFont="1" applyFill="1" applyBorder="1" applyAlignment="1">
      <alignment horizontal="center" vertical="center"/>
    </xf>
    <xf numFmtId="0" fontId="32" fillId="24" borderId="1" xfId="2" applyFont="1" applyFill="1" applyBorder="1" applyAlignment="1">
      <alignment horizontal="center" vertical="center" wrapText="1"/>
    </xf>
    <xf numFmtId="0" fontId="32" fillId="25" borderId="1" xfId="2" applyFont="1" applyFill="1" applyBorder="1" applyAlignment="1">
      <alignment horizontal="center" vertical="center" wrapText="1"/>
    </xf>
    <xf numFmtId="0" fontId="32" fillId="19" borderId="1" xfId="2" applyFont="1" applyFill="1" applyBorder="1" applyAlignment="1">
      <alignment horizontal="center" vertical="center" wrapText="1"/>
    </xf>
    <xf numFmtId="0" fontId="32" fillId="21" borderId="1" xfId="2" applyFont="1" applyFill="1" applyBorder="1" applyAlignment="1">
      <alignment horizontal="center" vertical="center" wrapText="1"/>
    </xf>
    <xf numFmtId="0" fontId="35" fillId="12" borderId="1" xfId="0" applyFont="1" applyFill="1" applyBorder="1" applyAlignment="1">
      <alignment horizontal="center" vertical="center" wrapText="1"/>
    </xf>
    <xf numFmtId="0" fontId="34" fillId="5" borderId="1" xfId="0" applyFont="1" applyFill="1" applyBorder="1" applyAlignment="1">
      <alignment horizontal="left" vertical="center" wrapText="1"/>
    </xf>
    <xf numFmtId="17" fontId="34" fillId="5" borderId="1" xfId="0" applyNumberFormat="1" applyFont="1" applyFill="1" applyBorder="1" applyAlignment="1">
      <alignment horizontal="left" vertical="center" wrapText="1"/>
    </xf>
    <xf numFmtId="0" fontId="15" fillId="2" borderId="1" xfId="2" applyFont="1" applyFill="1" applyBorder="1" applyAlignment="1">
      <alignment horizontal="left" vertical="center" wrapText="1"/>
    </xf>
    <xf numFmtId="0" fontId="27" fillId="12" borderId="1" xfId="2" applyFont="1" applyFill="1" applyBorder="1" applyAlignment="1">
      <alignment horizontal="center" vertical="center"/>
    </xf>
    <xf numFmtId="2" fontId="19" fillId="29" borderId="0" xfId="2" applyNumberFormat="1" applyFont="1" applyFill="1" applyAlignment="1">
      <alignment horizontal="center" vertical="center"/>
    </xf>
    <xf numFmtId="0" fontId="14" fillId="30" borderId="1" xfId="2" applyFont="1" applyFill="1" applyBorder="1" applyAlignment="1">
      <alignment vertical="center"/>
    </xf>
    <xf numFmtId="17" fontId="15" fillId="2" borderId="1" xfId="2" applyNumberFormat="1" applyFont="1" applyFill="1" applyBorder="1" applyAlignment="1">
      <alignment horizontal="left" vertical="center" wrapText="1"/>
    </xf>
    <xf numFmtId="2" fontId="21" fillId="29" borderId="0" xfId="2" applyNumberFormat="1" applyFont="1" applyFill="1" applyAlignment="1">
      <alignment horizontal="center" vertical="center"/>
    </xf>
    <xf numFmtId="0" fontId="27" fillId="12" borderId="0" xfId="2" applyFont="1" applyFill="1" applyAlignment="1">
      <alignment horizontal="center" vertical="center"/>
    </xf>
    <xf numFmtId="0" fontId="28" fillId="0" borderId="3" xfId="2" applyFont="1" applyBorder="1" applyAlignment="1">
      <alignment horizontal="left" vertical="center" wrapText="1"/>
    </xf>
    <xf numFmtId="0" fontId="28" fillId="0" borderId="8" xfId="2" applyFont="1" applyBorder="1" applyAlignment="1">
      <alignment horizontal="left" vertical="center" wrapText="1"/>
    </xf>
    <xf numFmtId="0" fontId="28" fillId="0" borderId="19" xfId="2" applyFont="1" applyBorder="1" applyAlignment="1">
      <alignment horizontal="left" vertical="center" wrapText="1"/>
    </xf>
    <xf numFmtId="0" fontId="21" fillId="12" borderId="1" xfId="2" applyFont="1" applyFill="1" applyBorder="1" applyAlignment="1">
      <alignment horizontal="center" vertical="center"/>
    </xf>
    <xf numFmtId="0" fontId="21" fillId="12" borderId="1" xfId="2" applyFont="1" applyFill="1" applyBorder="1" applyAlignment="1">
      <alignment horizontal="center" vertical="center" wrapText="1"/>
    </xf>
    <xf numFmtId="0" fontId="18" fillId="0" borderId="3" xfId="2" applyFont="1" applyBorder="1" applyAlignment="1">
      <alignment horizontal="left" vertical="center" wrapText="1"/>
    </xf>
    <xf numFmtId="0" fontId="18" fillId="0" borderId="8" xfId="2" applyFont="1" applyBorder="1" applyAlignment="1">
      <alignment horizontal="left" vertical="center" wrapText="1"/>
    </xf>
    <xf numFmtId="0" fontId="18" fillId="0" borderId="19" xfId="2" applyFont="1" applyBorder="1" applyAlignment="1">
      <alignment horizontal="left" vertical="center" wrapText="1"/>
    </xf>
    <xf numFmtId="0" fontId="16" fillId="35" borderId="0" xfId="3" applyFont="1" applyFill="1" applyAlignment="1">
      <alignment horizontal="center" vertical="center" wrapText="1"/>
    </xf>
    <xf numFmtId="0" fontId="7" fillId="0" borderId="1" xfId="3" applyFont="1" applyBorder="1" applyAlignment="1">
      <alignment horizontal="left" vertical="center" wrapText="1"/>
    </xf>
    <xf numFmtId="17" fontId="7" fillId="0" borderId="1" xfId="3" applyNumberFormat="1" applyFont="1" applyBorder="1" applyAlignment="1">
      <alignment horizontal="left" vertical="center" wrapText="1"/>
    </xf>
    <xf numFmtId="0" fontId="7" fillId="0" borderId="3" xfId="3" applyFont="1" applyBorder="1" applyAlignment="1">
      <alignment horizontal="left" vertical="center" wrapText="1"/>
    </xf>
    <xf numFmtId="0" fontId="7" fillId="0" borderId="8" xfId="3" applyFont="1" applyBorder="1" applyAlignment="1">
      <alignment horizontal="left" vertical="center" wrapText="1"/>
    </xf>
    <xf numFmtId="0" fontId="7" fillId="0" borderId="19" xfId="3" applyFont="1" applyBorder="1" applyAlignment="1">
      <alignment horizontal="left" vertical="center" wrapText="1"/>
    </xf>
    <xf numFmtId="0" fontId="27" fillId="12" borderId="20" xfId="2" applyFont="1" applyFill="1" applyBorder="1" applyAlignment="1">
      <alignment horizontal="center" vertical="center"/>
    </xf>
    <xf numFmtId="0" fontId="16" fillId="13" borderId="1" xfId="2" applyFont="1" applyFill="1" applyBorder="1" applyAlignment="1">
      <alignment horizontal="center" vertical="center" wrapText="1"/>
    </xf>
    <xf numFmtId="17" fontId="7" fillId="0" borderId="1" xfId="2" applyNumberFormat="1" applyFont="1" applyBorder="1" applyAlignment="1">
      <alignment horizontal="left"/>
    </xf>
    <xf numFmtId="0" fontId="16" fillId="13" borderId="2" xfId="2" applyFont="1" applyFill="1" applyBorder="1" applyAlignment="1">
      <alignment horizontal="center" vertical="center" wrapText="1"/>
    </xf>
    <xf numFmtId="0" fontId="16" fillId="13" borderId="10" xfId="2" applyFont="1" applyFill="1" applyBorder="1" applyAlignment="1">
      <alignment horizontal="center" vertical="center" wrapText="1"/>
    </xf>
    <xf numFmtId="0" fontId="24" fillId="13" borderId="0" xfId="2" applyFont="1" applyFill="1" applyAlignment="1">
      <alignment horizontal="center" vertical="center" wrapText="1"/>
    </xf>
    <xf numFmtId="0" fontId="26" fillId="28" borderId="0" xfId="2" applyFont="1" applyFill="1" applyAlignment="1">
      <alignment horizontal="center" vertical="center"/>
    </xf>
    <xf numFmtId="0" fontId="23" fillId="20" borderId="0" xfId="2" applyFont="1" applyFill="1" applyAlignment="1">
      <alignment horizontal="center"/>
    </xf>
    <xf numFmtId="0" fontId="25" fillId="18" borderId="0" xfId="2" applyFill="1" applyAlignment="1">
      <alignment wrapText="1"/>
    </xf>
  </cellXfs>
  <cellStyles count="4">
    <cellStyle name="Normal" xfId="0" builtinId="0"/>
    <cellStyle name="Normal 2" xfId="1" xr:uid="{72238D23-FE82-4014-ACD7-819BB0E4BFDC}"/>
    <cellStyle name="Normal 3" xfId="2" xr:uid="{E6A2A9E0-5801-424F-A49C-A335425796E9}"/>
    <cellStyle name="Normal 4" xfId="3" xr:uid="{EDF00A5F-FA4F-40E7-A2CF-4A3DD7A04FB8}"/>
  </cellStyles>
  <dxfs count="19">
    <dxf>
      <font>
        <color rgb="FF7F7F7F"/>
      </font>
      <fill>
        <patternFill patternType="solid">
          <bgColor rgb="FFF2F2F2"/>
        </patternFill>
      </fill>
    </dxf>
    <dxf>
      <font>
        <b/>
        <color rgb="FF7F6000"/>
      </font>
      <fill>
        <patternFill patternType="solid">
          <bgColor rgb="FFFFF2CC"/>
        </patternFill>
      </fill>
    </dxf>
    <dxf>
      <font>
        <b/>
        <color rgb="FF385723"/>
      </font>
      <fill>
        <patternFill patternType="solid">
          <bgColor rgb="FFE2F0D9"/>
        </patternFill>
      </fill>
    </dxf>
    <dxf>
      <font>
        <color rgb="FF7F7F7F"/>
      </font>
      <fill>
        <patternFill patternType="solid">
          <bgColor rgb="FFF2F2F2"/>
        </patternFill>
      </fill>
    </dxf>
    <dxf>
      <font>
        <b/>
        <color rgb="FF7F6000"/>
      </font>
      <fill>
        <patternFill patternType="solid">
          <bgColor rgb="FFFFF2CC"/>
        </patternFill>
      </fill>
    </dxf>
    <dxf>
      <font>
        <b/>
        <color rgb="FF385723"/>
      </font>
      <fill>
        <patternFill patternType="solid">
          <bgColor rgb="FFE2F0D9"/>
        </patternFill>
      </fill>
    </dxf>
    <dxf>
      <font>
        <color rgb="FF7F7F7F"/>
      </font>
      <fill>
        <patternFill patternType="solid">
          <bgColor rgb="FFF2F2F2"/>
        </patternFill>
      </fill>
    </dxf>
    <dxf>
      <font>
        <b/>
        <color rgb="FF7F6000"/>
      </font>
      <fill>
        <patternFill patternType="solid">
          <bgColor rgb="FFFFF2CC"/>
        </patternFill>
      </fill>
    </dxf>
    <dxf>
      <font>
        <b/>
        <color rgb="FF385723"/>
      </font>
      <fill>
        <patternFill patternType="solid">
          <bgColor rgb="FFE2F0D9"/>
        </patternFill>
      </fill>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fill>
        <patternFill patternType="solid">
          <fgColor indexed="64"/>
          <bgColor theme="4"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6BBF25-0622-4C53-8310-CB251AE35988}" name="TablaDrenajePisoSumideros" displayName="TablaDrenajePisoSumideros" ref="A7:G12" headerRowDxfId="18" dataDxfId="17" totalsRowDxfId="16">
  <tableColumns count="7">
    <tableColumn id="1" xr3:uid="{DA0FF74B-4925-4ADA-AFEB-C4D36FC6D5E3}" name="SECTOR" dataDxfId="15"/>
    <tableColumn id="2" xr3:uid="{0BCB13AB-3ABA-4701-A3EA-6AEF5F6F9ACA}" name="TUBERÍA 4&quot; PVC-U_x000a_Desagüe Clase Pesada (m)" dataDxfId="14"/>
    <tableColumn id="3" xr3:uid="{93DE301F-B619-4C01-95C0-AB848D17AD26}" name="SUMIDERO DE 4&quot;_x000a_(und)" dataDxfId="13"/>
    <tableColumn id="4" xr3:uid="{32003F0E-CAFE-4B02-A1AF-D5DBD10BF293}" name="CODO 90° x 4&quot;_x000a_(und)" dataDxfId="12"/>
    <tableColumn id="5" xr3:uid="{19799523-52AD-4902-9819-5A56588CB7F6}" name="CODO 45° x 4&quot;_x000a_(und)" dataDxfId="11"/>
    <tableColumn id="6" xr3:uid="{227A8324-7BCD-45BD-9A51-4D5827EF668C}" name="TEE° x 4&quot;_x000a_(und)" dataDxfId="10"/>
    <tableColumn id="7" xr3:uid="{FC317548-0FB6-44F2-9610-60E10B624F16}" name="OBSERVACIÓN" dataDxfId="9"/>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F2BEF-7423-4817-AC2D-48154BCA0190}">
  <dimension ref="A1:E49"/>
  <sheetViews>
    <sheetView view="pageBreakPreview" topLeftCell="A29" zoomScale="130" zoomScaleNormal="130" zoomScaleSheetLayoutView="130" workbookViewId="0">
      <selection activeCell="B32" sqref="B32"/>
    </sheetView>
  </sheetViews>
  <sheetFormatPr baseColWidth="10" defaultColWidth="11.54296875" defaultRowHeight="15.5"/>
  <cols>
    <col min="1" max="1" width="18.08984375" style="26" customWidth="1"/>
    <col min="2" max="2" width="74.08984375" style="26" customWidth="1"/>
    <col min="3" max="3" width="19.36328125" style="19" customWidth="1"/>
    <col min="4" max="4" width="21.54296875" style="19" customWidth="1"/>
    <col min="5" max="16384" width="11.54296875" style="26"/>
  </cols>
  <sheetData>
    <row r="1" spans="1:5" ht="15.65" customHeight="1">
      <c r="A1" s="61"/>
      <c r="B1" s="156"/>
      <c r="C1" s="156"/>
      <c r="D1" s="156"/>
      <c r="E1" s="61"/>
    </row>
    <row r="2" spans="1:5" ht="23" customHeight="1">
      <c r="A2" s="203" t="s">
        <v>41</v>
      </c>
      <c r="B2" s="203"/>
      <c r="C2" s="203"/>
      <c r="D2" s="203"/>
    </row>
    <row r="3" spans="1:5" ht="5" hidden="1" customHeight="1">
      <c r="A3" s="60"/>
      <c r="B3" s="60"/>
      <c r="C3" s="60"/>
      <c r="D3" s="60"/>
    </row>
    <row r="4" spans="1:5" ht="21.65" customHeight="1">
      <c r="A4" s="99" t="s">
        <v>42</v>
      </c>
      <c r="B4" s="205" t="s">
        <v>46</v>
      </c>
      <c r="C4" s="205"/>
      <c r="D4" s="205"/>
    </row>
    <row r="5" spans="1:5" ht="79.5" customHeight="1">
      <c r="A5" s="98" t="s">
        <v>39</v>
      </c>
      <c r="B5" s="205" t="s">
        <v>362</v>
      </c>
      <c r="C5" s="205"/>
      <c r="D5" s="205"/>
    </row>
    <row r="6" spans="1:5" ht="18" customHeight="1">
      <c r="A6" s="99" t="s">
        <v>43</v>
      </c>
      <c r="B6" s="205" t="s">
        <v>329</v>
      </c>
      <c r="C6" s="205"/>
      <c r="D6" s="205"/>
    </row>
    <row r="7" spans="1:5" ht="25.25" customHeight="1">
      <c r="A7" s="99" t="s">
        <v>40</v>
      </c>
      <c r="B7" s="204">
        <v>46266</v>
      </c>
      <c r="C7" s="204"/>
      <c r="D7" s="204"/>
    </row>
    <row r="8" spans="1:5">
      <c r="A8" s="157" t="s">
        <v>95</v>
      </c>
      <c r="B8" s="157" t="s">
        <v>96</v>
      </c>
      <c r="C8" s="157" t="s">
        <v>97</v>
      </c>
      <c r="D8" s="157" t="s">
        <v>163</v>
      </c>
    </row>
    <row r="9" spans="1:5">
      <c r="A9" s="158" t="s">
        <v>98</v>
      </c>
      <c r="B9" s="158" t="s">
        <v>99</v>
      </c>
      <c r="C9" s="158"/>
      <c r="D9" s="158"/>
    </row>
    <row r="10" spans="1:5">
      <c r="A10" s="158" t="s">
        <v>100</v>
      </c>
      <c r="B10" s="158" t="s">
        <v>101</v>
      </c>
      <c r="C10" s="158"/>
      <c r="D10" s="158"/>
    </row>
    <row r="11" spans="1:5">
      <c r="A11" s="159" t="s">
        <v>102</v>
      </c>
      <c r="B11" s="160" t="s">
        <v>0</v>
      </c>
      <c r="C11" s="161" t="s">
        <v>103</v>
      </c>
      <c r="D11" s="162">
        <f>+'PLANILLA GENERAL DE METRADOS'!K11</f>
        <v>956.87199999999996</v>
      </c>
    </row>
    <row r="12" spans="1:5">
      <c r="A12" s="159" t="s">
        <v>104</v>
      </c>
      <c r="B12" s="159" t="s">
        <v>1</v>
      </c>
      <c r="C12" s="161" t="s">
        <v>103</v>
      </c>
      <c r="D12" s="162">
        <f>+'PLANILLA GENERAL DE METRADOS'!K24</f>
        <v>956.87199999999996</v>
      </c>
    </row>
    <row r="13" spans="1:5">
      <c r="A13" s="158" t="s">
        <v>105</v>
      </c>
      <c r="B13" s="158" t="s">
        <v>2</v>
      </c>
      <c r="C13" s="163"/>
      <c r="D13" s="164"/>
    </row>
    <row r="14" spans="1:5">
      <c r="A14" s="159" t="s">
        <v>106</v>
      </c>
      <c r="B14" s="159" t="s">
        <v>107</v>
      </c>
      <c r="C14" s="161" t="s">
        <v>108</v>
      </c>
      <c r="D14" s="162">
        <f>+'PLANILLA GENERAL DE METRADOS'!K38</f>
        <v>619.79763999999989</v>
      </c>
    </row>
    <row r="15" spans="1:5">
      <c r="A15" s="159" t="s">
        <v>109</v>
      </c>
      <c r="B15" s="159" t="s">
        <v>110</v>
      </c>
      <c r="C15" s="161" t="s">
        <v>108</v>
      </c>
      <c r="D15" s="162">
        <f>+'PLANILLA GENERAL DE METRADOS'!K51</f>
        <v>3.4719999999999995</v>
      </c>
    </row>
    <row r="16" spans="1:5">
      <c r="A16" s="159" t="s">
        <v>111</v>
      </c>
      <c r="B16" s="159" t="s">
        <v>112</v>
      </c>
      <c r="C16" s="161" t="s">
        <v>103</v>
      </c>
      <c r="D16" s="162">
        <f>+'PLANILLA GENERAL DE METRADOS'!K54</f>
        <v>410.08799999999997</v>
      </c>
    </row>
    <row r="17" spans="1:4">
      <c r="A17" s="159" t="s">
        <v>113</v>
      </c>
      <c r="B17" s="159" t="s">
        <v>114</v>
      </c>
      <c r="C17" s="161" t="s">
        <v>108</v>
      </c>
      <c r="D17" s="162">
        <f>+'PLANILLA GENERAL DE METRADOS'!K67</f>
        <v>343.77408000000003</v>
      </c>
    </row>
    <row r="18" spans="1:4">
      <c r="A18" s="159" t="s">
        <v>115</v>
      </c>
      <c r="B18" s="159" t="s">
        <v>355</v>
      </c>
      <c r="C18" s="161" t="s">
        <v>108</v>
      </c>
      <c r="D18" s="162">
        <f>+'PLANILLA GENERAL DE METRADOS'!K80</f>
        <v>331.22827199999983</v>
      </c>
    </row>
    <row r="19" spans="1:4">
      <c r="A19" s="158" t="s">
        <v>116</v>
      </c>
      <c r="B19" s="158" t="s">
        <v>5</v>
      </c>
      <c r="C19" s="163"/>
      <c r="D19" s="164"/>
    </row>
    <row r="20" spans="1:4">
      <c r="A20" s="159" t="s">
        <v>117</v>
      </c>
      <c r="B20" s="159" t="s">
        <v>118</v>
      </c>
      <c r="C20" s="161" t="s">
        <v>103</v>
      </c>
      <c r="D20" s="162">
        <f>+'PLANILLA GENERAL DE METRADOS'!K84</f>
        <v>410.08799999999997</v>
      </c>
    </row>
    <row r="21" spans="1:4">
      <c r="A21" s="159" t="s">
        <v>119</v>
      </c>
      <c r="B21" s="159" t="s">
        <v>120</v>
      </c>
      <c r="C21" s="161" t="s">
        <v>108</v>
      </c>
      <c r="D21" s="162">
        <f>+'PLANILLA GENERAL DE METRADOS'!K97</f>
        <v>3.4719999999999995</v>
      </c>
    </row>
    <row r="22" spans="1:4">
      <c r="A22" s="158" t="s">
        <v>121</v>
      </c>
      <c r="B22" s="158" t="s">
        <v>6</v>
      </c>
      <c r="C22" s="163"/>
      <c r="D22" s="164"/>
    </row>
    <row r="23" spans="1:4">
      <c r="A23" s="159" t="s">
        <v>122</v>
      </c>
      <c r="B23" s="165" t="s">
        <v>123</v>
      </c>
      <c r="C23" s="161"/>
      <c r="D23" s="162"/>
    </row>
    <row r="24" spans="1:4">
      <c r="A24" s="159" t="s">
        <v>124</v>
      </c>
      <c r="B24" s="159" t="s">
        <v>125</v>
      </c>
      <c r="C24" s="161" t="s">
        <v>108</v>
      </c>
      <c r="D24" s="162">
        <f>+'PLANILLA GENERAL DE METRADOS'!K101</f>
        <v>122.64579999999999</v>
      </c>
    </row>
    <row r="25" spans="1:4">
      <c r="A25" s="159" t="s">
        <v>126</v>
      </c>
      <c r="B25" s="159" t="s">
        <v>127</v>
      </c>
      <c r="C25" s="161" t="s">
        <v>103</v>
      </c>
      <c r="D25" s="162">
        <f>+'PLANILLA GENERAL DE METRADOS'!K114</f>
        <v>1661.96</v>
      </c>
    </row>
    <row r="26" spans="1:4">
      <c r="A26" s="159" t="s">
        <v>128</v>
      </c>
      <c r="B26" s="159" t="s">
        <v>129</v>
      </c>
      <c r="C26" s="161" t="s">
        <v>9</v>
      </c>
      <c r="D26" s="162">
        <f>+'PLANILLA GENERAL DE METRADOS'!K127</f>
        <v>4967.0517119999995</v>
      </c>
    </row>
    <row r="27" spans="1:4">
      <c r="A27" s="159" t="s">
        <v>130</v>
      </c>
      <c r="B27" s="159" t="s">
        <v>131</v>
      </c>
      <c r="C27" s="161" t="s">
        <v>103</v>
      </c>
      <c r="D27" s="162">
        <f>+'METRADO DE CURADO'!M38</f>
        <v>1084.2058999999999</v>
      </c>
    </row>
    <row r="28" spans="1:4">
      <c r="A28" s="159" t="s">
        <v>132</v>
      </c>
      <c r="B28" s="165" t="s">
        <v>133</v>
      </c>
      <c r="C28" s="161"/>
      <c r="D28" s="162"/>
    </row>
    <row r="29" spans="1:4">
      <c r="A29" s="159" t="s">
        <v>134</v>
      </c>
      <c r="B29" s="159" t="s">
        <v>412</v>
      </c>
      <c r="C29" s="161" t="s">
        <v>94</v>
      </c>
      <c r="D29" s="162">
        <f>+'PLANILLA GENERAL DE METRADOS'!K132</f>
        <v>510.11</v>
      </c>
    </row>
    <row r="30" spans="1:4">
      <c r="A30" s="159" t="s">
        <v>136</v>
      </c>
      <c r="B30" s="159" t="s">
        <v>137</v>
      </c>
      <c r="C30" s="161" t="s">
        <v>11</v>
      </c>
      <c r="D30" s="162">
        <f>+'PLANILLA GENERAL DE METRADOS'!K133</f>
        <v>17</v>
      </c>
    </row>
    <row r="31" spans="1:4">
      <c r="A31" s="159" t="s">
        <v>138</v>
      </c>
      <c r="B31" s="159" t="s">
        <v>139</v>
      </c>
      <c r="C31" s="161" t="s">
        <v>94</v>
      </c>
      <c r="D31" s="162">
        <f>+'PLANILLA GENERAL DE METRADOS'!K134</f>
        <v>241.95954396630202</v>
      </c>
    </row>
    <row r="32" spans="1:4">
      <c r="A32" s="158" t="s">
        <v>140</v>
      </c>
      <c r="B32" s="158" t="s">
        <v>141</v>
      </c>
      <c r="C32" s="163"/>
      <c r="D32" s="164"/>
    </row>
    <row r="33" spans="1:4" ht="18.5" customHeight="1">
      <c r="A33" s="159" t="s">
        <v>142</v>
      </c>
      <c r="B33" s="165" t="s">
        <v>143</v>
      </c>
      <c r="C33" s="161"/>
      <c r="D33" s="162"/>
    </row>
    <row r="34" spans="1:4" ht="18.5" customHeight="1">
      <c r="A34" s="196" t="s">
        <v>144</v>
      </c>
      <c r="B34" s="196" t="s">
        <v>354</v>
      </c>
      <c r="C34" s="198" t="s">
        <v>10</v>
      </c>
      <c r="D34" s="199">
        <f>+'PLANILLA GENERAL DE METRADOS'!K138</f>
        <v>0</v>
      </c>
    </row>
    <row r="35" spans="1:4" ht="18.5" customHeight="1">
      <c r="A35" s="159" t="s">
        <v>146</v>
      </c>
      <c r="B35" s="159" t="s">
        <v>147</v>
      </c>
      <c r="C35" s="161" t="s">
        <v>11</v>
      </c>
      <c r="D35" s="162">
        <f>+'PLANILLA GENERAL DE METRADOS'!K139</f>
        <v>62</v>
      </c>
    </row>
    <row r="36" spans="1:4" ht="18.5" customHeight="1">
      <c r="A36" s="166" t="s">
        <v>168</v>
      </c>
      <c r="B36" s="159" t="s">
        <v>92</v>
      </c>
      <c r="C36" s="161" t="s">
        <v>108</v>
      </c>
      <c r="D36" s="162">
        <f>+'PLANILLA GENERAL DE METRADOS'!K140</f>
        <v>2.4180000000000006</v>
      </c>
    </row>
    <row r="37" spans="1:4">
      <c r="A37" s="166" t="s">
        <v>169</v>
      </c>
      <c r="B37" s="159" t="s">
        <v>90</v>
      </c>
      <c r="C37" s="161" t="s">
        <v>103</v>
      </c>
      <c r="D37" s="162">
        <f>+'PLANILLA GENERAL DE METRADOS'!K142</f>
        <v>40.300000000000004</v>
      </c>
    </row>
    <row r="38" spans="1:4">
      <c r="A38" s="166" t="s">
        <v>170</v>
      </c>
      <c r="B38" s="159" t="s">
        <v>91</v>
      </c>
      <c r="C38" s="161" t="s">
        <v>9</v>
      </c>
      <c r="D38" s="162">
        <f>+'PLANILLA GENERAL DE METRADOS'!K145</f>
        <v>347.89440000000002</v>
      </c>
    </row>
    <row r="39" spans="1:4">
      <c r="A39" s="159" t="s">
        <v>148</v>
      </c>
      <c r="B39" s="165" t="s">
        <v>149</v>
      </c>
      <c r="C39" s="161"/>
      <c r="D39" s="162"/>
    </row>
    <row r="40" spans="1:4">
      <c r="A40" s="159" t="s">
        <v>150</v>
      </c>
      <c r="B40" s="159" t="s">
        <v>151</v>
      </c>
      <c r="C40" s="161" t="s">
        <v>10</v>
      </c>
      <c r="D40" s="162">
        <f>+'PLANILLA GENERAL DE METRADOS'!K150</f>
        <v>112.26</v>
      </c>
    </row>
    <row r="41" spans="1:4">
      <c r="A41" s="159" t="s">
        <v>152</v>
      </c>
      <c r="B41" s="159" t="s">
        <v>153</v>
      </c>
      <c r="C41" s="161" t="s">
        <v>11</v>
      </c>
      <c r="D41" s="162">
        <f>+'PLANILLA GENERAL DE METRADOS'!K151</f>
        <v>30</v>
      </c>
    </row>
    <row r="42" spans="1:4">
      <c r="A42" s="159" t="s">
        <v>350</v>
      </c>
      <c r="B42" s="159" t="s">
        <v>352</v>
      </c>
      <c r="C42" s="161" t="s">
        <v>11</v>
      </c>
      <c r="D42" s="162">
        <f>+'PLANILLA GENERAL DE METRADOS'!K152</f>
        <v>24</v>
      </c>
    </row>
    <row r="43" spans="1:4">
      <c r="A43" s="159" t="s">
        <v>351</v>
      </c>
      <c r="B43" s="159" t="s">
        <v>353</v>
      </c>
      <c r="C43" s="161" t="s">
        <v>11</v>
      </c>
      <c r="D43" s="162">
        <f>+'PLANILLA GENERAL DE METRADOS'!K153</f>
        <v>4</v>
      </c>
    </row>
    <row r="44" spans="1:4">
      <c r="A44" s="196" t="s">
        <v>154</v>
      </c>
      <c r="B44" s="197" t="s">
        <v>45</v>
      </c>
      <c r="C44" s="198"/>
      <c r="D44" s="199"/>
    </row>
    <row r="45" spans="1:4">
      <c r="A45" s="196" t="s">
        <v>155</v>
      </c>
      <c r="B45" s="196" t="s">
        <v>156</v>
      </c>
      <c r="C45" s="198" t="s">
        <v>11</v>
      </c>
      <c r="D45" s="199">
        <f>+'PLANILLA GENERAL DE METRADOS'!K156</f>
        <v>0</v>
      </c>
    </row>
    <row r="46" spans="1:4">
      <c r="A46" s="196" t="s">
        <v>157</v>
      </c>
      <c r="B46" s="196" t="s">
        <v>158</v>
      </c>
      <c r="C46" s="198" t="s">
        <v>11</v>
      </c>
      <c r="D46" s="199">
        <f>+'PLANILLA GENERAL DE METRADOS'!K157</f>
        <v>0</v>
      </c>
    </row>
    <row r="47" spans="1:4">
      <c r="A47" s="196" t="s">
        <v>159</v>
      </c>
      <c r="B47" s="196" t="s">
        <v>172</v>
      </c>
      <c r="C47" s="198" t="s">
        <v>11</v>
      </c>
      <c r="D47" s="199">
        <f>+'PLANILLA GENERAL DE METRADOS'!K158</f>
        <v>0</v>
      </c>
    </row>
    <row r="48" spans="1:4">
      <c r="A48" s="196" t="s">
        <v>161</v>
      </c>
      <c r="B48" s="196" t="s">
        <v>160</v>
      </c>
      <c r="C48" s="198" t="s">
        <v>11</v>
      </c>
      <c r="D48" s="199">
        <f>+'PLANILLA GENERAL DE METRADOS'!K159</f>
        <v>0</v>
      </c>
    </row>
    <row r="49" spans="1:4">
      <c r="A49" s="196" t="s">
        <v>173</v>
      </c>
      <c r="B49" s="196" t="s">
        <v>162</v>
      </c>
      <c r="C49" s="198" t="s">
        <v>11</v>
      </c>
      <c r="D49" s="199">
        <f>+'PLANILLA GENERAL DE METRADOS'!K160</f>
        <v>0</v>
      </c>
    </row>
  </sheetData>
  <mergeCells count="5">
    <mergeCell ref="A2:D2"/>
    <mergeCell ref="B7:D7"/>
    <mergeCell ref="B5:D5"/>
    <mergeCell ref="B6:D6"/>
    <mergeCell ref="B4:D4"/>
  </mergeCells>
  <phoneticPr fontId="1" type="noConversion"/>
  <pageMargins left="0.67" right="0" top="1.4173228346456694" bottom="0.35433070866141736" header="0.31496062992125984" footer="0.31496062992125984"/>
  <pageSetup paperSize="9" scale="65" orientation="portrait" horizontalDpi="300" verticalDpi="300" r:id="rId1"/>
  <headerFooter>
    <oddHeader>&amp;C&amp;G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68FED-16CB-4734-BE26-A182B6E55FDA}">
  <dimension ref="A2:L160"/>
  <sheetViews>
    <sheetView tabSelected="1" view="pageBreakPreview" topLeftCell="A6" zoomScale="130" zoomScaleNormal="100" zoomScaleSheetLayoutView="130" workbookViewId="0">
      <selection activeCell="D134" sqref="D134"/>
    </sheetView>
  </sheetViews>
  <sheetFormatPr baseColWidth="10" defaultRowHeight="14.5"/>
  <cols>
    <col min="1" max="1" width="18.81640625" customWidth="1"/>
    <col min="2" max="2" width="33.7265625" customWidth="1"/>
    <col min="10" max="10" width="20" bestFit="1" customWidth="1"/>
  </cols>
  <sheetData>
    <row r="2" spans="1:12" ht="25" customHeight="1">
      <c r="A2" s="203" t="s">
        <v>41</v>
      </c>
      <c r="B2" s="203"/>
      <c r="C2" s="203"/>
      <c r="D2" s="203"/>
      <c r="E2" s="203"/>
      <c r="F2" s="203"/>
      <c r="G2" s="203"/>
      <c r="H2" s="203"/>
      <c r="I2" s="203"/>
      <c r="J2" s="203"/>
      <c r="K2" s="203"/>
      <c r="L2" s="203"/>
    </row>
    <row r="3" spans="1:12" ht="25.5" customHeight="1">
      <c r="A3" s="98" t="s">
        <v>42</v>
      </c>
      <c r="B3" s="205" t="str">
        <f>+RESUMEN!B4</f>
        <v>GERENCIA TERRITORIAL BAJO MAYO - TARAPOTO</v>
      </c>
      <c r="C3" s="205"/>
      <c r="D3" s="205"/>
      <c r="E3" s="205"/>
      <c r="F3" s="205"/>
      <c r="G3" s="205"/>
      <c r="H3" s="205"/>
      <c r="I3" s="205"/>
      <c r="J3" s="205"/>
      <c r="K3" s="205"/>
      <c r="L3" s="205"/>
    </row>
    <row r="4" spans="1:12" ht="59" customHeight="1">
      <c r="A4" s="98" t="s">
        <v>39</v>
      </c>
      <c r="B4" s="205"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C4" s="205"/>
      <c r="D4" s="205"/>
      <c r="E4" s="205"/>
      <c r="F4" s="205"/>
      <c r="G4" s="205"/>
      <c r="H4" s="205"/>
      <c r="I4" s="205"/>
      <c r="J4" s="205"/>
      <c r="K4" s="205"/>
      <c r="L4" s="205"/>
    </row>
    <row r="5" spans="1:12" ht="25.5" customHeight="1">
      <c r="A5" s="98" t="s">
        <v>43</v>
      </c>
      <c r="B5" s="205" t="str">
        <f>+RESUMEN!B6</f>
        <v>SAN MARTIN - SAN MARTIN - MORALES</v>
      </c>
      <c r="C5" s="205"/>
      <c r="D5" s="205"/>
      <c r="E5" s="205"/>
      <c r="F5" s="205"/>
      <c r="G5" s="205"/>
      <c r="H5" s="205"/>
      <c r="I5" s="205"/>
      <c r="J5" s="205"/>
      <c r="K5" s="205"/>
      <c r="L5" s="205"/>
    </row>
    <row r="6" spans="1:12" ht="25.5" customHeight="1">
      <c r="A6" s="98" t="s">
        <v>40</v>
      </c>
      <c r="B6" s="204">
        <f>+RESUMEN!B7</f>
        <v>46266</v>
      </c>
      <c r="C6" s="204"/>
      <c r="D6" s="204"/>
      <c r="E6" s="204"/>
      <c r="F6" s="204"/>
      <c r="G6" s="204"/>
      <c r="H6" s="204"/>
      <c r="I6" s="204"/>
      <c r="J6" s="204"/>
      <c r="K6" s="204"/>
      <c r="L6" s="204"/>
    </row>
    <row r="7" spans="1:12">
      <c r="A7" s="167"/>
      <c r="B7" s="167"/>
      <c r="C7" s="167"/>
      <c r="D7" s="167"/>
      <c r="E7" s="167"/>
      <c r="F7" s="167"/>
      <c r="G7" s="167"/>
      <c r="H7" s="167"/>
      <c r="I7" s="167"/>
      <c r="J7" s="167"/>
      <c r="K7" s="167"/>
      <c r="L7" s="167"/>
    </row>
    <row r="8" spans="1:12" ht="31">
      <c r="A8" s="27" t="s">
        <v>12</v>
      </c>
      <c r="B8" s="27" t="s">
        <v>13</v>
      </c>
      <c r="C8" s="27" t="s">
        <v>164</v>
      </c>
      <c r="D8" s="27" t="s">
        <v>165</v>
      </c>
      <c r="E8" s="27" t="s">
        <v>18</v>
      </c>
      <c r="F8" s="27" t="s">
        <v>166</v>
      </c>
      <c r="G8" s="27" t="s">
        <v>38</v>
      </c>
      <c r="H8" s="27" t="s">
        <v>22</v>
      </c>
      <c r="I8" s="27" t="s">
        <v>32</v>
      </c>
      <c r="J8" s="27" t="s">
        <v>15</v>
      </c>
      <c r="K8" s="27" t="s">
        <v>16</v>
      </c>
      <c r="L8" s="27" t="s">
        <v>14</v>
      </c>
    </row>
    <row r="9" spans="1:12" ht="15.5">
      <c r="A9" s="33" t="s">
        <v>98</v>
      </c>
      <c r="B9" s="209" t="s">
        <v>99</v>
      </c>
      <c r="C9" s="209"/>
      <c r="D9" s="209"/>
      <c r="E9" s="209"/>
      <c r="F9" s="209"/>
      <c r="G9" s="209"/>
      <c r="H9" s="209"/>
      <c r="I9" s="209"/>
      <c r="J9" s="209"/>
      <c r="K9" s="209"/>
      <c r="L9" s="209"/>
    </row>
    <row r="10" spans="1:12" ht="15.5">
      <c r="A10" s="33" t="s">
        <v>100</v>
      </c>
      <c r="B10" s="209" t="s">
        <v>101</v>
      </c>
      <c r="C10" s="209"/>
      <c r="D10" s="209"/>
      <c r="E10" s="209"/>
      <c r="F10" s="209"/>
      <c r="G10" s="209"/>
      <c r="H10" s="209"/>
      <c r="I10" s="209"/>
      <c r="J10" s="209"/>
      <c r="K10" s="209"/>
      <c r="L10" s="209"/>
    </row>
    <row r="11" spans="1:12" ht="22" customHeight="1">
      <c r="A11" s="28" t="s">
        <v>102</v>
      </c>
      <c r="B11" s="28" t="s">
        <v>0</v>
      </c>
      <c r="C11" s="29"/>
      <c r="D11" s="29"/>
      <c r="E11" s="29"/>
      <c r="F11" s="29"/>
      <c r="G11" s="29"/>
      <c r="H11" s="29"/>
      <c r="I11" s="29"/>
      <c r="J11" s="29"/>
      <c r="K11" s="29">
        <f>SUM(J12:J23)</f>
        <v>956.87199999999996</v>
      </c>
      <c r="L11" s="28" t="s">
        <v>103</v>
      </c>
    </row>
    <row r="12" spans="1:12" ht="15.5">
      <c r="A12" s="30"/>
      <c r="B12" s="30" t="s">
        <v>47</v>
      </c>
      <c r="C12" s="31">
        <v>1</v>
      </c>
      <c r="D12" s="31">
        <v>37.14</v>
      </c>
      <c r="E12" s="31">
        <v>1.4</v>
      </c>
      <c r="F12" s="31"/>
      <c r="G12" s="31"/>
      <c r="H12" s="31"/>
      <c r="I12" s="31"/>
      <c r="J12" s="31">
        <f t="shared" ref="J12:J23" si="0">C12*D12*E12</f>
        <v>51.995999999999995</v>
      </c>
      <c r="K12" s="31"/>
      <c r="L12" s="30"/>
    </row>
    <row r="13" spans="1:12" ht="15.5">
      <c r="A13" s="30"/>
      <c r="B13" s="30" t="s">
        <v>48</v>
      </c>
      <c r="C13" s="31">
        <v>1</v>
      </c>
      <c r="D13" s="31">
        <v>130.85</v>
      </c>
      <c r="E13" s="31">
        <v>1.4</v>
      </c>
      <c r="F13" s="31"/>
      <c r="G13" s="31"/>
      <c r="H13" s="31"/>
      <c r="I13" s="31"/>
      <c r="J13" s="31">
        <f t="shared" si="0"/>
        <v>183.18999999999997</v>
      </c>
      <c r="K13" s="31"/>
      <c r="L13" s="30"/>
    </row>
    <row r="14" spans="1:12" ht="15.5">
      <c r="A14" s="30"/>
      <c r="B14" s="30" t="s">
        <v>49</v>
      </c>
      <c r="C14" s="31">
        <v>1</v>
      </c>
      <c r="D14" s="31">
        <v>5.82</v>
      </c>
      <c r="E14" s="31">
        <v>1.4</v>
      </c>
      <c r="F14" s="31"/>
      <c r="G14" s="31"/>
      <c r="H14" s="31"/>
      <c r="I14" s="31"/>
      <c r="J14" s="31">
        <f t="shared" si="0"/>
        <v>8.1479999999999997</v>
      </c>
      <c r="K14" s="31"/>
      <c r="L14" s="30"/>
    </row>
    <row r="15" spans="1:12" ht="15.5">
      <c r="A15" s="30"/>
      <c r="B15" s="30" t="s">
        <v>50</v>
      </c>
      <c r="C15" s="31">
        <v>1</v>
      </c>
      <c r="D15" s="31">
        <v>8.6</v>
      </c>
      <c r="E15" s="31">
        <v>1.4</v>
      </c>
      <c r="F15" s="31"/>
      <c r="G15" s="31"/>
      <c r="H15" s="31"/>
      <c r="I15" s="31"/>
      <c r="J15" s="31">
        <f t="shared" si="0"/>
        <v>12.04</v>
      </c>
      <c r="K15" s="31"/>
      <c r="L15" s="30"/>
    </row>
    <row r="16" spans="1:12" ht="15.5">
      <c r="A16" s="30"/>
      <c r="B16" s="30" t="s">
        <v>56</v>
      </c>
      <c r="C16" s="31">
        <v>1</v>
      </c>
      <c r="D16" s="31">
        <v>43.23</v>
      </c>
      <c r="E16" s="31">
        <v>1.4</v>
      </c>
      <c r="F16" s="31"/>
      <c r="G16" s="31"/>
      <c r="H16" s="31"/>
      <c r="I16" s="31"/>
      <c r="J16" s="31">
        <f t="shared" si="0"/>
        <v>60.521999999999991</v>
      </c>
      <c r="K16" s="31"/>
      <c r="L16" s="30"/>
    </row>
    <row r="17" spans="1:12" ht="15.5">
      <c r="A17" s="30"/>
      <c r="B17" s="30" t="s">
        <v>57</v>
      </c>
      <c r="C17" s="31">
        <v>1</v>
      </c>
      <c r="D17" s="31">
        <v>120.36</v>
      </c>
      <c r="E17" s="31">
        <v>1.4</v>
      </c>
      <c r="F17" s="31"/>
      <c r="G17" s="31"/>
      <c r="H17" s="31"/>
      <c r="I17" s="31"/>
      <c r="J17" s="31">
        <f t="shared" si="0"/>
        <v>168.50399999999999</v>
      </c>
      <c r="K17" s="31"/>
      <c r="L17" s="30"/>
    </row>
    <row r="18" spans="1:12" ht="15.5">
      <c r="A18" s="30"/>
      <c r="B18" s="30" t="s">
        <v>58</v>
      </c>
      <c r="C18" s="31">
        <v>1</v>
      </c>
      <c r="D18" s="31">
        <v>125.7</v>
      </c>
      <c r="E18" s="31">
        <v>1.4</v>
      </c>
      <c r="F18" s="31"/>
      <c r="G18" s="31"/>
      <c r="H18" s="31"/>
      <c r="I18" s="31"/>
      <c r="J18" s="31">
        <f t="shared" si="0"/>
        <v>175.98</v>
      </c>
      <c r="K18" s="31"/>
      <c r="L18" s="30"/>
    </row>
    <row r="19" spans="1:12" ht="15.5">
      <c r="A19" s="30"/>
      <c r="B19" s="30" t="s">
        <v>51</v>
      </c>
      <c r="C19" s="31">
        <v>1</v>
      </c>
      <c r="D19" s="31">
        <v>8.1999999999999993</v>
      </c>
      <c r="E19" s="31">
        <v>1.4</v>
      </c>
      <c r="F19" s="31"/>
      <c r="G19" s="31"/>
      <c r="H19" s="31"/>
      <c r="I19" s="31"/>
      <c r="J19" s="31">
        <f t="shared" si="0"/>
        <v>11.479999999999999</v>
      </c>
      <c r="K19" s="31"/>
      <c r="L19" s="30"/>
    </row>
    <row r="20" spans="1:12" ht="15.5">
      <c r="A20" s="30"/>
      <c r="B20" s="30" t="s">
        <v>52</v>
      </c>
      <c r="C20" s="31">
        <v>1</v>
      </c>
      <c r="D20" s="31">
        <v>7</v>
      </c>
      <c r="E20" s="31">
        <v>1.4</v>
      </c>
      <c r="F20" s="31"/>
      <c r="G20" s="31"/>
      <c r="H20" s="31"/>
      <c r="I20" s="31"/>
      <c r="J20" s="31">
        <f t="shared" si="0"/>
        <v>9.7999999999999989</v>
      </c>
      <c r="K20" s="31"/>
      <c r="L20" s="30"/>
    </row>
    <row r="21" spans="1:12" ht="15.5">
      <c r="A21" s="30"/>
      <c r="B21" s="30" t="s">
        <v>53</v>
      </c>
      <c r="C21" s="31">
        <v>1</v>
      </c>
      <c r="D21" s="31">
        <v>16</v>
      </c>
      <c r="E21" s="31">
        <v>1.4</v>
      </c>
      <c r="F21" s="31"/>
      <c r="G21" s="31"/>
      <c r="H21" s="31"/>
      <c r="I21" s="31"/>
      <c r="J21" s="31">
        <f t="shared" si="0"/>
        <v>22.4</v>
      </c>
      <c r="K21" s="31"/>
      <c r="L21" s="30"/>
    </row>
    <row r="22" spans="1:12" ht="15.5">
      <c r="A22" s="30"/>
      <c r="B22" s="30" t="s">
        <v>54</v>
      </c>
      <c r="C22" s="31">
        <v>1</v>
      </c>
      <c r="D22" s="31">
        <v>71.459999999999994</v>
      </c>
      <c r="E22" s="31">
        <v>1.4</v>
      </c>
      <c r="F22" s="31"/>
      <c r="G22" s="31"/>
      <c r="H22" s="31"/>
      <c r="I22" s="31"/>
      <c r="J22" s="31">
        <f t="shared" si="0"/>
        <v>100.04399999999998</v>
      </c>
      <c r="K22" s="31"/>
      <c r="L22" s="30"/>
    </row>
    <row r="23" spans="1:12" ht="15.5">
      <c r="A23" s="30"/>
      <c r="B23" s="30" t="s">
        <v>326</v>
      </c>
      <c r="C23" s="31">
        <v>1</v>
      </c>
      <c r="D23" s="31">
        <v>109.12</v>
      </c>
      <c r="E23" s="31">
        <v>1.4</v>
      </c>
      <c r="F23" s="31"/>
      <c r="G23" s="31"/>
      <c r="H23" s="31"/>
      <c r="I23" s="31"/>
      <c r="J23" s="31">
        <f t="shared" si="0"/>
        <v>152.768</v>
      </c>
      <c r="K23" s="31"/>
      <c r="L23" s="30"/>
    </row>
    <row r="24" spans="1:12" ht="31">
      <c r="A24" s="28" t="s">
        <v>104</v>
      </c>
      <c r="B24" s="28" t="s">
        <v>1</v>
      </c>
      <c r="C24" s="29"/>
      <c r="D24" s="29"/>
      <c r="E24" s="29"/>
      <c r="F24" s="29"/>
      <c r="G24" s="29"/>
      <c r="H24" s="29"/>
      <c r="I24" s="29"/>
      <c r="J24" s="29"/>
      <c r="K24" s="32">
        <f>SUM(J25:J36)</f>
        <v>956.87199999999996</v>
      </c>
      <c r="L24" s="28" t="s">
        <v>103</v>
      </c>
    </row>
    <row r="25" spans="1:12" ht="15.5">
      <c r="A25" s="30"/>
      <c r="B25" s="30" t="s">
        <v>47</v>
      </c>
      <c r="C25" s="31">
        <v>1</v>
      </c>
      <c r="D25" s="31">
        <v>37.14</v>
      </c>
      <c r="E25" s="31">
        <v>1.4</v>
      </c>
      <c r="F25" s="31"/>
      <c r="G25" s="31"/>
      <c r="H25" s="31"/>
      <c r="I25" s="31"/>
      <c r="J25" s="31">
        <f>C25*D25*E25</f>
        <v>51.995999999999995</v>
      </c>
      <c r="K25" s="31"/>
      <c r="L25" s="30"/>
    </row>
    <row r="26" spans="1:12" ht="15.5">
      <c r="A26" s="30"/>
      <c r="B26" s="30" t="s">
        <v>48</v>
      </c>
      <c r="C26" s="31">
        <v>1</v>
      </c>
      <c r="D26" s="31">
        <v>130.85</v>
      </c>
      <c r="E26" s="31">
        <v>1.4</v>
      </c>
      <c r="F26" s="31"/>
      <c r="G26" s="31"/>
      <c r="H26" s="31"/>
      <c r="I26" s="31"/>
      <c r="J26" s="31">
        <f t="shared" ref="J26:J34" si="1">C26*D26*E26</f>
        <v>183.18999999999997</v>
      </c>
      <c r="K26" s="31"/>
      <c r="L26" s="30"/>
    </row>
    <row r="27" spans="1:12" ht="15.5">
      <c r="A27" s="30"/>
      <c r="B27" s="30" t="s">
        <v>49</v>
      </c>
      <c r="C27" s="31">
        <v>1</v>
      </c>
      <c r="D27" s="31">
        <v>5.82</v>
      </c>
      <c r="E27" s="31">
        <v>1.4</v>
      </c>
      <c r="F27" s="31"/>
      <c r="G27" s="31"/>
      <c r="H27" s="31"/>
      <c r="I27" s="31"/>
      <c r="J27" s="31">
        <f t="shared" si="1"/>
        <v>8.1479999999999997</v>
      </c>
      <c r="K27" s="30"/>
      <c r="L27" s="30"/>
    </row>
    <row r="28" spans="1:12" ht="15.5">
      <c r="A28" s="30"/>
      <c r="B28" s="30" t="s">
        <v>50</v>
      </c>
      <c r="C28" s="31">
        <v>1</v>
      </c>
      <c r="D28" s="31">
        <v>8.6</v>
      </c>
      <c r="E28" s="31">
        <v>1.4</v>
      </c>
      <c r="F28" s="31"/>
      <c r="G28" s="31"/>
      <c r="H28" s="31"/>
      <c r="I28" s="31"/>
      <c r="J28" s="31">
        <f t="shared" si="1"/>
        <v>12.04</v>
      </c>
      <c r="K28" s="30"/>
      <c r="L28" s="30"/>
    </row>
    <row r="29" spans="1:12" ht="15.5">
      <c r="A29" s="30"/>
      <c r="B29" s="30" t="s">
        <v>56</v>
      </c>
      <c r="C29" s="31">
        <v>1</v>
      </c>
      <c r="D29" s="31">
        <v>43.23</v>
      </c>
      <c r="E29" s="31">
        <v>1.4</v>
      </c>
      <c r="F29" s="31"/>
      <c r="G29" s="31"/>
      <c r="H29" s="31"/>
      <c r="I29" s="31"/>
      <c r="J29" s="31">
        <f t="shared" si="1"/>
        <v>60.521999999999991</v>
      </c>
      <c r="K29" s="30"/>
      <c r="L29" s="30"/>
    </row>
    <row r="30" spans="1:12" ht="15.5">
      <c r="A30" s="30"/>
      <c r="B30" s="30" t="s">
        <v>57</v>
      </c>
      <c r="C30" s="31">
        <v>1</v>
      </c>
      <c r="D30" s="31">
        <v>120.36</v>
      </c>
      <c r="E30" s="31">
        <v>1.4</v>
      </c>
      <c r="F30" s="31"/>
      <c r="G30" s="31"/>
      <c r="H30" s="31"/>
      <c r="I30" s="31"/>
      <c r="J30" s="31">
        <f t="shared" si="1"/>
        <v>168.50399999999999</v>
      </c>
      <c r="K30" s="30"/>
      <c r="L30" s="30"/>
    </row>
    <row r="31" spans="1:12" ht="15.5">
      <c r="A31" s="30"/>
      <c r="B31" s="30" t="s">
        <v>58</v>
      </c>
      <c r="C31" s="31">
        <v>1</v>
      </c>
      <c r="D31" s="31">
        <v>125.7</v>
      </c>
      <c r="E31" s="31">
        <v>1.4</v>
      </c>
      <c r="F31" s="31"/>
      <c r="G31" s="31"/>
      <c r="H31" s="31"/>
      <c r="I31" s="31"/>
      <c r="J31" s="31">
        <f t="shared" si="1"/>
        <v>175.98</v>
      </c>
      <c r="K31" s="30"/>
      <c r="L31" s="30"/>
    </row>
    <row r="32" spans="1:12" ht="15.5">
      <c r="A32" s="30"/>
      <c r="B32" s="30" t="s">
        <v>51</v>
      </c>
      <c r="C32" s="31">
        <v>1</v>
      </c>
      <c r="D32" s="31">
        <v>8.1999999999999993</v>
      </c>
      <c r="E32" s="31">
        <v>1.4</v>
      </c>
      <c r="F32" s="31"/>
      <c r="G32" s="31"/>
      <c r="H32" s="31"/>
      <c r="I32" s="31"/>
      <c r="J32" s="31">
        <f t="shared" si="1"/>
        <v>11.479999999999999</v>
      </c>
      <c r="K32" s="30"/>
      <c r="L32" s="30"/>
    </row>
    <row r="33" spans="1:12" ht="15.5">
      <c r="A33" s="30"/>
      <c r="B33" s="30" t="s">
        <v>52</v>
      </c>
      <c r="C33" s="31">
        <v>1</v>
      </c>
      <c r="D33" s="31">
        <v>7</v>
      </c>
      <c r="E33" s="31">
        <v>1.4</v>
      </c>
      <c r="F33" s="31"/>
      <c r="G33" s="31"/>
      <c r="H33" s="31"/>
      <c r="I33" s="31"/>
      <c r="J33" s="31">
        <f t="shared" si="1"/>
        <v>9.7999999999999989</v>
      </c>
      <c r="K33" s="30"/>
      <c r="L33" s="30"/>
    </row>
    <row r="34" spans="1:12" ht="15.5">
      <c r="A34" s="30"/>
      <c r="B34" s="30" t="s">
        <v>53</v>
      </c>
      <c r="C34" s="31">
        <v>1</v>
      </c>
      <c r="D34" s="31">
        <v>16</v>
      </c>
      <c r="E34" s="31">
        <v>1.4</v>
      </c>
      <c r="F34" s="31"/>
      <c r="G34" s="31"/>
      <c r="H34" s="31"/>
      <c r="I34" s="31"/>
      <c r="J34" s="31">
        <f t="shared" si="1"/>
        <v>22.4</v>
      </c>
      <c r="K34" s="30"/>
      <c r="L34" s="30"/>
    </row>
    <row r="35" spans="1:12" ht="15.5">
      <c r="A35" s="30"/>
      <c r="B35" s="30" t="s">
        <v>54</v>
      </c>
      <c r="C35" s="31">
        <v>1</v>
      </c>
      <c r="D35" s="31">
        <v>71.459999999999994</v>
      </c>
      <c r="E35" s="31">
        <v>1.4</v>
      </c>
      <c r="F35" s="31"/>
      <c r="G35" s="31"/>
      <c r="H35" s="31"/>
      <c r="I35" s="31"/>
      <c r="J35" s="31">
        <f t="shared" ref="J35:J36" si="2">C35*D35*E35</f>
        <v>100.04399999999998</v>
      </c>
      <c r="K35" s="30"/>
      <c r="L35" s="30"/>
    </row>
    <row r="36" spans="1:12" ht="15.5">
      <c r="A36" s="30"/>
      <c r="B36" s="30" t="s">
        <v>326</v>
      </c>
      <c r="C36" s="31">
        <v>1</v>
      </c>
      <c r="D36" s="31">
        <v>109.12</v>
      </c>
      <c r="E36" s="31">
        <v>1.4</v>
      </c>
      <c r="F36" s="31"/>
      <c r="G36" s="31"/>
      <c r="H36" s="31"/>
      <c r="I36" s="31"/>
      <c r="J36" s="31">
        <f t="shared" si="2"/>
        <v>152.768</v>
      </c>
      <c r="K36" s="30"/>
      <c r="L36" s="30"/>
    </row>
    <row r="37" spans="1:12" ht="15.5">
      <c r="A37" s="33" t="s">
        <v>105</v>
      </c>
      <c r="B37" s="33" t="s">
        <v>2</v>
      </c>
      <c r="C37" s="34"/>
      <c r="D37" s="34"/>
      <c r="E37" s="34"/>
      <c r="F37" s="34"/>
      <c r="G37" s="34"/>
      <c r="H37" s="34"/>
      <c r="I37" s="34"/>
      <c r="J37" s="34"/>
      <c r="K37" s="33"/>
      <c r="L37" s="33"/>
    </row>
    <row r="38" spans="1:12" ht="31">
      <c r="A38" s="28" t="s">
        <v>106</v>
      </c>
      <c r="B38" s="28" t="s">
        <v>107</v>
      </c>
      <c r="C38" s="29"/>
      <c r="D38" s="29"/>
      <c r="E38" s="29"/>
      <c r="F38" s="29"/>
      <c r="G38" s="29"/>
      <c r="H38" s="29"/>
      <c r="I38" s="29"/>
      <c r="J38" s="29"/>
      <c r="K38" s="29">
        <f>SUM(J39:J50)</f>
        <v>619.79763999999989</v>
      </c>
      <c r="L38" s="28" t="s">
        <v>108</v>
      </c>
    </row>
    <row r="39" spans="1:12" ht="15.5">
      <c r="A39" s="30"/>
      <c r="B39" s="30" t="s">
        <v>47</v>
      </c>
      <c r="C39" s="31">
        <v>1</v>
      </c>
      <c r="D39" s="31">
        <v>37.14</v>
      </c>
      <c r="E39" s="31">
        <v>1.4</v>
      </c>
      <c r="F39" s="31">
        <v>0.4</v>
      </c>
      <c r="G39" s="31"/>
      <c r="H39" s="31"/>
      <c r="I39" s="31"/>
      <c r="J39" s="31">
        <f>C39*D39*E39*(F39+PARAMETROS!$B$15)</f>
        <v>25.997999999999998</v>
      </c>
      <c r="K39" s="30"/>
      <c r="L39" s="30"/>
    </row>
    <row r="40" spans="1:12" ht="15.5">
      <c r="A40" s="30"/>
      <c r="B40" s="30" t="s">
        <v>48</v>
      </c>
      <c r="C40" s="31">
        <v>1</v>
      </c>
      <c r="D40" s="31">
        <v>130.85</v>
      </c>
      <c r="E40" s="31">
        <v>1.4</v>
      </c>
      <c r="F40" s="31">
        <v>0.62</v>
      </c>
      <c r="G40" s="31"/>
      <c r="H40" s="31"/>
      <c r="I40" s="31"/>
      <c r="J40" s="31">
        <f>C40*D40*E40*(F40+PARAMETROS!$B$15)</f>
        <v>131.89679999999998</v>
      </c>
      <c r="K40" s="30"/>
      <c r="L40" s="30"/>
    </row>
    <row r="41" spans="1:12" ht="15.5">
      <c r="A41" s="30"/>
      <c r="B41" s="30" t="s">
        <v>49</v>
      </c>
      <c r="C41" s="31">
        <v>1</v>
      </c>
      <c r="D41" s="31">
        <v>5.82</v>
      </c>
      <c r="E41" s="31">
        <v>1.4</v>
      </c>
      <c r="F41" s="31">
        <v>0.3</v>
      </c>
      <c r="G41" s="31"/>
      <c r="H41" s="31"/>
      <c r="I41" s="31"/>
      <c r="J41" s="31">
        <f>C41*D41*E41*(F41+PARAMETROS!$B$15)</f>
        <v>3.2591999999999999</v>
      </c>
      <c r="K41" s="30"/>
      <c r="L41" s="30"/>
    </row>
    <row r="42" spans="1:12" ht="15.5">
      <c r="A42" s="30"/>
      <c r="B42" s="30" t="s">
        <v>50</v>
      </c>
      <c r="C42" s="31">
        <v>1</v>
      </c>
      <c r="D42" s="31">
        <v>8.6</v>
      </c>
      <c r="E42" s="31">
        <v>1.4</v>
      </c>
      <c r="F42" s="31">
        <v>0.32</v>
      </c>
      <c r="G42" s="31"/>
      <c r="H42" s="31"/>
      <c r="I42" s="31"/>
      <c r="J42" s="31">
        <f>C42*D42*E42*(F42+PARAMETROS!$B$15)</f>
        <v>5.0568</v>
      </c>
      <c r="K42" s="30"/>
      <c r="L42" s="30"/>
    </row>
    <row r="43" spans="1:12" ht="15.5">
      <c r="A43" s="30"/>
      <c r="B43" s="30" t="s">
        <v>56</v>
      </c>
      <c r="C43" s="31">
        <v>1</v>
      </c>
      <c r="D43" s="31">
        <v>43.23</v>
      </c>
      <c r="E43" s="31">
        <v>1.4</v>
      </c>
      <c r="F43" s="31">
        <v>0.4</v>
      </c>
      <c r="G43" s="31"/>
      <c r="H43" s="31"/>
      <c r="I43" s="31"/>
      <c r="J43" s="31">
        <f>C43*D43*E43*(F43+PARAMETROS!$B$15)</f>
        <v>30.260999999999996</v>
      </c>
      <c r="K43" s="30"/>
      <c r="L43" s="30"/>
    </row>
    <row r="44" spans="1:12" ht="15.5">
      <c r="A44" s="30"/>
      <c r="B44" s="30" t="s">
        <v>57</v>
      </c>
      <c r="C44" s="31">
        <v>1</v>
      </c>
      <c r="D44" s="31">
        <v>120.36</v>
      </c>
      <c r="E44" s="31">
        <v>1.4</v>
      </c>
      <c r="F44" s="31">
        <v>0.6</v>
      </c>
      <c r="G44" s="31"/>
      <c r="H44" s="31"/>
      <c r="I44" s="31"/>
      <c r="J44" s="31">
        <f>C44*D44*E44*(F44+PARAMETROS!$B$15)</f>
        <v>117.95279999999998</v>
      </c>
      <c r="K44" s="30"/>
      <c r="L44" s="30"/>
    </row>
    <row r="45" spans="1:12" ht="15.5">
      <c r="A45" s="30"/>
      <c r="B45" s="30" t="s">
        <v>58</v>
      </c>
      <c r="C45" s="31">
        <v>1</v>
      </c>
      <c r="D45" s="31">
        <v>125.7</v>
      </c>
      <c r="E45" s="31">
        <v>1.4</v>
      </c>
      <c r="F45" s="31">
        <v>0.61</v>
      </c>
      <c r="G45" s="31"/>
      <c r="H45" s="31"/>
      <c r="I45" s="31"/>
      <c r="J45" s="31">
        <f>C45*D45*E45*(F45+PARAMETROS!$B$15)</f>
        <v>124.94579999999999</v>
      </c>
      <c r="K45" s="30"/>
      <c r="L45" s="30"/>
    </row>
    <row r="46" spans="1:12" ht="15.5">
      <c r="A46" s="30"/>
      <c r="B46" s="30" t="s">
        <v>51</v>
      </c>
      <c r="C46" s="31">
        <v>1</v>
      </c>
      <c r="D46" s="31">
        <v>8.1999999999999993</v>
      </c>
      <c r="E46" s="31">
        <v>1.4</v>
      </c>
      <c r="F46" s="31">
        <v>0.42</v>
      </c>
      <c r="G46" s="31"/>
      <c r="H46" s="31"/>
      <c r="I46" s="31"/>
      <c r="J46" s="31">
        <f>C46*D46*E46*(F46+PARAMETROS!$B$15)</f>
        <v>5.9695999999999998</v>
      </c>
      <c r="K46" s="30"/>
      <c r="L46" s="30"/>
    </row>
    <row r="47" spans="1:12" ht="15.5">
      <c r="A47" s="30"/>
      <c r="B47" s="30" t="s">
        <v>52</v>
      </c>
      <c r="C47" s="31">
        <v>1</v>
      </c>
      <c r="D47" s="31">
        <v>7</v>
      </c>
      <c r="E47" s="31">
        <v>1.4</v>
      </c>
      <c r="F47" s="31">
        <v>0.41</v>
      </c>
      <c r="G47" s="31"/>
      <c r="H47" s="31"/>
      <c r="I47" s="31"/>
      <c r="J47" s="31">
        <f>C47*D47*E47*(F47+PARAMETROS!$B$15)</f>
        <v>4.9979999999999993</v>
      </c>
      <c r="K47" s="30"/>
      <c r="L47" s="30"/>
    </row>
    <row r="48" spans="1:12" ht="15.5">
      <c r="A48" s="30"/>
      <c r="B48" s="30" t="s">
        <v>53</v>
      </c>
      <c r="C48" s="31">
        <v>1</v>
      </c>
      <c r="D48" s="31">
        <v>16</v>
      </c>
      <c r="E48" s="31">
        <v>1.4</v>
      </c>
      <c r="F48" s="31">
        <v>0.35</v>
      </c>
      <c r="G48" s="31"/>
      <c r="H48" s="31"/>
      <c r="I48" s="31"/>
      <c r="J48" s="31">
        <f>C48*D48*E48*(F48+PARAMETROS!$B$15)</f>
        <v>10.079999999999998</v>
      </c>
      <c r="K48" s="30"/>
      <c r="L48" s="30"/>
    </row>
    <row r="49" spans="1:12" ht="15.5">
      <c r="A49" s="30"/>
      <c r="B49" s="30" t="s">
        <v>54</v>
      </c>
      <c r="C49" s="31">
        <v>1</v>
      </c>
      <c r="D49" s="31">
        <v>71.459999999999994</v>
      </c>
      <c r="E49" s="31">
        <v>1.4</v>
      </c>
      <c r="F49" s="31">
        <v>0.47</v>
      </c>
      <c r="G49" s="31"/>
      <c r="H49" s="31"/>
      <c r="I49" s="31"/>
      <c r="J49" s="31">
        <f>C49*D49*E49*(F49+PARAMETROS!$B$15)</f>
        <v>57.025079999999988</v>
      </c>
      <c r="K49" s="30"/>
      <c r="L49" s="30"/>
    </row>
    <row r="50" spans="1:12" ht="15.5">
      <c r="A50" s="30"/>
      <c r="B50" s="30" t="s">
        <v>326</v>
      </c>
      <c r="C50" s="31">
        <v>1</v>
      </c>
      <c r="D50" s="31">
        <v>109.12</v>
      </c>
      <c r="E50" s="31">
        <v>1.4</v>
      </c>
      <c r="F50" s="31">
        <v>0.56999999999999995</v>
      </c>
      <c r="G50" s="31"/>
      <c r="H50" s="31"/>
      <c r="I50" s="31"/>
      <c r="J50" s="31">
        <f>C50*D50*E50*(F50+PARAMETROS!$B$15)</f>
        <v>102.35455999999999</v>
      </c>
      <c r="K50" s="30"/>
      <c r="L50" s="30"/>
    </row>
    <row r="51" spans="1:12" ht="31">
      <c r="A51" s="28" t="s">
        <v>109</v>
      </c>
      <c r="B51" s="28" t="s">
        <v>110</v>
      </c>
      <c r="C51" s="194">
        <v>62</v>
      </c>
      <c r="D51" s="29"/>
      <c r="E51" s="29"/>
      <c r="F51" s="29"/>
      <c r="G51" s="29"/>
      <c r="H51" s="29"/>
      <c r="I51" s="29"/>
      <c r="J51" s="29"/>
      <c r="K51" s="29">
        <f>J52*C51</f>
        <v>3.4719999999999995</v>
      </c>
      <c r="L51" s="28" t="s">
        <v>108</v>
      </c>
    </row>
    <row r="52" spans="1:12" ht="15.5">
      <c r="A52" s="30"/>
      <c r="B52" s="30" t="s">
        <v>44</v>
      </c>
      <c r="C52" s="31"/>
      <c r="D52" s="31">
        <v>0.4</v>
      </c>
      <c r="E52" s="31">
        <v>0.35</v>
      </c>
      <c r="F52" s="31">
        <v>0.4</v>
      </c>
      <c r="G52" s="31"/>
      <c r="H52" s="31"/>
      <c r="I52" s="31"/>
      <c r="J52" s="35">
        <f>D52*E52*F52</f>
        <v>5.5999999999999994E-2</v>
      </c>
      <c r="K52" s="30"/>
      <c r="L52" s="30"/>
    </row>
    <row r="53" spans="1:12" ht="15.5">
      <c r="A53" s="30"/>
      <c r="B53" s="30"/>
      <c r="C53" s="31"/>
      <c r="D53" s="31"/>
      <c r="E53" s="31"/>
      <c r="F53" s="31"/>
      <c r="G53" s="31"/>
      <c r="H53" s="31"/>
      <c r="I53" s="31"/>
      <c r="J53" s="31"/>
      <c r="K53" s="30"/>
      <c r="L53" s="30"/>
    </row>
    <row r="54" spans="1:12" ht="46.5">
      <c r="A54" s="28" t="s">
        <v>111</v>
      </c>
      <c r="B54" s="28" t="s">
        <v>112</v>
      </c>
      <c r="C54" s="29"/>
      <c r="D54" s="29"/>
      <c r="E54" s="29"/>
      <c r="F54" s="29"/>
      <c r="G54" s="29"/>
      <c r="H54" s="29"/>
      <c r="I54" s="29"/>
      <c r="J54" s="29"/>
      <c r="K54" s="29">
        <f>SUM(J55:J66)</f>
        <v>410.08799999999997</v>
      </c>
      <c r="L54" s="28" t="s">
        <v>103</v>
      </c>
    </row>
    <row r="55" spans="1:12" ht="15.5">
      <c r="A55" s="30"/>
      <c r="B55" s="30" t="s">
        <v>47</v>
      </c>
      <c r="C55" s="31">
        <v>1</v>
      </c>
      <c r="D55" s="31">
        <v>37.14</v>
      </c>
      <c r="E55" s="31">
        <v>0.6</v>
      </c>
      <c r="F55" s="31"/>
      <c r="G55" s="31"/>
      <c r="H55" s="31"/>
      <c r="I55" s="31"/>
      <c r="J55" s="31">
        <f>C55*D55*E55</f>
        <v>22.283999999999999</v>
      </c>
      <c r="K55" s="30"/>
      <c r="L55" s="30"/>
    </row>
    <row r="56" spans="1:12" ht="15.5">
      <c r="A56" s="30"/>
      <c r="B56" s="30" t="s">
        <v>48</v>
      </c>
      <c r="C56" s="31">
        <v>1</v>
      </c>
      <c r="D56" s="31">
        <v>130.85</v>
      </c>
      <c r="E56" s="31">
        <v>0.6</v>
      </c>
      <c r="F56" s="31"/>
      <c r="G56" s="31"/>
      <c r="H56" s="31"/>
      <c r="I56" s="31"/>
      <c r="J56" s="31">
        <f t="shared" ref="J56:J64" si="3">C56*D56*E56</f>
        <v>78.509999999999991</v>
      </c>
      <c r="K56" s="30"/>
      <c r="L56" s="30"/>
    </row>
    <row r="57" spans="1:12" ht="15.5">
      <c r="A57" s="30"/>
      <c r="B57" s="30" t="s">
        <v>49</v>
      </c>
      <c r="C57" s="31">
        <v>1</v>
      </c>
      <c r="D57" s="31">
        <v>5.82</v>
      </c>
      <c r="E57" s="31">
        <v>0.6</v>
      </c>
      <c r="F57" s="31"/>
      <c r="G57" s="31"/>
      <c r="H57" s="31"/>
      <c r="I57" s="31"/>
      <c r="J57" s="31">
        <f t="shared" si="3"/>
        <v>3.492</v>
      </c>
      <c r="K57" s="30"/>
      <c r="L57" s="30"/>
    </row>
    <row r="58" spans="1:12" ht="15.5">
      <c r="A58" s="30"/>
      <c r="B58" s="30" t="s">
        <v>50</v>
      </c>
      <c r="C58" s="31">
        <v>1</v>
      </c>
      <c r="D58" s="31">
        <v>8.6</v>
      </c>
      <c r="E58" s="31">
        <v>0.6</v>
      </c>
      <c r="F58" s="31"/>
      <c r="G58" s="31"/>
      <c r="H58" s="31"/>
      <c r="I58" s="31"/>
      <c r="J58" s="31">
        <f t="shared" si="3"/>
        <v>5.1599999999999993</v>
      </c>
      <c r="K58" s="30"/>
      <c r="L58" s="30"/>
    </row>
    <row r="59" spans="1:12" ht="15.5">
      <c r="A59" s="30"/>
      <c r="B59" s="30" t="s">
        <v>56</v>
      </c>
      <c r="C59" s="31">
        <v>1</v>
      </c>
      <c r="D59" s="31">
        <v>43.23</v>
      </c>
      <c r="E59" s="31">
        <v>0.6</v>
      </c>
      <c r="F59" s="31"/>
      <c r="G59" s="31"/>
      <c r="H59" s="31"/>
      <c r="I59" s="31"/>
      <c r="J59" s="31">
        <f t="shared" si="3"/>
        <v>25.937999999999999</v>
      </c>
      <c r="K59" s="30"/>
      <c r="L59" s="30"/>
    </row>
    <row r="60" spans="1:12" ht="15.5">
      <c r="A60" s="30"/>
      <c r="B60" s="30" t="s">
        <v>57</v>
      </c>
      <c r="C60" s="31">
        <v>1</v>
      </c>
      <c r="D60" s="31">
        <v>120.36</v>
      </c>
      <c r="E60" s="31">
        <v>0.6</v>
      </c>
      <c r="F60" s="31"/>
      <c r="G60" s="31"/>
      <c r="H60" s="31"/>
      <c r="I60" s="31"/>
      <c r="J60" s="31">
        <f t="shared" si="3"/>
        <v>72.215999999999994</v>
      </c>
      <c r="K60" s="30"/>
      <c r="L60" s="30"/>
    </row>
    <row r="61" spans="1:12" ht="15.5">
      <c r="A61" s="30"/>
      <c r="B61" s="30" t="s">
        <v>58</v>
      </c>
      <c r="C61" s="31">
        <v>1</v>
      </c>
      <c r="D61" s="31">
        <v>125.7</v>
      </c>
      <c r="E61" s="31">
        <v>0.6</v>
      </c>
      <c r="F61" s="31"/>
      <c r="G61" s="31"/>
      <c r="H61" s="31"/>
      <c r="I61" s="31"/>
      <c r="J61" s="31">
        <f t="shared" si="3"/>
        <v>75.42</v>
      </c>
      <c r="K61" s="30"/>
      <c r="L61" s="30"/>
    </row>
    <row r="62" spans="1:12" ht="15.5">
      <c r="A62" s="30"/>
      <c r="B62" s="30" t="s">
        <v>51</v>
      </c>
      <c r="C62" s="31">
        <v>1</v>
      </c>
      <c r="D62" s="31">
        <v>8.1999999999999993</v>
      </c>
      <c r="E62" s="31">
        <v>0.6</v>
      </c>
      <c r="F62" s="31"/>
      <c r="G62" s="31"/>
      <c r="H62" s="31"/>
      <c r="I62" s="31"/>
      <c r="J62" s="31">
        <f t="shared" si="3"/>
        <v>4.919999999999999</v>
      </c>
      <c r="K62" s="30"/>
      <c r="L62" s="30"/>
    </row>
    <row r="63" spans="1:12" ht="15.5">
      <c r="A63" s="30"/>
      <c r="B63" s="30" t="s">
        <v>52</v>
      </c>
      <c r="C63" s="31">
        <v>1</v>
      </c>
      <c r="D63" s="31">
        <v>7</v>
      </c>
      <c r="E63" s="31">
        <v>0.6</v>
      </c>
      <c r="F63" s="31"/>
      <c r="G63" s="31"/>
      <c r="H63" s="31"/>
      <c r="I63" s="31"/>
      <c r="J63" s="31">
        <f t="shared" si="3"/>
        <v>4.2</v>
      </c>
      <c r="K63" s="30"/>
      <c r="L63" s="30"/>
    </row>
    <row r="64" spans="1:12" ht="15.5">
      <c r="A64" s="30"/>
      <c r="B64" s="30" t="s">
        <v>53</v>
      </c>
      <c r="C64" s="31">
        <v>1</v>
      </c>
      <c r="D64" s="31">
        <v>16</v>
      </c>
      <c r="E64" s="31">
        <v>0.6</v>
      </c>
      <c r="F64" s="31"/>
      <c r="G64" s="31"/>
      <c r="H64" s="31"/>
      <c r="I64" s="31"/>
      <c r="J64" s="31">
        <f t="shared" si="3"/>
        <v>9.6</v>
      </c>
      <c r="K64" s="30"/>
      <c r="L64" s="30"/>
    </row>
    <row r="65" spans="1:12" ht="15.5">
      <c r="A65" s="30"/>
      <c r="B65" s="30" t="s">
        <v>54</v>
      </c>
      <c r="C65" s="31">
        <v>1</v>
      </c>
      <c r="D65" s="31">
        <v>71.459999999999994</v>
      </c>
      <c r="E65" s="31">
        <v>0.6</v>
      </c>
      <c r="F65" s="31"/>
      <c r="G65" s="31"/>
      <c r="H65" s="31"/>
      <c r="I65" s="31"/>
      <c r="J65" s="31">
        <f t="shared" ref="J65:J66" si="4">C65*D65*E65</f>
        <v>42.875999999999998</v>
      </c>
      <c r="K65" s="30"/>
      <c r="L65" s="30"/>
    </row>
    <row r="66" spans="1:12" ht="15.5">
      <c r="A66" s="30"/>
      <c r="B66" s="30" t="s">
        <v>326</v>
      </c>
      <c r="C66" s="31">
        <v>1</v>
      </c>
      <c r="D66" s="31">
        <v>109.12</v>
      </c>
      <c r="E66" s="31">
        <v>0.6</v>
      </c>
      <c r="F66" s="31"/>
      <c r="G66" s="31"/>
      <c r="H66" s="31"/>
      <c r="I66" s="31"/>
      <c r="J66" s="31">
        <f t="shared" si="4"/>
        <v>65.471999999999994</v>
      </c>
      <c r="K66" s="30"/>
      <c r="L66" s="30"/>
    </row>
    <row r="67" spans="1:12" ht="31">
      <c r="A67" s="28" t="s">
        <v>113</v>
      </c>
      <c r="B67" s="28" t="s">
        <v>114</v>
      </c>
      <c r="C67" s="29"/>
      <c r="D67" s="29"/>
      <c r="E67" s="29"/>
      <c r="F67" s="29"/>
      <c r="G67" s="29"/>
      <c r="H67" s="29"/>
      <c r="I67" s="29"/>
      <c r="J67" s="29"/>
      <c r="K67" s="29">
        <f>SUM(J68:J79)</f>
        <v>343.77408000000003</v>
      </c>
      <c r="L67" s="28" t="s">
        <v>108</v>
      </c>
    </row>
    <row r="68" spans="1:12" ht="15.5">
      <c r="A68" s="30"/>
      <c r="B68" s="30" t="s">
        <v>47</v>
      </c>
      <c r="C68" s="31">
        <v>1</v>
      </c>
      <c r="D68" s="31">
        <v>37.14</v>
      </c>
      <c r="E68" s="31">
        <v>0.8</v>
      </c>
      <c r="F68" s="31">
        <v>0.41</v>
      </c>
      <c r="G68" s="31"/>
      <c r="H68" s="31"/>
      <c r="I68" s="31"/>
      <c r="J68" s="31">
        <f>C68*D68*E68*(F68+PARAMETROS!$B$15)</f>
        <v>15.153120000000001</v>
      </c>
      <c r="K68" s="30"/>
      <c r="L68" s="30"/>
    </row>
    <row r="69" spans="1:12" ht="15.5">
      <c r="A69" s="30"/>
      <c r="B69" s="30" t="s">
        <v>48</v>
      </c>
      <c r="C69" s="31">
        <v>1</v>
      </c>
      <c r="D69" s="31">
        <v>130.85</v>
      </c>
      <c r="E69" s="31">
        <v>0.8</v>
      </c>
      <c r="F69" s="31">
        <v>0.65</v>
      </c>
      <c r="G69" s="31"/>
      <c r="H69" s="31"/>
      <c r="I69" s="31"/>
      <c r="J69" s="31">
        <f>C69*D69*E69*(F69+PARAMETROS!$B$15)</f>
        <v>78.510000000000005</v>
      </c>
      <c r="K69" s="30"/>
      <c r="L69" s="30"/>
    </row>
    <row r="70" spans="1:12" ht="15.5">
      <c r="A70" s="30"/>
      <c r="B70" s="30" t="s">
        <v>49</v>
      </c>
      <c r="C70" s="31">
        <v>1</v>
      </c>
      <c r="D70" s="31">
        <v>5.82</v>
      </c>
      <c r="E70" s="31">
        <v>0.8</v>
      </c>
      <c r="F70" s="31">
        <v>0.37</v>
      </c>
      <c r="G70" s="31"/>
      <c r="H70" s="31"/>
      <c r="I70" s="31"/>
      <c r="J70" s="31">
        <f>C70*D70*E70*(F70+PARAMETROS!$B$15)</f>
        <v>2.18832</v>
      </c>
      <c r="K70" s="30"/>
      <c r="L70" s="30"/>
    </row>
    <row r="71" spans="1:12" ht="15.5">
      <c r="A71" s="30"/>
      <c r="B71" s="30" t="s">
        <v>50</v>
      </c>
      <c r="C71" s="31">
        <v>1</v>
      </c>
      <c r="D71" s="31">
        <v>8.6</v>
      </c>
      <c r="E71" s="31">
        <v>0.8</v>
      </c>
      <c r="F71" s="31">
        <v>0.33</v>
      </c>
      <c r="G71" s="31"/>
      <c r="H71" s="31"/>
      <c r="I71" s="31"/>
      <c r="J71" s="31">
        <f>C71*D71*E71*(F71+PARAMETROS!$B$15)</f>
        <v>2.9584000000000001</v>
      </c>
      <c r="K71" s="30"/>
      <c r="L71" s="30"/>
    </row>
    <row r="72" spans="1:12" ht="15.5">
      <c r="A72" s="30"/>
      <c r="B72" s="30" t="s">
        <v>56</v>
      </c>
      <c r="C72" s="31">
        <v>1</v>
      </c>
      <c r="D72" s="31">
        <v>43.23</v>
      </c>
      <c r="E72" s="31">
        <v>0.8</v>
      </c>
      <c r="F72" s="31">
        <v>0.37</v>
      </c>
      <c r="G72" s="31"/>
      <c r="H72" s="31"/>
      <c r="I72" s="31"/>
      <c r="J72" s="31">
        <f>C72*D72*E72*(F72+PARAMETROS!$B$15)</f>
        <v>16.254479999999997</v>
      </c>
      <c r="K72" s="30"/>
      <c r="L72" s="30"/>
    </row>
    <row r="73" spans="1:12" ht="15.5">
      <c r="A73" s="30"/>
      <c r="B73" s="30" t="s">
        <v>57</v>
      </c>
      <c r="C73" s="31">
        <v>1</v>
      </c>
      <c r="D73" s="31">
        <v>120.36</v>
      </c>
      <c r="E73" s="31">
        <v>0.8</v>
      </c>
      <c r="F73" s="31">
        <v>0.56000000000000005</v>
      </c>
      <c r="G73" s="31"/>
      <c r="H73" s="31"/>
      <c r="I73" s="31"/>
      <c r="J73" s="31">
        <f>C73*D73*E73*(F73+PARAMETROS!$B$15)</f>
        <v>63.550080000000008</v>
      </c>
      <c r="K73" s="30"/>
      <c r="L73" s="30"/>
    </row>
    <row r="74" spans="1:12" ht="15.5">
      <c r="A74" s="30"/>
      <c r="B74" s="30" t="s">
        <v>58</v>
      </c>
      <c r="C74" s="31">
        <v>1</v>
      </c>
      <c r="D74" s="31">
        <v>125.7</v>
      </c>
      <c r="E74" s="31">
        <v>0.8</v>
      </c>
      <c r="F74" s="31">
        <v>0.62</v>
      </c>
      <c r="G74" s="31"/>
      <c r="H74" s="31"/>
      <c r="I74" s="31"/>
      <c r="J74" s="31">
        <f>C74*D74*E74*(F74+PARAMETROS!$B$15)</f>
        <v>72.403199999999998</v>
      </c>
      <c r="K74" s="30"/>
      <c r="L74" s="30"/>
    </row>
    <row r="75" spans="1:12" ht="15.5">
      <c r="A75" s="30"/>
      <c r="B75" s="30" t="s">
        <v>51</v>
      </c>
      <c r="C75" s="31">
        <v>1</v>
      </c>
      <c r="D75" s="31">
        <v>8.1999999999999993</v>
      </c>
      <c r="E75" s="31">
        <v>0.8</v>
      </c>
      <c r="F75" s="31">
        <v>0.35</v>
      </c>
      <c r="G75" s="31"/>
      <c r="H75" s="31"/>
      <c r="I75" s="31"/>
      <c r="J75" s="31">
        <f>C75*D75*E75*(F75+PARAMETROS!$B$15)</f>
        <v>2.9519999999999995</v>
      </c>
      <c r="K75" s="30"/>
      <c r="L75" s="30"/>
    </row>
    <row r="76" spans="1:12" ht="15.5">
      <c r="A76" s="30"/>
      <c r="B76" s="30" t="s">
        <v>52</v>
      </c>
      <c r="C76" s="31">
        <v>1</v>
      </c>
      <c r="D76" s="31">
        <v>7</v>
      </c>
      <c r="E76" s="31">
        <v>0.8</v>
      </c>
      <c r="F76" s="31">
        <v>0.45</v>
      </c>
      <c r="G76" s="31"/>
      <c r="H76" s="31"/>
      <c r="I76" s="31"/>
      <c r="J76" s="31">
        <f>C76*D76*E76*(F76+PARAMETROS!$B$15)</f>
        <v>3.0800000000000005</v>
      </c>
      <c r="K76" s="30"/>
      <c r="L76" s="30"/>
    </row>
    <row r="77" spans="1:12" ht="15.5">
      <c r="A77" s="30"/>
      <c r="B77" s="30" t="s">
        <v>53</v>
      </c>
      <c r="C77" s="31">
        <v>1</v>
      </c>
      <c r="D77" s="31">
        <v>16</v>
      </c>
      <c r="E77" s="31">
        <v>0.8</v>
      </c>
      <c r="F77" s="31">
        <v>0.55000000000000004</v>
      </c>
      <c r="G77" s="31"/>
      <c r="H77" s="31"/>
      <c r="I77" s="31"/>
      <c r="J77" s="31">
        <f>C77*D77*E77*(F77+PARAMETROS!$B$15)</f>
        <v>8.32</v>
      </c>
      <c r="K77" s="30"/>
      <c r="L77" s="30"/>
    </row>
    <row r="78" spans="1:12" ht="15.5">
      <c r="A78" s="30"/>
      <c r="B78" s="30" t="s">
        <v>54</v>
      </c>
      <c r="C78" s="31">
        <v>1</v>
      </c>
      <c r="D78" s="31">
        <v>71.459999999999994</v>
      </c>
      <c r="E78" s="31">
        <v>0.8</v>
      </c>
      <c r="F78" s="31">
        <v>0.34</v>
      </c>
      <c r="G78" s="31"/>
      <c r="H78" s="31"/>
      <c r="I78" s="31"/>
      <c r="J78" s="31">
        <f>C78*D78*E78*(F78+PARAMETROS!$B$15)</f>
        <v>25.153920000000003</v>
      </c>
      <c r="K78" s="30"/>
      <c r="L78" s="30"/>
    </row>
    <row r="79" spans="1:12" ht="15.5">
      <c r="A79" s="30"/>
      <c r="B79" s="30" t="s">
        <v>326</v>
      </c>
      <c r="C79" s="31">
        <v>1</v>
      </c>
      <c r="D79" s="31">
        <v>109.12</v>
      </c>
      <c r="E79" s="31">
        <v>0.8</v>
      </c>
      <c r="F79" s="31">
        <v>0.51</v>
      </c>
      <c r="G79" s="31"/>
      <c r="H79" s="31"/>
      <c r="I79" s="31"/>
      <c r="J79" s="31">
        <f>C79*D79*E79*(F79+PARAMETROS!$B$15)</f>
        <v>53.25056</v>
      </c>
      <c r="K79" s="30"/>
      <c r="L79" s="30"/>
    </row>
    <row r="80" spans="1:12" ht="31">
      <c r="A80" s="28" t="s">
        <v>115</v>
      </c>
      <c r="B80" s="28" t="s">
        <v>355</v>
      </c>
      <c r="C80" s="29"/>
      <c r="D80" s="29"/>
      <c r="E80" s="29"/>
      <c r="F80" s="29"/>
      <c r="G80" s="31">
        <f>PARAMETROS!$B$16</f>
        <v>1.2</v>
      </c>
      <c r="H80" s="29"/>
      <c r="I80" s="29"/>
      <c r="J80" s="29"/>
      <c r="K80" s="29">
        <f>(J81+J82)*G80</f>
        <v>331.22827199999983</v>
      </c>
      <c r="L80" s="28" t="s">
        <v>108</v>
      </c>
    </row>
    <row r="81" spans="1:12" ht="31">
      <c r="A81" s="30"/>
      <c r="B81" s="30" t="s">
        <v>3</v>
      </c>
      <c r="C81" s="31"/>
      <c r="D81" s="31"/>
      <c r="E81" s="31"/>
      <c r="F81" s="31"/>
      <c r="G81" s="31">
        <v>1</v>
      </c>
      <c r="H81" s="31"/>
      <c r="I81" s="31">
        <f>+K38</f>
        <v>619.79763999999989</v>
      </c>
      <c r="J81" s="31">
        <f>G81*I81</f>
        <v>619.79763999999989</v>
      </c>
      <c r="K81" s="30"/>
      <c r="L81" s="30"/>
    </row>
    <row r="82" spans="1:12" ht="31">
      <c r="A82" s="30"/>
      <c r="B82" s="30" t="s">
        <v>4</v>
      </c>
      <c r="C82" s="31"/>
      <c r="D82" s="31"/>
      <c r="E82" s="31"/>
      <c r="F82" s="31"/>
      <c r="G82" s="31">
        <v>-1</v>
      </c>
      <c r="H82" s="31"/>
      <c r="I82" s="31">
        <f>+K67</f>
        <v>343.77408000000003</v>
      </c>
      <c r="J82" s="31">
        <f>G82*I82</f>
        <v>-343.77408000000003</v>
      </c>
      <c r="K82" s="30"/>
      <c r="L82" s="30"/>
    </row>
    <row r="83" spans="1:12" ht="15.5">
      <c r="A83" s="33" t="s">
        <v>116</v>
      </c>
      <c r="B83" s="33" t="s">
        <v>5</v>
      </c>
      <c r="C83" s="34"/>
      <c r="D83" s="34"/>
      <c r="E83" s="34"/>
      <c r="F83" s="34"/>
      <c r="G83" s="34"/>
      <c r="H83" s="34"/>
      <c r="I83" s="34"/>
      <c r="J83" s="34"/>
      <c r="K83" s="33"/>
      <c r="L83" s="33"/>
    </row>
    <row r="84" spans="1:12" ht="31">
      <c r="A84" s="28" t="s">
        <v>117</v>
      </c>
      <c r="B84" s="28" t="s">
        <v>118</v>
      </c>
      <c r="C84" s="29"/>
      <c r="D84" s="29"/>
      <c r="E84" s="29"/>
      <c r="F84" s="29"/>
      <c r="G84" s="29"/>
      <c r="H84" s="29"/>
      <c r="I84" s="29"/>
      <c r="J84" s="29"/>
      <c r="K84" s="29">
        <f>SUM(J85:J96)</f>
        <v>410.08799999999997</v>
      </c>
      <c r="L84" s="28" t="s">
        <v>103</v>
      </c>
    </row>
    <row r="85" spans="1:12" ht="15.5">
      <c r="A85" s="30"/>
      <c r="B85" s="30" t="s">
        <v>47</v>
      </c>
      <c r="C85" s="31">
        <v>1</v>
      </c>
      <c r="D85" s="31">
        <v>37.14</v>
      </c>
      <c r="E85" s="31">
        <v>0.6</v>
      </c>
      <c r="F85" s="31"/>
      <c r="G85" s="31"/>
      <c r="H85" s="31"/>
      <c r="I85" s="31"/>
      <c r="J85" s="31">
        <f>C85*D85*E85</f>
        <v>22.283999999999999</v>
      </c>
      <c r="K85" s="30"/>
      <c r="L85" s="30"/>
    </row>
    <row r="86" spans="1:12" ht="15.5">
      <c r="A86" s="30"/>
      <c r="B86" s="30" t="s">
        <v>48</v>
      </c>
      <c r="C86" s="31">
        <v>1</v>
      </c>
      <c r="D86" s="31">
        <v>130.85</v>
      </c>
      <c r="E86" s="31">
        <v>0.6</v>
      </c>
      <c r="F86" s="31"/>
      <c r="G86" s="31"/>
      <c r="H86" s="31"/>
      <c r="I86" s="31"/>
      <c r="J86" s="31">
        <f t="shared" ref="J86:J94" si="5">C86*D86*E86</f>
        <v>78.509999999999991</v>
      </c>
      <c r="K86" s="30"/>
      <c r="L86" s="30"/>
    </row>
    <row r="87" spans="1:12" ht="15.5">
      <c r="A87" s="30"/>
      <c r="B87" s="30" t="s">
        <v>49</v>
      </c>
      <c r="C87" s="31">
        <v>1</v>
      </c>
      <c r="D87" s="31">
        <v>5.82</v>
      </c>
      <c r="E87" s="31">
        <v>0.6</v>
      </c>
      <c r="F87" s="31"/>
      <c r="G87" s="31"/>
      <c r="H87" s="31"/>
      <c r="I87" s="31"/>
      <c r="J87" s="31">
        <f t="shared" si="5"/>
        <v>3.492</v>
      </c>
      <c r="K87" s="30"/>
      <c r="L87" s="30"/>
    </row>
    <row r="88" spans="1:12" ht="15.5">
      <c r="A88" s="30"/>
      <c r="B88" s="30" t="s">
        <v>50</v>
      </c>
      <c r="C88" s="31">
        <v>1</v>
      </c>
      <c r="D88" s="31">
        <v>8.6</v>
      </c>
      <c r="E88" s="31">
        <v>0.6</v>
      </c>
      <c r="F88" s="31"/>
      <c r="G88" s="31"/>
      <c r="H88" s="31"/>
      <c r="I88" s="31"/>
      <c r="J88" s="31">
        <f t="shared" si="5"/>
        <v>5.1599999999999993</v>
      </c>
      <c r="K88" s="30"/>
      <c r="L88" s="30"/>
    </row>
    <row r="89" spans="1:12" ht="15.5">
      <c r="A89" s="30"/>
      <c r="B89" s="30" t="s">
        <v>56</v>
      </c>
      <c r="C89" s="31">
        <v>1</v>
      </c>
      <c r="D89" s="31">
        <v>43.23</v>
      </c>
      <c r="E89" s="31">
        <v>0.6</v>
      </c>
      <c r="F89" s="31"/>
      <c r="G89" s="31"/>
      <c r="H89" s="31"/>
      <c r="I89" s="31"/>
      <c r="J89" s="31">
        <f t="shared" si="5"/>
        <v>25.937999999999999</v>
      </c>
      <c r="K89" s="30"/>
      <c r="L89" s="30"/>
    </row>
    <row r="90" spans="1:12" ht="15.5">
      <c r="A90" s="30"/>
      <c r="B90" s="30" t="s">
        <v>57</v>
      </c>
      <c r="C90" s="31">
        <v>1</v>
      </c>
      <c r="D90" s="31">
        <v>120.36</v>
      </c>
      <c r="E90" s="31">
        <v>0.6</v>
      </c>
      <c r="F90" s="31"/>
      <c r="G90" s="31"/>
      <c r="H90" s="31"/>
      <c r="I90" s="31"/>
      <c r="J90" s="31">
        <f t="shared" si="5"/>
        <v>72.215999999999994</v>
      </c>
      <c r="K90" s="30"/>
      <c r="L90" s="30"/>
    </row>
    <row r="91" spans="1:12" ht="15.5">
      <c r="A91" s="30"/>
      <c r="B91" s="30" t="s">
        <v>58</v>
      </c>
      <c r="C91" s="31">
        <v>1</v>
      </c>
      <c r="D91" s="31">
        <v>125.7</v>
      </c>
      <c r="E91" s="31">
        <v>0.6</v>
      </c>
      <c r="F91" s="31"/>
      <c r="G91" s="31"/>
      <c r="H91" s="31"/>
      <c r="I91" s="31"/>
      <c r="J91" s="31">
        <f t="shared" si="5"/>
        <v>75.42</v>
      </c>
      <c r="K91" s="30"/>
      <c r="L91" s="30"/>
    </row>
    <row r="92" spans="1:12" ht="15.5">
      <c r="A92" s="30"/>
      <c r="B92" s="30" t="s">
        <v>51</v>
      </c>
      <c r="C92" s="31">
        <v>1</v>
      </c>
      <c r="D92" s="31">
        <v>8.1999999999999993</v>
      </c>
      <c r="E92" s="31">
        <v>0.6</v>
      </c>
      <c r="F92" s="31"/>
      <c r="G92" s="31"/>
      <c r="H92" s="31"/>
      <c r="I92" s="31"/>
      <c r="J92" s="31">
        <f t="shared" si="5"/>
        <v>4.919999999999999</v>
      </c>
      <c r="K92" s="30"/>
      <c r="L92" s="30"/>
    </row>
    <row r="93" spans="1:12" ht="15.5">
      <c r="A93" s="30"/>
      <c r="B93" s="30" t="s">
        <v>52</v>
      </c>
      <c r="C93" s="31">
        <v>1</v>
      </c>
      <c r="D93" s="31">
        <v>7</v>
      </c>
      <c r="E93" s="31">
        <v>0.6</v>
      </c>
      <c r="F93" s="31"/>
      <c r="G93" s="31"/>
      <c r="H93" s="31"/>
      <c r="I93" s="31"/>
      <c r="J93" s="31">
        <f t="shared" si="5"/>
        <v>4.2</v>
      </c>
      <c r="K93" s="30"/>
      <c r="L93" s="30"/>
    </row>
    <row r="94" spans="1:12" ht="15.5">
      <c r="A94" s="30"/>
      <c r="B94" s="30" t="s">
        <v>53</v>
      </c>
      <c r="C94" s="31">
        <v>1</v>
      </c>
      <c r="D94" s="31">
        <v>16</v>
      </c>
      <c r="E94" s="31">
        <v>0.6</v>
      </c>
      <c r="F94" s="31"/>
      <c r="G94" s="31"/>
      <c r="H94" s="31"/>
      <c r="I94" s="31"/>
      <c r="J94" s="31">
        <f t="shared" si="5"/>
        <v>9.6</v>
      </c>
      <c r="K94" s="30"/>
      <c r="L94" s="30"/>
    </row>
    <row r="95" spans="1:12" ht="15.5">
      <c r="A95" s="30"/>
      <c r="B95" s="30" t="s">
        <v>54</v>
      </c>
      <c r="C95" s="31">
        <v>1</v>
      </c>
      <c r="D95" s="31">
        <v>71.459999999999994</v>
      </c>
      <c r="E95" s="31">
        <v>0.6</v>
      </c>
      <c r="F95" s="31"/>
      <c r="G95" s="31"/>
      <c r="H95" s="31"/>
      <c r="I95" s="31"/>
      <c r="J95" s="31">
        <f t="shared" ref="J95:J96" si="6">C95*D95*E95</f>
        <v>42.875999999999998</v>
      </c>
      <c r="K95" s="30"/>
      <c r="L95" s="30"/>
    </row>
    <row r="96" spans="1:12" ht="15.5">
      <c r="A96" s="30"/>
      <c r="B96" s="30" t="s">
        <v>326</v>
      </c>
      <c r="C96" s="31">
        <v>1</v>
      </c>
      <c r="D96" s="31">
        <v>109.12</v>
      </c>
      <c r="E96" s="31">
        <v>0.6</v>
      </c>
      <c r="F96" s="31"/>
      <c r="G96" s="31"/>
      <c r="H96" s="31"/>
      <c r="I96" s="31"/>
      <c r="J96" s="31">
        <f t="shared" si="6"/>
        <v>65.471999999999994</v>
      </c>
      <c r="K96" s="30"/>
      <c r="L96" s="30"/>
    </row>
    <row r="97" spans="1:12" ht="31">
      <c r="A97" s="28" t="s">
        <v>119</v>
      </c>
      <c r="B97" s="28" t="s">
        <v>120</v>
      </c>
      <c r="C97" s="29">
        <v>62</v>
      </c>
      <c r="D97" s="29"/>
      <c r="E97" s="29"/>
      <c r="F97" s="29"/>
      <c r="G97" s="29"/>
      <c r="H97" s="29"/>
      <c r="I97" s="29"/>
      <c r="J97" s="29"/>
      <c r="K97" s="29">
        <f>J98*C97</f>
        <v>3.4719999999999995</v>
      </c>
      <c r="L97" s="28" t="s">
        <v>108</v>
      </c>
    </row>
    <row r="98" spans="1:12" s="75" customFormat="1" ht="20.5" customHeight="1">
      <c r="A98" s="73"/>
      <c r="B98" s="73" t="s">
        <v>44</v>
      </c>
      <c r="C98" s="74"/>
      <c r="D98" s="74">
        <v>0.4</v>
      </c>
      <c r="E98" s="74">
        <v>0.35</v>
      </c>
      <c r="F98" s="74">
        <v>0.4</v>
      </c>
      <c r="G98" s="74"/>
      <c r="H98" s="74"/>
      <c r="I98" s="74"/>
      <c r="J98" s="74">
        <f>D98*E98*F98</f>
        <v>5.5999999999999994E-2</v>
      </c>
      <c r="K98" s="74"/>
      <c r="L98" s="73"/>
    </row>
    <row r="99" spans="1:12" ht="20.5" customHeight="1">
      <c r="A99" s="33" t="s">
        <v>121</v>
      </c>
      <c r="B99" s="33" t="s">
        <v>6</v>
      </c>
      <c r="C99" s="34"/>
      <c r="D99" s="34"/>
      <c r="E99" s="34"/>
      <c r="F99" s="34"/>
      <c r="G99" s="34"/>
      <c r="H99" s="34"/>
      <c r="I99" s="34"/>
      <c r="J99" s="34"/>
      <c r="K99" s="34"/>
      <c r="L99" s="33"/>
    </row>
    <row r="100" spans="1:12" ht="15.5">
      <c r="A100" s="36" t="s">
        <v>122</v>
      </c>
      <c r="B100" s="36" t="s">
        <v>123</v>
      </c>
      <c r="C100" s="37"/>
      <c r="D100" s="37"/>
      <c r="E100" s="37"/>
      <c r="F100" s="37"/>
      <c r="G100" s="37"/>
      <c r="H100" s="37"/>
      <c r="I100" s="37"/>
      <c r="J100" s="37"/>
      <c r="K100" s="37"/>
      <c r="L100" s="36"/>
    </row>
    <row r="101" spans="1:12" ht="31">
      <c r="A101" s="28" t="s">
        <v>124</v>
      </c>
      <c r="B101" s="28" t="s">
        <v>125</v>
      </c>
      <c r="C101" s="29"/>
      <c r="D101" s="29"/>
      <c r="E101" s="29"/>
      <c r="F101" s="29"/>
      <c r="G101" s="29"/>
      <c r="H101" s="29"/>
      <c r="I101" s="29"/>
      <c r="J101" s="29"/>
      <c r="K101" s="29">
        <f>SUM(J102:J113)</f>
        <v>122.64579999999999</v>
      </c>
      <c r="L101" s="28" t="s">
        <v>108</v>
      </c>
    </row>
    <row r="102" spans="1:12" ht="15.5">
      <c r="A102" s="30"/>
      <c r="B102" s="30" t="s">
        <v>47</v>
      </c>
      <c r="C102" s="31">
        <v>1</v>
      </c>
      <c r="D102" s="31"/>
      <c r="E102" s="31"/>
      <c r="F102" s="31"/>
      <c r="G102" s="31"/>
      <c r="H102" s="31"/>
      <c r="I102" s="31"/>
      <c r="J102" s="31">
        <f>+'CONCRETO EN CUNETAS'!G10</f>
        <v>5.3508000000000004</v>
      </c>
      <c r="K102" s="31"/>
      <c r="L102" s="30"/>
    </row>
    <row r="103" spans="1:12" ht="15.5">
      <c r="A103" s="30"/>
      <c r="B103" s="30" t="s">
        <v>48</v>
      </c>
      <c r="C103" s="31">
        <v>1</v>
      </c>
      <c r="D103" s="31"/>
      <c r="E103" s="31"/>
      <c r="F103" s="31"/>
      <c r="G103" s="31"/>
      <c r="H103" s="31"/>
      <c r="I103" s="31"/>
      <c r="J103" s="31">
        <f>+'CONCRETO EN CUNETAS'!G22</f>
        <v>25.4146</v>
      </c>
      <c r="K103" s="31"/>
      <c r="L103" s="30"/>
    </row>
    <row r="104" spans="1:12" ht="15.5">
      <c r="A104" s="30"/>
      <c r="B104" s="30" t="s">
        <v>49</v>
      </c>
      <c r="C104" s="31">
        <v>1</v>
      </c>
      <c r="D104" s="31"/>
      <c r="E104" s="31"/>
      <c r="F104" s="31"/>
      <c r="G104" s="31"/>
      <c r="H104" s="31"/>
      <c r="I104" s="31"/>
      <c r="J104" s="31">
        <f>+'CONCRETO EN CUNETAS'!G34</f>
        <v>0.71520000000000006</v>
      </c>
      <c r="K104" s="31"/>
      <c r="L104" s="30"/>
    </row>
    <row r="105" spans="1:12" ht="15.5">
      <c r="A105" s="30"/>
      <c r="B105" s="30" t="s">
        <v>50</v>
      </c>
      <c r="C105" s="31">
        <v>1</v>
      </c>
      <c r="D105" s="31"/>
      <c r="E105" s="31"/>
      <c r="F105" s="31"/>
      <c r="G105" s="31"/>
      <c r="H105" s="31"/>
      <c r="I105" s="31"/>
      <c r="J105" s="31">
        <f>+'CONCRETO EN CUNETAS'!G46</f>
        <v>1.0680000000000001</v>
      </c>
      <c r="K105" s="31"/>
      <c r="L105" s="30"/>
    </row>
    <row r="106" spans="1:12" ht="15.5">
      <c r="A106" s="30"/>
      <c r="B106" s="30" t="s">
        <v>56</v>
      </c>
      <c r="C106" s="31">
        <v>1</v>
      </c>
      <c r="D106" s="31"/>
      <c r="E106" s="31"/>
      <c r="F106" s="31"/>
      <c r="G106" s="31"/>
      <c r="H106" s="31"/>
      <c r="I106" s="31"/>
      <c r="J106" s="31">
        <f>+'CONCRETO EN CUNETAS'!G58</f>
        <v>6.4757999999999987</v>
      </c>
      <c r="K106" s="31"/>
      <c r="L106" s="30"/>
    </row>
    <row r="107" spans="1:12" ht="15.5">
      <c r="A107" s="30"/>
      <c r="B107" s="30" t="s">
        <v>57</v>
      </c>
      <c r="C107" s="31">
        <v>1</v>
      </c>
      <c r="D107" s="31"/>
      <c r="E107" s="31"/>
      <c r="F107" s="31"/>
      <c r="G107" s="31"/>
      <c r="H107" s="31"/>
      <c r="I107" s="31"/>
      <c r="J107" s="31">
        <f>+'CONCRETO EN CUNETAS'!G70</f>
        <v>22.7196</v>
      </c>
      <c r="K107" s="31"/>
      <c r="L107" s="30"/>
    </row>
    <row r="108" spans="1:12" ht="15.5">
      <c r="A108" s="30"/>
      <c r="B108" s="30" t="s">
        <v>58</v>
      </c>
      <c r="C108" s="31">
        <v>1</v>
      </c>
      <c r="D108" s="31"/>
      <c r="E108" s="31"/>
      <c r="F108" s="31"/>
      <c r="G108" s="31"/>
      <c r="H108" s="31"/>
      <c r="I108" s="31"/>
      <c r="J108" s="31">
        <f>+'CONCRETO EN CUNETAS'!O10</f>
        <v>23.906600000000001</v>
      </c>
      <c r="K108" s="31"/>
      <c r="L108" s="30"/>
    </row>
    <row r="109" spans="1:12" ht="15.5">
      <c r="A109" s="30"/>
      <c r="B109" s="30" t="s">
        <v>51</v>
      </c>
      <c r="C109" s="31">
        <v>1</v>
      </c>
      <c r="D109" s="31"/>
      <c r="E109" s="31"/>
      <c r="F109" s="31"/>
      <c r="G109" s="31"/>
      <c r="H109" s="31"/>
      <c r="I109" s="31"/>
      <c r="J109" s="31">
        <f>+'CONCRETO EN CUNETAS'!O22</f>
        <v>1.508</v>
      </c>
      <c r="K109" s="31"/>
      <c r="L109" s="30"/>
    </row>
    <row r="110" spans="1:12" ht="15.5">
      <c r="A110" s="30"/>
      <c r="B110" s="30" t="s">
        <v>52</v>
      </c>
      <c r="C110" s="31">
        <v>1</v>
      </c>
      <c r="D110" s="31"/>
      <c r="E110" s="31"/>
      <c r="F110" s="31"/>
      <c r="G110" s="31"/>
      <c r="H110" s="31"/>
      <c r="I110" s="31"/>
      <c r="J110" s="31">
        <f>+'CONCRETO EN CUNETAS'!O34</f>
        <v>1.2840000000000003</v>
      </c>
      <c r="K110" s="31"/>
      <c r="L110" s="30"/>
    </row>
    <row r="111" spans="1:12" ht="15.5">
      <c r="A111" s="30"/>
      <c r="B111" s="30" t="s">
        <v>53</v>
      </c>
      <c r="C111" s="31">
        <v>1</v>
      </c>
      <c r="D111" s="31"/>
      <c r="E111" s="31"/>
      <c r="F111" s="31"/>
      <c r="G111" s="31"/>
      <c r="H111" s="31"/>
      <c r="I111" s="31"/>
      <c r="J111" s="31">
        <f>+'CONCRETO EN CUNETAS'!O46</f>
        <v>2.048</v>
      </c>
      <c r="K111" s="31"/>
      <c r="L111" s="30"/>
    </row>
    <row r="112" spans="1:12" ht="15.5">
      <c r="A112" s="30"/>
      <c r="B112" s="30" t="s">
        <v>54</v>
      </c>
      <c r="C112" s="31">
        <v>1</v>
      </c>
      <c r="D112" s="31"/>
      <c r="E112" s="31"/>
      <c r="F112" s="31"/>
      <c r="G112" s="31"/>
      <c r="H112" s="31"/>
      <c r="I112" s="31"/>
      <c r="J112" s="31">
        <f>+'CONCRETO EN CUNETAS'!O58</f>
        <v>11.409599999999999</v>
      </c>
      <c r="K112" s="31"/>
      <c r="L112" s="30"/>
    </row>
    <row r="113" spans="1:12" ht="15.5">
      <c r="A113" s="30"/>
      <c r="B113" s="30" t="s">
        <v>326</v>
      </c>
      <c r="C113" s="31">
        <v>1</v>
      </c>
      <c r="D113" s="31"/>
      <c r="E113" s="31"/>
      <c r="F113" s="31"/>
      <c r="G113" s="31"/>
      <c r="H113" s="31"/>
      <c r="I113" s="31"/>
      <c r="J113" s="31">
        <f>+'CONCRETO EN CUNETAS'!O70</f>
        <v>20.7456</v>
      </c>
      <c r="K113" s="31"/>
      <c r="L113" s="30"/>
    </row>
    <row r="114" spans="1:12" ht="31">
      <c r="A114" s="28" t="s">
        <v>126</v>
      </c>
      <c r="B114" s="28" t="s">
        <v>127</v>
      </c>
      <c r="C114" s="29"/>
      <c r="D114" s="29"/>
      <c r="E114" s="29"/>
      <c r="F114" s="29"/>
      <c r="G114" s="29"/>
      <c r="H114" s="29"/>
      <c r="I114" s="29"/>
      <c r="J114" s="29"/>
      <c r="K114" s="29">
        <f>SUM(J115:J126)</f>
        <v>1661.96</v>
      </c>
      <c r="L114" s="28" t="s">
        <v>103</v>
      </c>
    </row>
    <row r="115" spans="1:12" ht="15.5">
      <c r="A115" s="30"/>
      <c r="B115" s="30" t="s">
        <v>47</v>
      </c>
      <c r="C115" s="31">
        <v>1</v>
      </c>
      <c r="D115" s="31"/>
      <c r="E115" s="31"/>
      <c r="F115" s="31"/>
      <c r="G115" s="31"/>
      <c r="H115" s="31"/>
      <c r="I115" s="31"/>
      <c r="J115" s="31">
        <f>+'ENCOFRADO Y DESENCOFRADO'!H12</f>
        <v>66.796000000000006</v>
      </c>
      <c r="K115" s="31"/>
      <c r="L115" s="30"/>
    </row>
    <row r="116" spans="1:12" ht="15.5">
      <c r="A116" s="30"/>
      <c r="B116" s="30" t="s">
        <v>48</v>
      </c>
      <c r="C116" s="31">
        <v>1</v>
      </c>
      <c r="D116" s="31"/>
      <c r="E116" s="31"/>
      <c r="F116" s="31"/>
      <c r="G116" s="31"/>
      <c r="H116" s="31"/>
      <c r="I116" s="31"/>
      <c r="J116" s="31">
        <f>+'ENCOFRADO Y DESENCOFRADO'!P12</f>
        <v>358.44399999999996</v>
      </c>
      <c r="K116" s="31"/>
      <c r="L116" s="30"/>
    </row>
    <row r="117" spans="1:12" ht="15.5">
      <c r="A117" s="30"/>
      <c r="B117" s="30" t="s">
        <v>49</v>
      </c>
      <c r="C117" s="31">
        <v>1</v>
      </c>
      <c r="D117" s="31"/>
      <c r="E117" s="31"/>
      <c r="F117" s="31"/>
      <c r="G117" s="31"/>
      <c r="H117" s="31"/>
      <c r="I117" s="31"/>
      <c r="J117" s="31">
        <f>+'ENCOFRADO Y DESENCOFRADO'!H23</f>
        <v>8.48</v>
      </c>
      <c r="K117" s="31"/>
      <c r="L117" s="30"/>
    </row>
    <row r="118" spans="1:12" ht="15.5">
      <c r="A118" s="30"/>
      <c r="B118" s="30" t="s">
        <v>50</v>
      </c>
      <c r="C118" s="31">
        <v>1</v>
      </c>
      <c r="D118" s="31"/>
      <c r="E118" s="31"/>
      <c r="F118" s="31"/>
      <c r="G118" s="31"/>
      <c r="H118" s="31"/>
      <c r="I118" s="31"/>
      <c r="J118" s="31">
        <f>+'ENCOFRADO Y DESENCOFRADO'!P23</f>
        <v>12.76</v>
      </c>
      <c r="K118" s="31"/>
      <c r="L118" s="30"/>
    </row>
    <row r="119" spans="1:12" ht="15.5">
      <c r="A119" s="30"/>
      <c r="B119" s="30" t="s">
        <v>56</v>
      </c>
      <c r="C119" s="31">
        <v>1</v>
      </c>
      <c r="D119" s="31"/>
      <c r="E119" s="31"/>
      <c r="F119" s="31"/>
      <c r="G119" s="31"/>
      <c r="H119" s="31"/>
      <c r="I119" s="31"/>
      <c r="J119" s="31">
        <f>+'ENCOFRADO Y DESENCOFRADO'!H34</f>
        <v>80.36</v>
      </c>
      <c r="K119" s="31"/>
      <c r="L119" s="30"/>
    </row>
    <row r="120" spans="1:12" ht="15.5">
      <c r="A120" s="30"/>
      <c r="B120" s="30" t="s">
        <v>57</v>
      </c>
      <c r="C120" s="31">
        <v>1</v>
      </c>
      <c r="D120" s="31"/>
      <c r="E120" s="31"/>
      <c r="F120" s="31"/>
      <c r="G120" s="31"/>
      <c r="H120" s="31"/>
      <c r="I120" s="31"/>
      <c r="J120" s="31">
        <f>+'ENCOFRADO Y DESENCOFRADO'!P34</f>
        <v>318.54000000000002</v>
      </c>
      <c r="K120" s="31"/>
      <c r="L120" s="30"/>
    </row>
    <row r="121" spans="1:12" ht="15.5">
      <c r="A121" s="30"/>
      <c r="B121" s="30" t="s">
        <v>58</v>
      </c>
      <c r="C121" s="31">
        <v>1</v>
      </c>
      <c r="D121" s="31"/>
      <c r="E121" s="31"/>
      <c r="F121" s="31"/>
      <c r="G121" s="31"/>
      <c r="H121" s="31"/>
      <c r="I121" s="31"/>
      <c r="J121" s="31">
        <f>+'ENCOFRADO Y DESENCOFRADO'!H45</f>
        <v>337.7</v>
      </c>
      <c r="K121" s="31"/>
      <c r="L121" s="30"/>
    </row>
    <row r="122" spans="1:12" ht="15.5">
      <c r="A122" s="30"/>
      <c r="B122" s="30" t="s">
        <v>51</v>
      </c>
      <c r="C122" s="31">
        <v>1</v>
      </c>
      <c r="D122" s="31"/>
      <c r="E122" s="31"/>
      <c r="F122" s="31"/>
      <c r="G122" s="31"/>
      <c r="H122" s="31"/>
      <c r="I122" s="31"/>
      <c r="J122" s="31">
        <f>+'ENCOFRADO Y DESENCOFRADO'!P45</f>
        <v>17.04</v>
      </c>
      <c r="K122" s="31"/>
      <c r="L122" s="30"/>
    </row>
    <row r="123" spans="1:12" ht="15.5">
      <c r="A123" s="30"/>
      <c r="B123" s="30" t="s">
        <v>52</v>
      </c>
      <c r="C123" s="31">
        <v>1</v>
      </c>
      <c r="D123" s="31"/>
      <c r="E123" s="31"/>
      <c r="F123" s="31"/>
      <c r="G123" s="31"/>
      <c r="H123" s="31"/>
      <c r="I123" s="31"/>
      <c r="J123" s="31">
        <f>+'ENCOFRADO Y DESENCOFRADO'!H57</f>
        <v>14.48</v>
      </c>
      <c r="K123" s="31"/>
      <c r="L123" s="30"/>
    </row>
    <row r="124" spans="1:12" ht="15.5">
      <c r="A124" s="30"/>
      <c r="B124" s="30" t="s">
        <v>53</v>
      </c>
      <c r="C124" s="31">
        <v>1</v>
      </c>
      <c r="D124" s="31"/>
      <c r="E124" s="31"/>
      <c r="F124" s="31"/>
      <c r="G124" s="31"/>
      <c r="H124" s="31"/>
      <c r="I124" s="31"/>
      <c r="J124" s="31">
        <f>+'ENCOFRADO Y DESENCOFRADO'!P57</f>
        <v>24.96</v>
      </c>
      <c r="K124" s="31"/>
      <c r="L124" s="30"/>
    </row>
    <row r="125" spans="1:12" ht="15.5">
      <c r="A125" s="30"/>
      <c r="B125" s="30" t="s">
        <v>54</v>
      </c>
      <c r="C125" s="31">
        <v>1</v>
      </c>
      <c r="D125" s="31"/>
      <c r="E125" s="31"/>
      <c r="F125" s="31"/>
      <c r="G125" s="31"/>
      <c r="H125" s="31"/>
      <c r="I125" s="31"/>
      <c r="J125" s="31">
        <f>+'ENCOFRADO Y DESENCOFRADO'!H69</f>
        <v>150.624</v>
      </c>
      <c r="K125" s="31"/>
      <c r="L125" s="30"/>
    </row>
    <row r="126" spans="1:12" ht="15.5">
      <c r="A126" s="30"/>
      <c r="B126" s="30" t="s">
        <v>326</v>
      </c>
      <c r="C126" s="31">
        <v>1</v>
      </c>
      <c r="D126" s="31"/>
      <c r="E126" s="31"/>
      <c r="F126" s="31"/>
      <c r="G126" s="31"/>
      <c r="H126" s="31"/>
      <c r="I126" s="31"/>
      <c r="J126" s="31">
        <f>+'ENCOFRADO Y DESENCOFRADO'!P69</f>
        <v>271.77600000000001</v>
      </c>
      <c r="K126" s="31"/>
      <c r="L126" s="30"/>
    </row>
    <row r="127" spans="1:12" ht="31">
      <c r="A127" s="28" t="s">
        <v>128</v>
      </c>
      <c r="B127" s="28" t="s">
        <v>129</v>
      </c>
      <c r="C127" s="29"/>
      <c r="D127" s="29"/>
      <c r="E127" s="29"/>
      <c r="F127" s="29"/>
      <c r="G127" s="29"/>
      <c r="H127" s="29"/>
      <c r="I127" s="29"/>
      <c r="J127" s="29"/>
      <c r="K127" s="29">
        <f>+'METRADO ACERO'!AG38</f>
        <v>4967.0517119999995</v>
      </c>
      <c r="L127" s="28" t="s">
        <v>9</v>
      </c>
    </row>
    <row r="128" spans="1:12" ht="15.5">
      <c r="A128" s="30"/>
      <c r="B128" s="30"/>
      <c r="C128" s="30"/>
      <c r="D128" s="30"/>
      <c r="E128" s="30"/>
      <c r="F128" s="30"/>
      <c r="G128" s="30"/>
      <c r="H128" s="30"/>
      <c r="I128" s="30"/>
      <c r="J128" s="30"/>
      <c r="K128" s="31"/>
      <c r="L128" s="30"/>
    </row>
    <row r="129" spans="1:12" ht="15.5">
      <c r="A129" s="38" t="s">
        <v>130</v>
      </c>
      <c r="B129" s="38" t="s">
        <v>131</v>
      </c>
      <c r="C129" s="38"/>
      <c r="D129" s="38"/>
      <c r="E129" s="38"/>
      <c r="F129" s="38"/>
      <c r="G129" s="38"/>
      <c r="H129" s="38"/>
      <c r="I129" s="38"/>
      <c r="J129" s="38"/>
      <c r="K129" s="39">
        <f>+'METRADO DE CURADO'!M38</f>
        <v>1084.2058999999999</v>
      </c>
      <c r="L129" s="38" t="s">
        <v>103</v>
      </c>
    </row>
    <row r="130" spans="1:12" ht="15.5">
      <c r="A130" s="42"/>
      <c r="B130" s="42"/>
      <c r="C130" s="42"/>
      <c r="D130" s="42"/>
      <c r="E130" s="42"/>
      <c r="F130" s="42"/>
      <c r="G130" s="42"/>
      <c r="H130" s="42"/>
      <c r="I130" s="42"/>
      <c r="J130" s="42"/>
      <c r="K130" s="43"/>
      <c r="L130" s="42"/>
    </row>
    <row r="131" spans="1:12" ht="15.5">
      <c r="A131" s="36" t="s">
        <v>132</v>
      </c>
      <c r="B131" s="210" t="s">
        <v>133</v>
      </c>
      <c r="C131" s="210"/>
      <c r="D131" s="210"/>
      <c r="E131" s="210"/>
      <c r="F131" s="210"/>
      <c r="G131" s="210"/>
      <c r="H131" s="210"/>
      <c r="I131" s="210"/>
      <c r="J131" s="210"/>
      <c r="K131" s="210"/>
      <c r="L131" s="210"/>
    </row>
    <row r="132" spans="1:12" ht="46.5">
      <c r="A132" s="28" t="s">
        <v>134</v>
      </c>
      <c r="B132" s="28" t="s">
        <v>135</v>
      </c>
      <c r="C132" s="28"/>
      <c r="D132" s="28"/>
      <c r="E132" s="28"/>
      <c r="F132" s="28"/>
      <c r="G132" s="28"/>
      <c r="H132" s="28"/>
      <c r="I132" s="28"/>
      <c r="J132" s="28"/>
      <c r="K132" s="32">
        <f>+'METRADO DE REJILLAS'!G38</f>
        <v>510.11</v>
      </c>
      <c r="L132" s="44" t="s">
        <v>94</v>
      </c>
    </row>
    <row r="133" spans="1:12" ht="15.5">
      <c r="A133" s="38" t="s">
        <v>136</v>
      </c>
      <c r="B133" s="38" t="s">
        <v>137</v>
      </c>
      <c r="C133" s="38"/>
      <c r="D133" s="38"/>
      <c r="E133" s="38"/>
      <c r="F133" s="38"/>
      <c r="G133" s="38"/>
      <c r="H133" s="38"/>
      <c r="I133" s="38"/>
      <c r="J133" s="38"/>
      <c r="K133" s="45">
        <f>+'PLANILLA TAPAS REGISTRO INTERNO'!J9</f>
        <v>17</v>
      </c>
      <c r="L133" s="46" t="s">
        <v>11</v>
      </c>
    </row>
    <row r="134" spans="1:12" ht="31">
      <c r="A134" s="38" t="s">
        <v>138</v>
      </c>
      <c r="B134" s="38" t="s">
        <v>139</v>
      </c>
      <c r="C134" s="38"/>
      <c r="D134" s="38"/>
      <c r="E134" s="38"/>
      <c r="F134" s="38"/>
      <c r="G134" s="38"/>
      <c r="H134" s="38"/>
      <c r="I134" s="38"/>
      <c r="J134" s="38"/>
      <c r="K134" s="193">
        <f>+'METRADO JUNTA DE DILATACION'!J12</f>
        <v>241.95954396630202</v>
      </c>
      <c r="L134" s="46" t="s">
        <v>10</v>
      </c>
    </row>
    <row r="135" spans="1:12" ht="15.5">
      <c r="A135" s="40"/>
      <c r="B135" s="40"/>
      <c r="C135" s="40"/>
      <c r="D135" s="40"/>
      <c r="E135" s="40"/>
      <c r="F135" s="40"/>
      <c r="G135" s="40"/>
      <c r="H135" s="40"/>
      <c r="I135" s="40"/>
      <c r="J135" s="40"/>
      <c r="K135" s="41"/>
      <c r="L135" s="40"/>
    </row>
    <row r="136" spans="1:12" ht="15.5">
      <c r="A136" s="33" t="s">
        <v>140</v>
      </c>
      <c r="B136" s="209" t="s">
        <v>141</v>
      </c>
      <c r="C136" s="209"/>
      <c r="D136" s="209"/>
      <c r="E136" s="209"/>
      <c r="F136" s="209"/>
      <c r="G136" s="209"/>
      <c r="H136" s="209"/>
      <c r="I136" s="209"/>
      <c r="J136" s="209"/>
      <c r="K136" s="209"/>
      <c r="L136" s="209"/>
    </row>
    <row r="137" spans="1:12" ht="15.5">
      <c r="A137" s="36" t="s">
        <v>142</v>
      </c>
      <c r="B137" s="206" t="s">
        <v>143</v>
      </c>
      <c r="C137" s="206"/>
      <c r="D137" s="206"/>
      <c r="E137" s="206"/>
      <c r="F137" s="206"/>
      <c r="G137" s="206"/>
      <c r="H137" s="206"/>
      <c r="I137" s="206"/>
      <c r="J137" s="206"/>
      <c r="K137" s="206"/>
      <c r="L137" s="206"/>
    </row>
    <row r="138" spans="1:12" ht="15.5">
      <c r="A138" s="28" t="s">
        <v>144</v>
      </c>
      <c r="B138" s="28" t="s">
        <v>145</v>
      </c>
      <c r="C138" s="28"/>
      <c r="D138" s="28"/>
      <c r="E138" s="28"/>
      <c r="F138" s="28"/>
      <c r="G138" s="28"/>
      <c r="H138" s="28"/>
      <c r="I138" s="28"/>
      <c r="J138" s="28"/>
      <c r="K138" s="113">
        <f>+'METRADO MONTANTES'!F57</f>
        <v>0</v>
      </c>
      <c r="L138" s="28" t="s">
        <v>10</v>
      </c>
    </row>
    <row r="139" spans="1:12" ht="31">
      <c r="A139" s="38" t="s">
        <v>167</v>
      </c>
      <c r="B139" s="38" t="s">
        <v>147</v>
      </c>
      <c r="C139" s="38"/>
      <c r="D139" s="38"/>
      <c r="E139" s="38"/>
      <c r="F139" s="38"/>
      <c r="G139" s="38"/>
      <c r="H139" s="38"/>
      <c r="I139" s="38"/>
      <c r="J139" s="39"/>
      <c r="K139" s="45">
        <v>62</v>
      </c>
      <c r="L139" s="38" t="s">
        <v>11</v>
      </c>
    </row>
    <row r="140" spans="1:12" ht="31">
      <c r="A140" s="168" t="s">
        <v>168</v>
      </c>
      <c r="B140" s="47" t="s">
        <v>92</v>
      </c>
      <c r="C140" s="48">
        <v>62</v>
      </c>
      <c r="D140" s="49"/>
      <c r="E140" s="49"/>
      <c r="F140" s="49"/>
      <c r="G140" s="49"/>
      <c r="H140" s="50"/>
      <c r="I140" s="50"/>
      <c r="J140" s="50"/>
      <c r="K140" s="51">
        <f>J141*C140</f>
        <v>2.4180000000000006</v>
      </c>
      <c r="L140" s="47" t="s">
        <v>8</v>
      </c>
    </row>
    <row r="141" spans="1:12" ht="15.5">
      <c r="A141" s="169"/>
      <c r="B141" s="40"/>
      <c r="C141" s="52"/>
      <c r="D141" s="53">
        <v>1.3</v>
      </c>
      <c r="E141" s="53">
        <v>0.15</v>
      </c>
      <c r="F141" s="53">
        <v>0.2</v>
      </c>
      <c r="G141" s="54"/>
      <c r="H141" s="41"/>
      <c r="I141" s="41"/>
      <c r="J141" s="41">
        <f>D141*E141*F141</f>
        <v>3.9000000000000007E-2</v>
      </c>
      <c r="K141" s="55"/>
      <c r="L141" s="40"/>
    </row>
    <row r="142" spans="1:12" ht="46.5">
      <c r="A142" s="170" t="s">
        <v>169</v>
      </c>
      <c r="B142" s="47" t="s">
        <v>90</v>
      </c>
      <c r="C142" s="56">
        <v>62</v>
      </c>
      <c r="D142" s="47"/>
      <c r="E142" s="47"/>
      <c r="F142" s="47"/>
      <c r="G142" s="47"/>
      <c r="H142" s="50"/>
      <c r="I142" s="50"/>
      <c r="J142" s="50"/>
      <c r="K142" s="57">
        <f>K143*C142</f>
        <v>40.300000000000004</v>
      </c>
      <c r="L142" s="47" t="s">
        <v>7</v>
      </c>
    </row>
    <row r="143" spans="1:12" ht="15.5">
      <c r="A143" s="59"/>
      <c r="B143" s="40"/>
      <c r="C143" s="58">
        <v>2</v>
      </c>
      <c r="D143" s="53">
        <v>1.3</v>
      </c>
      <c r="E143" s="53">
        <v>0.15</v>
      </c>
      <c r="F143" s="40"/>
      <c r="G143" s="40"/>
      <c r="H143" s="41"/>
      <c r="I143" s="41"/>
      <c r="J143" s="41">
        <f>C143*D143*E143</f>
        <v>0.39</v>
      </c>
      <c r="K143" s="207">
        <f>J143+J144</f>
        <v>0.65</v>
      </c>
      <c r="L143" s="40"/>
    </row>
    <row r="144" spans="1:12" ht="15.5">
      <c r="A144" s="59"/>
      <c r="B144" s="40"/>
      <c r="C144" s="58">
        <v>1</v>
      </c>
      <c r="D144" s="53">
        <v>1.3</v>
      </c>
      <c r="E144" s="53">
        <v>0.2</v>
      </c>
      <c r="F144" s="40"/>
      <c r="G144" s="40"/>
      <c r="H144" s="41"/>
      <c r="I144" s="41"/>
      <c r="J144" s="41">
        <f>C144*D144*E144</f>
        <v>0.26</v>
      </c>
      <c r="K144" s="207"/>
      <c r="L144" s="40"/>
    </row>
    <row r="145" spans="1:12" ht="31">
      <c r="A145" s="170" t="s">
        <v>170</v>
      </c>
      <c r="B145" s="47" t="s">
        <v>91</v>
      </c>
      <c r="C145" s="56">
        <v>62</v>
      </c>
      <c r="D145" s="47"/>
      <c r="E145" s="47"/>
      <c r="F145" s="47"/>
      <c r="G145" s="47"/>
      <c r="H145" s="50"/>
      <c r="I145" s="50"/>
      <c r="J145" s="50"/>
      <c r="K145" s="57">
        <f>K146*C145</f>
        <v>347.89440000000002</v>
      </c>
      <c r="L145" s="47" t="s">
        <v>171</v>
      </c>
    </row>
    <row r="146" spans="1:12" ht="15.5">
      <c r="A146" s="59"/>
      <c r="B146" s="30" t="s">
        <v>82</v>
      </c>
      <c r="C146" s="30"/>
      <c r="D146" s="31">
        <v>1.2</v>
      </c>
      <c r="E146" s="31">
        <v>4</v>
      </c>
      <c r="F146" s="31">
        <v>0.56000000000000005</v>
      </c>
      <c r="G146" s="31"/>
      <c r="H146" s="31"/>
      <c r="I146" s="31"/>
      <c r="J146" s="31">
        <f>D146*E146*F146</f>
        <v>2.6880000000000002</v>
      </c>
      <c r="K146" s="208">
        <f>+J146+J147</f>
        <v>5.6112000000000002</v>
      </c>
      <c r="L146" s="30"/>
    </row>
    <row r="147" spans="1:12" ht="15.5">
      <c r="A147" s="59"/>
      <c r="B147" s="30" t="s">
        <v>83</v>
      </c>
      <c r="C147" s="30"/>
      <c r="D147" s="31">
        <v>0.57999999999999996</v>
      </c>
      <c r="E147" s="31">
        <v>9</v>
      </c>
      <c r="F147" s="31">
        <v>0.56000000000000005</v>
      </c>
      <c r="G147" s="31"/>
      <c r="H147" s="31"/>
      <c r="I147" s="31"/>
      <c r="J147" s="31">
        <f>D147*E147*F147</f>
        <v>2.9232</v>
      </c>
      <c r="K147" s="208"/>
      <c r="L147" s="30"/>
    </row>
    <row r="148" spans="1:12" ht="15.5">
      <c r="A148" s="59"/>
      <c r="B148" s="40"/>
      <c r="C148" s="40"/>
      <c r="D148" s="40"/>
      <c r="E148" s="40"/>
      <c r="F148" s="40"/>
      <c r="G148" s="40"/>
      <c r="H148" s="41"/>
      <c r="I148" s="41"/>
      <c r="J148" s="41"/>
      <c r="K148" s="41"/>
      <c r="L148" s="40"/>
    </row>
    <row r="149" spans="1:12" ht="15.5">
      <c r="A149" s="36" t="s">
        <v>148</v>
      </c>
      <c r="B149" s="36" t="s">
        <v>149</v>
      </c>
      <c r="C149" s="36"/>
      <c r="D149" s="36"/>
      <c r="E149" s="36"/>
      <c r="F149" s="36"/>
      <c r="G149" s="36"/>
      <c r="H149" s="36"/>
      <c r="I149" s="36"/>
      <c r="J149" s="37"/>
      <c r="K149" s="37"/>
      <c r="L149" s="36"/>
    </row>
    <row r="150" spans="1:12" ht="15.5">
      <c r="A150" s="28" t="s">
        <v>150</v>
      </c>
      <c r="B150" s="28" t="s">
        <v>151</v>
      </c>
      <c r="C150" s="28"/>
      <c r="D150" s="28"/>
      <c r="E150" s="28"/>
      <c r="F150" s="28"/>
      <c r="G150" s="28"/>
      <c r="H150" s="28"/>
      <c r="I150" s="28"/>
      <c r="J150" s="29"/>
      <c r="K150" s="194">
        <f>+'METRADO  EN PISO (SUMIDERO)'!B12</f>
        <v>112.26</v>
      </c>
      <c r="L150" s="28" t="s">
        <v>10</v>
      </c>
    </row>
    <row r="151" spans="1:12" ht="31">
      <c r="A151" s="38" t="s">
        <v>152</v>
      </c>
      <c r="B151" s="38" t="s">
        <v>153</v>
      </c>
      <c r="C151" s="38"/>
      <c r="D151" s="38"/>
      <c r="E151" s="38"/>
      <c r="F151" s="38"/>
      <c r="G151" s="38"/>
      <c r="H151" s="38"/>
      <c r="I151" s="38"/>
      <c r="J151" s="39"/>
      <c r="K151" s="194">
        <f>+'METRADO  EN PISO (SUMIDERO)'!C12</f>
        <v>30</v>
      </c>
      <c r="L151" s="38" t="s">
        <v>11</v>
      </c>
    </row>
    <row r="152" spans="1:12" ht="15.5">
      <c r="A152" s="38" t="s">
        <v>350</v>
      </c>
      <c r="B152" s="38" t="s">
        <v>352</v>
      </c>
      <c r="C152" s="38"/>
      <c r="D152" s="38"/>
      <c r="E152" s="38"/>
      <c r="F152" s="38"/>
      <c r="G152" s="38"/>
      <c r="H152" s="38"/>
      <c r="I152" s="38"/>
      <c r="J152" s="39"/>
      <c r="K152" s="194">
        <f>+'METRADO  EN PISO (SUMIDERO)'!D12</f>
        <v>24</v>
      </c>
      <c r="L152" s="38" t="s">
        <v>11</v>
      </c>
    </row>
    <row r="153" spans="1:12" ht="15.5">
      <c r="A153" s="38" t="s">
        <v>351</v>
      </c>
      <c r="B153" s="38" t="s">
        <v>353</v>
      </c>
      <c r="C153" s="38"/>
      <c r="D153" s="38"/>
      <c r="E153" s="38"/>
      <c r="F153" s="38"/>
      <c r="G153" s="38"/>
      <c r="H153" s="38"/>
      <c r="I153" s="38"/>
      <c r="J153" s="39"/>
      <c r="K153" s="194">
        <f>+'METRADO  EN PISO (SUMIDERO)'!F12</f>
        <v>4</v>
      </c>
      <c r="L153" s="38" t="s">
        <v>11</v>
      </c>
    </row>
    <row r="154" spans="1:12" ht="15.5">
      <c r="A154" s="40"/>
      <c r="B154" s="40"/>
      <c r="C154" s="40"/>
      <c r="D154" s="40"/>
      <c r="E154" s="40"/>
      <c r="F154" s="40"/>
      <c r="G154" s="40"/>
      <c r="H154" s="40"/>
      <c r="I154" s="40"/>
      <c r="J154" s="41"/>
      <c r="K154" s="41"/>
      <c r="L154" s="40"/>
    </row>
    <row r="155" spans="1:12" ht="15.5">
      <c r="A155" s="36" t="s">
        <v>154</v>
      </c>
      <c r="B155" s="36" t="s">
        <v>45</v>
      </c>
      <c r="C155" s="36"/>
      <c r="D155" s="36"/>
      <c r="E155" s="36"/>
      <c r="F155" s="36"/>
      <c r="G155" s="36"/>
      <c r="H155" s="36"/>
      <c r="I155" s="36"/>
      <c r="J155" s="37"/>
      <c r="K155" s="37"/>
      <c r="L155" s="36"/>
    </row>
    <row r="156" spans="1:12" ht="15.5">
      <c r="A156" s="38" t="s">
        <v>155</v>
      </c>
      <c r="B156" s="38" t="s">
        <v>156</v>
      </c>
      <c r="C156" s="38"/>
      <c r="D156" s="38"/>
      <c r="E156" s="38"/>
      <c r="F156" s="38"/>
      <c r="G156" s="38"/>
      <c r="H156" s="38"/>
      <c r="I156" s="38"/>
      <c r="J156" s="39"/>
      <c r="K156" s="114">
        <f>+'METRADO MONTANTES'!R57</f>
        <v>0</v>
      </c>
      <c r="L156" s="38" t="s">
        <v>11</v>
      </c>
    </row>
    <row r="157" spans="1:12" ht="15.5">
      <c r="A157" s="38" t="s">
        <v>157</v>
      </c>
      <c r="B157" s="28" t="s">
        <v>158</v>
      </c>
      <c r="C157" s="28"/>
      <c r="D157" s="28"/>
      <c r="E157" s="28"/>
      <c r="F157" s="28"/>
      <c r="G157" s="28"/>
      <c r="H157" s="28"/>
      <c r="I157" s="28"/>
      <c r="J157" s="29"/>
      <c r="K157" s="114">
        <f>+'METRADO MONTANTES'!I57</f>
        <v>0</v>
      </c>
      <c r="L157" s="28" t="s">
        <v>11</v>
      </c>
    </row>
    <row r="158" spans="1:12" ht="15.5">
      <c r="A158" s="38" t="s">
        <v>159</v>
      </c>
      <c r="B158" s="28" t="s">
        <v>172</v>
      </c>
      <c r="C158" s="28"/>
      <c r="D158" s="28"/>
      <c r="E158" s="28"/>
      <c r="F158" s="28"/>
      <c r="G158" s="28"/>
      <c r="H158" s="28"/>
      <c r="I158" s="28"/>
      <c r="J158" s="29"/>
      <c r="K158" s="114"/>
      <c r="L158" s="28" t="s">
        <v>11</v>
      </c>
    </row>
    <row r="159" spans="1:12" ht="31">
      <c r="A159" s="38" t="s">
        <v>161</v>
      </c>
      <c r="B159" s="28" t="s">
        <v>160</v>
      </c>
      <c r="C159" s="28"/>
      <c r="D159" s="28"/>
      <c r="E159" s="28"/>
      <c r="F159" s="28"/>
      <c r="G159" s="28"/>
      <c r="H159" s="28"/>
      <c r="I159" s="28"/>
      <c r="J159" s="29"/>
      <c r="K159" s="114">
        <f>+'METRADO MONTANTES'!O57</f>
        <v>0</v>
      </c>
      <c r="L159" s="28" t="s">
        <v>11</v>
      </c>
    </row>
    <row r="160" spans="1:12" ht="31">
      <c r="A160" s="38" t="s">
        <v>173</v>
      </c>
      <c r="B160" s="28" t="s">
        <v>162</v>
      </c>
      <c r="C160" s="28"/>
      <c r="D160" s="28"/>
      <c r="E160" s="28"/>
      <c r="F160" s="28"/>
      <c r="G160" s="28"/>
      <c r="H160" s="28"/>
      <c r="I160" s="28"/>
      <c r="J160" s="28"/>
      <c r="K160" s="114">
        <f>+'METRADO MONTANTES'!L57</f>
        <v>0</v>
      </c>
      <c r="L160" s="28" t="s">
        <v>11</v>
      </c>
    </row>
  </sheetData>
  <mergeCells count="12">
    <mergeCell ref="B137:L137"/>
    <mergeCell ref="K143:K144"/>
    <mergeCell ref="K146:K147"/>
    <mergeCell ref="B9:L9"/>
    <mergeCell ref="B10:L10"/>
    <mergeCell ref="B131:L131"/>
    <mergeCell ref="B136:L136"/>
    <mergeCell ref="A2:L2"/>
    <mergeCell ref="B3:L3"/>
    <mergeCell ref="B4:L4"/>
    <mergeCell ref="B5:L5"/>
    <mergeCell ref="B6:L6"/>
  </mergeCells>
  <phoneticPr fontId="1" type="noConversion"/>
  <pageMargins left="0.7" right="0.7" top="0.75" bottom="0.75" header="0.3" footer="0.3"/>
  <pageSetup paperSize="9" scale="5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E1283-1CF5-4524-A3D1-EABC3A6C8295}">
  <sheetPr>
    <tabColor rgb="FF92D050"/>
  </sheetPr>
  <dimension ref="A1:O157"/>
  <sheetViews>
    <sheetView view="pageBreakPreview" topLeftCell="A15" zoomScale="130" zoomScaleNormal="115" zoomScaleSheetLayoutView="130" workbookViewId="0">
      <selection activeCell="H64" sqref="H64"/>
    </sheetView>
  </sheetViews>
  <sheetFormatPr baseColWidth="10" defaultColWidth="12.36328125" defaultRowHeight="14"/>
  <cols>
    <col min="1" max="1" width="3.90625" style="3" customWidth="1"/>
    <col min="2" max="2" width="12.90625" style="3" customWidth="1"/>
    <col min="3" max="3" width="15.6328125" style="3" customWidth="1"/>
    <col min="4" max="6" width="12.36328125" style="3"/>
    <col min="7" max="7" width="13.90625" style="3" customWidth="1"/>
    <col min="8" max="8" width="7.90625" style="3" customWidth="1"/>
    <col min="9" max="9" width="7.08984375" style="3" customWidth="1"/>
    <col min="10" max="14" width="12.36328125" style="3"/>
    <col min="15" max="15" width="14.1796875" style="3" customWidth="1"/>
    <col min="16" max="16384" width="12.36328125" style="3"/>
  </cols>
  <sheetData>
    <row r="1" spans="1:15" ht="27.5" customHeight="1"/>
    <row r="2" spans="1:15" ht="25" customHeight="1">
      <c r="B2" s="238" t="s">
        <v>208</v>
      </c>
      <c r="C2" s="238"/>
      <c r="D2" s="238"/>
      <c r="E2" s="238"/>
      <c r="F2" s="238"/>
      <c r="G2" s="238"/>
      <c r="H2" s="238"/>
      <c r="I2" s="238"/>
      <c r="J2" s="238"/>
      <c r="K2" s="238"/>
      <c r="L2" s="238"/>
      <c r="M2" s="238"/>
      <c r="N2" s="238"/>
      <c r="O2" s="238"/>
    </row>
    <row r="3" spans="1:15" ht="25" customHeight="1">
      <c r="B3" s="98" t="s">
        <v>42</v>
      </c>
      <c r="C3" s="205" t="str">
        <f>+RESUMEN!B4</f>
        <v>GERENCIA TERRITORIAL BAJO MAYO - TARAPOTO</v>
      </c>
      <c r="D3" s="205"/>
      <c r="E3" s="205"/>
      <c r="F3" s="205"/>
      <c r="G3" s="205"/>
      <c r="H3" s="205"/>
      <c r="I3" s="205"/>
      <c r="J3" s="205"/>
      <c r="K3" s="205"/>
      <c r="L3" s="205"/>
      <c r="M3" s="205"/>
      <c r="N3" s="205"/>
      <c r="O3" s="205"/>
    </row>
    <row r="4" spans="1:15" ht="59.5" customHeight="1">
      <c r="B4" s="98" t="s">
        <v>39</v>
      </c>
      <c r="C4" s="205"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D4" s="205"/>
      <c r="E4" s="205"/>
      <c r="F4" s="205"/>
      <c r="G4" s="205"/>
      <c r="H4" s="205"/>
      <c r="I4" s="205"/>
      <c r="J4" s="205"/>
      <c r="K4" s="205"/>
      <c r="L4" s="205"/>
      <c r="M4" s="205"/>
      <c r="N4" s="205"/>
      <c r="O4" s="205"/>
    </row>
    <row r="5" spans="1:15" ht="25" customHeight="1">
      <c r="B5" s="98" t="s">
        <v>43</v>
      </c>
      <c r="C5" s="205" t="str">
        <f>+RESUMEN!B6</f>
        <v>SAN MARTIN - SAN MARTIN - MORALES</v>
      </c>
      <c r="D5" s="205"/>
      <c r="E5" s="205"/>
      <c r="F5" s="205"/>
      <c r="G5" s="205"/>
      <c r="H5" s="205"/>
      <c r="I5" s="205"/>
      <c r="J5" s="205"/>
      <c r="K5" s="205"/>
      <c r="L5" s="205"/>
      <c r="M5" s="205"/>
      <c r="N5" s="205"/>
      <c r="O5" s="205"/>
    </row>
    <row r="6" spans="1:15" ht="25" customHeight="1">
      <c r="B6" s="98" t="s">
        <v>40</v>
      </c>
      <c r="C6" s="204">
        <f>+RESUMEN!B7</f>
        <v>46266</v>
      </c>
      <c r="D6" s="204"/>
      <c r="E6" s="204"/>
      <c r="F6" s="204"/>
      <c r="G6" s="204"/>
      <c r="H6" s="204"/>
      <c r="I6" s="204"/>
      <c r="J6" s="204"/>
      <c r="K6" s="204"/>
      <c r="L6" s="204"/>
      <c r="M6" s="204"/>
      <c r="N6" s="204"/>
      <c r="O6" s="204"/>
    </row>
    <row r="7" spans="1:15" ht="24.5" customHeight="1">
      <c r="A7" s="147"/>
      <c r="B7" s="222" t="s">
        <v>6</v>
      </c>
      <c r="C7" s="223"/>
      <c r="D7" s="223"/>
      <c r="E7" s="223"/>
      <c r="F7" s="223"/>
      <c r="G7" s="223"/>
      <c r="H7" s="223"/>
      <c r="I7" s="223"/>
      <c r="J7" s="223"/>
      <c r="K7" s="223"/>
      <c r="L7" s="223"/>
      <c r="M7" s="223"/>
      <c r="N7" s="223"/>
      <c r="O7" s="223"/>
    </row>
    <row r="8" spans="1:15" ht="16" customHeight="1" thickBot="1"/>
    <row r="9" spans="1:15" ht="24" customHeight="1" thickBot="1">
      <c r="B9" s="232" t="s">
        <v>19</v>
      </c>
      <c r="C9" s="233"/>
      <c r="D9" s="233"/>
      <c r="E9" s="83" t="s">
        <v>8</v>
      </c>
      <c r="F9" s="83" t="s">
        <v>30</v>
      </c>
      <c r="G9" s="84" t="s">
        <v>37</v>
      </c>
      <c r="I9" s="4"/>
      <c r="J9" s="224" t="s">
        <v>19</v>
      </c>
      <c r="K9" s="224"/>
      <c r="L9" s="224"/>
      <c r="M9" s="17" t="s">
        <v>8</v>
      </c>
      <c r="N9" s="17" t="s">
        <v>30</v>
      </c>
      <c r="O9" s="17" t="s">
        <v>37</v>
      </c>
    </row>
    <row r="10" spans="1:15" ht="15.65" customHeight="1">
      <c r="B10" s="234" t="s">
        <v>209</v>
      </c>
      <c r="C10" s="219" t="s">
        <v>29</v>
      </c>
      <c r="D10" s="79" t="s">
        <v>22</v>
      </c>
      <c r="E10" s="80">
        <v>14.07</v>
      </c>
      <c r="F10" s="217">
        <f>E10*E11*E12</f>
        <v>2.8140000000000001</v>
      </c>
      <c r="G10" s="214">
        <f>SUM(F10:F18)</f>
        <v>5.3508000000000004</v>
      </c>
      <c r="I10" s="4"/>
      <c r="J10" s="240" t="s">
        <v>215</v>
      </c>
      <c r="K10" s="229" t="s">
        <v>29</v>
      </c>
      <c r="L10" s="13" t="s">
        <v>22</v>
      </c>
      <c r="M10" s="14">
        <v>74.5</v>
      </c>
      <c r="N10" s="211">
        <f>M10*M11*M12</f>
        <v>14.9</v>
      </c>
      <c r="O10" s="211">
        <f>SUM(N10:N18)</f>
        <v>23.906600000000001</v>
      </c>
    </row>
    <row r="11" spans="1:15" ht="15.5">
      <c r="B11" s="234"/>
      <c r="C11" s="220"/>
      <c r="D11" s="13" t="s">
        <v>23</v>
      </c>
      <c r="E11" s="14">
        <v>0.1</v>
      </c>
      <c r="F11" s="212"/>
      <c r="G11" s="215"/>
      <c r="I11" s="4"/>
      <c r="J11" s="240"/>
      <c r="K11" s="230"/>
      <c r="L11" s="13" t="s">
        <v>23</v>
      </c>
      <c r="M11" s="14">
        <v>0.1</v>
      </c>
      <c r="N11" s="212"/>
      <c r="O11" s="212"/>
    </row>
    <row r="12" spans="1:15" ht="15.65" customHeight="1" thickBot="1">
      <c r="B12" s="234"/>
      <c r="C12" s="221"/>
      <c r="D12" s="81" t="s">
        <v>24</v>
      </c>
      <c r="E12" s="82">
        <v>2</v>
      </c>
      <c r="F12" s="218"/>
      <c r="G12" s="215"/>
      <c r="I12" s="4"/>
      <c r="J12" s="240"/>
      <c r="K12" s="231"/>
      <c r="L12" s="13" t="s">
        <v>24</v>
      </c>
      <c r="M12" s="14">
        <v>2</v>
      </c>
      <c r="N12" s="213"/>
      <c r="O12" s="212"/>
    </row>
    <row r="13" spans="1:15" ht="15.65" customHeight="1">
      <c r="B13" s="234"/>
      <c r="C13" s="219" t="s">
        <v>26</v>
      </c>
      <c r="D13" s="79" t="s">
        <v>23</v>
      </c>
      <c r="E13" s="80">
        <v>0.1</v>
      </c>
      <c r="F13" s="217">
        <f>E13*E14*E15</f>
        <v>2.2284000000000002</v>
      </c>
      <c r="G13" s="215"/>
      <c r="I13" s="4"/>
      <c r="J13" s="240"/>
      <c r="K13" s="229" t="s">
        <v>26</v>
      </c>
      <c r="L13" s="13" t="s">
        <v>23</v>
      </c>
      <c r="M13" s="14">
        <v>0.1</v>
      </c>
      <c r="N13" s="211">
        <f>M13*M14*M15</f>
        <v>7.5419999999999998</v>
      </c>
      <c r="O13" s="212"/>
    </row>
    <row r="14" spans="1:15" ht="15.65" customHeight="1">
      <c r="B14" s="234"/>
      <c r="C14" s="220"/>
      <c r="D14" s="13" t="s">
        <v>27</v>
      </c>
      <c r="E14" s="14">
        <v>37.14</v>
      </c>
      <c r="F14" s="212"/>
      <c r="G14" s="215"/>
      <c r="I14" s="4"/>
      <c r="J14" s="240"/>
      <c r="K14" s="230"/>
      <c r="L14" s="13" t="s">
        <v>27</v>
      </c>
      <c r="M14" s="14">
        <v>125.7</v>
      </c>
      <c r="N14" s="212"/>
      <c r="O14" s="212"/>
    </row>
    <row r="15" spans="1:15" ht="16" thickBot="1">
      <c r="B15" s="234"/>
      <c r="C15" s="221"/>
      <c r="D15" s="81" t="s">
        <v>18</v>
      </c>
      <c r="E15" s="82">
        <v>0.6</v>
      </c>
      <c r="F15" s="218"/>
      <c r="G15" s="215"/>
      <c r="I15" s="4"/>
      <c r="J15" s="240"/>
      <c r="K15" s="231"/>
      <c r="L15" s="13" t="s">
        <v>18</v>
      </c>
      <c r="M15" s="14">
        <v>0.6</v>
      </c>
      <c r="N15" s="213"/>
      <c r="O15" s="212"/>
    </row>
    <row r="16" spans="1:15" ht="15.65" customHeight="1">
      <c r="B16" s="234"/>
      <c r="C16" s="219" t="s">
        <v>25</v>
      </c>
      <c r="D16" s="79" t="s">
        <v>27</v>
      </c>
      <c r="E16" s="80">
        <v>5.14</v>
      </c>
      <c r="F16" s="217">
        <f>E16*E17*E18</f>
        <v>0.30840000000000001</v>
      </c>
      <c r="G16" s="215"/>
      <c r="I16" s="4"/>
      <c r="J16" s="240"/>
      <c r="K16" s="229" t="s">
        <v>25</v>
      </c>
      <c r="L16" s="13" t="s">
        <v>27</v>
      </c>
      <c r="M16" s="15">
        <v>24.41</v>
      </c>
      <c r="N16" s="211">
        <f>M16*M17*M18</f>
        <v>1.4646000000000001</v>
      </c>
      <c r="O16" s="212"/>
    </row>
    <row r="17" spans="2:15" ht="15.5">
      <c r="B17" s="234"/>
      <c r="C17" s="220"/>
      <c r="D17" s="13" t="s">
        <v>28</v>
      </c>
      <c r="E17" s="14">
        <v>0.1</v>
      </c>
      <c r="F17" s="212"/>
      <c r="G17" s="215"/>
      <c r="I17" s="4"/>
      <c r="J17" s="240"/>
      <c r="K17" s="230"/>
      <c r="L17" s="13" t="s">
        <v>28</v>
      </c>
      <c r="M17" s="14">
        <v>0.1</v>
      </c>
      <c r="N17" s="212"/>
      <c r="O17" s="212"/>
    </row>
    <row r="18" spans="2:15" ht="16" thickBot="1">
      <c r="B18" s="236"/>
      <c r="C18" s="221"/>
      <c r="D18" s="81" t="s">
        <v>18</v>
      </c>
      <c r="E18" s="82">
        <v>0.6</v>
      </c>
      <c r="F18" s="218"/>
      <c r="G18" s="216"/>
      <c r="I18" s="4"/>
      <c r="J18" s="240"/>
      <c r="K18" s="231"/>
      <c r="L18" s="13" t="s">
        <v>18</v>
      </c>
      <c r="M18" s="14">
        <v>0.6</v>
      </c>
      <c r="N18" s="213"/>
      <c r="O18" s="213"/>
    </row>
    <row r="19" spans="2:15" ht="15.65" customHeight="1">
      <c r="F19" s="5"/>
      <c r="I19" s="4"/>
    </row>
    <row r="20" spans="2:15" ht="14.5" thickBot="1">
      <c r="I20" s="4"/>
    </row>
    <row r="21" spans="2:15" ht="21" customHeight="1" thickBot="1">
      <c r="B21" s="232" t="s">
        <v>19</v>
      </c>
      <c r="C21" s="233"/>
      <c r="D21" s="233"/>
      <c r="E21" s="83" t="s">
        <v>8</v>
      </c>
      <c r="F21" s="83" t="s">
        <v>30</v>
      </c>
      <c r="G21" s="84" t="s">
        <v>37</v>
      </c>
      <c r="I21" s="4"/>
      <c r="J21" s="224" t="s">
        <v>19</v>
      </c>
      <c r="K21" s="224"/>
      <c r="L21" s="224"/>
      <c r="M21" s="17" t="s">
        <v>8</v>
      </c>
      <c r="N21" s="17" t="s">
        <v>30</v>
      </c>
      <c r="O21" s="17" t="s">
        <v>37</v>
      </c>
    </row>
    <row r="22" spans="2:15" ht="16.25" customHeight="1">
      <c r="B22" s="234" t="s">
        <v>210</v>
      </c>
      <c r="C22" s="219" t="s">
        <v>29</v>
      </c>
      <c r="D22" s="79" t="s">
        <v>22</v>
      </c>
      <c r="E22" s="80">
        <v>78.319999999999993</v>
      </c>
      <c r="F22" s="217">
        <f>E22*E23*E24</f>
        <v>15.664</v>
      </c>
      <c r="G22" s="214">
        <f>SUM(F22:F30)</f>
        <v>25.4146</v>
      </c>
      <c r="J22" s="240" t="s">
        <v>216</v>
      </c>
      <c r="K22" s="229" t="s">
        <v>29</v>
      </c>
      <c r="L22" s="13" t="s">
        <v>22</v>
      </c>
      <c r="M22" s="14">
        <v>2.62</v>
      </c>
      <c r="N22" s="211">
        <f>M22*M23*M24</f>
        <v>0.52400000000000002</v>
      </c>
      <c r="O22" s="211">
        <f>SUM(N22:N30)</f>
        <v>1.508</v>
      </c>
    </row>
    <row r="23" spans="2:15" ht="15.5" customHeight="1">
      <c r="B23" s="234"/>
      <c r="C23" s="220"/>
      <c r="D23" s="13" t="s">
        <v>23</v>
      </c>
      <c r="E23" s="14">
        <v>0.1</v>
      </c>
      <c r="F23" s="212"/>
      <c r="G23" s="215"/>
      <c r="J23" s="240"/>
      <c r="K23" s="230"/>
      <c r="L23" s="13" t="s">
        <v>23</v>
      </c>
      <c r="M23" s="14">
        <v>0.1</v>
      </c>
      <c r="N23" s="212"/>
      <c r="O23" s="212"/>
    </row>
    <row r="24" spans="2:15" ht="16" thickBot="1">
      <c r="B24" s="234"/>
      <c r="C24" s="221"/>
      <c r="D24" s="81" t="s">
        <v>24</v>
      </c>
      <c r="E24" s="82">
        <v>2</v>
      </c>
      <c r="F24" s="218"/>
      <c r="G24" s="215"/>
      <c r="J24" s="240"/>
      <c r="K24" s="231"/>
      <c r="L24" s="13" t="s">
        <v>24</v>
      </c>
      <c r="M24" s="14">
        <v>2</v>
      </c>
      <c r="N24" s="213"/>
      <c r="O24" s="212"/>
    </row>
    <row r="25" spans="2:15" ht="15.5">
      <c r="B25" s="234"/>
      <c r="C25" s="219" t="s">
        <v>26</v>
      </c>
      <c r="D25" s="79" t="s">
        <v>23</v>
      </c>
      <c r="E25" s="80">
        <v>0.1</v>
      </c>
      <c r="F25" s="217">
        <f>E25*E26*E27</f>
        <v>7.851</v>
      </c>
      <c r="G25" s="215"/>
      <c r="J25" s="240"/>
      <c r="K25" s="229" t="s">
        <v>26</v>
      </c>
      <c r="L25" s="13" t="s">
        <v>23</v>
      </c>
      <c r="M25" s="14">
        <v>0.1</v>
      </c>
      <c r="N25" s="211">
        <f>M25*M26*M27</f>
        <v>0.49199999999999994</v>
      </c>
      <c r="O25" s="212"/>
    </row>
    <row r="26" spans="2:15" ht="15.5">
      <c r="B26" s="234"/>
      <c r="C26" s="220"/>
      <c r="D26" s="13" t="s">
        <v>27</v>
      </c>
      <c r="E26" s="14">
        <v>130.85</v>
      </c>
      <c r="F26" s="212"/>
      <c r="G26" s="215"/>
      <c r="J26" s="240"/>
      <c r="K26" s="230"/>
      <c r="L26" s="13" t="s">
        <v>27</v>
      </c>
      <c r="M26" s="14">
        <v>8.1999999999999993</v>
      </c>
      <c r="N26" s="212"/>
      <c r="O26" s="212"/>
    </row>
    <row r="27" spans="2:15" ht="16" thickBot="1">
      <c r="B27" s="234"/>
      <c r="C27" s="221"/>
      <c r="D27" s="81" t="s">
        <v>18</v>
      </c>
      <c r="E27" s="82">
        <v>0.6</v>
      </c>
      <c r="F27" s="218"/>
      <c r="G27" s="215"/>
      <c r="J27" s="240"/>
      <c r="K27" s="231"/>
      <c r="L27" s="13" t="s">
        <v>18</v>
      </c>
      <c r="M27" s="14">
        <v>0.6</v>
      </c>
      <c r="N27" s="213"/>
      <c r="O27" s="212"/>
    </row>
    <row r="28" spans="2:15" ht="15.5">
      <c r="B28" s="234"/>
      <c r="C28" s="219" t="s">
        <v>25</v>
      </c>
      <c r="D28" s="79" t="s">
        <v>27</v>
      </c>
      <c r="E28" s="80">
        <v>31.66</v>
      </c>
      <c r="F28" s="217">
        <f>E28*E29*E30</f>
        <v>1.8996000000000002</v>
      </c>
      <c r="G28" s="215"/>
      <c r="J28" s="240"/>
      <c r="K28" s="229" t="s">
        <v>25</v>
      </c>
      <c r="L28" s="13" t="s">
        <v>27</v>
      </c>
      <c r="M28" s="14">
        <v>8.1999999999999993</v>
      </c>
      <c r="N28" s="211">
        <f>M28*M29*M30</f>
        <v>0.49199999999999994</v>
      </c>
      <c r="O28" s="212"/>
    </row>
    <row r="29" spans="2:15" ht="15.5">
      <c r="B29" s="234"/>
      <c r="C29" s="220"/>
      <c r="D29" s="13" t="s">
        <v>28</v>
      </c>
      <c r="E29" s="14">
        <v>0.1</v>
      </c>
      <c r="F29" s="212"/>
      <c r="G29" s="215"/>
      <c r="J29" s="240"/>
      <c r="K29" s="230"/>
      <c r="L29" s="13" t="s">
        <v>28</v>
      </c>
      <c r="M29" s="14">
        <v>0.1</v>
      </c>
      <c r="N29" s="212"/>
      <c r="O29" s="212"/>
    </row>
    <row r="30" spans="2:15" ht="16" thickBot="1">
      <c r="B30" s="236"/>
      <c r="C30" s="221"/>
      <c r="D30" s="81" t="s">
        <v>18</v>
      </c>
      <c r="E30" s="82">
        <v>0.6</v>
      </c>
      <c r="F30" s="218"/>
      <c r="G30" s="216"/>
      <c r="J30" s="240"/>
      <c r="K30" s="231"/>
      <c r="L30" s="13" t="s">
        <v>18</v>
      </c>
      <c r="M30" s="14">
        <v>0.6</v>
      </c>
      <c r="N30" s="213"/>
      <c r="O30" s="213"/>
    </row>
    <row r="31" spans="2:15" ht="19.5" customHeight="1"/>
    <row r="33" spans="2:15" ht="19" customHeight="1" thickBot="1">
      <c r="B33" s="224" t="s">
        <v>19</v>
      </c>
      <c r="C33" s="224"/>
      <c r="D33" s="224"/>
      <c r="E33" s="17" t="s">
        <v>8</v>
      </c>
      <c r="F33" s="17" t="s">
        <v>30</v>
      </c>
      <c r="G33" s="17" t="s">
        <v>37</v>
      </c>
      <c r="J33" s="224" t="s">
        <v>19</v>
      </c>
      <c r="K33" s="225"/>
      <c r="L33" s="225"/>
      <c r="M33" s="76" t="s">
        <v>8</v>
      </c>
      <c r="N33" s="76" t="s">
        <v>30</v>
      </c>
      <c r="O33" s="76" t="s">
        <v>37</v>
      </c>
    </row>
    <row r="34" spans="2:15" ht="15.5">
      <c r="B34" s="240" t="s">
        <v>211</v>
      </c>
      <c r="C34" s="229" t="s">
        <v>29</v>
      </c>
      <c r="D34" s="13" t="s">
        <v>22</v>
      </c>
      <c r="E34" s="14">
        <v>1.83</v>
      </c>
      <c r="F34" s="211">
        <f>E34*E35*E36</f>
        <v>0.36600000000000005</v>
      </c>
      <c r="G34" s="211">
        <f>SUM(F34:F42)</f>
        <v>0.71520000000000006</v>
      </c>
      <c r="J34" s="237" t="s">
        <v>217</v>
      </c>
      <c r="K34" s="219" t="s">
        <v>29</v>
      </c>
      <c r="L34" s="79" t="s">
        <v>22</v>
      </c>
      <c r="M34" s="80">
        <v>2.2200000000000002</v>
      </c>
      <c r="N34" s="217">
        <f>M34*M35*M36</f>
        <v>0.44400000000000006</v>
      </c>
      <c r="O34" s="214">
        <f>SUM(N34:N42)</f>
        <v>1.2840000000000003</v>
      </c>
    </row>
    <row r="35" spans="2:15" ht="16.25" customHeight="1">
      <c r="B35" s="240"/>
      <c r="C35" s="230"/>
      <c r="D35" s="13" t="s">
        <v>23</v>
      </c>
      <c r="E35" s="14">
        <v>0.1</v>
      </c>
      <c r="F35" s="212"/>
      <c r="G35" s="212"/>
      <c r="J35" s="237"/>
      <c r="K35" s="220"/>
      <c r="L35" s="13" t="s">
        <v>23</v>
      </c>
      <c r="M35" s="14">
        <v>0.1</v>
      </c>
      <c r="N35" s="212"/>
      <c r="O35" s="215"/>
    </row>
    <row r="36" spans="2:15" ht="16" thickBot="1">
      <c r="B36" s="240"/>
      <c r="C36" s="231"/>
      <c r="D36" s="13" t="s">
        <v>24</v>
      </c>
      <c r="E36" s="14">
        <v>2</v>
      </c>
      <c r="F36" s="213"/>
      <c r="G36" s="212"/>
      <c r="J36" s="237"/>
      <c r="K36" s="221"/>
      <c r="L36" s="81" t="s">
        <v>24</v>
      </c>
      <c r="M36" s="82">
        <v>2</v>
      </c>
      <c r="N36" s="218"/>
      <c r="O36" s="215"/>
    </row>
    <row r="37" spans="2:15" ht="20" customHeight="1">
      <c r="B37" s="240"/>
      <c r="C37" s="229" t="s">
        <v>26</v>
      </c>
      <c r="D37" s="13" t="s">
        <v>23</v>
      </c>
      <c r="E37" s="14">
        <v>0.1</v>
      </c>
      <c r="F37" s="211">
        <f>E37*E38*E39</f>
        <v>0.34920000000000001</v>
      </c>
      <c r="G37" s="212"/>
      <c r="J37" s="237"/>
      <c r="K37" s="219" t="s">
        <v>26</v>
      </c>
      <c r="L37" s="79" t="s">
        <v>23</v>
      </c>
      <c r="M37" s="80">
        <v>0.1</v>
      </c>
      <c r="N37" s="217">
        <f>M37*M38*M39</f>
        <v>0.42000000000000004</v>
      </c>
      <c r="O37" s="215"/>
    </row>
    <row r="38" spans="2:15" ht="15.5" customHeight="1">
      <c r="B38" s="240"/>
      <c r="C38" s="230"/>
      <c r="D38" s="13" t="s">
        <v>27</v>
      </c>
      <c r="E38" s="14">
        <v>5.82</v>
      </c>
      <c r="F38" s="212"/>
      <c r="G38" s="212"/>
      <c r="J38" s="237"/>
      <c r="K38" s="220"/>
      <c r="L38" s="13" t="s">
        <v>27</v>
      </c>
      <c r="M38" s="14">
        <v>7</v>
      </c>
      <c r="N38" s="212"/>
      <c r="O38" s="215"/>
    </row>
    <row r="39" spans="2:15" ht="16" thickBot="1">
      <c r="B39" s="240"/>
      <c r="C39" s="231"/>
      <c r="D39" s="13" t="s">
        <v>18</v>
      </c>
      <c r="E39" s="14">
        <v>0.6</v>
      </c>
      <c r="F39" s="213"/>
      <c r="G39" s="212"/>
      <c r="J39" s="237"/>
      <c r="K39" s="221"/>
      <c r="L39" s="81" t="s">
        <v>18</v>
      </c>
      <c r="M39" s="82">
        <v>0.6</v>
      </c>
      <c r="N39" s="218"/>
      <c r="O39" s="215"/>
    </row>
    <row r="40" spans="2:15" ht="15.5">
      <c r="B40" s="240"/>
      <c r="C40" s="229" t="s">
        <v>25</v>
      </c>
      <c r="D40" s="13" t="s">
        <v>27</v>
      </c>
      <c r="E40" s="171">
        <v>0</v>
      </c>
      <c r="F40" s="211">
        <f>E40*E41*E42</f>
        <v>0</v>
      </c>
      <c r="G40" s="212"/>
      <c r="J40" s="237"/>
      <c r="K40" s="219" t="s">
        <v>25</v>
      </c>
      <c r="L40" s="79" t="s">
        <v>27</v>
      </c>
      <c r="M40" s="80">
        <v>7</v>
      </c>
      <c r="N40" s="217">
        <f>M40*M41*M42</f>
        <v>0.42000000000000004</v>
      </c>
      <c r="O40" s="215"/>
    </row>
    <row r="41" spans="2:15" ht="15.5">
      <c r="B41" s="240"/>
      <c r="C41" s="230"/>
      <c r="D41" s="13" t="s">
        <v>28</v>
      </c>
      <c r="E41" s="14">
        <v>0.1</v>
      </c>
      <c r="F41" s="212"/>
      <c r="G41" s="212"/>
      <c r="J41" s="237"/>
      <c r="K41" s="220"/>
      <c r="L41" s="13" t="s">
        <v>28</v>
      </c>
      <c r="M41" s="14">
        <v>0.1</v>
      </c>
      <c r="N41" s="212"/>
      <c r="O41" s="215"/>
    </row>
    <row r="42" spans="2:15" ht="15.5" customHeight="1" thickBot="1">
      <c r="B42" s="240"/>
      <c r="C42" s="231"/>
      <c r="D42" s="13" t="s">
        <v>18</v>
      </c>
      <c r="E42" s="14">
        <v>0.6</v>
      </c>
      <c r="F42" s="213"/>
      <c r="G42" s="213"/>
      <c r="J42" s="237"/>
      <c r="K42" s="221"/>
      <c r="L42" s="81" t="s">
        <v>18</v>
      </c>
      <c r="M42" s="82">
        <v>0.6</v>
      </c>
      <c r="N42" s="218"/>
      <c r="O42" s="216"/>
    </row>
    <row r="45" spans="2:15" ht="20" customHeight="1" thickBot="1">
      <c r="B45" s="225" t="s">
        <v>19</v>
      </c>
      <c r="C45" s="225"/>
      <c r="D45" s="225"/>
      <c r="E45" s="76" t="s">
        <v>8</v>
      </c>
      <c r="F45" s="76" t="s">
        <v>30</v>
      </c>
      <c r="G45" s="76" t="s">
        <v>37</v>
      </c>
      <c r="J45" s="224" t="s">
        <v>19</v>
      </c>
      <c r="K45" s="225"/>
      <c r="L45" s="225"/>
      <c r="M45" s="76" t="s">
        <v>8</v>
      </c>
      <c r="N45" s="76" t="s">
        <v>30</v>
      </c>
      <c r="O45" s="76" t="s">
        <v>37</v>
      </c>
    </row>
    <row r="46" spans="2:15" ht="15.5">
      <c r="B46" s="241" t="s">
        <v>212</v>
      </c>
      <c r="C46" s="219" t="s">
        <v>29</v>
      </c>
      <c r="D46" s="79" t="s">
        <v>22</v>
      </c>
      <c r="E46" s="80">
        <v>2.76</v>
      </c>
      <c r="F46" s="217">
        <f>E46*E47*E48</f>
        <v>0.55199999999999994</v>
      </c>
      <c r="G46" s="214">
        <f>SUM(F46:F54)</f>
        <v>1.0680000000000001</v>
      </c>
      <c r="J46" s="237" t="s">
        <v>218</v>
      </c>
      <c r="K46" s="219" t="s">
        <v>29</v>
      </c>
      <c r="L46" s="79" t="s">
        <v>22</v>
      </c>
      <c r="M46" s="80">
        <v>5.44</v>
      </c>
      <c r="N46" s="217">
        <f>M46*M47*M48</f>
        <v>1.0880000000000001</v>
      </c>
      <c r="O46" s="214">
        <f>SUM(N46:N54)</f>
        <v>2.048</v>
      </c>
    </row>
    <row r="47" spans="2:15" ht="15.5">
      <c r="B47" s="234"/>
      <c r="C47" s="220"/>
      <c r="D47" s="13" t="s">
        <v>23</v>
      </c>
      <c r="E47" s="14">
        <v>0.1</v>
      </c>
      <c r="F47" s="212"/>
      <c r="G47" s="215"/>
      <c r="J47" s="237"/>
      <c r="K47" s="220"/>
      <c r="L47" s="13" t="s">
        <v>23</v>
      </c>
      <c r="M47" s="14">
        <v>0.1</v>
      </c>
      <c r="N47" s="212"/>
      <c r="O47" s="215"/>
    </row>
    <row r="48" spans="2:15" ht="16.25" customHeight="1" thickBot="1">
      <c r="B48" s="234"/>
      <c r="C48" s="221"/>
      <c r="D48" s="81" t="s">
        <v>24</v>
      </c>
      <c r="E48" s="82">
        <v>2</v>
      </c>
      <c r="F48" s="218"/>
      <c r="G48" s="215"/>
      <c r="J48" s="237"/>
      <c r="K48" s="221"/>
      <c r="L48" s="81" t="s">
        <v>24</v>
      </c>
      <c r="M48" s="82">
        <v>2</v>
      </c>
      <c r="N48" s="218"/>
      <c r="O48" s="215"/>
    </row>
    <row r="49" spans="2:15" ht="15.5">
      <c r="B49" s="234"/>
      <c r="C49" s="219" t="s">
        <v>26</v>
      </c>
      <c r="D49" s="79" t="s">
        <v>23</v>
      </c>
      <c r="E49" s="80">
        <v>0.1</v>
      </c>
      <c r="F49" s="217">
        <f>E49*E50*E51</f>
        <v>0.51600000000000001</v>
      </c>
      <c r="G49" s="215"/>
      <c r="J49" s="237"/>
      <c r="K49" s="219" t="s">
        <v>26</v>
      </c>
      <c r="L49" s="79" t="s">
        <v>23</v>
      </c>
      <c r="M49" s="80">
        <v>0.1</v>
      </c>
      <c r="N49" s="217">
        <f>M49*M50*M51</f>
        <v>0.96</v>
      </c>
      <c r="O49" s="215"/>
    </row>
    <row r="50" spans="2:15" ht="15.5">
      <c r="B50" s="234"/>
      <c r="C50" s="220"/>
      <c r="D50" s="13" t="s">
        <v>27</v>
      </c>
      <c r="E50" s="14">
        <v>8.6</v>
      </c>
      <c r="F50" s="212"/>
      <c r="G50" s="215"/>
      <c r="J50" s="237"/>
      <c r="K50" s="220"/>
      <c r="L50" s="13" t="s">
        <v>27</v>
      </c>
      <c r="M50" s="14">
        <v>16</v>
      </c>
      <c r="N50" s="212"/>
      <c r="O50" s="215"/>
    </row>
    <row r="51" spans="2:15" ht="21" customHeight="1" thickBot="1">
      <c r="B51" s="234"/>
      <c r="C51" s="221"/>
      <c r="D51" s="81" t="s">
        <v>18</v>
      </c>
      <c r="E51" s="82">
        <v>0.6</v>
      </c>
      <c r="F51" s="218"/>
      <c r="G51" s="215"/>
      <c r="J51" s="237"/>
      <c r="K51" s="221"/>
      <c r="L51" s="81" t="s">
        <v>18</v>
      </c>
      <c r="M51" s="82">
        <v>0.6</v>
      </c>
      <c r="N51" s="218"/>
      <c r="O51" s="215"/>
    </row>
    <row r="52" spans="2:15" ht="15.5">
      <c r="B52" s="235"/>
      <c r="C52" s="230" t="s">
        <v>25</v>
      </c>
      <c r="D52" s="77" t="s">
        <v>27</v>
      </c>
      <c r="E52" s="172">
        <v>0</v>
      </c>
      <c r="F52" s="212">
        <f>E52*E53*E54</f>
        <v>0</v>
      </c>
      <c r="G52" s="215"/>
      <c r="J52" s="237"/>
      <c r="K52" s="219" t="s">
        <v>25</v>
      </c>
      <c r="L52" s="79" t="s">
        <v>27</v>
      </c>
      <c r="M52" s="88">
        <v>0</v>
      </c>
      <c r="N52" s="217">
        <f>M52*M53*M54</f>
        <v>0</v>
      </c>
      <c r="O52" s="215"/>
    </row>
    <row r="53" spans="2:15" ht="15.5">
      <c r="B53" s="235"/>
      <c r="C53" s="230"/>
      <c r="D53" s="13" t="s">
        <v>28</v>
      </c>
      <c r="E53" s="14">
        <v>0.1</v>
      </c>
      <c r="F53" s="212"/>
      <c r="G53" s="215"/>
      <c r="J53" s="237"/>
      <c r="K53" s="220"/>
      <c r="L53" s="13" t="s">
        <v>28</v>
      </c>
      <c r="M53" s="14">
        <v>0.1</v>
      </c>
      <c r="N53" s="212"/>
      <c r="O53" s="215"/>
    </row>
    <row r="54" spans="2:15" ht="16" thickBot="1">
      <c r="B54" s="242"/>
      <c r="C54" s="239"/>
      <c r="D54" s="81" t="s">
        <v>18</v>
      </c>
      <c r="E54" s="82">
        <v>0.6</v>
      </c>
      <c r="F54" s="218"/>
      <c r="G54" s="216"/>
      <c r="J54" s="237"/>
      <c r="K54" s="221"/>
      <c r="L54" s="81" t="s">
        <v>18</v>
      </c>
      <c r="M54" s="82">
        <v>0.6</v>
      </c>
      <c r="N54" s="218"/>
      <c r="O54" s="216"/>
    </row>
    <row r="57" spans="2:15" ht="21" customHeight="1" thickBot="1">
      <c r="B57" s="224" t="s">
        <v>19</v>
      </c>
      <c r="C57" s="224"/>
      <c r="D57" s="224"/>
      <c r="E57" s="17" t="s">
        <v>8</v>
      </c>
      <c r="F57" s="17" t="s">
        <v>30</v>
      </c>
      <c r="G57" s="17" t="s">
        <v>37</v>
      </c>
      <c r="J57" s="224" t="s">
        <v>19</v>
      </c>
      <c r="K57" s="225"/>
      <c r="L57" s="225"/>
      <c r="M57" s="76" t="s">
        <v>8</v>
      </c>
      <c r="N57" s="76" t="s">
        <v>30</v>
      </c>
      <c r="O57" s="76" t="s">
        <v>37</v>
      </c>
    </row>
    <row r="58" spans="2:15" ht="15.5">
      <c r="B58" s="240" t="s">
        <v>213</v>
      </c>
      <c r="C58" s="229" t="s">
        <v>29</v>
      </c>
      <c r="D58" s="13" t="s">
        <v>22</v>
      </c>
      <c r="E58" s="14">
        <v>17.7</v>
      </c>
      <c r="F58" s="211">
        <f>E58*E59*E60</f>
        <v>3.54</v>
      </c>
      <c r="G58" s="211">
        <f>SUM(F58:F66)</f>
        <v>6.4757999999999987</v>
      </c>
      <c r="J58" s="237" t="s">
        <v>219</v>
      </c>
      <c r="K58" s="219" t="s">
        <v>29</v>
      </c>
      <c r="L58" s="79" t="s">
        <v>22</v>
      </c>
      <c r="M58" s="80">
        <v>33</v>
      </c>
      <c r="N58" s="217">
        <f>M58*M59*M60</f>
        <v>6.6000000000000005</v>
      </c>
      <c r="O58" s="214">
        <f>SUM(N58:N66)</f>
        <v>11.409599999999999</v>
      </c>
    </row>
    <row r="59" spans="2:15" ht="15.5">
      <c r="B59" s="240"/>
      <c r="C59" s="230"/>
      <c r="D59" s="13" t="s">
        <v>23</v>
      </c>
      <c r="E59" s="14">
        <v>0.1</v>
      </c>
      <c r="F59" s="212"/>
      <c r="G59" s="212"/>
      <c r="J59" s="237"/>
      <c r="K59" s="220"/>
      <c r="L59" s="13" t="s">
        <v>23</v>
      </c>
      <c r="M59" s="14">
        <v>0.1</v>
      </c>
      <c r="N59" s="212"/>
      <c r="O59" s="215"/>
    </row>
    <row r="60" spans="2:15" ht="16" thickBot="1">
      <c r="B60" s="240"/>
      <c r="C60" s="231"/>
      <c r="D60" s="13" t="s">
        <v>24</v>
      </c>
      <c r="E60" s="14">
        <v>2</v>
      </c>
      <c r="F60" s="213"/>
      <c r="G60" s="212"/>
      <c r="J60" s="237"/>
      <c r="K60" s="221"/>
      <c r="L60" s="81" t="s">
        <v>24</v>
      </c>
      <c r="M60" s="82">
        <v>2</v>
      </c>
      <c r="N60" s="218"/>
      <c r="O60" s="215"/>
    </row>
    <row r="61" spans="2:15" ht="15.5">
      <c r="B61" s="240"/>
      <c r="C61" s="229" t="s">
        <v>26</v>
      </c>
      <c r="D61" s="13" t="s">
        <v>23</v>
      </c>
      <c r="E61" s="14">
        <v>0.1</v>
      </c>
      <c r="F61" s="211">
        <f>E61*E62*E63</f>
        <v>2.5937999999999994</v>
      </c>
      <c r="G61" s="212"/>
      <c r="J61" s="237"/>
      <c r="K61" s="219" t="s">
        <v>26</v>
      </c>
      <c r="L61" s="79" t="s">
        <v>23</v>
      </c>
      <c r="M61" s="80">
        <v>0.1</v>
      </c>
      <c r="N61" s="217">
        <f>M61*M62*M63</f>
        <v>4.2875999999999994</v>
      </c>
      <c r="O61" s="215"/>
    </row>
    <row r="62" spans="2:15" ht="15.5">
      <c r="B62" s="240"/>
      <c r="C62" s="230"/>
      <c r="D62" s="13" t="s">
        <v>27</v>
      </c>
      <c r="E62" s="14">
        <v>43.23</v>
      </c>
      <c r="F62" s="212"/>
      <c r="G62" s="212"/>
      <c r="I62" s="4"/>
      <c r="J62" s="237"/>
      <c r="K62" s="220"/>
      <c r="L62" s="13" t="s">
        <v>27</v>
      </c>
      <c r="M62" s="14">
        <v>71.459999999999994</v>
      </c>
      <c r="N62" s="212"/>
      <c r="O62" s="215"/>
    </row>
    <row r="63" spans="2:15" ht="16" thickBot="1">
      <c r="B63" s="240"/>
      <c r="C63" s="231"/>
      <c r="D63" s="13" t="s">
        <v>18</v>
      </c>
      <c r="E63" s="14">
        <v>0.6</v>
      </c>
      <c r="F63" s="213"/>
      <c r="G63" s="212"/>
      <c r="I63" s="4"/>
      <c r="J63" s="237"/>
      <c r="K63" s="221"/>
      <c r="L63" s="81" t="s">
        <v>18</v>
      </c>
      <c r="M63" s="82">
        <v>0.6</v>
      </c>
      <c r="N63" s="218"/>
      <c r="O63" s="215"/>
    </row>
    <row r="64" spans="2:15" ht="15.5">
      <c r="B64" s="240"/>
      <c r="C64" s="229" t="s">
        <v>25</v>
      </c>
      <c r="D64" s="13" t="s">
        <v>27</v>
      </c>
      <c r="E64" s="14">
        <v>5.7</v>
      </c>
      <c r="F64" s="211">
        <f>E64*E65*E66</f>
        <v>0.34200000000000003</v>
      </c>
      <c r="G64" s="212"/>
      <c r="J64" s="237"/>
      <c r="K64" s="219" t="s">
        <v>25</v>
      </c>
      <c r="L64" s="79" t="s">
        <v>27</v>
      </c>
      <c r="M64" s="80">
        <v>8.6999999999999993</v>
      </c>
      <c r="N64" s="217">
        <f>M64*M65*M66</f>
        <v>0.52200000000000002</v>
      </c>
      <c r="O64" s="215"/>
    </row>
    <row r="65" spans="2:15" ht="15.5">
      <c r="B65" s="240"/>
      <c r="C65" s="230"/>
      <c r="D65" s="13" t="s">
        <v>28</v>
      </c>
      <c r="E65" s="14">
        <v>0.1</v>
      </c>
      <c r="F65" s="212"/>
      <c r="G65" s="212"/>
      <c r="J65" s="237"/>
      <c r="K65" s="220"/>
      <c r="L65" s="13" t="s">
        <v>28</v>
      </c>
      <c r="M65" s="14">
        <v>0.1</v>
      </c>
      <c r="N65" s="212"/>
      <c r="O65" s="215"/>
    </row>
    <row r="66" spans="2:15" ht="18.5" customHeight="1" thickBot="1">
      <c r="B66" s="240"/>
      <c r="C66" s="231"/>
      <c r="D66" s="13" t="s">
        <v>18</v>
      </c>
      <c r="E66" s="14">
        <v>0.6</v>
      </c>
      <c r="F66" s="213"/>
      <c r="G66" s="213"/>
      <c r="J66" s="237"/>
      <c r="K66" s="221"/>
      <c r="L66" s="81" t="s">
        <v>18</v>
      </c>
      <c r="M66" s="82">
        <v>0.6</v>
      </c>
      <c r="N66" s="218"/>
      <c r="O66" s="216"/>
    </row>
    <row r="68" spans="2:15" ht="14.4" customHeight="1" thickBot="1"/>
    <row r="69" spans="2:15" ht="24.5" customHeight="1" thickBot="1">
      <c r="B69" s="232" t="s">
        <v>19</v>
      </c>
      <c r="C69" s="233"/>
      <c r="D69" s="233"/>
      <c r="E69" s="83" t="s">
        <v>8</v>
      </c>
      <c r="F69" s="83" t="s">
        <v>30</v>
      </c>
      <c r="G69" s="84" t="s">
        <v>37</v>
      </c>
      <c r="J69" s="224" t="s">
        <v>19</v>
      </c>
      <c r="K69" s="225"/>
      <c r="L69" s="225"/>
      <c r="M69" s="76" t="s">
        <v>8</v>
      </c>
      <c r="N69" s="76" t="s">
        <v>30</v>
      </c>
      <c r="O69" s="76" t="s">
        <v>37</v>
      </c>
    </row>
    <row r="70" spans="2:15" ht="19.75" customHeight="1">
      <c r="B70" s="234" t="s">
        <v>214</v>
      </c>
      <c r="C70" s="219" t="s">
        <v>29</v>
      </c>
      <c r="D70" s="79" t="s">
        <v>22</v>
      </c>
      <c r="E70" s="80">
        <v>69.72</v>
      </c>
      <c r="F70" s="217">
        <f>E70*E71*E72</f>
        <v>13.944000000000001</v>
      </c>
      <c r="G70" s="214">
        <f>SUM(F70:F78)</f>
        <v>22.7196</v>
      </c>
      <c r="J70" s="226" t="s">
        <v>327</v>
      </c>
      <c r="K70" s="219" t="s">
        <v>29</v>
      </c>
      <c r="L70" s="79" t="s">
        <v>22</v>
      </c>
      <c r="M70" s="80">
        <v>54</v>
      </c>
      <c r="N70" s="217">
        <f>M70*M71*M72</f>
        <v>10.8</v>
      </c>
      <c r="O70" s="214">
        <f>SUM(N70:N78)</f>
        <v>20.7456</v>
      </c>
    </row>
    <row r="71" spans="2:15" ht="14.4" customHeight="1">
      <c r="B71" s="234"/>
      <c r="C71" s="220"/>
      <c r="D71" s="13" t="s">
        <v>23</v>
      </c>
      <c r="E71" s="14">
        <v>0.1</v>
      </c>
      <c r="F71" s="212"/>
      <c r="G71" s="215"/>
      <c r="J71" s="227"/>
      <c r="K71" s="220"/>
      <c r="L71" s="13" t="s">
        <v>23</v>
      </c>
      <c r="M71" s="14">
        <v>0.1</v>
      </c>
      <c r="N71" s="212"/>
      <c r="O71" s="215"/>
    </row>
    <row r="72" spans="2:15" ht="22.75" customHeight="1" thickBot="1">
      <c r="B72" s="234"/>
      <c r="C72" s="221"/>
      <c r="D72" s="81" t="s">
        <v>24</v>
      </c>
      <c r="E72" s="82">
        <v>2</v>
      </c>
      <c r="F72" s="218"/>
      <c r="G72" s="215"/>
      <c r="J72" s="227"/>
      <c r="K72" s="221"/>
      <c r="L72" s="81" t="s">
        <v>24</v>
      </c>
      <c r="M72" s="82">
        <v>2</v>
      </c>
      <c r="N72" s="218"/>
      <c r="O72" s="215"/>
    </row>
    <row r="73" spans="2:15" ht="15.5">
      <c r="B73" s="235"/>
      <c r="C73" s="230" t="s">
        <v>26</v>
      </c>
      <c r="D73" s="77" t="s">
        <v>23</v>
      </c>
      <c r="E73" s="78">
        <v>0.1</v>
      </c>
      <c r="F73" s="212">
        <f>E73*E74*E75</f>
        <v>7.2216000000000005</v>
      </c>
      <c r="G73" s="215"/>
      <c r="J73" s="227"/>
      <c r="K73" s="219" t="s">
        <v>26</v>
      </c>
      <c r="L73" s="79" t="s">
        <v>23</v>
      </c>
      <c r="M73" s="80">
        <v>0.1</v>
      </c>
      <c r="N73" s="217">
        <f>M73*M74*M75</f>
        <v>6.5472000000000001</v>
      </c>
      <c r="O73" s="215"/>
    </row>
    <row r="74" spans="2:15" ht="14.4" customHeight="1">
      <c r="B74" s="235"/>
      <c r="C74" s="230"/>
      <c r="D74" s="13" t="s">
        <v>27</v>
      </c>
      <c r="E74" s="14">
        <v>120.36</v>
      </c>
      <c r="F74" s="212"/>
      <c r="G74" s="215"/>
      <c r="J74" s="227"/>
      <c r="K74" s="220"/>
      <c r="L74" s="13" t="s">
        <v>27</v>
      </c>
      <c r="M74" s="14">
        <v>109.12</v>
      </c>
      <c r="N74" s="212"/>
      <c r="O74" s="215"/>
    </row>
    <row r="75" spans="2:15" ht="16" thickBot="1">
      <c r="B75" s="235"/>
      <c r="C75" s="230"/>
      <c r="D75" s="86" t="s">
        <v>18</v>
      </c>
      <c r="E75" s="87">
        <v>0.6</v>
      </c>
      <c r="F75" s="212"/>
      <c r="G75" s="215"/>
      <c r="J75" s="227"/>
      <c r="K75" s="221"/>
      <c r="L75" s="81" t="s">
        <v>18</v>
      </c>
      <c r="M75" s="82">
        <v>0.6</v>
      </c>
      <c r="N75" s="218"/>
      <c r="O75" s="215"/>
    </row>
    <row r="76" spans="2:15" ht="15.5">
      <c r="B76" s="234"/>
      <c r="C76" s="219" t="s">
        <v>25</v>
      </c>
      <c r="D76" s="79" t="s">
        <v>27</v>
      </c>
      <c r="E76" s="80">
        <v>25.9</v>
      </c>
      <c r="F76" s="217">
        <f>E76*E77*E78</f>
        <v>1.5539999999999998</v>
      </c>
      <c r="G76" s="215"/>
      <c r="J76" s="227"/>
      <c r="K76" s="219" t="s">
        <v>25</v>
      </c>
      <c r="L76" s="79" t="s">
        <v>27</v>
      </c>
      <c r="M76" s="173">
        <v>56.64</v>
      </c>
      <c r="N76" s="217">
        <f>M76*M77*M78</f>
        <v>3.3984000000000001</v>
      </c>
      <c r="O76" s="215"/>
    </row>
    <row r="77" spans="2:15" ht="14.4" customHeight="1">
      <c r="B77" s="234"/>
      <c r="C77" s="220"/>
      <c r="D77" s="13" t="s">
        <v>28</v>
      </c>
      <c r="E77" s="14">
        <v>0.1</v>
      </c>
      <c r="F77" s="212"/>
      <c r="G77" s="215"/>
      <c r="I77" s="4"/>
      <c r="J77" s="227"/>
      <c r="K77" s="220"/>
      <c r="L77" s="13" t="s">
        <v>28</v>
      </c>
      <c r="M77" s="14">
        <v>0.1</v>
      </c>
      <c r="N77" s="212"/>
      <c r="O77" s="215"/>
    </row>
    <row r="78" spans="2:15" ht="16" thickBot="1">
      <c r="B78" s="236"/>
      <c r="C78" s="221"/>
      <c r="D78" s="81" t="s">
        <v>18</v>
      </c>
      <c r="E78" s="82">
        <v>0.6</v>
      </c>
      <c r="F78" s="218"/>
      <c r="G78" s="216"/>
      <c r="I78" s="4"/>
      <c r="J78" s="228"/>
      <c r="K78" s="221"/>
      <c r="L78" s="81" t="s">
        <v>18</v>
      </c>
      <c r="M78" s="82">
        <v>0.6</v>
      </c>
      <c r="N78" s="218"/>
      <c r="O78" s="216"/>
    </row>
    <row r="80" spans="2:15">
      <c r="I80" s="4"/>
    </row>
    <row r="81" spans="9:9">
      <c r="I81" s="4"/>
    </row>
    <row r="85" spans="9:9" ht="28" customHeight="1"/>
    <row r="96" spans="9:9">
      <c r="I96" s="4"/>
    </row>
    <row r="97" spans="9:9">
      <c r="I97" s="4"/>
    </row>
    <row r="100" spans="9:9" ht="24.5" customHeight="1"/>
    <row r="111" spans="9:9">
      <c r="I111" s="4"/>
    </row>
    <row r="112" spans="9:9">
      <c r="I112" s="4"/>
    </row>
    <row r="115" spans="9:9" ht="23.5" customHeight="1"/>
    <row r="126" spans="9:9">
      <c r="I126" s="4"/>
    </row>
    <row r="127" spans="9:9">
      <c r="I127" s="4"/>
    </row>
    <row r="130" spans="9:9" ht="26" customHeight="1"/>
    <row r="141" spans="9:9">
      <c r="I141" s="4"/>
    </row>
    <row r="142" spans="9:9">
      <c r="I142" s="4"/>
    </row>
    <row r="145" spans="9:9" ht="26" customHeight="1"/>
    <row r="146" spans="9:9" ht="15.5" customHeight="1"/>
    <row r="156" spans="9:9">
      <c r="I156" s="4"/>
    </row>
    <row r="157" spans="9:9">
      <c r="I157" s="4"/>
    </row>
  </sheetData>
  <mergeCells count="114">
    <mergeCell ref="K61:K63"/>
    <mergeCell ref="N49:N51"/>
    <mergeCell ref="N52:N54"/>
    <mergeCell ref="N40:N42"/>
    <mergeCell ref="N37:N39"/>
    <mergeCell ref="J33:L33"/>
    <mergeCell ref="J45:L45"/>
    <mergeCell ref="K46:K48"/>
    <mergeCell ref="K49:K51"/>
    <mergeCell ref="J57:L57"/>
    <mergeCell ref="C16:C18"/>
    <mergeCell ref="J10:J18"/>
    <mergeCell ref="K10:K12"/>
    <mergeCell ref="K13:K15"/>
    <mergeCell ref="J21:L21"/>
    <mergeCell ref="J22:J30"/>
    <mergeCell ref="K22:K24"/>
    <mergeCell ref="K25:K27"/>
    <mergeCell ref="F16:F18"/>
    <mergeCell ref="F22:F24"/>
    <mergeCell ref="F25:F27"/>
    <mergeCell ref="K16:K18"/>
    <mergeCell ref="B34:B42"/>
    <mergeCell ref="C34:C36"/>
    <mergeCell ref="C37:C39"/>
    <mergeCell ref="B45:D45"/>
    <mergeCell ref="B46:B54"/>
    <mergeCell ref="C46:C48"/>
    <mergeCell ref="C49:C51"/>
    <mergeCell ref="B57:D57"/>
    <mergeCell ref="B58:B66"/>
    <mergeCell ref="C58:C60"/>
    <mergeCell ref="C61:C63"/>
    <mergeCell ref="F34:F36"/>
    <mergeCell ref="F37:F39"/>
    <mergeCell ref="C76:C78"/>
    <mergeCell ref="F76:F78"/>
    <mergeCell ref="F61:F63"/>
    <mergeCell ref="F64:F66"/>
    <mergeCell ref="F70:F72"/>
    <mergeCell ref="F73:F75"/>
    <mergeCell ref="C64:C66"/>
    <mergeCell ref="B2:O2"/>
    <mergeCell ref="J9:L9"/>
    <mergeCell ref="F40:F42"/>
    <mergeCell ref="C40:C42"/>
    <mergeCell ref="C52:C54"/>
    <mergeCell ref="F52:F54"/>
    <mergeCell ref="F46:F48"/>
    <mergeCell ref="F49:F51"/>
    <mergeCell ref="F58:F60"/>
    <mergeCell ref="B10:B18"/>
    <mergeCell ref="B9:D9"/>
    <mergeCell ref="C10:C12"/>
    <mergeCell ref="C13:C15"/>
    <mergeCell ref="B21:D21"/>
    <mergeCell ref="B22:B30"/>
    <mergeCell ref="C22:C24"/>
    <mergeCell ref="C25:C27"/>
    <mergeCell ref="B33:D33"/>
    <mergeCell ref="C3:O3"/>
    <mergeCell ref="C4:O4"/>
    <mergeCell ref="C5:O5"/>
    <mergeCell ref="C6:O6"/>
    <mergeCell ref="F10:F12"/>
    <mergeCell ref="F13:F15"/>
    <mergeCell ref="B7:O7"/>
    <mergeCell ref="J69:L69"/>
    <mergeCell ref="J70:J78"/>
    <mergeCell ref="K70:K72"/>
    <mergeCell ref="N70:N72"/>
    <mergeCell ref="K73:K75"/>
    <mergeCell ref="N73:N75"/>
    <mergeCell ref="K76:K78"/>
    <mergeCell ref="N76:N78"/>
    <mergeCell ref="F28:F30"/>
    <mergeCell ref="C28:C30"/>
    <mergeCell ref="K28:K30"/>
    <mergeCell ref="K40:K42"/>
    <mergeCell ref="K52:K54"/>
    <mergeCell ref="B69:D69"/>
    <mergeCell ref="B70:B78"/>
    <mergeCell ref="C70:C72"/>
    <mergeCell ref="C73:C75"/>
    <mergeCell ref="J58:J66"/>
    <mergeCell ref="K58:K60"/>
    <mergeCell ref="J34:J42"/>
    <mergeCell ref="K34:K36"/>
    <mergeCell ref="K37:K39"/>
    <mergeCell ref="J46:J54"/>
    <mergeCell ref="O10:O18"/>
    <mergeCell ref="G10:G18"/>
    <mergeCell ref="O70:O78"/>
    <mergeCell ref="G70:G78"/>
    <mergeCell ref="O58:O66"/>
    <mergeCell ref="G58:G66"/>
    <mergeCell ref="O46:O54"/>
    <mergeCell ref="G46:G54"/>
    <mergeCell ref="O34:O42"/>
    <mergeCell ref="G34:G42"/>
    <mergeCell ref="O22:O30"/>
    <mergeCell ref="G22:G30"/>
    <mergeCell ref="N16:N18"/>
    <mergeCell ref="N10:N12"/>
    <mergeCell ref="N13:N15"/>
    <mergeCell ref="N34:N36"/>
    <mergeCell ref="N22:N24"/>
    <mergeCell ref="N25:N27"/>
    <mergeCell ref="N28:N30"/>
    <mergeCell ref="K64:K66"/>
    <mergeCell ref="N58:N60"/>
    <mergeCell ref="N61:N63"/>
    <mergeCell ref="N64:N66"/>
    <mergeCell ref="N46:N48"/>
  </mergeCells>
  <pageMargins left="0.5" right="0.11811023622047245" top="1.26" bottom="0.93" header="0.3" footer="0.11811023622047245"/>
  <pageSetup paperSize="9" scale="38" orientation="portrait" r:id="rId1"/>
  <headerFooter>
    <oddHeader>&amp;C&amp;G</oddHeader>
  </headerFooter>
  <rowBreaks count="1" manualBreakCount="1">
    <brk id="143" max="15"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48755-8324-4AEB-8CCF-EA4568879115}">
  <sheetPr>
    <tabColor rgb="FF92D050"/>
  </sheetPr>
  <dimension ref="B2:P79"/>
  <sheetViews>
    <sheetView topLeftCell="C1" zoomScale="130" zoomScaleNormal="130" zoomScaleSheetLayoutView="130" workbookViewId="0">
      <selection activeCell="H81" sqref="H81"/>
    </sheetView>
  </sheetViews>
  <sheetFormatPr baseColWidth="10" defaultRowHeight="15.5"/>
  <cols>
    <col min="1" max="1" width="4.453125" style="6" customWidth="1"/>
    <col min="2" max="2" width="13.453125" style="6" customWidth="1"/>
    <col min="3" max="3" width="15" style="6" customWidth="1"/>
    <col min="4" max="7" width="10.90625" style="6"/>
    <col min="8" max="8" width="12.26953125" style="6" customWidth="1"/>
    <col min="9" max="14" width="10.90625" style="6"/>
    <col min="15" max="15" width="16.54296875" style="6" customWidth="1"/>
    <col min="16" max="16" width="12.36328125" style="6" customWidth="1"/>
    <col min="17" max="16384" width="10.90625" style="6"/>
  </cols>
  <sheetData>
    <row r="2" spans="2:16" ht="21.5" customHeight="1">
      <c r="B2" s="264" t="s">
        <v>194</v>
      </c>
      <c r="C2" s="265"/>
      <c r="D2" s="265"/>
      <c r="E2" s="265"/>
      <c r="F2" s="265"/>
      <c r="G2" s="265"/>
      <c r="H2" s="265"/>
      <c r="I2" s="265"/>
      <c r="J2" s="265"/>
      <c r="K2" s="265"/>
      <c r="L2" s="265"/>
      <c r="M2" s="265"/>
      <c r="N2" s="265"/>
      <c r="O2" s="265"/>
      <c r="P2" s="265"/>
    </row>
    <row r="3" spans="2:16" ht="20.5" customHeight="1">
      <c r="B3" s="174" t="s">
        <v>42</v>
      </c>
      <c r="C3" s="253" t="str">
        <f>+RESUMEN!B4</f>
        <v>GERENCIA TERRITORIAL BAJO MAYO - TARAPOTO</v>
      </c>
      <c r="D3" s="253"/>
      <c r="E3" s="253"/>
      <c r="F3" s="253"/>
      <c r="G3" s="253"/>
      <c r="H3" s="253"/>
      <c r="I3" s="253"/>
      <c r="J3" s="253"/>
      <c r="K3" s="253"/>
      <c r="L3" s="253"/>
      <c r="M3" s="253"/>
      <c r="N3" s="253"/>
      <c r="O3" s="253"/>
      <c r="P3" s="253"/>
    </row>
    <row r="4" spans="2:16" ht="60" customHeight="1">
      <c r="B4" s="174" t="s">
        <v>39</v>
      </c>
      <c r="C4" s="253"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D4" s="253"/>
      <c r="E4" s="253"/>
      <c r="F4" s="253"/>
      <c r="G4" s="253"/>
      <c r="H4" s="253"/>
      <c r="I4" s="253"/>
      <c r="J4" s="253"/>
      <c r="K4" s="253"/>
      <c r="L4" s="253"/>
      <c r="M4" s="253"/>
      <c r="N4" s="253"/>
      <c r="O4" s="253"/>
      <c r="P4" s="253"/>
    </row>
    <row r="5" spans="2:16" ht="36" customHeight="1">
      <c r="B5" s="174" t="s">
        <v>43</v>
      </c>
      <c r="C5" s="253" t="str">
        <f>+RESUMEN!B6</f>
        <v>SAN MARTIN - SAN MARTIN - MORALES</v>
      </c>
      <c r="D5" s="253"/>
      <c r="E5" s="253"/>
      <c r="F5" s="253"/>
      <c r="G5" s="253"/>
      <c r="H5" s="253"/>
      <c r="I5" s="253"/>
      <c r="J5" s="253"/>
      <c r="K5" s="253"/>
      <c r="L5" s="253"/>
      <c r="M5" s="253"/>
      <c r="N5" s="253"/>
      <c r="O5" s="253"/>
      <c r="P5" s="253"/>
    </row>
    <row r="6" spans="2:16" ht="19.5" customHeight="1">
      <c r="B6" s="174" t="s">
        <v>40</v>
      </c>
      <c r="C6" s="266">
        <f>+RESUMEN!B7</f>
        <v>46266</v>
      </c>
      <c r="D6" s="253"/>
      <c r="E6" s="253"/>
      <c r="F6" s="253"/>
      <c r="G6" s="253"/>
      <c r="H6" s="253"/>
      <c r="I6" s="253"/>
      <c r="J6" s="253"/>
      <c r="K6" s="253"/>
      <c r="L6" s="253"/>
      <c r="M6" s="253"/>
      <c r="N6" s="253"/>
      <c r="O6" s="253"/>
      <c r="P6" s="253"/>
    </row>
    <row r="7" spans="2:16" ht="19.5" customHeight="1" thickBot="1">
      <c r="B7" s="62"/>
      <c r="C7" s="62"/>
      <c r="D7" s="62"/>
      <c r="E7" s="62"/>
      <c r="F7" s="62"/>
      <c r="G7" s="62"/>
      <c r="H7" s="62"/>
      <c r="I7" s="62"/>
      <c r="J7" s="62"/>
      <c r="K7" s="62"/>
      <c r="L7" s="62"/>
      <c r="M7" s="62"/>
      <c r="N7" s="62"/>
      <c r="O7" s="62"/>
      <c r="P7" s="62"/>
    </row>
    <row r="8" spans="2:16">
      <c r="B8" s="256" t="s">
        <v>79</v>
      </c>
      <c r="C8" s="257"/>
      <c r="D8" s="257"/>
      <c r="E8" s="257"/>
      <c r="F8" s="257"/>
      <c r="G8" s="257"/>
      <c r="H8" s="257"/>
      <c r="I8" s="257"/>
      <c r="J8" s="257"/>
      <c r="K8" s="257"/>
      <c r="L8" s="257"/>
      <c r="M8" s="257"/>
      <c r="N8" s="257"/>
      <c r="O8" s="257"/>
      <c r="P8" s="258"/>
    </row>
    <row r="9" spans="2:16" ht="16" thickBot="1">
      <c r="B9" s="259"/>
      <c r="C9" s="260"/>
      <c r="D9" s="260"/>
      <c r="E9" s="260"/>
      <c r="F9" s="260"/>
      <c r="G9" s="260"/>
      <c r="H9" s="260"/>
      <c r="I9" s="260"/>
      <c r="J9" s="260"/>
      <c r="K9" s="260"/>
      <c r="L9" s="260"/>
      <c r="M9" s="260"/>
      <c r="N9" s="260"/>
      <c r="O9" s="260"/>
      <c r="P9" s="261"/>
    </row>
    <row r="11" spans="2:16" ht="19.5" customHeight="1">
      <c r="B11" s="262" t="s">
        <v>19</v>
      </c>
      <c r="C11" s="262"/>
      <c r="D11" s="262"/>
      <c r="E11" s="262"/>
      <c r="F11" s="262"/>
      <c r="G11" s="153" t="s">
        <v>30</v>
      </c>
      <c r="H11" s="153" t="s">
        <v>33</v>
      </c>
      <c r="I11" s="26"/>
      <c r="J11" s="262" t="s">
        <v>19</v>
      </c>
      <c r="K11" s="262"/>
      <c r="L11" s="262"/>
      <c r="M11" s="262"/>
      <c r="N11" s="262"/>
      <c r="O11" s="153" t="s">
        <v>30</v>
      </c>
      <c r="P11" s="153" t="s">
        <v>33</v>
      </c>
    </row>
    <row r="12" spans="2:16" ht="15.5" customHeight="1">
      <c r="B12" s="254" t="s">
        <v>80</v>
      </c>
      <c r="C12" s="263" t="s">
        <v>55</v>
      </c>
      <c r="D12" s="254" t="s">
        <v>34</v>
      </c>
      <c r="E12" s="1" t="s">
        <v>22</v>
      </c>
      <c r="F12" s="15">
        <v>15.36</v>
      </c>
      <c r="G12" s="251">
        <f>F12*F13</f>
        <v>30.72</v>
      </c>
      <c r="H12" s="248">
        <f>SUM(G12:G20)</f>
        <v>66.796000000000006</v>
      </c>
      <c r="I12" s="26"/>
      <c r="J12" s="244" t="s">
        <v>48</v>
      </c>
      <c r="K12" s="245" t="s">
        <v>20</v>
      </c>
      <c r="L12" s="244" t="s">
        <v>34</v>
      </c>
      <c r="M12" s="2" t="s">
        <v>22</v>
      </c>
      <c r="N12" s="15">
        <v>68.67</v>
      </c>
      <c r="O12" s="251">
        <f>N12*N13</f>
        <v>137.34</v>
      </c>
      <c r="P12" s="248">
        <f>SUM(O12:O20)</f>
        <v>358.44399999999996</v>
      </c>
    </row>
    <row r="13" spans="2:16">
      <c r="B13" s="254"/>
      <c r="C13" s="263"/>
      <c r="D13" s="254"/>
      <c r="E13" s="1" t="s">
        <v>24</v>
      </c>
      <c r="F13" s="15">
        <v>2</v>
      </c>
      <c r="G13" s="251"/>
      <c r="H13" s="249"/>
      <c r="I13" s="26"/>
      <c r="J13" s="244"/>
      <c r="K13" s="245"/>
      <c r="L13" s="244"/>
      <c r="M13" s="2" t="s">
        <v>24</v>
      </c>
      <c r="N13" s="15">
        <v>2</v>
      </c>
      <c r="O13" s="251"/>
      <c r="P13" s="249"/>
    </row>
    <row r="14" spans="2:16" ht="15.5" customHeight="1">
      <c r="B14" s="254"/>
      <c r="C14" s="263"/>
      <c r="D14" s="254" t="s">
        <v>35</v>
      </c>
      <c r="E14" s="1" t="s">
        <v>22</v>
      </c>
      <c r="F14" s="15">
        <v>12.16</v>
      </c>
      <c r="G14" s="251">
        <f>F14*F15</f>
        <v>24.32</v>
      </c>
      <c r="H14" s="249"/>
      <c r="I14" s="26"/>
      <c r="J14" s="244"/>
      <c r="K14" s="245"/>
      <c r="L14" s="244" t="s">
        <v>35</v>
      </c>
      <c r="M14" s="2" t="s">
        <v>22</v>
      </c>
      <c r="N14" s="15">
        <v>58.75</v>
      </c>
      <c r="O14" s="251">
        <f>N14*N15</f>
        <v>117.5</v>
      </c>
      <c r="P14" s="249"/>
    </row>
    <row r="15" spans="2:16">
      <c r="B15" s="254"/>
      <c r="C15" s="263"/>
      <c r="D15" s="254"/>
      <c r="E15" s="1" t="s">
        <v>31</v>
      </c>
      <c r="F15" s="15">
        <v>2</v>
      </c>
      <c r="G15" s="251"/>
      <c r="H15" s="249"/>
      <c r="I15" s="26"/>
      <c r="J15" s="244"/>
      <c r="K15" s="245"/>
      <c r="L15" s="244"/>
      <c r="M15" s="2" t="s">
        <v>31</v>
      </c>
      <c r="N15" s="15">
        <v>2</v>
      </c>
      <c r="O15" s="251"/>
      <c r="P15" s="249"/>
    </row>
    <row r="16" spans="2:16" ht="15.5" customHeight="1">
      <c r="B16" s="254"/>
      <c r="C16" s="255" t="s">
        <v>21</v>
      </c>
      <c r="D16" s="254" t="s">
        <v>36</v>
      </c>
      <c r="E16" s="1" t="s">
        <v>22</v>
      </c>
      <c r="F16" s="14">
        <v>2.94</v>
      </c>
      <c r="G16" s="251">
        <f>F16*F17</f>
        <v>5.88</v>
      </c>
      <c r="H16" s="249"/>
      <c r="I16" s="26"/>
      <c r="J16" s="244"/>
      <c r="K16" s="252" t="s">
        <v>21</v>
      </c>
      <c r="L16" s="244" t="s">
        <v>36</v>
      </c>
      <c r="M16" s="2" t="s">
        <v>22</v>
      </c>
      <c r="N16" s="15">
        <v>25.9</v>
      </c>
      <c r="O16" s="251">
        <f>N16*N17</f>
        <v>51.8</v>
      </c>
      <c r="P16" s="249"/>
    </row>
    <row r="17" spans="2:16">
      <c r="B17" s="254"/>
      <c r="C17" s="255"/>
      <c r="D17" s="254"/>
      <c r="E17" s="1" t="s">
        <v>24</v>
      </c>
      <c r="F17" s="14">
        <v>2</v>
      </c>
      <c r="G17" s="251"/>
      <c r="H17" s="249"/>
      <c r="I17" s="26"/>
      <c r="J17" s="244"/>
      <c r="K17" s="252"/>
      <c r="L17" s="244"/>
      <c r="M17" s="2" t="s">
        <v>24</v>
      </c>
      <c r="N17" s="15">
        <v>2</v>
      </c>
      <c r="O17" s="251"/>
      <c r="P17" s="249"/>
    </row>
    <row r="18" spans="2:16" ht="15.5" customHeight="1">
      <c r="B18" s="254"/>
      <c r="C18" s="255"/>
      <c r="D18" s="254" t="s">
        <v>35</v>
      </c>
      <c r="E18" s="1" t="s">
        <v>22</v>
      </c>
      <c r="F18" s="14">
        <v>1.91</v>
      </c>
      <c r="G18" s="251">
        <f>(F18*F19)+F20</f>
        <v>5.8759999999999994</v>
      </c>
      <c r="H18" s="249"/>
      <c r="I18" s="26"/>
      <c r="J18" s="244"/>
      <c r="K18" s="252"/>
      <c r="L18" s="244" t="s">
        <v>35</v>
      </c>
      <c r="M18" s="2" t="s">
        <v>22</v>
      </c>
      <c r="N18" s="15">
        <v>19.57</v>
      </c>
      <c r="O18" s="251">
        <f>N18*N19+N20</f>
        <v>51.804000000000002</v>
      </c>
      <c r="P18" s="249"/>
    </row>
    <row r="19" spans="2:16">
      <c r="B19" s="254"/>
      <c r="C19" s="255"/>
      <c r="D19" s="254"/>
      <c r="E19" s="1" t="s">
        <v>31</v>
      </c>
      <c r="F19" s="14">
        <v>2</v>
      </c>
      <c r="G19" s="251"/>
      <c r="H19" s="249"/>
      <c r="I19" s="26"/>
      <c r="J19" s="244"/>
      <c r="K19" s="252"/>
      <c r="L19" s="244"/>
      <c r="M19" s="2" t="s">
        <v>31</v>
      </c>
      <c r="N19" s="15">
        <v>2</v>
      </c>
      <c r="O19" s="251"/>
      <c r="P19" s="249"/>
    </row>
    <row r="20" spans="2:16" ht="14.5" customHeight="1">
      <c r="B20" s="254"/>
      <c r="C20" s="255"/>
      <c r="D20" s="254"/>
      <c r="E20" s="1" t="s">
        <v>25</v>
      </c>
      <c r="F20" s="14">
        <f>5.14*0.4</f>
        <v>2.056</v>
      </c>
      <c r="G20" s="251"/>
      <c r="H20" s="250"/>
      <c r="I20" s="26"/>
      <c r="J20" s="244"/>
      <c r="K20" s="252"/>
      <c r="L20" s="244"/>
      <c r="M20" s="2" t="s">
        <v>25</v>
      </c>
      <c r="N20" s="15">
        <f>31.66*0.4</f>
        <v>12.664000000000001</v>
      </c>
      <c r="O20" s="251"/>
      <c r="P20" s="250"/>
    </row>
    <row r="21" spans="2:16">
      <c r="J21" s="175"/>
      <c r="K21" s="175"/>
      <c r="L21" s="175"/>
      <c r="M21" s="175"/>
      <c r="N21" s="175"/>
    </row>
    <row r="22" spans="2:16">
      <c r="B22" s="262" t="s">
        <v>19</v>
      </c>
      <c r="C22" s="262"/>
      <c r="D22" s="262"/>
      <c r="E22" s="262"/>
      <c r="F22" s="262"/>
      <c r="G22" s="153" t="s">
        <v>30</v>
      </c>
      <c r="H22" s="153" t="s">
        <v>33</v>
      </c>
      <c r="I22" s="26"/>
      <c r="J22" s="243" t="s">
        <v>19</v>
      </c>
      <c r="K22" s="243"/>
      <c r="L22" s="243"/>
      <c r="M22" s="243"/>
      <c r="N22" s="243"/>
      <c r="O22" s="153" t="s">
        <v>30</v>
      </c>
      <c r="P22" s="153" t="s">
        <v>33</v>
      </c>
    </row>
    <row r="23" spans="2:16">
      <c r="B23" s="244" t="s">
        <v>49</v>
      </c>
      <c r="C23" s="245" t="s">
        <v>55</v>
      </c>
      <c r="D23" s="244" t="s">
        <v>34</v>
      </c>
      <c r="E23" s="2" t="s">
        <v>22</v>
      </c>
      <c r="F23" s="15">
        <v>2.41</v>
      </c>
      <c r="G23" s="251">
        <f>F23*F24</f>
        <v>4.82</v>
      </c>
      <c r="H23" s="248">
        <f>SUM(G23:G31)</f>
        <v>8.48</v>
      </c>
      <c r="I23" s="26"/>
      <c r="J23" s="244" t="s">
        <v>50</v>
      </c>
      <c r="K23" s="245" t="s">
        <v>20</v>
      </c>
      <c r="L23" s="244" t="s">
        <v>34</v>
      </c>
      <c r="M23" s="2" t="s">
        <v>22</v>
      </c>
      <c r="N23" s="15">
        <v>3.62</v>
      </c>
      <c r="O23" s="251">
        <f>N23*N24</f>
        <v>7.24</v>
      </c>
      <c r="P23" s="248">
        <f>SUM(O23:O31)</f>
        <v>12.76</v>
      </c>
    </row>
    <row r="24" spans="2:16">
      <c r="B24" s="244"/>
      <c r="C24" s="245"/>
      <c r="D24" s="244"/>
      <c r="E24" s="2" t="s">
        <v>24</v>
      </c>
      <c r="F24" s="15">
        <v>2</v>
      </c>
      <c r="G24" s="251"/>
      <c r="H24" s="249"/>
      <c r="I24" s="26"/>
      <c r="J24" s="244"/>
      <c r="K24" s="245"/>
      <c r="L24" s="244"/>
      <c r="M24" s="2" t="s">
        <v>24</v>
      </c>
      <c r="N24" s="15">
        <v>2</v>
      </c>
      <c r="O24" s="251"/>
      <c r="P24" s="249"/>
    </row>
    <row r="25" spans="2:16">
      <c r="B25" s="244"/>
      <c r="C25" s="245"/>
      <c r="D25" s="244" t="s">
        <v>35</v>
      </c>
      <c r="E25" s="2" t="s">
        <v>22</v>
      </c>
      <c r="F25" s="15">
        <v>1.83</v>
      </c>
      <c r="G25" s="251">
        <f>F25*F26</f>
        <v>3.66</v>
      </c>
      <c r="H25" s="249"/>
      <c r="I25" s="26"/>
      <c r="J25" s="244"/>
      <c r="K25" s="245"/>
      <c r="L25" s="244" t="s">
        <v>35</v>
      </c>
      <c r="M25" s="2" t="s">
        <v>22</v>
      </c>
      <c r="N25" s="15">
        <v>2.76</v>
      </c>
      <c r="O25" s="251">
        <f>N25*N26</f>
        <v>5.52</v>
      </c>
      <c r="P25" s="249"/>
    </row>
    <row r="26" spans="2:16">
      <c r="B26" s="244"/>
      <c r="C26" s="245"/>
      <c r="D26" s="244"/>
      <c r="E26" s="2" t="s">
        <v>31</v>
      </c>
      <c r="F26" s="15">
        <v>2</v>
      </c>
      <c r="G26" s="251"/>
      <c r="H26" s="249"/>
      <c r="I26" s="26"/>
      <c r="J26" s="244"/>
      <c r="K26" s="245"/>
      <c r="L26" s="244"/>
      <c r="M26" s="2" t="s">
        <v>31</v>
      </c>
      <c r="N26" s="15">
        <v>2</v>
      </c>
      <c r="O26" s="251"/>
      <c r="P26" s="249"/>
    </row>
    <row r="27" spans="2:16">
      <c r="B27" s="244"/>
      <c r="C27" s="252" t="s">
        <v>21</v>
      </c>
      <c r="D27" s="244" t="s">
        <v>36</v>
      </c>
      <c r="E27" s="2" t="s">
        <v>22</v>
      </c>
      <c r="F27" s="85">
        <v>0</v>
      </c>
      <c r="G27" s="251">
        <f>F27*F28</f>
        <v>0</v>
      </c>
      <c r="H27" s="249"/>
      <c r="I27" s="26"/>
      <c r="J27" s="244"/>
      <c r="K27" s="252" t="s">
        <v>21</v>
      </c>
      <c r="L27" s="244" t="s">
        <v>36</v>
      </c>
      <c r="M27" s="2" t="s">
        <v>22</v>
      </c>
      <c r="N27" s="85">
        <v>0</v>
      </c>
      <c r="O27" s="251">
        <f>N27*N28</f>
        <v>0</v>
      </c>
      <c r="P27" s="249"/>
    </row>
    <row r="28" spans="2:16">
      <c r="B28" s="244"/>
      <c r="C28" s="252"/>
      <c r="D28" s="244"/>
      <c r="E28" s="2" t="s">
        <v>24</v>
      </c>
      <c r="F28" s="85">
        <v>2</v>
      </c>
      <c r="G28" s="251"/>
      <c r="H28" s="249"/>
      <c r="I28" s="26"/>
      <c r="J28" s="244"/>
      <c r="K28" s="252"/>
      <c r="L28" s="244"/>
      <c r="M28" s="2" t="s">
        <v>24</v>
      </c>
      <c r="N28" s="85">
        <v>2</v>
      </c>
      <c r="O28" s="251"/>
      <c r="P28" s="249"/>
    </row>
    <row r="29" spans="2:16">
      <c r="B29" s="244"/>
      <c r="C29" s="252"/>
      <c r="D29" s="244" t="s">
        <v>35</v>
      </c>
      <c r="E29" s="2" t="s">
        <v>22</v>
      </c>
      <c r="F29" s="85">
        <v>0</v>
      </c>
      <c r="G29" s="251">
        <f>F29*F30+F31</f>
        <v>0</v>
      </c>
      <c r="H29" s="249"/>
      <c r="I29" s="26"/>
      <c r="J29" s="244"/>
      <c r="K29" s="252"/>
      <c r="L29" s="244" t="s">
        <v>35</v>
      </c>
      <c r="M29" s="2" t="s">
        <v>22</v>
      </c>
      <c r="N29" s="85">
        <v>0</v>
      </c>
      <c r="O29" s="251">
        <f>N29*N30+N31</f>
        <v>0</v>
      </c>
      <c r="P29" s="249"/>
    </row>
    <row r="30" spans="2:16">
      <c r="B30" s="244"/>
      <c r="C30" s="252"/>
      <c r="D30" s="244"/>
      <c r="E30" s="2" t="s">
        <v>31</v>
      </c>
      <c r="F30" s="85">
        <v>2</v>
      </c>
      <c r="G30" s="251"/>
      <c r="H30" s="249"/>
      <c r="I30" s="26"/>
      <c r="J30" s="244"/>
      <c r="K30" s="252"/>
      <c r="L30" s="244"/>
      <c r="M30" s="2" t="s">
        <v>31</v>
      </c>
      <c r="N30" s="85">
        <v>2</v>
      </c>
      <c r="O30" s="251"/>
      <c r="P30" s="249"/>
    </row>
    <row r="31" spans="2:16" ht="14" customHeight="1">
      <c r="B31" s="244"/>
      <c r="C31" s="252"/>
      <c r="D31" s="244"/>
      <c r="E31" s="2" t="s">
        <v>25</v>
      </c>
      <c r="F31" s="85">
        <v>0</v>
      </c>
      <c r="G31" s="251"/>
      <c r="H31" s="250"/>
      <c r="I31" s="26"/>
      <c r="J31" s="244"/>
      <c r="K31" s="252"/>
      <c r="L31" s="244"/>
      <c r="M31" s="2" t="s">
        <v>25</v>
      </c>
      <c r="N31" s="85">
        <v>0</v>
      </c>
      <c r="O31" s="251"/>
      <c r="P31" s="250"/>
    </row>
    <row r="32" spans="2:16">
      <c r="B32" s="175"/>
      <c r="C32" s="175"/>
      <c r="D32" s="175"/>
      <c r="E32" s="175"/>
      <c r="F32" s="175"/>
      <c r="J32" s="175"/>
      <c r="K32" s="175"/>
      <c r="L32" s="175"/>
      <c r="M32" s="175"/>
      <c r="N32" s="175"/>
    </row>
    <row r="33" spans="2:16">
      <c r="B33" s="243" t="s">
        <v>19</v>
      </c>
      <c r="C33" s="243"/>
      <c r="D33" s="243"/>
      <c r="E33" s="243"/>
      <c r="F33" s="243"/>
      <c r="G33" s="153" t="s">
        <v>30</v>
      </c>
      <c r="H33" s="153" t="s">
        <v>33</v>
      </c>
      <c r="I33" s="26"/>
      <c r="J33" s="243" t="s">
        <v>19</v>
      </c>
      <c r="K33" s="243"/>
      <c r="L33" s="243"/>
      <c r="M33" s="243"/>
      <c r="N33" s="243"/>
      <c r="O33" s="153" t="s">
        <v>30</v>
      </c>
      <c r="P33" s="153" t="s">
        <v>33</v>
      </c>
    </row>
    <row r="34" spans="2:16">
      <c r="B34" s="244" t="s">
        <v>56</v>
      </c>
      <c r="C34" s="245" t="s">
        <v>20</v>
      </c>
      <c r="D34" s="244" t="s">
        <v>34</v>
      </c>
      <c r="E34" s="2" t="s">
        <v>22</v>
      </c>
      <c r="F34" s="15">
        <v>18.53</v>
      </c>
      <c r="G34" s="251">
        <f>F34*F35</f>
        <v>37.06</v>
      </c>
      <c r="H34" s="248">
        <f>SUM(G34:G42)</f>
        <v>80.36</v>
      </c>
      <c r="I34" s="26"/>
      <c r="J34" s="244" t="s">
        <v>57</v>
      </c>
      <c r="K34" s="245" t="s">
        <v>20</v>
      </c>
      <c r="L34" s="244" t="s">
        <v>34</v>
      </c>
      <c r="M34" s="2" t="s">
        <v>22</v>
      </c>
      <c r="N34" s="15">
        <v>63.19</v>
      </c>
      <c r="O34" s="251">
        <f>N34*N35</f>
        <v>126.38</v>
      </c>
      <c r="P34" s="248">
        <f>SUM(O34:O42)</f>
        <v>318.54000000000002</v>
      </c>
    </row>
    <row r="35" spans="2:16">
      <c r="B35" s="244"/>
      <c r="C35" s="245"/>
      <c r="D35" s="244"/>
      <c r="E35" s="2" t="s">
        <v>24</v>
      </c>
      <c r="F35" s="15">
        <v>2</v>
      </c>
      <c r="G35" s="251"/>
      <c r="H35" s="249"/>
      <c r="I35" s="26"/>
      <c r="J35" s="244"/>
      <c r="K35" s="245"/>
      <c r="L35" s="244"/>
      <c r="M35" s="2" t="s">
        <v>24</v>
      </c>
      <c r="N35" s="15">
        <v>2</v>
      </c>
      <c r="O35" s="251"/>
      <c r="P35" s="249"/>
    </row>
    <row r="36" spans="2:16">
      <c r="B36" s="244"/>
      <c r="C36" s="245"/>
      <c r="D36" s="244" t="s">
        <v>35</v>
      </c>
      <c r="E36" s="2" t="s">
        <v>22</v>
      </c>
      <c r="F36" s="15">
        <v>14.78</v>
      </c>
      <c r="G36" s="251">
        <f>F36*F37</f>
        <v>29.56</v>
      </c>
      <c r="H36" s="249"/>
      <c r="I36" s="26"/>
      <c r="J36" s="244"/>
      <c r="K36" s="245"/>
      <c r="L36" s="244" t="s">
        <v>35</v>
      </c>
      <c r="M36" s="2" t="s">
        <v>22</v>
      </c>
      <c r="N36" s="15">
        <v>53.74</v>
      </c>
      <c r="O36" s="251">
        <f>N36*N37</f>
        <v>107.48</v>
      </c>
      <c r="P36" s="249"/>
    </row>
    <row r="37" spans="2:16">
      <c r="B37" s="244"/>
      <c r="C37" s="245"/>
      <c r="D37" s="244"/>
      <c r="E37" s="2" t="s">
        <v>31</v>
      </c>
      <c r="F37" s="15">
        <v>2</v>
      </c>
      <c r="G37" s="251"/>
      <c r="H37" s="249"/>
      <c r="I37" s="26"/>
      <c r="J37" s="244"/>
      <c r="K37" s="245"/>
      <c r="L37" s="244"/>
      <c r="M37" s="2" t="s">
        <v>31</v>
      </c>
      <c r="N37" s="15">
        <v>2</v>
      </c>
      <c r="O37" s="251"/>
      <c r="P37" s="249"/>
    </row>
    <row r="38" spans="2:16">
      <c r="B38" s="244"/>
      <c r="C38" s="252" t="s">
        <v>21</v>
      </c>
      <c r="D38" s="244" t="s">
        <v>36</v>
      </c>
      <c r="E38" s="2" t="s">
        <v>22</v>
      </c>
      <c r="F38" s="14">
        <v>3.43</v>
      </c>
      <c r="G38" s="251">
        <f>F38*F39</f>
        <v>6.86</v>
      </c>
      <c r="H38" s="249"/>
      <c r="I38" s="26"/>
      <c r="J38" s="244"/>
      <c r="K38" s="252" t="s">
        <v>21</v>
      </c>
      <c r="L38" s="244" t="s">
        <v>36</v>
      </c>
      <c r="M38" s="2" t="s">
        <v>22</v>
      </c>
      <c r="N38" s="14">
        <v>21.16</v>
      </c>
      <c r="O38" s="251">
        <f>N38*N39</f>
        <v>42.32</v>
      </c>
      <c r="P38" s="249"/>
    </row>
    <row r="39" spans="2:16">
      <c r="B39" s="244"/>
      <c r="C39" s="252"/>
      <c r="D39" s="244"/>
      <c r="E39" s="2" t="s">
        <v>24</v>
      </c>
      <c r="F39" s="14">
        <v>2</v>
      </c>
      <c r="G39" s="251"/>
      <c r="H39" s="249"/>
      <c r="I39" s="26"/>
      <c r="J39" s="244"/>
      <c r="K39" s="252"/>
      <c r="L39" s="244"/>
      <c r="M39" s="2" t="s">
        <v>24</v>
      </c>
      <c r="N39" s="14">
        <v>2</v>
      </c>
      <c r="O39" s="251"/>
      <c r="P39" s="249"/>
    </row>
    <row r="40" spans="2:16">
      <c r="B40" s="244"/>
      <c r="C40" s="252"/>
      <c r="D40" s="244" t="s">
        <v>35</v>
      </c>
      <c r="E40" s="2" t="s">
        <v>22</v>
      </c>
      <c r="F40" s="14">
        <v>2.2999999999999998</v>
      </c>
      <c r="G40" s="251">
        <f>F40*F41+F42</f>
        <v>6.88</v>
      </c>
      <c r="H40" s="249"/>
      <c r="I40" s="26"/>
      <c r="J40" s="244"/>
      <c r="K40" s="252"/>
      <c r="L40" s="244" t="s">
        <v>35</v>
      </c>
      <c r="M40" s="2" t="s">
        <v>22</v>
      </c>
      <c r="N40" s="14">
        <v>16</v>
      </c>
      <c r="O40" s="251">
        <f>N40*N41+N42</f>
        <v>42.36</v>
      </c>
      <c r="P40" s="249"/>
    </row>
    <row r="41" spans="2:16">
      <c r="B41" s="244"/>
      <c r="C41" s="252"/>
      <c r="D41" s="244"/>
      <c r="E41" s="2" t="s">
        <v>31</v>
      </c>
      <c r="F41" s="14">
        <v>2</v>
      </c>
      <c r="G41" s="251"/>
      <c r="H41" s="249"/>
      <c r="I41" s="26"/>
      <c r="J41" s="244"/>
      <c r="K41" s="252"/>
      <c r="L41" s="244"/>
      <c r="M41" s="2" t="s">
        <v>31</v>
      </c>
      <c r="N41" s="14">
        <v>2</v>
      </c>
      <c r="O41" s="251"/>
      <c r="P41" s="249"/>
    </row>
    <row r="42" spans="2:16" ht="14" customHeight="1">
      <c r="B42" s="244"/>
      <c r="C42" s="252"/>
      <c r="D42" s="244"/>
      <c r="E42" s="2" t="s">
        <v>25</v>
      </c>
      <c r="F42" s="14">
        <f>5.7*0.4</f>
        <v>2.2800000000000002</v>
      </c>
      <c r="G42" s="251"/>
      <c r="H42" s="250"/>
      <c r="I42" s="26"/>
      <c r="J42" s="244"/>
      <c r="K42" s="252"/>
      <c r="L42" s="244"/>
      <c r="M42" s="2" t="s">
        <v>25</v>
      </c>
      <c r="N42" s="14">
        <f>25.9*0.4</f>
        <v>10.36</v>
      </c>
      <c r="O42" s="251"/>
      <c r="P42" s="250"/>
    </row>
    <row r="43" spans="2:16">
      <c r="B43" s="175"/>
      <c r="C43" s="175"/>
      <c r="D43" s="175"/>
      <c r="E43" s="175"/>
      <c r="F43" s="175"/>
      <c r="J43" s="175"/>
      <c r="K43" s="175"/>
      <c r="L43" s="175"/>
      <c r="M43" s="175"/>
      <c r="N43" s="175"/>
    </row>
    <row r="44" spans="2:16">
      <c r="B44" s="243" t="s">
        <v>19</v>
      </c>
      <c r="C44" s="243"/>
      <c r="D44" s="243"/>
      <c r="E44" s="243"/>
      <c r="F44" s="243"/>
      <c r="G44" s="153" t="s">
        <v>30</v>
      </c>
      <c r="H44" s="153" t="s">
        <v>33</v>
      </c>
      <c r="I44" s="26"/>
      <c r="J44" s="243" t="s">
        <v>19</v>
      </c>
      <c r="K44" s="243"/>
      <c r="L44" s="243"/>
      <c r="M44" s="243"/>
      <c r="N44" s="243"/>
      <c r="O44" s="153" t="s">
        <v>30</v>
      </c>
      <c r="P44" s="153" t="s">
        <v>33</v>
      </c>
    </row>
    <row r="45" spans="2:16">
      <c r="B45" s="244" t="s">
        <v>58</v>
      </c>
      <c r="C45" s="245" t="s">
        <v>20</v>
      </c>
      <c r="D45" s="244" t="s">
        <v>34</v>
      </c>
      <c r="E45" s="2" t="s">
        <v>22</v>
      </c>
      <c r="F45" s="15">
        <v>68.599999999999994</v>
      </c>
      <c r="G45" s="251">
        <f>F45*F46</f>
        <v>137.19999999999999</v>
      </c>
      <c r="H45" s="248">
        <f>SUM(G45:G53)</f>
        <v>337.7</v>
      </c>
      <c r="I45" s="26"/>
      <c r="J45" s="244" t="s">
        <v>51</v>
      </c>
      <c r="K45" s="245" t="s">
        <v>20</v>
      </c>
      <c r="L45" s="244" t="s">
        <v>34</v>
      </c>
      <c r="M45" s="2" t="s">
        <v>22</v>
      </c>
      <c r="N45" s="200">
        <v>0</v>
      </c>
      <c r="O45" s="251">
        <f>N45*N46</f>
        <v>0</v>
      </c>
      <c r="P45" s="248">
        <f>SUM(O45:O53)</f>
        <v>17.04</v>
      </c>
    </row>
    <row r="46" spans="2:16">
      <c r="B46" s="244"/>
      <c r="C46" s="245"/>
      <c r="D46" s="244"/>
      <c r="E46" s="2" t="s">
        <v>24</v>
      </c>
      <c r="F46" s="15">
        <v>2</v>
      </c>
      <c r="G46" s="251"/>
      <c r="H46" s="249"/>
      <c r="I46" s="26"/>
      <c r="J46" s="244"/>
      <c r="K46" s="245"/>
      <c r="L46" s="244"/>
      <c r="M46" s="2" t="s">
        <v>24</v>
      </c>
      <c r="N46" s="200">
        <v>2</v>
      </c>
      <c r="O46" s="251"/>
      <c r="P46" s="249"/>
    </row>
    <row r="47" spans="2:16">
      <c r="B47" s="244"/>
      <c r="C47" s="245"/>
      <c r="D47" s="244" t="s">
        <v>35</v>
      </c>
      <c r="E47" s="2" t="s">
        <v>22</v>
      </c>
      <c r="F47" s="15">
        <v>58.46</v>
      </c>
      <c r="G47" s="251">
        <f>F47*F48</f>
        <v>116.92</v>
      </c>
      <c r="H47" s="249"/>
      <c r="I47" s="26"/>
      <c r="J47" s="244"/>
      <c r="K47" s="245"/>
      <c r="L47" s="244" t="s">
        <v>35</v>
      </c>
      <c r="M47" s="2" t="s">
        <v>22</v>
      </c>
      <c r="N47" s="200">
        <v>0</v>
      </c>
      <c r="O47" s="251">
        <f>N47*N48</f>
        <v>0</v>
      </c>
      <c r="P47" s="249"/>
    </row>
    <row r="48" spans="2:16">
      <c r="B48" s="244"/>
      <c r="C48" s="245"/>
      <c r="D48" s="244"/>
      <c r="E48" s="2" t="s">
        <v>31</v>
      </c>
      <c r="F48" s="15">
        <v>2</v>
      </c>
      <c r="G48" s="251"/>
      <c r="H48" s="249"/>
      <c r="I48" s="26"/>
      <c r="J48" s="244"/>
      <c r="K48" s="245"/>
      <c r="L48" s="244"/>
      <c r="M48" s="2" t="s">
        <v>31</v>
      </c>
      <c r="N48" s="200">
        <v>2</v>
      </c>
      <c r="O48" s="251"/>
      <c r="P48" s="249"/>
    </row>
    <row r="49" spans="2:16">
      <c r="B49" s="244"/>
      <c r="C49" s="252" t="s">
        <v>21</v>
      </c>
      <c r="D49" s="244" t="s">
        <v>36</v>
      </c>
      <c r="E49" s="2" t="s">
        <v>22</v>
      </c>
      <c r="F49" s="14">
        <v>20.91</v>
      </c>
      <c r="G49" s="251">
        <f>F49*F50</f>
        <v>41.82</v>
      </c>
      <c r="H49" s="249"/>
      <c r="I49" s="26"/>
      <c r="J49" s="244"/>
      <c r="K49" s="252" t="s">
        <v>21</v>
      </c>
      <c r="L49" s="244" t="s">
        <v>36</v>
      </c>
      <c r="M49" s="2" t="s">
        <v>22</v>
      </c>
      <c r="N49" s="14">
        <v>4.26</v>
      </c>
      <c r="O49" s="251">
        <f>N49*N50</f>
        <v>8.52</v>
      </c>
      <c r="P49" s="249"/>
    </row>
    <row r="50" spans="2:16">
      <c r="B50" s="244"/>
      <c r="C50" s="252"/>
      <c r="D50" s="244"/>
      <c r="E50" s="2" t="s">
        <v>24</v>
      </c>
      <c r="F50" s="15">
        <v>2</v>
      </c>
      <c r="G50" s="251"/>
      <c r="H50" s="249"/>
      <c r="I50" s="26"/>
      <c r="J50" s="244"/>
      <c r="K50" s="252"/>
      <c r="L50" s="244"/>
      <c r="M50" s="2" t="s">
        <v>24</v>
      </c>
      <c r="N50" s="14">
        <v>2</v>
      </c>
      <c r="O50" s="251"/>
      <c r="P50" s="249"/>
    </row>
    <row r="51" spans="2:16">
      <c r="B51" s="244"/>
      <c r="C51" s="252"/>
      <c r="D51" s="244" t="s">
        <v>35</v>
      </c>
      <c r="E51" s="2" t="s">
        <v>22</v>
      </c>
      <c r="F51" s="14">
        <v>16</v>
      </c>
      <c r="G51" s="251">
        <f>F51*F52+F53</f>
        <v>41.76</v>
      </c>
      <c r="H51" s="249"/>
      <c r="I51" s="26"/>
      <c r="J51" s="244"/>
      <c r="K51" s="252"/>
      <c r="L51" s="244" t="s">
        <v>35</v>
      </c>
      <c r="M51" s="2" t="s">
        <v>22</v>
      </c>
      <c r="N51" s="14">
        <v>2.62</v>
      </c>
      <c r="O51" s="251">
        <f>N51*N52+N53</f>
        <v>8.52</v>
      </c>
      <c r="P51" s="249"/>
    </row>
    <row r="52" spans="2:16">
      <c r="B52" s="244"/>
      <c r="C52" s="252"/>
      <c r="D52" s="244"/>
      <c r="E52" s="2" t="s">
        <v>31</v>
      </c>
      <c r="F52" s="15">
        <v>2</v>
      </c>
      <c r="G52" s="251"/>
      <c r="H52" s="249"/>
      <c r="I52" s="26"/>
      <c r="J52" s="244"/>
      <c r="K52" s="252"/>
      <c r="L52" s="244"/>
      <c r="M52" s="2" t="s">
        <v>31</v>
      </c>
      <c r="N52" s="14">
        <v>2</v>
      </c>
      <c r="O52" s="251"/>
      <c r="P52" s="249"/>
    </row>
    <row r="53" spans="2:16" ht="14" customHeight="1">
      <c r="B53" s="244"/>
      <c r="C53" s="252"/>
      <c r="D53" s="244"/>
      <c r="E53" s="2" t="s">
        <v>25</v>
      </c>
      <c r="F53" s="15">
        <f>24.4*0.4</f>
        <v>9.76</v>
      </c>
      <c r="G53" s="251"/>
      <c r="H53" s="250"/>
      <c r="I53" s="26"/>
      <c r="J53" s="244"/>
      <c r="K53" s="252"/>
      <c r="L53" s="244"/>
      <c r="M53" s="2" t="s">
        <v>25</v>
      </c>
      <c r="N53" s="14">
        <f>8.2*0.4</f>
        <v>3.28</v>
      </c>
      <c r="O53" s="251"/>
      <c r="P53" s="250"/>
    </row>
    <row r="54" spans="2:16">
      <c r="B54" s="175"/>
      <c r="C54" s="175"/>
      <c r="D54" s="175"/>
      <c r="E54" s="175"/>
      <c r="F54" s="175"/>
      <c r="J54" s="175"/>
      <c r="K54" s="175"/>
      <c r="L54" s="175"/>
      <c r="M54" s="175"/>
      <c r="N54" s="175"/>
    </row>
    <row r="55" spans="2:16">
      <c r="B55" s="175"/>
      <c r="C55" s="175"/>
      <c r="D55" s="175"/>
      <c r="E55" s="175"/>
      <c r="F55" s="175"/>
      <c r="J55" s="175"/>
      <c r="K55" s="175"/>
      <c r="L55" s="175"/>
      <c r="M55" s="175"/>
      <c r="N55" s="175"/>
    </row>
    <row r="56" spans="2:16">
      <c r="B56" s="243" t="s">
        <v>19</v>
      </c>
      <c r="C56" s="243"/>
      <c r="D56" s="243"/>
      <c r="E56" s="243"/>
      <c r="F56" s="243"/>
      <c r="G56" s="153" t="s">
        <v>30</v>
      </c>
      <c r="H56" s="153" t="s">
        <v>33</v>
      </c>
      <c r="J56" s="243" t="s">
        <v>19</v>
      </c>
      <c r="K56" s="243"/>
      <c r="L56" s="243"/>
      <c r="M56" s="243"/>
      <c r="N56" s="243"/>
      <c r="O56" s="153" t="s">
        <v>30</v>
      </c>
      <c r="P56" s="153" t="s">
        <v>33</v>
      </c>
    </row>
    <row r="57" spans="2:16">
      <c r="B57" s="244" t="s">
        <v>52</v>
      </c>
      <c r="C57" s="245" t="s">
        <v>20</v>
      </c>
      <c r="D57" s="244" t="s">
        <v>34</v>
      </c>
      <c r="E57" s="2" t="s">
        <v>22</v>
      </c>
      <c r="F57" s="200">
        <v>0</v>
      </c>
      <c r="G57" s="251">
        <f>F57*F58</f>
        <v>0</v>
      </c>
      <c r="H57" s="248">
        <f>SUM(G57:G65)</f>
        <v>14.48</v>
      </c>
      <c r="J57" s="244" t="s">
        <v>53</v>
      </c>
      <c r="K57" s="245" t="s">
        <v>20</v>
      </c>
      <c r="L57" s="244" t="s">
        <v>34</v>
      </c>
      <c r="M57" s="2" t="s">
        <v>22</v>
      </c>
      <c r="N57" s="14">
        <v>7.04</v>
      </c>
      <c r="O57" s="251">
        <f>N57*N58</f>
        <v>14.08</v>
      </c>
      <c r="P57" s="248">
        <f>SUM(O57:O65)</f>
        <v>24.96</v>
      </c>
    </row>
    <row r="58" spans="2:16">
      <c r="B58" s="244"/>
      <c r="C58" s="245"/>
      <c r="D58" s="244"/>
      <c r="E58" s="2" t="s">
        <v>24</v>
      </c>
      <c r="F58" s="201">
        <v>2</v>
      </c>
      <c r="G58" s="251"/>
      <c r="H58" s="249"/>
      <c r="J58" s="244"/>
      <c r="K58" s="245"/>
      <c r="L58" s="244"/>
      <c r="M58" s="2" t="s">
        <v>24</v>
      </c>
      <c r="N58" s="15">
        <v>2</v>
      </c>
      <c r="O58" s="251"/>
      <c r="P58" s="249"/>
    </row>
    <row r="59" spans="2:16">
      <c r="B59" s="244"/>
      <c r="C59" s="245"/>
      <c r="D59" s="244" t="s">
        <v>35</v>
      </c>
      <c r="E59" s="2" t="s">
        <v>22</v>
      </c>
      <c r="F59" s="201">
        <v>0</v>
      </c>
      <c r="G59" s="251">
        <f>F59*F60</f>
        <v>0</v>
      </c>
      <c r="H59" s="249"/>
      <c r="J59" s="244"/>
      <c r="K59" s="245"/>
      <c r="L59" s="244" t="s">
        <v>35</v>
      </c>
      <c r="M59" s="2" t="s">
        <v>22</v>
      </c>
      <c r="N59" s="15">
        <v>5.44</v>
      </c>
      <c r="O59" s="251">
        <f>N59*N60</f>
        <v>10.88</v>
      </c>
      <c r="P59" s="249"/>
    </row>
    <row r="60" spans="2:16">
      <c r="B60" s="244"/>
      <c r="C60" s="245"/>
      <c r="D60" s="244"/>
      <c r="E60" s="2" t="s">
        <v>31</v>
      </c>
      <c r="F60" s="201">
        <v>2</v>
      </c>
      <c r="G60" s="251"/>
      <c r="H60" s="249"/>
      <c r="J60" s="244"/>
      <c r="K60" s="245"/>
      <c r="L60" s="244"/>
      <c r="M60" s="2" t="s">
        <v>31</v>
      </c>
      <c r="N60" s="15">
        <v>2</v>
      </c>
      <c r="O60" s="251"/>
      <c r="P60" s="249"/>
    </row>
    <row r="61" spans="2:16">
      <c r="B61" s="244"/>
      <c r="C61" s="252" t="s">
        <v>21</v>
      </c>
      <c r="D61" s="244" t="s">
        <v>36</v>
      </c>
      <c r="E61" s="2" t="s">
        <v>22</v>
      </c>
      <c r="F61" s="14">
        <v>3.62</v>
      </c>
      <c r="G61" s="251">
        <f>F61*F62</f>
        <v>7.24</v>
      </c>
      <c r="H61" s="249"/>
      <c r="J61" s="244"/>
      <c r="K61" s="252" t="s">
        <v>21</v>
      </c>
      <c r="L61" s="244" t="s">
        <v>36</v>
      </c>
      <c r="M61" s="2" t="s">
        <v>22</v>
      </c>
      <c r="N61" s="200">
        <v>0</v>
      </c>
      <c r="O61" s="251">
        <f>N61*N62</f>
        <v>0</v>
      </c>
      <c r="P61" s="249"/>
    </row>
    <row r="62" spans="2:16">
      <c r="B62" s="244"/>
      <c r="C62" s="252"/>
      <c r="D62" s="244"/>
      <c r="E62" s="2" t="s">
        <v>24</v>
      </c>
      <c r="F62" s="14">
        <v>2</v>
      </c>
      <c r="G62" s="251"/>
      <c r="H62" s="249"/>
      <c r="J62" s="244"/>
      <c r="K62" s="252"/>
      <c r="L62" s="244"/>
      <c r="M62" s="2" t="s">
        <v>24</v>
      </c>
      <c r="N62" s="200">
        <v>2</v>
      </c>
      <c r="O62" s="251"/>
      <c r="P62" s="249"/>
    </row>
    <row r="63" spans="2:16">
      <c r="B63" s="244"/>
      <c r="C63" s="252"/>
      <c r="D63" s="244" t="s">
        <v>35</v>
      </c>
      <c r="E63" s="2" t="s">
        <v>22</v>
      </c>
      <c r="F63" s="14">
        <v>2.2200000000000002</v>
      </c>
      <c r="G63" s="251">
        <f>F63*F64+F65</f>
        <v>7.24</v>
      </c>
      <c r="H63" s="249"/>
      <c r="J63" s="244"/>
      <c r="K63" s="252"/>
      <c r="L63" s="244" t="s">
        <v>35</v>
      </c>
      <c r="M63" s="2" t="s">
        <v>22</v>
      </c>
      <c r="N63" s="200">
        <v>0</v>
      </c>
      <c r="O63" s="251">
        <f>N63*N64+N65</f>
        <v>0</v>
      </c>
      <c r="P63" s="249"/>
    </row>
    <row r="64" spans="2:16">
      <c r="B64" s="244"/>
      <c r="C64" s="252"/>
      <c r="D64" s="244"/>
      <c r="E64" s="2" t="s">
        <v>31</v>
      </c>
      <c r="F64" s="14">
        <v>2</v>
      </c>
      <c r="G64" s="251"/>
      <c r="H64" s="249"/>
      <c r="J64" s="244"/>
      <c r="K64" s="252"/>
      <c r="L64" s="244"/>
      <c r="M64" s="2" t="s">
        <v>31</v>
      </c>
      <c r="N64" s="200">
        <v>2</v>
      </c>
      <c r="O64" s="251"/>
      <c r="P64" s="249"/>
    </row>
    <row r="65" spans="2:16" ht="14" customHeight="1">
      <c r="B65" s="244"/>
      <c r="C65" s="252"/>
      <c r="D65" s="244"/>
      <c r="E65" s="2" t="s">
        <v>25</v>
      </c>
      <c r="F65" s="14">
        <f>7*0.4</f>
        <v>2.8000000000000003</v>
      </c>
      <c r="G65" s="251"/>
      <c r="H65" s="250"/>
      <c r="J65" s="244"/>
      <c r="K65" s="252"/>
      <c r="L65" s="244"/>
      <c r="M65" s="2" t="s">
        <v>25</v>
      </c>
      <c r="N65" s="200">
        <v>0</v>
      </c>
      <c r="O65" s="251"/>
      <c r="P65" s="250"/>
    </row>
    <row r="66" spans="2:16">
      <c r="B66" s="175"/>
      <c r="C66" s="175"/>
      <c r="D66" s="175"/>
      <c r="E66" s="175"/>
      <c r="F66" s="175"/>
      <c r="J66" s="175"/>
      <c r="K66" s="175"/>
      <c r="L66" s="175"/>
      <c r="M66" s="175"/>
      <c r="N66" s="175"/>
    </row>
    <row r="67" spans="2:16">
      <c r="B67" s="175"/>
      <c r="C67" s="175"/>
      <c r="D67" s="175"/>
      <c r="E67" s="175"/>
      <c r="F67" s="175"/>
      <c r="J67" s="175"/>
      <c r="K67" s="175"/>
      <c r="L67" s="175"/>
      <c r="M67" s="175"/>
      <c r="N67" s="175"/>
    </row>
    <row r="68" spans="2:16">
      <c r="B68" s="243" t="s">
        <v>19</v>
      </c>
      <c r="C68" s="243"/>
      <c r="D68" s="243"/>
      <c r="E68" s="243"/>
      <c r="F68" s="243"/>
      <c r="G68" s="153" t="s">
        <v>30</v>
      </c>
      <c r="H68" s="153" t="s">
        <v>33</v>
      </c>
      <c r="J68" s="243" t="s">
        <v>19</v>
      </c>
      <c r="K68" s="243"/>
      <c r="L68" s="243"/>
      <c r="M68" s="243"/>
      <c r="N68" s="243"/>
      <c r="O68" s="153" t="s">
        <v>30</v>
      </c>
      <c r="P68" s="153" t="s">
        <v>33</v>
      </c>
    </row>
    <row r="69" spans="2:16">
      <c r="B69" s="244" t="s">
        <v>54</v>
      </c>
      <c r="C69" s="245" t="s">
        <v>20</v>
      </c>
      <c r="D69" s="244" t="s">
        <v>34</v>
      </c>
      <c r="E69" s="2" t="s">
        <v>22</v>
      </c>
      <c r="F69" s="15">
        <v>34.950000000000003</v>
      </c>
      <c r="G69" s="251">
        <f>F69*F70</f>
        <v>69.900000000000006</v>
      </c>
      <c r="H69" s="248">
        <f>SUM(G69:G77)</f>
        <v>150.624</v>
      </c>
      <c r="J69" s="244" t="s">
        <v>326</v>
      </c>
      <c r="K69" s="245" t="s">
        <v>20</v>
      </c>
      <c r="L69" s="244" t="s">
        <v>34</v>
      </c>
      <c r="M69" s="2" t="s">
        <v>22</v>
      </c>
      <c r="N69" s="14">
        <v>27.87</v>
      </c>
      <c r="O69" s="246">
        <f>N69*N70</f>
        <v>55.74</v>
      </c>
      <c r="P69" s="248">
        <f>SUM(O69:O77)</f>
        <v>271.77600000000001</v>
      </c>
    </row>
    <row r="70" spans="2:16">
      <c r="B70" s="244"/>
      <c r="C70" s="245"/>
      <c r="D70" s="244"/>
      <c r="E70" s="2" t="s">
        <v>24</v>
      </c>
      <c r="F70" s="16">
        <v>2</v>
      </c>
      <c r="G70" s="251"/>
      <c r="H70" s="249"/>
      <c r="J70" s="244"/>
      <c r="K70" s="245"/>
      <c r="L70" s="244"/>
      <c r="M70" s="2" t="s">
        <v>24</v>
      </c>
      <c r="N70" s="16">
        <v>2</v>
      </c>
      <c r="O70" s="247"/>
      <c r="P70" s="249"/>
    </row>
    <row r="71" spans="2:16">
      <c r="B71" s="244"/>
      <c r="C71" s="245"/>
      <c r="D71" s="244" t="s">
        <v>35</v>
      </c>
      <c r="E71" s="2" t="s">
        <v>22</v>
      </c>
      <c r="F71" s="16">
        <v>28.67</v>
      </c>
      <c r="G71" s="251">
        <f>F71*F72</f>
        <v>57.34</v>
      </c>
      <c r="H71" s="249"/>
      <c r="J71" s="244"/>
      <c r="K71" s="245"/>
      <c r="L71" s="244" t="s">
        <v>35</v>
      </c>
      <c r="M71" s="2" t="s">
        <v>22</v>
      </c>
      <c r="N71" s="154">
        <v>22.62</v>
      </c>
      <c r="O71" s="251">
        <f>N71*N72</f>
        <v>45.24</v>
      </c>
      <c r="P71" s="249"/>
    </row>
    <row r="72" spans="2:16">
      <c r="B72" s="244"/>
      <c r="C72" s="245"/>
      <c r="D72" s="244"/>
      <c r="E72" s="2" t="s">
        <v>31</v>
      </c>
      <c r="F72" s="16">
        <v>2</v>
      </c>
      <c r="G72" s="251"/>
      <c r="H72" s="249"/>
      <c r="J72" s="244"/>
      <c r="K72" s="245"/>
      <c r="L72" s="244"/>
      <c r="M72" s="2" t="s">
        <v>31</v>
      </c>
      <c r="N72" s="16">
        <v>2</v>
      </c>
      <c r="O72" s="251"/>
      <c r="P72" s="249"/>
    </row>
    <row r="73" spans="2:16">
      <c r="B73" s="244"/>
      <c r="C73" s="252" t="s">
        <v>21</v>
      </c>
      <c r="D73" s="244" t="s">
        <v>36</v>
      </c>
      <c r="E73" s="2" t="s">
        <v>22</v>
      </c>
      <c r="F73" s="14">
        <v>6.07</v>
      </c>
      <c r="G73" s="251">
        <f>F73*F74</f>
        <v>12.14</v>
      </c>
      <c r="H73" s="249"/>
      <c r="J73" s="244"/>
      <c r="K73" s="252" t="s">
        <v>21</v>
      </c>
      <c r="L73" s="244" t="s">
        <v>36</v>
      </c>
      <c r="M73" s="2" t="s">
        <v>22</v>
      </c>
      <c r="N73" s="15">
        <v>42.7</v>
      </c>
      <c r="O73" s="251">
        <f>N73*N74</f>
        <v>85.4</v>
      </c>
      <c r="P73" s="249"/>
    </row>
    <row r="74" spans="2:16">
      <c r="B74" s="244"/>
      <c r="C74" s="252"/>
      <c r="D74" s="244"/>
      <c r="E74" s="2" t="s">
        <v>24</v>
      </c>
      <c r="F74" s="14">
        <v>2</v>
      </c>
      <c r="G74" s="251"/>
      <c r="H74" s="249"/>
      <c r="J74" s="244"/>
      <c r="K74" s="252"/>
      <c r="L74" s="244"/>
      <c r="M74" s="2" t="s">
        <v>24</v>
      </c>
      <c r="N74" s="15">
        <v>2</v>
      </c>
      <c r="O74" s="251"/>
      <c r="P74" s="249"/>
    </row>
    <row r="75" spans="2:16">
      <c r="B75" s="244"/>
      <c r="C75" s="252"/>
      <c r="D75" s="244" t="s">
        <v>35</v>
      </c>
      <c r="E75" s="2" t="s">
        <v>22</v>
      </c>
      <c r="F75" s="14">
        <v>4.33</v>
      </c>
      <c r="G75" s="251">
        <f>F75*F76+F77</f>
        <v>11.244</v>
      </c>
      <c r="H75" s="249"/>
      <c r="J75" s="244"/>
      <c r="K75" s="252"/>
      <c r="L75" s="244" t="s">
        <v>35</v>
      </c>
      <c r="M75" s="2" t="s">
        <v>22</v>
      </c>
      <c r="N75" s="15">
        <v>31.37</v>
      </c>
      <c r="O75" s="251">
        <f>N75*N76+N77</f>
        <v>85.396000000000001</v>
      </c>
      <c r="P75" s="249"/>
    </row>
    <row r="76" spans="2:16">
      <c r="B76" s="244"/>
      <c r="C76" s="252"/>
      <c r="D76" s="244"/>
      <c r="E76" s="2" t="s">
        <v>31</v>
      </c>
      <c r="F76" s="14">
        <v>2</v>
      </c>
      <c r="G76" s="251"/>
      <c r="H76" s="249"/>
      <c r="J76" s="244"/>
      <c r="K76" s="252"/>
      <c r="L76" s="244"/>
      <c r="M76" s="2" t="s">
        <v>31</v>
      </c>
      <c r="N76" s="15">
        <v>2</v>
      </c>
      <c r="O76" s="251"/>
      <c r="P76" s="249"/>
    </row>
    <row r="77" spans="2:16" ht="14" customHeight="1">
      <c r="B77" s="244"/>
      <c r="C77" s="252"/>
      <c r="D77" s="244"/>
      <c r="E77" s="2" t="s">
        <v>25</v>
      </c>
      <c r="F77" s="14">
        <f>6.46*0.4</f>
        <v>2.5840000000000001</v>
      </c>
      <c r="G77" s="251"/>
      <c r="H77" s="250"/>
      <c r="J77" s="244"/>
      <c r="K77" s="252"/>
      <c r="L77" s="244"/>
      <c r="M77" s="2" t="s">
        <v>25</v>
      </c>
      <c r="N77" s="15">
        <f>56.64*0.4</f>
        <v>22.656000000000002</v>
      </c>
      <c r="O77" s="251"/>
      <c r="P77" s="250"/>
    </row>
    <row r="78" spans="2:16">
      <c r="B78" s="175"/>
      <c r="C78" s="175"/>
      <c r="D78" s="175"/>
      <c r="E78" s="175"/>
      <c r="F78" s="175"/>
    </row>
    <row r="79" spans="2:16">
      <c r="B79" s="175"/>
      <c r="C79" s="175"/>
      <c r="D79" s="175"/>
      <c r="E79" s="175"/>
      <c r="F79" s="175"/>
    </row>
  </sheetData>
  <mergeCells count="162">
    <mergeCell ref="B2:P2"/>
    <mergeCell ref="C3:P3"/>
    <mergeCell ref="C6:P6"/>
    <mergeCell ref="G73:G74"/>
    <mergeCell ref="D75:D77"/>
    <mergeCell ref="G75:G77"/>
    <mergeCell ref="D71:D72"/>
    <mergeCell ref="G71:G72"/>
    <mergeCell ref="O63:O65"/>
    <mergeCell ref="B68:F68"/>
    <mergeCell ref="D59:D60"/>
    <mergeCell ref="G59:G60"/>
    <mergeCell ref="L59:L60"/>
    <mergeCell ref="O59:O60"/>
    <mergeCell ref="C61:C65"/>
    <mergeCell ref="D61:D62"/>
    <mergeCell ref="G61:G62"/>
    <mergeCell ref="K61:K65"/>
    <mergeCell ref="L61:L62"/>
    <mergeCell ref="O61:O62"/>
    <mergeCell ref="B69:B77"/>
    <mergeCell ref="C69:C72"/>
    <mergeCell ref="D69:D70"/>
    <mergeCell ref="G69:G70"/>
    <mergeCell ref="K57:K60"/>
    <mergeCell ref="L57:L58"/>
    <mergeCell ref="C49:C53"/>
    <mergeCell ref="D49:D50"/>
    <mergeCell ref="G49:G50"/>
    <mergeCell ref="K49:K53"/>
    <mergeCell ref="L49:L50"/>
    <mergeCell ref="B56:F56"/>
    <mergeCell ref="J56:N56"/>
    <mergeCell ref="B57:B65"/>
    <mergeCell ref="C57:C60"/>
    <mergeCell ref="D57:D58"/>
    <mergeCell ref="G57:G58"/>
    <mergeCell ref="J57:J65"/>
    <mergeCell ref="D63:D65"/>
    <mergeCell ref="G63:G65"/>
    <mergeCell ref="L63:L65"/>
    <mergeCell ref="C73:C77"/>
    <mergeCell ref="D73:D74"/>
    <mergeCell ref="O57:O58"/>
    <mergeCell ref="B34:B42"/>
    <mergeCell ref="C34:C37"/>
    <mergeCell ref="D34:D35"/>
    <mergeCell ref="G34:G35"/>
    <mergeCell ref="J34:J42"/>
    <mergeCell ref="C38:C42"/>
    <mergeCell ref="L47:L48"/>
    <mergeCell ref="O47:O48"/>
    <mergeCell ref="B45:B53"/>
    <mergeCell ref="C45:C48"/>
    <mergeCell ref="D45:D46"/>
    <mergeCell ref="G45:G46"/>
    <mergeCell ref="O49:O50"/>
    <mergeCell ref="D51:D53"/>
    <mergeCell ref="G51:G53"/>
    <mergeCell ref="J45:J53"/>
    <mergeCell ref="D47:D48"/>
    <mergeCell ref="G47:G48"/>
    <mergeCell ref="L51:L53"/>
    <mergeCell ref="O51:O53"/>
    <mergeCell ref="K45:K48"/>
    <mergeCell ref="C23:C26"/>
    <mergeCell ref="D23:D24"/>
    <mergeCell ref="G23:G24"/>
    <mergeCell ref="J23:J31"/>
    <mergeCell ref="K23:K26"/>
    <mergeCell ref="L23:L24"/>
    <mergeCell ref="O25:O26"/>
    <mergeCell ref="D27:D28"/>
    <mergeCell ref="G27:G28"/>
    <mergeCell ref="L27:L28"/>
    <mergeCell ref="O27:O28"/>
    <mergeCell ref="H23:H31"/>
    <mergeCell ref="L40:L42"/>
    <mergeCell ref="O40:O42"/>
    <mergeCell ref="B44:F44"/>
    <mergeCell ref="J44:N44"/>
    <mergeCell ref="L18:L20"/>
    <mergeCell ref="O18:O20"/>
    <mergeCell ref="B8:P9"/>
    <mergeCell ref="B11:F11"/>
    <mergeCell ref="J11:N11"/>
    <mergeCell ref="B12:B20"/>
    <mergeCell ref="C12:C15"/>
    <mergeCell ref="D12:D13"/>
    <mergeCell ref="G12:G13"/>
    <mergeCell ref="H12:H20"/>
    <mergeCell ref="P12:P20"/>
    <mergeCell ref="C27:C31"/>
    <mergeCell ref="K27:K31"/>
    <mergeCell ref="D29:D31"/>
    <mergeCell ref="G29:G31"/>
    <mergeCell ref="L29:L31"/>
    <mergeCell ref="O29:O31"/>
    <mergeCell ref="B22:F22"/>
    <mergeCell ref="J22:N22"/>
    <mergeCell ref="B23:B31"/>
    <mergeCell ref="G14:G15"/>
    <mergeCell ref="L14:L15"/>
    <mergeCell ref="O12:O13"/>
    <mergeCell ref="O23:O24"/>
    <mergeCell ref="C16:C20"/>
    <mergeCell ref="K16:K20"/>
    <mergeCell ref="D18:D20"/>
    <mergeCell ref="G18:G20"/>
    <mergeCell ref="L45:L46"/>
    <mergeCell ref="O45:O46"/>
    <mergeCell ref="O36:O37"/>
    <mergeCell ref="D38:D39"/>
    <mergeCell ref="G38:G39"/>
    <mergeCell ref="L38:L39"/>
    <mergeCell ref="O38:O39"/>
    <mergeCell ref="K34:K37"/>
    <mergeCell ref="L34:L35"/>
    <mergeCell ref="O34:O35"/>
    <mergeCell ref="D36:D37"/>
    <mergeCell ref="G36:G37"/>
    <mergeCell ref="L36:L37"/>
    <mergeCell ref="K38:K42"/>
    <mergeCell ref="D40:D42"/>
    <mergeCell ref="G40:G42"/>
    <mergeCell ref="P23:P31"/>
    <mergeCell ref="H34:H42"/>
    <mergeCell ref="P34:P42"/>
    <mergeCell ref="H45:H53"/>
    <mergeCell ref="P45:P53"/>
    <mergeCell ref="H57:H65"/>
    <mergeCell ref="P57:P65"/>
    <mergeCell ref="H69:H77"/>
    <mergeCell ref="C4:P4"/>
    <mergeCell ref="C5:P5"/>
    <mergeCell ref="B33:F33"/>
    <mergeCell ref="J33:N33"/>
    <mergeCell ref="D25:D26"/>
    <mergeCell ref="G25:G26"/>
    <mergeCell ref="L25:L26"/>
    <mergeCell ref="O14:O15"/>
    <mergeCell ref="D16:D17"/>
    <mergeCell ref="G16:G17"/>
    <mergeCell ref="L16:L17"/>
    <mergeCell ref="O16:O17"/>
    <mergeCell ref="J12:J20"/>
    <mergeCell ref="K12:K15"/>
    <mergeCell ref="L12:L13"/>
    <mergeCell ref="D14:D15"/>
    <mergeCell ref="J68:N68"/>
    <mergeCell ref="J69:J77"/>
    <mergeCell ref="K69:K72"/>
    <mergeCell ref="L69:L70"/>
    <mergeCell ref="O69:O70"/>
    <mergeCell ref="P69:P77"/>
    <mergeCell ref="L71:L72"/>
    <mergeCell ref="O71:O72"/>
    <mergeCell ref="K73:K77"/>
    <mergeCell ref="L73:L74"/>
    <mergeCell ref="O73:O74"/>
    <mergeCell ref="L75:L77"/>
    <mergeCell ref="O75:O77"/>
  </mergeCells>
  <pageMargins left="0.35433070866141736" right="0.11811023622047245" top="1.1417322834645669" bottom="0.35433070866141736" header="0.19685039370078741" footer="0.31496062992125984"/>
  <pageSetup paperSize="9" scale="46" orientation="portrait" r:id="rId1"/>
  <headerFooter>
    <oddHeader>&amp;C&amp;G</oddHeader>
  </headerFooter>
  <rowBreaks count="1" manualBreakCount="1">
    <brk id="80" max="15"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23A9E-DACD-42D0-8A80-D36F342B9A11}">
  <sheetPr>
    <tabColor rgb="FFFF0000"/>
  </sheetPr>
  <dimension ref="B1:R58"/>
  <sheetViews>
    <sheetView view="pageBreakPreview" topLeftCell="A22" zoomScaleNormal="115" zoomScaleSheetLayoutView="100" workbookViewId="0">
      <selection activeCell="T20" sqref="T20"/>
    </sheetView>
  </sheetViews>
  <sheetFormatPr baseColWidth="10" defaultRowHeight="15.5"/>
  <cols>
    <col min="1" max="1" width="3.453125" style="6" customWidth="1"/>
    <col min="2" max="2" width="19.1796875" style="6" customWidth="1"/>
    <col min="3" max="3" width="16.26953125" style="6" customWidth="1"/>
    <col min="4" max="4" width="13.08984375" style="6" customWidth="1"/>
    <col min="5" max="5" width="12.90625" style="6" customWidth="1"/>
    <col min="6" max="6" width="8.7265625" style="6" customWidth="1"/>
    <col min="7" max="7" width="12.08984375" style="6" customWidth="1"/>
    <col min="8" max="8" width="8.54296875" style="6" customWidth="1"/>
    <col min="9" max="9" width="7.81640625" style="6" customWidth="1"/>
    <col min="10" max="10" width="12.08984375" style="6" customWidth="1"/>
    <col min="11" max="11" width="9.6328125" style="6" customWidth="1"/>
    <col min="12" max="12" width="8.453125" style="6" customWidth="1"/>
    <col min="13" max="13" width="12.26953125" style="6" customWidth="1"/>
    <col min="14" max="14" width="10.1796875" style="6" customWidth="1"/>
    <col min="15" max="15" width="8.36328125" style="6" customWidth="1"/>
    <col min="16" max="16384" width="10.90625" style="6"/>
  </cols>
  <sheetData>
    <row r="1" spans="2:18" ht="14.5" customHeight="1">
      <c r="B1" s="62"/>
      <c r="C1" s="62"/>
      <c r="D1" s="62"/>
      <c r="E1" s="62"/>
      <c r="F1" s="62"/>
      <c r="G1" s="62"/>
      <c r="H1" s="62"/>
      <c r="I1" s="62"/>
      <c r="J1" s="62"/>
      <c r="K1" s="62"/>
      <c r="L1" s="62"/>
      <c r="M1" s="62"/>
      <c r="N1" s="62"/>
      <c r="O1" s="62"/>
      <c r="P1" s="62"/>
      <c r="Q1" s="62"/>
      <c r="R1" s="62"/>
    </row>
    <row r="2" spans="2:18" ht="24.5" customHeight="1">
      <c r="B2" s="267" t="s">
        <v>195</v>
      </c>
      <c r="C2" s="268"/>
      <c r="D2" s="268"/>
      <c r="E2" s="268"/>
      <c r="F2" s="268"/>
      <c r="G2" s="268"/>
      <c r="H2" s="268"/>
      <c r="I2" s="268"/>
      <c r="J2" s="268"/>
      <c r="K2" s="268"/>
      <c r="L2" s="268"/>
      <c r="M2" s="268"/>
      <c r="N2" s="268"/>
      <c r="O2" s="268"/>
      <c r="P2" s="268"/>
      <c r="Q2" s="268"/>
      <c r="R2" s="268"/>
    </row>
    <row r="3" spans="2:18" ht="21" customHeight="1">
      <c r="B3" s="98" t="s">
        <v>42</v>
      </c>
      <c r="C3" s="205" t="str">
        <f>+RESUMEN!B4</f>
        <v>GERENCIA TERRITORIAL BAJO MAYO - TARAPOTO</v>
      </c>
      <c r="D3" s="205"/>
      <c r="E3" s="205"/>
      <c r="F3" s="205"/>
      <c r="G3" s="205"/>
      <c r="H3" s="205"/>
      <c r="I3" s="205"/>
      <c r="J3" s="205"/>
      <c r="K3" s="205"/>
      <c r="L3" s="205"/>
      <c r="M3" s="205"/>
      <c r="N3" s="205"/>
      <c r="O3" s="205"/>
      <c r="P3" s="205"/>
      <c r="Q3" s="205"/>
      <c r="R3" s="205"/>
    </row>
    <row r="4" spans="2:18" ht="42" customHeight="1">
      <c r="B4" s="98" t="s">
        <v>39</v>
      </c>
      <c r="C4" s="205"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D4" s="205"/>
      <c r="E4" s="205"/>
      <c r="F4" s="205"/>
      <c r="G4" s="205"/>
      <c r="H4" s="205"/>
      <c r="I4" s="205"/>
      <c r="J4" s="205"/>
      <c r="K4" s="205"/>
      <c r="L4" s="205"/>
      <c r="M4" s="205"/>
      <c r="N4" s="205"/>
      <c r="O4" s="205"/>
      <c r="P4" s="205"/>
      <c r="Q4" s="205"/>
      <c r="R4" s="205"/>
    </row>
    <row r="5" spans="2:18" ht="31" customHeight="1">
      <c r="B5" s="98" t="s">
        <v>43</v>
      </c>
      <c r="C5" s="205" t="str">
        <f>+RESUMEN!B6</f>
        <v>SAN MARTIN - SAN MARTIN - MORALES</v>
      </c>
      <c r="D5" s="205"/>
      <c r="E5" s="205"/>
      <c r="F5" s="205"/>
      <c r="G5" s="205"/>
      <c r="H5" s="205"/>
      <c r="I5" s="205"/>
      <c r="J5" s="205"/>
      <c r="K5" s="205"/>
      <c r="L5" s="205"/>
      <c r="M5" s="205"/>
      <c r="N5" s="205"/>
      <c r="O5" s="205"/>
      <c r="P5" s="205"/>
      <c r="Q5" s="205"/>
      <c r="R5" s="205"/>
    </row>
    <row r="6" spans="2:18" ht="19" customHeight="1">
      <c r="B6" s="98" t="s">
        <v>40</v>
      </c>
      <c r="C6" s="204">
        <f>+RESUMEN!B7</f>
        <v>46266</v>
      </c>
      <c r="D6" s="205"/>
      <c r="E6" s="205"/>
      <c r="F6" s="205"/>
      <c r="G6" s="205"/>
      <c r="H6" s="205"/>
      <c r="I6" s="205"/>
      <c r="J6" s="205"/>
      <c r="K6" s="205"/>
      <c r="L6" s="205"/>
      <c r="M6" s="205"/>
      <c r="N6" s="205"/>
      <c r="O6" s="205"/>
      <c r="P6" s="205"/>
      <c r="Q6" s="205"/>
      <c r="R6" s="205"/>
    </row>
    <row r="7" spans="2:18">
      <c r="B7" s="63"/>
      <c r="C7" s="269"/>
      <c r="D7" s="269"/>
      <c r="E7" s="269"/>
      <c r="F7" s="269"/>
      <c r="G7" s="269"/>
      <c r="H7" s="269"/>
      <c r="I7" s="269"/>
      <c r="J7" s="269"/>
      <c r="K7" s="269"/>
      <c r="L7" s="269"/>
      <c r="M7" s="269"/>
      <c r="N7" s="269"/>
      <c r="O7" s="269"/>
      <c r="P7" s="269"/>
      <c r="Q7" s="269"/>
      <c r="R7" s="269"/>
    </row>
    <row r="9" spans="2:18" ht="16.5" customHeight="1">
      <c r="C9" s="224" t="s">
        <v>72</v>
      </c>
      <c r="D9" s="224" t="s">
        <v>76</v>
      </c>
      <c r="E9" s="224"/>
      <c r="F9" s="224"/>
      <c r="G9" s="224" t="s">
        <v>75</v>
      </c>
      <c r="H9" s="224"/>
      <c r="I9" s="224"/>
      <c r="J9" s="224" t="s">
        <v>73</v>
      </c>
      <c r="K9" s="224"/>
      <c r="L9" s="224"/>
      <c r="M9" s="224" t="s">
        <v>74</v>
      </c>
      <c r="N9" s="224"/>
      <c r="O9" s="224"/>
      <c r="P9" s="224" t="s">
        <v>93</v>
      </c>
      <c r="Q9" s="224"/>
      <c r="R9" s="224"/>
    </row>
    <row r="10" spans="2:18" ht="31">
      <c r="C10" s="224"/>
      <c r="D10" s="18" t="s">
        <v>17</v>
      </c>
      <c r="E10" s="18" t="s">
        <v>27</v>
      </c>
      <c r="F10" s="7" t="s">
        <v>77</v>
      </c>
      <c r="G10" s="18" t="s">
        <v>31</v>
      </c>
      <c r="H10" s="18" t="s">
        <v>17</v>
      </c>
      <c r="I10" s="7" t="s">
        <v>78</v>
      </c>
      <c r="J10" s="18" t="s">
        <v>31</v>
      </c>
      <c r="K10" s="18" t="s">
        <v>17</v>
      </c>
      <c r="L10" s="7" t="s">
        <v>78</v>
      </c>
      <c r="M10" s="18" t="s">
        <v>31</v>
      </c>
      <c r="N10" s="18" t="s">
        <v>17</v>
      </c>
      <c r="O10" s="7" t="s">
        <v>78</v>
      </c>
      <c r="P10" s="18" t="s">
        <v>31</v>
      </c>
      <c r="Q10" s="18" t="s">
        <v>17</v>
      </c>
      <c r="R10" s="7" t="s">
        <v>78</v>
      </c>
    </row>
    <row r="11" spans="2:18" ht="23.5" customHeight="1">
      <c r="B11" s="8" t="s">
        <v>59</v>
      </c>
      <c r="C11" s="1"/>
      <c r="D11" s="1"/>
      <c r="E11" s="1"/>
      <c r="F11" s="10"/>
      <c r="G11" s="1"/>
      <c r="H11" s="1"/>
      <c r="I11" s="10"/>
      <c r="J11" s="1"/>
      <c r="K11" s="1"/>
      <c r="L11" s="10"/>
      <c r="M11" s="1"/>
      <c r="N11" s="1"/>
      <c r="O11" s="10"/>
    </row>
    <row r="12" spans="2:18" ht="23.5" customHeight="1">
      <c r="B12" s="11" t="s">
        <v>88</v>
      </c>
      <c r="C12" s="1"/>
      <c r="D12" s="1"/>
      <c r="E12" s="1"/>
      <c r="F12" s="7">
        <f t="shared" ref="F12:F19" si="0">E12*D12</f>
        <v>0</v>
      </c>
      <c r="G12" s="1"/>
      <c r="H12" s="1"/>
      <c r="I12" s="7">
        <f t="shared" ref="I12:I19" si="1">H12*G12</f>
        <v>0</v>
      </c>
      <c r="J12" s="1"/>
      <c r="K12" s="1"/>
      <c r="L12" s="7">
        <f t="shared" ref="L12:L13" si="2">K12*J12</f>
        <v>0</v>
      </c>
      <c r="M12" s="1"/>
      <c r="N12" s="1"/>
      <c r="O12" s="7">
        <f t="shared" ref="O12:O13" si="3">N12*M12</f>
        <v>0</v>
      </c>
      <c r="P12" s="21"/>
      <c r="Q12" s="21"/>
      <c r="R12" s="23">
        <f>Q12*P12</f>
        <v>0</v>
      </c>
    </row>
    <row r="13" spans="2:18" ht="23.5" customHeight="1">
      <c r="B13" s="11" t="s">
        <v>89</v>
      </c>
      <c r="C13" s="1"/>
      <c r="D13" s="1"/>
      <c r="E13" s="1"/>
      <c r="F13" s="7">
        <f t="shared" si="0"/>
        <v>0</v>
      </c>
      <c r="G13" s="1"/>
      <c r="H13" s="1"/>
      <c r="I13" s="7">
        <f t="shared" si="1"/>
        <v>0</v>
      </c>
      <c r="J13" s="1"/>
      <c r="K13" s="1"/>
      <c r="L13" s="7">
        <f t="shared" si="2"/>
        <v>0</v>
      </c>
      <c r="M13" s="1"/>
      <c r="N13" s="1"/>
      <c r="O13" s="7">
        <f t="shared" si="3"/>
        <v>0</v>
      </c>
      <c r="P13" s="21"/>
      <c r="Q13" s="21"/>
      <c r="R13" s="23">
        <f>Q13*P13</f>
        <v>0</v>
      </c>
    </row>
    <row r="14" spans="2:18" ht="23.5" customHeight="1">
      <c r="B14" s="8" t="s">
        <v>60</v>
      </c>
      <c r="C14" s="1"/>
      <c r="D14" s="1"/>
      <c r="E14" s="1"/>
      <c r="F14" s="10"/>
      <c r="G14" s="1"/>
      <c r="H14" s="1"/>
      <c r="I14" s="10"/>
      <c r="J14" s="1"/>
      <c r="K14" s="1"/>
      <c r="L14" s="10"/>
      <c r="M14" s="1"/>
      <c r="N14" s="1"/>
      <c r="O14" s="10"/>
      <c r="P14" s="21"/>
      <c r="Q14" s="21"/>
      <c r="R14" s="24"/>
    </row>
    <row r="15" spans="2:18" ht="23.5" customHeight="1">
      <c r="B15" s="11" t="s">
        <v>88</v>
      </c>
      <c r="C15" s="1"/>
      <c r="D15" s="1"/>
      <c r="E15" s="1"/>
      <c r="F15" s="7">
        <f t="shared" si="0"/>
        <v>0</v>
      </c>
      <c r="G15" s="1"/>
      <c r="H15" s="1"/>
      <c r="I15" s="7">
        <f t="shared" si="1"/>
        <v>0</v>
      </c>
      <c r="J15" s="1"/>
      <c r="K15" s="1"/>
      <c r="L15" s="7">
        <f t="shared" ref="L15:L16" si="4">K15*J15</f>
        <v>0</v>
      </c>
      <c r="M15" s="1"/>
      <c r="N15" s="1"/>
      <c r="O15" s="7">
        <f t="shared" ref="O15:O16" si="5">N15*M15</f>
        <v>0</v>
      </c>
      <c r="P15" s="21"/>
      <c r="Q15" s="21"/>
      <c r="R15" s="23">
        <f>Q15*P15</f>
        <v>0</v>
      </c>
    </row>
    <row r="16" spans="2:18" ht="23.5" customHeight="1">
      <c r="B16" s="11" t="s">
        <v>89</v>
      </c>
      <c r="C16" s="1"/>
      <c r="D16" s="1"/>
      <c r="E16" s="1"/>
      <c r="F16" s="7">
        <f t="shared" si="0"/>
        <v>0</v>
      </c>
      <c r="G16" s="1"/>
      <c r="H16" s="1"/>
      <c r="I16" s="7">
        <f t="shared" si="1"/>
        <v>0</v>
      </c>
      <c r="J16" s="1"/>
      <c r="K16" s="1"/>
      <c r="L16" s="7">
        <f t="shared" si="4"/>
        <v>0</v>
      </c>
      <c r="M16" s="1"/>
      <c r="N16" s="1"/>
      <c r="O16" s="7">
        <f t="shared" si="5"/>
        <v>0</v>
      </c>
      <c r="P16" s="21"/>
      <c r="Q16" s="21"/>
      <c r="R16" s="23">
        <f>Q16*P16</f>
        <v>0</v>
      </c>
    </row>
    <row r="17" spans="2:18" ht="23.5" customHeight="1">
      <c r="B17" s="8" t="s">
        <v>61</v>
      </c>
      <c r="C17" s="1"/>
      <c r="D17" s="1"/>
      <c r="E17" s="1"/>
      <c r="F17" s="10"/>
      <c r="G17" s="1"/>
      <c r="H17" s="1"/>
      <c r="I17" s="10"/>
      <c r="J17" s="1"/>
      <c r="K17" s="12"/>
      <c r="L17" s="10"/>
      <c r="M17" s="1"/>
      <c r="N17" s="1"/>
      <c r="O17" s="10"/>
      <c r="P17" s="21"/>
      <c r="Q17" s="21"/>
      <c r="R17" s="24"/>
    </row>
    <row r="18" spans="2:18" ht="23.5" customHeight="1">
      <c r="B18" s="11" t="s">
        <v>88</v>
      </c>
      <c r="C18" s="1"/>
      <c r="D18" s="1"/>
      <c r="E18" s="1"/>
      <c r="F18" s="7">
        <f t="shared" si="0"/>
        <v>0</v>
      </c>
      <c r="G18" s="1"/>
      <c r="H18" s="1"/>
      <c r="I18" s="7">
        <f t="shared" si="1"/>
        <v>0</v>
      </c>
      <c r="J18" s="1"/>
      <c r="K18" s="1"/>
      <c r="L18" s="7">
        <f t="shared" ref="L18:L19" si="6">K18*J18</f>
        <v>0</v>
      </c>
      <c r="M18" s="1"/>
      <c r="N18" s="1"/>
      <c r="O18" s="7">
        <f t="shared" ref="O18:O19" si="7">N18*M18</f>
        <v>0</v>
      </c>
      <c r="P18" s="21"/>
      <c r="Q18" s="21"/>
      <c r="R18" s="23">
        <f>Q18*P18</f>
        <v>0</v>
      </c>
    </row>
    <row r="19" spans="2:18" ht="23.5" customHeight="1">
      <c r="B19" s="11" t="s">
        <v>89</v>
      </c>
      <c r="C19" s="1"/>
      <c r="D19" s="1"/>
      <c r="E19" s="1"/>
      <c r="F19" s="7">
        <f t="shared" si="0"/>
        <v>0</v>
      </c>
      <c r="G19" s="1"/>
      <c r="H19" s="1"/>
      <c r="I19" s="7">
        <f t="shared" si="1"/>
        <v>0</v>
      </c>
      <c r="J19" s="1"/>
      <c r="K19" s="1"/>
      <c r="L19" s="7">
        <f t="shared" si="6"/>
        <v>0</v>
      </c>
      <c r="M19" s="1"/>
      <c r="N19" s="1"/>
      <c r="O19" s="7">
        <f t="shared" si="7"/>
        <v>0</v>
      </c>
      <c r="P19" s="21"/>
      <c r="Q19" s="21"/>
      <c r="R19" s="23">
        <f>Q19*P19</f>
        <v>0</v>
      </c>
    </row>
    <row r="20" spans="2:18" ht="23.5" customHeight="1">
      <c r="B20" s="8" t="s">
        <v>62</v>
      </c>
      <c r="C20" s="1"/>
      <c r="D20" s="1"/>
      <c r="E20" s="1"/>
      <c r="F20" s="10"/>
      <c r="G20" s="1"/>
      <c r="H20" s="1"/>
      <c r="I20" s="10"/>
      <c r="J20" s="1"/>
      <c r="K20" s="1"/>
      <c r="L20" s="10"/>
      <c r="M20" s="1"/>
      <c r="N20" s="1"/>
      <c r="O20" s="10"/>
      <c r="P20" s="21"/>
      <c r="Q20" s="21"/>
      <c r="R20" s="24"/>
    </row>
    <row r="21" spans="2:18" ht="23.5" customHeight="1">
      <c r="B21" s="11" t="s">
        <v>88</v>
      </c>
      <c r="C21" s="1"/>
      <c r="D21" s="1"/>
      <c r="E21" s="1"/>
      <c r="F21" s="7">
        <f t="shared" ref="F21:F22" si="8">E21*D21</f>
        <v>0</v>
      </c>
      <c r="G21" s="1"/>
      <c r="H21" s="1"/>
      <c r="I21" s="7">
        <f>H21*G21</f>
        <v>0</v>
      </c>
      <c r="J21" s="1"/>
      <c r="K21" s="1"/>
      <c r="L21" s="7">
        <f>K21*J21</f>
        <v>0</v>
      </c>
      <c r="M21" s="1"/>
      <c r="N21" s="1"/>
      <c r="O21" s="7">
        <f t="shared" ref="O21:O22" si="9">N21*M21</f>
        <v>0</v>
      </c>
      <c r="P21" s="21"/>
      <c r="Q21" s="21"/>
      <c r="R21" s="23">
        <f>Q21*P21</f>
        <v>0</v>
      </c>
    </row>
    <row r="22" spans="2:18" ht="23.5" customHeight="1">
      <c r="B22" s="11" t="s">
        <v>89</v>
      </c>
      <c r="C22" s="1"/>
      <c r="D22" s="1"/>
      <c r="E22" s="1"/>
      <c r="F22" s="7">
        <f t="shared" si="8"/>
        <v>0</v>
      </c>
      <c r="G22" s="1"/>
      <c r="H22" s="1"/>
      <c r="I22" s="7">
        <f>H22*G22</f>
        <v>0</v>
      </c>
      <c r="J22" s="1"/>
      <c r="K22" s="1"/>
      <c r="L22" s="7">
        <f t="shared" ref="L22" si="10">K22*J22</f>
        <v>0</v>
      </c>
      <c r="M22" s="1"/>
      <c r="N22" s="1"/>
      <c r="O22" s="7">
        <f t="shared" si="9"/>
        <v>0</v>
      </c>
      <c r="P22" s="21"/>
      <c r="Q22" s="21"/>
      <c r="R22" s="23">
        <f>Q22*P22</f>
        <v>0</v>
      </c>
    </row>
    <row r="23" spans="2:18" ht="23.5" customHeight="1">
      <c r="B23" s="8" t="s">
        <v>63</v>
      </c>
      <c r="C23" s="1"/>
      <c r="D23" s="1"/>
      <c r="E23" s="1"/>
      <c r="F23" s="10"/>
      <c r="G23" s="1"/>
      <c r="H23" s="1"/>
      <c r="I23" s="10"/>
      <c r="J23" s="1"/>
      <c r="K23" s="1"/>
      <c r="L23" s="10"/>
      <c r="M23" s="1"/>
      <c r="N23" s="1"/>
      <c r="O23" s="10"/>
      <c r="P23" s="21"/>
      <c r="Q23" s="21"/>
      <c r="R23" s="24"/>
    </row>
    <row r="24" spans="2:18" ht="23.5" customHeight="1">
      <c r="B24" s="11" t="s">
        <v>88</v>
      </c>
      <c r="C24" s="1"/>
      <c r="D24" s="1"/>
      <c r="E24" s="1"/>
      <c r="F24" s="7">
        <f t="shared" ref="F24:F25" si="11">E24*D24</f>
        <v>0</v>
      </c>
      <c r="G24" s="1"/>
      <c r="H24" s="1"/>
      <c r="I24" s="7">
        <f>H24*G24</f>
        <v>0</v>
      </c>
      <c r="J24" s="1"/>
      <c r="K24" s="1"/>
      <c r="L24" s="7">
        <f t="shared" ref="L24:L25" si="12">K24*J24</f>
        <v>0</v>
      </c>
      <c r="M24" s="1"/>
      <c r="N24" s="1"/>
      <c r="O24" s="7">
        <f t="shared" ref="O24:O25" si="13">N24*M24</f>
        <v>0</v>
      </c>
      <c r="P24" s="21"/>
      <c r="Q24" s="21"/>
      <c r="R24" s="23">
        <f>Q24*P24</f>
        <v>0</v>
      </c>
    </row>
    <row r="25" spans="2:18" ht="23.5" customHeight="1">
      <c r="B25" s="11" t="s">
        <v>89</v>
      </c>
      <c r="C25" s="1"/>
      <c r="D25" s="1"/>
      <c r="E25" s="1"/>
      <c r="F25" s="7">
        <f t="shared" si="11"/>
        <v>0</v>
      </c>
      <c r="G25" s="1"/>
      <c r="H25" s="1"/>
      <c r="I25" s="7">
        <f>H25*G25</f>
        <v>0</v>
      </c>
      <c r="J25" s="1"/>
      <c r="K25" s="1"/>
      <c r="L25" s="7">
        <f t="shared" si="12"/>
        <v>0</v>
      </c>
      <c r="M25" s="1"/>
      <c r="N25" s="1"/>
      <c r="O25" s="7">
        <f t="shared" si="13"/>
        <v>0</v>
      </c>
      <c r="P25" s="21"/>
      <c r="Q25" s="21"/>
      <c r="R25" s="23">
        <f>Q25*P25</f>
        <v>0</v>
      </c>
    </row>
    <row r="26" spans="2:18" ht="23.5" customHeight="1">
      <c r="B26" s="8" t="s">
        <v>64</v>
      </c>
      <c r="C26" s="1"/>
      <c r="D26" s="1"/>
      <c r="E26" s="1"/>
      <c r="F26" s="10"/>
      <c r="G26" s="1"/>
      <c r="H26" s="1"/>
      <c r="I26" s="10"/>
      <c r="J26" s="1"/>
      <c r="K26" s="1"/>
      <c r="L26" s="10"/>
      <c r="M26" s="1"/>
      <c r="N26" s="1"/>
      <c r="O26" s="10"/>
      <c r="P26" s="21"/>
      <c r="Q26" s="21"/>
      <c r="R26" s="24"/>
    </row>
    <row r="27" spans="2:18" ht="23.5" customHeight="1">
      <c r="B27" s="11" t="s">
        <v>88</v>
      </c>
      <c r="C27" s="1"/>
      <c r="D27" s="1"/>
      <c r="E27" s="1"/>
      <c r="F27" s="7">
        <f t="shared" ref="F27" si="14">E27*D27</f>
        <v>0</v>
      </c>
      <c r="G27" s="1"/>
      <c r="H27" s="1"/>
      <c r="I27" s="7">
        <f t="shared" ref="I27:I28" si="15">H27*G27</f>
        <v>0</v>
      </c>
      <c r="J27" s="1"/>
      <c r="K27" s="1"/>
      <c r="L27" s="7">
        <f t="shared" ref="L27:L28" si="16">K27*J27</f>
        <v>0</v>
      </c>
      <c r="M27" s="1"/>
      <c r="N27" s="1"/>
      <c r="O27" s="7">
        <f t="shared" ref="O27:O28" si="17">N27*M27</f>
        <v>0</v>
      </c>
      <c r="P27" s="21"/>
      <c r="Q27" s="21"/>
      <c r="R27" s="23">
        <f>Q27*P27</f>
        <v>0</v>
      </c>
    </row>
    <row r="28" spans="2:18" ht="23.5" customHeight="1">
      <c r="B28" s="11" t="s">
        <v>89</v>
      </c>
      <c r="C28" s="1"/>
      <c r="D28" s="1"/>
      <c r="E28" s="1"/>
      <c r="F28" s="7">
        <f>E28*D28</f>
        <v>0</v>
      </c>
      <c r="G28" s="1"/>
      <c r="H28" s="1"/>
      <c r="I28" s="7">
        <f t="shared" si="15"/>
        <v>0</v>
      </c>
      <c r="J28" s="1"/>
      <c r="K28" s="1"/>
      <c r="L28" s="7">
        <f t="shared" si="16"/>
        <v>0</v>
      </c>
      <c r="M28" s="1"/>
      <c r="N28" s="1"/>
      <c r="O28" s="7">
        <f t="shared" si="17"/>
        <v>0</v>
      </c>
      <c r="P28" s="21"/>
      <c r="Q28" s="21"/>
      <c r="R28" s="23">
        <f>Q28*P28</f>
        <v>0</v>
      </c>
    </row>
    <row r="29" spans="2:18" ht="23.5" customHeight="1">
      <c r="B29" s="8" t="s">
        <v>65</v>
      </c>
      <c r="C29" s="1"/>
      <c r="D29" s="1"/>
      <c r="E29" s="1"/>
      <c r="F29" s="10"/>
      <c r="G29" s="1"/>
      <c r="H29" s="1"/>
      <c r="I29" s="10"/>
      <c r="J29" s="1"/>
      <c r="K29" s="1"/>
      <c r="L29" s="10"/>
      <c r="M29" s="1"/>
      <c r="N29" s="1"/>
      <c r="O29" s="10"/>
      <c r="P29" s="21"/>
      <c r="Q29" s="21"/>
      <c r="R29" s="24"/>
    </row>
    <row r="30" spans="2:18" ht="23.5" customHeight="1">
      <c r="B30" s="11" t="s">
        <v>88</v>
      </c>
      <c r="C30" s="1"/>
      <c r="D30" s="1"/>
      <c r="E30" s="1"/>
      <c r="F30" s="7">
        <f t="shared" ref="F30:F31" si="18">E30*D30</f>
        <v>0</v>
      </c>
      <c r="G30" s="1"/>
      <c r="H30" s="1"/>
      <c r="I30" s="7">
        <f t="shared" ref="I30:I31" si="19">H30*G30</f>
        <v>0</v>
      </c>
      <c r="J30" s="1"/>
      <c r="K30" s="1"/>
      <c r="L30" s="7">
        <f t="shared" ref="L30:L31" si="20">K30*J30</f>
        <v>0</v>
      </c>
      <c r="M30" s="1"/>
      <c r="N30" s="1"/>
      <c r="O30" s="7">
        <f t="shared" ref="O30:O31" si="21">N30*M30</f>
        <v>0</v>
      </c>
      <c r="P30" s="21"/>
      <c r="Q30" s="21"/>
      <c r="R30" s="23">
        <f>Q30*P30</f>
        <v>0</v>
      </c>
    </row>
    <row r="31" spans="2:18" ht="23.5" customHeight="1">
      <c r="B31" s="11" t="s">
        <v>89</v>
      </c>
      <c r="C31" s="1"/>
      <c r="D31" s="1"/>
      <c r="E31" s="1"/>
      <c r="F31" s="7">
        <f t="shared" si="18"/>
        <v>0</v>
      </c>
      <c r="G31" s="1"/>
      <c r="H31" s="1"/>
      <c r="I31" s="7">
        <f t="shared" si="19"/>
        <v>0</v>
      </c>
      <c r="J31" s="1"/>
      <c r="K31" s="1"/>
      <c r="L31" s="7">
        <f t="shared" si="20"/>
        <v>0</v>
      </c>
      <c r="M31" s="1"/>
      <c r="N31" s="1"/>
      <c r="O31" s="7">
        <f t="shared" si="21"/>
        <v>0</v>
      </c>
      <c r="P31" s="21"/>
      <c r="Q31" s="21"/>
      <c r="R31" s="23">
        <f>Q31*P31</f>
        <v>0</v>
      </c>
    </row>
    <row r="32" spans="2:18" ht="23.5" customHeight="1">
      <c r="B32" s="8" t="s">
        <v>66</v>
      </c>
      <c r="C32" s="1"/>
      <c r="D32" s="1"/>
      <c r="E32" s="1"/>
      <c r="F32" s="10"/>
      <c r="G32" s="1"/>
      <c r="H32" s="1"/>
      <c r="I32" s="10"/>
      <c r="J32" s="1"/>
      <c r="K32" s="1"/>
      <c r="L32" s="10"/>
      <c r="M32" s="1"/>
      <c r="N32" s="1"/>
      <c r="O32" s="10"/>
      <c r="P32" s="21"/>
      <c r="Q32" s="21"/>
      <c r="R32" s="24"/>
    </row>
    <row r="33" spans="2:18" ht="23.5" customHeight="1">
      <c r="B33" s="11" t="s">
        <v>88</v>
      </c>
      <c r="C33" s="1"/>
      <c r="D33" s="1"/>
      <c r="E33" s="1"/>
      <c r="F33" s="7">
        <f t="shared" ref="F33:F34" si="22">E33*D33</f>
        <v>0</v>
      </c>
      <c r="G33" s="1"/>
      <c r="H33" s="19"/>
      <c r="I33" s="7">
        <f>H33*G33</f>
        <v>0</v>
      </c>
      <c r="J33" s="1"/>
      <c r="K33" s="1"/>
      <c r="L33" s="7">
        <f t="shared" ref="L33:L34" si="23">K33*J33</f>
        <v>0</v>
      </c>
      <c r="M33" s="1"/>
      <c r="N33" s="1"/>
      <c r="O33" s="7">
        <f t="shared" ref="O33:O34" si="24">N33*M33</f>
        <v>0</v>
      </c>
      <c r="P33" s="21"/>
      <c r="Q33" s="21"/>
      <c r="R33" s="23">
        <f>Q33*P33</f>
        <v>0</v>
      </c>
    </row>
    <row r="34" spans="2:18" ht="23.5" customHeight="1">
      <c r="B34" s="11" t="s">
        <v>89</v>
      </c>
      <c r="C34" s="1"/>
      <c r="D34" s="1"/>
      <c r="E34" s="1"/>
      <c r="F34" s="7">
        <f t="shared" si="22"/>
        <v>0</v>
      </c>
      <c r="G34" s="1"/>
      <c r="H34" s="1"/>
      <c r="I34" s="7">
        <f t="shared" ref="I34" si="25">H34*G34</f>
        <v>0</v>
      </c>
      <c r="J34" s="1"/>
      <c r="K34" s="1"/>
      <c r="L34" s="7">
        <f t="shared" si="23"/>
        <v>0</v>
      </c>
      <c r="M34" s="1"/>
      <c r="N34" s="1"/>
      <c r="O34" s="7">
        <f t="shared" si="24"/>
        <v>0</v>
      </c>
      <c r="P34" s="21"/>
      <c r="Q34" s="21"/>
      <c r="R34" s="23">
        <f>Q34*P34</f>
        <v>0</v>
      </c>
    </row>
    <row r="35" spans="2:18" ht="23.5" customHeight="1">
      <c r="B35" s="8" t="s">
        <v>67</v>
      </c>
      <c r="C35" s="1"/>
      <c r="D35" s="1"/>
      <c r="E35" s="1"/>
      <c r="F35" s="10"/>
      <c r="G35" s="1"/>
      <c r="H35" s="1"/>
      <c r="I35" s="10"/>
      <c r="J35" s="1"/>
      <c r="K35" s="1"/>
      <c r="L35" s="10"/>
      <c r="M35" s="1"/>
      <c r="N35" s="1"/>
      <c r="O35" s="10"/>
      <c r="P35" s="21"/>
      <c r="Q35" s="21"/>
      <c r="R35" s="24"/>
    </row>
    <row r="36" spans="2:18" ht="23.5" customHeight="1">
      <c r="B36" s="11" t="s">
        <v>88</v>
      </c>
      <c r="C36" s="1"/>
      <c r="D36" s="1"/>
      <c r="E36" s="1"/>
      <c r="F36" s="7">
        <f t="shared" ref="F36:F37" si="26">E36*D36</f>
        <v>0</v>
      </c>
      <c r="G36" s="1"/>
      <c r="H36" s="1"/>
      <c r="I36" s="7">
        <f t="shared" ref="I36:I37" si="27">H36*G36</f>
        <v>0</v>
      </c>
      <c r="J36" s="1"/>
      <c r="K36" s="1"/>
      <c r="L36" s="7">
        <f t="shared" ref="L36:L37" si="28">K36*J36</f>
        <v>0</v>
      </c>
      <c r="M36" s="1"/>
      <c r="N36" s="1"/>
      <c r="O36" s="7">
        <f t="shared" ref="O36:O37" si="29">N36*M36</f>
        <v>0</v>
      </c>
      <c r="P36" s="21"/>
      <c r="Q36" s="21"/>
      <c r="R36" s="23">
        <f>Q36*P36</f>
        <v>0</v>
      </c>
    </row>
    <row r="37" spans="2:18" ht="23.5" customHeight="1">
      <c r="B37" s="11" t="s">
        <v>89</v>
      </c>
      <c r="C37" s="1"/>
      <c r="D37" s="1"/>
      <c r="E37" s="1"/>
      <c r="F37" s="7">
        <f t="shared" si="26"/>
        <v>0</v>
      </c>
      <c r="G37" s="1"/>
      <c r="H37" s="1"/>
      <c r="I37" s="7">
        <f t="shared" si="27"/>
        <v>0</v>
      </c>
      <c r="J37" s="1"/>
      <c r="K37" s="1"/>
      <c r="L37" s="7">
        <f t="shared" si="28"/>
        <v>0</v>
      </c>
      <c r="M37" s="1"/>
      <c r="N37" s="1"/>
      <c r="O37" s="7">
        <f t="shared" si="29"/>
        <v>0</v>
      </c>
      <c r="P37" s="21"/>
      <c r="Q37" s="21"/>
      <c r="R37" s="23">
        <f>Q37*P37</f>
        <v>0</v>
      </c>
    </row>
    <row r="38" spans="2:18" ht="23.5" customHeight="1">
      <c r="B38" s="8" t="s">
        <v>68</v>
      </c>
      <c r="C38" s="20"/>
      <c r="D38" s="1"/>
      <c r="E38" s="1"/>
      <c r="F38" s="10"/>
      <c r="G38" s="1"/>
      <c r="H38" s="1"/>
      <c r="I38" s="10"/>
      <c r="J38" s="1"/>
      <c r="K38" s="1"/>
      <c r="L38" s="10"/>
      <c r="M38" s="1"/>
      <c r="N38" s="1"/>
      <c r="O38" s="10"/>
      <c r="P38" s="21"/>
      <c r="Q38" s="21"/>
      <c r="R38" s="24"/>
    </row>
    <row r="39" spans="2:18" ht="23.5" customHeight="1">
      <c r="B39" s="11" t="s">
        <v>88</v>
      </c>
      <c r="C39" s="21"/>
      <c r="D39" s="1"/>
      <c r="E39" s="1"/>
      <c r="F39" s="7">
        <f t="shared" ref="F39:F40" si="30">E39*D39</f>
        <v>0</v>
      </c>
      <c r="G39" s="1"/>
      <c r="H39" s="1"/>
      <c r="I39" s="7">
        <f t="shared" ref="I39:I40" si="31">H39*G39</f>
        <v>0</v>
      </c>
      <c r="J39" s="1"/>
      <c r="K39" s="1"/>
      <c r="L39" s="7">
        <f t="shared" ref="L39:L40" si="32">K39*J39</f>
        <v>0</v>
      </c>
      <c r="M39" s="1"/>
      <c r="N39" s="1"/>
      <c r="O39" s="7">
        <f t="shared" ref="O39:O40" si="33">N39*M39</f>
        <v>0</v>
      </c>
      <c r="P39" s="21"/>
      <c r="Q39" s="21"/>
      <c r="R39" s="23">
        <f>Q39*P39</f>
        <v>0</v>
      </c>
    </row>
    <row r="40" spans="2:18" ht="23.5" customHeight="1">
      <c r="B40" s="11" t="s">
        <v>89</v>
      </c>
      <c r="C40" s="1"/>
      <c r="D40" s="1"/>
      <c r="E40" s="1"/>
      <c r="F40" s="7">
        <f t="shared" si="30"/>
        <v>0</v>
      </c>
      <c r="G40" s="1"/>
      <c r="H40" s="1"/>
      <c r="I40" s="7">
        <f t="shared" si="31"/>
        <v>0</v>
      </c>
      <c r="J40" s="1"/>
      <c r="K40" s="1"/>
      <c r="L40" s="7">
        <f t="shared" si="32"/>
        <v>0</v>
      </c>
      <c r="M40" s="1"/>
      <c r="N40" s="1"/>
      <c r="O40" s="7">
        <f t="shared" si="33"/>
        <v>0</v>
      </c>
      <c r="P40" s="21"/>
      <c r="Q40" s="21"/>
      <c r="R40" s="23">
        <f>Q40*P40</f>
        <v>0</v>
      </c>
    </row>
    <row r="41" spans="2:18" ht="23.5" customHeight="1">
      <c r="B41" s="8" t="s">
        <v>69</v>
      </c>
      <c r="C41" s="1"/>
      <c r="D41" s="1"/>
      <c r="E41" s="1"/>
      <c r="F41" s="10"/>
      <c r="G41" s="1"/>
      <c r="H41" s="1"/>
      <c r="I41" s="10"/>
      <c r="J41" s="1"/>
      <c r="K41" s="1"/>
      <c r="L41" s="10"/>
      <c r="M41" s="1"/>
      <c r="N41" s="1"/>
      <c r="O41" s="10"/>
      <c r="P41" s="21"/>
      <c r="Q41" s="21"/>
      <c r="R41" s="24"/>
    </row>
    <row r="42" spans="2:18" ht="23.5" customHeight="1">
      <c r="B42" s="11" t="s">
        <v>88</v>
      </c>
      <c r="C42" s="1"/>
      <c r="D42" s="1"/>
      <c r="E42" s="1"/>
      <c r="F42" s="7">
        <f t="shared" ref="F42:F43" si="34">E42*D42</f>
        <v>0</v>
      </c>
      <c r="G42" s="1"/>
      <c r="H42" s="1"/>
      <c r="I42" s="7">
        <f t="shared" ref="I42:I43" si="35">H42*G42</f>
        <v>0</v>
      </c>
      <c r="J42" s="1"/>
      <c r="K42" s="1"/>
      <c r="L42" s="7">
        <f t="shared" ref="L42:L43" si="36">K42*J42</f>
        <v>0</v>
      </c>
      <c r="M42" s="1"/>
      <c r="N42" s="1"/>
      <c r="O42" s="7">
        <f t="shared" ref="O42:O43" si="37">N42*M42</f>
        <v>0</v>
      </c>
      <c r="P42" s="21"/>
      <c r="Q42" s="21"/>
      <c r="R42" s="23">
        <f>Q42*P42</f>
        <v>0</v>
      </c>
    </row>
    <row r="43" spans="2:18" ht="23.5" customHeight="1">
      <c r="B43" s="11" t="s">
        <v>89</v>
      </c>
      <c r="C43" s="1"/>
      <c r="D43" s="1"/>
      <c r="E43" s="1"/>
      <c r="F43" s="7">
        <f t="shared" si="34"/>
        <v>0</v>
      </c>
      <c r="G43" s="1"/>
      <c r="H43" s="1"/>
      <c r="I43" s="7">
        <f t="shared" si="35"/>
        <v>0</v>
      </c>
      <c r="J43" s="1"/>
      <c r="K43" s="1"/>
      <c r="L43" s="7">
        <f t="shared" si="36"/>
        <v>0</v>
      </c>
      <c r="M43" s="1"/>
      <c r="N43" s="1"/>
      <c r="O43" s="7">
        <f t="shared" si="37"/>
        <v>0</v>
      </c>
      <c r="P43" s="21"/>
      <c r="Q43" s="21"/>
      <c r="R43" s="23">
        <f>Q43*P43</f>
        <v>0</v>
      </c>
    </row>
    <row r="44" spans="2:18" ht="23.5" customHeight="1">
      <c r="B44" s="8" t="s">
        <v>70</v>
      </c>
      <c r="C44" s="1"/>
      <c r="D44" s="1"/>
      <c r="E44" s="1"/>
      <c r="F44" s="10"/>
      <c r="G44" s="1"/>
      <c r="H44" s="1"/>
      <c r="I44" s="10"/>
      <c r="J44" s="1"/>
      <c r="K44" s="1"/>
      <c r="L44" s="10"/>
      <c r="M44" s="1"/>
      <c r="N44" s="1"/>
      <c r="O44" s="10"/>
      <c r="P44" s="21"/>
      <c r="Q44" s="21"/>
      <c r="R44" s="24"/>
    </row>
    <row r="45" spans="2:18" ht="23.5" customHeight="1">
      <c r="B45" s="11" t="s">
        <v>88</v>
      </c>
      <c r="C45" s="1"/>
      <c r="D45" s="1"/>
      <c r="E45" s="1"/>
      <c r="F45" s="7">
        <f t="shared" ref="F45:F46" si="38">E45*D45</f>
        <v>0</v>
      </c>
      <c r="G45" s="1"/>
      <c r="H45" s="1"/>
      <c r="I45" s="7">
        <f t="shared" ref="I45:I46" si="39">H45*G45</f>
        <v>0</v>
      </c>
      <c r="J45" s="1"/>
      <c r="K45" s="1"/>
      <c r="L45" s="7">
        <f t="shared" ref="L45:L46" si="40">K45*J45</f>
        <v>0</v>
      </c>
      <c r="M45" s="1"/>
      <c r="N45" s="1"/>
      <c r="O45" s="7">
        <f t="shared" ref="O45:O46" si="41">N45*M45</f>
        <v>0</v>
      </c>
      <c r="P45" s="21"/>
      <c r="Q45" s="21"/>
      <c r="R45" s="23">
        <f>Q45*P45</f>
        <v>0</v>
      </c>
    </row>
    <row r="46" spans="2:18" ht="23.5" customHeight="1">
      <c r="B46" s="11" t="s">
        <v>89</v>
      </c>
      <c r="C46" s="1"/>
      <c r="D46" s="1"/>
      <c r="E46" s="1"/>
      <c r="F46" s="7">
        <f t="shared" si="38"/>
        <v>0</v>
      </c>
      <c r="G46" s="1"/>
      <c r="H46" s="1"/>
      <c r="I46" s="7">
        <f t="shared" si="39"/>
        <v>0</v>
      </c>
      <c r="J46" s="1"/>
      <c r="K46" s="1"/>
      <c r="L46" s="7">
        <f t="shared" si="40"/>
        <v>0</v>
      </c>
      <c r="M46" s="1"/>
      <c r="N46" s="1"/>
      <c r="O46" s="7">
        <f t="shared" si="41"/>
        <v>0</v>
      </c>
      <c r="P46" s="21"/>
      <c r="Q46" s="21"/>
      <c r="R46" s="23">
        <f>Q46*P46</f>
        <v>0</v>
      </c>
    </row>
    <row r="47" spans="2:18" ht="23.5" customHeight="1">
      <c r="B47" s="8" t="s">
        <v>71</v>
      </c>
      <c r="C47" s="1"/>
      <c r="D47" s="1"/>
      <c r="E47" s="1"/>
      <c r="F47" s="10"/>
      <c r="G47" s="1"/>
      <c r="H47" s="1"/>
      <c r="I47" s="10"/>
      <c r="J47" s="1"/>
      <c r="K47" s="1"/>
      <c r="L47" s="10"/>
      <c r="M47" s="1"/>
      <c r="N47" s="1"/>
      <c r="O47" s="10"/>
      <c r="P47" s="21"/>
      <c r="Q47" s="21"/>
      <c r="R47" s="24"/>
    </row>
    <row r="48" spans="2:18" ht="23.5" customHeight="1">
      <c r="B48" s="11" t="s">
        <v>88</v>
      </c>
      <c r="C48" s="1"/>
      <c r="D48" s="1"/>
      <c r="E48" s="1"/>
      <c r="F48" s="7">
        <f t="shared" ref="F48:F49" si="42">E48*D48</f>
        <v>0</v>
      </c>
      <c r="G48" s="1"/>
      <c r="H48" s="1"/>
      <c r="I48" s="7">
        <f t="shared" ref="I48:I49" si="43">H48*G48</f>
        <v>0</v>
      </c>
      <c r="J48" s="1"/>
      <c r="K48" s="1"/>
      <c r="L48" s="7">
        <f t="shared" ref="L48:L49" si="44">K48*J48</f>
        <v>0</v>
      </c>
      <c r="M48" s="1"/>
      <c r="N48" s="1"/>
      <c r="O48" s="7">
        <f t="shared" ref="O48:O49" si="45">N48*M48</f>
        <v>0</v>
      </c>
      <c r="P48" s="21"/>
      <c r="Q48" s="21"/>
      <c r="R48" s="23">
        <f>Q48*P48</f>
        <v>0</v>
      </c>
    </row>
    <row r="49" spans="2:18" ht="23.5" customHeight="1">
      <c r="B49" s="11" t="s">
        <v>89</v>
      </c>
      <c r="C49" s="1"/>
      <c r="D49" s="1"/>
      <c r="E49" s="1"/>
      <c r="F49" s="7">
        <f t="shared" si="42"/>
        <v>0</v>
      </c>
      <c r="G49" s="1"/>
      <c r="H49" s="1"/>
      <c r="I49" s="7">
        <f t="shared" si="43"/>
        <v>0</v>
      </c>
      <c r="J49" s="1"/>
      <c r="K49" s="1"/>
      <c r="L49" s="7">
        <f t="shared" si="44"/>
        <v>0</v>
      </c>
      <c r="M49" s="1"/>
      <c r="N49" s="1"/>
      <c r="O49" s="7">
        <f t="shared" si="45"/>
        <v>0</v>
      </c>
      <c r="P49" s="21"/>
      <c r="Q49" s="21"/>
      <c r="R49" s="23">
        <f>Q49*P49</f>
        <v>0</v>
      </c>
    </row>
    <row r="50" spans="2:18" ht="23.5" customHeight="1">
      <c r="B50" s="8" t="s">
        <v>81</v>
      </c>
      <c r="C50" s="1"/>
      <c r="D50" s="1"/>
      <c r="E50" s="1"/>
      <c r="F50" s="10"/>
      <c r="G50" s="1"/>
      <c r="H50" s="1"/>
      <c r="I50" s="10"/>
      <c r="J50" s="1"/>
      <c r="K50" s="1"/>
      <c r="L50" s="10"/>
      <c r="M50" s="1"/>
      <c r="N50" s="1"/>
      <c r="O50" s="10"/>
      <c r="P50" s="21"/>
      <c r="Q50" s="21"/>
      <c r="R50" s="24"/>
    </row>
    <row r="51" spans="2:18" ht="23.5" customHeight="1">
      <c r="B51" s="11" t="s">
        <v>88</v>
      </c>
      <c r="C51" s="1"/>
      <c r="D51" s="1"/>
      <c r="E51" s="1"/>
      <c r="F51" s="7">
        <f t="shared" ref="F51:F56" si="46">E51*D51</f>
        <v>0</v>
      </c>
      <c r="G51" s="1"/>
      <c r="H51" s="1"/>
      <c r="I51" s="7">
        <f t="shared" ref="I51:I56" si="47">H51*G51</f>
        <v>0</v>
      </c>
      <c r="J51" s="1"/>
      <c r="K51" s="1"/>
      <c r="L51" s="7">
        <f t="shared" ref="L51:L56" si="48">K51*J51</f>
        <v>0</v>
      </c>
      <c r="M51" s="1"/>
      <c r="N51" s="1"/>
      <c r="O51" s="7">
        <f t="shared" ref="O51:O56" si="49">N51*M51</f>
        <v>0</v>
      </c>
      <c r="P51" s="21"/>
      <c r="Q51" s="21"/>
      <c r="R51" s="23">
        <f t="shared" ref="R51:R56" si="50">Q51*P51</f>
        <v>0</v>
      </c>
    </row>
    <row r="52" spans="2:18" ht="23.5" customHeight="1">
      <c r="B52" s="11" t="s">
        <v>89</v>
      </c>
      <c r="C52" s="1"/>
      <c r="D52" s="1"/>
      <c r="E52" s="1"/>
      <c r="F52" s="7">
        <f t="shared" si="46"/>
        <v>0</v>
      </c>
      <c r="G52" s="1"/>
      <c r="H52" s="1"/>
      <c r="I52" s="7">
        <f t="shared" si="47"/>
        <v>0</v>
      </c>
      <c r="J52" s="1"/>
      <c r="K52" s="1"/>
      <c r="L52" s="7">
        <f t="shared" si="48"/>
        <v>0</v>
      </c>
      <c r="M52" s="1"/>
      <c r="N52" s="1"/>
      <c r="O52" s="7">
        <f t="shared" si="49"/>
        <v>0</v>
      </c>
      <c r="P52" s="21"/>
      <c r="Q52" s="21"/>
      <c r="R52" s="23">
        <f t="shared" si="50"/>
        <v>0</v>
      </c>
    </row>
    <row r="53" spans="2:18" ht="23.5" customHeight="1">
      <c r="B53" s="8" t="s">
        <v>84</v>
      </c>
      <c r="C53" s="1"/>
      <c r="D53" s="1"/>
      <c r="E53" s="1"/>
      <c r="F53" s="7">
        <f t="shared" si="46"/>
        <v>0</v>
      </c>
      <c r="G53" s="1"/>
      <c r="H53" s="1"/>
      <c r="I53" s="7">
        <f t="shared" si="47"/>
        <v>0</v>
      </c>
      <c r="J53" s="1"/>
      <c r="K53" s="1"/>
      <c r="L53" s="7">
        <f t="shared" si="48"/>
        <v>0</v>
      </c>
      <c r="M53" s="1"/>
      <c r="N53" s="1"/>
      <c r="O53" s="7">
        <f t="shared" si="49"/>
        <v>0</v>
      </c>
      <c r="P53" s="21"/>
      <c r="Q53" s="21"/>
      <c r="R53" s="23">
        <f t="shared" si="50"/>
        <v>0</v>
      </c>
    </row>
    <row r="54" spans="2:18" ht="23.5" customHeight="1">
      <c r="B54" s="8" t="s">
        <v>85</v>
      </c>
      <c r="C54" s="1"/>
      <c r="D54" s="1"/>
      <c r="E54" s="1"/>
      <c r="F54" s="7">
        <f t="shared" si="46"/>
        <v>0</v>
      </c>
      <c r="G54" s="1"/>
      <c r="H54" s="1"/>
      <c r="I54" s="7">
        <f t="shared" si="47"/>
        <v>0</v>
      </c>
      <c r="J54" s="1"/>
      <c r="K54" s="1"/>
      <c r="L54" s="7">
        <f t="shared" si="48"/>
        <v>0</v>
      </c>
      <c r="M54" s="1"/>
      <c r="N54" s="1"/>
      <c r="O54" s="7">
        <f t="shared" si="49"/>
        <v>0</v>
      </c>
      <c r="P54" s="21"/>
      <c r="Q54" s="21"/>
      <c r="R54" s="23">
        <f t="shared" si="50"/>
        <v>0</v>
      </c>
    </row>
    <row r="55" spans="2:18" ht="23.5" customHeight="1">
      <c r="B55" s="8" t="s">
        <v>86</v>
      </c>
      <c r="C55" s="1"/>
      <c r="D55" s="1"/>
      <c r="E55" s="1"/>
      <c r="F55" s="7">
        <f t="shared" si="46"/>
        <v>0</v>
      </c>
      <c r="G55" s="1"/>
      <c r="H55" s="1"/>
      <c r="I55" s="7">
        <f t="shared" si="47"/>
        <v>0</v>
      </c>
      <c r="J55" s="1"/>
      <c r="K55" s="1"/>
      <c r="L55" s="7">
        <f t="shared" si="48"/>
        <v>0</v>
      </c>
      <c r="M55" s="1"/>
      <c r="N55" s="1"/>
      <c r="O55" s="7">
        <f t="shared" si="49"/>
        <v>0</v>
      </c>
      <c r="P55" s="21"/>
      <c r="Q55" s="21"/>
      <c r="R55" s="23">
        <f t="shared" si="50"/>
        <v>0</v>
      </c>
    </row>
    <row r="56" spans="2:18" ht="23.5" customHeight="1">
      <c r="B56" s="8" t="s">
        <v>87</v>
      </c>
      <c r="C56" s="1"/>
      <c r="D56" s="1"/>
      <c r="E56" s="1"/>
      <c r="F56" s="25">
        <f t="shared" si="46"/>
        <v>0</v>
      </c>
      <c r="G56" s="1"/>
      <c r="H56" s="1"/>
      <c r="I56" s="7">
        <f t="shared" si="47"/>
        <v>0</v>
      </c>
      <c r="J56" s="1"/>
      <c r="K56" s="1"/>
      <c r="L56" s="7">
        <f t="shared" si="48"/>
        <v>0</v>
      </c>
      <c r="M56" s="1"/>
      <c r="N56" s="1"/>
      <c r="O56" s="7">
        <f t="shared" si="49"/>
        <v>0</v>
      </c>
      <c r="P56" s="21"/>
      <c r="Q56" s="21"/>
      <c r="R56" s="22">
        <f t="shared" si="50"/>
        <v>0</v>
      </c>
    </row>
    <row r="57" spans="2:18" ht="23.5" customHeight="1">
      <c r="C57" s="9">
        <f>SUM(C11:C56)</f>
        <v>0</v>
      </c>
      <c r="D57" s="1"/>
      <c r="E57" s="1"/>
      <c r="F57" s="9">
        <f>SUM(F11:F56)</f>
        <v>0</v>
      </c>
      <c r="G57" s="1"/>
      <c r="H57" s="1"/>
      <c r="I57" s="9">
        <f>SUM(I11:I56)</f>
        <v>0</v>
      </c>
      <c r="J57" s="1"/>
      <c r="K57" s="1"/>
      <c r="L57" s="9">
        <f>SUM(L11:L56)</f>
        <v>0</v>
      </c>
      <c r="M57" s="1"/>
      <c r="N57" s="1"/>
      <c r="O57" s="9">
        <f>SUM(O11:O56)</f>
        <v>0</v>
      </c>
      <c r="P57" s="21"/>
      <c r="Q57" s="21"/>
      <c r="R57" s="9">
        <f>SUM(R11:R56)</f>
        <v>0</v>
      </c>
    </row>
    <row r="58" spans="2:18">
      <c r="M58" s="19"/>
      <c r="N58" s="19"/>
      <c r="O58" s="19"/>
    </row>
  </sheetData>
  <mergeCells count="12">
    <mergeCell ref="B2:R2"/>
    <mergeCell ref="C4:R4"/>
    <mergeCell ref="C5:R5"/>
    <mergeCell ref="P9:R9"/>
    <mergeCell ref="C3:R3"/>
    <mergeCell ref="C6:R6"/>
    <mergeCell ref="C7:R7"/>
    <mergeCell ref="J9:L9"/>
    <mergeCell ref="M9:O9"/>
    <mergeCell ref="C9:C10"/>
    <mergeCell ref="D9:F9"/>
    <mergeCell ref="G9:I9"/>
  </mergeCells>
  <phoneticPr fontId="1" type="noConversion"/>
  <pageMargins left="1.4173228346456694" right="0.39370078740157483" top="1.299212598425197" bottom="0.39370078740157483" header="0.31496062992125984" footer="0.31496062992125984"/>
  <pageSetup paperSize="9" scale="55" orientation="landscape" r:id="rId1"/>
  <headerFooter>
    <oddHeader>&amp;C&amp;G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0C824-E3EE-4AB3-A3F3-E8B3AC201CD5}">
  <sheetPr>
    <tabColor rgb="FF92D050"/>
    <pageSetUpPr fitToPage="1"/>
  </sheetPr>
  <dimension ref="A1:G35"/>
  <sheetViews>
    <sheetView view="pageBreakPreview" zoomScale="115" zoomScaleNormal="115" zoomScaleSheetLayoutView="115" workbookViewId="0">
      <selection activeCell="F17" sqref="F17"/>
    </sheetView>
  </sheetViews>
  <sheetFormatPr baseColWidth="10" defaultRowHeight="14"/>
  <cols>
    <col min="1" max="1" width="17.453125" style="65" customWidth="1"/>
    <col min="2" max="2" width="26.1796875" style="65" customWidth="1"/>
    <col min="3" max="6" width="19.6328125" style="65" customWidth="1"/>
    <col min="7" max="7" width="24" style="65" customWidth="1"/>
    <col min="8" max="16384" width="10.90625" style="65"/>
  </cols>
  <sheetData>
    <row r="1" spans="1:7" ht="18">
      <c r="A1" s="270" t="s">
        <v>196</v>
      </c>
      <c r="B1" s="270"/>
      <c r="C1" s="270"/>
      <c r="D1" s="270"/>
      <c r="E1" s="270"/>
      <c r="F1" s="270"/>
      <c r="G1" s="270"/>
    </row>
    <row r="2" spans="1:7" ht="25" customHeight="1">
      <c r="A2" s="98" t="s">
        <v>42</v>
      </c>
      <c r="B2" s="271" t="str">
        <f>+RESUMEN!B4</f>
        <v>GERENCIA TERRITORIAL BAJO MAYO - TARAPOTO</v>
      </c>
      <c r="C2" s="271"/>
      <c r="D2" s="271"/>
      <c r="E2" s="271"/>
      <c r="F2" s="271"/>
      <c r="G2" s="271"/>
    </row>
    <row r="3" spans="1:7" ht="53.5" customHeight="1">
      <c r="A3" s="98" t="s">
        <v>39</v>
      </c>
      <c r="B3" s="271"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C3" s="271"/>
      <c r="D3" s="271"/>
      <c r="E3" s="271"/>
      <c r="F3" s="271"/>
      <c r="G3" s="271"/>
    </row>
    <row r="4" spans="1:7" ht="25" customHeight="1">
      <c r="A4" s="98" t="s">
        <v>43</v>
      </c>
      <c r="B4" s="271" t="str">
        <f>+RESUMEN!B6</f>
        <v>SAN MARTIN - SAN MARTIN - MORALES</v>
      </c>
      <c r="C4" s="271"/>
      <c r="D4" s="271"/>
      <c r="E4" s="271"/>
      <c r="F4" s="271"/>
      <c r="G4" s="271"/>
    </row>
    <row r="5" spans="1:7" ht="25" customHeight="1">
      <c r="A5" s="98" t="s">
        <v>40</v>
      </c>
      <c r="B5" s="272">
        <f>+RESUMEN!B7</f>
        <v>46266</v>
      </c>
      <c r="C5" s="273"/>
      <c r="D5" s="273"/>
      <c r="E5" s="273"/>
      <c r="F5" s="273"/>
      <c r="G5" s="273"/>
    </row>
    <row r="6" spans="1:7">
      <c r="A6" s="66"/>
      <c r="B6" s="66"/>
      <c r="C6" s="66"/>
      <c r="D6" s="66"/>
      <c r="E6" s="66"/>
      <c r="F6" s="66"/>
      <c r="G6" s="66"/>
    </row>
    <row r="7" spans="1:7" ht="39" customHeight="1">
      <c r="A7" s="95" t="s">
        <v>197</v>
      </c>
      <c r="B7" s="96" t="s">
        <v>198</v>
      </c>
      <c r="C7" s="96" t="s">
        <v>199</v>
      </c>
      <c r="D7" s="96" t="s">
        <v>200</v>
      </c>
      <c r="E7" s="96" t="s">
        <v>201</v>
      </c>
      <c r="F7" s="96" t="s">
        <v>202</v>
      </c>
      <c r="G7" s="97" t="s">
        <v>176</v>
      </c>
    </row>
    <row r="8" spans="1:7" ht="21" customHeight="1">
      <c r="A8" s="67" t="s">
        <v>203</v>
      </c>
      <c r="B8" s="64">
        <v>26.52</v>
      </c>
      <c r="C8" s="68">
        <v>6</v>
      </c>
      <c r="D8" s="68">
        <v>4</v>
      </c>
      <c r="E8" s="68">
        <v>0</v>
      </c>
      <c r="F8" s="68">
        <v>2</v>
      </c>
      <c r="G8" s="69" t="s">
        <v>204</v>
      </c>
    </row>
    <row r="9" spans="1:7" ht="21" customHeight="1">
      <c r="A9" s="67" t="s">
        <v>205</v>
      </c>
      <c r="B9" s="64">
        <v>27.18</v>
      </c>
      <c r="C9" s="68">
        <v>8</v>
      </c>
      <c r="D9" s="68">
        <v>4</v>
      </c>
      <c r="E9" s="68">
        <v>0</v>
      </c>
      <c r="F9" s="68">
        <v>2</v>
      </c>
      <c r="G9" s="69" t="s">
        <v>204</v>
      </c>
    </row>
    <row r="10" spans="1:7" ht="21" customHeight="1">
      <c r="A10" s="67" t="s">
        <v>206</v>
      </c>
      <c r="B10" s="64">
        <v>32</v>
      </c>
      <c r="C10" s="68">
        <v>6</v>
      </c>
      <c r="D10" s="68">
        <v>6</v>
      </c>
      <c r="E10" s="68">
        <v>0</v>
      </c>
      <c r="F10" s="68">
        <v>0</v>
      </c>
      <c r="G10" s="69" t="s">
        <v>204</v>
      </c>
    </row>
    <row r="11" spans="1:7" ht="21" customHeight="1">
      <c r="A11" s="67" t="s">
        <v>207</v>
      </c>
      <c r="B11" s="64">
        <v>26.56</v>
      </c>
      <c r="C11" s="68">
        <v>10</v>
      </c>
      <c r="D11" s="68">
        <v>10</v>
      </c>
      <c r="E11" s="68">
        <v>0</v>
      </c>
      <c r="F11" s="68">
        <v>0</v>
      </c>
      <c r="G11" s="69" t="s">
        <v>204</v>
      </c>
    </row>
    <row r="12" spans="1:7" ht="21" customHeight="1">
      <c r="A12" s="70" t="s">
        <v>16</v>
      </c>
      <c r="B12" s="155">
        <f>SUM(B8:B11)</f>
        <v>112.26</v>
      </c>
      <c r="C12" s="71">
        <f>SUM(C8:C11)</f>
        <v>30</v>
      </c>
      <c r="D12" s="71">
        <f>SUM(D8:D11)</f>
        <v>24</v>
      </c>
      <c r="E12" s="71">
        <f>SUM(E8:E11)</f>
        <v>0</v>
      </c>
      <c r="F12" s="71">
        <f>SUM(F8:F11)</f>
        <v>4</v>
      </c>
      <c r="G12" s="72"/>
    </row>
    <row r="13" spans="1:7">
      <c r="A13" s="66"/>
      <c r="B13" s="66"/>
      <c r="C13" s="66"/>
      <c r="D13" s="66"/>
      <c r="E13" s="66"/>
      <c r="F13" s="66"/>
      <c r="G13" s="66"/>
    </row>
    <row r="14" spans="1:7">
      <c r="A14" s="66"/>
      <c r="B14" s="66"/>
      <c r="C14" s="66"/>
      <c r="D14" s="66"/>
      <c r="E14" s="66"/>
      <c r="F14" s="66"/>
      <c r="G14" s="66"/>
    </row>
    <row r="15" spans="1:7">
      <c r="A15" s="66"/>
      <c r="B15" s="66"/>
      <c r="C15" s="66"/>
      <c r="D15" s="66"/>
      <c r="E15" s="66"/>
      <c r="F15" s="66"/>
      <c r="G15" s="66"/>
    </row>
    <row r="16" spans="1:7">
      <c r="A16" s="66"/>
      <c r="B16" s="66"/>
      <c r="C16" s="66"/>
      <c r="D16" s="66"/>
      <c r="E16" s="66"/>
      <c r="F16" s="66"/>
      <c r="G16" s="66"/>
    </row>
    <row r="17" spans="1:7">
      <c r="A17" s="66"/>
      <c r="B17" s="66"/>
      <c r="C17" s="66"/>
      <c r="D17" s="66"/>
      <c r="E17" s="66"/>
      <c r="F17" s="66"/>
      <c r="G17" s="66"/>
    </row>
    <row r="18" spans="1:7">
      <c r="A18" s="66"/>
      <c r="B18" s="66"/>
      <c r="C18" s="66"/>
      <c r="D18" s="66"/>
      <c r="E18" s="66"/>
      <c r="F18" s="66"/>
      <c r="G18" s="66"/>
    </row>
    <row r="19" spans="1:7">
      <c r="A19" s="66"/>
      <c r="B19" s="66"/>
      <c r="C19" s="66"/>
      <c r="D19" s="66"/>
      <c r="E19" s="66"/>
      <c r="F19" s="66"/>
      <c r="G19" s="66"/>
    </row>
    <row r="20" spans="1:7">
      <c r="A20" s="66"/>
      <c r="B20" s="66"/>
      <c r="C20" s="66"/>
      <c r="D20" s="66"/>
      <c r="E20" s="66"/>
      <c r="F20" s="66"/>
      <c r="G20" s="66"/>
    </row>
    <row r="21" spans="1:7">
      <c r="A21" s="66"/>
      <c r="B21" s="66"/>
      <c r="C21" s="66"/>
      <c r="D21" s="66"/>
      <c r="E21" s="66"/>
      <c r="F21" s="66"/>
      <c r="G21" s="66"/>
    </row>
    <row r="22" spans="1:7">
      <c r="A22" s="66"/>
      <c r="B22" s="66"/>
      <c r="C22" s="66"/>
      <c r="D22" s="66"/>
      <c r="E22" s="66"/>
      <c r="F22" s="66"/>
      <c r="G22" s="66"/>
    </row>
    <row r="23" spans="1:7">
      <c r="A23" s="66"/>
      <c r="B23" s="66"/>
      <c r="C23" s="66"/>
      <c r="D23" s="66"/>
      <c r="E23" s="66"/>
      <c r="F23" s="66"/>
      <c r="G23" s="66"/>
    </row>
    <row r="24" spans="1:7">
      <c r="A24" s="66"/>
      <c r="B24" s="66"/>
      <c r="C24" s="66"/>
      <c r="D24" s="66"/>
      <c r="E24" s="66"/>
      <c r="F24" s="66"/>
      <c r="G24" s="66"/>
    </row>
    <row r="25" spans="1:7">
      <c r="A25" s="66"/>
      <c r="B25" s="66"/>
      <c r="C25" s="66"/>
      <c r="D25" s="66"/>
      <c r="E25" s="66"/>
      <c r="F25" s="66"/>
      <c r="G25" s="66"/>
    </row>
    <row r="26" spans="1:7">
      <c r="A26" s="66"/>
      <c r="B26" s="66"/>
      <c r="C26" s="66"/>
      <c r="D26" s="66"/>
      <c r="E26" s="66"/>
      <c r="F26" s="66"/>
      <c r="G26" s="66"/>
    </row>
    <row r="27" spans="1:7">
      <c r="A27" s="66"/>
      <c r="B27" s="66"/>
      <c r="C27" s="66"/>
      <c r="D27" s="66"/>
      <c r="E27" s="66"/>
      <c r="F27" s="66"/>
      <c r="G27" s="66"/>
    </row>
    <row r="28" spans="1:7">
      <c r="A28" s="66"/>
      <c r="B28" s="66"/>
      <c r="C28" s="66"/>
      <c r="D28" s="66"/>
      <c r="E28" s="66"/>
      <c r="F28" s="66"/>
      <c r="G28" s="66"/>
    </row>
    <row r="29" spans="1:7">
      <c r="A29" s="66"/>
      <c r="B29" s="66"/>
      <c r="C29" s="66"/>
      <c r="D29" s="66"/>
      <c r="E29" s="66"/>
      <c r="F29" s="66"/>
      <c r="G29" s="66"/>
    </row>
    <row r="30" spans="1:7">
      <c r="A30" s="66"/>
      <c r="B30" s="66"/>
      <c r="C30" s="66"/>
      <c r="D30" s="66"/>
      <c r="E30" s="66"/>
      <c r="F30" s="66"/>
      <c r="G30" s="66"/>
    </row>
    <row r="31" spans="1:7">
      <c r="A31" s="66"/>
      <c r="B31" s="66"/>
      <c r="C31" s="66"/>
      <c r="D31" s="66"/>
      <c r="E31" s="66"/>
      <c r="F31" s="66"/>
      <c r="G31" s="66"/>
    </row>
    <row r="32" spans="1:7">
      <c r="A32" s="66"/>
      <c r="B32" s="66"/>
      <c r="C32" s="66"/>
      <c r="D32" s="66"/>
      <c r="E32" s="66"/>
      <c r="F32" s="66"/>
      <c r="G32" s="66"/>
    </row>
    <row r="33" spans="1:7">
      <c r="A33" s="66"/>
      <c r="B33" s="66"/>
      <c r="C33" s="66"/>
      <c r="D33" s="66"/>
      <c r="E33" s="66"/>
      <c r="F33" s="66"/>
      <c r="G33" s="66"/>
    </row>
    <row r="34" spans="1:7">
      <c r="A34" s="66"/>
      <c r="B34" s="66"/>
      <c r="C34" s="66"/>
      <c r="D34" s="66"/>
      <c r="E34" s="66"/>
      <c r="F34" s="66"/>
      <c r="G34" s="66"/>
    </row>
    <row r="35" spans="1:7">
      <c r="A35" s="66"/>
      <c r="B35" s="66"/>
      <c r="C35" s="66"/>
      <c r="D35" s="66"/>
      <c r="E35" s="66"/>
      <c r="F35" s="66"/>
      <c r="G35" s="66"/>
    </row>
  </sheetData>
  <mergeCells count="5">
    <mergeCell ref="A1:G1"/>
    <mergeCell ref="B2:G2"/>
    <mergeCell ref="B3:G3"/>
    <mergeCell ref="B4:G4"/>
    <mergeCell ref="B5:G5"/>
  </mergeCells>
  <pageMargins left="0.7" right="0.7" top="0.75" bottom="0.75" header="0.3" footer="0.3"/>
  <pageSetup paperSize="9" scale="90"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FEC3A-EA53-4760-92A6-76281BD6E44C}">
  <sheetPr>
    <tabColor rgb="FF92D050"/>
    <pageSetUpPr fitToPage="1"/>
  </sheetPr>
  <dimension ref="A1:AG38"/>
  <sheetViews>
    <sheetView topLeftCell="A6" zoomScale="85" zoomScaleNormal="85" zoomScaleSheetLayoutView="100" workbookViewId="0">
      <selection activeCell="G11" sqref="G11:G37"/>
    </sheetView>
  </sheetViews>
  <sheetFormatPr baseColWidth="10" defaultColWidth="9.453125" defaultRowHeight="14"/>
  <cols>
    <col min="1" max="1" width="18" style="100" customWidth="1"/>
    <col min="2" max="2" width="10.81640625" style="100" customWidth="1"/>
    <col min="3" max="3" width="14.1796875" style="100" customWidth="1"/>
    <col min="4" max="4" width="16.36328125" style="100" customWidth="1"/>
    <col min="5" max="6" width="12" style="100" customWidth="1"/>
    <col min="7" max="7" width="13.08984375" style="192" customWidth="1"/>
    <col min="8" max="8" width="12" style="100" customWidth="1"/>
    <col min="9" max="9" width="14.1796875" style="100" customWidth="1"/>
    <col min="10" max="10" width="13.08984375" style="100" customWidth="1"/>
    <col min="11" max="12" width="14.1796875" style="100" customWidth="1"/>
    <col min="13" max="13" width="13.08984375" style="100" customWidth="1"/>
    <col min="14" max="14" width="15.26953125" style="100" customWidth="1"/>
    <col min="15" max="15" width="12" style="100" customWidth="1"/>
    <col min="16" max="16" width="14.1796875" style="100" customWidth="1"/>
    <col min="17" max="18" width="16.36328125" style="100" customWidth="1"/>
    <col min="19" max="20" width="14.1796875" style="100" customWidth="1"/>
    <col min="21" max="21" width="16.36328125" style="100" customWidth="1"/>
    <col min="22" max="22" width="13.08984375" style="100" customWidth="1"/>
    <col min="23" max="23" width="15.26953125" style="100" customWidth="1"/>
    <col min="24" max="24" width="10.90625" style="100" customWidth="1"/>
    <col min="25" max="25" width="13.08984375" style="100" customWidth="1"/>
    <col min="26" max="26" width="15.26953125" style="100" customWidth="1"/>
    <col min="27" max="28" width="16.36328125" style="100" customWidth="1"/>
    <col min="29" max="29" width="15.26953125" style="100" customWidth="1"/>
    <col min="30" max="30" width="14.1796875" style="100" customWidth="1"/>
    <col min="31" max="31" width="16.36328125" style="100" customWidth="1"/>
    <col min="32" max="32" width="14.1796875" style="100" customWidth="1"/>
    <col min="33" max="33" width="15.26953125" style="100" customWidth="1"/>
    <col min="34" max="16384" width="9.453125" style="100"/>
  </cols>
  <sheetData>
    <row r="1" spans="1:33" s="150" customFormat="1">
      <c r="A1" s="148"/>
      <c r="B1" s="149"/>
      <c r="C1" s="149"/>
      <c r="D1" s="149"/>
      <c r="E1" s="149"/>
      <c r="F1" s="149"/>
      <c r="G1" s="191"/>
      <c r="H1" s="149"/>
      <c r="I1" s="148"/>
      <c r="J1" s="149"/>
      <c r="K1" s="149"/>
      <c r="L1" s="149"/>
      <c r="M1" s="149"/>
      <c r="N1" s="148"/>
      <c r="O1" s="149"/>
      <c r="P1" s="149"/>
      <c r="Q1" s="149"/>
      <c r="R1" s="149"/>
      <c r="S1" s="149"/>
      <c r="T1" s="149"/>
      <c r="U1" s="149"/>
      <c r="V1" s="149"/>
      <c r="W1" s="148"/>
      <c r="X1" s="149"/>
      <c r="Y1" s="149"/>
      <c r="Z1" s="149"/>
      <c r="AA1" s="149"/>
      <c r="AB1" s="149"/>
      <c r="AC1" s="149"/>
      <c r="AD1" s="149"/>
      <c r="AE1" s="149"/>
      <c r="AF1" s="149"/>
      <c r="AG1" s="149"/>
    </row>
    <row r="2" spans="1:33" s="150" customFormat="1" ht="33.5" customHeight="1">
      <c r="A2" s="280" t="s">
        <v>255</v>
      </c>
      <c r="B2" s="280"/>
      <c r="C2" s="280"/>
      <c r="D2" s="280"/>
      <c r="E2" s="280"/>
      <c r="F2" s="280"/>
      <c r="G2" s="280"/>
      <c r="H2" s="280"/>
      <c r="I2" s="280"/>
      <c r="J2" s="280"/>
      <c r="K2" s="280"/>
      <c r="L2" s="280"/>
      <c r="M2" s="280"/>
      <c r="N2" s="280"/>
      <c r="O2" s="280"/>
      <c r="P2" s="280"/>
      <c r="Q2" s="280"/>
      <c r="R2" s="280"/>
      <c r="S2" s="280"/>
      <c r="T2" s="280"/>
      <c r="U2" s="280"/>
      <c r="V2" s="280"/>
      <c r="W2" s="280"/>
      <c r="X2" s="280"/>
      <c r="Y2" s="280"/>
      <c r="Z2" s="280"/>
      <c r="AA2" s="280"/>
      <c r="AB2" s="280"/>
      <c r="AC2" s="280"/>
      <c r="AD2" s="280"/>
      <c r="AE2" s="280"/>
      <c r="AF2" s="280"/>
      <c r="AG2" s="280"/>
    </row>
    <row r="3" spans="1:33" s="150" customFormat="1" ht="30" customHeight="1">
      <c r="A3" s="152" t="s">
        <v>42</v>
      </c>
      <c r="B3" s="281" t="str">
        <f>+RESUMEN!B4</f>
        <v>GERENCIA TERRITORIAL BAJO MAYO - TARAPOTO</v>
      </c>
      <c r="C3" s="281"/>
      <c r="D3" s="281"/>
      <c r="E3" s="281"/>
      <c r="F3" s="281"/>
      <c r="G3" s="281"/>
      <c r="H3" s="281"/>
      <c r="I3" s="281"/>
      <c r="J3" s="281"/>
      <c r="K3" s="281"/>
      <c r="L3" s="281"/>
      <c r="M3" s="281"/>
      <c r="N3" s="281"/>
      <c r="O3" s="281"/>
      <c r="P3" s="281"/>
      <c r="Q3" s="281"/>
      <c r="R3" s="281"/>
      <c r="S3" s="281"/>
      <c r="T3" s="281"/>
      <c r="U3" s="281"/>
      <c r="V3" s="281"/>
      <c r="W3" s="281"/>
      <c r="X3" s="281"/>
      <c r="Y3" s="281"/>
      <c r="Z3" s="281"/>
      <c r="AA3" s="281"/>
      <c r="AB3" s="281"/>
      <c r="AC3" s="281"/>
      <c r="AD3" s="281"/>
      <c r="AE3" s="281"/>
      <c r="AF3" s="281"/>
      <c r="AG3" s="281"/>
    </row>
    <row r="4" spans="1:33" s="150" customFormat="1" ht="40" customHeight="1">
      <c r="A4" s="152" t="s">
        <v>39</v>
      </c>
      <c r="B4" s="281"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C4" s="281"/>
      <c r="D4" s="281"/>
      <c r="E4" s="281"/>
      <c r="F4" s="281"/>
      <c r="G4" s="281"/>
      <c r="H4" s="281"/>
      <c r="I4" s="281"/>
      <c r="J4" s="281"/>
      <c r="K4" s="281"/>
      <c r="L4" s="281"/>
      <c r="M4" s="281"/>
      <c r="N4" s="281"/>
      <c r="O4" s="281"/>
      <c r="P4" s="281"/>
      <c r="Q4" s="281"/>
      <c r="R4" s="281"/>
      <c r="S4" s="281"/>
      <c r="T4" s="281"/>
      <c r="U4" s="281"/>
      <c r="V4" s="281"/>
      <c r="W4" s="281"/>
      <c r="X4" s="281"/>
      <c r="Y4" s="281"/>
      <c r="Z4" s="281"/>
      <c r="AA4" s="281"/>
      <c r="AB4" s="281"/>
      <c r="AC4" s="281"/>
      <c r="AD4" s="281"/>
      <c r="AE4" s="281"/>
      <c r="AF4" s="281"/>
      <c r="AG4" s="281"/>
    </row>
    <row r="5" spans="1:33" s="150" customFormat="1" ht="34.5" customHeight="1">
      <c r="A5" s="152" t="s">
        <v>43</v>
      </c>
      <c r="B5" s="281" t="str">
        <f>+RESUMEN!B6</f>
        <v>SAN MARTIN - SAN MARTIN - MORALES</v>
      </c>
      <c r="C5" s="281"/>
      <c r="D5" s="281"/>
      <c r="E5" s="281"/>
      <c r="F5" s="281"/>
      <c r="G5" s="281"/>
      <c r="H5" s="281"/>
      <c r="I5" s="281"/>
      <c r="J5" s="281"/>
      <c r="K5" s="281"/>
      <c r="L5" s="281"/>
      <c r="M5" s="281"/>
      <c r="N5" s="281"/>
      <c r="O5" s="281"/>
      <c r="P5" s="281"/>
      <c r="Q5" s="281"/>
      <c r="R5" s="281"/>
      <c r="S5" s="281"/>
      <c r="T5" s="281"/>
      <c r="U5" s="281"/>
      <c r="V5" s="281"/>
      <c r="W5" s="281"/>
      <c r="X5" s="281"/>
      <c r="Y5" s="281"/>
      <c r="Z5" s="281"/>
      <c r="AA5" s="281"/>
      <c r="AB5" s="281"/>
      <c r="AC5" s="281"/>
      <c r="AD5" s="281"/>
      <c r="AE5" s="281"/>
      <c r="AF5" s="281"/>
      <c r="AG5" s="281"/>
    </row>
    <row r="6" spans="1:33" s="150" customFormat="1" ht="30.5" customHeight="1">
      <c r="A6" s="152" t="s">
        <v>40</v>
      </c>
      <c r="B6" s="282">
        <f>+RESUMEN!B7</f>
        <v>46266</v>
      </c>
      <c r="C6" s="281"/>
      <c r="D6" s="281"/>
      <c r="E6" s="281"/>
      <c r="F6" s="281"/>
      <c r="G6" s="281"/>
      <c r="H6" s="281"/>
      <c r="I6" s="281"/>
      <c r="J6" s="281"/>
      <c r="K6" s="281"/>
      <c r="L6" s="281"/>
      <c r="M6" s="281"/>
      <c r="N6" s="281"/>
      <c r="O6" s="281"/>
      <c r="P6" s="281"/>
      <c r="Q6" s="281"/>
      <c r="R6" s="281"/>
      <c r="S6" s="281"/>
      <c r="T6" s="281"/>
      <c r="U6" s="281"/>
      <c r="V6" s="281"/>
      <c r="W6" s="281"/>
      <c r="X6" s="281"/>
      <c r="Y6" s="281"/>
      <c r="Z6" s="281"/>
      <c r="AA6" s="281"/>
      <c r="AB6" s="281"/>
      <c r="AC6" s="281"/>
      <c r="AD6" s="281"/>
      <c r="AE6" s="281"/>
      <c r="AF6" s="281"/>
      <c r="AG6" s="281"/>
    </row>
    <row r="7" spans="1:33" s="150" customFormat="1" ht="15.5">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22" customHeight="1">
      <c r="A8" s="275" t="s">
        <v>220</v>
      </c>
      <c r="B8" s="275"/>
      <c r="C8" s="275"/>
      <c r="D8" s="275"/>
      <c r="E8" s="275"/>
      <c r="F8" s="275"/>
      <c r="G8" s="275"/>
      <c r="H8" s="275"/>
      <c r="I8" s="275"/>
      <c r="J8" s="275"/>
      <c r="K8" s="275"/>
      <c r="L8" s="275"/>
      <c r="M8" s="275"/>
      <c r="N8" s="275"/>
      <c r="O8" s="275"/>
      <c r="P8" s="275"/>
      <c r="Q8" s="275"/>
      <c r="R8" s="275"/>
      <c r="S8" s="275"/>
      <c r="T8" s="275"/>
      <c r="U8" s="275"/>
      <c r="V8" s="275"/>
      <c r="W8" s="275"/>
      <c r="X8" s="275"/>
      <c r="Y8" s="275"/>
      <c r="Z8" s="275"/>
      <c r="AA8" s="275"/>
      <c r="AB8" s="275"/>
      <c r="AC8" s="275"/>
      <c r="AD8" s="275"/>
      <c r="AE8" s="275"/>
      <c r="AF8" s="275"/>
      <c r="AG8" s="275"/>
    </row>
    <row r="9" spans="1:33" ht="23.5" customHeight="1">
      <c r="A9" s="276" t="s">
        <v>221</v>
      </c>
      <c r="B9" s="276"/>
      <c r="C9" s="276"/>
      <c r="D9" s="276"/>
      <c r="E9" s="276"/>
      <c r="F9" s="276"/>
      <c r="G9" s="276"/>
      <c r="H9" s="277" t="s">
        <v>222</v>
      </c>
      <c r="I9" s="277"/>
      <c r="J9" s="277"/>
      <c r="K9" s="277"/>
      <c r="L9" s="277"/>
      <c r="M9" s="277"/>
      <c r="N9" s="277"/>
      <c r="O9" s="277"/>
      <c r="P9" s="278" t="s">
        <v>223</v>
      </c>
      <c r="Q9" s="278"/>
      <c r="R9" s="278"/>
      <c r="S9" s="278"/>
      <c r="T9" s="278"/>
      <c r="U9" s="278"/>
      <c r="V9" s="278"/>
      <c r="W9" s="278"/>
      <c r="X9" s="279" t="s">
        <v>224</v>
      </c>
      <c r="Y9" s="279"/>
      <c r="Z9" s="279"/>
      <c r="AA9" s="279"/>
      <c r="AB9" s="279"/>
      <c r="AC9" s="279"/>
      <c r="AD9" s="279"/>
      <c r="AE9" s="279"/>
      <c r="AF9" s="279"/>
      <c r="AG9" s="151" t="s">
        <v>225</v>
      </c>
    </row>
    <row r="10" spans="1:33" ht="60.5" customHeight="1">
      <c r="A10" s="137" t="s">
        <v>174</v>
      </c>
      <c r="B10" s="137" t="s">
        <v>175</v>
      </c>
      <c r="C10" s="137" t="s">
        <v>226</v>
      </c>
      <c r="D10" s="137" t="s">
        <v>227</v>
      </c>
      <c r="E10" s="137" t="s">
        <v>177</v>
      </c>
      <c r="F10" s="137" t="s">
        <v>178</v>
      </c>
      <c r="G10" s="137" t="s">
        <v>228</v>
      </c>
      <c r="H10" s="137" t="s">
        <v>229</v>
      </c>
      <c r="I10" s="137" t="s">
        <v>230</v>
      </c>
      <c r="J10" s="137" t="s">
        <v>180</v>
      </c>
      <c r="K10" s="137" t="s">
        <v>181</v>
      </c>
      <c r="L10" s="137" t="s">
        <v>182</v>
      </c>
      <c r="M10" s="137" t="s">
        <v>183</v>
      </c>
      <c r="N10" s="137" t="s">
        <v>184</v>
      </c>
      <c r="O10" s="137" t="s">
        <v>185</v>
      </c>
      <c r="P10" s="137" t="s">
        <v>231</v>
      </c>
      <c r="Q10" s="137" t="s">
        <v>232</v>
      </c>
      <c r="R10" s="137" t="s">
        <v>233</v>
      </c>
      <c r="S10" s="137" t="s">
        <v>234</v>
      </c>
      <c r="T10" s="137" t="s">
        <v>235</v>
      </c>
      <c r="U10" s="137" t="s">
        <v>236</v>
      </c>
      <c r="V10" s="137" t="s">
        <v>237</v>
      </c>
      <c r="W10" s="137" t="s">
        <v>238</v>
      </c>
      <c r="X10" s="137" t="s">
        <v>239</v>
      </c>
      <c r="Y10" s="137" t="s">
        <v>240</v>
      </c>
      <c r="Z10" s="137" t="s">
        <v>241</v>
      </c>
      <c r="AA10" s="137" t="s">
        <v>242</v>
      </c>
      <c r="AB10" s="137" t="s">
        <v>243</v>
      </c>
      <c r="AC10" s="137" t="s">
        <v>244</v>
      </c>
      <c r="AD10" s="137" t="s">
        <v>245</v>
      </c>
      <c r="AE10" s="137" t="s">
        <v>246</v>
      </c>
      <c r="AF10" s="137" t="s">
        <v>247</v>
      </c>
      <c r="AG10" s="137" t="s">
        <v>248</v>
      </c>
    </row>
    <row r="11" spans="1:33" ht="36.5" customHeight="1">
      <c r="A11" s="138">
        <v>1</v>
      </c>
      <c r="B11" s="106" t="s">
        <v>186</v>
      </c>
      <c r="C11" s="106" t="s">
        <v>363</v>
      </c>
      <c r="D11" s="139" t="s">
        <v>55</v>
      </c>
      <c r="E11" s="106" t="s">
        <v>366</v>
      </c>
      <c r="F11" s="106" t="s">
        <v>364</v>
      </c>
      <c r="G11" s="107">
        <v>12</v>
      </c>
      <c r="H11" s="106" t="s">
        <v>250</v>
      </c>
      <c r="I11" s="140">
        <f>IF(H11="","",IFERROR(VLOOKUP(H11,Listas!$A$4:$B$11,2,FALSE),""))</f>
        <v>0.56000000000000005</v>
      </c>
      <c r="J11" s="107">
        <v>0.21</v>
      </c>
      <c r="K11" s="107">
        <v>7</v>
      </c>
      <c r="L11" s="107">
        <v>7</v>
      </c>
      <c r="M11" s="141">
        <f t="shared" ref="M11:M37" si="0">IF(B11="","",(K11+L11)/2)</f>
        <v>7</v>
      </c>
      <c r="N11" s="141">
        <f t="shared" ref="N11" si="1">IF(B11="","",G11*M11)</f>
        <v>84</v>
      </c>
      <c r="O11" s="141">
        <f t="shared" ref="O11" si="2">IF(B11="","",N11*I11)</f>
        <v>47.040000000000006</v>
      </c>
      <c r="P11" s="107">
        <v>0.25</v>
      </c>
      <c r="Q11" s="107">
        <v>1.42</v>
      </c>
      <c r="R11" s="107">
        <v>1.5</v>
      </c>
      <c r="S11" s="141">
        <f t="shared" ref="S11" si="3">IF(B11="","",(Q11+R11)/2)</f>
        <v>1.46</v>
      </c>
      <c r="T11" s="141">
        <f t="shared" ref="T11" si="4">IF(B11="","",IFERROR(IF($X$1="ENTERO (redondeo arriba)",ROUNDUP(G11/P11,0)+1,G11/P11+1),0))</f>
        <v>49</v>
      </c>
      <c r="U11" s="141">
        <f t="shared" ref="U11" si="5">IF(B11="","",S11*T11)</f>
        <v>71.539999999999992</v>
      </c>
      <c r="V11" s="141">
        <f t="shared" ref="V11" si="6">IF(B11="","",U11*I11)</f>
        <v>40.062399999999997</v>
      </c>
      <c r="W11" s="141">
        <f t="shared" ref="W11" si="7">IF(B11="","",O11+V11)</f>
        <v>87.102400000000003</v>
      </c>
      <c r="X11" s="142"/>
      <c r="Y11" s="143" t="s">
        <v>413</v>
      </c>
      <c r="Z11" s="144"/>
      <c r="AA11" s="144"/>
      <c r="AB11" s="144"/>
      <c r="AC11" s="108">
        <f t="shared" ref="AC11:AC23" si="8">IF(B11="","",IF(D11="TAPADA",(AA11+AB11)/2,0))</f>
        <v>0</v>
      </c>
      <c r="AD11" s="108">
        <f t="shared" ref="AD11:AD23" si="9">IF(B11="","",IF(D11="TAPADA",IFERROR(IF($X$1="ENTERO (redondeo arriba)",ROUNDUP(G11/Z11,0)+1,G11/Z11+1),0),0))</f>
        <v>0</v>
      </c>
      <c r="AE11" s="108">
        <f t="shared" ref="AE11:AE23" si="10">IF(B11="","",IF(D11="TAPADA",AC11*AD11,0))</f>
        <v>0</v>
      </c>
      <c r="AF11" s="108">
        <f t="shared" ref="AF11:AF23" si="11">IF(B11="","",IF(D11="TAPADA",AE11*Y11,0))</f>
        <v>0</v>
      </c>
      <c r="AG11" s="145">
        <f t="shared" ref="AG11:AG37" si="12">IF(B11="","",W11+AF11)</f>
        <v>87.102400000000003</v>
      </c>
    </row>
    <row r="12" spans="1:33" ht="36.5" customHeight="1">
      <c r="A12" s="138">
        <v>2</v>
      </c>
      <c r="B12" s="106" t="s">
        <v>186</v>
      </c>
      <c r="C12" s="106" t="s">
        <v>406</v>
      </c>
      <c r="D12" s="139" t="s">
        <v>249</v>
      </c>
      <c r="E12" s="106" t="s">
        <v>364</v>
      </c>
      <c r="F12" s="106" t="s">
        <v>365</v>
      </c>
      <c r="G12" s="107">
        <v>5.14</v>
      </c>
      <c r="H12" s="106" t="s">
        <v>250</v>
      </c>
      <c r="I12" s="140">
        <f>IF(H12="","",IFERROR(VLOOKUP(H12,Listas!$A$4:$B$11,2,FALSE),""))</f>
        <v>0.56000000000000005</v>
      </c>
      <c r="J12" s="107">
        <v>0.23</v>
      </c>
      <c r="K12" s="107">
        <v>8</v>
      </c>
      <c r="L12" s="107">
        <v>8</v>
      </c>
      <c r="M12" s="141">
        <f t="shared" si="0"/>
        <v>8</v>
      </c>
      <c r="N12" s="141">
        <f t="shared" ref="N12:N37" si="13">IF(B12="","",G12*M12)</f>
        <v>41.12</v>
      </c>
      <c r="O12" s="141">
        <f t="shared" ref="O12:O37" si="14">IF(B12="","",N12*I12)</f>
        <v>23.027200000000001</v>
      </c>
      <c r="P12" s="107">
        <v>0.25</v>
      </c>
      <c r="Q12" s="107">
        <v>1.5</v>
      </c>
      <c r="R12" s="107">
        <v>1.58</v>
      </c>
      <c r="S12" s="141">
        <f t="shared" ref="S12:S37" si="15">IF(B12="","",(Q12+R12)/2)</f>
        <v>1.54</v>
      </c>
      <c r="T12" s="141">
        <f t="shared" ref="T12:T37" si="16">IF(B12="","",IFERROR(IF($X$1="ENTERO (redondeo arriba)",ROUNDUP(G12/P12,0)+1,G12/P12+1),0))</f>
        <v>21.56</v>
      </c>
      <c r="U12" s="141">
        <f t="shared" ref="U12:U37" si="17">IF(B12="","",S12*T12)</f>
        <v>33.202399999999997</v>
      </c>
      <c r="V12" s="141">
        <f t="shared" ref="V12:V37" si="18">IF(B12="","",U12*I12)</f>
        <v>18.593344000000002</v>
      </c>
      <c r="W12" s="141">
        <f t="shared" ref="W12:W37" si="19">IF(B12="","",O12+V12)</f>
        <v>41.620544000000002</v>
      </c>
      <c r="X12" s="142" t="s">
        <v>250</v>
      </c>
      <c r="Y12" s="143">
        <v>0.56000000000000005</v>
      </c>
      <c r="Z12" s="144">
        <v>0.25</v>
      </c>
      <c r="AA12" s="144">
        <v>0.56000000000000005</v>
      </c>
      <c r="AB12" s="144">
        <v>0.56000000000000005</v>
      </c>
      <c r="AC12" s="108">
        <f t="shared" si="8"/>
        <v>0.56000000000000005</v>
      </c>
      <c r="AD12" s="108">
        <f t="shared" si="9"/>
        <v>21.56</v>
      </c>
      <c r="AE12" s="108">
        <f t="shared" si="10"/>
        <v>12.073600000000001</v>
      </c>
      <c r="AF12" s="108">
        <f t="shared" si="11"/>
        <v>6.761216000000001</v>
      </c>
      <c r="AG12" s="145">
        <f t="shared" si="12"/>
        <v>48.38176</v>
      </c>
    </row>
    <row r="13" spans="1:33" ht="36.5" customHeight="1">
      <c r="A13" s="138">
        <v>3</v>
      </c>
      <c r="B13" s="106" t="s">
        <v>187</v>
      </c>
      <c r="C13" s="106" t="s">
        <v>363</v>
      </c>
      <c r="D13" s="139" t="s">
        <v>55</v>
      </c>
      <c r="E13" s="106" t="s">
        <v>367</v>
      </c>
      <c r="F13" s="106" t="s">
        <v>368</v>
      </c>
      <c r="G13" s="107">
        <v>17.5</v>
      </c>
      <c r="H13" s="106" t="s">
        <v>250</v>
      </c>
      <c r="I13" s="140">
        <f>IF(H13="","",IFERROR(VLOOKUP(H13,Listas!$A$4:$B$11,2,FALSE),""))</f>
        <v>0.56000000000000005</v>
      </c>
      <c r="J13" s="107">
        <v>0.23</v>
      </c>
      <c r="K13" s="107">
        <v>7</v>
      </c>
      <c r="L13" s="107">
        <v>7</v>
      </c>
      <c r="M13" s="141">
        <f t="shared" ref="M13:M14" si="20">IF(B13="","",(K13+L13)/2)</f>
        <v>7</v>
      </c>
      <c r="N13" s="141">
        <f t="shared" ref="N13:N14" si="21">IF(B13="","",G13*M13)</f>
        <v>122.5</v>
      </c>
      <c r="O13" s="141">
        <f t="shared" ref="O13:O14" si="22">IF(B13="","",N13*I13)</f>
        <v>68.600000000000009</v>
      </c>
      <c r="P13" s="107">
        <v>0.25</v>
      </c>
      <c r="Q13" s="107">
        <v>1.42</v>
      </c>
      <c r="R13" s="107">
        <v>1.58</v>
      </c>
      <c r="S13" s="141">
        <f t="shared" si="15"/>
        <v>1.5</v>
      </c>
      <c r="T13" s="141">
        <f t="shared" si="16"/>
        <v>71</v>
      </c>
      <c r="U13" s="141">
        <f t="shared" si="17"/>
        <v>106.5</v>
      </c>
      <c r="V13" s="141">
        <f t="shared" si="18"/>
        <v>59.640000000000008</v>
      </c>
      <c r="W13" s="141">
        <f t="shared" si="19"/>
        <v>128.24</v>
      </c>
      <c r="X13" s="142"/>
      <c r="Y13" s="143" t="s">
        <v>413</v>
      </c>
      <c r="Z13" s="144"/>
      <c r="AA13" s="144"/>
      <c r="AB13" s="144"/>
      <c r="AC13" s="108">
        <f t="shared" si="8"/>
        <v>0</v>
      </c>
      <c r="AD13" s="108">
        <f t="shared" si="9"/>
        <v>0</v>
      </c>
      <c r="AE13" s="108">
        <f t="shared" si="10"/>
        <v>0</v>
      </c>
      <c r="AF13" s="108">
        <f t="shared" si="11"/>
        <v>0</v>
      </c>
      <c r="AG13" s="145">
        <f t="shared" si="12"/>
        <v>128.24</v>
      </c>
    </row>
    <row r="14" spans="1:33" ht="36.5" customHeight="1">
      <c r="A14" s="138">
        <v>4</v>
      </c>
      <c r="B14" s="106" t="s">
        <v>187</v>
      </c>
      <c r="C14" s="106" t="s">
        <v>406</v>
      </c>
      <c r="D14" s="139" t="s">
        <v>249</v>
      </c>
      <c r="E14" s="106" t="s">
        <v>368</v>
      </c>
      <c r="F14" s="106" t="s">
        <v>369</v>
      </c>
      <c r="G14" s="107">
        <v>10.199999999999999</v>
      </c>
      <c r="H14" s="106" t="s">
        <v>250</v>
      </c>
      <c r="I14" s="140">
        <f>IF(H14="","",IFERROR(VLOOKUP(H14,Listas!$A$4:$B$11,2,FALSE),""))</f>
        <v>0.56000000000000005</v>
      </c>
      <c r="J14" s="107">
        <v>0.22</v>
      </c>
      <c r="K14" s="107">
        <v>8</v>
      </c>
      <c r="L14" s="107">
        <v>10</v>
      </c>
      <c r="M14" s="141">
        <f t="shared" si="20"/>
        <v>9</v>
      </c>
      <c r="N14" s="141">
        <f t="shared" si="21"/>
        <v>91.8</v>
      </c>
      <c r="O14" s="141">
        <f t="shared" si="22"/>
        <v>51.408000000000001</v>
      </c>
      <c r="P14" s="107">
        <v>0.25</v>
      </c>
      <c r="Q14" s="107">
        <v>1.58</v>
      </c>
      <c r="R14" s="107">
        <v>1.66</v>
      </c>
      <c r="S14" s="141">
        <f t="shared" si="15"/>
        <v>1.62</v>
      </c>
      <c r="T14" s="141">
        <f t="shared" si="16"/>
        <v>41.8</v>
      </c>
      <c r="U14" s="141">
        <f t="shared" si="17"/>
        <v>67.715999999999994</v>
      </c>
      <c r="V14" s="141">
        <f t="shared" si="18"/>
        <v>37.920960000000001</v>
      </c>
      <c r="W14" s="141">
        <f t="shared" si="19"/>
        <v>89.328959999999995</v>
      </c>
      <c r="X14" s="142" t="s">
        <v>250</v>
      </c>
      <c r="Y14" s="143">
        <v>0.56000000000000005</v>
      </c>
      <c r="Z14" s="144">
        <v>0.25</v>
      </c>
      <c r="AA14" s="144">
        <v>0.56000000000000005</v>
      </c>
      <c r="AB14" s="144">
        <v>0.56000000000000005</v>
      </c>
      <c r="AC14" s="108">
        <f t="shared" si="8"/>
        <v>0.56000000000000005</v>
      </c>
      <c r="AD14" s="108">
        <f t="shared" si="9"/>
        <v>41.8</v>
      </c>
      <c r="AE14" s="108">
        <f t="shared" si="10"/>
        <v>23.408000000000001</v>
      </c>
      <c r="AF14" s="108">
        <f t="shared" si="11"/>
        <v>13.108480000000002</v>
      </c>
      <c r="AG14" s="145">
        <f t="shared" si="12"/>
        <v>102.43744</v>
      </c>
    </row>
    <row r="15" spans="1:33" ht="36.5" customHeight="1">
      <c r="A15" s="138">
        <v>5</v>
      </c>
      <c r="B15" s="106" t="s">
        <v>187</v>
      </c>
      <c r="C15" s="106" t="s">
        <v>407</v>
      </c>
      <c r="D15" s="139" t="s">
        <v>55</v>
      </c>
      <c r="E15" s="106" t="s">
        <v>369</v>
      </c>
      <c r="F15" s="106" t="s">
        <v>370</v>
      </c>
      <c r="G15" s="107">
        <v>31.33</v>
      </c>
      <c r="H15" s="106" t="s">
        <v>250</v>
      </c>
      <c r="I15" s="140">
        <f>IF(H15="","",IFERROR(VLOOKUP(H15,Listas!$A$4:$B$11,2,FALSE),""))</f>
        <v>0.56000000000000005</v>
      </c>
      <c r="J15" s="107">
        <v>0.2</v>
      </c>
      <c r="K15" s="107">
        <v>9</v>
      </c>
      <c r="L15" s="107">
        <v>9</v>
      </c>
      <c r="M15" s="141">
        <f t="shared" si="0"/>
        <v>9</v>
      </c>
      <c r="N15" s="141">
        <f t="shared" si="13"/>
        <v>281.96999999999997</v>
      </c>
      <c r="O15" s="141">
        <f t="shared" si="14"/>
        <v>157.9032</v>
      </c>
      <c r="P15" s="107">
        <v>0.25</v>
      </c>
      <c r="Q15" s="107">
        <v>1.66</v>
      </c>
      <c r="R15" s="107">
        <v>2.02</v>
      </c>
      <c r="S15" s="141">
        <f t="shared" si="15"/>
        <v>1.8399999999999999</v>
      </c>
      <c r="T15" s="141">
        <f t="shared" si="16"/>
        <v>126.32</v>
      </c>
      <c r="U15" s="141">
        <f t="shared" si="17"/>
        <v>232.42879999999997</v>
      </c>
      <c r="V15" s="141">
        <f t="shared" si="18"/>
        <v>130.16012799999999</v>
      </c>
      <c r="W15" s="141">
        <f t="shared" si="19"/>
        <v>288.06332799999996</v>
      </c>
      <c r="X15" s="142"/>
      <c r="Y15" s="143" t="s">
        <v>413</v>
      </c>
      <c r="Z15" s="144"/>
      <c r="AA15" s="144"/>
      <c r="AB15" s="144"/>
      <c r="AC15" s="108">
        <f t="shared" si="8"/>
        <v>0</v>
      </c>
      <c r="AD15" s="108">
        <f t="shared" si="9"/>
        <v>0</v>
      </c>
      <c r="AE15" s="108">
        <f t="shared" si="10"/>
        <v>0</v>
      </c>
      <c r="AF15" s="108">
        <f t="shared" si="11"/>
        <v>0</v>
      </c>
      <c r="AG15" s="145">
        <f t="shared" si="12"/>
        <v>288.06332799999996</v>
      </c>
    </row>
    <row r="16" spans="1:33" ht="36.5" customHeight="1">
      <c r="A16" s="138">
        <v>6</v>
      </c>
      <c r="B16" s="106" t="s">
        <v>187</v>
      </c>
      <c r="C16" s="106" t="s">
        <v>408</v>
      </c>
      <c r="D16" s="139" t="s">
        <v>249</v>
      </c>
      <c r="E16" s="106" t="s">
        <v>370</v>
      </c>
      <c r="F16" s="106" t="s">
        <v>371</v>
      </c>
      <c r="G16" s="107">
        <v>8.36</v>
      </c>
      <c r="H16" s="106" t="s">
        <v>250</v>
      </c>
      <c r="I16" s="140">
        <f>IF(H16="","",IFERROR(VLOOKUP(H16,Listas!$A$4:$B$11,2,FALSE),""))</f>
        <v>0.56000000000000005</v>
      </c>
      <c r="J16" s="107">
        <v>0.23</v>
      </c>
      <c r="K16" s="107">
        <v>10</v>
      </c>
      <c r="L16" s="107">
        <v>10</v>
      </c>
      <c r="M16" s="141">
        <f t="shared" si="0"/>
        <v>10</v>
      </c>
      <c r="N16" s="141">
        <f t="shared" si="13"/>
        <v>83.6</v>
      </c>
      <c r="O16" s="141">
        <f t="shared" si="14"/>
        <v>46.816000000000003</v>
      </c>
      <c r="P16" s="107">
        <v>0.25</v>
      </c>
      <c r="Q16" s="107">
        <v>2.02</v>
      </c>
      <c r="R16" s="107">
        <v>2.08</v>
      </c>
      <c r="S16" s="141">
        <f t="shared" si="15"/>
        <v>2.0499999999999998</v>
      </c>
      <c r="T16" s="141">
        <f t="shared" si="16"/>
        <v>34.44</v>
      </c>
      <c r="U16" s="141">
        <f t="shared" si="17"/>
        <v>70.60199999999999</v>
      </c>
      <c r="V16" s="141">
        <f t="shared" si="18"/>
        <v>39.537119999999994</v>
      </c>
      <c r="W16" s="141">
        <f t="shared" si="19"/>
        <v>86.35311999999999</v>
      </c>
      <c r="X16" s="142" t="s">
        <v>250</v>
      </c>
      <c r="Y16" s="143">
        <v>0.56000000000000005</v>
      </c>
      <c r="Z16" s="144">
        <v>0.25</v>
      </c>
      <c r="AA16" s="144">
        <v>0.56000000000000005</v>
      </c>
      <c r="AB16" s="144">
        <v>0.56000000000000005</v>
      </c>
      <c r="AC16" s="108">
        <f t="shared" si="8"/>
        <v>0.56000000000000005</v>
      </c>
      <c r="AD16" s="108">
        <f t="shared" si="9"/>
        <v>34.44</v>
      </c>
      <c r="AE16" s="108">
        <f t="shared" si="10"/>
        <v>19.2864</v>
      </c>
      <c r="AF16" s="108">
        <f t="shared" si="11"/>
        <v>10.800384000000001</v>
      </c>
      <c r="AG16" s="145">
        <f t="shared" si="12"/>
        <v>97.153503999999998</v>
      </c>
    </row>
    <row r="17" spans="1:33" ht="36.5" customHeight="1">
      <c r="A17" s="138">
        <v>7</v>
      </c>
      <c r="B17" s="106" t="s">
        <v>187</v>
      </c>
      <c r="C17" s="106" t="s">
        <v>409</v>
      </c>
      <c r="D17" s="139" t="s">
        <v>55</v>
      </c>
      <c r="E17" s="106" t="s">
        <v>372</v>
      </c>
      <c r="F17" s="106" t="s">
        <v>373</v>
      </c>
      <c r="G17" s="107">
        <v>30.36</v>
      </c>
      <c r="H17" s="106" t="s">
        <v>250</v>
      </c>
      <c r="I17" s="140">
        <f>IF(H17="","",IFERROR(VLOOKUP(H17,Listas!$A$4:$B$11,2,FALSE),""))</f>
        <v>0.56000000000000005</v>
      </c>
      <c r="J17" s="107">
        <v>0.22</v>
      </c>
      <c r="K17" s="107">
        <v>9</v>
      </c>
      <c r="L17" s="107">
        <v>11</v>
      </c>
      <c r="M17" s="141">
        <f t="shared" si="0"/>
        <v>10</v>
      </c>
      <c r="N17" s="141">
        <f t="shared" si="13"/>
        <v>303.60000000000002</v>
      </c>
      <c r="O17" s="141">
        <f t="shared" si="14"/>
        <v>170.01600000000002</v>
      </c>
      <c r="P17" s="107">
        <v>0.25</v>
      </c>
      <c r="Q17" s="107">
        <v>2.08</v>
      </c>
      <c r="R17" s="107">
        <v>2.36</v>
      </c>
      <c r="S17" s="141">
        <f t="shared" si="15"/>
        <v>2.2199999999999998</v>
      </c>
      <c r="T17" s="141">
        <f t="shared" si="16"/>
        <v>122.44</v>
      </c>
      <c r="U17" s="141">
        <f t="shared" si="17"/>
        <v>271.81679999999994</v>
      </c>
      <c r="V17" s="141">
        <f t="shared" si="18"/>
        <v>152.21740799999998</v>
      </c>
      <c r="W17" s="141">
        <f t="shared" si="19"/>
        <v>322.233408</v>
      </c>
      <c r="X17" s="142"/>
      <c r="Y17" s="143" t="s">
        <v>413</v>
      </c>
      <c r="Z17" s="144"/>
      <c r="AA17" s="144"/>
      <c r="AB17" s="144"/>
      <c r="AC17" s="108">
        <f t="shared" si="8"/>
        <v>0</v>
      </c>
      <c r="AD17" s="108">
        <f t="shared" si="9"/>
        <v>0</v>
      </c>
      <c r="AE17" s="108">
        <f t="shared" si="10"/>
        <v>0</v>
      </c>
      <c r="AF17" s="108">
        <f t="shared" si="11"/>
        <v>0</v>
      </c>
      <c r="AG17" s="145">
        <f t="shared" si="12"/>
        <v>322.233408</v>
      </c>
    </row>
    <row r="18" spans="1:33" ht="36.5" customHeight="1">
      <c r="A18" s="138">
        <v>8</v>
      </c>
      <c r="B18" s="106" t="s">
        <v>187</v>
      </c>
      <c r="C18" s="106" t="s">
        <v>410</v>
      </c>
      <c r="D18" s="139" t="s">
        <v>249</v>
      </c>
      <c r="E18" s="106" t="s">
        <v>373</v>
      </c>
      <c r="F18" s="106" t="s">
        <v>374</v>
      </c>
      <c r="G18" s="107">
        <v>2.25</v>
      </c>
      <c r="H18" s="106" t="s">
        <v>250</v>
      </c>
      <c r="I18" s="140">
        <f>IF(H18="","",IFERROR(VLOOKUP(H18,Listas!$A$4:$B$11,2,FALSE),""))</f>
        <v>0.56000000000000005</v>
      </c>
      <c r="J18" s="107">
        <v>0.22</v>
      </c>
      <c r="K18" s="107">
        <v>12</v>
      </c>
      <c r="L18" s="107">
        <v>12</v>
      </c>
      <c r="M18" s="141">
        <f t="shared" si="0"/>
        <v>12</v>
      </c>
      <c r="N18" s="141">
        <f t="shared" si="13"/>
        <v>27</v>
      </c>
      <c r="O18" s="141">
        <f t="shared" si="14"/>
        <v>15.120000000000001</v>
      </c>
      <c r="P18" s="107">
        <v>0.25</v>
      </c>
      <c r="Q18" s="107">
        <v>2.36</v>
      </c>
      <c r="R18" s="107">
        <v>2.42</v>
      </c>
      <c r="S18" s="141">
        <f t="shared" si="15"/>
        <v>2.3899999999999997</v>
      </c>
      <c r="T18" s="141">
        <f t="shared" si="16"/>
        <v>10</v>
      </c>
      <c r="U18" s="141">
        <f t="shared" si="17"/>
        <v>23.9</v>
      </c>
      <c r="V18" s="141">
        <f t="shared" si="18"/>
        <v>13.384</v>
      </c>
      <c r="W18" s="141">
        <f t="shared" si="19"/>
        <v>28.504000000000001</v>
      </c>
      <c r="X18" s="142" t="s">
        <v>250</v>
      </c>
      <c r="Y18" s="143">
        <v>0.56000000000000005</v>
      </c>
      <c r="Z18" s="144">
        <v>0.25</v>
      </c>
      <c r="AA18" s="144">
        <v>0.56000000000000005</v>
      </c>
      <c r="AB18" s="144">
        <v>0.56000000000000005</v>
      </c>
      <c r="AC18" s="108">
        <f t="shared" si="8"/>
        <v>0.56000000000000005</v>
      </c>
      <c r="AD18" s="108">
        <f t="shared" si="9"/>
        <v>10</v>
      </c>
      <c r="AE18" s="108">
        <f t="shared" si="10"/>
        <v>5.6000000000000005</v>
      </c>
      <c r="AF18" s="108">
        <f t="shared" si="11"/>
        <v>3.1360000000000006</v>
      </c>
      <c r="AG18" s="145">
        <f t="shared" si="12"/>
        <v>31.64</v>
      </c>
    </row>
    <row r="19" spans="1:33" ht="36.5" customHeight="1">
      <c r="A19" s="138">
        <v>9</v>
      </c>
      <c r="B19" s="106" t="s">
        <v>187</v>
      </c>
      <c r="C19" s="106" t="s">
        <v>411</v>
      </c>
      <c r="D19" s="139" t="s">
        <v>249</v>
      </c>
      <c r="E19" s="106" t="s">
        <v>375</v>
      </c>
      <c r="F19" s="106" t="s">
        <v>376</v>
      </c>
      <c r="G19" s="107">
        <v>10.85</v>
      </c>
      <c r="H19" s="106" t="s">
        <v>250</v>
      </c>
      <c r="I19" s="140">
        <f>IF(H19="","",IFERROR(VLOOKUP(H19,Listas!$A$4:$B$11,2,FALSE),""))</f>
        <v>0.56000000000000005</v>
      </c>
      <c r="J19" s="107">
        <v>0.21</v>
      </c>
      <c r="K19" s="107">
        <v>12</v>
      </c>
      <c r="L19" s="107">
        <v>12</v>
      </c>
      <c r="M19" s="141">
        <f t="shared" si="0"/>
        <v>12</v>
      </c>
      <c r="N19" s="141">
        <f t="shared" si="13"/>
        <v>130.19999999999999</v>
      </c>
      <c r="O19" s="141">
        <f t="shared" si="14"/>
        <v>72.912000000000006</v>
      </c>
      <c r="P19" s="107">
        <v>0.25</v>
      </c>
      <c r="Q19" s="107">
        <v>2.3199999999999998</v>
      </c>
      <c r="R19" s="107">
        <v>2.42</v>
      </c>
      <c r="S19" s="141">
        <f t="shared" si="15"/>
        <v>2.37</v>
      </c>
      <c r="T19" s="141">
        <f t="shared" si="16"/>
        <v>44.4</v>
      </c>
      <c r="U19" s="141">
        <f t="shared" si="17"/>
        <v>105.22799999999999</v>
      </c>
      <c r="V19" s="141">
        <f t="shared" si="18"/>
        <v>58.927680000000002</v>
      </c>
      <c r="W19" s="141">
        <f t="shared" si="19"/>
        <v>131.83968000000002</v>
      </c>
      <c r="X19" s="142" t="s">
        <v>250</v>
      </c>
      <c r="Y19" s="143">
        <v>0.56000000000000005</v>
      </c>
      <c r="Z19" s="144">
        <v>0.25</v>
      </c>
      <c r="AA19" s="144">
        <v>0.56000000000000005</v>
      </c>
      <c r="AB19" s="144">
        <v>0.56000000000000005</v>
      </c>
      <c r="AC19" s="108">
        <f t="shared" si="8"/>
        <v>0.56000000000000005</v>
      </c>
      <c r="AD19" s="108">
        <f t="shared" si="9"/>
        <v>44.4</v>
      </c>
      <c r="AE19" s="108">
        <f t="shared" si="10"/>
        <v>24.864000000000001</v>
      </c>
      <c r="AF19" s="108">
        <f t="shared" si="11"/>
        <v>13.923840000000002</v>
      </c>
      <c r="AG19" s="145">
        <f t="shared" si="12"/>
        <v>145.76352000000003</v>
      </c>
    </row>
    <row r="20" spans="1:33" ht="36.5" customHeight="1">
      <c r="A20" s="138">
        <v>10</v>
      </c>
      <c r="B20" s="106" t="s">
        <v>190</v>
      </c>
      <c r="C20" s="106" t="s">
        <v>363</v>
      </c>
      <c r="D20" s="139" t="s">
        <v>55</v>
      </c>
      <c r="E20" s="106" t="s">
        <v>377</v>
      </c>
      <c r="F20" s="106" t="s">
        <v>378</v>
      </c>
      <c r="G20" s="107">
        <v>17.53</v>
      </c>
      <c r="H20" s="106" t="s">
        <v>250</v>
      </c>
      <c r="I20" s="140">
        <f>IF(H20="","",IFERROR(VLOOKUP(H20,Listas!$A$4:$B$11,2,FALSE),""))</f>
        <v>0.56000000000000005</v>
      </c>
      <c r="J20" s="107">
        <v>0.22</v>
      </c>
      <c r="K20" s="107">
        <v>7</v>
      </c>
      <c r="L20" s="107">
        <v>7</v>
      </c>
      <c r="M20" s="141">
        <f t="shared" si="0"/>
        <v>7</v>
      </c>
      <c r="N20" s="141">
        <f t="shared" si="13"/>
        <v>122.71000000000001</v>
      </c>
      <c r="O20" s="141">
        <f t="shared" si="14"/>
        <v>68.717600000000004</v>
      </c>
      <c r="P20" s="107">
        <v>0.25</v>
      </c>
      <c r="Q20" s="107">
        <v>1.42</v>
      </c>
      <c r="R20" s="107">
        <v>1.58</v>
      </c>
      <c r="S20" s="141">
        <f t="shared" si="15"/>
        <v>1.5</v>
      </c>
      <c r="T20" s="141">
        <f t="shared" si="16"/>
        <v>71.12</v>
      </c>
      <c r="U20" s="141">
        <f t="shared" si="17"/>
        <v>106.68</v>
      </c>
      <c r="V20" s="141">
        <f t="shared" si="18"/>
        <v>59.740800000000007</v>
      </c>
      <c r="W20" s="141">
        <f t="shared" si="19"/>
        <v>128.45840000000001</v>
      </c>
      <c r="X20" s="142"/>
      <c r="Y20" s="143" t="s">
        <v>413</v>
      </c>
      <c r="Z20" s="144"/>
      <c r="AA20" s="144"/>
      <c r="AB20" s="144"/>
      <c r="AC20" s="108">
        <f t="shared" si="8"/>
        <v>0</v>
      </c>
      <c r="AD20" s="108">
        <f t="shared" si="9"/>
        <v>0</v>
      </c>
      <c r="AE20" s="108">
        <f t="shared" si="10"/>
        <v>0</v>
      </c>
      <c r="AF20" s="108">
        <f t="shared" si="11"/>
        <v>0</v>
      </c>
      <c r="AG20" s="145">
        <f t="shared" si="12"/>
        <v>128.45840000000001</v>
      </c>
    </row>
    <row r="21" spans="1:33" ht="36.5" customHeight="1">
      <c r="A21" s="138">
        <v>11</v>
      </c>
      <c r="B21" s="106" t="s">
        <v>190</v>
      </c>
      <c r="C21" s="106" t="s">
        <v>406</v>
      </c>
      <c r="D21" s="139" t="s">
        <v>249</v>
      </c>
      <c r="E21" s="106" t="s">
        <v>378</v>
      </c>
      <c r="F21" s="106" t="s">
        <v>379</v>
      </c>
      <c r="G21" s="107">
        <v>5.7</v>
      </c>
      <c r="H21" s="106" t="s">
        <v>250</v>
      </c>
      <c r="I21" s="140">
        <f>IF(H21="","",IFERROR(VLOOKUP(H21,Listas!$A$4:$B$11,2,FALSE),""))</f>
        <v>0.56000000000000005</v>
      </c>
      <c r="J21" s="107">
        <v>0.21</v>
      </c>
      <c r="K21" s="107">
        <v>8</v>
      </c>
      <c r="L21" s="107">
        <v>10</v>
      </c>
      <c r="M21" s="141">
        <f t="shared" si="0"/>
        <v>9</v>
      </c>
      <c r="N21" s="141">
        <f t="shared" si="13"/>
        <v>51.300000000000004</v>
      </c>
      <c r="O21" s="141">
        <f t="shared" si="14"/>
        <v>28.728000000000005</v>
      </c>
      <c r="P21" s="107">
        <v>0.25</v>
      </c>
      <c r="Q21" s="107">
        <v>1.58</v>
      </c>
      <c r="R21" s="107">
        <v>1.62</v>
      </c>
      <c r="S21" s="141">
        <f t="shared" si="15"/>
        <v>1.6</v>
      </c>
      <c r="T21" s="141">
        <f t="shared" si="16"/>
        <v>23.8</v>
      </c>
      <c r="U21" s="141">
        <f t="shared" si="17"/>
        <v>38.080000000000005</v>
      </c>
      <c r="V21" s="141">
        <f t="shared" si="18"/>
        <v>21.324800000000003</v>
      </c>
      <c r="W21" s="141">
        <f t="shared" si="19"/>
        <v>50.052800000000005</v>
      </c>
      <c r="X21" s="142" t="s">
        <v>250</v>
      </c>
      <c r="Y21" s="143">
        <v>0.56000000000000005</v>
      </c>
      <c r="Z21" s="144">
        <v>0.25</v>
      </c>
      <c r="AA21" s="144">
        <v>0.56000000000000005</v>
      </c>
      <c r="AB21" s="144">
        <v>0.56000000000000005</v>
      </c>
      <c r="AC21" s="108">
        <f t="shared" si="8"/>
        <v>0.56000000000000005</v>
      </c>
      <c r="AD21" s="108">
        <f t="shared" si="9"/>
        <v>23.8</v>
      </c>
      <c r="AE21" s="108">
        <f t="shared" si="10"/>
        <v>13.328000000000001</v>
      </c>
      <c r="AF21" s="108">
        <f t="shared" si="11"/>
        <v>7.463680000000001</v>
      </c>
      <c r="AG21" s="145">
        <f t="shared" si="12"/>
        <v>57.516480000000008</v>
      </c>
    </row>
    <row r="22" spans="1:33" ht="36.5" customHeight="1">
      <c r="A22" s="138">
        <v>12</v>
      </c>
      <c r="B22" s="106" t="s">
        <v>191</v>
      </c>
      <c r="C22" s="106" t="s">
        <v>363</v>
      </c>
      <c r="D22" s="139" t="s">
        <v>55</v>
      </c>
      <c r="E22" s="106" t="s">
        <v>380</v>
      </c>
      <c r="F22" s="106" t="s">
        <v>381</v>
      </c>
      <c r="G22" s="107">
        <v>17.53</v>
      </c>
      <c r="H22" s="106" t="s">
        <v>250</v>
      </c>
      <c r="I22" s="140">
        <f>IF(H22="","",IFERROR(VLOOKUP(H22,Listas!$A$4:$B$11,2,FALSE),""))</f>
        <v>0.56000000000000005</v>
      </c>
      <c r="J22" s="107">
        <v>0.22</v>
      </c>
      <c r="K22" s="107">
        <v>7</v>
      </c>
      <c r="L22" s="107">
        <v>7</v>
      </c>
      <c r="M22" s="141">
        <f t="shared" si="0"/>
        <v>7</v>
      </c>
      <c r="N22" s="141">
        <f t="shared" si="13"/>
        <v>122.71000000000001</v>
      </c>
      <c r="O22" s="141">
        <f t="shared" si="14"/>
        <v>68.717600000000004</v>
      </c>
      <c r="P22" s="107">
        <v>0.25</v>
      </c>
      <c r="Q22" s="107">
        <v>1.42</v>
      </c>
      <c r="R22" s="107">
        <v>1.58</v>
      </c>
      <c r="S22" s="141">
        <f t="shared" si="15"/>
        <v>1.5</v>
      </c>
      <c r="T22" s="141">
        <f t="shared" si="16"/>
        <v>71.12</v>
      </c>
      <c r="U22" s="141">
        <f t="shared" si="17"/>
        <v>106.68</v>
      </c>
      <c r="V22" s="141">
        <f t="shared" si="18"/>
        <v>59.740800000000007</v>
      </c>
      <c r="W22" s="141">
        <f t="shared" si="19"/>
        <v>128.45840000000001</v>
      </c>
      <c r="X22" s="142"/>
      <c r="Y22" s="143" t="s">
        <v>413</v>
      </c>
      <c r="Z22" s="144"/>
      <c r="AA22" s="144"/>
      <c r="AB22" s="144"/>
      <c r="AC22" s="108">
        <f t="shared" si="8"/>
        <v>0</v>
      </c>
      <c r="AD22" s="108">
        <f t="shared" si="9"/>
        <v>0</v>
      </c>
      <c r="AE22" s="108">
        <f t="shared" si="10"/>
        <v>0</v>
      </c>
      <c r="AF22" s="108">
        <f t="shared" si="11"/>
        <v>0</v>
      </c>
      <c r="AG22" s="145">
        <f t="shared" si="12"/>
        <v>128.45840000000001</v>
      </c>
    </row>
    <row r="23" spans="1:33" ht="36.5" customHeight="1">
      <c r="A23" s="138">
        <v>13</v>
      </c>
      <c r="B23" s="106" t="s">
        <v>191</v>
      </c>
      <c r="C23" s="106" t="s">
        <v>406</v>
      </c>
      <c r="D23" s="139" t="s">
        <v>249</v>
      </c>
      <c r="E23" s="106" t="s">
        <v>381</v>
      </c>
      <c r="F23" s="106" t="s">
        <v>382</v>
      </c>
      <c r="G23" s="107">
        <v>10.9</v>
      </c>
      <c r="H23" s="106" t="s">
        <v>250</v>
      </c>
      <c r="I23" s="140">
        <f>IF(H23="","",IFERROR(VLOOKUP(H23,Listas!$A$4:$B$11,2,FALSE),""))</f>
        <v>0.56000000000000005</v>
      </c>
      <c r="J23" s="107">
        <v>0.22</v>
      </c>
      <c r="K23" s="107">
        <v>8</v>
      </c>
      <c r="L23" s="107">
        <v>10</v>
      </c>
      <c r="M23" s="141">
        <f t="shared" si="0"/>
        <v>9</v>
      </c>
      <c r="N23" s="141">
        <f t="shared" si="13"/>
        <v>98.100000000000009</v>
      </c>
      <c r="O23" s="141">
        <f t="shared" si="14"/>
        <v>54.936000000000007</v>
      </c>
      <c r="P23" s="107">
        <v>0.25</v>
      </c>
      <c r="Q23" s="107">
        <v>1.58</v>
      </c>
      <c r="R23" s="107">
        <v>1.7</v>
      </c>
      <c r="S23" s="141">
        <f t="shared" si="15"/>
        <v>1.6400000000000001</v>
      </c>
      <c r="T23" s="141">
        <f t="shared" si="16"/>
        <v>44.6</v>
      </c>
      <c r="U23" s="141">
        <f t="shared" si="17"/>
        <v>73.144000000000005</v>
      </c>
      <c r="V23" s="141">
        <f t="shared" si="18"/>
        <v>40.960640000000005</v>
      </c>
      <c r="W23" s="141">
        <f t="shared" si="19"/>
        <v>95.896640000000019</v>
      </c>
      <c r="X23" s="142" t="s">
        <v>250</v>
      </c>
      <c r="Y23" s="143">
        <v>0.56000000000000005</v>
      </c>
      <c r="Z23" s="144">
        <v>0.25</v>
      </c>
      <c r="AA23" s="144">
        <v>0.56000000000000005</v>
      </c>
      <c r="AB23" s="144">
        <v>0.56000000000000005</v>
      </c>
      <c r="AC23" s="108">
        <f t="shared" si="8"/>
        <v>0.56000000000000005</v>
      </c>
      <c r="AD23" s="108">
        <f t="shared" si="9"/>
        <v>44.6</v>
      </c>
      <c r="AE23" s="108">
        <f t="shared" si="10"/>
        <v>24.976000000000003</v>
      </c>
      <c r="AF23" s="108">
        <f t="shared" si="11"/>
        <v>13.986560000000003</v>
      </c>
      <c r="AG23" s="145">
        <f t="shared" si="12"/>
        <v>109.88320000000002</v>
      </c>
    </row>
    <row r="24" spans="1:33" ht="36.5" customHeight="1">
      <c r="A24" s="138">
        <v>14</v>
      </c>
      <c r="B24" s="106" t="s">
        <v>191</v>
      </c>
      <c r="C24" s="106" t="s">
        <v>407</v>
      </c>
      <c r="D24" s="139" t="s">
        <v>55</v>
      </c>
      <c r="E24" s="106" t="s">
        <v>383</v>
      </c>
      <c r="F24" s="106" t="s">
        <v>384</v>
      </c>
      <c r="G24" s="107">
        <v>56.93</v>
      </c>
      <c r="H24" s="106" t="s">
        <v>250</v>
      </c>
      <c r="I24" s="140">
        <f>IF(H24="","",IFERROR(VLOOKUP(H24,Listas!$A$4:$B$11,2,FALSE),""))</f>
        <v>0.56000000000000005</v>
      </c>
      <c r="J24" s="107">
        <v>0.2</v>
      </c>
      <c r="K24" s="107">
        <v>9</v>
      </c>
      <c r="L24" s="107">
        <v>11</v>
      </c>
      <c r="M24" s="141">
        <f t="shared" si="0"/>
        <v>10</v>
      </c>
      <c r="N24" s="141">
        <f t="shared" si="13"/>
        <v>569.29999999999995</v>
      </c>
      <c r="O24" s="141">
        <f t="shared" si="14"/>
        <v>318.80799999999999</v>
      </c>
      <c r="P24" s="107">
        <v>0.25</v>
      </c>
      <c r="Q24" s="107">
        <v>1.7</v>
      </c>
      <c r="R24" s="107">
        <v>2.2599999999999998</v>
      </c>
      <c r="S24" s="141">
        <f t="shared" si="15"/>
        <v>1.98</v>
      </c>
      <c r="T24" s="141">
        <f t="shared" si="16"/>
        <v>228.72</v>
      </c>
      <c r="U24" s="141">
        <f t="shared" si="17"/>
        <v>452.86559999999997</v>
      </c>
      <c r="V24" s="141">
        <f t="shared" si="18"/>
        <v>253.604736</v>
      </c>
      <c r="W24" s="141">
        <f t="shared" si="19"/>
        <v>572.412736</v>
      </c>
      <c r="X24" s="142"/>
      <c r="Y24" s="143" t="s">
        <v>413</v>
      </c>
      <c r="Z24" s="144"/>
      <c r="AA24" s="144"/>
      <c r="AB24" s="144"/>
      <c r="AC24" s="108">
        <f t="shared" ref="AC24:AC37" si="23">IF(B24="","",IF(D24="TAPADA",(AA24+AB24)/2,0))</f>
        <v>0</v>
      </c>
      <c r="AD24" s="108">
        <f t="shared" ref="AD24:AD37" si="24">IF(B24="","",IF(D24="TAPADA",IFERROR(IF($X$1="ENTERO (redondeo arriba)",ROUNDUP(G24/Z24,0)+1,G24/Z24+1),0),0))</f>
        <v>0</v>
      </c>
      <c r="AE24" s="108">
        <f t="shared" ref="AE24:AE37" si="25">IF(B24="","",IF(D24="TAPADA",AC24*AD24,0))</f>
        <v>0</v>
      </c>
      <c r="AF24" s="108">
        <f t="shared" ref="AF24:AF37" si="26">IF(B24="","",IF(D24="TAPADA",AE24*Y24,0))</f>
        <v>0</v>
      </c>
      <c r="AG24" s="145">
        <f t="shared" si="12"/>
        <v>572.412736</v>
      </c>
    </row>
    <row r="25" spans="1:33" ht="36.5" customHeight="1">
      <c r="A25" s="138">
        <v>15</v>
      </c>
      <c r="B25" s="106" t="s">
        <v>191</v>
      </c>
      <c r="C25" s="106" t="s">
        <v>408</v>
      </c>
      <c r="D25" s="139" t="s">
        <v>249</v>
      </c>
      <c r="E25" s="106" t="s">
        <v>384</v>
      </c>
      <c r="F25" s="106" t="s">
        <v>385</v>
      </c>
      <c r="G25" s="107">
        <v>15</v>
      </c>
      <c r="H25" s="106" t="s">
        <v>250</v>
      </c>
      <c r="I25" s="140">
        <f>IF(H25="","",IFERROR(VLOOKUP(H25,Listas!$A$4:$B$11,2,FALSE),""))</f>
        <v>0.56000000000000005</v>
      </c>
      <c r="J25" s="107">
        <v>0.21</v>
      </c>
      <c r="K25" s="107">
        <v>12</v>
      </c>
      <c r="L25" s="107">
        <v>12</v>
      </c>
      <c r="M25" s="141">
        <f t="shared" ref="M25" si="27">IF(B25="","",(K25+L25)/2)</f>
        <v>12</v>
      </c>
      <c r="N25" s="141">
        <f t="shared" ref="N25" si="28">IF(B25="","",G25*M25)</f>
        <v>180</v>
      </c>
      <c r="O25" s="141">
        <f t="shared" ref="O25" si="29">IF(B25="","",N25*I25)</f>
        <v>100.80000000000001</v>
      </c>
      <c r="P25" s="107">
        <v>0.25</v>
      </c>
      <c r="Q25" s="107">
        <v>2.2599999999999998</v>
      </c>
      <c r="R25" s="107">
        <v>2.42</v>
      </c>
      <c r="S25" s="141">
        <f t="shared" ref="S25" si="30">IF(B25="","",(Q25+R25)/2)</f>
        <v>2.34</v>
      </c>
      <c r="T25" s="141">
        <f t="shared" ref="T25" si="31">IF(B25="","",IFERROR(IF($X$1="ENTERO (redondeo arriba)",ROUNDUP(G25/P25,0)+1,G25/P25+1),0))</f>
        <v>61</v>
      </c>
      <c r="U25" s="141">
        <f t="shared" ref="U25" si="32">IF(B25="","",S25*T25)</f>
        <v>142.73999999999998</v>
      </c>
      <c r="V25" s="141">
        <f t="shared" ref="V25" si="33">IF(B25="","",U25*I25)</f>
        <v>79.934399999999997</v>
      </c>
      <c r="W25" s="141">
        <f t="shared" ref="W25" si="34">IF(B25="","",O25+V25)</f>
        <v>180.73439999999999</v>
      </c>
      <c r="X25" s="142" t="s">
        <v>250</v>
      </c>
      <c r="Y25" s="143">
        <v>0.56000000000000005</v>
      </c>
      <c r="Z25" s="144">
        <v>0.25</v>
      </c>
      <c r="AA25" s="144">
        <v>0.56000000000000005</v>
      </c>
      <c r="AB25" s="144">
        <v>0.56000000000000005</v>
      </c>
      <c r="AC25" s="108">
        <f t="shared" ref="AC25" si="35">IF(B25="","",IF(D25="TAPADA",(AA25+AB25)/2,0))</f>
        <v>0.56000000000000005</v>
      </c>
      <c r="AD25" s="108">
        <f t="shared" ref="AD25" si="36">IF(B25="","",IF(D25="TAPADA",IFERROR(IF($X$1="ENTERO (redondeo arriba)",ROUNDUP(G25/Z25,0)+1,G25/Z25+1),0),0))</f>
        <v>61</v>
      </c>
      <c r="AE25" s="108">
        <f t="shared" ref="AE25" si="37">IF(B25="","",IF(D25="TAPADA",AC25*AD25,0))</f>
        <v>34.160000000000004</v>
      </c>
      <c r="AF25" s="108">
        <f t="shared" ref="AF25" si="38">IF(B25="","",IF(D25="TAPADA",AE25*Y25,0))</f>
        <v>19.129600000000003</v>
      </c>
      <c r="AG25" s="145">
        <f t="shared" si="12"/>
        <v>199.864</v>
      </c>
    </row>
    <row r="26" spans="1:33" ht="36.5" customHeight="1">
      <c r="A26" s="138">
        <v>16</v>
      </c>
      <c r="B26" s="106" t="s">
        <v>251</v>
      </c>
      <c r="C26" s="106" t="s">
        <v>363</v>
      </c>
      <c r="D26" s="139" t="s">
        <v>55</v>
      </c>
      <c r="E26" s="106" t="s">
        <v>386</v>
      </c>
      <c r="F26" s="106" t="s">
        <v>387</v>
      </c>
      <c r="G26" s="107">
        <v>17.53</v>
      </c>
      <c r="H26" s="106" t="s">
        <v>250</v>
      </c>
      <c r="I26" s="140">
        <f>IF(H26="","",IFERROR(VLOOKUP(H26,Listas!$A$4:$B$11,2,FALSE),""))</f>
        <v>0.56000000000000005</v>
      </c>
      <c r="J26" s="107">
        <v>0.22</v>
      </c>
      <c r="K26" s="107">
        <v>7</v>
      </c>
      <c r="L26" s="107">
        <v>7</v>
      </c>
      <c r="M26" s="141">
        <f t="shared" si="0"/>
        <v>7</v>
      </c>
      <c r="N26" s="141">
        <f t="shared" si="13"/>
        <v>122.71000000000001</v>
      </c>
      <c r="O26" s="141">
        <f t="shared" si="14"/>
        <v>68.717600000000004</v>
      </c>
      <c r="P26" s="107">
        <v>0.25</v>
      </c>
      <c r="Q26" s="107">
        <v>1.42</v>
      </c>
      <c r="R26" s="107">
        <v>1.58</v>
      </c>
      <c r="S26" s="141">
        <f t="shared" si="15"/>
        <v>1.5</v>
      </c>
      <c r="T26" s="141">
        <f t="shared" si="16"/>
        <v>71.12</v>
      </c>
      <c r="U26" s="141">
        <f t="shared" si="17"/>
        <v>106.68</v>
      </c>
      <c r="V26" s="141">
        <f t="shared" si="18"/>
        <v>59.740800000000007</v>
      </c>
      <c r="W26" s="141">
        <f t="shared" si="19"/>
        <v>128.45840000000001</v>
      </c>
      <c r="X26" s="142"/>
      <c r="Y26" s="143" t="s">
        <v>413</v>
      </c>
      <c r="Z26" s="144"/>
      <c r="AA26" s="144"/>
      <c r="AB26" s="144"/>
      <c r="AC26" s="108">
        <f t="shared" si="23"/>
        <v>0</v>
      </c>
      <c r="AD26" s="108">
        <f t="shared" si="24"/>
        <v>0</v>
      </c>
      <c r="AE26" s="108">
        <f t="shared" si="25"/>
        <v>0</v>
      </c>
      <c r="AF26" s="108">
        <f t="shared" si="26"/>
        <v>0</v>
      </c>
      <c r="AG26" s="145">
        <f t="shared" si="12"/>
        <v>128.45840000000001</v>
      </c>
    </row>
    <row r="27" spans="1:33" ht="36.5" customHeight="1">
      <c r="A27" s="138">
        <v>17</v>
      </c>
      <c r="B27" s="106" t="s">
        <v>251</v>
      </c>
      <c r="C27" s="106" t="s">
        <v>406</v>
      </c>
      <c r="D27" s="139" t="s">
        <v>249</v>
      </c>
      <c r="E27" s="106" t="s">
        <v>387</v>
      </c>
      <c r="F27" s="106" t="s">
        <v>388</v>
      </c>
      <c r="G27" s="107">
        <v>7.66</v>
      </c>
      <c r="H27" s="106" t="s">
        <v>250</v>
      </c>
      <c r="I27" s="140">
        <f>IF(H27="","",IFERROR(VLOOKUP(H27,Listas!$A$4:$B$11,2,FALSE),""))</f>
        <v>0.56000000000000005</v>
      </c>
      <c r="J27" s="107">
        <v>0.22</v>
      </c>
      <c r="K27" s="107">
        <v>8</v>
      </c>
      <c r="L27" s="107">
        <v>10</v>
      </c>
      <c r="M27" s="141">
        <f t="shared" si="0"/>
        <v>9</v>
      </c>
      <c r="N27" s="141">
        <f t="shared" si="13"/>
        <v>68.94</v>
      </c>
      <c r="O27" s="141">
        <f t="shared" si="14"/>
        <v>38.606400000000001</v>
      </c>
      <c r="P27" s="107">
        <v>0.25</v>
      </c>
      <c r="Q27" s="107">
        <v>1.58</v>
      </c>
      <c r="R27" s="107">
        <v>1.66</v>
      </c>
      <c r="S27" s="141">
        <f t="shared" si="15"/>
        <v>1.62</v>
      </c>
      <c r="T27" s="141">
        <f t="shared" si="16"/>
        <v>31.64</v>
      </c>
      <c r="U27" s="141">
        <f t="shared" si="17"/>
        <v>51.256800000000005</v>
      </c>
      <c r="V27" s="141">
        <f t="shared" si="18"/>
        <v>28.703808000000006</v>
      </c>
      <c r="W27" s="141">
        <f t="shared" si="19"/>
        <v>67.310208000000003</v>
      </c>
      <c r="X27" s="142" t="s">
        <v>250</v>
      </c>
      <c r="Y27" s="143">
        <v>0.56000000000000005</v>
      </c>
      <c r="Z27" s="144">
        <v>0.25</v>
      </c>
      <c r="AA27" s="144">
        <v>0.56000000000000005</v>
      </c>
      <c r="AB27" s="144">
        <v>0.56000000000000005</v>
      </c>
      <c r="AC27" s="108">
        <f t="shared" si="23"/>
        <v>0.56000000000000005</v>
      </c>
      <c r="AD27" s="108">
        <f t="shared" si="24"/>
        <v>31.64</v>
      </c>
      <c r="AE27" s="108">
        <f t="shared" si="25"/>
        <v>17.718400000000003</v>
      </c>
      <c r="AF27" s="108">
        <f t="shared" si="26"/>
        <v>9.9223040000000022</v>
      </c>
      <c r="AG27" s="145">
        <f t="shared" si="12"/>
        <v>77.232512</v>
      </c>
    </row>
    <row r="28" spans="1:33" ht="36.5" customHeight="1">
      <c r="A28" s="138">
        <v>18</v>
      </c>
      <c r="B28" s="106" t="s">
        <v>251</v>
      </c>
      <c r="C28" s="106" t="s">
        <v>407</v>
      </c>
      <c r="D28" s="139" t="s">
        <v>55</v>
      </c>
      <c r="E28" s="106" t="s">
        <v>388</v>
      </c>
      <c r="F28" s="106" t="s">
        <v>389</v>
      </c>
      <c r="G28" s="107">
        <v>63.75</v>
      </c>
      <c r="H28" s="106" t="s">
        <v>250</v>
      </c>
      <c r="I28" s="140">
        <f>IF(H28="","",IFERROR(VLOOKUP(H28,Listas!$A$4:$B$11,2,FALSE),""))</f>
        <v>0.56000000000000005</v>
      </c>
      <c r="J28" s="107">
        <v>0.19</v>
      </c>
      <c r="K28" s="107">
        <v>9</v>
      </c>
      <c r="L28" s="107">
        <v>11</v>
      </c>
      <c r="M28" s="141">
        <f t="shared" si="0"/>
        <v>10</v>
      </c>
      <c r="N28" s="141">
        <f t="shared" si="13"/>
        <v>637.5</v>
      </c>
      <c r="O28" s="141">
        <f t="shared" si="14"/>
        <v>357.00000000000006</v>
      </c>
      <c r="P28" s="107">
        <v>0.25</v>
      </c>
      <c r="Q28" s="107">
        <v>1.66</v>
      </c>
      <c r="R28" s="107">
        <v>2.3199999999999998</v>
      </c>
      <c r="S28" s="141">
        <f t="shared" si="15"/>
        <v>1.9899999999999998</v>
      </c>
      <c r="T28" s="141">
        <f t="shared" si="16"/>
        <v>256</v>
      </c>
      <c r="U28" s="141">
        <f t="shared" si="17"/>
        <v>509.43999999999994</v>
      </c>
      <c r="V28" s="141">
        <f t="shared" si="18"/>
        <v>285.28640000000001</v>
      </c>
      <c r="W28" s="141">
        <f t="shared" si="19"/>
        <v>642.28640000000007</v>
      </c>
      <c r="X28" s="142"/>
      <c r="Y28" s="143" t="s">
        <v>413</v>
      </c>
      <c r="Z28" s="144"/>
      <c r="AA28" s="144"/>
      <c r="AB28" s="144"/>
      <c r="AC28" s="108">
        <f t="shared" si="23"/>
        <v>0</v>
      </c>
      <c r="AD28" s="108">
        <f t="shared" si="24"/>
        <v>0</v>
      </c>
      <c r="AE28" s="108">
        <f t="shared" si="25"/>
        <v>0</v>
      </c>
      <c r="AF28" s="108">
        <f t="shared" si="26"/>
        <v>0</v>
      </c>
      <c r="AG28" s="145">
        <f t="shared" si="12"/>
        <v>642.28640000000007</v>
      </c>
    </row>
    <row r="29" spans="1:33" ht="36.5" customHeight="1">
      <c r="A29" s="138">
        <v>19</v>
      </c>
      <c r="B29" s="106" t="s">
        <v>251</v>
      </c>
      <c r="C29" s="106" t="s">
        <v>408</v>
      </c>
      <c r="D29" s="139" t="s">
        <v>249</v>
      </c>
      <c r="E29" s="106" t="s">
        <v>389</v>
      </c>
      <c r="F29" s="106" t="s">
        <v>390</v>
      </c>
      <c r="G29" s="107">
        <v>11.47</v>
      </c>
      <c r="H29" s="106" t="s">
        <v>250</v>
      </c>
      <c r="I29" s="140">
        <f>IF(H29="","",IFERROR(VLOOKUP(H29,Listas!$A$4:$B$11,2,FALSE),""))</f>
        <v>0.56000000000000005</v>
      </c>
      <c r="J29" s="107">
        <v>0.21</v>
      </c>
      <c r="K29" s="107">
        <v>12</v>
      </c>
      <c r="L29" s="107">
        <v>12</v>
      </c>
      <c r="M29" s="141">
        <f t="shared" si="0"/>
        <v>12</v>
      </c>
      <c r="N29" s="141">
        <f t="shared" si="13"/>
        <v>137.64000000000001</v>
      </c>
      <c r="O29" s="141">
        <f t="shared" si="14"/>
        <v>77.078400000000016</v>
      </c>
      <c r="P29" s="107">
        <v>0.25</v>
      </c>
      <c r="Q29" s="107">
        <v>2.3199999999999998</v>
      </c>
      <c r="R29" s="107">
        <v>2.42</v>
      </c>
      <c r="S29" s="141">
        <f t="shared" si="15"/>
        <v>2.37</v>
      </c>
      <c r="T29" s="141">
        <f t="shared" si="16"/>
        <v>46.88</v>
      </c>
      <c r="U29" s="141">
        <f t="shared" si="17"/>
        <v>111.10560000000001</v>
      </c>
      <c r="V29" s="141">
        <f t="shared" si="18"/>
        <v>62.219136000000013</v>
      </c>
      <c r="W29" s="141">
        <f t="shared" si="19"/>
        <v>139.29753600000004</v>
      </c>
      <c r="X29" s="142" t="s">
        <v>250</v>
      </c>
      <c r="Y29" s="143">
        <v>0.56000000000000005</v>
      </c>
      <c r="Z29" s="144">
        <v>0.25</v>
      </c>
      <c r="AA29" s="144">
        <v>0.56000000000000005</v>
      </c>
      <c r="AB29" s="144">
        <v>0.56000000000000005</v>
      </c>
      <c r="AC29" s="108">
        <f t="shared" si="23"/>
        <v>0.56000000000000005</v>
      </c>
      <c r="AD29" s="108">
        <f t="shared" si="24"/>
        <v>46.88</v>
      </c>
      <c r="AE29" s="108">
        <f t="shared" si="25"/>
        <v>26.252800000000004</v>
      </c>
      <c r="AF29" s="108">
        <f t="shared" si="26"/>
        <v>14.701568000000004</v>
      </c>
      <c r="AG29" s="145">
        <f t="shared" si="12"/>
        <v>153.99910400000005</v>
      </c>
    </row>
    <row r="30" spans="1:33" ht="36.5" customHeight="1">
      <c r="A30" s="138">
        <v>20</v>
      </c>
      <c r="B30" s="106" t="s">
        <v>251</v>
      </c>
      <c r="C30" s="106" t="s">
        <v>409</v>
      </c>
      <c r="D30" s="139" t="s">
        <v>249</v>
      </c>
      <c r="E30" s="106" t="s">
        <v>391</v>
      </c>
      <c r="F30" s="106" t="s">
        <v>392</v>
      </c>
      <c r="G30" s="107">
        <v>5.17</v>
      </c>
      <c r="H30" s="106" t="s">
        <v>250</v>
      </c>
      <c r="I30" s="140">
        <f>IF(H30="","",IFERROR(VLOOKUP(H30,Listas!$A$4:$B$11,2,FALSE),""))</f>
        <v>0.56000000000000005</v>
      </c>
      <c r="J30" s="107">
        <v>0.21</v>
      </c>
      <c r="K30" s="107">
        <v>12</v>
      </c>
      <c r="L30" s="107">
        <v>12</v>
      </c>
      <c r="M30" s="141">
        <f t="shared" si="0"/>
        <v>12</v>
      </c>
      <c r="N30" s="141">
        <f t="shared" si="13"/>
        <v>62.04</v>
      </c>
      <c r="O30" s="141">
        <f t="shared" si="14"/>
        <v>34.742400000000004</v>
      </c>
      <c r="P30" s="107">
        <v>0.25</v>
      </c>
      <c r="Q30" s="107">
        <v>2.3199999999999998</v>
      </c>
      <c r="R30" s="107">
        <v>2.36</v>
      </c>
      <c r="S30" s="141">
        <f t="shared" si="15"/>
        <v>2.34</v>
      </c>
      <c r="T30" s="141">
        <f t="shared" si="16"/>
        <v>21.68</v>
      </c>
      <c r="U30" s="141">
        <f t="shared" si="17"/>
        <v>50.731199999999994</v>
      </c>
      <c r="V30" s="141">
        <f t="shared" si="18"/>
        <v>28.409472000000001</v>
      </c>
      <c r="W30" s="141">
        <f t="shared" si="19"/>
        <v>63.151872000000004</v>
      </c>
      <c r="X30" s="142" t="s">
        <v>250</v>
      </c>
      <c r="Y30" s="143">
        <v>0.56000000000000005</v>
      </c>
      <c r="Z30" s="144">
        <v>0.25</v>
      </c>
      <c r="AA30" s="144">
        <v>0.56000000000000005</v>
      </c>
      <c r="AB30" s="144">
        <v>0.56000000000000005</v>
      </c>
      <c r="AC30" s="108">
        <f t="shared" si="23"/>
        <v>0.56000000000000005</v>
      </c>
      <c r="AD30" s="108">
        <f t="shared" si="24"/>
        <v>21.68</v>
      </c>
      <c r="AE30" s="108">
        <f t="shared" si="25"/>
        <v>12.1408</v>
      </c>
      <c r="AF30" s="108">
        <f t="shared" si="26"/>
        <v>6.7988480000000013</v>
      </c>
      <c r="AG30" s="145">
        <f t="shared" si="12"/>
        <v>69.950720000000004</v>
      </c>
    </row>
    <row r="31" spans="1:33" ht="36.5" customHeight="1">
      <c r="A31" s="138">
        <v>21</v>
      </c>
      <c r="B31" s="106" t="s">
        <v>252</v>
      </c>
      <c r="C31" s="106" t="s">
        <v>363</v>
      </c>
      <c r="D31" s="139" t="s">
        <v>249</v>
      </c>
      <c r="E31" s="106" t="s">
        <v>393</v>
      </c>
      <c r="F31" s="106" t="s">
        <v>394</v>
      </c>
      <c r="G31" s="107">
        <v>8.1999999999999993</v>
      </c>
      <c r="H31" s="106" t="s">
        <v>250</v>
      </c>
      <c r="I31" s="140">
        <f>IF(H31="","",IFERROR(VLOOKUP(H31,Listas!$A$4:$B$11,2,FALSE),""))</f>
        <v>0.56000000000000005</v>
      </c>
      <c r="J31" s="107">
        <v>0.21</v>
      </c>
      <c r="K31" s="107">
        <v>8</v>
      </c>
      <c r="L31" s="107">
        <v>8</v>
      </c>
      <c r="M31" s="141">
        <f t="shared" si="0"/>
        <v>8</v>
      </c>
      <c r="N31" s="141">
        <f t="shared" si="13"/>
        <v>65.599999999999994</v>
      </c>
      <c r="O31" s="141">
        <f t="shared" si="14"/>
        <v>36.735999999999997</v>
      </c>
      <c r="P31" s="107">
        <v>0.25</v>
      </c>
      <c r="Q31" s="107">
        <v>1.42</v>
      </c>
      <c r="R31" s="107">
        <v>1.48</v>
      </c>
      <c r="S31" s="141">
        <f t="shared" si="15"/>
        <v>1.45</v>
      </c>
      <c r="T31" s="141">
        <f t="shared" si="16"/>
        <v>33.799999999999997</v>
      </c>
      <c r="U31" s="141">
        <f t="shared" si="17"/>
        <v>49.009999999999991</v>
      </c>
      <c r="V31" s="141">
        <f t="shared" si="18"/>
        <v>27.445599999999999</v>
      </c>
      <c r="W31" s="141">
        <f t="shared" si="19"/>
        <v>64.181600000000003</v>
      </c>
      <c r="X31" s="142" t="s">
        <v>250</v>
      </c>
      <c r="Y31" s="143">
        <v>0.56000000000000005</v>
      </c>
      <c r="Z31" s="144">
        <v>0.25</v>
      </c>
      <c r="AA31" s="144">
        <v>0.56000000000000005</v>
      </c>
      <c r="AB31" s="144">
        <v>0.56000000000000005</v>
      </c>
      <c r="AC31" s="108">
        <f t="shared" si="23"/>
        <v>0.56000000000000005</v>
      </c>
      <c r="AD31" s="108">
        <f t="shared" si="24"/>
        <v>33.799999999999997</v>
      </c>
      <c r="AE31" s="108">
        <f t="shared" si="25"/>
        <v>18.928000000000001</v>
      </c>
      <c r="AF31" s="108">
        <f t="shared" si="26"/>
        <v>10.599680000000001</v>
      </c>
      <c r="AG31" s="145">
        <f t="shared" si="12"/>
        <v>74.78128000000001</v>
      </c>
    </row>
    <row r="32" spans="1:33" ht="36.5" customHeight="1">
      <c r="A32" s="138">
        <v>22</v>
      </c>
      <c r="B32" s="106" t="s">
        <v>253</v>
      </c>
      <c r="C32" s="106" t="s">
        <v>363</v>
      </c>
      <c r="D32" s="139" t="s">
        <v>249</v>
      </c>
      <c r="E32" s="106" t="s">
        <v>395</v>
      </c>
      <c r="F32" s="106" t="s">
        <v>396</v>
      </c>
      <c r="G32" s="107">
        <v>7</v>
      </c>
      <c r="H32" s="106" t="s">
        <v>250</v>
      </c>
      <c r="I32" s="140">
        <f>IF(H32="","",IFERROR(VLOOKUP(H32,Listas!$A$4:$B$11,2,FALSE),""))</f>
        <v>0.56000000000000005</v>
      </c>
      <c r="J32" s="107">
        <v>0.21</v>
      </c>
      <c r="K32" s="107">
        <v>8</v>
      </c>
      <c r="L32" s="107">
        <v>8</v>
      </c>
      <c r="M32" s="141">
        <f t="shared" si="0"/>
        <v>8</v>
      </c>
      <c r="N32" s="141">
        <f t="shared" si="13"/>
        <v>56</v>
      </c>
      <c r="O32" s="141">
        <f t="shared" si="14"/>
        <v>31.360000000000003</v>
      </c>
      <c r="P32" s="107">
        <v>0.25</v>
      </c>
      <c r="Q32" s="107">
        <v>1.42</v>
      </c>
      <c r="R32" s="107">
        <v>1.48</v>
      </c>
      <c r="S32" s="141">
        <f t="shared" si="15"/>
        <v>1.45</v>
      </c>
      <c r="T32" s="141">
        <f t="shared" si="16"/>
        <v>29</v>
      </c>
      <c r="U32" s="141">
        <f t="shared" si="17"/>
        <v>42.05</v>
      </c>
      <c r="V32" s="141">
        <f t="shared" si="18"/>
        <v>23.548000000000002</v>
      </c>
      <c r="W32" s="141">
        <f t="shared" si="19"/>
        <v>54.908000000000001</v>
      </c>
      <c r="X32" s="142" t="s">
        <v>250</v>
      </c>
      <c r="Y32" s="143">
        <v>0.56000000000000005</v>
      </c>
      <c r="Z32" s="144">
        <v>0.25</v>
      </c>
      <c r="AA32" s="144">
        <v>0.56000000000000005</v>
      </c>
      <c r="AB32" s="144">
        <v>0.56000000000000005</v>
      </c>
      <c r="AC32" s="108">
        <f t="shared" si="23"/>
        <v>0.56000000000000005</v>
      </c>
      <c r="AD32" s="108">
        <f t="shared" si="24"/>
        <v>29</v>
      </c>
      <c r="AE32" s="108">
        <f t="shared" si="25"/>
        <v>16.240000000000002</v>
      </c>
      <c r="AF32" s="108">
        <f t="shared" si="26"/>
        <v>9.094400000000002</v>
      </c>
      <c r="AG32" s="145">
        <f t="shared" si="12"/>
        <v>64.002400000000009</v>
      </c>
    </row>
    <row r="33" spans="1:33" ht="36.5" customHeight="1">
      <c r="A33" s="138">
        <v>23</v>
      </c>
      <c r="B33" s="106" t="s">
        <v>54</v>
      </c>
      <c r="C33" s="106" t="s">
        <v>363</v>
      </c>
      <c r="D33" s="139" t="s">
        <v>55</v>
      </c>
      <c r="E33" s="106" t="s">
        <v>397</v>
      </c>
      <c r="F33" s="106" t="s">
        <v>398</v>
      </c>
      <c r="G33" s="107">
        <v>42.76</v>
      </c>
      <c r="H33" s="106" t="s">
        <v>250</v>
      </c>
      <c r="I33" s="140">
        <f>IF(H33="","",IFERROR(VLOOKUP(H33,Listas!$A$4:$B$11,2,FALSE),""))</f>
        <v>0.56000000000000005</v>
      </c>
      <c r="J33" s="107">
        <v>0.2</v>
      </c>
      <c r="K33" s="107">
        <v>7</v>
      </c>
      <c r="L33" s="107">
        <v>9</v>
      </c>
      <c r="M33" s="141">
        <f t="shared" si="0"/>
        <v>8</v>
      </c>
      <c r="N33" s="141">
        <f t="shared" si="13"/>
        <v>342.08</v>
      </c>
      <c r="O33" s="141">
        <f t="shared" si="14"/>
        <v>191.56480000000002</v>
      </c>
      <c r="P33" s="107">
        <v>0.25</v>
      </c>
      <c r="Q33" s="107">
        <v>1.42</v>
      </c>
      <c r="R33" s="107">
        <v>1.82</v>
      </c>
      <c r="S33" s="141">
        <f t="shared" si="15"/>
        <v>1.62</v>
      </c>
      <c r="T33" s="141">
        <f t="shared" si="16"/>
        <v>172.04</v>
      </c>
      <c r="U33" s="141">
        <f t="shared" si="17"/>
        <v>278.70479999999998</v>
      </c>
      <c r="V33" s="141">
        <f t="shared" si="18"/>
        <v>156.07468800000001</v>
      </c>
      <c r="W33" s="141">
        <f t="shared" si="19"/>
        <v>347.63948800000003</v>
      </c>
      <c r="X33" s="142"/>
      <c r="Y33" s="143" t="s">
        <v>413</v>
      </c>
      <c r="Z33" s="144"/>
      <c r="AA33" s="144"/>
      <c r="AB33" s="144"/>
      <c r="AC33" s="108">
        <f t="shared" si="23"/>
        <v>0</v>
      </c>
      <c r="AD33" s="108">
        <f t="shared" si="24"/>
        <v>0</v>
      </c>
      <c r="AE33" s="108">
        <f t="shared" si="25"/>
        <v>0</v>
      </c>
      <c r="AF33" s="108">
        <f t="shared" si="26"/>
        <v>0</v>
      </c>
      <c r="AG33" s="145">
        <f t="shared" si="12"/>
        <v>347.63948800000003</v>
      </c>
    </row>
    <row r="34" spans="1:33" ht="36.5" customHeight="1">
      <c r="A34" s="138">
        <v>24</v>
      </c>
      <c r="B34" s="106" t="s">
        <v>54</v>
      </c>
      <c r="C34" s="106" t="s">
        <v>406</v>
      </c>
      <c r="D34" s="139" t="s">
        <v>249</v>
      </c>
      <c r="E34" s="106" t="s">
        <v>398</v>
      </c>
      <c r="F34" s="106" t="s">
        <v>399</v>
      </c>
      <c r="G34" s="107">
        <v>2.2000000000000002</v>
      </c>
      <c r="H34" s="106" t="s">
        <v>250</v>
      </c>
      <c r="I34" s="140">
        <f>IF(H34="","",IFERROR(VLOOKUP(H34,Listas!$A$4:$B$11,2,FALSE),""))</f>
        <v>0.56000000000000005</v>
      </c>
      <c r="J34" s="107">
        <v>0.2</v>
      </c>
      <c r="K34" s="107">
        <v>10</v>
      </c>
      <c r="L34" s="107">
        <v>10</v>
      </c>
      <c r="M34" s="141">
        <f t="shared" si="0"/>
        <v>10</v>
      </c>
      <c r="N34" s="141">
        <f t="shared" si="13"/>
        <v>22</v>
      </c>
      <c r="O34" s="141">
        <f t="shared" si="14"/>
        <v>12.32</v>
      </c>
      <c r="P34" s="107">
        <v>0.25</v>
      </c>
      <c r="Q34" s="107">
        <v>1.82</v>
      </c>
      <c r="R34" s="107">
        <v>1.84</v>
      </c>
      <c r="S34" s="141">
        <f t="shared" si="15"/>
        <v>1.83</v>
      </c>
      <c r="T34" s="141">
        <f t="shared" si="16"/>
        <v>9.8000000000000007</v>
      </c>
      <c r="U34" s="141">
        <f t="shared" si="17"/>
        <v>17.934000000000001</v>
      </c>
      <c r="V34" s="141">
        <f t="shared" si="18"/>
        <v>10.043040000000001</v>
      </c>
      <c r="W34" s="141">
        <f t="shared" si="19"/>
        <v>22.363040000000002</v>
      </c>
      <c r="X34" s="142" t="s">
        <v>250</v>
      </c>
      <c r="Y34" s="143">
        <v>0.56000000000000005</v>
      </c>
      <c r="Z34" s="144">
        <v>0.25</v>
      </c>
      <c r="AA34" s="144">
        <v>0.56000000000000005</v>
      </c>
      <c r="AB34" s="144">
        <v>0.56000000000000005</v>
      </c>
      <c r="AC34" s="108">
        <f t="shared" si="23"/>
        <v>0.56000000000000005</v>
      </c>
      <c r="AD34" s="108">
        <f t="shared" si="24"/>
        <v>9.8000000000000007</v>
      </c>
      <c r="AE34" s="108">
        <f t="shared" si="25"/>
        <v>5.4880000000000013</v>
      </c>
      <c r="AF34" s="108">
        <f t="shared" si="26"/>
        <v>3.0732800000000009</v>
      </c>
      <c r="AG34" s="145">
        <f t="shared" si="12"/>
        <v>25.436320000000002</v>
      </c>
    </row>
    <row r="35" spans="1:33" ht="36.5" customHeight="1">
      <c r="A35" s="138">
        <v>25</v>
      </c>
      <c r="B35" s="106" t="s">
        <v>54</v>
      </c>
      <c r="C35" s="106" t="s">
        <v>407</v>
      </c>
      <c r="D35" s="139" t="s">
        <v>249</v>
      </c>
      <c r="E35" s="106" t="s">
        <v>400</v>
      </c>
      <c r="F35" s="106" t="s">
        <v>401</v>
      </c>
      <c r="G35" s="107">
        <v>6.5</v>
      </c>
      <c r="H35" s="106" t="s">
        <v>250</v>
      </c>
      <c r="I35" s="140">
        <f>IF(H35="","",IFERROR(VLOOKUP(H35,Listas!$A$4:$B$11,2,FALSE),""))</f>
        <v>0.56000000000000005</v>
      </c>
      <c r="J35" s="107">
        <v>0.21</v>
      </c>
      <c r="K35" s="107">
        <v>10</v>
      </c>
      <c r="L35" s="107">
        <v>10</v>
      </c>
      <c r="M35" s="141">
        <f t="shared" si="0"/>
        <v>10</v>
      </c>
      <c r="N35" s="141">
        <f t="shared" si="13"/>
        <v>65</v>
      </c>
      <c r="O35" s="141">
        <f t="shared" si="14"/>
        <v>36.400000000000006</v>
      </c>
      <c r="P35" s="107">
        <v>0.25</v>
      </c>
      <c r="Q35" s="107">
        <v>1.76</v>
      </c>
      <c r="R35" s="107">
        <v>1.82</v>
      </c>
      <c r="S35" s="141">
        <f t="shared" si="15"/>
        <v>1.79</v>
      </c>
      <c r="T35" s="141">
        <f t="shared" si="16"/>
        <v>27</v>
      </c>
      <c r="U35" s="141">
        <f t="shared" si="17"/>
        <v>48.33</v>
      </c>
      <c r="V35" s="141">
        <f t="shared" si="18"/>
        <v>27.064800000000002</v>
      </c>
      <c r="W35" s="141">
        <f t="shared" si="19"/>
        <v>63.464800000000011</v>
      </c>
      <c r="X35" s="142" t="s">
        <v>250</v>
      </c>
      <c r="Y35" s="143">
        <v>0.56000000000000005</v>
      </c>
      <c r="Z35" s="144">
        <v>0.25</v>
      </c>
      <c r="AA35" s="144">
        <v>0.56000000000000005</v>
      </c>
      <c r="AB35" s="144">
        <v>0.56000000000000005</v>
      </c>
      <c r="AC35" s="108">
        <f t="shared" si="23"/>
        <v>0.56000000000000005</v>
      </c>
      <c r="AD35" s="108">
        <f t="shared" si="24"/>
        <v>27</v>
      </c>
      <c r="AE35" s="108">
        <f t="shared" si="25"/>
        <v>15.120000000000001</v>
      </c>
      <c r="AF35" s="108">
        <f t="shared" si="26"/>
        <v>8.4672000000000018</v>
      </c>
      <c r="AG35" s="145">
        <f t="shared" si="12"/>
        <v>71.932000000000016</v>
      </c>
    </row>
    <row r="36" spans="1:33" ht="36.5" customHeight="1">
      <c r="A36" s="138">
        <v>26</v>
      </c>
      <c r="B36" s="106" t="s">
        <v>326</v>
      </c>
      <c r="C36" s="106" t="s">
        <v>363</v>
      </c>
      <c r="D36" s="139" t="s">
        <v>55</v>
      </c>
      <c r="E36" s="106" t="s">
        <v>402</v>
      </c>
      <c r="F36" s="106" t="s">
        <v>403</v>
      </c>
      <c r="G36" s="107">
        <v>32.479999999999997</v>
      </c>
      <c r="H36" s="106" t="s">
        <v>250</v>
      </c>
      <c r="I36" s="140">
        <f>IF(H36="","",IFERROR(VLOOKUP(H36,Listas!$A$4:$B$11,2,FALSE),""))</f>
        <v>0.56000000000000005</v>
      </c>
      <c r="J36" s="107">
        <v>0.2</v>
      </c>
      <c r="K36" s="107">
        <v>7</v>
      </c>
      <c r="L36" s="107">
        <v>1.76</v>
      </c>
      <c r="M36" s="141">
        <f t="shared" si="0"/>
        <v>4.38</v>
      </c>
      <c r="N36" s="141">
        <f t="shared" si="13"/>
        <v>142.26239999999999</v>
      </c>
      <c r="O36" s="141">
        <f t="shared" si="14"/>
        <v>79.666944000000001</v>
      </c>
      <c r="P36" s="107">
        <v>0.25</v>
      </c>
      <c r="Q36" s="107">
        <v>1.42</v>
      </c>
      <c r="R36" s="107">
        <v>1.76</v>
      </c>
      <c r="S36" s="141">
        <f t="shared" si="15"/>
        <v>1.5899999999999999</v>
      </c>
      <c r="T36" s="141">
        <f t="shared" si="16"/>
        <v>130.91999999999999</v>
      </c>
      <c r="U36" s="141">
        <f t="shared" si="17"/>
        <v>208.16279999999995</v>
      </c>
      <c r="V36" s="141">
        <f t="shared" si="18"/>
        <v>116.57116799999999</v>
      </c>
      <c r="W36" s="141">
        <f t="shared" si="19"/>
        <v>196.238112</v>
      </c>
      <c r="X36" s="142"/>
      <c r="Y36" s="143" t="s">
        <v>413</v>
      </c>
      <c r="Z36" s="144"/>
      <c r="AA36" s="144"/>
      <c r="AB36" s="144"/>
      <c r="AC36" s="108">
        <f t="shared" si="23"/>
        <v>0</v>
      </c>
      <c r="AD36" s="108">
        <f t="shared" si="24"/>
        <v>0</v>
      </c>
      <c r="AE36" s="108">
        <f t="shared" si="25"/>
        <v>0</v>
      </c>
      <c r="AF36" s="108">
        <f t="shared" si="26"/>
        <v>0</v>
      </c>
      <c r="AG36" s="145">
        <f t="shared" si="12"/>
        <v>196.238112</v>
      </c>
    </row>
    <row r="37" spans="1:33" ht="36.5" customHeight="1">
      <c r="A37" s="138">
        <v>27</v>
      </c>
      <c r="B37" s="106" t="s">
        <v>326</v>
      </c>
      <c r="C37" s="106" t="s">
        <v>406</v>
      </c>
      <c r="D37" s="139" t="s">
        <v>249</v>
      </c>
      <c r="E37" s="106" t="s">
        <v>404</v>
      </c>
      <c r="F37" s="106" t="s">
        <v>405</v>
      </c>
      <c r="G37" s="107">
        <v>56.64</v>
      </c>
      <c r="H37" s="106" t="s">
        <v>250</v>
      </c>
      <c r="I37" s="140">
        <f>IF(H37="","",IFERROR(VLOOKUP(H37,Listas!$A$4:$B$11,2,FALSE),""))</f>
        <v>0.56000000000000005</v>
      </c>
      <c r="J37" s="107">
        <v>0.21</v>
      </c>
      <c r="K37" s="107">
        <v>10</v>
      </c>
      <c r="L37" s="107">
        <v>12</v>
      </c>
      <c r="M37" s="141">
        <f t="shared" si="0"/>
        <v>11</v>
      </c>
      <c r="N37" s="141">
        <f t="shared" si="13"/>
        <v>623.04</v>
      </c>
      <c r="O37" s="141">
        <f t="shared" si="14"/>
        <v>348.9024</v>
      </c>
      <c r="P37" s="107">
        <v>0.25</v>
      </c>
      <c r="Q37" s="107">
        <v>1.66</v>
      </c>
      <c r="R37" s="107">
        <v>2.2200000000000002</v>
      </c>
      <c r="S37" s="141">
        <f t="shared" si="15"/>
        <v>1.94</v>
      </c>
      <c r="T37" s="141">
        <f t="shared" si="16"/>
        <v>227.56</v>
      </c>
      <c r="U37" s="141">
        <f t="shared" si="17"/>
        <v>441.46639999999996</v>
      </c>
      <c r="V37" s="141">
        <f t="shared" si="18"/>
        <v>247.22118399999999</v>
      </c>
      <c r="W37" s="141">
        <f t="shared" si="19"/>
        <v>596.12358399999994</v>
      </c>
      <c r="X37" s="142" t="s">
        <v>250</v>
      </c>
      <c r="Y37" s="143">
        <v>0.56000000000000005</v>
      </c>
      <c r="Z37" s="144">
        <v>0.25</v>
      </c>
      <c r="AA37" s="144">
        <v>0.56000000000000005</v>
      </c>
      <c r="AB37" s="144">
        <v>0.56000000000000005</v>
      </c>
      <c r="AC37" s="108">
        <f t="shared" si="23"/>
        <v>0.56000000000000005</v>
      </c>
      <c r="AD37" s="108">
        <f t="shared" si="24"/>
        <v>227.56</v>
      </c>
      <c r="AE37" s="108">
        <f t="shared" si="25"/>
        <v>127.43360000000001</v>
      </c>
      <c r="AF37" s="108">
        <f t="shared" si="26"/>
        <v>71.362816000000009</v>
      </c>
      <c r="AG37" s="145">
        <f t="shared" si="12"/>
        <v>667.4864</v>
      </c>
    </row>
    <row r="38" spans="1:33" ht="36.5" customHeight="1">
      <c r="A38" s="274" t="s">
        <v>254</v>
      </c>
      <c r="B38" s="274"/>
      <c r="C38" s="274"/>
      <c r="D38" s="274"/>
      <c r="E38" s="274"/>
      <c r="F38" s="274"/>
      <c r="G38" s="146">
        <f>SUM(G11:G37)</f>
        <v>512.94000000000005</v>
      </c>
      <c r="H38" s="146"/>
      <c r="I38" s="146"/>
      <c r="J38" s="146"/>
      <c r="K38" s="146"/>
      <c r="L38" s="146"/>
      <c r="M38" s="146"/>
      <c r="N38" s="146">
        <f>SUM(N11:N37)</f>
        <v>4654.7223999999997</v>
      </c>
      <c r="O38" s="146">
        <f>SUM(O11:O37)</f>
        <v>2606.6445440000002</v>
      </c>
      <c r="P38" s="146"/>
      <c r="Q38" s="146"/>
      <c r="R38" s="146"/>
      <c r="S38" s="146"/>
      <c r="T38" s="146"/>
      <c r="U38" s="146">
        <f>SUM(U11:U37)</f>
        <v>3817.9952000000003</v>
      </c>
      <c r="V38" s="146">
        <f>SUM(V11:V37)</f>
        <v>2138.0773120000003</v>
      </c>
      <c r="W38" s="146">
        <f>SUM(W11:W37)</f>
        <v>4744.7218559999992</v>
      </c>
      <c r="X38" s="146"/>
      <c r="Y38" s="146"/>
      <c r="Z38" s="146"/>
      <c r="AA38" s="146"/>
      <c r="AB38" s="146"/>
      <c r="AC38" s="146"/>
      <c r="AD38" s="146"/>
      <c r="AE38" s="146">
        <f>SUM(AE11:AE37)</f>
        <v>397.01760000000002</v>
      </c>
      <c r="AF38" s="146">
        <f>SUM(AF11:AF37)</f>
        <v>222.32985600000004</v>
      </c>
      <c r="AG38" s="146">
        <f>SUM(AG11:AG37)</f>
        <v>4967.0517119999995</v>
      </c>
    </row>
  </sheetData>
  <mergeCells count="11">
    <mergeCell ref="A2:AG2"/>
    <mergeCell ref="B3:AG3"/>
    <mergeCell ref="B4:AG4"/>
    <mergeCell ref="B5:AG5"/>
    <mergeCell ref="B6:AG6"/>
    <mergeCell ref="A38:F38"/>
    <mergeCell ref="A8:AG8"/>
    <mergeCell ref="A9:G9"/>
    <mergeCell ref="H9:O9"/>
    <mergeCell ref="P9:W9"/>
    <mergeCell ref="X9:AF9"/>
  </mergeCells>
  <phoneticPr fontId="1" type="noConversion"/>
  <conditionalFormatting sqref="D11:D37">
    <cfRule type="expression" dxfId="8" priority="2">
      <formula>D11="TAPADA"</formula>
    </cfRule>
    <cfRule type="expression" dxfId="7" priority="3">
      <formula>D11="ABIERTA"</formula>
    </cfRule>
  </conditionalFormatting>
  <conditionalFormatting sqref="X11:AF37">
    <cfRule type="expression" dxfId="6" priority="1">
      <formula>$D11="ABIERTA"</formula>
    </cfRule>
  </conditionalFormatting>
  <pageMargins left="0.7" right="0.7" top="0.75" bottom="0.75" header="0.3" footer="0.3"/>
  <pageSetup paperSize="9" scale="28" fitToHeight="0" orientation="landscape" r:id="rId1"/>
  <extLst>
    <ext xmlns:x14="http://schemas.microsoft.com/office/spreadsheetml/2009/9/main" uri="{CCE6A557-97BC-4b89-ADB6-D9C93CAAB3DF}">
      <x14:dataValidations xmlns:xm="http://schemas.microsoft.com/office/excel/2006/main" disablePrompts="1" count="3">
        <x14:dataValidation type="list" xr:uid="{00000000-0002-0000-0000-000002000000}">
          <x14:formula1>
            <xm:f>Listas!$A$4:$A$11</xm:f>
          </x14:formula1>
          <xm:sqref>X11:X37 H11:H37</xm:sqref>
        </x14:dataValidation>
        <x14:dataValidation type="list" xr:uid="{00000000-0002-0000-0000-000001000000}">
          <x14:formula1>
            <xm:f>Listas!$D$4:$D$5</xm:f>
          </x14:formula1>
          <xm:sqref>D11:D37</xm:sqref>
        </x14:dataValidation>
        <x14:dataValidation type="list" xr:uid="{00000000-0002-0000-0000-000000000000}">
          <x14:formula1>
            <xm:f>Listas!$F$4:$F$5</xm:f>
          </x14:formula1>
          <xm:sqref>X1:X7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877FE-5DB6-47E9-BD9D-2B97351097AB}">
  <sheetPr>
    <tabColor rgb="FF92D050"/>
    <pageSetUpPr fitToPage="1"/>
  </sheetPr>
  <dimension ref="A1:O38"/>
  <sheetViews>
    <sheetView topLeftCell="A22" zoomScaleNormal="100" zoomScaleSheetLayoutView="100" workbookViewId="0">
      <selection activeCell="F15" sqref="F15"/>
    </sheetView>
  </sheetViews>
  <sheetFormatPr baseColWidth="10" defaultColWidth="9.453125" defaultRowHeight="15.5"/>
  <cols>
    <col min="1" max="1" width="6.54296875" style="102" customWidth="1"/>
    <col min="2" max="2" width="13.08984375" style="102" customWidth="1"/>
    <col min="3" max="3" width="18.81640625" style="102" customWidth="1"/>
    <col min="4" max="4" width="17.453125" style="102" customWidth="1"/>
    <col min="5" max="5" width="16" style="102" customWidth="1"/>
    <col min="6" max="8" width="15.26953125" style="102" customWidth="1"/>
    <col min="9" max="9" width="14.1796875" style="102" customWidth="1"/>
    <col min="10" max="10" width="16.36328125" style="102" customWidth="1"/>
    <col min="11" max="11" width="15.26953125" style="102" customWidth="1"/>
    <col min="12" max="12" width="17.453125" style="102" customWidth="1"/>
    <col min="13" max="13" width="16.36328125" style="102" customWidth="1"/>
    <col min="14" max="14" width="10.90625" style="102" customWidth="1"/>
    <col min="15" max="15" width="8.7265625" style="102" customWidth="1"/>
    <col min="16" max="16384" width="9.453125" style="102"/>
  </cols>
  <sheetData>
    <row r="1" spans="1:15" ht="25" customHeight="1">
      <c r="A1" s="284" t="s">
        <v>288</v>
      </c>
      <c r="B1" s="284"/>
      <c r="C1" s="284"/>
      <c r="D1" s="284"/>
      <c r="E1" s="284"/>
      <c r="F1" s="284"/>
      <c r="G1" s="284"/>
      <c r="H1" s="284"/>
      <c r="I1" s="284"/>
      <c r="J1" s="284"/>
      <c r="K1" s="284"/>
      <c r="L1" s="284"/>
      <c r="M1" s="284"/>
      <c r="N1" s="284"/>
      <c r="O1" s="284"/>
    </row>
    <row r="2" spans="1:15" ht="27" customHeight="1">
      <c r="A2" s="286" t="s">
        <v>42</v>
      </c>
      <c r="B2" s="286"/>
      <c r="C2" s="283" t="s">
        <v>46</v>
      </c>
      <c r="D2" s="283"/>
      <c r="E2" s="283"/>
      <c r="F2" s="283"/>
      <c r="G2" s="283"/>
      <c r="H2" s="283"/>
      <c r="I2" s="283"/>
      <c r="J2" s="283"/>
      <c r="K2" s="283"/>
      <c r="L2" s="283"/>
      <c r="M2" s="283"/>
      <c r="N2" s="283"/>
      <c r="O2" s="283"/>
    </row>
    <row r="3" spans="1:15" ht="47" customHeight="1">
      <c r="A3" s="286" t="s">
        <v>39</v>
      </c>
      <c r="B3" s="286"/>
      <c r="C3" s="283"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D3" s="283"/>
      <c r="E3" s="283"/>
      <c r="F3" s="283"/>
      <c r="G3" s="283"/>
      <c r="H3" s="283"/>
      <c r="I3" s="283"/>
      <c r="J3" s="283"/>
      <c r="K3" s="283"/>
      <c r="L3" s="283"/>
      <c r="M3" s="283"/>
      <c r="N3" s="283"/>
      <c r="O3" s="283"/>
    </row>
    <row r="4" spans="1:15" ht="27" customHeight="1">
      <c r="A4" s="286" t="s">
        <v>43</v>
      </c>
      <c r="B4" s="286"/>
      <c r="C4" s="283" t="str">
        <f>+RESUMEN!B6</f>
        <v>SAN MARTIN - SAN MARTIN - MORALES</v>
      </c>
      <c r="D4" s="283"/>
      <c r="E4" s="283"/>
      <c r="F4" s="283"/>
      <c r="G4" s="283"/>
      <c r="H4" s="283"/>
      <c r="I4" s="283"/>
      <c r="J4" s="283"/>
      <c r="K4" s="112" t="s">
        <v>40</v>
      </c>
      <c r="L4" s="287">
        <f>+RESUMEN!B7</f>
        <v>46266</v>
      </c>
      <c r="M4" s="287"/>
      <c r="N4" s="287"/>
      <c r="O4" s="287"/>
    </row>
    <row r="6" spans="1:15" ht="37.4" customHeight="1">
      <c r="A6" s="104" t="s">
        <v>174</v>
      </c>
      <c r="B6" s="104" t="s">
        <v>175</v>
      </c>
      <c r="C6" s="104" t="s">
        <v>226</v>
      </c>
      <c r="D6" s="104" t="s">
        <v>227</v>
      </c>
      <c r="E6" s="104" t="s">
        <v>287</v>
      </c>
      <c r="F6" s="104" t="s">
        <v>286</v>
      </c>
      <c r="G6" s="104" t="s">
        <v>285</v>
      </c>
      <c r="H6" s="104" t="s">
        <v>284</v>
      </c>
      <c r="I6" s="104" t="s">
        <v>283</v>
      </c>
      <c r="J6" s="104" t="s">
        <v>282</v>
      </c>
      <c r="K6" s="104" t="s">
        <v>281</v>
      </c>
      <c r="L6" s="104" t="s">
        <v>280</v>
      </c>
      <c r="M6" s="104" t="s">
        <v>279</v>
      </c>
      <c r="N6" s="104" t="s">
        <v>278</v>
      </c>
      <c r="O6" s="104" t="s">
        <v>192</v>
      </c>
    </row>
    <row r="7" spans="1:15" ht="33" customHeight="1">
      <c r="A7" s="103">
        <v>1</v>
      </c>
      <c r="B7" s="135" t="s">
        <v>186</v>
      </c>
      <c r="C7" s="135" t="s">
        <v>363</v>
      </c>
      <c r="D7" s="139" t="s">
        <v>55</v>
      </c>
      <c r="E7" s="136">
        <v>32</v>
      </c>
      <c r="F7" s="202">
        <v>0.4</v>
      </c>
      <c r="G7" s="136">
        <v>0.3</v>
      </c>
      <c r="H7" s="136">
        <v>0.46</v>
      </c>
      <c r="I7" s="108">
        <f t="shared" ref="I7" si="0">IF(B7="","",(G7+H7)/2)</f>
        <v>0.38</v>
      </c>
      <c r="J7" s="108">
        <f t="shared" ref="J7" si="1">IF(B7="","",2*E7*I7)</f>
        <v>24.32</v>
      </c>
      <c r="K7" s="108">
        <f t="shared" ref="K7" si="2">IF(B7="","",E7*F7)</f>
        <v>12.8</v>
      </c>
      <c r="L7" s="108">
        <f t="shared" ref="L7" si="3">IF(B7="","",IF(D7="TAPADA",E7*F7,0))</f>
        <v>0</v>
      </c>
      <c r="M7" s="109">
        <f>SUM(J7:L7)</f>
        <v>37.120000000000005</v>
      </c>
      <c r="N7" s="110">
        <f t="shared" ref="N7:N36" si="4">IF(B7="","",IF(D7="TAPADA",4,3))</f>
        <v>3</v>
      </c>
      <c r="O7" s="111" t="s">
        <v>103</v>
      </c>
    </row>
    <row r="8" spans="1:15" ht="33" customHeight="1">
      <c r="A8" s="103">
        <v>2</v>
      </c>
      <c r="B8" s="135" t="s">
        <v>186</v>
      </c>
      <c r="C8" s="135" t="s">
        <v>406</v>
      </c>
      <c r="D8" s="139" t="s">
        <v>249</v>
      </c>
      <c r="E8" s="136">
        <v>5.14</v>
      </c>
      <c r="F8" s="202">
        <v>0.4</v>
      </c>
      <c r="G8" s="136">
        <v>0.46</v>
      </c>
      <c r="H8" s="136">
        <v>0.48</v>
      </c>
      <c r="I8" s="108">
        <f t="shared" ref="I8:I36" si="5">IF(B8="","",(G8+H8)/2)</f>
        <v>0.47</v>
      </c>
      <c r="J8" s="108">
        <f t="shared" ref="J8:J36" si="6">IF(B8="","",2*E8*I8)</f>
        <v>4.831599999999999</v>
      </c>
      <c r="K8" s="108">
        <f t="shared" ref="K8:K36" si="7">IF(B8="","",E8*F8)</f>
        <v>2.056</v>
      </c>
      <c r="L8" s="108">
        <f t="shared" ref="L8:L36" si="8">IF(B8="","",IF(D8="TAPADA",E8*F8,0))</f>
        <v>2.056</v>
      </c>
      <c r="M8" s="109">
        <f t="shared" ref="M8:M36" si="9">SUM(J8:L8)</f>
        <v>8.9436</v>
      </c>
      <c r="N8" s="110">
        <f t="shared" si="4"/>
        <v>4</v>
      </c>
      <c r="O8" s="111" t="s">
        <v>103</v>
      </c>
    </row>
    <row r="9" spans="1:15" ht="33" customHeight="1">
      <c r="A9" s="103">
        <v>3</v>
      </c>
      <c r="B9" s="135" t="s">
        <v>187</v>
      </c>
      <c r="C9" s="135" t="s">
        <v>363</v>
      </c>
      <c r="D9" s="139" t="s">
        <v>55</v>
      </c>
      <c r="E9" s="136">
        <v>37.5</v>
      </c>
      <c r="F9" s="202">
        <v>0.4</v>
      </c>
      <c r="G9" s="136">
        <v>0.3</v>
      </c>
      <c r="H9" s="136">
        <v>0.48</v>
      </c>
      <c r="I9" s="108">
        <f t="shared" si="5"/>
        <v>0.39</v>
      </c>
      <c r="J9" s="108">
        <f t="shared" si="6"/>
        <v>29.25</v>
      </c>
      <c r="K9" s="108">
        <f t="shared" si="7"/>
        <v>15</v>
      </c>
      <c r="L9" s="108">
        <f t="shared" si="8"/>
        <v>0</v>
      </c>
      <c r="M9" s="109">
        <f t="shared" si="9"/>
        <v>44.25</v>
      </c>
      <c r="N9" s="110">
        <f t="shared" si="4"/>
        <v>3</v>
      </c>
      <c r="O9" s="111" t="s">
        <v>103</v>
      </c>
    </row>
    <row r="10" spans="1:15" ht="33" customHeight="1">
      <c r="A10" s="103">
        <v>4</v>
      </c>
      <c r="B10" s="135" t="s">
        <v>187</v>
      </c>
      <c r="C10" s="135" t="s">
        <v>406</v>
      </c>
      <c r="D10" s="139" t="s">
        <v>249</v>
      </c>
      <c r="E10" s="136">
        <v>10.199999999999999</v>
      </c>
      <c r="F10" s="202">
        <v>0.4</v>
      </c>
      <c r="G10" s="136">
        <v>0.48</v>
      </c>
      <c r="H10" s="136">
        <v>0.53</v>
      </c>
      <c r="I10" s="108">
        <f t="shared" si="5"/>
        <v>0.505</v>
      </c>
      <c r="J10" s="108">
        <f t="shared" si="6"/>
        <v>10.302</v>
      </c>
      <c r="K10" s="108">
        <f t="shared" si="7"/>
        <v>4.08</v>
      </c>
      <c r="L10" s="108">
        <f t="shared" si="8"/>
        <v>4.08</v>
      </c>
      <c r="M10" s="109">
        <f t="shared" si="9"/>
        <v>18.462</v>
      </c>
      <c r="N10" s="110">
        <f t="shared" si="4"/>
        <v>4</v>
      </c>
      <c r="O10" s="111" t="s">
        <v>103</v>
      </c>
    </row>
    <row r="11" spans="1:15" ht="33" customHeight="1">
      <c r="A11" s="103">
        <v>5</v>
      </c>
      <c r="B11" s="135" t="s">
        <v>187</v>
      </c>
      <c r="C11" s="135" t="s">
        <v>407</v>
      </c>
      <c r="D11" s="139" t="s">
        <v>55</v>
      </c>
      <c r="E11" s="136">
        <v>31.33</v>
      </c>
      <c r="F11" s="202">
        <v>0.4</v>
      </c>
      <c r="G11" s="136">
        <v>0.53</v>
      </c>
      <c r="H11" s="136">
        <v>0.7</v>
      </c>
      <c r="I11" s="108">
        <f t="shared" si="5"/>
        <v>0.61499999999999999</v>
      </c>
      <c r="J11" s="108">
        <f t="shared" si="6"/>
        <v>38.535899999999998</v>
      </c>
      <c r="K11" s="108">
        <f t="shared" si="7"/>
        <v>12.532</v>
      </c>
      <c r="L11" s="108">
        <f t="shared" si="8"/>
        <v>0</v>
      </c>
      <c r="M11" s="109">
        <f t="shared" si="9"/>
        <v>51.067899999999995</v>
      </c>
      <c r="N11" s="110">
        <f t="shared" si="4"/>
        <v>3</v>
      </c>
      <c r="O11" s="111" t="s">
        <v>103</v>
      </c>
    </row>
    <row r="12" spans="1:15" ht="40" customHeight="1">
      <c r="A12" s="103">
        <v>6</v>
      </c>
      <c r="B12" s="135" t="s">
        <v>187</v>
      </c>
      <c r="C12" s="135" t="s">
        <v>408</v>
      </c>
      <c r="D12" s="139" t="s">
        <v>249</v>
      </c>
      <c r="E12" s="136">
        <v>8.36</v>
      </c>
      <c r="F12" s="202">
        <v>0.4</v>
      </c>
      <c r="G12" s="136">
        <v>0.7</v>
      </c>
      <c r="H12" s="136">
        <v>0.73</v>
      </c>
      <c r="I12" s="108">
        <f t="shared" si="5"/>
        <v>0.71499999999999997</v>
      </c>
      <c r="J12" s="108">
        <f t="shared" si="6"/>
        <v>11.954799999999999</v>
      </c>
      <c r="K12" s="108">
        <f t="shared" si="7"/>
        <v>3.3439999999999999</v>
      </c>
      <c r="L12" s="108">
        <f t="shared" si="8"/>
        <v>3.3439999999999999</v>
      </c>
      <c r="M12" s="109">
        <f t="shared" si="9"/>
        <v>18.642799999999998</v>
      </c>
      <c r="N12" s="110">
        <f t="shared" si="4"/>
        <v>4</v>
      </c>
      <c r="O12" s="111" t="s">
        <v>103</v>
      </c>
    </row>
    <row r="13" spans="1:15" ht="33" customHeight="1">
      <c r="A13" s="103">
        <v>7</v>
      </c>
      <c r="B13" s="135" t="s">
        <v>187</v>
      </c>
      <c r="C13" s="135" t="s">
        <v>409</v>
      </c>
      <c r="D13" s="139" t="s">
        <v>55</v>
      </c>
      <c r="E13" s="136">
        <v>30.36</v>
      </c>
      <c r="F13" s="202">
        <v>0.4</v>
      </c>
      <c r="G13" s="136">
        <v>0.73</v>
      </c>
      <c r="H13" s="136">
        <v>0.88</v>
      </c>
      <c r="I13" s="108">
        <f t="shared" si="5"/>
        <v>0.80499999999999994</v>
      </c>
      <c r="J13" s="108">
        <f t="shared" si="6"/>
        <v>48.879599999999996</v>
      </c>
      <c r="K13" s="108">
        <f t="shared" si="7"/>
        <v>12.144</v>
      </c>
      <c r="L13" s="108">
        <f t="shared" si="8"/>
        <v>0</v>
      </c>
      <c r="M13" s="109">
        <f t="shared" si="9"/>
        <v>61.023599999999995</v>
      </c>
      <c r="N13" s="110">
        <f t="shared" si="4"/>
        <v>3</v>
      </c>
      <c r="O13" s="111" t="s">
        <v>103</v>
      </c>
    </row>
    <row r="14" spans="1:15" ht="33" customHeight="1">
      <c r="A14" s="103">
        <v>8</v>
      </c>
      <c r="B14" s="135" t="s">
        <v>187</v>
      </c>
      <c r="C14" s="135" t="s">
        <v>410</v>
      </c>
      <c r="D14" s="139" t="s">
        <v>249</v>
      </c>
      <c r="E14" s="136">
        <v>2.25</v>
      </c>
      <c r="F14" s="202">
        <v>0.4</v>
      </c>
      <c r="G14" s="136">
        <v>0.88</v>
      </c>
      <c r="H14" s="136">
        <v>0.9</v>
      </c>
      <c r="I14" s="108">
        <f t="shared" si="5"/>
        <v>0.89</v>
      </c>
      <c r="J14" s="108">
        <f t="shared" si="6"/>
        <v>4.0049999999999999</v>
      </c>
      <c r="K14" s="108">
        <f t="shared" si="7"/>
        <v>0.9</v>
      </c>
      <c r="L14" s="108">
        <f t="shared" si="8"/>
        <v>0.9</v>
      </c>
      <c r="M14" s="109">
        <f t="shared" si="9"/>
        <v>5.8050000000000006</v>
      </c>
      <c r="N14" s="110">
        <f t="shared" si="4"/>
        <v>4</v>
      </c>
      <c r="O14" s="111" t="s">
        <v>103</v>
      </c>
    </row>
    <row r="15" spans="1:15" ht="33" customHeight="1">
      <c r="A15" s="103">
        <v>9</v>
      </c>
      <c r="B15" s="135" t="s">
        <v>187</v>
      </c>
      <c r="C15" s="135" t="s">
        <v>411</v>
      </c>
      <c r="D15" s="139" t="s">
        <v>249</v>
      </c>
      <c r="E15" s="136">
        <v>10.85</v>
      </c>
      <c r="F15" s="202">
        <v>0.4</v>
      </c>
      <c r="G15" s="136">
        <v>0.85</v>
      </c>
      <c r="H15" s="136">
        <v>0.9</v>
      </c>
      <c r="I15" s="108">
        <f t="shared" si="5"/>
        <v>0.875</v>
      </c>
      <c r="J15" s="108">
        <f t="shared" si="6"/>
        <v>18.987500000000001</v>
      </c>
      <c r="K15" s="108">
        <f t="shared" si="7"/>
        <v>4.34</v>
      </c>
      <c r="L15" s="108">
        <f t="shared" si="8"/>
        <v>4.34</v>
      </c>
      <c r="M15" s="109">
        <f t="shared" si="9"/>
        <v>27.6675</v>
      </c>
      <c r="N15" s="110">
        <f t="shared" si="4"/>
        <v>4</v>
      </c>
      <c r="O15" s="111" t="s">
        <v>103</v>
      </c>
    </row>
    <row r="16" spans="1:15" ht="33" customHeight="1">
      <c r="A16" s="103">
        <v>10</v>
      </c>
      <c r="B16" s="135" t="s">
        <v>188</v>
      </c>
      <c r="C16" s="135" t="s">
        <v>363</v>
      </c>
      <c r="D16" s="139" t="s">
        <v>55</v>
      </c>
      <c r="E16" s="136">
        <v>5.82</v>
      </c>
      <c r="F16" s="202">
        <v>0.4</v>
      </c>
      <c r="G16" s="136">
        <v>0.3</v>
      </c>
      <c r="H16" s="136">
        <v>0.32</v>
      </c>
      <c r="I16" s="108">
        <f t="shared" si="5"/>
        <v>0.31</v>
      </c>
      <c r="J16" s="108">
        <f t="shared" si="6"/>
        <v>3.6084000000000001</v>
      </c>
      <c r="K16" s="108">
        <f t="shared" si="7"/>
        <v>2.3280000000000003</v>
      </c>
      <c r="L16" s="108">
        <f t="shared" si="8"/>
        <v>0</v>
      </c>
      <c r="M16" s="109">
        <f t="shared" si="9"/>
        <v>5.9364000000000008</v>
      </c>
      <c r="N16" s="110">
        <f t="shared" si="4"/>
        <v>3</v>
      </c>
      <c r="O16" s="111" t="s">
        <v>103</v>
      </c>
    </row>
    <row r="17" spans="1:15" ht="33" customHeight="1">
      <c r="A17" s="103">
        <v>11</v>
      </c>
      <c r="B17" s="135" t="s">
        <v>189</v>
      </c>
      <c r="C17" s="135" t="s">
        <v>363</v>
      </c>
      <c r="D17" s="139" t="s">
        <v>55</v>
      </c>
      <c r="E17" s="136">
        <v>8.6</v>
      </c>
      <c r="F17" s="202">
        <v>0.4</v>
      </c>
      <c r="G17" s="136">
        <v>0.3</v>
      </c>
      <c r="H17" s="136">
        <v>0.34</v>
      </c>
      <c r="I17" s="108">
        <f t="shared" si="5"/>
        <v>0.32</v>
      </c>
      <c r="J17" s="108">
        <f t="shared" si="6"/>
        <v>5.5039999999999996</v>
      </c>
      <c r="K17" s="108">
        <f t="shared" si="7"/>
        <v>3.44</v>
      </c>
      <c r="L17" s="108">
        <f t="shared" si="8"/>
        <v>0</v>
      </c>
      <c r="M17" s="109">
        <f t="shared" si="9"/>
        <v>8.9439999999999991</v>
      </c>
      <c r="N17" s="110">
        <f t="shared" si="4"/>
        <v>3</v>
      </c>
      <c r="O17" s="111" t="s">
        <v>103</v>
      </c>
    </row>
    <row r="18" spans="1:15" ht="33" customHeight="1">
      <c r="A18" s="103">
        <v>12</v>
      </c>
      <c r="B18" s="135" t="s">
        <v>190</v>
      </c>
      <c r="C18" s="135" t="s">
        <v>363</v>
      </c>
      <c r="D18" s="139" t="s">
        <v>55</v>
      </c>
      <c r="E18" s="136">
        <v>37.53</v>
      </c>
      <c r="F18" s="202">
        <v>0.4</v>
      </c>
      <c r="G18" s="136">
        <v>0.3</v>
      </c>
      <c r="H18" s="136">
        <v>0.48</v>
      </c>
      <c r="I18" s="108">
        <f t="shared" si="5"/>
        <v>0.39</v>
      </c>
      <c r="J18" s="108">
        <f t="shared" si="6"/>
        <v>29.273400000000002</v>
      </c>
      <c r="K18" s="108">
        <f t="shared" si="7"/>
        <v>15.012</v>
      </c>
      <c r="L18" s="108">
        <f t="shared" si="8"/>
        <v>0</v>
      </c>
      <c r="M18" s="109">
        <f t="shared" si="9"/>
        <v>44.285400000000003</v>
      </c>
      <c r="N18" s="110">
        <f t="shared" si="4"/>
        <v>3</v>
      </c>
      <c r="O18" s="111" t="s">
        <v>103</v>
      </c>
    </row>
    <row r="19" spans="1:15" ht="33" customHeight="1">
      <c r="A19" s="103">
        <v>13</v>
      </c>
      <c r="B19" s="135" t="s">
        <v>190</v>
      </c>
      <c r="C19" s="135" t="s">
        <v>406</v>
      </c>
      <c r="D19" s="139" t="s">
        <v>249</v>
      </c>
      <c r="E19" s="136">
        <v>5.7</v>
      </c>
      <c r="F19" s="202">
        <v>0.4</v>
      </c>
      <c r="G19" s="136">
        <v>0.48</v>
      </c>
      <c r="H19" s="136">
        <v>0.51</v>
      </c>
      <c r="I19" s="108">
        <f t="shared" si="5"/>
        <v>0.495</v>
      </c>
      <c r="J19" s="108">
        <f t="shared" si="6"/>
        <v>5.6429999999999998</v>
      </c>
      <c r="K19" s="108">
        <f t="shared" si="7"/>
        <v>2.2800000000000002</v>
      </c>
      <c r="L19" s="108">
        <f t="shared" si="8"/>
        <v>2.2800000000000002</v>
      </c>
      <c r="M19" s="109">
        <f t="shared" si="9"/>
        <v>10.202999999999999</v>
      </c>
      <c r="N19" s="110">
        <f t="shared" si="4"/>
        <v>4</v>
      </c>
      <c r="O19" s="111" t="s">
        <v>103</v>
      </c>
    </row>
    <row r="20" spans="1:15" ht="33" customHeight="1">
      <c r="A20" s="103">
        <v>14</v>
      </c>
      <c r="B20" s="135" t="s">
        <v>191</v>
      </c>
      <c r="C20" s="135" t="s">
        <v>363</v>
      </c>
      <c r="D20" s="139" t="s">
        <v>55</v>
      </c>
      <c r="E20" s="136">
        <v>37.53</v>
      </c>
      <c r="F20" s="202">
        <v>0.4</v>
      </c>
      <c r="G20" s="136">
        <v>0.3</v>
      </c>
      <c r="H20" s="136">
        <v>0.48</v>
      </c>
      <c r="I20" s="108">
        <f t="shared" si="5"/>
        <v>0.39</v>
      </c>
      <c r="J20" s="108">
        <f t="shared" si="6"/>
        <v>29.273400000000002</v>
      </c>
      <c r="K20" s="108">
        <f t="shared" si="7"/>
        <v>15.012</v>
      </c>
      <c r="L20" s="108">
        <f t="shared" si="8"/>
        <v>0</v>
      </c>
      <c r="M20" s="109">
        <f t="shared" si="9"/>
        <v>44.285400000000003</v>
      </c>
      <c r="N20" s="110">
        <f t="shared" si="4"/>
        <v>3</v>
      </c>
      <c r="O20" s="111" t="s">
        <v>103</v>
      </c>
    </row>
    <row r="21" spans="1:15" ht="33" customHeight="1">
      <c r="A21" s="103">
        <v>15</v>
      </c>
      <c r="B21" s="135" t="s">
        <v>191</v>
      </c>
      <c r="C21" s="135" t="s">
        <v>406</v>
      </c>
      <c r="D21" s="139" t="s">
        <v>249</v>
      </c>
      <c r="E21" s="136">
        <v>10.9</v>
      </c>
      <c r="F21" s="202">
        <v>0.4</v>
      </c>
      <c r="G21" s="136">
        <v>0.48</v>
      </c>
      <c r="H21" s="136">
        <v>0.54</v>
      </c>
      <c r="I21" s="108">
        <f t="shared" si="5"/>
        <v>0.51</v>
      </c>
      <c r="J21" s="108">
        <f t="shared" si="6"/>
        <v>11.118</v>
      </c>
      <c r="K21" s="108">
        <f t="shared" si="7"/>
        <v>4.3600000000000003</v>
      </c>
      <c r="L21" s="108">
        <f t="shared" si="8"/>
        <v>4.3600000000000003</v>
      </c>
      <c r="M21" s="109">
        <f t="shared" si="9"/>
        <v>19.838000000000001</v>
      </c>
      <c r="N21" s="110">
        <f t="shared" si="4"/>
        <v>4</v>
      </c>
      <c r="O21" s="111" t="s">
        <v>103</v>
      </c>
    </row>
    <row r="22" spans="1:15" ht="33" customHeight="1">
      <c r="A22" s="103">
        <v>16</v>
      </c>
      <c r="B22" s="135" t="s">
        <v>191</v>
      </c>
      <c r="C22" s="135" t="s">
        <v>407</v>
      </c>
      <c r="D22" s="139" t="s">
        <v>55</v>
      </c>
      <c r="E22" s="136">
        <v>56.93</v>
      </c>
      <c r="F22" s="202">
        <v>0.4</v>
      </c>
      <c r="G22" s="136">
        <v>0.54</v>
      </c>
      <c r="H22" s="136">
        <v>0.82</v>
      </c>
      <c r="I22" s="108">
        <f t="shared" si="5"/>
        <v>0.67999999999999994</v>
      </c>
      <c r="J22" s="108">
        <f t="shared" si="6"/>
        <v>77.424799999999991</v>
      </c>
      <c r="K22" s="108">
        <f t="shared" si="7"/>
        <v>22.772000000000002</v>
      </c>
      <c r="L22" s="108">
        <f t="shared" si="8"/>
        <v>0</v>
      </c>
      <c r="M22" s="109">
        <f t="shared" si="9"/>
        <v>100.1968</v>
      </c>
      <c r="N22" s="110">
        <f t="shared" si="4"/>
        <v>3</v>
      </c>
      <c r="O22" s="111" t="s">
        <v>103</v>
      </c>
    </row>
    <row r="23" spans="1:15" ht="33" customHeight="1">
      <c r="A23" s="103">
        <v>17</v>
      </c>
      <c r="B23" s="135" t="s">
        <v>191</v>
      </c>
      <c r="C23" s="135" t="s">
        <v>408</v>
      </c>
      <c r="D23" s="139" t="s">
        <v>249</v>
      </c>
      <c r="E23" s="136">
        <v>15</v>
      </c>
      <c r="F23" s="202">
        <v>0.4</v>
      </c>
      <c r="G23" s="136">
        <v>0.82</v>
      </c>
      <c r="H23" s="136">
        <v>0.9</v>
      </c>
      <c r="I23" s="108">
        <f t="shared" si="5"/>
        <v>0.86</v>
      </c>
      <c r="J23" s="108">
        <f t="shared" si="6"/>
        <v>25.8</v>
      </c>
      <c r="K23" s="108">
        <f t="shared" si="7"/>
        <v>6</v>
      </c>
      <c r="L23" s="108">
        <f t="shared" si="8"/>
        <v>6</v>
      </c>
      <c r="M23" s="109">
        <f t="shared" si="9"/>
        <v>37.799999999999997</v>
      </c>
      <c r="N23" s="110">
        <f t="shared" si="4"/>
        <v>4</v>
      </c>
      <c r="O23" s="111" t="s">
        <v>103</v>
      </c>
    </row>
    <row r="24" spans="1:15" ht="33" customHeight="1">
      <c r="A24" s="103">
        <v>18</v>
      </c>
      <c r="B24" s="135" t="s">
        <v>251</v>
      </c>
      <c r="C24" s="135" t="s">
        <v>363</v>
      </c>
      <c r="D24" s="139" t="s">
        <v>55</v>
      </c>
      <c r="E24" s="136">
        <v>37.53</v>
      </c>
      <c r="F24" s="202">
        <v>0.4</v>
      </c>
      <c r="G24" s="136">
        <v>0.3</v>
      </c>
      <c r="H24" s="136">
        <v>0.48</v>
      </c>
      <c r="I24" s="108">
        <f t="shared" si="5"/>
        <v>0.39</v>
      </c>
      <c r="J24" s="108">
        <f t="shared" si="6"/>
        <v>29.273400000000002</v>
      </c>
      <c r="K24" s="108">
        <f t="shared" si="7"/>
        <v>15.012</v>
      </c>
      <c r="L24" s="108">
        <f t="shared" si="8"/>
        <v>0</v>
      </c>
      <c r="M24" s="109">
        <f t="shared" si="9"/>
        <v>44.285400000000003</v>
      </c>
      <c r="N24" s="110">
        <f t="shared" si="4"/>
        <v>3</v>
      </c>
      <c r="O24" s="111" t="s">
        <v>103</v>
      </c>
    </row>
    <row r="25" spans="1:15" ht="33" customHeight="1">
      <c r="A25" s="103">
        <v>19</v>
      </c>
      <c r="B25" s="135" t="s">
        <v>251</v>
      </c>
      <c r="C25" s="135" t="s">
        <v>406</v>
      </c>
      <c r="D25" s="139" t="s">
        <v>249</v>
      </c>
      <c r="E25" s="136">
        <v>7.66</v>
      </c>
      <c r="F25" s="202">
        <v>0.4</v>
      </c>
      <c r="G25" s="136">
        <v>0.48</v>
      </c>
      <c r="H25" s="136">
        <v>0.52</v>
      </c>
      <c r="I25" s="108">
        <f t="shared" si="5"/>
        <v>0.5</v>
      </c>
      <c r="J25" s="108">
        <f t="shared" si="6"/>
        <v>7.66</v>
      </c>
      <c r="K25" s="108">
        <f t="shared" si="7"/>
        <v>3.0640000000000001</v>
      </c>
      <c r="L25" s="108">
        <f t="shared" si="8"/>
        <v>3.0640000000000001</v>
      </c>
      <c r="M25" s="109">
        <f t="shared" si="9"/>
        <v>13.788</v>
      </c>
      <c r="N25" s="110">
        <f t="shared" si="4"/>
        <v>4</v>
      </c>
      <c r="O25" s="111" t="s">
        <v>103</v>
      </c>
    </row>
    <row r="26" spans="1:15" ht="33" customHeight="1">
      <c r="A26" s="103">
        <v>20</v>
      </c>
      <c r="B26" s="135" t="s">
        <v>251</v>
      </c>
      <c r="C26" s="135" t="s">
        <v>407</v>
      </c>
      <c r="D26" s="139" t="s">
        <v>55</v>
      </c>
      <c r="E26" s="136">
        <v>63.75</v>
      </c>
      <c r="F26" s="202">
        <v>0.4</v>
      </c>
      <c r="G26" s="136">
        <v>0.52</v>
      </c>
      <c r="H26" s="136">
        <v>0.84</v>
      </c>
      <c r="I26" s="108">
        <f t="shared" si="5"/>
        <v>0.67999999999999994</v>
      </c>
      <c r="J26" s="108">
        <f t="shared" si="6"/>
        <v>86.699999999999989</v>
      </c>
      <c r="K26" s="108">
        <f t="shared" si="7"/>
        <v>25.5</v>
      </c>
      <c r="L26" s="108">
        <f t="shared" si="8"/>
        <v>0</v>
      </c>
      <c r="M26" s="109">
        <f t="shared" si="9"/>
        <v>112.19999999999999</v>
      </c>
      <c r="N26" s="110">
        <f t="shared" si="4"/>
        <v>3</v>
      </c>
      <c r="O26" s="111" t="s">
        <v>103</v>
      </c>
    </row>
    <row r="27" spans="1:15" ht="33" customHeight="1">
      <c r="A27" s="103">
        <v>21</v>
      </c>
      <c r="B27" s="135" t="s">
        <v>251</v>
      </c>
      <c r="C27" s="135" t="s">
        <v>408</v>
      </c>
      <c r="D27" s="139" t="s">
        <v>249</v>
      </c>
      <c r="E27" s="136">
        <v>11.47</v>
      </c>
      <c r="F27" s="202">
        <v>0.4</v>
      </c>
      <c r="G27" s="136">
        <v>0.84</v>
      </c>
      <c r="H27" s="136">
        <v>0.9</v>
      </c>
      <c r="I27" s="108">
        <f t="shared" si="5"/>
        <v>0.87</v>
      </c>
      <c r="J27" s="108">
        <f t="shared" si="6"/>
        <v>19.957800000000002</v>
      </c>
      <c r="K27" s="108">
        <f t="shared" si="7"/>
        <v>4.5880000000000001</v>
      </c>
      <c r="L27" s="108">
        <f t="shared" si="8"/>
        <v>4.5880000000000001</v>
      </c>
      <c r="M27" s="109">
        <f t="shared" si="9"/>
        <v>29.133800000000004</v>
      </c>
      <c r="N27" s="110">
        <f t="shared" si="4"/>
        <v>4</v>
      </c>
      <c r="O27" s="111" t="s">
        <v>103</v>
      </c>
    </row>
    <row r="28" spans="1:15" ht="33" customHeight="1">
      <c r="A28" s="103">
        <v>22</v>
      </c>
      <c r="B28" s="135" t="s">
        <v>251</v>
      </c>
      <c r="C28" s="135" t="s">
        <v>409</v>
      </c>
      <c r="D28" s="139" t="s">
        <v>249</v>
      </c>
      <c r="E28" s="136">
        <v>5.17</v>
      </c>
      <c r="F28" s="202">
        <v>0.4</v>
      </c>
      <c r="G28" s="136">
        <v>0.85</v>
      </c>
      <c r="H28" s="136">
        <v>0.88</v>
      </c>
      <c r="I28" s="108">
        <f t="shared" si="5"/>
        <v>0.86499999999999999</v>
      </c>
      <c r="J28" s="108">
        <f t="shared" si="6"/>
        <v>8.9441000000000006</v>
      </c>
      <c r="K28" s="108">
        <f t="shared" si="7"/>
        <v>2.0680000000000001</v>
      </c>
      <c r="L28" s="108">
        <f t="shared" si="8"/>
        <v>2.0680000000000001</v>
      </c>
      <c r="M28" s="109">
        <f t="shared" si="9"/>
        <v>13.0801</v>
      </c>
      <c r="N28" s="110">
        <f t="shared" si="4"/>
        <v>4</v>
      </c>
      <c r="O28" s="111" t="s">
        <v>103</v>
      </c>
    </row>
    <row r="29" spans="1:15" ht="33" customHeight="1">
      <c r="A29" s="103">
        <v>23</v>
      </c>
      <c r="B29" s="135" t="s">
        <v>252</v>
      </c>
      <c r="C29" s="135" t="s">
        <v>363</v>
      </c>
      <c r="D29" s="139" t="s">
        <v>249</v>
      </c>
      <c r="E29" s="136">
        <v>8.1999999999999993</v>
      </c>
      <c r="F29" s="202">
        <v>0.4</v>
      </c>
      <c r="G29" s="136">
        <v>0.4</v>
      </c>
      <c r="H29" s="136">
        <v>0.44</v>
      </c>
      <c r="I29" s="108">
        <f t="shared" si="5"/>
        <v>0.42000000000000004</v>
      </c>
      <c r="J29" s="108">
        <f t="shared" si="6"/>
        <v>6.8879999999999999</v>
      </c>
      <c r="K29" s="108">
        <f t="shared" si="7"/>
        <v>3.28</v>
      </c>
      <c r="L29" s="108">
        <f t="shared" si="8"/>
        <v>3.28</v>
      </c>
      <c r="M29" s="109">
        <f t="shared" si="9"/>
        <v>13.447999999999999</v>
      </c>
      <c r="N29" s="110">
        <f t="shared" si="4"/>
        <v>4</v>
      </c>
      <c r="O29" s="111" t="s">
        <v>103</v>
      </c>
    </row>
    <row r="30" spans="1:15" ht="33" customHeight="1">
      <c r="A30" s="103">
        <v>24</v>
      </c>
      <c r="B30" s="135" t="s">
        <v>253</v>
      </c>
      <c r="C30" s="135" t="s">
        <v>363</v>
      </c>
      <c r="D30" s="139" t="s">
        <v>249</v>
      </c>
      <c r="E30" s="136">
        <v>7</v>
      </c>
      <c r="F30" s="202">
        <v>0.4</v>
      </c>
      <c r="G30" s="136">
        <v>0.4</v>
      </c>
      <c r="H30" s="136">
        <v>0.43</v>
      </c>
      <c r="I30" s="108">
        <f t="shared" si="5"/>
        <v>0.41500000000000004</v>
      </c>
      <c r="J30" s="108">
        <f t="shared" si="6"/>
        <v>5.8100000000000005</v>
      </c>
      <c r="K30" s="108">
        <f t="shared" si="7"/>
        <v>2.8000000000000003</v>
      </c>
      <c r="L30" s="108">
        <f t="shared" si="8"/>
        <v>2.8000000000000003</v>
      </c>
      <c r="M30" s="109">
        <f t="shared" si="9"/>
        <v>11.410000000000002</v>
      </c>
      <c r="N30" s="110">
        <f t="shared" si="4"/>
        <v>4</v>
      </c>
      <c r="O30" s="111" t="s">
        <v>103</v>
      </c>
    </row>
    <row r="31" spans="1:15" ht="33" customHeight="1">
      <c r="A31" s="103">
        <v>25</v>
      </c>
      <c r="B31" s="135" t="s">
        <v>53</v>
      </c>
      <c r="C31" s="135" t="s">
        <v>363</v>
      </c>
      <c r="D31" s="139" t="s">
        <v>55</v>
      </c>
      <c r="E31" s="136">
        <v>16</v>
      </c>
      <c r="F31" s="202">
        <v>0.4</v>
      </c>
      <c r="G31" s="136">
        <v>0.3</v>
      </c>
      <c r="H31" s="136">
        <v>0.38</v>
      </c>
      <c r="I31" s="108">
        <f t="shared" si="5"/>
        <v>0.33999999999999997</v>
      </c>
      <c r="J31" s="108">
        <f t="shared" si="6"/>
        <v>10.879999999999999</v>
      </c>
      <c r="K31" s="108">
        <f t="shared" si="7"/>
        <v>6.4</v>
      </c>
      <c r="L31" s="108">
        <f t="shared" si="8"/>
        <v>0</v>
      </c>
      <c r="M31" s="109">
        <f t="shared" si="9"/>
        <v>17.28</v>
      </c>
      <c r="N31" s="110">
        <f t="shared" si="4"/>
        <v>3</v>
      </c>
      <c r="O31" s="111" t="s">
        <v>103</v>
      </c>
    </row>
    <row r="32" spans="1:15" ht="33" customHeight="1">
      <c r="A32" s="103">
        <v>26</v>
      </c>
      <c r="B32" s="135" t="s">
        <v>54</v>
      </c>
      <c r="C32" s="135" t="s">
        <v>363</v>
      </c>
      <c r="D32" s="139" t="s">
        <v>55</v>
      </c>
      <c r="E32" s="136">
        <v>62.76</v>
      </c>
      <c r="F32" s="202">
        <v>0.4</v>
      </c>
      <c r="G32" s="136">
        <v>0.3</v>
      </c>
      <c r="H32" s="136">
        <v>0.61</v>
      </c>
      <c r="I32" s="108">
        <f t="shared" si="5"/>
        <v>0.45499999999999996</v>
      </c>
      <c r="J32" s="108">
        <f t="shared" si="6"/>
        <v>57.111599999999996</v>
      </c>
      <c r="K32" s="108">
        <f t="shared" si="7"/>
        <v>25.103999999999999</v>
      </c>
      <c r="L32" s="108">
        <f t="shared" si="8"/>
        <v>0</v>
      </c>
      <c r="M32" s="109">
        <f t="shared" si="9"/>
        <v>82.215599999999995</v>
      </c>
      <c r="N32" s="110">
        <f t="shared" si="4"/>
        <v>3</v>
      </c>
      <c r="O32" s="111" t="s">
        <v>330</v>
      </c>
    </row>
    <row r="33" spans="1:15" ht="33" customHeight="1">
      <c r="A33" s="103">
        <v>27</v>
      </c>
      <c r="B33" s="135" t="s">
        <v>54</v>
      </c>
      <c r="C33" s="135" t="s">
        <v>406</v>
      </c>
      <c r="D33" s="139" t="s">
        <v>249</v>
      </c>
      <c r="E33" s="136">
        <v>2.2000000000000002</v>
      </c>
      <c r="F33" s="202">
        <v>0.4</v>
      </c>
      <c r="G33" s="136">
        <v>0.61</v>
      </c>
      <c r="H33" s="136">
        <v>0.62</v>
      </c>
      <c r="I33" s="108">
        <f t="shared" si="5"/>
        <v>0.61499999999999999</v>
      </c>
      <c r="J33" s="108">
        <f t="shared" si="6"/>
        <v>2.706</v>
      </c>
      <c r="K33" s="108">
        <f t="shared" si="7"/>
        <v>0.88000000000000012</v>
      </c>
      <c r="L33" s="108">
        <f t="shared" si="8"/>
        <v>0.88000000000000012</v>
      </c>
      <c r="M33" s="109">
        <f t="shared" si="9"/>
        <v>4.4660000000000002</v>
      </c>
      <c r="N33" s="110">
        <f t="shared" si="4"/>
        <v>4</v>
      </c>
      <c r="O33" s="111" t="s">
        <v>331</v>
      </c>
    </row>
    <row r="34" spans="1:15" ht="33" customHeight="1">
      <c r="A34" s="103">
        <v>28</v>
      </c>
      <c r="B34" s="135" t="s">
        <v>54</v>
      </c>
      <c r="C34" s="135" t="s">
        <v>407</v>
      </c>
      <c r="D34" s="139" t="s">
        <v>249</v>
      </c>
      <c r="E34" s="136">
        <v>6.5</v>
      </c>
      <c r="F34" s="202">
        <v>0.4</v>
      </c>
      <c r="G34" s="136">
        <v>0.56999999999999995</v>
      </c>
      <c r="H34" s="136">
        <v>0.6</v>
      </c>
      <c r="I34" s="108">
        <f t="shared" si="5"/>
        <v>0.58499999999999996</v>
      </c>
      <c r="J34" s="108">
        <f t="shared" si="6"/>
        <v>7.6049999999999995</v>
      </c>
      <c r="K34" s="108">
        <f t="shared" si="7"/>
        <v>2.6</v>
      </c>
      <c r="L34" s="108">
        <f t="shared" si="8"/>
        <v>2.6</v>
      </c>
      <c r="M34" s="109">
        <f t="shared" si="9"/>
        <v>12.805</v>
      </c>
      <c r="N34" s="110">
        <f t="shared" si="4"/>
        <v>4</v>
      </c>
      <c r="O34" s="111" t="s">
        <v>332</v>
      </c>
    </row>
    <row r="35" spans="1:15" ht="33" customHeight="1">
      <c r="A35" s="103">
        <v>29</v>
      </c>
      <c r="B35" s="135" t="s">
        <v>326</v>
      </c>
      <c r="C35" s="135" t="s">
        <v>363</v>
      </c>
      <c r="D35" s="139" t="s">
        <v>55</v>
      </c>
      <c r="E35" s="136">
        <v>52.47</v>
      </c>
      <c r="F35" s="202">
        <v>0.4</v>
      </c>
      <c r="G35" s="136">
        <v>0.3</v>
      </c>
      <c r="H35" s="136">
        <v>0.56000000000000005</v>
      </c>
      <c r="I35" s="108">
        <f t="shared" si="5"/>
        <v>0.43000000000000005</v>
      </c>
      <c r="J35" s="108">
        <f t="shared" si="6"/>
        <v>45.124200000000002</v>
      </c>
      <c r="K35" s="108">
        <f t="shared" si="7"/>
        <v>20.988</v>
      </c>
      <c r="L35" s="108">
        <f t="shared" si="8"/>
        <v>0</v>
      </c>
      <c r="M35" s="109">
        <f t="shared" si="9"/>
        <v>66.112200000000001</v>
      </c>
      <c r="N35" s="110">
        <f t="shared" si="4"/>
        <v>3</v>
      </c>
      <c r="O35" s="111" t="s">
        <v>333</v>
      </c>
    </row>
    <row r="36" spans="1:15" ht="33" customHeight="1">
      <c r="A36" s="103">
        <v>30</v>
      </c>
      <c r="B36" s="135" t="s">
        <v>326</v>
      </c>
      <c r="C36" s="135" t="s">
        <v>406</v>
      </c>
      <c r="D36" s="139" t="s">
        <v>249</v>
      </c>
      <c r="E36" s="136">
        <v>56.64</v>
      </c>
      <c r="F36" s="202">
        <v>0.4</v>
      </c>
      <c r="G36" s="136">
        <v>0.51</v>
      </c>
      <c r="H36" s="136">
        <v>0.8</v>
      </c>
      <c r="I36" s="108">
        <f t="shared" si="5"/>
        <v>0.65500000000000003</v>
      </c>
      <c r="J36" s="108">
        <f t="shared" si="6"/>
        <v>74.198400000000007</v>
      </c>
      <c r="K36" s="108">
        <f t="shared" si="7"/>
        <v>22.656000000000002</v>
      </c>
      <c r="L36" s="108">
        <f t="shared" si="8"/>
        <v>22.656000000000002</v>
      </c>
      <c r="M36" s="109">
        <f t="shared" si="9"/>
        <v>119.51040000000002</v>
      </c>
      <c r="N36" s="110">
        <f t="shared" si="4"/>
        <v>4</v>
      </c>
      <c r="O36" s="111" t="s">
        <v>334</v>
      </c>
    </row>
    <row r="38" spans="1:15" ht="22.5" customHeight="1">
      <c r="A38" s="285" t="s">
        <v>277</v>
      </c>
      <c r="B38" s="285"/>
      <c r="C38" s="285"/>
      <c r="D38" s="285"/>
      <c r="E38" s="285"/>
      <c r="F38" s="285"/>
      <c r="G38" s="285"/>
      <c r="H38" s="285"/>
      <c r="I38" s="285"/>
      <c r="J38" s="285"/>
      <c r="K38" s="285"/>
      <c r="L38" s="285"/>
      <c r="M38" s="105">
        <f>SUM(M7:M36)</f>
        <v>1084.2058999999999</v>
      </c>
      <c r="N38" s="105"/>
      <c r="O38" s="105" t="s">
        <v>103</v>
      </c>
    </row>
  </sheetData>
  <mergeCells count="9">
    <mergeCell ref="C3:O3"/>
    <mergeCell ref="C4:J4"/>
    <mergeCell ref="A1:O1"/>
    <mergeCell ref="A38:L38"/>
    <mergeCell ref="A2:B2"/>
    <mergeCell ref="A3:B3"/>
    <mergeCell ref="A4:B4"/>
    <mergeCell ref="L4:O4"/>
    <mergeCell ref="C2:O2"/>
  </mergeCells>
  <phoneticPr fontId="1" type="noConversion"/>
  <conditionalFormatting sqref="D7:D36">
    <cfRule type="expression" dxfId="5" priority="1">
      <formula>D7="TAPADA"</formula>
    </cfRule>
    <cfRule type="expression" dxfId="4" priority="2">
      <formula>D7="ABIERTA"</formula>
    </cfRule>
  </conditionalFormatting>
  <conditionalFormatting sqref="L7:L36">
    <cfRule type="expression" dxfId="3" priority="5">
      <formula>$D7="ABIERTA"</formula>
    </cfRule>
  </conditionalFormatting>
  <pageMargins left="0.7" right="0.7" top="0.75" bottom="0.75" header="0.3" footer="0.3"/>
  <pageSetup paperSize="9" scale="56" fitToHeight="0" orientation="landscape" r:id="rId1"/>
  <extLst>
    <ext xmlns:x14="http://schemas.microsoft.com/office/spreadsheetml/2009/9/main" uri="{CCE6A557-97BC-4b89-ADB6-D9C93CAAB3DF}">
      <x14:dataValidations xmlns:xm="http://schemas.microsoft.com/office/excel/2006/main" disablePrompts="1" count="1">
        <x14:dataValidation type="list" xr:uid="{01139C8A-886B-45CB-B16E-477ACC9D050F}">
          <x14:formula1>
            <xm:f>Listas!$D$4:$D$5</xm:f>
          </x14:formula1>
          <xm:sqref>D7:D36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49FA1-A2FB-4957-B8F1-DA624CD484FA}">
  <sheetPr>
    <tabColor rgb="FF92D050"/>
  </sheetPr>
  <dimension ref="A1:H38"/>
  <sheetViews>
    <sheetView view="pageBreakPreview" topLeftCell="A18" zoomScale="115" zoomScaleNormal="115" zoomScaleSheetLayoutView="115" workbookViewId="0">
      <selection activeCell="L14" sqref="L14"/>
    </sheetView>
  </sheetViews>
  <sheetFormatPr baseColWidth="10" defaultColWidth="9.453125" defaultRowHeight="14"/>
  <cols>
    <col min="1" max="1" width="6.54296875" style="100" customWidth="1"/>
    <col min="2" max="2" width="15.90625" style="100" customWidth="1"/>
    <col min="3" max="3" width="18.81640625" style="100" customWidth="1"/>
    <col min="4" max="4" width="17.453125" style="100" customWidth="1"/>
    <col min="5" max="5" width="14.7265625" style="100" customWidth="1"/>
    <col min="6" max="6" width="19.6328125" style="100" customWidth="1"/>
    <col min="7" max="7" width="27" style="100" customWidth="1"/>
    <col min="8" max="8" width="8.7265625" style="100" customWidth="1"/>
    <col min="9" max="16384" width="9.453125" style="100"/>
  </cols>
  <sheetData>
    <row r="1" spans="1:8" ht="21.4" customHeight="1">
      <c r="A1" s="289" t="s">
        <v>328</v>
      </c>
      <c r="B1" s="289"/>
      <c r="C1" s="289"/>
      <c r="D1" s="289"/>
      <c r="E1" s="289"/>
      <c r="F1" s="289"/>
      <c r="G1" s="289"/>
      <c r="H1" s="289"/>
    </row>
    <row r="2" spans="1:8" ht="22.5" customHeight="1">
      <c r="A2" s="293" t="s">
        <v>42</v>
      </c>
      <c r="B2" s="294" t="s">
        <v>46</v>
      </c>
      <c r="C2" s="290" t="s">
        <v>46</v>
      </c>
      <c r="D2" s="291"/>
      <c r="E2" s="291"/>
      <c r="F2" s="291"/>
      <c r="G2" s="291"/>
      <c r="H2" s="292"/>
    </row>
    <row r="3" spans="1:8" ht="54.5" customHeight="1">
      <c r="A3" s="293" t="s">
        <v>39</v>
      </c>
      <c r="B3" s="294" t="s">
        <v>276</v>
      </c>
      <c r="C3" s="290"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D3" s="291"/>
      <c r="E3" s="291"/>
      <c r="F3" s="291"/>
      <c r="G3" s="291"/>
      <c r="H3" s="292"/>
    </row>
    <row r="4" spans="1:8" ht="24" customHeight="1">
      <c r="A4" s="293" t="s">
        <v>43</v>
      </c>
      <c r="B4" s="294" t="s">
        <v>275</v>
      </c>
      <c r="C4" s="295" t="str">
        <f>+RESUMEN!B6</f>
        <v>SAN MARTIN - SAN MARTIN - MORALES</v>
      </c>
      <c r="D4" s="296"/>
      <c r="E4" s="296"/>
      <c r="F4" s="297"/>
      <c r="G4" s="115" t="s">
        <v>40</v>
      </c>
      <c r="H4" s="116">
        <f>+RESUMEN!B7</f>
        <v>46266</v>
      </c>
    </row>
    <row r="6" spans="1:8" ht="32" customHeight="1">
      <c r="A6" s="117" t="s">
        <v>174</v>
      </c>
      <c r="B6" s="117" t="s">
        <v>175</v>
      </c>
      <c r="C6" s="117" t="s">
        <v>226</v>
      </c>
      <c r="D6" s="117" t="s">
        <v>227</v>
      </c>
      <c r="E6" s="117" t="s">
        <v>274</v>
      </c>
      <c r="F6" s="117" t="s">
        <v>273</v>
      </c>
      <c r="G6" s="117" t="s">
        <v>272</v>
      </c>
      <c r="H6" s="117" t="s">
        <v>192</v>
      </c>
    </row>
    <row r="7" spans="1:8" ht="30" customHeight="1">
      <c r="A7" s="103">
        <v>1</v>
      </c>
      <c r="B7" s="135" t="s">
        <v>186</v>
      </c>
      <c r="C7" s="135" t="s">
        <v>363</v>
      </c>
      <c r="D7" s="139" t="s">
        <v>55</v>
      </c>
      <c r="E7" s="136">
        <v>32</v>
      </c>
      <c r="F7" s="176">
        <v>0</v>
      </c>
      <c r="G7" s="177">
        <f>IF(B7="","",IF(D7="ABIERTA",IF(E7-F7&lt;0,0,E7-F7),0))</f>
        <v>32</v>
      </c>
      <c r="H7" s="178" t="s">
        <v>10</v>
      </c>
    </row>
    <row r="8" spans="1:8" ht="33.5" customHeight="1">
      <c r="A8" s="103">
        <v>2</v>
      </c>
      <c r="B8" s="135" t="s">
        <v>186</v>
      </c>
      <c r="C8" s="135" t="s">
        <v>406</v>
      </c>
      <c r="D8" s="139" t="s">
        <v>249</v>
      </c>
      <c r="E8" s="136">
        <v>5.14</v>
      </c>
      <c r="F8" s="176">
        <v>0</v>
      </c>
      <c r="G8" s="177">
        <f t="shared" ref="G8:G36" si="0">IF(B8="","",IF(D8="ABIERTA",IF(E8-F8&lt;0,0,E8-F8),0))</f>
        <v>0</v>
      </c>
      <c r="H8" s="178" t="s">
        <v>10</v>
      </c>
    </row>
    <row r="9" spans="1:8" ht="28.5" customHeight="1">
      <c r="A9" s="103">
        <v>3</v>
      </c>
      <c r="B9" s="135" t="s">
        <v>187</v>
      </c>
      <c r="C9" s="135" t="s">
        <v>363</v>
      </c>
      <c r="D9" s="139" t="s">
        <v>55</v>
      </c>
      <c r="E9" s="136">
        <v>37.5</v>
      </c>
      <c r="F9" s="176">
        <v>0</v>
      </c>
      <c r="G9" s="177">
        <f t="shared" si="0"/>
        <v>37.5</v>
      </c>
      <c r="H9" s="178" t="s">
        <v>10</v>
      </c>
    </row>
    <row r="10" spans="1:8" ht="27" customHeight="1">
      <c r="A10" s="103">
        <v>4</v>
      </c>
      <c r="B10" s="135" t="s">
        <v>187</v>
      </c>
      <c r="C10" s="135" t="s">
        <v>406</v>
      </c>
      <c r="D10" s="139" t="s">
        <v>249</v>
      </c>
      <c r="E10" s="136">
        <v>10.199999999999999</v>
      </c>
      <c r="F10" s="176">
        <v>0</v>
      </c>
      <c r="G10" s="177">
        <f t="shared" si="0"/>
        <v>0</v>
      </c>
      <c r="H10" s="178" t="s">
        <v>10</v>
      </c>
    </row>
    <row r="11" spans="1:8" ht="27" customHeight="1">
      <c r="A11" s="103">
        <v>5</v>
      </c>
      <c r="B11" s="135" t="s">
        <v>187</v>
      </c>
      <c r="C11" s="135" t="s">
        <v>407</v>
      </c>
      <c r="D11" s="139" t="s">
        <v>55</v>
      </c>
      <c r="E11" s="136">
        <v>31.33</v>
      </c>
      <c r="F11" s="176">
        <v>0</v>
      </c>
      <c r="G11" s="177">
        <f t="shared" si="0"/>
        <v>31.33</v>
      </c>
      <c r="H11" s="178" t="s">
        <v>10</v>
      </c>
    </row>
    <row r="12" spans="1:8" ht="27" customHeight="1">
      <c r="A12" s="103">
        <v>6</v>
      </c>
      <c r="B12" s="135" t="s">
        <v>187</v>
      </c>
      <c r="C12" s="135" t="s">
        <v>408</v>
      </c>
      <c r="D12" s="139" t="s">
        <v>249</v>
      </c>
      <c r="E12" s="136">
        <v>8.36</v>
      </c>
      <c r="F12" s="176">
        <v>0</v>
      </c>
      <c r="G12" s="177">
        <f t="shared" si="0"/>
        <v>0</v>
      </c>
      <c r="H12" s="178" t="s">
        <v>10</v>
      </c>
    </row>
    <row r="13" spans="1:8" ht="27" customHeight="1">
      <c r="A13" s="103">
        <v>7</v>
      </c>
      <c r="B13" s="135" t="s">
        <v>187</v>
      </c>
      <c r="C13" s="135" t="s">
        <v>409</v>
      </c>
      <c r="D13" s="139" t="s">
        <v>55</v>
      </c>
      <c r="E13" s="136">
        <v>30.36</v>
      </c>
      <c r="F13" s="176">
        <v>0</v>
      </c>
      <c r="G13" s="177">
        <f t="shared" si="0"/>
        <v>30.36</v>
      </c>
      <c r="H13" s="178" t="s">
        <v>10</v>
      </c>
    </row>
    <row r="14" spans="1:8" ht="27" customHeight="1">
      <c r="A14" s="103">
        <v>8</v>
      </c>
      <c r="B14" s="135" t="s">
        <v>187</v>
      </c>
      <c r="C14" s="135" t="s">
        <v>410</v>
      </c>
      <c r="D14" s="139" t="s">
        <v>249</v>
      </c>
      <c r="E14" s="136">
        <v>2.25</v>
      </c>
      <c r="F14" s="176">
        <v>0</v>
      </c>
      <c r="G14" s="177">
        <f t="shared" si="0"/>
        <v>0</v>
      </c>
      <c r="H14" s="178" t="s">
        <v>10</v>
      </c>
    </row>
    <row r="15" spans="1:8" ht="27" customHeight="1">
      <c r="A15" s="103">
        <v>9</v>
      </c>
      <c r="B15" s="135" t="s">
        <v>187</v>
      </c>
      <c r="C15" s="135" t="s">
        <v>411</v>
      </c>
      <c r="D15" s="139" t="s">
        <v>249</v>
      </c>
      <c r="E15" s="136">
        <v>10.85</v>
      </c>
      <c r="F15" s="176">
        <v>0</v>
      </c>
      <c r="G15" s="177">
        <f t="shared" si="0"/>
        <v>0</v>
      </c>
      <c r="H15" s="178" t="s">
        <v>10</v>
      </c>
    </row>
    <row r="16" spans="1:8" ht="27" customHeight="1">
      <c r="A16" s="103">
        <v>10</v>
      </c>
      <c r="B16" s="135" t="s">
        <v>188</v>
      </c>
      <c r="C16" s="135" t="s">
        <v>363</v>
      </c>
      <c r="D16" s="139" t="s">
        <v>55</v>
      </c>
      <c r="E16" s="136">
        <v>5.82</v>
      </c>
      <c r="F16" s="176">
        <v>0</v>
      </c>
      <c r="G16" s="177">
        <f t="shared" si="0"/>
        <v>5.82</v>
      </c>
      <c r="H16" s="178" t="s">
        <v>10</v>
      </c>
    </row>
    <row r="17" spans="1:8" ht="27" customHeight="1">
      <c r="A17" s="103">
        <v>11</v>
      </c>
      <c r="B17" s="135" t="s">
        <v>189</v>
      </c>
      <c r="C17" s="135" t="s">
        <v>363</v>
      </c>
      <c r="D17" s="139" t="s">
        <v>55</v>
      </c>
      <c r="E17" s="136">
        <v>8.6</v>
      </c>
      <c r="F17" s="176">
        <v>0</v>
      </c>
      <c r="G17" s="177">
        <f t="shared" si="0"/>
        <v>8.6</v>
      </c>
      <c r="H17" s="178" t="s">
        <v>10</v>
      </c>
    </row>
    <row r="18" spans="1:8" ht="27" customHeight="1">
      <c r="A18" s="103">
        <v>12</v>
      </c>
      <c r="B18" s="135" t="s">
        <v>190</v>
      </c>
      <c r="C18" s="135" t="s">
        <v>363</v>
      </c>
      <c r="D18" s="139" t="s">
        <v>55</v>
      </c>
      <c r="E18" s="136">
        <v>37.53</v>
      </c>
      <c r="F18" s="176">
        <v>0</v>
      </c>
      <c r="G18" s="177">
        <f t="shared" si="0"/>
        <v>37.53</v>
      </c>
      <c r="H18" s="178" t="s">
        <v>10</v>
      </c>
    </row>
    <row r="19" spans="1:8" ht="27" customHeight="1">
      <c r="A19" s="103">
        <v>13</v>
      </c>
      <c r="B19" s="135" t="s">
        <v>190</v>
      </c>
      <c r="C19" s="135" t="s">
        <v>406</v>
      </c>
      <c r="D19" s="139" t="s">
        <v>249</v>
      </c>
      <c r="E19" s="136">
        <v>5.7</v>
      </c>
      <c r="F19" s="176">
        <v>0</v>
      </c>
      <c r="G19" s="177">
        <f t="shared" si="0"/>
        <v>0</v>
      </c>
      <c r="H19" s="178" t="s">
        <v>10</v>
      </c>
    </row>
    <row r="20" spans="1:8" ht="27" customHeight="1">
      <c r="A20" s="103">
        <v>14</v>
      </c>
      <c r="B20" s="135" t="s">
        <v>191</v>
      </c>
      <c r="C20" s="135" t="s">
        <v>363</v>
      </c>
      <c r="D20" s="139" t="s">
        <v>55</v>
      </c>
      <c r="E20" s="136">
        <v>37.53</v>
      </c>
      <c r="F20" s="176">
        <v>0</v>
      </c>
      <c r="G20" s="177">
        <f t="shared" si="0"/>
        <v>37.53</v>
      </c>
      <c r="H20" s="178" t="s">
        <v>10</v>
      </c>
    </row>
    <row r="21" spans="1:8" ht="27" customHeight="1">
      <c r="A21" s="103">
        <v>15</v>
      </c>
      <c r="B21" s="135" t="s">
        <v>191</v>
      </c>
      <c r="C21" s="135" t="s">
        <v>406</v>
      </c>
      <c r="D21" s="139" t="s">
        <v>249</v>
      </c>
      <c r="E21" s="136">
        <v>10.9</v>
      </c>
      <c r="F21" s="176">
        <v>0</v>
      </c>
      <c r="G21" s="177">
        <f t="shared" si="0"/>
        <v>0</v>
      </c>
      <c r="H21" s="178" t="s">
        <v>10</v>
      </c>
    </row>
    <row r="22" spans="1:8" ht="27" customHeight="1">
      <c r="A22" s="103">
        <v>16</v>
      </c>
      <c r="B22" s="135" t="s">
        <v>191</v>
      </c>
      <c r="C22" s="135" t="s">
        <v>407</v>
      </c>
      <c r="D22" s="139" t="s">
        <v>55</v>
      </c>
      <c r="E22" s="136">
        <v>56.93</v>
      </c>
      <c r="F22" s="176">
        <v>0</v>
      </c>
      <c r="G22" s="177">
        <f t="shared" si="0"/>
        <v>56.93</v>
      </c>
      <c r="H22" s="178" t="s">
        <v>10</v>
      </c>
    </row>
    <row r="23" spans="1:8" ht="27" customHeight="1">
      <c r="A23" s="103">
        <v>17</v>
      </c>
      <c r="B23" s="135" t="s">
        <v>191</v>
      </c>
      <c r="C23" s="135" t="s">
        <v>408</v>
      </c>
      <c r="D23" s="139" t="s">
        <v>249</v>
      </c>
      <c r="E23" s="136">
        <v>15</v>
      </c>
      <c r="F23" s="176">
        <v>0</v>
      </c>
      <c r="G23" s="177">
        <f t="shared" si="0"/>
        <v>0</v>
      </c>
      <c r="H23" s="178" t="s">
        <v>10</v>
      </c>
    </row>
    <row r="24" spans="1:8" ht="27" customHeight="1">
      <c r="A24" s="103">
        <v>18</v>
      </c>
      <c r="B24" s="135" t="s">
        <v>251</v>
      </c>
      <c r="C24" s="135" t="s">
        <v>363</v>
      </c>
      <c r="D24" s="139" t="s">
        <v>55</v>
      </c>
      <c r="E24" s="136">
        <v>37.53</v>
      </c>
      <c r="F24" s="176">
        <v>0</v>
      </c>
      <c r="G24" s="177">
        <f t="shared" si="0"/>
        <v>37.53</v>
      </c>
      <c r="H24" s="178" t="s">
        <v>10</v>
      </c>
    </row>
    <row r="25" spans="1:8" ht="27" customHeight="1">
      <c r="A25" s="103">
        <v>19</v>
      </c>
      <c r="B25" s="135" t="s">
        <v>251</v>
      </c>
      <c r="C25" s="135" t="s">
        <v>406</v>
      </c>
      <c r="D25" s="139" t="s">
        <v>249</v>
      </c>
      <c r="E25" s="136">
        <v>7.66</v>
      </c>
      <c r="F25" s="176">
        <v>0</v>
      </c>
      <c r="G25" s="177">
        <f t="shared" si="0"/>
        <v>0</v>
      </c>
      <c r="H25" s="178" t="s">
        <v>10</v>
      </c>
    </row>
    <row r="26" spans="1:8" ht="27" customHeight="1">
      <c r="A26" s="103">
        <v>20</v>
      </c>
      <c r="B26" s="135" t="s">
        <v>251</v>
      </c>
      <c r="C26" s="135" t="s">
        <v>407</v>
      </c>
      <c r="D26" s="139" t="s">
        <v>55</v>
      </c>
      <c r="E26" s="136">
        <v>63.75</v>
      </c>
      <c r="F26" s="176">
        <v>0</v>
      </c>
      <c r="G26" s="177">
        <f t="shared" si="0"/>
        <v>63.75</v>
      </c>
      <c r="H26" s="178" t="s">
        <v>10</v>
      </c>
    </row>
    <row r="27" spans="1:8" ht="27" customHeight="1">
      <c r="A27" s="103">
        <v>21</v>
      </c>
      <c r="B27" s="135" t="s">
        <v>251</v>
      </c>
      <c r="C27" s="135" t="s">
        <v>408</v>
      </c>
      <c r="D27" s="139" t="s">
        <v>249</v>
      </c>
      <c r="E27" s="136">
        <v>11.47</v>
      </c>
      <c r="F27" s="176">
        <v>0</v>
      </c>
      <c r="G27" s="177">
        <f t="shared" si="0"/>
        <v>0</v>
      </c>
      <c r="H27" s="178" t="s">
        <v>10</v>
      </c>
    </row>
    <row r="28" spans="1:8" ht="27" customHeight="1">
      <c r="A28" s="103">
        <v>22</v>
      </c>
      <c r="B28" s="135" t="s">
        <v>251</v>
      </c>
      <c r="C28" s="135" t="s">
        <v>409</v>
      </c>
      <c r="D28" s="139" t="s">
        <v>249</v>
      </c>
      <c r="E28" s="136">
        <v>5.17</v>
      </c>
      <c r="F28" s="176">
        <v>0</v>
      </c>
      <c r="G28" s="177">
        <f t="shared" si="0"/>
        <v>0</v>
      </c>
      <c r="H28" s="178" t="s">
        <v>10</v>
      </c>
    </row>
    <row r="29" spans="1:8" ht="27" customHeight="1">
      <c r="A29" s="103">
        <v>23</v>
      </c>
      <c r="B29" s="135" t="s">
        <v>252</v>
      </c>
      <c r="C29" s="135" t="s">
        <v>363</v>
      </c>
      <c r="D29" s="139" t="s">
        <v>249</v>
      </c>
      <c r="E29" s="136">
        <v>8.1999999999999993</v>
      </c>
      <c r="F29" s="176">
        <v>0</v>
      </c>
      <c r="G29" s="177">
        <f t="shared" si="0"/>
        <v>0</v>
      </c>
      <c r="H29" s="178" t="s">
        <v>10</v>
      </c>
    </row>
    <row r="30" spans="1:8" ht="27" customHeight="1">
      <c r="A30" s="103">
        <v>24</v>
      </c>
      <c r="B30" s="135" t="s">
        <v>253</v>
      </c>
      <c r="C30" s="135" t="s">
        <v>363</v>
      </c>
      <c r="D30" s="139" t="s">
        <v>249</v>
      </c>
      <c r="E30" s="136">
        <v>7</v>
      </c>
      <c r="F30" s="176">
        <v>0</v>
      </c>
      <c r="G30" s="177">
        <f t="shared" si="0"/>
        <v>0</v>
      </c>
      <c r="H30" s="178" t="s">
        <v>10</v>
      </c>
    </row>
    <row r="31" spans="1:8" ht="27" customHeight="1">
      <c r="A31" s="103">
        <v>25</v>
      </c>
      <c r="B31" s="135" t="s">
        <v>53</v>
      </c>
      <c r="C31" s="135" t="s">
        <v>363</v>
      </c>
      <c r="D31" s="139" t="s">
        <v>55</v>
      </c>
      <c r="E31" s="136">
        <v>16</v>
      </c>
      <c r="F31" s="176">
        <v>0</v>
      </c>
      <c r="G31" s="177">
        <f t="shared" si="0"/>
        <v>16</v>
      </c>
      <c r="H31" s="178" t="s">
        <v>10</v>
      </c>
    </row>
    <row r="32" spans="1:8" ht="27" customHeight="1">
      <c r="A32" s="103">
        <v>26</v>
      </c>
      <c r="B32" s="135" t="s">
        <v>54</v>
      </c>
      <c r="C32" s="135" t="s">
        <v>363</v>
      </c>
      <c r="D32" s="139" t="s">
        <v>55</v>
      </c>
      <c r="E32" s="136">
        <v>62.76</v>
      </c>
      <c r="F32" s="176">
        <v>0</v>
      </c>
      <c r="G32" s="177">
        <f t="shared" si="0"/>
        <v>62.76</v>
      </c>
      <c r="H32" s="178" t="s">
        <v>10</v>
      </c>
    </row>
    <row r="33" spans="1:8" ht="27" customHeight="1">
      <c r="A33" s="103">
        <v>27</v>
      </c>
      <c r="B33" s="135" t="s">
        <v>54</v>
      </c>
      <c r="C33" s="135" t="s">
        <v>406</v>
      </c>
      <c r="D33" s="139" t="s">
        <v>249</v>
      </c>
      <c r="E33" s="136">
        <v>2.2000000000000002</v>
      </c>
      <c r="F33" s="176">
        <v>0</v>
      </c>
      <c r="G33" s="177">
        <f t="shared" si="0"/>
        <v>0</v>
      </c>
      <c r="H33" s="178" t="s">
        <v>10</v>
      </c>
    </row>
    <row r="34" spans="1:8" ht="27" customHeight="1">
      <c r="A34" s="103">
        <v>28</v>
      </c>
      <c r="B34" s="135" t="s">
        <v>54</v>
      </c>
      <c r="C34" s="135" t="s">
        <v>407</v>
      </c>
      <c r="D34" s="139" t="s">
        <v>249</v>
      </c>
      <c r="E34" s="136">
        <v>6.5</v>
      </c>
      <c r="F34" s="176">
        <v>0</v>
      </c>
      <c r="G34" s="177">
        <f t="shared" si="0"/>
        <v>0</v>
      </c>
      <c r="H34" s="178" t="s">
        <v>10</v>
      </c>
    </row>
    <row r="35" spans="1:8" ht="27" customHeight="1">
      <c r="A35" s="103">
        <v>29</v>
      </c>
      <c r="B35" s="135" t="s">
        <v>326</v>
      </c>
      <c r="C35" s="135" t="s">
        <v>363</v>
      </c>
      <c r="D35" s="139" t="s">
        <v>55</v>
      </c>
      <c r="E35" s="136">
        <v>52.47</v>
      </c>
      <c r="F35" s="176">
        <v>0</v>
      </c>
      <c r="G35" s="177">
        <f t="shared" si="0"/>
        <v>52.47</v>
      </c>
      <c r="H35" s="178" t="s">
        <v>10</v>
      </c>
    </row>
    <row r="36" spans="1:8" ht="27" customHeight="1">
      <c r="A36" s="103">
        <v>30</v>
      </c>
      <c r="B36" s="135" t="s">
        <v>326</v>
      </c>
      <c r="C36" s="135" t="s">
        <v>406</v>
      </c>
      <c r="D36" s="139" t="s">
        <v>249</v>
      </c>
      <c r="E36" s="136">
        <v>56.64</v>
      </c>
      <c r="F36" s="176">
        <v>0</v>
      </c>
      <c r="G36" s="177">
        <f t="shared" si="0"/>
        <v>0</v>
      </c>
      <c r="H36" s="178" t="s">
        <v>10</v>
      </c>
    </row>
    <row r="38" spans="1:8" ht="18" customHeight="1">
      <c r="A38" s="288" t="s">
        <v>193</v>
      </c>
      <c r="B38" s="288"/>
      <c r="C38" s="288"/>
      <c r="D38" s="288"/>
      <c r="E38" s="288"/>
      <c r="F38" s="288"/>
      <c r="G38" s="101">
        <f>SUM(G7:G36)</f>
        <v>510.11</v>
      </c>
      <c r="H38" s="101" t="s">
        <v>10</v>
      </c>
    </row>
  </sheetData>
  <mergeCells count="8">
    <mergeCell ref="A38:F38"/>
    <mergeCell ref="A1:H1"/>
    <mergeCell ref="C2:H2"/>
    <mergeCell ref="C3:H3"/>
    <mergeCell ref="A2:B2"/>
    <mergeCell ref="A3:B3"/>
    <mergeCell ref="A4:B4"/>
    <mergeCell ref="C4:F4"/>
  </mergeCells>
  <phoneticPr fontId="1" type="noConversion"/>
  <conditionalFormatting sqref="D7:D36">
    <cfRule type="expression" dxfId="2" priority="1">
      <formula>D7="TAPADA"</formula>
    </cfRule>
    <cfRule type="expression" dxfId="1" priority="2">
      <formula>D7="ABIERTA"</formula>
    </cfRule>
  </conditionalFormatting>
  <conditionalFormatting sqref="G7:G36">
    <cfRule type="expression" dxfId="0" priority="7">
      <formula>$D7="TAPADA"</formula>
    </cfRule>
  </conditionalFormatting>
  <pageMargins left="0.7" right="0.7" top="0.75" bottom="0.75" header="0.3" footer="0.3"/>
  <pageSetup paperSize="9" scale="60" orientation="portrait" r:id="rId1"/>
  <extLst>
    <ext xmlns:x14="http://schemas.microsoft.com/office/spreadsheetml/2009/9/main" uri="{CCE6A557-97BC-4b89-ADB6-D9C93CAAB3DF}">
      <x14:dataValidations xmlns:xm="http://schemas.microsoft.com/office/excel/2006/main" disablePrompts="1" count="1">
        <x14:dataValidation type="list" xr:uid="{04596F69-B687-4C15-8ABE-4FAA0A2B2860}">
          <x14:formula1>
            <xm:f>Listas!$D$4:$D$5</xm:f>
          </x14:formula1>
          <xm:sqref>D7:D36</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9AE92-FE66-4082-9287-94A9712B9166}">
  <sheetPr>
    <tabColor rgb="FF92D050"/>
  </sheetPr>
  <dimension ref="A1:J24"/>
  <sheetViews>
    <sheetView view="pageBreakPreview" zoomScaleNormal="130" zoomScaleSheetLayoutView="100" workbookViewId="0">
      <pane ySplit="11" topLeftCell="A12" activePane="bottomLeft" state="frozen"/>
      <selection pane="bottomLeft" activeCell="P10" sqref="P10"/>
    </sheetView>
  </sheetViews>
  <sheetFormatPr baseColWidth="10" defaultColWidth="8.6328125" defaultRowHeight="14"/>
  <cols>
    <col min="1" max="1" width="24.90625" style="179" customWidth="1"/>
    <col min="2" max="2" width="16" style="179" customWidth="1"/>
    <col min="3" max="3" width="7" style="179" customWidth="1"/>
    <col min="4" max="10" width="15.26953125" style="179" customWidth="1"/>
    <col min="11" max="16384" width="8.6328125" style="179"/>
  </cols>
  <sheetData>
    <row r="1" spans="1:10" ht="31.5" customHeight="1">
      <c r="A1" s="298" t="s">
        <v>335</v>
      </c>
      <c r="B1" s="298"/>
      <c r="C1" s="298"/>
      <c r="D1" s="298"/>
      <c r="E1" s="298"/>
      <c r="F1" s="298"/>
      <c r="G1" s="298"/>
      <c r="H1" s="298"/>
      <c r="I1" s="298"/>
      <c r="J1" s="298"/>
    </row>
    <row r="2" spans="1:10" ht="15" customHeight="1">
      <c r="A2" s="189" t="s">
        <v>42</v>
      </c>
      <c r="B2" s="299" t="s">
        <v>46</v>
      </c>
      <c r="C2" s="299"/>
      <c r="D2" s="299"/>
      <c r="E2" s="299"/>
      <c r="F2" s="299"/>
      <c r="G2" s="299"/>
      <c r="H2" s="299"/>
      <c r="I2" s="299"/>
      <c r="J2" s="299"/>
    </row>
    <row r="3" spans="1:10" ht="59.5" customHeight="1">
      <c r="A3" s="189" t="s">
        <v>39</v>
      </c>
      <c r="B3" s="301"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C3" s="302"/>
      <c r="D3" s="302"/>
      <c r="E3" s="302"/>
      <c r="F3" s="302"/>
      <c r="G3" s="302"/>
      <c r="H3" s="302"/>
      <c r="I3" s="302"/>
      <c r="J3" s="303"/>
    </row>
    <row r="4" spans="1:10" ht="15" customHeight="1">
      <c r="A4" s="189" t="s">
        <v>43</v>
      </c>
      <c r="B4" s="299" t="str">
        <f>+RESUMEN!B6</f>
        <v>SAN MARTIN - SAN MARTIN - MORALES</v>
      </c>
      <c r="C4" s="299"/>
      <c r="D4" s="299"/>
      <c r="E4" s="299"/>
      <c r="F4" s="299"/>
      <c r="G4" s="299"/>
      <c r="H4" s="299"/>
      <c r="I4" s="299"/>
      <c r="J4" s="299"/>
    </row>
    <row r="5" spans="1:10" ht="15" customHeight="1">
      <c r="A5" s="189" t="s">
        <v>40</v>
      </c>
      <c r="B5" s="300">
        <f>+RESUMEN!B7</f>
        <v>46266</v>
      </c>
      <c r="C5" s="299"/>
      <c r="D5" s="299"/>
      <c r="E5" s="299"/>
      <c r="F5" s="299"/>
      <c r="G5" s="299"/>
      <c r="H5" s="299"/>
      <c r="I5" s="299"/>
      <c r="J5" s="299"/>
    </row>
    <row r="7" spans="1:10">
      <c r="A7" s="180" t="s">
        <v>336</v>
      </c>
      <c r="B7" s="181"/>
    </row>
    <row r="8" spans="1:10" ht="36.5" customHeight="1">
      <c r="A8" s="182" t="s">
        <v>337</v>
      </c>
      <c r="B8" s="183">
        <v>3</v>
      </c>
    </row>
    <row r="9" spans="1:10" ht="26.5" customHeight="1">
      <c r="A9" s="182" t="s">
        <v>338</v>
      </c>
      <c r="B9" s="183">
        <v>2</v>
      </c>
    </row>
    <row r="10" spans="1:10" ht="28">
      <c r="A10" s="184" t="s">
        <v>339</v>
      </c>
      <c r="B10" s="184" t="s">
        <v>340</v>
      </c>
    </row>
    <row r="11" spans="1:10" ht="39.75" customHeight="1">
      <c r="A11" s="185" t="s">
        <v>12</v>
      </c>
      <c r="B11" s="185" t="s">
        <v>341</v>
      </c>
      <c r="C11" s="185" t="s">
        <v>192</v>
      </c>
      <c r="D11" s="185" t="s">
        <v>342</v>
      </c>
      <c r="E11" s="185" t="s">
        <v>343</v>
      </c>
      <c r="F11" s="185" t="s">
        <v>344</v>
      </c>
      <c r="G11" s="185" t="s">
        <v>345</v>
      </c>
      <c r="H11" s="185" t="s">
        <v>346</v>
      </c>
      <c r="I11" s="185" t="s">
        <v>347</v>
      </c>
      <c r="J11" s="185" t="s">
        <v>348</v>
      </c>
    </row>
    <row r="12" spans="1:10" ht="25.5" customHeight="1">
      <c r="A12" s="186" t="s">
        <v>349</v>
      </c>
      <c r="B12" s="186" t="s">
        <v>139</v>
      </c>
      <c r="C12" s="186" t="s">
        <v>94</v>
      </c>
      <c r="D12" s="187"/>
      <c r="E12" s="187"/>
      <c r="F12" s="187"/>
      <c r="G12" s="187"/>
      <c r="H12" s="187"/>
      <c r="I12" s="187"/>
      <c r="J12" s="187">
        <f>SUM(J13:J24)</f>
        <v>241.95954396630202</v>
      </c>
    </row>
    <row r="13" spans="1:10" ht="15.5">
      <c r="A13" s="184">
        <v>1</v>
      </c>
      <c r="B13" s="184" t="s">
        <v>186</v>
      </c>
      <c r="C13" s="184"/>
      <c r="D13" s="190">
        <v>37.14</v>
      </c>
      <c r="E13" s="188">
        <f>+'CONCRETO EN CUNETAS'!E10</f>
        <v>14.07</v>
      </c>
      <c r="F13" s="188">
        <f t="shared" ref="F13:F24" si="0">E13/D13</f>
        <v>0.3788368336025848</v>
      </c>
      <c r="G13" s="188">
        <f>B8</f>
        <v>3</v>
      </c>
      <c r="H13" s="188">
        <f t="shared" ref="H13:H24" si="1">ROUNDUP(D13/G13,0)</f>
        <v>13</v>
      </c>
      <c r="I13" s="188">
        <f>B9</f>
        <v>2</v>
      </c>
      <c r="J13" s="188">
        <f t="shared" ref="J13:J24" si="2">H13*I13*F13</f>
        <v>9.8497576736672041</v>
      </c>
    </row>
    <row r="14" spans="1:10" ht="15.5">
      <c r="A14" s="184">
        <v>2</v>
      </c>
      <c r="B14" s="184" t="s">
        <v>187</v>
      </c>
      <c r="C14" s="184"/>
      <c r="D14" s="190">
        <v>130.85</v>
      </c>
      <c r="E14" s="188">
        <f>+'CONCRETO EN CUNETAS'!E22</f>
        <v>78.319999999999993</v>
      </c>
      <c r="F14" s="188">
        <f t="shared" si="0"/>
        <v>0.5985479556744363</v>
      </c>
      <c r="G14" s="188">
        <f>B8</f>
        <v>3</v>
      </c>
      <c r="H14" s="188">
        <f t="shared" si="1"/>
        <v>44</v>
      </c>
      <c r="I14" s="188">
        <f>B9</f>
        <v>2</v>
      </c>
      <c r="J14" s="188">
        <f t="shared" si="2"/>
        <v>52.672220099350398</v>
      </c>
    </row>
    <row r="15" spans="1:10" ht="15.5">
      <c r="A15" s="184">
        <v>3</v>
      </c>
      <c r="B15" s="184" t="s">
        <v>188</v>
      </c>
      <c r="C15" s="184"/>
      <c r="D15" s="190">
        <v>5.82</v>
      </c>
      <c r="E15" s="188">
        <f>+'CONCRETO EN CUNETAS'!E34</f>
        <v>1.83</v>
      </c>
      <c r="F15" s="188">
        <f t="shared" si="0"/>
        <v>0.31443298969072164</v>
      </c>
      <c r="G15" s="188">
        <f>B8</f>
        <v>3</v>
      </c>
      <c r="H15" s="188">
        <f t="shared" si="1"/>
        <v>2</v>
      </c>
      <c r="I15" s="188">
        <f>B9</f>
        <v>2</v>
      </c>
      <c r="J15" s="188">
        <f t="shared" si="2"/>
        <v>1.2577319587628866</v>
      </c>
    </row>
    <row r="16" spans="1:10" ht="15.5">
      <c r="A16" s="184">
        <v>4</v>
      </c>
      <c r="B16" s="184" t="s">
        <v>189</v>
      </c>
      <c r="C16" s="184"/>
      <c r="D16" s="190">
        <v>8.6</v>
      </c>
      <c r="E16" s="188">
        <f>+'CONCRETO EN CUNETAS'!E46</f>
        <v>2.76</v>
      </c>
      <c r="F16" s="188">
        <f t="shared" si="0"/>
        <v>0.32093023255813952</v>
      </c>
      <c r="G16" s="188">
        <f>B8</f>
        <v>3</v>
      </c>
      <c r="H16" s="188">
        <f t="shared" si="1"/>
        <v>3</v>
      </c>
      <c r="I16" s="188">
        <f>B9</f>
        <v>2</v>
      </c>
      <c r="J16" s="188">
        <f t="shared" si="2"/>
        <v>1.925581395348837</v>
      </c>
    </row>
    <row r="17" spans="1:10" ht="15.5">
      <c r="A17" s="184">
        <v>5</v>
      </c>
      <c r="B17" s="184" t="s">
        <v>190</v>
      </c>
      <c r="C17" s="184"/>
      <c r="D17" s="190">
        <v>43.23</v>
      </c>
      <c r="E17" s="188">
        <f>+'CONCRETO EN CUNETAS'!E58</f>
        <v>17.7</v>
      </c>
      <c r="F17" s="188">
        <f t="shared" si="0"/>
        <v>0.40943789035392092</v>
      </c>
      <c r="G17" s="188">
        <f>B8</f>
        <v>3</v>
      </c>
      <c r="H17" s="188">
        <f t="shared" si="1"/>
        <v>15</v>
      </c>
      <c r="I17" s="188">
        <f>B9</f>
        <v>2</v>
      </c>
      <c r="J17" s="188">
        <f t="shared" si="2"/>
        <v>12.283136710617628</v>
      </c>
    </row>
    <row r="18" spans="1:10" ht="15.5">
      <c r="A18" s="184">
        <v>6</v>
      </c>
      <c r="B18" s="184" t="s">
        <v>191</v>
      </c>
      <c r="C18" s="184"/>
      <c r="D18" s="190">
        <v>120.36</v>
      </c>
      <c r="E18" s="188">
        <f>+'CONCRETO EN CUNETAS'!E70</f>
        <v>69.72</v>
      </c>
      <c r="F18" s="188">
        <f t="shared" si="0"/>
        <v>0.57926221335992023</v>
      </c>
      <c r="G18" s="188">
        <f>B8</f>
        <v>3</v>
      </c>
      <c r="H18" s="188">
        <f t="shared" si="1"/>
        <v>41</v>
      </c>
      <c r="I18" s="188">
        <f>B9</f>
        <v>2</v>
      </c>
      <c r="J18" s="188">
        <f t="shared" si="2"/>
        <v>47.499501495513456</v>
      </c>
    </row>
    <row r="19" spans="1:10" ht="15.5">
      <c r="A19" s="184">
        <v>7</v>
      </c>
      <c r="B19" s="184" t="s">
        <v>251</v>
      </c>
      <c r="C19" s="184"/>
      <c r="D19" s="190">
        <v>125.7</v>
      </c>
      <c r="E19" s="188">
        <f>+'CONCRETO EN CUNETAS'!M10</f>
        <v>74.5</v>
      </c>
      <c r="F19" s="188">
        <f t="shared" si="0"/>
        <v>0.59268098647573586</v>
      </c>
      <c r="G19" s="188">
        <f>B8</f>
        <v>3</v>
      </c>
      <c r="H19" s="188">
        <f t="shared" si="1"/>
        <v>42</v>
      </c>
      <c r="I19" s="188">
        <f>B9</f>
        <v>2</v>
      </c>
      <c r="J19" s="188">
        <f t="shared" si="2"/>
        <v>49.785202863961814</v>
      </c>
    </row>
    <row r="20" spans="1:10" ht="15.5">
      <c r="A20" s="184">
        <v>8</v>
      </c>
      <c r="B20" s="184" t="s">
        <v>252</v>
      </c>
      <c r="C20" s="184"/>
      <c r="D20" s="190">
        <v>8.1999999999999993</v>
      </c>
      <c r="E20" s="188">
        <f>+'CONCRETO EN CUNETAS'!M22</f>
        <v>2.62</v>
      </c>
      <c r="F20" s="188">
        <f t="shared" si="0"/>
        <v>0.31951219512195128</v>
      </c>
      <c r="G20" s="188">
        <f>B8</f>
        <v>3</v>
      </c>
      <c r="H20" s="188">
        <f t="shared" si="1"/>
        <v>3</v>
      </c>
      <c r="I20" s="188">
        <f>B9</f>
        <v>2</v>
      </c>
      <c r="J20" s="188">
        <f t="shared" si="2"/>
        <v>1.9170731707317077</v>
      </c>
    </row>
    <row r="21" spans="1:10" ht="15.5">
      <c r="A21" s="184">
        <v>9</v>
      </c>
      <c r="B21" s="184" t="s">
        <v>253</v>
      </c>
      <c r="C21" s="184"/>
      <c r="D21" s="190">
        <v>7</v>
      </c>
      <c r="E21" s="188">
        <f>+'CONCRETO EN CUNETAS'!M34</f>
        <v>2.2200000000000002</v>
      </c>
      <c r="F21" s="188">
        <f t="shared" si="0"/>
        <v>0.31714285714285717</v>
      </c>
      <c r="G21" s="188">
        <f>B8</f>
        <v>3</v>
      </c>
      <c r="H21" s="188">
        <f t="shared" si="1"/>
        <v>3</v>
      </c>
      <c r="I21" s="188">
        <f>B9</f>
        <v>2</v>
      </c>
      <c r="J21" s="188">
        <f t="shared" si="2"/>
        <v>1.902857142857143</v>
      </c>
    </row>
    <row r="22" spans="1:10" ht="15.5">
      <c r="A22" s="184">
        <v>10</v>
      </c>
      <c r="B22" s="184" t="s">
        <v>53</v>
      </c>
      <c r="C22" s="184"/>
      <c r="D22" s="190">
        <v>16</v>
      </c>
      <c r="E22" s="188">
        <f>+'CONCRETO EN CUNETAS'!M46</f>
        <v>5.44</v>
      </c>
      <c r="F22" s="188">
        <f t="shared" si="0"/>
        <v>0.34</v>
      </c>
      <c r="G22" s="188">
        <f>B8</f>
        <v>3</v>
      </c>
      <c r="H22" s="188">
        <f t="shared" si="1"/>
        <v>6</v>
      </c>
      <c r="I22" s="188">
        <f>B9</f>
        <v>2</v>
      </c>
      <c r="J22" s="188">
        <f t="shared" si="2"/>
        <v>4.08</v>
      </c>
    </row>
    <row r="23" spans="1:10" ht="15.5">
      <c r="A23" s="184">
        <v>11</v>
      </c>
      <c r="B23" s="184" t="s">
        <v>54</v>
      </c>
      <c r="C23" s="184"/>
      <c r="D23" s="190">
        <v>71.459999999999994</v>
      </c>
      <c r="E23" s="188">
        <f>+'CONCRETO EN CUNETAS'!M58</f>
        <v>33</v>
      </c>
      <c r="F23" s="188">
        <f t="shared" si="0"/>
        <v>0.46179680940386236</v>
      </c>
      <c r="G23" s="188">
        <f>B8</f>
        <v>3</v>
      </c>
      <c r="H23" s="188">
        <f t="shared" si="1"/>
        <v>24</v>
      </c>
      <c r="I23" s="188">
        <f>B9</f>
        <v>2</v>
      </c>
      <c r="J23" s="188">
        <f t="shared" si="2"/>
        <v>22.166246851385395</v>
      </c>
    </row>
    <row r="24" spans="1:10" ht="15.5">
      <c r="A24" s="184">
        <v>12</v>
      </c>
      <c r="B24" s="184" t="s">
        <v>326</v>
      </c>
      <c r="C24" s="184"/>
      <c r="D24" s="190">
        <v>109.12</v>
      </c>
      <c r="E24" s="188">
        <f>+'CONCRETO EN CUNETAS'!M70</f>
        <v>54</v>
      </c>
      <c r="F24" s="188">
        <f t="shared" si="0"/>
        <v>0.49486803519061584</v>
      </c>
      <c r="G24" s="188">
        <f>B8</f>
        <v>3</v>
      </c>
      <c r="H24" s="188">
        <f t="shared" si="1"/>
        <v>37</v>
      </c>
      <c r="I24" s="188">
        <f>B9</f>
        <v>2</v>
      </c>
      <c r="J24" s="188">
        <f t="shared" si="2"/>
        <v>36.620234604105569</v>
      </c>
    </row>
  </sheetData>
  <mergeCells count="5">
    <mergeCell ref="A1:J1"/>
    <mergeCell ref="B2:J2"/>
    <mergeCell ref="B4:J4"/>
    <mergeCell ref="B5:J5"/>
    <mergeCell ref="B3:J3"/>
  </mergeCells>
  <pageMargins left="0.75" right="0.75" top="1" bottom="1" header="0.511811023622047" footer="0.511811023622047"/>
  <pageSetup paperSize="9" scale="55" orientation="portrait" horizontalDpi="300" verticalDpi="300"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9952F-251E-4802-B50B-3B80A4444520}">
  <sheetPr>
    <tabColor rgb="FF92D050"/>
    <pageSetUpPr fitToPage="1"/>
  </sheetPr>
  <dimension ref="A1:K23"/>
  <sheetViews>
    <sheetView topLeftCell="B5" zoomScale="115" zoomScaleNormal="115" zoomScaleSheetLayoutView="115" workbookViewId="0">
      <selection activeCell="F25" sqref="F25"/>
    </sheetView>
  </sheetViews>
  <sheetFormatPr baseColWidth="10" defaultColWidth="9.453125" defaultRowHeight="15.5"/>
  <cols>
    <col min="1" max="1" width="22.453125" style="102" customWidth="1"/>
    <col min="2" max="2" width="50.7265625" style="102" customWidth="1"/>
    <col min="3" max="3" width="14.1796875" style="102" customWidth="1"/>
    <col min="4" max="4" width="18.1796875" style="102" customWidth="1"/>
    <col min="5" max="5" width="12.54296875" style="102" customWidth="1"/>
    <col min="6" max="8" width="12" style="102" customWidth="1"/>
    <col min="9" max="10" width="16.36328125" style="102" customWidth="1"/>
    <col min="11" max="11" width="9.81640625" style="102" customWidth="1"/>
    <col min="12" max="16384" width="9.453125" style="102"/>
  </cols>
  <sheetData>
    <row r="1" spans="1:11" ht="20">
      <c r="A1" s="304" t="s">
        <v>325</v>
      </c>
      <c r="B1" s="289"/>
      <c r="C1" s="289"/>
      <c r="D1" s="289"/>
      <c r="E1" s="289"/>
      <c r="F1" s="289"/>
      <c r="G1" s="289"/>
      <c r="H1" s="289"/>
      <c r="I1" s="289"/>
      <c r="J1" s="289"/>
      <c r="K1" s="289"/>
    </row>
    <row r="2" spans="1:11" ht="25" customHeight="1">
      <c r="A2" s="112" t="s">
        <v>42</v>
      </c>
      <c r="B2" s="283" t="s">
        <v>46</v>
      </c>
      <c r="C2" s="283"/>
      <c r="D2" s="283"/>
      <c r="E2" s="283"/>
      <c r="F2" s="283"/>
      <c r="G2" s="283"/>
      <c r="H2" s="283"/>
      <c r="I2" s="283"/>
      <c r="J2" s="283"/>
      <c r="K2" s="283"/>
    </row>
    <row r="3" spans="1:11" ht="40" customHeight="1">
      <c r="A3" s="112" t="s">
        <v>39</v>
      </c>
      <c r="B3" s="283"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C3" s="283"/>
      <c r="D3" s="283"/>
      <c r="E3" s="283"/>
      <c r="F3" s="283"/>
      <c r="G3" s="283"/>
      <c r="H3" s="283"/>
      <c r="I3" s="283"/>
      <c r="J3" s="283"/>
      <c r="K3" s="283"/>
    </row>
    <row r="4" spans="1:11" ht="24.5" customHeight="1">
      <c r="A4" s="112" t="s">
        <v>43</v>
      </c>
      <c r="B4" s="283" t="str">
        <f>+RESUMEN!B6</f>
        <v>SAN MARTIN - SAN MARTIN - MORALES</v>
      </c>
      <c r="C4" s="283"/>
      <c r="D4" s="283"/>
      <c r="E4" s="283"/>
      <c r="F4" s="283"/>
      <c r="G4" s="283"/>
      <c r="H4" s="283"/>
      <c r="I4" s="283"/>
      <c r="J4" s="283"/>
      <c r="K4" s="283"/>
    </row>
    <row r="5" spans="1:11" ht="18">
      <c r="A5" s="112" t="s">
        <v>40</v>
      </c>
      <c r="B5" s="306">
        <f>+RESUMEN!B7</f>
        <v>46266</v>
      </c>
      <c r="C5" s="306"/>
      <c r="D5" s="306"/>
      <c r="E5" s="306"/>
      <c r="F5" s="306"/>
      <c r="G5" s="306"/>
      <c r="H5" s="306"/>
      <c r="I5" s="306"/>
      <c r="J5" s="306"/>
      <c r="K5" s="306"/>
    </row>
    <row r="6" spans="1:11" ht="10" customHeight="1">
      <c r="A6" s="122"/>
      <c r="B6" s="122"/>
      <c r="C6" s="122"/>
      <c r="D6" s="122"/>
      <c r="E6" s="122"/>
      <c r="F6" s="122"/>
      <c r="G6" s="122"/>
      <c r="H6" s="122"/>
      <c r="I6" s="122"/>
      <c r="J6" s="122"/>
      <c r="K6" s="122"/>
    </row>
    <row r="7" spans="1:11" ht="20" customHeight="1">
      <c r="A7" s="307" t="s">
        <v>12</v>
      </c>
      <c r="B7" s="307" t="s">
        <v>289</v>
      </c>
      <c r="C7" s="124" t="s">
        <v>164</v>
      </c>
      <c r="D7" s="305" t="s">
        <v>290</v>
      </c>
      <c r="E7" s="305"/>
      <c r="F7" s="305"/>
      <c r="G7" s="305"/>
      <c r="H7" s="305"/>
      <c r="I7" s="124" t="s">
        <v>15</v>
      </c>
      <c r="J7" s="307" t="s">
        <v>16</v>
      </c>
      <c r="K7" s="307" t="s">
        <v>14</v>
      </c>
    </row>
    <row r="8" spans="1:11" ht="36.5" customHeight="1">
      <c r="A8" s="308"/>
      <c r="B8" s="308"/>
      <c r="C8" s="124"/>
      <c r="D8" s="124" t="s">
        <v>165</v>
      </c>
      <c r="E8" s="124" t="s">
        <v>18</v>
      </c>
      <c r="F8" s="124" t="s">
        <v>166</v>
      </c>
      <c r="G8" s="124" t="s">
        <v>38</v>
      </c>
      <c r="H8" s="124" t="s">
        <v>22</v>
      </c>
      <c r="I8" s="124" t="s">
        <v>291</v>
      </c>
      <c r="J8" s="308"/>
      <c r="K8" s="308"/>
    </row>
    <row r="9" spans="1:11" ht="20" customHeight="1">
      <c r="A9" s="103" t="s">
        <v>302</v>
      </c>
      <c r="B9" s="125" t="s">
        <v>292</v>
      </c>
      <c r="C9" s="103"/>
      <c r="D9" s="103"/>
      <c r="E9" s="103"/>
      <c r="F9" s="103"/>
      <c r="G9" s="103"/>
      <c r="H9" s="103"/>
      <c r="I9" s="103"/>
      <c r="J9" s="133">
        <f>+PARAMETROS!B4</f>
        <v>17</v>
      </c>
      <c r="K9" s="134" t="s">
        <v>11</v>
      </c>
    </row>
    <row r="10" spans="1:11" ht="20" customHeight="1">
      <c r="A10" s="103"/>
      <c r="B10" s="125"/>
      <c r="C10" s="103"/>
      <c r="D10" s="103"/>
      <c r="E10" s="103"/>
      <c r="F10" s="103"/>
      <c r="G10" s="103"/>
      <c r="H10" s="103"/>
      <c r="I10" s="103"/>
      <c r="J10" s="103"/>
      <c r="K10" s="103"/>
    </row>
    <row r="11" spans="1:11" ht="20" customHeight="1">
      <c r="A11" s="127"/>
      <c r="B11" s="128" t="s">
        <v>293</v>
      </c>
      <c r="C11" s="127"/>
      <c r="D11" s="127"/>
      <c r="E11" s="127"/>
      <c r="F11" s="127"/>
      <c r="G11" s="127"/>
      <c r="H11" s="127"/>
      <c r="I11" s="127" t="s">
        <v>16</v>
      </c>
      <c r="J11" s="127"/>
      <c r="K11" s="127"/>
    </row>
    <row r="12" spans="1:11" ht="20" customHeight="1">
      <c r="A12" s="103"/>
      <c r="B12" s="125" t="s">
        <v>322</v>
      </c>
      <c r="C12" s="126">
        <f>PARAMETROS!B4</f>
        <v>17</v>
      </c>
      <c r="D12" s="126">
        <f>PARAMETROS!B5</f>
        <v>0.6</v>
      </c>
      <c r="E12" s="126">
        <f>PARAMETROS!B6</f>
        <v>0.6</v>
      </c>
      <c r="F12" s="126">
        <f>PARAMETROS!B7</f>
        <v>0.1</v>
      </c>
      <c r="G12" s="129"/>
      <c r="H12" s="129"/>
      <c r="I12" s="126">
        <f>C12*D12*E12*F12</f>
        <v>0.61199999999999999</v>
      </c>
      <c r="J12" s="133">
        <f>I12</f>
        <v>0.61199999999999999</v>
      </c>
      <c r="K12" s="134" t="s">
        <v>8</v>
      </c>
    </row>
    <row r="13" spans="1:11" ht="20" customHeight="1">
      <c r="A13" s="103"/>
      <c r="B13" s="125"/>
      <c r="C13" s="129"/>
      <c r="D13" s="129"/>
      <c r="E13" s="129"/>
      <c r="F13" s="129"/>
      <c r="G13" s="129"/>
      <c r="H13" s="129"/>
      <c r="I13" s="129"/>
      <c r="J13" s="129"/>
      <c r="K13" s="103"/>
    </row>
    <row r="14" spans="1:11" ht="29.5" customHeight="1">
      <c r="A14" s="127"/>
      <c r="B14" s="128" t="s">
        <v>294</v>
      </c>
      <c r="C14" s="130"/>
      <c r="D14" s="130"/>
      <c r="E14" s="130"/>
      <c r="F14" s="130"/>
      <c r="G14" s="130"/>
      <c r="H14" s="130"/>
      <c r="I14" s="130" t="s">
        <v>16</v>
      </c>
      <c r="J14" s="130"/>
      <c r="K14" s="127"/>
    </row>
    <row r="15" spans="1:11" ht="20" customHeight="1">
      <c r="A15" s="103"/>
      <c r="B15" s="125" t="s">
        <v>295</v>
      </c>
      <c r="C15" s="126">
        <f>PARAMETROS!B4</f>
        <v>17</v>
      </c>
      <c r="D15" s="126">
        <f>2*(PARAMETROS!B5+PARAMETROS!B6)</f>
        <v>2.4</v>
      </c>
      <c r="E15" s="126"/>
      <c r="F15" s="126">
        <f>PARAMETROS!B7</f>
        <v>0.1</v>
      </c>
      <c r="G15" s="129"/>
      <c r="H15" s="126">
        <f>D15*F15</f>
        <v>0.24</v>
      </c>
      <c r="I15" s="126">
        <f>C15*H15</f>
        <v>4.08</v>
      </c>
      <c r="J15" s="126">
        <f>I15</f>
        <v>4.08</v>
      </c>
      <c r="K15" s="103" t="s">
        <v>7</v>
      </c>
    </row>
    <row r="16" spans="1:11" ht="20" customHeight="1">
      <c r="A16" s="103"/>
      <c r="B16" s="125" t="s">
        <v>296</v>
      </c>
      <c r="C16" s="126">
        <f>PARAMETROS!B4</f>
        <v>17</v>
      </c>
      <c r="D16" s="126">
        <f>PARAMETROS!B5</f>
        <v>0.6</v>
      </c>
      <c r="E16" s="126">
        <f>PARAMETROS!B6</f>
        <v>0.6</v>
      </c>
      <c r="F16" s="126"/>
      <c r="G16" s="129"/>
      <c r="H16" s="126">
        <f>D16*E16</f>
        <v>0.36</v>
      </c>
      <c r="I16" s="126">
        <f>C16*H16</f>
        <v>6.12</v>
      </c>
      <c r="J16" s="126">
        <f>I16</f>
        <v>6.12</v>
      </c>
      <c r="K16" s="103" t="s">
        <v>7</v>
      </c>
    </row>
    <row r="17" spans="1:11" ht="20" customHeight="1">
      <c r="A17" s="103"/>
      <c r="B17" s="125" t="s">
        <v>297</v>
      </c>
      <c r="C17" s="129"/>
      <c r="D17" s="129"/>
      <c r="E17" s="129"/>
      <c r="F17" s="129"/>
      <c r="G17" s="129"/>
      <c r="H17" s="126"/>
      <c r="I17" s="126"/>
      <c r="J17" s="133">
        <f>J15+J16</f>
        <v>10.199999999999999</v>
      </c>
      <c r="K17" s="134" t="s">
        <v>7</v>
      </c>
    </row>
    <row r="18" spans="1:11" ht="20" customHeight="1">
      <c r="A18" s="103"/>
      <c r="B18" s="125"/>
      <c r="C18" s="129"/>
      <c r="D18" s="129"/>
      <c r="E18" s="129"/>
      <c r="F18" s="129"/>
      <c r="G18" s="129"/>
      <c r="H18" s="129"/>
      <c r="I18" s="129"/>
      <c r="J18" s="129"/>
      <c r="K18" s="103"/>
    </row>
    <row r="19" spans="1:11" ht="43" customHeight="1">
      <c r="A19" s="127"/>
      <c r="B19" s="128" t="s">
        <v>298</v>
      </c>
      <c r="C19" s="130"/>
      <c r="D19" s="132" t="s">
        <v>324</v>
      </c>
      <c r="E19" s="131" t="s">
        <v>323</v>
      </c>
      <c r="F19" s="130"/>
      <c r="G19" s="130"/>
      <c r="H19" s="130"/>
      <c r="I19" s="130" t="s">
        <v>16</v>
      </c>
      <c r="J19" s="130"/>
      <c r="K19" s="127"/>
    </row>
    <row r="20" spans="1:11" ht="20" customHeight="1">
      <c r="A20" s="103"/>
      <c r="B20" s="125" t="s">
        <v>299</v>
      </c>
      <c r="C20" s="126">
        <f>PARAMETROS!B4</f>
        <v>17</v>
      </c>
      <c r="D20" s="126">
        <f>PARAMETROS!B5-2*PARAMETROS!B8</f>
        <v>0.54999999999999993</v>
      </c>
      <c r="E20" s="126">
        <f>ROUND((PARAMETROS!B6-2*PARAMETROS!B8)/PARAMETROS!B9,0)+1</f>
        <v>5</v>
      </c>
      <c r="F20" s="126"/>
      <c r="G20" s="126">
        <f>PARAMETROS!B10</f>
        <v>0.56000000000000005</v>
      </c>
      <c r="H20" s="129"/>
      <c r="I20" s="126">
        <f>C20*D20*E20*G20</f>
        <v>26.180000000000003</v>
      </c>
      <c r="J20" s="126">
        <f>I20</f>
        <v>26.180000000000003</v>
      </c>
      <c r="K20" s="103" t="s">
        <v>9</v>
      </c>
    </row>
    <row r="21" spans="1:11" ht="20" customHeight="1">
      <c r="A21" s="103"/>
      <c r="B21" s="125" t="s">
        <v>300</v>
      </c>
      <c r="C21" s="126">
        <f>PARAMETROS!B4</f>
        <v>17</v>
      </c>
      <c r="D21" s="126">
        <f>PARAMETROS!B6-2*PARAMETROS!B8</f>
        <v>0.54999999999999993</v>
      </c>
      <c r="E21" s="126">
        <f>ROUND((PARAMETROS!B5-2*PARAMETROS!B8)/PARAMETROS!B9,0)+1</f>
        <v>5</v>
      </c>
      <c r="F21" s="126"/>
      <c r="G21" s="126">
        <f>PARAMETROS!B10</f>
        <v>0.56000000000000005</v>
      </c>
      <c r="H21" s="129"/>
      <c r="I21" s="126">
        <f>C21*D21*E21*G21</f>
        <v>26.180000000000003</v>
      </c>
      <c r="J21" s="126">
        <f>I21</f>
        <v>26.180000000000003</v>
      </c>
      <c r="K21" s="103" t="s">
        <v>9</v>
      </c>
    </row>
    <row r="22" spans="1:11" ht="20" customHeight="1">
      <c r="A22" s="103"/>
      <c r="B22" s="125" t="s">
        <v>301</v>
      </c>
      <c r="C22" s="129"/>
      <c r="D22" s="129"/>
      <c r="E22" s="129"/>
      <c r="F22" s="129"/>
      <c r="G22" s="129"/>
      <c r="H22" s="129"/>
      <c r="I22" s="126"/>
      <c r="J22" s="133">
        <f>J20+J21</f>
        <v>52.360000000000007</v>
      </c>
      <c r="K22" s="134" t="s">
        <v>9</v>
      </c>
    </row>
    <row r="23" spans="1:11" ht="20" customHeight="1">
      <c r="A23" s="123"/>
      <c r="B23" s="122"/>
      <c r="C23" s="123"/>
      <c r="D23" s="123"/>
      <c r="E23" s="123"/>
      <c r="F23" s="123"/>
      <c r="G23" s="123"/>
      <c r="H23" s="123"/>
      <c r="I23" s="123"/>
      <c r="J23" s="123"/>
      <c r="K23" s="123"/>
    </row>
  </sheetData>
  <mergeCells count="10">
    <mergeCell ref="A1:K1"/>
    <mergeCell ref="B2:K2"/>
    <mergeCell ref="B3:K3"/>
    <mergeCell ref="B4:K4"/>
    <mergeCell ref="D7:H7"/>
    <mergeCell ref="B5:K5"/>
    <mergeCell ref="B7:B8"/>
    <mergeCell ref="A7:A8"/>
    <mergeCell ref="J7:J8"/>
    <mergeCell ref="K7:K8"/>
  </mergeCells>
  <pageMargins left="0.7" right="0.7" top="0.75" bottom="0.75" header="0.3" footer="0.3"/>
  <pageSetup paperSize="9" scale="67"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1697-D462-4BC8-9F68-69328996FD9C}">
  <dimension ref="A1:D16"/>
  <sheetViews>
    <sheetView view="pageBreakPreview" zoomScale="160" zoomScaleNormal="100" zoomScaleSheetLayoutView="160" workbookViewId="0">
      <selection activeCell="B5" sqref="B5"/>
    </sheetView>
  </sheetViews>
  <sheetFormatPr baseColWidth="10" defaultColWidth="9.453125" defaultRowHeight="14"/>
  <cols>
    <col min="1" max="1" width="34.90625" style="89" customWidth="1"/>
    <col min="2" max="2" width="14.1796875" style="89" customWidth="1"/>
    <col min="3" max="3" width="13.08984375" style="89" customWidth="1"/>
    <col min="4" max="4" width="52.36328125" style="89" customWidth="1"/>
    <col min="5" max="16384" width="9.453125" style="89"/>
  </cols>
  <sheetData>
    <row r="1" spans="1:4" ht="10" customHeight="1">
      <c r="A1" s="309" t="s">
        <v>320</v>
      </c>
      <c r="B1" s="309"/>
      <c r="C1" s="309"/>
      <c r="D1" s="309"/>
    </row>
    <row r="2" spans="1:4" ht="10" customHeight="1">
      <c r="A2" s="119"/>
      <c r="B2" s="119"/>
      <c r="C2" s="119"/>
      <c r="D2" s="119"/>
    </row>
    <row r="3" spans="1:4" ht="10" customHeight="1">
      <c r="A3" s="120" t="s">
        <v>96</v>
      </c>
      <c r="B3" s="120" t="s">
        <v>319</v>
      </c>
      <c r="C3" s="120" t="s">
        <v>318</v>
      </c>
      <c r="D3" s="120" t="s">
        <v>317</v>
      </c>
    </row>
    <row r="4" spans="1:4" ht="15.5" customHeight="1">
      <c r="A4" s="119" t="s">
        <v>316</v>
      </c>
      <c r="B4" s="121">
        <v>17</v>
      </c>
      <c r="C4" s="118" t="s">
        <v>11</v>
      </c>
      <c r="D4" s="119" t="s">
        <v>321</v>
      </c>
    </row>
    <row r="5" spans="1:4" ht="15.5" customHeight="1">
      <c r="A5" s="119" t="s">
        <v>315</v>
      </c>
      <c r="B5" s="121">
        <v>0.6</v>
      </c>
      <c r="C5" s="118" t="s">
        <v>10</v>
      </c>
      <c r="D5" s="119" t="s">
        <v>312</v>
      </c>
    </row>
    <row r="6" spans="1:4" ht="15.5" customHeight="1">
      <c r="A6" s="119" t="s">
        <v>314</v>
      </c>
      <c r="B6" s="121">
        <v>0.6</v>
      </c>
      <c r="C6" s="118" t="s">
        <v>10</v>
      </c>
      <c r="D6" s="119" t="s">
        <v>312</v>
      </c>
    </row>
    <row r="7" spans="1:4" ht="15.5" customHeight="1">
      <c r="A7" s="119" t="s">
        <v>313</v>
      </c>
      <c r="B7" s="121">
        <v>0.1</v>
      </c>
      <c r="C7" s="118" t="s">
        <v>10</v>
      </c>
      <c r="D7" s="119" t="s">
        <v>312</v>
      </c>
    </row>
    <row r="8" spans="1:4" ht="15.5" customHeight="1">
      <c r="A8" s="119" t="s">
        <v>311</v>
      </c>
      <c r="B8" s="121">
        <v>2.5000000000000001E-2</v>
      </c>
      <c r="C8" s="118" t="s">
        <v>10</v>
      </c>
      <c r="D8" s="119" t="s">
        <v>310</v>
      </c>
    </row>
    <row r="9" spans="1:4" ht="15.5" customHeight="1">
      <c r="A9" s="119" t="s">
        <v>309</v>
      </c>
      <c r="B9" s="121">
        <v>0.15</v>
      </c>
      <c r="C9" s="118" t="s">
        <v>10</v>
      </c>
      <c r="D9" s="119" t="s">
        <v>308</v>
      </c>
    </row>
    <row r="10" spans="1:4" ht="15.5" customHeight="1">
      <c r="A10" s="119" t="s">
        <v>307</v>
      </c>
      <c r="B10" s="121">
        <v>0.56000000000000005</v>
      </c>
      <c r="C10" s="118" t="s">
        <v>306</v>
      </c>
      <c r="D10" s="119" t="s">
        <v>305</v>
      </c>
    </row>
    <row r="11" spans="1:4" ht="15.5" customHeight="1">
      <c r="A11" s="119" t="s">
        <v>304</v>
      </c>
      <c r="B11" s="121">
        <v>9</v>
      </c>
      <c r="C11" s="118" t="s">
        <v>10</v>
      </c>
      <c r="D11" s="119" t="s">
        <v>303</v>
      </c>
    </row>
    <row r="13" spans="1:4" ht="28">
      <c r="A13" s="195" t="s">
        <v>356</v>
      </c>
    </row>
    <row r="14" spans="1:4">
      <c r="A14" s="120" t="s">
        <v>96</v>
      </c>
      <c r="B14" s="120" t="s">
        <v>319</v>
      </c>
      <c r="C14" s="120" t="s">
        <v>318</v>
      </c>
      <c r="D14" s="120" t="s">
        <v>317</v>
      </c>
    </row>
    <row r="15" spans="1:4" ht="28">
      <c r="A15" s="119" t="s">
        <v>357</v>
      </c>
      <c r="B15" s="121">
        <v>0.1</v>
      </c>
      <c r="C15" s="118" t="s">
        <v>10</v>
      </c>
      <c r="D15" s="119" t="s">
        <v>358</v>
      </c>
    </row>
    <row r="16" spans="1:4">
      <c r="A16" s="119" t="s">
        <v>359</v>
      </c>
      <c r="B16" s="121">
        <v>1.2</v>
      </c>
      <c r="C16" s="118" t="s">
        <v>360</v>
      </c>
      <c r="D16" s="119" t="s">
        <v>361</v>
      </c>
    </row>
  </sheetData>
  <mergeCells count="1">
    <mergeCell ref="A1:D1"/>
  </mergeCells>
  <pageMargins left="0.7" right="0.7" top="0.75" bottom="0.75" header="0.3" footer="0.3"/>
  <pageSetup paperSize="9" scale="7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E8841-36D6-40D5-954F-47B6CF4AD993}">
  <dimension ref="A1:F16"/>
  <sheetViews>
    <sheetView workbookViewId="0">
      <selection activeCell="E20" sqref="E20"/>
    </sheetView>
  </sheetViews>
  <sheetFormatPr baseColWidth="10" defaultColWidth="9.453125" defaultRowHeight="14"/>
  <cols>
    <col min="1" max="2" width="16.36328125" style="89" customWidth="1"/>
    <col min="3" max="3" width="9.453125" style="89"/>
    <col min="4" max="4" width="19.6328125" style="89" customWidth="1"/>
    <col min="5" max="5" width="9.453125" style="89"/>
    <col min="6" max="6" width="30.54296875" style="89" customWidth="1"/>
    <col min="7" max="16384" width="9.453125" style="89"/>
  </cols>
  <sheetData>
    <row r="1" spans="1:6" ht="18.649999999999999" customHeight="1">
      <c r="A1" s="310" t="s">
        <v>271</v>
      </c>
      <c r="B1" s="310"/>
      <c r="C1" s="310"/>
      <c r="D1" s="310"/>
      <c r="E1" s="310"/>
      <c r="F1" s="310"/>
    </row>
    <row r="3" spans="1:6">
      <c r="A3" s="90" t="s">
        <v>270</v>
      </c>
      <c r="B3" s="90" t="s">
        <v>179</v>
      </c>
      <c r="D3" s="90" t="s">
        <v>227</v>
      </c>
      <c r="F3" s="90" t="s">
        <v>269</v>
      </c>
    </row>
    <row r="4" spans="1:6">
      <c r="A4" s="92" t="s">
        <v>268</v>
      </c>
      <c r="B4" s="91">
        <v>0.222</v>
      </c>
      <c r="D4" s="94" t="s">
        <v>55</v>
      </c>
      <c r="F4" s="93" t="s">
        <v>267</v>
      </c>
    </row>
    <row r="5" spans="1:6">
      <c r="A5" s="92" t="s">
        <v>266</v>
      </c>
      <c r="B5" s="91">
        <v>0.39500000000000002</v>
      </c>
      <c r="D5" s="94" t="s">
        <v>249</v>
      </c>
      <c r="F5" s="93" t="s">
        <v>265</v>
      </c>
    </row>
    <row r="6" spans="1:6">
      <c r="A6" s="92" t="s">
        <v>250</v>
      </c>
      <c r="B6" s="91">
        <v>0.56000000000000005</v>
      </c>
    </row>
    <row r="7" spans="1:6">
      <c r="A7" s="92" t="s">
        <v>264</v>
      </c>
      <c r="B7" s="91">
        <v>0.88800000000000001</v>
      </c>
    </row>
    <row r="8" spans="1:6">
      <c r="A8" s="92" t="s">
        <v>263</v>
      </c>
      <c r="B8" s="91">
        <v>0.99399999999999999</v>
      </c>
    </row>
    <row r="9" spans="1:6">
      <c r="A9" s="92" t="s">
        <v>262</v>
      </c>
      <c r="B9" s="91">
        <v>1.552</v>
      </c>
    </row>
    <row r="10" spans="1:6">
      <c r="A10" s="92" t="s">
        <v>261</v>
      </c>
      <c r="B10" s="91">
        <v>2.2349999999999999</v>
      </c>
    </row>
    <row r="11" spans="1:6">
      <c r="A11" s="92" t="s">
        <v>260</v>
      </c>
      <c r="B11" s="91">
        <v>3.9729999999999999</v>
      </c>
    </row>
    <row r="13" spans="1:6">
      <c r="A13" s="311" t="s">
        <v>259</v>
      </c>
      <c r="B13" s="311"/>
      <c r="C13" s="311"/>
      <c r="D13" s="311"/>
      <c r="E13" s="311"/>
      <c r="F13" s="311"/>
    </row>
    <row r="14" spans="1:6">
      <c r="A14" s="312" t="s">
        <v>258</v>
      </c>
      <c r="B14" s="312"/>
      <c r="C14" s="312"/>
      <c r="D14" s="312"/>
      <c r="E14" s="312"/>
      <c r="F14" s="312"/>
    </row>
    <row r="15" spans="1:6">
      <c r="A15" s="312" t="s">
        <v>257</v>
      </c>
      <c r="B15" s="312"/>
      <c r="C15" s="312"/>
      <c r="D15" s="312"/>
      <c r="E15" s="312"/>
      <c r="F15" s="312"/>
    </row>
    <row r="16" spans="1:6">
      <c r="A16" s="312" t="s">
        <v>256</v>
      </c>
      <c r="B16" s="312"/>
      <c r="C16" s="312"/>
      <c r="D16" s="312"/>
      <c r="E16" s="312"/>
      <c r="F16" s="312"/>
    </row>
  </sheetData>
  <mergeCells count="5">
    <mergeCell ref="A1:F1"/>
    <mergeCell ref="A13:F13"/>
    <mergeCell ref="A14:F14"/>
    <mergeCell ref="A15:F15"/>
    <mergeCell ref="A16:F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8</vt:i4>
      </vt:variant>
    </vt:vector>
  </HeadingPairs>
  <TitlesOfParts>
    <vt:vector size="21" baseType="lpstr">
      <vt:lpstr>RESUMEN</vt:lpstr>
      <vt:lpstr>PLANILLA GENERAL DE METRADOS</vt:lpstr>
      <vt:lpstr>CONCRETO EN CUNETAS</vt:lpstr>
      <vt:lpstr>ENCOFRADO Y DESENCOFRADO</vt:lpstr>
      <vt:lpstr>METRADO MONTANTES</vt:lpstr>
      <vt:lpstr>METRADO  EN PISO (SUMIDERO)</vt:lpstr>
      <vt:lpstr>METRADO ACERO</vt:lpstr>
      <vt:lpstr>METRADO DE CURADO</vt:lpstr>
      <vt:lpstr>METRADO DE REJILLAS</vt:lpstr>
      <vt:lpstr>METRADO JUNTA DE DILATACION</vt:lpstr>
      <vt:lpstr>PLANILLA TAPAS REGISTRO INTERNO</vt:lpstr>
      <vt:lpstr>PARAMETROS</vt:lpstr>
      <vt:lpstr>Listas</vt:lpstr>
      <vt:lpstr>'CONCRETO EN CUNETAS'!Área_de_impresión</vt:lpstr>
      <vt:lpstr>'ENCOFRADO Y DESENCOFRADO'!Área_de_impresión</vt:lpstr>
      <vt:lpstr>'METRADO MONTANTES'!Área_de_impresión</vt:lpstr>
      <vt:lpstr>'PLANILLA GENERAL DE METRADOS'!Área_de_impresión</vt:lpstr>
      <vt:lpstr>RESUMEN!Área_de_impresión</vt:lpstr>
      <vt:lpstr>'CONCRETO EN CUNETAS'!Títulos_a_imprimir</vt:lpstr>
      <vt:lpstr>'ENCOFRADO Y DESENCOFRADO'!Títulos_a_imprimir</vt:lpstr>
      <vt:lpstr>'METRADO MONTANTES'!Títulos_a_imprimir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 SWORD GAMING</dc:creator>
  <cp:lastModifiedBy>jose pizarro</cp:lastModifiedBy>
  <cp:lastPrinted>2026-03-10T13:03:41Z</cp:lastPrinted>
  <dcterms:created xsi:type="dcterms:W3CDTF">2025-06-05T14:29:57Z</dcterms:created>
  <dcterms:modified xsi:type="dcterms:W3CDTF">2026-10-03T17:26:42Z</dcterms:modified>
</cp:coreProperties>
</file>