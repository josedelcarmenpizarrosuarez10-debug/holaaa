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ADO OC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sz val="9"/>
    </font>
    <font>
      <name val="Arial"/>
      <sz val="9"/>
    </font>
    <font>
      <name val="Arial"/>
      <b val="1"/>
      <sz val="11"/>
    </font>
    <font>
      <name val="Arial"/>
      <b val="1"/>
      <color rgb="00FFFFFF"/>
      <sz val="9"/>
    </font>
    <font>
      <name val="Arial"/>
      <i val="1"/>
      <sz val="8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2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1" fontId="3" fillId="2" borderId="1" applyAlignment="1" pivotButton="0" quotePrefix="0" xfId="0">
      <alignment horizontal="center" vertical="center" wrapText="1"/>
    </xf>
    <xf numFmtId="1" fontId="3" fillId="4" borderId="1" applyAlignment="1" pivotButton="0" quotePrefix="0" xfId="0">
      <alignment horizontal="center" vertical="center" wrapText="1"/>
    </xf>
    <xf numFmtId="1" fontId="2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58" customWidth="1" min="2" max="2"/>
    <col width="6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2" customWidth="1" min="9" max="9"/>
    <col width="52" customWidth="1" min="10" max="10"/>
  </cols>
  <sheetData>
    <row r="1">
      <c r="A1" s="1" t="inlineStr">
        <is>
          <t>METRADO DE CANALETA Y ACCESORIOS - OC-01 (JARDINERA + BANCA + PERGOLA)</t>
        </is>
      </c>
    </row>
    <row r="3">
      <c r="A3" s="2" t="inlineStr">
        <is>
          <t>ENTIDAD</t>
        </is>
      </c>
      <c r="B3" s="3" t="inlineStr">
        <is>
          <t>GERENCIA TERRITORIAL BAJO MAYO - TARAPOTO</t>
        </is>
      </c>
    </row>
    <row r="4" ht="26" customHeight="1">
      <c r="A4" s="2" t="inlineStr">
        <is>
          <t>PROYECTO</t>
        </is>
      </c>
      <c r="B4" s="3" t="inlineStr">
        <is>
          <t>CREACION DEL SERVICIO DE ATENCION INTEGRAL A MUJERES VICTIMAS DE VIOLENCIA EN EL HOGAR DE REFUGIO TEMPORAL MUJERES VIOLENTADAS, DISTRITO DE MORALES, PROVINCIA Y DEPARTAMENTO DE SAN MARTIN - CUI N. 2675514</t>
        </is>
      </c>
    </row>
    <row r="5">
      <c r="A5" s="2" t="inlineStr">
        <is>
          <t>UBICACIÓN</t>
        </is>
      </c>
      <c r="B5" s="3" t="inlineStr">
        <is>
          <t>PREDIO RURAL LOS MANGOS - MORALES - SAN MARTIN - SAN MARTIN</t>
        </is>
      </c>
    </row>
    <row r="6">
      <c r="A6" s="2" t="inlineStr">
        <is>
          <t>FECHA</t>
        </is>
      </c>
      <c r="B6" s="3" t="inlineStr">
        <is>
          <t>OCTUBRE 2026</t>
        </is>
      </c>
    </row>
    <row r="8">
      <c r="A8" s="2" t="inlineStr">
        <is>
          <t>N.° DE JUEGOS OC-01 (9 BANCAS)</t>
        </is>
      </c>
      <c r="D8" s="4" t="n">
        <v>3</v>
      </c>
    </row>
    <row r="10" ht="30" customHeight="1">
      <c r="A10" s="5" t="inlineStr">
        <is>
          <t>ITEM</t>
        </is>
      </c>
      <c r="B10" s="5" t="inlineStr">
        <is>
          <t>DESCRIPCION</t>
        </is>
      </c>
      <c r="C10" s="5" t="inlineStr">
        <is>
          <t>UND.</t>
        </is>
      </c>
      <c r="D10" s="5" t="inlineStr">
        <is>
          <t>TECHO T-1 (3.79)</t>
        </is>
      </c>
      <c r="E10" s="5" t="inlineStr">
        <is>
          <t>TECHO T-2 (4.21)</t>
        </is>
      </c>
      <c r="F10" s="5" t="inlineStr">
        <is>
          <t>TECHO T-3 (3.79)</t>
        </is>
      </c>
      <c r="G10" s="5" t="inlineStr">
        <is>
          <t>POR OC-01</t>
        </is>
      </c>
      <c r="H10" s="5" t="inlineStr">
        <is>
          <t>N.° OC-01</t>
        </is>
      </c>
      <c r="I10" s="5" t="inlineStr">
        <is>
          <t>TOTAL</t>
        </is>
      </c>
      <c r="J10" s="5" t="inlineStr">
        <is>
          <t>SUSTENTO (LAMINAS DPL-41 Y DPL-42)</t>
        </is>
      </c>
    </row>
    <row r="11" ht="28" customHeight="1">
      <c r="A11" s="6" t="inlineStr">
        <is>
          <t>01</t>
        </is>
      </c>
      <c r="B11" s="7" t="inlineStr">
        <is>
          <t>CANALETA DE PLANCHA GALVANIZADA e=0.50mm, SECCION INTERIOR 0.18 m (ANCHO) x 0.21 m (ALTO)</t>
        </is>
      </c>
      <c r="C11" s="6" t="inlineStr">
        <is>
          <t>m</t>
        </is>
      </c>
      <c r="D11" s="8" t="n">
        <v>3.79</v>
      </c>
      <c r="E11" s="8" t="n">
        <v>4.21</v>
      </c>
      <c r="F11" s="8" t="n">
        <v>3.789999999999999</v>
      </c>
      <c r="G11" s="9">
        <f>SUM(D11:F11)</f>
        <v/>
      </c>
      <c r="H11" s="9">
        <f>$D$8</f>
        <v/>
      </c>
      <c r="I11" s="10">
        <f>G11*H11</f>
        <v/>
      </c>
      <c r="J11" s="7" t="inlineStr">
        <is>
          <t>Un tramo por techo, del largo del techo (planta de techos OC-01), S = 0.5 % hacia la boquilla</t>
        </is>
      </c>
    </row>
    <row r="12" ht="28" customHeight="1">
      <c r="A12" s="6" t="inlineStr">
        <is>
          <t>02</t>
        </is>
      </c>
      <c r="B12" s="7" t="inlineStr">
        <is>
          <t>TAPA LATERAL DE PLANCHA GALVANIZADA e=0.50mm P/CANALETA</t>
        </is>
      </c>
      <c r="C12" s="6" t="inlineStr">
        <is>
          <t>und</t>
        </is>
      </c>
      <c r="D12" s="11" t="n">
        <v>2</v>
      </c>
      <c r="E12" s="11" t="n">
        <v>2</v>
      </c>
      <c r="F12" s="11" t="n">
        <v>2</v>
      </c>
      <c r="G12" s="12">
        <f>SUM(D12:F12)</f>
        <v/>
      </c>
      <c r="H12" s="12">
        <f>$D$8</f>
        <v/>
      </c>
      <c r="I12" s="13">
        <f>G12*H12</f>
        <v/>
      </c>
      <c r="J12" s="7" t="inlineStr">
        <is>
          <t>Una en cada extremo de cada canaleta</t>
        </is>
      </c>
    </row>
    <row r="13" ht="28" customHeight="1">
      <c r="A13" s="6" t="inlineStr">
        <is>
          <t>03</t>
        </is>
      </c>
      <c r="B13" s="7" t="inlineStr">
        <is>
          <t>SOPORTE (SUJETADOR) DE PLATINA F°G° 1" x 1/8" P/CANALETA</t>
        </is>
      </c>
      <c r="C13" s="6" t="inlineStr">
        <is>
          <t>und</t>
        </is>
      </c>
      <c r="D13" s="11" t="n">
        <v>2</v>
      </c>
      <c r="E13" s="11" t="n">
        <v>2</v>
      </c>
      <c r="F13" s="11" t="n">
        <v>2</v>
      </c>
      <c r="G13" s="12">
        <f>SUM(D13:F13)</f>
        <v/>
      </c>
      <c r="H13" s="12">
        <f>$D$8</f>
        <v/>
      </c>
      <c r="I13" s="13">
        <f>G13*H13</f>
        <v/>
      </c>
      <c r="J13" s="7" t="inlineStr">
        <is>
          <t>2 por canaleta: a 0.80 m (T-1, T-3) y 0.85 m (T-2) de cada extremo</t>
        </is>
      </c>
    </row>
    <row r="14" ht="28" customHeight="1">
      <c r="A14" s="6" t="inlineStr">
        <is>
          <t>04</t>
        </is>
      </c>
      <c r="B14" s="7" t="inlineStr">
        <is>
          <t>BOQUILLA DE PLANCHA GALVANIZADA e=0.50mm P/CONEXION DE CANALETA A TUBERIA PVC 4"</t>
        </is>
      </c>
      <c r="C14" s="6" t="inlineStr">
        <is>
          <t>und</t>
        </is>
      </c>
      <c r="D14" s="11" t="n">
        <v>1</v>
      </c>
      <c r="E14" s="11" t="n">
        <v>1</v>
      </c>
      <c r="F14" s="11" t="n">
        <v>1</v>
      </c>
      <c r="G14" s="12">
        <f>SUM(D14:F14)</f>
        <v/>
      </c>
      <c r="H14" s="12">
        <f>$D$8</f>
        <v/>
      </c>
      <c r="I14" s="13">
        <f>G14*H14</f>
        <v/>
      </c>
      <c r="J14" s="7" t="inlineStr">
        <is>
          <t>Una por canaleta, en el punto del sumidero del plano (la cupula se reemplaza por boquilla)</t>
        </is>
      </c>
    </row>
    <row r="16" ht="30" customHeight="1">
      <c r="A16" s="14" t="inlineStr">
        <is>
          <t>Notas: canaleta, tapas y boquilla de plancha galvanizada e = 0.50 mm; seccion interior 0.18 de ancho x 0.21 de alto. Un tramo de canaleta por techo, sin uniones. No incluye tubo PVC 4", codos, colgador, abrazadera ni falsa columna. Celda amarilla = dato; celda verde = formula.</t>
        </is>
      </c>
    </row>
  </sheetData>
  <mergeCells count="7">
    <mergeCell ref="A1:J1"/>
    <mergeCell ref="B3:J3"/>
    <mergeCell ref="B5:J5"/>
    <mergeCell ref="A8:C8"/>
    <mergeCell ref="B4:J4"/>
    <mergeCell ref="A16:J16"/>
    <mergeCell ref="B6:J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2026-10-22T20:38:56Z</dcterms:created>
  <dcterms:modified xmlns:dcterms="http://purl.org/dc/terms/" xmlns:xsi="http://www.w3.org/2001/XMLSchema-instance" xsi:type="dcterms:W3CDTF">2026-10-22T20:38:56Z</dcterms:modified>
</cp:coreProperties>
</file>