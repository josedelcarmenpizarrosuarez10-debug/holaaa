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COTIZACION" sheetId="1" state="visible" r:id="rId1"/>
    <sheet xmlns:r="http://schemas.openxmlformats.org/officeDocument/2006/relationships" name="2 ANGULOS" sheetId="2" state="visible" r:id="rId2"/>
    <sheet xmlns:r="http://schemas.openxmlformats.org/officeDocument/2006/relationships" name="3 ACU COMPARA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+0%;-0%"/>
    <numFmt numFmtId="166" formatCode="0.0"/>
    <numFmt numFmtId="167" formatCode="0.0000"/>
    <numFmt numFmtId="168" formatCode="+0.00;-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2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7" fontId="2" fillId="3" borderId="1" applyAlignment="1" pivotButton="0" quotePrefix="0" xfId="0">
      <alignment horizontal="center" vertical="center" wrapText="1"/>
    </xf>
    <xf numFmtId="167" fontId="2" fillId="4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2" fontId="1" fillId="2" borderId="1" applyAlignment="1" pivotButton="0" quotePrefix="0" xfId="0">
      <alignment horizontal="center" vertical="center" wrapText="1"/>
    </xf>
    <xf numFmtId="168" fontId="3" fillId="4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dimac.falabella.com.pe/sodimac-pe/product/126996349/Angulo-de-Acero-1-1-2-x-1-1-2-x-1-8-x-6M/126996350" TargetMode="External" Id="rId1"/><Relationship Type="http://schemas.openxmlformats.org/officeDocument/2006/relationships/hyperlink" Target="https://www.sodimac.com.pe/sodimac-pe/articulo/126996351/Angulo-de-Acero-25-x-25-x-3.0-X-6M/126996352" TargetMode="External" Id="rId2"/><Relationship Type="http://schemas.openxmlformats.org/officeDocument/2006/relationships/hyperlink" Target="https://www.sodimac.com.pe/sodimac-pe/articulo/113780372/Soldadura-Cellocord-1-8-Oerlikon-5KG/113780373" TargetMode="External" Id="rId3"/><Relationship Type="http://schemas.openxmlformats.org/officeDocument/2006/relationships/hyperlink" Target="https://ferreteriadinova.com/producto/cemento-tipo-i-portland-x-42-5-kg-pacasmayo/" TargetMode="External" Id="rId4"/><Relationship Type="http://schemas.openxmlformats.org/officeDocument/2006/relationships/hyperlink" Target="https://www.deperu.com/comercios/arquitectura-inmobiliarias-e-ingenieria-de-la-construccion/agregados-tarapoto-1376751" TargetMode="External" Id="rId5"/><Relationship Type="http://schemas.openxmlformats.org/officeDocument/2006/relationships/hyperlink" Target="https://www.deperu.com/comercios/arquitectura-inmobiliarias-e-ingenieria-de-la-construccion/agregados-tarapoto-1376751" TargetMode="External" Id="rId6"/><Relationship Type="http://schemas.openxmlformats.org/officeDocument/2006/relationships/hyperlink" Target="https://www.emapasanmartin.com/uploads/Gobernanza%20Gobernabilidad/Gobernabilidad/transparencia-informacion/indicador-8/2025/Publicacion%20Oficial%20-%20Diario%20Oficial%20El%20Peruano%20ESTRUCTURA%20TARIFARIA.pdf" TargetMode="External" Id="rId7"/><Relationship Type="http://schemas.openxmlformats.org/officeDocument/2006/relationships/hyperlink" Target="https://maderas-del-norte.webnode.pe/productos/" TargetMode="External" Id="rId8"/><Relationship Type="http://schemas.openxmlformats.org/officeDocument/2006/relationships/hyperlink" Target="https://www.sodimac.com.pe/sodimac-pe/articulo/113523810/barras-de-acero-1-2/113523812" TargetMode="External" Id="rId9"/><Relationship Type="http://schemas.openxmlformats.org/officeDocument/2006/relationships/hyperlink" Target="https://www.sodimac.com.pe/sodimac-pe/articulo/113528077/barras-de-acero-3-8/113528084" TargetMode="External" Id="rId10"/><Relationship Type="http://schemas.openxmlformats.org/officeDocument/2006/relationships/hyperlink" Target="https://sodimac.falabella.com.pe/sodimac-pe/product/113533012/Alambre-Recocido-N%C2%B0-16-10-kg/113533017" TargetMode="External" Id="rId11"/><Relationship Type="http://schemas.openxmlformats.org/officeDocument/2006/relationships/hyperlink" Target="https://www.promart.pe/anticorrosivo-vencedor-gris-1-gl/p" TargetMode="External" Id="rId12"/><Relationship Type="http://schemas.openxmlformats.org/officeDocument/2006/relationships/hyperlink" Target="https://www.promart.pe/esmalte-sintetico-pintor-negro-1-gl-30635/p" TargetMode="External" Id="rId13"/><Relationship Type="http://schemas.openxmlformats.org/officeDocument/2006/relationships/hyperlink" Target="https://www.sodimac.com.pe/sodimac-pe/b/lija-para-fierro" TargetMode="External" Id="rId14"/><Relationship Type="http://schemas.openxmlformats.org/officeDocument/2006/relationships/hyperlink" Target="https://www.sodimac.com.pe/sodimac-pe/b/thinner-acrilico" TargetMode="External" Id="rId15"/><Relationship Type="http://schemas.openxmlformats.org/officeDocument/2006/relationships/hyperlink" Target="https://konstrutecnia.com/p/alquiler-de-mezcladora-de-concreto-9-11-pie3" TargetMode="External" Id="rId16"/><Relationship Type="http://schemas.openxmlformats.org/officeDocument/2006/relationships/hyperlink" Target="https://konstrutecnia.com/p/alquiler-de-vibradora-de-concreto-5-5-hp" TargetMode="External" Id="rId17"/><Relationship Type="http://schemas.openxmlformats.org/officeDocument/2006/relationships/hyperlink" Target="https://stamerica.com.pe/alquiler_maquina_soldar" TargetMode="External" Id="rId18"/><Relationship Type="http://schemas.openxmlformats.org/officeDocument/2006/relationships/hyperlink" Target="https://www.ftccperu.com/media/attachments/2025/12/30/tablas-salariales-2026-construccion-civil.pdf" TargetMode="External" Id="rId19"/><Relationship Type="http://schemas.openxmlformats.org/officeDocument/2006/relationships/hyperlink" Target="https://www.ftccperu.com/media/attachments/2025/12/30/tablas-salariales-2026-construccion-civil.pdf" TargetMode="External" Id="rId20"/><Relationship Type="http://schemas.openxmlformats.org/officeDocument/2006/relationships/hyperlink" Target="https://www.ftccperu.com/media/attachments/2025/12/30/tablas-salariales-2026-construccion-civil.pdf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40" customWidth="1" min="4" max="4"/>
    <col width="14" customWidth="1" min="5" max="5"/>
    <col width="11" customWidth="1" min="6" max="6"/>
    <col width="11" customWidth="1" min="7" max="7"/>
    <col width="7" customWidth="1" min="8" max="8"/>
    <col width="11" customWidth="1" min="9" max="9"/>
    <col width="11" customWidth="1" min="10" max="10"/>
    <col width="10" customWidth="1" min="11" max="11"/>
    <col width="26" customWidth="1" min="12" max="12"/>
    <col width="14" customWidth="1" min="13" max="13"/>
    <col width="30" customWidth="1" min="14" max="14"/>
  </cols>
  <sheetData>
    <row r="1">
      <c r="A1" s="1" t="inlineStr">
        <is>
          <t>COTIZACION DE INSUMOS - ACU TAPA DE REGISTRO 0.68 x 0.68 C/MARCO Y CONTRAMARCO (Delphin 01.04.04.06.05.01; metrado 01.04.04.05.01)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PROYECTO: HOGAR DE REFUGIO TEMPORAL - MUJERES VIOLENTADAS, DISTRITO DE MORALES, SAN MARTIN - CUI N.° 2675514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42" customHeight="1">
      <c r="A3" s="3" t="inlineStr">
        <is>
          <t>Busqueda de precios publicados: 14/10/2026. Precio publicado tal como lo muestra la tienda (con IGV, salvo la tarifa de agua). Precio sin IGV = precio publicado / contenido / factor IGV. Los precios de Sodimac y Promart son nacionales (ambas tienen tienda en Tarapoto); el precio de la tienda de Tarapoto puede variar.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5" ht="42" customHeight="1">
      <c r="A5" s="4" t="inlineStr">
        <is>
          <t>N°</t>
        </is>
      </c>
      <c r="B5" s="4" t="inlineStr">
        <is>
          <t>INSUMO DE LA ACU</t>
        </is>
      </c>
      <c r="C5" s="4" t="inlineStr">
        <is>
          <t>UND</t>
        </is>
      </c>
      <c r="D5" s="4" t="inlineStr">
        <is>
          <t>PRODUCTO COTIZADO</t>
        </is>
      </c>
      <c r="E5" s="4" t="inlineStr">
        <is>
          <t>PRESENTACION</t>
        </is>
      </c>
      <c r="F5" s="4" t="inlineStr">
        <is>
          <t>PRECIO PUBLICADO S/</t>
        </is>
      </c>
      <c r="G5" s="4" t="inlineStr">
        <is>
          <t>CONTENIDO (UND ACU)</t>
        </is>
      </c>
      <c r="H5" s="4" t="inlineStr">
        <is>
          <t>IGV</t>
        </is>
      </c>
      <c r="I5" s="4" t="inlineStr">
        <is>
          <t>PRECIO S/ SIN IGV</t>
        </is>
      </c>
      <c r="J5" s="4" t="inlineStr">
        <is>
          <t>PRECIO ACTUAL ACU</t>
        </is>
      </c>
      <c r="K5" s="4" t="inlineStr">
        <is>
          <t>VARIACION</t>
        </is>
      </c>
      <c r="L5" s="4" t="inlineStr">
        <is>
          <t>TIENDA / FUENTE</t>
        </is>
      </c>
      <c r="M5" s="4" t="inlineStr">
        <is>
          <t>ENLACE</t>
        </is>
      </c>
      <c r="N5" s="4" t="inlineStr">
        <is>
          <t>ESTADO</t>
        </is>
      </c>
    </row>
    <row r="6" ht="30" customHeight="1">
      <c r="A6" s="5" t="n">
        <v>1</v>
      </c>
      <c r="B6" s="3" t="inlineStr">
        <is>
          <t>Angulo L 1 1/2"x1 1/2"x1/8"</t>
        </is>
      </c>
      <c r="C6" s="5" t="inlineStr">
        <is>
          <t>kg</t>
        </is>
      </c>
      <c r="D6" s="3" t="inlineStr">
        <is>
          <t>Angulo de Acero 1 1/2 x 1 1/2 x 1/8 x 6M (Tupemesa)</t>
        </is>
      </c>
      <c r="E6" s="5" t="inlineStr">
        <is>
          <t>barra 6 m</t>
        </is>
      </c>
      <c r="F6" s="6" t="n">
        <v>39.9</v>
      </c>
      <c r="G6" s="7">
        <f>6*'2 ANGULOS'!C7</f>
        <v/>
      </c>
      <c r="H6" s="6" t="n">
        <v>1.18</v>
      </c>
      <c r="I6" s="8">
        <f>F6/G6/H6</f>
        <v/>
      </c>
      <c r="J6" s="9" t="n">
        <v>4.66</v>
      </c>
      <c r="K6" s="10">
        <f>IF(OR(J6="",F6=""),"",I6/J6-1)</f>
        <v/>
      </c>
      <c r="L6" s="3" t="inlineStr">
        <is>
          <t>Sodimac Peru</t>
        </is>
      </c>
      <c r="M6" s="11" t="inlineStr">
        <is>
          <t>abrir</t>
        </is>
      </c>
      <c r="N6" s="12" t="inlineStr">
        <is>
          <t>COMPROBADO (precio nacional)</t>
        </is>
      </c>
    </row>
    <row r="7" ht="30" customHeight="1">
      <c r="A7" s="5" t="n">
        <v>2</v>
      </c>
      <c r="B7" s="3" t="inlineStr">
        <is>
          <t>Angulo L 1"x1"x1/8" (alternativa)</t>
        </is>
      </c>
      <c r="C7" s="5" t="inlineStr">
        <is>
          <t>kg</t>
        </is>
      </c>
      <c r="D7" s="3" t="inlineStr">
        <is>
          <t>Angulo de Acero 25 x 25 x 3.0 x 6M (Tupemesa)</t>
        </is>
      </c>
      <c r="E7" s="5" t="inlineStr">
        <is>
          <t>barra 6 m</t>
        </is>
      </c>
      <c r="F7" s="6" t="n">
        <v>24.9</v>
      </c>
      <c r="G7" s="7">
        <f>6*'2 ANGULOS'!C8</f>
        <v/>
      </c>
      <c r="H7" s="6" t="n">
        <v>1.18</v>
      </c>
      <c r="I7" s="8">
        <f>F7/G7/H7</f>
        <v/>
      </c>
      <c r="J7" s="9" t="n"/>
      <c r="K7" s="10">
        <f>IF(OR(J7="",F7=""),"",I7/J7-1)</f>
        <v/>
      </c>
      <c r="L7" s="3" t="inlineStr">
        <is>
          <t>Sodimac Peru</t>
        </is>
      </c>
      <c r="M7" s="11" t="inlineStr">
        <is>
          <t>abrir</t>
        </is>
      </c>
      <c r="N7" s="12" t="inlineStr">
        <is>
          <t>COMPROBADO (sin stock en linea)</t>
        </is>
      </c>
    </row>
    <row r="8" ht="30" customHeight="1">
      <c r="A8" s="5" t="n">
        <v>3</v>
      </c>
      <c r="B8" s="3" t="inlineStr">
        <is>
          <t>Angulo L 2"x2"x3/16" (actual)</t>
        </is>
      </c>
      <c r="C8" s="5" t="inlineStr">
        <is>
          <t>kg</t>
        </is>
      </c>
      <c r="D8" s="3" t="inlineStr">
        <is>
          <t>Ninguna tienda peruana publica precio en soles</t>
        </is>
      </c>
      <c r="E8" s="5" t="inlineStr">
        <is>
          <t>barra 6 m</t>
        </is>
      </c>
      <c r="F8" s="6" t="n"/>
      <c r="G8" s="7">
        <f>6*'2 ANGULOS'!C10</f>
        <v/>
      </c>
      <c r="H8" s="6" t="n">
        <v>1.18</v>
      </c>
      <c r="I8" s="13">
        <f>J8</f>
        <v/>
      </c>
      <c r="J8" s="9" t="n">
        <v>4.66</v>
      </c>
      <c r="K8" s="10">
        <f>IF(OR(J8="",F8=""),"",I8/J8-1)</f>
        <v/>
      </c>
      <c r="L8" s="3" t="inlineStr">
        <is>
          <t>-</t>
        </is>
      </c>
      <c r="M8" s="5" t="inlineStr">
        <is>
          <t>-</t>
        </is>
      </c>
      <c r="N8" s="14" t="inlineStr">
        <is>
          <t>SIN PRECIO PUBLICADO</t>
        </is>
      </c>
    </row>
    <row r="9" ht="30" customHeight="1">
      <c r="A9" s="5" t="n">
        <v>4</v>
      </c>
      <c r="B9" s="3" t="inlineStr">
        <is>
          <t>Soldadura cellocord E6011 1/8"</t>
        </is>
      </c>
      <c r="C9" s="5" t="inlineStr">
        <is>
          <t>kg</t>
        </is>
      </c>
      <c r="D9" s="3" t="inlineStr">
        <is>
          <t>Soldadura Cellocord 1/8" (E-6011)</t>
        </is>
      </c>
      <c r="E9" s="5" t="inlineStr">
        <is>
          <t>caja 5 kg</t>
        </is>
      </c>
      <c r="F9" s="6" t="n">
        <v>109.9</v>
      </c>
      <c r="G9" s="15" t="n">
        <v>5</v>
      </c>
      <c r="H9" s="6" t="n">
        <v>1.18</v>
      </c>
      <c r="I9" s="8">
        <f>F9/G9/H9</f>
        <v/>
      </c>
      <c r="J9" s="9" t="n">
        <v>13.56</v>
      </c>
      <c r="K9" s="10">
        <f>IF(OR(J9="",F9=""),"",I9/J9-1)</f>
        <v/>
      </c>
      <c r="L9" s="3" t="inlineStr">
        <is>
          <t>Sodimac Peru</t>
        </is>
      </c>
      <c r="M9" s="11" t="inlineStr">
        <is>
          <t>abrir</t>
        </is>
      </c>
      <c r="N9" s="12" t="inlineStr">
        <is>
          <t>COMPROBADO (precio nacional)</t>
        </is>
      </c>
    </row>
    <row r="10" ht="30" customHeight="1">
      <c r="A10" s="5" t="n">
        <v>5</v>
      </c>
      <c r="B10" s="3" t="inlineStr">
        <is>
          <t>Cemento Portland tipo I</t>
        </is>
      </c>
      <c r="C10" s="5" t="inlineStr">
        <is>
          <t>bol</t>
        </is>
      </c>
      <c r="D10" s="3" t="inlineStr">
        <is>
          <t>Cemento Pacasmayo Tipo I Portland 42.5 kg</t>
        </is>
      </c>
      <c r="E10" s="5" t="inlineStr">
        <is>
          <t>bolsa 42.5 kg</t>
        </is>
      </c>
      <c r="F10" s="6" t="n">
        <v>36.5</v>
      </c>
      <c r="G10" s="15" t="n">
        <v>1</v>
      </c>
      <c r="H10" s="6" t="n">
        <v>1.18</v>
      </c>
      <c r="I10" s="8">
        <f>F10/G10/H10</f>
        <v/>
      </c>
      <c r="J10" s="9" t="n">
        <v>30.51</v>
      </c>
      <c r="K10" s="10">
        <f>IF(OR(J10="",F10=""),"",I10/J10-1)</f>
        <v/>
      </c>
      <c r="L10" s="3" t="inlineStr">
        <is>
          <t>Ferreteria Dinova</t>
        </is>
      </c>
      <c r="M10" s="11" t="inlineStr">
        <is>
          <t>abrir</t>
        </is>
      </c>
      <c r="N10" s="12" t="inlineStr">
        <is>
          <t>COMPROBADO (marca que se distribuye en San Martin)</t>
        </is>
      </c>
    </row>
    <row r="11" ht="30" customHeight="1">
      <c r="A11" s="5" t="n">
        <v>6</v>
      </c>
      <c r="B11" s="3" t="inlineStr">
        <is>
          <t>Arena gruesa</t>
        </is>
      </c>
      <c r="C11" s="5" t="inlineStr">
        <is>
          <t>m3</t>
        </is>
      </c>
      <c r="D11" s="3" t="inlineStr">
        <is>
          <t>Arena gruesa - Agregados Tarapoto (Jr. Felipe Yap 220, Morales)</t>
        </is>
      </c>
      <c r="E11" s="5" t="inlineStr">
        <is>
          <t>m3 (delivery desde 3 m3)</t>
        </is>
      </c>
      <c r="F11" s="6" t="n">
        <v>48</v>
      </c>
      <c r="G11" s="15" t="n">
        <v>1</v>
      </c>
      <c r="H11" s="6" t="n">
        <v>1.18</v>
      </c>
      <c r="I11" s="8">
        <f>F11/G11/H11</f>
        <v/>
      </c>
      <c r="J11" s="9" t="n">
        <v>50.85</v>
      </c>
      <c r="K11" s="10">
        <f>IF(OR(J11="",F11=""),"",I11/J11-1)</f>
        <v/>
      </c>
      <c r="L11" s="3" t="inlineStr">
        <is>
          <t>Agregados Tarapoto (Morales)</t>
        </is>
      </c>
      <c r="M11" s="11" t="inlineStr">
        <is>
          <t>abrir</t>
        </is>
      </c>
      <c r="N11" s="12" t="inlineStr">
        <is>
          <t>COMPROBADO LOCAL (Morales)</t>
        </is>
      </c>
    </row>
    <row r="12" ht="30" customHeight="1">
      <c r="A12" s="5" t="n">
        <v>7</v>
      </c>
      <c r="B12" s="3" t="inlineStr">
        <is>
          <t>Piedra chancada 1/2"</t>
        </is>
      </c>
      <c r="C12" s="5" t="inlineStr">
        <is>
          <t>m3</t>
        </is>
      </c>
      <c r="D12" s="3" t="inlineStr">
        <is>
          <t>En Tarapoto solo se publica la piedra chancada 3/4" a S/ 70.00 el m3 (mismo proveedor)</t>
        </is>
      </c>
      <c r="E12" s="5" t="inlineStr">
        <is>
          <t>m3</t>
        </is>
      </c>
      <c r="F12" s="6" t="n"/>
      <c r="G12" s="15" t="n">
        <v>1</v>
      </c>
      <c r="H12" s="6" t="n">
        <v>1.18</v>
      </c>
      <c r="I12" s="13">
        <f>J12</f>
        <v/>
      </c>
      <c r="J12" s="9" t="n">
        <v>101.69</v>
      </c>
      <c r="K12" s="10">
        <f>IF(OR(J12="",F12=""),"",I12/J12-1)</f>
        <v/>
      </c>
      <c r="L12" s="3" t="inlineStr">
        <is>
          <t>Agregados Tarapoto (Morales)</t>
        </is>
      </c>
      <c r="M12" s="11" t="inlineStr">
        <is>
          <t>abrir</t>
        </is>
      </c>
      <c r="N12" s="14" t="inlineStr">
        <is>
          <t>SIN PRECIO PUBLICADO DE 1/2" (se mantiene el actual)</t>
        </is>
      </c>
    </row>
    <row r="13" ht="30" customHeight="1">
      <c r="A13" s="5" t="n">
        <v>8</v>
      </c>
      <c r="B13" s="3" t="inlineStr">
        <is>
          <t>Agua</t>
        </is>
      </c>
      <c r="C13" s="5" t="inlineStr">
        <is>
          <t>m3</t>
        </is>
      </c>
      <c r="D13" s="3" t="inlineStr">
        <is>
          <t>EMAPA San Martin, categoria comercial y otros, tramo de 30 m3 a mas: agua 6.80 + alcantarillado 1.53</t>
        </is>
      </c>
      <c r="E13" s="5" t="inlineStr">
        <is>
          <t>m3</t>
        </is>
      </c>
      <c r="F13" s="6" t="n">
        <v>8.33</v>
      </c>
      <c r="G13" s="15" t="n">
        <v>1</v>
      </c>
      <c r="H13" s="6" t="n">
        <v>1</v>
      </c>
      <c r="I13" s="8">
        <f>F13/G13/H13</f>
        <v/>
      </c>
      <c r="J13" s="9" t="n">
        <v>5</v>
      </c>
      <c r="K13" s="10">
        <f>IF(OR(J13="",F13=""),"",I13/J13-1)</f>
        <v/>
      </c>
      <c r="L13" s="3" t="inlineStr">
        <is>
          <t>Res. 00077-2024-SUNASS-CD (El Peruano 18/12/2024); tarifa sin IGV</t>
        </is>
      </c>
      <c r="M13" s="11" t="inlineStr">
        <is>
          <t>abrir</t>
        </is>
      </c>
      <c r="N13" s="12" t="inlineStr">
        <is>
          <t>COMPROBADO (tarifa oficial Tarapoto)</t>
        </is>
      </c>
    </row>
    <row r="14" ht="30" customHeight="1">
      <c r="A14" s="5" t="n">
        <v>9</v>
      </c>
      <c r="B14" s="3" t="inlineStr">
        <is>
          <t>Madera tornillo</t>
        </is>
      </c>
      <c r="C14" s="5" t="inlineStr">
        <is>
          <t>p2</t>
        </is>
      </c>
      <c r="D14" s="3" t="inlineStr">
        <is>
          <t>Madera tornillo por pie</t>
        </is>
      </c>
      <c r="E14" s="5" t="inlineStr">
        <is>
          <t>p2</t>
        </is>
      </c>
      <c r="F14" s="6" t="n">
        <v>5.2</v>
      </c>
      <c r="G14" s="15" t="n">
        <v>1</v>
      </c>
      <c r="H14" s="6" t="n">
        <v>1.18</v>
      </c>
      <c r="I14" s="8">
        <f>F14/G14/H14</f>
        <v/>
      </c>
      <c r="J14" s="9" t="n">
        <v>5.08</v>
      </c>
      <c r="K14" s="10">
        <f>IF(OR(J14="",F14=""),"",I14/J14-1)</f>
        <v/>
      </c>
      <c r="L14" s="3" t="inlineStr">
        <is>
          <t>Maderas del Norte</t>
        </is>
      </c>
      <c r="M14" s="11" t="inlineStr">
        <is>
          <t>abrir</t>
        </is>
      </c>
      <c r="N14" s="16" t="inlineStr">
        <is>
          <t>REFERENCIA (la pagina no indica ciudad)</t>
        </is>
      </c>
    </row>
    <row r="15" ht="30" customHeight="1">
      <c r="A15" s="5" t="n">
        <v>10</v>
      </c>
      <c r="B15" s="3" t="inlineStr">
        <is>
          <t>Acero corrugado 1/2" (borde de abertura)</t>
        </is>
      </c>
      <c r="C15" s="5" t="inlineStr">
        <is>
          <t>kg</t>
        </is>
      </c>
      <c r="D15" s="3" t="inlineStr">
        <is>
          <t>Barras de Acero 1/2" x 9 m Aceros Arequipa (8.946 kg)</t>
        </is>
      </c>
      <c r="E15" s="5" t="inlineStr">
        <is>
          <t>varilla 9 m</t>
        </is>
      </c>
      <c r="F15" s="6" t="n">
        <v>36.5</v>
      </c>
      <c r="G15" s="15" t="n">
        <v>8.946</v>
      </c>
      <c r="H15" s="6" t="n">
        <v>1.18</v>
      </c>
      <c r="I15" s="8">
        <f>F15/G15/H15</f>
        <v/>
      </c>
      <c r="J15" s="9" t="n">
        <v>3.81</v>
      </c>
      <c r="K15" s="10">
        <f>IF(OR(J15="",F15=""),"",I15/J15-1)</f>
        <v/>
      </c>
      <c r="L15" s="3" t="inlineStr">
        <is>
          <t>Sodimac Peru</t>
        </is>
      </c>
      <c r="M15" s="11" t="inlineStr">
        <is>
          <t>abrir</t>
        </is>
      </c>
      <c r="N15" s="12" t="inlineStr">
        <is>
          <t>COMPROBADO (precio nacional)</t>
        </is>
      </c>
    </row>
    <row r="16" ht="30" customHeight="1">
      <c r="A16" s="5" t="n">
        <v>11</v>
      </c>
      <c r="B16" s="3" t="inlineStr">
        <is>
          <t>Acero corrugado 3/8" (parrilla, asas, anclajes)</t>
        </is>
      </c>
      <c r="C16" s="5" t="inlineStr">
        <is>
          <t>kg</t>
        </is>
      </c>
      <c r="D16" s="3" t="inlineStr">
        <is>
          <t>Barras de Acero 3/8" x 9 m Aceros Arequipa (5.04 kg)</t>
        </is>
      </c>
      <c r="E16" s="5" t="inlineStr">
        <is>
          <t>varilla 9 m</t>
        </is>
      </c>
      <c r="F16" s="6" t="n">
        <v>20.35</v>
      </c>
      <c r="G16" s="15" t="n">
        <v>5.04</v>
      </c>
      <c r="H16" s="6" t="n">
        <v>1.18</v>
      </c>
      <c r="I16" s="8">
        <f>F16/G16/H16</f>
        <v/>
      </c>
      <c r="J16" s="9" t="n">
        <v>3.81</v>
      </c>
      <c r="K16" s="10">
        <f>IF(OR(J16="",F16=""),"",I16/J16-1)</f>
        <v/>
      </c>
      <c r="L16" s="3" t="inlineStr">
        <is>
          <t>Sodimac Peru</t>
        </is>
      </c>
      <c r="M16" s="11" t="inlineStr">
        <is>
          <t>abrir</t>
        </is>
      </c>
      <c r="N16" s="12" t="inlineStr">
        <is>
          <t>COMPROBADO (precio nacional)</t>
        </is>
      </c>
    </row>
    <row r="17" ht="30" customHeight="1">
      <c r="A17" s="5" t="n">
        <v>12</v>
      </c>
      <c r="B17" s="3" t="inlineStr">
        <is>
          <t>Alambre negro N 16</t>
        </is>
      </c>
      <c r="C17" s="5" t="inlineStr">
        <is>
          <t>kg</t>
        </is>
      </c>
      <c r="D17" s="3" t="inlineStr">
        <is>
          <t>Alambre Recocido N° 16 x 10 kg (Prodac)</t>
        </is>
      </c>
      <c r="E17" s="5" t="inlineStr">
        <is>
          <t>rollo 10 kg</t>
        </is>
      </c>
      <c r="F17" s="6" t="n">
        <v>59.9</v>
      </c>
      <c r="G17" s="15" t="n">
        <v>10</v>
      </c>
      <c r="H17" s="6" t="n">
        <v>1.18</v>
      </c>
      <c r="I17" s="8">
        <f>F17/G17/H17</f>
        <v/>
      </c>
      <c r="J17" s="9" t="n">
        <v>5.08</v>
      </c>
      <c r="K17" s="10">
        <f>IF(OR(J17="",F17=""),"",I17/J17-1)</f>
        <v/>
      </c>
      <c r="L17" s="3" t="inlineStr">
        <is>
          <t>Sodimac Peru</t>
        </is>
      </c>
      <c r="M17" s="11" t="inlineStr">
        <is>
          <t>abrir</t>
        </is>
      </c>
      <c r="N17" s="12" t="inlineStr">
        <is>
          <t>COMPROBADO (precio nacional)</t>
        </is>
      </c>
    </row>
    <row r="18" ht="30" customHeight="1">
      <c r="A18" s="5" t="n">
        <v>13</v>
      </c>
      <c r="B18" s="3" t="inlineStr">
        <is>
          <t>Pintura anticorrosiva</t>
        </is>
      </c>
      <c r="C18" s="5" t="inlineStr">
        <is>
          <t>gal</t>
        </is>
      </c>
      <c r="D18" s="3" t="inlineStr">
        <is>
          <t>Anticorrosivo Vencedor Gris 1 gl</t>
        </is>
      </c>
      <c r="E18" s="5" t="inlineStr">
        <is>
          <t>galon</t>
        </is>
      </c>
      <c r="F18" s="6" t="n">
        <v>53</v>
      </c>
      <c r="G18" s="15" t="n">
        <v>1</v>
      </c>
      <c r="H18" s="6" t="n">
        <v>1.18</v>
      </c>
      <c r="I18" s="8">
        <f>F18/G18/H18</f>
        <v/>
      </c>
      <c r="J18" s="9" t="n">
        <v>59.32</v>
      </c>
      <c r="K18" s="10">
        <f>IF(OR(J18="",F18=""),"",I18/J18-1)</f>
        <v/>
      </c>
      <c r="L18" s="3" t="inlineStr">
        <is>
          <t>Promart</t>
        </is>
      </c>
      <c r="M18" s="11" t="inlineStr">
        <is>
          <t>abrir</t>
        </is>
      </c>
      <c r="N18" s="12" t="inlineStr">
        <is>
          <t>COMPROBADO (precio nacional)</t>
        </is>
      </c>
    </row>
    <row r="19" ht="30" customHeight="1">
      <c r="A19" s="5" t="n">
        <v>14</v>
      </c>
      <c r="B19" s="3" t="inlineStr">
        <is>
          <t>Esmalte sintetico</t>
        </is>
      </c>
      <c r="C19" s="5" t="inlineStr">
        <is>
          <t>gal</t>
        </is>
      </c>
      <c r="D19" s="3" t="inlineStr">
        <is>
          <t>Esmalte sintetico CPP negro 1 gl (cod. 30635)</t>
        </is>
      </c>
      <c r="E19" s="5" t="inlineStr">
        <is>
          <t>galon</t>
        </is>
      </c>
      <c r="F19" s="6" t="n">
        <v>57</v>
      </c>
      <c r="G19" s="15" t="n">
        <v>1</v>
      </c>
      <c r="H19" s="6" t="n">
        <v>1.18</v>
      </c>
      <c r="I19" s="8">
        <f>F19/G19/H19</f>
        <v/>
      </c>
      <c r="J19" s="9" t="n">
        <v>55.08</v>
      </c>
      <c r="K19" s="10">
        <f>IF(OR(J19="",F19=""),"",I19/J19-1)</f>
        <v/>
      </c>
      <c r="L19" s="3" t="inlineStr">
        <is>
          <t>Promart</t>
        </is>
      </c>
      <c r="M19" s="11" t="inlineStr">
        <is>
          <t>abrir</t>
        </is>
      </c>
      <c r="N19" s="12" t="inlineStr">
        <is>
          <t>COMPROBADO (precio nacional)</t>
        </is>
      </c>
    </row>
    <row r="20" ht="30" customHeight="1">
      <c r="A20" s="5" t="n">
        <v>15</v>
      </c>
      <c r="B20" s="3" t="inlineStr">
        <is>
          <t>Lija para fierro N° 80</t>
        </is>
      </c>
      <c r="C20" s="5" t="inlineStr">
        <is>
          <t>und</t>
        </is>
      </c>
      <c r="D20" s="3" t="inlineStr">
        <is>
          <t>Lija Fierro 3M ASA grano 80</t>
        </is>
      </c>
      <c r="E20" s="5" t="inlineStr">
        <is>
          <t>pliego</t>
        </is>
      </c>
      <c r="F20" s="6" t="n">
        <v>2.5</v>
      </c>
      <c r="G20" s="15" t="n">
        <v>1</v>
      </c>
      <c r="H20" s="6" t="n">
        <v>1.18</v>
      </c>
      <c r="I20" s="8">
        <f>F20/G20/H20</f>
        <v/>
      </c>
      <c r="J20" s="9" t="n"/>
      <c r="K20" s="10">
        <f>IF(OR(J20="",F20=""),"",I20/J20-1)</f>
        <v/>
      </c>
      <c r="L20" s="3" t="inlineStr">
        <is>
          <t>Sodimac Peru</t>
        </is>
      </c>
      <c r="M20" s="11" t="inlineStr">
        <is>
          <t>abrir</t>
        </is>
      </c>
      <c r="N20" s="12" t="inlineStr">
        <is>
          <t>COMPROBADO (precio nacional)</t>
        </is>
      </c>
    </row>
    <row r="21" ht="30" customHeight="1">
      <c r="A21" s="5" t="n">
        <v>16</v>
      </c>
      <c r="B21" s="3" t="inlineStr">
        <is>
          <t>Thinner acrilico</t>
        </is>
      </c>
      <c r="C21" s="5" t="inlineStr">
        <is>
          <t>gal</t>
        </is>
      </c>
      <c r="D21" s="3" t="inlineStr">
        <is>
          <t>TOPEX Thinner Acrilico 3.5 L</t>
        </is>
      </c>
      <c r="E21" s="5" t="inlineStr">
        <is>
          <t>envase 3.5 L</t>
        </is>
      </c>
      <c r="F21" s="6" t="n">
        <v>38.9</v>
      </c>
      <c r="G21" s="7">
        <f>3.5/3.785</f>
        <v/>
      </c>
      <c r="H21" s="6" t="n">
        <v>1.18</v>
      </c>
      <c r="I21" s="8">
        <f>F21/G21/H21</f>
        <v/>
      </c>
      <c r="J21" s="9" t="n"/>
      <c r="K21" s="10">
        <f>IF(OR(J21="",F21=""),"",I21/J21-1)</f>
        <v/>
      </c>
      <c r="L21" s="3" t="inlineStr">
        <is>
          <t>Sodimac Peru</t>
        </is>
      </c>
      <c r="M21" s="11" t="inlineStr">
        <is>
          <t>abrir</t>
        </is>
      </c>
      <c r="N21" s="12" t="inlineStr">
        <is>
          <t>COMPROBADO (precio nacional)</t>
        </is>
      </c>
    </row>
    <row r="22" ht="30" customHeight="1">
      <c r="A22" s="5" t="n">
        <v>17</v>
      </c>
      <c r="B22" s="3" t="inlineStr">
        <is>
          <t>Mezcladora 9-11 p3</t>
        </is>
      </c>
      <c r="C22" s="5" t="inlineStr">
        <is>
          <t>hm</t>
        </is>
      </c>
      <c r="D22" s="3" t="inlineStr">
        <is>
          <t>Alquiler de mezcladora de concreto 9-11 p3</t>
        </is>
      </c>
      <c r="E22" s="5" t="inlineStr">
        <is>
          <t>hora-maquina</t>
        </is>
      </c>
      <c r="F22" s="6" t="n">
        <v>15</v>
      </c>
      <c r="G22" s="15" t="n">
        <v>1</v>
      </c>
      <c r="H22" s="6" t="n">
        <v>1.18</v>
      </c>
      <c r="I22" s="8">
        <f>F22/G22/H22</f>
        <v/>
      </c>
      <c r="J22" s="9" t="n">
        <v>15</v>
      </c>
      <c r="K22" s="10">
        <f>IF(OR(J22="",F22=""),"",I22/J22-1)</f>
        <v/>
      </c>
      <c r="L22" s="3" t="inlineStr">
        <is>
          <t>Konstrutecnia (Juliaca)</t>
        </is>
      </c>
      <c r="M22" s="11" t="inlineStr">
        <is>
          <t>abrir</t>
        </is>
      </c>
      <c r="N22" s="16" t="inlineStr">
        <is>
          <t>REFERENCIA (otra ciudad; no hay tarifa publicada en Tarapoto)</t>
        </is>
      </c>
    </row>
    <row r="23" ht="30" customHeight="1">
      <c r="A23" s="5" t="n">
        <v>18</v>
      </c>
      <c r="B23" s="3" t="inlineStr">
        <is>
          <t>Vibrador de concreto</t>
        </is>
      </c>
      <c r="C23" s="5" t="inlineStr">
        <is>
          <t>hm</t>
        </is>
      </c>
      <c r="D23" s="3" t="inlineStr">
        <is>
          <t>Alquiler de vibradora de concreto 5.5 HP</t>
        </is>
      </c>
      <c r="E23" s="5" t="inlineStr">
        <is>
          <t>hora-maquina</t>
        </is>
      </c>
      <c r="F23" s="6" t="n">
        <v>13</v>
      </c>
      <c r="G23" s="15" t="n">
        <v>1</v>
      </c>
      <c r="H23" s="6" t="n">
        <v>1.18</v>
      </c>
      <c r="I23" s="8">
        <f>F23/G23/H23</f>
        <v/>
      </c>
      <c r="J23" s="9" t="n">
        <v>10</v>
      </c>
      <c r="K23" s="10">
        <f>IF(OR(J23="",F23=""),"",I23/J23-1)</f>
        <v/>
      </c>
      <c r="L23" s="3" t="inlineStr">
        <is>
          <t>Konstrutecnia (Juliaca)</t>
        </is>
      </c>
      <c r="M23" s="11" t="inlineStr">
        <is>
          <t>abrir</t>
        </is>
      </c>
      <c r="N23" s="16" t="inlineStr">
        <is>
          <t>REFERENCIA (otra ciudad; no hay tarifa publicada en Tarapoto)</t>
        </is>
      </c>
    </row>
    <row r="24" ht="30" customHeight="1">
      <c r="A24" s="5" t="n">
        <v>19</v>
      </c>
      <c r="B24" s="3" t="inlineStr">
        <is>
          <t>Maquina de soldar 250 A</t>
        </is>
      </c>
      <c r="C24" s="5" t="inlineStr">
        <is>
          <t>hm</t>
        </is>
      </c>
      <c r="D24" s="3" t="inlineStr">
        <is>
          <t>Ninguna empresa publica tarifa por hora o por dia (solo S/ 30 y S/ 55 sin periodo)</t>
        </is>
      </c>
      <c r="E24" s="5" t="inlineStr">
        <is>
          <t>hora-maquina</t>
        </is>
      </c>
      <c r="F24" s="6" t="n"/>
      <c r="G24" s="15" t="n">
        <v>1</v>
      </c>
      <c r="H24" s="6" t="n">
        <v>1.18</v>
      </c>
      <c r="I24" s="13">
        <f>J24</f>
        <v/>
      </c>
      <c r="J24" s="9" t="n">
        <v>8</v>
      </c>
      <c r="K24" s="10">
        <f>IF(OR(J24="",F24=""),"",I24/J24-1)</f>
        <v/>
      </c>
      <c r="L24" s="3" t="inlineStr">
        <is>
          <t>Ferropolis / ST America</t>
        </is>
      </c>
      <c r="M24" s="11" t="inlineStr">
        <is>
          <t>abrir</t>
        </is>
      </c>
      <c r="N24" s="14" t="inlineStr">
        <is>
          <t>SIN TARIFA PUBLICADA (se mantiene el actual)</t>
        </is>
      </c>
    </row>
    <row r="25">
      <c r="A25" s="5" t="n">
        <v>20</v>
      </c>
      <c r="B25" s="17" t="inlineStr">
        <is>
          <t>Acero corrugado fy=4200 (ponderado de la tapa)</t>
        </is>
      </c>
      <c r="C25" s="5" t="inlineStr">
        <is>
          <t>kg</t>
        </is>
      </c>
      <c r="D25" s="3" t="inlineStr">
        <is>
          <t>1/2": 111.33 kg + 3/8": 62.05 kg por las 10 tapas (hoja COLECTOR ACERO filas 33 a 36)</t>
        </is>
      </c>
      <c r="E25" s="5" t="n"/>
      <c r="F25" s="5" t="n"/>
      <c r="G25" s="5" t="n"/>
      <c r="H25" s="5" t="n"/>
      <c r="I25" s="8">
        <f>(I15*111.328+I16*62.048)/173.376</f>
        <v/>
      </c>
      <c r="J25" s="9" t="n">
        <v>3.81</v>
      </c>
      <c r="K25" s="10">
        <f>I25/J25-1</f>
        <v/>
      </c>
      <c r="L25" s="5" t="inlineStr">
        <is>
          <t>Sodimac Peru</t>
        </is>
      </c>
      <c r="M25" s="5" t="inlineStr">
        <is>
          <t>-</t>
        </is>
      </c>
      <c r="N25" s="12" t="inlineStr">
        <is>
          <t>COMPROBADO (precio nacional)</t>
        </is>
      </c>
    </row>
    <row r="26" ht="30" customHeight="1">
      <c r="A26" s="5" t="n">
        <v>21</v>
      </c>
      <c r="B26" s="3" t="inlineStr">
        <is>
          <t>Operario</t>
        </is>
      </c>
      <c r="C26" s="5" t="inlineStr">
        <is>
          <t>hh</t>
        </is>
      </c>
      <c r="D26" s="3" t="inlineStr">
        <is>
          <t>Jornal basico 2026 S/ 89.30 por dia (convenio CAPECO-FTCCP 2026, R.M. 197-2025-TR); costo hora-hombre con beneficios sociales de la planilla</t>
        </is>
      </c>
      <c r="E26" s="5" t="inlineStr">
        <is>
          <t>hora-hombre</t>
        </is>
      </c>
      <c r="F26" s="6" t="n">
        <v>30.42</v>
      </c>
      <c r="G26" s="18" t="n">
        <v>1</v>
      </c>
      <c r="H26" s="9" t="n">
        <v>1</v>
      </c>
      <c r="I26" s="8">
        <f>F26/G26/H26</f>
        <v/>
      </c>
      <c r="J26" s="9" t="n">
        <v>30.42</v>
      </c>
      <c r="K26" s="10">
        <f>I26/J26-1</f>
        <v/>
      </c>
      <c r="L26" s="5" t="inlineStr">
        <is>
          <t>FTCCP - tablas salariales 2026</t>
        </is>
      </c>
      <c r="M26" s="11" t="inlineStr">
        <is>
          <t>abrir</t>
        </is>
      </c>
      <c r="N26" s="16" t="inlineStr">
        <is>
          <t>JORNAL OFICIAL 2026; costo hh se mantiene (decision pendiente)</t>
        </is>
      </c>
    </row>
    <row r="27" ht="30" customHeight="1">
      <c r="A27" s="5" t="n">
        <v>22</v>
      </c>
      <c r="B27" s="3" t="inlineStr">
        <is>
          <t>Oficial</t>
        </is>
      </c>
      <c r="C27" s="5" t="inlineStr">
        <is>
          <t>hh</t>
        </is>
      </c>
      <c r="D27" s="3" t="inlineStr">
        <is>
          <t>Jornal basico 2026 S/ 69.75 por dia (convenio CAPECO-FTCCP 2026, R.M. 197-2025-TR); costo hora-hombre con beneficios sociales de la planilla</t>
        </is>
      </c>
      <c r="E27" s="5" t="inlineStr">
        <is>
          <t>hora-hombre</t>
        </is>
      </c>
      <c r="F27" s="6" t="n">
        <v>22.95</v>
      </c>
      <c r="G27" s="18" t="n">
        <v>1</v>
      </c>
      <c r="H27" s="9" t="n">
        <v>1</v>
      </c>
      <c r="I27" s="8">
        <f>F27/G27/H27</f>
        <v/>
      </c>
      <c r="J27" s="9" t="n">
        <v>22.95</v>
      </c>
      <c r="K27" s="10">
        <f>I27/J27-1</f>
        <v/>
      </c>
      <c r="L27" s="5" t="inlineStr">
        <is>
          <t>FTCCP - tablas salariales 2026</t>
        </is>
      </c>
      <c r="M27" s="11" t="inlineStr">
        <is>
          <t>abrir</t>
        </is>
      </c>
      <c r="N27" s="16" t="inlineStr">
        <is>
          <t>JORNAL OFICIAL 2026; costo hh se mantiene (decision pendiente)</t>
        </is>
      </c>
    </row>
    <row r="28" ht="30" customHeight="1">
      <c r="A28" s="5" t="n">
        <v>23</v>
      </c>
      <c r="B28" s="3" t="inlineStr">
        <is>
          <t>Peon</t>
        </is>
      </c>
      <c r="C28" s="5" t="inlineStr">
        <is>
          <t>hh</t>
        </is>
      </c>
      <c r="D28" s="3" t="inlineStr">
        <is>
          <t>Jornal basico 2026 S/ 62.80 por dia (convenio CAPECO-FTCCP 2026, R.M. 197-2025-TR); costo hora-hombre con beneficios sociales de la planilla</t>
        </is>
      </c>
      <c r="E28" s="5" t="inlineStr">
        <is>
          <t>hora-hombre</t>
        </is>
      </c>
      <c r="F28" s="6" t="n">
        <v>20.79</v>
      </c>
      <c r="G28" s="18" t="n">
        <v>1</v>
      </c>
      <c r="H28" s="9" t="n">
        <v>1</v>
      </c>
      <c r="I28" s="8">
        <f>F28/G28/H28</f>
        <v/>
      </c>
      <c r="J28" s="9" t="n">
        <v>20.79</v>
      </c>
      <c r="K28" s="10">
        <f>I28/J28-1</f>
        <v/>
      </c>
      <c r="L28" s="5" t="inlineStr">
        <is>
          <t>FTCCP - tablas salariales 2026</t>
        </is>
      </c>
      <c r="M28" s="11" t="inlineStr">
        <is>
          <t>abrir</t>
        </is>
      </c>
      <c r="N28" s="16" t="inlineStr">
        <is>
          <t>JORNAL OFICIAL 2026; costo hh se mantiene (decision pendiente)</t>
        </is>
      </c>
    </row>
    <row r="30">
      <c r="A30" s="19" t="inlineStr">
        <is>
          <t>NOTAS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8" customHeight="1">
      <c r="A31" s="3" t="inlineStr">
        <is>
          <t>1. Verde = precio publicado y encontrado; naranja = referencia (otra ciudad o sin ciudad); rojo = sin precio publicado: se mantiene el precio actual y debe cotizarse en Tarapoto.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8" customHeight="1">
      <c r="A32" s="3" t="inlineStr">
        <is>
          <t>2. Angulo L 2"x2"x3/16": ninguna tienda en linea del Peru lo publica en soles; solo se vende por pedido a distribuidores. Por eso se propone el L 1 1/2"x1 1/2"x1/8" (hoja 2 ANGULOS).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8" customHeight="1">
      <c r="A33" s="3" t="inlineStr">
        <is>
          <t>3. Piedra chancada 1/2": en Tarapoto se publica la de 3/4" (S/ 70.00 el m3, Agregados Tarapoto, Morales); la de 1/2" debe cotizarse. En la tapa (8 cm) su incidencia es menor de S/ 2.00.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8" customHeight="1">
      <c r="A34" s="3" t="inlineStr">
        <is>
          <t>4. Arena (Agregados Tarapoto): se tomo el precio publicado como precio con IGV; si el proveedor no emite factura, usar S/ 48.00 directo (celda H11 = 1.00).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8" customHeight="1">
      <c r="A35" s="3" t="inlineStr">
        <is>
          <t>5. Lija y thinner reemplazan al global "Lija y thinner" de la ACU actual (ver DESAGREGADO_LIJA_THINNER_TAPA_REGISTRO_HOGAR_REFUGIO.xlsx).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8" customHeight="1">
      <c r="A36" s="3" t="inlineStr">
        <is>
          <t>6. Mano de obra: el jornal basico 2026 es oficial; el costo hora-hombre con beneficios sociales de la planilla (30.42 / 22.95 / 20.79) no se cambia en esta propuesta.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</sheetData>
  <mergeCells count="10">
    <mergeCell ref="A31:N31"/>
    <mergeCell ref="A3:N3"/>
    <mergeCell ref="A34:N34"/>
    <mergeCell ref="A35:N35"/>
    <mergeCell ref="A30:N30"/>
    <mergeCell ref="A2:N2"/>
    <mergeCell ref="A33:N33"/>
    <mergeCell ref="A32:N32"/>
    <mergeCell ref="A36:N36"/>
    <mergeCell ref="A1:N1"/>
  </mergeCells>
  <hyperlinks>
    <hyperlink xmlns:r="http://schemas.openxmlformats.org/officeDocument/2006/relationships" ref="M6" r:id="rId1"/>
    <hyperlink xmlns:r="http://schemas.openxmlformats.org/officeDocument/2006/relationships" ref="M7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  <hyperlink xmlns:r="http://schemas.openxmlformats.org/officeDocument/2006/relationships" ref="M12" r:id="rId6"/>
    <hyperlink xmlns:r="http://schemas.openxmlformats.org/officeDocument/2006/relationships" ref="M13" r:id="rId7"/>
    <hyperlink xmlns:r="http://schemas.openxmlformats.org/officeDocument/2006/relationships" ref="M14" r:id="rId8"/>
    <hyperlink xmlns:r="http://schemas.openxmlformats.org/officeDocument/2006/relationships" ref="M15" r:id="rId9"/>
    <hyperlink xmlns:r="http://schemas.openxmlformats.org/officeDocument/2006/relationships" ref="M16" r:id="rId10"/>
    <hyperlink xmlns:r="http://schemas.openxmlformats.org/officeDocument/2006/relationships" ref="M17" r:id="rId11"/>
    <hyperlink xmlns:r="http://schemas.openxmlformats.org/officeDocument/2006/relationships" ref="M18" r:id="rId12"/>
    <hyperlink xmlns:r="http://schemas.openxmlformats.org/officeDocument/2006/relationships" ref="M19" r:id="rId13"/>
    <hyperlink xmlns:r="http://schemas.openxmlformats.org/officeDocument/2006/relationships" ref="M20" r:id="rId14"/>
    <hyperlink xmlns:r="http://schemas.openxmlformats.org/officeDocument/2006/relationships" ref="M21" r:id="rId15"/>
    <hyperlink xmlns:r="http://schemas.openxmlformats.org/officeDocument/2006/relationships" ref="M22" r:id="rId16"/>
    <hyperlink xmlns:r="http://schemas.openxmlformats.org/officeDocument/2006/relationships" ref="M23" r:id="rId17"/>
    <hyperlink xmlns:r="http://schemas.openxmlformats.org/officeDocument/2006/relationships" ref="M24" r:id="rId18"/>
    <hyperlink xmlns:r="http://schemas.openxmlformats.org/officeDocument/2006/relationships" ref="M26" r:id="rId19"/>
    <hyperlink xmlns:r="http://schemas.openxmlformats.org/officeDocument/2006/relationships" ref="M27" r:id="rId20"/>
    <hyperlink xmlns:r="http://schemas.openxmlformats.org/officeDocument/2006/relationships" ref="M28" r:id="rId21"/>
  </hyperlink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1" customWidth="1" min="3" max="3"/>
    <col width="13" customWidth="1" min="4" max="4"/>
    <col width="13" customWidth="1" min="5" max="5"/>
    <col width="13" customWidth="1" min="6" max="6"/>
    <col width="16" customWidth="1" min="7" max="7"/>
    <col width="52" customWidth="1" min="8" max="8"/>
  </cols>
  <sheetData>
    <row r="1">
      <c r="A1" s="1" t="inlineStr">
        <is>
          <t>PROPUESTA DE ANGULOS PARA MARCO Y CONTRAMARCO - TAPA DE REGISTRO 0.68 x 0.68 x 0.08 (DD-01, DD-02, DP-06B)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PROYECTO: HOGAR DE REFUGIO TEMPORAL - MUJERES VIOLENTADAS, DISTRITO DE MORALES, SAN MARTIN - CUI N.° 2675514</t>
        </is>
      </c>
      <c r="B2" s="2" t="n"/>
      <c r="C2" s="2" t="n"/>
      <c r="D2" s="2" t="n"/>
      <c r="E2" s="2" t="n"/>
      <c r="F2" s="2" t="n"/>
      <c r="G2" s="2" t="n"/>
      <c r="H2" s="2" t="n"/>
    </row>
    <row r="3" ht="42" customHeight="1">
      <c r="A3" s="3" t="inlineStr">
        <is>
          <t>Los 10 registros (RS-01 a RS-07, CL y 2 en CC) estan fuera del ingreso vehicular OE-01 (prog. 0+026.32 a 0+031.33) y del porton de motos (0+039.04 a 0+041.04), bajo vereda y jardin: carga peatonal (E.020). El RS-03 (0+032.50) y el RS-04 (0+042.68) son los mas cercanos a los cruces.</t>
        </is>
      </c>
      <c r="B3" s="2" t="n"/>
      <c r="C3" s="2" t="n"/>
      <c r="D3" s="2" t="n"/>
      <c r="E3" s="2" t="n"/>
      <c r="F3" s="2" t="n"/>
      <c r="G3" s="2" t="n"/>
      <c r="H3" s="2" t="n"/>
    </row>
    <row r="5">
      <c r="A5" s="19" t="inlineStr">
        <is>
          <t>1. ANGULOS COMERCIALES (barra de 6 m, ASTM A36)</t>
        </is>
      </c>
      <c r="B5" s="2" t="n"/>
      <c r="C5" s="2" t="n"/>
      <c r="D5" s="2" t="n"/>
      <c r="E5" s="2" t="n"/>
      <c r="F5" s="2" t="n"/>
      <c r="G5" s="2" t="n"/>
      <c r="H5" s="2" t="n"/>
    </row>
    <row r="6" ht="30" customHeight="1">
      <c r="A6" s="4" t="inlineStr">
        <is>
          <t>N°</t>
        </is>
      </c>
      <c r="B6" s="4" t="inlineStr">
        <is>
          <t>ANGULO</t>
        </is>
      </c>
      <c r="C6" s="4" t="inlineStr">
        <is>
          <t>PESO kg/m</t>
        </is>
      </c>
      <c r="D6" s="4" t="inlineStr">
        <is>
          <t>ALA mm</t>
        </is>
      </c>
      <c r="E6" s="4" t="inlineStr">
        <is>
          <t>ESPESOR mm</t>
        </is>
      </c>
      <c r="F6" s="4" t="inlineStr">
        <is>
          <t>PRECIO BARRA S/ (con IGV)</t>
        </is>
      </c>
      <c r="G6" s="4" t="inlineStr">
        <is>
          <t>S/ POR kg SIN IGV</t>
        </is>
      </c>
      <c r="H6" s="4" t="inlineStr">
        <is>
          <t>OBSERVACION</t>
        </is>
      </c>
    </row>
    <row r="7" ht="28" customHeight="1">
      <c r="A7" s="5" t="n">
        <v>1</v>
      </c>
      <c r="B7" s="3" t="inlineStr">
        <is>
          <t>L 1 1/2"x1 1/2"x1/8"</t>
        </is>
      </c>
      <c r="C7" s="6" t="n">
        <v>1.83</v>
      </c>
      <c r="D7" s="20" t="n">
        <v>38.1</v>
      </c>
      <c r="E7" s="9" t="n">
        <v>3.18</v>
      </c>
      <c r="F7" s="21">
        <f>'1 COTIZACION'!F6</f>
        <v/>
      </c>
      <c r="G7" s="8">
        <f>F7/1.18/(6*C7)</f>
        <v/>
      </c>
      <c r="H7" s="12" t="inlineStr">
        <is>
          <t>PROPUESTO para marco y contramarco: precio publicado (Sodimac Peru), 1 barra por tapa</t>
        </is>
      </c>
    </row>
    <row r="8" ht="28" customHeight="1">
      <c r="A8" s="5" t="n">
        <v>2</v>
      </c>
      <c r="B8" s="3" t="inlineStr">
        <is>
          <t>L 1"x1"x1/8"</t>
        </is>
      </c>
      <c r="C8" s="6" t="n">
        <v>1.19</v>
      </c>
      <c r="D8" s="20" t="n">
        <v>25.4</v>
      </c>
      <c r="E8" s="9" t="n">
        <v>3.18</v>
      </c>
      <c r="F8" s="21">
        <f>'1 COTIZACION'!F7</f>
        <v/>
      </c>
      <c r="G8" s="21">
        <f>F8/1.18/(6*C8)</f>
        <v/>
      </c>
      <c r="H8" s="3" t="inlineStr">
        <is>
          <t>Ala de 25 mm: asiento util de 15 mm con la holgura de 1 cm; no se recomienda</t>
        </is>
      </c>
    </row>
    <row r="9" ht="28" customHeight="1">
      <c r="A9" s="5" t="n">
        <v>3</v>
      </c>
      <c r="B9" s="3" t="inlineStr">
        <is>
          <t>L 2"x2"x1/8"</t>
        </is>
      </c>
      <c r="C9" s="6" t="n">
        <v>2.46</v>
      </c>
      <c r="D9" s="20" t="n">
        <v>50.8</v>
      </c>
      <c r="E9" s="9" t="n">
        <v>3.18</v>
      </c>
      <c r="F9" s="22" t="inlineStr">
        <is>
          <t>sin precio</t>
        </is>
      </c>
      <c r="G9" s="22" t="inlineStr">
        <is>
          <t>-</t>
        </is>
      </c>
      <c r="H9" s="3" t="inlineStr">
        <is>
          <t>Sin precio publicado en tiendas</t>
        </is>
      </c>
    </row>
    <row r="10" ht="28" customHeight="1">
      <c r="A10" s="5" t="n">
        <v>4</v>
      </c>
      <c r="B10" s="3" t="inlineStr">
        <is>
          <t>L 2"x2"x3/16" (actual contramarco)</t>
        </is>
      </c>
      <c r="C10" s="6" t="n">
        <v>3.63</v>
      </c>
      <c r="D10" s="20" t="n">
        <v>50.8</v>
      </c>
      <c r="E10" s="9" t="n">
        <v>4.76</v>
      </c>
      <c r="F10" s="22" t="inlineStr">
        <is>
          <t>sin precio</t>
        </is>
      </c>
      <c r="G10" s="22" t="inlineStr">
        <is>
          <t>-</t>
        </is>
      </c>
      <c r="H10" s="3" t="inlineStr">
        <is>
          <t>Sin precio publicado en tiendas; sobredimensionado para el asiento</t>
        </is>
      </c>
    </row>
    <row r="11" ht="28" customHeight="1">
      <c r="A11" s="5" t="n">
        <v>5</v>
      </c>
      <c r="B11" s="3" t="inlineStr">
        <is>
          <t>L 1 1/2"x1 1/2"x3/16"</t>
        </is>
      </c>
      <c r="C11" s="6" t="n">
        <v>2.68</v>
      </c>
      <c r="D11" s="20" t="n">
        <v>38.1</v>
      </c>
      <c r="E11" s="9" t="n">
        <v>4.76</v>
      </c>
      <c r="F11" s="22" t="inlineStr">
        <is>
          <t>sin precio</t>
        </is>
      </c>
      <c r="G11" s="22" t="inlineStr">
        <is>
          <t>-</t>
        </is>
      </c>
      <c r="H11" s="3" t="inlineStr">
        <is>
          <t>Sin precio publicado en tiendas</t>
        </is>
      </c>
    </row>
    <row r="13">
      <c r="A13" s="19" t="inlineStr">
        <is>
          <t>2. VERIFICACION DEL CONTRAMARCO CON L 1 1/2"x1 1/2"x1/8" (carga peatonal)</t>
        </is>
      </c>
      <c r="B13" s="2" t="n"/>
      <c r="C13" s="2" t="n"/>
      <c r="D13" s="2" t="n"/>
      <c r="E13" s="2" t="n"/>
      <c r="F13" s="2" t="n"/>
      <c r="G13" s="2" t="n"/>
      <c r="H13" s="2" t="n"/>
    </row>
    <row r="14" ht="30" customHeight="1">
      <c r="A14" s="4" t="inlineStr">
        <is>
          <t>N°</t>
        </is>
      </c>
      <c r="B14" s="4" t="inlineStr">
        <is>
          <t>CONCEPTO</t>
        </is>
      </c>
      <c r="C14" s="4" t="inlineStr">
        <is>
          <t>VALOR</t>
        </is>
      </c>
      <c r="D14" s="4" t="inlineStr">
        <is>
          <t>UND</t>
        </is>
      </c>
      <c r="E14" s="4" t="inlineStr"/>
      <c r="F14" s="4" t="inlineStr"/>
      <c r="G14" s="4" t="inlineStr"/>
      <c r="H14" s="4" t="inlineStr">
        <is>
          <t>SUSTENTO</t>
        </is>
      </c>
    </row>
    <row r="15" ht="26" customHeight="1">
      <c r="A15" s="5" t="n">
        <v>1</v>
      </c>
      <c r="B15" s="3" t="inlineStr">
        <is>
          <t>Lado de la tapa</t>
        </is>
      </c>
      <c r="C15" s="6" t="n">
        <v>0.68</v>
      </c>
      <c r="D15" s="5" t="inlineStr">
        <is>
          <t>m</t>
        </is>
      </c>
      <c r="E15" s="5" t="n"/>
      <c r="F15" s="5" t="n"/>
      <c r="G15" s="5" t="n"/>
      <c r="H15" s="3" t="inlineStr">
        <is>
          <t>DP-06B</t>
        </is>
      </c>
    </row>
    <row r="16" ht="26" customHeight="1">
      <c r="A16" s="5" t="n">
        <v>2</v>
      </c>
      <c r="B16" s="3" t="inlineStr">
        <is>
          <t>Espesor de la tapa</t>
        </is>
      </c>
      <c r="C16" s="6" t="n">
        <v>0.08</v>
      </c>
      <c r="D16" s="5" t="inlineStr">
        <is>
          <t>m</t>
        </is>
      </c>
      <c r="E16" s="5" t="n"/>
      <c r="F16" s="5" t="n"/>
      <c r="G16" s="5" t="n"/>
      <c r="H16" s="3" t="inlineStr">
        <is>
          <t>DP-06B</t>
        </is>
      </c>
    </row>
    <row r="17" ht="26" customHeight="1">
      <c r="A17" s="5" t="n">
        <v>3</v>
      </c>
      <c r="B17" s="3" t="inlineStr">
        <is>
          <t>Peso de la tapa de concreto armado</t>
        </is>
      </c>
      <c r="C17" s="21">
        <f>C15^2*C16*2400</f>
        <v/>
      </c>
      <c r="D17" s="5" t="inlineStr">
        <is>
          <t>kg</t>
        </is>
      </c>
      <c r="E17" s="5" t="n"/>
      <c r="F17" s="5" t="n"/>
      <c r="G17" s="5" t="n"/>
      <c r="H17" s="3" t="inlineStr">
        <is>
          <t>peso unitario 2400 kg/m3 (E.020)</t>
        </is>
      </c>
    </row>
    <row r="18" ht="26" customHeight="1">
      <c r="A18" s="5" t="n">
        <v>4</v>
      </c>
      <c r="B18" s="3" t="inlineStr">
        <is>
          <t>Peso del marco L 1 1/2"x1/8"</t>
        </is>
      </c>
      <c r="C18" s="21">
        <f>4*C15*C7</f>
        <v/>
      </c>
      <c r="D18" s="5" t="inlineStr">
        <is>
          <t>kg</t>
        </is>
      </c>
      <c r="E18" s="5" t="n"/>
      <c r="F18" s="5" t="n"/>
      <c r="G18" s="5" t="n"/>
      <c r="H18" s="3" t="inlineStr">
        <is>
          <t>4 x 0.68 x 1.83</t>
        </is>
      </c>
    </row>
    <row r="19" ht="26" customHeight="1">
      <c r="A19" s="5" t="n">
        <v>5</v>
      </c>
      <c r="B19" s="3" t="inlineStr">
        <is>
          <t>Carga muerta D</t>
        </is>
      </c>
      <c r="C19" s="21">
        <f>C17+C18</f>
        <v/>
      </c>
      <c r="D19" s="5" t="inlineStr">
        <is>
          <t>kg</t>
        </is>
      </c>
      <c r="E19" s="5" t="n"/>
      <c r="F19" s="5" t="n"/>
      <c r="G19" s="5" t="n"/>
      <c r="H19" s="3" t="inlineStr"/>
    </row>
    <row r="20" ht="26" customHeight="1">
      <c r="A20" s="5" t="n">
        <v>6</v>
      </c>
      <c r="B20" s="3" t="inlineStr">
        <is>
          <t>Sobrecarga peatonal</t>
        </is>
      </c>
      <c r="C20" s="6" t="n">
        <v>500</v>
      </c>
      <c r="D20" s="5" t="inlineStr">
        <is>
          <t>kg/m2</t>
        </is>
      </c>
      <c r="E20" s="5" t="n"/>
      <c r="F20" s="5" t="n"/>
      <c r="G20" s="5" t="n"/>
      <c r="H20" s="3" t="inlineStr">
        <is>
          <t>E.020, veredas y pasadizos</t>
        </is>
      </c>
    </row>
    <row r="21" ht="26" customHeight="1">
      <c r="A21" s="5" t="n">
        <v>7</v>
      </c>
      <c r="B21" s="3" t="inlineStr">
        <is>
          <t>Carga viva L sobre la tapa</t>
        </is>
      </c>
      <c r="C21" s="21">
        <f>C20*C15^2</f>
        <v/>
      </c>
      <c r="D21" s="5" t="inlineStr">
        <is>
          <t>kg</t>
        </is>
      </c>
      <c r="E21" s="5" t="n"/>
      <c r="F21" s="5" t="n"/>
      <c r="G21" s="5" t="n"/>
      <c r="H21" s="3" t="inlineStr"/>
    </row>
    <row r="22" ht="26" customHeight="1">
      <c r="A22" s="5" t="n">
        <v>8</v>
      </c>
      <c r="B22" s="3" t="inlineStr">
        <is>
          <t>Carga ultima Wu = 1.4 D + 1.7 L</t>
        </is>
      </c>
      <c r="C22" s="21">
        <f>1.4*C19+1.7*C21</f>
        <v/>
      </c>
      <c r="D22" s="5" t="inlineStr">
        <is>
          <t>kg</t>
        </is>
      </c>
      <c r="E22" s="5" t="n"/>
      <c r="F22" s="5" t="n"/>
      <c r="G22" s="5" t="n"/>
      <c r="H22" s="3" t="inlineStr">
        <is>
          <t>E.060</t>
        </is>
      </c>
    </row>
    <row r="23" ht="26" customHeight="1">
      <c r="A23" s="5" t="n">
        <v>9</v>
      </c>
      <c r="B23" s="3" t="inlineStr">
        <is>
          <t>Holgura entre tapa y abertura</t>
        </is>
      </c>
      <c r="C23" s="6" t="n">
        <v>0.01</v>
      </c>
      <c r="D23" s="5" t="inlineStr">
        <is>
          <t>m</t>
        </is>
      </c>
      <c r="E23" s="5" t="n"/>
      <c r="F23" s="5" t="n"/>
      <c r="G23" s="5" t="n"/>
      <c r="H23" s="3" t="inlineStr">
        <is>
          <t>DD-01, 1 cm por lado</t>
        </is>
      </c>
    </row>
    <row r="24" ht="26" customHeight="1">
      <c r="A24" s="5" t="n">
        <v>10</v>
      </c>
      <c r="B24" s="3" t="inlineStr">
        <is>
          <t>Ancho de asiento util = ala - holgura</t>
        </is>
      </c>
      <c r="C24" s="21">
        <f>D7/1000-C23</f>
        <v/>
      </c>
      <c r="D24" s="5" t="inlineStr">
        <is>
          <t>m</t>
        </is>
      </c>
      <c r="E24" s="5" t="n"/>
      <c r="F24" s="5" t="n"/>
      <c r="G24" s="5" t="n"/>
      <c r="H24" s="3" t="inlineStr">
        <is>
          <t>el ala horizontal apoya entera sobre el borde engrosado de concreto (corte B de DD-01)</t>
        </is>
      </c>
    </row>
    <row r="25" ht="26" customHeight="1">
      <c r="A25" s="5" t="n">
        <v>11</v>
      </c>
      <c r="B25" s="3" t="inlineStr">
        <is>
          <t>Area de apoyo = 4 x 0.68 x ancho util</t>
        </is>
      </c>
      <c r="C25" s="21">
        <f>4*C15*C24*10000</f>
        <v/>
      </c>
      <c r="D25" s="5" t="inlineStr">
        <is>
          <t>cm2</t>
        </is>
      </c>
      <c r="E25" s="5" t="n"/>
      <c r="F25" s="5" t="n"/>
      <c r="G25" s="5" t="n"/>
      <c r="H25" s="3" t="inlineStr"/>
    </row>
    <row r="26" ht="26" customHeight="1">
      <c r="A26" s="5" t="n">
        <v>12</v>
      </c>
      <c r="B26" s="3" t="inlineStr">
        <is>
          <t>Esfuerzo de aplastamiento sobre el concreto</t>
        </is>
      </c>
      <c r="C26" s="21">
        <f>C22/C25</f>
        <v/>
      </c>
      <c r="D26" s="5" t="inlineStr">
        <is>
          <t>kg/cm2</t>
        </is>
      </c>
      <c r="E26" s="5" t="n"/>
      <c r="F26" s="5" t="n"/>
      <c r="G26" s="5" t="n"/>
      <c r="H26" s="3" t="inlineStr"/>
    </row>
    <row r="27" ht="26" customHeight="1">
      <c r="A27" s="5" t="n">
        <v>13</v>
      </c>
      <c r="B27" s="3" t="inlineStr">
        <is>
          <t>Resistencia al aplastamiento 0.65 x 0.85 x f'c (f'c = 210)</t>
        </is>
      </c>
      <c r="C27" s="21">
        <f>0.65*0.85*210</f>
        <v/>
      </c>
      <c r="D27" s="5" t="inlineStr">
        <is>
          <t>kg/cm2</t>
        </is>
      </c>
      <c r="E27" s="5" t="n"/>
      <c r="F27" s="5" t="n"/>
      <c r="G27" s="5" t="n"/>
      <c r="H27" s="3" t="inlineStr">
        <is>
          <t>E.060 10.17</t>
        </is>
      </c>
    </row>
    <row r="28" ht="26" customHeight="1">
      <c r="A28" s="5" t="n">
        <v>14</v>
      </c>
      <c r="B28" s="3" t="inlineStr">
        <is>
          <t>Verificacion</t>
        </is>
      </c>
      <c r="C28" s="8">
        <f>IF(C26&lt;C27,"CUMPLE","NO CUMPLE")</f>
        <v/>
      </c>
      <c r="D28" s="5" t="inlineStr">
        <is>
          <t>-</t>
        </is>
      </c>
      <c r="E28" s="5" t="n"/>
      <c r="F28" s="5" t="n"/>
      <c r="G28" s="5" t="n"/>
      <c r="H28" s="3" t="inlineStr"/>
    </row>
    <row r="29" ht="26" customHeight="1">
      <c r="A29" s="5" t="n">
        <v>15</v>
      </c>
      <c r="B29" s="3" t="inlineStr">
        <is>
          <t>Luz libre del registro = 0.70 - 2 x ala</t>
        </is>
      </c>
      <c r="C29" s="21">
        <f>0.70-2*D7/1000</f>
        <v/>
      </c>
      <c r="D29" s="5" t="inlineStr">
        <is>
          <t>m</t>
        </is>
      </c>
      <c r="E29" s="5" t="n"/>
      <c r="F29" s="5" t="n"/>
      <c r="G29" s="5" t="n"/>
      <c r="H29" s="3" t="inlineStr">
        <is>
          <t>con L 2" era 0.60 m: mejora el acceso para limpieza</t>
        </is>
      </c>
    </row>
    <row r="30" ht="26" customHeight="1">
      <c r="A30" s="5" t="n">
        <v>16</v>
      </c>
      <c r="B30" s="3" t="inlineStr">
        <is>
          <t>Longitud por tapa: contramarco 4 x 0.706 + marco 4 x 0.68</t>
        </is>
      </c>
      <c r="C30" s="21">
        <f>4*(0.70+2*E7/1000)+4*0.68</f>
        <v/>
      </c>
      <c r="D30" s="5" t="inlineStr">
        <is>
          <t>m</t>
        </is>
      </c>
      <c r="E30" s="5" t="n"/>
      <c r="F30" s="5" t="n"/>
      <c r="G30" s="5" t="n"/>
      <c r="H30" s="3" t="inlineStr">
        <is>
          <t>cabe en 1 barra de 6.00 m (un solo producto para marco y contramarco)</t>
        </is>
      </c>
    </row>
    <row r="31" ht="26" customHeight="1">
      <c r="A31" s="5" t="n">
        <v>17</v>
      </c>
      <c r="B31" s="3" t="inlineStr">
        <is>
          <t>Barras de 6 m por tapa</t>
        </is>
      </c>
      <c r="C31" s="21">
        <f>ROUNDUP(C30/6,0)</f>
        <v/>
      </c>
      <c r="D31" s="5" t="inlineStr">
        <is>
          <t>und</t>
        </is>
      </c>
      <c r="E31" s="5" t="n"/>
      <c r="F31" s="5" t="n"/>
      <c r="G31" s="5" t="n"/>
      <c r="H31" s="3" t="inlineStr"/>
    </row>
    <row r="33">
      <c r="A33" s="19" t="inlineStr">
        <is>
          <t>3. CONCLUSION</t>
        </is>
      </c>
      <c r="B33" s="2" t="n"/>
      <c r="C33" s="2" t="n"/>
      <c r="D33" s="2" t="n"/>
      <c r="E33" s="2" t="n"/>
      <c r="F33" s="2" t="n"/>
      <c r="G33" s="2" t="n"/>
      <c r="H33" s="2" t="n"/>
    </row>
    <row r="34" ht="40" customHeight="1">
      <c r="A34" s="3" t="inlineStr">
        <is>
          <t>El ala horizontal del contramarco descansa entera sobre el concreto del borde engrosado, de modo que el angulo no trabaja a flexion: protege la arista y sirve de asiento. El espesor de 3/16" no aporta resistencia necesaria; con 1/8" el esfuerzo de apoyo es muy inferior al admisible.</t>
        </is>
      </c>
      <c r="B34" s="2" t="n"/>
      <c r="C34" s="2" t="n"/>
      <c r="D34" s="2" t="n"/>
      <c r="E34" s="2" t="n"/>
      <c r="F34" s="2" t="n"/>
      <c r="G34" s="2" t="n"/>
      <c r="H34" s="2" t="n"/>
    </row>
    <row r="35" ht="40" customHeight="1">
      <c r="A35" s="3" t="inlineStr">
        <is>
          <t>Se propone un solo angulo L 1 1/2"x1 1/2"x1/8" para marco y contramarco: precio publicado, una barra de 6 m por tapa, menos peso (10.10 kg en lugar de 15.14 kg por tapa) y mayor luz libre.</t>
        </is>
      </c>
      <c r="B35" s="2" t="n"/>
      <c r="C35" s="2" t="n"/>
      <c r="D35" s="2" t="n"/>
      <c r="E35" s="2" t="n"/>
      <c r="F35" s="2" t="n"/>
      <c r="G35" s="2" t="n"/>
      <c r="H35" s="2" t="n"/>
    </row>
    <row r="36" ht="40" customHeight="1">
      <c r="A36" s="3" t="inlineStr">
        <is>
          <t>Al usar ala de 1 1/2", el asiento de concreto bajo el ala horizontal pasa de 50 mm a 38 mm. Los anclajes 3/8" se sueldan al ala vertical con cordon de 1/8" (espesor del angulo 3.2 mm).</t>
        </is>
      </c>
      <c r="B36" s="2" t="n"/>
      <c r="C36" s="2" t="n"/>
      <c r="D36" s="2" t="n"/>
      <c r="E36" s="2" t="n"/>
      <c r="F36" s="2" t="n"/>
      <c r="G36" s="2" t="n"/>
      <c r="H36" s="2" t="n"/>
    </row>
    <row r="37" ht="40" customHeight="1">
      <c r="A37" s="3" t="inlineStr">
        <is>
          <t>Si se aprueba, cambian: COLECTOR PARAMETROS (fila 36, 38 y 40), COLECTOR REGISTROS Y TAPAS (fila 23), DESAGREGADO TAPA REGISTRO, ACU TAPA REGISTRO, la descripcion de la planilla general (fila 317) y las laminas DD-01, DD-02, DP-06B y cuadros. Angulos de la partida: de 151.42 kg a 101.02 kg (10 tapas).</t>
        </is>
      </c>
      <c r="B37" s="2" t="n"/>
      <c r="C37" s="2" t="n"/>
      <c r="D37" s="2" t="n"/>
      <c r="E37" s="2" t="n"/>
      <c r="F37" s="2" t="n"/>
      <c r="G37" s="2" t="n"/>
      <c r="H37" s="2" t="n"/>
    </row>
  </sheetData>
  <mergeCells count="10">
    <mergeCell ref="A1:H1"/>
    <mergeCell ref="A3:H3"/>
    <mergeCell ref="A35:H35"/>
    <mergeCell ref="A2:H2"/>
    <mergeCell ref="A13:H13"/>
    <mergeCell ref="A33:H33"/>
    <mergeCell ref="A36:H36"/>
    <mergeCell ref="A5:H5"/>
    <mergeCell ref="A37:H37"/>
    <mergeCell ref="A34:H34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workbookViewId="0">
      <pane xSplit="2" ySplit="15" topLeftCell="C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7" customWidth="1" min="3" max="3"/>
    <col width="12" customWidth="1" min="4" max="4"/>
    <col width="11" customWidth="1" min="5" max="5"/>
    <col width="12" customWidth="1" min="6" max="6"/>
    <col width="12" customWidth="1" min="7" max="7"/>
    <col width="11" customWidth="1" min="8" max="8"/>
    <col width="12" customWidth="1" min="9" max="9"/>
    <col width="34" customWidth="1" min="10" max="10"/>
  </cols>
  <sheetData>
    <row r="1">
      <c r="A1" s="1" t="inlineStr">
        <is>
          <t>ACU TAPA DE REGISTRO 0.68 x 0.68 C/MARCO Y CONTRAMARCO - ACTUAL FRENTE A PROPUESTA CON PRECIOS COTIZADOS (por und de tapa)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PROYECTO: HOGAR DE REFUGIO TEMPORAL - MUJERES VIOLENTADAS, DISTRITO DE MORALES, SAN MARTIN - CUI N.° 2675514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42" customHeight="1">
      <c r="A3" s="3" t="inlineStr">
        <is>
          <t>Actual = ACU TAPA REGISTRO de la planilla vigente. Propuesta = marco y contramarco con L 1 1/2"x1 1/2"x1/8", lija y thinner desagregados y precios de la hoja 1 COTIZACION. Ratios de COLECTOR INSUMOS sin cambio. Mano de obra con el costo hora-hombre de la planilla.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5">
      <c r="A5" s="19" t="inlineStr">
        <is>
          <t>PARAMETROS DE LA PROPUESTA (por tapa)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5" t="n">
        <v>1</v>
      </c>
      <c r="B6" s="3" t="inlineStr">
        <is>
          <t>Perimetro del contramarco (4 x 0.70)</t>
        </is>
      </c>
      <c r="C6" s="5" t="inlineStr">
        <is>
          <t>m</t>
        </is>
      </c>
      <c r="D6" s="23" t="n">
        <v>2.8</v>
      </c>
      <c r="E6" s="5" t="n"/>
      <c r="F6" s="5" t="n"/>
      <c r="G6" s="5" t="n"/>
      <c r="H6" s="5" t="n"/>
      <c r="I6" s="5" t="n"/>
      <c r="J6" s="5" t="n"/>
    </row>
    <row r="7">
      <c r="A7" s="5" t="n">
        <v>2</v>
      </c>
      <c r="B7" s="3" t="inlineStr">
        <is>
          <t>Perimetro del marco (4 x 0.68)</t>
        </is>
      </c>
      <c r="C7" s="5" t="inlineStr">
        <is>
          <t>m</t>
        </is>
      </c>
      <c r="D7" s="23" t="n">
        <v>2.72</v>
      </c>
      <c r="E7" s="5" t="n"/>
      <c r="F7" s="5" t="n"/>
      <c r="G7" s="5" t="n"/>
      <c r="H7" s="5" t="n"/>
      <c r="I7" s="5" t="n"/>
      <c r="J7" s="5" t="n"/>
    </row>
    <row r="8">
      <c r="A8" s="5" t="n">
        <v>3</v>
      </c>
      <c r="B8" s="3" t="inlineStr">
        <is>
          <t>Peso del angulo L 1 1/2"x1 1/2"x1/8"</t>
        </is>
      </c>
      <c r="C8" s="5" t="inlineStr">
        <is>
          <t>kg/m</t>
        </is>
      </c>
      <c r="D8" s="24">
        <f>'2 ANGULOS'!C7</f>
        <v/>
      </c>
      <c r="E8" s="5" t="n"/>
      <c r="F8" s="5" t="n"/>
      <c r="G8" s="5" t="n"/>
      <c r="H8" s="5" t="n"/>
      <c r="I8" s="5" t="n"/>
      <c r="J8" s="5" t="n"/>
    </row>
    <row r="9">
      <c r="A9" s="5" t="n">
        <v>4</v>
      </c>
      <c r="B9" s="3" t="inlineStr">
        <is>
          <t>Angulos por tapa</t>
        </is>
      </c>
      <c r="C9" s="5" t="inlineStr">
        <is>
          <t>kg</t>
        </is>
      </c>
      <c r="D9" s="24">
        <f>(D6+D7)*D8</f>
        <v/>
      </c>
      <c r="E9" s="5" t="n"/>
      <c r="F9" s="5" t="n"/>
      <c r="G9" s="5" t="n"/>
      <c r="H9" s="5" t="n"/>
      <c r="I9" s="5" t="n"/>
      <c r="J9" s="5" t="n"/>
    </row>
    <row r="10">
      <c r="A10" s="5" t="n">
        <v>5</v>
      </c>
      <c r="B10" s="3" t="inlineStr">
        <is>
          <t>Desarrollo pintado del angulo 1 1/2" (4 caras)</t>
        </is>
      </c>
      <c r="C10" s="5" t="inlineStr">
        <is>
          <t>m2/m</t>
        </is>
      </c>
      <c r="D10" s="23" t="n">
        <v>0.152</v>
      </c>
      <c r="E10" s="5" t="n"/>
      <c r="F10" s="5" t="n"/>
      <c r="G10" s="5" t="n"/>
      <c r="H10" s="5" t="n"/>
      <c r="I10" s="5" t="n"/>
      <c r="J10" s="5" t="n"/>
    </row>
    <row r="11">
      <c r="A11" s="5" t="n">
        <v>6</v>
      </c>
      <c r="B11" s="3" t="inlineStr">
        <is>
          <t>Area pintada por tapa</t>
        </is>
      </c>
      <c r="C11" s="5" t="inlineStr">
        <is>
          <t>m2</t>
        </is>
      </c>
      <c r="D11" s="24">
        <f>(D6+D7)*D10</f>
        <v/>
      </c>
      <c r="E11" s="5" t="n"/>
      <c r="F11" s="5" t="n"/>
      <c r="G11" s="5" t="n"/>
      <c r="H11" s="5" t="n"/>
      <c r="I11" s="5" t="n"/>
      <c r="J11" s="5" t="n"/>
    </row>
    <row r="12">
      <c r="A12" s="5" t="n">
        <v>7</v>
      </c>
      <c r="B12" s="3" t="inlineStr">
        <is>
          <t>Concreto por tapa</t>
        </is>
      </c>
      <c r="C12" s="5" t="inlineStr">
        <is>
          <t>m3</t>
        </is>
      </c>
      <c r="D12" s="23" t="n">
        <v>0.036992</v>
      </c>
      <c r="E12" s="5" t="n"/>
      <c r="F12" s="5" t="n"/>
      <c r="G12" s="5" t="n"/>
      <c r="H12" s="5" t="n"/>
      <c r="I12" s="5" t="n"/>
      <c r="J12" s="5" t="n"/>
    </row>
    <row r="13">
      <c r="A13" s="5" t="n">
        <v>8</v>
      </c>
      <c r="B13" s="3" t="inlineStr">
        <is>
          <t>Acero corrugado por tapa</t>
        </is>
      </c>
      <c r="C13" s="5" t="inlineStr">
        <is>
          <t>kg</t>
        </is>
      </c>
      <c r="D13" s="23" t="n">
        <v>17.3376</v>
      </c>
      <c r="E13" s="5" t="n"/>
      <c r="F13" s="5" t="n"/>
      <c r="G13" s="5" t="n"/>
      <c r="H13" s="5" t="n"/>
      <c r="I13" s="5" t="n"/>
      <c r="J13" s="5" t="n"/>
    </row>
    <row r="15" ht="32" customHeight="1">
      <c r="A15" s="4" t="inlineStr">
        <is>
          <t>N°</t>
        </is>
      </c>
      <c r="B15" s="4" t="inlineStr">
        <is>
          <t>RECURSO</t>
        </is>
      </c>
      <c r="C15" s="4" t="inlineStr">
        <is>
          <t>UND</t>
        </is>
      </c>
      <c r="D15" s="4" t="inlineStr">
        <is>
          <t>CANT. ACTUAL</t>
        </is>
      </c>
      <c r="E15" s="4" t="inlineStr">
        <is>
          <t>PRECIO ACTUAL</t>
        </is>
      </c>
      <c r="F15" s="4" t="inlineStr">
        <is>
          <t>PARCIAL ACTUAL</t>
        </is>
      </c>
      <c r="G15" s="4" t="inlineStr">
        <is>
          <t>CANT. PROPUESTA</t>
        </is>
      </c>
      <c r="H15" s="4" t="inlineStr">
        <is>
          <t>PRECIO COTIZADO</t>
        </is>
      </c>
      <c r="I15" s="4" t="inlineStr">
        <is>
          <t>PARCIAL PROPUESTA</t>
        </is>
      </c>
      <c r="J15" s="4" t="inlineStr">
        <is>
          <t>OBSERVACION</t>
        </is>
      </c>
    </row>
    <row r="16">
      <c r="A16" s="19" t="inlineStr">
        <is>
          <t>MANO DE OBRA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5" t="n">
        <v>1</v>
      </c>
      <c r="B17" s="3" t="inlineStr">
        <is>
          <t>Operario</t>
        </is>
      </c>
      <c r="C17" s="5" t="inlineStr">
        <is>
          <t>hh</t>
        </is>
      </c>
      <c r="D17" s="25" t="n">
        <v>3.4912928</v>
      </c>
      <c r="E17" s="9" t="n">
        <v>30.42</v>
      </c>
      <c r="F17" s="9">
        <f>D17*N(E17)</f>
        <v/>
      </c>
      <c r="G17" s="24">
        <f>$D$9*0.1+$D$12*0.8+$D$13*0.032+$D$11*0.4+1</f>
        <v/>
      </c>
      <c r="H17" s="21">
        <f>'1 COTIZACION'!I26</f>
        <v/>
      </c>
      <c r="I17" s="9">
        <f>G17*N(H17)</f>
        <v/>
      </c>
      <c r="J17" s="3" t="inlineStr">
        <is>
          <t>angulos 0.1 + concreto 0.8 + acero 0.032 + pintura 0.4 + colocacion 1</t>
        </is>
      </c>
    </row>
    <row r="18">
      <c r="A18" s="5" t="n">
        <v>2</v>
      </c>
      <c r="B18" s="3" t="inlineStr">
        <is>
          <t>Oficial</t>
        </is>
      </c>
      <c r="C18" s="5" t="inlineStr">
        <is>
          <t>hh</t>
        </is>
      </c>
      <c r="D18" s="25" t="n">
        <v>2.0985568</v>
      </c>
      <c r="E18" s="9" t="n">
        <v>22.95</v>
      </c>
      <c r="F18" s="9">
        <f>D18*N(E18)</f>
        <v/>
      </c>
      <c r="G18" s="24">
        <f>$D$9*0.1+$D$12*0.8+$D$13*0.032</f>
        <v/>
      </c>
      <c r="H18" s="21">
        <f>'1 COTIZACION'!I27</f>
        <v/>
      </c>
      <c r="I18" s="9">
        <f>G18*N(H18)</f>
        <v/>
      </c>
      <c r="J18" s="3" t="inlineStr"/>
    </row>
    <row r="19">
      <c r="A19" s="5" t="n">
        <v>3</v>
      </c>
      <c r="B19" s="3" t="inlineStr">
        <is>
          <t>Peon</t>
        </is>
      </c>
      <c r="C19" s="5" t="inlineStr">
        <is>
          <t>hh</t>
        </is>
      </c>
      <c r="D19" s="25" t="n">
        <v>1.2367488</v>
      </c>
      <c r="E19" s="9" t="n">
        <v>20.79</v>
      </c>
      <c r="F19" s="9">
        <f>D19*N(E19)</f>
        <v/>
      </c>
      <c r="G19" s="24">
        <f>$D$12*6.4+1</f>
        <v/>
      </c>
      <c r="H19" s="21">
        <f>'1 COTIZACION'!I28</f>
        <v/>
      </c>
      <c r="I19" s="9">
        <f>G19*N(H19)</f>
        <v/>
      </c>
      <c r="J19" s="3" t="inlineStr"/>
    </row>
    <row r="20">
      <c r="A20" s="19" t="inlineStr">
        <is>
          <t>MATERIALES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5" t="n">
        <v>4</v>
      </c>
      <c r="B21" s="3" t="inlineStr">
        <is>
          <t>Angulo L 2"x2"x3/16"</t>
        </is>
      </c>
      <c r="C21" s="5" t="inlineStr">
        <is>
          <t>kg</t>
        </is>
      </c>
      <c r="D21" s="25" t="n">
        <v>10.6722</v>
      </c>
      <c r="E21" s="9" t="n">
        <v>4.66</v>
      </c>
      <c r="F21" s="9">
        <f>D21*N(E21)</f>
        <v/>
      </c>
      <c r="G21" s="23" t="n">
        <v>0</v>
      </c>
      <c r="H21" s="21" t="n"/>
      <c r="I21" s="9">
        <f>G21*N(H21)</f>
        <v/>
      </c>
      <c r="J21" s="3" t="inlineStr">
        <is>
          <t>se elimina</t>
        </is>
      </c>
    </row>
    <row r="22">
      <c r="A22" s="5" t="n">
        <v>5</v>
      </c>
      <c r="B22" s="3" t="inlineStr">
        <is>
          <t>Angulo L 1 1/2"x1 1/2"x1/8"</t>
        </is>
      </c>
      <c r="C22" s="5" t="inlineStr">
        <is>
          <t>kg</t>
        </is>
      </c>
      <c r="D22" s="25" t="n">
        <v>5.22648</v>
      </c>
      <c r="E22" s="9" t="n">
        <v>4.66</v>
      </c>
      <c r="F22" s="9">
        <f>D22*N(E22)</f>
        <v/>
      </c>
      <c r="G22" s="24">
        <f>$D$9*1.05</f>
        <v/>
      </c>
      <c r="H22" s="21">
        <f>'1 COTIZACION'!I6</f>
        <v/>
      </c>
      <c r="I22" s="9">
        <f>G22*N(H22)</f>
        <v/>
      </c>
      <c r="J22" s="3" t="inlineStr">
        <is>
          <t>marco + contramarco, 5 % de desperdicio</t>
        </is>
      </c>
    </row>
    <row r="23">
      <c r="A23" s="5" t="n">
        <v>6</v>
      </c>
      <c r="B23" s="3" t="inlineStr">
        <is>
          <t>Soldadura cellocord E6011 1/8"</t>
        </is>
      </c>
      <c r="C23" s="5" t="inlineStr">
        <is>
          <t>kg</t>
        </is>
      </c>
      <c r="D23" s="25" t="n">
        <v>0.454248</v>
      </c>
      <c r="E23" s="9" t="n">
        <v>13.56</v>
      </c>
      <c r="F23" s="9">
        <f>D23*N(E23)</f>
        <v/>
      </c>
      <c r="G23" s="24">
        <f>$D$9*0.03</f>
        <v/>
      </c>
      <c r="H23" s="21">
        <f>'1 COTIZACION'!I9</f>
        <v/>
      </c>
      <c r="I23" s="9">
        <f>G23*N(H23)</f>
        <v/>
      </c>
      <c r="J23" s="3" t="inlineStr"/>
    </row>
    <row r="24">
      <c r="A24" s="5" t="n">
        <v>7</v>
      </c>
      <c r="B24" s="3" t="inlineStr">
        <is>
          <t>Cemento Portland tipo I</t>
        </is>
      </c>
      <c r="C24" s="5" t="inlineStr">
        <is>
          <t>bol</t>
        </is>
      </c>
      <c r="D24" s="25" t="n">
        <v>0.35993216</v>
      </c>
      <c r="E24" s="9" t="n">
        <v>30.51</v>
      </c>
      <c r="F24" s="9">
        <f>D24*N(E24)</f>
        <v/>
      </c>
      <c r="G24" s="24">
        <f>$D$12*9.73</f>
        <v/>
      </c>
      <c r="H24" s="21">
        <f>'1 COTIZACION'!I10</f>
        <v/>
      </c>
      <c r="I24" s="9">
        <f>G24*N(H24)</f>
        <v/>
      </c>
      <c r="J24" s="3" t="inlineStr"/>
    </row>
    <row r="25">
      <c r="A25" s="5" t="n">
        <v>8</v>
      </c>
      <c r="B25" s="3" t="inlineStr">
        <is>
          <t>Arena gruesa</t>
        </is>
      </c>
      <c r="C25" s="5" t="inlineStr">
        <is>
          <t>m3</t>
        </is>
      </c>
      <c r="D25" s="25" t="n">
        <v>0.01923584</v>
      </c>
      <c r="E25" s="9" t="n">
        <v>50.85</v>
      </c>
      <c r="F25" s="9">
        <f>D25*N(E25)</f>
        <v/>
      </c>
      <c r="G25" s="24">
        <f>$D$12*0.52</f>
        <v/>
      </c>
      <c r="H25" s="21">
        <f>'1 COTIZACION'!I11</f>
        <v/>
      </c>
      <c r="I25" s="9">
        <f>G25*N(H25)</f>
        <v/>
      </c>
      <c r="J25" s="3" t="inlineStr"/>
    </row>
    <row r="26">
      <c r="A26" s="5" t="n">
        <v>9</v>
      </c>
      <c r="B26" s="3" t="inlineStr">
        <is>
          <t>Piedra chancada 1/2"</t>
        </is>
      </c>
      <c r="C26" s="5" t="inlineStr">
        <is>
          <t>m3</t>
        </is>
      </c>
      <c r="D26" s="25" t="n">
        <v>0.01960576</v>
      </c>
      <c r="E26" s="9" t="n">
        <v>101.69</v>
      </c>
      <c r="F26" s="9">
        <f>D26*N(E26)</f>
        <v/>
      </c>
      <c r="G26" s="24">
        <f>$D$12*0.53</f>
        <v/>
      </c>
      <c r="H26" s="21">
        <f>'1 COTIZACION'!I12</f>
        <v/>
      </c>
      <c r="I26" s="9">
        <f>G26*N(H26)</f>
        <v/>
      </c>
      <c r="J26" s="3" t="inlineStr">
        <is>
          <t>precio actual (sin precio publicado de 1/2")</t>
        </is>
      </c>
    </row>
    <row r="27">
      <c r="A27" s="5" t="n">
        <v>10</v>
      </c>
      <c r="B27" s="3" t="inlineStr">
        <is>
          <t>Agua</t>
        </is>
      </c>
      <c r="C27" s="5" t="inlineStr">
        <is>
          <t>m3</t>
        </is>
      </c>
      <c r="D27" s="25" t="n">
        <v>0.006880512</v>
      </c>
      <c r="E27" s="9" t="n">
        <v>5</v>
      </c>
      <c r="F27" s="9">
        <f>D27*N(E27)</f>
        <v/>
      </c>
      <c r="G27" s="24">
        <f>$D$12*0.186</f>
        <v/>
      </c>
      <c r="H27" s="21">
        <f>'1 COTIZACION'!I13</f>
        <v/>
      </c>
      <c r="I27" s="9">
        <f>G27*N(H27)</f>
        <v/>
      </c>
      <c r="J27" s="3" t="inlineStr"/>
    </row>
    <row r="28">
      <c r="A28" s="5" t="n">
        <v>11</v>
      </c>
      <c r="B28" s="3" t="inlineStr">
        <is>
          <t>Madera tornillo</t>
        </is>
      </c>
      <c r="C28" s="5" t="inlineStr">
        <is>
          <t>p2</t>
        </is>
      </c>
      <c r="D28" s="25" t="n">
        <v>1.15</v>
      </c>
      <c r="E28" s="9" t="n">
        <v>5.08</v>
      </c>
      <c r="F28" s="9">
        <f>D28*N(E28)</f>
        <v/>
      </c>
      <c r="G28" s="23" t="n">
        <v>1.15</v>
      </c>
      <c r="H28" s="21">
        <f>'1 COTIZACION'!I14</f>
        <v/>
      </c>
      <c r="I28" s="9">
        <f>G28*N(H28)</f>
        <v/>
      </c>
      <c r="J28" s="3" t="inlineStr"/>
    </row>
    <row r="29">
      <c r="A29" s="5" t="n">
        <v>12</v>
      </c>
      <c r="B29" s="3" t="inlineStr">
        <is>
          <t>Acero corrugado fy=4200</t>
        </is>
      </c>
      <c r="C29" s="5" t="inlineStr">
        <is>
          <t>kg</t>
        </is>
      </c>
      <c r="D29" s="25" t="n">
        <v>18.20448</v>
      </c>
      <c r="E29" s="9" t="n">
        <v>3.81</v>
      </c>
      <c r="F29" s="9">
        <f>D29*N(E29)</f>
        <v/>
      </c>
      <c r="G29" s="24">
        <f>$D$13*1.05</f>
        <v/>
      </c>
      <c r="H29" s="21">
        <f>'1 COTIZACION'!I25</f>
        <v/>
      </c>
      <c r="I29" s="9">
        <f>G29*N(H29)</f>
        <v/>
      </c>
      <c r="J29" s="3" t="inlineStr">
        <is>
          <t>precio ponderado 1/2" y 3/8"</t>
        </is>
      </c>
    </row>
    <row r="30">
      <c r="A30" s="5" t="n">
        <v>13</v>
      </c>
      <c r="B30" s="3" t="inlineStr">
        <is>
          <t>Alambre negro N 16</t>
        </is>
      </c>
      <c r="C30" s="5" t="inlineStr">
        <is>
          <t>kg</t>
        </is>
      </c>
      <c r="D30" s="25" t="n">
        <v>1.040256</v>
      </c>
      <c r="E30" s="9" t="n">
        <v>5.08</v>
      </c>
      <c r="F30" s="9">
        <f>D30*N(E30)</f>
        <v/>
      </c>
      <c r="G30" s="24">
        <f>$D$13*0.06</f>
        <v/>
      </c>
      <c r="H30" s="21">
        <f>'1 COTIZACION'!I17</f>
        <v/>
      </c>
      <c r="I30" s="9">
        <f>G30*N(H30)</f>
        <v/>
      </c>
      <c r="J30" s="3" t="inlineStr"/>
    </row>
    <row r="31">
      <c r="A31" s="5" t="n">
        <v>14</v>
      </c>
      <c r="B31" s="3" t="inlineStr">
        <is>
          <t>Pintura anticorrosiva</t>
        </is>
      </c>
      <c r="C31" s="5" t="inlineStr">
        <is>
          <t>gal</t>
        </is>
      </c>
      <c r="D31" s="25" t="n">
        <v>0.0785472</v>
      </c>
      <c r="E31" s="9" t="n">
        <v>59.32</v>
      </c>
      <c r="F31" s="9">
        <f>D31*N(E31)</f>
        <v/>
      </c>
      <c r="G31" s="24">
        <f>$D$11*0.08</f>
        <v/>
      </c>
      <c r="H31" s="21">
        <f>'1 COTIZACION'!I18</f>
        <v/>
      </c>
      <c r="I31" s="9">
        <f>G31*N(H31)</f>
        <v/>
      </c>
      <c r="J31" s="3" t="inlineStr"/>
    </row>
    <row r="32">
      <c r="A32" s="5" t="n">
        <v>15</v>
      </c>
      <c r="B32" s="3" t="inlineStr">
        <is>
          <t>Esmalte sintetico</t>
        </is>
      </c>
      <c r="C32" s="5" t="inlineStr">
        <is>
          <t>gal</t>
        </is>
      </c>
      <c r="D32" s="25" t="n">
        <v>0.0785472</v>
      </c>
      <c r="E32" s="9" t="n">
        <v>55.08</v>
      </c>
      <c r="F32" s="9">
        <f>D32*N(E32)</f>
        <v/>
      </c>
      <c r="G32" s="24">
        <f>$D$11*0.08</f>
        <v/>
      </c>
      <c r="H32" s="21">
        <f>'1 COTIZACION'!I19</f>
        <v/>
      </c>
      <c r="I32" s="9">
        <f>G32*N(H32)</f>
        <v/>
      </c>
      <c r="J32" s="3" t="inlineStr"/>
    </row>
    <row r="33">
      <c r="A33" s="5" t="n">
        <v>16</v>
      </c>
      <c r="B33" s="3" t="inlineStr">
        <is>
          <t>Lija y thinner</t>
        </is>
      </c>
      <c r="C33" s="5" t="inlineStr">
        <is>
          <t>glb</t>
        </is>
      </c>
      <c r="D33" s="25" t="n">
        <v>0.049092</v>
      </c>
      <c r="E33" s="9" t="n">
        <v>25.42</v>
      </c>
      <c r="F33" s="9">
        <f>D33*N(E33)</f>
        <v/>
      </c>
      <c r="G33" s="23" t="n">
        <v>0</v>
      </c>
      <c r="H33" s="21" t="n"/>
      <c r="I33" s="9">
        <f>G33*N(H33)</f>
        <v/>
      </c>
      <c r="J33" s="3" t="inlineStr">
        <is>
          <t>se reemplaza por lija y thinner desagregados</t>
        </is>
      </c>
    </row>
    <row r="34">
      <c r="A34" s="5" t="n">
        <v>17</v>
      </c>
      <c r="B34" s="3" t="inlineStr">
        <is>
          <t>Lija para fierro N° 80</t>
        </is>
      </c>
      <c r="C34" s="5" t="inlineStr">
        <is>
          <t>und</t>
        </is>
      </c>
      <c r="D34" s="25" t="n">
        <v>0</v>
      </c>
      <c r="E34" s="9" t="n"/>
      <c r="F34" s="9">
        <f>D34*N(E34)</f>
        <v/>
      </c>
      <c r="G34" s="24">
        <f>$D$11*0.25</f>
        <v/>
      </c>
      <c r="H34" s="21">
        <f>'1 COTIZACION'!I20</f>
        <v/>
      </c>
      <c r="I34" s="9">
        <f>G34*N(H34)</f>
        <v/>
      </c>
      <c r="J34" s="3" t="inlineStr">
        <is>
          <t>0.25 und/m2</t>
        </is>
      </c>
    </row>
    <row r="35">
      <c r="A35" s="5" t="n">
        <v>18</v>
      </c>
      <c r="B35" s="3" t="inlineStr">
        <is>
          <t>Thinner acrilico</t>
        </is>
      </c>
      <c r="C35" s="5" t="inlineStr">
        <is>
          <t>gal</t>
        </is>
      </c>
      <c r="D35" s="25" t="n">
        <v>0</v>
      </c>
      <c r="E35" s="9" t="n"/>
      <c r="F35" s="9">
        <f>D35*N(E35)</f>
        <v/>
      </c>
      <c r="G35" s="24">
        <f>$D$11*0.024</f>
        <v/>
      </c>
      <c r="H35" s="21">
        <f>'1 COTIZACION'!I21</f>
        <v/>
      </c>
      <c r="I35" s="9">
        <f>G35*N(H35)</f>
        <v/>
      </c>
      <c r="J35" s="3" t="inlineStr">
        <is>
          <t>0.024 gal/m2 (15 % de la pintura)</t>
        </is>
      </c>
    </row>
    <row r="36">
      <c r="A36" s="19" t="inlineStr">
        <is>
          <t>EQUIPOS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5" t="n">
        <v>19</v>
      </c>
      <c r="B37" s="3" t="inlineStr">
        <is>
          <t>Herramientas manuales</t>
        </is>
      </c>
      <c r="C37" s="5" t="inlineStr">
        <is>
          <t>%mo</t>
        </is>
      </c>
      <c r="D37" s="26" t="n">
        <v>0.03</v>
      </c>
      <c r="E37" s="9">
        <f>F41</f>
        <v/>
      </c>
      <c r="F37" s="9">
        <f>D37*F41</f>
        <v/>
      </c>
      <c r="G37" s="26" t="n">
        <v>0.03</v>
      </c>
      <c r="H37" s="9">
        <f>I41</f>
        <v/>
      </c>
      <c r="I37" s="9">
        <f>G37*I41</f>
        <v/>
      </c>
      <c r="J37" s="3" t="inlineStr">
        <is>
          <t>3 % de la mano de obra</t>
        </is>
      </c>
    </row>
    <row r="38">
      <c r="A38" s="5" t="n">
        <v>20</v>
      </c>
      <c r="B38" s="3" t="inlineStr">
        <is>
          <t>Mezcladora 9-11 p3</t>
        </is>
      </c>
      <c r="C38" s="5" t="inlineStr">
        <is>
          <t>hm</t>
        </is>
      </c>
      <c r="D38" s="25" t="n">
        <v>0.0295936</v>
      </c>
      <c r="E38" s="9" t="n">
        <v>15</v>
      </c>
      <c r="F38" s="9">
        <f>D38*N(E38)</f>
        <v/>
      </c>
      <c r="G38" s="24">
        <f>$D$12*0.8</f>
        <v/>
      </c>
      <c r="H38" s="21">
        <f>'1 COTIZACION'!I22</f>
        <v/>
      </c>
      <c r="I38" s="9">
        <f>G38*N(H38)</f>
        <v/>
      </c>
      <c r="J38" s="3" t="inlineStr"/>
    </row>
    <row r="39">
      <c r="A39" s="5" t="n">
        <v>21</v>
      </c>
      <c r="B39" s="3" t="inlineStr">
        <is>
          <t>Vibrador de concreto</t>
        </is>
      </c>
      <c r="C39" s="5" t="inlineStr">
        <is>
          <t>hm</t>
        </is>
      </c>
      <c r="D39" s="25" t="n">
        <v>0.0295936</v>
      </c>
      <c r="E39" s="9" t="n">
        <v>10</v>
      </c>
      <c r="F39" s="9">
        <f>D39*N(E39)</f>
        <v/>
      </c>
      <c r="G39" s="24">
        <f>$D$12*0.8</f>
        <v/>
      </c>
      <c r="H39" s="21">
        <f>'1 COTIZACION'!I23</f>
        <v/>
      </c>
      <c r="I39" s="9">
        <f>G39*N(H39)</f>
        <v/>
      </c>
      <c r="J39" s="3" t="inlineStr"/>
    </row>
    <row r="40">
      <c r="A40" s="5" t="n">
        <v>22</v>
      </c>
      <c r="B40" s="3" t="inlineStr">
        <is>
          <t>Maquina de soldar 250 A</t>
        </is>
      </c>
      <c r="C40" s="5" t="inlineStr">
        <is>
          <t>hm</t>
        </is>
      </c>
      <c r="D40" s="25" t="n">
        <v>1.51416</v>
      </c>
      <c r="E40" s="9" t="n">
        <v>8</v>
      </c>
      <c r="F40" s="9">
        <f>D40*N(E40)</f>
        <v/>
      </c>
      <c r="G40" s="24">
        <f>$D$9*0.1</f>
        <v/>
      </c>
      <c r="H40" s="21">
        <f>'1 COTIZACION'!I24</f>
        <v/>
      </c>
      <c r="I40" s="9">
        <f>G40*N(H40)</f>
        <v/>
      </c>
      <c r="J40" s="3" t="inlineStr">
        <is>
          <t>precio actual (sin tarifa publicada)</t>
        </is>
      </c>
    </row>
    <row r="41">
      <c r="A41" s="27" t="n"/>
      <c r="B41" s="19" t="inlineStr">
        <is>
          <t>Subtotal mano de obra</t>
        </is>
      </c>
      <c r="C41" s="27" t="n"/>
      <c r="D41" s="27" t="n"/>
      <c r="E41" s="27" t="n"/>
      <c r="F41" s="28">
        <f>SUM(F16:F19)</f>
        <v/>
      </c>
      <c r="G41" s="27" t="n"/>
      <c r="H41" s="27" t="n"/>
      <c r="I41" s="28">
        <f>SUM(I16:I19)</f>
        <v/>
      </c>
      <c r="J41" s="27" t="n"/>
    </row>
    <row r="42">
      <c r="A42" s="27" t="n"/>
      <c r="B42" s="19" t="inlineStr">
        <is>
          <t>Subtotal materiales</t>
        </is>
      </c>
      <c r="C42" s="27" t="n"/>
      <c r="D42" s="27" t="n"/>
      <c r="E42" s="27" t="n"/>
      <c r="F42" s="28">
        <f>SUM(F20:F35)</f>
        <v/>
      </c>
      <c r="G42" s="27" t="n"/>
      <c r="H42" s="27" t="n"/>
      <c r="I42" s="28">
        <f>SUM(I20:I35)</f>
        <v/>
      </c>
      <c r="J42" s="27" t="n"/>
    </row>
    <row r="43">
      <c r="A43" s="27" t="n"/>
      <c r="B43" s="19" t="inlineStr">
        <is>
          <t>Subtotal equipos</t>
        </is>
      </c>
      <c r="C43" s="27" t="n"/>
      <c r="D43" s="27" t="n"/>
      <c r="E43" s="27" t="n"/>
      <c r="F43" s="28">
        <f>SUM(F36:F40)</f>
        <v/>
      </c>
      <c r="G43" s="27" t="n"/>
      <c r="H43" s="27" t="n"/>
      <c r="I43" s="28">
        <f>SUM(I36:I40)</f>
        <v/>
      </c>
      <c r="J43" s="27" t="n"/>
    </row>
    <row r="44">
      <c r="A44" s="29" t="n"/>
      <c r="B44" s="1" t="inlineStr">
        <is>
          <t>COSTO UNITARIO DIRECTO POR TAPA (S/ por und)</t>
        </is>
      </c>
      <c r="C44" s="29" t="n"/>
      <c r="D44" s="29" t="n"/>
      <c r="E44" s="29" t="n"/>
      <c r="F44" s="30">
        <f>F41+F42+F43</f>
        <v/>
      </c>
      <c r="G44" s="29" t="n"/>
      <c r="H44" s="29" t="n"/>
      <c r="I44" s="30">
        <f>I41+I42+I43</f>
        <v/>
      </c>
      <c r="J44" s="29" t="n"/>
    </row>
    <row r="45">
      <c r="A45" s="5" t="n"/>
      <c r="B45" s="3" t="inlineStr">
        <is>
          <t>Comprobacion: costo unitario de la ACU vigente</t>
        </is>
      </c>
      <c r="C45" s="5" t="n"/>
      <c r="D45" s="5" t="n"/>
      <c r="E45" s="5" t="n"/>
      <c r="F45" s="9" t="n">
        <v>383.28902772064</v>
      </c>
      <c r="G45" s="5" t="n"/>
      <c r="H45" s="5" t="n"/>
      <c r="I45" s="5" t="n"/>
      <c r="J45" s="5" t="n"/>
    </row>
    <row r="46">
      <c r="A46" s="5" t="n"/>
      <c r="B46" s="17" t="inlineStr">
        <is>
          <t>Diferencia por tapa (propuesta - actual)</t>
        </is>
      </c>
      <c r="C46" s="5" t="n"/>
      <c r="D46" s="5" t="n"/>
      <c r="E46" s="5" t="n"/>
      <c r="F46" s="5" t="n"/>
      <c r="G46" s="5" t="n"/>
      <c r="H46" s="5" t="n"/>
      <c r="I46" s="31">
        <f>I44-F44</f>
        <v/>
      </c>
      <c r="J46" s="5" t="n"/>
    </row>
    <row r="47">
      <c r="A47" s="5" t="n"/>
      <c r="B47" s="17" t="inlineStr">
        <is>
          <t>Partida: 10 tapas</t>
        </is>
      </c>
      <c r="C47" s="5" t="n"/>
      <c r="D47" s="5" t="n"/>
      <c r="E47" s="5" t="n"/>
      <c r="F47" s="32">
        <f>F44*10</f>
        <v/>
      </c>
      <c r="G47" s="5" t="n"/>
      <c r="H47" s="5" t="n"/>
      <c r="I47" s="33">
        <f>I44*10</f>
        <v/>
      </c>
      <c r="J47" s="3">
        <f>"ahorro de S/ "&amp;TEXT(F47-I47,"#,##0.00")</f>
        <v/>
      </c>
    </row>
  </sheetData>
  <mergeCells count="7">
    <mergeCell ref="A1:J1"/>
    <mergeCell ref="A5:J5"/>
    <mergeCell ref="A36:J36"/>
    <mergeCell ref="A2:J2"/>
    <mergeCell ref="A3:J3"/>
    <mergeCell ref="A20:J20"/>
    <mergeCell ref="A16:J1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2026-10-14T23:09:28Z</dcterms:created>
  <dcterms:modified xmlns:dcterms="http://purl.org/dc/terms/" xmlns:xsi="http://www.w3.org/2001/XMLSchema-instance" xsi:type="dcterms:W3CDTF">2026-10-14T23:09:28Z</dcterms:modified>
</cp:coreProperties>
</file>