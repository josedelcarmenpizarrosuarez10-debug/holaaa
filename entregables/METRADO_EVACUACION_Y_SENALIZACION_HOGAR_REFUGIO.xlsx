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ETRADO" sheetId="2" state="visible" r:id="rId2"/>
    <sheet xmlns:r="http://schemas.openxmlformats.org/officeDocument/2006/relationships" name="ZONAS DE EVACUACIÓN" sheetId="3" state="visible" r:id="rId3"/>
    <sheet xmlns:r="http://schemas.openxmlformats.org/officeDocument/2006/relationships" name="RUTAS DE EVACUACIÓN" sheetId="4" state="visible" r:id="rId4"/>
    <sheet xmlns:r="http://schemas.openxmlformats.org/officeDocument/2006/relationships" name="LEYENDA" sheetId="5" state="visible" r:id="rId5"/>
    <sheet xmlns:r="http://schemas.openxmlformats.org/officeDocument/2006/relationships" name="POBLACIÓN" sheetId="6" state="visible" r:id="rId6"/>
    <sheet xmlns:r="http://schemas.openxmlformats.org/officeDocument/2006/relationships" name="SEÑALES" sheetId="7" state="visible" r:id="rId7"/>
  </sheets>
  <definedNames>
    <definedName name="_xlnm.Print_Area" localSheetId="0">'RESUMEN'!$A$1:$D$29</definedName>
    <definedName name="_xlnm.Print_Area" localSheetId="1">'METRADO'!$A$1:$R$40</definedName>
    <definedName name="_xlnm.Print_Area" localSheetId="2">'ZONAS DE EVACUACIÓN'!$A$1:$I$27</definedName>
    <definedName name="_xlnm.Print_Area" localSheetId="3">'RUTAS DE EVACUACIÓN'!$A$1:$F$99</definedName>
    <definedName name="_xlnm.Print_Area" localSheetId="4">'LEYENDA'!$A$1:$G$37</definedName>
    <definedName name="_xlnm.Print_Area" localSheetId="5">'POBLACIÓN'!$A$1:$D$27</definedName>
    <definedName name="_xlnm.Print_Area" localSheetId="6">'SEÑALES'!$A$1:$G$28</definedName>
  </definedNames>
  <calcPr calcId="124519" fullCalcOnLoad="1"/>
</workbook>
</file>

<file path=xl/styles.xml><?xml version="1.0" encoding="utf-8"?>
<styleSheet xmlns="http://schemas.openxmlformats.org/spreadsheetml/2006/main">
  <numFmts count="3">
    <numFmt numFmtId="164" formatCode="+0;-0;&quot;conforme&quot;"/>
    <numFmt numFmtId="165" formatCode="+0.00;-0.00;&quot;conforme&quot;"/>
    <numFmt numFmtId="166" formatCode="0.0000"/>
  </numFmts>
  <fonts count="8">
    <font>
      <name val="Calibri"/>
      <family val="2"/>
      <color theme="1"/>
      <sz val="11"/>
      <scheme val="minor"/>
    </font>
    <font>
      <name val="Arial"/>
      <b val="1"/>
      <color rgb="00FFFFFF"/>
      <sz val="12"/>
    </font>
    <font>
      <name val="Arial"/>
      <b val="1"/>
      <sz val="9"/>
    </font>
    <font>
      <name val="Arial"/>
      <sz val="9"/>
    </font>
    <font>
      <name val="Arial"/>
      <b val="1"/>
      <color rgb="00FFFFFF"/>
      <sz val="9"/>
    </font>
    <font>
      <name val="Arial"/>
      <sz val="7"/>
    </font>
    <font>
      <name val="Arial"/>
      <sz val="8"/>
    </font>
    <font>
      <name val="Arial"/>
      <b val="1"/>
      <sz val="8"/>
    </font>
  </fonts>
  <fills count="5">
    <fill>
      <patternFill/>
    </fill>
    <fill>
      <patternFill patternType="gray125"/>
    </fill>
    <fill>
      <patternFill patternType="solid">
        <fgColor rgb="007B1E2B"/>
      </patternFill>
    </fill>
    <fill>
      <patternFill patternType="solid">
        <fgColor rgb="00F2F2F2"/>
      </patternFill>
    </fill>
    <fill>
      <patternFill patternType="solid">
        <fgColor rgb="00F2E6E8"/>
      </patternFill>
    </fill>
  </fills>
  <borders count="9">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1" pivotButton="0" quotePrefix="0" xfId="0"/>
    <xf numFmtId="0" fontId="3" fillId="0" borderId="1" applyAlignment="1" pivotButton="0" quotePrefix="0" xfId="0">
      <alignment horizontal="left" vertical="center" wrapText="1"/>
    </xf>
    <xf numFmtId="0" fontId="4"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2" fontId="2" fillId="0" borderId="1" applyAlignment="1" pivotButton="0" quotePrefix="0" xfId="0">
      <alignment horizontal="center" vertical="center" wrapText="1"/>
    </xf>
    <xf numFmtId="0" fontId="0" fillId="0" borderId="4" pivotButton="0" quotePrefix="0" xfId="0"/>
    <xf numFmtId="0" fontId="5" fillId="4" borderId="1" applyAlignment="1" pivotButton="0" quotePrefix="0" xfId="0">
      <alignment horizontal="center" vertical="center" wrapText="1"/>
    </xf>
    <xf numFmtId="1" fontId="3" fillId="0" borderId="1" applyAlignment="1" pivotButton="0" quotePrefix="0" xfId="0">
      <alignment horizontal="center" vertical="center" wrapText="1"/>
    </xf>
    <xf numFmtId="1" fontId="2" fillId="4" borderId="1" applyAlignment="1" pivotButton="0" quotePrefix="0" xfId="0">
      <alignment horizontal="center" vertical="center" wrapText="1"/>
    </xf>
    <xf numFmtId="164" fontId="3" fillId="0" borderId="1" applyAlignment="1" pivotButton="0" quotePrefix="0" xfId="0">
      <alignment horizontal="center" vertical="center" wrapText="1"/>
    </xf>
    <xf numFmtId="0" fontId="6" fillId="0" borderId="1" applyAlignment="1" pivotButton="0" quotePrefix="0" xfId="0">
      <alignment horizontal="left" vertical="center" wrapText="1"/>
    </xf>
    <xf numFmtId="2" fontId="3" fillId="0" borderId="1" applyAlignment="1" pivotButton="0" quotePrefix="0" xfId="0">
      <alignment horizontal="center" vertical="center" wrapText="1"/>
    </xf>
    <xf numFmtId="2" fontId="2" fillId="4" borderId="1" applyAlignment="1" pivotButton="0" quotePrefix="0" xfId="0">
      <alignment horizontal="center" vertical="center" wrapText="1"/>
    </xf>
    <xf numFmtId="165" fontId="3" fillId="0" borderId="1" applyAlignment="1" pivotButton="0" quotePrefix="0" xfId="0">
      <alignment horizontal="center" vertical="center" wrapText="1"/>
    </xf>
    <xf numFmtId="0" fontId="3"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7" fillId="0" borderId="0" applyAlignment="1" pivotButton="0" quotePrefix="0" xfId="0">
      <alignment horizontal="left" vertical="center" wrapText="1"/>
    </xf>
    <xf numFmtId="0" fontId="6" fillId="0" borderId="0" applyAlignment="1" pivotButton="0" quotePrefix="0" xfId="0">
      <alignment horizontal="left" vertical="center" wrapText="1"/>
    </xf>
    <xf numFmtId="166" fontId="3" fillId="0" borderId="1" applyAlignment="1" pivotButton="0" quotePrefix="0" xfId="0">
      <alignment horizontal="center" vertical="center" wrapText="1"/>
    </xf>
    <xf numFmtId="0" fontId="0" fillId="0" borderId="7" pivotButton="0" quotePrefix="0" xfId="0"/>
    <xf numFmtId="0" fontId="0" fillId="0" borderId="8" pivotButton="0" quotePrefix="0" xfId="0"/>
    <xf numFmtId="0" fontId="2" fillId="4" borderId="1" applyAlignment="1" pivotButton="0" quotePrefix="0" xfId="0">
      <alignment horizontal="center" vertical="center" wrapText="1"/>
    </xf>
    <xf numFmtId="0" fontId="6"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29"/>
  <sheetViews>
    <sheetView showGridLines="0" workbookViewId="0">
      <selection activeCell="A1" sqref="A1"/>
    </sheetView>
  </sheetViews>
  <sheetFormatPr baseColWidth="8" defaultRowHeight="15"/>
  <cols>
    <col width="11" customWidth="1" min="1" max="1"/>
    <col width="70" customWidth="1" min="2" max="2"/>
    <col width="7" customWidth="1" min="3" max="3"/>
    <col width="12" customWidth="1" min="4" max="4"/>
  </cols>
  <sheetData>
    <row r="1" ht="24" customHeight="1">
      <c r="A1" s="1" t="inlineStr">
        <is>
          <t>RESUMEN DE METRADOS - EVACUACIÓN Y SEÑALIZACIÓN</t>
        </is>
      </c>
    </row>
    <row r="2" ht="36" customHeight="1">
      <c r="A2" s="2" t="inlineStr">
        <is>
          <t>PROYECTO</t>
        </is>
      </c>
      <c r="B2" s="3" t="inlineStr">
        <is>
          <t>“CREACIÓN DEL SERVICIO DE PROTECCIÓN A MUJERES VÍCTIMAS DE VIOLENCIA EN SITUACIÓN DE RIESGO DE FEMINICIDIO O PELIGRE SU INTEGRIDAD Y/O SALUD FÍSICA Y/O MENTAL EN HOGAR DE REFUGIO TEMPORAL DISTRITO DE MORALES DE LA PROVINCIA DE SAN MARTÍN DEL DEPARTAMENTO DE SAN MARTÍN”</t>
        </is>
      </c>
      <c r="C2" s="4" t="n"/>
      <c r="D2" s="4" t="n"/>
    </row>
    <row r="3">
      <c r="A3" s="2" t="inlineStr">
        <is>
          <t>CUI</t>
        </is>
      </c>
      <c r="B3" s="5" t="inlineStr">
        <is>
          <t>N.° 2675514</t>
        </is>
      </c>
      <c r="C3" s="4" t="n"/>
      <c r="D3" s="4" t="n"/>
    </row>
    <row r="4">
      <c r="A4" s="2" t="inlineStr">
        <is>
          <t>ESPECIALIDAD</t>
        </is>
      </c>
      <c r="B4" s="5" t="inlineStr">
        <is>
          <t>ARQUITECTURA - EVACUACIÓN Y SEÑALIZACIÓN</t>
        </is>
      </c>
      <c r="C4" s="4" t="n"/>
      <c r="D4" s="4" t="n"/>
    </row>
    <row r="5">
      <c r="A5" s="2" t="inlineStr">
        <is>
          <t>UBICACIÓN</t>
        </is>
      </c>
      <c r="B5" s="5" t="inlineStr">
        <is>
          <t>Distrito de Morales, provincia y departamento de San Martín</t>
        </is>
      </c>
      <c r="C5" s="4" t="n"/>
      <c r="D5" s="4" t="n"/>
    </row>
    <row r="6">
      <c r="A6" s="2" t="inlineStr">
        <is>
          <t>LÁMINAS</t>
        </is>
      </c>
      <c r="B6" s="5" t="inlineStr">
        <is>
          <t>SE-E-01 Planta general de evacuación (esc. 1/150) y SE-S-02 Planta general de señalización (esc. 1/150)</t>
        </is>
      </c>
      <c r="C6" s="4" t="n"/>
      <c r="D6" s="4" t="n"/>
    </row>
    <row r="7">
      <c r="A7" s="2" t="inlineStr">
        <is>
          <t>FECHA</t>
        </is>
      </c>
      <c r="B7" s="5" t="inlineStr">
        <is>
          <t>OCTUBRE 2026</t>
        </is>
      </c>
      <c r="C7" s="4" t="n"/>
      <c r="D7" s="4" t="n"/>
    </row>
    <row r="9">
      <c r="A9" s="6" t="inlineStr">
        <is>
          <t>ITEM</t>
        </is>
      </c>
      <c r="B9" s="6" t="inlineStr">
        <is>
          <t>DESCRIPCIÓN</t>
        </is>
      </c>
      <c r="C9" s="6" t="inlineStr">
        <is>
          <t>UND</t>
        </is>
      </c>
      <c r="D9" s="6" t="inlineStr">
        <is>
          <t>METRADO</t>
        </is>
      </c>
    </row>
    <row r="10">
      <c r="A10" s="7" t="inlineStr">
        <is>
          <t>01</t>
        </is>
      </c>
      <c r="B10" s="2" t="inlineStr">
        <is>
          <t>EVACUACIÓN Y SEÑALIZACIÓN</t>
        </is>
      </c>
      <c r="C10" s="8" t="n"/>
      <c r="D10" s="8" t="n"/>
    </row>
    <row r="11">
      <c r="A11" s="9" t="inlineStr">
        <is>
          <t>01.01</t>
        </is>
      </c>
      <c r="B11" s="3" t="inlineStr">
        <is>
          <t>SEÑALES DE EVACUACIÓN Y EMERGENCIA</t>
        </is>
      </c>
      <c r="C11" s="10" t="n"/>
      <c r="D11" s="10" t="n"/>
    </row>
    <row r="12">
      <c r="A12" s="10" t="inlineStr">
        <is>
          <t>01.01.01</t>
        </is>
      </c>
      <c r="B12" s="5" t="inlineStr">
        <is>
          <t>SEÑAL DE SALIDA CON BRAILLE</t>
        </is>
      </c>
      <c r="C12" s="10" t="inlineStr">
        <is>
          <t>und</t>
        </is>
      </c>
      <c r="D12" s="11">
        <f>'METRADO'!O12</f>
        <v/>
      </c>
    </row>
    <row r="13">
      <c r="A13" s="10" t="inlineStr">
        <is>
          <t>01.01.02</t>
        </is>
      </c>
      <c r="B13" s="5" t="inlineStr">
        <is>
          <t>SEÑAL DE DIRECCIÓN DE EVACUACIÓN</t>
        </is>
      </c>
      <c r="C13" s="10" t="inlineStr">
        <is>
          <t>und</t>
        </is>
      </c>
      <c r="D13" s="11">
        <f>'METRADO'!O13</f>
        <v/>
      </c>
    </row>
    <row r="14">
      <c r="A14" s="10" t="inlineStr">
        <is>
          <t>01.01.03</t>
        </is>
      </c>
      <c r="B14" s="5" t="inlineStr">
        <is>
          <t>SEÑAL DE ZONA SEGURA EN CASO DE SISMO CON BRAILLE</t>
        </is>
      </c>
      <c r="C14" s="10" t="inlineStr">
        <is>
          <t>und</t>
        </is>
      </c>
      <c r="D14" s="11">
        <f>'METRADO'!O14</f>
        <v/>
      </c>
    </row>
    <row r="15">
      <c r="A15" s="10" t="inlineStr">
        <is>
          <t>01.01.04</t>
        </is>
      </c>
      <c r="B15" s="5" t="inlineStr">
        <is>
          <t>LETRERO DE AFORO CON BRAILLE</t>
        </is>
      </c>
      <c r="C15" s="10" t="inlineStr">
        <is>
          <t>und</t>
        </is>
      </c>
      <c r="D15" s="11">
        <f>'METRADO'!O15</f>
        <v/>
      </c>
    </row>
    <row r="16">
      <c r="A16" s="10" t="inlineStr">
        <is>
          <t>01.01.05</t>
        </is>
      </c>
      <c r="B16" s="5" t="inlineStr">
        <is>
          <t>PINTURA DE ZONA DE EVACUACIÓN EN CASO DE EMERGENCIA EN PISO (CÍRCULO DE 4.30 m, LÍNEA DE 0.15 m)</t>
        </is>
      </c>
      <c r="C16" s="10" t="inlineStr">
        <is>
          <t>m2</t>
        </is>
      </c>
      <c r="D16" s="11">
        <f>'METRADO'!O16</f>
        <v/>
      </c>
    </row>
    <row r="17">
      <c r="A17" s="9" t="inlineStr">
        <is>
          <t>01.02</t>
        </is>
      </c>
      <c r="B17" s="3" t="inlineStr">
        <is>
          <t>SEÑALES DE EQUIPOS CONTRA INCENDIO</t>
        </is>
      </c>
      <c r="C17" s="10" t="n"/>
      <c r="D17" s="10" t="n"/>
    </row>
    <row r="18">
      <c r="A18" s="10" t="inlineStr">
        <is>
          <t>01.02.01</t>
        </is>
      </c>
      <c r="B18" s="5" t="inlineStr">
        <is>
          <t>SEÑAL DE UBICACIÓN DE EXTINTOR PQS CON BRAILLE</t>
        </is>
      </c>
      <c r="C18" s="10" t="inlineStr">
        <is>
          <t>und</t>
        </is>
      </c>
      <c r="D18" s="11">
        <f>'METRADO'!O18</f>
        <v/>
      </c>
    </row>
    <row r="19">
      <c r="A19" s="9" t="inlineStr">
        <is>
          <t>01.03</t>
        </is>
      </c>
      <c r="B19" s="3" t="inlineStr">
        <is>
          <t>SEÑALES DE ADVERTENCIA</t>
        </is>
      </c>
      <c r="C19" s="10" t="n"/>
      <c r="D19" s="10" t="n"/>
    </row>
    <row r="20">
      <c r="A20" s="10" t="inlineStr">
        <is>
          <t>01.03.01</t>
        </is>
      </c>
      <c r="B20" s="5" t="inlineStr">
        <is>
          <t>SEÑAL DE ATENCIÓN RIESGO ELÉCTRICO CON BRAILLE</t>
        </is>
      </c>
      <c r="C20" s="10" t="inlineStr">
        <is>
          <t>und</t>
        </is>
      </c>
      <c r="D20" s="11">
        <f>'METRADO'!O20</f>
        <v/>
      </c>
    </row>
    <row r="21">
      <c r="A21" s="9" t="inlineStr">
        <is>
          <t>01.04</t>
        </is>
      </c>
      <c r="B21" s="3" t="inlineStr">
        <is>
          <t>SEÑALES INFORMATIVAS</t>
        </is>
      </c>
      <c r="C21" s="10" t="n"/>
      <c r="D21" s="10" t="n"/>
    </row>
    <row r="22">
      <c r="A22" s="10" t="inlineStr">
        <is>
          <t>01.04.01</t>
        </is>
      </c>
      <c r="B22" s="5" t="inlineStr">
        <is>
          <t>SEÑAL DE SERVICIOS HIGIÉNICOS PARA PERSONAS CON DISCAPACIDAD CON BRAILLE</t>
        </is>
      </c>
      <c r="C22" s="10" t="inlineStr">
        <is>
          <t>und</t>
        </is>
      </c>
      <c r="D22" s="11">
        <f>'METRADO'!O22</f>
        <v/>
      </c>
    </row>
    <row r="23">
      <c r="A23" s="10" t="inlineStr">
        <is>
          <t>01.04.02</t>
        </is>
      </c>
      <c r="B23" s="5" t="inlineStr">
        <is>
          <t>SEÑAL DE SERVICIOS HIGIÉNICOS MUJERES CON BRAILLE</t>
        </is>
      </c>
      <c r="C23" s="10" t="inlineStr">
        <is>
          <t>und</t>
        </is>
      </c>
      <c r="D23" s="11">
        <f>'METRADO'!O23</f>
        <v/>
      </c>
    </row>
    <row r="24">
      <c r="A24" s="10" t="inlineStr">
        <is>
          <t>01.04.03</t>
        </is>
      </c>
      <c r="B24" s="5" t="inlineStr">
        <is>
          <t>SEÑAL DE SERVICIOS HIGIÉNICOS VARÓN CON BRAILLE</t>
        </is>
      </c>
      <c r="C24" s="10" t="inlineStr">
        <is>
          <t>und</t>
        </is>
      </c>
      <c r="D24" s="11">
        <f>'METRADO'!O24</f>
        <v/>
      </c>
    </row>
    <row r="25">
      <c r="A25" s="10" t="inlineStr">
        <is>
          <t>01.04.04</t>
        </is>
      </c>
      <c r="B25" s="5" t="inlineStr">
        <is>
          <t>SEÑAL DE PUNTO ECOLÓGICO CON BRAILLE</t>
        </is>
      </c>
      <c r="C25" s="10" t="inlineStr">
        <is>
          <t>und</t>
        </is>
      </c>
      <c r="D25" s="11">
        <f>'METRADO'!O25</f>
        <v/>
      </c>
    </row>
    <row r="26">
      <c r="A26" s="9" t="inlineStr">
        <is>
          <t>01.05</t>
        </is>
      </c>
      <c r="B26" s="3" t="inlineStr">
        <is>
          <t>EQUIPOS DE PROTECCIÓN CONTRA INCENDIO Y EMERGENCIA</t>
        </is>
      </c>
      <c r="C26" s="10" t="n"/>
      <c r="D26" s="10" t="n"/>
    </row>
    <row r="27">
      <c r="A27" s="10" t="inlineStr">
        <is>
          <t>01.05.01</t>
        </is>
      </c>
      <c r="B27" s="5" t="inlineStr">
        <is>
          <t>EXTINTOR DE POLVO QUÍMICO SECO (PQS) TIPO ABC DE 9 kg</t>
        </is>
      </c>
      <c r="C27" s="10" t="inlineStr">
        <is>
          <t>und</t>
        </is>
      </c>
      <c r="D27" s="11">
        <f>'METRADO'!O27</f>
        <v/>
      </c>
    </row>
    <row r="28">
      <c r="A28" s="10" t="inlineStr">
        <is>
          <t>01.05.02</t>
        </is>
      </c>
      <c r="B28" s="5" t="inlineStr">
        <is>
          <t>UNIDAD DE LUCES DE EMERGENCIA</t>
        </is>
      </c>
      <c r="C28" s="10" t="inlineStr">
        <is>
          <t>und</t>
        </is>
      </c>
      <c r="D28" s="11">
        <f>'METRADO'!O28</f>
        <v/>
      </c>
    </row>
    <row r="29">
      <c r="A29" s="10" t="inlineStr">
        <is>
          <t>01.05.03</t>
        </is>
      </c>
      <c r="B29" s="5" t="inlineStr">
        <is>
          <t>DETECTOR DE HUMO</t>
        </is>
      </c>
      <c r="C29" s="10" t="inlineStr">
        <is>
          <t>und</t>
        </is>
      </c>
      <c r="D29" s="11">
        <f>'METRADO'!O29</f>
        <v/>
      </c>
    </row>
  </sheetData>
  <mergeCells count="7">
    <mergeCell ref="A1:D1"/>
    <mergeCell ref="B3:D3"/>
    <mergeCell ref="B5:D5"/>
    <mergeCell ref="B4:D4"/>
    <mergeCell ref="B7:D7"/>
    <mergeCell ref="B6:D6"/>
    <mergeCell ref="B2:D2"/>
  </mergeCells>
  <pageMargins left="0.4" right="0.4" top="0.5" bottom="0.5"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R39"/>
  <sheetViews>
    <sheetView showGridLines="0" workbookViewId="0">
      <pane xSplit="3" ySplit="9" topLeftCell="D10"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5"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5" customWidth="1" min="14" max="14"/>
    <col width="7.5" customWidth="1" min="15" max="15"/>
    <col width="8.5" customWidth="1" min="16" max="16"/>
    <col width="9" customWidth="1" min="17" max="17"/>
    <col width="44" customWidth="1" min="18" max="18"/>
  </cols>
  <sheetData>
    <row r="1" ht="24" customHeight="1">
      <c r="A1" s="1" t="inlineStr">
        <is>
          <t>METRADO DE EVACUACIÓN Y SEÑALIZACIÓN POR EDIFICACIÓN</t>
        </is>
      </c>
    </row>
    <row r="2" ht="36" customHeight="1">
      <c r="A2" s="2" t="inlineStr">
        <is>
          <t>PROYECTO</t>
        </is>
      </c>
      <c r="B2" s="3" t="inlineStr">
        <is>
          <t>“CREACIÓN DEL SERVICIO DE PROTECCIÓN A MUJERES VÍCTIMAS DE VIOLENCIA EN SITUACIÓN DE RIESGO DE FEMINICIDIO O PELIGRE SU INTEGRIDAD Y/O SALUD FÍSICA Y/O MENTAL EN HOGAR DE REFUGIO TEMPORAL DISTRITO DE MORALES DE LA PROVINCIA DE SAN MARTÍN DEL DEPARTAMENTO DE SAN MARTÍN”</t>
        </is>
      </c>
      <c r="C2" s="4" t="n"/>
      <c r="D2" s="4" t="n"/>
      <c r="E2" s="4" t="n"/>
      <c r="F2" s="4" t="n"/>
      <c r="G2" s="4" t="n"/>
      <c r="H2" s="4" t="n"/>
      <c r="I2" s="4" t="n"/>
      <c r="J2" s="4" t="n"/>
      <c r="K2" s="4" t="n"/>
      <c r="L2" s="4" t="n"/>
      <c r="M2" s="4" t="n"/>
      <c r="N2" s="4" t="n"/>
      <c r="O2" s="4" t="n"/>
      <c r="P2" s="4" t="n"/>
      <c r="Q2" s="4" t="n"/>
      <c r="R2" s="4" t="n"/>
    </row>
    <row r="3">
      <c r="A3" s="2" t="inlineStr">
        <is>
          <t>CUI</t>
        </is>
      </c>
      <c r="B3" s="5" t="inlineStr">
        <is>
          <t>N.° 2675514</t>
        </is>
      </c>
      <c r="C3" s="4" t="n"/>
      <c r="D3" s="4" t="n"/>
      <c r="E3" s="4" t="n"/>
      <c r="F3" s="4" t="n"/>
      <c r="G3" s="4" t="n"/>
      <c r="H3" s="4" t="n"/>
      <c r="I3" s="4" t="n"/>
      <c r="J3" s="4" t="n"/>
      <c r="K3" s="4" t="n"/>
      <c r="L3" s="4" t="n"/>
      <c r="M3" s="4" t="n"/>
      <c r="N3" s="4" t="n"/>
      <c r="O3" s="4" t="n"/>
      <c r="P3" s="4" t="n"/>
      <c r="Q3" s="4" t="n"/>
      <c r="R3" s="4" t="n"/>
    </row>
    <row r="4">
      <c r="A4" s="2" t="inlineStr">
        <is>
          <t>ESPECIALIDAD</t>
        </is>
      </c>
      <c r="B4" s="5" t="inlineStr">
        <is>
          <t>ARQUITECTURA - EVACUACIÓN Y SEÑALIZACIÓN</t>
        </is>
      </c>
      <c r="C4" s="4" t="n"/>
      <c r="D4" s="4" t="n"/>
      <c r="E4" s="4" t="n"/>
      <c r="F4" s="4" t="n"/>
      <c r="G4" s="4" t="n"/>
      <c r="H4" s="4" t="n"/>
      <c r="I4" s="4" t="n"/>
      <c r="J4" s="4" t="n"/>
      <c r="K4" s="4" t="n"/>
      <c r="L4" s="4" t="n"/>
      <c r="M4" s="4" t="n"/>
      <c r="N4" s="4" t="n"/>
      <c r="O4" s="4" t="n"/>
      <c r="P4" s="4" t="n"/>
      <c r="Q4" s="4" t="n"/>
      <c r="R4" s="4" t="n"/>
    </row>
    <row r="5">
      <c r="A5" s="2" t="inlineStr">
        <is>
          <t>UBICACIÓN</t>
        </is>
      </c>
      <c r="B5" s="5" t="inlineStr">
        <is>
          <t>Distrito de Morales, provincia y departamento de San Martín</t>
        </is>
      </c>
      <c r="C5" s="4" t="n"/>
      <c r="D5" s="4" t="n"/>
      <c r="E5" s="4" t="n"/>
      <c r="F5" s="4" t="n"/>
      <c r="G5" s="4" t="n"/>
      <c r="H5" s="4" t="n"/>
      <c r="I5" s="4" t="n"/>
      <c r="J5" s="4" t="n"/>
      <c r="K5" s="4" t="n"/>
      <c r="L5" s="4" t="n"/>
      <c r="M5" s="4" t="n"/>
      <c r="N5" s="4" t="n"/>
      <c r="O5" s="4" t="n"/>
      <c r="P5" s="4" t="n"/>
      <c r="Q5" s="4" t="n"/>
      <c r="R5" s="4" t="n"/>
    </row>
    <row r="6">
      <c r="A6" s="2" t="inlineStr">
        <is>
          <t>LÁMINAS</t>
        </is>
      </c>
      <c r="B6" s="5" t="inlineStr">
        <is>
          <t>SE-E-01 Planta general de evacuación (esc. 1/150) y SE-S-02 Planta general de señalización (esc. 1/150)</t>
        </is>
      </c>
      <c r="C6" s="4" t="n"/>
      <c r="D6" s="4" t="n"/>
      <c r="E6" s="4" t="n"/>
      <c r="F6" s="4" t="n"/>
      <c r="G6" s="4" t="n"/>
      <c r="H6" s="4" t="n"/>
      <c r="I6" s="4" t="n"/>
      <c r="J6" s="4" t="n"/>
      <c r="K6" s="4" t="n"/>
      <c r="L6" s="4" t="n"/>
      <c r="M6" s="4" t="n"/>
      <c r="N6" s="4" t="n"/>
      <c r="O6" s="4" t="n"/>
      <c r="P6" s="4" t="n"/>
      <c r="Q6" s="4" t="n"/>
      <c r="R6" s="4" t="n"/>
    </row>
    <row r="7">
      <c r="A7" s="2" t="inlineStr">
        <is>
          <t>FECHA</t>
        </is>
      </c>
      <c r="B7" s="5" t="inlineStr">
        <is>
          <t>OCTUBRE 2026</t>
        </is>
      </c>
      <c r="C7" s="4" t="n"/>
      <c r="D7" s="4" t="n"/>
      <c r="E7" s="4" t="n"/>
      <c r="F7" s="4" t="n"/>
      <c r="G7" s="4" t="n"/>
      <c r="H7" s="4" t="n"/>
      <c r="I7" s="4" t="n"/>
      <c r="J7" s="4" t="n"/>
      <c r="K7" s="4" t="n"/>
      <c r="L7" s="4" t="n"/>
      <c r="M7" s="4" t="n"/>
      <c r="N7" s="4" t="n"/>
      <c r="O7" s="4" t="n"/>
      <c r="P7" s="4" t="n"/>
      <c r="Q7" s="4" t="n"/>
      <c r="R7" s="4" t="n"/>
    </row>
    <row r="9">
      <c r="A9" s="6" t="inlineStr">
        <is>
          <t>ITEM</t>
        </is>
      </c>
      <c r="B9" s="6" t="inlineStr">
        <is>
          <t>DESCRIPCIÓN</t>
        </is>
      </c>
      <c r="C9" s="6" t="inlineStr">
        <is>
          <t>UND</t>
        </is>
      </c>
      <c r="D9" s="6" t="inlineStr">
        <is>
          <t>E-01</t>
        </is>
      </c>
      <c r="E9" s="6" t="inlineStr">
        <is>
          <t>E-02</t>
        </is>
      </c>
      <c r="F9" s="6" t="inlineStr">
        <is>
          <t>E-03</t>
        </is>
      </c>
      <c r="G9" s="6" t="inlineStr">
        <is>
          <t>E-04</t>
        </is>
      </c>
      <c r="H9" s="6" t="inlineStr">
        <is>
          <t>E-05</t>
        </is>
      </c>
      <c r="I9" s="6" t="inlineStr">
        <is>
          <t>E-06</t>
        </is>
      </c>
      <c r="J9" s="6" t="inlineStr">
        <is>
          <t>E-07</t>
        </is>
      </c>
      <c r="K9" s="6" t="inlineStr">
        <is>
          <t>E-08</t>
        </is>
      </c>
      <c r="L9" s="6" t="inlineStr">
        <is>
          <t>E-09</t>
        </is>
      </c>
      <c r="M9" s="6" t="inlineStr">
        <is>
          <t>EXT</t>
        </is>
      </c>
      <c r="N9" s="6" t="inlineStr">
        <is>
          <t>SIN UBICAR</t>
        </is>
      </c>
      <c r="O9" s="6" t="inlineStr">
        <is>
          <t>TOTAL</t>
        </is>
      </c>
      <c r="P9" s="6" t="inlineStr">
        <is>
          <t>LEYENDA SE-S-02</t>
        </is>
      </c>
      <c r="Q9" s="6" t="inlineStr">
        <is>
          <t>DIFERENCIA</t>
        </is>
      </c>
      <c r="R9" s="6" t="inlineStr">
        <is>
          <t>FUENTE DE LA CANTIDAD</t>
        </is>
      </c>
    </row>
    <row r="10" ht="60" customHeight="1">
      <c r="A10" s="12" t="n"/>
      <c r="B10" s="12" t="n"/>
      <c r="C10" s="12" t="n"/>
      <c r="D10" s="13" t="inlineStr">
        <is>
          <t>Administración</t>
        </is>
      </c>
      <c r="E10" s="13" t="inlineStr">
        <is>
          <t>Almacén de donaciones y tópico</t>
        </is>
      </c>
      <c r="F10" s="13" t="inlineStr">
        <is>
          <t>Mantenimiento</t>
        </is>
      </c>
      <c r="G10" s="13" t="inlineStr">
        <is>
          <t>Talleres</t>
        </is>
      </c>
      <c r="H10" s="13" t="inlineStr">
        <is>
          <t>SUM-comedor, cocina, lavandería, módulo de enseñanza y módulo infantil</t>
        </is>
      </c>
      <c r="I10" s="13" t="inlineStr">
        <is>
          <t>Habitaciones (1)</t>
        </is>
      </c>
      <c r="J10" s="13" t="inlineStr">
        <is>
          <t>Habitaciones (2)</t>
        </is>
      </c>
      <c r="K10" s="13" t="inlineStr">
        <is>
          <t>Habitaciones (3)</t>
        </is>
      </c>
      <c r="L10" s="13" t="inlineStr">
        <is>
          <t>Vestidores y almacén de implementos deportivos</t>
        </is>
      </c>
      <c r="M10" s="13" t="inlineStr">
        <is>
          <t>Exteriores</t>
        </is>
      </c>
      <c r="N10" s="12" t="n"/>
      <c r="O10" s="12" t="n"/>
      <c r="P10" s="12" t="n"/>
      <c r="Q10" s="12" t="n"/>
      <c r="R10" s="12" t="n"/>
    </row>
    <row r="11">
      <c r="A11" s="7" t="inlineStr">
        <is>
          <t>01</t>
        </is>
      </c>
      <c r="B11" s="2" t="inlineStr">
        <is>
          <t>SEÑALES DE EVACUACIÓN Y EMERGENCIA</t>
        </is>
      </c>
      <c r="C11" s="4" t="n"/>
      <c r="D11" s="4" t="n"/>
      <c r="E11" s="4" t="n"/>
      <c r="F11" s="4" t="n"/>
      <c r="G11" s="4" t="n"/>
      <c r="H11" s="4" t="n"/>
      <c r="I11" s="4" t="n"/>
      <c r="J11" s="4" t="n"/>
      <c r="K11" s="4" t="n"/>
      <c r="L11" s="4" t="n"/>
      <c r="M11" s="4" t="n"/>
      <c r="N11" s="4" t="n"/>
      <c r="O11" s="4" t="n"/>
      <c r="P11" s="4" t="n"/>
      <c r="Q11" s="4" t="n"/>
      <c r="R11" s="4" t="n"/>
    </row>
    <row r="12">
      <c r="A12" s="10" t="inlineStr">
        <is>
          <t>01.01</t>
        </is>
      </c>
      <c r="B12" s="5" t="inlineStr">
        <is>
          <t>SEÑAL DE SALIDA CON BRAILLE</t>
        </is>
      </c>
      <c r="C12" s="10" t="inlineStr">
        <is>
          <t>und</t>
        </is>
      </c>
      <c r="D12" s="14" t="n">
        <v>3</v>
      </c>
      <c r="E12" s="14" t="n">
        <v>3</v>
      </c>
      <c r="F12" s="14" t="n">
        <v>5</v>
      </c>
      <c r="G12" s="14" t="n">
        <v>7</v>
      </c>
      <c r="H12" s="14" t="n">
        <v>6</v>
      </c>
      <c r="I12" s="14" t="n">
        <v>6</v>
      </c>
      <c r="J12" s="14" t="n">
        <v>12</v>
      </c>
      <c r="K12" s="14" t="n">
        <v>6</v>
      </c>
      <c r="L12" s="14" t="n">
        <v>1</v>
      </c>
      <c r="M12" s="14" t="n"/>
      <c r="N12" s="14" t="n"/>
      <c r="O12" s="15">
        <f>SUM(D12:N12)</f>
        <v/>
      </c>
      <c r="P12" s="14" t="n">
        <v>49</v>
      </c>
      <c r="Q12" s="16">
        <f>O12-P12</f>
        <v/>
      </c>
      <c r="R12" s="17" t="inlineStr">
        <is>
          <t>Planta de SE-S-02: símbolos dibujados; leyenda: 49</t>
        </is>
      </c>
    </row>
    <row r="13">
      <c r="A13" s="10" t="inlineStr">
        <is>
          <t>01.02</t>
        </is>
      </c>
      <c r="B13" s="5" t="inlineStr">
        <is>
          <t>SEÑAL DE DIRECCIÓN DE EVACUACIÓN</t>
        </is>
      </c>
      <c r="C13" s="10" t="inlineStr">
        <is>
          <t>und</t>
        </is>
      </c>
      <c r="D13" s="14" t="n">
        <v>12</v>
      </c>
      <c r="E13" s="14" t="n">
        <v>4</v>
      </c>
      <c r="F13" s="14" t="n"/>
      <c r="G13" s="14" t="n">
        <v>20</v>
      </c>
      <c r="H13" s="14" t="n">
        <v>10</v>
      </c>
      <c r="I13" s="14" t="n">
        <v>5</v>
      </c>
      <c r="J13" s="14" t="n">
        <v>7</v>
      </c>
      <c r="K13" s="14" t="n">
        <v>5</v>
      </c>
      <c r="L13" s="14" t="n"/>
      <c r="M13" s="14" t="n"/>
      <c r="N13" s="14" t="n"/>
      <c r="O13" s="15">
        <f>SUM(D13:N13)</f>
        <v/>
      </c>
      <c r="P13" s="14" t="n">
        <v>63</v>
      </c>
      <c r="Q13" s="16">
        <f>O13-P13</f>
        <v/>
      </c>
      <c r="R13" s="17" t="inlineStr">
        <is>
          <t>Planta de SE-S-02: símbolos dibujados; leyenda: 63</t>
        </is>
      </c>
    </row>
    <row r="14">
      <c r="A14" s="10" t="inlineStr">
        <is>
          <t>01.03</t>
        </is>
      </c>
      <c r="B14" s="5" t="inlineStr">
        <is>
          <t>SEÑAL DE ZONA SEGURA EN CASO DE SISMO CON BRAILLE</t>
        </is>
      </c>
      <c r="C14" s="10" t="inlineStr">
        <is>
          <t>und</t>
        </is>
      </c>
      <c r="D14" s="14" t="n">
        <v>28</v>
      </c>
      <c r="E14" s="14" t="n">
        <v>12</v>
      </c>
      <c r="F14" s="14" t="n">
        <v>14</v>
      </c>
      <c r="G14" s="14" t="n">
        <v>37</v>
      </c>
      <c r="H14" s="14" t="n">
        <v>22</v>
      </c>
      <c r="I14" s="14" t="n">
        <v>20</v>
      </c>
      <c r="J14" s="14" t="n">
        <v>45</v>
      </c>
      <c r="K14" s="14" t="n">
        <v>20</v>
      </c>
      <c r="L14" s="14" t="n">
        <v>11</v>
      </c>
      <c r="M14" s="14" t="n"/>
      <c r="N14" s="14" t="n"/>
      <c r="O14" s="15">
        <f>SUM(D14:N14)</f>
        <v/>
      </c>
      <c r="P14" s="14" t="n">
        <v>210</v>
      </c>
      <c r="Q14" s="16">
        <f>O14-P14</f>
        <v/>
      </c>
      <c r="R14" s="17" t="inlineStr">
        <is>
          <t>Planta de SE-S-02: símbolos dibujados; leyenda: 210</t>
        </is>
      </c>
    </row>
    <row r="15">
      <c r="A15" s="10" t="inlineStr">
        <is>
          <t>01.04</t>
        </is>
      </c>
      <c r="B15" s="5" t="inlineStr">
        <is>
          <t>LETRERO DE AFORO CON BRAILLE</t>
        </is>
      </c>
      <c r="C15" s="10" t="inlineStr">
        <is>
          <t>und</t>
        </is>
      </c>
      <c r="D15" s="14" t="n">
        <v>10</v>
      </c>
      <c r="E15" s="14" t="n">
        <v>3</v>
      </c>
      <c r="F15" s="14" t="n">
        <v>5</v>
      </c>
      <c r="G15" s="14" t="n">
        <v>7</v>
      </c>
      <c r="H15" s="14" t="n">
        <v>5</v>
      </c>
      <c r="I15" s="14" t="n">
        <v>6</v>
      </c>
      <c r="J15" s="14" t="n">
        <v>12</v>
      </c>
      <c r="K15" s="14" t="n">
        <v>6</v>
      </c>
      <c r="L15" s="14" t="n">
        <v>1</v>
      </c>
      <c r="M15" s="14" t="n"/>
      <c r="N15" s="14" t="n"/>
      <c r="O15" s="15">
        <f>SUM(D15:N15)</f>
        <v/>
      </c>
      <c r="P15" s="14" t="n">
        <v>55</v>
      </c>
      <c r="Q15" s="16">
        <f>O15-P15</f>
        <v/>
      </c>
      <c r="R15" s="17" t="inlineStr">
        <is>
          <t>Planta de SE-S-02: símbolos dibujados; leyenda: 55</t>
        </is>
      </c>
    </row>
    <row r="16">
      <c r="A16" s="10" t="inlineStr">
        <is>
          <t>01.05</t>
        </is>
      </c>
      <c r="B16" s="5" t="inlineStr">
        <is>
          <t>PINTURA DE ZONA DE EVACUACIÓN EN CASO DE EMERGENCIA EN PISO (CÍRCULO DE 4.30 m, LÍNEA DE 0.15 m)</t>
        </is>
      </c>
      <c r="C16" s="10" t="inlineStr">
        <is>
          <t>m2</t>
        </is>
      </c>
      <c r="D16" s="18" t="n"/>
      <c r="E16" s="18" t="n"/>
      <c r="F16" s="18" t="n"/>
      <c r="G16" s="18" t="n"/>
      <c r="H16" s="18" t="n"/>
      <c r="I16" s="18" t="n"/>
      <c r="J16" s="18" t="n"/>
      <c r="K16" s="18" t="n"/>
      <c r="L16" s="18" t="n"/>
      <c r="M16" s="18">
        <f>'ZONAS DE EVACUACIÓN'!G25</f>
        <v/>
      </c>
      <c r="N16" s="18" t="n"/>
      <c r="O16" s="19">
        <f>SUM(D16:N16)</f>
        <v/>
      </c>
      <c r="P16" s="18" t="n">
        <v>0</v>
      </c>
      <c r="Q16" s="20">
        <f>O16-P16</f>
        <v/>
      </c>
      <c r="R16" s="17" t="inlineStr">
        <is>
          <t>Lámina SE-E-01: 13 zonas de evacuación de 4.30 m de diámetro con anillo de 0.15 m (13 x 1.9556 m²); leyenda de SE-S-02: 00</t>
        </is>
      </c>
    </row>
    <row r="17">
      <c r="A17" s="7" t="inlineStr">
        <is>
          <t>02</t>
        </is>
      </c>
      <c r="B17" s="2" t="inlineStr">
        <is>
          <t>SEÑALES DE EQUIPOS CONTRA INCENDIO</t>
        </is>
      </c>
      <c r="C17" s="4" t="n"/>
      <c r="D17" s="4" t="n"/>
      <c r="E17" s="4" t="n"/>
      <c r="F17" s="4" t="n"/>
      <c r="G17" s="4" t="n"/>
      <c r="H17" s="4" t="n"/>
      <c r="I17" s="4" t="n"/>
      <c r="J17" s="4" t="n"/>
      <c r="K17" s="4" t="n"/>
      <c r="L17" s="4" t="n"/>
      <c r="M17" s="4" t="n"/>
      <c r="N17" s="4" t="n"/>
      <c r="O17" s="4" t="n"/>
      <c r="P17" s="4" t="n"/>
      <c r="Q17" s="4" t="n"/>
      <c r="R17" s="4" t="n"/>
    </row>
    <row r="18">
      <c r="A18" s="10" t="inlineStr">
        <is>
          <t>02.01</t>
        </is>
      </c>
      <c r="B18" s="5" t="inlineStr">
        <is>
          <t>SEÑAL DE UBICACIÓN DE EXTINTOR PQS CON BRAILLE</t>
        </is>
      </c>
      <c r="C18" s="10" t="inlineStr">
        <is>
          <t>und</t>
        </is>
      </c>
      <c r="D18" s="14" t="n">
        <v>3</v>
      </c>
      <c r="E18" s="14" t="n">
        <v>4</v>
      </c>
      <c r="F18" s="14" t="n">
        <v>3</v>
      </c>
      <c r="G18" s="14" t="n">
        <v>2</v>
      </c>
      <c r="H18" s="14" t="n">
        <v>4</v>
      </c>
      <c r="I18" s="14" t="n">
        <v>4</v>
      </c>
      <c r="J18" s="14" t="n">
        <v>8</v>
      </c>
      <c r="K18" s="14" t="n">
        <v>4</v>
      </c>
      <c r="L18" s="14" t="n">
        <v>1</v>
      </c>
      <c r="M18" s="14" t="n"/>
      <c r="N18" s="14" t="n"/>
      <c r="O18" s="15">
        <f>SUM(D18:N18)</f>
        <v/>
      </c>
      <c r="P18" s="14" t="n">
        <v>44</v>
      </c>
      <c r="Q18" s="16">
        <f>O18-P18</f>
        <v/>
      </c>
      <c r="R18" s="17" t="inlineStr">
        <is>
          <t>Planta de SE-S-02: símbolos dibujados; leyenda: 44</t>
        </is>
      </c>
    </row>
    <row r="19">
      <c r="A19" s="7" t="inlineStr">
        <is>
          <t>03</t>
        </is>
      </c>
      <c r="B19" s="2" t="inlineStr">
        <is>
          <t>SEÑALES DE ADVERTENCIA</t>
        </is>
      </c>
      <c r="C19" s="4" t="n"/>
      <c r="D19" s="4" t="n"/>
      <c r="E19" s="4" t="n"/>
      <c r="F19" s="4" t="n"/>
      <c r="G19" s="4" t="n"/>
      <c r="H19" s="4" t="n"/>
      <c r="I19" s="4" t="n"/>
      <c r="J19" s="4" t="n"/>
      <c r="K19" s="4" t="n"/>
      <c r="L19" s="4" t="n"/>
      <c r="M19" s="4" t="n"/>
      <c r="N19" s="4" t="n"/>
      <c r="O19" s="4" t="n"/>
      <c r="P19" s="4" t="n"/>
      <c r="Q19" s="4" t="n"/>
      <c r="R19" s="4" t="n"/>
    </row>
    <row r="20">
      <c r="A20" s="10" t="inlineStr">
        <is>
          <t>03.01</t>
        </is>
      </c>
      <c r="B20" s="5" t="inlineStr">
        <is>
          <t>SEÑAL DE ATENCIÓN RIESGO ELÉCTRICO CON BRAILLE</t>
        </is>
      </c>
      <c r="C20" s="10" t="inlineStr">
        <is>
          <t>und</t>
        </is>
      </c>
      <c r="D20" s="14" t="n">
        <v>8</v>
      </c>
      <c r="E20" s="14" t="n">
        <v>2</v>
      </c>
      <c r="F20" s="14" t="n">
        <v>2</v>
      </c>
      <c r="G20" s="14" t="n">
        <v>5</v>
      </c>
      <c r="H20" s="14" t="n">
        <v>3</v>
      </c>
      <c r="I20" s="14" t="n">
        <v>6</v>
      </c>
      <c r="J20" s="14" t="n">
        <v>6</v>
      </c>
      <c r="K20" s="14" t="n">
        <v>6</v>
      </c>
      <c r="L20" s="14" t="n">
        <v>1</v>
      </c>
      <c r="M20" s="14" t="n"/>
      <c r="N20" s="14" t="n"/>
      <c r="O20" s="15">
        <f>SUM(D20:N20)</f>
        <v/>
      </c>
      <c r="P20" s="14" t="n">
        <v>38</v>
      </c>
      <c r="Q20" s="16">
        <f>O20-P20</f>
        <v/>
      </c>
      <c r="R20" s="17" t="inlineStr">
        <is>
          <t>Imagen pegada en el DXF (sin ubicación): 39 imágenes en el espacio modelo; reparto por edificación del metrado de evacuación de arquitectura; leyenda: 38</t>
        </is>
      </c>
    </row>
    <row r="21">
      <c r="A21" s="7" t="inlineStr">
        <is>
          <t>04</t>
        </is>
      </c>
      <c r="B21" s="2" t="inlineStr">
        <is>
          <t>SEÑALES INFORMATIVAS</t>
        </is>
      </c>
      <c r="C21" s="4" t="n"/>
      <c r="D21" s="4" t="n"/>
      <c r="E21" s="4" t="n"/>
      <c r="F21" s="4" t="n"/>
      <c r="G21" s="4" t="n"/>
      <c r="H21" s="4" t="n"/>
      <c r="I21" s="4" t="n"/>
      <c r="J21" s="4" t="n"/>
      <c r="K21" s="4" t="n"/>
      <c r="L21" s="4" t="n"/>
      <c r="M21" s="4" t="n"/>
      <c r="N21" s="4" t="n"/>
      <c r="O21" s="4" t="n"/>
      <c r="P21" s="4" t="n"/>
      <c r="Q21" s="4" t="n"/>
      <c r="R21" s="4" t="n"/>
    </row>
    <row r="22">
      <c r="A22" s="10" t="inlineStr">
        <is>
          <t>04.01</t>
        </is>
      </c>
      <c r="B22" s="5" t="inlineStr">
        <is>
          <t>SEÑAL DE SERVICIOS HIGIÉNICOS PARA PERSONAS CON DISCAPACIDAD CON BRAILLE</t>
        </is>
      </c>
      <c r="C22" s="10" t="inlineStr">
        <is>
          <t>und</t>
        </is>
      </c>
      <c r="D22" s="14" t="n">
        <v>1</v>
      </c>
      <c r="E22" s="14" t="n"/>
      <c r="F22" s="14" t="n"/>
      <c r="G22" s="14" t="n">
        <v>1</v>
      </c>
      <c r="H22" s="14" t="n"/>
      <c r="I22" s="14" t="n">
        <v>1</v>
      </c>
      <c r="J22" s="14" t="n"/>
      <c r="K22" s="14" t="n"/>
      <c r="L22" s="14" t="n"/>
      <c r="M22" s="14" t="n"/>
      <c r="N22" s="14" t="n"/>
      <c r="O22" s="15">
        <f>SUM(D22:N22)</f>
        <v/>
      </c>
      <c r="P22" s="14" t="n">
        <v>3</v>
      </c>
      <c r="Q22" s="16">
        <f>O22-P22</f>
        <v/>
      </c>
      <c r="R22" s="17" t="inlineStr">
        <is>
          <t>Planta de SE-S-02: símbolos dibujados; leyenda: 3</t>
        </is>
      </c>
    </row>
    <row r="23">
      <c r="A23" s="10" t="inlineStr">
        <is>
          <t>04.02</t>
        </is>
      </c>
      <c r="B23" s="5" t="inlineStr">
        <is>
          <t>SEÑAL DE SERVICIOS HIGIÉNICOS MUJERES CON BRAILLE</t>
        </is>
      </c>
      <c r="C23" s="10" t="inlineStr">
        <is>
          <t>und</t>
        </is>
      </c>
      <c r="D23" s="14" t="n">
        <v>2</v>
      </c>
      <c r="E23" s="14" t="n"/>
      <c r="F23" s="14" t="n"/>
      <c r="G23" s="14" t="n">
        <v>1</v>
      </c>
      <c r="H23" s="14" t="n"/>
      <c r="I23" s="14" t="n">
        <v>3</v>
      </c>
      <c r="J23" s="14" t="n">
        <v>11</v>
      </c>
      <c r="K23" s="14" t="n">
        <v>4</v>
      </c>
      <c r="L23" s="14" t="n">
        <v>1</v>
      </c>
      <c r="M23" s="14" t="n">
        <v>1</v>
      </c>
      <c r="N23" s="14" t="n"/>
      <c r="O23" s="15">
        <f>SUM(D23:N23)</f>
        <v/>
      </c>
      <c r="P23" s="14" t="n">
        <v>3</v>
      </c>
      <c r="Q23" s="16">
        <f>O23-P23</f>
        <v/>
      </c>
      <c r="R23" s="17" t="inlineStr">
        <is>
          <t>Planta de SE-S-02: símbolos dibujados (3 de mujeres + 20 de "mixto", que en un hogar solo para mujeres son de mujeres); leyenda: 3</t>
        </is>
      </c>
    </row>
    <row r="24">
      <c r="A24" s="10" t="inlineStr">
        <is>
          <t>04.03</t>
        </is>
      </c>
      <c r="B24" s="5" t="inlineStr">
        <is>
          <t>SEÑAL DE SERVICIOS HIGIÉNICOS VARÓN CON BRAILLE</t>
        </is>
      </c>
      <c r="C24" s="10" t="inlineStr">
        <is>
          <t>und</t>
        </is>
      </c>
      <c r="D24" s="14" t="n">
        <v>1</v>
      </c>
      <c r="E24" s="14" t="n"/>
      <c r="F24" s="14" t="n"/>
      <c r="G24" s="14" t="n">
        <v>1</v>
      </c>
      <c r="H24" s="14" t="n"/>
      <c r="I24" s="14" t="n"/>
      <c r="J24" s="14" t="n"/>
      <c r="K24" s="14" t="n"/>
      <c r="L24" s="14" t="n">
        <v>1</v>
      </c>
      <c r="M24" s="14" t="n"/>
      <c r="N24" s="14" t="n"/>
      <c r="O24" s="15">
        <f>SUM(D24:N24)</f>
        <v/>
      </c>
      <c r="P24" s="14" t="n">
        <v>3</v>
      </c>
      <c r="Q24" s="16">
        <f>O24-P24</f>
        <v/>
      </c>
      <c r="R24" s="17" t="inlineStr">
        <is>
          <t>Planta de SE-S-02: símbolos dibujados; leyenda: 3</t>
        </is>
      </c>
    </row>
    <row r="25">
      <c r="A25" s="10" t="inlineStr">
        <is>
          <t>04.04</t>
        </is>
      </c>
      <c r="B25" s="5" t="inlineStr">
        <is>
          <t>SEÑAL DE PUNTO ECOLÓGICO CON BRAILLE</t>
        </is>
      </c>
      <c r="C25" s="10" t="inlineStr">
        <is>
          <t>und</t>
        </is>
      </c>
      <c r="D25" s="14" t="n"/>
      <c r="E25" s="14" t="n"/>
      <c r="F25" s="14" t="n"/>
      <c r="G25" s="14" t="n"/>
      <c r="H25" s="14" t="n"/>
      <c r="I25" s="14" t="n"/>
      <c r="J25" s="14" t="n"/>
      <c r="K25" s="14" t="n"/>
      <c r="L25" s="14" t="n"/>
      <c r="M25" s="14" t="n">
        <v>4</v>
      </c>
      <c r="N25" s="14" t="n"/>
      <c r="O25" s="15">
        <f>SUM(D25:N25)</f>
        <v/>
      </c>
      <c r="P25" s="14" t="n">
        <v>0</v>
      </c>
      <c r="Q25" s="16">
        <f>O25-P25</f>
        <v/>
      </c>
      <c r="R25" s="17" t="inlineStr">
        <is>
          <t>Planta de SE-S-02: símbolos dibujados; leyenda: 0</t>
        </is>
      </c>
    </row>
    <row r="26">
      <c r="A26" s="7" t="inlineStr">
        <is>
          <t>05</t>
        </is>
      </c>
      <c r="B26" s="2" t="inlineStr">
        <is>
          <t>EQUIPOS DE PROTECCIÓN CONTRA INCENDIO Y EMERGENCIA</t>
        </is>
      </c>
      <c r="C26" s="4" t="n"/>
      <c r="D26" s="4" t="n"/>
      <c r="E26" s="4" t="n"/>
      <c r="F26" s="4" t="n"/>
      <c r="G26" s="4" t="n"/>
      <c r="H26" s="4" t="n"/>
      <c r="I26" s="4" t="n"/>
      <c r="J26" s="4" t="n"/>
      <c r="K26" s="4" t="n"/>
      <c r="L26" s="4" t="n"/>
      <c r="M26" s="4" t="n"/>
      <c r="N26" s="4" t="n"/>
      <c r="O26" s="4" t="n"/>
      <c r="P26" s="4" t="n"/>
      <c r="Q26" s="4" t="n"/>
      <c r="R26" s="4" t="n"/>
    </row>
    <row r="27">
      <c r="A27" s="10" t="inlineStr">
        <is>
          <t>05.01</t>
        </is>
      </c>
      <c r="B27" s="5" t="inlineStr">
        <is>
          <t>EXTINTOR DE POLVO QUÍMICO SECO (PQS) TIPO ABC DE 9 kg</t>
        </is>
      </c>
      <c r="C27" s="10" t="inlineStr">
        <is>
          <t>und</t>
        </is>
      </c>
      <c r="D27" s="14" t="n">
        <v>3</v>
      </c>
      <c r="E27" s="14" t="n">
        <v>4</v>
      </c>
      <c r="F27" s="14" t="n">
        <v>3</v>
      </c>
      <c r="G27" s="14" t="n">
        <v>2</v>
      </c>
      <c r="H27" s="14" t="n">
        <v>4</v>
      </c>
      <c r="I27" s="14" t="n">
        <v>4</v>
      </c>
      <c r="J27" s="14" t="n">
        <v>8</v>
      </c>
      <c r="K27" s="14" t="n">
        <v>4</v>
      </c>
      <c r="L27" s="14" t="n">
        <v>1</v>
      </c>
      <c r="M27" s="14" t="n"/>
      <c r="N27" s="14" t="n"/>
      <c r="O27" s="15">
        <f>SUM(D27:N27)</f>
        <v/>
      </c>
      <c r="P27" s="14" t="n">
        <v>44</v>
      </c>
      <c r="Q27" s="16">
        <f>O27-P27</f>
        <v/>
      </c>
      <c r="R27" s="17" t="inlineStr">
        <is>
          <t>Planta de SE-S-02: símbolos dibujados; leyenda: 44</t>
        </is>
      </c>
    </row>
    <row r="28">
      <c r="A28" s="10" t="inlineStr">
        <is>
          <t>05.02</t>
        </is>
      </c>
      <c r="B28" s="5" t="inlineStr">
        <is>
          <t>UNIDAD DE LUCES DE EMERGENCIA</t>
        </is>
      </c>
      <c r="C28" s="10" t="inlineStr">
        <is>
          <t>und</t>
        </is>
      </c>
      <c r="D28" s="14" t="n">
        <v>16</v>
      </c>
      <c r="E28" s="14" t="n">
        <v>2</v>
      </c>
      <c r="F28" s="14" t="n">
        <v>9</v>
      </c>
      <c r="G28" s="14" t="n">
        <v>20</v>
      </c>
      <c r="H28" s="14" t="n">
        <v>18</v>
      </c>
      <c r="I28" s="14" t="n">
        <v>12</v>
      </c>
      <c r="J28" s="14" t="n">
        <v>21</v>
      </c>
      <c r="K28" s="14" t="n">
        <v>12</v>
      </c>
      <c r="L28" s="14" t="n">
        <v>5</v>
      </c>
      <c r="M28" s="14" t="n"/>
      <c r="N28" s="14" t="n"/>
      <c r="O28" s="15">
        <f>SUM(D28:N28)</f>
        <v/>
      </c>
      <c r="P28" s="14" t="n">
        <v>77</v>
      </c>
      <c r="Q28" s="16">
        <f>O28-P28</f>
        <v/>
      </c>
      <c r="R28" s="17" t="inlineStr">
        <is>
          <t>Planta de SE-S-02: símbolos dibujados (77 "LE" + 38 "A$C7A2016C2"); leyenda: 77</t>
        </is>
      </c>
    </row>
    <row r="29">
      <c r="A29" s="10" t="inlineStr">
        <is>
          <t>05.03</t>
        </is>
      </c>
      <c r="B29" s="5" t="inlineStr">
        <is>
          <t>DETECTOR DE HUMO</t>
        </is>
      </c>
      <c r="C29" s="10" t="inlineStr">
        <is>
          <t>und</t>
        </is>
      </c>
      <c r="D29" s="14" t="n">
        <v>13</v>
      </c>
      <c r="E29" s="14" t="n">
        <v>2</v>
      </c>
      <c r="F29" s="14" t="n">
        <v>5</v>
      </c>
      <c r="G29" s="14" t="n">
        <v>9</v>
      </c>
      <c r="H29" s="14" t="n">
        <v>12</v>
      </c>
      <c r="I29" s="14" t="n">
        <v>6</v>
      </c>
      <c r="J29" s="14" t="n">
        <v>12</v>
      </c>
      <c r="K29" s="14" t="n">
        <v>6</v>
      </c>
      <c r="L29" s="14" t="n">
        <v>1</v>
      </c>
      <c r="M29" s="14" t="n">
        <v>1</v>
      </c>
      <c r="N29" s="14" t="n"/>
      <c r="O29" s="15">
        <f>SUM(D29:N29)</f>
        <v/>
      </c>
      <c r="P29" s="14" t="n">
        <v>68</v>
      </c>
      <c r="Q29" s="16">
        <f>O29-P29</f>
        <v/>
      </c>
      <c r="R29" s="17" t="inlineStr">
        <is>
          <t>Planta de SE-S-02: símbolos dibujados; 1 copia fuera del terreno no se metra; leyenda: 68</t>
        </is>
      </c>
    </row>
    <row r="30">
      <c r="A30" s="21" t="n"/>
      <c r="B30" s="22" t="inlineStr">
        <is>
          <t>TOTAL DE SEÑALES Y EQUIPOS (und)</t>
        </is>
      </c>
      <c r="C30" s="21" t="n"/>
      <c r="D30" s="15">
        <f>SUMIF($C$11:$C$29,"und",D11:D29)</f>
        <v/>
      </c>
      <c r="E30" s="15">
        <f>SUMIF($C$11:$C$29,"und",E11:E29)</f>
        <v/>
      </c>
      <c r="F30" s="15">
        <f>SUMIF($C$11:$C$29,"und",F11:F29)</f>
        <v/>
      </c>
      <c r="G30" s="15">
        <f>SUMIF($C$11:$C$29,"und",G11:G29)</f>
        <v/>
      </c>
      <c r="H30" s="15">
        <f>SUMIF($C$11:$C$29,"und",H11:H29)</f>
        <v/>
      </c>
      <c r="I30" s="15">
        <f>SUMIF($C$11:$C$29,"und",I11:I29)</f>
        <v/>
      </c>
      <c r="J30" s="15">
        <f>SUMIF($C$11:$C$29,"und",J11:J29)</f>
        <v/>
      </c>
      <c r="K30" s="15">
        <f>SUMIF($C$11:$C$29,"und",K11:K29)</f>
        <v/>
      </c>
      <c r="L30" s="15">
        <f>SUMIF($C$11:$C$29,"und",L11:L29)</f>
        <v/>
      </c>
      <c r="M30" s="15">
        <f>SUMIF($C$11:$C$29,"und",M11:M29)</f>
        <v/>
      </c>
      <c r="N30" s="15">
        <f>SUMIF($C$11:$C$29,"und",N11:N29)</f>
        <v/>
      </c>
      <c r="O30" s="15">
        <f>SUMIF($C$11:$C$29,"und",O11:O29)</f>
        <v/>
      </c>
      <c r="P30" s="21" t="n"/>
      <c r="Q30" s="21" t="n"/>
      <c r="R30" s="21" t="n"/>
    </row>
    <row r="32" ht="12" customHeight="1">
      <c r="A32" s="23" t="inlineStr">
        <is>
          <t>Notas:</t>
        </is>
      </c>
    </row>
    <row r="33" ht="26" customHeight="1">
      <c r="A33" s="24" t="inlineStr">
        <is>
          <t>1. Cantidad por edificación: cada símbolo de la planta de la lámina SE-S-02 se asigna a la edificación donde está (contorno del bloque de la planta general, con 0.60 m de margen para las señales de fachada; donde los contornos se traslapan en los aleros, la edificación que lo contiene con más holgura); EXT = exteriores (garita de control, patios, estacionamientos, puntos ecológicos y circulaciones). No se metran las copias de símbolos que están fuera del terreno.</t>
        </is>
      </c>
    </row>
    <row r="34" ht="26" customHeight="1">
      <c r="A34" s="24" t="inlineStr">
        <is>
          <t>2. Atención riesgo eléctrico: en el DXF es una imagen pegada (OLE) que no exporta su ubicación; se metran las 39 imágenes de igual tamaño del espacio modelo (la leyenda indica 38), con el reparto por edificación del metrado de evacuación de arquitectura, que suma lo mismo. Se instalan en los tableros y ambientes eléctricos que indica la lámina.</t>
        </is>
      </c>
    </row>
    <row r="35" ht="26" customHeight="1">
      <c r="A35" s="24" t="inlineStr">
        <is>
          <t>3. Unidad de luces de emergencia: los bloques "LE" (77) y "A$C7A2016C2" (38) son el mismo símbolo de la leyenda (el primero contiene al segundo); se suman los dos: 115 und. La leyenda indica 77.</t>
        </is>
      </c>
    </row>
    <row r="36" ht="26" customHeight="1">
      <c r="A36" s="24" t="inlineStr">
        <is>
          <t>4. Extintores: uno por cada señal de ubicación de extintor de la planta (33), PQS tipo ABC de 9 kg.</t>
        </is>
      </c>
    </row>
    <row r="37" ht="26" customHeight="1">
      <c r="A37" s="24" t="inlineStr">
        <is>
          <t>5. DIFERENCIA = metrado - leyenda: las filas distintas de "conforme" son correcciones a la leyenda del plano (nota de observaciones de señalización).</t>
        </is>
      </c>
    </row>
    <row r="38" ht="26" customHeight="1">
      <c r="A38" s="24" t="inlineStr">
        <is>
          <t>6. Unidades de luces de emergencia y detectores de humo: su conexión y circuitos son de instalaciones eléctricas.</t>
        </is>
      </c>
    </row>
    <row r="39" ht="26" customHeight="1">
      <c r="A39" s="24" t="inlineStr">
        <is>
          <t>7. Zonas de evacuación en caso de emergencia: las 13 de la lámina SE-E-01 (anillo pintado de 4.30 m de diámetro exterior y 0.15 m de ancho); el área sale de la hoja ZONAS DE EVACUACIÓN. La leyenda de SE-S-02 tiene la fila "zona de reuniones" en 00.</t>
        </is>
      </c>
    </row>
  </sheetData>
  <mergeCells count="28">
    <mergeCell ref="B4:R4"/>
    <mergeCell ref="B26:R26"/>
    <mergeCell ref="P9:P10"/>
    <mergeCell ref="B7:R7"/>
    <mergeCell ref="A37:R37"/>
    <mergeCell ref="B3:R3"/>
    <mergeCell ref="C9:C10"/>
    <mergeCell ref="B21:R21"/>
    <mergeCell ref="A33:R33"/>
    <mergeCell ref="Q9:Q10"/>
    <mergeCell ref="A32:R32"/>
    <mergeCell ref="B2:R2"/>
    <mergeCell ref="B11:R11"/>
    <mergeCell ref="A35:R35"/>
    <mergeCell ref="B9:B10"/>
    <mergeCell ref="B17:R17"/>
    <mergeCell ref="A38:R38"/>
    <mergeCell ref="N9:N10"/>
    <mergeCell ref="B19:R19"/>
    <mergeCell ref="A34:R34"/>
    <mergeCell ref="R9:R10"/>
    <mergeCell ref="A39:R39"/>
    <mergeCell ref="A9:A10"/>
    <mergeCell ref="O9:O10"/>
    <mergeCell ref="B6:R6"/>
    <mergeCell ref="A36:R36"/>
    <mergeCell ref="A1:R1"/>
    <mergeCell ref="B5:R5"/>
  </mergeCells>
  <pageMargins left="0.4" right="0.4" top="0.5" bottom="0.5"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I27"/>
  <sheetViews>
    <sheetView showGridLines="0" workbookViewId="0">
      <selection activeCell="A1" sqref="A1"/>
    </sheetView>
  </sheetViews>
  <sheetFormatPr baseColWidth="8" defaultRowHeight="15"/>
  <cols>
    <col width="6" customWidth="1" min="1" max="1"/>
    <col width="12" customWidth="1" min="2" max="2"/>
    <col width="14" customWidth="1" min="3" max="3"/>
    <col width="12" customWidth="1" min="4" max="4"/>
    <col width="13" customWidth="1" min="5" max="5"/>
    <col width="13" customWidth="1" min="6" max="6"/>
    <col width="13" customWidth="1" min="7" max="7"/>
    <col width="13" customWidth="1" min="8" max="8"/>
    <col width="11" customWidth="1" min="9" max="9"/>
  </cols>
  <sheetData>
    <row r="1" ht="24" customHeight="1">
      <c r="A1" s="1" t="inlineStr">
        <is>
          <t>ZONAS DE EVACUACIÓN EN CASO DE EMERGENCIA PINTADAS EN EL PISO - LÁMINA SE-E-01</t>
        </is>
      </c>
    </row>
    <row r="2" ht="36" customHeight="1">
      <c r="A2" s="2" t="inlineStr">
        <is>
          <t>PROYECTO</t>
        </is>
      </c>
      <c r="B2" s="3" t="inlineStr">
        <is>
          <t>“CREACIÓN DEL SERVICIO DE PROTECCIÓN A MUJERES VÍCTIMAS DE VIOLENCIA EN SITUACIÓN DE RIESGO DE FEMINICIDIO O PELIGRE SU INTEGRIDAD Y/O SALUD FÍSICA Y/O MENTAL EN HOGAR DE REFUGIO TEMPORAL DISTRITO DE MORALES DE LA PROVINCIA DE SAN MARTÍN DEL DEPARTAMENTO DE SAN MARTÍN”</t>
        </is>
      </c>
      <c r="C2" s="4" t="n"/>
      <c r="D2" s="4" t="n"/>
      <c r="E2" s="4" t="n"/>
      <c r="F2" s="4" t="n"/>
      <c r="G2" s="4" t="n"/>
      <c r="H2" s="4" t="n"/>
      <c r="I2" s="4" t="n"/>
    </row>
    <row r="3">
      <c r="A3" s="2" t="inlineStr">
        <is>
          <t>CUI</t>
        </is>
      </c>
      <c r="B3" s="5" t="inlineStr">
        <is>
          <t>N.° 2675514</t>
        </is>
      </c>
      <c r="C3" s="4" t="n"/>
      <c r="D3" s="4" t="n"/>
      <c r="E3" s="4" t="n"/>
      <c r="F3" s="4" t="n"/>
      <c r="G3" s="4" t="n"/>
      <c r="H3" s="4" t="n"/>
      <c r="I3" s="4" t="n"/>
    </row>
    <row r="4">
      <c r="A4" s="2" t="inlineStr">
        <is>
          <t>ESPECIALIDAD</t>
        </is>
      </c>
      <c r="B4" s="5" t="inlineStr">
        <is>
          <t>ARQUITECTURA - EVACUACIÓN Y SEÑALIZACIÓN</t>
        </is>
      </c>
      <c r="C4" s="4" t="n"/>
      <c r="D4" s="4" t="n"/>
      <c r="E4" s="4" t="n"/>
      <c r="F4" s="4" t="n"/>
      <c r="G4" s="4" t="n"/>
      <c r="H4" s="4" t="n"/>
      <c r="I4" s="4" t="n"/>
    </row>
    <row r="5">
      <c r="A5" s="2" t="inlineStr">
        <is>
          <t>UBICACIÓN</t>
        </is>
      </c>
      <c r="B5" s="5" t="inlineStr">
        <is>
          <t>Distrito de Morales, provincia y departamento de San Martín</t>
        </is>
      </c>
      <c r="C5" s="4" t="n"/>
      <c r="D5" s="4" t="n"/>
      <c r="E5" s="4" t="n"/>
      <c r="F5" s="4" t="n"/>
      <c r="G5" s="4" t="n"/>
      <c r="H5" s="4" t="n"/>
      <c r="I5" s="4" t="n"/>
    </row>
    <row r="6">
      <c r="A6" s="2" t="inlineStr">
        <is>
          <t>LÁMINAS</t>
        </is>
      </c>
      <c r="B6" s="5" t="inlineStr">
        <is>
          <t>SE-E-01 Planta general de evacuación (esc. 1/150) y SE-S-02 Planta general de señalización (esc. 1/150)</t>
        </is>
      </c>
      <c r="C6" s="4" t="n"/>
      <c r="D6" s="4" t="n"/>
      <c r="E6" s="4" t="n"/>
      <c r="F6" s="4" t="n"/>
      <c r="G6" s="4" t="n"/>
      <c r="H6" s="4" t="n"/>
      <c r="I6" s="4" t="n"/>
    </row>
    <row r="7">
      <c r="A7" s="2" t="inlineStr">
        <is>
          <t>FECHA</t>
        </is>
      </c>
      <c r="B7" s="5" t="inlineStr">
        <is>
          <t>OCTUBRE 2026</t>
        </is>
      </c>
      <c r="C7" s="4" t="n"/>
      <c r="D7" s="4" t="n"/>
      <c r="E7" s="4" t="n"/>
      <c r="F7" s="4" t="n"/>
      <c r="G7" s="4" t="n"/>
      <c r="H7" s="4" t="n"/>
      <c r="I7" s="4" t="n"/>
    </row>
    <row r="9">
      <c r="A9" s="2" t="inlineStr">
        <is>
          <t>Radio exterior (m)</t>
        </is>
      </c>
      <c r="B9" s="18" t="n">
        <v>2.15</v>
      </c>
      <c r="C9" s="2" t="inlineStr">
        <is>
          <t>Radio interior (m)</t>
        </is>
      </c>
      <c r="D9" s="18" t="n">
        <v>2</v>
      </c>
      <c r="E9" s="2" t="inlineStr">
        <is>
          <t>Ancho de línea (m)</t>
        </is>
      </c>
      <c r="F9" s="18">
        <f>B9-D9</f>
        <v/>
      </c>
    </row>
    <row r="11">
      <c r="A11" s="6" t="inlineStr">
        <is>
          <t>N.°</t>
        </is>
      </c>
      <c r="B11" s="6" t="inlineStr">
        <is>
          <t>ZONA</t>
        </is>
      </c>
      <c r="C11" s="6" t="inlineStr">
        <is>
          <t>EDIFICACIÓN MÁS CERCANA</t>
        </is>
      </c>
      <c r="D11" s="6" t="inlineStr">
        <is>
          <t>E (m)</t>
        </is>
      </c>
      <c r="E11" s="6" t="inlineStr">
        <is>
          <t>N (m)</t>
        </is>
      </c>
      <c r="F11" s="6" t="inlineStr">
        <is>
          <t>AFORO DEL PLANO (personas)</t>
        </is>
      </c>
      <c r="G11" s="6" t="inlineStr">
        <is>
          <t>ÁREA PINTADA (m²)</t>
        </is>
      </c>
      <c r="H11" s="6" t="inlineStr">
        <is>
          <t>ÁREA INTERIOR (m²)</t>
        </is>
      </c>
      <c r="I11" s="6" t="inlineStr">
        <is>
          <t>m² POR PERSONA</t>
        </is>
      </c>
    </row>
    <row r="12">
      <c r="A12" s="10" t="n">
        <v>1</v>
      </c>
      <c r="B12" s="10" t="inlineStr">
        <is>
          <t>01</t>
        </is>
      </c>
      <c r="C12" s="10" t="inlineStr">
        <is>
          <t>E-03</t>
        </is>
      </c>
      <c r="D12" s="18" t="n">
        <v>349128.471</v>
      </c>
      <c r="E12" s="18" t="n">
        <v>9281929.549000001</v>
      </c>
      <c r="F12" s="14" t="n">
        <v>12</v>
      </c>
      <c r="G12" s="25">
        <f>PI()*($B$9^2-$D$9^2)</f>
        <v/>
      </c>
      <c r="H12" s="18">
        <f>PI()*$D$9^2</f>
        <v/>
      </c>
      <c r="I12" s="18">
        <f>H12/F12</f>
        <v/>
      </c>
    </row>
    <row r="13">
      <c r="A13" s="10" t="n">
        <v>2</v>
      </c>
      <c r="B13" s="10" t="inlineStr">
        <is>
          <t>02</t>
        </is>
      </c>
      <c r="C13" s="10" t="inlineStr">
        <is>
          <t>E-01</t>
        </is>
      </c>
      <c r="D13" s="18" t="n">
        <v>349127.685</v>
      </c>
      <c r="E13" s="18" t="n">
        <v>9281951.586999999</v>
      </c>
      <c r="F13" s="14" t="n">
        <v>12</v>
      </c>
      <c r="G13" s="25">
        <f>PI()*($B$9^2-$D$9^2)</f>
        <v/>
      </c>
      <c r="H13" s="18">
        <f>PI()*$D$9^2</f>
        <v/>
      </c>
      <c r="I13" s="18">
        <f>H13/F13</f>
        <v/>
      </c>
    </row>
    <row r="14">
      <c r="A14" s="10" t="n">
        <v>3</v>
      </c>
      <c r="B14" s="10" t="inlineStr">
        <is>
          <t>03</t>
        </is>
      </c>
      <c r="C14" s="10" t="inlineStr">
        <is>
          <t>E-05</t>
        </is>
      </c>
      <c r="D14" s="18" t="n">
        <v>349155.693</v>
      </c>
      <c r="E14" s="18" t="n">
        <v>9281949.651000001</v>
      </c>
      <c r="F14" s="14" t="n">
        <v>12</v>
      </c>
      <c r="G14" s="25">
        <f>PI()*($B$9^2-$D$9^2)</f>
        <v/>
      </c>
      <c r="H14" s="18">
        <f>PI()*$D$9^2</f>
        <v/>
      </c>
      <c r="I14" s="18">
        <f>H14/F14</f>
        <v/>
      </c>
    </row>
    <row r="15">
      <c r="A15" s="10" t="n">
        <v>4</v>
      </c>
      <c r="B15" s="10" t="inlineStr">
        <is>
          <t>04</t>
        </is>
      </c>
      <c r="C15" s="10" t="inlineStr">
        <is>
          <t>E-04</t>
        </is>
      </c>
      <c r="D15" s="18" t="n">
        <v>349120.395</v>
      </c>
      <c r="E15" s="18" t="n">
        <v>9281961.002</v>
      </c>
      <c r="F15" s="14" t="n">
        <v>20</v>
      </c>
      <c r="G15" s="25">
        <f>PI()*($B$9^2-$D$9^2)</f>
        <v/>
      </c>
      <c r="H15" s="18">
        <f>PI()*$D$9^2</f>
        <v/>
      </c>
      <c r="I15" s="18">
        <f>H15/F15</f>
        <v/>
      </c>
    </row>
    <row r="16">
      <c r="A16" s="10" t="n">
        <v>5</v>
      </c>
      <c r="B16" s="10" t="inlineStr">
        <is>
          <t>05</t>
        </is>
      </c>
      <c r="C16" s="10" t="inlineStr">
        <is>
          <t>E-02</t>
        </is>
      </c>
      <c r="D16" s="18" t="n">
        <v>349127.913</v>
      </c>
      <c r="E16" s="18" t="n">
        <v>9281959.794</v>
      </c>
      <c r="F16" s="14" t="n">
        <v>40</v>
      </c>
      <c r="G16" s="25">
        <f>PI()*($B$9^2-$D$9^2)</f>
        <v/>
      </c>
      <c r="H16" s="18">
        <f>PI()*$D$9^2</f>
        <v/>
      </c>
      <c r="I16" s="18">
        <f>H16/F16</f>
        <v/>
      </c>
    </row>
    <row r="17">
      <c r="A17" s="10" t="n">
        <v>6</v>
      </c>
      <c r="B17" s="10" t="inlineStr">
        <is>
          <t>06</t>
        </is>
      </c>
      <c r="C17" s="10" t="inlineStr">
        <is>
          <t>E-04</t>
        </is>
      </c>
      <c r="D17" s="18" t="n">
        <v>349117.799</v>
      </c>
      <c r="E17" s="18" t="n">
        <v>9281976.48</v>
      </c>
      <c r="F17" s="14" t="n">
        <v>12</v>
      </c>
      <c r="G17" s="25">
        <f>PI()*($B$9^2-$D$9^2)</f>
        <v/>
      </c>
      <c r="H17" s="18">
        <f>PI()*$D$9^2</f>
        <v/>
      </c>
      <c r="I17" s="18">
        <f>H17/F17</f>
        <v/>
      </c>
    </row>
    <row r="18">
      <c r="A18" s="10" t="n">
        <v>7</v>
      </c>
      <c r="B18" s="10" t="inlineStr">
        <is>
          <t>07</t>
        </is>
      </c>
      <c r="C18" s="10" t="inlineStr">
        <is>
          <t>E-04</t>
        </is>
      </c>
      <c r="D18" s="18" t="n">
        <v>349124.758</v>
      </c>
      <c r="E18" s="18" t="n">
        <v>9281968.23</v>
      </c>
      <c r="F18" s="14" t="n">
        <v>20</v>
      </c>
      <c r="G18" s="25">
        <f>PI()*($B$9^2-$D$9^2)</f>
        <v/>
      </c>
      <c r="H18" s="18">
        <f>PI()*$D$9^2</f>
        <v/>
      </c>
      <c r="I18" s="18">
        <f>H18/F18</f>
        <v/>
      </c>
    </row>
    <row r="19">
      <c r="A19" s="10" t="n">
        <v>8</v>
      </c>
      <c r="B19" s="10" t="inlineStr">
        <is>
          <t>08</t>
        </is>
      </c>
      <c r="C19" s="10" t="inlineStr">
        <is>
          <t>E-05</t>
        </is>
      </c>
      <c r="D19" s="18" t="n">
        <v>349156.666</v>
      </c>
      <c r="E19" s="18" t="n">
        <v>9281983.984999999</v>
      </c>
      <c r="F19" s="14" t="n">
        <v>20</v>
      </c>
      <c r="G19" s="25">
        <f>PI()*($B$9^2-$D$9^2)</f>
        <v/>
      </c>
      <c r="H19" s="18">
        <f>PI()*$D$9^2</f>
        <v/>
      </c>
      <c r="I19" s="18">
        <f>H19/F19</f>
        <v/>
      </c>
    </row>
    <row r="20">
      <c r="A20" s="10" t="n">
        <v>9</v>
      </c>
      <c r="B20" s="10" t="inlineStr">
        <is>
          <t>09</t>
        </is>
      </c>
      <c r="C20" s="10" t="inlineStr">
        <is>
          <t>E-08</t>
        </is>
      </c>
      <c r="D20" s="18" t="n">
        <v>349135.346</v>
      </c>
      <c r="E20" s="18" t="n">
        <v>9282013.325999999</v>
      </c>
      <c r="F20" s="14" t="n">
        <v>12</v>
      </c>
      <c r="G20" s="25">
        <f>PI()*($B$9^2-$D$9^2)</f>
        <v/>
      </c>
      <c r="H20" s="18">
        <f>PI()*$D$9^2</f>
        <v/>
      </c>
      <c r="I20" s="18">
        <f>H20/F20</f>
        <v/>
      </c>
    </row>
    <row r="21">
      <c r="A21" s="10" t="n">
        <v>10</v>
      </c>
      <c r="B21" s="10" t="inlineStr">
        <is>
          <t>10</t>
        </is>
      </c>
      <c r="C21" s="10" t="inlineStr">
        <is>
          <t>E-08</t>
        </is>
      </c>
      <c r="D21" s="18" t="n">
        <v>349118.84</v>
      </c>
      <c r="E21" s="18" t="n">
        <v>9282020.194</v>
      </c>
      <c r="F21" s="14" t="n">
        <v>12</v>
      </c>
      <c r="G21" s="25">
        <f>PI()*($B$9^2-$D$9^2)</f>
        <v/>
      </c>
      <c r="H21" s="18">
        <f>PI()*$D$9^2</f>
        <v/>
      </c>
      <c r="I21" s="18">
        <f>H21/F21</f>
        <v/>
      </c>
    </row>
    <row r="22">
      <c r="A22" s="10" t="n">
        <v>11</v>
      </c>
      <c r="B22" s="10" t="inlineStr">
        <is>
          <t>11</t>
        </is>
      </c>
      <c r="C22" s="10" t="inlineStr">
        <is>
          <t>E-04</t>
        </is>
      </c>
      <c r="D22" s="18" t="n">
        <v>349102.335</v>
      </c>
      <c r="E22" s="18" t="n">
        <v>9282001.359999999</v>
      </c>
      <c r="F22" s="14" t="n">
        <v>12</v>
      </c>
      <c r="G22" s="25">
        <f>PI()*($B$9^2-$D$9^2)</f>
        <v/>
      </c>
      <c r="H22" s="18">
        <f>PI()*$D$9^2</f>
        <v/>
      </c>
      <c r="I22" s="18">
        <f>H22/F22</f>
        <v/>
      </c>
    </row>
    <row r="23">
      <c r="A23" s="10" t="n">
        <v>12</v>
      </c>
      <c r="B23" s="10" t="inlineStr">
        <is>
          <t>12</t>
        </is>
      </c>
      <c r="C23" s="10" t="inlineStr">
        <is>
          <t>E-08</t>
        </is>
      </c>
      <c r="D23" s="18" t="n">
        <v>349102.335</v>
      </c>
      <c r="E23" s="18" t="n">
        <v>9282019.671</v>
      </c>
      <c r="F23" s="14" t="n">
        <v>12</v>
      </c>
      <c r="G23" s="25">
        <f>PI()*($B$9^2-$D$9^2)</f>
        <v/>
      </c>
      <c r="H23" s="18">
        <f>PI()*$D$9^2</f>
        <v/>
      </c>
      <c r="I23" s="18">
        <f>H23/F23</f>
        <v/>
      </c>
    </row>
    <row r="24">
      <c r="A24" s="10" t="n">
        <v>13</v>
      </c>
      <c r="B24" s="10" t="inlineStr">
        <is>
          <t>13 (10)</t>
        </is>
      </c>
      <c r="C24" s="10" t="inlineStr">
        <is>
          <t>E-06</t>
        </is>
      </c>
      <c r="D24" s="18" t="n">
        <v>349118.385</v>
      </c>
      <c r="E24" s="18" t="n">
        <v>9281998.475</v>
      </c>
      <c r="F24" s="14" t="n">
        <v>12</v>
      </c>
      <c r="G24" s="25">
        <f>PI()*($B$9^2-$D$9^2)</f>
        <v/>
      </c>
      <c r="H24" s="18">
        <f>PI()*$D$9^2</f>
        <v/>
      </c>
      <c r="I24" s="18">
        <f>H24/F24</f>
        <v/>
      </c>
    </row>
    <row r="25">
      <c r="A25" s="15">
        <f>COUNT(A12:A24)</f>
        <v/>
      </c>
      <c r="B25" s="22" t="inlineStr">
        <is>
          <t>TOTAL</t>
        </is>
      </c>
      <c r="C25" s="21" t="n"/>
      <c r="D25" s="21" t="n"/>
      <c r="E25" s="21" t="n"/>
      <c r="F25" s="15">
        <f>SUM(F12:F24)</f>
        <v/>
      </c>
      <c r="G25" s="19">
        <f>ROUND(SUM(G12:G24),2)</f>
        <v/>
      </c>
      <c r="H25" s="21" t="n"/>
      <c r="I25" s="21" t="n"/>
    </row>
    <row r="27" ht="26" customHeight="1">
      <c r="A27" s="24" t="inlineStr">
        <is>
          <t>Fuente: lámina SE-E-01 (bloques de zona de 4.30 m de diámetro con anillo de 0.15 m y rótulos "ZONA DE EVACUACIÓN EN CASO DE EMERGENCIA nn"). La zona 13 figura en la lámina con el número 10, que está repetido.</t>
        </is>
      </c>
    </row>
  </sheetData>
  <mergeCells count="8">
    <mergeCell ref="B7:I7"/>
    <mergeCell ref="B6:I6"/>
    <mergeCell ref="B2:I2"/>
    <mergeCell ref="A1:I1"/>
    <mergeCell ref="B3:I3"/>
    <mergeCell ref="B5:I5"/>
    <mergeCell ref="A27:I27"/>
    <mergeCell ref="B4:I4"/>
  </mergeCells>
  <pageMargins left="0.4" right="0.4" top="0.5" bottom="0.5" header="0.5" footer="0.5"/>
  <pageSetup orientation="portrait" paperSize="9" fitToHeight="0" fitToWidth="1"/>
</worksheet>
</file>

<file path=xl/worksheets/sheet4.xml><?xml version="1.0" encoding="utf-8"?>
<worksheet xmlns="http://schemas.openxmlformats.org/spreadsheetml/2006/main">
  <sheetPr>
    <outlinePr summaryBelow="1" summaryRight="1"/>
    <pageSetUpPr fitToPage="1"/>
  </sheetPr>
  <dimension ref="A1:G99"/>
  <sheetViews>
    <sheetView showGridLines="0" workbookViewId="0">
      <selection activeCell="A1" sqref="A1"/>
    </sheetView>
  </sheetViews>
  <sheetFormatPr baseColWidth="8" defaultRowHeight="15"/>
  <cols>
    <col width="11" customWidth="1" min="1" max="1"/>
    <col width="14" customWidth="1" min="2" max="2"/>
    <col width="12" customWidth="1" min="3" max="3"/>
    <col width="13" customWidth="1" min="4" max="4"/>
    <col width="13" customWidth="1" min="5" max="5"/>
    <col width="11" customWidth="1" min="6" max="6"/>
    <col width="2" customWidth="1" min="7" max="7"/>
  </cols>
  <sheetData>
    <row r="1" ht="24" customHeight="1">
      <c r="A1" s="1" t="inlineStr">
        <is>
          <t>RUTAS DE EVACUACIÓN - LÁMINA SE-E-01</t>
        </is>
      </c>
    </row>
    <row r="2" ht="36" customHeight="1">
      <c r="A2" s="2" t="inlineStr">
        <is>
          <t>PROYECTO</t>
        </is>
      </c>
      <c r="B2" s="3" t="inlineStr">
        <is>
          <t>“CREACIÓN DEL SERVICIO DE PROTECCIÓN A MUJERES VÍCTIMAS DE VIOLENCIA EN SITUACIÓN DE RIESGO DE FEMINICIDIO O PELIGRE SU INTEGRIDAD Y/O SALUD FÍSICA Y/O MENTAL EN HOGAR DE REFUGIO TEMPORAL DISTRITO DE MORALES DE LA PROVINCIA DE SAN MARTÍN DEL DEPARTAMENTO DE SAN MARTÍN”</t>
        </is>
      </c>
      <c r="C2" s="4" t="n"/>
      <c r="D2" s="4" t="n"/>
      <c r="E2" s="4" t="n"/>
      <c r="F2" s="4" t="n"/>
      <c r="G2" s="4" t="n"/>
    </row>
    <row r="3">
      <c r="A3" s="2" t="inlineStr">
        <is>
          <t>CUI</t>
        </is>
      </c>
      <c r="B3" s="5" t="inlineStr">
        <is>
          <t>N.° 2675514</t>
        </is>
      </c>
      <c r="C3" s="4" t="n"/>
      <c r="D3" s="4" t="n"/>
      <c r="E3" s="4" t="n"/>
      <c r="F3" s="4" t="n"/>
      <c r="G3" s="4" t="n"/>
    </row>
    <row r="4">
      <c r="A4" s="2" t="inlineStr">
        <is>
          <t>ESPECIALIDAD</t>
        </is>
      </c>
      <c r="B4" s="5" t="inlineStr">
        <is>
          <t>ARQUITECTURA - EVACUACIÓN Y SEÑALIZACIÓN</t>
        </is>
      </c>
      <c r="C4" s="4" t="n"/>
      <c r="D4" s="4" t="n"/>
      <c r="E4" s="4" t="n"/>
      <c r="F4" s="4" t="n"/>
      <c r="G4" s="4" t="n"/>
    </row>
    <row r="5">
      <c r="A5" s="2" t="inlineStr">
        <is>
          <t>UBICACIÓN</t>
        </is>
      </c>
      <c r="B5" s="5" t="inlineStr">
        <is>
          <t>Distrito de Morales, provincia y departamento de San Martín</t>
        </is>
      </c>
      <c r="C5" s="4" t="n"/>
      <c r="D5" s="4" t="n"/>
      <c r="E5" s="4" t="n"/>
      <c r="F5" s="4" t="n"/>
      <c r="G5" s="4" t="n"/>
    </row>
    <row r="6">
      <c r="A6" s="2" t="inlineStr">
        <is>
          <t>LÁMINAS</t>
        </is>
      </c>
      <c r="B6" s="5" t="inlineStr">
        <is>
          <t>SE-E-01 Planta general de evacuación (esc. 1/150) y SE-S-02 Planta general de señalización (esc. 1/150)</t>
        </is>
      </c>
      <c r="C6" s="4" t="n"/>
      <c r="D6" s="4" t="n"/>
      <c r="E6" s="4" t="n"/>
      <c r="F6" s="4" t="n"/>
      <c r="G6" s="4" t="n"/>
    </row>
    <row r="7">
      <c r="A7" s="2" t="inlineStr">
        <is>
          <t>FECHA</t>
        </is>
      </c>
      <c r="B7" s="5" t="inlineStr">
        <is>
          <t>OCTUBRE 2026</t>
        </is>
      </c>
      <c r="C7" s="4" t="n"/>
      <c r="D7" s="4" t="n"/>
      <c r="E7" s="4" t="n"/>
      <c r="F7" s="4" t="n"/>
      <c r="G7" s="4" t="n"/>
    </row>
    <row r="9">
      <c r="A9" s="2" t="inlineStr">
        <is>
          <t>Velocidad con niñas y niños o movilidad reducida (m/s)</t>
        </is>
      </c>
      <c r="B9" s="26" t="n"/>
      <c r="C9" s="27" t="n"/>
      <c r="D9" s="18" t="n">
        <v>0.6</v>
      </c>
    </row>
    <row r="10">
      <c r="A10" s="2" t="inlineStr">
        <is>
          <t>Velocidad de adultos (m/s)</t>
        </is>
      </c>
      <c r="B10" s="26" t="n"/>
      <c r="C10" s="27" t="n"/>
      <c r="D10" s="18" t="n">
        <v>1</v>
      </c>
    </row>
    <row r="11">
      <c r="A11" s="2" t="inlineStr">
        <is>
          <t>Recorrido máximo sin rociadores - RNE A.130 (m)</t>
        </is>
      </c>
      <c r="B11" s="26" t="n"/>
      <c r="C11" s="27" t="n"/>
      <c r="D11" s="18" t="n">
        <v>45</v>
      </c>
    </row>
    <row r="13">
      <c r="A13" s="6" t="inlineStr">
        <is>
          <t>RUTA</t>
        </is>
      </c>
      <c r="B13" s="6" t="inlineStr">
        <is>
          <t>EDIFICACIÓN DE ORIGEN</t>
        </is>
      </c>
      <c r="C13" s="6" t="inlineStr">
        <is>
          <t>LONGITUD (m)</t>
        </is>
      </c>
      <c r="D13" s="6" t="inlineStr">
        <is>
          <t>t a 0.60 m/s (s)</t>
        </is>
      </c>
      <c r="E13" s="6" t="inlineStr">
        <is>
          <t>t a 1.00 m/s (s)</t>
        </is>
      </c>
      <c r="F13" s="6" t="inlineStr">
        <is>
          <t>L ≤ 45 m</t>
        </is>
      </c>
    </row>
    <row r="14">
      <c r="A14" s="10" t="inlineStr">
        <is>
          <t>RUTA 01</t>
        </is>
      </c>
      <c r="B14" s="10" t="inlineStr">
        <is>
          <t>EXT</t>
        </is>
      </c>
      <c r="C14" s="18" t="n">
        <v>9.18</v>
      </c>
      <c r="D14" s="14">
        <f>C14/$D$9</f>
        <v/>
      </c>
      <c r="E14" s="14">
        <f>C14/$D$10</f>
        <v/>
      </c>
      <c r="F14" s="10">
        <f>IF(C14&lt;=$D$11,"cumple","no cumple")</f>
        <v/>
      </c>
    </row>
    <row r="15">
      <c r="A15" s="10" t="inlineStr">
        <is>
          <t>RUTA 02</t>
        </is>
      </c>
      <c r="B15" s="10" t="inlineStr">
        <is>
          <t>E-01</t>
        </is>
      </c>
      <c r="C15" s="18" t="n">
        <v>16.04</v>
      </c>
      <c r="D15" s="14">
        <f>C15/$D$9</f>
        <v/>
      </c>
      <c r="E15" s="14">
        <f>C15/$D$10</f>
        <v/>
      </c>
      <c r="F15" s="10">
        <f>IF(C15&lt;=$D$11,"cumple","no cumple")</f>
        <v/>
      </c>
    </row>
    <row r="16">
      <c r="A16" s="10" t="inlineStr">
        <is>
          <t>RUTA 03</t>
        </is>
      </c>
      <c r="B16" s="10" t="inlineStr">
        <is>
          <t>E-01</t>
        </is>
      </c>
      <c r="C16" s="18" t="n">
        <v>22.99</v>
      </c>
      <c r="D16" s="14">
        <f>C16/$D$9</f>
        <v/>
      </c>
      <c r="E16" s="14">
        <f>C16/$D$10</f>
        <v/>
      </c>
      <c r="F16" s="10">
        <f>IF(C16&lt;=$D$11,"cumple","no cumple")</f>
        <v/>
      </c>
    </row>
    <row r="17">
      <c r="A17" s="10" t="inlineStr">
        <is>
          <t>RUTA 04</t>
        </is>
      </c>
      <c r="B17" s="10" t="inlineStr">
        <is>
          <t>E-01</t>
        </is>
      </c>
      <c r="C17" s="18" t="n">
        <v>25.07</v>
      </c>
      <c r="D17" s="14">
        <f>C17/$D$9</f>
        <v/>
      </c>
      <c r="E17" s="14">
        <f>C17/$D$10</f>
        <v/>
      </c>
      <c r="F17" s="10">
        <f>IF(C17&lt;=$D$11,"cumple","no cumple")</f>
        <v/>
      </c>
    </row>
    <row r="18">
      <c r="A18" s="10" t="inlineStr">
        <is>
          <t>RUTA 05</t>
        </is>
      </c>
      <c r="B18" s="10" t="inlineStr">
        <is>
          <t>E-01</t>
        </is>
      </c>
      <c r="C18" s="18" t="n">
        <v>21.77</v>
      </c>
      <c r="D18" s="14">
        <f>C18/$D$9</f>
        <v/>
      </c>
      <c r="E18" s="14">
        <f>C18/$D$10</f>
        <v/>
      </c>
      <c r="F18" s="10">
        <f>IF(C18&lt;=$D$11,"cumple","no cumple")</f>
        <v/>
      </c>
    </row>
    <row r="19">
      <c r="A19" s="10" t="inlineStr">
        <is>
          <t>RUTA 06</t>
        </is>
      </c>
      <c r="B19" s="10" t="inlineStr">
        <is>
          <t>E-01</t>
        </is>
      </c>
      <c r="C19" s="18" t="n">
        <v>15.57</v>
      </c>
      <c r="D19" s="14">
        <f>C19/$D$9</f>
        <v/>
      </c>
      <c r="E19" s="14">
        <f>C19/$D$10</f>
        <v/>
      </c>
      <c r="F19" s="10">
        <f>IF(C19&lt;=$D$11,"cumple","no cumple")</f>
        <v/>
      </c>
    </row>
    <row r="20">
      <c r="A20" s="10" t="inlineStr">
        <is>
          <t>RUTA 07</t>
        </is>
      </c>
      <c r="B20" s="10" t="inlineStr">
        <is>
          <t>E-01</t>
        </is>
      </c>
      <c r="C20" s="18" t="n">
        <v>27.46</v>
      </c>
      <c r="D20" s="14">
        <f>C20/$D$9</f>
        <v/>
      </c>
      <c r="E20" s="14">
        <f>C20/$D$10</f>
        <v/>
      </c>
      <c r="F20" s="10">
        <f>IF(C20&lt;=$D$11,"cumple","no cumple")</f>
        <v/>
      </c>
    </row>
    <row r="21">
      <c r="A21" s="10" t="inlineStr">
        <is>
          <t>RUTA 08</t>
        </is>
      </c>
      <c r="B21" s="10" t="inlineStr">
        <is>
          <t>E-01</t>
        </is>
      </c>
      <c r="C21" s="18" t="n">
        <v>23.91</v>
      </c>
      <c r="D21" s="14">
        <f>C21/$D$9</f>
        <v/>
      </c>
      <c r="E21" s="14">
        <f>C21/$D$10</f>
        <v/>
      </c>
      <c r="F21" s="10">
        <f>IF(C21&lt;=$D$11,"cumple","no cumple")</f>
        <v/>
      </c>
    </row>
    <row r="22">
      <c r="A22" s="10" t="inlineStr">
        <is>
          <t>RUTA 09</t>
        </is>
      </c>
      <c r="B22" s="10" t="inlineStr">
        <is>
          <t>E-01</t>
        </is>
      </c>
      <c r="C22" s="18" t="n">
        <v>23.07</v>
      </c>
      <c r="D22" s="14">
        <f>C22/$D$9</f>
        <v/>
      </c>
      <c r="E22" s="14">
        <f>C22/$D$10</f>
        <v/>
      </c>
      <c r="F22" s="10">
        <f>IF(C22&lt;=$D$11,"cumple","no cumple")</f>
        <v/>
      </c>
    </row>
    <row r="23">
      <c r="A23" s="10" t="inlineStr">
        <is>
          <t>RUTA 10</t>
        </is>
      </c>
      <c r="B23" s="10" t="inlineStr">
        <is>
          <t>E-01</t>
        </is>
      </c>
      <c r="C23" s="18" t="n">
        <v>26.01</v>
      </c>
      <c r="D23" s="14">
        <f>C23/$D$9</f>
        <v/>
      </c>
      <c r="E23" s="14">
        <f>C23/$D$10</f>
        <v/>
      </c>
      <c r="F23" s="10">
        <f>IF(C23&lt;=$D$11,"cumple","no cumple")</f>
        <v/>
      </c>
    </row>
    <row r="24">
      <c r="A24" s="10" t="inlineStr">
        <is>
          <t>RUTA 11</t>
        </is>
      </c>
      <c r="B24" s="10" t="inlineStr">
        <is>
          <t>E-01</t>
        </is>
      </c>
      <c r="C24" s="18" t="n">
        <v>24.78</v>
      </c>
      <c r="D24" s="14">
        <f>C24/$D$9</f>
        <v/>
      </c>
      <c r="E24" s="14">
        <f>C24/$D$10</f>
        <v/>
      </c>
      <c r="F24" s="10">
        <f>IF(C24&lt;=$D$11,"cumple","no cumple")</f>
        <v/>
      </c>
    </row>
    <row r="25">
      <c r="A25" s="10" t="inlineStr">
        <is>
          <t>RUTA 12</t>
        </is>
      </c>
      <c r="B25" s="10" t="inlineStr">
        <is>
          <t>E-01</t>
        </is>
      </c>
      <c r="C25" s="18" t="n">
        <v>24.24</v>
      </c>
      <c r="D25" s="14">
        <f>C25/$D$9</f>
        <v/>
      </c>
      <c r="E25" s="14">
        <f>C25/$D$10</f>
        <v/>
      </c>
      <c r="F25" s="10">
        <f>IF(C25&lt;=$D$11,"cumple","no cumple")</f>
        <v/>
      </c>
    </row>
    <row r="26">
      <c r="A26" s="10" t="inlineStr">
        <is>
          <t>RUTA 13</t>
        </is>
      </c>
      <c r="B26" s="10" t="inlineStr">
        <is>
          <t>E-01</t>
        </is>
      </c>
      <c r="C26" s="18" t="n">
        <v>24.97</v>
      </c>
      <c r="D26" s="14">
        <f>C26/$D$9</f>
        <v/>
      </c>
      <c r="E26" s="14">
        <f>C26/$D$10</f>
        <v/>
      </c>
      <c r="F26" s="10">
        <f>IF(C26&lt;=$D$11,"cumple","no cumple")</f>
        <v/>
      </c>
    </row>
    <row r="27">
      <c r="A27" s="10" t="inlineStr">
        <is>
          <t>RUTA 14</t>
        </is>
      </c>
      <c r="B27" s="10" t="inlineStr">
        <is>
          <t>E-01</t>
        </is>
      </c>
      <c r="C27" s="18" t="n">
        <v>17.13</v>
      </c>
      <c r="D27" s="14">
        <f>C27/$D$9</f>
        <v/>
      </c>
      <c r="E27" s="14">
        <f>C27/$D$10</f>
        <v/>
      </c>
      <c r="F27" s="10">
        <f>IF(C27&lt;=$D$11,"cumple","no cumple")</f>
        <v/>
      </c>
    </row>
    <row r="28">
      <c r="A28" s="10" t="inlineStr">
        <is>
          <t>RUTA 15</t>
        </is>
      </c>
      <c r="B28" s="10" t="inlineStr">
        <is>
          <t>E-03</t>
        </is>
      </c>
      <c r="C28" s="18" t="n">
        <v>26.29</v>
      </c>
      <c r="D28" s="14">
        <f>C28/$D$9</f>
        <v/>
      </c>
      <c r="E28" s="14">
        <f>C28/$D$10</f>
        <v/>
      </c>
      <c r="F28" s="10">
        <f>IF(C28&lt;=$D$11,"cumple","no cumple")</f>
        <v/>
      </c>
    </row>
    <row r="29">
      <c r="A29" s="10" t="inlineStr">
        <is>
          <t>RUTA 16</t>
        </is>
      </c>
      <c r="B29" s="10" t="inlineStr">
        <is>
          <t>E-03</t>
        </is>
      </c>
      <c r="C29" s="18" t="n">
        <v>25.29</v>
      </c>
      <c r="D29" s="14">
        <f>C29/$D$9</f>
        <v/>
      </c>
      <c r="E29" s="14">
        <f>C29/$D$10</f>
        <v/>
      </c>
      <c r="F29" s="10">
        <f>IF(C29&lt;=$D$11,"cumple","no cumple")</f>
        <v/>
      </c>
    </row>
    <row r="30">
      <c r="A30" s="10" t="inlineStr">
        <is>
          <t>RUTA 17</t>
        </is>
      </c>
      <c r="B30" s="10" t="inlineStr">
        <is>
          <t>E-03</t>
        </is>
      </c>
      <c r="C30" s="18" t="n">
        <v>16.63</v>
      </c>
      <c r="D30" s="14">
        <f>C30/$D$9</f>
        <v/>
      </c>
      <c r="E30" s="14">
        <f>C30/$D$10</f>
        <v/>
      </c>
      <c r="F30" s="10">
        <f>IF(C30&lt;=$D$11,"cumple","no cumple")</f>
        <v/>
      </c>
    </row>
    <row r="31">
      <c r="A31" s="10" t="inlineStr">
        <is>
          <t>RUTA 18</t>
        </is>
      </c>
      <c r="B31" s="10" t="inlineStr">
        <is>
          <t>E-03</t>
        </is>
      </c>
      <c r="C31" s="18" t="n">
        <v>18.64</v>
      </c>
      <c r="D31" s="14">
        <f>C31/$D$9</f>
        <v/>
      </c>
      <c r="E31" s="14">
        <f>C31/$D$10</f>
        <v/>
      </c>
      <c r="F31" s="10">
        <f>IF(C31&lt;=$D$11,"cumple","no cumple")</f>
        <v/>
      </c>
    </row>
    <row r="32">
      <c r="A32" s="10" t="inlineStr">
        <is>
          <t>RUTA 19</t>
        </is>
      </c>
      <c r="B32" s="10" t="inlineStr">
        <is>
          <t>E-03</t>
        </is>
      </c>
      <c r="C32" s="18" t="n">
        <v>17.65</v>
      </c>
      <c r="D32" s="14">
        <f>C32/$D$9</f>
        <v/>
      </c>
      <c r="E32" s="14">
        <f>C32/$D$10</f>
        <v/>
      </c>
      <c r="F32" s="10">
        <f>IF(C32&lt;=$D$11,"cumple","no cumple")</f>
        <v/>
      </c>
    </row>
    <row r="33">
      <c r="A33" s="10" t="inlineStr">
        <is>
          <t>RUTA 20</t>
        </is>
      </c>
      <c r="B33" s="10" t="inlineStr">
        <is>
          <t>E-02</t>
        </is>
      </c>
      <c r="C33" s="18" t="n">
        <v>22.01</v>
      </c>
      <c r="D33" s="14">
        <f>C33/$D$9</f>
        <v/>
      </c>
      <c r="E33" s="14">
        <f>C33/$D$10</f>
        <v/>
      </c>
      <c r="F33" s="10">
        <f>IF(C33&lt;=$D$11,"cumple","no cumple")</f>
        <v/>
      </c>
    </row>
    <row r="34">
      <c r="A34" s="10" t="inlineStr">
        <is>
          <t>RUTA 21</t>
        </is>
      </c>
      <c r="B34" s="10" t="inlineStr">
        <is>
          <t>E-02</t>
        </is>
      </c>
      <c r="C34" s="18" t="n">
        <v>17.08</v>
      </c>
      <c r="D34" s="14">
        <f>C34/$D$9</f>
        <v/>
      </c>
      <c r="E34" s="14">
        <f>C34/$D$10</f>
        <v/>
      </c>
      <c r="F34" s="10">
        <f>IF(C34&lt;=$D$11,"cumple","no cumple")</f>
        <v/>
      </c>
    </row>
    <row r="35">
      <c r="A35" s="10" t="inlineStr">
        <is>
          <t>RUTA 22</t>
        </is>
      </c>
      <c r="B35" s="10" t="inlineStr">
        <is>
          <t>E-02</t>
        </is>
      </c>
      <c r="C35" s="18" t="n">
        <v>17.23</v>
      </c>
      <c r="D35" s="14">
        <f>C35/$D$9</f>
        <v/>
      </c>
      <c r="E35" s="14">
        <f>C35/$D$10</f>
        <v/>
      </c>
      <c r="F35" s="10">
        <f>IF(C35&lt;=$D$11,"cumple","no cumple")</f>
        <v/>
      </c>
    </row>
    <row r="36">
      <c r="A36" s="10" t="inlineStr">
        <is>
          <t>RUTA 23</t>
        </is>
      </c>
      <c r="B36" s="10" t="inlineStr">
        <is>
          <t>E-05</t>
        </is>
      </c>
      <c r="C36" s="18" t="n">
        <v>15.08</v>
      </c>
      <c r="D36" s="14">
        <f>C36/$D$9</f>
        <v/>
      </c>
      <c r="E36" s="14">
        <f>C36/$D$10</f>
        <v/>
      </c>
      <c r="F36" s="10">
        <f>IF(C36&lt;=$D$11,"cumple","no cumple")</f>
        <v/>
      </c>
    </row>
    <row r="37">
      <c r="A37" s="10" t="inlineStr">
        <is>
          <t>RUTA 24</t>
        </is>
      </c>
      <c r="B37" s="10" t="inlineStr">
        <is>
          <t>E-05</t>
        </is>
      </c>
      <c r="C37" s="18" t="n">
        <v>16.79</v>
      </c>
      <c r="D37" s="14">
        <f>C37/$D$9</f>
        <v/>
      </c>
      <c r="E37" s="14">
        <f>C37/$D$10</f>
        <v/>
      </c>
      <c r="F37" s="10">
        <f>IF(C37&lt;=$D$11,"cumple","no cumple")</f>
        <v/>
      </c>
    </row>
    <row r="38">
      <c r="A38" s="10" t="inlineStr">
        <is>
          <t>RUTA 25</t>
        </is>
      </c>
      <c r="B38" s="10" t="inlineStr">
        <is>
          <t>E-05</t>
        </is>
      </c>
      <c r="C38" s="18" t="n">
        <v>18.04</v>
      </c>
      <c r="D38" s="14">
        <f>C38/$D$9</f>
        <v/>
      </c>
      <c r="E38" s="14">
        <f>C38/$D$10</f>
        <v/>
      </c>
      <c r="F38" s="10">
        <f>IF(C38&lt;=$D$11,"cumple","no cumple")</f>
        <v/>
      </c>
    </row>
    <row r="39">
      <c r="A39" s="10" t="inlineStr">
        <is>
          <t>RUTA 26</t>
        </is>
      </c>
      <c r="B39" s="10" t="inlineStr">
        <is>
          <t>E-05</t>
        </is>
      </c>
      <c r="C39" s="18" t="n">
        <v>20.66</v>
      </c>
      <c r="D39" s="14">
        <f>C39/$D$9</f>
        <v/>
      </c>
      <c r="E39" s="14">
        <f>C39/$D$10</f>
        <v/>
      </c>
      <c r="F39" s="10">
        <f>IF(C39&lt;=$D$11,"cumple","no cumple")</f>
        <v/>
      </c>
    </row>
    <row r="40">
      <c r="A40" s="10" t="inlineStr">
        <is>
          <t>RUTA 27</t>
        </is>
      </c>
      <c r="B40" s="10" t="inlineStr">
        <is>
          <t>E-05</t>
        </is>
      </c>
      <c r="C40" s="18" t="n">
        <v>25.76</v>
      </c>
      <c r="D40" s="14">
        <f>C40/$D$9</f>
        <v/>
      </c>
      <c r="E40" s="14">
        <f>C40/$D$10</f>
        <v/>
      </c>
      <c r="F40" s="10">
        <f>IF(C40&lt;=$D$11,"cumple","no cumple")</f>
        <v/>
      </c>
    </row>
    <row r="41">
      <c r="A41" s="10" t="inlineStr">
        <is>
          <t>RUTA 28</t>
        </is>
      </c>
      <c r="B41" s="10" t="inlineStr">
        <is>
          <t>E-05</t>
        </is>
      </c>
      <c r="C41" s="18" t="n">
        <v>23.25</v>
      </c>
      <c r="D41" s="14">
        <f>C41/$D$9</f>
        <v/>
      </c>
      <c r="E41" s="14">
        <f>C41/$D$10</f>
        <v/>
      </c>
      <c r="F41" s="10">
        <f>IF(C41&lt;=$D$11,"cumple","no cumple")</f>
        <v/>
      </c>
    </row>
    <row r="42">
      <c r="A42" s="10" t="inlineStr">
        <is>
          <t>RUTA 29</t>
        </is>
      </c>
      <c r="B42" s="10" t="inlineStr">
        <is>
          <t>E-05</t>
        </is>
      </c>
      <c r="C42" s="18" t="n">
        <v>21.26</v>
      </c>
      <c r="D42" s="14">
        <f>C42/$D$9</f>
        <v/>
      </c>
      <c r="E42" s="14">
        <f>C42/$D$10</f>
        <v/>
      </c>
      <c r="F42" s="10">
        <f>IF(C42&lt;=$D$11,"cumple","no cumple")</f>
        <v/>
      </c>
    </row>
    <row r="43">
      <c r="A43" s="10" t="inlineStr">
        <is>
          <t>RUTA 30</t>
        </is>
      </c>
      <c r="B43" s="10" t="inlineStr">
        <is>
          <t>E-05</t>
        </is>
      </c>
      <c r="C43" s="18" t="n">
        <v>16.49</v>
      </c>
      <c r="D43" s="14">
        <f>C43/$D$9</f>
        <v/>
      </c>
      <c r="E43" s="14">
        <f>C43/$D$10</f>
        <v/>
      </c>
      <c r="F43" s="10">
        <f>IF(C43&lt;=$D$11,"cumple","no cumple")</f>
        <v/>
      </c>
    </row>
    <row r="44">
      <c r="A44" s="10" t="inlineStr">
        <is>
          <t>RUTA 31</t>
        </is>
      </c>
      <c r="B44" s="10" t="inlineStr">
        <is>
          <t>E-05</t>
        </is>
      </c>
      <c r="C44" s="18" t="n">
        <v>16.49</v>
      </c>
      <c r="D44" s="14">
        <f>C44/$D$9</f>
        <v/>
      </c>
      <c r="E44" s="14">
        <f>C44/$D$10</f>
        <v/>
      </c>
      <c r="F44" s="10">
        <f>IF(C44&lt;=$D$11,"cumple","no cumple")</f>
        <v/>
      </c>
    </row>
    <row r="45">
      <c r="A45" s="10" t="inlineStr">
        <is>
          <t>RUTA 32</t>
        </is>
      </c>
      <c r="B45" s="10" t="inlineStr">
        <is>
          <t>E-05</t>
        </is>
      </c>
      <c r="C45" s="18" t="n">
        <v>12.49</v>
      </c>
      <c r="D45" s="14">
        <f>C45/$D$9</f>
        <v/>
      </c>
      <c r="E45" s="14">
        <f>C45/$D$10</f>
        <v/>
      </c>
      <c r="F45" s="10">
        <f>IF(C45&lt;=$D$11,"cumple","no cumple")</f>
        <v/>
      </c>
    </row>
    <row r="46">
      <c r="A46" s="10" t="inlineStr">
        <is>
          <t>RUTA 33</t>
        </is>
      </c>
      <c r="B46" s="10" t="inlineStr">
        <is>
          <t>E-07</t>
        </is>
      </c>
      <c r="C46" s="18" t="n">
        <v>17.11</v>
      </c>
      <c r="D46" s="14">
        <f>C46/$D$9</f>
        <v/>
      </c>
      <c r="E46" s="14">
        <f>C46/$D$10</f>
        <v/>
      </c>
      <c r="F46" s="10">
        <f>IF(C46&lt;=$D$11,"cumple","no cumple")</f>
        <v/>
      </c>
    </row>
    <row r="47">
      <c r="A47" s="10" t="inlineStr">
        <is>
          <t>RUTA 34</t>
        </is>
      </c>
      <c r="B47" s="10" t="inlineStr">
        <is>
          <t>E-07</t>
        </is>
      </c>
      <c r="C47" s="18" t="n">
        <v>14.07</v>
      </c>
      <c r="D47" s="14">
        <f>C47/$D$9</f>
        <v/>
      </c>
      <c r="E47" s="14">
        <f>C47/$D$10</f>
        <v/>
      </c>
      <c r="F47" s="10">
        <f>IF(C47&lt;=$D$11,"cumple","no cumple")</f>
        <v/>
      </c>
    </row>
    <row r="48">
      <c r="A48" s="10" t="inlineStr">
        <is>
          <t>RUTA 35</t>
        </is>
      </c>
      <c r="B48" s="10" t="inlineStr">
        <is>
          <t>E-07</t>
        </is>
      </c>
      <c r="C48" s="18" t="n">
        <v>22.36</v>
      </c>
      <c r="D48" s="14">
        <f>C48/$D$9</f>
        <v/>
      </c>
      <c r="E48" s="14">
        <f>C48/$D$10</f>
        <v/>
      </c>
      <c r="F48" s="10">
        <f>IF(C48&lt;=$D$11,"cumple","no cumple")</f>
        <v/>
      </c>
    </row>
    <row r="49">
      <c r="A49" s="10" t="inlineStr">
        <is>
          <t>RUTA 36</t>
        </is>
      </c>
      <c r="B49" s="10" t="inlineStr">
        <is>
          <t>E-07</t>
        </is>
      </c>
      <c r="C49" s="18" t="n">
        <v>18.63</v>
      </c>
      <c r="D49" s="14">
        <f>C49/$D$9</f>
        <v/>
      </c>
      <c r="E49" s="14">
        <f>C49/$D$10</f>
        <v/>
      </c>
      <c r="F49" s="10">
        <f>IF(C49&lt;=$D$11,"cumple","no cumple")</f>
        <v/>
      </c>
    </row>
    <row r="50">
      <c r="A50" s="10" t="inlineStr">
        <is>
          <t>RUTA 37</t>
        </is>
      </c>
      <c r="B50" s="10" t="inlineStr">
        <is>
          <t>E-07</t>
        </is>
      </c>
      <c r="C50" s="18" t="n">
        <v>21.25</v>
      </c>
      <c r="D50" s="14">
        <f>C50/$D$9</f>
        <v/>
      </c>
      <c r="E50" s="14">
        <f>C50/$D$10</f>
        <v/>
      </c>
      <c r="F50" s="10">
        <f>IF(C50&lt;=$D$11,"cumple","no cumple")</f>
        <v/>
      </c>
    </row>
    <row r="51">
      <c r="A51" s="10" t="inlineStr">
        <is>
          <t>RUTA 38</t>
        </is>
      </c>
      <c r="B51" s="10" t="inlineStr">
        <is>
          <t>E-07</t>
        </is>
      </c>
      <c r="C51" s="18" t="n">
        <v>16.11</v>
      </c>
      <c r="D51" s="14">
        <f>C51/$D$9</f>
        <v/>
      </c>
      <c r="E51" s="14">
        <f>C51/$D$10</f>
        <v/>
      </c>
      <c r="F51" s="10">
        <f>IF(C51&lt;=$D$11,"cumple","no cumple")</f>
        <v/>
      </c>
    </row>
    <row r="52">
      <c r="A52" s="10" t="inlineStr">
        <is>
          <t>RUTA 39</t>
        </is>
      </c>
      <c r="B52" s="10" t="inlineStr">
        <is>
          <t>E-07</t>
        </is>
      </c>
      <c r="C52" s="18" t="n">
        <v>27.05</v>
      </c>
      <c r="D52" s="14">
        <f>C52/$D$9</f>
        <v/>
      </c>
      <c r="E52" s="14">
        <f>C52/$D$10</f>
        <v/>
      </c>
      <c r="F52" s="10">
        <f>IF(C52&lt;=$D$11,"cumple","no cumple")</f>
        <v/>
      </c>
    </row>
    <row r="53">
      <c r="A53" s="10" t="inlineStr">
        <is>
          <t>RUTA 40</t>
        </is>
      </c>
      <c r="B53" s="10" t="inlineStr">
        <is>
          <t>E-07</t>
        </is>
      </c>
      <c r="C53" s="18" t="n">
        <v>32.72</v>
      </c>
      <c r="D53" s="14">
        <f>C53/$D$9</f>
        <v/>
      </c>
      <c r="E53" s="14">
        <f>C53/$D$10</f>
        <v/>
      </c>
      <c r="F53" s="10">
        <f>IF(C53&lt;=$D$11,"cumple","no cumple")</f>
        <v/>
      </c>
    </row>
    <row r="54">
      <c r="A54" s="10" t="inlineStr">
        <is>
          <t>RUTA 41</t>
        </is>
      </c>
      <c r="B54" s="10" t="inlineStr">
        <is>
          <t>E-07</t>
        </is>
      </c>
      <c r="C54" s="18" t="n">
        <v>11.94</v>
      </c>
      <c r="D54" s="14">
        <f>C54/$D$9</f>
        <v/>
      </c>
      <c r="E54" s="14">
        <f>C54/$D$10</f>
        <v/>
      </c>
      <c r="F54" s="10">
        <f>IF(C54&lt;=$D$11,"cumple","no cumple")</f>
        <v/>
      </c>
    </row>
    <row r="55">
      <c r="A55" s="10" t="inlineStr">
        <is>
          <t>RUTA 42</t>
        </is>
      </c>
      <c r="B55" s="10" t="inlineStr">
        <is>
          <t>E-07</t>
        </is>
      </c>
      <c r="C55" s="18" t="n">
        <v>7.86</v>
      </c>
      <c r="D55" s="14">
        <f>C55/$D$9</f>
        <v/>
      </c>
      <c r="E55" s="14">
        <f>C55/$D$10</f>
        <v/>
      </c>
      <c r="F55" s="10">
        <f>IF(C55&lt;=$D$11,"cumple","no cumple")</f>
        <v/>
      </c>
    </row>
    <row r="56">
      <c r="A56" s="10" t="inlineStr">
        <is>
          <t>RUTA 43</t>
        </is>
      </c>
      <c r="B56" s="10" t="inlineStr">
        <is>
          <t>E-07</t>
        </is>
      </c>
      <c r="C56" s="18" t="n">
        <v>6.35</v>
      </c>
      <c r="D56" s="14">
        <f>C56/$D$9</f>
        <v/>
      </c>
      <c r="E56" s="14">
        <f>C56/$D$10</f>
        <v/>
      </c>
      <c r="F56" s="10">
        <f>IF(C56&lt;=$D$11,"cumple","no cumple")</f>
        <v/>
      </c>
    </row>
    <row r="57">
      <c r="A57" s="10" t="inlineStr">
        <is>
          <t>RUTA 44</t>
        </is>
      </c>
      <c r="B57" s="10" t="inlineStr">
        <is>
          <t>E-07</t>
        </is>
      </c>
      <c r="C57" s="18" t="n">
        <v>10.4</v>
      </c>
      <c r="D57" s="14">
        <f>C57/$D$9</f>
        <v/>
      </c>
      <c r="E57" s="14">
        <f>C57/$D$10</f>
        <v/>
      </c>
      <c r="F57" s="10">
        <f>IF(C57&lt;=$D$11,"cumple","no cumple")</f>
        <v/>
      </c>
    </row>
    <row r="58">
      <c r="A58" s="10" t="inlineStr">
        <is>
          <t>RUTA 45</t>
        </is>
      </c>
      <c r="B58" s="10" t="inlineStr">
        <is>
          <t>E-07</t>
        </is>
      </c>
      <c r="C58" s="18" t="n">
        <v>38.57</v>
      </c>
      <c r="D58" s="14">
        <f>C58/$D$9</f>
        <v/>
      </c>
      <c r="E58" s="14">
        <f>C58/$D$10</f>
        <v/>
      </c>
      <c r="F58" s="10">
        <f>IF(C58&lt;=$D$11,"cumple","no cumple")</f>
        <v/>
      </c>
    </row>
    <row r="59">
      <c r="A59" s="10" t="inlineStr">
        <is>
          <t>RUTA 46</t>
        </is>
      </c>
      <c r="B59" s="10" t="inlineStr">
        <is>
          <t>E-07</t>
        </is>
      </c>
      <c r="C59" s="18" t="n">
        <v>15.38</v>
      </c>
      <c r="D59" s="14">
        <f>C59/$D$9</f>
        <v/>
      </c>
      <c r="E59" s="14">
        <f>C59/$D$10</f>
        <v/>
      </c>
      <c r="F59" s="10">
        <f>IF(C59&lt;=$D$11,"cumple","no cumple")</f>
        <v/>
      </c>
    </row>
    <row r="60">
      <c r="A60" s="10" t="inlineStr">
        <is>
          <t>RUTA 47</t>
        </is>
      </c>
      <c r="B60" s="10" t="inlineStr">
        <is>
          <t>E-07</t>
        </is>
      </c>
      <c r="C60" s="18" t="n">
        <v>11.87</v>
      </c>
      <c r="D60" s="14">
        <f>C60/$D$9</f>
        <v/>
      </c>
      <c r="E60" s="14">
        <f>C60/$D$10</f>
        <v/>
      </c>
      <c r="F60" s="10">
        <f>IF(C60&lt;=$D$11,"cumple","no cumple")</f>
        <v/>
      </c>
    </row>
    <row r="61">
      <c r="A61" s="10" t="inlineStr">
        <is>
          <t>RUTA 48</t>
        </is>
      </c>
      <c r="B61" s="10" t="inlineStr">
        <is>
          <t>E-07</t>
        </is>
      </c>
      <c r="C61" s="18" t="n">
        <v>28.87</v>
      </c>
      <c r="D61" s="14">
        <f>C61/$D$9</f>
        <v/>
      </c>
      <c r="E61" s="14">
        <f>C61/$D$10</f>
        <v/>
      </c>
      <c r="F61" s="10">
        <f>IF(C61&lt;=$D$11,"cumple","no cumple")</f>
        <v/>
      </c>
    </row>
    <row r="62">
      <c r="A62" s="10" t="inlineStr">
        <is>
          <t>RUTA 49</t>
        </is>
      </c>
      <c r="B62" s="10" t="inlineStr">
        <is>
          <t>E-07</t>
        </is>
      </c>
      <c r="C62" s="18" t="n">
        <v>23.34</v>
      </c>
      <c r="D62" s="14">
        <f>C62/$D$9</f>
        <v/>
      </c>
      <c r="E62" s="14">
        <f>C62/$D$10</f>
        <v/>
      </c>
      <c r="F62" s="10">
        <f>IF(C62&lt;=$D$11,"cumple","no cumple")</f>
        <v/>
      </c>
    </row>
    <row r="63">
      <c r="A63" s="10" t="inlineStr">
        <is>
          <t>RUTA 50</t>
        </is>
      </c>
      <c r="B63" s="10" t="inlineStr">
        <is>
          <t>E-07</t>
        </is>
      </c>
      <c r="C63" s="18" t="n">
        <v>28.35</v>
      </c>
      <c r="D63" s="14">
        <f>C63/$D$9</f>
        <v/>
      </c>
      <c r="E63" s="14">
        <f>C63/$D$10</f>
        <v/>
      </c>
      <c r="F63" s="10">
        <f>IF(C63&lt;=$D$11,"cumple","no cumple")</f>
        <v/>
      </c>
    </row>
    <row r="64">
      <c r="A64" s="10" t="inlineStr">
        <is>
          <t>RUTA 51</t>
        </is>
      </c>
      <c r="B64" s="10" t="inlineStr">
        <is>
          <t>E-08</t>
        </is>
      </c>
      <c r="C64" s="18" t="n">
        <v>24.98</v>
      </c>
      <c r="D64" s="14">
        <f>C64/$D$9</f>
        <v/>
      </c>
      <c r="E64" s="14">
        <f>C64/$D$10</f>
        <v/>
      </c>
      <c r="F64" s="10">
        <f>IF(C64&lt;=$D$11,"cumple","no cumple")</f>
        <v/>
      </c>
    </row>
    <row r="65">
      <c r="A65" s="10" t="inlineStr">
        <is>
          <t>RUTA 52</t>
        </is>
      </c>
      <c r="B65" s="10" t="inlineStr">
        <is>
          <t>E-08</t>
        </is>
      </c>
      <c r="C65" s="18" t="n">
        <v>20.54</v>
      </c>
      <c r="D65" s="14">
        <f>C65/$D$9</f>
        <v/>
      </c>
      <c r="E65" s="14">
        <f>C65/$D$10</f>
        <v/>
      </c>
      <c r="F65" s="10">
        <f>IF(C65&lt;=$D$11,"cumple","no cumple")</f>
        <v/>
      </c>
    </row>
    <row r="66">
      <c r="A66" s="10" t="inlineStr">
        <is>
          <t>RUTA 53</t>
        </is>
      </c>
      <c r="B66" s="10" t="inlineStr">
        <is>
          <t>E-08</t>
        </is>
      </c>
      <c r="C66" s="18" t="n">
        <v>25.74</v>
      </c>
      <c r="D66" s="14">
        <f>C66/$D$9</f>
        <v/>
      </c>
      <c r="E66" s="14">
        <f>C66/$D$10</f>
        <v/>
      </c>
      <c r="F66" s="10">
        <f>IF(C66&lt;=$D$11,"cumple","no cumple")</f>
        <v/>
      </c>
    </row>
    <row r="67">
      <c r="A67" s="10" t="inlineStr">
        <is>
          <t>RUTA 54</t>
        </is>
      </c>
      <c r="B67" s="10" t="inlineStr">
        <is>
          <t>E-08</t>
        </is>
      </c>
      <c r="C67" s="18" t="n">
        <v>38.19</v>
      </c>
      <c r="D67" s="14">
        <f>C67/$D$9</f>
        <v/>
      </c>
      <c r="E67" s="14">
        <f>C67/$D$10</f>
        <v/>
      </c>
      <c r="F67" s="10">
        <f>IF(C67&lt;=$D$11,"cumple","no cumple")</f>
        <v/>
      </c>
    </row>
    <row r="68">
      <c r="A68" s="10" t="inlineStr">
        <is>
          <t>RUTA 55</t>
        </is>
      </c>
      <c r="B68" s="10" t="inlineStr">
        <is>
          <t>E-08</t>
        </is>
      </c>
      <c r="C68" s="18" t="n">
        <v>17.27</v>
      </c>
      <c r="D68" s="14">
        <f>C68/$D$9</f>
        <v/>
      </c>
      <c r="E68" s="14">
        <f>C68/$D$10</f>
        <v/>
      </c>
      <c r="F68" s="10">
        <f>IF(C68&lt;=$D$11,"cumple","no cumple")</f>
        <v/>
      </c>
    </row>
    <row r="69">
      <c r="A69" s="10" t="inlineStr">
        <is>
          <t>RUTA 56</t>
        </is>
      </c>
      <c r="B69" s="10" t="inlineStr">
        <is>
          <t>E-08</t>
        </is>
      </c>
      <c r="C69" s="18" t="n">
        <v>16.81</v>
      </c>
      <c r="D69" s="14">
        <f>C69/$D$9</f>
        <v/>
      </c>
      <c r="E69" s="14">
        <f>C69/$D$10</f>
        <v/>
      </c>
      <c r="F69" s="10">
        <f>IF(C69&lt;=$D$11,"cumple","no cumple")</f>
        <v/>
      </c>
    </row>
    <row r="70">
      <c r="A70" s="10" t="inlineStr">
        <is>
          <t>RUTA 57</t>
        </is>
      </c>
      <c r="B70" s="10" t="inlineStr">
        <is>
          <t>E-08</t>
        </is>
      </c>
      <c r="C70" s="18" t="n">
        <v>12.78</v>
      </c>
      <c r="D70" s="14">
        <f>C70/$D$9</f>
        <v/>
      </c>
      <c r="E70" s="14">
        <f>C70/$D$10</f>
        <v/>
      </c>
      <c r="F70" s="10">
        <f>IF(C70&lt;=$D$11,"cumple","no cumple")</f>
        <v/>
      </c>
    </row>
    <row r="71">
      <c r="A71" s="10" t="inlineStr">
        <is>
          <t>RUTA 58</t>
        </is>
      </c>
      <c r="B71" s="10" t="inlineStr">
        <is>
          <t>E-08</t>
        </is>
      </c>
      <c r="C71" s="18" t="n">
        <v>10.56</v>
      </c>
      <c r="D71" s="14">
        <f>C71/$D$9</f>
        <v/>
      </c>
      <c r="E71" s="14">
        <f>C71/$D$10</f>
        <v/>
      </c>
      <c r="F71" s="10">
        <f>IF(C71&lt;=$D$11,"cumple","no cumple")</f>
        <v/>
      </c>
    </row>
    <row r="72">
      <c r="A72" s="10" t="inlineStr">
        <is>
          <t>RUTA 59</t>
        </is>
      </c>
      <c r="B72" s="10" t="inlineStr">
        <is>
          <t>E-08</t>
        </is>
      </c>
      <c r="C72" s="18" t="n">
        <v>7.07</v>
      </c>
      <c r="D72" s="14">
        <f>C72/$D$9</f>
        <v/>
      </c>
      <c r="E72" s="14">
        <f>C72/$D$10</f>
        <v/>
      </c>
      <c r="F72" s="10">
        <f>IF(C72&lt;=$D$11,"cumple","no cumple")</f>
        <v/>
      </c>
    </row>
    <row r="73">
      <c r="A73" s="10" t="inlineStr">
        <is>
          <t>RUTA 60</t>
        </is>
      </c>
      <c r="B73" s="10" t="inlineStr">
        <is>
          <t>E-06</t>
        </is>
      </c>
      <c r="C73" s="18" t="n">
        <v>7.07</v>
      </c>
      <c r="D73" s="14">
        <f>C73/$D$9</f>
        <v/>
      </c>
      <c r="E73" s="14">
        <f>C73/$D$10</f>
        <v/>
      </c>
      <c r="F73" s="10">
        <f>IF(C73&lt;=$D$11,"cumple","no cumple")</f>
        <v/>
      </c>
    </row>
    <row r="74">
      <c r="A74" s="10" t="inlineStr">
        <is>
          <t>RUTA 61</t>
        </is>
      </c>
      <c r="B74" s="10" t="inlineStr">
        <is>
          <t>E-06</t>
        </is>
      </c>
      <c r="C74" s="18" t="n">
        <v>18.64</v>
      </c>
      <c r="D74" s="14">
        <f>C74/$D$9</f>
        <v/>
      </c>
      <c r="E74" s="14">
        <f>C74/$D$10</f>
        <v/>
      </c>
      <c r="F74" s="10">
        <f>IF(C74&lt;=$D$11,"cumple","no cumple")</f>
        <v/>
      </c>
    </row>
    <row r="75">
      <c r="A75" s="10" t="inlineStr">
        <is>
          <t>RUTA 62</t>
        </is>
      </c>
      <c r="B75" s="10" t="inlineStr">
        <is>
          <t>E-06</t>
        </is>
      </c>
      <c r="C75" s="18" t="n">
        <v>20.78</v>
      </c>
      <c r="D75" s="14">
        <f>C75/$D$9</f>
        <v/>
      </c>
      <c r="E75" s="14">
        <f>C75/$D$10</f>
        <v/>
      </c>
      <c r="F75" s="10">
        <f>IF(C75&lt;=$D$11,"cumple","no cumple")</f>
        <v/>
      </c>
    </row>
    <row r="76">
      <c r="A76" s="10" t="inlineStr">
        <is>
          <t>RUTA 63</t>
        </is>
      </c>
      <c r="B76" s="10" t="inlineStr">
        <is>
          <t>E-06</t>
        </is>
      </c>
      <c r="C76" s="18" t="n">
        <v>19.63</v>
      </c>
      <c r="D76" s="14">
        <f>C76/$D$9</f>
        <v/>
      </c>
      <c r="E76" s="14">
        <f>C76/$D$10</f>
        <v/>
      </c>
      <c r="F76" s="10">
        <f>IF(C76&lt;=$D$11,"cumple","no cumple")</f>
        <v/>
      </c>
    </row>
    <row r="77">
      <c r="A77" s="10" t="inlineStr">
        <is>
          <t>RUTA 64</t>
        </is>
      </c>
      <c r="B77" s="10" t="inlineStr">
        <is>
          <t>E-06</t>
        </is>
      </c>
      <c r="C77" s="18" t="n">
        <v>16.15</v>
      </c>
      <c r="D77" s="14">
        <f>C77/$D$9</f>
        <v/>
      </c>
      <c r="E77" s="14">
        <f>C77/$D$10</f>
        <v/>
      </c>
      <c r="F77" s="10">
        <f>IF(C77&lt;=$D$11,"cumple","no cumple")</f>
        <v/>
      </c>
    </row>
    <row r="78">
      <c r="A78" s="10" t="inlineStr">
        <is>
          <t>RUTA 65</t>
        </is>
      </c>
      <c r="B78" s="10" t="inlineStr">
        <is>
          <t>E-06</t>
        </is>
      </c>
      <c r="C78" s="18" t="n">
        <v>34.23</v>
      </c>
      <c r="D78" s="14">
        <f>C78/$D$9</f>
        <v/>
      </c>
      <c r="E78" s="14">
        <f>C78/$D$10</f>
        <v/>
      </c>
      <c r="F78" s="10">
        <f>IF(C78&lt;=$D$11,"cumple","no cumple")</f>
        <v/>
      </c>
    </row>
    <row r="79">
      <c r="A79" s="10" t="inlineStr">
        <is>
          <t>RUTA 66</t>
        </is>
      </c>
      <c r="B79" s="10" t="inlineStr">
        <is>
          <t>E-06</t>
        </is>
      </c>
      <c r="C79" s="18" t="n">
        <v>34.38</v>
      </c>
      <c r="D79" s="14">
        <f>C79/$D$9</f>
        <v/>
      </c>
      <c r="E79" s="14">
        <f>C79/$D$10</f>
        <v/>
      </c>
      <c r="F79" s="10">
        <f>IF(C79&lt;=$D$11,"cumple","no cumple")</f>
        <v/>
      </c>
    </row>
    <row r="80">
      <c r="A80" s="10" t="inlineStr">
        <is>
          <t>RUTA 67</t>
        </is>
      </c>
      <c r="B80" s="10" t="inlineStr">
        <is>
          <t>E-06</t>
        </is>
      </c>
      <c r="C80" s="18" t="n">
        <v>31.11</v>
      </c>
      <c r="D80" s="14">
        <f>C80/$D$9</f>
        <v/>
      </c>
      <c r="E80" s="14">
        <f>C80/$D$10</f>
        <v/>
      </c>
      <c r="F80" s="10">
        <f>IF(C80&lt;=$D$11,"cumple","no cumple")</f>
        <v/>
      </c>
    </row>
    <row r="81">
      <c r="A81" s="10" t="inlineStr">
        <is>
          <t>RUTA 68</t>
        </is>
      </c>
      <c r="B81" s="10" t="inlineStr">
        <is>
          <t>EXT</t>
        </is>
      </c>
      <c r="C81" s="18" t="n">
        <v>15.77</v>
      </c>
      <c r="D81" s="14">
        <f>C81/$D$9</f>
        <v/>
      </c>
      <c r="E81" s="14">
        <f>C81/$D$10</f>
        <v/>
      </c>
      <c r="F81" s="10">
        <f>IF(C81&lt;=$D$11,"cumple","no cumple")</f>
        <v/>
      </c>
    </row>
    <row r="82">
      <c r="A82" s="10" t="inlineStr">
        <is>
          <t>RUTA 69</t>
        </is>
      </c>
      <c r="B82" s="10" t="inlineStr">
        <is>
          <t>EXT</t>
        </is>
      </c>
      <c r="C82" s="18" t="n">
        <v>12.58</v>
      </c>
      <c r="D82" s="14">
        <f>C82/$D$9</f>
        <v/>
      </c>
      <c r="E82" s="14">
        <f>C82/$D$10</f>
        <v/>
      </c>
      <c r="F82" s="10">
        <f>IF(C82&lt;=$D$11,"cumple","no cumple")</f>
        <v/>
      </c>
    </row>
    <row r="83">
      <c r="A83" s="10" t="inlineStr">
        <is>
          <t>RUTA 70</t>
        </is>
      </c>
      <c r="B83" s="10" t="inlineStr">
        <is>
          <t>EXT</t>
        </is>
      </c>
      <c r="C83" s="18" t="n">
        <v>12.58</v>
      </c>
      <c r="D83" s="14">
        <f>C83/$D$9</f>
        <v/>
      </c>
      <c r="E83" s="14">
        <f>C83/$D$10</f>
        <v/>
      </c>
      <c r="F83" s="10">
        <f>IF(C83&lt;=$D$11,"cumple","no cumple")</f>
        <v/>
      </c>
    </row>
    <row r="84">
      <c r="A84" s="10" t="inlineStr">
        <is>
          <t>RUTA 71</t>
        </is>
      </c>
      <c r="B84" s="10" t="inlineStr">
        <is>
          <t>EXT</t>
        </is>
      </c>
      <c r="C84" s="18" t="n">
        <v>15.77</v>
      </c>
      <c r="D84" s="14">
        <f>C84/$D$9</f>
        <v/>
      </c>
      <c r="E84" s="14">
        <f>C84/$D$10</f>
        <v/>
      </c>
      <c r="F84" s="10">
        <f>IF(C84&lt;=$D$11,"cumple","no cumple")</f>
        <v/>
      </c>
    </row>
    <row r="85">
      <c r="A85" s="10" t="inlineStr">
        <is>
          <t>RUTA 72</t>
        </is>
      </c>
      <c r="B85" s="10" t="inlineStr">
        <is>
          <t>E-09</t>
        </is>
      </c>
      <c r="C85" s="18" t="n">
        <v>35.75</v>
      </c>
      <c r="D85" s="14">
        <f>C85/$D$9</f>
        <v/>
      </c>
      <c r="E85" s="14">
        <f>C85/$D$10</f>
        <v/>
      </c>
      <c r="F85" s="10">
        <f>IF(C85&lt;=$D$11,"cumple","no cumple")</f>
        <v/>
      </c>
    </row>
    <row r="86">
      <c r="A86" s="10" t="inlineStr">
        <is>
          <t>RUTA 73</t>
        </is>
      </c>
      <c r="B86" s="10" t="inlineStr">
        <is>
          <t>E-09</t>
        </is>
      </c>
      <c r="C86" s="18" t="n">
        <v>39.67</v>
      </c>
      <c r="D86" s="14">
        <f>C86/$D$9</f>
        <v/>
      </c>
      <c r="E86" s="14">
        <f>C86/$D$10</f>
        <v/>
      </c>
      <c r="F86" s="10">
        <f>IF(C86&lt;=$D$11,"cumple","no cumple")</f>
        <v/>
      </c>
    </row>
    <row r="87">
      <c r="A87" s="10" t="inlineStr">
        <is>
          <t>RUTA 74</t>
        </is>
      </c>
      <c r="B87" s="10" t="inlineStr">
        <is>
          <t>E-04</t>
        </is>
      </c>
      <c r="C87" s="18" t="n">
        <v>19.21</v>
      </c>
      <c r="D87" s="14">
        <f>C87/$D$9</f>
        <v/>
      </c>
      <c r="E87" s="14">
        <f>C87/$D$10</f>
        <v/>
      </c>
      <c r="F87" s="10">
        <f>IF(C87&lt;=$D$11,"cumple","no cumple")</f>
        <v/>
      </c>
    </row>
    <row r="88">
      <c r="A88" s="10" t="inlineStr">
        <is>
          <t>RUTA 75</t>
        </is>
      </c>
      <c r="B88" s="10" t="inlineStr">
        <is>
          <t>E-04</t>
        </is>
      </c>
      <c r="C88" s="18" t="n">
        <v>16.46</v>
      </c>
      <c r="D88" s="14">
        <f>C88/$D$9</f>
        <v/>
      </c>
      <c r="E88" s="14">
        <f>C88/$D$10</f>
        <v/>
      </c>
      <c r="F88" s="10">
        <f>IF(C88&lt;=$D$11,"cumple","no cumple")</f>
        <v/>
      </c>
    </row>
    <row r="89">
      <c r="A89" s="10" t="inlineStr">
        <is>
          <t>RUTA 76</t>
        </is>
      </c>
      <c r="B89" s="10" t="inlineStr">
        <is>
          <t>E-04</t>
        </is>
      </c>
      <c r="C89" s="18" t="n">
        <v>13.48</v>
      </c>
      <c r="D89" s="14">
        <f>C89/$D$9</f>
        <v/>
      </c>
      <c r="E89" s="14">
        <f>C89/$D$10</f>
        <v/>
      </c>
      <c r="F89" s="10">
        <f>IF(C89&lt;=$D$11,"cumple","no cumple")</f>
        <v/>
      </c>
    </row>
    <row r="90">
      <c r="A90" s="10" t="inlineStr">
        <is>
          <t>RUTA 77</t>
        </is>
      </c>
      <c r="B90" s="10" t="inlineStr">
        <is>
          <t>E-04</t>
        </is>
      </c>
      <c r="C90" s="18" t="n">
        <v>13.13</v>
      </c>
      <c r="D90" s="14">
        <f>C90/$D$9</f>
        <v/>
      </c>
      <c r="E90" s="14">
        <f>C90/$D$10</f>
        <v/>
      </c>
      <c r="F90" s="10">
        <f>IF(C90&lt;=$D$11,"cumple","no cumple")</f>
        <v/>
      </c>
    </row>
    <row r="91">
      <c r="A91" s="10" t="inlineStr">
        <is>
          <t>RUTA 78</t>
        </is>
      </c>
      <c r="B91" s="10" t="inlineStr">
        <is>
          <t>E-04</t>
        </is>
      </c>
      <c r="C91" s="18" t="n">
        <v>9.960000000000001</v>
      </c>
      <c r="D91" s="14">
        <f>C91/$D$9</f>
        <v/>
      </c>
      <c r="E91" s="14">
        <f>C91/$D$10</f>
        <v/>
      </c>
      <c r="F91" s="10">
        <f>IF(C91&lt;=$D$11,"cumple","no cumple")</f>
        <v/>
      </c>
    </row>
    <row r="92">
      <c r="A92" s="10" t="inlineStr">
        <is>
          <t>RUTA 79</t>
        </is>
      </c>
      <c r="B92" s="10" t="inlineStr">
        <is>
          <t>E-04</t>
        </is>
      </c>
      <c r="C92" s="18" t="n">
        <v>7.31</v>
      </c>
      <c r="D92" s="14">
        <f>C92/$D$9</f>
        <v/>
      </c>
      <c r="E92" s="14">
        <f>C92/$D$10</f>
        <v/>
      </c>
      <c r="F92" s="10">
        <f>IF(C92&lt;=$D$11,"cumple","no cumple")</f>
        <v/>
      </c>
    </row>
    <row r="93">
      <c r="A93" s="10" t="inlineStr">
        <is>
          <t>RUTA 80</t>
        </is>
      </c>
      <c r="B93" s="10" t="inlineStr">
        <is>
          <t>E-04</t>
        </is>
      </c>
      <c r="C93" s="18" t="n">
        <v>25.85</v>
      </c>
      <c r="D93" s="14">
        <f>C93/$D$9</f>
        <v/>
      </c>
      <c r="E93" s="14">
        <f>C93/$D$10</f>
        <v/>
      </c>
      <c r="F93" s="10">
        <f>IF(C93&lt;=$D$11,"cumple","no cumple")</f>
        <v/>
      </c>
    </row>
    <row r="94">
      <c r="A94" s="10" t="inlineStr">
        <is>
          <t>RUTA 81</t>
        </is>
      </c>
      <c r="B94" s="10" t="inlineStr">
        <is>
          <t>E-04</t>
        </is>
      </c>
      <c r="C94" s="18" t="n">
        <v>18.31</v>
      </c>
      <c r="D94" s="14">
        <f>C94/$D$9</f>
        <v/>
      </c>
      <c r="E94" s="14">
        <f>C94/$D$10</f>
        <v/>
      </c>
      <c r="F94" s="10">
        <f>IF(C94&lt;=$D$11,"cumple","no cumple")</f>
        <v/>
      </c>
    </row>
    <row r="95">
      <c r="A95" s="10" t="inlineStr">
        <is>
          <t>RUTA 82</t>
        </is>
      </c>
      <c r="B95" s="10" t="inlineStr">
        <is>
          <t>E-04</t>
        </is>
      </c>
      <c r="C95" s="18" t="n">
        <v>24.15</v>
      </c>
      <c r="D95" s="14">
        <f>C95/$D$9</f>
        <v/>
      </c>
      <c r="E95" s="14">
        <f>C95/$D$10</f>
        <v/>
      </c>
      <c r="F95" s="10">
        <f>IF(C95&lt;=$D$11,"cumple","no cumple")</f>
        <v/>
      </c>
    </row>
    <row r="96">
      <c r="A96" s="10" t="inlineStr">
        <is>
          <t>RUTA 83</t>
        </is>
      </c>
      <c r="B96" s="10" t="inlineStr">
        <is>
          <t>E-04</t>
        </is>
      </c>
      <c r="C96" s="18" t="n">
        <v>21.18</v>
      </c>
      <c r="D96" s="14">
        <f>C96/$D$9</f>
        <v/>
      </c>
      <c r="E96" s="14">
        <f>C96/$D$10</f>
        <v/>
      </c>
      <c r="F96" s="10">
        <f>IF(C96&lt;=$D$11,"cumple","no cumple")</f>
        <v/>
      </c>
    </row>
    <row r="97">
      <c r="A97" s="10" t="inlineStr">
        <is>
          <t>RUTA 84</t>
        </is>
      </c>
      <c r="B97" s="10" t="inlineStr">
        <is>
          <t>E-04</t>
        </is>
      </c>
      <c r="C97" s="18" t="n">
        <v>17.67</v>
      </c>
      <c r="D97" s="14">
        <f>C97/$D$9</f>
        <v/>
      </c>
      <c r="E97" s="14">
        <f>C97/$D$10</f>
        <v/>
      </c>
      <c r="F97" s="10">
        <f>IF(C97&lt;=$D$11,"cumple","no cumple")</f>
        <v/>
      </c>
    </row>
    <row r="98">
      <c r="A98" s="28" t="inlineStr">
        <is>
          <t>RUTAS</t>
        </is>
      </c>
      <c r="B98" s="15">
        <f>COUNTA(A14:A97)</f>
        <v/>
      </c>
      <c r="C98" s="19">
        <f>MAX(C14:C97)</f>
        <v/>
      </c>
      <c r="D98" s="15">
        <f>MAX(D14:D97)</f>
        <v/>
      </c>
      <c r="E98" s="15">
        <f>MAX(E14:E97)</f>
        <v/>
      </c>
      <c r="F98" s="15">
        <f>COUNTIF(F14:F97,"cumple")</f>
        <v/>
      </c>
    </row>
    <row r="99" ht="26" customHeight="1">
      <c r="A99" s="24" t="inlineStr">
        <is>
          <t>Fila RUTAS: cantidad de rutas, longitud y tiempos máximos y rutas que cumplen. Longitud = la rotulada en la lámina (“RUTA n - DISTANCIA”); la edificación de origen es la del punto de partida de la ruta (círculo con X en la puerta).</t>
        </is>
      </c>
    </row>
  </sheetData>
  <mergeCells count="11">
    <mergeCell ref="B3:G3"/>
    <mergeCell ref="B2:G2"/>
    <mergeCell ref="A10:C10"/>
    <mergeCell ref="A99:G99"/>
    <mergeCell ref="A1:G1"/>
    <mergeCell ref="A11:C11"/>
    <mergeCell ref="B5:G5"/>
    <mergeCell ref="A9:C9"/>
    <mergeCell ref="B4:G4"/>
    <mergeCell ref="B7:G7"/>
    <mergeCell ref="B6:G6"/>
  </mergeCells>
  <pageMargins left="0.4" right="0.4" top="0.5" bottom="0.5" header="0.5" footer="0.5"/>
  <pageSetup orientation="portrait" paperSize="9" fitToHeight="0" fitToWidth="1"/>
</worksheet>
</file>

<file path=xl/worksheets/sheet5.xml><?xml version="1.0" encoding="utf-8"?>
<worksheet xmlns="http://schemas.openxmlformats.org/spreadsheetml/2006/main">
  <sheetPr>
    <outlinePr summaryBelow="1" summaryRight="1"/>
    <pageSetUpPr fitToPage="1"/>
  </sheetPr>
  <dimension ref="A1:G37"/>
  <sheetViews>
    <sheetView showGridLines="0" workbookViewId="0">
      <selection activeCell="A1" sqref="A1"/>
    </sheetView>
  </sheetViews>
  <sheetFormatPr baseColWidth="8" defaultRowHeight="15"/>
  <cols>
    <col width="5" customWidth="1" min="1" max="1"/>
    <col width="50" customWidth="1" min="2" max="2"/>
    <col width="10" customWidth="1" min="3" max="3"/>
    <col width="11" customWidth="1" min="4" max="4"/>
    <col width="11" customWidth="1" min="5" max="5"/>
    <col width="11" customWidth="1" min="6" max="6"/>
    <col width="48" customWidth="1" min="7" max="7"/>
  </cols>
  <sheetData>
    <row r="1" ht="24" customHeight="1">
      <c r="A1" s="1" t="inlineStr">
        <is>
          <t>COTEJO DE LA LEYENDA DE LA LÁMINA SE-S-02 CON LA PLANTA</t>
        </is>
      </c>
    </row>
    <row r="2" ht="36" customHeight="1">
      <c r="A2" s="2" t="inlineStr">
        <is>
          <t>PROYECTO</t>
        </is>
      </c>
      <c r="B2" s="3" t="inlineStr">
        <is>
          <t>“CREACIÓN DEL SERVICIO DE PROTECCIÓN A MUJERES VÍCTIMAS DE VIOLENCIA EN SITUACIÓN DE RIESGO DE FEMINICIDIO O PELIGRE SU INTEGRIDAD Y/O SALUD FÍSICA Y/O MENTAL EN HOGAR DE REFUGIO TEMPORAL DISTRITO DE MORALES DE LA PROVINCIA DE SAN MARTÍN DEL DEPARTAMENTO DE SAN MARTÍN”</t>
        </is>
      </c>
      <c r="C2" s="4" t="n"/>
      <c r="D2" s="4" t="n"/>
      <c r="E2" s="4" t="n"/>
      <c r="F2" s="4" t="n"/>
      <c r="G2" s="4" t="n"/>
    </row>
    <row r="3">
      <c r="A3" s="2" t="inlineStr">
        <is>
          <t>CUI</t>
        </is>
      </c>
      <c r="B3" s="5" t="inlineStr">
        <is>
          <t>N.° 2675514</t>
        </is>
      </c>
      <c r="C3" s="4" t="n"/>
      <c r="D3" s="4" t="n"/>
      <c r="E3" s="4" t="n"/>
      <c r="F3" s="4" t="n"/>
      <c r="G3" s="4" t="n"/>
    </row>
    <row r="4">
      <c r="A4" s="2" t="inlineStr">
        <is>
          <t>ESPECIALIDAD</t>
        </is>
      </c>
      <c r="B4" s="5" t="inlineStr">
        <is>
          <t>ARQUITECTURA - EVACUACIÓN Y SEÑALIZACIÓN</t>
        </is>
      </c>
      <c r="C4" s="4" t="n"/>
      <c r="D4" s="4" t="n"/>
      <c r="E4" s="4" t="n"/>
      <c r="F4" s="4" t="n"/>
      <c r="G4" s="4" t="n"/>
    </row>
    <row r="5">
      <c r="A5" s="2" t="inlineStr">
        <is>
          <t>UBICACIÓN</t>
        </is>
      </c>
      <c r="B5" s="5" t="inlineStr">
        <is>
          <t>Distrito de Morales, provincia y departamento de San Martín</t>
        </is>
      </c>
      <c r="C5" s="4" t="n"/>
      <c r="D5" s="4" t="n"/>
      <c r="E5" s="4" t="n"/>
      <c r="F5" s="4" t="n"/>
      <c r="G5" s="4" t="n"/>
    </row>
    <row r="6">
      <c r="A6" s="2" t="inlineStr">
        <is>
          <t>LÁMINAS</t>
        </is>
      </c>
      <c r="B6" s="5" t="inlineStr">
        <is>
          <t>SE-E-01 Planta general de evacuación (esc. 1/150) y SE-S-02 Planta general de señalización (esc. 1/150)</t>
        </is>
      </c>
      <c r="C6" s="4" t="n"/>
      <c r="D6" s="4" t="n"/>
      <c r="E6" s="4" t="n"/>
      <c r="F6" s="4" t="n"/>
      <c r="G6" s="4" t="n"/>
    </row>
    <row r="7">
      <c r="A7" s="2" t="inlineStr">
        <is>
          <t>FECHA</t>
        </is>
      </c>
      <c r="B7" s="5" t="inlineStr">
        <is>
          <t>OCTUBRE 2026</t>
        </is>
      </c>
      <c r="C7" s="4" t="n"/>
      <c r="D7" s="4" t="n"/>
      <c r="E7" s="4" t="n"/>
      <c r="F7" s="4" t="n"/>
      <c r="G7" s="4" t="n"/>
    </row>
    <row r="9">
      <c r="A9" s="6" t="inlineStr">
        <is>
          <t>N.°</t>
        </is>
      </c>
      <c r="B9" s="6" t="inlineStr">
        <is>
          <t>FILA DE LA LEYENDA (TEXTO DEL PLANO)</t>
        </is>
      </c>
      <c r="C9" s="6" t="inlineStr">
        <is>
          <t>ALTURA EN LA LEYENDA</t>
        </is>
      </c>
      <c r="D9" s="6" t="inlineStr">
        <is>
          <t>CANTIDAD EN LA LEYENDA</t>
        </is>
      </c>
      <c r="E9" s="6" t="inlineStr">
        <is>
          <t>DIBUJADO EN LA PLANTA</t>
        </is>
      </c>
      <c r="F9" s="6" t="inlineStr">
        <is>
          <t>DIFERENCIA</t>
        </is>
      </c>
      <c r="G9" s="6" t="inlineStr">
        <is>
          <t>OBSERVACIÓN</t>
        </is>
      </c>
    </row>
    <row r="10">
      <c r="A10" s="10" t="n">
        <v>1</v>
      </c>
      <c r="B10" s="5" t="inlineStr">
        <is>
          <t>SALIDA CON BRAILLE</t>
        </is>
      </c>
      <c r="C10" s="10" t="inlineStr">
        <is>
          <t>2.10</t>
        </is>
      </c>
      <c r="D10" s="14" t="n">
        <v>49</v>
      </c>
      <c r="E10" s="14" t="n">
        <v>49</v>
      </c>
      <c r="F10" s="16">
        <f>E10-D10</f>
        <v/>
      </c>
      <c r="G10" s="17" t="inlineStr">
        <is>
          <t>Conforme.</t>
        </is>
      </c>
    </row>
    <row r="11">
      <c r="A11" s="10" t="n">
        <v>2</v>
      </c>
      <c r="B11" s="5" t="inlineStr">
        <is>
          <t>SEÑALES DE SERVICIOS HIGIENICOS PHD CON BRAILLE</t>
        </is>
      </c>
      <c r="C11" s="10" t="inlineStr">
        <is>
          <t>1.80</t>
        </is>
      </c>
      <c r="D11" s="14" t="n">
        <v>3</v>
      </c>
      <c r="E11" s="14" t="n">
        <v>3</v>
      </c>
      <c r="F11" s="16">
        <f>E11-D11</f>
        <v/>
      </c>
      <c r="G11" s="17" t="inlineStr">
        <is>
          <t>Conforme.</t>
        </is>
      </c>
    </row>
    <row r="12">
      <c r="A12" s="10" t="n">
        <v>3</v>
      </c>
      <c r="B12" s="5" t="inlineStr">
        <is>
          <t>ZONA SEGURA EN CASO DE SISMO CON BRAILLE</t>
        </is>
      </c>
      <c r="C12" s="10" t="inlineStr">
        <is>
          <t>1.80</t>
        </is>
      </c>
      <c r="D12" s="14" t="n">
        <v>210</v>
      </c>
      <c r="E12" s="14" t="n">
        <v>209</v>
      </c>
      <c r="F12" s="16">
        <f>E12-D12</f>
        <v/>
      </c>
      <c r="G12" s="17" t="inlineStr">
        <is>
          <t>Corregir la leyenda a 209 (lo dibujado).</t>
        </is>
      </c>
    </row>
    <row r="13">
      <c r="A13" s="10" t="n">
        <v>4</v>
      </c>
      <c r="B13" s="5" t="inlineStr">
        <is>
          <t>AVISADOR SONORO CON BRAILLE</t>
        </is>
      </c>
      <c r="C13" s="10" t="inlineStr">
        <is>
          <t>2.00</t>
        </is>
      </c>
      <c r="D13" s="14" t="n">
        <v>0</v>
      </c>
      <c r="E13" s="14" t="n">
        <v>0</v>
      </c>
      <c r="F13" s="16">
        <f>E13-D13</f>
        <v/>
      </c>
      <c r="G13" s="17" t="inlineStr">
        <is>
          <t>Sin símbolos en la planta; no se metra.</t>
        </is>
      </c>
    </row>
    <row r="14">
      <c r="A14" s="10" t="n">
        <v>5</v>
      </c>
      <c r="B14" s="5" t="inlineStr">
        <is>
          <t>ESCALERA DE SALIDA CON BRAILLE</t>
        </is>
      </c>
      <c r="C14" s="10" t="inlineStr">
        <is>
          <t>1.80</t>
        </is>
      </c>
      <c r="D14" s="14" t="n">
        <v>0</v>
      </c>
      <c r="E14" s="14" t="n">
        <v>0</v>
      </c>
      <c r="F14" s="16">
        <f>E14-D14</f>
        <v/>
      </c>
      <c r="G14" s="17" t="inlineStr">
        <is>
          <t>Sin símbolos en la planta; no se metra.</t>
        </is>
      </c>
    </row>
    <row r="15">
      <c r="A15" s="10" t="n">
        <v>6</v>
      </c>
      <c r="B15" s="5" t="inlineStr">
        <is>
          <t>SEÑALES DE SERVICIOS HIGIENICOS MIXTO CON BRAILLE</t>
        </is>
      </c>
      <c r="C15" s="10" t="inlineStr">
        <is>
          <t>1.80</t>
        </is>
      </c>
      <c r="D15" s="14" t="n">
        <v>20</v>
      </c>
      <c r="E15" s="14" t="n">
        <v>0</v>
      </c>
      <c r="F15" s="16">
        <f>E15-D15</f>
        <v/>
      </c>
      <c r="G15" s="17" t="inlineStr">
        <is>
          <t>Revisar.</t>
        </is>
      </c>
    </row>
    <row r="16">
      <c r="A16" s="10" t="n">
        <v>7</v>
      </c>
      <c r="B16" s="5" t="inlineStr">
        <is>
          <t>SEÑALES DE SERVICIOS HIGIENICOS MUJER CON BRAILLE</t>
        </is>
      </c>
      <c r="C16" s="10" t="inlineStr">
        <is>
          <t>1.80</t>
        </is>
      </c>
      <c r="D16" s="14" t="n">
        <v>3</v>
      </c>
      <c r="E16" s="14" t="n">
        <v>23</v>
      </c>
      <c r="F16" s="16">
        <f>E16-D16</f>
        <v/>
      </c>
      <c r="G16" s="17" t="inlineStr">
        <is>
          <t>Corregir la leyenda a 23 (lo dibujado).</t>
        </is>
      </c>
    </row>
    <row r="17">
      <c r="A17" s="10" t="n">
        <v>8</v>
      </c>
      <c r="B17" s="5" t="inlineStr">
        <is>
          <t>SEÑALES DE SERVICIOS HIGIENICOS VARÓN CON BRAILLE</t>
        </is>
      </c>
      <c r="C17" s="10" t="inlineStr">
        <is>
          <t>1.80</t>
        </is>
      </c>
      <c r="D17" s="14" t="n">
        <v>3</v>
      </c>
      <c r="E17" s="14" t="n">
        <v>3</v>
      </c>
      <c r="F17" s="16">
        <f>E17-D17</f>
        <v/>
      </c>
      <c r="G17" s="17" t="inlineStr">
        <is>
          <t>Conforme.</t>
        </is>
      </c>
    </row>
    <row r="18">
      <c r="A18" s="10" t="n">
        <v>9</v>
      </c>
      <c r="B18" s="5" t="inlineStr">
        <is>
          <t>SEÑAL DE UBICACIÓN DE EXTINTOR PQS CON BRAILLE</t>
        </is>
      </c>
      <c r="C18" s="10" t="inlineStr">
        <is>
          <t>1.20</t>
        </is>
      </c>
      <c r="D18" s="14" t="n">
        <v>44</v>
      </c>
      <c r="E18" s="14" t="n">
        <v>33</v>
      </c>
      <c r="F18" s="16">
        <f>E18-D18</f>
        <v/>
      </c>
      <c r="G18" s="17" t="inlineStr">
        <is>
          <t>Corregir la leyenda a 33 (lo dibujado).</t>
        </is>
      </c>
    </row>
    <row r="19">
      <c r="A19" s="10" t="n">
        <v>10</v>
      </c>
      <c r="B19" s="5" t="inlineStr">
        <is>
          <t>SEÑAL DE UBICACIÓN DE EXTINTOR CO2 CON BRAILLE</t>
        </is>
      </c>
      <c r="C19" s="10" t="inlineStr">
        <is>
          <t>1.20</t>
        </is>
      </c>
      <c r="D19" s="14" t="n">
        <v>0</v>
      </c>
      <c r="E19" s="14" t="n">
        <v>0</v>
      </c>
      <c r="F19" s="16">
        <f>E19-D19</f>
        <v/>
      </c>
      <c r="G19" s="17" t="inlineStr">
        <is>
          <t>Sin símbolos en la planta; no se metra.</t>
        </is>
      </c>
    </row>
    <row r="20">
      <c r="A20" s="10" t="n">
        <v>11</v>
      </c>
      <c r="B20" s="5" t="inlineStr">
        <is>
          <t>SEÑAL DE UBICACIÓN DE EXTINTOR K CON BRAILLE</t>
        </is>
      </c>
      <c r="C20" s="10" t="inlineStr">
        <is>
          <t>1.20</t>
        </is>
      </c>
      <c r="D20" s="14" t="n">
        <v>0</v>
      </c>
      <c r="E20" s="14" t="n">
        <v>0</v>
      </c>
      <c r="F20" s="16">
        <f>E20-D20</f>
        <v/>
      </c>
      <c r="G20" s="17" t="inlineStr">
        <is>
          <t>Sin símbolos en la planta; no se metra.</t>
        </is>
      </c>
    </row>
    <row r="21">
      <c r="A21" s="10" t="n">
        <v>12</v>
      </c>
      <c r="B21" s="5" t="inlineStr">
        <is>
          <t>ALARMA CONTRA INCEDIOS CON BRAILLE</t>
        </is>
      </c>
      <c r="C21" s="10" t="inlineStr">
        <is>
          <t>1.80</t>
        </is>
      </c>
      <c r="D21" s="14" t="n">
        <v>0</v>
      </c>
      <c r="E21" s="14" t="n">
        <v>0</v>
      </c>
      <c r="F21" s="16">
        <f>E21-D21</f>
        <v/>
      </c>
      <c r="G21" s="17" t="inlineStr">
        <is>
          <t>Sin símbolos en la planta; no se metra.</t>
        </is>
      </c>
    </row>
    <row r="22">
      <c r="A22" s="10" t="n">
        <v>13</v>
      </c>
      <c r="B22" s="5" t="inlineStr">
        <is>
          <t>DETECTOR DE HUMO</t>
        </is>
      </c>
      <c r="C22" s="10" t="inlineStr">
        <is>
          <t>TECHO</t>
        </is>
      </c>
      <c r="D22" s="14" t="n">
        <v>68</v>
      </c>
      <c r="E22" s="14" t="n">
        <v>67</v>
      </c>
      <c r="F22" s="16">
        <f>E22-D22</f>
        <v/>
      </c>
      <c r="G22" s="17" t="inlineStr">
        <is>
          <t>Corregir la leyenda a 67 (lo dibujado).</t>
        </is>
      </c>
    </row>
    <row r="23">
      <c r="A23" s="10" t="n">
        <v>14</v>
      </c>
      <c r="B23" s="5" t="inlineStr">
        <is>
          <t>BARRA ANTIPÁNICO CON BRAILLE</t>
        </is>
      </c>
      <c r="C23" s="10" t="inlineStr">
        <is>
          <t>PUERTA</t>
        </is>
      </c>
      <c r="D23" s="14" t="n">
        <v>0</v>
      </c>
      <c r="E23" s="14" t="n">
        <v>0</v>
      </c>
      <c r="F23" s="16">
        <f>E23-D23</f>
        <v/>
      </c>
      <c r="G23" s="17" t="inlineStr">
        <is>
          <t>Sin símbolos en la planta; no se metra.</t>
        </is>
      </c>
    </row>
    <row r="24">
      <c r="A24" s="10" t="n">
        <v>15</v>
      </c>
      <c r="B24" s="5" t="inlineStr">
        <is>
          <t>UNIDAD DE LUCES DE EMERGENCIA CON BRAILLE</t>
        </is>
      </c>
      <c r="C24" s="10" t="inlineStr">
        <is>
          <t>2.10</t>
        </is>
      </c>
      <c r="D24" s="14" t="n">
        <v>77</v>
      </c>
      <c r="E24" s="14" t="n">
        <v>115</v>
      </c>
      <c r="F24" s="16">
        <f>E24-D24</f>
        <v/>
      </c>
      <c r="G24" s="17" t="inlineStr">
        <is>
          <t>Corregir la leyenda a 115 (lo dibujado).</t>
        </is>
      </c>
    </row>
    <row r="25">
      <c r="A25" s="10" t="n">
        <v>16</v>
      </c>
      <c r="B25" s="5" t="inlineStr">
        <is>
          <t>BOTIQUIN PRIMEROS AUXILIOS CON BRAILLE</t>
        </is>
      </c>
      <c r="C25" s="10" t="inlineStr">
        <is>
          <t>1.80</t>
        </is>
      </c>
      <c r="D25" s="14" t="n">
        <v>0</v>
      </c>
      <c r="E25" s="14" t="n">
        <v>0</v>
      </c>
      <c r="F25" s="16">
        <f>E25-D25</f>
        <v/>
      </c>
      <c r="G25" s="17" t="inlineStr">
        <is>
          <t>Sin símbolos en la planta; no se metra.</t>
        </is>
      </c>
    </row>
    <row r="26">
      <c r="A26" s="10" t="n">
        <v>17</v>
      </c>
      <c r="B26" s="5" t="inlineStr">
        <is>
          <t>ATENCIÓN RIESGO ELECTRICO CON BRAILLE</t>
        </is>
      </c>
      <c r="C26" s="10" t="inlineStr">
        <is>
          <t>1.10</t>
        </is>
      </c>
      <c r="D26" s="14" t="n">
        <v>38</v>
      </c>
      <c r="E26" s="14" t="n">
        <v>39</v>
      </c>
      <c r="F26" s="16">
        <f>E26-D26</f>
        <v/>
      </c>
      <c r="G26" s="17" t="inlineStr">
        <is>
          <t>Imagen pegada (OLE): 39 imágenes en el espacio modelo, sin ubicación.</t>
        </is>
      </c>
    </row>
    <row r="27">
      <c r="A27" s="10" t="n">
        <v>18</v>
      </c>
      <c r="B27" s="5" t="inlineStr">
        <is>
          <t>RIESGO DE DESCARGA ELECTRICA CON BRAILLE</t>
        </is>
      </c>
      <c r="C27" s="10" t="inlineStr">
        <is>
          <t>1.10</t>
        </is>
      </c>
      <c r="D27" s="14" t="n">
        <v>0</v>
      </c>
      <c r="E27" s="14" t="n">
        <v>0</v>
      </c>
      <c r="F27" s="16">
        <f>E27-D27</f>
        <v/>
      </c>
      <c r="G27" s="17" t="inlineStr">
        <is>
          <t>Sin símbolos en la planta; no se metra.</t>
        </is>
      </c>
    </row>
    <row r="28">
      <c r="A28" s="10" t="n">
        <v>19</v>
      </c>
      <c r="B28" s="5" t="inlineStr">
        <is>
          <t>PROHIBIDO EL INGRESO SOLO PERSONAL AUTORIZADO CON BRAILLE</t>
        </is>
      </c>
      <c r="C28" s="10" t="inlineStr">
        <is>
          <t>1.10</t>
        </is>
      </c>
      <c r="D28" s="14" t="n">
        <v>0</v>
      </c>
      <c r="E28" s="14" t="n">
        <v>0</v>
      </c>
      <c r="F28" s="16">
        <f>E28-D28</f>
        <v/>
      </c>
      <c r="G28" s="17" t="inlineStr">
        <is>
          <t>Sin símbolos en la planta; no se metra.</t>
        </is>
      </c>
    </row>
    <row r="29">
      <c r="A29" s="10" t="n">
        <v>20</v>
      </c>
      <c r="B29" s="5" t="inlineStr">
        <is>
          <t>SENSOR DE TEMPERATURA CON BRAILLE</t>
        </is>
      </c>
      <c r="C29" s="10" t="inlineStr">
        <is>
          <t>TECHO</t>
        </is>
      </c>
      <c r="D29" s="14" t="n">
        <v>0</v>
      </c>
      <c r="E29" s="14" t="n">
        <v>0</v>
      </c>
      <c r="F29" s="16">
        <f>E29-D29</f>
        <v/>
      </c>
      <c r="G29" s="17" t="inlineStr">
        <is>
          <t>Sin símbolos en la planta; no se metra.</t>
        </is>
      </c>
    </row>
    <row r="30">
      <c r="A30" s="10" t="n">
        <v>21</v>
      </c>
      <c r="B30" s="5" t="inlineStr">
        <is>
          <t>PUNTO ECOLÓGICO CON BRAILLE</t>
        </is>
      </c>
      <c r="C30" s="10" t="inlineStr">
        <is>
          <t>—</t>
        </is>
      </c>
      <c r="D30" s="14" t="n">
        <v>0</v>
      </c>
      <c r="E30" s="14" t="n">
        <v>4</v>
      </c>
      <c r="F30" s="16">
        <f>E30-D30</f>
        <v/>
      </c>
      <c r="G30" s="17" t="inlineStr">
        <is>
          <t>Corregir la leyenda a 4 (lo dibujado).</t>
        </is>
      </c>
    </row>
    <row r="31">
      <c r="A31" s="10" t="n">
        <v>22</v>
      </c>
      <c r="B31" s="5" t="inlineStr">
        <is>
          <t>POZO A TIERRA CON BRAILLE</t>
        </is>
      </c>
      <c r="C31" s="10" t="inlineStr">
        <is>
          <t>Suelo</t>
        </is>
      </c>
      <c r="D31" s="14" t="n">
        <v>0</v>
      </c>
      <c r="E31" s="14" t="n">
        <v>0</v>
      </c>
      <c r="F31" s="16">
        <f>E31-D31</f>
        <v/>
      </c>
      <c r="G31" s="17" t="inlineStr">
        <is>
          <t>Sin símbolos en la planta; no se metra.</t>
        </is>
      </c>
    </row>
    <row r="32">
      <c r="A32" s="10" t="n">
        <v>23</v>
      </c>
      <c r="B32" s="5" t="inlineStr">
        <is>
          <t>CENTRAL DE ALARMA CONTRA INCENDIO CON BRAILLE</t>
        </is>
      </c>
      <c r="C32" s="10" t="inlineStr">
        <is>
          <t>1.10</t>
        </is>
      </c>
      <c r="D32" s="14" t="n">
        <v>0</v>
      </c>
      <c r="E32" s="14" t="n">
        <v>0</v>
      </c>
      <c r="F32" s="16">
        <f>E32-D32</f>
        <v/>
      </c>
      <c r="G32" s="17" t="inlineStr">
        <is>
          <t>Sin símbolos en la planta; no se metra.</t>
        </is>
      </c>
    </row>
    <row r="33">
      <c r="A33" s="10" t="n">
        <v>24</v>
      </c>
      <c r="B33" s="5" t="inlineStr">
        <is>
          <t>ZONA DE REUNIONES CON BRAILLE</t>
        </is>
      </c>
      <c r="C33" s="10" t="inlineStr">
        <is>
          <t>EN PISO</t>
        </is>
      </c>
      <c r="D33" s="14" t="n">
        <v>0</v>
      </c>
      <c r="E33" s="14" t="n">
        <v>25.42</v>
      </c>
      <c r="F33" s="16">
        <f>E33-D33</f>
        <v/>
      </c>
      <c r="G33" s="17" t="inlineStr">
        <is>
          <t>Corregir la leyenda a 25 (lo dibujado).</t>
        </is>
      </c>
    </row>
    <row r="34">
      <c r="A34" s="10" t="n">
        <v>25</v>
      </c>
      <c r="B34" s="5" t="inlineStr">
        <is>
          <t>LETRERO DE AFORO CON BRAILLE</t>
        </is>
      </c>
      <c r="C34" s="10" t="inlineStr">
        <is>
          <t>2.10</t>
        </is>
      </c>
      <c r="D34" s="14" t="n">
        <v>55</v>
      </c>
      <c r="E34" s="14" t="n">
        <v>55</v>
      </c>
      <c r="F34" s="16">
        <f>E34-D34</f>
        <v/>
      </c>
      <c r="G34" s="17" t="inlineStr">
        <is>
          <t>Conforme.</t>
        </is>
      </c>
    </row>
    <row r="35">
      <c r="A35" s="10" t="n">
        <v>26</v>
      </c>
      <c r="B35" s="5" t="inlineStr">
        <is>
          <t>PANEL DE ALARMA CONTRA INCENDIO</t>
        </is>
      </c>
      <c r="C35" s="10" t="inlineStr">
        <is>
          <t>1.10</t>
        </is>
      </c>
      <c r="D35" s="14" t="n">
        <v>0</v>
      </c>
      <c r="E35" s="14" t="n">
        <v>0</v>
      </c>
      <c r="F35" s="16">
        <f>E35-D35</f>
        <v/>
      </c>
      <c r="G35" s="17" t="inlineStr">
        <is>
          <t>Sin símbolos en la planta; no se metra.</t>
        </is>
      </c>
    </row>
    <row r="36">
      <c r="A36" s="10" t="n">
        <v>27</v>
      </c>
      <c r="B36" s="5" t="inlineStr">
        <is>
          <t>DIRECCIÓN DE EVACUACIÓN</t>
        </is>
      </c>
      <c r="C36" s="10" t="inlineStr">
        <is>
          <t>2.10</t>
        </is>
      </c>
      <c r="D36" s="14" t="n">
        <v>63</v>
      </c>
      <c r="E36" s="14" t="n">
        <v>63</v>
      </c>
      <c r="F36" s="16">
        <f>E36-D36</f>
        <v/>
      </c>
      <c r="G36" s="17" t="inlineStr">
        <is>
          <t>Conforme.</t>
        </is>
      </c>
    </row>
    <row r="37">
      <c r="A37" s="21" t="n"/>
      <c r="B37" s="22" t="inlineStr">
        <is>
          <t>TOTAL</t>
        </is>
      </c>
      <c r="C37" s="21" t="n"/>
      <c r="D37" s="15">
        <f>SUM(D10:D36)</f>
        <v/>
      </c>
      <c r="E37" s="15">
        <f>SUM(E10:E36)</f>
        <v/>
      </c>
      <c r="F37" s="15">
        <f>SUM(F10:F36)</f>
        <v/>
      </c>
      <c r="G37" s="21" t="n"/>
    </row>
  </sheetData>
  <mergeCells count="7">
    <mergeCell ref="B3:G3"/>
    <mergeCell ref="B2:G2"/>
    <mergeCell ref="A1:G1"/>
    <mergeCell ref="B5:G5"/>
    <mergeCell ref="B4:G4"/>
    <mergeCell ref="B7:G7"/>
    <mergeCell ref="B6:G6"/>
  </mergeCells>
  <pageMargins left="0.4" right="0.4" top="0.5" bottom="0.5" header="0.5" footer="0.5"/>
  <pageSetup orientation="portrait" paperSize="9" fitToHeight="0" fitToWidth="1"/>
</worksheet>
</file>

<file path=xl/worksheets/sheet6.xml><?xml version="1.0" encoding="utf-8"?>
<worksheet xmlns="http://schemas.openxmlformats.org/spreadsheetml/2006/main">
  <sheetPr>
    <outlinePr summaryBelow="1" summaryRight="1"/>
    <pageSetUpPr fitToPage="1"/>
  </sheetPr>
  <dimension ref="A1:E26"/>
  <sheetViews>
    <sheetView showGridLines="0" workbookViewId="0">
      <selection activeCell="A1" sqref="A1"/>
    </sheetView>
  </sheetViews>
  <sheetFormatPr baseColWidth="8" defaultRowHeight="15"/>
  <cols>
    <col width="40" customWidth="1" min="1" max="1"/>
    <col width="30" customWidth="1" min="2" max="2"/>
    <col width="18" customWidth="1" min="3" max="3"/>
    <col width="12" customWidth="1" min="4" max="4"/>
  </cols>
  <sheetData>
    <row r="1" ht="24" customHeight="1">
      <c r="A1" s="1" t="inlineStr">
        <is>
          <t>POBLACIÓN DEL HOGAR (OCUPANTES PARA LA EVACUACIÓN)</t>
        </is>
      </c>
    </row>
    <row r="2" ht="36" customHeight="1">
      <c r="A2" s="2" t="inlineStr">
        <is>
          <t>PROYECTO</t>
        </is>
      </c>
      <c r="B2" s="3" t="inlineStr">
        <is>
          <t>“CREACIÓN DEL SERVICIO DE PROTECCIÓN A MUJERES VÍCTIMAS DE VIOLENCIA EN SITUACIÓN DE RIESGO DE FEMINICIDIO O PELIGRE SU INTEGRIDAD Y/O SALUD FÍSICA Y/O MENTAL EN HOGAR DE REFUGIO TEMPORAL DISTRITO DE MORALES DE LA PROVINCIA DE SAN MARTÍN DEL DEPARTAMENTO DE SAN MARTÍN”</t>
        </is>
      </c>
      <c r="C2" s="4" t="n"/>
      <c r="D2" s="4" t="n"/>
      <c r="E2" s="4" t="n"/>
    </row>
    <row r="3">
      <c r="A3" s="2" t="inlineStr">
        <is>
          <t>CUI</t>
        </is>
      </c>
      <c r="B3" s="5" t="inlineStr">
        <is>
          <t>N.° 2675514</t>
        </is>
      </c>
      <c r="C3" s="4" t="n"/>
      <c r="D3" s="4" t="n"/>
      <c r="E3" s="4" t="n"/>
    </row>
    <row r="4">
      <c r="A4" s="2" t="inlineStr">
        <is>
          <t>ESPECIALIDAD</t>
        </is>
      </c>
      <c r="B4" s="5" t="inlineStr">
        <is>
          <t>ARQUITECTURA - EVACUACIÓN Y SEÑALIZACIÓN</t>
        </is>
      </c>
      <c r="C4" s="4" t="n"/>
      <c r="D4" s="4" t="n"/>
      <c r="E4" s="4" t="n"/>
    </row>
    <row r="5">
      <c r="A5" s="2" t="inlineStr">
        <is>
          <t>UBICACIÓN</t>
        </is>
      </c>
      <c r="B5" s="5" t="inlineStr">
        <is>
          <t>Distrito de Morales, provincia y departamento de San Martín</t>
        </is>
      </c>
      <c r="C5" s="4" t="n"/>
      <c r="D5" s="4" t="n"/>
      <c r="E5" s="4" t="n"/>
    </row>
    <row r="6">
      <c r="A6" s="2" t="inlineStr">
        <is>
          <t>LÁMINAS</t>
        </is>
      </c>
      <c r="B6" s="5" t="inlineStr">
        <is>
          <t>SE-E-01 Planta general de evacuación (esc. 1/150) y SE-S-02 Planta general de señalización (esc. 1/150)</t>
        </is>
      </c>
      <c r="C6" s="4" t="n"/>
      <c r="D6" s="4" t="n"/>
      <c r="E6" s="4" t="n"/>
    </row>
    <row r="7">
      <c r="A7" s="2" t="inlineStr">
        <is>
          <t>FECHA</t>
        </is>
      </c>
      <c r="B7" s="5" t="inlineStr">
        <is>
          <t>OCTUBRE 2026</t>
        </is>
      </c>
      <c r="C7" s="4" t="n"/>
      <c r="D7" s="4" t="n"/>
      <c r="E7" s="4" t="n"/>
    </row>
    <row r="9">
      <c r="A9" s="6" t="inlineStr">
        <is>
          <t>HABITACIÓN</t>
        </is>
      </c>
      <c r="B9" s="6" t="inlineStr">
        <is>
          <t>CANTIDAD</t>
        </is>
      </c>
      <c r="C9" s="6" t="inlineStr">
        <is>
          <t>CAMAS / PLAZAS POR HABITACIÓN</t>
        </is>
      </c>
      <c r="D9" s="6" t="inlineStr">
        <is>
          <t>PLAZAS</t>
        </is>
      </c>
    </row>
    <row r="10">
      <c r="A10" s="5" t="inlineStr">
        <is>
          <t>Habitaciones simples - tipo I</t>
        </is>
      </c>
      <c r="B10" s="14" t="n">
        <v>3</v>
      </c>
      <c r="C10" s="14" t="n">
        <v>3</v>
      </c>
      <c r="D10" s="14">
        <f>B10*C10</f>
        <v/>
      </c>
    </row>
    <row r="11">
      <c r="A11" s="5" t="inlineStr">
        <is>
          <t>Habitaciones simples - tipo II</t>
        </is>
      </c>
      <c r="B11" s="14" t="n">
        <v>3</v>
      </c>
      <c r="C11" s="14" t="n">
        <v>3</v>
      </c>
      <c r="D11" s="14">
        <f>B11*C11</f>
        <v/>
      </c>
    </row>
    <row r="12">
      <c r="A12" s="5" t="inlineStr">
        <is>
          <t>Habitaciones doble - tipo I</t>
        </is>
      </c>
      <c r="B12" s="14" t="n">
        <v>3</v>
      </c>
      <c r="C12" s="14" t="n">
        <v>5</v>
      </c>
      <c r="D12" s="14">
        <f>B12*C12</f>
        <v/>
      </c>
    </row>
    <row r="13">
      <c r="A13" s="5" t="inlineStr">
        <is>
          <t>Habitaciones doble - tipo II</t>
        </is>
      </c>
      <c r="B13" s="14" t="n">
        <v>7</v>
      </c>
      <c r="C13" s="14" t="n">
        <v>5</v>
      </c>
      <c r="D13" s="14">
        <f>B13*C13</f>
        <v/>
      </c>
    </row>
    <row r="14">
      <c r="A14" s="5" t="inlineStr">
        <is>
          <t>Habitaciones triple - tipo I</t>
        </is>
      </c>
      <c r="B14" s="14" t="n">
        <v>3</v>
      </c>
      <c r="C14" s="14" t="n">
        <v>7</v>
      </c>
      <c r="D14" s="14">
        <f>B14*C14</f>
        <v/>
      </c>
    </row>
    <row r="15">
      <c r="A15" s="5" t="inlineStr">
        <is>
          <t>Habitaciones triple - tipo II</t>
        </is>
      </c>
      <c r="B15" s="14" t="n">
        <v>3</v>
      </c>
      <c r="C15" s="14" t="n">
        <v>7</v>
      </c>
      <c r="D15" s="14">
        <f>B15*C15</f>
        <v/>
      </c>
    </row>
    <row r="16">
      <c r="A16" s="5" t="inlineStr">
        <is>
          <t>Habitación especial</t>
        </is>
      </c>
      <c r="B16" s="14" t="n">
        <v>1</v>
      </c>
      <c r="C16" s="14" t="n">
        <v>3</v>
      </c>
      <c r="D16" s="14">
        <f>B16*C16</f>
        <v/>
      </c>
    </row>
    <row r="17">
      <c r="A17" s="22" t="inlineStr">
        <is>
          <t>RESIDENTES (mujeres con sus hijas e hijos)</t>
        </is>
      </c>
      <c r="B17" s="15">
        <f>SUM(B10:B16)</f>
        <v/>
      </c>
      <c r="C17" s="21" t="n"/>
      <c r="D17" s="15">
        <f>SUM(D10:D16)</f>
        <v/>
      </c>
    </row>
    <row r="19">
      <c r="A19" s="6" t="inlineStr">
        <is>
          <t>POBLACIÓN</t>
        </is>
      </c>
      <c r="B19" s="6" t="inlineStr">
        <is>
          <t>DETALLE</t>
        </is>
      </c>
      <c r="D19" s="6" t="inlineStr">
        <is>
          <t>PERSONAS</t>
        </is>
      </c>
    </row>
    <row r="20">
      <c r="A20" s="5" t="inlineStr">
        <is>
          <t>Residentes</t>
        </is>
      </c>
      <c r="B20" s="5" t="inlineStr">
        <is>
          <t>Plazas de las habitaciones (A.030 art. 5)</t>
        </is>
      </c>
      <c r="C20" s="27" t="n"/>
      <c r="D20" s="14">
        <f>D17</f>
        <v/>
      </c>
    </row>
    <row r="21">
      <c r="A21" s="5" t="inlineStr">
        <is>
          <t>Personal</t>
        </is>
      </c>
      <c r="B21" s="5" t="inlineStr">
        <is>
          <t>Administrativo, atención especializada, mantenimiento y vigilancia</t>
        </is>
      </c>
      <c r="C21" s="27" t="n"/>
      <c r="D21" s="14" t="n">
        <v>62</v>
      </c>
    </row>
    <row r="22">
      <c r="A22" s="22" t="inlineStr">
        <is>
          <t>Permanentes</t>
        </is>
      </c>
      <c r="B22" s="22" t="inlineStr">
        <is>
          <t>Residentes + personal</t>
        </is>
      </c>
      <c r="C22" s="27" t="n"/>
      <c r="D22" s="15">
        <f>D20+D21</f>
        <v/>
      </c>
    </row>
    <row r="23">
      <c r="A23" s="5" t="inlineStr">
        <is>
          <t>Temporales</t>
        </is>
      </c>
      <c r="B23" s="5" t="inlineStr">
        <is>
          <t>Visitas, talleres, sala de reuniones y personal eventual</t>
        </is>
      </c>
      <c r="C23" s="27" t="n"/>
      <c r="D23" s="14" t="n">
        <v>130</v>
      </c>
    </row>
    <row r="24">
      <c r="A24" s="22" t="inlineStr">
        <is>
          <t>CAPACIDAD MÁXIMA</t>
        </is>
      </c>
      <c r="B24" s="22" t="inlineStr">
        <is>
          <t>Permanentes + temporales</t>
        </is>
      </c>
      <c r="C24" s="27" t="n"/>
      <c r="D24" s="15">
        <f>D22+D23</f>
        <v/>
      </c>
    </row>
    <row r="26" ht="26" customHeight="1">
      <c r="A26" s="24" t="inlineStr">
        <is>
          <t>Fuente: residentes = tabla de plazas de la memoria descriptiva de arquitectura (23 habitaciones); personal y temporales = memoria de evacuación de arquitectura del hogar.</t>
        </is>
      </c>
    </row>
  </sheetData>
  <mergeCells count="13">
    <mergeCell ref="B21:C21"/>
    <mergeCell ref="B24:C24"/>
    <mergeCell ref="B4:E4"/>
    <mergeCell ref="B20:C20"/>
    <mergeCell ref="B6:E6"/>
    <mergeCell ref="A26:D26"/>
    <mergeCell ref="B23:C23"/>
    <mergeCell ref="B7:E7"/>
    <mergeCell ref="A1:E1"/>
    <mergeCell ref="B22:C22"/>
    <mergeCell ref="B3:E3"/>
    <mergeCell ref="B5:E5"/>
    <mergeCell ref="B2:E2"/>
  </mergeCells>
  <pageMargins left="0.4" right="0.4" top="0.5" bottom="0.5" header="0.5" footer="0.5"/>
  <pageSetup orientation="portrait" paperSize="9" fitToHeight="0" fitToWidth="1"/>
</worksheet>
</file>

<file path=xl/worksheets/sheet7.xml><?xml version="1.0" encoding="utf-8"?>
<worksheet xmlns="http://schemas.openxmlformats.org/spreadsheetml/2006/main">
  <sheetPr>
    <outlinePr summaryBelow="1" summaryRight="1"/>
    <pageSetUpPr fitToPage="1"/>
  </sheetPr>
  <dimension ref="A1:G28"/>
  <sheetViews>
    <sheetView showGridLines="0" workbookViewId="0">
      <selection activeCell="A1" sqref="A1"/>
    </sheetView>
  </sheetViews>
  <sheetFormatPr baseColWidth="8" defaultRowHeight="15"/>
  <cols>
    <col width="7" customWidth="1" min="1" max="1"/>
    <col width="40" customWidth="1" min="2" max="2"/>
    <col width="18" customWidth="1" min="3" max="3"/>
    <col width="40" customWidth="1" min="4" max="4"/>
    <col width="12" customWidth="1" min="5" max="5"/>
    <col width="11" customWidth="1" min="6" max="6"/>
    <col width="48" customWidth="1" min="7" max="7"/>
  </cols>
  <sheetData>
    <row r="1" ht="24" customHeight="1">
      <c r="A1" s="1" t="inlineStr">
        <is>
          <t>CARACTERÍSTICAS DE LAS SEÑALES Y EQUIPOS (NTP 399.010-1, RNE A.120 Y A.130)</t>
        </is>
      </c>
    </row>
    <row r="2" ht="36" customHeight="1">
      <c r="A2" s="2" t="inlineStr">
        <is>
          <t>PROYECTO</t>
        </is>
      </c>
      <c r="B2" s="3" t="inlineStr">
        <is>
          <t>“CREACIÓN DEL SERVICIO DE PROTECCIÓN A MUJERES VÍCTIMAS DE VIOLENCIA EN SITUACIÓN DE RIESGO DE FEMINICIDIO O PELIGRE SU INTEGRIDAD Y/O SALUD FÍSICA Y/O MENTAL EN HOGAR DE REFUGIO TEMPORAL DISTRITO DE MORALES DE LA PROVINCIA DE SAN MARTÍN DEL DEPARTAMENTO DE SAN MARTÍN”</t>
        </is>
      </c>
      <c r="C2" s="4" t="n"/>
      <c r="D2" s="4" t="n"/>
      <c r="E2" s="4" t="n"/>
      <c r="F2" s="4" t="n"/>
      <c r="G2" s="4" t="n"/>
    </row>
    <row r="3">
      <c r="A3" s="2" t="inlineStr">
        <is>
          <t>CUI</t>
        </is>
      </c>
      <c r="B3" s="5" t="inlineStr">
        <is>
          <t>N.° 2675514</t>
        </is>
      </c>
      <c r="C3" s="4" t="n"/>
      <c r="D3" s="4" t="n"/>
      <c r="E3" s="4" t="n"/>
      <c r="F3" s="4" t="n"/>
      <c r="G3" s="4" t="n"/>
    </row>
    <row r="4">
      <c r="A4" s="2" t="inlineStr">
        <is>
          <t>ESPECIALIDAD</t>
        </is>
      </c>
      <c r="B4" s="5" t="inlineStr">
        <is>
          <t>ARQUITECTURA - EVACUACIÓN Y SEÑALIZACIÓN</t>
        </is>
      </c>
      <c r="C4" s="4" t="n"/>
      <c r="D4" s="4" t="n"/>
      <c r="E4" s="4" t="n"/>
      <c r="F4" s="4" t="n"/>
      <c r="G4" s="4" t="n"/>
    </row>
    <row r="5">
      <c r="A5" s="2" t="inlineStr">
        <is>
          <t>UBICACIÓN</t>
        </is>
      </c>
      <c r="B5" s="5" t="inlineStr">
        <is>
          <t>Distrito de Morales, provincia y departamento de San Martín</t>
        </is>
      </c>
      <c r="C5" s="4" t="n"/>
      <c r="D5" s="4" t="n"/>
      <c r="E5" s="4" t="n"/>
      <c r="F5" s="4" t="n"/>
      <c r="G5" s="4" t="n"/>
    </row>
    <row r="6">
      <c r="A6" s="2" t="inlineStr">
        <is>
          <t>LÁMINAS</t>
        </is>
      </c>
      <c r="B6" s="5" t="inlineStr">
        <is>
          <t>SE-E-01 Planta general de evacuación (esc. 1/150) y SE-S-02 Planta general de señalización (esc. 1/150)</t>
        </is>
      </c>
      <c r="C6" s="4" t="n"/>
      <c r="D6" s="4" t="n"/>
      <c r="E6" s="4" t="n"/>
      <c r="F6" s="4" t="n"/>
      <c r="G6" s="4" t="n"/>
    </row>
    <row r="7">
      <c r="A7" s="2" t="inlineStr">
        <is>
          <t>FECHA</t>
        </is>
      </c>
      <c r="B7" s="5" t="inlineStr">
        <is>
          <t>OCTUBRE 2026</t>
        </is>
      </c>
      <c r="C7" s="4" t="n"/>
      <c r="D7" s="4" t="n"/>
      <c r="E7" s="4" t="n"/>
      <c r="F7" s="4" t="n"/>
      <c r="G7" s="4" t="n"/>
    </row>
    <row r="9">
      <c r="A9" s="6" t="inlineStr">
        <is>
          <t>ITEM</t>
        </is>
      </c>
      <c r="B9" s="6" t="inlineStr">
        <is>
          <t>PARTIDA</t>
        </is>
      </c>
      <c r="C9" s="6" t="inlineStr">
        <is>
          <t>DIMENSIONES</t>
        </is>
      </c>
      <c r="D9" s="6" t="inlineStr">
        <is>
          <t>MATERIAL</t>
        </is>
      </c>
      <c r="E9" s="6" t="inlineStr">
        <is>
          <t>ALTURA DE INSTALACIÓN</t>
        </is>
      </c>
      <c r="F9" s="6" t="inlineStr">
        <is>
          <t>ALTURA EN LA LEYENDA</t>
        </is>
      </c>
      <c r="G9" s="6" t="inlineStr">
        <is>
          <t>FUNCIÓN Y UBICACIÓN</t>
        </is>
      </c>
    </row>
    <row r="10">
      <c r="A10" s="7" t="inlineStr">
        <is>
          <t>01</t>
        </is>
      </c>
      <c r="B10" s="2" t="inlineStr">
        <is>
          <t>SEÑALES DE EVACUACIÓN Y EMERGENCIA</t>
        </is>
      </c>
      <c r="C10" s="4" t="n"/>
      <c r="D10" s="4" t="n"/>
      <c r="E10" s="4" t="n"/>
      <c r="F10" s="4" t="n"/>
      <c r="G10" s="4" t="n"/>
    </row>
    <row r="11">
      <c r="A11" s="29" t="inlineStr">
        <is>
          <t>01.01</t>
        </is>
      </c>
      <c r="B11" s="17" t="inlineStr">
        <is>
          <t>SEÑAL DE SALIDA CON BRAILLE</t>
        </is>
      </c>
      <c r="C11" s="29" t="inlineStr">
        <is>
          <t>0.30 x 0.20 m</t>
        </is>
      </c>
      <c r="D11" s="17" t="inlineStr">
        <is>
          <t>Lámina de PVC celtex de 3 mm con vinil fotoluminiscente impreso y placa de acrílico con texto en braille</t>
        </is>
      </c>
      <c r="E11" s="29" t="inlineStr">
        <is>
          <t>2.10 m</t>
        </is>
      </c>
      <c r="F11" s="29" t="inlineStr">
        <is>
          <t>2.10</t>
        </is>
      </c>
      <c r="G11" s="17" t="inlineStr">
        <is>
          <t>Indica la puerta de salida de cada ambiente y de cada edificación hacia la circulación exterior; sobre el dintel.</t>
        </is>
      </c>
    </row>
    <row r="12">
      <c r="A12" s="29" t="inlineStr">
        <is>
          <t>01.02</t>
        </is>
      </c>
      <c r="B12" s="17" t="inlineStr">
        <is>
          <t>SEÑAL DE DIRECCIÓN DE EVACUACIÓN</t>
        </is>
      </c>
      <c r="C12" s="29" t="inlineStr">
        <is>
          <t>0.20 x 0.30 m</t>
        </is>
      </c>
      <c r="D12" s="17" t="inlineStr">
        <is>
          <t>Lámina de PVC celtex de 3 mm con vinil fotoluminiscente impreso</t>
        </is>
      </c>
      <c r="E12" s="29" t="inlineStr">
        <is>
          <t>2.10 m</t>
        </is>
      </c>
      <c r="F12" s="29" t="inlineStr">
        <is>
          <t>2.10</t>
        </is>
      </c>
      <c r="G12" s="17" t="inlineStr">
        <is>
          <t>Indica con una flecha el sentido de la ruta de evacuación en pasadizos y circulaciones, hasta la salida.</t>
        </is>
      </c>
    </row>
    <row r="13">
      <c r="A13" s="29" t="inlineStr">
        <is>
          <t>01.03</t>
        </is>
      </c>
      <c r="B13" s="17" t="inlineStr">
        <is>
          <t>SEÑAL DE ZONA SEGURA EN CASO DE SISMO CON BRAILLE</t>
        </is>
      </c>
      <c r="C13" s="29" t="inlineStr">
        <is>
          <t>0.20 x 0.30 m</t>
        </is>
      </c>
      <c r="D13" s="17" t="inlineStr">
        <is>
          <t>Lámina de PVC celtex de 3 mm con vinil fotoluminiscente impreso y placa de acrílico con texto en braille</t>
        </is>
      </c>
      <c r="E13" s="29" t="inlineStr">
        <is>
          <t>1.80 m</t>
        </is>
      </c>
      <c r="F13" s="29" t="inlineStr">
        <is>
          <t>1.80</t>
        </is>
      </c>
      <c r="G13" s="17" t="inlineStr">
        <is>
          <t>Identifica los lugares de protección dentro de los ambientes (columnas y muros estructurales) durante un sismo.</t>
        </is>
      </c>
    </row>
    <row r="14">
      <c r="A14" s="29" t="inlineStr">
        <is>
          <t>01.04</t>
        </is>
      </c>
      <c r="B14" s="17" t="inlineStr">
        <is>
          <t>LETRERO DE AFORO CON BRAILLE</t>
        </is>
      </c>
      <c r="C14" s="29" t="inlineStr">
        <is>
          <t>0.30 x 0.20 m</t>
        </is>
      </c>
      <c r="D14" s="17" t="inlineStr">
        <is>
          <t>Lámina de PVC celtex de 3 mm con vinil adhesivo impreso y placa de acrílico con texto en braille</t>
        </is>
      </c>
      <c r="E14" s="29" t="inlineStr">
        <is>
          <t>2.10 m</t>
        </is>
      </c>
      <c r="F14" s="29" t="inlineStr">
        <is>
          <t>2.10</t>
        </is>
      </c>
      <c r="G14" s="17" t="inlineStr">
        <is>
          <t>Indica la capacidad máxima de personas del ambiente; junto al ingreso, en el lado de la cerradura.</t>
        </is>
      </c>
    </row>
    <row r="15">
      <c r="A15" s="29" t="inlineStr">
        <is>
          <t>01.05</t>
        </is>
      </c>
      <c r="B15" s="17" t="inlineStr">
        <is>
          <t>PINTURA DE ZONA DE EVACUACIÓN EN CASO DE EMERGENCIA EN PISO (CÍRCULO DE 4.30 m, LÍNEA DE 0.15 m)</t>
        </is>
      </c>
      <c r="C15" s="29" t="inlineStr">
        <is>
          <t>anillo de 4.30 m de diámetro exterior y 0.15 m de ancho</t>
        </is>
      </c>
      <c r="D15" s="17" t="inlineStr">
        <is>
          <t>Pintura de tránsito color amarillo sobre piso de concreto</t>
        </is>
      </c>
      <c r="E15" s="29" t="inlineStr">
        <is>
          <t>en piso</t>
        </is>
      </c>
      <c r="F15" s="29" t="inlineStr">
        <is>
          <t>EN PISO</t>
        </is>
      </c>
      <c r="G15" s="17" t="inlineStr">
        <is>
          <t>Zona exterior de concentración de los ocupantes al final de las rutas de evacuación (zonas 01 a 13 de la lámina SE-E-01).</t>
        </is>
      </c>
    </row>
    <row r="16">
      <c r="A16" s="7" t="inlineStr">
        <is>
          <t>02</t>
        </is>
      </c>
      <c r="B16" s="2" t="inlineStr">
        <is>
          <t>SEÑALES DE EQUIPOS CONTRA INCENDIO</t>
        </is>
      </c>
      <c r="C16" s="4" t="n"/>
      <c r="D16" s="4" t="n"/>
      <c r="E16" s="4" t="n"/>
      <c r="F16" s="4" t="n"/>
      <c r="G16" s="4" t="n"/>
    </row>
    <row r="17">
      <c r="A17" s="29" t="inlineStr">
        <is>
          <t>02.01</t>
        </is>
      </c>
      <c r="B17" s="17" t="inlineStr">
        <is>
          <t>SEÑAL DE UBICACIÓN DE EXTINTOR PQS CON BRAILLE</t>
        </is>
      </c>
      <c r="C17" s="29" t="inlineStr">
        <is>
          <t>0.20 x 0.30 m</t>
        </is>
      </c>
      <c r="D17" s="17" t="inlineStr">
        <is>
          <t>Lámina de PVC celtex de 3 mm con vinil fotoluminiscente impreso y placa de acrílico con texto en braille</t>
        </is>
      </c>
      <c r="E17" s="29" t="inlineStr">
        <is>
          <t>1.80 m</t>
        </is>
      </c>
      <c r="F17" s="29" t="inlineStr">
        <is>
          <t>1.20</t>
        </is>
      </c>
      <c r="G17" s="17" t="inlineStr">
        <is>
          <t>Identifica la ubicación del extintor de polvo químico seco; sobre el equipo.</t>
        </is>
      </c>
    </row>
    <row r="18">
      <c r="A18" s="7" t="inlineStr">
        <is>
          <t>03</t>
        </is>
      </c>
      <c r="B18" s="2" t="inlineStr">
        <is>
          <t>SEÑALES DE ADVERTENCIA</t>
        </is>
      </c>
      <c r="C18" s="4" t="n"/>
      <c r="D18" s="4" t="n"/>
      <c r="E18" s="4" t="n"/>
      <c r="F18" s="4" t="n"/>
      <c r="G18" s="4" t="n"/>
    </row>
    <row r="19">
      <c r="A19" s="29" t="inlineStr">
        <is>
          <t>03.01</t>
        </is>
      </c>
      <c r="B19" s="17" t="inlineStr">
        <is>
          <t>SEÑAL DE ATENCIÓN RIESGO ELÉCTRICO CON BRAILLE</t>
        </is>
      </c>
      <c r="C19" s="29" t="inlineStr">
        <is>
          <t>0.20 x 0.30 m</t>
        </is>
      </c>
      <c r="D19" s="17" t="inlineStr">
        <is>
          <t>Lámina de PVC celtex de 3 mm con vinil adhesivo impreso y placa de acrílico con texto en braille</t>
        </is>
      </c>
      <c r="E19" s="29" t="inlineStr">
        <is>
          <t>1.10 m</t>
        </is>
      </c>
      <c r="F19" s="29" t="inlineStr">
        <is>
          <t>1.10</t>
        </is>
      </c>
      <c r="G19" s="17" t="inlineStr">
        <is>
          <t>Advierte la presencia de tableros y equipos eléctricos; en la puerta o el frente del tablero.</t>
        </is>
      </c>
    </row>
    <row r="20">
      <c r="A20" s="7" t="inlineStr">
        <is>
          <t>04</t>
        </is>
      </c>
      <c r="B20" s="2" t="inlineStr">
        <is>
          <t>SEÑALES INFORMATIVAS</t>
        </is>
      </c>
      <c r="C20" s="4" t="n"/>
      <c r="D20" s="4" t="n"/>
      <c r="E20" s="4" t="n"/>
      <c r="F20" s="4" t="n"/>
      <c r="G20" s="4" t="n"/>
    </row>
    <row r="21">
      <c r="A21" s="29" t="inlineStr">
        <is>
          <t>04.01</t>
        </is>
      </c>
      <c r="B21" s="17" t="inlineStr">
        <is>
          <t>SEÑAL DE SERVICIOS HIGIÉNICOS PARA PERSONAS CON DISCAPACIDAD CON BRAILLE</t>
        </is>
      </c>
      <c r="C21" s="29" t="inlineStr">
        <is>
          <t>0.20 x 0.30 m</t>
        </is>
      </c>
      <c r="D21" s="17" t="inlineStr">
        <is>
          <t>Lámina de PVC celtex de 3 mm con vinil adhesivo impreso y placa de acrílico con texto en braille</t>
        </is>
      </c>
      <c r="E21" s="29" t="inlineStr">
        <is>
          <t>1.80 m</t>
        </is>
      </c>
      <c r="F21" s="29" t="inlineStr">
        <is>
          <t>1.80</t>
        </is>
      </c>
      <c r="G21" s="17" t="inlineStr">
        <is>
          <t>Identifica el servicio higiénico accesible.</t>
        </is>
      </c>
    </row>
    <row r="22">
      <c r="A22" s="29" t="inlineStr">
        <is>
          <t>04.02</t>
        </is>
      </c>
      <c r="B22" s="17" t="inlineStr">
        <is>
          <t>SEÑAL DE SERVICIOS HIGIÉNICOS MUJERES CON BRAILLE</t>
        </is>
      </c>
      <c r="C22" s="29" t="inlineStr">
        <is>
          <t>0.20 x 0.30 m</t>
        </is>
      </c>
      <c r="D22" s="17" t="inlineStr">
        <is>
          <t>Lámina de PVC celtex de 3 mm con vinil adhesivo impreso y placa de acrílico con texto en braille</t>
        </is>
      </c>
      <c r="E22" s="29" t="inlineStr">
        <is>
          <t>1.80 m</t>
        </is>
      </c>
      <c r="F22" s="29" t="inlineStr">
        <is>
          <t>1.80</t>
        </is>
      </c>
      <c r="G22" s="17" t="inlineStr">
        <is>
          <t>Identifica el servicio higiénico de mujeres (habitaciones, tópico, vestidores, garita y SS.HH. de las edificaciones).</t>
        </is>
      </c>
    </row>
    <row r="23">
      <c r="A23" s="29" t="inlineStr">
        <is>
          <t>04.03</t>
        </is>
      </c>
      <c r="B23" s="17" t="inlineStr">
        <is>
          <t>SEÑAL DE SERVICIOS HIGIÉNICOS VARÓN CON BRAILLE</t>
        </is>
      </c>
      <c r="C23" s="29" t="inlineStr">
        <is>
          <t>0.20 x 0.30 m</t>
        </is>
      </c>
      <c r="D23" s="17" t="inlineStr">
        <is>
          <t>Lámina de PVC celtex de 3 mm con vinil adhesivo impreso y placa de acrílico con texto en braille</t>
        </is>
      </c>
      <c r="E23" s="29" t="inlineStr">
        <is>
          <t>1.80 m</t>
        </is>
      </c>
      <c r="F23" s="29" t="inlineStr">
        <is>
          <t>1.80</t>
        </is>
      </c>
      <c r="G23" s="17" t="inlineStr">
        <is>
          <t>Identifica el servicio higiénico de varones.</t>
        </is>
      </c>
    </row>
    <row r="24">
      <c r="A24" s="29" t="inlineStr">
        <is>
          <t>04.04</t>
        </is>
      </c>
      <c r="B24" s="17" t="inlineStr">
        <is>
          <t>SEÑAL DE PUNTO ECOLÓGICO CON BRAILLE</t>
        </is>
      </c>
      <c r="C24" s="29" t="inlineStr">
        <is>
          <t>0.30 x 0.20 m</t>
        </is>
      </c>
      <c r="D24" s="17" t="inlineStr">
        <is>
          <t>Lámina de PVC celtex de 3 mm con vinil adhesivo impreso y placa de acrílico con texto en braille</t>
        </is>
      </c>
      <c r="E24" s="29" t="inlineStr">
        <is>
          <t>1.80 m</t>
        </is>
      </c>
      <c r="F24" s="29" t="inlineStr">
        <is>
          <t>—</t>
        </is>
      </c>
      <c r="G24" s="17" t="inlineStr">
        <is>
          <t>Identifica el punto de acopio selectivo de residuos sólidos (cuatro contenedores de colores).</t>
        </is>
      </c>
    </row>
    <row r="25">
      <c r="A25" s="7" t="inlineStr">
        <is>
          <t>05</t>
        </is>
      </c>
      <c r="B25" s="2" t="inlineStr">
        <is>
          <t>EQUIPOS DE PROTECCIÓN CONTRA INCENDIO Y EMERGENCIA</t>
        </is>
      </c>
      <c r="C25" s="4" t="n"/>
      <c r="D25" s="4" t="n"/>
      <c r="E25" s="4" t="n"/>
      <c r="F25" s="4" t="n"/>
      <c r="G25" s="4" t="n"/>
    </row>
    <row r="26">
      <c r="A26" s="29" t="inlineStr">
        <is>
          <t>05.01</t>
        </is>
      </c>
      <c r="B26" s="17" t="inlineStr">
        <is>
          <t>EXTINTOR DE POLVO QUÍMICO SECO (PQS) TIPO ABC DE 9 kg</t>
        </is>
      </c>
      <c r="C26" s="29" t="inlineStr">
        <is>
          <t>extintor portátil de 9 kg, agente PQS multipropósito ABC</t>
        </is>
      </c>
      <c r="D26" s="17" t="inlineStr">
        <is>
          <t>Cilindro de acero con manómetro, manguera, soporte de pared y tarjeta de control</t>
        </is>
      </c>
      <c r="E26" s="29" t="inlineStr">
        <is>
          <t>1.50 m (parte superior)</t>
        </is>
      </c>
      <c r="F26" s="29" t="inlineStr">
        <is>
          <t>—</t>
        </is>
      </c>
      <c r="G26" s="17" t="inlineStr">
        <is>
          <t>Combate fuegos de clase A, B y C en las nueve edificaciones.</t>
        </is>
      </c>
    </row>
    <row r="27">
      <c r="A27" s="29" t="inlineStr">
        <is>
          <t>05.02</t>
        </is>
      </c>
      <c r="B27" s="17" t="inlineStr">
        <is>
          <t>UNIDAD DE LUCES DE EMERGENCIA</t>
        </is>
      </c>
      <c r="C27" s="29" t="inlineStr">
        <is>
          <t>equipo de dos faros LED, autonomía mínima 90 min</t>
        </is>
      </c>
      <c r="D27" s="17" t="inlineStr">
        <is>
          <t>Equipo autónomo con batería recargable, 220 V</t>
        </is>
      </c>
      <c r="E27" s="29" t="inlineStr">
        <is>
          <t>2.10 m</t>
        </is>
      </c>
      <c r="F27" s="29" t="inlineStr">
        <is>
          <t>2.10</t>
        </is>
      </c>
      <c r="G27" s="17" t="inlineStr">
        <is>
          <t>Ilumina las salidas, las circulaciones y los ambientes al cortarse la energía.</t>
        </is>
      </c>
    </row>
    <row r="28">
      <c r="A28" s="29" t="inlineStr">
        <is>
          <t>05.03</t>
        </is>
      </c>
      <c r="B28" s="17" t="inlineStr">
        <is>
          <t>DETECTOR DE HUMO</t>
        </is>
      </c>
      <c r="C28" s="29" t="inlineStr">
        <is>
          <t>detector fotoeléctrico de techo</t>
        </is>
      </c>
      <c r="D28" s="17" t="inlineStr">
        <is>
          <t>Equipo fotoeléctrico con base de montaje</t>
        </is>
      </c>
      <c r="E28" s="29" t="inlineStr">
        <is>
          <t>techo</t>
        </is>
      </c>
      <c r="F28" s="29" t="inlineStr">
        <is>
          <t>TECHO</t>
        </is>
      </c>
      <c r="G28" s="17" t="inlineStr">
        <is>
          <t>Detecta el humo en los ambientes en su etapa inicial.</t>
        </is>
      </c>
    </row>
  </sheetData>
  <mergeCells count="12">
    <mergeCell ref="B3:G3"/>
    <mergeCell ref="B2:G2"/>
    <mergeCell ref="B16:G16"/>
    <mergeCell ref="B20:G20"/>
    <mergeCell ref="B10:G10"/>
    <mergeCell ref="A1:G1"/>
    <mergeCell ref="B5:G5"/>
    <mergeCell ref="B4:G4"/>
    <mergeCell ref="B18:G18"/>
    <mergeCell ref="B7:G7"/>
    <mergeCell ref="B25:G25"/>
    <mergeCell ref="B6:G6"/>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Metrado de evacuación y señalización - Hogar de Refugio Temporal</dc:title>
  <dcterms:created xmlns:dcterms="http://purl.org/dc/terms/" xmlns:xsi="http://www.w3.org/2001/XMLSchema-instance" xsi:type="dcterms:W3CDTF">2026-10-29T21:05:06Z</dcterms:created>
  <dcterms:modified xmlns:dcterms="http://purl.org/dc/terms/" xmlns:xsi="http://www.w3.org/2001/XMLSchema-instance" xsi:type="dcterms:W3CDTF">2026-10-29T21:05:06Z</dcterms:modified>
</cp:coreProperties>
</file>