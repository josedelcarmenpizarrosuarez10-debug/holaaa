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ORIA" sheetId="1" state="visible" r:id="rId1"/>
    <sheet xmlns:r="http://schemas.openxmlformats.org/officeDocument/2006/relationships" name="DATOS" sheetId="2" state="visible" r:id="rId2"/>
    <sheet xmlns:r="http://schemas.openxmlformats.org/officeDocument/2006/relationships" name="CAUDALES" sheetId="3" state="visible" r:id="rId3"/>
    <sheet xmlns:r="http://schemas.openxmlformats.org/officeDocument/2006/relationships" name="CUNETAS" sheetId="4" state="visible" r:id="rId4"/>
    <sheet xmlns:r="http://schemas.openxmlformats.org/officeDocument/2006/relationships" name="EMPALME" sheetId="5" state="visible" r:id="rId5"/>
    <sheet xmlns:r="http://schemas.openxmlformats.org/officeDocument/2006/relationships" name="PERFIL_FLUJO" sheetId="6" state="visible" r:id="rId6"/>
    <sheet xmlns:r="http://schemas.openxmlformats.org/officeDocument/2006/relationships" name="ESTRUCTURAL" sheetId="7" state="visible" r:id="rId7"/>
    <sheet xmlns:r="http://schemas.openxmlformats.org/officeDocument/2006/relationships" name="CUMPLIMIENT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00"/>
    <numFmt numFmtId="166" formatCode="0.0"/>
  </numFmts>
  <fonts count="7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color rgb="00555555"/>
      <sz val="9"/>
    </font>
    <font>
      <name val="Arial"/>
      <b val="1"/>
      <sz val="9"/>
    </font>
    <font>
      <name val="Arial"/>
      <sz val="9"/>
    </font>
    <font>
      <name val="Arial"/>
      <color rgb="000000FF"/>
      <sz val="9"/>
    </font>
    <font>
      <name val="Arial"/>
      <color rgb="00008000"/>
      <sz val="9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4" fillId="0" borderId="0" pivotButton="0" quotePrefix="0" xfId="0"/>
    <xf numFmtId="166" fontId="6" fillId="0" borderId="0" applyAlignment="1" pivotButton="0" quotePrefix="0" xfId="0">
      <alignment horizontal="left"/>
    </xf>
    <xf numFmtId="2" fontId="6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165" fontId="6" fillId="0" borderId="0" applyAlignment="1" pivotButton="0" quotePrefix="0" xfId="0">
      <alignment horizontal="left"/>
    </xf>
    <xf numFmtId="1" fontId="6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center" vertical="center" wrapText="1"/>
    </xf>
    <xf numFmtId="0" fontId="3" fillId="2" borderId="0" pivotButton="0" quotePrefix="0" xfId="0"/>
    <xf numFmtId="0" fontId="5" fillId="0" borderId="0" pivotButton="0" quotePrefix="0" xfId="0"/>
    <xf numFmtId="2" fontId="5" fillId="0" borderId="0" pivotButton="0" quotePrefix="0" xfId="0"/>
    <xf numFmtId="164" fontId="5" fillId="0" borderId="0" pivotButton="0" quotePrefix="0" xfId="0"/>
    <xf numFmtId="165" fontId="4" fillId="0" borderId="0" pivotButton="0" quotePrefix="0" xfId="0"/>
    <xf numFmtId="2" fontId="6" fillId="0" borderId="0" pivotButton="0" quotePrefix="0" xfId="0"/>
    <xf numFmtId="166" fontId="4" fillId="0" borderId="0" pivotButton="0" quotePrefix="0" xfId="0"/>
    <xf numFmtId="2" fontId="4" fillId="0" borderId="0" pivotButton="0" quotePrefix="0" xfId="0"/>
    <xf numFmtId="164" fontId="4" fillId="0" borderId="0" pivotButton="0" quotePrefix="0" xfId="0"/>
    <xf numFmtId="166" fontId="3" fillId="0" borderId="0" pivotButton="0" quotePrefix="0" xfId="0"/>
    <xf numFmtId="165" fontId="6" fillId="0" borderId="0" pivotButton="0" quotePrefix="0" xfId="0"/>
    <xf numFmtId="165" fontId="5" fillId="0" borderId="0" pivotButton="0" quotePrefix="0" xfId="0"/>
    <xf numFmtId="16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20" customWidth="1" min="2" max="2"/>
    <col width="10" customWidth="1" min="3" max="3"/>
  </cols>
  <sheetData>
    <row r="1">
      <c r="A1" s="1" t="inlineStr">
        <is>
          <t>MEMORIA DE CALCULO - COLECTOR PLUVIAL TRAMO HOGAR DE REFUGIO TEMPORAL MUJERES VIOLENTADAS</t>
        </is>
      </c>
    </row>
    <row r="2">
      <c r="A2" s="2" t="inlineStr">
        <is>
          <t>Colector pluvial frontal - tramo Hogar de Refugio Temporal Mujeres Violentadas (CUI 2675514), Morales - San Martin. Hidroconsult, Oct. 2026</t>
        </is>
      </c>
    </row>
    <row r="3"/>
    <row r="4" ht="42" customHeight="1">
      <c r="A4" s="3" t="inlineStr">
        <is>
          <t>1. OBJETO</t>
        </is>
      </c>
      <c r="B4" s="4" t="inlineStr">
        <is>
          <t>Dimensionar el tramo del colector pluvial frontal que recibe el aporte del CAR Varones (CUI 2705619, dato de su memoria) y las seis cunetas del Hogar de Refugio Temporal Mujeres Violentadas (CUI 2675514), y lo entrega al registro R-01 del colector del CAR Mujeres (CUI 2717013). Longitud 73.39 m, de la caja de llegada (0+000, limite con CAR Varones) a la caja de caida en el limite con CAR Mujeres.</t>
        </is>
      </c>
    </row>
    <row r="5" ht="42" customHeight="1">
      <c r="A5" s="3" t="inlineStr">
        <is>
          <t>2. NORMATIVA</t>
        </is>
      </c>
      <c r="B5" s="4" t="inlineStr">
        <is>
          <t>RNE CE.040 Drenaje Pluvial (RM 126-2021-VIVIENDA); RNE E.020 Cargas; RNE E.060 Concreto Armado; AASHTO LRFD (rueda HL-93 en el cruce de camiones); Chow, Hidraulica de canales abiertos (paso estandar).</t>
        </is>
      </c>
    </row>
    <row r="6" ht="42" customHeight="1">
      <c r="A6" s="3" t="inlineStr">
        <is>
          <t>3. HIDROLOGIA</t>
        </is>
      </c>
      <c r="B6" s="4" t="inlineStr">
        <is>
          <t>Metodo Racional con los coeficientes y areas de las memorias HIDRO-CE040 de cada proyecto, TR = 25 anos, tc = 15 min, I = 155.66 mm/h, FS = 1.15. Q = 258.7 + 301.9 = 560.6 L/s.</t>
        </is>
      </c>
    </row>
    <row r="7" ht="42" customHeight="1">
      <c r="A7" s="3" t="inlineStr">
        <is>
          <t>4. HIDRAULICA</t>
        </is>
      </c>
      <c r="B7" s="4" t="inlineStr">
        <is>
          <t>Colector cubierto de concreto armado b = 0.80 m, S = 0.30 %, n = 0.015. El fondo inicial (259.10) queda bajo las cunetas de arquitectura (NCF 259.70 a 260.12) y el fondo final (258.89) sobre el R-01 del receptor (258.72). La entrega es por caja de caida con poza de disipacion deprimida 0.40 m, ahogada por el tirante del receptor; el control del perfil es el tirante critico en el brink y el flujo en el colector es subcritico (F &lt;= 0.90). El aporte externo cae en una caja de llegada con colchon de agua.</t>
        </is>
      </c>
    </row>
    <row r="8" ht="42" customHeight="1">
      <c r="A8" s="3" t="inlineStr">
        <is>
          <t>5. ESTRUCTURAS</t>
        </is>
      </c>
      <c r="B8" s="4" t="inlineStr">
        <is>
          <t>Marco cerrado monolitico: losa superior e = 0.10, muros e = 0.15 (altura interior 1.40 a 1.65 m) y losa de fondo e = 0.15 con un solo marco 3/8" @0.20 en el eje de la seccion y longitudinales 3/8" @0.25 (una capa; E.060 14.3.4); cruce de motos marco 3/8" @0.15; cruce de camiones losas e = 0.25 y doble marco 1/2" @0.15 (una capa en cada cara). Tapas de registro 0.68 x 0.68 x 0.08.</t>
        </is>
      </c>
    </row>
    <row r="9" ht="42" customHeight="1">
      <c r="A9" s="3" t="inlineStr">
        <is>
          <t>6. RESULTADOS</t>
        </is>
      </c>
      <c r="B9" s="4" t="inlineStr">
        <is>
          <t>Ver cuadro resumen y la hoja CUMPLIMIENTO (requisito, norma, criterio, valor y resultado). Secciones, acero y detalles en las laminas DP-01 a DP-10 y DA-01 a DA-03.</t>
        </is>
      </c>
    </row>
    <row r="10"/>
    <row r="11">
      <c r="A11" s="5" t="inlineStr">
        <is>
          <t>Caudal de diseno del tramo (L/s)</t>
        </is>
      </c>
      <c r="B11" s="6">
        <f>CAUDALES!B12</f>
        <v/>
      </c>
    </row>
    <row r="12">
      <c r="A12" s="5" t="inlineStr">
        <is>
          <t>Intensidad de diseno (mm/h)</t>
        </is>
      </c>
      <c r="B12" s="7">
        <f>DATOS!B11</f>
        <v/>
      </c>
    </row>
    <row r="13">
      <c r="A13" s="5" t="inlineStr">
        <is>
          <t>Ancho interior adoptado (m)</t>
        </is>
      </c>
      <c r="B13" s="7">
        <f>DATOS!B17</f>
        <v/>
      </c>
    </row>
    <row r="14">
      <c r="A14" s="5" t="inlineStr">
        <is>
          <t>Pendiente del fondo (%)</t>
        </is>
      </c>
      <c r="B14" s="7">
        <f>DATOS!B23*100</f>
        <v/>
      </c>
    </row>
    <row r="15">
      <c r="A15" s="5" t="inlineStr">
        <is>
          <t>Cota de fondo inicial / final del colector (msnm)</t>
        </is>
      </c>
      <c r="B15" s="8">
        <f>TEXT(DATOS!B22,"0.00")&amp;" / "&amp;TEXT(EMPALME!B8,"0.00")</f>
        <v/>
      </c>
    </row>
    <row r="16">
      <c r="A16" s="5" t="inlineStr">
        <is>
          <t>Llenado maximo y/h</t>
        </is>
      </c>
      <c r="B16" s="9">
        <f>PERFIL_FLUJO!B93</f>
        <v/>
      </c>
    </row>
    <row r="17">
      <c r="A17" s="5" t="inlineStr">
        <is>
          <t>Borde libre minimo bajo losa (m)</t>
        </is>
      </c>
      <c r="B17" s="9">
        <f>PERFIL_FLUJO!B94</f>
        <v/>
      </c>
    </row>
    <row r="18">
      <c r="A18" s="5" t="inlineStr">
        <is>
          <t>Froude maximo en el colector</t>
        </is>
      </c>
      <c r="B18" s="7">
        <f>PERFIL_FLUJO!B95</f>
        <v/>
      </c>
    </row>
    <row r="19">
      <c r="A19" s="5" t="inlineStr">
        <is>
          <t>Estaciones hidraulicas que no cumplen</t>
        </is>
      </c>
      <c r="B19" s="10">
        <f>PERFIL_FLUJO!B96</f>
        <v/>
      </c>
    </row>
    <row r="20">
      <c r="A20" s="5" t="inlineStr">
        <is>
          <t>Velocidades y autolimpieza (0.90 a 3.0 m/s; tau &gt;= 0.15 kg/m2)</t>
        </is>
      </c>
      <c r="B20" s="8">
        <f>PERFIL_FLUJO!B200</f>
        <v/>
      </c>
    </row>
    <row r="21">
      <c r="A21" s="5" t="inlineStr">
        <is>
          <t>Cunetas con caida libre al colector (de 6)</t>
        </is>
      </c>
      <c r="B21" s="10">
        <f>COUNTIF(CUNETAS!L5:L10,"CAIDA LIBRE")</f>
        <v/>
      </c>
    </row>
    <row r="22">
      <c r="A22" s="5" t="inlineStr">
        <is>
          <t>Resalto en la poza de la caja de caida</t>
        </is>
      </c>
      <c r="B22" s="8">
        <f>EMPALME!B19</f>
        <v/>
      </c>
    </row>
    <row r="23">
      <c r="A23" s="5" t="inlineStr">
        <is>
          <t>Elementos estructurales que no cumplen</t>
        </is>
      </c>
      <c r="B23" s="10">
        <f>COUNTIF(ESTRUCTURAL!E:E,"NO CUMPLE")</f>
        <v/>
      </c>
    </row>
    <row r="24">
      <c r="A24" s="5" t="inlineStr">
        <is>
          <t>Requisitos normativos que no cumplen o por verificar (hoja CUMPLIMIENTO)</t>
        </is>
      </c>
      <c r="B24" s="10">
        <f>COUNTIF(CUMPLIMIENTO!E:E,"NO CUMPLE*")+COUNTIF(CUMPLIMIENTO!E:E,"VERIFICAR*")</f>
        <v/>
      </c>
    </row>
    <row r="25"/>
    <row r="26">
      <c r="A26" s="3" t="inlineStr">
        <is>
          <t>NOTAS</t>
        </is>
      </c>
    </row>
    <row r="27" ht="30" customHeight="1">
      <c r="B27" s="4" t="inlineStr">
        <is>
          <t>La llegada del CAR Varones (CUI 2705619) queda definida por su expediente: colector b = 0.60 con fondo 259.884 en la cara este de la CL y cuneta Eje 01 directa a la CL; la CL lleva su tapa en +261.15 (piso de Varones) y ventanas este 0.60 x 1.17 y norte 0.40 x 0.66.</t>
        </is>
      </c>
    </row>
    <row r="28" ht="30" customHeight="1">
      <c r="B28" s="4" t="inlineStr">
        <is>
          <t>La ubicacion UTM es referencial: el plano de arquitectura se georreferencio haciendo coincidir el R-01 del CAR Mujeres con la esquina sur-oeste del frente y el rumbo del lindero (azimut 49.54). Verificar en campo.</t>
        </is>
      </c>
    </row>
    <row r="29" ht="30" customHeight="1">
      <c r="B29" s="4" t="inlineStr">
        <is>
          <t>Las cunetas de arquitectura se toman como dato (perfiles 01 a 12 del plano PLANTA GENERAL REFUGIO, version 03-10-2026).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2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8" customWidth="1" min="3" max="3"/>
    <col width="70" customWidth="1" min="4" max="4"/>
    <col width="8" customWidth="1" min="5" max="5"/>
  </cols>
  <sheetData>
    <row r="1">
      <c r="A1" s="1" t="inlineStr">
        <is>
          <t>1. DATOS DE DISENO</t>
        </is>
      </c>
    </row>
    <row r="2">
      <c r="A2" s="2" t="inlineStr">
        <is>
          <t>Colector pluvial frontal - tramo Hogar de Refugio Temporal Mujeres Violentadas (CUI 2675514), Morales - San Martin. Hidroconsult, Oct. 2026</t>
        </is>
      </c>
    </row>
    <row r="4">
      <c r="A4" s="11" t="inlineStr">
        <is>
          <t>PARAMETRO</t>
        </is>
      </c>
      <c r="B4" s="11" t="inlineStr">
        <is>
          <t>VALOR</t>
        </is>
      </c>
      <c r="C4" s="11" t="inlineStr">
        <is>
          <t>UND</t>
        </is>
      </c>
      <c r="D4" s="11" t="inlineStr">
        <is>
          <t>FUENTE / CRITERIO</t>
        </is>
      </c>
      <c r="E4" s="11" t="inlineStr">
        <is>
          <t>SIMBOLO</t>
        </is>
      </c>
    </row>
    <row r="5">
      <c r="A5" s="12" t="inlineStr">
        <is>
          <t>HIDROLOGIA</t>
        </is>
      </c>
    </row>
    <row r="6">
      <c r="A6" s="5" t="inlineStr">
        <is>
          <t>Periodo de retorno</t>
        </is>
      </c>
      <c r="B6" s="13" t="n">
        <v>25</v>
      </c>
      <c r="C6" s="5" t="inlineStr">
        <is>
          <t>anos</t>
        </is>
      </c>
      <c r="D6" s="5" t="inlineStr">
        <is>
          <t>Analisis estadistico de precipitaciones (memoria HIDRO-CE040 del proyecto)</t>
        </is>
      </c>
      <c r="E6" s="5" t="inlineStr">
        <is>
          <t>TR</t>
        </is>
      </c>
    </row>
    <row r="7">
      <c r="A7" s="5" t="inlineStr">
        <is>
          <t>Precipitacion de diseno D=10 min</t>
        </is>
      </c>
      <c r="B7" s="13" t="n">
        <v>35.163</v>
      </c>
      <c r="C7" s="5" t="inlineStr">
        <is>
          <t>mm</t>
        </is>
      </c>
      <c r="D7" s="5" t="inlineStr">
        <is>
          <t>Dick-Peschke, P24 = 121.81 mm</t>
        </is>
      </c>
      <c r="E7" s="5" t="inlineStr">
        <is>
          <t>P10</t>
        </is>
      </c>
    </row>
    <row r="8">
      <c r="A8" s="5" t="inlineStr">
        <is>
          <t>Precipitacion de diseno D=20 min</t>
        </is>
      </c>
      <c r="B8" s="13" t="n">
        <v>41.816</v>
      </c>
      <c r="C8" s="5" t="inlineStr">
        <is>
          <t>mm</t>
        </is>
      </c>
      <c r="D8" s="5" t="inlineStr">
        <is>
          <t>Dick-Peschke</t>
        </is>
      </c>
      <c r="E8" s="5" t="inlineStr">
        <is>
          <t>P20</t>
        </is>
      </c>
    </row>
    <row r="9">
      <c r="A9" s="5" t="inlineStr">
        <is>
          <t>Tiempo de concentracion en el colector</t>
        </is>
      </c>
      <c r="B9" s="13" t="n">
        <v>15</v>
      </c>
      <c r="C9" s="5" t="inlineStr">
        <is>
          <t>min</t>
        </is>
      </c>
      <c r="D9" s="5" t="inlineStr">
        <is>
          <t>10 min de entrada + recorrido en cunetas y colector</t>
        </is>
      </c>
      <c r="E9" s="5" t="inlineStr">
        <is>
          <t>tc</t>
        </is>
      </c>
    </row>
    <row r="10">
      <c r="A10" s="5" t="inlineStr">
        <is>
          <t>Exponente de la curva P-D</t>
        </is>
      </c>
      <c r="B10" s="5">
        <f>LN(B8/B7)/LN(2)</f>
        <v/>
      </c>
      <c r="C10" s="5" t="inlineStr">
        <is>
          <t>-</t>
        </is>
      </c>
      <c r="D10" s="5" t="inlineStr">
        <is>
          <t>b = ln(P20/P10)/ln 2</t>
        </is>
      </c>
      <c r="E10" s="5" t="inlineStr">
        <is>
          <t>bx</t>
        </is>
      </c>
    </row>
    <row r="11">
      <c r="A11" s="5" t="inlineStr">
        <is>
          <t>Intensidad de diseno I</t>
        </is>
      </c>
      <c r="B11" s="5">
        <f>B7*(B9/10)^B10/(B9/60)</f>
        <v/>
      </c>
      <c r="C11" s="5" t="inlineStr">
        <is>
          <t>mm/h</t>
        </is>
      </c>
      <c r="D11" s="5" t="inlineStr">
        <is>
          <t>I = P10 (tc/10)^b / (tc/60)</t>
        </is>
      </c>
      <c r="E11" s="5" t="inlineStr">
        <is>
          <t>I</t>
        </is>
      </c>
    </row>
    <row r="12">
      <c r="A12" s="5" t="inlineStr">
        <is>
          <t>Factor de seguridad FS</t>
        </is>
      </c>
      <c r="B12" s="13" t="n">
        <v>1.15</v>
      </c>
      <c r="C12" s="5" t="inlineStr">
        <is>
          <t>-</t>
        </is>
      </c>
      <c r="D12" s="5" t="inlineStr">
        <is>
          <t>Memorias de calculo HIDRO-CE040</t>
        </is>
      </c>
      <c r="E12" s="5" t="inlineStr">
        <is>
          <t>FS</t>
        </is>
      </c>
    </row>
    <row r="13">
      <c r="A13" s="5" t="inlineStr">
        <is>
          <t>Intensidad para D = 10 min (cunetas y montantes del estudio hidrologico)</t>
        </is>
      </c>
      <c r="B13" s="5">
        <f>B7*60/10</f>
        <v/>
      </c>
      <c r="C13" s="5" t="inlineStr">
        <is>
          <t>mm/h</t>
        </is>
      </c>
      <c r="D13" s="5" t="inlineStr">
        <is>
          <t>I10 = P10 x 60 / 10 = 210.98 mm/h: es la misma lluvia de 35.163 mm en 10 min, expresada como intensidad (igual al estudio hidrologico)</t>
        </is>
      </c>
      <c r="E13" s="5" t="inlineStr">
        <is>
          <t>I10</t>
        </is>
      </c>
    </row>
    <row r="14">
      <c r="A14" s="5" t="inlineStr">
        <is>
          <t>Intensidad para D = 20 min</t>
        </is>
      </c>
      <c r="B14" s="5">
        <f>B8*60/20</f>
        <v/>
      </c>
      <c r="C14" s="5" t="inlineStr">
        <is>
          <t>mm/h</t>
        </is>
      </c>
      <c r="D14" s="5" t="inlineStr">
        <is>
          <t>I20 = P20 x 60 / 20 = 125.45 mm/h (analisis estadistico, hoja C. P diseno)</t>
        </is>
      </c>
      <c r="E14" s="5" t="inlineStr">
        <is>
          <t>I20</t>
        </is>
      </c>
    </row>
    <row r="15">
      <c r="A15" s="12" t="inlineStr">
        <is>
          <t>Nota: el colector tiene tc = 15 min (mayor que los 10 min de cada cuneta), por eso su intensidad es 155.66 mm/h, interpolada en la curva P-D entre 10 y 20 min; es el mismo criterio del colector del CAR Mujeres (3 proyectos).</t>
        </is>
      </c>
    </row>
    <row r="16">
      <c r="A16" s="12" t="inlineStr">
        <is>
          <t>GEOMETRIA DEL COLECTOR (tramo Hogar de Refugio)</t>
        </is>
      </c>
    </row>
    <row r="17">
      <c r="A17" s="5" t="inlineStr">
        <is>
          <t>Ancho interior b</t>
        </is>
      </c>
      <c r="B17" s="13" t="n">
        <v>0.8</v>
      </c>
      <c r="C17" s="5" t="inlineStr">
        <is>
          <t>m</t>
        </is>
      </c>
      <c r="D17" s="5" t="inlineStr">
        <is>
          <t>Adoptado: llenado &lt;= 85 % y regimen subcritico (hoja PERFIL_FLUJO)</t>
        </is>
      </c>
      <c r="E17" s="5" t="inlineStr">
        <is>
          <t>b</t>
        </is>
      </c>
    </row>
    <row r="18">
      <c r="A18" s="5" t="inlineStr">
        <is>
          <t>Espesor de muros</t>
        </is>
      </c>
      <c r="B18" s="13" t="n">
        <v>0.15</v>
      </c>
      <c r="C18" s="5" t="inlineStr">
        <is>
          <t>m</t>
        </is>
      </c>
      <c r="D18" s="5" t="inlineStr">
        <is>
          <t>Muros de 1.40 a 1.65 m de altura interior (hoja ESTRUCTURAL)</t>
        </is>
      </c>
      <c r="E18" s="5" t="inlineStr">
        <is>
          <t>em</t>
        </is>
      </c>
    </row>
    <row r="19">
      <c r="A19" s="5" t="inlineStr">
        <is>
          <t>Espesor de losa de fondo</t>
        </is>
      </c>
      <c r="B19" s="13" t="n">
        <v>0.15</v>
      </c>
      <c r="C19" s="5" t="inlineStr">
        <is>
          <t>m</t>
        </is>
      </c>
      <c r="D19" s="5" t="inlineStr"/>
      <c r="E19" s="5" t="inlineStr">
        <is>
          <t>ef</t>
        </is>
      </c>
    </row>
    <row r="20">
      <c r="A20" s="5" t="inlineStr">
        <is>
          <t>Espesor de losa superior (tramo normal y porton de motos)</t>
        </is>
      </c>
      <c r="B20" s="13" t="n">
        <v>0.1</v>
      </c>
      <c r="C20" s="5" t="inlineStr">
        <is>
          <t>m</t>
        </is>
      </c>
      <c r="D20" s="5" t="inlineStr">
        <is>
          <t>Vaciada monoliticamente con los muros</t>
        </is>
      </c>
      <c r="E20" s="5" t="inlineStr">
        <is>
          <t>et</t>
        </is>
      </c>
    </row>
    <row r="21">
      <c r="A21" s="5" t="inlineStr">
        <is>
          <t>Espesor de losa superior en cruce de camiones</t>
        </is>
      </c>
      <c r="B21" s="13" t="n">
        <v>0.25</v>
      </c>
      <c r="C21" s="5" t="inlineStr">
        <is>
          <t>m</t>
        </is>
      </c>
      <c r="D21" s="5" t="inlineStr">
        <is>
          <t>Ingreso vehicular OE-01 (cisterna al PTAR)</t>
        </is>
      </c>
      <c r="E21" s="5" t="inlineStr">
        <is>
          <t>ec</t>
        </is>
      </c>
    </row>
    <row r="22">
      <c r="A22" s="5" t="inlineStr">
        <is>
          <t>Cota de fondo inicial (0+000, caja de llegada)</t>
        </is>
      </c>
      <c r="B22" s="13" t="n">
        <v>259.1</v>
      </c>
      <c r="C22" s="5" t="inlineStr">
        <is>
          <t>msnm</t>
        </is>
      </c>
      <c r="D22" s="5" t="inlineStr">
        <is>
          <t>Fijada por las cunetas de arquitectura: la mas baja llega con NCF 259.70 (Eje 02)</t>
        </is>
      </c>
      <c r="E22" s="5" t="inlineStr">
        <is>
          <t>CF0</t>
        </is>
      </c>
    </row>
    <row r="23">
      <c r="A23" s="5" t="inlineStr">
        <is>
          <t>Pendiente S</t>
        </is>
      </c>
      <c r="B23" s="13" t="n">
        <v>0.003</v>
      </c>
      <c r="C23" s="5" t="inlineStr">
        <is>
          <t>m/m</t>
        </is>
      </c>
      <c r="D23" s="5" t="inlineStr">
        <is>
          <t>Adoptada 0.30 %: regimen subcritico (F = 0.60) y fondo sobre el R-01 del receptor</t>
        </is>
      </c>
      <c r="E23" s="5" t="inlineStr">
        <is>
          <t>S</t>
        </is>
      </c>
    </row>
    <row r="24">
      <c r="A24" s="5" t="inlineStr">
        <is>
          <t>Progresiva del quiebre 1 (45 grados)</t>
        </is>
      </c>
      <c r="B24" s="13" t="n">
        <v>58.81</v>
      </c>
      <c r="C24" s="5" t="inlineStr">
        <is>
          <t>m</t>
        </is>
      </c>
      <c r="D24" s="5" t="inlineStr">
        <is>
          <t>Salida del frente hacia el lindero</t>
        </is>
      </c>
      <c r="E24" s="5" t="inlineStr">
        <is>
          <t>pq1</t>
        </is>
      </c>
    </row>
    <row r="25">
      <c r="A25" s="5" t="inlineStr">
        <is>
          <t>Progresiva del quiebre 2 (45 grados)</t>
        </is>
      </c>
      <c r="B25" s="13" t="n">
        <v>66.89</v>
      </c>
      <c r="C25" s="5" t="inlineStr">
        <is>
          <t>m</t>
        </is>
      </c>
      <c r="D25" s="5" t="inlineStr"/>
      <c r="E25" s="5" t="inlineStr">
        <is>
          <t>pq2</t>
        </is>
      </c>
    </row>
    <row r="26">
      <c r="A26" s="5" t="inlineStr">
        <is>
          <t>Progresiva del brink de la caida (fin del colector b=0.80)</t>
        </is>
      </c>
      <c r="B26" s="13" t="n">
        <v>69.89</v>
      </c>
      <c r="C26" s="5" t="inlineStr">
        <is>
          <t>m</t>
        </is>
      </c>
      <c r="D26" s="5" t="inlineStr">
        <is>
          <t>Inicio de la poza de disipacion</t>
        </is>
      </c>
      <c r="E26" s="5" t="inlineStr">
        <is>
          <t>pb</t>
        </is>
      </c>
    </row>
    <row r="27">
      <c r="A27" s="5" t="inlineStr">
        <is>
          <t>Progresiva de entrega (0+000 del tramo CAR Mujeres)</t>
        </is>
      </c>
      <c r="B27" s="13" t="n">
        <v>73.39</v>
      </c>
      <c r="C27" s="5" t="inlineStr">
        <is>
          <t>m</t>
        </is>
      </c>
      <c r="D27" s="5" t="inlineStr">
        <is>
          <t>Cara aguas arriba del registro R-01 del receptor</t>
        </is>
      </c>
      <c r="E27" s="5" t="inlineStr">
        <is>
          <t>pf</t>
        </is>
      </c>
    </row>
    <row r="28">
      <c r="A28" s="5" t="inlineStr">
        <is>
          <t>Longitud total del tramo</t>
        </is>
      </c>
      <c r="B28" s="5">
        <f>B27</f>
        <v/>
      </c>
      <c r="C28" s="5" t="inlineStr">
        <is>
          <t>m</t>
        </is>
      </c>
      <c r="D28" s="5" t="inlineStr"/>
      <c r="E28" s="5" t="inlineStr">
        <is>
          <t>L</t>
        </is>
      </c>
    </row>
    <row r="29">
      <c r="A29" s="5" t="inlineStr">
        <is>
          <t>NPT del frente (cara superior de la losa)</t>
        </is>
      </c>
      <c r="B29" s="13" t="n">
        <v>260.6</v>
      </c>
      <c r="C29" s="5" t="inlineStr">
        <is>
          <t>msnm</t>
        </is>
      </c>
      <c r="D29" s="5" t="inlineStr">
        <is>
          <t>Arquitectura: NT 260.50 + NPT 0.10 (estacionamientos e ingresos)</t>
        </is>
      </c>
      <c r="E29" s="5" t="inlineStr">
        <is>
          <t>NPT</t>
        </is>
      </c>
    </row>
    <row r="30">
      <c r="A30" s="5" t="inlineStr">
        <is>
          <t>Cruce de camiones: inicio</t>
        </is>
      </c>
      <c r="B30" s="13" t="n">
        <v>26.32</v>
      </c>
      <c r="C30" s="5" t="inlineStr">
        <is>
          <t>m</t>
        </is>
      </c>
      <c r="D30" s="5" t="inlineStr">
        <is>
          <t>Ingreso vehicular OE-01 (4.415 m) + 0.30 m a cada lado</t>
        </is>
      </c>
      <c r="E30" s="5" t="inlineStr">
        <is>
          <t>pc1</t>
        </is>
      </c>
    </row>
    <row r="31">
      <c r="A31" s="5" t="inlineStr">
        <is>
          <t>Cruce de camiones: fin</t>
        </is>
      </c>
      <c r="B31" s="13" t="n">
        <v>31.33</v>
      </c>
      <c r="C31" s="5" t="inlineStr">
        <is>
          <t>m</t>
        </is>
      </c>
      <c r="D31" s="5" t="inlineStr"/>
      <c r="E31" s="5" t="inlineStr">
        <is>
          <t>pc2</t>
        </is>
      </c>
    </row>
    <row r="32">
      <c r="A32" s="5" t="inlineStr">
        <is>
          <t>Cruce de motos: inicio</t>
        </is>
      </c>
      <c r="B32" s="13" t="n">
        <v>39.04</v>
      </c>
      <c r="C32" s="5" t="inlineStr">
        <is>
          <t>m</t>
        </is>
      </c>
      <c r="D32" s="5" t="inlineStr">
        <is>
          <t>Porton de motos (1.77 m), tramo de 2.00 m</t>
        </is>
      </c>
      <c r="E32" s="5" t="inlineStr">
        <is>
          <t>pm1</t>
        </is>
      </c>
    </row>
    <row r="33">
      <c r="A33" s="5" t="inlineStr">
        <is>
          <t>Cruce de motos: fin</t>
        </is>
      </c>
      <c r="B33" s="13" t="n">
        <v>41.04</v>
      </c>
      <c r="C33" s="5" t="inlineStr">
        <is>
          <t>m</t>
        </is>
      </c>
      <c r="D33" s="5" t="inlineStr"/>
      <c r="E33" s="5" t="inlineStr">
        <is>
          <t>pm2</t>
        </is>
      </c>
    </row>
    <row r="34">
      <c r="A34" s="5" t="inlineStr">
        <is>
          <t>Coeficiente de Manning n</t>
        </is>
      </c>
      <c r="B34" s="13" t="n">
        <v>0.015</v>
      </c>
      <c r="C34" s="5" t="inlineStr">
        <is>
          <t>-</t>
        </is>
      </c>
      <c r="D34" s="5" t="inlineStr">
        <is>
          <t>Concreto vaciado in situ (Chow)</t>
        </is>
      </c>
      <c r="E34" s="5" t="inlineStr">
        <is>
          <t>n</t>
        </is>
      </c>
    </row>
    <row r="35">
      <c r="A35" s="12" t="inlineStr">
        <is>
          <t>CRITERIOS DE VERIFICACION HIDRAULICA</t>
        </is>
      </c>
    </row>
    <row r="36">
      <c r="A36" s="5" t="inlineStr">
        <is>
          <t>Llenado maximo admisible y/h (conducto cubierto)</t>
        </is>
      </c>
      <c r="B36" s="13" t="n">
        <v>0.85</v>
      </c>
      <c r="C36" s="5" t="inlineStr">
        <is>
          <t>-</t>
        </is>
      </c>
      <c r="D36" s="5" t="inlineStr">
        <is>
          <t>Criterio de conducto cerrado a superficie libre</t>
        </is>
      </c>
      <c r="E36" s="5" t="inlineStr">
        <is>
          <t>llen</t>
        </is>
      </c>
    </row>
    <row r="37">
      <c r="A37" s="5" t="inlineStr">
        <is>
          <t>Borde libre minimo bajo losa</t>
        </is>
      </c>
      <c r="B37" s="13" t="n">
        <v>0.05</v>
      </c>
      <c r="C37" s="5" t="inlineStr">
        <is>
          <t>m</t>
        </is>
      </c>
      <c r="D37" s="5" t="inlineStr">
        <is>
          <t>Complementario al criterio de llenado</t>
        </is>
      </c>
      <c r="E37" s="5" t="inlineStr">
        <is>
          <t>BLmin</t>
        </is>
      </c>
    </row>
    <row r="38">
      <c r="A38" s="12" t="inlineStr">
        <is>
          <t>RECEPTOR: COLECTOR DEL CAR MUJERES (CUI 2717013)</t>
        </is>
      </c>
    </row>
    <row r="39">
      <c r="A39" s="5" t="inlineStr">
        <is>
          <t>Cota de fondo del receptor en su 0+000 (R-01)</t>
        </is>
      </c>
      <c r="B39" s="13" t="n">
        <v>258.72</v>
      </c>
      <c r="C39" s="5" t="inlineStr">
        <is>
          <t>msnm</t>
        </is>
      </c>
      <c r="D39" s="5" t="inlineStr">
        <is>
          <t>Plano DP-01 del tramo CAR Mujeres</t>
        </is>
      </c>
      <c r="E39" s="5" t="inlineStr">
        <is>
          <t>CFr</t>
        </is>
      </c>
    </row>
    <row r="40">
      <c r="A40" s="5" t="inlineStr">
        <is>
          <t>Nivel de agua del receptor en su 0+000</t>
        </is>
      </c>
      <c r="B40" s="13" t="n">
        <v>259.062</v>
      </c>
      <c r="C40" s="5" t="inlineStr">
        <is>
          <t>msnm</t>
        </is>
      </c>
      <c r="D40" s="5" t="inlineStr">
        <is>
          <t>Memoria del tramo CAR Mujeres (Q = 626 L/s en 0+000)</t>
        </is>
      </c>
      <c r="E40" s="5" t="inlineStr">
        <is>
          <t>NAr</t>
        </is>
      </c>
    </row>
    <row r="41">
      <c r="A41" s="5" t="inlineStr">
        <is>
          <t>Ancho interior del receptor</t>
        </is>
      </c>
      <c r="B41" s="13" t="n">
        <v>1.5</v>
      </c>
      <c r="C41" s="5" t="inlineStr">
        <is>
          <t>m</t>
        </is>
      </c>
      <c r="D41" s="5" t="inlineStr"/>
      <c r="E41" s="5" t="inlineStr">
        <is>
          <t>br</t>
        </is>
      </c>
    </row>
    <row r="42">
      <c r="A42" s="12" t="inlineStr">
        <is>
          <t>APORTE EXTERNO: COLECTOR DEL CAR VARONES (CUI 2705619)</t>
        </is>
      </c>
    </row>
    <row r="43">
      <c r="A43" s="5" t="inlineStr">
        <is>
          <t>Cota de fondo de llegada del colector del CAR Varones (cara este de la CL)</t>
        </is>
      </c>
      <c r="B43" s="13" t="n">
        <v>259.884</v>
      </c>
      <c r="C43" s="5" t="inlineStr">
        <is>
          <t>msnm</t>
        </is>
      </c>
      <c r="D43" s="5" t="inlineStr">
        <is>
          <t>Expediente del CAR Varones (CUI 2705619): 260.20 - 0.3 % x 105.29 m; ventana este de la CL de 0.60 x 1.17</t>
        </is>
      </c>
      <c r="E43" s="5" t="inlineStr">
        <is>
          <t>CFv</t>
        </is>
      </c>
    </row>
    <row r="44">
      <c r="A44" s="5" t="inlineStr">
        <is>
          <t>Cota de la tapa de la caja CL (piso terminado del CAR Varones)</t>
        </is>
      </c>
      <c r="B44" s="13" t="n">
        <v>261.15</v>
      </c>
      <c r="C44" s="5" t="inlineStr">
        <is>
          <t>msnm</t>
        </is>
      </c>
      <c r="D44" s="5" t="inlineStr">
        <is>
          <t>La CL queda del lado del CAR Varones (x = 349162.00 a 349163.80); su tapa va al ras de ese piso (+261.15)</t>
        </is>
      </c>
      <c r="E44" s="5" t="inlineStr">
        <is>
          <t>CLt</t>
        </is>
      </c>
    </row>
    <row r="45">
      <c r="A45" s="5" t="inlineStr">
        <is>
          <t>Cuneta Eje 01 del CAR Varones: cota de fondo en el muro norte de la CL</t>
        </is>
      </c>
      <c r="B45" s="13" t="n">
        <v>260.394</v>
      </c>
      <c r="C45" s="5" t="inlineStr">
        <is>
          <t>msnm</t>
        </is>
      </c>
      <c r="D45" s="5" t="inlineStr">
        <is>
          <t>Entra directamente a la CL por ventana 0.40 x 0.66 (37.0 L/s de los 258.7)</t>
        </is>
      </c>
      <c r="E45" s="5" t="inlineStr">
        <is>
          <t>E01</t>
        </is>
      </c>
    </row>
    <row r="46">
      <c r="A46" s="12" t="inlineStr">
        <is>
          <t>CAJAS</t>
        </is>
      </c>
    </row>
    <row r="47">
      <c r="A47" s="5" t="inlineStr">
        <is>
          <t>Caja de llegada CL: profundidad de poza bajo el fondo</t>
        </is>
      </c>
      <c r="B47" s="13" t="n">
        <v>0.3</v>
      </c>
      <c r="C47" s="5" t="inlineStr">
        <is>
          <t>m</t>
        </is>
      </c>
      <c r="D47" s="5" t="inlineStr">
        <is>
          <t>Colchon de agua para la caida del aporte externo</t>
        </is>
      </c>
      <c r="E47" s="5" t="inlineStr">
        <is>
          <t>pcl</t>
        </is>
      </c>
    </row>
    <row r="48">
      <c r="A48" s="5" t="inlineStr">
        <is>
          <t>Caja de caida CC: profundidad de poza bajo el fondo del receptor</t>
        </is>
      </c>
      <c r="B48" s="13" t="n">
        <v>0.4</v>
      </c>
      <c r="C48" s="5" t="inlineStr">
        <is>
          <t>m</t>
        </is>
      </c>
      <c r="D48" s="5" t="inlineStr">
        <is>
          <t>Poza de disipacion deprimida</t>
        </is>
      </c>
      <c r="E48" s="5" t="inlineStr">
        <is>
          <t>pcc</t>
        </is>
      </c>
    </row>
    <row r="49">
      <c r="A49" s="5" t="inlineStr">
        <is>
          <t>Caja de caida CC: longitud de poza</t>
        </is>
      </c>
      <c r="B49" s="13" t="n">
        <v>3.5</v>
      </c>
      <c r="C49" s="5" t="inlineStr">
        <is>
          <t>m</t>
        </is>
      </c>
      <c r="D49" s="5" t="inlineStr"/>
      <c r="E49" s="5" t="inlineStr">
        <is>
          <t>Lcc</t>
        </is>
      </c>
    </row>
    <row r="50">
      <c r="A50" s="5" t="inlineStr">
        <is>
          <t>Caja de caida CC: ancho de poza</t>
        </is>
      </c>
      <c r="B50" s="13" t="n">
        <v>1.5</v>
      </c>
      <c r="C50" s="5" t="inlineStr">
        <is>
          <t>m</t>
        </is>
      </c>
      <c r="D50" s="5" t="inlineStr">
        <is>
          <t>Igual al ancho del receptor</t>
        </is>
      </c>
      <c r="E50" s="5" t="inlineStr">
        <is>
          <t>bcc</t>
        </is>
      </c>
    </row>
    <row r="52">
      <c r="A52" s="2" t="inlineStr">
        <is>
          <t>Azul = dato editable; negro = formula; verde = vinculo.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10" customWidth="1" min="5" max="5"/>
    <col width="10" customWidth="1" min="6" max="6"/>
    <col width="34" customWidth="1" min="7" max="7"/>
    <col width="34" customWidth="1" min="8" max="8"/>
  </cols>
  <sheetData>
    <row r="1">
      <c r="A1" s="1" t="inlineStr">
        <is>
          <t>2. CAUDALES DE DISENO - METODO RACIONAL Q = C I A FS</t>
        </is>
      </c>
    </row>
    <row r="2">
      <c r="A2" s="2" t="inlineStr">
        <is>
          <t>Colector pluvial frontal - tramo Hogar de Refugio Temporal Mujeres Violentadas (CUI 2675514), Morales - San Martin. Hidroconsult, Oct. 2026</t>
        </is>
      </c>
    </row>
    <row r="3"/>
    <row r="4">
      <c r="A4" s="11" t="inlineStr">
        <is>
          <t>PROYECTO</t>
        </is>
      </c>
      <c r="B4" s="11" t="inlineStr">
        <is>
          <t>AREA (m2)</t>
        </is>
      </c>
      <c r="C4" s="11" t="inlineStr">
        <is>
          <t>C x A (m2)</t>
        </is>
      </c>
      <c r="D4" s="11" t="inlineStr">
        <is>
          <t>C PONDERADO</t>
        </is>
      </c>
      <c r="E4" s="11" t="inlineStr">
        <is>
          <t>I (mm/h)</t>
        </is>
      </c>
      <c r="F4" s="11" t="inlineStr">
        <is>
          <t>Q (L/s)</t>
        </is>
      </c>
      <c r="G4" s="11" t="inlineStr">
        <is>
          <t>INGRESA AL COLECTOR EN</t>
        </is>
      </c>
      <c r="H4" s="11" t="inlineStr">
        <is>
          <t>FUENTE</t>
        </is>
      </c>
    </row>
    <row r="5">
      <c r="A5" s="5" t="inlineStr">
        <is>
          <t>CAR Varones (CUI 2705619) - aporte externo</t>
        </is>
      </c>
      <c r="B5" s="14" t="n">
        <v>6752.03</v>
      </c>
      <c r="C5" s="15" t="n">
        <v>5203.3213</v>
      </c>
      <c r="D5" s="16">
        <f>C5/B5</f>
        <v/>
      </c>
      <c r="E5" s="17">
        <f>DATOS!$B$11</f>
        <v/>
      </c>
      <c r="F5" s="18">
        <f>C5*E5/3600000*DATOS!$B$12*1000</f>
        <v/>
      </c>
      <c r="G5" s="5" t="inlineStr">
        <is>
          <t>Caja de llegada CL (0+000)</t>
        </is>
      </c>
      <c r="H5" s="5" t="inlineStr">
        <is>
          <t>Memoria HIDRO-CE040 del proyecto, dato no validado</t>
        </is>
      </c>
    </row>
    <row r="6">
      <c r="A6" s="5" t="inlineStr">
        <is>
          <t>Hogar de Refugio Temporal M. Violentadas (CUI 2675514)</t>
        </is>
      </c>
      <c r="B6" s="14" t="n">
        <v>7520.41</v>
      </c>
      <c r="C6" s="15" t="n">
        <v>6072.3596</v>
      </c>
      <c r="D6" s="16">
        <f>C6/B6</f>
        <v/>
      </c>
      <c r="E6" s="17">
        <f>DATOS!$B$11</f>
        <v/>
      </c>
      <c r="F6" s="18">
        <f>C6*E6/3600000*DATOS!$B$12*1000</f>
        <v/>
      </c>
      <c r="G6" s="5" t="inlineStr">
        <is>
          <t>Cunetas Ejes 01, 02, 06, 07, 11 y 12</t>
        </is>
      </c>
      <c r="H6" s="5" t="inlineStr">
        <is>
          <t>Memoria HIDRO-CE040, 12 fichas</t>
        </is>
      </c>
    </row>
    <row r="7">
      <c r="A7" s="3" t="inlineStr">
        <is>
          <t>TOTAL ENTREGADO AL CAR MUJERES</t>
        </is>
      </c>
      <c r="B7" s="19">
        <f>SUM(B5:B6)</f>
        <v/>
      </c>
      <c r="C7" s="20">
        <f>SUM(C5:C6)</f>
        <v/>
      </c>
      <c r="D7" s="16">
        <f>C7/B7</f>
        <v/>
      </c>
      <c r="F7" s="21">
        <f>SUM(F5:F6)</f>
        <v/>
      </c>
    </row>
    <row r="8"/>
    <row r="9">
      <c r="A9" s="3" t="inlineStr">
        <is>
          <t>Caudal de diseno adoptado (valores de las memorias de cada proyecto)</t>
        </is>
      </c>
    </row>
    <row r="10">
      <c r="A10" s="5" t="inlineStr">
        <is>
          <t>CAR Varones</t>
        </is>
      </c>
      <c r="B10" s="13" t="n">
        <v>258.7</v>
      </c>
      <c r="C10" s="5" t="inlineStr">
        <is>
          <t>L/s</t>
        </is>
      </c>
    </row>
    <row r="11">
      <c r="A11" s="5" t="inlineStr">
        <is>
          <t>Hogar de Refugio</t>
        </is>
      </c>
      <c r="B11" s="13" t="n">
        <v>301.9</v>
      </c>
      <c r="C11" s="5" t="inlineStr">
        <is>
          <t>L/s</t>
        </is>
      </c>
    </row>
    <row r="12">
      <c r="A12" s="3" t="inlineStr">
        <is>
          <t>Q de diseno del tramo</t>
        </is>
      </c>
      <c r="B12" s="21">
        <f>B10+B11</f>
        <v/>
      </c>
      <c r="C12" s="5" t="inlineStr">
        <is>
          <t>L/s</t>
        </is>
      </c>
    </row>
    <row r="13">
      <c r="A13" s="5" t="inlineStr">
        <is>
          <t>Q de diseno del tramo</t>
        </is>
      </c>
      <c r="B13" s="20">
        <f>B12/1000</f>
        <v/>
      </c>
      <c r="C13" s="5" t="inlineStr">
        <is>
          <t>m3/s</t>
        </is>
      </c>
    </row>
    <row r="14"/>
    <row r="15">
      <c r="A15" s="3" t="inlineStr">
        <is>
          <t>Caudal que circula por el tramo (de aguas arriba hacia aguas abajo)</t>
        </is>
      </c>
    </row>
    <row r="16">
      <c r="A16" s="11" t="inlineStr">
        <is>
          <t>PUNTO</t>
        </is>
      </c>
      <c r="B16" s="11" t="inlineStr">
        <is>
          <t>PROGRESIVA</t>
        </is>
      </c>
      <c r="C16" s="11" t="inlineStr">
        <is>
          <t>APORTE (L/s)</t>
        </is>
      </c>
      <c r="D16" s="11" t="inlineStr">
        <is>
          <t>Q ACUMULADO (L/s)</t>
        </is>
      </c>
    </row>
    <row r="17">
      <c r="A17" s="5" t="inlineStr">
        <is>
          <t>Caja de llegada CL (CAR Varones)</t>
        </is>
      </c>
      <c r="B17" s="14" t="n">
        <v>0</v>
      </c>
      <c r="C17" s="18">
        <f>B10</f>
        <v/>
      </c>
      <c r="D17" s="18">
        <f>SUM($C$17:C17)</f>
        <v/>
      </c>
    </row>
    <row r="18">
      <c r="A18" s="5" t="inlineStr">
        <is>
          <t>Cuneta Eje 01 (perimetral este) - perfil 01</t>
        </is>
      </c>
      <c r="B18" s="14" t="n">
        <v>1.07</v>
      </c>
      <c r="C18" s="18">
        <f>B11/6</f>
        <v/>
      </c>
      <c r="D18" s="18">
        <f>SUM($C$17:C18)</f>
        <v/>
      </c>
    </row>
    <row r="19">
      <c r="A19" s="5" t="inlineStr">
        <is>
          <t>Cuneta Eje 02 (estacionamiento) - perfil 02</t>
        </is>
      </c>
      <c r="B19" s="14" t="n">
        <v>11.27</v>
      </c>
      <c r="C19" s="18">
        <f>B11/6</f>
        <v/>
      </c>
      <c r="D19" s="18">
        <f>SUM($C$17:C19)</f>
        <v/>
      </c>
    </row>
    <row r="20">
      <c r="A20" s="5" t="inlineStr">
        <is>
          <t>Cuneta Eje 06 (ingreso vehicular) - perfil 06</t>
        </is>
      </c>
      <c r="B20" s="14" t="n">
        <v>32.5</v>
      </c>
      <c r="C20" s="18">
        <f>B11/6</f>
        <v/>
      </c>
      <c r="D20" s="18">
        <f>SUM($C$17:C20)</f>
        <v/>
      </c>
    </row>
    <row r="21">
      <c r="A21" s="5" t="inlineStr">
        <is>
          <t>Cuneta Eje 07 - perfil 07</t>
        </is>
      </c>
      <c r="B21" s="14" t="n">
        <v>42.68</v>
      </c>
      <c r="C21" s="18">
        <f>B11/6</f>
        <v/>
      </c>
      <c r="D21" s="18">
        <f>SUM($C$17:C21)</f>
        <v/>
      </c>
    </row>
    <row r="22">
      <c r="A22" s="5" t="inlineStr">
        <is>
          <t>Cuneta Eje 11 - perfil 11</t>
        </is>
      </c>
      <c r="B22" s="14" t="n">
        <v>60.89</v>
      </c>
      <c r="C22" s="18">
        <f>B11/6</f>
        <v/>
      </c>
      <c r="D22" s="18">
        <f>SUM($C$17:C22)</f>
        <v/>
      </c>
    </row>
    <row r="23">
      <c r="A23" s="5" t="inlineStr">
        <is>
          <t>Cuneta Eje 12 (perimetral oeste) - perfil 12</t>
        </is>
      </c>
      <c r="B23" s="14" t="n">
        <v>69.56</v>
      </c>
      <c r="C23" s="18">
        <f>B11/6</f>
        <v/>
      </c>
      <c r="D23" s="18">
        <f>SUM($C$17:C23)</f>
        <v/>
      </c>
    </row>
    <row r="24"/>
    <row r="25">
      <c r="A25" s="2" t="inlineStr">
        <is>
          <t>Suma de picos sin desfase de tiempos y con FS = 1.15: hipotesis conservadora. El reparto del aporte del Refugio entre sus 6 cunetas es nominal; el perfil se verifica con el caudal total en todo el tramo.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  <col width="14" customWidth="1" min="9" max="9"/>
    <col width="14" customWidth="1" min="10" max="10"/>
    <col width="14" customWidth="1" min="11" max="11"/>
    <col width="30" customWidth="1" min="12" max="12"/>
  </cols>
  <sheetData>
    <row r="1">
      <c r="A1" s="1" t="inlineStr">
        <is>
          <t>3. CUNETAS DE ARQUITECTURA QUE LLEGAN AL COLECTOR</t>
        </is>
      </c>
    </row>
    <row r="2">
      <c r="A2" s="2" t="inlineStr">
        <is>
          <t>Colector pluvial frontal - tramo Hogar de Refugio Temporal Mujeres Violentadas (CUI 2675514), Morales - San Martin. Hidroconsult, Oct. 2026</t>
        </is>
      </c>
    </row>
    <row r="3"/>
    <row r="4">
      <c r="A4" s="11" t="inlineStr">
        <is>
          <t>CUNETA (perfil de arquitectura)</t>
        </is>
      </c>
      <c r="B4" s="11" t="inlineStr">
        <is>
          <t>PERFIL</t>
        </is>
      </c>
      <c r="C4" s="11" t="inlineStr">
        <is>
          <t>PROGRESIVA (m)</t>
        </is>
      </c>
      <c r="D4" s="11" t="inlineStr">
        <is>
          <t>LONGITUD (m)</t>
        </is>
      </c>
      <c r="E4" s="11" t="inlineStr">
        <is>
          <t>NCT (msnm)</t>
        </is>
      </c>
      <c r="F4" s="11" t="inlineStr">
        <is>
          <t>NCF al cerco (msnm)</t>
        </is>
      </c>
      <c r="G4" s="11" t="inlineStr">
        <is>
          <t>H al cerco (m)</t>
        </is>
      </c>
      <c r="H4" s="11" t="inlineStr">
        <is>
          <t>PROLONG. (m)</t>
        </is>
      </c>
      <c r="I4" s="11" t="inlineStr">
        <is>
          <t>NCF en el muro (msnm)</t>
        </is>
      </c>
      <c r="J4" s="11" t="inlineStr">
        <is>
          <t>NA del colector (msnm)</t>
        </is>
      </c>
      <c r="K4" s="11" t="inlineStr">
        <is>
          <t>CAIDA LIBRE (m)</t>
        </is>
      </c>
      <c r="L4" s="11" t="inlineStr">
        <is>
          <t>VERIFICACION</t>
        </is>
      </c>
    </row>
    <row r="5">
      <c r="A5" s="5" t="inlineStr">
        <is>
          <t>Eje 01 (perimetral este)</t>
        </is>
      </c>
      <c r="B5" s="13" t="inlineStr">
        <is>
          <t>01</t>
        </is>
      </c>
      <c r="C5" s="14" t="n">
        <v>1.07</v>
      </c>
      <c r="D5" s="14" t="n">
        <v>37.14</v>
      </c>
      <c r="E5" s="14" t="n">
        <v>260.6</v>
      </c>
      <c r="F5" s="14" t="n">
        <v>260.12</v>
      </c>
      <c r="G5" s="19">
        <f>E5-F5</f>
        <v/>
      </c>
      <c r="H5" s="14" t="n">
        <v>0.03</v>
      </c>
      <c r="I5" s="16">
        <f>F5-0.005*H5</f>
        <v/>
      </c>
      <c r="J5" s="22">
        <f>IFERROR(INDEX(PERFIL_FLUJO!$G$6:$G$200,MATCH(C5,PERFIL_FLUJO!$A$6:$A$200,0)),"")</f>
        <v/>
      </c>
      <c r="K5" s="16">
        <f>I5-J5</f>
        <v/>
      </c>
      <c r="L5" s="5">
        <f>IF(K5&gt;0,"CAIDA LIBRE","AHOGADA")</f>
        <v/>
      </c>
    </row>
    <row r="6">
      <c r="A6" s="5" t="inlineStr">
        <is>
          <t>Eje 02 (estacionamiento)</t>
        </is>
      </c>
      <c r="B6" s="13" t="inlineStr">
        <is>
          <t>02</t>
        </is>
      </c>
      <c r="C6" s="14" t="n">
        <v>11.27</v>
      </c>
      <c r="D6" s="14" t="n">
        <v>130.85</v>
      </c>
      <c r="E6" s="14" t="n">
        <v>260.6</v>
      </c>
      <c r="F6" s="14" t="n">
        <v>259.7</v>
      </c>
      <c r="G6" s="19">
        <f>E6-F6</f>
        <v/>
      </c>
      <c r="H6" s="14" t="n">
        <v>0.03</v>
      </c>
      <c r="I6" s="16">
        <f>F6-0.005*H6</f>
        <v/>
      </c>
      <c r="J6" s="22">
        <f>IFERROR(INDEX(PERFIL_FLUJO!$G$6:$G$200,MATCH(C6,PERFIL_FLUJO!$A$6:$A$200,0)),"")</f>
        <v/>
      </c>
      <c r="K6" s="16">
        <f>I6-J6</f>
        <v/>
      </c>
      <c r="L6" s="5">
        <f>IF(K6&gt;0,"CAIDA LIBRE","AHOGADA")</f>
        <v/>
      </c>
    </row>
    <row r="7">
      <c r="A7" s="5" t="inlineStr">
        <is>
          <t>Eje 06 (ingreso vehicular)</t>
        </is>
      </c>
      <c r="B7" s="13" t="inlineStr">
        <is>
          <t>06</t>
        </is>
      </c>
      <c r="C7" s="14" t="n">
        <v>32.5</v>
      </c>
      <c r="D7" s="14" t="n">
        <v>120.36</v>
      </c>
      <c r="E7" s="14" t="n">
        <v>260.6</v>
      </c>
      <c r="F7" s="14" t="n">
        <v>259.75</v>
      </c>
      <c r="G7" s="19">
        <f>E7-F7</f>
        <v/>
      </c>
      <c r="H7" s="14" t="n">
        <v>0.03</v>
      </c>
      <c r="I7" s="16">
        <f>F7-0.005*H7</f>
        <v/>
      </c>
      <c r="J7" s="22">
        <f>IFERROR(INDEX(PERFIL_FLUJO!$G$6:$G$200,MATCH(C7,PERFIL_FLUJO!$A$6:$A$200,0)),"")</f>
        <v/>
      </c>
      <c r="K7" s="16">
        <f>I7-J7</f>
        <v/>
      </c>
      <c r="L7" s="5">
        <f>IF(K7&gt;0,"CAIDA LIBRE","AHOGADA")</f>
        <v/>
      </c>
    </row>
    <row r="8">
      <c r="A8" s="5" t="inlineStr">
        <is>
          <t>Eje 07</t>
        </is>
      </c>
      <c r="B8" s="13" t="inlineStr">
        <is>
          <t>07</t>
        </is>
      </c>
      <c r="C8" s="14" t="n">
        <v>42.68</v>
      </c>
      <c r="D8" s="14" t="n">
        <v>125.7</v>
      </c>
      <c r="E8" s="14" t="n">
        <v>260.6</v>
      </c>
      <c r="F8" s="14" t="n">
        <v>259.72</v>
      </c>
      <c r="G8" s="19">
        <f>E8-F8</f>
        <v/>
      </c>
      <c r="H8" s="14" t="n">
        <v>0.03</v>
      </c>
      <c r="I8" s="16">
        <f>F8-0.005*H8</f>
        <v/>
      </c>
      <c r="J8" s="22">
        <f>IFERROR(INDEX(PERFIL_FLUJO!$G$6:$G$200,MATCH(C8,PERFIL_FLUJO!$A$6:$A$200,0)),"")</f>
        <v/>
      </c>
      <c r="K8" s="16">
        <f>I8-J8</f>
        <v/>
      </c>
      <c r="L8" s="5">
        <f>IF(K8&gt;0,"CAIDA LIBRE","AHOGADA")</f>
        <v/>
      </c>
    </row>
    <row r="9">
      <c r="A9" s="5" t="inlineStr">
        <is>
          <t>Eje 11</t>
        </is>
      </c>
      <c r="B9" s="13" t="inlineStr">
        <is>
          <t>11</t>
        </is>
      </c>
      <c r="C9" s="14" t="n">
        <v>60.89</v>
      </c>
      <c r="D9" s="14" t="n">
        <v>71.45999999999999</v>
      </c>
      <c r="E9" s="14" t="n">
        <v>260.6</v>
      </c>
      <c r="F9" s="14" t="n">
        <v>260</v>
      </c>
      <c r="G9" s="19">
        <f>E9-F9</f>
        <v/>
      </c>
      <c r="H9" s="14" t="n">
        <v>1.88</v>
      </c>
      <c r="I9" s="16">
        <f>F9-0.005*H9</f>
        <v/>
      </c>
      <c r="J9" s="22">
        <f>IFERROR(INDEX(PERFIL_FLUJO!$G$6:$G$200,MATCH(C9,PERFIL_FLUJO!$A$6:$A$200,0)),"")</f>
        <v/>
      </c>
      <c r="K9" s="16">
        <f>I9-J9</f>
        <v/>
      </c>
      <c r="L9" s="5">
        <f>IF(K9&gt;0,"CAIDA LIBRE","AHOGADA")</f>
        <v/>
      </c>
    </row>
    <row r="10">
      <c r="A10" s="5" t="inlineStr">
        <is>
          <t>Eje 12 (perimetral oeste)</t>
        </is>
      </c>
      <c r="B10" s="13" t="inlineStr">
        <is>
          <t>12</t>
        </is>
      </c>
      <c r="C10" s="14" t="n">
        <v>69.56</v>
      </c>
      <c r="D10" s="14" t="n">
        <v>109.12</v>
      </c>
      <c r="E10" s="14" t="n">
        <v>260.6</v>
      </c>
      <c r="F10" s="14" t="n">
        <v>259.8</v>
      </c>
      <c r="G10" s="19">
        <f>E10-F10</f>
        <v/>
      </c>
      <c r="H10" s="14" t="n">
        <v>5.39</v>
      </c>
      <c r="I10" s="16">
        <f>F10-0.005*H10</f>
        <v/>
      </c>
      <c r="J10" s="22">
        <f>IFERROR(INDEX(PERFIL_FLUJO!$G$6:$G$200,MATCH(C10,PERFIL_FLUJO!$A$6:$A$200,0)),"")</f>
        <v/>
      </c>
      <c r="K10" s="16">
        <f>I10-J10</f>
        <v/>
      </c>
      <c r="L10" s="5">
        <f>IF(K10&gt;0,"CAIDA LIBRE","AHOGADA")</f>
        <v/>
      </c>
    </row>
    <row r="11"/>
    <row r="12">
      <c r="A12" s="2" t="inlineStr">
        <is>
          <t>Seccion de las cunetas: 0.40 x H, muros 0.10, pendiente 0.5 % (plano de arquitectura, perfiles 01 a 12). Las prolongaciones fuera del cerco mantienen la misma pendiente. El empalme es por ventana 0.40 x H en el muro lado predio, con caida al fondo del colector y registro encima (lamina DP-06).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2" customWidth="1" min="2" max="2"/>
    <col width="8" customWidth="1" min="3" max="3"/>
    <col width="60" customWidth="1" min="4" max="4"/>
  </cols>
  <sheetData>
    <row r="1">
      <c r="A1" s="1" t="inlineStr">
        <is>
          <t>4. CAJA DE LLEGADA (0+000) Y CAJA DE CAIDA EN LA ENTREGA AL CAR MUJERES</t>
        </is>
      </c>
    </row>
    <row r="2">
      <c r="A2" s="2" t="inlineStr">
        <is>
          <t>Colector pluvial frontal - tramo Hogar de Refugio Temporal Mujeres Violentadas (CUI 2675514), Morales - San Martin. Hidroconsult, Oct. 2026</t>
        </is>
      </c>
    </row>
    <row r="3"/>
    <row r="4">
      <c r="A4" s="11" t="inlineStr">
        <is>
          <t>PARAMETRO</t>
        </is>
      </c>
      <c r="B4" s="11" t="inlineStr">
        <is>
          <t>VALOR</t>
        </is>
      </c>
      <c r="C4" s="11" t="inlineStr">
        <is>
          <t>UND</t>
        </is>
      </c>
      <c r="D4" s="11" t="inlineStr">
        <is>
          <t>FORMULA / CRITERIO</t>
        </is>
      </c>
    </row>
    <row r="5">
      <c r="A5" s="12" t="inlineStr">
        <is>
          <t>A. CAJA DE CAIDA CC - ENTREGA AL REGISTRO R-01 DEL CAR MUJERES</t>
        </is>
      </c>
    </row>
    <row r="6">
      <c r="A6" s="5" t="inlineStr">
        <is>
          <t>Caudal Q</t>
        </is>
      </c>
      <c r="B6" s="22">
        <f>CAUDALES!B13</f>
        <v/>
      </c>
      <c r="C6" s="5" t="inlineStr">
        <is>
          <t>m3/s</t>
        </is>
      </c>
      <c r="D6" s="5" t="inlineStr"/>
    </row>
    <row r="7">
      <c r="A7" s="5" t="inlineStr">
        <is>
          <t>Ancho del colector en el brink b</t>
        </is>
      </c>
      <c r="B7" s="22">
        <f>DATOS!B17</f>
        <v/>
      </c>
      <c r="C7" s="5" t="inlineStr">
        <is>
          <t>m</t>
        </is>
      </c>
      <c r="D7" s="5" t="inlineStr"/>
    </row>
    <row r="8">
      <c r="A8" s="5" t="inlineStr">
        <is>
          <t>Cota de fondo en el brink</t>
        </is>
      </c>
      <c r="B8" s="22">
        <f>DATOS!B22-DATOS!B23*DATOS!B26</f>
        <v/>
      </c>
      <c r="C8" s="5" t="inlineStr">
        <is>
          <t>msnm</t>
        </is>
      </c>
      <c r="D8" s="5" t="inlineStr">
        <is>
          <t>CF0 - S x pb</t>
        </is>
      </c>
    </row>
    <row r="9">
      <c r="A9" s="5" t="inlineStr">
        <is>
          <t>Tirante critico en el brink yc</t>
        </is>
      </c>
      <c r="B9" s="16">
        <f>(B6^2/(9.81*B7^2))^(1/3)</f>
        <v/>
      </c>
      <c r="C9" s="5" t="inlineStr">
        <is>
          <t>m</t>
        </is>
      </c>
      <c r="D9" s="5" t="inlineStr">
        <is>
          <t>yc = (Q2/(g b2))^(1/3): control de la caida libre</t>
        </is>
      </c>
    </row>
    <row r="10">
      <c r="A10" s="5" t="inlineStr">
        <is>
          <t>Nivel de agua en el brink</t>
        </is>
      </c>
      <c r="B10" s="16">
        <f>B8+B9</f>
        <v/>
      </c>
      <c r="C10" s="5" t="inlineStr">
        <is>
          <t>msnm</t>
        </is>
      </c>
      <c r="D10" s="5" t="inlineStr">
        <is>
          <t>nivel de control del perfil de flujo (hoja PERFIL_FLUJO)</t>
        </is>
      </c>
    </row>
    <row r="11">
      <c r="A11" s="5" t="inlineStr">
        <is>
          <t>Piso de la poza</t>
        </is>
      </c>
      <c r="B11" s="22">
        <f>DATOS!B39-DATOS!B48</f>
        <v/>
      </c>
      <c r="C11" s="5" t="inlineStr">
        <is>
          <t>msnm</t>
        </is>
      </c>
      <c r="D11" s="5" t="inlineStr">
        <is>
          <t>fondo del receptor - profundidad de poza</t>
        </is>
      </c>
    </row>
    <row r="12">
      <c r="A12" s="5" t="inlineStr">
        <is>
          <t>Caida total (brink a piso de poza)</t>
        </is>
      </c>
      <c r="B12" s="16">
        <f>B8-B11</f>
        <v/>
      </c>
      <c r="C12" s="5" t="inlineStr">
        <is>
          <t>m</t>
        </is>
      </c>
      <c r="D12" s="5" t="inlineStr"/>
    </row>
    <row r="13">
      <c r="A13" s="5" t="inlineStr">
        <is>
          <t>Energia al pie respecto al piso E1</t>
        </is>
      </c>
      <c r="B13" s="16">
        <f>B12+1.5*B9</f>
        <v/>
      </c>
      <c r="C13" s="5" t="inlineStr">
        <is>
          <t>m</t>
        </is>
      </c>
      <c r="D13" s="5" t="inlineStr">
        <is>
          <t>E1 = caida + 1.5 yc (sin perdidas, conservador)</t>
        </is>
      </c>
    </row>
    <row r="14">
      <c r="A14" s="5" t="inlineStr">
        <is>
          <t>Tirante al pie y1</t>
        </is>
      </c>
      <c r="B14" s="23" t="n">
        <v>0.1613</v>
      </c>
      <c r="C14" s="5" t="inlineStr">
        <is>
          <t>m</t>
        </is>
      </c>
      <c r="D14" s="5" t="inlineStr">
        <is>
          <t>y1 resuelto en Python (y1 + (Q/(b y1))^2/2g = E1); verificar: B14 + B15^2/19.62 = B13</t>
        </is>
      </c>
    </row>
    <row r="15">
      <c r="A15" s="5" t="inlineStr">
        <is>
          <t>Velocidad al pie V1</t>
        </is>
      </c>
      <c r="B15" s="16">
        <f>B6/(B7*B14)</f>
        <v/>
      </c>
      <c r="C15" s="5" t="inlineStr">
        <is>
          <t>m/s</t>
        </is>
      </c>
      <c r="D15" s="5" t="inlineStr">
        <is>
          <t>V1 = Q/(b y1)</t>
        </is>
      </c>
    </row>
    <row r="16">
      <c r="A16" s="5" t="inlineStr">
        <is>
          <t>Froude al pie F1</t>
        </is>
      </c>
      <c r="B16" s="16">
        <f>B15/SQRT(9.81*B14)</f>
        <v/>
      </c>
      <c r="C16" s="5" t="inlineStr">
        <is>
          <t>-</t>
        </is>
      </c>
      <c r="D16" s="5" t="inlineStr"/>
    </row>
    <row r="17">
      <c r="A17" s="5" t="inlineStr">
        <is>
          <t>Tirante conjugado y2</t>
        </is>
      </c>
      <c r="B17" s="16">
        <f>B14/2*(SQRT(1+8*B16^2)-1)</f>
        <v/>
      </c>
      <c r="C17" s="5" t="inlineStr">
        <is>
          <t>m</t>
        </is>
      </c>
      <c r="D17" s="5" t="inlineStr">
        <is>
          <t>resalto hidraulico en el ancho b (conservador: no considera la expansion a 1.50 m)</t>
        </is>
      </c>
    </row>
    <row r="18">
      <c r="A18" s="5" t="inlineStr">
        <is>
          <t>Tirante disponible en la poza</t>
        </is>
      </c>
      <c r="B18" s="22">
        <f>DATOS!B40-B11</f>
        <v/>
      </c>
      <c r="C18" s="5" t="inlineStr">
        <is>
          <t>m</t>
        </is>
      </c>
      <c r="D18" s="5" t="inlineStr">
        <is>
          <t>NA del receptor - piso de la poza</t>
        </is>
      </c>
    </row>
    <row r="19">
      <c r="A19" s="5" t="inlineStr">
        <is>
          <t>Verificacion del resalto</t>
        </is>
      </c>
      <c r="B19" s="16">
        <f>IF(B18&gt;=B17,"RESALTO AHOGADO - CUMPLE","REVISAR PROFUNDIDAD DE POZA")</f>
        <v/>
      </c>
      <c r="C19" s="5" t="inlineStr"/>
      <c r="D19" s="5" t="inlineStr">
        <is>
          <t>el receptor ahoga el resalto dentro de la poza</t>
        </is>
      </c>
    </row>
    <row r="20">
      <c r="A20" s="5" t="inlineStr">
        <is>
          <t>Longitud de resalto 6 y2</t>
        </is>
      </c>
      <c r="B20" s="16">
        <f>6*B17</f>
        <v/>
      </c>
      <c r="C20" s="5" t="inlineStr">
        <is>
          <t>m</t>
        </is>
      </c>
      <c r="D20" s="5" t="inlineStr">
        <is>
          <t>referencia (resalto libre)</t>
        </is>
      </c>
    </row>
    <row r="21">
      <c r="A21" s="5" t="inlineStr">
        <is>
          <t>Longitud de poza adoptada</t>
        </is>
      </c>
      <c r="B21" s="22">
        <f>DATOS!B49</f>
        <v/>
      </c>
      <c r="C21" s="5" t="inlineStr">
        <is>
          <t>m</t>
        </is>
      </c>
      <c r="D21" s="5" t="inlineStr">
        <is>
          <t>con umbral de salida de 0.40 m hasta el fondo del receptor; resalto ahogado</t>
        </is>
      </c>
    </row>
    <row r="22">
      <c r="A22" s="5" t="inlineStr">
        <is>
          <t>Verificacion de longitud</t>
        </is>
      </c>
      <c r="B22" s="16">
        <f>IF(B21&gt;=0.8*B20,"CUMPLE (resalto ahogado)","AMPLIAR POZA")</f>
        <v/>
      </c>
      <c r="C22" s="5" t="inlineStr"/>
      <c r="D22" s="5" t="inlineStr">
        <is>
          <t>poza &gt;= 0.8 x 6 y2 para resalto ahogado (USBR)</t>
        </is>
      </c>
    </row>
    <row r="23">
      <c r="A23" s="5" t="inlineStr">
        <is>
          <t>Nivel de agua en el receptor</t>
        </is>
      </c>
      <c r="B23" s="22">
        <f>DATOS!B40</f>
        <v/>
      </c>
      <c r="C23" s="5" t="inlineStr">
        <is>
          <t>msnm</t>
        </is>
      </c>
      <c r="D23" s="5" t="inlineStr">
        <is>
          <t>regimen subcritico aguas abajo del umbral (F = 0.67 en el receptor)</t>
        </is>
      </c>
    </row>
    <row r="24"/>
    <row r="25">
      <c r="A25" s="12" t="inlineStr">
        <is>
          <t>B. CAJA DE LLEGADA CL (0+000) - CAIDA DEL APORTE DE CAR VARONES</t>
        </is>
      </c>
    </row>
    <row r="26">
      <c r="A26" s="5" t="inlineStr">
        <is>
          <t>Cota de fondo de llegada del aporte externo</t>
        </is>
      </c>
      <c r="B26" s="22">
        <f>DATOS!B43</f>
        <v/>
      </c>
      <c r="C26" s="5" t="inlineStr">
        <is>
          <t>msnm</t>
        </is>
      </c>
      <c r="D26" s="5" t="inlineStr">
        <is>
          <t>expediente del CAR Varones (CUI 2705619): colector b = 0.60, fondo 259.884 en la cara este de la CL</t>
        </is>
      </c>
    </row>
    <row r="27">
      <c r="A27" s="5" t="inlineStr">
        <is>
          <t>Piso de la poza de la caja</t>
        </is>
      </c>
      <c r="B27" s="22">
        <f>DATOS!B22-DATOS!B47</f>
        <v/>
      </c>
      <c r="C27" s="5" t="inlineStr">
        <is>
          <t>msnm</t>
        </is>
      </c>
      <c r="D27" s="5" t="inlineStr">
        <is>
          <t>CF0 - profundidad de poza</t>
        </is>
      </c>
    </row>
    <row r="28">
      <c r="A28" s="5" t="inlineStr">
        <is>
          <t>Caida del aporte externo</t>
        </is>
      </c>
      <c r="B28" s="16">
        <f>B26-B27</f>
        <v/>
      </c>
      <c r="C28" s="5" t="inlineStr">
        <is>
          <t>m</t>
        </is>
      </c>
      <c r="D28" s="5" t="inlineStr"/>
    </row>
    <row r="29">
      <c r="A29" s="5" t="inlineStr">
        <is>
          <t>Nivel de agua en la caja (= inicio del colector)</t>
        </is>
      </c>
      <c r="B29" s="22">
        <f>PERFIL_FLUJO!G200</f>
        <v/>
      </c>
      <c r="C29" s="5" t="inlineStr">
        <is>
          <t>msnm</t>
        </is>
      </c>
      <c r="D29" s="5" t="inlineStr">
        <is>
          <t>nivel de agua en 0+000 (hoja PERFIL_FLUJO, ultima fila)</t>
        </is>
      </c>
    </row>
    <row r="30">
      <c r="A30" s="5" t="inlineStr">
        <is>
          <t>Colchon de agua en la poza</t>
        </is>
      </c>
      <c r="B30" s="16">
        <f>B29-B27</f>
        <v/>
      </c>
      <c r="C30" s="5" t="inlineStr">
        <is>
          <t>m</t>
        </is>
      </c>
      <c r="D30" s="5" t="inlineStr">
        <is>
          <t>amortigua el chorro de 259 L/s</t>
        </is>
      </c>
    </row>
    <row r="31">
      <c r="A31" s="5" t="inlineStr">
        <is>
          <t>Verificacion</t>
        </is>
      </c>
      <c r="B31" s="16">
        <f>IF(B30&gt;=0.5,"CUMPLE (colchon &gt;= 0.50 m)","REVISAR")</f>
        <v/>
      </c>
      <c r="C31" s="5" t="inlineStr"/>
      <c r="D31" s="5" t="inlineStr"/>
    </row>
    <row r="32">
      <c r="A32" s="5" t="inlineStr">
        <is>
          <t>Dimensiones interiores de la caja</t>
        </is>
      </c>
      <c r="B32" s="16" t="inlineStr">
        <is>
          <t>1.50 x 1.00</t>
        </is>
      </c>
      <c r="C32" s="5" t="inlineStr">
        <is>
          <t>m</t>
        </is>
      </c>
      <c r="D32" s="5" t="inlineStr">
        <is>
          <t>largo x ancho; profundidad hasta el piso de poza</t>
        </is>
      </c>
    </row>
    <row r="33">
      <c r="A33" s="5" t="inlineStr">
        <is>
          <t>Verificacion de y1: y1 + V1^2/2g</t>
        </is>
      </c>
      <c r="B33" s="16">
        <f>B14+B15^2/(2*9.81)</f>
        <v/>
      </c>
      <c r="C33" s="5" t="inlineStr">
        <is>
          <t>m</t>
        </is>
      </c>
      <c r="D33" s="5" t="inlineStr">
        <is>
          <t>debe ser igual a E1 (B13)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W20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0" customWidth="1" min="2" max="2"/>
    <col width="9" customWidth="1" min="3" max="3"/>
    <col width="8" customWidth="1" min="4" max="4"/>
    <col width="8" customWidth="1" min="5" max="5"/>
    <col width="9" customWidth="1" min="6" max="6"/>
    <col width="10" customWidth="1" min="7" max="7"/>
    <col width="9" customWidth="1" min="8" max="8"/>
    <col width="8" customWidth="1" min="9" max="9"/>
    <col width="10" customWidth="1" min="10" max="10"/>
    <col width="9" customWidth="1" min="11" max="11"/>
    <col width="9" customWidth="1" min="12" max="12"/>
    <col width="9" customWidth="1" min="13" max="13"/>
    <col width="13" customWidth="1" min="14" max="14"/>
    <col width="10" customWidth="1" min="15" max="15"/>
  </cols>
  <sheetData>
    <row r="1">
      <c r="A1" s="1" t="inlineStr">
        <is>
          <t>5. PERFIL DE FLUJO GRADUALMENTE VARIADO - METODO DEL PASO ESTANDAR (de aguas abajo hacia aguas arriba)</t>
        </is>
      </c>
    </row>
    <row r="2">
      <c r="A2" s="2" t="inlineStr">
        <is>
          <t>Colector pluvial frontal - tramo Hogar de Refugio Temporal Mujeres Violentadas (CUI 2675514), Morales - San Martin. Hidroconsult, Oct. 2026</t>
        </is>
      </c>
    </row>
    <row r="3">
      <c r="A3" s="2" t="inlineStr">
        <is>
          <t>Ecuacion de energia entre estaciones: y1 + V1^2/2g + z1 = y2 + V2^2/2g + z2 + dx (Sf1 + Sf2)/2 ; Sf = (n V / R^(2/3))^2 ; control: tirante critico en el brink de la caida (0+069.89)</t>
        </is>
      </c>
    </row>
    <row r="4">
      <c r="P4" s="2" t="inlineStr">
        <is>
          <t>Biseccion del tirante y (lo, hi) en 30 iteraciones: f(y) = y + V^2/2g + z - E2 - dx (Sf + Sf2)/2</t>
        </is>
      </c>
    </row>
    <row r="5">
      <c r="A5" s="11" t="inlineStr">
        <is>
          <t>PROGRESIVA (m)</t>
        </is>
      </c>
      <c r="B5" s="11" t="inlineStr">
        <is>
          <t>COTA FONDO</t>
        </is>
      </c>
      <c r="C5" s="11" t="inlineStr">
        <is>
          <t>Q (m3/s)</t>
        </is>
      </c>
      <c r="D5" s="11" t="inlineStr">
        <is>
          <t>b (m)</t>
        </is>
      </c>
      <c r="E5" s="11" t="inlineStr">
        <is>
          <t>yc (m)</t>
        </is>
      </c>
      <c r="F5" s="11" t="inlineStr">
        <is>
          <t>TIRANTE y (m)</t>
        </is>
      </c>
      <c r="G5" s="11" t="inlineStr">
        <is>
          <t>NIVEL DE AGUA</t>
        </is>
      </c>
      <c r="H5" s="11" t="inlineStr">
        <is>
          <t>VELOCIDAD (m/s)</t>
        </is>
      </c>
      <c r="I5" s="11" t="inlineStr">
        <is>
          <t>FROUDE</t>
        </is>
      </c>
      <c r="J5" s="11" t="inlineStr">
        <is>
          <t>COTA BAJO LOSA</t>
        </is>
      </c>
      <c r="K5" s="11" t="inlineStr">
        <is>
          <t>ALTURA INTERIOR h</t>
        </is>
      </c>
      <c r="L5" s="11" t="inlineStr">
        <is>
          <t>LLENADO y/h</t>
        </is>
      </c>
      <c r="M5" s="11" t="inlineStr">
        <is>
          <t>BORDE LIBRE (m)</t>
        </is>
      </c>
      <c r="N5" s="11" t="inlineStr">
        <is>
          <t>VERIFICACION</t>
        </is>
      </c>
      <c r="O5" s="11" t="inlineStr">
        <is>
          <t>ZONA</t>
        </is>
      </c>
    </row>
    <row r="6">
      <c r="A6" s="13" t="n">
        <v>69.89</v>
      </c>
      <c r="B6" s="16">
        <f>DATOS!$B$22-DATOS!$B$23*A6</f>
        <v/>
      </c>
      <c r="C6" s="24">
        <f>CAUDALES!$B$13</f>
        <v/>
      </c>
      <c r="D6" s="17">
        <f>DATOS!$B$17</f>
        <v/>
      </c>
      <c r="E6" s="16">
        <f>(C6^2/(9.81*D6^2))^(1/3)</f>
        <v/>
      </c>
      <c r="F6" s="16">
        <f>E6</f>
        <v/>
      </c>
      <c r="G6" s="16">
        <f>B6+F6</f>
        <v/>
      </c>
      <c r="H6" s="19">
        <f>C6/(D6*F6)</f>
        <v/>
      </c>
      <c r="I6" s="19">
        <f>H6/SQRT(9.81*F6)</f>
        <v/>
      </c>
      <c r="J6" s="16">
        <f>DATOS!$B$29-IF(AND(A6&gt;=DATOS!$B$30,A6&lt;DATOS!$B$31),DATOS!$B$21,DATOS!$B$20)</f>
        <v/>
      </c>
      <c r="K6" s="19">
        <f>J6-B6</f>
        <v/>
      </c>
      <c r="L6" s="19">
        <f>F6/K6</f>
        <v/>
      </c>
      <c r="M6" s="16">
        <f>J6-G6</f>
        <v/>
      </c>
      <c r="N6" s="5">
        <f>IF(AND(L6&lt;=DATOS!$B$36,M6&gt;=DATOS!$B$37,I6&lt;=1),"CUMPLE","NO CUMPLE")</f>
        <v/>
      </c>
      <c r="O6" s="5">
        <f>IF(AND(A6&gt;=DATOS!$B$30,A6&lt;DATOS!$B$31),"cruce de camiones",IF(AND(A6&gt;=DATOS!$B$32,A6&lt;DATOS!$B$33),"cruce de motos","tramo normal"))</f>
        <v/>
      </c>
    </row>
    <row r="7">
      <c r="A7" s="13" t="n">
        <v>69.56</v>
      </c>
      <c r="B7" s="16">
        <f>DATOS!$B$22-DATOS!$B$23*A7</f>
        <v/>
      </c>
      <c r="C7" s="24">
        <f>CAUDALES!$B$13</f>
        <v/>
      </c>
      <c r="D7" s="17">
        <f>DATOS!$B$17</f>
        <v/>
      </c>
      <c r="E7" s="16">
        <f>(C7^2/(9.81*D7^2))^(1/3)</f>
        <v/>
      </c>
      <c r="F7" s="16">
        <f>(BV7+BW7)/2</f>
        <v/>
      </c>
      <c r="G7" s="16">
        <f>B7+F7</f>
        <v/>
      </c>
      <c r="H7" s="19">
        <f>C7/(D7*F7)</f>
        <v/>
      </c>
      <c r="I7" s="19">
        <f>H7/SQRT(9.81*F7)</f>
        <v/>
      </c>
      <c r="J7" s="16">
        <f>DATOS!$B$29-IF(AND(A7&gt;=DATOS!$B$30,A7&lt;DATOS!$B$31),DATOS!$B$21,DATOS!$B$20)</f>
        <v/>
      </c>
      <c r="K7" s="19">
        <f>J7-B7</f>
        <v/>
      </c>
      <c r="L7" s="19">
        <f>F7/K7</f>
        <v/>
      </c>
      <c r="M7" s="16">
        <f>J7-G7</f>
        <v/>
      </c>
      <c r="N7" s="5">
        <f>IF(AND(L7&lt;=DATOS!$B$36,M7&gt;=DATOS!$B$37,I7&lt;=1),"CUMPLE","NO CUMPLE")</f>
        <v/>
      </c>
      <c r="O7" s="5">
        <f>IF(AND(A7&gt;=DATOS!$B$30,A7&lt;DATOS!$B$31),"cruce de camiones",IF(AND(A7&gt;=DATOS!$B$32,A7&lt;DATOS!$B$33),"cruce de motos","tramo normal"))</f>
        <v/>
      </c>
      <c r="P7" s="5">
        <f>E7*1.001</f>
        <v/>
      </c>
      <c r="Q7" s="13" t="n">
        <v>3</v>
      </c>
      <c r="R7" s="5">
        <f>IF((((P7+Q7)/2)+(C7/(D7*((P7+Q7)/2)))^2/(2*9.81)+B7-(G6+H6^2/(2*9.81))-(A6-A7)*(((DATOS!$B$34*(C7/(D7*((P7+Q7)/2)))/((D7*((P7+Q7)/2))/(D7+2*((P7+Q7)/2)))^(2/3))^2+((DATOS!$B$34*H6/((D6*F6)/(D6+2*F6))^(2/3))^2))/2))&gt;0,P7,((P7+Q7)/2))</f>
        <v/>
      </c>
      <c r="S7" s="5">
        <f>IF((((P7+Q7)/2)+(C7/(D7*((P7+Q7)/2)))^2/(2*9.81)+B7-(G6+H6^2/(2*9.81))-(A6-A7)*(((DATOS!$B$34*(C7/(D7*((P7+Q7)/2)))/((D7*((P7+Q7)/2))/(D7+2*((P7+Q7)/2)))^(2/3))^2+((DATOS!$B$34*H6/((D6*F6)/(D6+2*F6))^(2/3))^2))/2))&gt;0,((P7+Q7)/2),Q7)</f>
        <v/>
      </c>
      <c r="T7" s="5">
        <f>IF((((R7+S7)/2)+(C7/(D7*((R7+S7)/2)))^2/(2*9.81)+B7-(G6+H6^2/(2*9.81))-(A6-A7)*(((DATOS!$B$34*(C7/(D7*((R7+S7)/2)))/((D7*((R7+S7)/2))/(D7+2*((R7+S7)/2)))^(2/3))^2+((DATOS!$B$34*H6/((D6*F6)/(D6+2*F6))^(2/3))^2))/2))&gt;0,R7,((R7+S7)/2))</f>
        <v/>
      </c>
      <c r="U7" s="5">
        <f>IF((((R7+S7)/2)+(C7/(D7*((R7+S7)/2)))^2/(2*9.81)+B7-(G6+H6^2/(2*9.81))-(A6-A7)*(((DATOS!$B$34*(C7/(D7*((R7+S7)/2)))/((D7*((R7+S7)/2))/(D7+2*((R7+S7)/2)))^(2/3))^2+((DATOS!$B$34*H6/((D6*F6)/(D6+2*F6))^(2/3))^2))/2))&gt;0,((R7+S7)/2),S7)</f>
        <v/>
      </c>
      <c r="V7" s="5">
        <f>IF((((T7+U7)/2)+(C7/(D7*((T7+U7)/2)))^2/(2*9.81)+B7-(G6+H6^2/(2*9.81))-(A6-A7)*(((DATOS!$B$34*(C7/(D7*((T7+U7)/2)))/((D7*((T7+U7)/2))/(D7+2*((T7+U7)/2)))^(2/3))^2+((DATOS!$B$34*H6/((D6*F6)/(D6+2*F6))^(2/3))^2))/2))&gt;0,T7,((T7+U7)/2))</f>
        <v/>
      </c>
      <c r="W7" s="5">
        <f>IF((((T7+U7)/2)+(C7/(D7*((T7+U7)/2)))^2/(2*9.81)+B7-(G6+H6^2/(2*9.81))-(A6-A7)*(((DATOS!$B$34*(C7/(D7*((T7+U7)/2)))/((D7*((T7+U7)/2))/(D7+2*((T7+U7)/2)))^(2/3))^2+((DATOS!$B$34*H6/((D6*F6)/(D6+2*F6))^(2/3))^2))/2))&gt;0,((T7+U7)/2),U7)</f>
        <v/>
      </c>
      <c r="X7" s="5">
        <f>IF((((V7+W7)/2)+(C7/(D7*((V7+W7)/2)))^2/(2*9.81)+B7-(G6+H6^2/(2*9.81))-(A6-A7)*(((DATOS!$B$34*(C7/(D7*((V7+W7)/2)))/((D7*((V7+W7)/2))/(D7+2*((V7+W7)/2)))^(2/3))^2+((DATOS!$B$34*H6/((D6*F6)/(D6+2*F6))^(2/3))^2))/2))&gt;0,V7,((V7+W7)/2))</f>
        <v/>
      </c>
      <c r="Y7" s="5">
        <f>IF((((V7+W7)/2)+(C7/(D7*((V7+W7)/2)))^2/(2*9.81)+B7-(G6+H6^2/(2*9.81))-(A6-A7)*(((DATOS!$B$34*(C7/(D7*((V7+W7)/2)))/((D7*((V7+W7)/2))/(D7+2*((V7+W7)/2)))^(2/3))^2+((DATOS!$B$34*H6/((D6*F6)/(D6+2*F6))^(2/3))^2))/2))&gt;0,((V7+W7)/2),W7)</f>
        <v/>
      </c>
      <c r="Z7" s="5">
        <f>IF((((X7+Y7)/2)+(C7/(D7*((X7+Y7)/2)))^2/(2*9.81)+B7-(G6+H6^2/(2*9.81))-(A6-A7)*(((DATOS!$B$34*(C7/(D7*((X7+Y7)/2)))/((D7*((X7+Y7)/2))/(D7+2*((X7+Y7)/2)))^(2/3))^2+((DATOS!$B$34*H6/((D6*F6)/(D6+2*F6))^(2/3))^2))/2))&gt;0,X7,((X7+Y7)/2))</f>
        <v/>
      </c>
      <c r="AA7" s="5">
        <f>IF((((X7+Y7)/2)+(C7/(D7*((X7+Y7)/2)))^2/(2*9.81)+B7-(G6+H6^2/(2*9.81))-(A6-A7)*(((DATOS!$B$34*(C7/(D7*((X7+Y7)/2)))/((D7*((X7+Y7)/2))/(D7+2*((X7+Y7)/2)))^(2/3))^2+((DATOS!$B$34*H6/((D6*F6)/(D6+2*F6))^(2/3))^2))/2))&gt;0,((X7+Y7)/2),Y7)</f>
        <v/>
      </c>
      <c r="AB7" s="5">
        <f>IF((((Z7+AA7)/2)+(C7/(D7*((Z7+AA7)/2)))^2/(2*9.81)+B7-(G6+H6^2/(2*9.81))-(A6-A7)*(((DATOS!$B$34*(C7/(D7*((Z7+AA7)/2)))/((D7*((Z7+AA7)/2))/(D7+2*((Z7+AA7)/2)))^(2/3))^2+((DATOS!$B$34*H6/((D6*F6)/(D6+2*F6))^(2/3))^2))/2))&gt;0,Z7,((Z7+AA7)/2))</f>
        <v/>
      </c>
      <c r="AC7" s="5">
        <f>IF((((Z7+AA7)/2)+(C7/(D7*((Z7+AA7)/2)))^2/(2*9.81)+B7-(G6+H6^2/(2*9.81))-(A6-A7)*(((DATOS!$B$34*(C7/(D7*((Z7+AA7)/2)))/((D7*((Z7+AA7)/2))/(D7+2*((Z7+AA7)/2)))^(2/3))^2+((DATOS!$B$34*H6/((D6*F6)/(D6+2*F6))^(2/3))^2))/2))&gt;0,((Z7+AA7)/2),AA7)</f>
        <v/>
      </c>
      <c r="AD7" s="5">
        <f>IF((((AB7+AC7)/2)+(C7/(D7*((AB7+AC7)/2)))^2/(2*9.81)+B7-(G6+H6^2/(2*9.81))-(A6-A7)*(((DATOS!$B$34*(C7/(D7*((AB7+AC7)/2)))/((D7*((AB7+AC7)/2))/(D7+2*((AB7+AC7)/2)))^(2/3))^2+((DATOS!$B$34*H6/((D6*F6)/(D6+2*F6))^(2/3))^2))/2))&gt;0,AB7,((AB7+AC7)/2))</f>
        <v/>
      </c>
      <c r="AE7" s="5">
        <f>IF((((AB7+AC7)/2)+(C7/(D7*((AB7+AC7)/2)))^2/(2*9.81)+B7-(G6+H6^2/(2*9.81))-(A6-A7)*(((DATOS!$B$34*(C7/(D7*((AB7+AC7)/2)))/((D7*((AB7+AC7)/2))/(D7+2*((AB7+AC7)/2)))^(2/3))^2+((DATOS!$B$34*H6/((D6*F6)/(D6+2*F6))^(2/3))^2))/2))&gt;0,((AB7+AC7)/2),AC7)</f>
        <v/>
      </c>
      <c r="AF7" s="5">
        <f>IF((((AD7+AE7)/2)+(C7/(D7*((AD7+AE7)/2)))^2/(2*9.81)+B7-(G6+H6^2/(2*9.81))-(A6-A7)*(((DATOS!$B$34*(C7/(D7*((AD7+AE7)/2)))/((D7*((AD7+AE7)/2))/(D7+2*((AD7+AE7)/2)))^(2/3))^2+((DATOS!$B$34*H6/((D6*F6)/(D6+2*F6))^(2/3))^2))/2))&gt;0,AD7,((AD7+AE7)/2))</f>
        <v/>
      </c>
      <c r="AG7" s="5">
        <f>IF((((AD7+AE7)/2)+(C7/(D7*((AD7+AE7)/2)))^2/(2*9.81)+B7-(G6+H6^2/(2*9.81))-(A6-A7)*(((DATOS!$B$34*(C7/(D7*((AD7+AE7)/2)))/((D7*((AD7+AE7)/2))/(D7+2*((AD7+AE7)/2)))^(2/3))^2+((DATOS!$B$34*H6/((D6*F6)/(D6+2*F6))^(2/3))^2))/2))&gt;0,((AD7+AE7)/2),AE7)</f>
        <v/>
      </c>
      <c r="AH7" s="5">
        <f>IF((((AF7+AG7)/2)+(C7/(D7*((AF7+AG7)/2)))^2/(2*9.81)+B7-(G6+H6^2/(2*9.81))-(A6-A7)*(((DATOS!$B$34*(C7/(D7*((AF7+AG7)/2)))/((D7*((AF7+AG7)/2))/(D7+2*((AF7+AG7)/2)))^(2/3))^2+((DATOS!$B$34*H6/((D6*F6)/(D6+2*F6))^(2/3))^2))/2))&gt;0,AF7,((AF7+AG7)/2))</f>
        <v/>
      </c>
      <c r="AI7" s="5">
        <f>IF((((AF7+AG7)/2)+(C7/(D7*((AF7+AG7)/2)))^2/(2*9.81)+B7-(G6+H6^2/(2*9.81))-(A6-A7)*(((DATOS!$B$34*(C7/(D7*((AF7+AG7)/2)))/((D7*((AF7+AG7)/2))/(D7+2*((AF7+AG7)/2)))^(2/3))^2+((DATOS!$B$34*H6/((D6*F6)/(D6+2*F6))^(2/3))^2))/2))&gt;0,((AF7+AG7)/2),AG7)</f>
        <v/>
      </c>
      <c r="AJ7" s="5">
        <f>IF((((AH7+AI7)/2)+(C7/(D7*((AH7+AI7)/2)))^2/(2*9.81)+B7-(G6+H6^2/(2*9.81))-(A6-A7)*(((DATOS!$B$34*(C7/(D7*((AH7+AI7)/2)))/((D7*((AH7+AI7)/2))/(D7+2*((AH7+AI7)/2)))^(2/3))^2+((DATOS!$B$34*H6/((D6*F6)/(D6+2*F6))^(2/3))^2))/2))&gt;0,AH7,((AH7+AI7)/2))</f>
        <v/>
      </c>
      <c r="AK7" s="5">
        <f>IF((((AH7+AI7)/2)+(C7/(D7*((AH7+AI7)/2)))^2/(2*9.81)+B7-(G6+H6^2/(2*9.81))-(A6-A7)*(((DATOS!$B$34*(C7/(D7*((AH7+AI7)/2)))/((D7*((AH7+AI7)/2))/(D7+2*((AH7+AI7)/2)))^(2/3))^2+((DATOS!$B$34*H6/((D6*F6)/(D6+2*F6))^(2/3))^2))/2))&gt;0,((AH7+AI7)/2),AI7)</f>
        <v/>
      </c>
      <c r="AL7" s="5">
        <f>IF((((AJ7+AK7)/2)+(C7/(D7*((AJ7+AK7)/2)))^2/(2*9.81)+B7-(G6+H6^2/(2*9.81))-(A6-A7)*(((DATOS!$B$34*(C7/(D7*((AJ7+AK7)/2)))/((D7*((AJ7+AK7)/2))/(D7+2*((AJ7+AK7)/2)))^(2/3))^2+((DATOS!$B$34*H6/((D6*F6)/(D6+2*F6))^(2/3))^2))/2))&gt;0,AJ7,((AJ7+AK7)/2))</f>
        <v/>
      </c>
      <c r="AM7" s="5">
        <f>IF((((AJ7+AK7)/2)+(C7/(D7*((AJ7+AK7)/2)))^2/(2*9.81)+B7-(G6+H6^2/(2*9.81))-(A6-A7)*(((DATOS!$B$34*(C7/(D7*((AJ7+AK7)/2)))/((D7*((AJ7+AK7)/2))/(D7+2*((AJ7+AK7)/2)))^(2/3))^2+((DATOS!$B$34*H6/((D6*F6)/(D6+2*F6))^(2/3))^2))/2))&gt;0,((AJ7+AK7)/2),AK7)</f>
        <v/>
      </c>
      <c r="AN7" s="5">
        <f>IF((((AL7+AM7)/2)+(C7/(D7*((AL7+AM7)/2)))^2/(2*9.81)+B7-(G6+H6^2/(2*9.81))-(A6-A7)*(((DATOS!$B$34*(C7/(D7*((AL7+AM7)/2)))/((D7*((AL7+AM7)/2))/(D7+2*((AL7+AM7)/2)))^(2/3))^2+((DATOS!$B$34*H6/((D6*F6)/(D6+2*F6))^(2/3))^2))/2))&gt;0,AL7,((AL7+AM7)/2))</f>
        <v/>
      </c>
      <c r="AO7" s="5">
        <f>IF((((AL7+AM7)/2)+(C7/(D7*((AL7+AM7)/2)))^2/(2*9.81)+B7-(G6+H6^2/(2*9.81))-(A6-A7)*(((DATOS!$B$34*(C7/(D7*((AL7+AM7)/2)))/((D7*((AL7+AM7)/2))/(D7+2*((AL7+AM7)/2)))^(2/3))^2+((DATOS!$B$34*H6/((D6*F6)/(D6+2*F6))^(2/3))^2))/2))&gt;0,((AL7+AM7)/2),AM7)</f>
        <v/>
      </c>
      <c r="AP7" s="5">
        <f>IF((((AN7+AO7)/2)+(C7/(D7*((AN7+AO7)/2)))^2/(2*9.81)+B7-(G6+H6^2/(2*9.81))-(A6-A7)*(((DATOS!$B$34*(C7/(D7*((AN7+AO7)/2)))/((D7*((AN7+AO7)/2))/(D7+2*((AN7+AO7)/2)))^(2/3))^2+((DATOS!$B$34*H6/((D6*F6)/(D6+2*F6))^(2/3))^2))/2))&gt;0,AN7,((AN7+AO7)/2))</f>
        <v/>
      </c>
      <c r="AQ7" s="5">
        <f>IF((((AN7+AO7)/2)+(C7/(D7*((AN7+AO7)/2)))^2/(2*9.81)+B7-(G6+H6^2/(2*9.81))-(A6-A7)*(((DATOS!$B$34*(C7/(D7*((AN7+AO7)/2)))/((D7*((AN7+AO7)/2))/(D7+2*((AN7+AO7)/2)))^(2/3))^2+((DATOS!$B$34*H6/((D6*F6)/(D6+2*F6))^(2/3))^2))/2))&gt;0,((AN7+AO7)/2),AO7)</f>
        <v/>
      </c>
      <c r="AR7" s="5">
        <f>IF((((AP7+AQ7)/2)+(C7/(D7*((AP7+AQ7)/2)))^2/(2*9.81)+B7-(G6+H6^2/(2*9.81))-(A6-A7)*(((DATOS!$B$34*(C7/(D7*((AP7+AQ7)/2)))/((D7*((AP7+AQ7)/2))/(D7+2*((AP7+AQ7)/2)))^(2/3))^2+((DATOS!$B$34*H6/((D6*F6)/(D6+2*F6))^(2/3))^2))/2))&gt;0,AP7,((AP7+AQ7)/2))</f>
        <v/>
      </c>
      <c r="AS7" s="5">
        <f>IF((((AP7+AQ7)/2)+(C7/(D7*((AP7+AQ7)/2)))^2/(2*9.81)+B7-(G6+H6^2/(2*9.81))-(A6-A7)*(((DATOS!$B$34*(C7/(D7*((AP7+AQ7)/2)))/((D7*((AP7+AQ7)/2))/(D7+2*((AP7+AQ7)/2)))^(2/3))^2+((DATOS!$B$34*H6/((D6*F6)/(D6+2*F6))^(2/3))^2))/2))&gt;0,((AP7+AQ7)/2),AQ7)</f>
        <v/>
      </c>
      <c r="AT7" s="5">
        <f>IF((((AR7+AS7)/2)+(C7/(D7*((AR7+AS7)/2)))^2/(2*9.81)+B7-(G6+H6^2/(2*9.81))-(A6-A7)*(((DATOS!$B$34*(C7/(D7*((AR7+AS7)/2)))/((D7*((AR7+AS7)/2))/(D7+2*((AR7+AS7)/2)))^(2/3))^2+((DATOS!$B$34*H6/((D6*F6)/(D6+2*F6))^(2/3))^2))/2))&gt;0,AR7,((AR7+AS7)/2))</f>
        <v/>
      </c>
      <c r="AU7" s="5">
        <f>IF((((AR7+AS7)/2)+(C7/(D7*((AR7+AS7)/2)))^2/(2*9.81)+B7-(G6+H6^2/(2*9.81))-(A6-A7)*(((DATOS!$B$34*(C7/(D7*((AR7+AS7)/2)))/((D7*((AR7+AS7)/2))/(D7+2*((AR7+AS7)/2)))^(2/3))^2+((DATOS!$B$34*H6/((D6*F6)/(D6+2*F6))^(2/3))^2))/2))&gt;0,((AR7+AS7)/2),AS7)</f>
        <v/>
      </c>
      <c r="AV7" s="5">
        <f>IF((((AT7+AU7)/2)+(C7/(D7*((AT7+AU7)/2)))^2/(2*9.81)+B7-(G6+H6^2/(2*9.81))-(A6-A7)*(((DATOS!$B$34*(C7/(D7*((AT7+AU7)/2)))/((D7*((AT7+AU7)/2))/(D7+2*((AT7+AU7)/2)))^(2/3))^2+((DATOS!$B$34*H6/((D6*F6)/(D6+2*F6))^(2/3))^2))/2))&gt;0,AT7,((AT7+AU7)/2))</f>
        <v/>
      </c>
      <c r="AW7" s="5">
        <f>IF((((AT7+AU7)/2)+(C7/(D7*((AT7+AU7)/2)))^2/(2*9.81)+B7-(G6+H6^2/(2*9.81))-(A6-A7)*(((DATOS!$B$34*(C7/(D7*((AT7+AU7)/2)))/((D7*((AT7+AU7)/2))/(D7+2*((AT7+AU7)/2)))^(2/3))^2+((DATOS!$B$34*H6/((D6*F6)/(D6+2*F6))^(2/3))^2))/2))&gt;0,((AT7+AU7)/2),AU7)</f>
        <v/>
      </c>
      <c r="AX7" s="5">
        <f>IF((((AV7+AW7)/2)+(C7/(D7*((AV7+AW7)/2)))^2/(2*9.81)+B7-(G6+H6^2/(2*9.81))-(A6-A7)*(((DATOS!$B$34*(C7/(D7*((AV7+AW7)/2)))/((D7*((AV7+AW7)/2))/(D7+2*((AV7+AW7)/2)))^(2/3))^2+((DATOS!$B$34*H6/((D6*F6)/(D6+2*F6))^(2/3))^2))/2))&gt;0,AV7,((AV7+AW7)/2))</f>
        <v/>
      </c>
      <c r="AY7" s="5">
        <f>IF((((AV7+AW7)/2)+(C7/(D7*((AV7+AW7)/2)))^2/(2*9.81)+B7-(G6+H6^2/(2*9.81))-(A6-A7)*(((DATOS!$B$34*(C7/(D7*((AV7+AW7)/2)))/((D7*((AV7+AW7)/2))/(D7+2*((AV7+AW7)/2)))^(2/3))^2+((DATOS!$B$34*H6/((D6*F6)/(D6+2*F6))^(2/3))^2))/2))&gt;0,((AV7+AW7)/2),AW7)</f>
        <v/>
      </c>
      <c r="AZ7" s="5">
        <f>IF((((AX7+AY7)/2)+(C7/(D7*((AX7+AY7)/2)))^2/(2*9.81)+B7-(G6+H6^2/(2*9.81))-(A6-A7)*(((DATOS!$B$34*(C7/(D7*((AX7+AY7)/2)))/((D7*((AX7+AY7)/2))/(D7+2*((AX7+AY7)/2)))^(2/3))^2+((DATOS!$B$34*H6/((D6*F6)/(D6+2*F6))^(2/3))^2))/2))&gt;0,AX7,((AX7+AY7)/2))</f>
        <v/>
      </c>
      <c r="BA7" s="5">
        <f>IF((((AX7+AY7)/2)+(C7/(D7*((AX7+AY7)/2)))^2/(2*9.81)+B7-(G6+H6^2/(2*9.81))-(A6-A7)*(((DATOS!$B$34*(C7/(D7*((AX7+AY7)/2)))/((D7*((AX7+AY7)/2))/(D7+2*((AX7+AY7)/2)))^(2/3))^2+((DATOS!$B$34*H6/((D6*F6)/(D6+2*F6))^(2/3))^2))/2))&gt;0,((AX7+AY7)/2),AY7)</f>
        <v/>
      </c>
      <c r="BB7" s="5">
        <f>IF((((AZ7+BA7)/2)+(C7/(D7*((AZ7+BA7)/2)))^2/(2*9.81)+B7-(G6+H6^2/(2*9.81))-(A6-A7)*(((DATOS!$B$34*(C7/(D7*((AZ7+BA7)/2)))/((D7*((AZ7+BA7)/2))/(D7+2*((AZ7+BA7)/2)))^(2/3))^2+((DATOS!$B$34*H6/((D6*F6)/(D6+2*F6))^(2/3))^2))/2))&gt;0,AZ7,((AZ7+BA7)/2))</f>
        <v/>
      </c>
      <c r="BC7" s="5">
        <f>IF((((AZ7+BA7)/2)+(C7/(D7*((AZ7+BA7)/2)))^2/(2*9.81)+B7-(G6+H6^2/(2*9.81))-(A6-A7)*(((DATOS!$B$34*(C7/(D7*((AZ7+BA7)/2)))/((D7*((AZ7+BA7)/2))/(D7+2*((AZ7+BA7)/2)))^(2/3))^2+((DATOS!$B$34*H6/((D6*F6)/(D6+2*F6))^(2/3))^2))/2))&gt;0,((AZ7+BA7)/2),BA7)</f>
        <v/>
      </c>
      <c r="BD7" s="5">
        <f>IF((((BB7+BC7)/2)+(C7/(D7*((BB7+BC7)/2)))^2/(2*9.81)+B7-(G6+H6^2/(2*9.81))-(A6-A7)*(((DATOS!$B$34*(C7/(D7*((BB7+BC7)/2)))/((D7*((BB7+BC7)/2))/(D7+2*((BB7+BC7)/2)))^(2/3))^2+((DATOS!$B$34*H6/((D6*F6)/(D6+2*F6))^(2/3))^2))/2))&gt;0,BB7,((BB7+BC7)/2))</f>
        <v/>
      </c>
      <c r="BE7" s="5">
        <f>IF((((BB7+BC7)/2)+(C7/(D7*((BB7+BC7)/2)))^2/(2*9.81)+B7-(G6+H6^2/(2*9.81))-(A6-A7)*(((DATOS!$B$34*(C7/(D7*((BB7+BC7)/2)))/((D7*((BB7+BC7)/2))/(D7+2*((BB7+BC7)/2)))^(2/3))^2+((DATOS!$B$34*H6/((D6*F6)/(D6+2*F6))^(2/3))^2))/2))&gt;0,((BB7+BC7)/2),BC7)</f>
        <v/>
      </c>
      <c r="BF7" s="5">
        <f>IF((((BD7+BE7)/2)+(C7/(D7*((BD7+BE7)/2)))^2/(2*9.81)+B7-(G6+H6^2/(2*9.81))-(A6-A7)*(((DATOS!$B$34*(C7/(D7*((BD7+BE7)/2)))/((D7*((BD7+BE7)/2))/(D7+2*((BD7+BE7)/2)))^(2/3))^2+((DATOS!$B$34*H6/((D6*F6)/(D6+2*F6))^(2/3))^2))/2))&gt;0,BD7,((BD7+BE7)/2))</f>
        <v/>
      </c>
      <c r="BG7" s="5">
        <f>IF((((BD7+BE7)/2)+(C7/(D7*((BD7+BE7)/2)))^2/(2*9.81)+B7-(G6+H6^2/(2*9.81))-(A6-A7)*(((DATOS!$B$34*(C7/(D7*((BD7+BE7)/2)))/((D7*((BD7+BE7)/2))/(D7+2*((BD7+BE7)/2)))^(2/3))^2+((DATOS!$B$34*H6/((D6*F6)/(D6+2*F6))^(2/3))^2))/2))&gt;0,((BD7+BE7)/2),BE7)</f>
        <v/>
      </c>
      <c r="BH7" s="5">
        <f>IF((((BF7+BG7)/2)+(C7/(D7*((BF7+BG7)/2)))^2/(2*9.81)+B7-(G6+H6^2/(2*9.81))-(A6-A7)*(((DATOS!$B$34*(C7/(D7*((BF7+BG7)/2)))/((D7*((BF7+BG7)/2))/(D7+2*((BF7+BG7)/2)))^(2/3))^2+((DATOS!$B$34*H6/((D6*F6)/(D6+2*F6))^(2/3))^2))/2))&gt;0,BF7,((BF7+BG7)/2))</f>
        <v/>
      </c>
      <c r="BI7" s="5">
        <f>IF((((BF7+BG7)/2)+(C7/(D7*((BF7+BG7)/2)))^2/(2*9.81)+B7-(G6+H6^2/(2*9.81))-(A6-A7)*(((DATOS!$B$34*(C7/(D7*((BF7+BG7)/2)))/((D7*((BF7+BG7)/2))/(D7+2*((BF7+BG7)/2)))^(2/3))^2+((DATOS!$B$34*H6/((D6*F6)/(D6+2*F6))^(2/3))^2))/2))&gt;0,((BF7+BG7)/2),BG7)</f>
        <v/>
      </c>
      <c r="BJ7" s="5">
        <f>IF((((BH7+BI7)/2)+(C7/(D7*((BH7+BI7)/2)))^2/(2*9.81)+B7-(G6+H6^2/(2*9.81))-(A6-A7)*(((DATOS!$B$34*(C7/(D7*((BH7+BI7)/2)))/((D7*((BH7+BI7)/2))/(D7+2*((BH7+BI7)/2)))^(2/3))^2+((DATOS!$B$34*H6/((D6*F6)/(D6+2*F6))^(2/3))^2))/2))&gt;0,BH7,((BH7+BI7)/2))</f>
        <v/>
      </c>
      <c r="BK7" s="5">
        <f>IF((((BH7+BI7)/2)+(C7/(D7*((BH7+BI7)/2)))^2/(2*9.81)+B7-(G6+H6^2/(2*9.81))-(A6-A7)*(((DATOS!$B$34*(C7/(D7*((BH7+BI7)/2)))/((D7*((BH7+BI7)/2))/(D7+2*((BH7+BI7)/2)))^(2/3))^2+((DATOS!$B$34*H6/((D6*F6)/(D6+2*F6))^(2/3))^2))/2))&gt;0,((BH7+BI7)/2),BI7)</f>
        <v/>
      </c>
      <c r="BL7" s="5">
        <f>IF((((BJ7+BK7)/2)+(C7/(D7*((BJ7+BK7)/2)))^2/(2*9.81)+B7-(G6+H6^2/(2*9.81))-(A6-A7)*(((DATOS!$B$34*(C7/(D7*((BJ7+BK7)/2)))/((D7*((BJ7+BK7)/2))/(D7+2*((BJ7+BK7)/2)))^(2/3))^2+((DATOS!$B$34*H6/((D6*F6)/(D6+2*F6))^(2/3))^2))/2))&gt;0,BJ7,((BJ7+BK7)/2))</f>
        <v/>
      </c>
      <c r="BM7" s="5">
        <f>IF((((BJ7+BK7)/2)+(C7/(D7*((BJ7+BK7)/2)))^2/(2*9.81)+B7-(G6+H6^2/(2*9.81))-(A6-A7)*(((DATOS!$B$34*(C7/(D7*((BJ7+BK7)/2)))/((D7*((BJ7+BK7)/2))/(D7+2*((BJ7+BK7)/2)))^(2/3))^2+((DATOS!$B$34*H6/((D6*F6)/(D6+2*F6))^(2/3))^2))/2))&gt;0,((BJ7+BK7)/2),BK7)</f>
        <v/>
      </c>
      <c r="BN7" s="5">
        <f>IF((((BL7+BM7)/2)+(C7/(D7*((BL7+BM7)/2)))^2/(2*9.81)+B7-(G6+H6^2/(2*9.81))-(A6-A7)*(((DATOS!$B$34*(C7/(D7*((BL7+BM7)/2)))/((D7*((BL7+BM7)/2))/(D7+2*((BL7+BM7)/2)))^(2/3))^2+((DATOS!$B$34*H6/((D6*F6)/(D6+2*F6))^(2/3))^2))/2))&gt;0,BL7,((BL7+BM7)/2))</f>
        <v/>
      </c>
      <c r="BO7" s="5">
        <f>IF((((BL7+BM7)/2)+(C7/(D7*((BL7+BM7)/2)))^2/(2*9.81)+B7-(G6+H6^2/(2*9.81))-(A6-A7)*(((DATOS!$B$34*(C7/(D7*((BL7+BM7)/2)))/((D7*((BL7+BM7)/2))/(D7+2*((BL7+BM7)/2)))^(2/3))^2+((DATOS!$B$34*H6/((D6*F6)/(D6+2*F6))^(2/3))^2))/2))&gt;0,((BL7+BM7)/2),BM7)</f>
        <v/>
      </c>
      <c r="BP7" s="5">
        <f>IF((((BN7+BO7)/2)+(C7/(D7*((BN7+BO7)/2)))^2/(2*9.81)+B7-(G6+H6^2/(2*9.81))-(A6-A7)*(((DATOS!$B$34*(C7/(D7*((BN7+BO7)/2)))/((D7*((BN7+BO7)/2))/(D7+2*((BN7+BO7)/2)))^(2/3))^2+((DATOS!$B$34*H6/((D6*F6)/(D6+2*F6))^(2/3))^2))/2))&gt;0,BN7,((BN7+BO7)/2))</f>
        <v/>
      </c>
      <c r="BQ7" s="5">
        <f>IF((((BN7+BO7)/2)+(C7/(D7*((BN7+BO7)/2)))^2/(2*9.81)+B7-(G6+H6^2/(2*9.81))-(A6-A7)*(((DATOS!$B$34*(C7/(D7*((BN7+BO7)/2)))/((D7*((BN7+BO7)/2))/(D7+2*((BN7+BO7)/2)))^(2/3))^2+((DATOS!$B$34*H6/((D6*F6)/(D6+2*F6))^(2/3))^2))/2))&gt;0,((BN7+BO7)/2),BO7)</f>
        <v/>
      </c>
      <c r="BR7" s="5">
        <f>IF((((BP7+BQ7)/2)+(C7/(D7*((BP7+BQ7)/2)))^2/(2*9.81)+B7-(G6+H6^2/(2*9.81))-(A6-A7)*(((DATOS!$B$34*(C7/(D7*((BP7+BQ7)/2)))/((D7*((BP7+BQ7)/2))/(D7+2*((BP7+BQ7)/2)))^(2/3))^2+((DATOS!$B$34*H6/((D6*F6)/(D6+2*F6))^(2/3))^2))/2))&gt;0,BP7,((BP7+BQ7)/2))</f>
        <v/>
      </c>
      <c r="BS7" s="5">
        <f>IF((((BP7+BQ7)/2)+(C7/(D7*((BP7+BQ7)/2)))^2/(2*9.81)+B7-(G6+H6^2/(2*9.81))-(A6-A7)*(((DATOS!$B$34*(C7/(D7*((BP7+BQ7)/2)))/((D7*((BP7+BQ7)/2))/(D7+2*((BP7+BQ7)/2)))^(2/3))^2+((DATOS!$B$34*H6/((D6*F6)/(D6+2*F6))^(2/3))^2))/2))&gt;0,((BP7+BQ7)/2),BQ7)</f>
        <v/>
      </c>
      <c r="BT7" s="5">
        <f>IF((((BR7+BS7)/2)+(C7/(D7*((BR7+BS7)/2)))^2/(2*9.81)+B7-(G6+H6^2/(2*9.81))-(A6-A7)*(((DATOS!$B$34*(C7/(D7*((BR7+BS7)/2)))/((D7*((BR7+BS7)/2))/(D7+2*((BR7+BS7)/2)))^(2/3))^2+((DATOS!$B$34*H6/((D6*F6)/(D6+2*F6))^(2/3))^2))/2))&gt;0,BR7,((BR7+BS7)/2))</f>
        <v/>
      </c>
      <c r="BU7" s="5">
        <f>IF((((BR7+BS7)/2)+(C7/(D7*((BR7+BS7)/2)))^2/(2*9.81)+B7-(G6+H6^2/(2*9.81))-(A6-A7)*(((DATOS!$B$34*(C7/(D7*((BR7+BS7)/2)))/((D7*((BR7+BS7)/2))/(D7+2*((BR7+BS7)/2)))^(2/3))^2+((DATOS!$B$34*H6/((D6*F6)/(D6+2*F6))^(2/3))^2))/2))&gt;0,((BR7+BS7)/2),BS7)</f>
        <v/>
      </c>
      <c r="BV7" s="5">
        <f>IF((((BT7+BU7)/2)+(C7/(D7*((BT7+BU7)/2)))^2/(2*9.81)+B7-(G6+H6^2/(2*9.81))-(A6-A7)*(((DATOS!$B$34*(C7/(D7*((BT7+BU7)/2)))/((D7*((BT7+BU7)/2))/(D7+2*((BT7+BU7)/2)))^(2/3))^2+((DATOS!$B$34*H6/((D6*F6)/(D6+2*F6))^(2/3))^2))/2))&gt;0,BT7,((BT7+BU7)/2))</f>
        <v/>
      </c>
      <c r="BW7" s="5">
        <f>IF((((BT7+BU7)/2)+(C7/(D7*((BT7+BU7)/2)))^2/(2*9.81)+B7-(G6+H6^2/(2*9.81))-(A6-A7)*(((DATOS!$B$34*(C7/(D7*((BT7+BU7)/2)))/((D7*((BT7+BU7)/2))/(D7+2*((BT7+BU7)/2)))^(2/3))^2+((DATOS!$B$34*H6/((D6*F6)/(D6+2*F6))^(2/3))^2))/2))&gt;0,((BT7+BU7)/2),BU7)</f>
        <v/>
      </c>
    </row>
    <row r="8">
      <c r="A8" s="13" t="n">
        <v>69</v>
      </c>
      <c r="B8" s="16">
        <f>DATOS!$B$22-DATOS!$B$23*A8</f>
        <v/>
      </c>
      <c r="C8" s="24">
        <f>CAUDALES!$B$13</f>
        <v/>
      </c>
      <c r="D8" s="17">
        <f>DATOS!$B$17</f>
        <v/>
      </c>
      <c r="E8" s="16">
        <f>(C8^2/(9.81*D8^2))^(1/3)</f>
        <v/>
      </c>
      <c r="F8" s="16">
        <f>(BV8+BW8)/2</f>
        <v/>
      </c>
      <c r="G8" s="16">
        <f>B8+F8</f>
        <v/>
      </c>
      <c r="H8" s="19">
        <f>C8/(D8*F8)</f>
        <v/>
      </c>
      <c r="I8" s="19">
        <f>H8/SQRT(9.81*F8)</f>
        <v/>
      </c>
      <c r="J8" s="16">
        <f>DATOS!$B$29-IF(AND(A8&gt;=DATOS!$B$30,A8&lt;DATOS!$B$31),DATOS!$B$21,DATOS!$B$20)</f>
        <v/>
      </c>
      <c r="K8" s="19">
        <f>J8-B8</f>
        <v/>
      </c>
      <c r="L8" s="19">
        <f>F8/K8</f>
        <v/>
      </c>
      <c r="M8" s="16">
        <f>J8-G8</f>
        <v/>
      </c>
      <c r="N8" s="5">
        <f>IF(AND(L8&lt;=DATOS!$B$36,M8&gt;=DATOS!$B$37,I8&lt;=1),"CUMPLE","NO CUMPLE")</f>
        <v/>
      </c>
      <c r="O8" s="5">
        <f>IF(AND(A8&gt;=DATOS!$B$30,A8&lt;DATOS!$B$31),"cruce de camiones",IF(AND(A8&gt;=DATOS!$B$32,A8&lt;DATOS!$B$33),"cruce de motos","tramo normal"))</f>
        <v/>
      </c>
      <c r="P8" s="5">
        <f>E8*1.001</f>
        <v/>
      </c>
      <c r="Q8" s="13" t="n">
        <v>3</v>
      </c>
      <c r="R8" s="5">
        <f>IF((((P8+Q8)/2)+(C8/(D8*((P8+Q8)/2)))^2/(2*9.81)+B8-(G7+H7^2/(2*9.81))-(A7-A8)*(((DATOS!$B$34*(C8/(D8*((P8+Q8)/2)))/((D8*((P8+Q8)/2))/(D8+2*((P8+Q8)/2)))^(2/3))^2+((DATOS!$B$34*H7/((D7*F7)/(D7+2*F7))^(2/3))^2))/2))&gt;0,P8,((P8+Q8)/2))</f>
        <v/>
      </c>
      <c r="S8" s="5">
        <f>IF((((P8+Q8)/2)+(C8/(D8*((P8+Q8)/2)))^2/(2*9.81)+B8-(G7+H7^2/(2*9.81))-(A7-A8)*(((DATOS!$B$34*(C8/(D8*((P8+Q8)/2)))/((D8*((P8+Q8)/2))/(D8+2*((P8+Q8)/2)))^(2/3))^2+((DATOS!$B$34*H7/((D7*F7)/(D7+2*F7))^(2/3))^2))/2))&gt;0,((P8+Q8)/2),Q8)</f>
        <v/>
      </c>
      <c r="T8" s="5">
        <f>IF((((R8+S8)/2)+(C8/(D8*((R8+S8)/2)))^2/(2*9.81)+B8-(G7+H7^2/(2*9.81))-(A7-A8)*(((DATOS!$B$34*(C8/(D8*((R8+S8)/2)))/((D8*((R8+S8)/2))/(D8+2*((R8+S8)/2)))^(2/3))^2+((DATOS!$B$34*H7/((D7*F7)/(D7+2*F7))^(2/3))^2))/2))&gt;0,R8,((R8+S8)/2))</f>
        <v/>
      </c>
      <c r="U8" s="5">
        <f>IF((((R8+S8)/2)+(C8/(D8*((R8+S8)/2)))^2/(2*9.81)+B8-(G7+H7^2/(2*9.81))-(A7-A8)*(((DATOS!$B$34*(C8/(D8*((R8+S8)/2)))/((D8*((R8+S8)/2))/(D8+2*((R8+S8)/2)))^(2/3))^2+((DATOS!$B$34*H7/((D7*F7)/(D7+2*F7))^(2/3))^2))/2))&gt;0,((R8+S8)/2),S8)</f>
        <v/>
      </c>
      <c r="V8" s="5">
        <f>IF((((T8+U8)/2)+(C8/(D8*((T8+U8)/2)))^2/(2*9.81)+B8-(G7+H7^2/(2*9.81))-(A7-A8)*(((DATOS!$B$34*(C8/(D8*((T8+U8)/2)))/((D8*((T8+U8)/2))/(D8+2*((T8+U8)/2)))^(2/3))^2+((DATOS!$B$34*H7/((D7*F7)/(D7+2*F7))^(2/3))^2))/2))&gt;0,T8,((T8+U8)/2))</f>
        <v/>
      </c>
      <c r="W8" s="5">
        <f>IF((((T8+U8)/2)+(C8/(D8*((T8+U8)/2)))^2/(2*9.81)+B8-(G7+H7^2/(2*9.81))-(A7-A8)*(((DATOS!$B$34*(C8/(D8*((T8+U8)/2)))/((D8*((T8+U8)/2))/(D8+2*((T8+U8)/2)))^(2/3))^2+((DATOS!$B$34*H7/((D7*F7)/(D7+2*F7))^(2/3))^2))/2))&gt;0,((T8+U8)/2),U8)</f>
        <v/>
      </c>
      <c r="X8" s="5">
        <f>IF((((V8+W8)/2)+(C8/(D8*((V8+W8)/2)))^2/(2*9.81)+B8-(G7+H7^2/(2*9.81))-(A7-A8)*(((DATOS!$B$34*(C8/(D8*((V8+W8)/2)))/((D8*((V8+W8)/2))/(D8+2*((V8+W8)/2)))^(2/3))^2+((DATOS!$B$34*H7/((D7*F7)/(D7+2*F7))^(2/3))^2))/2))&gt;0,V8,((V8+W8)/2))</f>
        <v/>
      </c>
      <c r="Y8" s="5">
        <f>IF((((V8+W8)/2)+(C8/(D8*((V8+W8)/2)))^2/(2*9.81)+B8-(G7+H7^2/(2*9.81))-(A7-A8)*(((DATOS!$B$34*(C8/(D8*((V8+W8)/2)))/((D8*((V8+W8)/2))/(D8+2*((V8+W8)/2)))^(2/3))^2+((DATOS!$B$34*H7/((D7*F7)/(D7+2*F7))^(2/3))^2))/2))&gt;0,((V8+W8)/2),W8)</f>
        <v/>
      </c>
      <c r="Z8" s="5">
        <f>IF((((X8+Y8)/2)+(C8/(D8*((X8+Y8)/2)))^2/(2*9.81)+B8-(G7+H7^2/(2*9.81))-(A7-A8)*(((DATOS!$B$34*(C8/(D8*((X8+Y8)/2)))/((D8*((X8+Y8)/2))/(D8+2*((X8+Y8)/2)))^(2/3))^2+((DATOS!$B$34*H7/((D7*F7)/(D7+2*F7))^(2/3))^2))/2))&gt;0,X8,((X8+Y8)/2))</f>
        <v/>
      </c>
      <c r="AA8" s="5">
        <f>IF((((X8+Y8)/2)+(C8/(D8*((X8+Y8)/2)))^2/(2*9.81)+B8-(G7+H7^2/(2*9.81))-(A7-A8)*(((DATOS!$B$34*(C8/(D8*((X8+Y8)/2)))/((D8*((X8+Y8)/2))/(D8+2*((X8+Y8)/2)))^(2/3))^2+((DATOS!$B$34*H7/((D7*F7)/(D7+2*F7))^(2/3))^2))/2))&gt;0,((X8+Y8)/2),Y8)</f>
        <v/>
      </c>
      <c r="AB8" s="5">
        <f>IF((((Z8+AA8)/2)+(C8/(D8*((Z8+AA8)/2)))^2/(2*9.81)+B8-(G7+H7^2/(2*9.81))-(A7-A8)*(((DATOS!$B$34*(C8/(D8*((Z8+AA8)/2)))/((D8*((Z8+AA8)/2))/(D8+2*((Z8+AA8)/2)))^(2/3))^2+((DATOS!$B$34*H7/((D7*F7)/(D7+2*F7))^(2/3))^2))/2))&gt;0,Z8,((Z8+AA8)/2))</f>
        <v/>
      </c>
      <c r="AC8" s="5">
        <f>IF((((Z8+AA8)/2)+(C8/(D8*((Z8+AA8)/2)))^2/(2*9.81)+B8-(G7+H7^2/(2*9.81))-(A7-A8)*(((DATOS!$B$34*(C8/(D8*((Z8+AA8)/2)))/((D8*((Z8+AA8)/2))/(D8+2*((Z8+AA8)/2)))^(2/3))^2+((DATOS!$B$34*H7/((D7*F7)/(D7+2*F7))^(2/3))^2))/2))&gt;0,((Z8+AA8)/2),AA8)</f>
        <v/>
      </c>
      <c r="AD8" s="5">
        <f>IF((((AB8+AC8)/2)+(C8/(D8*((AB8+AC8)/2)))^2/(2*9.81)+B8-(G7+H7^2/(2*9.81))-(A7-A8)*(((DATOS!$B$34*(C8/(D8*((AB8+AC8)/2)))/((D8*((AB8+AC8)/2))/(D8+2*((AB8+AC8)/2)))^(2/3))^2+((DATOS!$B$34*H7/((D7*F7)/(D7+2*F7))^(2/3))^2))/2))&gt;0,AB8,((AB8+AC8)/2))</f>
        <v/>
      </c>
      <c r="AE8" s="5">
        <f>IF((((AB8+AC8)/2)+(C8/(D8*((AB8+AC8)/2)))^2/(2*9.81)+B8-(G7+H7^2/(2*9.81))-(A7-A8)*(((DATOS!$B$34*(C8/(D8*((AB8+AC8)/2)))/((D8*((AB8+AC8)/2))/(D8+2*((AB8+AC8)/2)))^(2/3))^2+((DATOS!$B$34*H7/((D7*F7)/(D7+2*F7))^(2/3))^2))/2))&gt;0,((AB8+AC8)/2),AC8)</f>
        <v/>
      </c>
      <c r="AF8" s="5">
        <f>IF((((AD8+AE8)/2)+(C8/(D8*((AD8+AE8)/2)))^2/(2*9.81)+B8-(G7+H7^2/(2*9.81))-(A7-A8)*(((DATOS!$B$34*(C8/(D8*((AD8+AE8)/2)))/((D8*((AD8+AE8)/2))/(D8+2*((AD8+AE8)/2)))^(2/3))^2+((DATOS!$B$34*H7/((D7*F7)/(D7+2*F7))^(2/3))^2))/2))&gt;0,AD8,((AD8+AE8)/2))</f>
        <v/>
      </c>
      <c r="AG8" s="5">
        <f>IF((((AD8+AE8)/2)+(C8/(D8*((AD8+AE8)/2)))^2/(2*9.81)+B8-(G7+H7^2/(2*9.81))-(A7-A8)*(((DATOS!$B$34*(C8/(D8*((AD8+AE8)/2)))/((D8*((AD8+AE8)/2))/(D8+2*((AD8+AE8)/2)))^(2/3))^2+((DATOS!$B$34*H7/((D7*F7)/(D7+2*F7))^(2/3))^2))/2))&gt;0,((AD8+AE8)/2),AE8)</f>
        <v/>
      </c>
      <c r="AH8" s="5">
        <f>IF((((AF8+AG8)/2)+(C8/(D8*((AF8+AG8)/2)))^2/(2*9.81)+B8-(G7+H7^2/(2*9.81))-(A7-A8)*(((DATOS!$B$34*(C8/(D8*((AF8+AG8)/2)))/((D8*((AF8+AG8)/2))/(D8+2*((AF8+AG8)/2)))^(2/3))^2+((DATOS!$B$34*H7/((D7*F7)/(D7+2*F7))^(2/3))^2))/2))&gt;0,AF8,((AF8+AG8)/2))</f>
        <v/>
      </c>
      <c r="AI8" s="5">
        <f>IF((((AF8+AG8)/2)+(C8/(D8*((AF8+AG8)/2)))^2/(2*9.81)+B8-(G7+H7^2/(2*9.81))-(A7-A8)*(((DATOS!$B$34*(C8/(D8*((AF8+AG8)/2)))/((D8*((AF8+AG8)/2))/(D8+2*((AF8+AG8)/2)))^(2/3))^2+((DATOS!$B$34*H7/((D7*F7)/(D7+2*F7))^(2/3))^2))/2))&gt;0,((AF8+AG8)/2),AG8)</f>
        <v/>
      </c>
      <c r="AJ8" s="5">
        <f>IF((((AH8+AI8)/2)+(C8/(D8*((AH8+AI8)/2)))^2/(2*9.81)+B8-(G7+H7^2/(2*9.81))-(A7-A8)*(((DATOS!$B$34*(C8/(D8*((AH8+AI8)/2)))/((D8*((AH8+AI8)/2))/(D8+2*((AH8+AI8)/2)))^(2/3))^2+((DATOS!$B$34*H7/((D7*F7)/(D7+2*F7))^(2/3))^2))/2))&gt;0,AH8,((AH8+AI8)/2))</f>
        <v/>
      </c>
      <c r="AK8" s="5">
        <f>IF((((AH8+AI8)/2)+(C8/(D8*((AH8+AI8)/2)))^2/(2*9.81)+B8-(G7+H7^2/(2*9.81))-(A7-A8)*(((DATOS!$B$34*(C8/(D8*((AH8+AI8)/2)))/((D8*((AH8+AI8)/2))/(D8+2*((AH8+AI8)/2)))^(2/3))^2+((DATOS!$B$34*H7/((D7*F7)/(D7+2*F7))^(2/3))^2))/2))&gt;0,((AH8+AI8)/2),AI8)</f>
        <v/>
      </c>
      <c r="AL8" s="5">
        <f>IF((((AJ8+AK8)/2)+(C8/(D8*((AJ8+AK8)/2)))^2/(2*9.81)+B8-(G7+H7^2/(2*9.81))-(A7-A8)*(((DATOS!$B$34*(C8/(D8*((AJ8+AK8)/2)))/((D8*((AJ8+AK8)/2))/(D8+2*((AJ8+AK8)/2)))^(2/3))^2+((DATOS!$B$34*H7/((D7*F7)/(D7+2*F7))^(2/3))^2))/2))&gt;0,AJ8,((AJ8+AK8)/2))</f>
        <v/>
      </c>
      <c r="AM8" s="5">
        <f>IF((((AJ8+AK8)/2)+(C8/(D8*((AJ8+AK8)/2)))^2/(2*9.81)+B8-(G7+H7^2/(2*9.81))-(A7-A8)*(((DATOS!$B$34*(C8/(D8*((AJ8+AK8)/2)))/((D8*((AJ8+AK8)/2))/(D8+2*((AJ8+AK8)/2)))^(2/3))^2+((DATOS!$B$34*H7/((D7*F7)/(D7+2*F7))^(2/3))^2))/2))&gt;0,((AJ8+AK8)/2),AK8)</f>
        <v/>
      </c>
      <c r="AN8" s="5">
        <f>IF((((AL8+AM8)/2)+(C8/(D8*((AL8+AM8)/2)))^2/(2*9.81)+B8-(G7+H7^2/(2*9.81))-(A7-A8)*(((DATOS!$B$34*(C8/(D8*((AL8+AM8)/2)))/((D8*((AL8+AM8)/2))/(D8+2*((AL8+AM8)/2)))^(2/3))^2+((DATOS!$B$34*H7/((D7*F7)/(D7+2*F7))^(2/3))^2))/2))&gt;0,AL8,((AL8+AM8)/2))</f>
        <v/>
      </c>
      <c r="AO8" s="5">
        <f>IF((((AL8+AM8)/2)+(C8/(D8*((AL8+AM8)/2)))^2/(2*9.81)+B8-(G7+H7^2/(2*9.81))-(A7-A8)*(((DATOS!$B$34*(C8/(D8*((AL8+AM8)/2)))/((D8*((AL8+AM8)/2))/(D8+2*((AL8+AM8)/2)))^(2/3))^2+((DATOS!$B$34*H7/((D7*F7)/(D7+2*F7))^(2/3))^2))/2))&gt;0,((AL8+AM8)/2),AM8)</f>
        <v/>
      </c>
      <c r="AP8" s="5">
        <f>IF((((AN8+AO8)/2)+(C8/(D8*((AN8+AO8)/2)))^2/(2*9.81)+B8-(G7+H7^2/(2*9.81))-(A7-A8)*(((DATOS!$B$34*(C8/(D8*((AN8+AO8)/2)))/((D8*((AN8+AO8)/2))/(D8+2*((AN8+AO8)/2)))^(2/3))^2+((DATOS!$B$34*H7/((D7*F7)/(D7+2*F7))^(2/3))^2))/2))&gt;0,AN8,((AN8+AO8)/2))</f>
        <v/>
      </c>
      <c r="AQ8" s="5">
        <f>IF((((AN8+AO8)/2)+(C8/(D8*((AN8+AO8)/2)))^2/(2*9.81)+B8-(G7+H7^2/(2*9.81))-(A7-A8)*(((DATOS!$B$34*(C8/(D8*((AN8+AO8)/2)))/((D8*((AN8+AO8)/2))/(D8+2*((AN8+AO8)/2)))^(2/3))^2+((DATOS!$B$34*H7/((D7*F7)/(D7+2*F7))^(2/3))^2))/2))&gt;0,((AN8+AO8)/2),AO8)</f>
        <v/>
      </c>
      <c r="AR8" s="5">
        <f>IF((((AP8+AQ8)/2)+(C8/(D8*((AP8+AQ8)/2)))^2/(2*9.81)+B8-(G7+H7^2/(2*9.81))-(A7-A8)*(((DATOS!$B$34*(C8/(D8*((AP8+AQ8)/2)))/((D8*((AP8+AQ8)/2))/(D8+2*((AP8+AQ8)/2)))^(2/3))^2+((DATOS!$B$34*H7/((D7*F7)/(D7+2*F7))^(2/3))^2))/2))&gt;0,AP8,((AP8+AQ8)/2))</f>
        <v/>
      </c>
      <c r="AS8" s="5">
        <f>IF((((AP8+AQ8)/2)+(C8/(D8*((AP8+AQ8)/2)))^2/(2*9.81)+B8-(G7+H7^2/(2*9.81))-(A7-A8)*(((DATOS!$B$34*(C8/(D8*((AP8+AQ8)/2)))/((D8*((AP8+AQ8)/2))/(D8+2*((AP8+AQ8)/2)))^(2/3))^2+((DATOS!$B$34*H7/((D7*F7)/(D7+2*F7))^(2/3))^2))/2))&gt;0,((AP8+AQ8)/2),AQ8)</f>
        <v/>
      </c>
      <c r="AT8" s="5">
        <f>IF((((AR8+AS8)/2)+(C8/(D8*((AR8+AS8)/2)))^2/(2*9.81)+B8-(G7+H7^2/(2*9.81))-(A7-A8)*(((DATOS!$B$34*(C8/(D8*((AR8+AS8)/2)))/((D8*((AR8+AS8)/2))/(D8+2*((AR8+AS8)/2)))^(2/3))^2+((DATOS!$B$34*H7/((D7*F7)/(D7+2*F7))^(2/3))^2))/2))&gt;0,AR8,((AR8+AS8)/2))</f>
        <v/>
      </c>
      <c r="AU8" s="5">
        <f>IF((((AR8+AS8)/2)+(C8/(D8*((AR8+AS8)/2)))^2/(2*9.81)+B8-(G7+H7^2/(2*9.81))-(A7-A8)*(((DATOS!$B$34*(C8/(D8*((AR8+AS8)/2)))/((D8*((AR8+AS8)/2))/(D8+2*((AR8+AS8)/2)))^(2/3))^2+((DATOS!$B$34*H7/((D7*F7)/(D7+2*F7))^(2/3))^2))/2))&gt;0,((AR8+AS8)/2),AS8)</f>
        <v/>
      </c>
      <c r="AV8" s="5">
        <f>IF((((AT8+AU8)/2)+(C8/(D8*((AT8+AU8)/2)))^2/(2*9.81)+B8-(G7+H7^2/(2*9.81))-(A7-A8)*(((DATOS!$B$34*(C8/(D8*((AT8+AU8)/2)))/((D8*((AT8+AU8)/2))/(D8+2*((AT8+AU8)/2)))^(2/3))^2+((DATOS!$B$34*H7/((D7*F7)/(D7+2*F7))^(2/3))^2))/2))&gt;0,AT8,((AT8+AU8)/2))</f>
        <v/>
      </c>
      <c r="AW8" s="5">
        <f>IF((((AT8+AU8)/2)+(C8/(D8*((AT8+AU8)/2)))^2/(2*9.81)+B8-(G7+H7^2/(2*9.81))-(A7-A8)*(((DATOS!$B$34*(C8/(D8*((AT8+AU8)/2)))/((D8*((AT8+AU8)/2))/(D8+2*((AT8+AU8)/2)))^(2/3))^2+((DATOS!$B$34*H7/((D7*F7)/(D7+2*F7))^(2/3))^2))/2))&gt;0,((AT8+AU8)/2),AU8)</f>
        <v/>
      </c>
      <c r="AX8" s="5">
        <f>IF((((AV8+AW8)/2)+(C8/(D8*((AV8+AW8)/2)))^2/(2*9.81)+B8-(G7+H7^2/(2*9.81))-(A7-A8)*(((DATOS!$B$34*(C8/(D8*((AV8+AW8)/2)))/((D8*((AV8+AW8)/2))/(D8+2*((AV8+AW8)/2)))^(2/3))^2+((DATOS!$B$34*H7/((D7*F7)/(D7+2*F7))^(2/3))^2))/2))&gt;0,AV8,((AV8+AW8)/2))</f>
        <v/>
      </c>
      <c r="AY8" s="5">
        <f>IF((((AV8+AW8)/2)+(C8/(D8*((AV8+AW8)/2)))^2/(2*9.81)+B8-(G7+H7^2/(2*9.81))-(A7-A8)*(((DATOS!$B$34*(C8/(D8*((AV8+AW8)/2)))/((D8*((AV8+AW8)/2))/(D8+2*((AV8+AW8)/2)))^(2/3))^2+((DATOS!$B$34*H7/((D7*F7)/(D7+2*F7))^(2/3))^2))/2))&gt;0,((AV8+AW8)/2),AW8)</f>
        <v/>
      </c>
      <c r="AZ8" s="5">
        <f>IF((((AX8+AY8)/2)+(C8/(D8*((AX8+AY8)/2)))^2/(2*9.81)+B8-(G7+H7^2/(2*9.81))-(A7-A8)*(((DATOS!$B$34*(C8/(D8*((AX8+AY8)/2)))/((D8*((AX8+AY8)/2))/(D8+2*((AX8+AY8)/2)))^(2/3))^2+((DATOS!$B$34*H7/((D7*F7)/(D7+2*F7))^(2/3))^2))/2))&gt;0,AX8,((AX8+AY8)/2))</f>
        <v/>
      </c>
      <c r="BA8" s="5">
        <f>IF((((AX8+AY8)/2)+(C8/(D8*((AX8+AY8)/2)))^2/(2*9.81)+B8-(G7+H7^2/(2*9.81))-(A7-A8)*(((DATOS!$B$34*(C8/(D8*((AX8+AY8)/2)))/((D8*((AX8+AY8)/2))/(D8+2*((AX8+AY8)/2)))^(2/3))^2+((DATOS!$B$34*H7/((D7*F7)/(D7+2*F7))^(2/3))^2))/2))&gt;0,((AX8+AY8)/2),AY8)</f>
        <v/>
      </c>
      <c r="BB8" s="5">
        <f>IF((((AZ8+BA8)/2)+(C8/(D8*((AZ8+BA8)/2)))^2/(2*9.81)+B8-(G7+H7^2/(2*9.81))-(A7-A8)*(((DATOS!$B$34*(C8/(D8*((AZ8+BA8)/2)))/((D8*((AZ8+BA8)/2))/(D8+2*((AZ8+BA8)/2)))^(2/3))^2+((DATOS!$B$34*H7/((D7*F7)/(D7+2*F7))^(2/3))^2))/2))&gt;0,AZ8,((AZ8+BA8)/2))</f>
        <v/>
      </c>
      <c r="BC8" s="5">
        <f>IF((((AZ8+BA8)/2)+(C8/(D8*((AZ8+BA8)/2)))^2/(2*9.81)+B8-(G7+H7^2/(2*9.81))-(A7-A8)*(((DATOS!$B$34*(C8/(D8*((AZ8+BA8)/2)))/((D8*((AZ8+BA8)/2))/(D8+2*((AZ8+BA8)/2)))^(2/3))^2+((DATOS!$B$34*H7/((D7*F7)/(D7+2*F7))^(2/3))^2))/2))&gt;0,((AZ8+BA8)/2),BA8)</f>
        <v/>
      </c>
      <c r="BD8" s="5">
        <f>IF((((BB8+BC8)/2)+(C8/(D8*((BB8+BC8)/2)))^2/(2*9.81)+B8-(G7+H7^2/(2*9.81))-(A7-A8)*(((DATOS!$B$34*(C8/(D8*((BB8+BC8)/2)))/((D8*((BB8+BC8)/2))/(D8+2*((BB8+BC8)/2)))^(2/3))^2+((DATOS!$B$34*H7/((D7*F7)/(D7+2*F7))^(2/3))^2))/2))&gt;0,BB8,((BB8+BC8)/2))</f>
        <v/>
      </c>
      <c r="BE8" s="5">
        <f>IF((((BB8+BC8)/2)+(C8/(D8*((BB8+BC8)/2)))^2/(2*9.81)+B8-(G7+H7^2/(2*9.81))-(A7-A8)*(((DATOS!$B$34*(C8/(D8*((BB8+BC8)/2)))/((D8*((BB8+BC8)/2))/(D8+2*((BB8+BC8)/2)))^(2/3))^2+((DATOS!$B$34*H7/((D7*F7)/(D7+2*F7))^(2/3))^2))/2))&gt;0,((BB8+BC8)/2),BC8)</f>
        <v/>
      </c>
      <c r="BF8" s="5">
        <f>IF((((BD8+BE8)/2)+(C8/(D8*((BD8+BE8)/2)))^2/(2*9.81)+B8-(G7+H7^2/(2*9.81))-(A7-A8)*(((DATOS!$B$34*(C8/(D8*((BD8+BE8)/2)))/((D8*((BD8+BE8)/2))/(D8+2*((BD8+BE8)/2)))^(2/3))^2+((DATOS!$B$34*H7/((D7*F7)/(D7+2*F7))^(2/3))^2))/2))&gt;0,BD8,((BD8+BE8)/2))</f>
        <v/>
      </c>
      <c r="BG8" s="5">
        <f>IF((((BD8+BE8)/2)+(C8/(D8*((BD8+BE8)/2)))^2/(2*9.81)+B8-(G7+H7^2/(2*9.81))-(A7-A8)*(((DATOS!$B$34*(C8/(D8*((BD8+BE8)/2)))/((D8*((BD8+BE8)/2))/(D8+2*((BD8+BE8)/2)))^(2/3))^2+((DATOS!$B$34*H7/((D7*F7)/(D7+2*F7))^(2/3))^2))/2))&gt;0,((BD8+BE8)/2),BE8)</f>
        <v/>
      </c>
      <c r="BH8" s="5">
        <f>IF((((BF8+BG8)/2)+(C8/(D8*((BF8+BG8)/2)))^2/(2*9.81)+B8-(G7+H7^2/(2*9.81))-(A7-A8)*(((DATOS!$B$34*(C8/(D8*((BF8+BG8)/2)))/((D8*((BF8+BG8)/2))/(D8+2*((BF8+BG8)/2)))^(2/3))^2+((DATOS!$B$34*H7/((D7*F7)/(D7+2*F7))^(2/3))^2))/2))&gt;0,BF8,((BF8+BG8)/2))</f>
        <v/>
      </c>
      <c r="BI8" s="5">
        <f>IF((((BF8+BG8)/2)+(C8/(D8*((BF8+BG8)/2)))^2/(2*9.81)+B8-(G7+H7^2/(2*9.81))-(A7-A8)*(((DATOS!$B$34*(C8/(D8*((BF8+BG8)/2)))/((D8*((BF8+BG8)/2))/(D8+2*((BF8+BG8)/2)))^(2/3))^2+((DATOS!$B$34*H7/((D7*F7)/(D7+2*F7))^(2/3))^2))/2))&gt;0,((BF8+BG8)/2),BG8)</f>
        <v/>
      </c>
      <c r="BJ8" s="5">
        <f>IF((((BH8+BI8)/2)+(C8/(D8*((BH8+BI8)/2)))^2/(2*9.81)+B8-(G7+H7^2/(2*9.81))-(A7-A8)*(((DATOS!$B$34*(C8/(D8*((BH8+BI8)/2)))/((D8*((BH8+BI8)/2))/(D8+2*((BH8+BI8)/2)))^(2/3))^2+((DATOS!$B$34*H7/((D7*F7)/(D7+2*F7))^(2/3))^2))/2))&gt;0,BH8,((BH8+BI8)/2))</f>
        <v/>
      </c>
      <c r="BK8" s="5">
        <f>IF((((BH8+BI8)/2)+(C8/(D8*((BH8+BI8)/2)))^2/(2*9.81)+B8-(G7+H7^2/(2*9.81))-(A7-A8)*(((DATOS!$B$34*(C8/(D8*((BH8+BI8)/2)))/((D8*((BH8+BI8)/2))/(D8+2*((BH8+BI8)/2)))^(2/3))^2+((DATOS!$B$34*H7/((D7*F7)/(D7+2*F7))^(2/3))^2))/2))&gt;0,((BH8+BI8)/2),BI8)</f>
        <v/>
      </c>
      <c r="BL8" s="5">
        <f>IF((((BJ8+BK8)/2)+(C8/(D8*((BJ8+BK8)/2)))^2/(2*9.81)+B8-(G7+H7^2/(2*9.81))-(A7-A8)*(((DATOS!$B$34*(C8/(D8*((BJ8+BK8)/2)))/((D8*((BJ8+BK8)/2))/(D8+2*((BJ8+BK8)/2)))^(2/3))^2+((DATOS!$B$34*H7/((D7*F7)/(D7+2*F7))^(2/3))^2))/2))&gt;0,BJ8,((BJ8+BK8)/2))</f>
        <v/>
      </c>
      <c r="BM8" s="5">
        <f>IF((((BJ8+BK8)/2)+(C8/(D8*((BJ8+BK8)/2)))^2/(2*9.81)+B8-(G7+H7^2/(2*9.81))-(A7-A8)*(((DATOS!$B$34*(C8/(D8*((BJ8+BK8)/2)))/((D8*((BJ8+BK8)/2))/(D8+2*((BJ8+BK8)/2)))^(2/3))^2+((DATOS!$B$34*H7/((D7*F7)/(D7+2*F7))^(2/3))^2))/2))&gt;0,((BJ8+BK8)/2),BK8)</f>
        <v/>
      </c>
      <c r="BN8" s="5">
        <f>IF((((BL8+BM8)/2)+(C8/(D8*((BL8+BM8)/2)))^2/(2*9.81)+B8-(G7+H7^2/(2*9.81))-(A7-A8)*(((DATOS!$B$34*(C8/(D8*((BL8+BM8)/2)))/((D8*((BL8+BM8)/2))/(D8+2*((BL8+BM8)/2)))^(2/3))^2+((DATOS!$B$34*H7/((D7*F7)/(D7+2*F7))^(2/3))^2))/2))&gt;0,BL8,((BL8+BM8)/2))</f>
        <v/>
      </c>
      <c r="BO8" s="5">
        <f>IF((((BL8+BM8)/2)+(C8/(D8*((BL8+BM8)/2)))^2/(2*9.81)+B8-(G7+H7^2/(2*9.81))-(A7-A8)*(((DATOS!$B$34*(C8/(D8*((BL8+BM8)/2)))/((D8*((BL8+BM8)/2))/(D8+2*((BL8+BM8)/2)))^(2/3))^2+((DATOS!$B$34*H7/((D7*F7)/(D7+2*F7))^(2/3))^2))/2))&gt;0,((BL8+BM8)/2),BM8)</f>
        <v/>
      </c>
      <c r="BP8" s="5">
        <f>IF((((BN8+BO8)/2)+(C8/(D8*((BN8+BO8)/2)))^2/(2*9.81)+B8-(G7+H7^2/(2*9.81))-(A7-A8)*(((DATOS!$B$34*(C8/(D8*((BN8+BO8)/2)))/((D8*((BN8+BO8)/2))/(D8+2*((BN8+BO8)/2)))^(2/3))^2+((DATOS!$B$34*H7/((D7*F7)/(D7+2*F7))^(2/3))^2))/2))&gt;0,BN8,((BN8+BO8)/2))</f>
        <v/>
      </c>
      <c r="BQ8" s="5">
        <f>IF((((BN8+BO8)/2)+(C8/(D8*((BN8+BO8)/2)))^2/(2*9.81)+B8-(G7+H7^2/(2*9.81))-(A7-A8)*(((DATOS!$B$34*(C8/(D8*((BN8+BO8)/2)))/((D8*((BN8+BO8)/2))/(D8+2*((BN8+BO8)/2)))^(2/3))^2+((DATOS!$B$34*H7/((D7*F7)/(D7+2*F7))^(2/3))^2))/2))&gt;0,((BN8+BO8)/2),BO8)</f>
        <v/>
      </c>
      <c r="BR8" s="5">
        <f>IF((((BP8+BQ8)/2)+(C8/(D8*((BP8+BQ8)/2)))^2/(2*9.81)+B8-(G7+H7^2/(2*9.81))-(A7-A8)*(((DATOS!$B$34*(C8/(D8*((BP8+BQ8)/2)))/((D8*((BP8+BQ8)/2))/(D8+2*((BP8+BQ8)/2)))^(2/3))^2+((DATOS!$B$34*H7/((D7*F7)/(D7+2*F7))^(2/3))^2))/2))&gt;0,BP8,((BP8+BQ8)/2))</f>
        <v/>
      </c>
      <c r="BS8" s="5">
        <f>IF((((BP8+BQ8)/2)+(C8/(D8*((BP8+BQ8)/2)))^2/(2*9.81)+B8-(G7+H7^2/(2*9.81))-(A7-A8)*(((DATOS!$B$34*(C8/(D8*((BP8+BQ8)/2)))/((D8*((BP8+BQ8)/2))/(D8+2*((BP8+BQ8)/2)))^(2/3))^2+((DATOS!$B$34*H7/((D7*F7)/(D7+2*F7))^(2/3))^2))/2))&gt;0,((BP8+BQ8)/2),BQ8)</f>
        <v/>
      </c>
      <c r="BT8" s="5">
        <f>IF((((BR8+BS8)/2)+(C8/(D8*((BR8+BS8)/2)))^2/(2*9.81)+B8-(G7+H7^2/(2*9.81))-(A7-A8)*(((DATOS!$B$34*(C8/(D8*((BR8+BS8)/2)))/((D8*((BR8+BS8)/2))/(D8+2*((BR8+BS8)/2)))^(2/3))^2+((DATOS!$B$34*H7/((D7*F7)/(D7+2*F7))^(2/3))^2))/2))&gt;0,BR8,((BR8+BS8)/2))</f>
        <v/>
      </c>
      <c r="BU8" s="5">
        <f>IF((((BR8+BS8)/2)+(C8/(D8*((BR8+BS8)/2)))^2/(2*9.81)+B8-(G7+H7^2/(2*9.81))-(A7-A8)*(((DATOS!$B$34*(C8/(D8*((BR8+BS8)/2)))/((D8*((BR8+BS8)/2))/(D8+2*((BR8+BS8)/2)))^(2/3))^2+((DATOS!$B$34*H7/((D7*F7)/(D7+2*F7))^(2/3))^2))/2))&gt;0,((BR8+BS8)/2),BS8)</f>
        <v/>
      </c>
      <c r="BV8" s="5">
        <f>IF((((BT8+BU8)/2)+(C8/(D8*((BT8+BU8)/2)))^2/(2*9.81)+B8-(G7+H7^2/(2*9.81))-(A7-A8)*(((DATOS!$B$34*(C8/(D8*((BT8+BU8)/2)))/((D8*((BT8+BU8)/2))/(D8+2*((BT8+BU8)/2)))^(2/3))^2+((DATOS!$B$34*H7/((D7*F7)/(D7+2*F7))^(2/3))^2))/2))&gt;0,BT8,((BT8+BU8)/2))</f>
        <v/>
      </c>
      <c r="BW8" s="5">
        <f>IF((((BT8+BU8)/2)+(C8/(D8*((BT8+BU8)/2)))^2/(2*9.81)+B8-(G7+H7^2/(2*9.81))-(A7-A8)*(((DATOS!$B$34*(C8/(D8*((BT8+BU8)/2)))/((D8*((BT8+BU8)/2))/(D8+2*((BT8+BU8)/2)))^(2/3))^2+((DATOS!$B$34*H7/((D7*F7)/(D7+2*F7))^(2/3))^2))/2))&gt;0,((BT8+BU8)/2),BU8)</f>
        <v/>
      </c>
    </row>
    <row r="9">
      <c r="A9" s="13" t="n">
        <v>68</v>
      </c>
      <c r="B9" s="16">
        <f>DATOS!$B$22-DATOS!$B$23*A9</f>
        <v/>
      </c>
      <c r="C9" s="24">
        <f>CAUDALES!$B$13</f>
        <v/>
      </c>
      <c r="D9" s="17">
        <f>DATOS!$B$17</f>
        <v/>
      </c>
      <c r="E9" s="16">
        <f>(C9^2/(9.81*D9^2))^(1/3)</f>
        <v/>
      </c>
      <c r="F9" s="16">
        <f>(BV9+BW9)/2</f>
        <v/>
      </c>
      <c r="G9" s="16">
        <f>B9+F9</f>
        <v/>
      </c>
      <c r="H9" s="19">
        <f>C9/(D9*F9)</f>
        <v/>
      </c>
      <c r="I9" s="19">
        <f>H9/SQRT(9.81*F9)</f>
        <v/>
      </c>
      <c r="J9" s="16">
        <f>DATOS!$B$29-IF(AND(A9&gt;=DATOS!$B$30,A9&lt;DATOS!$B$31),DATOS!$B$21,DATOS!$B$20)</f>
        <v/>
      </c>
      <c r="K9" s="19">
        <f>J9-B9</f>
        <v/>
      </c>
      <c r="L9" s="19">
        <f>F9/K9</f>
        <v/>
      </c>
      <c r="M9" s="16">
        <f>J9-G9</f>
        <v/>
      </c>
      <c r="N9" s="5">
        <f>IF(AND(L9&lt;=DATOS!$B$36,M9&gt;=DATOS!$B$37,I9&lt;=1),"CUMPLE","NO CUMPLE")</f>
        <v/>
      </c>
      <c r="O9" s="5">
        <f>IF(AND(A9&gt;=DATOS!$B$30,A9&lt;DATOS!$B$31),"cruce de camiones",IF(AND(A9&gt;=DATOS!$B$32,A9&lt;DATOS!$B$33),"cruce de motos","tramo normal"))</f>
        <v/>
      </c>
      <c r="P9" s="5">
        <f>E9*1.001</f>
        <v/>
      </c>
      <c r="Q9" s="13" t="n">
        <v>3</v>
      </c>
      <c r="R9" s="5">
        <f>IF((((P9+Q9)/2)+(C9/(D9*((P9+Q9)/2)))^2/(2*9.81)+B9-(G8+H8^2/(2*9.81))-(A8-A9)*(((DATOS!$B$34*(C9/(D9*((P9+Q9)/2)))/((D9*((P9+Q9)/2))/(D9+2*((P9+Q9)/2)))^(2/3))^2+((DATOS!$B$34*H8/((D8*F8)/(D8+2*F8))^(2/3))^2))/2))&gt;0,P9,((P9+Q9)/2))</f>
        <v/>
      </c>
      <c r="S9" s="5">
        <f>IF((((P9+Q9)/2)+(C9/(D9*((P9+Q9)/2)))^2/(2*9.81)+B9-(G8+H8^2/(2*9.81))-(A8-A9)*(((DATOS!$B$34*(C9/(D9*((P9+Q9)/2)))/((D9*((P9+Q9)/2))/(D9+2*((P9+Q9)/2)))^(2/3))^2+((DATOS!$B$34*H8/((D8*F8)/(D8+2*F8))^(2/3))^2))/2))&gt;0,((P9+Q9)/2),Q9)</f>
        <v/>
      </c>
      <c r="T9" s="5">
        <f>IF((((R9+S9)/2)+(C9/(D9*((R9+S9)/2)))^2/(2*9.81)+B9-(G8+H8^2/(2*9.81))-(A8-A9)*(((DATOS!$B$34*(C9/(D9*((R9+S9)/2)))/((D9*((R9+S9)/2))/(D9+2*((R9+S9)/2)))^(2/3))^2+((DATOS!$B$34*H8/((D8*F8)/(D8+2*F8))^(2/3))^2))/2))&gt;0,R9,((R9+S9)/2))</f>
        <v/>
      </c>
      <c r="U9" s="5">
        <f>IF((((R9+S9)/2)+(C9/(D9*((R9+S9)/2)))^2/(2*9.81)+B9-(G8+H8^2/(2*9.81))-(A8-A9)*(((DATOS!$B$34*(C9/(D9*((R9+S9)/2)))/((D9*((R9+S9)/2))/(D9+2*((R9+S9)/2)))^(2/3))^2+((DATOS!$B$34*H8/((D8*F8)/(D8+2*F8))^(2/3))^2))/2))&gt;0,((R9+S9)/2),S9)</f>
        <v/>
      </c>
      <c r="V9" s="5">
        <f>IF((((T9+U9)/2)+(C9/(D9*((T9+U9)/2)))^2/(2*9.81)+B9-(G8+H8^2/(2*9.81))-(A8-A9)*(((DATOS!$B$34*(C9/(D9*((T9+U9)/2)))/((D9*((T9+U9)/2))/(D9+2*((T9+U9)/2)))^(2/3))^2+((DATOS!$B$34*H8/((D8*F8)/(D8+2*F8))^(2/3))^2))/2))&gt;0,T9,((T9+U9)/2))</f>
        <v/>
      </c>
      <c r="W9" s="5">
        <f>IF((((T9+U9)/2)+(C9/(D9*((T9+U9)/2)))^2/(2*9.81)+B9-(G8+H8^2/(2*9.81))-(A8-A9)*(((DATOS!$B$34*(C9/(D9*((T9+U9)/2)))/((D9*((T9+U9)/2))/(D9+2*((T9+U9)/2)))^(2/3))^2+((DATOS!$B$34*H8/((D8*F8)/(D8+2*F8))^(2/3))^2))/2))&gt;0,((T9+U9)/2),U9)</f>
        <v/>
      </c>
      <c r="X9" s="5">
        <f>IF((((V9+W9)/2)+(C9/(D9*((V9+W9)/2)))^2/(2*9.81)+B9-(G8+H8^2/(2*9.81))-(A8-A9)*(((DATOS!$B$34*(C9/(D9*((V9+W9)/2)))/((D9*((V9+W9)/2))/(D9+2*((V9+W9)/2)))^(2/3))^2+((DATOS!$B$34*H8/((D8*F8)/(D8+2*F8))^(2/3))^2))/2))&gt;0,V9,((V9+W9)/2))</f>
        <v/>
      </c>
      <c r="Y9" s="5">
        <f>IF((((V9+W9)/2)+(C9/(D9*((V9+W9)/2)))^2/(2*9.81)+B9-(G8+H8^2/(2*9.81))-(A8-A9)*(((DATOS!$B$34*(C9/(D9*((V9+W9)/2)))/((D9*((V9+W9)/2))/(D9+2*((V9+W9)/2)))^(2/3))^2+((DATOS!$B$34*H8/((D8*F8)/(D8+2*F8))^(2/3))^2))/2))&gt;0,((V9+W9)/2),W9)</f>
        <v/>
      </c>
      <c r="Z9" s="5">
        <f>IF((((X9+Y9)/2)+(C9/(D9*((X9+Y9)/2)))^2/(2*9.81)+B9-(G8+H8^2/(2*9.81))-(A8-A9)*(((DATOS!$B$34*(C9/(D9*((X9+Y9)/2)))/((D9*((X9+Y9)/2))/(D9+2*((X9+Y9)/2)))^(2/3))^2+((DATOS!$B$34*H8/((D8*F8)/(D8+2*F8))^(2/3))^2))/2))&gt;0,X9,((X9+Y9)/2))</f>
        <v/>
      </c>
      <c r="AA9" s="5">
        <f>IF((((X9+Y9)/2)+(C9/(D9*((X9+Y9)/2)))^2/(2*9.81)+B9-(G8+H8^2/(2*9.81))-(A8-A9)*(((DATOS!$B$34*(C9/(D9*((X9+Y9)/2)))/((D9*((X9+Y9)/2))/(D9+2*((X9+Y9)/2)))^(2/3))^2+((DATOS!$B$34*H8/((D8*F8)/(D8+2*F8))^(2/3))^2))/2))&gt;0,((X9+Y9)/2),Y9)</f>
        <v/>
      </c>
      <c r="AB9" s="5">
        <f>IF((((Z9+AA9)/2)+(C9/(D9*((Z9+AA9)/2)))^2/(2*9.81)+B9-(G8+H8^2/(2*9.81))-(A8-A9)*(((DATOS!$B$34*(C9/(D9*((Z9+AA9)/2)))/((D9*((Z9+AA9)/2))/(D9+2*((Z9+AA9)/2)))^(2/3))^2+((DATOS!$B$34*H8/((D8*F8)/(D8+2*F8))^(2/3))^2))/2))&gt;0,Z9,((Z9+AA9)/2))</f>
        <v/>
      </c>
      <c r="AC9" s="5">
        <f>IF((((Z9+AA9)/2)+(C9/(D9*((Z9+AA9)/2)))^2/(2*9.81)+B9-(G8+H8^2/(2*9.81))-(A8-A9)*(((DATOS!$B$34*(C9/(D9*((Z9+AA9)/2)))/((D9*((Z9+AA9)/2))/(D9+2*((Z9+AA9)/2)))^(2/3))^2+((DATOS!$B$34*H8/((D8*F8)/(D8+2*F8))^(2/3))^2))/2))&gt;0,((Z9+AA9)/2),AA9)</f>
        <v/>
      </c>
      <c r="AD9" s="5">
        <f>IF((((AB9+AC9)/2)+(C9/(D9*((AB9+AC9)/2)))^2/(2*9.81)+B9-(G8+H8^2/(2*9.81))-(A8-A9)*(((DATOS!$B$34*(C9/(D9*((AB9+AC9)/2)))/((D9*((AB9+AC9)/2))/(D9+2*((AB9+AC9)/2)))^(2/3))^2+((DATOS!$B$34*H8/((D8*F8)/(D8+2*F8))^(2/3))^2))/2))&gt;0,AB9,((AB9+AC9)/2))</f>
        <v/>
      </c>
      <c r="AE9" s="5">
        <f>IF((((AB9+AC9)/2)+(C9/(D9*((AB9+AC9)/2)))^2/(2*9.81)+B9-(G8+H8^2/(2*9.81))-(A8-A9)*(((DATOS!$B$34*(C9/(D9*((AB9+AC9)/2)))/((D9*((AB9+AC9)/2))/(D9+2*((AB9+AC9)/2)))^(2/3))^2+((DATOS!$B$34*H8/((D8*F8)/(D8+2*F8))^(2/3))^2))/2))&gt;0,((AB9+AC9)/2),AC9)</f>
        <v/>
      </c>
      <c r="AF9" s="5">
        <f>IF((((AD9+AE9)/2)+(C9/(D9*((AD9+AE9)/2)))^2/(2*9.81)+B9-(G8+H8^2/(2*9.81))-(A8-A9)*(((DATOS!$B$34*(C9/(D9*((AD9+AE9)/2)))/((D9*((AD9+AE9)/2))/(D9+2*((AD9+AE9)/2)))^(2/3))^2+((DATOS!$B$34*H8/((D8*F8)/(D8+2*F8))^(2/3))^2))/2))&gt;0,AD9,((AD9+AE9)/2))</f>
        <v/>
      </c>
      <c r="AG9" s="5">
        <f>IF((((AD9+AE9)/2)+(C9/(D9*((AD9+AE9)/2)))^2/(2*9.81)+B9-(G8+H8^2/(2*9.81))-(A8-A9)*(((DATOS!$B$34*(C9/(D9*((AD9+AE9)/2)))/((D9*((AD9+AE9)/2))/(D9+2*((AD9+AE9)/2)))^(2/3))^2+((DATOS!$B$34*H8/((D8*F8)/(D8+2*F8))^(2/3))^2))/2))&gt;0,((AD9+AE9)/2),AE9)</f>
        <v/>
      </c>
      <c r="AH9" s="5">
        <f>IF((((AF9+AG9)/2)+(C9/(D9*((AF9+AG9)/2)))^2/(2*9.81)+B9-(G8+H8^2/(2*9.81))-(A8-A9)*(((DATOS!$B$34*(C9/(D9*((AF9+AG9)/2)))/((D9*((AF9+AG9)/2))/(D9+2*((AF9+AG9)/2)))^(2/3))^2+((DATOS!$B$34*H8/((D8*F8)/(D8+2*F8))^(2/3))^2))/2))&gt;0,AF9,((AF9+AG9)/2))</f>
        <v/>
      </c>
      <c r="AI9" s="5">
        <f>IF((((AF9+AG9)/2)+(C9/(D9*((AF9+AG9)/2)))^2/(2*9.81)+B9-(G8+H8^2/(2*9.81))-(A8-A9)*(((DATOS!$B$34*(C9/(D9*((AF9+AG9)/2)))/((D9*((AF9+AG9)/2))/(D9+2*((AF9+AG9)/2)))^(2/3))^2+((DATOS!$B$34*H8/((D8*F8)/(D8+2*F8))^(2/3))^2))/2))&gt;0,((AF9+AG9)/2),AG9)</f>
        <v/>
      </c>
      <c r="AJ9" s="5">
        <f>IF((((AH9+AI9)/2)+(C9/(D9*((AH9+AI9)/2)))^2/(2*9.81)+B9-(G8+H8^2/(2*9.81))-(A8-A9)*(((DATOS!$B$34*(C9/(D9*((AH9+AI9)/2)))/((D9*((AH9+AI9)/2))/(D9+2*((AH9+AI9)/2)))^(2/3))^2+((DATOS!$B$34*H8/((D8*F8)/(D8+2*F8))^(2/3))^2))/2))&gt;0,AH9,((AH9+AI9)/2))</f>
        <v/>
      </c>
      <c r="AK9" s="5">
        <f>IF((((AH9+AI9)/2)+(C9/(D9*((AH9+AI9)/2)))^2/(2*9.81)+B9-(G8+H8^2/(2*9.81))-(A8-A9)*(((DATOS!$B$34*(C9/(D9*((AH9+AI9)/2)))/((D9*((AH9+AI9)/2))/(D9+2*((AH9+AI9)/2)))^(2/3))^2+((DATOS!$B$34*H8/((D8*F8)/(D8+2*F8))^(2/3))^2))/2))&gt;0,((AH9+AI9)/2),AI9)</f>
        <v/>
      </c>
      <c r="AL9" s="5">
        <f>IF((((AJ9+AK9)/2)+(C9/(D9*((AJ9+AK9)/2)))^2/(2*9.81)+B9-(G8+H8^2/(2*9.81))-(A8-A9)*(((DATOS!$B$34*(C9/(D9*((AJ9+AK9)/2)))/((D9*((AJ9+AK9)/2))/(D9+2*((AJ9+AK9)/2)))^(2/3))^2+((DATOS!$B$34*H8/((D8*F8)/(D8+2*F8))^(2/3))^2))/2))&gt;0,AJ9,((AJ9+AK9)/2))</f>
        <v/>
      </c>
      <c r="AM9" s="5">
        <f>IF((((AJ9+AK9)/2)+(C9/(D9*((AJ9+AK9)/2)))^2/(2*9.81)+B9-(G8+H8^2/(2*9.81))-(A8-A9)*(((DATOS!$B$34*(C9/(D9*((AJ9+AK9)/2)))/((D9*((AJ9+AK9)/2))/(D9+2*((AJ9+AK9)/2)))^(2/3))^2+((DATOS!$B$34*H8/((D8*F8)/(D8+2*F8))^(2/3))^2))/2))&gt;0,((AJ9+AK9)/2),AK9)</f>
        <v/>
      </c>
      <c r="AN9" s="5">
        <f>IF((((AL9+AM9)/2)+(C9/(D9*((AL9+AM9)/2)))^2/(2*9.81)+B9-(G8+H8^2/(2*9.81))-(A8-A9)*(((DATOS!$B$34*(C9/(D9*((AL9+AM9)/2)))/((D9*((AL9+AM9)/2))/(D9+2*((AL9+AM9)/2)))^(2/3))^2+((DATOS!$B$34*H8/((D8*F8)/(D8+2*F8))^(2/3))^2))/2))&gt;0,AL9,((AL9+AM9)/2))</f>
        <v/>
      </c>
      <c r="AO9" s="5">
        <f>IF((((AL9+AM9)/2)+(C9/(D9*((AL9+AM9)/2)))^2/(2*9.81)+B9-(G8+H8^2/(2*9.81))-(A8-A9)*(((DATOS!$B$34*(C9/(D9*((AL9+AM9)/2)))/((D9*((AL9+AM9)/2))/(D9+2*((AL9+AM9)/2)))^(2/3))^2+((DATOS!$B$34*H8/((D8*F8)/(D8+2*F8))^(2/3))^2))/2))&gt;0,((AL9+AM9)/2),AM9)</f>
        <v/>
      </c>
      <c r="AP9" s="5">
        <f>IF((((AN9+AO9)/2)+(C9/(D9*((AN9+AO9)/2)))^2/(2*9.81)+B9-(G8+H8^2/(2*9.81))-(A8-A9)*(((DATOS!$B$34*(C9/(D9*((AN9+AO9)/2)))/((D9*((AN9+AO9)/2))/(D9+2*((AN9+AO9)/2)))^(2/3))^2+((DATOS!$B$34*H8/((D8*F8)/(D8+2*F8))^(2/3))^2))/2))&gt;0,AN9,((AN9+AO9)/2))</f>
        <v/>
      </c>
      <c r="AQ9" s="5">
        <f>IF((((AN9+AO9)/2)+(C9/(D9*((AN9+AO9)/2)))^2/(2*9.81)+B9-(G8+H8^2/(2*9.81))-(A8-A9)*(((DATOS!$B$34*(C9/(D9*((AN9+AO9)/2)))/((D9*((AN9+AO9)/2))/(D9+2*((AN9+AO9)/2)))^(2/3))^2+((DATOS!$B$34*H8/((D8*F8)/(D8+2*F8))^(2/3))^2))/2))&gt;0,((AN9+AO9)/2),AO9)</f>
        <v/>
      </c>
      <c r="AR9" s="5">
        <f>IF((((AP9+AQ9)/2)+(C9/(D9*((AP9+AQ9)/2)))^2/(2*9.81)+B9-(G8+H8^2/(2*9.81))-(A8-A9)*(((DATOS!$B$34*(C9/(D9*((AP9+AQ9)/2)))/((D9*((AP9+AQ9)/2))/(D9+2*((AP9+AQ9)/2)))^(2/3))^2+((DATOS!$B$34*H8/((D8*F8)/(D8+2*F8))^(2/3))^2))/2))&gt;0,AP9,((AP9+AQ9)/2))</f>
        <v/>
      </c>
      <c r="AS9" s="5">
        <f>IF((((AP9+AQ9)/2)+(C9/(D9*((AP9+AQ9)/2)))^2/(2*9.81)+B9-(G8+H8^2/(2*9.81))-(A8-A9)*(((DATOS!$B$34*(C9/(D9*((AP9+AQ9)/2)))/((D9*((AP9+AQ9)/2))/(D9+2*((AP9+AQ9)/2)))^(2/3))^2+((DATOS!$B$34*H8/((D8*F8)/(D8+2*F8))^(2/3))^2))/2))&gt;0,((AP9+AQ9)/2),AQ9)</f>
        <v/>
      </c>
      <c r="AT9" s="5">
        <f>IF((((AR9+AS9)/2)+(C9/(D9*((AR9+AS9)/2)))^2/(2*9.81)+B9-(G8+H8^2/(2*9.81))-(A8-A9)*(((DATOS!$B$34*(C9/(D9*((AR9+AS9)/2)))/((D9*((AR9+AS9)/2))/(D9+2*((AR9+AS9)/2)))^(2/3))^2+((DATOS!$B$34*H8/((D8*F8)/(D8+2*F8))^(2/3))^2))/2))&gt;0,AR9,((AR9+AS9)/2))</f>
        <v/>
      </c>
      <c r="AU9" s="5">
        <f>IF((((AR9+AS9)/2)+(C9/(D9*((AR9+AS9)/2)))^2/(2*9.81)+B9-(G8+H8^2/(2*9.81))-(A8-A9)*(((DATOS!$B$34*(C9/(D9*((AR9+AS9)/2)))/((D9*((AR9+AS9)/2))/(D9+2*((AR9+AS9)/2)))^(2/3))^2+((DATOS!$B$34*H8/((D8*F8)/(D8+2*F8))^(2/3))^2))/2))&gt;0,((AR9+AS9)/2),AS9)</f>
        <v/>
      </c>
      <c r="AV9" s="5">
        <f>IF((((AT9+AU9)/2)+(C9/(D9*((AT9+AU9)/2)))^2/(2*9.81)+B9-(G8+H8^2/(2*9.81))-(A8-A9)*(((DATOS!$B$34*(C9/(D9*((AT9+AU9)/2)))/((D9*((AT9+AU9)/2))/(D9+2*((AT9+AU9)/2)))^(2/3))^2+((DATOS!$B$34*H8/((D8*F8)/(D8+2*F8))^(2/3))^2))/2))&gt;0,AT9,((AT9+AU9)/2))</f>
        <v/>
      </c>
      <c r="AW9" s="5">
        <f>IF((((AT9+AU9)/2)+(C9/(D9*((AT9+AU9)/2)))^2/(2*9.81)+B9-(G8+H8^2/(2*9.81))-(A8-A9)*(((DATOS!$B$34*(C9/(D9*((AT9+AU9)/2)))/((D9*((AT9+AU9)/2))/(D9+2*((AT9+AU9)/2)))^(2/3))^2+((DATOS!$B$34*H8/((D8*F8)/(D8+2*F8))^(2/3))^2))/2))&gt;0,((AT9+AU9)/2),AU9)</f>
        <v/>
      </c>
      <c r="AX9" s="5">
        <f>IF((((AV9+AW9)/2)+(C9/(D9*((AV9+AW9)/2)))^2/(2*9.81)+B9-(G8+H8^2/(2*9.81))-(A8-A9)*(((DATOS!$B$34*(C9/(D9*((AV9+AW9)/2)))/((D9*((AV9+AW9)/2))/(D9+2*((AV9+AW9)/2)))^(2/3))^2+((DATOS!$B$34*H8/((D8*F8)/(D8+2*F8))^(2/3))^2))/2))&gt;0,AV9,((AV9+AW9)/2))</f>
        <v/>
      </c>
      <c r="AY9" s="5">
        <f>IF((((AV9+AW9)/2)+(C9/(D9*((AV9+AW9)/2)))^2/(2*9.81)+B9-(G8+H8^2/(2*9.81))-(A8-A9)*(((DATOS!$B$34*(C9/(D9*((AV9+AW9)/2)))/((D9*((AV9+AW9)/2))/(D9+2*((AV9+AW9)/2)))^(2/3))^2+((DATOS!$B$34*H8/((D8*F8)/(D8+2*F8))^(2/3))^2))/2))&gt;0,((AV9+AW9)/2),AW9)</f>
        <v/>
      </c>
      <c r="AZ9" s="5">
        <f>IF((((AX9+AY9)/2)+(C9/(D9*((AX9+AY9)/2)))^2/(2*9.81)+B9-(G8+H8^2/(2*9.81))-(A8-A9)*(((DATOS!$B$34*(C9/(D9*((AX9+AY9)/2)))/((D9*((AX9+AY9)/2))/(D9+2*((AX9+AY9)/2)))^(2/3))^2+((DATOS!$B$34*H8/((D8*F8)/(D8+2*F8))^(2/3))^2))/2))&gt;0,AX9,((AX9+AY9)/2))</f>
        <v/>
      </c>
      <c r="BA9" s="5">
        <f>IF((((AX9+AY9)/2)+(C9/(D9*((AX9+AY9)/2)))^2/(2*9.81)+B9-(G8+H8^2/(2*9.81))-(A8-A9)*(((DATOS!$B$34*(C9/(D9*((AX9+AY9)/2)))/((D9*((AX9+AY9)/2))/(D9+2*((AX9+AY9)/2)))^(2/3))^2+((DATOS!$B$34*H8/((D8*F8)/(D8+2*F8))^(2/3))^2))/2))&gt;0,((AX9+AY9)/2),AY9)</f>
        <v/>
      </c>
      <c r="BB9" s="5">
        <f>IF((((AZ9+BA9)/2)+(C9/(D9*((AZ9+BA9)/2)))^2/(2*9.81)+B9-(G8+H8^2/(2*9.81))-(A8-A9)*(((DATOS!$B$34*(C9/(D9*((AZ9+BA9)/2)))/((D9*((AZ9+BA9)/2))/(D9+2*((AZ9+BA9)/2)))^(2/3))^2+((DATOS!$B$34*H8/((D8*F8)/(D8+2*F8))^(2/3))^2))/2))&gt;0,AZ9,((AZ9+BA9)/2))</f>
        <v/>
      </c>
      <c r="BC9" s="5">
        <f>IF((((AZ9+BA9)/2)+(C9/(D9*((AZ9+BA9)/2)))^2/(2*9.81)+B9-(G8+H8^2/(2*9.81))-(A8-A9)*(((DATOS!$B$34*(C9/(D9*((AZ9+BA9)/2)))/((D9*((AZ9+BA9)/2))/(D9+2*((AZ9+BA9)/2)))^(2/3))^2+((DATOS!$B$34*H8/((D8*F8)/(D8+2*F8))^(2/3))^2))/2))&gt;0,((AZ9+BA9)/2),BA9)</f>
        <v/>
      </c>
      <c r="BD9" s="5">
        <f>IF((((BB9+BC9)/2)+(C9/(D9*((BB9+BC9)/2)))^2/(2*9.81)+B9-(G8+H8^2/(2*9.81))-(A8-A9)*(((DATOS!$B$34*(C9/(D9*((BB9+BC9)/2)))/((D9*((BB9+BC9)/2))/(D9+2*((BB9+BC9)/2)))^(2/3))^2+((DATOS!$B$34*H8/((D8*F8)/(D8+2*F8))^(2/3))^2))/2))&gt;0,BB9,((BB9+BC9)/2))</f>
        <v/>
      </c>
      <c r="BE9" s="5">
        <f>IF((((BB9+BC9)/2)+(C9/(D9*((BB9+BC9)/2)))^2/(2*9.81)+B9-(G8+H8^2/(2*9.81))-(A8-A9)*(((DATOS!$B$34*(C9/(D9*((BB9+BC9)/2)))/((D9*((BB9+BC9)/2))/(D9+2*((BB9+BC9)/2)))^(2/3))^2+((DATOS!$B$34*H8/((D8*F8)/(D8+2*F8))^(2/3))^2))/2))&gt;0,((BB9+BC9)/2),BC9)</f>
        <v/>
      </c>
      <c r="BF9" s="5">
        <f>IF((((BD9+BE9)/2)+(C9/(D9*((BD9+BE9)/2)))^2/(2*9.81)+B9-(G8+H8^2/(2*9.81))-(A8-A9)*(((DATOS!$B$34*(C9/(D9*((BD9+BE9)/2)))/((D9*((BD9+BE9)/2))/(D9+2*((BD9+BE9)/2)))^(2/3))^2+((DATOS!$B$34*H8/((D8*F8)/(D8+2*F8))^(2/3))^2))/2))&gt;0,BD9,((BD9+BE9)/2))</f>
        <v/>
      </c>
      <c r="BG9" s="5">
        <f>IF((((BD9+BE9)/2)+(C9/(D9*((BD9+BE9)/2)))^2/(2*9.81)+B9-(G8+H8^2/(2*9.81))-(A8-A9)*(((DATOS!$B$34*(C9/(D9*((BD9+BE9)/2)))/((D9*((BD9+BE9)/2))/(D9+2*((BD9+BE9)/2)))^(2/3))^2+((DATOS!$B$34*H8/((D8*F8)/(D8+2*F8))^(2/3))^2))/2))&gt;0,((BD9+BE9)/2),BE9)</f>
        <v/>
      </c>
      <c r="BH9" s="5">
        <f>IF((((BF9+BG9)/2)+(C9/(D9*((BF9+BG9)/2)))^2/(2*9.81)+B9-(G8+H8^2/(2*9.81))-(A8-A9)*(((DATOS!$B$34*(C9/(D9*((BF9+BG9)/2)))/((D9*((BF9+BG9)/2))/(D9+2*((BF9+BG9)/2)))^(2/3))^2+((DATOS!$B$34*H8/((D8*F8)/(D8+2*F8))^(2/3))^2))/2))&gt;0,BF9,((BF9+BG9)/2))</f>
        <v/>
      </c>
      <c r="BI9" s="5">
        <f>IF((((BF9+BG9)/2)+(C9/(D9*((BF9+BG9)/2)))^2/(2*9.81)+B9-(G8+H8^2/(2*9.81))-(A8-A9)*(((DATOS!$B$34*(C9/(D9*((BF9+BG9)/2)))/((D9*((BF9+BG9)/2))/(D9+2*((BF9+BG9)/2)))^(2/3))^2+((DATOS!$B$34*H8/((D8*F8)/(D8+2*F8))^(2/3))^2))/2))&gt;0,((BF9+BG9)/2),BG9)</f>
        <v/>
      </c>
      <c r="BJ9" s="5">
        <f>IF((((BH9+BI9)/2)+(C9/(D9*((BH9+BI9)/2)))^2/(2*9.81)+B9-(G8+H8^2/(2*9.81))-(A8-A9)*(((DATOS!$B$34*(C9/(D9*((BH9+BI9)/2)))/((D9*((BH9+BI9)/2))/(D9+2*((BH9+BI9)/2)))^(2/3))^2+((DATOS!$B$34*H8/((D8*F8)/(D8+2*F8))^(2/3))^2))/2))&gt;0,BH9,((BH9+BI9)/2))</f>
        <v/>
      </c>
      <c r="BK9" s="5">
        <f>IF((((BH9+BI9)/2)+(C9/(D9*((BH9+BI9)/2)))^2/(2*9.81)+B9-(G8+H8^2/(2*9.81))-(A8-A9)*(((DATOS!$B$34*(C9/(D9*((BH9+BI9)/2)))/((D9*((BH9+BI9)/2))/(D9+2*((BH9+BI9)/2)))^(2/3))^2+((DATOS!$B$34*H8/((D8*F8)/(D8+2*F8))^(2/3))^2))/2))&gt;0,((BH9+BI9)/2),BI9)</f>
        <v/>
      </c>
      <c r="BL9" s="5">
        <f>IF((((BJ9+BK9)/2)+(C9/(D9*((BJ9+BK9)/2)))^2/(2*9.81)+B9-(G8+H8^2/(2*9.81))-(A8-A9)*(((DATOS!$B$34*(C9/(D9*((BJ9+BK9)/2)))/((D9*((BJ9+BK9)/2))/(D9+2*((BJ9+BK9)/2)))^(2/3))^2+((DATOS!$B$34*H8/((D8*F8)/(D8+2*F8))^(2/3))^2))/2))&gt;0,BJ9,((BJ9+BK9)/2))</f>
        <v/>
      </c>
      <c r="BM9" s="5">
        <f>IF((((BJ9+BK9)/2)+(C9/(D9*((BJ9+BK9)/2)))^2/(2*9.81)+B9-(G8+H8^2/(2*9.81))-(A8-A9)*(((DATOS!$B$34*(C9/(D9*((BJ9+BK9)/2)))/((D9*((BJ9+BK9)/2))/(D9+2*((BJ9+BK9)/2)))^(2/3))^2+((DATOS!$B$34*H8/((D8*F8)/(D8+2*F8))^(2/3))^2))/2))&gt;0,((BJ9+BK9)/2),BK9)</f>
        <v/>
      </c>
      <c r="BN9" s="5">
        <f>IF((((BL9+BM9)/2)+(C9/(D9*((BL9+BM9)/2)))^2/(2*9.81)+B9-(G8+H8^2/(2*9.81))-(A8-A9)*(((DATOS!$B$34*(C9/(D9*((BL9+BM9)/2)))/((D9*((BL9+BM9)/2))/(D9+2*((BL9+BM9)/2)))^(2/3))^2+((DATOS!$B$34*H8/((D8*F8)/(D8+2*F8))^(2/3))^2))/2))&gt;0,BL9,((BL9+BM9)/2))</f>
        <v/>
      </c>
      <c r="BO9" s="5">
        <f>IF((((BL9+BM9)/2)+(C9/(D9*((BL9+BM9)/2)))^2/(2*9.81)+B9-(G8+H8^2/(2*9.81))-(A8-A9)*(((DATOS!$B$34*(C9/(D9*((BL9+BM9)/2)))/((D9*((BL9+BM9)/2))/(D9+2*((BL9+BM9)/2)))^(2/3))^2+((DATOS!$B$34*H8/((D8*F8)/(D8+2*F8))^(2/3))^2))/2))&gt;0,((BL9+BM9)/2),BM9)</f>
        <v/>
      </c>
      <c r="BP9" s="5">
        <f>IF((((BN9+BO9)/2)+(C9/(D9*((BN9+BO9)/2)))^2/(2*9.81)+B9-(G8+H8^2/(2*9.81))-(A8-A9)*(((DATOS!$B$34*(C9/(D9*((BN9+BO9)/2)))/((D9*((BN9+BO9)/2))/(D9+2*((BN9+BO9)/2)))^(2/3))^2+((DATOS!$B$34*H8/((D8*F8)/(D8+2*F8))^(2/3))^2))/2))&gt;0,BN9,((BN9+BO9)/2))</f>
        <v/>
      </c>
      <c r="BQ9" s="5">
        <f>IF((((BN9+BO9)/2)+(C9/(D9*((BN9+BO9)/2)))^2/(2*9.81)+B9-(G8+H8^2/(2*9.81))-(A8-A9)*(((DATOS!$B$34*(C9/(D9*((BN9+BO9)/2)))/((D9*((BN9+BO9)/2))/(D9+2*((BN9+BO9)/2)))^(2/3))^2+((DATOS!$B$34*H8/((D8*F8)/(D8+2*F8))^(2/3))^2))/2))&gt;0,((BN9+BO9)/2),BO9)</f>
        <v/>
      </c>
      <c r="BR9" s="5">
        <f>IF((((BP9+BQ9)/2)+(C9/(D9*((BP9+BQ9)/2)))^2/(2*9.81)+B9-(G8+H8^2/(2*9.81))-(A8-A9)*(((DATOS!$B$34*(C9/(D9*((BP9+BQ9)/2)))/((D9*((BP9+BQ9)/2))/(D9+2*((BP9+BQ9)/2)))^(2/3))^2+((DATOS!$B$34*H8/((D8*F8)/(D8+2*F8))^(2/3))^2))/2))&gt;0,BP9,((BP9+BQ9)/2))</f>
        <v/>
      </c>
      <c r="BS9" s="5">
        <f>IF((((BP9+BQ9)/2)+(C9/(D9*((BP9+BQ9)/2)))^2/(2*9.81)+B9-(G8+H8^2/(2*9.81))-(A8-A9)*(((DATOS!$B$34*(C9/(D9*((BP9+BQ9)/2)))/((D9*((BP9+BQ9)/2))/(D9+2*((BP9+BQ9)/2)))^(2/3))^2+((DATOS!$B$34*H8/((D8*F8)/(D8+2*F8))^(2/3))^2))/2))&gt;0,((BP9+BQ9)/2),BQ9)</f>
        <v/>
      </c>
      <c r="BT9" s="5">
        <f>IF((((BR9+BS9)/2)+(C9/(D9*((BR9+BS9)/2)))^2/(2*9.81)+B9-(G8+H8^2/(2*9.81))-(A8-A9)*(((DATOS!$B$34*(C9/(D9*((BR9+BS9)/2)))/((D9*((BR9+BS9)/2))/(D9+2*((BR9+BS9)/2)))^(2/3))^2+((DATOS!$B$34*H8/((D8*F8)/(D8+2*F8))^(2/3))^2))/2))&gt;0,BR9,((BR9+BS9)/2))</f>
        <v/>
      </c>
      <c r="BU9" s="5">
        <f>IF((((BR9+BS9)/2)+(C9/(D9*((BR9+BS9)/2)))^2/(2*9.81)+B9-(G8+H8^2/(2*9.81))-(A8-A9)*(((DATOS!$B$34*(C9/(D9*((BR9+BS9)/2)))/((D9*((BR9+BS9)/2))/(D9+2*((BR9+BS9)/2)))^(2/3))^2+((DATOS!$B$34*H8/((D8*F8)/(D8+2*F8))^(2/3))^2))/2))&gt;0,((BR9+BS9)/2),BS9)</f>
        <v/>
      </c>
      <c r="BV9" s="5">
        <f>IF((((BT9+BU9)/2)+(C9/(D9*((BT9+BU9)/2)))^2/(2*9.81)+B9-(G8+H8^2/(2*9.81))-(A8-A9)*(((DATOS!$B$34*(C9/(D9*((BT9+BU9)/2)))/((D9*((BT9+BU9)/2))/(D9+2*((BT9+BU9)/2)))^(2/3))^2+((DATOS!$B$34*H8/((D8*F8)/(D8+2*F8))^(2/3))^2))/2))&gt;0,BT9,((BT9+BU9)/2))</f>
        <v/>
      </c>
      <c r="BW9" s="5">
        <f>IF((((BT9+BU9)/2)+(C9/(D9*((BT9+BU9)/2)))^2/(2*9.81)+B9-(G8+H8^2/(2*9.81))-(A8-A9)*(((DATOS!$B$34*(C9/(D9*((BT9+BU9)/2)))/((D9*((BT9+BU9)/2))/(D9+2*((BT9+BU9)/2)))^(2/3))^2+((DATOS!$B$34*H8/((D8*F8)/(D8+2*F8))^(2/3))^2))/2))&gt;0,((BT9+BU9)/2),BU9)</f>
        <v/>
      </c>
    </row>
    <row r="10">
      <c r="A10" s="13" t="n">
        <v>67</v>
      </c>
      <c r="B10" s="16">
        <f>DATOS!$B$22-DATOS!$B$23*A10</f>
        <v/>
      </c>
      <c r="C10" s="24">
        <f>CAUDALES!$B$13</f>
        <v/>
      </c>
      <c r="D10" s="17">
        <f>DATOS!$B$17</f>
        <v/>
      </c>
      <c r="E10" s="16">
        <f>(C10^2/(9.81*D10^2))^(1/3)</f>
        <v/>
      </c>
      <c r="F10" s="16">
        <f>(BV10+BW10)/2</f>
        <v/>
      </c>
      <c r="G10" s="16">
        <f>B10+F10</f>
        <v/>
      </c>
      <c r="H10" s="19">
        <f>C10/(D10*F10)</f>
        <v/>
      </c>
      <c r="I10" s="19">
        <f>H10/SQRT(9.81*F10)</f>
        <v/>
      </c>
      <c r="J10" s="16">
        <f>DATOS!$B$29-IF(AND(A10&gt;=DATOS!$B$30,A10&lt;DATOS!$B$31),DATOS!$B$21,DATOS!$B$20)</f>
        <v/>
      </c>
      <c r="K10" s="19">
        <f>J10-B10</f>
        <v/>
      </c>
      <c r="L10" s="19">
        <f>F10/K10</f>
        <v/>
      </c>
      <c r="M10" s="16">
        <f>J10-G10</f>
        <v/>
      </c>
      <c r="N10" s="5">
        <f>IF(AND(L10&lt;=DATOS!$B$36,M10&gt;=DATOS!$B$37,I10&lt;=1),"CUMPLE","NO CUMPLE")</f>
        <v/>
      </c>
      <c r="O10" s="5">
        <f>IF(AND(A10&gt;=DATOS!$B$30,A10&lt;DATOS!$B$31),"cruce de camiones",IF(AND(A10&gt;=DATOS!$B$32,A10&lt;DATOS!$B$33),"cruce de motos","tramo normal"))</f>
        <v/>
      </c>
      <c r="P10" s="5">
        <f>E10*1.001</f>
        <v/>
      </c>
      <c r="Q10" s="13" t="n">
        <v>3</v>
      </c>
      <c r="R10" s="5">
        <f>IF((((P10+Q10)/2)+(C10/(D10*((P10+Q10)/2)))^2/(2*9.81)+B10-(G9+H9^2/(2*9.81))-(A9-A10)*(((DATOS!$B$34*(C10/(D10*((P10+Q10)/2)))/((D10*((P10+Q10)/2))/(D10+2*((P10+Q10)/2)))^(2/3))^2+((DATOS!$B$34*H9/((D9*F9)/(D9+2*F9))^(2/3))^2))/2))&gt;0,P10,((P10+Q10)/2))</f>
        <v/>
      </c>
      <c r="S10" s="5">
        <f>IF((((P10+Q10)/2)+(C10/(D10*((P10+Q10)/2)))^2/(2*9.81)+B10-(G9+H9^2/(2*9.81))-(A9-A10)*(((DATOS!$B$34*(C10/(D10*((P10+Q10)/2)))/((D10*((P10+Q10)/2))/(D10+2*((P10+Q10)/2)))^(2/3))^2+((DATOS!$B$34*H9/((D9*F9)/(D9+2*F9))^(2/3))^2))/2))&gt;0,((P10+Q10)/2),Q10)</f>
        <v/>
      </c>
      <c r="T10" s="5">
        <f>IF((((R10+S10)/2)+(C10/(D10*((R10+S10)/2)))^2/(2*9.81)+B10-(G9+H9^2/(2*9.81))-(A9-A10)*(((DATOS!$B$34*(C10/(D10*((R10+S10)/2)))/((D10*((R10+S10)/2))/(D10+2*((R10+S10)/2)))^(2/3))^2+((DATOS!$B$34*H9/((D9*F9)/(D9+2*F9))^(2/3))^2))/2))&gt;0,R10,((R10+S10)/2))</f>
        <v/>
      </c>
      <c r="U10" s="5">
        <f>IF((((R10+S10)/2)+(C10/(D10*((R10+S10)/2)))^2/(2*9.81)+B10-(G9+H9^2/(2*9.81))-(A9-A10)*(((DATOS!$B$34*(C10/(D10*((R10+S10)/2)))/((D10*((R10+S10)/2))/(D10+2*((R10+S10)/2)))^(2/3))^2+((DATOS!$B$34*H9/((D9*F9)/(D9+2*F9))^(2/3))^2))/2))&gt;0,((R10+S10)/2),S10)</f>
        <v/>
      </c>
      <c r="V10" s="5">
        <f>IF((((T10+U10)/2)+(C10/(D10*((T10+U10)/2)))^2/(2*9.81)+B10-(G9+H9^2/(2*9.81))-(A9-A10)*(((DATOS!$B$34*(C10/(D10*((T10+U10)/2)))/((D10*((T10+U10)/2))/(D10+2*((T10+U10)/2)))^(2/3))^2+((DATOS!$B$34*H9/((D9*F9)/(D9+2*F9))^(2/3))^2))/2))&gt;0,T10,((T10+U10)/2))</f>
        <v/>
      </c>
      <c r="W10" s="5">
        <f>IF((((T10+U10)/2)+(C10/(D10*((T10+U10)/2)))^2/(2*9.81)+B10-(G9+H9^2/(2*9.81))-(A9-A10)*(((DATOS!$B$34*(C10/(D10*((T10+U10)/2)))/((D10*((T10+U10)/2))/(D10+2*((T10+U10)/2)))^(2/3))^2+((DATOS!$B$34*H9/((D9*F9)/(D9+2*F9))^(2/3))^2))/2))&gt;0,((T10+U10)/2),U10)</f>
        <v/>
      </c>
      <c r="X10" s="5">
        <f>IF((((V10+W10)/2)+(C10/(D10*((V10+W10)/2)))^2/(2*9.81)+B10-(G9+H9^2/(2*9.81))-(A9-A10)*(((DATOS!$B$34*(C10/(D10*((V10+W10)/2)))/((D10*((V10+W10)/2))/(D10+2*((V10+W10)/2)))^(2/3))^2+((DATOS!$B$34*H9/((D9*F9)/(D9+2*F9))^(2/3))^2))/2))&gt;0,V10,((V10+W10)/2))</f>
        <v/>
      </c>
      <c r="Y10" s="5">
        <f>IF((((V10+W10)/2)+(C10/(D10*((V10+W10)/2)))^2/(2*9.81)+B10-(G9+H9^2/(2*9.81))-(A9-A10)*(((DATOS!$B$34*(C10/(D10*((V10+W10)/2)))/((D10*((V10+W10)/2))/(D10+2*((V10+W10)/2)))^(2/3))^2+((DATOS!$B$34*H9/((D9*F9)/(D9+2*F9))^(2/3))^2))/2))&gt;0,((V10+W10)/2),W10)</f>
        <v/>
      </c>
      <c r="Z10" s="5">
        <f>IF((((X10+Y10)/2)+(C10/(D10*((X10+Y10)/2)))^2/(2*9.81)+B10-(G9+H9^2/(2*9.81))-(A9-A10)*(((DATOS!$B$34*(C10/(D10*((X10+Y10)/2)))/((D10*((X10+Y10)/2))/(D10+2*((X10+Y10)/2)))^(2/3))^2+((DATOS!$B$34*H9/((D9*F9)/(D9+2*F9))^(2/3))^2))/2))&gt;0,X10,((X10+Y10)/2))</f>
        <v/>
      </c>
      <c r="AA10" s="5">
        <f>IF((((X10+Y10)/2)+(C10/(D10*((X10+Y10)/2)))^2/(2*9.81)+B10-(G9+H9^2/(2*9.81))-(A9-A10)*(((DATOS!$B$34*(C10/(D10*((X10+Y10)/2)))/((D10*((X10+Y10)/2))/(D10+2*((X10+Y10)/2)))^(2/3))^2+((DATOS!$B$34*H9/((D9*F9)/(D9+2*F9))^(2/3))^2))/2))&gt;0,((X10+Y10)/2),Y10)</f>
        <v/>
      </c>
      <c r="AB10" s="5">
        <f>IF((((Z10+AA10)/2)+(C10/(D10*((Z10+AA10)/2)))^2/(2*9.81)+B10-(G9+H9^2/(2*9.81))-(A9-A10)*(((DATOS!$B$34*(C10/(D10*((Z10+AA10)/2)))/((D10*((Z10+AA10)/2))/(D10+2*((Z10+AA10)/2)))^(2/3))^2+((DATOS!$B$34*H9/((D9*F9)/(D9+2*F9))^(2/3))^2))/2))&gt;0,Z10,((Z10+AA10)/2))</f>
        <v/>
      </c>
      <c r="AC10" s="5">
        <f>IF((((Z10+AA10)/2)+(C10/(D10*((Z10+AA10)/2)))^2/(2*9.81)+B10-(G9+H9^2/(2*9.81))-(A9-A10)*(((DATOS!$B$34*(C10/(D10*((Z10+AA10)/2)))/((D10*((Z10+AA10)/2))/(D10+2*((Z10+AA10)/2)))^(2/3))^2+((DATOS!$B$34*H9/((D9*F9)/(D9+2*F9))^(2/3))^2))/2))&gt;0,((Z10+AA10)/2),AA10)</f>
        <v/>
      </c>
      <c r="AD10" s="5">
        <f>IF((((AB10+AC10)/2)+(C10/(D10*((AB10+AC10)/2)))^2/(2*9.81)+B10-(G9+H9^2/(2*9.81))-(A9-A10)*(((DATOS!$B$34*(C10/(D10*((AB10+AC10)/2)))/((D10*((AB10+AC10)/2))/(D10+2*((AB10+AC10)/2)))^(2/3))^2+((DATOS!$B$34*H9/((D9*F9)/(D9+2*F9))^(2/3))^2))/2))&gt;0,AB10,((AB10+AC10)/2))</f>
        <v/>
      </c>
      <c r="AE10" s="5">
        <f>IF((((AB10+AC10)/2)+(C10/(D10*((AB10+AC10)/2)))^2/(2*9.81)+B10-(G9+H9^2/(2*9.81))-(A9-A10)*(((DATOS!$B$34*(C10/(D10*((AB10+AC10)/2)))/((D10*((AB10+AC10)/2))/(D10+2*((AB10+AC10)/2)))^(2/3))^2+((DATOS!$B$34*H9/((D9*F9)/(D9+2*F9))^(2/3))^2))/2))&gt;0,((AB10+AC10)/2),AC10)</f>
        <v/>
      </c>
      <c r="AF10" s="5">
        <f>IF((((AD10+AE10)/2)+(C10/(D10*((AD10+AE10)/2)))^2/(2*9.81)+B10-(G9+H9^2/(2*9.81))-(A9-A10)*(((DATOS!$B$34*(C10/(D10*((AD10+AE10)/2)))/((D10*((AD10+AE10)/2))/(D10+2*((AD10+AE10)/2)))^(2/3))^2+((DATOS!$B$34*H9/((D9*F9)/(D9+2*F9))^(2/3))^2))/2))&gt;0,AD10,((AD10+AE10)/2))</f>
        <v/>
      </c>
      <c r="AG10" s="5">
        <f>IF((((AD10+AE10)/2)+(C10/(D10*((AD10+AE10)/2)))^2/(2*9.81)+B10-(G9+H9^2/(2*9.81))-(A9-A10)*(((DATOS!$B$34*(C10/(D10*((AD10+AE10)/2)))/((D10*((AD10+AE10)/2))/(D10+2*((AD10+AE10)/2)))^(2/3))^2+((DATOS!$B$34*H9/((D9*F9)/(D9+2*F9))^(2/3))^2))/2))&gt;0,((AD10+AE10)/2),AE10)</f>
        <v/>
      </c>
      <c r="AH10" s="5">
        <f>IF((((AF10+AG10)/2)+(C10/(D10*((AF10+AG10)/2)))^2/(2*9.81)+B10-(G9+H9^2/(2*9.81))-(A9-A10)*(((DATOS!$B$34*(C10/(D10*((AF10+AG10)/2)))/((D10*((AF10+AG10)/2))/(D10+2*((AF10+AG10)/2)))^(2/3))^2+((DATOS!$B$34*H9/((D9*F9)/(D9+2*F9))^(2/3))^2))/2))&gt;0,AF10,((AF10+AG10)/2))</f>
        <v/>
      </c>
      <c r="AI10" s="5">
        <f>IF((((AF10+AG10)/2)+(C10/(D10*((AF10+AG10)/2)))^2/(2*9.81)+B10-(G9+H9^2/(2*9.81))-(A9-A10)*(((DATOS!$B$34*(C10/(D10*((AF10+AG10)/2)))/((D10*((AF10+AG10)/2))/(D10+2*((AF10+AG10)/2)))^(2/3))^2+((DATOS!$B$34*H9/((D9*F9)/(D9+2*F9))^(2/3))^2))/2))&gt;0,((AF10+AG10)/2),AG10)</f>
        <v/>
      </c>
      <c r="AJ10" s="5">
        <f>IF((((AH10+AI10)/2)+(C10/(D10*((AH10+AI10)/2)))^2/(2*9.81)+B10-(G9+H9^2/(2*9.81))-(A9-A10)*(((DATOS!$B$34*(C10/(D10*((AH10+AI10)/2)))/((D10*((AH10+AI10)/2))/(D10+2*((AH10+AI10)/2)))^(2/3))^2+((DATOS!$B$34*H9/((D9*F9)/(D9+2*F9))^(2/3))^2))/2))&gt;0,AH10,((AH10+AI10)/2))</f>
        <v/>
      </c>
      <c r="AK10" s="5">
        <f>IF((((AH10+AI10)/2)+(C10/(D10*((AH10+AI10)/2)))^2/(2*9.81)+B10-(G9+H9^2/(2*9.81))-(A9-A10)*(((DATOS!$B$34*(C10/(D10*((AH10+AI10)/2)))/((D10*((AH10+AI10)/2))/(D10+2*((AH10+AI10)/2)))^(2/3))^2+((DATOS!$B$34*H9/((D9*F9)/(D9+2*F9))^(2/3))^2))/2))&gt;0,((AH10+AI10)/2),AI10)</f>
        <v/>
      </c>
      <c r="AL10" s="5">
        <f>IF((((AJ10+AK10)/2)+(C10/(D10*((AJ10+AK10)/2)))^2/(2*9.81)+B10-(G9+H9^2/(2*9.81))-(A9-A10)*(((DATOS!$B$34*(C10/(D10*((AJ10+AK10)/2)))/((D10*((AJ10+AK10)/2))/(D10+2*((AJ10+AK10)/2)))^(2/3))^2+((DATOS!$B$34*H9/((D9*F9)/(D9+2*F9))^(2/3))^2))/2))&gt;0,AJ10,((AJ10+AK10)/2))</f>
        <v/>
      </c>
      <c r="AM10" s="5">
        <f>IF((((AJ10+AK10)/2)+(C10/(D10*((AJ10+AK10)/2)))^2/(2*9.81)+B10-(G9+H9^2/(2*9.81))-(A9-A10)*(((DATOS!$B$34*(C10/(D10*((AJ10+AK10)/2)))/((D10*((AJ10+AK10)/2))/(D10+2*((AJ10+AK10)/2)))^(2/3))^2+((DATOS!$B$34*H9/((D9*F9)/(D9+2*F9))^(2/3))^2))/2))&gt;0,((AJ10+AK10)/2),AK10)</f>
        <v/>
      </c>
      <c r="AN10" s="5">
        <f>IF((((AL10+AM10)/2)+(C10/(D10*((AL10+AM10)/2)))^2/(2*9.81)+B10-(G9+H9^2/(2*9.81))-(A9-A10)*(((DATOS!$B$34*(C10/(D10*((AL10+AM10)/2)))/((D10*((AL10+AM10)/2))/(D10+2*((AL10+AM10)/2)))^(2/3))^2+((DATOS!$B$34*H9/((D9*F9)/(D9+2*F9))^(2/3))^2))/2))&gt;0,AL10,((AL10+AM10)/2))</f>
        <v/>
      </c>
      <c r="AO10" s="5">
        <f>IF((((AL10+AM10)/2)+(C10/(D10*((AL10+AM10)/2)))^2/(2*9.81)+B10-(G9+H9^2/(2*9.81))-(A9-A10)*(((DATOS!$B$34*(C10/(D10*((AL10+AM10)/2)))/((D10*((AL10+AM10)/2))/(D10+2*((AL10+AM10)/2)))^(2/3))^2+((DATOS!$B$34*H9/((D9*F9)/(D9+2*F9))^(2/3))^2))/2))&gt;0,((AL10+AM10)/2),AM10)</f>
        <v/>
      </c>
      <c r="AP10" s="5">
        <f>IF((((AN10+AO10)/2)+(C10/(D10*((AN10+AO10)/2)))^2/(2*9.81)+B10-(G9+H9^2/(2*9.81))-(A9-A10)*(((DATOS!$B$34*(C10/(D10*((AN10+AO10)/2)))/((D10*((AN10+AO10)/2))/(D10+2*((AN10+AO10)/2)))^(2/3))^2+((DATOS!$B$34*H9/((D9*F9)/(D9+2*F9))^(2/3))^2))/2))&gt;0,AN10,((AN10+AO10)/2))</f>
        <v/>
      </c>
      <c r="AQ10" s="5">
        <f>IF((((AN10+AO10)/2)+(C10/(D10*((AN10+AO10)/2)))^2/(2*9.81)+B10-(G9+H9^2/(2*9.81))-(A9-A10)*(((DATOS!$B$34*(C10/(D10*((AN10+AO10)/2)))/((D10*((AN10+AO10)/2))/(D10+2*((AN10+AO10)/2)))^(2/3))^2+((DATOS!$B$34*H9/((D9*F9)/(D9+2*F9))^(2/3))^2))/2))&gt;0,((AN10+AO10)/2),AO10)</f>
        <v/>
      </c>
      <c r="AR10" s="5">
        <f>IF((((AP10+AQ10)/2)+(C10/(D10*((AP10+AQ10)/2)))^2/(2*9.81)+B10-(G9+H9^2/(2*9.81))-(A9-A10)*(((DATOS!$B$34*(C10/(D10*((AP10+AQ10)/2)))/((D10*((AP10+AQ10)/2))/(D10+2*((AP10+AQ10)/2)))^(2/3))^2+((DATOS!$B$34*H9/((D9*F9)/(D9+2*F9))^(2/3))^2))/2))&gt;0,AP10,((AP10+AQ10)/2))</f>
        <v/>
      </c>
      <c r="AS10" s="5">
        <f>IF((((AP10+AQ10)/2)+(C10/(D10*((AP10+AQ10)/2)))^2/(2*9.81)+B10-(G9+H9^2/(2*9.81))-(A9-A10)*(((DATOS!$B$34*(C10/(D10*((AP10+AQ10)/2)))/((D10*((AP10+AQ10)/2))/(D10+2*((AP10+AQ10)/2)))^(2/3))^2+((DATOS!$B$34*H9/((D9*F9)/(D9+2*F9))^(2/3))^2))/2))&gt;0,((AP10+AQ10)/2),AQ10)</f>
        <v/>
      </c>
      <c r="AT10" s="5">
        <f>IF((((AR10+AS10)/2)+(C10/(D10*((AR10+AS10)/2)))^2/(2*9.81)+B10-(G9+H9^2/(2*9.81))-(A9-A10)*(((DATOS!$B$34*(C10/(D10*((AR10+AS10)/2)))/((D10*((AR10+AS10)/2))/(D10+2*((AR10+AS10)/2)))^(2/3))^2+((DATOS!$B$34*H9/((D9*F9)/(D9+2*F9))^(2/3))^2))/2))&gt;0,AR10,((AR10+AS10)/2))</f>
        <v/>
      </c>
      <c r="AU10" s="5">
        <f>IF((((AR10+AS10)/2)+(C10/(D10*((AR10+AS10)/2)))^2/(2*9.81)+B10-(G9+H9^2/(2*9.81))-(A9-A10)*(((DATOS!$B$34*(C10/(D10*((AR10+AS10)/2)))/((D10*((AR10+AS10)/2))/(D10+2*((AR10+AS10)/2)))^(2/3))^2+((DATOS!$B$34*H9/((D9*F9)/(D9+2*F9))^(2/3))^2))/2))&gt;0,((AR10+AS10)/2),AS10)</f>
        <v/>
      </c>
      <c r="AV10" s="5">
        <f>IF((((AT10+AU10)/2)+(C10/(D10*((AT10+AU10)/2)))^2/(2*9.81)+B10-(G9+H9^2/(2*9.81))-(A9-A10)*(((DATOS!$B$34*(C10/(D10*((AT10+AU10)/2)))/((D10*((AT10+AU10)/2))/(D10+2*((AT10+AU10)/2)))^(2/3))^2+((DATOS!$B$34*H9/((D9*F9)/(D9+2*F9))^(2/3))^2))/2))&gt;0,AT10,((AT10+AU10)/2))</f>
        <v/>
      </c>
      <c r="AW10" s="5">
        <f>IF((((AT10+AU10)/2)+(C10/(D10*((AT10+AU10)/2)))^2/(2*9.81)+B10-(G9+H9^2/(2*9.81))-(A9-A10)*(((DATOS!$B$34*(C10/(D10*((AT10+AU10)/2)))/((D10*((AT10+AU10)/2))/(D10+2*((AT10+AU10)/2)))^(2/3))^2+((DATOS!$B$34*H9/((D9*F9)/(D9+2*F9))^(2/3))^2))/2))&gt;0,((AT10+AU10)/2),AU10)</f>
        <v/>
      </c>
      <c r="AX10" s="5">
        <f>IF((((AV10+AW10)/2)+(C10/(D10*((AV10+AW10)/2)))^2/(2*9.81)+B10-(G9+H9^2/(2*9.81))-(A9-A10)*(((DATOS!$B$34*(C10/(D10*((AV10+AW10)/2)))/((D10*((AV10+AW10)/2))/(D10+2*((AV10+AW10)/2)))^(2/3))^2+((DATOS!$B$34*H9/((D9*F9)/(D9+2*F9))^(2/3))^2))/2))&gt;0,AV10,((AV10+AW10)/2))</f>
        <v/>
      </c>
      <c r="AY10" s="5">
        <f>IF((((AV10+AW10)/2)+(C10/(D10*((AV10+AW10)/2)))^2/(2*9.81)+B10-(G9+H9^2/(2*9.81))-(A9-A10)*(((DATOS!$B$34*(C10/(D10*((AV10+AW10)/2)))/((D10*((AV10+AW10)/2))/(D10+2*((AV10+AW10)/2)))^(2/3))^2+((DATOS!$B$34*H9/((D9*F9)/(D9+2*F9))^(2/3))^2))/2))&gt;0,((AV10+AW10)/2),AW10)</f>
        <v/>
      </c>
      <c r="AZ10" s="5">
        <f>IF((((AX10+AY10)/2)+(C10/(D10*((AX10+AY10)/2)))^2/(2*9.81)+B10-(G9+H9^2/(2*9.81))-(A9-A10)*(((DATOS!$B$34*(C10/(D10*((AX10+AY10)/2)))/((D10*((AX10+AY10)/2))/(D10+2*((AX10+AY10)/2)))^(2/3))^2+((DATOS!$B$34*H9/((D9*F9)/(D9+2*F9))^(2/3))^2))/2))&gt;0,AX10,((AX10+AY10)/2))</f>
        <v/>
      </c>
      <c r="BA10" s="5">
        <f>IF((((AX10+AY10)/2)+(C10/(D10*((AX10+AY10)/2)))^2/(2*9.81)+B10-(G9+H9^2/(2*9.81))-(A9-A10)*(((DATOS!$B$34*(C10/(D10*((AX10+AY10)/2)))/((D10*((AX10+AY10)/2))/(D10+2*((AX10+AY10)/2)))^(2/3))^2+((DATOS!$B$34*H9/((D9*F9)/(D9+2*F9))^(2/3))^2))/2))&gt;0,((AX10+AY10)/2),AY10)</f>
        <v/>
      </c>
      <c r="BB10" s="5">
        <f>IF((((AZ10+BA10)/2)+(C10/(D10*((AZ10+BA10)/2)))^2/(2*9.81)+B10-(G9+H9^2/(2*9.81))-(A9-A10)*(((DATOS!$B$34*(C10/(D10*((AZ10+BA10)/2)))/((D10*((AZ10+BA10)/2))/(D10+2*((AZ10+BA10)/2)))^(2/3))^2+((DATOS!$B$34*H9/((D9*F9)/(D9+2*F9))^(2/3))^2))/2))&gt;0,AZ10,((AZ10+BA10)/2))</f>
        <v/>
      </c>
      <c r="BC10" s="5">
        <f>IF((((AZ10+BA10)/2)+(C10/(D10*((AZ10+BA10)/2)))^2/(2*9.81)+B10-(G9+H9^2/(2*9.81))-(A9-A10)*(((DATOS!$B$34*(C10/(D10*((AZ10+BA10)/2)))/((D10*((AZ10+BA10)/2))/(D10+2*((AZ10+BA10)/2)))^(2/3))^2+((DATOS!$B$34*H9/((D9*F9)/(D9+2*F9))^(2/3))^2))/2))&gt;0,((AZ10+BA10)/2),BA10)</f>
        <v/>
      </c>
      <c r="BD10" s="5">
        <f>IF((((BB10+BC10)/2)+(C10/(D10*((BB10+BC10)/2)))^2/(2*9.81)+B10-(G9+H9^2/(2*9.81))-(A9-A10)*(((DATOS!$B$34*(C10/(D10*((BB10+BC10)/2)))/((D10*((BB10+BC10)/2))/(D10+2*((BB10+BC10)/2)))^(2/3))^2+((DATOS!$B$34*H9/((D9*F9)/(D9+2*F9))^(2/3))^2))/2))&gt;0,BB10,((BB10+BC10)/2))</f>
        <v/>
      </c>
      <c r="BE10" s="5">
        <f>IF((((BB10+BC10)/2)+(C10/(D10*((BB10+BC10)/2)))^2/(2*9.81)+B10-(G9+H9^2/(2*9.81))-(A9-A10)*(((DATOS!$B$34*(C10/(D10*((BB10+BC10)/2)))/((D10*((BB10+BC10)/2))/(D10+2*((BB10+BC10)/2)))^(2/3))^2+((DATOS!$B$34*H9/((D9*F9)/(D9+2*F9))^(2/3))^2))/2))&gt;0,((BB10+BC10)/2),BC10)</f>
        <v/>
      </c>
      <c r="BF10" s="5">
        <f>IF((((BD10+BE10)/2)+(C10/(D10*((BD10+BE10)/2)))^2/(2*9.81)+B10-(G9+H9^2/(2*9.81))-(A9-A10)*(((DATOS!$B$34*(C10/(D10*((BD10+BE10)/2)))/((D10*((BD10+BE10)/2))/(D10+2*((BD10+BE10)/2)))^(2/3))^2+((DATOS!$B$34*H9/((D9*F9)/(D9+2*F9))^(2/3))^2))/2))&gt;0,BD10,((BD10+BE10)/2))</f>
        <v/>
      </c>
      <c r="BG10" s="5">
        <f>IF((((BD10+BE10)/2)+(C10/(D10*((BD10+BE10)/2)))^2/(2*9.81)+B10-(G9+H9^2/(2*9.81))-(A9-A10)*(((DATOS!$B$34*(C10/(D10*((BD10+BE10)/2)))/((D10*((BD10+BE10)/2))/(D10+2*((BD10+BE10)/2)))^(2/3))^2+((DATOS!$B$34*H9/((D9*F9)/(D9+2*F9))^(2/3))^2))/2))&gt;0,((BD10+BE10)/2),BE10)</f>
        <v/>
      </c>
      <c r="BH10" s="5">
        <f>IF((((BF10+BG10)/2)+(C10/(D10*((BF10+BG10)/2)))^2/(2*9.81)+B10-(G9+H9^2/(2*9.81))-(A9-A10)*(((DATOS!$B$34*(C10/(D10*((BF10+BG10)/2)))/((D10*((BF10+BG10)/2))/(D10+2*((BF10+BG10)/2)))^(2/3))^2+((DATOS!$B$34*H9/((D9*F9)/(D9+2*F9))^(2/3))^2))/2))&gt;0,BF10,((BF10+BG10)/2))</f>
        <v/>
      </c>
      <c r="BI10" s="5">
        <f>IF((((BF10+BG10)/2)+(C10/(D10*((BF10+BG10)/2)))^2/(2*9.81)+B10-(G9+H9^2/(2*9.81))-(A9-A10)*(((DATOS!$B$34*(C10/(D10*((BF10+BG10)/2)))/((D10*((BF10+BG10)/2))/(D10+2*((BF10+BG10)/2)))^(2/3))^2+((DATOS!$B$34*H9/((D9*F9)/(D9+2*F9))^(2/3))^2))/2))&gt;0,((BF10+BG10)/2),BG10)</f>
        <v/>
      </c>
      <c r="BJ10" s="5">
        <f>IF((((BH10+BI10)/2)+(C10/(D10*((BH10+BI10)/2)))^2/(2*9.81)+B10-(G9+H9^2/(2*9.81))-(A9-A10)*(((DATOS!$B$34*(C10/(D10*((BH10+BI10)/2)))/((D10*((BH10+BI10)/2))/(D10+2*((BH10+BI10)/2)))^(2/3))^2+((DATOS!$B$34*H9/((D9*F9)/(D9+2*F9))^(2/3))^2))/2))&gt;0,BH10,((BH10+BI10)/2))</f>
        <v/>
      </c>
      <c r="BK10" s="5">
        <f>IF((((BH10+BI10)/2)+(C10/(D10*((BH10+BI10)/2)))^2/(2*9.81)+B10-(G9+H9^2/(2*9.81))-(A9-A10)*(((DATOS!$B$34*(C10/(D10*((BH10+BI10)/2)))/((D10*((BH10+BI10)/2))/(D10+2*((BH10+BI10)/2)))^(2/3))^2+((DATOS!$B$34*H9/((D9*F9)/(D9+2*F9))^(2/3))^2))/2))&gt;0,((BH10+BI10)/2),BI10)</f>
        <v/>
      </c>
      <c r="BL10" s="5">
        <f>IF((((BJ10+BK10)/2)+(C10/(D10*((BJ10+BK10)/2)))^2/(2*9.81)+B10-(G9+H9^2/(2*9.81))-(A9-A10)*(((DATOS!$B$34*(C10/(D10*((BJ10+BK10)/2)))/((D10*((BJ10+BK10)/2))/(D10+2*((BJ10+BK10)/2)))^(2/3))^2+((DATOS!$B$34*H9/((D9*F9)/(D9+2*F9))^(2/3))^2))/2))&gt;0,BJ10,((BJ10+BK10)/2))</f>
        <v/>
      </c>
      <c r="BM10" s="5">
        <f>IF((((BJ10+BK10)/2)+(C10/(D10*((BJ10+BK10)/2)))^2/(2*9.81)+B10-(G9+H9^2/(2*9.81))-(A9-A10)*(((DATOS!$B$34*(C10/(D10*((BJ10+BK10)/2)))/((D10*((BJ10+BK10)/2))/(D10+2*((BJ10+BK10)/2)))^(2/3))^2+((DATOS!$B$34*H9/((D9*F9)/(D9+2*F9))^(2/3))^2))/2))&gt;0,((BJ10+BK10)/2),BK10)</f>
        <v/>
      </c>
      <c r="BN10" s="5">
        <f>IF((((BL10+BM10)/2)+(C10/(D10*((BL10+BM10)/2)))^2/(2*9.81)+B10-(G9+H9^2/(2*9.81))-(A9-A10)*(((DATOS!$B$34*(C10/(D10*((BL10+BM10)/2)))/((D10*((BL10+BM10)/2))/(D10+2*((BL10+BM10)/2)))^(2/3))^2+((DATOS!$B$34*H9/((D9*F9)/(D9+2*F9))^(2/3))^2))/2))&gt;0,BL10,((BL10+BM10)/2))</f>
        <v/>
      </c>
      <c r="BO10" s="5">
        <f>IF((((BL10+BM10)/2)+(C10/(D10*((BL10+BM10)/2)))^2/(2*9.81)+B10-(G9+H9^2/(2*9.81))-(A9-A10)*(((DATOS!$B$34*(C10/(D10*((BL10+BM10)/2)))/((D10*((BL10+BM10)/2))/(D10+2*((BL10+BM10)/2)))^(2/3))^2+((DATOS!$B$34*H9/((D9*F9)/(D9+2*F9))^(2/3))^2))/2))&gt;0,((BL10+BM10)/2),BM10)</f>
        <v/>
      </c>
      <c r="BP10" s="5">
        <f>IF((((BN10+BO10)/2)+(C10/(D10*((BN10+BO10)/2)))^2/(2*9.81)+B10-(G9+H9^2/(2*9.81))-(A9-A10)*(((DATOS!$B$34*(C10/(D10*((BN10+BO10)/2)))/((D10*((BN10+BO10)/2))/(D10+2*((BN10+BO10)/2)))^(2/3))^2+((DATOS!$B$34*H9/((D9*F9)/(D9+2*F9))^(2/3))^2))/2))&gt;0,BN10,((BN10+BO10)/2))</f>
        <v/>
      </c>
      <c r="BQ10" s="5">
        <f>IF((((BN10+BO10)/2)+(C10/(D10*((BN10+BO10)/2)))^2/(2*9.81)+B10-(G9+H9^2/(2*9.81))-(A9-A10)*(((DATOS!$B$34*(C10/(D10*((BN10+BO10)/2)))/((D10*((BN10+BO10)/2))/(D10+2*((BN10+BO10)/2)))^(2/3))^2+((DATOS!$B$34*H9/((D9*F9)/(D9+2*F9))^(2/3))^2))/2))&gt;0,((BN10+BO10)/2),BO10)</f>
        <v/>
      </c>
      <c r="BR10" s="5">
        <f>IF((((BP10+BQ10)/2)+(C10/(D10*((BP10+BQ10)/2)))^2/(2*9.81)+B10-(G9+H9^2/(2*9.81))-(A9-A10)*(((DATOS!$B$34*(C10/(D10*((BP10+BQ10)/2)))/((D10*((BP10+BQ10)/2))/(D10+2*((BP10+BQ10)/2)))^(2/3))^2+((DATOS!$B$34*H9/((D9*F9)/(D9+2*F9))^(2/3))^2))/2))&gt;0,BP10,((BP10+BQ10)/2))</f>
        <v/>
      </c>
      <c r="BS10" s="5">
        <f>IF((((BP10+BQ10)/2)+(C10/(D10*((BP10+BQ10)/2)))^2/(2*9.81)+B10-(G9+H9^2/(2*9.81))-(A9-A10)*(((DATOS!$B$34*(C10/(D10*((BP10+BQ10)/2)))/((D10*((BP10+BQ10)/2))/(D10+2*((BP10+BQ10)/2)))^(2/3))^2+((DATOS!$B$34*H9/((D9*F9)/(D9+2*F9))^(2/3))^2))/2))&gt;0,((BP10+BQ10)/2),BQ10)</f>
        <v/>
      </c>
      <c r="BT10" s="5">
        <f>IF((((BR10+BS10)/2)+(C10/(D10*((BR10+BS10)/2)))^2/(2*9.81)+B10-(G9+H9^2/(2*9.81))-(A9-A10)*(((DATOS!$B$34*(C10/(D10*((BR10+BS10)/2)))/((D10*((BR10+BS10)/2))/(D10+2*((BR10+BS10)/2)))^(2/3))^2+((DATOS!$B$34*H9/((D9*F9)/(D9+2*F9))^(2/3))^2))/2))&gt;0,BR10,((BR10+BS10)/2))</f>
        <v/>
      </c>
      <c r="BU10" s="5">
        <f>IF((((BR10+BS10)/2)+(C10/(D10*((BR10+BS10)/2)))^2/(2*9.81)+B10-(G9+H9^2/(2*9.81))-(A9-A10)*(((DATOS!$B$34*(C10/(D10*((BR10+BS10)/2)))/((D10*((BR10+BS10)/2))/(D10+2*((BR10+BS10)/2)))^(2/3))^2+((DATOS!$B$34*H9/((D9*F9)/(D9+2*F9))^(2/3))^2))/2))&gt;0,((BR10+BS10)/2),BS10)</f>
        <v/>
      </c>
      <c r="BV10" s="5">
        <f>IF((((BT10+BU10)/2)+(C10/(D10*((BT10+BU10)/2)))^2/(2*9.81)+B10-(G9+H9^2/(2*9.81))-(A9-A10)*(((DATOS!$B$34*(C10/(D10*((BT10+BU10)/2)))/((D10*((BT10+BU10)/2))/(D10+2*((BT10+BU10)/2)))^(2/3))^2+((DATOS!$B$34*H9/((D9*F9)/(D9+2*F9))^(2/3))^2))/2))&gt;0,BT10,((BT10+BU10)/2))</f>
        <v/>
      </c>
      <c r="BW10" s="5">
        <f>IF((((BT10+BU10)/2)+(C10/(D10*((BT10+BU10)/2)))^2/(2*9.81)+B10-(G9+H9^2/(2*9.81))-(A9-A10)*(((DATOS!$B$34*(C10/(D10*((BT10+BU10)/2)))/((D10*((BT10+BU10)/2))/(D10+2*((BT10+BU10)/2)))^(2/3))^2+((DATOS!$B$34*H9/((D9*F9)/(D9+2*F9))^(2/3))^2))/2))&gt;0,((BT10+BU10)/2),BU10)</f>
        <v/>
      </c>
    </row>
    <row r="11">
      <c r="A11" s="13" t="n">
        <v>66.89</v>
      </c>
      <c r="B11" s="16">
        <f>DATOS!$B$22-DATOS!$B$23*A11</f>
        <v/>
      </c>
      <c r="C11" s="24">
        <f>CAUDALES!$B$13</f>
        <v/>
      </c>
      <c r="D11" s="17">
        <f>DATOS!$B$17</f>
        <v/>
      </c>
      <c r="E11" s="16">
        <f>(C11^2/(9.81*D11^2))^(1/3)</f>
        <v/>
      </c>
      <c r="F11" s="16">
        <f>(BV11+BW11)/2</f>
        <v/>
      </c>
      <c r="G11" s="16">
        <f>B11+F11</f>
        <v/>
      </c>
      <c r="H11" s="19">
        <f>C11/(D11*F11)</f>
        <v/>
      </c>
      <c r="I11" s="19">
        <f>H11/SQRT(9.81*F11)</f>
        <v/>
      </c>
      <c r="J11" s="16">
        <f>DATOS!$B$29-IF(AND(A11&gt;=DATOS!$B$30,A11&lt;DATOS!$B$31),DATOS!$B$21,DATOS!$B$20)</f>
        <v/>
      </c>
      <c r="K11" s="19">
        <f>J11-B11</f>
        <v/>
      </c>
      <c r="L11" s="19">
        <f>F11/K11</f>
        <v/>
      </c>
      <c r="M11" s="16">
        <f>J11-G11</f>
        <v/>
      </c>
      <c r="N11" s="5">
        <f>IF(AND(L11&lt;=DATOS!$B$36,M11&gt;=DATOS!$B$37,I11&lt;=1),"CUMPLE","NO CUMPLE")</f>
        <v/>
      </c>
      <c r="O11" s="5">
        <f>IF(AND(A11&gt;=DATOS!$B$30,A11&lt;DATOS!$B$31),"cruce de camiones",IF(AND(A11&gt;=DATOS!$B$32,A11&lt;DATOS!$B$33),"cruce de motos","tramo normal"))</f>
        <v/>
      </c>
      <c r="P11" s="5">
        <f>E11*1.001</f>
        <v/>
      </c>
      <c r="Q11" s="13" t="n">
        <v>3</v>
      </c>
      <c r="R11" s="5">
        <f>IF((((P11+Q11)/2)+(C11/(D11*((P11+Q11)/2)))^2/(2*9.81)+B11-(G10+H10^2/(2*9.81))-(A10-A11)*(((DATOS!$B$34*(C11/(D11*((P11+Q11)/2)))/((D11*((P11+Q11)/2))/(D11+2*((P11+Q11)/2)))^(2/3))^2+((DATOS!$B$34*H10/((D10*F10)/(D10+2*F10))^(2/3))^2))/2))&gt;0,P11,((P11+Q11)/2))</f>
        <v/>
      </c>
      <c r="S11" s="5">
        <f>IF((((P11+Q11)/2)+(C11/(D11*((P11+Q11)/2)))^2/(2*9.81)+B11-(G10+H10^2/(2*9.81))-(A10-A11)*(((DATOS!$B$34*(C11/(D11*((P11+Q11)/2)))/((D11*((P11+Q11)/2))/(D11+2*((P11+Q11)/2)))^(2/3))^2+((DATOS!$B$34*H10/((D10*F10)/(D10+2*F10))^(2/3))^2))/2))&gt;0,((P11+Q11)/2),Q11)</f>
        <v/>
      </c>
      <c r="T11" s="5">
        <f>IF((((R11+S11)/2)+(C11/(D11*((R11+S11)/2)))^2/(2*9.81)+B11-(G10+H10^2/(2*9.81))-(A10-A11)*(((DATOS!$B$34*(C11/(D11*((R11+S11)/2)))/((D11*((R11+S11)/2))/(D11+2*((R11+S11)/2)))^(2/3))^2+((DATOS!$B$34*H10/((D10*F10)/(D10+2*F10))^(2/3))^2))/2))&gt;0,R11,((R11+S11)/2))</f>
        <v/>
      </c>
      <c r="U11" s="5">
        <f>IF((((R11+S11)/2)+(C11/(D11*((R11+S11)/2)))^2/(2*9.81)+B11-(G10+H10^2/(2*9.81))-(A10-A11)*(((DATOS!$B$34*(C11/(D11*((R11+S11)/2)))/((D11*((R11+S11)/2))/(D11+2*((R11+S11)/2)))^(2/3))^2+((DATOS!$B$34*H10/((D10*F10)/(D10+2*F10))^(2/3))^2))/2))&gt;0,((R11+S11)/2),S11)</f>
        <v/>
      </c>
      <c r="V11" s="5">
        <f>IF((((T11+U11)/2)+(C11/(D11*((T11+U11)/2)))^2/(2*9.81)+B11-(G10+H10^2/(2*9.81))-(A10-A11)*(((DATOS!$B$34*(C11/(D11*((T11+U11)/2)))/((D11*((T11+U11)/2))/(D11+2*((T11+U11)/2)))^(2/3))^2+((DATOS!$B$34*H10/((D10*F10)/(D10+2*F10))^(2/3))^2))/2))&gt;0,T11,((T11+U11)/2))</f>
        <v/>
      </c>
      <c r="W11" s="5">
        <f>IF((((T11+U11)/2)+(C11/(D11*((T11+U11)/2)))^2/(2*9.81)+B11-(G10+H10^2/(2*9.81))-(A10-A11)*(((DATOS!$B$34*(C11/(D11*((T11+U11)/2)))/((D11*((T11+U11)/2))/(D11+2*((T11+U11)/2)))^(2/3))^2+((DATOS!$B$34*H10/((D10*F10)/(D10+2*F10))^(2/3))^2))/2))&gt;0,((T11+U11)/2),U11)</f>
        <v/>
      </c>
      <c r="X11" s="5">
        <f>IF((((V11+W11)/2)+(C11/(D11*((V11+W11)/2)))^2/(2*9.81)+B11-(G10+H10^2/(2*9.81))-(A10-A11)*(((DATOS!$B$34*(C11/(D11*((V11+W11)/2)))/((D11*((V11+W11)/2))/(D11+2*((V11+W11)/2)))^(2/3))^2+((DATOS!$B$34*H10/((D10*F10)/(D10+2*F10))^(2/3))^2))/2))&gt;0,V11,((V11+W11)/2))</f>
        <v/>
      </c>
      <c r="Y11" s="5">
        <f>IF((((V11+W11)/2)+(C11/(D11*((V11+W11)/2)))^2/(2*9.81)+B11-(G10+H10^2/(2*9.81))-(A10-A11)*(((DATOS!$B$34*(C11/(D11*((V11+W11)/2)))/((D11*((V11+W11)/2))/(D11+2*((V11+W11)/2)))^(2/3))^2+((DATOS!$B$34*H10/((D10*F10)/(D10+2*F10))^(2/3))^2))/2))&gt;0,((V11+W11)/2),W11)</f>
        <v/>
      </c>
      <c r="Z11" s="5">
        <f>IF((((X11+Y11)/2)+(C11/(D11*((X11+Y11)/2)))^2/(2*9.81)+B11-(G10+H10^2/(2*9.81))-(A10-A11)*(((DATOS!$B$34*(C11/(D11*((X11+Y11)/2)))/((D11*((X11+Y11)/2))/(D11+2*((X11+Y11)/2)))^(2/3))^2+((DATOS!$B$34*H10/((D10*F10)/(D10+2*F10))^(2/3))^2))/2))&gt;0,X11,((X11+Y11)/2))</f>
        <v/>
      </c>
      <c r="AA11" s="5">
        <f>IF((((X11+Y11)/2)+(C11/(D11*((X11+Y11)/2)))^2/(2*9.81)+B11-(G10+H10^2/(2*9.81))-(A10-A11)*(((DATOS!$B$34*(C11/(D11*((X11+Y11)/2)))/((D11*((X11+Y11)/2))/(D11+2*((X11+Y11)/2)))^(2/3))^2+((DATOS!$B$34*H10/((D10*F10)/(D10+2*F10))^(2/3))^2))/2))&gt;0,((X11+Y11)/2),Y11)</f>
        <v/>
      </c>
      <c r="AB11" s="5">
        <f>IF((((Z11+AA11)/2)+(C11/(D11*((Z11+AA11)/2)))^2/(2*9.81)+B11-(G10+H10^2/(2*9.81))-(A10-A11)*(((DATOS!$B$34*(C11/(D11*((Z11+AA11)/2)))/((D11*((Z11+AA11)/2))/(D11+2*((Z11+AA11)/2)))^(2/3))^2+((DATOS!$B$34*H10/((D10*F10)/(D10+2*F10))^(2/3))^2))/2))&gt;0,Z11,((Z11+AA11)/2))</f>
        <v/>
      </c>
      <c r="AC11" s="5">
        <f>IF((((Z11+AA11)/2)+(C11/(D11*((Z11+AA11)/2)))^2/(2*9.81)+B11-(G10+H10^2/(2*9.81))-(A10-A11)*(((DATOS!$B$34*(C11/(D11*((Z11+AA11)/2)))/((D11*((Z11+AA11)/2))/(D11+2*((Z11+AA11)/2)))^(2/3))^2+((DATOS!$B$34*H10/((D10*F10)/(D10+2*F10))^(2/3))^2))/2))&gt;0,((Z11+AA11)/2),AA11)</f>
        <v/>
      </c>
      <c r="AD11" s="5">
        <f>IF((((AB11+AC11)/2)+(C11/(D11*((AB11+AC11)/2)))^2/(2*9.81)+B11-(G10+H10^2/(2*9.81))-(A10-A11)*(((DATOS!$B$34*(C11/(D11*((AB11+AC11)/2)))/((D11*((AB11+AC11)/2))/(D11+2*((AB11+AC11)/2)))^(2/3))^2+((DATOS!$B$34*H10/((D10*F10)/(D10+2*F10))^(2/3))^2))/2))&gt;0,AB11,((AB11+AC11)/2))</f>
        <v/>
      </c>
      <c r="AE11" s="5">
        <f>IF((((AB11+AC11)/2)+(C11/(D11*((AB11+AC11)/2)))^2/(2*9.81)+B11-(G10+H10^2/(2*9.81))-(A10-A11)*(((DATOS!$B$34*(C11/(D11*((AB11+AC11)/2)))/((D11*((AB11+AC11)/2))/(D11+2*((AB11+AC11)/2)))^(2/3))^2+((DATOS!$B$34*H10/((D10*F10)/(D10+2*F10))^(2/3))^2))/2))&gt;0,((AB11+AC11)/2),AC11)</f>
        <v/>
      </c>
      <c r="AF11" s="5">
        <f>IF((((AD11+AE11)/2)+(C11/(D11*((AD11+AE11)/2)))^2/(2*9.81)+B11-(G10+H10^2/(2*9.81))-(A10-A11)*(((DATOS!$B$34*(C11/(D11*((AD11+AE11)/2)))/((D11*((AD11+AE11)/2))/(D11+2*((AD11+AE11)/2)))^(2/3))^2+((DATOS!$B$34*H10/((D10*F10)/(D10+2*F10))^(2/3))^2))/2))&gt;0,AD11,((AD11+AE11)/2))</f>
        <v/>
      </c>
      <c r="AG11" s="5">
        <f>IF((((AD11+AE11)/2)+(C11/(D11*((AD11+AE11)/2)))^2/(2*9.81)+B11-(G10+H10^2/(2*9.81))-(A10-A11)*(((DATOS!$B$34*(C11/(D11*((AD11+AE11)/2)))/((D11*((AD11+AE11)/2))/(D11+2*((AD11+AE11)/2)))^(2/3))^2+((DATOS!$B$34*H10/((D10*F10)/(D10+2*F10))^(2/3))^2))/2))&gt;0,((AD11+AE11)/2),AE11)</f>
        <v/>
      </c>
      <c r="AH11" s="5">
        <f>IF((((AF11+AG11)/2)+(C11/(D11*((AF11+AG11)/2)))^2/(2*9.81)+B11-(G10+H10^2/(2*9.81))-(A10-A11)*(((DATOS!$B$34*(C11/(D11*((AF11+AG11)/2)))/((D11*((AF11+AG11)/2))/(D11+2*((AF11+AG11)/2)))^(2/3))^2+((DATOS!$B$34*H10/((D10*F10)/(D10+2*F10))^(2/3))^2))/2))&gt;0,AF11,((AF11+AG11)/2))</f>
        <v/>
      </c>
      <c r="AI11" s="5">
        <f>IF((((AF11+AG11)/2)+(C11/(D11*((AF11+AG11)/2)))^2/(2*9.81)+B11-(G10+H10^2/(2*9.81))-(A10-A11)*(((DATOS!$B$34*(C11/(D11*((AF11+AG11)/2)))/((D11*((AF11+AG11)/2))/(D11+2*((AF11+AG11)/2)))^(2/3))^2+((DATOS!$B$34*H10/((D10*F10)/(D10+2*F10))^(2/3))^2))/2))&gt;0,((AF11+AG11)/2),AG11)</f>
        <v/>
      </c>
      <c r="AJ11" s="5">
        <f>IF((((AH11+AI11)/2)+(C11/(D11*((AH11+AI11)/2)))^2/(2*9.81)+B11-(G10+H10^2/(2*9.81))-(A10-A11)*(((DATOS!$B$34*(C11/(D11*((AH11+AI11)/2)))/((D11*((AH11+AI11)/2))/(D11+2*((AH11+AI11)/2)))^(2/3))^2+((DATOS!$B$34*H10/((D10*F10)/(D10+2*F10))^(2/3))^2))/2))&gt;0,AH11,((AH11+AI11)/2))</f>
        <v/>
      </c>
      <c r="AK11" s="5">
        <f>IF((((AH11+AI11)/2)+(C11/(D11*((AH11+AI11)/2)))^2/(2*9.81)+B11-(G10+H10^2/(2*9.81))-(A10-A11)*(((DATOS!$B$34*(C11/(D11*((AH11+AI11)/2)))/((D11*((AH11+AI11)/2))/(D11+2*((AH11+AI11)/2)))^(2/3))^2+((DATOS!$B$34*H10/((D10*F10)/(D10+2*F10))^(2/3))^2))/2))&gt;0,((AH11+AI11)/2),AI11)</f>
        <v/>
      </c>
      <c r="AL11" s="5">
        <f>IF((((AJ11+AK11)/2)+(C11/(D11*((AJ11+AK11)/2)))^2/(2*9.81)+B11-(G10+H10^2/(2*9.81))-(A10-A11)*(((DATOS!$B$34*(C11/(D11*((AJ11+AK11)/2)))/((D11*((AJ11+AK11)/2))/(D11+2*((AJ11+AK11)/2)))^(2/3))^2+((DATOS!$B$34*H10/((D10*F10)/(D10+2*F10))^(2/3))^2))/2))&gt;0,AJ11,((AJ11+AK11)/2))</f>
        <v/>
      </c>
      <c r="AM11" s="5">
        <f>IF((((AJ11+AK11)/2)+(C11/(D11*((AJ11+AK11)/2)))^2/(2*9.81)+B11-(G10+H10^2/(2*9.81))-(A10-A11)*(((DATOS!$B$34*(C11/(D11*((AJ11+AK11)/2)))/((D11*((AJ11+AK11)/2))/(D11+2*((AJ11+AK11)/2)))^(2/3))^2+((DATOS!$B$34*H10/((D10*F10)/(D10+2*F10))^(2/3))^2))/2))&gt;0,((AJ11+AK11)/2),AK11)</f>
        <v/>
      </c>
      <c r="AN11" s="5">
        <f>IF((((AL11+AM11)/2)+(C11/(D11*((AL11+AM11)/2)))^2/(2*9.81)+B11-(G10+H10^2/(2*9.81))-(A10-A11)*(((DATOS!$B$34*(C11/(D11*((AL11+AM11)/2)))/((D11*((AL11+AM11)/2))/(D11+2*((AL11+AM11)/2)))^(2/3))^2+((DATOS!$B$34*H10/((D10*F10)/(D10+2*F10))^(2/3))^2))/2))&gt;0,AL11,((AL11+AM11)/2))</f>
        <v/>
      </c>
      <c r="AO11" s="5">
        <f>IF((((AL11+AM11)/2)+(C11/(D11*((AL11+AM11)/2)))^2/(2*9.81)+B11-(G10+H10^2/(2*9.81))-(A10-A11)*(((DATOS!$B$34*(C11/(D11*((AL11+AM11)/2)))/((D11*((AL11+AM11)/2))/(D11+2*((AL11+AM11)/2)))^(2/3))^2+((DATOS!$B$34*H10/((D10*F10)/(D10+2*F10))^(2/3))^2))/2))&gt;0,((AL11+AM11)/2),AM11)</f>
        <v/>
      </c>
      <c r="AP11" s="5">
        <f>IF((((AN11+AO11)/2)+(C11/(D11*((AN11+AO11)/2)))^2/(2*9.81)+B11-(G10+H10^2/(2*9.81))-(A10-A11)*(((DATOS!$B$34*(C11/(D11*((AN11+AO11)/2)))/((D11*((AN11+AO11)/2))/(D11+2*((AN11+AO11)/2)))^(2/3))^2+((DATOS!$B$34*H10/((D10*F10)/(D10+2*F10))^(2/3))^2))/2))&gt;0,AN11,((AN11+AO11)/2))</f>
        <v/>
      </c>
      <c r="AQ11" s="5">
        <f>IF((((AN11+AO11)/2)+(C11/(D11*((AN11+AO11)/2)))^2/(2*9.81)+B11-(G10+H10^2/(2*9.81))-(A10-A11)*(((DATOS!$B$34*(C11/(D11*((AN11+AO11)/2)))/((D11*((AN11+AO11)/2))/(D11+2*((AN11+AO11)/2)))^(2/3))^2+((DATOS!$B$34*H10/((D10*F10)/(D10+2*F10))^(2/3))^2))/2))&gt;0,((AN11+AO11)/2),AO11)</f>
        <v/>
      </c>
      <c r="AR11" s="5">
        <f>IF((((AP11+AQ11)/2)+(C11/(D11*((AP11+AQ11)/2)))^2/(2*9.81)+B11-(G10+H10^2/(2*9.81))-(A10-A11)*(((DATOS!$B$34*(C11/(D11*((AP11+AQ11)/2)))/((D11*((AP11+AQ11)/2))/(D11+2*((AP11+AQ11)/2)))^(2/3))^2+((DATOS!$B$34*H10/((D10*F10)/(D10+2*F10))^(2/3))^2))/2))&gt;0,AP11,((AP11+AQ11)/2))</f>
        <v/>
      </c>
      <c r="AS11" s="5">
        <f>IF((((AP11+AQ11)/2)+(C11/(D11*((AP11+AQ11)/2)))^2/(2*9.81)+B11-(G10+H10^2/(2*9.81))-(A10-A11)*(((DATOS!$B$34*(C11/(D11*((AP11+AQ11)/2)))/((D11*((AP11+AQ11)/2))/(D11+2*((AP11+AQ11)/2)))^(2/3))^2+((DATOS!$B$34*H10/((D10*F10)/(D10+2*F10))^(2/3))^2))/2))&gt;0,((AP11+AQ11)/2),AQ11)</f>
        <v/>
      </c>
      <c r="AT11" s="5">
        <f>IF((((AR11+AS11)/2)+(C11/(D11*((AR11+AS11)/2)))^2/(2*9.81)+B11-(G10+H10^2/(2*9.81))-(A10-A11)*(((DATOS!$B$34*(C11/(D11*((AR11+AS11)/2)))/((D11*((AR11+AS11)/2))/(D11+2*((AR11+AS11)/2)))^(2/3))^2+((DATOS!$B$34*H10/((D10*F10)/(D10+2*F10))^(2/3))^2))/2))&gt;0,AR11,((AR11+AS11)/2))</f>
        <v/>
      </c>
      <c r="AU11" s="5">
        <f>IF((((AR11+AS11)/2)+(C11/(D11*((AR11+AS11)/2)))^2/(2*9.81)+B11-(G10+H10^2/(2*9.81))-(A10-A11)*(((DATOS!$B$34*(C11/(D11*((AR11+AS11)/2)))/((D11*((AR11+AS11)/2))/(D11+2*((AR11+AS11)/2)))^(2/3))^2+((DATOS!$B$34*H10/((D10*F10)/(D10+2*F10))^(2/3))^2))/2))&gt;0,((AR11+AS11)/2),AS11)</f>
        <v/>
      </c>
      <c r="AV11" s="5">
        <f>IF((((AT11+AU11)/2)+(C11/(D11*((AT11+AU11)/2)))^2/(2*9.81)+B11-(G10+H10^2/(2*9.81))-(A10-A11)*(((DATOS!$B$34*(C11/(D11*((AT11+AU11)/2)))/((D11*((AT11+AU11)/2))/(D11+2*((AT11+AU11)/2)))^(2/3))^2+((DATOS!$B$34*H10/((D10*F10)/(D10+2*F10))^(2/3))^2))/2))&gt;0,AT11,((AT11+AU11)/2))</f>
        <v/>
      </c>
      <c r="AW11" s="5">
        <f>IF((((AT11+AU11)/2)+(C11/(D11*((AT11+AU11)/2)))^2/(2*9.81)+B11-(G10+H10^2/(2*9.81))-(A10-A11)*(((DATOS!$B$34*(C11/(D11*((AT11+AU11)/2)))/((D11*((AT11+AU11)/2))/(D11+2*((AT11+AU11)/2)))^(2/3))^2+((DATOS!$B$34*H10/((D10*F10)/(D10+2*F10))^(2/3))^2))/2))&gt;0,((AT11+AU11)/2),AU11)</f>
        <v/>
      </c>
      <c r="AX11" s="5">
        <f>IF((((AV11+AW11)/2)+(C11/(D11*((AV11+AW11)/2)))^2/(2*9.81)+B11-(G10+H10^2/(2*9.81))-(A10-A11)*(((DATOS!$B$34*(C11/(D11*((AV11+AW11)/2)))/((D11*((AV11+AW11)/2))/(D11+2*((AV11+AW11)/2)))^(2/3))^2+((DATOS!$B$34*H10/((D10*F10)/(D10+2*F10))^(2/3))^2))/2))&gt;0,AV11,((AV11+AW11)/2))</f>
        <v/>
      </c>
      <c r="AY11" s="5">
        <f>IF((((AV11+AW11)/2)+(C11/(D11*((AV11+AW11)/2)))^2/(2*9.81)+B11-(G10+H10^2/(2*9.81))-(A10-A11)*(((DATOS!$B$34*(C11/(D11*((AV11+AW11)/2)))/((D11*((AV11+AW11)/2))/(D11+2*((AV11+AW11)/2)))^(2/3))^2+((DATOS!$B$34*H10/((D10*F10)/(D10+2*F10))^(2/3))^2))/2))&gt;0,((AV11+AW11)/2),AW11)</f>
        <v/>
      </c>
      <c r="AZ11" s="5">
        <f>IF((((AX11+AY11)/2)+(C11/(D11*((AX11+AY11)/2)))^2/(2*9.81)+B11-(G10+H10^2/(2*9.81))-(A10-A11)*(((DATOS!$B$34*(C11/(D11*((AX11+AY11)/2)))/((D11*((AX11+AY11)/2))/(D11+2*((AX11+AY11)/2)))^(2/3))^2+((DATOS!$B$34*H10/((D10*F10)/(D10+2*F10))^(2/3))^2))/2))&gt;0,AX11,((AX11+AY11)/2))</f>
        <v/>
      </c>
      <c r="BA11" s="5">
        <f>IF((((AX11+AY11)/2)+(C11/(D11*((AX11+AY11)/2)))^2/(2*9.81)+B11-(G10+H10^2/(2*9.81))-(A10-A11)*(((DATOS!$B$34*(C11/(D11*((AX11+AY11)/2)))/((D11*((AX11+AY11)/2))/(D11+2*((AX11+AY11)/2)))^(2/3))^2+((DATOS!$B$34*H10/((D10*F10)/(D10+2*F10))^(2/3))^2))/2))&gt;0,((AX11+AY11)/2),AY11)</f>
        <v/>
      </c>
      <c r="BB11" s="5">
        <f>IF((((AZ11+BA11)/2)+(C11/(D11*((AZ11+BA11)/2)))^2/(2*9.81)+B11-(G10+H10^2/(2*9.81))-(A10-A11)*(((DATOS!$B$34*(C11/(D11*((AZ11+BA11)/2)))/((D11*((AZ11+BA11)/2))/(D11+2*((AZ11+BA11)/2)))^(2/3))^2+((DATOS!$B$34*H10/((D10*F10)/(D10+2*F10))^(2/3))^2))/2))&gt;0,AZ11,((AZ11+BA11)/2))</f>
        <v/>
      </c>
      <c r="BC11" s="5">
        <f>IF((((AZ11+BA11)/2)+(C11/(D11*((AZ11+BA11)/2)))^2/(2*9.81)+B11-(G10+H10^2/(2*9.81))-(A10-A11)*(((DATOS!$B$34*(C11/(D11*((AZ11+BA11)/2)))/((D11*((AZ11+BA11)/2))/(D11+2*((AZ11+BA11)/2)))^(2/3))^2+((DATOS!$B$34*H10/((D10*F10)/(D10+2*F10))^(2/3))^2))/2))&gt;0,((AZ11+BA11)/2),BA11)</f>
        <v/>
      </c>
      <c r="BD11" s="5">
        <f>IF((((BB11+BC11)/2)+(C11/(D11*((BB11+BC11)/2)))^2/(2*9.81)+B11-(G10+H10^2/(2*9.81))-(A10-A11)*(((DATOS!$B$34*(C11/(D11*((BB11+BC11)/2)))/((D11*((BB11+BC11)/2))/(D11+2*((BB11+BC11)/2)))^(2/3))^2+((DATOS!$B$34*H10/((D10*F10)/(D10+2*F10))^(2/3))^2))/2))&gt;0,BB11,((BB11+BC11)/2))</f>
        <v/>
      </c>
      <c r="BE11" s="5">
        <f>IF((((BB11+BC11)/2)+(C11/(D11*((BB11+BC11)/2)))^2/(2*9.81)+B11-(G10+H10^2/(2*9.81))-(A10-A11)*(((DATOS!$B$34*(C11/(D11*((BB11+BC11)/2)))/((D11*((BB11+BC11)/2))/(D11+2*((BB11+BC11)/2)))^(2/3))^2+((DATOS!$B$34*H10/((D10*F10)/(D10+2*F10))^(2/3))^2))/2))&gt;0,((BB11+BC11)/2),BC11)</f>
        <v/>
      </c>
      <c r="BF11" s="5">
        <f>IF((((BD11+BE11)/2)+(C11/(D11*((BD11+BE11)/2)))^2/(2*9.81)+B11-(G10+H10^2/(2*9.81))-(A10-A11)*(((DATOS!$B$34*(C11/(D11*((BD11+BE11)/2)))/((D11*((BD11+BE11)/2))/(D11+2*((BD11+BE11)/2)))^(2/3))^2+((DATOS!$B$34*H10/((D10*F10)/(D10+2*F10))^(2/3))^2))/2))&gt;0,BD11,((BD11+BE11)/2))</f>
        <v/>
      </c>
      <c r="BG11" s="5">
        <f>IF((((BD11+BE11)/2)+(C11/(D11*((BD11+BE11)/2)))^2/(2*9.81)+B11-(G10+H10^2/(2*9.81))-(A10-A11)*(((DATOS!$B$34*(C11/(D11*((BD11+BE11)/2)))/((D11*((BD11+BE11)/2))/(D11+2*((BD11+BE11)/2)))^(2/3))^2+((DATOS!$B$34*H10/((D10*F10)/(D10+2*F10))^(2/3))^2))/2))&gt;0,((BD11+BE11)/2),BE11)</f>
        <v/>
      </c>
      <c r="BH11" s="5">
        <f>IF((((BF11+BG11)/2)+(C11/(D11*((BF11+BG11)/2)))^2/(2*9.81)+B11-(G10+H10^2/(2*9.81))-(A10-A11)*(((DATOS!$B$34*(C11/(D11*((BF11+BG11)/2)))/((D11*((BF11+BG11)/2))/(D11+2*((BF11+BG11)/2)))^(2/3))^2+((DATOS!$B$34*H10/((D10*F10)/(D10+2*F10))^(2/3))^2))/2))&gt;0,BF11,((BF11+BG11)/2))</f>
        <v/>
      </c>
      <c r="BI11" s="5">
        <f>IF((((BF11+BG11)/2)+(C11/(D11*((BF11+BG11)/2)))^2/(2*9.81)+B11-(G10+H10^2/(2*9.81))-(A10-A11)*(((DATOS!$B$34*(C11/(D11*((BF11+BG11)/2)))/((D11*((BF11+BG11)/2))/(D11+2*((BF11+BG11)/2)))^(2/3))^2+((DATOS!$B$34*H10/((D10*F10)/(D10+2*F10))^(2/3))^2))/2))&gt;0,((BF11+BG11)/2),BG11)</f>
        <v/>
      </c>
      <c r="BJ11" s="5">
        <f>IF((((BH11+BI11)/2)+(C11/(D11*((BH11+BI11)/2)))^2/(2*9.81)+B11-(G10+H10^2/(2*9.81))-(A10-A11)*(((DATOS!$B$34*(C11/(D11*((BH11+BI11)/2)))/((D11*((BH11+BI11)/2))/(D11+2*((BH11+BI11)/2)))^(2/3))^2+((DATOS!$B$34*H10/((D10*F10)/(D10+2*F10))^(2/3))^2))/2))&gt;0,BH11,((BH11+BI11)/2))</f>
        <v/>
      </c>
      <c r="BK11" s="5">
        <f>IF((((BH11+BI11)/2)+(C11/(D11*((BH11+BI11)/2)))^2/(2*9.81)+B11-(G10+H10^2/(2*9.81))-(A10-A11)*(((DATOS!$B$34*(C11/(D11*((BH11+BI11)/2)))/((D11*((BH11+BI11)/2))/(D11+2*((BH11+BI11)/2)))^(2/3))^2+((DATOS!$B$34*H10/((D10*F10)/(D10+2*F10))^(2/3))^2))/2))&gt;0,((BH11+BI11)/2),BI11)</f>
        <v/>
      </c>
      <c r="BL11" s="5">
        <f>IF((((BJ11+BK11)/2)+(C11/(D11*((BJ11+BK11)/2)))^2/(2*9.81)+B11-(G10+H10^2/(2*9.81))-(A10-A11)*(((DATOS!$B$34*(C11/(D11*((BJ11+BK11)/2)))/((D11*((BJ11+BK11)/2))/(D11+2*((BJ11+BK11)/2)))^(2/3))^2+((DATOS!$B$34*H10/((D10*F10)/(D10+2*F10))^(2/3))^2))/2))&gt;0,BJ11,((BJ11+BK11)/2))</f>
        <v/>
      </c>
      <c r="BM11" s="5">
        <f>IF((((BJ11+BK11)/2)+(C11/(D11*((BJ11+BK11)/2)))^2/(2*9.81)+B11-(G10+H10^2/(2*9.81))-(A10-A11)*(((DATOS!$B$34*(C11/(D11*((BJ11+BK11)/2)))/((D11*((BJ11+BK11)/2))/(D11+2*((BJ11+BK11)/2)))^(2/3))^2+((DATOS!$B$34*H10/((D10*F10)/(D10+2*F10))^(2/3))^2))/2))&gt;0,((BJ11+BK11)/2),BK11)</f>
        <v/>
      </c>
      <c r="BN11" s="5">
        <f>IF((((BL11+BM11)/2)+(C11/(D11*((BL11+BM11)/2)))^2/(2*9.81)+B11-(G10+H10^2/(2*9.81))-(A10-A11)*(((DATOS!$B$34*(C11/(D11*((BL11+BM11)/2)))/((D11*((BL11+BM11)/2))/(D11+2*((BL11+BM11)/2)))^(2/3))^2+((DATOS!$B$34*H10/((D10*F10)/(D10+2*F10))^(2/3))^2))/2))&gt;0,BL11,((BL11+BM11)/2))</f>
        <v/>
      </c>
      <c r="BO11" s="5">
        <f>IF((((BL11+BM11)/2)+(C11/(D11*((BL11+BM11)/2)))^2/(2*9.81)+B11-(G10+H10^2/(2*9.81))-(A10-A11)*(((DATOS!$B$34*(C11/(D11*((BL11+BM11)/2)))/((D11*((BL11+BM11)/2))/(D11+2*((BL11+BM11)/2)))^(2/3))^2+((DATOS!$B$34*H10/((D10*F10)/(D10+2*F10))^(2/3))^2))/2))&gt;0,((BL11+BM11)/2),BM11)</f>
        <v/>
      </c>
      <c r="BP11" s="5">
        <f>IF((((BN11+BO11)/2)+(C11/(D11*((BN11+BO11)/2)))^2/(2*9.81)+B11-(G10+H10^2/(2*9.81))-(A10-A11)*(((DATOS!$B$34*(C11/(D11*((BN11+BO11)/2)))/((D11*((BN11+BO11)/2))/(D11+2*((BN11+BO11)/2)))^(2/3))^2+((DATOS!$B$34*H10/((D10*F10)/(D10+2*F10))^(2/3))^2))/2))&gt;0,BN11,((BN11+BO11)/2))</f>
        <v/>
      </c>
      <c r="BQ11" s="5">
        <f>IF((((BN11+BO11)/2)+(C11/(D11*((BN11+BO11)/2)))^2/(2*9.81)+B11-(G10+H10^2/(2*9.81))-(A10-A11)*(((DATOS!$B$34*(C11/(D11*((BN11+BO11)/2)))/((D11*((BN11+BO11)/2))/(D11+2*((BN11+BO11)/2)))^(2/3))^2+((DATOS!$B$34*H10/((D10*F10)/(D10+2*F10))^(2/3))^2))/2))&gt;0,((BN11+BO11)/2),BO11)</f>
        <v/>
      </c>
      <c r="BR11" s="5">
        <f>IF((((BP11+BQ11)/2)+(C11/(D11*((BP11+BQ11)/2)))^2/(2*9.81)+B11-(G10+H10^2/(2*9.81))-(A10-A11)*(((DATOS!$B$34*(C11/(D11*((BP11+BQ11)/2)))/((D11*((BP11+BQ11)/2))/(D11+2*((BP11+BQ11)/2)))^(2/3))^2+((DATOS!$B$34*H10/((D10*F10)/(D10+2*F10))^(2/3))^2))/2))&gt;0,BP11,((BP11+BQ11)/2))</f>
        <v/>
      </c>
      <c r="BS11" s="5">
        <f>IF((((BP11+BQ11)/2)+(C11/(D11*((BP11+BQ11)/2)))^2/(2*9.81)+B11-(G10+H10^2/(2*9.81))-(A10-A11)*(((DATOS!$B$34*(C11/(D11*((BP11+BQ11)/2)))/((D11*((BP11+BQ11)/2))/(D11+2*((BP11+BQ11)/2)))^(2/3))^2+((DATOS!$B$34*H10/((D10*F10)/(D10+2*F10))^(2/3))^2))/2))&gt;0,((BP11+BQ11)/2),BQ11)</f>
        <v/>
      </c>
      <c r="BT11" s="5">
        <f>IF((((BR11+BS11)/2)+(C11/(D11*((BR11+BS11)/2)))^2/(2*9.81)+B11-(G10+H10^2/(2*9.81))-(A10-A11)*(((DATOS!$B$34*(C11/(D11*((BR11+BS11)/2)))/((D11*((BR11+BS11)/2))/(D11+2*((BR11+BS11)/2)))^(2/3))^2+((DATOS!$B$34*H10/((D10*F10)/(D10+2*F10))^(2/3))^2))/2))&gt;0,BR11,((BR11+BS11)/2))</f>
        <v/>
      </c>
      <c r="BU11" s="5">
        <f>IF((((BR11+BS11)/2)+(C11/(D11*((BR11+BS11)/2)))^2/(2*9.81)+B11-(G10+H10^2/(2*9.81))-(A10-A11)*(((DATOS!$B$34*(C11/(D11*((BR11+BS11)/2)))/((D11*((BR11+BS11)/2))/(D11+2*((BR11+BS11)/2)))^(2/3))^2+((DATOS!$B$34*H10/((D10*F10)/(D10+2*F10))^(2/3))^2))/2))&gt;0,((BR11+BS11)/2),BS11)</f>
        <v/>
      </c>
      <c r="BV11" s="5">
        <f>IF((((BT11+BU11)/2)+(C11/(D11*((BT11+BU11)/2)))^2/(2*9.81)+B11-(G10+H10^2/(2*9.81))-(A10-A11)*(((DATOS!$B$34*(C11/(D11*((BT11+BU11)/2)))/((D11*((BT11+BU11)/2))/(D11+2*((BT11+BU11)/2)))^(2/3))^2+((DATOS!$B$34*H10/((D10*F10)/(D10+2*F10))^(2/3))^2))/2))&gt;0,BT11,((BT11+BU11)/2))</f>
        <v/>
      </c>
      <c r="BW11" s="5">
        <f>IF((((BT11+BU11)/2)+(C11/(D11*((BT11+BU11)/2)))^2/(2*9.81)+B11-(G10+H10^2/(2*9.81))-(A10-A11)*(((DATOS!$B$34*(C11/(D11*((BT11+BU11)/2)))/((D11*((BT11+BU11)/2))/(D11+2*((BT11+BU11)/2)))^(2/3))^2+((DATOS!$B$34*H10/((D10*F10)/(D10+2*F10))^(2/3))^2))/2))&gt;0,((BT11+BU11)/2),BU11)</f>
        <v/>
      </c>
    </row>
    <row r="12">
      <c r="A12" s="13" t="n">
        <v>66.89</v>
      </c>
      <c r="B12" s="16">
        <f>DATOS!$B$22-DATOS!$B$23*A12</f>
        <v/>
      </c>
      <c r="C12" s="24">
        <f>CAUDALES!$B$13</f>
        <v/>
      </c>
      <c r="D12" s="17">
        <f>DATOS!$B$17</f>
        <v/>
      </c>
      <c r="E12" s="16">
        <f>(C12^2/(9.81*D12^2))^(1/3)</f>
        <v/>
      </c>
      <c r="F12" s="16">
        <f>(BV12+BW12)/2</f>
        <v/>
      </c>
      <c r="G12" s="16">
        <f>B12+F12</f>
        <v/>
      </c>
      <c r="H12" s="19">
        <f>C12/(D12*F12)</f>
        <v/>
      </c>
      <c r="I12" s="19">
        <f>H12/SQRT(9.81*F12)</f>
        <v/>
      </c>
      <c r="J12" s="16">
        <f>DATOS!$B$29-IF(AND(A12&gt;=DATOS!$B$30,A12&lt;DATOS!$B$31),DATOS!$B$21,DATOS!$B$20)</f>
        <v/>
      </c>
      <c r="K12" s="19">
        <f>J12-B12</f>
        <v/>
      </c>
      <c r="L12" s="19">
        <f>F12/K12</f>
        <v/>
      </c>
      <c r="M12" s="16">
        <f>J12-G12</f>
        <v/>
      </c>
      <c r="N12" s="5">
        <f>IF(AND(L12&lt;=DATOS!$B$36,M12&gt;=DATOS!$B$37,I12&lt;=1),"CUMPLE","NO CUMPLE")</f>
        <v/>
      </c>
      <c r="O12" s="5">
        <f>IF(AND(A12&gt;=DATOS!$B$30,A12&lt;DATOS!$B$31),"cruce de camiones",IF(AND(A12&gt;=DATOS!$B$32,A12&lt;DATOS!$B$33),"cruce de motos","tramo normal"))</f>
        <v/>
      </c>
      <c r="P12" s="5">
        <f>E12*1.001</f>
        <v/>
      </c>
      <c r="Q12" s="13" t="n">
        <v>3</v>
      </c>
      <c r="R12" s="5">
        <f>IF((((P12+Q12)/2)+(C12/(D12*((P12+Q12)/2)))^2/(2*9.81)+B12-(G11+H11^2/(2*9.81))-(A11-A12)*(((DATOS!$B$34*(C12/(D12*((P12+Q12)/2)))/((D12*((P12+Q12)/2))/(D12+2*((P12+Q12)/2)))^(2/3))^2+((DATOS!$B$34*H11/((D11*F11)/(D11+2*F11))^(2/3))^2))/2))&gt;0,P12,((P12+Q12)/2))</f>
        <v/>
      </c>
      <c r="S12" s="5">
        <f>IF((((P12+Q12)/2)+(C12/(D12*((P12+Q12)/2)))^2/(2*9.81)+B12-(G11+H11^2/(2*9.81))-(A11-A12)*(((DATOS!$B$34*(C12/(D12*((P12+Q12)/2)))/((D12*((P12+Q12)/2))/(D12+2*((P12+Q12)/2)))^(2/3))^2+((DATOS!$B$34*H11/((D11*F11)/(D11+2*F11))^(2/3))^2))/2))&gt;0,((P12+Q12)/2),Q12)</f>
        <v/>
      </c>
      <c r="T12" s="5">
        <f>IF((((R12+S12)/2)+(C12/(D12*((R12+S12)/2)))^2/(2*9.81)+B12-(G11+H11^2/(2*9.81))-(A11-A12)*(((DATOS!$B$34*(C12/(D12*((R12+S12)/2)))/((D12*((R12+S12)/2))/(D12+2*((R12+S12)/2)))^(2/3))^2+((DATOS!$B$34*H11/((D11*F11)/(D11+2*F11))^(2/3))^2))/2))&gt;0,R12,((R12+S12)/2))</f>
        <v/>
      </c>
      <c r="U12" s="5">
        <f>IF((((R12+S12)/2)+(C12/(D12*((R12+S12)/2)))^2/(2*9.81)+B12-(G11+H11^2/(2*9.81))-(A11-A12)*(((DATOS!$B$34*(C12/(D12*((R12+S12)/2)))/((D12*((R12+S12)/2))/(D12+2*((R12+S12)/2)))^(2/3))^2+((DATOS!$B$34*H11/((D11*F11)/(D11+2*F11))^(2/3))^2))/2))&gt;0,((R12+S12)/2),S12)</f>
        <v/>
      </c>
      <c r="V12" s="5">
        <f>IF((((T12+U12)/2)+(C12/(D12*((T12+U12)/2)))^2/(2*9.81)+B12-(G11+H11^2/(2*9.81))-(A11-A12)*(((DATOS!$B$34*(C12/(D12*((T12+U12)/2)))/((D12*((T12+U12)/2))/(D12+2*((T12+U12)/2)))^(2/3))^2+((DATOS!$B$34*H11/((D11*F11)/(D11+2*F11))^(2/3))^2))/2))&gt;0,T12,((T12+U12)/2))</f>
        <v/>
      </c>
      <c r="W12" s="5">
        <f>IF((((T12+U12)/2)+(C12/(D12*((T12+U12)/2)))^2/(2*9.81)+B12-(G11+H11^2/(2*9.81))-(A11-A12)*(((DATOS!$B$34*(C12/(D12*((T12+U12)/2)))/((D12*((T12+U12)/2))/(D12+2*((T12+U12)/2)))^(2/3))^2+((DATOS!$B$34*H11/((D11*F11)/(D11+2*F11))^(2/3))^2))/2))&gt;0,((T12+U12)/2),U12)</f>
        <v/>
      </c>
      <c r="X12" s="5">
        <f>IF((((V12+W12)/2)+(C12/(D12*((V12+W12)/2)))^2/(2*9.81)+B12-(G11+H11^2/(2*9.81))-(A11-A12)*(((DATOS!$B$34*(C12/(D12*((V12+W12)/2)))/((D12*((V12+W12)/2))/(D12+2*((V12+W12)/2)))^(2/3))^2+((DATOS!$B$34*H11/((D11*F11)/(D11+2*F11))^(2/3))^2))/2))&gt;0,V12,((V12+W12)/2))</f>
        <v/>
      </c>
      <c r="Y12" s="5">
        <f>IF((((V12+W12)/2)+(C12/(D12*((V12+W12)/2)))^2/(2*9.81)+B12-(G11+H11^2/(2*9.81))-(A11-A12)*(((DATOS!$B$34*(C12/(D12*((V12+W12)/2)))/((D12*((V12+W12)/2))/(D12+2*((V12+W12)/2)))^(2/3))^2+((DATOS!$B$34*H11/((D11*F11)/(D11+2*F11))^(2/3))^2))/2))&gt;0,((V12+W12)/2),W12)</f>
        <v/>
      </c>
      <c r="Z12" s="5">
        <f>IF((((X12+Y12)/2)+(C12/(D12*((X12+Y12)/2)))^2/(2*9.81)+B12-(G11+H11^2/(2*9.81))-(A11-A12)*(((DATOS!$B$34*(C12/(D12*((X12+Y12)/2)))/((D12*((X12+Y12)/2))/(D12+2*((X12+Y12)/2)))^(2/3))^2+((DATOS!$B$34*H11/((D11*F11)/(D11+2*F11))^(2/3))^2))/2))&gt;0,X12,((X12+Y12)/2))</f>
        <v/>
      </c>
      <c r="AA12" s="5">
        <f>IF((((X12+Y12)/2)+(C12/(D12*((X12+Y12)/2)))^2/(2*9.81)+B12-(G11+H11^2/(2*9.81))-(A11-A12)*(((DATOS!$B$34*(C12/(D12*((X12+Y12)/2)))/((D12*((X12+Y12)/2))/(D12+2*((X12+Y12)/2)))^(2/3))^2+((DATOS!$B$34*H11/((D11*F11)/(D11+2*F11))^(2/3))^2))/2))&gt;0,((X12+Y12)/2),Y12)</f>
        <v/>
      </c>
      <c r="AB12" s="5">
        <f>IF((((Z12+AA12)/2)+(C12/(D12*((Z12+AA12)/2)))^2/(2*9.81)+B12-(G11+H11^2/(2*9.81))-(A11-A12)*(((DATOS!$B$34*(C12/(D12*((Z12+AA12)/2)))/((D12*((Z12+AA12)/2))/(D12+2*((Z12+AA12)/2)))^(2/3))^2+((DATOS!$B$34*H11/((D11*F11)/(D11+2*F11))^(2/3))^2))/2))&gt;0,Z12,((Z12+AA12)/2))</f>
        <v/>
      </c>
      <c r="AC12" s="5">
        <f>IF((((Z12+AA12)/2)+(C12/(D12*((Z12+AA12)/2)))^2/(2*9.81)+B12-(G11+H11^2/(2*9.81))-(A11-A12)*(((DATOS!$B$34*(C12/(D12*((Z12+AA12)/2)))/((D12*((Z12+AA12)/2))/(D12+2*((Z12+AA12)/2)))^(2/3))^2+((DATOS!$B$34*H11/((D11*F11)/(D11+2*F11))^(2/3))^2))/2))&gt;0,((Z12+AA12)/2),AA12)</f>
        <v/>
      </c>
      <c r="AD12" s="5">
        <f>IF((((AB12+AC12)/2)+(C12/(D12*((AB12+AC12)/2)))^2/(2*9.81)+B12-(G11+H11^2/(2*9.81))-(A11-A12)*(((DATOS!$B$34*(C12/(D12*((AB12+AC12)/2)))/((D12*((AB12+AC12)/2))/(D12+2*((AB12+AC12)/2)))^(2/3))^2+((DATOS!$B$34*H11/((D11*F11)/(D11+2*F11))^(2/3))^2))/2))&gt;0,AB12,((AB12+AC12)/2))</f>
        <v/>
      </c>
      <c r="AE12" s="5">
        <f>IF((((AB12+AC12)/2)+(C12/(D12*((AB12+AC12)/2)))^2/(2*9.81)+B12-(G11+H11^2/(2*9.81))-(A11-A12)*(((DATOS!$B$34*(C12/(D12*((AB12+AC12)/2)))/((D12*((AB12+AC12)/2))/(D12+2*((AB12+AC12)/2)))^(2/3))^2+((DATOS!$B$34*H11/((D11*F11)/(D11+2*F11))^(2/3))^2))/2))&gt;0,((AB12+AC12)/2),AC12)</f>
        <v/>
      </c>
      <c r="AF12" s="5">
        <f>IF((((AD12+AE12)/2)+(C12/(D12*((AD12+AE12)/2)))^2/(2*9.81)+B12-(G11+H11^2/(2*9.81))-(A11-A12)*(((DATOS!$B$34*(C12/(D12*((AD12+AE12)/2)))/((D12*((AD12+AE12)/2))/(D12+2*((AD12+AE12)/2)))^(2/3))^2+((DATOS!$B$34*H11/((D11*F11)/(D11+2*F11))^(2/3))^2))/2))&gt;0,AD12,((AD12+AE12)/2))</f>
        <v/>
      </c>
      <c r="AG12" s="5">
        <f>IF((((AD12+AE12)/2)+(C12/(D12*((AD12+AE12)/2)))^2/(2*9.81)+B12-(G11+H11^2/(2*9.81))-(A11-A12)*(((DATOS!$B$34*(C12/(D12*((AD12+AE12)/2)))/((D12*((AD12+AE12)/2))/(D12+2*((AD12+AE12)/2)))^(2/3))^2+((DATOS!$B$34*H11/((D11*F11)/(D11+2*F11))^(2/3))^2))/2))&gt;0,((AD12+AE12)/2),AE12)</f>
        <v/>
      </c>
      <c r="AH12" s="5">
        <f>IF((((AF12+AG12)/2)+(C12/(D12*((AF12+AG12)/2)))^2/(2*9.81)+B12-(G11+H11^2/(2*9.81))-(A11-A12)*(((DATOS!$B$34*(C12/(D12*((AF12+AG12)/2)))/((D12*((AF12+AG12)/2))/(D12+2*((AF12+AG12)/2)))^(2/3))^2+((DATOS!$B$34*H11/((D11*F11)/(D11+2*F11))^(2/3))^2))/2))&gt;0,AF12,((AF12+AG12)/2))</f>
        <v/>
      </c>
      <c r="AI12" s="5">
        <f>IF((((AF12+AG12)/2)+(C12/(D12*((AF12+AG12)/2)))^2/(2*9.81)+B12-(G11+H11^2/(2*9.81))-(A11-A12)*(((DATOS!$B$34*(C12/(D12*((AF12+AG12)/2)))/((D12*((AF12+AG12)/2))/(D12+2*((AF12+AG12)/2)))^(2/3))^2+((DATOS!$B$34*H11/((D11*F11)/(D11+2*F11))^(2/3))^2))/2))&gt;0,((AF12+AG12)/2),AG12)</f>
        <v/>
      </c>
      <c r="AJ12" s="5">
        <f>IF((((AH12+AI12)/2)+(C12/(D12*((AH12+AI12)/2)))^2/(2*9.81)+B12-(G11+H11^2/(2*9.81))-(A11-A12)*(((DATOS!$B$34*(C12/(D12*((AH12+AI12)/2)))/((D12*((AH12+AI12)/2))/(D12+2*((AH12+AI12)/2)))^(2/3))^2+((DATOS!$B$34*H11/((D11*F11)/(D11+2*F11))^(2/3))^2))/2))&gt;0,AH12,((AH12+AI12)/2))</f>
        <v/>
      </c>
      <c r="AK12" s="5">
        <f>IF((((AH12+AI12)/2)+(C12/(D12*((AH12+AI12)/2)))^2/(2*9.81)+B12-(G11+H11^2/(2*9.81))-(A11-A12)*(((DATOS!$B$34*(C12/(D12*((AH12+AI12)/2)))/((D12*((AH12+AI12)/2))/(D12+2*((AH12+AI12)/2)))^(2/3))^2+((DATOS!$B$34*H11/((D11*F11)/(D11+2*F11))^(2/3))^2))/2))&gt;0,((AH12+AI12)/2),AI12)</f>
        <v/>
      </c>
      <c r="AL12" s="5">
        <f>IF((((AJ12+AK12)/2)+(C12/(D12*((AJ12+AK12)/2)))^2/(2*9.81)+B12-(G11+H11^2/(2*9.81))-(A11-A12)*(((DATOS!$B$34*(C12/(D12*((AJ12+AK12)/2)))/((D12*((AJ12+AK12)/2))/(D12+2*((AJ12+AK12)/2)))^(2/3))^2+((DATOS!$B$34*H11/((D11*F11)/(D11+2*F11))^(2/3))^2))/2))&gt;0,AJ12,((AJ12+AK12)/2))</f>
        <v/>
      </c>
      <c r="AM12" s="5">
        <f>IF((((AJ12+AK12)/2)+(C12/(D12*((AJ12+AK12)/2)))^2/(2*9.81)+B12-(G11+H11^2/(2*9.81))-(A11-A12)*(((DATOS!$B$34*(C12/(D12*((AJ12+AK12)/2)))/((D12*((AJ12+AK12)/2))/(D12+2*((AJ12+AK12)/2)))^(2/3))^2+((DATOS!$B$34*H11/((D11*F11)/(D11+2*F11))^(2/3))^2))/2))&gt;0,((AJ12+AK12)/2),AK12)</f>
        <v/>
      </c>
      <c r="AN12" s="5">
        <f>IF((((AL12+AM12)/2)+(C12/(D12*((AL12+AM12)/2)))^2/(2*9.81)+B12-(G11+H11^2/(2*9.81))-(A11-A12)*(((DATOS!$B$34*(C12/(D12*((AL12+AM12)/2)))/((D12*((AL12+AM12)/2))/(D12+2*((AL12+AM12)/2)))^(2/3))^2+((DATOS!$B$34*H11/((D11*F11)/(D11+2*F11))^(2/3))^2))/2))&gt;0,AL12,((AL12+AM12)/2))</f>
        <v/>
      </c>
      <c r="AO12" s="5">
        <f>IF((((AL12+AM12)/2)+(C12/(D12*((AL12+AM12)/2)))^2/(2*9.81)+B12-(G11+H11^2/(2*9.81))-(A11-A12)*(((DATOS!$B$34*(C12/(D12*((AL12+AM12)/2)))/((D12*((AL12+AM12)/2))/(D12+2*((AL12+AM12)/2)))^(2/3))^2+((DATOS!$B$34*H11/((D11*F11)/(D11+2*F11))^(2/3))^2))/2))&gt;0,((AL12+AM12)/2),AM12)</f>
        <v/>
      </c>
      <c r="AP12" s="5">
        <f>IF((((AN12+AO12)/2)+(C12/(D12*((AN12+AO12)/2)))^2/(2*9.81)+B12-(G11+H11^2/(2*9.81))-(A11-A12)*(((DATOS!$B$34*(C12/(D12*((AN12+AO12)/2)))/((D12*((AN12+AO12)/2))/(D12+2*((AN12+AO12)/2)))^(2/3))^2+((DATOS!$B$34*H11/((D11*F11)/(D11+2*F11))^(2/3))^2))/2))&gt;0,AN12,((AN12+AO12)/2))</f>
        <v/>
      </c>
      <c r="AQ12" s="5">
        <f>IF((((AN12+AO12)/2)+(C12/(D12*((AN12+AO12)/2)))^2/(2*9.81)+B12-(G11+H11^2/(2*9.81))-(A11-A12)*(((DATOS!$B$34*(C12/(D12*((AN12+AO12)/2)))/((D12*((AN12+AO12)/2))/(D12+2*((AN12+AO12)/2)))^(2/3))^2+((DATOS!$B$34*H11/((D11*F11)/(D11+2*F11))^(2/3))^2))/2))&gt;0,((AN12+AO12)/2),AO12)</f>
        <v/>
      </c>
      <c r="AR12" s="5">
        <f>IF((((AP12+AQ12)/2)+(C12/(D12*((AP12+AQ12)/2)))^2/(2*9.81)+B12-(G11+H11^2/(2*9.81))-(A11-A12)*(((DATOS!$B$34*(C12/(D12*((AP12+AQ12)/2)))/((D12*((AP12+AQ12)/2))/(D12+2*((AP12+AQ12)/2)))^(2/3))^2+((DATOS!$B$34*H11/((D11*F11)/(D11+2*F11))^(2/3))^2))/2))&gt;0,AP12,((AP12+AQ12)/2))</f>
        <v/>
      </c>
      <c r="AS12" s="5">
        <f>IF((((AP12+AQ12)/2)+(C12/(D12*((AP12+AQ12)/2)))^2/(2*9.81)+B12-(G11+H11^2/(2*9.81))-(A11-A12)*(((DATOS!$B$34*(C12/(D12*((AP12+AQ12)/2)))/((D12*((AP12+AQ12)/2))/(D12+2*((AP12+AQ12)/2)))^(2/3))^2+((DATOS!$B$34*H11/((D11*F11)/(D11+2*F11))^(2/3))^2))/2))&gt;0,((AP12+AQ12)/2),AQ12)</f>
        <v/>
      </c>
      <c r="AT12" s="5">
        <f>IF((((AR12+AS12)/2)+(C12/(D12*((AR12+AS12)/2)))^2/(2*9.81)+B12-(G11+H11^2/(2*9.81))-(A11-A12)*(((DATOS!$B$34*(C12/(D12*((AR12+AS12)/2)))/((D12*((AR12+AS12)/2))/(D12+2*((AR12+AS12)/2)))^(2/3))^2+((DATOS!$B$34*H11/((D11*F11)/(D11+2*F11))^(2/3))^2))/2))&gt;0,AR12,((AR12+AS12)/2))</f>
        <v/>
      </c>
      <c r="AU12" s="5">
        <f>IF((((AR12+AS12)/2)+(C12/(D12*((AR12+AS12)/2)))^2/(2*9.81)+B12-(G11+H11^2/(2*9.81))-(A11-A12)*(((DATOS!$B$34*(C12/(D12*((AR12+AS12)/2)))/((D12*((AR12+AS12)/2))/(D12+2*((AR12+AS12)/2)))^(2/3))^2+((DATOS!$B$34*H11/((D11*F11)/(D11+2*F11))^(2/3))^2))/2))&gt;0,((AR12+AS12)/2),AS12)</f>
        <v/>
      </c>
      <c r="AV12" s="5">
        <f>IF((((AT12+AU12)/2)+(C12/(D12*((AT12+AU12)/2)))^2/(2*9.81)+B12-(G11+H11^2/(2*9.81))-(A11-A12)*(((DATOS!$B$34*(C12/(D12*((AT12+AU12)/2)))/((D12*((AT12+AU12)/2))/(D12+2*((AT12+AU12)/2)))^(2/3))^2+((DATOS!$B$34*H11/((D11*F11)/(D11+2*F11))^(2/3))^2))/2))&gt;0,AT12,((AT12+AU12)/2))</f>
        <v/>
      </c>
      <c r="AW12" s="5">
        <f>IF((((AT12+AU12)/2)+(C12/(D12*((AT12+AU12)/2)))^2/(2*9.81)+B12-(G11+H11^2/(2*9.81))-(A11-A12)*(((DATOS!$B$34*(C12/(D12*((AT12+AU12)/2)))/((D12*((AT12+AU12)/2))/(D12+2*((AT12+AU12)/2)))^(2/3))^2+((DATOS!$B$34*H11/((D11*F11)/(D11+2*F11))^(2/3))^2))/2))&gt;0,((AT12+AU12)/2),AU12)</f>
        <v/>
      </c>
      <c r="AX12" s="5">
        <f>IF((((AV12+AW12)/2)+(C12/(D12*((AV12+AW12)/2)))^2/(2*9.81)+B12-(G11+H11^2/(2*9.81))-(A11-A12)*(((DATOS!$B$34*(C12/(D12*((AV12+AW12)/2)))/((D12*((AV12+AW12)/2))/(D12+2*((AV12+AW12)/2)))^(2/3))^2+((DATOS!$B$34*H11/((D11*F11)/(D11+2*F11))^(2/3))^2))/2))&gt;0,AV12,((AV12+AW12)/2))</f>
        <v/>
      </c>
      <c r="AY12" s="5">
        <f>IF((((AV12+AW12)/2)+(C12/(D12*((AV12+AW12)/2)))^2/(2*9.81)+B12-(G11+H11^2/(2*9.81))-(A11-A12)*(((DATOS!$B$34*(C12/(D12*((AV12+AW12)/2)))/((D12*((AV12+AW12)/2))/(D12+2*((AV12+AW12)/2)))^(2/3))^2+((DATOS!$B$34*H11/((D11*F11)/(D11+2*F11))^(2/3))^2))/2))&gt;0,((AV12+AW12)/2),AW12)</f>
        <v/>
      </c>
      <c r="AZ12" s="5">
        <f>IF((((AX12+AY12)/2)+(C12/(D12*((AX12+AY12)/2)))^2/(2*9.81)+B12-(G11+H11^2/(2*9.81))-(A11-A12)*(((DATOS!$B$34*(C12/(D12*((AX12+AY12)/2)))/((D12*((AX12+AY12)/2))/(D12+2*((AX12+AY12)/2)))^(2/3))^2+((DATOS!$B$34*H11/((D11*F11)/(D11+2*F11))^(2/3))^2))/2))&gt;0,AX12,((AX12+AY12)/2))</f>
        <v/>
      </c>
      <c r="BA12" s="5">
        <f>IF((((AX12+AY12)/2)+(C12/(D12*((AX12+AY12)/2)))^2/(2*9.81)+B12-(G11+H11^2/(2*9.81))-(A11-A12)*(((DATOS!$B$34*(C12/(D12*((AX12+AY12)/2)))/((D12*((AX12+AY12)/2))/(D12+2*((AX12+AY12)/2)))^(2/3))^2+((DATOS!$B$34*H11/((D11*F11)/(D11+2*F11))^(2/3))^2))/2))&gt;0,((AX12+AY12)/2),AY12)</f>
        <v/>
      </c>
      <c r="BB12" s="5">
        <f>IF((((AZ12+BA12)/2)+(C12/(D12*((AZ12+BA12)/2)))^2/(2*9.81)+B12-(G11+H11^2/(2*9.81))-(A11-A12)*(((DATOS!$B$34*(C12/(D12*((AZ12+BA12)/2)))/((D12*((AZ12+BA12)/2))/(D12+2*((AZ12+BA12)/2)))^(2/3))^2+((DATOS!$B$34*H11/((D11*F11)/(D11+2*F11))^(2/3))^2))/2))&gt;0,AZ12,((AZ12+BA12)/2))</f>
        <v/>
      </c>
      <c r="BC12" s="5">
        <f>IF((((AZ12+BA12)/2)+(C12/(D12*((AZ12+BA12)/2)))^2/(2*9.81)+B12-(G11+H11^2/(2*9.81))-(A11-A12)*(((DATOS!$B$34*(C12/(D12*((AZ12+BA12)/2)))/((D12*((AZ12+BA12)/2))/(D12+2*((AZ12+BA12)/2)))^(2/3))^2+((DATOS!$B$34*H11/((D11*F11)/(D11+2*F11))^(2/3))^2))/2))&gt;0,((AZ12+BA12)/2),BA12)</f>
        <v/>
      </c>
      <c r="BD12" s="5">
        <f>IF((((BB12+BC12)/2)+(C12/(D12*((BB12+BC12)/2)))^2/(2*9.81)+B12-(G11+H11^2/(2*9.81))-(A11-A12)*(((DATOS!$B$34*(C12/(D12*((BB12+BC12)/2)))/((D12*((BB12+BC12)/2))/(D12+2*((BB12+BC12)/2)))^(2/3))^2+((DATOS!$B$34*H11/((D11*F11)/(D11+2*F11))^(2/3))^2))/2))&gt;0,BB12,((BB12+BC12)/2))</f>
        <v/>
      </c>
      <c r="BE12" s="5">
        <f>IF((((BB12+BC12)/2)+(C12/(D12*((BB12+BC12)/2)))^2/(2*9.81)+B12-(G11+H11^2/(2*9.81))-(A11-A12)*(((DATOS!$B$34*(C12/(D12*((BB12+BC12)/2)))/((D12*((BB12+BC12)/2))/(D12+2*((BB12+BC12)/2)))^(2/3))^2+((DATOS!$B$34*H11/((D11*F11)/(D11+2*F11))^(2/3))^2))/2))&gt;0,((BB12+BC12)/2),BC12)</f>
        <v/>
      </c>
      <c r="BF12" s="5">
        <f>IF((((BD12+BE12)/2)+(C12/(D12*((BD12+BE12)/2)))^2/(2*9.81)+B12-(G11+H11^2/(2*9.81))-(A11-A12)*(((DATOS!$B$34*(C12/(D12*((BD12+BE12)/2)))/((D12*((BD12+BE12)/2))/(D12+2*((BD12+BE12)/2)))^(2/3))^2+((DATOS!$B$34*H11/((D11*F11)/(D11+2*F11))^(2/3))^2))/2))&gt;0,BD12,((BD12+BE12)/2))</f>
        <v/>
      </c>
      <c r="BG12" s="5">
        <f>IF((((BD12+BE12)/2)+(C12/(D12*((BD12+BE12)/2)))^2/(2*9.81)+B12-(G11+H11^2/(2*9.81))-(A11-A12)*(((DATOS!$B$34*(C12/(D12*((BD12+BE12)/2)))/((D12*((BD12+BE12)/2))/(D12+2*((BD12+BE12)/2)))^(2/3))^2+((DATOS!$B$34*H11/((D11*F11)/(D11+2*F11))^(2/3))^2))/2))&gt;0,((BD12+BE12)/2),BE12)</f>
        <v/>
      </c>
      <c r="BH12" s="5">
        <f>IF((((BF12+BG12)/2)+(C12/(D12*((BF12+BG12)/2)))^2/(2*9.81)+B12-(G11+H11^2/(2*9.81))-(A11-A12)*(((DATOS!$B$34*(C12/(D12*((BF12+BG12)/2)))/((D12*((BF12+BG12)/2))/(D12+2*((BF12+BG12)/2)))^(2/3))^2+((DATOS!$B$34*H11/((D11*F11)/(D11+2*F11))^(2/3))^2))/2))&gt;0,BF12,((BF12+BG12)/2))</f>
        <v/>
      </c>
      <c r="BI12" s="5">
        <f>IF((((BF12+BG12)/2)+(C12/(D12*((BF12+BG12)/2)))^2/(2*9.81)+B12-(G11+H11^2/(2*9.81))-(A11-A12)*(((DATOS!$B$34*(C12/(D12*((BF12+BG12)/2)))/((D12*((BF12+BG12)/2))/(D12+2*((BF12+BG12)/2)))^(2/3))^2+((DATOS!$B$34*H11/((D11*F11)/(D11+2*F11))^(2/3))^2))/2))&gt;0,((BF12+BG12)/2),BG12)</f>
        <v/>
      </c>
      <c r="BJ12" s="5">
        <f>IF((((BH12+BI12)/2)+(C12/(D12*((BH12+BI12)/2)))^2/(2*9.81)+B12-(G11+H11^2/(2*9.81))-(A11-A12)*(((DATOS!$B$34*(C12/(D12*((BH12+BI12)/2)))/((D12*((BH12+BI12)/2))/(D12+2*((BH12+BI12)/2)))^(2/3))^2+((DATOS!$B$34*H11/((D11*F11)/(D11+2*F11))^(2/3))^2))/2))&gt;0,BH12,((BH12+BI12)/2))</f>
        <v/>
      </c>
      <c r="BK12" s="5">
        <f>IF((((BH12+BI12)/2)+(C12/(D12*((BH12+BI12)/2)))^2/(2*9.81)+B12-(G11+H11^2/(2*9.81))-(A11-A12)*(((DATOS!$B$34*(C12/(D12*((BH12+BI12)/2)))/((D12*((BH12+BI12)/2))/(D12+2*((BH12+BI12)/2)))^(2/3))^2+((DATOS!$B$34*H11/((D11*F11)/(D11+2*F11))^(2/3))^2))/2))&gt;0,((BH12+BI12)/2),BI12)</f>
        <v/>
      </c>
      <c r="BL12" s="5">
        <f>IF((((BJ12+BK12)/2)+(C12/(D12*((BJ12+BK12)/2)))^2/(2*9.81)+B12-(G11+H11^2/(2*9.81))-(A11-A12)*(((DATOS!$B$34*(C12/(D12*((BJ12+BK12)/2)))/((D12*((BJ12+BK12)/2))/(D12+2*((BJ12+BK12)/2)))^(2/3))^2+((DATOS!$B$34*H11/((D11*F11)/(D11+2*F11))^(2/3))^2))/2))&gt;0,BJ12,((BJ12+BK12)/2))</f>
        <v/>
      </c>
      <c r="BM12" s="5">
        <f>IF((((BJ12+BK12)/2)+(C12/(D12*((BJ12+BK12)/2)))^2/(2*9.81)+B12-(G11+H11^2/(2*9.81))-(A11-A12)*(((DATOS!$B$34*(C12/(D12*((BJ12+BK12)/2)))/((D12*((BJ12+BK12)/2))/(D12+2*((BJ12+BK12)/2)))^(2/3))^2+((DATOS!$B$34*H11/((D11*F11)/(D11+2*F11))^(2/3))^2))/2))&gt;0,((BJ12+BK12)/2),BK12)</f>
        <v/>
      </c>
      <c r="BN12" s="5">
        <f>IF((((BL12+BM12)/2)+(C12/(D12*((BL12+BM12)/2)))^2/(2*9.81)+B12-(G11+H11^2/(2*9.81))-(A11-A12)*(((DATOS!$B$34*(C12/(D12*((BL12+BM12)/2)))/((D12*((BL12+BM12)/2))/(D12+2*((BL12+BM12)/2)))^(2/3))^2+((DATOS!$B$34*H11/((D11*F11)/(D11+2*F11))^(2/3))^2))/2))&gt;0,BL12,((BL12+BM12)/2))</f>
        <v/>
      </c>
      <c r="BO12" s="5">
        <f>IF((((BL12+BM12)/2)+(C12/(D12*((BL12+BM12)/2)))^2/(2*9.81)+B12-(G11+H11^2/(2*9.81))-(A11-A12)*(((DATOS!$B$34*(C12/(D12*((BL12+BM12)/2)))/((D12*((BL12+BM12)/2))/(D12+2*((BL12+BM12)/2)))^(2/3))^2+((DATOS!$B$34*H11/((D11*F11)/(D11+2*F11))^(2/3))^2))/2))&gt;0,((BL12+BM12)/2),BM12)</f>
        <v/>
      </c>
      <c r="BP12" s="5">
        <f>IF((((BN12+BO12)/2)+(C12/(D12*((BN12+BO12)/2)))^2/(2*9.81)+B12-(G11+H11^2/(2*9.81))-(A11-A12)*(((DATOS!$B$34*(C12/(D12*((BN12+BO12)/2)))/((D12*((BN12+BO12)/2))/(D12+2*((BN12+BO12)/2)))^(2/3))^2+((DATOS!$B$34*H11/((D11*F11)/(D11+2*F11))^(2/3))^2))/2))&gt;0,BN12,((BN12+BO12)/2))</f>
        <v/>
      </c>
      <c r="BQ12" s="5">
        <f>IF((((BN12+BO12)/2)+(C12/(D12*((BN12+BO12)/2)))^2/(2*9.81)+B12-(G11+H11^2/(2*9.81))-(A11-A12)*(((DATOS!$B$34*(C12/(D12*((BN12+BO12)/2)))/((D12*((BN12+BO12)/2))/(D12+2*((BN12+BO12)/2)))^(2/3))^2+((DATOS!$B$34*H11/((D11*F11)/(D11+2*F11))^(2/3))^2))/2))&gt;0,((BN12+BO12)/2),BO12)</f>
        <v/>
      </c>
      <c r="BR12" s="5">
        <f>IF((((BP12+BQ12)/2)+(C12/(D12*((BP12+BQ12)/2)))^2/(2*9.81)+B12-(G11+H11^2/(2*9.81))-(A11-A12)*(((DATOS!$B$34*(C12/(D12*((BP12+BQ12)/2)))/((D12*((BP12+BQ12)/2))/(D12+2*((BP12+BQ12)/2)))^(2/3))^2+((DATOS!$B$34*H11/((D11*F11)/(D11+2*F11))^(2/3))^2))/2))&gt;0,BP12,((BP12+BQ12)/2))</f>
        <v/>
      </c>
      <c r="BS12" s="5">
        <f>IF((((BP12+BQ12)/2)+(C12/(D12*((BP12+BQ12)/2)))^2/(2*9.81)+B12-(G11+H11^2/(2*9.81))-(A11-A12)*(((DATOS!$B$34*(C12/(D12*((BP12+BQ12)/2)))/((D12*((BP12+BQ12)/2))/(D12+2*((BP12+BQ12)/2)))^(2/3))^2+((DATOS!$B$34*H11/((D11*F11)/(D11+2*F11))^(2/3))^2))/2))&gt;0,((BP12+BQ12)/2),BQ12)</f>
        <v/>
      </c>
      <c r="BT12" s="5">
        <f>IF((((BR12+BS12)/2)+(C12/(D12*((BR12+BS12)/2)))^2/(2*9.81)+B12-(G11+H11^2/(2*9.81))-(A11-A12)*(((DATOS!$B$34*(C12/(D12*((BR12+BS12)/2)))/((D12*((BR12+BS12)/2))/(D12+2*((BR12+BS12)/2)))^(2/3))^2+((DATOS!$B$34*H11/((D11*F11)/(D11+2*F11))^(2/3))^2))/2))&gt;0,BR12,((BR12+BS12)/2))</f>
        <v/>
      </c>
      <c r="BU12" s="5">
        <f>IF((((BR12+BS12)/2)+(C12/(D12*((BR12+BS12)/2)))^2/(2*9.81)+B12-(G11+H11^2/(2*9.81))-(A11-A12)*(((DATOS!$B$34*(C12/(D12*((BR12+BS12)/2)))/((D12*((BR12+BS12)/2))/(D12+2*((BR12+BS12)/2)))^(2/3))^2+((DATOS!$B$34*H11/((D11*F11)/(D11+2*F11))^(2/3))^2))/2))&gt;0,((BR12+BS12)/2),BS12)</f>
        <v/>
      </c>
      <c r="BV12" s="5">
        <f>IF((((BT12+BU12)/2)+(C12/(D12*((BT12+BU12)/2)))^2/(2*9.81)+B12-(G11+H11^2/(2*9.81))-(A11-A12)*(((DATOS!$B$34*(C12/(D12*((BT12+BU12)/2)))/((D12*((BT12+BU12)/2))/(D12+2*((BT12+BU12)/2)))^(2/3))^2+((DATOS!$B$34*H11/((D11*F11)/(D11+2*F11))^(2/3))^2))/2))&gt;0,BT12,((BT12+BU12)/2))</f>
        <v/>
      </c>
      <c r="BW12" s="5">
        <f>IF((((BT12+BU12)/2)+(C12/(D12*((BT12+BU12)/2)))^2/(2*9.81)+B12-(G11+H11^2/(2*9.81))-(A11-A12)*(((DATOS!$B$34*(C12/(D12*((BT12+BU12)/2)))/((D12*((BT12+BU12)/2))/(D12+2*((BT12+BU12)/2)))^(2/3))^2+((DATOS!$B$34*H11/((D11*F11)/(D11+2*F11))^(2/3))^2))/2))&gt;0,((BT12+BU12)/2),BU12)</f>
        <v/>
      </c>
    </row>
    <row r="13">
      <c r="A13" s="13" t="n">
        <v>66</v>
      </c>
      <c r="B13" s="16">
        <f>DATOS!$B$22-DATOS!$B$23*A13</f>
        <v/>
      </c>
      <c r="C13" s="24">
        <f>CAUDALES!$B$13</f>
        <v/>
      </c>
      <c r="D13" s="17">
        <f>DATOS!$B$17</f>
        <v/>
      </c>
      <c r="E13" s="16">
        <f>(C13^2/(9.81*D13^2))^(1/3)</f>
        <v/>
      </c>
      <c r="F13" s="16">
        <f>(BV13+BW13)/2</f>
        <v/>
      </c>
      <c r="G13" s="16">
        <f>B13+F13</f>
        <v/>
      </c>
      <c r="H13" s="19">
        <f>C13/(D13*F13)</f>
        <v/>
      </c>
      <c r="I13" s="19">
        <f>H13/SQRT(9.81*F13)</f>
        <v/>
      </c>
      <c r="J13" s="16">
        <f>DATOS!$B$29-IF(AND(A13&gt;=DATOS!$B$30,A13&lt;DATOS!$B$31),DATOS!$B$21,DATOS!$B$20)</f>
        <v/>
      </c>
      <c r="K13" s="19">
        <f>J13-B13</f>
        <v/>
      </c>
      <c r="L13" s="19">
        <f>F13/K13</f>
        <v/>
      </c>
      <c r="M13" s="16">
        <f>J13-G13</f>
        <v/>
      </c>
      <c r="N13" s="5">
        <f>IF(AND(L13&lt;=DATOS!$B$36,M13&gt;=DATOS!$B$37,I13&lt;=1),"CUMPLE","NO CUMPLE")</f>
        <v/>
      </c>
      <c r="O13" s="5">
        <f>IF(AND(A13&gt;=DATOS!$B$30,A13&lt;DATOS!$B$31),"cruce de camiones",IF(AND(A13&gt;=DATOS!$B$32,A13&lt;DATOS!$B$33),"cruce de motos","tramo normal"))</f>
        <v/>
      </c>
      <c r="P13" s="5">
        <f>E13*1.001</f>
        <v/>
      </c>
      <c r="Q13" s="13" t="n">
        <v>3</v>
      </c>
      <c r="R13" s="5">
        <f>IF((((P13+Q13)/2)+(C13/(D13*((P13+Q13)/2)))^2/(2*9.81)+B13-(G12+H12^2/(2*9.81))-(A12-A13)*(((DATOS!$B$34*(C13/(D13*((P13+Q13)/2)))/((D13*((P13+Q13)/2))/(D13+2*((P13+Q13)/2)))^(2/3))^2+((DATOS!$B$34*H12/((D12*F12)/(D12+2*F12))^(2/3))^2))/2))&gt;0,P13,((P13+Q13)/2))</f>
        <v/>
      </c>
      <c r="S13" s="5">
        <f>IF((((P13+Q13)/2)+(C13/(D13*((P13+Q13)/2)))^2/(2*9.81)+B13-(G12+H12^2/(2*9.81))-(A12-A13)*(((DATOS!$B$34*(C13/(D13*((P13+Q13)/2)))/((D13*((P13+Q13)/2))/(D13+2*((P13+Q13)/2)))^(2/3))^2+((DATOS!$B$34*H12/((D12*F12)/(D12+2*F12))^(2/3))^2))/2))&gt;0,((P13+Q13)/2),Q13)</f>
        <v/>
      </c>
      <c r="T13" s="5">
        <f>IF((((R13+S13)/2)+(C13/(D13*((R13+S13)/2)))^2/(2*9.81)+B13-(G12+H12^2/(2*9.81))-(A12-A13)*(((DATOS!$B$34*(C13/(D13*((R13+S13)/2)))/((D13*((R13+S13)/2))/(D13+2*((R13+S13)/2)))^(2/3))^2+((DATOS!$B$34*H12/((D12*F12)/(D12+2*F12))^(2/3))^2))/2))&gt;0,R13,((R13+S13)/2))</f>
        <v/>
      </c>
      <c r="U13" s="5">
        <f>IF((((R13+S13)/2)+(C13/(D13*((R13+S13)/2)))^2/(2*9.81)+B13-(G12+H12^2/(2*9.81))-(A12-A13)*(((DATOS!$B$34*(C13/(D13*((R13+S13)/2)))/((D13*((R13+S13)/2))/(D13+2*((R13+S13)/2)))^(2/3))^2+((DATOS!$B$34*H12/((D12*F12)/(D12+2*F12))^(2/3))^2))/2))&gt;0,((R13+S13)/2),S13)</f>
        <v/>
      </c>
      <c r="V13" s="5">
        <f>IF((((T13+U13)/2)+(C13/(D13*((T13+U13)/2)))^2/(2*9.81)+B13-(G12+H12^2/(2*9.81))-(A12-A13)*(((DATOS!$B$34*(C13/(D13*((T13+U13)/2)))/((D13*((T13+U13)/2))/(D13+2*((T13+U13)/2)))^(2/3))^2+((DATOS!$B$34*H12/((D12*F12)/(D12+2*F12))^(2/3))^2))/2))&gt;0,T13,((T13+U13)/2))</f>
        <v/>
      </c>
      <c r="W13" s="5">
        <f>IF((((T13+U13)/2)+(C13/(D13*((T13+U13)/2)))^2/(2*9.81)+B13-(G12+H12^2/(2*9.81))-(A12-A13)*(((DATOS!$B$34*(C13/(D13*((T13+U13)/2)))/((D13*((T13+U13)/2))/(D13+2*((T13+U13)/2)))^(2/3))^2+((DATOS!$B$34*H12/((D12*F12)/(D12+2*F12))^(2/3))^2))/2))&gt;0,((T13+U13)/2),U13)</f>
        <v/>
      </c>
      <c r="X13" s="5">
        <f>IF((((V13+W13)/2)+(C13/(D13*((V13+W13)/2)))^2/(2*9.81)+B13-(G12+H12^2/(2*9.81))-(A12-A13)*(((DATOS!$B$34*(C13/(D13*((V13+W13)/2)))/((D13*((V13+W13)/2))/(D13+2*((V13+W13)/2)))^(2/3))^2+((DATOS!$B$34*H12/((D12*F12)/(D12+2*F12))^(2/3))^2))/2))&gt;0,V13,((V13+W13)/2))</f>
        <v/>
      </c>
      <c r="Y13" s="5">
        <f>IF((((V13+W13)/2)+(C13/(D13*((V13+W13)/2)))^2/(2*9.81)+B13-(G12+H12^2/(2*9.81))-(A12-A13)*(((DATOS!$B$34*(C13/(D13*((V13+W13)/2)))/((D13*((V13+W13)/2))/(D13+2*((V13+W13)/2)))^(2/3))^2+((DATOS!$B$34*H12/((D12*F12)/(D12+2*F12))^(2/3))^2))/2))&gt;0,((V13+W13)/2),W13)</f>
        <v/>
      </c>
      <c r="Z13" s="5">
        <f>IF((((X13+Y13)/2)+(C13/(D13*((X13+Y13)/2)))^2/(2*9.81)+B13-(G12+H12^2/(2*9.81))-(A12-A13)*(((DATOS!$B$34*(C13/(D13*((X13+Y13)/2)))/((D13*((X13+Y13)/2))/(D13+2*((X13+Y13)/2)))^(2/3))^2+((DATOS!$B$34*H12/((D12*F12)/(D12+2*F12))^(2/3))^2))/2))&gt;0,X13,((X13+Y13)/2))</f>
        <v/>
      </c>
      <c r="AA13" s="5">
        <f>IF((((X13+Y13)/2)+(C13/(D13*((X13+Y13)/2)))^2/(2*9.81)+B13-(G12+H12^2/(2*9.81))-(A12-A13)*(((DATOS!$B$34*(C13/(D13*((X13+Y13)/2)))/((D13*((X13+Y13)/2))/(D13+2*((X13+Y13)/2)))^(2/3))^2+((DATOS!$B$34*H12/((D12*F12)/(D12+2*F12))^(2/3))^2))/2))&gt;0,((X13+Y13)/2),Y13)</f>
        <v/>
      </c>
      <c r="AB13" s="5">
        <f>IF((((Z13+AA13)/2)+(C13/(D13*((Z13+AA13)/2)))^2/(2*9.81)+B13-(G12+H12^2/(2*9.81))-(A12-A13)*(((DATOS!$B$34*(C13/(D13*((Z13+AA13)/2)))/((D13*((Z13+AA13)/2))/(D13+2*((Z13+AA13)/2)))^(2/3))^2+((DATOS!$B$34*H12/((D12*F12)/(D12+2*F12))^(2/3))^2))/2))&gt;0,Z13,((Z13+AA13)/2))</f>
        <v/>
      </c>
      <c r="AC13" s="5">
        <f>IF((((Z13+AA13)/2)+(C13/(D13*((Z13+AA13)/2)))^2/(2*9.81)+B13-(G12+H12^2/(2*9.81))-(A12-A13)*(((DATOS!$B$34*(C13/(D13*((Z13+AA13)/2)))/((D13*((Z13+AA13)/2))/(D13+2*((Z13+AA13)/2)))^(2/3))^2+((DATOS!$B$34*H12/((D12*F12)/(D12+2*F12))^(2/3))^2))/2))&gt;0,((Z13+AA13)/2),AA13)</f>
        <v/>
      </c>
      <c r="AD13" s="5">
        <f>IF((((AB13+AC13)/2)+(C13/(D13*((AB13+AC13)/2)))^2/(2*9.81)+B13-(G12+H12^2/(2*9.81))-(A12-A13)*(((DATOS!$B$34*(C13/(D13*((AB13+AC13)/2)))/((D13*((AB13+AC13)/2))/(D13+2*((AB13+AC13)/2)))^(2/3))^2+((DATOS!$B$34*H12/((D12*F12)/(D12+2*F12))^(2/3))^2))/2))&gt;0,AB13,((AB13+AC13)/2))</f>
        <v/>
      </c>
      <c r="AE13" s="5">
        <f>IF((((AB13+AC13)/2)+(C13/(D13*((AB13+AC13)/2)))^2/(2*9.81)+B13-(G12+H12^2/(2*9.81))-(A12-A13)*(((DATOS!$B$34*(C13/(D13*((AB13+AC13)/2)))/((D13*((AB13+AC13)/2))/(D13+2*((AB13+AC13)/2)))^(2/3))^2+((DATOS!$B$34*H12/((D12*F12)/(D12+2*F12))^(2/3))^2))/2))&gt;0,((AB13+AC13)/2),AC13)</f>
        <v/>
      </c>
      <c r="AF13" s="5">
        <f>IF((((AD13+AE13)/2)+(C13/(D13*((AD13+AE13)/2)))^2/(2*9.81)+B13-(G12+H12^2/(2*9.81))-(A12-A13)*(((DATOS!$B$34*(C13/(D13*((AD13+AE13)/2)))/((D13*((AD13+AE13)/2))/(D13+2*((AD13+AE13)/2)))^(2/3))^2+((DATOS!$B$34*H12/((D12*F12)/(D12+2*F12))^(2/3))^2))/2))&gt;0,AD13,((AD13+AE13)/2))</f>
        <v/>
      </c>
      <c r="AG13" s="5">
        <f>IF((((AD13+AE13)/2)+(C13/(D13*((AD13+AE13)/2)))^2/(2*9.81)+B13-(G12+H12^2/(2*9.81))-(A12-A13)*(((DATOS!$B$34*(C13/(D13*((AD13+AE13)/2)))/((D13*((AD13+AE13)/2))/(D13+2*((AD13+AE13)/2)))^(2/3))^2+((DATOS!$B$34*H12/((D12*F12)/(D12+2*F12))^(2/3))^2))/2))&gt;0,((AD13+AE13)/2),AE13)</f>
        <v/>
      </c>
      <c r="AH13" s="5">
        <f>IF((((AF13+AG13)/2)+(C13/(D13*((AF13+AG13)/2)))^2/(2*9.81)+B13-(G12+H12^2/(2*9.81))-(A12-A13)*(((DATOS!$B$34*(C13/(D13*((AF13+AG13)/2)))/((D13*((AF13+AG13)/2))/(D13+2*((AF13+AG13)/2)))^(2/3))^2+((DATOS!$B$34*H12/((D12*F12)/(D12+2*F12))^(2/3))^2))/2))&gt;0,AF13,((AF13+AG13)/2))</f>
        <v/>
      </c>
      <c r="AI13" s="5">
        <f>IF((((AF13+AG13)/2)+(C13/(D13*((AF13+AG13)/2)))^2/(2*9.81)+B13-(G12+H12^2/(2*9.81))-(A12-A13)*(((DATOS!$B$34*(C13/(D13*((AF13+AG13)/2)))/((D13*((AF13+AG13)/2))/(D13+2*((AF13+AG13)/2)))^(2/3))^2+((DATOS!$B$34*H12/((D12*F12)/(D12+2*F12))^(2/3))^2))/2))&gt;0,((AF13+AG13)/2),AG13)</f>
        <v/>
      </c>
      <c r="AJ13" s="5">
        <f>IF((((AH13+AI13)/2)+(C13/(D13*((AH13+AI13)/2)))^2/(2*9.81)+B13-(G12+H12^2/(2*9.81))-(A12-A13)*(((DATOS!$B$34*(C13/(D13*((AH13+AI13)/2)))/((D13*((AH13+AI13)/2))/(D13+2*((AH13+AI13)/2)))^(2/3))^2+((DATOS!$B$34*H12/((D12*F12)/(D12+2*F12))^(2/3))^2))/2))&gt;0,AH13,((AH13+AI13)/2))</f>
        <v/>
      </c>
      <c r="AK13" s="5">
        <f>IF((((AH13+AI13)/2)+(C13/(D13*((AH13+AI13)/2)))^2/(2*9.81)+B13-(G12+H12^2/(2*9.81))-(A12-A13)*(((DATOS!$B$34*(C13/(D13*((AH13+AI13)/2)))/((D13*((AH13+AI13)/2))/(D13+2*((AH13+AI13)/2)))^(2/3))^2+((DATOS!$B$34*H12/((D12*F12)/(D12+2*F12))^(2/3))^2))/2))&gt;0,((AH13+AI13)/2),AI13)</f>
        <v/>
      </c>
      <c r="AL13" s="5">
        <f>IF((((AJ13+AK13)/2)+(C13/(D13*((AJ13+AK13)/2)))^2/(2*9.81)+B13-(G12+H12^2/(2*9.81))-(A12-A13)*(((DATOS!$B$34*(C13/(D13*((AJ13+AK13)/2)))/((D13*((AJ13+AK13)/2))/(D13+2*((AJ13+AK13)/2)))^(2/3))^2+((DATOS!$B$34*H12/((D12*F12)/(D12+2*F12))^(2/3))^2))/2))&gt;0,AJ13,((AJ13+AK13)/2))</f>
        <v/>
      </c>
      <c r="AM13" s="5">
        <f>IF((((AJ13+AK13)/2)+(C13/(D13*((AJ13+AK13)/2)))^2/(2*9.81)+B13-(G12+H12^2/(2*9.81))-(A12-A13)*(((DATOS!$B$34*(C13/(D13*((AJ13+AK13)/2)))/((D13*((AJ13+AK13)/2))/(D13+2*((AJ13+AK13)/2)))^(2/3))^2+((DATOS!$B$34*H12/((D12*F12)/(D12+2*F12))^(2/3))^2))/2))&gt;0,((AJ13+AK13)/2),AK13)</f>
        <v/>
      </c>
      <c r="AN13" s="5">
        <f>IF((((AL13+AM13)/2)+(C13/(D13*((AL13+AM13)/2)))^2/(2*9.81)+B13-(G12+H12^2/(2*9.81))-(A12-A13)*(((DATOS!$B$34*(C13/(D13*((AL13+AM13)/2)))/((D13*((AL13+AM13)/2))/(D13+2*((AL13+AM13)/2)))^(2/3))^2+((DATOS!$B$34*H12/((D12*F12)/(D12+2*F12))^(2/3))^2))/2))&gt;0,AL13,((AL13+AM13)/2))</f>
        <v/>
      </c>
      <c r="AO13" s="5">
        <f>IF((((AL13+AM13)/2)+(C13/(D13*((AL13+AM13)/2)))^2/(2*9.81)+B13-(G12+H12^2/(2*9.81))-(A12-A13)*(((DATOS!$B$34*(C13/(D13*((AL13+AM13)/2)))/((D13*((AL13+AM13)/2))/(D13+2*((AL13+AM13)/2)))^(2/3))^2+((DATOS!$B$34*H12/((D12*F12)/(D12+2*F12))^(2/3))^2))/2))&gt;0,((AL13+AM13)/2),AM13)</f>
        <v/>
      </c>
      <c r="AP13" s="5">
        <f>IF((((AN13+AO13)/2)+(C13/(D13*((AN13+AO13)/2)))^2/(2*9.81)+B13-(G12+H12^2/(2*9.81))-(A12-A13)*(((DATOS!$B$34*(C13/(D13*((AN13+AO13)/2)))/((D13*((AN13+AO13)/2))/(D13+2*((AN13+AO13)/2)))^(2/3))^2+((DATOS!$B$34*H12/((D12*F12)/(D12+2*F12))^(2/3))^2))/2))&gt;0,AN13,((AN13+AO13)/2))</f>
        <v/>
      </c>
      <c r="AQ13" s="5">
        <f>IF((((AN13+AO13)/2)+(C13/(D13*((AN13+AO13)/2)))^2/(2*9.81)+B13-(G12+H12^2/(2*9.81))-(A12-A13)*(((DATOS!$B$34*(C13/(D13*((AN13+AO13)/2)))/((D13*((AN13+AO13)/2))/(D13+2*((AN13+AO13)/2)))^(2/3))^2+((DATOS!$B$34*H12/((D12*F12)/(D12+2*F12))^(2/3))^2))/2))&gt;0,((AN13+AO13)/2),AO13)</f>
        <v/>
      </c>
      <c r="AR13" s="5">
        <f>IF((((AP13+AQ13)/2)+(C13/(D13*((AP13+AQ13)/2)))^2/(2*9.81)+B13-(G12+H12^2/(2*9.81))-(A12-A13)*(((DATOS!$B$34*(C13/(D13*((AP13+AQ13)/2)))/((D13*((AP13+AQ13)/2))/(D13+2*((AP13+AQ13)/2)))^(2/3))^2+((DATOS!$B$34*H12/((D12*F12)/(D12+2*F12))^(2/3))^2))/2))&gt;0,AP13,((AP13+AQ13)/2))</f>
        <v/>
      </c>
      <c r="AS13" s="5">
        <f>IF((((AP13+AQ13)/2)+(C13/(D13*((AP13+AQ13)/2)))^2/(2*9.81)+B13-(G12+H12^2/(2*9.81))-(A12-A13)*(((DATOS!$B$34*(C13/(D13*((AP13+AQ13)/2)))/((D13*((AP13+AQ13)/2))/(D13+2*((AP13+AQ13)/2)))^(2/3))^2+((DATOS!$B$34*H12/((D12*F12)/(D12+2*F12))^(2/3))^2))/2))&gt;0,((AP13+AQ13)/2),AQ13)</f>
        <v/>
      </c>
      <c r="AT13" s="5">
        <f>IF((((AR13+AS13)/2)+(C13/(D13*((AR13+AS13)/2)))^2/(2*9.81)+B13-(G12+H12^2/(2*9.81))-(A12-A13)*(((DATOS!$B$34*(C13/(D13*((AR13+AS13)/2)))/((D13*((AR13+AS13)/2))/(D13+2*((AR13+AS13)/2)))^(2/3))^2+((DATOS!$B$34*H12/((D12*F12)/(D12+2*F12))^(2/3))^2))/2))&gt;0,AR13,((AR13+AS13)/2))</f>
        <v/>
      </c>
      <c r="AU13" s="5">
        <f>IF((((AR13+AS13)/2)+(C13/(D13*((AR13+AS13)/2)))^2/(2*9.81)+B13-(G12+H12^2/(2*9.81))-(A12-A13)*(((DATOS!$B$34*(C13/(D13*((AR13+AS13)/2)))/((D13*((AR13+AS13)/2))/(D13+2*((AR13+AS13)/2)))^(2/3))^2+((DATOS!$B$34*H12/((D12*F12)/(D12+2*F12))^(2/3))^2))/2))&gt;0,((AR13+AS13)/2),AS13)</f>
        <v/>
      </c>
      <c r="AV13" s="5">
        <f>IF((((AT13+AU13)/2)+(C13/(D13*((AT13+AU13)/2)))^2/(2*9.81)+B13-(G12+H12^2/(2*9.81))-(A12-A13)*(((DATOS!$B$34*(C13/(D13*((AT13+AU13)/2)))/((D13*((AT13+AU13)/2))/(D13+2*((AT13+AU13)/2)))^(2/3))^2+((DATOS!$B$34*H12/((D12*F12)/(D12+2*F12))^(2/3))^2))/2))&gt;0,AT13,((AT13+AU13)/2))</f>
        <v/>
      </c>
      <c r="AW13" s="5">
        <f>IF((((AT13+AU13)/2)+(C13/(D13*((AT13+AU13)/2)))^2/(2*9.81)+B13-(G12+H12^2/(2*9.81))-(A12-A13)*(((DATOS!$B$34*(C13/(D13*((AT13+AU13)/2)))/((D13*((AT13+AU13)/2))/(D13+2*((AT13+AU13)/2)))^(2/3))^2+((DATOS!$B$34*H12/((D12*F12)/(D12+2*F12))^(2/3))^2))/2))&gt;0,((AT13+AU13)/2),AU13)</f>
        <v/>
      </c>
      <c r="AX13" s="5">
        <f>IF((((AV13+AW13)/2)+(C13/(D13*((AV13+AW13)/2)))^2/(2*9.81)+B13-(G12+H12^2/(2*9.81))-(A12-A13)*(((DATOS!$B$34*(C13/(D13*((AV13+AW13)/2)))/((D13*((AV13+AW13)/2))/(D13+2*((AV13+AW13)/2)))^(2/3))^2+((DATOS!$B$34*H12/((D12*F12)/(D12+2*F12))^(2/3))^2))/2))&gt;0,AV13,((AV13+AW13)/2))</f>
        <v/>
      </c>
      <c r="AY13" s="5">
        <f>IF((((AV13+AW13)/2)+(C13/(D13*((AV13+AW13)/2)))^2/(2*9.81)+B13-(G12+H12^2/(2*9.81))-(A12-A13)*(((DATOS!$B$34*(C13/(D13*((AV13+AW13)/2)))/((D13*((AV13+AW13)/2))/(D13+2*((AV13+AW13)/2)))^(2/3))^2+((DATOS!$B$34*H12/((D12*F12)/(D12+2*F12))^(2/3))^2))/2))&gt;0,((AV13+AW13)/2),AW13)</f>
        <v/>
      </c>
      <c r="AZ13" s="5">
        <f>IF((((AX13+AY13)/2)+(C13/(D13*((AX13+AY13)/2)))^2/(2*9.81)+B13-(G12+H12^2/(2*9.81))-(A12-A13)*(((DATOS!$B$34*(C13/(D13*((AX13+AY13)/2)))/((D13*((AX13+AY13)/2))/(D13+2*((AX13+AY13)/2)))^(2/3))^2+((DATOS!$B$34*H12/((D12*F12)/(D12+2*F12))^(2/3))^2))/2))&gt;0,AX13,((AX13+AY13)/2))</f>
        <v/>
      </c>
      <c r="BA13" s="5">
        <f>IF((((AX13+AY13)/2)+(C13/(D13*((AX13+AY13)/2)))^2/(2*9.81)+B13-(G12+H12^2/(2*9.81))-(A12-A13)*(((DATOS!$B$34*(C13/(D13*((AX13+AY13)/2)))/((D13*((AX13+AY13)/2))/(D13+2*((AX13+AY13)/2)))^(2/3))^2+((DATOS!$B$34*H12/((D12*F12)/(D12+2*F12))^(2/3))^2))/2))&gt;0,((AX13+AY13)/2),AY13)</f>
        <v/>
      </c>
      <c r="BB13" s="5">
        <f>IF((((AZ13+BA13)/2)+(C13/(D13*((AZ13+BA13)/2)))^2/(2*9.81)+B13-(G12+H12^2/(2*9.81))-(A12-A13)*(((DATOS!$B$34*(C13/(D13*((AZ13+BA13)/2)))/((D13*((AZ13+BA13)/2))/(D13+2*((AZ13+BA13)/2)))^(2/3))^2+((DATOS!$B$34*H12/((D12*F12)/(D12+2*F12))^(2/3))^2))/2))&gt;0,AZ13,((AZ13+BA13)/2))</f>
        <v/>
      </c>
      <c r="BC13" s="5">
        <f>IF((((AZ13+BA13)/2)+(C13/(D13*((AZ13+BA13)/2)))^2/(2*9.81)+B13-(G12+H12^2/(2*9.81))-(A12-A13)*(((DATOS!$B$34*(C13/(D13*((AZ13+BA13)/2)))/((D13*((AZ13+BA13)/2))/(D13+2*((AZ13+BA13)/2)))^(2/3))^2+((DATOS!$B$34*H12/((D12*F12)/(D12+2*F12))^(2/3))^2))/2))&gt;0,((AZ13+BA13)/2),BA13)</f>
        <v/>
      </c>
      <c r="BD13" s="5">
        <f>IF((((BB13+BC13)/2)+(C13/(D13*((BB13+BC13)/2)))^2/(2*9.81)+B13-(G12+H12^2/(2*9.81))-(A12-A13)*(((DATOS!$B$34*(C13/(D13*((BB13+BC13)/2)))/((D13*((BB13+BC13)/2))/(D13+2*((BB13+BC13)/2)))^(2/3))^2+((DATOS!$B$34*H12/((D12*F12)/(D12+2*F12))^(2/3))^2))/2))&gt;0,BB13,((BB13+BC13)/2))</f>
        <v/>
      </c>
      <c r="BE13" s="5">
        <f>IF((((BB13+BC13)/2)+(C13/(D13*((BB13+BC13)/2)))^2/(2*9.81)+B13-(G12+H12^2/(2*9.81))-(A12-A13)*(((DATOS!$B$34*(C13/(D13*((BB13+BC13)/2)))/((D13*((BB13+BC13)/2))/(D13+2*((BB13+BC13)/2)))^(2/3))^2+((DATOS!$B$34*H12/((D12*F12)/(D12+2*F12))^(2/3))^2))/2))&gt;0,((BB13+BC13)/2),BC13)</f>
        <v/>
      </c>
      <c r="BF13" s="5">
        <f>IF((((BD13+BE13)/2)+(C13/(D13*((BD13+BE13)/2)))^2/(2*9.81)+B13-(G12+H12^2/(2*9.81))-(A12-A13)*(((DATOS!$B$34*(C13/(D13*((BD13+BE13)/2)))/((D13*((BD13+BE13)/2))/(D13+2*((BD13+BE13)/2)))^(2/3))^2+((DATOS!$B$34*H12/((D12*F12)/(D12+2*F12))^(2/3))^2))/2))&gt;0,BD13,((BD13+BE13)/2))</f>
        <v/>
      </c>
      <c r="BG13" s="5">
        <f>IF((((BD13+BE13)/2)+(C13/(D13*((BD13+BE13)/2)))^2/(2*9.81)+B13-(G12+H12^2/(2*9.81))-(A12-A13)*(((DATOS!$B$34*(C13/(D13*((BD13+BE13)/2)))/((D13*((BD13+BE13)/2))/(D13+2*((BD13+BE13)/2)))^(2/3))^2+((DATOS!$B$34*H12/((D12*F12)/(D12+2*F12))^(2/3))^2))/2))&gt;0,((BD13+BE13)/2),BE13)</f>
        <v/>
      </c>
      <c r="BH13" s="5">
        <f>IF((((BF13+BG13)/2)+(C13/(D13*((BF13+BG13)/2)))^2/(2*9.81)+B13-(G12+H12^2/(2*9.81))-(A12-A13)*(((DATOS!$B$34*(C13/(D13*((BF13+BG13)/2)))/((D13*((BF13+BG13)/2))/(D13+2*((BF13+BG13)/2)))^(2/3))^2+((DATOS!$B$34*H12/((D12*F12)/(D12+2*F12))^(2/3))^2))/2))&gt;0,BF13,((BF13+BG13)/2))</f>
        <v/>
      </c>
      <c r="BI13" s="5">
        <f>IF((((BF13+BG13)/2)+(C13/(D13*((BF13+BG13)/2)))^2/(2*9.81)+B13-(G12+H12^2/(2*9.81))-(A12-A13)*(((DATOS!$B$34*(C13/(D13*((BF13+BG13)/2)))/((D13*((BF13+BG13)/2))/(D13+2*((BF13+BG13)/2)))^(2/3))^2+((DATOS!$B$34*H12/((D12*F12)/(D12+2*F12))^(2/3))^2))/2))&gt;0,((BF13+BG13)/2),BG13)</f>
        <v/>
      </c>
      <c r="BJ13" s="5">
        <f>IF((((BH13+BI13)/2)+(C13/(D13*((BH13+BI13)/2)))^2/(2*9.81)+B13-(G12+H12^2/(2*9.81))-(A12-A13)*(((DATOS!$B$34*(C13/(D13*((BH13+BI13)/2)))/((D13*((BH13+BI13)/2))/(D13+2*((BH13+BI13)/2)))^(2/3))^2+((DATOS!$B$34*H12/((D12*F12)/(D12+2*F12))^(2/3))^2))/2))&gt;0,BH13,((BH13+BI13)/2))</f>
        <v/>
      </c>
      <c r="BK13" s="5">
        <f>IF((((BH13+BI13)/2)+(C13/(D13*((BH13+BI13)/2)))^2/(2*9.81)+B13-(G12+H12^2/(2*9.81))-(A12-A13)*(((DATOS!$B$34*(C13/(D13*((BH13+BI13)/2)))/((D13*((BH13+BI13)/2))/(D13+2*((BH13+BI13)/2)))^(2/3))^2+((DATOS!$B$34*H12/((D12*F12)/(D12+2*F12))^(2/3))^2))/2))&gt;0,((BH13+BI13)/2),BI13)</f>
        <v/>
      </c>
      <c r="BL13" s="5">
        <f>IF((((BJ13+BK13)/2)+(C13/(D13*((BJ13+BK13)/2)))^2/(2*9.81)+B13-(G12+H12^2/(2*9.81))-(A12-A13)*(((DATOS!$B$34*(C13/(D13*((BJ13+BK13)/2)))/((D13*((BJ13+BK13)/2))/(D13+2*((BJ13+BK13)/2)))^(2/3))^2+((DATOS!$B$34*H12/((D12*F12)/(D12+2*F12))^(2/3))^2))/2))&gt;0,BJ13,((BJ13+BK13)/2))</f>
        <v/>
      </c>
      <c r="BM13" s="5">
        <f>IF((((BJ13+BK13)/2)+(C13/(D13*((BJ13+BK13)/2)))^2/(2*9.81)+B13-(G12+H12^2/(2*9.81))-(A12-A13)*(((DATOS!$B$34*(C13/(D13*((BJ13+BK13)/2)))/((D13*((BJ13+BK13)/2))/(D13+2*((BJ13+BK13)/2)))^(2/3))^2+((DATOS!$B$34*H12/((D12*F12)/(D12+2*F12))^(2/3))^2))/2))&gt;0,((BJ13+BK13)/2),BK13)</f>
        <v/>
      </c>
      <c r="BN13" s="5">
        <f>IF((((BL13+BM13)/2)+(C13/(D13*((BL13+BM13)/2)))^2/(2*9.81)+B13-(G12+H12^2/(2*9.81))-(A12-A13)*(((DATOS!$B$34*(C13/(D13*((BL13+BM13)/2)))/((D13*((BL13+BM13)/2))/(D13+2*((BL13+BM13)/2)))^(2/3))^2+((DATOS!$B$34*H12/((D12*F12)/(D12+2*F12))^(2/3))^2))/2))&gt;0,BL13,((BL13+BM13)/2))</f>
        <v/>
      </c>
      <c r="BO13" s="5">
        <f>IF((((BL13+BM13)/2)+(C13/(D13*((BL13+BM13)/2)))^2/(2*9.81)+B13-(G12+H12^2/(2*9.81))-(A12-A13)*(((DATOS!$B$34*(C13/(D13*((BL13+BM13)/2)))/((D13*((BL13+BM13)/2))/(D13+2*((BL13+BM13)/2)))^(2/3))^2+((DATOS!$B$34*H12/((D12*F12)/(D12+2*F12))^(2/3))^2))/2))&gt;0,((BL13+BM13)/2),BM13)</f>
        <v/>
      </c>
      <c r="BP13" s="5">
        <f>IF((((BN13+BO13)/2)+(C13/(D13*((BN13+BO13)/2)))^2/(2*9.81)+B13-(G12+H12^2/(2*9.81))-(A12-A13)*(((DATOS!$B$34*(C13/(D13*((BN13+BO13)/2)))/((D13*((BN13+BO13)/2))/(D13+2*((BN13+BO13)/2)))^(2/3))^2+((DATOS!$B$34*H12/((D12*F12)/(D12+2*F12))^(2/3))^2))/2))&gt;0,BN13,((BN13+BO13)/2))</f>
        <v/>
      </c>
      <c r="BQ13" s="5">
        <f>IF((((BN13+BO13)/2)+(C13/(D13*((BN13+BO13)/2)))^2/(2*9.81)+B13-(G12+H12^2/(2*9.81))-(A12-A13)*(((DATOS!$B$34*(C13/(D13*((BN13+BO13)/2)))/((D13*((BN13+BO13)/2))/(D13+2*((BN13+BO13)/2)))^(2/3))^2+((DATOS!$B$34*H12/((D12*F12)/(D12+2*F12))^(2/3))^2))/2))&gt;0,((BN13+BO13)/2),BO13)</f>
        <v/>
      </c>
      <c r="BR13" s="5">
        <f>IF((((BP13+BQ13)/2)+(C13/(D13*((BP13+BQ13)/2)))^2/(2*9.81)+B13-(G12+H12^2/(2*9.81))-(A12-A13)*(((DATOS!$B$34*(C13/(D13*((BP13+BQ13)/2)))/((D13*((BP13+BQ13)/2))/(D13+2*((BP13+BQ13)/2)))^(2/3))^2+((DATOS!$B$34*H12/((D12*F12)/(D12+2*F12))^(2/3))^2))/2))&gt;0,BP13,((BP13+BQ13)/2))</f>
        <v/>
      </c>
      <c r="BS13" s="5">
        <f>IF((((BP13+BQ13)/2)+(C13/(D13*((BP13+BQ13)/2)))^2/(2*9.81)+B13-(G12+H12^2/(2*9.81))-(A12-A13)*(((DATOS!$B$34*(C13/(D13*((BP13+BQ13)/2)))/((D13*((BP13+BQ13)/2))/(D13+2*((BP13+BQ13)/2)))^(2/3))^2+((DATOS!$B$34*H12/((D12*F12)/(D12+2*F12))^(2/3))^2))/2))&gt;0,((BP13+BQ13)/2),BQ13)</f>
        <v/>
      </c>
      <c r="BT13" s="5">
        <f>IF((((BR13+BS13)/2)+(C13/(D13*((BR13+BS13)/2)))^2/(2*9.81)+B13-(G12+H12^2/(2*9.81))-(A12-A13)*(((DATOS!$B$34*(C13/(D13*((BR13+BS13)/2)))/((D13*((BR13+BS13)/2))/(D13+2*((BR13+BS13)/2)))^(2/3))^2+((DATOS!$B$34*H12/((D12*F12)/(D12+2*F12))^(2/3))^2))/2))&gt;0,BR13,((BR13+BS13)/2))</f>
        <v/>
      </c>
      <c r="BU13" s="5">
        <f>IF((((BR13+BS13)/2)+(C13/(D13*((BR13+BS13)/2)))^2/(2*9.81)+B13-(G12+H12^2/(2*9.81))-(A12-A13)*(((DATOS!$B$34*(C13/(D13*((BR13+BS13)/2)))/((D13*((BR13+BS13)/2))/(D13+2*((BR13+BS13)/2)))^(2/3))^2+((DATOS!$B$34*H12/((D12*F12)/(D12+2*F12))^(2/3))^2))/2))&gt;0,((BR13+BS13)/2),BS13)</f>
        <v/>
      </c>
      <c r="BV13" s="5">
        <f>IF((((BT13+BU13)/2)+(C13/(D13*((BT13+BU13)/2)))^2/(2*9.81)+B13-(G12+H12^2/(2*9.81))-(A12-A13)*(((DATOS!$B$34*(C13/(D13*((BT13+BU13)/2)))/((D13*((BT13+BU13)/2))/(D13+2*((BT13+BU13)/2)))^(2/3))^2+((DATOS!$B$34*H12/((D12*F12)/(D12+2*F12))^(2/3))^2))/2))&gt;0,BT13,((BT13+BU13)/2))</f>
        <v/>
      </c>
      <c r="BW13" s="5">
        <f>IF((((BT13+BU13)/2)+(C13/(D13*((BT13+BU13)/2)))^2/(2*9.81)+B13-(G12+H12^2/(2*9.81))-(A12-A13)*(((DATOS!$B$34*(C13/(D13*((BT13+BU13)/2)))/((D13*((BT13+BU13)/2))/(D13+2*((BT13+BU13)/2)))^(2/3))^2+((DATOS!$B$34*H12/((D12*F12)/(D12+2*F12))^(2/3))^2))/2))&gt;0,((BT13+BU13)/2),BU13)</f>
        <v/>
      </c>
    </row>
    <row r="14">
      <c r="A14" s="13" t="n">
        <v>65</v>
      </c>
      <c r="B14" s="16">
        <f>DATOS!$B$22-DATOS!$B$23*A14</f>
        <v/>
      </c>
      <c r="C14" s="24">
        <f>CAUDALES!$B$13</f>
        <v/>
      </c>
      <c r="D14" s="17">
        <f>DATOS!$B$17</f>
        <v/>
      </c>
      <c r="E14" s="16">
        <f>(C14^2/(9.81*D14^2))^(1/3)</f>
        <v/>
      </c>
      <c r="F14" s="16">
        <f>(BV14+BW14)/2</f>
        <v/>
      </c>
      <c r="G14" s="16">
        <f>B14+F14</f>
        <v/>
      </c>
      <c r="H14" s="19">
        <f>C14/(D14*F14)</f>
        <v/>
      </c>
      <c r="I14" s="19">
        <f>H14/SQRT(9.81*F14)</f>
        <v/>
      </c>
      <c r="J14" s="16">
        <f>DATOS!$B$29-IF(AND(A14&gt;=DATOS!$B$30,A14&lt;DATOS!$B$31),DATOS!$B$21,DATOS!$B$20)</f>
        <v/>
      </c>
      <c r="K14" s="19">
        <f>J14-B14</f>
        <v/>
      </c>
      <c r="L14" s="19">
        <f>F14/K14</f>
        <v/>
      </c>
      <c r="M14" s="16">
        <f>J14-G14</f>
        <v/>
      </c>
      <c r="N14" s="5">
        <f>IF(AND(L14&lt;=DATOS!$B$36,M14&gt;=DATOS!$B$37,I14&lt;=1),"CUMPLE","NO CUMPLE")</f>
        <v/>
      </c>
      <c r="O14" s="5">
        <f>IF(AND(A14&gt;=DATOS!$B$30,A14&lt;DATOS!$B$31),"cruce de camiones",IF(AND(A14&gt;=DATOS!$B$32,A14&lt;DATOS!$B$33),"cruce de motos","tramo normal"))</f>
        <v/>
      </c>
      <c r="P14" s="5">
        <f>E14*1.001</f>
        <v/>
      </c>
      <c r="Q14" s="13" t="n">
        <v>3</v>
      </c>
      <c r="R14" s="5">
        <f>IF((((P14+Q14)/2)+(C14/(D14*((P14+Q14)/2)))^2/(2*9.81)+B14-(G13+H13^2/(2*9.81))-(A13-A14)*(((DATOS!$B$34*(C14/(D14*((P14+Q14)/2)))/((D14*((P14+Q14)/2))/(D14+2*((P14+Q14)/2)))^(2/3))^2+((DATOS!$B$34*H13/((D13*F13)/(D13+2*F13))^(2/3))^2))/2))&gt;0,P14,((P14+Q14)/2))</f>
        <v/>
      </c>
      <c r="S14" s="5">
        <f>IF((((P14+Q14)/2)+(C14/(D14*((P14+Q14)/2)))^2/(2*9.81)+B14-(G13+H13^2/(2*9.81))-(A13-A14)*(((DATOS!$B$34*(C14/(D14*((P14+Q14)/2)))/((D14*((P14+Q14)/2))/(D14+2*((P14+Q14)/2)))^(2/3))^2+((DATOS!$B$34*H13/((D13*F13)/(D13+2*F13))^(2/3))^2))/2))&gt;0,((P14+Q14)/2),Q14)</f>
        <v/>
      </c>
      <c r="T14" s="5">
        <f>IF((((R14+S14)/2)+(C14/(D14*((R14+S14)/2)))^2/(2*9.81)+B14-(G13+H13^2/(2*9.81))-(A13-A14)*(((DATOS!$B$34*(C14/(D14*((R14+S14)/2)))/((D14*((R14+S14)/2))/(D14+2*((R14+S14)/2)))^(2/3))^2+((DATOS!$B$34*H13/((D13*F13)/(D13+2*F13))^(2/3))^2))/2))&gt;0,R14,((R14+S14)/2))</f>
        <v/>
      </c>
      <c r="U14" s="5">
        <f>IF((((R14+S14)/2)+(C14/(D14*((R14+S14)/2)))^2/(2*9.81)+B14-(G13+H13^2/(2*9.81))-(A13-A14)*(((DATOS!$B$34*(C14/(D14*((R14+S14)/2)))/((D14*((R14+S14)/2))/(D14+2*((R14+S14)/2)))^(2/3))^2+((DATOS!$B$34*H13/((D13*F13)/(D13+2*F13))^(2/3))^2))/2))&gt;0,((R14+S14)/2),S14)</f>
        <v/>
      </c>
      <c r="V14" s="5">
        <f>IF((((T14+U14)/2)+(C14/(D14*((T14+U14)/2)))^2/(2*9.81)+B14-(G13+H13^2/(2*9.81))-(A13-A14)*(((DATOS!$B$34*(C14/(D14*((T14+U14)/2)))/((D14*((T14+U14)/2))/(D14+2*((T14+U14)/2)))^(2/3))^2+((DATOS!$B$34*H13/((D13*F13)/(D13+2*F13))^(2/3))^2))/2))&gt;0,T14,((T14+U14)/2))</f>
        <v/>
      </c>
      <c r="W14" s="5">
        <f>IF((((T14+U14)/2)+(C14/(D14*((T14+U14)/2)))^2/(2*9.81)+B14-(G13+H13^2/(2*9.81))-(A13-A14)*(((DATOS!$B$34*(C14/(D14*((T14+U14)/2)))/((D14*((T14+U14)/2))/(D14+2*((T14+U14)/2)))^(2/3))^2+((DATOS!$B$34*H13/((D13*F13)/(D13+2*F13))^(2/3))^2))/2))&gt;0,((T14+U14)/2),U14)</f>
        <v/>
      </c>
      <c r="X14" s="5">
        <f>IF((((V14+W14)/2)+(C14/(D14*((V14+W14)/2)))^2/(2*9.81)+B14-(G13+H13^2/(2*9.81))-(A13-A14)*(((DATOS!$B$34*(C14/(D14*((V14+W14)/2)))/((D14*((V14+W14)/2))/(D14+2*((V14+W14)/2)))^(2/3))^2+((DATOS!$B$34*H13/((D13*F13)/(D13+2*F13))^(2/3))^2))/2))&gt;0,V14,((V14+W14)/2))</f>
        <v/>
      </c>
      <c r="Y14" s="5">
        <f>IF((((V14+W14)/2)+(C14/(D14*((V14+W14)/2)))^2/(2*9.81)+B14-(G13+H13^2/(2*9.81))-(A13-A14)*(((DATOS!$B$34*(C14/(D14*((V14+W14)/2)))/((D14*((V14+W14)/2))/(D14+2*((V14+W14)/2)))^(2/3))^2+((DATOS!$B$34*H13/((D13*F13)/(D13+2*F13))^(2/3))^2))/2))&gt;0,((V14+W14)/2),W14)</f>
        <v/>
      </c>
      <c r="Z14" s="5">
        <f>IF((((X14+Y14)/2)+(C14/(D14*((X14+Y14)/2)))^2/(2*9.81)+B14-(G13+H13^2/(2*9.81))-(A13-A14)*(((DATOS!$B$34*(C14/(D14*((X14+Y14)/2)))/((D14*((X14+Y14)/2))/(D14+2*((X14+Y14)/2)))^(2/3))^2+((DATOS!$B$34*H13/((D13*F13)/(D13+2*F13))^(2/3))^2))/2))&gt;0,X14,((X14+Y14)/2))</f>
        <v/>
      </c>
      <c r="AA14" s="5">
        <f>IF((((X14+Y14)/2)+(C14/(D14*((X14+Y14)/2)))^2/(2*9.81)+B14-(G13+H13^2/(2*9.81))-(A13-A14)*(((DATOS!$B$34*(C14/(D14*((X14+Y14)/2)))/((D14*((X14+Y14)/2))/(D14+2*((X14+Y14)/2)))^(2/3))^2+((DATOS!$B$34*H13/((D13*F13)/(D13+2*F13))^(2/3))^2))/2))&gt;0,((X14+Y14)/2),Y14)</f>
        <v/>
      </c>
      <c r="AB14" s="5">
        <f>IF((((Z14+AA14)/2)+(C14/(D14*((Z14+AA14)/2)))^2/(2*9.81)+B14-(G13+H13^2/(2*9.81))-(A13-A14)*(((DATOS!$B$34*(C14/(D14*((Z14+AA14)/2)))/((D14*((Z14+AA14)/2))/(D14+2*((Z14+AA14)/2)))^(2/3))^2+((DATOS!$B$34*H13/((D13*F13)/(D13+2*F13))^(2/3))^2))/2))&gt;0,Z14,((Z14+AA14)/2))</f>
        <v/>
      </c>
      <c r="AC14" s="5">
        <f>IF((((Z14+AA14)/2)+(C14/(D14*((Z14+AA14)/2)))^2/(2*9.81)+B14-(G13+H13^2/(2*9.81))-(A13-A14)*(((DATOS!$B$34*(C14/(D14*((Z14+AA14)/2)))/((D14*((Z14+AA14)/2))/(D14+2*((Z14+AA14)/2)))^(2/3))^2+((DATOS!$B$34*H13/((D13*F13)/(D13+2*F13))^(2/3))^2))/2))&gt;0,((Z14+AA14)/2),AA14)</f>
        <v/>
      </c>
      <c r="AD14" s="5">
        <f>IF((((AB14+AC14)/2)+(C14/(D14*((AB14+AC14)/2)))^2/(2*9.81)+B14-(G13+H13^2/(2*9.81))-(A13-A14)*(((DATOS!$B$34*(C14/(D14*((AB14+AC14)/2)))/((D14*((AB14+AC14)/2))/(D14+2*((AB14+AC14)/2)))^(2/3))^2+((DATOS!$B$34*H13/((D13*F13)/(D13+2*F13))^(2/3))^2))/2))&gt;0,AB14,((AB14+AC14)/2))</f>
        <v/>
      </c>
      <c r="AE14" s="5">
        <f>IF((((AB14+AC14)/2)+(C14/(D14*((AB14+AC14)/2)))^2/(2*9.81)+B14-(G13+H13^2/(2*9.81))-(A13-A14)*(((DATOS!$B$34*(C14/(D14*((AB14+AC14)/2)))/((D14*((AB14+AC14)/2))/(D14+2*((AB14+AC14)/2)))^(2/3))^2+((DATOS!$B$34*H13/((D13*F13)/(D13+2*F13))^(2/3))^2))/2))&gt;0,((AB14+AC14)/2),AC14)</f>
        <v/>
      </c>
      <c r="AF14" s="5">
        <f>IF((((AD14+AE14)/2)+(C14/(D14*((AD14+AE14)/2)))^2/(2*9.81)+B14-(G13+H13^2/(2*9.81))-(A13-A14)*(((DATOS!$B$34*(C14/(D14*((AD14+AE14)/2)))/((D14*((AD14+AE14)/2))/(D14+2*((AD14+AE14)/2)))^(2/3))^2+((DATOS!$B$34*H13/((D13*F13)/(D13+2*F13))^(2/3))^2))/2))&gt;0,AD14,((AD14+AE14)/2))</f>
        <v/>
      </c>
      <c r="AG14" s="5">
        <f>IF((((AD14+AE14)/2)+(C14/(D14*((AD14+AE14)/2)))^2/(2*9.81)+B14-(G13+H13^2/(2*9.81))-(A13-A14)*(((DATOS!$B$34*(C14/(D14*((AD14+AE14)/2)))/((D14*((AD14+AE14)/2))/(D14+2*((AD14+AE14)/2)))^(2/3))^2+((DATOS!$B$34*H13/((D13*F13)/(D13+2*F13))^(2/3))^2))/2))&gt;0,((AD14+AE14)/2),AE14)</f>
        <v/>
      </c>
      <c r="AH14" s="5">
        <f>IF((((AF14+AG14)/2)+(C14/(D14*((AF14+AG14)/2)))^2/(2*9.81)+B14-(G13+H13^2/(2*9.81))-(A13-A14)*(((DATOS!$B$34*(C14/(D14*((AF14+AG14)/2)))/((D14*((AF14+AG14)/2))/(D14+2*((AF14+AG14)/2)))^(2/3))^2+((DATOS!$B$34*H13/((D13*F13)/(D13+2*F13))^(2/3))^2))/2))&gt;0,AF14,((AF14+AG14)/2))</f>
        <v/>
      </c>
      <c r="AI14" s="5">
        <f>IF((((AF14+AG14)/2)+(C14/(D14*((AF14+AG14)/2)))^2/(2*9.81)+B14-(G13+H13^2/(2*9.81))-(A13-A14)*(((DATOS!$B$34*(C14/(D14*((AF14+AG14)/2)))/((D14*((AF14+AG14)/2))/(D14+2*((AF14+AG14)/2)))^(2/3))^2+((DATOS!$B$34*H13/((D13*F13)/(D13+2*F13))^(2/3))^2))/2))&gt;0,((AF14+AG14)/2),AG14)</f>
        <v/>
      </c>
      <c r="AJ14" s="5">
        <f>IF((((AH14+AI14)/2)+(C14/(D14*((AH14+AI14)/2)))^2/(2*9.81)+B14-(G13+H13^2/(2*9.81))-(A13-A14)*(((DATOS!$B$34*(C14/(D14*((AH14+AI14)/2)))/((D14*((AH14+AI14)/2))/(D14+2*((AH14+AI14)/2)))^(2/3))^2+((DATOS!$B$34*H13/((D13*F13)/(D13+2*F13))^(2/3))^2))/2))&gt;0,AH14,((AH14+AI14)/2))</f>
        <v/>
      </c>
      <c r="AK14" s="5">
        <f>IF((((AH14+AI14)/2)+(C14/(D14*((AH14+AI14)/2)))^2/(2*9.81)+B14-(G13+H13^2/(2*9.81))-(A13-A14)*(((DATOS!$B$34*(C14/(D14*((AH14+AI14)/2)))/((D14*((AH14+AI14)/2))/(D14+2*((AH14+AI14)/2)))^(2/3))^2+((DATOS!$B$34*H13/((D13*F13)/(D13+2*F13))^(2/3))^2))/2))&gt;0,((AH14+AI14)/2),AI14)</f>
        <v/>
      </c>
      <c r="AL14" s="5">
        <f>IF((((AJ14+AK14)/2)+(C14/(D14*((AJ14+AK14)/2)))^2/(2*9.81)+B14-(G13+H13^2/(2*9.81))-(A13-A14)*(((DATOS!$B$34*(C14/(D14*((AJ14+AK14)/2)))/((D14*((AJ14+AK14)/2))/(D14+2*((AJ14+AK14)/2)))^(2/3))^2+((DATOS!$B$34*H13/((D13*F13)/(D13+2*F13))^(2/3))^2))/2))&gt;0,AJ14,((AJ14+AK14)/2))</f>
        <v/>
      </c>
      <c r="AM14" s="5">
        <f>IF((((AJ14+AK14)/2)+(C14/(D14*((AJ14+AK14)/2)))^2/(2*9.81)+B14-(G13+H13^2/(2*9.81))-(A13-A14)*(((DATOS!$B$34*(C14/(D14*((AJ14+AK14)/2)))/((D14*((AJ14+AK14)/2))/(D14+2*((AJ14+AK14)/2)))^(2/3))^2+((DATOS!$B$34*H13/((D13*F13)/(D13+2*F13))^(2/3))^2))/2))&gt;0,((AJ14+AK14)/2),AK14)</f>
        <v/>
      </c>
      <c r="AN14" s="5">
        <f>IF((((AL14+AM14)/2)+(C14/(D14*((AL14+AM14)/2)))^2/(2*9.81)+B14-(G13+H13^2/(2*9.81))-(A13-A14)*(((DATOS!$B$34*(C14/(D14*((AL14+AM14)/2)))/((D14*((AL14+AM14)/2))/(D14+2*((AL14+AM14)/2)))^(2/3))^2+((DATOS!$B$34*H13/((D13*F13)/(D13+2*F13))^(2/3))^2))/2))&gt;0,AL14,((AL14+AM14)/2))</f>
        <v/>
      </c>
      <c r="AO14" s="5">
        <f>IF((((AL14+AM14)/2)+(C14/(D14*((AL14+AM14)/2)))^2/(2*9.81)+B14-(G13+H13^2/(2*9.81))-(A13-A14)*(((DATOS!$B$34*(C14/(D14*((AL14+AM14)/2)))/((D14*((AL14+AM14)/2))/(D14+2*((AL14+AM14)/2)))^(2/3))^2+((DATOS!$B$34*H13/((D13*F13)/(D13+2*F13))^(2/3))^2))/2))&gt;0,((AL14+AM14)/2),AM14)</f>
        <v/>
      </c>
      <c r="AP14" s="5">
        <f>IF((((AN14+AO14)/2)+(C14/(D14*((AN14+AO14)/2)))^2/(2*9.81)+B14-(G13+H13^2/(2*9.81))-(A13-A14)*(((DATOS!$B$34*(C14/(D14*((AN14+AO14)/2)))/((D14*((AN14+AO14)/2))/(D14+2*((AN14+AO14)/2)))^(2/3))^2+((DATOS!$B$34*H13/((D13*F13)/(D13+2*F13))^(2/3))^2))/2))&gt;0,AN14,((AN14+AO14)/2))</f>
        <v/>
      </c>
      <c r="AQ14" s="5">
        <f>IF((((AN14+AO14)/2)+(C14/(D14*((AN14+AO14)/2)))^2/(2*9.81)+B14-(G13+H13^2/(2*9.81))-(A13-A14)*(((DATOS!$B$34*(C14/(D14*((AN14+AO14)/2)))/((D14*((AN14+AO14)/2))/(D14+2*((AN14+AO14)/2)))^(2/3))^2+((DATOS!$B$34*H13/((D13*F13)/(D13+2*F13))^(2/3))^2))/2))&gt;0,((AN14+AO14)/2),AO14)</f>
        <v/>
      </c>
      <c r="AR14" s="5">
        <f>IF((((AP14+AQ14)/2)+(C14/(D14*((AP14+AQ14)/2)))^2/(2*9.81)+B14-(G13+H13^2/(2*9.81))-(A13-A14)*(((DATOS!$B$34*(C14/(D14*((AP14+AQ14)/2)))/((D14*((AP14+AQ14)/2))/(D14+2*((AP14+AQ14)/2)))^(2/3))^2+((DATOS!$B$34*H13/((D13*F13)/(D13+2*F13))^(2/3))^2))/2))&gt;0,AP14,((AP14+AQ14)/2))</f>
        <v/>
      </c>
      <c r="AS14" s="5">
        <f>IF((((AP14+AQ14)/2)+(C14/(D14*((AP14+AQ14)/2)))^2/(2*9.81)+B14-(G13+H13^2/(2*9.81))-(A13-A14)*(((DATOS!$B$34*(C14/(D14*((AP14+AQ14)/2)))/((D14*((AP14+AQ14)/2))/(D14+2*((AP14+AQ14)/2)))^(2/3))^2+((DATOS!$B$34*H13/((D13*F13)/(D13+2*F13))^(2/3))^2))/2))&gt;0,((AP14+AQ14)/2),AQ14)</f>
        <v/>
      </c>
      <c r="AT14" s="5">
        <f>IF((((AR14+AS14)/2)+(C14/(D14*((AR14+AS14)/2)))^2/(2*9.81)+B14-(G13+H13^2/(2*9.81))-(A13-A14)*(((DATOS!$B$34*(C14/(D14*((AR14+AS14)/2)))/((D14*((AR14+AS14)/2))/(D14+2*((AR14+AS14)/2)))^(2/3))^2+((DATOS!$B$34*H13/((D13*F13)/(D13+2*F13))^(2/3))^2))/2))&gt;0,AR14,((AR14+AS14)/2))</f>
        <v/>
      </c>
      <c r="AU14" s="5">
        <f>IF((((AR14+AS14)/2)+(C14/(D14*((AR14+AS14)/2)))^2/(2*9.81)+B14-(G13+H13^2/(2*9.81))-(A13-A14)*(((DATOS!$B$34*(C14/(D14*((AR14+AS14)/2)))/((D14*((AR14+AS14)/2))/(D14+2*((AR14+AS14)/2)))^(2/3))^2+((DATOS!$B$34*H13/((D13*F13)/(D13+2*F13))^(2/3))^2))/2))&gt;0,((AR14+AS14)/2),AS14)</f>
        <v/>
      </c>
      <c r="AV14" s="5">
        <f>IF((((AT14+AU14)/2)+(C14/(D14*((AT14+AU14)/2)))^2/(2*9.81)+B14-(G13+H13^2/(2*9.81))-(A13-A14)*(((DATOS!$B$34*(C14/(D14*((AT14+AU14)/2)))/((D14*((AT14+AU14)/2))/(D14+2*((AT14+AU14)/2)))^(2/3))^2+((DATOS!$B$34*H13/((D13*F13)/(D13+2*F13))^(2/3))^2))/2))&gt;0,AT14,((AT14+AU14)/2))</f>
        <v/>
      </c>
      <c r="AW14" s="5">
        <f>IF((((AT14+AU14)/2)+(C14/(D14*((AT14+AU14)/2)))^2/(2*9.81)+B14-(G13+H13^2/(2*9.81))-(A13-A14)*(((DATOS!$B$34*(C14/(D14*((AT14+AU14)/2)))/((D14*((AT14+AU14)/2))/(D14+2*((AT14+AU14)/2)))^(2/3))^2+((DATOS!$B$34*H13/((D13*F13)/(D13+2*F13))^(2/3))^2))/2))&gt;0,((AT14+AU14)/2),AU14)</f>
        <v/>
      </c>
      <c r="AX14" s="5">
        <f>IF((((AV14+AW14)/2)+(C14/(D14*((AV14+AW14)/2)))^2/(2*9.81)+B14-(G13+H13^2/(2*9.81))-(A13-A14)*(((DATOS!$B$34*(C14/(D14*((AV14+AW14)/2)))/((D14*((AV14+AW14)/2))/(D14+2*((AV14+AW14)/2)))^(2/3))^2+((DATOS!$B$34*H13/((D13*F13)/(D13+2*F13))^(2/3))^2))/2))&gt;0,AV14,((AV14+AW14)/2))</f>
        <v/>
      </c>
      <c r="AY14" s="5">
        <f>IF((((AV14+AW14)/2)+(C14/(D14*((AV14+AW14)/2)))^2/(2*9.81)+B14-(G13+H13^2/(2*9.81))-(A13-A14)*(((DATOS!$B$34*(C14/(D14*((AV14+AW14)/2)))/((D14*((AV14+AW14)/2))/(D14+2*((AV14+AW14)/2)))^(2/3))^2+((DATOS!$B$34*H13/((D13*F13)/(D13+2*F13))^(2/3))^2))/2))&gt;0,((AV14+AW14)/2),AW14)</f>
        <v/>
      </c>
      <c r="AZ14" s="5">
        <f>IF((((AX14+AY14)/2)+(C14/(D14*((AX14+AY14)/2)))^2/(2*9.81)+B14-(G13+H13^2/(2*9.81))-(A13-A14)*(((DATOS!$B$34*(C14/(D14*((AX14+AY14)/2)))/((D14*((AX14+AY14)/2))/(D14+2*((AX14+AY14)/2)))^(2/3))^2+((DATOS!$B$34*H13/((D13*F13)/(D13+2*F13))^(2/3))^2))/2))&gt;0,AX14,((AX14+AY14)/2))</f>
        <v/>
      </c>
      <c r="BA14" s="5">
        <f>IF((((AX14+AY14)/2)+(C14/(D14*((AX14+AY14)/2)))^2/(2*9.81)+B14-(G13+H13^2/(2*9.81))-(A13-A14)*(((DATOS!$B$34*(C14/(D14*((AX14+AY14)/2)))/((D14*((AX14+AY14)/2))/(D14+2*((AX14+AY14)/2)))^(2/3))^2+((DATOS!$B$34*H13/((D13*F13)/(D13+2*F13))^(2/3))^2))/2))&gt;0,((AX14+AY14)/2),AY14)</f>
        <v/>
      </c>
      <c r="BB14" s="5">
        <f>IF((((AZ14+BA14)/2)+(C14/(D14*((AZ14+BA14)/2)))^2/(2*9.81)+B14-(G13+H13^2/(2*9.81))-(A13-A14)*(((DATOS!$B$34*(C14/(D14*((AZ14+BA14)/2)))/((D14*((AZ14+BA14)/2))/(D14+2*((AZ14+BA14)/2)))^(2/3))^2+((DATOS!$B$34*H13/((D13*F13)/(D13+2*F13))^(2/3))^2))/2))&gt;0,AZ14,((AZ14+BA14)/2))</f>
        <v/>
      </c>
      <c r="BC14" s="5">
        <f>IF((((AZ14+BA14)/2)+(C14/(D14*((AZ14+BA14)/2)))^2/(2*9.81)+B14-(G13+H13^2/(2*9.81))-(A13-A14)*(((DATOS!$B$34*(C14/(D14*((AZ14+BA14)/2)))/((D14*((AZ14+BA14)/2))/(D14+2*((AZ14+BA14)/2)))^(2/3))^2+((DATOS!$B$34*H13/((D13*F13)/(D13+2*F13))^(2/3))^2))/2))&gt;0,((AZ14+BA14)/2),BA14)</f>
        <v/>
      </c>
      <c r="BD14" s="5">
        <f>IF((((BB14+BC14)/2)+(C14/(D14*((BB14+BC14)/2)))^2/(2*9.81)+B14-(G13+H13^2/(2*9.81))-(A13-A14)*(((DATOS!$B$34*(C14/(D14*((BB14+BC14)/2)))/((D14*((BB14+BC14)/2))/(D14+2*((BB14+BC14)/2)))^(2/3))^2+((DATOS!$B$34*H13/((D13*F13)/(D13+2*F13))^(2/3))^2))/2))&gt;0,BB14,((BB14+BC14)/2))</f>
        <v/>
      </c>
      <c r="BE14" s="5">
        <f>IF((((BB14+BC14)/2)+(C14/(D14*((BB14+BC14)/2)))^2/(2*9.81)+B14-(G13+H13^2/(2*9.81))-(A13-A14)*(((DATOS!$B$34*(C14/(D14*((BB14+BC14)/2)))/((D14*((BB14+BC14)/2))/(D14+2*((BB14+BC14)/2)))^(2/3))^2+((DATOS!$B$34*H13/((D13*F13)/(D13+2*F13))^(2/3))^2))/2))&gt;0,((BB14+BC14)/2),BC14)</f>
        <v/>
      </c>
      <c r="BF14" s="5">
        <f>IF((((BD14+BE14)/2)+(C14/(D14*((BD14+BE14)/2)))^2/(2*9.81)+B14-(G13+H13^2/(2*9.81))-(A13-A14)*(((DATOS!$B$34*(C14/(D14*((BD14+BE14)/2)))/((D14*((BD14+BE14)/2))/(D14+2*((BD14+BE14)/2)))^(2/3))^2+((DATOS!$B$34*H13/((D13*F13)/(D13+2*F13))^(2/3))^2))/2))&gt;0,BD14,((BD14+BE14)/2))</f>
        <v/>
      </c>
      <c r="BG14" s="5">
        <f>IF((((BD14+BE14)/2)+(C14/(D14*((BD14+BE14)/2)))^2/(2*9.81)+B14-(G13+H13^2/(2*9.81))-(A13-A14)*(((DATOS!$B$34*(C14/(D14*((BD14+BE14)/2)))/((D14*((BD14+BE14)/2))/(D14+2*((BD14+BE14)/2)))^(2/3))^2+((DATOS!$B$34*H13/((D13*F13)/(D13+2*F13))^(2/3))^2))/2))&gt;0,((BD14+BE14)/2),BE14)</f>
        <v/>
      </c>
      <c r="BH14" s="5">
        <f>IF((((BF14+BG14)/2)+(C14/(D14*((BF14+BG14)/2)))^2/(2*9.81)+B14-(G13+H13^2/(2*9.81))-(A13-A14)*(((DATOS!$B$34*(C14/(D14*((BF14+BG14)/2)))/((D14*((BF14+BG14)/2))/(D14+2*((BF14+BG14)/2)))^(2/3))^2+((DATOS!$B$34*H13/((D13*F13)/(D13+2*F13))^(2/3))^2))/2))&gt;0,BF14,((BF14+BG14)/2))</f>
        <v/>
      </c>
      <c r="BI14" s="5">
        <f>IF((((BF14+BG14)/2)+(C14/(D14*((BF14+BG14)/2)))^2/(2*9.81)+B14-(G13+H13^2/(2*9.81))-(A13-A14)*(((DATOS!$B$34*(C14/(D14*((BF14+BG14)/2)))/((D14*((BF14+BG14)/2))/(D14+2*((BF14+BG14)/2)))^(2/3))^2+((DATOS!$B$34*H13/((D13*F13)/(D13+2*F13))^(2/3))^2))/2))&gt;0,((BF14+BG14)/2),BG14)</f>
        <v/>
      </c>
      <c r="BJ14" s="5">
        <f>IF((((BH14+BI14)/2)+(C14/(D14*((BH14+BI14)/2)))^2/(2*9.81)+B14-(G13+H13^2/(2*9.81))-(A13-A14)*(((DATOS!$B$34*(C14/(D14*((BH14+BI14)/2)))/((D14*((BH14+BI14)/2))/(D14+2*((BH14+BI14)/2)))^(2/3))^2+((DATOS!$B$34*H13/((D13*F13)/(D13+2*F13))^(2/3))^2))/2))&gt;0,BH14,((BH14+BI14)/2))</f>
        <v/>
      </c>
      <c r="BK14" s="5">
        <f>IF((((BH14+BI14)/2)+(C14/(D14*((BH14+BI14)/2)))^2/(2*9.81)+B14-(G13+H13^2/(2*9.81))-(A13-A14)*(((DATOS!$B$34*(C14/(D14*((BH14+BI14)/2)))/((D14*((BH14+BI14)/2))/(D14+2*((BH14+BI14)/2)))^(2/3))^2+((DATOS!$B$34*H13/((D13*F13)/(D13+2*F13))^(2/3))^2))/2))&gt;0,((BH14+BI14)/2),BI14)</f>
        <v/>
      </c>
      <c r="BL14" s="5">
        <f>IF((((BJ14+BK14)/2)+(C14/(D14*((BJ14+BK14)/2)))^2/(2*9.81)+B14-(G13+H13^2/(2*9.81))-(A13-A14)*(((DATOS!$B$34*(C14/(D14*((BJ14+BK14)/2)))/((D14*((BJ14+BK14)/2))/(D14+2*((BJ14+BK14)/2)))^(2/3))^2+((DATOS!$B$34*H13/((D13*F13)/(D13+2*F13))^(2/3))^2))/2))&gt;0,BJ14,((BJ14+BK14)/2))</f>
        <v/>
      </c>
      <c r="BM14" s="5">
        <f>IF((((BJ14+BK14)/2)+(C14/(D14*((BJ14+BK14)/2)))^2/(2*9.81)+B14-(G13+H13^2/(2*9.81))-(A13-A14)*(((DATOS!$B$34*(C14/(D14*((BJ14+BK14)/2)))/((D14*((BJ14+BK14)/2))/(D14+2*((BJ14+BK14)/2)))^(2/3))^2+((DATOS!$B$34*H13/((D13*F13)/(D13+2*F13))^(2/3))^2))/2))&gt;0,((BJ14+BK14)/2),BK14)</f>
        <v/>
      </c>
      <c r="BN14" s="5">
        <f>IF((((BL14+BM14)/2)+(C14/(D14*((BL14+BM14)/2)))^2/(2*9.81)+B14-(G13+H13^2/(2*9.81))-(A13-A14)*(((DATOS!$B$34*(C14/(D14*((BL14+BM14)/2)))/((D14*((BL14+BM14)/2))/(D14+2*((BL14+BM14)/2)))^(2/3))^2+((DATOS!$B$34*H13/((D13*F13)/(D13+2*F13))^(2/3))^2))/2))&gt;0,BL14,((BL14+BM14)/2))</f>
        <v/>
      </c>
      <c r="BO14" s="5">
        <f>IF((((BL14+BM14)/2)+(C14/(D14*((BL14+BM14)/2)))^2/(2*9.81)+B14-(G13+H13^2/(2*9.81))-(A13-A14)*(((DATOS!$B$34*(C14/(D14*((BL14+BM14)/2)))/((D14*((BL14+BM14)/2))/(D14+2*((BL14+BM14)/2)))^(2/3))^2+((DATOS!$B$34*H13/((D13*F13)/(D13+2*F13))^(2/3))^2))/2))&gt;0,((BL14+BM14)/2),BM14)</f>
        <v/>
      </c>
      <c r="BP14" s="5">
        <f>IF((((BN14+BO14)/2)+(C14/(D14*((BN14+BO14)/2)))^2/(2*9.81)+B14-(G13+H13^2/(2*9.81))-(A13-A14)*(((DATOS!$B$34*(C14/(D14*((BN14+BO14)/2)))/((D14*((BN14+BO14)/2))/(D14+2*((BN14+BO14)/2)))^(2/3))^2+((DATOS!$B$34*H13/((D13*F13)/(D13+2*F13))^(2/3))^2))/2))&gt;0,BN14,((BN14+BO14)/2))</f>
        <v/>
      </c>
      <c r="BQ14" s="5">
        <f>IF((((BN14+BO14)/2)+(C14/(D14*((BN14+BO14)/2)))^2/(2*9.81)+B14-(G13+H13^2/(2*9.81))-(A13-A14)*(((DATOS!$B$34*(C14/(D14*((BN14+BO14)/2)))/((D14*((BN14+BO14)/2))/(D14+2*((BN14+BO14)/2)))^(2/3))^2+((DATOS!$B$34*H13/((D13*F13)/(D13+2*F13))^(2/3))^2))/2))&gt;0,((BN14+BO14)/2),BO14)</f>
        <v/>
      </c>
      <c r="BR14" s="5">
        <f>IF((((BP14+BQ14)/2)+(C14/(D14*((BP14+BQ14)/2)))^2/(2*9.81)+B14-(G13+H13^2/(2*9.81))-(A13-A14)*(((DATOS!$B$34*(C14/(D14*((BP14+BQ14)/2)))/((D14*((BP14+BQ14)/2))/(D14+2*((BP14+BQ14)/2)))^(2/3))^2+((DATOS!$B$34*H13/((D13*F13)/(D13+2*F13))^(2/3))^2))/2))&gt;0,BP14,((BP14+BQ14)/2))</f>
        <v/>
      </c>
      <c r="BS14" s="5">
        <f>IF((((BP14+BQ14)/2)+(C14/(D14*((BP14+BQ14)/2)))^2/(2*9.81)+B14-(G13+H13^2/(2*9.81))-(A13-A14)*(((DATOS!$B$34*(C14/(D14*((BP14+BQ14)/2)))/((D14*((BP14+BQ14)/2))/(D14+2*((BP14+BQ14)/2)))^(2/3))^2+((DATOS!$B$34*H13/((D13*F13)/(D13+2*F13))^(2/3))^2))/2))&gt;0,((BP14+BQ14)/2),BQ14)</f>
        <v/>
      </c>
      <c r="BT14" s="5">
        <f>IF((((BR14+BS14)/2)+(C14/(D14*((BR14+BS14)/2)))^2/(2*9.81)+B14-(G13+H13^2/(2*9.81))-(A13-A14)*(((DATOS!$B$34*(C14/(D14*((BR14+BS14)/2)))/((D14*((BR14+BS14)/2))/(D14+2*((BR14+BS14)/2)))^(2/3))^2+((DATOS!$B$34*H13/((D13*F13)/(D13+2*F13))^(2/3))^2))/2))&gt;0,BR14,((BR14+BS14)/2))</f>
        <v/>
      </c>
      <c r="BU14" s="5">
        <f>IF((((BR14+BS14)/2)+(C14/(D14*((BR14+BS14)/2)))^2/(2*9.81)+B14-(G13+H13^2/(2*9.81))-(A13-A14)*(((DATOS!$B$34*(C14/(D14*((BR14+BS14)/2)))/((D14*((BR14+BS14)/2))/(D14+2*((BR14+BS14)/2)))^(2/3))^2+((DATOS!$B$34*H13/((D13*F13)/(D13+2*F13))^(2/3))^2))/2))&gt;0,((BR14+BS14)/2),BS14)</f>
        <v/>
      </c>
      <c r="BV14" s="5">
        <f>IF((((BT14+BU14)/2)+(C14/(D14*((BT14+BU14)/2)))^2/(2*9.81)+B14-(G13+H13^2/(2*9.81))-(A13-A14)*(((DATOS!$B$34*(C14/(D14*((BT14+BU14)/2)))/((D14*((BT14+BU14)/2))/(D14+2*((BT14+BU14)/2)))^(2/3))^2+((DATOS!$B$34*H13/((D13*F13)/(D13+2*F13))^(2/3))^2))/2))&gt;0,BT14,((BT14+BU14)/2))</f>
        <v/>
      </c>
      <c r="BW14" s="5">
        <f>IF((((BT14+BU14)/2)+(C14/(D14*((BT14+BU14)/2)))^2/(2*9.81)+B14-(G13+H13^2/(2*9.81))-(A13-A14)*(((DATOS!$B$34*(C14/(D14*((BT14+BU14)/2)))/((D14*((BT14+BU14)/2))/(D14+2*((BT14+BU14)/2)))^(2/3))^2+((DATOS!$B$34*H13/((D13*F13)/(D13+2*F13))^(2/3))^2))/2))&gt;0,((BT14+BU14)/2),BU14)</f>
        <v/>
      </c>
    </row>
    <row r="15">
      <c r="A15" s="13" t="n">
        <v>64</v>
      </c>
      <c r="B15" s="16">
        <f>DATOS!$B$22-DATOS!$B$23*A15</f>
        <v/>
      </c>
      <c r="C15" s="24">
        <f>CAUDALES!$B$13</f>
        <v/>
      </c>
      <c r="D15" s="17">
        <f>DATOS!$B$17</f>
        <v/>
      </c>
      <c r="E15" s="16">
        <f>(C15^2/(9.81*D15^2))^(1/3)</f>
        <v/>
      </c>
      <c r="F15" s="16">
        <f>(BV15+BW15)/2</f>
        <v/>
      </c>
      <c r="G15" s="16">
        <f>B15+F15</f>
        <v/>
      </c>
      <c r="H15" s="19">
        <f>C15/(D15*F15)</f>
        <v/>
      </c>
      <c r="I15" s="19">
        <f>H15/SQRT(9.81*F15)</f>
        <v/>
      </c>
      <c r="J15" s="16">
        <f>DATOS!$B$29-IF(AND(A15&gt;=DATOS!$B$30,A15&lt;DATOS!$B$31),DATOS!$B$21,DATOS!$B$20)</f>
        <v/>
      </c>
      <c r="K15" s="19">
        <f>J15-B15</f>
        <v/>
      </c>
      <c r="L15" s="19">
        <f>F15/K15</f>
        <v/>
      </c>
      <c r="M15" s="16">
        <f>J15-G15</f>
        <v/>
      </c>
      <c r="N15" s="5">
        <f>IF(AND(L15&lt;=DATOS!$B$36,M15&gt;=DATOS!$B$37,I15&lt;=1),"CUMPLE","NO CUMPLE")</f>
        <v/>
      </c>
      <c r="O15" s="5">
        <f>IF(AND(A15&gt;=DATOS!$B$30,A15&lt;DATOS!$B$31),"cruce de camiones",IF(AND(A15&gt;=DATOS!$B$32,A15&lt;DATOS!$B$33),"cruce de motos","tramo normal"))</f>
        <v/>
      </c>
      <c r="P15" s="5">
        <f>E15*1.001</f>
        <v/>
      </c>
      <c r="Q15" s="13" t="n">
        <v>3</v>
      </c>
      <c r="R15" s="5">
        <f>IF((((P15+Q15)/2)+(C15/(D15*((P15+Q15)/2)))^2/(2*9.81)+B15-(G14+H14^2/(2*9.81))-(A14-A15)*(((DATOS!$B$34*(C15/(D15*((P15+Q15)/2)))/((D15*((P15+Q15)/2))/(D15+2*((P15+Q15)/2)))^(2/3))^2+((DATOS!$B$34*H14/((D14*F14)/(D14+2*F14))^(2/3))^2))/2))&gt;0,P15,((P15+Q15)/2))</f>
        <v/>
      </c>
      <c r="S15" s="5">
        <f>IF((((P15+Q15)/2)+(C15/(D15*((P15+Q15)/2)))^2/(2*9.81)+B15-(G14+H14^2/(2*9.81))-(A14-A15)*(((DATOS!$B$34*(C15/(D15*((P15+Q15)/2)))/((D15*((P15+Q15)/2))/(D15+2*((P15+Q15)/2)))^(2/3))^2+((DATOS!$B$34*H14/((D14*F14)/(D14+2*F14))^(2/3))^2))/2))&gt;0,((P15+Q15)/2),Q15)</f>
        <v/>
      </c>
      <c r="T15" s="5">
        <f>IF((((R15+S15)/2)+(C15/(D15*((R15+S15)/2)))^2/(2*9.81)+B15-(G14+H14^2/(2*9.81))-(A14-A15)*(((DATOS!$B$34*(C15/(D15*((R15+S15)/2)))/((D15*((R15+S15)/2))/(D15+2*((R15+S15)/2)))^(2/3))^2+((DATOS!$B$34*H14/((D14*F14)/(D14+2*F14))^(2/3))^2))/2))&gt;0,R15,((R15+S15)/2))</f>
        <v/>
      </c>
      <c r="U15" s="5">
        <f>IF((((R15+S15)/2)+(C15/(D15*((R15+S15)/2)))^2/(2*9.81)+B15-(G14+H14^2/(2*9.81))-(A14-A15)*(((DATOS!$B$34*(C15/(D15*((R15+S15)/2)))/((D15*((R15+S15)/2))/(D15+2*((R15+S15)/2)))^(2/3))^2+((DATOS!$B$34*H14/((D14*F14)/(D14+2*F14))^(2/3))^2))/2))&gt;0,((R15+S15)/2),S15)</f>
        <v/>
      </c>
      <c r="V15" s="5">
        <f>IF((((T15+U15)/2)+(C15/(D15*((T15+U15)/2)))^2/(2*9.81)+B15-(G14+H14^2/(2*9.81))-(A14-A15)*(((DATOS!$B$34*(C15/(D15*((T15+U15)/2)))/((D15*((T15+U15)/2))/(D15+2*((T15+U15)/2)))^(2/3))^2+((DATOS!$B$34*H14/((D14*F14)/(D14+2*F14))^(2/3))^2))/2))&gt;0,T15,((T15+U15)/2))</f>
        <v/>
      </c>
      <c r="W15" s="5">
        <f>IF((((T15+U15)/2)+(C15/(D15*((T15+U15)/2)))^2/(2*9.81)+B15-(G14+H14^2/(2*9.81))-(A14-A15)*(((DATOS!$B$34*(C15/(D15*((T15+U15)/2)))/((D15*((T15+U15)/2))/(D15+2*((T15+U15)/2)))^(2/3))^2+((DATOS!$B$34*H14/((D14*F14)/(D14+2*F14))^(2/3))^2))/2))&gt;0,((T15+U15)/2),U15)</f>
        <v/>
      </c>
      <c r="X15" s="5">
        <f>IF((((V15+W15)/2)+(C15/(D15*((V15+W15)/2)))^2/(2*9.81)+B15-(G14+H14^2/(2*9.81))-(A14-A15)*(((DATOS!$B$34*(C15/(D15*((V15+W15)/2)))/((D15*((V15+W15)/2))/(D15+2*((V15+W15)/2)))^(2/3))^2+((DATOS!$B$34*H14/((D14*F14)/(D14+2*F14))^(2/3))^2))/2))&gt;0,V15,((V15+W15)/2))</f>
        <v/>
      </c>
      <c r="Y15" s="5">
        <f>IF((((V15+W15)/2)+(C15/(D15*((V15+W15)/2)))^2/(2*9.81)+B15-(G14+H14^2/(2*9.81))-(A14-A15)*(((DATOS!$B$34*(C15/(D15*((V15+W15)/2)))/((D15*((V15+W15)/2))/(D15+2*((V15+W15)/2)))^(2/3))^2+((DATOS!$B$34*H14/((D14*F14)/(D14+2*F14))^(2/3))^2))/2))&gt;0,((V15+W15)/2),W15)</f>
        <v/>
      </c>
      <c r="Z15" s="5">
        <f>IF((((X15+Y15)/2)+(C15/(D15*((X15+Y15)/2)))^2/(2*9.81)+B15-(G14+H14^2/(2*9.81))-(A14-A15)*(((DATOS!$B$34*(C15/(D15*((X15+Y15)/2)))/((D15*((X15+Y15)/2))/(D15+2*((X15+Y15)/2)))^(2/3))^2+((DATOS!$B$34*H14/((D14*F14)/(D14+2*F14))^(2/3))^2))/2))&gt;0,X15,((X15+Y15)/2))</f>
        <v/>
      </c>
      <c r="AA15" s="5">
        <f>IF((((X15+Y15)/2)+(C15/(D15*((X15+Y15)/2)))^2/(2*9.81)+B15-(G14+H14^2/(2*9.81))-(A14-A15)*(((DATOS!$B$34*(C15/(D15*((X15+Y15)/2)))/((D15*((X15+Y15)/2))/(D15+2*((X15+Y15)/2)))^(2/3))^2+((DATOS!$B$34*H14/((D14*F14)/(D14+2*F14))^(2/3))^2))/2))&gt;0,((X15+Y15)/2),Y15)</f>
        <v/>
      </c>
      <c r="AB15" s="5">
        <f>IF((((Z15+AA15)/2)+(C15/(D15*((Z15+AA15)/2)))^2/(2*9.81)+B15-(G14+H14^2/(2*9.81))-(A14-A15)*(((DATOS!$B$34*(C15/(D15*((Z15+AA15)/2)))/((D15*((Z15+AA15)/2))/(D15+2*((Z15+AA15)/2)))^(2/3))^2+((DATOS!$B$34*H14/((D14*F14)/(D14+2*F14))^(2/3))^2))/2))&gt;0,Z15,((Z15+AA15)/2))</f>
        <v/>
      </c>
      <c r="AC15" s="5">
        <f>IF((((Z15+AA15)/2)+(C15/(D15*((Z15+AA15)/2)))^2/(2*9.81)+B15-(G14+H14^2/(2*9.81))-(A14-A15)*(((DATOS!$B$34*(C15/(D15*((Z15+AA15)/2)))/((D15*((Z15+AA15)/2))/(D15+2*((Z15+AA15)/2)))^(2/3))^2+((DATOS!$B$34*H14/((D14*F14)/(D14+2*F14))^(2/3))^2))/2))&gt;0,((Z15+AA15)/2),AA15)</f>
        <v/>
      </c>
      <c r="AD15" s="5">
        <f>IF((((AB15+AC15)/2)+(C15/(D15*((AB15+AC15)/2)))^2/(2*9.81)+B15-(G14+H14^2/(2*9.81))-(A14-A15)*(((DATOS!$B$34*(C15/(D15*((AB15+AC15)/2)))/((D15*((AB15+AC15)/2))/(D15+2*((AB15+AC15)/2)))^(2/3))^2+((DATOS!$B$34*H14/((D14*F14)/(D14+2*F14))^(2/3))^2))/2))&gt;0,AB15,((AB15+AC15)/2))</f>
        <v/>
      </c>
      <c r="AE15" s="5">
        <f>IF((((AB15+AC15)/2)+(C15/(D15*((AB15+AC15)/2)))^2/(2*9.81)+B15-(G14+H14^2/(2*9.81))-(A14-A15)*(((DATOS!$B$34*(C15/(D15*((AB15+AC15)/2)))/((D15*((AB15+AC15)/2))/(D15+2*((AB15+AC15)/2)))^(2/3))^2+((DATOS!$B$34*H14/((D14*F14)/(D14+2*F14))^(2/3))^2))/2))&gt;0,((AB15+AC15)/2),AC15)</f>
        <v/>
      </c>
      <c r="AF15" s="5">
        <f>IF((((AD15+AE15)/2)+(C15/(D15*((AD15+AE15)/2)))^2/(2*9.81)+B15-(G14+H14^2/(2*9.81))-(A14-A15)*(((DATOS!$B$34*(C15/(D15*((AD15+AE15)/2)))/((D15*((AD15+AE15)/2))/(D15+2*((AD15+AE15)/2)))^(2/3))^2+((DATOS!$B$34*H14/((D14*F14)/(D14+2*F14))^(2/3))^2))/2))&gt;0,AD15,((AD15+AE15)/2))</f>
        <v/>
      </c>
      <c r="AG15" s="5">
        <f>IF((((AD15+AE15)/2)+(C15/(D15*((AD15+AE15)/2)))^2/(2*9.81)+B15-(G14+H14^2/(2*9.81))-(A14-A15)*(((DATOS!$B$34*(C15/(D15*((AD15+AE15)/2)))/((D15*((AD15+AE15)/2))/(D15+2*((AD15+AE15)/2)))^(2/3))^2+((DATOS!$B$34*H14/((D14*F14)/(D14+2*F14))^(2/3))^2))/2))&gt;0,((AD15+AE15)/2),AE15)</f>
        <v/>
      </c>
      <c r="AH15" s="5">
        <f>IF((((AF15+AG15)/2)+(C15/(D15*((AF15+AG15)/2)))^2/(2*9.81)+B15-(G14+H14^2/(2*9.81))-(A14-A15)*(((DATOS!$B$34*(C15/(D15*((AF15+AG15)/2)))/((D15*((AF15+AG15)/2))/(D15+2*((AF15+AG15)/2)))^(2/3))^2+((DATOS!$B$34*H14/((D14*F14)/(D14+2*F14))^(2/3))^2))/2))&gt;0,AF15,((AF15+AG15)/2))</f>
        <v/>
      </c>
      <c r="AI15" s="5">
        <f>IF((((AF15+AG15)/2)+(C15/(D15*((AF15+AG15)/2)))^2/(2*9.81)+B15-(G14+H14^2/(2*9.81))-(A14-A15)*(((DATOS!$B$34*(C15/(D15*((AF15+AG15)/2)))/((D15*((AF15+AG15)/2))/(D15+2*((AF15+AG15)/2)))^(2/3))^2+((DATOS!$B$34*H14/((D14*F14)/(D14+2*F14))^(2/3))^2))/2))&gt;0,((AF15+AG15)/2),AG15)</f>
        <v/>
      </c>
      <c r="AJ15" s="5">
        <f>IF((((AH15+AI15)/2)+(C15/(D15*((AH15+AI15)/2)))^2/(2*9.81)+B15-(G14+H14^2/(2*9.81))-(A14-A15)*(((DATOS!$B$34*(C15/(D15*((AH15+AI15)/2)))/((D15*((AH15+AI15)/2))/(D15+2*((AH15+AI15)/2)))^(2/3))^2+((DATOS!$B$34*H14/((D14*F14)/(D14+2*F14))^(2/3))^2))/2))&gt;0,AH15,((AH15+AI15)/2))</f>
        <v/>
      </c>
      <c r="AK15" s="5">
        <f>IF((((AH15+AI15)/2)+(C15/(D15*((AH15+AI15)/2)))^2/(2*9.81)+B15-(G14+H14^2/(2*9.81))-(A14-A15)*(((DATOS!$B$34*(C15/(D15*((AH15+AI15)/2)))/((D15*((AH15+AI15)/2))/(D15+2*((AH15+AI15)/2)))^(2/3))^2+((DATOS!$B$34*H14/((D14*F14)/(D14+2*F14))^(2/3))^2))/2))&gt;0,((AH15+AI15)/2),AI15)</f>
        <v/>
      </c>
      <c r="AL15" s="5">
        <f>IF((((AJ15+AK15)/2)+(C15/(D15*((AJ15+AK15)/2)))^2/(2*9.81)+B15-(G14+H14^2/(2*9.81))-(A14-A15)*(((DATOS!$B$34*(C15/(D15*((AJ15+AK15)/2)))/((D15*((AJ15+AK15)/2))/(D15+2*((AJ15+AK15)/2)))^(2/3))^2+((DATOS!$B$34*H14/((D14*F14)/(D14+2*F14))^(2/3))^2))/2))&gt;0,AJ15,((AJ15+AK15)/2))</f>
        <v/>
      </c>
      <c r="AM15" s="5">
        <f>IF((((AJ15+AK15)/2)+(C15/(D15*((AJ15+AK15)/2)))^2/(2*9.81)+B15-(G14+H14^2/(2*9.81))-(A14-A15)*(((DATOS!$B$34*(C15/(D15*((AJ15+AK15)/2)))/((D15*((AJ15+AK15)/2))/(D15+2*((AJ15+AK15)/2)))^(2/3))^2+((DATOS!$B$34*H14/((D14*F14)/(D14+2*F14))^(2/3))^2))/2))&gt;0,((AJ15+AK15)/2),AK15)</f>
        <v/>
      </c>
      <c r="AN15" s="5">
        <f>IF((((AL15+AM15)/2)+(C15/(D15*((AL15+AM15)/2)))^2/(2*9.81)+B15-(G14+H14^2/(2*9.81))-(A14-A15)*(((DATOS!$B$34*(C15/(D15*((AL15+AM15)/2)))/((D15*((AL15+AM15)/2))/(D15+2*((AL15+AM15)/2)))^(2/3))^2+((DATOS!$B$34*H14/((D14*F14)/(D14+2*F14))^(2/3))^2))/2))&gt;0,AL15,((AL15+AM15)/2))</f>
        <v/>
      </c>
      <c r="AO15" s="5">
        <f>IF((((AL15+AM15)/2)+(C15/(D15*((AL15+AM15)/2)))^2/(2*9.81)+B15-(G14+H14^2/(2*9.81))-(A14-A15)*(((DATOS!$B$34*(C15/(D15*((AL15+AM15)/2)))/((D15*((AL15+AM15)/2))/(D15+2*((AL15+AM15)/2)))^(2/3))^2+((DATOS!$B$34*H14/((D14*F14)/(D14+2*F14))^(2/3))^2))/2))&gt;0,((AL15+AM15)/2),AM15)</f>
        <v/>
      </c>
      <c r="AP15" s="5">
        <f>IF((((AN15+AO15)/2)+(C15/(D15*((AN15+AO15)/2)))^2/(2*9.81)+B15-(G14+H14^2/(2*9.81))-(A14-A15)*(((DATOS!$B$34*(C15/(D15*((AN15+AO15)/2)))/((D15*((AN15+AO15)/2))/(D15+2*((AN15+AO15)/2)))^(2/3))^2+((DATOS!$B$34*H14/((D14*F14)/(D14+2*F14))^(2/3))^2))/2))&gt;0,AN15,((AN15+AO15)/2))</f>
        <v/>
      </c>
      <c r="AQ15" s="5">
        <f>IF((((AN15+AO15)/2)+(C15/(D15*((AN15+AO15)/2)))^2/(2*9.81)+B15-(G14+H14^2/(2*9.81))-(A14-A15)*(((DATOS!$B$34*(C15/(D15*((AN15+AO15)/2)))/((D15*((AN15+AO15)/2))/(D15+2*((AN15+AO15)/2)))^(2/3))^2+((DATOS!$B$34*H14/((D14*F14)/(D14+2*F14))^(2/3))^2))/2))&gt;0,((AN15+AO15)/2),AO15)</f>
        <v/>
      </c>
      <c r="AR15" s="5">
        <f>IF((((AP15+AQ15)/2)+(C15/(D15*((AP15+AQ15)/2)))^2/(2*9.81)+B15-(G14+H14^2/(2*9.81))-(A14-A15)*(((DATOS!$B$34*(C15/(D15*((AP15+AQ15)/2)))/((D15*((AP15+AQ15)/2))/(D15+2*((AP15+AQ15)/2)))^(2/3))^2+((DATOS!$B$34*H14/((D14*F14)/(D14+2*F14))^(2/3))^2))/2))&gt;0,AP15,((AP15+AQ15)/2))</f>
        <v/>
      </c>
      <c r="AS15" s="5">
        <f>IF((((AP15+AQ15)/2)+(C15/(D15*((AP15+AQ15)/2)))^2/(2*9.81)+B15-(G14+H14^2/(2*9.81))-(A14-A15)*(((DATOS!$B$34*(C15/(D15*((AP15+AQ15)/2)))/((D15*((AP15+AQ15)/2))/(D15+2*((AP15+AQ15)/2)))^(2/3))^2+((DATOS!$B$34*H14/((D14*F14)/(D14+2*F14))^(2/3))^2))/2))&gt;0,((AP15+AQ15)/2),AQ15)</f>
        <v/>
      </c>
      <c r="AT15" s="5">
        <f>IF((((AR15+AS15)/2)+(C15/(D15*((AR15+AS15)/2)))^2/(2*9.81)+B15-(G14+H14^2/(2*9.81))-(A14-A15)*(((DATOS!$B$34*(C15/(D15*((AR15+AS15)/2)))/((D15*((AR15+AS15)/2))/(D15+2*((AR15+AS15)/2)))^(2/3))^2+((DATOS!$B$34*H14/((D14*F14)/(D14+2*F14))^(2/3))^2))/2))&gt;0,AR15,((AR15+AS15)/2))</f>
        <v/>
      </c>
      <c r="AU15" s="5">
        <f>IF((((AR15+AS15)/2)+(C15/(D15*((AR15+AS15)/2)))^2/(2*9.81)+B15-(G14+H14^2/(2*9.81))-(A14-A15)*(((DATOS!$B$34*(C15/(D15*((AR15+AS15)/2)))/((D15*((AR15+AS15)/2))/(D15+2*((AR15+AS15)/2)))^(2/3))^2+((DATOS!$B$34*H14/((D14*F14)/(D14+2*F14))^(2/3))^2))/2))&gt;0,((AR15+AS15)/2),AS15)</f>
        <v/>
      </c>
      <c r="AV15" s="5">
        <f>IF((((AT15+AU15)/2)+(C15/(D15*((AT15+AU15)/2)))^2/(2*9.81)+B15-(G14+H14^2/(2*9.81))-(A14-A15)*(((DATOS!$B$34*(C15/(D15*((AT15+AU15)/2)))/((D15*((AT15+AU15)/2))/(D15+2*((AT15+AU15)/2)))^(2/3))^2+((DATOS!$B$34*H14/((D14*F14)/(D14+2*F14))^(2/3))^2))/2))&gt;0,AT15,((AT15+AU15)/2))</f>
        <v/>
      </c>
      <c r="AW15" s="5">
        <f>IF((((AT15+AU15)/2)+(C15/(D15*((AT15+AU15)/2)))^2/(2*9.81)+B15-(G14+H14^2/(2*9.81))-(A14-A15)*(((DATOS!$B$34*(C15/(D15*((AT15+AU15)/2)))/((D15*((AT15+AU15)/2))/(D15+2*((AT15+AU15)/2)))^(2/3))^2+((DATOS!$B$34*H14/((D14*F14)/(D14+2*F14))^(2/3))^2))/2))&gt;0,((AT15+AU15)/2),AU15)</f>
        <v/>
      </c>
      <c r="AX15" s="5">
        <f>IF((((AV15+AW15)/2)+(C15/(D15*((AV15+AW15)/2)))^2/(2*9.81)+B15-(G14+H14^2/(2*9.81))-(A14-A15)*(((DATOS!$B$34*(C15/(D15*((AV15+AW15)/2)))/((D15*((AV15+AW15)/2))/(D15+2*((AV15+AW15)/2)))^(2/3))^2+((DATOS!$B$34*H14/((D14*F14)/(D14+2*F14))^(2/3))^2))/2))&gt;0,AV15,((AV15+AW15)/2))</f>
        <v/>
      </c>
      <c r="AY15" s="5">
        <f>IF((((AV15+AW15)/2)+(C15/(D15*((AV15+AW15)/2)))^2/(2*9.81)+B15-(G14+H14^2/(2*9.81))-(A14-A15)*(((DATOS!$B$34*(C15/(D15*((AV15+AW15)/2)))/((D15*((AV15+AW15)/2))/(D15+2*((AV15+AW15)/2)))^(2/3))^2+((DATOS!$B$34*H14/((D14*F14)/(D14+2*F14))^(2/3))^2))/2))&gt;0,((AV15+AW15)/2),AW15)</f>
        <v/>
      </c>
      <c r="AZ15" s="5">
        <f>IF((((AX15+AY15)/2)+(C15/(D15*((AX15+AY15)/2)))^2/(2*9.81)+B15-(G14+H14^2/(2*9.81))-(A14-A15)*(((DATOS!$B$34*(C15/(D15*((AX15+AY15)/2)))/((D15*((AX15+AY15)/2))/(D15+2*((AX15+AY15)/2)))^(2/3))^2+((DATOS!$B$34*H14/((D14*F14)/(D14+2*F14))^(2/3))^2))/2))&gt;0,AX15,((AX15+AY15)/2))</f>
        <v/>
      </c>
      <c r="BA15" s="5">
        <f>IF((((AX15+AY15)/2)+(C15/(D15*((AX15+AY15)/2)))^2/(2*9.81)+B15-(G14+H14^2/(2*9.81))-(A14-A15)*(((DATOS!$B$34*(C15/(D15*((AX15+AY15)/2)))/((D15*((AX15+AY15)/2))/(D15+2*((AX15+AY15)/2)))^(2/3))^2+((DATOS!$B$34*H14/((D14*F14)/(D14+2*F14))^(2/3))^2))/2))&gt;0,((AX15+AY15)/2),AY15)</f>
        <v/>
      </c>
      <c r="BB15" s="5">
        <f>IF((((AZ15+BA15)/2)+(C15/(D15*((AZ15+BA15)/2)))^2/(2*9.81)+B15-(G14+H14^2/(2*9.81))-(A14-A15)*(((DATOS!$B$34*(C15/(D15*((AZ15+BA15)/2)))/((D15*((AZ15+BA15)/2))/(D15+2*((AZ15+BA15)/2)))^(2/3))^2+((DATOS!$B$34*H14/((D14*F14)/(D14+2*F14))^(2/3))^2))/2))&gt;0,AZ15,((AZ15+BA15)/2))</f>
        <v/>
      </c>
      <c r="BC15" s="5">
        <f>IF((((AZ15+BA15)/2)+(C15/(D15*((AZ15+BA15)/2)))^2/(2*9.81)+B15-(G14+H14^2/(2*9.81))-(A14-A15)*(((DATOS!$B$34*(C15/(D15*((AZ15+BA15)/2)))/((D15*((AZ15+BA15)/2))/(D15+2*((AZ15+BA15)/2)))^(2/3))^2+((DATOS!$B$34*H14/((D14*F14)/(D14+2*F14))^(2/3))^2))/2))&gt;0,((AZ15+BA15)/2),BA15)</f>
        <v/>
      </c>
      <c r="BD15" s="5">
        <f>IF((((BB15+BC15)/2)+(C15/(D15*((BB15+BC15)/2)))^2/(2*9.81)+B15-(G14+H14^2/(2*9.81))-(A14-A15)*(((DATOS!$B$34*(C15/(D15*((BB15+BC15)/2)))/((D15*((BB15+BC15)/2))/(D15+2*((BB15+BC15)/2)))^(2/3))^2+((DATOS!$B$34*H14/((D14*F14)/(D14+2*F14))^(2/3))^2))/2))&gt;0,BB15,((BB15+BC15)/2))</f>
        <v/>
      </c>
      <c r="BE15" s="5">
        <f>IF((((BB15+BC15)/2)+(C15/(D15*((BB15+BC15)/2)))^2/(2*9.81)+B15-(G14+H14^2/(2*9.81))-(A14-A15)*(((DATOS!$B$34*(C15/(D15*((BB15+BC15)/2)))/((D15*((BB15+BC15)/2))/(D15+2*((BB15+BC15)/2)))^(2/3))^2+((DATOS!$B$34*H14/((D14*F14)/(D14+2*F14))^(2/3))^2))/2))&gt;0,((BB15+BC15)/2),BC15)</f>
        <v/>
      </c>
      <c r="BF15" s="5">
        <f>IF((((BD15+BE15)/2)+(C15/(D15*((BD15+BE15)/2)))^2/(2*9.81)+B15-(G14+H14^2/(2*9.81))-(A14-A15)*(((DATOS!$B$34*(C15/(D15*((BD15+BE15)/2)))/((D15*((BD15+BE15)/2))/(D15+2*((BD15+BE15)/2)))^(2/3))^2+((DATOS!$B$34*H14/((D14*F14)/(D14+2*F14))^(2/3))^2))/2))&gt;0,BD15,((BD15+BE15)/2))</f>
        <v/>
      </c>
      <c r="BG15" s="5">
        <f>IF((((BD15+BE15)/2)+(C15/(D15*((BD15+BE15)/2)))^2/(2*9.81)+B15-(G14+H14^2/(2*9.81))-(A14-A15)*(((DATOS!$B$34*(C15/(D15*((BD15+BE15)/2)))/((D15*((BD15+BE15)/2))/(D15+2*((BD15+BE15)/2)))^(2/3))^2+((DATOS!$B$34*H14/((D14*F14)/(D14+2*F14))^(2/3))^2))/2))&gt;0,((BD15+BE15)/2),BE15)</f>
        <v/>
      </c>
      <c r="BH15" s="5">
        <f>IF((((BF15+BG15)/2)+(C15/(D15*((BF15+BG15)/2)))^2/(2*9.81)+B15-(G14+H14^2/(2*9.81))-(A14-A15)*(((DATOS!$B$34*(C15/(D15*((BF15+BG15)/2)))/((D15*((BF15+BG15)/2))/(D15+2*((BF15+BG15)/2)))^(2/3))^2+((DATOS!$B$34*H14/((D14*F14)/(D14+2*F14))^(2/3))^2))/2))&gt;0,BF15,((BF15+BG15)/2))</f>
        <v/>
      </c>
      <c r="BI15" s="5">
        <f>IF((((BF15+BG15)/2)+(C15/(D15*((BF15+BG15)/2)))^2/(2*9.81)+B15-(G14+H14^2/(2*9.81))-(A14-A15)*(((DATOS!$B$34*(C15/(D15*((BF15+BG15)/2)))/((D15*((BF15+BG15)/2))/(D15+2*((BF15+BG15)/2)))^(2/3))^2+((DATOS!$B$34*H14/((D14*F14)/(D14+2*F14))^(2/3))^2))/2))&gt;0,((BF15+BG15)/2),BG15)</f>
        <v/>
      </c>
      <c r="BJ15" s="5">
        <f>IF((((BH15+BI15)/2)+(C15/(D15*((BH15+BI15)/2)))^2/(2*9.81)+B15-(G14+H14^2/(2*9.81))-(A14-A15)*(((DATOS!$B$34*(C15/(D15*((BH15+BI15)/2)))/((D15*((BH15+BI15)/2))/(D15+2*((BH15+BI15)/2)))^(2/3))^2+((DATOS!$B$34*H14/((D14*F14)/(D14+2*F14))^(2/3))^2))/2))&gt;0,BH15,((BH15+BI15)/2))</f>
        <v/>
      </c>
      <c r="BK15" s="5">
        <f>IF((((BH15+BI15)/2)+(C15/(D15*((BH15+BI15)/2)))^2/(2*9.81)+B15-(G14+H14^2/(2*9.81))-(A14-A15)*(((DATOS!$B$34*(C15/(D15*((BH15+BI15)/2)))/((D15*((BH15+BI15)/2))/(D15+2*((BH15+BI15)/2)))^(2/3))^2+((DATOS!$B$34*H14/((D14*F14)/(D14+2*F14))^(2/3))^2))/2))&gt;0,((BH15+BI15)/2),BI15)</f>
        <v/>
      </c>
      <c r="BL15" s="5">
        <f>IF((((BJ15+BK15)/2)+(C15/(D15*((BJ15+BK15)/2)))^2/(2*9.81)+B15-(G14+H14^2/(2*9.81))-(A14-A15)*(((DATOS!$B$34*(C15/(D15*((BJ15+BK15)/2)))/((D15*((BJ15+BK15)/2))/(D15+2*((BJ15+BK15)/2)))^(2/3))^2+((DATOS!$B$34*H14/((D14*F14)/(D14+2*F14))^(2/3))^2))/2))&gt;0,BJ15,((BJ15+BK15)/2))</f>
        <v/>
      </c>
      <c r="BM15" s="5">
        <f>IF((((BJ15+BK15)/2)+(C15/(D15*((BJ15+BK15)/2)))^2/(2*9.81)+B15-(G14+H14^2/(2*9.81))-(A14-A15)*(((DATOS!$B$34*(C15/(D15*((BJ15+BK15)/2)))/((D15*((BJ15+BK15)/2))/(D15+2*((BJ15+BK15)/2)))^(2/3))^2+((DATOS!$B$34*H14/((D14*F14)/(D14+2*F14))^(2/3))^2))/2))&gt;0,((BJ15+BK15)/2),BK15)</f>
        <v/>
      </c>
      <c r="BN15" s="5">
        <f>IF((((BL15+BM15)/2)+(C15/(D15*((BL15+BM15)/2)))^2/(2*9.81)+B15-(G14+H14^2/(2*9.81))-(A14-A15)*(((DATOS!$B$34*(C15/(D15*((BL15+BM15)/2)))/((D15*((BL15+BM15)/2))/(D15+2*((BL15+BM15)/2)))^(2/3))^2+((DATOS!$B$34*H14/((D14*F14)/(D14+2*F14))^(2/3))^2))/2))&gt;0,BL15,((BL15+BM15)/2))</f>
        <v/>
      </c>
      <c r="BO15" s="5">
        <f>IF((((BL15+BM15)/2)+(C15/(D15*((BL15+BM15)/2)))^2/(2*9.81)+B15-(G14+H14^2/(2*9.81))-(A14-A15)*(((DATOS!$B$34*(C15/(D15*((BL15+BM15)/2)))/((D15*((BL15+BM15)/2))/(D15+2*((BL15+BM15)/2)))^(2/3))^2+((DATOS!$B$34*H14/((D14*F14)/(D14+2*F14))^(2/3))^2))/2))&gt;0,((BL15+BM15)/2),BM15)</f>
        <v/>
      </c>
      <c r="BP15" s="5">
        <f>IF((((BN15+BO15)/2)+(C15/(D15*((BN15+BO15)/2)))^2/(2*9.81)+B15-(G14+H14^2/(2*9.81))-(A14-A15)*(((DATOS!$B$34*(C15/(D15*((BN15+BO15)/2)))/((D15*((BN15+BO15)/2))/(D15+2*((BN15+BO15)/2)))^(2/3))^2+((DATOS!$B$34*H14/((D14*F14)/(D14+2*F14))^(2/3))^2))/2))&gt;0,BN15,((BN15+BO15)/2))</f>
        <v/>
      </c>
      <c r="BQ15" s="5">
        <f>IF((((BN15+BO15)/2)+(C15/(D15*((BN15+BO15)/2)))^2/(2*9.81)+B15-(G14+H14^2/(2*9.81))-(A14-A15)*(((DATOS!$B$34*(C15/(D15*((BN15+BO15)/2)))/((D15*((BN15+BO15)/2))/(D15+2*((BN15+BO15)/2)))^(2/3))^2+((DATOS!$B$34*H14/((D14*F14)/(D14+2*F14))^(2/3))^2))/2))&gt;0,((BN15+BO15)/2),BO15)</f>
        <v/>
      </c>
      <c r="BR15" s="5">
        <f>IF((((BP15+BQ15)/2)+(C15/(D15*((BP15+BQ15)/2)))^2/(2*9.81)+B15-(G14+H14^2/(2*9.81))-(A14-A15)*(((DATOS!$B$34*(C15/(D15*((BP15+BQ15)/2)))/((D15*((BP15+BQ15)/2))/(D15+2*((BP15+BQ15)/2)))^(2/3))^2+((DATOS!$B$34*H14/((D14*F14)/(D14+2*F14))^(2/3))^2))/2))&gt;0,BP15,((BP15+BQ15)/2))</f>
        <v/>
      </c>
      <c r="BS15" s="5">
        <f>IF((((BP15+BQ15)/2)+(C15/(D15*((BP15+BQ15)/2)))^2/(2*9.81)+B15-(G14+H14^2/(2*9.81))-(A14-A15)*(((DATOS!$B$34*(C15/(D15*((BP15+BQ15)/2)))/((D15*((BP15+BQ15)/2))/(D15+2*((BP15+BQ15)/2)))^(2/3))^2+((DATOS!$B$34*H14/((D14*F14)/(D14+2*F14))^(2/3))^2))/2))&gt;0,((BP15+BQ15)/2),BQ15)</f>
        <v/>
      </c>
      <c r="BT15" s="5">
        <f>IF((((BR15+BS15)/2)+(C15/(D15*((BR15+BS15)/2)))^2/(2*9.81)+B15-(G14+H14^2/(2*9.81))-(A14-A15)*(((DATOS!$B$34*(C15/(D15*((BR15+BS15)/2)))/((D15*((BR15+BS15)/2))/(D15+2*((BR15+BS15)/2)))^(2/3))^2+((DATOS!$B$34*H14/((D14*F14)/(D14+2*F14))^(2/3))^2))/2))&gt;0,BR15,((BR15+BS15)/2))</f>
        <v/>
      </c>
      <c r="BU15" s="5">
        <f>IF((((BR15+BS15)/2)+(C15/(D15*((BR15+BS15)/2)))^2/(2*9.81)+B15-(G14+H14^2/(2*9.81))-(A14-A15)*(((DATOS!$B$34*(C15/(D15*((BR15+BS15)/2)))/((D15*((BR15+BS15)/2))/(D15+2*((BR15+BS15)/2)))^(2/3))^2+((DATOS!$B$34*H14/((D14*F14)/(D14+2*F14))^(2/3))^2))/2))&gt;0,((BR15+BS15)/2),BS15)</f>
        <v/>
      </c>
      <c r="BV15" s="5">
        <f>IF((((BT15+BU15)/2)+(C15/(D15*((BT15+BU15)/2)))^2/(2*9.81)+B15-(G14+H14^2/(2*9.81))-(A14-A15)*(((DATOS!$B$34*(C15/(D15*((BT15+BU15)/2)))/((D15*((BT15+BU15)/2))/(D15+2*((BT15+BU15)/2)))^(2/3))^2+((DATOS!$B$34*H14/((D14*F14)/(D14+2*F14))^(2/3))^2))/2))&gt;0,BT15,((BT15+BU15)/2))</f>
        <v/>
      </c>
      <c r="BW15" s="5">
        <f>IF((((BT15+BU15)/2)+(C15/(D15*((BT15+BU15)/2)))^2/(2*9.81)+B15-(G14+H14^2/(2*9.81))-(A14-A15)*(((DATOS!$B$34*(C15/(D15*((BT15+BU15)/2)))/((D15*((BT15+BU15)/2))/(D15+2*((BT15+BU15)/2)))^(2/3))^2+((DATOS!$B$34*H14/((D14*F14)/(D14+2*F14))^(2/3))^2))/2))&gt;0,((BT15+BU15)/2),BU15)</f>
        <v/>
      </c>
    </row>
    <row r="16">
      <c r="A16" s="13" t="n">
        <v>63</v>
      </c>
      <c r="B16" s="16">
        <f>DATOS!$B$22-DATOS!$B$23*A16</f>
        <v/>
      </c>
      <c r="C16" s="24">
        <f>CAUDALES!$B$13</f>
        <v/>
      </c>
      <c r="D16" s="17">
        <f>DATOS!$B$17</f>
        <v/>
      </c>
      <c r="E16" s="16">
        <f>(C16^2/(9.81*D16^2))^(1/3)</f>
        <v/>
      </c>
      <c r="F16" s="16">
        <f>(BV16+BW16)/2</f>
        <v/>
      </c>
      <c r="G16" s="16">
        <f>B16+F16</f>
        <v/>
      </c>
      <c r="H16" s="19">
        <f>C16/(D16*F16)</f>
        <v/>
      </c>
      <c r="I16" s="19">
        <f>H16/SQRT(9.81*F16)</f>
        <v/>
      </c>
      <c r="J16" s="16">
        <f>DATOS!$B$29-IF(AND(A16&gt;=DATOS!$B$30,A16&lt;DATOS!$B$31),DATOS!$B$21,DATOS!$B$20)</f>
        <v/>
      </c>
      <c r="K16" s="19">
        <f>J16-B16</f>
        <v/>
      </c>
      <c r="L16" s="19">
        <f>F16/K16</f>
        <v/>
      </c>
      <c r="M16" s="16">
        <f>J16-G16</f>
        <v/>
      </c>
      <c r="N16" s="5">
        <f>IF(AND(L16&lt;=DATOS!$B$36,M16&gt;=DATOS!$B$37,I16&lt;=1),"CUMPLE","NO CUMPLE")</f>
        <v/>
      </c>
      <c r="O16" s="5">
        <f>IF(AND(A16&gt;=DATOS!$B$30,A16&lt;DATOS!$B$31),"cruce de camiones",IF(AND(A16&gt;=DATOS!$B$32,A16&lt;DATOS!$B$33),"cruce de motos","tramo normal"))</f>
        <v/>
      </c>
      <c r="P16" s="5">
        <f>E16*1.001</f>
        <v/>
      </c>
      <c r="Q16" s="13" t="n">
        <v>3</v>
      </c>
      <c r="R16" s="5">
        <f>IF((((P16+Q16)/2)+(C16/(D16*((P16+Q16)/2)))^2/(2*9.81)+B16-(G15+H15^2/(2*9.81))-(A15-A16)*(((DATOS!$B$34*(C16/(D16*((P16+Q16)/2)))/((D16*((P16+Q16)/2))/(D16+2*((P16+Q16)/2)))^(2/3))^2+((DATOS!$B$34*H15/((D15*F15)/(D15+2*F15))^(2/3))^2))/2))&gt;0,P16,((P16+Q16)/2))</f>
        <v/>
      </c>
      <c r="S16" s="5">
        <f>IF((((P16+Q16)/2)+(C16/(D16*((P16+Q16)/2)))^2/(2*9.81)+B16-(G15+H15^2/(2*9.81))-(A15-A16)*(((DATOS!$B$34*(C16/(D16*((P16+Q16)/2)))/((D16*((P16+Q16)/2))/(D16+2*((P16+Q16)/2)))^(2/3))^2+((DATOS!$B$34*H15/((D15*F15)/(D15+2*F15))^(2/3))^2))/2))&gt;0,((P16+Q16)/2),Q16)</f>
        <v/>
      </c>
      <c r="T16" s="5">
        <f>IF((((R16+S16)/2)+(C16/(D16*((R16+S16)/2)))^2/(2*9.81)+B16-(G15+H15^2/(2*9.81))-(A15-A16)*(((DATOS!$B$34*(C16/(D16*((R16+S16)/2)))/((D16*((R16+S16)/2))/(D16+2*((R16+S16)/2)))^(2/3))^2+((DATOS!$B$34*H15/((D15*F15)/(D15+2*F15))^(2/3))^2))/2))&gt;0,R16,((R16+S16)/2))</f>
        <v/>
      </c>
      <c r="U16" s="5">
        <f>IF((((R16+S16)/2)+(C16/(D16*((R16+S16)/2)))^2/(2*9.81)+B16-(G15+H15^2/(2*9.81))-(A15-A16)*(((DATOS!$B$34*(C16/(D16*((R16+S16)/2)))/((D16*((R16+S16)/2))/(D16+2*((R16+S16)/2)))^(2/3))^2+((DATOS!$B$34*H15/((D15*F15)/(D15+2*F15))^(2/3))^2))/2))&gt;0,((R16+S16)/2),S16)</f>
        <v/>
      </c>
      <c r="V16" s="5">
        <f>IF((((T16+U16)/2)+(C16/(D16*((T16+U16)/2)))^2/(2*9.81)+B16-(G15+H15^2/(2*9.81))-(A15-A16)*(((DATOS!$B$34*(C16/(D16*((T16+U16)/2)))/((D16*((T16+U16)/2))/(D16+2*((T16+U16)/2)))^(2/3))^2+((DATOS!$B$34*H15/((D15*F15)/(D15+2*F15))^(2/3))^2))/2))&gt;0,T16,((T16+U16)/2))</f>
        <v/>
      </c>
      <c r="W16" s="5">
        <f>IF((((T16+U16)/2)+(C16/(D16*((T16+U16)/2)))^2/(2*9.81)+B16-(G15+H15^2/(2*9.81))-(A15-A16)*(((DATOS!$B$34*(C16/(D16*((T16+U16)/2)))/((D16*((T16+U16)/2))/(D16+2*((T16+U16)/2)))^(2/3))^2+((DATOS!$B$34*H15/((D15*F15)/(D15+2*F15))^(2/3))^2))/2))&gt;0,((T16+U16)/2),U16)</f>
        <v/>
      </c>
      <c r="X16" s="5">
        <f>IF((((V16+W16)/2)+(C16/(D16*((V16+W16)/2)))^2/(2*9.81)+B16-(G15+H15^2/(2*9.81))-(A15-A16)*(((DATOS!$B$34*(C16/(D16*((V16+W16)/2)))/((D16*((V16+W16)/2))/(D16+2*((V16+W16)/2)))^(2/3))^2+((DATOS!$B$34*H15/((D15*F15)/(D15+2*F15))^(2/3))^2))/2))&gt;0,V16,((V16+W16)/2))</f>
        <v/>
      </c>
      <c r="Y16" s="5">
        <f>IF((((V16+W16)/2)+(C16/(D16*((V16+W16)/2)))^2/(2*9.81)+B16-(G15+H15^2/(2*9.81))-(A15-A16)*(((DATOS!$B$34*(C16/(D16*((V16+W16)/2)))/((D16*((V16+W16)/2))/(D16+2*((V16+W16)/2)))^(2/3))^2+((DATOS!$B$34*H15/((D15*F15)/(D15+2*F15))^(2/3))^2))/2))&gt;0,((V16+W16)/2),W16)</f>
        <v/>
      </c>
      <c r="Z16" s="5">
        <f>IF((((X16+Y16)/2)+(C16/(D16*((X16+Y16)/2)))^2/(2*9.81)+B16-(G15+H15^2/(2*9.81))-(A15-A16)*(((DATOS!$B$34*(C16/(D16*((X16+Y16)/2)))/((D16*((X16+Y16)/2))/(D16+2*((X16+Y16)/2)))^(2/3))^2+((DATOS!$B$34*H15/((D15*F15)/(D15+2*F15))^(2/3))^2))/2))&gt;0,X16,((X16+Y16)/2))</f>
        <v/>
      </c>
      <c r="AA16" s="5">
        <f>IF((((X16+Y16)/2)+(C16/(D16*((X16+Y16)/2)))^2/(2*9.81)+B16-(G15+H15^2/(2*9.81))-(A15-A16)*(((DATOS!$B$34*(C16/(D16*((X16+Y16)/2)))/((D16*((X16+Y16)/2))/(D16+2*((X16+Y16)/2)))^(2/3))^2+((DATOS!$B$34*H15/((D15*F15)/(D15+2*F15))^(2/3))^2))/2))&gt;0,((X16+Y16)/2),Y16)</f>
        <v/>
      </c>
      <c r="AB16" s="5">
        <f>IF((((Z16+AA16)/2)+(C16/(D16*((Z16+AA16)/2)))^2/(2*9.81)+B16-(G15+H15^2/(2*9.81))-(A15-A16)*(((DATOS!$B$34*(C16/(D16*((Z16+AA16)/2)))/((D16*((Z16+AA16)/2))/(D16+2*((Z16+AA16)/2)))^(2/3))^2+((DATOS!$B$34*H15/((D15*F15)/(D15+2*F15))^(2/3))^2))/2))&gt;0,Z16,((Z16+AA16)/2))</f>
        <v/>
      </c>
      <c r="AC16" s="5">
        <f>IF((((Z16+AA16)/2)+(C16/(D16*((Z16+AA16)/2)))^2/(2*9.81)+B16-(G15+H15^2/(2*9.81))-(A15-A16)*(((DATOS!$B$34*(C16/(D16*((Z16+AA16)/2)))/((D16*((Z16+AA16)/2))/(D16+2*((Z16+AA16)/2)))^(2/3))^2+((DATOS!$B$34*H15/((D15*F15)/(D15+2*F15))^(2/3))^2))/2))&gt;0,((Z16+AA16)/2),AA16)</f>
        <v/>
      </c>
      <c r="AD16" s="5">
        <f>IF((((AB16+AC16)/2)+(C16/(D16*((AB16+AC16)/2)))^2/(2*9.81)+B16-(G15+H15^2/(2*9.81))-(A15-A16)*(((DATOS!$B$34*(C16/(D16*((AB16+AC16)/2)))/((D16*((AB16+AC16)/2))/(D16+2*((AB16+AC16)/2)))^(2/3))^2+((DATOS!$B$34*H15/((D15*F15)/(D15+2*F15))^(2/3))^2))/2))&gt;0,AB16,((AB16+AC16)/2))</f>
        <v/>
      </c>
      <c r="AE16" s="5">
        <f>IF((((AB16+AC16)/2)+(C16/(D16*((AB16+AC16)/2)))^2/(2*9.81)+B16-(G15+H15^2/(2*9.81))-(A15-A16)*(((DATOS!$B$34*(C16/(D16*((AB16+AC16)/2)))/((D16*((AB16+AC16)/2))/(D16+2*((AB16+AC16)/2)))^(2/3))^2+((DATOS!$B$34*H15/((D15*F15)/(D15+2*F15))^(2/3))^2))/2))&gt;0,((AB16+AC16)/2),AC16)</f>
        <v/>
      </c>
      <c r="AF16" s="5">
        <f>IF((((AD16+AE16)/2)+(C16/(D16*((AD16+AE16)/2)))^2/(2*9.81)+B16-(G15+H15^2/(2*9.81))-(A15-A16)*(((DATOS!$B$34*(C16/(D16*((AD16+AE16)/2)))/((D16*((AD16+AE16)/2))/(D16+2*((AD16+AE16)/2)))^(2/3))^2+((DATOS!$B$34*H15/((D15*F15)/(D15+2*F15))^(2/3))^2))/2))&gt;0,AD16,((AD16+AE16)/2))</f>
        <v/>
      </c>
      <c r="AG16" s="5">
        <f>IF((((AD16+AE16)/2)+(C16/(D16*((AD16+AE16)/2)))^2/(2*9.81)+B16-(G15+H15^2/(2*9.81))-(A15-A16)*(((DATOS!$B$34*(C16/(D16*((AD16+AE16)/2)))/((D16*((AD16+AE16)/2))/(D16+2*((AD16+AE16)/2)))^(2/3))^2+((DATOS!$B$34*H15/((D15*F15)/(D15+2*F15))^(2/3))^2))/2))&gt;0,((AD16+AE16)/2),AE16)</f>
        <v/>
      </c>
      <c r="AH16" s="5">
        <f>IF((((AF16+AG16)/2)+(C16/(D16*((AF16+AG16)/2)))^2/(2*9.81)+B16-(G15+H15^2/(2*9.81))-(A15-A16)*(((DATOS!$B$34*(C16/(D16*((AF16+AG16)/2)))/((D16*((AF16+AG16)/2))/(D16+2*((AF16+AG16)/2)))^(2/3))^2+((DATOS!$B$34*H15/((D15*F15)/(D15+2*F15))^(2/3))^2))/2))&gt;0,AF16,((AF16+AG16)/2))</f>
        <v/>
      </c>
      <c r="AI16" s="5">
        <f>IF((((AF16+AG16)/2)+(C16/(D16*((AF16+AG16)/2)))^2/(2*9.81)+B16-(G15+H15^2/(2*9.81))-(A15-A16)*(((DATOS!$B$34*(C16/(D16*((AF16+AG16)/2)))/((D16*((AF16+AG16)/2))/(D16+2*((AF16+AG16)/2)))^(2/3))^2+((DATOS!$B$34*H15/((D15*F15)/(D15+2*F15))^(2/3))^2))/2))&gt;0,((AF16+AG16)/2),AG16)</f>
        <v/>
      </c>
      <c r="AJ16" s="5">
        <f>IF((((AH16+AI16)/2)+(C16/(D16*((AH16+AI16)/2)))^2/(2*9.81)+B16-(G15+H15^2/(2*9.81))-(A15-A16)*(((DATOS!$B$34*(C16/(D16*((AH16+AI16)/2)))/((D16*((AH16+AI16)/2))/(D16+2*((AH16+AI16)/2)))^(2/3))^2+((DATOS!$B$34*H15/((D15*F15)/(D15+2*F15))^(2/3))^2))/2))&gt;0,AH16,((AH16+AI16)/2))</f>
        <v/>
      </c>
      <c r="AK16" s="5">
        <f>IF((((AH16+AI16)/2)+(C16/(D16*((AH16+AI16)/2)))^2/(2*9.81)+B16-(G15+H15^2/(2*9.81))-(A15-A16)*(((DATOS!$B$34*(C16/(D16*((AH16+AI16)/2)))/((D16*((AH16+AI16)/2))/(D16+2*((AH16+AI16)/2)))^(2/3))^2+((DATOS!$B$34*H15/((D15*F15)/(D15+2*F15))^(2/3))^2))/2))&gt;0,((AH16+AI16)/2),AI16)</f>
        <v/>
      </c>
      <c r="AL16" s="5">
        <f>IF((((AJ16+AK16)/2)+(C16/(D16*((AJ16+AK16)/2)))^2/(2*9.81)+B16-(G15+H15^2/(2*9.81))-(A15-A16)*(((DATOS!$B$34*(C16/(D16*((AJ16+AK16)/2)))/((D16*((AJ16+AK16)/2))/(D16+2*((AJ16+AK16)/2)))^(2/3))^2+((DATOS!$B$34*H15/((D15*F15)/(D15+2*F15))^(2/3))^2))/2))&gt;0,AJ16,((AJ16+AK16)/2))</f>
        <v/>
      </c>
      <c r="AM16" s="5">
        <f>IF((((AJ16+AK16)/2)+(C16/(D16*((AJ16+AK16)/2)))^2/(2*9.81)+B16-(G15+H15^2/(2*9.81))-(A15-A16)*(((DATOS!$B$34*(C16/(D16*((AJ16+AK16)/2)))/((D16*((AJ16+AK16)/2))/(D16+2*((AJ16+AK16)/2)))^(2/3))^2+((DATOS!$B$34*H15/((D15*F15)/(D15+2*F15))^(2/3))^2))/2))&gt;0,((AJ16+AK16)/2),AK16)</f>
        <v/>
      </c>
      <c r="AN16" s="5">
        <f>IF((((AL16+AM16)/2)+(C16/(D16*((AL16+AM16)/2)))^2/(2*9.81)+B16-(G15+H15^2/(2*9.81))-(A15-A16)*(((DATOS!$B$34*(C16/(D16*((AL16+AM16)/2)))/((D16*((AL16+AM16)/2))/(D16+2*((AL16+AM16)/2)))^(2/3))^2+((DATOS!$B$34*H15/((D15*F15)/(D15+2*F15))^(2/3))^2))/2))&gt;0,AL16,((AL16+AM16)/2))</f>
        <v/>
      </c>
      <c r="AO16" s="5">
        <f>IF((((AL16+AM16)/2)+(C16/(D16*((AL16+AM16)/2)))^2/(2*9.81)+B16-(G15+H15^2/(2*9.81))-(A15-A16)*(((DATOS!$B$34*(C16/(D16*((AL16+AM16)/2)))/((D16*((AL16+AM16)/2))/(D16+2*((AL16+AM16)/2)))^(2/3))^2+((DATOS!$B$34*H15/((D15*F15)/(D15+2*F15))^(2/3))^2))/2))&gt;0,((AL16+AM16)/2),AM16)</f>
        <v/>
      </c>
      <c r="AP16" s="5">
        <f>IF((((AN16+AO16)/2)+(C16/(D16*((AN16+AO16)/2)))^2/(2*9.81)+B16-(G15+H15^2/(2*9.81))-(A15-A16)*(((DATOS!$B$34*(C16/(D16*((AN16+AO16)/2)))/((D16*((AN16+AO16)/2))/(D16+2*((AN16+AO16)/2)))^(2/3))^2+((DATOS!$B$34*H15/((D15*F15)/(D15+2*F15))^(2/3))^2))/2))&gt;0,AN16,((AN16+AO16)/2))</f>
        <v/>
      </c>
      <c r="AQ16" s="5">
        <f>IF((((AN16+AO16)/2)+(C16/(D16*((AN16+AO16)/2)))^2/(2*9.81)+B16-(G15+H15^2/(2*9.81))-(A15-A16)*(((DATOS!$B$34*(C16/(D16*((AN16+AO16)/2)))/((D16*((AN16+AO16)/2))/(D16+2*((AN16+AO16)/2)))^(2/3))^2+((DATOS!$B$34*H15/((D15*F15)/(D15+2*F15))^(2/3))^2))/2))&gt;0,((AN16+AO16)/2),AO16)</f>
        <v/>
      </c>
      <c r="AR16" s="5">
        <f>IF((((AP16+AQ16)/2)+(C16/(D16*((AP16+AQ16)/2)))^2/(2*9.81)+B16-(G15+H15^2/(2*9.81))-(A15-A16)*(((DATOS!$B$34*(C16/(D16*((AP16+AQ16)/2)))/((D16*((AP16+AQ16)/2))/(D16+2*((AP16+AQ16)/2)))^(2/3))^2+((DATOS!$B$34*H15/((D15*F15)/(D15+2*F15))^(2/3))^2))/2))&gt;0,AP16,((AP16+AQ16)/2))</f>
        <v/>
      </c>
      <c r="AS16" s="5">
        <f>IF((((AP16+AQ16)/2)+(C16/(D16*((AP16+AQ16)/2)))^2/(2*9.81)+B16-(G15+H15^2/(2*9.81))-(A15-A16)*(((DATOS!$B$34*(C16/(D16*((AP16+AQ16)/2)))/((D16*((AP16+AQ16)/2))/(D16+2*((AP16+AQ16)/2)))^(2/3))^2+((DATOS!$B$34*H15/((D15*F15)/(D15+2*F15))^(2/3))^2))/2))&gt;0,((AP16+AQ16)/2),AQ16)</f>
        <v/>
      </c>
      <c r="AT16" s="5">
        <f>IF((((AR16+AS16)/2)+(C16/(D16*((AR16+AS16)/2)))^2/(2*9.81)+B16-(G15+H15^2/(2*9.81))-(A15-A16)*(((DATOS!$B$34*(C16/(D16*((AR16+AS16)/2)))/((D16*((AR16+AS16)/2))/(D16+2*((AR16+AS16)/2)))^(2/3))^2+((DATOS!$B$34*H15/((D15*F15)/(D15+2*F15))^(2/3))^2))/2))&gt;0,AR16,((AR16+AS16)/2))</f>
        <v/>
      </c>
      <c r="AU16" s="5">
        <f>IF((((AR16+AS16)/2)+(C16/(D16*((AR16+AS16)/2)))^2/(2*9.81)+B16-(G15+H15^2/(2*9.81))-(A15-A16)*(((DATOS!$B$34*(C16/(D16*((AR16+AS16)/2)))/((D16*((AR16+AS16)/2))/(D16+2*((AR16+AS16)/2)))^(2/3))^2+((DATOS!$B$34*H15/((D15*F15)/(D15+2*F15))^(2/3))^2))/2))&gt;0,((AR16+AS16)/2),AS16)</f>
        <v/>
      </c>
      <c r="AV16" s="5">
        <f>IF((((AT16+AU16)/2)+(C16/(D16*((AT16+AU16)/2)))^2/(2*9.81)+B16-(G15+H15^2/(2*9.81))-(A15-A16)*(((DATOS!$B$34*(C16/(D16*((AT16+AU16)/2)))/((D16*((AT16+AU16)/2))/(D16+2*((AT16+AU16)/2)))^(2/3))^2+((DATOS!$B$34*H15/((D15*F15)/(D15+2*F15))^(2/3))^2))/2))&gt;0,AT16,((AT16+AU16)/2))</f>
        <v/>
      </c>
      <c r="AW16" s="5">
        <f>IF((((AT16+AU16)/2)+(C16/(D16*((AT16+AU16)/2)))^2/(2*9.81)+B16-(G15+H15^2/(2*9.81))-(A15-A16)*(((DATOS!$B$34*(C16/(D16*((AT16+AU16)/2)))/((D16*((AT16+AU16)/2))/(D16+2*((AT16+AU16)/2)))^(2/3))^2+((DATOS!$B$34*H15/((D15*F15)/(D15+2*F15))^(2/3))^2))/2))&gt;0,((AT16+AU16)/2),AU16)</f>
        <v/>
      </c>
      <c r="AX16" s="5">
        <f>IF((((AV16+AW16)/2)+(C16/(D16*((AV16+AW16)/2)))^2/(2*9.81)+B16-(G15+H15^2/(2*9.81))-(A15-A16)*(((DATOS!$B$34*(C16/(D16*((AV16+AW16)/2)))/((D16*((AV16+AW16)/2))/(D16+2*((AV16+AW16)/2)))^(2/3))^2+((DATOS!$B$34*H15/((D15*F15)/(D15+2*F15))^(2/3))^2))/2))&gt;0,AV16,((AV16+AW16)/2))</f>
        <v/>
      </c>
      <c r="AY16" s="5">
        <f>IF((((AV16+AW16)/2)+(C16/(D16*((AV16+AW16)/2)))^2/(2*9.81)+B16-(G15+H15^2/(2*9.81))-(A15-A16)*(((DATOS!$B$34*(C16/(D16*((AV16+AW16)/2)))/((D16*((AV16+AW16)/2))/(D16+2*((AV16+AW16)/2)))^(2/3))^2+((DATOS!$B$34*H15/((D15*F15)/(D15+2*F15))^(2/3))^2))/2))&gt;0,((AV16+AW16)/2),AW16)</f>
        <v/>
      </c>
      <c r="AZ16" s="5">
        <f>IF((((AX16+AY16)/2)+(C16/(D16*((AX16+AY16)/2)))^2/(2*9.81)+B16-(G15+H15^2/(2*9.81))-(A15-A16)*(((DATOS!$B$34*(C16/(D16*((AX16+AY16)/2)))/((D16*((AX16+AY16)/2))/(D16+2*((AX16+AY16)/2)))^(2/3))^2+((DATOS!$B$34*H15/((D15*F15)/(D15+2*F15))^(2/3))^2))/2))&gt;0,AX16,((AX16+AY16)/2))</f>
        <v/>
      </c>
      <c r="BA16" s="5">
        <f>IF((((AX16+AY16)/2)+(C16/(D16*((AX16+AY16)/2)))^2/(2*9.81)+B16-(G15+H15^2/(2*9.81))-(A15-A16)*(((DATOS!$B$34*(C16/(D16*((AX16+AY16)/2)))/((D16*((AX16+AY16)/2))/(D16+2*((AX16+AY16)/2)))^(2/3))^2+((DATOS!$B$34*H15/((D15*F15)/(D15+2*F15))^(2/3))^2))/2))&gt;0,((AX16+AY16)/2),AY16)</f>
        <v/>
      </c>
      <c r="BB16" s="5">
        <f>IF((((AZ16+BA16)/2)+(C16/(D16*((AZ16+BA16)/2)))^2/(2*9.81)+B16-(G15+H15^2/(2*9.81))-(A15-A16)*(((DATOS!$B$34*(C16/(D16*((AZ16+BA16)/2)))/((D16*((AZ16+BA16)/2))/(D16+2*((AZ16+BA16)/2)))^(2/3))^2+((DATOS!$B$34*H15/((D15*F15)/(D15+2*F15))^(2/3))^2))/2))&gt;0,AZ16,((AZ16+BA16)/2))</f>
        <v/>
      </c>
      <c r="BC16" s="5">
        <f>IF((((AZ16+BA16)/2)+(C16/(D16*((AZ16+BA16)/2)))^2/(2*9.81)+B16-(G15+H15^2/(2*9.81))-(A15-A16)*(((DATOS!$B$34*(C16/(D16*((AZ16+BA16)/2)))/((D16*((AZ16+BA16)/2))/(D16+2*((AZ16+BA16)/2)))^(2/3))^2+((DATOS!$B$34*H15/((D15*F15)/(D15+2*F15))^(2/3))^2))/2))&gt;0,((AZ16+BA16)/2),BA16)</f>
        <v/>
      </c>
      <c r="BD16" s="5">
        <f>IF((((BB16+BC16)/2)+(C16/(D16*((BB16+BC16)/2)))^2/(2*9.81)+B16-(G15+H15^2/(2*9.81))-(A15-A16)*(((DATOS!$B$34*(C16/(D16*((BB16+BC16)/2)))/((D16*((BB16+BC16)/2))/(D16+2*((BB16+BC16)/2)))^(2/3))^2+((DATOS!$B$34*H15/((D15*F15)/(D15+2*F15))^(2/3))^2))/2))&gt;0,BB16,((BB16+BC16)/2))</f>
        <v/>
      </c>
      <c r="BE16" s="5">
        <f>IF((((BB16+BC16)/2)+(C16/(D16*((BB16+BC16)/2)))^2/(2*9.81)+B16-(G15+H15^2/(2*9.81))-(A15-A16)*(((DATOS!$B$34*(C16/(D16*((BB16+BC16)/2)))/((D16*((BB16+BC16)/2))/(D16+2*((BB16+BC16)/2)))^(2/3))^2+((DATOS!$B$34*H15/((D15*F15)/(D15+2*F15))^(2/3))^2))/2))&gt;0,((BB16+BC16)/2),BC16)</f>
        <v/>
      </c>
      <c r="BF16" s="5">
        <f>IF((((BD16+BE16)/2)+(C16/(D16*((BD16+BE16)/2)))^2/(2*9.81)+B16-(G15+H15^2/(2*9.81))-(A15-A16)*(((DATOS!$B$34*(C16/(D16*((BD16+BE16)/2)))/((D16*((BD16+BE16)/2))/(D16+2*((BD16+BE16)/2)))^(2/3))^2+((DATOS!$B$34*H15/((D15*F15)/(D15+2*F15))^(2/3))^2))/2))&gt;0,BD16,((BD16+BE16)/2))</f>
        <v/>
      </c>
      <c r="BG16" s="5">
        <f>IF((((BD16+BE16)/2)+(C16/(D16*((BD16+BE16)/2)))^2/(2*9.81)+B16-(G15+H15^2/(2*9.81))-(A15-A16)*(((DATOS!$B$34*(C16/(D16*((BD16+BE16)/2)))/((D16*((BD16+BE16)/2))/(D16+2*((BD16+BE16)/2)))^(2/3))^2+((DATOS!$B$34*H15/((D15*F15)/(D15+2*F15))^(2/3))^2))/2))&gt;0,((BD16+BE16)/2),BE16)</f>
        <v/>
      </c>
      <c r="BH16" s="5">
        <f>IF((((BF16+BG16)/2)+(C16/(D16*((BF16+BG16)/2)))^2/(2*9.81)+B16-(G15+H15^2/(2*9.81))-(A15-A16)*(((DATOS!$B$34*(C16/(D16*((BF16+BG16)/2)))/((D16*((BF16+BG16)/2))/(D16+2*((BF16+BG16)/2)))^(2/3))^2+((DATOS!$B$34*H15/((D15*F15)/(D15+2*F15))^(2/3))^2))/2))&gt;0,BF16,((BF16+BG16)/2))</f>
        <v/>
      </c>
      <c r="BI16" s="5">
        <f>IF((((BF16+BG16)/2)+(C16/(D16*((BF16+BG16)/2)))^2/(2*9.81)+B16-(G15+H15^2/(2*9.81))-(A15-A16)*(((DATOS!$B$34*(C16/(D16*((BF16+BG16)/2)))/((D16*((BF16+BG16)/2))/(D16+2*((BF16+BG16)/2)))^(2/3))^2+((DATOS!$B$34*H15/((D15*F15)/(D15+2*F15))^(2/3))^2))/2))&gt;0,((BF16+BG16)/2),BG16)</f>
        <v/>
      </c>
      <c r="BJ16" s="5">
        <f>IF((((BH16+BI16)/2)+(C16/(D16*((BH16+BI16)/2)))^2/(2*9.81)+B16-(G15+H15^2/(2*9.81))-(A15-A16)*(((DATOS!$B$34*(C16/(D16*((BH16+BI16)/2)))/((D16*((BH16+BI16)/2))/(D16+2*((BH16+BI16)/2)))^(2/3))^2+((DATOS!$B$34*H15/((D15*F15)/(D15+2*F15))^(2/3))^2))/2))&gt;0,BH16,((BH16+BI16)/2))</f>
        <v/>
      </c>
      <c r="BK16" s="5">
        <f>IF((((BH16+BI16)/2)+(C16/(D16*((BH16+BI16)/2)))^2/(2*9.81)+B16-(G15+H15^2/(2*9.81))-(A15-A16)*(((DATOS!$B$34*(C16/(D16*((BH16+BI16)/2)))/((D16*((BH16+BI16)/2))/(D16+2*((BH16+BI16)/2)))^(2/3))^2+((DATOS!$B$34*H15/((D15*F15)/(D15+2*F15))^(2/3))^2))/2))&gt;0,((BH16+BI16)/2),BI16)</f>
        <v/>
      </c>
      <c r="BL16" s="5">
        <f>IF((((BJ16+BK16)/2)+(C16/(D16*((BJ16+BK16)/2)))^2/(2*9.81)+B16-(G15+H15^2/(2*9.81))-(A15-A16)*(((DATOS!$B$34*(C16/(D16*((BJ16+BK16)/2)))/((D16*((BJ16+BK16)/2))/(D16+2*((BJ16+BK16)/2)))^(2/3))^2+((DATOS!$B$34*H15/((D15*F15)/(D15+2*F15))^(2/3))^2))/2))&gt;0,BJ16,((BJ16+BK16)/2))</f>
        <v/>
      </c>
      <c r="BM16" s="5">
        <f>IF((((BJ16+BK16)/2)+(C16/(D16*((BJ16+BK16)/2)))^2/(2*9.81)+B16-(G15+H15^2/(2*9.81))-(A15-A16)*(((DATOS!$B$34*(C16/(D16*((BJ16+BK16)/2)))/((D16*((BJ16+BK16)/2))/(D16+2*((BJ16+BK16)/2)))^(2/3))^2+((DATOS!$B$34*H15/((D15*F15)/(D15+2*F15))^(2/3))^2))/2))&gt;0,((BJ16+BK16)/2),BK16)</f>
        <v/>
      </c>
      <c r="BN16" s="5">
        <f>IF((((BL16+BM16)/2)+(C16/(D16*((BL16+BM16)/2)))^2/(2*9.81)+B16-(G15+H15^2/(2*9.81))-(A15-A16)*(((DATOS!$B$34*(C16/(D16*((BL16+BM16)/2)))/((D16*((BL16+BM16)/2))/(D16+2*((BL16+BM16)/2)))^(2/3))^2+((DATOS!$B$34*H15/((D15*F15)/(D15+2*F15))^(2/3))^2))/2))&gt;0,BL16,((BL16+BM16)/2))</f>
        <v/>
      </c>
      <c r="BO16" s="5">
        <f>IF((((BL16+BM16)/2)+(C16/(D16*((BL16+BM16)/2)))^2/(2*9.81)+B16-(G15+H15^2/(2*9.81))-(A15-A16)*(((DATOS!$B$34*(C16/(D16*((BL16+BM16)/2)))/((D16*((BL16+BM16)/2))/(D16+2*((BL16+BM16)/2)))^(2/3))^2+((DATOS!$B$34*H15/((D15*F15)/(D15+2*F15))^(2/3))^2))/2))&gt;0,((BL16+BM16)/2),BM16)</f>
        <v/>
      </c>
      <c r="BP16" s="5">
        <f>IF((((BN16+BO16)/2)+(C16/(D16*((BN16+BO16)/2)))^2/(2*9.81)+B16-(G15+H15^2/(2*9.81))-(A15-A16)*(((DATOS!$B$34*(C16/(D16*((BN16+BO16)/2)))/((D16*((BN16+BO16)/2))/(D16+2*((BN16+BO16)/2)))^(2/3))^2+((DATOS!$B$34*H15/((D15*F15)/(D15+2*F15))^(2/3))^2))/2))&gt;0,BN16,((BN16+BO16)/2))</f>
        <v/>
      </c>
      <c r="BQ16" s="5">
        <f>IF((((BN16+BO16)/2)+(C16/(D16*((BN16+BO16)/2)))^2/(2*9.81)+B16-(G15+H15^2/(2*9.81))-(A15-A16)*(((DATOS!$B$34*(C16/(D16*((BN16+BO16)/2)))/((D16*((BN16+BO16)/2))/(D16+2*((BN16+BO16)/2)))^(2/3))^2+((DATOS!$B$34*H15/((D15*F15)/(D15+2*F15))^(2/3))^2))/2))&gt;0,((BN16+BO16)/2),BO16)</f>
        <v/>
      </c>
      <c r="BR16" s="5">
        <f>IF((((BP16+BQ16)/2)+(C16/(D16*((BP16+BQ16)/2)))^2/(2*9.81)+B16-(G15+H15^2/(2*9.81))-(A15-A16)*(((DATOS!$B$34*(C16/(D16*((BP16+BQ16)/2)))/((D16*((BP16+BQ16)/2))/(D16+2*((BP16+BQ16)/2)))^(2/3))^2+((DATOS!$B$34*H15/((D15*F15)/(D15+2*F15))^(2/3))^2))/2))&gt;0,BP16,((BP16+BQ16)/2))</f>
        <v/>
      </c>
      <c r="BS16" s="5">
        <f>IF((((BP16+BQ16)/2)+(C16/(D16*((BP16+BQ16)/2)))^2/(2*9.81)+B16-(G15+H15^2/(2*9.81))-(A15-A16)*(((DATOS!$B$34*(C16/(D16*((BP16+BQ16)/2)))/((D16*((BP16+BQ16)/2))/(D16+2*((BP16+BQ16)/2)))^(2/3))^2+((DATOS!$B$34*H15/((D15*F15)/(D15+2*F15))^(2/3))^2))/2))&gt;0,((BP16+BQ16)/2),BQ16)</f>
        <v/>
      </c>
      <c r="BT16" s="5">
        <f>IF((((BR16+BS16)/2)+(C16/(D16*((BR16+BS16)/2)))^2/(2*9.81)+B16-(G15+H15^2/(2*9.81))-(A15-A16)*(((DATOS!$B$34*(C16/(D16*((BR16+BS16)/2)))/((D16*((BR16+BS16)/2))/(D16+2*((BR16+BS16)/2)))^(2/3))^2+((DATOS!$B$34*H15/((D15*F15)/(D15+2*F15))^(2/3))^2))/2))&gt;0,BR16,((BR16+BS16)/2))</f>
        <v/>
      </c>
      <c r="BU16" s="5">
        <f>IF((((BR16+BS16)/2)+(C16/(D16*((BR16+BS16)/2)))^2/(2*9.81)+B16-(G15+H15^2/(2*9.81))-(A15-A16)*(((DATOS!$B$34*(C16/(D16*((BR16+BS16)/2)))/((D16*((BR16+BS16)/2))/(D16+2*((BR16+BS16)/2)))^(2/3))^2+((DATOS!$B$34*H15/((D15*F15)/(D15+2*F15))^(2/3))^2))/2))&gt;0,((BR16+BS16)/2),BS16)</f>
        <v/>
      </c>
      <c r="BV16" s="5">
        <f>IF((((BT16+BU16)/2)+(C16/(D16*((BT16+BU16)/2)))^2/(2*9.81)+B16-(G15+H15^2/(2*9.81))-(A15-A16)*(((DATOS!$B$34*(C16/(D16*((BT16+BU16)/2)))/((D16*((BT16+BU16)/2))/(D16+2*((BT16+BU16)/2)))^(2/3))^2+((DATOS!$B$34*H15/((D15*F15)/(D15+2*F15))^(2/3))^2))/2))&gt;0,BT16,((BT16+BU16)/2))</f>
        <v/>
      </c>
      <c r="BW16" s="5">
        <f>IF((((BT16+BU16)/2)+(C16/(D16*((BT16+BU16)/2)))^2/(2*9.81)+B16-(G15+H15^2/(2*9.81))-(A15-A16)*(((DATOS!$B$34*(C16/(D16*((BT16+BU16)/2)))/((D16*((BT16+BU16)/2))/(D16+2*((BT16+BU16)/2)))^(2/3))^2+((DATOS!$B$34*H15/((D15*F15)/(D15+2*F15))^(2/3))^2))/2))&gt;0,((BT16+BU16)/2),BU16)</f>
        <v/>
      </c>
    </row>
    <row r="17">
      <c r="A17" s="13" t="n">
        <v>62</v>
      </c>
      <c r="B17" s="16">
        <f>DATOS!$B$22-DATOS!$B$23*A17</f>
        <v/>
      </c>
      <c r="C17" s="24">
        <f>CAUDALES!$B$13</f>
        <v/>
      </c>
      <c r="D17" s="17">
        <f>DATOS!$B$17</f>
        <v/>
      </c>
      <c r="E17" s="16">
        <f>(C17^2/(9.81*D17^2))^(1/3)</f>
        <v/>
      </c>
      <c r="F17" s="16">
        <f>(BV17+BW17)/2</f>
        <v/>
      </c>
      <c r="G17" s="16">
        <f>B17+F17</f>
        <v/>
      </c>
      <c r="H17" s="19">
        <f>C17/(D17*F17)</f>
        <v/>
      </c>
      <c r="I17" s="19">
        <f>H17/SQRT(9.81*F17)</f>
        <v/>
      </c>
      <c r="J17" s="16">
        <f>DATOS!$B$29-IF(AND(A17&gt;=DATOS!$B$30,A17&lt;DATOS!$B$31),DATOS!$B$21,DATOS!$B$20)</f>
        <v/>
      </c>
      <c r="K17" s="19">
        <f>J17-B17</f>
        <v/>
      </c>
      <c r="L17" s="19">
        <f>F17/K17</f>
        <v/>
      </c>
      <c r="M17" s="16">
        <f>J17-G17</f>
        <v/>
      </c>
      <c r="N17" s="5">
        <f>IF(AND(L17&lt;=DATOS!$B$36,M17&gt;=DATOS!$B$37,I17&lt;=1),"CUMPLE","NO CUMPLE")</f>
        <v/>
      </c>
      <c r="O17" s="5">
        <f>IF(AND(A17&gt;=DATOS!$B$30,A17&lt;DATOS!$B$31),"cruce de camiones",IF(AND(A17&gt;=DATOS!$B$32,A17&lt;DATOS!$B$33),"cruce de motos","tramo normal"))</f>
        <v/>
      </c>
      <c r="P17" s="5">
        <f>E17*1.001</f>
        <v/>
      </c>
      <c r="Q17" s="13" t="n">
        <v>3</v>
      </c>
      <c r="R17" s="5">
        <f>IF((((P17+Q17)/2)+(C17/(D17*((P17+Q17)/2)))^2/(2*9.81)+B17-(G16+H16^2/(2*9.81))-(A16-A17)*(((DATOS!$B$34*(C17/(D17*((P17+Q17)/2)))/((D17*((P17+Q17)/2))/(D17+2*((P17+Q17)/2)))^(2/3))^2+((DATOS!$B$34*H16/((D16*F16)/(D16+2*F16))^(2/3))^2))/2))&gt;0,P17,((P17+Q17)/2))</f>
        <v/>
      </c>
      <c r="S17" s="5">
        <f>IF((((P17+Q17)/2)+(C17/(D17*((P17+Q17)/2)))^2/(2*9.81)+B17-(G16+H16^2/(2*9.81))-(A16-A17)*(((DATOS!$B$34*(C17/(D17*((P17+Q17)/2)))/((D17*((P17+Q17)/2))/(D17+2*((P17+Q17)/2)))^(2/3))^2+((DATOS!$B$34*H16/((D16*F16)/(D16+2*F16))^(2/3))^2))/2))&gt;0,((P17+Q17)/2),Q17)</f>
        <v/>
      </c>
      <c r="T17" s="5">
        <f>IF((((R17+S17)/2)+(C17/(D17*((R17+S17)/2)))^2/(2*9.81)+B17-(G16+H16^2/(2*9.81))-(A16-A17)*(((DATOS!$B$34*(C17/(D17*((R17+S17)/2)))/((D17*((R17+S17)/2))/(D17+2*((R17+S17)/2)))^(2/3))^2+((DATOS!$B$34*H16/((D16*F16)/(D16+2*F16))^(2/3))^2))/2))&gt;0,R17,((R17+S17)/2))</f>
        <v/>
      </c>
      <c r="U17" s="5">
        <f>IF((((R17+S17)/2)+(C17/(D17*((R17+S17)/2)))^2/(2*9.81)+B17-(G16+H16^2/(2*9.81))-(A16-A17)*(((DATOS!$B$34*(C17/(D17*((R17+S17)/2)))/((D17*((R17+S17)/2))/(D17+2*((R17+S17)/2)))^(2/3))^2+((DATOS!$B$34*H16/((D16*F16)/(D16+2*F16))^(2/3))^2))/2))&gt;0,((R17+S17)/2),S17)</f>
        <v/>
      </c>
      <c r="V17" s="5">
        <f>IF((((T17+U17)/2)+(C17/(D17*((T17+U17)/2)))^2/(2*9.81)+B17-(G16+H16^2/(2*9.81))-(A16-A17)*(((DATOS!$B$34*(C17/(D17*((T17+U17)/2)))/((D17*((T17+U17)/2))/(D17+2*((T17+U17)/2)))^(2/3))^2+((DATOS!$B$34*H16/((D16*F16)/(D16+2*F16))^(2/3))^2))/2))&gt;0,T17,((T17+U17)/2))</f>
        <v/>
      </c>
      <c r="W17" s="5">
        <f>IF((((T17+U17)/2)+(C17/(D17*((T17+U17)/2)))^2/(2*9.81)+B17-(G16+H16^2/(2*9.81))-(A16-A17)*(((DATOS!$B$34*(C17/(D17*((T17+U17)/2)))/((D17*((T17+U17)/2))/(D17+2*((T17+U17)/2)))^(2/3))^2+((DATOS!$B$34*H16/((D16*F16)/(D16+2*F16))^(2/3))^2))/2))&gt;0,((T17+U17)/2),U17)</f>
        <v/>
      </c>
      <c r="X17" s="5">
        <f>IF((((V17+W17)/2)+(C17/(D17*((V17+W17)/2)))^2/(2*9.81)+B17-(G16+H16^2/(2*9.81))-(A16-A17)*(((DATOS!$B$34*(C17/(D17*((V17+W17)/2)))/((D17*((V17+W17)/2))/(D17+2*((V17+W17)/2)))^(2/3))^2+((DATOS!$B$34*H16/((D16*F16)/(D16+2*F16))^(2/3))^2))/2))&gt;0,V17,((V17+W17)/2))</f>
        <v/>
      </c>
      <c r="Y17" s="5">
        <f>IF((((V17+W17)/2)+(C17/(D17*((V17+W17)/2)))^2/(2*9.81)+B17-(G16+H16^2/(2*9.81))-(A16-A17)*(((DATOS!$B$34*(C17/(D17*((V17+W17)/2)))/((D17*((V17+W17)/2))/(D17+2*((V17+W17)/2)))^(2/3))^2+((DATOS!$B$34*H16/((D16*F16)/(D16+2*F16))^(2/3))^2))/2))&gt;0,((V17+W17)/2),W17)</f>
        <v/>
      </c>
      <c r="Z17" s="5">
        <f>IF((((X17+Y17)/2)+(C17/(D17*((X17+Y17)/2)))^2/(2*9.81)+B17-(G16+H16^2/(2*9.81))-(A16-A17)*(((DATOS!$B$34*(C17/(D17*((X17+Y17)/2)))/((D17*((X17+Y17)/2))/(D17+2*((X17+Y17)/2)))^(2/3))^2+((DATOS!$B$34*H16/((D16*F16)/(D16+2*F16))^(2/3))^2))/2))&gt;0,X17,((X17+Y17)/2))</f>
        <v/>
      </c>
      <c r="AA17" s="5">
        <f>IF((((X17+Y17)/2)+(C17/(D17*((X17+Y17)/2)))^2/(2*9.81)+B17-(G16+H16^2/(2*9.81))-(A16-A17)*(((DATOS!$B$34*(C17/(D17*((X17+Y17)/2)))/((D17*((X17+Y17)/2))/(D17+2*((X17+Y17)/2)))^(2/3))^2+((DATOS!$B$34*H16/((D16*F16)/(D16+2*F16))^(2/3))^2))/2))&gt;0,((X17+Y17)/2),Y17)</f>
        <v/>
      </c>
      <c r="AB17" s="5">
        <f>IF((((Z17+AA17)/2)+(C17/(D17*((Z17+AA17)/2)))^2/(2*9.81)+B17-(G16+H16^2/(2*9.81))-(A16-A17)*(((DATOS!$B$34*(C17/(D17*((Z17+AA17)/2)))/((D17*((Z17+AA17)/2))/(D17+2*((Z17+AA17)/2)))^(2/3))^2+((DATOS!$B$34*H16/((D16*F16)/(D16+2*F16))^(2/3))^2))/2))&gt;0,Z17,((Z17+AA17)/2))</f>
        <v/>
      </c>
      <c r="AC17" s="5">
        <f>IF((((Z17+AA17)/2)+(C17/(D17*((Z17+AA17)/2)))^2/(2*9.81)+B17-(G16+H16^2/(2*9.81))-(A16-A17)*(((DATOS!$B$34*(C17/(D17*((Z17+AA17)/2)))/((D17*((Z17+AA17)/2))/(D17+2*((Z17+AA17)/2)))^(2/3))^2+((DATOS!$B$34*H16/((D16*F16)/(D16+2*F16))^(2/3))^2))/2))&gt;0,((Z17+AA17)/2),AA17)</f>
        <v/>
      </c>
      <c r="AD17" s="5">
        <f>IF((((AB17+AC17)/2)+(C17/(D17*((AB17+AC17)/2)))^2/(2*9.81)+B17-(G16+H16^2/(2*9.81))-(A16-A17)*(((DATOS!$B$34*(C17/(D17*((AB17+AC17)/2)))/((D17*((AB17+AC17)/2))/(D17+2*((AB17+AC17)/2)))^(2/3))^2+((DATOS!$B$34*H16/((D16*F16)/(D16+2*F16))^(2/3))^2))/2))&gt;0,AB17,((AB17+AC17)/2))</f>
        <v/>
      </c>
      <c r="AE17" s="5">
        <f>IF((((AB17+AC17)/2)+(C17/(D17*((AB17+AC17)/2)))^2/(2*9.81)+B17-(G16+H16^2/(2*9.81))-(A16-A17)*(((DATOS!$B$34*(C17/(D17*((AB17+AC17)/2)))/((D17*((AB17+AC17)/2))/(D17+2*((AB17+AC17)/2)))^(2/3))^2+((DATOS!$B$34*H16/((D16*F16)/(D16+2*F16))^(2/3))^2))/2))&gt;0,((AB17+AC17)/2),AC17)</f>
        <v/>
      </c>
      <c r="AF17" s="5">
        <f>IF((((AD17+AE17)/2)+(C17/(D17*((AD17+AE17)/2)))^2/(2*9.81)+B17-(G16+H16^2/(2*9.81))-(A16-A17)*(((DATOS!$B$34*(C17/(D17*((AD17+AE17)/2)))/((D17*((AD17+AE17)/2))/(D17+2*((AD17+AE17)/2)))^(2/3))^2+((DATOS!$B$34*H16/((D16*F16)/(D16+2*F16))^(2/3))^2))/2))&gt;0,AD17,((AD17+AE17)/2))</f>
        <v/>
      </c>
      <c r="AG17" s="5">
        <f>IF((((AD17+AE17)/2)+(C17/(D17*((AD17+AE17)/2)))^2/(2*9.81)+B17-(G16+H16^2/(2*9.81))-(A16-A17)*(((DATOS!$B$34*(C17/(D17*((AD17+AE17)/2)))/((D17*((AD17+AE17)/2))/(D17+2*((AD17+AE17)/2)))^(2/3))^2+((DATOS!$B$34*H16/((D16*F16)/(D16+2*F16))^(2/3))^2))/2))&gt;0,((AD17+AE17)/2),AE17)</f>
        <v/>
      </c>
      <c r="AH17" s="5">
        <f>IF((((AF17+AG17)/2)+(C17/(D17*((AF17+AG17)/2)))^2/(2*9.81)+B17-(G16+H16^2/(2*9.81))-(A16-A17)*(((DATOS!$B$34*(C17/(D17*((AF17+AG17)/2)))/((D17*((AF17+AG17)/2))/(D17+2*((AF17+AG17)/2)))^(2/3))^2+((DATOS!$B$34*H16/((D16*F16)/(D16+2*F16))^(2/3))^2))/2))&gt;0,AF17,((AF17+AG17)/2))</f>
        <v/>
      </c>
      <c r="AI17" s="5">
        <f>IF((((AF17+AG17)/2)+(C17/(D17*((AF17+AG17)/2)))^2/(2*9.81)+B17-(G16+H16^2/(2*9.81))-(A16-A17)*(((DATOS!$B$34*(C17/(D17*((AF17+AG17)/2)))/((D17*((AF17+AG17)/2))/(D17+2*((AF17+AG17)/2)))^(2/3))^2+((DATOS!$B$34*H16/((D16*F16)/(D16+2*F16))^(2/3))^2))/2))&gt;0,((AF17+AG17)/2),AG17)</f>
        <v/>
      </c>
      <c r="AJ17" s="5">
        <f>IF((((AH17+AI17)/2)+(C17/(D17*((AH17+AI17)/2)))^2/(2*9.81)+B17-(G16+H16^2/(2*9.81))-(A16-A17)*(((DATOS!$B$34*(C17/(D17*((AH17+AI17)/2)))/((D17*((AH17+AI17)/2))/(D17+2*((AH17+AI17)/2)))^(2/3))^2+((DATOS!$B$34*H16/((D16*F16)/(D16+2*F16))^(2/3))^2))/2))&gt;0,AH17,((AH17+AI17)/2))</f>
        <v/>
      </c>
      <c r="AK17" s="5">
        <f>IF((((AH17+AI17)/2)+(C17/(D17*((AH17+AI17)/2)))^2/(2*9.81)+B17-(G16+H16^2/(2*9.81))-(A16-A17)*(((DATOS!$B$34*(C17/(D17*((AH17+AI17)/2)))/((D17*((AH17+AI17)/2))/(D17+2*((AH17+AI17)/2)))^(2/3))^2+((DATOS!$B$34*H16/((D16*F16)/(D16+2*F16))^(2/3))^2))/2))&gt;0,((AH17+AI17)/2),AI17)</f>
        <v/>
      </c>
      <c r="AL17" s="5">
        <f>IF((((AJ17+AK17)/2)+(C17/(D17*((AJ17+AK17)/2)))^2/(2*9.81)+B17-(G16+H16^2/(2*9.81))-(A16-A17)*(((DATOS!$B$34*(C17/(D17*((AJ17+AK17)/2)))/((D17*((AJ17+AK17)/2))/(D17+2*((AJ17+AK17)/2)))^(2/3))^2+((DATOS!$B$34*H16/((D16*F16)/(D16+2*F16))^(2/3))^2))/2))&gt;0,AJ17,((AJ17+AK17)/2))</f>
        <v/>
      </c>
      <c r="AM17" s="5">
        <f>IF((((AJ17+AK17)/2)+(C17/(D17*((AJ17+AK17)/2)))^2/(2*9.81)+B17-(G16+H16^2/(2*9.81))-(A16-A17)*(((DATOS!$B$34*(C17/(D17*((AJ17+AK17)/2)))/((D17*((AJ17+AK17)/2))/(D17+2*((AJ17+AK17)/2)))^(2/3))^2+((DATOS!$B$34*H16/((D16*F16)/(D16+2*F16))^(2/3))^2))/2))&gt;0,((AJ17+AK17)/2),AK17)</f>
        <v/>
      </c>
      <c r="AN17" s="5">
        <f>IF((((AL17+AM17)/2)+(C17/(D17*((AL17+AM17)/2)))^2/(2*9.81)+B17-(G16+H16^2/(2*9.81))-(A16-A17)*(((DATOS!$B$34*(C17/(D17*((AL17+AM17)/2)))/((D17*((AL17+AM17)/2))/(D17+2*((AL17+AM17)/2)))^(2/3))^2+((DATOS!$B$34*H16/((D16*F16)/(D16+2*F16))^(2/3))^2))/2))&gt;0,AL17,((AL17+AM17)/2))</f>
        <v/>
      </c>
      <c r="AO17" s="5">
        <f>IF((((AL17+AM17)/2)+(C17/(D17*((AL17+AM17)/2)))^2/(2*9.81)+B17-(G16+H16^2/(2*9.81))-(A16-A17)*(((DATOS!$B$34*(C17/(D17*((AL17+AM17)/2)))/((D17*((AL17+AM17)/2))/(D17+2*((AL17+AM17)/2)))^(2/3))^2+((DATOS!$B$34*H16/((D16*F16)/(D16+2*F16))^(2/3))^2))/2))&gt;0,((AL17+AM17)/2),AM17)</f>
        <v/>
      </c>
      <c r="AP17" s="5">
        <f>IF((((AN17+AO17)/2)+(C17/(D17*((AN17+AO17)/2)))^2/(2*9.81)+B17-(G16+H16^2/(2*9.81))-(A16-A17)*(((DATOS!$B$34*(C17/(D17*((AN17+AO17)/2)))/((D17*((AN17+AO17)/2))/(D17+2*((AN17+AO17)/2)))^(2/3))^2+((DATOS!$B$34*H16/((D16*F16)/(D16+2*F16))^(2/3))^2))/2))&gt;0,AN17,((AN17+AO17)/2))</f>
        <v/>
      </c>
      <c r="AQ17" s="5">
        <f>IF((((AN17+AO17)/2)+(C17/(D17*((AN17+AO17)/2)))^2/(2*9.81)+B17-(G16+H16^2/(2*9.81))-(A16-A17)*(((DATOS!$B$34*(C17/(D17*((AN17+AO17)/2)))/((D17*((AN17+AO17)/2))/(D17+2*((AN17+AO17)/2)))^(2/3))^2+((DATOS!$B$34*H16/((D16*F16)/(D16+2*F16))^(2/3))^2))/2))&gt;0,((AN17+AO17)/2),AO17)</f>
        <v/>
      </c>
      <c r="AR17" s="5">
        <f>IF((((AP17+AQ17)/2)+(C17/(D17*((AP17+AQ17)/2)))^2/(2*9.81)+B17-(G16+H16^2/(2*9.81))-(A16-A17)*(((DATOS!$B$34*(C17/(D17*((AP17+AQ17)/2)))/((D17*((AP17+AQ17)/2))/(D17+2*((AP17+AQ17)/2)))^(2/3))^2+((DATOS!$B$34*H16/((D16*F16)/(D16+2*F16))^(2/3))^2))/2))&gt;0,AP17,((AP17+AQ17)/2))</f>
        <v/>
      </c>
      <c r="AS17" s="5">
        <f>IF((((AP17+AQ17)/2)+(C17/(D17*((AP17+AQ17)/2)))^2/(2*9.81)+B17-(G16+H16^2/(2*9.81))-(A16-A17)*(((DATOS!$B$34*(C17/(D17*((AP17+AQ17)/2)))/((D17*((AP17+AQ17)/2))/(D17+2*((AP17+AQ17)/2)))^(2/3))^2+((DATOS!$B$34*H16/((D16*F16)/(D16+2*F16))^(2/3))^2))/2))&gt;0,((AP17+AQ17)/2),AQ17)</f>
        <v/>
      </c>
      <c r="AT17" s="5">
        <f>IF((((AR17+AS17)/2)+(C17/(D17*((AR17+AS17)/2)))^2/(2*9.81)+B17-(G16+H16^2/(2*9.81))-(A16-A17)*(((DATOS!$B$34*(C17/(D17*((AR17+AS17)/2)))/((D17*((AR17+AS17)/2))/(D17+2*((AR17+AS17)/2)))^(2/3))^2+((DATOS!$B$34*H16/((D16*F16)/(D16+2*F16))^(2/3))^2))/2))&gt;0,AR17,((AR17+AS17)/2))</f>
        <v/>
      </c>
      <c r="AU17" s="5">
        <f>IF((((AR17+AS17)/2)+(C17/(D17*((AR17+AS17)/2)))^2/(2*9.81)+B17-(G16+H16^2/(2*9.81))-(A16-A17)*(((DATOS!$B$34*(C17/(D17*((AR17+AS17)/2)))/((D17*((AR17+AS17)/2))/(D17+2*((AR17+AS17)/2)))^(2/3))^2+((DATOS!$B$34*H16/((D16*F16)/(D16+2*F16))^(2/3))^2))/2))&gt;0,((AR17+AS17)/2),AS17)</f>
        <v/>
      </c>
      <c r="AV17" s="5">
        <f>IF((((AT17+AU17)/2)+(C17/(D17*((AT17+AU17)/2)))^2/(2*9.81)+B17-(G16+H16^2/(2*9.81))-(A16-A17)*(((DATOS!$B$34*(C17/(D17*((AT17+AU17)/2)))/((D17*((AT17+AU17)/2))/(D17+2*((AT17+AU17)/2)))^(2/3))^2+((DATOS!$B$34*H16/((D16*F16)/(D16+2*F16))^(2/3))^2))/2))&gt;0,AT17,((AT17+AU17)/2))</f>
        <v/>
      </c>
      <c r="AW17" s="5">
        <f>IF((((AT17+AU17)/2)+(C17/(D17*((AT17+AU17)/2)))^2/(2*9.81)+B17-(G16+H16^2/(2*9.81))-(A16-A17)*(((DATOS!$B$34*(C17/(D17*((AT17+AU17)/2)))/((D17*((AT17+AU17)/2))/(D17+2*((AT17+AU17)/2)))^(2/3))^2+((DATOS!$B$34*H16/((D16*F16)/(D16+2*F16))^(2/3))^2))/2))&gt;0,((AT17+AU17)/2),AU17)</f>
        <v/>
      </c>
      <c r="AX17" s="5">
        <f>IF((((AV17+AW17)/2)+(C17/(D17*((AV17+AW17)/2)))^2/(2*9.81)+B17-(G16+H16^2/(2*9.81))-(A16-A17)*(((DATOS!$B$34*(C17/(D17*((AV17+AW17)/2)))/((D17*((AV17+AW17)/2))/(D17+2*((AV17+AW17)/2)))^(2/3))^2+((DATOS!$B$34*H16/((D16*F16)/(D16+2*F16))^(2/3))^2))/2))&gt;0,AV17,((AV17+AW17)/2))</f>
        <v/>
      </c>
      <c r="AY17" s="5">
        <f>IF((((AV17+AW17)/2)+(C17/(D17*((AV17+AW17)/2)))^2/(2*9.81)+B17-(G16+H16^2/(2*9.81))-(A16-A17)*(((DATOS!$B$34*(C17/(D17*((AV17+AW17)/2)))/((D17*((AV17+AW17)/2))/(D17+2*((AV17+AW17)/2)))^(2/3))^2+((DATOS!$B$34*H16/((D16*F16)/(D16+2*F16))^(2/3))^2))/2))&gt;0,((AV17+AW17)/2),AW17)</f>
        <v/>
      </c>
      <c r="AZ17" s="5">
        <f>IF((((AX17+AY17)/2)+(C17/(D17*((AX17+AY17)/2)))^2/(2*9.81)+B17-(G16+H16^2/(2*9.81))-(A16-A17)*(((DATOS!$B$34*(C17/(D17*((AX17+AY17)/2)))/((D17*((AX17+AY17)/2))/(D17+2*((AX17+AY17)/2)))^(2/3))^2+((DATOS!$B$34*H16/((D16*F16)/(D16+2*F16))^(2/3))^2))/2))&gt;0,AX17,((AX17+AY17)/2))</f>
        <v/>
      </c>
      <c r="BA17" s="5">
        <f>IF((((AX17+AY17)/2)+(C17/(D17*((AX17+AY17)/2)))^2/(2*9.81)+B17-(G16+H16^2/(2*9.81))-(A16-A17)*(((DATOS!$B$34*(C17/(D17*((AX17+AY17)/2)))/((D17*((AX17+AY17)/2))/(D17+2*((AX17+AY17)/2)))^(2/3))^2+((DATOS!$B$34*H16/((D16*F16)/(D16+2*F16))^(2/3))^2))/2))&gt;0,((AX17+AY17)/2),AY17)</f>
        <v/>
      </c>
      <c r="BB17" s="5">
        <f>IF((((AZ17+BA17)/2)+(C17/(D17*((AZ17+BA17)/2)))^2/(2*9.81)+B17-(G16+H16^2/(2*9.81))-(A16-A17)*(((DATOS!$B$34*(C17/(D17*((AZ17+BA17)/2)))/((D17*((AZ17+BA17)/2))/(D17+2*((AZ17+BA17)/2)))^(2/3))^2+((DATOS!$B$34*H16/((D16*F16)/(D16+2*F16))^(2/3))^2))/2))&gt;0,AZ17,((AZ17+BA17)/2))</f>
        <v/>
      </c>
      <c r="BC17" s="5">
        <f>IF((((AZ17+BA17)/2)+(C17/(D17*((AZ17+BA17)/2)))^2/(2*9.81)+B17-(G16+H16^2/(2*9.81))-(A16-A17)*(((DATOS!$B$34*(C17/(D17*((AZ17+BA17)/2)))/((D17*((AZ17+BA17)/2))/(D17+2*((AZ17+BA17)/2)))^(2/3))^2+((DATOS!$B$34*H16/((D16*F16)/(D16+2*F16))^(2/3))^2))/2))&gt;0,((AZ17+BA17)/2),BA17)</f>
        <v/>
      </c>
      <c r="BD17" s="5">
        <f>IF((((BB17+BC17)/2)+(C17/(D17*((BB17+BC17)/2)))^2/(2*9.81)+B17-(G16+H16^2/(2*9.81))-(A16-A17)*(((DATOS!$B$34*(C17/(D17*((BB17+BC17)/2)))/((D17*((BB17+BC17)/2))/(D17+2*((BB17+BC17)/2)))^(2/3))^2+((DATOS!$B$34*H16/((D16*F16)/(D16+2*F16))^(2/3))^2))/2))&gt;0,BB17,((BB17+BC17)/2))</f>
        <v/>
      </c>
      <c r="BE17" s="5">
        <f>IF((((BB17+BC17)/2)+(C17/(D17*((BB17+BC17)/2)))^2/(2*9.81)+B17-(G16+H16^2/(2*9.81))-(A16-A17)*(((DATOS!$B$34*(C17/(D17*((BB17+BC17)/2)))/((D17*((BB17+BC17)/2))/(D17+2*((BB17+BC17)/2)))^(2/3))^2+((DATOS!$B$34*H16/((D16*F16)/(D16+2*F16))^(2/3))^2))/2))&gt;0,((BB17+BC17)/2),BC17)</f>
        <v/>
      </c>
      <c r="BF17" s="5">
        <f>IF((((BD17+BE17)/2)+(C17/(D17*((BD17+BE17)/2)))^2/(2*9.81)+B17-(G16+H16^2/(2*9.81))-(A16-A17)*(((DATOS!$B$34*(C17/(D17*((BD17+BE17)/2)))/((D17*((BD17+BE17)/2))/(D17+2*((BD17+BE17)/2)))^(2/3))^2+((DATOS!$B$34*H16/((D16*F16)/(D16+2*F16))^(2/3))^2))/2))&gt;0,BD17,((BD17+BE17)/2))</f>
        <v/>
      </c>
      <c r="BG17" s="5">
        <f>IF((((BD17+BE17)/2)+(C17/(D17*((BD17+BE17)/2)))^2/(2*9.81)+B17-(G16+H16^2/(2*9.81))-(A16-A17)*(((DATOS!$B$34*(C17/(D17*((BD17+BE17)/2)))/((D17*((BD17+BE17)/2))/(D17+2*((BD17+BE17)/2)))^(2/3))^2+((DATOS!$B$34*H16/((D16*F16)/(D16+2*F16))^(2/3))^2))/2))&gt;0,((BD17+BE17)/2),BE17)</f>
        <v/>
      </c>
      <c r="BH17" s="5">
        <f>IF((((BF17+BG17)/2)+(C17/(D17*((BF17+BG17)/2)))^2/(2*9.81)+B17-(G16+H16^2/(2*9.81))-(A16-A17)*(((DATOS!$B$34*(C17/(D17*((BF17+BG17)/2)))/((D17*((BF17+BG17)/2))/(D17+2*((BF17+BG17)/2)))^(2/3))^2+((DATOS!$B$34*H16/((D16*F16)/(D16+2*F16))^(2/3))^2))/2))&gt;0,BF17,((BF17+BG17)/2))</f>
        <v/>
      </c>
      <c r="BI17" s="5">
        <f>IF((((BF17+BG17)/2)+(C17/(D17*((BF17+BG17)/2)))^2/(2*9.81)+B17-(G16+H16^2/(2*9.81))-(A16-A17)*(((DATOS!$B$34*(C17/(D17*((BF17+BG17)/2)))/((D17*((BF17+BG17)/2))/(D17+2*((BF17+BG17)/2)))^(2/3))^2+((DATOS!$B$34*H16/((D16*F16)/(D16+2*F16))^(2/3))^2))/2))&gt;0,((BF17+BG17)/2),BG17)</f>
        <v/>
      </c>
      <c r="BJ17" s="5">
        <f>IF((((BH17+BI17)/2)+(C17/(D17*((BH17+BI17)/2)))^2/(2*9.81)+B17-(G16+H16^2/(2*9.81))-(A16-A17)*(((DATOS!$B$34*(C17/(D17*((BH17+BI17)/2)))/((D17*((BH17+BI17)/2))/(D17+2*((BH17+BI17)/2)))^(2/3))^2+((DATOS!$B$34*H16/((D16*F16)/(D16+2*F16))^(2/3))^2))/2))&gt;0,BH17,((BH17+BI17)/2))</f>
        <v/>
      </c>
      <c r="BK17" s="5">
        <f>IF((((BH17+BI17)/2)+(C17/(D17*((BH17+BI17)/2)))^2/(2*9.81)+B17-(G16+H16^2/(2*9.81))-(A16-A17)*(((DATOS!$B$34*(C17/(D17*((BH17+BI17)/2)))/((D17*((BH17+BI17)/2))/(D17+2*((BH17+BI17)/2)))^(2/3))^2+((DATOS!$B$34*H16/((D16*F16)/(D16+2*F16))^(2/3))^2))/2))&gt;0,((BH17+BI17)/2),BI17)</f>
        <v/>
      </c>
      <c r="BL17" s="5">
        <f>IF((((BJ17+BK17)/2)+(C17/(D17*((BJ17+BK17)/2)))^2/(2*9.81)+B17-(G16+H16^2/(2*9.81))-(A16-A17)*(((DATOS!$B$34*(C17/(D17*((BJ17+BK17)/2)))/((D17*((BJ17+BK17)/2))/(D17+2*((BJ17+BK17)/2)))^(2/3))^2+((DATOS!$B$34*H16/((D16*F16)/(D16+2*F16))^(2/3))^2))/2))&gt;0,BJ17,((BJ17+BK17)/2))</f>
        <v/>
      </c>
      <c r="BM17" s="5">
        <f>IF((((BJ17+BK17)/2)+(C17/(D17*((BJ17+BK17)/2)))^2/(2*9.81)+B17-(G16+H16^2/(2*9.81))-(A16-A17)*(((DATOS!$B$34*(C17/(D17*((BJ17+BK17)/2)))/((D17*((BJ17+BK17)/2))/(D17+2*((BJ17+BK17)/2)))^(2/3))^2+((DATOS!$B$34*H16/((D16*F16)/(D16+2*F16))^(2/3))^2))/2))&gt;0,((BJ17+BK17)/2),BK17)</f>
        <v/>
      </c>
      <c r="BN17" s="5">
        <f>IF((((BL17+BM17)/2)+(C17/(D17*((BL17+BM17)/2)))^2/(2*9.81)+B17-(G16+H16^2/(2*9.81))-(A16-A17)*(((DATOS!$B$34*(C17/(D17*((BL17+BM17)/2)))/((D17*((BL17+BM17)/2))/(D17+2*((BL17+BM17)/2)))^(2/3))^2+((DATOS!$B$34*H16/((D16*F16)/(D16+2*F16))^(2/3))^2))/2))&gt;0,BL17,((BL17+BM17)/2))</f>
        <v/>
      </c>
      <c r="BO17" s="5">
        <f>IF((((BL17+BM17)/2)+(C17/(D17*((BL17+BM17)/2)))^2/(2*9.81)+B17-(G16+H16^2/(2*9.81))-(A16-A17)*(((DATOS!$B$34*(C17/(D17*((BL17+BM17)/2)))/((D17*((BL17+BM17)/2))/(D17+2*((BL17+BM17)/2)))^(2/3))^2+((DATOS!$B$34*H16/((D16*F16)/(D16+2*F16))^(2/3))^2))/2))&gt;0,((BL17+BM17)/2),BM17)</f>
        <v/>
      </c>
      <c r="BP17" s="5">
        <f>IF((((BN17+BO17)/2)+(C17/(D17*((BN17+BO17)/2)))^2/(2*9.81)+B17-(G16+H16^2/(2*9.81))-(A16-A17)*(((DATOS!$B$34*(C17/(D17*((BN17+BO17)/2)))/((D17*((BN17+BO17)/2))/(D17+2*((BN17+BO17)/2)))^(2/3))^2+((DATOS!$B$34*H16/((D16*F16)/(D16+2*F16))^(2/3))^2))/2))&gt;0,BN17,((BN17+BO17)/2))</f>
        <v/>
      </c>
      <c r="BQ17" s="5">
        <f>IF((((BN17+BO17)/2)+(C17/(D17*((BN17+BO17)/2)))^2/(2*9.81)+B17-(G16+H16^2/(2*9.81))-(A16-A17)*(((DATOS!$B$34*(C17/(D17*((BN17+BO17)/2)))/((D17*((BN17+BO17)/2))/(D17+2*((BN17+BO17)/2)))^(2/3))^2+((DATOS!$B$34*H16/((D16*F16)/(D16+2*F16))^(2/3))^2))/2))&gt;0,((BN17+BO17)/2),BO17)</f>
        <v/>
      </c>
      <c r="BR17" s="5">
        <f>IF((((BP17+BQ17)/2)+(C17/(D17*((BP17+BQ17)/2)))^2/(2*9.81)+B17-(G16+H16^2/(2*9.81))-(A16-A17)*(((DATOS!$B$34*(C17/(D17*((BP17+BQ17)/2)))/((D17*((BP17+BQ17)/2))/(D17+2*((BP17+BQ17)/2)))^(2/3))^2+((DATOS!$B$34*H16/((D16*F16)/(D16+2*F16))^(2/3))^2))/2))&gt;0,BP17,((BP17+BQ17)/2))</f>
        <v/>
      </c>
      <c r="BS17" s="5">
        <f>IF((((BP17+BQ17)/2)+(C17/(D17*((BP17+BQ17)/2)))^2/(2*9.81)+B17-(G16+H16^2/(2*9.81))-(A16-A17)*(((DATOS!$B$34*(C17/(D17*((BP17+BQ17)/2)))/((D17*((BP17+BQ17)/2))/(D17+2*((BP17+BQ17)/2)))^(2/3))^2+((DATOS!$B$34*H16/((D16*F16)/(D16+2*F16))^(2/3))^2))/2))&gt;0,((BP17+BQ17)/2),BQ17)</f>
        <v/>
      </c>
      <c r="BT17" s="5">
        <f>IF((((BR17+BS17)/2)+(C17/(D17*((BR17+BS17)/2)))^2/(2*9.81)+B17-(G16+H16^2/(2*9.81))-(A16-A17)*(((DATOS!$B$34*(C17/(D17*((BR17+BS17)/2)))/((D17*((BR17+BS17)/2))/(D17+2*((BR17+BS17)/2)))^(2/3))^2+((DATOS!$B$34*H16/((D16*F16)/(D16+2*F16))^(2/3))^2))/2))&gt;0,BR17,((BR17+BS17)/2))</f>
        <v/>
      </c>
      <c r="BU17" s="5">
        <f>IF((((BR17+BS17)/2)+(C17/(D17*((BR17+BS17)/2)))^2/(2*9.81)+B17-(G16+H16^2/(2*9.81))-(A16-A17)*(((DATOS!$B$34*(C17/(D17*((BR17+BS17)/2)))/((D17*((BR17+BS17)/2))/(D17+2*((BR17+BS17)/2)))^(2/3))^2+((DATOS!$B$34*H16/((D16*F16)/(D16+2*F16))^(2/3))^2))/2))&gt;0,((BR17+BS17)/2),BS17)</f>
        <v/>
      </c>
      <c r="BV17" s="5">
        <f>IF((((BT17+BU17)/2)+(C17/(D17*((BT17+BU17)/2)))^2/(2*9.81)+B17-(G16+H16^2/(2*9.81))-(A16-A17)*(((DATOS!$B$34*(C17/(D17*((BT17+BU17)/2)))/((D17*((BT17+BU17)/2))/(D17+2*((BT17+BU17)/2)))^(2/3))^2+((DATOS!$B$34*H16/((D16*F16)/(D16+2*F16))^(2/3))^2))/2))&gt;0,BT17,((BT17+BU17)/2))</f>
        <v/>
      </c>
      <c r="BW17" s="5">
        <f>IF((((BT17+BU17)/2)+(C17/(D17*((BT17+BU17)/2)))^2/(2*9.81)+B17-(G16+H16^2/(2*9.81))-(A16-A17)*(((DATOS!$B$34*(C17/(D17*((BT17+BU17)/2)))/((D17*((BT17+BU17)/2))/(D17+2*((BT17+BU17)/2)))^(2/3))^2+((DATOS!$B$34*H16/((D16*F16)/(D16+2*F16))^(2/3))^2))/2))&gt;0,((BT17+BU17)/2),BU17)</f>
        <v/>
      </c>
    </row>
    <row r="18">
      <c r="A18" s="13" t="n">
        <v>61</v>
      </c>
      <c r="B18" s="16">
        <f>DATOS!$B$22-DATOS!$B$23*A18</f>
        <v/>
      </c>
      <c r="C18" s="24">
        <f>CAUDALES!$B$13</f>
        <v/>
      </c>
      <c r="D18" s="17">
        <f>DATOS!$B$17</f>
        <v/>
      </c>
      <c r="E18" s="16">
        <f>(C18^2/(9.81*D18^2))^(1/3)</f>
        <v/>
      </c>
      <c r="F18" s="16">
        <f>(BV18+BW18)/2</f>
        <v/>
      </c>
      <c r="G18" s="16">
        <f>B18+F18</f>
        <v/>
      </c>
      <c r="H18" s="19">
        <f>C18/(D18*F18)</f>
        <v/>
      </c>
      <c r="I18" s="19">
        <f>H18/SQRT(9.81*F18)</f>
        <v/>
      </c>
      <c r="J18" s="16">
        <f>DATOS!$B$29-IF(AND(A18&gt;=DATOS!$B$30,A18&lt;DATOS!$B$31),DATOS!$B$21,DATOS!$B$20)</f>
        <v/>
      </c>
      <c r="K18" s="19">
        <f>J18-B18</f>
        <v/>
      </c>
      <c r="L18" s="19">
        <f>F18/K18</f>
        <v/>
      </c>
      <c r="M18" s="16">
        <f>J18-G18</f>
        <v/>
      </c>
      <c r="N18" s="5">
        <f>IF(AND(L18&lt;=DATOS!$B$36,M18&gt;=DATOS!$B$37,I18&lt;=1),"CUMPLE","NO CUMPLE")</f>
        <v/>
      </c>
      <c r="O18" s="5">
        <f>IF(AND(A18&gt;=DATOS!$B$30,A18&lt;DATOS!$B$31),"cruce de camiones",IF(AND(A18&gt;=DATOS!$B$32,A18&lt;DATOS!$B$33),"cruce de motos","tramo normal"))</f>
        <v/>
      </c>
      <c r="P18" s="5">
        <f>E18*1.001</f>
        <v/>
      </c>
      <c r="Q18" s="13" t="n">
        <v>3</v>
      </c>
      <c r="R18" s="5">
        <f>IF((((P18+Q18)/2)+(C18/(D18*((P18+Q18)/2)))^2/(2*9.81)+B18-(G17+H17^2/(2*9.81))-(A17-A18)*(((DATOS!$B$34*(C18/(D18*((P18+Q18)/2)))/((D18*((P18+Q18)/2))/(D18+2*((P18+Q18)/2)))^(2/3))^2+((DATOS!$B$34*H17/((D17*F17)/(D17+2*F17))^(2/3))^2))/2))&gt;0,P18,((P18+Q18)/2))</f>
        <v/>
      </c>
      <c r="S18" s="5">
        <f>IF((((P18+Q18)/2)+(C18/(D18*((P18+Q18)/2)))^2/(2*9.81)+B18-(G17+H17^2/(2*9.81))-(A17-A18)*(((DATOS!$B$34*(C18/(D18*((P18+Q18)/2)))/((D18*((P18+Q18)/2))/(D18+2*((P18+Q18)/2)))^(2/3))^2+((DATOS!$B$34*H17/((D17*F17)/(D17+2*F17))^(2/3))^2))/2))&gt;0,((P18+Q18)/2),Q18)</f>
        <v/>
      </c>
      <c r="T18" s="5">
        <f>IF((((R18+S18)/2)+(C18/(D18*((R18+S18)/2)))^2/(2*9.81)+B18-(G17+H17^2/(2*9.81))-(A17-A18)*(((DATOS!$B$34*(C18/(D18*((R18+S18)/2)))/((D18*((R18+S18)/2))/(D18+2*((R18+S18)/2)))^(2/3))^2+((DATOS!$B$34*H17/((D17*F17)/(D17+2*F17))^(2/3))^2))/2))&gt;0,R18,((R18+S18)/2))</f>
        <v/>
      </c>
      <c r="U18" s="5">
        <f>IF((((R18+S18)/2)+(C18/(D18*((R18+S18)/2)))^2/(2*9.81)+B18-(G17+H17^2/(2*9.81))-(A17-A18)*(((DATOS!$B$34*(C18/(D18*((R18+S18)/2)))/((D18*((R18+S18)/2))/(D18+2*((R18+S18)/2)))^(2/3))^2+((DATOS!$B$34*H17/((D17*F17)/(D17+2*F17))^(2/3))^2))/2))&gt;0,((R18+S18)/2),S18)</f>
        <v/>
      </c>
      <c r="V18" s="5">
        <f>IF((((T18+U18)/2)+(C18/(D18*((T18+U18)/2)))^2/(2*9.81)+B18-(G17+H17^2/(2*9.81))-(A17-A18)*(((DATOS!$B$34*(C18/(D18*((T18+U18)/2)))/((D18*((T18+U18)/2))/(D18+2*((T18+U18)/2)))^(2/3))^2+((DATOS!$B$34*H17/((D17*F17)/(D17+2*F17))^(2/3))^2))/2))&gt;0,T18,((T18+U18)/2))</f>
        <v/>
      </c>
      <c r="W18" s="5">
        <f>IF((((T18+U18)/2)+(C18/(D18*((T18+U18)/2)))^2/(2*9.81)+B18-(G17+H17^2/(2*9.81))-(A17-A18)*(((DATOS!$B$34*(C18/(D18*((T18+U18)/2)))/((D18*((T18+U18)/2))/(D18+2*((T18+U18)/2)))^(2/3))^2+((DATOS!$B$34*H17/((D17*F17)/(D17+2*F17))^(2/3))^2))/2))&gt;0,((T18+U18)/2),U18)</f>
        <v/>
      </c>
      <c r="X18" s="5">
        <f>IF((((V18+W18)/2)+(C18/(D18*((V18+W18)/2)))^2/(2*9.81)+B18-(G17+H17^2/(2*9.81))-(A17-A18)*(((DATOS!$B$34*(C18/(D18*((V18+W18)/2)))/((D18*((V18+W18)/2))/(D18+2*((V18+W18)/2)))^(2/3))^2+((DATOS!$B$34*H17/((D17*F17)/(D17+2*F17))^(2/3))^2))/2))&gt;0,V18,((V18+W18)/2))</f>
        <v/>
      </c>
      <c r="Y18" s="5">
        <f>IF((((V18+W18)/2)+(C18/(D18*((V18+W18)/2)))^2/(2*9.81)+B18-(G17+H17^2/(2*9.81))-(A17-A18)*(((DATOS!$B$34*(C18/(D18*((V18+W18)/2)))/((D18*((V18+W18)/2))/(D18+2*((V18+W18)/2)))^(2/3))^2+((DATOS!$B$34*H17/((D17*F17)/(D17+2*F17))^(2/3))^2))/2))&gt;0,((V18+W18)/2),W18)</f>
        <v/>
      </c>
      <c r="Z18" s="5">
        <f>IF((((X18+Y18)/2)+(C18/(D18*((X18+Y18)/2)))^2/(2*9.81)+B18-(G17+H17^2/(2*9.81))-(A17-A18)*(((DATOS!$B$34*(C18/(D18*((X18+Y18)/2)))/((D18*((X18+Y18)/2))/(D18+2*((X18+Y18)/2)))^(2/3))^2+((DATOS!$B$34*H17/((D17*F17)/(D17+2*F17))^(2/3))^2))/2))&gt;0,X18,((X18+Y18)/2))</f>
        <v/>
      </c>
      <c r="AA18" s="5">
        <f>IF((((X18+Y18)/2)+(C18/(D18*((X18+Y18)/2)))^2/(2*9.81)+B18-(G17+H17^2/(2*9.81))-(A17-A18)*(((DATOS!$B$34*(C18/(D18*((X18+Y18)/2)))/((D18*((X18+Y18)/2))/(D18+2*((X18+Y18)/2)))^(2/3))^2+((DATOS!$B$34*H17/((D17*F17)/(D17+2*F17))^(2/3))^2))/2))&gt;0,((X18+Y18)/2),Y18)</f>
        <v/>
      </c>
      <c r="AB18" s="5">
        <f>IF((((Z18+AA18)/2)+(C18/(D18*((Z18+AA18)/2)))^2/(2*9.81)+B18-(G17+H17^2/(2*9.81))-(A17-A18)*(((DATOS!$B$34*(C18/(D18*((Z18+AA18)/2)))/((D18*((Z18+AA18)/2))/(D18+2*((Z18+AA18)/2)))^(2/3))^2+((DATOS!$B$34*H17/((D17*F17)/(D17+2*F17))^(2/3))^2))/2))&gt;0,Z18,((Z18+AA18)/2))</f>
        <v/>
      </c>
      <c r="AC18" s="5">
        <f>IF((((Z18+AA18)/2)+(C18/(D18*((Z18+AA18)/2)))^2/(2*9.81)+B18-(G17+H17^2/(2*9.81))-(A17-A18)*(((DATOS!$B$34*(C18/(D18*((Z18+AA18)/2)))/((D18*((Z18+AA18)/2))/(D18+2*((Z18+AA18)/2)))^(2/3))^2+((DATOS!$B$34*H17/((D17*F17)/(D17+2*F17))^(2/3))^2))/2))&gt;0,((Z18+AA18)/2),AA18)</f>
        <v/>
      </c>
      <c r="AD18" s="5">
        <f>IF((((AB18+AC18)/2)+(C18/(D18*((AB18+AC18)/2)))^2/(2*9.81)+B18-(G17+H17^2/(2*9.81))-(A17-A18)*(((DATOS!$B$34*(C18/(D18*((AB18+AC18)/2)))/((D18*((AB18+AC18)/2))/(D18+2*((AB18+AC18)/2)))^(2/3))^2+((DATOS!$B$34*H17/((D17*F17)/(D17+2*F17))^(2/3))^2))/2))&gt;0,AB18,((AB18+AC18)/2))</f>
        <v/>
      </c>
      <c r="AE18" s="5">
        <f>IF((((AB18+AC18)/2)+(C18/(D18*((AB18+AC18)/2)))^2/(2*9.81)+B18-(G17+H17^2/(2*9.81))-(A17-A18)*(((DATOS!$B$34*(C18/(D18*((AB18+AC18)/2)))/((D18*((AB18+AC18)/2))/(D18+2*((AB18+AC18)/2)))^(2/3))^2+((DATOS!$B$34*H17/((D17*F17)/(D17+2*F17))^(2/3))^2))/2))&gt;0,((AB18+AC18)/2),AC18)</f>
        <v/>
      </c>
      <c r="AF18" s="5">
        <f>IF((((AD18+AE18)/2)+(C18/(D18*((AD18+AE18)/2)))^2/(2*9.81)+B18-(G17+H17^2/(2*9.81))-(A17-A18)*(((DATOS!$B$34*(C18/(D18*((AD18+AE18)/2)))/((D18*((AD18+AE18)/2))/(D18+2*((AD18+AE18)/2)))^(2/3))^2+((DATOS!$B$34*H17/((D17*F17)/(D17+2*F17))^(2/3))^2))/2))&gt;0,AD18,((AD18+AE18)/2))</f>
        <v/>
      </c>
      <c r="AG18" s="5">
        <f>IF((((AD18+AE18)/2)+(C18/(D18*((AD18+AE18)/2)))^2/(2*9.81)+B18-(G17+H17^2/(2*9.81))-(A17-A18)*(((DATOS!$B$34*(C18/(D18*((AD18+AE18)/2)))/((D18*((AD18+AE18)/2))/(D18+2*((AD18+AE18)/2)))^(2/3))^2+((DATOS!$B$34*H17/((D17*F17)/(D17+2*F17))^(2/3))^2))/2))&gt;0,((AD18+AE18)/2),AE18)</f>
        <v/>
      </c>
      <c r="AH18" s="5">
        <f>IF((((AF18+AG18)/2)+(C18/(D18*((AF18+AG18)/2)))^2/(2*9.81)+B18-(G17+H17^2/(2*9.81))-(A17-A18)*(((DATOS!$B$34*(C18/(D18*((AF18+AG18)/2)))/((D18*((AF18+AG18)/2))/(D18+2*((AF18+AG18)/2)))^(2/3))^2+((DATOS!$B$34*H17/((D17*F17)/(D17+2*F17))^(2/3))^2))/2))&gt;0,AF18,((AF18+AG18)/2))</f>
        <v/>
      </c>
      <c r="AI18" s="5">
        <f>IF((((AF18+AG18)/2)+(C18/(D18*((AF18+AG18)/2)))^2/(2*9.81)+B18-(G17+H17^2/(2*9.81))-(A17-A18)*(((DATOS!$B$34*(C18/(D18*((AF18+AG18)/2)))/((D18*((AF18+AG18)/2))/(D18+2*((AF18+AG18)/2)))^(2/3))^2+((DATOS!$B$34*H17/((D17*F17)/(D17+2*F17))^(2/3))^2))/2))&gt;0,((AF18+AG18)/2),AG18)</f>
        <v/>
      </c>
      <c r="AJ18" s="5">
        <f>IF((((AH18+AI18)/2)+(C18/(D18*((AH18+AI18)/2)))^2/(2*9.81)+B18-(G17+H17^2/(2*9.81))-(A17-A18)*(((DATOS!$B$34*(C18/(D18*((AH18+AI18)/2)))/((D18*((AH18+AI18)/2))/(D18+2*((AH18+AI18)/2)))^(2/3))^2+((DATOS!$B$34*H17/((D17*F17)/(D17+2*F17))^(2/3))^2))/2))&gt;0,AH18,((AH18+AI18)/2))</f>
        <v/>
      </c>
      <c r="AK18" s="5">
        <f>IF((((AH18+AI18)/2)+(C18/(D18*((AH18+AI18)/2)))^2/(2*9.81)+B18-(G17+H17^2/(2*9.81))-(A17-A18)*(((DATOS!$B$34*(C18/(D18*((AH18+AI18)/2)))/((D18*((AH18+AI18)/2))/(D18+2*((AH18+AI18)/2)))^(2/3))^2+((DATOS!$B$34*H17/((D17*F17)/(D17+2*F17))^(2/3))^2))/2))&gt;0,((AH18+AI18)/2),AI18)</f>
        <v/>
      </c>
      <c r="AL18" s="5">
        <f>IF((((AJ18+AK18)/2)+(C18/(D18*((AJ18+AK18)/2)))^2/(2*9.81)+B18-(G17+H17^2/(2*9.81))-(A17-A18)*(((DATOS!$B$34*(C18/(D18*((AJ18+AK18)/2)))/((D18*((AJ18+AK18)/2))/(D18+2*((AJ18+AK18)/2)))^(2/3))^2+((DATOS!$B$34*H17/((D17*F17)/(D17+2*F17))^(2/3))^2))/2))&gt;0,AJ18,((AJ18+AK18)/2))</f>
        <v/>
      </c>
      <c r="AM18" s="5">
        <f>IF((((AJ18+AK18)/2)+(C18/(D18*((AJ18+AK18)/2)))^2/(2*9.81)+B18-(G17+H17^2/(2*9.81))-(A17-A18)*(((DATOS!$B$34*(C18/(D18*((AJ18+AK18)/2)))/((D18*((AJ18+AK18)/2))/(D18+2*((AJ18+AK18)/2)))^(2/3))^2+((DATOS!$B$34*H17/((D17*F17)/(D17+2*F17))^(2/3))^2))/2))&gt;0,((AJ18+AK18)/2),AK18)</f>
        <v/>
      </c>
      <c r="AN18" s="5">
        <f>IF((((AL18+AM18)/2)+(C18/(D18*((AL18+AM18)/2)))^2/(2*9.81)+B18-(G17+H17^2/(2*9.81))-(A17-A18)*(((DATOS!$B$34*(C18/(D18*((AL18+AM18)/2)))/((D18*((AL18+AM18)/2))/(D18+2*((AL18+AM18)/2)))^(2/3))^2+((DATOS!$B$34*H17/((D17*F17)/(D17+2*F17))^(2/3))^2))/2))&gt;0,AL18,((AL18+AM18)/2))</f>
        <v/>
      </c>
      <c r="AO18" s="5">
        <f>IF((((AL18+AM18)/2)+(C18/(D18*((AL18+AM18)/2)))^2/(2*9.81)+B18-(G17+H17^2/(2*9.81))-(A17-A18)*(((DATOS!$B$34*(C18/(D18*((AL18+AM18)/2)))/((D18*((AL18+AM18)/2))/(D18+2*((AL18+AM18)/2)))^(2/3))^2+((DATOS!$B$34*H17/((D17*F17)/(D17+2*F17))^(2/3))^2))/2))&gt;0,((AL18+AM18)/2),AM18)</f>
        <v/>
      </c>
      <c r="AP18" s="5">
        <f>IF((((AN18+AO18)/2)+(C18/(D18*((AN18+AO18)/2)))^2/(2*9.81)+B18-(G17+H17^2/(2*9.81))-(A17-A18)*(((DATOS!$B$34*(C18/(D18*((AN18+AO18)/2)))/((D18*((AN18+AO18)/2))/(D18+2*((AN18+AO18)/2)))^(2/3))^2+((DATOS!$B$34*H17/((D17*F17)/(D17+2*F17))^(2/3))^2))/2))&gt;0,AN18,((AN18+AO18)/2))</f>
        <v/>
      </c>
      <c r="AQ18" s="5">
        <f>IF((((AN18+AO18)/2)+(C18/(D18*((AN18+AO18)/2)))^2/(2*9.81)+B18-(G17+H17^2/(2*9.81))-(A17-A18)*(((DATOS!$B$34*(C18/(D18*((AN18+AO18)/2)))/((D18*((AN18+AO18)/2))/(D18+2*((AN18+AO18)/2)))^(2/3))^2+((DATOS!$B$34*H17/((D17*F17)/(D17+2*F17))^(2/3))^2))/2))&gt;0,((AN18+AO18)/2),AO18)</f>
        <v/>
      </c>
      <c r="AR18" s="5">
        <f>IF((((AP18+AQ18)/2)+(C18/(D18*((AP18+AQ18)/2)))^2/(2*9.81)+B18-(G17+H17^2/(2*9.81))-(A17-A18)*(((DATOS!$B$34*(C18/(D18*((AP18+AQ18)/2)))/((D18*((AP18+AQ18)/2))/(D18+2*((AP18+AQ18)/2)))^(2/3))^2+((DATOS!$B$34*H17/((D17*F17)/(D17+2*F17))^(2/3))^2))/2))&gt;0,AP18,((AP18+AQ18)/2))</f>
        <v/>
      </c>
      <c r="AS18" s="5">
        <f>IF((((AP18+AQ18)/2)+(C18/(D18*((AP18+AQ18)/2)))^2/(2*9.81)+B18-(G17+H17^2/(2*9.81))-(A17-A18)*(((DATOS!$B$34*(C18/(D18*((AP18+AQ18)/2)))/((D18*((AP18+AQ18)/2))/(D18+2*((AP18+AQ18)/2)))^(2/3))^2+((DATOS!$B$34*H17/((D17*F17)/(D17+2*F17))^(2/3))^2))/2))&gt;0,((AP18+AQ18)/2),AQ18)</f>
        <v/>
      </c>
      <c r="AT18" s="5">
        <f>IF((((AR18+AS18)/2)+(C18/(D18*((AR18+AS18)/2)))^2/(2*9.81)+B18-(G17+H17^2/(2*9.81))-(A17-A18)*(((DATOS!$B$34*(C18/(D18*((AR18+AS18)/2)))/((D18*((AR18+AS18)/2))/(D18+2*((AR18+AS18)/2)))^(2/3))^2+((DATOS!$B$34*H17/((D17*F17)/(D17+2*F17))^(2/3))^2))/2))&gt;0,AR18,((AR18+AS18)/2))</f>
        <v/>
      </c>
      <c r="AU18" s="5">
        <f>IF((((AR18+AS18)/2)+(C18/(D18*((AR18+AS18)/2)))^2/(2*9.81)+B18-(G17+H17^2/(2*9.81))-(A17-A18)*(((DATOS!$B$34*(C18/(D18*((AR18+AS18)/2)))/((D18*((AR18+AS18)/2))/(D18+2*((AR18+AS18)/2)))^(2/3))^2+((DATOS!$B$34*H17/((D17*F17)/(D17+2*F17))^(2/3))^2))/2))&gt;0,((AR18+AS18)/2),AS18)</f>
        <v/>
      </c>
      <c r="AV18" s="5">
        <f>IF((((AT18+AU18)/2)+(C18/(D18*((AT18+AU18)/2)))^2/(2*9.81)+B18-(G17+H17^2/(2*9.81))-(A17-A18)*(((DATOS!$B$34*(C18/(D18*((AT18+AU18)/2)))/((D18*((AT18+AU18)/2))/(D18+2*((AT18+AU18)/2)))^(2/3))^2+((DATOS!$B$34*H17/((D17*F17)/(D17+2*F17))^(2/3))^2))/2))&gt;0,AT18,((AT18+AU18)/2))</f>
        <v/>
      </c>
      <c r="AW18" s="5">
        <f>IF((((AT18+AU18)/2)+(C18/(D18*((AT18+AU18)/2)))^2/(2*9.81)+B18-(G17+H17^2/(2*9.81))-(A17-A18)*(((DATOS!$B$34*(C18/(D18*((AT18+AU18)/2)))/((D18*((AT18+AU18)/2))/(D18+2*((AT18+AU18)/2)))^(2/3))^2+((DATOS!$B$34*H17/((D17*F17)/(D17+2*F17))^(2/3))^2))/2))&gt;0,((AT18+AU18)/2),AU18)</f>
        <v/>
      </c>
      <c r="AX18" s="5">
        <f>IF((((AV18+AW18)/2)+(C18/(D18*((AV18+AW18)/2)))^2/(2*9.81)+B18-(G17+H17^2/(2*9.81))-(A17-A18)*(((DATOS!$B$34*(C18/(D18*((AV18+AW18)/2)))/((D18*((AV18+AW18)/2))/(D18+2*((AV18+AW18)/2)))^(2/3))^2+((DATOS!$B$34*H17/((D17*F17)/(D17+2*F17))^(2/3))^2))/2))&gt;0,AV18,((AV18+AW18)/2))</f>
        <v/>
      </c>
      <c r="AY18" s="5">
        <f>IF((((AV18+AW18)/2)+(C18/(D18*((AV18+AW18)/2)))^2/(2*9.81)+B18-(G17+H17^2/(2*9.81))-(A17-A18)*(((DATOS!$B$34*(C18/(D18*((AV18+AW18)/2)))/((D18*((AV18+AW18)/2))/(D18+2*((AV18+AW18)/2)))^(2/3))^2+((DATOS!$B$34*H17/((D17*F17)/(D17+2*F17))^(2/3))^2))/2))&gt;0,((AV18+AW18)/2),AW18)</f>
        <v/>
      </c>
      <c r="AZ18" s="5">
        <f>IF((((AX18+AY18)/2)+(C18/(D18*((AX18+AY18)/2)))^2/(2*9.81)+B18-(G17+H17^2/(2*9.81))-(A17-A18)*(((DATOS!$B$34*(C18/(D18*((AX18+AY18)/2)))/((D18*((AX18+AY18)/2))/(D18+2*((AX18+AY18)/2)))^(2/3))^2+((DATOS!$B$34*H17/((D17*F17)/(D17+2*F17))^(2/3))^2))/2))&gt;0,AX18,((AX18+AY18)/2))</f>
        <v/>
      </c>
      <c r="BA18" s="5">
        <f>IF((((AX18+AY18)/2)+(C18/(D18*((AX18+AY18)/2)))^2/(2*9.81)+B18-(G17+H17^2/(2*9.81))-(A17-A18)*(((DATOS!$B$34*(C18/(D18*((AX18+AY18)/2)))/((D18*((AX18+AY18)/2))/(D18+2*((AX18+AY18)/2)))^(2/3))^2+((DATOS!$B$34*H17/((D17*F17)/(D17+2*F17))^(2/3))^2))/2))&gt;0,((AX18+AY18)/2),AY18)</f>
        <v/>
      </c>
      <c r="BB18" s="5">
        <f>IF((((AZ18+BA18)/2)+(C18/(D18*((AZ18+BA18)/2)))^2/(2*9.81)+B18-(G17+H17^2/(2*9.81))-(A17-A18)*(((DATOS!$B$34*(C18/(D18*((AZ18+BA18)/2)))/((D18*((AZ18+BA18)/2))/(D18+2*((AZ18+BA18)/2)))^(2/3))^2+((DATOS!$B$34*H17/((D17*F17)/(D17+2*F17))^(2/3))^2))/2))&gt;0,AZ18,((AZ18+BA18)/2))</f>
        <v/>
      </c>
      <c r="BC18" s="5">
        <f>IF((((AZ18+BA18)/2)+(C18/(D18*((AZ18+BA18)/2)))^2/(2*9.81)+B18-(G17+H17^2/(2*9.81))-(A17-A18)*(((DATOS!$B$34*(C18/(D18*((AZ18+BA18)/2)))/((D18*((AZ18+BA18)/2))/(D18+2*((AZ18+BA18)/2)))^(2/3))^2+((DATOS!$B$34*H17/((D17*F17)/(D17+2*F17))^(2/3))^2))/2))&gt;0,((AZ18+BA18)/2),BA18)</f>
        <v/>
      </c>
      <c r="BD18" s="5">
        <f>IF((((BB18+BC18)/2)+(C18/(D18*((BB18+BC18)/2)))^2/(2*9.81)+B18-(G17+H17^2/(2*9.81))-(A17-A18)*(((DATOS!$B$34*(C18/(D18*((BB18+BC18)/2)))/((D18*((BB18+BC18)/2))/(D18+2*((BB18+BC18)/2)))^(2/3))^2+((DATOS!$B$34*H17/((D17*F17)/(D17+2*F17))^(2/3))^2))/2))&gt;0,BB18,((BB18+BC18)/2))</f>
        <v/>
      </c>
      <c r="BE18" s="5">
        <f>IF((((BB18+BC18)/2)+(C18/(D18*((BB18+BC18)/2)))^2/(2*9.81)+B18-(G17+H17^2/(2*9.81))-(A17-A18)*(((DATOS!$B$34*(C18/(D18*((BB18+BC18)/2)))/((D18*((BB18+BC18)/2))/(D18+2*((BB18+BC18)/2)))^(2/3))^2+((DATOS!$B$34*H17/((D17*F17)/(D17+2*F17))^(2/3))^2))/2))&gt;0,((BB18+BC18)/2),BC18)</f>
        <v/>
      </c>
      <c r="BF18" s="5">
        <f>IF((((BD18+BE18)/2)+(C18/(D18*((BD18+BE18)/2)))^2/(2*9.81)+B18-(G17+H17^2/(2*9.81))-(A17-A18)*(((DATOS!$B$34*(C18/(D18*((BD18+BE18)/2)))/((D18*((BD18+BE18)/2))/(D18+2*((BD18+BE18)/2)))^(2/3))^2+((DATOS!$B$34*H17/((D17*F17)/(D17+2*F17))^(2/3))^2))/2))&gt;0,BD18,((BD18+BE18)/2))</f>
        <v/>
      </c>
      <c r="BG18" s="5">
        <f>IF((((BD18+BE18)/2)+(C18/(D18*((BD18+BE18)/2)))^2/(2*9.81)+B18-(G17+H17^2/(2*9.81))-(A17-A18)*(((DATOS!$B$34*(C18/(D18*((BD18+BE18)/2)))/((D18*((BD18+BE18)/2))/(D18+2*((BD18+BE18)/2)))^(2/3))^2+((DATOS!$B$34*H17/((D17*F17)/(D17+2*F17))^(2/3))^2))/2))&gt;0,((BD18+BE18)/2),BE18)</f>
        <v/>
      </c>
      <c r="BH18" s="5">
        <f>IF((((BF18+BG18)/2)+(C18/(D18*((BF18+BG18)/2)))^2/(2*9.81)+B18-(G17+H17^2/(2*9.81))-(A17-A18)*(((DATOS!$B$34*(C18/(D18*((BF18+BG18)/2)))/((D18*((BF18+BG18)/2))/(D18+2*((BF18+BG18)/2)))^(2/3))^2+((DATOS!$B$34*H17/((D17*F17)/(D17+2*F17))^(2/3))^2))/2))&gt;0,BF18,((BF18+BG18)/2))</f>
        <v/>
      </c>
      <c r="BI18" s="5">
        <f>IF((((BF18+BG18)/2)+(C18/(D18*((BF18+BG18)/2)))^2/(2*9.81)+B18-(G17+H17^2/(2*9.81))-(A17-A18)*(((DATOS!$B$34*(C18/(D18*((BF18+BG18)/2)))/((D18*((BF18+BG18)/2))/(D18+2*((BF18+BG18)/2)))^(2/3))^2+((DATOS!$B$34*H17/((D17*F17)/(D17+2*F17))^(2/3))^2))/2))&gt;0,((BF18+BG18)/2),BG18)</f>
        <v/>
      </c>
      <c r="BJ18" s="5">
        <f>IF((((BH18+BI18)/2)+(C18/(D18*((BH18+BI18)/2)))^2/(2*9.81)+B18-(G17+H17^2/(2*9.81))-(A17-A18)*(((DATOS!$B$34*(C18/(D18*((BH18+BI18)/2)))/((D18*((BH18+BI18)/2))/(D18+2*((BH18+BI18)/2)))^(2/3))^2+((DATOS!$B$34*H17/((D17*F17)/(D17+2*F17))^(2/3))^2))/2))&gt;0,BH18,((BH18+BI18)/2))</f>
        <v/>
      </c>
      <c r="BK18" s="5">
        <f>IF((((BH18+BI18)/2)+(C18/(D18*((BH18+BI18)/2)))^2/(2*9.81)+B18-(G17+H17^2/(2*9.81))-(A17-A18)*(((DATOS!$B$34*(C18/(D18*((BH18+BI18)/2)))/((D18*((BH18+BI18)/2))/(D18+2*((BH18+BI18)/2)))^(2/3))^2+((DATOS!$B$34*H17/((D17*F17)/(D17+2*F17))^(2/3))^2))/2))&gt;0,((BH18+BI18)/2),BI18)</f>
        <v/>
      </c>
      <c r="BL18" s="5">
        <f>IF((((BJ18+BK18)/2)+(C18/(D18*((BJ18+BK18)/2)))^2/(2*9.81)+B18-(G17+H17^2/(2*9.81))-(A17-A18)*(((DATOS!$B$34*(C18/(D18*((BJ18+BK18)/2)))/((D18*((BJ18+BK18)/2))/(D18+2*((BJ18+BK18)/2)))^(2/3))^2+((DATOS!$B$34*H17/((D17*F17)/(D17+2*F17))^(2/3))^2))/2))&gt;0,BJ18,((BJ18+BK18)/2))</f>
        <v/>
      </c>
      <c r="BM18" s="5">
        <f>IF((((BJ18+BK18)/2)+(C18/(D18*((BJ18+BK18)/2)))^2/(2*9.81)+B18-(G17+H17^2/(2*9.81))-(A17-A18)*(((DATOS!$B$34*(C18/(D18*((BJ18+BK18)/2)))/((D18*((BJ18+BK18)/2))/(D18+2*((BJ18+BK18)/2)))^(2/3))^2+((DATOS!$B$34*H17/((D17*F17)/(D17+2*F17))^(2/3))^2))/2))&gt;0,((BJ18+BK18)/2),BK18)</f>
        <v/>
      </c>
      <c r="BN18" s="5">
        <f>IF((((BL18+BM18)/2)+(C18/(D18*((BL18+BM18)/2)))^2/(2*9.81)+B18-(G17+H17^2/(2*9.81))-(A17-A18)*(((DATOS!$B$34*(C18/(D18*((BL18+BM18)/2)))/((D18*((BL18+BM18)/2))/(D18+2*((BL18+BM18)/2)))^(2/3))^2+((DATOS!$B$34*H17/((D17*F17)/(D17+2*F17))^(2/3))^2))/2))&gt;0,BL18,((BL18+BM18)/2))</f>
        <v/>
      </c>
      <c r="BO18" s="5">
        <f>IF((((BL18+BM18)/2)+(C18/(D18*((BL18+BM18)/2)))^2/(2*9.81)+B18-(G17+H17^2/(2*9.81))-(A17-A18)*(((DATOS!$B$34*(C18/(D18*((BL18+BM18)/2)))/((D18*((BL18+BM18)/2))/(D18+2*((BL18+BM18)/2)))^(2/3))^2+((DATOS!$B$34*H17/((D17*F17)/(D17+2*F17))^(2/3))^2))/2))&gt;0,((BL18+BM18)/2),BM18)</f>
        <v/>
      </c>
      <c r="BP18" s="5">
        <f>IF((((BN18+BO18)/2)+(C18/(D18*((BN18+BO18)/2)))^2/(2*9.81)+B18-(G17+H17^2/(2*9.81))-(A17-A18)*(((DATOS!$B$34*(C18/(D18*((BN18+BO18)/2)))/((D18*((BN18+BO18)/2))/(D18+2*((BN18+BO18)/2)))^(2/3))^2+((DATOS!$B$34*H17/((D17*F17)/(D17+2*F17))^(2/3))^2))/2))&gt;0,BN18,((BN18+BO18)/2))</f>
        <v/>
      </c>
      <c r="BQ18" s="5">
        <f>IF((((BN18+BO18)/2)+(C18/(D18*((BN18+BO18)/2)))^2/(2*9.81)+B18-(G17+H17^2/(2*9.81))-(A17-A18)*(((DATOS!$B$34*(C18/(D18*((BN18+BO18)/2)))/((D18*((BN18+BO18)/2))/(D18+2*((BN18+BO18)/2)))^(2/3))^2+((DATOS!$B$34*H17/((D17*F17)/(D17+2*F17))^(2/3))^2))/2))&gt;0,((BN18+BO18)/2),BO18)</f>
        <v/>
      </c>
      <c r="BR18" s="5">
        <f>IF((((BP18+BQ18)/2)+(C18/(D18*((BP18+BQ18)/2)))^2/(2*9.81)+B18-(G17+H17^2/(2*9.81))-(A17-A18)*(((DATOS!$B$34*(C18/(D18*((BP18+BQ18)/2)))/((D18*((BP18+BQ18)/2))/(D18+2*((BP18+BQ18)/2)))^(2/3))^2+((DATOS!$B$34*H17/((D17*F17)/(D17+2*F17))^(2/3))^2))/2))&gt;0,BP18,((BP18+BQ18)/2))</f>
        <v/>
      </c>
      <c r="BS18" s="5">
        <f>IF((((BP18+BQ18)/2)+(C18/(D18*((BP18+BQ18)/2)))^2/(2*9.81)+B18-(G17+H17^2/(2*9.81))-(A17-A18)*(((DATOS!$B$34*(C18/(D18*((BP18+BQ18)/2)))/((D18*((BP18+BQ18)/2))/(D18+2*((BP18+BQ18)/2)))^(2/3))^2+((DATOS!$B$34*H17/((D17*F17)/(D17+2*F17))^(2/3))^2))/2))&gt;0,((BP18+BQ18)/2),BQ18)</f>
        <v/>
      </c>
      <c r="BT18" s="5">
        <f>IF((((BR18+BS18)/2)+(C18/(D18*((BR18+BS18)/2)))^2/(2*9.81)+B18-(G17+H17^2/(2*9.81))-(A17-A18)*(((DATOS!$B$34*(C18/(D18*((BR18+BS18)/2)))/((D18*((BR18+BS18)/2))/(D18+2*((BR18+BS18)/2)))^(2/3))^2+((DATOS!$B$34*H17/((D17*F17)/(D17+2*F17))^(2/3))^2))/2))&gt;0,BR18,((BR18+BS18)/2))</f>
        <v/>
      </c>
      <c r="BU18" s="5">
        <f>IF((((BR18+BS18)/2)+(C18/(D18*((BR18+BS18)/2)))^2/(2*9.81)+B18-(G17+H17^2/(2*9.81))-(A17-A18)*(((DATOS!$B$34*(C18/(D18*((BR18+BS18)/2)))/((D18*((BR18+BS18)/2))/(D18+2*((BR18+BS18)/2)))^(2/3))^2+((DATOS!$B$34*H17/((D17*F17)/(D17+2*F17))^(2/3))^2))/2))&gt;0,((BR18+BS18)/2),BS18)</f>
        <v/>
      </c>
      <c r="BV18" s="5">
        <f>IF((((BT18+BU18)/2)+(C18/(D18*((BT18+BU18)/2)))^2/(2*9.81)+B18-(G17+H17^2/(2*9.81))-(A17-A18)*(((DATOS!$B$34*(C18/(D18*((BT18+BU18)/2)))/((D18*((BT18+BU18)/2))/(D18+2*((BT18+BU18)/2)))^(2/3))^2+((DATOS!$B$34*H17/((D17*F17)/(D17+2*F17))^(2/3))^2))/2))&gt;0,BT18,((BT18+BU18)/2))</f>
        <v/>
      </c>
      <c r="BW18" s="5">
        <f>IF((((BT18+BU18)/2)+(C18/(D18*((BT18+BU18)/2)))^2/(2*9.81)+B18-(G17+H17^2/(2*9.81))-(A17-A18)*(((DATOS!$B$34*(C18/(D18*((BT18+BU18)/2)))/((D18*((BT18+BU18)/2))/(D18+2*((BT18+BU18)/2)))^(2/3))^2+((DATOS!$B$34*H17/((D17*F17)/(D17+2*F17))^(2/3))^2))/2))&gt;0,((BT18+BU18)/2),BU18)</f>
        <v/>
      </c>
    </row>
    <row r="19">
      <c r="A19" s="13" t="n">
        <v>60.89</v>
      </c>
      <c r="B19" s="16">
        <f>DATOS!$B$22-DATOS!$B$23*A19</f>
        <v/>
      </c>
      <c r="C19" s="24">
        <f>CAUDALES!$B$13</f>
        <v/>
      </c>
      <c r="D19" s="17">
        <f>DATOS!$B$17</f>
        <v/>
      </c>
      <c r="E19" s="16">
        <f>(C19^2/(9.81*D19^2))^(1/3)</f>
        <v/>
      </c>
      <c r="F19" s="16">
        <f>(BV19+BW19)/2</f>
        <v/>
      </c>
      <c r="G19" s="16">
        <f>B19+F19</f>
        <v/>
      </c>
      <c r="H19" s="19">
        <f>C19/(D19*F19)</f>
        <v/>
      </c>
      <c r="I19" s="19">
        <f>H19/SQRT(9.81*F19)</f>
        <v/>
      </c>
      <c r="J19" s="16">
        <f>DATOS!$B$29-IF(AND(A19&gt;=DATOS!$B$30,A19&lt;DATOS!$B$31),DATOS!$B$21,DATOS!$B$20)</f>
        <v/>
      </c>
      <c r="K19" s="19">
        <f>J19-B19</f>
        <v/>
      </c>
      <c r="L19" s="19">
        <f>F19/K19</f>
        <v/>
      </c>
      <c r="M19" s="16">
        <f>J19-G19</f>
        <v/>
      </c>
      <c r="N19" s="5">
        <f>IF(AND(L19&lt;=DATOS!$B$36,M19&gt;=DATOS!$B$37,I19&lt;=1),"CUMPLE","NO CUMPLE")</f>
        <v/>
      </c>
      <c r="O19" s="5">
        <f>IF(AND(A19&gt;=DATOS!$B$30,A19&lt;DATOS!$B$31),"cruce de camiones",IF(AND(A19&gt;=DATOS!$B$32,A19&lt;DATOS!$B$33),"cruce de motos","tramo normal"))</f>
        <v/>
      </c>
      <c r="P19" s="5">
        <f>E19*1.001</f>
        <v/>
      </c>
      <c r="Q19" s="13" t="n">
        <v>3</v>
      </c>
      <c r="R19" s="5">
        <f>IF((((P19+Q19)/2)+(C19/(D19*((P19+Q19)/2)))^2/(2*9.81)+B19-(G18+H18^2/(2*9.81))-(A18-A19)*(((DATOS!$B$34*(C19/(D19*((P19+Q19)/2)))/((D19*((P19+Q19)/2))/(D19+2*((P19+Q19)/2)))^(2/3))^2+((DATOS!$B$34*H18/((D18*F18)/(D18+2*F18))^(2/3))^2))/2))&gt;0,P19,((P19+Q19)/2))</f>
        <v/>
      </c>
      <c r="S19" s="5">
        <f>IF((((P19+Q19)/2)+(C19/(D19*((P19+Q19)/2)))^2/(2*9.81)+B19-(G18+H18^2/(2*9.81))-(A18-A19)*(((DATOS!$B$34*(C19/(D19*((P19+Q19)/2)))/((D19*((P19+Q19)/2))/(D19+2*((P19+Q19)/2)))^(2/3))^2+((DATOS!$B$34*H18/((D18*F18)/(D18+2*F18))^(2/3))^2))/2))&gt;0,((P19+Q19)/2),Q19)</f>
        <v/>
      </c>
      <c r="T19" s="5">
        <f>IF((((R19+S19)/2)+(C19/(D19*((R19+S19)/2)))^2/(2*9.81)+B19-(G18+H18^2/(2*9.81))-(A18-A19)*(((DATOS!$B$34*(C19/(D19*((R19+S19)/2)))/((D19*((R19+S19)/2))/(D19+2*((R19+S19)/2)))^(2/3))^2+((DATOS!$B$34*H18/((D18*F18)/(D18+2*F18))^(2/3))^2))/2))&gt;0,R19,((R19+S19)/2))</f>
        <v/>
      </c>
      <c r="U19" s="5">
        <f>IF((((R19+S19)/2)+(C19/(D19*((R19+S19)/2)))^2/(2*9.81)+B19-(G18+H18^2/(2*9.81))-(A18-A19)*(((DATOS!$B$34*(C19/(D19*((R19+S19)/2)))/((D19*((R19+S19)/2))/(D19+2*((R19+S19)/2)))^(2/3))^2+((DATOS!$B$34*H18/((D18*F18)/(D18+2*F18))^(2/3))^2))/2))&gt;0,((R19+S19)/2),S19)</f>
        <v/>
      </c>
      <c r="V19" s="5">
        <f>IF((((T19+U19)/2)+(C19/(D19*((T19+U19)/2)))^2/(2*9.81)+B19-(G18+H18^2/(2*9.81))-(A18-A19)*(((DATOS!$B$34*(C19/(D19*((T19+U19)/2)))/((D19*((T19+U19)/2))/(D19+2*((T19+U19)/2)))^(2/3))^2+((DATOS!$B$34*H18/((D18*F18)/(D18+2*F18))^(2/3))^2))/2))&gt;0,T19,((T19+U19)/2))</f>
        <v/>
      </c>
      <c r="W19" s="5">
        <f>IF((((T19+U19)/2)+(C19/(D19*((T19+U19)/2)))^2/(2*9.81)+B19-(G18+H18^2/(2*9.81))-(A18-A19)*(((DATOS!$B$34*(C19/(D19*((T19+U19)/2)))/((D19*((T19+U19)/2))/(D19+2*((T19+U19)/2)))^(2/3))^2+((DATOS!$B$34*H18/((D18*F18)/(D18+2*F18))^(2/3))^2))/2))&gt;0,((T19+U19)/2),U19)</f>
        <v/>
      </c>
      <c r="X19" s="5">
        <f>IF((((V19+W19)/2)+(C19/(D19*((V19+W19)/2)))^2/(2*9.81)+B19-(G18+H18^2/(2*9.81))-(A18-A19)*(((DATOS!$B$34*(C19/(D19*((V19+W19)/2)))/((D19*((V19+W19)/2))/(D19+2*((V19+W19)/2)))^(2/3))^2+((DATOS!$B$34*H18/((D18*F18)/(D18+2*F18))^(2/3))^2))/2))&gt;0,V19,((V19+W19)/2))</f>
        <v/>
      </c>
      <c r="Y19" s="5">
        <f>IF((((V19+W19)/2)+(C19/(D19*((V19+W19)/2)))^2/(2*9.81)+B19-(G18+H18^2/(2*9.81))-(A18-A19)*(((DATOS!$B$34*(C19/(D19*((V19+W19)/2)))/((D19*((V19+W19)/2))/(D19+2*((V19+W19)/2)))^(2/3))^2+((DATOS!$B$34*H18/((D18*F18)/(D18+2*F18))^(2/3))^2))/2))&gt;0,((V19+W19)/2),W19)</f>
        <v/>
      </c>
      <c r="Z19" s="5">
        <f>IF((((X19+Y19)/2)+(C19/(D19*((X19+Y19)/2)))^2/(2*9.81)+B19-(G18+H18^2/(2*9.81))-(A18-A19)*(((DATOS!$B$34*(C19/(D19*((X19+Y19)/2)))/((D19*((X19+Y19)/2))/(D19+2*((X19+Y19)/2)))^(2/3))^2+((DATOS!$B$34*H18/((D18*F18)/(D18+2*F18))^(2/3))^2))/2))&gt;0,X19,((X19+Y19)/2))</f>
        <v/>
      </c>
      <c r="AA19" s="5">
        <f>IF((((X19+Y19)/2)+(C19/(D19*((X19+Y19)/2)))^2/(2*9.81)+B19-(G18+H18^2/(2*9.81))-(A18-A19)*(((DATOS!$B$34*(C19/(D19*((X19+Y19)/2)))/((D19*((X19+Y19)/2))/(D19+2*((X19+Y19)/2)))^(2/3))^2+((DATOS!$B$34*H18/((D18*F18)/(D18+2*F18))^(2/3))^2))/2))&gt;0,((X19+Y19)/2),Y19)</f>
        <v/>
      </c>
      <c r="AB19" s="5">
        <f>IF((((Z19+AA19)/2)+(C19/(D19*((Z19+AA19)/2)))^2/(2*9.81)+B19-(G18+H18^2/(2*9.81))-(A18-A19)*(((DATOS!$B$34*(C19/(D19*((Z19+AA19)/2)))/((D19*((Z19+AA19)/2))/(D19+2*((Z19+AA19)/2)))^(2/3))^2+((DATOS!$B$34*H18/((D18*F18)/(D18+2*F18))^(2/3))^2))/2))&gt;0,Z19,((Z19+AA19)/2))</f>
        <v/>
      </c>
      <c r="AC19" s="5">
        <f>IF((((Z19+AA19)/2)+(C19/(D19*((Z19+AA19)/2)))^2/(2*9.81)+B19-(G18+H18^2/(2*9.81))-(A18-A19)*(((DATOS!$B$34*(C19/(D19*((Z19+AA19)/2)))/((D19*((Z19+AA19)/2))/(D19+2*((Z19+AA19)/2)))^(2/3))^2+((DATOS!$B$34*H18/((D18*F18)/(D18+2*F18))^(2/3))^2))/2))&gt;0,((Z19+AA19)/2),AA19)</f>
        <v/>
      </c>
      <c r="AD19" s="5">
        <f>IF((((AB19+AC19)/2)+(C19/(D19*((AB19+AC19)/2)))^2/(2*9.81)+B19-(G18+H18^2/(2*9.81))-(A18-A19)*(((DATOS!$B$34*(C19/(D19*((AB19+AC19)/2)))/((D19*((AB19+AC19)/2))/(D19+2*((AB19+AC19)/2)))^(2/3))^2+((DATOS!$B$34*H18/((D18*F18)/(D18+2*F18))^(2/3))^2))/2))&gt;0,AB19,((AB19+AC19)/2))</f>
        <v/>
      </c>
      <c r="AE19" s="5">
        <f>IF((((AB19+AC19)/2)+(C19/(D19*((AB19+AC19)/2)))^2/(2*9.81)+B19-(G18+H18^2/(2*9.81))-(A18-A19)*(((DATOS!$B$34*(C19/(D19*((AB19+AC19)/2)))/((D19*((AB19+AC19)/2))/(D19+2*((AB19+AC19)/2)))^(2/3))^2+((DATOS!$B$34*H18/((D18*F18)/(D18+2*F18))^(2/3))^2))/2))&gt;0,((AB19+AC19)/2),AC19)</f>
        <v/>
      </c>
      <c r="AF19" s="5">
        <f>IF((((AD19+AE19)/2)+(C19/(D19*((AD19+AE19)/2)))^2/(2*9.81)+B19-(G18+H18^2/(2*9.81))-(A18-A19)*(((DATOS!$B$34*(C19/(D19*((AD19+AE19)/2)))/((D19*((AD19+AE19)/2))/(D19+2*((AD19+AE19)/2)))^(2/3))^2+((DATOS!$B$34*H18/((D18*F18)/(D18+2*F18))^(2/3))^2))/2))&gt;0,AD19,((AD19+AE19)/2))</f>
        <v/>
      </c>
      <c r="AG19" s="5">
        <f>IF((((AD19+AE19)/2)+(C19/(D19*((AD19+AE19)/2)))^2/(2*9.81)+B19-(G18+H18^2/(2*9.81))-(A18-A19)*(((DATOS!$B$34*(C19/(D19*((AD19+AE19)/2)))/((D19*((AD19+AE19)/2))/(D19+2*((AD19+AE19)/2)))^(2/3))^2+((DATOS!$B$34*H18/((D18*F18)/(D18+2*F18))^(2/3))^2))/2))&gt;0,((AD19+AE19)/2),AE19)</f>
        <v/>
      </c>
      <c r="AH19" s="5">
        <f>IF((((AF19+AG19)/2)+(C19/(D19*((AF19+AG19)/2)))^2/(2*9.81)+B19-(G18+H18^2/(2*9.81))-(A18-A19)*(((DATOS!$B$34*(C19/(D19*((AF19+AG19)/2)))/((D19*((AF19+AG19)/2))/(D19+2*((AF19+AG19)/2)))^(2/3))^2+((DATOS!$B$34*H18/((D18*F18)/(D18+2*F18))^(2/3))^2))/2))&gt;0,AF19,((AF19+AG19)/2))</f>
        <v/>
      </c>
      <c r="AI19" s="5">
        <f>IF((((AF19+AG19)/2)+(C19/(D19*((AF19+AG19)/2)))^2/(2*9.81)+B19-(G18+H18^2/(2*9.81))-(A18-A19)*(((DATOS!$B$34*(C19/(D19*((AF19+AG19)/2)))/((D19*((AF19+AG19)/2))/(D19+2*((AF19+AG19)/2)))^(2/3))^2+((DATOS!$B$34*H18/((D18*F18)/(D18+2*F18))^(2/3))^2))/2))&gt;0,((AF19+AG19)/2),AG19)</f>
        <v/>
      </c>
      <c r="AJ19" s="5">
        <f>IF((((AH19+AI19)/2)+(C19/(D19*((AH19+AI19)/2)))^2/(2*9.81)+B19-(G18+H18^2/(2*9.81))-(A18-A19)*(((DATOS!$B$34*(C19/(D19*((AH19+AI19)/2)))/((D19*((AH19+AI19)/2))/(D19+2*((AH19+AI19)/2)))^(2/3))^2+((DATOS!$B$34*H18/((D18*F18)/(D18+2*F18))^(2/3))^2))/2))&gt;0,AH19,((AH19+AI19)/2))</f>
        <v/>
      </c>
      <c r="AK19" s="5">
        <f>IF((((AH19+AI19)/2)+(C19/(D19*((AH19+AI19)/2)))^2/(2*9.81)+B19-(G18+H18^2/(2*9.81))-(A18-A19)*(((DATOS!$B$34*(C19/(D19*((AH19+AI19)/2)))/((D19*((AH19+AI19)/2))/(D19+2*((AH19+AI19)/2)))^(2/3))^2+((DATOS!$B$34*H18/((D18*F18)/(D18+2*F18))^(2/3))^2))/2))&gt;0,((AH19+AI19)/2),AI19)</f>
        <v/>
      </c>
      <c r="AL19" s="5">
        <f>IF((((AJ19+AK19)/2)+(C19/(D19*((AJ19+AK19)/2)))^2/(2*9.81)+B19-(G18+H18^2/(2*9.81))-(A18-A19)*(((DATOS!$B$34*(C19/(D19*((AJ19+AK19)/2)))/((D19*((AJ19+AK19)/2))/(D19+2*((AJ19+AK19)/2)))^(2/3))^2+((DATOS!$B$34*H18/((D18*F18)/(D18+2*F18))^(2/3))^2))/2))&gt;0,AJ19,((AJ19+AK19)/2))</f>
        <v/>
      </c>
      <c r="AM19" s="5">
        <f>IF((((AJ19+AK19)/2)+(C19/(D19*((AJ19+AK19)/2)))^2/(2*9.81)+B19-(G18+H18^2/(2*9.81))-(A18-A19)*(((DATOS!$B$34*(C19/(D19*((AJ19+AK19)/2)))/((D19*((AJ19+AK19)/2))/(D19+2*((AJ19+AK19)/2)))^(2/3))^2+((DATOS!$B$34*H18/((D18*F18)/(D18+2*F18))^(2/3))^2))/2))&gt;0,((AJ19+AK19)/2),AK19)</f>
        <v/>
      </c>
      <c r="AN19" s="5">
        <f>IF((((AL19+AM19)/2)+(C19/(D19*((AL19+AM19)/2)))^2/(2*9.81)+B19-(G18+H18^2/(2*9.81))-(A18-A19)*(((DATOS!$B$34*(C19/(D19*((AL19+AM19)/2)))/((D19*((AL19+AM19)/2))/(D19+2*((AL19+AM19)/2)))^(2/3))^2+((DATOS!$B$34*H18/((D18*F18)/(D18+2*F18))^(2/3))^2))/2))&gt;0,AL19,((AL19+AM19)/2))</f>
        <v/>
      </c>
      <c r="AO19" s="5">
        <f>IF((((AL19+AM19)/2)+(C19/(D19*((AL19+AM19)/2)))^2/(2*9.81)+B19-(G18+H18^2/(2*9.81))-(A18-A19)*(((DATOS!$B$34*(C19/(D19*((AL19+AM19)/2)))/((D19*((AL19+AM19)/2))/(D19+2*((AL19+AM19)/2)))^(2/3))^2+((DATOS!$B$34*H18/((D18*F18)/(D18+2*F18))^(2/3))^2))/2))&gt;0,((AL19+AM19)/2),AM19)</f>
        <v/>
      </c>
      <c r="AP19" s="5">
        <f>IF((((AN19+AO19)/2)+(C19/(D19*((AN19+AO19)/2)))^2/(2*9.81)+B19-(G18+H18^2/(2*9.81))-(A18-A19)*(((DATOS!$B$34*(C19/(D19*((AN19+AO19)/2)))/((D19*((AN19+AO19)/2))/(D19+2*((AN19+AO19)/2)))^(2/3))^2+((DATOS!$B$34*H18/((D18*F18)/(D18+2*F18))^(2/3))^2))/2))&gt;0,AN19,((AN19+AO19)/2))</f>
        <v/>
      </c>
      <c r="AQ19" s="5">
        <f>IF((((AN19+AO19)/2)+(C19/(D19*((AN19+AO19)/2)))^2/(2*9.81)+B19-(G18+H18^2/(2*9.81))-(A18-A19)*(((DATOS!$B$34*(C19/(D19*((AN19+AO19)/2)))/((D19*((AN19+AO19)/2))/(D19+2*((AN19+AO19)/2)))^(2/3))^2+((DATOS!$B$34*H18/((D18*F18)/(D18+2*F18))^(2/3))^2))/2))&gt;0,((AN19+AO19)/2),AO19)</f>
        <v/>
      </c>
      <c r="AR19" s="5">
        <f>IF((((AP19+AQ19)/2)+(C19/(D19*((AP19+AQ19)/2)))^2/(2*9.81)+B19-(G18+H18^2/(2*9.81))-(A18-A19)*(((DATOS!$B$34*(C19/(D19*((AP19+AQ19)/2)))/((D19*((AP19+AQ19)/2))/(D19+2*((AP19+AQ19)/2)))^(2/3))^2+((DATOS!$B$34*H18/((D18*F18)/(D18+2*F18))^(2/3))^2))/2))&gt;0,AP19,((AP19+AQ19)/2))</f>
        <v/>
      </c>
      <c r="AS19" s="5">
        <f>IF((((AP19+AQ19)/2)+(C19/(D19*((AP19+AQ19)/2)))^2/(2*9.81)+B19-(G18+H18^2/(2*9.81))-(A18-A19)*(((DATOS!$B$34*(C19/(D19*((AP19+AQ19)/2)))/((D19*((AP19+AQ19)/2))/(D19+2*((AP19+AQ19)/2)))^(2/3))^2+((DATOS!$B$34*H18/((D18*F18)/(D18+2*F18))^(2/3))^2))/2))&gt;0,((AP19+AQ19)/2),AQ19)</f>
        <v/>
      </c>
      <c r="AT19" s="5">
        <f>IF((((AR19+AS19)/2)+(C19/(D19*((AR19+AS19)/2)))^2/(2*9.81)+B19-(G18+H18^2/(2*9.81))-(A18-A19)*(((DATOS!$B$34*(C19/(D19*((AR19+AS19)/2)))/((D19*((AR19+AS19)/2))/(D19+2*((AR19+AS19)/2)))^(2/3))^2+((DATOS!$B$34*H18/((D18*F18)/(D18+2*F18))^(2/3))^2))/2))&gt;0,AR19,((AR19+AS19)/2))</f>
        <v/>
      </c>
      <c r="AU19" s="5">
        <f>IF((((AR19+AS19)/2)+(C19/(D19*((AR19+AS19)/2)))^2/(2*9.81)+B19-(G18+H18^2/(2*9.81))-(A18-A19)*(((DATOS!$B$34*(C19/(D19*((AR19+AS19)/2)))/((D19*((AR19+AS19)/2))/(D19+2*((AR19+AS19)/2)))^(2/3))^2+((DATOS!$B$34*H18/((D18*F18)/(D18+2*F18))^(2/3))^2))/2))&gt;0,((AR19+AS19)/2),AS19)</f>
        <v/>
      </c>
      <c r="AV19" s="5">
        <f>IF((((AT19+AU19)/2)+(C19/(D19*((AT19+AU19)/2)))^2/(2*9.81)+B19-(G18+H18^2/(2*9.81))-(A18-A19)*(((DATOS!$B$34*(C19/(D19*((AT19+AU19)/2)))/((D19*((AT19+AU19)/2))/(D19+2*((AT19+AU19)/2)))^(2/3))^2+((DATOS!$B$34*H18/((D18*F18)/(D18+2*F18))^(2/3))^2))/2))&gt;0,AT19,((AT19+AU19)/2))</f>
        <v/>
      </c>
      <c r="AW19" s="5">
        <f>IF((((AT19+AU19)/2)+(C19/(D19*((AT19+AU19)/2)))^2/(2*9.81)+B19-(G18+H18^2/(2*9.81))-(A18-A19)*(((DATOS!$B$34*(C19/(D19*((AT19+AU19)/2)))/((D19*((AT19+AU19)/2))/(D19+2*((AT19+AU19)/2)))^(2/3))^2+((DATOS!$B$34*H18/((D18*F18)/(D18+2*F18))^(2/3))^2))/2))&gt;0,((AT19+AU19)/2),AU19)</f>
        <v/>
      </c>
      <c r="AX19" s="5">
        <f>IF((((AV19+AW19)/2)+(C19/(D19*((AV19+AW19)/2)))^2/(2*9.81)+B19-(G18+H18^2/(2*9.81))-(A18-A19)*(((DATOS!$B$34*(C19/(D19*((AV19+AW19)/2)))/((D19*((AV19+AW19)/2))/(D19+2*((AV19+AW19)/2)))^(2/3))^2+((DATOS!$B$34*H18/((D18*F18)/(D18+2*F18))^(2/3))^2))/2))&gt;0,AV19,((AV19+AW19)/2))</f>
        <v/>
      </c>
      <c r="AY19" s="5">
        <f>IF((((AV19+AW19)/2)+(C19/(D19*((AV19+AW19)/2)))^2/(2*9.81)+B19-(G18+H18^2/(2*9.81))-(A18-A19)*(((DATOS!$B$34*(C19/(D19*((AV19+AW19)/2)))/((D19*((AV19+AW19)/2))/(D19+2*((AV19+AW19)/2)))^(2/3))^2+((DATOS!$B$34*H18/((D18*F18)/(D18+2*F18))^(2/3))^2))/2))&gt;0,((AV19+AW19)/2),AW19)</f>
        <v/>
      </c>
      <c r="AZ19" s="5">
        <f>IF((((AX19+AY19)/2)+(C19/(D19*((AX19+AY19)/2)))^2/(2*9.81)+B19-(G18+H18^2/(2*9.81))-(A18-A19)*(((DATOS!$B$34*(C19/(D19*((AX19+AY19)/2)))/((D19*((AX19+AY19)/2))/(D19+2*((AX19+AY19)/2)))^(2/3))^2+((DATOS!$B$34*H18/((D18*F18)/(D18+2*F18))^(2/3))^2))/2))&gt;0,AX19,((AX19+AY19)/2))</f>
        <v/>
      </c>
      <c r="BA19" s="5">
        <f>IF((((AX19+AY19)/2)+(C19/(D19*((AX19+AY19)/2)))^2/(2*9.81)+B19-(G18+H18^2/(2*9.81))-(A18-A19)*(((DATOS!$B$34*(C19/(D19*((AX19+AY19)/2)))/((D19*((AX19+AY19)/2))/(D19+2*((AX19+AY19)/2)))^(2/3))^2+((DATOS!$B$34*H18/((D18*F18)/(D18+2*F18))^(2/3))^2))/2))&gt;0,((AX19+AY19)/2),AY19)</f>
        <v/>
      </c>
      <c r="BB19" s="5">
        <f>IF((((AZ19+BA19)/2)+(C19/(D19*((AZ19+BA19)/2)))^2/(2*9.81)+B19-(G18+H18^2/(2*9.81))-(A18-A19)*(((DATOS!$B$34*(C19/(D19*((AZ19+BA19)/2)))/((D19*((AZ19+BA19)/2))/(D19+2*((AZ19+BA19)/2)))^(2/3))^2+((DATOS!$B$34*H18/((D18*F18)/(D18+2*F18))^(2/3))^2))/2))&gt;0,AZ19,((AZ19+BA19)/2))</f>
        <v/>
      </c>
      <c r="BC19" s="5">
        <f>IF((((AZ19+BA19)/2)+(C19/(D19*((AZ19+BA19)/2)))^2/(2*9.81)+B19-(G18+H18^2/(2*9.81))-(A18-A19)*(((DATOS!$B$34*(C19/(D19*((AZ19+BA19)/2)))/((D19*((AZ19+BA19)/2))/(D19+2*((AZ19+BA19)/2)))^(2/3))^2+((DATOS!$B$34*H18/((D18*F18)/(D18+2*F18))^(2/3))^2))/2))&gt;0,((AZ19+BA19)/2),BA19)</f>
        <v/>
      </c>
      <c r="BD19" s="5">
        <f>IF((((BB19+BC19)/2)+(C19/(D19*((BB19+BC19)/2)))^2/(2*9.81)+B19-(G18+H18^2/(2*9.81))-(A18-A19)*(((DATOS!$B$34*(C19/(D19*((BB19+BC19)/2)))/((D19*((BB19+BC19)/2))/(D19+2*((BB19+BC19)/2)))^(2/3))^2+((DATOS!$B$34*H18/((D18*F18)/(D18+2*F18))^(2/3))^2))/2))&gt;0,BB19,((BB19+BC19)/2))</f>
        <v/>
      </c>
      <c r="BE19" s="5">
        <f>IF((((BB19+BC19)/2)+(C19/(D19*((BB19+BC19)/2)))^2/(2*9.81)+B19-(G18+H18^2/(2*9.81))-(A18-A19)*(((DATOS!$B$34*(C19/(D19*((BB19+BC19)/2)))/((D19*((BB19+BC19)/2))/(D19+2*((BB19+BC19)/2)))^(2/3))^2+((DATOS!$B$34*H18/((D18*F18)/(D18+2*F18))^(2/3))^2))/2))&gt;0,((BB19+BC19)/2),BC19)</f>
        <v/>
      </c>
      <c r="BF19" s="5">
        <f>IF((((BD19+BE19)/2)+(C19/(D19*((BD19+BE19)/2)))^2/(2*9.81)+B19-(G18+H18^2/(2*9.81))-(A18-A19)*(((DATOS!$B$34*(C19/(D19*((BD19+BE19)/2)))/((D19*((BD19+BE19)/2))/(D19+2*((BD19+BE19)/2)))^(2/3))^2+((DATOS!$B$34*H18/((D18*F18)/(D18+2*F18))^(2/3))^2))/2))&gt;0,BD19,((BD19+BE19)/2))</f>
        <v/>
      </c>
      <c r="BG19" s="5">
        <f>IF((((BD19+BE19)/2)+(C19/(D19*((BD19+BE19)/2)))^2/(2*9.81)+B19-(G18+H18^2/(2*9.81))-(A18-A19)*(((DATOS!$B$34*(C19/(D19*((BD19+BE19)/2)))/((D19*((BD19+BE19)/2))/(D19+2*((BD19+BE19)/2)))^(2/3))^2+((DATOS!$B$34*H18/((D18*F18)/(D18+2*F18))^(2/3))^2))/2))&gt;0,((BD19+BE19)/2),BE19)</f>
        <v/>
      </c>
      <c r="BH19" s="5">
        <f>IF((((BF19+BG19)/2)+(C19/(D19*((BF19+BG19)/2)))^2/(2*9.81)+B19-(G18+H18^2/(2*9.81))-(A18-A19)*(((DATOS!$B$34*(C19/(D19*((BF19+BG19)/2)))/((D19*((BF19+BG19)/2))/(D19+2*((BF19+BG19)/2)))^(2/3))^2+((DATOS!$B$34*H18/((D18*F18)/(D18+2*F18))^(2/3))^2))/2))&gt;0,BF19,((BF19+BG19)/2))</f>
        <v/>
      </c>
      <c r="BI19" s="5">
        <f>IF((((BF19+BG19)/2)+(C19/(D19*((BF19+BG19)/2)))^2/(2*9.81)+B19-(G18+H18^2/(2*9.81))-(A18-A19)*(((DATOS!$B$34*(C19/(D19*((BF19+BG19)/2)))/((D19*((BF19+BG19)/2))/(D19+2*((BF19+BG19)/2)))^(2/3))^2+((DATOS!$B$34*H18/((D18*F18)/(D18+2*F18))^(2/3))^2))/2))&gt;0,((BF19+BG19)/2),BG19)</f>
        <v/>
      </c>
      <c r="BJ19" s="5">
        <f>IF((((BH19+BI19)/2)+(C19/(D19*((BH19+BI19)/2)))^2/(2*9.81)+B19-(G18+H18^2/(2*9.81))-(A18-A19)*(((DATOS!$B$34*(C19/(D19*((BH19+BI19)/2)))/((D19*((BH19+BI19)/2))/(D19+2*((BH19+BI19)/2)))^(2/3))^2+((DATOS!$B$34*H18/((D18*F18)/(D18+2*F18))^(2/3))^2))/2))&gt;0,BH19,((BH19+BI19)/2))</f>
        <v/>
      </c>
      <c r="BK19" s="5">
        <f>IF((((BH19+BI19)/2)+(C19/(D19*((BH19+BI19)/2)))^2/(2*9.81)+B19-(G18+H18^2/(2*9.81))-(A18-A19)*(((DATOS!$B$34*(C19/(D19*((BH19+BI19)/2)))/((D19*((BH19+BI19)/2))/(D19+2*((BH19+BI19)/2)))^(2/3))^2+((DATOS!$B$34*H18/((D18*F18)/(D18+2*F18))^(2/3))^2))/2))&gt;0,((BH19+BI19)/2),BI19)</f>
        <v/>
      </c>
      <c r="BL19" s="5">
        <f>IF((((BJ19+BK19)/2)+(C19/(D19*((BJ19+BK19)/2)))^2/(2*9.81)+B19-(G18+H18^2/(2*9.81))-(A18-A19)*(((DATOS!$B$34*(C19/(D19*((BJ19+BK19)/2)))/((D19*((BJ19+BK19)/2))/(D19+2*((BJ19+BK19)/2)))^(2/3))^2+((DATOS!$B$34*H18/((D18*F18)/(D18+2*F18))^(2/3))^2))/2))&gt;0,BJ19,((BJ19+BK19)/2))</f>
        <v/>
      </c>
      <c r="BM19" s="5">
        <f>IF((((BJ19+BK19)/2)+(C19/(D19*((BJ19+BK19)/2)))^2/(2*9.81)+B19-(G18+H18^2/(2*9.81))-(A18-A19)*(((DATOS!$B$34*(C19/(D19*((BJ19+BK19)/2)))/((D19*((BJ19+BK19)/2))/(D19+2*((BJ19+BK19)/2)))^(2/3))^2+((DATOS!$B$34*H18/((D18*F18)/(D18+2*F18))^(2/3))^2))/2))&gt;0,((BJ19+BK19)/2),BK19)</f>
        <v/>
      </c>
      <c r="BN19" s="5">
        <f>IF((((BL19+BM19)/2)+(C19/(D19*((BL19+BM19)/2)))^2/(2*9.81)+B19-(G18+H18^2/(2*9.81))-(A18-A19)*(((DATOS!$B$34*(C19/(D19*((BL19+BM19)/2)))/((D19*((BL19+BM19)/2))/(D19+2*((BL19+BM19)/2)))^(2/3))^2+((DATOS!$B$34*H18/((D18*F18)/(D18+2*F18))^(2/3))^2))/2))&gt;0,BL19,((BL19+BM19)/2))</f>
        <v/>
      </c>
      <c r="BO19" s="5">
        <f>IF((((BL19+BM19)/2)+(C19/(D19*((BL19+BM19)/2)))^2/(2*9.81)+B19-(G18+H18^2/(2*9.81))-(A18-A19)*(((DATOS!$B$34*(C19/(D19*((BL19+BM19)/2)))/((D19*((BL19+BM19)/2))/(D19+2*((BL19+BM19)/2)))^(2/3))^2+((DATOS!$B$34*H18/((D18*F18)/(D18+2*F18))^(2/3))^2))/2))&gt;0,((BL19+BM19)/2),BM19)</f>
        <v/>
      </c>
      <c r="BP19" s="5">
        <f>IF((((BN19+BO19)/2)+(C19/(D19*((BN19+BO19)/2)))^2/(2*9.81)+B19-(G18+H18^2/(2*9.81))-(A18-A19)*(((DATOS!$B$34*(C19/(D19*((BN19+BO19)/2)))/((D19*((BN19+BO19)/2))/(D19+2*((BN19+BO19)/2)))^(2/3))^2+((DATOS!$B$34*H18/((D18*F18)/(D18+2*F18))^(2/3))^2))/2))&gt;0,BN19,((BN19+BO19)/2))</f>
        <v/>
      </c>
      <c r="BQ19" s="5">
        <f>IF((((BN19+BO19)/2)+(C19/(D19*((BN19+BO19)/2)))^2/(2*9.81)+B19-(G18+H18^2/(2*9.81))-(A18-A19)*(((DATOS!$B$34*(C19/(D19*((BN19+BO19)/2)))/((D19*((BN19+BO19)/2))/(D19+2*((BN19+BO19)/2)))^(2/3))^2+((DATOS!$B$34*H18/((D18*F18)/(D18+2*F18))^(2/3))^2))/2))&gt;0,((BN19+BO19)/2),BO19)</f>
        <v/>
      </c>
      <c r="BR19" s="5">
        <f>IF((((BP19+BQ19)/2)+(C19/(D19*((BP19+BQ19)/2)))^2/(2*9.81)+B19-(G18+H18^2/(2*9.81))-(A18-A19)*(((DATOS!$B$34*(C19/(D19*((BP19+BQ19)/2)))/((D19*((BP19+BQ19)/2))/(D19+2*((BP19+BQ19)/2)))^(2/3))^2+((DATOS!$B$34*H18/((D18*F18)/(D18+2*F18))^(2/3))^2))/2))&gt;0,BP19,((BP19+BQ19)/2))</f>
        <v/>
      </c>
      <c r="BS19" s="5">
        <f>IF((((BP19+BQ19)/2)+(C19/(D19*((BP19+BQ19)/2)))^2/(2*9.81)+B19-(G18+H18^2/(2*9.81))-(A18-A19)*(((DATOS!$B$34*(C19/(D19*((BP19+BQ19)/2)))/((D19*((BP19+BQ19)/2))/(D19+2*((BP19+BQ19)/2)))^(2/3))^2+((DATOS!$B$34*H18/((D18*F18)/(D18+2*F18))^(2/3))^2))/2))&gt;0,((BP19+BQ19)/2),BQ19)</f>
        <v/>
      </c>
      <c r="BT19" s="5">
        <f>IF((((BR19+BS19)/2)+(C19/(D19*((BR19+BS19)/2)))^2/(2*9.81)+B19-(G18+H18^2/(2*9.81))-(A18-A19)*(((DATOS!$B$34*(C19/(D19*((BR19+BS19)/2)))/((D19*((BR19+BS19)/2))/(D19+2*((BR19+BS19)/2)))^(2/3))^2+((DATOS!$B$34*H18/((D18*F18)/(D18+2*F18))^(2/3))^2))/2))&gt;0,BR19,((BR19+BS19)/2))</f>
        <v/>
      </c>
      <c r="BU19" s="5">
        <f>IF((((BR19+BS19)/2)+(C19/(D19*((BR19+BS19)/2)))^2/(2*9.81)+B19-(G18+H18^2/(2*9.81))-(A18-A19)*(((DATOS!$B$34*(C19/(D19*((BR19+BS19)/2)))/((D19*((BR19+BS19)/2))/(D19+2*((BR19+BS19)/2)))^(2/3))^2+((DATOS!$B$34*H18/((D18*F18)/(D18+2*F18))^(2/3))^2))/2))&gt;0,((BR19+BS19)/2),BS19)</f>
        <v/>
      </c>
      <c r="BV19" s="5">
        <f>IF((((BT19+BU19)/2)+(C19/(D19*((BT19+BU19)/2)))^2/(2*9.81)+B19-(G18+H18^2/(2*9.81))-(A18-A19)*(((DATOS!$B$34*(C19/(D19*((BT19+BU19)/2)))/((D19*((BT19+BU19)/2))/(D19+2*((BT19+BU19)/2)))^(2/3))^2+((DATOS!$B$34*H18/((D18*F18)/(D18+2*F18))^(2/3))^2))/2))&gt;0,BT19,((BT19+BU19)/2))</f>
        <v/>
      </c>
      <c r="BW19" s="5">
        <f>IF((((BT19+BU19)/2)+(C19/(D19*((BT19+BU19)/2)))^2/(2*9.81)+B19-(G18+H18^2/(2*9.81))-(A18-A19)*(((DATOS!$B$34*(C19/(D19*((BT19+BU19)/2)))/((D19*((BT19+BU19)/2))/(D19+2*((BT19+BU19)/2)))^(2/3))^2+((DATOS!$B$34*H18/((D18*F18)/(D18+2*F18))^(2/3))^2))/2))&gt;0,((BT19+BU19)/2),BU19)</f>
        <v/>
      </c>
    </row>
    <row r="20">
      <c r="A20" s="13" t="n">
        <v>60</v>
      </c>
      <c r="B20" s="16">
        <f>DATOS!$B$22-DATOS!$B$23*A20</f>
        <v/>
      </c>
      <c r="C20" s="24">
        <f>CAUDALES!$B$13</f>
        <v/>
      </c>
      <c r="D20" s="17">
        <f>DATOS!$B$17</f>
        <v/>
      </c>
      <c r="E20" s="16">
        <f>(C20^2/(9.81*D20^2))^(1/3)</f>
        <v/>
      </c>
      <c r="F20" s="16">
        <f>(BV20+BW20)/2</f>
        <v/>
      </c>
      <c r="G20" s="16">
        <f>B20+F20</f>
        <v/>
      </c>
      <c r="H20" s="19">
        <f>C20/(D20*F20)</f>
        <v/>
      </c>
      <c r="I20" s="19">
        <f>H20/SQRT(9.81*F20)</f>
        <v/>
      </c>
      <c r="J20" s="16">
        <f>DATOS!$B$29-IF(AND(A20&gt;=DATOS!$B$30,A20&lt;DATOS!$B$31),DATOS!$B$21,DATOS!$B$20)</f>
        <v/>
      </c>
      <c r="K20" s="19">
        <f>J20-B20</f>
        <v/>
      </c>
      <c r="L20" s="19">
        <f>F20/K20</f>
        <v/>
      </c>
      <c r="M20" s="16">
        <f>J20-G20</f>
        <v/>
      </c>
      <c r="N20" s="5">
        <f>IF(AND(L20&lt;=DATOS!$B$36,M20&gt;=DATOS!$B$37,I20&lt;=1),"CUMPLE","NO CUMPLE")</f>
        <v/>
      </c>
      <c r="O20" s="5">
        <f>IF(AND(A20&gt;=DATOS!$B$30,A20&lt;DATOS!$B$31),"cruce de camiones",IF(AND(A20&gt;=DATOS!$B$32,A20&lt;DATOS!$B$33),"cruce de motos","tramo normal"))</f>
        <v/>
      </c>
      <c r="P20" s="5">
        <f>E20*1.001</f>
        <v/>
      </c>
      <c r="Q20" s="13" t="n">
        <v>3</v>
      </c>
      <c r="R20" s="5">
        <f>IF((((P20+Q20)/2)+(C20/(D20*((P20+Q20)/2)))^2/(2*9.81)+B20-(G19+H19^2/(2*9.81))-(A19-A20)*(((DATOS!$B$34*(C20/(D20*((P20+Q20)/2)))/((D20*((P20+Q20)/2))/(D20+2*((P20+Q20)/2)))^(2/3))^2+((DATOS!$B$34*H19/((D19*F19)/(D19+2*F19))^(2/3))^2))/2))&gt;0,P20,((P20+Q20)/2))</f>
        <v/>
      </c>
      <c r="S20" s="5">
        <f>IF((((P20+Q20)/2)+(C20/(D20*((P20+Q20)/2)))^2/(2*9.81)+B20-(G19+H19^2/(2*9.81))-(A19-A20)*(((DATOS!$B$34*(C20/(D20*((P20+Q20)/2)))/((D20*((P20+Q20)/2))/(D20+2*((P20+Q20)/2)))^(2/3))^2+((DATOS!$B$34*H19/((D19*F19)/(D19+2*F19))^(2/3))^2))/2))&gt;0,((P20+Q20)/2),Q20)</f>
        <v/>
      </c>
      <c r="T20" s="5">
        <f>IF((((R20+S20)/2)+(C20/(D20*((R20+S20)/2)))^2/(2*9.81)+B20-(G19+H19^2/(2*9.81))-(A19-A20)*(((DATOS!$B$34*(C20/(D20*((R20+S20)/2)))/((D20*((R20+S20)/2))/(D20+2*((R20+S20)/2)))^(2/3))^2+((DATOS!$B$34*H19/((D19*F19)/(D19+2*F19))^(2/3))^2))/2))&gt;0,R20,((R20+S20)/2))</f>
        <v/>
      </c>
      <c r="U20" s="5">
        <f>IF((((R20+S20)/2)+(C20/(D20*((R20+S20)/2)))^2/(2*9.81)+B20-(G19+H19^2/(2*9.81))-(A19-A20)*(((DATOS!$B$34*(C20/(D20*((R20+S20)/2)))/((D20*((R20+S20)/2))/(D20+2*((R20+S20)/2)))^(2/3))^2+((DATOS!$B$34*H19/((D19*F19)/(D19+2*F19))^(2/3))^2))/2))&gt;0,((R20+S20)/2),S20)</f>
        <v/>
      </c>
      <c r="V20" s="5">
        <f>IF((((T20+U20)/2)+(C20/(D20*((T20+U20)/2)))^2/(2*9.81)+B20-(G19+H19^2/(2*9.81))-(A19-A20)*(((DATOS!$B$34*(C20/(D20*((T20+U20)/2)))/((D20*((T20+U20)/2))/(D20+2*((T20+U20)/2)))^(2/3))^2+((DATOS!$B$34*H19/((D19*F19)/(D19+2*F19))^(2/3))^2))/2))&gt;0,T20,((T20+U20)/2))</f>
        <v/>
      </c>
      <c r="W20" s="5">
        <f>IF((((T20+U20)/2)+(C20/(D20*((T20+U20)/2)))^2/(2*9.81)+B20-(G19+H19^2/(2*9.81))-(A19-A20)*(((DATOS!$B$34*(C20/(D20*((T20+U20)/2)))/((D20*((T20+U20)/2))/(D20+2*((T20+U20)/2)))^(2/3))^2+((DATOS!$B$34*H19/((D19*F19)/(D19+2*F19))^(2/3))^2))/2))&gt;0,((T20+U20)/2),U20)</f>
        <v/>
      </c>
      <c r="X20" s="5">
        <f>IF((((V20+W20)/2)+(C20/(D20*((V20+W20)/2)))^2/(2*9.81)+B20-(G19+H19^2/(2*9.81))-(A19-A20)*(((DATOS!$B$34*(C20/(D20*((V20+W20)/2)))/((D20*((V20+W20)/2))/(D20+2*((V20+W20)/2)))^(2/3))^2+((DATOS!$B$34*H19/((D19*F19)/(D19+2*F19))^(2/3))^2))/2))&gt;0,V20,((V20+W20)/2))</f>
        <v/>
      </c>
      <c r="Y20" s="5">
        <f>IF((((V20+W20)/2)+(C20/(D20*((V20+W20)/2)))^2/(2*9.81)+B20-(G19+H19^2/(2*9.81))-(A19-A20)*(((DATOS!$B$34*(C20/(D20*((V20+W20)/2)))/((D20*((V20+W20)/2))/(D20+2*((V20+W20)/2)))^(2/3))^2+((DATOS!$B$34*H19/((D19*F19)/(D19+2*F19))^(2/3))^2))/2))&gt;0,((V20+W20)/2),W20)</f>
        <v/>
      </c>
      <c r="Z20" s="5">
        <f>IF((((X20+Y20)/2)+(C20/(D20*((X20+Y20)/2)))^2/(2*9.81)+B20-(G19+H19^2/(2*9.81))-(A19-A20)*(((DATOS!$B$34*(C20/(D20*((X20+Y20)/2)))/((D20*((X20+Y20)/2))/(D20+2*((X20+Y20)/2)))^(2/3))^2+((DATOS!$B$34*H19/((D19*F19)/(D19+2*F19))^(2/3))^2))/2))&gt;0,X20,((X20+Y20)/2))</f>
        <v/>
      </c>
      <c r="AA20" s="5">
        <f>IF((((X20+Y20)/2)+(C20/(D20*((X20+Y20)/2)))^2/(2*9.81)+B20-(G19+H19^2/(2*9.81))-(A19-A20)*(((DATOS!$B$34*(C20/(D20*((X20+Y20)/2)))/((D20*((X20+Y20)/2))/(D20+2*((X20+Y20)/2)))^(2/3))^2+((DATOS!$B$34*H19/((D19*F19)/(D19+2*F19))^(2/3))^2))/2))&gt;0,((X20+Y20)/2),Y20)</f>
        <v/>
      </c>
      <c r="AB20" s="5">
        <f>IF((((Z20+AA20)/2)+(C20/(D20*((Z20+AA20)/2)))^2/(2*9.81)+B20-(G19+H19^2/(2*9.81))-(A19-A20)*(((DATOS!$B$34*(C20/(D20*((Z20+AA20)/2)))/((D20*((Z20+AA20)/2))/(D20+2*((Z20+AA20)/2)))^(2/3))^2+((DATOS!$B$34*H19/((D19*F19)/(D19+2*F19))^(2/3))^2))/2))&gt;0,Z20,((Z20+AA20)/2))</f>
        <v/>
      </c>
      <c r="AC20" s="5">
        <f>IF((((Z20+AA20)/2)+(C20/(D20*((Z20+AA20)/2)))^2/(2*9.81)+B20-(G19+H19^2/(2*9.81))-(A19-A20)*(((DATOS!$B$34*(C20/(D20*((Z20+AA20)/2)))/((D20*((Z20+AA20)/2))/(D20+2*((Z20+AA20)/2)))^(2/3))^2+((DATOS!$B$34*H19/((D19*F19)/(D19+2*F19))^(2/3))^2))/2))&gt;0,((Z20+AA20)/2),AA20)</f>
        <v/>
      </c>
      <c r="AD20" s="5">
        <f>IF((((AB20+AC20)/2)+(C20/(D20*((AB20+AC20)/2)))^2/(2*9.81)+B20-(G19+H19^2/(2*9.81))-(A19-A20)*(((DATOS!$B$34*(C20/(D20*((AB20+AC20)/2)))/((D20*((AB20+AC20)/2))/(D20+2*((AB20+AC20)/2)))^(2/3))^2+((DATOS!$B$34*H19/((D19*F19)/(D19+2*F19))^(2/3))^2))/2))&gt;0,AB20,((AB20+AC20)/2))</f>
        <v/>
      </c>
      <c r="AE20" s="5">
        <f>IF((((AB20+AC20)/2)+(C20/(D20*((AB20+AC20)/2)))^2/(2*9.81)+B20-(G19+H19^2/(2*9.81))-(A19-A20)*(((DATOS!$B$34*(C20/(D20*((AB20+AC20)/2)))/((D20*((AB20+AC20)/2))/(D20+2*((AB20+AC20)/2)))^(2/3))^2+((DATOS!$B$34*H19/((D19*F19)/(D19+2*F19))^(2/3))^2))/2))&gt;0,((AB20+AC20)/2),AC20)</f>
        <v/>
      </c>
      <c r="AF20" s="5">
        <f>IF((((AD20+AE20)/2)+(C20/(D20*((AD20+AE20)/2)))^2/(2*9.81)+B20-(G19+H19^2/(2*9.81))-(A19-A20)*(((DATOS!$B$34*(C20/(D20*((AD20+AE20)/2)))/((D20*((AD20+AE20)/2))/(D20+2*((AD20+AE20)/2)))^(2/3))^2+((DATOS!$B$34*H19/((D19*F19)/(D19+2*F19))^(2/3))^2))/2))&gt;0,AD20,((AD20+AE20)/2))</f>
        <v/>
      </c>
      <c r="AG20" s="5">
        <f>IF((((AD20+AE20)/2)+(C20/(D20*((AD20+AE20)/2)))^2/(2*9.81)+B20-(G19+H19^2/(2*9.81))-(A19-A20)*(((DATOS!$B$34*(C20/(D20*((AD20+AE20)/2)))/((D20*((AD20+AE20)/2))/(D20+2*((AD20+AE20)/2)))^(2/3))^2+((DATOS!$B$34*H19/((D19*F19)/(D19+2*F19))^(2/3))^2))/2))&gt;0,((AD20+AE20)/2),AE20)</f>
        <v/>
      </c>
      <c r="AH20" s="5">
        <f>IF((((AF20+AG20)/2)+(C20/(D20*((AF20+AG20)/2)))^2/(2*9.81)+B20-(G19+H19^2/(2*9.81))-(A19-A20)*(((DATOS!$B$34*(C20/(D20*((AF20+AG20)/2)))/((D20*((AF20+AG20)/2))/(D20+2*((AF20+AG20)/2)))^(2/3))^2+((DATOS!$B$34*H19/((D19*F19)/(D19+2*F19))^(2/3))^2))/2))&gt;0,AF20,((AF20+AG20)/2))</f>
        <v/>
      </c>
      <c r="AI20" s="5">
        <f>IF((((AF20+AG20)/2)+(C20/(D20*((AF20+AG20)/2)))^2/(2*9.81)+B20-(G19+H19^2/(2*9.81))-(A19-A20)*(((DATOS!$B$34*(C20/(D20*((AF20+AG20)/2)))/((D20*((AF20+AG20)/2))/(D20+2*((AF20+AG20)/2)))^(2/3))^2+((DATOS!$B$34*H19/((D19*F19)/(D19+2*F19))^(2/3))^2))/2))&gt;0,((AF20+AG20)/2),AG20)</f>
        <v/>
      </c>
      <c r="AJ20" s="5">
        <f>IF((((AH20+AI20)/2)+(C20/(D20*((AH20+AI20)/2)))^2/(2*9.81)+B20-(G19+H19^2/(2*9.81))-(A19-A20)*(((DATOS!$B$34*(C20/(D20*((AH20+AI20)/2)))/((D20*((AH20+AI20)/2))/(D20+2*((AH20+AI20)/2)))^(2/3))^2+((DATOS!$B$34*H19/((D19*F19)/(D19+2*F19))^(2/3))^2))/2))&gt;0,AH20,((AH20+AI20)/2))</f>
        <v/>
      </c>
      <c r="AK20" s="5">
        <f>IF((((AH20+AI20)/2)+(C20/(D20*((AH20+AI20)/2)))^2/(2*9.81)+B20-(G19+H19^2/(2*9.81))-(A19-A20)*(((DATOS!$B$34*(C20/(D20*((AH20+AI20)/2)))/((D20*((AH20+AI20)/2))/(D20+2*((AH20+AI20)/2)))^(2/3))^2+((DATOS!$B$34*H19/((D19*F19)/(D19+2*F19))^(2/3))^2))/2))&gt;0,((AH20+AI20)/2),AI20)</f>
        <v/>
      </c>
      <c r="AL20" s="5">
        <f>IF((((AJ20+AK20)/2)+(C20/(D20*((AJ20+AK20)/2)))^2/(2*9.81)+B20-(G19+H19^2/(2*9.81))-(A19-A20)*(((DATOS!$B$34*(C20/(D20*((AJ20+AK20)/2)))/((D20*((AJ20+AK20)/2))/(D20+2*((AJ20+AK20)/2)))^(2/3))^2+((DATOS!$B$34*H19/((D19*F19)/(D19+2*F19))^(2/3))^2))/2))&gt;0,AJ20,((AJ20+AK20)/2))</f>
        <v/>
      </c>
      <c r="AM20" s="5">
        <f>IF((((AJ20+AK20)/2)+(C20/(D20*((AJ20+AK20)/2)))^2/(2*9.81)+B20-(G19+H19^2/(2*9.81))-(A19-A20)*(((DATOS!$B$34*(C20/(D20*((AJ20+AK20)/2)))/((D20*((AJ20+AK20)/2))/(D20+2*((AJ20+AK20)/2)))^(2/3))^2+((DATOS!$B$34*H19/((D19*F19)/(D19+2*F19))^(2/3))^2))/2))&gt;0,((AJ20+AK20)/2),AK20)</f>
        <v/>
      </c>
      <c r="AN20" s="5">
        <f>IF((((AL20+AM20)/2)+(C20/(D20*((AL20+AM20)/2)))^2/(2*9.81)+B20-(G19+H19^2/(2*9.81))-(A19-A20)*(((DATOS!$B$34*(C20/(D20*((AL20+AM20)/2)))/((D20*((AL20+AM20)/2))/(D20+2*((AL20+AM20)/2)))^(2/3))^2+((DATOS!$B$34*H19/((D19*F19)/(D19+2*F19))^(2/3))^2))/2))&gt;0,AL20,((AL20+AM20)/2))</f>
        <v/>
      </c>
      <c r="AO20" s="5">
        <f>IF((((AL20+AM20)/2)+(C20/(D20*((AL20+AM20)/2)))^2/(2*9.81)+B20-(G19+H19^2/(2*9.81))-(A19-A20)*(((DATOS!$B$34*(C20/(D20*((AL20+AM20)/2)))/((D20*((AL20+AM20)/2))/(D20+2*((AL20+AM20)/2)))^(2/3))^2+((DATOS!$B$34*H19/((D19*F19)/(D19+2*F19))^(2/3))^2))/2))&gt;0,((AL20+AM20)/2),AM20)</f>
        <v/>
      </c>
      <c r="AP20" s="5">
        <f>IF((((AN20+AO20)/2)+(C20/(D20*((AN20+AO20)/2)))^2/(2*9.81)+B20-(G19+H19^2/(2*9.81))-(A19-A20)*(((DATOS!$B$34*(C20/(D20*((AN20+AO20)/2)))/((D20*((AN20+AO20)/2))/(D20+2*((AN20+AO20)/2)))^(2/3))^2+((DATOS!$B$34*H19/((D19*F19)/(D19+2*F19))^(2/3))^2))/2))&gt;0,AN20,((AN20+AO20)/2))</f>
        <v/>
      </c>
      <c r="AQ20" s="5">
        <f>IF((((AN20+AO20)/2)+(C20/(D20*((AN20+AO20)/2)))^2/(2*9.81)+B20-(G19+H19^2/(2*9.81))-(A19-A20)*(((DATOS!$B$34*(C20/(D20*((AN20+AO20)/2)))/((D20*((AN20+AO20)/2))/(D20+2*((AN20+AO20)/2)))^(2/3))^2+((DATOS!$B$34*H19/((D19*F19)/(D19+2*F19))^(2/3))^2))/2))&gt;0,((AN20+AO20)/2),AO20)</f>
        <v/>
      </c>
      <c r="AR20" s="5">
        <f>IF((((AP20+AQ20)/2)+(C20/(D20*((AP20+AQ20)/2)))^2/(2*9.81)+B20-(G19+H19^2/(2*9.81))-(A19-A20)*(((DATOS!$B$34*(C20/(D20*((AP20+AQ20)/2)))/((D20*((AP20+AQ20)/2))/(D20+2*((AP20+AQ20)/2)))^(2/3))^2+((DATOS!$B$34*H19/((D19*F19)/(D19+2*F19))^(2/3))^2))/2))&gt;0,AP20,((AP20+AQ20)/2))</f>
        <v/>
      </c>
      <c r="AS20" s="5">
        <f>IF((((AP20+AQ20)/2)+(C20/(D20*((AP20+AQ20)/2)))^2/(2*9.81)+B20-(G19+H19^2/(2*9.81))-(A19-A20)*(((DATOS!$B$34*(C20/(D20*((AP20+AQ20)/2)))/((D20*((AP20+AQ20)/2))/(D20+2*((AP20+AQ20)/2)))^(2/3))^2+((DATOS!$B$34*H19/((D19*F19)/(D19+2*F19))^(2/3))^2))/2))&gt;0,((AP20+AQ20)/2),AQ20)</f>
        <v/>
      </c>
      <c r="AT20" s="5">
        <f>IF((((AR20+AS20)/2)+(C20/(D20*((AR20+AS20)/2)))^2/(2*9.81)+B20-(G19+H19^2/(2*9.81))-(A19-A20)*(((DATOS!$B$34*(C20/(D20*((AR20+AS20)/2)))/((D20*((AR20+AS20)/2))/(D20+2*((AR20+AS20)/2)))^(2/3))^2+((DATOS!$B$34*H19/((D19*F19)/(D19+2*F19))^(2/3))^2))/2))&gt;0,AR20,((AR20+AS20)/2))</f>
        <v/>
      </c>
      <c r="AU20" s="5">
        <f>IF((((AR20+AS20)/2)+(C20/(D20*((AR20+AS20)/2)))^2/(2*9.81)+B20-(G19+H19^2/(2*9.81))-(A19-A20)*(((DATOS!$B$34*(C20/(D20*((AR20+AS20)/2)))/((D20*((AR20+AS20)/2))/(D20+2*((AR20+AS20)/2)))^(2/3))^2+((DATOS!$B$34*H19/((D19*F19)/(D19+2*F19))^(2/3))^2))/2))&gt;0,((AR20+AS20)/2),AS20)</f>
        <v/>
      </c>
      <c r="AV20" s="5">
        <f>IF((((AT20+AU20)/2)+(C20/(D20*((AT20+AU20)/2)))^2/(2*9.81)+B20-(G19+H19^2/(2*9.81))-(A19-A20)*(((DATOS!$B$34*(C20/(D20*((AT20+AU20)/2)))/((D20*((AT20+AU20)/2))/(D20+2*((AT20+AU20)/2)))^(2/3))^2+((DATOS!$B$34*H19/((D19*F19)/(D19+2*F19))^(2/3))^2))/2))&gt;0,AT20,((AT20+AU20)/2))</f>
        <v/>
      </c>
      <c r="AW20" s="5">
        <f>IF((((AT20+AU20)/2)+(C20/(D20*((AT20+AU20)/2)))^2/(2*9.81)+B20-(G19+H19^2/(2*9.81))-(A19-A20)*(((DATOS!$B$34*(C20/(D20*((AT20+AU20)/2)))/((D20*((AT20+AU20)/2))/(D20+2*((AT20+AU20)/2)))^(2/3))^2+((DATOS!$B$34*H19/((D19*F19)/(D19+2*F19))^(2/3))^2))/2))&gt;0,((AT20+AU20)/2),AU20)</f>
        <v/>
      </c>
      <c r="AX20" s="5">
        <f>IF((((AV20+AW20)/2)+(C20/(D20*((AV20+AW20)/2)))^2/(2*9.81)+B20-(G19+H19^2/(2*9.81))-(A19-A20)*(((DATOS!$B$34*(C20/(D20*((AV20+AW20)/2)))/((D20*((AV20+AW20)/2))/(D20+2*((AV20+AW20)/2)))^(2/3))^2+((DATOS!$B$34*H19/((D19*F19)/(D19+2*F19))^(2/3))^2))/2))&gt;0,AV20,((AV20+AW20)/2))</f>
        <v/>
      </c>
      <c r="AY20" s="5">
        <f>IF((((AV20+AW20)/2)+(C20/(D20*((AV20+AW20)/2)))^2/(2*9.81)+B20-(G19+H19^2/(2*9.81))-(A19-A20)*(((DATOS!$B$34*(C20/(D20*((AV20+AW20)/2)))/((D20*((AV20+AW20)/2))/(D20+2*((AV20+AW20)/2)))^(2/3))^2+((DATOS!$B$34*H19/((D19*F19)/(D19+2*F19))^(2/3))^2))/2))&gt;0,((AV20+AW20)/2),AW20)</f>
        <v/>
      </c>
      <c r="AZ20" s="5">
        <f>IF((((AX20+AY20)/2)+(C20/(D20*((AX20+AY20)/2)))^2/(2*9.81)+B20-(G19+H19^2/(2*9.81))-(A19-A20)*(((DATOS!$B$34*(C20/(D20*((AX20+AY20)/2)))/((D20*((AX20+AY20)/2))/(D20+2*((AX20+AY20)/2)))^(2/3))^2+((DATOS!$B$34*H19/((D19*F19)/(D19+2*F19))^(2/3))^2))/2))&gt;0,AX20,((AX20+AY20)/2))</f>
        <v/>
      </c>
      <c r="BA20" s="5">
        <f>IF((((AX20+AY20)/2)+(C20/(D20*((AX20+AY20)/2)))^2/(2*9.81)+B20-(G19+H19^2/(2*9.81))-(A19-A20)*(((DATOS!$B$34*(C20/(D20*((AX20+AY20)/2)))/((D20*((AX20+AY20)/2))/(D20+2*((AX20+AY20)/2)))^(2/3))^2+((DATOS!$B$34*H19/((D19*F19)/(D19+2*F19))^(2/3))^2))/2))&gt;0,((AX20+AY20)/2),AY20)</f>
        <v/>
      </c>
      <c r="BB20" s="5">
        <f>IF((((AZ20+BA20)/2)+(C20/(D20*((AZ20+BA20)/2)))^2/(2*9.81)+B20-(G19+H19^2/(2*9.81))-(A19-A20)*(((DATOS!$B$34*(C20/(D20*((AZ20+BA20)/2)))/((D20*((AZ20+BA20)/2))/(D20+2*((AZ20+BA20)/2)))^(2/3))^2+((DATOS!$B$34*H19/((D19*F19)/(D19+2*F19))^(2/3))^2))/2))&gt;0,AZ20,((AZ20+BA20)/2))</f>
        <v/>
      </c>
      <c r="BC20" s="5">
        <f>IF((((AZ20+BA20)/2)+(C20/(D20*((AZ20+BA20)/2)))^2/(2*9.81)+B20-(G19+H19^2/(2*9.81))-(A19-A20)*(((DATOS!$B$34*(C20/(D20*((AZ20+BA20)/2)))/((D20*((AZ20+BA20)/2))/(D20+2*((AZ20+BA20)/2)))^(2/3))^2+((DATOS!$B$34*H19/((D19*F19)/(D19+2*F19))^(2/3))^2))/2))&gt;0,((AZ20+BA20)/2),BA20)</f>
        <v/>
      </c>
      <c r="BD20" s="5">
        <f>IF((((BB20+BC20)/2)+(C20/(D20*((BB20+BC20)/2)))^2/(2*9.81)+B20-(G19+H19^2/(2*9.81))-(A19-A20)*(((DATOS!$B$34*(C20/(D20*((BB20+BC20)/2)))/((D20*((BB20+BC20)/2))/(D20+2*((BB20+BC20)/2)))^(2/3))^2+((DATOS!$B$34*H19/((D19*F19)/(D19+2*F19))^(2/3))^2))/2))&gt;0,BB20,((BB20+BC20)/2))</f>
        <v/>
      </c>
      <c r="BE20" s="5">
        <f>IF((((BB20+BC20)/2)+(C20/(D20*((BB20+BC20)/2)))^2/(2*9.81)+B20-(G19+H19^2/(2*9.81))-(A19-A20)*(((DATOS!$B$34*(C20/(D20*((BB20+BC20)/2)))/((D20*((BB20+BC20)/2))/(D20+2*((BB20+BC20)/2)))^(2/3))^2+((DATOS!$B$34*H19/((D19*F19)/(D19+2*F19))^(2/3))^2))/2))&gt;0,((BB20+BC20)/2),BC20)</f>
        <v/>
      </c>
      <c r="BF20" s="5">
        <f>IF((((BD20+BE20)/2)+(C20/(D20*((BD20+BE20)/2)))^2/(2*9.81)+B20-(G19+H19^2/(2*9.81))-(A19-A20)*(((DATOS!$B$34*(C20/(D20*((BD20+BE20)/2)))/((D20*((BD20+BE20)/2))/(D20+2*((BD20+BE20)/2)))^(2/3))^2+((DATOS!$B$34*H19/((D19*F19)/(D19+2*F19))^(2/3))^2))/2))&gt;0,BD20,((BD20+BE20)/2))</f>
        <v/>
      </c>
      <c r="BG20" s="5">
        <f>IF((((BD20+BE20)/2)+(C20/(D20*((BD20+BE20)/2)))^2/(2*9.81)+B20-(G19+H19^2/(2*9.81))-(A19-A20)*(((DATOS!$B$34*(C20/(D20*((BD20+BE20)/2)))/((D20*((BD20+BE20)/2))/(D20+2*((BD20+BE20)/2)))^(2/3))^2+((DATOS!$B$34*H19/((D19*F19)/(D19+2*F19))^(2/3))^2))/2))&gt;0,((BD20+BE20)/2),BE20)</f>
        <v/>
      </c>
      <c r="BH20" s="5">
        <f>IF((((BF20+BG20)/2)+(C20/(D20*((BF20+BG20)/2)))^2/(2*9.81)+B20-(G19+H19^2/(2*9.81))-(A19-A20)*(((DATOS!$B$34*(C20/(D20*((BF20+BG20)/2)))/((D20*((BF20+BG20)/2))/(D20+2*((BF20+BG20)/2)))^(2/3))^2+((DATOS!$B$34*H19/((D19*F19)/(D19+2*F19))^(2/3))^2))/2))&gt;0,BF20,((BF20+BG20)/2))</f>
        <v/>
      </c>
      <c r="BI20" s="5">
        <f>IF((((BF20+BG20)/2)+(C20/(D20*((BF20+BG20)/2)))^2/(2*9.81)+B20-(G19+H19^2/(2*9.81))-(A19-A20)*(((DATOS!$B$34*(C20/(D20*((BF20+BG20)/2)))/((D20*((BF20+BG20)/2))/(D20+2*((BF20+BG20)/2)))^(2/3))^2+((DATOS!$B$34*H19/((D19*F19)/(D19+2*F19))^(2/3))^2))/2))&gt;0,((BF20+BG20)/2),BG20)</f>
        <v/>
      </c>
      <c r="BJ20" s="5">
        <f>IF((((BH20+BI20)/2)+(C20/(D20*((BH20+BI20)/2)))^2/(2*9.81)+B20-(G19+H19^2/(2*9.81))-(A19-A20)*(((DATOS!$B$34*(C20/(D20*((BH20+BI20)/2)))/((D20*((BH20+BI20)/2))/(D20+2*((BH20+BI20)/2)))^(2/3))^2+((DATOS!$B$34*H19/((D19*F19)/(D19+2*F19))^(2/3))^2))/2))&gt;0,BH20,((BH20+BI20)/2))</f>
        <v/>
      </c>
      <c r="BK20" s="5">
        <f>IF((((BH20+BI20)/2)+(C20/(D20*((BH20+BI20)/2)))^2/(2*9.81)+B20-(G19+H19^2/(2*9.81))-(A19-A20)*(((DATOS!$B$34*(C20/(D20*((BH20+BI20)/2)))/((D20*((BH20+BI20)/2))/(D20+2*((BH20+BI20)/2)))^(2/3))^2+((DATOS!$B$34*H19/((D19*F19)/(D19+2*F19))^(2/3))^2))/2))&gt;0,((BH20+BI20)/2),BI20)</f>
        <v/>
      </c>
      <c r="BL20" s="5">
        <f>IF((((BJ20+BK20)/2)+(C20/(D20*((BJ20+BK20)/2)))^2/(2*9.81)+B20-(G19+H19^2/(2*9.81))-(A19-A20)*(((DATOS!$B$34*(C20/(D20*((BJ20+BK20)/2)))/((D20*((BJ20+BK20)/2))/(D20+2*((BJ20+BK20)/2)))^(2/3))^2+((DATOS!$B$34*H19/((D19*F19)/(D19+2*F19))^(2/3))^2))/2))&gt;0,BJ20,((BJ20+BK20)/2))</f>
        <v/>
      </c>
      <c r="BM20" s="5">
        <f>IF((((BJ20+BK20)/2)+(C20/(D20*((BJ20+BK20)/2)))^2/(2*9.81)+B20-(G19+H19^2/(2*9.81))-(A19-A20)*(((DATOS!$B$34*(C20/(D20*((BJ20+BK20)/2)))/((D20*((BJ20+BK20)/2))/(D20+2*((BJ20+BK20)/2)))^(2/3))^2+((DATOS!$B$34*H19/((D19*F19)/(D19+2*F19))^(2/3))^2))/2))&gt;0,((BJ20+BK20)/2),BK20)</f>
        <v/>
      </c>
      <c r="BN20" s="5">
        <f>IF((((BL20+BM20)/2)+(C20/(D20*((BL20+BM20)/2)))^2/(2*9.81)+B20-(G19+H19^2/(2*9.81))-(A19-A20)*(((DATOS!$B$34*(C20/(D20*((BL20+BM20)/2)))/((D20*((BL20+BM20)/2))/(D20+2*((BL20+BM20)/2)))^(2/3))^2+((DATOS!$B$34*H19/((D19*F19)/(D19+2*F19))^(2/3))^2))/2))&gt;0,BL20,((BL20+BM20)/2))</f>
        <v/>
      </c>
      <c r="BO20" s="5">
        <f>IF((((BL20+BM20)/2)+(C20/(D20*((BL20+BM20)/2)))^2/(2*9.81)+B20-(G19+H19^2/(2*9.81))-(A19-A20)*(((DATOS!$B$34*(C20/(D20*((BL20+BM20)/2)))/((D20*((BL20+BM20)/2))/(D20+2*((BL20+BM20)/2)))^(2/3))^2+((DATOS!$B$34*H19/((D19*F19)/(D19+2*F19))^(2/3))^2))/2))&gt;0,((BL20+BM20)/2),BM20)</f>
        <v/>
      </c>
      <c r="BP20" s="5">
        <f>IF((((BN20+BO20)/2)+(C20/(D20*((BN20+BO20)/2)))^2/(2*9.81)+B20-(G19+H19^2/(2*9.81))-(A19-A20)*(((DATOS!$B$34*(C20/(D20*((BN20+BO20)/2)))/((D20*((BN20+BO20)/2))/(D20+2*((BN20+BO20)/2)))^(2/3))^2+((DATOS!$B$34*H19/((D19*F19)/(D19+2*F19))^(2/3))^2))/2))&gt;0,BN20,((BN20+BO20)/2))</f>
        <v/>
      </c>
      <c r="BQ20" s="5">
        <f>IF((((BN20+BO20)/2)+(C20/(D20*((BN20+BO20)/2)))^2/(2*9.81)+B20-(G19+H19^2/(2*9.81))-(A19-A20)*(((DATOS!$B$34*(C20/(D20*((BN20+BO20)/2)))/((D20*((BN20+BO20)/2))/(D20+2*((BN20+BO20)/2)))^(2/3))^2+((DATOS!$B$34*H19/((D19*F19)/(D19+2*F19))^(2/3))^2))/2))&gt;0,((BN20+BO20)/2),BO20)</f>
        <v/>
      </c>
      <c r="BR20" s="5">
        <f>IF((((BP20+BQ20)/2)+(C20/(D20*((BP20+BQ20)/2)))^2/(2*9.81)+B20-(G19+H19^2/(2*9.81))-(A19-A20)*(((DATOS!$B$34*(C20/(D20*((BP20+BQ20)/2)))/((D20*((BP20+BQ20)/2))/(D20+2*((BP20+BQ20)/2)))^(2/3))^2+((DATOS!$B$34*H19/((D19*F19)/(D19+2*F19))^(2/3))^2))/2))&gt;0,BP20,((BP20+BQ20)/2))</f>
        <v/>
      </c>
      <c r="BS20" s="5">
        <f>IF((((BP20+BQ20)/2)+(C20/(D20*((BP20+BQ20)/2)))^2/(2*9.81)+B20-(G19+H19^2/(2*9.81))-(A19-A20)*(((DATOS!$B$34*(C20/(D20*((BP20+BQ20)/2)))/((D20*((BP20+BQ20)/2))/(D20+2*((BP20+BQ20)/2)))^(2/3))^2+((DATOS!$B$34*H19/((D19*F19)/(D19+2*F19))^(2/3))^2))/2))&gt;0,((BP20+BQ20)/2),BQ20)</f>
        <v/>
      </c>
      <c r="BT20" s="5">
        <f>IF((((BR20+BS20)/2)+(C20/(D20*((BR20+BS20)/2)))^2/(2*9.81)+B20-(G19+H19^2/(2*9.81))-(A19-A20)*(((DATOS!$B$34*(C20/(D20*((BR20+BS20)/2)))/((D20*((BR20+BS20)/2))/(D20+2*((BR20+BS20)/2)))^(2/3))^2+((DATOS!$B$34*H19/((D19*F19)/(D19+2*F19))^(2/3))^2))/2))&gt;0,BR20,((BR20+BS20)/2))</f>
        <v/>
      </c>
      <c r="BU20" s="5">
        <f>IF((((BR20+BS20)/2)+(C20/(D20*((BR20+BS20)/2)))^2/(2*9.81)+B20-(G19+H19^2/(2*9.81))-(A19-A20)*(((DATOS!$B$34*(C20/(D20*((BR20+BS20)/2)))/((D20*((BR20+BS20)/2))/(D20+2*((BR20+BS20)/2)))^(2/3))^2+((DATOS!$B$34*H19/((D19*F19)/(D19+2*F19))^(2/3))^2))/2))&gt;0,((BR20+BS20)/2),BS20)</f>
        <v/>
      </c>
      <c r="BV20" s="5">
        <f>IF((((BT20+BU20)/2)+(C20/(D20*((BT20+BU20)/2)))^2/(2*9.81)+B20-(G19+H19^2/(2*9.81))-(A19-A20)*(((DATOS!$B$34*(C20/(D20*((BT20+BU20)/2)))/((D20*((BT20+BU20)/2))/(D20+2*((BT20+BU20)/2)))^(2/3))^2+((DATOS!$B$34*H19/((D19*F19)/(D19+2*F19))^(2/3))^2))/2))&gt;0,BT20,((BT20+BU20)/2))</f>
        <v/>
      </c>
      <c r="BW20" s="5">
        <f>IF((((BT20+BU20)/2)+(C20/(D20*((BT20+BU20)/2)))^2/(2*9.81)+B20-(G19+H19^2/(2*9.81))-(A19-A20)*(((DATOS!$B$34*(C20/(D20*((BT20+BU20)/2)))/((D20*((BT20+BU20)/2))/(D20+2*((BT20+BU20)/2)))^(2/3))^2+((DATOS!$B$34*H19/((D19*F19)/(D19+2*F19))^(2/3))^2))/2))&gt;0,((BT20+BU20)/2),BU20)</f>
        <v/>
      </c>
    </row>
    <row r="21">
      <c r="A21" s="13" t="n">
        <v>59</v>
      </c>
      <c r="B21" s="16">
        <f>DATOS!$B$22-DATOS!$B$23*A21</f>
        <v/>
      </c>
      <c r="C21" s="24">
        <f>CAUDALES!$B$13</f>
        <v/>
      </c>
      <c r="D21" s="17">
        <f>DATOS!$B$17</f>
        <v/>
      </c>
      <c r="E21" s="16">
        <f>(C21^2/(9.81*D21^2))^(1/3)</f>
        <v/>
      </c>
      <c r="F21" s="16">
        <f>(BV21+BW21)/2</f>
        <v/>
      </c>
      <c r="G21" s="16">
        <f>B21+F21</f>
        <v/>
      </c>
      <c r="H21" s="19">
        <f>C21/(D21*F21)</f>
        <v/>
      </c>
      <c r="I21" s="19">
        <f>H21/SQRT(9.81*F21)</f>
        <v/>
      </c>
      <c r="J21" s="16">
        <f>DATOS!$B$29-IF(AND(A21&gt;=DATOS!$B$30,A21&lt;DATOS!$B$31),DATOS!$B$21,DATOS!$B$20)</f>
        <v/>
      </c>
      <c r="K21" s="19">
        <f>J21-B21</f>
        <v/>
      </c>
      <c r="L21" s="19">
        <f>F21/K21</f>
        <v/>
      </c>
      <c r="M21" s="16">
        <f>J21-G21</f>
        <v/>
      </c>
      <c r="N21" s="5">
        <f>IF(AND(L21&lt;=DATOS!$B$36,M21&gt;=DATOS!$B$37,I21&lt;=1),"CUMPLE","NO CUMPLE")</f>
        <v/>
      </c>
      <c r="O21" s="5">
        <f>IF(AND(A21&gt;=DATOS!$B$30,A21&lt;DATOS!$B$31),"cruce de camiones",IF(AND(A21&gt;=DATOS!$B$32,A21&lt;DATOS!$B$33),"cruce de motos","tramo normal"))</f>
        <v/>
      </c>
      <c r="P21" s="5">
        <f>E21*1.001</f>
        <v/>
      </c>
      <c r="Q21" s="13" t="n">
        <v>3</v>
      </c>
      <c r="R21" s="5">
        <f>IF((((P21+Q21)/2)+(C21/(D21*((P21+Q21)/2)))^2/(2*9.81)+B21-(G20+H20^2/(2*9.81))-(A20-A21)*(((DATOS!$B$34*(C21/(D21*((P21+Q21)/2)))/((D21*((P21+Q21)/2))/(D21+2*((P21+Q21)/2)))^(2/3))^2+((DATOS!$B$34*H20/((D20*F20)/(D20+2*F20))^(2/3))^2))/2))&gt;0,P21,((P21+Q21)/2))</f>
        <v/>
      </c>
      <c r="S21" s="5">
        <f>IF((((P21+Q21)/2)+(C21/(D21*((P21+Q21)/2)))^2/(2*9.81)+B21-(G20+H20^2/(2*9.81))-(A20-A21)*(((DATOS!$B$34*(C21/(D21*((P21+Q21)/2)))/((D21*((P21+Q21)/2))/(D21+2*((P21+Q21)/2)))^(2/3))^2+((DATOS!$B$34*H20/((D20*F20)/(D20+2*F20))^(2/3))^2))/2))&gt;0,((P21+Q21)/2),Q21)</f>
        <v/>
      </c>
      <c r="T21" s="5">
        <f>IF((((R21+S21)/2)+(C21/(D21*((R21+S21)/2)))^2/(2*9.81)+B21-(G20+H20^2/(2*9.81))-(A20-A21)*(((DATOS!$B$34*(C21/(D21*((R21+S21)/2)))/((D21*((R21+S21)/2))/(D21+2*((R21+S21)/2)))^(2/3))^2+((DATOS!$B$34*H20/((D20*F20)/(D20+2*F20))^(2/3))^2))/2))&gt;0,R21,((R21+S21)/2))</f>
        <v/>
      </c>
      <c r="U21" s="5">
        <f>IF((((R21+S21)/2)+(C21/(D21*((R21+S21)/2)))^2/(2*9.81)+B21-(G20+H20^2/(2*9.81))-(A20-A21)*(((DATOS!$B$34*(C21/(D21*((R21+S21)/2)))/((D21*((R21+S21)/2))/(D21+2*((R21+S21)/2)))^(2/3))^2+((DATOS!$B$34*H20/((D20*F20)/(D20+2*F20))^(2/3))^2))/2))&gt;0,((R21+S21)/2),S21)</f>
        <v/>
      </c>
      <c r="V21" s="5">
        <f>IF((((T21+U21)/2)+(C21/(D21*((T21+U21)/2)))^2/(2*9.81)+B21-(G20+H20^2/(2*9.81))-(A20-A21)*(((DATOS!$B$34*(C21/(D21*((T21+U21)/2)))/((D21*((T21+U21)/2))/(D21+2*((T21+U21)/2)))^(2/3))^2+((DATOS!$B$34*H20/((D20*F20)/(D20+2*F20))^(2/3))^2))/2))&gt;0,T21,((T21+U21)/2))</f>
        <v/>
      </c>
      <c r="W21" s="5">
        <f>IF((((T21+U21)/2)+(C21/(D21*((T21+U21)/2)))^2/(2*9.81)+B21-(G20+H20^2/(2*9.81))-(A20-A21)*(((DATOS!$B$34*(C21/(D21*((T21+U21)/2)))/((D21*((T21+U21)/2))/(D21+2*((T21+U21)/2)))^(2/3))^2+((DATOS!$B$34*H20/((D20*F20)/(D20+2*F20))^(2/3))^2))/2))&gt;0,((T21+U21)/2),U21)</f>
        <v/>
      </c>
      <c r="X21" s="5">
        <f>IF((((V21+W21)/2)+(C21/(D21*((V21+W21)/2)))^2/(2*9.81)+B21-(G20+H20^2/(2*9.81))-(A20-A21)*(((DATOS!$B$34*(C21/(D21*((V21+W21)/2)))/((D21*((V21+W21)/2))/(D21+2*((V21+W21)/2)))^(2/3))^2+((DATOS!$B$34*H20/((D20*F20)/(D20+2*F20))^(2/3))^2))/2))&gt;0,V21,((V21+W21)/2))</f>
        <v/>
      </c>
      <c r="Y21" s="5">
        <f>IF((((V21+W21)/2)+(C21/(D21*((V21+W21)/2)))^2/(2*9.81)+B21-(G20+H20^2/(2*9.81))-(A20-A21)*(((DATOS!$B$34*(C21/(D21*((V21+W21)/2)))/((D21*((V21+W21)/2))/(D21+2*((V21+W21)/2)))^(2/3))^2+((DATOS!$B$34*H20/((D20*F20)/(D20+2*F20))^(2/3))^2))/2))&gt;0,((V21+W21)/2),W21)</f>
        <v/>
      </c>
      <c r="Z21" s="5">
        <f>IF((((X21+Y21)/2)+(C21/(D21*((X21+Y21)/2)))^2/(2*9.81)+B21-(G20+H20^2/(2*9.81))-(A20-A21)*(((DATOS!$B$34*(C21/(D21*((X21+Y21)/2)))/((D21*((X21+Y21)/2))/(D21+2*((X21+Y21)/2)))^(2/3))^2+((DATOS!$B$34*H20/((D20*F20)/(D20+2*F20))^(2/3))^2))/2))&gt;0,X21,((X21+Y21)/2))</f>
        <v/>
      </c>
      <c r="AA21" s="5">
        <f>IF((((X21+Y21)/2)+(C21/(D21*((X21+Y21)/2)))^2/(2*9.81)+B21-(G20+H20^2/(2*9.81))-(A20-A21)*(((DATOS!$B$34*(C21/(D21*((X21+Y21)/2)))/((D21*((X21+Y21)/2))/(D21+2*((X21+Y21)/2)))^(2/3))^2+((DATOS!$B$34*H20/((D20*F20)/(D20+2*F20))^(2/3))^2))/2))&gt;0,((X21+Y21)/2),Y21)</f>
        <v/>
      </c>
      <c r="AB21" s="5">
        <f>IF((((Z21+AA21)/2)+(C21/(D21*((Z21+AA21)/2)))^2/(2*9.81)+B21-(G20+H20^2/(2*9.81))-(A20-A21)*(((DATOS!$B$34*(C21/(D21*((Z21+AA21)/2)))/((D21*((Z21+AA21)/2))/(D21+2*((Z21+AA21)/2)))^(2/3))^2+((DATOS!$B$34*H20/((D20*F20)/(D20+2*F20))^(2/3))^2))/2))&gt;0,Z21,((Z21+AA21)/2))</f>
        <v/>
      </c>
      <c r="AC21" s="5">
        <f>IF((((Z21+AA21)/2)+(C21/(D21*((Z21+AA21)/2)))^2/(2*9.81)+B21-(G20+H20^2/(2*9.81))-(A20-A21)*(((DATOS!$B$34*(C21/(D21*((Z21+AA21)/2)))/((D21*((Z21+AA21)/2))/(D21+2*((Z21+AA21)/2)))^(2/3))^2+((DATOS!$B$34*H20/((D20*F20)/(D20+2*F20))^(2/3))^2))/2))&gt;0,((Z21+AA21)/2),AA21)</f>
        <v/>
      </c>
      <c r="AD21" s="5">
        <f>IF((((AB21+AC21)/2)+(C21/(D21*((AB21+AC21)/2)))^2/(2*9.81)+B21-(G20+H20^2/(2*9.81))-(A20-A21)*(((DATOS!$B$34*(C21/(D21*((AB21+AC21)/2)))/((D21*((AB21+AC21)/2))/(D21+2*((AB21+AC21)/2)))^(2/3))^2+((DATOS!$B$34*H20/((D20*F20)/(D20+2*F20))^(2/3))^2))/2))&gt;0,AB21,((AB21+AC21)/2))</f>
        <v/>
      </c>
      <c r="AE21" s="5">
        <f>IF((((AB21+AC21)/2)+(C21/(D21*((AB21+AC21)/2)))^2/(2*9.81)+B21-(G20+H20^2/(2*9.81))-(A20-A21)*(((DATOS!$B$34*(C21/(D21*((AB21+AC21)/2)))/((D21*((AB21+AC21)/2))/(D21+2*((AB21+AC21)/2)))^(2/3))^2+((DATOS!$B$34*H20/((D20*F20)/(D20+2*F20))^(2/3))^2))/2))&gt;0,((AB21+AC21)/2),AC21)</f>
        <v/>
      </c>
      <c r="AF21" s="5">
        <f>IF((((AD21+AE21)/2)+(C21/(D21*((AD21+AE21)/2)))^2/(2*9.81)+B21-(G20+H20^2/(2*9.81))-(A20-A21)*(((DATOS!$B$34*(C21/(D21*((AD21+AE21)/2)))/((D21*((AD21+AE21)/2))/(D21+2*((AD21+AE21)/2)))^(2/3))^2+((DATOS!$B$34*H20/((D20*F20)/(D20+2*F20))^(2/3))^2))/2))&gt;0,AD21,((AD21+AE21)/2))</f>
        <v/>
      </c>
      <c r="AG21" s="5">
        <f>IF((((AD21+AE21)/2)+(C21/(D21*((AD21+AE21)/2)))^2/(2*9.81)+B21-(G20+H20^2/(2*9.81))-(A20-A21)*(((DATOS!$B$34*(C21/(D21*((AD21+AE21)/2)))/((D21*((AD21+AE21)/2))/(D21+2*((AD21+AE21)/2)))^(2/3))^2+((DATOS!$B$34*H20/((D20*F20)/(D20+2*F20))^(2/3))^2))/2))&gt;0,((AD21+AE21)/2),AE21)</f>
        <v/>
      </c>
      <c r="AH21" s="5">
        <f>IF((((AF21+AG21)/2)+(C21/(D21*((AF21+AG21)/2)))^2/(2*9.81)+B21-(G20+H20^2/(2*9.81))-(A20-A21)*(((DATOS!$B$34*(C21/(D21*((AF21+AG21)/2)))/((D21*((AF21+AG21)/2))/(D21+2*((AF21+AG21)/2)))^(2/3))^2+((DATOS!$B$34*H20/((D20*F20)/(D20+2*F20))^(2/3))^2))/2))&gt;0,AF21,((AF21+AG21)/2))</f>
        <v/>
      </c>
      <c r="AI21" s="5">
        <f>IF((((AF21+AG21)/2)+(C21/(D21*((AF21+AG21)/2)))^2/(2*9.81)+B21-(G20+H20^2/(2*9.81))-(A20-A21)*(((DATOS!$B$34*(C21/(D21*((AF21+AG21)/2)))/((D21*((AF21+AG21)/2))/(D21+2*((AF21+AG21)/2)))^(2/3))^2+((DATOS!$B$34*H20/((D20*F20)/(D20+2*F20))^(2/3))^2))/2))&gt;0,((AF21+AG21)/2),AG21)</f>
        <v/>
      </c>
      <c r="AJ21" s="5">
        <f>IF((((AH21+AI21)/2)+(C21/(D21*((AH21+AI21)/2)))^2/(2*9.81)+B21-(G20+H20^2/(2*9.81))-(A20-A21)*(((DATOS!$B$34*(C21/(D21*((AH21+AI21)/2)))/((D21*((AH21+AI21)/2))/(D21+2*((AH21+AI21)/2)))^(2/3))^2+((DATOS!$B$34*H20/((D20*F20)/(D20+2*F20))^(2/3))^2))/2))&gt;0,AH21,((AH21+AI21)/2))</f>
        <v/>
      </c>
      <c r="AK21" s="5">
        <f>IF((((AH21+AI21)/2)+(C21/(D21*((AH21+AI21)/2)))^2/(2*9.81)+B21-(G20+H20^2/(2*9.81))-(A20-A21)*(((DATOS!$B$34*(C21/(D21*((AH21+AI21)/2)))/((D21*((AH21+AI21)/2))/(D21+2*((AH21+AI21)/2)))^(2/3))^2+((DATOS!$B$34*H20/((D20*F20)/(D20+2*F20))^(2/3))^2))/2))&gt;0,((AH21+AI21)/2),AI21)</f>
        <v/>
      </c>
      <c r="AL21" s="5">
        <f>IF((((AJ21+AK21)/2)+(C21/(D21*((AJ21+AK21)/2)))^2/(2*9.81)+B21-(G20+H20^2/(2*9.81))-(A20-A21)*(((DATOS!$B$34*(C21/(D21*((AJ21+AK21)/2)))/((D21*((AJ21+AK21)/2))/(D21+2*((AJ21+AK21)/2)))^(2/3))^2+((DATOS!$B$34*H20/((D20*F20)/(D20+2*F20))^(2/3))^2))/2))&gt;0,AJ21,((AJ21+AK21)/2))</f>
        <v/>
      </c>
      <c r="AM21" s="5">
        <f>IF((((AJ21+AK21)/2)+(C21/(D21*((AJ21+AK21)/2)))^2/(2*9.81)+B21-(G20+H20^2/(2*9.81))-(A20-A21)*(((DATOS!$B$34*(C21/(D21*((AJ21+AK21)/2)))/((D21*((AJ21+AK21)/2))/(D21+2*((AJ21+AK21)/2)))^(2/3))^2+((DATOS!$B$34*H20/((D20*F20)/(D20+2*F20))^(2/3))^2))/2))&gt;0,((AJ21+AK21)/2),AK21)</f>
        <v/>
      </c>
      <c r="AN21" s="5">
        <f>IF((((AL21+AM21)/2)+(C21/(D21*((AL21+AM21)/2)))^2/(2*9.81)+B21-(G20+H20^2/(2*9.81))-(A20-A21)*(((DATOS!$B$34*(C21/(D21*((AL21+AM21)/2)))/((D21*((AL21+AM21)/2))/(D21+2*((AL21+AM21)/2)))^(2/3))^2+((DATOS!$B$34*H20/((D20*F20)/(D20+2*F20))^(2/3))^2))/2))&gt;0,AL21,((AL21+AM21)/2))</f>
        <v/>
      </c>
      <c r="AO21" s="5">
        <f>IF((((AL21+AM21)/2)+(C21/(D21*((AL21+AM21)/2)))^2/(2*9.81)+B21-(G20+H20^2/(2*9.81))-(A20-A21)*(((DATOS!$B$34*(C21/(D21*((AL21+AM21)/2)))/((D21*((AL21+AM21)/2))/(D21+2*((AL21+AM21)/2)))^(2/3))^2+((DATOS!$B$34*H20/((D20*F20)/(D20+2*F20))^(2/3))^2))/2))&gt;0,((AL21+AM21)/2),AM21)</f>
        <v/>
      </c>
      <c r="AP21" s="5">
        <f>IF((((AN21+AO21)/2)+(C21/(D21*((AN21+AO21)/2)))^2/(2*9.81)+B21-(G20+H20^2/(2*9.81))-(A20-A21)*(((DATOS!$B$34*(C21/(D21*((AN21+AO21)/2)))/((D21*((AN21+AO21)/2))/(D21+2*((AN21+AO21)/2)))^(2/3))^2+((DATOS!$B$34*H20/((D20*F20)/(D20+2*F20))^(2/3))^2))/2))&gt;0,AN21,((AN21+AO21)/2))</f>
        <v/>
      </c>
      <c r="AQ21" s="5">
        <f>IF((((AN21+AO21)/2)+(C21/(D21*((AN21+AO21)/2)))^2/(2*9.81)+B21-(G20+H20^2/(2*9.81))-(A20-A21)*(((DATOS!$B$34*(C21/(D21*((AN21+AO21)/2)))/((D21*((AN21+AO21)/2))/(D21+2*((AN21+AO21)/2)))^(2/3))^2+((DATOS!$B$34*H20/((D20*F20)/(D20+2*F20))^(2/3))^2))/2))&gt;0,((AN21+AO21)/2),AO21)</f>
        <v/>
      </c>
      <c r="AR21" s="5">
        <f>IF((((AP21+AQ21)/2)+(C21/(D21*((AP21+AQ21)/2)))^2/(2*9.81)+B21-(G20+H20^2/(2*9.81))-(A20-A21)*(((DATOS!$B$34*(C21/(D21*((AP21+AQ21)/2)))/((D21*((AP21+AQ21)/2))/(D21+2*((AP21+AQ21)/2)))^(2/3))^2+((DATOS!$B$34*H20/((D20*F20)/(D20+2*F20))^(2/3))^2))/2))&gt;0,AP21,((AP21+AQ21)/2))</f>
        <v/>
      </c>
      <c r="AS21" s="5">
        <f>IF((((AP21+AQ21)/2)+(C21/(D21*((AP21+AQ21)/2)))^2/(2*9.81)+B21-(G20+H20^2/(2*9.81))-(A20-A21)*(((DATOS!$B$34*(C21/(D21*((AP21+AQ21)/2)))/((D21*((AP21+AQ21)/2))/(D21+2*((AP21+AQ21)/2)))^(2/3))^2+((DATOS!$B$34*H20/((D20*F20)/(D20+2*F20))^(2/3))^2))/2))&gt;0,((AP21+AQ21)/2),AQ21)</f>
        <v/>
      </c>
      <c r="AT21" s="5">
        <f>IF((((AR21+AS21)/2)+(C21/(D21*((AR21+AS21)/2)))^2/(2*9.81)+B21-(G20+H20^2/(2*9.81))-(A20-A21)*(((DATOS!$B$34*(C21/(D21*((AR21+AS21)/2)))/((D21*((AR21+AS21)/2))/(D21+2*((AR21+AS21)/2)))^(2/3))^2+((DATOS!$B$34*H20/((D20*F20)/(D20+2*F20))^(2/3))^2))/2))&gt;0,AR21,((AR21+AS21)/2))</f>
        <v/>
      </c>
      <c r="AU21" s="5">
        <f>IF((((AR21+AS21)/2)+(C21/(D21*((AR21+AS21)/2)))^2/(2*9.81)+B21-(G20+H20^2/(2*9.81))-(A20-A21)*(((DATOS!$B$34*(C21/(D21*((AR21+AS21)/2)))/((D21*((AR21+AS21)/2))/(D21+2*((AR21+AS21)/2)))^(2/3))^2+((DATOS!$B$34*H20/((D20*F20)/(D20+2*F20))^(2/3))^2))/2))&gt;0,((AR21+AS21)/2),AS21)</f>
        <v/>
      </c>
      <c r="AV21" s="5">
        <f>IF((((AT21+AU21)/2)+(C21/(D21*((AT21+AU21)/2)))^2/(2*9.81)+B21-(G20+H20^2/(2*9.81))-(A20-A21)*(((DATOS!$B$34*(C21/(D21*((AT21+AU21)/2)))/((D21*((AT21+AU21)/2))/(D21+2*((AT21+AU21)/2)))^(2/3))^2+((DATOS!$B$34*H20/((D20*F20)/(D20+2*F20))^(2/3))^2))/2))&gt;0,AT21,((AT21+AU21)/2))</f>
        <v/>
      </c>
      <c r="AW21" s="5">
        <f>IF((((AT21+AU21)/2)+(C21/(D21*((AT21+AU21)/2)))^2/(2*9.81)+B21-(G20+H20^2/(2*9.81))-(A20-A21)*(((DATOS!$B$34*(C21/(D21*((AT21+AU21)/2)))/((D21*((AT21+AU21)/2))/(D21+2*((AT21+AU21)/2)))^(2/3))^2+((DATOS!$B$34*H20/((D20*F20)/(D20+2*F20))^(2/3))^2))/2))&gt;0,((AT21+AU21)/2),AU21)</f>
        <v/>
      </c>
      <c r="AX21" s="5">
        <f>IF((((AV21+AW21)/2)+(C21/(D21*((AV21+AW21)/2)))^2/(2*9.81)+B21-(G20+H20^2/(2*9.81))-(A20-A21)*(((DATOS!$B$34*(C21/(D21*((AV21+AW21)/2)))/((D21*((AV21+AW21)/2))/(D21+2*((AV21+AW21)/2)))^(2/3))^2+((DATOS!$B$34*H20/((D20*F20)/(D20+2*F20))^(2/3))^2))/2))&gt;0,AV21,((AV21+AW21)/2))</f>
        <v/>
      </c>
      <c r="AY21" s="5">
        <f>IF((((AV21+AW21)/2)+(C21/(D21*((AV21+AW21)/2)))^2/(2*9.81)+B21-(G20+H20^2/(2*9.81))-(A20-A21)*(((DATOS!$B$34*(C21/(D21*((AV21+AW21)/2)))/((D21*((AV21+AW21)/2))/(D21+2*((AV21+AW21)/2)))^(2/3))^2+((DATOS!$B$34*H20/((D20*F20)/(D20+2*F20))^(2/3))^2))/2))&gt;0,((AV21+AW21)/2),AW21)</f>
        <v/>
      </c>
      <c r="AZ21" s="5">
        <f>IF((((AX21+AY21)/2)+(C21/(D21*((AX21+AY21)/2)))^2/(2*9.81)+B21-(G20+H20^2/(2*9.81))-(A20-A21)*(((DATOS!$B$34*(C21/(D21*((AX21+AY21)/2)))/((D21*((AX21+AY21)/2))/(D21+2*((AX21+AY21)/2)))^(2/3))^2+((DATOS!$B$34*H20/((D20*F20)/(D20+2*F20))^(2/3))^2))/2))&gt;0,AX21,((AX21+AY21)/2))</f>
        <v/>
      </c>
      <c r="BA21" s="5">
        <f>IF((((AX21+AY21)/2)+(C21/(D21*((AX21+AY21)/2)))^2/(2*9.81)+B21-(G20+H20^2/(2*9.81))-(A20-A21)*(((DATOS!$B$34*(C21/(D21*((AX21+AY21)/2)))/((D21*((AX21+AY21)/2))/(D21+2*((AX21+AY21)/2)))^(2/3))^2+((DATOS!$B$34*H20/((D20*F20)/(D20+2*F20))^(2/3))^2))/2))&gt;0,((AX21+AY21)/2),AY21)</f>
        <v/>
      </c>
      <c r="BB21" s="5">
        <f>IF((((AZ21+BA21)/2)+(C21/(D21*((AZ21+BA21)/2)))^2/(2*9.81)+B21-(G20+H20^2/(2*9.81))-(A20-A21)*(((DATOS!$B$34*(C21/(D21*((AZ21+BA21)/2)))/((D21*((AZ21+BA21)/2))/(D21+2*((AZ21+BA21)/2)))^(2/3))^2+((DATOS!$B$34*H20/((D20*F20)/(D20+2*F20))^(2/3))^2))/2))&gt;0,AZ21,((AZ21+BA21)/2))</f>
        <v/>
      </c>
      <c r="BC21" s="5">
        <f>IF((((AZ21+BA21)/2)+(C21/(D21*((AZ21+BA21)/2)))^2/(2*9.81)+B21-(G20+H20^2/(2*9.81))-(A20-A21)*(((DATOS!$B$34*(C21/(D21*((AZ21+BA21)/2)))/((D21*((AZ21+BA21)/2))/(D21+2*((AZ21+BA21)/2)))^(2/3))^2+((DATOS!$B$34*H20/((D20*F20)/(D20+2*F20))^(2/3))^2))/2))&gt;0,((AZ21+BA21)/2),BA21)</f>
        <v/>
      </c>
      <c r="BD21" s="5">
        <f>IF((((BB21+BC21)/2)+(C21/(D21*((BB21+BC21)/2)))^2/(2*9.81)+B21-(G20+H20^2/(2*9.81))-(A20-A21)*(((DATOS!$B$34*(C21/(D21*((BB21+BC21)/2)))/((D21*((BB21+BC21)/2))/(D21+2*((BB21+BC21)/2)))^(2/3))^2+((DATOS!$B$34*H20/((D20*F20)/(D20+2*F20))^(2/3))^2))/2))&gt;0,BB21,((BB21+BC21)/2))</f>
        <v/>
      </c>
      <c r="BE21" s="5">
        <f>IF((((BB21+BC21)/2)+(C21/(D21*((BB21+BC21)/2)))^2/(2*9.81)+B21-(G20+H20^2/(2*9.81))-(A20-A21)*(((DATOS!$B$34*(C21/(D21*((BB21+BC21)/2)))/((D21*((BB21+BC21)/2))/(D21+2*((BB21+BC21)/2)))^(2/3))^2+((DATOS!$B$34*H20/((D20*F20)/(D20+2*F20))^(2/3))^2))/2))&gt;0,((BB21+BC21)/2),BC21)</f>
        <v/>
      </c>
      <c r="BF21" s="5">
        <f>IF((((BD21+BE21)/2)+(C21/(D21*((BD21+BE21)/2)))^2/(2*9.81)+B21-(G20+H20^2/(2*9.81))-(A20-A21)*(((DATOS!$B$34*(C21/(D21*((BD21+BE21)/2)))/((D21*((BD21+BE21)/2))/(D21+2*((BD21+BE21)/2)))^(2/3))^2+((DATOS!$B$34*H20/((D20*F20)/(D20+2*F20))^(2/3))^2))/2))&gt;0,BD21,((BD21+BE21)/2))</f>
        <v/>
      </c>
      <c r="BG21" s="5">
        <f>IF((((BD21+BE21)/2)+(C21/(D21*((BD21+BE21)/2)))^2/(2*9.81)+B21-(G20+H20^2/(2*9.81))-(A20-A21)*(((DATOS!$B$34*(C21/(D21*((BD21+BE21)/2)))/((D21*((BD21+BE21)/2))/(D21+2*((BD21+BE21)/2)))^(2/3))^2+((DATOS!$B$34*H20/((D20*F20)/(D20+2*F20))^(2/3))^2))/2))&gt;0,((BD21+BE21)/2),BE21)</f>
        <v/>
      </c>
      <c r="BH21" s="5">
        <f>IF((((BF21+BG21)/2)+(C21/(D21*((BF21+BG21)/2)))^2/(2*9.81)+B21-(G20+H20^2/(2*9.81))-(A20-A21)*(((DATOS!$B$34*(C21/(D21*((BF21+BG21)/2)))/((D21*((BF21+BG21)/2))/(D21+2*((BF21+BG21)/2)))^(2/3))^2+((DATOS!$B$34*H20/((D20*F20)/(D20+2*F20))^(2/3))^2))/2))&gt;0,BF21,((BF21+BG21)/2))</f>
        <v/>
      </c>
      <c r="BI21" s="5">
        <f>IF((((BF21+BG21)/2)+(C21/(D21*((BF21+BG21)/2)))^2/(2*9.81)+B21-(G20+H20^2/(2*9.81))-(A20-A21)*(((DATOS!$B$34*(C21/(D21*((BF21+BG21)/2)))/((D21*((BF21+BG21)/2))/(D21+2*((BF21+BG21)/2)))^(2/3))^2+((DATOS!$B$34*H20/((D20*F20)/(D20+2*F20))^(2/3))^2))/2))&gt;0,((BF21+BG21)/2),BG21)</f>
        <v/>
      </c>
      <c r="BJ21" s="5">
        <f>IF((((BH21+BI21)/2)+(C21/(D21*((BH21+BI21)/2)))^2/(2*9.81)+B21-(G20+H20^2/(2*9.81))-(A20-A21)*(((DATOS!$B$34*(C21/(D21*((BH21+BI21)/2)))/((D21*((BH21+BI21)/2))/(D21+2*((BH21+BI21)/2)))^(2/3))^2+((DATOS!$B$34*H20/((D20*F20)/(D20+2*F20))^(2/3))^2))/2))&gt;0,BH21,((BH21+BI21)/2))</f>
        <v/>
      </c>
      <c r="BK21" s="5">
        <f>IF((((BH21+BI21)/2)+(C21/(D21*((BH21+BI21)/2)))^2/(2*9.81)+B21-(G20+H20^2/(2*9.81))-(A20-A21)*(((DATOS!$B$34*(C21/(D21*((BH21+BI21)/2)))/((D21*((BH21+BI21)/2))/(D21+2*((BH21+BI21)/2)))^(2/3))^2+((DATOS!$B$34*H20/((D20*F20)/(D20+2*F20))^(2/3))^2))/2))&gt;0,((BH21+BI21)/2),BI21)</f>
        <v/>
      </c>
      <c r="BL21" s="5">
        <f>IF((((BJ21+BK21)/2)+(C21/(D21*((BJ21+BK21)/2)))^2/(2*9.81)+B21-(G20+H20^2/(2*9.81))-(A20-A21)*(((DATOS!$B$34*(C21/(D21*((BJ21+BK21)/2)))/((D21*((BJ21+BK21)/2))/(D21+2*((BJ21+BK21)/2)))^(2/3))^2+((DATOS!$B$34*H20/((D20*F20)/(D20+2*F20))^(2/3))^2))/2))&gt;0,BJ21,((BJ21+BK21)/2))</f>
        <v/>
      </c>
      <c r="BM21" s="5">
        <f>IF((((BJ21+BK21)/2)+(C21/(D21*((BJ21+BK21)/2)))^2/(2*9.81)+B21-(G20+H20^2/(2*9.81))-(A20-A21)*(((DATOS!$B$34*(C21/(D21*((BJ21+BK21)/2)))/((D21*((BJ21+BK21)/2))/(D21+2*((BJ21+BK21)/2)))^(2/3))^2+((DATOS!$B$34*H20/((D20*F20)/(D20+2*F20))^(2/3))^2))/2))&gt;0,((BJ21+BK21)/2),BK21)</f>
        <v/>
      </c>
      <c r="BN21" s="5">
        <f>IF((((BL21+BM21)/2)+(C21/(D21*((BL21+BM21)/2)))^2/(2*9.81)+B21-(G20+H20^2/(2*9.81))-(A20-A21)*(((DATOS!$B$34*(C21/(D21*((BL21+BM21)/2)))/((D21*((BL21+BM21)/2))/(D21+2*((BL21+BM21)/2)))^(2/3))^2+((DATOS!$B$34*H20/((D20*F20)/(D20+2*F20))^(2/3))^2))/2))&gt;0,BL21,((BL21+BM21)/2))</f>
        <v/>
      </c>
      <c r="BO21" s="5">
        <f>IF((((BL21+BM21)/2)+(C21/(D21*((BL21+BM21)/2)))^2/(2*9.81)+B21-(G20+H20^2/(2*9.81))-(A20-A21)*(((DATOS!$B$34*(C21/(D21*((BL21+BM21)/2)))/((D21*((BL21+BM21)/2))/(D21+2*((BL21+BM21)/2)))^(2/3))^2+((DATOS!$B$34*H20/((D20*F20)/(D20+2*F20))^(2/3))^2))/2))&gt;0,((BL21+BM21)/2),BM21)</f>
        <v/>
      </c>
      <c r="BP21" s="5">
        <f>IF((((BN21+BO21)/2)+(C21/(D21*((BN21+BO21)/2)))^2/(2*9.81)+B21-(G20+H20^2/(2*9.81))-(A20-A21)*(((DATOS!$B$34*(C21/(D21*((BN21+BO21)/2)))/((D21*((BN21+BO21)/2))/(D21+2*((BN21+BO21)/2)))^(2/3))^2+((DATOS!$B$34*H20/((D20*F20)/(D20+2*F20))^(2/3))^2))/2))&gt;0,BN21,((BN21+BO21)/2))</f>
        <v/>
      </c>
      <c r="BQ21" s="5">
        <f>IF((((BN21+BO21)/2)+(C21/(D21*((BN21+BO21)/2)))^2/(2*9.81)+B21-(G20+H20^2/(2*9.81))-(A20-A21)*(((DATOS!$B$34*(C21/(D21*((BN21+BO21)/2)))/((D21*((BN21+BO21)/2))/(D21+2*((BN21+BO21)/2)))^(2/3))^2+((DATOS!$B$34*H20/((D20*F20)/(D20+2*F20))^(2/3))^2))/2))&gt;0,((BN21+BO21)/2),BO21)</f>
        <v/>
      </c>
      <c r="BR21" s="5">
        <f>IF((((BP21+BQ21)/2)+(C21/(D21*((BP21+BQ21)/2)))^2/(2*9.81)+B21-(G20+H20^2/(2*9.81))-(A20-A21)*(((DATOS!$B$34*(C21/(D21*((BP21+BQ21)/2)))/((D21*((BP21+BQ21)/2))/(D21+2*((BP21+BQ21)/2)))^(2/3))^2+((DATOS!$B$34*H20/((D20*F20)/(D20+2*F20))^(2/3))^2))/2))&gt;0,BP21,((BP21+BQ21)/2))</f>
        <v/>
      </c>
      <c r="BS21" s="5">
        <f>IF((((BP21+BQ21)/2)+(C21/(D21*((BP21+BQ21)/2)))^2/(2*9.81)+B21-(G20+H20^2/(2*9.81))-(A20-A21)*(((DATOS!$B$34*(C21/(D21*((BP21+BQ21)/2)))/((D21*((BP21+BQ21)/2))/(D21+2*((BP21+BQ21)/2)))^(2/3))^2+((DATOS!$B$34*H20/((D20*F20)/(D20+2*F20))^(2/3))^2))/2))&gt;0,((BP21+BQ21)/2),BQ21)</f>
        <v/>
      </c>
      <c r="BT21" s="5">
        <f>IF((((BR21+BS21)/2)+(C21/(D21*((BR21+BS21)/2)))^2/(2*9.81)+B21-(G20+H20^2/(2*9.81))-(A20-A21)*(((DATOS!$B$34*(C21/(D21*((BR21+BS21)/2)))/((D21*((BR21+BS21)/2))/(D21+2*((BR21+BS21)/2)))^(2/3))^2+((DATOS!$B$34*H20/((D20*F20)/(D20+2*F20))^(2/3))^2))/2))&gt;0,BR21,((BR21+BS21)/2))</f>
        <v/>
      </c>
      <c r="BU21" s="5">
        <f>IF((((BR21+BS21)/2)+(C21/(D21*((BR21+BS21)/2)))^2/(2*9.81)+B21-(G20+H20^2/(2*9.81))-(A20-A21)*(((DATOS!$B$34*(C21/(D21*((BR21+BS21)/2)))/((D21*((BR21+BS21)/2))/(D21+2*((BR21+BS21)/2)))^(2/3))^2+((DATOS!$B$34*H20/((D20*F20)/(D20+2*F20))^(2/3))^2))/2))&gt;0,((BR21+BS21)/2),BS21)</f>
        <v/>
      </c>
      <c r="BV21" s="5">
        <f>IF((((BT21+BU21)/2)+(C21/(D21*((BT21+BU21)/2)))^2/(2*9.81)+B21-(G20+H20^2/(2*9.81))-(A20-A21)*(((DATOS!$B$34*(C21/(D21*((BT21+BU21)/2)))/((D21*((BT21+BU21)/2))/(D21+2*((BT21+BU21)/2)))^(2/3))^2+((DATOS!$B$34*H20/((D20*F20)/(D20+2*F20))^(2/3))^2))/2))&gt;0,BT21,((BT21+BU21)/2))</f>
        <v/>
      </c>
      <c r="BW21" s="5">
        <f>IF((((BT21+BU21)/2)+(C21/(D21*((BT21+BU21)/2)))^2/(2*9.81)+B21-(G20+H20^2/(2*9.81))-(A20-A21)*(((DATOS!$B$34*(C21/(D21*((BT21+BU21)/2)))/((D21*((BT21+BU21)/2))/(D21+2*((BT21+BU21)/2)))^(2/3))^2+((DATOS!$B$34*H20/((D20*F20)/(D20+2*F20))^(2/3))^2))/2))&gt;0,((BT21+BU21)/2),BU21)</f>
        <v/>
      </c>
    </row>
    <row r="22">
      <c r="A22" s="13" t="n">
        <v>58.81</v>
      </c>
      <c r="B22" s="16">
        <f>DATOS!$B$22-DATOS!$B$23*A22</f>
        <v/>
      </c>
      <c r="C22" s="24">
        <f>CAUDALES!$B$13</f>
        <v/>
      </c>
      <c r="D22" s="17">
        <f>DATOS!$B$17</f>
        <v/>
      </c>
      <c r="E22" s="16">
        <f>(C22^2/(9.81*D22^2))^(1/3)</f>
        <v/>
      </c>
      <c r="F22" s="16">
        <f>(BV22+BW22)/2</f>
        <v/>
      </c>
      <c r="G22" s="16">
        <f>B22+F22</f>
        <v/>
      </c>
      <c r="H22" s="19">
        <f>C22/(D22*F22)</f>
        <v/>
      </c>
      <c r="I22" s="19">
        <f>H22/SQRT(9.81*F22)</f>
        <v/>
      </c>
      <c r="J22" s="16">
        <f>DATOS!$B$29-IF(AND(A22&gt;=DATOS!$B$30,A22&lt;DATOS!$B$31),DATOS!$B$21,DATOS!$B$20)</f>
        <v/>
      </c>
      <c r="K22" s="19">
        <f>J22-B22</f>
        <v/>
      </c>
      <c r="L22" s="19">
        <f>F22/K22</f>
        <v/>
      </c>
      <c r="M22" s="16">
        <f>J22-G22</f>
        <v/>
      </c>
      <c r="N22" s="5">
        <f>IF(AND(L22&lt;=DATOS!$B$36,M22&gt;=DATOS!$B$37,I22&lt;=1),"CUMPLE","NO CUMPLE")</f>
        <v/>
      </c>
      <c r="O22" s="5">
        <f>IF(AND(A22&gt;=DATOS!$B$30,A22&lt;DATOS!$B$31),"cruce de camiones",IF(AND(A22&gt;=DATOS!$B$32,A22&lt;DATOS!$B$33),"cruce de motos","tramo normal"))</f>
        <v/>
      </c>
      <c r="P22" s="5">
        <f>E22*1.001</f>
        <v/>
      </c>
      <c r="Q22" s="13" t="n">
        <v>3</v>
      </c>
      <c r="R22" s="5">
        <f>IF((((P22+Q22)/2)+(C22/(D22*((P22+Q22)/2)))^2/(2*9.81)+B22-(G21+H21^2/(2*9.81))-(A21-A22)*(((DATOS!$B$34*(C22/(D22*((P22+Q22)/2)))/((D22*((P22+Q22)/2))/(D22+2*((P22+Q22)/2)))^(2/3))^2+((DATOS!$B$34*H21/((D21*F21)/(D21+2*F21))^(2/3))^2))/2))&gt;0,P22,((P22+Q22)/2))</f>
        <v/>
      </c>
      <c r="S22" s="5">
        <f>IF((((P22+Q22)/2)+(C22/(D22*((P22+Q22)/2)))^2/(2*9.81)+B22-(G21+H21^2/(2*9.81))-(A21-A22)*(((DATOS!$B$34*(C22/(D22*((P22+Q22)/2)))/((D22*((P22+Q22)/2))/(D22+2*((P22+Q22)/2)))^(2/3))^2+((DATOS!$B$34*H21/((D21*F21)/(D21+2*F21))^(2/3))^2))/2))&gt;0,((P22+Q22)/2),Q22)</f>
        <v/>
      </c>
      <c r="T22" s="5">
        <f>IF((((R22+S22)/2)+(C22/(D22*((R22+S22)/2)))^2/(2*9.81)+B22-(G21+H21^2/(2*9.81))-(A21-A22)*(((DATOS!$B$34*(C22/(D22*((R22+S22)/2)))/((D22*((R22+S22)/2))/(D22+2*((R22+S22)/2)))^(2/3))^2+((DATOS!$B$34*H21/((D21*F21)/(D21+2*F21))^(2/3))^2))/2))&gt;0,R22,((R22+S22)/2))</f>
        <v/>
      </c>
      <c r="U22" s="5">
        <f>IF((((R22+S22)/2)+(C22/(D22*((R22+S22)/2)))^2/(2*9.81)+B22-(G21+H21^2/(2*9.81))-(A21-A22)*(((DATOS!$B$34*(C22/(D22*((R22+S22)/2)))/((D22*((R22+S22)/2))/(D22+2*((R22+S22)/2)))^(2/3))^2+((DATOS!$B$34*H21/((D21*F21)/(D21+2*F21))^(2/3))^2))/2))&gt;0,((R22+S22)/2),S22)</f>
        <v/>
      </c>
      <c r="V22" s="5">
        <f>IF((((T22+U22)/2)+(C22/(D22*((T22+U22)/2)))^2/(2*9.81)+B22-(G21+H21^2/(2*9.81))-(A21-A22)*(((DATOS!$B$34*(C22/(D22*((T22+U22)/2)))/((D22*((T22+U22)/2))/(D22+2*((T22+U22)/2)))^(2/3))^2+((DATOS!$B$34*H21/((D21*F21)/(D21+2*F21))^(2/3))^2))/2))&gt;0,T22,((T22+U22)/2))</f>
        <v/>
      </c>
      <c r="W22" s="5">
        <f>IF((((T22+U22)/2)+(C22/(D22*((T22+U22)/2)))^2/(2*9.81)+B22-(G21+H21^2/(2*9.81))-(A21-A22)*(((DATOS!$B$34*(C22/(D22*((T22+U22)/2)))/((D22*((T22+U22)/2))/(D22+2*((T22+U22)/2)))^(2/3))^2+((DATOS!$B$34*H21/((D21*F21)/(D21+2*F21))^(2/3))^2))/2))&gt;0,((T22+U22)/2),U22)</f>
        <v/>
      </c>
      <c r="X22" s="5">
        <f>IF((((V22+W22)/2)+(C22/(D22*((V22+W22)/2)))^2/(2*9.81)+B22-(G21+H21^2/(2*9.81))-(A21-A22)*(((DATOS!$B$34*(C22/(D22*((V22+W22)/2)))/((D22*((V22+W22)/2))/(D22+2*((V22+W22)/2)))^(2/3))^2+((DATOS!$B$34*H21/((D21*F21)/(D21+2*F21))^(2/3))^2))/2))&gt;0,V22,((V22+W22)/2))</f>
        <v/>
      </c>
      <c r="Y22" s="5">
        <f>IF((((V22+W22)/2)+(C22/(D22*((V22+W22)/2)))^2/(2*9.81)+B22-(G21+H21^2/(2*9.81))-(A21-A22)*(((DATOS!$B$34*(C22/(D22*((V22+W22)/2)))/((D22*((V22+W22)/2))/(D22+2*((V22+W22)/2)))^(2/3))^2+((DATOS!$B$34*H21/((D21*F21)/(D21+2*F21))^(2/3))^2))/2))&gt;0,((V22+W22)/2),W22)</f>
        <v/>
      </c>
      <c r="Z22" s="5">
        <f>IF((((X22+Y22)/2)+(C22/(D22*((X22+Y22)/2)))^2/(2*9.81)+B22-(G21+H21^2/(2*9.81))-(A21-A22)*(((DATOS!$B$34*(C22/(D22*((X22+Y22)/2)))/((D22*((X22+Y22)/2))/(D22+2*((X22+Y22)/2)))^(2/3))^2+((DATOS!$B$34*H21/((D21*F21)/(D21+2*F21))^(2/3))^2))/2))&gt;0,X22,((X22+Y22)/2))</f>
        <v/>
      </c>
      <c r="AA22" s="5">
        <f>IF((((X22+Y22)/2)+(C22/(D22*((X22+Y22)/2)))^2/(2*9.81)+B22-(G21+H21^2/(2*9.81))-(A21-A22)*(((DATOS!$B$34*(C22/(D22*((X22+Y22)/2)))/((D22*((X22+Y22)/2))/(D22+2*((X22+Y22)/2)))^(2/3))^2+((DATOS!$B$34*H21/((D21*F21)/(D21+2*F21))^(2/3))^2))/2))&gt;0,((X22+Y22)/2),Y22)</f>
        <v/>
      </c>
      <c r="AB22" s="5">
        <f>IF((((Z22+AA22)/2)+(C22/(D22*((Z22+AA22)/2)))^2/(2*9.81)+B22-(G21+H21^2/(2*9.81))-(A21-A22)*(((DATOS!$B$34*(C22/(D22*((Z22+AA22)/2)))/((D22*((Z22+AA22)/2))/(D22+2*((Z22+AA22)/2)))^(2/3))^2+((DATOS!$B$34*H21/((D21*F21)/(D21+2*F21))^(2/3))^2))/2))&gt;0,Z22,((Z22+AA22)/2))</f>
        <v/>
      </c>
      <c r="AC22" s="5">
        <f>IF((((Z22+AA22)/2)+(C22/(D22*((Z22+AA22)/2)))^2/(2*9.81)+B22-(G21+H21^2/(2*9.81))-(A21-A22)*(((DATOS!$B$34*(C22/(D22*((Z22+AA22)/2)))/((D22*((Z22+AA22)/2))/(D22+2*((Z22+AA22)/2)))^(2/3))^2+((DATOS!$B$34*H21/((D21*F21)/(D21+2*F21))^(2/3))^2))/2))&gt;0,((Z22+AA22)/2),AA22)</f>
        <v/>
      </c>
      <c r="AD22" s="5">
        <f>IF((((AB22+AC22)/2)+(C22/(D22*((AB22+AC22)/2)))^2/(2*9.81)+B22-(G21+H21^2/(2*9.81))-(A21-A22)*(((DATOS!$B$34*(C22/(D22*((AB22+AC22)/2)))/((D22*((AB22+AC22)/2))/(D22+2*((AB22+AC22)/2)))^(2/3))^2+((DATOS!$B$34*H21/((D21*F21)/(D21+2*F21))^(2/3))^2))/2))&gt;0,AB22,((AB22+AC22)/2))</f>
        <v/>
      </c>
      <c r="AE22" s="5">
        <f>IF((((AB22+AC22)/2)+(C22/(D22*((AB22+AC22)/2)))^2/(2*9.81)+B22-(G21+H21^2/(2*9.81))-(A21-A22)*(((DATOS!$B$34*(C22/(D22*((AB22+AC22)/2)))/((D22*((AB22+AC22)/2))/(D22+2*((AB22+AC22)/2)))^(2/3))^2+((DATOS!$B$34*H21/((D21*F21)/(D21+2*F21))^(2/3))^2))/2))&gt;0,((AB22+AC22)/2),AC22)</f>
        <v/>
      </c>
      <c r="AF22" s="5">
        <f>IF((((AD22+AE22)/2)+(C22/(D22*((AD22+AE22)/2)))^2/(2*9.81)+B22-(G21+H21^2/(2*9.81))-(A21-A22)*(((DATOS!$B$34*(C22/(D22*((AD22+AE22)/2)))/((D22*((AD22+AE22)/2))/(D22+2*((AD22+AE22)/2)))^(2/3))^2+((DATOS!$B$34*H21/((D21*F21)/(D21+2*F21))^(2/3))^2))/2))&gt;0,AD22,((AD22+AE22)/2))</f>
        <v/>
      </c>
      <c r="AG22" s="5">
        <f>IF((((AD22+AE22)/2)+(C22/(D22*((AD22+AE22)/2)))^2/(2*9.81)+B22-(G21+H21^2/(2*9.81))-(A21-A22)*(((DATOS!$B$34*(C22/(D22*((AD22+AE22)/2)))/((D22*((AD22+AE22)/2))/(D22+2*((AD22+AE22)/2)))^(2/3))^2+((DATOS!$B$34*H21/((D21*F21)/(D21+2*F21))^(2/3))^2))/2))&gt;0,((AD22+AE22)/2),AE22)</f>
        <v/>
      </c>
      <c r="AH22" s="5">
        <f>IF((((AF22+AG22)/2)+(C22/(D22*((AF22+AG22)/2)))^2/(2*9.81)+B22-(G21+H21^2/(2*9.81))-(A21-A22)*(((DATOS!$B$34*(C22/(D22*((AF22+AG22)/2)))/((D22*((AF22+AG22)/2))/(D22+2*((AF22+AG22)/2)))^(2/3))^2+((DATOS!$B$34*H21/((D21*F21)/(D21+2*F21))^(2/3))^2))/2))&gt;0,AF22,((AF22+AG22)/2))</f>
        <v/>
      </c>
      <c r="AI22" s="5">
        <f>IF((((AF22+AG22)/2)+(C22/(D22*((AF22+AG22)/2)))^2/(2*9.81)+B22-(G21+H21^2/(2*9.81))-(A21-A22)*(((DATOS!$B$34*(C22/(D22*((AF22+AG22)/2)))/((D22*((AF22+AG22)/2))/(D22+2*((AF22+AG22)/2)))^(2/3))^2+((DATOS!$B$34*H21/((D21*F21)/(D21+2*F21))^(2/3))^2))/2))&gt;0,((AF22+AG22)/2),AG22)</f>
        <v/>
      </c>
      <c r="AJ22" s="5">
        <f>IF((((AH22+AI22)/2)+(C22/(D22*((AH22+AI22)/2)))^2/(2*9.81)+B22-(G21+H21^2/(2*9.81))-(A21-A22)*(((DATOS!$B$34*(C22/(D22*((AH22+AI22)/2)))/((D22*((AH22+AI22)/2))/(D22+2*((AH22+AI22)/2)))^(2/3))^2+((DATOS!$B$34*H21/((D21*F21)/(D21+2*F21))^(2/3))^2))/2))&gt;0,AH22,((AH22+AI22)/2))</f>
        <v/>
      </c>
      <c r="AK22" s="5">
        <f>IF((((AH22+AI22)/2)+(C22/(D22*((AH22+AI22)/2)))^2/(2*9.81)+B22-(G21+H21^2/(2*9.81))-(A21-A22)*(((DATOS!$B$34*(C22/(D22*((AH22+AI22)/2)))/((D22*((AH22+AI22)/2))/(D22+2*((AH22+AI22)/2)))^(2/3))^2+((DATOS!$B$34*H21/((D21*F21)/(D21+2*F21))^(2/3))^2))/2))&gt;0,((AH22+AI22)/2),AI22)</f>
        <v/>
      </c>
      <c r="AL22" s="5">
        <f>IF((((AJ22+AK22)/2)+(C22/(D22*((AJ22+AK22)/2)))^2/(2*9.81)+B22-(G21+H21^2/(2*9.81))-(A21-A22)*(((DATOS!$B$34*(C22/(D22*((AJ22+AK22)/2)))/((D22*((AJ22+AK22)/2))/(D22+2*((AJ22+AK22)/2)))^(2/3))^2+((DATOS!$B$34*H21/((D21*F21)/(D21+2*F21))^(2/3))^2))/2))&gt;0,AJ22,((AJ22+AK22)/2))</f>
        <v/>
      </c>
      <c r="AM22" s="5">
        <f>IF((((AJ22+AK22)/2)+(C22/(D22*((AJ22+AK22)/2)))^2/(2*9.81)+B22-(G21+H21^2/(2*9.81))-(A21-A22)*(((DATOS!$B$34*(C22/(D22*((AJ22+AK22)/2)))/((D22*((AJ22+AK22)/2))/(D22+2*((AJ22+AK22)/2)))^(2/3))^2+((DATOS!$B$34*H21/((D21*F21)/(D21+2*F21))^(2/3))^2))/2))&gt;0,((AJ22+AK22)/2),AK22)</f>
        <v/>
      </c>
      <c r="AN22" s="5">
        <f>IF((((AL22+AM22)/2)+(C22/(D22*((AL22+AM22)/2)))^2/(2*9.81)+B22-(G21+H21^2/(2*9.81))-(A21-A22)*(((DATOS!$B$34*(C22/(D22*((AL22+AM22)/2)))/((D22*((AL22+AM22)/2))/(D22+2*((AL22+AM22)/2)))^(2/3))^2+((DATOS!$B$34*H21/((D21*F21)/(D21+2*F21))^(2/3))^2))/2))&gt;0,AL22,((AL22+AM22)/2))</f>
        <v/>
      </c>
      <c r="AO22" s="5">
        <f>IF((((AL22+AM22)/2)+(C22/(D22*((AL22+AM22)/2)))^2/(2*9.81)+B22-(G21+H21^2/(2*9.81))-(A21-A22)*(((DATOS!$B$34*(C22/(D22*((AL22+AM22)/2)))/((D22*((AL22+AM22)/2))/(D22+2*((AL22+AM22)/2)))^(2/3))^2+((DATOS!$B$34*H21/((D21*F21)/(D21+2*F21))^(2/3))^2))/2))&gt;0,((AL22+AM22)/2),AM22)</f>
        <v/>
      </c>
      <c r="AP22" s="5">
        <f>IF((((AN22+AO22)/2)+(C22/(D22*((AN22+AO22)/2)))^2/(2*9.81)+B22-(G21+H21^2/(2*9.81))-(A21-A22)*(((DATOS!$B$34*(C22/(D22*((AN22+AO22)/2)))/((D22*((AN22+AO22)/2))/(D22+2*((AN22+AO22)/2)))^(2/3))^2+((DATOS!$B$34*H21/((D21*F21)/(D21+2*F21))^(2/3))^2))/2))&gt;0,AN22,((AN22+AO22)/2))</f>
        <v/>
      </c>
      <c r="AQ22" s="5">
        <f>IF((((AN22+AO22)/2)+(C22/(D22*((AN22+AO22)/2)))^2/(2*9.81)+B22-(G21+H21^2/(2*9.81))-(A21-A22)*(((DATOS!$B$34*(C22/(D22*((AN22+AO22)/2)))/((D22*((AN22+AO22)/2))/(D22+2*((AN22+AO22)/2)))^(2/3))^2+((DATOS!$B$34*H21/((D21*F21)/(D21+2*F21))^(2/3))^2))/2))&gt;0,((AN22+AO22)/2),AO22)</f>
        <v/>
      </c>
      <c r="AR22" s="5">
        <f>IF((((AP22+AQ22)/2)+(C22/(D22*((AP22+AQ22)/2)))^2/(2*9.81)+B22-(G21+H21^2/(2*9.81))-(A21-A22)*(((DATOS!$B$34*(C22/(D22*((AP22+AQ22)/2)))/((D22*((AP22+AQ22)/2))/(D22+2*((AP22+AQ22)/2)))^(2/3))^2+((DATOS!$B$34*H21/((D21*F21)/(D21+2*F21))^(2/3))^2))/2))&gt;0,AP22,((AP22+AQ22)/2))</f>
        <v/>
      </c>
      <c r="AS22" s="5">
        <f>IF((((AP22+AQ22)/2)+(C22/(D22*((AP22+AQ22)/2)))^2/(2*9.81)+B22-(G21+H21^2/(2*9.81))-(A21-A22)*(((DATOS!$B$34*(C22/(D22*((AP22+AQ22)/2)))/((D22*((AP22+AQ22)/2))/(D22+2*((AP22+AQ22)/2)))^(2/3))^2+((DATOS!$B$34*H21/((D21*F21)/(D21+2*F21))^(2/3))^2))/2))&gt;0,((AP22+AQ22)/2),AQ22)</f>
        <v/>
      </c>
      <c r="AT22" s="5">
        <f>IF((((AR22+AS22)/2)+(C22/(D22*((AR22+AS22)/2)))^2/(2*9.81)+B22-(G21+H21^2/(2*9.81))-(A21-A22)*(((DATOS!$B$34*(C22/(D22*((AR22+AS22)/2)))/((D22*((AR22+AS22)/2))/(D22+2*((AR22+AS22)/2)))^(2/3))^2+((DATOS!$B$34*H21/((D21*F21)/(D21+2*F21))^(2/3))^2))/2))&gt;0,AR22,((AR22+AS22)/2))</f>
        <v/>
      </c>
      <c r="AU22" s="5">
        <f>IF((((AR22+AS22)/2)+(C22/(D22*((AR22+AS22)/2)))^2/(2*9.81)+B22-(G21+H21^2/(2*9.81))-(A21-A22)*(((DATOS!$B$34*(C22/(D22*((AR22+AS22)/2)))/((D22*((AR22+AS22)/2))/(D22+2*((AR22+AS22)/2)))^(2/3))^2+((DATOS!$B$34*H21/((D21*F21)/(D21+2*F21))^(2/3))^2))/2))&gt;0,((AR22+AS22)/2),AS22)</f>
        <v/>
      </c>
      <c r="AV22" s="5">
        <f>IF((((AT22+AU22)/2)+(C22/(D22*((AT22+AU22)/2)))^2/(2*9.81)+B22-(G21+H21^2/(2*9.81))-(A21-A22)*(((DATOS!$B$34*(C22/(D22*((AT22+AU22)/2)))/((D22*((AT22+AU22)/2))/(D22+2*((AT22+AU22)/2)))^(2/3))^2+((DATOS!$B$34*H21/((D21*F21)/(D21+2*F21))^(2/3))^2))/2))&gt;0,AT22,((AT22+AU22)/2))</f>
        <v/>
      </c>
      <c r="AW22" s="5">
        <f>IF((((AT22+AU22)/2)+(C22/(D22*((AT22+AU22)/2)))^2/(2*9.81)+B22-(G21+H21^2/(2*9.81))-(A21-A22)*(((DATOS!$B$34*(C22/(D22*((AT22+AU22)/2)))/((D22*((AT22+AU22)/2))/(D22+2*((AT22+AU22)/2)))^(2/3))^2+((DATOS!$B$34*H21/((D21*F21)/(D21+2*F21))^(2/3))^2))/2))&gt;0,((AT22+AU22)/2),AU22)</f>
        <v/>
      </c>
      <c r="AX22" s="5">
        <f>IF((((AV22+AW22)/2)+(C22/(D22*((AV22+AW22)/2)))^2/(2*9.81)+B22-(G21+H21^2/(2*9.81))-(A21-A22)*(((DATOS!$B$34*(C22/(D22*((AV22+AW22)/2)))/((D22*((AV22+AW22)/2))/(D22+2*((AV22+AW22)/2)))^(2/3))^2+((DATOS!$B$34*H21/((D21*F21)/(D21+2*F21))^(2/3))^2))/2))&gt;0,AV22,((AV22+AW22)/2))</f>
        <v/>
      </c>
      <c r="AY22" s="5">
        <f>IF((((AV22+AW22)/2)+(C22/(D22*((AV22+AW22)/2)))^2/(2*9.81)+B22-(G21+H21^2/(2*9.81))-(A21-A22)*(((DATOS!$B$34*(C22/(D22*((AV22+AW22)/2)))/((D22*((AV22+AW22)/2))/(D22+2*((AV22+AW22)/2)))^(2/3))^2+((DATOS!$B$34*H21/((D21*F21)/(D21+2*F21))^(2/3))^2))/2))&gt;0,((AV22+AW22)/2),AW22)</f>
        <v/>
      </c>
      <c r="AZ22" s="5">
        <f>IF((((AX22+AY22)/2)+(C22/(D22*((AX22+AY22)/2)))^2/(2*9.81)+B22-(G21+H21^2/(2*9.81))-(A21-A22)*(((DATOS!$B$34*(C22/(D22*((AX22+AY22)/2)))/((D22*((AX22+AY22)/2))/(D22+2*((AX22+AY22)/2)))^(2/3))^2+((DATOS!$B$34*H21/((D21*F21)/(D21+2*F21))^(2/3))^2))/2))&gt;0,AX22,((AX22+AY22)/2))</f>
        <v/>
      </c>
      <c r="BA22" s="5">
        <f>IF((((AX22+AY22)/2)+(C22/(D22*((AX22+AY22)/2)))^2/(2*9.81)+B22-(G21+H21^2/(2*9.81))-(A21-A22)*(((DATOS!$B$34*(C22/(D22*((AX22+AY22)/2)))/((D22*((AX22+AY22)/2))/(D22+2*((AX22+AY22)/2)))^(2/3))^2+((DATOS!$B$34*H21/((D21*F21)/(D21+2*F21))^(2/3))^2))/2))&gt;0,((AX22+AY22)/2),AY22)</f>
        <v/>
      </c>
      <c r="BB22" s="5">
        <f>IF((((AZ22+BA22)/2)+(C22/(D22*((AZ22+BA22)/2)))^2/(2*9.81)+B22-(G21+H21^2/(2*9.81))-(A21-A22)*(((DATOS!$B$34*(C22/(D22*((AZ22+BA22)/2)))/((D22*((AZ22+BA22)/2))/(D22+2*((AZ22+BA22)/2)))^(2/3))^2+((DATOS!$B$34*H21/((D21*F21)/(D21+2*F21))^(2/3))^2))/2))&gt;0,AZ22,((AZ22+BA22)/2))</f>
        <v/>
      </c>
      <c r="BC22" s="5">
        <f>IF((((AZ22+BA22)/2)+(C22/(D22*((AZ22+BA22)/2)))^2/(2*9.81)+B22-(G21+H21^2/(2*9.81))-(A21-A22)*(((DATOS!$B$34*(C22/(D22*((AZ22+BA22)/2)))/((D22*((AZ22+BA22)/2))/(D22+2*((AZ22+BA22)/2)))^(2/3))^2+((DATOS!$B$34*H21/((D21*F21)/(D21+2*F21))^(2/3))^2))/2))&gt;0,((AZ22+BA22)/2),BA22)</f>
        <v/>
      </c>
      <c r="BD22" s="5">
        <f>IF((((BB22+BC22)/2)+(C22/(D22*((BB22+BC22)/2)))^2/(2*9.81)+B22-(G21+H21^2/(2*9.81))-(A21-A22)*(((DATOS!$B$34*(C22/(D22*((BB22+BC22)/2)))/((D22*((BB22+BC22)/2))/(D22+2*((BB22+BC22)/2)))^(2/3))^2+((DATOS!$B$34*H21/((D21*F21)/(D21+2*F21))^(2/3))^2))/2))&gt;0,BB22,((BB22+BC22)/2))</f>
        <v/>
      </c>
      <c r="BE22" s="5">
        <f>IF((((BB22+BC22)/2)+(C22/(D22*((BB22+BC22)/2)))^2/(2*9.81)+B22-(G21+H21^2/(2*9.81))-(A21-A22)*(((DATOS!$B$34*(C22/(D22*((BB22+BC22)/2)))/((D22*((BB22+BC22)/2))/(D22+2*((BB22+BC22)/2)))^(2/3))^2+((DATOS!$B$34*H21/((D21*F21)/(D21+2*F21))^(2/3))^2))/2))&gt;0,((BB22+BC22)/2),BC22)</f>
        <v/>
      </c>
      <c r="BF22" s="5">
        <f>IF((((BD22+BE22)/2)+(C22/(D22*((BD22+BE22)/2)))^2/(2*9.81)+B22-(G21+H21^2/(2*9.81))-(A21-A22)*(((DATOS!$B$34*(C22/(D22*((BD22+BE22)/2)))/((D22*((BD22+BE22)/2))/(D22+2*((BD22+BE22)/2)))^(2/3))^2+((DATOS!$B$34*H21/((D21*F21)/(D21+2*F21))^(2/3))^2))/2))&gt;0,BD22,((BD22+BE22)/2))</f>
        <v/>
      </c>
      <c r="BG22" s="5">
        <f>IF((((BD22+BE22)/2)+(C22/(D22*((BD22+BE22)/2)))^2/(2*9.81)+B22-(G21+H21^2/(2*9.81))-(A21-A22)*(((DATOS!$B$34*(C22/(D22*((BD22+BE22)/2)))/((D22*((BD22+BE22)/2))/(D22+2*((BD22+BE22)/2)))^(2/3))^2+((DATOS!$B$34*H21/((D21*F21)/(D21+2*F21))^(2/3))^2))/2))&gt;0,((BD22+BE22)/2),BE22)</f>
        <v/>
      </c>
      <c r="BH22" s="5">
        <f>IF((((BF22+BG22)/2)+(C22/(D22*((BF22+BG22)/2)))^2/(2*9.81)+B22-(G21+H21^2/(2*9.81))-(A21-A22)*(((DATOS!$B$34*(C22/(D22*((BF22+BG22)/2)))/((D22*((BF22+BG22)/2))/(D22+2*((BF22+BG22)/2)))^(2/3))^2+((DATOS!$B$34*H21/((D21*F21)/(D21+2*F21))^(2/3))^2))/2))&gt;0,BF22,((BF22+BG22)/2))</f>
        <v/>
      </c>
      <c r="BI22" s="5">
        <f>IF((((BF22+BG22)/2)+(C22/(D22*((BF22+BG22)/2)))^2/(2*9.81)+B22-(G21+H21^2/(2*9.81))-(A21-A22)*(((DATOS!$B$34*(C22/(D22*((BF22+BG22)/2)))/((D22*((BF22+BG22)/2))/(D22+2*((BF22+BG22)/2)))^(2/3))^2+((DATOS!$B$34*H21/((D21*F21)/(D21+2*F21))^(2/3))^2))/2))&gt;0,((BF22+BG22)/2),BG22)</f>
        <v/>
      </c>
      <c r="BJ22" s="5">
        <f>IF((((BH22+BI22)/2)+(C22/(D22*((BH22+BI22)/2)))^2/(2*9.81)+B22-(G21+H21^2/(2*9.81))-(A21-A22)*(((DATOS!$B$34*(C22/(D22*((BH22+BI22)/2)))/((D22*((BH22+BI22)/2))/(D22+2*((BH22+BI22)/2)))^(2/3))^2+((DATOS!$B$34*H21/((D21*F21)/(D21+2*F21))^(2/3))^2))/2))&gt;0,BH22,((BH22+BI22)/2))</f>
        <v/>
      </c>
      <c r="BK22" s="5">
        <f>IF((((BH22+BI22)/2)+(C22/(D22*((BH22+BI22)/2)))^2/(2*9.81)+B22-(G21+H21^2/(2*9.81))-(A21-A22)*(((DATOS!$B$34*(C22/(D22*((BH22+BI22)/2)))/((D22*((BH22+BI22)/2))/(D22+2*((BH22+BI22)/2)))^(2/3))^2+((DATOS!$B$34*H21/((D21*F21)/(D21+2*F21))^(2/3))^2))/2))&gt;0,((BH22+BI22)/2),BI22)</f>
        <v/>
      </c>
      <c r="BL22" s="5">
        <f>IF((((BJ22+BK22)/2)+(C22/(D22*((BJ22+BK22)/2)))^2/(2*9.81)+B22-(G21+H21^2/(2*9.81))-(A21-A22)*(((DATOS!$B$34*(C22/(D22*((BJ22+BK22)/2)))/((D22*((BJ22+BK22)/2))/(D22+2*((BJ22+BK22)/2)))^(2/3))^2+((DATOS!$B$34*H21/((D21*F21)/(D21+2*F21))^(2/3))^2))/2))&gt;0,BJ22,((BJ22+BK22)/2))</f>
        <v/>
      </c>
      <c r="BM22" s="5">
        <f>IF((((BJ22+BK22)/2)+(C22/(D22*((BJ22+BK22)/2)))^2/(2*9.81)+B22-(G21+H21^2/(2*9.81))-(A21-A22)*(((DATOS!$B$34*(C22/(D22*((BJ22+BK22)/2)))/((D22*((BJ22+BK22)/2))/(D22+2*((BJ22+BK22)/2)))^(2/3))^2+((DATOS!$B$34*H21/((D21*F21)/(D21+2*F21))^(2/3))^2))/2))&gt;0,((BJ22+BK22)/2),BK22)</f>
        <v/>
      </c>
      <c r="BN22" s="5">
        <f>IF((((BL22+BM22)/2)+(C22/(D22*((BL22+BM22)/2)))^2/(2*9.81)+B22-(G21+H21^2/(2*9.81))-(A21-A22)*(((DATOS!$B$34*(C22/(D22*((BL22+BM22)/2)))/((D22*((BL22+BM22)/2))/(D22+2*((BL22+BM22)/2)))^(2/3))^2+((DATOS!$B$34*H21/((D21*F21)/(D21+2*F21))^(2/3))^2))/2))&gt;0,BL22,((BL22+BM22)/2))</f>
        <v/>
      </c>
      <c r="BO22" s="5">
        <f>IF((((BL22+BM22)/2)+(C22/(D22*((BL22+BM22)/2)))^2/(2*9.81)+B22-(G21+H21^2/(2*9.81))-(A21-A22)*(((DATOS!$B$34*(C22/(D22*((BL22+BM22)/2)))/((D22*((BL22+BM22)/2))/(D22+2*((BL22+BM22)/2)))^(2/3))^2+((DATOS!$B$34*H21/((D21*F21)/(D21+2*F21))^(2/3))^2))/2))&gt;0,((BL22+BM22)/2),BM22)</f>
        <v/>
      </c>
      <c r="BP22" s="5">
        <f>IF((((BN22+BO22)/2)+(C22/(D22*((BN22+BO22)/2)))^2/(2*9.81)+B22-(G21+H21^2/(2*9.81))-(A21-A22)*(((DATOS!$B$34*(C22/(D22*((BN22+BO22)/2)))/((D22*((BN22+BO22)/2))/(D22+2*((BN22+BO22)/2)))^(2/3))^2+((DATOS!$B$34*H21/((D21*F21)/(D21+2*F21))^(2/3))^2))/2))&gt;0,BN22,((BN22+BO22)/2))</f>
        <v/>
      </c>
      <c r="BQ22" s="5">
        <f>IF((((BN22+BO22)/2)+(C22/(D22*((BN22+BO22)/2)))^2/(2*9.81)+B22-(G21+H21^2/(2*9.81))-(A21-A22)*(((DATOS!$B$34*(C22/(D22*((BN22+BO22)/2)))/((D22*((BN22+BO22)/2))/(D22+2*((BN22+BO22)/2)))^(2/3))^2+((DATOS!$B$34*H21/((D21*F21)/(D21+2*F21))^(2/3))^2))/2))&gt;0,((BN22+BO22)/2),BO22)</f>
        <v/>
      </c>
      <c r="BR22" s="5">
        <f>IF((((BP22+BQ22)/2)+(C22/(D22*((BP22+BQ22)/2)))^2/(2*9.81)+B22-(G21+H21^2/(2*9.81))-(A21-A22)*(((DATOS!$B$34*(C22/(D22*((BP22+BQ22)/2)))/((D22*((BP22+BQ22)/2))/(D22+2*((BP22+BQ22)/2)))^(2/3))^2+((DATOS!$B$34*H21/((D21*F21)/(D21+2*F21))^(2/3))^2))/2))&gt;0,BP22,((BP22+BQ22)/2))</f>
        <v/>
      </c>
      <c r="BS22" s="5">
        <f>IF((((BP22+BQ22)/2)+(C22/(D22*((BP22+BQ22)/2)))^2/(2*9.81)+B22-(G21+H21^2/(2*9.81))-(A21-A22)*(((DATOS!$B$34*(C22/(D22*((BP22+BQ22)/2)))/((D22*((BP22+BQ22)/2))/(D22+2*((BP22+BQ22)/2)))^(2/3))^2+((DATOS!$B$34*H21/((D21*F21)/(D21+2*F21))^(2/3))^2))/2))&gt;0,((BP22+BQ22)/2),BQ22)</f>
        <v/>
      </c>
      <c r="BT22" s="5">
        <f>IF((((BR22+BS22)/2)+(C22/(D22*((BR22+BS22)/2)))^2/(2*9.81)+B22-(G21+H21^2/(2*9.81))-(A21-A22)*(((DATOS!$B$34*(C22/(D22*((BR22+BS22)/2)))/((D22*((BR22+BS22)/2))/(D22+2*((BR22+BS22)/2)))^(2/3))^2+((DATOS!$B$34*H21/((D21*F21)/(D21+2*F21))^(2/3))^2))/2))&gt;0,BR22,((BR22+BS22)/2))</f>
        <v/>
      </c>
      <c r="BU22" s="5">
        <f>IF((((BR22+BS22)/2)+(C22/(D22*((BR22+BS22)/2)))^2/(2*9.81)+B22-(G21+H21^2/(2*9.81))-(A21-A22)*(((DATOS!$B$34*(C22/(D22*((BR22+BS22)/2)))/((D22*((BR22+BS22)/2))/(D22+2*((BR22+BS22)/2)))^(2/3))^2+((DATOS!$B$34*H21/((D21*F21)/(D21+2*F21))^(2/3))^2))/2))&gt;0,((BR22+BS22)/2),BS22)</f>
        <v/>
      </c>
      <c r="BV22" s="5">
        <f>IF((((BT22+BU22)/2)+(C22/(D22*((BT22+BU22)/2)))^2/(2*9.81)+B22-(G21+H21^2/(2*9.81))-(A21-A22)*(((DATOS!$B$34*(C22/(D22*((BT22+BU22)/2)))/((D22*((BT22+BU22)/2))/(D22+2*((BT22+BU22)/2)))^(2/3))^2+((DATOS!$B$34*H21/((D21*F21)/(D21+2*F21))^(2/3))^2))/2))&gt;0,BT22,((BT22+BU22)/2))</f>
        <v/>
      </c>
      <c r="BW22" s="5">
        <f>IF((((BT22+BU22)/2)+(C22/(D22*((BT22+BU22)/2)))^2/(2*9.81)+B22-(G21+H21^2/(2*9.81))-(A21-A22)*(((DATOS!$B$34*(C22/(D22*((BT22+BU22)/2)))/((D22*((BT22+BU22)/2))/(D22+2*((BT22+BU22)/2)))^(2/3))^2+((DATOS!$B$34*H21/((D21*F21)/(D21+2*F21))^(2/3))^2))/2))&gt;0,((BT22+BU22)/2),BU22)</f>
        <v/>
      </c>
    </row>
    <row r="23">
      <c r="A23" s="13" t="n">
        <v>58.81</v>
      </c>
      <c r="B23" s="16">
        <f>DATOS!$B$22-DATOS!$B$23*A23</f>
        <v/>
      </c>
      <c r="C23" s="24">
        <f>CAUDALES!$B$13</f>
        <v/>
      </c>
      <c r="D23" s="17">
        <f>DATOS!$B$17</f>
        <v/>
      </c>
      <c r="E23" s="16">
        <f>(C23^2/(9.81*D23^2))^(1/3)</f>
        <v/>
      </c>
      <c r="F23" s="16">
        <f>(BV23+BW23)/2</f>
        <v/>
      </c>
      <c r="G23" s="16">
        <f>B23+F23</f>
        <v/>
      </c>
      <c r="H23" s="19">
        <f>C23/(D23*F23)</f>
        <v/>
      </c>
      <c r="I23" s="19">
        <f>H23/SQRT(9.81*F23)</f>
        <v/>
      </c>
      <c r="J23" s="16">
        <f>DATOS!$B$29-IF(AND(A23&gt;=DATOS!$B$30,A23&lt;DATOS!$B$31),DATOS!$B$21,DATOS!$B$20)</f>
        <v/>
      </c>
      <c r="K23" s="19">
        <f>J23-B23</f>
        <v/>
      </c>
      <c r="L23" s="19">
        <f>F23/K23</f>
        <v/>
      </c>
      <c r="M23" s="16">
        <f>J23-G23</f>
        <v/>
      </c>
      <c r="N23" s="5">
        <f>IF(AND(L23&lt;=DATOS!$B$36,M23&gt;=DATOS!$B$37,I23&lt;=1),"CUMPLE","NO CUMPLE")</f>
        <v/>
      </c>
      <c r="O23" s="5">
        <f>IF(AND(A23&gt;=DATOS!$B$30,A23&lt;DATOS!$B$31),"cruce de camiones",IF(AND(A23&gt;=DATOS!$B$32,A23&lt;DATOS!$B$33),"cruce de motos","tramo normal"))</f>
        <v/>
      </c>
      <c r="P23" s="5">
        <f>E23*1.001</f>
        <v/>
      </c>
      <c r="Q23" s="13" t="n">
        <v>3</v>
      </c>
      <c r="R23" s="5">
        <f>IF((((P23+Q23)/2)+(C23/(D23*((P23+Q23)/2)))^2/(2*9.81)+B23-(G22+H22^2/(2*9.81))-(A22-A23)*(((DATOS!$B$34*(C23/(D23*((P23+Q23)/2)))/((D23*((P23+Q23)/2))/(D23+2*((P23+Q23)/2)))^(2/3))^2+((DATOS!$B$34*H22/((D22*F22)/(D22+2*F22))^(2/3))^2))/2))&gt;0,P23,((P23+Q23)/2))</f>
        <v/>
      </c>
      <c r="S23" s="5">
        <f>IF((((P23+Q23)/2)+(C23/(D23*((P23+Q23)/2)))^2/(2*9.81)+B23-(G22+H22^2/(2*9.81))-(A22-A23)*(((DATOS!$B$34*(C23/(D23*((P23+Q23)/2)))/((D23*((P23+Q23)/2))/(D23+2*((P23+Q23)/2)))^(2/3))^2+((DATOS!$B$34*H22/((D22*F22)/(D22+2*F22))^(2/3))^2))/2))&gt;0,((P23+Q23)/2),Q23)</f>
        <v/>
      </c>
      <c r="T23" s="5">
        <f>IF((((R23+S23)/2)+(C23/(D23*((R23+S23)/2)))^2/(2*9.81)+B23-(G22+H22^2/(2*9.81))-(A22-A23)*(((DATOS!$B$34*(C23/(D23*((R23+S23)/2)))/((D23*((R23+S23)/2))/(D23+2*((R23+S23)/2)))^(2/3))^2+((DATOS!$B$34*H22/((D22*F22)/(D22+2*F22))^(2/3))^2))/2))&gt;0,R23,((R23+S23)/2))</f>
        <v/>
      </c>
      <c r="U23" s="5">
        <f>IF((((R23+S23)/2)+(C23/(D23*((R23+S23)/2)))^2/(2*9.81)+B23-(G22+H22^2/(2*9.81))-(A22-A23)*(((DATOS!$B$34*(C23/(D23*((R23+S23)/2)))/((D23*((R23+S23)/2))/(D23+2*((R23+S23)/2)))^(2/3))^2+((DATOS!$B$34*H22/((D22*F22)/(D22+2*F22))^(2/3))^2))/2))&gt;0,((R23+S23)/2),S23)</f>
        <v/>
      </c>
      <c r="V23" s="5">
        <f>IF((((T23+U23)/2)+(C23/(D23*((T23+U23)/2)))^2/(2*9.81)+B23-(G22+H22^2/(2*9.81))-(A22-A23)*(((DATOS!$B$34*(C23/(D23*((T23+U23)/2)))/((D23*((T23+U23)/2))/(D23+2*((T23+U23)/2)))^(2/3))^2+((DATOS!$B$34*H22/((D22*F22)/(D22+2*F22))^(2/3))^2))/2))&gt;0,T23,((T23+U23)/2))</f>
        <v/>
      </c>
      <c r="W23" s="5">
        <f>IF((((T23+U23)/2)+(C23/(D23*((T23+U23)/2)))^2/(2*9.81)+B23-(G22+H22^2/(2*9.81))-(A22-A23)*(((DATOS!$B$34*(C23/(D23*((T23+U23)/2)))/((D23*((T23+U23)/2))/(D23+2*((T23+U23)/2)))^(2/3))^2+((DATOS!$B$34*H22/((D22*F22)/(D22+2*F22))^(2/3))^2))/2))&gt;0,((T23+U23)/2),U23)</f>
        <v/>
      </c>
      <c r="X23" s="5">
        <f>IF((((V23+W23)/2)+(C23/(D23*((V23+W23)/2)))^2/(2*9.81)+B23-(G22+H22^2/(2*9.81))-(A22-A23)*(((DATOS!$B$34*(C23/(D23*((V23+W23)/2)))/((D23*((V23+W23)/2))/(D23+2*((V23+W23)/2)))^(2/3))^2+((DATOS!$B$34*H22/((D22*F22)/(D22+2*F22))^(2/3))^2))/2))&gt;0,V23,((V23+W23)/2))</f>
        <v/>
      </c>
      <c r="Y23" s="5">
        <f>IF((((V23+W23)/2)+(C23/(D23*((V23+W23)/2)))^2/(2*9.81)+B23-(G22+H22^2/(2*9.81))-(A22-A23)*(((DATOS!$B$34*(C23/(D23*((V23+W23)/2)))/((D23*((V23+W23)/2))/(D23+2*((V23+W23)/2)))^(2/3))^2+((DATOS!$B$34*H22/((D22*F22)/(D22+2*F22))^(2/3))^2))/2))&gt;0,((V23+W23)/2),W23)</f>
        <v/>
      </c>
      <c r="Z23" s="5">
        <f>IF((((X23+Y23)/2)+(C23/(D23*((X23+Y23)/2)))^2/(2*9.81)+B23-(G22+H22^2/(2*9.81))-(A22-A23)*(((DATOS!$B$34*(C23/(D23*((X23+Y23)/2)))/((D23*((X23+Y23)/2))/(D23+2*((X23+Y23)/2)))^(2/3))^2+((DATOS!$B$34*H22/((D22*F22)/(D22+2*F22))^(2/3))^2))/2))&gt;0,X23,((X23+Y23)/2))</f>
        <v/>
      </c>
      <c r="AA23" s="5">
        <f>IF((((X23+Y23)/2)+(C23/(D23*((X23+Y23)/2)))^2/(2*9.81)+B23-(G22+H22^2/(2*9.81))-(A22-A23)*(((DATOS!$B$34*(C23/(D23*((X23+Y23)/2)))/((D23*((X23+Y23)/2))/(D23+2*((X23+Y23)/2)))^(2/3))^2+((DATOS!$B$34*H22/((D22*F22)/(D22+2*F22))^(2/3))^2))/2))&gt;0,((X23+Y23)/2),Y23)</f>
        <v/>
      </c>
      <c r="AB23" s="5">
        <f>IF((((Z23+AA23)/2)+(C23/(D23*((Z23+AA23)/2)))^2/(2*9.81)+B23-(G22+H22^2/(2*9.81))-(A22-A23)*(((DATOS!$B$34*(C23/(D23*((Z23+AA23)/2)))/((D23*((Z23+AA23)/2))/(D23+2*((Z23+AA23)/2)))^(2/3))^2+((DATOS!$B$34*H22/((D22*F22)/(D22+2*F22))^(2/3))^2))/2))&gt;0,Z23,((Z23+AA23)/2))</f>
        <v/>
      </c>
      <c r="AC23" s="5">
        <f>IF((((Z23+AA23)/2)+(C23/(D23*((Z23+AA23)/2)))^2/(2*9.81)+B23-(G22+H22^2/(2*9.81))-(A22-A23)*(((DATOS!$B$34*(C23/(D23*((Z23+AA23)/2)))/((D23*((Z23+AA23)/2))/(D23+2*((Z23+AA23)/2)))^(2/3))^2+((DATOS!$B$34*H22/((D22*F22)/(D22+2*F22))^(2/3))^2))/2))&gt;0,((Z23+AA23)/2),AA23)</f>
        <v/>
      </c>
      <c r="AD23" s="5">
        <f>IF((((AB23+AC23)/2)+(C23/(D23*((AB23+AC23)/2)))^2/(2*9.81)+B23-(G22+H22^2/(2*9.81))-(A22-A23)*(((DATOS!$B$34*(C23/(D23*((AB23+AC23)/2)))/((D23*((AB23+AC23)/2))/(D23+2*((AB23+AC23)/2)))^(2/3))^2+((DATOS!$B$34*H22/((D22*F22)/(D22+2*F22))^(2/3))^2))/2))&gt;0,AB23,((AB23+AC23)/2))</f>
        <v/>
      </c>
      <c r="AE23" s="5">
        <f>IF((((AB23+AC23)/2)+(C23/(D23*((AB23+AC23)/2)))^2/(2*9.81)+B23-(G22+H22^2/(2*9.81))-(A22-A23)*(((DATOS!$B$34*(C23/(D23*((AB23+AC23)/2)))/((D23*((AB23+AC23)/2))/(D23+2*((AB23+AC23)/2)))^(2/3))^2+((DATOS!$B$34*H22/((D22*F22)/(D22+2*F22))^(2/3))^2))/2))&gt;0,((AB23+AC23)/2),AC23)</f>
        <v/>
      </c>
      <c r="AF23" s="5">
        <f>IF((((AD23+AE23)/2)+(C23/(D23*((AD23+AE23)/2)))^2/(2*9.81)+B23-(G22+H22^2/(2*9.81))-(A22-A23)*(((DATOS!$B$34*(C23/(D23*((AD23+AE23)/2)))/((D23*((AD23+AE23)/2))/(D23+2*((AD23+AE23)/2)))^(2/3))^2+((DATOS!$B$34*H22/((D22*F22)/(D22+2*F22))^(2/3))^2))/2))&gt;0,AD23,((AD23+AE23)/2))</f>
        <v/>
      </c>
      <c r="AG23" s="5">
        <f>IF((((AD23+AE23)/2)+(C23/(D23*((AD23+AE23)/2)))^2/(2*9.81)+B23-(G22+H22^2/(2*9.81))-(A22-A23)*(((DATOS!$B$34*(C23/(D23*((AD23+AE23)/2)))/((D23*((AD23+AE23)/2))/(D23+2*((AD23+AE23)/2)))^(2/3))^2+((DATOS!$B$34*H22/((D22*F22)/(D22+2*F22))^(2/3))^2))/2))&gt;0,((AD23+AE23)/2),AE23)</f>
        <v/>
      </c>
      <c r="AH23" s="5">
        <f>IF((((AF23+AG23)/2)+(C23/(D23*((AF23+AG23)/2)))^2/(2*9.81)+B23-(G22+H22^2/(2*9.81))-(A22-A23)*(((DATOS!$B$34*(C23/(D23*((AF23+AG23)/2)))/((D23*((AF23+AG23)/2))/(D23+2*((AF23+AG23)/2)))^(2/3))^2+((DATOS!$B$34*H22/((D22*F22)/(D22+2*F22))^(2/3))^2))/2))&gt;0,AF23,((AF23+AG23)/2))</f>
        <v/>
      </c>
      <c r="AI23" s="5">
        <f>IF((((AF23+AG23)/2)+(C23/(D23*((AF23+AG23)/2)))^2/(2*9.81)+B23-(G22+H22^2/(2*9.81))-(A22-A23)*(((DATOS!$B$34*(C23/(D23*((AF23+AG23)/2)))/((D23*((AF23+AG23)/2))/(D23+2*((AF23+AG23)/2)))^(2/3))^2+((DATOS!$B$34*H22/((D22*F22)/(D22+2*F22))^(2/3))^2))/2))&gt;0,((AF23+AG23)/2),AG23)</f>
        <v/>
      </c>
      <c r="AJ23" s="5">
        <f>IF((((AH23+AI23)/2)+(C23/(D23*((AH23+AI23)/2)))^2/(2*9.81)+B23-(G22+H22^2/(2*9.81))-(A22-A23)*(((DATOS!$B$34*(C23/(D23*((AH23+AI23)/2)))/((D23*((AH23+AI23)/2))/(D23+2*((AH23+AI23)/2)))^(2/3))^2+((DATOS!$B$34*H22/((D22*F22)/(D22+2*F22))^(2/3))^2))/2))&gt;0,AH23,((AH23+AI23)/2))</f>
        <v/>
      </c>
      <c r="AK23" s="5">
        <f>IF((((AH23+AI23)/2)+(C23/(D23*((AH23+AI23)/2)))^2/(2*9.81)+B23-(G22+H22^2/(2*9.81))-(A22-A23)*(((DATOS!$B$34*(C23/(D23*((AH23+AI23)/2)))/((D23*((AH23+AI23)/2))/(D23+2*((AH23+AI23)/2)))^(2/3))^2+((DATOS!$B$34*H22/((D22*F22)/(D22+2*F22))^(2/3))^2))/2))&gt;0,((AH23+AI23)/2),AI23)</f>
        <v/>
      </c>
      <c r="AL23" s="5">
        <f>IF((((AJ23+AK23)/2)+(C23/(D23*((AJ23+AK23)/2)))^2/(2*9.81)+B23-(G22+H22^2/(2*9.81))-(A22-A23)*(((DATOS!$B$34*(C23/(D23*((AJ23+AK23)/2)))/((D23*((AJ23+AK23)/2))/(D23+2*((AJ23+AK23)/2)))^(2/3))^2+((DATOS!$B$34*H22/((D22*F22)/(D22+2*F22))^(2/3))^2))/2))&gt;0,AJ23,((AJ23+AK23)/2))</f>
        <v/>
      </c>
      <c r="AM23" s="5">
        <f>IF((((AJ23+AK23)/2)+(C23/(D23*((AJ23+AK23)/2)))^2/(2*9.81)+B23-(G22+H22^2/(2*9.81))-(A22-A23)*(((DATOS!$B$34*(C23/(D23*((AJ23+AK23)/2)))/((D23*((AJ23+AK23)/2))/(D23+2*((AJ23+AK23)/2)))^(2/3))^2+((DATOS!$B$34*H22/((D22*F22)/(D22+2*F22))^(2/3))^2))/2))&gt;0,((AJ23+AK23)/2),AK23)</f>
        <v/>
      </c>
      <c r="AN23" s="5">
        <f>IF((((AL23+AM23)/2)+(C23/(D23*((AL23+AM23)/2)))^2/(2*9.81)+B23-(G22+H22^2/(2*9.81))-(A22-A23)*(((DATOS!$B$34*(C23/(D23*((AL23+AM23)/2)))/((D23*((AL23+AM23)/2))/(D23+2*((AL23+AM23)/2)))^(2/3))^2+((DATOS!$B$34*H22/((D22*F22)/(D22+2*F22))^(2/3))^2))/2))&gt;0,AL23,((AL23+AM23)/2))</f>
        <v/>
      </c>
      <c r="AO23" s="5">
        <f>IF((((AL23+AM23)/2)+(C23/(D23*((AL23+AM23)/2)))^2/(2*9.81)+B23-(G22+H22^2/(2*9.81))-(A22-A23)*(((DATOS!$B$34*(C23/(D23*((AL23+AM23)/2)))/((D23*((AL23+AM23)/2))/(D23+2*((AL23+AM23)/2)))^(2/3))^2+((DATOS!$B$34*H22/((D22*F22)/(D22+2*F22))^(2/3))^2))/2))&gt;0,((AL23+AM23)/2),AM23)</f>
        <v/>
      </c>
      <c r="AP23" s="5">
        <f>IF((((AN23+AO23)/2)+(C23/(D23*((AN23+AO23)/2)))^2/(2*9.81)+B23-(G22+H22^2/(2*9.81))-(A22-A23)*(((DATOS!$B$34*(C23/(D23*((AN23+AO23)/2)))/((D23*((AN23+AO23)/2))/(D23+2*((AN23+AO23)/2)))^(2/3))^2+((DATOS!$B$34*H22/((D22*F22)/(D22+2*F22))^(2/3))^2))/2))&gt;0,AN23,((AN23+AO23)/2))</f>
        <v/>
      </c>
      <c r="AQ23" s="5">
        <f>IF((((AN23+AO23)/2)+(C23/(D23*((AN23+AO23)/2)))^2/(2*9.81)+B23-(G22+H22^2/(2*9.81))-(A22-A23)*(((DATOS!$B$34*(C23/(D23*((AN23+AO23)/2)))/((D23*((AN23+AO23)/2))/(D23+2*((AN23+AO23)/2)))^(2/3))^2+((DATOS!$B$34*H22/((D22*F22)/(D22+2*F22))^(2/3))^2))/2))&gt;0,((AN23+AO23)/2),AO23)</f>
        <v/>
      </c>
      <c r="AR23" s="5">
        <f>IF((((AP23+AQ23)/2)+(C23/(D23*((AP23+AQ23)/2)))^2/(2*9.81)+B23-(G22+H22^2/(2*9.81))-(A22-A23)*(((DATOS!$B$34*(C23/(D23*((AP23+AQ23)/2)))/((D23*((AP23+AQ23)/2))/(D23+2*((AP23+AQ23)/2)))^(2/3))^2+((DATOS!$B$34*H22/((D22*F22)/(D22+2*F22))^(2/3))^2))/2))&gt;0,AP23,((AP23+AQ23)/2))</f>
        <v/>
      </c>
      <c r="AS23" s="5">
        <f>IF((((AP23+AQ23)/2)+(C23/(D23*((AP23+AQ23)/2)))^2/(2*9.81)+B23-(G22+H22^2/(2*9.81))-(A22-A23)*(((DATOS!$B$34*(C23/(D23*((AP23+AQ23)/2)))/((D23*((AP23+AQ23)/2))/(D23+2*((AP23+AQ23)/2)))^(2/3))^2+((DATOS!$B$34*H22/((D22*F22)/(D22+2*F22))^(2/3))^2))/2))&gt;0,((AP23+AQ23)/2),AQ23)</f>
        <v/>
      </c>
      <c r="AT23" s="5">
        <f>IF((((AR23+AS23)/2)+(C23/(D23*((AR23+AS23)/2)))^2/(2*9.81)+B23-(G22+H22^2/(2*9.81))-(A22-A23)*(((DATOS!$B$34*(C23/(D23*((AR23+AS23)/2)))/((D23*((AR23+AS23)/2))/(D23+2*((AR23+AS23)/2)))^(2/3))^2+((DATOS!$B$34*H22/((D22*F22)/(D22+2*F22))^(2/3))^2))/2))&gt;0,AR23,((AR23+AS23)/2))</f>
        <v/>
      </c>
      <c r="AU23" s="5">
        <f>IF((((AR23+AS23)/2)+(C23/(D23*((AR23+AS23)/2)))^2/(2*9.81)+B23-(G22+H22^2/(2*9.81))-(A22-A23)*(((DATOS!$B$34*(C23/(D23*((AR23+AS23)/2)))/((D23*((AR23+AS23)/2))/(D23+2*((AR23+AS23)/2)))^(2/3))^2+((DATOS!$B$34*H22/((D22*F22)/(D22+2*F22))^(2/3))^2))/2))&gt;0,((AR23+AS23)/2),AS23)</f>
        <v/>
      </c>
      <c r="AV23" s="5">
        <f>IF((((AT23+AU23)/2)+(C23/(D23*((AT23+AU23)/2)))^2/(2*9.81)+B23-(G22+H22^2/(2*9.81))-(A22-A23)*(((DATOS!$B$34*(C23/(D23*((AT23+AU23)/2)))/((D23*((AT23+AU23)/2))/(D23+2*((AT23+AU23)/2)))^(2/3))^2+((DATOS!$B$34*H22/((D22*F22)/(D22+2*F22))^(2/3))^2))/2))&gt;0,AT23,((AT23+AU23)/2))</f>
        <v/>
      </c>
      <c r="AW23" s="5">
        <f>IF((((AT23+AU23)/2)+(C23/(D23*((AT23+AU23)/2)))^2/(2*9.81)+B23-(G22+H22^2/(2*9.81))-(A22-A23)*(((DATOS!$B$34*(C23/(D23*((AT23+AU23)/2)))/((D23*((AT23+AU23)/2))/(D23+2*((AT23+AU23)/2)))^(2/3))^2+((DATOS!$B$34*H22/((D22*F22)/(D22+2*F22))^(2/3))^2))/2))&gt;0,((AT23+AU23)/2),AU23)</f>
        <v/>
      </c>
      <c r="AX23" s="5">
        <f>IF((((AV23+AW23)/2)+(C23/(D23*((AV23+AW23)/2)))^2/(2*9.81)+B23-(G22+H22^2/(2*9.81))-(A22-A23)*(((DATOS!$B$34*(C23/(D23*((AV23+AW23)/2)))/((D23*((AV23+AW23)/2))/(D23+2*((AV23+AW23)/2)))^(2/3))^2+((DATOS!$B$34*H22/((D22*F22)/(D22+2*F22))^(2/3))^2))/2))&gt;0,AV23,((AV23+AW23)/2))</f>
        <v/>
      </c>
      <c r="AY23" s="5">
        <f>IF((((AV23+AW23)/2)+(C23/(D23*((AV23+AW23)/2)))^2/(2*9.81)+B23-(G22+H22^2/(2*9.81))-(A22-A23)*(((DATOS!$B$34*(C23/(D23*((AV23+AW23)/2)))/((D23*((AV23+AW23)/2))/(D23+2*((AV23+AW23)/2)))^(2/3))^2+((DATOS!$B$34*H22/((D22*F22)/(D22+2*F22))^(2/3))^2))/2))&gt;0,((AV23+AW23)/2),AW23)</f>
        <v/>
      </c>
      <c r="AZ23" s="5">
        <f>IF((((AX23+AY23)/2)+(C23/(D23*((AX23+AY23)/2)))^2/(2*9.81)+B23-(G22+H22^2/(2*9.81))-(A22-A23)*(((DATOS!$B$34*(C23/(D23*((AX23+AY23)/2)))/((D23*((AX23+AY23)/2))/(D23+2*((AX23+AY23)/2)))^(2/3))^2+((DATOS!$B$34*H22/((D22*F22)/(D22+2*F22))^(2/3))^2))/2))&gt;0,AX23,((AX23+AY23)/2))</f>
        <v/>
      </c>
      <c r="BA23" s="5">
        <f>IF((((AX23+AY23)/2)+(C23/(D23*((AX23+AY23)/2)))^2/(2*9.81)+B23-(G22+H22^2/(2*9.81))-(A22-A23)*(((DATOS!$B$34*(C23/(D23*((AX23+AY23)/2)))/((D23*((AX23+AY23)/2))/(D23+2*((AX23+AY23)/2)))^(2/3))^2+((DATOS!$B$34*H22/((D22*F22)/(D22+2*F22))^(2/3))^2))/2))&gt;0,((AX23+AY23)/2),AY23)</f>
        <v/>
      </c>
      <c r="BB23" s="5">
        <f>IF((((AZ23+BA23)/2)+(C23/(D23*((AZ23+BA23)/2)))^2/(2*9.81)+B23-(G22+H22^2/(2*9.81))-(A22-A23)*(((DATOS!$B$34*(C23/(D23*((AZ23+BA23)/2)))/((D23*((AZ23+BA23)/2))/(D23+2*((AZ23+BA23)/2)))^(2/3))^2+((DATOS!$B$34*H22/((D22*F22)/(D22+2*F22))^(2/3))^2))/2))&gt;0,AZ23,((AZ23+BA23)/2))</f>
        <v/>
      </c>
      <c r="BC23" s="5">
        <f>IF((((AZ23+BA23)/2)+(C23/(D23*((AZ23+BA23)/2)))^2/(2*9.81)+B23-(G22+H22^2/(2*9.81))-(A22-A23)*(((DATOS!$B$34*(C23/(D23*((AZ23+BA23)/2)))/((D23*((AZ23+BA23)/2))/(D23+2*((AZ23+BA23)/2)))^(2/3))^2+((DATOS!$B$34*H22/((D22*F22)/(D22+2*F22))^(2/3))^2))/2))&gt;0,((AZ23+BA23)/2),BA23)</f>
        <v/>
      </c>
      <c r="BD23" s="5">
        <f>IF((((BB23+BC23)/2)+(C23/(D23*((BB23+BC23)/2)))^2/(2*9.81)+B23-(G22+H22^2/(2*9.81))-(A22-A23)*(((DATOS!$B$34*(C23/(D23*((BB23+BC23)/2)))/((D23*((BB23+BC23)/2))/(D23+2*((BB23+BC23)/2)))^(2/3))^2+((DATOS!$B$34*H22/((D22*F22)/(D22+2*F22))^(2/3))^2))/2))&gt;0,BB23,((BB23+BC23)/2))</f>
        <v/>
      </c>
      <c r="BE23" s="5">
        <f>IF((((BB23+BC23)/2)+(C23/(D23*((BB23+BC23)/2)))^2/(2*9.81)+B23-(G22+H22^2/(2*9.81))-(A22-A23)*(((DATOS!$B$34*(C23/(D23*((BB23+BC23)/2)))/((D23*((BB23+BC23)/2))/(D23+2*((BB23+BC23)/2)))^(2/3))^2+((DATOS!$B$34*H22/((D22*F22)/(D22+2*F22))^(2/3))^2))/2))&gt;0,((BB23+BC23)/2),BC23)</f>
        <v/>
      </c>
      <c r="BF23" s="5">
        <f>IF((((BD23+BE23)/2)+(C23/(D23*((BD23+BE23)/2)))^2/(2*9.81)+B23-(G22+H22^2/(2*9.81))-(A22-A23)*(((DATOS!$B$34*(C23/(D23*((BD23+BE23)/2)))/((D23*((BD23+BE23)/2))/(D23+2*((BD23+BE23)/2)))^(2/3))^2+((DATOS!$B$34*H22/((D22*F22)/(D22+2*F22))^(2/3))^2))/2))&gt;0,BD23,((BD23+BE23)/2))</f>
        <v/>
      </c>
      <c r="BG23" s="5">
        <f>IF((((BD23+BE23)/2)+(C23/(D23*((BD23+BE23)/2)))^2/(2*9.81)+B23-(G22+H22^2/(2*9.81))-(A22-A23)*(((DATOS!$B$34*(C23/(D23*((BD23+BE23)/2)))/((D23*((BD23+BE23)/2))/(D23+2*((BD23+BE23)/2)))^(2/3))^2+((DATOS!$B$34*H22/((D22*F22)/(D22+2*F22))^(2/3))^2))/2))&gt;0,((BD23+BE23)/2),BE23)</f>
        <v/>
      </c>
      <c r="BH23" s="5">
        <f>IF((((BF23+BG23)/2)+(C23/(D23*((BF23+BG23)/2)))^2/(2*9.81)+B23-(G22+H22^2/(2*9.81))-(A22-A23)*(((DATOS!$B$34*(C23/(D23*((BF23+BG23)/2)))/((D23*((BF23+BG23)/2))/(D23+2*((BF23+BG23)/2)))^(2/3))^2+((DATOS!$B$34*H22/((D22*F22)/(D22+2*F22))^(2/3))^2))/2))&gt;0,BF23,((BF23+BG23)/2))</f>
        <v/>
      </c>
      <c r="BI23" s="5">
        <f>IF((((BF23+BG23)/2)+(C23/(D23*((BF23+BG23)/2)))^2/(2*9.81)+B23-(G22+H22^2/(2*9.81))-(A22-A23)*(((DATOS!$B$34*(C23/(D23*((BF23+BG23)/2)))/((D23*((BF23+BG23)/2))/(D23+2*((BF23+BG23)/2)))^(2/3))^2+((DATOS!$B$34*H22/((D22*F22)/(D22+2*F22))^(2/3))^2))/2))&gt;0,((BF23+BG23)/2),BG23)</f>
        <v/>
      </c>
      <c r="BJ23" s="5">
        <f>IF((((BH23+BI23)/2)+(C23/(D23*((BH23+BI23)/2)))^2/(2*9.81)+B23-(G22+H22^2/(2*9.81))-(A22-A23)*(((DATOS!$B$34*(C23/(D23*((BH23+BI23)/2)))/((D23*((BH23+BI23)/2))/(D23+2*((BH23+BI23)/2)))^(2/3))^2+((DATOS!$B$34*H22/((D22*F22)/(D22+2*F22))^(2/3))^2))/2))&gt;0,BH23,((BH23+BI23)/2))</f>
        <v/>
      </c>
      <c r="BK23" s="5">
        <f>IF((((BH23+BI23)/2)+(C23/(D23*((BH23+BI23)/2)))^2/(2*9.81)+B23-(G22+H22^2/(2*9.81))-(A22-A23)*(((DATOS!$B$34*(C23/(D23*((BH23+BI23)/2)))/((D23*((BH23+BI23)/2))/(D23+2*((BH23+BI23)/2)))^(2/3))^2+((DATOS!$B$34*H22/((D22*F22)/(D22+2*F22))^(2/3))^2))/2))&gt;0,((BH23+BI23)/2),BI23)</f>
        <v/>
      </c>
      <c r="BL23" s="5">
        <f>IF((((BJ23+BK23)/2)+(C23/(D23*((BJ23+BK23)/2)))^2/(2*9.81)+B23-(G22+H22^2/(2*9.81))-(A22-A23)*(((DATOS!$B$34*(C23/(D23*((BJ23+BK23)/2)))/((D23*((BJ23+BK23)/2))/(D23+2*((BJ23+BK23)/2)))^(2/3))^2+((DATOS!$B$34*H22/((D22*F22)/(D22+2*F22))^(2/3))^2))/2))&gt;0,BJ23,((BJ23+BK23)/2))</f>
        <v/>
      </c>
      <c r="BM23" s="5">
        <f>IF((((BJ23+BK23)/2)+(C23/(D23*((BJ23+BK23)/2)))^2/(2*9.81)+B23-(G22+H22^2/(2*9.81))-(A22-A23)*(((DATOS!$B$34*(C23/(D23*((BJ23+BK23)/2)))/((D23*((BJ23+BK23)/2))/(D23+2*((BJ23+BK23)/2)))^(2/3))^2+((DATOS!$B$34*H22/((D22*F22)/(D22+2*F22))^(2/3))^2))/2))&gt;0,((BJ23+BK23)/2),BK23)</f>
        <v/>
      </c>
      <c r="BN23" s="5">
        <f>IF((((BL23+BM23)/2)+(C23/(D23*((BL23+BM23)/2)))^2/(2*9.81)+B23-(G22+H22^2/(2*9.81))-(A22-A23)*(((DATOS!$B$34*(C23/(D23*((BL23+BM23)/2)))/((D23*((BL23+BM23)/2))/(D23+2*((BL23+BM23)/2)))^(2/3))^2+((DATOS!$B$34*H22/((D22*F22)/(D22+2*F22))^(2/3))^2))/2))&gt;0,BL23,((BL23+BM23)/2))</f>
        <v/>
      </c>
      <c r="BO23" s="5">
        <f>IF((((BL23+BM23)/2)+(C23/(D23*((BL23+BM23)/2)))^2/(2*9.81)+B23-(G22+H22^2/(2*9.81))-(A22-A23)*(((DATOS!$B$34*(C23/(D23*((BL23+BM23)/2)))/((D23*((BL23+BM23)/2))/(D23+2*((BL23+BM23)/2)))^(2/3))^2+((DATOS!$B$34*H22/((D22*F22)/(D22+2*F22))^(2/3))^2))/2))&gt;0,((BL23+BM23)/2),BM23)</f>
        <v/>
      </c>
      <c r="BP23" s="5">
        <f>IF((((BN23+BO23)/2)+(C23/(D23*((BN23+BO23)/2)))^2/(2*9.81)+B23-(G22+H22^2/(2*9.81))-(A22-A23)*(((DATOS!$B$34*(C23/(D23*((BN23+BO23)/2)))/((D23*((BN23+BO23)/2))/(D23+2*((BN23+BO23)/2)))^(2/3))^2+((DATOS!$B$34*H22/((D22*F22)/(D22+2*F22))^(2/3))^2))/2))&gt;0,BN23,((BN23+BO23)/2))</f>
        <v/>
      </c>
      <c r="BQ23" s="5">
        <f>IF((((BN23+BO23)/2)+(C23/(D23*((BN23+BO23)/2)))^2/(2*9.81)+B23-(G22+H22^2/(2*9.81))-(A22-A23)*(((DATOS!$B$34*(C23/(D23*((BN23+BO23)/2)))/((D23*((BN23+BO23)/2))/(D23+2*((BN23+BO23)/2)))^(2/3))^2+((DATOS!$B$34*H22/((D22*F22)/(D22+2*F22))^(2/3))^2))/2))&gt;0,((BN23+BO23)/2),BO23)</f>
        <v/>
      </c>
      <c r="BR23" s="5">
        <f>IF((((BP23+BQ23)/2)+(C23/(D23*((BP23+BQ23)/2)))^2/(2*9.81)+B23-(G22+H22^2/(2*9.81))-(A22-A23)*(((DATOS!$B$34*(C23/(D23*((BP23+BQ23)/2)))/((D23*((BP23+BQ23)/2))/(D23+2*((BP23+BQ23)/2)))^(2/3))^2+((DATOS!$B$34*H22/((D22*F22)/(D22+2*F22))^(2/3))^2))/2))&gt;0,BP23,((BP23+BQ23)/2))</f>
        <v/>
      </c>
      <c r="BS23" s="5">
        <f>IF((((BP23+BQ23)/2)+(C23/(D23*((BP23+BQ23)/2)))^2/(2*9.81)+B23-(G22+H22^2/(2*9.81))-(A22-A23)*(((DATOS!$B$34*(C23/(D23*((BP23+BQ23)/2)))/((D23*((BP23+BQ23)/2))/(D23+2*((BP23+BQ23)/2)))^(2/3))^2+((DATOS!$B$34*H22/((D22*F22)/(D22+2*F22))^(2/3))^2))/2))&gt;0,((BP23+BQ23)/2),BQ23)</f>
        <v/>
      </c>
      <c r="BT23" s="5">
        <f>IF((((BR23+BS23)/2)+(C23/(D23*((BR23+BS23)/2)))^2/(2*9.81)+B23-(G22+H22^2/(2*9.81))-(A22-A23)*(((DATOS!$B$34*(C23/(D23*((BR23+BS23)/2)))/((D23*((BR23+BS23)/2))/(D23+2*((BR23+BS23)/2)))^(2/3))^2+((DATOS!$B$34*H22/((D22*F22)/(D22+2*F22))^(2/3))^2))/2))&gt;0,BR23,((BR23+BS23)/2))</f>
        <v/>
      </c>
      <c r="BU23" s="5">
        <f>IF((((BR23+BS23)/2)+(C23/(D23*((BR23+BS23)/2)))^2/(2*9.81)+B23-(G22+H22^2/(2*9.81))-(A22-A23)*(((DATOS!$B$34*(C23/(D23*((BR23+BS23)/2)))/((D23*((BR23+BS23)/2))/(D23+2*((BR23+BS23)/2)))^(2/3))^2+((DATOS!$B$34*H22/((D22*F22)/(D22+2*F22))^(2/3))^2))/2))&gt;0,((BR23+BS23)/2),BS23)</f>
        <v/>
      </c>
      <c r="BV23" s="5">
        <f>IF((((BT23+BU23)/2)+(C23/(D23*((BT23+BU23)/2)))^2/(2*9.81)+B23-(G22+H22^2/(2*9.81))-(A22-A23)*(((DATOS!$B$34*(C23/(D23*((BT23+BU23)/2)))/((D23*((BT23+BU23)/2))/(D23+2*((BT23+BU23)/2)))^(2/3))^2+((DATOS!$B$34*H22/((D22*F22)/(D22+2*F22))^(2/3))^2))/2))&gt;0,BT23,((BT23+BU23)/2))</f>
        <v/>
      </c>
      <c r="BW23" s="5">
        <f>IF((((BT23+BU23)/2)+(C23/(D23*((BT23+BU23)/2)))^2/(2*9.81)+B23-(G22+H22^2/(2*9.81))-(A22-A23)*(((DATOS!$B$34*(C23/(D23*((BT23+BU23)/2)))/((D23*((BT23+BU23)/2))/(D23+2*((BT23+BU23)/2)))^(2/3))^2+((DATOS!$B$34*H22/((D22*F22)/(D22+2*F22))^(2/3))^2))/2))&gt;0,((BT23+BU23)/2),BU23)</f>
        <v/>
      </c>
    </row>
    <row r="24">
      <c r="A24" s="13" t="n">
        <v>58</v>
      </c>
      <c r="B24" s="16">
        <f>DATOS!$B$22-DATOS!$B$23*A24</f>
        <v/>
      </c>
      <c r="C24" s="24">
        <f>CAUDALES!$B$13</f>
        <v/>
      </c>
      <c r="D24" s="17">
        <f>DATOS!$B$17</f>
        <v/>
      </c>
      <c r="E24" s="16">
        <f>(C24^2/(9.81*D24^2))^(1/3)</f>
        <v/>
      </c>
      <c r="F24" s="16">
        <f>(BV24+BW24)/2</f>
        <v/>
      </c>
      <c r="G24" s="16">
        <f>B24+F24</f>
        <v/>
      </c>
      <c r="H24" s="19">
        <f>C24/(D24*F24)</f>
        <v/>
      </c>
      <c r="I24" s="19">
        <f>H24/SQRT(9.81*F24)</f>
        <v/>
      </c>
      <c r="J24" s="16">
        <f>DATOS!$B$29-IF(AND(A24&gt;=DATOS!$B$30,A24&lt;DATOS!$B$31),DATOS!$B$21,DATOS!$B$20)</f>
        <v/>
      </c>
      <c r="K24" s="19">
        <f>J24-B24</f>
        <v/>
      </c>
      <c r="L24" s="19">
        <f>F24/K24</f>
        <v/>
      </c>
      <c r="M24" s="16">
        <f>J24-G24</f>
        <v/>
      </c>
      <c r="N24" s="5">
        <f>IF(AND(L24&lt;=DATOS!$B$36,M24&gt;=DATOS!$B$37,I24&lt;=1),"CUMPLE","NO CUMPLE")</f>
        <v/>
      </c>
      <c r="O24" s="5">
        <f>IF(AND(A24&gt;=DATOS!$B$30,A24&lt;DATOS!$B$31),"cruce de camiones",IF(AND(A24&gt;=DATOS!$B$32,A24&lt;DATOS!$B$33),"cruce de motos","tramo normal"))</f>
        <v/>
      </c>
      <c r="P24" s="5">
        <f>E24*1.001</f>
        <v/>
      </c>
      <c r="Q24" s="13" t="n">
        <v>3</v>
      </c>
      <c r="R24" s="5">
        <f>IF((((P24+Q24)/2)+(C24/(D24*((P24+Q24)/2)))^2/(2*9.81)+B24-(G23+H23^2/(2*9.81))-(A23-A24)*(((DATOS!$B$34*(C24/(D24*((P24+Q24)/2)))/((D24*((P24+Q24)/2))/(D24+2*((P24+Q24)/2)))^(2/3))^2+((DATOS!$B$34*H23/((D23*F23)/(D23+2*F23))^(2/3))^2))/2))&gt;0,P24,((P24+Q24)/2))</f>
        <v/>
      </c>
      <c r="S24" s="5">
        <f>IF((((P24+Q24)/2)+(C24/(D24*((P24+Q24)/2)))^2/(2*9.81)+B24-(G23+H23^2/(2*9.81))-(A23-A24)*(((DATOS!$B$34*(C24/(D24*((P24+Q24)/2)))/((D24*((P24+Q24)/2))/(D24+2*((P24+Q24)/2)))^(2/3))^2+((DATOS!$B$34*H23/((D23*F23)/(D23+2*F23))^(2/3))^2))/2))&gt;0,((P24+Q24)/2),Q24)</f>
        <v/>
      </c>
      <c r="T24" s="5">
        <f>IF((((R24+S24)/2)+(C24/(D24*((R24+S24)/2)))^2/(2*9.81)+B24-(G23+H23^2/(2*9.81))-(A23-A24)*(((DATOS!$B$34*(C24/(D24*((R24+S24)/2)))/((D24*((R24+S24)/2))/(D24+2*((R24+S24)/2)))^(2/3))^2+((DATOS!$B$34*H23/((D23*F23)/(D23+2*F23))^(2/3))^2))/2))&gt;0,R24,((R24+S24)/2))</f>
        <v/>
      </c>
      <c r="U24" s="5">
        <f>IF((((R24+S24)/2)+(C24/(D24*((R24+S24)/2)))^2/(2*9.81)+B24-(G23+H23^2/(2*9.81))-(A23-A24)*(((DATOS!$B$34*(C24/(D24*((R24+S24)/2)))/((D24*((R24+S24)/2))/(D24+2*((R24+S24)/2)))^(2/3))^2+((DATOS!$B$34*H23/((D23*F23)/(D23+2*F23))^(2/3))^2))/2))&gt;0,((R24+S24)/2),S24)</f>
        <v/>
      </c>
      <c r="V24" s="5">
        <f>IF((((T24+U24)/2)+(C24/(D24*((T24+U24)/2)))^2/(2*9.81)+B24-(G23+H23^2/(2*9.81))-(A23-A24)*(((DATOS!$B$34*(C24/(D24*((T24+U24)/2)))/((D24*((T24+U24)/2))/(D24+2*((T24+U24)/2)))^(2/3))^2+((DATOS!$B$34*H23/((D23*F23)/(D23+2*F23))^(2/3))^2))/2))&gt;0,T24,((T24+U24)/2))</f>
        <v/>
      </c>
      <c r="W24" s="5">
        <f>IF((((T24+U24)/2)+(C24/(D24*((T24+U24)/2)))^2/(2*9.81)+B24-(G23+H23^2/(2*9.81))-(A23-A24)*(((DATOS!$B$34*(C24/(D24*((T24+U24)/2)))/((D24*((T24+U24)/2))/(D24+2*((T24+U24)/2)))^(2/3))^2+((DATOS!$B$34*H23/((D23*F23)/(D23+2*F23))^(2/3))^2))/2))&gt;0,((T24+U24)/2),U24)</f>
        <v/>
      </c>
      <c r="X24" s="5">
        <f>IF((((V24+W24)/2)+(C24/(D24*((V24+W24)/2)))^2/(2*9.81)+B24-(G23+H23^2/(2*9.81))-(A23-A24)*(((DATOS!$B$34*(C24/(D24*((V24+W24)/2)))/((D24*((V24+W24)/2))/(D24+2*((V24+W24)/2)))^(2/3))^2+((DATOS!$B$34*H23/((D23*F23)/(D23+2*F23))^(2/3))^2))/2))&gt;0,V24,((V24+W24)/2))</f>
        <v/>
      </c>
      <c r="Y24" s="5">
        <f>IF((((V24+W24)/2)+(C24/(D24*((V24+W24)/2)))^2/(2*9.81)+B24-(G23+H23^2/(2*9.81))-(A23-A24)*(((DATOS!$B$34*(C24/(D24*((V24+W24)/2)))/((D24*((V24+W24)/2))/(D24+2*((V24+W24)/2)))^(2/3))^2+((DATOS!$B$34*H23/((D23*F23)/(D23+2*F23))^(2/3))^2))/2))&gt;0,((V24+W24)/2),W24)</f>
        <v/>
      </c>
      <c r="Z24" s="5">
        <f>IF((((X24+Y24)/2)+(C24/(D24*((X24+Y24)/2)))^2/(2*9.81)+B24-(G23+H23^2/(2*9.81))-(A23-A24)*(((DATOS!$B$34*(C24/(D24*((X24+Y24)/2)))/((D24*((X24+Y24)/2))/(D24+2*((X24+Y24)/2)))^(2/3))^2+((DATOS!$B$34*H23/((D23*F23)/(D23+2*F23))^(2/3))^2))/2))&gt;0,X24,((X24+Y24)/2))</f>
        <v/>
      </c>
      <c r="AA24" s="5">
        <f>IF((((X24+Y24)/2)+(C24/(D24*((X24+Y24)/2)))^2/(2*9.81)+B24-(G23+H23^2/(2*9.81))-(A23-A24)*(((DATOS!$B$34*(C24/(D24*((X24+Y24)/2)))/((D24*((X24+Y24)/2))/(D24+2*((X24+Y24)/2)))^(2/3))^2+((DATOS!$B$34*H23/((D23*F23)/(D23+2*F23))^(2/3))^2))/2))&gt;0,((X24+Y24)/2),Y24)</f>
        <v/>
      </c>
      <c r="AB24" s="5">
        <f>IF((((Z24+AA24)/2)+(C24/(D24*((Z24+AA24)/2)))^2/(2*9.81)+B24-(G23+H23^2/(2*9.81))-(A23-A24)*(((DATOS!$B$34*(C24/(D24*((Z24+AA24)/2)))/((D24*((Z24+AA24)/2))/(D24+2*((Z24+AA24)/2)))^(2/3))^2+((DATOS!$B$34*H23/((D23*F23)/(D23+2*F23))^(2/3))^2))/2))&gt;0,Z24,((Z24+AA24)/2))</f>
        <v/>
      </c>
      <c r="AC24" s="5">
        <f>IF((((Z24+AA24)/2)+(C24/(D24*((Z24+AA24)/2)))^2/(2*9.81)+B24-(G23+H23^2/(2*9.81))-(A23-A24)*(((DATOS!$B$34*(C24/(D24*((Z24+AA24)/2)))/((D24*((Z24+AA24)/2))/(D24+2*((Z24+AA24)/2)))^(2/3))^2+((DATOS!$B$34*H23/((D23*F23)/(D23+2*F23))^(2/3))^2))/2))&gt;0,((Z24+AA24)/2),AA24)</f>
        <v/>
      </c>
      <c r="AD24" s="5">
        <f>IF((((AB24+AC24)/2)+(C24/(D24*((AB24+AC24)/2)))^2/(2*9.81)+B24-(G23+H23^2/(2*9.81))-(A23-A24)*(((DATOS!$B$34*(C24/(D24*((AB24+AC24)/2)))/((D24*((AB24+AC24)/2))/(D24+2*((AB24+AC24)/2)))^(2/3))^2+((DATOS!$B$34*H23/((D23*F23)/(D23+2*F23))^(2/3))^2))/2))&gt;0,AB24,((AB24+AC24)/2))</f>
        <v/>
      </c>
      <c r="AE24" s="5">
        <f>IF((((AB24+AC24)/2)+(C24/(D24*((AB24+AC24)/2)))^2/(2*9.81)+B24-(G23+H23^2/(2*9.81))-(A23-A24)*(((DATOS!$B$34*(C24/(D24*((AB24+AC24)/2)))/((D24*((AB24+AC24)/2))/(D24+2*((AB24+AC24)/2)))^(2/3))^2+((DATOS!$B$34*H23/((D23*F23)/(D23+2*F23))^(2/3))^2))/2))&gt;0,((AB24+AC24)/2),AC24)</f>
        <v/>
      </c>
      <c r="AF24" s="5">
        <f>IF((((AD24+AE24)/2)+(C24/(D24*((AD24+AE24)/2)))^2/(2*9.81)+B24-(G23+H23^2/(2*9.81))-(A23-A24)*(((DATOS!$B$34*(C24/(D24*((AD24+AE24)/2)))/((D24*((AD24+AE24)/2))/(D24+2*((AD24+AE24)/2)))^(2/3))^2+((DATOS!$B$34*H23/((D23*F23)/(D23+2*F23))^(2/3))^2))/2))&gt;0,AD24,((AD24+AE24)/2))</f>
        <v/>
      </c>
      <c r="AG24" s="5">
        <f>IF((((AD24+AE24)/2)+(C24/(D24*((AD24+AE24)/2)))^2/(2*9.81)+B24-(G23+H23^2/(2*9.81))-(A23-A24)*(((DATOS!$B$34*(C24/(D24*((AD24+AE24)/2)))/((D24*((AD24+AE24)/2))/(D24+2*((AD24+AE24)/2)))^(2/3))^2+((DATOS!$B$34*H23/((D23*F23)/(D23+2*F23))^(2/3))^2))/2))&gt;0,((AD24+AE24)/2),AE24)</f>
        <v/>
      </c>
      <c r="AH24" s="5">
        <f>IF((((AF24+AG24)/2)+(C24/(D24*((AF24+AG24)/2)))^2/(2*9.81)+B24-(G23+H23^2/(2*9.81))-(A23-A24)*(((DATOS!$B$34*(C24/(D24*((AF24+AG24)/2)))/((D24*((AF24+AG24)/2))/(D24+2*((AF24+AG24)/2)))^(2/3))^2+((DATOS!$B$34*H23/((D23*F23)/(D23+2*F23))^(2/3))^2))/2))&gt;0,AF24,((AF24+AG24)/2))</f>
        <v/>
      </c>
      <c r="AI24" s="5">
        <f>IF((((AF24+AG24)/2)+(C24/(D24*((AF24+AG24)/2)))^2/(2*9.81)+B24-(G23+H23^2/(2*9.81))-(A23-A24)*(((DATOS!$B$34*(C24/(D24*((AF24+AG24)/2)))/((D24*((AF24+AG24)/2))/(D24+2*((AF24+AG24)/2)))^(2/3))^2+((DATOS!$B$34*H23/((D23*F23)/(D23+2*F23))^(2/3))^2))/2))&gt;0,((AF24+AG24)/2),AG24)</f>
        <v/>
      </c>
      <c r="AJ24" s="5">
        <f>IF((((AH24+AI24)/2)+(C24/(D24*((AH24+AI24)/2)))^2/(2*9.81)+B24-(G23+H23^2/(2*9.81))-(A23-A24)*(((DATOS!$B$34*(C24/(D24*((AH24+AI24)/2)))/((D24*((AH24+AI24)/2))/(D24+2*((AH24+AI24)/2)))^(2/3))^2+((DATOS!$B$34*H23/((D23*F23)/(D23+2*F23))^(2/3))^2))/2))&gt;0,AH24,((AH24+AI24)/2))</f>
        <v/>
      </c>
      <c r="AK24" s="5">
        <f>IF((((AH24+AI24)/2)+(C24/(D24*((AH24+AI24)/2)))^2/(2*9.81)+B24-(G23+H23^2/(2*9.81))-(A23-A24)*(((DATOS!$B$34*(C24/(D24*((AH24+AI24)/2)))/((D24*((AH24+AI24)/2))/(D24+2*((AH24+AI24)/2)))^(2/3))^2+((DATOS!$B$34*H23/((D23*F23)/(D23+2*F23))^(2/3))^2))/2))&gt;0,((AH24+AI24)/2),AI24)</f>
        <v/>
      </c>
      <c r="AL24" s="5">
        <f>IF((((AJ24+AK24)/2)+(C24/(D24*((AJ24+AK24)/2)))^2/(2*9.81)+B24-(G23+H23^2/(2*9.81))-(A23-A24)*(((DATOS!$B$34*(C24/(D24*((AJ24+AK24)/2)))/((D24*((AJ24+AK24)/2))/(D24+2*((AJ24+AK24)/2)))^(2/3))^2+((DATOS!$B$34*H23/((D23*F23)/(D23+2*F23))^(2/3))^2))/2))&gt;0,AJ24,((AJ24+AK24)/2))</f>
        <v/>
      </c>
      <c r="AM24" s="5">
        <f>IF((((AJ24+AK24)/2)+(C24/(D24*((AJ24+AK24)/2)))^2/(2*9.81)+B24-(G23+H23^2/(2*9.81))-(A23-A24)*(((DATOS!$B$34*(C24/(D24*((AJ24+AK24)/2)))/((D24*((AJ24+AK24)/2))/(D24+2*((AJ24+AK24)/2)))^(2/3))^2+((DATOS!$B$34*H23/((D23*F23)/(D23+2*F23))^(2/3))^2))/2))&gt;0,((AJ24+AK24)/2),AK24)</f>
        <v/>
      </c>
      <c r="AN24" s="5">
        <f>IF((((AL24+AM24)/2)+(C24/(D24*((AL24+AM24)/2)))^2/(2*9.81)+B24-(G23+H23^2/(2*9.81))-(A23-A24)*(((DATOS!$B$34*(C24/(D24*((AL24+AM24)/2)))/((D24*((AL24+AM24)/2))/(D24+2*((AL24+AM24)/2)))^(2/3))^2+((DATOS!$B$34*H23/((D23*F23)/(D23+2*F23))^(2/3))^2))/2))&gt;0,AL24,((AL24+AM24)/2))</f>
        <v/>
      </c>
      <c r="AO24" s="5">
        <f>IF((((AL24+AM24)/2)+(C24/(D24*((AL24+AM24)/2)))^2/(2*9.81)+B24-(G23+H23^2/(2*9.81))-(A23-A24)*(((DATOS!$B$34*(C24/(D24*((AL24+AM24)/2)))/((D24*((AL24+AM24)/2))/(D24+2*((AL24+AM24)/2)))^(2/3))^2+((DATOS!$B$34*H23/((D23*F23)/(D23+2*F23))^(2/3))^2))/2))&gt;0,((AL24+AM24)/2),AM24)</f>
        <v/>
      </c>
      <c r="AP24" s="5">
        <f>IF((((AN24+AO24)/2)+(C24/(D24*((AN24+AO24)/2)))^2/(2*9.81)+B24-(G23+H23^2/(2*9.81))-(A23-A24)*(((DATOS!$B$34*(C24/(D24*((AN24+AO24)/2)))/((D24*((AN24+AO24)/2))/(D24+2*((AN24+AO24)/2)))^(2/3))^2+((DATOS!$B$34*H23/((D23*F23)/(D23+2*F23))^(2/3))^2))/2))&gt;0,AN24,((AN24+AO24)/2))</f>
        <v/>
      </c>
      <c r="AQ24" s="5">
        <f>IF((((AN24+AO24)/2)+(C24/(D24*((AN24+AO24)/2)))^2/(2*9.81)+B24-(G23+H23^2/(2*9.81))-(A23-A24)*(((DATOS!$B$34*(C24/(D24*((AN24+AO24)/2)))/((D24*((AN24+AO24)/2))/(D24+2*((AN24+AO24)/2)))^(2/3))^2+((DATOS!$B$34*H23/((D23*F23)/(D23+2*F23))^(2/3))^2))/2))&gt;0,((AN24+AO24)/2),AO24)</f>
        <v/>
      </c>
      <c r="AR24" s="5">
        <f>IF((((AP24+AQ24)/2)+(C24/(D24*((AP24+AQ24)/2)))^2/(2*9.81)+B24-(G23+H23^2/(2*9.81))-(A23-A24)*(((DATOS!$B$34*(C24/(D24*((AP24+AQ24)/2)))/((D24*((AP24+AQ24)/2))/(D24+2*((AP24+AQ24)/2)))^(2/3))^2+((DATOS!$B$34*H23/((D23*F23)/(D23+2*F23))^(2/3))^2))/2))&gt;0,AP24,((AP24+AQ24)/2))</f>
        <v/>
      </c>
      <c r="AS24" s="5">
        <f>IF((((AP24+AQ24)/2)+(C24/(D24*((AP24+AQ24)/2)))^2/(2*9.81)+B24-(G23+H23^2/(2*9.81))-(A23-A24)*(((DATOS!$B$34*(C24/(D24*((AP24+AQ24)/2)))/((D24*((AP24+AQ24)/2))/(D24+2*((AP24+AQ24)/2)))^(2/3))^2+((DATOS!$B$34*H23/((D23*F23)/(D23+2*F23))^(2/3))^2))/2))&gt;0,((AP24+AQ24)/2),AQ24)</f>
        <v/>
      </c>
      <c r="AT24" s="5">
        <f>IF((((AR24+AS24)/2)+(C24/(D24*((AR24+AS24)/2)))^2/(2*9.81)+B24-(G23+H23^2/(2*9.81))-(A23-A24)*(((DATOS!$B$34*(C24/(D24*((AR24+AS24)/2)))/((D24*((AR24+AS24)/2))/(D24+2*((AR24+AS24)/2)))^(2/3))^2+((DATOS!$B$34*H23/((D23*F23)/(D23+2*F23))^(2/3))^2))/2))&gt;0,AR24,((AR24+AS24)/2))</f>
        <v/>
      </c>
      <c r="AU24" s="5">
        <f>IF((((AR24+AS24)/2)+(C24/(D24*((AR24+AS24)/2)))^2/(2*9.81)+B24-(G23+H23^2/(2*9.81))-(A23-A24)*(((DATOS!$B$34*(C24/(D24*((AR24+AS24)/2)))/((D24*((AR24+AS24)/2))/(D24+2*((AR24+AS24)/2)))^(2/3))^2+((DATOS!$B$34*H23/((D23*F23)/(D23+2*F23))^(2/3))^2))/2))&gt;0,((AR24+AS24)/2),AS24)</f>
        <v/>
      </c>
      <c r="AV24" s="5">
        <f>IF((((AT24+AU24)/2)+(C24/(D24*((AT24+AU24)/2)))^2/(2*9.81)+B24-(G23+H23^2/(2*9.81))-(A23-A24)*(((DATOS!$B$34*(C24/(D24*((AT24+AU24)/2)))/((D24*((AT24+AU24)/2))/(D24+2*((AT24+AU24)/2)))^(2/3))^2+((DATOS!$B$34*H23/((D23*F23)/(D23+2*F23))^(2/3))^2))/2))&gt;0,AT24,((AT24+AU24)/2))</f>
        <v/>
      </c>
      <c r="AW24" s="5">
        <f>IF((((AT24+AU24)/2)+(C24/(D24*((AT24+AU24)/2)))^2/(2*9.81)+B24-(G23+H23^2/(2*9.81))-(A23-A24)*(((DATOS!$B$34*(C24/(D24*((AT24+AU24)/2)))/((D24*((AT24+AU24)/2))/(D24+2*((AT24+AU24)/2)))^(2/3))^2+((DATOS!$B$34*H23/((D23*F23)/(D23+2*F23))^(2/3))^2))/2))&gt;0,((AT24+AU24)/2),AU24)</f>
        <v/>
      </c>
      <c r="AX24" s="5">
        <f>IF((((AV24+AW24)/2)+(C24/(D24*((AV24+AW24)/2)))^2/(2*9.81)+B24-(G23+H23^2/(2*9.81))-(A23-A24)*(((DATOS!$B$34*(C24/(D24*((AV24+AW24)/2)))/((D24*((AV24+AW24)/2))/(D24+2*((AV24+AW24)/2)))^(2/3))^2+((DATOS!$B$34*H23/((D23*F23)/(D23+2*F23))^(2/3))^2))/2))&gt;0,AV24,((AV24+AW24)/2))</f>
        <v/>
      </c>
      <c r="AY24" s="5">
        <f>IF((((AV24+AW24)/2)+(C24/(D24*((AV24+AW24)/2)))^2/(2*9.81)+B24-(G23+H23^2/(2*9.81))-(A23-A24)*(((DATOS!$B$34*(C24/(D24*((AV24+AW24)/2)))/((D24*((AV24+AW24)/2))/(D24+2*((AV24+AW24)/2)))^(2/3))^2+((DATOS!$B$34*H23/((D23*F23)/(D23+2*F23))^(2/3))^2))/2))&gt;0,((AV24+AW24)/2),AW24)</f>
        <v/>
      </c>
      <c r="AZ24" s="5">
        <f>IF((((AX24+AY24)/2)+(C24/(D24*((AX24+AY24)/2)))^2/(2*9.81)+B24-(G23+H23^2/(2*9.81))-(A23-A24)*(((DATOS!$B$34*(C24/(D24*((AX24+AY24)/2)))/((D24*((AX24+AY24)/2))/(D24+2*((AX24+AY24)/2)))^(2/3))^2+((DATOS!$B$34*H23/((D23*F23)/(D23+2*F23))^(2/3))^2))/2))&gt;0,AX24,((AX24+AY24)/2))</f>
        <v/>
      </c>
      <c r="BA24" s="5">
        <f>IF((((AX24+AY24)/2)+(C24/(D24*((AX24+AY24)/2)))^2/(2*9.81)+B24-(G23+H23^2/(2*9.81))-(A23-A24)*(((DATOS!$B$34*(C24/(D24*((AX24+AY24)/2)))/((D24*((AX24+AY24)/2))/(D24+2*((AX24+AY24)/2)))^(2/3))^2+((DATOS!$B$34*H23/((D23*F23)/(D23+2*F23))^(2/3))^2))/2))&gt;0,((AX24+AY24)/2),AY24)</f>
        <v/>
      </c>
      <c r="BB24" s="5">
        <f>IF((((AZ24+BA24)/2)+(C24/(D24*((AZ24+BA24)/2)))^2/(2*9.81)+B24-(G23+H23^2/(2*9.81))-(A23-A24)*(((DATOS!$B$34*(C24/(D24*((AZ24+BA24)/2)))/((D24*((AZ24+BA24)/2))/(D24+2*((AZ24+BA24)/2)))^(2/3))^2+((DATOS!$B$34*H23/((D23*F23)/(D23+2*F23))^(2/3))^2))/2))&gt;0,AZ24,((AZ24+BA24)/2))</f>
        <v/>
      </c>
      <c r="BC24" s="5">
        <f>IF((((AZ24+BA24)/2)+(C24/(D24*((AZ24+BA24)/2)))^2/(2*9.81)+B24-(G23+H23^2/(2*9.81))-(A23-A24)*(((DATOS!$B$34*(C24/(D24*((AZ24+BA24)/2)))/((D24*((AZ24+BA24)/2))/(D24+2*((AZ24+BA24)/2)))^(2/3))^2+((DATOS!$B$34*H23/((D23*F23)/(D23+2*F23))^(2/3))^2))/2))&gt;0,((AZ24+BA24)/2),BA24)</f>
        <v/>
      </c>
      <c r="BD24" s="5">
        <f>IF((((BB24+BC24)/2)+(C24/(D24*((BB24+BC24)/2)))^2/(2*9.81)+B24-(G23+H23^2/(2*9.81))-(A23-A24)*(((DATOS!$B$34*(C24/(D24*((BB24+BC24)/2)))/((D24*((BB24+BC24)/2))/(D24+2*((BB24+BC24)/2)))^(2/3))^2+((DATOS!$B$34*H23/((D23*F23)/(D23+2*F23))^(2/3))^2))/2))&gt;0,BB24,((BB24+BC24)/2))</f>
        <v/>
      </c>
      <c r="BE24" s="5">
        <f>IF((((BB24+BC24)/2)+(C24/(D24*((BB24+BC24)/2)))^2/(2*9.81)+B24-(G23+H23^2/(2*9.81))-(A23-A24)*(((DATOS!$B$34*(C24/(D24*((BB24+BC24)/2)))/((D24*((BB24+BC24)/2))/(D24+2*((BB24+BC24)/2)))^(2/3))^2+((DATOS!$B$34*H23/((D23*F23)/(D23+2*F23))^(2/3))^2))/2))&gt;0,((BB24+BC24)/2),BC24)</f>
        <v/>
      </c>
      <c r="BF24" s="5">
        <f>IF((((BD24+BE24)/2)+(C24/(D24*((BD24+BE24)/2)))^2/(2*9.81)+B24-(G23+H23^2/(2*9.81))-(A23-A24)*(((DATOS!$B$34*(C24/(D24*((BD24+BE24)/2)))/((D24*((BD24+BE24)/2))/(D24+2*((BD24+BE24)/2)))^(2/3))^2+((DATOS!$B$34*H23/((D23*F23)/(D23+2*F23))^(2/3))^2))/2))&gt;0,BD24,((BD24+BE24)/2))</f>
        <v/>
      </c>
      <c r="BG24" s="5">
        <f>IF((((BD24+BE24)/2)+(C24/(D24*((BD24+BE24)/2)))^2/(2*9.81)+B24-(G23+H23^2/(2*9.81))-(A23-A24)*(((DATOS!$B$34*(C24/(D24*((BD24+BE24)/2)))/((D24*((BD24+BE24)/2))/(D24+2*((BD24+BE24)/2)))^(2/3))^2+((DATOS!$B$34*H23/((D23*F23)/(D23+2*F23))^(2/3))^2))/2))&gt;0,((BD24+BE24)/2),BE24)</f>
        <v/>
      </c>
      <c r="BH24" s="5">
        <f>IF((((BF24+BG24)/2)+(C24/(D24*((BF24+BG24)/2)))^2/(2*9.81)+B24-(G23+H23^2/(2*9.81))-(A23-A24)*(((DATOS!$B$34*(C24/(D24*((BF24+BG24)/2)))/((D24*((BF24+BG24)/2))/(D24+2*((BF24+BG24)/2)))^(2/3))^2+((DATOS!$B$34*H23/((D23*F23)/(D23+2*F23))^(2/3))^2))/2))&gt;0,BF24,((BF24+BG24)/2))</f>
        <v/>
      </c>
      <c r="BI24" s="5">
        <f>IF((((BF24+BG24)/2)+(C24/(D24*((BF24+BG24)/2)))^2/(2*9.81)+B24-(G23+H23^2/(2*9.81))-(A23-A24)*(((DATOS!$B$34*(C24/(D24*((BF24+BG24)/2)))/((D24*((BF24+BG24)/2))/(D24+2*((BF24+BG24)/2)))^(2/3))^2+((DATOS!$B$34*H23/((D23*F23)/(D23+2*F23))^(2/3))^2))/2))&gt;0,((BF24+BG24)/2),BG24)</f>
        <v/>
      </c>
      <c r="BJ24" s="5">
        <f>IF((((BH24+BI24)/2)+(C24/(D24*((BH24+BI24)/2)))^2/(2*9.81)+B24-(G23+H23^2/(2*9.81))-(A23-A24)*(((DATOS!$B$34*(C24/(D24*((BH24+BI24)/2)))/((D24*((BH24+BI24)/2))/(D24+2*((BH24+BI24)/2)))^(2/3))^2+((DATOS!$B$34*H23/((D23*F23)/(D23+2*F23))^(2/3))^2))/2))&gt;0,BH24,((BH24+BI24)/2))</f>
        <v/>
      </c>
      <c r="BK24" s="5">
        <f>IF((((BH24+BI24)/2)+(C24/(D24*((BH24+BI24)/2)))^2/(2*9.81)+B24-(G23+H23^2/(2*9.81))-(A23-A24)*(((DATOS!$B$34*(C24/(D24*((BH24+BI24)/2)))/((D24*((BH24+BI24)/2))/(D24+2*((BH24+BI24)/2)))^(2/3))^2+((DATOS!$B$34*H23/((D23*F23)/(D23+2*F23))^(2/3))^2))/2))&gt;0,((BH24+BI24)/2),BI24)</f>
        <v/>
      </c>
      <c r="BL24" s="5">
        <f>IF((((BJ24+BK24)/2)+(C24/(D24*((BJ24+BK24)/2)))^2/(2*9.81)+B24-(G23+H23^2/(2*9.81))-(A23-A24)*(((DATOS!$B$34*(C24/(D24*((BJ24+BK24)/2)))/((D24*((BJ24+BK24)/2))/(D24+2*((BJ24+BK24)/2)))^(2/3))^2+((DATOS!$B$34*H23/((D23*F23)/(D23+2*F23))^(2/3))^2))/2))&gt;0,BJ24,((BJ24+BK24)/2))</f>
        <v/>
      </c>
      <c r="BM24" s="5">
        <f>IF((((BJ24+BK24)/2)+(C24/(D24*((BJ24+BK24)/2)))^2/(2*9.81)+B24-(G23+H23^2/(2*9.81))-(A23-A24)*(((DATOS!$B$34*(C24/(D24*((BJ24+BK24)/2)))/((D24*((BJ24+BK24)/2))/(D24+2*((BJ24+BK24)/2)))^(2/3))^2+((DATOS!$B$34*H23/((D23*F23)/(D23+2*F23))^(2/3))^2))/2))&gt;0,((BJ24+BK24)/2),BK24)</f>
        <v/>
      </c>
      <c r="BN24" s="5">
        <f>IF((((BL24+BM24)/2)+(C24/(D24*((BL24+BM24)/2)))^2/(2*9.81)+B24-(G23+H23^2/(2*9.81))-(A23-A24)*(((DATOS!$B$34*(C24/(D24*((BL24+BM24)/2)))/((D24*((BL24+BM24)/2))/(D24+2*((BL24+BM24)/2)))^(2/3))^2+((DATOS!$B$34*H23/((D23*F23)/(D23+2*F23))^(2/3))^2))/2))&gt;0,BL24,((BL24+BM24)/2))</f>
        <v/>
      </c>
      <c r="BO24" s="5">
        <f>IF((((BL24+BM24)/2)+(C24/(D24*((BL24+BM24)/2)))^2/(2*9.81)+B24-(G23+H23^2/(2*9.81))-(A23-A24)*(((DATOS!$B$34*(C24/(D24*((BL24+BM24)/2)))/((D24*((BL24+BM24)/2))/(D24+2*((BL24+BM24)/2)))^(2/3))^2+((DATOS!$B$34*H23/((D23*F23)/(D23+2*F23))^(2/3))^2))/2))&gt;0,((BL24+BM24)/2),BM24)</f>
        <v/>
      </c>
      <c r="BP24" s="5">
        <f>IF((((BN24+BO24)/2)+(C24/(D24*((BN24+BO24)/2)))^2/(2*9.81)+B24-(G23+H23^2/(2*9.81))-(A23-A24)*(((DATOS!$B$34*(C24/(D24*((BN24+BO24)/2)))/((D24*((BN24+BO24)/2))/(D24+2*((BN24+BO24)/2)))^(2/3))^2+((DATOS!$B$34*H23/((D23*F23)/(D23+2*F23))^(2/3))^2))/2))&gt;0,BN24,((BN24+BO24)/2))</f>
        <v/>
      </c>
      <c r="BQ24" s="5">
        <f>IF((((BN24+BO24)/2)+(C24/(D24*((BN24+BO24)/2)))^2/(2*9.81)+B24-(G23+H23^2/(2*9.81))-(A23-A24)*(((DATOS!$B$34*(C24/(D24*((BN24+BO24)/2)))/((D24*((BN24+BO24)/2))/(D24+2*((BN24+BO24)/2)))^(2/3))^2+((DATOS!$B$34*H23/((D23*F23)/(D23+2*F23))^(2/3))^2))/2))&gt;0,((BN24+BO24)/2),BO24)</f>
        <v/>
      </c>
      <c r="BR24" s="5">
        <f>IF((((BP24+BQ24)/2)+(C24/(D24*((BP24+BQ24)/2)))^2/(2*9.81)+B24-(G23+H23^2/(2*9.81))-(A23-A24)*(((DATOS!$B$34*(C24/(D24*((BP24+BQ24)/2)))/((D24*((BP24+BQ24)/2))/(D24+2*((BP24+BQ24)/2)))^(2/3))^2+((DATOS!$B$34*H23/((D23*F23)/(D23+2*F23))^(2/3))^2))/2))&gt;0,BP24,((BP24+BQ24)/2))</f>
        <v/>
      </c>
      <c r="BS24" s="5">
        <f>IF((((BP24+BQ24)/2)+(C24/(D24*((BP24+BQ24)/2)))^2/(2*9.81)+B24-(G23+H23^2/(2*9.81))-(A23-A24)*(((DATOS!$B$34*(C24/(D24*((BP24+BQ24)/2)))/((D24*((BP24+BQ24)/2))/(D24+2*((BP24+BQ24)/2)))^(2/3))^2+((DATOS!$B$34*H23/((D23*F23)/(D23+2*F23))^(2/3))^2))/2))&gt;0,((BP24+BQ24)/2),BQ24)</f>
        <v/>
      </c>
      <c r="BT24" s="5">
        <f>IF((((BR24+BS24)/2)+(C24/(D24*((BR24+BS24)/2)))^2/(2*9.81)+B24-(G23+H23^2/(2*9.81))-(A23-A24)*(((DATOS!$B$34*(C24/(D24*((BR24+BS24)/2)))/((D24*((BR24+BS24)/2))/(D24+2*((BR24+BS24)/2)))^(2/3))^2+((DATOS!$B$34*H23/((D23*F23)/(D23+2*F23))^(2/3))^2))/2))&gt;0,BR24,((BR24+BS24)/2))</f>
        <v/>
      </c>
      <c r="BU24" s="5">
        <f>IF((((BR24+BS24)/2)+(C24/(D24*((BR24+BS24)/2)))^2/(2*9.81)+B24-(G23+H23^2/(2*9.81))-(A23-A24)*(((DATOS!$B$34*(C24/(D24*((BR24+BS24)/2)))/((D24*((BR24+BS24)/2))/(D24+2*((BR24+BS24)/2)))^(2/3))^2+((DATOS!$B$34*H23/((D23*F23)/(D23+2*F23))^(2/3))^2))/2))&gt;0,((BR24+BS24)/2),BS24)</f>
        <v/>
      </c>
      <c r="BV24" s="5">
        <f>IF((((BT24+BU24)/2)+(C24/(D24*((BT24+BU24)/2)))^2/(2*9.81)+B24-(G23+H23^2/(2*9.81))-(A23-A24)*(((DATOS!$B$34*(C24/(D24*((BT24+BU24)/2)))/((D24*((BT24+BU24)/2))/(D24+2*((BT24+BU24)/2)))^(2/3))^2+((DATOS!$B$34*H23/((D23*F23)/(D23+2*F23))^(2/3))^2))/2))&gt;0,BT24,((BT24+BU24)/2))</f>
        <v/>
      </c>
      <c r="BW24" s="5">
        <f>IF((((BT24+BU24)/2)+(C24/(D24*((BT24+BU24)/2)))^2/(2*9.81)+B24-(G23+H23^2/(2*9.81))-(A23-A24)*(((DATOS!$B$34*(C24/(D24*((BT24+BU24)/2)))/((D24*((BT24+BU24)/2))/(D24+2*((BT24+BU24)/2)))^(2/3))^2+((DATOS!$B$34*H23/((D23*F23)/(D23+2*F23))^(2/3))^2))/2))&gt;0,((BT24+BU24)/2),BU24)</f>
        <v/>
      </c>
    </row>
    <row r="25">
      <c r="A25" s="13" t="n">
        <v>57</v>
      </c>
      <c r="B25" s="16">
        <f>DATOS!$B$22-DATOS!$B$23*A25</f>
        <v/>
      </c>
      <c r="C25" s="24">
        <f>CAUDALES!$B$13</f>
        <v/>
      </c>
      <c r="D25" s="17">
        <f>DATOS!$B$17</f>
        <v/>
      </c>
      <c r="E25" s="16">
        <f>(C25^2/(9.81*D25^2))^(1/3)</f>
        <v/>
      </c>
      <c r="F25" s="16">
        <f>(BV25+BW25)/2</f>
        <v/>
      </c>
      <c r="G25" s="16">
        <f>B25+F25</f>
        <v/>
      </c>
      <c r="H25" s="19">
        <f>C25/(D25*F25)</f>
        <v/>
      </c>
      <c r="I25" s="19">
        <f>H25/SQRT(9.81*F25)</f>
        <v/>
      </c>
      <c r="J25" s="16">
        <f>DATOS!$B$29-IF(AND(A25&gt;=DATOS!$B$30,A25&lt;DATOS!$B$31),DATOS!$B$21,DATOS!$B$20)</f>
        <v/>
      </c>
      <c r="K25" s="19">
        <f>J25-B25</f>
        <v/>
      </c>
      <c r="L25" s="19">
        <f>F25/K25</f>
        <v/>
      </c>
      <c r="M25" s="16">
        <f>J25-G25</f>
        <v/>
      </c>
      <c r="N25" s="5">
        <f>IF(AND(L25&lt;=DATOS!$B$36,M25&gt;=DATOS!$B$37,I25&lt;=1),"CUMPLE","NO CUMPLE")</f>
        <v/>
      </c>
      <c r="O25" s="5">
        <f>IF(AND(A25&gt;=DATOS!$B$30,A25&lt;DATOS!$B$31),"cruce de camiones",IF(AND(A25&gt;=DATOS!$B$32,A25&lt;DATOS!$B$33),"cruce de motos","tramo normal"))</f>
        <v/>
      </c>
      <c r="P25" s="5">
        <f>E25*1.001</f>
        <v/>
      </c>
      <c r="Q25" s="13" t="n">
        <v>3</v>
      </c>
      <c r="R25" s="5">
        <f>IF((((P25+Q25)/2)+(C25/(D25*((P25+Q25)/2)))^2/(2*9.81)+B25-(G24+H24^2/(2*9.81))-(A24-A25)*(((DATOS!$B$34*(C25/(D25*((P25+Q25)/2)))/((D25*((P25+Q25)/2))/(D25+2*((P25+Q25)/2)))^(2/3))^2+((DATOS!$B$34*H24/((D24*F24)/(D24+2*F24))^(2/3))^2))/2))&gt;0,P25,((P25+Q25)/2))</f>
        <v/>
      </c>
      <c r="S25" s="5">
        <f>IF((((P25+Q25)/2)+(C25/(D25*((P25+Q25)/2)))^2/(2*9.81)+B25-(G24+H24^2/(2*9.81))-(A24-A25)*(((DATOS!$B$34*(C25/(D25*((P25+Q25)/2)))/((D25*((P25+Q25)/2))/(D25+2*((P25+Q25)/2)))^(2/3))^2+((DATOS!$B$34*H24/((D24*F24)/(D24+2*F24))^(2/3))^2))/2))&gt;0,((P25+Q25)/2),Q25)</f>
        <v/>
      </c>
      <c r="T25" s="5">
        <f>IF((((R25+S25)/2)+(C25/(D25*((R25+S25)/2)))^2/(2*9.81)+B25-(G24+H24^2/(2*9.81))-(A24-A25)*(((DATOS!$B$34*(C25/(D25*((R25+S25)/2)))/((D25*((R25+S25)/2))/(D25+2*((R25+S25)/2)))^(2/3))^2+((DATOS!$B$34*H24/((D24*F24)/(D24+2*F24))^(2/3))^2))/2))&gt;0,R25,((R25+S25)/2))</f>
        <v/>
      </c>
      <c r="U25" s="5">
        <f>IF((((R25+S25)/2)+(C25/(D25*((R25+S25)/2)))^2/(2*9.81)+B25-(G24+H24^2/(2*9.81))-(A24-A25)*(((DATOS!$B$34*(C25/(D25*((R25+S25)/2)))/((D25*((R25+S25)/2))/(D25+2*((R25+S25)/2)))^(2/3))^2+((DATOS!$B$34*H24/((D24*F24)/(D24+2*F24))^(2/3))^2))/2))&gt;0,((R25+S25)/2),S25)</f>
        <v/>
      </c>
      <c r="V25" s="5">
        <f>IF((((T25+U25)/2)+(C25/(D25*((T25+U25)/2)))^2/(2*9.81)+B25-(G24+H24^2/(2*9.81))-(A24-A25)*(((DATOS!$B$34*(C25/(D25*((T25+U25)/2)))/((D25*((T25+U25)/2))/(D25+2*((T25+U25)/2)))^(2/3))^2+((DATOS!$B$34*H24/((D24*F24)/(D24+2*F24))^(2/3))^2))/2))&gt;0,T25,((T25+U25)/2))</f>
        <v/>
      </c>
      <c r="W25" s="5">
        <f>IF((((T25+U25)/2)+(C25/(D25*((T25+U25)/2)))^2/(2*9.81)+B25-(G24+H24^2/(2*9.81))-(A24-A25)*(((DATOS!$B$34*(C25/(D25*((T25+U25)/2)))/((D25*((T25+U25)/2))/(D25+2*((T25+U25)/2)))^(2/3))^2+((DATOS!$B$34*H24/((D24*F24)/(D24+2*F24))^(2/3))^2))/2))&gt;0,((T25+U25)/2),U25)</f>
        <v/>
      </c>
      <c r="X25" s="5">
        <f>IF((((V25+W25)/2)+(C25/(D25*((V25+W25)/2)))^2/(2*9.81)+B25-(G24+H24^2/(2*9.81))-(A24-A25)*(((DATOS!$B$34*(C25/(D25*((V25+W25)/2)))/((D25*((V25+W25)/2))/(D25+2*((V25+W25)/2)))^(2/3))^2+((DATOS!$B$34*H24/((D24*F24)/(D24+2*F24))^(2/3))^2))/2))&gt;0,V25,((V25+W25)/2))</f>
        <v/>
      </c>
      <c r="Y25" s="5">
        <f>IF((((V25+W25)/2)+(C25/(D25*((V25+W25)/2)))^2/(2*9.81)+B25-(G24+H24^2/(2*9.81))-(A24-A25)*(((DATOS!$B$34*(C25/(D25*((V25+W25)/2)))/((D25*((V25+W25)/2))/(D25+2*((V25+W25)/2)))^(2/3))^2+((DATOS!$B$34*H24/((D24*F24)/(D24+2*F24))^(2/3))^2))/2))&gt;0,((V25+W25)/2),W25)</f>
        <v/>
      </c>
      <c r="Z25" s="5">
        <f>IF((((X25+Y25)/2)+(C25/(D25*((X25+Y25)/2)))^2/(2*9.81)+B25-(G24+H24^2/(2*9.81))-(A24-A25)*(((DATOS!$B$34*(C25/(D25*((X25+Y25)/2)))/((D25*((X25+Y25)/2))/(D25+2*((X25+Y25)/2)))^(2/3))^2+((DATOS!$B$34*H24/((D24*F24)/(D24+2*F24))^(2/3))^2))/2))&gt;0,X25,((X25+Y25)/2))</f>
        <v/>
      </c>
      <c r="AA25" s="5">
        <f>IF((((X25+Y25)/2)+(C25/(D25*((X25+Y25)/2)))^2/(2*9.81)+B25-(G24+H24^2/(2*9.81))-(A24-A25)*(((DATOS!$B$34*(C25/(D25*((X25+Y25)/2)))/((D25*((X25+Y25)/2))/(D25+2*((X25+Y25)/2)))^(2/3))^2+((DATOS!$B$34*H24/((D24*F24)/(D24+2*F24))^(2/3))^2))/2))&gt;0,((X25+Y25)/2),Y25)</f>
        <v/>
      </c>
      <c r="AB25" s="5">
        <f>IF((((Z25+AA25)/2)+(C25/(D25*((Z25+AA25)/2)))^2/(2*9.81)+B25-(G24+H24^2/(2*9.81))-(A24-A25)*(((DATOS!$B$34*(C25/(D25*((Z25+AA25)/2)))/((D25*((Z25+AA25)/2))/(D25+2*((Z25+AA25)/2)))^(2/3))^2+((DATOS!$B$34*H24/((D24*F24)/(D24+2*F24))^(2/3))^2))/2))&gt;0,Z25,((Z25+AA25)/2))</f>
        <v/>
      </c>
      <c r="AC25" s="5">
        <f>IF((((Z25+AA25)/2)+(C25/(D25*((Z25+AA25)/2)))^2/(2*9.81)+B25-(G24+H24^2/(2*9.81))-(A24-A25)*(((DATOS!$B$34*(C25/(D25*((Z25+AA25)/2)))/((D25*((Z25+AA25)/2))/(D25+2*((Z25+AA25)/2)))^(2/3))^2+((DATOS!$B$34*H24/((D24*F24)/(D24+2*F24))^(2/3))^2))/2))&gt;0,((Z25+AA25)/2),AA25)</f>
        <v/>
      </c>
      <c r="AD25" s="5">
        <f>IF((((AB25+AC25)/2)+(C25/(D25*((AB25+AC25)/2)))^2/(2*9.81)+B25-(G24+H24^2/(2*9.81))-(A24-A25)*(((DATOS!$B$34*(C25/(D25*((AB25+AC25)/2)))/((D25*((AB25+AC25)/2))/(D25+2*((AB25+AC25)/2)))^(2/3))^2+((DATOS!$B$34*H24/((D24*F24)/(D24+2*F24))^(2/3))^2))/2))&gt;0,AB25,((AB25+AC25)/2))</f>
        <v/>
      </c>
      <c r="AE25" s="5">
        <f>IF((((AB25+AC25)/2)+(C25/(D25*((AB25+AC25)/2)))^2/(2*9.81)+B25-(G24+H24^2/(2*9.81))-(A24-A25)*(((DATOS!$B$34*(C25/(D25*((AB25+AC25)/2)))/((D25*((AB25+AC25)/2))/(D25+2*((AB25+AC25)/2)))^(2/3))^2+((DATOS!$B$34*H24/((D24*F24)/(D24+2*F24))^(2/3))^2))/2))&gt;0,((AB25+AC25)/2),AC25)</f>
        <v/>
      </c>
      <c r="AF25" s="5">
        <f>IF((((AD25+AE25)/2)+(C25/(D25*((AD25+AE25)/2)))^2/(2*9.81)+B25-(G24+H24^2/(2*9.81))-(A24-A25)*(((DATOS!$B$34*(C25/(D25*((AD25+AE25)/2)))/((D25*((AD25+AE25)/2))/(D25+2*((AD25+AE25)/2)))^(2/3))^2+((DATOS!$B$34*H24/((D24*F24)/(D24+2*F24))^(2/3))^2))/2))&gt;0,AD25,((AD25+AE25)/2))</f>
        <v/>
      </c>
      <c r="AG25" s="5">
        <f>IF((((AD25+AE25)/2)+(C25/(D25*((AD25+AE25)/2)))^2/(2*9.81)+B25-(G24+H24^2/(2*9.81))-(A24-A25)*(((DATOS!$B$34*(C25/(D25*((AD25+AE25)/2)))/((D25*((AD25+AE25)/2))/(D25+2*((AD25+AE25)/2)))^(2/3))^2+((DATOS!$B$34*H24/((D24*F24)/(D24+2*F24))^(2/3))^2))/2))&gt;0,((AD25+AE25)/2),AE25)</f>
        <v/>
      </c>
      <c r="AH25" s="5">
        <f>IF((((AF25+AG25)/2)+(C25/(D25*((AF25+AG25)/2)))^2/(2*9.81)+B25-(G24+H24^2/(2*9.81))-(A24-A25)*(((DATOS!$B$34*(C25/(D25*((AF25+AG25)/2)))/((D25*((AF25+AG25)/2))/(D25+2*((AF25+AG25)/2)))^(2/3))^2+((DATOS!$B$34*H24/((D24*F24)/(D24+2*F24))^(2/3))^2))/2))&gt;0,AF25,((AF25+AG25)/2))</f>
        <v/>
      </c>
      <c r="AI25" s="5">
        <f>IF((((AF25+AG25)/2)+(C25/(D25*((AF25+AG25)/2)))^2/(2*9.81)+B25-(G24+H24^2/(2*9.81))-(A24-A25)*(((DATOS!$B$34*(C25/(D25*((AF25+AG25)/2)))/((D25*((AF25+AG25)/2))/(D25+2*((AF25+AG25)/2)))^(2/3))^2+((DATOS!$B$34*H24/((D24*F24)/(D24+2*F24))^(2/3))^2))/2))&gt;0,((AF25+AG25)/2),AG25)</f>
        <v/>
      </c>
      <c r="AJ25" s="5">
        <f>IF((((AH25+AI25)/2)+(C25/(D25*((AH25+AI25)/2)))^2/(2*9.81)+B25-(G24+H24^2/(2*9.81))-(A24-A25)*(((DATOS!$B$34*(C25/(D25*((AH25+AI25)/2)))/((D25*((AH25+AI25)/2))/(D25+2*((AH25+AI25)/2)))^(2/3))^2+((DATOS!$B$34*H24/((D24*F24)/(D24+2*F24))^(2/3))^2))/2))&gt;0,AH25,((AH25+AI25)/2))</f>
        <v/>
      </c>
      <c r="AK25" s="5">
        <f>IF((((AH25+AI25)/2)+(C25/(D25*((AH25+AI25)/2)))^2/(2*9.81)+B25-(G24+H24^2/(2*9.81))-(A24-A25)*(((DATOS!$B$34*(C25/(D25*((AH25+AI25)/2)))/((D25*((AH25+AI25)/2))/(D25+2*((AH25+AI25)/2)))^(2/3))^2+((DATOS!$B$34*H24/((D24*F24)/(D24+2*F24))^(2/3))^2))/2))&gt;0,((AH25+AI25)/2),AI25)</f>
        <v/>
      </c>
      <c r="AL25" s="5">
        <f>IF((((AJ25+AK25)/2)+(C25/(D25*((AJ25+AK25)/2)))^2/(2*9.81)+B25-(G24+H24^2/(2*9.81))-(A24-A25)*(((DATOS!$B$34*(C25/(D25*((AJ25+AK25)/2)))/((D25*((AJ25+AK25)/2))/(D25+2*((AJ25+AK25)/2)))^(2/3))^2+((DATOS!$B$34*H24/((D24*F24)/(D24+2*F24))^(2/3))^2))/2))&gt;0,AJ25,((AJ25+AK25)/2))</f>
        <v/>
      </c>
      <c r="AM25" s="5">
        <f>IF((((AJ25+AK25)/2)+(C25/(D25*((AJ25+AK25)/2)))^2/(2*9.81)+B25-(G24+H24^2/(2*9.81))-(A24-A25)*(((DATOS!$B$34*(C25/(D25*((AJ25+AK25)/2)))/((D25*((AJ25+AK25)/2))/(D25+2*((AJ25+AK25)/2)))^(2/3))^2+((DATOS!$B$34*H24/((D24*F24)/(D24+2*F24))^(2/3))^2))/2))&gt;0,((AJ25+AK25)/2),AK25)</f>
        <v/>
      </c>
      <c r="AN25" s="5">
        <f>IF((((AL25+AM25)/2)+(C25/(D25*((AL25+AM25)/2)))^2/(2*9.81)+B25-(G24+H24^2/(2*9.81))-(A24-A25)*(((DATOS!$B$34*(C25/(D25*((AL25+AM25)/2)))/((D25*((AL25+AM25)/2))/(D25+2*((AL25+AM25)/2)))^(2/3))^2+((DATOS!$B$34*H24/((D24*F24)/(D24+2*F24))^(2/3))^2))/2))&gt;0,AL25,((AL25+AM25)/2))</f>
        <v/>
      </c>
      <c r="AO25" s="5">
        <f>IF((((AL25+AM25)/2)+(C25/(D25*((AL25+AM25)/2)))^2/(2*9.81)+B25-(G24+H24^2/(2*9.81))-(A24-A25)*(((DATOS!$B$34*(C25/(D25*((AL25+AM25)/2)))/((D25*((AL25+AM25)/2))/(D25+2*((AL25+AM25)/2)))^(2/3))^2+((DATOS!$B$34*H24/((D24*F24)/(D24+2*F24))^(2/3))^2))/2))&gt;0,((AL25+AM25)/2),AM25)</f>
        <v/>
      </c>
      <c r="AP25" s="5">
        <f>IF((((AN25+AO25)/2)+(C25/(D25*((AN25+AO25)/2)))^2/(2*9.81)+B25-(G24+H24^2/(2*9.81))-(A24-A25)*(((DATOS!$B$34*(C25/(D25*((AN25+AO25)/2)))/((D25*((AN25+AO25)/2))/(D25+2*((AN25+AO25)/2)))^(2/3))^2+((DATOS!$B$34*H24/((D24*F24)/(D24+2*F24))^(2/3))^2))/2))&gt;0,AN25,((AN25+AO25)/2))</f>
        <v/>
      </c>
      <c r="AQ25" s="5">
        <f>IF((((AN25+AO25)/2)+(C25/(D25*((AN25+AO25)/2)))^2/(2*9.81)+B25-(G24+H24^2/(2*9.81))-(A24-A25)*(((DATOS!$B$34*(C25/(D25*((AN25+AO25)/2)))/((D25*((AN25+AO25)/2))/(D25+2*((AN25+AO25)/2)))^(2/3))^2+((DATOS!$B$34*H24/((D24*F24)/(D24+2*F24))^(2/3))^2))/2))&gt;0,((AN25+AO25)/2),AO25)</f>
        <v/>
      </c>
      <c r="AR25" s="5">
        <f>IF((((AP25+AQ25)/2)+(C25/(D25*((AP25+AQ25)/2)))^2/(2*9.81)+B25-(G24+H24^2/(2*9.81))-(A24-A25)*(((DATOS!$B$34*(C25/(D25*((AP25+AQ25)/2)))/((D25*((AP25+AQ25)/2))/(D25+2*((AP25+AQ25)/2)))^(2/3))^2+((DATOS!$B$34*H24/((D24*F24)/(D24+2*F24))^(2/3))^2))/2))&gt;0,AP25,((AP25+AQ25)/2))</f>
        <v/>
      </c>
      <c r="AS25" s="5">
        <f>IF((((AP25+AQ25)/2)+(C25/(D25*((AP25+AQ25)/2)))^2/(2*9.81)+B25-(G24+H24^2/(2*9.81))-(A24-A25)*(((DATOS!$B$34*(C25/(D25*((AP25+AQ25)/2)))/((D25*((AP25+AQ25)/2))/(D25+2*((AP25+AQ25)/2)))^(2/3))^2+((DATOS!$B$34*H24/((D24*F24)/(D24+2*F24))^(2/3))^2))/2))&gt;0,((AP25+AQ25)/2),AQ25)</f>
        <v/>
      </c>
      <c r="AT25" s="5">
        <f>IF((((AR25+AS25)/2)+(C25/(D25*((AR25+AS25)/2)))^2/(2*9.81)+B25-(G24+H24^2/(2*9.81))-(A24-A25)*(((DATOS!$B$34*(C25/(D25*((AR25+AS25)/2)))/((D25*((AR25+AS25)/2))/(D25+2*((AR25+AS25)/2)))^(2/3))^2+((DATOS!$B$34*H24/((D24*F24)/(D24+2*F24))^(2/3))^2))/2))&gt;0,AR25,((AR25+AS25)/2))</f>
        <v/>
      </c>
      <c r="AU25" s="5">
        <f>IF((((AR25+AS25)/2)+(C25/(D25*((AR25+AS25)/2)))^2/(2*9.81)+B25-(G24+H24^2/(2*9.81))-(A24-A25)*(((DATOS!$B$34*(C25/(D25*((AR25+AS25)/2)))/((D25*((AR25+AS25)/2))/(D25+2*((AR25+AS25)/2)))^(2/3))^2+((DATOS!$B$34*H24/((D24*F24)/(D24+2*F24))^(2/3))^2))/2))&gt;0,((AR25+AS25)/2),AS25)</f>
        <v/>
      </c>
      <c r="AV25" s="5">
        <f>IF((((AT25+AU25)/2)+(C25/(D25*((AT25+AU25)/2)))^2/(2*9.81)+B25-(G24+H24^2/(2*9.81))-(A24-A25)*(((DATOS!$B$34*(C25/(D25*((AT25+AU25)/2)))/((D25*((AT25+AU25)/2))/(D25+2*((AT25+AU25)/2)))^(2/3))^2+((DATOS!$B$34*H24/((D24*F24)/(D24+2*F24))^(2/3))^2))/2))&gt;0,AT25,((AT25+AU25)/2))</f>
        <v/>
      </c>
      <c r="AW25" s="5">
        <f>IF((((AT25+AU25)/2)+(C25/(D25*((AT25+AU25)/2)))^2/(2*9.81)+B25-(G24+H24^2/(2*9.81))-(A24-A25)*(((DATOS!$B$34*(C25/(D25*((AT25+AU25)/2)))/((D25*((AT25+AU25)/2))/(D25+2*((AT25+AU25)/2)))^(2/3))^2+((DATOS!$B$34*H24/((D24*F24)/(D24+2*F24))^(2/3))^2))/2))&gt;0,((AT25+AU25)/2),AU25)</f>
        <v/>
      </c>
      <c r="AX25" s="5">
        <f>IF((((AV25+AW25)/2)+(C25/(D25*((AV25+AW25)/2)))^2/(2*9.81)+B25-(G24+H24^2/(2*9.81))-(A24-A25)*(((DATOS!$B$34*(C25/(D25*((AV25+AW25)/2)))/((D25*((AV25+AW25)/2))/(D25+2*((AV25+AW25)/2)))^(2/3))^2+((DATOS!$B$34*H24/((D24*F24)/(D24+2*F24))^(2/3))^2))/2))&gt;0,AV25,((AV25+AW25)/2))</f>
        <v/>
      </c>
      <c r="AY25" s="5">
        <f>IF((((AV25+AW25)/2)+(C25/(D25*((AV25+AW25)/2)))^2/(2*9.81)+B25-(G24+H24^2/(2*9.81))-(A24-A25)*(((DATOS!$B$34*(C25/(D25*((AV25+AW25)/2)))/((D25*((AV25+AW25)/2))/(D25+2*((AV25+AW25)/2)))^(2/3))^2+((DATOS!$B$34*H24/((D24*F24)/(D24+2*F24))^(2/3))^2))/2))&gt;0,((AV25+AW25)/2),AW25)</f>
        <v/>
      </c>
      <c r="AZ25" s="5">
        <f>IF((((AX25+AY25)/2)+(C25/(D25*((AX25+AY25)/2)))^2/(2*9.81)+B25-(G24+H24^2/(2*9.81))-(A24-A25)*(((DATOS!$B$34*(C25/(D25*((AX25+AY25)/2)))/((D25*((AX25+AY25)/2))/(D25+2*((AX25+AY25)/2)))^(2/3))^2+((DATOS!$B$34*H24/((D24*F24)/(D24+2*F24))^(2/3))^2))/2))&gt;0,AX25,((AX25+AY25)/2))</f>
        <v/>
      </c>
      <c r="BA25" s="5">
        <f>IF((((AX25+AY25)/2)+(C25/(D25*((AX25+AY25)/2)))^2/(2*9.81)+B25-(G24+H24^2/(2*9.81))-(A24-A25)*(((DATOS!$B$34*(C25/(D25*((AX25+AY25)/2)))/((D25*((AX25+AY25)/2))/(D25+2*((AX25+AY25)/2)))^(2/3))^2+((DATOS!$B$34*H24/((D24*F24)/(D24+2*F24))^(2/3))^2))/2))&gt;0,((AX25+AY25)/2),AY25)</f>
        <v/>
      </c>
      <c r="BB25" s="5">
        <f>IF((((AZ25+BA25)/2)+(C25/(D25*((AZ25+BA25)/2)))^2/(2*9.81)+B25-(G24+H24^2/(2*9.81))-(A24-A25)*(((DATOS!$B$34*(C25/(D25*((AZ25+BA25)/2)))/((D25*((AZ25+BA25)/2))/(D25+2*((AZ25+BA25)/2)))^(2/3))^2+((DATOS!$B$34*H24/((D24*F24)/(D24+2*F24))^(2/3))^2))/2))&gt;0,AZ25,((AZ25+BA25)/2))</f>
        <v/>
      </c>
      <c r="BC25" s="5">
        <f>IF((((AZ25+BA25)/2)+(C25/(D25*((AZ25+BA25)/2)))^2/(2*9.81)+B25-(G24+H24^2/(2*9.81))-(A24-A25)*(((DATOS!$B$34*(C25/(D25*((AZ25+BA25)/2)))/((D25*((AZ25+BA25)/2))/(D25+2*((AZ25+BA25)/2)))^(2/3))^2+((DATOS!$B$34*H24/((D24*F24)/(D24+2*F24))^(2/3))^2))/2))&gt;0,((AZ25+BA25)/2),BA25)</f>
        <v/>
      </c>
      <c r="BD25" s="5">
        <f>IF((((BB25+BC25)/2)+(C25/(D25*((BB25+BC25)/2)))^2/(2*9.81)+B25-(G24+H24^2/(2*9.81))-(A24-A25)*(((DATOS!$B$34*(C25/(D25*((BB25+BC25)/2)))/((D25*((BB25+BC25)/2))/(D25+2*((BB25+BC25)/2)))^(2/3))^2+((DATOS!$B$34*H24/((D24*F24)/(D24+2*F24))^(2/3))^2))/2))&gt;0,BB25,((BB25+BC25)/2))</f>
        <v/>
      </c>
      <c r="BE25" s="5">
        <f>IF((((BB25+BC25)/2)+(C25/(D25*((BB25+BC25)/2)))^2/(2*9.81)+B25-(G24+H24^2/(2*9.81))-(A24-A25)*(((DATOS!$B$34*(C25/(D25*((BB25+BC25)/2)))/((D25*((BB25+BC25)/2))/(D25+2*((BB25+BC25)/2)))^(2/3))^2+((DATOS!$B$34*H24/((D24*F24)/(D24+2*F24))^(2/3))^2))/2))&gt;0,((BB25+BC25)/2),BC25)</f>
        <v/>
      </c>
      <c r="BF25" s="5">
        <f>IF((((BD25+BE25)/2)+(C25/(D25*((BD25+BE25)/2)))^2/(2*9.81)+B25-(G24+H24^2/(2*9.81))-(A24-A25)*(((DATOS!$B$34*(C25/(D25*((BD25+BE25)/2)))/((D25*((BD25+BE25)/2))/(D25+2*((BD25+BE25)/2)))^(2/3))^2+((DATOS!$B$34*H24/((D24*F24)/(D24+2*F24))^(2/3))^2))/2))&gt;0,BD25,((BD25+BE25)/2))</f>
        <v/>
      </c>
      <c r="BG25" s="5">
        <f>IF((((BD25+BE25)/2)+(C25/(D25*((BD25+BE25)/2)))^2/(2*9.81)+B25-(G24+H24^2/(2*9.81))-(A24-A25)*(((DATOS!$B$34*(C25/(D25*((BD25+BE25)/2)))/((D25*((BD25+BE25)/2))/(D25+2*((BD25+BE25)/2)))^(2/3))^2+((DATOS!$B$34*H24/((D24*F24)/(D24+2*F24))^(2/3))^2))/2))&gt;0,((BD25+BE25)/2),BE25)</f>
        <v/>
      </c>
      <c r="BH25" s="5">
        <f>IF((((BF25+BG25)/2)+(C25/(D25*((BF25+BG25)/2)))^2/(2*9.81)+B25-(G24+H24^2/(2*9.81))-(A24-A25)*(((DATOS!$B$34*(C25/(D25*((BF25+BG25)/2)))/((D25*((BF25+BG25)/2))/(D25+2*((BF25+BG25)/2)))^(2/3))^2+((DATOS!$B$34*H24/((D24*F24)/(D24+2*F24))^(2/3))^2))/2))&gt;0,BF25,((BF25+BG25)/2))</f>
        <v/>
      </c>
      <c r="BI25" s="5">
        <f>IF((((BF25+BG25)/2)+(C25/(D25*((BF25+BG25)/2)))^2/(2*9.81)+B25-(G24+H24^2/(2*9.81))-(A24-A25)*(((DATOS!$B$34*(C25/(D25*((BF25+BG25)/2)))/((D25*((BF25+BG25)/2))/(D25+2*((BF25+BG25)/2)))^(2/3))^2+((DATOS!$B$34*H24/((D24*F24)/(D24+2*F24))^(2/3))^2))/2))&gt;0,((BF25+BG25)/2),BG25)</f>
        <v/>
      </c>
      <c r="BJ25" s="5">
        <f>IF((((BH25+BI25)/2)+(C25/(D25*((BH25+BI25)/2)))^2/(2*9.81)+B25-(G24+H24^2/(2*9.81))-(A24-A25)*(((DATOS!$B$34*(C25/(D25*((BH25+BI25)/2)))/((D25*((BH25+BI25)/2))/(D25+2*((BH25+BI25)/2)))^(2/3))^2+((DATOS!$B$34*H24/((D24*F24)/(D24+2*F24))^(2/3))^2))/2))&gt;0,BH25,((BH25+BI25)/2))</f>
        <v/>
      </c>
      <c r="BK25" s="5">
        <f>IF((((BH25+BI25)/2)+(C25/(D25*((BH25+BI25)/2)))^2/(2*9.81)+B25-(G24+H24^2/(2*9.81))-(A24-A25)*(((DATOS!$B$34*(C25/(D25*((BH25+BI25)/2)))/((D25*((BH25+BI25)/2))/(D25+2*((BH25+BI25)/2)))^(2/3))^2+((DATOS!$B$34*H24/((D24*F24)/(D24+2*F24))^(2/3))^2))/2))&gt;0,((BH25+BI25)/2),BI25)</f>
        <v/>
      </c>
      <c r="BL25" s="5">
        <f>IF((((BJ25+BK25)/2)+(C25/(D25*((BJ25+BK25)/2)))^2/(2*9.81)+B25-(G24+H24^2/(2*9.81))-(A24-A25)*(((DATOS!$B$34*(C25/(D25*((BJ25+BK25)/2)))/((D25*((BJ25+BK25)/2))/(D25+2*((BJ25+BK25)/2)))^(2/3))^2+((DATOS!$B$34*H24/((D24*F24)/(D24+2*F24))^(2/3))^2))/2))&gt;0,BJ25,((BJ25+BK25)/2))</f>
        <v/>
      </c>
      <c r="BM25" s="5">
        <f>IF((((BJ25+BK25)/2)+(C25/(D25*((BJ25+BK25)/2)))^2/(2*9.81)+B25-(G24+H24^2/(2*9.81))-(A24-A25)*(((DATOS!$B$34*(C25/(D25*((BJ25+BK25)/2)))/((D25*((BJ25+BK25)/2))/(D25+2*((BJ25+BK25)/2)))^(2/3))^2+((DATOS!$B$34*H24/((D24*F24)/(D24+2*F24))^(2/3))^2))/2))&gt;0,((BJ25+BK25)/2),BK25)</f>
        <v/>
      </c>
      <c r="BN25" s="5">
        <f>IF((((BL25+BM25)/2)+(C25/(D25*((BL25+BM25)/2)))^2/(2*9.81)+B25-(G24+H24^2/(2*9.81))-(A24-A25)*(((DATOS!$B$34*(C25/(D25*((BL25+BM25)/2)))/((D25*((BL25+BM25)/2))/(D25+2*((BL25+BM25)/2)))^(2/3))^2+((DATOS!$B$34*H24/((D24*F24)/(D24+2*F24))^(2/3))^2))/2))&gt;0,BL25,((BL25+BM25)/2))</f>
        <v/>
      </c>
      <c r="BO25" s="5">
        <f>IF((((BL25+BM25)/2)+(C25/(D25*((BL25+BM25)/2)))^2/(2*9.81)+B25-(G24+H24^2/(2*9.81))-(A24-A25)*(((DATOS!$B$34*(C25/(D25*((BL25+BM25)/2)))/((D25*((BL25+BM25)/2))/(D25+2*((BL25+BM25)/2)))^(2/3))^2+((DATOS!$B$34*H24/((D24*F24)/(D24+2*F24))^(2/3))^2))/2))&gt;0,((BL25+BM25)/2),BM25)</f>
        <v/>
      </c>
      <c r="BP25" s="5">
        <f>IF((((BN25+BO25)/2)+(C25/(D25*((BN25+BO25)/2)))^2/(2*9.81)+B25-(G24+H24^2/(2*9.81))-(A24-A25)*(((DATOS!$B$34*(C25/(D25*((BN25+BO25)/2)))/((D25*((BN25+BO25)/2))/(D25+2*((BN25+BO25)/2)))^(2/3))^2+((DATOS!$B$34*H24/((D24*F24)/(D24+2*F24))^(2/3))^2))/2))&gt;0,BN25,((BN25+BO25)/2))</f>
        <v/>
      </c>
      <c r="BQ25" s="5">
        <f>IF((((BN25+BO25)/2)+(C25/(D25*((BN25+BO25)/2)))^2/(2*9.81)+B25-(G24+H24^2/(2*9.81))-(A24-A25)*(((DATOS!$B$34*(C25/(D25*((BN25+BO25)/2)))/((D25*((BN25+BO25)/2))/(D25+2*((BN25+BO25)/2)))^(2/3))^2+((DATOS!$B$34*H24/((D24*F24)/(D24+2*F24))^(2/3))^2))/2))&gt;0,((BN25+BO25)/2),BO25)</f>
        <v/>
      </c>
      <c r="BR25" s="5">
        <f>IF((((BP25+BQ25)/2)+(C25/(D25*((BP25+BQ25)/2)))^2/(2*9.81)+B25-(G24+H24^2/(2*9.81))-(A24-A25)*(((DATOS!$B$34*(C25/(D25*((BP25+BQ25)/2)))/((D25*((BP25+BQ25)/2))/(D25+2*((BP25+BQ25)/2)))^(2/3))^2+((DATOS!$B$34*H24/((D24*F24)/(D24+2*F24))^(2/3))^2))/2))&gt;0,BP25,((BP25+BQ25)/2))</f>
        <v/>
      </c>
      <c r="BS25" s="5">
        <f>IF((((BP25+BQ25)/2)+(C25/(D25*((BP25+BQ25)/2)))^2/(2*9.81)+B25-(G24+H24^2/(2*9.81))-(A24-A25)*(((DATOS!$B$34*(C25/(D25*((BP25+BQ25)/2)))/((D25*((BP25+BQ25)/2))/(D25+2*((BP25+BQ25)/2)))^(2/3))^2+((DATOS!$B$34*H24/((D24*F24)/(D24+2*F24))^(2/3))^2))/2))&gt;0,((BP25+BQ25)/2),BQ25)</f>
        <v/>
      </c>
      <c r="BT25" s="5">
        <f>IF((((BR25+BS25)/2)+(C25/(D25*((BR25+BS25)/2)))^2/(2*9.81)+B25-(G24+H24^2/(2*9.81))-(A24-A25)*(((DATOS!$B$34*(C25/(D25*((BR25+BS25)/2)))/((D25*((BR25+BS25)/2))/(D25+2*((BR25+BS25)/2)))^(2/3))^2+((DATOS!$B$34*H24/((D24*F24)/(D24+2*F24))^(2/3))^2))/2))&gt;0,BR25,((BR25+BS25)/2))</f>
        <v/>
      </c>
      <c r="BU25" s="5">
        <f>IF((((BR25+BS25)/2)+(C25/(D25*((BR25+BS25)/2)))^2/(2*9.81)+B25-(G24+H24^2/(2*9.81))-(A24-A25)*(((DATOS!$B$34*(C25/(D25*((BR25+BS25)/2)))/((D25*((BR25+BS25)/2))/(D25+2*((BR25+BS25)/2)))^(2/3))^2+((DATOS!$B$34*H24/((D24*F24)/(D24+2*F24))^(2/3))^2))/2))&gt;0,((BR25+BS25)/2),BS25)</f>
        <v/>
      </c>
      <c r="BV25" s="5">
        <f>IF((((BT25+BU25)/2)+(C25/(D25*((BT25+BU25)/2)))^2/(2*9.81)+B25-(G24+H24^2/(2*9.81))-(A24-A25)*(((DATOS!$B$34*(C25/(D25*((BT25+BU25)/2)))/((D25*((BT25+BU25)/2))/(D25+2*((BT25+BU25)/2)))^(2/3))^2+((DATOS!$B$34*H24/((D24*F24)/(D24+2*F24))^(2/3))^2))/2))&gt;0,BT25,((BT25+BU25)/2))</f>
        <v/>
      </c>
      <c r="BW25" s="5">
        <f>IF((((BT25+BU25)/2)+(C25/(D25*((BT25+BU25)/2)))^2/(2*9.81)+B25-(G24+H24^2/(2*9.81))-(A24-A25)*(((DATOS!$B$34*(C25/(D25*((BT25+BU25)/2)))/((D25*((BT25+BU25)/2))/(D25+2*((BT25+BU25)/2)))^(2/3))^2+((DATOS!$B$34*H24/((D24*F24)/(D24+2*F24))^(2/3))^2))/2))&gt;0,((BT25+BU25)/2),BU25)</f>
        <v/>
      </c>
    </row>
    <row r="26">
      <c r="A26" s="13" t="n">
        <v>56</v>
      </c>
      <c r="B26" s="16">
        <f>DATOS!$B$22-DATOS!$B$23*A26</f>
        <v/>
      </c>
      <c r="C26" s="24">
        <f>CAUDALES!$B$13</f>
        <v/>
      </c>
      <c r="D26" s="17">
        <f>DATOS!$B$17</f>
        <v/>
      </c>
      <c r="E26" s="16">
        <f>(C26^2/(9.81*D26^2))^(1/3)</f>
        <v/>
      </c>
      <c r="F26" s="16">
        <f>(BV26+BW26)/2</f>
        <v/>
      </c>
      <c r="G26" s="16">
        <f>B26+F26</f>
        <v/>
      </c>
      <c r="H26" s="19">
        <f>C26/(D26*F26)</f>
        <v/>
      </c>
      <c r="I26" s="19">
        <f>H26/SQRT(9.81*F26)</f>
        <v/>
      </c>
      <c r="J26" s="16">
        <f>DATOS!$B$29-IF(AND(A26&gt;=DATOS!$B$30,A26&lt;DATOS!$B$31),DATOS!$B$21,DATOS!$B$20)</f>
        <v/>
      </c>
      <c r="K26" s="19">
        <f>J26-B26</f>
        <v/>
      </c>
      <c r="L26" s="19">
        <f>F26/K26</f>
        <v/>
      </c>
      <c r="M26" s="16">
        <f>J26-G26</f>
        <v/>
      </c>
      <c r="N26" s="5">
        <f>IF(AND(L26&lt;=DATOS!$B$36,M26&gt;=DATOS!$B$37,I26&lt;=1),"CUMPLE","NO CUMPLE")</f>
        <v/>
      </c>
      <c r="O26" s="5">
        <f>IF(AND(A26&gt;=DATOS!$B$30,A26&lt;DATOS!$B$31),"cruce de camiones",IF(AND(A26&gt;=DATOS!$B$32,A26&lt;DATOS!$B$33),"cruce de motos","tramo normal"))</f>
        <v/>
      </c>
      <c r="P26" s="5">
        <f>E26*1.001</f>
        <v/>
      </c>
      <c r="Q26" s="13" t="n">
        <v>3</v>
      </c>
      <c r="R26" s="5">
        <f>IF((((P26+Q26)/2)+(C26/(D26*((P26+Q26)/2)))^2/(2*9.81)+B26-(G25+H25^2/(2*9.81))-(A25-A26)*(((DATOS!$B$34*(C26/(D26*((P26+Q26)/2)))/((D26*((P26+Q26)/2))/(D26+2*((P26+Q26)/2)))^(2/3))^2+((DATOS!$B$34*H25/((D25*F25)/(D25+2*F25))^(2/3))^2))/2))&gt;0,P26,((P26+Q26)/2))</f>
        <v/>
      </c>
      <c r="S26" s="5">
        <f>IF((((P26+Q26)/2)+(C26/(D26*((P26+Q26)/2)))^2/(2*9.81)+B26-(G25+H25^2/(2*9.81))-(A25-A26)*(((DATOS!$B$34*(C26/(D26*((P26+Q26)/2)))/((D26*((P26+Q26)/2))/(D26+2*((P26+Q26)/2)))^(2/3))^2+((DATOS!$B$34*H25/((D25*F25)/(D25+2*F25))^(2/3))^2))/2))&gt;0,((P26+Q26)/2),Q26)</f>
        <v/>
      </c>
      <c r="T26" s="5">
        <f>IF((((R26+S26)/2)+(C26/(D26*((R26+S26)/2)))^2/(2*9.81)+B26-(G25+H25^2/(2*9.81))-(A25-A26)*(((DATOS!$B$34*(C26/(D26*((R26+S26)/2)))/((D26*((R26+S26)/2))/(D26+2*((R26+S26)/2)))^(2/3))^2+((DATOS!$B$34*H25/((D25*F25)/(D25+2*F25))^(2/3))^2))/2))&gt;0,R26,((R26+S26)/2))</f>
        <v/>
      </c>
      <c r="U26" s="5">
        <f>IF((((R26+S26)/2)+(C26/(D26*((R26+S26)/2)))^2/(2*9.81)+B26-(G25+H25^2/(2*9.81))-(A25-A26)*(((DATOS!$B$34*(C26/(D26*((R26+S26)/2)))/((D26*((R26+S26)/2))/(D26+2*((R26+S26)/2)))^(2/3))^2+((DATOS!$B$34*H25/((D25*F25)/(D25+2*F25))^(2/3))^2))/2))&gt;0,((R26+S26)/2),S26)</f>
        <v/>
      </c>
      <c r="V26" s="5">
        <f>IF((((T26+U26)/2)+(C26/(D26*((T26+U26)/2)))^2/(2*9.81)+B26-(G25+H25^2/(2*9.81))-(A25-A26)*(((DATOS!$B$34*(C26/(D26*((T26+U26)/2)))/((D26*((T26+U26)/2))/(D26+2*((T26+U26)/2)))^(2/3))^2+((DATOS!$B$34*H25/((D25*F25)/(D25+2*F25))^(2/3))^2))/2))&gt;0,T26,((T26+U26)/2))</f>
        <v/>
      </c>
      <c r="W26" s="5">
        <f>IF((((T26+U26)/2)+(C26/(D26*((T26+U26)/2)))^2/(2*9.81)+B26-(G25+H25^2/(2*9.81))-(A25-A26)*(((DATOS!$B$34*(C26/(D26*((T26+U26)/2)))/((D26*((T26+U26)/2))/(D26+2*((T26+U26)/2)))^(2/3))^2+((DATOS!$B$34*H25/((D25*F25)/(D25+2*F25))^(2/3))^2))/2))&gt;0,((T26+U26)/2),U26)</f>
        <v/>
      </c>
      <c r="X26" s="5">
        <f>IF((((V26+W26)/2)+(C26/(D26*((V26+W26)/2)))^2/(2*9.81)+B26-(G25+H25^2/(2*9.81))-(A25-A26)*(((DATOS!$B$34*(C26/(D26*((V26+W26)/2)))/((D26*((V26+W26)/2))/(D26+2*((V26+W26)/2)))^(2/3))^2+((DATOS!$B$34*H25/((D25*F25)/(D25+2*F25))^(2/3))^2))/2))&gt;0,V26,((V26+W26)/2))</f>
        <v/>
      </c>
      <c r="Y26" s="5">
        <f>IF((((V26+W26)/2)+(C26/(D26*((V26+W26)/2)))^2/(2*9.81)+B26-(G25+H25^2/(2*9.81))-(A25-A26)*(((DATOS!$B$34*(C26/(D26*((V26+W26)/2)))/((D26*((V26+W26)/2))/(D26+2*((V26+W26)/2)))^(2/3))^2+((DATOS!$B$34*H25/((D25*F25)/(D25+2*F25))^(2/3))^2))/2))&gt;0,((V26+W26)/2),W26)</f>
        <v/>
      </c>
      <c r="Z26" s="5">
        <f>IF((((X26+Y26)/2)+(C26/(D26*((X26+Y26)/2)))^2/(2*9.81)+B26-(G25+H25^2/(2*9.81))-(A25-A26)*(((DATOS!$B$34*(C26/(D26*((X26+Y26)/2)))/((D26*((X26+Y26)/2))/(D26+2*((X26+Y26)/2)))^(2/3))^2+((DATOS!$B$34*H25/((D25*F25)/(D25+2*F25))^(2/3))^2))/2))&gt;0,X26,((X26+Y26)/2))</f>
        <v/>
      </c>
      <c r="AA26" s="5">
        <f>IF((((X26+Y26)/2)+(C26/(D26*((X26+Y26)/2)))^2/(2*9.81)+B26-(G25+H25^2/(2*9.81))-(A25-A26)*(((DATOS!$B$34*(C26/(D26*((X26+Y26)/2)))/((D26*((X26+Y26)/2))/(D26+2*((X26+Y26)/2)))^(2/3))^2+((DATOS!$B$34*H25/((D25*F25)/(D25+2*F25))^(2/3))^2))/2))&gt;0,((X26+Y26)/2),Y26)</f>
        <v/>
      </c>
      <c r="AB26" s="5">
        <f>IF((((Z26+AA26)/2)+(C26/(D26*((Z26+AA26)/2)))^2/(2*9.81)+B26-(G25+H25^2/(2*9.81))-(A25-A26)*(((DATOS!$B$34*(C26/(D26*((Z26+AA26)/2)))/((D26*((Z26+AA26)/2))/(D26+2*((Z26+AA26)/2)))^(2/3))^2+((DATOS!$B$34*H25/((D25*F25)/(D25+2*F25))^(2/3))^2))/2))&gt;0,Z26,((Z26+AA26)/2))</f>
        <v/>
      </c>
      <c r="AC26" s="5">
        <f>IF((((Z26+AA26)/2)+(C26/(D26*((Z26+AA26)/2)))^2/(2*9.81)+B26-(G25+H25^2/(2*9.81))-(A25-A26)*(((DATOS!$B$34*(C26/(D26*((Z26+AA26)/2)))/((D26*((Z26+AA26)/2))/(D26+2*((Z26+AA26)/2)))^(2/3))^2+((DATOS!$B$34*H25/((D25*F25)/(D25+2*F25))^(2/3))^2))/2))&gt;0,((Z26+AA26)/2),AA26)</f>
        <v/>
      </c>
      <c r="AD26" s="5">
        <f>IF((((AB26+AC26)/2)+(C26/(D26*((AB26+AC26)/2)))^2/(2*9.81)+B26-(G25+H25^2/(2*9.81))-(A25-A26)*(((DATOS!$B$34*(C26/(D26*((AB26+AC26)/2)))/((D26*((AB26+AC26)/2))/(D26+2*((AB26+AC26)/2)))^(2/3))^2+((DATOS!$B$34*H25/((D25*F25)/(D25+2*F25))^(2/3))^2))/2))&gt;0,AB26,((AB26+AC26)/2))</f>
        <v/>
      </c>
      <c r="AE26" s="5">
        <f>IF((((AB26+AC26)/2)+(C26/(D26*((AB26+AC26)/2)))^2/(2*9.81)+B26-(G25+H25^2/(2*9.81))-(A25-A26)*(((DATOS!$B$34*(C26/(D26*((AB26+AC26)/2)))/((D26*((AB26+AC26)/2))/(D26+2*((AB26+AC26)/2)))^(2/3))^2+((DATOS!$B$34*H25/((D25*F25)/(D25+2*F25))^(2/3))^2))/2))&gt;0,((AB26+AC26)/2),AC26)</f>
        <v/>
      </c>
      <c r="AF26" s="5">
        <f>IF((((AD26+AE26)/2)+(C26/(D26*((AD26+AE26)/2)))^2/(2*9.81)+B26-(G25+H25^2/(2*9.81))-(A25-A26)*(((DATOS!$B$34*(C26/(D26*((AD26+AE26)/2)))/((D26*((AD26+AE26)/2))/(D26+2*((AD26+AE26)/2)))^(2/3))^2+((DATOS!$B$34*H25/((D25*F25)/(D25+2*F25))^(2/3))^2))/2))&gt;0,AD26,((AD26+AE26)/2))</f>
        <v/>
      </c>
      <c r="AG26" s="5">
        <f>IF((((AD26+AE26)/2)+(C26/(D26*((AD26+AE26)/2)))^2/(2*9.81)+B26-(G25+H25^2/(2*9.81))-(A25-A26)*(((DATOS!$B$34*(C26/(D26*((AD26+AE26)/2)))/((D26*((AD26+AE26)/2))/(D26+2*((AD26+AE26)/2)))^(2/3))^2+((DATOS!$B$34*H25/((D25*F25)/(D25+2*F25))^(2/3))^2))/2))&gt;0,((AD26+AE26)/2),AE26)</f>
        <v/>
      </c>
      <c r="AH26" s="5">
        <f>IF((((AF26+AG26)/2)+(C26/(D26*((AF26+AG26)/2)))^2/(2*9.81)+B26-(G25+H25^2/(2*9.81))-(A25-A26)*(((DATOS!$B$34*(C26/(D26*((AF26+AG26)/2)))/((D26*((AF26+AG26)/2))/(D26+2*((AF26+AG26)/2)))^(2/3))^2+((DATOS!$B$34*H25/((D25*F25)/(D25+2*F25))^(2/3))^2))/2))&gt;0,AF26,((AF26+AG26)/2))</f>
        <v/>
      </c>
      <c r="AI26" s="5">
        <f>IF((((AF26+AG26)/2)+(C26/(D26*((AF26+AG26)/2)))^2/(2*9.81)+B26-(G25+H25^2/(2*9.81))-(A25-A26)*(((DATOS!$B$34*(C26/(D26*((AF26+AG26)/2)))/((D26*((AF26+AG26)/2))/(D26+2*((AF26+AG26)/2)))^(2/3))^2+((DATOS!$B$34*H25/((D25*F25)/(D25+2*F25))^(2/3))^2))/2))&gt;0,((AF26+AG26)/2),AG26)</f>
        <v/>
      </c>
      <c r="AJ26" s="5">
        <f>IF((((AH26+AI26)/2)+(C26/(D26*((AH26+AI26)/2)))^2/(2*9.81)+B26-(G25+H25^2/(2*9.81))-(A25-A26)*(((DATOS!$B$34*(C26/(D26*((AH26+AI26)/2)))/((D26*((AH26+AI26)/2))/(D26+2*((AH26+AI26)/2)))^(2/3))^2+((DATOS!$B$34*H25/((D25*F25)/(D25+2*F25))^(2/3))^2))/2))&gt;0,AH26,((AH26+AI26)/2))</f>
        <v/>
      </c>
      <c r="AK26" s="5">
        <f>IF((((AH26+AI26)/2)+(C26/(D26*((AH26+AI26)/2)))^2/(2*9.81)+B26-(G25+H25^2/(2*9.81))-(A25-A26)*(((DATOS!$B$34*(C26/(D26*((AH26+AI26)/2)))/((D26*((AH26+AI26)/2))/(D26+2*((AH26+AI26)/2)))^(2/3))^2+((DATOS!$B$34*H25/((D25*F25)/(D25+2*F25))^(2/3))^2))/2))&gt;0,((AH26+AI26)/2),AI26)</f>
        <v/>
      </c>
      <c r="AL26" s="5">
        <f>IF((((AJ26+AK26)/2)+(C26/(D26*((AJ26+AK26)/2)))^2/(2*9.81)+B26-(G25+H25^2/(2*9.81))-(A25-A26)*(((DATOS!$B$34*(C26/(D26*((AJ26+AK26)/2)))/((D26*((AJ26+AK26)/2))/(D26+2*((AJ26+AK26)/2)))^(2/3))^2+((DATOS!$B$34*H25/((D25*F25)/(D25+2*F25))^(2/3))^2))/2))&gt;0,AJ26,((AJ26+AK26)/2))</f>
        <v/>
      </c>
      <c r="AM26" s="5">
        <f>IF((((AJ26+AK26)/2)+(C26/(D26*((AJ26+AK26)/2)))^2/(2*9.81)+B26-(G25+H25^2/(2*9.81))-(A25-A26)*(((DATOS!$B$34*(C26/(D26*((AJ26+AK26)/2)))/((D26*((AJ26+AK26)/2))/(D26+2*((AJ26+AK26)/2)))^(2/3))^2+((DATOS!$B$34*H25/((D25*F25)/(D25+2*F25))^(2/3))^2))/2))&gt;0,((AJ26+AK26)/2),AK26)</f>
        <v/>
      </c>
      <c r="AN26" s="5">
        <f>IF((((AL26+AM26)/2)+(C26/(D26*((AL26+AM26)/2)))^2/(2*9.81)+B26-(G25+H25^2/(2*9.81))-(A25-A26)*(((DATOS!$B$34*(C26/(D26*((AL26+AM26)/2)))/((D26*((AL26+AM26)/2))/(D26+2*((AL26+AM26)/2)))^(2/3))^2+((DATOS!$B$34*H25/((D25*F25)/(D25+2*F25))^(2/3))^2))/2))&gt;0,AL26,((AL26+AM26)/2))</f>
        <v/>
      </c>
      <c r="AO26" s="5">
        <f>IF((((AL26+AM26)/2)+(C26/(D26*((AL26+AM26)/2)))^2/(2*9.81)+B26-(G25+H25^2/(2*9.81))-(A25-A26)*(((DATOS!$B$34*(C26/(D26*((AL26+AM26)/2)))/((D26*((AL26+AM26)/2))/(D26+2*((AL26+AM26)/2)))^(2/3))^2+((DATOS!$B$34*H25/((D25*F25)/(D25+2*F25))^(2/3))^2))/2))&gt;0,((AL26+AM26)/2),AM26)</f>
        <v/>
      </c>
      <c r="AP26" s="5">
        <f>IF((((AN26+AO26)/2)+(C26/(D26*((AN26+AO26)/2)))^2/(2*9.81)+B26-(G25+H25^2/(2*9.81))-(A25-A26)*(((DATOS!$B$34*(C26/(D26*((AN26+AO26)/2)))/((D26*((AN26+AO26)/2))/(D26+2*((AN26+AO26)/2)))^(2/3))^2+((DATOS!$B$34*H25/((D25*F25)/(D25+2*F25))^(2/3))^2))/2))&gt;0,AN26,((AN26+AO26)/2))</f>
        <v/>
      </c>
      <c r="AQ26" s="5">
        <f>IF((((AN26+AO26)/2)+(C26/(D26*((AN26+AO26)/2)))^2/(2*9.81)+B26-(G25+H25^2/(2*9.81))-(A25-A26)*(((DATOS!$B$34*(C26/(D26*((AN26+AO26)/2)))/((D26*((AN26+AO26)/2))/(D26+2*((AN26+AO26)/2)))^(2/3))^2+((DATOS!$B$34*H25/((D25*F25)/(D25+2*F25))^(2/3))^2))/2))&gt;0,((AN26+AO26)/2),AO26)</f>
        <v/>
      </c>
      <c r="AR26" s="5">
        <f>IF((((AP26+AQ26)/2)+(C26/(D26*((AP26+AQ26)/2)))^2/(2*9.81)+B26-(G25+H25^2/(2*9.81))-(A25-A26)*(((DATOS!$B$34*(C26/(D26*((AP26+AQ26)/2)))/((D26*((AP26+AQ26)/2))/(D26+2*((AP26+AQ26)/2)))^(2/3))^2+((DATOS!$B$34*H25/((D25*F25)/(D25+2*F25))^(2/3))^2))/2))&gt;0,AP26,((AP26+AQ26)/2))</f>
        <v/>
      </c>
      <c r="AS26" s="5">
        <f>IF((((AP26+AQ26)/2)+(C26/(D26*((AP26+AQ26)/2)))^2/(2*9.81)+B26-(G25+H25^2/(2*9.81))-(A25-A26)*(((DATOS!$B$34*(C26/(D26*((AP26+AQ26)/2)))/((D26*((AP26+AQ26)/2))/(D26+2*((AP26+AQ26)/2)))^(2/3))^2+((DATOS!$B$34*H25/((D25*F25)/(D25+2*F25))^(2/3))^2))/2))&gt;0,((AP26+AQ26)/2),AQ26)</f>
        <v/>
      </c>
      <c r="AT26" s="5">
        <f>IF((((AR26+AS26)/2)+(C26/(D26*((AR26+AS26)/2)))^2/(2*9.81)+B26-(G25+H25^2/(2*9.81))-(A25-A26)*(((DATOS!$B$34*(C26/(D26*((AR26+AS26)/2)))/((D26*((AR26+AS26)/2))/(D26+2*((AR26+AS26)/2)))^(2/3))^2+((DATOS!$B$34*H25/((D25*F25)/(D25+2*F25))^(2/3))^2))/2))&gt;0,AR26,((AR26+AS26)/2))</f>
        <v/>
      </c>
      <c r="AU26" s="5">
        <f>IF((((AR26+AS26)/2)+(C26/(D26*((AR26+AS26)/2)))^2/(2*9.81)+B26-(G25+H25^2/(2*9.81))-(A25-A26)*(((DATOS!$B$34*(C26/(D26*((AR26+AS26)/2)))/((D26*((AR26+AS26)/2))/(D26+2*((AR26+AS26)/2)))^(2/3))^2+((DATOS!$B$34*H25/((D25*F25)/(D25+2*F25))^(2/3))^2))/2))&gt;0,((AR26+AS26)/2),AS26)</f>
        <v/>
      </c>
      <c r="AV26" s="5">
        <f>IF((((AT26+AU26)/2)+(C26/(D26*((AT26+AU26)/2)))^2/(2*9.81)+B26-(G25+H25^2/(2*9.81))-(A25-A26)*(((DATOS!$B$34*(C26/(D26*((AT26+AU26)/2)))/((D26*((AT26+AU26)/2))/(D26+2*((AT26+AU26)/2)))^(2/3))^2+((DATOS!$B$34*H25/((D25*F25)/(D25+2*F25))^(2/3))^2))/2))&gt;0,AT26,((AT26+AU26)/2))</f>
        <v/>
      </c>
      <c r="AW26" s="5">
        <f>IF((((AT26+AU26)/2)+(C26/(D26*((AT26+AU26)/2)))^2/(2*9.81)+B26-(G25+H25^2/(2*9.81))-(A25-A26)*(((DATOS!$B$34*(C26/(D26*((AT26+AU26)/2)))/((D26*((AT26+AU26)/2))/(D26+2*((AT26+AU26)/2)))^(2/3))^2+((DATOS!$B$34*H25/((D25*F25)/(D25+2*F25))^(2/3))^2))/2))&gt;0,((AT26+AU26)/2),AU26)</f>
        <v/>
      </c>
      <c r="AX26" s="5">
        <f>IF((((AV26+AW26)/2)+(C26/(D26*((AV26+AW26)/2)))^2/(2*9.81)+B26-(G25+H25^2/(2*9.81))-(A25-A26)*(((DATOS!$B$34*(C26/(D26*((AV26+AW26)/2)))/((D26*((AV26+AW26)/2))/(D26+2*((AV26+AW26)/2)))^(2/3))^2+((DATOS!$B$34*H25/((D25*F25)/(D25+2*F25))^(2/3))^2))/2))&gt;0,AV26,((AV26+AW26)/2))</f>
        <v/>
      </c>
      <c r="AY26" s="5">
        <f>IF((((AV26+AW26)/2)+(C26/(D26*((AV26+AW26)/2)))^2/(2*9.81)+B26-(G25+H25^2/(2*9.81))-(A25-A26)*(((DATOS!$B$34*(C26/(D26*((AV26+AW26)/2)))/((D26*((AV26+AW26)/2))/(D26+2*((AV26+AW26)/2)))^(2/3))^2+((DATOS!$B$34*H25/((D25*F25)/(D25+2*F25))^(2/3))^2))/2))&gt;0,((AV26+AW26)/2),AW26)</f>
        <v/>
      </c>
      <c r="AZ26" s="5">
        <f>IF((((AX26+AY26)/2)+(C26/(D26*((AX26+AY26)/2)))^2/(2*9.81)+B26-(G25+H25^2/(2*9.81))-(A25-A26)*(((DATOS!$B$34*(C26/(D26*((AX26+AY26)/2)))/((D26*((AX26+AY26)/2))/(D26+2*((AX26+AY26)/2)))^(2/3))^2+((DATOS!$B$34*H25/((D25*F25)/(D25+2*F25))^(2/3))^2))/2))&gt;0,AX26,((AX26+AY26)/2))</f>
        <v/>
      </c>
      <c r="BA26" s="5">
        <f>IF((((AX26+AY26)/2)+(C26/(D26*((AX26+AY26)/2)))^2/(2*9.81)+B26-(G25+H25^2/(2*9.81))-(A25-A26)*(((DATOS!$B$34*(C26/(D26*((AX26+AY26)/2)))/((D26*((AX26+AY26)/2))/(D26+2*((AX26+AY26)/2)))^(2/3))^2+((DATOS!$B$34*H25/((D25*F25)/(D25+2*F25))^(2/3))^2))/2))&gt;0,((AX26+AY26)/2),AY26)</f>
        <v/>
      </c>
      <c r="BB26" s="5">
        <f>IF((((AZ26+BA26)/2)+(C26/(D26*((AZ26+BA26)/2)))^2/(2*9.81)+B26-(G25+H25^2/(2*9.81))-(A25-A26)*(((DATOS!$B$34*(C26/(D26*((AZ26+BA26)/2)))/((D26*((AZ26+BA26)/2))/(D26+2*((AZ26+BA26)/2)))^(2/3))^2+((DATOS!$B$34*H25/((D25*F25)/(D25+2*F25))^(2/3))^2))/2))&gt;0,AZ26,((AZ26+BA26)/2))</f>
        <v/>
      </c>
      <c r="BC26" s="5">
        <f>IF((((AZ26+BA26)/2)+(C26/(D26*((AZ26+BA26)/2)))^2/(2*9.81)+B26-(G25+H25^2/(2*9.81))-(A25-A26)*(((DATOS!$B$34*(C26/(D26*((AZ26+BA26)/2)))/((D26*((AZ26+BA26)/2))/(D26+2*((AZ26+BA26)/2)))^(2/3))^2+((DATOS!$B$34*H25/((D25*F25)/(D25+2*F25))^(2/3))^2))/2))&gt;0,((AZ26+BA26)/2),BA26)</f>
        <v/>
      </c>
      <c r="BD26" s="5">
        <f>IF((((BB26+BC26)/2)+(C26/(D26*((BB26+BC26)/2)))^2/(2*9.81)+B26-(G25+H25^2/(2*9.81))-(A25-A26)*(((DATOS!$B$34*(C26/(D26*((BB26+BC26)/2)))/((D26*((BB26+BC26)/2))/(D26+2*((BB26+BC26)/2)))^(2/3))^2+((DATOS!$B$34*H25/((D25*F25)/(D25+2*F25))^(2/3))^2))/2))&gt;0,BB26,((BB26+BC26)/2))</f>
        <v/>
      </c>
      <c r="BE26" s="5">
        <f>IF((((BB26+BC26)/2)+(C26/(D26*((BB26+BC26)/2)))^2/(2*9.81)+B26-(G25+H25^2/(2*9.81))-(A25-A26)*(((DATOS!$B$34*(C26/(D26*((BB26+BC26)/2)))/((D26*((BB26+BC26)/2))/(D26+2*((BB26+BC26)/2)))^(2/3))^2+((DATOS!$B$34*H25/((D25*F25)/(D25+2*F25))^(2/3))^2))/2))&gt;0,((BB26+BC26)/2),BC26)</f>
        <v/>
      </c>
      <c r="BF26" s="5">
        <f>IF((((BD26+BE26)/2)+(C26/(D26*((BD26+BE26)/2)))^2/(2*9.81)+B26-(G25+H25^2/(2*9.81))-(A25-A26)*(((DATOS!$B$34*(C26/(D26*((BD26+BE26)/2)))/((D26*((BD26+BE26)/2))/(D26+2*((BD26+BE26)/2)))^(2/3))^2+((DATOS!$B$34*H25/((D25*F25)/(D25+2*F25))^(2/3))^2))/2))&gt;0,BD26,((BD26+BE26)/2))</f>
        <v/>
      </c>
      <c r="BG26" s="5">
        <f>IF((((BD26+BE26)/2)+(C26/(D26*((BD26+BE26)/2)))^2/(2*9.81)+B26-(G25+H25^2/(2*9.81))-(A25-A26)*(((DATOS!$B$34*(C26/(D26*((BD26+BE26)/2)))/((D26*((BD26+BE26)/2))/(D26+2*((BD26+BE26)/2)))^(2/3))^2+((DATOS!$B$34*H25/((D25*F25)/(D25+2*F25))^(2/3))^2))/2))&gt;0,((BD26+BE26)/2),BE26)</f>
        <v/>
      </c>
      <c r="BH26" s="5">
        <f>IF((((BF26+BG26)/2)+(C26/(D26*((BF26+BG26)/2)))^2/(2*9.81)+B26-(G25+H25^2/(2*9.81))-(A25-A26)*(((DATOS!$B$34*(C26/(D26*((BF26+BG26)/2)))/((D26*((BF26+BG26)/2))/(D26+2*((BF26+BG26)/2)))^(2/3))^2+((DATOS!$B$34*H25/((D25*F25)/(D25+2*F25))^(2/3))^2))/2))&gt;0,BF26,((BF26+BG26)/2))</f>
        <v/>
      </c>
      <c r="BI26" s="5">
        <f>IF((((BF26+BG26)/2)+(C26/(D26*((BF26+BG26)/2)))^2/(2*9.81)+B26-(G25+H25^2/(2*9.81))-(A25-A26)*(((DATOS!$B$34*(C26/(D26*((BF26+BG26)/2)))/((D26*((BF26+BG26)/2))/(D26+2*((BF26+BG26)/2)))^(2/3))^2+((DATOS!$B$34*H25/((D25*F25)/(D25+2*F25))^(2/3))^2))/2))&gt;0,((BF26+BG26)/2),BG26)</f>
        <v/>
      </c>
      <c r="BJ26" s="5">
        <f>IF((((BH26+BI26)/2)+(C26/(D26*((BH26+BI26)/2)))^2/(2*9.81)+B26-(G25+H25^2/(2*9.81))-(A25-A26)*(((DATOS!$B$34*(C26/(D26*((BH26+BI26)/2)))/((D26*((BH26+BI26)/2))/(D26+2*((BH26+BI26)/2)))^(2/3))^2+((DATOS!$B$34*H25/((D25*F25)/(D25+2*F25))^(2/3))^2))/2))&gt;0,BH26,((BH26+BI26)/2))</f>
        <v/>
      </c>
      <c r="BK26" s="5">
        <f>IF((((BH26+BI26)/2)+(C26/(D26*((BH26+BI26)/2)))^2/(2*9.81)+B26-(G25+H25^2/(2*9.81))-(A25-A26)*(((DATOS!$B$34*(C26/(D26*((BH26+BI26)/2)))/((D26*((BH26+BI26)/2))/(D26+2*((BH26+BI26)/2)))^(2/3))^2+((DATOS!$B$34*H25/((D25*F25)/(D25+2*F25))^(2/3))^2))/2))&gt;0,((BH26+BI26)/2),BI26)</f>
        <v/>
      </c>
      <c r="BL26" s="5">
        <f>IF((((BJ26+BK26)/2)+(C26/(D26*((BJ26+BK26)/2)))^2/(2*9.81)+B26-(G25+H25^2/(2*9.81))-(A25-A26)*(((DATOS!$B$34*(C26/(D26*((BJ26+BK26)/2)))/((D26*((BJ26+BK26)/2))/(D26+2*((BJ26+BK26)/2)))^(2/3))^2+((DATOS!$B$34*H25/((D25*F25)/(D25+2*F25))^(2/3))^2))/2))&gt;0,BJ26,((BJ26+BK26)/2))</f>
        <v/>
      </c>
      <c r="BM26" s="5">
        <f>IF((((BJ26+BK26)/2)+(C26/(D26*((BJ26+BK26)/2)))^2/(2*9.81)+B26-(G25+H25^2/(2*9.81))-(A25-A26)*(((DATOS!$B$34*(C26/(D26*((BJ26+BK26)/2)))/((D26*((BJ26+BK26)/2))/(D26+2*((BJ26+BK26)/2)))^(2/3))^2+((DATOS!$B$34*H25/((D25*F25)/(D25+2*F25))^(2/3))^2))/2))&gt;0,((BJ26+BK26)/2),BK26)</f>
        <v/>
      </c>
      <c r="BN26" s="5">
        <f>IF((((BL26+BM26)/2)+(C26/(D26*((BL26+BM26)/2)))^2/(2*9.81)+B26-(G25+H25^2/(2*9.81))-(A25-A26)*(((DATOS!$B$34*(C26/(D26*((BL26+BM26)/2)))/((D26*((BL26+BM26)/2))/(D26+2*((BL26+BM26)/2)))^(2/3))^2+((DATOS!$B$34*H25/((D25*F25)/(D25+2*F25))^(2/3))^2))/2))&gt;0,BL26,((BL26+BM26)/2))</f>
        <v/>
      </c>
      <c r="BO26" s="5">
        <f>IF((((BL26+BM26)/2)+(C26/(D26*((BL26+BM26)/2)))^2/(2*9.81)+B26-(G25+H25^2/(2*9.81))-(A25-A26)*(((DATOS!$B$34*(C26/(D26*((BL26+BM26)/2)))/((D26*((BL26+BM26)/2))/(D26+2*((BL26+BM26)/2)))^(2/3))^2+((DATOS!$B$34*H25/((D25*F25)/(D25+2*F25))^(2/3))^2))/2))&gt;0,((BL26+BM26)/2),BM26)</f>
        <v/>
      </c>
      <c r="BP26" s="5">
        <f>IF((((BN26+BO26)/2)+(C26/(D26*((BN26+BO26)/2)))^2/(2*9.81)+B26-(G25+H25^2/(2*9.81))-(A25-A26)*(((DATOS!$B$34*(C26/(D26*((BN26+BO26)/2)))/((D26*((BN26+BO26)/2))/(D26+2*((BN26+BO26)/2)))^(2/3))^2+((DATOS!$B$34*H25/((D25*F25)/(D25+2*F25))^(2/3))^2))/2))&gt;0,BN26,((BN26+BO26)/2))</f>
        <v/>
      </c>
      <c r="BQ26" s="5">
        <f>IF((((BN26+BO26)/2)+(C26/(D26*((BN26+BO26)/2)))^2/(2*9.81)+B26-(G25+H25^2/(2*9.81))-(A25-A26)*(((DATOS!$B$34*(C26/(D26*((BN26+BO26)/2)))/((D26*((BN26+BO26)/2))/(D26+2*((BN26+BO26)/2)))^(2/3))^2+((DATOS!$B$34*H25/((D25*F25)/(D25+2*F25))^(2/3))^2))/2))&gt;0,((BN26+BO26)/2),BO26)</f>
        <v/>
      </c>
      <c r="BR26" s="5">
        <f>IF((((BP26+BQ26)/2)+(C26/(D26*((BP26+BQ26)/2)))^2/(2*9.81)+B26-(G25+H25^2/(2*9.81))-(A25-A26)*(((DATOS!$B$34*(C26/(D26*((BP26+BQ26)/2)))/((D26*((BP26+BQ26)/2))/(D26+2*((BP26+BQ26)/2)))^(2/3))^2+((DATOS!$B$34*H25/((D25*F25)/(D25+2*F25))^(2/3))^2))/2))&gt;0,BP26,((BP26+BQ26)/2))</f>
        <v/>
      </c>
      <c r="BS26" s="5">
        <f>IF((((BP26+BQ26)/2)+(C26/(D26*((BP26+BQ26)/2)))^2/(2*9.81)+B26-(G25+H25^2/(2*9.81))-(A25-A26)*(((DATOS!$B$34*(C26/(D26*((BP26+BQ26)/2)))/((D26*((BP26+BQ26)/2))/(D26+2*((BP26+BQ26)/2)))^(2/3))^2+((DATOS!$B$34*H25/((D25*F25)/(D25+2*F25))^(2/3))^2))/2))&gt;0,((BP26+BQ26)/2),BQ26)</f>
        <v/>
      </c>
      <c r="BT26" s="5">
        <f>IF((((BR26+BS26)/2)+(C26/(D26*((BR26+BS26)/2)))^2/(2*9.81)+B26-(G25+H25^2/(2*9.81))-(A25-A26)*(((DATOS!$B$34*(C26/(D26*((BR26+BS26)/2)))/((D26*((BR26+BS26)/2))/(D26+2*((BR26+BS26)/2)))^(2/3))^2+((DATOS!$B$34*H25/((D25*F25)/(D25+2*F25))^(2/3))^2))/2))&gt;0,BR26,((BR26+BS26)/2))</f>
        <v/>
      </c>
      <c r="BU26" s="5">
        <f>IF((((BR26+BS26)/2)+(C26/(D26*((BR26+BS26)/2)))^2/(2*9.81)+B26-(G25+H25^2/(2*9.81))-(A25-A26)*(((DATOS!$B$34*(C26/(D26*((BR26+BS26)/2)))/((D26*((BR26+BS26)/2))/(D26+2*((BR26+BS26)/2)))^(2/3))^2+((DATOS!$B$34*H25/((D25*F25)/(D25+2*F25))^(2/3))^2))/2))&gt;0,((BR26+BS26)/2),BS26)</f>
        <v/>
      </c>
      <c r="BV26" s="5">
        <f>IF((((BT26+BU26)/2)+(C26/(D26*((BT26+BU26)/2)))^2/(2*9.81)+B26-(G25+H25^2/(2*9.81))-(A25-A26)*(((DATOS!$B$34*(C26/(D26*((BT26+BU26)/2)))/((D26*((BT26+BU26)/2))/(D26+2*((BT26+BU26)/2)))^(2/3))^2+((DATOS!$B$34*H25/((D25*F25)/(D25+2*F25))^(2/3))^2))/2))&gt;0,BT26,((BT26+BU26)/2))</f>
        <v/>
      </c>
      <c r="BW26" s="5">
        <f>IF((((BT26+BU26)/2)+(C26/(D26*((BT26+BU26)/2)))^2/(2*9.81)+B26-(G25+H25^2/(2*9.81))-(A25-A26)*(((DATOS!$B$34*(C26/(D26*((BT26+BU26)/2)))/((D26*((BT26+BU26)/2))/(D26+2*((BT26+BU26)/2)))^(2/3))^2+((DATOS!$B$34*H25/((D25*F25)/(D25+2*F25))^(2/3))^2))/2))&gt;0,((BT26+BU26)/2),BU26)</f>
        <v/>
      </c>
    </row>
    <row r="27">
      <c r="A27" s="13" t="n">
        <v>55</v>
      </c>
      <c r="B27" s="16">
        <f>DATOS!$B$22-DATOS!$B$23*A27</f>
        <v/>
      </c>
      <c r="C27" s="24">
        <f>CAUDALES!$B$13</f>
        <v/>
      </c>
      <c r="D27" s="17">
        <f>DATOS!$B$17</f>
        <v/>
      </c>
      <c r="E27" s="16">
        <f>(C27^2/(9.81*D27^2))^(1/3)</f>
        <v/>
      </c>
      <c r="F27" s="16">
        <f>(BV27+BW27)/2</f>
        <v/>
      </c>
      <c r="G27" s="16">
        <f>B27+F27</f>
        <v/>
      </c>
      <c r="H27" s="19">
        <f>C27/(D27*F27)</f>
        <v/>
      </c>
      <c r="I27" s="19">
        <f>H27/SQRT(9.81*F27)</f>
        <v/>
      </c>
      <c r="J27" s="16">
        <f>DATOS!$B$29-IF(AND(A27&gt;=DATOS!$B$30,A27&lt;DATOS!$B$31),DATOS!$B$21,DATOS!$B$20)</f>
        <v/>
      </c>
      <c r="K27" s="19">
        <f>J27-B27</f>
        <v/>
      </c>
      <c r="L27" s="19">
        <f>F27/K27</f>
        <v/>
      </c>
      <c r="M27" s="16">
        <f>J27-G27</f>
        <v/>
      </c>
      <c r="N27" s="5">
        <f>IF(AND(L27&lt;=DATOS!$B$36,M27&gt;=DATOS!$B$37,I27&lt;=1),"CUMPLE","NO CUMPLE")</f>
        <v/>
      </c>
      <c r="O27" s="5">
        <f>IF(AND(A27&gt;=DATOS!$B$30,A27&lt;DATOS!$B$31),"cruce de camiones",IF(AND(A27&gt;=DATOS!$B$32,A27&lt;DATOS!$B$33),"cruce de motos","tramo normal"))</f>
        <v/>
      </c>
      <c r="P27" s="5">
        <f>E27*1.001</f>
        <v/>
      </c>
      <c r="Q27" s="13" t="n">
        <v>3</v>
      </c>
      <c r="R27" s="5">
        <f>IF((((P27+Q27)/2)+(C27/(D27*((P27+Q27)/2)))^2/(2*9.81)+B27-(G26+H26^2/(2*9.81))-(A26-A27)*(((DATOS!$B$34*(C27/(D27*((P27+Q27)/2)))/((D27*((P27+Q27)/2))/(D27+2*((P27+Q27)/2)))^(2/3))^2+((DATOS!$B$34*H26/((D26*F26)/(D26+2*F26))^(2/3))^2))/2))&gt;0,P27,((P27+Q27)/2))</f>
        <v/>
      </c>
      <c r="S27" s="5">
        <f>IF((((P27+Q27)/2)+(C27/(D27*((P27+Q27)/2)))^2/(2*9.81)+B27-(G26+H26^2/(2*9.81))-(A26-A27)*(((DATOS!$B$34*(C27/(D27*((P27+Q27)/2)))/((D27*((P27+Q27)/2))/(D27+2*((P27+Q27)/2)))^(2/3))^2+((DATOS!$B$34*H26/((D26*F26)/(D26+2*F26))^(2/3))^2))/2))&gt;0,((P27+Q27)/2),Q27)</f>
        <v/>
      </c>
      <c r="T27" s="5">
        <f>IF((((R27+S27)/2)+(C27/(D27*((R27+S27)/2)))^2/(2*9.81)+B27-(G26+H26^2/(2*9.81))-(A26-A27)*(((DATOS!$B$34*(C27/(D27*((R27+S27)/2)))/((D27*((R27+S27)/2))/(D27+2*((R27+S27)/2)))^(2/3))^2+((DATOS!$B$34*H26/((D26*F26)/(D26+2*F26))^(2/3))^2))/2))&gt;0,R27,((R27+S27)/2))</f>
        <v/>
      </c>
      <c r="U27" s="5">
        <f>IF((((R27+S27)/2)+(C27/(D27*((R27+S27)/2)))^2/(2*9.81)+B27-(G26+H26^2/(2*9.81))-(A26-A27)*(((DATOS!$B$34*(C27/(D27*((R27+S27)/2)))/((D27*((R27+S27)/2))/(D27+2*((R27+S27)/2)))^(2/3))^2+((DATOS!$B$34*H26/((D26*F26)/(D26+2*F26))^(2/3))^2))/2))&gt;0,((R27+S27)/2),S27)</f>
        <v/>
      </c>
      <c r="V27" s="5">
        <f>IF((((T27+U27)/2)+(C27/(D27*((T27+U27)/2)))^2/(2*9.81)+B27-(G26+H26^2/(2*9.81))-(A26-A27)*(((DATOS!$B$34*(C27/(D27*((T27+U27)/2)))/((D27*((T27+U27)/2))/(D27+2*((T27+U27)/2)))^(2/3))^2+((DATOS!$B$34*H26/((D26*F26)/(D26+2*F26))^(2/3))^2))/2))&gt;0,T27,((T27+U27)/2))</f>
        <v/>
      </c>
      <c r="W27" s="5">
        <f>IF((((T27+U27)/2)+(C27/(D27*((T27+U27)/2)))^2/(2*9.81)+B27-(G26+H26^2/(2*9.81))-(A26-A27)*(((DATOS!$B$34*(C27/(D27*((T27+U27)/2)))/((D27*((T27+U27)/2))/(D27+2*((T27+U27)/2)))^(2/3))^2+((DATOS!$B$34*H26/((D26*F26)/(D26+2*F26))^(2/3))^2))/2))&gt;0,((T27+U27)/2),U27)</f>
        <v/>
      </c>
      <c r="X27" s="5">
        <f>IF((((V27+W27)/2)+(C27/(D27*((V27+W27)/2)))^2/(2*9.81)+B27-(G26+H26^2/(2*9.81))-(A26-A27)*(((DATOS!$B$34*(C27/(D27*((V27+W27)/2)))/((D27*((V27+W27)/2))/(D27+2*((V27+W27)/2)))^(2/3))^2+((DATOS!$B$34*H26/((D26*F26)/(D26+2*F26))^(2/3))^2))/2))&gt;0,V27,((V27+W27)/2))</f>
        <v/>
      </c>
      <c r="Y27" s="5">
        <f>IF((((V27+W27)/2)+(C27/(D27*((V27+W27)/2)))^2/(2*9.81)+B27-(G26+H26^2/(2*9.81))-(A26-A27)*(((DATOS!$B$34*(C27/(D27*((V27+W27)/2)))/((D27*((V27+W27)/2))/(D27+2*((V27+W27)/2)))^(2/3))^2+((DATOS!$B$34*H26/((D26*F26)/(D26+2*F26))^(2/3))^2))/2))&gt;0,((V27+W27)/2),W27)</f>
        <v/>
      </c>
      <c r="Z27" s="5">
        <f>IF((((X27+Y27)/2)+(C27/(D27*((X27+Y27)/2)))^2/(2*9.81)+B27-(G26+H26^2/(2*9.81))-(A26-A27)*(((DATOS!$B$34*(C27/(D27*((X27+Y27)/2)))/((D27*((X27+Y27)/2))/(D27+2*((X27+Y27)/2)))^(2/3))^2+((DATOS!$B$34*H26/((D26*F26)/(D26+2*F26))^(2/3))^2))/2))&gt;0,X27,((X27+Y27)/2))</f>
        <v/>
      </c>
      <c r="AA27" s="5">
        <f>IF((((X27+Y27)/2)+(C27/(D27*((X27+Y27)/2)))^2/(2*9.81)+B27-(G26+H26^2/(2*9.81))-(A26-A27)*(((DATOS!$B$34*(C27/(D27*((X27+Y27)/2)))/((D27*((X27+Y27)/2))/(D27+2*((X27+Y27)/2)))^(2/3))^2+((DATOS!$B$34*H26/((D26*F26)/(D26+2*F26))^(2/3))^2))/2))&gt;0,((X27+Y27)/2),Y27)</f>
        <v/>
      </c>
      <c r="AB27" s="5">
        <f>IF((((Z27+AA27)/2)+(C27/(D27*((Z27+AA27)/2)))^2/(2*9.81)+B27-(G26+H26^2/(2*9.81))-(A26-A27)*(((DATOS!$B$34*(C27/(D27*((Z27+AA27)/2)))/((D27*((Z27+AA27)/2))/(D27+2*((Z27+AA27)/2)))^(2/3))^2+((DATOS!$B$34*H26/((D26*F26)/(D26+2*F26))^(2/3))^2))/2))&gt;0,Z27,((Z27+AA27)/2))</f>
        <v/>
      </c>
      <c r="AC27" s="5">
        <f>IF((((Z27+AA27)/2)+(C27/(D27*((Z27+AA27)/2)))^2/(2*9.81)+B27-(G26+H26^2/(2*9.81))-(A26-A27)*(((DATOS!$B$34*(C27/(D27*((Z27+AA27)/2)))/((D27*((Z27+AA27)/2))/(D27+2*((Z27+AA27)/2)))^(2/3))^2+((DATOS!$B$34*H26/((D26*F26)/(D26+2*F26))^(2/3))^2))/2))&gt;0,((Z27+AA27)/2),AA27)</f>
        <v/>
      </c>
      <c r="AD27" s="5">
        <f>IF((((AB27+AC27)/2)+(C27/(D27*((AB27+AC27)/2)))^2/(2*9.81)+B27-(G26+H26^2/(2*9.81))-(A26-A27)*(((DATOS!$B$34*(C27/(D27*((AB27+AC27)/2)))/((D27*((AB27+AC27)/2))/(D27+2*((AB27+AC27)/2)))^(2/3))^2+((DATOS!$B$34*H26/((D26*F26)/(D26+2*F26))^(2/3))^2))/2))&gt;0,AB27,((AB27+AC27)/2))</f>
        <v/>
      </c>
      <c r="AE27" s="5">
        <f>IF((((AB27+AC27)/2)+(C27/(D27*((AB27+AC27)/2)))^2/(2*9.81)+B27-(G26+H26^2/(2*9.81))-(A26-A27)*(((DATOS!$B$34*(C27/(D27*((AB27+AC27)/2)))/((D27*((AB27+AC27)/2))/(D27+2*((AB27+AC27)/2)))^(2/3))^2+((DATOS!$B$34*H26/((D26*F26)/(D26+2*F26))^(2/3))^2))/2))&gt;0,((AB27+AC27)/2),AC27)</f>
        <v/>
      </c>
      <c r="AF27" s="5">
        <f>IF((((AD27+AE27)/2)+(C27/(D27*((AD27+AE27)/2)))^2/(2*9.81)+B27-(G26+H26^2/(2*9.81))-(A26-A27)*(((DATOS!$B$34*(C27/(D27*((AD27+AE27)/2)))/((D27*((AD27+AE27)/2))/(D27+2*((AD27+AE27)/2)))^(2/3))^2+((DATOS!$B$34*H26/((D26*F26)/(D26+2*F26))^(2/3))^2))/2))&gt;0,AD27,((AD27+AE27)/2))</f>
        <v/>
      </c>
      <c r="AG27" s="5">
        <f>IF((((AD27+AE27)/2)+(C27/(D27*((AD27+AE27)/2)))^2/(2*9.81)+B27-(G26+H26^2/(2*9.81))-(A26-A27)*(((DATOS!$B$34*(C27/(D27*((AD27+AE27)/2)))/((D27*((AD27+AE27)/2))/(D27+2*((AD27+AE27)/2)))^(2/3))^2+((DATOS!$B$34*H26/((D26*F26)/(D26+2*F26))^(2/3))^2))/2))&gt;0,((AD27+AE27)/2),AE27)</f>
        <v/>
      </c>
      <c r="AH27" s="5">
        <f>IF((((AF27+AG27)/2)+(C27/(D27*((AF27+AG27)/2)))^2/(2*9.81)+B27-(G26+H26^2/(2*9.81))-(A26-A27)*(((DATOS!$B$34*(C27/(D27*((AF27+AG27)/2)))/((D27*((AF27+AG27)/2))/(D27+2*((AF27+AG27)/2)))^(2/3))^2+((DATOS!$B$34*H26/((D26*F26)/(D26+2*F26))^(2/3))^2))/2))&gt;0,AF27,((AF27+AG27)/2))</f>
        <v/>
      </c>
      <c r="AI27" s="5">
        <f>IF((((AF27+AG27)/2)+(C27/(D27*((AF27+AG27)/2)))^2/(2*9.81)+B27-(G26+H26^2/(2*9.81))-(A26-A27)*(((DATOS!$B$34*(C27/(D27*((AF27+AG27)/2)))/((D27*((AF27+AG27)/2))/(D27+2*((AF27+AG27)/2)))^(2/3))^2+((DATOS!$B$34*H26/((D26*F26)/(D26+2*F26))^(2/3))^2))/2))&gt;0,((AF27+AG27)/2),AG27)</f>
        <v/>
      </c>
      <c r="AJ27" s="5">
        <f>IF((((AH27+AI27)/2)+(C27/(D27*((AH27+AI27)/2)))^2/(2*9.81)+B27-(G26+H26^2/(2*9.81))-(A26-A27)*(((DATOS!$B$34*(C27/(D27*((AH27+AI27)/2)))/((D27*((AH27+AI27)/2))/(D27+2*((AH27+AI27)/2)))^(2/3))^2+((DATOS!$B$34*H26/((D26*F26)/(D26+2*F26))^(2/3))^2))/2))&gt;0,AH27,((AH27+AI27)/2))</f>
        <v/>
      </c>
      <c r="AK27" s="5">
        <f>IF((((AH27+AI27)/2)+(C27/(D27*((AH27+AI27)/2)))^2/(2*9.81)+B27-(G26+H26^2/(2*9.81))-(A26-A27)*(((DATOS!$B$34*(C27/(D27*((AH27+AI27)/2)))/((D27*((AH27+AI27)/2))/(D27+2*((AH27+AI27)/2)))^(2/3))^2+((DATOS!$B$34*H26/((D26*F26)/(D26+2*F26))^(2/3))^2))/2))&gt;0,((AH27+AI27)/2),AI27)</f>
        <v/>
      </c>
      <c r="AL27" s="5">
        <f>IF((((AJ27+AK27)/2)+(C27/(D27*((AJ27+AK27)/2)))^2/(2*9.81)+B27-(G26+H26^2/(2*9.81))-(A26-A27)*(((DATOS!$B$34*(C27/(D27*((AJ27+AK27)/2)))/((D27*((AJ27+AK27)/2))/(D27+2*((AJ27+AK27)/2)))^(2/3))^2+((DATOS!$B$34*H26/((D26*F26)/(D26+2*F26))^(2/3))^2))/2))&gt;0,AJ27,((AJ27+AK27)/2))</f>
        <v/>
      </c>
      <c r="AM27" s="5">
        <f>IF((((AJ27+AK27)/2)+(C27/(D27*((AJ27+AK27)/2)))^2/(2*9.81)+B27-(G26+H26^2/(2*9.81))-(A26-A27)*(((DATOS!$B$34*(C27/(D27*((AJ27+AK27)/2)))/((D27*((AJ27+AK27)/2))/(D27+2*((AJ27+AK27)/2)))^(2/3))^2+((DATOS!$B$34*H26/((D26*F26)/(D26+2*F26))^(2/3))^2))/2))&gt;0,((AJ27+AK27)/2),AK27)</f>
        <v/>
      </c>
      <c r="AN27" s="5">
        <f>IF((((AL27+AM27)/2)+(C27/(D27*((AL27+AM27)/2)))^2/(2*9.81)+B27-(G26+H26^2/(2*9.81))-(A26-A27)*(((DATOS!$B$34*(C27/(D27*((AL27+AM27)/2)))/((D27*((AL27+AM27)/2))/(D27+2*((AL27+AM27)/2)))^(2/3))^2+((DATOS!$B$34*H26/((D26*F26)/(D26+2*F26))^(2/3))^2))/2))&gt;0,AL27,((AL27+AM27)/2))</f>
        <v/>
      </c>
      <c r="AO27" s="5">
        <f>IF((((AL27+AM27)/2)+(C27/(D27*((AL27+AM27)/2)))^2/(2*9.81)+B27-(G26+H26^2/(2*9.81))-(A26-A27)*(((DATOS!$B$34*(C27/(D27*((AL27+AM27)/2)))/((D27*((AL27+AM27)/2))/(D27+2*((AL27+AM27)/2)))^(2/3))^2+((DATOS!$B$34*H26/((D26*F26)/(D26+2*F26))^(2/3))^2))/2))&gt;0,((AL27+AM27)/2),AM27)</f>
        <v/>
      </c>
      <c r="AP27" s="5">
        <f>IF((((AN27+AO27)/2)+(C27/(D27*((AN27+AO27)/2)))^2/(2*9.81)+B27-(G26+H26^2/(2*9.81))-(A26-A27)*(((DATOS!$B$34*(C27/(D27*((AN27+AO27)/2)))/((D27*((AN27+AO27)/2))/(D27+2*((AN27+AO27)/2)))^(2/3))^2+((DATOS!$B$34*H26/((D26*F26)/(D26+2*F26))^(2/3))^2))/2))&gt;0,AN27,((AN27+AO27)/2))</f>
        <v/>
      </c>
      <c r="AQ27" s="5">
        <f>IF((((AN27+AO27)/2)+(C27/(D27*((AN27+AO27)/2)))^2/(2*9.81)+B27-(G26+H26^2/(2*9.81))-(A26-A27)*(((DATOS!$B$34*(C27/(D27*((AN27+AO27)/2)))/((D27*((AN27+AO27)/2))/(D27+2*((AN27+AO27)/2)))^(2/3))^2+((DATOS!$B$34*H26/((D26*F26)/(D26+2*F26))^(2/3))^2))/2))&gt;0,((AN27+AO27)/2),AO27)</f>
        <v/>
      </c>
      <c r="AR27" s="5">
        <f>IF((((AP27+AQ27)/2)+(C27/(D27*((AP27+AQ27)/2)))^2/(2*9.81)+B27-(G26+H26^2/(2*9.81))-(A26-A27)*(((DATOS!$B$34*(C27/(D27*((AP27+AQ27)/2)))/((D27*((AP27+AQ27)/2))/(D27+2*((AP27+AQ27)/2)))^(2/3))^2+((DATOS!$B$34*H26/((D26*F26)/(D26+2*F26))^(2/3))^2))/2))&gt;0,AP27,((AP27+AQ27)/2))</f>
        <v/>
      </c>
      <c r="AS27" s="5">
        <f>IF((((AP27+AQ27)/2)+(C27/(D27*((AP27+AQ27)/2)))^2/(2*9.81)+B27-(G26+H26^2/(2*9.81))-(A26-A27)*(((DATOS!$B$34*(C27/(D27*((AP27+AQ27)/2)))/((D27*((AP27+AQ27)/2))/(D27+2*((AP27+AQ27)/2)))^(2/3))^2+((DATOS!$B$34*H26/((D26*F26)/(D26+2*F26))^(2/3))^2))/2))&gt;0,((AP27+AQ27)/2),AQ27)</f>
        <v/>
      </c>
      <c r="AT27" s="5">
        <f>IF((((AR27+AS27)/2)+(C27/(D27*((AR27+AS27)/2)))^2/(2*9.81)+B27-(G26+H26^2/(2*9.81))-(A26-A27)*(((DATOS!$B$34*(C27/(D27*((AR27+AS27)/2)))/((D27*((AR27+AS27)/2))/(D27+2*((AR27+AS27)/2)))^(2/3))^2+((DATOS!$B$34*H26/((D26*F26)/(D26+2*F26))^(2/3))^2))/2))&gt;0,AR27,((AR27+AS27)/2))</f>
        <v/>
      </c>
      <c r="AU27" s="5">
        <f>IF((((AR27+AS27)/2)+(C27/(D27*((AR27+AS27)/2)))^2/(2*9.81)+B27-(G26+H26^2/(2*9.81))-(A26-A27)*(((DATOS!$B$34*(C27/(D27*((AR27+AS27)/2)))/((D27*((AR27+AS27)/2))/(D27+2*((AR27+AS27)/2)))^(2/3))^2+((DATOS!$B$34*H26/((D26*F26)/(D26+2*F26))^(2/3))^2))/2))&gt;0,((AR27+AS27)/2),AS27)</f>
        <v/>
      </c>
      <c r="AV27" s="5">
        <f>IF((((AT27+AU27)/2)+(C27/(D27*((AT27+AU27)/2)))^2/(2*9.81)+B27-(G26+H26^2/(2*9.81))-(A26-A27)*(((DATOS!$B$34*(C27/(D27*((AT27+AU27)/2)))/((D27*((AT27+AU27)/2))/(D27+2*((AT27+AU27)/2)))^(2/3))^2+((DATOS!$B$34*H26/((D26*F26)/(D26+2*F26))^(2/3))^2))/2))&gt;0,AT27,((AT27+AU27)/2))</f>
        <v/>
      </c>
      <c r="AW27" s="5">
        <f>IF((((AT27+AU27)/2)+(C27/(D27*((AT27+AU27)/2)))^2/(2*9.81)+B27-(G26+H26^2/(2*9.81))-(A26-A27)*(((DATOS!$B$34*(C27/(D27*((AT27+AU27)/2)))/((D27*((AT27+AU27)/2))/(D27+2*((AT27+AU27)/2)))^(2/3))^2+((DATOS!$B$34*H26/((D26*F26)/(D26+2*F26))^(2/3))^2))/2))&gt;0,((AT27+AU27)/2),AU27)</f>
        <v/>
      </c>
      <c r="AX27" s="5">
        <f>IF((((AV27+AW27)/2)+(C27/(D27*((AV27+AW27)/2)))^2/(2*9.81)+B27-(G26+H26^2/(2*9.81))-(A26-A27)*(((DATOS!$B$34*(C27/(D27*((AV27+AW27)/2)))/((D27*((AV27+AW27)/2))/(D27+2*((AV27+AW27)/2)))^(2/3))^2+((DATOS!$B$34*H26/((D26*F26)/(D26+2*F26))^(2/3))^2))/2))&gt;0,AV27,((AV27+AW27)/2))</f>
        <v/>
      </c>
      <c r="AY27" s="5">
        <f>IF((((AV27+AW27)/2)+(C27/(D27*((AV27+AW27)/2)))^2/(2*9.81)+B27-(G26+H26^2/(2*9.81))-(A26-A27)*(((DATOS!$B$34*(C27/(D27*((AV27+AW27)/2)))/((D27*((AV27+AW27)/2))/(D27+2*((AV27+AW27)/2)))^(2/3))^2+((DATOS!$B$34*H26/((D26*F26)/(D26+2*F26))^(2/3))^2))/2))&gt;0,((AV27+AW27)/2),AW27)</f>
        <v/>
      </c>
      <c r="AZ27" s="5">
        <f>IF((((AX27+AY27)/2)+(C27/(D27*((AX27+AY27)/2)))^2/(2*9.81)+B27-(G26+H26^2/(2*9.81))-(A26-A27)*(((DATOS!$B$34*(C27/(D27*((AX27+AY27)/2)))/((D27*((AX27+AY27)/2))/(D27+2*((AX27+AY27)/2)))^(2/3))^2+((DATOS!$B$34*H26/((D26*F26)/(D26+2*F26))^(2/3))^2))/2))&gt;0,AX27,((AX27+AY27)/2))</f>
        <v/>
      </c>
      <c r="BA27" s="5">
        <f>IF((((AX27+AY27)/2)+(C27/(D27*((AX27+AY27)/2)))^2/(2*9.81)+B27-(G26+H26^2/(2*9.81))-(A26-A27)*(((DATOS!$B$34*(C27/(D27*((AX27+AY27)/2)))/((D27*((AX27+AY27)/2))/(D27+2*((AX27+AY27)/2)))^(2/3))^2+((DATOS!$B$34*H26/((D26*F26)/(D26+2*F26))^(2/3))^2))/2))&gt;0,((AX27+AY27)/2),AY27)</f>
        <v/>
      </c>
      <c r="BB27" s="5">
        <f>IF((((AZ27+BA27)/2)+(C27/(D27*((AZ27+BA27)/2)))^2/(2*9.81)+B27-(G26+H26^2/(2*9.81))-(A26-A27)*(((DATOS!$B$34*(C27/(D27*((AZ27+BA27)/2)))/((D27*((AZ27+BA27)/2))/(D27+2*((AZ27+BA27)/2)))^(2/3))^2+((DATOS!$B$34*H26/((D26*F26)/(D26+2*F26))^(2/3))^2))/2))&gt;0,AZ27,((AZ27+BA27)/2))</f>
        <v/>
      </c>
      <c r="BC27" s="5">
        <f>IF((((AZ27+BA27)/2)+(C27/(D27*((AZ27+BA27)/2)))^2/(2*9.81)+B27-(G26+H26^2/(2*9.81))-(A26-A27)*(((DATOS!$B$34*(C27/(D27*((AZ27+BA27)/2)))/((D27*((AZ27+BA27)/2))/(D27+2*((AZ27+BA27)/2)))^(2/3))^2+((DATOS!$B$34*H26/((D26*F26)/(D26+2*F26))^(2/3))^2))/2))&gt;0,((AZ27+BA27)/2),BA27)</f>
        <v/>
      </c>
      <c r="BD27" s="5">
        <f>IF((((BB27+BC27)/2)+(C27/(D27*((BB27+BC27)/2)))^2/(2*9.81)+B27-(G26+H26^2/(2*9.81))-(A26-A27)*(((DATOS!$B$34*(C27/(D27*((BB27+BC27)/2)))/((D27*((BB27+BC27)/2))/(D27+2*((BB27+BC27)/2)))^(2/3))^2+((DATOS!$B$34*H26/((D26*F26)/(D26+2*F26))^(2/3))^2))/2))&gt;0,BB27,((BB27+BC27)/2))</f>
        <v/>
      </c>
      <c r="BE27" s="5">
        <f>IF((((BB27+BC27)/2)+(C27/(D27*((BB27+BC27)/2)))^2/(2*9.81)+B27-(G26+H26^2/(2*9.81))-(A26-A27)*(((DATOS!$B$34*(C27/(D27*((BB27+BC27)/2)))/((D27*((BB27+BC27)/2))/(D27+2*((BB27+BC27)/2)))^(2/3))^2+((DATOS!$B$34*H26/((D26*F26)/(D26+2*F26))^(2/3))^2))/2))&gt;0,((BB27+BC27)/2),BC27)</f>
        <v/>
      </c>
      <c r="BF27" s="5">
        <f>IF((((BD27+BE27)/2)+(C27/(D27*((BD27+BE27)/2)))^2/(2*9.81)+B27-(G26+H26^2/(2*9.81))-(A26-A27)*(((DATOS!$B$34*(C27/(D27*((BD27+BE27)/2)))/((D27*((BD27+BE27)/2))/(D27+2*((BD27+BE27)/2)))^(2/3))^2+((DATOS!$B$34*H26/((D26*F26)/(D26+2*F26))^(2/3))^2))/2))&gt;0,BD27,((BD27+BE27)/2))</f>
        <v/>
      </c>
      <c r="BG27" s="5">
        <f>IF((((BD27+BE27)/2)+(C27/(D27*((BD27+BE27)/2)))^2/(2*9.81)+B27-(G26+H26^2/(2*9.81))-(A26-A27)*(((DATOS!$B$34*(C27/(D27*((BD27+BE27)/2)))/((D27*((BD27+BE27)/2))/(D27+2*((BD27+BE27)/2)))^(2/3))^2+((DATOS!$B$34*H26/((D26*F26)/(D26+2*F26))^(2/3))^2))/2))&gt;0,((BD27+BE27)/2),BE27)</f>
        <v/>
      </c>
      <c r="BH27" s="5">
        <f>IF((((BF27+BG27)/2)+(C27/(D27*((BF27+BG27)/2)))^2/(2*9.81)+B27-(G26+H26^2/(2*9.81))-(A26-A27)*(((DATOS!$B$34*(C27/(D27*((BF27+BG27)/2)))/((D27*((BF27+BG27)/2))/(D27+2*((BF27+BG27)/2)))^(2/3))^2+((DATOS!$B$34*H26/((D26*F26)/(D26+2*F26))^(2/3))^2))/2))&gt;0,BF27,((BF27+BG27)/2))</f>
        <v/>
      </c>
      <c r="BI27" s="5">
        <f>IF((((BF27+BG27)/2)+(C27/(D27*((BF27+BG27)/2)))^2/(2*9.81)+B27-(G26+H26^2/(2*9.81))-(A26-A27)*(((DATOS!$B$34*(C27/(D27*((BF27+BG27)/2)))/((D27*((BF27+BG27)/2))/(D27+2*((BF27+BG27)/2)))^(2/3))^2+((DATOS!$B$34*H26/((D26*F26)/(D26+2*F26))^(2/3))^2))/2))&gt;0,((BF27+BG27)/2),BG27)</f>
        <v/>
      </c>
      <c r="BJ27" s="5">
        <f>IF((((BH27+BI27)/2)+(C27/(D27*((BH27+BI27)/2)))^2/(2*9.81)+B27-(G26+H26^2/(2*9.81))-(A26-A27)*(((DATOS!$B$34*(C27/(D27*((BH27+BI27)/2)))/((D27*((BH27+BI27)/2))/(D27+2*((BH27+BI27)/2)))^(2/3))^2+((DATOS!$B$34*H26/((D26*F26)/(D26+2*F26))^(2/3))^2))/2))&gt;0,BH27,((BH27+BI27)/2))</f>
        <v/>
      </c>
      <c r="BK27" s="5">
        <f>IF((((BH27+BI27)/2)+(C27/(D27*((BH27+BI27)/2)))^2/(2*9.81)+B27-(G26+H26^2/(2*9.81))-(A26-A27)*(((DATOS!$B$34*(C27/(D27*((BH27+BI27)/2)))/((D27*((BH27+BI27)/2))/(D27+2*((BH27+BI27)/2)))^(2/3))^2+((DATOS!$B$34*H26/((D26*F26)/(D26+2*F26))^(2/3))^2))/2))&gt;0,((BH27+BI27)/2),BI27)</f>
        <v/>
      </c>
      <c r="BL27" s="5">
        <f>IF((((BJ27+BK27)/2)+(C27/(D27*((BJ27+BK27)/2)))^2/(2*9.81)+B27-(G26+H26^2/(2*9.81))-(A26-A27)*(((DATOS!$B$34*(C27/(D27*((BJ27+BK27)/2)))/((D27*((BJ27+BK27)/2))/(D27+2*((BJ27+BK27)/2)))^(2/3))^2+((DATOS!$B$34*H26/((D26*F26)/(D26+2*F26))^(2/3))^2))/2))&gt;0,BJ27,((BJ27+BK27)/2))</f>
        <v/>
      </c>
      <c r="BM27" s="5">
        <f>IF((((BJ27+BK27)/2)+(C27/(D27*((BJ27+BK27)/2)))^2/(2*9.81)+B27-(G26+H26^2/(2*9.81))-(A26-A27)*(((DATOS!$B$34*(C27/(D27*((BJ27+BK27)/2)))/((D27*((BJ27+BK27)/2))/(D27+2*((BJ27+BK27)/2)))^(2/3))^2+((DATOS!$B$34*H26/((D26*F26)/(D26+2*F26))^(2/3))^2))/2))&gt;0,((BJ27+BK27)/2),BK27)</f>
        <v/>
      </c>
      <c r="BN27" s="5">
        <f>IF((((BL27+BM27)/2)+(C27/(D27*((BL27+BM27)/2)))^2/(2*9.81)+B27-(G26+H26^2/(2*9.81))-(A26-A27)*(((DATOS!$B$34*(C27/(D27*((BL27+BM27)/2)))/((D27*((BL27+BM27)/2))/(D27+2*((BL27+BM27)/2)))^(2/3))^2+((DATOS!$B$34*H26/((D26*F26)/(D26+2*F26))^(2/3))^2))/2))&gt;0,BL27,((BL27+BM27)/2))</f>
        <v/>
      </c>
      <c r="BO27" s="5">
        <f>IF((((BL27+BM27)/2)+(C27/(D27*((BL27+BM27)/2)))^2/(2*9.81)+B27-(G26+H26^2/(2*9.81))-(A26-A27)*(((DATOS!$B$34*(C27/(D27*((BL27+BM27)/2)))/((D27*((BL27+BM27)/2))/(D27+2*((BL27+BM27)/2)))^(2/3))^2+((DATOS!$B$34*H26/((D26*F26)/(D26+2*F26))^(2/3))^2))/2))&gt;0,((BL27+BM27)/2),BM27)</f>
        <v/>
      </c>
      <c r="BP27" s="5">
        <f>IF((((BN27+BO27)/2)+(C27/(D27*((BN27+BO27)/2)))^2/(2*9.81)+B27-(G26+H26^2/(2*9.81))-(A26-A27)*(((DATOS!$B$34*(C27/(D27*((BN27+BO27)/2)))/((D27*((BN27+BO27)/2))/(D27+2*((BN27+BO27)/2)))^(2/3))^2+((DATOS!$B$34*H26/((D26*F26)/(D26+2*F26))^(2/3))^2))/2))&gt;0,BN27,((BN27+BO27)/2))</f>
        <v/>
      </c>
      <c r="BQ27" s="5">
        <f>IF((((BN27+BO27)/2)+(C27/(D27*((BN27+BO27)/2)))^2/(2*9.81)+B27-(G26+H26^2/(2*9.81))-(A26-A27)*(((DATOS!$B$34*(C27/(D27*((BN27+BO27)/2)))/((D27*((BN27+BO27)/2))/(D27+2*((BN27+BO27)/2)))^(2/3))^2+((DATOS!$B$34*H26/((D26*F26)/(D26+2*F26))^(2/3))^2))/2))&gt;0,((BN27+BO27)/2),BO27)</f>
        <v/>
      </c>
      <c r="BR27" s="5">
        <f>IF((((BP27+BQ27)/2)+(C27/(D27*((BP27+BQ27)/2)))^2/(2*9.81)+B27-(G26+H26^2/(2*9.81))-(A26-A27)*(((DATOS!$B$34*(C27/(D27*((BP27+BQ27)/2)))/((D27*((BP27+BQ27)/2))/(D27+2*((BP27+BQ27)/2)))^(2/3))^2+((DATOS!$B$34*H26/((D26*F26)/(D26+2*F26))^(2/3))^2))/2))&gt;0,BP27,((BP27+BQ27)/2))</f>
        <v/>
      </c>
      <c r="BS27" s="5">
        <f>IF((((BP27+BQ27)/2)+(C27/(D27*((BP27+BQ27)/2)))^2/(2*9.81)+B27-(G26+H26^2/(2*9.81))-(A26-A27)*(((DATOS!$B$34*(C27/(D27*((BP27+BQ27)/2)))/((D27*((BP27+BQ27)/2))/(D27+2*((BP27+BQ27)/2)))^(2/3))^2+((DATOS!$B$34*H26/((D26*F26)/(D26+2*F26))^(2/3))^2))/2))&gt;0,((BP27+BQ27)/2),BQ27)</f>
        <v/>
      </c>
      <c r="BT27" s="5">
        <f>IF((((BR27+BS27)/2)+(C27/(D27*((BR27+BS27)/2)))^2/(2*9.81)+B27-(G26+H26^2/(2*9.81))-(A26-A27)*(((DATOS!$B$34*(C27/(D27*((BR27+BS27)/2)))/((D27*((BR27+BS27)/2))/(D27+2*((BR27+BS27)/2)))^(2/3))^2+((DATOS!$B$34*H26/((D26*F26)/(D26+2*F26))^(2/3))^2))/2))&gt;0,BR27,((BR27+BS27)/2))</f>
        <v/>
      </c>
      <c r="BU27" s="5">
        <f>IF((((BR27+BS27)/2)+(C27/(D27*((BR27+BS27)/2)))^2/(2*9.81)+B27-(G26+H26^2/(2*9.81))-(A26-A27)*(((DATOS!$B$34*(C27/(D27*((BR27+BS27)/2)))/((D27*((BR27+BS27)/2))/(D27+2*((BR27+BS27)/2)))^(2/3))^2+((DATOS!$B$34*H26/((D26*F26)/(D26+2*F26))^(2/3))^2))/2))&gt;0,((BR27+BS27)/2),BS27)</f>
        <v/>
      </c>
      <c r="BV27" s="5">
        <f>IF((((BT27+BU27)/2)+(C27/(D27*((BT27+BU27)/2)))^2/(2*9.81)+B27-(G26+H26^2/(2*9.81))-(A26-A27)*(((DATOS!$B$34*(C27/(D27*((BT27+BU27)/2)))/((D27*((BT27+BU27)/2))/(D27+2*((BT27+BU27)/2)))^(2/3))^2+((DATOS!$B$34*H26/((D26*F26)/(D26+2*F26))^(2/3))^2))/2))&gt;0,BT27,((BT27+BU27)/2))</f>
        <v/>
      </c>
      <c r="BW27" s="5">
        <f>IF((((BT27+BU27)/2)+(C27/(D27*((BT27+BU27)/2)))^2/(2*9.81)+B27-(G26+H26^2/(2*9.81))-(A26-A27)*(((DATOS!$B$34*(C27/(D27*((BT27+BU27)/2)))/((D27*((BT27+BU27)/2))/(D27+2*((BT27+BU27)/2)))^(2/3))^2+((DATOS!$B$34*H26/((D26*F26)/(D26+2*F26))^(2/3))^2))/2))&gt;0,((BT27+BU27)/2),BU27)</f>
        <v/>
      </c>
    </row>
    <row r="28">
      <c r="A28" s="13" t="n">
        <v>54</v>
      </c>
      <c r="B28" s="16">
        <f>DATOS!$B$22-DATOS!$B$23*A28</f>
        <v/>
      </c>
      <c r="C28" s="24">
        <f>CAUDALES!$B$13</f>
        <v/>
      </c>
      <c r="D28" s="17">
        <f>DATOS!$B$17</f>
        <v/>
      </c>
      <c r="E28" s="16">
        <f>(C28^2/(9.81*D28^2))^(1/3)</f>
        <v/>
      </c>
      <c r="F28" s="16">
        <f>(BV28+BW28)/2</f>
        <v/>
      </c>
      <c r="G28" s="16">
        <f>B28+F28</f>
        <v/>
      </c>
      <c r="H28" s="19">
        <f>C28/(D28*F28)</f>
        <v/>
      </c>
      <c r="I28" s="19">
        <f>H28/SQRT(9.81*F28)</f>
        <v/>
      </c>
      <c r="J28" s="16">
        <f>DATOS!$B$29-IF(AND(A28&gt;=DATOS!$B$30,A28&lt;DATOS!$B$31),DATOS!$B$21,DATOS!$B$20)</f>
        <v/>
      </c>
      <c r="K28" s="19">
        <f>J28-B28</f>
        <v/>
      </c>
      <c r="L28" s="19">
        <f>F28/K28</f>
        <v/>
      </c>
      <c r="M28" s="16">
        <f>J28-G28</f>
        <v/>
      </c>
      <c r="N28" s="5">
        <f>IF(AND(L28&lt;=DATOS!$B$36,M28&gt;=DATOS!$B$37,I28&lt;=1),"CUMPLE","NO CUMPLE")</f>
        <v/>
      </c>
      <c r="O28" s="5">
        <f>IF(AND(A28&gt;=DATOS!$B$30,A28&lt;DATOS!$B$31),"cruce de camiones",IF(AND(A28&gt;=DATOS!$B$32,A28&lt;DATOS!$B$33),"cruce de motos","tramo normal"))</f>
        <v/>
      </c>
      <c r="P28" s="5">
        <f>E28*1.001</f>
        <v/>
      </c>
      <c r="Q28" s="13" t="n">
        <v>3</v>
      </c>
      <c r="R28" s="5">
        <f>IF((((P28+Q28)/2)+(C28/(D28*((P28+Q28)/2)))^2/(2*9.81)+B28-(G27+H27^2/(2*9.81))-(A27-A28)*(((DATOS!$B$34*(C28/(D28*((P28+Q28)/2)))/((D28*((P28+Q28)/2))/(D28+2*((P28+Q28)/2)))^(2/3))^2+((DATOS!$B$34*H27/((D27*F27)/(D27+2*F27))^(2/3))^2))/2))&gt;0,P28,((P28+Q28)/2))</f>
        <v/>
      </c>
      <c r="S28" s="5">
        <f>IF((((P28+Q28)/2)+(C28/(D28*((P28+Q28)/2)))^2/(2*9.81)+B28-(G27+H27^2/(2*9.81))-(A27-A28)*(((DATOS!$B$34*(C28/(D28*((P28+Q28)/2)))/((D28*((P28+Q28)/2))/(D28+2*((P28+Q28)/2)))^(2/3))^2+((DATOS!$B$34*H27/((D27*F27)/(D27+2*F27))^(2/3))^2))/2))&gt;0,((P28+Q28)/2),Q28)</f>
        <v/>
      </c>
      <c r="T28" s="5">
        <f>IF((((R28+S28)/2)+(C28/(D28*((R28+S28)/2)))^2/(2*9.81)+B28-(G27+H27^2/(2*9.81))-(A27-A28)*(((DATOS!$B$34*(C28/(D28*((R28+S28)/2)))/((D28*((R28+S28)/2))/(D28+2*((R28+S28)/2)))^(2/3))^2+((DATOS!$B$34*H27/((D27*F27)/(D27+2*F27))^(2/3))^2))/2))&gt;0,R28,((R28+S28)/2))</f>
        <v/>
      </c>
      <c r="U28" s="5">
        <f>IF((((R28+S28)/2)+(C28/(D28*((R28+S28)/2)))^2/(2*9.81)+B28-(G27+H27^2/(2*9.81))-(A27-A28)*(((DATOS!$B$34*(C28/(D28*((R28+S28)/2)))/((D28*((R28+S28)/2))/(D28+2*((R28+S28)/2)))^(2/3))^2+((DATOS!$B$34*H27/((D27*F27)/(D27+2*F27))^(2/3))^2))/2))&gt;0,((R28+S28)/2),S28)</f>
        <v/>
      </c>
      <c r="V28" s="5">
        <f>IF((((T28+U28)/2)+(C28/(D28*((T28+U28)/2)))^2/(2*9.81)+B28-(G27+H27^2/(2*9.81))-(A27-A28)*(((DATOS!$B$34*(C28/(D28*((T28+U28)/2)))/((D28*((T28+U28)/2))/(D28+2*((T28+U28)/2)))^(2/3))^2+((DATOS!$B$34*H27/((D27*F27)/(D27+2*F27))^(2/3))^2))/2))&gt;0,T28,((T28+U28)/2))</f>
        <v/>
      </c>
      <c r="W28" s="5">
        <f>IF((((T28+U28)/2)+(C28/(D28*((T28+U28)/2)))^2/(2*9.81)+B28-(G27+H27^2/(2*9.81))-(A27-A28)*(((DATOS!$B$34*(C28/(D28*((T28+U28)/2)))/((D28*((T28+U28)/2))/(D28+2*((T28+U28)/2)))^(2/3))^2+((DATOS!$B$34*H27/((D27*F27)/(D27+2*F27))^(2/3))^2))/2))&gt;0,((T28+U28)/2),U28)</f>
        <v/>
      </c>
      <c r="X28" s="5">
        <f>IF((((V28+W28)/2)+(C28/(D28*((V28+W28)/2)))^2/(2*9.81)+B28-(G27+H27^2/(2*9.81))-(A27-A28)*(((DATOS!$B$34*(C28/(D28*((V28+W28)/2)))/((D28*((V28+W28)/2))/(D28+2*((V28+W28)/2)))^(2/3))^2+((DATOS!$B$34*H27/((D27*F27)/(D27+2*F27))^(2/3))^2))/2))&gt;0,V28,((V28+W28)/2))</f>
        <v/>
      </c>
      <c r="Y28" s="5">
        <f>IF((((V28+W28)/2)+(C28/(D28*((V28+W28)/2)))^2/(2*9.81)+B28-(G27+H27^2/(2*9.81))-(A27-A28)*(((DATOS!$B$34*(C28/(D28*((V28+W28)/2)))/((D28*((V28+W28)/2))/(D28+2*((V28+W28)/2)))^(2/3))^2+((DATOS!$B$34*H27/((D27*F27)/(D27+2*F27))^(2/3))^2))/2))&gt;0,((V28+W28)/2),W28)</f>
        <v/>
      </c>
      <c r="Z28" s="5">
        <f>IF((((X28+Y28)/2)+(C28/(D28*((X28+Y28)/2)))^2/(2*9.81)+B28-(G27+H27^2/(2*9.81))-(A27-A28)*(((DATOS!$B$34*(C28/(D28*((X28+Y28)/2)))/((D28*((X28+Y28)/2))/(D28+2*((X28+Y28)/2)))^(2/3))^2+((DATOS!$B$34*H27/((D27*F27)/(D27+2*F27))^(2/3))^2))/2))&gt;0,X28,((X28+Y28)/2))</f>
        <v/>
      </c>
      <c r="AA28" s="5">
        <f>IF((((X28+Y28)/2)+(C28/(D28*((X28+Y28)/2)))^2/(2*9.81)+B28-(G27+H27^2/(2*9.81))-(A27-A28)*(((DATOS!$B$34*(C28/(D28*((X28+Y28)/2)))/((D28*((X28+Y28)/2))/(D28+2*((X28+Y28)/2)))^(2/3))^2+((DATOS!$B$34*H27/((D27*F27)/(D27+2*F27))^(2/3))^2))/2))&gt;0,((X28+Y28)/2),Y28)</f>
        <v/>
      </c>
      <c r="AB28" s="5">
        <f>IF((((Z28+AA28)/2)+(C28/(D28*((Z28+AA28)/2)))^2/(2*9.81)+B28-(G27+H27^2/(2*9.81))-(A27-A28)*(((DATOS!$B$34*(C28/(D28*((Z28+AA28)/2)))/((D28*((Z28+AA28)/2))/(D28+2*((Z28+AA28)/2)))^(2/3))^2+((DATOS!$B$34*H27/((D27*F27)/(D27+2*F27))^(2/3))^2))/2))&gt;0,Z28,((Z28+AA28)/2))</f>
        <v/>
      </c>
      <c r="AC28" s="5">
        <f>IF((((Z28+AA28)/2)+(C28/(D28*((Z28+AA28)/2)))^2/(2*9.81)+B28-(G27+H27^2/(2*9.81))-(A27-A28)*(((DATOS!$B$34*(C28/(D28*((Z28+AA28)/2)))/((D28*((Z28+AA28)/2))/(D28+2*((Z28+AA28)/2)))^(2/3))^2+((DATOS!$B$34*H27/((D27*F27)/(D27+2*F27))^(2/3))^2))/2))&gt;0,((Z28+AA28)/2),AA28)</f>
        <v/>
      </c>
      <c r="AD28" s="5">
        <f>IF((((AB28+AC28)/2)+(C28/(D28*((AB28+AC28)/2)))^2/(2*9.81)+B28-(G27+H27^2/(2*9.81))-(A27-A28)*(((DATOS!$B$34*(C28/(D28*((AB28+AC28)/2)))/((D28*((AB28+AC28)/2))/(D28+2*((AB28+AC28)/2)))^(2/3))^2+((DATOS!$B$34*H27/((D27*F27)/(D27+2*F27))^(2/3))^2))/2))&gt;0,AB28,((AB28+AC28)/2))</f>
        <v/>
      </c>
      <c r="AE28" s="5">
        <f>IF((((AB28+AC28)/2)+(C28/(D28*((AB28+AC28)/2)))^2/(2*9.81)+B28-(G27+H27^2/(2*9.81))-(A27-A28)*(((DATOS!$B$34*(C28/(D28*((AB28+AC28)/2)))/((D28*((AB28+AC28)/2))/(D28+2*((AB28+AC28)/2)))^(2/3))^2+((DATOS!$B$34*H27/((D27*F27)/(D27+2*F27))^(2/3))^2))/2))&gt;0,((AB28+AC28)/2),AC28)</f>
        <v/>
      </c>
      <c r="AF28" s="5">
        <f>IF((((AD28+AE28)/2)+(C28/(D28*((AD28+AE28)/2)))^2/(2*9.81)+B28-(G27+H27^2/(2*9.81))-(A27-A28)*(((DATOS!$B$34*(C28/(D28*((AD28+AE28)/2)))/((D28*((AD28+AE28)/2))/(D28+2*((AD28+AE28)/2)))^(2/3))^2+((DATOS!$B$34*H27/((D27*F27)/(D27+2*F27))^(2/3))^2))/2))&gt;0,AD28,((AD28+AE28)/2))</f>
        <v/>
      </c>
      <c r="AG28" s="5">
        <f>IF((((AD28+AE28)/2)+(C28/(D28*((AD28+AE28)/2)))^2/(2*9.81)+B28-(G27+H27^2/(2*9.81))-(A27-A28)*(((DATOS!$B$34*(C28/(D28*((AD28+AE28)/2)))/((D28*((AD28+AE28)/2))/(D28+2*((AD28+AE28)/2)))^(2/3))^2+((DATOS!$B$34*H27/((D27*F27)/(D27+2*F27))^(2/3))^2))/2))&gt;0,((AD28+AE28)/2),AE28)</f>
        <v/>
      </c>
      <c r="AH28" s="5">
        <f>IF((((AF28+AG28)/2)+(C28/(D28*((AF28+AG28)/2)))^2/(2*9.81)+B28-(G27+H27^2/(2*9.81))-(A27-A28)*(((DATOS!$B$34*(C28/(D28*((AF28+AG28)/2)))/((D28*((AF28+AG28)/2))/(D28+2*((AF28+AG28)/2)))^(2/3))^2+((DATOS!$B$34*H27/((D27*F27)/(D27+2*F27))^(2/3))^2))/2))&gt;0,AF28,((AF28+AG28)/2))</f>
        <v/>
      </c>
      <c r="AI28" s="5">
        <f>IF((((AF28+AG28)/2)+(C28/(D28*((AF28+AG28)/2)))^2/(2*9.81)+B28-(G27+H27^2/(2*9.81))-(A27-A28)*(((DATOS!$B$34*(C28/(D28*((AF28+AG28)/2)))/((D28*((AF28+AG28)/2))/(D28+2*((AF28+AG28)/2)))^(2/3))^2+((DATOS!$B$34*H27/((D27*F27)/(D27+2*F27))^(2/3))^2))/2))&gt;0,((AF28+AG28)/2),AG28)</f>
        <v/>
      </c>
      <c r="AJ28" s="5">
        <f>IF((((AH28+AI28)/2)+(C28/(D28*((AH28+AI28)/2)))^2/(2*9.81)+B28-(G27+H27^2/(2*9.81))-(A27-A28)*(((DATOS!$B$34*(C28/(D28*((AH28+AI28)/2)))/((D28*((AH28+AI28)/2))/(D28+2*((AH28+AI28)/2)))^(2/3))^2+((DATOS!$B$34*H27/((D27*F27)/(D27+2*F27))^(2/3))^2))/2))&gt;0,AH28,((AH28+AI28)/2))</f>
        <v/>
      </c>
      <c r="AK28" s="5">
        <f>IF((((AH28+AI28)/2)+(C28/(D28*((AH28+AI28)/2)))^2/(2*9.81)+B28-(G27+H27^2/(2*9.81))-(A27-A28)*(((DATOS!$B$34*(C28/(D28*((AH28+AI28)/2)))/((D28*((AH28+AI28)/2))/(D28+2*((AH28+AI28)/2)))^(2/3))^2+((DATOS!$B$34*H27/((D27*F27)/(D27+2*F27))^(2/3))^2))/2))&gt;0,((AH28+AI28)/2),AI28)</f>
        <v/>
      </c>
      <c r="AL28" s="5">
        <f>IF((((AJ28+AK28)/2)+(C28/(D28*((AJ28+AK28)/2)))^2/(2*9.81)+B28-(G27+H27^2/(2*9.81))-(A27-A28)*(((DATOS!$B$34*(C28/(D28*((AJ28+AK28)/2)))/((D28*((AJ28+AK28)/2))/(D28+2*((AJ28+AK28)/2)))^(2/3))^2+((DATOS!$B$34*H27/((D27*F27)/(D27+2*F27))^(2/3))^2))/2))&gt;0,AJ28,((AJ28+AK28)/2))</f>
        <v/>
      </c>
      <c r="AM28" s="5">
        <f>IF((((AJ28+AK28)/2)+(C28/(D28*((AJ28+AK28)/2)))^2/(2*9.81)+B28-(G27+H27^2/(2*9.81))-(A27-A28)*(((DATOS!$B$34*(C28/(D28*((AJ28+AK28)/2)))/((D28*((AJ28+AK28)/2))/(D28+2*((AJ28+AK28)/2)))^(2/3))^2+((DATOS!$B$34*H27/((D27*F27)/(D27+2*F27))^(2/3))^2))/2))&gt;0,((AJ28+AK28)/2),AK28)</f>
        <v/>
      </c>
      <c r="AN28" s="5">
        <f>IF((((AL28+AM28)/2)+(C28/(D28*((AL28+AM28)/2)))^2/(2*9.81)+B28-(G27+H27^2/(2*9.81))-(A27-A28)*(((DATOS!$B$34*(C28/(D28*((AL28+AM28)/2)))/((D28*((AL28+AM28)/2))/(D28+2*((AL28+AM28)/2)))^(2/3))^2+((DATOS!$B$34*H27/((D27*F27)/(D27+2*F27))^(2/3))^2))/2))&gt;0,AL28,((AL28+AM28)/2))</f>
        <v/>
      </c>
      <c r="AO28" s="5">
        <f>IF((((AL28+AM28)/2)+(C28/(D28*((AL28+AM28)/2)))^2/(2*9.81)+B28-(G27+H27^2/(2*9.81))-(A27-A28)*(((DATOS!$B$34*(C28/(D28*((AL28+AM28)/2)))/((D28*((AL28+AM28)/2))/(D28+2*((AL28+AM28)/2)))^(2/3))^2+((DATOS!$B$34*H27/((D27*F27)/(D27+2*F27))^(2/3))^2))/2))&gt;0,((AL28+AM28)/2),AM28)</f>
        <v/>
      </c>
      <c r="AP28" s="5">
        <f>IF((((AN28+AO28)/2)+(C28/(D28*((AN28+AO28)/2)))^2/(2*9.81)+B28-(G27+H27^2/(2*9.81))-(A27-A28)*(((DATOS!$B$34*(C28/(D28*((AN28+AO28)/2)))/((D28*((AN28+AO28)/2))/(D28+2*((AN28+AO28)/2)))^(2/3))^2+((DATOS!$B$34*H27/((D27*F27)/(D27+2*F27))^(2/3))^2))/2))&gt;0,AN28,((AN28+AO28)/2))</f>
        <v/>
      </c>
      <c r="AQ28" s="5">
        <f>IF((((AN28+AO28)/2)+(C28/(D28*((AN28+AO28)/2)))^2/(2*9.81)+B28-(G27+H27^2/(2*9.81))-(A27-A28)*(((DATOS!$B$34*(C28/(D28*((AN28+AO28)/2)))/((D28*((AN28+AO28)/2))/(D28+2*((AN28+AO28)/2)))^(2/3))^2+((DATOS!$B$34*H27/((D27*F27)/(D27+2*F27))^(2/3))^2))/2))&gt;0,((AN28+AO28)/2),AO28)</f>
        <v/>
      </c>
      <c r="AR28" s="5">
        <f>IF((((AP28+AQ28)/2)+(C28/(D28*((AP28+AQ28)/2)))^2/(2*9.81)+B28-(G27+H27^2/(2*9.81))-(A27-A28)*(((DATOS!$B$34*(C28/(D28*((AP28+AQ28)/2)))/((D28*((AP28+AQ28)/2))/(D28+2*((AP28+AQ28)/2)))^(2/3))^2+((DATOS!$B$34*H27/((D27*F27)/(D27+2*F27))^(2/3))^2))/2))&gt;0,AP28,((AP28+AQ28)/2))</f>
        <v/>
      </c>
      <c r="AS28" s="5">
        <f>IF((((AP28+AQ28)/2)+(C28/(D28*((AP28+AQ28)/2)))^2/(2*9.81)+B28-(G27+H27^2/(2*9.81))-(A27-A28)*(((DATOS!$B$34*(C28/(D28*((AP28+AQ28)/2)))/((D28*((AP28+AQ28)/2))/(D28+2*((AP28+AQ28)/2)))^(2/3))^2+((DATOS!$B$34*H27/((D27*F27)/(D27+2*F27))^(2/3))^2))/2))&gt;0,((AP28+AQ28)/2),AQ28)</f>
        <v/>
      </c>
      <c r="AT28" s="5">
        <f>IF((((AR28+AS28)/2)+(C28/(D28*((AR28+AS28)/2)))^2/(2*9.81)+B28-(G27+H27^2/(2*9.81))-(A27-A28)*(((DATOS!$B$34*(C28/(D28*((AR28+AS28)/2)))/((D28*((AR28+AS28)/2))/(D28+2*((AR28+AS28)/2)))^(2/3))^2+((DATOS!$B$34*H27/((D27*F27)/(D27+2*F27))^(2/3))^2))/2))&gt;0,AR28,((AR28+AS28)/2))</f>
        <v/>
      </c>
      <c r="AU28" s="5">
        <f>IF((((AR28+AS28)/2)+(C28/(D28*((AR28+AS28)/2)))^2/(2*9.81)+B28-(G27+H27^2/(2*9.81))-(A27-A28)*(((DATOS!$B$34*(C28/(D28*((AR28+AS28)/2)))/((D28*((AR28+AS28)/2))/(D28+2*((AR28+AS28)/2)))^(2/3))^2+((DATOS!$B$34*H27/((D27*F27)/(D27+2*F27))^(2/3))^2))/2))&gt;0,((AR28+AS28)/2),AS28)</f>
        <v/>
      </c>
      <c r="AV28" s="5">
        <f>IF((((AT28+AU28)/2)+(C28/(D28*((AT28+AU28)/2)))^2/(2*9.81)+B28-(G27+H27^2/(2*9.81))-(A27-A28)*(((DATOS!$B$34*(C28/(D28*((AT28+AU28)/2)))/((D28*((AT28+AU28)/2))/(D28+2*((AT28+AU28)/2)))^(2/3))^2+((DATOS!$B$34*H27/((D27*F27)/(D27+2*F27))^(2/3))^2))/2))&gt;0,AT28,((AT28+AU28)/2))</f>
        <v/>
      </c>
      <c r="AW28" s="5">
        <f>IF((((AT28+AU28)/2)+(C28/(D28*((AT28+AU28)/2)))^2/(2*9.81)+B28-(G27+H27^2/(2*9.81))-(A27-A28)*(((DATOS!$B$34*(C28/(D28*((AT28+AU28)/2)))/((D28*((AT28+AU28)/2))/(D28+2*((AT28+AU28)/2)))^(2/3))^2+((DATOS!$B$34*H27/((D27*F27)/(D27+2*F27))^(2/3))^2))/2))&gt;0,((AT28+AU28)/2),AU28)</f>
        <v/>
      </c>
      <c r="AX28" s="5">
        <f>IF((((AV28+AW28)/2)+(C28/(D28*((AV28+AW28)/2)))^2/(2*9.81)+B28-(G27+H27^2/(2*9.81))-(A27-A28)*(((DATOS!$B$34*(C28/(D28*((AV28+AW28)/2)))/((D28*((AV28+AW28)/2))/(D28+2*((AV28+AW28)/2)))^(2/3))^2+((DATOS!$B$34*H27/((D27*F27)/(D27+2*F27))^(2/3))^2))/2))&gt;0,AV28,((AV28+AW28)/2))</f>
        <v/>
      </c>
      <c r="AY28" s="5">
        <f>IF((((AV28+AW28)/2)+(C28/(D28*((AV28+AW28)/2)))^2/(2*9.81)+B28-(G27+H27^2/(2*9.81))-(A27-A28)*(((DATOS!$B$34*(C28/(D28*((AV28+AW28)/2)))/((D28*((AV28+AW28)/2))/(D28+2*((AV28+AW28)/2)))^(2/3))^2+((DATOS!$B$34*H27/((D27*F27)/(D27+2*F27))^(2/3))^2))/2))&gt;0,((AV28+AW28)/2),AW28)</f>
        <v/>
      </c>
      <c r="AZ28" s="5">
        <f>IF((((AX28+AY28)/2)+(C28/(D28*((AX28+AY28)/2)))^2/(2*9.81)+B28-(G27+H27^2/(2*9.81))-(A27-A28)*(((DATOS!$B$34*(C28/(D28*((AX28+AY28)/2)))/((D28*((AX28+AY28)/2))/(D28+2*((AX28+AY28)/2)))^(2/3))^2+((DATOS!$B$34*H27/((D27*F27)/(D27+2*F27))^(2/3))^2))/2))&gt;0,AX28,((AX28+AY28)/2))</f>
        <v/>
      </c>
      <c r="BA28" s="5">
        <f>IF((((AX28+AY28)/2)+(C28/(D28*((AX28+AY28)/2)))^2/(2*9.81)+B28-(G27+H27^2/(2*9.81))-(A27-A28)*(((DATOS!$B$34*(C28/(D28*((AX28+AY28)/2)))/((D28*((AX28+AY28)/2))/(D28+2*((AX28+AY28)/2)))^(2/3))^2+((DATOS!$B$34*H27/((D27*F27)/(D27+2*F27))^(2/3))^2))/2))&gt;0,((AX28+AY28)/2),AY28)</f>
        <v/>
      </c>
      <c r="BB28" s="5">
        <f>IF((((AZ28+BA28)/2)+(C28/(D28*((AZ28+BA28)/2)))^2/(2*9.81)+B28-(G27+H27^2/(2*9.81))-(A27-A28)*(((DATOS!$B$34*(C28/(D28*((AZ28+BA28)/2)))/((D28*((AZ28+BA28)/2))/(D28+2*((AZ28+BA28)/2)))^(2/3))^2+((DATOS!$B$34*H27/((D27*F27)/(D27+2*F27))^(2/3))^2))/2))&gt;0,AZ28,((AZ28+BA28)/2))</f>
        <v/>
      </c>
      <c r="BC28" s="5">
        <f>IF((((AZ28+BA28)/2)+(C28/(D28*((AZ28+BA28)/2)))^2/(2*9.81)+B28-(G27+H27^2/(2*9.81))-(A27-A28)*(((DATOS!$B$34*(C28/(D28*((AZ28+BA28)/2)))/((D28*((AZ28+BA28)/2))/(D28+2*((AZ28+BA28)/2)))^(2/3))^2+((DATOS!$B$34*H27/((D27*F27)/(D27+2*F27))^(2/3))^2))/2))&gt;0,((AZ28+BA28)/2),BA28)</f>
        <v/>
      </c>
      <c r="BD28" s="5">
        <f>IF((((BB28+BC28)/2)+(C28/(D28*((BB28+BC28)/2)))^2/(2*9.81)+B28-(G27+H27^2/(2*9.81))-(A27-A28)*(((DATOS!$B$34*(C28/(D28*((BB28+BC28)/2)))/((D28*((BB28+BC28)/2))/(D28+2*((BB28+BC28)/2)))^(2/3))^2+((DATOS!$B$34*H27/((D27*F27)/(D27+2*F27))^(2/3))^2))/2))&gt;0,BB28,((BB28+BC28)/2))</f>
        <v/>
      </c>
      <c r="BE28" s="5">
        <f>IF((((BB28+BC28)/2)+(C28/(D28*((BB28+BC28)/2)))^2/(2*9.81)+B28-(G27+H27^2/(2*9.81))-(A27-A28)*(((DATOS!$B$34*(C28/(D28*((BB28+BC28)/2)))/((D28*((BB28+BC28)/2))/(D28+2*((BB28+BC28)/2)))^(2/3))^2+((DATOS!$B$34*H27/((D27*F27)/(D27+2*F27))^(2/3))^2))/2))&gt;0,((BB28+BC28)/2),BC28)</f>
        <v/>
      </c>
      <c r="BF28" s="5">
        <f>IF((((BD28+BE28)/2)+(C28/(D28*((BD28+BE28)/2)))^2/(2*9.81)+B28-(G27+H27^2/(2*9.81))-(A27-A28)*(((DATOS!$B$34*(C28/(D28*((BD28+BE28)/2)))/((D28*((BD28+BE28)/2))/(D28+2*((BD28+BE28)/2)))^(2/3))^2+((DATOS!$B$34*H27/((D27*F27)/(D27+2*F27))^(2/3))^2))/2))&gt;0,BD28,((BD28+BE28)/2))</f>
        <v/>
      </c>
      <c r="BG28" s="5">
        <f>IF((((BD28+BE28)/2)+(C28/(D28*((BD28+BE28)/2)))^2/(2*9.81)+B28-(G27+H27^2/(2*9.81))-(A27-A28)*(((DATOS!$B$34*(C28/(D28*((BD28+BE28)/2)))/((D28*((BD28+BE28)/2))/(D28+2*((BD28+BE28)/2)))^(2/3))^2+((DATOS!$B$34*H27/((D27*F27)/(D27+2*F27))^(2/3))^2))/2))&gt;0,((BD28+BE28)/2),BE28)</f>
        <v/>
      </c>
      <c r="BH28" s="5">
        <f>IF((((BF28+BG28)/2)+(C28/(D28*((BF28+BG28)/2)))^2/(2*9.81)+B28-(G27+H27^2/(2*9.81))-(A27-A28)*(((DATOS!$B$34*(C28/(D28*((BF28+BG28)/2)))/((D28*((BF28+BG28)/2))/(D28+2*((BF28+BG28)/2)))^(2/3))^2+((DATOS!$B$34*H27/((D27*F27)/(D27+2*F27))^(2/3))^2))/2))&gt;0,BF28,((BF28+BG28)/2))</f>
        <v/>
      </c>
      <c r="BI28" s="5">
        <f>IF((((BF28+BG28)/2)+(C28/(D28*((BF28+BG28)/2)))^2/(2*9.81)+B28-(G27+H27^2/(2*9.81))-(A27-A28)*(((DATOS!$B$34*(C28/(D28*((BF28+BG28)/2)))/((D28*((BF28+BG28)/2))/(D28+2*((BF28+BG28)/2)))^(2/3))^2+((DATOS!$B$34*H27/((D27*F27)/(D27+2*F27))^(2/3))^2))/2))&gt;0,((BF28+BG28)/2),BG28)</f>
        <v/>
      </c>
      <c r="BJ28" s="5">
        <f>IF((((BH28+BI28)/2)+(C28/(D28*((BH28+BI28)/2)))^2/(2*9.81)+B28-(G27+H27^2/(2*9.81))-(A27-A28)*(((DATOS!$B$34*(C28/(D28*((BH28+BI28)/2)))/((D28*((BH28+BI28)/2))/(D28+2*((BH28+BI28)/2)))^(2/3))^2+((DATOS!$B$34*H27/((D27*F27)/(D27+2*F27))^(2/3))^2))/2))&gt;0,BH28,((BH28+BI28)/2))</f>
        <v/>
      </c>
      <c r="BK28" s="5">
        <f>IF((((BH28+BI28)/2)+(C28/(D28*((BH28+BI28)/2)))^2/(2*9.81)+B28-(G27+H27^2/(2*9.81))-(A27-A28)*(((DATOS!$B$34*(C28/(D28*((BH28+BI28)/2)))/((D28*((BH28+BI28)/2))/(D28+2*((BH28+BI28)/2)))^(2/3))^2+((DATOS!$B$34*H27/((D27*F27)/(D27+2*F27))^(2/3))^2))/2))&gt;0,((BH28+BI28)/2),BI28)</f>
        <v/>
      </c>
      <c r="BL28" s="5">
        <f>IF((((BJ28+BK28)/2)+(C28/(D28*((BJ28+BK28)/2)))^2/(2*9.81)+B28-(G27+H27^2/(2*9.81))-(A27-A28)*(((DATOS!$B$34*(C28/(D28*((BJ28+BK28)/2)))/((D28*((BJ28+BK28)/2))/(D28+2*((BJ28+BK28)/2)))^(2/3))^2+((DATOS!$B$34*H27/((D27*F27)/(D27+2*F27))^(2/3))^2))/2))&gt;0,BJ28,((BJ28+BK28)/2))</f>
        <v/>
      </c>
      <c r="BM28" s="5">
        <f>IF((((BJ28+BK28)/2)+(C28/(D28*((BJ28+BK28)/2)))^2/(2*9.81)+B28-(G27+H27^2/(2*9.81))-(A27-A28)*(((DATOS!$B$34*(C28/(D28*((BJ28+BK28)/2)))/((D28*((BJ28+BK28)/2))/(D28+2*((BJ28+BK28)/2)))^(2/3))^2+((DATOS!$B$34*H27/((D27*F27)/(D27+2*F27))^(2/3))^2))/2))&gt;0,((BJ28+BK28)/2),BK28)</f>
        <v/>
      </c>
      <c r="BN28" s="5">
        <f>IF((((BL28+BM28)/2)+(C28/(D28*((BL28+BM28)/2)))^2/(2*9.81)+B28-(G27+H27^2/(2*9.81))-(A27-A28)*(((DATOS!$B$34*(C28/(D28*((BL28+BM28)/2)))/((D28*((BL28+BM28)/2))/(D28+2*((BL28+BM28)/2)))^(2/3))^2+((DATOS!$B$34*H27/((D27*F27)/(D27+2*F27))^(2/3))^2))/2))&gt;0,BL28,((BL28+BM28)/2))</f>
        <v/>
      </c>
      <c r="BO28" s="5">
        <f>IF((((BL28+BM28)/2)+(C28/(D28*((BL28+BM28)/2)))^2/(2*9.81)+B28-(G27+H27^2/(2*9.81))-(A27-A28)*(((DATOS!$B$34*(C28/(D28*((BL28+BM28)/2)))/((D28*((BL28+BM28)/2))/(D28+2*((BL28+BM28)/2)))^(2/3))^2+((DATOS!$B$34*H27/((D27*F27)/(D27+2*F27))^(2/3))^2))/2))&gt;0,((BL28+BM28)/2),BM28)</f>
        <v/>
      </c>
      <c r="BP28" s="5">
        <f>IF((((BN28+BO28)/2)+(C28/(D28*((BN28+BO28)/2)))^2/(2*9.81)+B28-(G27+H27^2/(2*9.81))-(A27-A28)*(((DATOS!$B$34*(C28/(D28*((BN28+BO28)/2)))/((D28*((BN28+BO28)/2))/(D28+2*((BN28+BO28)/2)))^(2/3))^2+((DATOS!$B$34*H27/((D27*F27)/(D27+2*F27))^(2/3))^2))/2))&gt;0,BN28,((BN28+BO28)/2))</f>
        <v/>
      </c>
      <c r="BQ28" s="5">
        <f>IF((((BN28+BO28)/2)+(C28/(D28*((BN28+BO28)/2)))^2/(2*9.81)+B28-(G27+H27^2/(2*9.81))-(A27-A28)*(((DATOS!$B$34*(C28/(D28*((BN28+BO28)/2)))/((D28*((BN28+BO28)/2))/(D28+2*((BN28+BO28)/2)))^(2/3))^2+((DATOS!$B$34*H27/((D27*F27)/(D27+2*F27))^(2/3))^2))/2))&gt;0,((BN28+BO28)/2),BO28)</f>
        <v/>
      </c>
      <c r="BR28" s="5">
        <f>IF((((BP28+BQ28)/2)+(C28/(D28*((BP28+BQ28)/2)))^2/(2*9.81)+B28-(G27+H27^2/(2*9.81))-(A27-A28)*(((DATOS!$B$34*(C28/(D28*((BP28+BQ28)/2)))/((D28*((BP28+BQ28)/2))/(D28+2*((BP28+BQ28)/2)))^(2/3))^2+((DATOS!$B$34*H27/((D27*F27)/(D27+2*F27))^(2/3))^2))/2))&gt;0,BP28,((BP28+BQ28)/2))</f>
        <v/>
      </c>
      <c r="BS28" s="5">
        <f>IF((((BP28+BQ28)/2)+(C28/(D28*((BP28+BQ28)/2)))^2/(2*9.81)+B28-(G27+H27^2/(2*9.81))-(A27-A28)*(((DATOS!$B$34*(C28/(D28*((BP28+BQ28)/2)))/((D28*((BP28+BQ28)/2))/(D28+2*((BP28+BQ28)/2)))^(2/3))^2+((DATOS!$B$34*H27/((D27*F27)/(D27+2*F27))^(2/3))^2))/2))&gt;0,((BP28+BQ28)/2),BQ28)</f>
        <v/>
      </c>
      <c r="BT28" s="5">
        <f>IF((((BR28+BS28)/2)+(C28/(D28*((BR28+BS28)/2)))^2/(2*9.81)+B28-(G27+H27^2/(2*9.81))-(A27-A28)*(((DATOS!$B$34*(C28/(D28*((BR28+BS28)/2)))/((D28*((BR28+BS28)/2))/(D28+2*((BR28+BS28)/2)))^(2/3))^2+((DATOS!$B$34*H27/((D27*F27)/(D27+2*F27))^(2/3))^2))/2))&gt;0,BR28,((BR28+BS28)/2))</f>
        <v/>
      </c>
      <c r="BU28" s="5">
        <f>IF((((BR28+BS28)/2)+(C28/(D28*((BR28+BS28)/2)))^2/(2*9.81)+B28-(G27+H27^2/(2*9.81))-(A27-A28)*(((DATOS!$B$34*(C28/(D28*((BR28+BS28)/2)))/((D28*((BR28+BS28)/2))/(D28+2*((BR28+BS28)/2)))^(2/3))^2+((DATOS!$B$34*H27/((D27*F27)/(D27+2*F27))^(2/3))^2))/2))&gt;0,((BR28+BS28)/2),BS28)</f>
        <v/>
      </c>
      <c r="BV28" s="5">
        <f>IF((((BT28+BU28)/2)+(C28/(D28*((BT28+BU28)/2)))^2/(2*9.81)+B28-(G27+H27^2/(2*9.81))-(A27-A28)*(((DATOS!$B$34*(C28/(D28*((BT28+BU28)/2)))/((D28*((BT28+BU28)/2))/(D28+2*((BT28+BU28)/2)))^(2/3))^2+((DATOS!$B$34*H27/((D27*F27)/(D27+2*F27))^(2/3))^2))/2))&gt;0,BT28,((BT28+BU28)/2))</f>
        <v/>
      </c>
      <c r="BW28" s="5">
        <f>IF((((BT28+BU28)/2)+(C28/(D28*((BT28+BU28)/2)))^2/(2*9.81)+B28-(G27+H27^2/(2*9.81))-(A27-A28)*(((DATOS!$B$34*(C28/(D28*((BT28+BU28)/2)))/((D28*((BT28+BU28)/2))/(D28+2*((BT28+BU28)/2)))^(2/3))^2+((DATOS!$B$34*H27/((D27*F27)/(D27+2*F27))^(2/3))^2))/2))&gt;0,((BT28+BU28)/2),BU28)</f>
        <v/>
      </c>
    </row>
    <row r="29">
      <c r="A29" s="13" t="n">
        <v>53</v>
      </c>
      <c r="B29" s="16">
        <f>DATOS!$B$22-DATOS!$B$23*A29</f>
        <v/>
      </c>
      <c r="C29" s="24">
        <f>CAUDALES!$B$13</f>
        <v/>
      </c>
      <c r="D29" s="17">
        <f>DATOS!$B$17</f>
        <v/>
      </c>
      <c r="E29" s="16">
        <f>(C29^2/(9.81*D29^2))^(1/3)</f>
        <v/>
      </c>
      <c r="F29" s="16">
        <f>(BV29+BW29)/2</f>
        <v/>
      </c>
      <c r="G29" s="16">
        <f>B29+F29</f>
        <v/>
      </c>
      <c r="H29" s="19">
        <f>C29/(D29*F29)</f>
        <v/>
      </c>
      <c r="I29" s="19">
        <f>H29/SQRT(9.81*F29)</f>
        <v/>
      </c>
      <c r="J29" s="16">
        <f>DATOS!$B$29-IF(AND(A29&gt;=DATOS!$B$30,A29&lt;DATOS!$B$31),DATOS!$B$21,DATOS!$B$20)</f>
        <v/>
      </c>
      <c r="K29" s="19">
        <f>J29-B29</f>
        <v/>
      </c>
      <c r="L29" s="19">
        <f>F29/K29</f>
        <v/>
      </c>
      <c r="M29" s="16">
        <f>J29-G29</f>
        <v/>
      </c>
      <c r="N29" s="5">
        <f>IF(AND(L29&lt;=DATOS!$B$36,M29&gt;=DATOS!$B$37,I29&lt;=1),"CUMPLE","NO CUMPLE")</f>
        <v/>
      </c>
      <c r="O29" s="5">
        <f>IF(AND(A29&gt;=DATOS!$B$30,A29&lt;DATOS!$B$31),"cruce de camiones",IF(AND(A29&gt;=DATOS!$B$32,A29&lt;DATOS!$B$33),"cruce de motos","tramo normal"))</f>
        <v/>
      </c>
      <c r="P29" s="5">
        <f>E29*1.001</f>
        <v/>
      </c>
      <c r="Q29" s="13" t="n">
        <v>3</v>
      </c>
      <c r="R29" s="5">
        <f>IF((((P29+Q29)/2)+(C29/(D29*((P29+Q29)/2)))^2/(2*9.81)+B29-(G28+H28^2/(2*9.81))-(A28-A29)*(((DATOS!$B$34*(C29/(D29*((P29+Q29)/2)))/((D29*((P29+Q29)/2))/(D29+2*((P29+Q29)/2)))^(2/3))^2+((DATOS!$B$34*H28/((D28*F28)/(D28+2*F28))^(2/3))^2))/2))&gt;0,P29,((P29+Q29)/2))</f>
        <v/>
      </c>
      <c r="S29" s="5">
        <f>IF((((P29+Q29)/2)+(C29/(D29*((P29+Q29)/2)))^2/(2*9.81)+B29-(G28+H28^2/(2*9.81))-(A28-A29)*(((DATOS!$B$34*(C29/(D29*((P29+Q29)/2)))/((D29*((P29+Q29)/2))/(D29+2*((P29+Q29)/2)))^(2/3))^2+((DATOS!$B$34*H28/((D28*F28)/(D28+2*F28))^(2/3))^2))/2))&gt;0,((P29+Q29)/2),Q29)</f>
        <v/>
      </c>
      <c r="T29" s="5">
        <f>IF((((R29+S29)/2)+(C29/(D29*((R29+S29)/2)))^2/(2*9.81)+B29-(G28+H28^2/(2*9.81))-(A28-A29)*(((DATOS!$B$34*(C29/(D29*((R29+S29)/2)))/((D29*((R29+S29)/2))/(D29+2*((R29+S29)/2)))^(2/3))^2+((DATOS!$B$34*H28/((D28*F28)/(D28+2*F28))^(2/3))^2))/2))&gt;0,R29,((R29+S29)/2))</f>
        <v/>
      </c>
      <c r="U29" s="5">
        <f>IF((((R29+S29)/2)+(C29/(D29*((R29+S29)/2)))^2/(2*9.81)+B29-(G28+H28^2/(2*9.81))-(A28-A29)*(((DATOS!$B$34*(C29/(D29*((R29+S29)/2)))/((D29*((R29+S29)/2))/(D29+2*((R29+S29)/2)))^(2/3))^2+((DATOS!$B$34*H28/((D28*F28)/(D28+2*F28))^(2/3))^2))/2))&gt;0,((R29+S29)/2),S29)</f>
        <v/>
      </c>
      <c r="V29" s="5">
        <f>IF((((T29+U29)/2)+(C29/(D29*((T29+U29)/2)))^2/(2*9.81)+B29-(G28+H28^2/(2*9.81))-(A28-A29)*(((DATOS!$B$34*(C29/(D29*((T29+U29)/2)))/((D29*((T29+U29)/2))/(D29+2*((T29+U29)/2)))^(2/3))^2+((DATOS!$B$34*H28/((D28*F28)/(D28+2*F28))^(2/3))^2))/2))&gt;0,T29,((T29+U29)/2))</f>
        <v/>
      </c>
      <c r="W29" s="5">
        <f>IF((((T29+U29)/2)+(C29/(D29*((T29+U29)/2)))^2/(2*9.81)+B29-(G28+H28^2/(2*9.81))-(A28-A29)*(((DATOS!$B$34*(C29/(D29*((T29+U29)/2)))/((D29*((T29+U29)/2))/(D29+2*((T29+U29)/2)))^(2/3))^2+((DATOS!$B$34*H28/((D28*F28)/(D28+2*F28))^(2/3))^2))/2))&gt;0,((T29+U29)/2),U29)</f>
        <v/>
      </c>
      <c r="X29" s="5">
        <f>IF((((V29+W29)/2)+(C29/(D29*((V29+W29)/2)))^2/(2*9.81)+B29-(G28+H28^2/(2*9.81))-(A28-A29)*(((DATOS!$B$34*(C29/(D29*((V29+W29)/2)))/((D29*((V29+W29)/2))/(D29+2*((V29+W29)/2)))^(2/3))^2+((DATOS!$B$34*H28/((D28*F28)/(D28+2*F28))^(2/3))^2))/2))&gt;0,V29,((V29+W29)/2))</f>
        <v/>
      </c>
      <c r="Y29" s="5">
        <f>IF((((V29+W29)/2)+(C29/(D29*((V29+W29)/2)))^2/(2*9.81)+B29-(G28+H28^2/(2*9.81))-(A28-A29)*(((DATOS!$B$34*(C29/(D29*((V29+W29)/2)))/((D29*((V29+W29)/2))/(D29+2*((V29+W29)/2)))^(2/3))^2+((DATOS!$B$34*H28/((D28*F28)/(D28+2*F28))^(2/3))^2))/2))&gt;0,((V29+W29)/2),W29)</f>
        <v/>
      </c>
      <c r="Z29" s="5">
        <f>IF((((X29+Y29)/2)+(C29/(D29*((X29+Y29)/2)))^2/(2*9.81)+B29-(G28+H28^2/(2*9.81))-(A28-A29)*(((DATOS!$B$34*(C29/(D29*((X29+Y29)/2)))/((D29*((X29+Y29)/2))/(D29+2*((X29+Y29)/2)))^(2/3))^2+((DATOS!$B$34*H28/((D28*F28)/(D28+2*F28))^(2/3))^2))/2))&gt;0,X29,((X29+Y29)/2))</f>
        <v/>
      </c>
      <c r="AA29" s="5">
        <f>IF((((X29+Y29)/2)+(C29/(D29*((X29+Y29)/2)))^2/(2*9.81)+B29-(G28+H28^2/(2*9.81))-(A28-A29)*(((DATOS!$B$34*(C29/(D29*((X29+Y29)/2)))/((D29*((X29+Y29)/2))/(D29+2*((X29+Y29)/2)))^(2/3))^2+((DATOS!$B$34*H28/((D28*F28)/(D28+2*F28))^(2/3))^2))/2))&gt;0,((X29+Y29)/2),Y29)</f>
        <v/>
      </c>
      <c r="AB29" s="5">
        <f>IF((((Z29+AA29)/2)+(C29/(D29*((Z29+AA29)/2)))^2/(2*9.81)+B29-(G28+H28^2/(2*9.81))-(A28-A29)*(((DATOS!$B$34*(C29/(D29*((Z29+AA29)/2)))/((D29*((Z29+AA29)/2))/(D29+2*((Z29+AA29)/2)))^(2/3))^2+((DATOS!$B$34*H28/((D28*F28)/(D28+2*F28))^(2/3))^2))/2))&gt;0,Z29,((Z29+AA29)/2))</f>
        <v/>
      </c>
      <c r="AC29" s="5">
        <f>IF((((Z29+AA29)/2)+(C29/(D29*((Z29+AA29)/2)))^2/(2*9.81)+B29-(G28+H28^2/(2*9.81))-(A28-A29)*(((DATOS!$B$34*(C29/(D29*((Z29+AA29)/2)))/((D29*((Z29+AA29)/2))/(D29+2*((Z29+AA29)/2)))^(2/3))^2+((DATOS!$B$34*H28/((D28*F28)/(D28+2*F28))^(2/3))^2))/2))&gt;0,((Z29+AA29)/2),AA29)</f>
        <v/>
      </c>
      <c r="AD29" s="5">
        <f>IF((((AB29+AC29)/2)+(C29/(D29*((AB29+AC29)/2)))^2/(2*9.81)+B29-(G28+H28^2/(2*9.81))-(A28-A29)*(((DATOS!$B$34*(C29/(D29*((AB29+AC29)/2)))/((D29*((AB29+AC29)/2))/(D29+2*((AB29+AC29)/2)))^(2/3))^2+((DATOS!$B$34*H28/((D28*F28)/(D28+2*F28))^(2/3))^2))/2))&gt;0,AB29,((AB29+AC29)/2))</f>
        <v/>
      </c>
      <c r="AE29" s="5">
        <f>IF((((AB29+AC29)/2)+(C29/(D29*((AB29+AC29)/2)))^2/(2*9.81)+B29-(G28+H28^2/(2*9.81))-(A28-A29)*(((DATOS!$B$34*(C29/(D29*((AB29+AC29)/2)))/((D29*((AB29+AC29)/2))/(D29+2*((AB29+AC29)/2)))^(2/3))^2+((DATOS!$B$34*H28/((D28*F28)/(D28+2*F28))^(2/3))^2))/2))&gt;0,((AB29+AC29)/2),AC29)</f>
        <v/>
      </c>
      <c r="AF29" s="5">
        <f>IF((((AD29+AE29)/2)+(C29/(D29*((AD29+AE29)/2)))^2/(2*9.81)+B29-(G28+H28^2/(2*9.81))-(A28-A29)*(((DATOS!$B$34*(C29/(D29*((AD29+AE29)/2)))/((D29*((AD29+AE29)/2))/(D29+2*((AD29+AE29)/2)))^(2/3))^2+((DATOS!$B$34*H28/((D28*F28)/(D28+2*F28))^(2/3))^2))/2))&gt;0,AD29,((AD29+AE29)/2))</f>
        <v/>
      </c>
      <c r="AG29" s="5">
        <f>IF((((AD29+AE29)/2)+(C29/(D29*((AD29+AE29)/2)))^2/(2*9.81)+B29-(G28+H28^2/(2*9.81))-(A28-A29)*(((DATOS!$B$34*(C29/(D29*((AD29+AE29)/2)))/((D29*((AD29+AE29)/2))/(D29+2*((AD29+AE29)/2)))^(2/3))^2+((DATOS!$B$34*H28/((D28*F28)/(D28+2*F28))^(2/3))^2))/2))&gt;0,((AD29+AE29)/2),AE29)</f>
        <v/>
      </c>
      <c r="AH29" s="5">
        <f>IF((((AF29+AG29)/2)+(C29/(D29*((AF29+AG29)/2)))^2/(2*9.81)+B29-(G28+H28^2/(2*9.81))-(A28-A29)*(((DATOS!$B$34*(C29/(D29*((AF29+AG29)/2)))/((D29*((AF29+AG29)/2))/(D29+2*((AF29+AG29)/2)))^(2/3))^2+((DATOS!$B$34*H28/((D28*F28)/(D28+2*F28))^(2/3))^2))/2))&gt;0,AF29,((AF29+AG29)/2))</f>
        <v/>
      </c>
      <c r="AI29" s="5">
        <f>IF((((AF29+AG29)/2)+(C29/(D29*((AF29+AG29)/2)))^2/(2*9.81)+B29-(G28+H28^2/(2*9.81))-(A28-A29)*(((DATOS!$B$34*(C29/(D29*((AF29+AG29)/2)))/((D29*((AF29+AG29)/2))/(D29+2*((AF29+AG29)/2)))^(2/3))^2+((DATOS!$B$34*H28/((D28*F28)/(D28+2*F28))^(2/3))^2))/2))&gt;0,((AF29+AG29)/2),AG29)</f>
        <v/>
      </c>
      <c r="AJ29" s="5">
        <f>IF((((AH29+AI29)/2)+(C29/(D29*((AH29+AI29)/2)))^2/(2*9.81)+B29-(G28+H28^2/(2*9.81))-(A28-A29)*(((DATOS!$B$34*(C29/(D29*((AH29+AI29)/2)))/((D29*((AH29+AI29)/2))/(D29+2*((AH29+AI29)/2)))^(2/3))^2+((DATOS!$B$34*H28/((D28*F28)/(D28+2*F28))^(2/3))^2))/2))&gt;0,AH29,((AH29+AI29)/2))</f>
        <v/>
      </c>
      <c r="AK29" s="5">
        <f>IF((((AH29+AI29)/2)+(C29/(D29*((AH29+AI29)/2)))^2/(2*9.81)+B29-(G28+H28^2/(2*9.81))-(A28-A29)*(((DATOS!$B$34*(C29/(D29*((AH29+AI29)/2)))/((D29*((AH29+AI29)/2))/(D29+2*((AH29+AI29)/2)))^(2/3))^2+((DATOS!$B$34*H28/((D28*F28)/(D28+2*F28))^(2/3))^2))/2))&gt;0,((AH29+AI29)/2),AI29)</f>
        <v/>
      </c>
      <c r="AL29" s="5">
        <f>IF((((AJ29+AK29)/2)+(C29/(D29*((AJ29+AK29)/2)))^2/(2*9.81)+B29-(G28+H28^2/(2*9.81))-(A28-A29)*(((DATOS!$B$34*(C29/(D29*((AJ29+AK29)/2)))/((D29*((AJ29+AK29)/2))/(D29+2*((AJ29+AK29)/2)))^(2/3))^2+((DATOS!$B$34*H28/((D28*F28)/(D28+2*F28))^(2/3))^2))/2))&gt;0,AJ29,((AJ29+AK29)/2))</f>
        <v/>
      </c>
      <c r="AM29" s="5">
        <f>IF((((AJ29+AK29)/2)+(C29/(D29*((AJ29+AK29)/2)))^2/(2*9.81)+B29-(G28+H28^2/(2*9.81))-(A28-A29)*(((DATOS!$B$34*(C29/(D29*((AJ29+AK29)/2)))/((D29*((AJ29+AK29)/2))/(D29+2*((AJ29+AK29)/2)))^(2/3))^2+((DATOS!$B$34*H28/((D28*F28)/(D28+2*F28))^(2/3))^2))/2))&gt;0,((AJ29+AK29)/2),AK29)</f>
        <v/>
      </c>
      <c r="AN29" s="5">
        <f>IF((((AL29+AM29)/2)+(C29/(D29*((AL29+AM29)/2)))^2/(2*9.81)+B29-(G28+H28^2/(2*9.81))-(A28-A29)*(((DATOS!$B$34*(C29/(D29*((AL29+AM29)/2)))/((D29*((AL29+AM29)/2))/(D29+2*((AL29+AM29)/2)))^(2/3))^2+((DATOS!$B$34*H28/((D28*F28)/(D28+2*F28))^(2/3))^2))/2))&gt;0,AL29,((AL29+AM29)/2))</f>
        <v/>
      </c>
      <c r="AO29" s="5">
        <f>IF((((AL29+AM29)/2)+(C29/(D29*((AL29+AM29)/2)))^2/(2*9.81)+B29-(G28+H28^2/(2*9.81))-(A28-A29)*(((DATOS!$B$34*(C29/(D29*((AL29+AM29)/2)))/((D29*((AL29+AM29)/2))/(D29+2*((AL29+AM29)/2)))^(2/3))^2+((DATOS!$B$34*H28/((D28*F28)/(D28+2*F28))^(2/3))^2))/2))&gt;0,((AL29+AM29)/2),AM29)</f>
        <v/>
      </c>
      <c r="AP29" s="5">
        <f>IF((((AN29+AO29)/2)+(C29/(D29*((AN29+AO29)/2)))^2/(2*9.81)+B29-(G28+H28^2/(2*9.81))-(A28-A29)*(((DATOS!$B$34*(C29/(D29*((AN29+AO29)/2)))/((D29*((AN29+AO29)/2))/(D29+2*((AN29+AO29)/2)))^(2/3))^2+((DATOS!$B$34*H28/((D28*F28)/(D28+2*F28))^(2/3))^2))/2))&gt;0,AN29,((AN29+AO29)/2))</f>
        <v/>
      </c>
      <c r="AQ29" s="5">
        <f>IF((((AN29+AO29)/2)+(C29/(D29*((AN29+AO29)/2)))^2/(2*9.81)+B29-(G28+H28^2/(2*9.81))-(A28-A29)*(((DATOS!$B$34*(C29/(D29*((AN29+AO29)/2)))/((D29*((AN29+AO29)/2))/(D29+2*((AN29+AO29)/2)))^(2/3))^2+((DATOS!$B$34*H28/((D28*F28)/(D28+2*F28))^(2/3))^2))/2))&gt;0,((AN29+AO29)/2),AO29)</f>
        <v/>
      </c>
      <c r="AR29" s="5">
        <f>IF((((AP29+AQ29)/2)+(C29/(D29*((AP29+AQ29)/2)))^2/(2*9.81)+B29-(G28+H28^2/(2*9.81))-(A28-A29)*(((DATOS!$B$34*(C29/(D29*((AP29+AQ29)/2)))/((D29*((AP29+AQ29)/2))/(D29+2*((AP29+AQ29)/2)))^(2/3))^2+((DATOS!$B$34*H28/((D28*F28)/(D28+2*F28))^(2/3))^2))/2))&gt;0,AP29,((AP29+AQ29)/2))</f>
        <v/>
      </c>
      <c r="AS29" s="5">
        <f>IF((((AP29+AQ29)/2)+(C29/(D29*((AP29+AQ29)/2)))^2/(2*9.81)+B29-(G28+H28^2/(2*9.81))-(A28-A29)*(((DATOS!$B$34*(C29/(D29*((AP29+AQ29)/2)))/((D29*((AP29+AQ29)/2))/(D29+2*((AP29+AQ29)/2)))^(2/3))^2+((DATOS!$B$34*H28/((D28*F28)/(D28+2*F28))^(2/3))^2))/2))&gt;0,((AP29+AQ29)/2),AQ29)</f>
        <v/>
      </c>
      <c r="AT29" s="5">
        <f>IF((((AR29+AS29)/2)+(C29/(D29*((AR29+AS29)/2)))^2/(2*9.81)+B29-(G28+H28^2/(2*9.81))-(A28-A29)*(((DATOS!$B$34*(C29/(D29*((AR29+AS29)/2)))/((D29*((AR29+AS29)/2))/(D29+2*((AR29+AS29)/2)))^(2/3))^2+((DATOS!$B$34*H28/((D28*F28)/(D28+2*F28))^(2/3))^2))/2))&gt;0,AR29,((AR29+AS29)/2))</f>
        <v/>
      </c>
      <c r="AU29" s="5">
        <f>IF((((AR29+AS29)/2)+(C29/(D29*((AR29+AS29)/2)))^2/(2*9.81)+B29-(G28+H28^2/(2*9.81))-(A28-A29)*(((DATOS!$B$34*(C29/(D29*((AR29+AS29)/2)))/((D29*((AR29+AS29)/2))/(D29+2*((AR29+AS29)/2)))^(2/3))^2+((DATOS!$B$34*H28/((D28*F28)/(D28+2*F28))^(2/3))^2))/2))&gt;0,((AR29+AS29)/2),AS29)</f>
        <v/>
      </c>
      <c r="AV29" s="5">
        <f>IF((((AT29+AU29)/2)+(C29/(D29*((AT29+AU29)/2)))^2/(2*9.81)+B29-(G28+H28^2/(2*9.81))-(A28-A29)*(((DATOS!$B$34*(C29/(D29*((AT29+AU29)/2)))/((D29*((AT29+AU29)/2))/(D29+2*((AT29+AU29)/2)))^(2/3))^2+((DATOS!$B$34*H28/((D28*F28)/(D28+2*F28))^(2/3))^2))/2))&gt;0,AT29,((AT29+AU29)/2))</f>
        <v/>
      </c>
      <c r="AW29" s="5">
        <f>IF((((AT29+AU29)/2)+(C29/(D29*((AT29+AU29)/2)))^2/(2*9.81)+B29-(G28+H28^2/(2*9.81))-(A28-A29)*(((DATOS!$B$34*(C29/(D29*((AT29+AU29)/2)))/((D29*((AT29+AU29)/2))/(D29+2*((AT29+AU29)/2)))^(2/3))^2+((DATOS!$B$34*H28/((D28*F28)/(D28+2*F28))^(2/3))^2))/2))&gt;0,((AT29+AU29)/2),AU29)</f>
        <v/>
      </c>
      <c r="AX29" s="5">
        <f>IF((((AV29+AW29)/2)+(C29/(D29*((AV29+AW29)/2)))^2/(2*9.81)+B29-(G28+H28^2/(2*9.81))-(A28-A29)*(((DATOS!$B$34*(C29/(D29*((AV29+AW29)/2)))/((D29*((AV29+AW29)/2))/(D29+2*((AV29+AW29)/2)))^(2/3))^2+((DATOS!$B$34*H28/((D28*F28)/(D28+2*F28))^(2/3))^2))/2))&gt;0,AV29,((AV29+AW29)/2))</f>
        <v/>
      </c>
      <c r="AY29" s="5">
        <f>IF((((AV29+AW29)/2)+(C29/(D29*((AV29+AW29)/2)))^2/(2*9.81)+B29-(G28+H28^2/(2*9.81))-(A28-A29)*(((DATOS!$B$34*(C29/(D29*((AV29+AW29)/2)))/((D29*((AV29+AW29)/2))/(D29+2*((AV29+AW29)/2)))^(2/3))^2+((DATOS!$B$34*H28/((D28*F28)/(D28+2*F28))^(2/3))^2))/2))&gt;0,((AV29+AW29)/2),AW29)</f>
        <v/>
      </c>
      <c r="AZ29" s="5">
        <f>IF((((AX29+AY29)/2)+(C29/(D29*((AX29+AY29)/2)))^2/(2*9.81)+B29-(G28+H28^2/(2*9.81))-(A28-A29)*(((DATOS!$B$34*(C29/(D29*((AX29+AY29)/2)))/((D29*((AX29+AY29)/2))/(D29+2*((AX29+AY29)/2)))^(2/3))^2+((DATOS!$B$34*H28/((D28*F28)/(D28+2*F28))^(2/3))^2))/2))&gt;0,AX29,((AX29+AY29)/2))</f>
        <v/>
      </c>
      <c r="BA29" s="5">
        <f>IF((((AX29+AY29)/2)+(C29/(D29*((AX29+AY29)/2)))^2/(2*9.81)+B29-(G28+H28^2/(2*9.81))-(A28-A29)*(((DATOS!$B$34*(C29/(D29*((AX29+AY29)/2)))/((D29*((AX29+AY29)/2))/(D29+2*((AX29+AY29)/2)))^(2/3))^2+((DATOS!$B$34*H28/((D28*F28)/(D28+2*F28))^(2/3))^2))/2))&gt;0,((AX29+AY29)/2),AY29)</f>
        <v/>
      </c>
      <c r="BB29" s="5">
        <f>IF((((AZ29+BA29)/2)+(C29/(D29*((AZ29+BA29)/2)))^2/(2*9.81)+B29-(G28+H28^2/(2*9.81))-(A28-A29)*(((DATOS!$B$34*(C29/(D29*((AZ29+BA29)/2)))/((D29*((AZ29+BA29)/2))/(D29+2*((AZ29+BA29)/2)))^(2/3))^2+((DATOS!$B$34*H28/((D28*F28)/(D28+2*F28))^(2/3))^2))/2))&gt;0,AZ29,((AZ29+BA29)/2))</f>
        <v/>
      </c>
      <c r="BC29" s="5">
        <f>IF((((AZ29+BA29)/2)+(C29/(D29*((AZ29+BA29)/2)))^2/(2*9.81)+B29-(G28+H28^2/(2*9.81))-(A28-A29)*(((DATOS!$B$34*(C29/(D29*((AZ29+BA29)/2)))/((D29*((AZ29+BA29)/2))/(D29+2*((AZ29+BA29)/2)))^(2/3))^2+((DATOS!$B$34*H28/((D28*F28)/(D28+2*F28))^(2/3))^2))/2))&gt;0,((AZ29+BA29)/2),BA29)</f>
        <v/>
      </c>
      <c r="BD29" s="5">
        <f>IF((((BB29+BC29)/2)+(C29/(D29*((BB29+BC29)/2)))^2/(2*9.81)+B29-(G28+H28^2/(2*9.81))-(A28-A29)*(((DATOS!$B$34*(C29/(D29*((BB29+BC29)/2)))/((D29*((BB29+BC29)/2))/(D29+2*((BB29+BC29)/2)))^(2/3))^2+((DATOS!$B$34*H28/((D28*F28)/(D28+2*F28))^(2/3))^2))/2))&gt;0,BB29,((BB29+BC29)/2))</f>
        <v/>
      </c>
      <c r="BE29" s="5">
        <f>IF((((BB29+BC29)/2)+(C29/(D29*((BB29+BC29)/2)))^2/(2*9.81)+B29-(G28+H28^2/(2*9.81))-(A28-A29)*(((DATOS!$B$34*(C29/(D29*((BB29+BC29)/2)))/((D29*((BB29+BC29)/2))/(D29+2*((BB29+BC29)/2)))^(2/3))^2+((DATOS!$B$34*H28/((D28*F28)/(D28+2*F28))^(2/3))^2))/2))&gt;0,((BB29+BC29)/2),BC29)</f>
        <v/>
      </c>
      <c r="BF29" s="5">
        <f>IF((((BD29+BE29)/2)+(C29/(D29*((BD29+BE29)/2)))^2/(2*9.81)+B29-(G28+H28^2/(2*9.81))-(A28-A29)*(((DATOS!$B$34*(C29/(D29*((BD29+BE29)/2)))/((D29*((BD29+BE29)/2))/(D29+2*((BD29+BE29)/2)))^(2/3))^2+((DATOS!$B$34*H28/((D28*F28)/(D28+2*F28))^(2/3))^2))/2))&gt;0,BD29,((BD29+BE29)/2))</f>
        <v/>
      </c>
      <c r="BG29" s="5">
        <f>IF((((BD29+BE29)/2)+(C29/(D29*((BD29+BE29)/2)))^2/(2*9.81)+B29-(G28+H28^2/(2*9.81))-(A28-A29)*(((DATOS!$B$34*(C29/(D29*((BD29+BE29)/2)))/((D29*((BD29+BE29)/2))/(D29+2*((BD29+BE29)/2)))^(2/3))^2+((DATOS!$B$34*H28/((D28*F28)/(D28+2*F28))^(2/3))^2))/2))&gt;0,((BD29+BE29)/2),BE29)</f>
        <v/>
      </c>
      <c r="BH29" s="5">
        <f>IF((((BF29+BG29)/2)+(C29/(D29*((BF29+BG29)/2)))^2/(2*9.81)+B29-(G28+H28^2/(2*9.81))-(A28-A29)*(((DATOS!$B$34*(C29/(D29*((BF29+BG29)/2)))/((D29*((BF29+BG29)/2))/(D29+2*((BF29+BG29)/2)))^(2/3))^2+((DATOS!$B$34*H28/((D28*F28)/(D28+2*F28))^(2/3))^2))/2))&gt;0,BF29,((BF29+BG29)/2))</f>
        <v/>
      </c>
      <c r="BI29" s="5">
        <f>IF((((BF29+BG29)/2)+(C29/(D29*((BF29+BG29)/2)))^2/(2*9.81)+B29-(G28+H28^2/(2*9.81))-(A28-A29)*(((DATOS!$B$34*(C29/(D29*((BF29+BG29)/2)))/((D29*((BF29+BG29)/2))/(D29+2*((BF29+BG29)/2)))^(2/3))^2+((DATOS!$B$34*H28/((D28*F28)/(D28+2*F28))^(2/3))^2))/2))&gt;0,((BF29+BG29)/2),BG29)</f>
        <v/>
      </c>
      <c r="BJ29" s="5">
        <f>IF((((BH29+BI29)/2)+(C29/(D29*((BH29+BI29)/2)))^2/(2*9.81)+B29-(G28+H28^2/(2*9.81))-(A28-A29)*(((DATOS!$B$34*(C29/(D29*((BH29+BI29)/2)))/((D29*((BH29+BI29)/2))/(D29+2*((BH29+BI29)/2)))^(2/3))^2+((DATOS!$B$34*H28/((D28*F28)/(D28+2*F28))^(2/3))^2))/2))&gt;0,BH29,((BH29+BI29)/2))</f>
        <v/>
      </c>
      <c r="BK29" s="5">
        <f>IF((((BH29+BI29)/2)+(C29/(D29*((BH29+BI29)/2)))^2/(2*9.81)+B29-(G28+H28^2/(2*9.81))-(A28-A29)*(((DATOS!$B$34*(C29/(D29*((BH29+BI29)/2)))/((D29*((BH29+BI29)/2))/(D29+2*((BH29+BI29)/2)))^(2/3))^2+((DATOS!$B$34*H28/((D28*F28)/(D28+2*F28))^(2/3))^2))/2))&gt;0,((BH29+BI29)/2),BI29)</f>
        <v/>
      </c>
      <c r="BL29" s="5">
        <f>IF((((BJ29+BK29)/2)+(C29/(D29*((BJ29+BK29)/2)))^2/(2*9.81)+B29-(G28+H28^2/(2*9.81))-(A28-A29)*(((DATOS!$B$34*(C29/(D29*((BJ29+BK29)/2)))/((D29*((BJ29+BK29)/2))/(D29+2*((BJ29+BK29)/2)))^(2/3))^2+((DATOS!$B$34*H28/((D28*F28)/(D28+2*F28))^(2/3))^2))/2))&gt;0,BJ29,((BJ29+BK29)/2))</f>
        <v/>
      </c>
      <c r="BM29" s="5">
        <f>IF((((BJ29+BK29)/2)+(C29/(D29*((BJ29+BK29)/2)))^2/(2*9.81)+B29-(G28+H28^2/(2*9.81))-(A28-A29)*(((DATOS!$B$34*(C29/(D29*((BJ29+BK29)/2)))/((D29*((BJ29+BK29)/2))/(D29+2*((BJ29+BK29)/2)))^(2/3))^2+((DATOS!$B$34*H28/((D28*F28)/(D28+2*F28))^(2/3))^2))/2))&gt;0,((BJ29+BK29)/2),BK29)</f>
        <v/>
      </c>
      <c r="BN29" s="5">
        <f>IF((((BL29+BM29)/2)+(C29/(D29*((BL29+BM29)/2)))^2/(2*9.81)+B29-(G28+H28^2/(2*9.81))-(A28-A29)*(((DATOS!$B$34*(C29/(D29*((BL29+BM29)/2)))/((D29*((BL29+BM29)/2))/(D29+2*((BL29+BM29)/2)))^(2/3))^2+((DATOS!$B$34*H28/((D28*F28)/(D28+2*F28))^(2/3))^2))/2))&gt;0,BL29,((BL29+BM29)/2))</f>
        <v/>
      </c>
      <c r="BO29" s="5">
        <f>IF((((BL29+BM29)/2)+(C29/(D29*((BL29+BM29)/2)))^2/(2*9.81)+B29-(G28+H28^2/(2*9.81))-(A28-A29)*(((DATOS!$B$34*(C29/(D29*((BL29+BM29)/2)))/((D29*((BL29+BM29)/2))/(D29+2*((BL29+BM29)/2)))^(2/3))^2+((DATOS!$B$34*H28/((D28*F28)/(D28+2*F28))^(2/3))^2))/2))&gt;0,((BL29+BM29)/2),BM29)</f>
        <v/>
      </c>
      <c r="BP29" s="5">
        <f>IF((((BN29+BO29)/2)+(C29/(D29*((BN29+BO29)/2)))^2/(2*9.81)+B29-(G28+H28^2/(2*9.81))-(A28-A29)*(((DATOS!$B$34*(C29/(D29*((BN29+BO29)/2)))/((D29*((BN29+BO29)/2))/(D29+2*((BN29+BO29)/2)))^(2/3))^2+((DATOS!$B$34*H28/((D28*F28)/(D28+2*F28))^(2/3))^2))/2))&gt;0,BN29,((BN29+BO29)/2))</f>
        <v/>
      </c>
      <c r="BQ29" s="5">
        <f>IF((((BN29+BO29)/2)+(C29/(D29*((BN29+BO29)/2)))^2/(2*9.81)+B29-(G28+H28^2/(2*9.81))-(A28-A29)*(((DATOS!$B$34*(C29/(D29*((BN29+BO29)/2)))/((D29*((BN29+BO29)/2))/(D29+2*((BN29+BO29)/2)))^(2/3))^2+((DATOS!$B$34*H28/((D28*F28)/(D28+2*F28))^(2/3))^2))/2))&gt;0,((BN29+BO29)/2),BO29)</f>
        <v/>
      </c>
      <c r="BR29" s="5">
        <f>IF((((BP29+BQ29)/2)+(C29/(D29*((BP29+BQ29)/2)))^2/(2*9.81)+B29-(G28+H28^2/(2*9.81))-(A28-A29)*(((DATOS!$B$34*(C29/(D29*((BP29+BQ29)/2)))/((D29*((BP29+BQ29)/2))/(D29+2*((BP29+BQ29)/2)))^(2/3))^2+((DATOS!$B$34*H28/((D28*F28)/(D28+2*F28))^(2/3))^2))/2))&gt;0,BP29,((BP29+BQ29)/2))</f>
        <v/>
      </c>
      <c r="BS29" s="5">
        <f>IF((((BP29+BQ29)/2)+(C29/(D29*((BP29+BQ29)/2)))^2/(2*9.81)+B29-(G28+H28^2/(2*9.81))-(A28-A29)*(((DATOS!$B$34*(C29/(D29*((BP29+BQ29)/2)))/((D29*((BP29+BQ29)/2))/(D29+2*((BP29+BQ29)/2)))^(2/3))^2+((DATOS!$B$34*H28/((D28*F28)/(D28+2*F28))^(2/3))^2))/2))&gt;0,((BP29+BQ29)/2),BQ29)</f>
        <v/>
      </c>
      <c r="BT29" s="5">
        <f>IF((((BR29+BS29)/2)+(C29/(D29*((BR29+BS29)/2)))^2/(2*9.81)+B29-(G28+H28^2/(2*9.81))-(A28-A29)*(((DATOS!$B$34*(C29/(D29*((BR29+BS29)/2)))/((D29*((BR29+BS29)/2))/(D29+2*((BR29+BS29)/2)))^(2/3))^2+((DATOS!$B$34*H28/((D28*F28)/(D28+2*F28))^(2/3))^2))/2))&gt;0,BR29,((BR29+BS29)/2))</f>
        <v/>
      </c>
      <c r="BU29" s="5">
        <f>IF((((BR29+BS29)/2)+(C29/(D29*((BR29+BS29)/2)))^2/(2*9.81)+B29-(G28+H28^2/(2*9.81))-(A28-A29)*(((DATOS!$B$34*(C29/(D29*((BR29+BS29)/2)))/((D29*((BR29+BS29)/2))/(D29+2*((BR29+BS29)/2)))^(2/3))^2+((DATOS!$B$34*H28/((D28*F28)/(D28+2*F28))^(2/3))^2))/2))&gt;0,((BR29+BS29)/2),BS29)</f>
        <v/>
      </c>
      <c r="BV29" s="5">
        <f>IF((((BT29+BU29)/2)+(C29/(D29*((BT29+BU29)/2)))^2/(2*9.81)+B29-(G28+H28^2/(2*9.81))-(A28-A29)*(((DATOS!$B$34*(C29/(D29*((BT29+BU29)/2)))/((D29*((BT29+BU29)/2))/(D29+2*((BT29+BU29)/2)))^(2/3))^2+((DATOS!$B$34*H28/((D28*F28)/(D28+2*F28))^(2/3))^2))/2))&gt;0,BT29,((BT29+BU29)/2))</f>
        <v/>
      </c>
      <c r="BW29" s="5">
        <f>IF((((BT29+BU29)/2)+(C29/(D29*((BT29+BU29)/2)))^2/(2*9.81)+B29-(G28+H28^2/(2*9.81))-(A28-A29)*(((DATOS!$B$34*(C29/(D29*((BT29+BU29)/2)))/((D29*((BT29+BU29)/2))/(D29+2*((BT29+BU29)/2)))^(2/3))^2+((DATOS!$B$34*H28/((D28*F28)/(D28+2*F28))^(2/3))^2))/2))&gt;0,((BT29+BU29)/2),BU29)</f>
        <v/>
      </c>
    </row>
    <row r="30">
      <c r="A30" s="13" t="n">
        <v>52</v>
      </c>
      <c r="B30" s="16">
        <f>DATOS!$B$22-DATOS!$B$23*A30</f>
        <v/>
      </c>
      <c r="C30" s="24">
        <f>CAUDALES!$B$13</f>
        <v/>
      </c>
      <c r="D30" s="17">
        <f>DATOS!$B$17</f>
        <v/>
      </c>
      <c r="E30" s="16">
        <f>(C30^2/(9.81*D30^2))^(1/3)</f>
        <v/>
      </c>
      <c r="F30" s="16">
        <f>(BV30+BW30)/2</f>
        <v/>
      </c>
      <c r="G30" s="16">
        <f>B30+F30</f>
        <v/>
      </c>
      <c r="H30" s="19">
        <f>C30/(D30*F30)</f>
        <v/>
      </c>
      <c r="I30" s="19">
        <f>H30/SQRT(9.81*F30)</f>
        <v/>
      </c>
      <c r="J30" s="16">
        <f>DATOS!$B$29-IF(AND(A30&gt;=DATOS!$B$30,A30&lt;DATOS!$B$31),DATOS!$B$21,DATOS!$B$20)</f>
        <v/>
      </c>
      <c r="K30" s="19">
        <f>J30-B30</f>
        <v/>
      </c>
      <c r="L30" s="19">
        <f>F30/K30</f>
        <v/>
      </c>
      <c r="M30" s="16">
        <f>J30-G30</f>
        <v/>
      </c>
      <c r="N30" s="5">
        <f>IF(AND(L30&lt;=DATOS!$B$36,M30&gt;=DATOS!$B$37,I30&lt;=1),"CUMPLE","NO CUMPLE")</f>
        <v/>
      </c>
      <c r="O30" s="5">
        <f>IF(AND(A30&gt;=DATOS!$B$30,A30&lt;DATOS!$B$31),"cruce de camiones",IF(AND(A30&gt;=DATOS!$B$32,A30&lt;DATOS!$B$33),"cruce de motos","tramo normal"))</f>
        <v/>
      </c>
      <c r="P30" s="5">
        <f>E30*1.001</f>
        <v/>
      </c>
      <c r="Q30" s="13" t="n">
        <v>3</v>
      </c>
      <c r="R30" s="5">
        <f>IF((((P30+Q30)/2)+(C30/(D30*((P30+Q30)/2)))^2/(2*9.81)+B30-(G29+H29^2/(2*9.81))-(A29-A30)*(((DATOS!$B$34*(C30/(D30*((P30+Q30)/2)))/((D30*((P30+Q30)/2))/(D30+2*((P30+Q30)/2)))^(2/3))^2+((DATOS!$B$34*H29/((D29*F29)/(D29+2*F29))^(2/3))^2))/2))&gt;0,P30,((P30+Q30)/2))</f>
        <v/>
      </c>
      <c r="S30" s="5">
        <f>IF((((P30+Q30)/2)+(C30/(D30*((P30+Q30)/2)))^2/(2*9.81)+B30-(G29+H29^2/(2*9.81))-(A29-A30)*(((DATOS!$B$34*(C30/(D30*((P30+Q30)/2)))/((D30*((P30+Q30)/2))/(D30+2*((P30+Q30)/2)))^(2/3))^2+((DATOS!$B$34*H29/((D29*F29)/(D29+2*F29))^(2/3))^2))/2))&gt;0,((P30+Q30)/2),Q30)</f>
        <v/>
      </c>
      <c r="T30" s="5">
        <f>IF((((R30+S30)/2)+(C30/(D30*((R30+S30)/2)))^2/(2*9.81)+B30-(G29+H29^2/(2*9.81))-(A29-A30)*(((DATOS!$B$34*(C30/(D30*((R30+S30)/2)))/((D30*((R30+S30)/2))/(D30+2*((R30+S30)/2)))^(2/3))^2+((DATOS!$B$34*H29/((D29*F29)/(D29+2*F29))^(2/3))^2))/2))&gt;0,R30,((R30+S30)/2))</f>
        <v/>
      </c>
      <c r="U30" s="5">
        <f>IF((((R30+S30)/2)+(C30/(D30*((R30+S30)/2)))^2/(2*9.81)+B30-(G29+H29^2/(2*9.81))-(A29-A30)*(((DATOS!$B$34*(C30/(D30*((R30+S30)/2)))/((D30*((R30+S30)/2))/(D30+2*((R30+S30)/2)))^(2/3))^2+((DATOS!$B$34*H29/((D29*F29)/(D29+2*F29))^(2/3))^2))/2))&gt;0,((R30+S30)/2),S30)</f>
        <v/>
      </c>
      <c r="V30" s="5">
        <f>IF((((T30+U30)/2)+(C30/(D30*((T30+U30)/2)))^2/(2*9.81)+B30-(G29+H29^2/(2*9.81))-(A29-A30)*(((DATOS!$B$34*(C30/(D30*((T30+U30)/2)))/((D30*((T30+U30)/2))/(D30+2*((T30+U30)/2)))^(2/3))^2+((DATOS!$B$34*H29/((D29*F29)/(D29+2*F29))^(2/3))^2))/2))&gt;0,T30,((T30+U30)/2))</f>
        <v/>
      </c>
      <c r="W30" s="5">
        <f>IF((((T30+U30)/2)+(C30/(D30*((T30+U30)/2)))^2/(2*9.81)+B30-(G29+H29^2/(2*9.81))-(A29-A30)*(((DATOS!$B$34*(C30/(D30*((T30+U30)/2)))/((D30*((T30+U30)/2))/(D30+2*((T30+U30)/2)))^(2/3))^2+((DATOS!$B$34*H29/((D29*F29)/(D29+2*F29))^(2/3))^2))/2))&gt;0,((T30+U30)/2),U30)</f>
        <v/>
      </c>
      <c r="X30" s="5">
        <f>IF((((V30+W30)/2)+(C30/(D30*((V30+W30)/2)))^2/(2*9.81)+B30-(G29+H29^2/(2*9.81))-(A29-A30)*(((DATOS!$B$34*(C30/(D30*((V30+W30)/2)))/((D30*((V30+W30)/2))/(D30+2*((V30+W30)/2)))^(2/3))^2+((DATOS!$B$34*H29/((D29*F29)/(D29+2*F29))^(2/3))^2))/2))&gt;0,V30,((V30+W30)/2))</f>
        <v/>
      </c>
      <c r="Y30" s="5">
        <f>IF((((V30+W30)/2)+(C30/(D30*((V30+W30)/2)))^2/(2*9.81)+B30-(G29+H29^2/(2*9.81))-(A29-A30)*(((DATOS!$B$34*(C30/(D30*((V30+W30)/2)))/((D30*((V30+W30)/2))/(D30+2*((V30+W30)/2)))^(2/3))^2+((DATOS!$B$34*H29/((D29*F29)/(D29+2*F29))^(2/3))^2))/2))&gt;0,((V30+W30)/2),W30)</f>
        <v/>
      </c>
      <c r="Z30" s="5">
        <f>IF((((X30+Y30)/2)+(C30/(D30*((X30+Y30)/2)))^2/(2*9.81)+B30-(G29+H29^2/(2*9.81))-(A29-A30)*(((DATOS!$B$34*(C30/(D30*((X30+Y30)/2)))/((D30*((X30+Y30)/2))/(D30+2*((X30+Y30)/2)))^(2/3))^2+((DATOS!$B$34*H29/((D29*F29)/(D29+2*F29))^(2/3))^2))/2))&gt;0,X30,((X30+Y30)/2))</f>
        <v/>
      </c>
      <c r="AA30" s="5">
        <f>IF((((X30+Y30)/2)+(C30/(D30*((X30+Y30)/2)))^2/(2*9.81)+B30-(G29+H29^2/(2*9.81))-(A29-A30)*(((DATOS!$B$34*(C30/(D30*((X30+Y30)/2)))/((D30*((X30+Y30)/2))/(D30+2*((X30+Y30)/2)))^(2/3))^2+((DATOS!$B$34*H29/((D29*F29)/(D29+2*F29))^(2/3))^2))/2))&gt;0,((X30+Y30)/2),Y30)</f>
        <v/>
      </c>
      <c r="AB30" s="5">
        <f>IF((((Z30+AA30)/2)+(C30/(D30*((Z30+AA30)/2)))^2/(2*9.81)+B30-(G29+H29^2/(2*9.81))-(A29-A30)*(((DATOS!$B$34*(C30/(D30*((Z30+AA30)/2)))/((D30*((Z30+AA30)/2))/(D30+2*((Z30+AA30)/2)))^(2/3))^2+((DATOS!$B$34*H29/((D29*F29)/(D29+2*F29))^(2/3))^2))/2))&gt;0,Z30,((Z30+AA30)/2))</f>
        <v/>
      </c>
      <c r="AC30" s="5">
        <f>IF((((Z30+AA30)/2)+(C30/(D30*((Z30+AA30)/2)))^2/(2*9.81)+B30-(G29+H29^2/(2*9.81))-(A29-A30)*(((DATOS!$B$34*(C30/(D30*((Z30+AA30)/2)))/((D30*((Z30+AA30)/2))/(D30+2*((Z30+AA30)/2)))^(2/3))^2+((DATOS!$B$34*H29/((D29*F29)/(D29+2*F29))^(2/3))^2))/2))&gt;0,((Z30+AA30)/2),AA30)</f>
        <v/>
      </c>
      <c r="AD30" s="5">
        <f>IF((((AB30+AC30)/2)+(C30/(D30*((AB30+AC30)/2)))^2/(2*9.81)+B30-(G29+H29^2/(2*9.81))-(A29-A30)*(((DATOS!$B$34*(C30/(D30*((AB30+AC30)/2)))/((D30*((AB30+AC30)/2))/(D30+2*((AB30+AC30)/2)))^(2/3))^2+((DATOS!$B$34*H29/((D29*F29)/(D29+2*F29))^(2/3))^2))/2))&gt;0,AB30,((AB30+AC30)/2))</f>
        <v/>
      </c>
      <c r="AE30" s="5">
        <f>IF((((AB30+AC30)/2)+(C30/(D30*((AB30+AC30)/2)))^2/(2*9.81)+B30-(G29+H29^2/(2*9.81))-(A29-A30)*(((DATOS!$B$34*(C30/(D30*((AB30+AC30)/2)))/((D30*((AB30+AC30)/2))/(D30+2*((AB30+AC30)/2)))^(2/3))^2+((DATOS!$B$34*H29/((D29*F29)/(D29+2*F29))^(2/3))^2))/2))&gt;0,((AB30+AC30)/2),AC30)</f>
        <v/>
      </c>
      <c r="AF30" s="5">
        <f>IF((((AD30+AE30)/2)+(C30/(D30*((AD30+AE30)/2)))^2/(2*9.81)+B30-(G29+H29^2/(2*9.81))-(A29-A30)*(((DATOS!$B$34*(C30/(D30*((AD30+AE30)/2)))/((D30*((AD30+AE30)/2))/(D30+2*((AD30+AE30)/2)))^(2/3))^2+((DATOS!$B$34*H29/((D29*F29)/(D29+2*F29))^(2/3))^2))/2))&gt;0,AD30,((AD30+AE30)/2))</f>
        <v/>
      </c>
      <c r="AG30" s="5">
        <f>IF((((AD30+AE30)/2)+(C30/(D30*((AD30+AE30)/2)))^2/(2*9.81)+B30-(G29+H29^2/(2*9.81))-(A29-A30)*(((DATOS!$B$34*(C30/(D30*((AD30+AE30)/2)))/((D30*((AD30+AE30)/2))/(D30+2*((AD30+AE30)/2)))^(2/3))^2+((DATOS!$B$34*H29/((D29*F29)/(D29+2*F29))^(2/3))^2))/2))&gt;0,((AD30+AE30)/2),AE30)</f>
        <v/>
      </c>
      <c r="AH30" s="5">
        <f>IF((((AF30+AG30)/2)+(C30/(D30*((AF30+AG30)/2)))^2/(2*9.81)+B30-(G29+H29^2/(2*9.81))-(A29-A30)*(((DATOS!$B$34*(C30/(D30*((AF30+AG30)/2)))/((D30*((AF30+AG30)/2))/(D30+2*((AF30+AG30)/2)))^(2/3))^2+((DATOS!$B$34*H29/((D29*F29)/(D29+2*F29))^(2/3))^2))/2))&gt;0,AF30,((AF30+AG30)/2))</f>
        <v/>
      </c>
      <c r="AI30" s="5">
        <f>IF((((AF30+AG30)/2)+(C30/(D30*((AF30+AG30)/2)))^2/(2*9.81)+B30-(G29+H29^2/(2*9.81))-(A29-A30)*(((DATOS!$B$34*(C30/(D30*((AF30+AG30)/2)))/((D30*((AF30+AG30)/2))/(D30+2*((AF30+AG30)/2)))^(2/3))^2+((DATOS!$B$34*H29/((D29*F29)/(D29+2*F29))^(2/3))^2))/2))&gt;0,((AF30+AG30)/2),AG30)</f>
        <v/>
      </c>
      <c r="AJ30" s="5">
        <f>IF((((AH30+AI30)/2)+(C30/(D30*((AH30+AI30)/2)))^2/(2*9.81)+B30-(G29+H29^2/(2*9.81))-(A29-A30)*(((DATOS!$B$34*(C30/(D30*((AH30+AI30)/2)))/((D30*((AH30+AI30)/2))/(D30+2*((AH30+AI30)/2)))^(2/3))^2+((DATOS!$B$34*H29/((D29*F29)/(D29+2*F29))^(2/3))^2))/2))&gt;0,AH30,((AH30+AI30)/2))</f>
        <v/>
      </c>
      <c r="AK30" s="5">
        <f>IF((((AH30+AI30)/2)+(C30/(D30*((AH30+AI30)/2)))^2/(2*9.81)+B30-(G29+H29^2/(2*9.81))-(A29-A30)*(((DATOS!$B$34*(C30/(D30*((AH30+AI30)/2)))/((D30*((AH30+AI30)/2))/(D30+2*((AH30+AI30)/2)))^(2/3))^2+((DATOS!$B$34*H29/((D29*F29)/(D29+2*F29))^(2/3))^2))/2))&gt;0,((AH30+AI30)/2),AI30)</f>
        <v/>
      </c>
      <c r="AL30" s="5">
        <f>IF((((AJ30+AK30)/2)+(C30/(D30*((AJ30+AK30)/2)))^2/(2*9.81)+B30-(G29+H29^2/(2*9.81))-(A29-A30)*(((DATOS!$B$34*(C30/(D30*((AJ30+AK30)/2)))/((D30*((AJ30+AK30)/2))/(D30+2*((AJ30+AK30)/2)))^(2/3))^2+((DATOS!$B$34*H29/((D29*F29)/(D29+2*F29))^(2/3))^2))/2))&gt;0,AJ30,((AJ30+AK30)/2))</f>
        <v/>
      </c>
      <c r="AM30" s="5">
        <f>IF((((AJ30+AK30)/2)+(C30/(D30*((AJ30+AK30)/2)))^2/(2*9.81)+B30-(G29+H29^2/(2*9.81))-(A29-A30)*(((DATOS!$B$34*(C30/(D30*((AJ30+AK30)/2)))/((D30*((AJ30+AK30)/2))/(D30+2*((AJ30+AK30)/2)))^(2/3))^2+((DATOS!$B$34*H29/((D29*F29)/(D29+2*F29))^(2/3))^2))/2))&gt;0,((AJ30+AK30)/2),AK30)</f>
        <v/>
      </c>
      <c r="AN30" s="5">
        <f>IF((((AL30+AM30)/2)+(C30/(D30*((AL30+AM30)/2)))^2/(2*9.81)+B30-(G29+H29^2/(2*9.81))-(A29-A30)*(((DATOS!$B$34*(C30/(D30*((AL30+AM30)/2)))/((D30*((AL30+AM30)/2))/(D30+2*((AL30+AM30)/2)))^(2/3))^2+((DATOS!$B$34*H29/((D29*F29)/(D29+2*F29))^(2/3))^2))/2))&gt;0,AL30,((AL30+AM30)/2))</f>
        <v/>
      </c>
      <c r="AO30" s="5">
        <f>IF((((AL30+AM30)/2)+(C30/(D30*((AL30+AM30)/2)))^2/(2*9.81)+B30-(G29+H29^2/(2*9.81))-(A29-A30)*(((DATOS!$B$34*(C30/(D30*((AL30+AM30)/2)))/((D30*((AL30+AM30)/2))/(D30+2*((AL30+AM30)/2)))^(2/3))^2+((DATOS!$B$34*H29/((D29*F29)/(D29+2*F29))^(2/3))^2))/2))&gt;0,((AL30+AM30)/2),AM30)</f>
        <v/>
      </c>
      <c r="AP30" s="5">
        <f>IF((((AN30+AO30)/2)+(C30/(D30*((AN30+AO30)/2)))^2/(2*9.81)+B30-(G29+H29^2/(2*9.81))-(A29-A30)*(((DATOS!$B$34*(C30/(D30*((AN30+AO30)/2)))/((D30*((AN30+AO30)/2))/(D30+2*((AN30+AO30)/2)))^(2/3))^2+((DATOS!$B$34*H29/((D29*F29)/(D29+2*F29))^(2/3))^2))/2))&gt;0,AN30,((AN30+AO30)/2))</f>
        <v/>
      </c>
      <c r="AQ30" s="5">
        <f>IF((((AN30+AO30)/2)+(C30/(D30*((AN30+AO30)/2)))^2/(2*9.81)+B30-(G29+H29^2/(2*9.81))-(A29-A30)*(((DATOS!$B$34*(C30/(D30*((AN30+AO30)/2)))/((D30*((AN30+AO30)/2))/(D30+2*((AN30+AO30)/2)))^(2/3))^2+((DATOS!$B$34*H29/((D29*F29)/(D29+2*F29))^(2/3))^2))/2))&gt;0,((AN30+AO30)/2),AO30)</f>
        <v/>
      </c>
      <c r="AR30" s="5">
        <f>IF((((AP30+AQ30)/2)+(C30/(D30*((AP30+AQ30)/2)))^2/(2*9.81)+B30-(G29+H29^2/(2*9.81))-(A29-A30)*(((DATOS!$B$34*(C30/(D30*((AP30+AQ30)/2)))/((D30*((AP30+AQ30)/2))/(D30+2*((AP30+AQ30)/2)))^(2/3))^2+((DATOS!$B$34*H29/((D29*F29)/(D29+2*F29))^(2/3))^2))/2))&gt;0,AP30,((AP30+AQ30)/2))</f>
        <v/>
      </c>
      <c r="AS30" s="5">
        <f>IF((((AP30+AQ30)/2)+(C30/(D30*((AP30+AQ30)/2)))^2/(2*9.81)+B30-(G29+H29^2/(2*9.81))-(A29-A30)*(((DATOS!$B$34*(C30/(D30*((AP30+AQ30)/2)))/((D30*((AP30+AQ30)/2))/(D30+2*((AP30+AQ30)/2)))^(2/3))^2+((DATOS!$B$34*H29/((D29*F29)/(D29+2*F29))^(2/3))^2))/2))&gt;0,((AP30+AQ30)/2),AQ30)</f>
        <v/>
      </c>
      <c r="AT30" s="5">
        <f>IF((((AR30+AS30)/2)+(C30/(D30*((AR30+AS30)/2)))^2/(2*9.81)+B30-(G29+H29^2/(2*9.81))-(A29-A30)*(((DATOS!$B$34*(C30/(D30*((AR30+AS30)/2)))/((D30*((AR30+AS30)/2))/(D30+2*((AR30+AS30)/2)))^(2/3))^2+((DATOS!$B$34*H29/((D29*F29)/(D29+2*F29))^(2/3))^2))/2))&gt;0,AR30,((AR30+AS30)/2))</f>
        <v/>
      </c>
      <c r="AU30" s="5">
        <f>IF((((AR30+AS30)/2)+(C30/(D30*((AR30+AS30)/2)))^2/(2*9.81)+B30-(G29+H29^2/(2*9.81))-(A29-A30)*(((DATOS!$B$34*(C30/(D30*((AR30+AS30)/2)))/((D30*((AR30+AS30)/2))/(D30+2*((AR30+AS30)/2)))^(2/3))^2+((DATOS!$B$34*H29/((D29*F29)/(D29+2*F29))^(2/3))^2))/2))&gt;0,((AR30+AS30)/2),AS30)</f>
        <v/>
      </c>
      <c r="AV30" s="5">
        <f>IF((((AT30+AU30)/2)+(C30/(D30*((AT30+AU30)/2)))^2/(2*9.81)+B30-(G29+H29^2/(2*9.81))-(A29-A30)*(((DATOS!$B$34*(C30/(D30*((AT30+AU30)/2)))/((D30*((AT30+AU30)/2))/(D30+2*((AT30+AU30)/2)))^(2/3))^2+((DATOS!$B$34*H29/((D29*F29)/(D29+2*F29))^(2/3))^2))/2))&gt;0,AT30,((AT30+AU30)/2))</f>
        <v/>
      </c>
      <c r="AW30" s="5">
        <f>IF((((AT30+AU30)/2)+(C30/(D30*((AT30+AU30)/2)))^2/(2*9.81)+B30-(G29+H29^2/(2*9.81))-(A29-A30)*(((DATOS!$B$34*(C30/(D30*((AT30+AU30)/2)))/((D30*((AT30+AU30)/2))/(D30+2*((AT30+AU30)/2)))^(2/3))^2+((DATOS!$B$34*H29/((D29*F29)/(D29+2*F29))^(2/3))^2))/2))&gt;0,((AT30+AU30)/2),AU30)</f>
        <v/>
      </c>
      <c r="AX30" s="5">
        <f>IF((((AV30+AW30)/2)+(C30/(D30*((AV30+AW30)/2)))^2/(2*9.81)+B30-(G29+H29^2/(2*9.81))-(A29-A30)*(((DATOS!$B$34*(C30/(D30*((AV30+AW30)/2)))/((D30*((AV30+AW30)/2))/(D30+2*((AV30+AW30)/2)))^(2/3))^2+((DATOS!$B$34*H29/((D29*F29)/(D29+2*F29))^(2/3))^2))/2))&gt;0,AV30,((AV30+AW30)/2))</f>
        <v/>
      </c>
      <c r="AY30" s="5">
        <f>IF((((AV30+AW30)/2)+(C30/(D30*((AV30+AW30)/2)))^2/(2*9.81)+B30-(G29+H29^2/(2*9.81))-(A29-A30)*(((DATOS!$B$34*(C30/(D30*((AV30+AW30)/2)))/((D30*((AV30+AW30)/2))/(D30+2*((AV30+AW30)/2)))^(2/3))^2+((DATOS!$B$34*H29/((D29*F29)/(D29+2*F29))^(2/3))^2))/2))&gt;0,((AV30+AW30)/2),AW30)</f>
        <v/>
      </c>
      <c r="AZ30" s="5">
        <f>IF((((AX30+AY30)/2)+(C30/(D30*((AX30+AY30)/2)))^2/(2*9.81)+B30-(G29+H29^2/(2*9.81))-(A29-A30)*(((DATOS!$B$34*(C30/(D30*((AX30+AY30)/2)))/((D30*((AX30+AY30)/2))/(D30+2*((AX30+AY30)/2)))^(2/3))^2+((DATOS!$B$34*H29/((D29*F29)/(D29+2*F29))^(2/3))^2))/2))&gt;0,AX30,((AX30+AY30)/2))</f>
        <v/>
      </c>
      <c r="BA30" s="5">
        <f>IF((((AX30+AY30)/2)+(C30/(D30*((AX30+AY30)/2)))^2/(2*9.81)+B30-(G29+H29^2/(2*9.81))-(A29-A30)*(((DATOS!$B$34*(C30/(D30*((AX30+AY30)/2)))/((D30*((AX30+AY30)/2))/(D30+2*((AX30+AY30)/2)))^(2/3))^2+((DATOS!$B$34*H29/((D29*F29)/(D29+2*F29))^(2/3))^2))/2))&gt;0,((AX30+AY30)/2),AY30)</f>
        <v/>
      </c>
      <c r="BB30" s="5">
        <f>IF((((AZ30+BA30)/2)+(C30/(D30*((AZ30+BA30)/2)))^2/(2*9.81)+B30-(G29+H29^2/(2*9.81))-(A29-A30)*(((DATOS!$B$34*(C30/(D30*((AZ30+BA30)/2)))/((D30*((AZ30+BA30)/2))/(D30+2*((AZ30+BA30)/2)))^(2/3))^2+((DATOS!$B$34*H29/((D29*F29)/(D29+2*F29))^(2/3))^2))/2))&gt;0,AZ30,((AZ30+BA30)/2))</f>
        <v/>
      </c>
      <c r="BC30" s="5">
        <f>IF((((AZ30+BA30)/2)+(C30/(D30*((AZ30+BA30)/2)))^2/(2*9.81)+B30-(G29+H29^2/(2*9.81))-(A29-A30)*(((DATOS!$B$34*(C30/(D30*((AZ30+BA30)/2)))/((D30*((AZ30+BA30)/2))/(D30+2*((AZ30+BA30)/2)))^(2/3))^2+((DATOS!$B$34*H29/((D29*F29)/(D29+2*F29))^(2/3))^2))/2))&gt;0,((AZ30+BA30)/2),BA30)</f>
        <v/>
      </c>
      <c r="BD30" s="5">
        <f>IF((((BB30+BC30)/2)+(C30/(D30*((BB30+BC30)/2)))^2/(2*9.81)+B30-(G29+H29^2/(2*9.81))-(A29-A30)*(((DATOS!$B$34*(C30/(D30*((BB30+BC30)/2)))/((D30*((BB30+BC30)/2))/(D30+2*((BB30+BC30)/2)))^(2/3))^2+((DATOS!$B$34*H29/((D29*F29)/(D29+2*F29))^(2/3))^2))/2))&gt;0,BB30,((BB30+BC30)/2))</f>
        <v/>
      </c>
      <c r="BE30" s="5">
        <f>IF((((BB30+BC30)/2)+(C30/(D30*((BB30+BC30)/2)))^2/(2*9.81)+B30-(G29+H29^2/(2*9.81))-(A29-A30)*(((DATOS!$B$34*(C30/(D30*((BB30+BC30)/2)))/((D30*((BB30+BC30)/2))/(D30+2*((BB30+BC30)/2)))^(2/3))^2+((DATOS!$B$34*H29/((D29*F29)/(D29+2*F29))^(2/3))^2))/2))&gt;0,((BB30+BC30)/2),BC30)</f>
        <v/>
      </c>
      <c r="BF30" s="5">
        <f>IF((((BD30+BE30)/2)+(C30/(D30*((BD30+BE30)/2)))^2/(2*9.81)+B30-(G29+H29^2/(2*9.81))-(A29-A30)*(((DATOS!$B$34*(C30/(D30*((BD30+BE30)/2)))/((D30*((BD30+BE30)/2))/(D30+2*((BD30+BE30)/2)))^(2/3))^2+((DATOS!$B$34*H29/((D29*F29)/(D29+2*F29))^(2/3))^2))/2))&gt;0,BD30,((BD30+BE30)/2))</f>
        <v/>
      </c>
      <c r="BG30" s="5">
        <f>IF((((BD30+BE30)/2)+(C30/(D30*((BD30+BE30)/2)))^2/(2*9.81)+B30-(G29+H29^2/(2*9.81))-(A29-A30)*(((DATOS!$B$34*(C30/(D30*((BD30+BE30)/2)))/((D30*((BD30+BE30)/2))/(D30+2*((BD30+BE30)/2)))^(2/3))^2+((DATOS!$B$34*H29/((D29*F29)/(D29+2*F29))^(2/3))^2))/2))&gt;0,((BD30+BE30)/2),BE30)</f>
        <v/>
      </c>
      <c r="BH30" s="5">
        <f>IF((((BF30+BG30)/2)+(C30/(D30*((BF30+BG30)/2)))^2/(2*9.81)+B30-(G29+H29^2/(2*9.81))-(A29-A30)*(((DATOS!$B$34*(C30/(D30*((BF30+BG30)/2)))/((D30*((BF30+BG30)/2))/(D30+2*((BF30+BG30)/2)))^(2/3))^2+((DATOS!$B$34*H29/((D29*F29)/(D29+2*F29))^(2/3))^2))/2))&gt;0,BF30,((BF30+BG30)/2))</f>
        <v/>
      </c>
      <c r="BI30" s="5">
        <f>IF((((BF30+BG30)/2)+(C30/(D30*((BF30+BG30)/2)))^2/(2*9.81)+B30-(G29+H29^2/(2*9.81))-(A29-A30)*(((DATOS!$B$34*(C30/(D30*((BF30+BG30)/2)))/((D30*((BF30+BG30)/2))/(D30+2*((BF30+BG30)/2)))^(2/3))^2+((DATOS!$B$34*H29/((D29*F29)/(D29+2*F29))^(2/3))^2))/2))&gt;0,((BF30+BG30)/2),BG30)</f>
        <v/>
      </c>
      <c r="BJ30" s="5">
        <f>IF((((BH30+BI30)/2)+(C30/(D30*((BH30+BI30)/2)))^2/(2*9.81)+B30-(G29+H29^2/(2*9.81))-(A29-A30)*(((DATOS!$B$34*(C30/(D30*((BH30+BI30)/2)))/((D30*((BH30+BI30)/2))/(D30+2*((BH30+BI30)/2)))^(2/3))^2+((DATOS!$B$34*H29/((D29*F29)/(D29+2*F29))^(2/3))^2))/2))&gt;0,BH30,((BH30+BI30)/2))</f>
        <v/>
      </c>
      <c r="BK30" s="5">
        <f>IF((((BH30+BI30)/2)+(C30/(D30*((BH30+BI30)/2)))^2/(2*9.81)+B30-(G29+H29^2/(2*9.81))-(A29-A30)*(((DATOS!$B$34*(C30/(D30*((BH30+BI30)/2)))/((D30*((BH30+BI30)/2))/(D30+2*((BH30+BI30)/2)))^(2/3))^2+((DATOS!$B$34*H29/((D29*F29)/(D29+2*F29))^(2/3))^2))/2))&gt;0,((BH30+BI30)/2),BI30)</f>
        <v/>
      </c>
      <c r="BL30" s="5">
        <f>IF((((BJ30+BK30)/2)+(C30/(D30*((BJ30+BK30)/2)))^2/(2*9.81)+B30-(G29+H29^2/(2*9.81))-(A29-A30)*(((DATOS!$B$34*(C30/(D30*((BJ30+BK30)/2)))/((D30*((BJ30+BK30)/2))/(D30+2*((BJ30+BK30)/2)))^(2/3))^2+((DATOS!$B$34*H29/((D29*F29)/(D29+2*F29))^(2/3))^2))/2))&gt;0,BJ30,((BJ30+BK30)/2))</f>
        <v/>
      </c>
      <c r="BM30" s="5">
        <f>IF((((BJ30+BK30)/2)+(C30/(D30*((BJ30+BK30)/2)))^2/(2*9.81)+B30-(G29+H29^2/(2*9.81))-(A29-A30)*(((DATOS!$B$34*(C30/(D30*((BJ30+BK30)/2)))/((D30*((BJ30+BK30)/2))/(D30+2*((BJ30+BK30)/2)))^(2/3))^2+((DATOS!$B$34*H29/((D29*F29)/(D29+2*F29))^(2/3))^2))/2))&gt;0,((BJ30+BK30)/2),BK30)</f>
        <v/>
      </c>
      <c r="BN30" s="5">
        <f>IF((((BL30+BM30)/2)+(C30/(D30*((BL30+BM30)/2)))^2/(2*9.81)+B30-(G29+H29^2/(2*9.81))-(A29-A30)*(((DATOS!$B$34*(C30/(D30*((BL30+BM30)/2)))/((D30*((BL30+BM30)/2))/(D30+2*((BL30+BM30)/2)))^(2/3))^2+((DATOS!$B$34*H29/((D29*F29)/(D29+2*F29))^(2/3))^2))/2))&gt;0,BL30,((BL30+BM30)/2))</f>
        <v/>
      </c>
      <c r="BO30" s="5">
        <f>IF((((BL30+BM30)/2)+(C30/(D30*((BL30+BM30)/2)))^2/(2*9.81)+B30-(G29+H29^2/(2*9.81))-(A29-A30)*(((DATOS!$B$34*(C30/(D30*((BL30+BM30)/2)))/((D30*((BL30+BM30)/2))/(D30+2*((BL30+BM30)/2)))^(2/3))^2+((DATOS!$B$34*H29/((D29*F29)/(D29+2*F29))^(2/3))^2))/2))&gt;0,((BL30+BM30)/2),BM30)</f>
        <v/>
      </c>
      <c r="BP30" s="5">
        <f>IF((((BN30+BO30)/2)+(C30/(D30*((BN30+BO30)/2)))^2/(2*9.81)+B30-(G29+H29^2/(2*9.81))-(A29-A30)*(((DATOS!$B$34*(C30/(D30*((BN30+BO30)/2)))/((D30*((BN30+BO30)/2))/(D30+2*((BN30+BO30)/2)))^(2/3))^2+((DATOS!$B$34*H29/((D29*F29)/(D29+2*F29))^(2/3))^2))/2))&gt;0,BN30,((BN30+BO30)/2))</f>
        <v/>
      </c>
      <c r="BQ30" s="5">
        <f>IF((((BN30+BO30)/2)+(C30/(D30*((BN30+BO30)/2)))^2/(2*9.81)+B30-(G29+H29^2/(2*9.81))-(A29-A30)*(((DATOS!$B$34*(C30/(D30*((BN30+BO30)/2)))/((D30*((BN30+BO30)/2))/(D30+2*((BN30+BO30)/2)))^(2/3))^2+((DATOS!$B$34*H29/((D29*F29)/(D29+2*F29))^(2/3))^2))/2))&gt;0,((BN30+BO30)/2),BO30)</f>
        <v/>
      </c>
      <c r="BR30" s="5">
        <f>IF((((BP30+BQ30)/2)+(C30/(D30*((BP30+BQ30)/2)))^2/(2*9.81)+B30-(G29+H29^2/(2*9.81))-(A29-A30)*(((DATOS!$B$34*(C30/(D30*((BP30+BQ30)/2)))/((D30*((BP30+BQ30)/2))/(D30+2*((BP30+BQ30)/2)))^(2/3))^2+((DATOS!$B$34*H29/((D29*F29)/(D29+2*F29))^(2/3))^2))/2))&gt;0,BP30,((BP30+BQ30)/2))</f>
        <v/>
      </c>
      <c r="BS30" s="5">
        <f>IF((((BP30+BQ30)/2)+(C30/(D30*((BP30+BQ30)/2)))^2/(2*9.81)+B30-(G29+H29^2/(2*9.81))-(A29-A30)*(((DATOS!$B$34*(C30/(D30*((BP30+BQ30)/2)))/((D30*((BP30+BQ30)/2))/(D30+2*((BP30+BQ30)/2)))^(2/3))^2+((DATOS!$B$34*H29/((D29*F29)/(D29+2*F29))^(2/3))^2))/2))&gt;0,((BP30+BQ30)/2),BQ30)</f>
        <v/>
      </c>
      <c r="BT30" s="5">
        <f>IF((((BR30+BS30)/2)+(C30/(D30*((BR30+BS30)/2)))^2/(2*9.81)+B30-(G29+H29^2/(2*9.81))-(A29-A30)*(((DATOS!$B$34*(C30/(D30*((BR30+BS30)/2)))/((D30*((BR30+BS30)/2))/(D30+2*((BR30+BS30)/2)))^(2/3))^2+((DATOS!$B$34*H29/((D29*F29)/(D29+2*F29))^(2/3))^2))/2))&gt;0,BR30,((BR30+BS30)/2))</f>
        <v/>
      </c>
      <c r="BU30" s="5">
        <f>IF((((BR30+BS30)/2)+(C30/(D30*((BR30+BS30)/2)))^2/(2*9.81)+B30-(G29+H29^2/(2*9.81))-(A29-A30)*(((DATOS!$B$34*(C30/(D30*((BR30+BS30)/2)))/((D30*((BR30+BS30)/2))/(D30+2*((BR30+BS30)/2)))^(2/3))^2+((DATOS!$B$34*H29/((D29*F29)/(D29+2*F29))^(2/3))^2))/2))&gt;0,((BR30+BS30)/2),BS30)</f>
        <v/>
      </c>
      <c r="BV30" s="5">
        <f>IF((((BT30+BU30)/2)+(C30/(D30*((BT30+BU30)/2)))^2/(2*9.81)+B30-(G29+H29^2/(2*9.81))-(A29-A30)*(((DATOS!$B$34*(C30/(D30*((BT30+BU30)/2)))/((D30*((BT30+BU30)/2))/(D30+2*((BT30+BU30)/2)))^(2/3))^2+((DATOS!$B$34*H29/((D29*F29)/(D29+2*F29))^(2/3))^2))/2))&gt;0,BT30,((BT30+BU30)/2))</f>
        <v/>
      </c>
      <c r="BW30" s="5">
        <f>IF((((BT30+BU30)/2)+(C30/(D30*((BT30+BU30)/2)))^2/(2*9.81)+B30-(G29+H29^2/(2*9.81))-(A29-A30)*(((DATOS!$B$34*(C30/(D30*((BT30+BU30)/2)))/((D30*((BT30+BU30)/2))/(D30+2*((BT30+BU30)/2)))^(2/3))^2+((DATOS!$B$34*H29/((D29*F29)/(D29+2*F29))^(2/3))^2))/2))&gt;0,((BT30+BU30)/2),BU30)</f>
        <v/>
      </c>
    </row>
    <row r="31">
      <c r="A31" s="13" t="n">
        <v>51</v>
      </c>
      <c r="B31" s="16">
        <f>DATOS!$B$22-DATOS!$B$23*A31</f>
        <v/>
      </c>
      <c r="C31" s="24">
        <f>CAUDALES!$B$13</f>
        <v/>
      </c>
      <c r="D31" s="17">
        <f>DATOS!$B$17</f>
        <v/>
      </c>
      <c r="E31" s="16">
        <f>(C31^2/(9.81*D31^2))^(1/3)</f>
        <v/>
      </c>
      <c r="F31" s="16">
        <f>(BV31+BW31)/2</f>
        <v/>
      </c>
      <c r="G31" s="16">
        <f>B31+F31</f>
        <v/>
      </c>
      <c r="H31" s="19">
        <f>C31/(D31*F31)</f>
        <v/>
      </c>
      <c r="I31" s="19">
        <f>H31/SQRT(9.81*F31)</f>
        <v/>
      </c>
      <c r="J31" s="16">
        <f>DATOS!$B$29-IF(AND(A31&gt;=DATOS!$B$30,A31&lt;DATOS!$B$31),DATOS!$B$21,DATOS!$B$20)</f>
        <v/>
      </c>
      <c r="K31" s="19">
        <f>J31-B31</f>
        <v/>
      </c>
      <c r="L31" s="19">
        <f>F31/K31</f>
        <v/>
      </c>
      <c r="M31" s="16">
        <f>J31-G31</f>
        <v/>
      </c>
      <c r="N31" s="5">
        <f>IF(AND(L31&lt;=DATOS!$B$36,M31&gt;=DATOS!$B$37,I31&lt;=1),"CUMPLE","NO CUMPLE")</f>
        <v/>
      </c>
      <c r="O31" s="5">
        <f>IF(AND(A31&gt;=DATOS!$B$30,A31&lt;DATOS!$B$31),"cruce de camiones",IF(AND(A31&gt;=DATOS!$B$32,A31&lt;DATOS!$B$33),"cruce de motos","tramo normal"))</f>
        <v/>
      </c>
      <c r="P31" s="5">
        <f>E31*1.001</f>
        <v/>
      </c>
      <c r="Q31" s="13" t="n">
        <v>3</v>
      </c>
      <c r="R31" s="5">
        <f>IF((((P31+Q31)/2)+(C31/(D31*((P31+Q31)/2)))^2/(2*9.81)+B31-(G30+H30^2/(2*9.81))-(A30-A31)*(((DATOS!$B$34*(C31/(D31*((P31+Q31)/2)))/((D31*((P31+Q31)/2))/(D31+2*((P31+Q31)/2)))^(2/3))^2+((DATOS!$B$34*H30/((D30*F30)/(D30+2*F30))^(2/3))^2))/2))&gt;0,P31,((P31+Q31)/2))</f>
        <v/>
      </c>
      <c r="S31" s="5">
        <f>IF((((P31+Q31)/2)+(C31/(D31*((P31+Q31)/2)))^2/(2*9.81)+B31-(G30+H30^2/(2*9.81))-(A30-A31)*(((DATOS!$B$34*(C31/(D31*((P31+Q31)/2)))/((D31*((P31+Q31)/2))/(D31+2*((P31+Q31)/2)))^(2/3))^2+((DATOS!$B$34*H30/((D30*F30)/(D30+2*F30))^(2/3))^2))/2))&gt;0,((P31+Q31)/2),Q31)</f>
        <v/>
      </c>
      <c r="T31" s="5">
        <f>IF((((R31+S31)/2)+(C31/(D31*((R31+S31)/2)))^2/(2*9.81)+B31-(G30+H30^2/(2*9.81))-(A30-A31)*(((DATOS!$B$34*(C31/(D31*((R31+S31)/2)))/((D31*((R31+S31)/2))/(D31+2*((R31+S31)/2)))^(2/3))^2+((DATOS!$B$34*H30/((D30*F30)/(D30+2*F30))^(2/3))^2))/2))&gt;0,R31,((R31+S31)/2))</f>
        <v/>
      </c>
      <c r="U31" s="5">
        <f>IF((((R31+S31)/2)+(C31/(D31*((R31+S31)/2)))^2/(2*9.81)+B31-(G30+H30^2/(2*9.81))-(A30-A31)*(((DATOS!$B$34*(C31/(D31*((R31+S31)/2)))/((D31*((R31+S31)/2))/(D31+2*((R31+S31)/2)))^(2/3))^2+((DATOS!$B$34*H30/((D30*F30)/(D30+2*F30))^(2/3))^2))/2))&gt;0,((R31+S31)/2),S31)</f>
        <v/>
      </c>
      <c r="V31" s="5">
        <f>IF((((T31+U31)/2)+(C31/(D31*((T31+U31)/2)))^2/(2*9.81)+B31-(G30+H30^2/(2*9.81))-(A30-A31)*(((DATOS!$B$34*(C31/(D31*((T31+U31)/2)))/((D31*((T31+U31)/2))/(D31+2*((T31+U31)/2)))^(2/3))^2+((DATOS!$B$34*H30/((D30*F30)/(D30+2*F30))^(2/3))^2))/2))&gt;0,T31,((T31+U31)/2))</f>
        <v/>
      </c>
      <c r="W31" s="5">
        <f>IF((((T31+U31)/2)+(C31/(D31*((T31+U31)/2)))^2/(2*9.81)+B31-(G30+H30^2/(2*9.81))-(A30-A31)*(((DATOS!$B$34*(C31/(D31*((T31+U31)/2)))/((D31*((T31+U31)/2))/(D31+2*((T31+U31)/2)))^(2/3))^2+((DATOS!$B$34*H30/((D30*F30)/(D30+2*F30))^(2/3))^2))/2))&gt;0,((T31+U31)/2),U31)</f>
        <v/>
      </c>
      <c r="X31" s="5">
        <f>IF((((V31+W31)/2)+(C31/(D31*((V31+W31)/2)))^2/(2*9.81)+B31-(G30+H30^2/(2*9.81))-(A30-A31)*(((DATOS!$B$34*(C31/(D31*((V31+W31)/2)))/((D31*((V31+W31)/2))/(D31+2*((V31+W31)/2)))^(2/3))^2+((DATOS!$B$34*H30/((D30*F30)/(D30+2*F30))^(2/3))^2))/2))&gt;0,V31,((V31+W31)/2))</f>
        <v/>
      </c>
      <c r="Y31" s="5">
        <f>IF((((V31+W31)/2)+(C31/(D31*((V31+W31)/2)))^2/(2*9.81)+B31-(G30+H30^2/(2*9.81))-(A30-A31)*(((DATOS!$B$34*(C31/(D31*((V31+W31)/2)))/((D31*((V31+W31)/2))/(D31+2*((V31+W31)/2)))^(2/3))^2+((DATOS!$B$34*H30/((D30*F30)/(D30+2*F30))^(2/3))^2))/2))&gt;0,((V31+W31)/2),W31)</f>
        <v/>
      </c>
      <c r="Z31" s="5">
        <f>IF((((X31+Y31)/2)+(C31/(D31*((X31+Y31)/2)))^2/(2*9.81)+B31-(G30+H30^2/(2*9.81))-(A30-A31)*(((DATOS!$B$34*(C31/(D31*((X31+Y31)/2)))/((D31*((X31+Y31)/2))/(D31+2*((X31+Y31)/2)))^(2/3))^2+((DATOS!$B$34*H30/((D30*F30)/(D30+2*F30))^(2/3))^2))/2))&gt;0,X31,((X31+Y31)/2))</f>
        <v/>
      </c>
      <c r="AA31" s="5">
        <f>IF((((X31+Y31)/2)+(C31/(D31*((X31+Y31)/2)))^2/(2*9.81)+B31-(G30+H30^2/(2*9.81))-(A30-A31)*(((DATOS!$B$34*(C31/(D31*((X31+Y31)/2)))/((D31*((X31+Y31)/2))/(D31+2*((X31+Y31)/2)))^(2/3))^2+((DATOS!$B$34*H30/((D30*F30)/(D30+2*F30))^(2/3))^2))/2))&gt;0,((X31+Y31)/2),Y31)</f>
        <v/>
      </c>
      <c r="AB31" s="5">
        <f>IF((((Z31+AA31)/2)+(C31/(D31*((Z31+AA31)/2)))^2/(2*9.81)+B31-(G30+H30^2/(2*9.81))-(A30-A31)*(((DATOS!$B$34*(C31/(D31*((Z31+AA31)/2)))/((D31*((Z31+AA31)/2))/(D31+2*((Z31+AA31)/2)))^(2/3))^2+((DATOS!$B$34*H30/((D30*F30)/(D30+2*F30))^(2/3))^2))/2))&gt;0,Z31,((Z31+AA31)/2))</f>
        <v/>
      </c>
      <c r="AC31" s="5">
        <f>IF((((Z31+AA31)/2)+(C31/(D31*((Z31+AA31)/2)))^2/(2*9.81)+B31-(G30+H30^2/(2*9.81))-(A30-A31)*(((DATOS!$B$34*(C31/(D31*((Z31+AA31)/2)))/((D31*((Z31+AA31)/2))/(D31+2*((Z31+AA31)/2)))^(2/3))^2+((DATOS!$B$34*H30/((D30*F30)/(D30+2*F30))^(2/3))^2))/2))&gt;0,((Z31+AA31)/2),AA31)</f>
        <v/>
      </c>
      <c r="AD31" s="5">
        <f>IF((((AB31+AC31)/2)+(C31/(D31*((AB31+AC31)/2)))^2/(2*9.81)+B31-(G30+H30^2/(2*9.81))-(A30-A31)*(((DATOS!$B$34*(C31/(D31*((AB31+AC31)/2)))/((D31*((AB31+AC31)/2))/(D31+2*((AB31+AC31)/2)))^(2/3))^2+((DATOS!$B$34*H30/((D30*F30)/(D30+2*F30))^(2/3))^2))/2))&gt;0,AB31,((AB31+AC31)/2))</f>
        <v/>
      </c>
      <c r="AE31" s="5">
        <f>IF((((AB31+AC31)/2)+(C31/(D31*((AB31+AC31)/2)))^2/(2*9.81)+B31-(G30+H30^2/(2*9.81))-(A30-A31)*(((DATOS!$B$34*(C31/(D31*((AB31+AC31)/2)))/((D31*((AB31+AC31)/2))/(D31+2*((AB31+AC31)/2)))^(2/3))^2+((DATOS!$B$34*H30/((D30*F30)/(D30+2*F30))^(2/3))^2))/2))&gt;0,((AB31+AC31)/2),AC31)</f>
        <v/>
      </c>
      <c r="AF31" s="5">
        <f>IF((((AD31+AE31)/2)+(C31/(D31*((AD31+AE31)/2)))^2/(2*9.81)+B31-(G30+H30^2/(2*9.81))-(A30-A31)*(((DATOS!$B$34*(C31/(D31*((AD31+AE31)/2)))/((D31*((AD31+AE31)/2))/(D31+2*((AD31+AE31)/2)))^(2/3))^2+((DATOS!$B$34*H30/((D30*F30)/(D30+2*F30))^(2/3))^2))/2))&gt;0,AD31,((AD31+AE31)/2))</f>
        <v/>
      </c>
      <c r="AG31" s="5">
        <f>IF((((AD31+AE31)/2)+(C31/(D31*((AD31+AE31)/2)))^2/(2*9.81)+B31-(G30+H30^2/(2*9.81))-(A30-A31)*(((DATOS!$B$34*(C31/(D31*((AD31+AE31)/2)))/((D31*((AD31+AE31)/2))/(D31+2*((AD31+AE31)/2)))^(2/3))^2+((DATOS!$B$34*H30/((D30*F30)/(D30+2*F30))^(2/3))^2))/2))&gt;0,((AD31+AE31)/2),AE31)</f>
        <v/>
      </c>
      <c r="AH31" s="5">
        <f>IF((((AF31+AG31)/2)+(C31/(D31*((AF31+AG31)/2)))^2/(2*9.81)+B31-(G30+H30^2/(2*9.81))-(A30-A31)*(((DATOS!$B$34*(C31/(D31*((AF31+AG31)/2)))/((D31*((AF31+AG31)/2))/(D31+2*((AF31+AG31)/2)))^(2/3))^2+((DATOS!$B$34*H30/((D30*F30)/(D30+2*F30))^(2/3))^2))/2))&gt;0,AF31,((AF31+AG31)/2))</f>
        <v/>
      </c>
      <c r="AI31" s="5">
        <f>IF((((AF31+AG31)/2)+(C31/(D31*((AF31+AG31)/2)))^2/(2*9.81)+B31-(G30+H30^2/(2*9.81))-(A30-A31)*(((DATOS!$B$34*(C31/(D31*((AF31+AG31)/2)))/((D31*((AF31+AG31)/2))/(D31+2*((AF31+AG31)/2)))^(2/3))^2+((DATOS!$B$34*H30/((D30*F30)/(D30+2*F30))^(2/3))^2))/2))&gt;0,((AF31+AG31)/2),AG31)</f>
        <v/>
      </c>
      <c r="AJ31" s="5">
        <f>IF((((AH31+AI31)/2)+(C31/(D31*((AH31+AI31)/2)))^2/(2*9.81)+B31-(G30+H30^2/(2*9.81))-(A30-A31)*(((DATOS!$B$34*(C31/(D31*((AH31+AI31)/2)))/((D31*((AH31+AI31)/2))/(D31+2*((AH31+AI31)/2)))^(2/3))^2+((DATOS!$B$34*H30/((D30*F30)/(D30+2*F30))^(2/3))^2))/2))&gt;0,AH31,((AH31+AI31)/2))</f>
        <v/>
      </c>
      <c r="AK31" s="5">
        <f>IF((((AH31+AI31)/2)+(C31/(D31*((AH31+AI31)/2)))^2/(2*9.81)+B31-(G30+H30^2/(2*9.81))-(A30-A31)*(((DATOS!$B$34*(C31/(D31*((AH31+AI31)/2)))/((D31*((AH31+AI31)/2))/(D31+2*((AH31+AI31)/2)))^(2/3))^2+((DATOS!$B$34*H30/((D30*F30)/(D30+2*F30))^(2/3))^2))/2))&gt;0,((AH31+AI31)/2),AI31)</f>
        <v/>
      </c>
      <c r="AL31" s="5">
        <f>IF((((AJ31+AK31)/2)+(C31/(D31*((AJ31+AK31)/2)))^2/(2*9.81)+B31-(G30+H30^2/(2*9.81))-(A30-A31)*(((DATOS!$B$34*(C31/(D31*((AJ31+AK31)/2)))/((D31*((AJ31+AK31)/2))/(D31+2*((AJ31+AK31)/2)))^(2/3))^2+((DATOS!$B$34*H30/((D30*F30)/(D30+2*F30))^(2/3))^2))/2))&gt;0,AJ31,((AJ31+AK31)/2))</f>
        <v/>
      </c>
      <c r="AM31" s="5">
        <f>IF((((AJ31+AK31)/2)+(C31/(D31*((AJ31+AK31)/2)))^2/(2*9.81)+B31-(G30+H30^2/(2*9.81))-(A30-A31)*(((DATOS!$B$34*(C31/(D31*((AJ31+AK31)/2)))/((D31*((AJ31+AK31)/2))/(D31+2*((AJ31+AK31)/2)))^(2/3))^2+((DATOS!$B$34*H30/((D30*F30)/(D30+2*F30))^(2/3))^2))/2))&gt;0,((AJ31+AK31)/2),AK31)</f>
        <v/>
      </c>
      <c r="AN31" s="5">
        <f>IF((((AL31+AM31)/2)+(C31/(D31*((AL31+AM31)/2)))^2/(2*9.81)+B31-(G30+H30^2/(2*9.81))-(A30-A31)*(((DATOS!$B$34*(C31/(D31*((AL31+AM31)/2)))/((D31*((AL31+AM31)/2))/(D31+2*((AL31+AM31)/2)))^(2/3))^2+((DATOS!$B$34*H30/((D30*F30)/(D30+2*F30))^(2/3))^2))/2))&gt;0,AL31,((AL31+AM31)/2))</f>
        <v/>
      </c>
      <c r="AO31" s="5">
        <f>IF((((AL31+AM31)/2)+(C31/(D31*((AL31+AM31)/2)))^2/(2*9.81)+B31-(G30+H30^2/(2*9.81))-(A30-A31)*(((DATOS!$B$34*(C31/(D31*((AL31+AM31)/2)))/((D31*((AL31+AM31)/2))/(D31+2*((AL31+AM31)/2)))^(2/3))^2+((DATOS!$B$34*H30/((D30*F30)/(D30+2*F30))^(2/3))^2))/2))&gt;0,((AL31+AM31)/2),AM31)</f>
        <v/>
      </c>
      <c r="AP31" s="5">
        <f>IF((((AN31+AO31)/2)+(C31/(D31*((AN31+AO31)/2)))^2/(2*9.81)+B31-(G30+H30^2/(2*9.81))-(A30-A31)*(((DATOS!$B$34*(C31/(D31*((AN31+AO31)/2)))/((D31*((AN31+AO31)/2))/(D31+2*((AN31+AO31)/2)))^(2/3))^2+((DATOS!$B$34*H30/((D30*F30)/(D30+2*F30))^(2/3))^2))/2))&gt;0,AN31,((AN31+AO31)/2))</f>
        <v/>
      </c>
      <c r="AQ31" s="5">
        <f>IF((((AN31+AO31)/2)+(C31/(D31*((AN31+AO31)/2)))^2/(2*9.81)+B31-(G30+H30^2/(2*9.81))-(A30-A31)*(((DATOS!$B$34*(C31/(D31*((AN31+AO31)/2)))/((D31*((AN31+AO31)/2))/(D31+2*((AN31+AO31)/2)))^(2/3))^2+((DATOS!$B$34*H30/((D30*F30)/(D30+2*F30))^(2/3))^2))/2))&gt;0,((AN31+AO31)/2),AO31)</f>
        <v/>
      </c>
      <c r="AR31" s="5">
        <f>IF((((AP31+AQ31)/2)+(C31/(D31*((AP31+AQ31)/2)))^2/(2*9.81)+B31-(G30+H30^2/(2*9.81))-(A30-A31)*(((DATOS!$B$34*(C31/(D31*((AP31+AQ31)/2)))/((D31*((AP31+AQ31)/2))/(D31+2*((AP31+AQ31)/2)))^(2/3))^2+((DATOS!$B$34*H30/((D30*F30)/(D30+2*F30))^(2/3))^2))/2))&gt;0,AP31,((AP31+AQ31)/2))</f>
        <v/>
      </c>
      <c r="AS31" s="5">
        <f>IF((((AP31+AQ31)/2)+(C31/(D31*((AP31+AQ31)/2)))^2/(2*9.81)+B31-(G30+H30^2/(2*9.81))-(A30-A31)*(((DATOS!$B$34*(C31/(D31*((AP31+AQ31)/2)))/((D31*((AP31+AQ31)/2))/(D31+2*((AP31+AQ31)/2)))^(2/3))^2+((DATOS!$B$34*H30/((D30*F30)/(D30+2*F30))^(2/3))^2))/2))&gt;0,((AP31+AQ31)/2),AQ31)</f>
        <v/>
      </c>
      <c r="AT31" s="5">
        <f>IF((((AR31+AS31)/2)+(C31/(D31*((AR31+AS31)/2)))^2/(2*9.81)+B31-(G30+H30^2/(2*9.81))-(A30-A31)*(((DATOS!$B$34*(C31/(D31*((AR31+AS31)/2)))/((D31*((AR31+AS31)/2))/(D31+2*((AR31+AS31)/2)))^(2/3))^2+((DATOS!$B$34*H30/((D30*F30)/(D30+2*F30))^(2/3))^2))/2))&gt;0,AR31,((AR31+AS31)/2))</f>
        <v/>
      </c>
      <c r="AU31" s="5">
        <f>IF((((AR31+AS31)/2)+(C31/(D31*((AR31+AS31)/2)))^2/(2*9.81)+B31-(G30+H30^2/(2*9.81))-(A30-A31)*(((DATOS!$B$34*(C31/(D31*((AR31+AS31)/2)))/((D31*((AR31+AS31)/2))/(D31+2*((AR31+AS31)/2)))^(2/3))^2+((DATOS!$B$34*H30/((D30*F30)/(D30+2*F30))^(2/3))^2))/2))&gt;0,((AR31+AS31)/2),AS31)</f>
        <v/>
      </c>
      <c r="AV31" s="5">
        <f>IF((((AT31+AU31)/2)+(C31/(D31*((AT31+AU31)/2)))^2/(2*9.81)+B31-(G30+H30^2/(2*9.81))-(A30-A31)*(((DATOS!$B$34*(C31/(D31*((AT31+AU31)/2)))/((D31*((AT31+AU31)/2))/(D31+2*((AT31+AU31)/2)))^(2/3))^2+((DATOS!$B$34*H30/((D30*F30)/(D30+2*F30))^(2/3))^2))/2))&gt;0,AT31,((AT31+AU31)/2))</f>
        <v/>
      </c>
      <c r="AW31" s="5">
        <f>IF((((AT31+AU31)/2)+(C31/(D31*((AT31+AU31)/2)))^2/(2*9.81)+B31-(G30+H30^2/(2*9.81))-(A30-A31)*(((DATOS!$B$34*(C31/(D31*((AT31+AU31)/2)))/((D31*((AT31+AU31)/2))/(D31+2*((AT31+AU31)/2)))^(2/3))^2+((DATOS!$B$34*H30/((D30*F30)/(D30+2*F30))^(2/3))^2))/2))&gt;0,((AT31+AU31)/2),AU31)</f>
        <v/>
      </c>
      <c r="AX31" s="5">
        <f>IF((((AV31+AW31)/2)+(C31/(D31*((AV31+AW31)/2)))^2/(2*9.81)+B31-(G30+H30^2/(2*9.81))-(A30-A31)*(((DATOS!$B$34*(C31/(D31*((AV31+AW31)/2)))/((D31*((AV31+AW31)/2))/(D31+2*((AV31+AW31)/2)))^(2/3))^2+((DATOS!$B$34*H30/((D30*F30)/(D30+2*F30))^(2/3))^2))/2))&gt;0,AV31,((AV31+AW31)/2))</f>
        <v/>
      </c>
      <c r="AY31" s="5">
        <f>IF((((AV31+AW31)/2)+(C31/(D31*((AV31+AW31)/2)))^2/(2*9.81)+B31-(G30+H30^2/(2*9.81))-(A30-A31)*(((DATOS!$B$34*(C31/(D31*((AV31+AW31)/2)))/((D31*((AV31+AW31)/2))/(D31+2*((AV31+AW31)/2)))^(2/3))^2+((DATOS!$B$34*H30/((D30*F30)/(D30+2*F30))^(2/3))^2))/2))&gt;0,((AV31+AW31)/2),AW31)</f>
        <v/>
      </c>
      <c r="AZ31" s="5">
        <f>IF((((AX31+AY31)/2)+(C31/(D31*((AX31+AY31)/2)))^2/(2*9.81)+B31-(G30+H30^2/(2*9.81))-(A30-A31)*(((DATOS!$B$34*(C31/(D31*((AX31+AY31)/2)))/((D31*((AX31+AY31)/2))/(D31+2*((AX31+AY31)/2)))^(2/3))^2+((DATOS!$B$34*H30/((D30*F30)/(D30+2*F30))^(2/3))^2))/2))&gt;0,AX31,((AX31+AY31)/2))</f>
        <v/>
      </c>
      <c r="BA31" s="5">
        <f>IF((((AX31+AY31)/2)+(C31/(D31*((AX31+AY31)/2)))^2/(2*9.81)+B31-(G30+H30^2/(2*9.81))-(A30-A31)*(((DATOS!$B$34*(C31/(D31*((AX31+AY31)/2)))/((D31*((AX31+AY31)/2))/(D31+2*((AX31+AY31)/2)))^(2/3))^2+((DATOS!$B$34*H30/((D30*F30)/(D30+2*F30))^(2/3))^2))/2))&gt;0,((AX31+AY31)/2),AY31)</f>
        <v/>
      </c>
      <c r="BB31" s="5">
        <f>IF((((AZ31+BA31)/2)+(C31/(D31*((AZ31+BA31)/2)))^2/(2*9.81)+B31-(G30+H30^2/(2*9.81))-(A30-A31)*(((DATOS!$B$34*(C31/(D31*((AZ31+BA31)/2)))/((D31*((AZ31+BA31)/2))/(D31+2*((AZ31+BA31)/2)))^(2/3))^2+((DATOS!$B$34*H30/((D30*F30)/(D30+2*F30))^(2/3))^2))/2))&gt;0,AZ31,((AZ31+BA31)/2))</f>
        <v/>
      </c>
      <c r="BC31" s="5">
        <f>IF((((AZ31+BA31)/2)+(C31/(D31*((AZ31+BA31)/2)))^2/(2*9.81)+B31-(G30+H30^2/(2*9.81))-(A30-A31)*(((DATOS!$B$34*(C31/(D31*((AZ31+BA31)/2)))/((D31*((AZ31+BA31)/2))/(D31+2*((AZ31+BA31)/2)))^(2/3))^2+((DATOS!$B$34*H30/((D30*F30)/(D30+2*F30))^(2/3))^2))/2))&gt;0,((AZ31+BA31)/2),BA31)</f>
        <v/>
      </c>
      <c r="BD31" s="5">
        <f>IF((((BB31+BC31)/2)+(C31/(D31*((BB31+BC31)/2)))^2/(2*9.81)+B31-(G30+H30^2/(2*9.81))-(A30-A31)*(((DATOS!$B$34*(C31/(D31*((BB31+BC31)/2)))/((D31*((BB31+BC31)/2))/(D31+2*((BB31+BC31)/2)))^(2/3))^2+((DATOS!$B$34*H30/((D30*F30)/(D30+2*F30))^(2/3))^2))/2))&gt;0,BB31,((BB31+BC31)/2))</f>
        <v/>
      </c>
      <c r="BE31" s="5">
        <f>IF((((BB31+BC31)/2)+(C31/(D31*((BB31+BC31)/2)))^2/(2*9.81)+B31-(G30+H30^2/(2*9.81))-(A30-A31)*(((DATOS!$B$34*(C31/(D31*((BB31+BC31)/2)))/((D31*((BB31+BC31)/2))/(D31+2*((BB31+BC31)/2)))^(2/3))^2+((DATOS!$B$34*H30/((D30*F30)/(D30+2*F30))^(2/3))^2))/2))&gt;0,((BB31+BC31)/2),BC31)</f>
        <v/>
      </c>
      <c r="BF31" s="5">
        <f>IF((((BD31+BE31)/2)+(C31/(D31*((BD31+BE31)/2)))^2/(2*9.81)+B31-(G30+H30^2/(2*9.81))-(A30-A31)*(((DATOS!$B$34*(C31/(D31*((BD31+BE31)/2)))/((D31*((BD31+BE31)/2))/(D31+2*((BD31+BE31)/2)))^(2/3))^2+((DATOS!$B$34*H30/((D30*F30)/(D30+2*F30))^(2/3))^2))/2))&gt;0,BD31,((BD31+BE31)/2))</f>
        <v/>
      </c>
      <c r="BG31" s="5">
        <f>IF((((BD31+BE31)/2)+(C31/(D31*((BD31+BE31)/2)))^2/(2*9.81)+B31-(G30+H30^2/(2*9.81))-(A30-A31)*(((DATOS!$B$34*(C31/(D31*((BD31+BE31)/2)))/((D31*((BD31+BE31)/2))/(D31+2*((BD31+BE31)/2)))^(2/3))^2+((DATOS!$B$34*H30/((D30*F30)/(D30+2*F30))^(2/3))^2))/2))&gt;0,((BD31+BE31)/2),BE31)</f>
        <v/>
      </c>
      <c r="BH31" s="5">
        <f>IF((((BF31+BG31)/2)+(C31/(D31*((BF31+BG31)/2)))^2/(2*9.81)+B31-(G30+H30^2/(2*9.81))-(A30-A31)*(((DATOS!$B$34*(C31/(D31*((BF31+BG31)/2)))/((D31*((BF31+BG31)/2))/(D31+2*((BF31+BG31)/2)))^(2/3))^2+((DATOS!$B$34*H30/((D30*F30)/(D30+2*F30))^(2/3))^2))/2))&gt;0,BF31,((BF31+BG31)/2))</f>
        <v/>
      </c>
      <c r="BI31" s="5">
        <f>IF((((BF31+BG31)/2)+(C31/(D31*((BF31+BG31)/2)))^2/(2*9.81)+B31-(G30+H30^2/(2*9.81))-(A30-A31)*(((DATOS!$B$34*(C31/(D31*((BF31+BG31)/2)))/((D31*((BF31+BG31)/2))/(D31+2*((BF31+BG31)/2)))^(2/3))^2+((DATOS!$B$34*H30/((D30*F30)/(D30+2*F30))^(2/3))^2))/2))&gt;0,((BF31+BG31)/2),BG31)</f>
        <v/>
      </c>
      <c r="BJ31" s="5">
        <f>IF((((BH31+BI31)/2)+(C31/(D31*((BH31+BI31)/2)))^2/(2*9.81)+B31-(G30+H30^2/(2*9.81))-(A30-A31)*(((DATOS!$B$34*(C31/(D31*((BH31+BI31)/2)))/((D31*((BH31+BI31)/2))/(D31+2*((BH31+BI31)/2)))^(2/3))^2+((DATOS!$B$34*H30/((D30*F30)/(D30+2*F30))^(2/3))^2))/2))&gt;0,BH31,((BH31+BI31)/2))</f>
        <v/>
      </c>
      <c r="BK31" s="5">
        <f>IF((((BH31+BI31)/2)+(C31/(D31*((BH31+BI31)/2)))^2/(2*9.81)+B31-(G30+H30^2/(2*9.81))-(A30-A31)*(((DATOS!$B$34*(C31/(D31*((BH31+BI31)/2)))/((D31*((BH31+BI31)/2))/(D31+2*((BH31+BI31)/2)))^(2/3))^2+((DATOS!$B$34*H30/((D30*F30)/(D30+2*F30))^(2/3))^2))/2))&gt;0,((BH31+BI31)/2),BI31)</f>
        <v/>
      </c>
      <c r="BL31" s="5">
        <f>IF((((BJ31+BK31)/2)+(C31/(D31*((BJ31+BK31)/2)))^2/(2*9.81)+B31-(G30+H30^2/(2*9.81))-(A30-A31)*(((DATOS!$B$34*(C31/(D31*((BJ31+BK31)/2)))/((D31*((BJ31+BK31)/2))/(D31+2*((BJ31+BK31)/2)))^(2/3))^2+((DATOS!$B$34*H30/((D30*F30)/(D30+2*F30))^(2/3))^2))/2))&gt;0,BJ31,((BJ31+BK31)/2))</f>
        <v/>
      </c>
      <c r="BM31" s="5">
        <f>IF((((BJ31+BK31)/2)+(C31/(D31*((BJ31+BK31)/2)))^2/(2*9.81)+B31-(G30+H30^2/(2*9.81))-(A30-A31)*(((DATOS!$B$34*(C31/(D31*((BJ31+BK31)/2)))/((D31*((BJ31+BK31)/2))/(D31+2*((BJ31+BK31)/2)))^(2/3))^2+((DATOS!$B$34*H30/((D30*F30)/(D30+2*F30))^(2/3))^2))/2))&gt;0,((BJ31+BK31)/2),BK31)</f>
        <v/>
      </c>
      <c r="BN31" s="5">
        <f>IF((((BL31+BM31)/2)+(C31/(D31*((BL31+BM31)/2)))^2/(2*9.81)+B31-(G30+H30^2/(2*9.81))-(A30-A31)*(((DATOS!$B$34*(C31/(D31*((BL31+BM31)/2)))/((D31*((BL31+BM31)/2))/(D31+2*((BL31+BM31)/2)))^(2/3))^2+((DATOS!$B$34*H30/((D30*F30)/(D30+2*F30))^(2/3))^2))/2))&gt;0,BL31,((BL31+BM31)/2))</f>
        <v/>
      </c>
      <c r="BO31" s="5">
        <f>IF((((BL31+BM31)/2)+(C31/(D31*((BL31+BM31)/2)))^2/(2*9.81)+B31-(G30+H30^2/(2*9.81))-(A30-A31)*(((DATOS!$B$34*(C31/(D31*((BL31+BM31)/2)))/((D31*((BL31+BM31)/2))/(D31+2*((BL31+BM31)/2)))^(2/3))^2+((DATOS!$B$34*H30/((D30*F30)/(D30+2*F30))^(2/3))^2))/2))&gt;0,((BL31+BM31)/2),BM31)</f>
        <v/>
      </c>
      <c r="BP31" s="5">
        <f>IF((((BN31+BO31)/2)+(C31/(D31*((BN31+BO31)/2)))^2/(2*9.81)+B31-(G30+H30^2/(2*9.81))-(A30-A31)*(((DATOS!$B$34*(C31/(D31*((BN31+BO31)/2)))/((D31*((BN31+BO31)/2))/(D31+2*((BN31+BO31)/2)))^(2/3))^2+((DATOS!$B$34*H30/((D30*F30)/(D30+2*F30))^(2/3))^2))/2))&gt;0,BN31,((BN31+BO31)/2))</f>
        <v/>
      </c>
      <c r="BQ31" s="5">
        <f>IF((((BN31+BO31)/2)+(C31/(D31*((BN31+BO31)/2)))^2/(2*9.81)+B31-(G30+H30^2/(2*9.81))-(A30-A31)*(((DATOS!$B$34*(C31/(D31*((BN31+BO31)/2)))/((D31*((BN31+BO31)/2))/(D31+2*((BN31+BO31)/2)))^(2/3))^2+((DATOS!$B$34*H30/((D30*F30)/(D30+2*F30))^(2/3))^2))/2))&gt;0,((BN31+BO31)/2),BO31)</f>
        <v/>
      </c>
      <c r="BR31" s="5">
        <f>IF((((BP31+BQ31)/2)+(C31/(D31*((BP31+BQ31)/2)))^2/(2*9.81)+B31-(G30+H30^2/(2*9.81))-(A30-A31)*(((DATOS!$B$34*(C31/(D31*((BP31+BQ31)/2)))/((D31*((BP31+BQ31)/2))/(D31+2*((BP31+BQ31)/2)))^(2/3))^2+((DATOS!$B$34*H30/((D30*F30)/(D30+2*F30))^(2/3))^2))/2))&gt;0,BP31,((BP31+BQ31)/2))</f>
        <v/>
      </c>
      <c r="BS31" s="5">
        <f>IF((((BP31+BQ31)/2)+(C31/(D31*((BP31+BQ31)/2)))^2/(2*9.81)+B31-(G30+H30^2/(2*9.81))-(A30-A31)*(((DATOS!$B$34*(C31/(D31*((BP31+BQ31)/2)))/((D31*((BP31+BQ31)/2))/(D31+2*((BP31+BQ31)/2)))^(2/3))^2+((DATOS!$B$34*H30/((D30*F30)/(D30+2*F30))^(2/3))^2))/2))&gt;0,((BP31+BQ31)/2),BQ31)</f>
        <v/>
      </c>
      <c r="BT31" s="5">
        <f>IF((((BR31+BS31)/2)+(C31/(D31*((BR31+BS31)/2)))^2/(2*9.81)+B31-(G30+H30^2/(2*9.81))-(A30-A31)*(((DATOS!$B$34*(C31/(D31*((BR31+BS31)/2)))/((D31*((BR31+BS31)/2))/(D31+2*((BR31+BS31)/2)))^(2/3))^2+((DATOS!$B$34*H30/((D30*F30)/(D30+2*F30))^(2/3))^2))/2))&gt;0,BR31,((BR31+BS31)/2))</f>
        <v/>
      </c>
      <c r="BU31" s="5">
        <f>IF((((BR31+BS31)/2)+(C31/(D31*((BR31+BS31)/2)))^2/(2*9.81)+B31-(G30+H30^2/(2*9.81))-(A30-A31)*(((DATOS!$B$34*(C31/(D31*((BR31+BS31)/2)))/((D31*((BR31+BS31)/2))/(D31+2*((BR31+BS31)/2)))^(2/3))^2+((DATOS!$B$34*H30/((D30*F30)/(D30+2*F30))^(2/3))^2))/2))&gt;0,((BR31+BS31)/2),BS31)</f>
        <v/>
      </c>
      <c r="BV31" s="5">
        <f>IF((((BT31+BU31)/2)+(C31/(D31*((BT31+BU31)/2)))^2/(2*9.81)+B31-(G30+H30^2/(2*9.81))-(A30-A31)*(((DATOS!$B$34*(C31/(D31*((BT31+BU31)/2)))/((D31*((BT31+BU31)/2))/(D31+2*((BT31+BU31)/2)))^(2/3))^2+((DATOS!$B$34*H30/((D30*F30)/(D30+2*F30))^(2/3))^2))/2))&gt;0,BT31,((BT31+BU31)/2))</f>
        <v/>
      </c>
      <c r="BW31" s="5">
        <f>IF((((BT31+BU31)/2)+(C31/(D31*((BT31+BU31)/2)))^2/(2*9.81)+B31-(G30+H30^2/(2*9.81))-(A30-A31)*(((DATOS!$B$34*(C31/(D31*((BT31+BU31)/2)))/((D31*((BT31+BU31)/2))/(D31+2*((BT31+BU31)/2)))^(2/3))^2+((DATOS!$B$34*H30/((D30*F30)/(D30+2*F30))^(2/3))^2))/2))&gt;0,((BT31+BU31)/2),BU31)</f>
        <v/>
      </c>
    </row>
    <row r="32">
      <c r="A32" s="13" t="n">
        <v>50</v>
      </c>
      <c r="B32" s="16">
        <f>DATOS!$B$22-DATOS!$B$23*A32</f>
        <v/>
      </c>
      <c r="C32" s="24">
        <f>CAUDALES!$B$13</f>
        <v/>
      </c>
      <c r="D32" s="17">
        <f>DATOS!$B$17</f>
        <v/>
      </c>
      <c r="E32" s="16">
        <f>(C32^2/(9.81*D32^2))^(1/3)</f>
        <v/>
      </c>
      <c r="F32" s="16">
        <f>(BV32+BW32)/2</f>
        <v/>
      </c>
      <c r="G32" s="16">
        <f>B32+F32</f>
        <v/>
      </c>
      <c r="H32" s="19">
        <f>C32/(D32*F32)</f>
        <v/>
      </c>
      <c r="I32" s="19">
        <f>H32/SQRT(9.81*F32)</f>
        <v/>
      </c>
      <c r="J32" s="16">
        <f>DATOS!$B$29-IF(AND(A32&gt;=DATOS!$B$30,A32&lt;DATOS!$B$31),DATOS!$B$21,DATOS!$B$20)</f>
        <v/>
      </c>
      <c r="K32" s="19">
        <f>J32-B32</f>
        <v/>
      </c>
      <c r="L32" s="19">
        <f>F32/K32</f>
        <v/>
      </c>
      <c r="M32" s="16">
        <f>J32-G32</f>
        <v/>
      </c>
      <c r="N32" s="5">
        <f>IF(AND(L32&lt;=DATOS!$B$36,M32&gt;=DATOS!$B$37,I32&lt;=1),"CUMPLE","NO CUMPLE")</f>
        <v/>
      </c>
      <c r="O32" s="5">
        <f>IF(AND(A32&gt;=DATOS!$B$30,A32&lt;DATOS!$B$31),"cruce de camiones",IF(AND(A32&gt;=DATOS!$B$32,A32&lt;DATOS!$B$33),"cruce de motos","tramo normal"))</f>
        <v/>
      </c>
      <c r="P32" s="5">
        <f>E32*1.001</f>
        <v/>
      </c>
      <c r="Q32" s="13" t="n">
        <v>3</v>
      </c>
      <c r="R32" s="5">
        <f>IF((((P32+Q32)/2)+(C32/(D32*((P32+Q32)/2)))^2/(2*9.81)+B32-(G31+H31^2/(2*9.81))-(A31-A32)*(((DATOS!$B$34*(C32/(D32*((P32+Q32)/2)))/((D32*((P32+Q32)/2))/(D32+2*((P32+Q32)/2)))^(2/3))^2+((DATOS!$B$34*H31/((D31*F31)/(D31+2*F31))^(2/3))^2))/2))&gt;0,P32,((P32+Q32)/2))</f>
        <v/>
      </c>
      <c r="S32" s="5">
        <f>IF((((P32+Q32)/2)+(C32/(D32*((P32+Q32)/2)))^2/(2*9.81)+B32-(G31+H31^2/(2*9.81))-(A31-A32)*(((DATOS!$B$34*(C32/(D32*((P32+Q32)/2)))/((D32*((P32+Q32)/2))/(D32+2*((P32+Q32)/2)))^(2/3))^2+((DATOS!$B$34*H31/((D31*F31)/(D31+2*F31))^(2/3))^2))/2))&gt;0,((P32+Q32)/2),Q32)</f>
        <v/>
      </c>
      <c r="T32" s="5">
        <f>IF((((R32+S32)/2)+(C32/(D32*((R32+S32)/2)))^2/(2*9.81)+B32-(G31+H31^2/(2*9.81))-(A31-A32)*(((DATOS!$B$34*(C32/(D32*((R32+S32)/2)))/((D32*((R32+S32)/2))/(D32+2*((R32+S32)/2)))^(2/3))^2+((DATOS!$B$34*H31/((D31*F31)/(D31+2*F31))^(2/3))^2))/2))&gt;0,R32,((R32+S32)/2))</f>
        <v/>
      </c>
      <c r="U32" s="5">
        <f>IF((((R32+S32)/2)+(C32/(D32*((R32+S32)/2)))^2/(2*9.81)+B32-(G31+H31^2/(2*9.81))-(A31-A32)*(((DATOS!$B$34*(C32/(D32*((R32+S32)/2)))/((D32*((R32+S32)/2))/(D32+2*((R32+S32)/2)))^(2/3))^2+((DATOS!$B$34*H31/((D31*F31)/(D31+2*F31))^(2/3))^2))/2))&gt;0,((R32+S32)/2),S32)</f>
        <v/>
      </c>
      <c r="V32" s="5">
        <f>IF((((T32+U32)/2)+(C32/(D32*((T32+U32)/2)))^2/(2*9.81)+B32-(G31+H31^2/(2*9.81))-(A31-A32)*(((DATOS!$B$34*(C32/(D32*((T32+U32)/2)))/((D32*((T32+U32)/2))/(D32+2*((T32+U32)/2)))^(2/3))^2+((DATOS!$B$34*H31/((D31*F31)/(D31+2*F31))^(2/3))^2))/2))&gt;0,T32,((T32+U32)/2))</f>
        <v/>
      </c>
      <c r="W32" s="5">
        <f>IF((((T32+U32)/2)+(C32/(D32*((T32+U32)/2)))^2/(2*9.81)+B32-(G31+H31^2/(2*9.81))-(A31-A32)*(((DATOS!$B$34*(C32/(D32*((T32+U32)/2)))/((D32*((T32+U32)/2))/(D32+2*((T32+U32)/2)))^(2/3))^2+((DATOS!$B$34*H31/((D31*F31)/(D31+2*F31))^(2/3))^2))/2))&gt;0,((T32+U32)/2),U32)</f>
        <v/>
      </c>
      <c r="X32" s="5">
        <f>IF((((V32+W32)/2)+(C32/(D32*((V32+W32)/2)))^2/(2*9.81)+B32-(G31+H31^2/(2*9.81))-(A31-A32)*(((DATOS!$B$34*(C32/(D32*((V32+W32)/2)))/((D32*((V32+W32)/2))/(D32+2*((V32+W32)/2)))^(2/3))^2+((DATOS!$B$34*H31/((D31*F31)/(D31+2*F31))^(2/3))^2))/2))&gt;0,V32,((V32+W32)/2))</f>
        <v/>
      </c>
      <c r="Y32" s="5">
        <f>IF((((V32+W32)/2)+(C32/(D32*((V32+W32)/2)))^2/(2*9.81)+B32-(G31+H31^2/(2*9.81))-(A31-A32)*(((DATOS!$B$34*(C32/(D32*((V32+W32)/2)))/((D32*((V32+W32)/2))/(D32+2*((V32+W32)/2)))^(2/3))^2+((DATOS!$B$34*H31/((D31*F31)/(D31+2*F31))^(2/3))^2))/2))&gt;0,((V32+W32)/2),W32)</f>
        <v/>
      </c>
      <c r="Z32" s="5">
        <f>IF((((X32+Y32)/2)+(C32/(D32*((X32+Y32)/2)))^2/(2*9.81)+B32-(G31+H31^2/(2*9.81))-(A31-A32)*(((DATOS!$B$34*(C32/(D32*((X32+Y32)/2)))/((D32*((X32+Y32)/2))/(D32+2*((X32+Y32)/2)))^(2/3))^2+((DATOS!$B$34*H31/((D31*F31)/(D31+2*F31))^(2/3))^2))/2))&gt;0,X32,((X32+Y32)/2))</f>
        <v/>
      </c>
      <c r="AA32" s="5">
        <f>IF((((X32+Y32)/2)+(C32/(D32*((X32+Y32)/2)))^2/(2*9.81)+B32-(G31+H31^2/(2*9.81))-(A31-A32)*(((DATOS!$B$34*(C32/(D32*((X32+Y32)/2)))/((D32*((X32+Y32)/2))/(D32+2*((X32+Y32)/2)))^(2/3))^2+((DATOS!$B$34*H31/((D31*F31)/(D31+2*F31))^(2/3))^2))/2))&gt;0,((X32+Y32)/2),Y32)</f>
        <v/>
      </c>
      <c r="AB32" s="5">
        <f>IF((((Z32+AA32)/2)+(C32/(D32*((Z32+AA32)/2)))^2/(2*9.81)+B32-(G31+H31^2/(2*9.81))-(A31-A32)*(((DATOS!$B$34*(C32/(D32*((Z32+AA32)/2)))/((D32*((Z32+AA32)/2))/(D32+2*((Z32+AA32)/2)))^(2/3))^2+((DATOS!$B$34*H31/((D31*F31)/(D31+2*F31))^(2/3))^2))/2))&gt;0,Z32,((Z32+AA32)/2))</f>
        <v/>
      </c>
      <c r="AC32" s="5">
        <f>IF((((Z32+AA32)/2)+(C32/(D32*((Z32+AA32)/2)))^2/(2*9.81)+B32-(G31+H31^2/(2*9.81))-(A31-A32)*(((DATOS!$B$34*(C32/(D32*((Z32+AA32)/2)))/((D32*((Z32+AA32)/2))/(D32+2*((Z32+AA32)/2)))^(2/3))^2+((DATOS!$B$34*H31/((D31*F31)/(D31+2*F31))^(2/3))^2))/2))&gt;0,((Z32+AA32)/2),AA32)</f>
        <v/>
      </c>
      <c r="AD32" s="5">
        <f>IF((((AB32+AC32)/2)+(C32/(D32*((AB32+AC32)/2)))^2/(2*9.81)+B32-(G31+H31^2/(2*9.81))-(A31-A32)*(((DATOS!$B$34*(C32/(D32*((AB32+AC32)/2)))/((D32*((AB32+AC32)/2))/(D32+2*((AB32+AC32)/2)))^(2/3))^2+((DATOS!$B$34*H31/((D31*F31)/(D31+2*F31))^(2/3))^2))/2))&gt;0,AB32,((AB32+AC32)/2))</f>
        <v/>
      </c>
      <c r="AE32" s="5">
        <f>IF((((AB32+AC32)/2)+(C32/(D32*((AB32+AC32)/2)))^2/(2*9.81)+B32-(G31+H31^2/(2*9.81))-(A31-A32)*(((DATOS!$B$34*(C32/(D32*((AB32+AC32)/2)))/((D32*((AB32+AC32)/2))/(D32+2*((AB32+AC32)/2)))^(2/3))^2+((DATOS!$B$34*H31/((D31*F31)/(D31+2*F31))^(2/3))^2))/2))&gt;0,((AB32+AC32)/2),AC32)</f>
        <v/>
      </c>
      <c r="AF32" s="5">
        <f>IF((((AD32+AE32)/2)+(C32/(D32*((AD32+AE32)/2)))^2/(2*9.81)+B32-(G31+H31^2/(2*9.81))-(A31-A32)*(((DATOS!$B$34*(C32/(D32*((AD32+AE32)/2)))/((D32*((AD32+AE32)/2))/(D32+2*((AD32+AE32)/2)))^(2/3))^2+((DATOS!$B$34*H31/((D31*F31)/(D31+2*F31))^(2/3))^2))/2))&gt;0,AD32,((AD32+AE32)/2))</f>
        <v/>
      </c>
      <c r="AG32" s="5">
        <f>IF((((AD32+AE32)/2)+(C32/(D32*((AD32+AE32)/2)))^2/(2*9.81)+B32-(G31+H31^2/(2*9.81))-(A31-A32)*(((DATOS!$B$34*(C32/(D32*((AD32+AE32)/2)))/((D32*((AD32+AE32)/2))/(D32+2*((AD32+AE32)/2)))^(2/3))^2+((DATOS!$B$34*H31/((D31*F31)/(D31+2*F31))^(2/3))^2))/2))&gt;0,((AD32+AE32)/2),AE32)</f>
        <v/>
      </c>
      <c r="AH32" s="5">
        <f>IF((((AF32+AG32)/2)+(C32/(D32*((AF32+AG32)/2)))^2/(2*9.81)+B32-(G31+H31^2/(2*9.81))-(A31-A32)*(((DATOS!$B$34*(C32/(D32*((AF32+AG32)/2)))/((D32*((AF32+AG32)/2))/(D32+2*((AF32+AG32)/2)))^(2/3))^2+((DATOS!$B$34*H31/((D31*F31)/(D31+2*F31))^(2/3))^2))/2))&gt;0,AF32,((AF32+AG32)/2))</f>
        <v/>
      </c>
      <c r="AI32" s="5">
        <f>IF((((AF32+AG32)/2)+(C32/(D32*((AF32+AG32)/2)))^2/(2*9.81)+B32-(G31+H31^2/(2*9.81))-(A31-A32)*(((DATOS!$B$34*(C32/(D32*((AF32+AG32)/2)))/((D32*((AF32+AG32)/2))/(D32+2*((AF32+AG32)/2)))^(2/3))^2+((DATOS!$B$34*H31/((D31*F31)/(D31+2*F31))^(2/3))^2))/2))&gt;0,((AF32+AG32)/2),AG32)</f>
        <v/>
      </c>
      <c r="AJ32" s="5">
        <f>IF((((AH32+AI32)/2)+(C32/(D32*((AH32+AI32)/2)))^2/(2*9.81)+B32-(G31+H31^2/(2*9.81))-(A31-A32)*(((DATOS!$B$34*(C32/(D32*((AH32+AI32)/2)))/((D32*((AH32+AI32)/2))/(D32+2*((AH32+AI32)/2)))^(2/3))^2+((DATOS!$B$34*H31/((D31*F31)/(D31+2*F31))^(2/3))^2))/2))&gt;0,AH32,((AH32+AI32)/2))</f>
        <v/>
      </c>
      <c r="AK32" s="5">
        <f>IF((((AH32+AI32)/2)+(C32/(D32*((AH32+AI32)/2)))^2/(2*9.81)+B32-(G31+H31^2/(2*9.81))-(A31-A32)*(((DATOS!$B$34*(C32/(D32*((AH32+AI32)/2)))/((D32*((AH32+AI32)/2))/(D32+2*((AH32+AI32)/2)))^(2/3))^2+((DATOS!$B$34*H31/((D31*F31)/(D31+2*F31))^(2/3))^2))/2))&gt;0,((AH32+AI32)/2),AI32)</f>
        <v/>
      </c>
      <c r="AL32" s="5">
        <f>IF((((AJ32+AK32)/2)+(C32/(D32*((AJ32+AK32)/2)))^2/(2*9.81)+B32-(G31+H31^2/(2*9.81))-(A31-A32)*(((DATOS!$B$34*(C32/(D32*((AJ32+AK32)/2)))/((D32*((AJ32+AK32)/2))/(D32+2*((AJ32+AK32)/2)))^(2/3))^2+((DATOS!$B$34*H31/((D31*F31)/(D31+2*F31))^(2/3))^2))/2))&gt;0,AJ32,((AJ32+AK32)/2))</f>
        <v/>
      </c>
      <c r="AM32" s="5">
        <f>IF((((AJ32+AK32)/2)+(C32/(D32*((AJ32+AK32)/2)))^2/(2*9.81)+B32-(G31+H31^2/(2*9.81))-(A31-A32)*(((DATOS!$B$34*(C32/(D32*((AJ32+AK32)/2)))/((D32*((AJ32+AK32)/2))/(D32+2*((AJ32+AK32)/2)))^(2/3))^2+((DATOS!$B$34*H31/((D31*F31)/(D31+2*F31))^(2/3))^2))/2))&gt;0,((AJ32+AK32)/2),AK32)</f>
        <v/>
      </c>
      <c r="AN32" s="5">
        <f>IF((((AL32+AM32)/2)+(C32/(D32*((AL32+AM32)/2)))^2/(2*9.81)+B32-(G31+H31^2/(2*9.81))-(A31-A32)*(((DATOS!$B$34*(C32/(D32*((AL32+AM32)/2)))/((D32*((AL32+AM32)/2))/(D32+2*((AL32+AM32)/2)))^(2/3))^2+((DATOS!$B$34*H31/((D31*F31)/(D31+2*F31))^(2/3))^2))/2))&gt;0,AL32,((AL32+AM32)/2))</f>
        <v/>
      </c>
      <c r="AO32" s="5">
        <f>IF((((AL32+AM32)/2)+(C32/(D32*((AL32+AM32)/2)))^2/(2*9.81)+B32-(G31+H31^2/(2*9.81))-(A31-A32)*(((DATOS!$B$34*(C32/(D32*((AL32+AM32)/2)))/((D32*((AL32+AM32)/2))/(D32+2*((AL32+AM32)/2)))^(2/3))^2+((DATOS!$B$34*H31/((D31*F31)/(D31+2*F31))^(2/3))^2))/2))&gt;0,((AL32+AM32)/2),AM32)</f>
        <v/>
      </c>
      <c r="AP32" s="5">
        <f>IF((((AN32+AO32)/2)+(C32/(D32*((AN32+AO32)/2)))^2/(2*9.81)+B32-(G31+H31^2/(2*9.81))-(A31-A32)*(((DATOS!$B$34*(C32/(D32*((AN32+AO32)/2)))/((D32*((AN32+AO32)/2))/(D32+2*((AN32+AO32)/2)))^(2/3))^2+((DATOS!$B$34*H31/((D31*F31)/(D31+2*F31))^(2/3))^2))/2))&gt;0,AN32,((AN32+AO32)/2))</f>
        <v/>
      </c>
      <c r="AQ32" s="5">
        <f>IF((((AN32+AO32)/2)+(C32/(D32*((AN32+AO32)/2)))^2/(2*9.81)+B32-(G31+H31^2/(2*9.81))-(A31-A32)*(((DATOS!$B$34*(C32/(D32*((AN32+AO32)/2)))/((D32*((AN32+AO32)/2))/(D32+2*((AN32+AO32)/2)))^(2/3))^2+((DATOS!$B$34*H31/((D31*F31)/(D31+2*F31))^(2/3))^2))/2))&gt;0,((AN32+AO32)/2),AO32)</f>
        <v/>
      </c>
      <c r="AR32" s="5">
        <f>IF((((AP32+AQ32)/2)+(C32/(D32*((AP32+AQ32)/2)))^2/(2*9.81)+B32-(G31+H31^2/(2*9.81))-(A31-A32)*(((DATOS!$B$34*(C32/(D32*((AP32+AQ32)/2)))/((D32*((AP32+AQ32)/2))/(D32+2*((AP32+AQ32)/2)))^(2/3))^2+((DATOS!$B$34*H31/((D31*F31)/(D31+2*F31))^(2/3))^2))/2))&gt;0,AP32,((AP32+AQ32)/2))</f>
        <v/>
      </c>
      <c r="AS32" s="5">
        <f>IF((((AP32+AQ32)/2)+(C32/(D32*((AP32+AQ32)/2)))^2/(2*9.81)+B32-(G31+H31^2/(2*9.81))-(A31-A32)*(((DATOS!$B$34*(C32/(D32*((AP32+AQ32)/2)))/((D32*((AP32+AQ32)/2))/(D32+2*((AP32+AQ32)/2)))^(2/3))^2+((DATOS!$B$34*H31/((D31*F31)/(D31+2*F31))^(2/3))^2))/2))&gt;0,((AP32+AQ32)/2),AQ32)</f>
        <v/>
      </c>
      <c r="AT32" s="5">
        <f>IF((((AR32+AS32)/2)+(C32/(D32*((AR32+AS32)/2)))^2/(2*9.81)+B32-(G31+H31^2/(2*9.81))-(A31-A32)*(((DATOS!$B$34*(C32/(D32*((AR32+AS32)/2)))/((D32*((AR32+AS32)/2))/(D32+2*((AR32+AS32)/2)))^(2/3))^2+((DATOS!$B$34*H31/((D31*F31)/(D31+2*F31))^(2/3))^2))/2))&gt;0,AR32,((AR32+AS32)/2))</f>
        <v/>
      </c>
      <c r="AU32" s="5">
        <f>IF((((AR32+AS32)/2)+(C32/(D32*((AR32+AS32)/2)))^2/(2*9.81)+B32-(G31+H31^2/(2*9.81))-(A31-A32)*(((DATOS!$B$34*(C32/(D32*((AR32+AS32)/2)))/((D32*((AR32+AS32)/2))/(D32+2*((AR32+AS32)/2)))^(2/3))^2+((DATOS!$B$34*H31/((D31*F31)/(D31+2*F31))^(2/3))^2))/2))&gt;0,((AR32+AS32)/2),AS32)</f>
        <v/>
      </c>
      <c r="AV32" s="5">
        <f>IF((((AT32+AU32)/2)+(C32/(D32*((AT32+AU32)/2)))^2/(2*9.81)+B32-(G31+H31^2/(2*9.81))-(A31-A32)*(((DATOS!$B$34*(C32/(D32*((AT32+AU32)/2)))/((D32*((AT32+AU32)/2))/(D32+2*((AT32+AU32)/2)))^(2/3))^2+((DATOS!$B$34*H31/((D31*F31)/(D31+2*F31))^(2/3))^2))/2))&gt;0,AT32,((AT32+AU32)/2))</f>
        <v/>
      </c>
      <c r="AW32" s="5">
        <f>IF((((AT32+AU32)/2)+(C32/(D32*((AT32+AU32)/2)))^2/(2*9.81)+B32-(G31+H31^2/(2*9.81))-(A31-A32)*(((DATOS!$B$34*(C32/(D32*((AT32+AU32)/2)))/((D32*((AT32+AU32)/2))/(D32+2*((AT32+AU32)/2)))^(2/3))^2+((DATOS!$B$34*H31/((D31*F31)/(D31+2*F31))^(2/3))^2))/2))&gt;0,((AT32+AU32)/2),AU32)</f>
        <v/>
      </c>
      <c r="AX32" s="5">
        <f>IF((((AV32+AW32)/2)+(C32/(D32*((AV32+AW32)/2)))^2/(2*9.81)+B32-(G31+H31^2/(2*9.81))-(A31-A32)*(((DATOS!$B$34*(C32/(D32*((AV32+AW32)/2)))/((D32*((AV32+AW32)/2))/(D32+2*((AV32+AW32)/2)))^(2/3))^2+((DATOS!$B$34*H31/((D31*F31)/(D31+2*F31))^(2/3))^2))/2))&gt;0,AV32,((AV32+AW32)/2))</f>
        <v/>
      </c>
      <c r="AY32" s="5">
        <f>IF((((AV32+AW32)/2)+(C32/(D32*((AV32+AW32)/2)))^2/(2*9.81)+B32-(G31+H31^2/(2*9.81))-(A31-A32)*(((DATOS!$B$34*(C32/(D32*((AV32+AW32)/2)))/((D32*((AV32+AW32)/2))/(D32+2*((AV32+AW32)/2)))^(2/3))^2+((DATOS!$B$34*H31/((D31*F31)/(D31+2*F31))^(2/3))^2))/2))&gt;0,((AV32+AW32)/2),AW32)</f>
        <v/>
      </c>
      <c r="AZ32" s="5">
        <f>IF((((AX32+AY32)/2)+(C32/(D32*((AX32+AY32)/2)))^2/(2*9.81)+B32-(G31+H31^2/(2*9.81))-(A31-A32)*(((DATOS!$B$34*(C32/(D32*((AX32+AY32)/2)))/((D32*((AX32+AY32)/2))/(D32+2*((AX32+AY32)/2)))^(2/3))^2+((DATOS!$B$34*H31/((D31*F31)/(D31+2*F31))^(2/3))^2))/2))&gt;0,AX32,((AX32+AY32)/2))</f>
        <v/>
      </c>
      <c r="BA32" s="5">
        <f>IF((((AX32+AY32)/2)+(C32/(D32*((AX32+AY32)/2)))^2/(2*9.81)+B32-(G31+H31^2/(2*9.81))-(A31-A32)*(((DATOS!$B$34*(C32/(D32*((AX32+AY32)/2)))/((D32*((AX32+AY32)/2))/(D32+2*((AX32+AY32)/2)))^(2/3))^2+((DATOS!$B$34*H31/((D31*F31)/(D31+2*F31))^(2/3))^2))/2))&gt;0,((AX32+AY32)/2),AY32)</f>
        <v/>
      </c>
      <c r="BB32" s="5">
        <f>IF((((AZ32+BA32)/2)+(C32/(D32*((AZ32+BA32)/2)))^2/(2*9.81)+B32-(G31+H31^2/(2*9.81))-(A31-A32)*(((DATOS!$B$34*(C32/(D32*((AZ32+BA32)/2)))/((D32*((AZ32+BA32)/2))/(D32+2*((AZ32+BA32)/2)))^(2/3))^2+((DATOS!$B$34*H31/((D31*F31)/(D31+2*F31))^(2/3))^2))/2))&gt;0,AZ32,((AZ32+BA32)/2))</f>
        <v/>
      </c>
      <c r="BC32" s="5">
        <f>IF((((AZ32+BA32)/2)+(C32/(D32*((AZ32+BA32)/2)))^2/(2*9.81)+B32-(G31+H31^2/(2*9.81))-(A31-A32)*(((DATOS!$B$34*(C32/(D32*((AZ32+BA32)/2)))/((D32*((AZ32+BA32)/2))/(D32+2*((AZ32+BA32)/2)))^(2/3))^2+((DATOS!$B$34*H31/((D31*F31)/(D31+2*F31))^(2/3))^2))/2))&gt;0,((AZ32+BA32)/2),BA32)</f>
        <v/>
      </c>
      <c r="BD32" s="5">
        <f>IF((((BB32+BC32)/2)+(C32/(D32*((BB32+BC32)/2)))^2/(2*9.81)+B32-(G31+H31^2/(2*9.81))-(A31-A32)*(((DATOS!$B$34*(C32/(D32*((BB32+BC32)/2)))/((D32*((BB32+BC32)/2))/(D32+2*((BB32+BC32)/2)))^(2/3))^2+((DATOS!$B$34*H31/((D31*F31)/(D31+2*F31))^(2/3))^2))/2))&gt;0,BB32,((BB32+BC32)/2))</f>
        <v/>
      </c>
      <c r="BE32" s="5">
        <f>IF((((BB32+BC32)/2)+(C32/(D32*((BB32+BC32)/2)))^2/(2*9.81)+B32-(G31+H31^2/(2*9.81))-(A31-A32)*(((DATOS!$B$34*(C32/(D32*((BB32+BC32)/2)))/((D32*((BB32+BC32)/2))/(D32+2*((BB32+BC32)/2)))^(2/3))^2+((DATOS!$B$34*H31/((D31*F31)/(D31+2*F31))^(2/3))^2))/2))&gt;0,((BB32+BC32)/2),BC32)</f>
        <v/>
      </c>
      <c r="BF32" s="5">
        <f>IF((((BD32+BE32)/2)+(C32/(D32*((BD32+BE32)/2)))^2/(2*9.81)+B32-(G31+H31^2/(2*9.81))-(A31-A32)*(((DATOS!$B$34*(C32/(D32*((BD32+BE32)/2)))/((D32*((BD32+BE32)/2))/(D32+2*((BD32+BE32)/2)))^(2/3))^2+((DATOS!$B$34*H31/((D31*F31)/(D31+2*F31))^(2/3))^2))/2))&gt;0,BD32,((BD32+BE32)/2))</f>
        <v/>
      </c>
      <c r="BG32" s="5">
        <f>IF((((BD32+BE32)/2)+(C32/(D32*((BD32+BE32)/2)))^2/(2*9.81)+B32-(G31+H31^2/(2*9.81))-(A31-A32)*(((DATOS!$B$34*(C32/(D32*((BD32+BE32)/2)))/((D32*((BD32+BE32)/2))/(D32+2*((BD32+BE32)/2)))^(2/3))^2+((DATOS!$B$34*H31/((D31*F31)/(D31+2*F31))^(2/3))^2))/2))&gt;0,((BD32+BE32)/2),BE32)</f>
        <v/>
      </c>
      <c r="BH32" s="5">
        <f>IF((((BF32+BG32)/2)+(C32/(D32*((BF32+BG32)/2)))^2/(2*9.81)+B32-(G31+H31^2/(2*9.81))-(A31-A32)*(((DATOS!$B$34*(C32/(D32*((BF32+BG32)/2)))/((D32*((BF32+BG32)/2))/(D32+2*((BF32+BG32)/2)))^(2/3))^2+((DATOS!$B$34*H31/((D31*F31)/(D31+2*F31))^(2/3))^2))/2))&gt;0,BF32,((BF32+BG32)/2))</f>
        <v/>
      </c>
      <c r="BI32" s="5">
        <f>IF((((BF32+BG32)/2)+(C32/(D32*((BF32+BG32)/2)))^2/(2*9.81)+B32-(G31+H31^2/(2*9.81))-(A31-A32)*(((DATOS!$B$34*(C32/(D32*((BF32+BG32)/2)))/((D32*((BF32+BG32)/2))/(D32+2*((BF32+BG32)/2)))^(2/3))^2+((DATOS!$B$34*H31/((D31*F31)/(D31+2*F31))^(2/3))^2))/2))&gt;0,((BF32+BG32)/2),BG32)</f>
        <v/>
      </c>
      <c r="BJ32" s="5">
        <f>IF((((BH32+BI32)/2)+(C32/(D32*((BH32+BI32)/2)))^2/(2*9.81)+B32-(G31+H31^2/(2*9.81))-(A31-A32)*(((DATOS!$B$34*(C32/(D32*((BH32+BI32)/2)))/((D32*((BH32+BI32)/2))/(D32+2*((BH32+BI32)/2)))^(2/3))^2+((DATOS!$B$34*H31/((D31*F31)/(D31+2*F31))^(2/3))^2))/2))&gt;0,BH32,((BH32+BI32)/2))</f>
        <v/>
      </c>
      <c r="BK32" s="5">
        <f>IF((((BH32+BI32)/2)+(C32/(D32*((BH32+BI32)/2)))^2/(2*9.81)+B32-(G31+H31^2/(2*9.81))-(A31-A32)*(((DATOS!$B$34*(C32/(D32*((BH32+BI32)/2)))/((D32*((BH32+BI32)/2))/(D32+2*((BH32+BI32)/2)))^(2/3))^2+((DATOS!$B$34*H31/((D31*F31)/(D31+2*F31))^(2/3))^2))/2))&gt;0,((BH32+BI32)/2),BI32)</f>
        <v/>
      </c>
      <c r="BL32" s="5">
        <f>IF((((BJ32+BK32)/2)+(C32/(D32*((BJ32+BK32)/2)))^2/(2*9.81)+B32-(G31+H31^2/(2*9.81))-(A31-A32)*(((DATOS!$B$34*(C32/(D32*((BJ32+BK32)/2)))/((D32*((BJ32+BK32)/2))/(D32+2*((BJ32+BK32)/2)))^(2/3))^2+((DATOS!$B$34*H31/((D31*F31)/(D31+2*F31))^(2/3))^2))/2))&gt;0,BJ32,((BJ32+BK32)/2))</f>
        <v/>
      </c>
      <c r="BM32" s="5">
        <f>IF((((BJ32+BK32)/2)+(C32/(D32*((BJ32+BK32)/2)))^2/(2*9.81)+B32-(G31+H31^2/(2*9.81))-(A31-A32)*(((DATOS!$B$34*(C32/(D32*((BJ32+BK32)/2)))/((D32*((BJ32+BK32)/2))/(D32+2*((BJ32+BK32)/2)))^(2/3))^2+((DATOS!$B$34*H31/((D31*F31)/(D31+2*F31))^(2/3))^2))/2))&gt;0,((BJ32+BK32)/2),BK32)</f>
        <v/>
      </c>
      <c r="BN32" s="5">
        <f>IF((((BL32+BM32)/2)+(C32/(D32*((BL32+BM32)/2)))^2/(2*9.81)+B32-(G31+H31^2/(2*9.81))-(A31-A32)*(((DATOS!$B$34*(C32/(D32*((BL32+BM32)/2)))/((D32*((BL32+BM32)/2))/(D32+2*((BL32+BM32)/2)))^(2/3))^2+((DATOS!$B$34*H31/((D31*F31)/(D31+2*F31))^(2/3))^2))/2))&gt;0,BL32,((BL32+BM32)/2))</f>
        <v/>
      </c>
      <c r="BO32" s="5">
        <f>IF((((BL32+BM32)/2)+(C32/(D32*((BL32+BM32)/2)))^2/(2*9.81)+B32-(G31+H31^2/(2*9.81))-(A31-A32)*(((DATOS!$B$34*(C32/(D32*((BL32+BM32)/2)))/((D32*((BL32+BM32)/2))/(D32+2*((BL32+BM32)/2)))^(2/3))^2+((DATOS!$B$34*H31/((D31*F31)/(D31+2*F31))^(2/3))^2))/2))&gt;0,((BL32+BM32)/2),BM32)</f>
        <v/>
      </c>
      <c r="BP32" s="5">
        <f>IF((((BN32+BO32)/2)+(C32/(D32*((BN32+BO32)/2)))^2/(2*9.81)+B32-(G31+H31^2/(2*9.81))-(A31-A32)*(((DATOS!$B$34*(C32/(D32*((BN32+BO32)/2)))/((D32*((BN32+BO32)/2))/(D32+2*((BN32+BO32)/2)))^(2/3))^2+((DATOS!$B$34*H31/((D31*F31)/(D31+2*F31))^(2/3))^2))/2))&gt;0,BN32,((BN32+BO32)/2))</f>
        <v/>
      </c>
      <c r="BQ32" s="5">
        <f>IF((((BN32+BO32)/2)+(C32/(D32*((BN32+BO32)/2)))^2/(2*9.81)+B32-(G31+H31^2/(2*9.81))-(A31-A32)*(((DATOS!$B$34*(C32/(D32*((BN32+BO32)/2)))/((D32*((BN32+BO32)/2))/(D32+2*((BN32+BO32)/2)))^(2/3))^2+((DATOS!$B$34*H31/((D31*F31)/(D31+2*F31))^(2/3))^2))/2))&gt;0,((BN32+BO32)/2),BO32)</f>
        <v/>
      </c>
      <c r="BR32" s="5">
        <f>IF((((BP32+BQ32)/2)+(C32/(D32*((BP32+BQ32)/2)))^2/(2*9.81)+B32-(G31+H31^2/(2*9.81))-(A31-A32)*(((DATOS!$B$34*(C32/(D32*((BP32+BQ32)/2)))/((D32*((BP32+BQ32)/2))/(D32+2*((BP32+BQ32)/2)))^(2/3))^2+((DATOS!$B$34*H31/((D31*F31)/(D31+2*F31))^(2/3))^2))/2))&gt;0,BP32,((BP32+BQ32)/2))</f>
        <v/>
      </c>
      <c r="BS32" s="5">
        <f>IF((((BP32+BQ32)/2)+(C32/(D32*((BP32+BQ32)/2)))^2/(2*9.81)+B32-(G31+H31^2/(2*9.81))-(A31-A32)*(((DATOS!$B$34*(C32/(D32*((BP32+BQ32)/2)))/((D32*((BP32+BQ32)/2))/(D32+2*((BP32+BQ32)/2)))^(2/3))^2+((DATOS!$B$34*H31/((D31*F31)/(D31+2*F31))^(2/3))^2))/2))&gt;0,((BP32+BQ32)/2),BQ32)</f>
        <v/>
      </c>
      <c r="BT32" s="5">
        <f>IF((((BR32+BS32)/2)+(C32/(D32*((BR32+BS32)/2)))^2/(2*9.81)+B32-(G31+H31^2/(2*9.81))-(A31-A32)*(((DATOS!$B$34*(C32/(D32*((BR32+BS32)/2)))/((D32*((BR32+BS32)/2))/(D32+2*((BR32+BS32)/2)))^(2/3))^2+((DATOS!$B$34*H31/((D31*F31)/(D31+2*F31))^(2/3))^2))/2))&gt;0,BR32,((BR32+BS32)/2))</f>
        <v/>
      </c>
      <c r="BU32" s="5">
        <f>IF((((BR32+BS32)/2)+(C32/(D32*((BR32+BS32)/2)))^2/(2*9.81)+B32-(G31+H31^2/(2*9.81))-(A31-A32)*(((DATOS!$B$34*(C32/(D32*((BR32+BS32)/2)))/((D32*((BR32+BS32)/2))/(D32+2*((BR32+BS32)/2)))^(2/3))^2+((DATOS!$B$34*H31/((D31*F31)/(D31+2*F31))^(2/3))^2))/2))&gt;0,((BR32+BS32)/2),BS32)</f>
        <v/>
      </c>
      <c r="BV32" s="5">
        <f>IF((((BT32+BU32)/2)+(C32/(D32*((BT32+BU32)/2)))^2/(2*9.81)+B32-(G31+H31^2/(2*9.81))-(A31-A32)*(((DATOS!$B$34*(C32/(D32*((BT32+BU32)/2)))/((D32*((BT32+BU32)/2))/(D32+2*((BT32+BU32)/2)))^(2/3))^2+((DATOS!$B$34*H31/((D31*F31)/(D31+2*F31))^(2/3))^2))/2))&gt;0,BT32,((BT32+BU32)/2))</f>
        <v/>
      </c>
      <c r="BW32" s="5">
        <f>IF((((BT32+BU32)/2)+(C32/(D32*((BT32+BU32)/2)))^2/(2*9.81)+B32-(G31+H31^2/(2*9.81))-(A31-A32)*(((DATOS!$B$34*(C32/(D32*((BT32+BU32)/2)))/((D32*((BT32+BU32)/2))/(D32+2*((BT32+BU32)/2)))^(2/3))^2+((DATOS!$B$34*H31/((D31*F31)/(D31+2*F31))^(2/3))^2))/2))&gt;0,((BT32+BU32)/2),BU32)</f>
        <v/>
      </c>
    </row>
    <row r="33">
      <c r="A33" s="13" t="n">
        <v>49</v>
      </c>
      <c r="B33" s="16">
        <f>DATOS!$B$22-DATOS!$B$23*A33</f>
        <v/>
      </c>
      <c r="C33" s="24">
        <f>CAUDALES!$B$13</f>
        <v/>
      </c>
      <c r="D33" s="17">
        <f>DATOS!$B$17</f>
        <v/>
      </c>
      <c r="E33" s="16">
        <f>(C33^2/(9.81*D33^2))^(1/3)</f>
        <v/>
      </c>
      <c r="F33" s="16">
        <f>(BV33+BW33)/2</f>
        <v/>
      </c>
      <c r="G33" s="16">
        <f>B33+F33</f>
        <v/>
      </c>
      <c r="H33" s="19">
        <f>C33/(D33*F33)</f>
        <v/>
      </c>
      <c r="I33" s="19">
        <f>H33/SQRT(9.81*F33)</f>
        <v/>
      </c>
      <c r="J33" s="16">
        <f>DATOS!$B$29-IF(AND(A33&gt;=DATOS!$B$30,A33&lt;DATOS!$B$31),DATOS!$B$21,DATOS!$B$20)</f>
        <v/>
      </c>
      <c r="K33" s="19">
        <f>J33-B33</f>
        <v/>
      </c>
      <c r="L33" s="19">
        <f>F33/K33</f>
        <v/>
      </c>
      <c r="M33" s="16">
        <f>J33-G33</f>
        <v/>
      </c>
      <c r="N33" s="5">
        <f>IF(AND(L33&lt;=DATOS!$B$36,M33&gt;=DATOS!$B$37,I33&lt;=1),"CUMPLE","NO CUMPLE")</f>
        <v/>
      </c>
      <c r="O33" s="5">
        <f>IF(AND(A33&gt;=DATOS!$B$30,A33&lt;DATOS!$B$31),"cruce de camiones",IF(AND(A33&gt;=DATOS!$B$32,A33&lt;DATOS!$B$33),"cruce de motos","tramo normal"))</f>
        <v/>
      </c>
      <c r="P33" s="5">
        <f>E33*1.001</f>
        <v/>
      </c>
      <c r="Q33" s="13" t="n">
        <v>3</v>
      </c>
      <c r="R33" s="5">
        <f>IF((((P33+Q33)/2)+(C33/(D33*((P33+Q33)/2)))^2/(2*9.81)+B33-(G32+H32^2/(2*9.81))-(A32-A33)*(((DATOS!$B$34*(C33/(D33*((P33+Q33)/2)))/((D33*((P33+Q33)/2))/(D33+2*((P33+Q33)/2)))^(2/3))^2+((DATOS!$B$34*H32/((D32*F32)/(D32+2*F32))^(2/3))^2))/2))&gt;0,P33,((P33+Q33)/2))</f>
        <v/>
      </c>
      <c r="S33" s="5">
        <f>IF((((P33+Q33)/2)+(C33/(D33*((P33+Q33)/2)))^2/(2*9.81)+B33-(G32+H32^2/(2*9.81))-(A32-A33)*(((DATOS!$B$34*(C33/(D33*((P33+Q33)/2)))/((D33*((P33+Q33)/2))/(D33+2*((P33+Q33)/2)))^(2/3))^2+((DATOS!$B$34*H32/((D32*F32)/(D32+2*F32))^(2/3))^2))/2))&gt;0,((P33+Q33)/2),Q33)</f>
        <v/>
      </c>
      <c r="T33" s="5">
        <f>IF((((R33+S33)/2)+(C33/(D33*((R33+S33)/2)))^2/(2*9.81)+B33-(G32+H32^2/(2*9.81))-(A32-A33)*(((DATOS!$B$34*(C33/(D33*((R33+S33)/2)))/((D33*((R33+S33)/2))/(D33+2*((R33+S33)/2)))^(2/3))^2+((DATOS!$B$34*H32/((D32*F32)/(D32+2*F32))^(2/3))^2))/2))&gt;0,R33,((R33+S33)/2))</f>
        <v/>
      </c>
      <c r="U33" s="5">
        <f>IF((((R33+S33)/2)+(C33/(D33*((R33+S33)/2)))^2/(2*9.81)+B33-(G32+H32^2/(2*9.81))-(A32-A33)*(((DATOS!$B$34*(C33/(D33*((R33+S33)/2)))/((D33*((R33+S33)/2))/(D33+2*((R33+S33)/2)))^(2/3))^2+((DATOS!$B$34*H32/((D32*F32)/(D32+2*F32))^(2/3))^2))/2))&gt;0,((R33+S33)/2),S33)</f>
        <v/>
      </c>
      <c r="V33" s="5">
        <f>IF((((T33+U33)/2)+(C33/(D33*((T33+U33)/2)))^2/(2*9.81)+B33-(G32+H32^2/(2*9.81))-(A32-A33)*(((DATOS!$B$34*(C33/(D33*((T33+U33)/2)))/((D33*((T33+U33)/2))/(D33+2*((T33+U33)/2)))^(2/3))^2+((DATOS!$B$34*H32/((D32*F32)/(D32+2*F32))^(2/3))^2))/2))&gt;0,T33,((T33+U33)/2))</f>
        <v/>
      </c>
      <c r="W33" s="5">
        <f>IF((((T33+U33)/2)+(C33/(D33*((T33+U33)/2)))^2/(2*9.81)+B33-(G32+H32^2/(2*9.81))-(A32-A33)*(((DATOS!$B$34*(C33/(D33*((T33+U33)/2)))/((D33*((T33+U33)/2))/(D33+2*((T33+U33)/2)))^(2/3))^2+((DATOS!$B$34*H32/((D32*F32)/(D32+2*F32))^(2/3))^2))/2))&gt;0,((T33+U33)/2),U33)</f>
        <v/>
      </c>
      <c r="X33" s="5">
        <f>IF((((V33+W33)/2)+(C33/(D33*((V33+W33)/2)))^2/(2*9.81)+B33-(G32+H32^2/(2*9.81))-(A32-A33)*(((DATOS!$B$34*(C33/(D33*((V33+W33)/2)))/((D33*((V33+W33)/2))/(D33+2*((V33+W33)/2)))^(2/3))^2+((DATOS!$B$34*H32/((D32*F32)/(D32+2*F32))^(2/3))^2))/2))&gt;0,V33,((V33+W33)/2))</f>
        <v/>
      </c>
      <c r="Y33" s="5">
        <f>IF((((V33+W33)/2)+(C33/(D33*((V33+W33)/2)))^2/(2*9.81)+B33-(G32+H32^2/(2*9.81))-(A32-A33)*(((DATOS!$B$34*(C33/(D33*((V33+W33)/2)))/((D33*((V33+W33)/2))/(D33+2*((V33+W33)/2)))^(2/3))^2+((DATOS!$B$34*H32/((D32*F32)/(D32+2*F32))^(2/3))^2))/2))&gt;0,((V33+W33)/2),W33)</f>
        <v/>
      </c>
      <c r="Z33" s="5">
        <f>IF((((X33+Y33)/2)+(C33/(D33*((X33+Y33)/2)))^2/(2*9.81)+B33-(G32+H32^2/(2*9.81))-(A32-A33)*(((DATOS!$B$34*(C33/(D33*((X33+Y33)/2)))/((D33*((X33+Y33)/2))/(D33+2*((X33+Y33)/2)))^(2/3))^2+((DATOS!$B$34*H32/((D32*F32)/(D32+2*F32))^(2/3))^2))/2))&gt;0,X33,((X33+Y33)/2))</f>
        <v/>
      </c>
      <c r="AA33" s="5">
        <f>IF((((X33+Y33)/2)+(C33/(D33*((X33+Y33)/2)))^2/(2*9.81)+B33-(G32+H32^2/(2*9.81))-(A32-A33)*(((DATOS!$B$34*(C33/(D33*((X33+Y33)/2)))/((D33*((X33+Y33)/2))/(D33+2*((X33+Y33)/2)))^(2/3))^2+((DATOS!$B$34*H32/((D32*F32)/(D32+2*F32))^(2/3))^2))/2))&gt;0,((X33+Y33)/2),Y33)</f>
        <v/>
      </c>
      <c r="AB33" s="5">
        <f>IF((((Z33+AA33)/2)+(C33/(D33*((Z33+AA33)/2)))^2/(2*9.81)+B33-(G32+H32^2/(2*9.81))-(A32-A33)*(((DATOS!$B$34*(C33/(D33*((Z33+AA33)/2)))/((D33*((Z33+AA33)/2))/(D33+2*((Z33+AA33)/2)))^(2/3))^2+((DATOS!$B$34*H32/((D32*F32)/(D32+2*F32))^(2/3))^2))/2))&gt;0,Z33,((Z33+AA33)/2))</f>
        <v/>
      </c>
      <c r="AC33" s="5">
        <f>IF((((Z33+AA33)/2)+(C33/(D33*((Z33+AA33)/2)))^2/(2*9.81)+B33-(G32+H32^2/(2*9.81))-(A32-A33)*(((DATOS!$B$34*(C33/(D33*((Z33+AA33)/2)))/((D33*((Z33+AA33)/2))/(D33+2*((Z33+AA33)/2)))^(2/3))^2+((DATOS!$B$34*H32/((D32*F32)/(D32+2*F32))^(2/3))^2))/2))&gt;0,((Z33+AA33)/2),AA33)</f>
        <v/>
      </c>
      <c r="AD33" s="5">
        <f>IF((((AB33+AC33)/2)+(C33/(D33*((AB33+AC33)/2)))^2/(2*9.81)+B33-(G32+H32^2/(2*9.81))-(A32-A33)*(((DATOS!$B$34*(C33/(D33*((AB33+AC33)/2)))/((D33*((AB33+AC33)/2))/(D33+2*((AB33+AC33)/2)))^(2/3))^2+((DATOS!$B$34*H32/((D32*F32)/(D32+2*F32))^(2/3))^2))/2))&gt;0,AB33,((AB33+AC33)/2))</f>
        <v/>
      </c>
      <c r="AE33" s="5">
        <f>IF((((AB33+AC33)/2)+(C33/(D33*((AB33+AC33)/2)))^2/(2*9.81)+B33-(G32+H32^2/(2*9.81))-(A32-A33)*(((DATOS!$B$34*(C33/(D33*((AB33+AC33)/2)))/((D33*((AB33+AC33)/2))/(D33+2*((AB33+AC33)/2)))^(2/3))^2+((DATOS!$B$34*H32/((D32*F32)/(D32+2*F32))^(2/3))^2))/2))&gt;0,((AB33+AC33)/2),AC33)</f>
        <v/>
      </c>
      <c r="AF33" s="5">
        <f>IF((((AD33+AE33)/2)+(C33/(D33*((AD33+AE33)/2)))^2/(2*9.81)+B33-(G32+H32^2/(2*9.81))-(A32-A33)*(((DATOS!$B$34*(C33/(D33*((AD33+AE33)/2)))/((D33*((AD33+AE33)/2))/(D33+2*((AD33+AE33)/2)))^(2/3))^2+((DATOS!$B$34*H32/((D32*F32)/(D32+2*F32))^(2/3))^2))/2))&gt;0,AD33,((AD33+AE33)/2))</f>
        <v/>
      </c>
      <c r="AG33" s="5">
        <f>IF((((AD33+AE33)/2)+(C33/(D33*((AD33+AE33)/2)))^2/(2*9.81)+B33-(G32+H32^2/(2*9.81))-(A32-A33)*(((DATOS!$B$34*(C33/(D33*((AD33+AE33)/2)))/((D33*((AD33+AE33)/2))/(D33+2*((AD33+AE33)/2)))^(2/3))^2+((DATOS!$B$34*H32/((D32*F32)/(D32+2*F32))^(2/3))^2))/2))&gt;0,((AD33+AE33)/2),AE33)</f>
        <v/>
      </c>
      <c r="AH33" s="5">
        <f>IF((((AF33+AG33)/2)+(C33/(D33*((AF33+AG33)/2)))^2/(2*9.81)+B33-(G32+H32^2/(2*9.81))-(A32-A33)*(((DATOS!$B$34*(C33/(D33*((AF33+AG33)/2)))/((D33*((AF33+AG33)/2))/(D33+2*((AF33+AG33)/2)))^(2/3))^2+((DATOS!$B$34*H32/((D32*F32)/(D32+2*F32))^(2/3))^2))/2))&gt;0,AF33,((AF33+AG33)/2))</f>
        <v/>
      </c>
      <c r="AI33" s="5">
        <f>IF((((AF33+AG33)/2)+(C33/(D33*((AF33+AG33)/2)))^2/(2*9.81)+B33-(G32+H32^2/(2*9.81))-(A32-A33)*(((DATOS!$B$34*(C33/(D33*((AF33+AG33)/2)))/((D33*((AF33+AG33)/2))/(D33+2*((AF33+AG33)/2)))^(2/3))^2+((DATOS!$B$34*H32/((D32*F32)/(D32+2*F32))^(2/3))^2))/2))&gt;0,((AF33+AG33)/2),AG33)</f>
        <v/>
      </c>
      <c r="AJ33" s="5">
        <f>IF((((AH33+AI33)/2)+(C33/(D33*((AH33+AI33)/2)))^2/(2*9.81)+B33-(G32+H32^2/(2*9.81))-(A32-A33)*(((DATOS!$B$34*(C33/(D33*((AH33+AI33)/2)))/((D33*((AH33+AI33)/2))/(D33+2*((AH33+AI33)/2)))^(2/3))^2+((DATOS!$B$34*H32/((D32*F32)/(D32+2*F32))^(2/3))^2))/2))&gt;0,AH33,((AH33+AI33)/2))</f>
        <v/>
      </c>
      <c r="AK33" s="5">
        <f>IF((((AH33+AI33)/2)+(C33/(D33*((AH33+AI33)/2)))^2/(2*9.81)+B33-(G32+H32^2/(2*9.81))-(A32-A33)*(((DATOS!$B$34*(C33/(D33*((AH33+AI33)/2)))/((D33*((AH33+AI33)/2))/(D33+2*((AH33+AI33)/2)))^(2/3))^2+((DATOS!$B$34*H32/((D32*F32)/(D32+2*F32))^(2/3))^2))/2))&gt;0,((AH33+AI33)/2),AI33)</f>
        <v/>
      </c>
      <c r="AL33" s="5">
        <f>IF((((AJ33+AK33)/2)+(C33/(D33*((AJ33+AK33)/2)))^2/(2*9.81)+B33-(G32+H32^2/(2*9.81))-(A32-A33)*(((DATOS!$B$34*(C33/(D33*((AJ33+AK33)/2)))/((D33*((AJ33+AK33)/2))/(D33+2*((AJ33+AK33)/2)))^(2/3))^2+((DATOS!$B$34*H32/((D32*F32)/(D32+2*F32))^(2/3))^2))/2))&gt;0,AJ33,((AJ33+AK33)/2))</f>
        <v/>
      </c>
      <c r="AM33" s="5">
        <f>IF((((AJ33+AK33)/2)+(C33/(D33*((AJ33+AK33)/2)))^2/(2*9.81)+B33-(G32+H32^2/(2*9.81))-(A32-A33)*(((DATOS!$B$34*(C33/(D33*((AJ33+AK33)/2)))/((D33*((AJ33+AK33)/2))/(D33+2*((AJ33+AK33)/2)))^(2/3))^2+((DATOS!$B$34*H32/((D32*F32)/(D32+2*F32))^(2/3))^2))/2))&gt;0,((AJ33+AK33)/2),AK33)</f>
        <v/>
      </c>
      <c r="AN33" s="5">
        <f>IF((((AL33+AM33)/2)+(C33/(D33*((AL33+AM33)/2)))^2/(2*9.81)+B33-(G32+H32^2/(2*9.81))-(A32-A33)*(((DATOS!$B$34*(C33/(D33*((AL33+AM33)/2)))/((D33*((AL33+AM33)/2))/(D33+2*((AL33+AM33)/2)))^(2/3))^2+((DATOS!$B$34*H32/((D32*F32)/(D32+2*F32))^(2/3))^2))/2))&gt;0,AL33,((AL33+AM33)/2))</f>
        <v/>
      </c>
      <c r="AO33" s="5">
        <f>IF((((AL33+AM33)/2)+(C33/(D33*((AL33+AM33)/2)))^2/(2*9.81)+B33-(G32+H32^2/(2*9.81))-(A32-A33)*(((DATOS!$B$34*(C33/(D33*((AL33+AM33)/2)))/((D33*((AL33+AM33)/2))/(D33+2*((AL33+AM33)/2)))^(2/3))^2+((DATOS!$B$34*H32/((D32*F32)/(D32+2*F32))^(2/3))^2))/2))&gt;0,((AL33+AM33)/2),AM33)</f>
        <v/>
      </c>
      <c r="AP33" s="5">
        <f>IF((((AN33+AO33)/2)+(C33/(D33*((AN33+AO33)/2)))^2/(2*9.81)+B33-(G32+H32^2/(2*9.81))-(A32-A33)*(((DATOS!$B$34*(C33/(D33*((AN33+AO33)/2)))/((D33*((AN33+AO33)/2))/(D33+2*((AN33+AO33)/2)))^(2/3))^2+((DATOS!$B$34*H32/((D32*F32)/(D32+2*F32))^(2/3))^2))/2))&gt;0,AN33,((AN33+AO33)/2))</f>
        <v/>
      </c>
      <c r="AQ33" s="5">
        <f>IF((((AN33+AO33)/2)+(C33/(D33*((AN33+AO33)/2)))^2/(2*9.81)+B33-(G32+H32^2/(2*9.81))-(A32-A33)*(((DATOS!$B$34*(C33/(D33*((AN33+AO33)/2)))/((D33*((AN33+AO33)/2))/(D33+2*((AN33+AO33)/2)))^(2/3))^2+((DATOS!$B$34*H32/((D32*F32)/(D32+2*F32))^(2/3))^2))/2))&gt;0,((AN33+AO33)/2),AO33)</f>
        <v/>
      </c>
      <c r="AR33" s="5">
        <f>IF((((AP33+AQ33)/2)+(C33/(D33*((AP33+AQ33)/2)))^2/(2*9.81)+B33-(G32+H32^2/(2*9.81))-(A32-A33)*(((DATOS!$B$34*(C33/(D33*((AP33+AQ33)/2)))/((D33*((AP33+AQ33)/2))/(D33+2*((AP33+AQ33)/2)))^(2/3))^2+((DATOS!$B$34*H32/((D32*F32)/(D32+2*F32))^(2/3))^2))/2))&gt;0,AP33,((AP33+AQ33)/2))</f>
        <v/>
      </c>
      <c r="AS33" s="5">
        <f>IF((((AP33+AQ33)/2)+(C33/(D33*((AP33+AQ33)/2)))^2/(2*9.81)+B33-(G32+H32^2/(2*9.81))-(A32-A33)*(((DATOS!$B$34*(C33/(D33*((AP33+AQ33)/2)))/((D33*((AP33+AQ33)/2))/(D33+2*((AP33+AQ33)/2)))^(2/3))^2+((DATOS!$B$34*H32/((D32*F32)/(D32+2*F32))^(2/3))^2))/2))&gt;0,((AP33+AQ33)/2),AQ33)</f>
        <v/>
      </c>
      <c r="AT33" s="5">
        <f>IF((((AR33+AS33)/2)+(C33/(D33*((AR33+AS33)/2)))^2/(2*9.81)+B33-(G32+H32^2/(2*9.81))-(A32-A33)*(((DATOS!$B$34*(C33/(D33*((AR33+AS33)/2)))/((D33*((AR33+AS33)/2))/(D33+2*((AR33+AS33)/2)))^(2/3))^2+((DATOS!$B$34*H32/((D32*F32)/(D32+2*F32))^(2/3))^2))/2))&gt;0,AR33,((AR33+AS33)/2))</f>
        <v/>
      </c>
      <c r="AU33" s="5">
        <f>IF((((AR33+AS33)/2)+(C33/(D33*((AR33+AS33)/2)))^2/(2*9.81)+B33-(G32+H32^2/(2*9.81))-(A32-A33)*(((DATOS!$B$34*(C33/(D33*((AR33+AS33)/2)))/((D33*((AR33+AS33)/2))/(D33+2*((AR33+AS33)/2)))^(2/3))^2+((DATOS!$B$34*H32/((D32*F32)/(D32+2*F32))^(2/3))^2))/2))&gt;0,((AR33+AS33)/2),AS33)</f>
        <v/>
      </c>
      <c r="AV33" s="5">
        <f>IF((((AT33+AU33)/2)+(C33/(D33*((AT33+AU33)/2)))^2/(2*9.81)+B33-(G32+H32^2/(2*9.81))-(A32-A33)*(((DATOS!$B$34*(C33/(D33*((AT33+AU33)/2)))/((D33*((AT33+AU33)/2))/(D33+2*((AT33+AU33)/2)))^(2/3))^2+((DATOS!$B$34*H32/((D32*F32)/(D32+2*F32))^(2/3))^2))/2))&gt;0,AT33,((AT33+AU33)/2))</f>
        <v/>
      </c>
      <c r="AW33" s="5">
        <f>IF((((AT33+AU33)/2)+(C33/(D33*((AT33+AU33)/2)))^2/(2*9.81)+B33-(G32+H32^2/(2*9.81))-(A32-A33)*(((DATOS!$B$34*(C33/(D33*((AT33+AU33)/2)))/((D33*((AT33+AU33)/2))/(D33+2*((AT33+AU33)/2)))^(2/3))^2+((DATOS!$B$34*H32/((D32*F32)/(D32+2*F32))^(2/3))^2))/2))&gt;0,((AT33+AU33)/2),AU33)</f>
        <v/>
      </c>
      <c r="AX33" s="5">
        <f>IF((((AV33+AW33)/2)+(C33/(D33*((AV33+AW33)/2)))^2/(2*9.81)+B33-(G32+H32^2/(2*9.81))-(A32-A33)*(((DATOS!$B$34*(C33/(D33*((AV33+AW33)/2)))/((D33*((AV33+AW33)/2))/(D33+2*((AV33+AW33)/2)))^(2/3))^2+((DATOS!$B$34*H32/((D32*F32)/(D32+2*F32))^(2/3))^2))/2))&gt;0,AV33,((AV33+AW33)/2))</f>
        <v/>
      </c>
      <c r="AY33" s="5">
        <f>IF((((AV33+AW33)/2)+(C33/(D33*((AV33+AW33)/2)))^2/(2*9.81)+B33-(G32+H32^2/(2*9.81))-(A32-A33)*(((DATOS!$B$34*(C33/(D33*((AV33+AW33)/2)))/((D33*((AV33+AW33)/2))/(D33+2*((AV33+AW33)/2)))^(2/3))^2+((DATOS!$B$34*H32/((D32*F32)/(D32+2*F32))^(2/3))^2))/2))&gt;0,((AV33+AW33)/2),AW33)</f>
        <v/>
      </c>
      <c r="AZ33" s="5">
        <f>IF((((AX33+AY33)/2)+(C33/(D33*((AX33+AY33)/2)))^2/(2*9.81)+B33-(G32+H32^2/(2*9.81))-(A32-A33)*(((DATOS!$B$34*(C33/(D33*((AX33+AY33)/2)))/((D33*((AX33+AY33)/2))/(D33+2*((AX33+AY33)/2)))^(2/3))^2+((DATOS!$B$34*H32/((D32*F32)/(D32+2*F32))^(2/3))^2))/2))&gt;0,AX33,((AX33+AY33)/2))</f>
        <v/>
      </c>
      <c r="BA33" s="5">
        <f>IF((((AX33+AY33)/2)+(C33/(D33*((AX33+AY33)/2)))^2/(2*9.81)+B33-(G32+H32^2/(2*9.81))-(A32-A33)*(((DATOS!$B$34*(C33/(D33*((AX33+AY33)/2)))/((D33*((AX33+AY33)/2))/(D33+2*((AX33+AY33)/2)))^(2/3))^2+((DATOS!$B$34*H32/((D32*F32)/(D32+2*F32))^(2/3))^2))/2))&gt;0,((AX33+AY33)/2),AY33)</f>
        <v/>
      </c>
      <c r="BB33" s="5">
        <f>IF((((AZ33+BA33)/2)+(C33/(D33*((AZ33+BA33)/2)))^2/(2*9.81)+B33-(G32+H32^2/(2*9.81))-(A32-A33)*(((DATOS!$B$34*(C33/(D33*((AZ33+BA33)/2)))/((D33*((AZ33+BA33)/2))/(D33+2*((AZ33+BA33)/2)))^(2/3))^2+((DATOS!$B$34*H32/((D32*F32)/(D32+2*F32))^(2/3))^2))/2))&gt;0,AZ33,((AZ33+BA33)/2))</f>
        <v/>
      </c>
      <c r="BC33" s="5">
        <f>IF((((AZ33+BA33)/2)+(C33/(D33*((AZ33+BA33)/2)))^2/(2*9.81)+B33-(G32+H32^2/(2*9.81))-(A32-A33)*(((DATOS!$B$34*(C33/(D33*((AZ33+BA33)/2)))/((D33*((AZ33+BA33)/2))/(D33+2*((AZ33+BA33)/2)))^(2/3))^2+((DATOS!$B$34*H32/((D32*F32)/(D32+2*F32))^(2/3))^2))/2))&gt;0,((AZ33+BA33)/2),BA33)</f>
        <v/>
      </c>
      <c r="BD33" s="5">
        <f>IF((((BB33+BC33)/2)+(C33/(D33*((BB33+BC33)/2)))^2/(2*9.81)+B33-(G32+H32^2/(2*9.81))-(A32-A33)*(((DATOS!$B$34*(C33/(D33*((BB33+BC33)/2)))/((D33*((BB33+BC33)/2))/(D33+2*((BB33+BC33)/2)))^(2/3))^2+((DATOS!$B$34*H32/((D32*F32)/(D32+2*F32))^(2/3))^2))/2))&gt;0,BB33,((BB33+BC33)/2))</f>
        <v/>
      </c>
      <c r="BE33" s="5">
        <f>IF((((BB33+BC33)/2)+(C33/(D33*((BB33+BC33)/2)))^2/(2*9.81)+B33-(G32+H32^2/(2*9.81))-(A32-A33)*(((DATOS!$B$34*(C33/(D33*((BB33+BC33)/2)))/((D33*((BB33+BC33)/2))/(D33+2*((BB33+BC33)/2)))^(2/3))^2+((DATOS!$B$34*H32/((D32*F32)/(D32+2*F32))^(2/3))^2))/2))&gt;0,((BB33+BC33)/2),BC33)</f>
        <v/>
      </c>
      <c r="BF33" s="5">
        <f>IF((((BD33+BE33)/2)+(C33/(D33*((BD33+BE33)/2)))^2/(2*9.81)+B33-(G32+H32^2/(2*9.81))-(A32-A33)*(((DATOS!$B$34*(C33/(D33*((BD33+BE33)/2)))/((D33*((BD33+BE33)/2))/(D33+2*((BD33+BE33)/2)))^(2/3))^2+((DATOS!$B$34*H32/((D32*F32)/(D32+2*F32))^(2/3))^2))/2))&gt;0,BD33,((BD33+BE33)/2))</f>
        <v/>
      </c>
      <c r="BG33" s="5">
        <f>IF((((BD33+BE33)/2)+(C33/(D33*((BD33+BE33)/2)))^2/(2*9.81)+B33-(G32+H32^2/(2*9.81))-(A32-A33)*(((DATOS!$B$34*(C33/(D33*((BD33+BE33)/2)))/((D33*((BD33+BE33)/2))/(D33+2*((BD33+BE33)/2)))^(2/3))^2+((DATOS!$B$34*H32/((D32*F32)/(D32+2*F32))^(2/3))^2))/2))&gt;0,((BD33+BE33)/2),BE33)</f>
        <v/>
      </c>
      <c r="BH33" s="5">
        <f>IF((((BF33+BG33)/2)+(C33/(D33*((BF33+BG33)/2)))^2/(2*9.81)+B33-(G32+H32^2/(2*9.81))-(A32-A33)*(((DATOS!$B$34*(C33/(D33*((BF33+BG33)/2)))/((D33*((BF33+BG33)/2))/(D33+2*((BF33+BG33)/2)))^(2/3))^2+((DATOS!$B$34*H32/((D32*F32)/(D32+2*F32))^(2/3))^2))/2))&gt;0,BF33,((BF33+BG33)/2))</f>
        <v/>
      </c>
      <c r="BI33" s="5">
        <f>IF((((BF33+BG33)/2)+(C33/(D33*((BF33+BG33)/2)))^2/(2*9.81)+B33-(G32+H32^2/(2*9.81))-(A32-A33)*(((DATOS!$B$34*(C33/(D33*((BF33+BG33)/2)))/((D33*((BF33+BG33)/2))/(D33+2*((BF33+BG33)/2)))^(2/3))^2+((DATOS!$B$34*H32/((D32*F32)/(D32+2*F32))^(2/3))^2))/2))&gt;0,((BF33+BG33)/2),BG33)</f>
        <v/>
      </c>
      <c r="BJ33" s="5">
        <f>IF((((BH33+BI33)/2)+(C33/(D33*((BH33+BI33)/2)))^2/(2*9.81)+B33-(G32+H32^2/(2*9.81))-(A32-A33)*(((DATOS!$B$34*(C33/(D33*((BH33+BI33)/2)))/((D33*((BH33+BI33)/2))/(D33+2*((BH33+BI33)/2)))^(2/3))^2+((DATOS!$B$34*H32/((D32*F32)/(D32+2*F32))^(2/3))^2))/2))&gt;0,BH33,((BH33+BI33)/2))</f>
        <v/>
      </c>
      <c r="BK33" s="5">
        <f>IF((((BH33+BI33)/2)+(C33/(D33*((BH33+BI33)/2)))^2/(2*9.81)+B33-(G32+H32^2/(2*9.81))-(A32-A33)*(((DATOS!$B$34*(C33/(D33*((BH33+BI33)/2)))/((D33*((BH33+BI33)/2))/(D33+2*((BH33+BI33)/2)))^(2/3))^2+((DATOS!$B$34*H32/((D32*F32)/(D32+2*F32))^(2/3))^2))/2))&gt;0,((BH33+BI33)/2),BI33)</f>
        <v/>
      </c>
      <c r="BL33" s="5">
        <f>IF((((BJ33+BK33)/2)+(C33/(D33*((BJ33+BK33)/2)))^2/(2*9.81)+B33-(G32+H32^2/(2*9.81))-(A32-A33)*(((DATOS!$B$34*(C33/(D33*((BJ33+BK33)/2)))/((D33*((BJ33+BK33)/2))/(D33+2*((BJ33+BK33)/2)))^(2/3))^2+((DATOS!$B$34*H32/((D32*F32)/(D32+2*F32))^(2/3))^2))/2))&gt;0,BJ33,((BJ33+BK33)/2))</f>
        <v/>
      </c>
      <c r="BM33" s="5">
        <f>IF((((BJ33+BK33)/2)+(C33/(D33*((BJ33+BK33)/2)))^2/(2*9.81)+B33-(G32+H32^2/(2*9.81))-(A32-A33)*(((DATOS!$B$34*(C33/(D33*((BJ33+BK33)/2)))/((D33*((BJ33+BK33)/2))/(D33+2*((BJ33+BK33)/2)))^(2/3))^2+((DATOS!$B$34*H32/((D32*F32)/(D32+2*F32))^(2/3))^2))/2))&gt;0,((BJ33+BK33)/2),BK33)</f>
        <v/>
      </c>
      <c r="BN33" s="5">
        <f>IF((((BL33+BM33)/2)+(C33/(D33*((BL33+BM33)/2)))^2/(2*9.81)+B33-(G32+H32^2/(2*9.81))-(A32-A33)*(((DATOS!$B$34*(C33/(D33*((BL33+BM33)/2)))/((D33*((BL33+BM33)/2))/(D33+2*((BL33+BM33)/2)))^(2/3))^2+((DATOS!$B$34*H32/((D32*F32)/(D32+2*F32))^(2/3))^2))/2))&gt;0,BL33,((BL33+BM33)/2))</f>
        <v/>
      </c>
      <c r="BO33" s="5">
        <f>IF((((BL33+BM33)/2)+(C33/(D33*((BL33+BM33)/2)))^2/(2*9.81)+B33-(G32+H32^2/(2*9.81))-(A32-A33)*(((DATOS!$B$34*(C33/(D33*((BL33+BM33)/2)))/((D33*((BL33+BM33)/2))/(D33+2*((BL33+BM33)/2)))^(2/3))^2+((DATOS!$B$34*H32/((D32*F32)/(D32+2*F32))^(2/3))^2))/2))&gt;0,((BL33+BM33)/2),BM33)</f>
        <v/>
      </c>
      <c r="BP33" s="5">
        <f>IF((((BN33+BO33)/2)+(C33/(D33*((BN33+BO33)/2)))^2/(2*9.81)+B33-(G32+H32^2/(2*9.81))-(A32-A33)*(((DATOS!$B$34*(C33/(D33*((BN33+BO33)/2)))/((D33*((BN33+BO33)/2))/(D33+2*((BN33+BO33)/2)))^(2/3))^2+((DATOS!$B$34*H32/((D32*F32)/(D32+2*F32))^(2/3))^2))/2))&gt;0,BN33,((BN33+BO33)/2))</f>
        <v/>
      </c>
      <c r="BQ33" s="5">
        <f>IF((((BN33+BO33)/2)+(C33/(D33*((BN33+BO33)/2)))^2/(2*9.81)+B33-(G32+H32^2/(2*9.81))-(A32-A33)*(((DATOS!$B$34*(C33/(D33*((BN33+BO33)/2)))/((D33*((BN33+BO33)/2))/(D33+2*((BN33+BO33)/2)))^(2/3))^2+((DATOS!$B$34*H32/((D32*F32)/(D32+2*F32))^(2/3))^2))/2))&gt;0,((BN33+BO33)/2),BO33)</f>
        <v/>
      </c>
      <c r="BR33" s="5">
        <f>IF((((BP33+BQ33)/2)+(C33/(D33*((BP33+BQ33)/2)))^2/(2*9.81)+B33-(G32+H32^2/(2*9.81))-(A32-A33)*(((DATOS!$B$34*(C33/(D33*((BP33+BQ33)/2)))/((D33*((BP33+BQ33)/2))/(D33+2*((BP33+BQ33)/2)))^(2/3))^2+((DATOS!$B$34*H32/((D32*F32)/(D32+2*F32))^(2/3))^2))/2))&gt;0,BP33,((BP33+BQ33)/2))</f>
        <v/>
      </c>
      <c r="BS33" s="5">
        <f>IF((((BP33+BQ33)/2)+(C33/(D33*((BP33+BQ33)/2)))^2/(2*9.81)+B33-(G32+H32^2/(2*9.81))-(A32-A33)*(((DATOS!$B$34*(C33/(D33*((BP33+BQ33)/2)))/((D33*((BP33+BQ33)/2))/(D33+2*((BP33+BQ33)/2)))^(2/3))^2+((DATOS!$B$34*H32/((D32*F32)/(D32+2*F32))^(2/3))^2))/2))&gt;0,((BP33+BQ33)/2),BQ33)</f>
        <v/>
      </c>
      <c r="BT33" s="5">
        <f>IF((((BR33+BS33)/2)+(C33/(D33*((BR33+BS33)/2)))^2/(2*9.81)+B33-(G32+H32^2/(2*9.81))-(A32-A33)*(((DATOS!$B$34*(C33/(D33*((BR33+BS33)/2)))/((D33*((BR33+BS33)/2))/(D33+2*((BR33+BS33)/2)))^(2/3))^2+((DATOS!$B$34*H32/((D32*F32)/(D32+2*F32))^(2/3))^2))/2))&gt;0,BR33,((BR33+BS33)/2))</f>
        <v/>
      </c>
      <c r="BU33" s="5">
        <f>IF((((BR33+BS33)/2)+(C33/(D33*((BR33+BS33)/2)))^2/(2*9.81)+B33-(G32+H32^2/(2*9.81))-(A32-A33)*(((DATOS!$B$34*(C33/(D33*((BR33+BS33)/2)))/((D33*((BR33+BS33)/2))/(D33+2*((BR33+BS33)/2)))^(2/3))^2+((DATOS!$B$34*H32/((D32*F32)/(D32+2*F32))^(2/3))^2))/2))&gt;0,((BR33+BS33)/2),BS33)</f>
        <v/>
      </c>
      <c r="BV33" s="5">
        <f>IF((((BT33+BU33)/2)+(C33/(D33*((BT33+BU33)/2)))^2/(2*9.81)+B33-(G32+H32^2/(2*9.81))-(A32-A33)*(((DATOS!$B$34*(C33/(D33*((BT33+BU33)/2)))/((D33*((BT33+BU33)/2))/(D33+2*((BT33+BU33)/2)))^(2/3))^2+((DATOS!$B$34*H32/((D32*F32)/(D32+2*F32))^(2/3))^2))/2))&gt;0,BT33,((BT33+BU33)/2))</f>
        <v/>
      </c>
      <c r="BW33" s="5">
        <f>IF((((BT33+BU33)/2)+(C33/(D33*((BT33+BU33)/2)))^2/(2*9.81)+B33-(G32+H32^2/(2*9.81))-(A32-A33)*(((DATOS!$B$34*(C33/(D33*((BT33+BU33)/2)))/((D33*((BT33+BU33)/2))/(D33+2*((BT33+BU33)/2)))^(2/3))^2+((DATOS!$B$34*H32/((D32*F32)/(D32+2*F32))^(2/3))^2))/2))&gt;0,((BT33+BU33)/2),BU33)</f>
        <v/>
      </c>
    </row>
    <row r="34">
      <c r="A34" s="13" t="n">
        <v>48</v>
      </c>
      <c r="B34" s="16">
        <f>DATOS!$B$22-DATOS!$B$23*A34</f>
        <v/>
      </c>
      <c r="C34" s="24">
        <f>CAUDALES!$B$13</f>
        <v/>
      </c>
      <c r="D34" s="17">
        <f>DATOS!$B$17</f>
        <v/>
      </c>
      <c r="E34" s="16">
        <f>(C34^2/(9.81*D34^2))^(1/3)</f>
        <v/>
      </c>
      <c r="F34" s="16">
        <f>(BV34+BW34)/2</f>
        <v/>
      </c>
      <c r="G34" s="16">
        <f>B34+F34</f>
        <v/>
      </c>
      <c r="H34" s="19">
        <f>C34/(D34*F34)</f>
        <v/>
      </c>
      <c r="I34" s="19">
        <f>H34/SQRT(9.81*F34)</f>
        <v/>
      </c>
      <c r="J34" s="16">
        <f>DATOS!$B$29-IF(AND(A34&gt;=DATOS!$B$30,A34&lt;DATOS!$B$31),DATOS!$B$21,DATOS!$B$20)</f>
        <v/>
      </c>
      <c r="K34" s="19">
        <f>J34-B34</f>
        <v/>
      </c>
      <c r="L34" s="19">
        <f>F34/K34</f>
        <v/>
      </c>
      <c r="M34" s="16">
        <f>J34-G34</f>
        <v/>
      </c>
      <c r="N34" s="5">
        <f>IF(AND(L34&lt;=DATOS!$B$36,M34&gt;=DATOS!$B$37,I34&lt;=1),"CUMPLE","NO CUMPLE")</f>
        <v/>
      </c>
      <c r="O34" s="5">
        <f>IF(AND(A34&gt;=DATOS!$B$30,A34&lt;DATOS!$B$31),"cruce de camiones",IF(AND(A34&gt;=DATOS!$B$32,A34&lt;DATOS!$B$33),"cruce de motos","tramo normal"))</f>
        <v/>
      </c>
      <c r="P34" s="5">
        <f>E34*1.001</f>
        <v/>
      </c>
      <c r="Q34" s="13" t="n">
        <v>3</v>
      </c>
      <c r="R34" s="5">
        <f>IF((((P34+Q34)/2)+(C34/(D34*((P34+Q34)/2)))^2/(2*9.81)+B34-(G33+H33^2/(2*9.81))-(A33-A34)*(((DATOS!$B$34*(C34/(D34*((P34+Q34)/2)))/((D34*((P34+Q34)/2))/(D34+2*((P34+Q34)/2)))^(2/3))^2+((DATOS!$B$34*H33/((D33*F33)/(D33+2*F33))^(2/3))^2))/2))&gt;0,P34,((P34+Q34)/2))</f>
        <v/>
      </c>
      <c r="S34" s="5">
        <f>IF((((P34+Q34)/2)+(C34/(D34*((P34+Q34)/2)))^2/(2*9.81)+B34-(G33+H33^2/(2*9.81))-(A33-A34)*(((DATOS!$B$34*(C34/(D34*((P34+Q34)/2)))/((D34*((P34+Q34)/2))/(D34+2*((P34+Q34)/2)))^(2/3))^2+((DATOS!$B$34*H33/((D33*F33)/(D33+2*F33))^(2/3))^2))/2))&gt;0,((P34+Q34)/2),Q34)</f>
        <v/>
      </c>
      <c r="T34" s="5">
        <f>IF((((R34+S34)/2)+(C34/(D34*((R34+S34)/2)))^2/(2*9.81)+B34-(G33+H33^2/(2*9.81))-(A33-A34)*(((DATOS!$B$34*(C34/(D34*((R34+S34)/2)))/((D34*((R34+S34)/2))/(D34+2*((R34+S34)/2)))^(2/3))^2+((DATOS!$B$34*H33/((D33*F33)/(D33+2*F33))^(2/3))^2))/2))&gt;0,R34,((R34+S34)/2))</f>
        <v/>
      </c>
      <c r="U34" s="5">
        <f>IF((((R34+S34)/2)+(C34/(D34*((R34+S34)/2)))^2/(2*9.81)+B34-(G33+H33^2/(2*9.81))-(A33-A34)*(((DATOS!$B$34*(C34/(D34*((R34+S34)/2)))/((D34*((R34+S34)/2))/(D34+2*((R34+S34)/2)))^(2/3))^2+((DATOS!$B$34*H33/((D33*F33)/(D33+2*F33))^(2/3))^2))/2))&gt;0,((R34+S34)/2),S34)</f>
        <v/>
      </c>
      <c r="V34" s="5">
        <f>IF((((T34+U34)/2)+(C34/(D34*((T34+U34)/2)))^2/(2*9.81)+B34-(G33+H33^2/(2*9.81))-(A33-A34)*(((DATOS!$B$34*(C34/(D34*((T34+U34)/2)))/((D34*((T34+U34)/2))/(D34+2*((T34+U34)/2)))^(2/3))^2+((DATOS!$B$34*H33/((D33*F33)/(D33+2*F33))^(2/3))^2))/2))&gt;0,T34,((T34+U34)/2))</f>
        <v/>
      </c>
      <c r="W34" s="5">
        <f>IF((((T34+U34)/2)+(C34/(D34*((T34+U34)/2)))^2/(2*9.81)+B34-(G33+H33^2/(2*9.81))-(A33-A34)*(((DATOS!$B$34*(C34/(D34*((T34+U34)/2)))/((D34*((T34+U34)/2))/(D34+2*((T34+U34)/2)))^(2/3))^2+((DATOS!$B$34*H33/((D33*F33)/(D33+2*F33))^(2/3))^2))/2))&gt;0,((T34+U34)/2),U34)</f>
        <v/>
      </c>
      <c r="X34" s="5">
        <f>IF((((V34+W34)/2)+(C34/(D34*((V34+W34)/2)))^2/(2*9.81)+B34-(G33+H33^2/(2*9.81))-(A33-A34)*(((DATOS!$B$34*(C34/(D34*((V34+W34)/2)))/((D34*((V34+W34)/2))/(D34+2*((V34+W34)/2)))^(2/3))^2+((DATOS!$B$34*H33/((D33*F33)/(D33+2*F33))^(2/3))^2))/2))&gt;0,V34,((V34+W34)/2))</f>
        <v/>
      </c>
      <c r="Y34" s="5">
        <f>IF((((V34+W34)/2)+(C34/(D34*((V34+W34)/2)))^2/(2*9.81)+B34-(G33+H33^2/(2*9.81))-(A33-A34)*(((DATOS!$B$34*(C34/(D34*((V34+W34)/2)))/((D34*((V34+W34)/2))/(D34+2*((V34+W34)/2)))^(2/3))^2+((DATOS!$B$34*H33/((D33*F33)/(D33+2*F33))^(2/3))^2))/2))&gt;0,((V34+W34)/2),W34)</f>
        <v/>
      </c>
      <c r="Z34" s="5">
        <f>IF((((X34+Y34)/2)+(C34/(D34*((X34+Y34)/2)))^2/(2*9.81)+B34-(G33+H33^2/(2*9.81))-(A33-A34)*(((DATOS!$B$34*(C34/(D34*((X34+Y34)/2)))/((D34*((X34+Y34)/2))/(D34+2*((X34+Y34)/2)))^(2/3))^2+((DATOS!$B$34*H33/((D33*F33)/(D33+2*F33))^(2/3))^2))/2))&gt;0,X34,((X34+Y34)/2))</f>
        <v/>
      </c>
      <c r="AA34" s="5">
        <f>IF((((X34+Y34)/2)+(C34/(D34*((X34+Y34)/2)))^2/(2*9.81)+B34-(G33+H33^2/(2*9.81))-(A33-A34)*(((DATOS!$B$34*(C34/(D34*((X34+Y34)/2)))/((D34*((X34+Y34)/2))/(D34+2*((X34+Y34)/2)))^(2/3))^2+((DATOS!$B$34*H33/((D33*F33)/(D33+2*F33))^(2/3))^2))/2))&gt;0,((X34+Y34)/2),Y34)</f>
        <v/>
      </c>
      <c r="AB34" s="5">
        <f>IF((((Z34+AA34)/2)+(C34/(D34*((Z34+AA34)/2)))^2/(2*9.81)+B34-(G33+H33^2/(2*9.81))-(A33-A34)*(((DATOS!$B$34*(C34/(D34*((Z34+AA34)/2)))/((D34*((Z34+AA34)/2))/(D34+2*((Z34+AA34)/2)))^(2/3))^2+((DATOS!$B$34*H33/((D33*F33)/(D33+2*F33))^(2/3))^2))/2))&gt;0,Z34,((Z34+AA34)/2))</f>
        <v/>
      </c>
      <c r="AC34" s="5">
        <f>IF((((Z34+AA34)/2)+(C34/(D34*((Z34+AA34)/2)))^2/(2*9.81)+B34-(G33+H33^2/(2*9.81))-(A33-A34)*(((DATOS!$B$34*(C34/(D34*((Z34+AA34)/2)))/((D34*((Z34+AA34)/2))/(D34+2*((Z34+AA34)/2)))^(2/3))^2+((DATOS!$B$34*H33/((D33*F33)/(D33+2*F33))^(2/3))^2))/2))&gt;0,((Z34+AA34)/2),AA34)</f>
        <v/>
      </c>
      <c r="AD34" s="5">
        <f>IF((((AB34+AC34)/2)+(C34/(D34*((AB34+AC34)/2)))^2/(2*9.81)+B34-(G33+H33^2/(2*9.81))-(A33-A34)*(((DATOS!$B$34*(C34/(D34*((AB34+AC34)/2)))/((D34*((AB34+AC34)/2))/(D34+2*((AB34+AC34)/2)))^(2/3))^2+((DATOS!$B$34*H33/((D33*F33)/(D33+2*F33))^(2/3))^2))/2))&gt;0,AB34,((AB34+AC34)/2))</f>
        <v/>
      </c>
      <c r="AE34" s="5">
        <f>IF((((AB34+AC34)/2)+(C34/(D34*((AB34+AC34)/2)))^2/(2*9.81)+B34-(G33+H33^2/(2*9.81))-(A33-A34)*(((DATOS!$B$34*(C34/(D34*((AB34+AC34)/2)))/((D34*((AB34+AC34)/2))/(D34+2*((AB34+AC34)/2)))^(2/3))^2+((DATOS!$B$34*H33/((D33*F33)/(D33+2*F33))^(2/3))^2))/2))&gt;0,((AB34+AC34)/2),AC34)</f>
        <v/>
      </c>
      <c r="AF34" s="5">
        <f>IF((((AD34+AE34)/2)+(C34/(D34*((AD34+AE34)/2)))^2/(2*9.81)+B34-(G33+H33^2/(2*9.81))-(A33-A34)*(((DATOS!$B$34*(C34/(D34*((AD34+AE34)/2)))/((D34*((AD34+AE34)/2))/(D34+2*((AD34+AE34)/2)))^(2/3))^2+((DATOS!$B$34*H33/((D33*F33)/(D33+2*F33))^(2/3))^2))/2))&gt;0,AD34,((AD34+AE34)/2))</f>
        <v/>
      </c>
      <c r="AG34" s="5">
        <f>IF((((AD34+AE34)/2)+(C34/(D34*((AD34+AE34)/2)))^2/(2*9.81)+B34-(G33+H33^2/(2*9.81))-(A33-A34)*(((DATOS!$B$34*(C34/(D34*((AD34+AE34)/2)))/((D34*((AD34+AE34)/2))/(D34+2*((AD34+AE34)/2)))^(2/3))^2+((DATOS!$B$34*H33/((D33*F33)/(D33+2*F33))^(2/3))^2))/2))&gt;0,((AD34+AE34)/2),AE34)</f>
        <v/>
      </c>
      <c r="AH34" s="5">
        <f>IF((((AF34+AG34)/2)+(C34/(D34*((AF34+AG34)/2)))^2/(2*9.81)+B34-(G33+H33^2/(2*9.81))-(A33-A34)*(((DATOS!$B$34*(C34/(D34*((AF34+AG34)/2)))/((D34*((AF34+AG34)/2))/(D34+2*((AF34+AG34)/2)))^(2/3))^2+((DATOS!$B$34*H33/((D33*F33)/(D33+2*F33))^(2/3))^2))/2))&gt;0,AF34,((AF34+AG34)/2))</f>
        <v/>
      </c>
      <c r="AI34" s="5">
        <f>IF((((AF34+AG34)/2)+(C34/(D34*((AF34+AG34)/2)))^2/(2*9.81)+B34-(G33+H33^2/(2*9.81))-(A33-A34)*(((DATOS!$B$34*(C34/(D34*((AF34+AG34)/2)))/((D34*((AF34+AG34)/2))/(D34+2*((AF34+AG34)/2)))^(2/3))^2+((DATOS!$B$34*H33/((D33*F33)/(D33+2*F33))^(2/3))^2))/2))&gt;0,((AF34+AG34)/2),AG34)</f>
        <v/>
      </c>
      <c r="AJ34" s="5">
        <f>IF((((AH34+AI34)/2)+(C34/(D34*((AH34+AI34)/2)))^2/(2*9.81)+B34-(G33+H33^2/(2*9.81))-(A33-A34)*(((DATOS!$B$34*(C34/(D34*((AH34+AI34)/2)))/((D34*((AH34+AI34)/2))/(D34+2*((AH34+AI34)/2)))^(2/3))^2+((DATOS!$B$34*H33/((D33*F33)/(D33+2*F33))^(2/3))^2))/2))&gt;0,AH34,((AH34+AI34)/2))</f>
        <v/>
      </c>
      <c r="AK34" s="5">
        <f>IF((((AH34+AI34)/2)+(C34/(D34*((AH34+AI34)/2)))^2/(2*9.81)+B34-(G33+H33^2/(2*9.81))-(A33-A34)*(((DATOS!$B$34*(C34/(D34*((AH34+AI34)/2)))/((D34*((AH34+AI34)/2))/(D34+2*((AH34+AI34)/2)))^(2/3))^2+((DATOS!$B$34*H33/((D33*F33)/(D33+2*F33))^(2/3))^2))/2))&gt;0,((AH34+AI34)/2),AI34)</f>
        <v/>
      </c>
      <c r="AL34" s="5">
        <f>IF((((AJ34+AK34)/2)+(C34/(D34*((AJ34+AK34)/2)))^2/(2*9.81)+B34-(G33+H33^2/(2*9.81))-(A33-A34)*(((DATOS!$B$34*(C34/(D34*((AJ34+AK34)/2)))/((D34*((AJ34+AK34)/2))/(D34+2*((AJ34+AK34)/2)))^(2/3))^2+((DATOS!$B$34*H33/((D33*F33)/(D33+2*F33))^(2/3))^2))/2))&gt;0,AJ34,((AJ34+AK34)/2))</f>
        <v/>
      </c>
      <c r="AM34" s="5">
        <f>IF((((AJ34+AK34)/2)+(C34/(D34*((AJ34+AK34)/2)))^2/(2*9.81)+B34-(G33+H33^2/(2*9.81))-(A33-A34)*(((DATOS!$B$34*(C34/(D34*((AJ34+AK34)/2)))/((D34*((AJ34+AK34)/2))/(D34+2*((AJ34+AK34)/2)))^(2/3))^2+((DATOS!$B$34*H33/((D33*F33)/(D33+2*F33))^(2/3))^2))/2))&gt;0,((AJ34+AK34)/2),AK34)</f>
        <v/>
      </c>
      <c r="AN34" s="5">
        <f>IF((((AL34+AM34)/2)+(C34/(D34*((AL34+AM34)/2)))^2/(2*9.81)+B34-(G33+H33^2/(2*9.81))-(A33-A34)*(((DATOS!$B$34*(C34/(D34*((AL34+AM34)/2)))/((D34*((AL34+AM34)/2))/(D34+2*((AL34+AM34)/2)))^(2/3))^2+((DATOS!$B$34*H33/((D33*F33)/(D33+2*F33))^(2/3))^2))/2))&gt;0,AL34,((AL34+AM34)/2))</f>
        <v/>
      </c>
      <c r="AO34" s="5">
        <f>IF((((AL34+AM34)/2)+(C34/(D34*((AL34+AM34)/2)))^2/(2*9.81)+B34-(G33+H33^2/(2*9.81))-(A33-A34)*(((DATOS!$B$34*(C34/(D34*((AL34+AM34)/2)))/((D34*((AL34+AM34)/2))/(D34+2*((AL34+AM34)/2)))^(2/3))^2+((DATOS!$B$34*H33/((D33*F33)/(D33+2*F33))^(2/3))^2))/2))&gt;0,((AL34+AM34)/2),AM34)</f>
        <v/>
      </c>
      <c r="AP34" s="5">
        <f>IF((((AN34+AO34)/2)+(C34/(D34*((AN34+AO34)/2)))^2/(2*9.81)+B34-(G33+H33^2/(2*9.81))-(A33-A34)*(((DATOS!$B$34*(C34/(D34*((AN34+AO34)/2)))/((D34*((AN34+AO34)/2))/(D34+2*((AN34+AO34)/2)))^(2/3))^2+((DATOS!$B$34*H33/((D33*F33)/(D33+2*F33))^(2/3))^2))/2))&gt;0,AN34,((AN34+AO34)/2))</f>
        <v/>
      </c>
      <c r="AQ34" s="5">
        <f>IF((((AN34+AO34)/2)+(C34/(D34*((AN34+AO34)/2)))^2/(2*9.81)+B34-(G33+H33^2/(2*9.81))-(A33-A34)*(((DATOS!$B$34*(C34/(D34*((AN34+AO34)/2)))/((D34*((AN34+AO34)/2))/(D34+2*((AN34+AO34)/2)))^(2/3))^2+((DATOS!$B$34*H33/((D33*F33)/(D33+2*F33))^(2/3))^2))/2))&gt;0,((AN34+AO34)/2),AO34)</f>
        <v/>
      </c>
      <c r="AR34" s="5">
        <f>IF((((AP34+AQ34)/2)+(C34/(D34*((AP34+AQ34)/2)))^2/(2*9.81)+B34-(G33+H33^2/(2*9.81))-(A33-A34)*(((DATOS!$B$34*(C34/(D34*((AP34+AQ34)/2)))/((D34*((AP34+AQ34)/2))/(D34+2*((AP34+AQ34)/2)))^(2/3))^2+((DATOS!$B$34*H33/((D33*F33)/(D33+2*F33))^(2/3))^2))/2))&gt;0,AP34,((AP34+AQ34)/2))</f>
        <v/>
      </c>
      <c r="AS34" s="5">
        <f>IF((((AP34+AQ34)/2)+(C34/(D34*((AP34+AQ34)/2)))^2/(2*9.81)+B34-(G33+H33^2/(2*9.81))-(A33-A34)*(((DATOS!$B$34*(C34/(D34*((AP34+AQ34)/2)))/((D34*((AP34+AQ34)/2))/(D34+2*((AP34+AQ34)/2)))^(2/3))^2+((DATOS!$B$34*H33/((D33*F33)/(D33+2*F33))^(2/3))^2))/2))&gt;0,((AP34+AQ34)/2),AQ34)</f>
        <v/>
      </c>
      <c r="AT34" s="5">
        <f>IF((((AR34+AS34)/2)+(C34/(D34*((AR34+AS34)/2)))^2/(2*9.81)+B34-(G33+H33^2/(2*9.81))-(A33-A34)*(((DATOS!$B$34*(C34/(D34*((AR34+AS34)/2)))/((D34*((AR34+AS34)/2))/(D34+2*((AR34+AS34)/2)))^(2/3))^2+((DATOS!$B$34*H33/((D33*F33)/(D33+2*F33))^(2/3))^2))/2))&gt;0,AR34,((AR34+AS34)/2))</f>
        <v/>
      </c>
      <c r="AU34" s="5">
        <f>IF((((AR34+AS34)/2)+(C34/(D34*((AR34+AS34)/2)))^2/(2*9.81)+B34-(G33+H33^2/(2*9.81))-(A33-A34)*(((DATOS!$B$34*(C34/(D34*((AR34+AS34)/2)))/((D34*((AR34+AS34)/2))/(D34+2*((AR34+AS34)/2)))^(2/3))^2+((DATOS!$B$34*H33/((D33*F33)/(D33+2*F33))^(2/3))^2))/2))&gt;0,((AR34+AS34)/2),AS34)</f>
        <v/>
      </c>
      <c r="AV34" s="5">
        <f>IF((((AT34+AU34)/2)+(C34/(D34*((AT34+AU34)/2)))^2/(2*9.81)+B34-(G33+H33^2/(2*9.81))-(A33-A34)*(((DATOS!$B$34*(C34/(D34*((AT34+AU34)/2)))/((D34*((AT34+AU34)/2))/(D34+2*((AT34+AU34)/2)))^(2/3))^2+((DATOS!$B$34*H33/((D33*F33)/(D33+2*F33))^(2/3))^2))/2))&gt;0,AT34,((AT34+AU34)/2))</f>
        <v/>
      </c>
      <c r="AW34" s="5">
        <f>IF((((AT34+AU34)/2)+(C34/(D34*((AT34+AU34)/2)))^2/(2*9.81)+B34-(G33+H33^2/(2*9.81))-(A33-A34)*(((DATOS!$B$34*(C34/(D34*((AT34+AU34)/2)))/((D34*((AT34+AU34)/2))/(D34+2*((AT34+AU34)/2)))^(2/3))^2+((DATOS!$B$34*H33/((D33*F33)/(D33+2*F33))^(2/3))^2))/2))&gt;0,((AT34+AU34)/2),AU34)</f>
        <v/>
      </c>
      <c r="AX34" s="5">
        <f>IF((((AV34+AW34)/2)+(C34/(D34*((AV34+AW34)/2)))^2/(2*9.81)+B34-(G33+H33^2/(2*9.81))-(A33-A34)*(((DATOS!$B$34*(C34/(D34*((AV34+AW34)/2)))/((D34*((AV34+AW34)/2))/(D34+2*((AV34+AW34)/2)))^(2/3))^2+((DATOS!$B$34*H33/((D33*F33)/(D33+2*F33))^(2/3))^2))/2))&gt;0,AV34,((AV34+AW34)/2))</f>
        <v/>
      </c>
      <c r="AY34" s="5">
        <f>IF((((AV34+AW34)/2)+(C34/(D34*((AV34+AW34)/2)))^2/(2*9.81)+B34-(G33+H33^2/(2*9.81))-(A33-A34)*(((DATOS!$B$34*(C34/(D34*((AV34+AW34)/2)))/((D34*((AV34+AW34)/2))/(D34+2*((AV34+AW34)/2)))^(2/3))^2+((DATOS!$B$34*H33/((D33*F33)/(D33+2*F33))^(2/3))^2))/2))&gt;0,((AV34+AW34)/2),AW34)</f>
        <v/>
      </c>
      <c r="AZ34" s="5">
        <f>IF((((AX34+AY34)/2)+(C34/(D34*((AX34+AY34)/2)))^2/(2*9.81)+B34-(G33+H33^2/(2*9.81))-(A33-A34)*(((DATOS!$B$34*(C34/(D34*((AX34+AY34)/2)))/((D34*((AX34+AY34)/2))/(D34+2*((AX34+AY34)/2)))^(2/3))^2+((DATOS!$B$34*H33/((D33*F33)/(D33+2*F33))^(2/3))^2))/2))&gt;0,AX34,((AX34+AY34)/2))</f>
        <v/>
      </c>
      <c r="BA34" s="5">
        <f>IF((((AX34+AY34)/2)+(C34/(D34*((AX34+AY34)/2)))^2/(2*9.81)+B34-(G33+H33^2/(2*9.81))-(A33-A34)*(((DATOS!$B$34*(C34/(D34*((AX34+AY34)/2)))/((D34*((AX34+AY34)/2))/(D34+2*((AX34+AY34)/2)))^(2/3))^2+((DATOS!$B$34*H33/((D33*F33)/(D33+2*F33))^(2/3))^2))/2))&gt;0,((AX34+AY34)/2),AY34)</f>
        <v/>
      </c>
      <c r="BB34" s="5">
        <f>IF((((AZ34+BA34)/2)+(C34/(D34*((AZ34+BA34)/2)))^2/(2*9.81)+B34-(G33+H33^2/(2*9.81))-(A33-A34)*(((DATOS!$B$34*(C34/(D34*((AZ34+BA34)/2)))/((D34*((AZ34+BA34)/2))/(D34+2*((AZ34+BA34)/2)))^(2/3))^2+((DATOS!$B$34*H33/((D33*F33)/(D33+2*F33))^(2/3))^2))/2))&gt;0,AZ34,((AZ34+BA34)/2))</f>
        <v/>
      </c>
      <c r="BC34" s="5">
        <f>IF((((AZ34+BA34)/2)+(C34/(D34*((AZ34+BA34)/2)))^2/(2*9.81)+B34-(G33+H33^2/(2*9.81))-(A33-A34)*(((DATOS!$B$34*(C34/(D34*((AZ34+BA34)/2)))/((D34*((AZ34+BA34)/2))/(D34+2*((AZ34+BA34)/2)))^(2/3))^2+((DATOS!$B$34*H33/((D33*F33)/(D33+2*F33))^(2/3))^2))/2))&gt;0,((AZ34+BA34)/2),BA34)</f>
        <v/>
      </c>
      <c r="BD34" s="5">
        <f>IF((((BB34+BC34)/2)+(C34/(D34*((BB34+BC34)/2)))^2/(2*9.81)+B34-(G33+H33^2/(2*9.81))-(A33-A34)*(((DATOS!$B$34*(C34/(D34*((BB34+BC34)/2)))/((D34*((BB34+BC34)/2))/(D34+2*((BB34+BC34)/2)))^(2/3))^2+((DATOS!$B$34*H33/((D33*F33)/(D33+2*F33))^(2/3))^2))/2))&gt;0,BB34,((BB34+BC34)/2))</f>
        <v/>
      </c>
      <c r="BE34" s="5">
        <f>IF((((BB34+BC34)/2)+(C34/(D34*((BB34+BC34)/2)))^2/(2*9.81)+B34-(G33+H33^2/(2*9.81))-(A33-A34)*(((DATOS!$B$34*(C34/(D34*((BB34+BC34)/2)))/((D34*((BB34+BC34)/2))/(D34+2*((BB34+BC34)/2)))^(2/3))^2+((DATOS!$B$34*H33/((D33*F33)/(D33+2*F33))^(2/3))^2))/2))&gt;0,((BB34+BC34)/2),BC34)</f>
        <v/>
      </c>
      <c r="BF34" s="5">
        <f>IF((((BD34+BE34)/2)+(C34/(D34*((BD34+BE34)/2)))^2/(2*9.81)+B34-(G33+H33^2/(2*9.81))-(A33-A34)*(((DATOS!$B$34*(C34/(D34*((BD34+BE34)/2)))/((D34*((BD34+BE34)/2))/(D34+2*((BD34+BE34)/2)))^(2/3))^2+((DATOS!$B$34*H33/((D33*F33)/(D33+2*F33))^(2/3))^2))/2))&gt;0,BD34,((BD34+BE34)/2))</f>
        <v/>
      </c>
      <c r="BG34" s="5">
        <f>IF((((BD34+BE34)/2)+(C34/(D34*((BD34+BE34)/2)))^2/(2*9.81)+B34-(G33+H33^2/(2*9.81))-(A33-A34)*(((DATOS!$B$34*(C34/(D34*((BD34+BE34)/2)))/((D34*((BD34+BE34)/2))/(D34+2*((BD34+BE34)/2)))^(2/3))^2+((DATOS!$B$34*H33/((D33*F33)/(D33+2*F33))^(2/3))^2))/2))&gt;0,((BD34+BE34)/2),BE34)</f>
        <v/>
      </c>
      <c r="BH34" s="5">
        <f>IF((((BF34+BG34)/2)+(C34/(D34*((BF34+BG34)/2)))^2/(2*9.81)+B34-(G33+H33^2/(2*9.81))-(A33-A34)*(((DATOS!$B$34*(C34/(D34*((BF34+BG34)/2)))/((D34*((BF34+BG34)/2))/(D34+2*((BF34+BG34)/2)))^(2/3))^2+((DATOS!$B$34*H33/((D33*F33)/(D33+2*F33))^(2/3))^2))/2))&gt;0,BF34,((BF34+BG34)/2))</f>
        <v/>
      </c>
      <c r="BI34" s="5">
        <f>IF((((BF34+BG34)/2)+(C34/(D34*((BF34+BG34)/2)))^2/(2*9.81)+B34-(G33+H33^2/(2*9.81))-(A33-A34)*(((DATOS!$B$34*(C34/(D34*((BF34+BG34)/2)))/((D34*((BF34+BG34)/2))/(D34+2*((BF34+BG34)/2)))^(2/3))^2+((DATOS!$B$34*H33/((D33*F33)/(D33+2*F33))^(2/3))^2))/2))&gt;0,((BF34+BG34)/2),BG34)</f>
        <v/>
      </c>
      <c r="BJ34" s="5">
        <f>IF((((BH34+BI34)/2)+(C34/(D34*((BH34+BI34)/2)))^2/(2*9.81)+B34-(G33+H33^2/(2*9.81))-(A33-A34)*(((DATOS!$B$34*(C34/(D34*((BH34+BI34)/2)))/((D34*((BH34+BI34)/2))/(D34+2*((BH34+BI34)/2)))^(2/3))^2+((DATOS!$B$34*H33/((D33*F33)/(D33+2*F33))^(2/3))^2))/2))&gt;0,BH34,((BH34+BI34)/2))</f>
        <v/>
      </c>
      <c r="BK34" s="5">
        <f>IF((((BH34+BI34)/2)+(C34/(D34*((BH34+BI34)/2)))^2/(2*9.81)+B34-(G33+H33^2/(2*9.81))-(A33-A34)*(((DATOS!$B$34*(C34/(D34*((BH34+BI34)/2)))/((D34*((BH34+BI34)/2))/(D34+2*((BH34+BI34)/2)))^(2/3))^2+((DATOS!$B$34*H33/((D33*F33)/(D33+2*F33))^(2/3))^2))/2))&gt;0,((BH34+BI34)/2),BI34)</f>
        <v/>
      </c>
      <c r="BL34" s="5">
        <f>IF((((BJ34+BK34)/2)+(C34/(D34*((BJ34+BK34)/2)))^2/(2*9.81)+B34-(G33+H33^2/(2*9.81))-(A33-A34)*(((DATOS!$B$34*(C34/(D34*((BJ34+BK34)/2)))/((D34*((BJ34+BK34)/2))/(D34+2*((BJ34+BK34)/2)))^(2/3))^2+((DATOS!$B$34*H33/((D33*F33)/(D33+2*F33))^(2/3))^2))/2))&gt;0,BJ34,((BJ34+BK34)/2))</f>
        <v/>
      </c>
      <c r="BM34" s="5">
        <f>IF((((BJ34+BK34)/2)+(C34/(D34*((BJ34+BK34)/2)))^2/(2*9.81)+B34-(G33+H33^2/(2*9.81))-(A33-A34)*(((DATOS!$B$34*(C34/(D34*((BJ34+BK34)/2)))/((D34*((BJ34+BK34)/2))/(D34+2*((BJ34+BK34)/2)))^(2/3))^2+((DATOS!$B$34*H33/((D33*F33)/(D33+2*F33))^(2/3))^2))/2))&gt;0,((BJ34+BK34)/2),BK34)</f>
        <v/>
      </c>
      <c r="BN34" s="5">
        <f>IF((((BL34+BM34)/2)+(C34/(D34*((BL34+BM34)/2)))^2/(2*9.81)+B34-(G33+H33^2/(2*9.81))-(A33-A34)*(((DATOS!$B$34*(C34/(D34*((BL34+BM34)/2)))/((D34*((BL34+BM34)/2))/(D34+2*((BL34+BM34)/2)))^(2/3))^2+((DATOS!$B$34*H33/((D33*F33)/(D33+2*F33))^(2/3))^2))/2))&gt;0,BL34,((BL34+BM34)/2))</f>
        <v/>
      </c>
      <c r="BO34" s="5">
        <f>IF((((BL34+BM34)/2)+(C34/(D34*((BL34+BM34)/2)))^2/(2*9.81)+B34-(G33+H33^2/(2*9.81))-(A33-A34)*(((DATOS!$B$34*(C34/(D34*((BL34+BM34)/2)))/((D34*((BL34+BM34)/2))/(D34+2*((BL34+BM34)/2)))^(2/3))^2+((DATOS!$B$34*H33/((D33*F33)/(D33+2*F33))^(2/3))^2))/2))&gt;0,((BL34+BM34)/2),BM34)</f>
        <v/>
      </c>
      <c r="BP34" s="5">
        <f>IF((((BN34+BO34)/2)+(C34/(D34*((BN34+BO34)/2)))^2/(2*9.81)+B34-(G33+H33^2/(2*9.81))-(A33-A34)*(((DATOS!$B$34*(C34/(D34*((BN34+BO34)/2)))/((D34*((BN34+BO34)/2))/(D34+2*((BN34+BO34)/2)))^(2/3))^2+((DATOS!$B$34*H33/((D33*F33)/(D33+2*F33))^(2/3))^2))/2))&gt;0,BN34,((BN34+BO34)/2))</f>
        <v/>
      </c>
      <c r="BQ34" s="5">
        <f>IF((((BN34+BO34)/2)+(C34/(D34*((BN34+BO34)/2)))^2/(2*9.81)+B34-(G33+H33^2/(2*9.81))-(A33-A34)*(((DATOS!$B$34*(C34/(D34*((BN34+BO34)/2)))/((D34*((BN34+BO34)/2))/(D34+2*((BN34+BO34)/2)))^(2/3))^2+((DATOS!$B$34*H33/((D33*F33)/(D33+2*F33))^(2/3))^2))/2))&gt;0,((BN34+BO34)/2),BO34)</f>
        <v/>
      </c>
      <c r="BR34" s="5">
        <f>IF((((BP34+BQ34)/2)+(C34/(D34*((BP34+BQ34)/2)))^2/(2*9.81)+B34-(G33+H33^2/(2*9.81))-(A33-A34)*(((DATOS!$B$34*(C34/(D34*((BP34+BQ34)/2)))/((D34*((BP34+BQ34)/2))/(D34+2*((BP34+BQ34)/2)))^(2/3))^2+((DATOS!$B$34*H33/((D33*F33)/(D33+2*F33))^(2/3))^2))/2))&gt;0,BP34,((BP34+BQ34)/2))</f>
        <v/>
      </c>
      <c r="BS34" s="5">
        <f>IF((((BP34+BQ34)/2)+(C34/(D34*((BP34+BQ34)/2)))^2/(2*9.81)+B34-(G33+H33^2/(2*9.81))-(A33-A34)*(((DATOS!$B$34*(C34/(D34*((BP34+BQ34)/2)))/((D34*((BP34+BQ34)/2))/(D34+2*((BP34+BQ34)/2)))^(2/3))^2+((DATOS!$B$34*H33/((D33*F33)/(D33+2*F33))^(2/3))^2))/2))&gt;0,((BP34+BQ34)/2),BQ34)</f>
        <v/>
      </c>
      <c r="BT34" s="5">
        <f>IF((((BR34+BS34)/2)+(C34/(D34*((BR34+BS34)/2)))^2/(2*9.81)+B34-(G33+H33^2/(2*9.81))-(A33-A34)*(((DATOS!$B$34*(C34/(D34*((BR34+BS34)/2)))/((D34*((BR34+BS34)/2))/(D34+2*((BR34+BS34)/2)))^(2/3))^2+((DATOS!$B$34*H33/((D33*F33)/(D33+2*F33))^(2/3))^2))/2))&gt;0,BR34,((BR34+BS34)/2))</f>
        <v/>
      </c>
      <c r="BU34" s="5">
        <f>IF((((BR34+BS34)/2)+(C34/(D34*((BR34+BS34)/2)))^2/(2*9.81)+B34-(G33+H33^2/(2*9.81))-(A33-A34)*(((DATOS!$B$34*(C34/(D34*((BR34+BS34)/2)))/((D34*((BR34+BS34)/2))/(D34+2*((BR34+BS34)/2)))^(2/3))^2+((DATOS!$B$34*H33/((D33*F33)/(D33+2*F33))^(2/3))^2))/2))&gt;0,((BR34+BS34)/2),BS34)</f>
        <v/>
      </c>
      <c r="BV34" s="5">
        <f>IF((((BT34+BU34)/2)+(C34/(D34*((BT34+BU34)/2)))^2/(2*9.81)+B34-(G33+H33^2/(2*9.81))-(A33-A34)*(((DATOS!$B$34*(C34/(D34*((BT34+BU34)/2)))/((D34*((BT34+BU34)/2))/(D34+2*((BT34+BU34)/2)))^(2/3))^2+((DATOS!$B$34*H33/((D33*F33)/(D33+2*F33))^(2/3))^2))/2))&gt;0,BT34,((BT34+BU34)/2))</f>
        <v/>
      </c>
      <c r="BW34" s="5">
        <f>IF((((BT34+BU34)/2)+(C34/(D34*((BT34+BU34)/2)))^2/(2*9.81)+B34-(G33+H33^2/(2*9.81))-(A33-A34)*(((DATOS!$B$34*(C34/(D34*((BT34+BU34)/2)))/((D34*((BT34+BU34)/2))/(D34+2*((BT34+BU34)/2)))^(2/3))^2+((DATOS!$B$34*H33/((D33*F33)/(D33+2*F33))^(2/3))^2))/2))&gt;0,((BT34+BU34)/2),BU34)</f>
        <v/>
      </c>
    </row>
    <row r="35">
      <c r="A35" s="13" t="n">
        <v>47</v>
      </c>
      <c r="B35" s="16">
        <f>DATOS!$B$22-DATOS!$B$23*A35</f>
        <v/>
      </c>
      <c r="C35" s="24">
        <f>CAUDALES!$B$13</f>
        <v/>
      </c>
      <c r="D35" s="17">
        <f>DATOS!$B$17</f>
        <v/>
      </c>
      <c r="E35" s="16">
        <f>(C35^2/(9.81*D35^2))^(1/3)</f>
        <v/>
      </c>
      <c r="F35" s="16">
        <f>(BV35+BW35)/2</f>
        <v/>
      </c>
      <c r="G35" s="16">
        <f>B35+F35</f>
        <v/>
      </c>
      <c r="H35" s="19">
        <f>C35/(D35*F35)</f>
        <v/>
      </c>
      <c r="I35" s="19">
        <f>H35/SQRT(9.81*F35)</f>
        <v/>
      </c>
      <c r="J35" s="16">
        <f>DATOS!$B$29-IF(AND(A35&gt;=DATOS!$B$30,A35&lt;DATOS!$B$31),DATOS!$B$21,DATOS!$B$20)</f>
        <v/>
      </c>
      <c r="K35" s="19">
        <f>J35-B35</f>
        <v/>
      </c>
      <c r="L35" s="19">
        <f>F35/K35</f>
        <v/>
      </c>
      <c r="M35" s="16">
        <f>J35-G35</f>
        <v/>
      </c>
      <c r="N35" s="5">
        <f>IF(AND(L35&lt;=DATOS!$B$36,M35&gt;=DATOS!$B$37,I35&lt;=1),"CUMPLE","NO CUMPLE")</f>
        <v/>
      </c>
      <c r="O35" s="5">
        <f>IF(AND(A35&gt;=DATOS!$B$30,A35&lt;DATOS!$B$31),"cruce de camiones",IF(AND(A35&gt;=DATOS!$B$32,A35&lt;DATOS!$B$33),"cruce de motos","tramo normal"))</f>
        <v/>
      </c>
      <c r="P35" s="5">
        <f>E35*1.001</f>
        <v/>
      </c>
      <c r="Q35" s="13" t="n">
        <v>3</v>
      </c>
      <c r="R35" s="5">
        <f>IF((((P35+Q35)/2)+(C35/(D35*((P35+Q35)/2)))^2/(2*9.81)+B35-(G34+H34^2/(2*9.81))-(A34-A35)*(((DATOS!$B$34*(C35/(D35*((P35+Q35)/2)))/((D35*((P35+Q35)/2))/(D35+2*((P35+Q35)/2)))^(2/3))^2+((DATOS!$B$34*H34/((D34*F34)/(D34+2*F34))^(2/3))^2))/2))&gt;0,P35,((P35+Q35)/2))</f>
        <v/>
      </c>
      <c r="S35" s="5">
        <f>IF((((P35+Q35)/2)+(C35/(D35*((P35+Q35)/2)))^2/(2*9.81)+B35-(G34+H34^2/(2*9.81))-(A34-A35)*(((DATOS!$B$34*(C35/(D35*((P35+Q35)/2)))/((D35*((P35+Q35)/2))/(D35+2*((P35+Q35)/2)))^(2/3))^2+((DATOS!$B$34*H34/((D34*F34)/(D34+2*F34))^(2/3))^2))/2))&gt;0,((P35+Q35)/2),Q35)</f>
        <v/>
      </c>
      <c r="T35" s="5">
        <f>IF((((R35+S35)/2)+(C35/(D35*((R35+S35)/2)))^2/(2*9.81)+B35-(G34+H34^2/(2*9.81))-(A34-A35)*(((DATOS!$B$34*(C35/(D35*((R35+S35)/2)))/((D35*((R35+S35)/2))/(D35+2*((R35+S35)/2)))^(2/3))^2+((DATOS!$B$34*H34/((D34*F34)/(D34+2*F34))^(2/3))^2))/2))&gt;0,R35,((R35+S35)/2))</f>
        <v/>
      </c>
      <c r="U35" s="5">
        <f>IF((((R35+S35)/2)+(C35/(D35*((R35+S35)/2)))^2/(2*9.81)+B35-(G34+H34^2/(2*9.81))-(A34-A35)*(((DATOS!$B$34*(C35/(D35*((R35+S35)/2)))/((D35*((R35+S35)/2))/(D35+2*((R35+S35)/2)))^(2/3))^2+((DATOS!$B$34*H34/((D34*F34)/(D34+2*F34))^(2/3))^2))/2))&gt;0,((R35+S35)/2),S35)</f>
        <v/>
      </c>
      <c r="V35" s="5">
        <f>IF((((T35+U35)/2)+(C35/(D35*((T35+U35)/2)))^2/(2*9.81)+B35-(G34+H34^2/(2*9.81))-(A34-A35)*(((DATOS!$B$34*(C35/(D35*((T35+U35)/2)))/((D35*((T35+U35)/2))/(D35+2*((T35+U35)/2)))^(2/3))^2+((DATOS!$B$34*H34/((D34*F34)/(D34+2*F34))^(2/3))^2))/2))&gt;0,T35,((T35+U35)/2))</f>
        <v/>
      </c>
      <c r="W35" s="5">
        <f>IF((((T35+U35)/2)+(C35/(D35*((T35+U35)/2)))^2/(2*9.81)+B35-(G34+H34^2/(2*9.81))-(A34-A35)*(((DATOS!$B$34*(C35/(D35*((T35+U35)/2)))/((D35*((T35+U35)/2))/(D35+2*((T35+U35)/2)))^(2/3))^2+((DATOS!$B$34*H34/((D34*F34)/(D34+2*F34))^(2/3))^2))/2))&gt;0,((T35+U35)/2),U35)</f>
        <v/>
      </c>
      <c r="X35" s="5">
        <f>IF((((V35+W35)/2)+(C35/(D35*((V35+W35)/2)))^2/(2*9.81)+B35-(G34+H34^2/(2*9.81))-(A34-A35)*(((DATOS!$B$34*(C35/(D35*((V35+W35)/2)))/((D35*((V35+W35)/2))/(D35+2*((V35+W35)/2)))^(2/3))^2+((DATOS!$B$34*H34/((D34*F34)/(D34+2*F34))^(2/3))^2))/2))&gt;0,V35,((V35+W35)/2))</f>
        <v/>
      </c>
      <c r="Y35" s="5">
        <f>IF((((V35+W35)/2)+(C35/(D35*((V35+W35)/2)))^2/(2*9.81)+B35-(G34+H34^2/(2*9.81))-(A34-A35)*(((DATOS!$B$34*(C35/(D35*((V35+W35)/2)))/((D35*((V35+W35)/2))/(D35+2*((V35+W35)/2)))^(2/3))^2+((DATOS!$B$34*H34/((D34*F34)/(D34+2*F34))^(2/3))^2))/2))&gt;0,((V35+W35)/2),W35)</f>
        <v/>
      </c>
      <c r="Z35" s="5">
        <f>IF((((X35+Y35)/2)+(C35/(D35*((X35+Y35)/2)))^2/(2*9.81)+B35-(G34+H34^2/(2*9.81))-(A34-A35)*(((DATOS!$B$34*(C35/(D35*((X35+Y35)/2)))/((D35*((X35+Y35)/2))/(D35+2*((X35+Y35)/2)))^(2/3))^2+((DATOS!$B$34*H34/((D34*F34)/(D34+2*F34))^(2/3))^2))/2))&gt;0,X35,((X35+Y35)/2))</f>
        <v/>
      </c>
      <c r="AA35" s="5">
        <f>IF((((X35+Y35)/2)+(C35/(D35*((X35+Y35)/2)))^2/(2*9.81)+B35-(G34+H34^2/(2*9.81))-(A34-A35)*(((DATOS!$B$34*(C35/(D35*((X35+Y35)/2)))/((D35*((X35+Y35)/2))/(D35+2*((X35+Y35)/2)))^(2/3))^2+((DATOS!$B$34*H34/((D34*F34)/(D34+2*F34))^(2/3))^2))/2))&gt;0,((X35+Y35)/2),Y35)</f>
        <v/>
      </c>
      <c r="AB35" s="5">
        <f>IF((((Z35+AA35)/2)+(C35/(D35*((Z35+AA35)/2)))^2/(2*9.81)+B35-(G34+H34^2/(2*9.81))-(A34-A35)*(((DATOS!$B$34*(C35/(D35*((Z35+AA35)/2)))/((D35*((Z35+AA35)/2))/(D35+2*((Z35+AA35)/2)))^(2/3))^2+((DATOS!$B$34*H34/((D34*F34)/(D34+2*F34))^(2/3))^2))/2))&gt;0,Z35,((Z35+AA35)/2))</f>
        <v/>
      </c>
      <c r="AC35" s="5">
        <f>IF((((Z35+AA35)/2)+(C35/(D35*((Z35+AA35)/2)))^2/(2*9.81)+B35-(G34+H34^2/(2*9.81))-(A34-A35)*(((DATOS!$B$34*(C35/(D35*((Z35+AA35)/2)))/((D35*((Z35+AA35)/2))/(D35+2*((Z35+AA35)/2)))^(2/3))^2+((DATOS!$B$34*H34/((D34*F34)/(D34+2*F34))^(2/3))^2))/2))&gt;0,((Z35+AA35)/2),AA35)</f>
        <v/>
      </c>
      <c r="AD35" s="5">
        <f>IF((((AB35+AC35)/2)+(C35/(D35*((AB35+AC35)/2)))^2/(2*9.81)+B35-(G34+H34^2/(2*9.81))-(A34-A35)*(((DATOS!$B$34*(C35/(D35*((AB35+AC35)/2)))/((D35*((AB35+AC35)/2))/(D35+2*((AB35+AC35)/2)))^(2/3))^2+((DATOS!$B$34*H34/((D34*F34)/(D34+2*F34))^(2/3))^2))/2))&gt;0,AB35,((AB35+AC35)/2))</f>
        <v/>
      </c>
      <c r="AE35" s="5">
        <f>IF((((AB35+AC35)/2)+(C35/(D35*((AB35+AC35)/2)))^2/(2*9.81)+B35-(G34+H34^2/(2*9.81))-(A34-A35)*(((DATOS!$B$34*(C35/(D35*((AB35+AC35)/2)))/((D35*((AB35+AC35)/2))/(D35+2*((AB35+AC35)/2)))^(2/3))^2+((DATOS!$B$34*H34/((D34*F34)/(D34+2*F34))^(2/3))^2))/2))&gt;0,((AB35+AC35)/2),AC35)</f>
        <v/>
      </c>
      <c r="AF35" s="5">
        <f>IF((((AD35+AE35)/2)+(C35/(D35*((AD35+AE35)/2)))^2/(2*9.81)+B35-(G34+H34^2/(2*9.81))-(A34-A35)*(((DATOS!$B$34*(C35/(D35*((AD35+AE35)/2)))/((D35*((AD35+AE35)/2))/(D35+2*((AD35+AE35)/2)))^(2/3))^2+((DATOS!$B$34*H34/((D34*F34)/(D34+2*F34))^(2/3))^2))/2))&gt;0,AD35,((AD35+AE35)/2))</f>
        <v/>
      </c>
      <c r="AG35" s="5">
        <f>IF((((AD35+AE35)/2)+(C35/(D35*((AD35+AE35)/2)))^2/(2*9.81)+B35-(G34+H34^2/(2*9.81))-(A34-A35)*(((DATOS!$B$34*(C35/(D35*((AD35+AE35)/2)))/((D35*((AD35+AE35)/2))/(D35+2*((AD35+AE35)/2)))^(2/3))^2+((DATOS!$B$34*H34/((D34*F34)/(D34+2*F34))^(2/3))^2))/2))&gt;0,((AD35+AE35)/2),AE35)</f>
        <v/>
      </c>
      <c r="AH35" s="5">
        <f>IF((((AF35+AG35)/2)+(C35/(D35*((AF35+AG35)/2)))^2/(2*9.81)+B35-(G34+H34^2/(2*9.81))-(A34-A35)*(((DATOS!$B$34*(C35/(D35*((AF35+AG35)/2)))/((D35*((AF35+AG35)/2))/(D35+2*((AF35+AG35)/2)))^(2/3))^2+((DATOS!$B$34*H34/((D34*F34)/(D34+2*F34))^(2/3))^2))/2))&gt;0,AF35,((AF35+AG35)/2))</f>
        <v/>
      </c>
      <c r="AI35" s="5">
        <f>IF((((AF35+AG35)/2)+(C35/(D35*((AF35+AG35)/2)))^2/(2*9.81)+B35-(G34+H34^2/(2*9.81))-(A34-A35)*(((DATOS!$B$34*(C35/(D35*((AF35+AG35)/2)))/((D35*((AF35+AG35)/2))/(D35+2*((AF35+AG35)/2)))^(2/3))^2+((DATOS!$B$34*H34/((D34*F34)/(D34+2*F34))^(2/3))^2))/2))&gt;0,((AF35+AG35)/2),AG35)</f>
        <v/>
      </c>
      <c r="AJ35" s="5">
        <f>IF((((AH35+AI35)/2)+(C35/(D35*((AH35+AI35)/2)))^2/(2*9.81)+B35-(G34+H34^2/(2*9.81))-(A34-A35)*(((DATOS!$B$34*(C35/(D35*((AH35+AI35)/2)))/((D35*((AH35+AI35)/2))/(D35+2*((AH35+AI35)/2)))^(2/3))^2+((DATOS!$B$34*H34/((D34*F34)/(D34+2*F34))^(2/3))^2))/2))&gt;0,AH35,((AH35+AI35)/2))</f>
        <v/>
      </c>
      <c r="AK35" s="5">
        <f>IF((((AH35+AI35)/2)+(C35/(D35*((AH35+AI35)/2)))^2/(2*9.81)+B35-(G34+H34^2/(2*9.81))-(A34-A35)*(((DATOS!$B$34*(C35/(D35*((AH35+AI35)/2)))/((D35*((AH35+AI35)/2))/(D35+2*((AH35+AI35)/2)))^(2/3))^2+((DATOS!$B$34*H34/((D34*F34)/(D34+2*F34))^(2/3))^2))/2))&gt;0,((AH35+AI35)/2),AI35)</f>
        <v/>
      </c>
      <c r="AL35" s="5">
        <f>IF((((AJ35+AK35)/2)+(C35/(D35*((AJ35+AK35)/2)))^2/(2*9.81)+B35-(G34+H34^2/(2*9.81))-(A34-A35)*(((DATOS!$B$34*(C35/(D35*((AJ35+AK35)/2)))/((D35*((AJ35+AK35)/2))/(D35+2*((AJ35+AK35)/2)))^(2/3))^2+((DATOS!$B$34*H34/((D34*F34)/(D34+2*F34))^(2/3))^2))/2))&gt;0,AJ35,((AJ35+AK35)/2))</f>
        <v/>
      </c>
      <c r="AM35" s="5">
        <f>IF((((AJ35+AK35)/2)+(C35/(D35*((AJ35+AK35)/2)))^2/(2*9.81)+B35-(G34+H34^2/(2*9.81))-(A34-A35)*(((DATOS!$B$34*(C35/(D35*((AJ35+AK35)/2)))/((D35*((AJ35+AK35)/2))/(D35+2*((AJ35+AK35)/2)))^(2/3))^2+((DATOS!$B$34*H34/((D34*F34)/(D34+2*F34))^(2/3))^2))/2))&gt;0,((AJ35+AK35)/2),AK35)</f>
        <v/>
      </c>
      <c r="AN35" s="5">
        <f>IF((((AL35+AM35)/2)+(C35/(D35*((AL35+AM35)/2)))^2/(2*9.81)+B35-(G34+H34^2/(2*9.81))-(A34-A35)*(((DATOS!$B$34*(C35/(D35*((AL35+AM35)/2)))/((D35*((AL35+AM35)/2))/(D35+2*((AL35+AM35)/2)))^(2/3))^2+((DATOS!$B$34*H34/((D34*F34)/(D34+2*F34))^(2/3))^2))/2))&gt;0,AL35,((AL35+AM35)/2))</f>
        <v/>
      </c>
      <c r="AO35" s="5">
        <f>IF((((AL35+AM35)/2)+(C35/(D35*((AL35+AM35)/2)))^2/(2*9.81)+B35-(G34+H34^2/(2*9.81))-(A34-A35)*(((DATOS!$B$34*(C35/(D35*((AL35+AM35)/2)))/((D35*((AL35+AM35)/2))/(D35+2*((AL35+AM35)/2)))^(2/3))^2+((DATOS!$B$34*H34/((D34*F34)/(D34+2*F34))^(2/3))^2))/2))&gt;0,((AL35+AM35)/2),AM35)</f>
        <v/>
      </c>
      <c r="AP35" s="5">
        <f>IF((((AN35+AO35)/2)+(C35/(D35*((AN35+AO35)/2)))^2/(2*9.81)+B35-(G34+H34^2/(2*9.81))-(A34-A35)*(((DATOS!$B$34*(C35/(D35*((AN35+AO35)/2)))/((D35*((AN35+AO35)/2))/(D35+2*((AN35+AO35)/2)))^(2/3))^2+((DATOS!$B$34*H34/((D34*F34)/(D34+2*F34))^(2/3))^2))/2))&gt;0,AN35,((AN35+AO35)/2))</f>
        <v/>
      </c>
      <c r="AQ35" s="5">
        <f>IF((((AN35+AO35)/2)+(C35/(D35*((AN35+AO35)/2)))^2/(2*9.81)+B35-(G34+H34^2/(2*9.81))-(A34-A35)*(((DATOS!$B$34*(C35/(D35*((AN35+AO35)/2)))/((D35*((AN35+AO35)/2))/(D35+2*((AN35+AO35)/2)))^(2/3))^2+((DATOS!$B$34*H34/((D34*F34)/(D34+2*F34))^(2/3))^2))/2))&gt;0,((AN35+AO35)/2),AO35)</f>
        <v/>
      </c>
      <c r="AR35" s="5">
        <f>IF((((AP35+AQ35)/2)+(C35/(D35*((AP35+AQ35)/2)))^2/(2*9.81)+B35-(G34+H34^2/(2*9.81))-(A34-A35)*(((DATOS!$B$34*(C35/(D35*((AP35+AQ35)/2)))/((D35*((AP35+AQ35)/2))/(D35+2*((AP35+AQ35)/2)))^(2/3))^2+((DATOS!$B$34*H34/((D34*F34)/(D34+2*F34))^(2/3))^2))/2))&gt;0,AP35,((AP35+AQ35)/2))</f>
        <v/>
      </c>
      <c r="AS35" s="5">
        <f>IF((((AP35+AQ35)/2)+(C35/(D35*((AP35+AQ35)/2)))^2/(2*9.81)+B35-(G34+H34^2/(2*9.81))-(A34-A35)*(((DATOS!$B$34*(C35/(D35*((AP35+AQ35)/2)))/((D35*((AP35+AQ35)/2))/(D35+2*((AP35+AQ35)/2)))^(2/3))^2+((DATOS!$B$34*H34/((D34*F34)/(D34+2*F34))^(2/3))^2))/2))&gt;0,((AP35+AQ35)/2),AQ35)</f>
        <v/>
      </c>
      <c r="AT35" s="5">
        <f>IF((((AR35+AS35)/2)+(C35/(D35*((AR35+AS35)/2)))^2/(2*9.81)+B35-(G34+H34^2/(2*9.81))-(A34-A35)*(((DATOS!$B$34*(C35/(D35*((AR35+AS35)/2)))/((D35*((AR35+AS35)/2))/(D35+2*((AR35+AS35)/2)))^(2/3))^2+((DATOS!$B$34*H34/((D34*F34)/(D34+2*F34))^(2/3))^2))/2))&gt;0,AR35,((AR35+AS35)/2))</f>
        <v/>
      </c>
      <c r="AU35" s="5">
        <f>IF((((AR35+AS35)/2)+(C35/(D35*((AR35+AS35)/2)))^2/(2*9.81)+B35-(G34+H34^2/(2*9.81))-(A34-A35)*(((DATOS!$B$34*(C35/(D35*((AR35+AS35)/2)))/((D35*((AR35+AS35)/2))/(D35+2*((AR35+AS35)/2)))^(2/3))^2+((DATOS!$B$34*H34/((D34*F34)/(D34+2*F34))^(2/3))^2))/2))&gt;0,((AR35+AS35)/2),AS35)</f>
        <v/>
      </c>
      <c r="AV35" s="5">
        <f>IF((((AT35+AU35)/2)+(C35/(D35*((AT35+AU35)/2)))^2/(2*9.81)+B35-(G34+H34^2/(2*9.81))-(A34-A35)*(((DATOS!$B$34*(C35/(D35*((AT35+AU35)/2)))/((D35*((AT35+AU35)/2))/(D35+2*((AT35+AU35)/2)))^(2/3))^2+((DATOS!$B$34*H34/((D34*F34)/(D34+2*F34))^(2/3))^2))/2))&gt;0,AT35,((AT35+AU35)/2))</f>
        <v/>
      </c>
      <c r="AW35" s="5">
        <f>IF((((AT35+AU35)/2)+(C35/(D35*((AT35+AU35)/2)))^2/(2*9.81)+B35-(G34+H34^2/(2*9.81))-(A34-A35)*(((DATOS!$B$34*(C35/(D35*((AT35+AU35)/2)))/((D35*((AT35+AU35)/2))/(D35+2*((AT35+AU35)/2)))^(2/3))^2+((DATOS!$B$34*H34/((D34*F34)/(D34+2*F34))^(2/3))^2))/2))&gt;0,((AT35+AU35)/2),AU35)</f>
        <v/>
      </c>
      <c r="AX35" s="5">
        <f>IF((((AV35+AW35)/2)+(C35/(D35*((AV35+AW35)/2)))^2/(2*9.81)+B35-(G34+H34^2/(2*9.81))-(A34-A35)*(((DATOS!$B$34*(C35/(D35*((AV35+AW35)/2)))/((D35*((AV35+AW35)/2))/(D35+2*((AV35+AW35)/2)))^(2/3))^2+((DATOS!$B$34*H34/((D34*F34)/(D34+2*F34))^(2/3))^2))/2))&gt;0,AV35,((AV35+AW35)/2))</f>
        <v/>
      </c>
      <c r="AY35" s="5">
        <f>IF((((AV35+AW35)/2)+(C35/(D35*((AV35+AW35)/2)))^2/(2*9.81)+B35-(G34+H34^2/(2*9.81))-(A34-A35)*(((DATOS!$B$34*(C35/(D35*((AV35+AW35)/2)))/((D35*((AV35+AW35)/2))/(D35+2*((AV35+AW35)/2)))^(2/3))^2+((DATOS!$B$34*H34/((D34*F34)/(D34+2*F34))^(2/3))^2))/2))&gt;0,((AV35+AW35)/2),AW35)</f>
        <v/>
      </c>
      <c r="AZ35" s="5">
        <f>IF((((AX35+AY35)/2)+(C35/(D35*((AX35+AY35)/2)))^2/(2*9.81)+B35-(G34+H34^2/(2*9.81))-(A34-A35)*(((DATOS!$B$34*(C35/(D35*((AX35+AY35)/2)))/((D35*((AX35+AY35)/2))/(D35+2*((AX35+AY35)/2)))^(2/3))^2+((DATOS!$B$34*H34/((D34*F34)/(D34+2*F34))^(2/3))^2))/2))&gt;0,AX35,((AX35+AY35)/2))</f>
        <v/>
      </c>
      <c r="BA35" s="5">
        <f>IF((((AX35+AY35)/2)+(C35/(D35*((AX35+AY35)/2)))^2/(2*9.81)+B35-(G34+H34^2/(2*9.81))-(A34-A35)*(((DATOS!$B$34*(C35/(D35*((AX35+AY35)/2)))/((D35*((AX35+AY35)/2))/(D35+2*((AX35+AY35)/2)))^(2/3))^2+((DATOS!$B$34*H34/((D34*F34)/(D34+2*F34))^(2/3))^2))/2))&gt;0,((AX35+AY35)/2),AY35)</f>
        <v/>
      </c>
      <c r="BB35" s="5">
        <f>IF((((AZ35+BA35)/2)+(C35/(D35*((AZ35+BA35)/2)))^2/(2*9.81)+B35-(G34+H34^2/(2*9.81))-(A34-A35)*(((DATOS!$B$34*(C35/(D35*((AZ35+BA35)/2)))/((D35*((AZ35+BA35)/2))/(D35+2*((AZ35+BA35)/2)))^(2/3))^2+((DATOS!$B$34*H34/((D34*F34)/(D34+2*F34))^(2/3))^2))/2))&gt;0,AZ35,((AZ35+BA35)/2))</f>
        <v/>
      </c>
      <c r="BC35" s="5">
        <f>IF((((AZ35+BA35)/2)+(C35/(D35*((AZ35+BA35)/2)))^2/(2*9.81)+B35-(G34+H34^2/(2*9.81))-(A34-A35)*(((DATOS!$B$34*(C35/(D35*((AZ35+BA35)/2)))/((D35*((AZ35+BA35)/2))/(D35+2*((AZ35+BA35)/2)))^(2/3))^2+((DATOS!$B$34*H34/((D34*F34)/(D34+2*F34))^(2/3))^2))/2))&gt;0,((AZ35+BA35)/2),BA35)</f>
        <v/>
      </c>
      <c r="BD35" s="5">
        <f>IF((((BB35+BC35)/2)+(C35/(D35*((BB35+BC35)/2)))^2/(2*9.81)+B35-(G34+H34^2/(2*9.81))-(A34-A35)*(((DATOS!$B$34*(C35/(D35*((BB35+BC35)/2)))/((D35*((BB35+BC35)/2))/(D35+2*((BB35+BC35)/2)))^(2/3))^2+((DATOS!$B$34*H34/((D34*F34)/(D34+2*F34))^(2/3))^2))/2))&gt;0,BB35,((BB35+BC35)/2))</f>
        <v/>
      </c>
      <c r="BE35" s="5">
        <f>IF((((BB35+BC35)/2)+(C35/(D35*((BB35+BC35)/2)))^2/(2*9.81)+B35-(G34+H34^2/(2*9.81))-(A34-A35)*(((DATOS!$B$34*(C35/(D35*((BB35+BC35)/2)))/((D35*((BB35+BC35)/2))/(D35+2*((BB35+BC35)/2)))^(2/3))^2+((DATOS!$B$34*H34/((D34*F34)/(D34+2*F34))^(2/3))^2))/2))&gt;0,((BB35+BC35)/2),BC35)</f>
        <v/>
      </c>
      <c r="BF35" s="5">
        <f>IF((((BD35+BE35)/2)+(C35/(D35*((BD35+BE35)/2)))^2/(2*9.81)+B35-(G34+H34^2/(2*9.81))-(A34-A35)*(((DATOS!$B$34*(C35/(D35*((BD35+BE35)/2)))/((D35*((BD35+BE35)/2))/(D35+2*((BD35+BE35)/2)))^(2/3))^2+((DATOS!$B$34*H34/((D34*F34)/(D34+2*F34))^(2/3))^2))/2))&gt;0,BD35,((BD35+BE35)/2))</f>
        <v/>
      </c>
      <c r="BG35" s="5">
        <f>IF((((BD35+BE35)/2)+(C35/(D35*((BD35+BE35)/2)))^2/(2*9.81)+B35-(G34+H34^2/(2*9.81))-(A34-A35)*(((DATOS!$B$34*(C35/(D35*((BD35+BE35)/2)))/((D35*((BD35+BE35)/2))/(D35+2*((BD35+BE35)/2)))^(2/3))^2+((DATOS!$B$34*H34/((D34*F34)/(D34+2*F34))^(2/3))^2))/2))&gt;0,((BD35+BE35)/2),BE35)</f>
        <v/>
      </c>
      <c r="BH35" s="5">
        <f>IF((((BF35+BG35)/2)+(C35/(D35*((BF35+BG35)/2)))^2/(2*9.81)+B35-(G34+H34^2/(2*9.81))-(A34-A35)*(((DATOS!$B$34*(C35/(D35*((BF35+BG35)/2)))/((D35*((BF35+BG35)/2))/(D35+2*((BF35+BG35)/2)))^(2/3))^2+((DATOS!$B$34*H34/((D34*F34)/(D34+2*F34))^(2/3))^2))/2))&gt;0,BF35,((BF35+BG35)/2))</f>
        <v/>
      </c>
      <c r="BI35" s="5">
        <f>IF((((BF35+BG35)/2)+(C35/(D35*((BF35+BG35)/2)))^2/(2*9.81)+B35-(G34+H34^2/(2*9.81))-(A34-A35)*(((DATOS!$B$34*(C35/(D35*((BF35+BG35)/2)))/((D35*((BF35+BG35)/2))/(D35+2*((BF35+BG35)/2)))^(2/3))^2+((DATOS!$B$34*H34/((D34*F34)/(D34+2*F34))^(2/3))^2))/2))&gt;0,((BF35+BG35)/2),BG35)</f>
        <v/>
      </c>
      <c r="BJ35" s="5">
        <f>IF((((BH35+BI35)/2)+(C35/(D35*((BH35+BI35)/2)))^2/(2*9.81)+B35-(G34+H34^2/(2*9.81))-(A34-A35)*(((DATOS!$B$34*(C35/(D35*((BH35+BI35)/2)))/((D35*((BH35+BI35)/2))/(D35+2*((BH35+BI35)/2)))^(2/3))^2+((DATOS!$B$34*H34/((D34*F34)/(D34+2*F34))^(2/3))^2))/2))&gt;0,BH35,((BH35+BI35)/2))</f>
        <v/>
      </c>
      <c r="BK35" s="5">
        <f>IF((((BH35+BI35)/2)+(C35/(D35*((BH35+BI35)/2)))^2/(2*9.81)+B35-(G34+H34^2/(2*9.81))-(A34-A35)*(((DATOS!$B$34*(C35/(D35*((BH35+BI35)/2)))/((D35*((BH35+BI35)/2))/(D35+2*((BH35+BI35)/2)))^(2/3))^2+((DATOS!$B$34*H34/((D34*F34)/(D34+2*F34))^(2/3))^2))/2))&gt;0,((BH35+BI35)/2),BI35)</f>
        <v/>
      </c>
      <c r="BL35" s="5">
        <f>IF((((BJ35+BK35)/2)+(C35/(D35*((BJ35+BK35)/2)))^2/(2*9.81)+B35-(G34+H34^2/(2*9.81))-(A34-A35)*(((DATOS!$B$34*(C35/(D35*((BJ35+BK35)/2)))/((D35*((BJ35+BK35)/2))/(D35+2*((BJ35+BK35)/2)))^(2/3))^2+((DATOS!$B$34*H34/((D34*F34)/(D34+2*F34))^(2/3))^2))/2))&gt;0,BJ35,((BJ35+BK35)/2))</f>
        <v/>
      </c>
      <c r="BM35" s="5">
        <f>IF((((BJ35+BK35)/2)+(C35/(D35*((BJ35+BK35)/2)))^2/(2*9.81)+B35-(G34+H34^2/(2*9.81))-(A34-A35)*(((DATOS!$B$34*(C35/(D35*((BJ35+BK35)/2)))/((D35*((BJ35+BK35)/2))/(D35+2*((BJ35+BK35)/2)))^(2/3))^2+((DATOS!$B$34*H34/((D34*F34)/(D34+2*F34))^(2/3))^2))/2))&gt;0,((BJ35+BK35)/2),BK35)</f>
        <v/>
      </c>
      <c r="BN35" s="5">
        <f>IF((((BL35+BM35)/2)+(C35/(D35*((BL35+BM35)/2)))^2/(2*9.81)+B35-(G34+H34^2/(2*9.81))-(A34-A35)*(((DATOS!$B$34*(C35/(D35*((BL35+BM35)/2)))/((D35*((BL35+BM35)/2))/(D35+2*((BL35+BM35)/2)))^(2/3))^2+((DATOS!$B$34*H34/((D34*F34)/(D34+2*F34))^(2/3))^2))/2))&gt;0,BL35,((BL35+BM35)/2))</f>
        <v/>
      </c>
      <c r="BO35" s="5">
        <f>IF((((BL35+BM35)/2)+(C35/(D35*((BL35+BM35)/2)))^2/(2*9.81)+B35-(G34+H34^2/(2*9.81))-(A34-A35)*(((DATOS!$B$34*(C35/(D35*((BL35+BM35)/2)))/((D35*((BL35+BM35)/2))/(D35+2*((BL35+BM35)/2)))^(2/3))^2+((DATOS!$B$34*H34/((D34*F34)/(D34+2*F34))^(2/3))^2))/2))&gt;0,((BL35+BM35)/2),BM35)</f>
        <v/>
      </c>
      <c r="BP35" s="5">
        <f>IF((((BN35+BO35)/2)+(C35/(D35*((BN35+BO35)/2)))^2/(2*9.81)+B35-(G34+H34^2/(2*9.81))-(A34-A35)*(((DATOS!$B$34*(C35/(D35*((BN35+BO35)/2)))/((D35*((BN35+BO35)/2))/(D35+2*((BN35+BO35)/2)))^(2/3))^2+((DATOS!$B$34*H34/((D34*F34)/(D34+2*F34))^(2/3))^2))/2))&gt;0,BN35,((BN35+BO35)/2))</f>
        <v/>
      </c>
      <c r="BQ35" s="5">
        <f>IF((((BN35+BO35)/2)+(C35/(D35*((BN35+BO35)/2)))^2/(2*9.81)+B35-(G34+H34^2/(2*9.81))-(A34-A35)*(((DATOS!$B$34*(C35/(D35*((BN35+BO35)/2)))/((D35*((BN35+BO35)/2))/(D35+2*((BN35+BO35)/2)))^(2/3))^2+((DATOS!$B$34*H34/((D34*F34)/(D34+2*F34))^(2/3))^2))/2))&gt;0,((BN35+BO35)/2),BO35)</f>
        <v/>
      </c>
      <c r="BR35" s="5">
        <f>IF((((BP35+BQ35)/2)+(C35/(D35*((BP35+BQ35)/2)))^2/(2*9.81)+B35-(G34+H34^2/(2*9.81))-(A34-A35)*(((DATOS!$B$34*(C35/(D35*((BP35+BQ35)/2)))/((D35*((BP35+BQ35)/2))/(D35+2*((BP35+BQ35)/2)))^(2/3))^2+((DATOS!$B$34*H34/((D34*F34)/(D34+2*F34))^(2/3))^2))/2))&gt;0,BP35,((BP35+BQ35)/2))</f>
        <v/>
      </c>
      <c r="BS35" s="5">
        <f>IF((((BP35+BQ35)/2)+(C35/(D35*((BP35+BQ35)/2)))^2/(2*9.81)+B35-(G34+H34^2/(2*9.81))-(A34-A35)*(((DATOS!$B$34*(C35/(D35*((BP35+BQ35)/2)))/((D35*((BP35+BQ35)/2))/(D35+2*((BP35+BQ35)/2)))^(2/3))^2+((DATOS!$B$34*H34/((D34*F34)/(D34+2*F34))^(2/3))^2))/2))&gt;0,((BP35+BQ35)/2),BQ35)</f>
        <v/>
      </c>
      <c r="BT35" s="5">
        <f>IF((((BR35+BS35)/2)+(C35/(D35*((BR35+BS35)/2)))^2/(2*9.81)+B35-(G34+H34^2/(2*9.81))-(A34-A35)*(((DATOS!$B$34*(C35/(D35*((BR35+BS35)/2)))/((D35*((BR35+BS35)/2))/(D35+2*((BR35+BS35)/2)))^(2/3))^2+((DATOS!$B$34*H34/((D34*F34)/(D34+2*F34))^(2/3))^2))/2))&gt;0,BR35,((BR35+BS35)/2))</f>
        <v/>
      </c>
      <c r="BU35" s="5">
        <f>IF((((BR35+BS35)/2)+(C35/(D35*((BR35+BS35)/2)))^2/(2*9.81)+B35-(G34+H34^2/(2*9.81))-(A34-A35)*(((DATOS!$B$34*(C35/(D35*((BR35+BS35)/2)))/((D35*((BR35+BS35)/2))/(D35+2*((BR35+BS35)/2)))^(2/3))^2+((DATOS!$B$34*H34/((D34*F34)/(D34+2*F34))^(2/3))^2))/2))&gt;0,((BR35+BS35)/2),BS35)</f>
        <v/>
      </c>
      <c r="BV35" s="5">
        <f>IF((((BT35+BU35)/2)+(C35/(D35*((BT35+BU35)/2)))^2/(2*9.81)+B35-(G34+H34^2/(2*9.81))-(A34-A35)*(((DATOS!$B$34*(C35/(D35*((BT35+BU35)/2)))/((D35*((BT35+BU35)/2))/(D35+2*((BT35+BU35)/2)))^(2/3))^2+((DATOS!$B$34*H34/((D34*F34)/(D34+2*F34))^(2/3))^2))/2))&gt;0,BT35,((BT35+BU35)/2))</f>
        <v/>
      </c>
      <c r="BW35" s="5">
        <f>IF((((BT35+BU35)/2)+(C35/(D35*((BT35+BU35)/2)))^2/(2*9.81)+B35-(G34+H34^2/(2*9.81))-(A34-A35)*(((DATOS!$B$34*(C35/(D35*((BT35+BU35)/2)))/((D35*((BT35+BU35)/2))/(D35+2*((BT35+BU35)/2)))^(2/3))^2+((DATOS!$B$34*H34/((D34*F34)/(D34+2*F34))^(2/3))^2))/2))&gt;0,((BT35+BU35)/2),BU35)</f>
        <v/>
      </c>
    </row>
    <row r="36">
      <c r="A36" s="13" t="n">
        <v>46</v>
      </c>
      <c r="B36" s="16">
        <f>DATOS!$B$22-DATOS!$B$23*A36</f>
        <v/>
      </c>
      <c r="C36" s="24">
        <f>CAUDALES!$B$13</f>
        <v/>
      </c>
      <c r="D36" s="17">
        <f>DATOS!$B$17</f>
        <v/>
      </c>
      <c r="E36" s="16">
        <f>(C36^2/(9.81*D36^2))^(1/3)</f>
        <v/>
      </c>
      <c r="F36" s="16">
        <f>(BV36+BW36)/2</f>
        <v/>
      </c>
      <c r="G36" s="16">
        <f>B36+F36</f>
        <v/>
      </c>
      <c r="H36" s="19">
        <f>C36/(D36*F36)</f>
        <v/>
      </c>
      <c r="I36" s="19">
        <f>H36/SQRT(9.81*F36)</f>
        <v/>
      </c>
      <c r="J36" s="16">
        <f>DATOS!$B$29-IF(AND(A36&gt;=DATOS!$B$30,A36&lt;DATOS!$B$31),DATOS!$B$21,DATOS!$B$20)</f>
        <v/>
      </c>
      <c r="K36" s="19">
        <f>J36-B36</f>
        <v/>
      </c>
      <c r="L36" s="19">
        <f>F36/K36</f>
        <v/>
      </c>
      <c r="M36" s="16">
        <f>J36-G36</f>
        <v/>
      </c>
      <c r="N36" s="5">
        <f>IF(AND(L36&lt;=DATOS!$B$36,M36&gt;=DATOS!$B$37,I36&lt;=1),"CUMPLE","NO CUMPLE")</f>
        <v/>
      </c>
      <c r="O36" s="5">
        <f>IF(AND(A36&gt;=DATOS!$B$30,A36&lt;DATOS!$B$31),"cruce de camiones",IF(AND(A36&gt;=DATOS!$B$32,A36&lt;DATOS!$B$33),"cruce de motos","tramo normal"))</f>
        <v/>
      </c>
      <c r="P36" s="5">
        <f>E36*1.001</f>
        <v/>
      </c>
      <c r="Q36" s="13" t="n">
        <v>3</v>
      </c>
      <c r="R36" s="5">
        <f>IF((((P36+Q36)/2)+(C36/(D36*((P36+Q36)/2)))^2/(2*9.81)+B36-(G35+H35^2/(2*9.81))-(A35-A36)*(((DATOS!$B$34*(C36/(D36*((P36+Q36)/2)))/((D36*((P36+Q36)/2))/(D36+2*((P36+Q36)/2)))^(2/3))^2+((DATOS!$B$34*H35/((D35*F35)/(D35+2*F35))^(2/3))^2))/2))&gt;0,P36,((P36+Q36)/2))</f>
        <v/>
      </c>
      <c r="S36" s="5">
        <f>IF((((P36+Q36)/2)+(C36/(D36*((P36+Q36)/2)))^2/(2*9.81)+B36-(G35+H35^2/(2*9.81))-(A35-A36)*(((DATOS!$B$34*(C36/(D36*((P36+Q36)/2)))/((D36*((P36+Q36)/2))/(D36+2*((P36+Q36)/2)))^(2/3))^2+((DATOS!$B$34*H35/((D35*F35)/(D35+2*F35))^(2/3))^2))/2))&gt;0,((P36+Q36)/2),Q36)</f>
        <v/>
      </c>
      <c r="T36" s="5">
        <f>IF((((R36+S36)/2)+(C36/(D36*((R36+S36)/2)))^2/(2*9.81)+B36-(G35+H35^2/(2*9.81))-(A35-A36)*(((DATOS!$B$34*(C36/(D36*((R36+S36)/2)))/((D36*((R36+S36)/2))/(D36+2*((R36+S36)/2)))^(2/3))^2+((DATOS!$B$34*H35/((D35*F35)/(D35+2*F35))^(2/3))^2))/2))&gt;0,R36,((R36+S36)/2))</f>
        <v/>
      </c>
      <c r="U36" s="5">
        <f>IF((((R36+S36)/2)+(C36/(D36*((R36+S36)/2)))^2/(2*9.81)+B36-(G35+H35^2/(2*9.81))-(A35-A36)*(((DATOS!$B$34*(C36/(D36*((R36+S36)/2)))/((D36*((R36+S36)/2))/(D36+2*((R36+S36)/2)))^(2/3))^2+((DATOS!$B$34*H35/((D35*F35)/(D35+2*F35))^(2/3))^2))/2))&gt;0,((R36+S36)/2),S36)</f>
        <v/>
      </c>
      <c r="V36" s="5">
        <f>IF((((T36+U36)/2)+(C36/(D36*((T36+U36)/2)))^2/(2*9.81)+B36-(G35+H35^2/(2*9.81))-(A35-A36)*(((DATOS!$B$34*(C36/(D36*((T36+U36)/2)))/((D36*((T36+U36)/2))/(D36+2*((T36+U36)/2)))^(2/3))^2+((DATOS!$B$34*H35/((D35*F35)/(D35+2*F35))^(2/3))^2))/2))&gt;0,T36,((T36+U36)/2))</f>
        <v/>
      </c>
      <c r="W36" s="5">
        <f>IF((((T36+U36)/2)+(C36/(D36*((T36+U36)/2)))^2/(2*9.81)+B36-(G35+H35^2/(2*9.81))-(A35-A36)*(((DATOS!$B$34*(C36/(D36*((T36+U36)/2)))/((D36*((T36+U36)/2))/(D36+2*((T36+U36)/2)))^(2/3))^2+((DATOS!$B$34*H35/((D35*F35)/(D35+2*F35))^(2/3))^2))/2))&gt;0,((T36+U36)/2),U36)</f>
        <v/>
      </c>
      <c r="X36" s="5">
        <f>IF((((V36+W36)/2)+(C36/(D36*((V36+W36)/2)))^2/(2*9.81)+B36-(G35+H35^2/(2*9.81))-(A35-A36)*(((DATOS!$B$34*(C36/(D36*((V36+W36)/2)))/((D36*((V36+W36)/2))/(D36+2*((V36+W36)/2)))^(2/3))^2+((DATOS!$B$34*H35/((D35*F35)/(D35+2*F35))^(2/3))^2))/2))&gt;0,V36,((V36+W36)/2))</f>
        <v/>
      </c>
      <c r="Y36" s="5">
        <f>IF((((V36+W36)/2)+(C36/(D36*((V36+W36)/2)))^2/(2*9.81)+B36-(G35+H35^2/(2*9.81))-(A35-A36)*(((DATOS!$B$34*(C36/(D36*((V36+W36)/2)))/((D36*((V36+W36)/2))/(D36+2*((V36+W36)/2)))^(2/3))^2+((DATOS!$B$34*H35/((D35*F35)/(D35+2*F35))^(2/3))^2))/2))&gt;0,((V36+W36)/2),W36)</f>
        <v/>
      </c>
      <c r="Z36" s="5">
        <f>IF((((X36+Y36)/2)+(C36/(D36*((X36+Y36)/2)))^2/(2*9.81)+B36-(G35+H35^2/(2*9.81))-(A35-A36)*(((DATOS!$B$34*(C36/(D36*((X36+Y36)/2)))/((D36*((X36+Y36)/2))/(D36+2*((X36+Y36)/2)))^(2/3))^2+((DATOS!$B$34*H35/((D35*F35)/(D35+2*F35))^(2/3))^2))/2))&gt;0,X36,((X36+Y36)/2))</f>
        <v/>
      </c>
      <c r="AA36" s="5">
        <f>IF((((X36+Y36)/2)+(C36/(D36*((X36+Y36)/2)))^2/(2*9.81)+B36-(G35+H35^2/(2*9.81))-(A35-A36)*(((DATOS!$B$34*(C36/(D36*((X36+Y36)/2)))/((D36*((X36+Y36)/2))/(D36+2*((X36+Y36)/2)))^(2/3))^2+((DATOS!$B$34*H35/((D35*F35)/(D35+2*F35))^(2/3))^2))/2))&gt;0,((X36+Y36)/2),Y36)</f>
        <v/>
      </c>
      <c r="AB36" s="5">
        <f>IF((((Z36+AA36)/2)+(C36/(D36*((Z36+AA36)/2)))^2/(2*9.81)+B36-(G35+H35^2/(2*9.81))-(A35-A36)*(((DATOS!$B$34*(C36/(D36*((Z36+AA36)/2)))/((D36*((Z36+AA36)/2))/(D36+2*((Z36+AA36)/2)))^(2/3))^2+((DATOS!$B$34*H35/((D35*F35)/(D35+2*F35))^(2/3))^2))/2))&gt;0,Z36,((Z36+AA36)/2))</f>
        <v/>
      </c>
      <c r="AC36" s="5">
        <f>IF((((Z36+AA36)/2)+(C36/(D36*((Z36+AA36)/2)))^2/(2*9.81)+B36-(G35+H35^2/(2*9.81))-(A35-A36)*(((DATOS!$B$34*(C36/(D36*((Z36+AA36)/2)))/((D36*((Z36+AA36)/2))/(D36+2*((Z36+AA36)/2)))^(2/3))^2+((DATOS!$B$34*H35/((D35*F35)/(D35+2*F35))^(2/3))^2))/2))&gt;0,((Z36+AA36)/2),AA36)</f>
        <v/>
      </c>
      <c r="AD36" s="5">
        <f>IF((((AB36+AC36)/2)+(C36/(D36*((AB36+AC36)/2)))^2/(2*9.81)+B36-(G35+H35^2/(2*9.81))-(A35-A36)*(((DATOS!$B$34*(C36/(D36*((AB36+AC36)/2)))/((D36*((AB36+AC36)/2))/(D36+2*((AB36+AC36)/2)))^(2/3))^2+((DATOS!$B$34*H35/((D35*F35)/(D35+2*F35))^(2/3))^2))/2))&gt;0,AB36,((AB36+AC36)/2))</f>
        <v/>
      </c>
      <c r="AE36" s="5">
        <f>IF((((AB36+AC36)/2)+(C36/(D36*((AB36+AC36)/2)))^2/(2*9.81)+B36-(G35+H35^2/(2*9.81))-(A35-A36)*(((DATOS!$B$34*(C36/(D36*((AB36+AC36)/2)))/((D36*((AB36+AC36)/2))/(D36+2*((AB36+AC36)/2)))^(2/3))^2+((DATOS!$B$34*H35/((D35*F35)/(D35+2*F35))^(2/3))^2))/2))&gt;0,((AB36+AC36)/2),AC36)</f>
        <v/>
      </c>
      <c r="AF36" s="5">
        <f>IF((((AD36+AE36)/2)+(C36/(D36*((AD36+AE36)/2)))^2/(2*9.81)+B36-(G35+H35^2/(2*9.81))-(A35-A36)*(((DATOS!$B$34*(C36/(D36*((AD36+AE36)/2)))/((D36*((AD36+AE36)/2))/(D36+2*((AD36+AE36)/2)))^(2/3))^2+((DATOS!$B$34*H35/((D35*F35)/(D35+2*F35))^(2/3))^2))/2))&gt;0,AD36,((AD36+AE36)/2))</f>
        <v/>
      </c>
      <c r="AG36" s="5">
        <f>IF((((AD36+AE36)/2)+(C36/(D36*((AD36+AE36)/2)))^2/(2*9.81)+B36-(G35+H35^2/(2*9.81))-(A35-A36)*(((DATOS!$B$34*(C36/(D36*((AD36+AE36)/2)))/((D36*((AD36+AE36)/2))/(D36+2*((AD36+AE36)/2)))^(2/3))^2+((DATOS!$B$34*H35/((D35*F35)/(D35+2*F35))^(2/3))^2))/2))&gt;0,((AD36+AE36)/2),AE36)</f>
        <v/>
      </c>
      <c r="AH36" s="5">
        <f>IF((((AF36+AG36)/2)+(C36/(D36*((AF36+AG36)/2)))^2/(2*9.81)+B36-(G35+H35^2/(2*9.81))-(A35-A36)*(((DATOS!$B$34*(C36/(D36*((AF36+AG36)/2)))/((D36*((AF36+AG36)/2))/(D36+2*((AF36+AG36)/2)))^(2/3))^2+((DATOS!$B$34*H35/((D35*F35)/(D35+2*F35))^(2/3))^2))/2))&gt;0,AF36,((AF36+AG36)/2))</f>
        <v/>
      </c>
      <c r="AI36" s="5">
        <f>IF((((AF36+AG36)/2)+(C36/(D36*((AF36+AG36)/2)))^2/(2*9.81)+B36-(G35+H35^2/(2*9.81))-(A35-A36)*(((DATOS!$B$34*(C36/(D36*((AF36+AG36)/2)))/((D36*((AF36+AG36)/2))/(D36+2*((AF36+AG36)/2)))^(2/3))^2+((DATOS!$B$34*H35/((D35*F35)/(D35+2*F35))^(2/3))^2))/2))&gt;0,((AF36+AG36)/2),AG36)</f>
        <v/>
      </c>
      <c r="AJ36" s="5">
        <f>IF((((AH36+AI36)/2)+(C36/(D36*((AH36+AI36)/2)))^2/(2*9.81)+B36-(G35+H35^2/(2*9.81))-(A35-A36)*(((DATOS!$B$34*(C36/(D36*((AH36+AI36)/2)))/((D36*((AH36+AI36)/2))/(D36+2*((AH36+AI36)/2)))^(2/3))^2+((DATOS!$B$34*H35/((D35*F35)/(D35+2*F35))^(2/3))^2))/2))&gt;0,AH36,((AH36+AI36)/2))</f>
        <v/>
      </c>
      <c r="AK36" s="5">
        <f>IF((((AH36+AI36)/2)+(C36/(D36*((AH36+AI36)/2)))^2/(2*9.81)+B36-(G35+H35^2/(2*9.81))-(A35-A36)*(((DATOS!$B$34*(C36/(D36*((AH36+AI36)/2)))/((D36*((AH36+AI36)/2))/(D36+2*((AH36+AI36)/2)))^(2/3))^2+((DATOS!$B$34*H35/((D35*F35)/(D35+2*F35))^(2/3))^2))/2))&gt;0,((AH36+AI36)/2),AI36)</f>
        <v/>
      </c>
      <c r="AL36" s="5">
        <f>IF((((AJ36+AK36)/2)+(C36/(D36*((AJ36+AK36)/2)))^2/(2*9.81)+B36-(G35+H35^2/(2*9.81))-(A35-A36)*(((DATOS!$B$34*(C36/(D36*((AJ36+AK36)/2)))/((D36*((AJ36+AK36)/2))/(D36+2*((AJ36+AK36)/2)))^(2/3))^2+((DATOS!$B$34*H35/((D35*F35)/(D35+2*F35))^(2/3))^2))/2))&gt;0,AJ36,((AJ36+AK36)/2))</f>
        <v/>
      </c>
      <c r="AM36" s="5">
        <f>IF((((AJ36+AK36)/2)+(C36/(D36*((AJ36+AK36)/2)))^2/(2*9.81)+B36-(G35+H35^2/(2*9.81))-(A35-A36)*(((DATOS!$B$34*(C36/(D36*((AJ36+AK36)/2)))/((D36*((AJ36+AK36)/2))/(D36+2*((AJ36+AK36)/2)))^(2/3))^2+((DATOS!$B$34*H35/((D35*F35)/(D35+2*F35))^(2/3))^2))/2))&gt;0,((AJ36+AK36)/2),AK36)</f>
        <v/>
      </c>
      <c r="AN36" s="5">
        <f>IF((((AL36+AM36)/2)+(C36/(D36*((AL36+AM36)/2)))^2/(2*9.81)+B36-(G35+H35^2/(2*9.81))-(A35-A36)*(((DATOS!$B$34*(C36/(D36*((AL36+AM36)/2)))/((D36*((AL36+AM36)/2))/(D36+2*((AL36+AM36)/2)))^(2/3))^2+((DATOS!$B$34*H35/((D35*F35)/(D35+2*F35))^(2/3))^2))/2))&gt;0,AL36,((AL36+AM36)/2))</f>
        <v/>
      </c>
      <c r="AO36" s="5">
        <f>IF((((AL36+AM36)/2)+(C36/(D36*((AL36+AM36)/2)))^2/(2*9.81)+B36-(G35+H35^2/(2*9.81))-(A35-A36)*(((DATOS!$B$34*(C36/(D36*((AL36+AM36)/2)))/((D36*((AL36+AM36)/2))/(D36+2*((AL36+AM36)/2)))^(2/3))^2+((DATOS!$B$34*H35/((D35*F35)/(D35+2*F35))^(2/3))^2))/2))&gt;0,((AL36+AM36)/2),AM36)</f>
        <v/>
      </c>
      <c r="AP36" s="5">
        <f>IF((((AN36+AO36)/2)+(C36/(D36*((AN36+AO36)/2)))^2/(2*9.81)+B36-(G35+H35^2/(2*9.81))-(A35-A36)*(((DATOS!$B$34*(C36/(D36*((AN36+AO36)/2)))/((D36*((AN36+AO36)/2))/(D36+2*((AN36+AO36)/2)))^(2/3))^2+((DATOS!$B$34*H35/((D35*F35)/(D35+2*F35))^(2/3))^2))/2))&gt;0,AN36,((AN36+AO36)/2))</f>
        <v/>
      </c>
      <c r="AQ36" s="5">
        <f>IF((((AN36+AO36)/2)+(C36/(D36*((AN36+AO36)/2)))^2/(2*9.81)+B36-(G35+H35^2/(2*9.81))-(A35-A36)*(((DATOS!$B$34*(C36/(D36*((AN36+AO36)/2)))/((D36*((AN36+AO36)/2))/(D36+2*((AN36+AO36)/2)))^(2/3))^2+((DATOS!$B$34*H35/((D35*F35)/(D35+2*F35))^(2/3))^2))/2))&gt;0,((AN36+AO36)/2),AO36)</f>
        <v/>
      </c>
      <c r="AR36" s="5">
        <f>IF((((AP36+AQ36)/2)+(C36/(D36*((AP36+AQ36)/2)))^2/(2*9.81)+B36-(G35+H35^2/(2*9.81))-(A35-A36)*(((DATOS!$B$34*(C36/(D36*((AP36+AQ36)/2)))/((D36*((AP36+AQ36)/2))/(D36+2*((AP36+AQ36)/2)))^(2/3))^2+((DATOS!$B$34*H35/((D35*F35)/(D35+2*F35))^(2/3))^2))/2))&gt;0,AP36,((AP36+AQ36)/2))</f>
        <v/>
      </c>
      <c r="AS36" s="5">
        <f>IF((((AP36+AQ36)/2)+(C36/(D36*((AP36+AQ36)/2)))^2/(2*9.81)+B36-(G35+H35^2/(2*9.81))-(A35-A36)*(((DATOS!$B$34*(C36/(D36*((AP36+AQ36)/2)))/((D36*((AP36+AQ36)/2))/(D36+2*((AP36+AQ36)/2)))^(2/3))^2+((DATOS!$B$34*H35/((D35*F35)/(D35+2*F35))^(2/3))^2))/2))&gt;0,((AP36+AQ36)/2),AQ36)</f>
        <v/>
      </c>
      <c r="AT36" s="5">
        <f>IF((((AR36+AS36)/2)+(C36/(D36*((AR36+AS36)/2)))^2/(2*9.81)+B36-(G35+H35^2/(2*9.81))-(A35-A36)*(((DATOS!$B$34*(C36/(D36*((AR36+AS36)/2)))/((D36*((AR36+AS36)/2))/(D36+2*((AR36+AS36)/2)))^(2/3))^2+((DATOS!$B$34*H35/((D35*F35)/(D35+2*F35))^(2/3))^2))/2))&gt;0,AR36,((AR36+AS36)/2))</f>
        <v/>
      </c>
      <c r="AU36" s="5">
        <f>IF((((AR36+AS36)/2)+(C36/(D36*((AR36+AS36)/2)))^2/(2*9.81)+B36-(G35+H35^2/(2*9.81))-(A35-A36)*(((DATOS!$B$34*(C36/(D36*((AR36+AS36)/2)))/((D36*((AR36+AS36)/2))/(D36+2*((AR36+AS36)/2)))^(2/3))^2+((DATOS!$B$34*H35/((D35*F35)/(D35+2*F35))^(2/3))^2))/2))&gt;0,((AR36+AS36)/2),AS36)</f>
        <v/>
      </c>
      <c r="AV36" s="5">
        <f>IF((((AT36+AU36)/2)+(C36/(D36*((AT36+AU36)/2)))^2/(2*9.81)+B36-(G35+H35^2/(2*9.81))-(A35-A36)*(((DATOS!$B$34*(C36/(D36*((AT36+AU36)/2)))/((D36*((AT36+AU36)/2))/(D36+2*((AT36+AU36)/2)))^(2/3))^2+((DATOS!$B$34*H35/((D35*F35)/(D35+2*F35))^(2/3))^2))/2))&gt;0,AT36,((AT36+AU36)/2))</f>
        <v/>
      </c>
      <c r="AW36" s="5">
        <f>IF((((AT36+AU36)/2)+(C36/(D36*((AT36+AU36)/2)))^2/(2*9.81)+B36-(G35+H35^2/(2*9.81))-(A35-A36)*(((DATOS!$B$34*(C36/(D36*((AT36+AU36)/2)))/((D36*((AT36+AU36)/2))/(D36+2*((AT36+AU36)/2)))^(2/3))^2+((DATOS!$B$34*H35/((D35*F35)/(D35+2*F35))^(2/3))^2))/2))&gt;0,((AT36+AU36)/2),AU36)</f>
        <v/>
      </c>
      <c r="AX36" s="5">
        <f>IF((((AV36+AW36)/2)+(C36/(D36*((AV36+AW36)/2)))^2/(2*9.81)+B36-(G35+H35^2/(2*9.81))-(A35-A36)*(((DATOS!$B$34*(C36/(D36*((AV36+AW36)/2)))/((D36*((AV36+AW36)/2))/(D36+2*((AV36+AW36)/2)))^(2/3))^2+((DATOS!$B$34*H35/((D35*F35)/(D35+2*F35))^(2/3))^2))/2))&gt;0,AV36,((AV36+AW36)/2))</f>
        <v/>
      </c>
      <c r="AY36" s="5">
        <f>IF((((AV36+AW36)/2)+(C36/(D36*((AV36+AW36)/2)))^2/(2*9.81)+B36-(G35+H35^2/(2*9.81))-(A35-A36)*(((DATOS!$B$34*(C36/(D36*((AV36+AW36)/2)))/((D36*((AV36+AW36)/2))/(D36+2*((AV36+AW36)/2)))^(2/3))^2+((DATOS!$B$34*H35/((D35*F35)/(D35+2*F35))^(2/3))^2))/2))&gt;0,((AV36+AW36)/2),AW36)</f>
        <v/>
      </c>
      <c r="AZ36" s="5">
        <f>IF((((AX36+AY36)/2)+(C36/(D36*((AX36+AY36)/2)))^2/(2*9.81)+B36-(G35+H35^2/(2*9.81))-(A35-A36)*(((DATOS!$B$34*(C36/(D36*((AX36+AY36)/2)))/((D36*((AX36+AY36)/2))/(D36+2*((AX36+AY36)/2)))^(2/3))^2+((DATOS!$B$34*H35/((D35*F35)/(D35+2*F35))^(2/3))^2))/2))&gt;0,AX36,((AX36+AY36)/2))</f>
        <v/>
      </c>
      <c r="BA36" s="5">
        <f>IF((((AX36+AY36)/2)+(C36/(D36*((AX36+AY36)/2)))^2/(2*9.81)+B36-(G35+H35^2/(2*9.81))-(A35-A36)*(((DATOS!$B$34*(C36/(D36*((AX36+AY36)/2)))/((D36*((AX36+AY36)/2))/(D36+2*((AX36+AY36)/2)))^(2/3))^2+((DATOS!$B$34*H35/((D35*F35)/(D35+2*F35))^(2/3))^2))/2))&gt;0,((AX36+AY36)/2),AY36)</f>
        <v/>
      </c>
      <c r="BB36" s="5">
        <f>IF((((AZ36+BA36)/2)+(C36/(D36*((AZ36+BA36)/2)))^2/(2*9.81)+B36-(G35+H35^2/(2*9.81))-(A35-A36)*(((DATOS!$B$34*(C36/(D36*((AZ36+BA36)/2)))/((D36*((AZ36+BA36)/2))/(D36+2*((AZ36+BA36)/2)))^(2/3))^2+((DATOS!$B$34*H35/((D35*F35)/(D35+2*F35))^(2/3))^2))/2))&gt;0,AZ36,((AZ36+BA36)/2))</f>
        <v/>
      </c>
      <c r="BC36" s="5">
        <f>IF((((AZ36+BA36)/2)+(C36/(D36*((AZ36+BA36)/2)))^2/(2*9.81)+B36-(G35+H35^2/(2*9.81))-(A35-A36)*(((DATOS!$B$34*(C36/(D36*((AZ36+BA36)/2)))/((D36*((AZ36+BA36)/2))/(D36+2*((AZ36+BA36)/2)))^(2/3))^2+((DATOS!$B$34*H35/((D35*F35)/(D35+2*F35))^(2/3))^2))/2))&gt;0,((AZ36+BA36)/2),BA36)</f>
        <v/>
      </c>
      <c r="BD36" s="5">
        <f>IF((((BB36+BC36)/2)+(C36/(D36*((BB36+BC36)/2)))^2/(2*9.81)+B36-(G35+H35^2/(2*9.81))-(A35-A36)*(((DATOS!$B$34*(C36/(D36*((BB36+BC36)/2)))/((D36*((BB36+BC36)/2))/(D36+2*((BB36+BC36)/2)))^(2/3))^2+((DATOS!$B$34*H35/((D35*F35)/(D35+2*F35))^(2/3))^2))/2))&gt;0,BB36,((BB36+BC36)/2))</f>
        <v/>
      </c>
      <c r="BE36" s="5">
        <f>IF((((BB36+BC36)/2)+(C36/(D36*((BB36+BC36)/2)))^2/(2*9.81)+B36-(G35+H35^2/(2*9.81))-(A35-A36)*(((DATOS!$B$34*(C36/(D36*((BB36+BC36)/2)))/((D36*((BB36+BC36)/2))/(D36+2*((BB36+BC36)/2)))^(2/3))^2+((DATOS!$B$34*H35/((D35*F35)/(D35+2*F35))^(2/3))^2))/2))&gt;0,((BB36+BC36)/2),BC36)</f>
        <v/>
      </c>
      <c r="BF36" s="5">
        <f>IF((((BD36+BE36)/2)+(C36/(D36*((BD36+BE36)/2)))^2/(2*9.81)+B36-(G35+H35^2/(2*9.81))-(A35-A36)*(((DATOS!$B$34*(C36/(D36*((BD36+BE36)/2)))/((D36*((BD36+BE36)/2))/(D36+2*((BD36+BE36)/2)))^(2/3))^2+((DATOS!$B$34*H35/((D35*F35)/(D35+2*F35))^(2/3))^2))/2))&gt;0,BD36,((BD36+BE36)/2))</f>
        <v/>
      </c>
      <c r="BG36" s="5">
        <f>IF((((BD36+BE36)/2)+(C36/(D36*((BD36+BE36)/2)))^2/(2*9.81)+B36-(G35+H35^2/(2*9.81))-(A35-A36)*(((DATOS!$B$34*(C36/(D36*((BD36+BE36)/2)))/((D36*((BD36+BE36)/2))/(D36+2*((BD36+BE36)/2)))^(2/3))^2+((DATOS!$B$34*H35/((D35*F35)/(D35+2*F35))^(2/3))^2))/2))&gt;0,((BD36+BE36)/2),BE36)</f>
        <v/>
      </c>
      <c r="BH36" s="5">
        <f>IF((((BF36+BG36)/2)+(C36/(D36*((BF36+BG36)/2)))^2/(2*9.81)+B36-(G35+H35^2/(2*9.81))-(A35-A36)*(((DATOS!$B$34*(C36/(D36*((BF36+BG36)/2)))/((D36*((BF36+BG36)/2))/(D36+2*((BF36+BG36)/2)))^(2/3))^2+((DATOS!$B$34*H35/((D35*F35)/(D35+2*F35))^(2/3))^2))/2))&gt;0,BF36,((BF36+BG36)/2))</f>
        <v/>
      </c>
      <c r="BI36" s="5">
        <f>IF((((BF36+BG36)/2)+(C36/(D36*((BF36+BG36)/2)))^2/(2*9.81)+B36-(G35+H35^2/(2*9.81))-(A35-A36)*(((DATOS!$B$34*(C36/(D36*((BF36+BG36)/2)))/((D36*((BF36+BG36)/2))/(D36+2*((BF36+BG36)/2)))^(2/3))^2+((DATOS!$B$34*H35/((D35*F35)/(D35+2*F35))^(2/3))^2))/2))&gt;0,((BF36+BG36)/2),BG36)</f>
        <v/>
      </c>
      <c r="BJ36" s="5">
        <f>IF((((BH36+BI36)/2)+(C36/(D36*((BH36+BI36)/2)))^2/(2*9.81)+B36-(G35+H35^2/(2*9.81))-(A35-A36)*(((DATOS!$B$34*(C36/(D36*((BH36+BI36)/2)))/((D36*((BH36+BI36)/2))/(D36+2*((BH36+BI36)/2)))^(2/3))^2+((DATOS!$B$34*H35/((D35*F35)/(D35+2*F35))^(2/3))^2))/2))&gt;0,BH36,((BH36+BI36)/2))</f>
        <v/>
      </c>
      <c r="BK36" s="5">
        <f>IF((((BH36+BI36)/2)+(C36/(D36*((BH36+BI36)/2)))^2/(2*9.81)+B36-(G35+H35^2/(2*9.81))-(A35-A36)*(((DATOS!$B$34*(C36/(D36*((BH36+BI36)/2)))/((D36*((BH36+BI36)/2))/(D36+2*((BH36+BI36)/2)))^(2/3))^2+((DATOS!$B$34*H35/((D35*F35)/(D35+2*F35))^(2/3))^2))/2))&gt;0,((BH36+BI36)/2),BI36)</f>
        <v/>
      </c>
      <c r="BL36" s="5">
        <f>IF((((BJ36+BK36)/2)+(C36/(D36*((BJ36+BK36)/2)))^2/(2*9.81)+B36-(G35+H35^2/(2*9.81))-(A35-A36)*(((DATOS!$B$34*(C36/(D36*((BJ36+BK36)/2)))/((D36*((BJ36+BK36)/2))/(D36+2*((BJ36+BK36)/2)))^(2/3))^2+((DATOS!$B$34*H35/((D35*F35)/(D35+2*F35))^(2/3))^2))/2))&gt;0,BJ36,((BJ36+BK36)/2))</f>
        <v/>
      </c>
      <c r="BM36" s="5">
        <f>IF((((BJ36+BK36)/2)+(C36/(D36*((BJ36+BK36)/2)))^2/(2*9.81)+B36-(G35+H35^2/(2*9.81))-(A35-A36)*(((DATOS!$B$34*(C36/(D36*((BJ36+BK36)/2)))/((D36*((BJ36+BK36)/2))/(D36+2*((BJ36+BK36)/2)))^(2/3))^2+((DATOS!$B$34*H35/((D35*F35)/(D35+2*F35))^(2/3))^2))/2))&gt;0,((BJ36+BK36)/2),BK36)</f>
        <v/>
      </c>
      <c r="BN36" s="5">
        <f>IF((((BL36+BM36)/2)+(C36/(D36*((BL36+BM36)/2)))^2/(2*9.81)+B36-(G35+H35^2/(2*9.81))-(A35-A36)*(((DATOS!$B$34*(C36/(D36*((BL36+BM36)/2)))/((D36*((BL36+BM36)/2))/(D36+2*((BL36+BM36)/2)))^(2/3))^2+((DATOS!$B$34*H35/((D35*F35)/(D35+2*F35))^(2/3))^2))/2))&gt;0,BL36,((BL36+BM36)/2))</f>
        <v/>
      </c>
      <c r="BO36" s="5">
        <f>IF((((BL36+BM36)/2)+(C36/(D36*((BL36+BM36)/2)))^2/(2*9.81)+B36-(G35+H35^2/(2*9.81))-(A35-A36)*(((DATOS!$B$34*(C36/(D36*((BL36+BM36)/2)))/((D36*((BL36+BM36)/2))/(D36+2*((BL36+BM36)/2)))^(2/3))^2+((DATOS!$B$34*H35/((D35*F35)/(D35+2*F35))^(2/3))^2))/2))&gt;0,((BL36+BM36)/2),BM36)</f>
        <v/>
      </c>
      <c r="BP36" s="5">
        <f>IF((((BN36+BO36)/2)+(C36/(D36*((BN36+BO36)/2)))^2/(2*9.81)+B36-(G35+H35^2/(2*9.81))-(A35-A36)*(((DATOS!$B$34*(C36/(D36*((BN36+BO36)/2)))/((D36*((BN36+BO36)/2))/(D36+2*((BN36+BO36)/2)))^(2/3))^2+((DATOS!$B$34*H35/((D35*F35)/(D35+2*F35))^(2/3))^2))/2))&gt;0,BN36,((BN36+BO36)/2))</f>
        <v/>
      </c>
      <c r="BQ36" s="5">
        <f>IF((((BN36+BO36)/2)+(C36/(D36*((BN36+BO36)/2)))^2/(2*9.81)+B36-(G35+H35^2/(2*9.81))-(A35-A36)*(((DATOS!$B$34*(C36/(D36*((BN36+BO36)/2)))/((D36*((BN36+BO36)/2))/(D36+2*((BN36+BO36)/2)))^(2/3))^2+((DATOS!$B$34*H35/((D35*F35)/(D35+2*F35))^(2/3))^2))/2))&gt;0,((BN36+BO36)/2),BO36)</f>
        <v/>
      </c>
      <c r="BR36" s="5">
        <f>IF((((BP36+BQ36)/2)+(C36/(D36*((BP36+BQ36)/2)))^2/(2*9.81)+B36-(G35+H35^2/(2*9.81))-(A35-A36)*(((DATOS!$B$34*(C36/(D36*((BP36+BQ36)/2)))/((D36*((BP36+BQ36)/2))/(D36+2*((BP36+BQ36)/2)))^(2/3))^2+((DATOS!$B$34*H35/((D35*F35)/(D35+2*F35))^(2/3))^2))/2))&gt;0,BP36,((BP36+BQ36)/2))</f>
        <v/>
      </c>
      <c r="BS36" s="5">
        <f>IF((((BP36+BQ36)/2)+(C36/(D36*((BP36+BQ36)/2)))^2/(2*9.81)+B36-(G35+H35^2/(2*9.81))-(A35-A36)*(((DATOS!$B$34*(C36/(D36*((BP36+BQ36)/2)))/((D36*((BP36+BQ36)/2))/(D36+2*((BP36+BQ36)/2)))^(2/3))^2+((DATOS!$B$34*H35/((D35*F35)/(D35+2*F35))^(2/3))^2))/2))&gt;0,((BP36+BQ36)/2),BQ36)</f>
        <v/>
      </c>
      <c r="BT36" s="5">
        <f>IF((((BR36+BS36)/2)+(C36/(D36*((BR36+BS36)/2)))^2/(2*9.81)+B36-(G35+H35^2/(2*9.81))-(A35-A36)*(((DATOS!$B$34*(C36/(D36*((BR36+BS36)/2)))/((D36*((BR36+BS36)/2))/(D36+2*((BR36+BS36)/2)))^(2/3))^2+((DATOS!$B$34*H35/((D35*F35)/(D35+2*F35))^(2/3))^2))/2))&gt;0,BR36,((BR36+BS36)/2))</f>
        <v/>
      </c>
      <c r="BU36" s="5">
        <f>IF((((BR36+BS36)/2)+(C36/(D36*((BR36+BS36)/2)))^2/(2*9.81)+B36-(G35+H35^2/(2*9.81))-(A35-A36)*(((DATOS!$B$34*(C36/(D36*((BR36+BS36)/2)))/((D36*((BR36+BS36)/2))/(D36+2*((BR36+BS36)/2)))^(2/3))^2+((DATOS!$B$34*H35/((D35*F35)/(D35+2*F35))^(2/3))^2))/2))&gt;0,((BR36+BS36)/2),BS36)</f>
        <v/>
      </c>
      <c r="BV36" s="5">
        <f>IF((((BT36+BU36)/2)+(C36/(D36*((BT36+BU36)/2)))^2/(2*9.81)+B36-(G35+H35^2/(2*9.81))-(A35-A36)*(((DATOS!$B$34*(C36/(D36*((BT36+BU36)/2)))/((D36*((BT36+BU36)/2))/(D36+2*((BT36+BU36)/2)))^(2/3))^2+((DATOS!$B$34*H35/((D35*F35)/(D35+2*F35))^(2/3))^2))/2))&gt;0,BT36,((BT36+BU36)/2))</f>
        <v/>
      </c>
      <c r="BW36" s="5">
        <f>IF((((BT36+BU36)/2)+(C36/(D36*((BT36+BU36)/2)))^2/(2*9.81)+B36-(G35+H35^2/(2*9.81))-(A35-A36)*(((DATOS!$B$34*(C36/(D36*((BT36+BU36)/2)))/((D36*((BT36+BU36)/2))/(D36+2*((BT36+BU36)/2)))^(2/3))^2+((DATOS!$B$34*H35/((D35*F35)/(D35+2*F35))^(2/3))^2))/2))&gt;0,((BT36+BU36)/2),BU36)</f>
        <v/>
      </c>
    </row>
    <row r="37">
      <c r="A37" s="13" t="n">
        <v>45</v>
      </c>
      <c r="B37" s="16">
        <f>DATOS!$B$22-DATOS!$B$23*A37</f>
        <v/>
      </c>
      <c r="C37" s="24">
        <f>CAUDALES!$B$13</f>
        <v/>
      </c>
      <c r="D37" s="17">
        <f>DATOS!$B$17</f>
        <v/>
      </c>
      <c r="E37" s="16">
        <f>(C37^2/(9.81*D37^2))^(1/3)</f>
        <v/>
      </c>
      <c r="F37" s="16">
        <f>(BV37+BW37)/2</f>
        <v/>
      </c>
      <c r="G37" s="16">
        <f>B37+F37</f>
        <v/>
      </c>
      <c r="H37" s="19">
        <f>C37/(D37*F37)</f>
        <v/>
      </c>
      <c r="I37" s="19">
        <f>H37/SQRT(9.81*F37)</f>
        <v/>
      </c>
      <c r="J37" s="16">
        <f>DATOS!$B$29-IF(AND(A37&gt;=DATOS!$B$30,A37&lt;DATOS!$B$31),DATOS!$B$21,DATOS!$B$20)</f>
        <v/>
      </c>
      <c r="K37" s="19">
        <f>J37-B37</f>
        <v/>
      </c>
      <c r="L37" s="19">
        <f>F37/K37</f>
        <v/>
      </c>
      <c r="M37" s="16">
        <f>J37-G37</f>
        <v/>
      </c>
      <c r="N37" s="5">
        <f>IF(AND(L37&lt;=DATOS!$B$36,M37&gt;=DATOS!$B$37,I37&lt;=1),"CUMPLE","NO CUMPLE")</f>
        <v/>
      </c>
      <c r="O37" s="5">
        <f>IF(AND(A37&gt;=DATOS!$B$30,A37&lt;DATOS!$B$31),"cruce de camiones",IF(AND(A37&gt;=DATOS!$B$32,A37&lt;DATOS!$B$33),"cruce de motos","tramo normal"))</f>
        <v/>
      </c>
      <c r="P37" s="5">
        <f>E37*1.001</f>
        <v/>
      </c>
      <c r="Q37" s="13" t="n">
        <v>3</v>
      </c>
      <c r="R37" s="5">
        <f>IF((((P37+Q37)/2)+(C37/(D37*((P37+Q37)/2)))^2/(2*9.81)+B37-(G36+H36^2/(2*9.81))-(A36-A37)*(((DATOS!$B$34*(C37/(D37*((P37+Q37)/2)))/((D37*((P37+Q37)/2))/(D37+2*((P37+Q37)/2)))^(2/3))^2+((DATOS!$B$34*H36/((D36*F36)/(D36+2*F36))^(2/3))^2))/2))&gt;0,P37,((P37+Q37)/2))</f>
        <v/>
      </c>
      <c r="S37" s="5">
        <f>IF((((P37+Q37)/2)+(C37/(D37*((P37+Q37)/2)))^2/(2*9.81)+B37-(G36+H36^2/(2*9.81))-(A36-A37)*(((DATOS!$B$34*(C37/(D37*((P37+Q37)/2)))/((D37*((P37+Q37)/2))/(D37+2*((P37+Q37)/2)))^(2/3))^2+((DATOS!$B$34*H36/((D36*F36)/(D36+2*F36))^(2/3))^2))/2))&gt;0,((P37+Q37)/2),Q37)</f>
        <v/>
      </c>
      <c r="T37" s="5">
        <f>IF((((R37+S37)/2)+(C37/(D37*((R37+S37)/2)))^2/(2*9.81)+B37-(G36+H36^2/(2*9.81))-(A36-A37)*(((DATOS!$B$34*(C37/(D37*((R37+S37)/2)))/((D37*((R37+S37)/2))/(D37+2*((R37+S37)/2)))^(2/3))^2+((DATOS!$B$34*H36/((D36*F36)/(D36+2*F36))^(2/3))^2))/2))&gt;0,R37,((R37+S37)/2))</f>
        <v/>
      </c>
      <c r="U37" s="5">
        <f>IF((((R37+S37)/2)+(C37/(D37*((R37+S37)/2)))^2/(2*9.81)+B37-(G36+H36^2/(2*9.81))-(A36-A37)*(((DATOS!$B$34*(C37/(D37*((R37+S37)/2)))/((D37*((R37+S37)/2))/(D37+2*((R37+S37)/2)))^(2/3))^2+((DATOS!$B$34*H36/((D36*F36)/(D36+2*F36))^(2/3))^2))/2))&gt;0,((R37+S37)/2),S37)</f>
        <v/>
      </c>
      <c r="V37" s="5">
        <f>IF((((T37+U37)/2)+(C37/(D37*((T37+U37)/2)))^2/(2*9.81)+B37-(G36+H36^2/(2*9.81))-(A36-A37)*(((DATOS!$B$34*(C37/(D37*((T37+U37)/2)))/((D37*((T37+U37)/2))/(D37+2*((T37+U37)/2)))^(2/3))^2+((DATOS!$B$34*H36/((D36*F36)/(D36+2*F36))^(2/3))^2))/2))&gt;0,T37,((T37+U37)/2))</f>
        <v/>
      </c>
      <c r="W37" s="5">
        <f>IF((((T37+U37)/2)+(C37/(D37*((T37+U37)/2)))^2/(2*9.81)+B37-(G36+H36^2/(2*9.81))-(A36-A37)*(((DATOS!$B$34*(C37/(D37*((T37+U37)/2)))/((D37*((T37+U37)/2))/(D37+2*((T37+U37)/2)))^(2/3))^2+((DATOS!$B$34*H36/((D36*F36)/(D36+2*F36))^(2/3))^2))/2))&gt;0,((T37+U37)/2),U37)</f>
        <v/>
      </c>
      <c r="X37" s="5">
        <f>IF((((V37+W37)/2)+(C37/(D37*((V37+W37)/2)))^2/(2*9.81)+B37-(G36+H36^2/(2*9.81))-(A36-A37)*(((DATOS!$B$34*(C37/(D37*((V37+W37)/2)))/((D37*((V37+W37)/2))/(D37+2*((V37+W37)/2)))^(2/3))^2+((DATOS!$B$34*H36/((D36*F36)/(D36+2*F36))^(2/3))^2))/2))&gt;0,V37,((V37+W37)/2))</f>
        <v/>
      </c>
      <c r="Y37" s="5">
        <f>IF((((V37+W37)/2)+(C37/(D37*((V37+W37)/2)))^2/(2*9.81)+B37-(G36+H36^2/(2*9.81))-(A36-A37)*(((DATOS!$B$34*(C37/(D37*((V37+W37)/2)))/((D37*((V37+W37)/2))/(D37+2*((V37+W37)/2)))^(2/3))^2+((DATOS!$B$34*H36/((D36*F36)/(D36+2*F36))^(2/3))^2))/2))&gt;0,((V37+W37)/2),W37)</f>
        <v/>
      </c>
      <c r="Z37" s="5">
        <f>IF((((X37+Y37)/2)+(C37/(D37*((X37+Y37)/2)))^2/(2*9.81)+B37-(G36+H36^2/(2*9.81))-(A36-A37)*(((DATOS!$B$34*(C37/(D37*((X37+Y37)/2)))/((D37*((X37+Y37)/2))/(D37+2*((X37+Y37)/2)))^(2/3))^2+((DATOS!$B$34*H36/((D36*F36)/(D36+2*F36))^(2/3))^2))/2))&gt;0,X37,((X37+Y37)/2))</f>
        <v/>
      </c>
      <c r="AA37" s="5">
        <f>IF((((X37+Y37)/2)+(C37/(D37*((X37+Y37)/2)))^2/(2*9.81)+B37-(G36+H36^2/(2*9.81))-(A36-A37)*(((DATOS!$B$34*(C37/(D37*((X37+Y37)/2)))/((D37*((X37+Y37)/2))/(D37+2*((X37+Y37)/2)))^(2/3))^2+((DATOS!$B$34*H36/((D36*F36)/(D36+2*F36))^(2/3))^2))/2))&gt;0,((X37+Y37)/2),Y37)</f>
        <v/>
      </c>
      <c r="AB37" s="5">
        <f>IF((((Z37+AA37)/2)+(C37/(D37*((Z37+AA37)/2)))^2/(2*9.81)+B37-(G36+H36^2/(2*9.81))-(A36-A37)*(((DATOS!$B$34*(C37/(D37*((Z37+AA37)/2)))/((D37*((Z37+AA37)/2))/(D37+2*((Z37+AA37)/2)))^(2/3))^2+((DATOS!$B$34*H36/((D36*F36)/(D36+2*F36))^(2/3))^2))/2))&gt;0,Z37,((Z37+AA37)/2))</f>
        <v/>
      </c>
      <c r="AC37" s="5">
        <f>IF((((Z37+AA37)/2)+(C37/(D37*((Z37+AA37)/2)))^2/(2*9.81)+B37-(G36+H36^2/(2*9.81))-(A36-A37)*(((DATOS!$B$34*(C37/(D37*((Z37+AA37)/2)))/((D37*((Z37+AA37)/2))/(D37+2*((Z37+AA37)/2)))^(2/3))^2+((DATOS!$B$34*H36/((D36*F36)/(D36+2*F36))^(2/3))^2))/2))&gt;0,((Z37+AA37)/2),AA37)</f>
        <v/>
      </c>
      <c r="AD37" s="5">
        <f>IF((((AB37+AC37)/2)+(C37/(D37*((AB37+AC37)/2)))^2/(2*9.81)+B37-(G36+H36^2/(2*9.81))-(A36-A37)*(((DATOS!$B$34*(C37/(D37*((AB37+AC37)/2)))/((D37*((AB37+AC37)/2))/(D37+2*((AB37+AC37)/2)))^(2/3))^2+((DATOS!$B$34*H36/((D36*F36)/(D36+2*F36))^(2/3))^2))/2))&gt;0,AB37,((AB37+AC37)/2))</f>
        <v/>
      </c>
      <c r="AE37" s="5">
        <f>IF((((AB37+AC37)/2)+(C37/(D37*((AB37+AC37)/2)))^2/(2*9.81)+B37-(G36+H36^2/(2*9.81))-(A36-A37)*(((DATOS!$B$34*(C37/(D37*((AB37+AC37)/2)))/((D37*((AB37+AC37)/2))/(D37+2*((AB37+AC37)/2)))^(2/3))^2+((DATOS!$B$34*H36/((D36*F36)/(D36+2*F36))^(2/3))^2))/2))&gt;0,((AB37+AC37)/2),AC37)</f>
        <v/>
      </c>
      <c r="AF37" s="5">
        <f>IF((((AD37+AE37)/2)+(C37/(D37*((AD37+AE37)/2)))^2/(2*9.81)+B37-(G36+H36^2/(2*9.81))-(A36-A37)*(((DATOS!$B$34*(C37/(D37*((AD37+AE37)/2)))/((D37*((AD37+AE37)/2))/(D37+2*((AD37+AE37)/2)))^(2/3))^2+((DATOS!$B$34*H36/((D36*F36)/(D36+2*F36))^(2/3))^2))/2))&gt;0,AD37,((AD37+AE37)/2))</f>
        <v/>
      </c>
      <c r="AG37" s="5">
        <f>IF((((AD37+AE37)/2)+(C37/(D37*((AD37+AE37)/2)))^2/(2*9.81)+B37-(G36+H36^2/(2*9.81))-(A36-A37)*(((DATOS!$B$34*(C37/(D37*((AD37+AE37)/2)))/((D37*((AD37+AE37)/2))/(D37+2*((AD37+AE37)/2)))^(2/3))^2+((DATOS!$B$34*H36/((D36*F36)/(D36+2*F36))^(2/3))^2))/2))&gt;0,((AD37+AE37)/2),AE37)</f>
        <v/>
      </c>
      <c r="AH37" s="5">
        <f>IF((((AF37+AG37)/2)+(C37/(D37*((AF37+AG37)/2)))^2/(2*9.81)+B37-(G36+H36^2/(2*9.81))-(A36-A37)*(((DATOS!$B$34*(C37/(D37*((AF37+AG37)/2)))/((D37*((AF37+AG37)/2))/(D37+2*((AF37+AG37)/2)))^(2/3))^2+((DATOS!$B$34*H36/((D36*F36)/(D36+2*F36))^(2/3))^2))/2))&gt;0,AF37,((AF37+AG37)/2))</f>
        <v/>
      </c>
      <c r="AI37" s="5">
        <f>IF((((AF37+AG37)/2)+(C37/(D37*((AF37+AG37)/2)))^2/(2*9.81)+B37-(G36+H36^2/(2*9.81))-(A36-A37)*(((DATOS!$B$34*(C37/(D37*((AF37+AG37)/2)))/((D37*((AF37+AG37)/2))/(D37+2*((AF37+AG37)/2)))^(2/3))^2+((DATOS!$B$34*H36/((D36*F36)/(D36+2*F36))^(2/3))^2))/2))&gt;0,((AF37+AG37)/2),AG37)</f>
        <v/>
      </c>
      <c r="AJ37" s="5">
        <f>IF((((AH37+AI37)/2)+(C37/(D37*((AH37+AI37)/2)))^2/(2*9.81)+B37-(G36+H36^2/(2*9.81))-(A36-A37)*(((DATOS!$B$34*(C37/(D37*((AH37+AI37)/2)))/((D37*((AH37+AI37)/2))/(D37+2*((AH37+AI37)/2)))^(2/3))^2+((DATOS!$B$34*H36/((D36*F36)/(D36+2*F36))^(2/3))^2))/2))&gt;0,AH37,((AH37+AI37)/2))</f>
        <v/>
      </c>
      <c r="AK37" s="5">
        <f>IF((((AH37+AI37)/2)+(C37/(D37*((AH37+AI37)/2)))^2/(2*9.81)+B37-(G36+H36^2/(2*9.81))-(A36-A37)*(((DATOS!$B$34*(C37/(D37*((AH37+AI37)/2)))/((D37*((AH37+AI37)/2))/(D37+2*((AH37+AI37)/2)))^(2/3))^2+((DATOS!$B$34*H36/((D36*F36)/(D36+2*F36))^(2/3))^2))/2))&gt;0,((AH37+AI37)/2),AI37)</f>
        <v/>
      </c>
      <c r="AL37" s="5">
        <f>IF((((AJ37+AK37)/2)+(C37/(D37*((AJ37+AK37)/2)))^2/(2*9.81)+B37-(G36+H36^2/(2*9.81))-(A36-A37)*(((DATOS!$B$34*(C37/(D37*((AJ37+AK37)/2)))/((D37*((AJ37+AK37)/2))/(D37+2*((AJ37+AK37)/2)))^(2/3))^2+((DATOS!$B$34*H36/((D36*F36)/(D36+2*F36))^(2/3))^2))/2))&gt;0,AJ37,((AJ37+AK37)/2))</f>
        <v/>
      </c>
      <c r="AM37" s="5">
        <f>IF((((AJ37+AK37)/2)+(C37/(D37*((AJ37+AK37)/2)))^2/(2*9.81)+B37-(G36+H36^2/(2*9.81))-(A36-A37)*(((DATOS!$B$34*(C37/(D37*((AJ37+AK37)/2)))/((D37*((AJ37+AK37)/2))/(D37+2*((AJ37+AK37)/2)))^(2/3))^2+((DATOS!$B$34*H36/((D36*F36)/(D36+2*F36))^(2/3))^2))/2))&gt;0,((AJ37+AK37)/2),AK37)</f>
        <v/>
      </c>
      <c r="AN37" s="5">
        <f>IF((((AL37+AM37)/2)+(C37/(D37*((AL37+AM37)/2)))^2/(2*9.81)+B37-(G36+H36^2/(2*9.81))-(A36-A37)*(((DATOS!$B$34*(C37/(D37*((AL37+AM37)/2)))/((D37*((AL37+AM37)/2))/(D37+2*((AL37+AM37)/2)))^(2/3))^2+((DATOS!$B$34*H36/((D36*F36)/(D36+2*F36))^(2/3))^2))/2))&gt;0,AL37,((AL37+AM37)/2))</f>
        <v/>
      </c>
      <c r="AO37" s="5">
        <f>IF((((AL37+AM37)/2)+(C37/(D37*((AL37+AM37)/2)))^2/(2*9.81)+B37-(G36+H36^2/(2*9.81))-(A36-A37)*(((DATOS!$B$34*(C37/(D37*((AL37+AM37)/2)))/((D37*((AL37+AM37)/2))/(D37+2*((AL37+AM37)/2)))^(2/3))^2+((DATOS!$B$34*H36/((D36*F36)/(D36+2*F36))^(2/3))^2))/2))&gt;0,((AL37+AM37)/2),AM37)</f>
        <v/>
      </c>
      <c r="AP37" s="5">
        <f>IF((((AN37+AO37)/2)+(C37/(D37*((AN37+AO37)/2)))^2/(2*9.81)+B37-(G36+H36^2/(2*9.81))-(A36-A37)*(((DATOS!$B$34*(C37/(D37*((AN37+AO37)/2)))/((D37*((AN37+AO37)/2))/(D37+2*((AN37+AO37)/2)))^(2/3))^2+((DATOS!$B$34*H36/((D36*F36)/(D36+2*F36))^(2/3))^2))/2))&gt;0,AN37,((AN37+AO37)/2))</f>
        <v/>
      </c>
      <c r="AQ37" s="5">
        <f>IF((((AN37+AO37)/2)+(C37/(D37*((AN37+AO37)/2)))^2/(2*9.81)+B37-(G36+H36^2/(2*9.81))-(A36-A37)*(((DATOS!$B$34*(C37/(D37*((AN37+AO37)/2)))/((D37*((AN37+AO37)/2))/(D37+2*((AN37+AO37)/2)))^(2/3))^2+((DATOS!$B$34*H36/((D36*F36)/(D36+2*F36))^(2/3))^2))/2))&gt;0,((AN37+AO37)/2),AO37)</f>
        <v/>
      </c>
      <c r="AR37" s="5">
        <f>IF((((AP37+AQ37)/2)+(C37/(D37*((AP37+AQ37)/2)))^2/(2*9.81)+B37-(G36+H36^2/(2*9.81))-(A36-A37)*(((DATOS!$B$34*(C37/(D37*((AP37+AQ37)/2)))/((D37*((AP37+AQ37)/2))/(D37+2*((AP37+AQ37)/2)))^(2/3))^2+((DATOS!$B$34*H36/((D36*F36)/(D36+2*F36))^(2/3))^2))/2))&gt;0,AP37,((AP37+AQ37)/2))</f>
        <v/>
      </c>
      <c r="AS37" s="5">
        <f>IF((((AP37+AQ37)/2)+(C37/(D37*((AP37+AQ37)/2)))^2/(2*9.81)+B37-(G36+H36^2/(2*9.81))-(A36-A37)*(((DATOS!$B$34*(C37/(D37*((AP37+AQ37)/2)))/((D37*((AP37+AQ37)/2))/(D37+2*((AP37+AQ37)/2)))^(2/3))^2+((DATOS!$B$34*H36/((D36*F36)/(D36+2*F36))^(2/3))^2))/2))&gt;0,((AP37+AQ37)/2),AQ37)</f>
        <v/>
      </c>
      <c r="AT37" s="5">
        <f>IF((((AR37+AS37)/2)+(C37/(D37*((AR37+AS37)/2)))^2/(2*9.81)+B37-(G36+H36^2/(2*9.81))-(A36-A37)*(((DATOS!$B$34*(C37/(D37*((AR37+AS37)/2)))/((D37*((AR37+AS37)/2))/(D37+2*((AR37+AS37)/2)))^(2/3))^2+((DATOS!$B$34*H36/((D36*F36)/(D36+2*F36))^(2/3))^2))/2))&gt;0,AR37,((AR37+AS37)/2))</f>
        <v/>
      </c>
      <c r="AU37" s="5">
        <f>IF((((AR37+AS37)/2)+(C37/(D37*((AR37+AS37)/2)))^2/(2*9.81)+B37-(G36+H36^2/(2*9.81))-(A36-A37)*(((DATOS!$B$34*(C37/(D37*((AR37+AS37)/2)))/((D37*((AR37+AS37)/2))/(D37+2*((AR37+AS37)/2)))^(2/3))^2+((DATOS!$B$34*H36/((D36*F36)/(D36+2*F36))^(2/3))^2))/2))&gt;0,((AR37+AS37)/2),AS37)</f>
        <v/>
      </c>
      <c r="AV37" s="5">
        <f>IF((((AT37+AU37)/2)+(C37/(D37*((AT37+AU37)/2)))^2/(2*9.81)+B37-(G36+H36^2/(2*9.81))-(A36-A37)*(((DATOS!$B$34*(C37/(D37*((AT37+AU37)/2)))/((D37*((AT37+AU37)/2))/(D37+2*((AT37+AU37)/2)))^(2/3))^2+((DATOS!$B$34*H36/((D36*F36)/(D36+2*F36))^(2/3))^2))/2))&gt;0,AT37,((AT37+AU37)/2))</f>
        <v/>
      </c>
      <c r="AW37" s="5">
        <f>IF((((AT37+AU37)/2)+(C37/(D37*((AT37+AU37)/2)))^2/(2*9.81)+B37-(G36+H36^2/(2*9.81))-(A36-A37)*(((DATOS!$B$34*(C37/(D37*((AT37+AU37)/2)))/((D37*((AT37+AU37)/2))/(D37+2*((AT37+AU37)/2)))^(2/3))^2+((DATOS!$B$34*H36/((D36*F36)/(D36+2*F36))^(2/3))^2))/2))&gt;0,((AT37+AU37)/2),AU37)</f>
        <v/>
      </c>
      <c r="AX37" s="5">
        <f>IF((((AV37+AW37)/2)+(C37/(D37*((AV37+AW37)/2)))^2/(2*9.81)+B37-(G36+H36^2/(2*9.81))-(A36-A37)*(((DATOS!$B$34*(C37/(D37*((AV37+AW37)/2)))/((D37*((AV37+AW37)/2))/(D37+2*((AV37+AW37)/2)))^(2/3))^2+((DATOS!$B$34*H36/((D36*F36)/(D36+2*F36))^(2/3))^2))/2))&gt;0,AV37,((AV37+AW37)/2))</f>
        <v/>
      </c>
      <c r="AY37" s="5">
        <f>IF((((AV37+AW37)/2)+(C37/(D37*((AV37+AW37)/2)))^2/(2*9.81)+B37-(G36+H36^2/(2*9.81))-(A36-A37)*(((DATOS!$B$34*(C37/(D37*((AV37+AW37)/2)))/((D37*((AV37+AW37)/2))/(D37+2*((AV37+AW37)/2)))^(2/3))^2+((DATOS!$B$34*H36/((D36*F36)/(D36+2*F36))^(2/3))^2))/2))&gt;0,((AV37+AW37)/2),AW37)</f>
        <v/>
      </c>
      <c r="AZ37" s="5">
        <f>IF((((AX37+AY37)/2)+(C37/(D37*((AX37+AY37)/2)))^2/(2*9.81)+B37-(G36+H36^2/(2*9.81))-(A36-A37)*(((DATOS!$B$34*(C37/(D37*((AX37+AY37)/2)))/((D37*((AX37+AY37)/2))/(D37+2*((AX37+AY37)/2)))^(2/3))^2+((DATOS!$B$34*H36/((D36*F36)/(D36+2*F36))^(2/3))^2))/2))&gt;0,AX37,((AX37+AY37)/2))</f>
        <v/>
      </c>
      <c r="BA37" s="5">
        <f>IF((((AX37+AY37)/2)+(C37/(D37*((AX37+AY37)/2)))^2/(2*9.81)+B37-(G36+H36^2/(2*9.81))-(A36-A37)*(((DATOS!$B$34*(C37/(D37*((AX37+AY37)/2)))/((D37*((AX37+AY37)/2))/(D37+2*((AX37+AY37)/2)))^(2/3))^2+((DATOS!$B$34*H36/((D36*F36)/(D36+2*F36))^(2/3))^2))/2))&gt;0,((AX37+AY37)/2),AY37)</f>
        <v/>
      </c>
      <c r="BB37" s="5">
        <f>IF((((AZ37+BA37)/2)+(C37/(D37*((AZ37+BA37)/2)))^2/(2*9.81)+B37-(G36+H36^2/(2*9.81))-(A36-A37)*(((DATOS!$B$34*(C37/(D37*((AZ37+BA37)/2)))/((D37*((AZ37+BA37)/2))/(D37+2*((AZ37+BA37)/2)))^(2/3))^2+((DATOS!$B$34*H36/((D36*F36)/(D36+2*F36))^(2/3))^2))/2))&gt;0,AZ37,((AZ37+BA37)/2))</f>
        <v/>
      </c>
      <c r="BC37" s="5">
        <f>IF((((AZ37+BA37)/2)+(C37/(D37*((AZ37+BA37)/2)))^2/(2*9.81)+B37-(G36+H36^2/(2*9.81))-(A36-A37)*(((DATOS!$B$34*(C37/(D37*((AZ37+BA37)/2)))/((D37*((AZ37+BA37)/2))/(D37+2*((AZ37+BA37)/2)))^(2/3))^2+((DATOS!$B$34*H36/((D36*F36)/(D36+2*F36))^(2/3))^2))/2))&gt;0,((AZ37+BA37)/2),BA37)</f>
        <v/>
      </c>
      <c r="BD37" s="5">
        <f>IF((((BB37+BC37)/2)+(C37/(D37*((BB37+BC37)/2)))^2/(2*9.81)+B37-(G36+H36^2/(2*9.81))-(A36-A37)*(((DATOS!$B$34*(C37/(D37*((BB37+BC37)/2)))/((D37*((BB37+BC37)/2))/(D37+2*((BB37+BC37)/2)))^(2/3))^2+((DATOS!$B$34*H36/((D36*F36)/(D36+2*F36))^(2/3))^2))/2))&gt;0,BB37,((BB37+BC37)/2))</f>
        <v/>
      </c>
      <c r="BE37" s="5">
        <f>IF((((BB37+BC37)/2)+(C37/(D37*((BB37+BC37)/2)))^2/(2*9.81)+B37-(G36+H36^2/(2*9.81))-(A36-A37)*(((DATOS!$B$34*(C37/(D37*((BB37+BC37)/2)))/((D37*((BB37+BC37)/2))/(D37+2*((BB37+BC37)/2)))^(2/3))^2+((DATOS!$B$34*H36/((D36*F36)/(D36+2*F36))^(2/3))^2))/2))&gt;0,((BB37+BC37)/2),BC37)</f>
        <v/>
      </c>
      <c r="BF37" s="5">
        <f>IF((((BD37+BE37)/2)+(C37/(D37*((BD37+BE37)/2)))^2/(2*9.81)+B37-(G36+H36^2/(2*9.81))-(A36-A37)*(((DATOS!$B$34*(C37/(D37*((BD37+BE37)/2)))/((D37*((BD37+BE37)/2))/(D37+2*((BD37+BE37)/2)))^(2/3))^2+((DATOS!$B$34*H36/((D36*F36)/(D36+2*F36))^(2/3))^2))/2))&gt;0,BD37,((BD37+BE37)/2))</f>
        <v/>
      </c>
      <c r="BG37" s="5">
        <f>IF((((BD37+BE37)/2)+(C37/(D37*((BD37+BE37)/2)))^2/(2*9.81)+B37-(G36+H36^2/(2*9.81))-(A36-A37)*(((DATOS!$B$34*(C37/(D37*((BD37+BE37)/2)))/((D37*((BD37+BE37)/2))/(D37+2*((BD37+BE37)/2)))^(2/3))^2+((DATOS!$B$34*H36/((D36*F36)/(D36+2*F36))^(2/3))^2))/2))&gt;0,((BD37+BE37)/2),BE37)</f>
        <v/>
      </c>
      <c r="BH37" s="5">
        <f>IF((((BF37+BG37)/2)+(C37/(D37*((BF37+BG37)/2)))^2/(2*9.81)+B37-(G36+H36^2/(2*9.81))-(A36-A37)*(((DATOS!$B$34*(C37/(D37*((BF37+BG37)/2)))/((D37*((BF37+BG37)/2))/(D37+2*((BF37+BG37)/2)))^(2/3))^2+((DATOS!$B$34*H36/((D36*F36)/(D36+2*F36))^(2/3))^2))/2))&gt;0,BF37,((BF37+BG37)/2))</f>
        <v/>
      </c>
      <c r="BI37" s="5">
        <f>IF((((BF37+BG37)/2)+(C37/(D37*((BF37+BG37)/2)))^2/(2*9.81)+B37-(G36+H36^2/(2*9.81))-(A36-A37)*(((DATOS!$B$34*(C37/(D37*((BF37+BG37)/2)))/((D37*((BF37+BG37)/2))/(D37+2*((BF37+BG37)/2)))^(2/3))^2+((DATOS!$B$34*H36/((D36*F36)/(D36+2*F36))^(2/3))^2))/2))&gt;0,((BF37+BG37)/2),BG37)</f>
        <v/>
      </c>
      <c r="BJ37" s="5">
        <f>IF((((BH37+BI37)/2)+(C37/(D37*((BH37+BI37)/2)))^2/(2*9.81)+B37-(G36+H36^2/(2*9.81))-(A36-A37)*(((DATOS!$B$34*(C37/(D37*((BH37+BI37)/2)))/((D37*((BH37+BI37)/2))/(D37+2*((BH37+BI37)/2)))^(2/3))^2+((DATOS!$B$34*H36/((D36*F36)/(D36+2*F36))^(2/3))^2))/2))&gt;0,BH37,((BH37+BI37)/2))</f>
        <v/>
      </c>
      <c r="BK37" s="5">
        <f>IF((((BH37+BI37)/2)+(C37/(D37*((BH37+BI37)/2)))^2/(2*9.81)+B37-(G36+H36^2/(2*9.81))-(A36-A37)*(((DATOS!$B$34*(C37/(D37*((BH37+BI37)/2)))/((D37*((BH37+BI37)/2))/(D37+2*((BH37+BI37)/2)))^(2/3))^2+((DATOS!$B$34*H36/((D36*F36)/(D36+2*F36))^(2/3))^2))/2))&gt;0,((BH37+BI37)/2),BI37)</f>
        <v/>
      </c>
      <c r="BL37" s="5">
        <f>IF((((BJ37+BK37)/2)+(C37/(D37*((BJ37+BK37)/2)))^2/(2*9.81)+B37-(G36+H36^2/(2*9.81))-(A36-A37)*(((DATOS!$B$34*(C37/(D37*((BJ37+BK37)/2)))/((D37*((BJ37+BK37)/2))/(D37+2*((BJ37+BK37)/2)))^(2/3))^2+((DATOS!$B$34*H36/((D36*F36)/(D36+2*F36))^(2/3))^2))/2))&gt;0,BJ37,((BJ37+BK37)/2))</f>
        <v/>
      </c>
      <c r="BM37" s="5">
        <f>IF((((BJ37+BK37)/2)+(C37/(D37*((BJ37+BK37)/2)))^2/(2*9.81)+B37-(G36+H36^2/(2*9.81))-(A36-A37)*(((DATOS!$B$34*(C37/(D37*((BJ37+BK37)/2)))/((D37*((BJ37+BK37)/2))/(D37+2*((BJ37+BK37)/2)))^(2/3))^2+((DATOS!$B$34*H36/((D36*F36)/(D36+2*F36))^(2/3))^2))/2))&gt;0,((BJ37+BK37)/2),BK37)</f>
        <v/>
      </c>
      <c r="BN37" s="5">
        <f>IF((((BL37+BM37)/2)+(C37/(D37*((BL37+BM37)/2)))^2/(2*9.81)+B37-(G36+H36^2/(2*9.81))-(A36-A37)*(((DATOS!$B$34*(C37/(D37*((BL37+BM37)/2)))/((D37*((BL37+BM37)/2))/(D37+2*((BL37+BM37)/2)))^(2/3))^2+((DATOS!$B$34*H36/((D36*F36)/(D36+2*F36))^(2/3))^2))/2))&gt;0,BL37,((BL37+BM37)/2))</f>
        <v/>
      </c>
      <c r="BO37" s="5">
        <f>IF((((BL37+BM37)/2)+(C37/(D37*((BL37+BM37)/2)))^2/(2*9.81)+B37-(G36+H36^2/(2*9.81))-(A36-A37)*(((DATOS!$B$34*(C37/(D37*((BL37+BM37)/2)))/((D37*((BL37+BM37)/2))/(D37+2*((BL37+BM37)/2)))^(2/3))^2+((DATOS!$B$34*H36/((D36*F36)/(D36+2*F36))^(2/3))^2))/2))&gt;0,((BL37+BM37)/2),BM37)</f>
        <v/>
      </c>
      <c r="BP37" s="5">
        <f>IF((((BN37+BO37)/2)+(C37/(D37*((BN37+BO37)/2)))^2/(2*9.81)+B37-(G36+H36^2/(2*9.81))-(A36-A37)*(((DATOS!$B$34*(C37/(D37*((BN37+BO37)/2)))/((D37*((BN37+BO37)/2))/(D37+2*((BN37+BO37)/2)))^(2/3))^2+((DATOS!$B$34*H36/((D36*F36)/(D36+2*F36))^(2/3))^2))/2))&gt;0,BN37,((BN37+BO37)/2))</f>
        <v/>
      </c>
      <c r="BQ37" s="5">
        <f>IF((((BN37+BO37)/2)+(C37/(D37*((BN37+BO37)/2)))^2/(2*9.81)+B37-(G36+H36^2/(2*9.81))-(A36-A37)*(((DATOS!$B$34*(C37/(D37*((BN37+BO37)/2)))/((D37*((BN37+BO37)/2))/(D37+2*((BN37+BO37)/2)))^(2/3))^2+((DATOS!$B$34*H36/((D36*F36)/(D36+2*F36))^(2/3))^2))/2))&gt;0,((BN37+BO37)/2),BO37)</f>
        <v/>
      </c>
      <c r="BR37" s="5">
        <f>IF((((BP37+BQ37)/2)+(C37/(D37*((BP37+BQ37)/2)))^2/(2*9.81)+B37-(G36+H36^2/(2*9.81))-(A36-A37)*(((DATOS!$B$34*(C37/(D37*((BP37+BQ37)/2)))/((D37*((BP37+BQ37)/2))/(D37+2*((BP37+BQ37)/2)))^(2/3))^2+((DATOS!$B$34*H36/((D36*F36)/(D36+2*F36))^(2/3))^2))/2))&gt;0,BP37,((BP37+BQ37)/2))</f>
        <v/>
      </c>
      <c r="BS37" s="5">
        <f>IF((((BP37+BQ37)/2)+(C37/(D37*((BP37+BQ37)/2)))^2/(2*9.81)+B37-(G36+H36^2/(2*9.81))-(A36-A37)*(((DATOS!$B$34*(C37/(D37*((BP37+BQ37)/2)))/((D37*((BP37+BQ37)/2))/(D37+2*((BP37+BQ37)/2)))^(2/3))^2+((DATOS!$B$34*H36/((D36*F36)/(D36+2*F36))^(2/3))^2))/2))&gt;0,((BP37+BQ37)/2),BQ37)</f>
        <v/>
      </c>
      <c r="BT37" s="5">
        <f>IF((((BR37+BS37)/2)+(C37/(D37*((BR37+BS37)/2)))^2/(2*9.81)+B37-(G36+H36^2/(2*9.81))-(A36-A37)*(((DATOS!$B$34*(C37/(D37*((BR37+BS37)/2)))/((D37*((BR37+BS37)/2))/(D37+2*((BR37+BS37)/2)))^(2/3))^2+((DATOS!$B$34*H36/((D36*F36)/(D36+2*F36))^(2/3))^2))/2))&gt;0,BR37,((BR37+BS37)/2))</f>
        <v/>
      </c>
      <c r="BU37" s="5">
        <f>IF((((BR37+BS37)/2)+(C37/(D37*((BR37+BS37)/2)))^2/(2*9.81)+B37-(G36+H36^2/(2*9.81))-(A36-A37)*(((DATOS!$B$34*(C37/(D37*((BR37+BS37)/2)))/((D37*((BR37+BS37)/2))/(D37+2*((BR37+BS37)/2)))^(2/3))^2+((DATOS!$B$34*H36/((D36*F36)/(D36+2*F36))^(2/3))^2))/2))&gt;0,((BR37+BS37)/2),BS37)</f>
        <v/>
      </c>
      <c r="BV37" s="5">
        <f>IF((((BT37+BU37)/2)+(C37/(D37*((BT37+BU37)/2)))^2/(2*9.81)+B37-(G36+H36^2/(2*9.81))-(A36-A37)*(((DATOS!$B$34*(C37/(D37*((BT37+BU37)/2)))/((D37*((BT37+BU37)/2))/(D37+2*((BT37+BU37)/2)))^(2/3))^2+((DATOS!$B$34*H36/((D36*F36)/(D36+2*F36))^(2/3))^2))/2))&gt;0,BT37,((BT37+BU37)/2))</f>
        <v/>
      </c>
      <c r="BW37" s="5">
        <f>IF((((BT37+BU37)/2)+(C37/(D37*((BT37+BU37)/2)))^2/(2*9.81)+B37-(G36+H36^2/(2*9.81))-(A36-A37)*(((DATOS!$B$34*(C37/(D37*((BT37+BU37)/2)))/((D37*((BT37+BU37)/2))/(D37+2*((BT37+BU37)/2)))^(2/3))^2+((DATOS!$B$34*H36/((D36*F36)/(D36+2*F36))^(2/3))^2))/2))&gt;0,((BT37+BU37)/2),BU37)</f>
        <v/>
      </c>
    </row>
    <row r="38">
      <c r="A38" s="13" t="n">
        <v>44</v>
      </c>
      <c r="B38" s="16">
        <f>DATOS!$B$22-DATOS!$B$23*A38</f>
        <v/>
      </c>
      <c r="C38" s="24">
        <f>CAUDALES!$B$13</f>
        <v/>
      </c>
      <c r="D38" s="17">
        <f>DATOS!$B$17</f>
        <v/>
      </c>
      <c r="E38" s="16">
        <f>(C38^2/(9.81*D38^2))^(1/3)</f>
        <v/>
      </c>
      <c r="F38" s="16">
        <f>(BV38+BW38)/2</f>
        <v/>
      </c>
      <c r="G38" s="16">
        <f>B38+F38</f>
        <v/>
      </c>
      <c r="H38" s="19">
        <f>C38/(D38*F38)</f>
        <v/>
      </c>
      <c r="I38" s="19">
        <f>H38/SQRT(9.81*F38)</f>
        <v/>
      </c>
      <c r="J38" s="16">
        <f>DATOS!$B$29-IF(AND(A38&gt;=DATOS!$B$30,A38&lt;DATOS!$B$31),DATOS!$B$21,DATOS!$B$20)</f>
        <v/>
      </c>
      <c r="K38" s="19">
        <f>J38-B38</f>
        <v/>
      </c>
      <c r="L38" s="19">
        <f>F38/K38</f>
        <v/>
      </c>
      <c r="M38" s="16">
        <f>J38-G38</f>
        <v/>
      </c>
      <c r="N38" s="5">
        <f>IF(AND(L38&lt;=DATOS!$B$36,M38&gt;=DATOS!$B$37,I38&lt;=1),"CUMPLE","NO CUMPLE")</f>
        <v/>
      </c>
      <c r="O38" s="5">
        <f>IF(AND(A38&gt;=DATOS!$B$30,A38&lt;DATOS!$B$31),"cruce de camiones",IF(AND(A38&gt;=DATOS!$B$32,A38&lt;DATOS!$B$33),"cruce de motos","tramo normal"))</f>
        <v/>
      </c>
      <c r="P38" s="5">
        <f>E38*1.001</f>
        <v/>
      </c>
      <c r="Q38" s="13" t="n">
        <v>3</v>
      </c>
      <c r="R38" s="5">
        <f>IF((((P38+Q38)/2)+(C38/(D38*((P38+Q38)/2)))^2/(2*9.81)+B38-(G37+H37^2/(2*9.81))-(A37-A38)*(((DATOS!$B$34*(C38/(D38*((P38+Q38)/2)))/((D38*((P38+Q38)/2))/(D38+2*((P38+Q38)/2)))^(2/3))^2+((DATOS!$B$34*H37/((D37*F37)/(D37+2*F37))^(2/3))^2))/2))&gt;0,P38,((P38+Q38)/2))</f>
        <v/>
      </c>
      <c r="S38" s="5">
        <f>IF((((P38+Q38)/2)+(C38/(D38*((P38+Q38)/2)))^2/(2*9.81)+B38-(G37+H37^2/(2*9.81))-(A37-A38)*(((DATOS!$B$34*(C38/(D38*((P38+Q38)/2)))/((D38*((P38+Q38)/2))/(D38+2*((P38+Q38)/2)))^(2/3))^2+((DATOS!$B$34*H37/((D37*F37)/(D37+2*F37))^(2/3))^2))/2))&gt;0,((P38+Q38)/2),Q38)</f>
        <v/>
      </c>
      <c r="T38" s="5">
        <f>IF((((R38+S38)/2)+(C38/(D38*((R38+S38)/2)))^2/(2*9.81)+B38-(G37+H37^2/(2*9.81))-(A37-A38)*(((DATOS!$B$34*(C38/(D38*((R38+S38)/2)))/((D38*((R38+S38)/2))/(D38+2*((R38+S38)/2)))^(2/3))^2+((DATOS!$B$34*H37/((D37*F37)/(D37+2*F37))^(2/3))^2))/2))&gt;0,R38,((R38+S38)/2))</f>
        <v/>
      </c>
      <c r="U38" s="5">
        <f>IF((((R38+S38)/2)+(C38/(D38*((R38+S38)/2)))^2/(2*9.81)+B38-(G37+H37^2/(2*9.81))-(A37-A38)*(((DATOS!$B$34*(C38/(D38*((R38+S38)/2)))/((D38*((R38+S38)/2))/(D38+2*((R38+S38)/2)))^(2/3))^2+((DATOS!$B$34*H37/((D37*F37)/(D37+2*F37))^(2/3))^2))/2))&gt;0,((R38+S38)/2),S38)</f>
        <v/>
      </c>
      <c r="V38" s="5">
        <f>IF((((T38+U38)/2)+(C38/(D38*((T38+U38)/2)))^2/(2*9.81)+B38-(G37+H37^2/(2*9.81))-(A37-A38)*(((DATOS!$B$34*(C38/(D38*((T38+U38)/2)))/((D38*((T38+U38)/2))/(D38+2*((T38+U38)/2)))^(2/3))^2+((DATOS!$B$34*H37/((D37*F37)/(D37+2*F37))^(2/3))^2))/2))&gt;0,T38,((T38+U38)/2))</f>
        <v/>
      </c>
      <c r="W38" s="5">
        <f>IF((((T38+U38)/2)+(C38/(D38*((T38+U38)/2)))^2/(2*9.81)+B38-(G37+H37^2/(2*9.81))-(A37-A38)*(((DATOS!$B$34*(C38/(D38*((T38+U38)/2)))/((D38*((T38+U38)/2))/(D38+2*((T38+U38)/2)))^(2/3))^2+((DATOS!$B$34*H37/((D37*F37)/(D37+2*F37))^(2/3))^2))/2))&gt;0,((T38+U38)/2),U38)</f>
        <v/>
      </c>
      <c r="X38" s="5">
        <f>IF((((V38+W38)/2)+(C38/(D38*((V38+W38)/2)))^2/(2*9.81)+B38-(G37+H37^2/(2*9.81))-(A37-A38)*(((DATOS!$B$34*(C38/(D38*((V38+W38)/2)))/((D38*((V38+W38)/2))/(D38+2*((V38+W38)/2)))^(2/3))^2+((DATOS!$B$34*H37/((D37*F37)/(D37+2*F37))^(2/3))^2))/2))&gt;0,V38,((V38+W38)/2))</f>
        <v/>
      </c>
      <c r="Y38" s="5">
        <f>IF((((V38+W38)/2)+(C38/(D38*((V38+W38)/2)))^2/(2*9.81)+B38-(G37+H37^2/(2*9.81))-(A37-A38)*(((DATOS!$B$34*(C38/(D38*((V38+W38)/2)))/((D38*((V38+W38)/2))/(D38+2*((V38+W38)/2)))^(2/3))^2+((DATOS!$B$34*H37/((D37*F37)/(D37+2*F37))^(2/3))^2))/2))&gt;0,((V38+W38)/2),W38)</f>
        <v/>
      </c>
      <c r="Z38" s="5">
        <f>IF((((X38+Y38)/2)+(C38/(D38*((X38+Y38)/2)))^2/(2*9.81)+B38-(G37+H37^2/(2*9.81))-(A37-A38)*(((DATOS!$B$34*(C38/(D38*((X38+Y38)/2)))/((D38*((X38+Y38)/2))/(D38+2*((X38+Y38)/2)))^(2/3))^2+((DATOS!$B$34*H37/((D37*F37)/(D37+2*F37))^(2/3))^2))/2))&gt;0,X38,((X38+Y38)/2))</f>
        <v/>
      </c>
      <c r="AA38" s="5">
        <f>IF((((X38+Y38)/2)+(C38/(D38*((X38+Y38)/2)))^2/(2*9.81)+B38-(G37+H37^2/(2*9.81))-(A37-A38)*(((DATOS!$B$34*(C38/(D38*((X38+Y38)/2)))/((D38*((X38+Y38)/2))/(D38+2*((X38+Y38)/2)))^(2/3))^2+((DATOS!$B$34*H37/((D37*F37)/(D37+2*F37))^(2/3))^2))/2))&gt;0,((X38+Y38)/2),Y38)</f>
        <v/>
      </c>
      <c r="AB38" s="5">
        <f>IF((((Z38+AA38)/2)+(C38/(D38*((Z38+AA38)/2)))^2/(2*9.81)+B38-(G37+H37^2/(2*9.81))-(A37-A38)*(((DATOS!$B$34*(C38/(D38*((Z38+AA38)/2)))/((D38*((Z38+AA38)/2))/(D38+2*((Z38+AA38)/2)))^(2/3))^2+((DATOS!$B$34*H37/((D37*F37)/(D37+2*F37))^(2/3))^2))/2))&gt;0,Z38,((Z38+AA38)/2))</f>
        <v/>
      </c>
      <c r="AC38" s="5">
        <f>IF((((Z38+AA38)/2)+(C38/(D38*((Z38+AA38)/2)))^2/(2*9.81)+B38-(G37+H37^2/(2*9.81))-(A37-A38)*(((DATOS!$B$34*(C38/(D38*((Z38+AA38)/2)))/((D38*((Z38+AA38)/2))/(D38+2*((Z38+AA38)/2)))^(2/3))^2+((DATOS!$B$34*H37/((D37*F37)/(D37+2*F37))^(2/3))^2))/2))&gt;0,((Z38+AA38)/2),AA38)</f>
        <v/>
      </c>
      <c r="AD38" s="5">
        <f>IF((((AB38+AC38)/2)+(C38/(D38*((AB38+AC38)/2)))^2/(2*9.81)+B38-(G37+H37^2/(2*9.81))-(A37-A38)*(((DATOS!$B$34*(C38/(D38*((AB38+AC38)/2)))/((D38*((AB38+AC38)/2))/(D38+2*((AB38+AC38)/2)))^(2/3))^2+((DATOS!$B$34*H37/((D37*F37)/(D37+2*F37))^(2/3))^2))/2))&gt;0,AB38,((AB38+AC38)/2))</f>
        <v/>
      </c>
      <c r="AE38" s="5">
        <f>IF((((AB38+AC38)/2)+(C38/(D38*((AB38+AC38)/2)))^2/(2*9.81)+B38-(G37+H37^2/(2*9.81))-(A37-A38)*(((DATOS!$B$34*(C38/(D38*((AB38+AC38)/2)))/((D38*((AB38+AC38)/2))/(D38+2*((AB38+AC38)/2)))^(2/3))^2+((DATOS!$B$34*H37/((D37*F37)/(D37+2*F37))^(2/3))^2))/2))&gt;0,((AB38+AC38)/2),AC38)</f>
        <v/>
      </c>
      <c r="AF38" s="5">
        <f>IF((((AD38+AE38)/2)+(C38/(D38*((AD38+AE38)/2)))^2/(2*9.81)+B38-(G37+H37^2/(2*9.81))-(A37-A38)*(((DATOS!$B$34*(C38/(D38*((AD38+AE38)/2)))/((D38*((AD38+AE38)/2))/(D38+2*((AD38+AE38)/2)))^(2/3))^2+((DATOS!$B$34*H37/((D37*F37)/(D37+2*F37))^(2/3))^2))/2))&gt;0,AD38,((AD38+AE38)/2))</f>
        <v/>
      </c>
      <c r="AG38" s="5">
        <f>IF((((AD38+AE38)/2)+(C38/(D38*((AD38+AE38)/2)))^2/(2*9.81)+B38-(G37+H37^2/(2*9.81))-(A37-A38)*(((DATOS!$B$34*(C38/(D38*((AD38+AE38)/2)))/((D38*((AD38+AE38)/2))/(D38+2*((AD38+AE38)/2)))^(2/3))^2+((DATOS!$B$34*H37/((D37*F37)/(D37+2*F37))^(2/3))^2))/2))&gt;0,((AD38+AE38)/2),AE38)</f>
        <v/>
      </c>
      <c r="AH38" s="5">
        <f>IF((((AF38+AG38)/2)+(C38/(D38*((AF38+AG38)/2)))^2/(2*9.81)+B38-(G37+H37^2/(2*9.81))-(A37-A38)*(((DATOS!$B$34*(C38/(D38*((AF38+AG38)/2)))/((D38*((AF38+AG38)/2))/(D38+2*((AF38+AG38)/2)))^(2/3))^2+((DATOS!$B$34*H37/((D37*F37)/(D37+2*F37))^(2/3))^2))/2))&gt;0,AF38,((AF38+AG38)/2))</f>
        <v/>
      </c>
      <c r="AI38" s="5">
        <f>IF((((AF38+AG38)/2)+(C38/(D38*((AF38+AG38)/2)))^2/(2*9.81)+B38-(G37+H37^2/(2*9.81))-(A37-A38)*(((DATOS!$B$34*(C38/(D38*((AF38+AG38)/2)))/((D38*((AF38+AG38)/2))/(D38+2*((AF38+AG38)/2)))^(2/3))^2+((DATOS!$B$34*H37/((D37*F37)/(D37+2*F37))^(2/3))^2))/2))&gt;0,((AF38+AG38)/2),AG38)</f>
        <v/>
      </c>
      <c r="AJ38" s="5">
        <f>IF((((AH38+AI38)/2)+(C38/(D38*((AH38+AI38)/2)))^2/(2*9.81)+B38-(G37+H37^2/(2*9.81))-(A37-A38)*(((DATOS!$B$34*(C38/(D38*((AH38+AI38)/2)))/((D38*((AH38+AI38)/2))/(D38+2*((AH38+AI38)/2)))^(2/3))^2+((DATOS!$B$34*H37/((D37*F37)/(D37+2*F37))^(2/3))^2))/2))&gt;0,AH38,((AH38+AI38)/2))</f>
        <v/>
      </c>
      <c r="AK38" s="5">
        <f>IF((((AH38+AI38)/2)+(C38/(D38*((AH38+AI38)/2)))^2/(2*9.81)+B38-(G37+H37^2/(2*9.81))-(A37-A38)*(((DATOS!$B$34*(C38/(D38*((AH38+AI38)/2)))/((D38*((AH38+AI38)/2))/(D38+2*((AH38+AI38)/2)))^(2/3))^2+((DATOS!$B$34*H37/((D37*F37)/(D37+2*F37))^(2/3))^2))/2))&gt;0,((AH38+AI38)/2),AI38)</f>
        <v/>
      </c>
      <c r="AL38" s="5">
        <f>IF((((AJ38+AK38)/2)+(C38/(D38*((AJ38+AK38)/2)))^2/(2*9.81)+B38-(G37+H37^2/(2*9.81))-(A37-A38)*(((DATOS!$B$34*(C38/(D38*((AJ38+AK38)/2)))/((D38*((AJ38+AK38)/2))/(D38+2*((AJ38+AK38)/2)))^(2/3))^2+((DATOS!$B$34*H37/((D37*F37)/(D37+2*F37))^(2/3))^2))/2))&gt;0,AJ38,((AJ38+AK38)/2))</f>
        <v/>
      </c>
      <c r="AM38" s="5">
        <f>IF((((AJ38+AK38)/2)+(C38/(D38*((AJ38+AK38)/2)))^2/(2*9.81)+B38-(G37+H37^2/(2*9.81))-(A37-A38)*(((DATOS!$B$34*(C38/(D38*((AJ38+AK38)/2)))/((D38*((AJ38+AK38)/2))/(D38+2*((AJ38+AK38)/2)))^(2/3))^2+((DATOS!$B$34*H37/((D37*F37)/(D37+2*F37))^(2/3))^2))/2))&gt;0,((AJ38+AK38)/2),AK38)</f>
        <v/>
      </c>
      <c r="AN38" s="5">
        <f>IF((((AL38+AM38)/2)+(C38/(D38*((AL38+AM38)/2)))^2/(2*9.81)+B38-(G37+H37^2/(2*9.81))-(A37-A38)*(((DATOS!$B$34*(C38/(D38*((AL38+AM38)/2)))/((D38*((AL38+AM38)/2))/(D38+2*((AL38+AM38)/2)))^(2/3))^2+((DATOS!$B$34*H37/((D37*F37)/(D37+2*F37))^(2/3))^2))/2))&gt;0,AL38,((AL38+AM38)/2))</f>
        <v/>
      </c>
      <c r="AO38" s="5">
        <f>IF((((AL38+AM38)/2)+(C38/(D38*((AL38+AM38)/2)))^2/(2*9.81)+B38-(G37+H37^2/(2*9.81))-(A37-A38)*(((DATOS!$B$34*(C38/(D38*((AL38+AM38)/2)))/((D38*((AL38+AM38)/2))/(D38+2*((AL38+AM38)/2)))^(2/3))^2+((DATOS!$B$34*H37/((D37*F37)/(D37+2*F37))^(2/3))^2))/2))&gt;0,((AL38+AM38)/2),AM38)</f>
        <v/>
      </c>
      <c r="AP38" s="5">
        <f>IF((((AN38+AO38)/2)+(C38/(D38*((AN38+AO38)/2)))^2/(2*9.81)+B38-(G37+H37^2/(2*9.81))-(A37-A38)*(((DATOS!$B$34*(C38/(D38*((AN38+AO38)/2)))/((D38*((AN38+AO38)/2))/(D38+2*((AN38+AO38)/2)))^(2/3))^2+((DATOS!$B$34*H37/((D37*F37)/(D37+2*F37))^(2/3))^2))/2))&gt;0,AN38,((AN38+AO38)/2))</f>
        <v/>
      </c>
      <c r="AQ38" s="5">
        <f>IF((((AN38+AO38)/2)+(C38/(D38*((AN38+AO38)/2)))^2/(2*9.81)+B38-(G37+H37^2/(2*9.81))-(A37-A38)*(((DATOS!$B$34*(C38/(D38*((AN38+AO38)/2)))/((D38*((AN38+AO38)/2))/(D38+2*((AN38+AO38)/2)))^(2/3))^2+((DATOS!$B$34*H37/((D37*F37)/(D37+2*F37))^(2/3))^2))/2))&gt;0,((AN38+AO38)/2),AO38)</f>
        <v/>
      </c>
      <c r="AR38" s="5">
        <f>IF((((AP38+AQ38)/2)+(C38/(D38*((AP38+AQ38)/2)))^2/(2*9.81)+B38-(G37+H37^2/(2*9.81))-(A37-A38)*(((DATOS!$B$34*(C38/(D38*((AP38+AQ38)/2)))/((D38*((AP38+AQ38)/2))/(D38+2*((AP38+AQ38)/2)))^(2/3))^2+((DATOS!$B$34*H37/((D37*F37)/(D37+2*F37))^(2/3))^2))/2))&gt;0,AP38,((AP38+AQ38)/2))</f>
        <v/>
      </c>
      <c r="AS38" s="5">
        <f>IF((((AP38+AQ38)/2)+(C38/(D38*((AP38+AQ38)/2)))^2/(2*9.81)+B38-(G37+H37^2/(2*9.81))-(A37-A38)*(((DATOS!$B$34*(C38/(D38*((AP38+AQ38)/2)))/((D38*((AP38+AQ38)/2))/(D38+2*((AP38+AQ38)/2)))^(2/3))^2+((DATOS!$B$34*H37/((D37*F37)/(D37+2*F37))^(2/3))^2))/2))&gt;0,((AP38+AQ38)/2),AQ38)</f>
        <v/>
      </c>
      <c r="AT38" s="5">
        <f>IF((((AR38+AS38)/2)+(C38/(D38*((AR38+AS38)/2)))^2/(2*9.81)+B38-(G37+H37^2/(2*9.81))-(A37-A38)*(((DATOS!$B$34*(C38/(D38*((AR38+AS38)/2)))/((D38*((AR38+AS38)/2))/(D38+2*((AR38+AS38)/2)))^(2/3))^2+((DATOS!$B$34*H37/((D37*F37)/(D37+2*F37))^(2/3))^2))/2))&gt;0,AR38,((AR38+AS38)/2))</f>
        <v/>
      </c>
      <c r="AU38" s="5">
        <f>IF((((AR38+AS38)/2)+(C38/(D38*((AR38+AS38)/2)))^2/(2*9.81)+B38-(G37+H37^2/(2*9.81))-(A37-A38)*(((DATOS!$B$34*(C38/(D38*((AR38+AS38)/2)))/((D38*((AR38+AS38)/2))/(D38+2*((AR38+AS38)/2)))^(2/3))^2+((DATOS!$B$34*H37/((D37*F37)/(D37+2*F37))^(2/3))^2))/2))&gt;0,((AR38+AS38)/2),AS38)</f>
        <v/>
      </c>
      <c r="AV38" s="5">
        <f>IF((((AT38+AU38)/2)+(C38/(D38*((AT38+AU38)/2)))^2/(2*9.81)+B38-(G37+H37^2/(2*9.81))-(A37-A38)*(((DATOS!$B$34*(C38/(D38*((AT38+AU38)/2)))/((D38*((AT38+AU38)/2))/(D38+2*((AT38+AU38)/2)))^(2/3))^2+((DATOS!$B$34*H37/((D37*F37)/(D37+2*F37))^(2/3))^2))/2))&gt;0,AT38,((AT38+AU38)/2))</f>
        <v/>
      </c>
      <c r="AW38" s="5">
        <f>IF((((AT38+AU38)/2)+(C38/(D38*((AT38+AU38)/2)))^2/(2*9.81)+B38-(G37+H37^2/(2*9.81))-(A37-A38)*(((DATOS!$B$34*(C38/(D38*((AT38+AU38)/2)))/((D38*((AT38+AU38)/2))/(D38+2*((AT38+AU38)/2)))^(2/3))^2+((DATOS!$B$34*H37/((D37*F37)/(D37+2*F37))^(2/3))^2))/2))&gt;0,((AT38+AU38)/2),AU38)</f>
        <v/>
      </c>
      <c r="AX38" s="5">
        <f>IF((((AV38+AW38)/2)+(C38/(D38*((AV38+AW38)/2)))^2/(2*9.81)+B38-(G37+H37^2/(2*9.81))-(A37-A38)*(((DATOS!$B$34*(C38/(D38*((AV38+AW38)/2)))/((D38*((AV38+AW38)/2))/(D38+2*((AV38+AW38)/2)))^(2/3))^2+((DATOS!$B$34*H37/((D37*F37)/(D37+2*F37))^(2/3))^2))/2))&gt;0,AV38,((AV38+AW38)/2))</f>
        <v/>
      </c>
      <c r="AY38" s="5">
        <f>IF((((AV38+AW38)/2)+(C38/(D38*((AV38+AW38)/2)))^2/(2*9.81)+B38-(G37+H37^2/(2*9.81))-(A37-A38)*(((DATOS!$B$34*(C38/(D38*((AV38+AW38)/2)))/((D38*((AV38+AW38)/2))/(D38+2*((AV38+AW38)/2)))^(2/3))^2+((DATOS!$B$34*H37/((D37*F37)/(D37+2*F37))^(2/3))^2))/2))&gt;0,((AV38+AW38)/2),AW38)</f>
        <v/>
      </c>
      <c r="AZ38" s="5">
        <f>IF((((AX38+AY38)/2)+(C38/(D38*((AX38+AY38)/2)))^2/(2*9.81)+B38-(G37+H37^2/(2*9.81))-(A37-A38)*(((DATOS!$B$34*(C38/(D38*((AX38+AY38)/2)))/((D38*((AX38+AY38)/2))/(D38+2*((AX38+AY38)/2)))^(2/3))^2+((DATOS!$B$34*H37/((D37*F37)/(D37+2*F37))^(2/3))^2))/2))&gt;0,AX38,((AX38+AY38)/2))</f>
        <v/>
      </c>
      <c r="BA38" s="5">
        <f>IF((((AX38+AY38)/2)+(C38/(D38*((AX38+AY38)/2)))^2/(2*9.81)+B38-(G37+H37^2/(2*9.81))-(A37-A38)*(((DATOS!$B$34*(C38/(D38*((AX38+AY38)/2)))/((D38*((AX38+AY38)/2))/(D38+2*((AX38+AY38)/2)))^(2/3))^2+((DATOS!$B$34*H37/((D37*F37)/(D37+2*F37))^(2/3))^2))/2))&gt;0,((AX38+AY38)/2),AY38)</f>
        <v/>
      </c>
      <c r="BB38" s="5">
        <f>IF((((AZ38+BA38)/2)+(C38/(D38*((AZ38+BA38)/2)))^2/(2*9.81)+B38-(G37+H37^2/(2*9.81))-(A37-A38)*(((DATOS!$B$34*(C38/(D38*((AZ38+BA38)/2)))/((D38*((AZ38+BA38)/2))/(D38+2*((AZ38+BA38)/2)))^(2/3))^2+((DATOS!$B$34*H37/((D37*F37)/(D37+2*F37))^(2/3))^2))/2))&gt;0,AZ38,((AZ38+BA38)/2))</f>
        <v/>
      </c>
      <c r="BC38" s="5">
        <f>IF((((AZ38+BA38)/2)+(C38/(D38*((AZ38+BA38)/2)))^2/(2*9.81)+B38-(G37+H37^2/(2*9.81))-(A37-A38)*(((DATOS!$B$34*(C38/(D38*((AZ38+BA38)/2)))/((D38*((AZ38+BA38)/2))/(D38+2*((AZ38+BA38)/2)))^(2/3))^2+((DATOS!$B$34*H37/((D37*F37)/(D37+2*F37))^(2/3))^2))/2))&gt;0,((AZ38+BA38)/2),BA38)</f>
        <v/>
      </c>
      <c r="BD38" s="5">
        <f>IF((((BB38+BC38)/2)+(C38/(D38*((BB38+BC38)/2)))^2/(2*9.81)+B38-(G37+H37^2/(2*9.81))-(A37-A38)*(((DATOS!$B$34*(C38/(D38*((BB38+BC38)/2)))/((D38*((BB38+BC38)/2))/(D38+2*((BB38+BC38)/2)))^(2/3))^2+((DATOS!$B$34*H37/((D37*F37)/(D37+2*F37))^(2/3))^2))/2))&gt;0,BB38,((BB38+BC38)/2))</f>
        <v/>
      </c>
      <c r="BE38" s="5">
        <f>IF((((BB38+BC38)/2)+(C38/(D38*((BB38+BC38)/2)))^2/(2*9.81)+B38-(G37+H37^2/(2*9.81))-(A37-A38)*(((DATOS!$B$34*(C38/(D38*((BB38+BC38)/2)))/((D38*((BB38+BC38)/2))/(D38+2*((BB38+BC38)/2)))^(2/3))^2+((DATOS!$B$34*H37/((D37*F37)/(D37+2*F37))^(2/3))^2))/2))&gt;0,((BB38+BC38)/2),BC38)</f>
        <v/>
      </c>
      <c r="BF38" s="5">
        <f>IF((((BD38+BE38)/2)+(C38/(D38*((BD38+BE38)/2)))^2/(2*9.81)+B38-(G37+H37^2/(2*9.81))-(A37-A38)*(((DATOS!$B$34*(C38/(D38*((BD38+BE38)/2)))/((D38*((BD38+BE38)/2))/(D38+2*((BD38+BE38)/2)))^(2/3))^2+((DATOS!$B$34*H37/((D37*F37)/(D37+2*F37))^(2/3))^2))/2))&gt;0,BD38,((BD38+BE38)/2))</f>
        <v/>
      </c>
      <c r="BG38" s="5">
        <f>IF((((BD38+BE38)/2)+(C38/(D38*((BD38+BE38)/2)))^2/(2*9.81)+B38-(G37+H37^2/(2*9.81))-(A37-A38)*(((DATOS!$B$34*(C38/(D38*((BD38+BE38)/2)))/((D38*((BD38+BE38)/2))/(D38+2*((BD38+BE38)/2)))^(2/3))^2+((DATOS!$B$34*H37/((D37*F37)/(D37+2*F37))^(2/3))^2))/2))&gt;0,((BD38+BE38)/2),BE38)</f>
        <v/>
      </c>
      <c r="BH38" s="5">
        <f>IF((((BF38+BG38)/2)+(C38/(D38*((BF38+BG38)/2)))^2/(2*9.81)+B38-(G37+H37^2/(2*9.81))-(A37-A38)*(((DATOS!$B$34*(C38/(D38*((BF38+BG38)/2)))/((D38*((BF38+BG38)/2))/(D38+2*((BF38+BG38)/2)))^(2/3))^2+((DATOS!$B$34*H37/((D37*F37)/(D37+2*F37))^(2/3))^2))/2))&gt;0,BF38,((BF38+BG38)/2))</f>
        <v/>
      </c>
      <c r="BI38" s="5">
        <f>IF((((BF38+BG38)/2)+(C38/(D38*((BF38+BG38)/2)))^2/(2*9.81)+B38-(G37+H37^2/(2*9.81))-(A37-A38)*(((DATOS!$B$34*(C38/(D38*((BF38+BG38)/2)))/((D38*((BF38+BG38)/2))/(D38+2*((BF38+BG38)/2)))^(2/3))^2+((DATOS!$B$34*H37/((D37*F37)/(D37+2*F37))^(2/3))^2))/2))&gt;0,((BF38+BG38)/2),BG38)</f>
        <v/>
      </c>
      <c r="BJ38" s="5">
        <f>IF((((BH38+BI38)/2)+(C38/(D38*((BH38+BI38)/2)))^2/(2*9.81)+B38-(G37+H37^2/(2*9.81))-(A37-A38)*(((DATOS!$B$34*(C38/(D38*((BH38+BI38)/2)))/((D38*((BH38+BI38)/2))/(D38+2*((BH38+BI38)/2)))^(2/3))^2+((DATOS!$B$34*H37/((D37*F37)/(D37+2*F37))^(2/3))^2))/2))&gt;0,BH38,((BH38+BI38)/2))</f>
        <v/>
      </c>
      <c r="BK38" s="5">
        <f>IF((((BH38+BI38)/2)+(C38/(D38*((BH38+BI38)/2)))^2/(2*9.81)+B38-(G37+H37^2/(2*9.81))-(A37-A38)*(((DATOS!$B$34*(C38/(D38*((BH38+BI38)/2)))/((D38*((BH38+BI38)/2))/(D38+2*((BH38+BI38)/2)))^(2/3))^2+((DATOS!$B$34*H37/((D37*F37)/(D37+2*F37))^(2/3))^2))/2))&gt;0,((BH38+BI38)/2),BI38)</f>
        <v/>
      </c>
      <c r="BL38" s="5">
        <f>IF((((BJ38+BK38)/2)+(C38/(D38*((BJ38+BK38)/2)))^2/(2*9.81)+B38-(G37+H37^2/(2*9.81))-(A37-A38)*(((DATOS!$B$34*(C38/(D38*((BJ38+BK38)/2)))/((D38*((BJ38+BK38)/2))/(D38+2*((BJ38+BK38)/2)))^(2/3))^2+((DATOS!$B$34*H37/((D37*F37)/(D37+2*F37))^(2/3))^2))/2))&gt;0,BJ38,((BJ38+BK38)/2))</f>
        <v/>
      </c>
      <c r="BM38" s="5">
        <f>IF((((BJ38+BK38)/2)+(C38/(D38*((BJ38+BK38)/2)))^2/(2*9.81)+B38-(G37+H37^2/(2*9.81))-(A37-A38)*(((DATOS!$B$34*(C38/(D38*((BJ38+BK38)/2)))/((D38*((BJ38+BK38)/2))/(D38+2*((BJ38+BK38)/2)))^(2/3))^2+((DATOS!$B$34*H37/((D37*F37)/(D37+2*F37))^(2/3))^2))/2))&gt;0,((BJ38+BK38)/2),BK38)</f>
        <v/>
      </c>
      <c r="BN38" s="5">
        <f>IF((((BL38+BM38)/2)+(C38/(D38*((BL38+BM38)/2)))^2/(2*9.81)+B38-(G37+H37^2/(2*9.81))-(A37-A38)*(((DATOS!$B$34*(C38/(D38*((BL38+BM38)/2)))/((D38*((BL38+BM38)/2))/(D38+2*((BL38+BM38)/2)))^(2/3))^2+((DATOS!$B$34*H37/((D37*F37)/(D37+2*F37))^(2/3))^2))/2))&gt;0,BL38,((BL38+BM38)/2))</f>
        <v/>
      </c>
      <c r="BO38" s="5">
        <f>IF((((BL38+BM38)/2)+(C38/(D38*((BL38+BM38)/2)))^2/(2*9.81)+B38-(G37+H37^2/(2*9.81))-(A37-A38)*(((DATOS!$B$34*(C38/(D38*((BL38+BM38)/2)))/((D38*((BL38+BM38)/2))/(D38+2*((BL38+BM38)/2)))^(2/3))^2+((DATOS!$B$34*H37/((D37*F37)/(D37+2*F37))^(2/3))^2))/2))&gt;0,((BL38+BM38)/2),BM38)</f>
        <v/>
      </c>
      <c r="BP38" s="5">
        <f>IF((((BN38+BO38)/2)+(C38/(D38*((BN38+BO38)/2)))^2/(2*9.81)+B38-(G37+H37^2/(2*9.81))-(A37-A38)*(((DATOS!$B$34*(C38/(D38*((BN38+BO38)/2)))/((D38*((BN38+BO38)/2))/(D38+2*((BN38+BO38)/2)))^(2/3))^2+((DATOS!$B$34*H37/((D37*F37)/(D37+2*F37))^(2/3))^2))/2))&gt;0,BN38,((BN38+BO38)/2))</f>
        <v/>
      </c>
      <c r="BQ38" s="5">
        <f>IF((((BN38+BO38)/2)+(C38/(D38*((BN38+BO38)/2)))^2/(2*9.81)+B38-(G37+H37^2/(2*9.81))-(A37-A38)*(((DATOS!$B$34*(C38/(D38*((BN38+BO38)/2)))/((D38*((BN38+BO38)/2))/(D38+2*((BN38+BO38)/2)))^(2/3))^2+((DATOS!$B$34*H37/((D37*F37)/(D37+2*F37))^(2/3))^2))/2))&gt;0,((BN38+BO38)/2),BO38)</f>
        <v/>
      </c>
      <c r="BR38" s="5">
        <f>IF((((BP38+BQ38)/2)+(C38/(D38*((BP38+BQ38)/2)))^2/(2*9.81)+B38-(G37+H37^2/(2*9.81))-(A37-A38)*(((DATOS!$B$34*(C38/(D38*((BP38+BQ38)/2)))/((D38*((BP38+BQ38)/2))/(D38+2*((BP38+BQ38)/2)))^(2/3))^2+((DATOS!$B$34*H37/((D37*F37)/(D37+2*F37))^(2/3))^2))/2))&gt;0,BP38,((BP38+BQ38)/2))</f>
        <v/>
      </c>
      <c r="BS38" s="5">
        <f>IF((((BP38+BQ38)/2)+(C38/(D38*((BP38+BQ38)/2)))^2/(2*9.81)+B38-(G37+H37^2/(2*9.81))-(A37-A38)*(((DATOS!$B$34*(C38/(D38*((BP38+BQ38)/2)))/((D38*((BP38+BQ38)/2))/(D38+2*((BP38+BQ38)/2)))^(2/3))^2+((DATOS!$B$34*H37/((D37*F37)/(D37+2*F37))^(2/3))^2))/2))&gt;0,((BP38+BQ38)/2),BQ38)</f>
        <v/>
      </c>
      <c r="BT38" s="5">
        <f>IF((((BR38+BS38)/2)+(C38/(D38*((BR38+BS38)/2)))^2/(2*9.81)+B38-(G37+H37^2/(2*9.81))-(A37-A38)*(((DATOS!$B$34*(C38/(D38*((BR38+BS38)/2)))/((D38*((BR38+BS38)/2))/(D38+2*((BR38+BS38)/2)))^(2/3))^2+((DATOS!$B$34*H37/((D37*F37)/(D37+2*F37))^(2/3))^2))/2))&gt;0,BR38,((BR38+BS38)/2))</f>
        <v/>
      </c>
      <c r="BU38" s="5">
        <f>IF((((BR38+BS38)/2)+(C38/(D38*((BR38+BS38)/2)))^2/(2*9.81)+B38-(G37+H37^2/(2*9.81))-(A37-A38)*(((DATOS!$B$34*(C38/(D38*((BR38+BS38)/2)))/((D38*((BR38+BS38)/2))/(D38+2*((BR38+BS38)/2)))^(2/3))^2+((DATOS!$B$34*H37/((D37*F37)/(D37+2*F37))^(2/3))^2))/2))&gt;0,((BR38+BS38)/2),BS38)</f>
        <v/>
      </c>
      <c r="BV38" s="5">
        <f>IF((((BT38+BU38)/2)+(C38/(D38*((BT38+BU38)/2)))^2/(2*9.81)+B38-(G37+H37^2/(2*9.81))-(A37-A38)*(((DATOS!$B$34*(C38/(D38*((BT38+BU38)/2)))/((D38*((BT38+BU38)/2))/(D38+2*((BT38+BU38)/2)))^(2/3))^2+((DATOS!$B$34*H37/((D37*F37)/(D37+2*F37))^(2/3))^2))/2))&gt;0,BT38,((BT38+BU38)/2))</f>
        <v/>
      </c>
      <c r="BW38" s="5">
        <f>IF((((BT38+BU38)/2)+(C38/(D38*((BT38+BU38)/2)))^2/(2*9.81)+B38-(G37+H37^2/(2*9.81))-(A37-A38)*(((DATOS!$B$34*(C38/(D38*((BT38+BU38)/2)))/((D38*((BT38+BU38)/2))/(D38+2*((BT38+BU38)/2)))^(2/3))^2+((DATOS!$B$34*H37/((D37*F37)/(D37+2*F37))^(2/3))^2))/2))&gt;0,((BT38+BU38)/2),BU38)</f>
        <v/>
      </c>
    </row>
    <row r="39">
      <c r="A39" s="13" t="n">
        <v>43</v>
      </c>
      <c r="B39" s="16">
        <f>DATOS!$B$22-DATOS!$B$23*A39</f>
        <v/>
      </c>
      <c r="C39" s="24">
        <f>CAUDALES!$B$13</f>
        <v/>
      </c>
      <c r="D39" s="17">
        <f>DATOS!$B$17</f>
        <v/>
      </c>
      <c r="E39" s="16">
        <f>(C39^2/(9.81*D39^2))^(1/3)</f>
        <v/>
      </c>
      <c r="F39" s="16">
        <f>(BV39+BW39)/2</f>
        <v/>
      </c>
      <c r="G39" s="16">
        <f>B39+F39</f>
        <v/>
      </c>
      <c r="H39" s="19">
        <f>C39/(D39*F39)</f>
        <v/>
      </c>
      <c r="I39" s="19">
        <f>H39/SQRT(9.81*F39)</f>
        <v/>
      </c>
      <c r="J39" s="16">
        <f>DATOS!$B$29-IF(AND(A39&gt;=DATOS!$B$30,A39&lt;DATOS!$B$31),DATOS!$B$21,DATOS!$B$20)</f>
        <v/>
      </c>
      <c r="K39" s="19">
        <f>J39-B39</f>
        <v/>
      </c>
      <c r="L39" s="19">
        <f>F39/K39</f>
        <v/>
      </c>
      <c r="M39" s="16">
        <f>J39-G39</f>
        <v/>
      </c>
      <c r="N39" s="5">
        <f>IF(AND(L39&lt;=DATOS!$B$36,M39&gt;=DATOS!$B$37,I39&lt;=1),"CUMPLE","NO CUMPLE")</f>
        <v/>
      </c>
      <c r="O39" s="5">
        <f>IF(AND(A39&gt;=DATOS!$B$30,A39&lt;DATOS!$B$31),"cruce de camiones",IF(AND(A39&gt;=DATOS!$B$32,A39&lt;DATOS!$B$33),"cruce de motos","tramo normal"))</f>
        <v/>
      </c>
      <c r="P39" s="5">
        <f>E39*1.001</f>
        <v/>
      </c>
      <c r="Q39" s="13" t="n">
        <v>3</v>
      </c>
      <c r="R39" s="5">
        <f>IF((((P39+Q39)/2)+(C39/(D39*((P39+Q39)/2)))^2/(2*9.81)+B39-(G38+H38^2/(2*9.81))-(A38-A39)*(((DATOS!$B$34*(C39/(D39*((P39+Q39)/2)))/((D39*((P39+Q39)/2))/(D39+2*((P39+Q39)/2)))^(2/3))^2+((DATOS!$B$34*H38/((D38*F38)/(D38+2*F38))^(2/3))^2))/2))&gt;0,P39,((P39+Q39)/2))</f>
        <v/>
      </c>
      <c r="S39" s="5">
        <f>IF((((P39+Q39)/2)+(C39/(D39*((P39+Q39)/2)))^2/(2*9.81)+B39-(G38+H38^2/(2*9.81))-(A38-A39)*(((DATOS!$B$34*(C39/(D39*((P39+Q39)/2)))/((D39*((P39+Q39)/2))/(D39+2*((P39+Q39)/2)))^(2/3))^2+((DATOS!$B$34*H38/((D38*F38)/(D38+2*F38))^(2/3))^2))/2))&gt;0,((P39+Q39)/2),Q39)</f>
        <v/>
      </c>
      <c r="T39" s="5">
        <f>IF((((R39+S39)/2)+(C39/(D39*((R39+S39)/2)))^2/(2*9.81)+B39-(G38+H38^2/(2*9.81))-(A38-A39)*(((DATOS!$B$34*(C39/(D39*((R39+S39)/2)))/((D39*((R39+S39)/2))/(D39+2*((R39+S39)/2)))^(2/3))^2+((DATOS!$B$34*H38/((D38*F38)/(D38+2*F38))^(2/3))^2))/2))&gt;0,R39,((R39+S39)/2))</f>
        <v/>
      </c>
      <c r="U39" s="5">
        <f>IF((((R39+S39)/2)+(C39/(D39*((R39+S39)/2)))^2/(2*9.81)+B39-(G38+H38^2/(2*9.81))-(A38-A39)*(((DATOS!$B$34*(C39/(D39*((R39+S39)/2)))/((D39*((R39+S39)/2))/(D39+2*((R39+S39)/2)))^(2/3))^2+((DATOS!$B$34*H38/((D38*F38)/(D38+2*F38))^(2/3))^2))/2))&gt;0,((R39+S39)/2),S39)</f>
        <v/>
      </c>
      <c r="V39" s="5">
        <f>IF((((T39+U39)/2)+(C39/(D39*((T39+U39)/2)))^2/(2*9.81)+B39-(G38+H38^2/(2*9.81))-(A38-A39)*(((DATOS!$B$34*(C39/(D39*((T39+U39)/2)))/((D39*((T39+U39)/2))/(D39+2*((T39+U39)/2)))^(2/3))^2+((DATOS!$B$34*H38/((D38*F38)/(D38+2*F38))^(2/3))^2))/2))&gt;0,T39,((T39+U39)/2))</f>
        <v/>
      </c>
      <c r="W39" s="5">
        <f>IF((((T39+U39)/2)+(C39/(D39*((T39+U39)/2)))^2/(2*9.81)+B39-(G38+H38^2/(2*9.81))-(A38-A39)*(((DATOS!$B$34*(C39/(D39*((T39+U39)/2)))/((D39*((T39+U39)/2))/(D39+2*((T39+U39)/2)))^(2/3))^2+((DATOS!$B$34*H38/((D38*F38)/(D38+2*F38))^(2/3))^2))/2))&gt;0,((T39+U39)/2),U39)</f>
        <v/>
      </c>
      <c r="X39" s="5">
        <f>IF((((V39+W39)/2)+(C39/(D39*((V39+W39)/2)))^2/(2*9.81)+B39-(G38+H38^2/(2*9.81))-(A38-A39)*(((DATOS!$B$34*(C39/(D39*((V39+W39)/2)))/((D39*((V39+W39)/2))/(D39+2*((V39+W39)/2)))^(2/3))^2+((DATOS!$B$34*H38/((D38*F38)/(D38+2*F38))^(2/3))^2))/2))&gt;0,V39,((V39+W39)/2))</f>
        <v/>
      </c>
      <c r="Y39" s="5">
        <f>IF((((V39+W39)/2)+(C39/(D39*((V39+W39)/2)))^2/(2*9.81)+B39-(G38+H38^2/(2*9.81))-(A38-A39)*(((DATOS!$B$34*(C39/(D39*((V39+W39)/2)))/((D39*((V39+W39)/2))/(D39+2*((V39+W39)/2)))^(2/3))^2+((DATOS!$B$34*H38/((D38*F38)/(D38+2*F38))^(2/3))^2))/2))&gt;0,((V39+W39)/2),W39)</f>
        <v/>
      </c>
      <c r="Z39" s="5">
        <f>IF((((X39+Y39)/2)+(C39/(D39*((X39+Y39)/2)))^2/(2*9.81)+B39-(G38+H38^2/(2*9.81))-(A38-A39)*(((DATOS!$B$34*(C39/(D39*((X39+Y39)/2)))/((D39*((X39+Y39)/2))/(D39+2*((X39+Y39)/2)))^(2/3))^2+((DATOS!$B$34*H38/((D38*F38)/(D38+2*F38))^(2/3))^2))/2))&gt;0,X39,((X39+Y39)/2))</f>
        <v/>
      </c>
      <c r="AA39" s="5">
        <f>IF((((X39+Y39)/2)+(C39/(D39*((X39+Y39)/2)))^2/(2*9.81)+B39-(G38+H38^2/(2*9.81))-(A38-A39)*(((DATOS!$B$34*(C39/(D39*((X39+Y39)/2)))/((D39*((X39+Y39)/2))/(D39+2*((X39+Y39)/2)))^(2/3))^2+((DATOS!$B$34*H38/((D38*F38)/(D38+2*F38))^(2/3))^2))/2))&gt;0,((X39+Y39)/2),Y39)</f>
        <v/>
      </c>
      <c r="AB39" s="5">
        <f>IF((((Z39+AA39)/2)+(C39/(D39*((Z39+AA39)/2)))^2/(2*9.81)+B39-(G38+H38^2/(2*9.81))-(A38-A39)*(((DATOS!$B$34*(C39/(D39*((Z39+AA39)/2)))/((D39*((Z39+AA39)/2))/(D39+2*((Z39+AA39)/2)))^(2/3))^2+((DATOS!$B$34*H38/((D38*F38)/(D38+2*F38))^(2/3))^2))/2))&gt;0,Z39,((Z39+AA39)/2))</f>
        <v/>
      </c>
      <c r="AC39" s="5">
        <f>IF((((Z39+AA39)/2)+(C39/(D39*((Z39+AA39)/2)))^2/(2*9.81)+B39-(G38+H38^2/(2*9.81))-(A38-A39)*(((DATOS!$B$34*(C39/(D39*((Z39+AA39)/2)))/((D39*((Z39+AA39)/2))/(D39+2*((Z39+AA39)/2)))^(2/3))^2+((DATOS!$B$34*H38/((D38*F38)/(D38+2*F38))^(2/3))^2))/2))&gt;0,((Z39+AA39)/2),AA39)</f>
        <v/>
      </c>
      <c r="AD39" s="5">
        <f>IF((((AB39+AC39)/2)+(C39/(D39*((AB39+AC39)/2)))^2/(2*9.81)+B39-(G38+H38^2/(2*9.81))-(A38-A39)*(((DATOS!$B$34*(C39/(D39*((AB39+AC39)/2)))/((D39*((AB39+AC39)/2))/(D39+2*((AB39+AC39)/2)))^(2/3))^2+((DATOS!$B$34*H38/((D38*F38)/(D38+2*F38))^(2/3))^2))/2))&gt;0,AB39,((AB39+AC39)/2))</f>
        <v/>
      </c>
      <c r="AE39" s="5">
        <f>IF((((AB39+AC39)/2)+(C39/(D39*((AB39+AC39)/2)))^2/(2*9.81)+B39-(G38+H38^2/(2*9.81))-(A38-A39)*(((DATOS!$B$34*(C39/(D39*((AB39+AC39)/2)))/((D39*((AB39+AC39)/2))/(D39+2*((AB39+AC39)/2)))^(2/3))^2+((DATOS!$B$34*H38/((D38*F38)/(D38+2*F38))^(2/3))^2))/2))&gt;0,((AB39+AC39)/2),AC39)</f>
        <v/>
      </c>
      <c r="AF39" s="5">
        <f>IF((((AD39+AE39)/2)+(C39/(D39*((AD39+AE39)/2)))^2/(2*9.81)+B39-(G38+H38^2/(2*9.81))-(A38-A39)*(((DATOS!$B$34*(C39/(D39*((AD39+AE39)/2)))/((D39*((AD39+AE39)/2))/(D39+2*((AD39+AE39)/2)))^(2/3))^2+((DATOS!$B$34*H38/((D38*F38)/(D38+2*F38))^(2/3))^2))/2))&gt;0,AD39,((AD39+AE39)/2))</f>
        <v/>
      </c>
      <c r="AG39" s="5">
        <f>IF((((AD39+AE39)/2)+(C39/(D39*((AD39+AE39)/2)))^2/(2*9.81)+B39-(G38+H38^2/(2*9.81))-(A38-A39)*(((DATOS!$B$34*(C39/(D39*((AD39+AE39)/2)))/((D39*((AD39+AE39)/2))/(D39+2*((AD39+AE39)/2)))^(2/3))^2+((DATOS!$B$34*H38/((D38*F38)/(D38+2*F38))^(2/3))^2))/2))&gt;0,((AD39+AE39)/2),AE39)</f>
        <v/>
      </c>
      <c r="AH39" s="5">
        <f>IF((((AF39+AG39)/2)+(C39/(D39*((AF39+AG39)/2)))^2/(2*9.81)+B39-(G38+H38^2/(2*9.81))-(A38-A39)*(((DATOS!$B$34*(C39/(D39*((AF39+AG39)/2)))/((D39*((AF39+AG39)/2))/(D39+2*((AF39+AG39)/2)))^(2/3))^2+((DATOS!$B$34*H38/((D38*F38)/(D38+2*F38))^(2/3))^2))/2))&gt;0,AF39,((AF39+AG39)/2))</f>
        <v/>
      </c>
      <c r="AI39" s="5">
        <f>IF((((AF39+AG39)/2)+(C39/(D39*((AF39+AG39)/2)))^2/(2*9.81)+B39-(G38+H38^2/(2*9.81))-(A38-A39)*(((DATOS!$B$34*(C39/(D39*((AF39+AG39)/2)))/((D39*((AF39+AG39)/2))/(D39+2*((AF39+AG39)/2)))^(2/3))^2+((DATOS!$B$34*H38/((D38*F38)/(D38+2*F38))^(2/3))^2))/2))&gt;0,((AF39+AG39)/2),AG39)</f>
        <v/>
      </c>
      <c r="AJ39" s="5">
        <f>IF((((AH39+AI39)/2)+(C39/(D39*((AH39+AI39)/2)))^2/(2*9.81)+B39-(G38+H38^2/(2*9.81))-(A38-A39)*(((DATOS!$B$34*(C39/(D39*((AH39+AI39)/2)))/((D39*((AH39+AI39)/2))/(D39+2*((AH39+AI39)/2)))^(2/3))^2+((DATOS!$B$34*H38/((D38*F38)/(D38+2*F38))^(2/3))^2))/2))&gt;0,AH39,((AH39+AI39)/2))</f>
        <v/>
      </c>
      <c r="AK39" s="5">
        <f>IF((((AH39+AI39)/2)+(C39/(D39*((AH39+AI39)/2)))^2/(2*9.81)+B39-(G38+H38^2/(2*9.81))-(A38-A39)*(((DATOS!$B$34*(C39/(D39*((AH39+AI39)/2)))/((D39*((AH39+AI39)/2))/(D39+2*((AH39+AI39)/2)))^(2/3))^2+((DATOS!$B$34*H38/((D38*F38)/(D38+2*F38))^(2/3))^2))/2))&gt;0,((AH39+AI39)/2),AI39)</f>
        <v/>
      </c>
      <c r="AL39" s="5">
        <f>IF((((AJ39+AK39)/2)+(C39/(D39*((AJ39+AK39)/2)))^2/(2*9.81)+B39-(G38+H38^2/(2*9.81))-(A38-A39)*(((DATOS!$B$34*(C39/(D39*((AJ39+AK39)/2)))/((D39*((AJ39+AK39)/2))/(D39+2*((AJ39+AK39)/2)))^(2/3))^2+((DATOS!$B$34*H38/((D38*F38)/(D38+2*F38))^(2/3))^2))/2))&gt;0,AJ39,((AJ39+AK39)/2))</f>
        <v/>
      </c>
      <c r="AM39" s="5">
        <f>IF((((AJ39+AK39)/2)+(C39/(D39*((AJ39+AK39)/2)))^2/(2*9.81)+B39-(G38+H38^2/(2*9.81))-(A38-A39)*(((DATOS!$B$34*(C39/(D39*((AJ39+AK39)/2)))/((D39*((AJ39+AK39)/2))/(D39+2*((AJ39+AK39)/2)))^(2/3))^2+((DATOS!$B$34*H38/((D38*F38)/(D38+2*F38))^(2/3))^2))/2))&gt;0,((AJ39+AK39)/2),AK39)</f>
        <v/>
      </c>
      <c r="AN39" s="5">
        <f>IF((((AL39+AM39)/2)+(C39/(D39*((AL39+AM39)/2)))^2/(2*9.81)+B39-(G38+H38^2/(2*9.81))-(A38-A39)*(((DATOS!$B$34*(C39/(D39*((AL39+AM39)/2)))/((D39*((AL39+AM39)/2))/(D39+2*((AL39+AM39)/2)))^(2/3))^2+((DATOS!$B$34*H38/((D38*F38)/(D38+2*F38))^(2/3))^2))/2))&gt;0,AL39,((AL39+AM39)/2))</f>
        <v/>
      </c>
      <c r="AO39" s="5">
        <f>IF((((AL39+AM39)/2)+(C39/(D39*((AL39+AM39)/2)))^2/(2*9.81)+B39-(G38+H38^2/(2*9.81))-(A38-A39)*(((DATOS!$B$34*(C39/(D39*((AL39+AM39)/2)))/((D39*((AL39+AM39)/2))/(D39+2*((AL39+AM39)/2)))^(2/3))^2+((DATOS!$B$34*H38/((D38*F38)/(D38+2*F38))^(2/3))^2))/2))&gt;0,((AL39+AM39)/2),AM39)</f>
        <v/>
      </c>
      <c r="AP39" s="5">
        <f>IF((((AN39+AO39)/2)+(C39/(D39*((AN39+AO39)/2)))^2/(2*9.81)+B39-(G38+H38^2/(2*9.81))-(A38-A39)*(((DATOS!$B$34*(C39/(D39*((AN39+AO39)/2)))/((D39*((AN39+AO39)/2))/(D39+2*((AN39+AO39)/2)))^(2/3))^2+((DATOS!$B$34*H38/((D38*F38)/(D38+2*F38))^(2/3))^2))/2))&gt;0,AN39,((AN39+AO39)/2))</f>
        <v/>
      </c>
      <c r="AQ39" s="5">
        <f>IF((((AN39+AO39)/2)+(C39/(D39*((AN39+AO39)/2)))^2/(2*9.81)+B39-(G38+H38^2/(2*9.81))-(A38-A39)*(((DATOS!$B$34*(C39/(D39*((AN39+AO39)/2)))/((D39*((AN39+AO39)/2))/(D39+2*((AN39+AO39)/2)))^(2/3))^2+((DATOS!$B$34*H38/((D38*F38)/(D38+2*F38))^(2/3))^2))/2))&gt;0,((AN39+AO39)/2),AO39)</f>
        <v/>
      </c>
      <c r="AR39" s="5">
        <f>IF((((AP39+AQ39)/2)+(C39/(D39*((AP39+AQ39)/2)))^2/(2*9.81)+B39-(G38+H38^2/(2*9.81))-(A38-A39)*(((DATOS!$B$34*(C39/(D39*((AP39+AQ39)/2)))/((D39*((AP39+AQ39)/2))/(D39+2*((AP39+AQ39)/2)))^(2/3))^2+((DATOS!$B$34*H38/((D38*F38)/(D38+2*F38))^(2/3))^2))/2))&gt;0,AP39,((AP39+AQ39)/2))</f>
        <v/>
      </c>
      <c r="AS39" s="5">
        <f>IF((((AP39+AQ39)/2)+(C39/(D39*((AP39+AQ39)/2)))^2/(2*9.81)+B39-(G38+H38^2/(2*9.81))-(A38-A39)*(((DATOS!$B$34*(C39/(D39*((AP39+AQ39)/2)))/((D39*((AP39+AQ39)/2))/(D39+2*((AP39+AQ39)/2)))^(2/3))^2+((DATOS!$B$34*H38/((D38*F38)/(D38+2*F38))^(2/3))^2))/2))&gt;0,((AP39+AQ39)/2),AQ39)</f>
        <v/>
      </c>
      <c r="AT39" s="5">
        <f>IF((((AR39+AS39)/2)+(C39/(D39*((AR39+AS39)/2)))^2/(2*9.81)+B39-(G38+H38^2/(2*9.81))-(A38-A39)*(((DATOS!$B$34*(C39/(D39*((AR39+AS39)/2)))/((D39*((AR39+AS39)/2))/(D39+2*((AR39+AS39)/2)))^(2/3))^2+((DATOS!$B$34*H38/((D38*F38)/(D38+2*F38))^(2/3))^2))/2))&gt;0,AR39,((AR39+AS39)/2))</f>
        <v/>
      </c>
      <c r="AU39" s="5">
        <f>IF((((AR39+AS39)/2)+(C39/(D39*((AR39+AS39)/2)))^2/(2*9.81)+B39-(G38+H38^2/(2*9.81))-(A38-A39)*(((DATOS!$B$34*(C39/(D39*((AR39+AS39)/2)))/((D39*((AR39+AS39)/2))/(D39+2*((AR39+AS39)/2)))^(2/3))^2+((DATOS!$B$34*H38/((D38*F38)/(D38+2*F38))^(2/3))^2))/2))&gt;0,((AR39+AS39)/2),AS39)</f>
        <v/>
      </c>
      <c r="AV39" s="5">
        <f>IF((((AT39+AU39)/2)+(C39/(D39*((AT39+AU39)/2)))^2/(2*9.81)+B39-(G38+H38^2/(2*9.81))-(A38-A39)*(((DATOS!$B$34*(C39/(D39*((AT39+AU39)/2)))/((D39*((AT39+AU39)/2))/(D39+2*((AT39+AU39)/2)))^(2/3))^2+((DATOS!$B$34*H38/((D38*F38)/(D38+2*F38))^(2/3))^2))/2))&gt;0,AT39,((AT39+AU39)/2))</f>
        <v/>
      </c>
      <c r="AW39" s="5">
        <f>IF((((AT39+AU39)/2)+(C39/(D39*((AT39+AU39)/2)))^2/(2*9.81)+B39-(G38+H38^2/(2*9.81))-(A38-A39)*(((DATOS!$B$34*(C39/(D39*((AT39+AU39)/2)))/((D39*((AT39+AU39)/2))/(D39+2*((AT39+AU39)/2)))^(2/3))^2+((DATOS!$B$34*H38/((D38*F38)/(D38+2*F38))^(2/3))^2))/2))&gt;0,((AT39+AU39)/2),AU39)</f>
        <v/>
      </c>
      <c r="AX39" s="5">
        <f>IF((((AV39+AW39)/2)+(C39/(D39*((AV39+AW39)/2)))^2/(2*9.81)+B39-(G38+H38^2/(2*9.81))-(A38-A39)*(((DATOS!$B$34*(C39/(D39*((AV39+AW39)/2)))/((D39*((AV39+AW39)/2))/(D39+2*((AV39+AW39)/2)))^(2/3))^2+((DATOS!$B$34*H38/((D38*F38)/(D38+2*F38))^(2/3))^2))/2))&gt;0,AV39,((AV39+AW39)/2))</f>
        <v/>
      </c>
      <c r="AY39" s="5">
        <f>IF((((AV39+AW39)/2)+(C39/(D39*((AV39+AW39)/2)))^2/(2*9.81)+B39-(G38+H38^2/(2*9.81))-(A38-A39)*(((DATOS!$B$34*(C39/(D39*((AV39+AW39)/2)))/((D39*((AV39+AW39)/2))/(D39+2*((AV39+AW39)/2)))^(2/3))^2+((DATOS!$B$34*H38/((D38*F38)/(D38+2*F38))^(2/3))^2))/2))&gt;0,((AV39+AW39)/2),AW39)</f>
        <v/>
      </c>
      <c r="AZ39" s="5">
        <f>IF((((AX39+AY39)/2)+(C39/(D39*((AX39+AY39)/2)))^2/(2*9.81)+B39-(G38+H38^2/(2*9.81))-(A38-A39)*(((DATOS!$B$34*(C39/(D39*((AX39+AY39)/2)))/((D39*((AX39+AY39)/2))/(D39+2*((AX39+AY39)/2)))^(2/3))^2+((DATOS!$B$34*H38/((D38*F38)/(D38+2*F38))^(2/3))^2))/2))&gt;0,AX39,((AX39+AY39)/2))</f>
        <v/>
      </c>
      <c r="BA39" s="5">
        <f>IF((((AX39+AY39)/2)+(C39/(D39*((AX39+AY39)/2)))^2/(2*9.81)+B39-(G38+H38^2/(2*9.81))-(A38-A39)*(((DATOS!$B$34*(C39/(D39*((AX39+AY39)/2)))/((D39*((AX39+AY39)/2))/(D39+2*((AX39+AY39)/2)))^(2/3))^2+((DATOS!$B$34*H38/((D38*F38)/(D38+2*F38))^(2/3))^2))/2))&gt;0,((AX39+AY39)/2),AY39)</f>
        <v/>
      </c>
      <c r="BB39" s="5">
        <f>IF((((AZ39+BA39)/2)+(C39/(D39*((AZ39+BA39)/2)))^2/(2*9.81)+B39-(G38+H38^2/(2*9.81))-(A38-A39)*(((DATOS!$B$34*(C39/(D39*((AZ39+BA39)/2)))/((D39*((AZ39+BA39)/2))/(D39+2*((AZ39+BA39)/2)))^(2/3))^2+((DATOS!$B$34*H38/((D38*F38)/(D38+2*F38))^(2/3))^2))/2))&gt;0,AZ39,((AZ39+BA39)/2))</f>
        <v/>
      </c>
      <c r="BC39" s="5">
        <f>IF((((AZ39+BA39)/2)+(C39/(D39*((AZ39+BA39)/2)))^2/(2*9.81)+B39-(G38+H38^2/(2*9.81))-(A38-A39)*(((DATOS!$B$34*(C39/(D39*((AZ39+BA39)/2)))/((D39*((AZ39+BA39)/2))/(D39+2*((AZ39+BA39)/2)))^(2/3))^2+((DATOS!$B$34*H38/((D38*F38)/(D38+2*F38))^(2/3))^2))/2))&gt;0,((AZ39+BA39)/2),BA39)</f>
        <v/>
      </c>
      <c r="BD39" s="5">
        <f>IF((((BB39+BC39)/2)+(C39/(D39*((BB39+BC39)/2)))^2/(2*9.81)+B39-(G38+H38^2/(2*9.81))-(A38-A39)*(((DATOS!$B$34*(C39/(D39*((BB39+BC39)/2)))/((D39*((BB39+BC39)/2))/(D39+2*((BB39+BC39)/2)))^(2/3))^2+((DATOS!$B$34*H38/((D38*F38)/(D38+2*F38))^(2/3))^2))/2))&gt;0,BB39,((BB39+BC39)/2))</f>
        <v/>
      </c>
      <c r="BE39" s="5">
        <f>IF((((BB39+BC39)/2)+(C39/(D39*((BB39+BC39)/2)))^2/(2*9.81)+B39-(G38+H38^2/(2*9.81))-(A38-A39)*(((DATOS!$B$34*(C39/(D39*((BB39+BC39)/2)))/((D39*((BB39+BC39)/2))/(D39+2*((BB39+BC39)/2)))^(2/3))^2+((DATOS!$B$34*H38/((D38*F38)/(D38+2*F38))^(2/3))^2))/2))&gt;0,((BB39+BC39)/2),BC39)</f>
        <v/>
      </c>
      <c r="BF39" s="5">
        <f>IF((((BD39+BE39)/2)+(C39/(D39*((BD39+BE39)/2)))^2/(2*9.81)+B39-(G38+H38^2/(2*9.81))-(A38-A39)*(((DATOS!$B$34*(C39/(D39*((BD39+BE39)/2)))/((D39*((BD39+BE39)/2))/(D39+2*((BD39+BE39)/2)))^(2/3))^2+((DATOS!$B$34*H38/((D38*F38)/(D38+2*F38))^(2/3))^2))/2))&gt;0,BD39,((BD39+BE39)/2))</f>
        <v/>
      </c>
      <c r="BG39" s="5">
        <f>IF((((BD39+BE39)/2)+(C39/(D39*((BD39+BE39)/2)))^2/(2*9.81)+B39-(G38+H38^2/(2*9.81))-(A38-A39)*(((DATOS!$B$34*(C39/(D39*((BD39+BE39)/2)))/((D39*((BD39+BE39)/2))/(D39+2*((BD39+BE39)/2)))^(2/3))^2+((DATOS!$B$34*H38/((D38*F38)/(D38+2*F38))^(2/3))^2))/2))&gt;0,((BD39+BE39)/2),BE39)</f>
        <v/>
      </c>
      <c r="BH39" s="5">
        <f>IF((((BF39+BG39)/2)+(C39/(D39*((BF39+BG39)/2)))^2/(2*9.81)+B39-(G38+H38^2/(2*9.81))-(A38-A39)*(((DATOS!$B$34*(C39/(D39*((BF39+BG39)/2)))/((D39*((BF39+BG39)/2))/(D39+2*((BF39+BG39)/2)))^(2/3))^2+((DATOS!$B$34*H38/((D38*F38)/(D38+2*F38))^(2/3))^2))/2))&gt;0,BF39,((BF39+BG39)/2))</f>
        <v/>
      </c>
      <c r="BI39" s="5">
        <f>IF((((BF39+BG39)/2)+(C39/(D39*((BF39+BG39)/2)))^2/(2*9.81)+B39-(G38+H38^2/(2*9.81))-(A38-A39)*(((DATOS!$B$34*(C39/(D39*((BF39+BG39)/2)))/((D39*((BF39+BG39)/2))/(D39+2*((BF39+BG39)/2)))^(2/3))^2+((DATOS!$B$34*H38/((D38*F38)/(D38+2*F38))^(2/3))^2))/2))&gt;0,((BF39+BG39)/2),BG39)</f>
        <v/>
      </c>
      <c r="BJ39" s="5">
        <f>IF((((BH39+BI39)/2)+(C39/(D39*((BH39+BI39)/2)))^2/(2*9.81)+B39-(G38+H38^2/(2*9.81))-(A38-A39)*(((DATOS!$B$34*(C39/(D39*((BH39+BI39)/2)))/((D39*((BH39+BI39)/2))/(D39+2*((BH39+BI39)/2)))^(2/3))^2+((DATOS!$B$34*H38/((D38*F38)/(D38+2*F38))^(2/3))^2))/2))&gt;0,BH39,((BH39+BI39)/2))</f>
        <v/>
      </c>
      <c r="BK39" s="5">
        <f>IF((((BH39+BI39)/2)+(C39/(D39*((BH39+BI39)/2)))^2/(2*9.81)+B39-(G38+H38^2/(2*9.81))-(A38-A39)*(((DATOS!$B$34*(C39/(D39*((BH39+BI39)/2)))/((D39*((BH39+BI39)/2))/(D39+2*((BH39+BI39)/2)))^(2/3))^2+((DATOS!$B$34*H38/((D38*F38)/(D38+2*F38))^(2/3))^2))/2))&gt;0,((BH39+BI39)/2),BI39)</f>
        <v/>
      </c>
      <c r="BL39" s="5">
        <f>IF((((BJ39+BK39)/2)+(C39/(D39*((BJ39+BK39)/2)))^2/(2*9.81)+B39-(G38+H38^2/(2*9.81))-(A38-A39)*(((DATOS!$B$34*(C39/(D39*((BJ39+BK39)/2)))/((D39*((BJ39+BK39)/2))/(D39+2*((BJ39+BK39)/2)))^(2/3))^2+((DATOS!$B$34*H38/((D38*F38)/(D38+2*F38))^(2/3))^2))/2))&gt;0,BJ39,((BJ39+BK39)/2))</f>
        <v/>
      </c>
      <c r="BM39" s="5">
        <f>IF((((BJ39+BK39)/2)+(C39/(D39*((BJ39+BK39)/2)))^2/(2*9.81)+B39-(G38+H38^2/(2*9.81))-(A38-A39)*(((DATOS!$B$34*(C39/(D39*((BJ39+BK39)/2)))/((D39*((BJ39+BK39)/2))/(D39+2*((BJ39+BK39)/2)))^(2/3))^2+((DATOS!$B$34*H38/((D38*F38)/(D38+2*F38))^(2/3))^2))/2))&gt;0,((BJ39+BK39)/2),BK39)</f>
        <v/>
      </c>
      <c r="BN39" s="5">
        <f>IF((((BL39+BM39)/2)+(C39/(D39*((BL39+BM39)/2)))^2/(2*9.81)+B39-(G38+H38^2/(2*9.81))-(A38-A39)*(((DATOS!$B$34*(C39/(D39*((BL39+BM39)/2)))/((D39*((BL39+BM39)/2))/(D39+2*((BL39+BM39)/2)))^(2/3))^2+((DATOS!$B$34*H38/((D38*F38)/(D38+2*F38))^(2/3))^2))/2))&gt;0,BL39,((BL39+BM39)/2))</f>
        <v/>
      </c>
      <c r="BO39" s="5">
        <f>IF((((BL39+BM39)/2)+(C39/(D39*((BL39+BM39)/2)))^2/(2*9.81)+B39-(G38+H38^2/(2*9.81))-(A38-A39)*(((DATOS!$B$34*(C39/(D39*((BL39+BM39)/2)))/((D39*((BL39+BM39)/2))/(D39+2*((BL39+BM39)/2)))^(2/3))^2+((DATOS!$B$34*H38/((D38*F38)/(D38+2*F38))^(2/3))^2))/2))&gt;0,((BL39+BM39)/2),BM39)</f>
        <v/>
      </c>
      <c r="BP39" s="5">
        <f>IF((((BN39+BO39)/2)+(C39/(D39*((BN39+BO39)/2)))^2/(2*9.81)+B39-(G38+H38^2/(2*9.81))-(A38-A39)*(((DATOS!$B$34*(C39/(D39*((BN39+BO39)/2)))/((D39*((BN39+BO39)/2))/(D39+2*((BN39+BO39)/2)))^(2/3))^2+((DATOS!$B$34*H38/((D38*F38)/(D38+2*F38))^(2/3))^2))/2))&gt;0,BN39,((BN39+BO39)/2))</f>
        <v/>
      </c>
      <c r="BQ39" s="5">
        <f>IF((((BN39+BO39)/2)+(C39/(D39*((BN39+BO39)/2)))^2/(2*9.81)+B39-(G38+H38^2/(2*9.81))-(A38-A39)*(((DATOS!$B$34*(C39/(D39*((BN39+BO39)/2)))/((D39*((BN39+BO39)/2))/(D39+2*((BN39+BO39)/2)))^(2/3))^2+((DATOS!$B$34*H38/((D38*F38)/(D38+2*F38))^(2/3))^2))/2))&gt;0,((BN39+BO39)/2),BO39)</f>
        <v/>
      </c>
      <c r="BR39" s="5">
        <f>IF((((BP39+BQ39)/2)+(C39/(D39*((BP39+BQ39)/2)))^2/(2*9.81)+B39-(G38+H38^2/(2*9.81))-(A38-A39)*(((DATOS!$B$34*(C39/(D39*((BP39+BQ39)/2)))/((D39*((BP39+BQ39)/2))/(D39+2*((BP39+BQ39)/2)))^(2/3))^2+((DATOS!$B$34*H38/((D38*F38)/(D38+2*F38))^(2/3))^2))/2))&gt;0,BP39,((BP39+BQ39)/2))</f>
        <v/>
      </c>
      <c r="BS39" s="5">
        <f>IF((((BP39+BQ39)/2)+(C39/(D39*((BP39+BQ39)/2)))^2/(2*9.81)+B39-(G38+H38^2/(2*9.81))-(A38-A39)*(((DATOS!$B$34*(C39/(D39*((BP39+BQ39)/2)))/((D39*((BP39+BQ39)/2))/(D39+2*((BP39+BQ39)/2)))^(2/3))^2+((DATOS!$B$34*H38/((D38*F38)/(D38+2*F38))^(2/3))^2))/2))&gt;0,((BP39+BQ39)/2),BQ39)</f>
        <v/>
      </c>
      <c r="BT39" s="5">
        <f>IF((((BR39+BS39)/2)+(C39/(D39*((BR39+BS39)/2)))^2/(2*9.81)+B39-(G38+H38^2/(2*9.81))-(A38-A39)*(((DATOS!$B$34*(C39/(D39*((BR39+BS39)/2)))/((D39*((BR39+BS39)/2))/(D39+2*((BR39+BS39)/2)))^(2/3))^2+((DATOS!$B$34*H38/((D38*F38)/(D38+2*F38))^(2/3))^2))/2))&gt;0,BR39,((BR39+BS39)/2))</f>
        <v/>
      </c>
      <c r="BU39" s="5">
        <f>IF((((BR39+BS39)/2)+(C39/(D39*((BR39+BS39)/2)))^2/(2*9.81)+B39-(G38+H38^2/(2*9.81))-(A38-A39)*(((DATOS!$B$34*(C39/(D39*((BR39+BS39)/2)))/((D39*((BR39+BS39)/2))/(D39+2*((BR39+BS39)/2)))^(2/3))^2+((DATOS!$B$34*H38/((D38*F38)/(D38+2*F38))^(2/3))^2))/2))&gt;0,((BR39+BS39)/2),BS39)</f>
        <v/>
      </c>
      <c r="BV39" s="5">
        <f>IF((((BT39+BU39)/2)+(C39/(D39*((BT39+BU39)/2)))^2/(2*9.81)+B39-(G38+H38^2/(2*9.81))-(A38-A39)*(((DATOS!$B$34*(C39/(D39*((BT39+BU39)/2)))/((D39*((BT39+BU39)/2))/(D39+2*((BT39+BU39)/2)))^(2/3))^2+((DATOS!$B$34*H38/((D38*F38)/(D38+2*F38))^(2/3))^2))/2))&gt;0,BT39,((BT39+BU39)/2))</f>
        <v/>
      </c>
      <c r="BW39" s="5">
        <f>IF((((BT39+BU39)/2)+(C39/(D39*((BT39+BU39)/2)))^2/(2*9.81)+B39-(G38+H38^2/(2*9.81))-(A38-A39)*(((DATOS!$B$34*(C39/(D39*((BT39+BU39)/2)))/((D39*((BT39+BU39)/2))/(D39+2*((BT39+BU39)/2)))^(2/3))^2+((DATOS!$B$34*H38/((D38*F38)/(D38+2*F38))^(2/3))^2))/2))&gt;0,((BT39+BU39)/2),BU39)</f>
        <v/>
      </c>
    </row>
    <row r="40">
      <c r="A40" s="13" t="n">
        <v>42.68</v>
      </c>
      <c r="B40" s="16">
        <f>DATOS!$B$22-DATOS!$B$23*A40</f>
        <v/>
      </c>
      <c r="C40" s="24">
        <f>CAUDALES!$B$13</f>
        <v/>
      </c>
      <c r="D40" s="17">
        <f>DATOS!$B$17</f>
        <v/>
      </c>
      <c r="E40" s="16">
        <f>(C40^2/(9.81*D40^2))^(1/3)</f>
        <v/>
      </c>
      <c r="F40" s="16">
        <f>(BV40+BW40)/2</f>
        <v/>
      </c>
      <c r="G40" s="16">
        <f>B40+F40</f>
        <v/>
      </c>
      <c r="H40" s="19">
        <f>C40/(D40*F40)</f>
        <v/>
      </c>
      <c r="I40" s="19">
        <f>H40/SQRT(9.81*F40)</f>
        <v/>
      </c>
      <c r="J40" s="16">
        <f>DATOS!$B$29-IF(AND(A40&gt;=DATOS!$B$30,A40&lt;DATOS!$B$31),DATOS!$B$21,DATOS!$B$20)</f>
        <v/>
      </c>
      <c r="K40" s="19">
        <f>J40-B40</f>
        <v/>
      </c>
      <c r="L40" s="19">
        <f>F40/K40</f>
        <v/>
      </c>
      <c r="M40" s="16">
        <f>J40-G40</f>
        <v/>
      </c>
      <c r="N40" s="5">
        <f>IF(AND(L40&lt;=DATOS!$B$36,M40&gt;=DATOS!$B$37,I40&lt;=1),"CUMPLE","NO CUMPLE")</f>
        <v/>
      </c>
      <c r="O40" s="5">
        <f>IF(AND(A40&gt;=DATOS!$B$30,A40&lt;DATOS!$B$31),"cruce de camiones",IF(AND(A40&gt;=DATOS!$B$32,A40&lt;DATOS!$B$33),"cruce de motos","tramo normal"))</f>
        <v/>
      </c>
      <c r="P40" s="5">
        <f>E40*1.001</f>
        <v/>
      </c>
      <c r="Q40" s="13" t="n">
        <v>3</v>
      </c>
      <c r="R40" s="5">
        <f>IF((((P40+Q40)/2)+(C40/(D40*((P40+Q40)/2)))^2/(2*9.81)+B40-(G39+H39^2/(2*9.81))-(A39-A40)*(((DATOS!$B$34*(C40/(D40*((P40+Q40)/2)))/((D40*((P40+Q40)/2))/(D40+2*((P40+Q40)/2)))^(2/3))^2+((DATOS!$B$34*H39/((D39*F39)/(D39+2*F39))^(2/3))^2))/2))&gt;0,P40,((P40+Q40)/2))</f>
        <v/>
      </c>
      <c r="S40" s="5">
        <f>IF((((P40+Q40)/2)+(C40/(D40*((P40+Q40)/2)))^2/(2*9.81)+B40-(G39+H39^2/(2*9.81))-(A39-A40)*(((DATOS!$B$34*(C40/(D40*((P40+Q40)/2)))/((D40*((P40+Q40)/2))/(D40+2*((P40+Q40)/2)))^(2/3))^2+((DATOS!$B$34*H39/((D39*F39)/(D39+2*F39))^(2/3))^2))/2))&gt;0,((P40+Q40)/2),Q40)</f>
        <v/>
      </c>
      <c r="T40" s="5">
        <f>IF((((R40+S40)/2)+(C40/(D40*((R40+S40)/2)))^2/(2*9.81)+B40-(G39+H39^2/(2*9.81))-(A39-A40)*(((DATOS!$B$34*(C40/(D40*((R40+S40)/2)))/((D40*((R40+S40)/2))/(D40+2*((R40+S40)/2)))^(2/3))^2+((DATOS!$B$34*H39/((D39*F39)/(D39+2*F39))^(2/3))^2))/2))&gt;0,R40,((R40+S40)/2))</f>
        <v/>
      </c>
      <c r="U40" s="5">
        <f>IF((((R40+S40)/2)+(C40/(D40*((R40+S40)/2)))^2/(2*9.81)+B40-(G39+H39^2/(2*9.81))-(A39-A40)*(((DATOS!$B$34*(C40/(D40*((R40+S40)/2)))/((D40*((R40+S40)/2))/(D40+2*((R40+S40)/2)))^(2/3))^2+((DATOS!$B$34*H39/((D39*F39)/(D39+2*F39))^(2/3))^2))/2))&gt;0,((R40+S40)/2),S40)</f>
        <v/>
      </c>
      <c r="V40" s="5">
        <f>IF((((T40+U40)/2)+(C40/(D40*((T40+U40)/2)))^2/(2*9.81)+B40-(G39+H39^2/(2*9.81))-(A39-A40)*(((DATOS!$B$34*(C40/(D40*((T40+U40)/2)))/((D40*((T40+U40)/2))/(D40+2*((T40+U40)/2)))^(2/3))^2+((DATOS!$B$34*H39/((D39*F39)/(D39+2*F39))^(2/3))^2))/2))&gt;0,T40,((T40+U40)/2))</f>
        <v/>
      </c>
      <c r="W40" s="5">
        <f>IF((((T40+U40)/2)+(C40/(D40*((T40+U40)/2)))^2/(2*9.81)+B40-(G39+H39^2/(2*9.81))-(A39-A40)*(((DATOS!$B$34*(C40/(D40*((T40+U40)/2)))/((D40*((T40+U40)/2))/(D40+2*((T40+U40)/2)))^(2/3))^2+((DATOS!$B$34*H39/((D39*F39)/(D39+2*F39))^(2/3))^2))/2))&gt;0,((T40+U40)/2),U40)</f>
        <v/>
      </c>
      <c r="X40" s="5">
        <f>IF((((V40+W40)/2)+(C40/(D40*((V40+W40)/2)))^2/(2*9.81)+B40-(G39+H39^2/(2*9.81))-(A39-A40)*(((DATOS!$B$34*(C40/(D40*((V40+W40)/2)))/((D40*((V40+W40)/2))/(D40+2*((V40+W40)/2)))^(2/3))^2+((DATOS!$B$34*H39/((D39*F39)/(D39+2*F39))^(2/3))^2))/2))&gt;0,V40,((V40+W40)/2))</f>
        <v/>
      </c>
      <c r="Y40" s="5">
        <f>IF((((V40+W40)/2)+(C40/(D40*((V40+W40)/2)))^2/(2*9.81)+B40-(G39+H39^2/(2*9.81))-(A39-A40)*(((DATOS!$B$34*(C40/(D40*((V40+W40)/2)))/((D40*((V40+W40)/2))/(D40+2*((V40+W40)/2)))^(2/3))^2+((DATOS!$B$34*H39/((D39*F39)/(D39+2*F39))^(2/3))^2))/2))&gt;0,((V40+W40)/2),W40)</f>
        <v/>
      </c>
      <c r="Z40" s="5">
        <f>IF((((X40+Y40)/2)+(C40/(D40*((X40+Y40)/2)))^2/(2*9.81)+B40-(G39+H39^2/(2*9.81))-(A39-A40)*(((DATOS!$B$34*(C40/(D40*((X40+Y40)/2)))/((D40*((X40+Y40)/2))/(D40+2*((X40+Y40)/2)))^(2/3))^2+((DATOS!$B$34*H39/((D39*F39)/(D39+2*F39))^(2/3))^2))/2))&gt;0,X40,((X40+Y40)/2))</f>
        <v/>
      </c>
      <c r="AA40" s="5">
        <f>IF((((X40+Y40)/2)+(C40/(D40*((X40+Y40)/2)))^2/(2*9.81)+B40-(G39+H39^2/(2*9.81))-(A39-A40)*(((DATOS!$B$34*(C40/(D40*((X40+Y40)/2)))/((D40*((X40+Y40)/2))/(D40+2*((X40+Y40)/2)))^(2/3))^2+((DATOS!$B$34*H39/((D39*F39)/(D39+2*F39))^(2/3))^2))/2))&gt;0,((X40+Y40)/2),Y40)</f>
        <v/>
      </c>
      <c r="AB40" s="5">
        <f>IF((((Z40+AA40)/2)+(C40/(D40*((Z40+AA40)/2)))^2/(2*9.81)+B40-(G39+H39^2/(2*9.81))-(A39-A40)*(((DATOS!$B$34*(C40/(D40*((Z40+AA40)/2)))/((D40*((Z40+AA40)/2))/(D40+2*((Z40+AA40)/2)))^(2/3))^2+((DATOS!$B$34*H39/((D39*F39)/(D39+2*F39))^(2/3))^2))/2))&gt;0,Z40,((Z40+AA40)/2))</f>
        <v/>
      </c>
      <c r="AC40" s="5">
        <f>IF((((Z40+AA40)/2)+(C40/(D40*((Z40+AA40)/2)))^2/(2*9.81)+B40-(G39+H39^2/(2*9.81))-(A39-A40)*(((DATOS!$B$34*(C40/(D40*((Z40+AA40)/2)))/((D40*((Z40+AA40)/2))/(D40+2*((Z40+AA40)/2)))^(2/3))^2+((DATOS!$B$34*H39/((D39*F39)/(D39+2*F39))^(2/3))^2))/2))&gt;0,((Z40+AA40)/2),AA40)</f>
        <v/>
      </c>
      <c r="AD40" s="5">
        <f>IF((((AB40+AC40)/2)+(C40/(D40*((AB40+AC40)/2)))^2/(2*9.81)+B40-(G39+H39^2/(2*9.81))-(A39-A40)*(((DATOS!$B$34*(C40/(D40*((AB40+AC40)/2)))/((D40*((AB40+AC40)/2))/(D40+2*((AB40+AC40)/2)))^(2/3))^2+((DATOS!$B$34*H39/((D39*F39)/(D39+2*F39))^(2/3))^2))/2))&gt;0,AB40,((AB40+AC40)/2))</f>
        <v/>
      </c>
      <c r="AE40" s="5">
        <f>IF((((AB40+AC40)/2)+(C40/(D40*((AB40+AC40)/2)))^2/(2*9.81)+B40-(G39+H39^2/(2*9.81))-(A39-A40)*(((DATOS!$B$34*(C40/(D40*((AB40+AC40)/2)))/((D40*((AB40+AC40)/2))/(D40+2*((AB40+AC40)/2)))^(2/3))^2+((DATOS!$B$34*H39/((D39*F39)/(D39+2*F39))^(2/3))^2))/2))&gt;0,((AB40+AC40)/2),AC40)</f>
        <v/>
      </c>
      <c r="AF40" s="5">
        <f>IF((((AD40+AE40)/2)+(C40/(D40*((AD40+AE40)/2)))^2/(2*9.81)+B40-(G39+H39^2/(2*9.81))-(A39-A40)*(((DATOS!$B$34*(C40/(D40*((AD40+AE40)/2)))/((D40*((AD40+AE40)/2))/(D40+2*((AD40+AE40)/2)))^(2/3))^2+((DATOS!$B$34*H39/((D39*F39)/(D39+2*F39))^(2/3))^2))/2))&gt;0,AD40,((AD40+AE40)/2))</f>
        <v/>
      </c>
      <c r="AG40" s="5">
        <f>IF((((AD40+AE40)/2)+(C40/(D40*((AD40+AE40)/2)))^2/(2*9.81)+B40-(G39+H39^2/(2*9.81))-(A39-A40)*(((DATOS!$B$34*(C40/(D40*((AD40+AE40)/2)))/((D40*((AD40+AE40)/2))/(D40+2*((AD40+AE40)/2)))^(2/3))^2+((DATOS!$B$34*H39/((D39*F39)/(D39+2*F39))^(2/3))^2))/2))&gt;0,((AD40+AE40)/2),AE40)</f>
        <v/>
      </c>
      <c r="AH40" s="5">
        <f>IF((((AF40+AG40)/2)+(C40/(D40*((AF40+AG40)/2)))^2/(2*9.81)+B40-(G39+H39^2/(2*9.81))-(A39-A40)*(((DATOS!$B$34*(C40/(D40*((AF40+AG40)/2)))/((D40*((AF40+AG40)/2))/(D40+2*((AF40+AG40)/2)))^(2/3))^2+((DATOS!$B$34*H39/((D39*F39)/(D39+2*F39))^(2/3))^2))/2))&gt;0,AF40,((AF40+AG40)/2))</f>
        <v/>
      </c>
      <c r="AI40" s="5">
        <f>IF((((AF40+AG40)/2)+(C40/(D40*((AF40+AG40)/2)))^2/(2*9.81)+B40-(G39+H39^2/(2*9.81))-(A39-A40)*(((DATOS!$B$34*(C40/(D40*((AF40+AG40)/2)))/((D40*((AF40+AG40)/2))/(D40+2*((AF40+AG40)/2)))^(2/3))^2+((DATOS!$B$34*H39/((D39*F39)/(D39+2*F39))^(2/3))^2))/2))&gt;0,((AF40+AG40)/2),AG40)</f>
        <v/>
      </c>
      <c r="AJ40" s="5">
        <f>IF((((AH40+AI40)/2)+(C40/(D40*((AH40+AI40)/2)))^2/(2*9.81)+B40-(G39+H39^2/(2*9.81))-(A39-A40)*(((DATOS!$B$34*(C40/(D40*((AH40+AI40)/2)))/((D40*((AH40+AI40)/2))/(D40+2*((AH40+AI40)/2)))^(2/3))^2+((DATOS!$B$34*H39/((D39*F39)/(D39+2*F39))^(2/3))^2))/2))&gt;0,AH40,((AH40+AI40)/2))</f>
        <v/>
      </c>
      <c r="AK40" s="5">
        <f>IF((((AH40+AI40)/2)+(C40/(D40*((AH40+AI40)/2)))^2/(2*9.81)+B40-(G39+H39^2/(2*9.81))-(A39-A40)*(((DATOS!$B$34*(C40/(D40*((AH40+AI40)/2)))/((D40*((AH40+AI40)/2))/(D40+2*((AH40+AI40)/2)))^(2/3))^2+((DATOS!$B$34*H39/((D39*F39)/(D39+2*F39))^(2/3))^2))/2))&gt;0,((AH40+AI40)/2),AI40)</f>
        <v/>
      </c>
      <c r="AL40" s="5">
        <f>IF((((AJ40+AK40)/2)+(C40/(D40*((AJ40+AK40)/2)))^2/(2*9.81)+B40-(G39+H39^2/(2*9.81))-(A39-A40)*(((DATOS!$B$34*(C40/(D40*((AJ40+AK40)/2)))/((D40*((AJ40+AK40)/2))/(D40+2*((AJ40+AK40)/2)))^(2/3))^2+((DATOS!$B$34*H39/((D39*F39)/(D39+2*F39))^(2/3))^2))/2))&gt;0,AJ40,((AJ40+AK40)/2))</f>
        <v/>
      </c>
      <c r="AM40" s="5">
        <f>IF((((AJ40+AK40)/2)+(C40/(D40*((AJ40+AK40)/2)))^2/(2*9.81)+B40-(G39+H39^2/(2*9.81))-(A39-A40)*(((DATOS!$B$34*(C40/(D40*((AJ40+AK40)/2)))/((D40*((AJ40+AK40)/2))/(D40+2*((AJ40+AK40)/2)))^(2/3))^2+((DATOS!$B$34*H39/((D39*F39)/(D39+2*F39))^(2/3))^2))/2))&gt;0,((AJ40+AK40)/2),AK40)</f>
        <v/>
      </c>
      <c r="AN40" s="5">
        <f>IF((((AL40+AM40)/2)+(C40/(D40*((AL40+AM40)/2)))^2/(2*9.81)+B40-(G39+H39^2/(2*9.81))-(A39-A40)*(((DATOS!$B$34*(C40/(D40*((AL40+AM40)/2)))/((D40*((AL40+AM40)/2))/(D40+2*((AL40+AM40)/2)))^(2/3))^2+((DATOS!$B$34*H39/((D39*F39)/(D39+2*F39))^(2/3))^2))/2))&gt;0,AL40,((AL40+AM40)/2))</f>
        <v/>
      </c>
      <c r="AO40" s="5">
        <f>IF((((AL40+AM40)/2)+(C40/(D40*((AL40+AM40)/2)))^2/(2*9.81)+B40-(G39+H39^2/(2*9.81))-(A39-A40)*(((DATOS!$B$34*(C40/(D40*((AL40+AM40)/2)))/((D40*((AL40+AM40)/2))/(D40+2*((AL40+AM40)/2)))^(2/3))^2+((DATOS!$B$34*H39/((D39*F39)/(D39+2*F39))^(2/3))^2))/2))&gt;0,((AL40+AM40)/2),AM40)</f>
        <v/>
      </c>
      <c r="AP40" s="5">
        <f>IF((((AN40+AO40)/2)+(C40/(D40*((AN40+AO40)/2)))^2/(2*9.81)+B40-(G39+H39^2/(2*9.81))-(A39-A40)*(((DATOS!$B$34*(C40/(D40*((AN40+AO40)/2)))/((D40*((AN40+AO40)/2))/(D40+2*((AN40+AO40)/2)))^(2/3))^2+((DATOS!$B$34*H39/((D39*F39)/(D39+2*F39))^(2/3))^2))/2))&gt;0,AN40,((AN40+AO40)/2))</f>
        <v/>
      </c>
      <c r="AQ40" s="5">
        <f>IF((((AN40+AO40)/2)+(C40/(D40*((AN40+AO40)/2)))^2/(2*9.81)+B40-(G39+H39^2/(2*9.81))-(A39-A40)*(((DATOS!$B$34*(C40/(D40*((AN40+AO40)/2)))/((D40*((AN40+AO40)/2))/(D40+2*((AN40+AO40)/2)))^(2/3))^2+((DATOS!$B$34*H39/((D39*F39)/(D39+2*F39))^(2/3))^2))/2))&gt;0,((AN40+AO40)/2),AO40)</f>
        <v/>
      </c>
      <c r="AR40" s="5">
        <f>IF((((AP40+AQ40)/2)+(C40/(D40*((AP40+AQ40)/2)))^2/(2*9.81)+B40-(G39+H39^2/(2*9.81))-(A39-A40)*(((DATOS!$B$34*(C40/(D40*((AP40+AQ40)/2)))/((D40*((AP40+AQ40)/2))/(D40+2*((AP40+AQ40)/2)))^(2/3))^2+((DATOS!$B$34*H39/((D39*F39)/(D39+2*F39))^(2/3))^2))/2))&gt;0,AP40,((AP40+AQ40)/2))</f>
        <v/>
      </c>
      <c r="AS40" s="5">
        <f>IF((((AP40+AQ40)/2)+(C40/(D40*((AP40+AQ40)/2)))^2/(2*9.81)+B40-(G39+H39^2/(2*9.81))-(A39-A40)*(((DATOS!$B$34*(C40/(D40*((AP40+AQ40)/2)))/((D40*((AP40+AQ40)/2))/(D40+2*((AP40+AQ40)/2)))^(2/3))^2+((DATOS!$B$34*H39/((D39*F39)/(D39+2*F39))^(2/3))^2))/2))&gt;0,((AP40+AQ40)/2),AQ40)</f>
        <v/>
      </c>
      <c r="AT40" s="5">
        <f>IF((((AR40+AS40)/2)+(C40/(D40*((AR40+AS40)/2)))^2/(2*9.81)+B40-(G39+H39^2/(2*9.81))-(A39-A40)*(((DATOS!$B$34*(C40/(D40*((AR40+AS40)/2)))/((D40*((AR40+AS40)/2))/(D40+2*((AR40+AS40)/2)))^(2/3))^2+((DATOS!$B$34*H39/((D39*F39)/(D39+2*F39))^(2/3))^2))/2))&gt;0,AR40,((AR40+AS40)/2))</f>
        <v/>
      </c>
      <c r="AU40" s="5">
        <f>IF((((AR40+AS40)/2)+(C40/(D40*((AR40+AS40)/2)))^2/(2*9.81)+B40-(G39+H39^2/(2*9.81))-(A39-A40)*(((DATOS!$B$34*(C40/(D40*((AR40+AS40)/2)))/((D40*((AR40+AS40)/2))/(D40+2*((AR40+AS40)/2)))^(2/3))^2+((DATOS!$B$34*H39/((D39*F39)/(D39+2*F39))^(2/3))^2))/2))&gt;0,((AR40+AS40)/2),AS40)</f>
        <v/>
      </c>
      <c r="AV40" s="5">
        <f>IF((((AT40+AU40)/2)+(C40/(D40*((AT40+AU40)/2)))^2/(2*9.81)+B40-(G39+H39^2/(2*9.81))-(A39-A40)*(((DATOS!$B$34*(C40/(D40*((AT40+AU40)/2)))/((D40*((AT40+AU40)/2))/(D40+2*((AT40+AU40)/2)))^(2/3))^2+((DATOS!$B$34*H39/((D39*F39)/(D39+2*F39))^(2/3))^2))/2))&gt;0,AT40,((AT40+AU40)/2))</f>
        <v/>
      </c>
      <c r="AW40" s="5">
        <f>IF((((AT40+AU40)/2)+(C40/(D40*((AT40+AU40)/2)))^2/(2*9.81)+B40-(G39+H39^2/(2*9.81))-(A39-A40)*(((DATOS!$B$34*(C40/(D40*((AT40+AU40)/2)))/((D40*((AT40+AU40)/2))/(D40+2*((AT40+AU40)/2)))^(2/3))^2+((DATOS!$B$34*H39/((D39*F39)/(D39+2*F39))^(2/3))^2))/2))&gt;0,((AT40+AU40)/2),AU40)</f>
        <v/>
      </c>
      <c r="AX40" s="5">
        <f>IF((((AV40+AW40)/2)+(C40/(D40*((AV40+AW40)/2)))^2/(2*9.81)+B40-(G39+H39^2/(2*9.81))-(A39-A40)*(((DATOS!$B$34*(C40/(D40*((AV40+AW40)/2)))/((D40*((AV40+AW40)/2))/(D40+2*((AV40+AW40)/2)))^(2/3))^2+((DATOS!$B$34*H39/((D39*F39)/(D39+2*F39))^(2/3))^2))/2))&gt;0,AV40,((AV40+AW40)/2))</f>
        <v/>
      </c>
      <c r="AY40" s="5">
        <f>IF((((AV40+AW40)/2)+(C40/(D40*((AV40+AW40)/2)))^2/(2*9.81)+B40-(G39+H39^2/(2*9.81))-(A39-A40)*(((DATOS!$B$34*(C40/(D40*((AV40+AW40)/2)))/((D40*((AV40+AW40)/2))/(D40+2*((AV40+AW40)/2)))^(2/3))^2+((DATOS!$B$34*H39/((D39*F39)/(D39+2*F39))^(2/3))^2))/2))&gt;0,((AV40+AW40)/2),AW40)</f>
        <v/>
      </c>
      <c r="AZ40" s="5">
        <f>IF((((AX40+AY40)/2)+(C40/(D40*((AX40+AY40)/2)))^2/(2*9.81)+B40-(G39+H39^2/(2*9.81))-(A39-A40)*(((DATOS!$B$34*(C40/(D40*((AX40+AY40)/2)))/((D40*((AX40+AY40)/2))/(D40+2*((AX40+AY40)/2)))^(2/3))^2+((DATOS!$B$34*H39/((D39*F39)/(D39+2*F39))^(2/3))^2))/2))&gt;0,AX40,((AX40+AY40)/2))</f>
        <v/>
      </c>
      <c r="BA40" s="5">
        <f>IF((((AX40+AY40)/2)+(C40/(D40*((AX40+AY40)/2)))^2/(2*9.81)+B40-(G39+H39^2/(2*9.81))-(A39-A40)*(((DATOS!$B$34*(C40/(D40*((AX40+AY40)/2)))/((D40*((AX40+AY40)/2))/(D40+2*((AX40+AY40)/2)))^(2/3))^2+((DATOS!$B$34*H39/((D39*F39)/(D39+2*F39))^(2/3))^2))/2))&gt;0,((AX40+AY40)/2),AY40)</f>
        <v/>
      </c>
      <c r="BB40" s="5">
        <f>IF((((AZ40+BA40)/2)+(C40/(D40*((AZ40+BA40)/2)))^2/(2*9.81)+B40-(G39+H39^2/(2*9.81))-(A39-A40)*(((DATOS!$B$34*(C40/(D40*((AZ40+BA40)/2)))/((D40*((AZ40+BA40)/2))/(D40+2*((AZ40+BA40)/2)))^(2/3))^2+((DATOS!$B$34*H39/((D39*F39)/(D39+2*F39))^(2/3))^2))/2))&gt;0,AZ40,((AZ40+BA40)/2))</f>
        <v/>
      </c>
      <c r="BC40" s="5">
        <f>IF((((AZ40+BA40)/2)+(C40/(D40*((AZ40+BA40)/2)))^2/(2*9.81)+B40-(G39+H39^2/(2*9.81))-(A39-A40)*(((DATOS!$B$34*(C40/(D40*((AZ40+BA40)/2)))/((D40*((AZ40+BA40)/2))/(D40+2*((AZ40+BA40)/2)))^(2/3))^2+((DATOS!$B$34*H39/((D39*F39)/(D39+2*F39))^(2/3))^2))/2))&gt;0,((AZ40+BA40)/2),BA40)</f>
        <v/>
      </c>
      <c r="BD40" s="5">
        <f>IF((((BB40+BC40)/2)+(C40/(D40*((BB40+BC40)/2)))^2/(2*9.81)+B40-(G39+H39^2/(2*9.81))-(A39-A40)*(((DATOS!$B$34*(C40/(D40*((BB40+BC40)/2)))/((D40*((BB40+BC40)/2))/(D40+2*((BB40+BC40)/2)))^(2/3))^2+((DATOS!$B$34*H39/((D39*F39)/(D39+2*F39))^(2/3))^2))/2))&gt;0,BB40,((BB40+BC40)/2))</f>
        <v/>
      </c>
      <c r="BE40" s="5">
        <f>IF((((BB40+BC40)/2)+(C40/(D40*((BB40+BC40)/2)))^2/(2*9.81)+B40-(G39+H39^2/(2*9.81))-(A39-A40)*(((DATOS!$B$34*(C40/(D40*((BB40+BC40)/2)))/((D40*((BB40+BC40)/2))/(D40+2*((BB40+BC40)/2)))^(2/3))^2+((DATOS!$B$34*H39/((D39*F39)/(D39+2*F39))^(2/3))^2))/2))&gt;0,((BB40+BC40)/2),BC40)</f>
        <v/>
      </c>
      <c r="BF40" s="5">
        <f>IF((((BD40+BE40)/2)+(C40/(D40*((BD40+BE40)/2)))^2/(2*9.81)+B40-(G39+H39^2/(2*9.81))-(A39-A40)*(((DATOS!$B$34*(C40/(D40*((BD40+BE40)/2)))/((D40*((BD40+BE40)/2))/(D40+2*((BD40+BE40)/2)))^(2/3))^2+((DATOS!$B$34*H39/((D39*F39)/(D39+2*F39))^(2/3))^2))/2))&gt;0,BD40,((BD40+BE40)/2))</f>
        <v/>
      </c>
      <c r="BG40" s="5">
        <f>IF((((BD40+BE40)/2)+(C40/(D40*((BD40+BE40)/2)))^2/(2*9.81)+B40-(G39+H39^2/(2*9.81))-(A39-A40)*(((DATOS!$B$34*(C40/(D40*((BD40+BE40)/2)))/((D40*((BD40+BE40)/2))/(D40+2*((BD40+BE40)/2)))^(2/3))^2+((DATOS!$B$34*H39/((D39*F39)/(D39+2*F39))^(2/3))^2))/2))&gt;0,((BD40+BE40)/2),BE40)</f>
        <v/>
      </c>
      <c r="BH40" s="5">
        <f>IF((((BF40+BG40)/2)+(C40/(D40*((BF40+BG40)/2)))^2/(2*9.81)+B40-(G39+H39^2/(2*9.81))-(A39-A40)*(((DATOS!$B$34*(C40/(D40*((BF40+BG40)/2)))/((D40*((BF40+BG40)/2))/(D40+2*((BF40+BG40)/2)))^(2/3))^2+((DATOS!$B$34*H39/((D39*F39)/(D39+2*F39))^(2/3))^2))/2))&gt;0,BF40,((BF40+BG40)/2))</f>
        <v/>
      </c>
      <c r="BI40" s="5">
        <f>IF((((BF40+BG40)/2)+(C40/(D40*((BF40+BG40)/2)))^2/(2*9.81)+B40-(G39+H39^2/(2*9.81))-(A39-A40)*(((DATOS!$B$34*(C40/(D40*((BF40+BG40)/2)))/((D40*((BF40+BG40)/2))/(D40+2*((BF40+BG40)/2)))^(2/3))^2+((DATOS!$B$34*H39/((D39*F39)/(D39+2*F39))^(2/3))^2))/2))&gt;0,((BF40+BG40)/2),BG40)</f>
        <v/>
      </c>
      <c r="BJ40" s="5">
        <f>IF((((BH40+BI40)/2)+(C40/(D40*((BH40+BI40)/2)))^2/(2*9.81)+B40-(G39+H39^2/(2*9.81))-(A39-A40)*(((DATOS!$B$34*(C40/(D40*((BH40+BI40)/2)))/((D40*((BH40+BI40)/2))/(D40+2*((BH40+BI40)/2)))^(2/3))^2+((DATOS!$B$34*H39/((D39*F39)/(D39+2*F39))^(2/3))^2))/2))&gt;0,BH40,((BH40+BI40)/2))</f>
        <v/>
      </c>
      <c r="BK40" s="5">
        <f>IF((((BH40+BI40)/2)+(C40/(D40*((BH40+BI40)/2)))^2/(2*9.81)+B40-(G39+H39^2/(2*9.81))-(A39-A40)*(((DATOS!$B$34*(C40/(D40*((BH40+BI40)/2)))/((D40*((BH40+BI40)/2))/(D40+2*((BH40+BI40)/2)))^(2/3))^2+((DATOS!$B$34*H39/((D39*F39)/(D39+2*F39))^(2/3))^2))/2))&gt;0,((BH40+BI40)/2),BI40)</f>
        <v/>
      </c>
      <c r="BL40" s="5">
        <f>IF((((BJ40+BK40)/2)+(C40/(D40*((BJ40+BK40)/2)))^2/(2*9.81)+B40-(G39+H39^2/(2*9.81))-(A39-A40)*(((DATOS!$B$34*(C40/(D40*((BJ40+BK40)/2)))/((D40*((BJ40+BK40)/2))/(D40+2*((BJ40+BK40)/2)))^(2/3))^2+((DATOS!$B$34*H39/((D39*F39)/(D39+2*F39))^(2/3))^2))/2))&gt;0,BJ40,((BJ40+BK40)/2))</f>
        <v/>
      </c>
      <c r="BM40" s="5">
        <f>IF((((BJ40+BK40)/2)+(C40/(D40*((BJ40+BK40)/2)))^2/(2*9.81)+B40-(G39+H39^2/(2*9.81))-(A39-A40)*(((DATOS!$B$34*(C40/(D40*((BJ40+BK40)/2)))/((D40*((BJ40+BK40)/2))/(D40+2*((BJ40+BK40)/2)))^(2/3))^2+((DATOS!$B$34*H39/((D39*F39)/(D39+2*F39))^(2/3))^2))/2))&gt;0,((BJ40+BK40)/2),BK40)</f>
        <v/>
      </c>
      <c r="BN40" s="5">
        <f>IF((((BL40+BM40)/2)+(C40/(D40*((BL40+BM40)/2)))^2/(2*9.81)+B40-(G39+H39^2/(2*9.81))-(A39-A40)*(((DATOS!$B$34*(C40/(D40*((BL40+BM40)/2)))/((D40*((BL40+BM40)/2))/(D40+2*((BL40+BM40)/2)))^(2/3))^2+((DATOS!$B$34*H39/((D39*F39)/(D39+2*F39))^(2/3))^2))/2))&gt;0,BL40,((BL40+BM40)/2))</f>
        <v/>
      </c>
      <c r="BO40" s="5">
        <f>IF((((BL40+BM40)/2)+(C40/(D40*((BL40+BM40)/2)))^2/(2*9.81)+B40-(G39+H39^2/(2*9.81))-(A39-A40)*(((DATOS!$B$34*(C40/(D40*((BL40+BM40)/2)))/((D40*((BL40+BM40)/2))/(D40+2*((BL40+BM40)/2)))^(2/3))^2+((DATOS!$B$34*H39/((D39*F39)/(D39+2*F39))^(2/3))^2))/2))&gt;0,((BL40+BM40)/2),BM40)</f>
        <v/>
      </c>
      <c r="BP40" s="5">
        <f>IF((((BN40+BO40)/2)+(C40/(D40*((BN40+BO40)/2)))^2/(2*9.81)+B40-(G39+H39^2/(2*9.81))-(A39-A40)*(((DATOS!$B$34*(C40/(D40*((BN40+BO40)/2)))/((D40*((BN40+BO40)/2))/(D40+2*((BN40+BO40)/2)))^(2/3))^2+((DATOS!$B$34*H39/((D39*F39)/(D39+2*F39))^(2/3))^2))/2))&gt;0,BN40,((BN40+BO40)/2))</f>
        <v/>
      </c>
      <c r="BQ40" s="5">
        <f>IF((((BN40+BO40)/2)+(C40/(D40*((BN40+BO40)/2)))^2/(2*9.81)+B40-(G39+H39^2/(2*9.81))-(A39-A40)*(((DATOS!$B$34*(C40/(D40*((BN40+BO40)/2)))/((D40*((BN40+BO40)/2))/(D40+2*((BN40+BO40)/2)))^(2/3))^2+((DATOS!$B$34*H39/((D39*F39)/(D39+2*F39))^(2/3))^2))/2))&gt;0,((BN40+BO40)/2),BO40)</f>
        <v/>
      </c>
      <c r="BR40" s="5">
        <f>IF((((BP40+BQ40)/2)+(C40/(D40*((BP40+BQ40)/2)))^2/(2*9.81)+B40-(G39+H39^2/(2*9.81))-(A39-A40)*(((DATOS!$B$34*(C40/(D40*((BP40+BQ40)/2)))/((D40*((BP40+BQ40)/2))/(D40+2*((BP40+BQ40)/2)))^(2/3))^2+((DATOS!$B$34*H39/((D39*F39)/(D39+2*F39))^(2/3))^2))/2))&gt;0,BP40,((BP40+BQ40)/2))</f>
        <v/>
      </c>
      <c r="BS40" s="5">
        <f>IF((((BP40+BQ40)/2)+(C40/(D40*((BP40+BQ40)/2)))^2/(2*9.81)+B40-(G39+H39^2/(2*9.81))-(A39-A40)*(((DATOS!$B$34*(C40/(D40*((BP40+BQ40)/2)))/((D40*((BP40+BQ40)/2))/(D40+2*((BP40+BQ40)/2)))^(2/3))^2+((DATOS!$B$34*H39/((D39*F39)/(D39+2*F39))^(2/3))^2))/2))&gt;0,((BP40+BQ40)/2),BQ40)</f>
        <v/>
      </c>
      <c r="BT40" s="5">
        <f>IF((((BR40+BS40)/2)+(C40/(D40*((BR40+BS40)/2)))^2/(2*9.81)+B40-(G39+H39^2/(2*9.81))-(A39-A40)*(((DATOS!$B$34*(C40/(D40*((BR40+BS40)/2)))/((D40*((BR40+BS40)/2))/(D40+2*((BR40+BS40)/2)))^(2/3))^2+((DATOS!$B$34*H39/((D39*F39)/(D39+2*F39))^(2/3))^2))/2))&gt;0,BR40,((BR40+BS40)/2))</f>
        <v/>
      </c>
      <c r="BU40" s="5">
        <f>IF((((BR40+BS40)/2)+(C40/(D40*((BR40+BS40)/2)))^2/(2*9.81)+B40-(G39+H39^2/(2*9.81))-(A39-A40)*(((DATOS!$B$34*(C40/(D40*((BR40+BS40)/2)))/((D40*((BR40+BS40)/2))/(D40+2*((BR40+BS40)/2)))^(2/3))^2+((DATOS!$B$34*H39/((D39*F39)/(D39+2*F39))^(2/3))^2))/2))&gt;0,((BR40+BS40)/2),BS40)</f>
        <v/>
      </c>
      <c r="BV40" s="5">
        <f>IF((((BT40+BU40)/2)+(C40/(D40*((BT40+BU40)/2)))^2/(2*9.81)+B40-(G39+H39^2/(2*9.81))-(A39-A40)*(((DATOS!$B$34*(C40/(D40*((BT40+BU40)/2)))/((D40*((BT40+BU40)/2))/(D40+2*((BT40+BU40)/2)))^(2/3))^2+((DATOS!$B$34*H39/((D39*F39)/(D39+2*F39))^(2/3))^2))/2))&gt;0,BT40,((BT40+BU40)/2))</f>
        <v/>
      </c>
      <c r="BW40" s="5">
        <f>IF((((BT40+BU40)/2)+(C40/(D40*((BT40+BU40)/2)))^2/(2*9.81)+B40-(G39+H39^2/(2*9.81))-(A39-A40)*(((DATOS!$B$34*(C40/(D40*((BT40+BU40)/2)))/((D40*((BT40+BU40)/2))/(D40+2*((BT40+BU40)/2)))^(2/3))^2+((DATOS!$B$34*H39/((D39*F39)/(D39+2*F39))^(2/3))^2))/2))&gt;0,((BT40+BU40)/2),BU40)</f>
        <v/>
      </c>
    </row>
    <row r="41">
      <c r="A41" s="13" t="n">
        <v>42</v>
      </c>
      <c r="B41" s="16">
        <f>DATOS!$B$22-DATOS!$B$23*A41</f>
        <v/>
      </c>
      <c r="C41" s="24">
        <f>CAUDALES!$B$13</f>
        <v/>
      </c>
      <c r="D41" s="17">
        <f>DATOS!$B$17</f>
        <v/>
      </c>
      <c r="E41" s="16">
        <f>(C41^2/(9.81*D41^2))^(1/3)</f>
        <v/>
      </c>
      <c r="F41" s="16">
        <f>(BV41+BW41)/2</f>
        <v/>
      </c>
      <c r="G41" s="16">
        <f>B41+F41</f>
        <v/>
      </c>
      <c r="H41" s="19">
        <f>C41/(D41*F41)</f>
        <v/>
      </c>
      <c r="I41" s="19">
        <f>H41/SQRT(9.81*F41)</f>
        <v/>
      </c>
      <c r="J41" s="16">
        <f>DATOS!$B$29-IF(AND(A41&gt;=DATOS!$B$30,A41&lt;DATOS!$B$31),DATOS!$B$21,DATOS!$B$20)</f>
        <v/>
      </c>
      <c r="K41" s="19">
        <f>J41-B41</f>
        <v/>
      </c>
      <c r="L41" s="19">
        <f>F41/K41</f>
        <v/>
      </c>
      <c r="M41" s="16">
        <f>J41-G41</f>
        <v/>
      </c>
      <c r="N41" s="5">
        <f>IF(AND(L41&lt;=DATOS!$B$36,M41&gt;=DATOS!$B$37,I41&lt;=1),"CUMPLE","NO CUMPLE")</f>
        <v/>
      </c>
      <c r="O41" s="5">
        <f>IF(AND(A41&gt;=DATOS!$B$30,A41&lt;DATOS!$B$31),"cruce de camiones",IF(AND(A41&gt;=DATOS!$B$32,A41&lt;DATOS!$B$33),"cruce de motos","tramo normal"))</f>
        <v/>
      </c>
      <c r="P41" s="5">
        <f>E41*1.001</f>
        <v/>
      </c>
      <c r="Q41" s="13" t="n">
        <v>3</v>
      </c>
      <c r="R41" s="5">
        <f>IF((((P41+Q41)/2)+(C41/(D41*((P41+Q41)/2)))^2/(2*9.81)+B41-(G40+H40^2/(2*9.81))-(A40-A41)*(((DATOS!$B$34*(C41/(D41*((P41+Q41)/2)))/((D41*((P41+Q41)/2))/(D41+2*((P41+Q41)/2)))^(2/3))^2+((DATOS!$B$34*H40/((D40*F40)/(D40+2*F40))^(2/3))^2))/2))&gt;0,P41,((P41+Q41)/2))</f>
        <v/>
      </c>
      <c r="S41" s="5">
        <f>IF((((P41+Q41)/2)+(C41/(D41*((P41+Q41)/2)))^2/(2*9.81)+B41-(G40+H40^2/(2*9.81))-(A40-A41)*(((DATOS!$B$34*(C41/(D41*((P41+Q41)/2)))/((D41*((P41+Q41)/2))/(D41+2*((P41+Q41)/2)))^(2/3))^2+((DATOS!$B$34*H40/((D40*F40)/(D40+2*F40))^(2/3))^2))/2))&gt;0,((P41+Q41)/2),Q41)</f>
        <v/>
      </c>
      <c r="T41" s="5">
        <f>IF((((R41+S41)/2)+(C41/(D41*((R41+S41)/2)))^2/(2*9.81)+B41-(G40+H40^2/(2*9.81))-(A40-A41)*(((DATOS!$B$34*(C41/(D41*((R41+S41)/2)))/((D41*((R41+S41)/2))/(D41+2*((R41+S41)/2)))^(2/3))^2+((DATOS!$B$34*H40/((D40*F40)/(D40+2*F40))^(2/3))^2))/2))&gt;0,R41,((R41+S41)/2))</f>
        <v/>
      </c>
      <c r="U41" s="5">
        <f>IF((((R41+S41)/2)+(C41/(D41*((R41+S41)/2)))^2/(2*9.81)+B41-(G40+H40^2/(2*9.81))-(A40-A41)*(((DATOS!$B$34*(C41/(D41*((R41+S41)/2)))/((D41*((R41+S41)/2))/(D41+2*((R41+S41)/2)))^(2/3))^2+((DATOS!$B$34*H40/((D40*F40)/(D40+2*F40))^(2/3))^2))/2))&gt;0,((R41+S41)/2),S41)</f>
        <v/>
      </c>
      <c r="V41" s="5">
        <f>IF((((T41+U41)/2)+(C41/(D41*((T41+U41)/2)))^2/(2*9.81)+B41-(G40+H40^2/(2*9.81))-(A40-A41)*(((DATOS!$B$34*(C41/(D41*((T41+U41)/2)))/((D41*((T41+U41)/2))/(D41+2*((T41+U41)/2)))^(2/3))^2+((DATOS!$B$34*H40/((D40*F40)/(D40+2*F40))^(2/3))^2))/2))&gt;0,T41,((T41+U41)/2))</f>
        <v/>
      </c>
      <c r="W41" s="5">
        <f>IF((((T41+U41)/2)+(C41/(D41*((T41+U41)/2)))^2/(2*9.81)+B41-(G40+H40^2/(2*9.81))-(A40-A41)*(((DATOS!$B$34*(C41/(D41*((T41+U41)/2)))/((D41*((T41+U41)/2))/(D41+2*((T41+U41)/2)))^(2/3))^2+((DATOS!$B$34*H40/((D40*F40)/(D40+2*F40))^(2/3))^2))/2))&gt;0,((T41+U41)/2),U41)</f>
        <v/>
      </c>
      <c r="X41" s="5">
        <f>IF((((V41+W41)/2)+(C41/(D41*((V41+W41)/2)))^2/(2*9.81)+B41-(G40+H40^2/(2*9.81))-(A40-A41)*(((DATOS!$B$34*(C41/(D41*((V41+W41)/2)))/((D41*((V41+W41)/2))/(D41+2*((V41+W41)/2)))^(2/3))^2+((DATOS!$B$34*H40/((D40*F40)/(D40+2*F40))^(2/3))^2))/2))&gt;0,V41,((V41+W41)/2))</f>
        <v/>
      </c>
      <c r="Y41" s="5">
        <f>IF((((V41+W41)/2)+(C41/(D41*((V41+W41)/2)))^2/(2*9.81)+B41-(G40+H40^2/(2*9.81))-(A40-A41)*(((DATOS!$B$34*(C41/(D41*((V41+W41)/2)))/((D41*((V41+W41)/2))/(D41+2*((V41+W41)/2)))^(2/3))^2+((DATOS!$B$34*H40/((D40*F40)/(D40+2*F40))^(2/3))^2))/2))&gt;0,((V41+W41)/2),W41)</f>
        <v/>
      </c>
      <c r="Z41" s="5">
        <f>IF((((X41+Y41)/2)+(C41/(D41*((X41+Y41)/2)))^2/(2*9.81)+B41-(G40+H40^2/(2*9.81))-(A40-A41)*(((DATOS!$B$34*(C41/(D41*((X41+Y41)/2)))/((D41*((X41+Y41)/2))/(D41+2*((X41+Y41)/2)))^(2/3))^2+((DATOS!$B$34*H40/((D40*F40)/(D40+2*F40))^(2/3))^2))/2))&gt;0,X41,((X41+Y41)/2))</f>
        <v/>
      </c>
      <c r="AA41" s="5">
        <f>IF((((X41+Y41)/2)+(C41/(D41*((X41+Y41)/2)))^2/(2*9.81)+B41-(G40+H40^2/(2*9.81))-(A40-A41)*(((DATOS!$B$34*(C41/(D41*((X41+Y41)/2)))/((D41*((X41+Y41)/2))/(D41+2*((X41+Y41)/2)))^(2/3))^2+((DATOS!$B$34*H40/((D40*F40)/(D40+2*F40))^(2/3))^2))/2))&gt;0,((X41+Y41)/2),Y41)</f>
        <v/>
      </c>
      <c r="AB41" s="5">
        <f>IF((((Z41+AA41)/2)+(C41/(D41*((Z41+AA41)/2)))^2/(2*9.81)+B41-(G40+H40^2/(2*9.81))-(A40-A41)*(((DATOS!$B$34*(C41/(D41*((Z41+AA41)/2)))/((D41*((Z41+AA41)/2))/(D41+2*((Z41+AA41)/2)))^(2/3))^2+((DATOS!$B$34*H40/((D40*F40)/(D40+2*F40))^(2/3))^2))/2))&gt;0,Z41,((Z41+AA41)/2))</f>
        <v/>
      </c>
      <c r="AC41" s="5">
        <f>IF((((Z41+AA41)/2)+(C41/(D41*((Z41+AA41)/2)))^2/(2*9.81)+B41-(G40+H40^2/(2*9.81))-(A40-A41)*(((DATOS!$B$34*(C41/(D41*((Z41+AA41)/2)))/((D41*((Z41+AA41)/2))/(D41+2*((Z41+AA41)/2)))^(2/3))^2+((DATOS!$B$34*H40/((D40*F40)/(D40+2*F40))^(2/3))^2))/2))&gt;0,((Z41+AA41)/2),AA41)</f>
        <v/>
      </c>
      <c r="AD41" s="5">
        <f>IF((((AB41+AC41)/2)+(C41/(D41*((AB41+AC41)/2)))^2/(2*9.81)+B41-(G40+H40^2/(2*9.81))-(A40-A41)*(((DATOS!$B$34*(C41/(D41*((AB41+AC41)/2)))/((D41*((AB41+AC41)/2))/(D41+2*((AB41+AC41)/2)))^(2/3))^2+((DATOS!$B$34*H40/((D40*F40)/(D40+2*F40))^(2/3))^2))/2))&gt;0,AB41,((AB41+AC41)/2))</f>
        <v/>
      </c>
      <c r="AE41" s="5">
        <f>IF((((AB41+AC41)/2)+(C41/(D41*((AB41+AC41)/2)))^2/(2*9.81)+B41-(G40+H40^2/(2*9.81))-(A40-A41)*(((DATOS!$B$34*(C41/(D41*((AB41+AC41)/2)))/((D41*((AB41+AC41)/2))/(D41+2*((AB41+AC41)/2)))^(2/3))^2+((DATOS!$B$34*H40/((D40*F40)/(D40+2*F40))^(2/3))^2))/2))&gt;0,((AB41+AC41)/2),AC41)</f>
        <v/>
      </c>
      <c r="AF41" s="5">
        <f>IF((((AD41+AE41)/2)+(C41/(D41*((AD41+AE41)/2)))^2/(2*9.81)+B41-(G40+H40^2/(2*9.81))-(A40-A41)*(((DATOS!$B$34*(C41/(D41*((AD41+AE41)/2)))/((D41*((AD41+AE41)/2))/(D41+2*((AD41+AE41)/2)))^(2/3))^2+((DATOS!$B$34*H40/((D40*F40)/(D40+2*F40))^(2/3))^2))/2))&gt;0,AD41,((AD41+AE41)/2))</f>
        <v/>
      </c>
      <c r="AG41" s="5">
        <f>IF((((AD41+AE41)/2)+(C41/(D41*((AD41+AE41)/2)))^2/(2*9.81)+B41-(G40+H40^2/(2*9.81))-(A40-A41)*(((DATOS!$B$34*(C41/(D41*((AD41+AE41)/2)))/((D41*((AD41+AE41)/2))/(D41+2*((AD41+AE41)/2)))^(2/3))^2+((DATOS!$B$34*H40/((D40*F40)/(D40+2*F40))^(2/3))^2))/2))&gt;0,((AD41+AE41)/2),AE41)</f>
        <v/>
      </c>
      <c r="AH41" s="5">
        <f>IF((((AF41+AG41)/2)+(C41/(D41*((AF41+AG41)/2)))^2/(2*9.81)+B41-(G40+H40^2/(2*9.81))-(A40-A41)*(((DATOS!$B$34*(C41/(D41*((AF41+AG41)/2)))/((D41*((AF41+AG41)/2))/(D41+2*((AF41+AG41)/2)))^(2/3))^2+((DATOS!$B$34*H40/((D40*F40)/(D40+2*F40))^(2/3))^2))/2))&gt;0,AF41,((AF41+AG41)/2))</f>
        <v/>
      </c>
      <c r="AI41" s="5">
        <f>IF((((AF41+AG41)/2)+(C41/(D41*((AF41+AG41)/2)))^2/(2*9.81)+B41-(G40+H40^2/(2*9.81))-(A40-A41)*(((DATOS!$B$34*(C41/(D41*((AF41+AG41)/2)))/((D41*((AF41+AG41)/2))/(D41+2*((AF41+AG41)/2)))^(2/3))^2+((DATOS!$B$34*H40/((D40*F40)/(D40+2*F40))^(2/3))^2))/2))&gt;0,((AF41+AG41)/2),AG41)</f>
        <v/>
      </c>
      <c r="AJ41" s="5">
        <f>IF((((AH41+AI41)/2)+(C41/(D41*((AH41+AI41)/2)))^2/(2*9.81)+B41-(G40+H40^2/(2*9.81))-(A40-A41)*(((DATOS!$B$34*(C41/(D41*((AH41+AI41)/2)))/((D41*((AH41+AI41)/2))/(D41+2*((AH41+AI41)/2)))^(2/3))^2+((DATOS!$B$34*H40/((D40*F40)/(D40+2*F40))^(2/3))^2))/2))&gt;0,AH41,((AH41+AI41)/2))</f>
        <v/>
      </c>
      <c r="AK41" s="5">
        <f>IF((((AH41+AI41)/2)+(C41/(D41*((AH41+AI41)/2)))^2/(2*9.81)+B41-(G40+H40^2/(2*9.81))-(A40-A41)*(((DATOS!$B$34*(C41/(D41*((AH41+AI41)/2)))/((D41*((AH41+AI41)/2))/(D41+2*((AH41+AI41)/2)))^(2/3))^2+((DATOS!$B$34*H40/((D40*F40)/(D40+2*F40))^(2/3))^2))/2))&gt;0,((AH41+AI41)/2),AI41)</f>
        <v/>
      </c>
      <c r="AL41" s="5">
        <f>IF((((AJ41+AK41)/2)+(C41/(D41*((AJ41+AK41)/2)))^2/(2*9.81)+B41-(G40+H40^2/(2*9.81))-(A40-A41)*(((DATOS!$B$34*(C41/(D41*((AJ41+AK41)/2)))/((D41*((AJ41+AK41)/2))/(D41+2*((AJ41+AK41)/2)))^(2/3))^2+((DATOS!$B$34*H40/((D40*F40)/(D40+2*F40))^(2/3))^2))/2))&gt;0,AJ41,((AJ41+AK41)/2))</f>
        <v/>
      </c>
      <c r="AM41" s="5">
        <f>IF((((AJ41+AK41)/2)+(C41/(D41*((AJ41+AK41)/2)))^2/(2*9.81)+B41-(G40+H40^2/(2*9.81))-(A40-A41)*(((DATOS!$B$34*(C41/(D41*((AJ41+AK41)/2)))/((D41*((AJ41+AK41)/2))/(D41+2*((AJ41+AK41)/2)))^(2/3))^2+((DATOS!$B$34*H40/((D40*F40)/(D40+2*F40))^(2/3))^2))/2))&gt;0,((AJ41+AK41)/2),AK41)</f>
        <v/>
      </c>
      <c r="AN41" s="5">
        <f>IF((((AL41+AM41)/2)+(C41/(D41*((AL41+AM41)/2)))^2/(2*9.81)+B41-(G40+H40^2/(2*9.81))-(A40-A41)*(((DATOS!$B$34*(C41/(D41*((AL41+AM41)/2)))/((D41*((AL41+AM41)/2))/(D41+2*((AL41+AM41)/2)))^(2/3))^2+((DATOS!$B$34*H40/((D40*F40)/(D40+2*F40))^(2/3))^2))/2))&gt;0,AL41,((AL41+AM41)/2))</f>
        <v/>
      </c>
      <c r="AO41" s="5">
        <f>IF((((AL41+AM41)/2)+(C41/(D41*((AL41+AM41)/2)))^2/(2*9.81)+B41-(G40+H40^2/(2*9.81))-(A40-A41)*(((DATOS!$B$34*(C41/(D41*((AL41+AM41)/2)))/((D41*((AL41+AM41)/2))/(D41+2*((AL41+AM41)/2)))^(2/3))^2+((DATOS!$B$34*H40/((D40*F40)/(D40+2*F40))^(2/3))^2))/2))&gt;0,((AL41+AM41)/2),AM41)</f>
        <v/>
      </c>
      <c r="AP41" s="5">
        <f>IF((((AN41+AO41)/2)+(C41/(D41*((AN41+AO41)/2)))^2/(2*9.81)+B41-(G40+H40^2/(2*9.81))-(A40-A41)*(((DATOS!$B$34*(C41/(D41*((AN41+AO41)/2)))/((D41*((AN41+AO41)/2))/(D41+2*((AN41+AO41)/2)))^(2/3))^2+((DATOS!$B$34*H40/((D40*F40)/(D40+2*F40))^(2/3))^2))/2))&gt;0,AN41,((AN41+AO41)/2))</f>
        <v/>
      </c>
      <c r="AQ41" s="5">
        <f>IF((((AN41+AO41)/2)+(C41/(D41*((AN41+AO41)/2)))^2/(2*9.81)+B41-(G40+H40^2/(2*9.81))-(A40-A41)*(((DATOS!$B$34*(C41/(D41*((AN41+AO41)/2)))/((D41*((AN41+AO41)/2))/(D41+2*((AN41+AO41)/2)))^(2/3))^2+((DATOS!$B$34*H40/((D40*F40)/(D40+2*F40))^(2/3))^2))/2))&gt;0,((AN41+AO41)/2),AO41)</f>
        <v/>
      </c>
      <c r="AR41" s="5">
        <f>IF((((AP41+AQ41)/2)+(C41/(D41*((AP41+AQ41)/2)))^2/(2*9.81)+B41-(G40+H40^2/(2*9.81))-(A40-A41)*(((DATOS!$B$34*(C41/(D41*((AP41+AQ41)/2)))/((D41*((AP41+AQ41)/2))/(D41+2*((AP41+AQ41)/2)))^(2/3))^2+((DATOS!$B$34*H40/((D40*F40)/(D40+2*F40))^(2/3))^2))/2))&gt;0,AP41,((AP41+AQ41)/2))</f>
        <v/>
      </c>
      <c r="AS41" s="5">
        <f>IF((((AP41+AQ41)/2)+(C41/(D41*((AP41+AQ41)/2)))^2/(2*9.81)+B41-(G40+H40^2/(2*9.81))-(A40-A41)*(((DATOS!$B$34*(C41/(D41*((AP41+AQ41)/2)))/((D41*((AP41+AQ41)/2))/(D41+2*((AP41+AQ41)/2)))^(2/3))^2+((DATOS!$B$34*H40/((D40*F40)/(D40+2*F40))^(2/3))^2))/2))&gt;0,((AP41+AQ41)/2),AQ41)</f>
        <v/>
      </c>
      <c r="AT41" s="5">
        <f>IF((((AR41+AS41)/2)+(C41/(D41*((AR41+AS41)/2)))^2/(2*9.81)+B41-(G40+H40^2/(2*9.81))-(A40-A41)*(((DATOS!$B$34*(C41/(D41*((AR41+AS41)/2)))/((D41*((AR41+AS41)/2))/(D41+2*((AR41+AS41)/2)))^(2/3))^2+((DATOS!$B$34*H40/((D40*F40)/(D40+2*F40))^(2/3))^2))/2))&gt;0,AR41,((AR41+AS41)/2))</f>
        <v/>
      </c>
      <c r="AU41" s="5">
        <f>IF((((AR41+AS41)/2)+(C41/(D41*((AR41+AS41)/2)))^2/(2*9.81)+B41-(G40+H40^2/(2*9.81))-(A40-A41)*(((DATOS!$B$34*(C41/(D41*((AR41+AS41)/2)))/((D41*((AR41+AS41)/2))/(D41+2*((AR41+AS41)/2)))^(2/3))^2+((DATOS!$B$34*H40/((D40*F40)/(D40+2*F40))^(2/3))^2))/2))&gt;0,((AR41+AS41)/2),AS41)</f>
        <v/>
      </c>
      <c r="AV41" s="5">
        <f>IF((((AT41+AU41)/2)+(C41/(D41*((AT41+AU41)/2)))^2/(2*9.81)+B41-(G40+H40^2/(2*9.81))-(A40-A41)*(((DATOS!$B$34*(C41/(D41*((AT41+AU41)/2)))/((D41*((AT41+AU41)/2))/(D41+2*((AT41+AU41)/2)))^(2/3))^2+((DATOS!$B$34*H40/((D40*F40)/(D40+2*F40))^(2/3))^2))/2))&gt;0,AT41,((AT41+AU41)/2))</f>
        <v/>
      </c>
      <c r="AW41" s="5">
        <f>IF((((AT41+AU41)/2)+(C41/(D41*((AT41+AU41)/2)))^2/(2*9.81)+B41-(G40+H40^2/(2*9.81))-(A40-A41)*(((DATOS!$B$34*(C41/(D41*((AT41+AU41)/2)))/((D41*((AT41+AU41)/2))/(D41+2*((AT41+AU41)/2)))^(2/3))^2+((DATOS!$B$34*H40/((D40*F40)/(D40+2*F40))^(2/3))^2))/2))&gt;0,((AT41+AU41)/2),AU41)</f>
        <v/>
      </c>
      <c r="AX41" s="5">
        <f>IF((((AV41+AW41)/2)+(C41/(D41*((AV41+AW41)/2)))^2/(2*9.81)+B41-(G40+H40^2/(2*9.81))-(A40-A41)*(((DATOS!$B$34*(C41/(D41*((AV41+AW41)/2)))/((D41*((AV41+AW41)/2))/(D41+2*((AV41+AW41)/2)))^(2/3))^2+((DATOS!$B$34*H40/((D40*F40)/(D40+2*F40))^(2/3))^2))/2))&gt;0,AV41,((AV41+AW41)/2))</f>
        <v/>
      </c>
      <c r="AY41" s="5">
        <f>IF((((AV41+AW41)/2)+(C41/(D41*((AV41+AW41)/2)))^2/(2*9.81)+B41-(G40+H40^2/(2*9.81))-(A40-A41)*(((DATOS!$B$34*(C41/(D41*((AV41+AW41)/2)))/((D41*((AV41+AW41)/2))/(D41+2*((AV41+AW41)/2)))^(2/3))^2+((DATOS!$B$34*H40/((D40*F40)/(D40+2*F40))^(2/3))^2))/2))&gt;0,((AV41+AW41)/2),AW41)</f>
        <v/>
      </c>
      <c r="AZ41" s="5">
        <f>IF((((AX41+AY41)/2)+(C41/(D41*((AX41+AY41)/2)))^2/(2*9.81)+B41-(G40+H40^2/(2*9.81))-(A40-A41)*(((DATOS!$B$34*(C41/(D41*((AX41+AY41)/2)))/((D41*((AX41+AY41)/2))/(D41+2*((AX41+AY41)/2)))^(2/3))^2+((DATOS!$B$34*H40/((D40*F40)/(D40+2*F40))^(2/3))^2))/2))&gt;0,AX41,((AX41+AY41)/2))</f>
        <v/>
      </c>
      <c r="BA41" s="5">
        <f>IF((((AX41+AY41)/2)+(C41/(D41*((AX41+AY41)/2)))^2/(2*9.81)+B41-(G40+H40^2/(2*9.81))-(A40-A41)*(((DATOS!$B$34*(C41/(D41*((AX41+AY41)/2)))/((D41*((AX41+AY41)/2))/(D41+2*((AX41+AY41)/2)))^(2/3))^2+((DATOS!$B$34*H40/((D40*F40)/(D40+2*F40))^(2/3))^2))/2))&gt;0,((AX41+AY41)/2),AY41)</f>
        <v/>
      </c>
      <c r="BB41" s="5">
        <f>IF((((AZ41+BA41)/2)+(C41/(D41*((AZ41+BA41)/2)))^2/(2*9.81)+B41-(G40+H40^2/(2*9.81))-(A40-A41)*(((DATOS!$B$34*(C41/(D41*((AZ41+BA41)/2)))/((D41*((AZ41+BA41)/2))/(D41+2*((AZ41+BA41)/2)))^(2/3))^2+((DATOS!$B$34*H40/((D40*F40)/(D40+2*F40))^(2/3))^2))/2))&gt;0,AZ41,((AZ41+BA41)/2))</f>
        <v/>
      </c>
      <c r="BC41" s="5">
        <f>IF((((AZ41+BA41)/2)+(C41/(D41*((AZ41+BA41)/2)))^2/(2*9.81)+B41-(G40+H40^2/(2*9.81))-(A40-A41)*(((DATOS!$B$34*(C41/(D41*((AZ41+BA41)/2)))/((D41*((AZ41+BA41)/2))/(D41+2*((AZ41+BA41)/2)))^(2/3))^2+((DATOS!$B$34*H40/((D40*F40)/(D40+2*F40))^(2/3))^2))/2))&gt;0,((AZ41+BA41)/2),BA41)</f>
        <v/>
      </c>
      <c r="BD41" s="5">
        <f>IF((((BB41+BC41)/2)+(C41/(D41*((BB41+BC41)/2)))^2/(2*9.81)+B41-(G40+H40^2/(2*9.81))-(A40-A41)*(((DATOS!$B$34*(C41/(D41*((BB41+BC41)/2)))/((D41*((BB41+BC41)/2))/(D41+2*((BB41+BC41)/2)))^(2/3))^2+((DATOS!$B$34*H40/((D40*F40)/(D40+2*F40))^(2/3))^2))/2))&gt;0,BB41,((BB41+BC41)/2))</f>
        <v/>
      </c>
      <c r="BE41" s="5">
        <f>IF((((BB41+BC41)/2)+(C41/(D41*((BB41+BC41)/2)))^2/(2*9.81)+B41-(G40+H40^2/(2*9.81))-(A40-A41)*(((DATOS!$B$34*(C41/(D41*((BB41+BC41)/2)))/((D41*((BB41+BC41)/2))/(D41+2*((BB41+BC41)/2)))^(2/3))^2+((DATOS!$B$34*H40/((D40*F40)/(D40+2*F40))^(2/3))^2))/2))&gt;0,((BB41+BC41)/2),BC41)</f>
        <v/>
      </c>
      <c r="BF41" s="5">
        <f>IF((((BD41+BE41)/2)+(C41/(D41*((BD41+BE41)/2)))^2/(2*9.81)+B41-(G40+H40^2/(2*9.81))-(A40-A41)*(((DATOS!$B$34*(C41/(D41*((BD41+BE41)/2)))/((D41*((BD41+BE41)/2))/(D41+2*((BD41+BE41)/2)))^(2/3))^2+((DATOS!$B$34*H40/((D40*F40)/(D40+2*F40))^(2/3))^2))/2))&gt;0,BD41,((BD41+BE41)/2))</f>
        <v/>
      </c>
      <c r="BG41" s="5">
        <f>IF((((BD41+BE41)/2)+(C41/(D41*((BD41+BE41)/2)))^2/(2*9.81)+B41-(G40+H40^2/(2*9.81))-(A40-A41)*(((DATOS!$B$34*(C41/(D41*((BD41+BE41)/2)))/((D41*((BD41+BE41)/2))/(D41+2*((BD41+BE41)/2)))^(2/3))^2+((DATOS!$B$34*H40/((D40*F40)/(D40+2*F40))^(2/3))^2))/2))&gt;0,((BD41+BE41)/2),BE41)</f>
        <v/>
      </c>
      <c r="BH41" s="5">
        <f>IF((((BF41+BG41)/2)+(C41/(D41*((BF41+BG41)/2)))^2/(2*9.81)+B41-(G40+H40^2/(2*9.81))-(A40-A41)*(((DATOS!$B$34*(C41/(D41*((BF41+BG41)/2)))/((D41*((BF41+BG41)/2))/(D41+2*((BF41+BG41)/2)))^(2/3))^2+((DATOS!$B$34*H40/((D40*F40)/(D40+2*F40))^(2/3))^2))/2))&gt;0,BF41,((BF41+BG41)/2))</f>
        <v/>
      </c>
      <c r="BI41" s="5">
        <f>IF((((BF41+BG41)/2)+(C41/(D41*((BF41+BG41)/2)))^2/(2*9.81)+B41-(G40+H40^2/(2*9.81))-(A40-A41)*(((DATOS!$B$34*(C41/(D41*((BF41+BG41)/2)))/((D41*((BF41+BG41)/2))/(D41+2*((BF41+BG41)/2)))^(2/3))^2+((DATOS!$B$34*H40/((D40*F40)/(D40+2*F40))^(2/3))^2))/2))&gt;0,((BF41+BG41)/2),BG41)</f>
        <v/>
      </c>
      <c r="BJ41" s="5">
        <f>IF((((BH41+BI41)/2)+(C41/(D41*((BH41+BI41)/2)))^2/(2*9.81)+B41-(G40+H40^2/(2*9.81))-(A40-A41)*(((DATOS!$B$34*(C41/(D41*((BH41+BI41)/2)))/((D41*((BH41+BI41)/2))/(D41+2*((BH41+BI41)/2)))^(2/3))^2+((DATOS!$B$34*H40/((D40*F40)/(D40+2*F40))^(2/3))^2))/2))&gt;0,BH41,((BH41+BI41)/2))</f>
        <v/>
      </c>
      <c r="BK41" s="5">
        <f>IF((((BH41+BI41)/2)+(C41/(D41*((BH41+BI41)/2)))^2/(2*9.81)+B41-(G40+H40^2/(2*9.81))-(A40-A41)*(((DATOS!$B$34*(C41/(D41*((BH41+BI41)/2)))/((D41*((BH41+BI41)/2))/(D41+2*((BH41+BI41)/2)))^(2/3))^2+((DATOS!$B$34*H40/((D40*F40)/(D40+2*F40))^(2/3))^2))/2))&gt;0,((BH41+BI41)/2),BI41)</f>
        <v/>
      </c>
      <c r="BL41" s="5">
        <f>IF((((BJ41+BK41)/2)+(C41/(D41*((BJ41+BK41)/2)))^2/(2*9.81)+B41-(G40+H40^2/(2*9.81))-(A40-A41)*(((DATOS!$B$34*(C41/(D41*((BJ41+BK41)/2)))/((D41*((BJ41+BK41)/2))/(D41+2*((BJ41+BK41)/2)))^(2/3))^2+((DATOS!$B$34*H40/((D40*F40)/(D40+2*F40))^(2/3))^2))/2))&gt;0,BJ41,((BJ41+BK41)/2))</f>
        <v/>
      </c>
      <c r="BM41" s="5">
        <f>IF((((BJ41+BK41)/2)+(C41/(D41*((BJ41+BK41)/2)))^2/(2*9.81)+B41-(G40+H40^2/(2*9.81))-(A40-A41)*(((DATOS!$B$34*(C41/(D41*((BJ41+BK41)/2)))/((D41*((BJ41+BK41)/2))/(D41+2*((BJ41+BK41)/2)))^(2/3))^2+((DATOS!$B$34*H40/((D40*F40)/(D40+2*F40))^(2/3))^2))/2))&gt;0,((BJ41+BK41)/2),BK41)</f>
        <v/>
      </c>
      <c r="BN41" s="5">
        <f>IF((((BL41+BM41)/2)+(C41/(D41*((BL41+BM41)/2)))^2/(2*9.81)+B41-(G40+H40^2/(2*9.81))-(A40-A41)*(((DATOS!$B$34*(C41/(D41*((BL41+BM41)/2)))/((D41*((BL41+BM41)/2))/(D41+2*((BL41+BM41)/2)))^(2/3))^2+((DATOS!$B$34*H40/((D40*F40)/(D40+2*F40))^(2/3))^2))/2))&gt;0,BL41,((BL41+BM41)/2))</f>
        <v/>
      </c>
      <c r="BO41" s="5">
        <f>IF((((BL41+BM41)/2)+(C41/(D41*((BL41+BM41)/2)))^2/(2*9.81)+B41-(G40+H40^2/(2*9.81))-(A40-A41)*(((DATOS!$B$34*(C41/(D41*((BL41+BM41)/2)))/((D41*((BL41+BM41)/2))/(D41+2*((BL41+BM41)/2)))^(2/3))^2+((DATOS!$B$34*H40/((D40*F40)/(D40+2*F40))^(2/3))^2))/2))&gt;0,((BL41+BM41)/2),BM41)</f>
        <v/>
      </c>
      <c r="BP41" s="5">
        <f>IF((((BN41+BO41)/2)+(C41/(D41*((BN41+BO41)/2)))^2/(2*9.81)+B41-(G40+H40^2/(2*9.81))-(A40-A41)*(((DATOS!$B$34*(C41/(D41*((BN41+BO41)/2)))/((D41*((BN41+BO41)/2))/(D41+2*((BN41+BO41)/2)))^(2/3))^2+((DATOS!$B$34*H40/((D40*F40)/(D40+2*F40))^(2/3))^2))/2))&gt;0,BN41,((BN41+BO41)/2))</f>
        <v/>
      </c>
      <c r="BQ41" s="5">
        <f>IF((((BN41+BO41)/2)+(C41/(D41*((BN41+BO41)/2)))^2/(2*9.81)+B41-(G40+H40^2/(2*9.81))-(A40-A41)*(((DATOS!$B$34*(C41/(D41*((BN41+BO41)/2)))/((D41*((BN41+BO41)/2))/(D41+2*((BN41+BO41)/2)))^(2/3))^2+((DATOS!$B$34*H40/((D40*F40)/(D40+2*F40))^(2/3))^2))/2))&gt;0,((BN41+BO41)/2),BO41)</f>
        <v/>
      </c>
      <c r="BR41" s="5">
        <f>IF((((BP41+BQ41)/2)+(C41/(D41*((BP41+BQ41)/2)))^2/(2*9.81)+B41-(G40+H40^2/(2*9.81))-(A40-A41)*(((DATOS!$B$34*(C41/(D41*((BP41+BQ41)/2)))/((D41*((BP41+BQ41)/2))/(D41+2*((BP41+BQ41)/2)))^(2/3))^2+((DATOS!$B$34*H40/((D40*F40)/(D40+2*F40))^(2/3))^2))/2))&gt;0,BP41,((BP41+BQ41)/2))</f>
        <v/>
      </c>
      <c r="BS41" s="5">
        <f>IF((((BP41+BQ41)/2)+(C41/(D41*((BP41+BQ41)/2)))^2/(2*9.81)+B41-(G40+H40^2/(2*9.81))-(A40-A41)*(((DATOS!$B$34*(C41/(D41*((BP41+BQ41)/2)))/((D41*((BP41+BQ41)/2))/(D41+2*((BP41+BQ41)/2)))^(2/3))^2+((DATOS!$B$34*H40/((D40*F40)/(D40+2*F40))^(2/3))^2))/2))&gt;0,((BP41+BQ41)/2),BQ41)</f>
        <v/>
      </c>
      <c r="BT41" s="5">
        <f>IF((((BR41+BS41)/2)+(C41/(D41*((BR41+BS41)/2)))^2/(2*9.81)+B41-(G40+H40^2/(2*9.81))-(A40-A41)*(((DATOS!$B$34*(C41/(D41*((BR41+BS41)/2)))/((D41*((BR41+BS41)/2))/(D41+2*((BR41+BS41)/2)))^(2/3))^2+((DATOS!$B$34*H40/((D40*F40)/(D40+2*F40))^(2/3))^2))/2))&gt;0,BR41,((BR41+BS41)/2))</f>
        <v/>
      </c>
      <c r="BU41" s="5">
        <f>IF((((BR41+BS41)/2)+(C41/(D41*((BR41+BS41)/2)))^2/(2*9.81)+B41-(G40+H40^2/(2*9.81))-(A40-A41)*(((DATOS!$B$34*(C41/(D41*((BR41+BS41)/2)))/((D41*((BR41+BS41)/2))/(D41+2*((BR41+BS41)/2)))^(2/3))^2+((DATOS!$B$34*H40/((D40*F40)/(D40+2*F40))^(2/3))^2))/2))&gt;0,((BR41+BS41)/2),BS41)</f>
        <v/>
      </c>
      <c r="BV41" s="5">
        <f>IF((((BT41+BU41)/2)+(C41/(D41*((BT41+BU41)/2)))^2/(2*9.81)+B41-(G40+H40^2/(2*9.81))-(A40-A41)*(((DATOS!$B$34*(C41/(D41*((BT41+BU41)/2)))/((D41*((BT41+BU41)/2))/(D41+2*((BT41+BU41)/2)))^(2/3))^2+((DATOS!$B$34*H40/((D40*F40)/(D40+2*F40))^(2/3))^2))/2))&gt;0,BT41,((BT41+BU41)/2))</f>
        <v/>
      </c>
      <c r="BW41" s="5">
        <f>IF((((BT41+BU41)/2)+(C41/(D41*((BT41+BU41)/2)))^2/(2*9.81)+B41-(G40+H40^2/(2*9.81))-(A40-A41)*(((DATOS!$B$34*(C41/(D41*((BT41+BU41)/2)))/((D41*((BT41+BU41)/2))/(D41+2*((BT41+BU41)/2)))^(2/3))^2+((DATOS!$B$34*H40/((D40*F40)/(D40+2*F40))^(2/3))^2))/2))&gt;0,((BT41+BU41)/2),BU41)</f>
        <v/>
      </c>
    </row>
    <row r="42">
      <c r="A42" s="13" t="n">
        <v>41.04</v>
      </c>
      <c r="B42" s="16">
        <f>DATOS!$B$22-DATOS!$B$23*A42</f>
        <v/>
      </c>
      <c r="C42" s="24">
        <f>CAUDALES!$B$13</f>
        <v/>
      </c>
      <c r="D42" s="17">
        <f>DATOS!$B$17</f>
        <v/>
      </c>
      <c r="E42" s="16">
        <f>(C42^2/(9.81*D42^2))^(1/3)</f>
        <v/>
      </c>
      <c r="F42" s="16">
        <f>(BV42+BW42)/2</f>
        <v/>
      </c>
      <c r="G42" s="16">
        <f>B42+F42</f>
        <v/>
      </c>
      <c r="H42" s="19">
        <f>C42/(D42*F42)</f>
        <v/>
      </c>
      <c r="I42" s="19">
        <f>H42/SQRT(9.81*F42)</f>
        <v/>
      </c>
      <c r="J42" s="16">
        <f>DATOS!$B$29-IF(AND(A42&gt;=DATOS!$B$30,A42&lt;DATOS!$B$31),DATOS!$B$21,DATOS!$B$20)</f>
        <v/>
      </c>
      <c r="K42" s="19">
        <f>J42-B42</f>
        <v/>
      </c>
      <c r="L42" s="19">
        <f>F42/K42</f>
        <v/>
      </c>
      <c r="M42" s="16">
        <f>J42-G42</f>
        <v/>
      </c>
      <c r="N42" s="5">
        <f>IF(AND(L42&lt;=DATOS!$B$36,M42&gt;=DATOS!$B$37,I42&lt;=1),"CUMPLE","NO CUMPLE")</f>
        <v/>
      </c>
      <c r="O42" s="5">
        <f>IF(AND(A42&gt;=DATOS!$B$30,A42&lt;DATOS!$B$31),"cruce de camiones",IF(AND(A42&gt;=DATOS!$B$32,A42&lt;DATOS!$B$33),"cruce de motos","tramo normal"))</f>
        <v/>
      </c>
      <c r="P42" s="5">
        <f>E42*1.001</f>
        <v/>
      </c>
      <c r="Q42" s="13" t="n">
        <v>3</v>
      </c>
      <c r="R42" s="5">
        <f>IF((((P42+Q42)/2)+(C42/(D42*((P42+Q42)/2)))^2/(2*9.81)+B42-(G41+H41^2/(2*9.81))-(A41-A42)*(((DATOS!$B$34*(C42/(D42*((P42+Q42)/2)))/((D42*((P42+Q42)/2))/(D42+2*((P42+Q42)/2)))^(2/3))^2+((DATOS!$B$34*H41/((D41*F41)/(D41+2*F41))^(2/3))^2))/2))&gt;0,P42,((P42+Q42)/2))</f>
        <v/>
      </c>
      <c r="S42" s="5">
        <f>IF((((P42+Q42)/2)+(C42/(D42*((P42+Q42)/2)))^2/(2*9.81)+B42-(G41+H41^2/(2*9.81))-(A41-A42)*(((DATOS!$B$34*(C42/(D42*((P42+Q42)/2)))/((D42*((P42+Q42)/2))/(D42+2*((P42+Q42)/2)))^(2/3))^2+((DATOS!$B$34*H41/((D41*F41)/(D41+2*F41))^(2/3))^2))/2))&gt;0,((P42+Q42)/2),Q42)</f>
        <v/>
      </c>
      <c r="T42" s="5">
        <f>IF((((R42+S42)/2)+(C42/(D42*((R42+S42)/2)))^2/(2*9.81)+B42-(G41+H41^2/(2*9.81))-(A41-A42)*(((DATOS!$B$34*(C42/(D42*((R42+S42)/2)))/((D42*((R42+S42)/2))/(D42+2*((R42+S42)/2)))^(2/3))^2+((DATOS!$B$34*H41/((D41*F41)/(D41+2*F41))^(2/3))^2))/2))&gt;0,R42,((R42+S42)/2))</f>
        <v/>
      </c>
      <c r="U42" s="5">
        <f>IF((((R42+S42)/2)+(C42/(D42*((R42+S42)/2)))^2/(2*9.81)+B42-(G41+H41^2/(2*9.81))-(A41-A42)*(((DATOS!$B$34*(C42/(D42*((R42+S42)/2)))/((D42*((R42+S42)/2))/(D42+2*((R42+S42)/2)))^(2/3))^2+((DATOS!$B$34*H41/((D41*F41)/(D41+2*F41))^(2/3))^2))/2))&gt;0,((R42+S42)/2),S42)</f>
        <v/>
      </c>
      <c r="V42" s="5">
        <f>IF((((T42+U42)/2)+(C42/(D42*((T42+U42)/2)))^2/(2*9.81)+B42-(G41+H41^2/(2*9.81))-(A41-A42)*(((DATOS!$B$34*(C42/(D42*((T42+U42)/2)))/((D42*((T42+U42)/2))/(D42+2*((T42+U42)/2)))^(2/3))^2+((DATOS!$B$34*H41/((D41*F41)/(D41+2*F41))^(2/3))^2))/2))&gt;0,T42,((T42+U42)/2))</f>
        <v/>
      </c>
      <c r="W42" s="5">
        <f>IF((((T42+U42)/2)+(C42/(D42*((T42+U42)/2)))^2/(2*9.81)+B42-(G41+H41^2/(2*9.81))-(A41-A42)*(((DATOS!$B$34*(C42/(D42*((T42+U42)/2)))/((D42*((T42+U42)/2))/(D42+2*((T42+U42)/2)))^(2/3))^2+((DATOS!$B$34*H41/((D41*F41)/(D41+2*F41))^(2/3))^2))/2))&gt;0,((T42+U42)/2),U42)</f>
        <v/>
      </c>
      <c r="X42" s="5">
        <f>IF((((V42+W42)/2)+(C42/(D42*((V42+W42)/2)))^2/(2*9.81)+B42-(G41+H41^2/(2*9.81))-(A41-A42)*(((DATOS!$B$34*(C42/(D42*((V42+W42)/2)))/((D42*((V42+W42)/2))/(D42+2*((V42+W42)/2)))^(2/3))^2+((DATOS!$B$34*H41/((D41*F41)/(D41+2*F41))^(2/3))^2))/2))&gt;0,V42,((V42+W42)/2))</f>
        <v/>
      </c>
      <c r="Y42" s="5">
        <f>IF((((V42+W42)/2)+(C42/(D42*((V42+W42)/2)))^2/(2*9.81)+B42-(G41+H41^2/(2*9.81))-(A41-A42)*(((DATOS!$B$34*(C42/(D42*((V42+W42)/2)))/((D42*((V42+W42)/2))/(D42+2*((V42+W42)/2)))^(2/3))^2+((DATOS!$B$34*H41/((D41*F41)/(D41+2*F41))^(2/3))^2))/2))&gt;0,((V42+W42)/2),W42)</f>
        <v/>
      </c>
      <c r="Z42" s="5">
        <f>IF((((X42+Y42)/2)+(C42/(D42*((X42+Y42)/2)))^2/(2*9.81)+B42-(G41+H41^2/(2*9.81))-(A41-A42)*(((DATOS!$B$34*(C42/(D42*((X42+Y42)/2)))/((D42*((X42+Y42)/2))/(D42+2*((X42+Y42)/2)))^(2/3))^2+((DATOS!$B$34*H41/((D41*F41)/(D41+2*F41))^(2/3))^2))/2))&gt;0,X42,((X42+Y42)/2))</f>
        <v/>
      </c>
      <c r="AA42" s="5">
        <f>IF((((X42+Y42)/2)+(C42/(D42*((X42+Y42)/2)))^2/(2*9.81)+B42-(G41+H41^2/(2*9.81))-(A41-A42)*(((DATOS!$B$34*(C42/(D42*((X42+Y42)/2)))/((D42*((X42+Y42)/2))/(D42+2*((X42+Y42)/2)))^(2/3))^2+((DATOS!$B$34*H41/((D41*F41)/(D41+2*F41))^(2/3))^2))/2))&gt;0,((X42+Y42)/2),Y42)</f>
        <v/>
      </c>
      <c r="AB42" s="5">
        <f>IF((((Z42+AA42)/2)+(C42/(D42*((Z42+AA42)/2)))^2/(2*9.81)+B42-(G41+H41^2/(2*9.81))-(A41-A42)*(((DATOS!$B$34*(C42/(D42*((Z42+AA42)/2)))/((D42*((Z42+AA42)/2))/(D42+2*((Z42+AA42)/2)))^(2/3))^2+((DATOS!$B$34*H41/((D41*F41)/(D41+2*F41))^(2/3))^2))/2))&gt;0,Z42,((Z42+AA42)/2))</f>
        <v/>
      </c>
      <c r="AC42" s="5">
        <f>IF((((Z42+AA42)/2)+(C42/(D42*((Z42+AA42)/2)))^2/(2*9.81)+B42-(G41+H41^2/(2*9.81))-(A41-A42)*(((DATOS!$B$34*(C42/(D42*((Z42+AA42)/2)))/((D42*((Z42+AA42)/2))/(D42+2*((Z42+AA42)/2)))^(2/3))^2+((DATOS!$B$34*H41/((D41*F41)/(D41+2*F41))^(2/3))^2))/2))&gt;0,((Z42+AA42)/2),AA42)</f>
        <v/>
      </c>
      <c r="AD42" s="5">
        <f>IF((((AB42+AC42)/2)+(C42/(D42*((AB42+AC42)/2)))^2/(2*9.81)+B42-(G41+H41^2/(2*9.81))-(A41-A42)*(((DATOS!$B$34*(C42/(D42*((AB42+AC42)/2)))/((D42*((AB42+AC42)/2))/(D42+2*((AB42+AC42)/2)))^(2/3))^2+((DATOS!$B$34*H41/((D41*F41)/(D41+2*F41))^(2/3))^2))/2))&gt;0,AB42,((AB42+AC42)/2))</f>
        <v/>
      </c>
      <c r="AE42" s="5">
        <f>IF((((AB42+AC42)/2)+(C42/(D42*((AB42+AC42)/2)))^2/(2*9.81)+B42-(G41+H41^2/(2*9.81))-(A41-A42)*(((DATOS!$B$34*(C42/(D42*((AB42+AC42)/2)))/((D42*((AB42+AC42)/2))/(D42+2*((AB42+AC42)/2)))^(2/3))^2+((DATOS!$B$34*H41/((D41*F41)/(D41+2*F41))^(2/3))^2))/2))&gt;0,((AB42+AC42)/2),AC42)</f>
        <v/>
      </c>
      <c r="AF42" s="5">
        <f>IF((((AD42+AE42)/2)+(C42/(D42*((AD42+AE42)/2)))^2/(2*9.81)+B42-(G41+H41^2/(2*9.81))-(A41-A42)*(((DATOS!$B$34*(C42/(D42*((AD42+AE42)/2)))/((D42*((AD42+AE42)/2))/(D42+2*((AD42+AE42)/2)))^(2/3))^2+((DATOS!$B$34*H41/((D41*F41)/(D41+2*F41))^(2/3))^2))/2))&gt;0,AD42,((AD42+AE42)/2))</f>
        <v/>
      </c>
      <c r="AG42" s="5">
        <f>IF((((AD42+AE42)/2)+(C42/(D42*((AD42+AE42)/2)))^2/(2*9.81)+B42-(G41+H41^2/(2*9.81))-(A41-A42)*(((DATOS!$B$34*(C42/(D42*((AD42+AE42)/2)))/((D42*((AD42+AE42)/2))/(D42+2*((AD42+AE42)/2)))^(2/3))^2+((DATOS!$B$34*H41/((D41*F41)/(D41+2*F41))^(2/3))^2))/2))&gt;0,((AD42+AE42)/2),AE42)</f>
        <v/>
      </c>
      <c r="AH42" s="5">
        <f>IF((((AF42+AG42)/2)+(C42/(D42*((AF42+AG42)/2)))^2/(2*9.81)+B42-(G41+H41^2/(2*9.81))-(A41-A42)*(((DATOS!$B$34*(C42/(D42*((AF42+AG42)/2)))/((D42*((AF42+AG42)/2))/(D42+2*((AF42+AG42)/2)))^(2/3))^2+((DATOS!$B$34*H41/((D41*F41)/(D41+2*F41))^(2/3))^2))/2))&gt;0,AF42,((AF42+AG42)/2))</f>
        <v/>
      </c>
      <c r="AI42" s="5">
        <f>IF((((AF42+AG42)/2)+(C42/(D42*((AF42+AG42)/2)))^2/(2*9.81)+B42-(G41+H41^2/(2*9.81))-(A41-A42)*(((DATOS!$B$34*(C42/(D42*((AF42+AG42)/2)))/((D42*((AF42+AG42)/2))/(D42+2*((AF42+AG42)/2)))^(2/3))^2+((DATOS!$B$34*H41/((D41*F41)/(D41+2*F41))^(2/3))^2))/2))&gt;0,((AF42+AG42)/2),AG42)</f>
        <v/>
      </c>
      <c r="AJ42" s="5">
        <f>IF((((AH42+AI42)/2)+(C42/(D42*((AH42+AI42)/2)))^2/(2*9.81)+B42-(G41+H41^2/(2*9.81))-(A41-A42)*(((DATOS!$B$34*(C42/(D42*((AH42+AI42)/2)))/((D42*((AH42+AI42)/2))/(D42+2*((AH42+AI42)/2)))^(2/3))^2+((DATOS!$B$34*H41/((D41*F41)/(D41+2*F41))^(2/3))^2))/2))&gt;0,AH42,((AH42+AI42)/2))</f>
        <v/>
      </c>
      <c r="AK42" s="5">
        <f>IF((((AH42+AI42)/2)+(C42/(D42*((AH42+AI42)/2)))^2/(2*9.81)+B42-(G41+H41^2/(2*9.81))-(A41-A42)*(((DATOS!$B$34*(C42/(D42*((AH42+AI42)/2)))/((D42*((AH42+AI42)/2))/(D42+2*((AH42+AI42)/2)))^(2/3))^2+((DATOS!$B$34*H41/((D41*F41)/(D41+2*F41))^(2/3))^2))/2))&gt;0,((AH42+AI42)/2),AI42)</f>
        <v/>
      </c>
      <c r="AL42" s="5">
        <f>IF((((AJ42+AK42)/2)+(C42/(D42*((AJ42+AK42)/2)))^2/(2*9.81)+B42-(G41+H41^2/(2*9.81))-(A41-A42)*(((DATOS!$B$34*(C42/(D42*((AJ42+AK42)/2)))/((D42*((AJ42+AK42)/2))/(D42+2*((AJ42+AK42)/2)))^(2/3))^2+((DATOS!$B$34*H41/((D41*F41)/(D41+2*F41))^(2/3))^2))/2))&gt;0,AJ42,((AJ42+AK42)/2))</f>
        <v/>
      </c>
      <c r="AM42" s="5">
        <f>IF((((AJ42+AK42)/2)+(C42/(D42*((AJ42+AK42)/2)))^2/(2*9.81)+B42-(G41+H41^2/(2*9.81))-(A41-A42)*(((DATOS!$B$34*(C42/(D42*((AJ42+AK42)/2)))/((D42*((AJ42+AK42)/2))/(D42+2*((AJ42+AK42)/2)))^(2/3))^2+((DATOS!$B$34*H41/((D41*F41)/(D41+2*F41))^(2/3))^2))/2))&gt;0,((AJ42+AK42)/2),AK42)</f>
        <v/>
      </c>
      <c r="AN42" s="5">
        <f>IF((((AL42+AM42)/2)+(C42/(D42*((AL42+AM42)/2)))^2/(2*9.81)+B42-(G41+H41^2/(2*9.81))-(A41-A42)*(((DATOS!$B$34*(C42/(D42*((AL42+AM42)/2)))/((D42*((AL42+AM42)/2))/(D42+2*((AL42+AM42)/2)))^(2/3))^2+((DATOS!$B$34*H41/((D41*F41)/(D41+2*F41))^(2/3))^2))/2))&gt;0,AL42,((AL42+AM42)/2))</f>
        <v/>
      </c>
      <c r="AO42" s="5">
        <f>IF((((AL42+AM42)/2)+(C42/(D42*((AL42+AM42)/2)))^2/(2*9.81)+B42-(G41+H41^2/(2*9.81))-(A41-A42)*(((DATOS!$B$34*(C42/(D42*((AL42+AM42)/2)))/((D42*((AL42+AM42)/2))/(D42+2*((AL42+AM42)/2)))^(2/3))^2+((DATOS!$B$34*H41/((D41*F41)/(D41+2*F41))^(2/3))^2))/2))&gt;0,((AL42+AM42)/2),AM42)</f>
        <v/>
      </c>
      <c r="AP42" s="5">
        <f>IF((((AN42+AO42)/2)+(C42/(D42*((AN42+AO42)/2)))^2/(2*9.81)+B42-(G41+H41^2/(2*9.81))-(A41-A42)*(((DATOS!$B$34*(C42/(D42*((AN42+AO42)/2)))/((D42*((AN42+AO42)/2))/(D42+2*((AN42+AO42)/2)))^(2/3))^2+((DATOS!$B$34*H41/((D41*F41)/(D41+2*F41))^(2/3))^2))/2))&gt;0,AN42,((AN42+AO42)/2))</f>
        <v/>
      </c>
      <c r="AQ42" s="5">
        <f>IF((((AN42+AO42)/2)+(C42/(D42*((AN42+AO42)/2)))^2/(2*9.81)+B42-(G41+H41^2/(2*9.81))-(A41-A42)*(((DATOS!$B$34*(C42/(D42*((AN42+AO42)/2)))/((D42*((AN42+AO42)/2))/(D42+2*((AN42+AO42)/2)))^(2/3))^2+((DATOS!$B$34*H41/((D41*F41)/(D41+2*F41))^(2/3))^2))/2))&gt;0,((AN42+AO42)/2),AO42)</f>
        <v/>
      </c>
      <c r="AR42" s="5">
        <f>IF((((AP42+AQ42)/2)+(C42/(D42*((AP42+AQ42)/2)))^2/(2*9.81)+B42-(G41+H41^2/(2*9.81))-(A41-A42)*(((DATOS!$B$34*(C42/(D42*((AP42+AQ42)/2)))/((D42*((AP42+AQ42)/2))/(D42+2*((AP42+AQ42)/2)))^(2/3))^2+((DATOS!$B$34*H41/((D41*F41)/(D41+2*F41))^(2/3))^2))/2))&gt;0,AP42,((AP42+AQ42)/2))</f>
        <v/>
      </c>
      <c r="AS42" s="5">
        <f>IF((((AP42+AQ42)/2)+(C42/(D42*((AP42+AQ42)/2)))^2/(2*9.81)+B42-(G41+H41^2/(2*9.81))-(A41-A42)*(((DATOS!$B$34*(C42/(D42*((AP42+AQ42)/2)))/((D42*((AP42+AQ42)/2))/(D42+2*((AP42+AQ42)/2)))^(2/3))^2+((DATOS!$B$34*H41/((D41*F41)/(D41+2*F41))^(2/3))^2))/2))&gt;0,((AP42+AQ42)/2),AQ42)</f>
        <v/>
      </c>
      <c r="AT42" s="5">
        <f>IF((((AR42+AS42)/2)+(C42/(D42*((AR42+AS42)/2)))^2/(2*9.81)+B42-(G41+H41^2/(2*9.81))-(A41-A42)*(((DATOS!$B$34*(C42/(D42*((AR42+AS42)/2)))/((D42*((AR42+AS42)/2))/(D42+2*((AR42+AS42)/2)))^(2/3))^2+((DATOS!$B$34*H41/((D41*F41)/(D41+2*F41))^(2/3))^2))/2))&gt;0,AR42,((AR42+AS42)/2))</f>
        <v/>
      </c>
      <c r="AU42" s="5">
        <f>IF((((AR42+AS42)/2)+(C42/(D42*((AR42+AS42)/2)))^2/(2*9.81)+B42-(G41+H41^2/(2*9.81))-(A41-A42)*(((DATOS!$B$34*(C42/(D42*((AR42+AS42)/2)))/((D42*((AR42+AS42)/2))/(D42+2*((AR42+AS42)/2)))^(2/3))^2+((DATOS!$B$34*H41/((D41*F41)/(D41+2*F41))^(2/3))^2))/2))&gt;0,((AR42+AS42)/2),AS42)</f>
        <v/>
      </c>
      <c r="AV42" s="5">
        <f>IF((((AT42+AU42)/2)+(C42/(D42*((AT42+AU42)/2)))^2/(2*9.81)+B42-(G41+H41^2/(2*9.81))-(A41-A42)*(((DATOS!$B$34*(C42/(D42*((AT42+AU42)/2)))/((D42*((AT42+AU42)/2))/(D42+2*((AT42+AU42)/2)))^(2/3))^2+((DATOS!$B$34*H41/((D41*F41)/(D41+2*F41))^(2/3))^2))/2))&gt;0,AT42,((AT42+AU42)/2))</f>
        <v/>
      </c>
      <c r="AW42" s="5">
        <f>IF((((AT42+AU42)/2)+(C42/(D42*((AT42+AU42)/2)))^2/(2*9.81)+B42-(G41+H41^2/(2*9.81))-(A41-A42)*(((DATOS!$B$34*(C42/(D42*((AT42+AU42)/2)))/((D42*((AT42+AU42)/2))/(D42+2*((AT42+AU42)/2)))^(2/3))^2+((DATOS!$B$34*H41/((D41*F41)/(D41+2*F41))^(2/3))^2))/2))&gt;0,((AT42+AU42)/2),AU42)</f>
        <v/>
      </c>
      <c r="AX42" s="5">
        <f>IF((((AV42+AW42)/2)+(C42/(D42*((AV42+AW42)/2)))^2/(2*9.81)+B42-(G41+H41^2/(2*9.81))-(A41-A42)*(((DATOS!$B$34*(C42/(D42*((AV42+AW42)/2)))/((D42*((AV42+AW42)/2))/(D42+2*((AV42+AW42)/2)))^(2/3))^2+((DATOS!$B$34*H41/((D41*F41)/(D41+2*F41))^(2/3))^2))/2))&gt;0,AV42,((AV42+AW42)/2))</f>
        <v/>
      </c>
      <c r="AY42" s="5">
        <f>IF((((AV42+AW42)/2)+(C42/(D42*((AV42+AW42)/2)))^2/(2*9.81)+B42-(G41+H41^2/(2*9.81))-(A41-A42)*(((DATOS!$B$34*(C42/(D42*((AV42+AW42)/2)))/((D42*((AV42+AW42)/2))/(D42+2*((AV42+AW42)/2)))^(2/3))^2+((DATOS!$B$34*H41/((D41*F41)/(D41+2*F41))^(2/3))^2))/2))&gt;0,((AV42+AW42)/2),AW42)</f>
        <v/>
      </c>
      <c r="AZ42" s="5">
        <f>IF((((AX42+AY42)/2)+(C42/(D42*((AX42+AY42)/2)))^2/(2*9.81)+B42-(G41+H41^2/(2*9.81))-(A41-A42)*(((DATOS!$B$34*(C42/(D42*((AX42+AY42)/2)))/((D42*((AX42+AY42)/2))/(D42+2*((AX42+AY42)/2)))^(2/3))^2+((DATOS!$B$34*H41/((D41*F41)/(D41+2*F41))^(2/3))^2))/2))&gt;0,AX42,((AX42+AY42)/2))</f>
        <v/>
      </c>
      <c r="BA42" s="5">
        <f>IF((((AX42+AY42)/2)+(C42/(D42*((AX42+AY42)/2)))^2/(2*9.81)+B42-(G41+H41^2/(2*9.81))-(A41-A42)*(((DATOS!$B$34*(C42/(D42*((AX42+AY42)/2)))/((D42*((AX42+AY42)/2))/(D42+2*((AX42+AY42)/2)))^(2/3))^2+((DATOS!$B$34*H41/((D41*F41)/(D41+2*F41))^(2/3))^2))/2))&gt;0,((AX42+AY42)/2),AY42)</f>
        <v/>
      </c>
      <c r="BB42" s="5">
        <f>IF((((AZ42+BA42)/2)+(C42/(D42*((AZ42+BA42)/2)))^2/(2*9.81)+B42-(G41+H41^2/(2*9.81))-(A41-A42)*(((DATOS!$B$34*(C42/(D42*((AZ42+BA42)/2)))/((D42*((AZ42+BA42)/2))/(D42+2*((AZ42+BA42)/2)))^(2/3))^2+((DATOS!$B$34*H41/((D41*F41)/(D41+2*F41))^(2/3))^2))/2))&gt;0,AZ42,((AZ42+BA42)/2))</f>
        <v/>
      </c>
      <c r="BC42" s="5">
        <f>IF((((AZ42+BA42)/2)+(C42/(D42*((AZ42+BA42)/2)))^2/(2*9.81)+B42-(G41+H41^2/(2*9.81))-(A41-A42)*(((DATOS!$B$34*(C42/(D42*((AZ42+BA42)/2)))/((D42*((AZ42+BA42)/2))/(D42+2*((AZ42+BA42)/2)))^(2/3))^2+((DATOS!$B$34*H41/((D41*F41)/(D41+2*F41))^(2/3))^2))/2))&gt;0,((AZ42+BA42)/2),BA42)</f>
        <v/>
      </c>
      <c r="BD42" s="5">
        <f>IF((((BB42+BC42)/2)+(C42/(D42*((BB42+BC42)/2)))^2/(2*9.81)+B42-(G41+H41^2/(2*9.81))-(A41-A42)*(((DATOS!$B$34*(C42/(D42*((BB42+BC42)/2)))/((D42*((BB42+BC42)/2))/(D42+2*((BB42+BC42)/2)))^(2/3))^2+((DATOS!$B$34*H41/((D41*F41)/(D41+2*F41))^(2/3))^2))/2))&gt;0,BB42,((BB42+BC42)/2))</f>
        <v/>
      </c>
      <c r="BE42" s="5">
        <f>IF((((BB42+BC42)/2)+(C42/(D42*((BB42+BC42)/2)))^2/(2*9.81)+B42-(G41+H41^2/(2*9.81))-(A41-A42)*(((DATOS!$B$34*(C42/(D42*((BB42+BC42)/2)))/((D42*((BB42+BC42)/2))/(D42+2*((BB42+BC42)/2)))^(2/3))^2+((DATOS!$B$34*H41/((D41*F41)/(D41+2*F41))^(2/3))^2))/2))&gt;0,((BB42+BC42)/2),BC42)</f>
        <v/>
      </c>
      <c r="BF42" s="5">
        <f>IF((((BD42+BE42)/2)+(C42/(D42*((BD42+BE42)/2)))^2/(2*9.81)+B42-(G41+H41^2/(2*9.81))-(A41-A42)*(((DATOS!$B$34*(C42/(D42*((BD42+BE42)/2)))/((D42*((BD42+BE42)/2))/(D42+2*((BD42+BE42)/2)))^(2/3))^2+((DATOS!$B$34*H41/((D41*F41)/(D41+2*F41))^(2/3))^2))/2))&gt;0,BD42,((BD42+BE42)/2))</f>
        <v/>
      </c>
      <c r="BG42" s="5">
        <f>IF((((BD42+BE42)/2)+(C42/(D42*((BD42+BE42)/2)))^2/(2*9.81)+B42-(G41+H41^2/(2*9.81))-(A41-A42)*(((DATOS!$B$34*(C42/(D42*((BD42+BE42)/2)))/((D42*((BD42+BE42)/2))/(D42+2*((BD42+BE42)/2)))^(2/3))^2+((DATOS!$B$34*H41/((D41*F41)/(D41+2*F41))^(2/3))^2))/2))&gt;0,((BD42+BE42)/2),BE42)</f>
        <v/>
      </c>
      <c r="BH42" s="5">
        <f>IF((((BF42+BG42)/2)+(C42/(D42*((BF42+BG42)/2)))^2/(2*9.81)+B42-(G41+H41^2/(2*9.81))-(A41-A42)*(((DATOS!$B$34*(C42/(D42*((BF42+BG42)/2)))/((D42*((BF42+BG42)/2))/(D42+2*((BF42+BG42)/2)))^(2/3))^2+((DATOS!$B$34*H41/((D41*F41)/(D41+2*F41))^(2/3))^2))/2))&gt;0,BF42,((BF42+BG42)/2))</f>
        <v/>
      </c>
      <c r="BI42" s="5">
        <f>IF((((BF42+BG42)/2)+(C42/(D42*((BF42+BG42)/2)))^2/(2*9.81)+B42-(G41+H41^2/(2*9.81))-(A41-A42)*(((DATOS!$B$34*(C42/(D42*((BF42+BG42)/2)))/((D42*((BF42+BG42)/2))/(D42+2*((BF42+BG42)/2)))^(2/3))^2+((DATOS!$B$34*H41/((D41*F41)/(D41+2*F41))^(2/3))^2))/2))&gt;0,((BF42+BG42)/2),BG42)</f>
        <v/>
      </c>
      <c r="BJ42" s="5">
        <f>IF((((BH42+BI42)/2)+(C42/(D42*((BH42+BI42)/2)))^2/(2*9.81)+B42-(G41+H41^2/(2*9.81))-(A41-A42)*(((DATOS!$B$34*(C42/(D42*((BH42+BI42)/2)))/((D42*((BH42+BI42)/2))/(D42+2*((BH42+BI42)/2)))^(2/3))^2+((DATOS!$B$34*H41/((D41*F41)/(D41+2*F41))^(2/3))^2))/2))&gt;0,BH42,((BH42+BI42)/2))</f>
        <v/>
      </c>
      <c r="BK42" s="5">
        <f>IF((((BH42+BI42)/2)+(C42/(D42*((BH42+BI42)/2)))^2/(2*9.81)+B42-(G41+H41^2/(2*9.81))-(A41-A42)*(((DATOS!$B$34*(C42/(D42*((BH42+BI42)/2)))/((D42*((BH42+BI42)/2))/(D42+2*((BH42+BI42)/2)))^(2/3))^2+((DATOS!$B$34*H41/((D41*F41)/(D41+2*F41))^(2/3))^2))/2))&gt;0,((BH42+BI42)/2),BI42)</f>
        <v/>
      </c>
      <c r="BL42" s="5">
        <f>IF((((BJ42+BK42)/2)+(C42/(D42*((BJ42+BK42)/2)))^2/(2*9.81)+B42-(G41+H41^2/(2*9.81))-(A41-A42)*(((DATOS!$B$34*(C42/(D42*((BJ42+BK42)/2)))/((D42*((BJ42+BK42)/2))/(D42+2*((BJ42+BK42)/2)))^(2/3))^2+((DATOS!$B$34*H41/((D41*F41)/(D41+2*F41))^(2/3))^2))/2))&gt;0,BJ42,((BJ42+BK42)/2))</f>
        <v/>
      </c>
      <c r="BM42" s="5">
        <f>IF((((BJ42+BK42)/2)+(C42/(D42*((BJ42+BK42)/2)))^2/(2*9.81)+B42-(G41+H41^2/(2*9.81))-(A41-A42)*(((DATOS!$B$34*(C42/(D42*((BJ42+BK42)/2)))/((D42*((BJ42+BK42)/2))/(D42+2*((BJ42+BK42)/2)))^(2/3))^2+((DATOS!$B$34*H41/((D41*F41)/(D41+2*F41))^(2/3))^2))/2))&gt;0,((BJ42+BK42)/2),BK42)</f>
        <v/>
      </c>
      <c r="BN42" s="5">
        <f>IF((((BL42+BM42)/2)+(C42/(D42*((BL42+BM42)/2)))^2/(2*9.81)+B42-(G41+H41^2/(2*9.81))-(A41-A42)*(((DATOS!$B$34*(C42/(D42*((BL42+BM42)/2)))/((D42*((BL42+BM42)/2))/(D42+2*((BL42+BM42)/2)))^(2/3))^2+((DATOS!$B$34*H41/((D41*F41)/(D41+2*F41))^(2/3))^2))/2))&gt;0,BL42,((BL42+BM42)/2))</f>
        <v/>
      </c>
      <c r="BO42" s="5">
        <f>IF((((BL42+BM42)/2)+(C42/(D42*((BL42+BM42)/2)))^2/(2*9.81)+B42-(G41+H41^2/(2*9.81))-(A41-A42)*(((DATOS!$B$34*(C42/(D42*((BL42+BM42)/2)))/((D42*((BL42+BM42)/2))/(D42+2*((BL42+BM42)/2)))^(2/3))^2+((DATOS!$B$34*H41/((D41*F41)/(D41+2*F41))^(2/3))^2))/2))&gt;0,((BL42+BM42)/2),BM42)</f>
        <v/>
      </c>
      <c r="BP42" s="5">
        <f>IF((((BN42+BO42)/2)+(C42/(D42*((BN42+BO42)/2)))^2/(2*9.81)+B42-(G41+H41^2/(2*9.81))-(A41-A42)*(((DATOS!$B$34*(C42/(D42*((BN42+BO42)/2)))/((D42*((BN42+BO42)/2))/(D42+2*((BN42+BO42)/2)))^(2/3))^2+((DATOS!$B$34*H41/((D41*F41)/(D41+2*F41))^(2/3))^2))/2))&gt;0,BN42,((BN42+BO42)/2))</f>
        <v/>
      </c>
      <c r="BQ42" s="5">
        <f>IF((((BN42+BO42)/2)+(C42/(D42*((BN42+BO42)/2)))^2/(2*9.81)+B42-(G41+H41^2/(2*9.81))-(A41-A42)*(((DATOS!$B$34*(C42/(D42*((BN42+BO42)/2)))/((D42*((BN42+BO42)/2))/(D42+2*((BN42+BO42)/2)))^(2/3))^2+((DATOS!$B$34*H41/((D41*F41)/(D41+2*F41))^(2/3))^2))/2))&gt;0,((BN42+BO42)/2),BO42)</f>
        <v/>
      </c>
      <c r="BR42" s="5">
        <f>IF((((BP42+BQ42)/2)+(C42/(D42*((BP42+BQ42)/2)))^2/(2*9.81)+B42-(G41+H41^2/(2*9.81))-(A41-A42)*(((DATOS!$B$34*(C42/(D42*((BP42+BQ42)/2)))/((D42*((BP42+BQ42)/2))/(D42+2*((BP42+BQ42)/2)))^(2/3))^2+((DATOS!$B$34*H41/((D41*F41)/(D41+2*F41))^(2/3))^2))/2))&gt;0,BP42,((BP42+BQ42)/2))</f>
        <v/>
      </c>
      <c r="BS42" s="5">
        <f>IF((((BP42+BQ42)/2)+(C42/(D42*((BP42+BQ42)/2)))^2/(2*9.81)+B42-(G41+H41^2/(2*9.81))-(A41-A42)*(((DATOS!$B$34*(C42/(D42*((BP42+BQ42)/2)))/((D42*((BP42+BQ42)/2))/(D42+2*((BP42+BQ42)/2)))^(2/3))^2+((DATOS!$B$34*H41/((D41*F41)/(D41+2*F41))^(2/3))^2))/2))&gt;0,((BP42+BQ42)/2),BQ42)</f>
        <v/>
      </c>
      <c r="BT42" s="5">
        <f>IF((((BR42+BS42)/2)+(C42/(D42*((BR42+BS42)/2)))^2/(2*9.81)+B42-(G41+H41^2/(2*9.81))-(A41-A42)*(((DATOS!$B$34*(C42/(D42*((BR42+BS42)/2)))/((D42*((BR42+BS42)/2))/(D42+2*((BR42+BS42)/2)))^(2/3))^2+((DATOS!$B$34*H41/((D41*F41)/(D41+2*F41))^(2/3))^2))/2))&gt;0,BR42,((BR42+BS42)/2))</f>
        <v/>
      </c>
      <c r="BU42" s="5">
        <f>IF((((BR42+BS42)/2)+(C42/(D42*((BR42+BS42)/2)))^2/(2*9.81)+B42-(G41+H41^2/(2*9.81))-(A41-A42)*(((DATOS!$B$34*(C42/(D42*((BR42+BS42)/2)))/((D42*((BR42+BS42)/2))/(D42+2*((BR42+BS42)/2)))^(2/3))^2+((DATOS!$B$34*H41/((D41*F41)/(D41+2*F41))^(2/3))^2))/2))&gt;0,((BR42+BS42)/2),BS42)</f>
        <v/>
      </c>
      <c r="BV42" s="5">
        <f>IF((((BT42+BU42)/2)+(C42/(D42*((BT42+BU42)/2)))^2/(2*9.81)+B42-(G41+H41^2/(2*9.81))-(A41-A42)*(((DATOS!$B$34*(C42/(D42*((BT42+BU42)/2)))/((D42*((BT42+BU42)/2))/(D42+2*((BT42+BU42)/2)))^(2/3))^2+((DATOS!$B$34*H41/((D41*F41)/(D41+2*F41))^(2/3))^2))/2))&gt;0,BT42,((BT42+BU42)/2))</f>
        <v/>
      </c>
      <c r="BW42" s="5">
        <f>IF((((BT42+BU42)/2)+(C42/(D42*((BT42+BU42)/2)))^2/(2*9.81)+B42-(G41+H41^2/(2*9.81))-(A41-A42)*(((DATOS!$B$34*(C42/(D42*((BT42+BU42)/2)))/((D42*((BT42+BU42)/2))/(D42+2*((BT42+BU42)/2)))^(2/3))^2+((DATOS!$B$34*H41/((D41*F41)/(D41+2*F41))^(2/3))^2))/2))&gt;0,((BT42+BU42)/2),BU42)</f>
        <v/>
      </c>
    </row>
    <row r="43">
      <c r="A43" s="13" t="n">
        <v>41</v>
      </c>
      <c r="B43" s="16">
        <f>DATOS!$B$22-DATOS!$B$23*A43</f>
        <v/>
      </c>
      <c r="C43" s="24">
        <f>CAUDALES!$B$13</f>
        <v/>
      </c>
      <c r="D43" s="17">
        <f>DATOS!$B$17</f>
        <v/>
      </c>
      <c r="E43" s="16">
        <f>(C43^2/(9.81*D43^2))^(1/3)</f>
        <v/>
      </c>
      <c r="F43" s="16">
        <f>(BV43+BW43)/2</f>
        <v/>
      </c>
      <c r="G43" s="16">
        <f>B43+F43</f>
        <v/>
      </c>
      <c r="H43" s="19">
        <f>C43/(D43*F43)</f>
        <v/>
      </c>
      <c r="I43" s="19">
        <f>H43/SQRT(9.81*F43)</f>
        <v/>
      </c>
      <c r="J43" s="16">
        <f>DATOS!$B$29-IF(AND(A43&gt;=DATOS!$B$30,A43&lt;DATOS!$B$31),DATOS!$B$21,DATOS!$B$20)</f>
        <v/>
      </c>
      <c r="K43" s="19">
        <f>J43-B43</f>
        <v/>
      </c>
      <c r="L43" s="19">
        <f>F43/K43</f>
        <v/>
      </c>
      <c r="M43" s="16">
        <f>J43-G43</f>
        <v/>
      </c>
      <c r="N43" s="5">
        <f>IF(AND(L43&lt;=DATOS!$B$36,M43&gt;=DATOS!$B$37,I43&lt;=1),"CUMPLE","NO CUMPLE")</f>
        <v/>
      </c>
      <c r="O43" s="5">
        <f>IF(AND(A43&gt;=DATOS!$B$30,A43&lt;DATOS!$B$31),"cruce de camiones",IF(AND(A43&gt;=DATOS!$B$32,A43&lt;DATOS!$B$33),"cruce de motos","tramo normal"))</f>
        <v/>
      </c>
      <c r="P43" s="5">
        <f>E43*1.001</f>
        <v/>
      </c>
      <c r="Q43" s="13" t="n">
        <v>3</v>
      </c>
      <c r="R43" s="5">
        <f>IF((((P43+Q43)/2)+(C43/(D43*((P43+Q43)/2)))^2/(2*9.81)+B43-(G42+H42^2/(2*9.81))-(A42-A43)*(((DATOS!$B$34*(C43/(D43*((P43+Q43)/2)))/((D43*((P43+Q43)/2))/(D43+2*((P43+Q43)/2)))^(2/3))^2+((DATOS!$B$34*H42/((D42*F42)/(D42+2*F42))^(2/3))^2))/2))&gt;0,P43,((P43+Q43)/2))</f>
        <v/>
      </c>
      <c r="S43" s="5">
        <f>IF((((P43+Q43)/2)+(C43/(D43*((P43+Q43)/2)))^2/(2*9.81)+B43-(G42+H42^2/(2*9.81))-(A42-A43)*(((DATOS!$B$34*(C43/(D43*((P43+Q43)/2)))/((D43*((P43+Q43)/2))/(D43+2*((P43+Q43)/2)))^(2/3))^2+((DATOS!$B$34*H42/((D42*F42)/(D42+2*F42))^(2/3))^2))/2))&gt;0,((P43+Q43)/2),Q43)</f>
        <v/>
      </c>
      <c r="T43" s="5">
        <f>IF((((R43+S43)/2)+(C43/(D43*((R43+S43)/2)))^2/(2*9.81)+B43-(G42+H42^2/(2*9.81))-(A42-A43)*(((DATOS!$B$34*(C43/(D43*((R43+S43)/2)))/((D43*((R43+S43)/2))/(D43+2*((R43+S43)/2)))^(2/3))^2+((DATOS!$B$34*H42/((D42*F42)/(D42+2*F42))^(2/3))^2))/2))&gt;0,R43,((R43+S43)/2))</f>
        <v/>
      </c>
      <c r="U43" s="5">
        <f>IF((((R43+S43)/2)+(C43/(D43*((R43+S43)/2)))^2/(2*9.81)+B43-(G42+H42^2/(2*9.81))-(A42-A43)*(((DATOS!$B$34*(C43/(D43*((R43+S43)/2)))/((D43*((R43+S43)/2))/(D43+2*((R43+S43)/2)))^(2/3))^2+((DATOS!$B$34*H42/((D42*F42)/(D42+2*F42))^(2/3))^2))/2))&gt;0,((R43+S43)/2),S43)</f>
        <v/>
      </c>
      <c r="V43" s="5">
        <f>IF((((T43+U43)/2)+(C43/(D43*((T43+U43)/2)))^2/(2*9.81)+B43-(G42+H42^2/(2*9.81))-(A42-A43)*(((DATOS!$B$34*(C43/(D43*((T43+U43)/2)))/((D43*((T43+U43)/2))/(D43+2*((T43+U43)/2)))^(2/3))^2+((DATOS!$B$34*H42/((D42*F42)/(D42+2*F42))^(2/3))^2))/2))&gt;0,T43,((T43+U43)/2))</f>
        <v/>
      </c>
      <c r="W43" s="5">
        <f>IF((((T43+U43)/2)+(C43/(D43*((T43+U43)/2)))^2/(2*9.81)+B43-(G42+H42^2/(2*9.81))-(A42-A43)*(((DATOS!$B$34*(C43/(D43*((T43+U43)/2)))/((D43*((T43+U43)/2))/(D43+2*((T43+U43)/2)))^(2/3))^2+((DATOS!$B$34*H42/((D42*F42)/(D42+2*F42))^(2/3))^2))/2))&gt;0,((T43+U43)/2),U43)</f>
        <v/>
      </c>
      <c r="X43" s="5">
        <f>IF((((V43+W43)/2)+(C43/(D43*((V43+W43)/2)))^2/(2*9.81)+B43-(G42+H42^2/(2*9.81))-(A42-A43)*(((DATOS!$B$34*(C43/(D43*((V43+W43)/2)))/((D43*((V43+W43)/2))/(D43+2*((V43+W43)/2)))^(2/3))^2+((DATOS!$B$34*H42/((D42*F42)/(D42+2*F42))^(2/3))^2))/2))&gt;0,V43,((V43+W43)/2))</f>
        <v/>
      </c>
      <c r="Y43" s="5">
        <f>IF((((V43+W43)/2)+(C43/(D43*((V43+W43)/2)))^2/(2*9.81)+B43-(G42+H42^2/(2*9.81))-(A42-A43)*(((DATOS!$B$34*(C43/(D43*((V43+W43)/2)))/((D43*((V43+W43)/2))/(D43+2*((V43+W43)/2)))^(2/3))^2+((DATOS!$B$34*H42/((D42*F42)/(D42+2*F42))^(2/3))^2))/2))&gt;0,((V43+W43)/2),W43)</f>
        <v/>
      </c>
      <c r="Z43" s="5">
        <f>IF((((X43+Y43)/2)+(C43/(D43*((X43+Y43)/2)))^2/(2*9.81)+B43-(G42+H42^2/(2*9.81))-(A42-A43)*(((DATOS!$B$34*(C43/(D43*((X43+Y43)/2)))/((D43*((X43+Y43)/2))/(D43+2*((X43+Y43)/2)))^(2/3))^2+((DATOS!$B$34*H42/((D42*F42)/(D42+2*F42))^(2/3))^2))/2))&gt;0,X43,((X43+Y43)/2))</f>
        <v/>
      </c>
      <c r="AA43" s="5">
        <f>IF((((X43+Y43)/2)+(C43/(D43*((X43+Y43)/2)))^2/(2*9.81)+B43-(G42+H42^2/(2*9.81))-(A42-A43)*(((DATOS!$B$34*(C43/(D43*((X43+Y43)/2)))/((D43*((X43+Y43)/2))/(D43+2*((X43+Y43)/2)))^(2/3))^2+((DATOS!$B$34*H42/((D42*F42)/(D42+2*F42))^(2/3))^2))/2))&gt;0,((X43+Y43)/2),Y43)</f>
        <v/>
      </c>
      <c r="AB43" s="5">
        <f>IF((((Z43+AA43)/2)+(C43/(D43*((Z43+AA43)/2)))^2/(2*9.81)+B43-(G42+H42^2/(2*9.81))-(A42-A43)*(((DATOS!$B$34*(C43/(D43*((Z43+AA43)/2)))/((D43*((Z43+AA43)/2))/(D43+2*((Z43+AA43)/2)))^(2/3))^2+((DATOS!$B$34*H42/((D42*F42)/(D42+2*F42))^(2/3))^2))/2))&gt;0,Z43,((Z43+AA43)/2))</f>
        <v/>
      </c>
      <c r="AC43" s="5">
        <f>IF((((Z43+AA43)/2)+(C43/(D43*((Z43+AA43)/2)))^2/(2*9.81)+B43-(G42+H42^2/(2*9.81))-(A42-A43)*(((DATOS!$B$34*(C43/(D43*((Z43+AA43)/2)))/((D43*((Z43+AA43)/2))/(D43+2*((Z43+AA43)/2)))^(2/3))^2+((DATOS!$B$34*H42/((D42*F42)/(D42+2*F42))^(2/3))^2))/2))&gt;0,((Z43+AA43)/2),AA43)</f>
        <v/>
      </c>
      <c r="AD43" s="5">
        <f>IF((((AB43+AC43)/2)+(C43/(D43*((AB43+AC43)/2)))^2/(2*9.81)+B43-(G42+H42^2/(2*9.81))-(A42-A43)*(((DATOS!$B$34*(C43/(D43*((AB43+AC43)/2)))/((D43*((AB43+AC43)/2))/(D43+2*((AB43+AC43)/2)))^(2/3))^2+((DATOS!$B$34*H42/((D42*F42)/(D42+2*F42))^(2/3))^2))/2))&gt;0,AB43,((AB43+AC43)/2))</f>
        <v/>
      </c>
      <c r="AE43" s="5">
        <f>IF((((AB43+AC43)/2)+(C43/(D43*((AB43+AC43)/2)))^2/(2*9.81)+B43-(G42+H42^2/(2*9.81))-(A42-A43)*(((DATOS!$B$34*(C43/(D43*((AB43+AC43)/2)))/((D43*((AB43+AC43)/2))/(D43+2*((AB43+AC43)/2)))^(2/3))^2+((DATOS!$B$34*H42/((D42*F42)/(D42+2*F42))^(2/3))^2))/2))&gt;0,((AB43+AC43)/2),AC43)</f>
        <v/>
      </c>
      <c r="AF43" s="5">
        <f>IF((((AD43+AE43)/2)+(C43/(D43*((AD43+AE43)/2)))^2/(2*9.81)+B43-(G42+H42^2/(2*9.81))-(A42-A43)*(((DATOS!$B$34*(C43/(D43*((AD43+AE43)/2)))/((D43*((AD43+AE43)/2))/(D43+2*((AD43+AE43)/2)))^(2/3))^2+((DATOS!$B$34*H42/((D42*F42)/(D42+2*F42))^(2/3))^2))/2))&gt;0,AD43,((AD43+AE43)/2))</f>
        <v/>
      </c>
      <c r="AG43" s="5">
        <f>IF((((AD43+AE43)/2)+(C43/(D43*((AD43+AE43)/2)))^2/(2*9.81)+B43-(G42+H42^2/(2*9.81))-(A42-A43)*(((DATOS!$B$34*(C43/(D43*((AD43+AE43)/2)))/((D43*((AD43+AE43)/2))/(D43+2*((AD43+AE43)/2)))^(2/3))^2+((DATOS!$B$34*H42/((D42*F42)/(D42+2*F42))^(2/3))^2))/2))&gt;0,((AD43+AE43)/2),AE43)</f>
        <v/>
      </c>
      <c r="AH43" s="5">
        <f>IF((((AF43+AG43)/2)+(C43/(D43*((AF43+AG43)/2)))^2/(2*9.81)+B43-(G42+H42^2/(2*9.81))-(A42-A43)*(((DATOS!$B$34*(C43/(D43*((AF43+AG43)/2)))/((D43*((AF43+AG43)/2))/(D43+2*((AF43+AG43)/2)))^(2/3))^2+((DATOS!$B$34*H42/((D42*F42)/(D42+2*F42))^(2/3))^2))/2))&gt;0,AF43,((AF43+AG43)/2))</f>
        <v/>
      </c>
      <c r="AI43" s="5">
        <f>IF((((AF43+AG43)/2)+(C43/(D43*((AF43+AG43)/2)))^2/(2*9.81)+B43-(G42+H42^2/(2*9.81))-(A42-A43)*(((DATOS!$B$34*(C43/(D43*((AF43+AG43)/2)))/((D43*((AF43+AG43)/2))/(D43+2*((AF43+AG43)/2)))^(2/3))^2+((DATOS!$B$34*H42/((D42*F42)/(D42+2*F42))^(2/3))^2))/2))&gt;0,((AF43+AG43)/2),AG43)</f>
        <v/>
      </c>
      <c r="AJ43" s="5">
        <f>IF((((AH43+AI43)/2)+(C43/(D43*((AH43+AI43)/2)))^2/(2*9.81)+B43-(G42+H42^2/(2*9.81))-(A42-A43)*(((DATOS!$B$34*(C43/(D43*((AH43+AI43)/2)))/((D43*((AH43+AI43)/2))/(D43+2*((AH43+AI43)/2)))^(2/3))^2+((DATOS!$B$34*H42/((D42*F42)/(D42+2*F42))^(2/3))^2))/2))&gt;0,AH43,((AH43+AI43)/2))</f>
        <v/>
      </c>
      <c r="AK43" s="5">
        <f>IF((((AH43+AI43)/2)+(C43/(D43*((AH43+AI43)/2)))^2/(2*9.81)+B43-(G42+H42^2/(2*9.81))-(A42-A43)*(((DATOS!$B$34*(C43/(D43*((AH43+AI43)/2)))/((D43*((AH43+AI43)/2))/(D43+2*((AH43+AI43)/2)))^(2/3))^2+((DATOS!$B$34*H42/((D42*F42)/(D42+2*F42))^(2/3))^2))/2))&gt;0,((AH43+AI43)/2),AI43)</f>
        <v/>
      </c>
      <c r="AL43" s="5">
        <f>IF((((AJ43+AK43)/2)+(C43/(D43*((AJ43+AK43)/2)))^2/(2*9.81)+B43-(G42+H42^2/(2*9.81))-(A42-A43)*(((DATOS!$B$34*(C43/(D43*((AJ43+AK43)/2)))/((D43*((AJ43+AK43)/2))/(D43+2*((AJ43+AK43)/2)))^(2/3))^2+((DATOS!$B$34*H42/((D42*F42)/(D42+2*F42))^(2/3))^2))/2))&gt;0,AJ43,((AJ43+AK43)/2))</f>
        <v/>
      </c>
      <c r="AM43" s="5">
        <f>IF((((AJ43+AK43)/2)+(C43/(D43*((AJ43+AK43)/2)))^2/(2*9.81)+B43-(G42+H42^2/(2*9.81))-(A42-A43)*(((DATOS!$B$34*(C43/(D43*((AJ43+AK43)/2)))/((D43*((AJ43+AK43)/2))/(D43+2*((AJ43+AK43)/2)))^(2/3))^2+((DATOS!$B$34*H42/((D42*F42)/(D42+2*F42))^(2/3))^2))/2))&gt;0,((AJ43+AK43)/2),AK43)</f>
        <v/>
      </c>
      <c r="AN43" s="5">
        <f>IF((((AL43+AM43)/2)+(C43/(D43*((AL43+AM43)/2)))^2/(2*9.81)+B43-(G42+H42^2/(2*9.81))-(A42-A43)*(((DATOS!$B$34*(C43/(D43*((AL43+AM43)/2)))/((D43*((AL43+AM43)/2))/(D43+2*((AL43+AM43)/2)))^(2/3))^2+((DATOS!$B$34*H42/((D42*F42)/(D42+2*F42))^(2/3))^2))/2))&gt;0,AL43,((AL43+AM43)/2))</f>
        <v/>
      </c>
      <c r="AO43" s="5">
        <f>IF((((AL43+AM43)/2)+(C43/(D43*((AL43+AM43)/2)))^2/(2*9.81)+B43-(G42+H42^2/(2*9.81))-(A42-A43)*(((DATOS!$B$34*(C43/(D43*((AL43+AM43)/2)))/((D43*((AL43+AM43)/2))/(D43+2*((AL43+AM43)/2)))^(2/3))^2+((DATOS!$B$34*H42/((D42*F42)/(D42+2*F42))^(2/3))^2))/2))&gt;0,((AL43+AM43)/2),AM43)</f>
        <v/>
      </c>
      <c r="AP43" s="5">
        <f>IF((((AN43+AO43)/2)+(C43/(D43*((AN43+AO43)/2)))^2/(2*9.81)+B43-(G42+H42^2/(2*9.81))-(A42-A43)*(((DATOS!$B$34*(C43/(D43*((AN43+AO43)/2)))/((D43*((AN43+AO43)/2))/(D43+2*((AN43+AO43)/2)))^(2/3))^2+((DATOS!$B$34*H42/((D42*F42)/(D42+2*F42))^(2/3))^2))/2))&gt;0,AN43,((AN43+AO43)/2))</f>
        <v/>
      </c>
      <c r="AQ43" s="5">
        <f>IF((((AN43+AO43)/2)+(C43/(D43*((AN43+AO43)/2)))^2/(2*9.81)+B43-(G42+H42^2/(2*9.81))-(A42-A43)*(((DATOS!$B$34*(C43/(D43*((AN43+AO43)/2)))/((D43*((AN43+AO43)/2))/(D43+2*((AN43+AO43)/2)))^(2/3))^2+((DATOS!$B$34*H42/((D42*F42)/(D42+2*F42))^(2/3))^2))/2))&gt;0,((AN43+AO43)/2),AO43)</f>
        <v/>
      </c>
      <c r="AR43" s="5">
        <f>IF((((AP43+AQ43)/2)+(C43/(D43*((AP43+AQ43)/2)))^2/(2*9.81)+B43-(G42+H42^2/(2*9.81))-(A42-A43)*(((DATOS!$B$34*(C43/(D43*((AP43+AQ43)/2)))/((D43*((AP43+AQ43)/2))/(D43+2*((AP43+AQ43)/2)))^(2/3))^2+((DATOS!$B$34*H42/((D42*F42)/(D42+2*F42))^(2/3))^2))/2))&gt;0,AP43,((AP43+AQ43)/2))</f>
        <v/>
      </c>
      <c r="AS43" s="5">
        <f>IF((((AP43+AQ43)/2)+(C43/(D43*((AP43+AQ43)/2)))^2/(2*9.81)+B43-(G42+H42^2/(2*9.81))-(A42-A43)*(((DATOS!$B$34*(C43/(D43*((AP43+AQ43)/2)))/((D43*((AP43+AQ43)/2))/(D43+2*((AP43+AQ43)/2)))^(2/3))^2+((DATOS!$B$34*H42/((D42*F42)/(D42+2*F42))^(2/3))^2))/2))&gt;0,((AP43+AQ43)/2),AQ43)</f>
        <v/>
      </c>
      <c r="AT43" s="5">
        <f>IF((((AR43+AS43)/2)+(C43/(D43*((AR43+AS43)/2)))^2/(2*9.81)+B43-(G42+H42^2/(2*9.81))-(A42-A43)*(((DATOS!$B$34*(C43/(D43*((AR43+AS43)/2)))/((D43*((AR43+AS43)/2))/(D43+2*((AR43+AS43)/2)))^(2/3))^2+((DATOS!$B$34*H42/((D42*F42)/(D42+2*F42))^(2/3))^2))/2))&gt;0,AR43,((AR43+AS43)/2))</f>
        <v/>
      </c>
      <c r="AU43" s="5">
        <f>IF((((AR43+AS43)/2)+(C43/(D43*((AR43+AS43)/2)))^2/(2*9.81)+B43-(G42+H42^2/(2*9.81))-(A42-A43)*(((DATOS!$B$34*(C43/(D43*((AR43+AS43)/2)))/((D43*((AR43+AS43)/2))/(D43+2*((AR43+AS43)/2)))^(2/3))^2+((DATOS!$B$34*H42/((D42*F42)/(D42+2*F42))^(2/3))^2))/2))&gt;0,((AR43+AS43)/2),AS43)</f>
        <v/>
      </c>
      <c r="AV43" s="5">
        <f>IF((((AT43+AU43)/2)+(C43/(D43*((AT43+AU43)/2)))^2/(2*9.81)+B43-(G42+H42^2/(2*9.81))-(A42-A43)*(((DATOS!$B$34*(C43/(D43*((AT43+AU43)/2)))/((D43*((AT43+AU43)/2))/(D43+2*((AT43+AU43)/2)))^(2/3))^2+((DATOS!$B$34*H42/((D42*F42)/(D42+2*F42))^(2/3))^2))/2))&gt;0,AT43,((AT43+AU43)/2))</f>
        <v/>
      </c>
      <c r="AW43" s="5">
        <f>IF((((AT43+AU43)/2)+(C43/(D43*((AT43+AU43)/2)))^2/(2*9.81)+B43-(G42+H42^2/(2*9.81))-(A42-A43)*(((DATOS!$B$34*(C43/(D43*((AT43+AU43)/2)))/((D43*((AT43+AU43)/2))/(D43+2*((AT43+AU43)/2)))^(2/3))^2+((DATOS!$B$34*H42/((D42*F42)/(D42+2*F42))^(2/3))^2))/2))&gt;0,((AT43+AU43)/2),AU43)</f>
        <v/>
      </c>
      <c r="AX43" s="5">
        <f>IF((((AV43+AW43)/2)+(C43/(D43*((AV43+AW43)/2)))^2/(2*9.81)+B43-(G42+H42^2/(2*9.81))-(A42-A43)*(((DATOS!$B$34*(C43/(D43*((AV43+AW43)/2)))/((D43*((AV43+AW43)/2))/(D43+2*((AV43+AW43)/2)))^(2/3))^2+((DATOS!$B$34*H42/((D42*F42)/(D42+2*F42))^(2/3))^2))/2))&gt;0,AV43,((AV43+AW43)/2))</f>
        <v/>
      </c>
      <c r="AY43" s="5">
        <f>IF((((AV43+AW43)/2)+(C43/(D43*((AV43+AW43)/2)))^2/(2*9.81)+B43-(G42+H42^2/(2*9.81))-(A42-A43)*(((DATOS!$B$34*(C43/(D43*((AV43+AW43)/2)))/((D43*((AV43+AW43)/2))/(D43+2*((AV43+AW43)/2)))^(2/3))^2+((DATOS!$B$34*H42/((D42*F42)/(D42+2*F42))^(2/3))^2))/2))&gt;0,((AV43+AW43)/2),AW43)</f>
        <v/>
      </c>
      <c r="AZ43" s="5">
        <f>IF((((AX43+AY43)/2)+(C43/(D43*((AX43+AY43)/2)))^2/(2*9.81)+B43-(G42+H42^2/(2*9.81))-(A42-A43)*(((DATOS!$B$34*(C43/(D43*((AX43+AY43)/2)))/((D43*((AX43+AY43)/2))/(D43+2*((AX43+AY43)/2)))^(2/3))^2+((DATOS!$B$34*H42/((D42*F42)/(D42+2*F42))^(2/3))^2))/2))&gt;0,AX43,((AX43+AY43)/2))</f>
        <v/>
      </c>
      <c r="BA43" s="5">
        <f>IF((((AX43+AY43)/2)+(C43/(D43*((AX43+AY43)/2)))^2/(2*9.81)+B43-(G42+H42^2/(2*9.81))-(A42-A43)*(((DATOS!$B$34*(C43/(D43*((AX43+AY43)/2)))/((D43*((AX43+AY43)/2))/(D43+2*((AX43+AY43)/2)))^(2/3))^2+((DATOS!$B$34*H42/((D42*F42)/(D42+2*F42))^(2/3))^2))/2))&gt;0,((AX43+AY43)/2),AY43)</f>
        <v/>
      </c>
      <c r="BB43" s="5">
        <f>IF((((AZ43+BA43)/2)+(C43/(D43*((AZ43+BA43)/2)))^2/(2*9.81)+B43-(G42+H42^2/(2*9.81))-(A42-A43)*(((DATOS!$B$34*(C43/(D43*((AZ43+BA43)/2)))/((D43*((AZ43+BA43)/2))/(D43+2*((AZ43+BA43)/2)))^(2/3))^2+((DATOS!$B$34*H42/((D42*F42)/(D42+2*F42))^(2/3))^2))/2))&gt;0,AZ43,((AZ43+BA43)/2))</f>
        <v/>
      </c>
      <c r="BC43" s="5">
        <f>IF((((AZ43+BA43)/2)+(C43/(D43*((AZ43+BA43)/2)))^2/(2*9.81)+B43-(G42+H42^2/(2*9.81))-(A42-A43)*(((DATOS!$B$34*(C43/(D43*((AZ43+BA43)/2)))/((D43*((AZ43+BA43)/2))/(D43+2*((AZ43+BA43)/2)))^(2/3))^2+((DATOS!$B$34*H42/((D42*F42)/(D42+2*F42))^(2/3))^2))/2))&gt;0,((AZ43+BA43)/2),BA43)</f>
        <v/>
      </c>
      <c r="BD43" s="5">
        <f>IF((((BB43+BC43)/2)+(C43/(D43*((BB43+BC43)/2)))^2/(2*9.81)+B43-(G42+H42^2/(2*9.81))-(A42-A43)*(((DATOS!$B$34*(C43/(D43*((BB43+BC43)/2)))/((D43*((BB43+BC43)/2))/(D43+2*((BB43+BC43)/2)))^(2/3))^2+((DATOS!$B$34*H42/((D42*F42)/(D42+2*F42))^(2/3))^2))/2))&gt;0,BB43,((BB43+BC43)/2))</f>
        <v/>
      </c>
      <c r="BE43" s="5">
        <f>IF((((BB43+BC43)/2)+(C43/(D43*((BB43+BC43)/2)))^2/(2*9.81)+B43-(G42+H42^2/(2*9.81))-(A42-A43)*(((DATOS!$B$34*(C43/(D43*((BB43+BC43)/2)))/((D43*((BB43+BC43)/2))/(D43+2*((BB43+BC43)/2)))^(2/3))^2+((DATOS!$B$34*H42/((D42*F42)/(D42+2*F42))^(2/3))^2))/2))&gt;0,((BB43+BC43)/2),BC43)</f>
        <v/>
      </c>
      <c r="BF43" s="5">
        <f>IF((((BD43+BE43)/2)+(C43/(D43*((BD43+BE43)/2)))^2/(2*9.81)+B43-(G42+H42^2/(2*9.81))-(A42-A43)*(((DATOS!$B$34*(C43/(D43*((BD43+BE43)/2)))/((D43*((BD43+BE43)/2))/(D43+2*((BD43+BE43)/2)))^(2/3))^2+((DATOS!$B$34*H42/((D42*F42)/(D42+2*F42))^(2/3))^2))/2))&gt;0,BD43,((BD43+BE43)/2))</f>
        <v/>
      </c>
      <c r="BG43" s="5">
        <f>IF((((BD43+BE43)/2)+(C43/(D43*((BD43+BE43)/2)))^2/(2*9.81)+B43-(G42+H42^2/(2*9.81))-(A42-A43)*(((DATOS!$B$34*(C43/(D43*((BD43+BE43)/2)))/((D43*((BD43+BE43)/2))/(D43+2*((BD43+BE43)/2)))^(2/3))^2+((DATOS!$B$34*H42/((D42*F42)/(D42+2*F42))^(2/3))^2))/2))&gt;0,((BD43+BE43)/2),BE43)</f>
        <v/>
      </c>
      <c r="BH43" s="5">
        <f>IF((((BF43+BG43)/2)+(C43/(D43*((BF43+BG43)/2)))^2/(2*9.81)+B43-(G42+H42^2/(2*9.81))-(A42-A43)*(((DATOS!$B$34*(C43/(D43*((BF43+BG43)/2)))/((D43*((BF43+BG43)/2))/(D43+2*((BF43+BG43)/2)))^(2/3))^2+((DATOS!$B$34*H42/((D42*F42)/(D42+2*F42))^(2/3))^2))/2))&gt;0,BF43,((BF43+BG43)/2))</f>
        <v/>
      </c>
      <c r="BI43" s="5">
        <f>IF((((BF43+BG43)/2)+(C43/(D43*((BF43+BG43)/2)))^2/(2*9.81)+B43-(G42+H42^2/(2*9.81))-(A42-A43)*(((DATOS!$B$34*(C43/(D43*((BF43+BG43)/2)))/((D43*((BF43+BG43)/2))/(D43+2*((BF43+BG43)/2)))^(2/3))^2+((DATOS!$B$34*H42/((D42*F42)/(D42+2*F42))^(2/3))^2))/2))&gt;0,((BF43+BG43)/2),BG43)</f>
        <v/>
      </c>
      <c r="BJ43" s="5">
        <f>IF((((BH43+BI43)/2)+(C43/(D43*((BH43+BI43)/2)))^2/(2*9.81)+B43-(G42+H42^2/(2*9.81))-(A42-A43)*(((DATOS!$B$34*(C43/(D43*((BH43+BI43)/2)))/((D43*((BH43+BI43)/2))/(D43+2*((BH43+BI43)/2)))^(2/3))^2+((DATOS!$B$34*H42/((D42*F42)/(D42+2*F42))^(2/3))^2))/2))&gt;0,BH43,((BH43+BI43)/2))</f>
        <v/>
      </c>
      <c r="BK43" s="5">
        <f>IF((((BH43+BI43)/2)+(C43/(D43*((BH43+BI43)/2)))^2/(2*9.81)+B43-(G42+H42^2/(2*9.81))-(A42-A43)*(((DATOS!$B$34*(C43/(D43*((BH43+BI43)/2)))/((D43*((BH43+BI43)/2))/(D43+2*((BH43+BI43)/2)))^(2/3))^2+((DATOS!$B$34*H42/((D42*F42)/(D42+2*F42))^(2/3))^2))/2))&gt;0,((BH43+BI43)/2),BI43)</f>
        <v/>
      </c>
      <c r="BL43" s="5">
        <f>IF((((BJ43+BK43)/2)+(C43/(D43*((BJ43+BK43)/2)))^2/(2*9.81)+B43-(G42+H42^2/(2*9.81))-(A42-A43)*(((DATOS!$B$34*(C43/(D43*((BJ43+BK43)/2)))/((D43*((BJ43+BK43)/2))/(D43+2*((BJ43+BK43)/2)))^(2/3))^2+((DATOS!$B$34*H42/((D42*F42)/(D42+2*F42))^(2/3))^2))/2))&gt;0,BJ43,((BJ43+BK43)/2))</f>
        <v/>
      </c>
      <c r="BM43" s="5">
        <f>IF((((BJ43+BK43)/2)+(C43/(D43*((BJ43+BK43)/2)))^2/(2*9.81)+B43-(G42+H42^2/(2*9.81))-(A42-A43)*(((DATOS!$B$34*(C43/(D43*((BJ43+BK43)/2)))/((D43*((BJ43+BK43)/2))/(D43+2*((BJ43+BK43)/2)))^(2/3))^2+((DATOS!$B$34*H42/((D42*F42)/(D42+2*F42))^(2/3))^2))/2))&gt;0,((BJ43+BK43)/2),BK43)</f>
        <v/>
      </c>
      <c r="BN43" s="5">
        <f>IF((((BL43+BM43)/2)+(C43/(D43*((BL43+BM43)/2)))^2/(2*9.81)+B43-(G42+H42^2/(2*9.81))-(A42-A43)*(((DATOS!$B$34*(C43/(D43*((BL43+BM43)/2)))/((D43*((BL43+BM43)/2))/(D43+2*((BL43+BM43)/2)))^(2/3))^2+((DATOS!$B$34*H42/((D42*F42)/(D42+2*F42))^(2/3))^2))/2))&gt;0,BL43,((BL43+BM43)/2))</f>
        <v/>
      </c>
      <c r="BO43" s="5">
        <f>IF((((BL43+BM43)/2)+(C43/(D43*((BL43+BM43)/2)))^2/(2*9.81)+B43-(G42+H42^2/(2*9.81))-(A42-A43)*(((DATOS!$B$34*(C43/(D43*((BL43+BM43)/2)))/((D43*((BL43+BM43)/2))/(D43+2*((BL43+BM43)/2)))^(2/3))^2+((DATOS!$B$34*H42/((D42*F42)/(D42+2*F42))^(2/3))^2))/2))&gt;0,((BL43+BM43)/2),BM43)</f>
        <v/>
      </c>
      <c r="BP43" s="5">
        <f>IF((((BN43+BO43)/2)+(C43/(D43*((BN43+BO43)/2)))^2/(2*9.81)+B43-(G42+H42^2/(2*9.81))-(A42-A43)*(((DATOS!$B$34*(C43/(D43*((BN43+BO43)/2)))/((D43*((BN43+BO43)/2))/(D43+2*((BN43+BO43)/2)))^(2/3))^2+((DATOS!$B$34*H42/((D42*F42)/(D42+2*F42))^(2/3))^2))/2))&gt;0,BN43,((BN43+BO43)/2))</f>
        <v/>
      </c>
      <c r="BQ43" s="5">
        <f>IF((((BN43+BO43)/2)+(C43/(D43*((BN43+BO43)/2)))^2/(2*9.81)+B43-(G42+H42^2/(2*9.81))-(A42-A43)*(((DATOS!$B$34*(C43/(D43*((BN43+BO43)/2)))/((D43*((BN43+BO43)/2))/(D43+2*((BN43+BO43)/2)))^(2/3))^2+((DATOS!$B$34*H42/((D42*F42)/(D42+2*F42))^(2/3))^2))/2))&gt;0,((BN43+BO43)/2),BO43)</f>
        <v/>
      </c>
      <c r="BR43" s="5">
        <f>IF((((BP43+BQ43)/2)+(C43/(D43*((BP43+BQ43)/2)))^2/(2*9.81)+B43-(G42+H42^2/(2*9.81))-(A42-A43)*(((DATOS!$B$34*(C43/(D43*((BP43+BQ43)/2)))/((D43*((BP43+BQ43)/2))/(D43+2*((BP43+BQ43)/2)))^(2/3))^2+((DATOS!$B$34*H42/((D42*F42)/(D42+2*F42))^(2/3))^2))/2))&gt;0,BP43,((BP43+BQ43)/2))</f>
        <v/>
      </c>
      <c r="BS43" s="5">
        <f>IF((((BP43+BQ43)/2)+(C43/(D43*((BP43+BQ43)/2)))^2/(2*9.81)+B43-(G42+H42^2/(2*9.81))-(A42-A43)*(((DATOS!$B$34*(C43/(D43*((BP43+BQ43)/2)))/((D43*((BP43+BQ43)/2))/(D43+2*((BP43+BQ43)/2)))^(2/3))^2+((DATOS!$B$34*H42/((D42*F42)/(D42+2*F42))^(2/3))^2))/2))&gt;0,((BP43+BQ43)/2),BQ43)</f>
        <v/>
      </c>
      <c r="BT43" s="5">
        <f>IF((((BR43+BS43)/2)+(C43/(D43*((BR43+BS43)/2)))^2/(2*9.81)+B43-(G42+H42^2/(2*9.81))-(A42-A43)*(((DATOS!$B$34*(C43/(D43*((BR43+BS43)/2)))/((D43*((BR43+BS43)/2))/(D43+2*((BR43+BS43)/2)))^(2/3))^2+((DATOS!$B$34*H42/((D42*F42)/(D42+2*F42))^(2/3))^2))/2))&gt;0,BR43,((BR43+BS43)/2))</f>
        <v/>
      </c>
      <c r="BU43" s="5">
        <f>IF((((BR43+BS43)/2)+(C43/(D43*((BR43+BS43)/2)))^2/(2*9.81)+B43-(G42+H42^2/(2*9.81))-(A42-A43)*(((DATOS!$B$34*(C43/(D43*((BR43+BS43)/2)))/((D43*((BR43+BS43)/2))/(D43+2*((BR43+BS43)/2)))^(2/3))^2+((DATOS!$B$34*H42/((D42*F42)/(D42+2*F42))^(2/3))^2))/2))&gt;0,((BR43+BS43)/2),BS43)</f>
        <v/>
      </c>
      <c r="BV43" s="5">
        <f>IF((((BT43+BU43)/2)+(C43/(D43*((BT43+BU43)/2)))^2/(2*9.81)+B43-(G42+H42^2/(2*9.81))-(A42-A43)*(((DATOS!$B$34*(C43/(D43*((BT43+BU43)/2)))/((D43*((BT43+BU43)/2))/(D43+2*((BT43+BU43)/2)))^(2/3))^2+((DATOS!$B$34*H42/((D42*F42)/(D42+2*F42))^(2/3))^2))/2))&gt;0,BT43,((BT43+BU43)/2))</f>
        <v/>
      </c>
      <c r="BW43" s="5">
        <f>IF((((BT43+BU43)/2)+(C43/(D43*((BT43+BU43)/2)))^2/(2*9.81)+B43-(G42+H42^2/(2*9.81))-(A42-A43)*(((DATOS!$B$34*(C43/(D43*((BT43+BU43)/2)))/((D43*((BT43+BU43)/2))/(D43+2*((BT43+BU43)/2)))^(2/3))^2+((DATOS!$B$34*H42/((D42*F42)/(D42+2*F42))^(2/3))^2))/2))&gt;0,((BT43+BU43)/2),BU43)</f>
        <v/>
      </c>
    </row>
    <row r="44">
      <c r="A44" s="13" t="n">
        <v>40</v>
      </c>
      <c r="B44" s="16">
        <f>DATOS!$B$22-DATOS!$B$23*A44</f>
        <v/>
      </c>
      <c r="C44" s="24">
        <f>CAUDALES!$B$13</f>
        <v/>
      </c>
      <c r="D44" s="17">
        <f>DATOS!$B$17</f>
        <v/>
      </c>
      <c r="E44" s="16">
        <f>(C44^2/(9.81*D44^2))^(1/3)</f>
        <v/>
      </c>
      <c r="F44" s="16">
        <f>(BV44+BW44)/2</f>
        <v/>
      </c>
      <c r="G44" s="16">
        <f>B44+F44</f>
        <v/>
      </c>
      <c r="H44" s="19">
        <f>C44/(D44*F44)</f>
        <v/>
      </c>
      <c r="I44" s="19">
        <f>H44/SQRT(9.81*F44)</f>
        <v/>
      </c>
      <c r="J44" s="16">
        <f>DATOS!$B$29-IF(AND(A44&gt;=DATOS!$B$30,A44&lt;DATOS!$B$31),DATOS!$B$21,DATOS!$B$20)</f>
        <v/>
      </c>
      <c r="K44" s="19">
        <f>J44-B44</f>
        <v/>
      </c>
      <c r="L44" s="19">
        <f>F44/K44</f>
        <v/>
      </c>
      <c r="M44" s="16">
        <f>J44-G44</f>
        <v/>
      </c>
      <c r="N44" s="5">
        <f>IF(AND(L44&lt;=DATOS!$B$36,M44&gt;=DATOS!$B$37,I44&lt;=1),"CUMPLE","NO CUMPLE")</f>
        <v/>
      </c>
      <c r="O44" s="5">
        <f>IF(AND(A44&gt;=DATOS!$B$30,A44&lt;DATOS!$B$31),"cruce de camiones",IF(AND(A44&gt;=DATOS!$B$32,A44&lt;DATOS!$B$33),"cruce de motos","tramo normal"))</f>
        <v/>
      </c>
      <c r="P44" s="5">
        <f>E44*1.001</f>
        <v/>
      </c>
      <c r="Q44" s="13" t="n">
        <v>3</v>
      </c>
      <c r="R44" s="5">
        <f>IF((((P44+Q44)/2)+(C44/(D44*((P44+Q44)/2)))^2/(2*9.81)+B44-(G43+H43^2/(2*9.81))-(A43-A44)*(((DATOS!$B$34*(C44/(D44*((P44+Q44)/2)))/((D44*((P44+Q44)/2))/(D44+2*((P44+Q44)/2)))^(2/3))^2+((DATOS!$B$34*H43/((D43*F43)/(D43+2*F43))^(2/3))^2))/2))&gt;0,P44,((P44+Q44)/2))</f>
        <v/>
      </c>
      <c r="S44" s="5">
        <f>IF((((P44+Q44)/2)+(C44/(D44*((P44+Q44)/2)))^2/(2*9.81)+B44-(G43+H43^2/(2*9.81))-(A43-A44)*(((DATOS!$B$34*(C44/(D44*((P44+Q44)/2)))/((D44*((P44+Q44)/2))/(D44+2*((P44+Q44)/2)))^(2/3))^2+((DATOS!$B$34*H43/((D43*F43)/(D43+2*F43))^(2/3))^2))/2))&gt;0,((P44+Q44)/2),Q44)</f>
        <v/>
      </c>
      <c r="T44" s="5">
        <f>IF((((R44+S44)/2)+(C44/(D44*((R44+S44)/2)))^2/(2*9.81)+B44-(G43+H43^2/(2*9.81))-(A43-A44)*(((DATOS!$B$34*(C44/(D44*((R44+S44)/2)))/((D44*((R44+S44)/2))/(D44+2*((R44+S44)/2)))^(2/3))^2+((DATOS!$B$34*H43/((D43*F43)/(D43+2*F43))^(2/3))^2))/2))&gt;0,R44,((R44+S44)/2))</f>
        <v/>
      </c>
      <c r="U44" s="5">
        <f>IF((((R44+S44)/2)+(C44/(D44*((R44+S44)/2)))^2/(2*9.81)+B44-(G43+H43^2/(2*9.81))-(A43-A44)*(((DATOS!$B$34*(C44/(D44*((R44+S44)/2)))/((D44*((R44+S44)/2))/(D44+2*((R44+S44)/2)))^(2/3))^2+((DATOS!$B$34*H43/((D43*F43)/(D43+2*F43))^(2/3))^2))/2))&gt;0,((R44+S44)/2),S44)</f>
        <v/>
      </c>
      <c r="V44" s="5">
        <f>IF((((T44+U44)/2)+(C44/(D44*((T44+U44)/2)))^2/(2*9.81)+B44-(G43+H43^2/(2*9.81))-(A43-A44)*(((DATOS!$B$34*(C44/(D44*((T44+U44)/2)))/((D44*((T44+U44)/2))/(D44+2*((T44+U44)/2)))^(2/3))^2+((DATOS!$B$34*H43/((D43*F43)/(D43+2*F43))^(2/3))^2))/2))&gt;0,T44,((T44+U44)/2))</f>
        <v/>
      </c>
      <c r="W44" s="5">
        <f>IF((((T44+U44)/2)+(C44/(D44*((T44+U44)/2)))^2/(2*9.81)+B44-(G43+H43^2/(2*9.81))-(A43-A44)*(((DATOS!$B$34*(C44/(D44*((T44+U44)/2)))/((D44*((T44+U44)/2))/(D44+2*((T44+U44)/2)))^(2/3))^2+((DATOS!$B$34*H43/((D43*F43)/(D43+2*F43))^(2/3))^2))/2))&gt;0,((T44+U44)/2),U44)</f>
        <v/>
      </c>
      <c r="X44" s="5">
        <f>IF((((V44+W44)/2)+(C44/(D44*((V44+W44)/2)))^2/(2*9.81)+B44-(G43+H43^2/(2*9.81))-(A43-A44)*(((DATOS!$B$34*(C44/(D44*((V44+W44)/2)))/((D44*((V44+W44)/2))/(D44+2*((V44+W44)/2)))^(2/3))^2+((DATOS!$B$34*H43/((D43*F43)/(D43+2*F43))^(2/3))^2))/2))&gt;0,V44,((V44+W44)/2))</f>
        <v/>
      </c>
      <c r="Y44" s="5">
        <f>IF((((V44+W44)/2)+(C44/(D44*((V44+W44)/2)))^2/(2*9.81)+B44-(G43+H43^2/(2*9.81))-(A43-A44)*(((DATOS!$B$34*(C44/(D44*((V44+W44)/2)))/((D44*((V44+W44)/2))/(D44+2*((V44+W44)/2)))^(2/3))^2+((DATOS!$B$34*H43/((D43*F43)/(D43+2*F43))^(2/3))^2))/2))&gt;0,((V44+W44)/2),W44)</f>
        <v/>
      </c>
      <c r="Z44" s="5">
        <f>IF((((X44+Y44)/2)+(C44/(D44*((X44+Y44)/2)))^2/(2*9.81)+B44-(G43+H43^2/(2*9.81))-(A43-A44)*(((DATOS!$B$34*(C44/(D44*((X44+Y44)/2)))/((D44*((X44+Y44)/2))/(D44+2*((X44+Y44)/2)))^(2/3))^2+((DATOS!$B$34*H43/((D43*F43)/(D43+2*F43))^(2/3))^2))/2))&gt;0,X44,((X44+Y44)/2))</f>
        <v/>
      </c>
      <c r="AA44" s="5">
        <f>IF((((X44+Y44)/2)+(C44/(D44*((X44+Y44)/2)))^2/(2*9.81)+B44-(G43+H43^2/(2*9.81))-(A43-A44)*(((DATOS!$B$34*(C44/(D44*((X44+Y44)/2)))/((D44*((X44+Y44)/2))/(D44+2*((X44+Y44)/2)))^(2/3))^2+((DATOS!$B$34*H43/((D43*F43)/(D43+2*F43))^(2/3))^2))/2))&gt;0,((X44+Y44)/2),Y44)</f>
        <v/>
      </c>
      <c r="AB44" s="5">
        <f>IF((((Z44+AA44)/2)+(C44/(D44*((Z44+AA44)/2)))^2/(2*9.81)+B44-(G43+H43^2/(2*9.81))-(A43-A44)*(((DATOS!$B$34*(C44/(D44*((Z44+AA44)/2)))/((D44*((Z44+AA44)/2))/(D44+2*((Z44+AA44)/2)))^(2/3))^2+((DATOS!$B$34*H43/((D43*F43)/(D43+2*F43))^(2/3))^2))/2))&gt;0,Z44,((Z44+AA44)/2))</f>
        <v/>
      </c>
      <c r="AC44" s="5">
        <f>IF((((Z44+AA44)/2)+(C44/(D44*((Z44+AA44)/2)))^2/(2*9.81)+B44-(G43+H43^2/(2*9.81))-(A43-A44)*(((DATOS!$B$34*(C44/(D44*((Z44+AA44)/2)))/((D44*((Z44+AA44)/2))/(D44+2*((Z44+AA44)/2)))^(2/3))^2+((DATOS!$B$34*H43/((D43*F43)/(D43+2*F43))^(2/3))^2))/2))&gt;0,((Z44+AA44)/2),AA44)</f>
        <v/>
      </c>
      <c r="AD44" s="5">
        <f>IF((((AB44+AC44)/2)+(C44/(D44*((AB44+AC44)/2)))^2/(2*9.81)+B44-(G43+H43^2/(2*9.81))-(A43-A44)*(((DATOS!$B$34*(C44/(D44*((AB44+AC44)/2)))/((D44*((AB44+AC44)/2))/(D44+2*((AB44+AC44)/2)))^(2/3))^2+((DATOS!$B$34*H43/((D43*F43)/(D43+2*F43))^(2/3))^2))/2))&gt;0,AB44,((AB44+AC44)/2))</f>
        <v/>
      </c>
      <c r="AE44" s="5">
        <f>IF((((AB44+AC44)/2)+(C44/(D44*((AB44+AC44)/2)))^2/(2*9.81)+B44-(G43+H43^2/(2*9.81))-(A43-A44)*(((DATOS!$B$34*(C44/(D44*((AB44+AC44)/2)))/((D44*((AB44+AC44)/2))/(D44+2*((AB44+AC44)/2)))^(2/3))^2+((DATOS!$B$34*H43/((D43*F43)/(D43+2*F43))^(2/3))^2))/2))&gt;0,((AB44+AC44)/2),AC44)</f>
        <v/>
      </c>
      <c r="AF44" s="5">
        <f>IF((((AD44+AE44)/2)+(C44/(D44*((AD44+AE44)/2)))^2/(2*9.81)+B44-(G43+H43^2/(2*9.81))-(A43-A44)*(((DATOS!$B$34*(C44/(D44*((AD44+AE44)/2)))/((D44*((AD44+AE44)/2))/(D44+2*((AD44+AE44)/2)))^(2/3))^2+((DATOS!$B$34*H43/((D43*F43)/(D43+2*F43))^(2/3))^2))/2))&gt;0,AD44,((AD44+AE44)/2))</f>
        <v/>
      </c>
      <c r="AG44" s="5">
        <f>IF((((AD44+AE44)/2)+(C44/(D44*((AD44+AE44)/2)))^2/(2*9.81)+B44-(G43+H43^2/(2*9.81))-(A43-A44)*(((DATOS!$B$34*(C44/(D44*((AD44+AE44)/2)))/((D44*((AD44+AE44)/2))/(D44+2*((AD44+AE44)/2)))^(2/3))^2+((DATOS!$B$34*H43/((D43*F43)/(D43+2*F43))^(2/3))^2))/2))&gt;0,((AD44+AE44)/2),AE44)</f>
        <v/>
      </c>
      <c r="AH44" s="5">
        <f>IF((((AF44+AG44)/2)+(C44/(D44*((AF44+AG44)/2)))^2/(2*9.81)+B44-(G43+H43^2/(2*9.81))-(A43-A44)*(((DATOS!$B$34*(C44/(D44*((AF44+AG44)/2)))/((D44*((AF44+AG44)/2))/(D44+2*((AF44+AG44)/2)))^(2/3))^2+((DATOS!$B$34*H43/((D43*F43)/(D43+2*F43))^(2/3))^2))/2))&gt;0,AF44,((AF44+AG44)/2))</f>
        <v/>
      </c>
      <c r="AI44" s="5">
        <f>IF((((AF44+AG44)/2)+(C44/(D44*((AF44+AG44)/2)))^2/(2*9.81)+B44-(G43+H43^2/(2*9.81))-(A43-A44)*(((DATOS!$B$34*(C44/(D44*((AF44+AG44)/2)))/((D44*((AF44+AG44)/2))/(D44+2*((AF44+AG44)/2)))^(2/3))^2+((DATOS!$B$34*H43/((D43*F43)/(D43+2*F43))^(2/3))^2))/2))&gt;0,((AF44+AG44)/2),AG44)</f>
        <v/>
      </c>
      <c r="AJ44" s="5">
        <f>IF((((AH44+AI44)/2)+(C44/(D44*((AH44+AI44)/2)))^2/(2*9.81)+B44-(G43+H43^2/(2*9.81))-(A43-A44)*(((DATOS!$B$34*(C44/(D44*((AH44+AI44)/2)))/((D44*((AH44+AI44)/2))/(D44+2*((AH44+AI44)/2)))^(2/3))^2+((DATOS!$B$34*H43/((D43*F43)/(D43+2*F43))^(2/3))^2))/2))&gt;0,AH44,((AH44+AI44)/2))</f>
        <v/>
      </c>
      <c r="AK44" s="5">
        <f>IF((((AH44+AI44)/2)+(C44/(D44*((AH44+AI44)/2)))^2/(2*9.81)+B44-(G43+H43^2/(2*9.81))-(A43-A44)*(((DATOS!$B$34*(C44/(D44*((AH44+AI44)/2)))/((D44*((AH44+AI44)/2))/(D44+2*((AH44+AI44)/2)))^(2/3))^2+((DATOS!$B$34*H43/((D43*F43)/(D43+2*F43))^(2/3))^2))/2))&gt;0,((AH44+AI44)/2),AI44)</f>
        <v/>
      </c>
      <c r="AL44" s="5">
        <f>IF((((AJ44+AK44)/2)+(C44/(D44*((AJ44+AK44)/2)))^2/(2*9.81)+B44-(G43+H43^2/(2*9.81))-(A43-A44)*(((DATOS!$B$34*(C44/(D44*((AJ44+AK44)/2)))/((D44*((AJ44+AK44)/2))/(D44+2*((AJ44+AK44)/2)))^(2/3))^2+((DATOS!$B$34*H43/((D43*F43)/(D43+2*F43))^(2/3))^2))/2))&gt;0,AJ44,((AJ44+AK44)/2))</f>
        <v/>
      </c>
      <c r="AM44" s="5">
        <f>IF((((AJ44+AK44)/2)+(C44/(D44*((AJ44+AK44)/2)))^2/(2*9.81)+B44-(G43+H43^2/(2*9.81))-(A43-A44)*(((DATOS!$B$34*(C44/(D44*((AJ44+AK44)/2)))/((D44*((AJ44+AK44)/2))/(D44+2*((AJ44+AK44)/2)))^(2/3))^2+((DATOS!$B$34*H43/((D43*F43)/(D43+2*F43))^(2/3))^2))/2))&gt;0,((AJ44+AK44)/2),AK44)</f>
        <v/>
      </c>
      <c r="AN44" s="5">
        <f>IF((((AL44+AM44)/2)+(C44/(D44*((AL44+AM44)/2)))^2/(2*9.81)+B44-(G43+H43^2/(2*9.81))-(A43-A44)*(((DATOS!$B$34*(C44/(D44*((AL44+AM44)/2)))/((D44*((AL44+AM44)/2))/(D44+2*((AL44+AM44)/2)))^(2/3))^2+((DATOS!$B$34*H43/((D43*F43)/(D43+2*F43))^(2/3))^2))/2))&gt;0,AL44,((AL44+AM44)/2))</f>
        <v/>
      </c>
      <c r="AO44" s="5">
        <f>IF((((AL44+AM44)/2)+(C44/(D44*((AL44+AM44)/2)))^2/(2*9.81)+B44-(G43+H43^2/(2*9.81))-(A43-A44)*(((DATOS!$B$34*(C44/(D44*((AL44+AM44)/2)))/((D44*((AL44+AM44)/2))/(D44+2*((AL44+AM44)/2)))^(2/3))^2+((DATOS!$B$34*H43/((D43*F43)/(D43+2*F43))^(2/3))^2))/2))&gt;0,((AL44+AM44)/2),AM44)</f>
        <v/>
      </c>
      <c r="AP44" s="5">
        <f>IF((((AN44+AO44)/2)+(C44/(D44*((AN44+AO44)/2)))^2/(2*9.81)+B44-(G43+H43^2/(2*9.81))-(A43-A44)*(((DATOS!$B$34*(C44/(D44*((AN44+AO44)/2)))/((D44*((AN44+AO44)/2))/(D44+2*((AN44+AO44)/2)))^(2/3))^2+((DATOS!$B$34*H43/((D43*F43)/(D43+2*F43))^(2/3))^2))/2))&gt;0,AN44,((AN44+AO44)/2))</f>
        <v/>
      </c>
      <c r="AQ44" s="5">
        <f>IF((((AN44+AO44)/2)+(C44/(D44*((AN44+AO44)/2)))^2/(2*9.81)+B44-(G43+H43^2/(2*9.81))-(A43-A44)*(((DATOS!$B$34*(C44/(D44*((AN44+AO44)/2)))/((D44*((AN44+AO44)/2))/(D44+2*((AN44+AO44)/2)))^(2/3))^2+((DATOS!$B$34*H43/((D43*F43)/(D43+2*F43))^(2/3))^2))/2))&gt;0,((AN44+AO44)/2),AO44)</f>
        <v/>
      </c>
      <c r="AR44" s="5">
        <f>IF((((AP44+AQ44)/2)+(C44/(D44*((AP44+AQ44)/2)))^2/(2*9.81)+B44-(G43+H43^2/(2*9.81))-(A43-A44)*(((DATOS!$B$34*(C44/(D44*((AP44+AQ44)/2)))/((D44*((AP44+AQ44)/2))/(D44+2*((AP44+AQ44)/2)))^(2/3))^2+((DATOS!$B$34*H43/((D43*F43)/(D43+2*F43))^(2/3))^2))/2))&gt;0,AP44,((AP44+AQ44)/2))</f>
        <v/>
      </c>
      <c r="AS44" s="5">
        <f>IF((((AP44+AQ44)/2)+(C44/(D44*((AP44+AQ44)/2)))^2/(2*9.81)+B44-(G43+H43^2/(2*9.81))-(A43-A44)*(((DATOS!$B$34*(C44/(D44*((AP44+AQ44)/2)))/((D44*((AP44+AQ44)/2))/(D44+2*((AP44+AQ44)/2)))^(2/3))^2+((DATOS!$B$34*H43/((D43*F43)/(D43+2*F43))^(2/3))^2))/2))&gt;0,((AP44+AQ44)/2),AQ44)</f>
        <v/>
      </c>
      <c r="AT44" s="5">
        <f>IF((((AR44+AS44)/2)+(C44/(D44*((AR44+AS44)/2)))^2/(2*9.81)+B44-(G43+H43^2/(2*9.81))-(A43-A44)*(((DATOS!$B$34*(C44/(D44*((AR44+AS44)/2)))/((D44*((AR44+AS44)/2))/(D44+2*((AR44+AS44)/2)))^(2/3))^2+((DATOS!$B$34*H43/((D43*F43)/(D43+2*F43))^(2/3))^2))/2))&gt;0,AR44,((AR44+AS44)/2))</f>
        <v/>
      </c>
      <c r="AU44" s="5">
        <f>IF((((AR44+AS44)/2)+(C44/(D44*((AR44+AS44)/2)))^2/(2*9.81)+B44-(G43+H43^2/(2*9.81))-(A43-A44)*(((DATOS!$B$34*(C44/(D44*((AR44+AS44)/2)))/((D44*((AR44+AS44)/2))/(D44+2*((AR44+AS44)/2)))^(2/3))^2+((DATOS!$B$34*H43/((D43*F43)/(D43+2*F43))^(2/3))^2))/2))&gt;0,((AR44+AS44)/2),AS44)</f>
        <v/>
      </c>
      <c r="AV44" s="5">
        <f>IF((((AT44+AU44)/2)+(C44/(D44*((AT44+AU44)/2)))^2/(2*9.81)+B44-(G43+H43^2/(2*9.81))-(A43-A44)*(((DATOS!$B$34*(C44/(D44*((AT44+AU44)/2)))/((D44*((AT44+AU44)/2))/(D44+2*((AT44+AU44)/2)))^(2/3))^2+((DATOS!$B$34*H43/((D43*F43)/(D43+2*F43))^(2/3))^2))/2))&gt;0,AT44,((AT44+AU44)/2))</f>
        <v/>
      </c>
      <c r="AW44" s="5">
        <f>IF((((AT44+AU44)/2)+(C44/(D44*((AT44+AU44)/2)))^2/(2*9.81)+B44-(G43+H43^2/(2*9.81))-(A43-A44)*(((DATOS!$B$34*(C44/(D44*((AT44+AU44)/2)))/((D44*((AT44+AU44)/2))/(D44+2*((AT44+AU44)/2)))^(2/3))^2+((DATOS!$B$34*H43/((D43*F43)/(D43+2*F43))^(2/3))^2))/2))&gt;0,((AT44+AU44)/2),AU44)</f>
        <v/>
      </c>
      <c r="AX44" s="5">
        <f>IF((((AV44+AW44)/2)+(C44/(D44*((AV44+AW44)/2)))^2/(2*9.81)+B44-(G43+H43^2/(2*9.81))-(A43-A44)*(((DATOS!$B$34*(C44/(D44*((AV44+AW44)/2)))/((D44*((AV44+AW44)/2))/(D44+2*((AV44+AW44)/2)))^(2/3))^2+((DATOS!$B$34*H43/((D43*F43)/(D43+2*F43))^(2/3))^2))/2))&gt;0,AV44,((AV44+AW44)/2))</f>
        <v/>
      </c>
      <c r="AY44" s="5">
        <f>IF((((AV44+AW44)/2)+(C44/(D44*((AV44+AW44)/2)))^2/(2*9.81)+B44-(G43+H43^2/(2*9.81))-(A43-A44)*(((DATOS!$B$34*(C44/(D44*((AV44+AW44)/2)))/((D44*((AV44+AW44)/2))/(D44+2*((AV44+AW44)/2)))^(2/3))^2+((DATOS!$B$34*H43/((D43*F43)/(D43+2*F43))^(2/3))^2))/2))&gt;0,((AV44+AW44)/2),AW44)</f>
        <v/>
      </c>
      <c r="AZ44" s="5">
        <f>IF((((AX44+AY44)/2)+(C44/(D44*((AX44+AY44)/2)))^2/(2*9.81)+B44-(G43+H43^2/(2*9.81))-(A43-A44)*(((DATOS!$B$34*(C44/(D44*((AX44+AY44)/2)))/((D44*((AX44+AY44)/2))/(D44+2*((AX44+AY44)/2)))^(2/3))^2+((DATOS!$B$34*H43/((D43*F43)/(D43+2*F43))^(2/3))^2))/2))&gt;0,AX44,((AX44+AY44)/2))</f>
        <v/>
      </c>
      <c r="BA44" s="5">
        <f>IF((((AX44+AY44)/2)+(C44/(D44*((AX44+AY44)/2)))^2/(2*9.81)+B44-(G43+H43^2/(2*9.81))-(A43-A44)*(((DATOS!$B$34*(C44/(D44*((AX44+AY44)/2)))/((D44*((AX44+AY44)/2))/(D44+2*((AX44+AY44)/2)))^(2/3))^2+((DATOS!$B$34*H43/((D43*F43)/(D43+2*F43))^(2/3))^2))/2))&gt;0,((AX44+AY44)/2),AY44)</f>
        <v/>
      </c>
      <c r="BB44" s="5">
        <f>IF((((AZ44+BA44)/2)+(C44/(D44*((AZ44+BA44)/2)))^2/(2*9.81)+B44-(G43+H43^2/(2*9.81))-(A43-A44)*(((DATOS!$B$34*(C44/(D44*((AZ44+BA44)/2)))/((D44*((AZ44+BA44)/2))/(D44+2*((AZ44+BA44)/2)))^(2/3))^2+((DATOS!$B$34*H43/((D43*F43)/(D43+2*F43))^(2/3))^2))/2))&gt;0,AZ44,((AZ44+BA44)/2))</f>
        <v/>
      </c>
      <c r="BC44" s="5">
        <f>IF((((AZ44+BA44)/2)+(C44/(D44*((AZ44+BA44)/2)))^2/(2*9.81)+B44-(G43+H43^2/(2*9.81))-(A43-A44)*(((DATOS!$B$34*(C44/(D44*((AZ44+BA44)/2)))/((D44*((AZ44+BA44)/2))/(D44+2*((AZ44+BA44)/2)))^(2/3))^2+((DATOS!$B$34*H43/((D43*F43)/(D43+2*F43))^(2/3))^2))/2))&gt;0,((AZ44+BA44)/2),BA44)</f>
        <v/>
      </c>
      <c r="BD44" s="5">
        <f>IF((((BB44+BC44)/2)+(C44/(D44*((BB44+BC44)/2)))^2/(2*9.81)+B44-(G43+H43^2/(2*9.81))-(A43-A44)*(((DATOS!$B$34*(C44/(D44*((BB44+BC44)/2)))/((D44*((BB44+BC44)/2))/(D44+2*((BB44+BC44)/2)))^(2/3))^2+((DATOS!$B$34*H43/((D43*F43)/(D43+2*F43))^(2/3))^2))/2))&gt;0,BB44,((BB44+BC44)/2))</f>
        <v/>
      </c>
      <c r="BE44" s="5">
        <f>IF((((BB44+BC44)/2)+(C44/(D44*((BB44+BC44)/2)))^2/(2*9.81)+B44-(G43+H43^2/(2*9.81))-(A43-A44)*(((DATOS!$B$34*(C44/(D44*((BB44+BC44)/2)))/((D44*((BB44+BC44)/2))/(D44+2*((BB44+BC44)/2)))^(2/3))^2+((DATOS!$B$34*H43/((D43*F43)/(D43+2*F43))^(2/3))^2))/2))&gt;0,((BB44+BC44)/2),BC44)</f>
        <v/>
      </c>
      <c r="BF44" s="5">
        <f>IF((((BD44+BE44)/2)+(C44/(D44*((BD44+BE44)/2)))^2/(2*9.81)+B44-(G43+H43^2/(2*9.81))-(A43-A44)*(((DATOS!$B$34*(C44/(D44*((BD44+BE44)/2)))/((D44*((BD44+BE44)/2))/(D44+2*((BD44+BE44)/2)))^(2/3))^2+((DATOS!$B$34*H43/((D43*F43)/(D43+2*F43))^(2/3))^2))/2))&gt;0,BD44,((BD44+BE44)/2))</f>
        <v/>
      </c>
      <c r="BG44" s="5">
        <f>IF((((BD44+BE44)/2)+(C44/(D44*((BD44+BE44)/2)))^2/(2*9.81)+B44-(G43+H43^2/(2*9.81))-(A43-A44)*(((DATOS!$B$34*(C44/(D44*((BD44+BE44)/2)))/((D44*((BD44+BE44)/2))/(D44+2*((BD44+BE44)/2)))^(2/3))^2+((DATOS!$B$34*H43/((D43*F43)/(D43+2*F43))^(2/3))^2))/2))&gt;0,((BD44+BE44)/2),BE44)</f>
        <v/>
      </c>
      <c r="BH44" s="5">
        <f>IF((((BF44+BG44)/2)+(C44/(D44*((BF44+BG44)/2)))^2/(2*9.81)+B44-(G43+H43^2/(2*9.81))-(A43-A44)*(((DATOS!$B$34*(C44/(D44*((BF44+BG44)/2)))/((D44*((BF44+BG44)/2))/(D44+2*((BF44+BG44)/2)))^(2/3))^2+((DATOS!$B$34*H43/((D43*F43)/(D43+2*F43))^(2/3))^2))/2))&gt;0,BF44,((BF44+BG44)/2))</f>
        <v/>
      </c>
      <c r="BI44" s="5">
        <f>IF((((BF44+BG44)/2)+(C44/(D44*((BF44+BG44)/2)))^2/(2*9.81)+B44-(G43+H43^2/(2*9.81))-(A43-A44)*(((DATOS!$B$34*(C44/(D44*((BF44+BG44)/2)))/((D44*((BF44+BG44)/2))/(D44+2*((BF44+BG44)/2)))^(2/3))^2+((DATOS!$B$34*H43/((D43*F43)/(D43+2*F43))^(2/3))^2))/2))&gt;0,((BF44+BG44)/2),BG44)</f>
        <v/>
      </c>
      <c r="BJ44" s="5">
        <f>IF((((BH44+BI44)/2)+(C44/(D44*((BH44+BI44)/2)))^2/(2*9.81)+B44-(G43+H43^2/(2*9.81))-(A43-A44)*(((DATOS!$B$34*(C44/(D44*((BH44+BI44)/2)))/((D44*((BH44+BI44)/2))/(D44+2*((BH44+BI44)/2)))^(2/3))^2+((DATOS!$B$34*H43/((D43*F43)/(D43+2*F43))^(2/3))^2))/2))&gt;0,BH44,((BH44+BI44)/2))</f>
        <v/>
      </c>
      <c r="BK44" s="5">
        <f>IF((((BH44+BI44)/2)+(C44/(D44*((BH44+BI44)/2)))^2/(2*9.81)+B44-(G43+H43^2/(2*9.81))-(A43-A44)*(((DATOS!$B$34*(C44/(D44*((BH44+BI44)/2)))/((D44*((BH44+BI44)/2))/(D44+2*((BH44+BI44)/2)))^(2/3))^2+((DATOS!$B$34*H43/((D43*F43)/(D43+2*F43))^(2/3))^2))/2))&gt;0,((BH44+BI44)/2),BI44)</f>
        <v/>
      </c>
      <c r="BL44" s="5">
        <f>IF((((BJ44+BK44)/2)+(C44/(D44*((BJ44+BK44)/2)))^2/(2*9.81)+B44-(G43+H43^2/(2*9.81))-(A43-A44)*(((DATOS!$B$34*(C44/(D44*((BJ44+BK44)/2)))/((D44*((BJ44+BK44)/2))/(D44+2*((BJ44+BK44)/2)))^(2/3))^2+((DATOS!$B$34*H43/((D43*F43)/(D43+2*F43))^(2/3))^2))/2))&gt;0,BJ44,((BJ44+BK44)/2))</f>
        <v/>
      </c>
      <c r="BM44" s="5">
        <f>IF((((BJ44+BK44)/2)+(C44/(D44*((BJ44+BK44)/2)))^2/(2*9.81)+B44-(G43+H43^2/(2*9.81))-(A43-A44)*(((DATOS!$B$34*(C44/(D44*((BJ44+BK44)/2)))/((D44*((BJ44+BK44)/2))/(D44+2*((BJ44+BK44)/2)))^(2/3))^2+((DATOS!$B$34*H43/((D43*F43)/(D43+2*F43))^(2/3))^2))/2))&gt;0,((BJ44+BK44)/2),BK44)</f>
        <v/>
      </c>
      <c r="BN44" s="5">
        <f>IF((((BL44+BM44)/2)+(C44/(D44*((BL44+BM44)/2)))^2/(2*9.81)+B44-(G43+H43^2/(2*9.81))-(A43-A44)*(((DATOS!$B$34*(C44/(D44*((BL44+BM44)/2)))/((D44*((BL44+BM44)/2))/(D44+2*((BL44+BM44)/2)))^(2/3))^2+((DATOS!$B$34*H43/((D43*F43)/(D43+2*F43))^(2/3))^2))/2))&gt;0,BL44,((BL44+BM44)/2))</f>
        <v/>
      </c>
      <c r="BO44" s="5">
        <f>IF((((BL44+BM44)/2)+(C44/(D44*((BL44+BM44)/2)))^2/(2*9.81)+B44-(G43+H43^2/(2*9.81))-(A43-A44)*(((DATOS!$B$34*(C44/(D44*((BL44+BM44)/2)))/((D44*((BL44+BM44)/2))/(D44+2*((BL44+BM44)/2)))^(2/3))^2+((DATOS!$B$34*H43/((D43*F43)/(D43+2*F43))^(2/3))^2))/2))&gt;0,((BL44+BM44)/2),BM44)</f>
        <v/>
      </c>
      <c r="BP44" s="5">
        <f>IF((((BN44+BO44)/2)+(C44/(D44*((BN44+BO44)/2)))^2/(2*9.81)+B44-(G43+H43^2/(2*9.81))-(A43-A44)*(((DATOS!$B$34*(C44/(D44*((BN44+BO44)/2)))/((D44*((BN44+BO44)/2))/(D44+2*((BN44+BO44)/2)))^(2/3))^2+((DATOS!$B$34*H43/((D43*F43)/(D43+2*F43))^(2/3))^2))/2))&gt;0,BN44,((BN44+BO44)/2))</f>
        <v/>
      </c>
      <c r="BQ44" s="5">
        <f>IF((((BN44+BO44)/2)+(C44/(D44*((BN44+BO44)/2)))^2/(2*9.81)+B44-(G43+H43^2/(2*9.81))-(A43-A44)*(((DATOS!$B$34*(C44/(D44*((BN44+BO44)/2)))/((D44*((BN44+BO44)/2))/(D44+2*((BN44+BO44)/2)))^(2/3))^2+((DATOS!$B$34*H43/((D43*F43)/(D43+2*F43))^(2/3))^2))/2))&gt;0,((BN44+BO44)/2),BO44)</f>
        <v/>
      </c>
      <c r="BR44" s="5">
        <f>IF((((BP44+BQ44)/2)+(C44/(D44*((BP44+BQ44)/2)))^2/(2*9.81)+B44-(G43+H43^2/(2*9.81))-(A43-A44)*(((DATOS!$B$34*(C44/(D44*((BP44+BQ44)/2)))/((D44*((BP44+BQ44)/2))/(D44+2*((BP44+BQ44)/2)))^(2/3))^2+((DATOS!$B$34*H43/((D43*F43)/(D43+2*F43))^(2/3))^2))/2))&gt;0,BP44,((BP44+BQ44)/2))</f>
        <v/>
      </c>
      <c r="BS44" s="5">
        <f>IF((((BP44+BQ44)/2)+(C44/(D44*((BP44+BQ44)/2)))^2/(2*9.81)+B44-(G43+H43^2/(2*9.81))-(A43-A44)*(((DATOS!$B$34*(C44/(D44*((BP44+BQ44)/2)))/((D44*((BP44+BQ44)/2))/(D44+2*((BP44+BQ44)/2)))^(2/3))^2+((DATOS!$B$34*H43/((D43*F43)/(D43+2*F43))^(2/3))^2))/2))&gt;0,((BP44+BQ44)/2),BQ44)</f>
        <v/>
      </c>
      <c r="BT44" s="5">
        <f>IF((((BR44+BS44)/2)+(C44/(D44*((BR44+BS44)/2)))^2/(2*9.81)+B44-(G43+H43^2/(2*9.81))-(A43-A44)*(((DATOS!$B$34*(C44/(D44*((BR44+BS44)/2)))/((D44*((BR44+BS44)/2))/(D44+2*((BR44+BS44)/2)))^(2/3))^2+((DATOS!$B$34*H43/((D43*F43)/(D43+2*F43))^(2/3))^2))/2))&gt;0,BR44,((BR44+BS44)/2))</f>
        <v/>
      </c>
      <c r="BU44" s="5">
        <f>IF((((BR44+BS44)/2)+(C44/(D44*((BR44+BS44)/2)))^2/(2*9.81)+B44-(G43+H43^2/(2*9.81))-(A43-A44)*(((DATOS!$B$34*(C44/(D44*((BR44+BS44)/2)))/((D44*((BR44+BS44)/2))/(D44+2*((BR44+BS44)/2)))^(2/3))^2+((DATOS!$B$34*H43/((D43*F43)/(D43+2*F43))^(2/3))^2))/2))&gt;0,((BR44+BS44)/2),BS44)</f>
        <v/>
      </c>
      <c r="BV44" s="5">
        <f>IF((((BT44+BU44)/2)+(C44/(D44*((BT44+BU44)/2)))^2/(2*9.81)+B44-(G43+H43^2/(2*9.81))-(A43-A44)*(((DATOS!$B$34*(C44/(D44*((BT44+BU44)/2)))/((D44*((BT44+BU44)/2))/(D44+2*((BT44+BU44)/2)))^(2/3))^2+((DATOS!$B$34*H43/((D43*F43)/(D43+2*F43))^(2/3))^2))/2))&gt;0,BT44,((BT44+BU44)/2))</f>
        <v/>
      </c>
      <c r="BW44" s="5">
        <f>IF((((BT44+BU44)/2)+(C44/(D44*((BT44+BU44)/2)))^2/(2*9.81)+B44-(G43+H43^2/(2*9.81))-(A43-A44)*(((DATOS!$B$34*(C44/(D44*((BT44+BU44)/2)))/((D44*((BT44+BU44)/2))/(D44+2*((BT44+BU44)/2)))^(2/3))^2+((DATOS!$B$34*H43/((D43*F43)/(D43+2*F43))^(2/3))^2))/2))&gt;0,((BT44+BU44)/2),BU44)</f>
        <v/>
      </c>
    </row>
    <row r="45">
      <c r="A45" s="13" t="n">
        <v>39.04</v>
      </c>
      <c r="B45" s="16">
        <f>DATOS!$B$22-DATOS!$B$23*A45</f>
        <v/>
      </c>
      <c r="C45" s="24">
        <f>CAUDALES!$B$13</f>
        <v/>
      </c>
      <c r="D45" s="17">
        <f>DATOS!$B$17</f>
        <v/>
      </c>
      <c r="E45" s="16">
        <f>(C45^2/(9.81*D45^2))^(1/3)</f>
        <v/>
      </c>
      <c r="F45" s="16">
        <f>(BV45+BW45)/2</f>
        <v/>
      </c>
      <c r="G45" s="16">
        <f>B45+F45</f>
        <v/>
      </c>
      <c r="H45" s="19">
        <f>C45/(D45*F45)</f>
        <v/>
      </c>
      <c r="I45" s="19">
        <f>H45/SQRT(9.81*F45)</f>
        <v/>
      </c>
      <c r="J45" s="16">
        <f>DATOS!$B$29-IF(AND(A45&gt;=DATOS!$B$30,A45&lt;DATOS!$B$31),DATOS!$B$21,DATOS!$B$20)</f>
        <v/>
      </c>
      <c r="K45" s="19">
        <f>J45-B45</f>
        <v/>
      </c>
      <c r="L45" s="19">
        <f>F45/K45</f>
        <v/>
      </c>
      <c r="M45" s="16">
        <f>J45-G45</f>
        <v/>
      </c>
      <c r="N45" s="5">
        <f>IF(AND(L45&lt;=DATOS!$B$36,M45&gt;=DATOS!$B$37,I45&lt;=1),"CUMPLE","NO CUMPLE")</f>
        <v/>
      </c>
      <c r="O45" s="5">
        <f>IF(AND(A45&gt;=DATOS!$B$30,A45&lt;DATOS!$B$31),"cruce de camiones",IF(AND(A45&gt;=DATOS!$B$32,A45&lt;DATOS!$B$33),"cruce de motos","tramo normal"))</f>
        <v/>
      </c>
      <c r="P45" s="5">
        <f>E45*1.001</f>
        <v/>
      </c>
      <c r="Q45" s="13" t="n">
        <v>3</v>
      </c>
      <c r="R45" s="5">
        <f>IF((((P45+Q45)/2)+(C45/(D45*((P45+Q45)/2)))^2/(2*9.81)+B45-(G44+H44^2/(2*9.81))-(A44-A45)*(((DATOS!$B$34*(C45/(D45*((P45+Q45)/2)))/((D45*((P45+Q45)/2))/(D45+2*((P45+Q45)/2)))^(2/3))^2+((DATOS!$B$34*H44/((D44*F44)/(D44+2*F44))^(2/3))^2))/2))&gt;0,P45,((P45+Q45)/2))</f>
        <v/>
      </c>
      <c r="S45" s="5">
        <f>IF((((P45+Q45)/2)+(C45/(D45*((P45+Q45)/2)))^2/(2*9.81)+B45-(G44+H44^2/(2*9.81))-(A44-A45)*(((DATOS!$B$34*(C45/(D45*((P45+Q45)/2)))/((D45*((P45+Q45)/2))/(D45+2*((P45+Q45)/2)))^(2/3))^2+((DATOS!$B$34*H44/((D44*F44)/(D44+2*F44))^(2/3))^2))/2))&gt;0,((P45+Q45)/2),Q45)</f>
        <v/>
      </c>
      <c r="T45" s="5">
        <f>IF((((R45+S45)/2)+(C45/(D45*((R45+S45)/2)))^2/(2*9.81)+B45-(G44+H44^2/(2*9.81))-(A44-A45)*(((DATOS!$B$34*(C45/(D45*((R45+S45)/2)))/((D45*((R45+S45)/2))/(D45+2*((R45+S45)/2)))^(2/3))^2+((DATOS!$B$34*H44/((D44*F44)/(D44+2*F44))^(2/3))^2))/2))&gt;0,R45,((R45+S45)/2))</f>
        <v/>
      </c>
      <c r="U45" s="5">
        <f>IF((((R45+S45)/2)+(C45/(D45*((R45+S45)/2)))^2/(2*9.81)+B45-(G44+H44^2/(2*9.81))-(A44-A45)*(((DATOS!$B$34*(C45/(D45*((R45+S45)/2)))/((D45*((R45+S45)/2))/(D45+2*((R45+S45)/2)))^(2/3))^2+((DATOS!$B$34*H44/((D44*F44)/(D44+2*F44))^(2/3))^2))/2))&gt;0,((R45+S45)/2),S45)</f>
        <v/>
      </c>
      <c r="V45" s="5">
        <f>IF((((T45+U45)/2)+(C45/(D45*((T45+U45)/2)))^2/(2*9.81)+B45-(G44+H44^2/(2*9.81))-(A44-A45)*(((DATOS!$B$34*(C45/(D45*((T45+U45)/2)))/((D45*((T45+U45)/2))/(D45+2*((T45+U45)/2)))^(2/3))^2+((DATOS!$B$34*H44/((D44*F44)/(D44+2*F44))^(2/3))^2))/2))&gt;0,T45,((T45+U45)/2))</f>
        <v/>
      </c>
      <c r="W45" s="5">
        <f>IF((((T45+U45)/2)+(C45/(D45*((T45+U45)/2)))^2/(2*9.81)+B45-(G44+H44^2/(2*9.81))-(A44-A45)*(((DATOS!$B$34*(C45/(D45*((T45+U45)/2)))/((D45*((T45+U45)/2))/(D45+2*((T45+U45)/2)))^(2/3))^2+((DATOS!$B$34*H44/((D44*F44)/(D44+2*F44))^(2/3))^2))/2))&gt;0,((T45+U45)/2),U45)</f>
        <v/>
      </c>
      <c r="X45" s="5">
        <f>IF((((V45+W45)/2)+(C45/(D45*((V45+W45)/2)))^2/(2*9.81)+B45-(G44+H44^2/(2*9.81))-(A44-A45)*(((DATOS!$B$34*(C45/(D45*((V45+W45)/2)))/((D45*((V45+W45)/2))/(D45+2*((V45+W45)/2)))^(2/3))^2+((DATOS!$B$34*H44/((D44*F44)/(D44+2*F44))^(2/3))^2))/2))&gt;0,V45,((V45+W45)/2))</f>
        <v/>
      </c>
      <c r="Y45" s="5">
        <f>IF((((V45+W45)/2)+(C45/(D45*((V45+W45)/2)))^2/(2*9.81)+B45-(G44+H44^2/(2*9.81))-(A44-A45)*(((DATOS!$B$34*(C45/(D45*((V45+W45)/2)))/((D45*((V45+W45)/2))/(D45+2*((V45+W45)/2)))^(2/3))^2+((DATOS!$B$34*H44/((D44*F44)/(D44+2*F44))^(2/3))^2))/2))&gt;0,((V45+W45)/2),W45)</f>
        <v/>
      </c>
      <c r="Z45" s="5">
        <f>IF((((X45+Y45)/2)+(C45/(D45*((X45+Y45)/2)))^2/(2*9.81)+B45-(G44+H44^2/(2*9.81))-(A44-A45)*(((DATOS!$B$34*(C45/(D45*((X45+Y45)/2)))/((D45*((X45+Y45)/2))/(D45+2*((X45+Y45)/2)))^(2/3))^2+((DATOS!$B$34*H44/((D44*F44)/(D44+2*F44))^(2/3))^2))/2))&gt;0,X45,((X45+Y45)/2))</f>
        <v/>
      </c>
      <c r="AA45" s="5">
        <f>IF((((X45+Y45)/2)+(C45/(D45*((X45+Y45)/2)))^2/(2*9.81)+B45-(G44+H44^2/(2*9.81))-(A44-A45)*(((DATOS!$B$34*(C45/(D45*((X45+Y45)/2)))/((D45*((X45+Y45)/2))/(D45+2*((X45+Y45)/2)))^(2/3))^2+((DATOS!$B$34*H44/((D44*F44)/(D44+2*F44))^(2/3))^2))/2))&gt;0,((X45+Y45)/2),Y45)</f>
        <v/>
      </c>
      <c r="AB45" s="5">
        <f>IF((((Z45+AA45)/2)+(C45/(D45*((Z45+AA45)/2)))^2/(2*9.81)+B45-(G44+H44^2/(2*9.81))-(A44-A45)*(((DATOS!$B$34*(C45/(D45*((Z45+AA45)/2)))/((D45*((Z45+AA45)/2))/(D45+2*((Z45+AA45)/2)))^(2/3))^2+((DATOS!$B$34*H44/((D44*F44)/(D44+2*F44))^(2/3))^2))/2))&gt;0,Z45,((Z45+AA45)/2))</f>
        <v/>
      </c>
      <c r="AC45" s="5">
        <f>IF((((Z45+AA45)/2)+(C45/(D45*((Z45+AA45)/2)))^2/(2*9.81)+B45-(G44+H44^2/(2*9.81))-(A44-A45)*(((DATOS!$B$34*(C45/(D45*((Z45+AA45)/2)))/((D45*((Z45+AA45)/2))/(D45+2*((Z45+AA45)/2)))^(2/3))^2+((DATOS!$B$34*H44/((D44*F44)/(D44+2*F44))^(2/3))^2))/2))&gt;0,((Z45+AA45)/2),AA45)</f>
        <v/>
      </c>
      <c r="AD45" s="5">
        <f>IF((((AB45+AC45)/2)+(C45/(D45*((AB45+AC45)/2)))^2/(2*9.81)+B45-(G44+H44^2/(2*9.81))-(A44-A45)*(((DATOS!$B$34*(C45/(D45*((AB45+AC45)/2)))/((D45*((AB45+AC45)/2))/(D45+2*((AB45+AC45)/2)))^(2/3))^2+((DATOS!$B$34*H44/((D44*F44)/(D44+2*F44))^(2/3))^2))/2))&gt;0,AB45,((AB45+AC45)/2))</f>
        <v/>
      </c>
      <c r="AE45" s="5">
        <f>IF((((AB45+AC45)/2)+(C45/(D45*((AB45+AC45)/2)))^2/(2*9.81)+B45-(G44+H44^2/(2*9.81))-(A44-A45)*(((DATOS!$B$34*(C45/(D45*((AB45+AC45)/2)))/((D45*((AB45+AC45)/2))/(D45+2*((AB45+AC45)/2)))^(2/3))^2+((DATOS!$B$34*H44/((D44*F44)/(D44+2*F44))^(2/3))^2))/2))&gt;0,((AB45+AC45)/2),AC45)</f>
        <v/>
      </c>
      <c r="AF45" s="5">
        <f>IF((((AD45+AE45)/2)+(C45/(D45*((AD45+AE45)/2)))^2/(2*9.81)+B45-(G44+H44^2/(2*9.81))-(A44-A45)*(((DATOS!$B$34*(C45/(D45*((AD45+AE45)/2)))/((D45*((AD45+AE45)/2))/(D45+2*((AD45+AE45)/2)))^(2/3))^2+((DATOS!$B$34*H44/((D44*F44)/(D44+2*F44))^(2/3))^2))/2))&gt;0,AD45,((AD45+AE45)/2))</f>
        <v/>
      </c>
      <c r="AG45" s="5">
        <f>IF((((AD45+AE45)/2)+(C45/(D45*((AD45+AE45)/2)))^2/(2*9.81)+B45-(G44+H44^2/(2*9.81))-(A44-A45)*(((DATOS!$B$34*(C45/(D45*((AD45+AE45)/2)))/((D45*((AD45+AE45)/2))/(D45+2*((AD45+AE45)/2)))^(2/3))^2+((DATOS!$B$34*H44/((D44*F44)/(D44+2*F44))^(2/3))^2))/2))&gt;0,((AD45+AE45)/2),AE45)</f>
        <v/>
      </c>
      <c r="AH45" s="5">
        <f>IF((((AF45+AG45)/2)+(C45/(D45*((AF45+AG45)/2)))^2/(2*9.81)+B45-(G44+H44^2/(2*9.81))-(A44-A45)*(((DATOS!$B$34*(C45/(D45*((AF45+AG45)/2)))/((D45*((AF45+AG45)/2))/(D45+2*((AF45+AG45)/2)))^(2/3))^2+((DATOS!$B$34*H44/((D44*F44)/(D44+2*F44))^(2/3))^2))/2))&gt;0,AF45,((AF45+AG45)/2))</f>
        <v/>
      </c>
      <c r="AI45" s="5">
        <f>IF((((AF45+AG45)/2)+(C45/(D45*((AF45+AG45)/2)))^2/(2*9.81)+B45-(G44+H44^2/(2*9.81))-(A44-A45)*(((DATOS!$B$34*(C45/(D45*((AF45+AG45)/2)))/((D45*((AF45+AG45)/2))/(D45+2*((AF45+AG45)/2)))^(2/3))^2+((DATOS!$B$34*H44/((D44*F44)/(D44+2*F44))^(2/3))^2))/2))&gt;0,((AF45+AG45)/2),AG45)</f>
        <v/>
      </c>
      <c r="AJ45" s="5">
        <f>IF((((AH45+AI45)/2)+(C45/(D45*((AH45+AI45)/2)))^2/(2*9.81)+B45-(G44+H44^2/(2*9.81))-(A44-A45)*(((DATOS!$B$34*(C45/(D45*((AH45+AI45)/2)))/((D45*((AH45+AI45)/2))/(D45+2*((AH45+AI45)/2)))^(2/3))^2+((DATOS!$B$34*H44/((D44*F44)/(D44+2*F44))^(2/3))^2))/2))&gt;0,AH45,((AH45+AI45)/2))</f>
        <v/>
      </c>
      <c r="AK45" s="5">
        <f>IF((((AH45+AI45)/2)+(C45/(D45*((AH45+AI45)/2)))^2/(2*9.81)+B45-(G44+H44^2/(2*9.81))-(A44-A45)*(((DATOS!$B$34*(C45/(D45*((AH45+AI45)/2)))/((D45*((AH45+AI45)/2))/(D45+2*((AH45+AI45)/2)))^(2/3))^2+((DATOS!$B$34*H44/((D44*F44)/(D44+2*F44))^(2/3))^2))/2))&gt;0,((AH45+AI45)/2),AI45)</f>
        <v/>
      </c>
      <c r="AL45" s="5">
        <f>IF((((AJ45+AK45)/2)+(C45/(D45*((AJ45+AK45)/2)))^2/(2*9.81)+B45-(G44+H44^2/(2*9.81))-(A44-A45)*(((DATOS!$B$34*(C45/(D45*((AJ45+AK45)/2)))/((D45*((AJ45+AK45)/2))/(D45+2*((AJ45+AK45)/2)))^(2/3))^2+((DATOS!$B$34*H44/((D44*F44)/(D44+2*F44))^(2/3))^2))/2))&gt;0,AJ45,((AJ45+AK45)/2))</f>
        <v/>
      </c>
      <c r="AM45" s="5">
        <f>IF((((AJ45+AK45)/2)+(C45/(D45*((AJ45+AK45)/2)))^2/(2*9.81)+B45-(G44+H44^2/(2*9.81))-(A44-A45)*(((DATOS!$B$34*(C45/(D45*((AJ45+AK45)/2)))/((D45*((AJ45+AK45)/2))/(D45+2*((AJ45+AK45)/2)))^(2/3))^2+((DATOS!$B$34*H44/((D44*F44)/(D44+2*F44))^(2/3))^2))/2))&gt;0,((AJ45+AK45)/2),AK45)</f>
        <v/>
      </c>
      <c r="AN45" s="5">
        <f>IF((((AL45+AM45)/2)+(C45/(D45*((AL45+AM45)/2)))^2/(2*9.81)+B45-(G44+H44^2/(2*9.81))-(A44-A45)*(((DATOS!$B$34*(C45/(D45*((AL45+AM45)/2)))/((D45*((AL45+AM45)/2))/(D45+2*((AL45+AM45)/2)))^(2/3))^2+((DATOS!$B$34*H44/((D44*F44)/(D44+2*F44))^(2/3))^2))/2))&gt;0,AL45,((AL45+AM45)/2))</f>
        <v/>
      </c>
      <c r="AO45" s="5">
        <f>IF((((AL45+AM45)/2)+(C45/(D45*((AL45+AM45)/2)))^2/(2*9.81)+B45-(G44+H44^2/(2*9.81))-(A44-A45)*(((DATOS!$B$34*(C45/(D45*((AL45+AM45)/2)))/((D45*((AL45+AM45)/2))/(D45+2*((AL45+AM45)/2)))^(2/3))^2+((DATOS!$B$34*H44/((D44*F44)/(D44+2*F44))^(2/3))^2))/2))&gt;0,((AL45+AM45)/2),AM45)</f>
        <v/>
      </c>
      <c r="AP45" s="5">
        <f>IF((((AN45+AO45)/2)+(C45/(D45*((AN45+AO45)/2)))^2/(2*9.81)+B45-(G44+H44^2/(2*9.81))-(A44-A45)*(((DATOS!$B$34*(C45/(D45*((AN45+AO45)/2)))/((D45*((AN45+AO45)/2))/(D45+2*((AN45+AO45)/2)))^(2/3))^2+((DATOS!$B$34*H44/((D44*F44)/(D44+2*F44))^(2/3))^2))/2))&gt;0,AN45,((AN45+AO45)/2))</f>
        <v/>
      </c>
      <c r="AQ45" s="5">
        <f>IF((((AN45+AO45)/2)+(C45/(D45*((AN45+AO45)/2)))^2/(2*9.81)+B45-(G44+H44^2/(2*9.81))-(A44-A45)*(((DATOS!$B$34*(C45/(D45*((AN45+AO45)/2)))/((D45*((AN45+AO45)/2))/(D45+2*((AN45+AO45)/2)))^(2/3))^2+((DATOS!$B$34*H44/((D44*F44)/(D44+2*F44))^(2/3))^2))/2))&gt;0,((AN45+AO45)/2),AO45)</f>
        <v/>
      </c>
      <c r="AR45" s="5">
        <f>IF((((AP45+AQ45)/2)+(C45/(D45*((AP45+AQ45)/2)))^2/(2*9.81)+B45-(G44+H44^2/(2*9.81))-(A44-A45)*(((DATOS!$B$34*(C45/(D45*((AP45+AQ45)/2)))/((D45*((AP45+AQ45)/2))/(D45+2*((AP45+AQ45)/2)))^(2/3))^2+((DATOS!$B$34*H44/((D44*F44)/(D44+2*F44))^(2/3))^2))/2))&gt;0,AP45,((AP45+AQ45)/2))</f>
        <v/>
      </c>
      <c r="AS45" s="5">
        <f>IF((((AP45+AQ45)/2)+(C45/(D45*((AP45+AQ45)/2)))^2/(2*9.81)+B45-(G44+H44^2/(2*9.81))-(A44-A45)*(((DATOS!$B$34*(C45/(D45*((AP45+AQ45)/2)))/((D45*((AP45+AQ45)/2))/(D45+2*((AP45+AQ45)/2)))^(2/3))^2+((DATOS!$B$34*H44/((D44*F44)/(D44+2*F44))^(2/3))^2))/2))&gt;0,((AP45+AQ45)/2),AQ45)</f>
        <v/>
      </c>
      <c r="AT45" s="5">
        <f>IF((((AR45+AS45)/2)+(C45/(D45*((AR45+AS45)/2)))^2/(2*9.81)+B45-(G44+H44^2/(2*9.81))-(A44-A45)*(((DATOS!$B$34*(C45/(D45*((AR45+AS45)/2)))/((D45*((AR45+AS45)/2))/(D45+2*((AR45+AS45)/2)))^(2/3))^2+((DATOS!$B$34*H44/((D44*F44)/(D44+2*F44))^(2/3))^2))/2))&gt;0,AR45,((AR45+AS45)/2))</f>
        <v/>
      </c>
      <c r="AU45" s="5">
        <f>IF((((AR45+AS45)/2)+(C45/(D45*((AR45+AS45)/2)))^2/(2*9.81)+B45-(G44+H44^2/(2*9.81))-(A44-A45)*(((DATOS!$B$34*(C45/(D45*((AR45+AS45)/2)))/((D45*((AR45+AS45)/2))/(D45+2*((AR45+AS45)/2)))^(2/3))^2+((DATOS!$B$34*H44/((D44*F44)/(D44+2*F44))^(2/3))^2))/2))&gt;0,((AR45+AS45)/2),AS45)</f>
        <v/>
      </c>
      <c r="AV45" s="5">
        <f>IF((((AT45+AU45)/2)+(C45/(D45*((AT45+AU45)/2)))^2/(2*9.81)+B45-(G44+H44^2/(2*9.81))-(A44-A45)*(((DATOS!$B$34*(C45/(D45*((AT45+AU45)/2)))/((D45*((AT45+AU45)/2))/(D45+2*((AT45+AU45)/2)))^(2/3))^2+((DATOS!$B$34*H44/((D44*F44)/(D44+2*F44))^(2/3))^2))/2))&gt;0,AT45,((AT45+AU45)/2))</f>
        <v/>
      </c>
      <c r="AW45" s="5">
        <f>IF((((AT45+AU45)/2)+(C45/(D45*((AT45+AU45)/2)))^2/(2*9.81)+B45-(G44+H44^2/(2*9.81))-(A44-A45)*(((DATOS!$B$34*(C45/(D45*((AT45+AU45)/2)))/((D45*((AT45+AU45)/2))/(D45+2*((AT45+AU45)/2)))^(2/3))^2+((DATOS!$B$34*H44/((D44*F44)/(D44+2*F44))^(2/3))^2))/2))&gt;0,((AT45+AU45)/2),AU45)</f>
        <v/>
      </c>
      <c r="AX45" s="5">
        <f>IF((((AV45+AW45)/2)+(C45/(D45*((AV45+AW45)/2)))^2/(2*9.81)+B45-(G44+H44^2/(2*9.81))-(A44-A45)*(((DATOS!$B$34*(C45/(D45*((AV45+AW45)/2)))/((D45*((AV45+AW45)/2))/(D45+2*((AV45+AW45)/2)))^(2/3))^2+((DATOS!$B$34*H44/((D44*F44)/(D44+2*F44))^(2/3))^2))/2))&gt;0,AV45,((AV45+AW45)/2))</f>
        <v/>
      </c>
      <c r="AY45" s="5">
        <f>IF((((AV45+AW45)/2)+(C45/(D45*((AV45+AW45)/2)))^2/(2*9.81)+B45-(G44+H44^2/(2*9.81))-(A44-A45)*(((DATOS!$B$34*(C45/(D45*((AV45+AW45)/2)))/((D45*((AV45+AW45)/2))/(D45+2*((AV45+AW45)/2)))^(2/3))^2+((DATOS!$B$34*H44/((D44*F44)/(D44+2*F44))^(2/3))^2))/2))&gt;0,((AV45+AW45)/2),AW45)</f>
        <v/>
      </c>
      <c r="AZ45" s="5">
        <f>IF((((AX45+AY45)/2)+(C45/(D45*((AX45+AY45)/2)))^2/(2*9.81)+B45-(G44+H44^2/(2*9.81))-(A44-A45)*(((DATOS!$B$34*(C45/(D45*((AX45+AY45)/2)))/((D45*((AX45+AY45)/2))/(D45+2*((AX45+AY45)/2)))^(2/3))^2+((DATOS!$B$34*H44/((D44*F44)/(D44+2*F44))^(2/3))^2))/2))&gt;0,AX45,((AX45+AY45)/2))</f>
        <v/>
      </c>
      <c r="BA45" s="5">
        <f>IF((((AX45+AY45)/2)+(C45/(D45*((AX45+AY45)/2)))^2/(2*9.81)+B45-(G44+H44^2/(2*9.81))-(A44-A45)*(((DATOS!$B$34*(C45/(D45*((AX45+AY45)/2)))/((D45*((AX45+AY45)/2))/(D45+2*((AX45+AY45)/2)))^(2/3))^2+((DATOS!$B$34*H44/((D44*F44)/(D44+2*F44))^(2/3))^2))/2))&gt;0,((AX45+AY45)/2),AY45)</f>
        <v/>
      </c>
      <c r="BB45" s="5">
        <f>IF((((AZ45+BA45)/2)+(C45/(D45*((AZ45+BA45)/2)))^2/(2*9.81)+B45-(G44+H44^2/(2*9.81))-(A44-A45)*(((DATOS!$B$34*(C45/(D45*((AZ45+BA45)/2)))/((D45*((AZ45+BA45)/2))/(D45+2*((AZ45+BA45)/2)))^(2/3))^2+((DATOS!$B$34*H44/((D44*F44)/(D44+2*F44))^(2/3))^2))/2))&gt;0,AZ45,((AZ45+BA45)/2))</f>
        <v/>
      </c>
      <c r="BC45" s="5">
        <f>IF((((AZ45+BA45)/2)+(C45/(D45*((AZ45+BA45)/2)))^2/(2*9.81)+B45-(G44+H44^2/(2*9.81))-(A44-A45)*(((DATOS!$B$34*(C45/(D45*((AZ45+BA45)/2)))/((D45*((AZ45+BA45)/2))/(D45+2*((AZ45+BA45)/2)))^(2/3))^2+((DATOS!$B$34*H44/((D44*F44)/(D44+2*F44))^(2/3))^2))/2))&gt;0,((AZ45+BA45)/2),BA45)</f>
        <v/>
      </c>
      <c r="BD45" s="5">
        <f>IF((((BB45+BC45)/2)+(C45/(D45*((BB45+BC45)/2)))^2/(2*9.81)+B45-(G44+H44^2/(2*9.81))-(A44-A45)*(((DATOS!$B$34*(C45/(D45*((BB45+BC45)/2)))/((D45*((BB45+BC45)/2))/(D45+2*((BB45+BC45)/2)))^(2/3))^2+((DATOS!$B$34*H44/((D44*F44)/(D44+2*F44))^(2/3))^2))/2))&gt;0,BB45,((BB45+BC45)/2))</f>
        <v/>
      </c>
      <c r="BE45" s="5">
        <f>IF((((BB45+BC45)/2)+(C45/(D45*((BB45+BC45)/2)))^2/(2*9.81)+B45-(G44+H44^2/(2*9.81))-(A44-A45)*(((DATOS!$B$34*(C45/(D45*((BB45+BC45)/2)))/((D45*((BB45+BC45)/2))/(D45+2*((BB45+BC45)/2)))^(2/3))^2+((DATOS!$B$34*H44/((D44*F44)/(D44+2*F44))^(2/3))^2))/2))&gt;0,((BB45+BC45)/2),BC45)</f>
        <v/>
      </c>
      <c r="BF45" s="5">
        <f>IF((((BD45+BE45)/2)+(C45/(D45*((BD45+BE45)/2)))^2/(2*9.81)+B45-(G44+H44^2/(2*9.81))-(A44-A45)*(((DATOS!$B$34*(C45/(D45*((BD45+BE45)/2)))/((D45*((BD45+BE45)/2))/(D45+2*((BD45+BE45)/2)))^(2/3))^2+((DATOS!$B$34*H44/((D44*F44)/(D44+2*F44))^(2/3))^2))/2))&gt;0,BD45,((BD45+BE45)/2))</f>
        <v/>
      </c>
      <c r="BG45" s="5">
        <f>IF((((BD45+BE45)/2)+(C45/(D45*((BD45+BE45)/2)))^2/(2*9.81)+B45-(G44+H44^2/(2*9.81))-(A44-A45)*(((DATOS!$B$34*(C45/(D45*((BD45+BE45)/2)))/((D45*((BD45+BE45)/2))/(D45+2*((BD45+BE45)/2)))^(2/3))^2+((DATOS!$B$34*H44/((D44*F44)/(D44+2*F44))^(2/3))^2))/2))&gt;0,((BD45+BE45)/2),BE45)</f>
        <v/>
      </c>
      <c r="BH45" s="5">
        <f>IF((((BF45+BG45)/2)+(C45/(D45*((BF45+BG45)/2)))^2/(2*9.81)+B45-(G44+H44^2/(2*9.81))-(A44-A45)*(((DATOS!$B$34*(C45/(D45*((BF45+BG45)/2)))/((D45*((BF45+BG45)/2))/(D45+2*((BF45+BG45)/2)))^(2/3))^2+((DATOS!$B$34*H44/((D44*F44)/(D44+2*F44))^(2/3))^2))/2))&gt;0,BF45,((BF45+BG45)/2))</f>
        <v/>
      </c>
      <c r="BI45" s="5">
        <f>IF((((BF45+BG45)/2)+(C45/(D45*((BF45+BG45)/2)))^2/(2*9.81)+B45-(G44+H44^2/(2*9.81))-(A44-A45)*(((DATOS!$B$34*(C45/(D45*((BF45+BG45)/2)))/((D45*((BF45+BG45)/2))/(D45+2*((BF45+BG45)/2)))^(2/3))^2+((DATOS!$B$34*H44/((D44*F44)/(D44+2*F44))^(2/3))^2))/2))&gt;0,((BF45+BG45)/2),BG45)</f>
        <v/>
      </c>
      <c r="BJ45" s="5">
        <f>IF((((BH45+BI45)/2)+(C45/(D45*((BH45+BI45)/2)))^2/(2*9.81)+B45-(G44+H44^2/(2*9.81))-(A44-A45)*(((DATOS!$B$34*(C45/(D45*((BH45+BI45)/2)))/((D45*((BH45+BI45)/2))/(D45+2*((BH45+BI45)/2)))^(2/3))^2+((DATOS!$B$34*H44/((D44*F44)/(D44+2*F44))^(2/3))^2))/2))&gt;0,BH45,((BH45+BI45)/2))</f>
        <v/>
      </c>
      <c r="BK45" s="5">
        <f>IF((((BH45+BI45)/2)+(C45/(D45*((BH45+BI45)/2)))^2/(2*9.81)+B45-(G44+H44^2/(2*9.81))-(A44-A45)*(((DATOS!$B$34*(C45/(D45*((BH45+BI45)/2)))/((D45*((BH45+BI45)/2))/(D45+2*((BH45+BI45)/2)))^(2/3))^2+((DATOS!$B$34*H44/((D44*F44)/(D44+2*F44))^(2/3))^2))/2))&gt;0,((BH45+BI45)/2),BI45)</f>
        <v/>
      </c>
      <c r="BL45" s="5">
        <f>IF((((BJ45+BK45)/2)+(C45/(D45*((BJ45+BK45)/2)))^2/(2*9.81)+B45-(G44+H44^2/(2*9.81))-(A44-A45)*(((DATOS!$B$34*(C45/(D45*((BJ45+BK45)/2)))/((D45*((BJ45+BK45)/2))/(D45+2*((BJ45+BK45)/2)))^(2/3))^2+((DATOS!$B$34*H44/((D44*F44)/(D44+2*F44))^(2/3))^2))/2))&gt;0,BJ45,((BJ45+BK45)/2))</f>
        <v/>
      </c>
      <c r="BM45" s="5">
        <f>IF((((BJ45+BK45)/2)+(C45/(D45*((BJ45+BK45)/2)))^2/(2*9.81)+B45-(G44+H44^2/(2*9.81))-(A44-A45)*(((DATOS!$B$34*(C45/(D45*((BJ45+BK45)/2)))/((D45*((BJ45+BK45)/2))/(D45+2*((BJ45+BK45)/2)))^(2/3))^2+((DATOS!$B$34*H44/((D44*F44)/(D44+2*F44))^(2/3))^2))/2))&gt;0,((BJ45+BK45)/2),BK45)</f>
        <v/>
      </c>
      <c r="BN45" s="5">
        <f>IF((((BL45+BM45)/2)+(C45/(D45*((BL45+BM45)/2)))^2/(2*9.81)+B45-(G44+H44^2/(2*9.81))-(A44-A45)*(((DATOS!$B$34*(C45/(D45*((BL45+BM45)/2)))/((D45*((BL45+BM45)/2))/(D45+2*((BL45+BM45)/2)))^(2/3))^2+((DATOS!$B$34*H44/((D44*F44)/(D44+2*F44))^(2/3))^2))/2))&gt;0,BL45,((BL45+BM45)/2))</f>
        <v/>
      </c>
      <c r="BO45" s="5">
        <f>IF((((BL45+BM45)/2)+(C45/(D45*((BL45+BM45)/2)))^2/(2*9.81)+B45-(G44+H44^2/(2*9.81))-(A44-A45)*(((DATOS!$B$34*(C45/(D45*((BL45+BM45)/2)))/((D45*((BL45+BM45)/2))/(D45+2*((BL45+BM45)/2)))^(2/3))^2+((DATOS!$B$34*H44/((D44*F44)/(D44+2*F44))^(2/3))^2))/2))&gt;0,((BL45+BM45)/2),BM45)</f>
        <v/>
      </c>
      <c r="BP45" s="5">
        <f>IF((((BN45+BO45)/2)+(C45/(D45*((BN45+BO45)/2)))^2/(2*9.81)+B45-(G44+H44^2/(2*9.81))-(A44-A45)*(((DATOS!$B$34*(C45/(D45*((BN45+BO45)/2)))/((D45*((BN45+BO45)/2))/(D45+2*((BN45+BO45)/2)))^(2/3))^2+((DATOS!$B$34*H44/((D44*F44)/(D44+2*F44))^(2/3))^2))/2))&gt;0,BN45,((BN45+BO45)/2))</f>
        <v/>
      </c>
      <c r="BQ45" s="5">
        <f>IF((((BN45+BO45)/2)+(C45/(D45*((BN45+BO45)/2)))^2/(2*9.81)+B45-(G44+H44^2/(2*9.81))-(A44-A45)*(((DATOS!$B$34*(C45/(D45*((BN45+BO45)/2)))/((D45*((BN45+BO45)/2))/(D45+2*((BN45+BO45)/2)))^(2/3))^2+((DATOS!$B$34*H44/((D44*F44)/(D44+2*F44))^(2/3))^2))/2))&gt;0,((BN45+BO45)/2),BO45)</f>
        <v/>
      </c>
      <c r="BR45" s="5">
        <f>IF((((BP45+BQ45)/2)+(C45/(D45*((BP45+BQ45)/2)))^2/(2*9.81)+B45-(G44+H44^2/(2*9.81))-(A44-A45)*(((DATOS!$B$34*(C45/(D45*((BP45+BQ45)/2)))/((D45*((BP45+BQ45)/2))/(D45+2*((BP45+BQ45)/2)))^(2/3))^2+((DATOS!$B$34*H44/((D44*F44)/(D44+2*F44))^(2/3))^2))/2))&gt;0,BP45,((BP45+BQ45)/2))</f>
        <v/>
      </c>
      <c r="BS45" s="5">
        <f>IF((((BP45+BQ45)/2)+(C45/(D45*((BP45+BQ45)/2)))^2/(2*9.81)+B45-(G44+H44^2/(2*9.81))-(A44-A45)*(((DATOS!$B$34*(C45/(D45*((BP45+BQ45)/2)))/((D45*((BP45+BQ45)/2))/(D45+2*((BP45+BQ45)/2)))^(2/3))^2+((DATOS!$B$34*H44/((D44*F44)/(D44+2*F44))^(2/3))^2))/2))&gt;0,((BP45+BQ45)/2),BQ45)</f>
        <v/>
      </c>
      <c r="BT45" s="5">
        <f>IF((((BR45+BS45)/2)+(C45/(D45*((BR45+BS45)/2)))^2/(2*9.81)+B45-(G44+H44^2/(2*9.81))-(A44-A45)*(((DATOS!$B$34*(C45/(D45*((BR45+BS45)/2)))/((D45*((BR45+BS45)/2))/(D45+2*((BR45+BS45)/2)))^(2/3))^2+((DATOS!$B$34*H44/((D44*F44)/(D44+2*F44))^(2/3))^2))/2))&gt;0,BR45,((BR45+BS45)/2))</f>
        <v/>
      </c>
      <c r="BU45" s="5">
        <f>IF((((BR45+BS45)/2)+(C45/(D45*((BR45+BS45)/2)))^2/(2*9.81)+B45-(G44+H44^2/(2*9.81))-(A44-A45)*(((DATOS!$B$34*(C45/(D45*((BR45+BS45)/2)))/((D45*((BR45+BS45)/2))/(D45+2*((BR45+BS45)/2)))^(2/3))^2+((DATOS!$B$34*H44/((D44*F44)/(D44+2*F44))^(2/3))^2))/2))&gt;0,((BR45+BS45)/2),BS45)</f>
        <v/>
      </c>
      <c r="BV45" s="5">
        <f>IF((((BT45+BU45)/2)+(C45/(D45*((BT45+BU45)/2)))^2/(2*9.81)+B45-(G44+H44^2/(2*9.81))-(A44-A45)*(((DATOS!$B$34*(C45/(D45*((BT45+BU45)/2)))/((D45*((BT45+BU45)/2))/(D45+2*((BT45+BU45)/2)))^(2/3))^2+((DATOS!$B$34*H44/((D44*F44)/(D44+2*F44))^(2/3))^2))/2))&gt;0,BT45,((BT45+BU45)/2))</f>
        <v/>
      </c>
      <c r="BW45" s="5">
        <f>IF((((BT45+BU45)/2)+(C45/(D45*((BT45+BU45)/2)))^2/(2*9.81)+B45-(G44+H44^2/(2*9.81))-(A44-A45)*(((DATOS!$B$34*(C45/(D45*((BT45+BU45)/2)))/((D45*((BT45+BU45)/2))/(D45+2*((BT45+BU45)/2)))^(2/3))^2+((DATOS!$B$34*H44/((D44*F44)/(D44+2*F44))^(2/3))^2))/2))&gt;0,((BT45+BU45)/2),BU45)</f>
        <v/>
      </c>
    </row>
    <row r="46">
      <c r="A46" s="13" t="n">
        <v>39</v>
      </c>
      <c r="B46" s="16">
        <f>DATOS!$B$22-DATOS!$B$23*A46</f>
        <v/>
      </c>
      <c r="C46" s="24">
        <f>CAUDALES!$B$13</f>
        <v/>
      </c>
      <c r="D46" s="17">
        <f>DATOS!$B$17</f>
        <v/>
      </c>
      <c r="E46" s="16">
        <f>(C46^2/(9.81*D46^2))^(1/3)</f>
        <v/>
      </c>
      <c r="F46" s="16">
        <f>(BV46+BW46)/2</f>
        <v/>
      </c>
      <c r="G46" s="16">
        <f>B46+F46</f>
        <v/>
      </c>
      <c r="H46" s="19">
        <f>C46/(D46*F46)</f>
        <v/>
      </c>
      <c r="I46" s="19">
        <f>H46/SQRT(9.81*F46)</f>
        <v/>
      </c>
      <c r="J46" s="16">
        <f>DATOS!$B$29-IF(AND(A46&gt;=DATOS!$B$30,A46&lt;DATOS!$B$31),DATOS!$B$21,DATOS!$B$20)</f>
        <v/>
      </c>
      <c r="K46" s="19">
        <f>J46-B46</f>
        <v/>
      </c>
      <c r="L46" s="19">
        <f>F46/K46</f>
        <v/>
      </c>
      <c r="M46" s="16">
        <f>J46-G46</f>
        <v/>
      </c>
      <c r="N46" s="5">
        <f>IF(AND(L46&lt;=DATOS!$B$36,M46&gt;=DATOS!$B$37,I46&lt;=1),"CUMPLE","NO CUMPLE")</f>
        <v/>
      </c>
      <c r="O46" s="5">
        <f>IF(AND(A46&gt;=DATOS!$B$30,A46&lt;DATOS!$B$31),"cruce de camiones",IF(AND(A46&gt;=DATOS!$B$32,A46&lt;DATOS!$B$33),"cruce de motos","tramo normal"))</f>
        <v/>
      </c>
      <c r="P46" s="5">
        <f>E46*1.001</f>
        <v/>
      </c>
      <c r="Q46" s="13" t="n">
        <v>3</v>
      </c>
      <c r="R46" s="5">
        <f>IF((((P46+Q46)/2)+(C46/(D46*((P46+Q46)/2)))^2/(2*9.81)+B46-(G45+H45^2/(2*9.81))-(A45-A46)*(((DATOS!$B$34*(C46/(D46*((P46+Q46)/2)))/((D46*((P46+Q46)/2))/(D46+2*((P46+Q46)/2)))^(2/3))^2+((DATOS!$B$34*H45/((D45*F45)/(D45+2*F45))^(2/3))^2))/2))&gt;0,P46,((P46+Q46)/2))</f>
        <v/>
      </c>
      <c r="S46" s="5">
        <f>IF((((P46+Q46)/2)+(C46/(D46*((P46+Q46)/2)))^2/(2*9.81)+B46-(G45+H45^2/(2*9.81))-(A45-A46)*(((DATOS!$B$34*(C46/(D46*((P46+Q46)/2)))/((D46*((P46+Q46)/2))/(D46+2*((P46+Q46)/2)))^(2/3))^2+((DATOS!$B$34*H45/((D45*F45)/(D45+2*F45))^(2/3))^2))/2))&gt;0,((P46+Q46)/2),Q46)</f>
        <v/>
      </c>
      <c r="T46" s="5">
        <f>IF((((R46+S46)/2)+(C46/(D46*((R46+S46)/2)))^2/(2*9.81)+B46-(G45+H45^2/(2*9.81))-(A45-A46)*(((DATOS!$B$34*(C46/(D46*((R46+S46)/2)))/((D46*((R46+S46)/2))/(D46+2*((R46+S46)/2)))^(2/3))^2+((DATOS!$B$34*H45/((D45*F45)/(D45+2*F45))^(2/3))^2))/2))&gt;0,R46,((R46+S46)/2))</f>
        <v/>
      </c>
      <c r="U46" s="5">
        <f>IF((((R46+S46)/2)+(C46/(D46*((R46+S46)/2)))^2/(2*9.81)+B46-(G45+H45^2/(2*9.81))-(A45-A46)*(((DATOS!$B$34*(C46/(D46*((R46+S46)/2)))/((D46*((R46+S46)/2))/(D46+2*((R46+S46)/2)))^(2/3))^2+((DATOS!$B$34*H45/((D45*F45)/(D45+2*F45))^(2/3))^2))/2))&gt;0,((R46+S46)/2),S46)</f>
        <v/>
      </c>
      <c r="V46" s="5">
        <f>IF((((T46+U46)/2)+(C46/(D46*((T46+U46)/2)))^2/(2*9.81)+B46-(G45+H45^2/(2*9.81))-(A45-A46)*(((DATOS!$B$34*(C46/(D46*((T46+U46)/2)))/((D46*((T46+U46)/2))/(D46+2*((T46+U46)/2)))^(2/3))^2+((DATOS!$B$34*H45/((D45*F45)/(D45+2*F45))^(2/3))^2))/2))&gt;0,T46,((T46+U46)/2))</f>
        <v/>
      </c>
      <c r="W46" s="5">
        <f>IF((((T46+U46)/2)+(C46/(D46*((T46+U46)/2)))^2/(2*9.81)+B46-(G45+H45^2/(2*9.81))-(A45-A46)*(((DATOS!$B$34*(C46/(D46*((T46+U46)/2)))/((D46*((T46+U46)/2))/(D46+2*((T46+U46)/2)))^(2/3))^2+((DATOS!$B$34*H45/((D45*F45)/(D45+2*F45))^(2/3))^2))/2))&gt;0,((T46+U46)/2),U46)</f>
        <v/>
      </c>
      <c r="X46" s="5">
        <f>IF((((V46+W46)/2)+(C46/(D46*((V46+W46)/2)))^2/(2*9.81)+B46-(G45+H45^2/(2*9.81))-(A45-A46)*(((DATOS!$B$34*(C46/(D46*((V46+W46)/2)))/((D46*((V46+W46)/2))/(D46+2*((V46+W46)/2)))^(2/3))^2+((DATOS!$B$34*H45/((D45*F45)/(D45+2*F45))^(2/3))^2))/2))&gt;0,V46,((V46+W46)/2))</f>
        <v/>
      </c>
      <c r="Y46" s="5">
        <f>IF((((V46+W46)/2)+(C46/(D46*((V46+W46)/2)))^2/(2*9.81)+B46-(G45+H45^2/(2*9.81))-(A45-A46)*(((DATOS!$B$34*(C46/(D46*((V46+W46)/2)))/((D46*((V46+W46)/2))/(D46+2*((V46+W46)/2)))^(2/3))^2+((DATOS!$B$34*H45/((D45*F45)/(D45+2*F45))^(2/3))^2))/2))&gt;0,((V46+W46)/2),W46)</f>
        <v/>
      </c>
      <c r="Z46" s="5">
        <f>IF((((X46+Y46)/2)+(C46/(D46*((X46+Y46)/2)))^2/(2*9.81)+B46-(G45+H45^2/(2*9.81))-(A45-A46)*(((DATOS!$B$34*(C46/(D46*((X46+Y46)/2)))/((D46*((X46+Y46)/2))/(D46+2*((X46+Y46)/2)))^(2/3))^2+((DATOS!$B$34*H45/((D45*F45)/(D45+2*F45))^(2/3))^2))/2))&gt;0,X46,((X46+Y46)/2))</f>
        <v/>
      </c>
      <c r="AA46" s="5">
        <f>IF((((X46+Y46)/2)+(C46/(D46*((X46+Y46)/2)))^2/(2*9.81)+B46-(G45+H45^2/(2*9.81))-(A45-A46)*(((DATOS!$B$34*(C46/(D46*((X46+Y46)/2)))/((D46*((X46+Y46)/2))/(D46+2*((X46+Y46)/2)))^(2/3))^2+((DATOS!$B$34*H45/((D45*F45)/(D45+2*F45))^(2/3))^2))/2))&gt;0,((X46+Y46)/2),Y46)</f>
        <v/>
      </c>
      <c r="AB46" s="5">
        <f>IF((((Z46+AA46)/2)+(C46/(D46*((Z46+AA46)/2)))^2/(2*9.81)+B46-(G45+H45^2/(2*9.81))-(A45-A46)*(((DATOS!$B$34*(C46/(D46*((Z46+AA46)/2)))/((D46*((Z46+AA46)/2))/(D46+2*((Z46+AA46)/2)))^(2/3))^2+((DATOS!$B$34*H45/((D45*F45)/(D45+2*F45))^(2/3))^2))/2))&gt;0,Z46,((Z46+AA46)/2))</f>
        <v/>
      </c>
      <c r="AC46" s="5">
        <f>IF((((Z46+AA46)/2)+(C46/(D46*((Z46+AA46)/2)))^2/(2*9.81)+B46-(G45+H45^2/(2*9.81))-(A45-A46)*(((DATOS!$B$34*(C46/(D46*((Z46+AA46)/2)))/((D46*((Z46+AA46)/2))/(D46+2*((Z46+AA46)/2)))^(2/3))^2+((DATOS!$B$34*H45/((D45*F45)/(D45+2*F45))^(2/3))^2))/2))&gt;0,((Z46+AA46)/2),AA46)</f>
        <v/>
      </c>
      <c r="AD46" s="5">
        <f>IF((((AB46+AC46)/2)+(C46/(D46*((AB46+AC46)/2)))^2/(2*9.81)+B46-(G45+H45^2/(2*9.81))-(A45-A46)*(((DATOS!$B$34*(C46/(D46*((AB46+AC46)/2)))/((D46*((AB46+AC46)/2))/(D46+2*((AB46+AC46)/2)))^(2/3))^2+((DATOS!$B$34*H45/((D45*F45)/(D45+2*F45))^(2/3))^2))/2))&gt;0,AB46,((AB46+AC46)/2))</f>
        <v/>
      </c>
      <c r="AE46" s="5">
        <f>IF((((AB46+AC46)/2)+(C46/(D46*((AB46+AC46)/2)))^2/(2*9.81)+B46-(G45+H45^2/(2*9.81))-(A45-A46)*(((DATOS!$B$34*(C46/(D46*((AB46+AC46)/2)))/((D46*((AB46+AC46)/2))/(D46+2*((AB46+AC46)/2)))^(2/3))^2+((DATOS!$B$34*H45/((D45*F45)/(D45+2*F45))^(2/3))^2))/2))&gt;0,((AB46+AC46)/2),AC46)</f>
        <v/>
      </c>
      <c r="AF46" s="5">
        <f>IF((((AD46+AE46)/2)+(C46/(D46*((AD46+AE46)/2)))^2/(2*9.81)+B46-(G45+H45^2/(2*9.81))-(A45-A46)*(((DATOS!$B$34*(C46/(D46*((AD46+AE46)/2)))/((D46*((AD46+AE46)/2))/(D46+2*((AD46+AE46)/2)))^(2/3))^2+((DATOS!$B$34*H45/((D45*F45)/(D45+2*F45))^(2/3))^2))/2))&gt;0,AD46,((AD46+AE46)/2))</f>
        <v/>
      </c>
      <c r="AG46" s="5">
        <f>IF((((AD46+AE46)/2)+(C46/(D46*((AD46+AE46)/2)))^2/(2*9.81)+B46-(G45+H45^2/(2*9.81))-(A45-A46)*(((DATOS!$B$34*(C46/(D46*((AD46+AE46)/2)))/((D46*((AD46+AE46)/2))/(D46+2*((AD46+AE46)/2)))^(2/3))^2+((DATOS!$B$34*H45/((D45*F45)/(D45+2*F45))^(2/3))^2))/2))&gt;0,((AD46+AE46)/2),AE46)</f>
        <v/>
      </c>
      <c r="AH46" s="5">
        <f>IF((((AF46+AG46)/2)+(C46/(D46*((AF46+AG46)/2)))^2/(2*9.81)+B46-(G45+H45^2/(2*9.81))-(A45-A46)*(((DATOS!$B$34*(C46/(D46*((AF46+AG46)/2)))/((D46*((AF46+AG46)/2))/(D46+2*((AF46+AG46)/2)))^(2/3))^2+((DATOS!$B$34*H45/((D45*F45)/(D45+2*F45))^(2/3))^2))/2))&gt;0,AF46,((AF46+AG46)/2))</f>
        <v/>
      </c>
      <c r="AI46" s="5">
        <f>IF((((AF46+AG46)/2)+(C46/(D46*((AF46+AG46)/2)))^2/(2*9.81)+B46-(G45+H45^2/(2*9.81))-(A45-A46)*(((DATOS!$B$34*(C46/(D46*((AF46+AG46)/2)))/((D46*((AF46+AG46)/2))/(D46+2*((AF46+AG46)/2)))^(2/3))^2+((DATOS!$B$34*H45/((D45*F45)/(D45+2*F45))^(2/3))^2))/2))&gt;0,((AF46+AG46)/2),AG46)</f>
        <v/>
      </c>
      <c r="AJ46" s="5">
        <f>IF((((AH46+AI46)/2)+(C46/(D46*((AH46+AI46)/2)))^2/(2*9.81)+B46-(G45+H45^2/(2*9.81))-(A45-A46)*(((DATOS!$B$34*(C46/(D46*((AH46+AI46)/2)))/((D46*((AH46+AI46)/2))/(D46+2*((AH46+AI46)/2)))^(2/3))^2+((DATOS!$B$34*H45/((D45*F45)/(D45+2*F45))^(2/3))^2))/2))&gt;0,AH46,((AH46+AI46)/2))</f>
        <v/>
      </c>
      <c r="AK46" s="5">
        <f>IF((((AH46+AI46)/2)+(C46/(D46*((AH46+AI46)/2)))^2/(2*9.81)+B46-(G45+H45^2/(2*9.81))-(A45-A46)*(((DATOS!$B$34*(C46/(D46*((AH46+AI46)/2)))/((D46*((AH46+AI46)/2))/(D46+2*((AH46+AI46)/2)))^(2/3))^2+((DATOS!$B$34*H45/((D45*F45)/(D45+2*F45))^(2/3))^2))/2))&gt;0,((AH46+AI46)/2),AI46)</f>
        <v/>
      </c>
      <c r="AL46" s="5">
        <f>IF((((AJ46+AK46)/2)+(C46/(D46*((AJ46+AK46)/2)))^2/(2*9.81)+B46-(G45+H45^2/(2*9.81))-(A45-A46)*(((DATOS!$B$34*(C46/(D46*((AJ46+AK46)/2)))/((D46*((AJ46+AK46)/2))/(D46+2*((AJ46+AK46)/2)))^(2/3))^2+((DATOS!$B$34*H45/((D45*F45)/(D45+2*F45))^(2/3))^2))/2))&gt;0,AJ46,((AJ46+AK46)/2))</f>
        <v/>
      </c>
      <c r="AM46" s="5">
        <f>IF((((AJ46+AK46)/2)+(C46/(D46*((AJ46+AK46)/2)))^2/(2*9.81)+B46-(G45+H45^2/(2*9.81))-(A45-A46)*(((DATOS!$B$34*(C46/(D46*((AJ46+AK46)/2)))/((D46*((AJ46+AK46)/2))/(D46+2*((AJ46+AK46)/2)))^(2/3))^2+((DATOS!$B$34*H45/((D45*F45)/(D45+2*F45))^(2/3))^2))/2))&gt;0,((AJ46+AK46)/2),AK46)</f>
        <v/>
      </c>
      <c r="AN46" s="5">
        <f>IF((((AL46+AM46)/2)+(C46/(D46*((AL46+AM46)/2)))^2/(2*9.81)+B46-(G45+H45^2/(2*9.81))-(A45-A46)*(((DATOS!$B$34*(C46/(D46*((AL46+AM46)/2)))/((D46*((AL46+AM46)/2))/(D46+2*((AL46+AM46)/2)))^(2/3))^2+((DATOS!$B$34*H45/((D45*F45)/(D45+2*F45))^(2/3))^2))/2))&gt;0,AL46,((AL46+AM46)/2))</f>
        <v/>
      </c>
      <c r="AO46" s="5">
        <f>IF((((AL46+AM46)/2)+(C46/(D46*((AL46+AM46)/2)))^2/(2*9.81)+B46-(G45+H45^2/(2*9.81))-(A45-A46)*(((DATOS!$B$34*(C46/(D46*((AL46+AM46)/2)))/((D46*((AL46+AM46)/2))/(D46+2*((AL46+AM46)/2)))^(2/3))^2+((DATOS!$B$34*H45/((D45*F45)/(D45+2*F45))^(2/3))^2))/2))&gt;0,((AL46+AM46)/2),AM46)</f>
        <v/>
      </c>
      <c r="AP46" s="5">
        <f>IF((((AN46+AO46)/2)+(C46/(D46*((AN46+AO46)/2)))^2/(2*9.81)+B46-(G45+H45^2/(2*9.81))-(A45-A46)*(((DATOS!$B$34*(C46/(D46*((AN46+AO46)/2)))/((D46*((AN46+AO46)/2))/(D46+2*((AN46+AO46)/2)))^(2/3))^2+((DATOS!$B$34*H45/((D45*F45)/(D45+2*F45))^(2/3))^2))/2))&gt;0,AN46,((AN46+AO46)/2))</f>
        <v/>
      </c>
      <c r="AQ46" s="5">
        <f>IF((((AN46+AO46)/2)+(C46/(D46*((AN46+AO46)/2)))^2/(2*9.81)+B46-(G45+H45^2/(2*9.81))-(A45-A46)*(((DATOS!$B$34*(C46/(D46*((AN46+AO46)/2)))/((D46*((AN46+AO46)/2))/(D46+2*((AN46+AO46)/2)))^(2/3))^2+((DATOS!$B$34*H45/((D45*F45)/(D45+2*F45))^(2/3))^2))/2))&gt;0,((AN46+AO46)/2),AO46)</f>
        <v/>
      </c>
      <c r="AR46" s="5">
        <f>IF((((AP46+AQ46)/2)+(C46/(D46*((AP46+AQ46)/2)))^2/(2*9.81)+B46-(G45+H45^2/(2*9.81))-(A45-A46)*(((DATOS!$B$34*(C46/(D46*((AP46+AQ46)/2)))/((D46*((AP46+AQ46)/2))/(D46+2*((AP46+AQ46)/2)))^(2/3))^2+((DATOS!$B$34*H45/((D45*F45)/(D45+2*F45))^(2/3))^2))/2))&gt;0,AP46,((AP46+AQ46)/2))</f>
        <v/>
      </c>
      <c r="AS46" s="5">
        <f>IF((((AP46+AQ46)/2)+(C46/(D46*((AP46+AQ46)/2)))^2/(2*9.81)+B46-(G45+H45^2/(2*9.81))-(A45-A46)*(((DATOS!$B$34*(C46/(D46*((AP46+AQ46)/2)))/((D46*((AP46+AQ46)/2))/(D46+2*((AP46+AQ46)/2)))^(2/3))^2+((DATOS!$B$34*H45/((D45*F45)/(D45+2*F45))^(2/3))^2))/2))&gt;0,((AP46+AQ46)/2),AQ46)</f>
        <v/>
      </c>
      <c r="AT46" s="5">
        <f>IF((((AR46+AS46)/2)+(C46/(D46*((AR46+AS46)/2)))^2/(2*9.81)+B46-(G45+H45^2/(2*9.81))-(A45-A46)*(((DATOS!$B$34*(C46/(D46*((AR46+AS46)/2)))/((D46*((AR46+AS46)/2))/(D46+2*((AR46+AS46)/2)))^(2/3))^2+((DATOS!$B$34*H45/((D45*F45)/(D45+2*F45))^(2/3))^2))/2))&gt;0,AR46,((AR46+AS46)/2))</f>
        <v/>
      </c>
      <c r="AU46" s="5">
        <f>IF((((AR46+AS46)/2)+(C46/(D46*((AR46+AS46)/2)))^2/(2*9.81)+B46-(G45+H45^2/(2*9.81))-(A45-A46)*(((DATOS!$B$34*(C46/(D46*((AR46+AS46)/2)))/((D46*((AR46+AS46)/2))/(D46+2*((AR46+AS46)/2)))^(2/3))^2+((DATOS!$B$34*H45/((D45*F45)/(D45+2*F45))^(2/3))^2))/2))&gt;0,((AR46+AS46)/2),AS46)</f>
        <v/>
      </c>
      <c r="AV46" s="5">
        <f>IF((((AT46+AU46)/2)+(C46/(D46*((AT46+AU46)/2)))^2/(2*9.81)+B46-(G45+H45^2/(2*9.81))-(A45-A46)*(((DATOS!$B$34*(C46/(D46*((AT46+AU46)/2)))/((D46*((AT46+AU46)/2))/(D46+2*((AT46+AU46)/2)))^(2/3))^2+((DATOS!$B$34*H45/((D45*F45)/(D45+2*F45))^(2/3))^2))/2))&gt;0,AT46,((AT46+AU46)/2))</f>
        <v/>
      </c>
      <c r="AW46" s="5">
        <f>IF((((AT46+AU46)/2)+(C46/(D46*((AT46+AU46)/2)))^2/(2*9.81)+B46-(G45+H45^2/(2*9.81))-(A45-A46)*(((DATOS!$B$34*(C46/(D46*((AT46+AU46)/2)))/((D46*((AT46+AU46)/2))/(D46+2*((AT46+AU46)/2)))^(2/3))^2+((DATOS!$B$34*H45/((D45*F45)/(D45+2*F45))^(2/3))^2))/2))&gt;0,((AT46+AU46)/2),AU46)</f>
        <v/>
      </c>
      <c r="AX46" s="5">
        <f>IF((((AV46+AW46)/2)+(C46/(D46*((AV46+AW46)/2)))^2/(2*9.81)+B46-(G45+H45^2/(2*9.81))-(A45-A46)*(((DATOS!$B$34*(C46/(D46*((AV46+AW46)/2)))/((D46*((AV46+AW46)/2))/(D46+2*((AV46+AW46)/2)))^(2/3))^2+((DATOS!$B$34*H45/((D45*F45)/(D45+2*F45))^(2/3))^2))/2))&gt;0,AV46,((AV46+AW46)/2))</f>
        <v/>
      </c>
      <c r="AY46" s="5">
        <f>IF((((AV46+AW46)/2)+(C46/(D46*((AV46+AW46)/2)))^2/(2*9.81)+B46-(G45+H45^2/(2*9.81))-(A45-A46)*(((DATOS!$B$34*(C46/(D46*((AV46+AW46)/2)))/((D46*((AV46+AW46)/2))/(D46+2*((AV46+AW46)/2)))^(2/3))^2+((DATOS!$B$34*H45/((D45*F45)/(D45+2*F45))^(2/3))^2))/2))&gt;0,((AV46+AW46)/2),AW46)</f>
        <v/>
      </c>
      <c r="AZ46" s="5">
        <f>IF((((AX46+AY46)/2)+(C46/(D46*((AX46+AY46)/2)))^2/(2*9.81)+B46-(G45+H45^2/(2*9.81))-(A45-A46)*(((DATOS!$B$34*(C46/(D46*((AX46+AY46)/2)))/((D46*((AX46+AY46)/2))/(D46+2*((AX46+AY46)/2)))^(2/3))^2+((DATOS!$B$34*H45/((D45*F45)/(D45+2*F45))^(2/3))^2))/2))&gt;0,AX46,((AX46+AY46)/2))</f>
        <v/>
      </c>
      <c r="BA46" s="5">
        <f>IF((((AX46+AY46)/2)+(C46/(D46*((AX46+AY46)/2)))^2/(2*9.81)+B46-(G45+H45^2/(2*9.81))-(A45-A46)*(((DATOS!$B$34*(C46/(D46*((AX46+AY46)/2)))/((D46*((AX46+AY46)/2))/(D46+2*((AX46+AY46)/2)))^(2/3))^2+((DATOS!$B$34*H45/((D45*F45)/(D45+2*F45))^(2/3))^2))/2))&gt;0,((AX46+AY46)/2),AY46)</f>
        <v/>
      </c>
      <c r="BB46" s="5">
        <f>IF((((AZ46+BA46)/2)+(C46/(D46*((AZ46+BA46)/2)))^2/(2*9.81)+B46-(G45+H45^2/(2*9.81))-(A45-A46)*(((DATOS!$B$34*(C46/(D46*((AZ46+BA46)/2)))/((D46*((AZ46+BA46)/2))/(D46+2*((AZ46+BA46)/2)))^(2/3))^2+((DATOS!$B$34*H45/((D45*F45)/(D45+2*F45))^(2/3))^2))/2))&gt;0,AZ46,((AZ46+BA46)/2))</f>
        <v/>
      </c>
      <c r="BC46" s="5">
        <f>IF((((AZ46+BA46)/2)+(C46/(D46*((AZ46+BA46)/2)))^2/(2*9.81)+B46-(G45+H45^2/(2*9.81))-(A45-A46)*(((DATOS!$B$34*(C46/(D46*((AZ46+BA46)/2)))/((D46*((AZ46+BA46)/2))/(D46+2*((AZ46+BA46)/2)))^(2/3))^2+((DATOS!$B$34*H45/((D45*F45)/(D45+2*F45))^(2/3))^2))/2))&gt;0,((AZ46+BA46)/2),BA46)</f>
        <v/>
      </c>
      <c r="BD46" s="5">
        <f>IF((((BB46+BC46)/2)+(C46/(D46*((BB46+BC46)/2)))^2/(2*9.81)+B46-(G45+H45^2/(2*9.81))-(A45-A46)*(((DATOS!$B$34*(C46/(D46*((BB46+BC46)/2)))/((D46*((BB46+BC46)/2))/(D46+2*((BB46+BC46)/2)))^(2/3))^2+((DATOS!$B$34*H45/((D45*F45)/(D45+2*F45))^(2/3))^2))/2))&gt;0,BB46,((BB46+BC46)/2))</f>
        <v/>
      </c>
      <c r="BE46" s="5">
        <f>IF((((BB46+BC46)/2)+(C46/(D46*((BB46+BC46)/2)))^2/(2*9.81)+B46-(G45+H45^2/(2*9.81))-(A45-A46)*(((DATOS!$B$34*(C46/(D46*((BB46+BC46)/2)))/((D46*((BB46+BC46)/2))/(D46+2*((BB46+BC46)/2)))^(2/3))^2+((DATOS!$B$34*H45/((D45*F45)/(D45+2*F45))^(2/3))^2))/2))&gt;0,((BB46+BC46)/2),BC46)</f>
        <v/>
      </c>
      <c r="BF46" s="5">
        <f>IF((((BD46+BE46)/2)+(C46/(D46*((BD46+BE46)/2)))^2/(2*9.81)+B46-(G45+H45^2/(2*9.81))-(A45-A46)*(((DATOS!$B$34*(C46/(D46*((BD46+BE46)/2)))/((D46*((BD46+BE46)/2))/(D46+2*((BD46+BE46)/2)))^(2/3))^2+((DATOS!$B$34*H45/((D45*F45)/(D45+2*F45))^(2/3))^2))/2))&gt;0,BD46,((BD46+BE46)/2))</f>
        <v/>
      </c>
      <c r="BG46" s="5">
        <f>IF((((BD46+BE46)/2)+(C46/(D46*((BD46+BE46)/2)))^2/(2*9.81)+B46-(G45+H45^2/(2*9.81))-(A45-A46)*(((DATOS!$B$34*(C46/(D46*((BD46+BE46)/2)))/((D46*((BD46+BE46)/2))/(D46+2*((BD46+BE46)/2)))^(2/3))^2+((DATOS!$B$34*H45/((D45*F45)/(D45+2*F45))^(2/3))^2))/2))&gt;0,((BD46+BE46)/2),BE46)</f>
        <v/>
      </c>
      <c r="BH46" s="5">
        <f>IF((((BF46+BG46)/2)+(C46/(D46*((BF46+BG46)/2)))^2/(2*9.81)+B46-(G45+H45^2/(2*9.81))-(A45-A46)*(((DATOS!$B$34*(C46/(D46*((BF46+BG46)/2)))/((D46*((BF46+BG46)/2))/(D46+2*((BF46+BG46)/2)))^(2/3))^2+((DATOS!$B$34*H45/((D45*F45)/(D45+2*F45))^(2/3))^2))/2))&gt;0,BF46,((BF46+BG46)/2))</f>
        <v/>
      </c>
      <c r="BI46" s="5">
        <f>IF((((BF46+BG46)/2)+(C46/(D46*((BF46+BG46)/2)))^2/(2*9.81)+B46-(G45+H45^2/(2*9.81))-(A45-A46)*(((DATOS!$B$34*(C46/(D46*((BF46+BG46)/2)))/((D46*((BF46+BG46)/2))/(D46+2*((BF46+BG46)/2)))^(2/3))^2+((DATOS!$B$34*H45/((D45*F45)/(D45+2*F45))^(2/3))^2))/2))&gt;0,((BF46+BG46)/2),BG46)</f>
        <v/>
      </c>
      <c r="BJ46" s="5">
        <f>IF((((BH46+BI46)/2)+(C46/(D46*((BH46+BI46)/2)))^2/(2*9.81)+B46-(G45+H45^2/(2*9.81))-(A45-A46)*(((DATOS!$B$34*(C46/(D46*((BH46+BI46)/2)))/((D46*((BH46+BI46)/2))/(D46+2*((BH46+BI46)/2)))^(2/3))^2+((DATOS!$B$34*H45/((D45*F45)/(D45+2*F45))^(2/3))^2))/2))&gt;0,BH46,((BH46+BI46)/2))</f>
        <v/>
      </c>
      <c r="BK46" s="5">
        <f>IF((((BH46+BI46)/2)+(C46/(D46*((BH46+BI46)/2)))^2/(2*9.81)+B46-(G45+H45^2/(2*9.81))-(A45-A46)*(((DATOS!$B$34*(C46/(D46*((BH46+BI46)/2)))/((D46*((BH46+BI46)/2))/(D46+2*((BH46+BI46)/2)))^(2/3))^2+((DATOS!$B$34*H45/((D45*F45)/(D45+2*F45))^(2/3))^2))/2))&gt;0,((BH46+BI46)/2),BI46)</f>
        <v/>
      </c>
      <c r="BL46" s="5">
        <f>IF((((BJ46+BK46)/2)+(C46/(D46*((BJ46+BK46)/2)))^2/(2*9.81)+B46-(G45+H45^2/(2*9.81))-(A45-A46)*(((DATOS!$B$34*(C46/(D46*((BJ46+BK46)/2)))/((D46*((BJ46+BK46)/2))/(D46+2*((BJ46+BK46)/2)))^(2/3))^2+((DATOS!$B$34*H45/((D45*F45)/(D45+2*F45))^(2/3))^2))/2))&gt;0,BJ46,((BJ46+BK46)/2))</f>
        <v/>
      </c>
      <c r="BM46" s="5">
        <f>IF((((BJ46+BK46)/2)+(C46/(D46*((BJ46+BK46)/2)))^2/(2*9.81)+B46-(G45+H45^2/(2*9.81))-(A45-A46)*(((DATOS!$B$34*(C46/(D46*((BJ46+BK46)/2)))/((D46*((BJ46+BK46)/2))/(D46+2*((BJ46+BK46)/2)))^(2/3))^2+((DATOS!$B$34*H45/((D45*F45)/(D45+2*F45))^(2/3))^2))/2))&gt;0,((BJ46+BK46)/2),BK46)</f>
        <v/>
      </c>
      <c r="BN46" s="5">
        <f>IF((((BL46+BM46)/2)+(C46/(D46*((BL46+BM46)/2)))^2/(2*9.81)+B46-(G45+H45^2/(2*9.81))-(A45-A46)*(((DATOS!$B$34*(C46/(D46*((BL46+BM46)/2)))/((D46*((BL46+BM46)/2))/(D46+2*((BL46+BM46)/2)))^(2/3))^2+((DATOS!$B$34*H45/((D45*F45)/(D45+2*F45))^(2/3))^2))/2))&gt;0,BL46,((BL46+BM46)/2))</f>
        <v/>
      </c>
      <c r="BO46" s="5">
        <f>IF((((BL46+BM46)/2)+(C46/(D46*((BL46+BM46)/2)))^2/(2*9.81)+B46-(G45+H45^2/(2*9.81))-(A45-A46)*(((DATOS!$B$34*(C46/(D46*((BL46+BM46)/2)))/((D46*((BL46+BM46)/2))/(D46+2*((BL46+BM46)/2)))^(2/3))^2+((DATOS!$B$34*H45/((D45*F45)/(D45+2*F45))^(2/3))^2))/2))&gt;0,((BL46+BM46)/2),BM46)</f>
        <v/>
      </c>
      <c r="BP46" s="5">
        <f>IF((((BN46+BO46)/2)+(C46/(D46*((BN46+BO46)/2)))^2/(2*9.81)+B46-(G45+H45^2/(2*9.81))-(A45-A46)*(((DATOS!$B$34*(C46/(D46*((BN46+BO46)/2)))/((D46*((BN46+BO46)/2))/(D46+2*((BN46+BO46)/2)))^(2/3))^2+((DATOS!$B$34*H45/((D45*F45)/(D45+2*F45))^(2/3))^2))/2))&gt;0,BN46,((BN46+BO46)/2))</f>
        <v/>
      </c>
      <c r="BQ46" s="5">
        <f>IF((((BN46+BO46)/2)+(C46/(D46*((BN46+BO46)/2)))^2/(2*9.81)+B46-(G45+H45^2/(2*9.81))-(A45-A46)*(((DATOS!$B$34*(C46/(D46*((BN46+BO46)/2)))/((D46*((BN46+BO46)/2))/(D46+2*((BN46+BO46)/2)))^(2/3))^2+((DATOS!$B$34*H45/((D45*F45)/(D45+2*F45))^(2/3))^2))/2))&gt;0,((BN46+BO46)/2),BO46)</f>
        <v/>
      </c>
      <c r="BR46" s="5">
        <f>IF((((BP46+BQ46)/2)+(C46/(D46*((BP46+BQ46)/2)))^2/(2*9.81)+B46-(G45+H45^2/(2*9.81))-(A45-A46)*(((DATOS!$B$34*(C46/(D46*((BP46+BQ46)/2)))/((D46*((BP46+BQ46)/2))/(D46+2*((BP46+BQ46)/2)))^(2/3))^2+((DATOS!$B$34*H45/((D45*F45)/(D45+2*F45))^(2/3))^2))/2))&gt;0,BP46,((BP46+BQ46)/2))</f>
        <v/>
      </c>
      <c r="BS46" s="5">
        <f>IF((((BP46+BQ46)/2)+(C46/(D46*((BP46+BQ46)/2)))^2/(2*9.81)+B46-(G45+H45^2/(2*9.81))-(A45-A46)*(((DATOS!$B$34*(C46/(D46*((BP46+BQ46)/2)))/((D46*((BP46+BQ46)/2))/(D46+2*((BP46+BQ46)/2)))^(2/3))^2+((DATOS!$B$34*H45/((D45*F45)/(D45+2*F45))^(2/3))^2))/2))&gt;0,((BP46+BQ46)/2),BQ46)</f>
        <v/>
      </c>
      <c r="BT46" s="5">
        <f>IF((((BR46+BS46)/2)+(C46/(D46*((BR46+BS46)/2)))^2/(2*9.81)+B46-(G45+H45^2/(2*9.81))-(A45-A46)*(((DATOS!$B$34*(C46/(D46*((BR46+BS46)/2)))/((D46*((BR46+BS46)/2))/(D46+2*((BR46+BS46)/2)))^(2/3))^2+((DATOS!$B$34*H45/((D45*F45)/(D45+2*F45))^(2/3))^2))/2))&gt;0,BR46,((BR46+BS46)/2))</f>
        <v/>
      </c>
      <c r="BU46" s="5">
        <f>IF((((BR46+BS46)/2)+(C46/(D46*((BR46+BS46)/2)))^2/(2*9.81)+B46-(G45+H45^2/(2*9.81))-(A45-A46)*(((DATOS!$B$34*(C46/(D46*((BR46+BS46)/2)))/((D46*((BR46+BS46)/2))/(D46+2*((BR46+BS46)/2)))^(2/3))^2+((DATOS!$B$34*H45/((D45*F45)/(D45+2*F45))^(2/3))^2))/2))&gt;0,((BR46+BS46)/2),BS46)</f>
        <v/>
      </c>
      <c r="BV46" s="5">
        <f>IF((((BT46+BU46)/2)+(C46/(D46*((BT46+BU46)/2)))^2/(2*9.81)+B46-(G45+H45^2/(2*9.81))-(A45-A46)*(((DATOS!$B$34*(C46/(D46*((BT46+BU46)/2)))/((D46*((BT46+BU46)/2))/(D46+2*((BT46+BU46)/2)))^(2/3))^2+((DATOS!$B$34*H45/((D45*F45)/(D45+2*F45))^(2/3))^2))/2))&gt;0,BT46,((BT46+BU46)/2))</f>
        <v/>
      </c>
      <c r="BW46" s="5">
        <f>IF((((BT46+BU46)/2)+(C46/(D46*((BT46+BU46)/2)))^2/(2*9.81)+B46-(G45+H45^2/(2*9.81))-(A45-A46)*(((DATOS!$B$34*(C46/(D46*((BT46+BU46)/2)))/((D46*((BT46+BU46)/2))/(D46+2*((BT46+BU46)/2)))^(2/3))^2+((DATOS!$B$34*H45/((D45*F45)/(D45+2*F45))^(2/3))^2))/2))&gt;0,((BT46+BU46)/2),BU46)</f>
        <v/>
      </c>
    </row>
    <row r="47">
      <c r="A47" s="13" t="n">
        <v>38</v>
      </c>
      <c r="B47" s="16">
        <f>DATOS!$B$22-DATOS!$B$23*A47</f>
        <v/>
      </c>
      <c r="C47" s="24">
        <f>CAUDALES!$B$13</f>
        <v/>
      </c>
      <c r="D47" s="17">
        <f>DATOS!$B$17</f>
        <v/>
      </c>
      <c r="E47" s="16">
        <f>(C47^2/(9.81*D47^2))^(1/3)</f>
        <v/>
      </c>
      <c r="F47" s="16">
        <f>(BV47+BW47)/2</f>
        <v/>
      </c>
      <c r="G47" s="16">
        <f>B47+F47</f>
        <v/>
      </c>
      <c r="H47" s="19">
        <f>C47/(D47*F47)</f>
        <v/>
      </c>
      <c r="I47" s="19">
        <f>H47/SQRT(9.81*F47)</f>
        <v/>
      </c>
      <c r="J47" s="16">
        <f>DATOS!$B$29-IF(AND(A47&gt;=DATOS!$B$30,A47&lt;DATOS!$B$31),DATOS!$B$21,DATOS!$B$20)</f>
        <v/>
      </c>
      <c r="K47" s="19">
        <f>J47-B47</f>
        <v/>
      </c>
      <c r="L47" s="19">
        <f>F47/K47</f>
        <v/>
      </c>
      <c r="M47" s="16">
        <f>J47-G47</f>
        <v/>
      </c>
      <c r="N47" s="5">
        <f>IF(AND(L47&lt;=DATOS!$B$36,M47&gt;=DATOS!$B$37,I47&lt;=1),"CUMPLE","NO CUMPLE")</f>
        <v/>
      </c>
      <c r="O47" s="5">
        <f>IF(AND(A47&gt;=DATOS!$B$30,A47&lt;DATOS!$B$31),"cruce de camiones",IF(AND(A47&gt;=DATOS!$B$32,A47&lt;DATOS!$B$33),"cruce de motos","tramo normal"))</f>
        <v/>
      </c>
      <c r="P47" s="5">
        <f>E47*1.001</f>
        <v/>
      </c>
      <c r="Q47" s="13" t="n">
        <v>3</v>
      </c>
      <c r="R47" s="5">
        <f>IF((((P47+Q47)/2)+(C47/(D47*((P47+Q47)/2)))^2/(2*9.81)+B47-(G46+H46^2/(2*9.81))-(A46-A47)*(((DATOS!$B$34*(C47/(D47*((P47+Q47)/2)))/((D47*((P47+Q47)/2))/(D47+2*((P47+Q47)/2)))^(2/3))^2+((DATOS!$B$34*H46/((D46*F46)/(D46+2*F46))^(2/3))^2))/2))&gt;0,P47,((P47+Q47)/2))</f>
        <v/>
      </c>
      <c r="S47" s="5">
        <f>IF((((P47+Q47)/2)+(C47/(D47*((P47+Q47)/2)))^2/(2*9.81)+B47-(G46+H46^2/(2*9.81))-(A46-A47)*(((DATOS!$B$34*(C47/(D47*((P47+Q47)/2)))/((D47*((P47+Q47)/2))/(D47+2*((P47+Q47)/2)))^(2/3))^2+((DATOS!$B$34*H46/((D46*F46)/(D46+2*F46))^(2/3))^2))/2))&gt;0,((P47+Q47)/2),Q47)</f>
        <v/>
      </c>
      <c r="T47" s="5">
        <f>IF((((R47+S47)/2)+(C47/(D47*((R47+S47)/2)))^2/(2*9.81)+B47-(G46+H46^2/(2*9.81))-(A46-A47)*(((DATOS!$B$34*(C47/(D47*((R47+S47)/2)))/((D47*((R47+S47)/2))/(D47+2*((R47+S47)/2)))^(2/3))^2+((DATOS!$B$34*H46/((D46*F46)/(D46+2*F46))^(2/3))^2))/2))&gt;0,R47,((R47+S47)/2))</f>
        <v/>
      </c>
      <c r="U47" s="5">
        <f>IF((((R47+S47)/2)+(C47/(D47*((R47+S47)/2)))^2/(2*9.81)+B47-(G46+H46^2/(2*9.81))-(A46-A47)*(((DATOS!$B$34*(C47/(D47*((R47+S47)/2)))/((D47*((R47+S47)/2))/(D47+2*((R47+S47)/2)))^(2/3))^2+((DATOS!$B$34*H46/((D46*F46)/(D46+2*F46))^(2/3))^2))/2))&gt;0,((R47+S47)/2),S47)</f>
        <v/>
      </c>
      <c r="V47" s="5">
        <f>IF((((T47+U47)/2)+(C47/(D47*((T47+U47)/2)))^2/(2*9.81)+B47-(G46+H46^2/(2*9.81))-(A46-A47)*(((DATOS!$B$34*(C47/(D47*((T47+U47)/2)))/((D47*((T47+U47)/2))/(D47+2*((T47+U47)/2)))^(2/3))^2+((DATOS!$B$34*H46/((D46*F46)/(D46+2*F46))^(2/3))^2))/2))&gt;0,T47,((T47+U47)/2))</f>
        <v/>
      </c>
      <c r="W47" s="5">
        <f>IF((((T47+U47)/2)+(C47/(D47*((T47+U47)/2)))^2/(2*9.81)+B47-(G46+H46^2/(2*9.81))-(A46-A47)*(((DATOS!$B$34*(C47/(D47*((T47+U47)/2)))/((D47*((T47+U47)/2))/(D47+2*((T47+U47)/2)))^(2/3))^2+((DATOS!$B$34*H46/((D46*F46)/(D46+2*F46))^(2/3))^2))/2))&gt;0,((T47+U47)/2),U47)</f>
        <v/>
      </c>
      <c r="X47" s="5">
        <f>IF((((V47+W47)/2)+(C47/(D47*((V47+W47)/2)))^2/(2*9.81)+B47-(G46+H46^2/(2*9.81))-(A46-A47)*(((DATOS!$B$34*(C47/(D47*((V47+W47)/2)))/((D47*((V47+W47)/2))/(D47+2*((V47+W47)/2)))^(2/3))^2+((DATOS!$B$34*H46/((D46*F46)/(D46+2*F46))^(2/3))^2))/2))&gt;0,V47,((V47+W47)/2))</f>
        <v/>
      </c>
      <c r="Y47" s="5">
        <f>IF((((V47+W47)/2)+(C47/(D47*((V47+W47)/2)))^2/(2*9.81)+B47-(G46+H46^2/(2*9.81))-(A46-A47)*(((DATOS!$B$34*(C47/(D47*((V47+W47)/2)))/((D47*((V47+W47)/2))/(D47+2*((V47+W47)/2)))^(2/3))^2+((DATOS!$B$34*H46/((D46*F46)/(D46+2*F46))^(2/3))^2))/2))&gt;0,((V47+W47)/2),W47)</f>
        <v/>
      </c>
      <c r="Z47" s="5">
        <f>IF((((X47+Y47)/2)+(C47/(D47*((X47+Y47)/2)))^2/(2*9.81)+B47-(G46+H46^2/(2*9.81))-(A46-A47)*(((DATOS!$B$34*(C47/(D47*((X47+Y47)/2)))/((D47*((X47+Y47)/2))/(D47+2*((X47+Y47)/2)))^(2/3))^2+((DATOS!$B$34*H46/((D46*F46)/(D46+2*F46))^(2/3))^2))/2))&gt;0,X47,((X47+Y47)/2))</f>
        <v/>
      </c>
      <c r="AA47" s="5">
        <f>IF((((X47+Y47)/2)+(C47/(D47*((X47+Y47)/2)))^2/(2*9.81)+B47-(G46+H46^2/(2*9.81))-(A46-A47)*(((DATOS!$B$34*(C47/(D47*((X47+Y47)/2)))/((D47*((X47+Y47)/2))/(D47+2*((X47+Y47)/2)))^(2/3))^2+((DATOS!$B$34*H46/((D46*F46)/(D46+2*F46))^(2/3))^2))/2))&gt;0,((X47+Y47)/2),Y47)</f>
        <v/>
      </c>
      <c r="AB47" s="5">
        <f>IF((((Z47+AA47)/2)+(C47/(D47*((Z47+AA47)/2)))^2/(2*9.81)+B47-(G46+H46^2/(2*9.81))-(A46-A47)*(((DATOS!$B$34*(C47/(D47*((Z47+AA47)/2)))/((D47*((Z47+AA47)/2))/(D47+2*((Z47+AA47)/2)))^(2/3))^2+((DATOS!$B$34*H46/((D46*F46)/(D46+2*F46))^(2/3))^2))/2))&gt;0,Z47,((Z47+AA47)/2))</f>
        <v/>
      </c>
      <c r="AC47" s="5">
        <f>IF((((Z47+AA47)/2)+(C47/(D47*((Z47+AA47)/2)))^2/(2*9.81)+B47-(G46+H46^2/(2*9.81))-(A46-A47)*(((DATOS!$B$34*(C47/(D47*((Z47+AA47)/2)))/((D47*((Z47+AA47)/2))/(D47+2*((Z47+AA47)/2)))^(2/3))^2+((DATOS!$B$34*H46/((D46*F46)/(D46+2*F46))^(2/3))^2))/2))&gt;0,((Z47+AA47)/2),AA47)</f>
        <v/>
      </c>
      <c r="AD47" s="5">
        <f>IF((((AB47+AC47)/2)+(C47/(D47*((AB47+AC47)/2)))^2/(2*9.81)+B47-(G46+H46^2/(2*9.81))-(A46-A47)*(((DATOS!$B$34*(C47/(D47*((AB47+AC47)/2)))/((D47*((AB47+AC47)/2))/(D47+2*((AB47+AC47)/2)))^(2/3))^2+((DATOS!$B$34*H46/((D46*F46)/(D46+2*F46))^(2/3))^2))/2))&gt;0,AB47,((AB47+AC47)/2))</f>
        <v/>
      </c>
      <c r="AE47" s="5">
        <f>IF((((AB47+AC47)/2)+(C47/(D47*((AB47+AC47)/2)))^2/(2*9.81)+B47-(G46+H46^2/(2*9.81))-(A46-A47)*(((DATOS!$B$34*(C47/(D47*((AB47+AC47)/2)))/((D47*((AB47+AC47)/2))/(D47+2*((AB47+AC47)/2)))^(2/3))^2+((DATOS!$B$34*H46/((D46*F46)/(D46+2*F46))^(2/3))^2))/2))&gt;0,((AB47+AC47)/2),AC47)</f>
        <v/>
      </c>
      <c r="AF47" s="5">
        <f>IF((((AD47+AE47)/2)+(C47/(D47*((AD47+AE47)/2)))^2/(2*9.81)+B47-(G46+H46^2/(2*9.81))-(A46-A47)*(((DATOS!$B$34*(C47/(D47*((AD47+AE47)/2)))/((D47*((AD47+AE47)/2))/(D47+2*((AD47+AE47)/2)))^(2/3))^2+((DATOS!$B$34*H46/((D46*F46)/(D46+2*F46))^(2/3))^2))/2))&gt;0,AD47,((AD47+AE47)/2))</f>
        <v/>
      </c>
      <c r="AG47" s="5">
        <f>IF((((AD47+AE47)/2)+(C47/(D47*((AD47+AE47)/2)))^2/(2*9.81)+B47-(G46+H46^2/(2*9.81))-(A46-A47)*(((DATOS!$B$34*(C47/(D47*((AD47+AE47)/2)))/((D47*((AD47+AE47)/2))/(D47+2*((AD47+AE47)/2)))^(2/3))^2+((DATOS!$B$34*H46/((D46*F46)/(D46+2*F46))^(2/3))^2))/2))&gt;0,((AD47+AE47)/2),AE47)</f>
        <v/>
      </c>
      <c r="AH47" s="5">
        <f>IF((((AF47+AG47)/2)+(C47/(D47*((AF47+AG47)/2)))^2/(2*9.81)+B47-(G46+H46^2/(2*9.81))-(A46-A47)*(((DATOS!$B$34*(C47/(D47*((AF47+AG47)/2)))/((D47*((AF47+AG47)/2))/(D47+2*((AF47+AG47)/2)))^(2/3))^2+((DATOS!$B$34*H46/((D46*F46)/(D46+2*F46))^(2/3))^2))/2))&gt;0,AF47,((AF47+AG47)/2))</f>
        <v/>
      </c>
      <c r="AI47" s="5">
        <f>IF((((AF47+AG47)/2)+(C47/(D47*((AF47+AG47)/2)))^2/(2*9.81)+B47-(G46+H46^2/(2*9.81))-(A46-A47)*(((DATOS!$B$34*(C47/(D47*((AF47+AG47)/2)))/((D47*((AF47+AG47)/2))/(D47+2*((AF47+AG47)/2)))^(2/3))^2+((DATOS!$B$34*H46/((D46*F46)/(D46+2*F46))^(2/3))^2))/2))&gt;0,((AF47+AG47)/2),AG47)</f>
        <v/>
      </c>
      <c r="AJ47" s="5">
        <f>IF((((AH47+AI47)/2)+(C47/(D47*((AH47+AI47)/2)))^2/(2*9.81)+B47-(G46+H46^2/(2*9.81))-(A46-A47)*(((DATOS!$B$34*(C47/(D47*((AH47+AI47)/2)))/((D47*((AH47+AI47)/2))/(D47+2*((AH47+AI47)/2)))^(2/3))^2+((DATOS!$B$34*H46/((D46*F46)/(D46+2*F46))^(2/3))^2))/2))&gt;0,AH47,((AH47+AI47)/2))</f>
        <v/>
      </c>
      <c r="AK47" s="5">
        <f>IF((((AH47+AI47)/2)+(C47/(D47*((AH47+AI47)/2)))^2/(2*9.81)+B47-(G46+H46^2/(2*9.81))-(A46-A47)*(((DATOS!$B$34*(C47/(D47*((AH47+AI47)/2)))/((D47*((AH47+AI47)/2))/(D47+2*((AH47+AI47)/2)))^(2/3))^2+((DATOS!$B$34*H46/((D46*F46)/(D46+2*F46))^(2/3))^2))/2))&gt;0,((AH47+AI47)/2),AI47)</f>
        <v/>
      </c>
      <c r="AL47" s="5">
        <f>IF((((AJ47+AK47)/2)+(C47/(D47*((AJ47+AK47)/2)))^2/(2*9.81)+B47-(G46+H46^2/(2*9.81))-(A46-A47)*(((DATOS!$B$34*(C47/(D47*((AJ47+AK47)/2)))/((D47*((AJ47+AK47)/2))/(D47+2*((AJ47+AK47)/2)))^(2/3))^2+((DATOS!$B$34*H46/((D46*F46)/(D46+2*F46))^(2/3))^2))/2))&gt;0,AJ47,((AJ47+AK47)/2))</f>
        <v/>
      </c>
      <c r="AM47" s="5">
        <f>IF((((AJ47+AK47)/2)+(C47/(D47*((AJ47+AK47)/2)))^2/(2*9.81)+B47-(G46+H46^2/(2*9.81))-(A46-A47)*(((DATOS!$B$34*(C47/(D47*((AJ47+AK47)/2)))/((D47*((AJ47+AK47)/2))/(D47+2*((AJ47+AK47)/2)))^(2/3))^2+((DATOS!$B$34*H46/((D46*F46)/(D46+2*F46))^(2/3))^2))/2))&gt;0,((AJ47+AK47)/2),AK47)</f>
        <v/>
      </c>
      <c r="AN47" s="5">
        <f>IF((((AL47+AM47)/2)+(C47/(D47*((AL47+AM47)/2)))^2/(2*9.81)+B47-(G46+H46^2/(2*9.81))-(A46-A47)*(((DATOS!$B$34*(C47/(D47*((AL47+AM47)/2)))/((D47*((AL47+AM47)/2))/(D47+2*((AL47+AM47)/2)))^(2/3))^2+((DATOS!$B$34*H46/((D46*F46)/(D46+2*F46))^(2/3))^2))/2))&gt;0,AL47,((AL47+AM47)/2))</f>
        <v/>
      </c>
      <c r="AO47" s="5">
        <f>IF((((AL47+AM47)/2)+(C47/(D47*((AL47+AM47)/2)))^2/(2*9.81)+B47-(G46+H46^2/(2*9.81))-(A46-A47)*(((DATOS!$B$34*(C47/(D47*((AL47+AM47)/2)))/((D47*((AL47+AM47)/2))/(D47+2*((AL47+AM47)/2)))^(2/3))^2+((DATOS!$B$34*H46/((D46*F46)/(D46+2*F46))^(2/3))^2))/2))&gt;0,((AL47+AM47)/2),AM47)</f>
        <v/>
      </c>
      <c r="AP47" s="5">
        <f>IF((((AN47+AO47)/2)+(C47/(D47*((AN47+AO47)/2)))^2/(2*9.81)+B47-(G46+H46^2/(2*9.81))-(A46-A47)*(((DATOS!$B$34*(C47/(D47*((AN47+AO47)/2)))/((D47*((AN47+AO47)/2))/(D47+2*((AN47+AO47)/2)))^(2/3))^2+((DATOS!$B$34*H46/((D46*F46)/(D46+2*F46))^(2/3))^2))/2))&gt;0,AN47,((AN47+AO47)/2))</f>
        <v/>
      </c>
      <c r="AQ47" s="5">
        <f>IF((((AN47+AO47)/2)+(C47/(D47*((AN47+AO47)/2)))^2/(2*9.81)+B47-(G46+H46^2/(2*9.81))-(A46-A47)*(((DATOS!$B$34*(C47/(D47*((AN47+AO47)/2)))/((D47*((AN47+AO47)/2))/(D47+2*((AN47+AO47)/2)))^(2/3))^2+((DATOS!$B$34*H46/((D46*F46)/(D46+2*F46))^(2/3))^2))/2))&gt;0,((AN47+AO47)/2),AO47)</f>
        <v/>
      </c>
      <c r="AR47" s="5">
        <f>IF((((AP47+AQ47)/2)+(C47/(D47*((AP47+AQ47)/2)))^2/(2*9.81)+B47-(G46+H46^2/(2*9.81))-(A46-A47)*(((DATOS!$B$34*(C47/(D47*((AP47+AQ47)/2)))/((D47*((AP47+AQ47)/2))/(D47+2*((AP47+AQ47)/2)))^(2/3))^2+((DATOS!$B$34*H46/((D46*F46)/(D46+2*F46))^(2/3))^2))/2))&gt;0,AP47,((AP47+AQ47)/2))</f>
        <v/>
      </c>
      <c r="AS47" s="5">
        <f>IF((((AP47+AQ47)/2)+(C47/(D47*((AP47+AQ47)/2)))^2/(2*9.81)+B47-(G46+H46^2/(2*9.81))-(A46-A47)*(((DATOS!$B$34*(C47/(D47*((AP47+AQ47)/2)))/((D47*((AP47+AQ47)/2))/(D47+2*((AP47+AQ47)/2)))^(2/3))^2+((DATOS!$B$34*H46/((D46*F46)/(D46+2*F46))^(2/3))^2))/2))&gt;0,((AP47+AQ47)/2),AQ47)</f>
        <v/>
      </c>
      <c r="AT47" s="5">
        <f>IF((((AR47+AS47)/2)+(C47/(D47*((AR47+AS47)/2)))^2/(2*9.81)+B47-(G46+H46^2/(2*9.81))-(A46-A47)*(((DATOS!$B$34*(C47/(D47*((AR47+AS47)/2)))/((D47*((AR47+AS47)/2))/(D47+2*((AR47+AS47)/2)))^(2/3))^2+((DATOS!$B$34*H46/((D46*F46)/(D46+2*F46))^(2/3))^2))/2))&gt;0,AR47,((AR47+AS47)/2))</f>
        <v/>
      </c>
      <c r="AU47" s="5">
        <f>IF((((AR47+AS47)/2)+(C47/(D47*((AR47+AS47)/2)))^2/(2*9.81)+B47-(G46+H46^2/(2*9.81))-(A46-A47)*(((DATOS!$B$34*(C47/(D47*((AR47+AS47)/2)))/((D47*((AR47+AS47)/2))/(D47+2*((AR47+AS47)/2)))^(2/3))^2+((DATOS!$B$34*H46/((D46*F46)/(D46+2*F46))^(2/3))^2))/2))&gt;0,((AR47+AS47)/2),AS47)</f>
        <v/>
      </c>
      <c r="AV47" s="5">
        <f>IF((((AT47+AU47)/2)+(C47/(D47*((AT47+AU47)/2)))^2/(2*9.81)+B47-(G46+H46^2/(2*9.81))-(A46-A47)*(((DATOS!$B$34*(C47/(D47*((AT47+AU47)/2)))/((D47*((AT47+AU47)/2))/(D47+2*((AT47+AU47)/2)))^(2/3))^2+((DATOS!$B$34*H46/((D46*F46)/(D46+2*F46))^(2/3))^2))/2))&gt;0,AT47,((AT47+AU47)/2))</f>
        <v/>
      </c>
      <c r="AW47" s="5">
        <f>IF((((AT47+AU47)/2)+(C47/(D47*((AT47+AU47)/2)))^2/(2*9.81)+B47-(G46+H46^2/(2*9.81))-(A46-A47)*(((DATOS!$B$34*(C47/(D47*((AT47+AU47)/2)))/((D47*((AT47+AU47)/2))/(D47+2*((AT47+AU47)/2)))^(2/3))^2+((DATOS!$B$34*H46/((D46*F46)/(D46+2*F46))^(2/3))^2))/2))&gt;0,((AT47+AU47)/2),AU47)</f>
        <v/>
      </c>
      <c r="AX47" s="5">
        <f>IF((((AV47+AW47)/2)+(C47/(D47*((AV47+AW47)/2)))^2/(2*9.81)+B47-(G46+H46^2/(2*9.81))-(A46-A47)*(((DATOS!$B$34*(C47/(D47*((AV47+AW47)/2)))/((D47*((AV47+AW47)/2))/(D47+2*((AV47+AW47)/2)))^(2/3))^2+((DATOS!$B$34*H46/((D46*F46)/(D46+2*F46))^(2/3))^2))/2))&gt;0,AV47,((AV47+AW47)/2))</f>
        <v/>
      </c>
      <c r="AY47" s="5">
        <f>IF((((AV47+AW47)/2)+(C47/(D47*((AV47+AW47)/2)))^2/(2*9.81)+B47-(G46+H46^2/(2*9.81))-(A46-A47)*(((DATOS!$B$34*(C47/(D47*((AV47+AW47)/2)))/((D47*((AV47+AW47)/2))/(D47+2*((AV47+AW47)/2)))^(2/3))^2+((DATOS!$B$34*H46/((D46*F46)/(D46+2*F46))^(2/3))^2))/2))&gt;0,((AV47+AW47)/2),AW47)</f>
        <v/>
      </c>
      <c r="AZ47" s="5">
        <f>IF((((AX47+AY47)/2)+(C47/(D47*((AX47+AY47)/2)))^2/(2*9.81)+B47-(G46+H46^2/(2*9.81))-(A46-A47)*(((DATOS!$B$34*(C47/(D47*((AX47+AY47)/2)))/((D47*((AX47+AY47)/2))/(D47+2*((AX47+AY47)/2)))^(2/3))^2+((DATOS!$B$34*H46/((D46*F46)/(D46+2*F46))^(2/3))^2))/2))&gt;0,AX47,((AX47+AY47)/2))</f>
        <v/>
      </c>
      <c r="BA47" s="5">
        <f>IF((((AX47+AY47)/2)+(C47/(D47*((AX47+AY47)/2)))^2/(2*9.81)+B47-(G46+H46^2/(2*9.81))-(A46-A47)*(((DATOS!$B$34*(C47/(D47*((AX47+AY47)/2)))/((D47*((AX47+AY47)/2))/(D47+2*((AX47+AY47)/2)))^(2/3))^2+((DATOS!$B$34*H46/((D46*F46)/(D46+2*F46))^(2/3))^2))/2))&gt;0,((AX47+AY47)/2),AY47)</f>
        <v/>
      </c>
      <c r="BB47" s="5">
        <f>IF((((AZ47+BA47)/2)+(C47/(D47*((AZ47+BA47)/2)))^2/(2*9.81)+B47-(G46+H46^2/(2*9.81))-(A46-A47)*(((DATOS!$B$34*(C47/(D47*((AZ47+BA47)/2)))/((D47*((AZ47+BA47)/2))/(D47+2*((AZ47+BA47)/2)))^(2/3))^2+((DATOS!$B$34*H46/((D46*F46)/(D46+2*F46))^(2/3))^2))/2))&gt;0,AZ47,((AZ47+BA47)/2))</f>
        <v/>
      </c>
      <c r="BC47" s="5">
        <f>IF((((AZ47+BA47)/2)+(C47/(D47*((AZ47+BA47)/2)))^2/(2*9.81)+B47-(G46+H46^2/(2*9.81))-(A46-A47)*(((DATOS!$B$34*(C47/(D47*((AZ47+BA47)/2)))/((D47*((AZ47+BA47)/2))/(D47+2*((AZ47+BA47)/2)))^(2/3))^2+((DATOS!$B$34*H46/((D46*F46)/(D46+2*F46))^(2/3))^2))/2))&gt;0,((AZ47+BA47)/2),BA47)</f>
        <v/>
      </c>
      <c r="BD47" s="5">
        <f>IF((((BB47+BC47)/2)+(C47/(D47*((BB47+BC47)/2)))^2/(2*9.81)+B47-(G46+H46^2/(2*9.81))-(A46-A47)*(((DATOS!$B$34*(C47/(D47*((BB47+BC47)/2)))/((D47*((BB47+BC47)/2))/(D47+2*((BB47+BC47)/2)))^(2/3))^2+((DATOS!$B$34*H46/((D46*F46)/(D46+2*F46))^(2/3))^2))/2))&gt;0,BB47,((BB47+BC47)/2))</f>
        <v/>
      </c>
      <c r="BE47" s="5">
        <f>IF((((BB47+BC47)/2)+(C47/(D47*((BB47+BC47)/2)))^2/(2*9.81)+B47-(G46+H46^2/(2*9.81))-(A46-A47)*(((DATOS!$B$34*(C47/(D47*((BB47+BC47)/2)))/((D47*((BB47+BC47)/2))/(D47+2*((BB47+BC47)/2)))^(2/3))^2+((DATOS!$B$34*H46/((D46*F46)/(D46+2*F46))^(2/3))^2))/2))&gt;0,((BB47+BC47)/2),BC47)</f>
        <v/>
      </c>
      <c r="BF47" s="5">
        <f>IF((((BD47+BE47)/2)+(C47/(D47*((BD47+BE47)/2)))^2/(2*9.81)+B47-(G46+H46^2/(2*9.81))-(A46-A47)*(((DATOS!$B$34*(C47/(D47*((BD47+BE47)/2)))/((D47*((BD47+BE47)/2))/(D47+2*((BD47+BE47)/2)))^(2/3))^2+((DATOS!$B$34*H46/((D46*F46)/(D46+2*F46))^(2/3))^2))/2))&gt;0,BD47,((BD47+BE47)/2))</f>
        <v/>
      </c>
      <c r="BG47" s="5">
        <f>IF((((BD47+BE47)/2)+(C47/(D47*((BD47+BE47)/2)))^2/(2*9.81)+B47-(G46+H46^2/(2*9.81))-(A46-A47)*(((DATOS!$B$34*(C47/(D47*((BD47+BE47)/2)))/((D47*((BD47+BE47)/2))/(D47+2*((BD47+BE47)/2)))^(2/3))^2+((DATOS!$B$34*H46/((D46*F46)/(D46+2*F46))^(2/3))^2))/2))&gt;0,((BD47+BE47)/2),BE47)</f>
        <v/>
      </c>
      <c r="BH47" s="5">
        <f>IF((((BF47+BG47)/2)+(C47/(D47*((BF47+BG47)/2)))^2/(2*9.81)+B47-(G46+H46^2/(2*9.81))-(A46-A47)*(((DATOS!$B$34*(C47/(D47*((BF47+BG47)/2)))/((D47*((BF47+BG47)/2))/(D47+2*((BF47+BG47)/2)))^(2/3))^2+((DATOS!$B$34*H46/((D46*F46)/(D46+2*F46))^(2/3))^2))/2))&gt;0,BF47,((BF47+BG47)/2))</f>
        <v/>
      </c>
      <c r="BI47" s="5">
        <f>IF((((BF47+BG47)/2)+(C47/(D47*((BF47+BG47)/2)))^2/(2*9.81)+B47-(G46+H46^2/(2*9.81))-(A46-A47)*(((DATOS!$B$34*(C47/(D47*((BF47+BG47)/2)))/((D47*((BF47+BG47)/2))/(D47+2*((BF47+BG47)/2)))^(2/3))^2+((DATOS!$B$34*H46/((D46*F46)/(D46+2*F46))^(2/3))^2))/2))&gt;0,((BF47+BG47)/2),BG47)</f>
        <v/>
      </c>
      <c r="BJ47" s="5">
        <f>IF((((BH47+BI47)/2)+(C47/(D47*((BH47+BI47)/2)))^2/(2*9.81)+B47-(G46+H46^2/(2*9.81))-(A46-A47)*(((DATOS!$B$34*(C47/(D47*((BH47+BI47)/2)))/((D47*((BH47+BI47)/2))/(D47+2*((BH47+BI47)/2)))^(2/3))^2+((DATOS!$B$34*H46/((D46*F46)/(D46+2*F46))^(2/3))^2))/2))&gt;0,BH47,((BH47+BI47)/2))</f>
        <v/>
      </c>
      <c r="BK47" s="5">
        <f>IF((((BH47+BI47)/2)+(C47/(D47*((BH47+BI47)/2)))^2/(2*9.81)+B47-(G46+H46^2/(2*9.81))-(A46-A47)*(((DATOS!$B$34*(C47/(D47*((BH47+BI47)/2)))/((D47*((BH47+BI47)/2))/(D47+2*((BH47+BI47)/2)))^(2/3))^2+((DATOS!$B$34*H46/((D46*F46)/(D46+2*F46))^(2/3))^2))/2))&gt;0,((BH47+BI47)/2),BI47)</f>
        <v/>
      </c>
      <c r="BL47" s="5">
        <f>IF((((BJ47+BK47)/2)+(C47/(D47*((BJ47+BK47)/2)))^2/(2*9.81)+B47-(G46+H46^2/(2*9.81))-(A46-A47)*(((DATOS!$B$34*(C47/(D47*((BJ47+BK47)/2)))/((D47*((BJ47+BK47)/2))/(D47+2*((BJ47+BK47)/2)))^(2/3))^2+((DATOS!$B$34*H46/((D46*F46)/(D46+2*F46))^(2/3))^2))/2))&gt;0,BJ47,((BJ47+BK47)/2))</f>
        <v/>
      </c>
      <c r="BM47" s="5">
        <f>IF((((BJ47+BK47)/2)+(C47/(D47*((BJ47+BK47)/2)))^2/(2*9.81)+B47-(G46+H46^2/(2*9.81))-(A46-A47)*(((DATOS!$B$34*(C47/(D47*((BJ47+BK47)/2)))/((D47*((BJ47+BK47)/2))/(D47+2*((BJ47+BK47)/2)))^(2/3))^2+((DATOS!$B$34*H46/((D46*F46)/(D46+2*F46))^(2/3))^2))/2))&gt;0,((BJ47+BK47)/2),BK47)</f>
        <v/>
      </c>
      <c r="BN47" s="5">
        <f>IF((((BL47+BM47)/2)+(C47/(D47*((BL47+BM47)/2)))^2/(2*9.81)+B47-(G46+H46^2/(2*9.81))-(A46-A47)*(((DATOS!$B$34*(C47/(D47*((BL47+BM47)/2)))/((D47*((BL47+BM47)/2))/(D47+2*((BL47+BM47)/2)))^(2/3))^2+((DATOS!$B$34*H46/((D46*F46)/(D46+2*F46))^(2/3))^2))/2))&gt;0,BL47,((BL47+BM47)/2))</f>
        <v/>
      </c>
      <c r="BO47" s="5">
        <f>IF((((BL47+BM47)/2)+(C47/(D47*((BL47+BM47)/2)))^2/(2*9.81)+B47-(G46+H46^2/(2*9.81))-(A46-A47)*(((DATOS!$B$34*(C47/(D47*((BL47+BM47)/2)))/((D47*((BL47+BM47)/2))/(D47+2*((BL47+BM47)/2)))^(2/3))^2+((DATOS!$B$34*H46/((D46*F46)/(D46+2*F46))^(2/3))^2))/2))&gt;0,((BL47+BM47)/2),BM47)</f>
        <v/>
      </c>
      <c r="BP47" s="5">
        <f>IF((((BN47+BO47)/2)+(C47/(D47*((BN47+BO47)/2)))^2/(2*9.81)+B47-(G46+H46^2/(2*9.81))-(A46-A47)*(((DATOS!$B$34*(C47/(D47*((BN47+BO47)/2)))/((D47*((BN47+BO47)/2))/(D47+2*((BN47+BO47)/2)))^(2/3))^2+((DATOS!$B$34*H46/((D46*F46)/(D46+2*F46))^(2/3))^2))/2))&gt;0,BN47,((BN47+BO47)/2))</f>
        <v/>
      </c>
      <c r="BQ47" s="5">
        <f>IF((((BN47+BO47)/2)+(C47/(D47*((BN47+BO47)/2)))^2/(2*9.81)+B47-(G46+H46^2/(2*9.81))-(A46-A47)*(((DATOS!$B$34*(C47/(D47*((BN47+BO47)/2)))/((D47*((BN47+BO47)/2))/(D47+2*((BN47+BO47)/2)))^(2/3))^2+((DATOS!$B$34*H46/((D46*F46)/(D46+2*F46))^(2/3))^2))/2))&gt;0,((BN47+BO47)/2),BO47)</f>
        <v/>
      </c>
      <c r="BR47" s="5">
        <f>IF((((BP47+BQ47)/2)+(C47/(D47*((BP47+BQ47)/2)))^2/(2*9.81)+B47-(G46+H46^2/(2*9.81))-(A46-A47)*(((DATOS!$B$34*(C47/(D47*((BP47+BQ47)/2)))/((D47*((BP47+BQ47)/2))/(D47+2*((BP47+BQ47)/2)))^(2/3))^2+((DATOS!$B$34*H46/((D46*F46)/(D46+2*F46))^(2/3))^2))/2))&gt;0,BP47,((BP47+BQ47)/2))</f>
        <v/>
      </c>
      <c r="BS47" s="5">
        <f>IF((((BP47+BQ47)/2)+(C47/(D47*((BP47+BQ47)/2)))^2/(2*9.81)+B47-(G46+H46^2/(2*9.81))-(A46-A47)*(((DATOS!$B$34*(C47/(D47*((BP47+BQ47)/2)))/((D47*((BP47+BQ47)/2))/(D47+2*((BP47+BQ47)/2)))^(2/3))^2+((DATOS!$B$34*H46/((D46*F46)/(D46+2*F46))^(2/3))^2))/2))&gt;0,((BP47+BQ47)/2),BQ47)</f>
        <v/>
      </c>
      <c r="BT47" s="5">
        <f>IF((((BR47+BS47)/2)+(C47/(D47*((BR47+BS47)/2)))^2/(2*9.81)+B47-(G46+H46^2/(2*9.81))-(A46-A47)*(((DATOS!$B$34*(C47/(D47*((BR47+BS47)/2)))/((D47*((BR47+BS47)/2))/(D47+2*((BR47+BS47)/2)))^(2/3))^2+((DATOS!$B$34*H46/((D46*F46)/(D46+2*F46))^(2/3))^2))/2))&gt;0,BR47,((BR47+BS47)/2))</f>
        <v/>
      </c>
      <c r="BU47" s="5">
        <f>IF((((BR47+BS47)/2)+(C47/(D47*((BR47+BS47)/2)))^2/(2*9.81)+B47-(G46+H46^2/(2*9.81))-(A46-A47)*(((DATOS!$B$34*(C47/(D47*((BR47+BS47)/2)))/((D47*((BR47+BS47)/2))/(D47+2*((BR47+BS47)/2)))^(2/3))^2+((DATOS!$B$34*H46/((D46*F46)/(D46+2*F46))^(2/3))^2))/2))&gt;0,((BR47+BS47)/2),BS47)</f>
        <v/>
      </c>
      <c r="BV47" s="5">
        <f>IF((((BT47+BU47)/2)+(C47/(D47*((BT47+BU47)/2)))^2/(2*9.81)+B47-(G46+H46^2/(2*9.81))-(A46-A47)*(((DATOS!$B$34*(C47/(D47*((BT47+BU47)/2)))/((D47*((BT47+BU47)/2))/(D47+2*((BT47+BU47)/2)))^(2/3))^2+((DATOS!$B$34*H46/((D46*F46)/(D46+2*F46))^(2/3))^2))/2))&gt;0,BT47,((BT47+BU47)/2))</f>
        <v/>
      </c>
      <c r="BW47" s="5">
        <f>IF((((BT47+BU47)/2)+(C47/(D47*((BT47+BU47)/2)))^2/(2*9.81)+B47-(G46+H46^2/(2*9.81))-(A46-A47)*(((DATOS!$B$34*(C47/(D47*((BT47+BU47)/2)))/((D47*((BT47+BU47)/2))/(D47+2*((BT47+BU47)/2)))^(2/3))^2+((DATOS!$B$34*H46/((D46*F46)/(D46+2*F46))^(2/3))^2))/2))&gt;0,((BT47+BU47)/2),BU47)</f>
        <v/>
      </c>
    </row>
    <row r="48">
      <c r="A48" s="13" t="n">
        <v>37</v>
      </c>
      <c r="B48" s="16">
        <f>DATOS!$B$22-DATOS!$B$23*A48</f>
        <v/>
      </c>
      <c r="C48" s="24">
        <f>CAUDALES!$B$13</f>
        <v/>
      </c>
      <c r="D48" s="17">
        <f>DATOS!$B$17</f>
        <v/>
      </c>
      <c r="E48" s="16">
        <f>(C48^2/(9.81*D48^2))^(1/3)</f>
        <v/>
      </c>
      <c r="F48" s="16">
        <f>(BV48+BW48)/2</f>
        <v/>
      </c>
      <c r="G48" s="16">
        <f>B48+F48</f>
        <v/>
      </c>
      <c r="H48" s="19">
        <f>C48/(D48*F48)</f>
        <v/>
      </c>
      <c r="I48" s="19">
        <f>H48/SQRT(9.81*F48)</f>
        <v/>
      </c>
      <c r="J48" s="16">
        <f>DATOS!$B$29-IF(AND(A48&gt;=DATOS!$B$30,A48&lt;DATOS!$B$31),DATOS!$B$21,DATOS!$B$20)</f>
        <v/>
      </c>
      <c r="K48" s="19">
        <f>J48-B48</f>
        <v/>
      </c>
      <c r="L48" s="19">
        <f>F48/K48</f>
        <v/>
      </c>
      <c r="M48" s="16">
        <f>J48-G48</f>
        <v/>
      </c>
      <c r="N48" s="5">
        <f>IF(AND(L48&lt;=DATOS!$B$36,M48&gt;=DATOS!$B$37,I48&lt;=1),"CUMPLE","NO CUMPLE")</f>
        <v/>
      </c>
      <c r="O48" s="5">
        <f>IF(AND(A48&gt;=DATOS!$B$30,A48&lt;DATOS!$B$31),"cruce de camiones",IF(AND(A48&gt;=DATOS!$B$32,A48&lt;DATOS!$B$33),"cruce de motos","tramo normal"))</f>
        <v/>
      </c>
      <c r="P48" s="5">
        <f>E48*1.001</f>
        <v/>
      </c>
      <c r="Q48" s="13" t="n">
        <v>3</v>
      </c>
      <c r="R48" s="5">
        <f>IF((((P48+Q48)/2)+(C48/(D48*((P48+Q48)/2)))^2/(2*9.81)+B48-(G47+H47^2/(2*9.81))-(A47-A48)*(((DATOS!$B$34*(C48/(D48*((P48+Q48)/2)))/((D48*((P48+Q48)/2))/(D48+2*((P48+Q48)/2)))^(2/3))^2+((DATOS!$B$34*H47/((D47*F47)/(D47+2*F47))^(2/3))^2))/2))&gt;0,P48,((P48+Q48)/2))</f>
        <v/>
      </c>
      <c r="S48" s="5">
        <f>IF((((P48+Q48)/2)+(C48/(D48*((P48+Q48)/2)))^2/(2*9.81)+B48-(G47+H47^2/(2*9.81))-(A47-A48)*(((DATOS!$B$34*(C48/(D48*((P48+Q48)/2)))/((D48*((P48+Q48)/2))/(D48+2*((P48+Q48)/2)))^(2/3))^2+((DATOS!$B$34*H47/((D47*F47)/(D47+2*F47))^(2/3))^2))/2))&gt;0,((P48+Q48)/2),Q48)</f>
        <v/>
      </c>
      <c r="T48" s="5">
        <f>IF((((R48+S48)/2)+(C48/(D48*((R48+S48)/2)))^2/(2*9.81)+B48-(G47+H47^2/(2*9.81))-(A47-A48)*(((DATOS!$B$34*(C48/(D48*((R48+S48)/2)))/((D48*((R48+S48)/2))/(D48+2*((R48+S48)/2)))^(2/3))^2+((DATOS!$B$34*H47/((D47*F47)/(D47+2*F47))^(2/3))^2))/2))&gt;0,R48,((R48+S48)/2))</f>
        <v/>
      </c>
      <c r="U48" s="5">
        <f>IF((((R48+S48)/2)+(C48/(D48*((R48+S48)/2)))^2/(2*9.81)+B48-(G47+H47^2/(2*9.81))-(A47-A48)*(((DATOS!$B$34*(C48/(D48*((R48+S48)/2)))/((D48*((R48+S48)/2))/(D48+2*((R48+S48)/2)))^(2/3))^2+((DATOS!$B$34*H47/((D47*F47)/(D47+2*F47))^(2/3))^2))/2))&gt;0,((R48+S48)/2),S48)</f>
        <v/>
      </c>
      <c r="V48" s="5">
        <f>IF((((T48+U48)/2)+(C48/(D48*((T48+U48)/2)))^2/(2*9.81)+B48-(G47+H47^2/(2*9.81))-(A47-A48)*(((DATOS!$B$34*(C48/(D48*((T48+U48)/2)))/((D48*((T48+U48)/2))/(D48+2*((T48+U48)/2)))^(2/3))^2+((DATOS!$B$34*H47/((D47*F47)/(D47+2*F47))^(2/3))^2))/2))&gt;0,T48,((T48+U48)/2))</f>
        <v/>
      </c>
      <c r="W48" s="5">
        <f>IF((((T48+U48)/2)+(C48/(D48*((T48+U48)/2)))^2/(2*9.81)+B48-(G47+H47^2/(2*9.81))-(A47-A48)*(((DATOS!$B$34*(C48/(D48*((T48+U48)/2)))/((D48*((T48+U48)/2))/(D48+2*((T48+U48)/2)))^(2/3))^2+((DATOS!$B$34*H47/((D47*F47)/(D47+2*F47))^(2/3))^2))/2))&gt;0,((T48+U48)/2),U48)</f>
        <v/>
      </c>
      <c r="X48" s="5">
        <f>IF((((V48+W48)/2)+(C48/(D48*((V48+W48)/2)))^2/(2*9.81)+B48-(G47+H47^2/(2*9.81))-(A47-A48)*(((DATOS!$B$34*(C48/(D48*((V48+W48)/2)))/((D48*((V48+W48)/2))/(D48+2*((V48+W48)/2)))^(2/3))^2+((DATOS!$B$34*H47/((D47*F47)/(D47+2*F47))^(2/3))^2))/2))&gt;0,V48,((V48+W48)/2))</f>
        <v/>
      </c>
      <c r="Y48" s="5">
        <f>IF((((V48+W48)/2)+(C48/(D48*((V48+W48)/2)))^2/(2*9.81)+B48-(G47+H47^2/(2*9.81))-(A47-A48)*(((DATOS!$B$34*(C48/(D48*((V48+W48)/2)))/((D48*((V48+W48)/2))/(D48+2*((V48+W48)/2)))^(2/3))^2+((DATOS!$B$34*H47/((D47*F47)/(D47+2*F47))^(2/3))^2))/2))&gt;0,((V48+W48)/2),W48)</f>
        <v/>
      </c>
      <c r="Z48" s="5">
        <f>IF((((X48+Y48)/2)+(C48/(D48*((X48+Y48)/2)))^2/(2*9.81)+B48-(G47+H47^2/(2*9.81))-(A47-A48)*(((DATOS!$B$34*(C48/(D48*((X48+Y48)/2)))/((D48*((X48+Y48)/2))/(D48+2*((X48+Y48)/2)))^(2/3))^2+((DATOS!$B$34*H47/((D47*F47)/(D47+2*F47))^(2/3))^2))/2))&gt;0,X48,((X48+Y48)/2))</f>
        <v/>
      </c>
      <c r="AA48" s="5">
        <f>IF((((X48+Y48)/2)+(C48/(D48*((X48+Y48)/2)))^2/(2*9.81)+B48-(G47+H47^2/(2*9.81))-(A47-A48)*(((DATOS!$B$34*(C48/(D48*((X48+Y48)/2)))/((D48*((X48+Y48)/2))/(D48+2*((X48+Y48)/2)))^(2/3))^2+((DATOS!$B$34*H47/((D47*F47)/(D47+2*F47))^(2/3))^2))/2))&gt;0,((X48+Y48)/2),Y48)</f>
        <v/>
      </c>
      <c r="AB48" s="5">
        <f>IF((((Z48+AA48)/2)+(C48/(D48*((Z48+AA48)/2)))^2/(2*9.81)+B48-(G47+H47^2/(2*9.81))-(A47-A48)*(((DATOS!$B$34*(C48/(D48*((Z48+AA48)/2)))/((D48*((Z48+AA48)/2))/(D48+2*((Z48+AA48)/2)))^(2/3))^2+((DATOS!$B$34*H47/((D47*F47)/(D47+2*F47))^(2/3))^2))/2))&gt;0,Z48,((Z48+AA48)/2))</f>
        <v/>
      </c>
      <c r="AC48" s="5">
        <f>IF((((Z48+AA48)/2)+(C48/(D48*((Z48+AA48)/2)))^2/(2*9.81)+B48-(G47+H47^2/(2*9.81))-(A47-A48)*(((DATOS!$B$34*(C48/(D48*((Z48+AA48)/2)))/((D48*((Z48+AA48)/2))/(D48+2*((Z48+AA48)/2)))^(2/3))^2+((DATOS!$B$34*H47/((D47*F47)/(D47+2*F47))^(2/3))^2))/2))&gt;0,((Z48+AA48)/2),AA48)</f>
        <v/>
      </c>
      <c r="AD48" s="5">
        <f>IF((((AB48+AC48)/2)+(C48/(D48*((AB48+AC48)/2)))^2/(2*9.81)+B48-(G47+H47^2/(2*9.81))-(A47-A48)*(((DATOS!$B$34*(C48/(D48*((AB48+AC48)/2)))/((D48*((AB48+AC48)/2))/(D48+2*((AB48+AC48)/2)))^(2/3))^2+((DATOS!$B$34*H47/((D47*F47)/(D47+2*F47))^(2/3))^2))/2))&gt;0,AB48,((AB48+AC48)/2))</f>
        <v/>
      </c>
      <c r="AE48" s="5">
        <f>IF((((AB48+AC48)/2)+(C48/(D48*((AB48+AC48)/2)))^2/(2*9.81)+B48-(G47+H47^2/(2*9.81))-(A47-A48)*(((DATOS!$B$34*(C48/(D48*((AB48+AC48)/2)))/((D48*((AB48+AC48)/2))/(D48+2*((AB48+AC48)/2)))^(2/3))^2+((DATOS!$B$34*H47/((D47*F47)/(D47+2*F47))^(2/3))^2))/2))&gt;0,((AB48+AC48)/2),AC48)</f>
        <v/>
      </c>
      <c r="AF48" s="5">
        <f>IF((((AD48+AE48)/2)+(C48/(D48*((AD48+AE48)/2)))^2/(2*9.81)+B48-(G47+H47^2/(2*9.81))-(A47-A48)*(((DATOS!$B$34*(C48/(D48*((AD48+AE48)/2)))/((D48*((AD48+AE48)/2))/(D48+2*((AD48+AE48)/2)))^(2/3))^2+((DATOS!$B$34*H47/((D47*F47)/(D47+2*F47))^(2/3))^2))/2))&gt;0,AD48,((AD48+AE48)/2))</f>
        <v/>
      </c>
      <c r="AG48" s="5">
        <f>IF((((AD48+AE48)/2)+(C48/(D48*((AD48+AE48)/2)))^2/(2*9.81)+B48-(G47+H47^2/(2*9.81))-(A47-A48)*(((DATOS!$B$34*(C48/(D48*((AD48+AE48)/2)))/((D48*((AD48+AE48)/2))/(D48+2*((AD48+AE48)/2)))^(2/3))^2+((DATOS!$B$34*H47/((D47*F47)/(D47+2*F47))^(2/3))^2))/2))&gt;0,((AD48+AE48)/2),AE48)</f>
        <v/>
      </c>
      <c r="AH48" s="5">
        <f>IF((((AF48+AG48)/2)+(C48/(D48*((AF48+AG48)/2)))^2/(2*9.81)+B48-(G47+H47^2/(2*9.81))-(A47-A48)*(((DATOS!$B$34*(C48/(D48*((AF48+AG48)/2)))/((D48*((AF48+AG48)/2))/(D48+2*((AF48+AG48)/2)))^(2/3))^2+((DATOS!$B$34*H47/((D47*F47)/(D47+2*F47))^(2/3))^2))/2))&gt;0,AF48,((AF48+AG48)/2))</f>
        <v/>
      </c>
      <c r="AI48" s="5">
        <f>IF((((AF48+AG48)/2)+(C48/(D48*((AF48+AG48)/2)))^2/(2*9.81)+B48-(G47+H47^2/(2*9.81))-(A47-A48)*(((DATOS!$B$34*(C48/(D48*((AF48+AG48)/2)))/((D48*((AF48+AG48)/2))/(D48+2*((AF48+AG48)/2)))^(2/3))^2+((DATOS!$B$34*H47/((D47*F47)/(D47+2*F47))^(2/3))^2))/2))&gt;0,((AF48+AG48)/2),AG48)</f>
        <v/>
      </c>
      <c r="AJ48" s="5">
        <f>IF((((AH48+AI48)/2)+(C48/(D48*((AH48+AI48)/2)))^2/(2*9.81)+B48-(G47+H47^2/(2*9.81))-(A47-A48)*(((DATOS!$B$34*(C48/(D48*((AH48+AI48)/2)))/((D48*((AH48+AI48)/2))/(D48+2*((AH48+AI48)/2)))^(2/3))^2+((DATOS!$B$34*H47/((D47*F47)/(D47+2*F47))^(2/3))^2))/2))&gt;0,AH48,((AH48+AI48)/2))</f>
        <v/>
      </c>
      <c r="AK48" s="5">
        <f>IF((((AH48+AI48)/2)+(C48/(D48*((AH48+AI48)/2)))^2/(2*9.81)+B48-(G47+H47^2/(2*9.81))-(A47-A48)*(((DATOS!$B$34*(C48/(D48*((AH48+AI48)/2)))/((D48*((AH48+AI48)/2))/(D48+2*((AH48+AI48)/2)))^(2/3))^2+((DATOS!$B$34*H47/((D47*F47)/(D47+2*F47))^(2/3))^2))/2))&gt;0,((AH48+AI48)/2),AI48)</f>
        <v/>
      </c>
      <c r="AL48" s="5">
        <f>IF((((AJ48+AK48)/2)+(C48/(D48*((AJ48+AK48)/2)))^2/(2*9.81)+B48-(G47+H47^2/(2*9.81))-(A47-A48)*(((DATOS!$B$34*(C48/(D48*((AJ48+AK48)/2)))/((D48*((AJ48+AK48)/2))/(D48+2*((AJ48+AK48)/2)))^(2/3))^2+((DATOS!$B$34*H47/((D47*F47)/(D47+2*F47))^(2/3))^2))/2))&gt;0,AJ48,((AJ48+AK48)/2))</f>
        <v/>
      </c>
      <c r="AM48" s="5">
        <f>IF((((AJ48+AK48)/2)+(C48/(D48*((AJ48+AK48)/2)))^2/(2*9.81)+B48-(G47+H47^2/(2*9.81))-(A47-A48)*(((DATOS!$B$34*(C48/(D48*((AJ48+AK48)/2)))/((D48*((AJ48+AK48)/2))/(D48+2*((AJ48+AK48)/2)))^(2/3))^2+((DATOS!$B$34*H47/((D47*F47)/(D47+2*F47))^(2/3))^2))/2))&gt;0,((AJ48+AK48)/2),AK48)</f>
        <v/>
      </c>
      <c r="AN48" s="5">
        <f>IF((((AL48+AM48)/2)+(C48/(D48*((AL48+AM48)/2)))^2/(2*9.81)+B48-(G47+H47^2/(2*9.81))-(A47-A48)*(((DATOS!$B$34*(C48/(D48*((AL48+AM48)/2)))/((D48*((AL48+AM48)/2))/(D48+2*((AL48+AM48)/2)))^(2/3))^2+((DATOS!$B$34*H47/((D47*F47)/(D47+2*F47))^(2/3))^2))/2))&gt;0,AL48,((AL48+AM48)/2))</f>
        <v/>
      </c>
      <c r="AO48" s="5">
        <f>IF((((AL48+AM48)/2)+(C48/(D48*((AL48+AM48)/2)))^2/(2*9.81)+B48-(G47+H47^2/(2*9.81))-(A47-A48)*(((DATOS!$B$34*(C48/(D48*((AL48+AM48)/2)))/((D48*((AL48+AM48)/2))/(D48+2*((AL48+AM48)/2)))^(2/3))^2+((DATOS!$B$34*H47/((D47*F47)/(D47+2*F47))^(2/3))^2))/2))&gt;0,((AL48+AM48)/2),AM48)</f>
        <v/>
      </c>
      <c r="AP48" s="5">
        <f>IF((((AN48+AO48)/2)+(C48/(D48*((AN48+AO48)/2)))^2/(2*9.81)+B48-(G47+H47^2/(2*9.81))-(A47-A48)*(((DATOS!$B$34*(C48/(D48*((AN48+AO48)/2)))/((D48*((AN48+AO48)/2))/(D48+2*((AN48+AO48)/2)))^(2/3))^2+((DATOS!$B$34*H47/((D47*F47)/(D47+2*F47))^(2/3))^2))/2))&gt;0,AN48,((AN48+AO48)/2))</f>
        <v/>
      </c>
      <c r="AQ48" s="5">
        <f>IF((((AN48+AO48)/2)+(C48/(D48*((AN48+AO48)/2)))^2/(2*9.81)+B48-(G47+H47^2/(2*9.81))-(A47-A48)*(((DATOS!$B$34*(C48/(D48*((AN48+AO48)/2)))/((D48*((AN48+AO48)/2))/(D48+2*((AN48+AO48)/2)))^(2/3))^2+((DATOS!$B$34*H47/((D47*F47)/(D47+2*F47))^(2/3))^2))/2))&gt;0,((AN48+AO48)/2),AO48)</f>
        <v/>
      </c>
      <c r="AR48" s="5">
        <f>IF((((AP48+AQ48)/2)+(C48/(D48*((AP48+AQ48)/2)))^2/(2*9.81)+B48-(G47+H47^2/(2*9.81))-(A47-A48)*(((DATOS!$B$34*(C48/(D48*((AP48+AQ48)/2)))/((D48*((AP48+AQ48)/2))/(D48+2*((AP48+AQ48)/2)))^(2/3))^2+((DATOS!$B$34*H47/((D47*F47)/(D47+2*F47))^(2/3))^2))/2))&gt;0,AP48,((AP48+AQ48)/2))</f>
        <v/>
      </c>
      <c r="AS48" s="5">
        <f>IF((((AP48+AQ48)/2)+(C48/(D48*((AP48+AQ48)/2)))^2/(2*9.81)+B48-(G47+H47^2/(2*9.81))-(A47-A48)*(((DATOS!$B$34*(C48/(D48*((AP48+AQ48)/2)))/((D48*((AP48+AQ48)/2))/(D48+2*((AP48+AQ48)/2)))^(2/3))^2+((DATOS!$B$34*H47/((D47*F47)/(D47+2*F47))^(2/3))^2))/2))&gt;0,((AP48+AQ48)/2),AQ48)</f>
        <v/>
      </c>
      <c r="AT48" s="5">
        <f>IF((((AR48+AS48)/2)+(C48/(D48*((AR48+AS48)/2)))^2/(2*9.81)+B48-(G47+H47^2/(2*9.81))-(A47-A48)*(((DATOS!$B$34*(C48/(D48*((AR48+AS48)/2)))/((D48*((AR48+AS48)/2))/(D48+2*((AR48+AS48)/2)))^(2/3))^2+((DATOS!$B$34*H47/((D47*F47)/(D47+2*F47))^(2/3))^2))/2))&gt;0,AR48,((AR48+AS48)/2))</f>
        <v/>
      </c>
      <c r="AU48" s="5">
        <f>IF((((AR48+AS48)/2)+(C48/(D48*((AR48+AS48)/2)))^2/(2*9.81)+B48-(G47+H47^2/(2*9.81))-(A47-A48)*(((DATOS!$B$34*(C48/(D48*((AR48+AS48)/2)))/((D48*((AR48+AS48)/2))/(D48+2*((AR48+AS48)/2)))^(2/3))^2+((DATOS!$B$34*H47/((D47*F47)/(D47+2*F47))^(2/3))^2))/2))&gt;0,((AR48+AS48)/2),AS48)</f>
        <v/>
      </c>
      <c r="AV48" s="5">
        <f>IF((((AT48+AU48)/2)+(C48/(D48*((AT48+AU48)/2)))^2/(2*9.81)+B48-(G47+H47^2/(2*9.81))-(A47-A48)*(((DATOS!$B$34*(C48/(D48*((AT48+AU48)/2)))/((D48*((AT48+AU48)/2))/(D48+2*((AT48+AU48)/2)))^(2/3))^2+((DATOS!$B$34*H47/((D47*F47)/(D47+2*F47))^(2/3))^2))/2))&gt;0,AT48,((AT48+AU48)/2))</f>
        <v/>
      </c>
      <c r="AW48" s="5">
        <f>IF((((AT48+AU48)/2)+(C48/(D48*((AT48+AU48)/2)))^2/(2*9.81)+B48-(G47+H47^2/(2*9.81))-(A47-A48)*(((DATOS!$B$34*(C48/(D48*((AT48+AU48)/2)))/((D48*((AT48+AU48)/2))/(D48+2*((AT48+AU48)/2)))^(2/3))^2+((DATOS!$B$34*H47/((D47*F47)/(D47+2*F47))^(2/3))^2))/2))&gt;0,((AT48+AU48)/2),AU48)</f>
        <v/>
      </c>
      <c r="AX48" s="5">
        <f>IF((((AV48+AW48)/2)+(C48/(D48*((AV48+AW48)/2)))^2/(2*9.81)+B48-(G47+H47^2/(2*9.81))-(A47-A48)*(((DATOS!$B$34*(C48/(D48*((AV48+AW48)/2)))/((D48*((AV48+AW48)/2))/(D48+2*((AV48+AW48)/2)))^(2/3))^2+((DATOS!$B$34*H47/((D47*F47)/(D47+2*F47))^(2/3))^2))/2))&gt;0,AV48,((AV48+AW48)/2))</f>
        <v/>
      </c>
      <c r="AY48" s="5">
        <f>IF((((AV48+AW48)/2)+(C48/(D48*((AV48+AW48)/2)))^2/(2*9.81)+B48-(G47+H47^2/(2*9.81))-(A47-A48)*(((DATOS!$B$34*(C48/(D48*((AV48+AW48)/2)))/((D48*((AV48+AW48)/2))/(D48+2*((AV48+AW48)/2)))^(2/3))^2+((DATOS!$B$34*H47/((D47*F47)/(D47+2*F47))^(2/3))^2))/2))&gt;0,((AV48+AW48)/2),AW48)</f>
        <v/>
      </c>
      <c r="AZ48" s="5">
        <f>IF((((AX48+AY48)/2)+(C48/(D48*((AX48+AY48)/2)))^2/(2*9.81)+B48-(G47+H47^2/(2*9.81))-(A47-A48)*(((DATOS!$B$34*(C48/(D48*((AX48+AY48)/2)))/((D48*((AX48+AY48)/2))/(D48+2*((AX48+AY48)/2)))^(2/3))^2+((DATOS!$B$34*H47/((D47*F47)/(D47+2*F47))^(2/3))^2))/2))&gt;0,AX48,((AX48+AY48)/2))</f>
        <v/>
      </c>
      <c r="BA48" s="5">
        <f>IF((((AX48+AY48)/2)+(C48/(D48*((AX48+AY48)/2)))^2/(2*9.81)+B48-(G47+H47^2/(2*9.81))-(A47-A48)*(((DATOS!$B$34*(C48/(D48*((AX48+AY48)/2)))/((D48*((AX48+AY48)/2))/(D48+2*((AX48+AY48)/2)))^(2/3))^2+((DATOS!$B$34*H47/((D47*F47)/(D47+2*F47))^(2/3))^2))/2))&gt;0,((AX48+AY48)/2),AY48)</f>
        <v/>
      </c>
      <c r="BB48" s="5">
        <f>IF((((AZ48+BA48)/2)+(C48/(D48*((AZ48+BA48)/2)))^2/(2*9.81)+B48-(G47+H47^2/(2*9.81))-(A47-A48)*(((DATOS!$B$34*(C48/(D48*((AZ48+BA48)/2)))/((D48*((AZ48+BA48)/2))/(D48+2*((AZ48+BA48)/2)))^(2/3))^2+((DATOS!$B$34*H47/((D47*F47)/(D47+2*F47))^(2/3))^2))/2))&gt;0,AZ48,((AZ48+BA48)/2))</f>
        <v/>
      </c>
      <c r="BC48" s="5">
        <f>IF((((AZ48+BA48)/2)+(C48/(D48*((AZ48+BA48)/2)))^2/(2*9.81)+B48-(G47+H47^2/(2*9.81))-(A47-A48)*(((DATOS!$B$34*(C48/(D48*((AZ48+BA48)/2)))/((D48*((AZ48+BA48)/2))/(D48+2*((AZ48+BA48)/2)))^(2/3))^2+((DATOS!$B$34*H47/((D47*F47)/(D47+2*F47))^(2/3))^2))/2))&gt;0,((AZ48+BA48)/2),BA48)</f>
        <v/>
      </c>
      <c r="BD48" s="5">
        <f>IF((((BB48+BC48)/2)+(C48/(D48*((BB48+BC48)/2)))^2/(2*9.81)+B48-(G47+H47^2/(2*9.81))-(A47-A48)*(((DATOS!$B$34*(C48/(D48*((BB48+BC48)/2)))/((D48*((BB48+BC48)/2))/(D48+2*((BB48+BC48)/2)))^(2/3))^2+((DATOS!$B$34*H47/((D47*F47)/(D47+2*F47))^(2/3))^2))/2))&gt;0,BB48,((BB48+BC48)/2))</f>
        <v/>
      </c>
      <c r="BE48" s="5">
        <f>IF((((BB48+BC48)/2)+(C48/(D48*((BB48+BC48)/2)))^2/(2*9.81)+B48-(G47+H47^2/(2*9.81))-(A47-A48)*(((DATOS!$B$34*(C48/(D48*((BB48+BC48)/2)))/((D48*((BB48+BC48)/2))/(D48+2*((BB48+BC48)/2)))^(2/3))^2+((DATOS!$B$34*H47/((D47*F47)/(D47+2*F47))^(2/3))^2))/2))&gt;0,((BB48+BC48)/2),BC48)</f>
        <v/>
      </c>
      <c r="BF48" s="5">
        <f>IF((((BD48+BE48)/2)+(C48/(D48*((BD48+BE48)/2)))^2/(2*9.81)+B48-(G47+H47^2/(2*9.81))-(A47-A48)*(((DATOS!$B$34*(C48/(D48*((BD48+BE48)/2)))/((D48*((BD48+BE48)/2))/(D48+2*((BD48+BE48)/2)))^(2/3))^2+((DATOS!$B$34*H47/((D47*F47)/(D47+2*F47))^(2/3))^2))/2))&gt;0,BD48,((BD48+BE48)/2))</f>
        <v/>
      </c>
      <c r="BG48" s="5">
        <f>IF((((BD48+BE48)/2)+(C48/(D48*((BD48+BE48)/2)))^2/(2*9.81)+B48-(G47+H47^2/(2*9.81))-(A47-A48)*(((DATOS!$B$34*(C48/(D48*((BD48+BE48)/2)))/((D48*((BD48+BE48)/2))/(D48+2*((BD48+BE48)/2)))^(2/3))^2+((DATOS!$B$34*H47/((D47*F47)/(D47+2*F47))^(2/3))^2))/2))&gt;0,((BD48+BE48)/2),BE48)</f>
        <v/>
      </c>
      <c r="BH48" s="5">
        <f>IF((((BF48+BG48)/2)+(C48/(D48*((BF48+BG48)/2)))^2/(2*9.81)+B48-(G47+H47^2/(2*9.81))-(A47-A48)*(((DATOS!$B$34*(C48/(D48*((BF48+BG48)/2)))/((D48*((BF48+BG48)/2))/(D48+2*((BF48+BG48)/2)))^(2/3))^2+((DATOS!$B$34*H47/((D47*F47)/(D47+2*F47))^(2/3))^2))/2))&gt;0,BF48,((BF48+BG48)/2))</f>
        <v/>
      </c>
      <c r="BI48" s="5">
        <f>IF((((BF48+BG48)/2)+(C48/(D48*((BF48+BG48)/2)))^2/(2*9.81)+B48-(G47+H47^2/(2*9.81))-(A47-A48)*(((DATOS!$B$34*(C48/(D48*((BF48+BG48)/2)))/((D48*((BF48+BG48)/2))/(D48+2*((BF48+BG48)/2)))^(2/3))^2+((DATOS!$B$34*H47/((D47*F47)/(D47+2*F47))^(2/3))^2))/2))&gt;0,((BF48+BG48)/2),BG48)</f>
        <v/>
      </c>
      <c r="BJ48" s="5">
        <f>IF((((BH48+BI48)/2)+(C48/(D48*((BH48+BI48)/2)))^2/(2*9.81)+B48-(G47+H47^2/(2*9.81))-(A47-A48)*(((DATOS!$B$34*(C48/(D48*((BH48+BI48)/2)))/((D48*((BH48+BI48)/2))/(D48+2*((BH48+BI48)/2)))^(2/3))^2+((DATOS!$B$34*H47/((D47*F47)/(D47+2*F47))^(2/3))^2))/2))&gt;0,BH48,((BH48+BI48)/2))</f>
        <v/>
      </c>
      <c r="BK48" s="5">
        <f>IF((((BH48+BI48)/2)+(C48/(D48*((BH48+BI48)/2)))^2/(2*9.81)+B48-(G47+H47^2/(2*9.81))-(A47-A48)*(((DATOS!$B$34*(C48/(D48*((BH48+BI48)/2)))/((D48*((BH48+BI48)/2))/(D48+2*((BH48+BI48)/2)))^(2/3))^2+((DATOS!$B$34*H47/((D47*F47)/(D47+2*F47))^(2/3))^2))/2))&gt;0,((BH48+BI48)/2),BI48)</f>
        <v/>
      </c>
      <c r="BL48" s="5">
        <f>IF((((BJ48+BK48)/2)+(C48/(D48*((BJ48+BK48)/2)))^2/(2*9.81)+B48-(G47+H47^2/(2*9.81))-(A47-A48)*(((DATOS!$B$34*(C48/(D48*((BJ48+BK48)/2)))/((D48*((BJ48+BK48)/2))/(D48+2*((BJ48+BK48)/2)))^(2/3))^2+((DATOS!$B$34*H47/((D47*F47)/(D47+2*F47))^(2/3))^2))/2))&gt;0,BJ48,((BJ48+BK48)/2))</f>
        <v/>
      </c>
      <c r="BM48" s="5">
        <f>IF((((BJ48+BK48)/2)+(C48/(D48*((BJ48+BK48)/2)))^2/(2*9.81)+B48-(G47+H47^2/(2*9.81))-(A47-A48)*(((DATOS!$B$34*(C48/(D48*((BJ48+BK48)/2)))/((D48*((BJ48+BK48)/2))/(D48+2*((BJ48+BK48)/2)))^(2/3))^2+((DATOS!$B$34*H47/((D47*F47)/(D47+2*F47))^(2/3))^2))/2))&gt;0,((BJ48+BK48)/2),BK48)</f>
        <v/>
      </c>
      <c r="BN48" s="5">
        <f>IF((((BL48+BM48)/2)+(C48/(D48*((BL48+BM48)/2)))^2/(2*9.81)+B48-(G47+H47^2/(2*9.81))-(A47-A48)*(((DATOS!$B$34*(C48/(D48*((BL48+BM48)/2)))/((D48*((BL48+BM48)/2))/(D48+2*((BL48+BM48)/2)))^(2/3))^2+((DATOS!$B$34*H47/((D47*F47)/(D47+2*F47))^(2/3))^2))/2))&gt;0,BL48,((BL48+BM48)/2))</f>
        <v/>
      </c>
      <c r="BO48" s="5">
        <f>IF((((BL48+BM48)/2)+(C48/(D48*((BL48+BM48)/2)))^2/(2*9.81)+B48-(G47+H47^2/(2*9.81))-(A47-A48)*(((DATOS!$B$34*(C48/(D48*((BL48+BM48)/2)))/((D48*((BL48+BM48)/2))/(D48+2*((BL48+BM48)/2)))^(2/3))^2+((DATOS!$B$34*H47/((D47*F47)/(D47+2*F47))^(2/3))^2))/2))&gt;0,((BL48+BM48)/2),BM48)</f>
        <v/>
      </c>
      <c r="BP48" s="5">
        <f>IF((((BN48+BO48)/2)+(C48/(D48*((BN48+BO48)/2)))^2/(2*9.81)+B48-(G47+H47^2/(2*9.81))-(A47-A48)*(((DATOS!$B$34*(C48/(D48*((BN48+BO48)/2)))/((D48*((BN48+BO48)/2))/(D48+2*((BN48+BO48)/2)))^(2/3))^2+((DATOS!$B$34*H47/((D47*F47)/(D47+2*F47))^(2/3))^2))/2))&gt;0,BN48,((BN48+BO48)/2))</f>
        <v/>
      </c>
      <c r="BQ48" s="5">
        <f>IF((((BN48+BO48)/2)+(C48/(D48*((BN48+BO48)/2)))^2/(2*9.81)+B48-(G47+H47^2/(2*9.81))-(A47-A48)*(((DATOS!$B$34*(C48/(D48*((BN48+BO48)/2)))/((D48*((BN48+BO48)/2))/(D48+2*((BN48+BO48)/2)))^(2/3))^2+((DATOS!$B$34*H47/((D47*F47)/(D47+2*F47))^(2/3))^2))/2))&gt;0,((BN48+BO48)/2),BO48)</f>
        <v/>
      </c>
      <c r="BR48" s="5">
        <f>IF((((BP48+BQ48)/2)+(C48/(D48*((BP48+BQ48)/2)))^2/(2*9.81)+B48-(G47+H47^2/(2*9.81))-(A47-A48)*(((DATOS!$B$34*(C48/(D48*((BP48+BQ48)/2)))/((D48*((BP48+BQ48)/2))/(D48+2*((BP48+BQ48)/2)))^(2/3))^2+((DATOS!$B$34*H47/((D47*F47)/(D47+2*F47))^(2/3))^2))/2))&gt;0,BP48,((BP48+BQ48)/2))</f>
        <v/>
      </c>
      <c r="BS48" s="5">
        <f>IF((((BP48+BQ48)/2)+(C48/(D48*((BP48+BQ48)/2)))^2/(2*9.81)+B48-(G47+H47^2/(2*9.81))-(A47-A48)*(((DATOS!$B$34*(C48/(D48*((BP48+BQ48)/2)))/((D48*((BP48+BQ48)/2))/(D48+2*((BP48+BQ48)/2)))^(2/3))^2+((DATOS!$B$34*H47/((D47*F47)/(D47+2*F47))^(2/3))^2))/2))&gt;0,((BP48+BQ48)/2),BQ48)</f>
        <v/>
      </c>
      <c r="BT48" s="5">
        <f>IF((((BR48+BS48)/2)+(C48/(D48*((BR48+BS48)/2)))^2/(2*9.81)+B48-(G47+H47^2/(2*9.81))-(A47-A48)*(((DATOS!$B$34*(C48/(D48*((BR48+BS48)/2)))/((D48*((BR48+BS48)/2))/(D48+2*((BR48+BS48)/2)))^(2/3))^2+((DATOS!$B$34*H47/((D47*F47)/(D47+2*F47))^(2/3))^2))/2))&gt;0,BR48,((BR48+BS48)/2))</f>
        <v/>
      </c>
      <c r="BU48" s="5">
        <f>IF((((BR48+BS48)/2)+(C48/(D48*((BR48+BS48)/2)))^2/(2*9.81)+B48-(G47+H47^2/(2*9.81))-(A47-A48)*(((DATOS!$B$34*(C48/(D48*((BR48+BS48)/2)))/((D48*((BR48+BS48)/2))/(D48+2*((BR48+BS48)/2)))^(2/3))^2+((DATOS!$B$34*H47/((D47*F47)/(D47+2*F47))^(2/3))^2))/2))&gt;0,((BR48+BS48)/2),BS48)</f>
        <v/>
      </c>
      <c r="BV48" s="5">
        <f>IF((((BT48+BU48)/2)+(C48/(D48*((BT48+BU48)/2)))^2/(2*9.81)+B48-(G47+H47^2/(2*9.81))-(A47-A48)*(((DATOS!$B$34*(C48/(D48*((BT48+BU48)/2)))/((D48*((BT48+BU48)/2))/(D48+2*((BT48+BU48)/2)))^(2/3))^2+((DATOS!$B$34*H47/((D47*F47)/(D47+2*F47))^(2/3))^2))/2))&gt;0,BT48,((BT48+BU48)/2))</f>
        <v/>
      </c>
      <c r="BW48" s="5">
        <f>IF((((BT48+BU48)/2)+(C48/(D48*((BT48+BU48)/2)))^2/(2*9.81)+B48-(G47+H47^2/(2*9.81))-(A47-A48)*(((DATOS!$B$34*(C48/(D48*((BT48+BU48)/2)))/((D48*((BT48+BU48)/2))/(D48+2*((BT48+BU48)/2)))^(2/3))^2+((DATOS!$B$34*H47/((D47*F47)/(D47+2*F47))^(2/3))^2))/2))&gt;0,((BT48+BU48)/2),BU48)</f>
        <v/>
      </c>
    </row>
    <row r="49">
      <c r="A49" s="13" t="n">
        <v>36</v>
      </c>
      <c r="B49" s="16">
        <f>DATOS!$B$22-DATOS!$B$23*A49</f>
        <v/>
      </c>
      <c r="C49" s="24">
        <f>CAUDALES!$B$13</f>
        <v/>
      </c>
      <c r="D49" s="17">
        <f>DATOS!$B$17</f>
        <v/>
      </c>
      <c r="E49" s="16">
        <f>(C49^2/(9.81*D49^2))^(1/3)</f>
        <v/>
      </c>
      <c r="F49" s="16">
        <f>(BV49+BW49)/2</f>
        <v/>
      </c>
      <c r="G49" s="16">
        <f>B49+F49</f>
        <v/>
      </c>
      <c r="H49" s="19">
        <f>C49/(D49*F49)</f>
        <v/>
      </c>
      <c r="I49" s="19">
        <f>H49/SQRT(9.81*F49)</f>
        <v/>
      </c>
      <c r="J49" s="16">
        <f>DATOS!$B$29-IF(AND(A49&gt;=DATOS!$B$30,A49&lt;DATOS!$B$31),DATOS!$B$21,DATOS!$B$20)</f>
        <v/>
      </c>
      <c r="K49" s="19">
        <f>J49-B49</f>
        <v/>
      </c>
      <c r="L49" s="19">
        <f>F49/K49</f>
        <v/>
      </c>
      <c r="M49" s="16">
        <f>J49-G49</f>
        <v/>
      </c>
      <c r="N49" s="5">
        <f>IF(AND(L49&lt;=DATOS!$B$36,M49&gt;=DATOS!$B$37,I49&lt;=1),"CUMPLE","NO CUMPLE")</f>
        <v/>
      </c>
      <c r="O49" s="5">
        <f>IF(AND(A49&gt;=DATOS!$B$30,A49&lt;DATOS!$B$31),"cruce de camiones",IF(AND(A49&gt;=DATOS!$B$32,A49&lt;DATOS!$B$33),"cruce de motos","tramo normal"))</f>
        <v/>
      </c>
      <c r="P49" s="5">
        <f>E49*1.001</f>
        <v/>
      </c>
      <c r="Q49" s="13" t="n">
        <v>3</v>
      </c>
      <c r="R49" s="5">
        <f>IF((((P49+Q49)/2)+(C49/(D49*((P49+Q49)/2)))^2/(2*9.81)+B49-(G48+H48^2/(2*9.81))-(A48-A49)*(((DATOS!$B$34*(C49/(D49*((P49+Q49)/2)))/((D49*((P49+Q49)/2))/(D49+2*((P49+Q49)/2)))^(2/3))^2+((DATOS!$B$34*H48/((D48*F48)/(D48+2*F48))^(2/3))^2))/2))&gt;0,P49,((P49+Q49)/2))</f>
        <v/>
      </c>
      <c r="S49" s="5">
        <f>IF((((P49+Q49)/2)+(C49/(D49*((P49+Q49)/2)))^2/(2*9.81)+B49-(G48+H48^2/(2*9.81))-(A48-A49)*(((DATOS!$B$34*(C49/(D49*((P49+Q49)/2)))/((D49*((P49+Q49)/2))/(D49+2*((P49+Q49)/2)))^(2/3))^2+((DATOS!$B$34*H48/((D48*F48)/(D48+2*F48))^(2/3))^2))/2))&gt;0,((P49+Q49)/2),Q49)</f>
        <v/>
      </c>
      <c r="T49" s="5">
        <f>IF((((R49+S49)/2)+(C49/(D49*((R49+S49)/2)))^2/(2*9.81)+B49-(G48+H48^2/(2*9.81))-(A48-A49)*(((DATOS!$B$34*(C49/(D49*((R49+S49)/2)))/((D49*((R49+S49)/2))/(D49+2*((R49+S49)/2)))^(2/3))^2+((DATOS!$B$34*H48/((D48*F48)/(D48+2*F48))^(2/3))^2))/2))&gt;0,R49,((R49+S49)/2))</f>
        <v/>
      </c>
      <c r="U49" s="5">
        <f>IF((((R49+S49)/2)+(C49/(D49*((R49+S49)/2)))^2/(2*9.81)+B49-(G48+H48^2/(2*9.81))-(A48-A49)*(((DATOS!$B$34*(C49/(D49*((R49+S49)/2)))/((D49*((R49+S49)/2))/(D49+2*((R49+S49)/2)))^(2/3))^2+((DATOS!$B$34*H48/((D48*F48)/(D48+2*F48))^(2/3))^2))/2))&gt;0,((R49+S49)/2),S49)</f>
        <v/>
      </c>
      <c r="V49" s="5">
        <f>IF((((T49+U49)/2)+(C49/(D49*((T49+U49)/2)))^2/(2*9.81)+B49-(G48+H48^2/(2*9.81))-(A48-A49)*(((DATOS!$B$34*(C49/(D49*((T49+U49)/2)))/((D49*((T49+U49)/2))/(D49+2*((T49+U49)/2)))^(2/3))^2+((DATOS!$B$34*H48/((D48*F48)/(D48+2*F48))^(2/3))^2))/2))&gt;0,T49,((T49+U49)/2))</f>
        <v/>
      </c>
      <c r="W49" s="5">
        <f>IF((((T49+U49)/2)+(C49/(D49*((T49+U49)/2)))^2/(2*9.81)+B49-(G48+H48^2/(2*9.81))-(A48-A49)*(((DATOS!$B$34*(C49/(D49*((T49+U49)/2)))/((D49*((T49+U49)/2))/(D49+2*((T49+U49)/2)))^(2/3))^2+((DATOS!$B$34*H48/((D48*F48)/(D48+2*F48))^(2/3))^2))/2))&gt;0,((T49+U49)/2),U49)</f>
        <v/>
      </c>
      <c r="X49" s="5">
        <f>IF((((V49+W49)/2)+(C49/(D49*((V49+W49)/2)))^2/(2*9.81)+B49-(G48+H48^2/(2*9.81))-(A48-A49)*(((DATOS!$B$34*(C49/(D49*((V49+W49)/2)))/((D49*((V49+W49)/2))/(D49+2*((V49+W49)/2)))^(2/3))^2+((DATOS!$B$34*H48/((D48*F48)/(D48+2*F48))^(2/3))^2))/2))&gt;0,V49,((V49+W49)/2))</f>
        <v/>
      </c>
      <c r="Y49" s="5">
        <f>IF((((V49+W49)/2)+(C49/(D49*((V49+W49)/2)))^2/(2*9.81)+B49-(G48+H48^2/(2*9.81))-(A48-A49)*(((DATOS!$B$34*(C49/(D49*((V49+W49)/2)))/((D49*((V49+W49)/2))/(D49+2*((V49+W49)/2)))^(2/3))^2+((DATOS!$B$34*H48/((D48*F48)/(D48+2*F48))^(2/3))^2))/2))&gt;0,((V49+W49)/2),W49)</f>
        <v/>
      </c>
      <c r="Z49" s="5">
        <f>IF((((X49+Y49)/2)+(C49/(D49*((X49+Y49)/2)))^2/(2*9.81)+B49-(G48+H48^2/(2*9.81))-(A48-A49)*(((DATOS!$B$34*(C49/(D49*((X49+Y49)/2)))/((D49*((X49+Y49)/2))/(D49+2*((X49+Y49)/2)))^(2/3))^2+((DATOS!$B$34*H48/((D48*F48)/(D48+2*F48))^(2/3))^2))/2))&gt;0,X49,((X49+Y49)/2))</f>
        <v/>
      </c>
      <c r="AA49" s="5">
        <f>IF((((X49+Y49)/2)+(C49/(D49*((X49+Y49)/2)))^2/(2*9.81)+B49-(G48+H48^2/(2*9.81))-(A48-A49)*(((DATOS!$B$34*(C49/(D49*((X49+Y49)/2)))/((D49*((X49+Y49)/2))/(D49+2*((X49+Y49)/2)))^(2/3))^2+((DATOS!$B$34*H48/((D48*F48)/(D48+2*F48))^(2/3))^2))/2))&gt;0,((X49+Y49)/2),Y49)</f>
        <v/>
      </c>
      <c r="AB49" s="5">
        <f>IF((((Z49+AA49)/2)+(C49/(D49*((Z49+AA49)/2)))^2/(2*9.81)+B49-(G48+H48^2/(2*9.81))-(A48-A49)*(((DATOS!$B$34*(C49/(D49*((Z49+AA49)/2)))/((D49*((Z49+AA49)/2))/(D49+2*((Z49+AA49)/2)))^(2/3))^2+((DATOS!$B$34*H48/((D48*F48)/(D48+2*F48))^(2/3))^2))/2))&gt;0,Z49,((Z49+AA49)/2))</f>
        <v/>
      </c>
      <c r="AC49" s="5">
        <f>IF((((Z49+AA49)/2)+(C49/(D49*((Z49+AA49)/2)))^2/(2*9.81)+B49-(G48+H48^2/(2*9.81))-(A48-A49)*(((DATOS!$B$34*(C49/(D49*((Z49+AA49)/2)))/((D49*((Z49+AA49)/2))/(D49+2*((Z49+AA49)/2)))^(2/3))^2+((DATOS!$B$34*H48/((D48*F48)/(D48+2*F48))^(2/3))^2))/2))&gt;0,((Z49+AA49)/2),AA49)</f>
        <v/>
      </c>
      <c r="AD49" s="5">
        <f>IF((((AB49+AC49)/2)+(C49/(D49*((AB49+AC49)/2)))^2/(2*9.81)+B49-(G48+H48^2/(2*9.81))-(A48-A49)*(((DATOS!$B$34*(C49/(D49*((AB49+AC49)/2)))/((D49*((AB49+AC49)/2))/(D49+2*((AB49+AC49)/2)))^(2/3))^2+((DATOS!$B$34*H48/((D48*F48)/(D48+2*F48))^(2/3))^2))/2))&gt;0,AB49,((AB49+AC49)/2))</f>
        <v/>
      </c>
      <c r="AE49" s="5">
        <f>IF((((AB49+AC49)/2)+(C49/(D49*((AB49+AC49)/2)))^2/(2*9.81)+B49-(G48+H48^2/(2*9.81))-(A48-A49)*(((DATOS!$B$34*(C49/(D49*((AB49+AC49)/2)))/((D49*((AB49+AC49)/2))/(D49+2*((AB49+AC49)/2)))^(2/3))^2+((DATOS!$B$34*H48/((D48*F48)/(D48+2*F48))^(2/3))^2))/2))&gt;0,((AB49+AC49)/2),AC49)</f>
        <v/>
      </c>
      <c r="AF49" s="5">
        <f>IF((((AD49+AE49)/2)+(C49/(D49*((AD49+AE49)/2)))^2/(2*9.81)+B49-(G48+H48^2/(2*9.81))-(A48-A49)*(((DATOS!$B$34*(C49/(D49*((AD49+AE49)/2)))/((D49*((AD49+AE49)/2))/(D49+2*((AD49+AE49)/2)))^(2/3))^2+((DATOS!$B$34*H48/((D48*F48)/(D48+2*F48))^(2/3))^2))/2))&gt;0,AD49,((AD49+AE49)/2))</f>
        <v/>
      </c>
      <c r="AG49" s="5">
        <f>IF((((AD49+AE49)/2)+(C49/(D49*((AD49+AE49)/2)))^2/(2*9.81)+B49-(G48+H48^2/(2*9.81))-(A48-A49)*(((DATOS!$B$34*(C49/(D49*((AD49+AE49)/2)))/((D49*((AD49+AE49)/2))/(D49+2*((AD49+AE49)/2)))^(2/3))^2+((DATOS!$B$34*H48/((D48*F48)/(D48+2*F48))^(2/3))^2))/2))&gt;0,((AD49+AE49)/2),AE49)</f>
        <v/>
      </c>
      <c r="AH49" s="5">
        <f>IF((((AF49+AG49)/2)+(C49/(D49*((AF49+AG49)/2)))^2/(2*9.81)+B49-(G48+H48^2/(2*9.81))-(A48-A49)*(((DATOS!$B$34*(C49/(D49*((AF49+AG49)/2)))/((D49*((AF49+AG49)/2))/(D49+2*((AF49+AG49)/2)))^(2/3))^2+((DATOS!$B$34*H48/((D48*F48)/(D48+2*F48))^(2/3))^2))/2))&gt;0,AF49,((AF49+AG49)/2))</f>
        <v/>
      </c>
      <c r="AI49" s="5">
        <f>IF((((AF49+AG49)/2)+(C49/(D49*((AF49+AG49)/2)))^2/(2*9.81)+B49-(G48+H48^2/(2*9.81))-(A48-A49)*(((DATOS!$B$34*(C49/(D49*((AF49+AG49)/2)))/((D49*((AF49+AG49)/2))/(D49+2*((AF49+AG49)/2)))^(2/3))^2+((DATOS!$B$34*H48/((D48*F48)/(D48+2*F48))^(2/3))^2))/2))&gt;0,((AF49+AG49)/2),AG49)</f>
        <v/>
      </c>
      <c r="AJ49" s="5">
        <f>IF((((AH49+AI49)/2)+(C49/(D49*((AH49+AI49)/2)))^2/(2*9.81)+B49-(G48+H48^2/(2*9.81))-(A48-A49)*(((DATOS!$B$34*(C49/(D49*((AH49+AI49)/2)))/((D49*((AH49+AI49)/2))/(D49+2*((AH49+AI49)/2)))^(2/3))^2+((DATOS!$B$34*H48/((D48*F48)/(D48+2*F48))^(2/3))^2))/2))&gt;0,AH49,((AH49+AI49)/2))</f>
        <v/>
      </c>
      <c r="AK49" s="5">
        <f>IF((((AH49+AI49)/2)+(C49/(D49*((AH49+AI49)/2)))^2/(2*9.81)+B49-(G48+H48^2/(2*9.81))-(A48-A49)*(((DATOS!$B$34*(C49/(D49*((AH49+AI49)/2)))/((D49*((AH49+AI49)/2))/(D49+2*((AH49+AI49)/2)))^(2/3))^2+((DATOS!$B$34*H48/((D48*F48)/(D48+2*F48))^(2/3))^2))/2))&gt;0,((AH49+AI49)/2),AI49)</f>
        <v/>
      </c>
      <c r="AL49" s="5">
        <f>IF((((AJ49+AK49)/2)+(C49/(D49*((AJ49+AK49)/2)))^2/(2*9.81)+B49-(G48+H48^2/(2*9.81))-(A48-A49)*(((DATOS!$B$34*(C49/(D49*((AJ49+AK49)/2)))/((D49*((AJ49+AK49)/2))/(D49+2*((AJ49+AK49)/2)))^(2/3))^2+((DATOS!$B$34*H48/((D48*F48)/(D48+2*F48))^(2/3))^2))/2))&gt;0,AJ49,((AJ49+AK49)/2))</f>
        <v/>
      </c>
      <c r="AM49" s="5">
        <f>IF((((AJ49+AK49)/2)+(C49/(D49*((AJ49+AK49)/2)))^2/(2*9.81)+B49-(G48+H48^2/(2*9.81))-(A48-A49)*(((DATOS!$B$34*(C49/(D49*((AJ49+AK49)/2)))/((D49*((AJ49+AK49)/2))/(D49+2*((AJ49+AK49)/2)))^(2/3))^2+((DATOS!$B$34*H48/((D48*F48)/(D48+2*F48))^(2/3))^2))/2))&gt;0,((AJ49+AK49)/2),AK49)</f>
        <v/>
      </c>
      <c r="AN49" s="5">
        <f>IF((((AL49+AM49)/2)+(C49/(D49*((AL49+AM49)/2)))^2/(2*9.81)+B49-(G48+H48^2/(2*9.81))-(A48-A49)*(((DATOS!$B$34*(C49/(D49*((AL49+AM49)/2)))/((D49*((AL49+AM49)/2))/(D49+2*((AL49+AM49)/2)))^(2/3))^2+((DATOS!$B$34*H48/((D48*F48)/(D48+2*F48))^(2/3))^2))/2))&gt;0,AL49,((AL49+AM49)/2))</f>
        <v/>
      </c>
      <c r="AO49" s="5">
        <f>IF((((AL49+AM49)/2)+(C49/(D49*((AL49+AM49)/2)))^2/(2*9.81)+B49-(G48+H48^2/(2*9.81))-(A48-A49)*(((DATOS!$B$34*(C49/(D49*((AL49+AM49)/2)))/((D49*((AL49+AM49)/2))/(D49+2*((AL49+AM49)/2)))^(2/3))^2+((DATOS!$B$34*H48/((D48*F48)/(D48+2*F48))^(2/3))^2))/2))&gt;0,((AL49+AM49)/2),AM49)</f>
        <v/>
      </c>
      <c r="AP49" s="5">
        <f>IF((((AN49+AO49)/2)+(C49/(D49*((AN49+AO49)/2)))^2/(2*9.81)+B49-(G48+H48^2/(2*9.81))-(A48-A49)*(((DATOS!$B$34*(C49/(D49*((AN49+AO49)/2)))/((D49*((AN49+AO49)/2))/(D49+2*((AN49+AO49)/2)))^(2/3))^2+((DATOS!$B$34*H48/((D48*F48)/(D48+2*F48))^(2/3))^2))/2))&gt;0,AN49,((AN49+AO49)/2))</f>
        <v/>
      </c>
      <c r="AQ49" s="5">
        <f>IF((((AN49+AO49)/2)+(C49/(D49*((AN49+AO49)/2)))^2/(2*9.81)+B49-(G48+H48^2/(2*9.81))-(A48-A49)*(((DATOS!$B$34*(C49/(D49*((AN49+AO49)/2)))/((D49*((AN49+AO49)/2))/(D49+2*((AN49+AO49)/2)))^(2/3))^2+((DATOS!$B$34*H48/((D48*F48)/(D48+2*F48))^(2/3))^2))/2))&gt;0,((AN49+AO49)/2),AO49)</f>
        <v/>
      </c>
      <c r="AR49" s="5">
        <f>IF((((AP49+AQ49)/2)+(C49/(D49*((AP49+AQ49)/2)))^2/(2*9.81)+B49-(G48+H48^2/(2*9.81))-(A48-A49)*(((DATOS!$B$34*(C49/(D49*((AP49+AQ49)/2)))/((D49*((AP49+AQ49)/2))/(D49+2*((AP49+AQ49)/2)))^(2/3))^2+((DATOS!$B$34*H48/((D48*F48)/(D48+2*F48))^(2/3))^2))/2))&gt;0,AP49,((AP49+AQ49)/2))</f>
        <v/>
      </c>
      <c r="AS49" s="5">
        <f>IF((((AP49+AQ49)/2)+(C49/(D49*((AP49+AQ49)/2)))^2/(2*9.81)+B49-(G48+H48^2/(2*9.81))-(A48-A49)*(((DATOS!$B$34*(C49/(D49*((AP49+AQ49)/2)))/((D49*((AP49+AQ49)/2))/(D49+2*((AP49+AQ49)/2)))^(2/3))^2+((DATOS!$B$34*H48/((D48*F48)/(D48+2*F48))^(2/3))^2))/2))&gt;0,((AP49+AQ49)/2),AQ49)</f>
        <v/>
      </c>
      <c r="AT49" s="5">
        <f>IF((((AR49+AS49)/2)+(C49/(D49*((AR49+AS49)/2)))^2/(2*9.81)+B49-(G48+H48^2/(2*9.81))-(A48-A49)*(((DATOS!$B$34*(C49/(D49*((AR49+AS49)/2)))/((D49*((AR49+AS49)/2))/(D49+2*((AR49+AS49)/2)))^(2/3))^2+((DATOS!$B$34*H48/((D48*F48)/(D48+2*F48))^(2/3))^2))/2))&gt;0,AR49,((AR49+AS49)/2))</f>
        <v/>
      </c>
      <c r="AU49" s="5">
        <f>IF((((AR49+AS49)/2)+(C49/(D49*((AR49+AS49)/2)))^2/(2*9.81)+B49-(G48+H48^2/(2*9.81))-(A48-A49)*(((DATOS!$B$34*(C49/(D49*((AR49+AS49)/2)))/((D49*((AR49+AS49)/2))/(D49+2*((AR49+AS49)/2)))^(2/3))^2+((DATOS!$B$34*H48/((D48*F48)/(D48+2*F48))^(2/3))^2))/2))&gt;0,((AR49+AS49)/2),AS49)</f>
        <v/>
      </c>
      <c r="AV49" s="5">
        <f>IF((((AT49+AU49)/2)+(C49/(D49*((AT49+AU49)/2)))^2/(2*9.81)+B49-(G48+H48^2/(2*9.81))-(A48-A49)*(((DATOS!$B$34*(C49/(D49*((AT49+AU49)/2)))/((D49*((AT49+AU49)/2))/(D49+2*((AT49+AU49)/2)))^(2/3))^2+((DATOS!$B$34*H48/((D48*F48)/(D48+2*F48))^(2/3))^2))/2))&gt;0,AT49,((AT49+AU49)/2))</f>
        <v/>
      </c>
      <c r="AW49" s="5">
        <f>IF((((AT49+AU49)/2)+(C49/(D49*((AT49+AU49)/2)))^2/(2*9.81)+B49-(G48+H48^2/(2*9.81))-(A48-A49)*(((DATOS!$B$34*(C49/(D49*((AT49+AU49)/2)))/((D49*((AT49+AU49)/2))/(D49+2*((AT49+AU49)/2)))^(2/3))^2+((DATOS!$B$34*H48/((D48*F48)/(D48+2*F48))^(2/3))^2))/2))&gt;0,((AT49+AU49)/2),AU49)</f>
        <v/>
      </c>
      <c r="AX49" s="5">
        <f>IF((((AV49+AW49)/2)+(C49/(D49*((AV49+AW49)/2)))^2/(2*9.81)+B49-(G48+H48^2/(2*9.81))-(A48-A49)*(((DATOS!$B$34*(C49/(D49*((AV49+AW49)/2)))/((D49*((AV49+AW49)/2))/(D49+2*((AV49+AW49)/2)))^(2/3))^2+((DATOS!$B$34*H48/((D48*F48)/(D48+2*F48))^(2/3))^2))/2))&gt;0,AV49,((AV49+AW49)/2))</f>
        <v/>
      </c>
      <c r="AY49" s="5">
        <f>IF((((AV49+AW49)/2)+(C49/(D49*((AV49+AW49)/2)))^2/(2*9.81)+B49-(G48+H48^2/(2*9.81))-(A48-A49)*(((DATOS!$B$34*(C49/(D49*((AV49+AW49)/2)))/((D49*((AV49+AW49)/2))/(D49+2*((AV49+AW49)/2)))^(2/3))^2+((DATOS!$B$34*H48/((D48*F48)/(D48+2*F48))^(2/3))^2))/2))&gt;0,((AV49+AW49)/2),AW49)</f>
        <v/>
      </c>
      <c r="AZ49" s="5">
        <f>IF((((AX49+AY49)/2)+(C49/(D49*((AX49+AY49)/2)))^2/(2*9.81)+B49-(G48+H48^2/(2*9.81))-(A48-A49)*(((DATOS!$B$34*(C49/(D49*((AX49+AY49)/2)))/((D49*((AX49+AY49)/2))/(D49+2*((AX49+AY49)/2)))^(2/3))^2+((DATOS!$B$34*H48/((D48*F48)/(D48+2*F48))^(2/3))^2))/2))&gt;0,AX49,((AX49+AY49)/2))</f>
        <v/>
      </c>
      <c r="BA49" s="5">
        <f>IF((((AX49+AY49)/2)+(C49/(D49*((AX49+AY49)/2)))^2/(2*9.81)+B49-(G48+H48^2/(2*9.81))-(A48-A49)*(((DATOS!$B$34*(C49/(D49*((AX49+AY49)/2)))/((D49*((AX49+AY49)/2))/(D49+2*((AX49+AY49)/2)))^(2/3))^2+((DATOS!$B$34*H48/((D48*F48)/(D48+2*F48))^(2/3))^2))/2))&gt;0,((AX49+AY49)/2),AY49)</f>
        <v/>
      </c>
      <c r="BB49" s="5">
        <f>IF((((AZ49+BA49)/2)+(C49/(D49*((AZ49+BA49)/2)))^2/(2*9.81)+B49-(G48+H48^2/(2*9.81))-(A48-A49)*(((DATOS!$B$34*(C49/(D49*((AZ49+BA49)/2)))/((D49*((AZ49+BA49)/2))/(D49+2*((AZ49+BA49)/2)))^(2/3))^2+((DATOS!$B$34*H48/((D48*F48)/(D48+2*F48))^(2/3))^2))/2))&gt;0,AZ49,((AZ49+BA49)/2))</f>
        <v/>
      </c>
      <c r="BC49" s="5">
        <f>IF((((AZ49+BA49)/2)+(C49/(D49*((AZ49+BA49)/2)))^2/(2*9.81)+B49-(G48+H48^2/(2*9.81))-(A48-A49)*(((DATOS!$B$34*(C49/(D49*((AZ49+BA49)/2)))/((D49*((AZ49+BA49)/2))/(D49+2*((AZ49+BA49)/2)))^(2/3))^2+((DATOS!$B$34*H48/((D48*F48)/(D48+2*F48))^(2/3))^2))/2))&gt;0,((AZ49+BA49)/2),BA49)</f>
        <v/>
      </c>
      <c r="BD49" s="5">
        <f>IF((((BB49+BC49)/2)+(C49/(D49*((BB49+BC49)/2)))^2/(2*9.81)+B49-(G48+H48^2/(2*9.81))-(A48-A49)*(((DATOS!$B$34*(C49/(D49*((BB49+BC49)/2)))/((D49*((BB49+BC49)/2))/(D49+2*((BB49+BC49)/2)))^(2/3))^2+((DATOS!$B$34*H48/((D48*F48)/(D48+2*F48))^(2/3))^2))/2))&gt;0,BB49,((BB49+BC49)/2))</f>
        <v/>
      </c>
      <c r="BE49" s="5">
        <f>IF((((BB49+BC49)/2)+(C49/(D49*((BB49+BC49)/2)))^2/(2*9.81)+B49-(G48+H48^2/(2*9.81))-(A48-A49)*(((DATOS!$B$34*(C49/(D49*((BB49+BC49)/2)))/((D49*((BB49+BC49)/2))/(D49+2*((BB49+BC49)/2)))^(2/3))^2+((DATOS!$B$34*H48/((D48*F48)/(D48+2*F48))^(2/3))^2))/2))&gt;0,((BB49+BC49)/2),BC49)</f>
        <v/>
      </c>
      <c r="BF49" s="5">
        <f>IF((((BD49+BE49)/2)+(C49/(D49*((BD49+BE49)/2)))^2/(2*9.81)+B49-(G48+H48^2/(2*9.81))-(A48-A49)*(((DATOS!$B$34*(C49/(D49*((BD49+BE49)/2)))/((D49*((BD49+BE49)/2))/(D49+2*((BD49+BE49)/2)))^(2/3))^2+((DATOS!$B$34*H48/((D48*F48)/(D48+2*F48))^(2/3))^2))/2))&gt;0,BD49,((BD49+BE49)/2))</f>
        <v/>
      </c>
      <c r="BG49" s="5">
        <f>IF((((BD49+BE49)/2)+(C49/(D49*((BD49+BE49)/2)))^2/(2*9.81)+B49-(G48+H48^2/(2*9.81))-(A48-A49)*(((DATOS!$B$34*(C49/(D49*((BD49+BE49)/2)))/((D49*((BD49+BE49)/2))/(D49+2*((BD49+BE49)/2)))^(2/3))^2+((DATOS!$B$34*H48/((D48*F48)/(D48+2*F48))^(2/3))^2))/2))&gt;0,((BD49+BE49)/2),BE49)</f>
        <v/>
      </c>
      <c r="BH49" s="5">
        <f>IF((((BF49+BG49)/2)+(C49/(D49*((BF49+BG49)/2)))^2/(2*9.81)+B49-(G48+H48^2/(2*9.81))-(A48-A49)*(((DATOS!$B$34*(C49/(D49*((BF49+BG49)/2)))/((D49*((BF49+BG49)/2))/(D49+2*((BF49+BG49)/2)))^(2/3))^2+((DATOS!$B$34*H48/((D48*F48)/(D48+2*F48))^(2/3))^2))/2))&gt;0,BF49,((BF49+BG49)/2))</f>
        <v/>
      </c>
      <c r="BI49" s="5">
        <f>IF((((BF49+BG49)/2)+(C49/(D49*((BF49+BG49)/2)))^2/(2*9.81)+B49-(G48+H48^2/(2*9.81))-(A48-A49)*(((DATOS!$B$34*(C49/(D49*((BF49+BG49)/2)))/((D49*((BF49+BG49)/2))/(D49+2*((BF49+BG49)/2)))^(2/3))^2+((DATOS!$B$34*H48/((D48*F48)/(D48+2*F48))^(2/3))^2))/2))&gt;0,((BF49+BG49)/2),BG49)</f>
        <v/>
      </c>
      <c r="BJ49" s="5">
        <f>IF((((BH49+BI49)/2)+(C49/(D49*((BH49+BI49)/2)))^2/(2*9.81)+B49-(G48+H48^2/(2*9.81))-(A48-A49)*(((DATOS!$B$34*(C49/(D49*((BH49+BI49)/2)))/((D49*((BH49+BI49)/2))/(D49+2*((BH49+BI49)/2)))^(2/3))^2+((DATOS!$B$34*H48/((D48*F48)/(D48+2*F48))^(2/3))^2))/2))&gt;0,BH49,((BH49+BI49)/2))</f>
        <v/>
      </c>
      <c r="BK49" s="5">
        <f>IF((((BH49+BI49)/2)+(C49/(D49*((BH49+BI49)/2)))^2/(2*9.81)+B49-(G48+H48^2/(2*9.81))-(A48-A49)*(((DATOS!$B$34*(C49/(D49*((BH49+BI49)/2)))/((D49*((BH49+BI49)/2))/(D49+2*((BH49+BI49)/2)))^(2/3))^2+((DATOS!$B$34*H48/((D48*F48)/(D48+2*F48))^(2/3))^2))/2))&gt;0,((BH49+BI49)/2),BI49)</f>
        <v/>
      </c>
      <c r="BL49" s="5">
        <f>IF((((BJ49+BK49)/2)+(C49/(D49*((BJ49+BK49)/2)))^2/(2*9.81)+B49-(G48+H48^2/(2*9.81))-(A48-A49)*(((DATOS!$B$34*(C49/(D49*((BJ49+BK49)/2)))/((D49*((BJ49+BK49)/2))/(D49+2*((BJ49+BK49)/2)))^(2/3))^2+((DATOS!$B$34*H48/((D48*F48)/(D48+2*F48))^(2/3))^2))/2))&gt;0,BJ49,((BJ49+BK49)/2))</f>
        <v/>
      </c>
      <c r="BM49" s="5">
        <f>IF((((BJ49+BK49)/2)+(C49/(D49*((BJ49+BK49)/2)))^2/(2*9.81)+B49-(G48+H48^2/(2*9.81))-(A48-A49)*(((DATOS!$B$34*(C49/(D49*((BJ49+BK49)/2)))/((D49*((BJ49+BK49)/2))/(D49+2*((BJ49+BK49)/2)))^(2/3))^2+((DATOS!$B$34*H48/((D48*F48)/(D48+2*F48))^(2/3))^2))/2))&gt;0,((BJ49+BK49)/2),BK49)</f>
        <v/>
      </c>
      <c r="BN49" s="5">
        <f>IF((((BL49+BM49)/2)+(C49/(D49*((BL49+BM49)/2)))^2/(2*9.81)+B49-(G48+H48^2/(2*9.81))-(A48-A49)*(((DATOS!$B$34*(C49/(D49*((BL49+BM49)/2)))/((D49*((BL49+BM49)/2))/(D49+2*((BL49+BM49)/2)))^(2/3))^2+((DATOS!$B$34*H48/((D48*F48)/(D48+2*F48))^(2/3))^2))/2))&gt;0,BL49,((BL49+BM49)/2))</f>
        <v/>
      </c>
      <c r="BO49" s="5">
        <f>IF((((BL49+BM49)/2)+(C49/(D49*((BL49+BM49)/2)))^2/(2*9.81)+B49-(G48+H48^2/(2*9.81))-(A48-A49)*(((DATOS!$B$34*(C49/(D49*((BL49+BM49)/2)))/((D49*((BL49+BM49)/2))/(D49+2*((BL49+BM49)/2)))^(2/3))^2+((DATOS!$B$34*H48/((D48*F48)/(D48+2*F48))^(2/3))^2))/2))&gt;0,((BL49+BM49)/2),BM49)</f>
        <v/>
      </c>
      <c r="BP49" s="5">
        <f>IF((((BN49+BO49)/2)+(C49/(D49*((BN49+BO49)/2)))^2/(2*9.81)+B49-(G48+H48^2/(2*9.81))-(A48-A49)*(((DATOS!$B$34*(C49/(D49*((BN49+BO49)/2)))/((D49*((BN49+BO49)/2))/(D49+2*((BN49+BO49)/2)))^(2/3))^2+((DATOS!$B$34*H48/((D48*F48)/(D48+2*F48))^(2/3))^2))/2))&gt;0,BN49,((BN49+BO49)/2))</f>
        <v/>
      </c>
      <c r="BQ49" s="5">
        <f>IF((((BN49+BO49)/2)+(C49/(D49*((BN49+BO49)/2)))^2/(2*9.81)+B49-(G48+H48^2/(2*9.81))-(A48-A49)*(((DATOS!$B$34*(C49/(D49*((BN49+BO49)/2)))/((D49*((BN49+BO49)/2))/(D49+2*((BN49+BO49)/2)))^(2/3))^2+((DATOS!$B$34*H48/((D48*F48)/(D48+2*F48))^(2/3))^2))/2))&gt;0,((BN49+BO49)/2),BO49)</f>
        <v/>
      </c>
      <c r="BR49" s="5">
        <f>IF((((BP49+BQ49)/2)+(C49/(D49*((BP49+BQ49)/2)))^2/(2*9.81)+B49-(G48+H48^2/(2*9.81))-(A48-A49)*(((DATOS!$B$34*(C49/(D49*((BP49+BQ49)/2)))/((D49*((BP49+BQ49)/2))/(D49+2*((BP49+BQ49)/2)))^(2/3))^2+((DATOS!$B$34*H48/((D48*F48)/(D48+2*F48))^(2/3))^2))/2))&gt;0,BP49,((BP49+BQ49)/2))</f>
        <v/>
      </c>
      <c r="BS49" s="5">
        <f>IF((((BP49+BQ49)/2)+(C49/(D49*((BP49+BQ49)/2)))^2/(2*9.81)+B49-(G48+H48^2/(2*9.81))-(A48-A49)*(((DATOS!$B$34*(C49/(D49*((BP49+BQ49)/2)))/((D49*((BP49+BQ49)/2))/(D49+2*((BP49+BQ49)/2)))^(2/3))^2+((DATOS!$B$34*H48/((D48*F48)/(D48+2*F48))^(2/3))^2))/2))&gt;0,((BP49+BQ49)/2),BQ49)</f>
        <v/>
      </c>
      <c r="BT49" s="5">
        <f>IF((((BR49+BS49)/2)+(C49/(D49*((BR49+BS49)/2)))^2/(2*9.81)+B49-(G48+H48^2/(2*9.81))-(A48-A49)*(((DATOS!$B$34*(C49/(D49*((BR49+BS49)/2)))/((D49*((BR49+BS49)/2))/(D49+2*((BR49+BS49)/2)))^(2/3))^2+((DATOS!$B$34*H48/((D48*F48)/(D48+2*F48))^(2/3))^2))/2))&gt;0,BR49,((BR49+BS49)/2))</f>
        <v/>
      </c>
      <c r="BU49" s="5">
        <f>IF((((BR49+BS49)/2)+(C49/(D49*((BR49+BS49)/2)))^2/(2*9.81)+B49-(G48+H48^2/(2*9.81))-(A48-A49)*(((DATOS!$B$34*(C49/(D49*((BR49+BS49)/2)))/((D49*((BR49+BS49)/2))/(D49+2*((BR49+BS49)/2)))^(2/3))^2+((DATOS!$B$34*H48/((D48*F48)/(D48+2*F48))^(2/3))^2))/2))&gt;0,((BR49+BS49)/2),BS49)</f>
        <v/>
      </c>
      <c r="BV49" s="5">
        <f>IF((((BT49+BU49)/2)+(C49/(D49*((BT49+BU49)/2)))^2/(2*9.81)+B49-(G48+H48^2/(2*9.81))-(A48-A49)*(((DATOS!$B$34*(C49/(D49*((BT49+BU49)/2)))/((D49*((BT49+BU49)/2))/(D49+2*((BT49+BU49)/2)))^(2/3))^2+((DATOS!$B$34*H48/((D48*F48)/(D48+2*F48))^(2/3))^2))/2))&gt;0,BT49,((BT49+BU49)/2))</f>
        <v/>
      </c>
      <c r="BW49" s="5">
        <f>IF((((BT49+BU49)/2)+(C49/(D49*((BT49+BU49)/2)))^2/(2*9.81)+B49-(G48+H48^2/(2*9.81))-(A48-A49)*(((DATOS!$B$34*(C49/(D49*((BT49+BU49)/2)))/((D49*((BT49+BU49)/2))/(D49+2*((BT49+BU49)/2)))^(2/3))^2+((DATOS!$B$34*H48/((D48*F48)/(D48+2*F48))^(2/3))^2))/2))&gt;0,((BT49+BU49)/2),BU49)</f>
        <v/>
      </c>
    </row>
    <row r="50">
      <c r="A50" s="13" t="n">
        <v>35</v>
      </c>
      <c r="B50" s="16">
        <f>DATOS!$B$22-DATOS!$B$23*A50</f>
        <v/>
      </c>
      <c r="C50" s="24">
        <f>CAUDALES!$B$13</f>
        <v/>
      </c>
      <c r="D50" s="17">
        <f>DATOS!$B$17</f>
        <v/>
      </c>
      <c r="E50" s="16">
        <f>(C50^2/(9.81*D50^2))^(1/3)</f>
        <v/>
      </c>
      <c r="F50" s="16">
        <f>(BV50+BW50)/2</f>
        <v/>
      </c>
      <c r="G50" s="16">
        <f>B50+F50</f>
        <v/>
      </c>
      <c r="H50" s="19">
        <f>C50/(D50*F50)</f>
        <v/>
      </c>
      <c r="I50" s="19">
        <f>H50/SQRT(9.81*F50)</f>
        <v/>
      </c>
      <c r="J50" s="16">
        <f>DATOS!$B$29-IF(AND(A50&gt;=DATOS!$B$30,A50&lt;DATOS!$B$31),DATOS!$B$21,DATOS!$B$20)</f>
        <v/>
      </c>
      <c r="K50" s="19">
        <f>J50-B50</f>
        <v/>
      </c>
      <c r="L50" s="19">
        <f>F50/K50</f>
        <v/>
      </c>
      <c r="M50" s="16">
        <f>J50-G50</f>
        <v/>
      </c>
      <c r="N50" s="5">
        <f>IF(AND(L50&lt;=DATOS!$B$36,M50&gt;=DATOS!$B$37,I50&lt;=1),"CUMPLE","NO CUMPLE")</f>
        <v/>
      </c>
      <c r="O50" s="5">
        <f>IF(AND(A50&gt;=DATOS!$B$30,A50&lt;DATOS!$B$31),"cruce de camiones",IF(AND(A50&gt;=DATOS!$B$32,A50&lt;DATOS!$B$33),"cruce de motos","tramo normal"))</f>
        <v/>
      </c>
      <c r="P50" s="5">
        <f>E50*1.001</f>
        <v/>
      </c>
      <c r="Q50" s="13" t="n">
        <v>3</v>
      </c>
      <c r="R50" s="5">
        <f>IF((((P50+Q50)/2)+(C50/(D50*((P50+Q50)/2)))^2/(2*9.81)+B50-(G49+H49^2/(2*9.81))-(A49-A50)*(((DATOS!$B$34*(C50/(D50*((P50+Q50)/2)))/((D50*((P50+Q50)/2))/(D50+2*((P50+Q50)/2)))^(2/3))^2+((DATOS!$B$34*H49/((D49*F49)/(D49+2*F49))^(2/3))^2))/2))&gt;0,P50,((P50+Q50)/2))</f>
        <v/>
      </c>
      <c r="S50" s="5">
        <f>IF((((P50+Q50)/2)+(C50/(D50*((P50+Q50)/2)))^2/(2*9.81)+B50-(G49+H49^2/(2*9.81))-(A49-A50)*(((DATOS!$B$34*(C50/(D50*((P50+Q50)/2)))/((D50*((P50+Q50)/2))/(D50+2*((P50+Q50)/2)))^(2/3))^2+((DATOS!$B$34*H49/((D49*F49)/(D49+2*F49))^(2/3))^2))/2))&gt;0,((P50+Q50)/2),Q50)</f>
        <v/>
      </c>
      <c r="T50" s="5">
        <f>IF((((R50+S50)/2)+(C50/(D50*((R50+S50)/2)))^2/(2*9.81)+B50-(G49+H49^2/(2*9.81))-(A49-A50)*(((DATOS!$B$34*(C50/(D50*((R50+S50)/2)))/((D50*((R50+S50)/2))/(D50+2*((R50+S50)/2)))^(2/3))^2+((DATOS!$B$34*H49/((D49*F49)/(D49+2*F49))^(2/3))^2))/2))&gt;0,R50,((R50+S50)/2))</f>
        <v/>
      </c>
      <c r="U50" s="5">
        <f>IF((((R50+S50)/2)+(C50/(D50*((R50+S50)/2)))^2/(2*9.81)+B50-(G49+H49^2/(2*9.81))-(A49-A50)*(((DATOS!$B$34*(C50/(D50*((R50+S50)/2)))/((D50*((R50+S50)/2))/(D50+2*((R50+S50)/2)))^(2/3))^2+((DATOS!$B$34*H49/((D49*F49)/(D49+2*F49))^(2/3))^2))/2))&gt;0,((R50+S50)/2),S50)</f>
        <v/>
      </c>
      <c r="V50" s="5">
        <f>IF((((T50+U50)/2)+(C50/(D50*((T50+U50)/2)))^2/(2*9.81)+B50-(G49+H49^2/(2*9.81))-(A49-A50)*(((DATOS!$B$34*(C50/(D50*((T50+U50)/2)))/((D50*((T50+U50)/2))/(D50+2*((T50+U50)/2)))^(2/3))^2+((DATOS!$B$34*H49/((D49*F49)/(D49+2*F49))^(2/3))^2))/2))&gt;0,T50,((T50+U50)/2))</f>
        <v/>
      </c>
      <c r="W50" s="5">
        <f>IF((((T50+U50)/2)+(C50/(D50*((T50+U50)/2)))^2/(2*9.81)+B50-(G49+H49^2/(2*9.81))-(A49-A50)*(((DATOS!$B$34*(C50/(D50*((T50+U50)/2)))/((D50*((T50+U50)/2))/(D50+2*((T50+U50)/2)))^(2/3))^2+((DATOS!$B$34*H49/((D49*F49)/(D49+2*F49))^(2/3))^2))/2))&gt;0,((T50+U50)/2),U50)</f>
        <v/>
      </c>
      <c r="X50" s="5">
        <f>IF((((V50+W50)/2)+(C50/(D50*((V50+W50)/2)))^2/(2*9.81)+B50-(G49+H49^2/(2*9.81))-(A49-A50)*(((DATOS!$B$34*(C50/(D50*((V50+W50)/2)))/((D50*((V50+W50)/2))/(D50+2*((V50+W50)/2)))^(2/3))^2+((DATOS!$B$34*H49/((D49*F49)/(D49+2*F49))^(2/3))^2))/2))&gt;0,V50,((V50+W50)/2))</f>
        <v/>
      </c>
      <c r="Y50" s="5">
        <f>IF((((V50+W50)/2)+(C50/(D50*((V50+W50)/2)))^2/(2*9.81)+B50-(G49+H49^2/(2*9.81))-(A49-A50)*(((DATOS!$B$34*(C50/(D50*((V50+W50)/2)))/((D50*((V50+W50)/2))/(D50+2*((V50+W50)/2)))^(2/3))^2+((DATOS!$B$34*H49/((D49*F49)/(D49+2*F49))^(2/3))^2))/2))&gt;0,((V50+W50)/2),W50)</f>
        <v/>
      </c>
      <c r="Z50" s="5">
        <f>IF((((X50+Y50)/2)+(C50/(D50*((X50+Y50)/2)))^2/(2*9.81)+B50-(G49+H49^2/(2*9.81))-(A49-A50)*(((DATOS!$B$34*(C50/(D50*((X50+Y50)/2)))/((D50*((X50+Y50)/2))/(D50+2*((X50+Y50)/2)))^(2/3))^2+((DATOS!$B$34*H49/((D49*F49)/(D49+2*F49))^(2/3))^2))/2))&gt;0,X50,((X50+Y50)/2))</f>
        <v/>
      </c>
      <c r="AA50" s="5">
        <f>IF((((X50+Y50)/2)+(C50/(D50*((X50+Y50)/2)))^2/(2*9.81)+B50-(G49+H49^2/(2*9.81))-(A49-A50)*(((DATOS!$B$34*(C50/(D50*((X50+Y50)/2)))/((D50*((X50+Y50)/2))/(D50+2*((X50+Y50)/2)))^(2/3))^2+((DATOS!$B$34*H49/((D49*F49)/(D49+2*F49))^(2/3))^2))/2))&gt;0,((X50+Y50)/2),Y50)</f>
        <v/>
      </c>
      <c r="AB50" s="5">
        <f>IF((((Z50+AA50)/2)+(C50/(D50*((Z50+AA50)/2)))^2/(2*9.81)+B50-(G49+H49^2/(2*9.81))-(A49-A50)*(((DATOS!$B$34*(C50/(D50*((Z50+AA50)/2)))/((D50*((Z50+AA50)/2))/(D50+2*((Z50+AA50)/2)))^(2/3))^2+((DATOS!$B$34*H49/((D49*F49)/(D49+2*F49))^(2/3))^2))/2))&gt;0,Z50,((Z50+AA50)/2))</f>
        <v/>
      </c>
      <c r="AC50" s="5">
        <f>IF((((Z50+AA50)/2)+(C50/(D50*((Z50+AA50)/2)))^2/(2*9.81)+B50-(G49+H49^2/(2*9.81))-(A49-A50)*(((DATOS!$B$34*(C50/(D50*((Z50+AA50)/2)))/((D50*((Z50+AA50)/2))/(D50+2*((Z50+AA50)/2)))^(2/3))^2+((DATOS!$B$34*H49/((D49*F49)/(D49+2*F49))^(2/3))^2))/2))&gt;0,((Z50+AA50)/2),AA50)</f>
        <v/>
      </c>
      <c r="AD50" s="5">
        <f>IF((((AB50+AC50)/2)+(C50/(D50*((AB50+AC50)/2)))^2/(2*9.81)+B50-(G49+H49^2/(2*9.81))-(A49-A50)*(((DATOS!$B$34*(C50/(D50*((AB50+AC50)/2)))/((D50*((AB50+AC50)/2))/(D50+2*((AB50+AC50)/2)))^(2/3))^2+((DATOS!$B$34*H49/((D49*F49)/(D49+2*F49))^(2/3))^2))/2))&gt;0,AB50,((AB50+AC50)/2))</f>
        <v/>
      </c>
      <c r="AE50" s="5">
        <f>IF((((AB50+AC50)/2)+(C50/(D50*((AB50+AC50)/2)))^2/(2*9.81)+B50-(G49+H49^2/(2*9.81))-(A49-A50)*(((DATOS!$B$34*(C50/(D50*((AB50+AC50)/2)))/((D50*((AB50+AC50)/2))/(D50+2*((AB50+AC50)/2)))^(2/3))^2+((DATOS!$B$34*H49/((D49*F49)/(D49+2*F49))^(2/3))^2))/2))&gt;0,((AB50+AC50)/2),AC50)</f>
        <v/>
      </c>
      <c r="AF50" s="5">
        <f>IF((((AD50+AE50)/2)+(C50/(D50*((AD50+AE50)/2)))^2/(2*9.81)+B50-(G49+H49^2/(2*9.81))-(A49-A50)*(((DATOS!$B$34*(C50/(D50*((AD50+AE50)/2)))/((D50*((AD50+AE50)/2))/(D50+2*((AD50+AE50)/2)))^(2/3))^2+((DATOS!$B$34*H49/((D49*F49)/(D49+2*F49))^(2/3))^2))/2))&gt;0,AD50,((AD50+AE50)/2))</f>
        <v/>
      </c>
      <c r="AG50" s="5">
        <f>IF((((AD50+AE50)/2)+(C50/(D50*((AD50+AE50)/2)))^2/(2*9.81)+B50-(G49+H49^2/(2*9.81))-(A49-A50)*(((DATOS!$B$34*(C50/(D50*((AD50+AE50)/2)))/((D50*((AD50+AE50)/2))/(D50+2*((AD50+AE50)/2)))^(2/3))^2+((DATOS!$B$34*H49/((D49*F49)/(D49+2*F49))^(2/3))^2))/2))&gt;0,((AD50+AE50)/2),AE50)</f>
        <v/>
      </c>
      <c r="AH50" s="5">
        <f>IF((((AF50+AG50)/2)+(C50/(D50*((AF50+AG50)/2)))^2/(2*9.81)+B50-(G49+H49^2/(2*9.81))-(A49-A50)*(((DATOS!$B$34*(C50/(D50*((AF50+AG50)/2)))/((D50*((AF50+AG50)/2))/(D50+2*((AF50+AG50)/2)))^(2/3))^2+((DATOS!$B$34*H49/((D49*F49)/(D49+2*F49))^(2/3))^2))/2))&gt;0,AF50,((AF50+AG50)/2))</f>
        <v/>
      </c>
      <c r="AI50" s="5">
        <f>IF((((AF50+AG50)/2)+(C50/(D50*((AF50+AG50)/2)))^2/(2*9.81)+B50-(G49+H49^2/(2*9.81))-(A49-A50)*(((DATOS!$B$34*(C50/(D50*((AF50+AG50)/2)))/((D50*((AF50+AG50)/2))/(D50+2*((AF50+AG50)/2)))^(2/3))^2+((DATOS!$B$34*H49/((D49*F49)/(D49+2*F49))^(2/3))^2))/2))&gt;0,((AF50+AG50)/2),AG50)</f>
        <v/>
      </c>
      <c r="AJ50" s="5">
        <f>IF((((AH50+AI50)/2)+(C50/(D50*((AH50+AI50)/2)))^2/(2*9.81)+B50-(G49+H49^2/(2*9.81))-(A49-A50)*(((DATOS!$B$34*(C50/(D50*((AH50+AI50)/2)))/((D50*((AH50+AI50)/2))/(D50+2*((AH50+AI50)/2)))^(2/3))^2+((DATOS!$B$34*H49/((D49*F49)/(D49+2*F49))^(2/3))^2))/2))&gt;0,AH50,((AH50+AI50)/2))</f>
        <v/>
      </c>
      <c r="AK50" s="5">
        <f>IF((((AH50+AI50)/2)+(C50/(D50*((AH50+AI50)/2)))^2/(2*9.81)+B50-(G49+H49^2/(2*9.81))-(A49-A50)*(((DATOS!$B$34*(C50/(D50*((AH50+AI50)/2)))/((D50*((AH50+AI50)/2))/(D50+2*((AH50+AI50)/2)))^(2/3))^2+((DATOS!$B$34*H49/((D49*F49)/(D49+2*F49))^(2/3))^2))/2))&gt;0,((AH50+AI50)/2),AI50)</f>
        <v/>
      </c>
      <c r="AL50" s="5">
        <f>IF((((AJ50+AK50)/2)+(C50/(D50*((AJ50+AK50)/2)))^2/(2*9.81)+B50-(G49+H49^2/(2*9.81))-(A49-A50)*(((DATOS!$B$34*(C50/(D50*((AJ50+AK50)/2)))/((D50*((AJ50+AK50)/2))/(D50+2*((AJ50+AK50)/2)))^(2/3))^2+((DATOS!$B$34*H49/((D49*F49)/(D49+2*F49))^(2/3))^2))/2))&gt;0,AJ50,((AJ50+AK50)/2))</f>
        <v/>
      </c>
      <c r="AM50" s="5">
        <f>IF((((AJ50+AK50)/2)+(C50/(D50*((AJ50+AK50)/2)))^2/(2*9.81)+B50-(G49+H49^2/(2*9.81))-(A49-A50)*(((DATOS!$B$34*(C50/(D50*((AJ50+AK50)/2)))/((D50*((AJ50+AK50)/2))/(D50+2*((AJ50+AK50)/2)))^(2/3))^2+((DATOS!$B$34*H49/((D49*F49)/(D49+2*F49))^(2/3))^2))/2))&gt;0,((AJ50+AK50)/2),AK50)</f>
        <v/>
      </c>
      <c r="AN50" s="5">
        <f>IF((((AL50+AM50)/2)+(C50/(D50*((AL50+AM50)/2)))^2/(2*9.81)+B50-(G49+H49^2/(2*9.81))-(A49-A50)*(((DATOS!$B$34*(C50/(D50*((AL50+AM50)/2)))/((D50*((AL50+AM50)/2))/(D50+2*((AL50+AM50)/2)))^(2/3))^2+((DATOS!$B$34*H49/((D49*F49)/(D49+2*F49))^(2/3))^2))/2))&gt;0,AL50,((AL50+AM50)/2))</f>
        <v/>
      </c>
      <c r="AO50" s="5">
        <f>IF((((AL50+AM50)/2)+(C50/(D50*((AL50+AM50)/2)))^2/(2*9.81)+B50-(G49+H49^2/(2*9.81))-(A49-A50)*(((DATOS!$B$34*(C50/(D50*((AL50+AM50)/2)))/((D50*((AL50+AM50)/2))/(D50+2*((AL50+AM50)/2)))^(2/3))^2+((DATOS!$B$34*H49/((D49*F49)/(D49+2*F49))^(2/3))^2))/2))&gt;0,((AL50+AM50)/2),AM50)</f>
        <v/>
      </c>
      <c r="AP50" s="5">
        <f>IF((((AN50+AO50)/2)+(C50/(D50*((AN50+AO50)/2)))^2/(2*9.81)+B50-(G49+H49^2/(2*9.81))-(A49-A50)*(((DATOS!$B$34*(C50/(D50*((AN50+AO50)/2)))/((D50*((AN50+AO50)/2))/(D50+2*((AN50+AO50)/2)))^(2/3))^2+((DATOS!$B$34*H49/((D49*F49)/(D49+2*F49))^(2/3))^2))/2))&gt;0,AN50,((AN50+AO50)/2))</f>
        <v/>
      </c>
      <c r="AQ50" s="5">
        <f>IF((((AN50+AO50)/2)+(C50/(D50*((AN50+AO50)/2)))^2/(2*9.81)+B50-(G49+H49^2/(2*9.81))-(A49-A50)*(((DATOS!$B$34*(C50/(D50*((AN50+AO50)/2)))/((D50*((AN50+AO50)/2))/(D50+2*((AN50+AO50)/2)))^(2/3))^2+((DATOS!$B$34*H49/((D49*F49)/(D49+2*F49))^(2/3))^2))/2))&gt;0,((AN50+AO50)/2),AO50)</f>
        <v/>
      </c>
      <c r="AR50" s="5">
        <f>IF((((AP50+AQ50)/2)+(C50/(D50*((AP50+AQ50)/2)))^2/(2*9.81)+B50-(G49+H49^2/(2*9.81))-(A49-A50)*(((DATOS!$B$34*(C50/(D50*((AP50+AQ50)/2)))/((D50*((AP50+AQ50)/2))/(D50+2*((AP50+AQ50)/2)))^(2/3))^2+((DATOS!$B$34*H49/((D49*F49)/(D49+2*F49))^(2/3))^2))/2))&gt;0,AP50,((AP50+AQ50)/2))</f>
        <v/>
      </c>
      <c r="AS50" s="5">
        <f>IF((((AP50+AQ50)/2)+(C50/(D50*((AP50+AQ50)/2)))^2/(2*9.81)+B50-(G49+H49^2/(2*9.81))-(A49-A50)*(((DATOS!$B$34*(C50/(D50*((AP50+AQ50)/2)))/((D50*((AP50+AQ50)/2))/(D50+2*((AP50+AQ50)/2)))^(2/3))^2+((DATOS!$B$34*H49/((D49*F49)/(D49+2*F49))^(2/3))^2))/2))&gt;0,((AP50+AQ50)/2),AQ50)</f>
        <v/>
      </c>
      <c r="AT50" s="5">
        <f>IF((((AR50+AS50)/2)+(C50/(D50*((AR50+AS50)/2)))^2/(2*9.81)+B50-(G49+H49^2/(2*9.81))-(A49-A50)*(((DATOS!$B$34*(C50/(D50*((AR50+AS50)/2)))/((D50*((AR50+AS50)/2))/(D50+2*((AR50+AS50)/2)))^(2/3))^2+((DATOS!$B$34*H49/((D49*F49)/(D49+2*F49))^(2/3))^2))/2))&gt;0,AR50,((AR50+AS50)/2))</f>
        <v/>
      </c>
      <c r="AU50" s="5">
        <f>IF((((AR50+AS50)/2)+(C50/(D50*((AR50+AS50)/2)))^2/(2*9.81)+B50-(G49+H49^2/(2*9.81))-(A49-A50)*(((DATOS!$B$34*(C50/(D50*((AR50+AS50)/2)))/((D50*((AR50+AS50)/2))/(D50+2*((AR50+AS50)/2)))^(2/3))^2+((DATOS!$B$34*H49/((D49*F49)/(D49+2*F49))^(2/3))^2))/2))&gt;0,((AR50+AS50)/2),AS50)</f>
        <v/>
      </c>
      <c r="AV50" s="5">
        <f>IF((((AT50+AU50)/2)+(C50/(D50*((AT50+AU50)/2)))^2/(2*9.81)+B50-(G49+H49^2/(2*9.81))-(A49-A50)*(((DATOS!$B$34*(C50/(D50*((AT50+AU50)/2)))/((D50*((AT50+AU50)/2))/(D50+2*((AT50+AU50)/2)))^(2/3))^2+((DATOS!$B$34*H49/((D49*F49)/(D49+2*F49))^(2/3))^2))/2))&gt;0,AT50,((AT50+AU50)/2))</f>
        <v/>
      </c>
      <c r="AW50" s="5">
        <f>IF((((AT50+AU50)/2)+(C50/(D50*((AT50+AU50)/2)))^2/(2*9.81)+B50-(G49+H49^2/(2*9.81))-(A49-A50)*(((DATOS!$B$34*(C50/(D50*((AT50+AU50)/2)))/((D50*((AT50+AU50)/2))/(D50+2*((AT50+AU50)/2)))^(2/3))^2+((DATOS!$B$34*H49/((D49*F49)/(D49+2*F49))^(2/3))^2))/2))&gt;0,((AT50+AU50)/2),AU50)</f>
        <v/>
      </c>
      <c r="AX50" s="5">
        <f>IF((((AV50+AW50)/2)+(C50/(D50*((AV50+AW50)/2)))^2/(2*9.81)+B50-(G49+H49^2/(2*9.81))-(A49-A50)*(((DATOS!$B$34*(C50/(D50*((AV50+AW50)/2)))/((D50*((AV50+AW50)/2))/(D50+2*((AV50+AW50)/2)))^(2/3))^2+((DATOS!$B$34*H49/((D49*F49)/(D49+2*F49))^(2/3))^2))/2))&gt;0,AV50,((AV50+AW50)/2))</f>
        <v/>
      </c>
      <c r="AY50" s="5">
        <f>IF((((AV50+AW50)/2)+(C50/(D50*((AV50+AW50)/2)))^2/(2*9.81)+B50-(G49+H49^2/(2*9.81))-(A49-A50)*(((DATOS!$B$34*(C50/(D50*((AV50+AW50)/2)))/((D50*((AV50+AW50)/2))/(D50+2*((AV50+AW50)/2)))^(2/3))^2+((DATOS!$B$34*H49/((D49*F49)/(D49+2*F49))^(2/3))^2))/2))&gt;0,((AV50+AW50)/2),AW50)</f>
        <v/>
      </c>
      <c r="AZ50" s="5">
        <f>IF((((AX50+AY50)/2)+(C50/(D50*((AX50+AY50)/2)))^2/(2*9.81)+B50-(G49+H49^2/(2*9.81))-(A49-A50)*(((DATOS!$B$34*(C50/(D50*((AX50+AY50)/2)))/((D50*((AX50+AY50)/2))/(D50+2*((AX50+AY50)/2)))^(2/3))^2+((DATOS!$B$34*H49/((D49*F49)/(D49+2*F49))^(2/3))^2))/2))&gt;0,AX50,((AX50+AY50)/2))</f>
        <v/>
      </c>
      <c r="BA50" s="5">
        <f>IF((((AX50+AY50)/2)+(C50/(D50*((AX50+AY50)/2)))^2/(2*9.81)+B50-(G49+H49^2/(2*9.81))-(A49-A50)*(((DATOS!$B$34*(C50/(D50*((AX50+AY50)/2)))/((D50*((AX50+AY50)/2))/(D50+2*((AX50+AY50)/2)))^(2/3))^2+((DATOS!$B$34*H49/((D49*F49)/(D49+2*F49))^(2/3))^2))/2))&gt;0,((AX50+AY50)/2),AY50)</f>
        <v/>
      </c>
      <c r="BB50" s="5">
        <f>IF((((AZ50+BA50)/2)+(C50/(D50*((AZ50+BA50)/2)))^2/(2*9.81)+B50-(G49+H49^2/(2*9.81))-(A49-A50)*(((DATOS!$B$34*(C50/(D50*((AZ50+BA50)/2)))/((D50*((AZ50+BA50)/2))/(D50+2*((AZ50+BA50)/2)))^(2/3))^2+((DATOS!$B$34*H49/((D49*F49)/(D49+2*F49))^(2/3))^2))/2))&gt;0,AZ50,((AZ50+BA50)/2))</f>
        <v/>
      </c>
      <c r="BC50" s="5">
        <f>IF((((AZ50+BA50)/2)+(C50/(D50*((AZ50+BA50)/2)))^2/(2*9.81)+B50-(G49+H49^2/(2*9.81))-(A49-A50)*(((DATOS!$B$34*(C50/(D50*((AZ50+BA50)/2)))/((D50*((AZ50+BA50)/2))/(D50+2*((AZ50+BA50)/2)))^(2/3))^2+((DATOS!$B$34*H49/((D49*F49)/(D49+2*F49))^(2/3))^2))/2))&gt;0,((AZ50+BA50)/2),BA50)</f>
        <v/>
      </c>
      <c r="BD50" s="5">
        <f>IF((((BB50+BC50)/2)+(C50/(D50*((BB50+BC50)/2)))^2/(2*9.81)+B50-(G49+H49^2/(2*9.81))-(A49-A50)*(((DATOS!$B$34*(C50/(D50*((BB50+BC50)/2)))/((D50*((BB50+BC50)/2))/(D50+2*((BB50+BC50)/2)))^(2/3))^2+((DATOS!$B$34*H49/((D49*F49)/(D49+2*F49))^(2/3))^2))/2))&gt;0,BB50,((BB50+BC50)/2))</f>
        <v/>
      </c>
      <c r="BE50" s="5">
        <f>IF((((BB50+BC50)/2)+(C50/(D50*((BB50+BC50)/2)))^2/(2*9.81)+B50-(G49+H49^2/(2*9.81))-(A49-A50)*(((DATOS!$B$34*(C50/(D50*((BB50+BC50)/2)))/((D50*((BB50+BC50)/2))/(D50+2*((BB50+BC50)/2)))^(2/3))^2+((DATOS!$B$34*H49/((D49*F49)/(D49+2*F49))^(2/3))^2))/2))&gt;0,((BB50+BC50)/2),BC50)</f>
        <v/>
      </c>
      <c r="BF50" s="5">
        <f>IF((((BD50+BE50)/2)+(C50/(D50*((BD50+BE50)/2)))^2/(2*9.81)+B50-(G49+H49^2/(2*9.81))-(A49-A50)*(((DATOS!$B$34*(C50/(D50*((BD50+BE50)/2)))/((D50*((BD50+BE50)/2))/(D50+2*((BD50+BE50)/2)))^(2/3))^2+((DATOS!$B$34*H49/((D49*F49)/(D49+2*F49))^(2/3))^2))/2))&gt;0,BD50,((BD50+BE50)/2))</f>
        <v/>
      </c>
      <c r="BG50" s="5">
        <f>IF((((BD50+BE50)/2)+(C50/(D50*((BD50+BE50)/2)))^2/(2*9.81)+B50-(G49+H49^2/(2*9.81))-(A49-A50)*(((DATOS!$B$34*(C50/(D50*((BD50+BE50)/2)))/((D50*((BD50+BE50)/2))/(D50+2*((BD50+BE50)/2)))^(2/3))^2+((DATOS!$B$34*H49/((D49*F49)/(D49+2*F49))^(2/3))^2))/2))&gt;0,((BD50+BE50)/2),BE50)</f>
        <v/>
      </c>
      <c r="BH50" s="5">
        <f>IF((((BF50+BG50)/2)+(C50/(D50*((BF50+BG50)/2)))^2/(2*9.81)+B50-(G49+H49^2/(2*9.81))-(A49-A50)*(((DATOS!$B$34*(C50/(D50*((BF50+BG50)/2)))/((D50*((BF50+BG50)/2))/(D50+2*((BF50+BG50)/2)))^(2/3))^2+((DATOS!$B$34*H49/((D49*F49)/(D49+2*F49))^(2/3))^2))/2))&gt;0,BF50,((BF50+BG50)/2))</f>
        <v/>
      </c>
      <c r="BI50" s="5">
        <f>IF((((BF50+BG50)/2)+(C50/(D50*((BF50+BG50)/2)))^2/(2*9.81)+B50-(G49+H49^2/(2*9.81))-(A49-A50)*(((DATOS!$B$34*(C50/(D50*((BF50+BG50)/2)))/((D50*((BF50+BG50)/2))/(D50+2*((BF50+BG50)/2)))^(2/3))^2+((DATOS!$B$34*H49/((D49*F49)/(D49+2*F49))^(2/3))^2))/2))&gt;0,((BF50+BG50)/2),BG50)</f>
        <v/>
      </c>
      <c r="BJ50" s="5">
        <f>IF((((BH50+BI50)/2)+(C50/(D50*((BH50+BI50)/2)))^2/(2*9.81)+B50-(G49+H49^2/(2*9.81))-(A49-A50)*(((DATOS!$B$34*(C50/(D50*((BH50+BI50)/2)))/((D50*((BH50+BI50)/2))/(D50+2*((BH50+BI50)/2)))^(2/3))^2+((DATOS!$B$34*H49/((D49*F49)/(D49+2*F49))^(2/3))^2))/2))&gt;0,BH50,((BH50+BI50)/2))</f>
        <v/>
      </c>
      <c r="BK50" s="5">
        <f>IF((((BH50+BI50)/2)+(C50/(D50*((BH50+BI50)/2)))^2/(2*9.81)+B50-(G49+H49^2/(2*9.81))-(A49-A50)*(((DATOS!$B$34*(C50/(D50*((BH50+BI50)/2)))/((D50*((BH50+BI50)/2))/(D50+2*((BH50+BI50)/2)))^(2/3))^2+((DATOS!$B$34*H49/((D49*F49)/(D49+2*F49))^(2/3))^2))/2))&gt;0,((BH50+BI50)/2),BI50)</f>
        <v/>
      </c>
      <c r="BL50" s="5">
        <f>IF((((BJ50+BK50)/2)+(C50/(D50*((BJ50+BK50)/2)))^2/(2*9.81)+B50-(G49+H49^2/(2*9.81))-(A49-A50)*(((DATOS!$B$34*(C50/(D50*((BJ50+BK50)/2)))/((D50*((BJ50+BK50)/2))/(D50+2*((BJ50+BK50)/2)))^(2/3))^2+((DATOS!$B$34*H49/((D49*F49)/(D49+2*F49))^(2/3))^2))/2))&gt;0,BJ50,((BJ50+BK50)/2))</f>
        <v/>
      </c>
      <c r="BM50" s="5">
        <f>IF((((BJ50+BK50)/2)+(C50/(D50*((BJ50+BK50)/2)))^2/(2*9.81)+B50-(G49+H49^2/(2*9.81))-(A49-A50)*(((DATOS!$B$34*(C50/(D50*((BJ50+BK50)/2)))/((D50*((BJ50+BK50)/2))/(D50+2*((BJ50+BK50)/2)))^(2/3))^2+((DATOS!$B$34*H49/((D49*F49)/(D49+2*F49))^(2/3))^2))/2))&gt;0,((BJ50+BK50)/2),BK50)</f>
        <v/>
      </c>
      <c r="BN50" s="5">
        <f>IF((((BL50+BM50)/2)+(C50/(D50*((BL50+BM50)/2)))^2/(2*9.81)+B50-(G49+H49^2/(2*9.81))-(A49-A50)*(((DATOS!$B$34*(C50/(D50*((BL50+BM50)/2)))/((D50*((BL50+BM50)/2))/(D50+2*((BL50+BM50)/2)))^(2/3))^2+((DATOS!$B$34*H49/((D49*F49)/(D49+2*F49))^(2/3))^2))/2))&gt;0,BL50,((BL50+BM50)/2))</f>
        <v/>
      </c>
      <c r="BO50" s="5">
        <f>IF((((BL50+BM50)/2)+(C50/(D50*((BL50+BM50)/2)))^2/(2*9.81)+B50-(G49+H49^2/(2*9.81))-(A49-A50)*(((DATOS!$B$34*(C50/(D50*((BL50+BM50)/2)))/((D50*((BL50+BM50)/2))/(D50+2*((BL50+BM50)/2)))^(2/3))^2+((DATOS!$B$34*H49/((D49*F49)/(D49+2*F49))^(2/3))^2))/2))&gt;0,((BL50+BM50)/2),BM50)</f>
        <v/>
      </c>
      <c r="BP50" s="5">
        <f>IF((((BN50+BO50)/2)+(C50/(D50*((BN50+BO50)/2)))^2/(2*9.81)+B50-(G49+H49^2/(2*9.81))-(A49-A50)*(((DATOS!$B$34*(C50/(D50*((BN50+BO50)/2)))/((D50*((BN50+BO50)/2))/(D50+2*((BN50+BO50)/2)))^(2/3))^2+((DATOS!$B$34*H49/((D49*F49)/(D49+2*F49))^(2/3))^2))/2))&gt;0,BN50,((BN50+BO50)/2))</f>
        <v/>
      </c>
      <c r="BQ50" s="5">
        <f>IF((((BN50+BO50)/2)+(C50/(D50*((BN50+BO50)/2)))^2/(2*9.81)+B50-(G49+H49^2/(2*9.81))-(A49-A50)*(((DATOS!$B$34*(C50/(D50*((BN50+BO50)/2)))/((D50*((BN50+BO50)/2))/(D50+2*((BN50+BO50)/2)))^(2/3))^2+((DATOS!$B$34*H49/((D49*F49)/(D49+2*F49))^(2/3))^2))/2))&gt;0,((BN50+BO50)/2),BO50)</f>
        <v/>
      </c>
      <c r="BR50" s="5">
        <f>IF((((BP50+BQ50)/2)+(C50/(D50*((BP50+BQ50)/2)))^2/(2*9.81)+B50-(G49+H49^2/(2*9.81))-(A49-A50)*(((DATOS!$B$34*(C50/(D50*((BP50+BQ50)/2)))/((D50*((BP50+BQ50)/2))/(D50+2*((BP50+BQ50)/2)))^(2/3))^2+((DATOS!$B$34*H49/((D49*F49)/(D49+2*F49))^(2/3))^2))/2))&gt;0,BP50,((BP50+BQ50)/2))</f>
        <v/>
      </c>
      <c r="BS50" s="5">
        <f>IF((((BP50+BQ50)/2)+(C50/(D50*((BP50+BQ50)/2)))^2/(2*9.81)+B50-(G49+H49^2/(2*9.81))-(A49-A50)*(((DATOS!$B$34*(C50/(D50*((BP50+BQ50)/2)))/((D50*((BP50+BQ50)/2))/(D50+2*((BP50+BQ50)/2)))^(2/3))^2+((DATOS!$B$34*H49/((D49*F49)/(D49+2*F49))^(2/3))^2))/2))&gt;0,((BP50+BQ50)/2),BQ50)</f>
        <v/>
      </c>
      <c r="BT50" s="5">
        <f>IF((((BR50+BS50)/2)+(C50/(D50*((BR50+BS50)/2)))^2/(2*9.81)+B50-(G49+H49^2/(2*9.81))-(A49-A50)*(((DATOS!$B$34*(C50/(D50*((BR50+BS50)/2)))/((D50*((BR50+BS50)/2))/(D50+2*((BR50+BS50)/2)))^(2/3))^2+((DATOS!$B$34*H49/((D49*F49)/(D49+2*F49))^(2/3))^2))/2))&gt;0,BR50,((BR50+BS50)/2))</f>
        <v/>
      </c>
      <c r="BU50" s="5">
        <f>IF((((BR50+BS50)/2)+(C50/(D50*((BR50+BS50)/2)))^2/(2*9.81)+B50-(G49+H49^2/(2*9.81))-(A49-A50)*(((DATOS!$B$34*(C50/(D50*((BR50+BS50)/2)))/((D50*((BR50+BS50)/2))/(D50+2*((BR50+BS50)/2)))^(2/3))^2+((DATOS!$B$34*H49/((D49*F49)/(D49+2*F49))^(2/3))^2))/2))&gt;0,((BR50+BS50)/2),BS50)</f>
        <v/>
      </c>
      <c r="BV50" s="5">
        <f>IF((((BT50+BU50)/2)+(C50/(D50*((BT50+BU50)/2)))^2/(2*9.81)+B50-(G49+H49^2/(2*9.81))-(A49-A50)*(((DATOS!$B$34*(C50/(D50*((BT50+BU50)/2)))/((D50*((BT50+BU50)/2))/(D50+2*((BT50+BU50)/2)))^(2/3))^2+((DATOS!$B$34*H49/((D49*F49)/(D49+2*F49))^(2/3))^2))/2))&gt;0,BT50,((BT50+BU50)/2))</f>
        <v/>
      </c>
      <c r="BW50" s="5">
        <f>IF((((BT50+BU50)/2)+(C50/(D50*((BT50+BU50)/2)))^2/(2*9.81)+B50-(G49+H49^2/(2*9.81))-(A49-A50)*(((DATOS!$B$34*(C50/(D50*((BT50+BU50)/2)))/((D50*((BT50+BU50)/2))/(D50+2*((BT50+BU50)/2)))^(2/3))^2+((DATOS!$B$34*H49/((D49*F49)/(D49+2*F49))^(2/3))^2))/2))&gt;0,((BT50+BU50)/2),BU50)</f>
        <v/>
      </c>
    </row>
    <row r="51">
      <c r="A51" s="13" t="n">
        <v>34</v>
      </c>
      <c r="B51" s="16">
        <f>DATOS!$B$22-DATOS!$B$23*A51</f>
        <v/>
      </c>
      <c r="C51" s="24">
        <f>CAUDALES!$B$13</f>
        <v/>
      </c>
      <c r="D51" s="17">
        <f>DATOS!$B$17</f>
        <v/>
      </c>
      <c r="E51" s="16">
        <f>(C51^2/(9.81*D51^2))^(1/3)</f>
        <v/>
      </c>
      <c r="F51" s="16">
        <f>(BV51+BW51)/2</f>
        <v/>
      </c>
      <c r="G51" s="16">
        <f>B51+F51</f>
        <v/>
      </c>
      <c r="H51" s="19">
        <f>C51/(D51*F51)</f>
        <v/>
      </c>
      <c r="I51" s="19">
        <f>H51/SQRT(9.81*F51)</f>
        <v/>
      </c>
      <c r="J51" s="16">
        <f>DATOS!$B$29-IF(AND(A51&gt;=DATOS!$B$30,A51&lt;DATOS!$B$31),DATOS!$B$21,DATOS!$B$20)</f>
        <v/>
      </c>
      <c r="K51" s="19">
        <f>J51-B51</f>
        <v/>
      </c>
      <c r="L51" s="19">
        <f>F51/K51</f>
        <v/>
      </c>
      <c r="M51" s="16">
        <f>J51-G51</f>
        <v/>
      </c>
      <c r="N51" s="5">
        <f>IF(AND(L51&lt;=DATOS!$B$36,M51&gt;=DATOS!$B$37,I51&lt;=1),"CUMPLE","NO CUMPLE")</f>
        <v/>
      </c>
      <c r="O51" s="5">
        <f>IF(AND(A51&gt;=DATOS!$B$30,A51&lt;DATOS!$B$31),"cruce de camiones",IF(AND(A51&gt;=DATOS!$B$32,A51&lt;DATOS!$B$33),"cruce de motos","tramo normal"))</f>
        <v/>
      </c>
      <c r="P51" s="5">
        <f>E51*1.001</f>
        <v/>
      </c>
      <c r="Q51" s="13" t="n">
        <v>3</v>
      </c>
      <c r="R51" s="5">
        <f>IF((((P51+Q51)/2)+(C51/(D51*((P51+Q51)/2)))^2/(2*9.81)+B51-(G50+H50^2/(2*9.81))-(A50-A51)*(((DATOS!$B$34*(C51/(D51*((P51+Q51)/2)))/((D51*((P51+Q51)/2))/(D51+2*((P51+Q51)/2)))^(2/3))^2+((DATOS!$B$34*H50/((D50*F50)/(D50+2*F50))^(2/3))^2))/2))&gt;0,P51,((P51+Q51)/2))</f>
        <v/>
      </c>
      <c r="S51" s="5">
        <f>IF((((P51+Q51)/2)+(C51/(D51*((P51+Q51)/2)))^2/(2*9.81)+B51-(G50+H50^2/(2*9.81))-(A50-A51)*(((DATOS!$B$34*(C51/(D51*((P51+Q51)/2)))/((D51*((P51+Q51)/2))/(D51+2*((P51+Q51)/2)))^(2/3))^2+((DATOS!$B$34*H50/((D50*F50)/(D50+2*F50))^(2/3))^2))/2))&gt;0,((P51+Q51)/2),Q51)</f>
        <v/>
      </c>
      <c r="T51" s="5">
        <f>IF((((R51+S51)/2)+(C51/(D51*((R51+S51)/2)))^2/(2*9.81)+B51-(G50+H50^2/(2*9.81))-(A50-A51)*(((DATOS!$B$34*(C51/(D51*((R51+S51)/2)))/((D51*((R51+S51)/2))/(D51+2*((R51+S51)/2)))^(2/3))^2+((DATOS!$B$34*H50/((D50*F50)/(D50+2*F50))^(2/3))^2))/2))&gt;0,R51,((R51+S51)/2))</f>
        <v/>
      </c>
      <c r="U51" s="5">
        <f>IF((((R51+S51)/2)+(C51/(D51*((R51+S51)/2)))^2/(2*9.81)+B51-(G50+H50^2/(2*9.81))-(A50-A51)*(((DATOS!$B$34*(C51/(D51*((R51+S51)/2)))/((D51*((R51+S51)/2))/(D51+2*((R51+S51)/2)))^(2/3))^2+((DATOS!$B$34*H50/((D50*F50)/(D50+2*F50))^(2/3))^2))/2))&gt;0,((R51+S51)/2),S51)</f>
        <v/>
      </c>
      <c r="V51" s="5">
        <f>IF((((T51+U51)/2)+(C51/(D51*((T51+U51)/2)))^2/(2*9.81)+B51-(G50+H50^2/(2*9.81))-(A50-A51)*(((DATOS!$B$34*(C51/(D51*((T51+U51)/2)))/((D51*((T51+U51)/2))/(D51+2*((T51+U51)/2)))^(2/3))^2+((DATOS!$B$34*H50/((D50*F50)/(D50+2*F50))^(2/3))^2))/2))&gt;0,T51,((T51+U51)/2))</f>
        <v/>
      </c>
      <c r="W51" s="5">
        <f>IF((((T51+U51)/2)+(C51/(D51*((T51+U51)/2)))^2/(2*9.81)+B51-(G50+H50^2/(2*9.81))-(A50-A51)*(((DATOS!$B$34*(C51/(D51*((T51+U51)/2)))/((D51*((T51+U51)/2))/(D51+2*((T51+U51)/2)))^(2/3))^2+((DATOS!$B$34*H50/((D50*F50)/(D50+2*F50))^(2/3))^2))/2))&gt;0,((T51+U51)/2),U51)</f>
        <v/>
      </c>
      <c r="X51" s="5">
        <f>IF((((V51+W51)/2)+(C51/(D51*((V51+W51)/2)))^2/(2*9.81)+B51-(G50+H50^2/(2*9.81))-(A50-A51)*(((DATOS!$B$34*(C51/(D51*((V51+W51)/2)))/((D51*((V51+W51)/2))/(D51+2*((V51+W51)/2)))^(2/3))^2+((DATOS!$B$34*H50/((D50*F50)/(D50+2*F50))^(2/3))^2))/2))&gt;0,V51,((V51+W51)/2))</f>
        <v/>
      </c>
      <c r="Y51" s="5">
        <f>IF((((V51+W51)/2)+(C51/(D51*((V51+W51)/2)))^2/(2*9.81)+B51-(G50+H50^2/(2*9.81))-(A50-A51)*(((DATOS!$B$34*(C51/(D51*((V51+W51)/2)))/((D51*((V51+W51)/2))/(D51+2*((V51+W51)/2)))^(2/3))^2+((DATOS!$B$34*H50/((D50*F50)/(D50+2*F50))^(2/3))^2))/2))&gt;0,((V51+W51)/2),W51)</f>
        <v/>
      </c>
      <c r="Z51" s="5">
        <f>IF((((X51+Y51)/2)+(C51/(D51*((X51+Y51)/2)))^2/(2*9.81)+B51-(G50+H50^2/(2*9.81))-(A50-A51)*(((DATOS!$B$34*(C51/(D51*((X51+Y51)/2)))/((D51*((X51+Y51)/2))/(D51+2*((X51+Y51)/2)))^(2/3))^2+((DATOS!$B$34*H50/((D50*F50)/(D50+2*F50))^(2/3))^2))/2))&gt;0,X51,((X51+Y51)/2))</f>
        <v/>
      </c>
      <c r="AA51" s="5">
        <f>IF((((X51+Y51)/2)+(C51/(D51*((X51+Y51)/2)))^2/(2*9.81)+B51-(G50+H50^2/(2*9.81))-(A50-A51)*(((DATOS!$B$34*(C51/(D51*((X51+Y51)/2)))/((D51*((X51+Y51)/2))/(D51+2*((X51+Y51)/2)))^(2/3))^2+((DATOS!$B$34*H50/((D50*F50)/(D50+2*F50))^(2/3))^2))/2))&gt;0,((X51+Y51)/2),Y51)</f>
        <v/>
      </c>
      <c r="AB51" s="5">
        <f>IF((((Z51+AA51)/2)+(C51/(D51*((Z51+AA51)/2)))^2/(2*9.81)+B51-(G50+H50^2/(2*9.81))-(A50-A51)*(((DATOS!$B$34*(C51/(D51*((Z51+AA51)/2)))/((D51*((Z51+AA51)/2))/(D51+2*((Z51+AA51)/2)))^(2/3))^2+((DATOS!$B$34*H50/((D50*F50)/(D50+2*F50))^(2/3))^2))/2))&gt;0,Z51,((Z51+AA51)/2))</f>
        <v/>
      </c>
      <c r="AC51" s="5">
        <f>IF((((Z51+AA51)/2)+(C51/(D51*((Z51+AA51)/2)))^2/(2*9.81)+B51-(G50+H50^2/(2*9.81))-(A50-A51)*(((DATOS!$B$34*(C51/(D51*((Z51+AA51)/2)))/((D51*((Z51+AA51)/2))/(D51+2*((Z51+AA51)/2)))^(2/3))^2+((DATOS!$B$34*H50/((D50*F50)/(D50+2*F50))^(2/3))^2))/2))&gt;0,((Z51+AA51)/2),AA51)</f>
        <v/>
      </c>
      <c r="AD51" s="5">
        <f>IF((((AB51+AC51)/2)+(C51/(D51*((AB51+AC51)/2)))^2/(2*9.81)+B51-(G50+H50^2/(2*9.81))-(A50-A51)*(((DATOS!$B$34*(C51/(D51*((AB51+AC51)/2)))/((D51*((AB51+AC51)/2))/(D51+2*((AB51+AC51)/2)))^(2/3))^2+((DATOS!$B$34*H50/((D50*F50)/(D50+2*F50))^(2/3))^2))/2))&gt;0,AB51,((AB51+AC51)/2))</f>
        <v/>
      </c>
      <c r="AE51" s="5">
        <f>IF((((AB51+AC51)/2)+(C51/(D51*((AB51+AC51)/2)))^2/(2*9.81)+B51-(G50+H50^2/(2*9.81))-(A50-A51)*(((DATOS!$B$34*(C51/(D51*((AB51+AC51)/2)))/((D51*((AB51+AC51)/2))/(D51+2*((AB51+AC51)/2)))^(2/3))^2+((DATOS!$B$34*H50/((D50*F50)/(D50+2*F50))^(2/3))^2))/2))&gt;0,((AB51+AC51)/2),AC51)</f>
        <v/>
      </c>
      <c r="AF51" s="5">
        <f>IF((((AD51+AE51)/2)+(C51/(D51*((AD51+AE51)/2)))^2/(2*9.81)+B51-(G50+H50^2/(2*9.81))-(A50-A51)*(((DATOS!$B$34*(C51/(D51*((AD51+AE51)/2)))/((D51*((AD51+AE51)/2))/(D51+2*((AD51+AE51)/2)))^(2/3))^2+((DATOS!$B$34*H50/((D50*F50)/(D50+2*F50))^(2/3))^2))/2))&gt;0,AD51,((AD51+AE51)/2))</f>
        <v/>
      </c>
      <c r="AG51" s="5">
        <f>IF((((AD51+AE51)/2)+(C51/(D51*((AD51+AE51)/2)))^2/(2*9.81)+B51-(G50+H50^2/(2*9.81))-(A50-A51)*(((DATOS!$B$34*(C51/(D51*((AD51+AE51)/2)))/((D51*((AD51+AE51)/2))/(D51+2*((AD51+AE51)/2)))^(2/3))^2+((DATOS!$B$34*H50/((D50*F50)/(D50+2*F50))^(2/3))^2))/2))&gt;0,((AD51+AE51)/2),AE51)</f>
        <v/>
      </c>
      <c r="AH51" s="5">
        <f>IF((((AF51+AG51)/2)+(C51/(D51*((AF51+AG51)/2)))^2/(2*9.81)+B51-(G50+H50^2/(2*9.81))-(A50-A51)*(((DATOS!$B$34*(C51/(D51*((AF51+AG51)/2)))/((D51*((AF51+AG51)/2))/(D51+2*((AF51+AG51)/2)))^(2/3))^2+((DATOS!$B$34*H50/((D50*F50)/(D50+2*F50))^(2/3))^2))/2))&gt;0,AF51,((AF51+AG51)/2))</f>
        <v/>
      </c>
      <c r="AI51" s="5">
        <f>IF((((AF51+AG51)/2)+(C51/(D51*((AF51+AG51)/2)))^2/(2*9.81)+B51-(G50+H50^2/(2*9.81))-(A50-A51)*(((DATOS!$B$34*(C51/(D51*((AF51+AG51)/2)))/((D51*((AF51+AG51)/2))/(D51+2*((AF51+AG51)/2)))^(2/3))^2+((DATOS!$B$34*H50/((D50*F50)/(D50+2*F50))^(2/3))^2))/2))&gt;0,((AF51+AG51)/2),AG51)</f>
        <v/>
      </c>
      <c r="AJ51" s="5">
        <f>IF((((AH51+AI51)/2)+(C51/(D51*((AH51+AI51)/2)))^2/(2*9.81)+B51-(G50+H50^2/(2*9.81))-(A50-A51)*(((DATOS!$B$34*(C51/(D51*((AH51+AI51)/2)))/((D51*((AH51+AI51)/2))/(D51+2*((AH51+AI51)/2)))^(2/3))^2+((DATOS!$B$34*H50/((D50*F50)/(D50+2*F50))^(2/3))^2))/2))&gt;0,AH51,((AH51+AI51)/2))</f>
        <v/>
      </c>
      <c r="AK51" s="5">
        <f>IF((((AH51+AI51)/2)+(C51/(D51*((AH51+AI51)/2)))^2/(2*9.81)+B51-(G50+H50^2/(2*9.81))-(A50-A51)*(((DATOS!$B$34*(C51/(D51*((AH51+AI51)/2)))/((D51*((AH51+AI51)/2))/(D51+2*((AH51+AI51)/2)))^(2/3))^2+((DATOS!$B$34*H50/((D50*F50)/(D50+2*F50))^(2/3))^2))/2))&gt;0,((AH51+AI51)/2),AI51)</f>
        <v/>
      </c>
      <c r="AL51" s="5">
        <f>IF((((AJ51+AK51)/2)+(C51/(D51*((AJ51+AK51)/2)))^2/(2*9.81)+B51-(G50+H50^2/(2*9.81))-(A50-A51)*(((DATOS!$B$34*(C51/(D51*((AJ51+AK51)/2)))/((D51*((AJ51+AK51)/2))/(D51+2*((AJ51+AK51)/2)))^(2/3))^2+((DATOS!$B$34*H50/((D50*F50)/(D50+2*F50))^(2/3))^2))/2))&gt;0,AJ51,((AJ51+AK51)/2))</f>
        <v/>
      </c>
      <c r="AM51" s="5">
        <f>IF((((AJ51+AK51)/2)+(C51/(D51*((AJ51+AK51)/2)))^2/(2*9.81)+B51-(G50+H50^2/(2*9.81))-(A50-A51)*(((DATOS!$B$34*(C51/(D51*((AJ51+AK51)/2)))/((D51*((AJ51+AK51)/2))/(D51+2*((AJ51+AK51)/2)))^(2/3))^2+((DATOS!$B$34*H50/((D50*F50)/(D50+2*F50))^(2/3))^2))/2))&gt;0,((AJ51+AK51)/2),AK51)</f>
        <v/>
      </c>
      <c r="AN51" s="5">
        <f>IF((((AL51+AM51)/2)+(C51/(D51*((AL51+AM51)/2)))^2/(2*9.81)+B51-(G50+H50^2/(2*9.81))-(A50-A51)*(((DATOS!$B$34*(C51/(D51*((AL51+AM51)/2)))/((D51*((AL51+AM51)/2))/(D51+2*((AL51+AM51)/2)))^(2/3))^2+((DATOS!$B$34*H50/((D50*F50)/(D50+2*F50))^(2/3))^2))/2))&gt;0,AL51,((AL51+AM51)/2))</f>
        <v/>
      </c>
      <c r="AO51" s="5">
        <f>IF((((AL51+AM51)/2)+(C51/(D51*((AL51+AM51)/2)))^2/(2*9.81)+B51-(G50+H50^2/(2*9.81))-(A50-A51)*(((DATOS!$B$34*(C51/(D51*((AL51+AM51)/2)))/((D51*((AL51+AM51)/2))/(D51+2*((AL51+AM51)/2)))^(2/3))^2+((DATOS!$B$34*H50/((D50*F50)/(D50+2*F50))^(2/3))^2))/2))&gt;0,((AL51+AM51)/2),AM51)</f>
        <v/>
      </c>
      <c r="AP51" s="5">
        <f>IF((((AN51+AO51)/2)+(C51/(D51*((AN51+AO51)/2)))^2/(2*9.81)+B51-(G50+H50^2/(2*9.81))-(A50-A51)*(((DATOS!$B$34*(C51/(D51*((AN51+AO51)/2)))/((D51*((AN51+AO51)/2))/(D51+2*((AN51+AO51)/2)))^(2/3))^2+((DATOS!$B$34*H50/((D50*F50)/(D50+2*F50))^(2/3))^2))/2))&gt;0,AN51,((AN51+AO51)/2))</f>
        <v/>
      </c>
      <c r="AQ51" s="5">
        <f>IF((((AN51+AO51)/2)+(C51/(D51*((AN51+AO51)/2)))^2/(2*9.81)+B51-(G50+H50^2/(2*9.81))-(A50-A51)*(((DATOS!$B$34*(C51/(D51*((AN51+AO51)/2)))/((D51*((AN51+AO51)/2))/(D51+2*((AN51+AO51)/2)))^(2/3))^2+((DATOS!$B$34*H50/((D50*F50)/(D50+2*F50))^(2/3))^2))/2))&gt;0,((AN51+AO51)/2),AO51)</f>
        <v/>
      </c>
      <c r="AR51" s="5">
        <f>IF((((AP51+AQ51)/2)+(C51/(D51*((AP51+AQ51)/2)))^2/(2*9.81)+B51-(G50+H50^2/(2*9.81))-(A50-A51)*(((DATOS!$B$34*(C51/(D51*((AP51+AQ51)/2)))/((D51*((AP51+AQ51)/2))/(D51+2*((AP51+AQ51)/2)))^(2/3))^2+((DATOS!$B$34*H50/((D50*F50)/(D50+2*F50))^(2/3))^2))/2))&gt;0,AP51,((AP51+AQ51)/2))</f>
        <v/>
      </c>
      <c r="AS51" s="5">
        <f>IF((((AP51+AQ51)/2)+(C51/(D51*((AP51+AQ51)/2)))^2/(2*9.81)+B51-(G50+H50^2/(2*9.81))-(A50-A51)*(((DATOS!$B$34*(C51/(D51*((AP51+AQ51)/2)))/((D51*((AP51+AQ51)/2))/(D51+2*((AP51+AQ51)/2)))^(2/3))^2+((DATOS!$B$34*H50/((D50*F50)/(D50+2*F50))^(2/3))^2))/2))&gt;0,((AP51+AQ51)/2),AQ51)</f>
        <v/>
      </c>
      <c r="AT51" s="5">
        <f>IF((((AR51+AS51)/2)+(C51/(D51*((AR51+AS51)/2)))^2/(2*9.81)+B51-(G50+H50^2/(2*9.81))-(A50-A51)*(((DATOS!$B$34*(C51/(D51*((AR51+AS51)/2)))/((D51*((AR51+AS51)/2))/(D51+2*((AR51+AS51)/2)))^(2/3))^2+((DATOS!$B$34*H50/((D50*F50)/(D50+2*F50))^(2/3))^2))/2))&gt;0,AR51,((AR51+AS51)/2))</f>
        <v/>
      </c>
      <c r="AU51" s="5">
        <f>IF((((AR51+AS51)/2)+(C51/(D51*((AR51+AS51)/2)))^2/(2*9.81)+B51-(G50+H50^2/(2*9.81))-(A50-A51)*(((DATOS!$B$34*(C51/(D51*((AR51+AS51)/2)))/((D51*((AR51+AS51)/2))/(D51+2*((AR51+AS51)/2)))^(2/3))^2+((DATOS!$B$34*H50/((D50*F50)/(D50+2*F50))^(2/3))^2))/2))&gt;0,((AR51+AS51)/2),AS51)</f>
        <v/>
      </c>
      <c r="AV51" s="5">
        <f>IF((((AT51+AU51)/2)+(C51/(D51*((AT51+AU51)/2)))^2/(2*9.81)+B51-(G50+H50^2/(2*9.81))-(A50-A51)*(((DATOS!$B$34*(C51/(D51*((AT51+AU51)/2)))/((D51*((AT51+AU51)/2))/(D51+2*((AT51+AU51)/2)))^(2/3))^2+((DATOS!$B$34*H50/((D50*F50)/(D50+2*F50))^(2/3))^2))/2))&gt;0,AT51,((AT51+AU51)/2))</f>
        <v/>
      </c>
      <c r="AW51" s="5">
        <f>IF((((AT51+AU51)/2)+(C51/(D51*((AT51+AU51)/2)))^2/(2*9.81)+B51-(G50+H50^2/(2*9.81))-(A50-A51)*(((DATOS!$B$34*(C51/(D51*((AT51+AU51)/2)))/((D51*((AT51+AU51)/2))/(D51+2*((AT51+AU51)/2)))^(2/3))^2+((DATOS!$B$34*H50/((D50*F50)/(D50+2*F50))^(2/3))^2))/2))&gt;0,((AT51+AU51)/2),AU51)</f>
        <v/>
      </c>
      <c r="AX51" s="5">
        <f>IF((((AV51+AW51)/2)+(C51/(D51*((AV51+AW51)/2)))^2/(2*9.81)+B51-(G50+H50^2/(2*9.81))-(A50-A51)*(((DATOS!$B$34*(C51/(D51*((AV51+AW51)/2)))/((D51*((AV51+AW51)/2))/(D51+2*((AV51+AW51)/2)))^(2/3))^2+((DATOS!$B$34*H50/((D50*F50)/(D50+2*F50))^(2/3))^2))/2))&gt;0,AV51,((AV51+AW51)/2))</f>
        <v/>
      </c>
      <c r="AY51" s="5">
        <f>IF((((AV51+AW51)/2)+(C51/(D51*((AV51+AW51)/2)))^2/(2*9.81)+B51-(G50+H50^2/(2*9.81))-(A50-A51)*(((DATOS!$B$34*(C51/(D51*((AV51+AW51)/2)))/((D51*((AV51+AW51)/2))/(D51+2*((AV51+AW51)/2)))^(2/3))^2+((DATOS!$B$34*H50/((D50*F50)/(D50+2*F50))^(2/3))^2))/2))&gt;0,((AV51+AW51)/2),AW51)</f>
        <v/>
      </c>
      <c r="AZ51" s="5">
        <f>IF((((AX51+AY51)/2)+(C51/(D51*((AX51+AY51)/2)))^2/(2*9.81)+B51-(G50+H50^2/(2*9.81))-(A50-A51)*(((DATOS!$B$34*(C51/(D51*((AX51+AY51)/2)))/((D51*((AX51+AY51)/2))/(D51+2*((AX51+AY51)/2)))^(2/3))^2+((DATOS!$B$34*H50/((D50*F50)/(D50+2*F50))^(2/3))^2))/2))&gt;0,AX51,((AX51+AY51)/2))</f>
        <v/>
      </c>
      <c r="BA51" s="5">
        <f>IF((((AX51+AY51)/2)+(C51/(D51*((AX51+AY51)/2)))^2/(2*9.81)+B51-(G50+H50^2/(2*9.81))-(A50-A51)*(((DATOS!$B$34*(C51/(D51*((AX51+AY51)/2)))/((D51*((AX51+AY51)/2))/(D51+2*((AX51+AY51)/2)))^(2/3))^2+((DATOS!$B$34*H50/((D50*F50)/(D50+2*F50))^(2/3))^2))/2))&gt;0,((AX51+AY51)/2),AY51)</f>
        <v/>
      </c>
      <c r="BB51" s="5">
        <f>IF((((AZ51+BA51)/2)+(C51/(D51*((AZ51+BA51)/2)))^2/(2*9.81)+B51-(G50+H50^2/(2*9.81))-(A50-A51)*(((DATOS!$B$34*(C51/(D51*((AZ51+BA51)/2)))/((D51*((AZ51+BA51)/2))/(D51+2*((AZ51+BA51)/2)))^(2/3))^2+((DATOS!$B$34*H50/((D50*F50)/(D50+2*F50))^(2/3))^2))/2))&gt;0,AZ51,((AZ51+BA51)/2))</f>
        <v/>
      </c>
      <c r="BC51" s="5">
        <f>IF((((AZ51+BA51)/2)+(C51/(D51*((AZ51+BA51)/2)))^2/(2*9.81)+B51-(G50+H50^2/(2*9.81))-(A50-A51)*(((DATOS!$B$34*(C51/(D51*((AZ51+BA51)/2)))/((D51*((AZ51+BA51)/2))/(D51+2*((AZ51+BA51)/2)))^(2/3))^2+((DATOS!$B$34*H50/((D50*F50)/(D50+2*F50))^(2/3))^2))/2))&gt;0,((AZ51+BA51)/2),BA51)</f>
        <v/>
      </c>
      <c r="BD51" s="5">
        <f>IF((((BB51+BC51)/2)+(C51/(D51*((BB51+BC51)/2)))^2/(2*9.81)+B51-(G50+H50^2/(2*9.81))-(A50-A51)*(((DATOS!$B$34*(C51/(D51*((BB51+BC51)/2)))/((D51*((BB51+BC51)/2))/(D51+2*((BB51+BC51)/2)))^(2/3))^2+((DATOS!$B$34*H50/((D50*F50)/(D50+2*F50))^(2/3))^2))/2))&gt;0,BB51,((BB51+BC51)/2))</f>
        <v/>
      </c>
      <c r="BE51" s="5">
        <f>IF((((BB51+BC51)/2)+(C51/(D51*((BB51+BC51)/2)))^2/(2*9.81)+B51-(G50+H50^2/(2*9.81))-(A50-A51)*(((DATOS!$B$34*(C51/(D51*((BB51+BC51)/2)))/((D51*((BB51+BC51)/2))/(D51+2*((BB51+BC51)/2)))^(2/3))^2+((DATOS!$B$34*H50/((D50*F50)/(D50+2*F50))^(2/3))^2))/2))&gt;0,((BB51+BC51)/2),BC51)</f>
        <v/>
      </c>
      <c r="BF51" s="5">
        <f>IF((((BD51+BE51)/2)+(C51/(D51*((BD51+BE51)/2)))^2/(2*9.81)+B51-(G50+H50^2/(2*9.81))-(A50-A51)*(((DATOS!$B$34*(C51/(D51*((BD51+BE51)/2)))/((D51*((BD51+BE51)/2))/(D51+2*((BD51+BE51)/2)))^(2/3))^2+((DATOS!$B$34*H50/((D50*F50)/(D50+2*F50))^(2/3))^2))/2))&gt;0,BD51,((BD51+BE51)/2))</f>
        <v/>
      </c>
      <c r="BG51" s="5">
        <f>IF((((BD51+BE51)/2)+(C51/(D51*((BD51+BE51)/2)))^2/(2*9.81)+B51-(G50+H50^2/(2*9.81))-(A50-A51)*(((DATOS!$B$34*(C51/(D51*((BD51+BE51)/2)))/((D51*((BD51+BE51)/2))/(D51+2*((BD51+BE51)/2)))^(2/3))^2+((DATOS!$B$34*H50/((D50*F50)/(D50+2*F50))^(2/3))^2))/2))&gt;0,((BD51+BE51)/2),BE51)</f>
        <v/>
      </c>
      <c r="BH51" s="5">
        <f>IF((((BF51+BG51)/2)+(C51/(D51*((BF51+BG51)/2)))^2/(2*9.81)+B51-(G50+H50^2/(2*9.81))-(A50-A51)*(((DATOS!$B$34*(C51/(D51*((BF51+BG51)/2)))/((D51*((BF51+BG51)/2))/(D51+2*((BF51+BG51)/2)))^(2/3))^2+((DATOS!$B$34*H50/((D50*F50)/(D50+2*F50))^(2/3))^2))/2))&gt;0,BF51,((BF51+BG51)/2))</f>
        <v/>
      </c>
      <c r="BI51" s="5">
        <f>IF((((BF51+BG51)/2)+(C51/(D51*((BF51+BG51)/2)))^2/(2*9.81)+B51-(G50+H50^2/(2*9.81))-(A50-A51)*(((DATOS!$B$34*(C51/(D51*((BF51+BG51)/2)))/((D51*((BF51+BG51)/2))/(D51+2*((BF51+BG51)/2)))^(2/3))^2+((DATOS!$B$34*H50/((D50*F50)/(D50+2*F50))^(2/3))^2))/2))&gt;0,((BF51+BG51)/2),BG51)</f>
        <v/>
      </c>
      <c r="BJ51" s="5">
        <f>IF((((BH51+BI51)/2)+(C51/(D51*((BH51+BI51)/2)))^2/(2*9.81)+B51-(G50+H50^2/(2*9.81))-(A50-A51)*(((DATOS!$B$34*(C51/(D51*((BH51+BI51)/2)))/((D51*((BH51+BI51)/2))/(D51+2*((BH51+BI51)/2)))^(2/3))^2+((DATOS!$B$34*H50/((D50*F50)/(D50+2*F50))^(2/3))^2))/2))&gt;0,BH51,((BH51+BI51)/2))</f>
        <v/>
      </c>
      <c r="BK51" s="5">
        <f>IF((((BH51+BI51)/2)+(C51/(D51*((BH51+BI51)/2)))^2/(2*9.81)+B51-(G50+H50^2/(2*9.81))-(A50-A51)*(((DATOS!$B$34*(C51/(D51*((BH51+BI51)/2)))/((D51*((BH51+BI51)/2))/(D51+2*((BH51+BI51)/2)))^(2/3))^2+((DATOS!$B$34*H50/((D50*F50)/(D50+2*F50))^(2/3))^2))/2))&gt;0,((BH51+BI51)/2),BI51)</f>
        <v/>
      </c>
      <c r="BL51" s="5">
        <f>IF((((BJ51+BK51)/2)+(C51/(D51*((BJ51+BK51)/2)))^2/(2*9.81)+B51-(G50+H50^2/(2*9.81))-(A50-A51)*(((DATOS!$B$34*(C51/(D51*((BJ51+BK51)/2)))/((D51*((BJ51+BK51)/2))/(D51+2*((BJ51+BK51)/2)))^(2/3))^2+((DATOS!$B$34*H50/((D50*F50)/(D50+2*F50))^(2/3))^2))/2))&gt;0,BJ51,((BJ51+BK51)/2))</f>
        <v/>
      </c>
      <c r="BM51" s="5">
        <f>IF((((BJ51+BK51)/2)+(C51/(D51*((BJ51+BK51)/2)))^2/(2*9.81)+B51-(G50+H50^2/(2*9.81))-(A50-A51)*(((DATOS!$B$34*(C51/(D51*((BJ51+BK51)/2)))/((D51*((BJ51+BK51)/2))/(D51+2*((BJ51+BK51)/2)))^(2/3))^2+((DATOS!$B$34*H50/((D50*F50)/(D50+2*F50))^(2/3))^2))/2))&gt;0,((BJ51+BK51)/2),BK51)</f>
        <v/>
      </c>
      <c r="BN51" s="5">
        <f>IF((((BL51+BM51)/2)+(C51/(D51*((BL51+BM51)/2)))^2/(2*9.81)+B51-(G50+H50^2/(2*9.81))-(A50-A51)*(((DATOS!$B$34*(C51/(D51*((BL51+BM51)/2)))/((D51*((BL51+BM51)/2))/(D51+2*((BL51+BM51)/2)))^(2/3))^2+((DATOS!$B$34*H50/((D50*F50)/(D50+2*F50))^(2/3))^2))/2))&gt;0,BL51,((BL51+BM51)/2))</f>
        <v/>
      </c>
      <c r="BO51" s="5">
        <f>IF((((BL51+BM51)/2)+(C51/(D51*((BL51+BM51)/2)))^2/(2*9.81)+B51-(G50+H50^2/(2*9.81))-(A50-A51)*(((DATOS!$B$34*(C51/(D51*((BL51+BM51)/2)))/((D51*((BL51+BM51)/2))/(D51+2*((BL51+BM51)/2)))^(2/3))^2+((DATOS!$B$34*H50/((D50*F50)/(D50+2*F50))^(2/3))^2))/2))&gt;0,((BL51+BM51)/2),BM51)</f>
        <v/>
      </c>
      <c r="BP51" s="5">
        <f>IF((((BN51+BO51)/2)+(C51/(D51*((BN51+BO51)/2)))^2/(2*9.81)+B51-(G50+H50^2/(2*9.81))-(A50-A51)*(((DATOS!$B$34*(C51/(D51*((BN51+BO51)/2)))/((D51*((BN51+BO51)/2))/(D51+2*((BN51+BO51)/2)))^(2/3))^2+((DATOS!$B$34*H50/((D50*F50)/(D50+2*F50))^(2/3))^2))/2))&gt;0,BN51,((BN51+BO51)/2))</f>
        <v/>
      </c>
      <c r="BQ51" s="5">
        <f>IF((((BN51+BO51)/2)+(C51/(D51*((BN51+BO51)/2)))^2/(2*9.81)+B51-(G50+H50^2/(2*9.81))-(A50-A51)*(((DATOS!$B$34*(C51/(D51*((BN51+BO51)/2)))/((D51*((BN51+BO51)/2))/(D51+2*((BN51+BO51)/2)))^(2/3))^2+((DATOS!$B$34*H50/((D50*F50)/(D50+2*F50))^(2/3))^2))/2))&gt;0,((BN51+BO51)/2),BO51)</f>
        <v/>
      </c>
      <c r="BR51" s="5">
        <f>IF((((BP51+BQ51)/2)+(C51/(D51*((BP51+BQ51)/2)))^2/(2*9.81)+B51-(G50+H50^2/(2*9.81))-(A50-A51)*(((DATOS!$B$34*(C51/(D51*((BP51+BQ51)/2)))/((D51*((BP51+BQ51)/2))/(D51+2*((BP51+BQ51)/2)))^(2/3))^2+((DATOS!$B$34*H50/((D50*F50)/(D50+2*F50))^(2/3))^2))/2))&gt;0,BP51,((BP51+BQ51)/2))</f>
        <v/>
      </c>
      <c r="BS51" s="5">
        <f>IF((((BP51+BQ51)/2)+(C51/(D51*((BP51+BQ51)/2)))^2/(2*9.81)+B51-(G50+H50^2/(2*9.81))-(A50-A51)*(((DATOS!$B$34*(C51/(D51*((BP51+BQ51)/2)))/((D51*((BP51+BQ51)/2))/(D51+2*((BP51+BQ51)/2)))^(2/3))^2+((DATOS!$B$34*H50/((D50*F50)/(D50+2*F50))^(2/3))^2))/2))&gt;0,((BP51+BQ51)/2),BQ51)</f>
        <v/>
      </c>
      <c r="BT51" s="5">
        <f>IF((((BR51+BS51)/2)+(C51/(D51*((BR51+BS51)/2)))^2/(2*9.81)+B51-(G50+H50^2/(2*9.81))-(A50-A51)*(((DATOS!$B$34*(C51/(D51*((BR51+BS51)/2)))/((D51*((BR51+BS51)/2))/(D51+2*((BR51+BS51)/2)))^(2/3))^2+((DATOS!$B$34*H50/((D50*F50)/(D50+2*F50))^(2/3))^2))/2))&gt;0,BR51,((BR51+BS51)/2))</f>
        <v/>
      </c>
      <c r="BU51" s="5">
        <f>IF((((BR51+BS51)/2)+(C51/(D51*((BR51+BS51)/2)))^2/(2*9.81)+B51-(G50+H50^2/(2*9.81))-(A50-A51)*(((DATOS!$B$34*(C51/(D51*((BR51+BS51)/2)))/((D51*((BR51+BS51)/2))/(D51+2*((BR51+BS51)/2)))^(2/3))^2+((DATOS!$B$34*H50/((D50*F50)/(D50+2*F50))^(2/3))^2))/2))&gt;0,((BR51+BS51)/2),BS51)</f>
        <v/>
      </c>
      <c r="BV51" s="5">
        <f>IF((((BT51+BU51)/2)+(C51/(D51*((BT51+BU51)/2)))^2/(2*9.81)+B51-(G50+H50^2/(2*9.81))-(A50-A51)*(((DATOS!$B$34*(C51/(D51*((BT51+BU51)/2)))/((D51*((BT51+BU51)/2))/(D51+2*((BT51+BU51)/2)))^(2/3))^2+((DATOS!$B$34*H50/((D50*F50)/(D50+2*F50))^(2/3))^2))/2))&gt;0,BT51,((BT51+BU51)/2))</f>
        <v/>
      </c>
      <c r="BW51" s="5">
        <f>IF((((BT51+BU51)/2)+(C51/(D51*((BT51+BU51)/2)))^2/(2*9.81)+B51-(G50+H50^2/(2*9.81))-(A50-A51)*(((DATOS!$B$34*(C51/(D51*((BT51+BU51)/2)))/((D51*((BT51+BU51)/2))/(D51+2*((BT51+BU51)/2)))^(2/3))^2+((DATOS!$B$34*H50/((D50*F50)/(D50+2*F50))^(2/3))^2))/2))&gt;0,((BT51+BU51)/2),BU51)</f>
        <v/>
      </c>
    </row>
    <row r="52">
      <c r="A52" s="13" t="n">
        <v>33</v>
      </c>
      <c r="B52" s="16">
        <f>DATOS!$B$22-DATOS!$B$23*A52</f>
        <v/>
      </c>
      <c r="C52" s="24">
        <f>CAUDALES!$B$13</f>
        <v/>
      </c>
      <c r="D52" s="17">
        <f>DATOS!$B$17</f>
        <v/>
      </c>
      <c r="E52" s="16">
        <f>(C52^2/(9.81*D52^2))^(1/3)</f>
        <v/>
      </c>
      <c r="F52" s="16">
        <f>(BV52+BW52)/2</f>
        <v/>
      </c>
      <c r="G52" s="16">
        <f>B52+F52</f>
        <v/>
      </c>
      <c r="H52" s="19">
        <f>C52/(D52*F52)</f>
        <v/>
      </c>
      <c r="I52" s="19">
        <f>H52/SQRT(9.81*F52)</f>
        <v/>
      </c>
      <c r="J52" s="16">
        <f>DATOS!$B$29-IF(AND(A52&gt;=DATOS!$B$30,A52&lt;DATOS!$B$31),DATOS!$B$21,DATOS!$B$20)</f>
        <v/>
      </c>
      <c r="K52" s="19">
        <f>J52-B52</f>
        <v/>
      </c>
      <c r="L52" s="19">
        <f>F52/K52</f>
        <v/>
      </c>
      <c r="M52" s="16">
        <f>J52-G52</f>
        <v/>
      </c>
      <c r="N52" s="5">
        <f>IF(AND(L52&lt;=DATOS!$B$36,M52&gt;=DATOS!$B$37,I52&lt;=1),"CUMPLE","NO CUMPLE")</f>
        <v/>
      </c>
      <c r="O52" s="5">
        <f>IF(AND(A52&gt;=DATOS!$B$30,A52&lt;DATOS!$B$31),"cruce de camiones",IF(AND(A52&gt;=DATOS!$B$32,A52&lt;DATOS!$B$33),"cruce de motos","tramo normal"))</f>
        <v/>
      </c>
      <c r="P52" s="5">
        <f>E52*1.001</f>
        <v/>
      </c>
      <c r="Q52" s="13" t="n">
        <v>3</v>
      </c>
      <c r="R52" s="5">
        <f>IF((((P52+Q52)/2)+(C52/(D52*((P52+Q52)/2)))^2/(2*9.81)+B52-(G51+H51^2/(2*9.81))-(A51-A52)*(((DATOS!$B$34*(C52/(D52*((P52+Q52)/2)))/((D52*((P52+Q52)/2))/(D52+2*((P52+Q52)/2)))^(2/3))^2+((DATOS!$B$34*H51/((D51*F51)/(D51+2*F51))^(2/3))^2))/2))&gt;0,P52,((P52+Q52)/2))</f>
        <v/>
      </c>
      <c r="S52" s="5">
        <f>IF((((P52+Q52)/2)+(C52/(D52*((P52+Q52)/2)))^2/(2*9.81)+B52-(G51+H51^2/(2*9.81))-(A51-A52)*(((DATOS!$B$34*(C52/(D52*((P52+Q52)/2)))/((D52*((P52+Q52)/2))/(D52+2*((P52+Q52)/2)))^(2/3))^2+((DATOS!$B$34*H51/((D51*F51)/(D51+2*F51))^(2/3))^2))/2))&gt;0,((P52+Q52)/2),Q52)</f>
        <v/>
      </c>
      <c r="T52" s="5">
        <f>IF((((R52+S52)/2)+(C52/(D52*((R52+S52)/2)))^2/(2*9.81)+B52-(G51+H51^2/(2*9.81))-(A51-A52)*(((DATOS!$B$34*(C52/(D52*((R52+S52)/2)))/((D52*((R52+S52)/2))/(D52+2*((R52+S52)/2)))^(2/3))^2+((DATOS!$B$34*H51/((D51*F51)/(D51+2*F51))^(2/3))^2))/2))&gt;0,R52,((R52+S52)/2))</f>
        <v/>
      </c>
      <c r="U52" s="5">
        <f>IF((((R52+S52)/2)+(C52/(D52*((R52+S52)/2)))^2/(2*9.81)+B52-(G51+H51^2/(2*9.81))-(A51-A52)*(((DATOS!$B$34*(C52/(D52*((R52+S52)/2)))/((D52*((R52+S52)/2))/(D52+2*((R52+S52)/2)))^(2/3))^2+((DATOS!$B$34*H51/((D51*F51)/(D51+2*F51))^(2/3))^2))/2))&gt;0,((R52+S52)/2),S52)</f>
        <v/>
      </c>
      <c r="V52" s="5">
        <f>IF((((T52+U52)/2)+(C52/(D52*((T52+U52)/2)))^2/(2*9.81)+B52-(G51+H51^2/(2*9.81))-(A51-A52)*(((DATOS!$B$34*(C52/(D52*((T52+U52)/2)))/((D52*((T52+U52)/2))/(D52+2*((T52+U52)/2)))^(2/3))^2+((DATOS!$B$34*H51/((D51*F51)/(D51+2*F51))^(2/3))^2))/2))&gt;0,T52,((T52+U52)/2))</f>
        <v/>
      </c>
      <c r="W52" s="5">
        <f>IF((((T52+U52)/2)+(C52/(D52*((T52+U52)/2)))^2/(2*9.81)+B52-(G51+H51^2/(2*9.81))-(A51-A52)*(((DATOS!$B$34*(C52/(D52*((T52+U52)/2)))/((D52*((T52+U52)/2))/(D52+2*((T52+U52)/2)))^(2/3))^2+((DATOS!$B$34*H51/((D51*F51)/(D51+2*F51))^(2/3))^2))/2))&gt;0,((T52+U52)/2),U52)</f>
        <v/>
      </c>
      <c r="X52" s="5">
        <f>IF((((V52+W52)/2)+(C52/(D52*((V52+W52)/2)))^2/(2*9.81)+B52-(G51+H51^2/(2*9.81))-(A51-A52)*(((DATOS!$B$34*(C52/(D52*((V52+W52)/2)))/((D52*((V52+W52)/2))/(D52+2*((V52+W52)/2)))^(2/3))^2+((DATOS!$B$34*H51/((D51*F51)/(D51+2*F51))^(2/3))^2))/2))&gt;0,V52,((V52+W52)/2))</f>
        <v/>
      </c>
      <c r="Y52" s="5">
        <f>IF((((V52+W52)/2)+(C52/(D52*((V52+W52)/2)))^2/(2*9.81)+B52-(G51+H51^2/(2*9.81))-(A51-A52)*(((DATOS!$B$34*(C52/(D52*((V52+W52)/2)))/((D52*((V52+W52)/2))/(D52+2*((V52+W52)/2)))^(2/3))^2+((DATOS!$B$34*H51/((D51*F51)/(D51+2*F51))^(2/3))^2))/2))&gt;0,((V52+W52)/2),W52)</f>
        <v/>
      </c>
      <c r="Z52" s="5">
        <f>IF((((X52+Y52)/2)+(C52/(D52*((X52+Y52)/2)))^2/(2*9.81)+B52-(G51+H51^2/(2*9.81))-(A51-A52)*(((DATOS!$B$34*(C52/(D52*((X52+Y52)/2)))/((D52*((X52+Y52)/2))/(D52+2*((X52+Y52)/2)))^(2/3))^2+((DATOS!$B$34*H51/((D51*F51)/(D51+2*F51))^(2/3))^2))/2))&gt;0,X52,((X52+Y52)/2))</f>
        <v/>
      </c>
      <c r="AA52" s="5">
        <f>IF((((X52+Y52)/2)+(C52/(D52*((X52+Y52)/2)))^2/(2*9.81)+B52-(G51+H51^2/(2*9.81))-(A51-A52)*(((DATOS!$B$34*(C52/(D52*((X52+Y52)/2)))/((D52*((X52+Y52)/2))/(D52+2*((X52+Y52)/2)))^(2/3))^2+((DATOS!$B$34*H51/((D51*F51)/(D51+2*F51))^(2/3))^2))/2))&gt;0,((X52+Y52)/2),Y52)</f>
        <v/>
      </c>
      <c r="AB52" s="5">
        <f>IF((((Z52+AA52)/2)+(C52/(D52*((Z52+AA52)/2)))^2/(2*9.81)+B52-(G51+H51^2/(2*9.81))-(A51-A52)*(((DATOS!$B$34*(C52/(D52*((Z52+AA52)/2)))/((D52*((Z52+AA52)/2))/(D52+2*((Z52+AA52)/2)))^(2/3))^2+((DATOS!$B$34*H51/((D51*F51)/(D51+2*F51))^(2/3))^2))/2))&gt;0,Z52,((Z52+AA52)/2))</f>
        <v/>
      </c>
      <c r="AC52" s="5">
        <f>IF((((Z52+AA52)/2)+(C52/(D52*((Z52+AA52)/2)))^2/(2*9.81)+B52-(G51+H51^2/(2*9.81))-(A51-A52)*(((DATOS!$B$34*(C52/(D52*((Z52+AA52)/2)))/((D52*((Z52+AA52)/2))/(D52+2*((Z52+AA52)/2)))^(2/3))^2+((DATOS!$B$34*H51/((D51*F51)/(D51+2*F51))^(2/3))^2))/2))&gt;0,((Z52+AA52)/2),AA52)</f>
        <v/>
      </c>
      <c r="AD52" s="5">
        <f>IF((((AB52+AC52)/2)+(C52/(D52*((AB52+AC52)/2)))^2/(2*9.81)+B52-(G51+H51^2/(2*9.81))-(A51-A52)*(((DATOS!$B$34*(C52/(D52*((AB52+AC52)/2)))/((D52*((AB52+AC52)/2))/(D52+2*((AB52+AC52)/2)))^(2/3))^2+((DATOS!$B$34*H51/((D51*F51)/(D51+2*F51))^(2/3))^2))/2))&gt;0,AB52,((AB52+AC52)/2))</f>
        <v/>
      </c>
      <c r="AE52" s="5">
        <f>IF((((AB52+AC52)/2)+(C52/(D52*((AB52+AC52)/2)))^2/(2*9.81)+B52-(G51+H51^2/(2*9.81))-(A51-A52)*(((DATOS!$B$34*(C52/(D52*((AB52+AC52)/2)))/((D52*((AB52+AC52)/2))/(D52+2*((AB52+AC52)/2)))^(2/3))^2+((DATOS!$B$34*H51/((D51*F51)/(D51+2*F51))^(2/3))^2))/2))&gt;0,((AB52+AC52)/2),AC52)</f>
        <v/>
      </c>
      <c r="AF52" s="5">
        <f>IF((((AD52+AE52)/2)+(C52/(D52*((AD52+AE52)/2)))^2/(2*9.81)+B52-(G51+H51^2/(2*9.81))-(A51-A52)*(((DATOS!$B$34*(C52/(D52*((AD52+AE52)/2)))/((D52*((AD52+AE52)/2))/(D52+2*((AD52+AE52)/2)))^(2/3))^2+((DATOS!$B$34*H51/((D51*F51)/(D51+2*F51))^(2/3))^2))/2))&gt;0,AD52,((AD52+AE52)/2))</f>
        <v/>
      </c>
      <c r="AG52" s="5">
        <f>IF((((AD52+AE52)/2)+(C52/(D52*((AD52+AE52)/2)))^2/(2*9.81)+B52-(G51+H51^2/(2*9.81))-(A51-A52)*(((DATOS!$B$34*(C52/(D52*((AD52+AE52)/2)))/((D52*((AD52+AE52)/2))/(D52+2*((AD52+AE52)/2)))^(2/3))^2+((DATOS!$B$34*H51/((D51*F51)/(D51+2*F51))^(2/3))^2))/2))&gt;0,((AD52+AE52)/2),AE52)</f>
        <v/>
      </c>
      <c r="AH52" s="5">
        <f>IF((((AF52+AG52)/2)+(C52/(D52*((AF52+AG52)/2)))^2/(2*9.81)+B52-(G51+H51^2/(2*9.81))-(A51-A52)*(((DATOS!$B$34*(C52/(D52*((AF52+AG52)/2)))/((D52*((AF52+AG52)/2))/(D52+2*((AF52+AG52)/2)))^(2/3))^2+((DATOS!$B$34*H51/((D51*F51)/(D51+2*F51))^(2/3))^2))/2))&gt;0,AF52,((AF52+AG52)/2))</f>
        <v/>
      </c>
      <c r="AI52" s="5">
        <f>IF((((AF52+AG52)/2)+(C52/(D52*((AF52+AG52)/2)))^2/(2*9.81)+B52-(G51+H51^2/(2*9.81))-(A51-A52)*(((DATOS!$B$34*(C52/(D52*((AF52+AG52)/2)))/((D52*((AF52+AG52)/2))/(D52+2*((AF52+AG52)/2)))^(2/3))^2+((DATOS!$B$34*H51/((D51*F51)/(D51+2*F51))^(2/3))^2))/2))&gt;0,((AF52+AG52)/2),AG52)</f>
        <v/>
      </c>
      <c r="AJ52" s="5">
        <f>IF((((AH52+AI52)/2)+(C52/(D52*((AH52+AI52)/2)))^2/(2*9.81)+B52-(G51+H51^2/(2*9.81))-(A51-A52)*(((DATOS!$B$34*(C52/(D52*((AH52+AI52)/2)))/((D52*((AH52+AI52)/2))/(D52+2*((AH52+AI52)/2)))^(2/3))^2+((DATOS!$B$34*H51/((D51*F51)/(D51+2*F51))^(2/3))^2))/2))&gt;0,AH52,((AH52+AI52)/2))</f>
        <v/>
      </c>
      <c r="AK52" s="5">
        <f>IF((((AH52+AI52)/2)+(C52/(D52*((AH52+AI52)/2)))^2/(2*9.81)+B52-(G51+H51^2/(2*9.81))-(A51-A52)*(((DATOS!$B$34*(C52/(D52*((AH52+AI52)/2)))/((D52*((AH52+AI52)/2))/(D52+2*((AH52+AI52)/2)))^(2/3))^2+((DATOS!$B$34*H51/((D51*F51)/(D51+2*F51))^(2/3))^2))/2))&gt;0,((AH52+AI52)/2),AI52)</f>
        <v/>
      </c>
      <c r="AL52" s="5">
        <f>IF((((AJ52+AK52)/2)+(C52/(D52*((AJ52+AK52)/2)))^2/(2*9.81)+B52-(G51+H51^2/(2*9.81))-(A51-A52)*(((DATOS!$B$34*(C52/(D52*((AJ52+AK52)/2)))/((D52*((AJ52+AK52)/2))/(D52+2*((AJ52+AK52)/2)))^(2/3))^2+((DATOS!$B$34*H51/((D51*F51)/(D51+2*F51))^(2/3))^2))/2))&gt;0,AJ52,((AJ52+AK52)/2))</f>
        <v/>
      </c>
      <c r="AM52" s="5">
        <f>IF((((AJ52+AK52)/2)+(C52/(D52*((AJ52+AK52)/2)))^2/(2*9.81)+B52-(G51+H51^2/(2*9.81))-(A51-A52)*(((DATOS!$B$34*(C52/(D52*((AJ52+AK52)/2)))/((D52*((AJ52+AK52)/2))/(D52+2*((AJ52+AK52)/2)))^(2/3))^2+((DATOS!$B$34*H51/((D51*F51)/(D51+2*F51))^(2/3))^2))/2))&gt;0,((AJ52+AK52)/2),AK52)</f>
        <v/>
      </c>
      <c r="AN52" s="5">
        <f>IF((((AL52+AM52)/2)+(C52/(D52*((AL52+AM52)/2)))^2/(2*9.81)+B52-(G51+H51^2/(2*9.81))-(A51-A52)*(((DATOS!$B$34*(C52/(D52*((AL52+AM52)/2)))/((D52*((AL52+AM52)/2))/(D52+2*((AL52+AM52)/2)))^(2/3))^2+((DATOS!$B$34*H51/((D51*F51)/(D51+2*F51))^(2/3))^2))/2))&gt;0,AL52,((AL52+AM52)/2))</f>
        <v/>
      </c>
      <c r="AO52" s="5">
        <f>IF((((AL52+AM52)/2)+(C52/(D52*((AL52+AM52)/2)))^2/(2*9.81)+B52-(G51+H51^2/(2*9.81))-(A51-A52)*(((DATOS!$B$34*(C52/(D52*((AL52+AM52)/2)))/((D52*((AL52+AM52)/2))/(D52+2*((AL52+AM52)/2)))^(2/3))^2+((DATOS!$B$34*H51/((D51*F51)/(D51+2*F51))^(2/3))^2))/2))&gt;0,((AL52+AM52)/2),AM52)</f>
        <v/>
      </c>
      <c r="AP52" s="5">
        <f>IF((((AN52+AO52)/2)+(C52/(D52*((AN52+AO52)/2)))^2/(2*9.81)+B52-(G51+H51^2/(2*9.81))-(A51-A52)*(((DATOS!$B$34*(C52/(D52*((AN52+AO52)/2)))/((D52*((AN52+AO52)/2))/(D52+2*((AN52+AO52)/2)))^(2/3))^2+((DATOS!$B$34*H51/((D51*F51)/(D51+2*F51))^(2/3))^2))/2))&gt;0,AN52,((AN52+AO52)/2))</f>
        <v/>
      </c>
      <c r="AQ52" s="5">
        <f>IF((((AN52+AO52)/2)+(C52/(D52*((AN52+AO52)/2)))^2/(2*9.81)+B52-(G51+H51^2/(2*9.81))-(A51-A52)*(((DATOS!$B$34*(C52/(D52*((AN52+AO52)/2)))/((D52*((AN52+AO52)/2))/(D52+2*((AN52+AO52)/2)))^(2/3))^2+((DATOS!$B$34*H51/((D51*F51)/(D51+2*F51))^(2/3))^2))/2))&gt;0,((AN52+AO52)/2),AO52)</f>
        <v/>
      </c>
      <c r="AR52" s="5">
        <f>IF((((AP52+AQ52)/2)+(C52/(D52*((AP52+AQ52)/2)))^2/(2*9.81)+B52-(G51+H51^2/(2*9.81))-(A51-A52)*(((DATOS!$B$34*(C52/(D52*((AP52+AQ52)/2)))/((D52*((AP52+AQ52)/2))/(D52+2*((AP52+AQ52)/2)))^(2/3))^2+((DATOS!$B$34*H51/((D51*F51)/(D51+2*F51))^(2/3))^2))/2))&gt;0,AP52,((AP52+AQ52)/2))</f>
        <v/>
      </c>
      <c r="AS52" s="5">
        <f>IF((((AP52+AQ52)/2)+(C52/(D52*((AP52+AQ52)/2)))^2/(2*9.81)+B52-(G51+H51^2/(2*9.81))-(A51-A52)*(((DATOS!$B$34*(C52/(D52*((AP52+AQ52)/2)))/((D52*((AP52+AQ52)/2))/(D52+2*((AP52+AQ52)/2)))^(2/3))^2+((DATOS!$B$34*H51/((D51*F51)/(D51+2*F51))^(2/3))^2))/2))&gt;0,((AP52+AQ52)/2),AQ52)</f>
        <v/>
      </c>
      <c r="AT52" s="5">
        <f>IF((((AR52+AS52)/2)+(C52/(D52*((AR52+AS52)/2)))^2/(2*9.81)+B52-(G51+H51^2/(2*9.81))-(A51-A52)*(((DATOS!$B$34*(C52/(D52*((AR52+AS52)/2)))/((D52*((AR52+AS52)/2))/(D52+2*((AR52+AS52)/2)))^(2/3))^2+((DATOS!$B$34*H51/((D51*F51)/(D51+2*F51))^(2/3))^2))/2))&gt;0,AR52,((AR52+AS52)/2))</f>
        <v/>
      </c>
      <c r="AU52" s="5">
        <f>IF((((AR52+AS52)/2)+(C52/(D52*((AR52+AS52)/2)))^2/(2*9.81)+B52-(G51+H51^2/(2*9.81))-(A51-A52)*(((DATOS!$B$34*(C52/(D52*((AR52+AS52)/2)))/((D52*((AR52+AS52)/2))/(D52+2*((AR52+AS52)/2)))^(2/3))^2+((DATOS!$B$34*H51/((D51*F51)/(D51+2*F51))^(2/3))^2))/2))&gt;0,((AR52+AS52)/2),AS52)</f>
        <v/>
      </c>
      <c r="AV52" s="5">
        <f>IF((((AT52+AU52)/2)+(C52/(D52*((AT52+AU52)/2)))^2/(2*9.81)+B52-(G51+H51^2/(2*9.81))-(A51-A52)*(((DATOS!$B$34*(C52/(D52*((AT52+AU52)/2)))/((D52*((AT52+AU52)/2))/(D52+2*((AT52+AU52)/2)))^(2/3))^2+((DATOS!$B$34*H51/((D51*F51)/(D51+2*F51))^(2/3))^2))/2))&gt;0,AT52,((AT52+AU52)/2))</f>
        <v/>
      </c>
      <c r="AW52" s="5">
        <f>IF((((AT52+AU52)/2)+(C52/(D52*((AT52+AU52)/2)))^2/(2*9.81)+B52-(G51+H51^2/(2*9.81))-(A51-A52)*(((DATOS!$B$34*(C52/(D52*((AT52+AU52)/2)))/((D52*((AT52+AU52)/2))/(D52+2*((AT52+AU52)/2)))^(2/3))^2+((DATOS!$B$34*H51/((D51*F51)/(D51+2*F51))^(2/3))^2))/2))&gt;0,((AT52+AU52)/2),AU52)</f>
        <v/>
      </c>
      <c r="AX52" s="5">
        <f>IF((((AV52+AW52)/2)+(C52/(D52*((AV52+AW52)/2)))^2/(2*9.81)+B52-(G51+H51^2/(2*9.81))-(A51-A52)*(((DATOS!$B$34*(C52/(D52*((AV52+AW52)/2)))/((D52*((AV52+AW52)/2))/(D52+2*((AV52+AW52)/2)))^(2/3))^2+((DATOS!$B$34*H51/((D51*F51)/(D51+2*F51))^(2/3))^2))/2))&gt;0,AV52,((AV52+AW52)/2))</f>
        <v/>
      </c>
      <c r="AY52" s="5">
        <f>IF((((AV52+AW52)/2)+(C52/(D52*((AV52+AW52)/2)))^2/(2*9.81)+B52-(G51+H51^2/(2*9.81))-(A51-A52)*(((DATOS!$B$34*(C52/(D52*((AV52+AW52)/2)))/((D52*((AV52+AW52)/2))/(D52+2*((AV52+AW52)/2)))^(2/3))^2+((DATOS!$B$34*H51/((D51*F51)/(D51+2*F51))^(2/3))^2))/2))&gt;0,((AV52+AW52)/2),AW52)</f>
        <v/>
      </c>
      <c r="AZ52" s="5">
        <f>IF((((AX52+AY52)/2)+(C52/(D52*((AX52+AY52)/2)))^2/(2*9.81)+B52-(G51+H51^2/(2*9.81))-(A51-A52)*(((DATOS!$B$34*(C52/(D52*((AX52+AY52)/2)))/((D52*((AX52+AY52)/2))/(D52+2*((AX52+AY52)/2)))^(2/3))^2+((DATOS!$B$34*H51/((D51*F51)/(D51+2*F51))^(2/3))^2))/2))&gt;0,AX52,((AX52+AY52)/2))</f>
        <v/>
      </c>
      <c r="BA52" s="5">
        <f>IF((((AX52+AY52)/2)+(C52/(D52*((AX52+AY52)/2)))^2/(2*9.81)+B52-(G51+H51^2/(2*9.81))-(A51-A52)*(((DATOS!$B$34*(C52/(D52*((AX52+AY52)/2)))/((D52*((AX52+AY52)/2))/(D52+2*((AX52+AY52)/2)))^(2/3))^2+((DATOS!$B$34*H51/((D51*F51)/(D51+2*F51))^(2/3))^2))/2))&gt;0,((AX52+AY52)/2),AY52)</f>
        <v/>
      </c>
      <c r="BB52" s="5">
        <f>IF((((AZ52+BA52)/2)+(C52/(D52*((AZ52+BA52)/2)))^2/(2*9.81)+B52-(G51+H51^2/(2*9.81))-(A51-A52)*(((DATOS!$B$34*(C52/(D52*((AZ52+BA52)/2)))/((D52*((AZ52+BA52)/2))/(D52+2*((AZ52+BA52)/2)))^(2/3))^2+((DATOS!$B$34*H51/((D51*F51)/(D51+2*F51))^(2/3))^2))/2))&gt;0,AZ52,((AZ52+BA52)/2))</f>
        <v/>
      </c>
      <c r="BC52" s="5">
        <f>IF((((AZ52+BA52)/2)+(C52/(D52*((AZ52+BA52)/2)))^2/(2*9.81)+B52-(G51+H51^2/(2*9.81))-(A51-A52)*(((DATOS!$B$34*(C52/(D52*((AZ52+BA52)/2)))/((D52*((AZ52+BA52)/2))/(D52+2*((AZ52+BA52)/2)))^(2/3))^2+((DATOS!$B$34*H51/((D51*F51)/(D51+2*F51))^(2/3))^2))/2))&gt;0,((AZ52+BA52)/2),BA52)</f>
        <v/>
      </c>
      <c r="BD52" s="5">
        <f>IF((((BB52+BC52)/2)+(C52/(D52*((BB52+BC52)/2)))^2/(2*9.81)+B52-(G51+H51^2/(2*9.81))-(A51-A52)*(((DATOS!$B$34*(C52/(D52*((BB52+BC52)/2)))/((D52*((BB52+BC52)/2))/(D52+2*((BB52+BC52)/2)))^(2/3))^2+((DATOS!$B$34*H51/((D51*F51)/(D51+2*F51))^(2/3))^2))/2))&gt;0,BB52,((BB52+BC52)/2))</f>
        <v/>
      </c>
      <c r="BE52" s="5">
        <f>IF((((BB52+BC52)/2)+(C52/(D52*((BB52+BC52)/2)))^2/(2*9.81)+B52-(G51+H51^2/(2*9.81))-(A51-A52)*(((DATOS!$B$34*(C52/(D52*((BB52+BC52)/2)))/((D52*((BB52+BC52)/2))/(D52+2*((BB52+BC52)/2)))^(2/3))^2+((DATOS!$B$34*H51/((D51*F51)/(D51+2*F51))^(2/3))^2))/2))&gt;0,((BB52+BC52)/2),BC52)</f>
        <v/>
      </c>
      <c r="BF52" s="5">
        <f>IF((((BD52+BE52)/2)+(C52/(D52*((BD52+BE52)/2)))^2/(2*9.81)+B52-(G51+H51^2/(2*9.81))-(A51-A52)*(((DATOS!$B$34*(C52/(D52*((BD52+BE52)/2)))/((D52*((BD52+BE52)/2))/(D52+2*((BD52+BE52)/2)))^(2/3))^2+((DATOS!$B$34*H51/((D51*F51)/(D51+2*F51))^(2/3))^2))/2))&gt;0,BD52,((BD52+BE52)/2))</f>
        <v/>
      </c>
      <c r="BG52" s="5">
        <f>IF((((BD52+BE52)/2)+(C52/(D52*((BD52+BE52)/2)))^2/(2*9.81)+B52-(G51+H51^2/(2*9.81))-(A51-A52)*(((DATOS!$B$34*(C52/(D52*((BD52+BE52)/2)))/((D52*((BD52+BE52)/2))/(D52+2*((BD52+BE52)/2)))^(2/3))^2+((DATOS!$B$34*H51/((D51*F51)/(D51+2*F51))^(2/3))^2))/2))&gt;0,((BD52+BE52)/2),BE52)</f>
        <v/>
      </c>
      <c r="BH52" s="5">
        <f>IF((((BF52+BG52)/2)+(C52/(D52*((BF52+BG52)/2)))^2/(2*9.81)+B52-(G51+H51^2/(2*9.81))-(A51-A52)*(((DATOS!$B$34*(C52/(D52*((BF52+BG52)/2)))/((D52*((BF52+BG52)/2))/(D52+2*((BF52+BG52)/2)))^(2/3))^2+((DATOS!$B$34*H51/((D51*F51)/(D51+2*F51))^(2/3))^2))/2))&gt;0,BF52,((BF52+BG52)/2))</f>
        <v/>
      </c>
      <c r="BI52" s="5">
        <f>IF((((BF52+BG52)/2)+(C52/(D52*((BF52+BG52)/2)))^2/(2*9.81)+B52-(G51+H51^2/(2*9.81))-(A51-A52)*(((DATOS!$B$34*(C52/(D52*((BF52+BG52)/2)))/((D52*((BF52+BG52)/2))/(D52+2*((BF52+BG52)/2)))^(2/3))^2+((DATOS!$B$34*H51/((D51*F51)/(D51+2*F51))^(2/3))^2))/2))&gt;0,((BF52+BG52)/2),BG52)</f>
        <v/>
      </c>
      <c r="BJ52" s="5">
        <f>IF((((BH52+BI52)/2)+(C52/(D52*((BH52+BI52)/2)))^2/(2*9.81)+B52-(G51+H51^2/(2*9.81))-(A51-A52)*(((DATOS!$B$34*(C52/(D52*((BH52+BI52)/2)))/((D52*((BH52+BI52)/2))/(D52+2*((BH52+BI52)/2)))^(2/3))^2+((DATOS!$B$34*H51/((D51*F51)/(D51+2*F51))^(2/3))^2))/2))&gt;0,BH52,((BH52+BI52)/2))</f>
        <v/>
      </c>
      <c r="BK52" s="5">
        <f>IF((((BH52+BI52)/2)+(C52/(D52*((BH52+BI52)/2)))^2/(2*9.81)+B52-(G51+H51^2/(2*9.81))-(A51-A52)*(((DATOS!$B$34*(C52/(D52*((BH52+BI52)/2)))/((D52*((BH52+BI52)/2))/(D52+2*((BH52+BI52)/2)))^(2/3))^2+((DATOS!$B$34*H51/((D51*F51)/(D51+2*F51))^(2/3))^2))/2))&gt;0,((BH52+BI52)/2),BI52)</f>
        <v/>
      </c>
      <c r="BL52" s="5">
        <f>IF((((BJ52+BK52)/2)+(C52/(D52*((BJ52+BK52)/2)))^2/(2*9.81)+B52-(G51+H51^2/(2*9.81))-(A51-A52)*(((DATOS!$B$34*(C52/(D52*((BJ52+BK52)/2)))/((D52*((BJ52+BK52)/2))/(D52+2*((BJ52+BK52)/2)))^(2/3))^2+((DATOS!$B$34*H51/((D51*F51)/(D51+2*F51))^(2/3))^2))/2))&gt;0,BJ52,((BJ52+BK52)/2))</f>
        <v/>
      </c>
      <c r="BM52" s="5">
        <f>IF((((BJ52+BK52)/2)+(C52/(D52*((BJ52+BK52)/2)))^2/(2*9.81)+B52-(G51+H51^2/(2*9.81))-(A51-A52)*(((DATOS!$B$34*(C52/(D52*((BJ52+BK52)/2)))/((D52*((BJ52+BK52)/2))/(D52+2*((BJ52+BK52)/2)))^(2/3))^2+((DATOS!$B$34*H51/((D51*F51)/(D51+2*F51))^(2/3))^2))/2))&gt;0,((BJ52+BK52)/2),BK52)</f>
        <v/>
      </c>
      <c r="BN52" s="5">
        <f>IF((((BL52+BM52)/2)+(C52/(D52*((BL52+BM52)/2)))^2/(2*9.81)+B52-(G51+H51^2/(2*9.81))-(A51-A52)*(((DATOS!$B$34*(C52/(D52*((BL52+BM52)/2)))/((D52*((BL52+BM52)/2))/(D52+2*((BL52+BM52)/2)))^(2/3))^2+((DATOS!$B$34*H51/((D51*F51)/(D51+2*F51))^(2/3))^2))/2))&gt;0,BL52,((BL52+BM52)/2))</f>
        <v/>
      </c>
      <c r="BO52" s="5">
        <f>IF((((BL52+BM52)/2)+(C52/(D52*((BL52+BM52)/2)))^2/(2*9.81)+B52-(G51+H51^2/(2*9.81))-(A51-A52)*(((DATOS!$B$34*(C52/(D52*((BL52+BM52)/2)))/((D52*((BL52+BM52)/2))/(D52+2*((BL52+BM52)/2)))^(2/3))^2+((DATOS!$B$34*H51/((D51*F51)/(D51+2*F51))^(2/3))^2))/2))&gt;0,((BL52+BM52)/2),BM52)</f>
        <v/>
      </c>
      <c r="BP52" s="5">
        <f>IF((((BN52+BO52)/2)+(C52/(D52*((BN52+BO52)/2)))^2/(2*9.81)+B52-(G51+H51^2/(2*9.81))-(A51-A52)*(((DATOS!$B$34*(C52/(D52*((BN52+BO52)/2)))/((D52*((BN52+BO52)/2))/(D52+2*((BN52+BO52)/2)))^(2/3))^2+((DATOS!$B$34*H51/((D51*F51)/(D51+2*F51))^(2/3))^2))/2))&gt;0,BN52,((BN52+BO52)/2))</f>
        <v/>
      </c>
      <c r="BQ52" s="5">
        <f>IF((((BN52+BO52)/2)+(C52/(D52*((BN52+BO52)/2)))^2/(2*9.81)+B52-(G51+H51^2/(2*9.81))-(A51-A52)*(((DATOS!$B$34*(C52/(D52*((BN52+BO52)/2)))/((D52*((BN52+BO52)/2))/(D52+2*((BN52+BO52)/2)))^(2/3))^2+((DATOS!$B$34*H51/((D51*F51)/(D51+2*F51))^(2/3))^2))/2))&gt;0,((BN52+BO52)/2),BO52)</f>
        <v/>
      </c>
      <c r="BR52" s="5">
        <f>IF((((BP52+BQ52)/2)+(C52/(D52*((BP52+BQ52)/2)))^2/(2*9.81)+B52-(G51+H51^2/(2*9.81))-(A51-A52)*(((DATOS!$B$34*(C52/(D52*((BP52+BQ52)/2)))/((D52*((BP52+BQ52)/2))/(D52+2*((BP52+BQ52)/2)))^(2/3))^2+((DATOS!$B$34*H51/((D51*F51)/(D51+2*F51))^(2/3))^2))/2))&gt;0,BP52,((BP52+BQ52)/2))</f>
        <v/>
      </c>
      <c r="BS52" s="5">
        <f>IF((((BP52+BQ52)/2)+(C52/(D52*((BP52+BQ52)/2)))^2/(2*9.81)+B52-(G51+H51^2/(2*9.81))-(A51-A52)*(((DATOS!$B$34*(C52/(D52*((BP52+BQ52)/2)))/((D52*((BP52+BQ52)/2))/(D52+2*((BP52+BQ52)/2)))^(2/3))^2+((DATOS!$B$34*H51/((D51*F51)/(D51+2*F51))^(2/3))^2))/2))&gt;0,((BP52+BQ52)/2),BQ52)</f>
        <v/>
      </c>
      <c r="BT52" s="5">
        <f>IF((((BR52+BS52)/2)+(C52/(D52*((BR52+BS52)/2)))^2/(2*9.81)+B52-(G51+H51^2/(2*9.81))-(A51-A52)*(((DATOS!$B$34*(C52/(D52*((BR52+BS52)/2)))/((D52*((BR52+BS52)/2))/(D52+2*((BR52+BS52)/2)))^(2/3))^2+((DATOS!$B$34*H51/((D51*F51)/(D51+2*F51))^(2/3))^2))/2))&gt;0,BR52,((BR52+BS52)/2))</f>
        <v/>
      </c>
      <c r="BU52" s="5">
        <f>IF((((BR52+BS52)/2)+(C52/(D52*((BR52+BS52)/2)))^2/(2*9.81)+B52-(G51+H51^2/(2*9.81))-(A51-A52)*(((DATOS!$B$34*(C52/(D52*((BR52+BS52)/2)))/((D52*((BR52+BS52)/2))/(D52+2*((BR52+BS52)/2)))^(2/3))^2+((DATOS!$B$34*H51/((D51*F51)/(D51+2*F51))^(2/3))^2))/2))&gt;0,((BR52+BS52)/2),BS52)</f>
        <v/>
      </c>
      <c r="BV52" s="5">
        <f>IF((((BT52+BU52)/2)+(C52/(D52*((BT52+BU52)/2)))^2/(2*9.81)+B52-(G51+H51^2/(2*9.81))-(A51-A52)*(((DATOS!$B$34*(C52/(D52*((BT52+BU52)/2)))/((D52*((BT52+BU52)/2))/(D52+2*((BT52+BU52)/2)))^(2/3))^2+((DATOS!$B$34*H51/((D51*F51)/(D51+2*F51))^(2/3))^2))/2))&gt;0,BT52,((BT52+BU52)/2))</f>
        <v/>
      </c>
      <c r="BW52" s="5">
        <f>IF((((BT52+BU52)/2)+(C52/(D52*((BT52+BU52)/2)))^2/(2*9.81)+B52-(G51+H51^2/(2*9.81))-(A51-A52)*(((DATOS!$B$34*(C52/(D52*((BT52+BU52)/2)))/((D52*((BT52+BU52)/2))/(D52+2*((BT52+BU52)/2)))^(2/3))^2+((DATOS!$B$34*H51/((D51*F51)/(D51+2*F51))^(2/3))^2))/2))&gt;0,((BT52+BU52)/2),BU52)</f>
        <v/>
      </c>
    </row>
    <row r="53">
      <c r="A53" s="13" t="n">
        <v>32.5</v>
      </c>
      <c r="B53" s="16">
        <f>DATOS!$B$22-DATOS!$B$23*A53</f>
        <v/>
      </c>
      <c r="C53" s="24">
        <f>CAUDALES!$B$13</f>
        <v/>
      </c>
      <c r="D53" s="17">
        <f>DATOS!$B$17</f>
        <v/>
      </c>
      <c r="E53" s="16">
        <f>(C53^2/(9.81*D53^2))^(1/3)</f>
        <v/>
      </c>
      <c r="F53" s="16">
        <f>(BV53+BW53)/2</f>
        <v/>
      </c>
      <c r="G53" s="16">
        <f>B53+F53</f>
        <v/>
      </c>
      <c r="H53" s="19">
        <f>C53/(D53*F53)</f>
        <v/>
      </c>
      <c r="I53" s="19">
        <f>H53/SQRT(9.81*F53)</f>
        <v/>
      </c>
      <c r="J53" s="16">
        <f>DATOS!$B$29-IF(AND(A53&gt;=DATOS!$B$30,A53&lt;DATOS!$B$31),DATOS!$B$21,DATOS!$B$20)</f>
        <v/>
      </c>
      <c r="K53" s="19">
        <f>J53-B53</f>
        <v/>
      </c>
      <c r="L53" s="19">
        <f>F53/K53</f>
        <v/>
      </c>
      <c r="M53" s="16">
        <f>J53-G53</f>
        <v/>
      </c>
      <c r="N53" s="5">
        <f>IF(AND(L53&lt;=DATOS!$B$36,M53&gt;=DATOS!$B$37,I53&lt;=1),"CUMPLE","NO CUMPLE")</f>
        <v/>
      </c>
      <c r="O53" s="5">
        <f>IF(AND(A53&gt;=DATOS!$B$30,A53&lt;DATOS!$B$31),"cruce de camiones",IF(AND(A53&gt;=DATOS!$B$32,A53&lt;DATOS!$B$33),"cruce de motos","tramo normal"))</f>
        <v/>
      </c>
      <c r="P53" s="5">
        <f>E53*1.001</f>
        <v/>
      </c>
      <c r="Q53" s="13" t="n">
        <v>3</v>
      </c>
      <c r="R53" s="5">
        <f>IF((((P53+Q53)/2)+(C53/(D53*((P53+Q53)/2)))^2/(2*9.81)+B53-(G52+H52^2/(2*9.81))-(A52-A53)*(((DATOS!$B$34*(C53/(D53*((P53+Q53)/2)))/((D53*((P53+Q53)/2))/(D53+2*((P53+Q53)/2)))^(2/3))^2+((DATOS!$B$34*H52/((D52*F52)/(D52+2*F52))^(2/3))^2))/2))&gt;0,P53,((P53+Q53)/2))</f>
        <v/>
      </c>
      <c r="S53" s="5">
        <f>IF((((P53+Q53)/2)+(C53/(D53*((P53+Q53)/2)))^2/(2*9.81)+B53-(G52+H52^2/(2*9.81))-(A52-A53)*(((DATOS!$B$34*(C53/(D53*((P53+Q53)/2)))/((D53*((P53+Q53)/2))/(D53+2*((P53+Q53)/2)))^(2/3))^2+((DATOS!$B$34*H52/((D52*F52)/(D52+2*F52))^(2/3))^2))/2))&gt;0,((P53+Q53)/2),Q53)</f>
        <v/>
      </c>
      <c r="T53" s="5">
        <f>IF((((R53+S53)/2)+(C53/(D53*((R53+S53)/2)))^2/(2*9.81)+B53-(G52+H52^2/(2*9.81))-(A52-A53)*(((DATOS!$B$34*(C53/(D53*((R53+S53)/2)))/((D53*((R53+S53)/2))/(D53+2*((R53+S53)/2)))^(2/3))^2+((DATOS!$B$34*H52/((D52*F52)/(D52+2*F52))^(2/3))^2))/2))&gt;0,R53,((R53+S53)/2))</f>
        <v/>
      </c>
      <c r="U53" s="5">
        <f>IF((((R53+S53)/2)+(C53/(D53*((R53+S53)/2)))^2/(2*9.81)+B53-(G52+H52^2/(2*9.81))-(A52-A53)*(((DATOS!$B$34*(C53/(D53*((R53+S53)/2)))/((D53*((R53+S53)/2))/(D53+2*((R53+S53)/2)))^(2/3))^2+((DATOS!$B$34*H52/((D52*F52)/(D52+2*F52))^(2/3))^2))/2))&gt;0,((R53+S53)/2),S53)</f>
        <v/>
      </c>
      <c r="V53" s="5">
        <f>IF((((T53+U53)/2)+(C53/(D53*((T53+U53)/2)))^2/(2*9.81)+B53-(G52+H52^2/(2*9.81))-(A52-A53)*(((DATOS!$B$34*(C53/(D53*((T53+U53)/2)))/((D53*((T53+U53)/2))/(D53+2*((T53+U53)/2)))^(2/3))^2+((DATOS!$B$34*H52/((D52*F52)/(D52+2*F52))^(2/3))^2))/2))&gt;0,T53,((T53+U53)/2))</f>
        <v/>
      </c>
      <c r="W53" s="5">
        <f>IF((((T53+U53)/2)+(C53/(D53*((T53+U53)/2)))^2/(2*9.81)+B53-(G52+H52^2/(2*9.81))-(A52-A53)*(((DATOS!$B$34*(C53/(D53*((T53+U53)/2)))/((D53*((T53+U53)/2))/(D53+2*((T53+U53)/2)))^(2/3))^2+((DATOS!$B$34*H52/((D52*F52)/(D52+2*F52))^(2/3))^2))/2))&gt;0,((T53+U53)/2),U53)</f>
        <v/>
      </c>
      <c r="X53" s="5">
        <f>IF((((V53+W53)/2)+(C53/(D53*((V53+W53)/2)))^2/(2*9.81)+B53-(G52+H52^2/(2*9.81))-(A52-A53)*(((DATOS!$B$34*(C53/(D53*((V53+W53)/2)))/((D53*((V53+W53)/2))/(D53+2*((V53+W53)/2)))^(2/3))^2+((DATOS!$B$34*H52/((D52*F52)/(D52+2*F52))^(2/3))^2))/2))&gt;0,V53,((V53+W53)/2))</f>
        <v/>
      </c>
      <c r="Y53" s="5">
        <f>IF((((V53+W53)/2)+(C53/(D53*((V53+W53)/2)))^2/(2*9.81)+B53-(G52+H52^2/(2*9.81))-(A52-A53)*(((DATOS!$B$34*(C53/(D53*((V53+W53)/2)))/((D53*((V53+W53)/2))/(D53+2*((V53+W53)/2)))^(2/3))^2+((DATOS!$B$34*H52/((D52*F52)/(D52+2*F52))^(2/3))^2))/2))&gt;0,((V53+W53)/2),W53)</f>
        <v/>
      </c>
      <c r="Z53" s="5">
        <f>IF((((X53+Y53)/2)+(C53/(D53*((X53+Y53)/2)))^2/(2*9.81)+B53-(G52+H52^2/(2*9.81))-(A52-A53)*(((DATOS!$B$34*(C53/(D53*((X53+Y53)/2)))/((D53*((X53+Y53)/2))/(D53+2*((X53+Y53)/2)))^(2/3))^2+((DATOS!$B$34*H52/((D52*F52)/(D52+2*F52))^(2/3))^2))/2))&gt;0,X53,((X53+Y53)/2))</f>
        <v/>
      </c>
      <c r="AA53" s="5">
        <f>IF((((X53+Y53)/2)+(C53/(D53*((X53+Y53)/2)))^2/(2*9.81)+B53-(G52+H52^2/(2*9.81))-(A52-A53)*(((DATOS!$B$34*(C53/(D53*((X53+Y53)/2)))/((D53*((X53+Y53)/2))/(D53+2*((X53+Y53)/2)))^(2/3))^2+((DATOS!$B$34*H52/((D52*F52)/(D52+2*F52))^(2/3))^2))/2))&gt;0,((X53+Y53)/2),Y53)</f>
        <v/>
      </c>
      <c r="AB53" s="5">
        <f>IF((((Z53+AA53)/2)+(C53/(D53*((Z53+AA53)/2)))^2/(2*9.81)+B53-(G52+H52^2/(2*9.81))-(A52-A53)*(((DATOS!$B$34*(C53/(D53*((Z53+AA53)/2)))/((D53*((Z53+AA53)/2))/(D53+2*((Z53+AA53)/2)))^(2/3))^2+((DATOS!$B$34*H52/((D52*F52)/(D52+2*F52))^(2/3))^2))/2))&gt;0,Z53,((Z53+AA53)/2))</f>
        <v/>
      </c>
      <c r="AC53" s="5">
        <f>IF((((Z53+AA53)/2)+(C53/(D53*((Z53+AA53)/2)))^2/(2*9.81)+B53-(G52+H52^2/(2*9.81))-(A52-A53)*(((DATOS!$B$34*(C53/(D53*((Z53+AA53)/2)))/((D53*((Z53+AA53)/2))/(D53+2*((Z53+AA53)/2)))^(2/3))^2+((DATOS!$B$34*H52/((D52*F52)/(D52+2*F52))^(2/3))^2))/2))&gt;0,((Z53+AA53)/2),AA53)</f>
        <v/>
      </c>
      <c r="AD53" s="5">
        <f>IF((((AB53+AC53)/2)+(C53/(D53*((AB53+AC53)/2)))^2/(2*9.81)+B53-(G52+H52^2/(2*9.81))-(A52-A53)*(((DATOS!$B$34*(C53/(D53*((AB53+AC53)/2)))/((D53*((AB53+AC53)/2))/(D53+2*((AB53+AC53)/2)))^(2/3))^2+((DATOS!$B$34*H52/((D52*F52)/(D52+2*F52))^(2/3))^2))/2))&gt;0,AB53,((AB53+AC53)/2))</f>
        <v/>
      </c>
      <c r="AE53" s="5">
        <f>IF((((AB53+AC53)/2)+(C53/(D53*((AB53+AC53)/2)))^2/(2*9.81)+B53-(G52+H52^2/(2*9.81))-(A52-A53)*(((DATOS!$B$34*(C53/(D53*((AB53+AC53)/2)))/((D53*((AB53+AC53)/2))/(D53+2*((AB53+AC53)/2)))^(2/3))^2+((DATOS!$B$34*H52/((D52*F52)/(D52+2*F52))^(2/3))^2))/2))&gt;0,((AB53+AC53)/2),AC53)</f>
        <v/>
      </c>
      <c r="AF53" s="5">
        <f>IF((((AD53+AE53)/2)+(C53/(D53*((AD53+AE53)/2)))^2/(2*9.81)+B53-(G52+H52^2/(2*9.81))-(A52-A53)*(((DATOS!$B$34*(C53/(D53*((AD53+AE53)/2)))/((D53*((AD53+AE53)/2))/(D53+2*((AD53+AE53)/2)))^(2/3))^2+((DATOS!$B$34*H52/((D52*F52)/(D52+2*F52))^(2/3))^2))/2))&gt;0,AD53,((AD53+AE53)/2))</f>
        <v/>
      </c>
      <c r="AG53" s="5">
        <f>IF((((AD53+AE53)/2)+(C53/(D53*((AD53+AE53)/2)))^2/(2*9.81)+B53-(G52+H52^2/(2*9.81))-(A52-A53)*(((DATOS!$B$34*(C53/(D53*((AD53+AE53)/2)))/((D53*((AD53+AE53)/2))/(D53+2*((AD53+AE53)/2)))^(2/3))^2+((DATOS!$B$34*H52/((D52*F52)/(D52+2*F52))^(2/3))^2))/2))&gt;0,((AD53+AE53)/2),AE53)</f>
        <v/>
      </c>
      <c r="AH53" s="5">
        <f>IF((((AF53+AG53)/2)+(C53/(D53*((AF53+AG53)/2)))^2/(2*9.81)+B53-(G52+H52^2/(2*9.81))-(A52-A53)*(((DATOS!$B$34*(C53/(D53*((AF53+AG53)/2)))/((D53*((AF53+AG53)/2))/(D53+2*((AF53+AG53)/2)))^(2/3))^2+((DATOS!$B$34*H52/((D52*F52)/(D52+2*F52))^(2/3))^2))/2))&gt;0,AF53,((AF53+AG53)/2))</f>
        <v/>
      </c>
      <c r="AI53" s="5">
        <f>IF((((AF53+AG53)/2)+(C53/(D53*((AF53+AG53)/2)))^2/(2*9.81)+B53-(G52+H52^2/(2*9.81))-(A52-A53)*(((DATOS!$B$34*(C53/(D53*((AF53+AG53)/2)))/((D53*((AF53+AG53)/2))/(D53+2*((AF53+AG53)/2)))^(2/3))^2+((DATOS!$B$34*H52/((D52*F52)/(D52+2*F52))^(2/3))^2))/2))&gt;0,((AF53+AG53)/2),AG53)</f>
        <v/>
      </c>
      <c r="AJ53" s="5">
        <f>IF((((AH53+AI53)/2)+(C53/(D53*((AH53+AI53)/2)))^2/(2*9.81)+B53-(G52+H52^2/(2*9.81))-(A52-A53)*(((DATOS!$B$34*(C53/(D53*((AH53+AI53)/2)))/((D53*((AH53+AI53)/2))/(D53+2*((AH53+AI53)/2)))^(2/3))^2+((DATOS!$B$34*H52/((D52*F52)/(D52+2*F52))^(2/3))^2))/2))&gt;0,AH53,((AH53+AI53)/2))</f>
        <v/>
      </c>
      <c r="AK53" s="5">
        <f>IF((((AH53+AI53)/2)+(C53/(D53*((AH53+AI53)/2)))^2/(2*9.81)+B53-(G52+H52^2/(2*9.81))-(A52-A53)*(((DATOS!$B$34*(C53/(D53*((AH53+AI53)/2)))/((D53*((AH53+AI53)/2))/(D53+2*((AH53+AI53)/2)))^(2/3))^2+((DATOS!$B$34*H52/((D52*F52)/(D52+2*F52))^(2/3))^2))/2))&gt;0,((AH53+AI53)/2),AI53)</f>
        <v/>
      </c>
      <c r="AL53" s="5">
        <f>IF((((AJ53+AK53)/2)+(C53/(D53*((AJ53+AK53)/2)))^2/(2*9.81)+B53-(G52+H52^2/(2*9.81))-(A52-A53)*(((DATOS!$B$34*(C53/(D53*((AJ53+AK53)/2)))/((D53*((AJ53+AK53)/2))/(D53+2*((AJ53+AK53)/2)))^(2/3))^2+((DATOS!$B$34*H52/((D52*F52)/(D52+2*F52))^(2/3))^2))/2))&gt;0,AJ53,((AJ53+AK53)/2))</f>
        <v/>
      </c>
      <c r="AM53" s="5">
        <f>IF((((AJ53+AK53)/2)+(C53/(D53*((AJ53+AK53)/2)))^2/(2*9.81)+B53-(G52+H52^2/(2*9.81))-(A52-A53)*(((DATOS!$B$34*(C53/(D53*((AJ53+AK53)/2)))/((D53*((AJ53+AK53)/2))/(D53+2*((AJ53+AK53)/2)))^(2/3))^2+((DATOS!$B$34*H52/((D52*F52)/(D52+2*F52))^(2/3))^2))/2))&gt;0,((AJ53+AK53)/2),AK53)</f>
        <v/>
      </c>
      <c r="AN53" s="5">
        <f>IF((((AL53+AM53)/2)+(C53/(D53*((AL53+AM53)/2)))^2/(2*9.81)+B53-(G52+H52^2/(2*9.81))-(A52-A53)*(((DATOS!$B$34*(C53/(D53*((AL53+AM53)/2)))/((D53*((AL53+AM53)/2))/(D53+2*((AL53+AM53)/2)))^(2/3))^2+((DATOS!$B$34*H52/((D52*F52)/(D52+2*F52))^(2/3))^2))/2))&gt;0,AL53,((AL53+AM53)/2))</f>
        <v/>
      </c>
      <c r="AO53" s="5">
        <f>IF((((AL53+AM53)/2)+(C53/(D53*((AL53+AM53)/2)))^2/(2*9.81)+B53-(G52+H52^2/(2*9.81))-(A52-A53)*(((DATOS!$B$34*(C53/(D53*((AL53+AM53)/2)))/((D53*((AL53+AM53)/2))/(D53+2*((AL53+AM53)/2)))^(2/3))^2+((DATOS!$B$34*H52/((D52*F52)/(D52+2*F52))^(2/3))^2))/2))&gt;0,((AL53+AM53)/2),AM53)</f>
        <v/>
      </c>
      <c r="AP53" s="5">
        <f>IF((((AN53+AO53)/2)+(C53/(D53*((AN53+AO53)/2)))^2/(2*9.81)+B53-(G52+H52^2/(2*9.81))-(A52-A53)*(((DATOS!$B$34*(C53/(D53*((AN53+AO53)/2)))/((D53*((AN53+AO53)/2))/(D53+2*((AN53+AO53)/2)))^(2/3))^2+((DATOS!$B$34*H52/((D52*F52)/(D52+2*F52))^(2/3))^2))/2))&gt;0,AN53,((AN53+AO53)/2))</f>
        <v/>
      </c>
      <c r="AQ53" s="5">
        <f>IF((((AN53+AO53)/2)+(C53/(D53*((AN53+AO53)/2)))^2/(2*9.81)+B53-(G52+H52^2/(2*9.81))-(A52-A53)*(((DATOS!$B$34*(C53/(D53*((AN53+AO53)/2)))/((D53*((AN53+AO53)/2))/(D53+2*((AN53+AO53)/2)))^(2/3))^2+((DATOS!$B$34*H52/((D52*F52)/(D52+2*F52))^(2/3))^2))/2))&gt;0,((AN53+AO53)/2),AO53)</f>
        <v/>
      </c>
      <c r="AR53" s="5">
        <f>IF((((AP53+AQ53)/2)+(C53/(D53*((AP53+AQ53)/2)))^2/(2*9.81)+B53-(G52+H52^2/(2*9.81))-(A52-A53)*(((DATOS!$B$34*(C53/(D53*((AP53+AQ53)/2)))/((D53*((AP53+AQ53)/2))/(D53+2*((AP53+AQ53)/2)))^(2/3))^2+((DATOS!$B$34*H52/((D52*F52)/(D52+2*F52))^(2/3))^2))/2))&gt;0,AP53,((AP53+AQ53)/2))</f>
        <v/>
      </c>
      <c r="AS53" s="5">
        <f>IF((((AP53+AQ53)/2)+(C53/(D53*((AP53+AQ53)/2)))^2/(2*9.81)+B53-(G52+H52^2/(2*9.81))-(A52-A53)*(((DATOS!$B$34*(C53/(D53*((AP53+AQ53)/2)))/((D53*((AP53+AQ53)/2))/(D53+2*((AP53+AQ53)/2)))^(2/3))^2+((DATOS!$B$34*H52/((D52*F52)/(D52+2*F52))^(2/3))^2))/2))&gt;0,((AP53+AQ53)/2),AQ53)</f>
        <v/>
      </c>
      <c r="AT53" s="5">
        <f>IF((((AR53+AS53)/2)+(C53/(D53*((AR53+AS53)/2)))^2/(2*9.81)+B53-(G52+H52^2/(2*9.81))-(A52-A53)*(((DATOS!$B$34*(C53/(D53*((AR53+AS53)/2)))/((D53*((AR53+AS53)/2))/(D53+2*((AR53+AS53)/2)))^(2/3))^2+((DATOS!$B$34*H52/((D52*F52)/(D52+2*F52))^(2/3))^2))/2))&gt;0,AR53,((AR53+AS53)/2))</f>
        <v/>
      </c>
      <c r="AU53" s="5">
        <f>IF((((AR53+AS53)/2)+(C53/(D53*((AR53+AS53)/2)))^2/(2*9.81)+B53-(G52+H52^2/(2*9.81))-(A52-A53)*(((DATOS!$B$34*(C53/(D53*((AR53+AS53)/2)))/((D53*((AR53+AS53)/2))/(D53+2*((AR53+AS53)/2)))^(2/3))^2+((DATOS!$B$34*H52/((D52*F52)/(D52+2*F52))^(2/3))^2))/2))&gt;0,((AR53+AS53)/2),AS53)</f>
        <v/>
      </c>
      <c r="AV53" s="5">
        <f>IF((((AT53+AU53)/2)+(C53/(D53*((AT53+AU53)/2)))^2/(2*9.81)+B53-(G52+H52^2/(2*9.81))-(A52-A53)*(((DATOS!$B$34*(C53/(D53*((AT53+AU53)/2)))/((D53*((AT53+AU53)/2))/(D53+2*((AT53+AU53)/2)))^(2/3))^2+((DATOS!$B$34*H52/((D52*F52)/(D52+2*F52))^(2/3))^2))/2))&gt;0,AT53,((AT53+AU53)/2))</f>
        <v/>
      </c>
      <c r="AW53" s="5">
        <f>IF((((AT53+AU53)/2)+(C53/(D53*((AT53+AU53)/2)))^2/(2*9.81)+B53-(G52+H52^2/(2*9.81))-(A52-A53)*(((DATOS!$B$34*(C53/(D53*((AT53+AU53)/2)))/((D53*((AT53+AU53)/2))/(D53+2*((AT53+AU53)/2)))^(2/3))^2+((DATOS!$B$34*H52/((D52*F52)/(D52+2*F52))^(2/3))^2))/2))&gt;0,((AT53+AU53)/2),AU53)</f>
        <v/>
      </c>
      <c r="AX53" s="5">
        <f>IF((((AV53+AW53)/2)+(C53/(D53*((AV53+AW53)/2)))^2/(2*9.81)+B53-(G52+H52^2/(2*9.81))-(A52-A53)*(((DATOS!$B$34*(C53/(D53*((AV53+AW53)/2)))/((D53*((AV53+AW53)/2))/(D53+2*((AV53+AW53)/2)))^(2/3))^2+((DATOS!$B$34*H52/((D52*F52)/(D52+2*F52))^(2/3))^2))/2))&gt;0,AV53,((AV53+AW53)/2))</f>
        <v/>
      </c>
      <c r="AY53" s="5">
        <f>IF((((AV53+AW53)/2)+(C53/(D53*((AV53+AW53)/2)))^2/(2*9.81)+B53-(G52+H52^2/(2*9.81))-(A52-A53)*(((DATOS!$B$34*(C53/(D53*((AV53+AW53)/2)))/((D53*((AV53+AW53)/2))/(D53+2*((AV53+AW53)/2)))^(2/3))^2+((DATOS!$B$34*H52/((D52*F52)/(D52+2*F52))^(2/3))^2))/2))&gt;0,((AV53+AW53)/2),AW53)</f>
        <v/>
      </c>
      <c r="AZ53" s="5">
        <f>IF((((AX53+AY53)/2)+(C53/(D53*((AX53+AY53)/2)))^2/(2*9.81)+B53-(G52+H52^2/(2*9.81))-(A52-A53)*(((DATOS!$B$34*(C53/(D53*((AX53+AY53)/2)))/((D53*((AX53+AY53)/2))/(D53+2*((AX53+AY53)/2)))^(2/3))^2+((DATOS!$B$34*H52/((D52*F52)/(D52+2*F52))^(2/3))^2))/2))&gt;0,AX53,((AX53+AY53)/2))</f>
        <v/>
      </c>
      <c r="BA53" s="5">
        <f>IF((((AX53+AY53)/2)+(C53/(D53*((AX53+AY53)/2)))^2/(2*9.81)+B53-(G52+H52^2/(2*9.81))-(A52-A53)*(((DATOS!$B$34*(C53/(D53*((AX53+AY53)/2)))/((D53*((AX53+AY53)/2))/(D53+2*((AX53+AY53)/2)))^(2/3))^2+((DATOS!$B$34*H52/((D52*F52)/(D52+2*F52))^(2/3))^2))/2))&gt;0,((AX53+AY53)/2),AY53)</f>
        <v/>
      </c>
      <c r="BB53" s="5">
        <f>IF((((AZ53+BA53)/2)+(C53/(D53*((AZ53+BA53)/2)))^2/(2*9.81)+B53-(G52+H52^2/(2*9.81))-(A52-A53)*(((DATOS!$B$34*(C53/(D53*((AZ53+BA53)/2)))/((D53*((AZ53+BA53)/2))/(D53+2*((AZ53+BA53)/2)))^(2/3))^2+((DATOS!$B$34*H52/((D52*F52)/(D52+2*F52))^(2/3))^2))/2))&gt;0,AZ53,((AZ53+BA53)/2))</f>
        <v/>
      </c>
      <c r="BC53" s="5">
        <f>IF((((AZ53+BA53)/2)+(C53/(D53*((AZ53+BA53)/2)))^2/(2*9.81)+B53-(G52+H52^2/(2*9.81))-(A52-A53)*(((DATOS!$B$34*(C53/(D53*((AZ53+BA53)/2)))/((D53*((AZ53+BA53)/2))/(D53+2*((AZ53+BA53)/2)))^(2/3))^2+((DATOS!$B$34*H52/((D52*F52)/(D52+2*F52))^(2/3))^2))/2))&gt;0,((AZ53+BA53)/2),BA53)</f>
        <v/>
      </c>
      <c r="BD53" s="5">
        <f>IF((((BB53+BC53)/2)+(C53/(D53*((BB53+BC53)/2)))^2/(2*9.81)+B53-(G52+H52^2/(2*9.81))-(A52-A53)*(((DATOS!$B$34*(C53/(D53*((BB53+BC53)/2)))/((D53*((BB53+BC53)/2))/(D53+2*((BB53+BC53)/2)))^(2/3))^2+((DATOS!$B$34*H52/((D52*F52)/(D52+2*F52))^(2/3))^2))/2))&gt;0,BB53,((BB53+BC53)/2))</f>
        <v/>
      </c>
      <c r="BE53" s="5">
        <f>IF((((BB53+BC53)/2)+(C53/(D53*((BB53+BC53)/2)))^2/(2*9.81)+B53-(G52+H52^2/(2*9.81))-(A52-A53)*(((DATOS!$B$34*(C53/(D53*((BB53+BC53)/2)))/((D53*((BB53+BC53)/2))/(D53+2*((BB53+BC53)/2)))^(2/3))^2+((DATOS!$B$34*H52/((D52*F52)/(D52+2*F52))^(2/3))^2))/2))&gt;0,((BB53+BC53)/2),BC53)</f>
        <v/>
      </c>
      <c r="BF53" s="5">
        <f>IF((((BD53+BE53)/2)+(C53/(D53*((BD53+BE53)/2)))^2/(2*9.81)+B53-(G52+H52^2/(2*9.81))-(A52-A53)*(((DATOS!$B$34*(C53/(D53*((BD53+BE53)/2)))/((D53*((BD53+BE53)/2))/(D53+2*((BD53+BE53)/2)))^(2/3))^2+((DATOS!$B$34*H52/((D52*F52)/(D52+2*F52))^(2/3))^2))/2))&gt;0,BD53,((BD53+BE53)/2))</f>
        <v/>
      </c>
      <c r="BG53" s="5">
        <f>IF((((BD53+BE53)/2)+(C53/(D53*((BD53+BE53)/2)))^2/(2*9.81)+B53-(G52+H52^2/(2*9.81))-(A52-A53)*(((DATOS!$B$34*(C53/(D53*((BD53+BE53)/2)))/((D53*((BD53+BE53)/2))/(D53+2*((BD53+BE53)/2)))^(2/3))^2+((DATOS!$B$34*H52/((D52*F52)/(D52+2*F52))^(2/3))^2))/2))&gt;0,((BD53+BE53)/2),BE53)</f>
        <v/>
      </c>
      <c r="BH53" s="5">
        <f>IF((((BF53+BG53)/2)+(C53/(D53*((BF53+BG53)/2)))^2/(2*9.81)+B53-(G52+H52^2/(2*9.81))-(A52-A53)*(((DATOS!$B$34*(C53/(D53*((BF53+BG53)/2)))/((D53*((BF53+BG53)/2))/(D53+2*((BF53+BG53)/2)))^(2/3))^2+((DATOS!$B$34*H52/((D52*F52)/(D52+2*F52))^(2/3))^2))/2))&gt;0,BF53,((BF53+BG53)/2))</f>
        <v/>
      </c>
      <c r="BI53" s="5">
        <f>IF((((BF53+BG53)/2)+(C53/(D53*((BF53+BG53)/2)))^2/(2*9.81)+B53-(G52+H52^2/(2*9.81))-(A52-A53)*(((DATOS!$B$34*(C53/(D53*((BF53+BG53)/2)))/((D53*((BF53+BG53)/2))/(D53+2*((BF53+BG53)/2)))^(2/3))^2+((DATOS!$B$34*H52/((D52*F52)/(D52+2*F52))^(2/3))^2))/2))&gt;0,((BF53+BG53)/2),BG53)</f>
        <v/>
      </c>
      <c r="BJ53" s="5">
        <f>IF((((BH53+BI53)/2)+(C53/(D53*((BH53+BI53)/2)))^2/(2*9.81)+B53-(G52+H52^2/(2*9.81))-(A52-A53)*(((DATOS!$B$34*(C53/(D53*((BH53+BI53)/2)))/((D53*((BH53+BI53)/2))/(D53+2*((BH53+BI53)/2)))^(2/3))^2+((DATOS!$B$34*H52/((D52*F52)/(D52+2*F52))^(2/3))^2))/2))&gt;0,BH53,((BH53+BI53)/2))</f>
        <v/>
      </c>
      <c r="BK53" s="5">
        <f>IF((((BH53+BI53)/2)+(C53/(D53*((BH53+BI53)/2)))^2/(2*9.81)+B53-(G52+H52^2/(2*9.81))-(A52-A53)*(((DATOS!$B$34*(C53/(D53*((BH53+BI53)/2)))/((D53*((BH53+BI53)/2))/(D53+2*((BH53+BI53)/2)))^(2/3))^2+((DATOS!$B$34*H52/((D52*F52)/(D52+2*F52))^(2/3))^2))/2))&gt;0,((BH53+BI53)/2),BI53)</f>
        <v/>
      </c>
      <c r="BL53" s="5">
        <f>IF((((BJ53+BK53)/2)+(C53/(D53*((BJ53+BK53)/2)))^2/(2*9.81)+B53-(G52+H52^2/(2*9.81))-(A52-A53)*(((DATOS!$B$34*(C53/(D53*((BJ53+BK53)/2)))/((D53*((BJ53+BK53)/2))/(D53+2*((BJ53+BK53)/2)))^(2/3))^2+((DATOS!$B$34*H52/((D52*F52)/(D52+2*F52))^(2/3))^2))/2))&gt;0,BJ53,((BJ53+BK53)/2))</f>
        <v/>
      </c>
      <c r="BM53" s="5">
        <f>IF((((BJ53+BK53)/2)+(C53/(D53*((BJ53+BK53)/2)))^2/(2*9.81)+B53-(G52+H52^2/(2*9.81))-(A52-A53)*(((DATOS!$B$34*(C53/(D53*((BJ53+BK53)/2)))/((D53*((BJ53+BK53)/2))/(D53+2*((BJ53+BK53)/2)))^(2/3))^2+((DATOS!$B$34*H52/((D52*F52)/(D52+2*F52))^(2/3))^2))/2))&gt;0,((BJ53+BK53)/2),BK53)</f>
        <v/>
      </c>
      <c r="BN53" s="5">
        <f>IF((((BL53+BM53)/2)+(C53/(D53*((BL53+BM53)/2)))^2/(2*9.81)+B53-(G52+H52^2/(2*9.81))-(A52-A53)*(((DATOS!$B$34*(C53/(D53*((BL53+BM53)/2)))/((D53*((BL53+BM53)/2))/(D53+2*((BL53+BM53)/2)))^(2/3))^2+((DATOS!$B$34*H52/((D52*F52)/(D52+2*F52))^(2/3))^2))/2))&gt;0,BL53,((BL53+BM53)/2))</f>
        <v/>
      </c>
      <c r="BO53" s="5">
        <f>IF((((BL53+BM53)/2)+(C53/(D53*((BL53+BM53)/2)))^2/(2*9.81)+B53-(G52+H52^2/(2*9.81))-(A52-A53)*(((DATOS!$B$34*(C53/(D53*((BL53+BM53)/2)))/((D53*((BL53+BM53)/2))/(D53+2*((BL53+BM53)/2)))^(2/3))^2+((DATOS!$B$34*H52/((D52*F52)/(D52+2*F52))^(2/3))^2))/2))&gt;0,((BL53+BM53)/2),BM53)</f>
        <v/>
      </c>
      <c r="BP53" s="5">
        <f>IF((((BN53+BO53)/2)+(C53/(D53*((BN53+BO53)/2)))^2/(2*9.81)+B53-(G52+H52^2/(2*9.81))-(A52-A53)*(((DATOS!$B$34*(C53/(D53*((BN53+BO53)/2)))/((D53*((BN53+BO53)/2))/(D53+2*((BN53+BO53)/2)))^(2/3))^2+((DATOS!$B$34*H52/((D52*F52)/(D52+2*F52))^(2/3))^2))/2))&gt;0,BN53,((BN53+BO53)/2))</f>
        <v/>
      </c>
      <c r="BQ53" s="5">
        <f>IF((((BN53+BO53)/2)+(C53/(D53*((BN53+BO53)/2)))^2/(2*9.81)+B53-(G52+H52^2/(2*9.81))-(A52-A53)*(((DATOS!$B$34*(C53/(D53*((BN53+BO53)/2)))/((D53*((BN53+BO53)/2))/(D53+2*((BN53+BO53)/2)))^(2/3))^2+((DATOS!$B$34*H52/((D52*F52)/(D52+2*F52))^(2/3))^2))/2))&gt;0,((BN53+BO53)/2),BO53)</f>
        <v/>
      </c>
      <c r="BR53" s="5">
        <f>IF((((BP53+BQ53)/2)+(C53/(D53*((BP53+BQ53)/2)))^2/(2*9.81)+B53-(G52+H52^2/(2*9.81))-(A52-A53)*(((DATOS!$B$34*(C53/(D53*((BP53+BQ53)/2)))/((D53*((BP53+BQ53)/2))/(D53+2*((BP53+BQ53)/2)))^(2/3))^2+((DATOS!$B$34*H52/((D52*F52)/(D52+2*F52))^(2/3))^2))/2))&gt;0,BP53,((BP53+BQ53)/2))</f>
        <v/>
      </c>
      <c r="BS53" s="5">
        <f>IF((((BP53+BQ53)/2)+(C53/(D53*((BP53+BQ53)/2)))^2/(2*9.81)+B53-(G52+H52^2/(2*9.81))-(A52-A53)*(((DATOS!$B$34*(C53/(D53*((BP53+BQ53)/2)))/((D53*((BP53+BQ53)/2))/(D53+2*((BP53+BQ53)/2)))^(2/3))^2+((DATOS!$B$34*H52/((D52*F52)/(D52+2*F52))^(2/3))^2))/2))&gt;0,((BP53+BQ53)/2),BQ53)</f>
        <v/>
      </c>
      <c r="BT53" s="5">
        <f>IF((((BR53+BS53)/2)+(C53/(D53*((BR53+BS53)/2)))^2/(2*9.81)+B53-(G52+H52^2/(2*9.81))-(A52-A53)*(((DATOS!$B$34*(C53/(D53*((BR53+BS53)/2)))/((D53*((BR53+BS53)/2))/(D53+2*((BR53+BS53)/2)))^(2/3))^2+((DATOS!$B$34*H52/((D52*F52)/(D52+2*F52))^(2/3))^2))/2))&gt;0,BR53,((BR53+BS53)/2))</f>
        <v/>
      </c>
      <c r="BU53" s="5">
        <f>IF((((BR53+BS53)/2)+(C53/(D53*((BR53+BS53)/2)))^2/(2*9.81)+B53-(G52+H52^2/(2*9.81))-(A52-A53)*(((DATOS!$B$34*(C53/(D53*((BR53+BS53)/2)))/((D53*((BR53+BS53)/2))/(D53+2*((BR53+BS53)/2)))^(2/3))^2+((DATOS!$B$34*H52/((D52*F52)/(D52+2*F52))^(2/3))^2))/2))&gt;0,((BR53+BS53)/2),BS53)</f>
        <v/>
      </c>
      <c r="BV53" s="5">
        <f>IF((((BT53+BU53)/2)+(C53/(D53*((BT53+BU53)/2)))^2/(2*9.81)+B53-(G52+H52^2/(2*9.81))-(A52-A53)*(((DATOS!$B$34*(C53/(D53*((BT53+BU53)/2)))/((D53*((BT53+BU53)/2))/(D53+2*((BT53+BU53)/2)))^(2/3))^2+((DATOS!$B$34*H52/((D52*F52)/(D52+2*F52))^(2/3))^2))/2))&gt;0,BT53,((BT53+BU53)/2))</f>
        <v/>
      </c>
      <c r="BW53" s="5">
        <f>IF((((BT53+BU53)/2)+(C53/(D53*((BT53+BU53)/2)))^2/(2*9.81)+B53-(G52+H52^2/(2*9.81))-(A52-A53)*(((DATOS!$B$34*(C53/(D53*((BT53+BU53)/2)))/((D53*((BT53+BU53)/2))/(D53+2*((BT53+BU53)/2)))^(2/3))^2+((DATOS!$B$34*H52/((D52*F52)/(D52+2*F52))^(2/3))^2))/2))&gt;0,((BT53+BU53)/2),BU53)</f>
        <v/>
      </c>
    </row>
    <row r="54">
      <c r="A54" s="13" t="n">
        <v>32</v>
      </c>
      <c r="B54" s="16">
        <f>DATOS!$B$22-DATOS!$B$23*A54</f>
        <v/>
      </c>
      <c r="C54" s="24">
        <f>CAUDALES!$B$13</f>
        <v/>
      </c>
      <c r="D54" s="17">
        <f>DATOS!$B$17</f>
        <v/>
      </c>
      <c r="E54" s="16">
        <f>(C54^2/(9.81*D54^2))^(1/3)</f>
        <v/>
      </c>
      <c r="F54" s="16">
        <f>(BV54+BW54)/2</f>
        <v/>
      </c>
      <c r="G54" s="16">
        <f>B54+F54</f>
        <v/>
      </c>
      <c r="H54" s="19">
        <f>C54/(D54*F54)</f>
        <v/>
      </c>
      <c r="I54" s="19">
        <f>H54/SQRT(9.81*F54)</f>
        <v/>
      </c>
      <c r="J54" s="16">
        <f>DATOS!$B$29-IF(AND(A54&gt;=DATOS!$B$30,A54&lt;DATOS!$B$31),DATOS!$B$21,DATOS!$B$20)</f>
        <v/>
      </c>
      <c r="K54" s="19">
        <f>J54-B54</f>
        <v/>
      </c>
      <c r="L54" s="19">
        <f>F54/K54</f>
        <v/>
      </c>
      <c r="M54" s="16">
        <f>J54-G54</f>
        <v/>
      </c>
      <c r="N54" s="5">
        <f>IF(AND(L54&lt;=DATOS!$B$36,M54&gt;=DATOS!$B$37,I54&lt;=1),"CUMPLE","NO CUMPLE")</f>
        <v/>
      </c>
      <c r="O54" s="5">
        <f>IF(AND(A54&gt;=DATOS!$B$30,A54&lt;DATOS!$B$31),"cruce de camiones",IF(AND(A54&gt;=DATOS!$B$32,A54&lt;DATOS!$B$33),"cruce de motos","tramo normal"))</f>
        <v/>
      </c>
      <c r="P54" s="5">
        <f>E54*1.001</f>
        <v/>
      </c>
      <c r="Q54" s="13" t="n">
        <v>3</v>
      </c>
      <c r="R54" s="5">
        <f>IF((((P54+Q54)/2)+(C54/(D54*((P54+Q54)/2)))^2/(2*9.81)+B54-(G53+H53^2/(2*9.81))-(A53-A54)*(((DATOS!$B$34*(C54/(D54*((P54+Q54)/2)))/((D54*((P54+Q54)/2))/(D54+2*((P54+Q54)/2)))^(2/3))^2+((DATOS!$B$34*H53/((D53*F53)/(D53+2*F53))^(2/3))^2))/2))&gt;0,P54,((P54+Q54)/2))</f>
        <v/>
      </c>
      <c r="S54" s="5">
        <f>IF((((P54+Q54)/2)+(C54/(D54*((P54+Q54)/2)))^2/(2*9.81)+B54-(G53+H53^2/(2*9.81))-(A53-A54)*(((DATOS!$B$34*(C54/(D54*((P54+Q54)/2)))/((D54*((P54+Q54)/2))/(D54+2*((P54+Q54)/2)))^(2/3))^2+((DATOS!$B$34*H53/((D53*F53)/(D53+2*F53))^(2/3))^2))/2))&gt;0,((P54+Q54)/2),Q54)</f>
        <v/>
      </c>
      <c r="T54" s="5">
        <f>IF((((R54+S54)/2)+(C54/(D54*((R54+S54)/2)))^2/(2*9.81)+B54-(G53+H53^2/(2*9.81))-(A53-A54)*(((DATOS!$B$34*(C54/(D54*((R54+S54)/2)))/((D54*((R54+S54)/2))/(D54+2*((R54+S54)/2)))^(2/3))^2+((DATOS!$B$34*H53/((D53*F53)/(D53+2*F53))^(2/3))^2))/2))&gt;0,R54,((R54+S54)/2))</f>
        <v/>
      </c>
      <c r="U54" s="5">
        <f>IF((((R54+S54)/2)+(C54/(D54*((R54+S54)/2)))^2/(2*9.81)+B54-(G53+H53^2/(2*9.81))-(A53-A54)*(((DATOS!$B$34*(C54/(D54*((R54+S54)/2)))/((D54*((R54+S54)/2))/(D54+2*((R54+S54)/2)))^(2/3))^2+((DATOS!$B$34*H53/((D53*F53)/(D53+2*F53))^(2/3))^2))/2))&gt;0,((R54+S54)/2),S54)</f>
        <v/>
      </c>
      <c r="V54" s="5">
        <f>IF((((T54+U54)/2)+(C54/(D54*((T54+U54)/2)))^2/(2*9.81)+B54-(G53+H53^2/(2*9.81))-(A53-A54)*(((DATOS!$B$34*(C54/(D54*((T54+U54)/2)))/((D54*((T54+U54)/2))/(D54+2*((T54+U54)/2)))^(2/3))^2+((DATOS!$B$34*H53/((D53*F53)/(D53+2*F53))^(2/3))^2))/2))&gt;0,T54,((T54+U54)/2))</f>
        <v/>
      </c>
      <c r="W54" s="5">
        <f>IF((((T54+U54)/2)+(C54/(D54*((T54+U54)/2)))^2/(2*9.81)+B54-(G53+H53^2/(2*9.81))-(A53-A54)*(((DATOS!$B$34*(C54/(D54*((T54+U54)/2)))/((D54*((T54+U54)/2))/(D54+2*((T54+U54)/2)))^(2/3))^2+((DATOS!$B$34*H53/((D53*F53)/(D53+2*F53))^(2/3))^2))/2))&gt;0,((T54+U54)/2),U54)</f>
        <v/>
      </c>
      <c r="X54" s="5">
        <f>IF((((V54+W54)/2)+(C54/(D54*((V54+W54)/2)))^2/(2*9.81)+B54-(G53+H53^2/(2*9.81))-(A53-A54)*(((DATOS!$B$34*(C54/(D54*((V54+W54)/2)))/((D54*((V54+W54)/2))/(D54+2*((V54+W54)/2)))^(2/3))^2+((DATOS!$B$34*H53/((D53*F53)/(D53+2*F53))^(2/3))^2))/2))&gt;0,V54,((V54+W54)/2))</f>
        <v/>
      </c>
      <c r="Y54" s="5">
        <f>IF((((V54+W54)/2)+(C54/(D54*((V54+W54)/2)))^2/(2*9.81)+B54-(G53+H53^2/(2*9.81))-(A53-A54)*(((DATOS!$B$34*(C54/(D54*((V54+W54)/2)))/((D54*((V54+W54)/2))/(D54+2*((V54+W54)/2)))^(2/3))^2+((DATOS!$B$34*H53/((D53*F53)/(D53+2*F53))^(2/3))^2))/2))&gt;0,((V54+W54)/2),W54)</f>
        <v/>
      </c>
      <c r="Z54" s="5">
        <f>IF((((X54+Y54)/2)+(C54/(D54*((X54+Y54)/2)))^2/(2*9.81)+B54-(G53+H53^2/(2*9.81))-(A53-A54)*(((DATOS!$B$34*(C54/(D54*((X54+Y54)/2)))/((D54*((X54+Y54)/2))/(D54+2*((X54+Y54)/2)))^(2/3))^2+((DATOS!$B$34*H53/((D53*F53)/(D53+2*F53))^(2/3))^2))/2))&gt;0,X54,((X54+Y54)/2))</f>
        <v/>
      </c>
      <c r="AA54" s="5">
        <f>IF((((X54+Y54)/2)+(C54/(D54*((X54+Y54)/2)))^2/(2*9.81)+B54-(G53+H53^2/(2*9.81))-(A53-A54)*(((DATOS!$B$34*(C54/(D54*((X54+Y54)/2)))/((D54*((X54+Y54)/2))/(D54+2*((X54+Y54)/2)))^(2/3))^2+((DATOS!$B$34*H53/((D53*F53)/(D53+2*F53))^(2/3))^2))/2))&gt;0,((X54+Y54)/2),Y54)</f>
        <v/>
      </c>
      <c r="AB54" s="5">
        <f>IF((((Z54+AA54)/2)+(C54/(D54*((Z54+AA54)/2)))^2/(2*9.81)+B54-(G53+H53^2/(2*9.81))-(A53-A54)*(((DATOS!$B$34*(C54/(D54*((Z54+AA54)/2)))/((D54*((Z54+AA54)/2))/(D54+2*((Z54+AA54)/2)))^(2/3))^2+((DATOS!$B$34*H53/((D53*F53)/(D53+2*F53))^(2/3))^2))/2))&gt;0,Z54,((Z54+AA54)/2))</f>
        <v/>
      </c>
      <c r="AC54" s="5">
        <f>IF((((Z54+AA54)/2)+(C54/(D54*((Z54+AA54)/2)))^2/(2*9.81)+B54-(G53+H53^2/(2*9.81))-(A53-A54)*(((DATOS!$B$34*(C54/(D54*((Z54+AA54)/2)))/((D54*((Z54+AA54)/2))/(D54+2*((Z54+AA54)/2)))^(2/3))^2+((DATOS!$B$34*H53/((D53*F53)/(D53+2*F53))^(2/3))^2))/2))&gt;0,((Z54+AA54)/2),AA54)</f>
        <v/>
      </c>
      <c r="AD54" s="5">
        <f>IF((((AB54+AC54)/2)+(C54/(D54*((AB54+AC54)/2)))^2/(2*9.81)+B54-(G53+H53^2/(2*9.81))-(A53-A54)*(((DATOS!$B$34*(C54/(D54*((AB54+AC54)/2)))/((D54*((AB54+AC54)/2))/(D54+2*((AB54+AC54)/2)))^(2/3))^2+((DATOS!$B$34*H53/((D53*F53)/(D53+2*F53))^(2/3))^2))/2))&gt;0,AB54,((AB54+AC54)/2))</f>
        <v/>
      </c>
      <c r="AE54" s="5">
        <f>IF((((AB54+AC54)/2)+(C54/(D54*((AB54+AC54)/2)))^2/(2*9.81)+B54-(G53+H53^2/(2*9.81))-(A53-A54)*(((DATOS!$B$34*(C54/(D54*((AB54+AC54)/2)))/((D54*((AB54+AC54)/2))/(D54+2*((AB54+AC54)/2)))^(2/3))^2+((DATOS!$B$34*H53/((D53*F53)/(D53+2*F53))^(2/3))^2))/2))&gt;0,((AB54+AC54)/2),AC54)</f>
        <v/>
      </c>
      <c r="AF54" s="5">
        <f>IF((((AD54+AE54)/2)+(C54/(D54*((AD54+AE54)/2)))^2/(2*9.81)+B54-(G53+H53^2/(2*9.81))-(A53-A54)*(((DATOS!$B$34*(C54/(D54*((AD54+AE54)/2)))/((D54*((AD54+AE54)/2))/(D54+2*((AD54+AE54)/2)))^(2/3))^2+((DATOS!$B$34*H53/((D53*F53)/(D53+2*F53))^(2/3))^2))/2))&gt;0,AD54,((AD54+AE54)/2))</f>
        <v/>
      </c>
      <c r="AG54" s="5">
        <f>IF((((AD54+AE54)/2)+(C54/(D54*((AD54+AE54)/2)))^2/(2*9.81)+B54-(G53+H53^2/(2*9.81))-(A53-A54)*(((DATOS!$B$34*(C54/(D54*((AD54+AE54)/2)))/((D54*((AD54+AE54)/2))/(D54+2*((AD54+AE54)/2)))^(2/3))^2+((DATOS!$B$34*H53/((D53*F53)/(D53+2*F53))^(2/3))^2))/2))&gt;0,((AD54+AE54)/2),AE54)</f>
        <v/>
      </c>
      <c r="AH54" s="5">
        <f>IF((((AF54+AG54)/2)+(C54/(D54*((AF54+AG54)/2)))^2/(2*9.81)+B54-(G53+H53^2/(2*9.81))-(A53-A54)*(((DATOS!$B$34*(C54/(D54*((AF54+AG54)/2)))/((D54*((AF54+AG54)/2))/(D54+2*((AF54+AG54)/2)))^(2/3))^2+((DATOS!$B$34*H53/((D53*F53)/(D53+2*F53))^(2/3))^2))/2))&gt;0,AF54,((AF54+AG54)/2))</f>
        <v/>
      </c>
      <c r="AI54" s="5">
        <f>IF((((AF54+AG54)/2)+(C54/(D54*((AF54+AG54)/2)))^2/(2*9.81)+B54-(G53+H53^2/(2*9.81))-(A53-A54)*(((DATOS!$B$34*(C54/(D54*((AF54+AG54)/2)))/((D54*((AF54+AG54)/2))/(D54+2*((AF54+AG54)/2)))^(2/3))^2+((DATOS!$B$34*H53/((D53*F53)/(D53+2*F53))^(2/3))^2))/2))&gt;0,((AF54+AG54)/2),AG54)</f>
        <v/>
      </c>
      <c r="AJ54" s="5">
        <f>IF((((AH54+AI54)/2)+(C54/(D54*((AH54+AI54)/2)))^2/(2*9.81)+B54-(G53+H53^2/(2*9.81))-(A53-A54)*(((DATOS!$B$34*(C54/(D54*((AH54+AI54)/2)))/((D54*((AH54+AI54)/2))/(D54+2*((AH54+AI54)/2)))^(2/3))^2+((DATOS!$B$34*H53/((D53*F53)/(D53+2*F53))^(2/3))^2))/2))&gt;0,AH54,((AH54+AI54)/2))</f>
        <v/>
      </c>
      <c r="AK54" s="5">
        <f>IF((((AH54+AI54)/2)+(C54/(D54*((AH54+AI54)/2)))^2/(2*9.81)+B54-(G53+H53^2/(2*9.81))-(A53-A54)*(((DATOS!$B$34*(C54/(D54*((AH54+AI54)/2)))/((D54*((AH54+AI54)/2))/(D54+2*((AH54+AI54)/2)))^(2/3))^2+((DATOS!$B$34*H53/((D53*F53)/(D53+2*F53))^(2/3))^2))/2))&gt;0,((AH54+AI54)/2),AI54)</f>
        <v/>
      </c>
      <c r="AL54" s="5">
        <f>IF((((AJ54+AK54)/2)+(C54/(D54*((AJ54+AK54)/2)))^2/(2*9.81)+B54-(G53+H53^2/(2*9.81))-(A53-A54)*(((DATOS!$B$34*(C54/(D54*((AJ54+AK54)/2)))/((D54*((AJ54+AK54)/2))/(D54+2*((AJ54+AK54)/2)))^(2/3))^2+((DATOS!$B$34*H53/((D53*F53)/(D53+2*F53))^(2/3))^2))/2))&gt;0,AJ54,((AJ54+AK54)/2))</f>
        <v/>
      </c>
      <c r="AM54" s="5">
        <f>IF((((AJ54+AK54)/2)+(C54/(D54*((AJ54+AK54)/2)))^2/(2*9.81)+B54-(G53+H53^2/(2*9.81))-(A53-A54)*(((DATOS!$B$34*(C54/(D54*((AJ54+AK54)/2)))/((D54*((AJ54+AK54)/2))/(D54+2*((AJ54+AK54)/2)))^(2/3))^2+((DATOS!$B$34*H53/((D53*F53)/(D53+2*F53))^(2/3))^2))/2))&gt;0,((AJ54+AK54)/2),AK54)</f>
        <v/>
      </c>
      <c r="AN54" s="5">
        <f>IF((((AL54+AM54)/2)+(C54/(D54*((AL54+AM54)/2)))^2/(2*9.81)+B54-(G53+H53^2/(2*9.81))-(A53-A54)*(((DATOS!$B$34*(C54/(D54*((AL54+AM54)/2)))/((D54*((AL54+AM54)/2))/(D54+2*((AL54+AM54)/2)))^(2/3))^2+((DATOS!$B$34*H53/((D53*F53)/(D53+2*F53))^(2/3))^2))/2))&gt;0,AL54,((AL54+AM54)/2))</f>
        <v/>
      </c>
      <c r="AO54" s="5">
        <f>IF((((AL54+AM54)/2)+(C54/(D54*((AL54+AM54)/2)))^2/(2*9.81)+B54-(G53+H53^2/(2*9.81))-(A53-A54)*(((DATOS!$B$34*(C54/(D54*((AL54+AM54)/2)))/((D54*((AL54+AM54)/2))/(D54+2*((AL54+AM54)/2)))^(2/3))^2+((DATOS!$B$34*H53/((D53*F53)/(D53+2*F53))^(2/3))^2))/2))&gt;0,((AL54+AM54)/2),AM54)</f>
        <v/>
      </c>
      <c r="AP54" s="5">
        <f>IF((((AN54+AO54)/2)+(C54/(D54*((AN54+AO54)/2)))^2/(2*9.81)+B54-(G53+H53^2/(2*9.81))-(A53-A54)*(((DATOS!$B$34*(C54/(D54*((AN54+AO54)/2)))/((D54*((AN54+AO54)/2))/(D54+2*((AN54+AO54)/2)))^(2/3))^2+((DATOS!$B$34*H53/((D53*F53)/(D53+2*F53))^(2/3))^2))/2))&gt;0,AN54,((AN54+AO54)/2))</f>
        <v/>
      </c>
      <c r="AQ54" s="5">
        <f>IF((((AN54+AO54)/2)+(C54/(D54*((AN54+AO54)/2)))^2/(2*9.81)+B54-(G53+H53^2/(2*9.81))-(A53-A54)*(((DATOS!$B$34*(C54/(D54*((AN54+AO54)/2)))/((D54*((AN54+AO54)/2))/(D54+2*((AN54+AO54)/2)))^(2/3))^2+((DATOS!$B$34*H53/((D53*F53)/(D53+2*F53))^(2/3))^2))/2))&gt;0,((AN54+AO54)/2),AO54)</f>
        <v/>
      </c>
      <c r="AR54" s="5">
        <f>IF((((AP54+AQ54)/2)+(C54/(D54*((AP54+AQ54)/2)))^2/(2*9.81)+B54-(G53+H53^2/(2*9.81))-(A53-A54)*(((DATOS!$B$34*(C54/(D54*((AP54+AQ54)/2)))/((D54*((AP54+AQ54)/2))/(D54+2*((AP54+AQ54)/2)))^(2/3))^2+((DATOS!$B$34*H53/((D53*F53)/(D53+2*F53))^(2/3))^2))/2))&gt;0,AP54,((AP54+AQ54)/2))</f>
        <v/>
      </c>
      <c r="AS54" s="5">
        <f>IF((((AP54+AQ54)/2)+(C54/(D54*((AP54+AQ54)/2)))^2/(2*9.81)+B54-(G53+H53^2/(2*9.81))-(A53-A54)*(((DATOS!$B$34*(C54/(D54*((AP54+AQ54)/2)))/((D54*((AP54+AQ54)/2))/(D54+2*((AP54+AQ54)/2)))^(2/3))^2+((DATOS!$B$34*H53/((D53*F53)/(D53+2*F53))^(2/3))^2))/2))&gt;0,((AP54+AQ54)/2),AQ54)</f>
        <v/>
      </c>
      <c r="AT54" s="5">
        <f>IF((((AR54+AS54)/2)+(C54/(D54*((AR54+AS54)/2)))^2/(2*9.81)+B54-(G53+H53^2/(2*9.81))-(A53-A54)*(((DATOS!$B$34*(C54/(D54*((AR54+AS54)/2)))/((D54*((AR54+AS54)/2))/(D54+2*((AR54+AS54)/2)))^(2/3))^2+((DATOS!$B$34*H53/((D53*F53)/(D53+2*F53))^(2/3))^2))/2))&gt;0,AR54,((AR54+AS54)/2))</f>
        <v/>
      </c>
      <c r="AU54" s="5">
        <f>IF((((AR54+AS54)/2)+(C54/(D54*((AR54+AS54)/2)))^2/(2*9.81)+B54-(G53+H53^2/(2*9.81))-(A53-A54)*(((DATOS!$B$34*(C54/(D54*((AR54+AS54)/2)))/((D54*((AR54+AS54)/2))/(D54+2*((AR54+AS54)/2)))^(2/3))^2+((DATOS!$B$34*H53/((D53*F53)/(D53+2*F53))^(2/3))^2))/2))&gt;0,((AR54+AS54)/2),AS54)</f>
        <v/>
      </c>
      <c r="AV54" s="5">
        <f>IF((((AT54+AU54)/2)+(C54/(D54*((AT54+AU54)/2)))^2/(2*9.81)+B54-(G53+H53^2/(2*9.81))-(A53-A54)*(((DATOS!$B$34*(C54/(D54*((AT54+AU54)/2)))/((D54*((AT54+AU54)/2))/(D54+2*((AT54+AU54)/2)))^(2/3))^2+((DATOS!$B$34*H53/((D53*F53)/(D53+2*F53))^(2/3))^2))/2))&gt;0,AT54,((AT54+AU54)/2))</f>
        <v/>
      </c>
      <c r="AW54" s="5">
        <f>IF((((AT54+AU54)/2)+(C54/(D54*((AT54+AU54)/2)))^2/(2*9.81)+B54-(G53+H53^2/(2*9.81))-(A53-A54)*(((DATOS!$B$34*(C54/(D54*((AT54+AU54)/2)))/((D54*((AT54+AU54)/2))/(D54+2*((AT54+AU54)/2)))^(2/3))^2+((DATOS!$B$34*H53/((D53*F53)/(D53+2*F53))^(2/3))^2))/2))&gt;0,((AT54+AU54)/2),AU54)</f>
        <v/>
      </c>
      <c r="AX54" s="5">
        <f>IF((((AV54+AW54)/2)+(C54/(D54*((AV54+AW54)/2)))^2/(2*9.81)+B54-(G53+H53^2/(2*9.81))-(A53-A54)*(((DATOS!$B$34*(C54/(D54*((AV54+AW54)/2)))/((D54*((AV54+AW54)/2))/(D54+2*((AV54+AW54)/2)))^(2/3))^2+((DATOS!$B$34*H53/((D53*F53)/(D53+2*F53))^(2/3))^2))/2))&gt;0,AV54,((AV54+AW54)/2))</f>
        <v/>
      </c>
      <c r="AY54" s="5">
        <f>IF((((AV54+AW54)/2)+(C54/(D54*((AV54+AW54)/2)))^2/(2*9.81)+B54-(G53+H53^2/(2*9.81))-(A53-A54)*(((DATOS!$B$34*(C54/(D54*((AV54+AW54)/2)))/((D54*((AV54+AW54)/2))/(D54+2*((AV54+AW54)/2)))^(2/3))^2+((DATOS!$B$34*H53/((D53*F53)/(D53+2*F53))^(2/3))^2))/2))&gt;0,((AV54+AW54)/2),AW54)</f>
        <v/>
      </c>
      <c r="AZ54" s="5">
        <f>IF((((AX54+AY54)/2)+(C54/(D54*((AX54+AY54)/2)))^2/(2*9.81)+B54-(G53+H53^2/(2*9.81))-(A53-A54)*(((DATOS!$B$34*(C54/(D54*((AX54+AY54)/2)))/((D54*((AX54+AY54)/2))/(D54+2*((AX54+AY54)/2)))^(2/3))^2+((DATOS!$B$34*H53/((D53*F53)/(D53+2*F53))^(2/3))^2))/2))&gt;0,AX54,((AX54+AY54)/2))</f>
        <v/>
      </c>
      <c r="BA54" s="5">
        <f>IF((((AX54+AY54)/2)+(C54/(D54*((AX54+AY54)/2)))^2/(2*9.81)+B54-(G53+H53^2/(2*9.81))-(A53-A54)*(((DATOS!$B$34*(C54/(D54*((AX54+AY54)/2)))/((D54*((AX54+AY54)/2))/(D54+2*((AX54+AY54)/2)))^(2/3))^2+((DATOS!$B$34*H53/((D53*F53)/(D53+2*F53))^(2/3))^2))/2))&gt;0,((AX54+AY54)/2),AY54)</f>
        <v/>
      </c>
      <c r="BB54" s="5">
        <f>IF((((AZ54+BA54)/2)+(C54/(D54*((AZ54+BA54)/2)))^2/(2*9.81)+B54-(G53+H53^2/(2*9.81))-(A53-A54)*(((DATOS!$B$34*(C54/(D54*((AZ54+BA54)/2)))/((D54*((AZ54+BA54)/2))/(D54+2*((AZ54+BA54)/2)))^(2/3))^2+((DATOS!$B$34*H53/((D53*F53)/(D53+2*F53))^(2/3))^2))/2))&gt;0,AZ54,((AZ54+BA54)/2))</f>
        <v/>
      </c>
      <c r="BC54" s="5">
        <f>IF((((AZ54+BA54)/2)+(C54/(D54*((AZ54+BA54)/2)))^2/(2*9.81)+B54-(G53+H53^2/(2*9.81))-(A53-A54)*(((DATOS!$B$34*(C54/(D54*((AZ54+BA54)/2)))/((D54*((AZ54+BA54)/2))/(D54+2*((AZ54+BA54)/2)))^(2/3))^2+((DATOS!$B$34*H53/((D53*F53)/(D53+2*F53))^(2/3))^2))/2))&gt;0,((AZ54+BA54)/2),BA54)</f>
        <v/>
      </c>
      <c r="BD54" s="5">
        <f>IF((((BB54+BC54)/2)+(C54/(D54*((BB54+BC54)/2)))^2/(2*9.81)+B54-(G53+H53^2/(2*9.81))-(A53-A54)*(((DATOS!$B$34*(C54/(D54*((BB54+BC54)/2)))/((D54*((BB54+BC54)/2))/(D54+2*((BB54+BC54)/2)))^(2/3))^2+((DATOS!$B$34*H53/((D53*F53)/(D53+2*F53))^(2/3))^2))/2))&gt;0,BB54,((BB54+BC54)/2))</f>
        <v/>
      </c>
      <c r="BE54" s="5">
        <f>IF((((BB54+BC54)/2)+(C54/(D54*((BB54+BC54)/2)))^2/(2*9.81)+B54-(G53+H53^2/(2*9.81))-(A53-A54)*(((DATOS!$B$34*(C54/(D54*((BB54+BC54)/2)))/((D54*((BB54+BC54)/2))/(D54+2*((BB54+BC54)/2)))^(2/3))^2+((DATOS!$B$34*H53/((D53*F53)/(D53+2*F53))^(2/3))^2))/2))&gt;0,((BB54+BC54)/2),BC54)</f>
        <v/>
      </c>
      <c r="BF54" s="5">
        <f>IF((((BD54+BE54)/2)+(C54/(D54*((BD54+BE54)/2)))^2/(2*9.81)+B54-(G53+H53^2/(2*9.81))-(A53-A54)*(((DATOS!$B$34*(C54/(D54*((BD54+BE54)/2)))/((D54*((BD54+BE54)/2))/(D54+2*((BD54+BE54)/2)))^(2/3))^2+((DATOS!$B$34*H53/((D53*F53)/(D53+2*F53))^(2/3))^2))/2))&gt;0,BD54,((BD54+BE54)/2))</f>
        <v/>
      </c>
      <c r="BG54" s="5">
        <f>IF((((BD54+BE54)/2)+(C54/(D54*((BD54+BE54)/2)))^2/(2*9.81)+B54-(G53+H53^2/(2*9.81))-(A53-A54)*(((DATOS!$B$34*(C54/(D54*((BD54+BE54)/2)))/((D54*((BD54+BE54)/2))/(D54+2*((BD54+BE54)/2)))^(2/3))^2+((DATOS!$B$34*H53/((D53*F53)/(D53+2*F53))^(2/3))^2))/2))&gt;0,((BD54+BE54)/2),BE54)</f>
        <v/>
      </c>
      <c r="BH54" s="5">
        <f>IF((((BF54+BG54)/2)+(C54/(D54*((BF54+BG54)/2)))^2/(2*9.81)+B54-(G53+H53^2/(2*9.81))-(A53-A54)*(((DATOS!$B$34*(C54/(D54*((BF54+BG54)/2)))/((D54*((BF54+BG54)/2))/(D54+2*((BF54+BG54)/2)))^(2/3))^2+((DATOS!$B$34*H53/((D53*F53)/(D53+2*F53))^(2/3))^2))/2))&gt;0,BF54,((BF54+BG54)/2))</f>
        <v/>
      </c>
      <c r="BI54" s="5">
        <f>IF((((BF54+BG54)/2)+(C54/(D54*((BF54+BG54)/2)))^2/(2*9.81)+B54-(G53+H53^2/(2*9.81))-(A53-A54)*(((DATOS!$B$34*(C54/(D54*((BF54+BG54)/2)))/((D54*((BF54+BG54)/2))/(D54+2*((BF54+BG54)/2)))^(2/3))^2+((DATOS!$B$34*H53/((D53*F53)/(D53+2*F53))^(2/3))^2))/2))&gt;0,((BF54+BG54)/2),BG54)</f>
        <v/>
      </c>
      <c r="BJ54" s="5">
        <f>IF((((BH54+BI54)/2)+(C54/(D54*((BH54+BI54)/2)))^2/(2*9.81)+B54-(G53+H53^2/(2*9.81))-(A53-A54)*(((DATOS!$B$34*(C54/(D54*((BH54+BI54)/2)))/((D54*((BH54+BI54)/2))/(D54+2*((BH54+BI54)/2)))^(2/3))^2+((DATOS!$B$34*H53/((D53*F53)/(D53+2*F53))^(2/3))^2))/2))&gt;0,BH54,((BH54+BI54)/2))</f>
        <v/>
      </c>
      <c r="BK54" s="5">
        <f>IF((((BH54+BI54)/2)+(C54/(D54*((BH54+BI54)/2)))^2/(2*9.81)+B54-(G53+H53^2/(2*9.81))-(A53-A54)*(((DATOS!$B$34*(C54/(D54*((BH54+BI54)/2)))/((D54*((BH54+BI54)/2))/(D54+2*((BH54+BI54)/2)))^(2/3))^2+((DATOS!$B$34*H53/((D53*F53)/(D53+2*F53))^(2/3))^2))/2))&gt;0,((BH54+BI54)/2),BI54)</f>
        <v/>
      </c>
      <c r="BL54" s="5">
        <f>IF((((BJ54+BK54)/2)+(C54/(D54*((BJ54+BK54)/2)))^2/(2*9.81)+B54-(G53+H53^2/(2*9.81))-(A53-A54)*(((DATOS!$B$34*(C54/(D54*((BJ54+BK54)/2)))/((D54*((BJ54+BK54)/2))/(D54+2*((BJ54+BK54)/2)))^(2/3))^2+((DATOS!$B$34*H53/((D53*F53)/(D53+2*F53))^(2/3))^2))/2))&gt;0,BJ54,((BJ54+BK54)/2))</f>
        <v/>
      </c>
      <c r="BM54" s="5">
        <f>IF((((BJ54+BK54)/2)+(C54/(D54*((BJ54+BK54)/2)))^2/(2*9.81)+B54-(G53+H53^2/(2*9.81))-(A53-A54)*(((DATOS!$B$34*(C54/(D54*((BJ54+BK54)/2)))/((D54*((BJ54+BK54)/2))/(D54+2*((BJ54+BK54)/2)))^(2/3))^2+((DATOS!$B$34*H53/((D53*F53)/(D53+2*F53))^(2/3))^2))/2))&gt;0,((BJ54+BK54)/2),BK54)</f>
        <v/>
      </c>
      <c r="BN54" s="5">
        <f>IF((((BL54+BM54)/2)+(C54/(D54*((BL54+BM54)/2)))^2/(2*9.81)+B54-(G53+H53^2/(2*9.81))-(A53-A54)*(((DATOS!$B$34*(C54/(D54*((BL54+BM54)/2)))/((D54*((BL54+BM54)/2))/(D54+2*((BL54+BM54)/2)))^(2/3))^2+((DATOS!$B$34*H53/((D53*F53)/(D53+2*F53))^(2/3))^2))/2))&gt;0,BL54,((BL54+BM54)/2))</f>
        <v/>
      </c>
      <c r="BO54" s="5">
        <f>IF((((BL54+BM54)/2)+(C54/(D54*((BL54+BM54)/2)))^2/(2*9.81)+B54-(G53+H53^2/(2*9.81))-(A53-A54)*(((DATOS!$B$34*(C54/(D54*((BL54+BM54)/2)))/((D54*((BL54+BM54)/2))/(D54+2*((BL54+BM54)/2)))^(2/3))^2+((DATOS!$B$34*H53/((D53*F53)/(D53+2*F53))^(2/3))^2))/2))&gt;0,((BL54+BM54)/2),BM54)</f>
        <v/>
      </c>
      <c r="BP54" s="5">
        <f>IF((((BN54+BO54)/2)+(C54/(D54*((BN54+BO54)/2)))^2/(2*9.81)+B54-(G53+H53^2/(2*9.81))-(A53-A54)*(((DATOS!$B$34*(C54/(D54*((BN54+BO54)/2)))/((D54*((BN54+BO54)/2))/(D54+2*((BN54+BO54)/2)))^(2/3))^2+((DATOS!$B$34*H53/((D53*F53)/(D53+2*F53))^(2/3))^2))/2))&gt;0,BN54,((BN54+BO54)/2))</f>
        <v/>
      </c>
      <c r="BQ54" s="5">
        <f>IF((((BN54+BO54)/2)+(C54/(D54*((BN54+BO54)/2)))^2/(2*9.81)+B54-(G53+H53^2/(2*9.81))-(A53-A54)*(((DATOS!$B$34*(C54/(D54*((BN54+BO54)/2)))/((D54*((BN54+BO54)/2))/(D54+2*((BN54+BO54)/2)))^(2/3))^2+((DATOS!$B$34*H53/((D53*F53)/(D53+2*F53))^(2/3))^2))/2))&gt;0,((BN54+BO54)/2),BO54)</f>
        <v/>
      </c>
      <c r="BR54" s="5">
        <f>IF((((BP54+BQ54)/2)+(C54/(D54*((BP54+BQ54)/2)))^2/(2*9.81)+B54-(G53+H53^2/(2*9.81))-(A53-A54)*(((DATOS!$B$34*(C54/(D54*((BP54+BQ54)/2)))/((D54*((BP54+BQ54)/2))/(D54+2*((BP54+BQ54)/2)))^(2/3))^2+((DATOS!$B$34*H53/((D53*F53)/(D53+2*F53))^(2/3))^2))/2))&gt;0,BP54,((BP54+BQ54)/2))</f>
        <v/>
      </c>
      <c r="BS54" s="5">
        <f>IF((((BP54+BQ54)/2)+(C54/(D54*((BP54+BQ54)/2)))^2/(2*9.81)+B54-(G53+H53^2/(2*9.81))-(A53-A54)*(((DATOS!$B$34*(C54/(D54*((BP54+BQ54)/2)))/((D54*((BP54+BQ54)/2))/(D54+2*((BP54+BQ54)/2)))^(2/3))^2+((DATOS!$B$34*H53/((D53*F53)/(D53+2*F53))^(2/3))^2))/2))&gt;0,((BP54+BQ54)/2),BQ54)</f>
        <v/>
      </c>
      <c r="BT54" s="5">
        <f>IF((((BR54+BS54)/2)+(C54/(D54*((BR54+BS54)/2)))^2/(2*9.81)+B54-(G53+H53^2/(2*9.81))-(A53-A54)*(((DATOS!$B$34*(C54/(D54*((BR54+BS54)/2)))/((D54*((BR54+BS54)/2))/(D54+2*((BR54+BS54)/2)))^(2/3))^2+((DATOS!$B$34*H53/((D53*F53)/(D53+2*F53))^(2/3))^2))/2))&gt;0,BR54,((BR54+BS54)/2))</f>
        <v/>
      </c>
      <c r="BU54" s="5">
        <f>IF((((BR54+BS54)/2)+(C54/(D54*((BR54+BS54)/2)))^2/(2*9.81)+B54-(G53+H53^2/(2*9.81))-(A53-A54)*(((DATOS!$B$34*(C54/(D54*((BR54+BS54)/2)))/((D54*((BR54+BS54)/2))/(D54+2*((BR54+BS54)/2)))^(2/3))^2+((DATOS!$B$34*H53/((D53*F53)/(D53+2*F53))^(2/3))^2))/2))&gt;0,((BR54+BS54)/2),BS54)</f>
        <v/>
      </c>
      <c r="BV54" s="5">
        <f>IF((((BT54+BU54)/2)+(C54/(D54*((BT54+BU54)/2)))^2/(2*9.81)+B54-(G53+H53^2/(2*9.81))-(A53-A54)*(((DATOS!$B$34*(C54/(D54*((BT54+BU54)/2)))/((D54*((BT54+BU54)/2))/(D54+2*((BT54+BU54)/2)))^(2/3))^2+((DATOS!$B$34*H53/((D53*F53)/(D53+2*F53))^(2/3))^2))/2))&gt;0,BT54,((BT54+BU54)/2))</f>
        <v/>
      </c>
      <c r="BW54" s="5">
        <f>IF((((BT54+BU54)/2)+(C54/(D54*((BT54+BU54)/2)))^2/(2*9.81)+B54-(G53+H53^2/(2*9.81))-(A53-A54)*(((DATOS!$B$34*(C54/(D54*((BT54+BU54)/2)))/((D54*((BT54+BU54)/2))/(D54+2*((BT54+BU54)/2)))^(2/3))^2+((DATOS!$B$34*H53/((D53*F53)/(D53+2*F53))^(2/3))^2))/2))&gt;0,((BT54+BU54)/2),BU54)</f>
        <v/>
      </c>
    </row>
    <row r="55">
      <c r="A55" s="13" t="n">
        <v>31.33</v>
      </c>
      <c r="B55" s="16">
        <f>DATOS!$B$22-DATOS!$B$23*A55</f>
        <v/>
      </c>
      <c r="C55" s="24">
        <f>CAUDALES!$B$13</f>
        <v/>
      </c>
      <c r="D55" s="17">
        <f>DATOS!$B$17</f>
        <v/>
      </c>
      <c r="E55" s="16">
        <f>(C55^2/(9.81*D55^2))^(1/3)</f>
        <v/>
      </c>
      <c r="F55" s="16">
        <f>(BV55+BW55)/2</f>
        <v/>
      </c>
      <c r="G55" s="16">
        <f>B55+F55</f>
        <v/>
      </c>
      <c r="H55" s="19">
        <f>C55/(D55*F55)</f>
        <v/>
      </c>
      <c r="I55" s="19">
        <f>H55/SQRT(9.81*F55)</f>
        <v/>
      </c>
      <c r="J55" s="16">
        <f>DATOS!$B$29-IF(AND(A55&gt;=DATOS!$B$30,A55&lt;DATOS!$B$31),DATOS!$B$21,DATOS!$B$20)</f>
        <v/>
      </c>
      <c r="K55" s="19">
        <f>J55-B55</f>
        <v/>
      </c>
      <c r="L55" s="19">
        <f>F55/K55</f>
        <v/>
      </c>
      <c r="M55" s="16">
        <f>J55-G55</f>
        <v/>
      </c>
      <c r="N55" s="5">
        <f>IF(AND(L55&lt;=DATOS!$B$36,M55&gt;=DATOS!$B$37,I55&lt;=1),"CUMPLE","NO CUMPLE")</f>
        <v/>
      </c>
      <c r="O55" s="5">
        <f>IF(AND(A55&gt;=DATOS!$B$30,A55&lt;DATOS!$B$31),"cruce de camiones",IF(AND(A55&gt;=DATOS!$B$32,A55&lt;DATOS!$B$33),"cruce de motos","tramo normal"))</f>
        <v/>
      </c>
      <c r="P55" s="5">
        <f>E55*1.001</f>
        <v/>
      </c>
      <c r="Q55" s="13" t="n">
        <v>3</v>
      </c>
      <c r="R55" s="5">
        <f>IF((((P55+Q55)/2)+(C55/(D55*((P55+Q55)/2)))^2/(2*9.81)+B55-(G54+H54^2/(2*9.81))-(A54-A55)*(((DATOS!$B$34*(C55/(D55*((P55+Q55)/2)))/((D55*((P55+Q55)/2))/(D55+2*((P55+Q55)/2)))^(2/3))^2+((DATOS!$B$34*H54/((D54*F54)/(D54+2*F54))^(2/3))^2))/2))&gt;0,P55,((P55+Q55)/2))</f>
        <v/>
      </c>
      <c r="S55" s="5">
        <f>IF((((P55+Q55)/2)+(C55/(D55*((P55+Q55)/2)))^2/(2*9.81)+B55-(G54+H54^2/(2*9.81))-(A54-A55)*(((DATOS!$B$34*(C55/(D55*((P55+Q55)/2)))/((D55*((P55+Q55)/2))/(D55+2*((P55+Q55)/2)))^(2/3))^2+((DATOS!$B$34*H54/((D54*F54)/(D54+2*F54))^(2/3))^2))/2))&gt;0,((P55+Q55)/2),Q55)</f>
        <v/>
      </c>
      <c r="T55" s="5">
        <f>IF((((R55+S55)/2)+(C55/(D55*((R55+S55)/2)))^2/(2*9.81)+B55-(G54+H54^2/(2*9.81))-(A54-A55)*(((DATOS!$B$34*(C55/(D55*((R55+S55)/2)))/((D55*((R55+S55)/2))/(D55+2*((R55+S55)/2)))^(2/3))^2+((DATOS!$B$34*H54/((D54*F54)/(D54+2*F54))^(2/3))^2))/2))&gt;0,R55,((R55+S55)/2))</f>
        <v/>
      </c>
      <c r="U55" s="5">
        <f>IF((((R55+S55)/2)+(C55/(D55*((R55+S55)/2)))^2/(2*9.81)+B55-(G54+H54^2/(2*9.81))-(A54-A55)*(((DATOS!$B$34*(C55/(D55*((R55+S55)/2)))/((D55*((R55+S55)/2))/(D55+2*((R55+S55)/2)))^(2/3))^2+((DATOS!$B$34*H54/((D54*F54)/(D54+2*F54))^(2/3))^2))/2))&gt;0,((R55+S55)/2),S55)</f>
        <v/>
      </c>
      <c r="V55" s="5">
        <f>IF((((T55+U55)/2)+(C55/(D55*((T55+U55)/2)))^2/(2*9.81)+B55-(G54+H54^2/(2*9.81))-(A54-A55)*(((DATOS!$B$34*(C55/(D55*((T55+U55)/2)))/((D55*((T55+U55)/2))/(D55+2*((T55+U55)/2)))^(2/3))^2+((DATOS!$B$34*H54/((D54*F54)/(D54+2*F54))^(2/3))^2))/2))&gt;0,T55,((T55+U55)/2))</f>
        <v/>
      </c>
      <c r="W55" s="5">
        <f>IF((((T55+U55)/2)+(C55/(D55*((T55+U55)/2)))^2/(2*9.81)+B55-(G54+H54^2/(2*9.81))-(A54-A55)*(((DATOS!$B$34*(C55/(D55*((T55+U55)/2)))/((D55*((T55+U55)/2))/(D55+2*((T55+U55)/2)))^(2/3))^2+((DATOS!$B$34*H54/((D54*F54)/(D54+2*F54))^(2/3))^2))/2))&gt;0,((T55+U55)/2),U55)</f>
        <v/>
      </c>
      <c r="X55" s="5">
        <f>IF((((V55+W55)/2)+(C55/(D55*((V55+W55)/2)))^2/(2*9.81)+B55-(G54+H54^2/(2*9.81))-(A54-A55)*(((DATOS!$B$34*(C55/(D55*((V55+W55)/2)))/((D55*((V55+W55)/2))/(D55+2*((V55+W55)/2)))^(2/3))^2+((DATOS!$B$34*H54/((D54*F54)/(D54+2*F54))^(2/3))^2))/2))&gt;0,V55,((V55+W55)/2))</f>
        <v/>
      </c>
      <c r="Y55" s="5">
        <f>IF((((V55+W55)/2)+(C55/(D55*((V55+W55)/2)))^2/(2*9.81)+B55-(G54+H54^2/(2*9.81))-(A54-A55)*(((DATOS!$B$34*(C55/(D55*((V55+W55)/2)))/((D55*((V55+W55)/2))/(D55+2*((V55+W55)/2)))^(2/3))^2+((DATOS!$B$34*H54/((D54*F54)/(D54+2*F54))^(2/3))^2))/2))&gt;0,((V55+W55)/2),W55)</f>
        <v/>
      </c>
      <c r="Z55" s="5">
        <f>IF((((X55+Y55)/2)+(C55/(D55*((X55+Y55)/2)))^2/(2*9.81)+B55-(G54+H54^2/(2*9.81))-(A54-A55)*(((DATOS!$B$34*(C55/(D55*((X55+Y55)/2)))/((D55*((X55+Y55)/2))/(D55+2*((X55+Y55)/2)))^(2/3))^2+((DATOS!$B$34*H54/((D54*F54)/(D54+2*F54))^(2/3))^2))/2))&gt;0,X55,((X55+Y55)/2))</f>
        <v/>
      </c>
      <c r="AA55" s="5">
        <f>IF((((X55+Y55)/2)+(C55/(D55*((X55+Y55)/2)))^2/(2*9.81)+B55-(G54+H54^2/(2*9.81))-(A54-A55)*(((DATOS!$B$34*(C55/(D55*((X55+Y55)/2)))/((D55*((X55+Y55)/2))/(D55+2*((X55+Y55)/2)))^(2/3))^2+((DATOS!$B$34*H54/((D54*F54)/(D54+2*F54))^(2/3))^2))/2))&gt;0,((X55+Y55)/2),Y55)</f>
        <v/>
      </c>
      <c r="AB55" s="5">
        <f>IF((((Z55+AA55)/2)+(C55/(D55*((Z55+AA55)/2)))^2/(2*9.81)+B55-(G54+H54^2/(2*9.81))-(A54-A55)*(((DATOS!$B$34*(C55/(D55*((Z55+AA55)/2)))/((D55*((Z55+AA55)/2))/(D55+2*((Z55+AA55)/2)))^(2/3))^2+((DATOS!$B$34*H54/((D54*F54)/(D54+2*F54))^(2/3))^2))/2))&gt;0,Z55,((Z55+AA55)/2))</f>
        <v/>
      </c>
      <c r="AC55" s="5">
        <f>IF((((Z55+AA55)/2)+(C55/(D55*((Z55+AA55)/2)))^2/(2*9.81)+B55-(G54+H54^2/(2*9.81))-(A54-A55)*(((DATOS!$B$34*(C55/(D55*((Z55+AA55)/2)))/((D55*((Z55+AA55)/2))/(D55+2*((Z55+AA55)/2)))^(2/3))^2+((DATOS!$B$34*H54/((D54*F54)/(D54+2*F54))^(2/3))^2))/2))&gt;0,((Z55+AA55)/2),AA55)</f>
        <v/>
      </c>
      <c r="AD55" s="5">
        <f>IF((((AB55+AC55)/2)+(C55/(D55*((AB55+AC55)/2)))^2/(2*9.81)+B55-(G54+H54^2/(2*9.81))-(A54-A55)*(((DATOS!$B$34*(C55/(D55*((AB55+AC55)/2)))/((D55*((AB55+AC55)/2))/(D55+2*((AB55+AC55)/2)))^(2/3))^2+((DATOS!$B$34*H54/((D54*F54)/(D54+2*F54))^(2/3))^2))/2))&gt;0,AB55,((AB55+AC55)/2))</f>
        <v/>
      </c>
      <c r="AE55" s="5">
        <f>IF((((AB55+AC55)/2)+(C55/(D55*((AB55+AC55)/2)))^2/(2*9.81)+B55-(G54+H54^2/(2*9.81))-(A54-A55)*(((DATOS!$B$34*(C55/(D55*((AB55+AC55)/2)))/((D55*((AB55+AC55)/2))/(D55+2*((AB55+AC55)/2)))^(2/3))^2+((DATOS!$B$34*H54/((D54*F54)/(D54+2*F54))^(2/3))^2))/2))&gt;0,((AB55+AC55)/2),AC55)</f>
        <v/>
      </c>
      <c r="AF55" s="5">
        <f>IF((((AD55+AE55)/2)+(C55/(D55*((AD55+AE55)/2)))^2/(2*9.81)+B55-(G54+H54^2/(2*9.81))-(A54-A55)*(((DATOS!$B$34*(C55/(D55*((AD55+AE55)/2)))/((D55*((AD55+AE55)/2))/(D55+2*((AD55+AE55)/2)))^(2/3))^2+((DATOS!$B$34*H54/((D54*F54)/(D54+2*F54))^(2/3))^2))/2))&gt;0,AD55,((AD55+AE55)/2))</f>
        <v/>
      </c>
      <c r="AG55" s="5">
        <f>IF((((AD55+AE55)/2)+(C55/(D55*((AD55+AE55)/2)))^2/(2*9.81)+B55-(G54+H54^2/(2*9.81))-(A54-A55)*(((DATOS!$B$34*(C55/(D55*((AD55+AE55)/2)))/((D55*((AD55+AE55)/2))/(D55+2*((AD55+AE55)/2)))^(2/3))^2+((DATOS!$B$34*H54/((D54*F54)/(D54+2*F54))^(2/3))^2))/2))&gt;0,((AD55+AE55)/2),AE55)</f>
        <v/>
      </c>
      <c r="AH55" s="5">
        <f>IF((((AF55+AG55)/2)+(C55/(D55*((AF55+AG55)/2)))^2/(2*9.81)+B55-(G54+H54^2/(2*9.81))-(A54-A55)*(((DATOS!$B$34*(C55/(D55*((AF55+AG55)/2)))/((D55*((AF55+AG55)/2))/(D55+2*((AF55+AG55)/2)))^(2/3))^2+((DATOS!$B$34*H54/((D54*F54)/(D54+2*F54))^(2/3))^2))/2))&gt;0,AF55,((AF55+AG55)/2))</f>
        <v/>
      </c>
      <c r="AI55" s="5">
        <f>IF((((AF55+AG55)/2)+(C55/(D55*((AF55+AG55)/2)))^2/(2*9.81)+B55-(G54+H54^2/(2*9.81))-(A54-A55)*(((DATOS!$B$34*(C55/(D55*((AF55+AG55)/2)))/((D55*((AF55+AG55)/2))/(D55+2*((AF55+AG55)/2)))^(2/3))^2+((DATOS!$B$34*H54/((D54*F54)/(D54+2*F54))^(2/3))^2))/2))&gt;0,((AF55+AG55)/2),AG55)</f>
        <v/>
      </c>
      <c r="AJ55" s="5">
        <f>IF((((AH55+AI55)/2)+(C55/(D55*((AH55+AI55)/2)))^2/(2*9.81)+B55-(G54+H54^2/(2*9.81))-(A54-A55)*(((DATOS!$B$34*(C55/(D55*((AH55+AI55)/2)))/((D55*((AH55+AI55)/2))/(D55+2*((AH55+AI55)/2)))^(2/3))^2+((DATOS!$B$34*H54/((D54*F54)/(D54+2*F54))^(2/3))^2))/2))&gt;0,AH55,((AH55+AI55)/2))</f>
        <v/>
      </c>
      <c r="AK55" s="5">
        <f>IF((((AH55+AI55)/2)+(C55/(D55*((AH55+AI55)/2)))^2/(2*9.81)+B55-(G54+H54^2/(2*9.81))-(A54-A55)*(((DATOS!$B$34*(C55/(D55*((AH55+AI55)/2)))/((D55*((AH55+AI55)/2))/(D55+2*((AH55+AI55)/2)))^(2/3))^2+((DATOS!$B$34*H54/((D54*F54)/(D54+2*F54))^(2/3))^2))/2))&gt;0,((AH55+AI55)/2),AI55)</f>
        <v/>
      </c>
      <c r="AL55" s="5">
        <f>IF((((AJ55+AK55)/2)+(C55/(D55*((AJ55+AK55)/2)))^2/(2*9.81)+B55-(G54+H54^2/(2*9.81))-(A54-A55)*(((DATOS!$B$34*(C55/(D55*((AJ55+AK55)/2)))/((D55*((AJ55+AK55)/2))/(D55+2*((AJ55+AK55)/2)))^(2/3))^2+((DATOS!$B$34*H54/((D54*F54)/(D54+2*F54))^(2/3))^2))/2))&gt;0,AJ55,((AJ55+AK55)/2))</f>
        <v/>
      </c>
      <c r="AM55" s="5">
        <f>IF((((AJ55+AK55)/2)+(C55/(D55*((AJ55+AK55)/2)))^2/(2*9.81)+B55-(G54+H54^2/(2*9.81))-(A54-A55)*(((DATOS!$B$34*(C55/(D55*((AJ55+AK55)/2)))/((D55*((AJ55+AK55)/2))/(D55+2*((AJ55+AK55)/2)))^(2/3))^2+((DATOS!$B$34*H54/((D54*F54)/(D54+2*F54))^(2/3))^2))/2))&gt;0,((AJ55+AK55)/2),AK55)</f>
        <v/>
      </c>
      <c r="AN55" s="5">
        <f>IF((((AL55+AM55)/2)+(C55/(D55*((AL55+AM55)/2)))^2/(2*9.81)+B55-(G54+H54^2/(2*9.81))-(A54-A55)*(((DATOS!$B$34*(C55/(D55*((AL55+AM55)/2)))/((D55*((AL55+AM55)/2))/(D55+2*((AL55+AM55)/2)))^(2/3))^2+((DATOS!$B$34*H54/((D54*F54)/(D54+2*F54))^(2/3))^2))/2))&gt;0,AL55,((AL55+AM55)/2))</f>
        <v/>
      </c>
      <c r="AO55" s="5">
        <f>IF((((AL55+AM55)/2)+(C55/(D55*((AL55+AM55)/2)))^2/(2*9.81)+B55-(G54+H54^2/(2*9.81))-(A54-A55)*(((DATOS!$B$34*(C55/(D55*((AL55+AM55)/2)))/((D55*((AL55+AM55)/2))/(D55+2*((AL55+AM55)/2)))^(2/3))^2+((DATOS!$B$34*H54/((D54*F54)/(D54+2*F54))^(2/3))^2))/2))&gt;0,((AL55+AM55)/2),AM55)</f>
        <v/>
      </c>
      <c r="AP55" s="5">
        <f>IF((((AN55+AO55)/2)+(C55/(D55*((AN55+AO55)/2)))^2/(2*9.81)+B55-(G54+H54^2/(2*9.81))-(A54-A55)*(((DATOS!$B$34*(C55/(D55*((AN55+AO55)/2)))/((D55*((AN55+AO55)/2))/(D55+2*((AN55+AO55)/2)))^(2/3))^2+((DATOS!$B$34*H54/((D54*F54)/(D54+2*F54))^(2/3))^2))/2))&gt;0,AN55,((AN55+AO55)/2))</f>
        <v/>
      </c>
      <c r="AQ55" s="5">
        <f>IF((((AN55+AO55)/2)+(C55/(D55*((AN55+AO55)/2)))^2/(2*9.81)+B55-(G54+H54^2/(2*9.81))-(A54-A55)*(((DATOS!$B$34*(C55/(D55*((AN55+AO55)/2)))/((D55*((AN55+AO55)/2))/(D55+2*((AN55+AO55)/2)))^(2/3))^2+((DATOS!$B$34*H54/((D54*F54)/(D54+2*F54))^(2/3))^2))/2))&gt;0,((AN55+AO55)/2),AO55)</f>
        <v/>
      </c>
      <c r="AR55" s="5">
        <f>IF((((AP55+AQ55)/2)+(C55/(D55*((AP55+AQ55)/2)))^2/(2*9.81)+B55-(G54+H54^2/(2*9.81))-(A54-A55)*(((DATOS!$B$34*(C55/(D55*((AP55+AQ55)/2)))/((D55*((AP55+AQ55)/2))/(D55+2*((AP55+AQ55)/2)))^(2/3))^2+((DATOS!$B$34*H54/((D54*F54)/(D54+2*F54))^(2/3))^2))/2))&gt;0,AP55,((AP55+AQ55)/2))</f>
        <v/>
      </c>
      <c r="AS55" s="5">
        <f>IF((((AP55+AQ55)/2)+(C55/(D55*((AP55+AQ55)/2)))^2/(2*9.81)+B55-(G54+H54^2/(2*9.81))-(A54-A55)*(((DATOS!$B$34*(C55/(D55*((AP55+AQ55)/2)))/((D55*((AP55+AQ55)/2))/(D55+2*((AP55+AQ55)/2)))^(2/3))^2+((DATOS!$B$34*H54/((D54*F54)/(D54+2*F54))^(2/3))^2))/2))&gt;0,((AP55+AQ55)/2),AQ55)</f>
        <v/>
      </c>
      <c r="AT55" s="5">
        <f>IF((((AR55+AS55)/2)+(C55/(D55*((AR55+AS55)/2)))^2/(2*9.81)+B55-(G54+H54^2/(2*9.81))-(A54-A55)*(((DATOS!$B$34*(C55/(D55*((AR55+AS55)/2)))/((D55*((AR55+AS55)/2))/(D55+2*((AR55+AS55)/2)))^(2/3))^2+((DATOS!$B$34*H54/((D54*F54)/(D54+2*F54))^(2/3))^2))/2))&gt;0,AR55,((AR55+AS55)/2))</f>
        <v/>
      </c>
      <c r="AU55" s="5">
        <f>IF((((AR55+AS55)/2)+(C55/(D55*((AR55+AS55)/2)))^2/(2*9.81)+B55-(G54+H54^2/(2*9.81))-(A54-A55)*(((DATOS!$B$34*(C55/(D55*((AR55+AS55)/2)))/((D55*((AR55+AS55)/2))/(D55+2*((AR55+AS55)/2)))^(2/3))^2+((DATOS!$B$34*H54/((D54*F54)/(D54+2*F54))^(2/3))^2))/2))&gt;0,((AR55+AS55)/2),AS55)</f>
        <v/>
      </c>
      <c r="AV55" s="5">
        <f>IF((((AT55+AU55)/2)+(C55/(D55*((AT55+AU55)/2)))^2/(2*9.81)+B55-(G54+H54^2/(2*9.81))-(A54-A55)*(((DATOS!$B$34*(C55/(D55*((AT55+AU55)/2)))/((D55*((AT55+AU55)/2))/(D55+2*((AT55+AU55)/2)))^(2/3))^2+((DATOS!$B$34*H54/((D54*F54)/(D54+2*F54))^(2/3))^2))/2))&gt;0,AT55,((AT55+AU55)/2))</f>
        <v/>
      </c>
      <c r="AW55" s="5">
        <f>IF((((AT55+AU55)/2)+(C55/(D55*((AT55+AU55)/2)))^2/(2*9.81)+B55-(G54+H54^2/(2*9.81))-(A54-A55)*(((DATOS!$B$34*(C55/(D55*((AT55+AU55)/2)))/((D55*((AT55+AU55)/2))/(D55+2*((AT55+AU55)/2)))^(2/3))^2+((DATOS!$B$34*H54/((D54*F54)/(D54+2*F54))^(2/3))^2))/2))&gt;0,((AT55+AU55)/2),AU55)</f>
        <v/>
      </c>
      <c r="AX55" s="5">
        <f>IF((((AV55+AW55)/2)+(C55/(D55*((AV55+AW55)/2)))^2/(2*9.81)+B55-(G54+H54^2/(2*9.81))-(A54-A55)*(((DATOS!$B$34*(C55/(D55*((AV55+AW55)/2)))/((D55*((AV55+AW55)/2))/(D55+2*((AV55+AW55)/2)))^(2/3))^2+((DATOS!$B$34*H54/((D54*F54)/(D54+2*F54))^(2/3))^2))/2))&gt;0,AV55,((AV55+AW55)/2))</f>
        <v/>
      </c>
      <c r="AY55" s="5">
        <f>IF((((AV55+AW55)/2)+(C55/(D55*((AV55+AW55)/2)))^2/(2*9.81)+B55-(G54+H54^2/(2*9.81))-(A54-A55)*(((DATOS!$B$34*(C55/(D55*((AV55+AW55)/2)))/((D55*((AV55+AW55)/2))/(D55+2*((AV55+AW55)/2)))^(2/3))^2+((DATOS!$B$34*H54/((D54*F54)/(D54+2*F54))^(2/3))^2))/2))&gt;0,((AV55+AW55)/2),AW55)</f>
        <v/>
      </c>
      <c r="AZ55" s="5">
        <f>IF((((AX55+AY55)/2)+(C55/(D55*((AX55+AY55)/2)))^2/(2*9.81)+B55-(G54+H54^2/(2*9.81))-(A54-A55)*(((DATOS!$B$34*(C55/(D55*((AX55+AY55)/2)))/((D55*((AX55+AY55)/2))/(D55+2*((AX55+AY55)/2)))^(2/3))^2+((DATOS!$B$34*H54/((D54*F54)/(D54+2*F54))^(2/3))^2))/2))&gt;0,AX55,((AX55+AY55)/2))</f>
        <v/>
      </c>
      <c r="BA55" s="5">
        <f>IF((((AX55+AY55)/2)+(C55/(D55*((AX55+AY55)/2)))^2/(2*9.81)+B55-(G54+H54^2/(2*9.81))-(A54-A55)*(((DATOS!$B$34*(C55/(D55*((AX55+AY55)/2)))/((D55*((AX55+AY55)/2))/(D55+2*((AX55+AY55)/2)))^(2/3))^2+((DATOS!$B$34*H54/((D54*F54)/(D54+2*F54))^(2/3))^2))/2))&gt;0,((AX55+AY55)/2),AY55)</f>
        <v/>
      </c>
      <c r="BB55" s="5">
        <f>IF((((AZ55+BA55)/2)+(C55/(D55*((AZ55+BA55)/2)))^2/(2*9.81)+B55-(G54+H54^2/(2*9.81))-(A54-A55)*(((DATOS!$B$34*(C55/(D55*((AZ55+BA55)/2)))/((D55*((AZ55+BA55)/2))/(D55+2*((AZ55+BA55)/2)))^(2/3))^2+((DATOS!$B$34*H54/((D54*F54)/(D54+2*F54))^(2/3))^2))/2))&gt;0,AZ55,((AZ55+BA55)/2))</f>
        <v/>
      </c>
      <c r="BC55" s="5">
        <f>IF((((AZ55+BA55)/2)+(C55/(D55*((AZ55+BA55)/2)))^2/(2*9.81)+B55-(G54+H54^2/(2*9.81))-(A54-A55)*(((DATOS!$B$34*(C55/(D55*((AZ55+BA55)/2)))/((D55*((AZ55+BA55)/2))/(D55+2*((AZ55+BA55)/2)))^(2/3))^2+((DATOS!$B$34*H54/((D54*F54)/(D54+2*F54))^(2/3))^2))/2))&gt;0,((AZ55+BA55)/2),BA55)</f>
        <v/>
      </c>
      <c r="BD55" s="5">
        <f>IF((((BB55+BC55)/2)+(C55/(D55*((BB55+BC55)/2)))^2/(2*9.81)+B55-(G54+H54^2/(2*9.81))-(A54-A55)*(((DATOS!$B$34*(C55/(D55*((BB55+BC55)/2)))/((D55*((BB55+BC55)/2))/(D55+2*((BB55+BC55)/2)))^(2/3))^2+((DATOS!$B$34*H54/((D54*F54)/(D54+2*F54))^(2/3))^2))/2))&gt;0,BB55,((BB55+BC55)/2))</f>
        <v/>
      </c>
      <c r="BE55" s="5">
        <f>IF((((BB55+BC55)/2)+(C55/(D55*((BB55+BC55)/2)))^2/(2*9.81)+B55-(G54+H54^2/(2*9.81))-(A54-A55)*(((DATOS!$B$34*(C55/(D55*((BB55+BC55)/2)))/((D55*((BB55+BC55)/2))/(D55+2*((BB55+BC55)/2)))^(2/3))^2+((DATOS!$B$34*H54/((D54*F54)/(D54+2*F54))^(2/3))^2))/2))&gt;0,((BB55+BC55)/2),BC55)</f>
        <v/>
      </c>
      <c r="BF55" s="5">
        <f>IF((((BD55+BE55)/2)+(C55/(D55*((BD55+BE55)/2)))^2/(2*9.81)+B55-(G54+H54^2/(2*9.81))-(A54-A55)*(((DATOS!$B$34*(C55/(D55*((BD55+BE55)/2)))/((D55*((BD55+BE55)/2))/(D55+2*((BD55+BE55)/2)))^(2/3))^2+((DATOS!$B$34*H54/((D54*F54)/(D54+2*F54))^(2/3))^2))/2))&gt;0,BD55,((BD55+BE55)/2))</f>
        <v/>
      </c>
      <c r="BG55" s="5">
        <f>IF((((BD55+BE55)/2)+(C55/(D55*((BD55+BE55)/2)))^2/(2*9.81)+B55-(G54+H54^2/(2*9.81))-(A54-A55)*(((DATOS!$B$34*(C55/(D55*((BD55+BE55)/2)))/((D55*((BD55+BE55)/2))/(D55+2*((BD55+BE55)/2)))^(2/3))^2+((DATOS!$B$34*H54/((D54*F54)/(D54+2*F54))^(2/3))^2))/2))&gt;0,((BD55+BE55)/2),BE55)</f>
        <v/>
      </c>
      <c r="BH55" s="5">
        <f>IF((((BF55+BG55)/2)+(C55/(D55*((BF55+BG55)/2)))^2/(2*9.81)+B55-(G54+H54^2/(2*9.81))-(A54-A55)*(((DATOS!$B$34*(C55/(D55*((BF55+BG55)/2)))/((D55*((BF55+BG55)/2))/(D55+2*((BF55+BG55)/2)))^(2/3))^2+((DATOS!$B$34*H54/((D54*F54)/(D54+2*F54))^(2/3))^2))/2))&gt;0,BF55,((BF55+BG55)/2))</f>
        <v/>
      </c>
      <c r="BI55" s="5">
        <f>IF((((BF55+BG55)/2)+(C55/(D55*((BF55+BG55)/2)))^2/(2*9.81)+B55-(G54+H54^2/(2*9.81))-(A54-A55)*(((DATOS!$B$34*(C55/(D55*((BF55+BG55)/2)))/((D55*((BF55+BG55)/2))/(D55+2*((BF55+BG55)/2)))^(2/3))^2+((DATOS!$B$34*H54/((D54*F54)/(D54+2*F54))^(2/3))^2))/2))&gt;0,((BF55+BG55)/2),BG55)</f>
        <v/>
      </c>
      <c r="BJ55" s="5">
        <f>IF((((BH55+BI55)/2)+(C55/(D55*((BH55+BI55)/2)))^2/(2*9.81)+B55-(G54+H54^2/(2*9.81))-(A54-A55)*(((DATOS!$B$34*(C55/(D55*((BH55+BI55)/2)))/((D55*((BH55+BI55)/2))/(D55+2*((BH55+BI55)/2)))^(2/3))^2+((DATOS!$B$34*H54/((D54*F54)/(D54+2*F54))^(2/3))^2))/2))&gt;0,BH55,((BH55+BI55)/2))</f>
        <v/>
      </c>
      <c r="BK55" s="5">
        <f>IF((((BH55+BI55)/2)+(C55/(D55*((BH55+BI55)/2)))^2/(2*9.81)+B55-(G54+H54^2/(2*9.81))-(A54-A55)*(((DATOS!$B$34*(C55/(D55*((BH55+BI55)/2)))/((D55*((BH55+BI55)/2))/(D55+2*((BH55+BI55)/2)))^(2/3))^2+((DATOS!$B$34*H54/((D54*F54)/(D54+2*F54))^(2/3))^2))/2))&gt;0,((BH55+BI55)/2),BI55)</f>
        <v/>
      </c>
      <c r="BL55" s="5">
        <f>IF((((BJ55+BK55)/2)+(C55/(D55*((BJ55+BK55)/2)))^2/(2*9.81)+B55-(G54+H54^2/(2*9.81))-(A54-A55)*(((DATOS!$B$34*(C55/(D55*((BJ55+BK55)/2)))/((D55*((BJ55+BK55)/2))/(D55+2*((BJ55+BK55)/2)))^(2/3))^2+((DATOS!$B$34*H54/((D54*F54)/(D54+2*F54))^(2/3))^2))/2))&gt;0,BJ55,((BJ55+BK55)/2))</f>
        <v/>
      </c>
      <c r="BM55" s="5">
        <f>IF((((BJ55+BK55)/2)+(C55/(D55*((BJ55+BK55)/2)))^2/(2*9.81)+B55-(G54+H54^2/(2*9.81))-(A54-A55)*(((DATOS!$B$34*(C55/(D55*((BJ55+BK55)/2)))/((D55*((BJ55+BK55)/2))/(D55+2*((BJ55+BK55)/2)))^(2/3))^2+((DATOS!$B$34*H54/((D54*F54)/(D54+2*F54))^(2/3))^2))/2))&gt;0,((BJ55+BK55)/2),BK55)</f>
        <v/>
      </c>
      <c r="BN55" s="5">
        <f>IF((((BL55+BM55)/2)+(C55/(D55*((BL55+BM55)/2)))^2/(2*9.81)+B55-(G54+H54^2/(2*9.81))-(A54-A55)*(((DATOS!$B$34*(C55/(D55*((BL55+BM55)/2)))/((D55*((BL55+BM55)/2))/(D55+2*((BL55+BM55)/2)))^(2/3))^2+((DATOS!$B$34*H54/((D54*F54)/(D54+2*F54))^(2/3))^2))/2))&gt;0,BL55,((BL55+BM55)/2))</f>
        <v/>
      </c>
      <c r="BO55" s="5">
        <f>IF((((BL55+BM55)/2)+(C55/(D55*((BL55+BM55)/2)))^2/(2*9.81)+B55-(G54+H54^2/(2*9.81))-(A54-A55)*(((DATOS!$B$34*(C55/(D55*((BL55+BM55)/2)))/((D55*((BL55+BM55)/2))/(D55+2*((BL55+BM55)/2)))^(2/3))^2+((DATOS!$B$34*H54/((D54*F54)/(D54+2*F54))^(2/3))^2))/2))&gt;0,((BL55+BM55)/2),BM55)</f>
        <v/>
      </c>
      <c r="BP55" s="5">
        <f>IF((((BN55+BO55)/2)+(C55/(D55*((BN55+BO55)/2)))^2/(2*9.81)+B55-(G54+H54^2/(2*9.81))-(A54-A55)*(((DATOS!$B$34*(C55/(D55*((BN55+BO55)/2)))/((D55*((BN55+BO55)/2))/(D55+2*((BN55+BO55)/2)))^(2/3))^2+((DATOS!$B$34*H54/((D54*F54)/(D54+2*F54))^(2/3))^2))/2))&gt;0,BN55,((BN55+BO55)/2))</f>
        <v/>
      </c>
      <c r="BQ55" s="5">
        <f>IF((((BN55+BO55)/2)+(C55/(D55*((BN55+BO55)/2)))^2/(2*9.81)+B55-(G54+H54^2/(2*9.81))-(A54-A55)*(((DATOS!$B$34*(C55/(D55*((BN55+BO55)/2)))/((D55*((BN55+BO55)/2))/(D55+2*((BN55+BO55)/2)))^(2/3))^2+((DATOS!$B$34*H54/((D54*F54)/(D54+2*F54))^(2/3))^2))/2))&gt;0,((BN55+BO55)/2),BO55)</f>
        <v/>
      </c>
      <c r="BR55" s="5">
        <f>IF((((BP55+BQ55)/2)+(C55/(D55*((BP55+BQ55)/2)))^2/(2*9.81)+B55-(G54+H54^2/(2*9.81))-(A54-A55)*(((DATOS!$B$34*(C55/(D55*((BP55+BQ55)/2)))/((D55*((BP55+BQ55)/2))/(D55+2*((BP55+BQ55)/2)))^(2/3))^2+((DATOS!$B$34*H54/((D54*F54)/(D54+2*F54))^(2/3))^2))/2))&gt;0,BP55,((BP55+BQ55)/2))</f>
        <v/>
      </c>
      <c r="BS55" s="5">
        <f>IF((((BP55+BQ55)/2)+(C55/(D55*((BP55+BQ55)/2)))^2/(2*9.81)+B55-(G54+H54^2/(2*9.81))-(A54-A55)*(((DATOS!$B$34*(C55/(D55*((BP55+BQ55)/2)))/((D55*((BP55+BQ55)/2))/(D55+2*((BP55+BQ55)/2)))^(2/3))^2+((DATOS!$B$34*H54/((D54*F54)/(D54+2*F54))^(2/3))^2))/2))&gt;0,((BP55+BQ55)/2),BQ55)</f>
        <v/>
      </c>
      <c r="BT55" s="5">
        <f>IF((((BR55+BS55)/2)+(C55/(D55*((BR55+BS55)/2)))^2/(2*9.81)+B55-(G54+H54^2/(2*9.81))-(A54-A55)*(((DATOS!$B$34*(C55/(D55*((BR55+BS55)/2)))/((D55*((BR55+BS55)/2))/(D55+2*((BR55+BS55)/2)))^(2/3))^2+((DATOS!$B$34*H54/((D54*F54)/(D54+2*F54))^(2/3))^2))/2))&gt;0,BR55,((BR55+BS55)/2))</f>
        <v/>
      </c>
      <c r="BU55" s="5">
        <f>IF((((BR55+BS55)/2)+(C55/(D55*((BR55+BS55)/2)))^2/(2*9.81)+B55-(G54+H54^2/(2*9.81))-(A54-A55)*(((DATOS!$B$34*(C55/(D55*((BR55+BS55)/2)))/((D55*((BR55+BS55)/2))/(D55+2*((BR55+BS55)/2)))^(2/3))^2+((DATOS!$B$34*H54/((D54*F54)/(D54+2*F54))^(2/3))^2))/2))&gt;0,((BR55+BS55)/2),BS55)</f>
        <v/>
      </c>
      <c r="BV55" s="5">
        <f>IF((((BT55+BU55)/2)+(C55/(D55*((BT55+BU55)/2)))^2/(2*9.81)+B55-(G54+H54^2/(2*9.81))-(A54-A55)*(((DATOS!$B$34*(C55/(D55*((BT55+BU55)/2)))/((D55*((BT55+BU55)/2))/(D55+2*((BT55+BU55)/2)))^(2/3))^2+((DATOS!$B$34*H54/((D54*F54)/(D54+2*F54))^(2/3))^2))/2))&gt;0,BT55,((BT55+BU55)/2))</f>
        <v/>
      </c>
      <c r="BW55" s="5">
        <f>IF((((BT55+BU55)/2)+(C55/(D55*((BT55+BU55)/2)))^2/(2*9.81)+B55-(G54+H54^2/(2*9.81))-(A54-A55)*(((DATOS!$B$34*(C55/(D55*((BT55+BU55)/2)))/((D55*((BT55+BU55)/2))/(D55+2*((BT55+BU55)/2)))^(2/3))^2+((DATOS!$B$34*H54/((D54*F54)/(D54+2*F54))^(2/3))^2))/2))&gt;0,((BT55+BU55)/2),BU55)</f>
        <v/>
      </c>
    </row>
    <row r="56">
      <c r="A56" s="13" t="n">
        <v>31</v>
      </c>
      <c r="B56" s="16">
        <f>DATOS!$B$22-DATOS!$B$23*A56</f>
        <v/>
      </c>
      <c r="C56" s="24">
        <f>CAUDALES!$B$13</f>
        <v/>
      </c>
      <c r="D56" s="17">
        <f>DATOS!$B$17</f>
        <v/>
      </c>
      <c r="E56" s="16">
        <f>(C56^2/(9.81*D56^2))^(1/3)</f>
        <v/>
      </c>
      <c r="F56" s="16">
        <f>(BV56+BW56)/2</f>
        <v/>
      </c>
      <c r="G56" s="16">
        <f>B56+F56</f>
        <v/>
      </c>
      <c r="H56" s="19">
        <f>C56/(D56*F56)</f>
        <v/>
      </c>
      <c r="I56" s="19">
        <f>H56/SQRT(9.81*F56)</f>
        <v/>
      </c>
      <c r="J56" s="16">
        <f>DATOS!$B$29-IF(AND(A56&gt;=DATOS!$B$30,A56&lt;DATOS!$B$31),DATOS!$B$21,DATOS!$B$20)</f>
        <v/>
      </c>
      <c r="K56" s="19">
        <f>J56-B56</f>
        <v/>
      </c>
      <c r="L56" s="19">
        <f>F56/K56</f>
        <v/>
      </c>
      <c r="M56" s="16">
        <f>J56-G56</f>
        <v/>
      </c>
      <c r="N56" s="5">
        <f>IF(AND(L56&lt;=DATOS!$B$36,M56&gt;=DATOS!$B$37,I56&lt;=1),"CUMPLE","NO CUMPLE")</f>
        <v/>
      </c>
      <c r="O56" s="5">
        <f>IF(AND(A56&gt;=DATOS!$B$30,A56&lt;DATOS!$B$31),"cruce de camiones",IF(AND(A56&gt;=DATOS!$B$32,A56&lt;DATOS!$B$33),"cruce de motos","tramo normal"))</f>
        <v/>
      </c>
      <c r="P56" s="5">
        <f>E56*1.001</f>
        <v/>
      </c>
      <c r="Q56" s="13" t="n">
        <v>3</v>
      </c>
      <c r="R56" s="5">
        <f>IF((((P56+Q56)/2)+(C56/(D56*((P56+Q56)/2)))^2/(2*9.81)+B56-(G55+H55^2/(2*9.81))-(A55-A56)*(((DATOS!$B$34*(C56/(D56*((P56+Q56)/2)))/((D56*((P56+Q56)/2))/(D56+2*((P56+Q56)/2)))^(2/3))^2+((DATOS!$B$34*H55/((D55*F55)/(D55+2*F55))^(2/3))^2))/2))&gt;0,P56,((P56+Q56)/2))</f>
        <v/>
      </c>
      <c r="S56" s="5">
        <f>IF((((P56+Q56)/2)+(C56/(D56*((P56+Q56)/2)))^2/(2*9.81)+B56-(G55+H55^2/(2*9.81))-(A55-A56)*(((DATOS!$B$34*(C56/(D56*((P56+Q56)/2)))/((D56*((P56+Q56)/2))/(D56+2*((P56+Q56)/2)))^(2/3))^2+((DATOS!$B$34*H55/((D55*F55)/(D55+2*F55))^(2/3))^2))/2))&gt;0,((P56+Q56)/2),Q56)</f>
        <v/>
      </c>
      <c r="T56" s="5">
        <f>IF((((R56+S56)/2)+(C56/(D56*((R56+S56)/2)))^2/(2*9.81)+B56-(G55+H55^2/(2*9.81))-(A55-A56)*(((DATOS!$B$34*(C56/(D56*((R56+S56)/2)))/((D56*((R56+S56)/2))/(D56+2*((R56+S56)/2)))^(2/3))^2+((DATOS!$B$34*H55/((D55*F55)/(D55+2*F55))^(2/3))^2))/2))&gt;0,R56,((R56+S56)/2))</f>
        <v/>
      </c>
      <c r="U56" s="5">
        <f>IF((((R56+S56)/2)+(C56/(D56*((R56+S56)/2)))^2/(2*9.81)+B56-(G55+H55^2/(2*9.81))-(A55-A56)*(((DATOS!$B$34*(C56/(D56*((R56+S56)/2)))/((D56*((R56+S56)/2))/(D56+2*((R56+S56)/2)))^(2/3))^2+((DATOS!$B$34*H55/((D55*F55)/(D55+2*F55))^(2/3))^2))/2))&gt;0,((R56+S56)/2),S56)</f>
        <v/>
      </c>
      <c r="V56" s="5">
        <f>IF((((T56+U56)/2)+(C56/(D56*((T56+U56)/2)))^2/(2*9.81)+B56-(G55+H55^2/(2*9.81))-(A55-A56)*(((DATOS!$B$34*(C56/(D56*((T56+U56)/2)))/((D56*((T56+U56)/2))/(D56+2*((T56+U56)/2)))^(2/3))^2+((DATOS!$B$34*H55/((D55*F55)/(D55+2*F55))^(2/3))^2))/2))&gt;0,T56,((T56+U56)/2))</f>
        <v/>
      </c>
      <c r="W56" s="5">
        <f>IF((((T56+U56)/2)+(C56/(D56*((T56+U56)/2)))^2/(2*9.81)+B56-(G55+H55^2/(2*9.81))-(A55-A56)*(((DATOS!$B$34*(C56/(D56*((T56+U56)/2)))/((D56*((T56+U56)/2))/(D56+2*((T56+U56)/2)))^(2/3))^2+((DATOS!$B$34*H55/((D55*F55)/(D55+2*F55))^(2/3))^2))/2))&gt;0,((T56+U56)/2),U56)</f>
        <v/>
      </c>
      <c r="X56" s="5">
        <f>IF((((V56+W56)/2)+(C56/(D56*((V56+W56)/2)))^2/(2*9.81)+B56-(G55+H55^2/(2*9.81))-(A55-A56)*(((DATOS!$B$34*(C56/(D56*((V56+W56)/2)))/((D56*((V56+W56)/2))/(D56+2*((V56+W56)/2)))^(2/3))^2+((DATOS!$B$34*H55/((D55*F55)/(D55+2*F55))^(2/3))^2))/2))&gt;0,V56,((V56+W56)/2))</f>
        <v/>
      </c>
      <c r="Y56" s="5">
        <f>IF((((V56+W56)/2)+(C56/(D56*((V56+W56)/2)))^2/(2*9.81)+B56-(G55+H55^2/(2*9.81))-(A55-A56)*(((DATOS!$B$34*(C56/(D56*((V56+W56)/2)))/((D56*((V56+W56)/2))/(D56+2*((V56+W56)/2)))^(2/3))^2+((DATOS!$B$34*H55/((D55*F55)/(D55+2*F55))^(2/3))^2))/2))&gt;0,((V56+W56)/2),W56)</f>
        <v/>
      </c>
      <c r="Z56" s="5">
        <f>IF((((X56+Y56)/2)+(C56/(D56*((X56+Y56)/2)))^2/(2*9.81)+B56-(G55+H55^2/(2*9.81))-(A55-A56)*(((DATOS!$B$34*(C56/(D56*((X56+Y56)/2)))/((D56*((X56+Y56)/2))/(D56+2*((X56+Y56)/2)))^(2/3))^2+((DATOS!$B$34*H55/((D55*F55)/(D55+2*F55))^(2/3))^2))/2))&gt;0,X56,((X56+Y56)/2))</f>
        <v/>
      </c>
      <c r="AA56" s="5">
        <f>IF((((X56+Y56)/2)+(C56/(D56*((X56+Y56)/2)))^2/(2*9.81)+B56-(G55+H55^2/(2*9.81))-(A55-A56)*(((DATOS!$B$34*(C56/(D56*((X56+Y56)/2)))/((D56*((X56+Y56)/2))/(D56+2*((X56+Y56)/2)))^(2/3))^2+((DATOS!$B$34*H55/((D55*F55)/(D55+2*F55))^(2/3))^2))/2))&gt;0,((X56+Y56)/2),Y56)</f>
        <v/>
      </c>
      <c r="AB56" s="5">
        <f>IF((((Z56+AA56)/2)+(C56/(D56*((Z56+AA56)/2)))^2/(2*9.81)+B56-(G55+H55^2/(2*9.81))-(A55-A56)*(((DATOS!$B$34*(C56/(D56*((Z56+AA56)/2)))/((D56*((Z56+AA56)/2))/(D56+2*((Z56+AA56)/2)))^(2/3))^2+((DATOS!$B$34*H55/((D55*F55)/(D55+2*F55))^(2/3))^2))/2))&gt;0,Z56,((Z56+AA56)/2))</f>
        <v/>
      </c>
      <c r="AC56" s="5">
        <f>IF((((Z56+AA56)/2)+(C56/(D56*((Z56+AA56)/2)))^2/(2*9.81)+B56-(G55+H55^2/(2*9.81))-(A55-A56)*(((DATOS!$B$34*(C56/(D56*((Z56+AA56)/2)))/((D56*((Z56+AA56)/2))/(D56+2*((Z56+AA56)/2)))^(2/3))^2+((DATOS!$B$34*H55/((D55*F55)/(D55+2*F55))^(2/3))^2))/2))&gt;0,((Z56+AA56)/2),AA56)</f>
        <v/>
      </c>
      <c r="AD56" s="5">
        <f>IF((((AB56+AC56)/2)+(C56/(D56*((AB56+AC56)/2)))^2/(2*9.81)+B56-(G55+H55^2/(2*9.81))-(A55-A56)*(((DATOS!$B$34*(C56/(D56*((AB56+AC56)/2)))/((D56*((AB56+AC56)/2))/(D56+2*((AB56+AC56)/2)))^(2/3))^2+((DATOS!$B$34*H55/((D55*F55)/(D55+2*F55))^(2/3))^2))/2))&gt;0,AB56,((AB56+AC56)/2))</f>
        <v/>
      </c>
      <c r="AE56" s="5">
        <f>IF((((AB56+AC56)/2)+(C56/(D56*((AB56+AC56)/2)))^2/(2*9.81)+B56-(G55+H55^2/(2*9.81))-(A55-A56)*(((DATOS!$B$34*(C56/(D56*((AB56+AC56)/2)))/((D56*((AB56+AC56)/2))/(D56+2*((AB56+AC56)/2)))^(2/3))^2+((DATOS!$B$34*H55/((D55*F55)/(D55+2*F55))^(2/3))^2))/2))&gt;0,((AB56+AC56)/2),AC56)</f>
        <v/>
      </c>
      <c r="AF56" s="5">
        <f>IF((((AD56+AE56)/2)+(C56/(D56*((AD56+AE56)/2)))^2/(2*9.81)+B56-(G55+H55^2/(2*9.81))-(A55-A56)*(((DATOS!$B$34*(C56/(D56*((AD56+AE56)/2)))/((D56*((AD56+AE56)/2))/(D56+2*((AD56+AE56)/2)))^(2/3))^2+((DATOS!$B$34*H55/((D55*F55)/(D55+2*F55))^(2/3))^2))/2))&gt;0,AD56,((AD56+AE56)/2))</f>
        <v/>
      </c>
      <c r="AG56" s="5">
        <f>IF((((AD56+AE56)/2)+(C56/(D56*((AD56+AE56)/2)))^2/(2*9.81)+B56-(G55+H55^2/(2*9.81))-(A55-A56)*(((DATOS!$B$34*(C56/(D56*((AD56+AE56)/2)))/((D56*((AD56+AE56)/2))/(D56+2*((AD56+AE56)/2)))^(2/3))^2+((DATOS!$B$34*H55/((D55*F55)/(D55+2*F55))^(2/3))^2))/2))&gt;0,((AD56+AE56)/2),AE56)</f>
        <v/>
      </c>
      <c r="AH56" s="5">
        <f>IF((((AF56+AG56)/2)+(C56/(D56*((AF56+AG56)/2)))^2/(2*9.81)+B56-(G55+H55^2/(2*9.81))-(A55-A56)*(((DATOS!$B$34*(C56/(D56*((AF56+AG56)/2)))/((D56*((AF56+AG56)/2))/(D56+2*((AF56+AG56)/2)))^(2/3))^2+((DATOS!$B$34*H55/((D55*F55)/(D55+2*F55))^(2/3))^2))/2))&gt;0,AF56,((AF56+AG56)/2))</f>
        <v/>
      </c>
      <c r="AI56" s="5">
        <f>IF((((AF56+AG56)/2)+(C56/(D56*((AF56+AG56)/2)))^2/(2*9.81)+B56-(G55+H55^2/(2*9.81))-(A55-A56)*(((DATOS!$B$34*(C56/(D56*((AF56+AG56)/2)))/((D56*((AF56+AG56)/2))/(D56+2*((AF56+AG56)/2)))^(2/3))^2+((DATOS!$B$34*H55/((D55*F55)/(D55+2*F55))^(2/3))^2))/2))&gt;0,((AF56+AG56)/2),AG56)</f>
        <v/>
      </c>
      <c r="AJ56" s="5">
        <f>IF((((AH56+AI56)/2)+(C56/(D56*((AH56+AI56)/2)))^2/(2*9.81)+B56-(G55+H55^2/(2*9.81))-(A55-A56)*(((DATOS!$B$34*(C56/(D56*((AH56+AI56)/2)))/((D56*((AH56+AI56)/2))/(D56+2*((AH56+AI56)/2)))^(2/3))^2+((DATOS!$B$34*H55/((D55*F55)/(D55+2*F55))^(2/3))^2))/2))&gt;0,AH56,((AH56+AI56)/2))</f>
        <v/>
      </c>
      <c r="AK56" s="5">
        <f>IF((((AH56+AI56)/2)+(C56/(D56*((AH56+AI56)/2)))^2/(2*9.81)+B56-(G55+H55^2/(2*9.81))-(A55-A56)*(((DATOS!$B$34*(C56/(D56*((AH56+AI56)/2)))/((D56*((AH56+AI56)/2))/(D56+2*((AH56+AI56)/2)))^(2/3))^2+((DATOS!$B$34*H55/((D55*F55)/(D55+2*F55))^(2/3))^2))/2))&gt;0,((AH56+AI56)/2),AI56)</f>
        <v/>
      </c>
      <c r="AL56" s="5">
        <f>IF((((AJ56+AK56)/2)+(C56/(D56*((AJ56+AK56)/2)))^2/(2*9.81)+B56-(G55+H55^2/(2*9.81))-(A55-A56)*(((DATOS!$B$34*(C56/(D56*((AJ56+AK56)/2)))/((D56*((AJ56+AK56)/2))/(D56+2*((AJ56+AK56)/2)))^(2/3))^2+((DATOS!$B$34*H55/((D55*F55)/(D55+2*F55))^(2/3))^2))/2))&gt;0,AJ56,((AJ56+AK56)/2))</f>
        <v/>
      </c>
      <c r="AM56" s="5">
        <f>IF((((AJ56+AK56)/2)+(C56/(D56*((AJ56+AK56)/2)))^2/(2*9.81)+B56-(G55+H55^2/(2*9.81))-(A55-A56)*(((DATOS!$B$34*(C56/(D56*((AJ56+AK56)/2)))/((D56*((AJ56+AK56)/2))/(D56+2*((AJ56+AK56)/2)))^(2/3))^2+((DATOS!$B$34*H55/((D55*F55)/(D55+2*F55))^(2/3))^2))/2))&gt;0,((AJ56+AK56)/2),AK56)</f>
        <v/>
      </c>
      <c r="AN56" s="5">
        <f>IF((((AL56+AM56)/2)+(C56/(D56*((AL56+AM56)/2)))^2/(2*9.81)+B56-(G55+H55^2/(2*9.81))-(A55-A56)*(((DATOS!$B$34*(C56/(D56*((AL56+AM56)/2)))/((D56*((AL56+AM56)/2))/(D56+2*((AL56+AM56)/2)))^(2/3))^2+((DATOS!$B$34*H55/((D55*F55)/(D55+2*F55))^(2/3))^2))/2))&gt;0,AL56,((AL56+AM56)/2))</f>
        <v/>
      </c>
      <c r="AO56" s="5">
        <f>IF((((AL56+AM56)/2)+(C56/(D56*((AL56+AM56)/2)))^2/(2*9.81)+B56-(G55+H55^2/(2*9.81))-(A55-A56)*(((DATOS!$B$34*(C56/(D56*((AL56+AM56)/2)))/((D56*((AL56+AM56)/2))/(D56+2*((AL56+AM56)/2)))^(2/3))^2+((DATOS!$B$34*H55/((D55*F55)/(D55+2*F55))^(2/3))^2))/2))&gt;0,((AL56+AM56)/2),AM56)</f>
        <v/>
      </c>
      <c r="AP56" s="5">
        <f>IF((((AN56+AO56)/2)+(C56/(D56*((AN56+AO56)/2)))^2/(2*9.81)+B56-(G55+H55^2/(2*9.81))-(A55-A56)*(((DATOS!$B$34*(C56/(D56*((AN56+AO56)/2)))/((D56*((AN56+AO56)/2))/(D56+2*((AN56+AO56)/2)))^(2/3))^2+((DATOS!$B$34*H55/((D55*F55)/(D55+2*F55))^(2/3))^2))/2))&gt;0,AN56,((AN56+AO56)/2))</f>
        <v/>
      </c>
      <c r="AQ56" s="5">
        <f>IF((((AN56+AO56)/2)+(C56/(D56*((AN56+AO56)/2)))^2/(2*9.81)+B56-(G55+H55^2/(2*9.81))-(A55-A56)*(((DATOS!$B$34*(C56/(D56*((AN56+AO56)/2)))/((D56*((AN56+AO56)/2))/(D56+2*((AN56+AO56)/2)))^(2/3))^2+((DATOS!$B$34*H55/((D55*F55)/(D55+2*F55))^(2/3))^2))/2))&gt;0,((AN56+AO56)/2),AO56)</f>
        <v/>
      </c>
      <c r="AR56" s="5">
        <f>IF((((AP56+AQ56)/2)+(C56/(D56*((AP56+AQ56)/2)))^2/(2*9.81)+B56-(G55+H55^2/(2*9.81))-(A55-A56)*(((DATOS!$B$34*(C56/(D56*((AP56+AQ56)/2)))/((D56*((AP56+AQ56)/2))/(D56+2*((AP56+AQ56)/2)))^(2/3))^2+((DATOS!$B$34*H55/((D55*F55)/(D55+2*F55))^(2/3))^2))/2))&gt;0,AP56,((AP56+AQ56)/2))</f>
        <v/>
      </c>
      <c r="AS56" s="5">
        <f>IF((((AP56+AQ56)/2)+(C56/(D56*((AP56+AQ56)/2)))^2/(2*9.81)+B56-(G55+H55^2/(2*9.81))-(A55-A56)*(((DATOS!$B$34*(C56/(D56*((AP56+AQ56)/2)))/((D56*((AP56+AQ56)/2))/(D56+2*((AP56+AQ56)/2)))^(2/3))^2+((DATOS!$B$34*H55/((D55*F55)/(D55+2*F55))^(2/3))^2))/2))&gt;0,((AP56+AQ56)/2),AQ56)</f>
        <v/>
      </c>
      <c r="AT56" s="5">
        <f>IF((((AR56+AS56)/2)+(C56/(D56*((AR56+AS56)/2)))^2/(2*9.81)+B56-(G55+H55^2/(2*9.81))-(A55-A56)*(((DATOS!$B$34*(C56/(D56*((AR56+AS56)/2)))/((D56*((AR56+AS56)/2))/(D56+2*((AR56+AS56)/2)))^(2/3))^2+((DATOS!$B$34*H55/((D55*F55)/(D55+2*F55))^(2/3))^2))/2))&gt;0,AR56,((AR56+AS56)/2))</f>
        <v/>
      </c>
      <c r="AU56" s="5">
        <f>IF((((AR56+AS56)/2)+(C56/(D56*((AR56+AS56)/2)))^2/(2*9.81)+B56-(G55+H55^2/(2*9.81))-(A55-A56)*(((DATOS!$B$34*(C56/(D56*((AR56+AS56)/2)))/((D56*((AR56+AS56)/2))/(D56+2*((AR56+AS56)/2)))^(2/3))^2+((DATOS!$B$34*H55/((D55*F55)/(D55+2*F55))^(2/3))^2))/2))&gt;0,((AR56+AS56)/2),AS56)</f>
        <v/>
      </c>
      <c r="AV56" s="5">
        <f>IF((((AT56+AU56)/2)+(C56/(D56*((AT56+AU56)/2)))^2/(2*9.81)+B56-(G55+H55^2/(2*9.81))-(A55-A56)*(((DATOS!$B$34*(C56/(D56*((AT56+AU56)/2)))/((D56*((AT56+AU56)/2))/(D56+2*((AT56+AU56)/2)))^(2/3))^2+((DATOS!$B$34*H55/((D55*F55)/(D55+2*F55))^(2/3))^2))/2))&gt;0,AT56,((AT56+AU56)/2))</f>
        <v/>
      </c>
      <c r="AW56" s="5">
        <f>IF((((AT56+AU56)/2)+(C56/(D56*((AT56+AU56)/2)))^2/(2*9.81)+B56-(G55+H55^2/(2*9.81))-(A55-A56)*(((DATOS!$B$34*(C56/(D56*((AT56+AU56)/2)))/((D56*((AT56+AU56)/2))/(D56+2*((AT56+AU56)/2)))^(2/3))^2+((DATOS!$B$34*H55/((D55*F55)/(D55+2*F55))^(2/3))^2))/2))&gt;0,((AT56+AU56)/2),AU56)</f>
        <v/>
      </c>
      <c r="AX56" s="5">
        <f>IF((((AV56+AW56)/2)+(C56/(D56*((AV56+AW56)/2)))^2/(2*9.81)+B56-(G55+H55^2/(2*9.81))-(A55-A56)*(((DATOS!$B$34*(C56/(D56*((AV56+AW56)/2)))/((D56*((AV56+AW56)/2))/(D56+2*((AV56+AW56)/2)))^(2/3))^2+((DATOS!$B$34*H55/((D55*F55)/(D55+2*F55))^(2/3))^2))/2))&gt;0,AV56,((AV56+AW56)/2))</f>
        <v/>
      </c>
      <c r="AY56" s="5">
        <f>IF((((AV56+AW56)/2)+(C56/(D56*((AV56+AW56)/2)))^2/(2*9.81)+B56-(G55+H55^2/(2*9.81))-(A55-A56)*(((DATOS!$B$34*(C56/(D56*((AV56+AW56)/2)))/((D56*((AV56+AW56)/2))/(D56+2*((AV56+AW56)/2)))^(2/3))^2+((DATOS!$B$34*H55/((D55*F55)/(D55+2*F55))^(2/3))^2))/2))&gt;0,((AV56+AW56)/2),AW56)</f>
        <v/>
      </c>
      <c r="AZ56" s="5">
        <f>IF((((AX56+AY56)/2)+(C56/(D56*((AX56+AY56)/2)))^2/(2*9.81)+B56-(G55+H55^2/(2*9.81))-(A55-A56)*(((DATOS!$B$34*(C56/(D56*((AX56+AY56)/2)))/((D56*((AX56+AY56)/2))/(D56+2*((AX56+AY56)/2)))^(2/3))^2+((DATOS!$B$34*H55/((D55*F55)/(D55+2*F55))^(2/3))^2))/2))&gt;0,AX56,((AX56+AY56)/2))</f>
        <v/>
      </c>
      <c r="BA56" s="5">
        <f>IF((((AX56+AY56)/2)+(C56/(D56*((AX56+AY56)/2)))^2/(2*9.81)+B56-(G55+H55^2/(2*9.81))-(A55-A56)*(((DATOS!$B$34*(C56/(D56*((AX56+AY56)/2)))/((D56*((AX56+AY56)/2))/(D56+2*((AX56+AY56)/2)))^(2/3))^2+((DATOS!$B$34*H55/((D55*F55)/(D55+2*F55))^(2/3))^2))/2))&gt;0,((AX56+AY56)/2),AY56)</f>
        <v/>
      </c>
      <c r="BB56" s="5">
        <f>IF((((AZ56+BA56)/2)+(C56/(D56*((AZ56+BA56)/2)))^2/(2*9.81)+B56-(G55+H55^2/(2*9.81))-(A55-A56)*(((DATOS!$B$34*(C56/(D56*((AZ56+BA56)/2)))/((D56*((AZ56+BA56)/2))/(D56+2*((AZ56+BA56)/2)))^(2/3))^2+((DATOS!$B$34*H55/((D55*F55)/(D55+2*F55))^(2/3))^2))/2))&gt;0,AZ56,((AZ56+BA56)/2))</f>
        <v/>
      </c>
      <c r="BC56" s="5">
        <f>IF((((AZ56+BA56)/2)+(C56/(D56*((AZ56+BA56)/2)))^2/(2*9.81)+B56-(G55+H55^2/(2*9.81))-(A55-A56)*(((DATOS!$B$34*(C56/(D56*((AZ56+BA56)/2)))/((D56*((AZ56+BA56)/2))/(D56+2*((AZ56+BA56)/2)))^(2/3))^2+((DATOS!$B$34*H55/((D55*F55)/(D55+2*F55))^(2/3))^2))/2))&gt;0,((AZ56+BA56)/2),BA56)</f>
        <v/>
      </c>
      <c r="BD56" s="5">
        <f>IF((((BB56+BC56)/2)+(C56/(D56*((BB56+BC56)/2)))^2/(2*9.81)+B56-(G55+H55^2/(2*9.81))-(A55-A56)*(((DATOS!$B$34*(C56/(D56*((BB56+BC56)/2)))/((D56*((BB56+BC56)/2))/(D56+2*((BB56+BC56)/2)))^(2/3))^2+((DATOS!$B$34*H55/((D55*F55)/(D55+2*F55))^(2/3))^2))/2))&gt;0,BB56,((BB56+BC56)/2))</f>
        <v/>
      </c>
      <c r="BE56" s="5">
        <f>IF((((BB56+BC56)/2)+(C56/(D56*((BB56+BC56)/2)))^2/(2*9.81)+B56-(G55+H55^2/(2*9.81))-(A55-A56)*(((DATOS!$B$34*(C56/(D56*((BB56+BC56)/2)))/((D56*((BB56+BC56)/2))/(D56+2*((BB56+BC56)/2)))^(2/3))^2+((DATOS!$B$34*H55/((D55*F55)/(D55+2*F55))^(2/3))^2))/2))&gt;0,((BB56+BC56)/2),BC56)</f>
        <v/>
      </c>
      <c r="BF56" s="5">
        <f>IF((((BD56+BE56)/2)+(C56/(D56*((BD56+BE56)/2)))^2/(2*9.81)+B56-(G55+H55^2/(2*9.81))-(A55-A56)*(((DATOS!$B$34*(C56/(D56*((BD56+BE56)/2)))/((D56*((BD56+BE56)/2))/(D56+2*((BD56+BE56)/2)))^(2/3))^2+((DATOS!$B$34*H55/((D55*F55)/(D55+2*F55))^(2/3))^2))/2))&gt;0,BD56,((BD56+BE56)/2))</f>
        <v/>
      </c>
      <c r="BG56" s="5">
        <f>IF((((BD56+BE56)/2)+(C56/(D56*((BD56+BE56)/2)))^2/(2*9.81)+B56-(G55+H55^2/(2*9.81))-(A55-A56)*(((DATOS!$B$34*(C56/(D56*((BD56+BE56)/2)))/((D56*((BD56+BE56)/2))/(D56+2*((BD56+BE56)/2)))^(2/3))^2+((DATOS!$B$34*H55/((D55*F55)/(D55+2*F55))^(2/3))^2))/2))&gt;0,((BD56+BE56)/2),BE56)</f>
        <v/>
      </c>
      <c r="BH56" s="5">
        <f>IF((((BF56+BG56)/2)+(C56/(D56*((BF56+BG56)/2)))^2/(2*9.81)+B56-(G55+H55^2/(2*9.81))-(A55-A56)*(((DATOS!$B$34*(C56/(D56*((BF56+BG56)/2)))/((D56*((BF56+BG56)/2))/(D56+2*((BF56+BG56)/2)))^(2/3))^2+((DATOS!$B$34*H55/((D55*F55)/(D55+2*F55))^(2/3))^2))/2))&gt;0,BF56,((BF56+BG56)/2))</f>
        <v/>
      </c>
      <c r="BI56" s="5">
        <f>IF((((BF56+BG56)/2)+(C56/(D56*((BF56+BG56)/2)))^2/(2*9.81)+B56-(G55+H55^2/(2*9.81))-(A55-A56)*(((DATOS!$B$34*(C56/(D56*((BF56+BG56)/2)))/((D56*((BF56+BG56)/2))/(D56+2*((BF56+BG56)/2)))^(2/3))^2+((DATOS!$B$34*H55/((D55*F55)/(D55+2*F55))^(2/3))^2))/2))&gt;0,((BF56+BG56)/2),BG56)</f>
        <v/>
      </c>
      <c r="BJ56" s="5">
        <f>IF((((BH56+BI56)/2)+(C56/(D56*((BH56+BI56)/2)))^2/(2*9.81)+B56-(G55+H55^2/(2*9.81))-(A55-A56)*(((DATOS!$B$34*(C56/(D56*((BH56+BI56)/2)))/((D56*((BH56+BI56)/2))/(D56+2*((BH56+BI56)/2)))^(2/3))^2+((DATOS!$B$34*H55/((D55*F55)/(D55+2*F55))^(2/3))^2))/2))&gt;0,BH56,((BH56+BI56)/2))</f>
        <v/>
      </c>
      <c r="BK56" s="5">
        <f>IF((((BH56+BI56)/2)+(C56/(D56*((BH56+BI56)/2)))^2/(2*9.81)+B56-(G55+H55^2/(2*9.81))-(A55-A56)*(((DATOS!$B$34*(C56/(D56*((BH56+BI56)/2)))/((D56*((BH56+BI56)/2))/(D56+2*((BH56+BI56)/2)))^(2/3))^2+((DATOS!$B$34*H55/((D55*F55)/(D55+2*F55))^(2/3))^2))/2))&gt;0,((BH56+BI56)/2),BI56)</f>
        <v/>
      </c>
      <c r="BL56" s="5">
        <f>IF((((BJ56+BK56)/2)+(C56/(D56*((BJ56+BK56)/2)))^2/(2*9.81)+B56-(G55+H55^2/(2*9.81))-(A55-A56)*(((DATOS!$B$34*(C56/(D56*((BJ56+BK56)/2)))/((D56*((BJ56+BK56)/2))/(D56+2*((BJ56+BK56)/2)))^(2/3))^2+((DATOS!$B$34*H55/((D55*F55)/(D55+2*F55))^(2/3))^2))/2))&gt;0,BJ56,((BJ56+BK56)/2))</f>
        <v/>
      </c>
      <c r="BM56" s="5">
        <f>IF((((BJ56+BK56)/2)+(C56/(D56*((BJ56+BK56)/2)))^2/(2*9.81)+B56-(G55+H55^2/(2*9.81))-(A55-A56)*(((DATOS!$B$34*(C56/(D56*((BJ56+BK56)/2)))/((D56*((BJ56+BK56)/2))/(D56+2*((BJ56+BK56)/2)))^(2/3))^2+((DATOS!$B$34*H55/((D55*F55)/(D55+2*F55))^(2/3))^2))/2))&gt;0,((BJ56+BK56)/2),BK56)</f>
        <v/>
      </c>
      <c r="BN56" s="5">
        <f>IF((((BL56+BM56)/2)+(C56/(D56*((BL56+BM56)/2)))^2/(2*9.81)+B56-(G55+H55^2/(2*9.81))-(A55-A56)*(((DATOS!$B$34*(C56/(D56*((BL56+BM56)/2)))/((D56*((BL56+BM56)/2))/(D56+2*((BL56+BM56)/2)))^(2/3))^2+((DATOS!$B$34*H55/((D55*F55)/(D55+2*F55))^(2/3))^2))/2))&gt;0,BL56,((BL56+BM56)/2))</f>
        <v/>
      </c>
      <c r="BO56" s="5">
        <f>IF((((BL56+BM56)/2)+(C56/(D56*((BL56+BM56)/2)))^2/(2*9.81)+B56-(G55+H55^2/(2*9.81))-(A55-A56)*(((DATOS!$B$34*(C56/(D56*((BL56+BM56)/2)))/((D56*((BL56+BM56)/2))/(D56+2*((BL56+BM56)/2)))^(2/3))^2+((DATOS!$B$34*H55/((D55*F55)/(D55+2*F55))^(2/3))^2))/2))&gt;0,((BL56+BM56)/2),BM56)</f>
        <v/>
      </c>
      <c r="BP56" s="5">
        <f>IF((((BN56+BO56)/2)+(C56/(D56*((BN56+BO56)/2)))^2/(2*9.81)+B56-(G55+H55^2/(2*9.81))-(A55-A56)*(((DATOS!$B$34*(C56/(D56*((BN56+BO56)/2)))/((D56*((BN56+BO56)/2))/(D56+2*((BN56+BO56)/2)))^(2/3))^2+((DATOS!$B$34*H55/((D55*F55)/(D55+2*F55))^(2/3))^2))/2))&gt;0,BN56,((BN56+BO56)/2))</f>
        <v/>
      </c>
      <c r="BQ56" s="5">
        <f>IF((((BN56+BO56)/2)+(C56/(D56*((BN56+BO56)/2)))^2/(2*9.81)+B56-(G55+H55^2/(2*9.81))-(A55-A56)*(((DATOS!$B$34*(C56/(D56*((BN56+BO56)/2)))/((D56*((BN56+BO56)/2))/(D56+2*((BN56+BO56)/2)))^(2/3))^2+((DATOS!$B$34*H55/((D55*F55)/(D55+2*F55))^(2/3))^2))/2))&gt;0,((BN56+BO56)/2),BO56)</f>
        <v/>
      </c>
      <c r="BR56" s="5">
        <f>IF((((BP56+BQ56)/2)+(C56/(D56*((BP56+BQ56)/2)))^2/(2*9.81)+B56-(G55+H55^2/(2*9.81))-(A55-A56)*(((DATOS!$B$34*(C56/(D56*((BP56+BQ56)/2)))/((D56*((BP56+BQ56)/2))/(D56+2*((BP56+BQ56)/2)))^(2/3))^2+((DATOS!$B$34*H55/((D55*F55)/(D55+2*F55))^(2/3))^2))/2))&gt;0,BP56,((BP56+BQ56)/2))</f>
        <v/>
      </c>
      <c r="BS56" s="5">
        <f>IF((((BP56+BQ56)/2)+(C56/(D56*((BP56+BQ56)/2)))^2/(2*9.81)+B56-(G55+H55^2/(2*9.81))-(A55-A56)*(((DATOS!$B$34*(C56/(D56*((BP56+BQ56)/2)))/((D56*((BP56+BQ56)/2))/(D56+2*((BP56+BQ56)/2)))^(2/3))^2+((DATOS!$B$34*H55/((D55*F55)/(D55+2*F55))^(2/3))^2))/2))&gt;0,((BP56+BQ56)/2),BQ56)</f>
        <v/>
      </c>
      <c r="BT56" s="5">
        <f>IF((((BR56+BS56)/2)+(C56/(D56*((BR56+BS56)/2)))^2/(2*9.81)+B56-(G55+H55^2/(2*9.81))-(A55-A56)*(((DATOS!$B$34*(C56/(D56*((BR56+BS56)/2)))/((D56*((BR56+BS56)/2))/(D56+2*((BR56+BS56)/2)))^(2/3))^2+((DATOS!$B$34*H55/((D55*F55)/(D55+2*F55))^(2/3))^2))/2))&gt;0,BR56,((BR56+BS56)/2))</f>
        <v/>
      </c>
      <c r="BU56" s="5">
        <f>IF((((BR56+BS56)/2)+(C56/(D56*((BR56+BS56)/2)))^2/(2*9.81)+B56-(G55+H55^2/(2*9.81))-(A55-A56)*(((DATOS!$B$34*(C56/(D56*((BR56+BS56)/2)))/((D56*((BR56+BS56)/2))/(D56+2*((BR56+BS56)/2)))^(2/3))^2+((DATOS!$B$34*H55/((D55*F55)/(D55+2*F55))^(2/3))^2))/2))&gt;0,((BR56+BS56)/2),BS56)</f>
        <v/>
      </c>
      <c r="BV56" s="5">
        <f>IF((((BT56+BU56)/2)+(C56/(D56*((BT56+BU56)/2)))^2/(2*9.81)+B56-(G55+H55^2/(2*9.81))-(A55-A56)*(((DATOS!$B$34*(C56/(D56*((BT56+BU56)/2)))/((D56*((BT56+BU56)/2))/(D56+2*((BT56+BU56)/2)))^(2/3))^2+((DATOS!$B$34*H55/((D55*F55)/(D55+2*F55))^(2/3))^2))/2))&gt;0,BT56,((BT56+BU56)/2))</f>
        <v/>
      </c>
      <c r="BW56" s="5">
        <f>IF((((BT56+BU56)/2)+(C56/(D56*((BT56+BU56)/2)))^2/(2*9.81)+B56-(G55+H55^2/(2*9.81))-(A55-A56)*(((DATOS!$B$34*(C56/(D56*((BT56+BU56)/2)))/((D56*((BT56+BU56)/2))/(D56+2*((BT56+BU56)/2)))^(2/3))^2+((DATOS!$B$34*H55/((D55*F55)/(D55+2*F55))^(2/3))^2))/2))&gt;0,((BT56+BU56)/2),BU56)</f>
        <v/>
      </c>
    </row>
    <row r="57">
      <c r="A57" s="13" t="n">
        <v>30</v>
      </c>
      <c r="B57" s="16">
        <f>DATOS!$B$22-DATOS!$B$23*A57</f>
        <v/>
      </c>
      <c r="C57" s="24">
        <f>CAUDALES!$B$13</f>
        <v/>
      </c>
      <c r="D57" s="17">
        <f>DATOS!$B$17</f>
        <v/>
      </c>
      <c r="E57" s="16">
        <f>(C57^2/(9.81*D57^2))^(1/3)</f>
        <v/>
      </c>
      <c r="F57" s="16">
        <f>(BV57+BW57)/2</f>
        <v/>
      </c>
      <c r="G57" s="16">
        <f>B57+F57</f>
        <v/>
      </c>
      <c r="H57" s="19">
        <f>C57/(D57*F57)</f>
        <v/>
      </c>
      <c r="I57" s="19">
        <f>H57/SQRT(9.81*F57)</f>
        <v/>
      </c>
      <c r="J57" s="16">
        <f>DATOS!$B$29-IF(AND(A57&gt;=DATOS!$B$30,A57&lt;DATOS!$B$31),DATOS!$B$21,DATOS!$B$20)</f>
        <v/>
      </c>
      <c r="K57" s="19">
        <f>J57-B57</f>
        <v/>
      </c>
      <c r="L57" s="19">
        <f>F57/K57</f>
        <v/>
      </c>
      <c r="M57" s="16">
        <f>J57-G57</f>
        <v/>
      </c>
      <c r="N57" s="5">
        <f>IF(AND(L57&lt;=DATOS!$B$36,M57&gt;=DATOS!$B$37,I57&lt;=1),"CUMPLE","NO CUMPLE")</f>
        <v/>
      </c>
      <c r="O57" s="5">
        <f>IF(AND(A57&gt;=DATOS!$B$30,A57&lt;DATOS!$B$31),"cruce de camiones",IF(AND(A57&gt;=DATOS!$B$32,A57&lt;DATOS!$B$33),"cruce de motos","tramo normal"))</f>
        <v/>
      </c>
      <c r="P57" s="5">
        <f>E57*1.001</f>
        <v/>
      </c>
      <c r="Q57" s="13" t="n">
        <v>3</v>
      </c>
      <c r="R57" s="5">
        <f>IF((((P57+Q57)/2)+(C57/(D57*((P57+Q57)/2)))^2/(2*9.81)+B57-(G56+H56^2/(2*9.81))-(A56-A57)*(((DATOS!$B$34*(C57/(D57*((P57+Q57)/2)))/((D57*((P57+Q57)/2))/(D57+2*((P57+Q57)/2)))^(2/3))^2+((DATOS!$B$34*H56/((D56*F56)/(D56+2*F56))^(2/3))^2))/2))&gt;0,P57,((P57+Q57)/2))</f>
        <v/>
      </c>
      <c r="S57" s="5">
        <f>IF((((P57+Q57)/2)+(C57/(D57*((P57+Q57)/2)))^2/(2*9.81)+B57-(G56+H56^2/(2*9.81))-(A56-A57)*(((DATOS!$B$34*(C57/(D57*((P57+Q57)/2)))/((D57*((P57+Q57)/2))/(D57+2*((P57+Q57)/2)))^(2/3))^2+((DATOS!$B$34*H56/((D56*F56)/(D56+2*F56))^(2/3))^2))/2))&gt;0,((P57+Q57)/2),Q57)</f>
        <v/>
      </c>
      <c r="T57" s="5">
        <f>IF((((R57+S57)/2)+(C57/(D57*((R57+S57)/2)))^2/(2*9.81)+B57-(G56+H56^2/(2*9.81))-(A56-A57)*(((DATOS!$B$34*(C57/(D57*((R57+S57)/2)))/((D57*((R57+S57)/2))/(D57+2*((R57+S57)/2)))^(2/3))^2+((DATOS!$B$34*H56/((D56*F56)/(D56+2*F56))^(2/3))^2))/2))&gt;0,R57,((R57+S57)/2))</f>
        <v/>
      </c>
      <c r="U57" s="5">
        <f>IF((((R57+S57)/2)+(C57/(D57*((R57+S57)/2)))^2/(2*9.81)+B57-(G56+H56^2/(2*9.81))-(A56-A57)*(((DATOS!$B$34*(C57/(D57*((R57+S57)/2)))/((D57*((R57+S57)/2))/(D57+2*((R57+S57)/2)))^(2/3))^2+((DATOS!$B$34*H56/((D56*F56)/(D56+2*F56))^(2/3))^2))/2))&gt;0,((R57+S57)/2),S57)</f>
        <v/>
      </c>
      <c r="V57" s="5">
        <f>IF((((T57+U57)/2)+(C57/(D57*((T57+U57)/2)))^2/(2*9.81)+B57-(G56+H56^2/(2*9.81))-(A56-A57)*(((DATOS!$B$34*(C57/(D57*((T57+U57)/2)))/((D57*((T57+U57)/2))/(D57+2*((T57+U57)/2)))^(2/3))^2+((DATOS!$B$34*H56/((D56*F56)/(D56+2*F56))^(2/3))^2))/2))&gt;0,T57,((T57+U57)/2))</f>
        <v/>
      </c>
      <c r="W57" s="5">
        <f>IF((((T57+U57)/2)+(C57/(D57*((T57+U57)/2)))^2/(2*9.81)+B57-(G56+H56^2/(2*9.81))-(A56-A57)*(((DATOS!$B$34*(C57/(D57*((T57+U57)/2)))/((D57*((T57+U57)/2))/(D57+2*((T57+U57)/2)))^(2/3))^2+((DATOS!$B$34*H56/((D56*F56)/(D56+2*F56))^(2/3))^2))/2))&gt;0,((T57+U57)/2),U57)</f>
        <v/>
      </c>
      <c r="X57" s="5">
        <f>IF((((V57+W57)/2)+(C57/(D57*((V57+W57)/2)))^2/(2*9.81)+B57-(G56+H56^2/(2*9.81))-(A56-A57)*(((DATOS!$B$34*(C57/(D57*((V57+W57)/2)))/((D57*((V57+W57)/2))/(D57+2*((V57+W57)/2)))^(2/3))^2+((DATOS!$B$34*H56/((D56*F56)/(D56+2*F56))^(2/3))^2))/2))&gt;0,V57,((V57+W57)/2))</f>
        <v/>
      </c>
      <c r="Y57" s="5">
        <f>IF((((V57+W57)/2)+(C57/(D57*((V57+W57)/2)))^2/(2*9.81)+B57-(G56+H56^2/(2*9.81))-(A56-A57)*(((DATOS!$B$34*(C57/(D57*((V57+W57)/2)))/((D57*((V57+W57)/2))/(D57+2*((V57+W57)/2)))^(2/3))^2+((DATOS!$B$34*H56/((D56*F56)/(D56+2*F56))^(2/3))^2))/2))&gt;0,((V57+W57)/2),W57)</f>
        <v/>
      </c>
      <c r="Z57" s="5">
        <f>IF((((X57+Y57)/2)+(C57/(D57*((X57+Y57)/2)))^2/(2*9.81)+B57-(G56+H56^2/(2*9.81))-(A56-A57)*(((DATOS!$B$34*(C57/(D57*((X57+Y57)/2)))/((D57*((X57+Y57)/2))/(D57+2*((X57+Y57)/2)))^(2/3))^2+((DATOS!$B$34*H56/((D56*F56)/(D56+2*F56))^(2/3))^2))/2))&gt;0,X57,((X57+Y57)/2))</f>
        <v/>
      </c>
      <c r="AA57" s="5">
        <f>IF((((X57+Y57)/2)+(C57/(D57*((X57+Y57)/2)))^2/(2*9.81)+B57-(G56+H56^2/(2*9.81))-(A56-A57)*(((DATOS!$B$34*(C57/(D57*((X57+Y57)/2)))/((D57*((X57+Y57)/2))/(D57+2*((X57+Y57)/2)))^(2/3))^2+((DATOS!$B$34*H56/((D56*F56)/(D56+2*F56))^(2/3))^2))/2))&gt;0,((X57+Y57)/2),Y57)</f>
        <v/>
      </c>
      <c r="AB57" s="5">
        <f>IF((((Z57+AA57)/2)+(C57/(D57*((Z57+AA57)/2)))^2/(2*9.81)+B57-(G56+H56^2/(2*9.81))-(A56-A57)*(((DATOS!$B$34*(C57/(D57*((Z57+AA57)/2)))/((D57*((Z57+AA57)/2))/(D57+2*((Z57+AA57)/2)))^(2/3))^2+((DATOS!$B$34*H56/((D56*F56)/(D56+2*F56))^(2/3))^2))/2))&gt;0,Z57,((Z57+AA57)/2))</f>
        <v/>
      </c>
      <c r="AC57" s="5">
        <f>IF((((Z57+AA57)/2)+(C57/(D57*((Z57+AA57)/2)))^2/(2*9.81)+B57-(G56+H56^2/(2*9.81))-(A56-A57)*(((DATOS!$B$34*(C57/(D57*((Z57+AA57)/2)))/((D57*((Z57+AA57)/2))/(D57+2*((Z57+AA57)/2)))^(2/3))^2+((DATOS!$B$34*H56/((D56*F56)/(D56+2*F56))^(2/3))^2))/2))&gt;0,((Z57+AA57)/2),AA57)</f>
        <v/>
      </c>
      <c r="AD57" s="5">
        <f>IF((((AB57+AC57)/2)+(C57/(D57*((AB57+AC57)/2)))^2/(2*9.81)+B57-(G56+H56^2/(2*9.81))-(A56-A57)*(((DATOS!$B$34*(C57/(D57*((AB57+AC57)/2)))/((D57*((AB57+AC57)/2))/(D57+2*((AB57+AC57)/2)))^(2/3))^2+((DATOS!$B$34*H56/((D56*F56)/(D56+2*F56))^(2/3))^2))/2))&gt;0,AB57,((AB57+AC57)/2))</f>
        <v/>
      </c>
      <c r="AE57" s="5">
        <f>IF((((AB57+AC57)/2)+(C57/(D57*((AB57+AC57)/2)))^2/(2*9.81)+B57-(G56+H56^2/(2*9.81))-(A56-A57)*(((DATOS!$B$34*(C57/(D57*((AB57+AC57)/2)))/((D57*((AB57+AC57)/2))/(D57+2*((AB57+AC57)/2)))^(2/3))^2+((DATOS!$B$34*H56/((D56*F56)/(D56+2*F56))^(2/3))^2))/2))&gt;0,((AB57+AC57)/2),AC57)</f>
        <v/>
      </c>
      <c r="AF57" s="5">
        <f>IF((((AD57+AE57)/2)+(C57/(D57*((AD57+AE57)/2)))^2/(2*9.81)+B57-(G56+H56^2/(2*9.81))-(A56-A57)*(((DATOS!$B$34*(C57/(D57*((AD57+AE57)/2)))/((D57*((AD57+AE57)/2))/(D57+2*((AD57+AE57)/2)))^(2/3))^2+((DATOS!$B$34*H56/((D56*F56)/(D56+2*F56))^(2/3))^2))/2))&gt;0,AD57,((AD57+AE57)/2))</f>
        <v/>
      </c>
      <c r="AG57" s="5">
        <f>IF((((AD57+AE57)/2)+(C57/(D57*((AD57+AE57)/2)))^2/(2*9.81)+B57-(G56+H56^2/(2*9.81))-(A56-A57)*(((DATOS!$B$34*(C57/(D57*((AD57+AE57)/2)))/((D57*((AD57+AE57)/2))/(D57+2*((AD57+AE57)/2)))^(2/3))^2+((DATOS!$B$34*H56/((D56*F56)/(D56+2*F56))^(2/3))^2))/2))&gt;0,((AD57+AE57)/2),AE57)</f>
        <v/>
      </c>
      <c r="AH57" s="5">
        <f>IF((((AF57+AG57)/2)+(C57/(D57*((AF57+AG57)/2)))^2/(2*9.81)+B57-(G56+H56^2/(2*9.81))-(A56-A57)*(((DATOS!$B$34*(C57/(D57*((AF57+AG57)/2)))/((D57*((AF57+AG57)/2))/(D57+2*((AF57+AG57)/2)))^(2/3))^2+((DATOS!$B$34*H56/((D56*F56)/(D56+2*F56))^(2/3))^2))/2))&gt;0,AF57,((AF57+AG57)/2))</f>
        <v/>
      </c>
      <c r="AI57" s="5">
        <f>IF((((AF57+AG57)/2)+(C57/(D57*((AF57+AG57)/2)))^2/(2*9.81)+B57-(G56+H56^2/(2*9.81))-(A56-A57)*(((DATOS!$B$34*(C57/(D57*((AF57+AG57)/2)))/((D57*((AF57+AG57)/2))/(D57+2*((AF57+AG57)/2)))^(2/3))^2+((DATOS!$B$34*H56/((D56*F56)/(D56+2*F56))^(2/3))^2))/2))&gt;0,((AF57+AG57)/2),AG57)</f>
        <v/>
      </c>
      <c r="AJ57" s="5">
        <f>IF((((AH57+AI57)/2)+(C57/(D57*((AH57+AI57)/2)))^2/(2*9.81)+B57-(G56+H56^2/(2*9.81))-(A56-A57)*(((DATOS!$B$34*(C57/(D57*((AH57+AI57)/2)))/((D57*((AH57+AI57)/2))/(D57+2*((AH57+AI57)/2)))^(2/3))^2+((DATOS!$B$34*H56/((D56*F56)/(D56+2*F56))^(2/3))^2))/2))&gt;0,AH57,((AH57+AI57)/2))</f>
        <v/>
      </c>
      <c r="AK57" s="5">
        <f>IF((((AH57+AI57)/2)+(C57/(D57*((AH57+AI57)/2)))^2/(2*9.81)+B57-(G56+H56^2/(2*9.81))-(A56-A57)*(((DATOS!$B$34*(C57/(D57*((AH57+AI57)/2)))/((D57*((AH57+AI57)/2))/(D57+2*((AH57+AI57)/2)))^(2/3))^2+((DATOS!$B$34*H56/((D56*F56)/(D56+2*F56))^(2/3))^2))/2))&gt;0,((AH57+AI57)/2),AI57)</f>
        <v/>
      </c>
      <c r="AL57" s="5">
        <f>IF((((AJ57+AK57)/2)+(C57/(D57*((AJ57+AK57)/2)))^2/(2*9.81)+B57-(G56+H56^2/(2*9.81))-(A56-A57)*(((DATOS!$B$34*(C57/(D57*((AJ57+AK57)/2)))/((D57*((AJ57+AK57)/2))/(D57+2*((AJ57+AK57)/2)))^(2/3))^2+((DATOS!$B$34*H56/((D56*F56)/(D56+2*F56))^(2/3))^2))/2))&gt;0,AJ57,((AJ57+AK57)/2))</f>
        <v/>
      </c>
      <c r="AM57" s="5">
        <f>IF((((AJ57+AK57)/2)+(C57/(D57*((AJ57+AK57)/2)))^2/(2*9.81)+B57-(G56+H56^2/(2*9.81))-(A56-A57)*(((DATOS!$B$34*(C57/(D57*((AJ57+AK57)/2)))/((D57*((AJ57+AK57)/2))/(D57+2*((AJ57+AK57)/2)))^(2/3))^2+((DATOS!$B$34*H56/((D56*F56)/(D56+2*F56))^(2/3))^2))/2))&gt;0,((AJ57+AK57)/2),AK57)</f>
        <v/>
      </c>
      <c r="AN57" s="5">
        <f>IF((((AL57+AM57)/2)+(C57/(D57*((AL57+AM57)/2)))^2/(2*9.81)+B57-(G56+H56^2/(2*9.81))-(A56-A57)*(((DATOS!$B$34*(C57/(D57*((AL57+AM57)/2)))/((D57*((AL57+AM57)/2))/(D57+2*((AL57+AM57)/2)))^(2/3))^2+((DATOS!$B$34*H56/((D56*F56)/(D56+2*F56))^(2/3))^2))/2))&gt;0,AL57,((AL57+AM57)/2))</f>
        <v/>
      </c>
      <c r="AO57" s="5">
        <f>IF((((AL57+AM57)/2)+(C57/(D57*((AL57+AM57)/2)))^2/(2*9.81)+B57-(G56+H56^2/(2*9.81))-(A56-A57)*(((DATOS!$B$34*(C57/(D57*((AL57+AM57)/2)))/((D57*((AL57+AM57)/2))/(D57+2*((AL57+AM57)/2)))^(2/3))^2+((DATOS!$B$34*H56/((D56*F56)/(D56+2*F56))^(2/3))^2))/2))&gt;0,((AL57+AM57)/2),AM57)</f>
        <v/>
      </c>
      <c r="AP57" s="5">
        <f>IF((((AN57+AO57)/2)+(C57/(D57*((AN57+AO57)/2)))^2/(2*9.81)+B57-(G56+H56^2/(2*9.81))-(A56-A57)*(((DATOS!$B$34*(C57/(D57*((AN57+AO57)/2)))/((D57*((AN57+AO57)/2))/(D57+2*((AN57+AO57)/2)))^(2/3))^2+((DATOS!$B$34*H56/((D56*F56)/(D56+2*F56))^(2/3))^2))/2))&gt;0,AN57,((AN57+AO57)/2))</f>
        <v/>
      </c>
      <c r="AQ57" s="5">
        <f>IF((((AN57+AO57)/2)+(C57/(D57*((AN57+AO57)/2)))^2/(2*9.81)+B57-(G56+H56^2/(2*9.81))-(A56-A57)*(((DATOS!$B$34*(C57/(D57*((AN57+AO57)/2)))/((D57*((AN57+AO57)/2))/(D57+2*((AN57+AO57)/2)))^(2/3))^2+((DATOS!$B$34*H56/((D56*F56)/(D56+2*F56))^(2/3))^2))/2))&gt;0,((AN57+AO57)/2),AO57)</f>
        <v/>
      </c>
      <c r="AR57" s="5">
        <f>IF((((AP57+AQ57)/2)+(C57/(D57*((AP57+AQ57)/2)))^2/(2*9.81)+B57-(G56+H56^2/(2*9.81))-(A56-A57)*(((DATOS!$B$34*(C57/(D57*((AP57+AQ57)/2)))/((D57*((AP57+AQ57)/2))/(D57+2*((AP57+AQ57)/2)))^(2/3))^2+((DATOS!$B$34*H56/((D56*F56)/(D56+2*F56))^(2/3))^2))/2))&gt;0,AP57,((AP57+AQ57)/2))</f>
        <v/>
      </c>
      <c r="AS57" s="5">
        <f>IF((((AP57+AQ57)/2)+(C57/(D57*((AP57+AQ57)/2)))^2/(2*9.81)+B57-(G56+H56^2/(2*9.81))-(A56-A57)*(((DATOS!$B$34*(C57/(D57*((AP57+AQ57)/2)))/((D57*((AP57+AQ57)/2))/(D57+2*((AP57+AQ57)/2)))^(2/3))^2+((DATOS!$B$34*H56/((D56*F56)/(D56+2*F56))^(2/3))^2))/2))&gt;0,((AP57+AQ57)/2),AQ57)</f>
        <v/>
      </c>
      <c r="AT57" s="5">
        <f>IF((((AR57+AS57)/2)+(C57/(D57*((AR57+AS57)/2)))^2/(2*9.81)+B57-(G56+H56^2/(2*9.81))-(A56-A57)*(((DATOS!$B$34*(C57/(D57*((AR57+AS57)/2)))/((D57*((AR57+AS57)/2))/(D57+2*((AR57+AS57)/2)))^(2/3))^2+((DATOS!$B$34*H56/((D56*F56)/(D56+2*F56))^(2/3))^2))/2))&gt;0,AR57,((AR57+AS57)/2))</f>
        <v/>
      </c>
      <c r="AU57" s="5">
        <f>IF((((AR57+AS57)/2)+(C57/(D57*((AR57+AS57)/2)))^2/(2*9.81)+B57-(G56+H56^2/(2*9.81))-(A56-A57)*(((DATOS!$B$34*(C57/(D57*((AR57+AS57)/2)))/((D57*((AR57+AS57)/2))/(D57+2*((AR57+AS57)/2)))^(2/3))^2+((DATOS!$B$34*H56/((D56*F56)/(D56+2*F56))^(2/3))^2))/2))&gt;0,((AR57+AS57)/2),AS57)</f>
        <v/>
      </c>
      <c r="AV57" s="5">
        <f>IF((((AT57+AU57)/2)+(C57/(D57*((AT57+AU57)/2)))^2/(2*9.81)+B57-(G56+H56^2/(2*9.81))-(A56-A57)*(((DATOS!$B$34*(C57/(D57*((AT57+AU57)/2)))/((D57*((AT57+AU57)/2))/(D57+2*((AT57+AU57)/2)))^(2/3))^2+((DATOS!$B$34*H56/((D56*F56)/(D56+2*F56))^(2/3))^2))/2))&gt;0,AT57,((AT57+AU57)/2))</f>
        <v/>
      </c>
      <c r="AW57" s="5">
        <f>IF((((AT57+AU57)/2)+(C57/(D57*((AT57+AU57)/2)))^2/(2*9.81)+B57-(G56+H56^2/(2*9.81))-(A56-A57)*(((DATOS!$B$34*(C57/(D57*((AT57+AU57)/2)))/((D57*((AT57+AU57)/2))/(D57+2*((AT57+AU57)/2)))^(2/3))^2+((DATOS!$B$34*H56/((D56*F56)/(D56+2*F56))^(2/3))^2))/2))&gt;0,((AT57+AU57)/2),AU57)</f>
        <v/>
      </c>
      <c r="AX57" s="5">
        <f>IF((((AV57+AW57)/2)+(C57/(D57*((AV57+AW57)/2)))^2/(2*9.81)+B57-(G56+H56^2/(2*9.81))-(A56-A57)*(((DATOS!$B$34*(C57/(D57*((AV57+AW57)/2)))/((D57*((AV57+AW57)/2))/(D57+2*((AV57+AW57)/2)))^(2/3))^2+((DATOS!$B$34*H56/((D56*F56)/(D56+2*F56))^(2/3))^2))/2))&gt;0,AV57,((AV57+AW57)/2))</f>
        <v/>
      </c>
      <c r="AY57" s="5">
        <f>IF((((AV57+AW57)/2)+(C57/(D57*((AV57+AW57)/2)))^2/(2*9.81)+B57-(G56+H56^2/(2*9.81))-(A56-A57)*(((DATOS!$B$34*(C57/(D57*((AV57+AW57)/2)))/((D57*((AV57+AW57)/2))/(D57+2*((AV57+AW57)/2)))^(2/3))^2+((DATOS!$B$34*H56/((D56*F56)/(D56+2*F56))^(2/3))^2))/2))&gt;0,((AV57+AW57)/2),AW57)</f>
        <v/>
      </c>
      <c r="AZ57" s="5">
        <f>IF((((AX57+AY57)/2)+(C57/(D57*((AX57+AY57)/2)))^2/(2*9.81)+B57-(G56+H56^2/(2*9.81))-(A56-A57)*(((DATOS!$B$34*(C57/(D57*((AX57+AY57)/2)))/((D57*((AX57+AY57)/2))/(D57+2*((AX57+AY57)/2)))^(2/3))^2+((DATOS!$B$34*H56/((D56*F56)/(D56+2*F56))^(2/3))^2))/2))&gt;0,AX57,((AX57+AY57)/2))</f>
        <v/>
      </c>
      <c r="BA57" s="5">
        <f>IF((((AX57+AY57)/2)+(C57/(D57*((AX57+AY57)/2)))^2/(2*9.81)+B57-(G56+H56^2/(2*9.81))-(A56-A57)*(((DATOS!$B$34*(C57/(D57*((AX57+AY57)/2)))/((D57*((AX57+AY57)/2))/(D57+2*((AX57+AY57)/2)))^(2/3))^2+((DATOS!$B$34*H56/((D56*F56)/(D56+2*F56))^(2/3))^2))/2))&gt;0,((AX57+AY57)/2),AY57)</f>
        <v/>
      </c>
      <c r="BB57" s="5">
        <f>IF((((AZ57+BA57)/2)+(C57/(D57*((AZ57+BA57)/2)))^2/(2*9.81)+B57-(G56+H56^2/(2*9.81))-(A56-A57)*(((DATOS!$B$34*(C57/(D57*((AZ57+BA57)/2)))/((D57*((AZ57+BA57)/2))/(D57+2*((AZ57+BA57)/2)))^(2/3))^2+((DATOS!$B$34*H56/((D56*F56)/(D56+2*F56))^(2/3))^2))/2))&gt;0,AZ57,((AZ57+BA57)/2))</f>
        <v/>
      </c>
      <c r="BC57" s="5">
        <f>IF((((AZ57+BA57)/2)+(C57/(D57*((AZ57+BA57)/2)))^2/(2*9.81)+B57-(G56+H56^2/(2*9.81))-(A56-A57)*(((DATOS!$B$34*(C57/(D57*((AZ57+BA57)/2)))/((D57*((AZ57+BA57)/2))/(D57+2*((AZ57+BA57)/2)))^(2/3))^2+((DATOS!$B$34*H56/((D56*F56)/(D56+2*F56))^(2/3))^2))/2))&gt;0,((AZ57+BA57)/2),BA57)</f>
        <v/>
      </c>
      <c r="BD57" s="5">
        <f>IF((((BB57+BC57)/2)+(C57/(D57*((BB57+BC57)/2)))^2/(2*9.81)+B57-(G56+H56^2/(2*9.81))-(A56-A57)*(((DATOS!$B$34*(C57/(D57*((BB57+BC57)/2)))/((D57*((BB57+BC57)/2))/(D57+2*((BB57+BC57)/2)))^(2/3))^2+((DATOS!$B$34*H56/((D56*F56)/(D56+2*F56))^(2/3))^2))/2))&gt;0,BB57,((BB57+BC57)/2))</f>
        <v/>
      </c>
      <c r="BE57" s="5">
        <f>IF((((BB57+BC57)/2)+(C57/(D57*((BB57+BC57)/2)))^2/(2*9.81)+B57-(G56+H56^2/(2*9.81))-(A56-A57)*(((DATOS!$B$34*(C57/(D57*((BB57+BC57)/2)))/((D57*((BB57+BC57)/2))/(D57+2*((BB57+BC57)/2)))^(2/3))^2+((DATOS!$B$34*H56/((D56*F56)/(D56+2*F56))^(2/3))^2))/2))&gt;0,((BB57+BC57)/2),BC57)</f>
        <v/>
      </c>
      <c r="BF57" s="5">
        <f>IF((((BD57+BE57)/2)+(C57/(D57*((BD57+BE57)/2)))^2/(2*9.81)+B57-(G56+H56^2/(2*9.81))-(A56-A57)*(((DATOS!$B$34*(C57/(D57*((BD57+BE57)/2)))/((D57*((BD57+BE57)/2))/(D57+2*((BD57+BE57)/2)))^(2/3))^2+((DATOS!$B$34*H56/((D56*F56)/(D56+2*F56))^(2/3))^2))/2))&gt;0,BD57,((BD57+BE57)/2))</f>
        <v/>
      </c>
      <c r="BG57" s="5">
        <f>IF((((BD57+BE57)/2)+(C57/(D57*((BD57+BE57)/2)))^2/(2*9.81)+B57-(G56+H56^2/(2*9.81))-(A56-A57)*(((DATOS!$B$34*(C57/(D57*((BD57+BE57)/2)))/((D57*((BD57+BE57)/2))/(D57+2*((BD57+BE57)/2)))^(2/3))^2+((DATOS!$B$34*H56/((D56*F56)/(D56+2*F56))^(2/3))^2))/2))&gt;0,((BD57+BE57)/2),BE57)</f>
        <v/>
      </c>
      <c r="BH57" s="5">
        <f>IF((((BF57+BG57)/2)+(C57/(D57*((BF57+BG57)/2)))^2/(2*9.81)+B57-(G56+H56^2/(2*9.81))-(A56-A57)*(((DATOS!$B$34*(C57/(D57*((BF57+BG57)/2)))/((D57*((BF57+BG57)/2))/(D57+2*((BF57+BG57)/2)))^(2/3))^2+((DATOS!$B$34*H56/((D56*F56)/(D56+2*F56))^(2/3))^2))/2))&gt;0,BF57,((BF57+BG57)/2))</f>
        <v/>
      </c>
      <c r="BI57" s="5">
        <f>IF((((BF57+BG57)/2)+(C57/(D57*((BF57+BG57)/2)))^2/(2*9.81)+B57-(G56+H56^2/(2*9.81))-(A56-A57)*(((DATOS!$B$34*(C57/(D57*((BF57+BG57)/2)))/((D57*((BF57+BG57)/2))/(D57+2*((BF57+BG57)/2)))^(2/3))^2+((DATOS!$B$34*H56/((D56*F56)/(D56+2*F56))^(2/3))^2))/2))&gt;0,((BF57+BG57)/2),BG57)</f>
        <v/>
      </c>
      <c r="BJ57" s="5">
        <f>IF((((BH57+BI57)/2)+(C57/(D57*((BH57+BI57)/2)))^2/(2*9.81)+B57-(G56+H56^2/(2*9.81))-(A56-A57)*(((DATOS!$B$34*(C57/(D57*((BH57+BI57)/2)))/((D57*((BH57+BI57)/2))/(D57+2*((BH57+BI57)/2)))^(2/3))^2+((DATOS!$B$34*H56/((D56*F56)/(D56+2*F56))^(2/3))^2))/2))&gt;0,BH57,((BH57+BI57)/2))</f>
        <v/>
      </c>
      <c r="BK57" s="5">
        <f>IF((((BH57+BI57)/2)+(C57/(D57*((BH57+BI57)/2)))^2/(2*9.81)+B57-(G56+H56^2/(2*9.81))-(A56-A57)*(((DATOS!$B$34*(C57/(D57*((BH57+BI57)/2)))/((D57*((BH57+BI57)/2))/(D57+2*((BH57+BI57)/2)))^(2/3))^2+((DATOS!$B$34*H56/((D56*F56)/(D56+2*F56))^(2/3))^2))/2))&gt;0,((BH57+BI57)/2),BI57)</f>
        <v/>
      </c>
      <c r="BL57" s="5">
        <f>IF((((BJ57+BK57)/2)+(C57/(D57*((BJ57+BK57)/2)))^2/(2*9.81)+B57-(G56+H56^2/(2*9.81))-(A56-A57)*(((DATOS!$B$34*(C57/(D57*((BJ57+BK57)/2)))/((D57*((BJ57+BK57)/2))/(D57+2*((BJ57+BK57)/2)))^(2/3))^2+((DATOS!$B$34*H56/((D56*F56)/(D56+2*F56))^(2/3))^2))/2))&gt;0,BJ57,((BJ57+BK57)/2))</f>
        <v/>
      </c>
      <c r="BM57" s="5">
        <f>IF((((BJ57+BK57)/2)+(C57/(D57*((BJ57+BK57)/2)))^2/(2*9.81)+B57-(G56+H56^2/(2*9.81))-(A56-A57)*(((DATOS!$B$34*(C57/(D57*((BJ57+BK57)/2)))/((D57*((BJ57+BK57)/2))/(D57+2*((BJ57+BK57)/2)))^(2/3))^2+((DATOS!$B$34*H56/((D56*F56)/(D56+2*F56))^(2/3))^2))/2))&gt;0,((BJ57+BK57)/2),BK57)</f>
        <v/>
      </c>
      <c r="BN57" s="5">
        <f>IF((((BL57+BM57)/2)+(C57/(D57*((BL57+BM57)/2)))^2/(2*9.81)+B57-(G56+H56^2/(2*9.81))-(A56-A57)*(((DATOS!$B$34*(C57/(D57*((BL57+BM57)/2)))/((D57*((BL57+BM57)/2))/(D57+2*((BL57+BM57)/2)))^(2/3))^2+((DATOS!$B$34*H56/((D56*F56)/(D56+2*F56))^(2/3))^2))/2))&gt;0,BL57,((BL57+BM57)/2))</f>
        <v/>
      </c>
      <c r="BO57" s="5">
        <f>IF((((BL57+BM57)/2)+(C57/(D57*((BL57+BM57)/2)))^2/(2*9.81)+B57-(G56+H56^2/(2*9.81))-(A56-A57)*(((DATOS!$B$34*(C57/(D57*((BL57+BM57)/2)))/((D57*((BL57+BM57)/2))/(D57+2*((BL57+BM57)/2)))^(2/3))^2+((DATOS!$B$34*H56/((D56*F56)/(D56+2*F56))^(2/3))^2))/2))&gt;0,((BL57+BM57)/2),BM57)</f>
        <v/>
      </c>
      <c r="BP57" s="5">
        <f>IF((((BN57+BO57)/2)+(C57/(D57*((BN57+BO57)/2)))^2/(2*9.81)+B57-(G56+H56^2/(2*9.81))-(A56-A57)*(((DATOS!$B$34*(C57/(D57*((BN57+BO57)/2)))/((D57*((BN57+BO57)/2))/(D57+2*((BN57+BO57)/2)))^(2/3))^2+((DATOS!$B$34*H56/((D56*F56)/(D56+2*F56))^(2/3))^2))/2))&gt;0,BN57,((BN57+BO57)/2))</f>
        <v/>
      </c>
      <c r="BQ57" s="5">
        <f>IF((((BN57+BO57)/2)+(C57/(D57*((BN57+BO57)/2)))^2/(2*9.81)+B57-(G56+H56^2/(2*9.81))-(A56-A57)*(((DATOS!$B$34*(C57/(D57*((BN57+BO57)/2)))/((D57*((BN57+BO57)/2))/(D57+2*((BN57+BO57)/2)))^(2/3))^2+((DATOS!$B$34*H56/((D56*F56)/(D56+2*F56))^(2/3))^2))/2))&gt;0,((BN57+BO57)/2),BO57)</f>
        <v/>
      </c>
      <c r="BR57" s="5">
        <f>IF((((BP57+BQ57)/2)+(C57/(D57*((BP57+BQ57)/2)))^2/(2*9.81)+B57-(G56+H56^2/(2*9.81))-(A56-A57)*(((DATOS!$B$34*(C57/(D57*((BP57+BQ57)/2)))/((D57*((BP57+BQ57)/2))/(D57+2*((BP57+BQ57)/2)))^(2/3))^2+((DATOS!$B$34*H56/((D56*F56)/(D56+2*F56))^(2/3))^2))/2))&gt;0,BP57,((BP57+BQ57)/2))</f>
        <v/>
      </c>
      <c r="BS57" s="5">
        <f>IF((((BP57+BQ57)/2)+(C57/(D57*((BP57+BQ57)/2)))^2/(2*9.81)+B57-(G56+H56^2/(2*9.81))-(A56-A57)*(((DATOS!$B$34*(C57/(D57*((BP57+BQ57)/2)))/((D57*((BP57+BQ57)/2))/(D57+2*((BP57+BQ57)/2)))^(2/3))^2+((DATOS!$B$34*H56/((D56*F56)/(D56+2*F56))^(2/3))^2))/2))&gt;0,((BP57+BQ57)/2),BQ57)</f>
        <v/>
      </c>
      <c r="BT57" s="5">
        <f>IF((((BR57+BS57)/2)+(C57/(D57*((BR57+BS57)/2)))^2/(2*9.81)+B57-(G56+H56^2/(2*9.81))-(A56-A57)*(((DATOS!$B$34*(C57/(D57*((BR57+BS57)/2)))/((D57*((BR57+BS57)/2))/(D57+2*((BR57+BS57)/2)))^(2/3))^2+((DATOS!$B$34*H56/((D56*F56)/(D56+2*F56))^(2/3))^2))/2))&gt;0,BR57,((BR57+BS57)/2))</f>
        <v/>
      </c>
      <c r="BU57" s="5">
        <f>IF((((BR57+BS57)/2)+(C57/(D57*((BR57+BS57)/2)))^2/(2*9.81)+B57-(G56+H56^2/(2*9.81))-(A56-A57)*(((DATOS!$B$34*(C57/(D57*((BR57+BS57)/2)))/((D57*((BR57+BS57)/2))/(D57+2*((BR57+BS57)/2)))^(2/3))^2+((DATOS!$B$34*H56/((D56*F56)/(D56+2*F56))^(2/3))^2))/2))&gt;0,((BR57+BS57)/2),BS57)</f>
        <v/>
      </c>
      <c r="BV57" s="5">
        <f>IF((((BT57+BU57)/2)+(C57/(D57*((BT57+BU57)/2)))^2/(2*9.81)+B57-(G56+H56^2/(2*9.81))-(A56-A57)*(((DATOS!$B$34*(C57/(D57*((BT57+BU57)/2)))/((D57*((BT57+BU57)/2))/(D57+2*((BT57+BU57)/2)))^(2/3))^2+((DATOS!$B$34*H56/((D56*F56)/(D56+2*F56))^(2/3))^2))/2))&gt;0,BT57,((BT57+BU57)/2))</f>
        <v/>
      </c>
      <c r="BW57" s="5">
        <f>IF((((BT57+BU57)/2)+(C57/(D57*((BT57+BU57)/2)))^2/(2*9.81)+B57-(G56+H56^2/(2*9.81))-(A56-A57)*(((DATOS!$B$34*(C57/(D57*((BT57+BU57)/2)))/((D57*((BT57+BU57)/2))/(D57+2*((BT57+BU57)/2)))^(2/3))^2+((DATOS!$B$34*H56/((D56*F56)/(D56+2*F56))^(2/3))^2))/2))&gt;0,((BT57+BU57)/2),BU57)</f>
        <v/>
      </c>
    </row>
    <row r="58">
      <c r="A58" s="13" t="n">
        <v>29</v>
      </c>
      <c r="B58" s="16">
        <f>DATOS!$B$22-DATOS!$B$23*A58</f>
        <v/>
      </c>
      <c r="C58" s="24">
        <f>CAUDALES!$B$13</f>
        <v/>
      </c>
      <c r="D58" s="17">
        <f>DATOS!$B$17</f>
        <v/>
      </c>
      <c r="E58" s="16">
        <f>(C58^2/(9.81*D58^2))^(1/3)</f>
        <v/>
      </c>
      <c r="F58" s="16">
        <f>(BV58+BW58)/2</f>
        <v/>
      </c>
      <c r="G58" s="16">
        <f>B58+F58</f>
        <v/>
      </c>
      <c r="H58" s="19">
        <f>C58/(D58*F58)</f>
        <v/>
      </c>
      <c r="I58" s="19">
        <f>H58/SQRT(9.81*F58)</f>
        <v/>
      </c>
      <c r="J58" s="16">
        <f>DATOS!$B$29-IF(AND(A58&gt;=DATOS!$B$30,A58&lt;DATOS!$B$31),DATOS!$B$21,DATOS!$B$20)</f>
        <v/>
      </c>
      <c r="K58" s="19">
        <f>J58-B58</f>
        <v/>
      </c>
      <c r="L58" s="19">
        <f>F58/K58</f>
        <v/>
      </c>
      <c r="M58" s="16">
        <f>J58-G58</f>
        <v/>
      </c>
      <c r="N58" s="5">
        <f>IF(AND(L58&lt;=DATOS!$B$36,M58&gt;=DATOS!$B$37,I58&lt;=1),"CUMPLE","NO CUMPLE")</f>
        <v/>
      </c>
      <c r="O58" s="5">
        <f>IF(AND(A58&gt;=DATOS!$B$30,A58&lt;DATOS!$B$31),"cruce de camiones",IF(AND(A58&gt;=DATOS!$B$32,A58&lt;DATOS!$B$33),"cruce de motos","tramo normal"))</f>
        <v/>
      </c>
      <c r="P58" s="5">
        <f>E58*1.001</f>
        <v/>
      </c>
      <c r="Q58" s="13" t="n">
        <v>3</v>
      </c>
      <c r="R58" s="5">
        <f>IF((((P58+Q58)/2)+(C58/(D58*((P58+Q58)/2)))^2/(2*9.81)+B58-(G57+H57^2/(2*9.81))-(A57-A58)*(((DATOS!$B$34*(C58/(D58*((P58+Q58)/2)))/((D58*((P58+Q58)/2))/(D58+2*((P58+Q58)/2)))^(2/3))^2+((DATOS!$B$34*H57/((D57*F57)/(D57+2*F57))^(2/3))^2))/2))&gt;0,P58,((P58+Q58)/2))</f>
        <v/>
      </c>
      <c r="S58" s="5">
        <f>IF((((P58+Q58)/2)+(C58/(D58*((P58+Q58)/2)))^2/(2*9.81)+B58-(G57+H57^2/(2*9.81))-(A57-A58)*(((DATOS!$B$34*(C58/(D58*((P58+Q58)/2)))/((D58*((P58+Q58)/2))/(D58+2*((P58+Q58)/2)))^(2/3))^2+((DATOS!$B$34*H57/((D57*F57)/(D57+2*F57))^(2/3))^2))/2))&gt;0,((P58+Q58)/2),Q58)</f>
        <v/>
      </c>
      <c r="T58" s="5">
        <f>IF((((R58+S58)/2)+(C58/(D58*((R58+S58)/2)))^2/(2*9.81)+B58-(G57+H57^2/(2*9.81))-(A57-A58)*(((DATOS!$B$34*(C58/(D58*((R58+S58)/2)))/((D58*((R58+S58)/2))/(D58+2*((R58+S58)/2)))^(2/3))^2+((DATOS!$B$34*H57/((D57*F57)/(D57+2*F57))^(2/3))^2))/2))&gt;0,R58,((R58+S58)/2))</f>
        <v/>
      </c>
      <c r="U58" s="5">
        <f>IF((((R58+S58)/2)+(C58/(D58*((R58+S58)/2)))^2/(2*9.81)+B58-(G57+H57^2/(2*9.81))-(A57-A58)*(((DATOS!$B$34*(C58/(D58*((R58+S58)/2)))/((D58*((R58+S58)/2))/(D58+2*((R58+S58)/2)))^(2/3))^2+((DATOS!$B$34*H57/((D57*F57)/(D57+2*F57))^(2/3))^2))/2))&gt;0,((R58+S58)/2),S58)</f>
        <v/>
      </c>
      <c r="V58" s="5">
        <f>IF((((T58+U58)/2)+(C58/(D58*((T58+U58)/2)))^2/(2*9.81)+B58-(G57+H57^2/(2*9.81))-(A57-A58)*(((DATOS!$B$34*(C58/(D58*((T58+U58)/2)))/((D58*((T58+U58)/2))/(D58+2*((T58+U58)/2)))^(2/3))^2+((DATOS!$B$34*H57/((D57*F57)/(D57+2*F57))^(2/3))^2))/2))&gt;0,T58,((T58+U58)/2))</f>
        <v/>
      </c>
      <c r="W58" s="5">
        <f>IF((((T58+U58)/2)+(C58/(D58*((T58+U58)/2)))^2/(2*9.81)+B58-(G57+H57^2/(2*9.81))-(A57-A58)*(((DATOS!$B$34*(C58/(D58*((T58+U58)/2)))/((D58*((T58+U58)/2))/(D58+2*((T58+U58)/2)))^(2/3))^2+((DATOS!$B$34*H57/((D57*F57)/(D57+2*F57))^(2/3))^2))/2))&gt;0,((T58+U58)/2),U58)</f>
        <v/>
      </c>
      <c r="X58" s="5">
        <f>IF((((V58+W58)/2)+(C58/(D58*((V58+W58)/2)))^2/(2*9.81)+B58-(G57+H57^2/(2*9.81))-(A57-A58)*(((DATOS!$B$34*(C58/(D58*((V58+W58)/2)))/((D58*((V58+W58)/2))/(D58+2*((V58+W58)/2)))^(2/3))^2+((DATOS!$B$34*H57/((D57*F57)/(D57+2*F57))^(2/3))^2))/2))&gt;0,V58,((V58+W58)/2))</f>
        <v/>
      </c>
      <c r="Y58" s="5">
        <f>IF((((V58+W58)/2)+(C58/(D58*((V58+W58)/2)))^2/(2*9.81)+B58-(G57+H57^2/(2*9.81))-(A57-A58)*(((DATOS!$B$34*(C58/(D58*((V58+W58)/2)))/((D58*((V58+W58)/2))/(D58+2*((V58+W58)/2)))^(2/3))^2+((DATOS!$B$34*H57/((D57*F57)/(D57+2*F57))^(2/3))^2))/2))&gt;0,((V58+W58)/2),W58)</f>
        <v/>
      </c>
      <c r="Z58" s="5">
        <f>IF((((X58+Y58)/2)+(C58/(D58*((X58+Y58)/2)))^2/(2*9.81)+B58-(G57+H57^2/(2*9.81))-(A57-A58)*(((DATOS!$B$34*(C58/(D58*((X58+Y58)/2)))/((D58*((X58+Y58)/2))/(D58+2*((X58+Y58)/2)))^(2/3))^2+((DATOS!$B$34*H57/((D57*F57)/(D57+2*F57))^(2/3))^2))/2))&gt;0,X58,((X58+Y58)/2))</f>
        <v/>
      </c>
      <c r="AA58" s="5">
        <f>IF((((X58+Y58)/2)+(C58/(D58*((X58+Y58)/2)))^2/(2*9.81)+B58-(G57+H57^2/(2*9.81))-(A57-A58)*(((DATOS!$B$34*(C58/(D58*((X58+Y58)/2)))/((D58*((X58+Y58)/2))/(D58+2*((X58+Y58)/2)))^(2/3))^2+((DATOS!$B$34*H57/((D57*F57)/(D57+2*F57))^(2/3))^2))/2))&gt;0,((X58+Y58)/2),Y58)</f>
        <v/>
      </c>
      <c r="AB58" s="5">
        <f>IF((((Z58+AA58)/2)+(C58/(D58*((Z58+AA58)/2)))^2/(2*9.81)+B58-(G57+H57^2/(2*9.81))-(A57-A58)*(((DATOS!$B$34*(C58/(D58*((Z58+AA58)/2)))/((D58*((Z58+AA58)/2))/(D58+2*((Z58+AA58)/2)))^(2/3))^2+((DATOS!$B$34*H57/((D57*F57)/(D57+2*F57))^(2/3))^2))/2))&gt;0,Z58,((Z58+AA58)/2))</f>
        <v/>
      </c>
      <c r="AC58" s="5">
        <f>IF((((Z58+AA58)/2)+(C58/(D58*((Z58+AA58)/2)))^2/(2*9.81)+B58-(G57+H57^2/(2*9.81))-(A57-A58)*(((DATOS!$B$34*(C58/(D58*((Z58+AA58)/2)))/((D58*((Z58+AA58)/2))/(D58+2*((Z58+AA58)/2)))^(2/3))^2+((DATOS!$B$34*H57/((D57*F57)/(D57+2*F57))^(2/3))^2))/2))&gt;0,((Z58+AA58)/2),AA58)</f>
        <v/>
      </c>
      <c r="AD58" s="5">
        <f>IF((((AB58+AC58)/2)+(C58/(D58*((AB58+AC58)/2)))^2/(2*9.81)+B58-(G57+H57^2/(2*9.81))-(A57-A58)*(((DATOS!$B$34*(C58/(D58*((AB58+AC58)/2)))/((D58*((AB58+AC58)/2))/(D58+2*((AB58+AC58)/2)))^(2/3))^2+((DATOS!$B$34*H57/((D57*F57)/(D57+2*F57))^(2/3))^2))/2))&gt;0,AB58,((AB58+AC58)/2))</f>
        <v/>
      </c>
      <c r="AE58" s="5">
        <f>IF((((AB58+AC58)/2)+(C58/(D58*((AB58+AC58)/2)))^2/(2*9.81)+B58-(G57+H57^2/(2*9.81))-(A57-A58)*(((DATOS!$B$34*(C58/(D58*((AB58+AC58)/2)))/((D58*((AB58+AC58)/2))/(D58+2*((AB58+AC58)/2)))^(2/3))^2+((DATOS!$B$34*H57/((D57*F57)/(D57+2*F57))^(2/3))^2))/2))&gt;0,((AB58+AC58)/2),AC58)</f>
        <v/>
      </c>
      <c r="AF58" s="5">
        <f>IF((((AD58+AE58)/2)+(C58/(D58*((AD58+AE58)/2)))^2/(2*9.81)+B58-(G57+H57^2/(2*9.81))-(A57-A58)*(((DATOS!$B$34*(C58/(D58*((AD58+AE58)/2)))/((D58*((AD58+AE58)/2))/(D58+2*((AD58+AE58)/2)))^(2/3))^2+((DATOS!$B$34*H57/((D57*F57)/(D57+2*F57))^(2/3))^2))/2))&gt;0,AD58,((AD58+AE58)/2))</f>
        <v/>
      </c>
      <c r="AG58" s="5">
        <f>IF((((AD58+AE58)/2)+(C58/(D58*((AD58+AE58)/2)))^2/(2*9.81)+B58-(G57+H57^2/(2*9.81))-(A57-A58)*(((DATOS!$B$34*(C58/(D58*((AD58+AE58)/2)))/((D58*((AD58+AE58)/2))/(D58+2*((AD58+AE58)/2)))^(2/3))^2+((DATOS!$B$34*H57/((D57*F57)/(D57+2*F57))^(2/3))^2))/2))&gt;0,((AD58+AE58)/2),AE58)</f>
        <v/>
      </c>
      <c r="AH58" s="5">
        <f>IF((((AF58+AG58)/2)+(C58/(D58*((AF58+AG58)/2)))^2/(2*9.81)+B58-(G57+H57^2/(2*9.81))-(A57-A58)*(((DATOS!$B$34*(C58/(D58*((AF58+AG58)/2)))/((D58*((AF58+AG58)/2))/(D58+2*((AF58+AG58)/2)))^(2/3))^2+((DATOS!$B$34*H57/((D57*F57)/(D57+2*F57))^(2/3))^2))/2))&gt;0,AF58,((AF58+AG58)/2))</f>
        <v/>
      </c>
      <c r="AI58" s="5">
        <f>IF((((AF58+AG58)/2)+(C58/(D58*((AF58+AG58)/2)))^2/(2*9.81)+B58-(G57+H57^2/(2*9.81))-(A57-A58)*(((DATOS!$B$34*(C58/(D58*((AF58+AG58)/2)))/((D58*((AF58+AG58)/2))/(D58+2*((AF58+AG58)/2)))^(2/3))^2+((DATOS!$B$34*H57/((D57*F57)/(D57+2*F57))^(2/3))^2))/2))&gt;0,((AF58+AG58)/2),AG58)</f>
        <v/>
      </c>
      <c r="AJ58" s="5">
        <f>IF((((AH58+AI58)/2)+(C58/(D58*((AH58+AI58)/2)))^2/(2*9.81)+B58-(G57+H57^2/(2*9.81))-(A57-A58)*(((DATOS!$B$34*(C58/(D58*((AH58+AI58)/2)))/((D58*((AH58+AI58)/2))/(D58+2*((AH58+AI58)/2)))^(2/3))^2+((DATOS!$B$34*H57/((D57*F57)/(D57+2*F57))^(2/3))^2))/2))&gt;0,AH58,((AH58+AI58)/2))</f>
        <v/>
      </c>
      <c r="AK58" s="5">
        <f>IF((((AH58+AI58)/2)+(C58/(D58*((AH58+AI58)/2)))^2/(2*9.81)+B58-(G57+H57^2/(2*9.81))-(A57-A58)*(((DATOS!$B$34*(C58/(D58*((AH58+AI58)/2)))/((D58*((AH58+AI58)/2))/(D58+2*((AH58+AI58)/2)))^(2/3))^2+((DATOS!$B$34*H57/((D57*F57)/(D57+2*F57))^(2/3))^2))/2))&gt;0,((AH58+AI58)/2),AI58)</f>
        <v/>
      </c>
      <c r="AL58" s="5">
        <f>IF((((AJ58+AK58)/2)+(C58/(D58*((AJ58+AK58)/2)))^2/(2*9.81)+B58-(G57+H57^2/(2*9.81))-(A57-A58)*(((DATOS!$B$34*(C58/(D58*((AJ58+AK58)/2)))/((D58*((AJ58+AK58)/2))/(D58+2*((AJ58+AK58)/2)))^(2/3))^2+((DATOS!$B$34*H57/((D57*F57)/(D57+2*F57))^(2/3))^2))/2))&gt;0,AJ58,((AJ58+AK58)/2))</f>
        <v/>
      </c>
      <c r="AM58" s="5">
        <f>IF((((AJ58+AK58)/2)+(C58/(D58*((AJ58+AK58)/2)))^2/(2*9.81)+B58-(G57+H57^2/(2*9.81))-(A57-A58)*(((DATOS!$B$34*(C58/(D58*((AJ58+AK58)/2)))/((D58*((AJ58+AK58)/2))/(D58+2*((AJ58+AK58)/2)))^(2/3))^2+((DATOS!$B$34*H57/((D57*F57)/(D57+2*F57))^(2/3))^2))/2))&gt;0,((AJ58+AK58)/2),AK58)</f>
        <v/>
      </c>
      <c r="AN58" s="5">
        <f>IF((((AL58+AM58)/2)+(C58/(D58*((AL58+AM58)/2)))^2/(2*9.81)+B58-(G57+H57^2/(2*9.81))-(A57-A58)*(((DATOS!$B$34*(C58/(D58*((AL58+AM58)/2)))/((D58*((AL58+AM58)/2))/(D58+2*((AL58+AM58)/2)))^(2/3))^2+((DATOS!$B$34*H57/((D57*F57)/(D57+2*F57))^(2/3))^2))/2))&gt;0,AL58,((AL58+AM58)/2))</f>
        <v/>
      </c>
      <c r="AO58" s="5">
        <f>IF((((AL58+AM58)/2)+(C58/(D58*((AL58+AM58)/2)))^2/(2*9.81)+B58-(G57+H57^2/(2*9.81))-(A57-A58)*(((DATOS!$B$34*(C58/(D58*((AL58+AM58)/2)))/((D58*((AL58+AM58)/2))/(D58+2*((AL58+AM58)/2)))^(2/3))^2+((DATOS!$B$34*H57/((D57*F57)/(D57+2*F57))^(2/3))^2))/2))&gt;0,((AL58+AM58)/2),AM58)</f>
        <v/>
      </c>
      <c r="AP58" s="5">
        <f>IF((((AN58+AO58)/2)+(C58/(D58*((AN58+AO58)/2)))^2/(2*9.81)+B58-(G57+H57^2/(2*9.81))-(A57-A58)*(((DATOS!$B$34*(C58/(D58*((AN58+AO58)/2)))/((D58*((AN58+AO58)/2))/(D58+2*((AN58+AO58)/2)))^(2/3))^2+((DATOS!$B$34*H57/((D57*F57)/(D57+2*F57))^(2/3))^2))/2))&gt;0,AN58,((AN58+AO58)/2))</f>
        <v/>
      </c>
      <c r="AQ58" s="5">
        <f>IF((((AN58+AO58)/2)+(C58/(D58*((AN58+AO58)/2)))^2/(2*9.81)+B58-(G57+H57^2/(2*9.81))-(A57-A58)*(((DATOS!$B$34*(C58/(D58*((AN58+AO58)/2)))/((D58*((AN58+AO58)/2))/(D58+2*((AN58+AO58)/2)))^(2/3))^2+((DATOS!$B$34*H57/((D57*F57)/(D57+2*F57))^(2/3))^2))/2))&gt;0,((AN58+AO58)/2),AO58)</f>
        <v/>
      </c>
      <c r="AR58" s="5">
        <f>IF((((AP58+AQ58)/2)+(C58/(D58*((AP58+AQ58)/2)))^2/(2*9.81)+B58-(G57+H57^2/(2*9.81))-(A57-A58)*(((DATOS!$B$34*(C58/(D58*((AP58+AQ58)/2)))/((D58*((AP58+AQ58)/2))/(D58+2*((AP58+AQ58)/2)))^(2/3))^2+((DATOS!$B$34*H57/((D57*F57)/(D57+2*F57))^(2/3))^2))/2))&gt;0,AP58,((AP58+AQ58)/2))</f>
        <v/>
      </c>
      <c r="AS58" s="5">
        <f>IF((((AP58+AQ58)/2)+(C58/(D58*((AP58+AQ58)/2)))^2/(2*9.81)+B58-(G57+H57^2/(2*9.81))-(A57-A58)*(((DATOS!$B$34*(C58/(D58*((AP58+AQ58)/2)))/((D58*((AP58+AQ58)/2))/(D58+2*((AP58+AQ58)/2)))^(2/3))^2+((DATOS!$B$34*H57/((D57*F57)/(D57+2*F57))^(2/3))^2))/2))&gt;0,((AP58+AQ58)/2),AQ58)</f>
        <v/>
      </c>
      <c r="AT58" s="5">
        <f>IF((((AR58+AS58)/2)+(C58/(D58*((AR58+AS58)/2)))^2/(2*9.81)+B58-(G57+H57^2/(2*9.81))-(A57-A58)*(((DATOS!$B$34*(C58/(D58*((AR58+AS58)/2)))/((D58*((AR58+AS58)/2))/(D58+2*((AR58+AS58)/2)))^(2/3))^2+((DATOS!$B$34*H57/((D57*F57)/(D57+2*F57))^(2/3))^2))/2))&gt;0,AR58,((AR58+AS58)/2))</f>
        <v/>
      </c>
      <c r="AU58" s="5">
        <f>IF((((AR58+AS58)/2)+(C58/(D58*((AR58+AS58)/2)))^2/(2*9.81)+B58-(G57+H57^2/(2*9.81))-(A57-A58)*(((DATOS!$B$34*(C58/(D58*((AR58+AS58)/2)))/((D58*((AR58+AS58)/2))/(D58+2*((AR58+AS58)/2)))^(2/3))^2+((DATOS!$B$34*H57/((D57*F57)/(D57+2*F57))^(2/3))^2))/2))&gt;0,((AR58+AS58)/2),AS58)</f>
        <v/>
      </c>
      <c r="AV58" s="5">
        <f>IF((((AT58+AU58)/2)+(C58/(D58*((AT58+AU58)/2)))^2/(2*9.81)+B58-(G57+H57^2/(2*9.81))-(A57-A58)*(((DATOS!$B$34*(C58/(D58*((AT58+AU58)/2)))/((D58*((AT58+AU58)/2))/(D58+2*((AT58+AU58)/2)))^(2/3))^2+((DATOS!$B$34*H57/((D57*F57)/(D57+2*F57))^(2/3))^2))/2))&gt;0,AT58,((AT58+AU58)/2))</f>
        <v/>
      </c>
      <c r="AW58" s="5">
        <f>IF((((AT58+AU58)/2)+(C58/(D58*((AT58+AU58)/2)))^2/(2*9.81)+B58-(G57+H57^2/(2*9.81))-(A57-A58)*(((DATOS!$B$34*(C58/(D58*((AT58+AU58)/2)))/((D58*((AT58+AU58)/2))/(D58+2*((AT58+AU58)/2)))^(2/3))^2+((DATOS!$B$34*H57/((D57*F57)/(D57+2*F57))^(2/3))^2))/2))&gt;0,((AT58+AU58)/2),AU58)</f>
        <v/>
      </c>
      <c r="AX58" s="5">
        <f>IF((((AV58+AW58)/2)+(C58/(D58*((AV58+AW58)/2)))^2/(2*9.81)+B58-(G57+H57^2/(2*9.81))-(A57-A58)*(((DATOS!$B$34*(C58/(D58*((AV58+AW58)/2)))/((D58*((AV58+AW58)/2))/(D58+2*((AV58+AW58)/2)))^(2/3))^2+((DATOS!$B$34*H57/((D57*F57)/(D57+2*F57))^(2/3))^2))/2))&gt;0,AV58,((AV58+AW58)/2))</f>
        <v/>
      </c>
      <c r="AY58" s="5">
        <f>IF((((AV58+AW58)/2)+(C58/(D58*((AV58+AW58)/2)))^2/(2*9.81)+B58-(G57+H57^2/(2*9.81))-(A57-A58)*(((DATOS!$B$34*(C58/(D58*((AV58+AW58)/2)))/((D58*((AV58+AW58)/2))/(D58+2*((AV58+AW58)/2)))^(2/3))^2+((DATOS!$B$34*H57/((D57*F57)/(D57+2*F57))^(2/3))^2))/2))&gt;0,((AV58+AW58)/2),AW58)</f>
        <v/>
      </c>
      <c r="AZ58" s="5">
        <f>IF((((AX58+AY58)/2)+(C58/(D58*((AX58+AY58)/2)))^2/(2*9.81)+B58-(G57+H57^2/(2*9.81))-(A57-A58)*(((DATOS!$B$34*(C58/(D58*((AX58+AY58)/2)))/((D58*((AX58+AY58)/2))/(D58+2*((AX58+AY58)/2)))^(2/3))^2+((DATOS!$B$34*H57/((D57*F57)/(D57+2*F57))^(2/3))^2))/2))&gt;0,AX58,((AX58+AY58)/2))</f>
        <v/>
      </c>
      <c r="BA58" s="5">
        <f>IF((((AX58+AY58)/2)+(C58/(D58*((AX58+AY58)/2)))^2/(2*9.81)+B58-(G57+H57^2/(2*9.81))-(A57-A58)*(((DATOS!$B$34*(C58/(D58*((AX58+AY58)/2)))/((D58*((AX58+AY58)/2))/(D58+2*((AX58+AY58)/2)))^(2/3))^2+((DATOS!$B$34*H57/((D57*F57)/(D57+2*F57))^(2/3))^2))/2))&gt;0,((AX58+AY58)/2),AY58)</f>
        <v/>
      </c>
      <c r="BB58" s="5">
        <f>IF((((AZ58+BA58)/2)+(C58/(D58*((AZ58+BA58)/2)))^2/(2*9.81)+B58-(G57+H57^2/(2*9.81))-(A57-A58)*(((DATOS!$B$34*(C58/(D58*((AZ58+BA58)/2)))/((D58*((AZ58+BA58)/2))/(D58+2*((AZ58+BA58)/2)))^(2/3))^2+((DATOS!$B$34*H57/((D57*F57)/(D57+2*F57))^(2/3))^2))/2))&gt;0,AZ58,((AZ58+BA58)/2))</f>
        <v/>
      </c>
      <c r="BC58" s="5">
        <f>IF((((AZ58+BA58)/2)+(C58/(D58*((AZ58+BA58)/2)))^2/(2*9.81)+B58-(G57+H57^2/(2*9.81))-(A57-A58)*(((DATOS!$B$34*(C58/(D58*((AZ58+BA58)/2)))/((D58*((AZ58+BA58)/2))/(D58+2*((AZ58+BA58)/2)))^(2/3))^2+((DATOS!$B$34*H57/((D57*F57)/(D57+2*F57))^(2/3))^2))/2))&gt;0,((AZ58+BA58)/2),BA58)</f>
        <v/>
      </c>
      <c r="BD58" s="5">
        <f>IF((((BB58+BC58)/2)+(C58/(D58*((BB58+BC58)/2)))^2/(2*9.81)+B58-(G57+H57^2/(2*9.81))-(A57-A58)*(((DATOS!$B$34*(C58/(D58*((BB58+BC58)/2)))/((D58*((BB58+BC58)/2))/(D58+2*((BB58+BC58)/2)))^(2/3))^2+((DATOS!$B$34*H57/((D57*F57)/(D57+2*F57))^(2/3))^2))/2))&gt;0,BB58,((BB58+BC58)/2))</f>
        <v/>
      </c>
      <c r="BE58" s="5">
        <f>IF((((BB58+BC58)/2)+(C58/(D58*((BB58+BC58)/2)))^2/(2*9.81)+B58-(G57+H57^2/(2*9.81))-(A57-A58)*(((DATOS!$B$34*(C58/(D58*((BB58+BC58)/2)))/((D58*((BB58+BC58)/2))/(D58+2*((BB58+BC58)/2)))^(2/3))^2+((DATOS!$B$34*H57/((D57*F57)/(D57+2*F57))^(2/3))^2))/2))&gt;0,((BB58+BC58)/2),BC58)</f>
        <v/>
      </c>
      <c r="BF58" s="5">
        <f>IF((((BD58+BE58)/2)+(C58/(D58*((BD58+BE58)/2)))^2/(2*9.81)+B58-(G57+H57^2/(2*9.81))-(A57-A58)*(((DATOS!$B$34*(C58/(D58*((BD58+BE58)/2)))/((D58*((BD58+BE58)/2))/(D58+2*((BD58+BE58)/2)))^(2/3))^2+((DATOS!$B$34*H57/((D57*F57)/(D57+2*F57))^(2/3))^2))/2))&gt;0,BD58,((BD58+BE58)/2))</f>
        <v/>
      </c>
      <c r="BG58" s="5">
        <f>IF((((BD58+BE58)/2)+(C58/(D58*((BD58+BE58)/2)))^2/(2*9.81)+B58-(G57+H57^2/(2*9.81))-(A57-A58)*(((DATOS!$B$34*(C58/(D58*((BD58+BE58)/2)))/((D58*((BD58+BE58)/2))/(D58+2*((BD58+BE58)/2)))^(2/3))^2+((DATOS!$B$34*H57/((D57*F57)/(D57+2*F57))^(2/3))^2))/2))&gt;0,((BD58+BE58)/2),BE58)</f>
        <v/>
      </c>
      <c r="BH58" s="5">
        <f>IF((((BF58+BG58)/2)+(C58/(D58*((BF58+BG58)/2)))^2/(2*9.81)+B58-(G57+H57^2/(2*9.81))-(A57-A58)*(((DATOS!$B$34*(C58/(D58*((BF58+BG58)/2)))/((D58*((BF58+BG58)/2))/(D58+2*((BF58+BG58)/2)))^(2/3))^2+((DATOS!$B$34*H57/((D57*F57)/(D57+2*F57))^(2/3))^2))/2))&gt;0,BF58,((BF58+BG58)/2))</f>
        <v/>
      </c>
      <c r="BI58" s="5">
        <f>IF((((BF58+BG58)/2)+(C58/(D58*((BF58+BG58)/2)))^2/(2*9.81)+B58-(G57+H57^2/(2*9.81))-(A57-A58)*(((DATOS!$B$34*(C58/(D58*((BF58+BG58)/2)))/((D58*((BF58+BG58)/2))/(D58+2*((BF58+BG58)/2)))^(2/3))^2+((DATOS!$B$34*H57/((D57*F57)/(D57+2*F57))^(2/3))^2))/2))&gt;0,((BF58+BG58)/2),BG58)</f>
        <v/>
      </c>
      <c r="BJ58" s="5">
        <f>IF((((BH58+BI58)/2)+(C58/(D58*((BH58+BI58)/2)))^2/(2*9.81)+B58-(G57+H57^2/(2*9.81))-(A57-A58)*(((DATOS!$B$34*(C58/(D58*((BH58+BI58)/2)))/((D58*((BH58+BI58)/2))/(D58+2*((BH58+BI58)/2)))^(2/3))^2+((DATOS!$B$34*H57/((D57*F57)/(D57+2*F57))^(2/3))^2))/2))&gt;0,BH58,((BH58+BI58)/2))</f>
        <v/>
      </c>
      <c r="BK58" s="5">
        <f>IF((((BH58+BI58)/2)+(C58/(D58*((BH58+BI58)/2)))^2/(2*9.81)+B58-(G57+H57^2/(2*9.81))-(A57-A58)*(((DATOS!$B$34*(C58/(D58*((BH58+BI58)/2)))/((D58*((BH58+BI58)/2))/(D58+2*((BH58+BI58)/2)))^(2/3))^2+((DATOS!$B$34*H57/((D57*F57)/(D57+2*F57))^(2/3))^2))/2))&gt;0,((BH58+BI58)/2),BI58)</f>
        <v/>
      </c>
      <c r="BL58" s="5">
        <f>IF((((BJ58+BK58)/2)+(C58/(D58*((BJ58+BK58)/2)))^2/(2*9.81)+B58-(G57+H57^2/(2*9.81))-(A57-A58)*(((DATOS!$B$34*(C58/(D58*((BJ58+BK58)/2)))/((D58*((BJ58+BK58)/2))/(D58+2*((BJ58+BK58)/2)))^(2/3))^2+((DATOS!$B$34*H57/((D57*F57)/(D57+2*F57))^(2/3))^2))/2))&gt;0,BJ58,((BJ58+BK58)/2))</f>
        <v/>
      </c>
      <c r="BM58" s="5">
        <f>IF((((BJ58+BK58)/2)+(C58/(D58*((BJ58+BK58)/2)))^2/(2*9.81)+B58-(G57+H57^2/(2*9.81))-(A57-A58)*(((DATOS!$B$34*(C58/(D58*((BJ58+BK58)/2)))/((D58*((BJ58+BK58)/2))/(D58+2*((BJ58+BK58)/2)))^(2/3))^2+((DATOS!$B$34*H57/((D57*F57)/(D57+2*F57))^(2/3))^2))/2))&gt;0,((BJ58+BK58)/2),BK58)</f>
        <v/>
      </c>
      <c r="BN58" s="5">
        <f>IF((((BL58+BM58)/2)+(C58/(D58*((BL58+BM58)/2)))^2/(2*9.81)+B58-(G57+H57^2/(2*9.81))-(A57-A58)*(((DATOS!$B$34*(C58/(D58*((BL58+BM58)/2)))/((D58*((BL58+BM58)/2))/(D58+2*((BL58+BM58)/2)))^(2/3))^2+((DATOS!$B$34*H57/((D57*F57)/(D57+2*F57))^(2/3))^2))/2))&gt;0,BL58,((BL58+BM58)/2))</f>
        <v/>
      </c>
      <c r="BO58" s="5">
        <f>IF((((BL58+BM58)/2)+(C58/(D58*((BL58+BM58)/2)))^2/(2*9.81)+B58-(G57+H57^2/(2*9.81))-(A57-A58)*(((DATOS!$B$34*(C58/(D58*((BL58+BM58)/2)))/((D58*((BL58+BM58)/2))/(D58+2*((BL58+BM58)/2)))^(2/3))^2+((DATOS!$B$34*H57/((D57*F57)/(D57+2*F57))^(2/3))^2))/2))&gt;0,((BL58+BM58)/2),BM58)</f>
        <v/>
      </c>
      <c r="BP58" s="5">
        <f>IF((((BN58+BO58)/2)+(C58/(D58*((BN58+BO58)/2)))^2/(2*9.81)+B58-(G57+H57^2/(2*9.81))-(A57-A58)*(((DATOS!$B$34*(C58/(D58*((BN58+BO58)/2)))/((D58*((BN58+BO58)/2))/(D58+2*((BN58+BO58)/2)))^(2/3))^2+((DATOS!$B$34*H57/((D57*F57)/(D57+2*F57))^(2/3))^2))/2))&gt;0,BN58,((BN58+BO58)/2))</f>
        <v/>
      </c>
      <c r="BQ58" s="5">
        <f>IF((((BN58+BO58)/2)+(C58/(D58*((BN58+BO58)/2)))^2/(2*9.81)+B58-(G57+H57^2/(2*9.81))-(A57-A58)*(((DATOS!$B$34*(C58/(D58*((BN58+BO58)/2)))/((D58*((BN58+BO58)/2))/(D58+2*((BN58+BO58)/2)))^(2/3))^2+((DATOS!$B$34*H57/((D57*F57)/(D57+2*F57))^(2/3))^2))/2))&gt;0,((BN58+BO58)/2),BO58)</f>
        <v/>
      </c>
      <c r="BR58" s="5">
        <f>IF((((BP58+BQ58)/2)+(C58/(D58*((BP58+BQ58)/2)))^2/(2*9.81)+B58-(G57+H57^2/(2*9.81))-(A57-A58)*(((DATOS!$B$34*(C58/(D58*((BP58+BQ58)/2)))/((D58*((BP58+BQ58)/2))/(D58+2*((BP58+BQ58)/2)))^(2/3))^2+((DATOS!$B$34*H57/((D57*F57)/(D57+2*F57))^(2/3))^2))/2))&gt;0,BP58,((BP58+BQ58)/2))</f>
        <v/>
      </c>
      <c r="BS58" s="5">
        <f>IF((((BP58+BQ58)/2)+(C58/(D58*((BP58+BQ58)/2)))^2/(2*9.81)+B58-(G57+H57^2/(2*9.81))-(A57-A58)*(((DATOS!$B$34*(C58/(D58*((BP58+BQ58)/2)))/((D58*((BP58+BQ58)/2))/(D58+2*((BP58+BQ58)/2)))^(2/3))^2+((DATOS!$B$34*H57/((D57*F57)/(D57+2*F57))^(2/3))^2))/2))&gt;0,((BP58+BQ58)/2),BQ58)</f>
        <v/>
      </c>
      <c r="BT58" s="5">
        <f>IF((((BR58+BS58)/2)+(C58/(D58*((BR58+BS58)/2)))^2/(2*9.81)+B58-(G57+H57^2/(2*9.81))-(A57-A58)*(((DATOS!$B$34*(C58/(D58*((BR58+BS58)/2)))/((D58*((BR58+BS58)/2))/(D58+2*((BR58+BS58)/2)))^(2/3))^2+((DATOS!$B$34*H57/((D57*F57)/(D57+2*F57))^(2/3))^2))/2))&gt;0,BR58,((BR58+BS58)/2))</f>
        <v/>
      </c>
      <c r="BU58" s="5">
        <f>IF((((BR58+BS58)/2)+(C58/(D58*((BR58+BS58)/2)))^2/(2*9.81)+B58-(G57+H57^2/(2*9.81))-(A57-A58)*(((DATOS!$B$34*(C58/(D58*((BR58+BS58)/2)))/((D58*((BR58+BS58)/2))/(D58+2*((BR58+BS58)/2)))^(2/3))^2+((DATOS!$B$34*H57/((D57*F57)/(D57+2*F57))^(2/3))^2))/2))&gt;0,((BR58+BS58)/2),BS58)</f>
        <v/>
      </c>
      <c r="BV58" s="5">
        <f>IF((((BT58+BU58)/2)+(C58/(D58*((BT58+BU58)/2)))^2/(2*9.81)+B58-(G57+H57^2/(2*9.81))-(A57-A58)*(((DATOS!$B$34*(C58/(D58*((BT58+BU58)/2)))/((D58*((BT58+BU58)/2))/(D58+2*((BT58+BU58)/2)))^(2/3))^2+((DATOS!$B$34*H57/((D57*F57)/(D57+2*F57))^(2/3))^2))/2))&gt;0,BT58,((BT58+BU58)/2))</f>
        <v/>
      </c>
      <c r="BW58" s="5">
        <f>IF((((BT58+BU58)/2)+(C58/(D58*((BT58+BU58)/2)))^2/(2*9.81)+B58-(G57+H57^2/(2*9.81))-(A57-A58)*(((DATOS!$B$34*(C58/(D58*((BT58+BU58)/2)))/((D58*((BT58+BU58)/2))/(D58+2*((BT58+BU58)/2)))^(2/3))^2+((DATOS!$B$34*H57/((D57*F57)/(D57+2*F57))^(2/3))^2))/2))&gt;0,((BT58+BU58)/2),BU58)</f>
        <v/>
      </c>
    </row>
    <row r="59">
      <c r="A59" s="13" t="n">
        <v>28</v>
      </c>
      <c r="B59" s="16">
        <f>DATOS!$B$22-DATOS!$B$23*A59</f>
        <v/>
      </c>
      <c r="C59" s="24">
        <f>CAUDALES!$B$13</f>
        <v/>
      </c>
      <c r="D59" s="17">
        <f>DATOS!$B$17</f>
        <v/>
      </c>
      <c r="E59" s="16">
        <f>(C59^2/(9.81*D59^2))^(1/3)</f>
        <v/>
      </c>
      <c r="F59" s="16">
        <f>(BV59+BW59)/2</f>
        <v/>
      </c>
      <c r="G59" s="16">
        <f>B59+F59</f>
        <v/>
      </c>
      <c r="H59" s="19">
        <f>C59/(D59*F59)</f>
        <v/>
      </c>
      <c r="I59" s="19">
        <f>H59/SQRT(9.81*F59)</f>
        <v/>
      </c>
      <c r="J59" s="16">
        <f>DATOS!$B$29-IF(AND(A59&gt;=DATOS!$B$30,A59&lt;DATOS!$B$31),DATOS!$B$21,DATOS!$B$20)</f>
        <v/>
      </c>
      <c r="K59" s="19">
        <f>J59-B59</f>
        <v/>
      </c>
      <c r="L59" s="19">
        <f>F59/K59</f>
        <v/>
      </c>
      <c r="M59" s="16">
        <f>J59-G59</f>
        <v/>
      </c>
      <c r="N59" s="5">
        <f>IF(AND(L59&lt;=DATOS!$B$36,M59&gt;=DATOS!$B$37,I59&lt;=1),"CUMPLE","NO CUMPLE")</f>
        <v/>
      </c>
      <c r="O59" s="5">
        <f>IF(AND(A59&gt;=DATOS!$B$30,A59&lt;DATOS!$B$31),"cruce de camiones",IF(AND(A59&gt;=DATOS!$B$32,A59&lt;DATOS!$B$33),"cruce de motos","tramo normal"))</f>
        <v/>
      </c>
      <c r="P59" s="5">
        <f>E59*1.001</f>
        <v/>
      </c>
      <c r="Q59" s="13" t="n">
        <v>3</v>
      </c>
      <c r="R59" s="5">
        <f>IF((((P59+Q59)/2)+(C59/(D59*((P59+Q59)/2)))^2/(2*9.81)+B59-(G58+H58^2/(2*9.81))-(A58-A59)*(((DATOS!$B$34*(C59/(D59*((P59+Q59)/2)))/((D59*((P59+Q59)/2))/(D59+2*((P59+Q59)/2)))^(2/3))^2+((DATOS!$B$34*H58/((D58*F58)/(D58+2*F58))^(2/3))^2))/2))&gt;0,P59,((P59+Q59)/2))</f>
        <v/>
      </c>
      <c r="S59" s="5">
        <f>IF((((P59+Q59)/2)+(C59/(D59*((P59+Q59)/2)))^2/(2*9.81)+B59-(G58+H58^2/(2*9.81))-(A58-A59)*(((DATOS!$B$34*(C59/(D59*((P59+Q59)/2)))/((D59*((P59+Q59)/2))/(D59+2*((P59+Q59)/2)))^(2/3))^2+((DATOS!$B$34*H58/((D58*F58)/(D58+2*F58))^(2/3))^2))/2))&gt;0,((P59+Q59)/2),Q59)</f>
        <v/>
      </c>
      <c r="T59" s="5">
        <f>IF((((R59+S59)/2)+(C59/(D59*((R59+S59)/2)))^2/(2*9.81)+B59-(G58+H58^2/(2*9.81))-(A58-A59)*(((DATOS!$B$34*(C59/(D59*((R59+S59)/2)))/((D59*((R59+S59)/2))/(D59+2*((R59+S59)/2)))^(2/3))^2+((DATOS!$B$34*H58/((D58*F58)/(D58+2*F58))^(2/3))^2))/2))&gt;0,R59,((R59+S59)/2))</f>
        <v/>
      </c>
      <c r="U59" s="5">
        <f>IF((((R59+S59)/2)+(C59/(D59*((R59+S59)/2)))^2/(2*9.81)+B59-(G58+H58^2/(2*9.81))-(A58-A59)*(((DATOS!$B$34*(C59/(D59*((R59+S59)/2)))/((D59*((R59+S59)/2))/(D59+2*((R59+S59)/2)))^(2/3))^2+((DATOS!$B$34*H58/((D58*F58)/(D58+2*F58))^(2/3))^2))/2))&gt;0,((R59+S59)/2),S59)</f>
        <v/>
      </c>
      <c r="V59" s="5">
        <f>IF((((T59+U59)/2)+(C59/(D59*((T59+U59)/2)))^2/(2*9.81)+B59-(G58+H58^2/(2*9.81))-(A58-A59)*(((DATOS!$B$34*(C59/(D59*((T59+U59)/2)))/((D59*((T59+U59)/2))/(D59+2*((T59+U59)/2)))^(2/3))^2+((DATOS!$B$34*H58/((D58*F58)/(D58+2*F58))^(2/3))^2))/2))&gt;0,T59,((T59+U59)/2))</f>
        <v/>
      </c>
      <c r="W59" s="5">
        <f>IF((((T59+U59)/2)+(C59/(D59*((T59+U59)/2)))^2/(2*9.81)+B59-(G58+H58^2/(2*9.81))-(A58-A59)*(((DATOS!$B$34*(C59/(D59*((T59+U59)/2)))/((D59*((T59+U59)/2))/(D59+2*((T59+U59)/2)))^(2/3))^2+((DATOS!$B$34*H58/((D58*F58)/(D58+2*F58))^(2/3))^2))/2))&gt;0,((T59+U59)/2),U59)</f>
        <v/>
      </c>
      <c r="X59" s="5">
        <f>IF((((V59+W59)/2)+(C59/(D59*((V59+W59)/2)))^2/(2*9.81)+B59-(G58+H58^2/(2*9.81))-(A58-A59)*(((DATOS!$B$34*(C59/(D59*((V59+W59)/2)))/((D59*((V59+W59)/2))/(D59+2*((V59+W59)/2)))^(2/3))^2+((DATOS!$B$34*H58/((D58*F58)/(D58+2*F58))^(2/3))^2))/2))&gt;0,V59,((V59+W59)/2))</f>
        <v/>
      </c>
      <c r="Y59" s="5">
        <f>IF((((V59+W59)/2)+(C59/(D59*((V59+W59)/2)))^2/(2*9.81)+B59-(G58+H58^2/(2*9.81))-(A58-A59)*(((DATOS!$B$34*(C59/(D59*((V59+W59)/2)))/((D59*((V59+W59)/2))/(D59+2*((V59+W59)/2)))^(2/3))^2+((DATOS!$B$34*H58/((D58*F58)/(D58+2*F58))^(2/3))^2))/2))&gt;0,((V59+W59)/2),W59)</f>
        <v/>
      </c>
      <c r="Z59" s="5">
        <f>IF((((X59+Y59)/2)+(C59/(D59*((X59+Y59)/2)))^2/(2*9.81)+B59-(G58+H58^2/(2*9.81))-(A58-A59)*(((DATOS!$B$34*(C59/(D59*((X59+Y59)/2)))/((D59*((X59+Y59)/2))/(D59+2*((X59+Y59)/2)))^(2/3))^2+((DATOS!$B$34*H58/((D58*F58)/(D58+2*F58))^(2/3))^2))/2))&gt;0,X59,((X59+Y59)/2))</f>
        <v/>
      </c>
      <c r="AA59" s="5">
        <f>IF((((X59+Y59)/2)+(C59/(D59*((X59+Y59)/2)))^2/(2*9.81)+B59-(G58+H58^2/(2*9.81))-(A58-A59)*(((DATOS!$B$34*(C59/(D59*((X59+Y59)/2)))/((D59*((X59+Y59)/2))/(D59+2*((X59+Y59)/2)))^(2/3))^2+((DATOS!$B$34*H58/((D58*F58)/(D58+2*F58))^(2/3))^2))/2))&gt;0,((X59+Y59)/2),Y59)</f>
        <v/>
      </c>
      <c r="AB59" s="5">
        <f>IF((((Z59+AA59)/2)+(C59/(D59*((Z59+AA59)/2)))^2/(2*9.81)+B59-(G58+H58^2/(2*9.81))-(A58-A59)*(((DATOS!$B$34*(C59/(D59*((Z59+AA59)/2)))/((D59*((Z59+AA59)/2))/(D59+2*((Z59+AA59)/2)))^(2/3))^2+((DATOS!$B$34*H58/((D58*F58)/(D58+2*F58))^(2/3))^2))/2))&gt;0,Z59,((Z59+AA59)/2))</f>
        <v/>
      </c>
      <c r="AC59" s="5">
        <f>IF((((Z59+AA59)/2)+(C59/(D59*((Z59+AA59)/2)))^2/(2*9.81)+B59-(G58+H58^2/(2*9.81))-(A58-A59)*(((DATOS!$B$34*(C59/(D59*((Z59+AA59)/2)))/((D59*((Z59+AA59)/2))/(D59+2*((Z59+AA59)/2)))^(2/3))^2+((DATOS!$B$34*H58/((D58*F58)/(D58+2*F58))^(2/3))^2))/2))&gt;0,((Z59+AA59)/2),AA59)</f>
        <v/>
      </c>
      <c r="AD59" s="5">
        <f>IF((((AB59+AC59)/2)+(C59/(D59*((AB59+AC59)/2)))^2/(2*9.81)+B59-(G58+H58^2/(2*9.81))-(A58-A59)*(((DATOS!$B$34*(C59/(D59*((AB59+AC59)/2)))/((D59*((AB59+AC59)/2))/(D59+2*((AB59+AC59)/2)))^(2/3))^2+((DATOS!$B$34*H58/((D58*F58)/(D58+2*F58))^(2/3))^2))/2))&gt;0,AB59,((AB59+AC59)/2))</f>
        <v/>
      </c>
      <c r="AE59" s="5">
        <f>IF((((AB59+AC59)/2)+(C59/(D59*((AB59+AC59)/2)))^2/(2*9.81)+B59-(G58+H58^2/(2*9.81))-(A58-A59)*(((DATOS!$B$34*(C59/(D59*((AB59+AC59)/2)))/((D59*((AB59+AC59)/2))/(D59+2*((AB59+AC59)/2)))^(2/3))^2+((DATOS!$B$34*H58/((D58*F58)/(D58+2*F58))^(2/3))^2))/2))&gt;0,((AB59+AC59)/2),AC59)</f>
        <v/>
      </c>
      <c r="AF59" s="5">
        <f>IF((((AD59+AE59)/2)+(C59/(D59*((AD59+AE59)/2)))^2/(2*9.81)+B59-(G58+H58^2/(2*9.81))-(A58-A59)*(((DATOS!$B$34*(C59/(D59*((AD59+AE59)/2)))/((D59*((AD59+AE59)/2))/(D59+2*((AD59+AE59)/2)))^(2/3))^2+((DATOS!$B$34*H58/((D58*F58)/(D58+2*F58))^(2/3))^2))/2))&gt;0,AD59,((AD59+AE59)/2))</f>
        <v/>
      </c>
      <c r="AG59" s="5">
        <f>IF((((AD59+AE59)/2)+(C59/(D59*((AD59+AE59)/2)))^2/(2*9.81)+B59-(G58+H58^2/(2*9.81))-(A58-A59)*(((DATOS!$B$34*(C59/(D59*((AD59+AE59)/2)))/((D59*((AD59+AE59)/2))/(D59+2*((AD59+AE59)/2)))^(2/3))^2+((DATOS!$B$34*H58/((D58*F58)/(D58+2*F58))^(2/3))^2))/2))&gt;0,((AD59+AE59)/2),AE59)</f>
        <v/>
      </c>
      <c r="AH59" s="5">
        <f>IF((((AF59+AG59)/2)+(C59/(D59*((AF59+AG59)/2)))^2/(2*9.81)+B59-(G58+H58^2/(2*9.81))-(A58-A59)*(((DATOS!$B$34*(C59/(D59*((AF59+AG59)/2)))/((D59*((AF59+AG59)/2))/(D59+2*((AF59+AG59)/2)))^(2/3))^2+((DATOS!$B$34*H58/((D58*F58)/(D58+2*F58))^(2/3))^2))/2))&gt;0,AF59,((AF59+AG59)/2))</f>
        <v/>
      </c>
      <c r="AI59" s="5">
        <f>IF((((AF59+AG59)/2)+(C59/(D59*((AF59+AG59)/2)))^2/(2*9.81)+B59-(G58+H58^2/(2*9.81))-(A58-A59)*(((DATOS!$B$34*(C59/(D59*((AF59+AG59)/2)))/((D59*((AF59+AG59)/2))/(D59+2*((AF59+AG59)/2)))^(2/3))^2+((DATOS!$B$34*H58/((D58*F58)/(D58+2*F58))^(2/3))^2))/2))&gt;0,((AF59+AG59)/2),AG59)</f>
        <v/>
      </c>
      <c r="AJ59" s="5">
        <f>IF((((AH59+AI59)/2)+(C59/(D59*((AH59+AI59)/2)))^2/(2*9.81)+B59-(G58+H58^2/(2*9.81))-(A58-A59)*(((DATOS!$B$34*(C59/(D59*((AH59+AI59)/2)))/((D59*((AH59+AI59)/2))/(D59+2*((AH59+AI59)/2)))^(2/3))^2+((DATOS!$B$34*H58/((D58*F58)/(D58+2*F58))^(2/3))^2))/2))&gt;0,AH59,((AH59+AI59)/2))</f>
        <v/>
      </c>
      <c r="AK59" s="5">
        <f>IF((((AH59+AI59)/2)+(C59/(D59*((AH59+AI59)/2)))^2/(2*9.81)+B59-(G58+H58^2/(2*9.81))-(A58-A59)*(((DATOS!$B$34*(C59/(D59*((AH59+AI59)/2)))/((D59*((AH59+AI59)/2))/(D59+2*((AH59+AI59)/2)))^(2/3))^2+((DATOS!$B$34*H58/((D58*F58)/(D58+2*F58))^(2/3))^2))/2))&gt;0,((AH59+AI59)/2),AI59)</f>
        <v/>
      </c>
      <c r="AL59" s="5">
        <f>IF((((AJ59+AK59)/2)+(C59/(D59*((AJ59+AK59)/2)))^2/(2*9.81)+B59-(G58+H58^2/(2*9.81))-(A58-A59)*(((DATOS!$B$34*(C59/(D59*((AJ59+AK59)/2)))/((D59*((AJ59+AK59)/2))/(D59+2*((AJ59+AK59)/2)))^(2/3))^2+((DATOS!$B$34*H58/((D58*F58)/(D58+2*F58))^(2/3))^2))/2))&gt;0,AJ59,((AJ59+AK59)/2))</f>
        <v/>
      </c>
      <c r="AM59" s="5">
        <f>IF((((AJ59+AK59)/2)+(C59/(D59*((AJ59+AK59)/2)))^2/(2*9.81)+B59-(G58+H58^2/(2*9.81))-(A58-A59)*(((DATOS!$B$34*(C59/(D59*((AJ59+AK59)/2)))/((D59*((AJ59+AK59)/2))/(D59+2*((AJ59+AK59)/2)))^(2/3))^2+((DATOS!$B$34*H58/((D58*F58)/(D58+2*F58))^(2/3))^2))/2))&gt;0,((AJ59+AK59)/2),AK59)</f>
        <v/>
      </c>
      <c r="AN59" s="5">
        <f>IF((((AL59+AM59)/2)+(C59/(D59*((AL59+AM59)/2)))^2/(2*9.81)+B59-(G58+H58^2/(2*9.81))-(A58-A59)*(((DATOS!$B$34*(C59/(D59*((AL59+AM59)/2)))/((D59*((AL59+AM59)/2))/(D59+2*((AL59+AM59)/2)))^(2/3))^2+((DATOS!$B$34*H58/((D58*F58)/(D58+2*F58))^(2/3))^2))/2))&gt;0,AL59,((AL59+AM59)/2))</f>
        <v/>
      </c>
      <c r="AO59" s="5">
        <f>IF((((AL59+AM59)/2)+(C59/(D59*((AL59+AM59)/2)))^2/(2*9.81)+B59-(G58+H58^2/(2*9.81))-(A58-A59)*(((DATOS!$B$34*(C59/(D59*((AL59+AM59)/2)))/((D59*((AL59+AM59)/2))/(D59+2*((AL59+AM59)/2)))^(2/3))^2+((DATOS!$B$34*H58/((D58*F58)/(D58+2*F58))^(2/3))^2))/2))&gt;0,((AL59+AM59)/2),AM59)</f>
        <v/>
      </c>
      <c r="AP59" s="5">
        <f>IF((((AN59+AO59)/2)+(C59/(D59*((AN59+AO59)/2)))^2/(2*9.81)+B59-(G58+H58^2/(2*9.81))-(A58-A59)*(((DATOS!$B$34*(C59/(D59*((AN59+AO59)/2)))/((D59*((AN59+AO59)/2))/(D59+2*((AN59+AO59)/2)))^(2/3))^2+((DATOS!$B$34*H58/((D58*F58)/(D58+2*F58))^(2/3))^2))/2))&gt;0,AN59,((AN59+AO59)/2))</f>
        <v/>
      </c>
      <c r="AQ59" s="5">
        <f>IF((((AN59+AO59)/2)+(C59/(D59*((AN59+AO59)/2)))^2/(2*9.81)+B59-(G58+H58^2/(2*9.81))-(A58-A59)*(((DATOS!$B$34*(C59/(D59*((AN59+AO59)/2)))/((D59*((AN59+AO59)/2))/(D59+2*((AN59+AO59)/2)))^(2/3))^2+((DATOS!$B$34*H58/((D58*F58)/(D58+2*F58))^(2/3))^2))/2))&gt;0,((AN59+AO59)/2),AO59)</f>
        <v/>
      </c>
      <c r="AR59" s="5">
        <f>IF((((AP59+AQ59)/2)+(C59/(D59*((AP59+AQ59)/2)))^2/(2*9.81)+B59-(G58+H58^2/(2*9.81))-(A58-A59)*(((DATOS!$B$34*(C59/(D59*((AP59+AQ59)/2)))/((D59*((AP59+AQ59)/2))/(D59+2*((AP59+AQ59)/2)))^(2/3))^2+((DATOS!$B$34*H58/((D58*F58)/(D58+2*F58))^(2/3))^2))/2))&gt;0,AP59,((AP59+AQ59)/2))</f>
        <v/>
      </c>
      <c r="AS59" s="5">
        <f>IF((((AP59+AQ59)/2)+(C59/(D59*((AP59+AQ59)/2)))^2/(2*9.81)+B59-(G58+H58^2/(2*9.81))-(A58-A59)*(((DATOS!$B$34*(C59/(D59*((AP59+AQ59)/2)))/((D59*((AP59+AQ59)/2))/(D59+2*((AP59+AQ59)/2)))^(2/3))^2+((DATOS!$B$34*H58/((D58*F58)/(D58+2*F58))^(2/3))^2))/2))&gt;0,((AP59+AQ59)/2),AQ59)</f>
        <v/>
      </c>
      <c r="AT59" s="5">
        <f>IF((((AR59+AS59)/2)+(C59/(D59*((AR59+AS59)/2)))^2/(2*9.81)+B59-(G58+H58^2/(2*9.81))-(A58-A59)*(((DATOS!$B$34*(C59/(D59*((AR59+AS59)/2)))/((D59*((AR59+AS59)/2))/(D59+2*((AR59+AS59)/2)))^(2/3))^2+((DATOS!$B$34*H58/((D58*F58)/(D58+2*F58))^(2/3))^2))/2))&gt;0,AR59,((AR59+AS59)/2))</f>
        <v/>
      </c>
      <c r="AU59" s="5">
        <f>IF((((AR59+AS59)/2)+(C59/(D59*((AR59+AS59)/2)))^2/(2*9.81)+B59-(G58+H58^2/(2*9.81))-(A58-A59)*(((DATOS!$B$34*(C59/(D59*((AR59+AS59)/2)))/((D59*((AR59+AS59)/2))/(D59+2*((AR59+AS59)/2)))^(2/3))^2+((DATOS!$B$34*H58/((D58*F58)/(D58+2*F58))^(2/3))^2))/2))&gt;0,((AR59+AS59)/2),AS59)</f>
        <v/>
      </c>
      <c r="AV59" s="5">
        <f>IF((((AT59+AU59)/2)+(C59/(D59*((AT59+AU59)/2)))^2/(2*9.81)+B59-(G58+H58^2/(2*9.81))-(A58-A59)*(((DATOS!$B$34*(C59/(D59*((AT59+AU59)/2)))/((D59*((AT59+AU59)/2))/(D59+2*((AT59+AU59)/2)))^(2/3))^2+((DATOS!$B$34*H58/((D58*F58)/(D58+2*F58))^(2/3))^2))/2))&gt;0,AT59,((AT59+AU59)/2))</f>
        <v/>
      </c>
      <c r="AW59" s="5">
        <f>IF((((AT59+AU59)/2)+(C59/(D59*((AT59+AU59)/2)))^2/(2*9.81)+B59-(G58+H58^2/(2*9.81))-(A58-A59)*(((DATOS!$B$34*(C59/(D59*((AT59+AU59)/2)))/((D59*((AT59+AU59)/2))/(D59+2*((AT59+AU59)/2)))^(2/3))^2+((DATOS!$B$34*H58/((D58*F58)/(D58+2*F58))^(2/3))^2))/2))&gt;0,((AT59+AU59)/2),AU59)</f>
        <v/>
      </c>
      <c r="AX59" s="5">
        <f>IF((((AV59+AW59)/2)+(C59/(D59*((AV59+AW59)/2)))^2/(2*9.81)+B59-(G58+H58^2/(2*9.81))-(A58-A59)*(((DATOS!$B$34*(C59/(D59*((AV59+AW59)/2)))/((D59*((AV59+AW59)/2))/(D59+2*((AV59+AW59)/2)))^(2/3))^2+((DATOS!$B$34*H58/((D58*F58)/(D58+2*F58))^(2/3))^2))/2))&gt;0,AV59,((AV59+AW59)/2))</f>
        <v/>
      </c>
      <c r="AY59" s="5">
        <f>IF((((AV59+AW59)/2)+(C59/(D59*((AV59+AW59)/2)))^2/(2*9.81)+B59-(G58+H58^2/(2*9.81))-(A58-A59)*(((DATOS!$B$34*(C59/(D59*((AV59+AW59)/2)))/((D59*((AV59+AW59)/2))/(D59+2*((AV59+AW59)/2)))^(2/3))^2+((DATOS!$B$34*H58/((D58*F58)/(D58+2*F58))^(2/3))^2))/2))&gt;0,((AV59+AW59)/2),AW59)</f>
        <v/>
      </c>
      <c r="AZ59" s="5">
        <f>IF((((AX59+AY59)/2)+(C59/(D59*((AX59+AY59)/2)))^2/(2*9.81)+B59-(G58+H58^2/(2*9.81))-(A58-A59)*(((DATOS!$B$34*(C59/(D59*((AX59+AY59)/2)))/((D59*((AX59+AY59)/2))/(D59+2*((AX59+AY59)/2)))^(2/3))^2+((DATOS!$B$34*H58/((D58*F58)/(D58+2*F58))^(2/3))^2))/2))&gt;0,AX59,((AX59+AY59)/2))</f>
        <v/>
      </c>
      <c r="BA59" s="5">
        <f>IF((((AX59+AY59)/2)+(C59/(D59*((AX59+AY59)/2)))^2/(2*9.81)+B59-(G58+H58^2/(2*9.81))-(A58-A59)*(((DATOS!$B$34*(C59/(D59*((AX59+AY59)/2)))/((D59*((AX59+AY59)/2))/(D59+2*((AX59+AY59)/2)))^(2/3))^2+((DATOS!$B$34*H58/((D58*F58)/(D58+2*F58))^(2/3))^2))/2))&gt;0,((AX59+AY59)/2),AY59)</f>
        <v/>
      </c>
      <c r="BB59" s="5">
        <f>IF((((AZ59+BA59)/2)+(C59/(D59*((AZ59+BA59)/2)))^2/(2*9.81)+B59-(G58+H58^2/(2*9.81))-(A58-A59)*(((DATOS!$B$34*(C59/(D59*((AZ59+BA59)/2)))/((D59*((AZ59+BA59)/2))/(D59+2*((AZ59+BA59)/2)))^(2/3))^2+((DATOS!$B$34*H58/((D58*F58)/(D58+2*F58))^(2/3))^2))/2))&gt;0,AZ59,((AZ59+BA59)/2))</f>
        <v/>
      </c>
      <c r="BC59" s="5">
        <f>IF((((AZ59+BA59)/2)+(C59/(D59*((AZ59+BA59)/2)))^2/(2*9.81)+B59-(G58+H58^2/(2*9.81))-(A58-A59)*(((DATOS!$B$34*(C59/(D59*((AZ59+BA59)/2)))/((D59*((AZ59+BA59)/2))/(D59+2*((AZ59+BA59)/2)))^(2/3))^2+((DATOS!$B$34*H58/((D58*F58)/(D58+2*F58))^(2/3))^2))/2))&gt;0,((AZ59+BA59)/2),BA59)</f>
        <v/>
      </c>
      <c r="BD59" s="5">
        <f>IF((((BB59+BC59)/2)+(C59/(D59*((BB59+BC59)/2)))^2/(2*9.81)+B59-(G58+H58^2/(2*9.81))-(A58-A59)*(((DATOS!$B$34*(C59/(D59*((BB59+BC59)/2)))/((D59*((BB59+BC59)/2))/(D59+2*((BB59+BC59)/2)))^(2/3))^2+((DATOS!$B$34*H58/((D58*F58)/(D58+2*F58))^(2/3))^2))/2))&gt;0,BB59,((BB59+BC59)/2))</f>
        <v/>
      </c>
      <c r="BE59" s="5">
        <f>IF((((BB59+BC59)/2)+(C59/(D59*((BB59+BC59)/2)))^2/(2*9.81)+B59-(G58+H58^2/(2*9.81))-(A58-A59)*(((DATOS!$B$34*(C59/(D59*((BB59+BC59)/2)))/((D59*((BB59+BC59)/2))/(D59+2*((BB59+BC59)/2)))^(2/3))^2+((DATOS!$B$34*H58/((D58*F58)/(D58+2*F58))^(2/3))^2))/2))&gt;0,((BB59+BC59)/2),BC59)</f>
        <v/>
      </c>
      <c r="BF59" s="5">
        <f>IF((((BD59+BE59)/2)+(C59/(D59*((BD59+BE59)/2)))^2/(2*9.81)+B59-(G58+H58^2/(2*9.81))-(A58-A59)*(((DATOS!$B$34*(C59/(D59*((BD59+BE59)/2)))/((D59*((BD59+BE59)/2))/(D59+2*((BD59+BE59)/2)))^(2/3))^2+((DATOS!$B$34*H58/((D58*F58)/(D58+2*F58))^(2/3))^2))/2))&gt;0,BD59,((BD59+BE59)/2))</f>
        <v/>
      </c>
      <c r="BG59" s="5">
        <f>IF((((BD59+BE59)/2)+(C59/(D59*((BD59+BE59)/2)))^2/(2*9.81)+B59-(G58+H58^2/(2*9.81))-(A58-A59)*(((DATOS!$B$34*(C59/(D59*((BD59+BE59)/2)))/((D59*((BD59+BE59)/2))/(D59+2*((BD59+BE59)/2)))^(2/3))^2+((DATOS!$B$34*H58/((D58*F58)/(D58+2*F58))^(2/3))^2))/2))&gt;0,((BD59+BE59)/2),BE59)</f>
        <v/>
      </c>
      <c r="BH59" s="5">
        <f>IF((((BF59+BG59)/2)+(C59/(D59*((BF59+BG59)/2)))^2/(2*9.81)+B59-(G58+H58^2/(2*9.81))-(A58-A59)*(((DATOS!$B$34*(C59/(D59*((BF59+BG59)/2)))/((D59*((BF59+BG59)/2))/(D59+2*((BF59+BG59)/2)))^(2/3))^2+((DATOS!$B$34*H58/((D58*F58)/(D58+2*F58))^(2/3))^2))/2))&gt;0,BF59,((BF59+BG59)/2))</f>
        <v/>
      </c>
      <c r="BI59" s="5">
        <f>IF((((BF59+BG59)/2)+(C59/(D59*((BF59+BG59)/2)))^2/(2*9.81)+B59-(G58+H58^2/(2*9.81))-(A58-A59)*(((DATOS!$B$34*(C59/(D59*((BF59+BG59)/2)))/((D59*((BF59+BG59)/2))/(D59+2*((BF59+BG59)/2)))^(2/3))^2+((DATOS!$B$34*H58/((D58*F58)/(D58+2*F58))^(2/3))^2))/2))&gt;0,((BF59+BG59)/2),BG59)</f>
        <v/>
      </c>
      <c r="BJ59" s="5">
        <f>IF((((BH59+BI59)/2)+(C59/(D59*((BH59+BI59)/2)))^2/(2*9.81)+B59-(G58+H58^2/(2*9.81))-(A58-A59)*(((DATOS!$B$34*(C59/(D59*((BH59+BI59)/2)))/((D59*((BH59+BI59)/2))/(D59+2*((BH59+BI59)/2)))^(2/3))^2+((DATOS!$B$34*H58/((D58*F58)/(D58+2*F58))^(2/3))^2))/2))&gt;0,BH59,((BH59+BI59)/2))</f>
        <v/>
      </c>
      <c r="BK59" s="5">
        <f>IF((((BH59+BI59)/2)+(C59/(D59*((BH59+BI59)/2)))^2/(2*9.81)+B59-(G58+H58^2/(2*9.81))-(A58-A59)*(((DATOS!$B$34*(C59/(D59*((BH59+BI59)/2)))/((D59*((BH59+BI59)/2))/(D59+2*((BH59+BI59)/2)))^(2/3))^2+((DATOS!$B$34*H58/((D58*F58)/(D58+2*F58))^(2/3))^2))/2))&gt;0,((BH59+BI59)/2),BI59)</f>
        <v/>
      </c>
      <c r="BL59" s="5">
        <f>IF((((BJ59+BK59)/2)+(C59/(D59*((BJ59+BK59)/2)))^2/(2*9.81)+B59-(G58+H58^2/(2*9.81))-(A58-A59)*(((DATOS!$B$34*(C59/(D59*((BJ59+BK59)/2)))/((D59*((BJ59+BK59)/2))/(D59+2*((BJ59+BK59)/2)))^(2/3))^2+((DATOS!$B$34*H58/((D58*F58)/(D58+2*F58))^(2/3))^2))/2))&gt;0,BJ59,((BJ59+BK59)/2))</f>
        <v/>
      </c>
      <c r="BM59" s="5">
        <f>IF((((BJ59+BK59)/2)+(C59/(D59*((BJ59+BK59)/2)))^2/(2*9.81)+B59-(G58+H58^2/(2*9.81))-(A58-A59)*(((DATOS!$B$34*(C59/(D59*((BJ59+BK59)/2)))/((D59*((BJ59+BK59)/2))/(D59+2*((BJ59+BK59)/2)))^(2/3))^2+((DATOS!$B$34*H58/((D58*F58)/(D58+2*F58))^(2/3))^2))/2))&gt;0,((BJ59+BK59)/2),BK59)</f>
        <v/>
      </c>
      <c r="BN59" s="5">
        <f>IF((((BL59+BM59)/2)+(C59/(D59*((BL59+BM59)/2)))^2/(2*9.81)+B59-(G58+H58^2/(2*9.81))-(A58-A59)*(((DATOS!$B$34*(C59/(D59*((BL59+BM59)/2)))/((D59*((BL59+BM59)/2))/(D59+2*((BL59+BM59)/2)))^(2/3))^2+((DATOS!$B$34*H58/((D58*F58)/(D58+2*F58))^(2/3))^2))/2))&gt;0,BL59,((BL59+BM59)/2))</f>
        <v/>
      </c>
      <c r="BO59" s="5">
        <f>IF((((BL59+BM59)/2)+(C59/(D59*((BL59+BM59)/2)))^2/(2*9.81)+B59-(G58+H58^2/(2*9.81))-(A58-A59)*(((DATOS!$B$34*(C59/(D59*((BL59+BM59)/2)))/((D59*((BL59+BM59)/2))/(D59+2*((BL59+BM59)/2)))^(2/3))^2+((DATOS!$B$34*H58/((D58*F58)/(D58+2*F58))^(2/3))^2))/2))&gt;0,((BL59+BM59)/2),BM59)</f>
        <v/>
      </c>
      <c r="BP59" s="5">
        <f>IF((((BN59+BO59)/2)+(C59/(D59*((BN59+BO59)/2)))^2/(2*9.81)+B59-(G58+H58^2/(2*9.81))-(A58-A59)*(((DATOS!$B$34*(C59/(D59*((BN59+BO59)/2)))/((D59*((BN59+BO59)/2))/(D59+2*((BN59+BO59)/2)))^(2/3))^2+((DATOS!$B$34*H58/((D58*F58)/(D58+2*F58))^(2/3))^2))/2))&gt;0,BN59,((BN59+BO59)/2))</f>
        <v/>
      </c>
      <c r="BQ59" s="5">
        <f>IF((((BN59+BO59)/2)+(C59/(D59*((BN59+BO59)/2)))^2/(2*9.81)+B59-(G58+H58^2/(2*9.81))-(A58-A59)*(((DATOS!$B$34*(C59/(D59*((BN59+BO59)/2)))/((D59*((BN59+BO59)/2))/(D59+2*((BN59+BO59)/2)))^(2/3))^2+((DATOS!$B$34*H58/((D58*F58)/(D58+2*F58))^(2/3))^2))/2))&gt;0,((BN59+BO59)/2),BO59)</f>
        <v/>
      </c>
      <c r="BR59" s="5">
        <f>IF((((BP59+BQ59)/2)+(C59/(D59*((BP59+BQ59)/2)))^2/(2*9.81)+B59-(G58+H58^2/(2*9.81))-(A58-A59)*(((DATOS!$B$34*(C59/(D59*((BP59+BQ59)/2)))/((D59*((BP59+BQ59)/2))/(D59+2*((BP59+BQ59)/2)))^(2/3))^2+((DATOS!$B$34*H58/((D58*F58)/(D58+2*F58))^(2/3))^2))/2))&gt;0,BP59,((BP59+BQ59)/2))</f>
        <v/>
      </c>
      <c r="BS59" s="5">
        <f>IF((((BP59+BQ59)/2)+(C59/(D59*((BP59+BQ59)/2)))^2/(2*9.81)+B59-(G58+H58^2/(2*9.81))-(A58-A59)*(((DATOS!$B$34*(C59/(D59*((BP59+BQ59)/2)))/((D59*((BP59+BQ59)/2))/(D59+2*((BP59+BQ59)/2)))^(2/3))^2+((DATOS!$B$34*H58/((D58*F58)/(D58+2*F58))^(2/3))^2))/2))&gt;0,((BP59+BQ59)/2),BQ59)</f>
        <v/>
      </c>
      <c r="BT59" s="5">
        <f>IF((((BR59+BS59)/2)+(C59/(D59*((BR59+BS59)/2)))^2/(2*9.81)+B59-(G58+H58^2/(2*9.81))-(A58-A59)*(((DATOS!$B$34*(C59/(D59*((BR59+BS59)/2)))/((D59*((BR59+BS59)/2))/(D59+2*((BR59+BS59)/2)))^(2/3))^2+((DATOS!$B$34*H58/((D58*F58)/(D58+2*F58))^(2/3))^2))/2))&gt;0,BR59,((BR59+BS59)/2))</f>
        <v/>
      </c>
      <c r="BU59" s="5">
        <f>IF((((BR59+BS59)/2)+(C59/(D59*((BR59+BS59)/2)))^2/(2*9.81)+B59-(G58+H58^2/(2*9.81))-(A58-A59)*(((DATOS!$B$34*(C59/(D59*((BR59+BS59)/2)))/((D59*((BR59+BS59)/2))/(D59+2*((BR59+BS59)/2)))^(2/3))^2+((DATOS!$B$34*H58/((D58*F58)/(D58+2*F58))^(2/3))^2))/2))&gt;0,((BR59+BS59)/2),BS59)</f>
        <v/>
      </c>
      <c r="BV59" s="5">
        <f>IF((((BT59+BU59)/2)+(C59/(D59*((BT59+BU59)/2)))^2/(2*9.81)+B59-(G58+H58^2/(2*9.81))-(A58-A59)*(((DATOS!$B$34*(C59/(D59*((BT59+BU59)/2)))/((D59*((BT59+BU59)/2))/(D59+2*((BT59+BU59)/2)))^(2/3))^2+((DATOS!$B$34*H58/((D58*F58)/(D58+2*F58))^(2/3))^2))/2))&gt;0,BT59,((BT59+BU59)/2))</f>
        <v/>
      </c>
      <c r="BW59" s="5">
        <f>IF((((BT59+BU59)/2)+(C59/(D59*((BT59+BU59)/2)))^2/(2*9.81)+B59-(G58+H58^2/(2*9.81))-(A58-A59)*(((DATOS!$B$34*(C59/(D59*((BT59+BU59)/2)))/((D59*((BT59+BU59)/2))/(D59+2*((BT59+BU59)/2)))^(2/3))^2+((DATOS!$B$34*H58/((D58*F58)/(D58+2*F58))^(2/3))^2))/2))&gt;0,((BT59+BU59)/2),BU59)</f>
        <v/>
      </c>
    </row>
    <row r="60">
      <c r="A60" s="13" t="n">
        <v>27</v>
      </c>
      <c r="B60" s="16">
        <f>DATOS!$B$22-DATOS!$B$23*A60</f>
        <v/>
      </c>
      <c r="C60" s="24">
        <f>CAUDALES!$B$13</f>
        <v/>
      </c>
      <c r="D60" s="17">
        <f>DATOS!$B$17</f>
        <v/>
      </c>
      <c r="E60" s="16">
        <f>(C60^2/(9.81*D60^2))^(1/3)</f>
        <v/>
      </c>
      <c r="F60" s="16">
        <f>(BV60+BW60)/2</f>
        <v/>
      </c>
      <c r="G60" s="16">
        <f>B60+F60</f>
        <v/>
      </c>
      <c r="H60" s="19">
        <f>C60/(D60*F60)</f>
        <v/>
      </c>
      <c r="I60" s="19">
        <f>H60/SQRT(9.81*F60)</f>
        <v/>
      </c>
      <c r="J60" s="16">
        <f>DATOS!$B$29-IF(AND(A60&gt;=DATOS!$B$30,A60&lt;DATOS!$B$31),DATOS!$B$21,DATOS!$B$20)</f>
        <v/>
      </c>
      <c r="K60" s="19">
        <f>J60-B60</f>
        <v/>
      </c>
      <c r="L60" s="19">
        <f>F60/K60</f>
        <v/>
      </c>
      <c r="M60" s="16">
        <f>J60-G60</f>
        <v/>
      </c>
      <c r="N60" s="5">
        <f>IF(AND(L60&lt;=DATOS!$B$36,M60&gt;=DATOS!$B$37,I60&lt;=1),"CUMPLE","NO CUMPLE")</f>
        <v/>
      </c>
      <c r="O60" s="5">
        <f>IF(AND(A60&gt;=DATOS!$B$30,A60&lt;DATOS!$B$31),"cruce de camiones",IF(AND(A60&gt;=DATOS!$B$32,A60&lt;DATOS!$B$33),"cruce de motos","tramo normal"))</f>
        <v/>
      </c>
      <c r="P60" s="5">
        <f>E60*1.001</f>
        <v/>
      </c>
      <c r="Q60" s="13" t="n">
        <v>3</v>
      </c>
      <c r="R60" s="5">
        <f>IF((((P60+Q60)/2)+(C60/(D60*((P60+Q60)/2)))^2/(2*9.81)+B60-(G59+H59^2/(2*9.81))-(A59-A60)*(((DATOS!$B$34*(C60/(D60*((P60+Q60)/2)))/((D60*((P60+Q60)/2))/(D60+2*((P60+Q60)/2)))^(2/3))^2+((DATOS!$B$34*H59/((D59*F59)/(D59+2*F59))^(2/3))^2))/2))&gt;0,P60,((P60+Q60)/2))</f>
        <v/>
      </c>
      <c r="S60" s="5">
        <f>IF((((P60+Q60)/2)+(C60/(D60*((P60+Q60)/2)))^2/(2*9.81)+B60-(G59+H59^2/(2*9.81))-(A59-A60)*(((DATOS!$B$34*(C60/(D60*((P60+Q60)/2)))/((D60*((P60+Q60)/2))/(D60+2*((P60+Q60)/2)))^(2/3))^2+((DATOS!$B$34*H59/((D59*F59)/(D59+2*F59))^(2/3))^2))/2))&gt;0,((P60+Q60)/2),Q60)</f>
        <v/>
      </c>
      <c r="T60" s="5">
        <f>IF((((R60+S60)/2)+(C60/(D60*((R60+S60)/2)))^2/(2*9.81)+B60-(G59+H59^2/(2*9.81))-(A59-A60)*(((DATOS!$B$34*(C60/(D60*((R60+S60)/2)))/((D60*((R60+S60)/2))/(D60+2*((R60+S60)/2)))^(2/3))^2+((DATOS!$B$34*H59/((D59*F59)/(D59+2*F59))^(2/3))^2))/2))&gt;0,R60,((R60+S60)/2))</f>
        <v/>
      </c>
      <c r="U60" s="5">
        <f>IF((((R60+S60)/2)+(C60/(D60*((R60+S60)/2)))^2/(2*9.81)+B60-(G59+H59^2/(2*9.81))-(A59-A60)*(((DATOS!$B$34*(C60/(D60*((R60+S60)/2)))/((D60*((R60+S60)/2))/(D60+2*((R60+S60)/2)))^(2/3))^2+((DATOS!$B$34*H59/((D59*F59)/(D59+2*F59))^(2/3))^2))/2))&gt;0,((R60+S60)/2),S60)</f>
        <v/>
      </c>
      <c r="V60" s="5">
        <f>IF((((T60+U60)/2)+(C60/(D60*((T60+U60)/2)))^2/(2*9.81)+B60-(G59+H59^2/(2*9.81))-(A59-A60)*(((DATOS!$B$34*(C60/(D60*((T60+U60)/2)))/((D60*((T60+U60)/2))/(D60+2*((T60+U60)/2)))^(2/3))^2+((DATOS!$B$34*H59/((D59*F59)/(D59+2*F59))^(2/3))^2))/2))&gt;0,T60,((T60+U60)/2))</f>
        <v/>
      </c>
      <c r="W60" s="5">
        <f>IF((((T60+U60)/2)+(C60/(D60*((T60+U60)/2)))^2/(2*9.81)+B60-(G59+H59^2/(2*9.81))-(A59-A60)*(((DATOS!$B$34*(C60/(D60*((T60+U60)/2)))/((D60*((T60+U60)/2))/(D60+2*((T60+U60)/2)))^(2/3))^2+((DATOS!$B$34*H59/((D59*F59)/(D59+2*F59))^(2/3))^2))/2))&gt;0,((T60+U60)/2),U60)</f>
        <v/>
      </c>
      <c r="X60" s="5">
        <f>IF((((V60+W60)/2)+(C60/(D60*((V60+W60)/2)))^2/(2*9.81)+B60-(G59+H59^2/(2*9.81))-(A59-A60)*(((DATOS!$B$34*(C60/(D60*((V60+W60)/2)))/((D60*((V60+W60)/2))/(D60+2*((V60+W60)/2)))^(2/3))^2+((DATOS!$B$34*H59/((D59*F59)/(D59+2*F59))^(2/3))^2))/2))&gt;0,V60,((V60+W60)/2))</f>
        <v/>
      </c>
      <c r="Y60" s="5">
        <f>IF((((V60+W60)/2)+(C60/(D60*((V60+W60)/2)))^2/(2*9.81)+B60-(G59+H59^2/(2*9.81))-(A59-A60)*(((DATOS!$B$34*(C60/(D60*((V60+W60)/2)))/((D60*((V60+W60)/2))/(D60+2*((V60+W60)/2)))^(2/3))^2+((DATOS!$B$34*H59/((D59*F59)/(D59+2*F59))^(2/3))^2))/2))&gt;0,((V60+W60)/2),W60)</f>
        <v/>
      </c>
      <c r="Z60" s="5">
        <f>IF((((X60+Y60)/2)+(C60/(D60*((X60+Y60)/2)))^2/(2*9.81)+B60-(G59+H59^2/(2*9.81))-(A59-A60)*(((DATOS!$B$34*(C60/(D60*((X60+Y60)/2)))/((D60*((X60+Y60)/2))/(D60+2*((X60+Y60)/2)))^(2/3))^2+((DATOS!$B$34*H59/((D59*F59)/(D59+2*F59))^(2/3))^2))/2))&gt;0,X60,((X60+Y60)/2))</f>
        <v/>
      </c>
      <c r="AA60" s="5">
        <f>IF((((X60+Y60)/2)+(C60/(D60*((X60+Y60)/2)))^2/(2*9.81)+B60-(G59+H59^2/(2*9.81))-(A59-A60)*(((DATOS!$B$34*(C60/(D60*((X60+Y60)/2)))/((D60*((X60+Y60)/2))/(D60+2*((X60+Y60)/2)))^(2/3))^2+((DATOS!$B$34*H59/((D59*F59)/(D59+2*F59))^(2/3))^2))/2))&gt;0,((X60+Y60)/2),Y60)</f>
        <v/>
      </c>
      <c r="AB60" s="5">
        <f>IF((((Z60+AA60)/2)+(C60/(D60*((Z60+AA60)/2)))^2/(2*9.81)+B60-(G59+H59^2/(2*9.81))-(A59-A60)*(((DATOS!$B$34*(C60/(D60*((Z60+AA60)/2)))/((D60*((Z60+AA60)/2))/(D60+2*((Z60+AA60)/2)))^(2/3))^2+((DATOS!$B$34*H59/((D59*F59)/(D59+2*F59))^(2/3))^2))/2))&gt;0,Z60,((Z60+AA60)/2))</f>
        <v/>
      </c>
      <c r="AC60" s="5">
        <f>IF((((Z60+AA60)/2)+(C60/(D60*((Z60+AA60)/2)))^2/(2*9.81)+B60-(G59+H59^2/(2*9.81))-(A59-A60)*(((DATOS!$B$34*(C60/(D60*((Z60+AA60)/2)))/((D60*((Z60+AA60)/2))/(D60+2*((Z60+AA60)/2)))^(2/3))^2+((DATOS!$B$34*H59/((D59*F59)/(D59+2*F59))^(2/3))^2))/2))&gt;0,((Z60+AA60)/2),AA60)</f>
        <v/>
      </c>
      <c r="AD60" s="5">
        <f>IF((((AB60+AC60)/2)+(C60/(D60*((AB60+AC60)/2)))^2/(2*9.81)+B60-(G59+H59^2/(2*9.81))-(A59-A60)*(((DATOS!$B$34*(C60/(D60*((AB60+AC60)/2)))/((D60*((AB60+AC60)/2))/(D60+2*((AB60+AC60)/2)))^(2/3))^2+((DATOS!$B$34*H59/((D59*F59)/(D59+2*F59))^(2/3))^2))/2))&gt;0,AB60,((AB60+AC60)/2))</f>
        <v/>
      </c>
      <c r="AE60" s="5">
        <f>IF((((AB60+AC60)/2)+(C60/(D60*((AB60+AC60)/2)))^2/(2*9.81)+B60-(G59+H59^2/(2*9.81))-(A59-A60)*(((DATOS!$B$34*(C60/(D60*((AB60+AC60)/2)))/((D60*((AB60+AC60)/2))/(D60+2*((AB60+AC60)/2)))^(2/3))^2+((DATOS!$B$34*H59/((D59*F59)/(D59+2*F59))^(2/3))^2))/2))&gt;0,((AB60+AC60)/2),AC60)</f>
        <v/>
      </c>
      <c r="AF60" s="5">
        <f>IF((((AD60+AE60)/2)+(C60/(D60*((AD60+AE60)/2)))^2/(2*9.81)+B60-(G59+H59^2/(2*9.81))-(A59-A60)*(((DATOS!$B$34*(C60/(D60*((AD60+AE60)/2)))/((D60*((AD60+AE60)/2))/(D60+2*((AD60+AE60)/2)))^(2/3))^2+((DATOS!$B$34*H59/((D59*F59)/(D59+2*F59))^(2/3))^2))/2))&gt;0,AD60,((AD60+AE60)/2))</f>
        <v/>
      </c>
      <c r="AG60" s="5">
        <f>IF((((AD60+AE60)/2)+(C60/(D60*((AD60+AE60)/2)))^2/(2*9.81)+B60-(G59+H59^2/(2*9.81))-(A59-A60)*(((DATOS!$B$34*(C60/(D60*((AD60+AE60)/2)))/((D60*((AD60+AE60)/2))/(D60+2*((AD60+AE60)/2)))^(2/3))^2+((DATOS!$B$34*H59/((D59*F59)/(D59+2*F59))^(2/3))^2))/2))&gt;0,((AD60+AE60)/2),AE60)</f>
        <v/>
      </c>
      <c r="AH60" s="5">
        <f>IF((((AF60+AG60)/2)+(C60/(D60*((AF60+AG60)/2)))^2/(2*9.81)+B60-(G59+H59^2/(2*9.81))-(A59-A60)*(((DATOS!$B$34*(C60/(D60*((AF60+AG60)/2)))/((D60*((AF60+AG60)/2))/(D60+2*((AF60+AG60)/2)))^(2/3))^2+((DATOS!$B$34*H59/((D59*F59)/(D59+2*F59))^(2/3))^2))/2))&gt;0,AF60,((AF60+AG60)/2))</f>
        <v/>
      </c>
      <c r="AI60" s="5">
        <f>IF((((AF60+AG60)/2)+(C60/(D60*((AF60+AG60)/2)))^2/(2*9.81)+B60-(G59+H59^2/(2*9.81))-(A59-A60)*(((DATOS!$B$34*(C60/(D60*((AF60+AG60)/2)))/((D60*((AF60+AG60)/2))/(D60+2*((AF60+AG60)/2)))^(2/3))^2+((DATOS!$B$34*H59/((D59*F59)/(D59+2*F59))^(2/3))^2))/2))&gt;0,((AF60+AG60)/2),AG60)</f>
        <v/>
      </c>
      <c r="AJ60" s="5">
        <f>IF((((AH60+AI60)/2)+(C60/(D60*((AH60+AI60)/2)))^2/(2*9.81)+B60-(G59+H59^2/(2*9.81))-(A59-A60)*(((DATOS!$B$34*(C60/(D60*((AH60+AI60)/2)))/((D60*((AH60+AI60)/2))/(D60+2*((AH60+AI60)/2)))^(2/3))^2+((DATOS!$B$34*H59/((D59*F59)/(D59+2*F59))^(2/3))^2))/2))&gt;0,AH60,((AH60+AI60)/2))</f>
        <v/>
      </c>
      <c r="AK60" s="5">
        <f>IF((((AH60+AI60)/2)+(C60/(D60*((AH60+AI60)/2)))^2/(2*9.81)+B60-(G59+H59^2/(2*9.81))-(A59-A60)*(((DATOS!$B$34*(C60/(D60*((AH60+AI60)/2)))/((D60*((AH60+AI60)/2))/(D60+2*((AH60+AI60)/2)))^(2/3))^2+((DATOS!$B$34*H59/((D59*F59)/(D59+2*F59))^(2/3))^2))/2))&gt;0,((AH60+AI60)/2),AI60)</f>
        <v/>
      </c>
      <c r="AL60" s="5">
        <f>IF((((AJ60+AK60)/2)+(C60/(D60*((AJ60+AK60)/2)))^2/(2*9.81)+B60-(G59+H59^2/(2*9.81))-(A59-A60)*(((DATOS!$B$34*(C60/(D60*((AJ60+AK60)/2)))/((D60*((AJ60+AK60)/2))/(D60+2*((AJ60+AK60)/2)))^(2/3))^2+((DATOS!$B$34*H59/((D59*F59)/(D59+2*F59))^(2/3))^2))/2))&gt;0,AJ60,((AJ60+AK60)/2))</f>
        <v/>
      </c>
      <c r="AM60" s="5">
        <f>IF((((AJ60+AK60)/2)+(C60/(D60*((AJ60+AK60)/2)))^2/(2*9.81)+B60-(G59+H59^2/(2*9.81))-(A59-A60)*(((DATOS!$B$34*(C60/(D60*((AJ60+AK60)/2)))/((D60*((AJ60+AK60)/2))/(D60+2*((AJ60+AK60)/2)))^(2/3))^2+((DATOS!$B$34*H59/((D59*F59)/(D59+2*F59))^(2/3))^2))/2))&gt;0,((AJ60+AK60)/2),AK60)</f>
        <v/>
      </c>
      <c r="AN60" s="5">
        <f>IF((((AL60+AM60)/2)+(C60/(D60*((AL60+AM60)/2)))^2/(2*9.81)+B60-(G59+H59^2/(2*9.81))-(A59-A60)*(((DATOS!$B$34*(C60/(D60*((AL60+AM60)/2)))/((D60*((AL60+AM60)/2))/(D60+2*((AL60+AM60)/2)))^(2/3))^2+((DATOS!$B$34*H59/((D59*F59)/(D59+2*F59))^(2/3))^2))/2))&gt;0,AL60,((AL60+AM60)/2))</f>
        <v/>
      </c>
      <c r="AO60" s="5">
        <f>IF((((AL60+AM60)/2)+(C60/(D60*((AL60+AM60)/2)))^2/(2*9.81)+B60-(G59+H59^2/(2*9.81))-(A59-A60)*(((DATOS!$B$34*(C60/(D60*((AL60+AM60)/2)))/((D60*((AL60+AM60)/2))/(D60+2*((AL60+AM60)/2)))^(2/3))^2+((DATOS!$B$34*H59/((D59*F59)/(D59+2*F59))^(2/3))^2))/2))&gt;0,((AL60+AM60)/2),AM60)</f>
        <v/>
      </c>
      <c r="AP60" s="5">
        <f>IF((((AN60+AO60)/2)+(C60/(D60*((AN60+AO60)/2)))^2/(2*9.81)+B60-(G59+H59^2/(2*9.81))-(A59-A60)*(((DATOS!$B$34*(C60/(D60*((AN60+AO60)/2)))/((D60*((AN60+AO60)/2))/(D60+2*((AN60+AO60)/2)))^(2/3))^2+((DATOS!$B$34*H59/((D59*F59)/(D59+2*F59))^(2/3))^2))/2))&gt;0,AN60,((AN60+AO60)/2))</f>
        <v/>
      </c>
      <c r="AQ60" s="5">
        <f>IF((((AN60+AO60)/2)+(C60/(D60*((AN60+AO60)/2)))^2/(2*9.81)+B60-(G59+H59^2/(2*9.81))-(A59-A60)*(((DATOS!$B$34*(C60/(D60*((AN60+AO60)/2)))/((D60*((AN60+AO60)/2))/(D60+2*((AN60+AO60)/2)))^(2/3))^2+((DATOS!$B$34*H59/((D59*F59)/(D59+2*F59))^(2/3))^2))/2))&gt;0,((AN60+AO60)/2),AO60)</f>
        <v/>
      </c>
      <c r="AR60" s="5">
        <f>IF((((AP60+AQ60)/2)+(C60/(D60*((AP60+AQ60)/2)))^2/(2*9.81)+B60-(G59+H59^2/(2*9.81))-(A59-A60)*(((DATOS!$B$34*(C60/(D60*((AP60+AQ60)/2)))/((D60*((AP60+AQ60)/2))/(D60+2*((AP60+AQ60)/2)))^(2/3))^2+((DATOS!$B$34*H59/((D59*F59)/(D59+2*F59))^(2/3))^2))/2))&gt;0,AP60,((AP60+AQ60)/2))</f>
        <v/>
      </c>
      <c r="AS60" s="5">
        <f>IF((((AP60+AQ60)/2)+(C60/(D60*((AP60+AQ60)/2)))^2/(2*9.81)+B60-(G59+H59^2/(2*9.81))-(A59-A60)*(((DATOS!$B$34*(C60/(D60*((AP60+AQ60)/2)))/((D60*((AP60+AQ60)/2))/(D60+2*((AP60+AQ60)/2)))^(2/3))^2+((DATOS!$B$34*H59/((D59*F59)/(D59+2*F59))^(2/3))^2))/2))&gt;0,((AP60+AQ60)/2),AQ60)</f>
        <v/>
      </c>
      <c r="AT60" s="5">
        <f>IF((((AR60+AS60)/2)+(C60/(D60*((AR60+AS60)/2)))^2/(2*9.81)+B60-(G59+H59^2/(2*9.81))-(A59-A60)*(((DATOS!$B$34*(C60/(D60*((AR60+AS60)/2)))/((D60*((AR60+AS60)/2))/(D60+2*((AR60+AS60)/2)))^(2/3))^2+((DATOS!$B$34*H59/((D59*F59)/(D59+2*F59))^(2/3))^2))/2))&gt;0,AR60,((AR60+AS60)/2))</f>
        <v/>
      </c>
      <c r="AU60" s="5">
        <f>IF((((AR60+AS60)/2)+(C60/(D60*((AR60+AS60)/2)))^2/(2*9.81)+B60-(G59+H59^2/(2*9.81))-(A59-A60)*(((DATOS!$B$34*(C60/(D60*((AR60+AS60)/2)))/((D60*((AR60+AS60)/2))/(D60+2*((AR60+AS60)/2)))^(2/3))^2+((DATOS!$B$34*H59/((D59*F59)/(D59+2*F59))^(2/3))^2))/2))&gt;0,((AR60+AS60)/2),AS60)</f>
        <v/>
      </c>
      <c r="AV60" s="5">
        <f>IF((((AT60+AU60)/2)+(C60/(D60*((AT60+AU60)/2)))^2/(2*9.81)+B60-(G59+H59^2/(2*9.81))-(A59-A60)*(((DATOS!$B$34*(C60/(D60*((AT60+AU60)/2)))/((D60*((AT60+AU60)/2))/(D60+2*((AT60+AU60)/2)))^(2/3))^2+((DATOS!$B$34*H59/((D59*F59)/(D59+2*F59))^(2/3))^2))/2))&gt;0,AT60,((AT60+AU60)/2))</f>
        <v/>
      </c>
      <c r="AW60" s="5">
        <f>IF((((AT60+AU60)/2)+(C60/(D60*((AT60+AU60)/2)))^2/(2*9.81)+B60-(G59+H59^2/(2*9.81))-(A59-A60)*(((DATOS!$B$34*(C60/(D60*((AT60+AU60)/2)))/((D60*((AT60+AU60)/2))/(D60+2*((AT60+AU60)/2)))^(2/3))^2+((DATOS!$B$34*H59/((D59*F59)/(D59+2*F59))^(2/3))^2))/2))&gt;0,((AT60+AU60)/2),AU60)</f>
        <v/>
      </c>
      <c r="AX60" s="5">
        <f>IF((((AV60+AW60)/2)+(C60/(D60*((AV60+AW60)/2)))^2/(2*9.81)+B60-(G59+H59^2/(2*9.81))-(A59-A60)*(((DATOS!$B$34*(C60/(D60*((AV60+AW60)/2)))/((D60*((AV60+AW60)/2))/(D60+2*((AV60+AW60)/2)))^(2/3))^2+((DATOS!$B$34*H59/((D59*F59)/(D59+2*F59))^(2/3))^2))/2))&gt;0,AV60,((AV60+AW60)/2))</f>
        <v/>
      </c>
      <c r="AY60" s="5">
        <f>IF((((AV60+AW60)/2)+(C60/(D60*((AV60+AW60)/2)))^2/(2*9.81)+B60-(G59+H59^2/(2*9.81))-(A59-A60)*(((DATOS!$B$34*(C60/(D60*((AV60+AW60)/2)))/((D60*((AV60+AW60)/2))/(D60+2*((AV60+AW60)/2)))^(2/3))^2+((DATOS!$B$34*H59/((D59*F59)/(D59+2*F59))^(2/3))^2))/2))&gt;0,((AV60+AW60)/2),AW60)</f>
        <v/>
      </c>
      <c r="AZ60" s="5">
        <f>IF((((AX60+AY60)/2)+(C60/(D60*((AX60+AY60)/2)))^2/(2*9.81)+B60-(G59+H59^2/(2*9.81))-(A59-A60)*(((DATOS!$B$34*(C60/(D60*((AX60+AY60)/2)))/((D60*((AX60+AY60)/2))/(D60+2*((AX60+AY60)/2)))^(2/3))^2+((DATOS!$B$34*H59/((D59*F59)/(D59+2*F59))^(2/3))^2))/2))&gt;0,AX60,((AX60+AY60)/2))</f>
        <v/>
      </c>
      <c r="BA60" s="5">
        <f>IF((((AX60+AY60)/2)+(C60/(D60*((AX60+AY60)/2)))^2/(2*9.81)+B60-(G59+H59^2/(2*9.81))-(A59-A60)*(((DATOS!$B$34*(C60/(D60*((AX60+AY60)/2)))/((D60*((AX60+AY60)/2))/(D60+2*((AX60+AY60)/2)))^(2/3))^2+((DATOS!$B$34*H59/((D59*F59)/(D59+2*F59))^(2/3))^2))/2))&gt;0,((AX60+AY60)/2),AY60)</f>
        <v/>
      </c>
      <c r="BB60" s="5">
        <f>IF((((AZ60+BA60)/2)+(C60/(D60*((AZ60+BA60)/2)))^2/(2*9.81)+B60-(G59+H59^2/(2*9.81))-(A59-A60)*(((DATOS!$B$34*(C60/(D60*((AZ60+BA60)/2)))/((D60*((AZ60+BA60)/2))/(D60+2*((AZ60+BA60)/2)))^(2/3))^2+((DATOS!$B$34*H59/((D59*F59)/(D59+2*F59))^(2/3))^2))/2))&gt;0,AZ60,((AZ60+BA60)/2))</f>
        <v/>
      </c>
      <c r="BC60" s="5">
        <f>IF((((AZ60+BA60)/2)+(C60/(D60*((AZ60+BA60)/2)))^2/(2*9.81)+B60-(G59+H59^2/(2*9.81))-(A59-A60)*(((DATOS!$B$34*(C60/(D60*((AZ60+BA60)/2)))/((D60*((AZ60+BA60)/2))/(D60+2*((AZ60+BA60)/2)))^(2/3))^2+((DATOS!$B$34*H59/((D59*F59)/(D59+2*F59))^(2/3))^2))/2))&gt;0,((AZ60+BA60)/2),BA60)</f>
        <v/>
      </c>
      <c r="BD60" s="5">
        <f>IF((((BB60+BC60)/2)+(C60/(D60*((BB60+BC60)/2)))^2/(2*9.81)+B60-(G59+H59^2/(2*9.81))-(A59-A60)*(((DATOS!$B$34*(C60/(D60*((BB60+BC60)/2)))/((D60*((BB60+BC60)/2))/(D60+2*((BB60+BC60)/2)))^(2/3))^2+((DATOS!$B$34*H59/((D59*F59)/(D59+2*F59))^(2/3))^2))/2))&gt;0,BB60,((BB60+BC60)/2))</f>
        <v/>
      </c>
      <c r="BE60" s="5">
        <f>IF((((BB60+BC60)/2)+(C60/(D60*((BB60+BC60)/2)))^2/(2*9.81)+B60-(G59+H59^2/(2*9.81))-(A59-A60)*(((DATOS!$B$34*(C60/(D60*((BB60+BC60)/2)))/((D60*((BB60+BC60)/2))/(D60+2*((BB60+BC60)/2)))^(2/3))^2+((DATOS!$B$34*H59/((D59*F59)/(D59+2*F59))^(2/3))^2))/2))&gt;0,((BB60+BC60)/2),BC60)</f>
        <v/>
      </c>
      <c r="BF60" s="5">
        <f>IF((((BD60+BE60)/2)+(C60/(D60*((BD60+BE60)/2)))^2/(2*9.81)+B60-(G59+H59^2/(2*9.81))-(A59-A60)*(((DATOS!$B$34*(C60/(D60*((BD60+BE60)/2)))/((D60*((BD60+BE60)/2))/(D60+2*((BD60+BE60)/2)))^(2/3))^2+((DATOS!$B$34*H59/((D59*F59)/(D59+2*F59))^(2/3))^2))/2))&gt;0,BD60,((BD60+BE60)/2))</f>
        <v/>
      </c>
      <c r="BG60" s="5">
        <f>IF((((BD60+BE60)/2)+(C60/(D60*((BD60+BE60)/2)))^2/(2*9.81)+B60-(G59+H59^2/(2*9.81))-(A59-A60)*(((DATOS!$B$34*(C60/(D60*((BD60+BE60)/2)))/((D60*((BD60+BE60)/2))/(D60+2*((BD60+BE60)/2)))^(2/3))^2+((DATOS!$B$34*H59/((D59*F59)/(D59+2*F59))^(2/3))^2))/2))&gt;0,((BD60+BE60)/2),BE60)</f>
        <v/>
      </c>
      <c r="BH60" s="5">
        <f>IF((((BF60+BG60)/2)+(C60/(D60*((BF60+BG60)/2)))^2/(2*9.81)+B60-(G59+H59^2/(2*9.81))-(A59-A60)*(((DATOS!$B$34*(C60/(D60*((BF60+BG60)/2)))/((D60*((BF60+BG60)/2))/(D60+2*((BF60+BG60)/2)))^(2/3))^2+((DATOS!$B$34*H59/((D59*F59)/(D59+2*F59))^(2/3))^2))/2))&gt;0,BF60,((BF60+BG60)/2))</f>
        <v/>
      </c>
      <c r="BI60" s="5">
        <f>IF((((BF60+BG60)/2)+(C60/(D60*((BF60+BG60)/2)))^2/(2*9.81)+B60-(G59+H59^2/(2*9.81))-(A59-A60)*(((DATOS!$B$34*(C60/(D60*((BF60+BG60)/2)))/((D60*((BF60+BG60)/2))/(D60+2*((BF60+BG60)/2)))^(2/3))^2+((DATOS!$B$34*H59/((D59*F59)/(D59+2*F59))^(2/3))^2))/2))&gt;0,((BF60+BG60)/2),BG60)</f>
        <v/>
      </c>
      <c r="BJ60" s="5">
        <f>IF((((BH60+BI60)/2)+(C60/(D60*((BH60+BI60)/2)))^2/(2*9.81)+B60-(G59+H59^2/(2*9.81))-(A59-A60)*(((DATOS!$B$34*(C60/(D60*((BH60+BI60)/2)))/((D60*((BH60+BI60)/2))/(D60+2*((BH60+BI60)/2)))^(2/3))^2+((DATOS!$B$34*H59/((D59*F59)/(D59+2*F59))^(2/3))^2))/2))&gt;0,BH60,((BH60+BI60)/2))</f>
        <v/>
      </c>
      <c r="BK60" s="5">
        <f>IF((((BH60+BI60)/2)+(C60/(D60*((BH60+BI60)/2)))^2/(2*9.81)+B60-(G59+H59^2/(2*9.81))-(A59-A60)*(((DATOS!$B$34*(C60/(D60*((BH60+BI60)/2)))/((D60*((BH60+BI60)/2))/(D60+2*((BH60+BI60)/2)))^(2/3))^2+((DATOS!$B$34*H59/((D59*F59)/(D59+2*F59))^(2/3))^2))/2))&gt;0,((BH60+BI60)/2),BI60)</f>
        <v/>
      </c>
      <c r="BL60" s="5">
        <f>IF((((BJ60+BK60)/2)+(C60/(D60*((BJ60+BK60)/2)))^2/(2*9.81)+B60-(G59+H59^2/(2*9.81))-(A59-A60)*(((DATOS!$B$34*(C60/(D60*((BJ60+BK60)/2)))/((D60*((BJ60+BK60)/2))/(D60+2*((BJ60+BK60)/2)))^(2/3))^2+((DATOS!$B$34*H59/((D59*F59)/(D59+2*F59))^(2/3))^2))/2))&gt;0,BJ60,((BJ60+BK60)/2))</f>
        <v/>
      </c>
      <c r="BM60" s="5">
        <f>IF((((BJ60+BK60)/2)+(C60/(D60*((BJ60+BK60)/2)))^2/(2*9.81)+B60-(G59+H59^2/(2*9.81))-(A59-A60)*(((DATOS!$B$34*(C60/(D60*((BJ60+BK60)/2)))/((D60*((BJ60+BK60)/2))/(D60+2*((BJ60+BK60)/2)))^(2/3))^2+((DATOS!$B$34*H59/((D59*F59)/(D59+2*F59))^(2/3))^2))/2))&gt;0,((BJ60+BK60)/2),BK60)</f>
        <v/>
      </c>
      <c r="BN60" s="5">
        <f>IF((((BL60+BM60)/2)+(C60/(D60*((BL60+BM60)/2)))^2/(2*9.81)+B60-(G59+H59^2/(2*9.81))-(A59-A60)*(((DATOS!$B$34*(C60/(D60*((BL60+BM60)/2)))/((D60*((BL60+BM60)/2))/(D60+2*((BL60+BM60)/2)))^(2/3))^2+((DATOS!$B$34*H59/((D59*F59)/(D59+2*F59))^(2/3))^2))/2))&gt;0,BL60,((BL60+BM60)/2))</f>
        <v/>
      </c>
      <c r="BO60" s="5">
        <f>IF((((BL60+BM60)/2)+(C60/(D60*((BL60+BM60)/2)))^2/(2*9.81)+B60-(G59+H59^2/(2*9.81))-(A59-A60)*(((DATOS!$B$34*(C60/(D60*((BL60+BM60)/2)))/((D60*((BL60+BM60)/2))/(D60+2*((BL60+BM60)/2)))^(2/3))^2+((DATOS!$B$34*H59/((D59*F59)/(D59+2*F59))^(2/3))^2))/2))&gt;0,((BL60+BM60)/2),BM60)</f>
        <v/>
      </c>
      <c r="BP60" s="5">
        <f>IF((((BN60+BO60)/2)+(C60/(D60*((BN60+BO60)/2)))^2/(2*9.81)+B60-(G59+H59^2/(2*9.81))-(A59-A60)*(((DATOS!$B$34*(C60/(D60*((BN60+BO60)/2)))/((D60*((BN60+BO60)/2))/(D60+2*((BN60+BO60)/2)))^(2/3))^2+((DATOS!$B$34*H59/((D59*F59)/(D59+2*F59))^(2/3))^2))/2))&gt;0,BN60,((BN60+BO60)/2))</f>
        <v/>
      </c>
      <c r="BQ60" s="5">
        <f>IF((((BN60+BO60)/2)+(C60/(D60*((BN60+BO60)/2)))^2/(2*9.81)+B60-(G59+H59^2/(2*9.81))-(A59-A60)*(((DATOS!$B$34*(C60/(D60*((BN60+BO60)/2)))/((D60*((BN60+BO60)/2))/(D60+2*((BN60+BO60)/2)))^(2/3))^2+((DATOS!$B$34*H59/((D59*F59)/(D59+2*F59))^(2/3))^2))/2))&gt;0,((BN60+BO60)/2),BO60)</f>
        <v/>
      </c>
      <c r="BR60" s="5">
        <f>IF((((BP60+BQ60)/2)+(C60/(D60*((BP60+BQ60)/2)))^2/(2*9.81)+B60-(G59+H59^2/(2*9.81))-(A59-A60)*(((DATOS!$B$34*(C60/(D60*((BP60+BQ60)/2)))/((D60*((BP60+BQ60)/2))/(D60+2*((BP60+BQ60)/2)))^(2/3))^2+((DATOS!$B$34*H59/((D59*F59)/(D59+2*F59))^(2/3))^2))/2))&gt;0,BP60,((BP60+BQ60)/2))</f>
        <v/>
      </c>
      <c r="BS60" s="5">
        <f>IF((((BP60+BQ60)/2)+(C60/(D60*((BP60+BQ60)/2)))^2/(2*9.81)+B60-(G59+H59^2/(2*9.81))-(A59-A60)*(((DATOS!$B$34*(C60/(D60*((BP60+BQ60)/2)))/((D60*((BP60+BQ60)/2))/(D60+2*((BP60+BQ60)/2)))^(2/3))^2+((DATOS!$B$34*H59/((D59*F59)/(D59+2*F59))^(2/3))^2))/2))&gt;0,((BP60+BQ60)/2),BQ60)</f>
        <v/>
      </c>
      <c r="BT60" s="5">
        <f>IF((((BR60+BS60)/2)+(C60/(D60*((BR60+BS60)/2)))^2/(2*9.81)+B60-(G59+H59^2/(2*9.81))-(A59-A60)*(((DATOS!$B$34*(C60/(D60*((BR60+BS60)/2)))/((D60*((BR60+BS60)/2))/(D60+2*((BR60+BS60)/2)))^(2/3))^2+((DATOS!$B$34*H59/((D59*F59)/(D59+2*F59))^(2/3))^2))/2))&gt;0,BR60,((BR60+BS60)/2))</f>
        <v/>
      </c>
      <c r="BU60" s="5">
        <f>IF((((BR60+BS60)/2)+(C60/(D60*((BR60+BS60)/2)))^2/(2*9.81)+B60-(G59+H59^2/(2*9.81))-(A59-A60)*(((DATOS!$B$34*(C60/(D60*((BR60+BS60)/2)))/((D60*((BR60+BS60)/2))/(D60+2*((BR60+BS60)/2)))^(2/3))^2+((DATOS!$B$34*H59/((D59*F59)/(D59+2*F59))^(2/3))^2))/2))&gt;0,((BR60+BS60)/2),BS60)</f>
        <v/>
      </c>
      <c r="BV60" s="5">
        <f>IF((((BT60+BU60)/2)+(C60/(D60*((BT60+BU60)/2)))^2/(2*9.81)+B60-(G59+H59^2/(2*9.81))-(A59-A60)*(((DATOS!$B$34*(C60/(D60*((BT60+BU60)/2)))/((D60*((BT60+BU60)/2))/(D60+2*((BT60+BU60)/2)))^(2/3))^2+((DATOS!$B$34*H59/((D59*F59)/(D59+2*F59))^(2/3))^2))/2))&gt;0,BT60,((BT60+BU60)/2))</f>
        <v/>
      </c>
      <c r="BW60" s="5">
        <f>IF((((BT60+BU60)/2)+(C60/(D60*((BT60+BU60)/2)))^2/(2*9.81)+B60-(G59+H59^2/(2*9.81))-(A59-A60)*(((DATOS!$B$34*(C60/(D60*((BT60+BU60)/2)))/((D60*((BT60+BU60)/2))/(D60+2*((BT60+BU60)/2)))^(2/3))^2+((DATOS!$B$34*H59/((D59*F59)/(D59+2*F59))^(2/3))^2))/2))&gt;0,((BT60+BU60)/2),BU60)</f>
        <v/>
      </c>
    </row>
    <row r="61">
      <c r="A61" s="13" t="n">
        <v>26.32</v>
      </c>
      <c r="B61" s="16">
        <f>DATOS!$B$22-DATOS!$B$23*A61</f>
        <v/>
      </c>
      <c r="C61" s="24">
        <f>CAUDALES!$B$13</f>
        <v/>
      </c>
      <c r="D61" s="17">
        <f>DATOS!$B$17</f>
        <v/>
      </c>
      <c r="E61" s="16">
        <f>(C61^2/(9.81*D61^2))^(1/3)</f>
        <v/>
      </c>
      <c r="F61" s="16">
        <f>(BV61+BW61)/2</f>
        <v/>
      </c>
      <c r="G61" s="16">
        <f>B61+F61</f>
        <v/>
      </c>
      <c r="H61" s="19">
        <f>C61/(D61*F61)</f>
        <v/>
      </c>
      <c r="I61" s="19">
        <f>H61/SQRT(9.81*F61)</f>
        <v/>
      </c>
      <c r="J61" s="16">
        <f>DATOS!$B$29-IF(AND(A61&gt;=DATOS!$B$30,A61&lt;DATOS!$B$31),DATOS!$B$21,DATOS!$B$20)</f>
        <v/>
      </c>
      <c r="K61" s="19">
        <f>J61-B61</f>
        <v/>
      </c>
      <c r="L61" s="19">
        <f>F61/K61</f>
        <v/>
      </c>
      <c r="M61" s="16">
        <f>J61-G61</f>
        <v/>
      </c>
      <c r="N61" s="5">
        <f>IF(AND(L61&lt;=DATOS!$B$36,M61&gt;=DATOS!$B$37,I61&lt;=1),"CUMPLE","NO CUMPLE")</f>
        <v/>
      </c>
      <c r="O61" s="5">
        <f>IF(AND(A61&gt;=DATOS!$B$30,A61&lt;DATOS!$B$31),"cruce de camiones",IF(AND(A61&gt;=DATOS!$B$32,A61&lt;DATOS!$B$33),"cruce de motos","tramo normal"))</f>
        <v/>
      </c>
      <c r="P61" s="5">
        <f>E61*1.001</f>
        <v/>
      </c>
      <c r="Q61" s="13" t="n">
        <v>3</v>
      </c>
      <c r="R61" s="5">
        <f>IF((((P61+Q61)/2)+(C61/(D61*((P61+Q61)/2)))^2/(2*9.81)+B61-(G60+H60^2/(2*9.81))-(A60-A61)*(((DATOS!$B$34*(C61/(D61*((P61+Q61)/2)))/((D61*((P61+Q61)/2))/(D61+2*((P61+Q61)/2)))^(2/3))^2+((DATOS!$B$34*H60/((D60*F60)/(D60+2*F60))^(2/3))^2))/2))&gt;0,P61,((P61+Q61)/2))</f>
        <v/>
      </c>
      <c r="S61" s="5">
        <f>IF((((P61+Q61)/2)+(C61/(D61*((P61+Q61)/2)))^2/(2*9.81)+B61-(G60+H60^2/(2*9.81))-(A60-A61)*(((DATOS!$B$34*(C61/(D61*((P61+Q61)/2)))/((D61*((P61+Q61)/2))/(D61+2*((P61+Q61)/2)))^(2/3))^2+((DATOS!$B$34*H60/((D60*F60)/(D60+2*F60))^(2/3))^2))/2))&gt;0,((P61+Q61)/2),Q61)</f>
        <v/>
      </c>
      <c r="T61" s="5">
        <f>IF((((R61+S61)/2)+(C61/(D61*((R61+S61)/2)))^2/(2*9.81)+B61-(G60+H60^2/(2*9.81))-(A60-A61)*(((DATOS!$B$34*(C61/(D61*((R61+S61)/2)))/((D61*((R61+S61)/2))/(D61+2*((R61+S61)/2)))^(2/3))^2+((DATOS!$B$34*H60/((D60*F60)/(D60+2*F60))^(2/3))^2))/2))&gt;0,R61,((R61+S61)/2))</f>
        <v/>
      </c>
      <c r="U61" s="5">
        <f>IF((((R61+S61)/2)+(C61/(D61*((R61+S61)/2)))^2/(2*9.81)+B61-(G60+H60^2/(2*9.81))-(A60-A61)*(((DATOS!$B$34*(C61/(D61*((R61+S61)/2)))/((D61*((R61+S61)/2))/(D61+2*((R61+S61)/2)))^(2/3))^2+((DATOS!$B$34*H60/((D60*F60)/(D60+2*F60))^(2/3))^2))/2))&gt;0,((R61+S61)/2),S61)</f>
        <v/>
      </c>
      <c r="V61" s="5">
        <f>IF((((T61+U61)/2)+(C61/(D61*((T61+U61)/2)))^2/(2*9.81)+B61-(G60+H60^2/(2*9.81))-(A60-A61)*(((DATOS!$B$34*(C61/(D61*((T61+U61)/2)))/((D61*((T61+U61)/2))/(D61+2*((T61+U61)/2)))^(2/3))^2+((DATOS!$B$34*H60/((D60*F60)/(D60+2*F60))^(2/3))^2))/2))&gt;0,T61,((T61+U61)/2))</f>
        <v/>
      </c>
      <c r="W61" s="5">
        <f>IF((((T61+U61)/2)+(C61/(D61*((T61+U61)/2)))^2/(2*9.81)+B61-(G60+H60^2/(2*9.81))-(A60-A61)*(((DATOS!$B$34*(C61/(D61*((T61+U61)/2)))/((D61*((T61+U61)/2))/(D61+2*((T61+U61)/2)))^(2/3))^2+((DATOS!$B$34*H60/((D60*F60)/(D60+2*F60))^(2/3))^2))/2))&gt;0,((T61+U61)/2),U61)</f>
        <v/>
      </c>
      <c r="X61" s="5">
        <f>IF((((V61+W61)/2)+(C61/(D61*((V61+W61)/2)))^2/(2*9.81)+B61-(G60+H60^2/(2*9.81))-(A60-A61)*(((DATOS!$B$34*(C61/(D61*((V61+W61)/2)))/((D61*((V61+W61)/2))/(D61+2*((V61+W61)/2)))^(2/3))^2+((DATOS!$B$34*H60/((D60*F60)/(D60+2*F60))^(2/3))^2))/2))&gt;0,V61,((V61+W61)/2))</f>
        <v/>
      </c>
      <c r="Y61" s="5">
        <f>IF((((V61+W61)/2)+(C61/(D61*((V61+W61)/2)))^2/(2*9.81)+B61-(G60+H60^2/(2*9.81))-(A60-A61)*(((DATOS!$B$34*(C61/(D61*((V61+W61)/2)))/((D61*((V61+W61)/2))/(D61+2*((V61+W61)/2)))^(2/3))^2+((DATOS!$B$34*H60/((D60*F60)/(D60+2*F60))^(2/3))^2))/2))&gt;0,((V61+W61)/2),W61)</f>
        <v/>
      </c>
      <c r="Z61" s="5">
        <f>IF((((X61+Y61)/2)+(C61/(D61*((X61+Y61)/2)))^2/(2*9.81)+B61-(G60+H60^2/(2*9.81))-(A60-A61)*(((DATOS!$B$34*(C61/(D61*((X61+Y61)/2)))/((D61*((X61+Y61)/2))/(D61+2*((X61+Y61)/2)))^(2/3))^2+((DATOS!$B$34*H60/((D60*F60)/(D60+2*F60))^(2/3))^2))/2))&gt;0,X61,((X61+Y61)/2))</f>
        <v/>
      </c>
      <c r="AA61" s="5">
        <f>IF((((X61+Y61)/2)+(C61/(D61*((X61+Y61)/2)))^2/(2*9.81)+B61-(G60+H60^2/(2*9.81))-(A60-A61)*(((DATOS!$B$34*(C61/(D61*((X61+Y61)/2)))/((D61*((X61+Y61)/2))/(D61+2*((X61+Y61)/2)))^(2/3))^2+((DATOS!$B$34*H60/((D60*F60)/(D60+2*F60))^(2/3))^2))/2))&gt;0,((X61+Y61)/2),Y61)</f>
        <v/>
      </c>
      <c r="AB61" s="5">
        <f>IF((((Z61+AA61)/2)+(C61/(D61*((Z61+AA61)/2)))^2/(2*9.81)+B61-(G60+H60^2/(2*9.81))-(A60-A61)*(((DATOS!$B$34*(C61/(D61*((Z61+AA61)/2)))/((D61*((Z61+AA61)/2))/(D61+2*((Z61+AA61)/2)))^(2/3))^2+((DATOS!$B$34*H60/((D60*F60)/(D60+2*F60))^(2/3))^2))/2))&gt;0,Z61,((Z61+AA61)/2))</f>
        <v/>
      </c>
      <c r="AC61" s="5">
        <f>IF((((Z61+AA61)/2)+(C61/(D61*((Z61+AA61)/2)))^2/(2*9.81)+B61-(G60+H60^2/(2*9.81))-(A60-A61)*(((DATOS!$B$34*(C61/(D61*((Z61+AA61)/2)))/((D61*((Z61+AA61)/2))/(D61+2*((Z61+AA61)/2)))^(2/3))^2+((DATOS!$B$34*H60/((D60*F60)/(D60+2*F60))^(2/3))^2))/2))&gt;0,((Z61+AA61)/2),AA61)</f>
        <v/>
      </c>
      <c r="AD61" s="5">
        <f>IF((((AB61+AC61)/2)+(C61/(D61*((AB61+AC61)/2)))^2/(2*9.81)+B61-(G60+H60^2/(2*9.81))-(A60-A61)*(((DATOS!$B$34*(C61/(D61*((AB61+AC61)/2)))/((D61*((AB61+AC61)/2))/(D61+2*((AB61+AC61)/2)))^(2/3))^2+((DATOS!$B$34*H60/((D60*F60)/(D60+2*F60))^(2/3))^2))/2))&gt;0,AB61,((AB61+AC61)/2))</f>
        <v/>
      </c>
      <c r="AE61" s="5">
        <f>IF((((AB61+AC61)/2)+(C61/(D61*((AB61+AC61)/2)))^2/(2*9.81)+B61-(G60+H60^2/(2*9.81))-(A60-A61)*(((DATOS!$B$34*(C61/(D61*((AB61+AC61)/2)))/((D61*((AB61+AC61)/2))/(D61+2*((AB61+AC61)/2)))^(2/3))^2+((DATOS!$B$34*H60/((D60*F60)/(D60+2*F60))^(2/3))^2))/2))&gt;0,((AB61+AC61)/2),AC61)</f>
        <v/>
      </c>
      <c r="AF61" s="5">
        <f>IF((((AD61+AE61)/2)+(C61/(D61*((AD61+AE61)/2)))^2/(2*9.81)+B61-(G60+H60^2/(2*9.81))-(A60-A61)*(((DATOS!$B$34*(C61/(D61*((AD61+AE61)/2)))/((D61*((AD61+AE61)/2))/(D61+2*((AD61+AE61)/2)))^(2/3))^2+((DATOS!$B$34*H60/((D60*F60)/(D60+2*F60))^(2/3))^2))/2))&gt;0,AD61,((AD61+AE61)/2))</f>
        <v/>
      </c>
      <c r="AG61" s="5">
        <f>IF((((AD61+AE61)/2)+(C61/(D61*((AD61+AE61)/2)))^2/(2*9.81)+B61-(G60+H60^2/(2*9.81))-(A60-A61)*(((DATOS!$B$34*(C61/(D61*((AD61+AE61)/2)))/((D61*((AD61+AE61)/2))/(D61+2*((AD61+AE61)/2)))^(2/3))^2+((DATOS!$B$34*H60/((D60*F60)/(D60+2*F60))^(2/3))^2))/2))&gt;0,((AD61+AE61)/2),AE61)</f>
        <v/>
      </c>
      <c r="AH61" s="5">
        <f>IF((((AF61+AG61)/2)+(C61/(D61*((AF61+AG61)/2)))^2/(2*9.81)+B61-(G60+H60^2/(2*9.81))-(A60-A61)*(((DATOS!$B$34*(C61/(D61*((AF61+AG61)/2)))/((D61*((AF61+AG61)/2))/(D61+2*((AF61+AG61)/2)))^(2/3))^2+((DATOS!$B$34*H60/((D60*F60)/(D60+2*F60))^(2/3))^2))/2))&gt;0,AF61,((AF61+AG61)/2))</f>
        <v/>
      </c>
      <c r="AI61" s="5">
        <f>IF((((AF61+AG61)/2)+(C61/(D61*((AF61+AG61)/2)))^2/(2*9.81)+B61-(G60+H60^2/(2*9.81))-(A60-A61)*(((DATOS!$B$34*(C61/(D61*((AF61+AG61)/2)))/((D61*((AF61+AG61)/2))/(D61+2*((AF61+AG61)/2)))^(2/3))^2+((DATOS!$B$34*H60/((D60*F60)/(D60+2*F60))^(2/3))^2))/2))&gt;0,((AF61+AG61)/2),AG61)</f>
        <v/>
      </c>
      <c r="AJ61" s="5">
        <f>IF((((AH61+AI61)/2)+(C61/(D61*((AH61+AI61)/2)))^2/(2*9.81)+B61-(G60+H60^2/(2*9.81))-(A60-A61)*(((DATOS!$B$34*(C61/(D61*((AH61+AI61)/2)))/((D61*((AH61+AI61)/2))/(D61+2*((AH61+AI61)/2)))^(2/3))^2+((DATOS!$B$34*H60/((D60*F60)/(D60+2*F60))^(2/3))^2))/2))&gt;0,AH61,((AH61+AI61)/2))</f>
        <v/>
      </c>
      <c r="AK61" s="5">
        <f>IF((((AH61+AI61)/2)+(C61/(D61*((AH61+AI61)/2)))^2/(2*9.81)+B61-(G60+H60^2/(2*9.81))-(A60-A61)*(((DATOS!$B$34*(C61/(D61*((AH61+AI61)/2)))/((D61*((AH61+AI61)/2))/(D61+2*((AH61+AI61)/2)))^(2/3))^2+((DATOS!$B$34*H60/((D60*F60)/(D60+2*F60))^(2/3))^2))/2))&gt;0,((AH61+AI61)/2),AI61)</f>
        <v/>
      </c>
      <c r="AL61" s="5">
        <f>IF((((AJ61+AK61)/2)+(C61/(D61*((AJ61+AK61)/2)))^2/(2*9.81)+B61-(G60+H60^2/(2*9.81))-(A60-A61)*(((DATOS!$B$34*(C61/(D61*((AJ61+AK61)/2)))/((D61*((AJ61+AK61)/2))/(D61+2*((AJ61+AK61)/2)))^(2/3))^2+((DATOS!$B$34*H60/((D60*F60)/(D60+2*F60))^(2/3))^2))/2))&gt;0,AJ61,((AJ61+AK61)/2))</f>
        <v/>
      </c>
      <c r="AM61" s="5">
        <f>IF((((AJ61+AK61)/2)+(C61/(D61*((AJ61+AK61)/2)))^2/(2*9.81)+B61-(G60+H60^2/(2*9.81))-(A60-A61)*(((DATOS!$B$34*(C61/(D61*((AJ61+AK61)/2)))/((D61*((AJ61+AK61)/2))/(D61+2*((AJ61+AK61)/2)))^(2/3))^2+((DATOS!$B$34*H60/((D60*F60)/(D60+2*F60))^(2/3))^2))/2))&gt;0,((AJ61+AK61)/2),AK61)</f>
        <v/>
      </c>
      <c r="AN61" s="5">
        <f>IF((((AL61+AM61)/2)+(C61/(D61*((AL61+AM61)/2)))^2/(2*9.81)+B61-(G60+H60^2/(2*9.81))-(A60-A61)*(((DATOS!$B$34*(C61/(D61*((AL61+AM61)/2)))/((D61*((AL61+AM61)/2))/(D61+2*((AL61+AM61)/2)))^(2/3))^2+((DATOS!$B$34*H60/((D60*F60)/(D60+2*F60))^(2/3))^2))/2))&gt;0,AL61,((AL61+AM61)/2))</f>
        <v/>
      </c>
      <c r="AO61" s="5">
        <f>IF((((AL61+AM61)/2)+(C61/(D61*((AL61+AM61)/2)))^2/(2*9.81)+B61-(G60+H60^2/(2*9.81))-(A60-A61)*(((DATOS!$B$34*(C61/(D61*((AL61+AM61)/2)))/((D61*((AL61+AM61)/2))/(D61+2*((AL61+AM61)/2)))^(2/3))^2+((DATOS!$B$34*H60/((D60*F60)/(D60+2*F60))^(2/3))^2))/2))&gt;0,((AL61+AM61)/2),AM61)</f>
        <v/>
      </c>
      <c r="AP61" s="5">
        <f>IF((((AN61+AO61)/2)+(C61/(D61*((AN61+AO61)/2)))^2/(2*9.81)+B61-(G60+H60^2/(2*9.81))-(A60-A61)*(((DATOS!$B$34*(C61/(D61*((AN61+AO61)/2)))/((D61*((AN61+AO61)/2))/(D61+2*((AN61+AO61)/2)))^(2/3))^2+((DATOS!$B$34*H60/((D60*F60)/(D60+2*F60))^(2/3))^2))/2))&gt;0,AN61,((AN61+AO61)/2))</f>
        <v/>
      </c>
      <c r="AQ61" s="5">
        <f>IF((((AN61+AO61)/2)+(C61/(D61*((AN61+AO61)/2)))^2/(2*9.81)+B61-(G60+H60^2/(2*9.81))-(A60-A61)*(((DATOS!$B$34*(C61/(D61*((AN61+AO61)/2)))/((D61*((AN61+AO61)/2))/(D61+2*((AN61+AO61)/2)))^(2/3))^2+((DATOS!$B$34*H60/((D60*F60)/(D60+2*F60))^(2/3))^2))/2))&gt;0,((AN61+AO61)/2),AO61)</f>
        <v/>
      </c>
      <c r="AR61" s="5">
        <f>IF((((AP61+AQ61)/2)+(C61/(D61*((AP61+AQ61)/2)))^2/(2*9.81)+B61-(G60+H60^2/(2*9.81))-(A60-A61)*(((DATOS!$B$34*(C61/(D61*((AP61+AQ61)/2)))/((D61*((AP61+AQ61)/2))/(D61+2*((AP61+AQ61)/2)))^(2/3))^2+((DATOS!$B$34*H60/((D60*F60)/(D60+2*F60))^(2/3))^2))/2))&gt;0,AP61,((AP61+AQ61)/2))</f>
        <v/>
      </c>
      <c r="AS61" s="5">
        <f>IF((((AP61+AQ61)/2)+(C61/(D61*((AP61+AQ61)/2)))^2/(2*9.81)+B61-(G60+H60^2/(2*9.81))-(A60-A61)*(((DATOS!$B$34*(C61/(D61*((AP61+AQ61)/2)))/((D61*((AP61+AQ61)/2))/(D61+2*((AP61+AQ61)/2)))^(2/3))^2+((DATOS!$B$34*H60/((D60*F60)/(D60+2*F60))^(2/3))^2))/2))&gt;0,((AP61+AQ61)/2),AQ61)</f>
        <v/>
      </c>
      <c r="AT61" s="5">
        <f>IF((((AR61+AS61)/2)+(C61/(D61*((AR61+AS61)/2)))^2/(2*9.81)+B61-(G60+H60^2/(2*9.81))-(A60-A61)*(((DATOS!$B$34*(C61/(D61*((AR61+AS61)/2)))/((D61*((AR61+AS61)/2))/(D61+2*((AR61+AS61)/2)))^(2/3))^2+((DATOS!$B$34*H60/((D60*F60)/(D60+2*F60))^(2/3))^2))/2))&gt;0,AR61,((AR61+AS61)/2))</f>
        <v/>
      </c>
      <c r="AU61" s="5">
        <f>IF((((AR61+AS61)/2)+(C61/(D61*((AR61+AS61)/2)))^2/(2*9.81)+B61-(G60+H60^2/(2*9.81))-(A60-A61)*(((DATOS!$B$34*(C61/(D61*((AR61+AS61)/2)))/((D61*((AR61+AS61)/2))/(D61+2*((AR61+AS61)/2)))^(2/3))^2+((DATOS!$B$34*H60/((D60*F60)/(D60+2*F60))^(2/3))^2))/2))&gt;0,((AR61+AS61)/2),AS61)</f>
        <v/>
      </c>
      <c r="AV61" s="5">
        <f>IF((((AT61+AU61)/2)+(C61/(D61*((AT61+AU61)/2)))^2/(2*9.81)+B61-(G60+H60^2/(2*9.81))-(A60-A61)*(((DATOS!$B$34*(C61/(D61*((AT61+AU61)/2)))/((D61*((AT61+AU61)/2))/(D61+2*((AT61+AU61)/2)))^(2/3))^2+((DATOS!$B$34*H60/((D60*F60)/(D60+2*F60))^(2/3))^2))/2))&gt;0,AT61,((AT61+AU61)/2))</f>
        <v/>
      </c>
      <c r="AW61" s="5">
        <f>IF((((AT61+AU61)/2)+(C61/(D61*((AT61+AU61)/2)))^2/(2*9.81)+B61-(G60+H60^2/(2*9.81))-(A60-A61)*(((DATOS!$B$34*(C61/(D61*((AT61+AU61)/2)))/((D61*((AT61+AU61)/2))/(D61+2*((AT61+AU61)/2)))^(2/3))^2+((DATOS!$B$34*H60/((D60*F60)/(D60+2*F60))^(2/3))^2))/2))&gt;0,((AT61+AU61)/2),AU61)</f>
        <v/>
      </c>
      <c r="AX61" s="5">
        <f>IF((((AV61+AW61)/2)+(C61/(D61*((AV61+AW61)/2)))^2/(2*9.81)+B61-(G60+H60^2/(2*9.81))-(A60-A61)*(((DATOS!$B$34*(C61/(D61*((AV61+AW61)/2)))/((D61*((AV61+AW61)/2))/(D61+2*((AV61+AW61)/2)))^(2/3))^2+((DATOS!$B$34*H60/((D60*F60)/(D60+2*F60))^(2/3))^2))/2))&gt;0,AV61,((AV61+AW61)/2))</f>
        <v/>
      </c>
      <c r="AY61" s="5">
        <f>IF((((AV61+AW61)/2)+(C61/(D61*((AV61+AW61)/2)))^2/(2*9.81)+B61-(G60+H60^2/(2*9.81))-(A60-A61)*(((DATOS!$B$34*(C61/(D61*((AV61+AW61)/2)))/((D61*((AV61+AW61)/2))/(D61+2*((AV61+AW61)/2)))^(2/3))^2+((DATOS!$B$34*H60/((D60*F60)/(D60+2*F60))^(2/3))^2))/2))&gt;0,((AV61+AW61)/2),AW61)</f>
        <v/>
      </c>
      <c r="AZ61" s="5">
        <f>IF((((AX61+AY61)/2)+(C61/(D61*((AX61+AY61)/2)))^2/(2*9.81)+B61-(G60+H60^2/(2*9.81))-(A60-A61)*(((DATOS!$B$34*(C61/(D61*((AX61+AY61)/2)))/((D61*((AX61+AY61)/2))/(D61+2*((AX61+AY61)/2)))^(2/3))^2+((DATOS!$B$34*H60/((D60*F60)/(D60+2*F60))^(2/3))^2))/2))&gt;0,AX61,((AX61+AY61)/2))</f>
        <v/>
      </c>
      <c r="BA61" s="5">
        <f>IF((((AX61+AY61)/2)+(C61/(D61*((AX61+AY61)/2)))^2/(2*9.81)+B61-(G60+H60^2/(2*9.81))-(A60-A61)*(((DATOS!$B$34*(C61/(D61*((AX61+AY61)/2)))/((D61*((AX61+AY61)/2))/(D61+2*((AX61+AY61)/2)))^(2/3))^2+((DATOS!$B$34*H60/((D60*F60)/(D60+2*F60))^(2/3))^2))/2))&gt;0,((AX61+AY61)/2),AY61)</f>
        <v/>
      </c>
      <c r="BB61" s="5">
        <f>IF((((AZ61+BA61)/2)+(C61/(D61*((AZ61+BA61)/2)))^2/(2*9.81)+B61-(G60+H60^2/(2*9.81))-(A60-A61)*(((DATOS!$B$34*(C61/(D61*((AZ61+BA61)/2)))/((D61*((AZ61+BA61)/2))/(D61+2*((AZ61+BA61)/2)))^(2/3))^2+((DATOS!$B$34*H60/((D60*F60)/(D60+2*F60))^(2/3))^2))/2))&gt;0,AZ61,((AZ61+BA61)/2))</f>
        <v/>
      </c>
      <c r="BC61" s="5">
        <f>IF((((AZ61+BA61)/2)+(C61/(D61*((AZ61+BA61)/2)))^2/(2*9.81)+B61-(G60+H60^2/(2*9.81))-(A60-A61)*(((DATOS!$B$34*(C61/(D61*((AZ61+BA61)/2)))/((D61*((AZ61+BA61)/2))/(D61+2*((AZ61+BA61)/2)))^(2/3))^2+((DATOS!$B$34*H60/((D60*F60)/(D60+2*F60))^(2/3))^2))/2))&gt;0,((AZ61+BA61)/2),BA61)</f>
        <v/>
      </c>
      <c r="BD61" s="5">
        <f>IF((((BB61+BC61)/2)+(C61/(D61*((BB61+BC61)/2)))^2/(2*9.81)+B61-(G60+H60^2/(2*9.81))-(A60-A61)*(((DATOS!$B$34*(C61/(D61*((BB61+BC61)/2)))/((D61*((BB61+BC61)/2))/(D61+2*((BB61+BC61)/2)))^(2/3))^2+((DATOS!$B$34*H60/((D60*F60)/(D60+2*F60))^(2/3))^2))/2))&gt;0,BB61,((BB61+BC61)/2))</f>
        <v/>
      </c>
      <c r="BE61" s="5">
        <f>IF((((BB61+BC61)/2)+(C61/(D61*((BB61+BC61)/2)))^2/(2*9.81)+B61-(G60+H60^2/(2*9.81))-(A60-A61)*(((DATOS!$B$34*(C61/(D61*((BB61+BC61)/2)))/((D61*((BB61+BC61)/2))/(D61+2*((BB61+BC61)/2)))^(2/3))^2+((DATOS!$B$34*H60/((D60*F60)/(D60+2*F60))^(2/3))^2))/2))&gt;0,((BB61+BC61)/2),BC61)</f>
        <v/>
      </c>
      <c r="BF61" s="5">
        <f>IF((((BD61+BE61)/2)+(C61/(D61*((BD61+BE61)/2)))^2/(2*9.81)+B61-(G60+H60^2/(2*9.81))-(A60-A61)*(((DATOS!$B$34*(C61/(D61*((BD61+BE61)/2)))/((D61*((BD61+BE61)/2))/(D61+2*((BD61+BE61)/2)))^(2/3))^2+((DATOS!$B$34*H60/((D60*F60)/(D60+2*F60))^(2/3))^2))/2))&gt;0,BD61,((BD61+BE61)/2))</f>
        <v/>
      </c>
      <c r="BG61" s="5">
        <f>IF((((BD61+BE61)/2)+(C61/(D61*((BD61+BE61)/2)))^2/(2*9.81)+B61-(G60+H60^2/(2*9.81))-(A60-A61)*(((DATOS!$B$34*(C61/(D61*((BD61+BE61)/2)))/((D61*((BD61+BE61)/2))/(D61+2*((BD61+BE61)/2)))^(2/3))^2+((DATOS!$B$34*H60/((D60*F60)/(D60+2*F60))^(2/3))^2))/2))&gt;0,((BD61+BE61)/2),BE61)</f>
        <v/>
      </c>
      <c r="BH61" s="5">
        <f>IF((((BF61+BG61)/2)+(C61/(D61*((BF61+BG61)/2)))^2/(2*9.81)+B61-(G60+H60^2/(2*9.81))-(A60-A61)*(((DATOS!$B$34*(C61/(D61*((BF61+BG61)/2)))/((D61*((BF61+BG61)/2))/(D61+2*((BF61+BG61)/2)))^(2/3))^2+((DATOS!$B$34*H60/((D60*F60)/(D60+2*F60))^(2/3))^2))/2))&gt;0,BF61,((BF61+BG61)/2))</f>
        <v/>
      </c>
      <c r="BI61" s="5">
        <f>IF((((BF61+BG61)/2)+(C61/(D61*((BF61+BG61)/2)))^2/(2*9.81)+B61-(G60+H60^2/(2*9.81))-(A60-A61)*(((DATOS!$B$34*(C61/(D61*((BF61+BG61)/2)))/((D61*((BF61+BG61)/2))/(D61+2*((BF61+BG61)/2)))^(2/3))^2+((DATOS!$B$34*H60/((D60*F60)/(D60+2*F60))^(2/3))^2))/2))&gt;0,((BF61+BG61)/2),BG61)</f>
        <v/>
      </c>
      <c r="BJ61" s="5">
        <f>IF((((BH61+BI61)/2)+(C61/(D61*((BH61+BI61)/2)))^2/(2*9.81)+B61-(G60+H60^2/(2*9.81))-(A60-A61)*(((DATOS!$B$34*(C61/(D61*((BH61+BI61)/2)))/((D61*((BH61+BI61)/2))/(D61+2*((BH61+BI61)/2)))^(2/3))^2+((DATOS!$B$34*H60/((D60*F60)/(D60+2*F60))^(2/3))^2))/2))&gt;0,BH61,((BH61+BI61)/2))</f>
        <v/>
      </c>
      <c r="BK61" s="5">
        <f>IF((((BH61+BI61)/2)+(C61/(D61*((BH61+BI61)/2)))^2/(2*9.81)+B61-(G60+H60^2/(2*9.81))-(A60-A61)*(((DATOS!$B$34*(C61/(D61*((BH61+BI61)/2)))/((D61*((BH61+BI61)/2))/(D61+2*((BH61+BI61)/2)))^(2/3))^2+((DATOS!$B$34*H60/((D60*F60)/(D60+2*F60))^(2/3))^2))/2))&gt;0,((BH61+BI61)/2),BI61)</f>
        <v/>
      </c>
      <c r="BL61" s="5">
        <f>IF((((BJ61+BK61)/2)+(C61/(D61*((BJ61+BK61)/2)))^2/(2*9.81)+B61-(G60+H60^2/(2*9.81))-(A60-A61)*(((DATOS!$B$34*(C61/(D61*((BJ61+BK61)/2)))/((D61*((BJ61+BK61)/2))/(D61+2*((BJ61+BK61)/2)))^(2/3))^2+((DATOS!$B$34*H60/((D60*F60)/(D60+2*F60))^(2/3))^2))/2))&gt;0,BJ61,((BJ61+BK61)/2))</f>
        <v/>
      </c>
      <c r="BM61" s="5">
        <f>IF((((BJ61+BK61)/2)+(C61/(D61*((BJ61+BK61)/2)))^2/(2*9.81)+B61-(G60+H60^2/(2*9.81))-(A60-A61)*(((DATOS!$B$34*(C61/(D61*((BJ61+BK61)/2)))/((D61*((BJ61+BK61)/2))/(D61+2*((BJ61+BK61)/2)))^(2/3))^2+((DATOS!$B$34*H60/((D60*F60)/(D60+2*F60))^(2/3))^2))/2))&gt;0,((BJ61+BK61)/2),BK61)</f>
        <v/>
      </c>
      <c r="BN61" s="5">
        <f>IF((((BL61+BM61)/2)+(C61/(D61*((BL61+BM61)/2)))^2/(2*9.81)+B61-(G60+H60^2/(2*9.81))-(A60-A61)*(((DATOS!$B$34*(C61/(D61*((BL61+BM61)/2)))/((D61*((BL61+BM61)/2))/(D61+2*((BL61+BM61)/2)))^(2/3))^2+((DATOS!$B$34*H60/((D60*F60)/(D60+2*F60))^(2/3))^2))/2))&gt;0,BL61,((BL61+BM61)/2))</f>
        <v/>
      </c>
      <c r="BO61" s="5">
        <f>IF((((BL61+BM61)/2)+(C61/(D61*((BL61+BM61)/2)))^2/(2*9.81)+B61-(G60+H60^2/(2*9.81))-(A60-A61)*(((DATOS!$B$34*(C61/(D61*((BL61+BM61)/2)))/((D61*((BL61+BM61)/2))/(D61+2*((BL61+BM61)/2)))^(2/3))^2+((DATOS!$B$34*H60/((D60*F60)/(D60+2*F60))^(2/3))^2))/2))&gt;0,((BL61+BM61)/2),BM61)</f>
        <v/>
      </c>
      <c r="BP61" s="5">
        <f>IF((((BN61+BO61)/2)+(C61/(D61*((BN61+BO61)/2)))^2/(2*9.81)+B61-(G60+H60^2/(2*9.81))-(A60-A61)*(((DATOS!$B$34*(C61/(D61*((BN61+BO61)/2)))/((D61*((BN61+BO61)/2))/(D61+2*((BN61+BO61)/2)))^(2/3))^2+((DATOS!$B$34*H60/((D60*F60)/(D60+2*F60))^(2/3))^2))/2))&gt;0,BN61,((BN61+BO61)/2))</f>
        <v/>
      </c>
      <c r="BQ61" s="5">
        <f>IF((((BN61+BO61)/2)+(C61/(D61*((BN61+BO61)/2)))^2/(2*9.81)+B61-(G60+H60^2/(2*9.81))-(A60-A61)*(((DATOS!$B$34*(C61/(D61*((BN61+BO61)/2)))/((D61*((BN61+BO61)/2))/(D61+2*((BN61+BO61)/2)))^(2/3))^2+((DATOS!$B$34*H60/((D60*F60)/(D60+2*F60))^(2/3))^2))/2))&gt;0,((BN61+BO61)/2),BO61)</f>
        <v/>
      </c>
      <c r="BR61" s="5">
        <f>IF((((BP61+BQ61)/2)+(C61/(D61*((BP61+BQ61)/2)))^2/(2*9.81)+B61-(G60+H60^2/(2*9.81))-(A60-A61)*(((DATOS!$B$34*(C61/(D61*((BP61+BQ61)/2)))/((D61*((BP61+BQ61)/2))/(D61+2*((BP61+BQ61)/2)))^(2/3))^2+((DATOS!$B$34*H60/((D60*F60)/(D60+2*F60))^(2/3))^2))/2))&gt;0,BP61,((BP61+BQ61)/2))</f>
        <v/>
      </c>
      <c r="BS61" s="5">
        <f>IF((((BP61+BQ61)/2)+(C61/(D61*((BP61+BQ61)/2)))^2/(2*9.81)+B61-(G60+H60^2/(2*9.81))-(A60-A61)*(((DATOS!$B$34*(C61/(D61*((BP61+BQ61)/2)))/((D61*((BP61+BQ61)/2))/(D61+2*((BP61+BQ61)/2)))^(2/3))^2+((DATOS!$B$34*H60/((D60*F60)/(D60+2*F60))^(2/3))^2))/2))&gt;0,((BP61+BQ61)/2),BQ61)</f>
        <v/>
      </c>
      <c r="BT61" s="5">
        <f>IF((((BR61+BS61)/2)+(C61/(D61*((BR61+BS61)/2)))^2/(2*9.81)+B61-(G60+H60^2/(2*9.81))-(A60-A61)*(((DATOS!$B$34*(C61/(D61*((BR61+BS61)/2)))/((D61*((BR61+BS61)/2))/(D61+2*((BR61+BS61)/2)))^(2/3))^2+((DATOS!$B$34*H60/((D60*F60)/(D60+2*F60))^(2/3))^2))/2))&gt;0,BR61,((BR61+BS61)/2))</f>
        <v/>
      </c>
      <c r="BU61" s="5">
        <f>IF((((BR61+BS61)/2)+(C61/(D61*((BR61+BS61)/2)))^2/(2*9.81)+B61-(G60+H60^2/(2*9.81))-(A60-A61)*(((DATOS!$B$34*(C61/(D61*((BR61+BS61)/2)))/((D61*((BR61+BS61)/2))/(D61+2*((BR61+BS61)/2)))^(2/3))^2+((DATOS!$B$34*H60/((D60*F60)/(D60+2*F60))^(2/3))^2))/2))&gt;0,((BR61+BS61)/2),BS61)</f>
        <v/>
      </c>
      <c r="BV61" s="5">
        <f>IF((((BT61+BU61)/2)+(C61/(D61*((BT61+BU61)/2)))^2/(2*9.81)+B61-(G60+H60^2/(2*9.81))-(A60-A61)*(((DATOS!$B$34*(C61/(D61*((BT61+BU61)/2)))/((D61*((BT61+BU61)/2))/(D61+2*((BT61+BU61)/2)))^(2/3))^2+((DATOS!$B$34*H60/((D60*F60)/(D60+2*F60))^(2/3))^2))/2))&gt;0,BT61,((BT61+BU61)/2))</f>
        <v/>
      </c>
      <c r="BW61" s="5">
        <f>IF((((BT61+BU61)/2)+(C61/(D61*((BT61+BU61)/2)))^2/(2*9.81)+B61-(G60+H60^2/(2*9.81))-(A60-A61)*(((DATOS!$B$34*(C61/(D61*((BT61+BU61)/2)))/((D61*((BT61+BU61)/2))/(D61+2*((BT61+BU61)/2)))^(2/3))^2+((DATOS!$B$34*H60/((D60*F60)/(D60+2*F60))^(2/3))^2))/2))&gt;0,((BT61+BU61)/2),BU61)</f>
        <v/>
      </c>
    </row>
    <row r="62">
      <c r="A62" s="13" t="n">
        <v>26</v>
      </c>
      <c r="B62" s="16">
        <f>DATOS!$B$22-DATOS!$B$23*A62</f>
        <v/>
      </c>
      <c r="C62" s="24">
        <f>CAUDALES!$B$13</f>
        <v/>
      </c>
      <c r="D62" s="17">
        <f>DATOS!$B$17</f>
        <v/>
      </c>
      <c r="E62" s="16">
        <f>(C62^2/(9.81*D62^2))^(1/3)</f>
        <v/>
      </c>
      <c r="F62" s="16">
        <f>(BV62+BW62)/2</f>
        <v/>
      </c>
      <c r="G62" s="16">
        <f>B62+F62</f>
        <v/>
      </c>
      <c r="H62" s="19">
        <f>C62/(D62*F62)</f>
        <v/>
      </c>
      <c r="I62" s="19">
        <f>H62/SQRT(9.81*F62)</f>
        <v/>
      </c>
      <c r="J62" s="16">
        <f>DATOS!$B$29-IF(AND(A62&gt;=DATOS!$B$30,A62&lt;DATOS!$B$31),DATOS!$B$21,DATOS!$B$20)</f>
        <v/>
      </c>
      <c r="K62" s="19">
        <f>J62-B62</f>
        <v/>
      </c>
      <c r="L62" s="19">
        <f>F62/K62</f>
        <v/>
      </c>
      <c r="M62" s="16">
        <f>J62-G62</f>
        <v/>
      </c>
      <c r="N62" s="5">
        <f>IF(AND(L62&lt;=DATOS!$B$36,M62&gt;=DATOS!$B$37,I62&lt;=1),"CUMPLE","NO CUMPLE")</f>
        <v/>
      </c>
      <c r="O62" s="5">
        <f>IF(AND(A62&gt;=DATOS!$B$30,A62&lt;DATOS!$B$31),"cruce de camiones",IF(AND(A62&gt;=DATOS!$B$32,A62&lt;DATOS!$B$33),"cruce de motos","tramo normal"))</f>
        <v/>
      </c>
      <c r="P62" s="5">
        <f>E62*1.001</f>
        <v/>
      </c>
      <c r="Q62" s="13" t="n">
        <v>3</v>
      </c>
      <c r="R62" s="5">
        <f>IF((((P62+Q62)/2)+(C62/(D62*((P62+Q62)/2)))^2/(2*9.81)+B62-(G61+H61^2/(2*9.81))-(A61-A62)*(((DATOS!$B$34*(C62/(D62*((P62+Q62)/2)))/((D62*((P62+Q62)/2))/(D62+2*((P62+Q62)/2)))^(2/3))^2+((DATOS!$B$34*H61/((D61*F61)/(D61+2*F61))^(2/3))^2))/2))&gt;0,P62,((P62+Q62)/2))</f>
        <v/>
      </c>
      <c r="S62" s="5">
        <f>IF((((P62+Q62)/2)+(C62/(D62*((P62+Q62)/2)))^2/(2*9.81)+B62-(G61+H61^2/(2*9.81))-(A61-A62)*(((DATOS!$B$34*(C62/(D62*((P62+Q62)/2)))/((D62*((P62+Q62)/2))/(D62+2*((P62+Q62)/2)))^(2/3))^2+((DATOS!$B$34*H61/((D61*F61)/(D61+2*F61))^(2/3))^2))/2))&gt;0,((P62+Q62)/2),Q62)</f>
        <v/>
      </c>
      <c r="T62" s="5">
        <f>IF((((R62+S62)/2)+(C62/(D62*((R62+S62)/2)))^2/(2*9.81)+B62-(G61+H61^2/(2*9.81))-(A61-A62)*(((DATOS!$B$34*(C62/(D62*((R62+S62)/2)))/((D62*((R62+S62)/2))/(D62+2*((R62+S62)/2)))^(2/3))^2+((DATOS!$B$34*H61/((D61*F61)/(D61+2*F61))^(2/3))^2))/2))&gt;0,R62,((R62+S62)/2))</f>
        <v/>
      </c>
      <c r="U62" s="5">
        <f>IF((((R62+S62)/2)+(C62/(D62*((R62+S62)/2)))^2/(2*9.81)+B62-(G61+H61^2/(2*9.81))-(A61-A62)*(((DATOS!$B$34*(C62/(D62*((R62+S62)/2)))/((D62*((R62+S62)/2))/(D62+2*((R62+S62)/2)))^(2/3))^2+((DATOS!$B$34*H61/((D61*F61)/(D61+2*F61))^(2/3))^2))/2))&gt;0,((R62+S62)/2),S62)</f>
        <v/>
      </c>
      <c r="V62" s="5">
        <f>IF((((T62+U62)/2)+(C62/(D62*((T62+U62)/2)))^2/(2*9.81)+B62-(G61+H61^2/(2*9.81))-(A61-A62)*(((DATOS!$B$34*(C62/(D62*((T62+U62)/2)))/((D62*((T62+U62)/2))/(D62+2*((T62+U62)/2)))^(2/3))^2+((DATOS!$B$34*H61/((D61*F61)/(D61+2*F61))^(2/3))^2))/2))&gt;0,T62,((T62+U62)/2))</f>
        <v/>
      </c>
      <c r="W62" s="5">
        <f>IF((((T62+U62)/2)+(C62/(D62*((T62+U62)/2)))^2/(2*9.81)+B62-(G61+H61^2/(2*9.81))-(A61-A62)*(((DATOS!$B$34*(C62/(D62*((T62+U62)/2)))/((D62*((T62+U62)/2))/(D62+2*((T62+U62)/2)))^(2/3))^2+((DATOS!$B$34*H61/((D61*F61)/(D61+2*F61))^(2/3))^2))/2))&gt;0,((T62+U62)/2),U62)</f>
        <v/>
      </c>
      <c r="X62" s="5">
        <f>IF((((V62+W62)/2)+(C62/(D62*((V62+W62)/2)))^2/(2*9.81)+B62-(G61+H61^2/(2*9.81))-(A61-A62)*(((DATOS!$B$34*(C62/(D62*((V62+W62)/2)))/((D62*((V62+W62)/2))/(D62+2*((V62+W62)/2)))^(2/3))^2+((DATOS!$B$34*H61/((D61*F61)/(D61+2*F61))^(2/3))^2))/2))&gt;0,V62,((V62+W62)/2))</f>
        <v/>
      </c>
      <c r="Y62" s="5">
        <f>IF((((V62+W62)/2)+(C62/(D62*((V62+W62)/2)))^2/(2*9.81)+B62-(G61+H61^2/(2*9.81))-(A61-A62)*(((DATOS!$B$34*(C62/(D62*((V62+W62)/2)))/((D62*((V62+W62)/2))/(D62+2*((V62+W62)/2)))^(2/3))^2+((DATOS!$B$34*H61/((D61*F61)/(D61+2*F61))^(2/3))^2))/2))&gt;0,((V62+W62)/2),W62)</f>
        <v/>
      </c>
      <c r="Z62" s="5">
        <f>IF((((X62+Y62)/2)+(C62/(D62*((X62+Y62)/2)))^2/(2*9.81)+B62-(G61+H61^2/(2*9.81))-(A61-A62)*(((DATOS!$B$34*(C62/(D62*((X62+Y62)/2)))/((D62*((X62+Y62)/2))/(D62+2*((X62+Y62)/2)))^(2/3))^2+((DATOS!$B$34*H61/((D61*F61)/(D61+2*F61))^(2/3))^2))/2))&gt;0,X62,((X62+Y62)/2))</f>
        <v/>
      </c>
      <c r="AA62" s="5">
        <f>IF((((X62+Y62)/2)+(C62/(D62*((X62+Y62)/2)))^2/(2*9.81)+B62-(G61+H61^2/(2*9.81))-(A61-A62)*(((DATOS!$B$34*(C62/(D62*((X62+Y62)/2)))/((D62*((X62+Y62)/2))/(D62+2*((X62+Y62)/2)))^(2/3))^2+((DATOS!$B$34*H61/((D61*F61)/(D61+2*F61))^(2/3))^2))/2))&gt;0,((X62+Y62)/2),Y62)</f>
        <v/>
      </c>
      <c r="AB62" s="5">
        <f>IF((((Z62+AA62)/2)+(C62/(D62*((Z62+AA62)/2)))^2/(2*9.81)+B62-(G61+H61^2/(2*9.81))-(A61-A62)*(((DATOS!$B$34*(C62/(D62*((Z62+AA62)/2)))/((D62*((Z62+AA62)/2))/(D62+2*((Z62+AA62)/2)))^(2/3))^2+((DATOS!$B$34*H61/((D61*F61)/(D61+2*F61))^(2/3))^2))/2))&gt;0,Z62,((Z62+AA62)/2))</f>
        <v/>
      </c>
      <c r="AC62" s="5">
        <f>IF((((Z62+AA62)/2)+(C62/(D62*((Z62+AA62)/2)))^2/(2*9.81)+B62-(G61+H61^2/(2*9.81))-(A61-A62)*(((DATOS!$B$34*(C62/(D62*((Z62+AA62)/2)))/((D62*((Z62+AA62)/2))/(D62+2*((Z62+AA62)/2)))^(2/3))^2+((DATOS!$B$34*H61/((D61*F61)/(D61+2*F61))^(2/3))^2))/2))&gt;0,((Z62+AA62)/2),AA62)</f>
        <v/>
      </c>
      <c r="AD62" s="5">
        <f>IF((((AB62+AC62)/2)+(C62/(D62*((AB62+AC62)/2)))^2/(2*9.81)+B62-(G61+H61^2/(2*9.81))-(A61-A62)*(((DATOS!$B$34*(C62/(D62*((AB62+AC62)/2)))/((D62*((AB62+AC62)/2))/(D62+2*((AB62+AC62)/2)))^(2/3))^2+((DATOS!$B$34*H61/((D61*F61)/(D61+2*F61))^(2/3))^2))/2))&gt;0,AB62,((AB62+AC62)/2))</f>
        <v/>
      </c>
      <c r="AE62" s="5">
        <f>IF((((AB62+AC62)/2)+(C62/(D62*((AB62+AC62)/2)))^2/(2*9.81)+B62-(G61+H61^2/(2*9.81))-(A61-A62)*(((DATOS!$B$34*(C62/(D62*((AB62+AC62)/2)))/((D62*((AB62+AC62)/2))/(D62+2*((AB62+AC62)/2)))^(2/3))^2+((DATOS!$B$34*H61/((D61*F61)/(D61+2*F61))^(2/3))^2))/2))&gt;0,((AB62+AC62)/2),AC62)</f>
        <v/>
      </c>
      <c r="AF62" s="5">
        <f>IF((((AD62+AE62)/2)+(C62/(D62*((AD62+AE62)/2)))^2/(2*9.81)+B62-(G61+H61^2/(2*9.81))-(A61-A62)*(((DATOS!$B$34*(C62/(D62*((AD62+AE62)/2)))/((D62*((AD62+AE62)/2))/(D62+2*((AD62+AE62)/2)))^(2/3))^2+((DATOS!$B$34*H61/((D61*F61)/(D61+2*F61))^(2/3))^2))/2))&gt;0,AD62,((AD62+AE62)/2))</f>
        <v/>
      </c>
      <c r="AG62" s="5">
        <f>IF((((AD62+AE62)/2)+(C62/(D62*((AD62+AE62)/2)))^2/(2*9.81)+B62-(G61+H61^2/(2*9.81))-(A61-A62)*(((DATOS!$B$34*(C62/(D62*((AD62+AE62)/2)))/((D62*((AD62+AE62)/2))/(D62+2*((AD62+AE62)/2)))^(2/3))^2+((DATOS!$B$34*H61/((D61*F61)/(D61+2*F61))^(2/3))^2))/2))&gt;0,((AD62+AE62)/2),AE62)</f>
        <v/>
      </c>
      <c r="AH62" s="5">
        <f>IF((((AF62+AG62)/2)+(C62/(D62*((AF62+AG62)/2)))^2/(2*9.81)+B62-(G61+H61^2/(2*9.81))-(A61-A62)*(((DATOS!$B$34*(C62/(D62*((AF62+AG62)/2)))/((D62*((AF62+AG62)/2))/(D62+2*((AF62+AG62)/2)))^(2/3))^2+((DATOS!$B$34*H61/((D61*F61)/(D61+2*F61))^(2/3))^2))/2))&gt;0,AF62,((AF62+AG62)/2))</f>
        <v/>
      </c>
      <c r="AI62" s="5">
        <f>IF((((AF62+AG62)/2)+(C62/(D62*((AF62+AG62)/2)))^2/(2*9.81)+B62-(G61+H61^2/(2*9.81))-(A61-A62)*(((DATOS!$B$34*(C62/(D62*((AF62+AG62)/2)))/((D62*((AF62+AG62)/2))/(D62+2*((AF62+AG62)/2)))^(2/3))^2+((DATOS!$B$34*H61/((D61*F61)/(D61+2*F61))^(2/3))^2))/2))&gt;0,((AF62+AG62)/2),AG62)</f>
        <v/>
      </c>
      <c r="AJ62" s="5">
        <f>IF((((AH62+AI62)/2)+(C62/(D62*((AH62+AI62)/2)))^2/(2*9.81)+B62-(G61+H61^2/(2*9.81))-(A61-A62)*(((DATOS!$B$34*(C62/(D62*((AH62+AI62)/2)))/((D62*((AH62+AI62)/2))/(D62+2*((AH62+AI62)/2)))^(2/3))^2+((DATOS!$B$34*H61/((D61*F61)/(D61+2*F61))^(2/3))^2))/2))&gt;0,AH62,((AH62+AI62)/2))</f>
        <v/>
      </c>
      <c r="AK62" s="5">
        <f>IF((((AH62+AI62)/2)+(C62/(D62*((AH62+AI62)/2)))^2/(2*9.81)+B62-(G61+H61^2/(2*9.81))-(A61-A62)*(((DATOS!$B$34*(C62/(D62*((AH62+AI62)/2)))/((D62*((AH62+AI62)/2))/(D62+2*((AH62+AI62)/2)))^(2/3))^2+((DATOS!$B$34*H61/((D61*F61)/(D61+2*F61))^(2/3))^2))/2))&gt;0,((AH62+AI62)/2),AI62)</f>
        <v/>
      </c>
      <c r="AL62" s="5">
        <f>IF((((AJ62+AK62)/2)+(C62/(D62*((AJ62+AK62)/2)))^2/(2*9.81)+B62-(G61+H61^2/(2*9.81))-(A61-A62)*(((DATOS!$B$34*(C62/(D62*((AJ62+AK62)/2)))/((D62*((AJ62+AK62)/2))/(D62+2*((AJ62+AK62)/2)))^(2/3))^2+((DATOS!$B$34*H61/((D61*F61)/(D61+2*F61))^(2/3))^2))/2))&gt;0,AJ62,((AJ62+AK62)/2))</f>
        <v/>
      </c>
      <c r="AM62" s="5">
        <f>IF((((AJ62+AK62)/2)+(C62/(D62*((AJ62+AK62)/2)))^2/(2*9.81)+B62-(G61+H61^2/(2*9.81))-(A61-A62)*(((DATOS!$B$34*(C62/(D62*((AJ62+AK62)/2)))/((D62*((AJ62+AK62)/2))/(D62+2*((AJ62+AK62)/2)))^(2/3))^2+((DATOS!$B$34*H61/((D61*F61)/(D61+2*F61))^(2/3))^2))/2))&gt;0,((AJ62+AK62)/2),AK62)</f>
        <v/>
      </c>
      <c r="AN62" s="5">
        <f>IF((((AL62+AM62)/2)+(C62/(D62*((AL62+AM62)/2)))^2/(2*9.81)+B62-(G61+H61^2/(2*9.81))-(A61-A62)*(((DATOS!$B$34*(C62/(D62*((AL62+AM62)/2)))/((D62*((AL62+AM62)/2))/(D62+2*((AL62+AM62)/2)))^(2/3))^2+((DATOS!$B$34*H61/((D61*F61)/(D61+2*F61))^(2/3))^2))/2))&gt;0,AL62,((AL62+AM62)/2))</f>
        <v/>
      </c>
      <c r="AO62" s="5">
        <f>IF((((AL62+AM62)/2)+(C62/(D62*((AL62+AM62)/2)))^2/(2*9.81)+B62-(G61+H61^2/(2*9.81))-(A61-A62)*(((DATOS!$B$34*(C62/(D62*((AL62+AM62)/2)))/((D62*((AL62+AM62)/2))/(D62+2*((AL62+AM62)/2)))^(2/3))^2+((DATOS!$B$34*H61/((D61*F61)/(D61+2*F61))^(2/3))^2))/2))&gt;0,((AL62+AM62)/2),AM62)</f>
        <v/>
      </c>
      <c r="AP62" s="5">
        <f>IF((((AN62+AO62)/2)+(C62/(D62*((AN62+AO62)/2)))^2/(2*9.81)+B62-(G61+H61^2/(2*9.81))-(A61-A62)*(((DATOS!$B$34*(C62/(D62*((AN62+AO62)/2)))/((D62*((AN62+AO62)/2))/(D62+2*((AN62+AO62)/2)))^(2/3))^2+((DATOS!$B$34*H61/((D61*F61)/(D61+2*F61))^(2/3))^2))/2))&gt;0,AN62,((AN62+AO62)/2))</f>
        <v/>
      </c>
      <c r="AQ62" s="5">
        <f>IF((((AN62+AO62)/2)+(C62/(D62*((AN62+AO62)/2)))^2/(2*9.81)+B62-(G61+H61^2/(2*9.81))-(A61-A62)*(((DATOS!$B$34*(C62/(D62*((AN62+AO62)/2)))/((D62*((AN62+AO62)/2))/(D62+2*((AN62+AO62)/2)))^(2/3))^2+((DATOS!$B$34*H61/((D61*F61)/(D61+2*F61))^(2/3))^2))/2))&gt;0,((AN62+AO62)/2),AO62)</f>
        <v/>
      </c>
      <c r="AR62" s="5">
        <f>IF((((AP62+AQ62)/2)+(C62/(D62*((AP62+AQ62)/2)))^2/(2*9.81)+B62-(G61+H61^2/(2*9.81))-(A61-A62)*(((DATOS!$B$34*(C62/(D62*((AP62+AQ62)/2)))/((D62*((AP62+AQ62)/2))/(D62+2*((AP62+AQ62)/2)))^(2/3))^2+((DATOS!$B$34*H61/((D61*F61)/(D61+2*F61))^(2/3))^2))/2))&gt;0,AP62,((AP62+AQ62)/2))</f>
        <v/>
      </c>
      <c r="AS62" s="5">
        <f>IF((((AP62+AQ62)/2)+(C62/(D62*((AP62+AQ62)/2)))^2/(2*9.81)+B62-(G61+H61^2/(2*9.81))-(A61-A62)*(((DATOS!$B$34*(C62/(D62*((AP62+AQ62)/2)))/((D62*((AP62+AQ62)/2))/(D62+2*((AP62+AQ62)/2)))^(2/3))^2+((DATOS!$B$34*H61/((D61*F61)/(D61+2*F61))^(2/3))^2))/2))&gt;0,((AP62+AQ62)/2),AQ62)</f>
        <v/>
      </c>
      <c r="AT62" s="5">
        <f>IF((((AR62+AS62)/2)+(C62/(D62*((AR62+AS62)/2)))^2/(2*9.81)+B62-(G61+H61^2/(2*9.81))-(A61-A62)*(((DATOS!$B$34*(C62/(D62*((AR62+AS62)/2)))/((D62*((AR62+AS62)/2))/(D62+2*((AR62+AS62)/2)))^(2/3))^2+((DATOS!$B$34*H61/((D61*F61)/(D61+2*F61))^(2/3))^2))/2))&gt;0,AR62,((AR62+AS62)/2))</f>
        <v/>
      </c>
      <c r="AU62" s="5">
        <f>IF((((AR62+AS62)/2)+(C62/(D62*((AR62+AS62)/2)))^2/(2*9.81)+B62-(G61+H61^2/(2*9.81))-(A61-A62)*(((DATOS!$B$34*(C62/(D62*((AR62+AS62)/2)))/((D62*((AR62+AS62)/2))/(D62+2*((AR62+AS62)/2)))^(2/3))^2+((DATOS!$B$34*H61/((D61*F61)/(D61+2*F61))^(2/3))^2))/2))&gt;0,((AR62+AS62)/2),AS62)</f>
        <v/>
      </c>
      <c r="AV62" s="5">
        <f>IF((((AT62+AU62)/2)+(C62/(D62*((AT62+AU62)/2)))^2/(2*9.81)+B62-(G61+H61^2/(2*9.81))-(A61-A62)*(((DATOS!$B$34*(C62/(D62*((AT62+AU62)/2)))/((D62*((AT62+AU62)/2))/(D62+2*((AT62+AU62)/2)))^(2/3))^2+((DATOS!$B$34*H61/((D61*F61)/(D61+2*F61))^(2/3))^2))/2))&gt;0,AT62,((AT62+AU62)/2))</f>
        <v/>
      </c>
      <c r="AW62" s="5">
        <f>IF((((AT62+AU62)/2)+(C62/(D62*((AT62+AU62)/2)))^2/(2*9.81)+B62-(G61+H61^2/(2*9.81))-(A61-A62)*(((DATOS!$B$34*(C62/(D62*((AT62+AU62)/2)))/((D62*((AT62+AU62)/2))/(D62+2*((AT62+AU62)/2)))^(2/3))^2+((DATOS!$B$34*H61/((D61*F61)/(D61+2*F61))^(2/3))^2))/2))&gt;0,((AT62+AU62)/2),AU62)</f>
        <v/>
      </c>
      <c r="AX62" s="5">
        <f>IF((((AV62+AW62)/2)+(C62/(D62*((AV62+AW62)/2)))^2/(2*9.81)+B62-(G61+H61^2/(2*9.81))-(A61-A62)*(((DATOS!$B$34*(C62/(D62*((AV62+AW62)/2)))/((D62*((AV62+AW62)/2))/(D62+2*((AV62+AW62)/2)))^(2/3))^2+((DATOS!$B$34*H61/((D61*F61)/(D61+2*F61))^(2/3))^2))/2))&gt;0,AV62,((AV62+AW62)/2))</f>
        <v/>
      </c>
      <c r="AY62" s="5">
        <f>IF((((AV62+AW62)/2)+(C62/(D62*((AV62+AW62)/2)))^2/(2*9.81)+B62-(G61+H61^2/(2*9.81))-(A61-A62)*(((DATOS!$B$34*(C62/(D62*((AV62+AW62)/2)))/((D62*((AV62+AW62)/2))/(D62+2*((AV62+AW62)/2)))^(2/3))^2+((DATOS!$B$34*H61/((D61*F61)/(D61+2*F61))^(2/3))^2))/2))&gt;0,((AV62+AW62)/2),AW62)</f>
        <v/>
      </c>
      <c r="AZ62" s="5">
        <f>IF((((AX62+AY62)/2)+(C62/(D62*((AX62+AY62)/2)))^2/(2*9.81)+B62-(G61+H61^2/(2*9.81))-(A61-A62)*(((DATOS!$B$34*(C62/(D62*((AX62+AY62)/2)))/((D62*((AX62+AY62)/2))/(D62+2*((AX62+AY62)/2)))^(2/3))^2+((DATOS!$B$34*H61/((D61*F61)/(D61+2*F61))^(2/3))^2))/2))&gt;0,AX62,((AX62+AY62)/2))</f>
        <v/>
      </c>
      <c r="BA62" s="5">
        <f>IF((((AX62+AY62)/2)+(C62/(D62*((AX62+AY62)/2)))^2/(2*9.81)+B62-(G61+H61^2/(2*9.81))-(A61-A62)*(((DATOS!$B$34*(C62/(D62*((AX62+AY62)/2)))/((D62*((AX62+AY62)/2))/(D62+2*((AX62+AY62)/2)))^(2/3))^2+((DATOS!$B$34*H61/((D61*F61)/(D61+2*F61))^(2/3))^2))/2))&gt;0,((AX62+AY62)/2),AY62)</f>
        <v/>
      </c>
      <c r="BB62" s="5">
        <f>IF((((AZ62+BA62)/2)+(C62/(D62*((AZ62+BA62)/2)))^2/(2*9.81)+B62-(G61+H61^2/(2*9.81))-(A61-A62)*(((DATOS!$B$34*(C62/(D62*((AZ62+BA62)/2)))/((D62*((AZ62+BA62)/2))/(D62+2*((AZ62+BA62)/2)))^(2/3))^2+((DATOS!$B$34*H61/((D61*F61)/(D61+2*F61))^(2/3))^2))/2))&gt;0,AZ62,((AZ62+BA62)/2))</f>
        <v/>
      </c>
      <c r="BC62" s="5">
        <f>IF((((AZ62+BA62)/2)+(C62/(D62*((AZ62+BA62)/2)))^2/(2*9.81)+B62-(G61+H61^2/(2*9.81))-(A61-A62)*(((DATOS!$B$34*(C62/(D62*((AZ62+BA62)/2)))/((D62*((AZ62+BA62)/2))/(D62+2*((AZ62+BA62)/2)))^(2/3))^2+((DATOS!$B$34*H61/((D61*F61)/(D61+2*F61))^(2/3))^2))/2))&gt;0,((AZ62+BA62)/2),BA62)</f>
        <v/>
      </c>
      <c r="BD62" s="5">
        <f>IF((((BB62+BC62)/2)+(C62/(D62*((BB62+BC62)/2)))^2/(2*9.81)+B62-(G61+H61^2/(2*9.81))-(A61-A62)*(((DATOS!$B$34*(C62/(D62*((BB62+BC62)/2)))/((D62*((BB62+BC62)/2))/(D62+2*((BB62+BC62)/2)))^(2/3))^2+((DATOS!$B$34*H61/((D61*F61)/(D61+2*F61))^(2/3))^2))/2))&gt;0,BB62,((BB62+BC62)/2))</f>
        <v/>
      </c>
      <c r="BE62" s="5">
        <f>IF((((BB62+BC62)/2)+(C62/(D62*((BB62+BC62)/2)))^2/(2*9.81)+B62-(G61+H61^2/(2*9.81))-(A61-A62)*(((DATOS!$B$34*(C62/(D62*((BB62+BC62)/2)))/((D62*((BB62+BC62)/2))/(D62+2*((BB62+BC62)/2)))^(2/3))^2+((DATOS!$B$34*H61/((D61*F61)/(D61+2*F61))^(2/3))^2))/2))&gt;0,((BB62+BC62)/2),BC62)</f>
        <v/>
      </c>
      <c r="BF62" s="5">
        <f>IF((((BD62+BE62)/2)+(C62/(D62*((BD62+BE62)/2)))^2/(2*9.81)+B62-(G61+H61^2/(2*9.81))-(A61-A62)*(((DATOS!$B$34*(C62/(D62*((BD62+BE62)/2)))/((D62*((BD62+BE62)/2))/(D62+2*((BD62+BE62)/2)))^(2/3))^2+((DATOS!$B$34*H61/((D61*F61)/(D61+2*F61))^(2/3))^2))/2))&gt;0,BD62,((BD62+BE62)/2))</f>
        <v/>
      </c>
      <c r="BG62" s="5">
        <f>IF((((BD62+BE62)/2)+(C62/(D62*((BD62+BE62)/2)))^2/(2*9.81)+B62-(G61+H61^2/(2*9.81))-(A61-A62)*(((DATOS!$B$34*(C62/(D62*((BD62+BE62)/2)))/((D62*((BD62+BE62)/2))/(D62+2*((BD62+BE62)/2)))^(2/3))^2+((DATOS!$B$34*H61/((D61*F61)/(D61+2*F61))^(2/3))^2))/2))&gt;0,((BD62+BE62)/2),BE62)</f>
        <v/>
      </c>
      <c r="BH62" s="5">
        <f>IF((((BF62+BG62)/2)+(C62/(D62*((BF62+BG62)/2)))^2/(2*9.81)+B62-(G61+H61^2/(2*9.81))-(A61-A62)*(((DATOS!$B$34*(C62/(D62*((BF62+BG62)/2)))/((D62*((BF62+BG62)/2))/(D62+2*((BF62+BG62)/2)))^(2/3))^2+((DATOS!$B$34*H61/((D61*F61)/(D61+2*F61))^(2/3))^2))/2))&gt;0,BF62,((BF62+BG62)/2))</f>
        <v/>
      </c>
      <c r="BI62" s="5">
        <f>IF((((BF62+BG62)/2)+(C62/(D62*((BF62+BG62)/2)))^2/(2*9.81)+B62-(G61+H61^2/(2*9.81))-(A61-A62)*(((DATOS!$B$34*(C62/(D62*((BF62+BG62)/2)))/((D62*((BF62+BG62)/2))/(D62+2*((BF62+BG62)/2)))^(2/3))^2+((DATOS!$B$34*H61/((D61*F61)/(D61+2*F61))^(2/3))^2))/2))&gt;0,((BF62+BG62)/2),BG62)</f>
        <v/>
      </c>
      <c r="BJ62" s="5">
        <f>IF((((BH62+BI62)/2)+(C62/(D62*((BH62+BI62)/2)))^2/(2*9.81)+B62-(G61+H61^2/(2*9.81))-(A61-A62)*(((DATOS!$B$34*(C62/(D62*((BH62+BI62)/2)))/((D62*((BH62+BI62)/2))/(D62+2*((BH62+BI62)/2)))^(2/3))^2+((DATOS!$B$34*H61/((D61*F61)/(D61+2*F61))^(2/3))^2))/2))&gt;0,BH62,((BH62+BI62)/2))</f>
        <v/>
      </c>
      <c r="BK62" s="5">
        <f>IF((((BH62+BI62)/2)+(C62/(D62*((BH62+BI62)/2)))^2/(2*9.81)+B62-(G61+H61^2/(2*9.81))-(A61-A62)*(((DATOS!$B$34*(C62/(D62*((BH62+BI62)/2)))/((D62*((BH62+BI62)/2))/(D62+2*((BH62+BI62)/2)))^(2/3))^2+((DATOS!$B$34*H61/((D61*F61)/(D61+2*F61))^(2/3))^2))/2))&gt;0,((BH62+BI62)/2),BI62)</f>
        <v/>
      </c>
      <c r="BL62" s="5">
        <f>IF((((BJ62+BK62)/2)+(C62/(D62*((BJ62+BK62)/2)))^2/(2*9.81)+B62-(G61+H61^2/(2*9.81))-(A61-A62)*(((DATOS!$B$34*(C62/(D62*((BJ62+BK62)/2)))/((D62*((BJ62+BK62)/2))/(D62+2*((BJ62+BK62)/2)))^(2/3))^2+((DATOS!$B$34*H61/((D61*F61)/(D61+2*F61))^(2/3))^2))/2))&gt;0,BJ62,((BJ62+BK62)/2))</f>
        <v/>
      </c>
      <c r="BM62" s="5">
        <f>IF((((BJ62+BK62)/2)+(C62/(D62*((BJ62+BK62)/2)))^2/(2*9.81)+B62-(G61+H61^2/(2*9.81))-(A61-A62)*(((DATOS!$B$34*(C62/(D62*((BJ62+BK62)/2)))/((D62*((BJ62+BK62)/2))/(D62+2*((BJ62+BK62)/2)))^(2/3))^2+((DATOS!$B$34*H61/((D61*F61)/(D61+2*F61))^(2/3))^2))/2))&gt;0,((BJ62+BK62)/2),BK62)</f>
        <v/>
      </c>
      <c r="BN62" s="5">
        <f>IF((((BL62+BM62)/2)+(C62/(D62*((BL62+BM62)/2)))^2/(2*9.81)+B62-(G61+H61^2/(2*9.81))-(A61-A62)*(((DATOS!$B$34*(C62/(D62*((BL62+BM62)/2)))/((D62*((BL62+BM62)/2))/(D62+2*((BL62+BM62)/2)))^(2/3))^2+((DATOS!$B$34*H61/((D61*F61)/(D61+2*F61))^(2/3))^2))/2))&gt;0,BL62,((BL62+BM62)/2))</f>
        <v/>
      </c>
      <c r="BO62" s="5">
        <f>IF((((BL62+BM62)/2)+(C62/(D62*((BL62+BM62)/2)))^2/(2*9.81)+B62-(G61+H61^2/(2*9.81))-(A61-A62)*(((DATOS!$B$34*(C62/(D62*((BL62+BM62)/2)))/((D62*((BL62+BM62)/2))/(D62+2*((BL62+BM62)/2)))^(2/3))^2+((DATOS!$B$34*H61/((D61*F61)/(D61+2*F61))^(2/3))^2))/2))&gt;0,((BL62+BM62)/2),BM62)</f>
        <v/>
      </c>
      <c r="BP62" s="5">
        <f>IF((((BN62+BO62)/2)+(C62/(D62*((BN62+BO62)/2)))^2/(2*9.81)+B62-(G61+H61^2/(2*9.81))-(A61-A62)*(((DATOS!$B$34*(C62/(D62*((BN62+BO62)/2)))/((D62*((BN62+BO62)/2))/(D62+2*((BN62+BO62)/2)))^(2/3))^2+((DATOS!$B$34*H61/((D61*F61)/(D61+2*F61))^(2/3))^2))/2))&gt;0,BN62,((BN62+BO62)/2))</f>
        <v/>
      </c>
      <c r="BQ62" s="5">
        <f>IF((((BN62+BO62)/2)+(C62/(D62*((BN62+BO62)/2)))^2/(2*9.81)+B62-(G61+H61^2/(2*9.81))-(A61-A62)*(((DATOS!$B$34*(C62/(D62*((BN62+BO62)/2)))/((D62*((BN62+BO62)/2))/(D62+2*((BN62+BO62)/2)))^(2/3))^2+((DATOS!$B$34*H61/((D61*F61)/(D61+2*F61))^(2/3))^2))/2))&gt;0,((BN62+BO62)/2),BO62)</f>
        <v/>
      </c>
      <c r="BR62" s="5">
        <f>IF((((BP62+BQ62)/2)+(C62/(D62*((BP62+BQ62)/2)))^2/(2*9.81)+B62-(G61+H61^2/(2*9.81))-(A61-A62)*(((DATOS!$B$34*(C62/(D62*((BP62+BQ62)/2)))/((D62*((BP62+BQ62)/2))/(D62+2*((BP62+BQ62)/2)))^(2/3))^2+((DATOS!$B$34*H61/((D61*F61)/(D61+2*F61))^(2/3))^2))/2))&gt;0,BP62,((BP62+BQ62)/2))</f>
        <v/>
      </c>
      <c r="BS62" s="5">
        <f>IF((((BP62+BQ62)/2)+(C62/(D62*((BP62+BQ62)/2)))^2/(2*9.81)+B62-(G61+H61^2/(2*9.81))-(A61-A62)*(((DATOS!$B$34*(C62/(D62*((BP62+BQ62)/2)))/((D62*((BP62+BQ62)/2))/(D62+2*((BP62+BQ62)/2)))^(2/3))^2+((DATOS!$B$34*H61/((D61*F61)/(D61+2*F61))^(2/3))^2))/2))&gt;0,((BP62+BQ62)/2),BQ62)</f>
        <v/>
      </c>
      <c r="BT62" s="5">
        <f>IF((((BR62+BS62)/2)+(C62/(D62*((BR62+BS62)/2)))^2/(2*9.81)+B62-(G61+H61^2/(2*9.81))-(A61-A62)*(((DATOS!$B$34*(C62/(D62*((BR62+BS62)/2)))/((D62*((BR62+BS62)/2))/(D62+2*((BR62+BS62)/2)))^(2/3))^2+((DATOS!$B$34*H61/((D61*F61)/(D61+2*F61))^(2/3))^2))/2))&gt;0,BR62,((BR62+BS62)/2))</f>
        <v/>
      </c>
      <c r="BU62" s="5">
        <f>IF((((BR62+BS62)/2)+(C62/(D62*((BR62+BS62)/2)))^2/(2*9.81)+B62-(G61+H61^2/(2*9.81))-(A61-A62)*(((DATOS!$B$34*(C62/(D62*((BR62+BS62)/2)))/((D62*((BR62+BS62)/2))/(D62+2*((BR62+BS62)/2)))^(2/3))^2+((DATOS!$B$34*H61/((D61*F61)/(D61+2*F61))^(2/3))^2))/2))&gt;0,((BR62+BS62)/2),BS62)</f>
        <v/>
      </c>
      <c r="BV62" s="5">
        <f>IF((((BT62+BU62)/2)+(C62/(D62*((BT62+BU62)/2)))^2/(2*9.81)+B62-(G61+H61^2/(2*9.81))-(A61-A62)*(((DATOS!$B$34*(C62/(D62*((BT62+BU62)/2)))/((D62*((BT62+BU62)/2))/(D62+2*((BT62+BU62)/2)))^(2/3))^2+((DATOS!$B$34*H61/((D61*F61)/(D61+2*F61))^(2/3))^2))/2))&gt;0,BT62,((BT62+BU62)/2))</f>
        <v/>
      </c>
      <c r="BW62" s="5">
        <f>IF((((BT62+BU62)/2)+(C62/(D62*((BT62+BU62)/2)))^2/(2*9.81)+B62-(G61+H61^2/(2*9.81))-(A61-A62)*(((DATOS!$B$34*(C62/(D62*((BT62+BU62)/2)))/((D62*((BT62+BU62)/2))/(D62+2*((BT62+BU62)/2)))^(2/3))^2+((DATOS!$B$34*H61/((D61*F61)/(D61+2*F61))^(2/3))^2))/2))&gt;0,((BT62+BU62)/2),BU62)</f>
        <v/>
      </c>
    </row>
    <row r="63">
      <c r="A63" s="13" t="n">
        <v>25</v>
      </c>
      <c r="B63" s="16">
        <f>DATOS!$B$22-DATOS!$B$23*A63</f>
        <v/>
      </c>
      <c r="C63" s="24">
        <f>CAUDALES!$B$13</f>
        <v/>
      </c>
      <c r="D63" s="17">
        <f>DATOS!$B$17</f>
        <v/>
      </c>
      <c r="E63" s="16">
        <f>(C63^2/(9.81*D63^2))^(1/3)</f>
        <v/>
      </c>
      <c r="F63" s="16">
        <f>(BV63+BW63)/2</f>
        <v/>
      </c>
      <c r="G63" s="16">
        <f>B63+F63</f>
        <v/>
      </c>
      <c r="H63" s="19">
        <f>C63/(D63*F63)</f>
        <v/>
      </c>
      <c r="I63" s="19">
        <f>H63/SQRT(9.81*F63)</f>
        <v/>
      </c>
      <c r="J63" s="16">
        <f>DATOS!$B$29-IF(AND(A63&gt;=DATOS!$B$30,A63&lt;DATOS!$B$31),DATOS!$B$21,DATOS!$B$20)</f>
        <v/>
      </c>
      <c r="K63" s="19">
        <f>J63-B63</f>
        <v/>
      </c>
      <c r="L63" s="19">
        <f>F63/K63</f>
        <v/>
      </c>
      <c r="M63" s="16">
        <f>J63-G63</f>
        <v/>
      </c>
      <c r="N63" s="5">
        <f>IF(AND(L63&lt;=DATOS!$B$36,M63&gt;=DATOS!$B$37,I63&lt;=1),"CUMPLE","NO CUMPLE")</f>
        <v/>
      </c>
      <c r="O63" s="5">
        <f>IF(AND(A63&gt;=DATOS!$B$30,A63&lt;DATOS!$B$31),"cruce de camiones",IF(AND(A63&gt;=DATOS!$B$32,A63&lt;DATOS!$B$33),"cruce de motos","tramo normal"))</f>
        <v/>
      </c>
      <c r="P63" s="5">
        <f>E63*1.001</f>
        <v/>
      </c>
      <c r="Q63" s="13" t="n">
        <v>3</v>
      </c>
      <c r="R63" s="5">
        <f>IF((((P63+Q63)/2)+(C63/(D63*((P63+Q63)/2)))^2/(2*9.81)+B63-(G62+H62^2/(2*9.81))-(A62-A63)*(((DATOS!$B$34*(C63/(D63*((P63+Q63)/2)))/((D63*((P63+Q63)/2))/(D63+2*((P63+Q63)/2)))^(2/3))^2+((DATOS!$B$34*H62/((D62*F62)/(D62+2*F62))^(2/3))^2))/2))&gt;0,P63,((P63+Q63)/2))</f>
        <v/>
      </c>
      <c r="S63" s="5">
        <f>IF((((P63+Q63)/2)+(C63/(D63*((P63+Q63)/2)))^2/(2*9.81)+B63-(G62+H62^2/(2*9.81))-(A62-A63)*(((DATOS!$B$34*(C63/(D63*((P63+Q63)/2)))/((D63*((P63+Q63)/2))/(D63+2*((P63+Q63)/2)))^(2/3))^2+((DATOS!$B$34*H62/((D62*F62)/(D62+2*F62))^(2/3))^2))/2))&gt;0,((P63+Q63)/2),Q63)</f>
        <v/>
      </c>
      <c r="T63" s="5">
        <f>IF((((R63+S63)/2)+(C63/(D63*((R63+S63)/2)))^2/(2*9.81)+B63-(G62+H62^2/(2*9.81))-(A62-A63)*(((DATOS!$B$34*(C63/(D63*((R63+S63)/2)))/((D63*((R63+S63)/2))/(D63+2*((R63+S63)/2)))^(2/3))^2+((DATOS!$B$34*H62/((D62*F62)/(D62+2*F62))^(2/3))^2))/2))&gt;0,R63,((R63+S63)/2))</f>
        <v/>
      </c>
      <c r="U63" s="5">
        <f>IF((((R63+S63)/2)+(C63/(D63*((R63+S63)/2)))^2/(2*9.81)+B63-(G62+H62^2/(2*9.81))-(A62-A63)*(((DATOS!$B$34*(C63/(D63*((R63+S63)/2)))/((D63*((R63+S63)/2))/(D63+2*((R63+S63)/2)))^(2/3))^2+((DATOS!$B$34*H62/((D62*F62)/(D62+2*F62))^(2/3))^2))/2))&gt;0,((R63+S63)/2),S63)</f>
        <v/>
      </c>
      <c r="V63" s="5">
        <f>IF((((T63+U63)/2)+(C63/(D63*((T63+U63)/2)))^2/(2*9.81)+B63-(G62+H62^2/(2*9.81))-(A62-A63)*(((DATOS!$B$34*(C63/(D63*((T63+U63)/2)))/((D63*((T63+U63)/2))/(D63+2*((T63+U63)/2)))^(2/3))^2+((DATOS!$B$34*H62/((D62*F62)/(D62+2*F62))^(2/3))^2))/2))&gt;0,T63,((T63+U63)/2))</f>
        <v/>
      </c>
      <c r="W63" s="5">
        <f>IF((((T63+U63)/2)+(C63/(D63*((T63+U63)/2)))^2/(2*9.81)+B63-(G62+H62^2/(2*9.81))-(A62-A63)*(((DATOS!$B$34*(C63/(D63*((T63+U63)/2)))/((D63*((T63+U63)/2))/(D63+2*((T63+U63)/2)))^(2/3))^2+((DATOS!$B$34*H62/((D62*F62)/(D62+2*F62))^(2/3))^2))/2))&gt;0,((T63+U63)/2),U63)</f>
        <v/>
      </c>
      <c r="X63" s="5">
        <f>IF((((V63+W63)/2)+(C63/(D63*((V63+W63)/2)))^2/(2*9.81)+B63-(G62+H62^2/(2*9.81))-(A62-A63)*(((DATOS!$B$34*(C63/(D63*((V63+W63)/2)))/((D63*((V63+W63)/2))/(D63+2*((V63+W63)/2)))^(2/3))^2+((DATOS!$B$34*H62/((D62*F62)/(D62+2*F62))^(2/3))^2))/2))&gt;0,V63,((V63+W63)/2))</f>
        <v/>
      </c>
      <c r="Y63" s="5">
        <f>IF((((V63+W63)/2)+(C63/(D63*((V63+W63)/2)))^2/(2*9.81)+B63-(G62+H62^2/(2*9.81))-(A62-A63)*(((DATOS!$B$34*(C63/(D63*((V63+W63)/2)))/((D63*((V63+W63)/2))/(D63+2*((V63+W63)/2)))^(2/3))^2+((DATOS!$B$34*H62/((D62*F62)/(D62+2*F62))^(2/3))^2))/2))&gt;0,((V63+W63)/2),W63)</f>
        <v/>
      </c>
      <c r="Z63" s="5">
        <f>IF((((X63+Y63)/2)+(C63/(D63*((X63+Y63)/2)))^2/(2*9.81)+B63-(G62+H62^2/(2*9.81))-(A62-A63)*(((DATOS!$B$34*(C63/(D63*((X63+Y63)/2)))/((D63*((X63+Y63)/2))/(D63+2*((X63+Y63)/2)))^(2/3))^2+((DATOS!$B$34*H62/((D62*F62)/(D62+2*F62))^(2/3))^2))/2))&gt;0,X63,((X63+Y63)/2))</f>
        <v/>
      </c>
      <c r="AA63" s="5">
        <f>IF((((X63+Y63)/2)+(C63/(D63*((X63+Y63)/2)))^2/(2*9.81)+B63-(G62+H62^2/(2*9.81))-(A62-A63)*(((DATOS!$B$34*(C63/(D63*((X63+Y63)/2)))/((D63*((X63+Y63)/2))/(D63+2*((X63+Y63)/2)))^(2/3))^2+((DATOS!$B$34*H62/((D62*F62)/(D62+2*F62))^(2/3))^2))/2))&gt;0,((X63+Y63)/2),Y63)</f>
        <v/>
      </c>
      <c r="AB63" s="5">
        <f>IF((((Z63+AA63)/2)+(C63/(D63*((Z63+AA63)/2)))^2/(2*9.81)+B63-(G62+H62^2/(2*9.81))-(A62-A63)*(((DATOS!$B$34*(C63/(D63*((Z63+AA63)/2)))/((D63*((Z63+AA63)/2))/(D63+2*((Z63+AA63)/2)))^(2/3))^2+((DATOS!$B$34*H62/((D62*F62)/(D62+2*F62))^(2/3))^2))/2))&gt;0,Z63,((Z63+AA63)/2))</f>
        <v/>
      </c>
      <c r="AC63" s="5">
        <f>IF((((Z63+AA63)/2)+(C63/(D63*((Z63+AA63)/2)))^2/(2*9.81)+B63-(G62+H62^2/(2*9.81))-(A62-A63)*(((DATOS!$B$34*(C63/(D63*((Z63+AA63)/2)))/((D63*((Z63+AA63)/2))/(D63+2*((Z63+AA63)/2)))^(2/3))^2+((DATOS!$B$34*H62/((D62*F62)/(D62+2*F62))^(2/3))^2))/2))&gt;0,((Z63+AA63)/2),AA63)</f>
        <v/>
      </c>
      <c r="AD63" s="5">
        <f>IF((((AB63+AC63)/2)+(C63/(D63*((AB63+AC63)/2)))^2/(2*9.81)+B63-(G62+H62^2/(2*9.81))-(A62-A63)*(((DATOS!$B$34*(C63/(D63*((AB63+AC63)/2)))/((D63*((AB63+AC63)/2))/(D63+2*((AB63+AC63)/2)))^(2/3))^2+((DATOS!$B$34*H62/((D62*F62)/(D62+2*F62))^(2/3))^2))/2))&gt;0,AB63,((AB63+AC63)/2))</f>
        <v/>
      </c>
      <c r="AE63" s="5">
        <f>IF((((AB63+AC63)/2)+(C63/(D63*((AB63+AC63)/2)))^2/(2*9.81)+B63-(G62+H62^2/(2*9.81))-(A62-A63)*(((DATOS!$B$34*(C63/(D63*((AB63+AC63)/2)))/((D63*((AB63+AC63)/2))/(D63+2*((AB63+AC63)/2)))^(2/3))^2+((DATOS!$B$34*H62/((D62*F62)/(D62+2*F62))^(2/3))^2))/2))&gt;0,((AB63+AC63)/2),AC63)</f>
        <v/>
      </c>
      <c r="AF63" s="5">
        <f>IF((((AD63+AE63)/2)+(C63/(D63*((AD63+AE63)/2)))^2/(2*9.81)+B63-(G62+H62^2/(2*9.81))-(A62-A63)*(((DATOS!$B$34*(C63/(D63*((AD63+AE63)/2)))/((D63*((AD63+AE63)/2))/(D63+2*((AD63+AE63)/2)))^(2/3))^2+((DATOS!$B$34*H62/((D62*F62)/(D62+2*F62))^(2/3))^2))/2))&gt;0,AD63,((AD63+AE63)/2))</f>
        <v/>
      </c>
      <c r="AG63" s="5">
        <f>IF((((AD63+AE63)/2)+(C63/(D63*((AD63+AE63)/2)))^2/(2*9.81)+B63-(G62+H62^2/(2*9.81))-(A62-A63)*(((DATOS!$B$34*(C63/(D63*((AD63+AE63)/2)))/((D63*((AD63+AE63)/2))/(D63+2*((AD63+AE63)/2)))^(2/3))^2+((DATOS!$B$34*H62/((D62*F62)/(D62+2*F62))^(2/3))^2))/2))&gt;0,((AD63+AE63)/2),AE63)</f>
        <v/>
      </c>
      <c r="AH63" s="5">
        <f>IF((((AF63+AG63)/2)+(C63/(D63*((AF63+AG63)/2)))^2/(2*9.81)+B63-(G62+H62^2/(2*9.81))-(A62-A63)*(((DATOS!$B$34*(C63/(D63*((AF63+AG63)/2)))/((D63*((AF63+AG63)/2))/(D63+2*((AF63+AG63)/2)))^(2/3))^2+((DATOS!$B$34*H62/((D62*F62)/(D62+2*F62))^(2/3))^2))/2))&gt;0,AF63,((AF63+AG63)/2))</f>
        <v/>
      </c>
      <c r="AI63" s="5">
        <f>IF((((AF63+AG63)/2)+(C63/(D63*((AF63+AG63)/2)))^2/(2*9.81)+B63-(G62+H62^2/(2*9.81))-(A62-A63)*(((DATOS!$B$34*(C63/(D63*((AF63+AG63)/2)))/((D63*((AF63+AG63)/2))/(D63+2*((AF63+AG63)/2)))^(2/3))^2+((DATOS!$B$34*H62/((D62*F62)/(D62+2*F62))^(2/3))^2))/2))&gt;0,((AF63+AG63)/2),AG63)</f>
        <v/>
      </c>
      <c r="AJ63" s="5">
        <f>IF((((AH63+AI63)/2)+(C63/(D63*((AH63+AI63)/2)))^2/(2*9.81)+B63-(G62+H62^2/(2*9.81))-(A62-A63)*(((DATOS!$B$34*(C63/(D63*((AH63+AI63)/2)))/((D63*((AH63+AI63)/2))/(D63+2*((AH63+AI63)/2)))^(2/3))^2+((DATOS!$B$34*H62/((D62*F62)/(D62+2*F62))^(2/3))^2))/2))&gt;0,AH63,((AH63+AI63)/2))</f>
        <v/>
      </c>
      <c r="AK63" s="5">
        <f>IF((((AH63+AI63)/2)+(C63/(D63*((AH63+AI63)/2)))^2/(2*9.81)+B63-(G62+H62^2/(2*9.81))-(A62-A63)*(((DATOS!$B$34*(C63/(D63*((AH63+AI63)/2)))/((D63*((AH63+AI63)/2))/(D63+2*((AH63+AI63)/2)))^(2/3))^2+((DATOS!$B$34*H62/((D62*F62)/(D62+2*F62))^(2/3))^2))/2))&gt;0,((AH63+AI63)/2),AI63)</f>
        <v/>
      </c>
      <c r="AL63" s="5">
        <f>IF((((AJ63+AK63)/2)+(C63/(D63*((AJ63+AK63)/2)))^2/(2*9.81)+B63-(G62+H62^2/(2*9.81))-(A62-A63)*(((DATOS!$B$34*(C63/(D63*((AJ63+AK63)/2)))/((D63*((AJ63+AK63)/2))/(D63+2*((AJ63+AK63)/2)))^(2/3))^2+((DATOS!$B$34*H62/((D62*F62)/(D62+2*F62))^(2/3))^2))/2))&gt;0,AJ63,((AJ63+AK63)/2))</f>
        <v/>
      </c>
      <c r="AM63" s="5">
        <f>IF((((AJ63+AK63)/2)+(C63/(D63*((AJ63+AK63)/2)))^2/(2*9.81)+B63-(G62+H62^2/(2*9.81))-(A62-A63)*(((DATOS!$B$34*(C63/(D63*((AJ63+AK63)/2)))/((D63*((AJ63+AK63)/2))/(D63+2*((AJ63+AK63)/2)))^(2/3))^2+((DATOS!$B$34*H62/((D62*F62)/(D62+2*F62))^(2/3))^2))/2))&gt;0,((AJ63+AK63)/2),AK63)</f>
        <v/>
      </c>
      <c r="AN63" s="5">
        <f>IF((((AL63+AM63)/2)+(C63/(D63*((AL63+AM63)/2)))^2/(2*9.81)+B63-(G62+H62^2/(2*9.81))-(A62-A63)*(((DATOS!$B$34*(C63/(D63*((AL63+AM63)/2)))/((D63*((AL63+AM63)/2))/(D63+2*((AL63+AM63)/2)))^(2/3))^2+((DATOS!$B$34*H62/((D62*F62)/(D62+2*F62))^(2/3))^2))/2))&gt;0,AL63,((AL63+AM63)/2))</f>
        <v/>
      </c>
      <c r="AO63" s="5">
        <f>IF((((AL63+AM63)/2)+(C63/(D63*((AL63+AM63)/2)))^2/(2*9.81)+B63-(G62+H62^2/(2*9.81))-(A62-A63)*(((DATOS!$B$34*(C63/(D63*((AL63+AM63)/2)))/((D63*((AL63+AM63)/2))/(D63+2*((AL63+AM63)/2)))^(2/3))^2+((DATOS!$B$34*H62/((D62*F62)/(D62+2*F62))^(2/3))^2))/2))&gt;0,((AL63+AM63)/2),AM63)</f>
        <v/>
      </c>
      <c r="AP63" s="5">
        <f>IF((((AN63+AO63)/2)+(C63/(D63*((AN63+AO63)/2)))^2/(2*9.81)+B63-(G62+H62^2/(2*9.81))-(A62-A63)*(((DATOS!$B$34*(C63/(D63*((AN63+AO63)/2)))/((D63*((AN63+AO63)/2))/(D63+2*((AN63+AO63)/2)))^(2/3))^2+((DATOS!$B$34*H62/((D62*F62)/(D62+2*F62))^(2/3))^2))/2))&gt;0,AN63,((AN63+AO63)/2))</f>
        <v/>
      </c>
      <c r="AQ63" s="5">
        <f>IF((((AN63+AO63)/2)+(C63/(D63*((AN63+AO63)/2)))^2/(2*9.81)+B63-(G62+H62^2/(2*9.81))-(A62-A63)*(((DATOS!$B$34*(C63/(D63*((AN63+AO63)/2)))/((D63*((AN63+AO63)/2))/(D63+2*((AN63+AO63)/2)))^(2/3))^2+((DATOS!$B$34*H62/((D62*F62)/(D62+2*F62))^(2/3))^2))/2))&gt;0,((AN63+AO63)/2),AO63)</f>
        <v/>
      </c>
      <c r="AR63" s="5">
        <f>IF((((AP63+AQ63)/2)+(C63/(D63*((AP63+AQ63)/2)))^2/(2*9.81)+B63-(G62+H62^2/(2*9.81))-(A62-A63)*(((DATOS!$B$34*(C63/(D63*((AP63+AQ63)/2)))/((D63*((AP63+AQ63)/2))/(D63+2*((AP63+AQ63)/2)))^(2/3))^2+((DATOS!$B$34*H62/((D62*F62)/(D62+2*F62))^(2/3))^2))/2))&gt;0,AP63,((AP63+AQ63)/2))</f>
        <v/>
      </c>
      <c r="AS63" s="5">
        <f>IF((((AP63+AQ63)/2)+(C63/(D63*((AP63+AQ63)/2)))^2/(2*9.81)+B63-(G62+H62^2/(2*9.81))-(A62-A63)*(((DATOS!$B$34*(C63/(D63*((AP63+AQ63)/2)))/((D63*((AP63+AQ63)/2))/(D63+2*((AP63+AQ63)/2)))^(2/3))^2+((DATOS!$B$34*H62/((D62*F62)/(D62+2*F62))^(2/3))^2))/2))&gt;0,((AP63+AQ63)/2),AQ63)</f>
        <v/>
      </c>
      <c r="AT63" s="5">
        <f>IF((((AR63+AS63)/2)+(C63/(D63*((AR63+AS63)/2)))^2/(2*9.81)+B63-(G62+H62^2/(2*9.81))-(A62-A63)*(((DATOS!$B$34*(C63/(D63*((AR63+AS63)/2)))/((D63*((AR63+AS63)/2))/(D63+2*((AR63+AS63)/2)))^(2/3))^2+((DATOS!$B$34*H62/((D62*F62)/(D62+2*F62))^(2/3))^2))/2))&gt;0,AR63,((AR63+AS63)/2))</f>
        <v/>
      </c>
      <c r="AU63" s="5">
        <f>IF((((AR63+AS63)/2)+(C63/(D63*((AR63+AS63)/2)))^2/(2*9.81)+B63-(G62+H62^2/(2*9.81))-(A62-A63)*(((DATOS!$B$34*(C63/(D63*((AR63+AS63)/2)))/((D63*((AR63+AS63)/2))/(D63+2*((AR63+AS63)/2)))^(2/3))^2+((DATOS!$B$34*H62/((D62*F62)/(D62+2*F62))^(2/3))^2))/2))&gt;0,((AR63+AS63)/2),AS63)</f>
        <v/>
      </c>
      <c r="AV63" s="5">
        <f>IF((((AT63+AU63)/2)+(C63/(D63*((AT63+AU63)/2)))^2/(2*9.81)+B63-(G62+H62^2/(2*9.81))-(A62-A63)*(((DATOS!$B$34*(C63/(D63*((AT63+AU63)/2)))/((D63*((AT63+AU63)/2))/(D63+2*((AT63+AU63)/2)))^(2/3))^2+((DATOS!$B$34*H62/((D62*F62)/(D62+2*F62))^(2/3))^2))/2))&gt;0,AT63,((AT63+AU63)/2))</f>
        <v/>
      </c>
      <c r="AW63" s="5">
        <f>IF((((AT63+AU63)/2)+(C63/(D63*((AT63+AU63)/2)))^2/(2*9.81)+B63-(G62+H62^2/(2*9.81))-(A62-A63)*(((DATOS!$B$34*(C63/(D63*((AT63+AU63)/2)))/((D63*((AT63+AU63)/2))/(D63+2*((AT63+AU63)/2)))^(2/3))^2+((DATOS!$B$34*H62/((D62*F62)/(D62+2*F62))^(2/3))^2))/2))&gt;0,((AT63+AU63)/2),AU63)</f>
        <v/>
      </c>
      <c r="AX63" s="5">
        <f>IF((((AV63+AW63)/2)+(C63/(D63*((AV63+AW63)/2)))^2/(2*9.81)+B63-(G62+H62^2/(2*9.81))-(A62-A63)*(((DATOS!$B$34*(C63/(D63*((AV63+AW63)/2)))/((D63*((AV63+AW63)/2))/(D63+2*((AV63+AW63)/2)))^(2/3))^2+((DATOS!$B$34*H62/((D62*F62)/(D62+2*F62))^(2/3))^2))/2))&gt;0,AV63,((AV63+AW63)/2))</f>
        <v/>
      </c>
      <c r="AY63" s="5">
        <f>IF((((AV63+AW63)/2)+(C63/(D63*((AV63+AW63)/2)))^2/(2*9.81)+B63-(G62+H62^2/(2*9.81))-(A62-A63)*(((DATOS!$B$34*(C63/(D63*((AV63+AW63)/2)))/((D63*((AV63+AW63)/2))/(D63+2*((AV63+AW63)/2)))^(2/3))^2+((DATOS!$B$34*H62/((D62*F62)/(D62+2*F62))^(2/3))^2))/2))&gt;0,((AV63+AW63)/2),AW63)</f>
        <v/>
      </c>
      <c r="AZ63" s="5">
        <f>IF((((AX63+AY63)/2)+(C63/(D63*((AX63+AY63)/2)))^2/(2*9.81)+B63-(G62+H62^2/(2*9.81))-(A62-A63)*(((DATOS!$B$34*(C63/(D63*((AX63+AY63)/2)))/((D63*((AX63+AY63)/2))/(D63+2*((AX63+AY63)/2)))^(2/3))^2+((DATOS!$B$34*H62/((D62*F62)/(D62+2*F62))^(2/3))^2))/2))&gt;0,AX63,((AX63+AY63)/2))</f>
        <v/>
      </c>
      <c r="BA63" s="5">
        <f>IF((((AX63+AY63)/2)+(C63/(D63*((AX63+AY63)/2)))^2/(2*9.81)+B63-(G62+H62^2/(2*9.81))-(A62-A63)*(((DATOS!$B$34*(C63/(D63*((AX63+AY63)/2)))/((D63*((AX63+AY63)/2))/(D63+2*((AX63+AY63)/2)))^(2/3))^2+((DATOS!$B$34*H62/((D62*F62)/(D62+2*F62))^(2/3))^2))/2))&gt;0,((AX63+AY63)/2),AY63)</f>
        <v/>
      </c>
      <c r="BB63" s="5">
        <f>IF((((AZ63+BA63)/2)+(C63/(D63*((AZ63+BA63)/2)))^2/(2*9.81)+B63-(G62+H62^2/(2*9.81))-(A62-A63)*(((DATOS!$B$34*(C63/(D63*((AZ63+BA63)/2)))/((D63*((AZ63+BA63)/2))/(D63+2*((AZ63+BA63)/2)))^(2/3))^2+((DATOS!$B$34*H62/((D62*F62)/(D62+2*F62))^(2/3))^2))/2))&gt;0,AZ63,((AZ63+BA63)/2))</f>
        <v/>
      </c>
      <c r="BC63" s="5">
        <f>IF((((AZ63+BA63)/2)+(C63/(D63*((AZ63+BA63)/2)))^2/(2*9.81)+B63-(G62+H62^2/(2*9.81))-(A62-A63)*(((DATOS!$B$34*(C63/(D63*((AZ63+BA63)/2)))/((D63*((AZ63+BA63)/2))/(D63+2*((AZ63+BA63)/2)))^(2/3))^2+((DATOS!$B$34*H62/((D62*F62)/(D62+2*F62))^(2/3))^2))/2))&gt;0,((AZ63+BA63)/2),BA63)</f>
        <v/>
      </c>
      <c r="BD63" s="5">
        <f>IF((((BB63+BC63)/2)+(C63/(D63*((BB63+BC63)/2)))^2/(2*9.81)+B63-(G62+H62^2/(2*9.81))-(A62-A63)*(((DATOS!$B$34*(C63/(D63*((BB63+BC63)/2)))/((D63*((BB63+BC63)/2))/(D63+2*((BB63+BC63)/2)))^(2/3))^2+((DATOS!$B$34*H62/((D62*F62)/(D62+2*F62))^(2/3))^2))/2))&gt;0,BB63,((BB63+BC63)/2))</f>
        <v/>
      </c>
      <c r="BE63" s="5">
        <f>IF((((BB63+BC63)/2)+(C63/(D63*((BB63+BC63)/2)))^2/(2*9.81)+B63-(G62+H62^2/(2*9.81))-(A62-A63)*(((DATOS!$B$34*(C63/(D63*((BB63+BC63)/2)))/((D63*((BB63+BC63)/2))/(D63+2*((BB63+BC63)/2)))^(2/3))^2+((DATOS!$B$34*H62/((D62*F62)/(D62+2*F62))^(2/3))^2))/2))&gt;0,((BB63+BC63)/2),BC63)</f>
        <v/>
      </c>
      <c r="BF63" s="5">
        <f>IF((((BD63+BE63)/2)+(C63/(D63*((BD63+BE63)/2)))^2/(2*9.81)+B63-(G62+H62^2/(2*9.81))-(A62-A63)*(((DATOS!$B$34*(C63/(D63*((BD63+BE63)/2)))/((D63*((BD63+BE63)/2))/(D63+2*((BD63+BE63)/2)))^(2/3))^2+((DATOS!$B$34*H62/((D62*F62)/(D62+2*F62))^(2/3))^2))/2))&gt;0,BD63,((BD63+BE63)/2))</f>
        <v/>
      </c>
      <c r="BG63" s="5">
        <f>IF((((BD63+BE63)/2)+(C63/(D63*((BD63+BE63)/2)))^2/(2*9.81)+B63-(G62+H62^2/(2*9.81))-(A62-A63)*(((DATOS!$B$34*(C63/(D63*((BD63+BE63)/2)))/((D63*((BD63+BE63)/2))/(D63+2*((BD63+BE63)/2)))^(2/3))^2+((DATOS!$B$34*H62/((D62*F62)/(D62+2*F62))^(2/3))^2))/2))&gt;0,((BD63+BE63)/2),BE63)</f>
        <v/>
      </c>
      <c r="BH63" s="5">
        <f>IF((((BF63+BG63)/2)+(C63/(D63*((BF63+BG63)/2)))^2/(2*9.81)+B63-(G62+H62^2/(2*9.81))-(A62-A63)*(((DATOS!$B$34*(C63/(D63*((BF63+BG63)/2)))/((D63*((BF63+BG63)/2))/(D63+2*((BF63+BG63)/2)))^(2/3))^2+((DATOS!$B$34*H62/((D62*F62)/(D62+2*F62))^(2/3))^2))/2))&gt;0,BF63,((BF63+BG63)/2))</f>
        <v/>
      </c>
      <c r="BI63" s="5">
        <f>IF((((BF63+BG63)/2)+(C63/(D63*((BF63+BG63)/2)))^2/(2*9.81)+B63-(G62+H62^2/(2*9.81))-(A62-A63)*(((DATOS!$B$34*(C63/(D63*((BF63+BG63)/2)))/((D63*((BF63+BG63)/2))/(D63+2*((BF63+BG63)/2)))^(2/3))^2+((DATOS!$B$34*H62/((D62*F62)/(D62+2*F62))^(2/3))^2))/2))&gt;0,((BF63+BG63)/2),BG63)</f>
        <v/>
      </c>
      <c r="BJ63" s="5">
        <f>IF((((BH63+BI63)/2)+(C63/(D63*((BH63+BI63)/2)))^2/(2*9.81)+B63-(G62+H62^2/(2*9.81))-(A62-A63)*(((DATOS!$B$34*(C63/(D63*((BH63+BI63)/2)))/((D63*((BH63+BI63)/2))/(D63+2*((BH63+BI63)/2)))^(2/3))^2+((DATOS!$B$34*H62/((D62*F62)/(D62+2*F62))^(2/3))^2))/2))&gt;0,BH63,((BH63+BI63)/2))</f>
        <v/>
      </c>
      <c r="BK63" s="5">
        <f>IF((((BH63+BI63)/2)+(C63/(D63*((BH63+BI63)/2)))^2/(2*9.81)+B63-(G62+H62^2/(2*9.81))-(A62-A63)*(((DATOS!$B$34*(C63/(D63*((BH63+BI63)/2)))/((D63*((BH63+BI63)/2))/(D63+2*((BH63+BI63)/2)))^(2/3))^2+((DATOS!$B$34*H62/((D62*F62)/(D62+2*F62))^(2/3))^2))/2))&gt;0,((BH63+BI63)/2),BI63)</f>
        <v/>
      </c>
      <c r="BL63" s="5">
        <f>IF((((BJ63+BK63)/2)+(C63/(D63*((BJ63+BK63)/2)))^2/(2*9.81)+B63-(G62+H62^2/(2*9.81))-(A62-A63)*(((DATOS!$B$34*(C63/(D63*((BJ63+BK63)/2)))/((D63*((BJ63+BK63)/2))/(D63+2*((BJ63+BK63)/2)))^(2/3))^2+((DATOS!$B$34*H62/((D62*F62)/(D62+2*F62))^(2/3))^2))/2))&gt;0,BJ63,((BJ63+BK63)/2))</f>
        <v/>
      </c>
      <c r="BM63" s="5">
        <f>IF((((BJ63+BK63)/2)+(C63/(D63*((BJ63+BK63)/2)))^2/(2*9.81)+B63-(G62+H62^2/(2*9.81))-(A62-A63)*(((DATOS!$B$34*(C63/(D63*((BJ63+BK63)/2)))/((D63*((BJ63+BK63)/2))/(D63+2*((BJ63+BK63)/2)))^(2/3))^2+((DATOS!$B$34*H62/((D62*F62)/(D62+2*F62))^(2/3))^2))/2))&gt;0,((BJ63+BK63)/2),BK63)</f>
        <v/>
      </c>
      <c r="BN63" s="5">
        <f>IF((((BL63+BM63)/2)+(C63/(D63*((BL63+BM63)/2)))^2/(2*9.81)+B63-(G62+H62^2/(2*9.81))-(A62-A63)*(((DATOS!$B$34*(C63/(D63*((BL63+BM63)/2)))/((D63*((BL63+BM63)/2))/(D63+2*((BL63+BM63)/2)))^(2/3))^2+((DATOS!$B$34*H62/((D62*F62)/(D62+2*F62))^(2/3))^2))/2))&gt;0,BL63,((BL63+BM63)/2))</f>
        <v/>
      </c>
      <c r="BO63" s="5">
        <f>IF((((BL63+BM63)/2)+(C63/(D63*((BL63+BM63)/2)))^2/(2*9.81)+B63-(G62+H62^2/(2*9.81))-(A62-A63)*(((DATOS!$B$34*(C63/(D63*((BL63+BM63)/2)))/((D63*((BL63+BM63)/2))/(D63+2*((BL63+BM63)/2)))^(2/3))^2+((DATOS!$B$34*H62/((D62*F62)/(D62+2*F62))^(2/3))^2))/2))&gt;0,((BL63+BM63)/2),BM63)</f>
        <v/>
      </c>
      <c r="BP63" s="5">
        <f>IF((((BN63+BO63)/2)+(C63/(D63*((BN63+BO63)/2)))^2/(2*9.81)+B63-(G62+H62^2/(2*9.81))-(A62-A63)*(((DATOS!$B$34*(C63/(D63*((BN63+BO63)/2)))/((D63*((BN63+BO63)/2))/(D63+2*((BN63+BO63)/2)))^(2/3))^2+((DATOS!$B$34*H62/((D62*F62)/(D62+2*F62))^(2/3))^2))/2))&gt;0,BN63,((BN63+BO63)/2))</f>
        <v/>
      </c>
      <c r="BQ63" s="5">
        <f>IF((((BN63+BO63)/2)+(C63/(D63*((BN63+BO63)/2)))^2/(2*9.81)+B63-(G62+H62^2/(2*9.81))-(A62-A63)*(((DATOS!$B$34*(C63/(D63*((BN63+BO63)/2)))/((D63*((BN63+BO63)/2))/(D63+2*((BN63+BO63)/2)))^(2/3))^2+((DATOS!$B$34*H62/((D62*F62)/(D62+2*F62))^(2/3))^2))/2))&gt;0,((BN63+BO63)/2),BO63)</f>
        <v/>
      </c>
      <c r="BR63" s="5">
        <f>IF((((BP63+BQ63)/2)+(C63/(D63*((BP63+BQ63)/2)))^2/(2*9.81)+B63-(G62+H62^2/(2*9.81))-(A62-A63)*(((DATOS!$B$34*(C63/(D63*((BP63+BQ63)/2)))/((D63*((BP63+BQ63)/2))/(D63+2*((BP63+BQ63)/2)))^(2/3))^2+((DATOS!$B$34*H62/((D62*F62)/(D62+2*F62))^(2/3))^2))/2))&gt;0,BP63,((BP63+BQ63)/2))</f>
        <v/>
      </c>
      <c r="BS63" s="5">
        <f>IF((((BP63+BQ63)/2)+(C63/(D63*((BP63+BQ63)/2)))^2/(2*9.81)+B63-(G62+H62^2/(2*9.81))-(A62-A63)*(((DATOS!$B$34*(C63/(D63*((BP63+BQ63)/2)))/((D63*((BP63+BQ63)/2))/(D63+2*((BP63+BQ63)/2)))^(2/3))^2+((DATOS!$B$34*H62/((D62*F62)/(D62+2*F62))^(2/3))^2))/2))&gt;0,((BP63+BQ63)/2),BQ63)</f>
        <v/>
      </c>
      <c r="BT63" s="5">
        <f>IF((((BR63+BS63)/2)+(C63/(D63*((BR63+BS63)/2)))^2/(2*9.81)+B63-(G62+H62^2/(2*9.81))-(A62-A63)*(((DATOS!$B$34*(C63/(D63*((BR63+BS63)/2)))/((D63*((BR63+BS63)/2))/(D63+2*((BR63+BS63)/2)))^(2/3))^2+((DATOS!$B$34*H62/((D62*F62)/(D62+2*F62))^(2/3))^2))/2))&gt;0,BR63,((BR63+BS63)/2))</f>
        <v/>
      </c>
      <c r="BU63" s="5">
        <f>IF((((BR63+BS63)/2)+(C63/(D63*((BR63+BS63)/2)))^2/(2*9.81)+B63-(G62+H62^2/(2*9.81))-(A62-A63)*(((DATOS!$B$34*(C63/(D63*((BR63+BS63)/2)))/((D63*((BR63+BS63)/2))/(D63+2*((BR63+BS63)/2)))^(2/3))^2+((DATOS!$B$34*H62/((D62*F62)/(D62+2*F62))^(2/3))^2))/2))&gt;0,((BR63+BS63)/2),BS63)</f>
        <v/>
      </c>
      <c r="BV63" s="5">
        <f>IF((((BT63+BU63)/2)+(C63/(D63*((BT63+BU63)/2)))^2/(2*9.81)+B63-(G62+H62^2/(2*9.81))-(A62-A63)*(((DATOS!$B$34*(C63/(D63*((BT63+BU63)/2)))/((D63*((BT63+BU63)/2))/(D63+2*((BT63+BU63)/2)))^(2/3))^2+((DATOS!$B$34*H62/((D62*F62)/(D62+2*F62))^(2/3))^2))/2))&gt;0,BT63,((BT63+BU63)/2))</f>
        <v/>
      </c>
      <c r="BW63" s="5">
        <f>IF((((BT63+BU63)/2)+(C63/(D63*((BT63+BU63)/2)))^2/(2*9.81)+B63-(G62+H62^2/(2*9.81))-(A62-A63)*(((DATOS!$B$34*(C63/(D63*((BT63+BU63)/2)))/((D63*((BT63+BU63)/2))/(D63+2*((BT63+BU63)/2)))^(2/3))^2+((DATOS!$B$34*H62/((D62*F62)/(D62+2*F62))^(2/3))^2))/2))&gt;0,((BT63+BU63)/2),BU63)</f>
        <v/>
      </c>
    </row>
    <row r="64">
      <c r="A64" s="13" t="n">
        <v>24</v>
      </c>
      <c r="B64" s="16">
        <f>DATOS!$B$22-DATOS!$B$23*A64</f>
        <v/>
      </c>
      <c r="C64" s="24">
        <f>CAUDALES!$B$13</f>
        <v/>
      </c>
      <c r="D64" s="17">
        <f>DATOS!$B$17</f>
        <v/>
      </c>
      <c r="E64" s="16">
        <f>(C64^2/(9.81*D64^2))^(1/3)</f>
        <v/>
      </c>
      <c r="F64" s="16">
        <f>(BV64+BW64)/2</f>
        <v/>
      </c>
      <c r="G64" s="16">
        <f>B64+F64</f>
        <v/>
      </c>
      <c r="H64" s="19">
        <f>C64/(D64*F64)</f>
        <v/>
      </c>
      <c r="I64" s="19">
        <f>H64/SQRT(9.81*F64)</f>
        <v/>
      </c>
      <c r="J64" s="16">
        <f>DATOS!$B$29-IF(AND(A64&gt;=DATOS!$B$30,A64&lt;DATOS!$B$31),DATOS!$B$21,DATOS!$B$20)</f>
        <v/>
      </c>
      <c r="K64" s="19">
        <f>J64-B64</f>
        <v/>
      </c>
      <c r="L64" s="19">
        <f>F64/K64</f>
        <v/>
      </c>
      <c r="M64" s="16">
        <f>J64-G64</f>
        <v/>
      </c>
      <c r="N64" s="5">
        <f>IF(AND(L64&lt;=DATOS!$B$36,M64&gt;=DATOS!$B$37,I64&lt;=1),"CUMPLE","NO CUMPLE")</f>
        <v/>
      </c>
      <c r="O64" s="5">
        <f>IF(AND(A64&gt;=DATOS!$B$30,A64&lt;DATOS!$B$31),"cruce de camiones",IF(AND(A64&gt;=DATOS!$B$32,A64&lt;DATOS!$B$33),"cruce de motos","tramo normal"))</f>
        <v/>
      </c>
      <c r="P64" s="5">
        <f>E64*1.001</f>
        <v/>
      </c>
      <c r="Q64" s="13" t="n">
        <v>3</v>
      </c>
      <c r="R64" s="5">
        <f>IF((((P64+Q64)/2)+(C64/(D64*((P64+Q64)/2)))^2/(2*9.81)+B64-(G63+H63^2/(2*9.81))-(A63-A64)*(((DATOS!$B$34*(C64/(D64*((P64+Q64)/2)))/((D64*((P64+Q64)/2))/(D64+2*((P64+Q64)/2)))^(2/3))^2+((DATOS!$B$34*H63/((D63*F63)/(D63+2*F63))^(2/3))^2))/2))&gt;0,P64,((P64+Q64)/2))</f>
        <v/>
      </c>
      <c r="S64" s="5">
        <f>IF((((P64+Q64)/2)+(C64/(D64*((P64+Q64)/2)))^2/(2*9.81)+B64-(G63+H63^2/(2*9.81))-(A63-A64)*(((DATOS!$B$34*(C64/(D64*((P64+Q64)/2)))/((D64*((P64+Q64)/2))/(D64+2*((P64+Q64)/2)))^(2/3))^2+((DATOS!$B$34*H63/((D63*F63)/(D63+2*F63))^(2/3))^2))/2))&gt;0,((P64+Q64)/2),Q64)</f>
        <v/>
      </c>
      <c r="T64" s="5">
        <f>IF((((R64+S64)/2)+(C64/(D64*((R64+S64)/2)))^2/(2*9.81)+B64-(G63+H63^2/(2*9.81))-(A63-A64)*(((DATOS!$B$34*(C64/(D64*((R64+S64)/2)))/((D64*((R64+S64)/2))/(D64+2*((R64+S64)/2)))^(2/3))^2+((DATOS!$B$34*H63/((D63*F63)/(D63+2*F63))^(2/3))^2))/2))&gt;0,R64,((R64+S64)/2))</f>
        <v/>
      </c>
      <c r="U64" s="5">
        <f>IF((((R64+S64)/2)+(C64/(D64*((R64+S64)/2)))^2/(2*9.81)+B64-(G63+H63^2/(2*9.81))-(A63-A64)*(((DATOS!$B$34*(C64/(D64*((R64+S64)/2)))/((D64*((R64+S64)/2))/(D64+2*((R64+S64)/2)))^(2/3))^2+((DATOS!$B$34*H63/((D63*F63)/(D63+2*F63))^(2/3))^2))/2))&gt;0,((R64+S64)/2),S64)</f>
        <v/>
      </c>
      <c r="V64" s="5">
        <f>IF((((T64+U64)/2)+(C64/(D64*((T64+U64)/2)))^2/(2*9.81)+B64-(G63+H63^2/(2*9.81))-(A63-A64)*(((DATOS!$B$34*(C64/(D64*((T64+U64)/2)))/((D64*((T64+U64)/2))/(D64+2*((T64+U64)/2)))^(2/3))^2+((DATOS!$B$34*H63/((D63*F63)/(D63+2*F63))^(2/3))^2))/2))&gt;0,T64,((T64+U64)/2))</f>
        <v/>
      </c>
      <c r="W64" s="5">
        <f>IF((((T64+U64)/2)+(C64/(D64*((T64+U64)/2)))^2/(2*9.81)+B64-(G63+H63^2/(2*9.81))-(A63-A64)*(((DATOS!$B$34*(C64/(D64*((T64+U64)/2)))/((D64*((T64+U64)/2))/(D64+2*((T64+U64)/2)))^(2/3))^2+((DATOS!$B$34*H63/((D63*F63)/(D63+2*F63))^(2/3))^2))/2))&gt;0,((T64+U64)/2),U64)</f>
        <v/>
      </c>
      <c r="X64" s="5">
        <f>IF((((V64+W64)/2)+(C64/(D64*((V64+W64)/2)))^2/(2*9.81)+B64-(G63+H63^2/(2*9.81))-(A63-A64)*(((DATOS!$B$34*(C64/(D64*((V64+W64)/2)))/((D64*((V64+W64)/2))/(D64+2*((V64+W64)/2)))^(2/3))^2+((DATOS!$B$34*H63/((D63*F63)/(D63+2*F63))^(2/3))^2))/2))&gt;0,V64,((V64+W64)/2))</f>
        <v/>
      </c>
      <c r="Y64" s="5">
        <f>IF((((V64+W64)/2)+(C64/(D64*((V64+W64)/2)))^2/(2*9.81)+B64-(G63+H63^2/(2*9.81))-(A63-A64)*(((DATOS!$B$34*(C64/(D64*((V64+W64)/2)))/((D64*((V64+W64)/2))/(D64+2*((V64+W64)/2)))^(2/3))^2+((DATOS!$B$34*H63/((D63*F63)/(D63+2*F63))^(2/3))^2))/2))&gt;0,((V64+W64)/2),W64)</f>
        <v/>
      </c>
      <c r="Z64" s="5">
        <f>IF((((X64+Y64)/2)+(C64/(D64*((X64+Y64)/2)))^2/(2*9.81)+B64-(G63+H63^2/(2*9.81))-(A63-A64)*(((DATOS!$B$34*(C64/(D64*((X64+Y64)/2)))/((D64*((X64+Y64)/2))/(D64+2*((X64+Y64)/2)))^(2/3))^2+((DATOS!$B$34*H63/((D63*F63)/(D63+2*F63))^(2/3))^2))/2))&gt;0,X64,((X64+Y64)/2))</f>
        <v/>
      </c>
      <c r="AA64" s="5">
        <f>IF((((X64+Y64)/2)+(C64/(D64*((X64+Y64)/2)))^2/(2*9.81)+B64-(G63+H63^2/(2*9.81))-(A63-A64)*(((DATOS!$B$34*(C64/(D64*((X64+Y64)/2)))/((D64*((X64+Y64)/2))/(D64+2*((X64+Y64)/2)))^(2/3))^2+((DATOS!$B$34*H63/((D63*F63)/(D63+2*F63))^(2/3))^2))/2))&gt;0,((X64+Y64)/2),Y64)</f>
        <v/>
      </c>
      <c r="AB64" s="5">
        <f>IF((((Z64+AA64)/2)+(C64/(D64*((Z64+AA64)/2)))^2/(2*9.81)+B64-(G63+H63^2/(2*9.81))-(A63-A64)*(((DATOS!$B$34*(C64/(D64*((Z64+AA64)/2)))/((D64*((Z64+AA64)/2))/(D64+2*((Z64+AA64)/2)))^(2/3))^2+((DATOS!$B$34*H63/((D63*F63)/(D63+2*F63))^(2/3))^2))/2))&gt;0,Z64,((Z64+AA64)/2))</f>
        <v/>
      </c>
      <c r="AC64" s="5">
        <f>IF((((Z64+AA64)/2)+(C64/(D64*((Z64+AA64)/2)))^2/(2*9.81)+B64-(G63+H63^2/(2*9.81))-(A63-A64)*(((DATOS!$B$34*(C64/(D64*((Z64+AA64)/2)))/((D64*((Z64+AA64)/2))/(D64+2*((Z64+AA64)/2)))^(2/3))^2+((DATOS!$B$34*H63/((D63*F63)/(D63+2*F63))^(2/3))^2))/2))&gt;0,((Z64+AA64)/2),AA64)</f>
        <v/>
      </c>
      <c r="AD64" s="5">
        <f>IF((((AB64+AC64)/2)+(C64/(D64*((AB64+AC64)/2)))^2/(2*9.81)+B64-(G63+H63^2/(2*9.81))-(A63-A64)*(((DATOS!$B$34*(C64/(D64*((AB64+AC64)/2)))/((D64*((AB64+AC64)/2))/(D64+2*((AB64+AC64)/2)))^(2/3))^2+((DATOS!$B$34*H63/((D63*F63)/(D63+2*F63))^(2/3))^2))/2))&gt;0,AB64,((AB64+AC64)/2))</f>
        <v/>
      </c>
      <c r="AE64" s="5">
        <f>IF((((AB64+AC64)/2)+(C64/(D64*((AB64+AC64)/2)))^2/(2*9.81)+B64-(G63+H63^2/(2*9.81))-(A63-A64)*(((DATOS!$B$34*(C64/(D64*((AB64+AC64)/2)))/((D64*((AB64+AC64)/2))/(D64+2*((AB64+AC64)/2)))^(2/3))^2+((DATOS!$B$34*H63/((D63*F63)/(D63+2*F63))^(2/3))^2))/2))&gt;0,((AB64+AC64)/2),AC64)</f>
        <v/>
      </c>
      <c r="AF64" s="5">
        <f>IF((((AD64+AE64)/2)+(C64/(D64*((AD64+AE64)/2)))^2/(2*9.81)+B64-(G63+H63^2/(2*9.81))-(A63-A64)*(((DATOS!$B$34*(C64/(D64*((AD64+AE64)/2)))/((D64*((AD64+AE64)/2))/(D64+2*((AD64+AE64)/2)))^(2/3))^2+((DATOS!$B$34*H63/((D63*F63)/(D63+2*F63))^(2/3))^2))/2))&gt;0,AD64,((AD64+AE64)/2))</f>
        <v/>
      </c>
      <c r="AG64" s="5">
        <f>IF((((AD64+AE64)/2)+(C64/(D64*((AD64+AE64)/2)))^2/(2*9.81)+B64-(G63+H63^2/(2*9.81))-(A63-A64)*(((DATOS!$B$34*(C64/(D64*((AD64+AE64)/2)))/((D64*((AD64+AE64)/2))/(D64+2*((AD64+AE64)/2)))^(2/3))^2+((DATOS!$B$34*H63/((D63*F63)/(D63+2*F63))^(2/3))^2))/2))&gt;0,((AD64+AE64)/2),AE64)</f>
        <v/>
      </c>
      <c r="AH64" s="5">
        <f>IF((((AF64+AG64)/2)+(C64/(D64*((AF64+AG64)/2)))^2/(2*9.81)+B64-(G63+H63^2/(2*9.81))-(A63-A64)*(((DATOS!$B$34*(C64/(D64*((AF64+AG64)/2)))/((D64*((AF64+AG64)/2))/(D64+2*((AF64+AG64)/2)))^(2/3))^2+((DATOS!$B$34*H63/((D63*F63)/(D63+2*F63))^(2/3))^2))/2))&gt;0,AF64,((AF64+AG64)/2))</f>
        <v/>
      </c>
      <c r="AI64" s="5">
        <f>IF((((AF64+AG64)/2)+(C64/(D64*((AF64+AG64)/2)))^2/(2*9.81)+B64-(G63+H63^2/(2*9.81))-(A63-A64)*(((DATOS!$B$34*(C64/(D64*((AF64+AG64)/2)))/((D64*((AF64+AG64)/2))/(D64+2*((AF64+AG64)/2)))^(2/3))^2+((DATOS!$B$34*H63/((D63*F63)/(D63+2*F63))^(2/3))^2))/2))&gt;0,((AF64+AG64)/2),AG64)</f>
        <v/>
      </c>
      <c r="AJ64" s="5">
        <f>IF((((AH64+AI64)/2)+(C64/(D64*((AH64+AI64)/2)))^2/(2*9.81)+B64-(G63+H63^2/(2*9.81))-(A63-A64)*(((DATOS!$B$34*(C64/(D64*((AH64+AI64)/2)))/((D64*((AH64+AI64)/2))/(D64+2*((AH64+AI64)/2)))^(2/3))^2+((DATOS!$B$34*H63/((D63*F63)/(D63+2*F63))^(2/3))^2))/2))&gt;0,AH64,((AH64+AI64)/2))</f>
        <v/>
      </c>
      <c r="AK64" s="5">
        <f>IF((((AH64+AI64)/2)+(C64/(D64*((AH64+AI64)/2)))^2/(2*9.81)+B64-(G63+H63^2/(2*9.81))-(A63-A64)*(((DATOS!$B$34*(C64/(D64*((AH64+AI64)/2)))/((D64*((AH64+AI64)/2))/(D64+2*((AH64+AI64)/2)))^(2/3))^2+((DATOS!$B$34*H63/((D63*F63)/(D63+2*F63))^(2/3))^2))/2))&gt;0,((AH64+AI64)/2),AI64)</f>
        <v/>
      </c>
      <c r="AL64" s="5">
        <f>IF((((AJ64+AK64)/2)+(C64/(D64*((AJ64+AK64)/2)))^2/(2*9.81)+B64-(G63+H63^2/(2*9.81))-(A63-A64)*(((DATOS!$B$34*(C64/(D64*((AJ64+AK64)/2)))/((D64*((AJ64+AK64)/2))/(D64+2*((AJ64+AK64)/2)))^(2/3))^2+((DATOS!$B$34*H63/((D63*F63)/(D63+2*F63))^(2/3))^2))/2))&gt;0,AJ64,((AJ64+AK64)/2))</f>
        <v/>
      </c>
      <c r="AM64" s="5">
        <f>IF((((AJ64+AK64)/2)+(C64/(D64*((AJ64+AK64)/2)))^2/(2*9.81)+B64-(G63+H63^2/(2*9.81))-(A63-A64)*(((DATOS!$B$34*(C64/(D64*((AJ64+AK64)/2)))/((D64*((AJ64+AK64)/2))/(D64+2*((AJ64+AK64)/2)))^(2/3))^2+((DATOS!$B$34*H63/((D63*F63)/(D63+2*F63))^(2/3))^2))/2))&gt;0,((AJ64+AK64)/2),AK64)</f>
        <v/>
      </c>
      <c r="AN64" s="5">
        <f>IF((((AL64+AM64)/2)+(C64/(D64*((AL64+AM64)/2)))^2/(2*9.81)+B64-(G63+H63^2/(2*9.81))-(A63-A64)*(((DATOS!$B$34*(C64/(D64*((AL64+AM64)/2)))/((D64*((AL64+AM64)/2))/(D64+2*((AL64+AM64)/2)))^(2/3))^2+((DATOS!$B$34*H63/((D63*F63)/(D63+2*F63))^(2/3))^2))/2))&gt;0,AL64,((AL64+AM64)/2))</f>
        <v/>
      </c>
      <c r="AO64" s="5">
        <f>IF((((AL64+AM64)/2)+(C64/(D64*((AL64+AM64)/2)))^2/(2*9.81)+B64-(G63+H63^2/(2*9.81))-(A63-A64)*(((DATOS!$B$34*(C64/(D64*((AL64+AM64)/2)))/((D64*((AL64+AM64)/2))/(D64+2*((AL64+AM64)/2)))^(2/3))^2+((DATOS!$B$34*H63/((D63*F63)/(D63+2*F63))^(2/3))^2))/2))&gt;0,((AL64+AM64)/2),AM64)</f>
        <v/>
      </c>
      <c r="AP64" s="5">
        <f>IF((((AN64+AO64)/2)+(C64/(D64*((AN64+AO64)/2)))^2/(2*9.81)+B64-(G63+H63^2/(2*9.81))-(A63-A64)*(((DATOS!$B$34*(C64/(D64*((AN64+AO64)/2)))/((D64*((AN64+AO64)/2))/(D64+2*((AN64+AO64)/2)))^(2/3))^2+((DATOS!$B$34*H63/((D63*F63)/(D63+2*F63))^(2/3))^2))/2))&gt;0,AN64,((AN64+AO64)/2))</f>
        <v/>
      </c>
      <c r="AQ64" s="5">
        <f>IF((((AN64+AO64)/2)+(C64/(D64*((AN64+AO64)/2)))^2/(2*9.81)+B64-(G63+H63^2/(2*9.81))-(A63-A64)*(((DATOS!$B$34*(C64/(D64*((AN64+AO64)/2)))/((D64*((AN64+AO64)/2))/(D64+2*((AN64+AO64)/2)))^(2/3))^2+((DATOS!$B$34*H63/((D63*F63)/(D63+2*F63))^(2/3))^2))/2))&gt;0,((AN64+AO64)/2),AO64)</f>
        <v/>
      </c>
      <c r="AR64" s="5">
        <f>IF((((AP64+AQ64)/2)+(C64/(D64*((AP64+AQ64)/2)))^2/(2*9.81)+B64-(G63+H63^2/(2*9.81))-(A63-A64)*(((DATOS!$B$34*(C64/(D64*((AP64+AQ64)/2)))/((D64*((AP64+AQ64)/2))/(D64+2*((AP64+AQ64)/2)))^(2/3))^2+((DATOS!$B$34*H63/((D63*F63)/(D63+2*F63))^(2/3))^2))/2))&gt;0,AP64,((AP64+AQ64)/2))</f>
        <v/>
      </c>
      <c r="AS64" s="5">
        <f>IF((((AP64+AQ64)/2)+(C64/(D64*((AP64+AQ64)/2)))^2/(2*9.81)+B64-(G63+H63^2/(2*9.81))-(A63-A64)*(((DATOS!$B$34*(C64/(D64*((AP64+AQ64)/2)))/((D64*((AP64+AQ64)/2))/(D64+2*((AP64+AQ64)/2)))^(2/3))^2+((DATOS!$B$34*H63/((D63*F63)/(D63+2*F63))^(2/3))^2))/2))&gt;0,((AP64+AQ64)/2),AQ64)</f>
        <v/>
      </c>
      <c r="AT64" s="5">
        <f>IF((((AR64+AS64)/2)+(C64/(D64*((AR64+AS64)/2)))^2/(2*9.81)+B64-(G63+H63^2/(2*9.81))-(A63-A64)*(((DATOS!$B$34*(C64/(D64*((AR64+AS64)/2)))/((D64*((AR64+AS64)/2))/(D64+2*((AR64+AS64)/2)))^(2/3))^2+((DATOS!$B$34*H63/((D63*F63)/(D63+2*F63))^(2/3))^2))/2))&gt;0,AR64,((AR64+AS64)/2))</f>
        <v/>
      </c>
      <c r="AU64" s="5">
        <f>IF((((AR64+AS64)/2)+(C64/(D64*((AR64+AS64)/2)))^2/(2*9.81)+B64-(G63+H63^2/(2*9.81))-(A63-A64)*(((DATOS!$B$34*(C64/(D64*((AR64+AS64)/2)))/((D64*((AR64+AS64)/2))/(D64+2*((AR64+AS64)/2)))^(2/3))^2+((DATOS!$B$34*H63/((D63*F63)/(D63+2*F63))^(2/3))^2))/2))&gt;0,((AR64+AS64)/2),AS64)</f>
        <v/>
      </c>
      <c r="AV64" s="5">
        <f>IF((((AT64+AU64)/2)+(C64/(D64*((AT64+AU64)/2)))^2/(2*9.81)+B64-(G63+H63^2/(2*9.81))-(A63-A64)*(((DATOS!$B$34*(C64/(D64*((AT64+AU64)/2)))/((D64*((AT64+AU64)/2))/(D64+2*((AT64+AU64)/2)))^(2/3))^2+((DATOS!$B$34*H63/((D63*F63)/(D63+2*F63))^(2/3))^2))/2))&gt;0,AT64,((AT64+AU64)/2))</f>
        <v/>
      </c>
      <c r="AW64" s="5">
        <f>IF((((AT64+AU64)/2)+(C64/(D64*((AT64+AU64)/2)))^2/(2*9.81)+B64-(G63+H63^2/(2*9.81))-(A63-A64)*(((DATOS!$B$34*(C64/(D64*((AT64+AU64)/2)))/((D64*((AT64+AU64)/2))/(D64+2*((AT64+AU64)/2)))^(2/3))^2+((DATOS!$B$34*H63/((D63*F63)/(D63+2*F63))^(2/3))^2))/2))&gt;0,((AT64+AU64)/2),AU64)</f>
        <v/>
      </c>
      <c r="AX64" s="5">
        <f>IF((((AV64+AW64)/2)+(C64/(D64*((AV64+AW64)/2)))^2/(2*9.81)+B64-(G63+H63^2/(2*9.81))-(A63-A64)*(((DATOS!$B$34*(C64/(D64*((AV64+AW64)/2)))/((D64*((AV64+AW64)/2))/(D64+2*((AV64+AW64)/2)))^(2/3))^2+((DATOS!$B$34*H63/((D63*F63)/(D63+2*F63))^(2/3))^2))/2))&gt;0,AV64,((AV64+AW64)/2))</f>
        <v/>
      </c>
      <c r="AY64" s="5">
        <f>IF((((AV64+AW64)/2)+(C64/(D64*((AV64+AW64)/2)))^2/(2*9.81)+B64-(G63+H63^2/(2*9.81))-(A63-A64)*(((DATOS!$B$34*(C64/(D64*((AV64+AW64)/2)))/((D64*((AV64+AW64)/2))/(D64+2*((AV64+AW64)/2)))^(2/3))^2+((DATOS!$B$34*H63/((D63*F63)/(D63+2*F63))^(2/3))^2))/2))&gt;0,((AV64+AW64)/2),AW64)</f>
        <v/>
      </c>
      <c r="AZ64" s="5">
        <f>IF((((AX64+AY64)/2)+(C64/(D64*((AX64+AY64)/2)))^2/(2*9.81)+B64-(G63+H63^2/(2*9.81))-(A63-A64)*(((DATOS!$B$34*(C64/(D64*((AX64+AY64)/2)))/((D64*((AX64+AY64)/2))/(D64+2*((AX64+AY64)/2)))^(2/3))^2+((DATOS!$B$34*H63/((D63*F63)/(D63+2*F63))^(2/3))^2))/2))&gt;0,AX64,((AX64+AY64)/2))</f>
        <v/>
      </c>
      <c r="BA64" s="5">
        <f>IF((((AX64+AY64)/2)+(C64/(D64*((AX64+AY64)/2)))^2/(2*9.81)+B64-(G63+H63^2/(2*9.81))-(A63-A64)*(((DATOS!$B$34*(C64/(D64*((AX64+AY64)/2)))/((D64*((AX64+AY64)/2))/(D64+2*((AX64+AY64)/2)))^(2/3))^2+((DATOS!$B$34*H63/((D63*F63)/(D63+2*F63))^(2/3))^2))/2))&gt;0,((AX64+AY64)/2),AY64)</f>
        <v/>
      </c>
      <c r="BB64" s="5">
        <f>IF((((AZ64+BA64)/2)+(C64/(D64*((AZ64+BA64)/2)))^2/(2*9.81)+B64-(G63+H63^2/(2*9.81))-(A63-A64)*(((DATOS!$B$34*(C64/(D64*((AZ64+BA64)/2)))/((D64*((AZ64+BA64)/2))/(D64+2*((AZ64+BA64)/2)))^(2/3))^2+((DATOS!$B$34*H63/((D63*F63)/(D63+2*F63))^(2/3))^2))/2))&gt;0,AZ64,((AZ64+BA64)/2))</f>
        <v/>
      </c>
      <c r="BC64" s="5">
        <f>IF((((AZ64+BA64)/2)+(C64/(D64*((AZ64+BA64)/2)))^2/(2*9.81)+B64-(G63+H63^2/(2*9.81))-(A63-A64)*(((DATOS!$B$34*(C64/(D64*((AZ64+BA64)/2)))/((D64*((AZ64+BA64)/2))/(D64+2*((AZ64+BA64)/2)))^(2/3))^2+((DATOS!$B$34*H63/((D63*F63)/(D63+2*F63))^(2/3))^2))/2))&gt;0,((AZ64+BA64)/2),BA64)</f>
        <v/>
      </c>
      <c r="BD64" s="5">
        <f>IF((((BB64+BC64)/2)+(C64/(D64*((BB64+BC64)/2)))^2/(2*9.81)+B64-(G63+H63^2/(2*9.81))-(A63-A64)*(((DATOS!$B$34*(C64/(D64*((BB64+BC64)/2)))/((D64*((BB64+BC64)/2))/(D64+2*((BB64+BC64)/2)))^(2/3))^2+((DATOS!$B$34*H63/((D63*F63)/(D63+2*F63))^(2/3))^2))/2))&gt;0,BB64,((BB64+BC64)/2))</f>
        <v/>
      </c>
      <c r="BE64" s="5">
        <f>IF((((BB64+BC64)/2)+(C64/(D64*((BB64+BC64)/2)))^2/(2*9.81)+B64-(G63+H63^2/(2*9.81))-(A63-A64)*(((DATOS!$B$34*(C64/(D64*((BB64+BC64)/2)))/((D64*((BB64+BC64)/2))/(D64+2*((BB64+BC64)/2)))^(2/3))^2+((DATOS!$B$34*H63/((D63*F63)/(D63+2*F63))^(2/3))^2))/2))&gt;0,((BB64+BC64)/2),BC64)</f>
        <v/>
      </c>
      <c r="BF64" s="5">
        <f>IF((((BD64+BE64)/2)+(C64/(D64*((BD64+BE64)/2)))^2/(2*9.81)+B64-(G63+H63^2/(2*9.81))-(A63-A64)*(((DATOS!$B$34*(C64/(D64*((BD64+BE64)/2)))/((D64*((BD64+BE64)/2))/(D64+2*((BD64+BE64)/2)))^(2/3))^2+((DATOS!$B$34*H63/((D63*F63)/(D63+2*F63))^(2/3))^2))/2))&gt;0,BD64,((BD64+BE64)/2))</f>
        <v/>
      </c>
      <c r="BG64" s="5">
        <f>IF((((BD64+BE64)/2)+(C64/(D64*((BD64+BE64)/2)))^2/(2*9.81)+B64-(G63+H63^2/(2*9.81))-(A63-A64)*(((DATOS!$B$34*(C64/(D64*((BD64+BE64)/2)))/((D64*((BD64+BE64)/2))/(D64+2*((BD64+BE64)/2)))^(2/3))^2+((DATOS!$B$34*H63/((D63*F63)/(D63+2*F63))^(2/3))^2))/2))&gt;0,((BD64+BE64)/2),BE64)</f>
        <v/>
      </c>
      <c r="BH64" s="5">
        <f>IF((((BF64+BG64)/2)+(C64/(D64*((BF64+BG64)/2)))^2/(2*9.81)+B64-(G63+H63^2/(2*9.81))-(A63-A64)*(((DATOS!$B$34*(C64/(D64*((BF64+BG64)/2)))/((D64*((BF64+BG64)/2))/(D64+2*((BF64+BG64)/2)))^(2/3))^2+((DATOS!$B$34*H63/((D63*F63)/(D63+2*F63))^(2/3))^2))/2))&gt;0,BF64,((BF64+BG64)/2))</f>
        <v/>
      </c>
      <c r="BI64" s="5">
        <f>IF((((BF64+BG64)/2)+(C64/(D64*((BF64+BG64)/2)))^2/(2*9.81)+B64-(G63+H63^2/(2*9.81))-(A63-A64)*(((DATOS!$B$34*(C64/(D64*((BF64+BG64)/2)))/((D64*((BF64+BG64)/2))/(D64+2*((BF64+BG64)/2)))^(2/3))^2+((DATOS!$B$34*H63/((D63*F63)/(D63+2*F63))^(2/3))^2))/2))&gt;0,((BF64+BG64)/2),BG64)</f>
        <v/>
      </c>
      <c r="BJ64" s="5">
        <f>IF((((BH64+BI64)/2)+(C64/(D64*((BH64+BI64)/2)))^2/(2*9.81)+B64-(G63+H63^2/(2*9.81))-(A63-A64)*(((DATOS!$B$34*(C64/(D64*((BH64+BI64)/2)))/((D64*((BH64+BI64)/2))/(D64+2*((BH64+BI64)/2)))^(2/3))^2+((DATOS!$B$34*H63/((D63*F63)/(D63+2*F63))^(2/3))^2))/2))&gt;0,BH64,((BH64+BI64)/2))</f>
        <v/>
      </c>
      <c r="BK64" s="5">
        <f>IF((((BH64+BI64)/2)+(C64/(D64*((BH64+BI64)/2)))^2/(2*9.81)+B64-(G63+H63^2/(2*9.81))-(A63-A64)*(((DATOS!$B$34*(C64/(D64*((BH64+BI64)/2)))/((D64*((BH64+BI64)/2))/(D64+2*((BH64+BI64)/2)))^(2/3))^2+((DATOS!$B$34*H63/((D63*F63)/(D63+2*F63))^(2/3))^2))/2))&gt;0,((BH64+BI64)/2),BI64)</f>
        <v/>
      </c>
      <c r="BL64" s="5">
        <f>IF((((BJ64+BK64)/2)+(C64/(D64*((BJ64+BK64)/2)))^2/(2*9.81)+B64-(G63+H63^2/(2*9.81))-(A63-A64)*(((DATOS!$B$34*(C64/(D64*((BJ64+BK64)/2)))/((D64*((BJ64+BK64)/2))/(D64+2*((BJ64+BK64)/2)))^(2/3))^2+((DATOS!$B$34*H63/((D63*F63)/(D63+2*F63))^(2/3))^2))/2))&gt;0,BJ64,((BJ64+BK64)/2))</f>
        <v/>
      </c>
      <c r="BM64" s="5">
        <f>IF((((BJ64+BK64)/2)+(C64/(D64*((BJ64+BK64)/2)))^2/(2*9.81)+B64-(G63+H63^2/(2*9.81))-(A63-A64)*(((DATOS!$B$34*(C64/(D64*((BJ64+BK64)/2)))/((D64*((BJ64+BK64)/2))/(D64+2*((BJ64+BK64)/2)))^(2/3))^2+((DATOS!$B$34*H63/((D63*F63)/(D63+2*F63))^(2/3))^2))/2))&gt;0,((BJ64+BK64)/2),BK64)</f>
        <v/>
      </c>
      <c r="BN64" s="5">
        <f>IF((((BL64+BM64)/2)+(C64/(D64*((BL64+BM64)/2)))^2/(2*9.81)+B64-(G63+H63^2/(2*9.81))-(A63-A64)*(((DATOS!$B$34*(C64/(D64*((BL64+BM64)/2)))/((D64*((BL64+BM64)/2))/(D64+2*((BL64+BM64)/2)))^(2/3))^2+((DATOS!$B$34*H63/((D63*F63)/(D63+2*F63))^(2/3))^2))/2))&gt;0,BL64,((BL64+BM64)/2))</f>
        <v/>
      </c>
      <c r="BO64" s="5">
        <f>IF((((BL64+BM64)/2)+(C64/(D64*((BL64+BM64)/2)))^2/(2*9.81)+B64-(G63+H63^2/(2*9.81))-(A63-A64)*(((DATOS!$B$34*(C64/(D64*((BL64+BM64)/2)))/((D64*((BL64+BM64)/2))/(D64+2*((BL64+BM64)/2)))^(2/3))^2+((DATOS!$B$34*H63/((D63*F63)/(D63+2*F63))^(2/3))^2))/2))&gt;0,((BL64+BM64)/2),BM64)</f>
        <v/>
      </c>
      <c r="BP64" s="5">
        <f>IF((((BN64+BO64)/2)+(C64/(D64*((BN64+BO64)/2)))^2/(2*9.81)+B64-(G63+H63^2/(2*9.81))-(A63-A64)*(((DATOS!$B$34*(C64/(D64*((BN64+BO64)/2)))/((D64*((BN64+BO64)/2))/(D64+2*((BN64+BO64)/2)))^(2/3))^2+((DATOS!$B$34*H63/((D63*F63)/(D63+2*F63))^(2/3))^2))/2))&gt;0,BN64,((BN64+BO64)/2))</f>
        <v/>
      </c>
      <c r="BQ64" s="5">
        <f>IF((((BN64+BO64)/2)+(C64/(D64*((BN64+BO64)/2)))^2/(2*9.81)+B64-(G63+H63^2/(2*9.81))-(A63-A64)*(((DATOS!$B$34*(C64/(D64*((BN64+BO64)/2)))/((D64*((BN64+BO64)/2))/(D64+2*((BN64+BO64)/2)))^(2/3))^2+((DATOS!$B$34*H63/((D63*F63)/(D63+2*F63))^(2/3))^2))/2))&gt;0,((BN64+BO64)/2),BO64)</f>
        <v/>
      </c>
      <c r="BR64" s="5">
        <f>IF((((BP64+BQ64)/2)+(C64/(D64*((BP64+BQ64)/2)))^2/(2*9.81)+B64-(G63+H63^2/(2*9.81))-(A63-A64)*(((DATOS!$B$34*(C64/(D64*((BP64+BQ64)/2)))/((D64*((BP64+BQ64)/2))/(D64+2*((BP64+BQ64)/2)))^(2/3))^2+((DATOS!$B$34*H63/((D63*F63)/(D63+2*F63))^(2/3))^2))/2))&gt;0,BP64,((BP64+BQ64)/2))</f>
        <v/>
      </c>
      <c r="BS64" s="5">
        <f>IF((((BP64+BQ64)/2)+(C64/(D64*((BP64+BQ64)/2)))^2/(2*9.81)+B64-(G63+H63^2/(2*9.81))-(A63-A64)*(((DATOS!$B$34*(C64/(D64*((BP64+BQ64)/2)))/((D64*((BP64+BQ64)/2))/(D64+2*((BP64+BQ64)/2)))^(2/3))^2+((DATOS!$B$34*H63/((D63*F63)/(D63+2*F63))^(2/3))^2))/2))&gt;0,((BP64+BQ64)/2),BQ64)</f>
        <v/>
      </c>
      <c r="BT64" s="5">
        <f>IF((((BR64+BS64)/2)+(C64/(D64*((BR64+BS64)/2)))^2/(2*9.81)+B64-(G63+H63^2/(2*9.81))-(A63-A64)*(((DATOS!$B$34*(C64/(D64*((BR64+BS64)/2)))/((D64*((BR64+BS64)/2))/(D64+2*((BR64+BS64)/2)))^(2/3))^2+((DATOS!$B$34*H63/((D63*F63)/(D63+2*F63))^(2/3))^2))/2))&gt;0,BR64,((BR64+BS64)/2))</f>
        <v/>
      </c>
      <c r="BU64" s="5">
        <f>IF((((BR64+BS64)/2)+(C64/(D64*((BR64+BS64)/2)))^2/(2*9.81)+B64-(G63+H63^2/(2*9.81))-(A63-A64)*(((DATOS!$B$34*(C64/(D64*((BR64+BS64)/2)))/((D64*((BR64+BS64)/2))/(D64+2*((BR64+BS64)/2)))^(2/3))^2+((DATOS!$B$34*H63/((D63*F63)/(D63+2*F63))^(2/3))^2))/2))&gt;0,((BR64+BS64)/2),BS64)</f>
        <v/>
      </c>
      <c r="BV64" s="5">
        <f>IF((((BT64+BU64)/2)+(C64/(D64*((BT64+BU64)/2)))^2/(2*9.81)+B64-(G63+H63^2/(2*9.81))-(A63-A64)*(((DATOS!$B$34*(C64/(D64*((BT64+BU64)/2)))/((D64*((BT64+BU64)/2))/(D64+2*((BT64+BU64)/2)))^(2/3))^2+((DATOS!$B$34*H63/((D63*F63)/(D63+2*F63))^(2/3))^2))/2))&gt;0,BT64,((BT64+BU64)/2))</f>
        <v/>
      </c>
      <c r="BW64" s="5">
        <f>IF((((BT64+BU64)/2)+(C64/(D64*((BT64+BU64)/2)))^2/(2*9.81)+B64-(G63+H63^2/(2*9.81))-(A63-A64)*(((DATOS!$B$34*(C64/(D64*((BT64+BU64)/2)))/((D64*((BT64+BU64)/2))/(D64+2*((BT64+BU64)/2)))^(2/3))^2+((DATOS!$B$34*H63/((D63*F63)/(D63+2*F63))^(2/3))^2))/2))&gt;0,((BT64+BU64)/2),BU64)</f>
        <v/>
      </c>
    </row>
    <row r="65">
      <c r="A65" s="13" t="n">
        <v>23</v>
      </c>
      <c r="B65" s="16">
        <f>DATOS!$B$22-DATOS!$B$23*A65</f>
        <v/>
      </c>
      <c r="C65" s="24">
        <f>CAUDALES!$B$13</f>
        <v/>
      </c>
      <c r="D65" s="17">
        <f>DATOS!$B$17</f>
        <v/>
      </c>
      <c r="E65" s="16">
        <f>(C65^2/(9.81*D65^2))^(1/3)</f>
        <v/>
      </c>
      <c r="F65" s="16">
        <f>(BV65+BW65)/2</f>
        <v/>
      </c>
      <c r="G65" s="16">
        <f>B65+F65</f>
        <v/>
      </c>
      <c r="H65" s="19">
        <f>C65/(D65*F65)</f>
        <v/>
      </c>
      <c r="I65" s="19">
        <f>H65/SQRT(9.81*F65)</f>
        <v/>
      </c>
      <c r="J65" s="16">
        <f>DATOS!$B$29-IF(AND(A65&gt;=DATOS!$B$30,A65&lt;DATOS!$B$31),DATOS!$B$21,DATOS!$B$20)</f>
        <v/>
      </c>
      <c r="K65" s="19">
        <f>J65-B65</f>
        <v/>
      </c>
      <c r="L65" s="19">
        <f>F65/K65</f>
        <v/>
      </c>
      <c r="M65" s="16">
        <f>J65-G65</f>
        <v/>
      </c>
      <c r="N65" s="5">
        <f>IF(AND(L65&lt;=DATOS!$B$36,M65&gt;=DATOS!$B$37,I65&lt;=1),"CUMPLE","NO CUMPLE")</f>
        <v/>
      </c>
      <c r="O65" s="5">
        <f>IF(AND(A65&gt;=DATOS!$B$30,A65&lt;DATOS!$B$31),"cruce de camiones",IF(AND(A65&gt;=DATOS!$B$32,A65&lt;DATOS!$B$33),"cruce de motos","tramo normal"))</f>
        <v/>
      </c>
      <c r="P65" s="5">
        <f>E65*1.001</f>
        <v/>
      </c>
      <c r="Q65" s="13" t="n">
        <v>3</v>
      </c>
      <c r="R65" s="5">
        <f>IF((((P65+Q65)/2)+(C65/(D65*((P65+Q65)/2)))^2/(2*9.81)+B65-(G64+H64^2/(2*9.81))-(A64-A65)*(((DATOS!$B$34*(C65/(D65*((P65+Q65)/2)))/((D65*((P65+Q65)/2))/(D65+2*((P65+Q65)/2)))^(2/3))^2+((DATOS!$B$34*H64/((D64*F64)/(D64+2*F64))^(2/3))^2))/2))&gt;0,P65,((P65+Q65)/2))</f>
        <v/>
      </c>
      <c r="S65" s="5">
        <f>IF((((P65+Q65)/2)+(C65/(D65*((P65+Q65)/2)))^2/(2*9.81)+B65-(G64+H64^2/(2*9.81))-(A64-A65)*(((DATOS!$B$34*(C65/(D65*((P65+Q65)/2)))/((D65*((P65+Q65)/2))/(D65+2*((P65+Q65)/2)))^(2/3))^2+((DATOS!$B$34*H64/((D64*F64)/(D64+2*F64))^(2/3))^2))/2))&gt;0,((P65+Q65)/2),Q65)</f>
        <v/>
      </c>
      <c r="T65" s="5">
        <f>IF((((R65+S65)/2)+(C65/(D65*((R65+S65)/2)))^2/(2*9.81)+B65-(G64+H64^2/(2*9.81))-(A64-A65)*(((DATOS!$B$34*(C65/(D65*((R65+S65)/2)))/((D65*((R65+S65)/2))/(D65+2*((R65+S65)/2)))^(2/3))^2+((DATOS!$B$34*H64/((D64*F64)/(D64+2*F64))^(2/3))^2))/2))&gt;0,R65,((R65+S65)/2))</f>
        <v/>
      </c>
      <c r="U65" s="5">
        <f>IF((((R65+S65)/2)+(C65/(D65*((R65+S65)/2)))^2/(2*9.81)+B65-(G64+H64^2/(2*9.81))-(A64-A65)*(((DATOS!$B$34*(C65/(D65*((R65+S65)/2)))/((D65*((R65+S65)/2))/(D65+2*((R65+S65)/2)))^(2/3))^2+((DATOS!$B$34*H64/((D64*F64)/(D64+2*F64))^(2/3))^2))/2))&gt;0,((R65+S65)/2),S65)</f>
        <v/>
      </c>
      <c r="V65" s="5">
        <f>IF((((T65+U65)/2)+(C65/(D65*((T65+U65)/2)))^2/(2*9.81)+B65-(G64+H64^2/(2*9.81))-(A64-A65)*(((DATOS!$B$34*(C65/(D65*((T65+U65)/2)))/((D65*((T65+U65)/2))/(D65+2*((T65+U65)/2)))^(2/3))^2+((DATOS!$B$34*H64/((D64*F64)/(D64+2*F64))^(2/3))^2))/2))&gt;0,T65,((T65+U65)/2))</f>
        <v/>
      </c>
      <c r="W65" s="5">
        <f>IF((((T65+U65)/2)+(C65/(D65*((T65+U65)/2)))^2/(2*9.81)+B65-(G64+H64^2/(2*9.81))-(A64-A65)*(((DATOS!$B$34*(C65/(D65*((T65+U65)/2)))/((D65*((T65+U65)/2))/(D65+2*((T65+U65)/2)))^(2/3))^2+((DATOS!$B$34*H64/((D64*F64)/(D64+2*F64))^(2/3))^2))/2))&gt;0,((T65+U65)/2),U65)</f>
        <v/>
      </c>
      <c r="X65" s="5">
        <f>IF((((V65+W65)/2)+(C65/(D65*((V65+W65)/2)))^2/(2*9.81)+B65-(G64+H64^2/(2*9.81))-(A64-A65)*(((DATOS!$B$34*(C65/(D65*((V65+W65)/2)))/((D65*((V65+W65)/2))/(D65+2*((V65+W65)/2)))^(2/3))^2+((DATOS!$B$34*H64/((D64*F64)/(D64+2*F64))^(2/3))^2))/2))&gt;0,V65,((V65+W65)/2))</f>
        <v/>
      </c>
      <c r="Y65" s="5">
        <f>IF((((V65+W65)/2)+(C65/(D65*((V65+W65)/2)))^2/(2*9.81)+B65-(G64+H64^2/(2*9.81))-(A64-A65)*(((DATOS!$B$34*(C65/(D65*((V65+W65)/2)))/((D65*((V65+W65)/2))/(D65+2*((V65+W65)/2)))^(2/3))^2+((DATOS!$B$34*H64/((D64*F64)/(D64+2*F64))^(2/3))^2))/2))&gt;0,((V65+W65)/2),W65)</f>
        <v/>
      </c>
      <c r="Z65" s="5">
        <f>IF((((X65+Y65)/2)+(C65/(D65*((X65+Y65)/2)))^2/(2*9.81)+B65-(G64+H64^2/(2*9.81))-(A64-A65)*(((DATOS!$B$34*(C65/(D65*((X65+Y65)/2)))/((D65*((X65+Y65)/2))/(D65+2*((X65+Y65)/2)))^(2/3))^2+((DATOS!$B$34*H64/((D64*F64)/(D64+2*F64))^(2/3))^2))/2))&gt;0,X65,((X65+Y65)/2))</f>
        <v/>
      </c>
      <c r="AA65" s="5">
        <f>IF((((X65+Y65)/2)+(C65/(D65*((X65+Y65)/2)))^2/(2*9.81)+B65-(G64+H64^2/(2*9.81))-(A64-A65)*(((DATOS!$B$34*(C65/(D65*((X65+Y65)/2)))/((D65*((X65+Y65)/2))/(D65+2*((X65+Y65)/2)))^(2/3))^2+((DATOS!$B$34*H64/((D64*F64)/(D64+2*F64))^(2/3))^2))/2))&gt;0,((X65+Y65)/2),Y65)</f>
        <v/>
      </c>
      <c r="AB65" s="5">
        <f>IF((((Z65+AA65)/2)+(C65/(D65*((Z65+AA65)/2)))^2/(2*9.81)+B65-(G64+H64^2/(2*9.81))-(A64-A65)*(((DATOS!$B$34*(C65/(D65*((Z65+AA65)/2)))/((D65*((Z65+AA65)/2))/(D65+2*((Z65+AA65)/2)))^(2/3))^2+((DATOS!$B$34*H64/((D64*F64)/(D64+2*F64))^(2/3))^2))/2))&gt;0,Z65,((Z65+AA65)/2))</f>
        <v/>
      </c>
      <c r="AC65" s="5">
        <f>IF((((Z65+AA65)/2)+(C65/(D65*((Z65+AA65)/2)))^2/(2*9.81)+B65-(G64+H64^2/(2*9.81))-(A64-A65)*(((DATOS!$B$34*(C65/(D65*((Z65+AA65)/2)))/((D65*((Z65+AA65)/2))/(D65+2*((Z65+AA65)/2)))^(2/3))^2+((DATOS!$B$34*H64/((D64*F64)/(D64+2*F64))^(2/3))^2))/2))&gt;0,((Z65+AA65)/2),AA65)</f>
        <v/>
      </c>
      <c r="AD65" s="5">
        <f>IF((((AB65+AC65)/2)+(C65/(D65*((AB65+AC65)/2)))^2/(2*9.81)+B65-(G64+H64^2/(2*9.81))-(A64-A65)*(((DATOS!$B$34*(C65/(D65*((AB65+AC65)/2)))/((D65*((AB65+AC65)/2))/(D65+2*((AB65+AC65)/2)))^(2/3))^2+((DATOS!$B$34*H64/((D64*F64)/(D64+2*F64))^(2/3))^2))/2))&gt;0,AB65,((AB65+AC65)/2))</f>
        <v/>
      </c>
      <c r="AE65" s="5">
        <f>IF((((AB65+AC65)/2)+(C65/(D65*((AB65+AC65)/2)))^2/(2*9.81)+B65-(G64+H64^2/(2*9.81))-(A64-A65)*(((DATOS!$B$34*(C65/(D65*((AB65+AC65)/2)))/((D65*((AB65+AC65)/2))/(D65+2*((AB65+AC65)/2)))^(2/3))^2+((DATOS!$B$34*H64/((D64*F64)/(D64+2*F64))^(2/3))^2))/2))&gt;0,((AB65+AC65)/2),AC65)</f>
        <v/>
      </c>
      <c r="AF65" s="5">
        <f>IF((((AD65+AE65)/2)+(C65/(D65*((AD65+AE65)/2)))^2/(2*9.81)+B65-(G64+H64^2/(2*9.81))-(A64-A65)*(((DATOS!$B$34*(C65/(D65*((AD65+AE65)/2)))/((D65*((AD65+AE65)/2))/(D65+2*((AD65+AE65)/2)))^(2/3))^2+((DATOS!$B$34*H64/((D64*F64)/(D64+2*F64))^(2/3))^2))/2))&gt;0,AD65,((AD65+AE65)/2))</f>
        <v/>
      </c>
      <c r="AG65" s="5">
        <f>IF((((AD65+AE65)/2)+(C65/(D65*((AD65+AE65)/2)))^2/(2*9.81)+B65-(G64+H64^2/(2*9.81))-(A64-A65)*(((DATOS!$B$34*(C65/(D65*((AD65+AE65)/2)))/((D65*((AD65+AE65)/2))/(D65+2*((AD65+AE65)/2)))^(2/3))^2+((DATOS!$B$34*H64/((D64*F64)/(D64+2*F64))^(2/3))^2))/2))&gt;0,((AD65+AE65)/2),AE65)</f>
        <v/>
      </c>
      <c r="AH65" s="5">
        <f>IF((((AF65+AG65)/2)+(C65/(D65*((AF65+AG65)/2)))^2/(2*9.81)+B65-(G64+H64^2/(2*9.81))-(A64-A65)*(((DATOS!$B$34*(C65/(D65*((AF65+AG65)/2)))/((D65*((AF65+AG65)/2))/(D65+2*((AF65+AG65)/2)))^(2/3))^2+((DATOS!$B$34*H64/((D64*F64)/(D64+2*F64))^(2/3))^2))/2))&gt;0,AF65,((AF65+AG65)/2))</f>
        <v/>
      </c>
      <c r="AI65" s="5">
        <f>IF((((AF65+AG65)/2)+(C65/(D65*((AF65+AG65)/2)))^2/(2*9.81)+B65-(G64+H64^2/(2*9.81))-(A64-A65)*(((DATOS!$B$34*(C65/(D65*((AF65+AG65)/2)))/((D65*((AF65+AG65)/2))/(D65+2*((AF65+AG65)/2)))^(2/3))^2+((DATOS!$B$34*H64/((D64*F64)/(D64+2*F64))^(2/3))^2))/2))&gt;0,((AF65+AG65)/2),AG65)</f>
        <v/>
      </c>
      <c r="AJ65" s="5">
        <f>IF((((AH65+AI65)/2)+(C65/(D65*((AH65+AI65)/2)))^2/(2*9.81)+B65-(G64+H64^2/(2*9.81))-(A64-A65)*(((DATOS!$B$34*(C65/(D65*((AH65+AI65)/2)))/((D65*((AH65+AI65)/2))/(D65+2*((AH65+AI65)/2)))^(2/3))^2+((DATOS!$B$34*H64/((D64*F64)/(D64+2*F64))^(2/3))^2))/2))&gt;0,AH65,((AH65+AI65)/2))</f>
        <v/>
      </c>
      <c r="AK65" s="5">
        <f>IF((((AH65+AI65)/2)+(C65/(D65*((AH65+AI65)/2)))^2/(2*9.81)+B65-(G64+H64^2/(2*9.81))-(A64-A65)*(((DATOS!$B$34*(C65/(D65*((AH65+AI65)/2)))/((D65*((AH65+AI65)/2))/(D65+2*((AH65+AI65)/2)))^(2/3))^2+((DATOS!$B$34*H64/((D64*F64)/(D64+2*F64))^(2/3))^2))/2))&gt;0,((AH65+AI65)/2),AI65)</f>
        <v/>
      </c>
      <c r="AL65" s="5">
        <f>IF((((AJ65+AK65)/2)+(C65/(D65*((AJ65+AK65)/2)))^2/(2*9.81)+B65-(G64+H64^2/(2*9.81))-(A64-A65)*(((DATOS!$B$34*(C65/(D65*((AJ65+AK65)/2)))/((D65*((AJ65+AK65)/2))/(D65+2*((AJ65+AK65)/2)))^(2/3))^2+((DATOS!$B$34*H64/((D64*F64)/(D64+2*F64))^(2/3))^2))/2))&gt;0,AJ65,((AJ65+AK65)/2))</f>
        <v/>
      </c>
      <c r="AM65" s="5">
        <f>IF((((AJ65+AK65)/2)+(C65/(D65*((AJ65+AK65)/2)))^2/(2*9.81)+B65-(G64+H64^2/(2*9.81))-(A64-A65)*(((DATOS!$B$34*(C65/(D65*((AJ65+AK65)/2)))/((D65*((AJ65+AK65)/2))/(D65+2*((AJ65+AK65)/2)))^(2/3))^2+((DATOS!$B$34*H64/((D64*F64)/(D64+2*F64))^(2/3))^2))/2))&gt;0,((AJ65+AK65)/2),AK65)</f>
        <v/>
      </c>
      <c r="AN65" s="5">
        <f>IF((((AL65+AM65)/2)+(C65/(D65*((AL65+AM65)/2)))^2/(2*9.81)+B65-(G64+H64^2/(2*9.81))-(A64-A65)*(((DATOS!$B$34*(C65/(D65*((AL65+AM65)/2)))/((D65*((AL65+AM65)/2))/(D65+2*((AL65+AM65)/2)))^(2/3))^2+((DATOS!$B$34*H64/((D64*F64)/(D64+2*F64))^(2/3))^2))/2))&gt;0,AL65,((AL65+AM65)/2))</f>
        <v/>
      </c>
      <c r="AO65" s="5">
        <f>IF((((AL65+AM65)/2)+(C65/(D65*((AL65+AM65)/2)))^2/(2*9.81)+B65-(G64+H64^2/(2*9.81))-(A64-A65)*(((DATOS!$B$34*(C65/(D65*((AL65+AM65)/2)))/((D65*((AL65+AM65)/2))/(D65+2*((AL65+AM65)/2)))^(2/3))^2+((DATOS!$B$34*H64/((D64*F64)/(D64+2*F64))^(2/3))^2))/2))&gt;0,((AL65+AM65)/2),AM65)</f>
        <v/>
      </c>
      <c r="AP65" s="5">
        <f>IF((((AN65+AO65)/2)+(C65/(D65*((AN65+AO65)/2)))^2/(2*9.81)+B65-(G64+H64^2/(2*9.81))-(A64-A65)*(((DATOS!$B$34*(C65/(D65*((AN65+AO65)/2)))/((D65*((AN65+AO65)/2))/(D65+2*((AN65+AO65)/2)))^(2/3))^2+((DATOS!$B$34*H64/((D64*F64)/(D64+2*F64))^(2/3))^2))/2))&gt;0,AN65,((AN65+AO65)/2))</f>
        <v/>
      </c>
      <c r="AQ65" s="5">
        <f>IF((((AN65+AO65)/2)+(C65/(D65*((AN65+AO65)/2)))^2/(2*9.81)+B65-(G64+H64^2/(2*9.81))-(A64-A65)*(((DATOS!$B$34*(C65/(D65*((AN65+AO65)/2)))/((D65*((AN65+AO65)/2))/(D65+2*((AN65+AO65)/2)))^(2/3))^2+((DATOS!$B$34*H64/((D64*F64)/(D64+2*F64))^(2/3))^2))/2))&gt;0,((AN65+AO65)/2),AO65)</f>
        <v/>
      </c>
      <c r="AR65" s="5">
        <f>IF((((AP65+AQ65)/2)+(C65/(D65*((AP65+AQ65)/2)))^2/(2*9.81)+B65-(G64+H64^2/(2*9.81))-(A64-A65)*(((DATOS!$B$34*(C65/(D65*((AP65+AQ65)/2)))/((D65*((AP65+AQ65)/2))/(D65+2*((AP65+AQ65)/2)))^(2/3))^2+((DATOS!$B$34*H64/((D64*F64)/(D64+2*F64))^(2/3))^2))/2))&gt;0,AP65,((AP65+AQ65)/2))</f>
        <v/>
      </c>
      <c r="AS65" s="5">
        <f>IF((((AP65+AQ65)/2)+(C65/(D65*((AP65+AQ65)/2)))^2/(2*9.81)+B65-(G64+H64^2/(2*9.81))-(A64-A65)*(((DATOS!$B$34*(C65/(D65*((AP65+AQ65)/2)))/((D65*((AP65+AQ65)/2))/(D65+2*((AP65+AQ65)/2)))^(2/3))^2+((DATOS!$B$34*H64/((D64*F64)/(D64+2*F64))^(2/3))^2))/2))&gt;0,((AP65+AQ65)/2),AQ65)</f>
        <v/>
      </c>
      <c r="AT65" s="5">
        <f>IF((((AR65+AS65)/2)+(C65/(D65*((AR65+AS65)/2)))^2/(2*9.81)+B65-(G64+H64^2/(2*9.81))-(A64-A65)*(((DATOS!$B$34*(C65/(D65*((AR65+AS65)/2)))/((D65*((AR65+AS65)/2))/(D65+2*((AR65+AS65)/2)))^(2/3))^2+((DATOS!$B$34*H64/((D64*F64)/(D64+2*F64))^(2/3))^2))/2))&gt;0,AR65,((AR65+AS65)/2))</f>
        <v/>
      </c>
      <c r="AU65" s="5">
        <f>IF((((AR65+AS65)/2)+(C65/(D65*((AR65+AS65)/2)))^2/(2*9.81)+B65-(G64+H64^2/(2*9.81))-(A64-A65)*(((DATOS!$B$34*(C65/(D65*((AR65+AS65)/2)))/((D65*((AR65+AS65)/2))/(D65+2*((AR65+AS65)/2)))^(2/3))^2+((DATOS!$B$34*H64/((D64*F64)/(D64+2*F64))^(2/3))^2))/2))&gt;0,((AR65+AS65)/2),AS65)</f>
        <v/>
      </c>
      <c r="AV65" s="5">
        <f>IF((((AT65+AU65)/2)+(C65/(D65*((AT65+AU65)/2)))^2/(2*9.81)+B65-(G64+H64^2/(2*9.81))-(A64-A65)*(((DATOS!$B$34*(C65/(D65*((AT65+AU65)/2)))/((D65*((AT65+AU65)/2))/(D65+2*((AT65+AU65)/2)))^(2/3))^2+((DATOS!$B$34*H64/((D64*F64)/(D64+2*F64))^(2/3))^2))/2))&gt;0,AT65,((AT65+AU65)/2))</f>
        <v/>
      </c>
      <c r="AW65" s="5">
        <f>IF((((AT65+AU65)/2)+(C65/(D65*((AT65+AU65)/2)))^2/(2*9.81)+B65-(G64+H64^2/(2*9.81))-(A64-A65)*(((DATOS!$B$34*(C65/(D65*((AT65+AU65)/2)))/((D65*((AT65+AU65)/2))/(D65+2*((AT65+AU65)/2)))^(2/3))^2+((DATOS!$B$34*H64/((D64*F64)/(D64+2*F64))^(2/3))^2))/2))&gt;0,((AT65+AU65)/2),AU65)</f>
        <v/>
      </c>
      <c r="AX65" s="5">
        <f>IF((((AV65+AW65)/2)+(C65/(D65*((AV65+AW65)/2)))^2/(2*9.81)+B65-(G64+H64^2/(2*9.81))-(A64-A65)*(((DATOS!$B$34*(C65/(D65*((AV65+AW65)/2)))/((D65*((AV65+AW65)/2))/(D65+2*((AV65+AW65)/2)))^(2/3))^2+((DATOS!$B$34*H64/((D64*F64)/(D64+2*F64))^(2/3))^2))/2))&gt;0,AV65,((AV65+AW65)/2))</f>
        <v/>
      </c>
      <c r="AY65" s="5">
        <f>IF((((AV65+AW65)/2)+(C65/(D65*((AV65+AW65)/2)))^2/(2*9.81)+B65-(G64+H64^2/(2*9.81))-(A64-A65)*(((DATOS!$B$34*(C65/(D65*((AV65+AW65)/2)))/((D65*((AV65+AW65)/2))/(D65+2*((AV65+AW65)/2)))^(2/3))^2+((DATOS!$B$34*H64/((D64*F64)/(D64+2*F64))^(2/3))^2))/2))&gt;0,((AV65+AW65)/2),AW65)</f>
        <v/>
      </c>
      <c r="AZ65" s="5">
        <f>IF((((AX65+AY65)/2)+(C65/(D65*((AX65+AY65)/2)))^2/(2*9.81)+B65-(G64+H64^2/(2*9.81))-(A64-A65)*(((DATOS!$B$34*(C65/(D65*((AX65+AY65)/2)))/((D65*((AX65+AY65)/2))/(D65+2*((AX65+AY65)/2)))^(2/3))^2+((DATOS!$B$34*H64/((D64*F64)/(D64+2*F64))^(2/3))^2))/2))&gt;0,AX65,((AX65+AY65)/2))</f>
        <v/>
      </c>
      <c r="BA65" s="5">
        <f>IF((((AX65+AY65)/2)+(C65/(D65*((AX65+AY65)/2)))^2/(2*9.81)+B65-(G64+H64^2/(2*9.81))-(A64-A65)*(((DATOS!$B$34*(C65/(D65*((AX65+AY65)/2)))/((D65*((AX65+AY65)/2))/(D65+2*((AX65+AY65)/2)))^(2/3))^2+((DATOS!$B$34*H64/((D64*F64)/(D64+2*F64))^(2/3))^2))/2))&gt;0,((AX65+AY65)/2),AY65)</f>
        <v/>
      </c>
      <c r="BB65" s="5">
        <f>IF((((AZ65+BA65)/2)+(C65/(D65*((AZ65+BA65)/2)))^2/(2*9.81)+B65-(G64+H64^2/(2*9.81))-(A64-A65)*(((DATOS!$B$34*(C65/(D65*((AZ65+BA65)/2)))/((D65*((AZ65+BA65)/2))/(D65+2*((AZ65+BA65)/2)))^(2/3))^2+((DATOS!$B$34*H64/((D64*F64)/(D64+2*F64))^(2/3))^2))/2))&gt;0,AZ65,((AZ65+BA65)/2))</f>
        <v/>
      </c>
      <c r="BC65" s="5">
        <f>IF((((AZ65+BA65)/2)+(C65/(D65*((AZ65+BA65)/2)))^2/(2*9.81)+B65-(G64+H64^2/(2*9.81))-(A64-A65)*(((DATOS!$B$34*(C65/(D65*((AZ65+BA65)/2)))/((D65*((AZ65+BA65)/2))/(D65+2*((AZ65+BA65)/2)))^(2/3))^2+((DATOS!$B$34*H64/((D64*F64)/(D64+2*F64))^(2/3))^2))/2))&gt;0,((AZ65+BA65)/2),BA65)</f>
        <v/>
      </c>
      <c r="BD65" s="5">
        <f>IF((((BB65+BC65)/2)+(C65/(D65*((BB65+BC65)/2)))^2/(2*9.81)+B65-(G64+H64^2/(2*9.81))-(A64-A65)*(((DATOS!$B$34*(C65/(D65*((BB65+BC65)/2)))/((D65*((BB65+BC65)/2))/(D65+2*((BB65+BC65)/2)))^(2/3))^2+((DATOS!$B$34*H64/((D64*F64)/(D64+2*F64))^(2/3))^2))/2))&gt;0,BB65,((BB65+BC65)/2))</f>
        <v/>
      </c>
      <c r="BE65" s="5">
        <f>IF((((BB65+BC65)/2)+(C65/(D65*((BB65+BC65)/2)))^2/(2*9.81)+B65-(G64+H64^2/(2*9.81))-(A64-A65)*(((DATOS!$B$34*(C65/(D65*((BB65+BC65)/2)))/((D65*((BB65+BC65)/2))/(D65+2*((BB65+BC65)/2)))^(2/3))^2+((DATOS!$B$34*H64/((D64*F64)/(D64+2*F64))^(2/3))^2))/2))&gt;0,((BB65+BC65)/2),BC65)</f>
        <v/>
      </c>
      <c r="BF65" s="5">
        <f>IF((((BD65+BE65)/2)+(C65/(D65*((BD65+BE65)/2)))^2/(2*9.81)+B65-(G64+H64^2/(2*9.81))-(A64-A65)*(((DATOS!$B$34*(C65/(D65*((BD65+BE65)/2)))/((D65*((BD65+BE65)/2))/(D65+2*((BD65+BE65)/2)))^(2/3))^2+((DATOS!$B$34*H64/((D64*F64)/(D64+2*F64))^(2/3))^2))/2))&gt;0,BD65,((BD65+BE65)/2))</f>
        <v/>
      </c>
      <c r="BG65" s="5">
        <f>IF((((BD65+BE65)/2)+(C65/(D65*((BD65+BE65)/2)))^2/(2*9.81)+B65-(G64+H64^2/(2*9.81))-(A64-A65)*(((DATOS!$B$34*(C65/(D65*((BD65+BE65)/2)))/((D65*((BD65+BE65)/2))/(D65+2*((BD65+BE65)/2)))^(2/3))^2+((DATOS!$B$34*H64/((D64*F64)/(D64+2*F64))^(2/3))^2))/2))&gt;0,((BD65+BE65)/2),BE65)</f>
        <v/>
      </c>
      <c r="BH65" s="5">
        <f>IF((((BF65+BG65)/2)+(C65/(D65*((BF65+BG65)/2)))^2/(2*9.81)+B65-(G64+H64^2/(2*9.81))-(A64-A65)*(((DATOS!$B$34*(C65/(D65*((BF65+BG65)/2)))/((D65*((BF65+BG65)/2))/(D65+2*((BF65+BG65)/2)))^(2/3))^2+((DATOS!$B$34*H64/((D64*F64)/(D64+2*F64))^(2/3))^2))/2))&gt;0,BF65,((BF65+BG65)/2))</f>
        <v/>
      </c>
      <c r="BI65" s="5">
        <f>IF((((BF65+BG65)/2)+(C65/(D65*((BF65+BG65)/2)))^2/(2*9.81)+B65-(G64+H64^2/(2*9.81))-(A64-A65)*(((DATOS!$B$34*(C65/(D65*((BF65+BG65)/2)))/((D65*((BF65+BG65)/2))/(D65+2*((BF65+BG65)/2)))^(2/3))^2+((DATOS!$B$34*H64/((D64*F64)/(D64+2*F64))^(2/3))^2))/2))&gt;0,((BF65+BG65)/2),BG65)</f>
        <v/>
      </c>
      <c r="BJ65" s="5">
        <f>IF((((BH65+BI65)/2)+(C65/(D65*((BH65+BI65)/2)))^2/(2*9.81)+B65-(G64+H64^2/(2*9.81))-(A64-A65)*(((DATOS!$B$34*(C65/(D65*((BH65+BI65)/2)))/((D65*((BH65+BI65)/2))/(D65+2*((BH65+BI65)/2)))^(2/3))^2+((DATOS!$B$34*H64/((D64*F64)/(D64+2*F64))^(2/3))^2))/2))&gt;0,BH65,((BH65+BI65)/2))</f>
        <v/>
      </c>
      <c r="BK65" s="5">
        <f>IF((((BH65+BI65)/2)+(C65/(D65*((BH65+BI65)/2)))^2/(2*9.81)+B65-(G64+H64^2/(2*9.81))-(A64-A65)*(((DATOS!$B$34*(C65/(D65*((BH65+BI65)/2)))/((D65*((BH65+BI65)/2))/(D65+2*((BH65+BI65)/2)))^(2/3))^2+((DATOS!$B$34*H64/((D64*F64)/(D64+2*F64))^(2/3))^2))/2))&gt;0,((BH65+BI65)/2),BI65)</f>
        <v/>
      </c>
      <c r="BL65" s="5">
        <f>IF((((BJ65+BK65)/2)+(C65/(D65*((BJ65+BK65)/2)))^2/(2*9.81)+B65-(G64+H64^2/(2*9.81))-(A64-A65)*(((DATOS!$B$34*(C65/(D65*((BJ65+BK65)/2)))/((D65*((BJ65+BK65)/2))/(D65+2*((BJ65+BK65)/2)))^(2/3))^2+((DATOS!$B$34*H64/((D64*F64)/(D64+2*F64))^(2/3))^2))/2))&gt;0,BJ65,((BJ65+BK65)/2))</f>
        <v/>
      </c>
      <c r="BM65" s="5">
        <f>IF((((BJ65+BK65)/2)+(C65/(D65*((BJ65+BK65)/2)))^2/(2*9.81)+B65-(G64+H64^2/(2*9.81))-(A64-A65)*(((DATOS!$B$34*(C65/(D65*((BJ65+BK65)/2)))/((D65*((BJ65+BK65)/2))/(D65+2*((BJ65+BK65)/2)))^(2/3))^2+((DATOS!$B$34*H64/((D64*F64)/(D64+2*F64))^(2/3))^2))/2))&gt;0,((BJ65+BK65)/2),BK65)</f>
        <v/>
      </c>
      <c r="BN65" s="5">
        <f>IF((((BL65+BM65)/2)+(C65/(D65*((BL65+BM65)/2)))^2/(2*9.81)+B65-(G64+H64^2/(2*9.81))-(A64-A65)*(((DATOS!$B$34*(C65/(D65*((BL65+BM65)/2)))/((D65*((BL65+BM65)/2))/(D65+2*((BL65+BM65)/2)))^(2/3))^2+((DATOS!$B$34*H64/((D64*F64)/(D64+2*F64))^(2/3))^2))/2))&gt;0,BL65,((BL65+BM65)/2))</f>
        <v/>
      </c>
      <c r="BO65" s="5">
        <f>IF((((BL65+BM65)/2)+(C65/(D65*((BL65+BM65)/2)))^2/(2*9.81)+B65-(G64+H64^2/(2*9.81))-(A64-A65)*(((DATOS!$B$34*(C65/(D65*((BL65+BM65)/2)))/((D65*((BL65+BM65)/2))/(D65+2*((BL65+BM65)/2)))^(2/3))^2+((DATOS!$B$34*H64/((D64*F64)/(D64+2*F64))^(2/3))^2))/2))&gt;0,((BL65+BM65)/2),BM65)</f>
        <v/>
      </c>
      <c r="BP65" s="5">
        <f>IF((((BN65+BO65)/2)+(C65/(D65*((BN65+BO65)/2)))^2/(2*9.81)+B65-(G64+H64^2/(2*9.81))-(A64-A65)*(((DATOS!$B$34*(C65/(D65*((BN65+BO65)/2)))/((D65*((BN65+BO65)/2))/(D65+2*((BN65+BO65)/2)))^(2/3))^2+((DATOS!$B$34*H64/((D64*F64)/(D64+2*F64))^(2/3))^2))/2))&gt;0,BN65,((BN65+BO65)/2))</f>
        <v/>
      </c>
      <c r="BQ65" s="5">
        <f>IF((((BN65+BO65)/2)+(C65/(D65*((BN65+BO65)/2)))^2/(2*9.81)+B65-(G64+H64^2/(2*9.81))-(A64-A65)*(((DATOS!$B$34*(C65/(D65*((BN65+BO65)/2)))/((D65*((BN65+BO65)/2))/(D65+2*((BN65+BO65)/2)))^(2/3))^2+((DATOS!$B$34*H64/((D64*F64)/(D64+2*F64))^(2/3))^2))/2))&gt;0,((BN65+BO65)/2),BO65)</f>
        <v/>
      </c>
      <c r="BR65" s="5">
        <f>IF((((BP65+BQ65)/2)+(C65/(D65*((BP65+BQ65)/2)))^2/(2*9.81)+B65-(G64+H64^2/(2*9.81))-(A64-A65)*(((DATOS!$B$34*(C65/(D65*((BP65+BQ65)/2)))/((D65*((BP65+BQ65)/2))/(D65+2*((BP65+BQ65)/2)))^(2/3))^2+((DATOS!$B$34*H64/((D64*F64)/(D64+2*F64))^(2/3))^2))/2))&gt;0,BP65,((BP65+BQ65)/2))</f>
        <v/>
      </c>
      <c r="BS65" s="5">
        <f>IF((((BP65+BQ65)/2)+(C65/(D65*((BP65+BQ65)/2)))^2/(2*9.81)+B65-(G64+H64^2/(2*9.81))-(A64-A65)*(((DATOS!$B$34*(C65/(D65*((BP65+BQ65)/2)))/((D65*((BP65+BQ65)/2))/(D65+2*((BP65+BQ65)/2)))^(2/3))^2+((DATOS!$B$34*H64/((D64*F64)/(D64+2*F64))^(2/3))^2))/2))&gt;0,((BP65+BQ65)/2),BQ65)</f>
        <v/>
      </c>
      <c r="BT65" s="5">
        <f>IF((((BR65+BS65)/2)+(C65/(D65*((BR65+BS65)/2)))^2/(2*9.81)+B65-(G64+H64^2/(2*9.81))-(A64-A65)*(((DATOS!$B$34*(C65/(D65*((BR65+BS65)/2)))/((D65*((BR65+BS65)/2))/(D65+2*((BR65+BS65)/2)))^(2/3))^2+((DATOS!$B$34*H64/((D64*F64)/(D64+2*F64))^(2/3))^2))/2))&gt;0,BR65,((BR65+BS65)/2))</f>
        <v/>
      </c>
      <c r="BU65" s="5">
        <f>IF((((BR65+BS65)/2)+(C65/(D65*((BR65+BS65)/2)))^2/(2*9.81)+B65-(G64+H64^2/(2*9.81))-(A64-A65)*(((DATOS!$B$34*(C65/(D65*((BR65+BS65)/2)))/((D65*((BR65+BS65)/2))/(D65+2*((BR65+BS65)/2)))^(2/3))^2+((DATOS!$B$34*H64/((D64*F64)/(D64+2*F64))^(2/3))^2))/2))&gt;0,((BR65+BS65)/2),BS65)</f>
        <v/>
      </c>
      <c r="BV65" s="5">
        <f>IF((((BT65+BU65)/2)+(C65/(D65*((BT65+BU65)/2)))^2/(2*9.81)+B65-(G64+H64^2/(2*9.81))-(A64-A65)*(((DATOS!$B$34*(C65/(D65*((BT65+BU65)/2)))/((D65*((BT65+BU65)/2))/(D65+2*((BT65+BU65)/2)))^(2/3))^2+((DATOS!$B$34*H64/((D64*F64)/(D64+2*F64))^(2/3))^2))/2))&gt;0,BT65,((BT65+BU65)/2))</f>
        <v/>
      </c>
      <c r="BW65" s="5">
        <f>IF((((BT65+BU65)/2)+(C65/(D65*((BT65+BU65)/2)))^2/(2*9.81)+B65-(G64+H64^2/(2*9.81))-(A64-A65)*(((DATOS!$B$34*(C65/(D65*((BT65+BU65)/2)))/((D65*((BT65+BU65)/2))/(D65+2*((BT65+BU65)/2)))^(2/3))^2+((DATOS!$B$34*H64/((D64*F64)/(D64+2*F64))^(2/3))^2))/2))&gt;0,((BT65+BU65)/2),BU65)</f>
        <v/>
      </c>
    </row>
    <row r="66">
      <c r="A66" s="13" t="n">
        <v>22</v>
      </c>
      <c r="B66" s="16">
        <f>DATOS!$B$22-DATOS!$B$23*A66</f>
        <v/>
      </c>
      <c r="C66" s="24">
        <f>CAUDALES!$B$13</f>
        <v/>
      </c>
      <c r="D66" s="17">
        <f>DATOS!$B$17</f>
        <v/>
      </c>
      <c r="E66" s="16">
        <f>(C66^2/(9.81*D66^2))^(1/3)</f>
        <v/>
      </c>
      <c r="F66" s="16">
        <f>(BV66+BW66)/2</f>
        <v/>
      </c>
      <c r="G66" s="16">
        <f>B66+F66</f>
        <v/>
      </c>
      <c r="H66" s="19">
        <f>C66/(D66*F66)</f>
        <v/>
      </c>
      <c r="I66" s="19">
        <f>H66/SQRT(9.81*F66)</f>
        <v/>
      </c>
      <c r="J66" s="16">
        <f>DATOS!$B$29-IF(AND(A66&gt;=DATOS!$B$30,A66&lt;DATOS!$B$31),DATOS!$B$21,DATOS!$B$20)</f>
        <v/>
      </c>
      <c r="K66" s="19">
        <f>J66-B66</f>
        <v/>
      </c>
      <c r="L66" s="19">
        <f>F66/K66</f>
        <v/>
      </c>
      <c r="M66" s="16">
        <f>J66-G66</f>
        <v/>
      </c>
      <c r="N66" s="5">
        <f>IF(AND(L66&lt;=DATOS!$B$36,M66&gt;=DATOS!$B$37,I66&lt;=1),"CUMPLE","NO CUMPLE")</f>
        <v/>
      </c>
      <c r="O66" s="5">
        <f>IF(AND(A66&gt;=DATOS!$B$30,A66&lt;DATOS!$B$31),"cruce de camiones",IF(AND(A66&gt;=DATOS!$B$32,A66&lt;DATOS!$B$33),"cruce de motos","tramo normal"))</f>
        <v/>
      </c>
      <c r="P66" s="5">
        <f>E66*1.001</f>
        <v/>
      </c>
      <c r="Q66" s="13" t="n">
        <v>3</v>
      </c>
      <c r="R66" s="5">
        <f>IF((((P66+Q66)/2)+(C66/(D66*((P66+Q66)/2)))^2/(2*9.81)+B66-(G65+H65^2/(2*9.81))-(A65-A66)*(((DATOS!$B$34*(C66/(D66*((P66+Q66)/2)))/((D66*((P66+Q66)/2))/(D66+2*((P66+Q66)/2)))^(2/3))^2+((DATOS!$B$34*H65/((D65*F65)/(D65+2*F65))^(2/3))^2))/2))&gt;0,P66,((P66+Q66)/2))</f>
        <v/>
      </c>
      <c r="S66" s="5">
        <f>IF((((P66+Q66)/2)+(C66/(D66*((P66+Q66)/2)))^2/(2*9.81)+B66-(G65+H65^2/(2*9.81))-(A65-A66)*(((DATOS!$B$34*(C66/(D66*((P66+Q66)/2)))/((D66*((P66+Q66)/2))/(D66+2*((P66+Q66)/2)))^(2/3))^2+((DATOS!$B$34*H65/((D65*F65)/(D65+2*F65))^(2/3))^2))/2))&gt;0,((P66+Q66)/2),Q66)</f>
        <v/>
      </c>
      <c r="T66" s="5">
        <f>IF((((R66+S66)/2)+(C66/(D66*((R66+S66)/2)))^2/(2*9.81)+B66-(G65+H65^2/(2*9.81))-(A65-A66)*(((DATOS!$B$34*(C66/(D66*((R66+S66)/2)))/((D66*((R66+S66)/2))/(D66+2*((R66+S66)/2)))^(2/3))^2+((DATOS!$B$34*H65/((D65*F65)/(D65+2*F65))^(2/3))^2))/2))&gt;0,R66,((R66+S66)/2))</f>
        <v/>
      </c>
      <c r="U66" s="5">
        <f>IF((((R66+S66)/2)+(C66/(D66*((R66+S66)/2)))^2/(2*9.81)+B66-(G65+H65^2/(2*9.81))-(A65-A66)*(((DATOS!$B$34*(C66/(D66*((R66+S66)/2)))/((D66*((R66+S66)/2))/(D66+2*((R66+S66)/2)))^(2/3))^2+((DATOS!$B$34*H65/((D65*F65)/(D65+2*F65))^(2/3))^2))/2))&gt;0,((R66+S66)/2),S66)</f>
        <v/>
      </c>
      <c r="V66" s="5">
        <f>IF((((T66+U66)/2)+(C66/(D66*((T66+U66)/2)))^2/(2*9.81)+B66-(G65+H65^2/(2*9.81))-(A65-A66)*(((DATOS!$B$34*(C66/(D66*((T66+U66)/2)))/((D66*((T66+U66)/2))/(D66+2*((T66+U66)/2)))^(2/3))^2+((DATOS!$B$34*H65/((D65*F65)/(D65+2*F65))^(2/3))^2))/2))&gt;0,T66,((T66+U66)/2))</f>
        <v/>
      </c>
      <c r="W66" s="5">
        <f>IF((((T66+U66)/2)+(C66/(D66*((T66+U66)/2)))^2/(2*9.81)+B66-(G65+H65^2/(2*9.81))-(A65-A66)*(((DATOS!$B$34*(C66/(D66*((T66+U66)/2)))/((D66*((T66+U66)/2))/(D66+2*((T66+U66)/2)))^(2/3))^2+((DATOS!$B$34*H65/((D65*F65)/(D65+2*F65))^(2/3))^2))/2))&gt;0,((T66+U66)/2),U66)</f>
        <v/>
      </c>
      <c r="X66" s="5">
        <f>IF((((V66+W66)/2)+(C66/(D66*((V66+W66)/2)))^2/(2*9.81)+B66-(G65+H65^2/(2*9.81))-(A65-A66)*(((DATOS!$B$34*(C66/(D66*((V66+W66)/2)))/((D66*((V66+W66)/2))/(D66+2*((V66+W66)/2)))^(2/3))^2+((DATOS!$B$34*H65/((D65*F65)/(D65+2*F65))^(2/3))^2))/2))&gt;0,V66,((V66+W66)/2))</f>
        <v/>
      </c>
      <c r="Y66" s="5">
        <f>IF((((V66+W66)/2)+(C66/(D66*((V66+W66)/2)))^2/(2*9.81)+B66-(G65+H65^2/(2*9.81))-(A65-A66)*(((DATOS!$B$34*(C66/(D66*((V66+W66)/2)))/((D66*((V66+W66)/2))/(D66+2*((V66+W66)/2)))^(2/3))^2+((DATOS!$B$34*H65/((D65*F65)/(D65+2*F65))^(2/3))^2))/2))&gt;0,((V66+W66)/2),W66)</f>
        <v/>
      </c>
      <c r="Z66" s="5">
        <f>IF((((X66+Y66)/2)+(C66/(D66*((X66+Y66)/2)))^2/(2*9.81)+B66-(G65+H65^2/(2*9.81))-(A65-A66)*(((DATOS!$B$34*(C66/(D66*((X66+Y66)/2)))/((D66*((X66+Y66)/2))/(D66+2*((X66+Y66)/2)))^(2/3))^2+((DATOS!$B$34*H65/((D65*F65)/(D65+2*F65))^(2/3))^2))/2))&gt;0,X66,((X66+Y66)/2))</f>
        <v/>
      </c>
      <c r="AA66" s="5">
        <f>IF((((X66+Y66)/2)+(C66/(D66*((X66+Y66)/2)))^2/(2*9.81)+B66-(G65+H65^2/(2*9.81))-(A65-A66)*(((DATOS!$B$34*(C66/(D66*((X66+Y66)/2)))/((D66*((X66+Y66)/2))/(D66+2*((X66+Y66)/2)))^(2/3))^2+((DATOS!$B$34*H65/((D65*F65)/(D65+2*F65))^(2/3))^2))/2))&gt;0,((X66+Y66)/2),Y66)</f>
        <v/>
      </c>
      <c r="AB66" s="5">
        <f>IF((((Z66+AA66)/2)+(C66/(D66*((Z66+AA66)/2)))^2/(2*9.81)+B66-(G65+H65^2/(2*9.81))-(A65-A66)*(((DATOS!$B$34*(C66/(D66*((Z66+AA66)/2)))/((D66*((Z66+AA66)/2))/(D66+2*((Z66+AA66)/2)))^(2/3))^2+((DATOS!$B$34*H65/((D65*F65)/(D65+2*F65))^(2/3))^2))/2))&gt;0,Z66,((Z66+AA66)/2))</f>
        <v/>
      </c>
      <c r="AC66" s="5">
        <f>IF((((Z66+AA66)/2)+(C66/(D66*((Z66+AA66)/2)))^2/(2*9.81)+B66-(G65+H65^2/(2*9.81))-(A65-A66)*(((DATOS!$B$34*(C66/(D66*((Z66+AA66)/2)))/((D66*((Z66+AA66)/2))/(D66+2*((Z66+AA66)/2)))^(2/3))^2+((DATOS!$B$34*H65/((D65*F65)/(D65+2*F65))^(2/3))^2))/2))&gt;0,((Z66+AA66)/2),AA66)</f>
        <v/>
      </c>
      <c r="AD66" s="5">
        <f>IF((((AB66+AC66)/2)+(C66/(D66*((AB66+AC66)/2)))^2/(2*9.81)+B66-(G65+H65^2/(2*9.81))-(A65-A66)*(((DATOS!$B$34*(C66/(D66*((AB66+AC66)/2)))/((D66*((AB66+AC66)/2))/(D66+2*((AB66+AC66)/2)))^(2/3))^2+((DATOS!$B$34*H65/((D65*F65)/(D65+2*F65))^(2/3))^2))/2))&gt;0,AB66,((AB66+AC66)/2))</f>
        <v/>
      </c>
      <c r="AE66" s="5">
        <f>IF((((AB66+AC66)/2)+(C66/(D66*((AB66+AC66)/2)))^2/(2*9.81)+B66-(G65+H65^2/(2*9.81))-(A65-A66)*(((DATOS!$B$34*(C66/(D66*((AB66+AC66)/2)))/((D66*((AB66+AC66)/2))/(D66+2*((AB66+AC66)/2)))^(2/3))^2+((DATOS!$B$34*H65/((D65*F65)/(D65+2*F65))^(2/3))^2))/2))&gt;0,((AB66+AC66)/2),AC66)</f>
        <v/>
      </c>
      <c r="AF66" s="5">
        <f>IF((((AD66+AE66)/2)+(C66/(D66*((AD66+AE66)/2)))^2/(2*9.81)+B66-(G65+H65^2/(2*9.81))-(A65-A66)*(((DATOS!$B$34*(C66/(D66*((AD66+AE66)/2)))/((D66*((AD66+AE66)/2))/(D66+2*((AD66+AE66)/2)))^(2/3))^2+((DATOS!$B$34*H65/((D65*F65)/(D65+2*F65))^(2/3))^2))/2))&gt;0,AD66,((AD66+AE66)/2))</f>
        <v/>
      </c>
      <c r="AG66" s="5">
        <f>IF((((AD66+AE66)/2)+(C66/(D66*((AD66+AE66)/2)))^2/(2*9.81)+B66-(G65+H65^2/(2*9.81))-(A65-A66)*(((DATOS!$B$34*(C66/(D66*((AD66+AE66)/2)))/((D66*((AD66+AE66)/2))/(D66+2*((AD66+AE66)/2)))^(2/3))^2+((DATOS!$B$34*H65/((D65*F65)/(D65+2*F65))^(2/3))^2))/2))&gt;0,((AD66+AE66)/2),AE66)</f>
        <v/>
      </c>
      <c r="AH66" s="5">
        <f>IF((((AF66+AG66)/2)+(C66/(D66*((AF66+AG66)/2)))^2/(2*9.81)+B66-(G65+H65^2/(2*9.81))-(A65-A66)*(((DATOS!$B$34*(C66/(D66*((AF66+AG66)/2)))/((D66*((AF66+AG66)/2))/(D66+2*((AF66+AG66)/2)))^(2/3))^2+((DATOS!$B$34*H65/((D65*F65)/(D65+2*F65))^(2/3))^2))/2))&gt;0,AF66,((AF66+AG66)/2))</f>
        <v/>
      </c>
      <c r="AI66" s="5">
        <f>IF((((AF66+AG66)/2)+(C66/(D66*((AF66+AG66)/2)))^2/(2*9.81)+B66-(G65+H65^2/(2*9.81))-(A65-A66)*(((DATOS!$B$34*(C66/(D66*((AF66+AG66)/2)))/((D66*((AF66+AG66)/2))/(D66+2*((AF66+AG66)/2)))^(2/3))^2+((DATOS!$B$34*H65/((D65*F65)/(D65+2*F65))^(2/3))^2))/2))&gt;0,((AF66+AG66)/2),AG66)</f>
        <v/>
      </c>
      <c r="AJ66" s="5">
        <f>IF((((AH66+AI66)/2)+(C66/(D66*((AH66+AI66)/2)))^2/(2*9.81)+B66-(G65+H65^2/(2*9.81))-(A65-A66)*(((DATOS!$B$34*(C66/(D66*((AH66+AI66)/2)))/((D66*((AH66+AI66)/2))/(D66+2*((AH66+AI66)/2)))^(2/3))^2+((DATOS!$B$34*H65/((D65*F65)/(D65+2*F65))^(2/3))^2))/2))&gt;0,AH66,((AH66+AI66)/2))</f>
        <v/>
      </c>
      <c r="AK66" s="5">
        <f>IF((((AH66+AI66)/2)+(C66/(D66*((AH66+AI66)/2)))^2/(2*9.81)+B66-(G65+H65^2/(2*9.81))-(A65-A66)*(((DATOS!$B$34*(C66/(D66*((AH66+AI66)/2)))/((D66*((AH66+AI66)/2))/(D66+2*((AH66+AI66)/2)))^(2/3))^2+((DATOS!$B$34*H65/((D65*F65)/(D65+2*F65))^(2/3))^2))/2))&gt;0,((AH66+AI66)/2),AI66)</f>
        <v/>
      </c>
      <c r="AL66" s="5">
        <f>IF((((AJ66+AK66)/2)+(C66/(D66*((AJ66+AK66)/2)))^2/(2*9.81)+B66-(G65+H65^2/(2*9.81))-(A65-A66)*(((DATOS!$B$34*(C66/(D66*((AJ66+AK66)/2)))/((D66*((AJ66+AK66)/2))/(D66+2*((AJ66+AK66)/2)))^(2/3))^2+((DATOS!$B$34*H65/((D65*F65)/(D65+2*F65))^(2/3))^2))/2))&gt;0,AJ66,((AJ66+AK66)/2))</f>
        <v/>
      </c>
      <c r="AM66" s="5">
        <f>IF((((AJ66+AK66)/2)+(C66/(D66*((AJ66+AK66)/2)))^2/(2*9.81)+B66-(G65+H65^2/(2*9.81))-(A65-A66)*(((DATOS!$B$34*(C66/(D66*((AJ66+AK66)/2)))/((D66*((AJ66+AK66)/2))/(D66+2*((AJ66+AK66)/2)))^(2/3))^2+((DATOS!$B$34*H65/((D65*F65)/(D65+2*F65))^(2/3))^2))/2))&gt;0,((AJ66+AK66)/2),AK66)</f>
        <v/>
      </c>
      <c r="AN66" s="5">
        <f>IF((((AL66+AM66)/2)+(C66/(D66*((AL66+AM66)/2)))^2/(2*9.81)+B66-(G65+H65^2/(2*9.81))-(A65-A66)*(((DATOS!$B$34*(C66/(D66*((AL66+AM66)/2)))/((D66*((AL66+AM66)/2))/(D66+2*((AL66+AM66)/2)))^(2/3))^2+((DATOS!$B$34*H65/((D65*F65)/(D65+2*F65))^(2/3))^2))/2))&gt;0,AL66,((AL66+AM66)/2))</f>
        <v/>
      </c>
      <c r="AO66" s="5">
        <f>IF((((AL66+AM66)/2)+(C66/(D66*((AL66+AM66)/2)))^2/(2*9.81)+B66-(G65+H65^2/(2*9.81))-(A65-A66)*(((DATOS!$B$34*(C66/(D66*((AL66+AM66)/2)))/((D66*((AL66+AM66)/2))/(D66+2*((AL66+AM66)/2)))^(2/3))^2+((DATOS!$B$34*H65/((D65*F65)/(D65+2*F65))^(2/3))^2))/2))&gt;0,((AL66+AM66)/2),AM66)</f>
        <v/>
      </c>
      <c r="AP66" s="5">
        <f>IF((((AN66+AO66)/2)+(C66/(D66*((AN66+AO66)/2)))^2/(2*9.81)+B66-(G65+H65^2/(2*9.81))-(A65-A66)*(((DATOS!$B$34*(C66/(D66*((AN66+AO66)/2)))/((D66*((AN66+AO66)/2))/(D66+2*((AN66+AO66)/2)))^(2/3))^2+((DATOS!$B$34*H65/((D65*F65)/(D65+2*F65))^(2/3))^2))/2))&gt;0,AN66,((AN66+AO66)/2))</f>
        <v/>
      </c>
      <c r="AQ66" s="5">
        <f>IF((((AN66+AO66)/2)+(C66/(D66*((AN66+AO66)/2)))^2/(2*9.81)+B66-(G65+H65^2/(2*9.81))-(A65-A66)*(((DATOS!$B$34*(C66/(D66*((AN66+AO66)/2)))/((D66*((AN66+AO66)/2))/(D66+2*((AN66+AO66)/2)))^(2/3))^2+((DATOS!$B$34*H65/((D65*F65)/(D65+2*F65))^(2/3))^2))/2))&gt;0,((AN66+AO66)/2),AO66)</f>
        <v/>
      </c>
      <c r="AR66" s="5">
        <f>IF((((AP66+AQ66)/2)+(C66/(D66*((AP66+AQ66)/2)))^2/(2*9.81)+B66-(G65+H65^2/(2*9.81))-(A65-A66)*(((DATOS!$B$34*(C66/(D66*((AP66+AQ66)/2)))/((D66*((AP66+AQ66)/2))/(D66+2*((AP66+AQ66)/2)))^(2/3))^2+((DATOS!$B$34*H65/((D65*F65)/(D65+2*F65))^(2/3))^2))/2))&gt;0,AP66,((AP66+AQ66)/2))</f>
        <v/>
      </c>
      <c r="AS66" s="5">
        <f>IF((((AP66+AQ66)/2)+(C66/(D66*((AP66+AQ66)/2)))^2/(2*9.81)+B66-(G65+H65^2/(2*9.81))-(A65-A66)*(((DATOS!$B$34*(C66/(D66*((AP66+AQ66)/2)))/((D66*((AP66+AQ66)/2))/(D66+2*((AP66+AQ66)/2)))^(2/3))^2+((DATOS!$B$34*H65/((D65*F65)/(D65+2*F65))^(2/3))^2))/2))&gt;0,((AP66+AQ66)/2),AQ66)</f>
        <v/>
      </c>
      <c r="AT66" s="5">
        <f>IF((((AR66+AS66)/2)+(C66/(D66*((AR66+AS66)/2)))^2/(2*9.81)+B66-(G65+H65^2/(2*9.81))-(A65-A66)*(((DATOS!$B$34*(C66/(D66*((AR66+AS66)/2)))/((D66*((AR66+AS66)/2))/(D66+2*((AR66+AS66)/2)))^(2/3))^2+((DATOS!$B$34*H65/((D65*F65)/(D65+2*F65))^(2/3))^2))/2))&gt;0,AR66,((AR66+AS66)/2))</f>
        <v/>
      </c>
      <c r="AU66" s="5">
        <f>IF((((AR66+AS66)/2)+(C66/(D66*((AR66+AS66)/2)))^2/(2*9.81)+B66-(G65+H65^2/(2*9.81))-(A65-A66)*(((DATOS!$B$34*(C66/(D66*((AR66+AS66)/2)))/((D66*((AR66+AS66)/2))/(D66+2*((AR66+AS66)/2)))^(2/3))^2+((DATOS!$B$34*H65/((D65*F65)/(D65+2*F65))^(2/3))^2))/2))&gt;0,((AR66+AS66)/2),AS66)</f>
        <v/>
      </c>
      <c r="AV66" s="5">
        <f>IF((((AT66+AU66)/2)+(C66/(D66*((AT66+AU66)/2)))^2/(2*9.81)+B66-(G65+H65^2/(2*9.81))-(A65-A66)*(((DATOS!$B$34*(C66/(D66*((AT66+AU66)/2)))/((D66*((AT66+AU66)/2))/(D66+2*((AT66+AU66)/2)))^(2/3))^2+((DATOS!$B$34*H65/((D65*F65)/(D65+2*F65))^(2/3))^2))/2))&gt;0,AT66,((AT66+AU66)/2))</f>
        <v/>
      </c>
      <c r="AW66" s="5">
        <f>IF((((AT66+AU66)/2)+(C66/(D66*((AT66+AU66)/2)))^2/(2*9.81)+B66-(G65+H65^2/(2*9.81))-(A65-A66)*(((DATOS!$B$34*(C66/(D66*((AT66+AU66)/2)))/((D66*((AT66+AU66)/2))/(D66+2*((AT66+AU66)/2)))^(2/3))^2+((DATOS!$B$34*H65/((D65*F65)/(D65+2*F65))^(2/3))^2))/2))&gt;0,((AT66+AU66)/2),AU66)</f>
        <v/>
      </c>
      <c r="AX66" s="5">
        <f>IF((((AV66+AW66)/2)+(C66/(D66*((AV66+AW66)/2)))^2/(2*9.81)+B66-(G65+H65^2/(2*9.81))-(A65-A66)*(((DATOS!$B$34*(C66/(D66*((AV66+AW66)/2)))/((D66*((AV66+AW66)/2))/(D66+2*((AV66+AW66)/2)))^(2/3))^2+((DATOS!$B$34*H65/((D65*F65)/(D65+2*F65))^(2/3))^2))/2))&gt;0,AV66,((AV66+AW66)/2))</f>
        <v/>
      </c>
      <c r="AY66" s="5">
        <f>IF((((AV66+AW66)/2)+(C66/(D66*((AV66+AW66)/2)))^2/(2*9.81)+B66-(G65+H65^2/(2*9.81))-(A65-A66)*(((DATOS!$B$34*(C66/(D66*((AV66+AW66)/2)))/((D66*((AV66+AW66)/2))/(D66+2*((AV66+AW66)/2)))^(2/3))^2+((DATOS!$B$34*H65/((D65*F65)/(D65+2*F65))^(2/3))^2))/2))&gt;0,((AV66+AW66)/2),AW66)</f>
        <v/>
      </c>
      <c r="AZ66" s="5">
        <f>IF((((AX66+AY66)/2)+(C66/(D66*((AX66+AY66)/2)))^2/(2*9.81)+B66-(G65+H65^2/(2*9.81))-(A65-A66)*(((DATOS!$B$34*(C66/(D66*((AX66+AY66)/2)))/((D66*((AX66+AY66)/2))/(D66+2*((AX66+AY66)/2)))^(2/3))^2+((DATOS!$B$34*H65/((D65*F65)/(D65+2*F65))^(2/3))^2))/2))&gt;0,AX66,((AX66+AY66)/2))</f>
        <v/>
      </c>
      <c r="BA66" s="5">
        <f>IF((((AX66+AY66)/2)+(C66/(D66*((AX66+AY66)/2)))^2/(2*9.81)+B66-(G65+H65^2/(2*9.81))-(A65-A66)*(((DATOS!$B$34*(C66/(D66*((AX66+AY66)/2)))/((D66*((AX66+AY66)/2))/(D66+2*((AX66+AY66)/2)))^(2/3))^2+((DATOS!$B$34*H65/((D65*F65)/(D65+2*F65))^(2/3))^2))/2))&gt;0,((AX66+AY66)/2),AY66)</f>
        <v/>
      </c>
      <c r="BB66" s="5">
        <f>IF((((AZ66+BA66)/2)+(C66/(D66*((AZ66+BA66)/2)))^2/(2*9.81)+B66-(G65+H65^2/(2*9.81))-(A65-A66)*(((DATOS!$B$34*(C66/(D66*((AZ66+BA66)/2)))/((D66*((AZ66+BA66)/2))/(D66+2*((AZ66+BA66)/2)))^(2/3))^2+((DATOS!$B$34*H65/((D65*F65)/(D65+2*F65))^(2/3))^2))/2))&gt;0,AZ66,((AZ66+BA66)/2))</f>
        <v/>
      </c>
      <c r="BC66" s="5">
        <f>IF((((AZ66+BA66)/2)+(C66/(D66*((AZ66+BA66)/2)))^2/(2*9.81)+B66-(G65+H65^2/(2*9.81))-(A65-A66)*(((DATOS!$B$34*(C66/(D66*((AZ66+BA66)/2)))/((D66*((AZ66+BA66)/2))/(D66+2*((AZ66+BA66)/2)))^(2/3))^2+((DATOS!$B$34*H65/((D65*F65)/(D65+2*F65))^(2/3))^2))/2))&gt;0,((AZ66+BA66)/2),BA66)</f>
        <v/>
      </c>
      <c r="BD66" s="5">
        <f>IF((((BB66+BC66)/2)+(C66/(D66*((BB66+BC66)/2)))^2/(2*9.81)+B66-(G65+H65^2/(2*9.81))-(A65-A66)*(((DATOS!$B$34*(C66/(D66*((BB66+BC66)/2)))/((D66*((BB66+BC66)/2))/(D66+2*((BB66+BC66)/2)))^(2/3))^2+((DATOS!$B$34*H65/((D65*F65)/(D65+2*F65))^(2/3))^2))/2))&gt;0,BB66,((BB66+BC66)/2))</f>
        <v/>
      </c>
      <c r="BE66" s="5">
        <f>IF((((BB66+BC66)/2)+(C66/(D66*((BB66+BC66)/2)))^2/(2*9.81)+B66-(G65+H65^2/(2*9.81))-(A65-A66)*(((DATOS!$B$34*(C66/(D66*((BB66+BC66)/2)))/((D66*((BB66+BC66)/2))/(D66+2*((BB66+BC66)/2)))^(2/3))^2+((DATOS!$B$34*H65/((D65*F65)/(D65+2*F65))^(2/3))^2))/2))&gt;0,((BB66+BC66)/2),BC66)</f>
        <v/>
      </c>
      <c r="BF66" s="5">
        <f>IF((((BD66+BE66)/2)+(C66/(D66*((BD66+BE66)/2)))^2/(2*9.81)+B66-(G65+H65^2/(2*9.81))-(A65-A66)*(((DATOS!$B$34*(C66/(D66*((BD66+BE66)/2)))/((D66*((BD66+BE66)/2))/(D66+2*((BD66+BE66)/2)))^(2/3))^2+((DATOS!$B$34*H65/((D65*F65)/(D65+2*F65))^(2/3))^2))/2))&gt;0,BD66,((BD66+BE66)/2))</f>
        <v/>
      </c>
      <c r="BG66" s="5">
        <f>IF((((BD66+BE66)/2)+(C66/(D66*((BD66+BE66)/2)))^2/(2*9.81)+B66-(G65+H65^2/(2*9.81))-(A65-A66)*(((DATOS!$B$34*(C66/(D66*((BD66+BE66)/2)))/((D66*((BD66+BE66)/2))/(D66+2*((BD66+BE66)/2)))^(2/3))^2+((DATOS!$B$34*H65/((D65*F65)/(D65+2*F65))^(2/3))^2))/2))&gt;0,((BD66+BE66)/2),BE66)</f>
        <v/>
      </c>
      <c r="BH66" s="5">
        <f>IF((((BF66+BG66)/2)+(C66/(D66*((BF66+BG66)/2)))^2/(2*9.81)+B66-(G65+H65^2/(2*9.81))-(A65-A66)*(((DATOS!$B$34*(C66/(D66*((BF66+BG66)/2)))/((D66*((BF66+BG66)/2))/(D66+2*((BF66+BG66)/2)))^(2/3))^2+((DATOS!$B$34*H65/((D65*F65)/(D65+2*F65))^(2/3))^2))/2))&gt;0,BF66,((BF66+BG66)/2))</f>
        <v/>
      </c>
      <c r="BI66" s="5">
        <f>IF((((BF66+BG66)/2)+(C66/(D66*((BF66+BG66)/2)))^2/(2*9.81)+B66-(G65+H65^2/(2*9.81))-(A65-A66)*(((DATOS!$B$34*(C66/(D66*((BF66+BG66)/2)))/((D66*((BF66+BG66)/2))/(D66+2*((BF66+BG66)/2)))^(2/3))^2+((DATOS!$B$34*H65/((D65*F65)/(D65+2*F65))^(2/3))^2))/2))&gt;0,((BF66+BG66)/2),BG66)</f>
        <v/>
      </c>
      <c r="BJ66" s="5">
        <f>IF((((BH66+BI66)/2)+(C66/(D66*((BH66+BI66)/2)))^2/(2*9.81)+B66-(G65+H65^2/(2*9.81))-(A65-A66)*(((DATOS!$B$34*(C66/(D66*((BH66+BI66)/2)))/((D66*((BH66+BI66)/2))/(D66+2*((BH66+BI66)/2)))^(2/3))^2+((DATOS!$B$34*H65/((D65*F65)/(D65+2*F65))^(2/3))^2))/2))&gt;0,BH66,((BH66+BI66)/2))</f>
        <v/>
      </c>
      <c r="BK66" s="5">
        <f>IF((((BH66+BI66)/2)+(C66/(D66*((BH66+BI66)/2)))^2/(2*9.81)+B66-(G65+H65^2/(2*9.81))-(A65-A66)*(((DATOS!$B$34*(C66/(D66*((BH66+BI66)/2)))/((D66*((BH66+BI66)/2))/(D66+2*((BH66+BI66)/2)))^(2/3))^2+((DATOS!$B$34*H65/((D65*F65)/(D65+2*F65))^(2/3))^2))/2))&gt;0,((BH66+BI66)/2),BI66)</f>
        <v/>
      </c>
      <c r="BL66" s="5">
        <f>IF((((BJ66+BK66)/2)+(C66/(D66*((BJ66+BK66)/2)))^2/(2*9.81)+B66-(G65+H65^2/(2*9.81))-(A65-A66)*(((DATOS!$B$34*(C66/(D66*((BJ66+BK66)/2)))/((D66*((BJ66+BK66)/2))/(D66+2*((BJ66+BK66)/2)))^(2/3))^2+((DATOS!$B$34*H65/((D65*F65)/(D65+2*F65))^(2/3))^2))/2))&gt;0,BJ66,((BJ66+BK66)/2))</f>
        <v/>
      </c>
      <c r="BM66" s="5">
        <f>IF((((BJ66+BK66)/2)+(C66/(D66*((BJ66+BK66)/2)))^2/(2*9.81)+B66-(G65+H65^2/(2*9.81))-(A65-A66)*(((DATOS!$B$34*(C66/(D66*((BJ66+BK66)/2)))/((D66*((BJ66+BK66)/2))/(D66+2*((BJ66+BK66)/2)))^(2/3))^2+((DATOS!$B$34*H65/((D65*F65)/(D65+2*F65))^(2/3))^2))/2))&gt;0,((BJ66+BK66)/2),BK66)</f>
        <v/>
      </c>
      <c r="BN66" s="5">
        <f>IF((((BL66+BM66)/2)+(C66/(D66*((BL66+BM66)/2)))^2/(2*9.81)+B66-(G65+H65^2/(2*9.81))-(A65-A66)*(((DATOS!$B$34*(C66/(D66*((BL66+BM66)/2)))/((D66*((BL66+BM66)/2))/(D66+2*((BL66+BM66)/2)))^(2/3))^2+((DATOS!$B$34*H65/((D65*F65)/(D65+2*F65))^(2/3))^2))/2))&gt;0,BL66,((BL66+BM66)/2))</f>
        <v/>
      </c>
      <c r="BO66" s="5">
        <f>IF((((BL66+BM66)/2)+(C66/(D66*((BL66+BM66)/2)))^2/(2*9.81)+B66-(G65+H65^2/(2*9.81))-(A65-A66)*(((DATOS!$B$34*(C66/(D66*((BL66+BM66)/2)))/((D66*((BL66+BM66)/2))/(D66+2*((BL66+BM66)/2)))^(2/3))^2+((DATOS!$B$34*H65/((D65*F65)/(D65+2*F65))^(2/3))^2))/2))&gt;0,((BL66+BM66)/2),BM66)</f>
        <v/>
      </c>
      <c r="BP66" s="5">
        <f>IF((((BN66+BO66)/2)+(C66/(D66*((BN66+BO66)/2)))^2/(2*9.81)+B66-(G65+H65^2/(2*9.81))-(A65-A66)*(((DATOS!$B$34*(C66/(D66*((BN66+BO66)/2)))/((D66*((BN66+BO66)/2))/(D66+2*((BN66+BO66)/2)))^(2/3))^2+((DATOS!$B$34*H65/((D65*F65)/(D65+2*F65))^(2/3))^2))/2))&gt;0,BN66,((BN66+BO66)/2))</f>
        <v/>
      </c>
      <c r="BQ66" s="5">
        <f>IF((((BN66+BO66)/2)+(C66/(D66*((BN66+BO66)/2)))^2/(2*9.81)+B66-(G65+H65^2/(2*9.81))-(A65-A66)*(((DATOS!$B$34*(C66/(D66*((BN66+BO66)/2)))/((D66*((BN66+BO66)/2))/(D66+2*((BN66+BO66)/2)))^(2/3))^2+((DATOS!$B$34*H65/((D65*F65)/(D65+2*F65))^(2/3))^2))/2))&gt;0,((BN66+BO66)/2),BO66)</f>
        <v/>
      </c>
      <c r="BR66" s="5">
        <f>IF((((BP66+BQ66)/2)+(C66/(D66*((BP66+BQ66)/2)))^2/(2*9.81)+B66-(G65+H65^2/(2*9.81))-(A65-A66)*(((DATOS!$B$34*(C66/(D66*((BP66+BQ66)/2)))/((D66*((BP66+BQ66)/2))/(D66+2*((BP66+BQ66)/2)))^(2/3))^2+((DATOS!$B$34*H65/((D65*F65)/(D65+2*F65))^(2/3))^2))/2))&gt;0,BP66,((BP66+BQ66)/2))</f>
        <v/>
      </c>
      <c r="BS66" s="5">
        <f>IF((((BP66+BQ66)/2)+(C66/(D66*((BP66+BQ66)/2)))^2/(2*9.81)+B66-(G65+H65^2/(2*9.81))-(A65-A66)*(((DATOS!$B$34*(C66/(D66*((BP66+BQ66)/2)))/((D66*((BP66+BQ66)/2))/(D66+2*((BP66+BQ66)/2)))^(2/3))^2+((DATOS!$B$34*H65/((D65*F65)/(D65+2*F65))^(2/3))^2))/2))&gt;0,((BP66+BQ66)/2),BQ66)</f>
        <v/>
      </c>
      <c r="BT66" s="5">
        <f>IF((((BR66+BS66)/2)+(C66/(D66*((BR66+BS66)/2)))^2/(2*9.81)+B66-(G65+H65^2/(2*9.81))-(A65-A66)*(((DATOS!$B$34*(C66/(D66*((BR66+BS66)/2)))/((D66*((BR66+BS66)/2))/(D66+2*((BR66+BS66)/2)))^(2/3))^2+((DATOS!$B$34*H65/((D65*F65)/(D65+2*F65))^(2/3))^2))/2))&gt;0,BR66,((BR66+BS66)/2))</f>
        <v/>
      </c>
      <c r="BU66" s="5">
        <f>IF((((BR66+BS66)/2)+(C66/(D66*((BR66+BS66)/2)))^2/(2*9.81)+B66-(G65+H65^2/(2*9.81))-(A65-A66)*(((DATOS!$B$34*(C66/(D66*((BR66+BS66)/2)))/((D66*((BR66+BS66)/2))/(D66+2*((BR66+BS66)/2)))^(2/3))^2+((DATOS!$B$34*H65/((D65*F65)/(D65+2*F65))^(2/3))^2))/2))&gt;0,((BR66+BS66)/2),BS66)</f>
        <v/>
      </c>
      <c r="BV66" s="5">
        <f>IF((((BT66+BU66)/2)+(C66/(D66*((BT66+BU66)/2)))^2/(2*9.81)+B66-(G65+H65^2/(2*9.81))-(A65-A66)*(((DATOS!$B$34*(C66/(D66*((BT66+BU66)/2)))/((D66*((BT66+BU66)/2))/(D66+2*((BT66+BU66)/2)))^(2/3))^2+((DATOS!$B$34*H65/((D65*F65)/(D65+2*F65))^(2/3))^2))/2))&gt;0,BT66,((BT66+BU66)/2))</f>
        <v/>
      </c>
      <c r="BW66" s="5">
        <f>IF((((BT66+BU66)/2)+(C66/(D66*((BT66+BU66)/2)))^2/(2*9.81)+B66-(G65+H65^2/(2*9.81))-(A65-A66)*(((DATOS!$B$34*(C66/(D66*((BT66+BU66)/2)))/((D66*((BT66+BU66)/2))/(D66+2*((BT66+BU66)/2)))^(2/3))^2+((DATOS!$B$34*H65/((D65*F65)/(D65+2*F65))^(2/3))^2))/2))&gt;0,((BT66+BU66)/2),BU66)</f>
        <v/>
      </c>
    </row>
    <row r="67">
      <c r="A67" s="13" t="n">
        <v>21</v>
      </c>
      <c r="B67" s="16">
        <f>DATOS!$B$22-DATOS!$B$23*A67</f>
        <v/>
      </c>
      <c r="C67" s="24">
        <f>CAUDALES!$B$13</f>
        <v/>
      </c>
      <c r="D67" s="17">
        <f>DATOS!$B$17</f>
        <v/>
      </c>
      <c r="E67" s="16">
        <f>(C67^2/(9.81*D67^2))^(1/3)</f>
        <v/>
      </c>
      <c r="F67" s="16">
        <f>(BV67+BW67)/2</f>
        <v/>
      </c>
      <c r="G67" s="16">
        <f>B67+F67</f>
        <v/>
      </c>
      <c r="H67" s="19">
        <f>C67/(D67*F67)</f>
        <v/>
      </c>
      <c r="I67" s="19">
        <f>H67/SQRT(9.81*F67)</f>
        <v/>
      </c>
      <c r="J67" s="16">
        <f>DATOS!$B$29-IF(AND(A67&gt;=DATOS!$B$30,A67&lt;DATOS!$B$31),DATOS!$B$21,DATOS!$B$20)</f>
        <v/>
      </c>
      <c r="K67" s="19">
        <f>J67-B67</f>
        <v/>
      </c>
      <c r="L67" s="19">
        <f>F67/K67</f>
        <v/>
      </c>
      <c r="M67" s="16">
        <f>J67-G67</f>
        <v/>
      </c>
      <c r="N67" s="5">
        <f>IF(AND(L67&lt;=DATOS!$B$36,M67&gt;=DATOS!$B$37,I67&lt;=1),"CUMPLE","NO CUMPLE")</f>
        <v/>
      </c>
      <c r="O67" s="5">
        <f>IF(AND(A67&gt;=DATOS!$B$30,A67&lt;DATOS!$B$31),"cruce de camiones",IF(AND(A67&gt;=DATOS!$B$32,A67&lt;DATOS!$B$33),"cruce de motos","tramo normal"))</f>
        <v/>
      </c>
      <c r="P67" s="5">
        <f>E67*1.001</f>
        <v/>
      </c>
      <c r="Q67" s="13" t="n">
        <v>3</v>
      </c>
      <c r="R67" s="5">
        <f>IF((((P67+Q67)/2)+(C67/(D67*((P67+Q67)/2)))^2/(2*9.81)+B67-(G66+H66^2/(2*9.81))-(A66-A67)*(((DATOS!$B$34*(C67/(D67*((P67+Q67)/2)))/((D67*((P67+Q67)/2))/(D67+2*((P67+Q67)/2)))^(2/3))^2+((DATOS!$B$34*H66/((D66*F66)/(D66+2*F66))^(2/3))^2))/2))&gt;0,P67,((P67+Q67)/2))</f>
        <v/>
      </c>
      <c r="S67" s="5">
        <f>IF((((P67+Q67)/2)+(C67/(D67*((P67+Q67)/2)))^2/(2*9.81)+B67-(G66+H66^2/(2*9.81))-(A66-A67)*(((DATOS!$B$34*(C67/(D67*((P67+Q67)/2)))/((D67*((P67+Q67)/2))/(D67+2*((P67+Q67)/2)))^(2/3))^2+((DATOS!$B$34*H66/((D66*F66)/(D66+2*F66))^(2/3))^2))/2))&gt;0,((P67+Q67)/2),Q67)</f>
        <v/>
      </c>
      <c r="T67" s="5">
        <f>IF((((R67+S67)/2)+(C67/(D67*((R67+S67)/2)))^2/(2*9.81)+B67-(G66+H66^2/(2*9.81))-(A66-A67)*(((DATOS!$B$34*(C67/(D67*((R67+S67)/2)))/((D67*((R67+S67)/2))/(D67+2*((R67+S67)/2)))^(2/3))^2+((DATOS!$B$34*H66/((D66*F66)/(D66+2*F66))^(2/3))^2))/2))&gt;0,R67,((R67+S67)/2))</f>
        <v/>
      </c>
      <c r="U67" s="5">
        <f>IF((((R67+S67)/2)+(C67/(D67*((R67+S67)/2)))^2/(2*9.81)+B67-(G66+H66^2/(2*9.81))-(A66-A67)*(((DATOS!$B$34*(C67/(D67*((R67+S67)/2)))/((D67*((R67+S67)/2))/(D67+2*((R67+S67)/2)))^(2/3))^2+((DATOS!$B$34*H66/((D66*F66)/(D66+2*F66))^(2/3))^2))/2))&gt;0,((R67+S67)/2),S67)</f>
        <v/>
      </c>
      <c r="V67" s="5">
        <f>IF((((T67+U67)/2)+(C67/(D67*((T67+U67)/2)))^2/(2*9.81)+B67-(G66+H66^2/(2*9.81))-(A66-A67)*(((DATOS!$B$34*(C67/(D67*((T67+U67)/2)))/((D67*((T67+U67)/2))/(D67+2*((T67+U67)/2)))^(2/3))^2+((DATOS!$B$34*H66/((D66*F66)/(D66+2*F66))^(2/3))^2))/2))&gt;0,T67,((T67+U67)/2))</f>
        <v/>
      </c>
      <c r="W67" s="5">
        <f>IF((((T67+U67)/2)+(C67/(D67*((T67+U67)/2)))^2/(2*9.81)+B67-(G66+H66^2/(2*9.81))-(A66-A67)*(((DATOS!$B$34*(C67/(D67*((T67+U67)/2)))/((D67*((T67+U67)/2))/(D67+2*((T67+U67)/2)))^(2/3))^2+((DATOS!$B$34*H66/((D66*F66)/(D66+2*F66))^(2/3))^2))/2))&gt;0,((T67+U67)/2),U67)</f>
        <v/>
      </c>
      <c r="X67" s="5">
        <f>IF((((V67+W67)/2)+(C67/(D67*((V67+W67)/2)))^2/(2*9.81)+B67-(G66+H66^2/(2*9.81))-(A66-A67)*(((DATOS!$B$34*(C67/(D67*((V67+W67)/2)))/((D67*((V67+W67)/2))/(D67+2*((V67+W67)/2)))^(2/3))^2+((DATOS!$B$34*H66/((D66*F66)/(D66+2*F66))^(2/3))^2))/2))&gt;0,V67,((V67+W67)/2))</f>
        <v/>
      </c>
      <c r="Y67" s="5">
        <f>IF((((V67+W67)/2)+(C67/(D67*((V67+W67)/2)))^2/(2*9.81)+B67-(G66+H66^2/(2*9.81))-(A66-A67)*(((DATOS!$B$34*(C67/(D67*((V67+W67)/2)))/((D67*((V67+W67)/2))/(D67+2*((V67+W67)/2)))^(2/3))^2+((DATOS!$B$34*H66/((D66*F66)/(D66+2*F66))^(2/3))^2))/2))&gt;0,((V67+W67)/2),W67)</f>
        <v/>
      </c>
      <c r="Z67" s="5">
        <f>IF((((X67+Y67)/2)+(C67/(D67*((X67+Y67)/2)))^2/(2*9.81)+B67-(G66+H66^2/(2*9.81))-(A66-A67)*(((DATOS!$B$34*(C67/(D67*((X67+Y67)/2)))/((D67*((X67+Y67)/2))/(D67+2*((X67+Y67)/2)))^(2/3))^2+((DATOS!$B$34*H66/((D66*F66)/(D66+2*F66))^(2/3))^2))/2))&gt;0,X67,((X67+Y67)/2))</f>
        <v/>
      </c>
      <c r="AA67" s="5">
        <f>IF((((X67+Y67)/2)+(C67/(D67*((X67+Y67)/2)))^2/(2*9.81)+B67-(G66+H66^2/(2*9.81))-(A66-A67)*(((DATOS!$B$34*(C67/(D67*((X67+Y67)/2)))/((D67*((X67+Y67)/2))/(D67+2*((X67+Y67)/2)))^(2/3))^2+((DATOS!$B$34*H66/((D66*F66)/(D66+2*F66))^(2/3))^2))/2))&gt;0,((X67+Y67)/2),Y67)</f>
        <v/>
      </c>
      <c r="AB67" s="5">
        <f>IF((((Z67+AA67)/2)+(C67/(D67*((Z67+AA67)/2)))^2/(2*9.81)+B67-(G66+H66^2/(2*9.81))-(A66-A67)*(((DATOS!$B$34*(C67/(D67*((Z67+AA67)/2)))/((D67*((Z67+AA67)/2))/(D67+2*((Z67+AA67)/2)))^(2/3))^2+((DATOS!$B$34*H66/((D66*F66)/(D66+2*F66))^(2/3))^2))/2))&gt;0,Z67,((Z67+AA67)/2))</f>
        <v/>
      </c>
      <c r="AC67" s="5">
        <f>IF((((Z67+AA67)/2)+(C67/(D67*((Z67+AA67)/2)))^2/(2*9.81)+B67-(G66+H66^2/(2*9.81))-(A66-A67)*(((DATOS!$B$34*(C67/(D67*((Z67+AA67)/2)))/((D67*((Z67+AA67)/2))/(D67+2*((Z67+AA67)/2)))^(2/3))^2+((DATOS!$B$34*H66/((D66*F66)/(D66+2*F66))^(2/3))^2))/2))&gt;0,((Z67+AA67)/2),AA67)</f>
        <v/>
      </c>
      <c r="AD67" s="5">
        <f>IF((((AB67+AC67)/2)+(C67/(D67*((AB67+AC67)/2)))^2/(2*9.81)+B67-(G66+H66^2/(2*9.81))-(A66-A67)*(((DATOS!$B$34*(C67/(D67*((AB67+AC67)/2)))/((D67*((AB67+AC67)/2))/(D67+2*((AB67+AC67)/2)))^(2/3))^2+((DATOS!$B$34*H66/((D66*F66)/(D66+2*F66))^(2/3))^2))/2))&gt;0,AB67,((AB67+AC67)/2))</f>
        <v/>
      </c>
      <c r="AE67" s="5">
        <f>IF((((AB67+AC67)/2)+(C67/(D67*((AB67+AC67)/2)))^2/(2*9.81)+B67-(G66+H66^2/(2*9.81))-(A66-A67)*(((DATOS!$B$34*(C67/(D67*((AB67+AC67)/2)))/((D67*((AB67+AC67)/2))/(D67+2*((AB67+AC67)/2)))^(2/3))^2+((DATOS!$B$34*H66/((D66*F66)/(D66+2*F66))^(2/3))^2))/2))&gt;0,((AB67+AC67)/2),AC67)</f>
        <v/>
      </c>
      <c r="AF67" s="5">
        <f>IF((((AD67+AE67)/2)+(C67/(D67*((AD67+AE67)/2)))^2/(2*9.81)+B67-(G66+H66^2/(2*9.81))-(A66-A67)*(((DATOS!$B$34*(C67/(D67*((AD67+AE67)/2)))/((D67*((AD67+AE67)/2))/(D67+2*((AD67+AE67)/2)))^(2/3))^2+((DATOS!$B$34*H66/((D66*F66)/(D66+2*F66))^(2/3))^2))/2))&gt;0,AD67,((AD67+AE67)/2))</f>
        <v/>
      </c>
      <c r="AG67" s="5">
        <f>IF((((AD67+AE67)/2)+(C67/(D67*((AD67+AE67)/2)))^2/(2*9.81)+B67-(G66+H66^2/(2*9.81))-(A66-A67)*(((DATOS!$B$34*(C67/(D67*((AD67+AE67)/2)))/((D67*((AD67+AE67)/2))/(D67+2*((AD67+AE67)/2)))^(2/3))^2+((DATOS!$B$34*H66/((D66*F66)/(D66+2*F66))^(2/3))^2))/2))&gt;0,((AD67+AE67)/2),AE67)</f>
        <v/>
      </c>
      <c r="AH67" s="5">
        <f>IF((((AF67+AG67)/2)+(C67/(D67*((AF67+AG67)/2)))^2/(2*9.81)+B67-(G66+H66^2/(2*9.81))-(A66-A67)*(((DATOS!$B$34*(C67/(D67*((AF67+AG67)/2)))/((D67*((AF67+AG67)/2))/(D67+2*((AF67+AG67)/2)))^(2/3))^2+((DATOS!$B$34*H66/((D66*F66)/(D66+2*F66))^(2/3))^2))/2))&gt;0,AF67,((AF67+AG67)/2))</f>
        <v/>
      </c>
      <c r="AI67" s="5">
        <f>IF((((AF67+AG67)/2)+(C67/(D67*((AF67+AG67)/2)))^2/(2*9.81)+B67-(G66+H66^2/(2*9.81))-(A66-A67)*(((DATOS!$B$34*(C67/(D67*((AF67+AG67)/2)))/((D67*((AF67+AG67)/2))/(D67+2*((AF67+AG67)/2)))^(2/3))^2+((DATOS!$B$34*H66/((D66*F66)/(D66+2*F66))^(2/3))^2))/2))&gt;0,((AF67+AG67)/2),AG67)</f>
        <v/>
      </c>
      <c r="AJ67" s="5">
        <f>IF((((AH67+AI67)/2)+(C67/(D67*((AH67+AI67)/2)))^2/(2*9.81)+B67-(G66+H66^2/(2*9.81))-(A66-A67)*(((DATOS!$B$34*(C67/(D67*((AH67+AI67)/2)))/((D67*((AH67+AI67)/2))/(D67+2*((AH67+AI67)/2)))^(2/3))^2+((DATOS!$B$34*H66/((D66*F66)/(D66+2*F66))^(2/3))^2))/2))&gt;0,AH67,((AH67+AI67)/2))</f>
        <v/>
      </c>
      <c r="AK67" s="5">
        <f>IF((((AH67+AI67)/2)+(C67/(D67*((AH67+AI67)/2)))^2/(2*9.81)+B67-(G66+H66^2/(2*9.81))-(A66-A67)*(((DATOS!$B$34*(C67/(D67*((AH67+AI67)/2)))/((D67*((AH67+AI67)/2))/(D67+2*((AH67+AI67)/2)))^(2/3))^2+((DATOS!$B$34*H66/((D66*F66)/(D66+2*F66))^(2/3))^2))/2))&gt;0,((AH67+AI67)/2),AI67)</f>
        <v/>
      </c>
      <c r="AL67" s="5">
        <f>IF((((AJ67+AK67)/2)+(C67/(D67*((AJ67+AK67)/2)))^2/(2*9.81)+B67-(G66+H66^2/(2*9.81))-(A66-A67)*(((DATOS!$B$34*(C67/(D67*((AJ67+AK67)/2)))/((D67*((AJ67+AK67)/2))/(D67+2*((AJ67+AK67)/2)))^(2/3))^2+((DATOS!$B$34*H66/((D66*F66)/(D66+2*F66))^(2/3))^2))/2))&gt;0,AJ67,((AJ67+AK67)/2))</f>
        <v/>
      </c>
      <c r="AM67" s="5">
        <f>IF((((AJ67+AK67)/2)+(C67/(D67*((AJ67+AK67)/2)))^2/(2*9.81)+B67-(G66+H66^2/(2*9.81))-(A66-A67)*(((DATOS!$B$34*(C67/(D67*((AJ67+AK67)/2)))/((D67*((AJ67+AK67)/2))/(D67+2*((AJ67+AK67)/2)))^(2/3))^2+((DATOS!$B$34*H66/((D66*F66)/(D66+2*F66))^(2/3))^2))/2))&gt;0,((AJ67+AK67)/2),AK67)</f>
        <v/>
      </c>
      <c r="AN67" s="5">
        <f>IF((((AL67+AM67)/2)+(C67/(D67*((AL67+AM67)/2)))^2/(2*9.81)+B67-(G66+H66^2/(2*9.81))-(A66-A67)*(((DATOS!$B$34*(C67/(D67*((AL67+AM67)/2)))/((D67*((AL67+AM67)/2))/(D67+2*((AL67+AM67)/2)))^(2/3))^2+((DATOS!$B$34*H66/((D66*F66)/(D66+2*F66))^(2/3))^2))/2))&gt;0,AL67,((AL67+AM67)/2))</f>
        <v/>
      </c>
      <c r="AO67" s="5">
        <f>IF((((AL67+AM67)/2)+(C67/(D67*((AL67+AM67)/2)))^2/(2*9.81)+B67-(G66+H66^2/(2*9.81))-(A66-A67)*(((DATOS!$B$34*(C67/(D67*((AL67+AM67)/2)))/((D67*((AL67+AM67)/2))/(D67+2*((AL67+AM67)/2)))^(2/3))^2+((DATOS!$B$34*H66/((D66*F66)/(D66+2*F66))^(2/3))^2))/2))&gt;0,((AL67+AM67)/2),AM67)</f>
        <v/>
      </c>
      <c r="AP67" s="5">
        <f>IF((((AN67+AO67)/2)+(C67/(D67*((AN67+AO67)/2)))^2/(2*9.81)+B67-(G66+H66^2/(2*9.81))-(A66-A67)*(((DATOS!$B$34*(C67/(D67*((AN67+AO67)/2)))/((D67*((AN67+AO67)/2))/(D67+2*((AN67+AO67)/2)))^(2/3))^2+((DATOS!$B$34*H66/((D66*F66)/(D66+2*F66))^(2/3))^2))/2))&gt;0,AN67,((AN67+AO67)/2))</f>
        <v/>
      </c>
      <c r="AQ67" s="5">
        <f>IF((((AN67+AO67)/2)+(C67/(D67*((AN67+AO67)/2)))^2/(2*9.81)+B67-(G66+H66^2/(2*9.81))-(A66-A67)*(((DATOS!$B$34*(C67/(D67*((AN67+AO67)/2)))/((D67*((AN67+AO67)/2))/(D67+2*((AN67+AO67)/2)))^(2/3))^2+((DATOS!$B$34*H66/((D66*F66)/(D66+2*F66))^(2/3))^2))/2))&gt;0,((AN67+AO67)/2),AO67)</f>
        <v/>
      </c>
      <c r="AR67" s="5">
        <f>IF((((AP67+AQ67)/2)+(C67/(D67*((AP67+AQ67)/2)))^2/(2*9.81)+B67-(G66+H66^2/(2*9.81))-(A66-A67)*(((DATOS!$B$34*(C67/(D67*((AP67+AQ67)/2)))/((D67*((AP67+AQ67)/2))/(D67+2*((AP67+AQ67)/2)))^(2/3))^2+((DATOS!$B$34*H66/((D66*F66)/(D66+2*F66))^(2/3))^2))/2))&gt;0,AP67,((AP67+AQ67)/2))</f>
        <v/>
      </c>
      <c r="AS67" s="5">
        <f>IF((((AP67+AQ67)/2)+(C67/(D67*((AP67+AQ67)/2)))^2/(2*9.81)+B67-(G66+H66^2/(2*9.81))-(A66-A67)*(((DATOS!$B$34*(C67/(D67*((AP67+AQ67)/2)))/((D67*((AP67+AQ67)/2))/(D67+2*((AP67+AQ67)/2)))^(2/3))^2+((DATOS!$B$34*H66/((D66*F66)/(D66+2*F66))^(2/3))^2))/2))&gt;0,((AP67+AQ67)/2),AQ67)</f>
        <v/>
      </c>
      <c r="AT67" s="5">
        <f>IF((((AR67+AS67)/2)+(C67/(D67*((AR67+AS67)/2)))^2/(2*9.81)+B67-(G66+H66^2/(2*9.81))-(A66-A67)*(((DATOS!$B$34*(C67/(D67*((AR67+AS67)/2)))/((D67*((AR67+AS67)/2))/(D67+2*((AR67+AS67)/2)))^(2/3))^2+((DATOS!$B$34*H66/((D66*F66)/(D66+2*F66))^(2/3))^2))/2))&gt;0,AR67,((AR67+AS67)/2))</f>
        <v/>
      </c>
      <c r="AU67" s="5">
        <f>IF((((AR67+AS67)/2)+(C67/(D67*((AR67+AS67)/2)))^2/(2*9.81)+B67-(G66+H66^2/(2*9.81))-(A66-A67)*(((DATOS!$B$34*(C67/(D67*((AR67+AS67)/2)))/((D67*((AR67+AS67)/2))/(D67+2*((AR67+AS67)/2)))^(2/3))^2+((DATOS!$B$34*H66/((D66*F66)/(D66+2*F66))^(2/3))^2))/2))&gt;0,((AR67+AS67)/2),AS67)</f>
        <v/>
      </c>
      <c r="AV67" s="5">
        <f>IF((((AT67+AU67)/2)+(C67/(D67*((AT67+AU67)/2)))^2/(2*9.81)+B67-(G66+H66^2/(2*9.81))-(A66-A67)*(((DATOS!$B$34*(C67/(D67*((AT67+AU67)/2)))/((D67*((AT67+AU67)/2))/(D67+2*((AT67+AU67)/2)))^(2/3))^2+((DATOS!$B$34*H66/((D66*F66)/(D66+2*F66))^(2/3))^2))/2))&gt;0,AT67,((AT67+AU67)/2))</f>
        <v/>
      </c>
      <c r="AW67" s="5">
        <f>IF((((AT67+AU67)/2)+(C67/(D67*((AT67+AU67)/2)))^2/(2*9.81)+B67-(G66+H66^2/(2*9.81))-(A66-A67)*(((DATOS!$B$34*(C67/(D67*((AT67+AU67)/2)))/((D67*((AT67+AU67)/2))/(D67+2*((AT67+AU67)/2)))^(2/3))^2+((DATOS!$B$34*H66/((D66*F66)/(D66+2*F66))^(2/3))^2))/2))&gt;0,((AT67+AU67)/2),AU67)</f>
        <v/>
      </c>
      <c r="AX67" s="5">
        <f>IF((((AV67+AW67)/2)+(C67/(D67*((AV67+AW67)/2)))^2/(2*9.81)+B67-(G66+H66^2/(2*9.81))-(A66-A67)*(((DATOS!$B$34*(C67/(D67*((AV67+AW67)/2)))/((D67*((AV67+AW67)/2))/(D67+2*((AV67+AW67)/2)))^(2/3))^2+((DATOS!$B$34*H66/((D66*F66)/(D66+2*F66))^(2/3))^2))/2))&gt;0,AV67,((AV67+AW67)/2))</f>
        <v/>
      </c>
      <c r="AY67" s="5">
        <f>IF((((AV67+AW67)/2)+(C67/(D67*((AV67+AW67)/2)))^2/(2*9.81)+B67-(G66+H66^2/(2*9.81))-(A66-A67)*(((DATOS!$B$34*(C67/(D67*((AV67+AW67)/2)))/((D67*((AV67+AW67)/2))/(D67+2*((AV67+AW67)/2)))^(2/3))^2+((DATOS!$B$34*H66/((D66*F66)/(D66+2*F66))^(2/3))^2))/2))&gt;0,((AV67+AW67)/2),AW67)</f>
        <v/>
      </c>
      <c r="AZ67" s="5">
        <f>IF((((AX67+AY67)/2)+(C67/(D67*((AX67+AY67)/2)))^2/(2*9.81)+B67-(G66+H66^2/(2*9.81))-(A66-A67)*(((DATOS!$B$34*(C67/(D67*((AX67+AY67)/2)))/((D67*((AX67+AY67)/2))/(D67+2*((AX67+AY67)/2)))^(2/3))^2+((DATOS!$B$34*H66/((D66*F66)/(D66+2*F66))^(2/3))^2))/2))&gt;0,AX67,((AX67+AY67)/2))</f>
        <v/>
      </c>
      <c r="BA67" s="5">
        <f>IF((((AX67+AY67)/2)+(C67/(D67*((AX67+AY67)/2)))^2/(2*9.81)+B67-(G66+H66^2/(2*9.81))-(A66-A67)*(((DATOS!$B$34*(C67/(D67*((AX67+AY67)/2)))/((D67*((AX67+AY67)/2))/(D67+2*((AX67+AY67)/2)))^(2/3))^2+((DATOS!$B$34*H66/((D66*F66)/(D66+2*F66))^(2/3))^2))/2))&gt;0,((AX67+AY67)/2),AY67)</f>
        <v/>
      </c>
      <c r="BB67" s="5">
        <f>IF((((AZ67+BA67)/2)+(C67/(D67*((AZ67+BA67)/2)))^2/(2*9.81)+B67-(G66+H66^2/(2*9.81))-(A66-A67)*(((DATOS!$B$34*(C67/(D67*((AZ67+BA67)/2)))/((D67*((AZ67+BA67)/2))/(D67+2*((AZ67+BA67)/2)))^(2/3))^2+((DATOS!$B$34*H66/((D66*F66)/(D66+2*F66))^(2/3))^2))/2))&gt;0,AZ67,((AZ67+BA67)/2))</f>
        <v/>
      </c>
      <c r="BC67" s="5">
        <f>IF((((AZ67+BA67)/2)+(C67/(D67*((AZ67+BA67)/2)))^2/(2*9.81)+B67-(G66+H66^2/(2*9.81))-(A66-A67)*(((DATOS!$B$34*(C67/(D67*((AZ67+BA67)/2)))/((D67*((AZ67+BA67)/2))/(D67+2*((AZ67+BA67)/2)))^(2/3))^2+((DATOS!$B$34*H66/((D66*F66)/(D66+2*F66))^(2/3))^2))/2))&gt;0,((AZ67+BA67)/2),BA67)</f>
        <v/>
      </c>
      <c r="BD67" s="5">
        <f>IF((((BB67+BC67)/2)+(C67/(D67*((BB67+BC67)/2)))^2/(2*9.81)+B67-(G66+H66^2/(2*9.81))-(A66-A67)*(((DATOS!$B$34*(C67/(D67*((BB67+BC67)/2)))/((D67*((BB67+BC67)/2))/(D67+2*((BB67+BC67)/2)))^(2/3))^2+((DATOS!$B$34*H66/((D66*F66)/(D66+2*F66))^(2/3))^2))/2))&gt;0,BB67,((BB67+BC67)/2))</f>
        <v/>
      </c>
      <c r="BE67" s="5">
        <f>IF((((BB67+BC67)/2)+(C67/(D67*((BB67+BC67)/2)))^2/(2*9.81)+B67-(G66+H66^2/(2*9.81))-(A66-A67)*(((DATOS!$B$34*(C67/(D67*((BB67+BC67)/2)))/((D67*((BB67+BC67)/2))/(D67+2*((BB67+BC67)/2)))^(2/3))^2+((DATOS!$B$34*H66/((D66*F66)/(D66+2*F66))^(2/3))^2))/2))&gt;0,((BB67+BC67)/2),BC67)</f>
        <v/>
      </c>
      <c r="BF67" s="5">
        <f>IF((((BD67+BE67)/2)+(C67/(D67*((BD67+BE67)/2)))^2/(2*9.81)+B67-(G66+H66^2/(2*9.81))-(A66-A67)*(((DATOS!$B$34*(C67/(D67*((BD67+BE67)/2)))/((D67*((BD67+BE67)/2))/(D67+2*((BD67+BE67)/2)))^(2/3))^2+((DATOS!$B$34*H66/((D66*F66)/(D66+2*F66))^(2/3))^2))/2))&gt;0,BD67,((BD67+BE67)/2))</f>
        <v/>
      </c>
      <c r="BG67" s="5">
        <f>IF((((BD67+BE67)/2)+(C67/(D67*((BD67+BE67)/2)))^2/(2*9.81)+B67-(G66+H66^2/(2*9.81))-(A66-A67)*(((DATOS!$B$34*(C67/(D67*((BD67+BE67)/2)))/((D67*((BD67+BE67)/2))/(D67+2*((BD67+BE67)/2)))^(2/3))^2+((DATOS!$B$34*H66/((D66*F66)/(D66+2*F66))^(2/3))^2))/2))&gt;0,((BD67+BE67)/2),BE67)</f>
        <v/>
      </c>
      <c r="BH67" s="5">
        <f>IF((((BF67+BG67)/2)+(C67/(D67*((BF67+BG67)/2)))^2/(2*9.81)+B67-(G66+H66^2/(2*9.81))-(A66-A67)*(((DATOS!$B$34*(C67/(D67*((BF67+BG67)/2)))/((D67*((BF67+BG67)/2))/(D67+2*((BF67+BG67)/2)))^(2/3))^2+((DATOS!$B$34*H66/((D66*F66)/(D66+2*F66))^(2/3))^2))/2))&gt;0,BF67,((BF67+BG67)/2))</f>
        <v/>
      </c>
      <c r="BI67" s="5">
        <f>IF((((BF67+BG67)/2)+(C67/(D67*((BF67+BG67)/2)))^2/(2*9.81)+B67-(G66+H66^2/(2*9.81))-(A66-A67)*(((DATOS!$B$34*(C67/(D67*((BF67+BG67)/2)))/((D67*((BF67+BG67)/2))/(D67+2*((BF67+BG67)/2)))^(2/3))^2+((DATOS!$B$34*H66/((D66*F66)/(D66+2*F66))^(2/3))^2))/2))&gt;0,((BF67+BG67)/2),BG67)</f>
        <v/>
      </c>
      <c r="BJ67" s="5">
        <f>IF((((BH67+BI67)/2)+(C67/(D67*((BH67+BI67)/2)))^2/(2*9.81)+B67-(G66+H66^2/(2*9.81))-(A66-A67)*(((DATOS!$B$34*(C67/(D67*((BH67+BI67)/2)))/((D67*((BH67+BI67)/2))/(D67+2*((BH67+BI67)/2)))^(2/3))^2+((DATOS!$B$34*H66/((D66*F66)/(D66+2*F66))^(2/3))^2))/2))&gt;0,BH67,((BH67+BI67)/2))</f>
        <v/>
      </c>
      <c r="BK67" s="5">
        <f>IF((((BH67+BI67)/2)+(C67/(D67*((BH67+BI67)/2)))^2/(2*9.81)+B67-(G66+H66^2/(2*9.81))-(A66-A67)*(((DATOS!$B$34*(C67/(D67*((BH67+BI67)/2)))/((D67*((BH67+BI67)/2))/(D67+2*((BH67+BI67)/2)))^(2/3))^2+((DATOS!$B$34*H66/((D66*F66)/(D66+2*F66))^(2/3))^2))/2))&gt;0,((BH67+BI67)/2),BI67)</f>
        <v/>
      </c>
      <c r="BL67" s="5">
        <f>IF((((BJ67+BK67)/2)+(C67/(D67*((BJ67+BK67)/2)))^2/(2*9.81)+B67-(G66+H66^2/(2*9.81))-(A66-A67)*(((DATOS!$B$34*(C67/(D67*((BJ67+BK67)/2)))/((D67*((BJ67+BK67)/2))/(D67+2*((BJ67+BK67)/2)))^(2/3))^2+((DATOS!$B$34*H66/((D66*F66)/(D66+2*F66))^(2/3))^2))/2))&gt;0,BJ67,((BJ67+BK67)/2))</f>
        <v/>
      </c>
      <c r="BM67" s="5">
        <f>IF((((BJ67+BK67)/2)+(C67/(D67*((BJ67+BK67)/2)))^2/(2*9.81)+B67-(G66+H66^2/(2*9.81))-(A66-A67)*(((DATOS!$B$34*(C67/(D67*((BJ67+BK67)/2)))/((D67*((BJ67+BK67)/2))/(D67+2*((BJ67+BK67)/2)))^(2/3))^2+((DATOS!$B$34*H66/((D66*F66)/(D66+2*F66))^(2/3))^2))/2))&gt;0,((BJ67+BK67)/2),BK67)</f>
        <v/>
      </c>
      <c r="BN67" s="5">
        <f>IF((((BL67+BM67)/2)+(C67/(D67*((BL67+BM67)/2)))^2/(2*9.81)+B67-(G66+H66^2/(2*9.81))-(A66-A67)*(((DATOS!$B$34*(C67/(D67*((BL67+BM67)/2)))/((D67*((BL67+BM67)/2))/(D67+2*((BL67+BM67)/2)))^(2/3))^2+((DATOS!$B$34*H66/((D66*F66)/(D66+2*F66))^(2/3))^2))/2))&gt;0,BL67,((BL67+BM67)/2))</f>
        <v/>
      </c>
      <c r="BO67" s="5">
        <f>IF((((BL67+BM67)/2)+(C67/(D67*((BL67+BM67)/2)))^2/(2*9.81)+B67-(G66+H66^2/(2*9.81))-(A66-A67)*(((DATOS!$B$34*(C67/(D67*((BL67+BM67)/2)))/((D67*((BL67+BM67)/2))/(D67+2*((BL67+BM67)/2)))^(2/3))^2+((DATOS!$B$34*H66/((D66*F66)/(D66+2*F66))^(2/3))^2))/2))&gt;0,((BL67+BM67)/2),BM67)</f>
        <v/>
      </c>
      <c r="BP67" s="5">
        <f>IF((((BN67+BO67)/2)+(C67/(D67*((BN67+BO67)/2)))^2/(2*9.81)+B67-(G66+H66^2/(2*9.81))-(A66-A67)*(((DATOS!$B$34*(C67/(D67*((BN67+BO67)/2)))/((D67*((BN67+BO67)/2))/(D67+2*((BN67+BO67)/2)))^(2/3))^2+((DATOS!$B$34*H66/((D66*F66)/(D66+2*F66))^(2/3))^2))/2))&gt;0,BN67,((BN67+BO67)/2))</f>
        <v/>
      </c>
      <c r="BQ67" s="5">
        <f>IF((((BN67+BO67)/2)+(C67/(D67*((BN67+BO67)/2)))^2/(2*9.81)+B67-(G66+H66^2/(2*9.81))-(A66-A67)*(((DATOS!$B$34*(C67/(D67*((BN67+BO67)/2)))/((D67*((BN67+BO67)/2))/(D67+2*((BN67+BO67)/2)))^(2/3))^2+((DATOS!$B$34*H66/((D66*F66)/(D66+2*F66))^(2/3))^2))/2))&gt;0,((BN67+BO67)/2),BO67)</f>
        <v/>
      </c>
      <c r="BR67" s="5">
        <f>IF((((BP67+BQ67)/2)+(C67/(D67*((BP67+BQ67)/2)))^2/(2*9.81)+B67-(G66+H66^2/(2*9.81))-(A66-A67)*(((DATOS!$B$34*(C67/(D67*((BP67+BQ67)/2)))/((D67*((BP67+BQ67)/2))/(D67+2*((BP67+BQ67)/2)))^(2/3))^2+((DATOS!$B$34*H66/((D66*F66)/(D66+2*F66))^(2/3))^2))/2))&gt;0,BP67,((BP67+BQ67)/2))</f>
        <v/>
      </c>
      <c r="BS67" s="5">
        <f>IF((((BP67+BQ67)/2)+(C67/(D67*((BP67+BQ67)/2)))^2/(2*9.81)+B67-(G66+H66^2/(2*9.81))-(A66-A67)*(((DATOS!$B$34*(C67/(D67*((BP67+BQ67)/2)))/((D67*((BP67+BQ67)/2))/(D67+2*((BP67+BQ67)/2)))^(2/3))^2+((DATOS!$B$34*H66/((D66*F66)/(D66+2*F66))^(2/3))^2))/2))&gt;0,((BP67+BQ67)/2),BQ67)</f>
        <v/>
      </c>
      <c r="BT67" s="5">
        <f>IF((((BR67+BS67)/2)+(C67/(D67*((BR67+BS67)/2)))^2/(2*9.81)+B67-(G66+H66^2/(2*9.81))-(A66-A67)*(((DATOS!$B$34*(C67/(D67*((BR67+BS67)/2)))/((D67*((BR67+BS67)/2))/(D67+2*((BR67+BS67)/2)))^(2/3))^2+((DATOS!$B$34*H66/((D66*F66)/(D66+2*F66))^(2/3))^2))/2))&gt;0,BR67,((BR67+BS67)/2))</f>
        <v/>
      </c>
      <c r="BU67" s="5">
        <f>IF((((BR67+BS67)/2)+(C67/(D67*((BR67+BS67)/2)))^2/(2*9.81)+B67-(G66+H66^2/(2*9.81))-(A66-A67)*(((DATOS!$B$34*(C67/(D67*((BR67+BS67)/2)))/((D67*((BR67+BS67)/2))/(D67+2*((BR67+BS67)/2)))^(2/3))^2+((DATOS!$B$34*H66/((D66*F66)/(D66+2*F66))^(2/3))^2))/2))&gt;0,((BR67+BS67)/2),BS67)</f>
        <v/>
      </c>
      <c r="BV67" s="5">
        <f>IF((((BT67+BU67)/2)+(C67/(D67*((BT67+BU67)/2)))^2/(2*9.81)+B67-(G66+H66^2/(2*9.81))-(A66-A67)*(((DATOS!$B$34*(C67/(D67*((BT67+BU67)/2)))/((D67*((BT67+BU67)/2))/(D67+2*((BT67+BU67)/2)))^(2/3))^2+((DATOS!$B$34*H66/((D66*F66)/(D66+2*F66))^(2/3))^2))/2))&gt;0,BT67,((BT67+BU67)/2))</f>
        <v/>
      </c>
      <c r="BW67" s="5">
        <f>IF((((BT67+BU67)/2)+(C67/(D67*((BT67+BU67)/2)))^2/(2*9.81)+B67-(G66+H66^2/(2*9.81))-(A66-A67)*(((DATOS!$B$34*(C67/(D67*((BT67+BU67)/2)))/((D67*((BT67+BU67)/2))/(D67+2*((BT67+BU67)/2)))^(2/3))^2+((DATOS!$B$34*H66/((D66*F66)/(D66+2*F66))^(2/3))^2))/2))&gt;0,((BT67+BU67)/2),BU67)</f>
        <v/>
      </c>
    </row>
    <row r="68">
      <c r="A68" s="13" t="n">
        <v>20</v>
      </c>
      <c r="B68" s="16">
        <f>DATOS!$B$22-DATOS!$B$23*A68</f>
        <v/>
      </c>
      <c r="C68" s="24">
        <f>CAUDALES!$B$13</f>
        <v/>
      </c>
      <c r="D68" s="17">
        <f>DATOS!$B$17</f>
        <v/>
      </c>
      <c r="E68" s="16">
        <f>(C68^2/(9.81*D68^2))^(1/3)</f>
        <v/>
      </c>
      <c r="F68" s="16">
        <f>(BV68+BW68)/2</f>
        <v/>
      </c>
      <c r="G68" s="16">
        <f>B68+F68</f>
        <v/>
      </c>
      <c r="H68" s="19">
        <f>C68/(D68*F68)</f>
        <v/>
      </c>
      <c r="I68" s="19">
        <f>H68/SQRT(9.81*F68)</f>
        <v/>
      </c>
      <c r="J68" s="16">
        <f>DATOS!$B$29-IF(AND(A68&gt;=DATOS!$B$30,A68&lt;DATOS!$B$31),DATOS!$B$21,DATOS!$B$20)</f>
        <v/>
      </c>
      <c r="K68" s="19">
        <f>J68-B68</f>
        <v/>
      </c>
      <c r="L68" s="19">
        <f>F68/K68</f>
        <v/>
      </c>
      <c r="M68" s="16">
        <f>J68-G68</f>
        <v/>
      </c>
      <c r="N68" s="5">
        <f>IF(AND(L68&lt;=DATOS!$B$36,M68&gt;=DATOS!$B$37,I68&lt;=1),"CUMPLE","NO CUMPLE")</f>
        <v/>
      </c>
      <c r="O68" s="5">
        <f>IF(AND(A68&gt;=DATOS!$B$30,A68&lt;DATOS!$B$31),"cruce de camiones",IF(AND(A68&gt;=DATOS!$B$32,A68&lt;DATOS!$B$33),"cruce de motos","tramo normal"))</f>
        <v/>
      </c>
      <c r="P68" s="5">
        <f>E68*1.001</f>
        <v/>
      </c>
      <c r="Q68" s="13" t="n">
        <v>3</v>
      </c>
      <c r="R68" s="5">
        <f>IF((((P68+Q68)/2)+(C68/(D68*((P68+Q68)/2)))^2/(2*9.81)+B68-(G67+H67^2/(2*9.81))-(A67-A68)*(((DATOS!$B$34*(C68/(D68*((P68+Q68)/2)))/((D68*((P68+Q68)/2))/(D68+2*((P68+Q68)/2)))^(2/3))^2+((DATOS!$B$34*H67/((D67*F67)/(D67+2*F67))^(2/3))^2))/2))&gt;0,P68,((P68+Q68)/2))</f>
        <v/>
      </c>
      <c r="S68" s="5">
        <f>IF((((P68+Q68)/2)+(C68/(D68*((P68+Q68)/2)))^2/(2*9.81)+B68-(G67+H67^2/(2*9.81))-(A67-A68)*(((DATOS!$B$34*(C68/(D68*((P68+Q68)/2)))/((D68*((P68+Q68)/2))/(D68+2*((P68+Q68)/2)))^(2/3))^2+((DATOS!$B$34*H67/((D67*F67)/(D67+2*F67))^(2/3))^2))/2))&gt;0,((P68+Q68)/2),Q68)</f>
        <v/>
      </c>
      <c r="T68" s="5">
        <f>IF((((R68+S68)/2)+(C68/(D68*((R68+S68)/2)))^2/(2*9.81)+B68-(G67+H67^2/(2*9.81))-(A67-A68)*(((DATOS!$B$34*(C68/(D68*((R68+S68)/2)))/((D68*((R68+S68)/2))/(D68+2*((R68+S68)/2)))^(2/3))^2+((DATOS!$B$34*H67/((D67*F67)/(D67+2*F67))^(2/3))^2))/2))&gt;0,R68,((R68+S68)/2))</f>
        <v/>
      </c>
      <c r="U68" s="5">
        <f>IF((((R68+S68)/2)+(C68/(D68*((R68+S68)/2)))^2/(2*9.81)+B68-(G67+H67^2/(2*9.81))-(A67-A68)*(((DATOS!$B$34*(C68/(D68*((R68+S68)/2)))/((D68*((R68+S68)/2))/(D68+2*((R68+S68)/2)))^(2/3))^2+((DATOS!$B$34*H67/((D67*F67)/(D67+2*F67))^(2/3))^2))/2))&gt;0,((R68+S68)/2),S68)</f>
        <v/>
      </c>
      <c r="V68" s="5">
        <f>IF((((T68+U68)/2)+(C68/(D68*((T68+U68)/2)))^2/(2*9.81)+B68-(G67+H67^2/(2*9.81))-(A67-A68)*(((DATOS!$B$34*(C68/(D68*((T68+U68)/2)))/((D68*((T68+U68)/2))/(D68+2*((T68+U68)/2)))^(2/3))^2+((DATOS!$B$34*H67/((D67*F67)/(D67+2*F67))^(2/3))^2))/2))&gt;0,T68,((T68+U68)/2))</f>
        <v/>
      </c>
      <c r="W68" s="5">
        <f>IF((((T68+U68)/2)+(C68/(D68*((T68+U68)/2)))^2/(2*9.81)+B68-(G67+H67^2/(2*9.81))-(A67-A68)*(((DATOS!$B$34*(C68/(D68*((T68+U68)/2)))/((D68*((T68+U68)/2))/(D68+2*((T68+U68)/2)))^(2/3))^2+((DATOS!$B$34*H67/((D67*F67)/(D67+2*F67))^(2/3))^2))/2))&gt;0,((T68+U68)/2),U68)</f>
        <v/>
      </c>
      <c r="X68" s="5">
        <f>IF((((V68+W68)/2)+(C68/(D68*((V68+W68)/2)))^2/(2*9.81)+B68-(G67+H67^2/(2*9.81))-(A67-A68)*(((DATOS!$B$34*(C68/(D68*((V68+W68)/2)))/((D68*((V68+W68)/2))/(D68+2*((V68+W68)/2)))^(2/3))^2+((DATOS!$B$34*H67/((D67*F67)/(D67+2*F67))^(2/3))^2))/2))&gt;0,V68,((V68+W68)/2))</f>
        <v/>
      </c>
      <c r="Y68" s="5">
        <f>IF((((V68+W68)/2)+(C68/(D68*((V68+W68)/2)))^2/(2*9.81)+B68-(G67+H67^2/(2*9.81))-(A67-A68)*(((DATOS!$B$34*(C68/(D68*((V68+W68)/2)))/((D68*((V68+W68)/2))/(D68+2*((V68+W68)/2)))^(2/3))^2+((DATOS!$B$34*H67/((D67*F67)/(D67+2*F67))^(2/3))^2))/2))&gt;0,((V68+W68)/2),W68)</f>
        <v/>
      </c>
      <c r="Z68" s="5">
        <f>IF((((X68+Y68)/2)+(C68/(D68*((X68+Y68)/2)))^2/(2*9.81)+B68-(G67+H67^2/(2*9.81))-(A67-A68)*(((DATOS!$B$34*(C68/(D68*((X68+Y68)/2)))/((D68*((X68+Y68)/2))/(D68+2*((X68+Y68)/2)))^(2/3))^2+((DATOS!$B$34*H67/((D67*F67)/(D67+2*F67))^(2/3))^2))/2))&gt;0,X68,((X68+Y68)/2))</f>
        <v/>
      </c>
      <c r="AA68" s="5">
        <f>IF((((X68+Y68)/2)+(C68/(D68*((X68+Y68)/2)))^2/(2*9.81)+B68-(G67+H67^2/(2*9.81))-(A67-A68)*(((DATOS!$B$34*(C68/(D68*((X68+Y68)/2)))/((D68*((X68+Y68)/2))/(D68+2*((X68+Y68)/2)))^(2/3))^2+((DATOS!$B$34*H67/((D67*F67)/(D67+2*F67))^(2/3))^2))/2))&gt;0,((X68+Y68)/2),Y68)</f>
        <v/>
      </c>
      <c r="AB68" s="5">
        <f>IF((((Z68+AA68)/2)+(C68/(D68*((Z68+AA68)/2)))^2/(2*9.81)+B68-(G67+H67^2/(2*9.81))-(A67-A68)*(((DATOS!$B$34*(C68/(D68*((Z68+AA68)/2)))/((D68*((Z68+AA68)/2))/(D68+2*((Z68+AA68)/2)))^(2/3))^2+((DATOS!$B$34*H67/((D67*F67)/(D67+2*F67))^(2/3))^2))/2))&gt;0,Z68,((Z68+AA68)/2))</f>
        <v/>
      </c>
      <c r="AC68" s="5">
        <f>IF((((Z68+AA68)/2)+(C68/(D68*((Z68+AA68)/2)))^2/(2*9.81)+B68-(G67+H67^2/(2*9.81))-(A67-A68)*(((DATOS!$B$34*(C68/(D68*((Z68+AA68)/2)))/((D68*((Z68+AA68)/2))/(D68+2*((Z68+AA68)/2)))^(2/3))^2+((DATOS!$B$34*H67/((D67*F67)/(D67+2*F67))^(2/3))^2))/2))&gt;0,((Z68+AA68)/2),AA68)</f>
        <v/>
      </c>
      <c r="AD68" s="5">
        <f>IF((((AB68+AC68)/2)+(C68/(D68*((AB68+AC68)/2)))^2/(2*9.81)+B68-(G67+H67^2/(2*9.81))-(A67-A68)*(((DATOS!$B$34*(C68/(D68*((AB68+AC68)/2)))/((D68*((AB68+AC68)/2))/(D68+2*((AB68+AC68)/2)))^(2/3))^2+((DATOS!$B$34*H67/((D67*F67)/(D67+2*F67))^(2/3))^2))/2))&gt;0,AB68,((AB68+AC68)/2))</f>
        <v/>
      </c>
      <c r="AE68" s="5">
        <f>IF((((AB68+AC68)/2)+(C68/(D68*((AB68+AC68)/2)))^2/(2*9.81)+B68-(G67+H67^2/(2*9.81))-(A67-A68)*(((DATOS!$B$34*(C68/(D68*((AB68+AC68)/2)))/((D68*((AB68+AC68)/2))/(D68+2*((AB68+AC68)/2)))^(2/3))^2+((DATOS!$B$34*H67/((D67*F67)/(D67+2*F67))^(2/3))^2))/2))&gt;0,((AB68+AC68)/2),AC68)</f>
        <v/>
      </c>
      <c r="AF68" s="5">
        <f>IF((((AD68+AE68)/2)+(C68/(D68*((AD68+AE68)/2)))^2/(2*9.81)+B68-(G67+H67^2/(2*9.81))-(A67-A68)*(((DATOS!$B$34*(C68/(D68*((AD68+AE68)/2)))/((D68*((AD68+AE68)/2))/(D68+2*((AD68+AE68)/2)))^(2/3))^2+((DATOS!$B$34*H67/((D67*F67)/(D67+2*F67))^(2/3))^2))/2))&gt;0,AD68,((AD68+AE68)/2))</f>
        <v/>
      </c>
      <c r="AG68" s="5">
        <f>IF((((AD68+AE68)/2)+(C68/(D68*((AD68+AE68)/2)))^2/(2*9.81)+B68-(G67+H67^2/(2*9.81))-(A67-A68)*(((DATOS!$B$34*(C68/(D68*((AD68+AE68)/2)))/((D68*((AD68+AE68)/2))/(D68+2*((AD68+AE68)/2)))^(2/3))^2+((DATOS!$B$34*H67/((D67*F67)/(D67+2*F67))^(2/3))^2))/2))&gt;0,((AD68+AE68)/2),AE68)</f>
        <v/>
      </c>
      <c r="AH68" s="5">
        <f>IF((((AF68+AG68)/2)+(C68/(D68*((AF68+AG68)/2)))^2/(2*9.81)+B68-(G67+H67^2/(2*9.81))-(A67-A68)*(((DATOS!$B$34*(C68/(D68*((AF68+AG68)/2)))/((D68*((AF68+AG68)/2))/(D68+2*((AF68+AG68)/2)))^(2/3))^2+((DATOS!$B$34*H67/((D67*F67)/(D67+2*F67))^(2/3))^2))/2))&gt;0,AF68,((AF68+AG68)/2))</f>
        <v/>
      </c>
      <c r="AI68" s="5">
        <f>IF((((AF68+AG68)/2)+(C68/(D68*((AF68+AG68)/2)))^2/(2*9.81)+B68-(G67+H67^2/(2*9.81))-(A67-A68)*(((DATOS!$B$34*(C68/(D68*((AF68+AG68)/2)))/((D68*((AF68+AG68)/2))/(D68+2*((AF68+AG68)/2)))^(2/3))^2+((DATOS!$B$34*H67/((D67*F67)/(D67+2*F67))^(2/3))^2))/2))&gt;0,((AF68+AG68)/2),AG68)</f>
        <v/>
      </c>
      <c r="AJ68" s="5">
        <f>IF((((AH68+AI68)/2)+(C68/(D68*((AH68+AI68)/2)))^2/(2*9.81)+B68-(G67+H67^2/(2*9.81))-(A67-A68)*(((DATOS!$B$34*(C68/(D68*((AH68+AI68)/2)))/((D68*((AH68+AI68)/2))/(D68+2*((AH68+AI68)/2)))^(2/3))^2+((DATOS!$B$34*H67/((D67*F67)/(D67+2*F67))^(2/3))^2))/2))&gt;0,AH68,((AH68+AI68)/2))</f>
        <v/>
      </c>
      <c r="AK68" s="5">
        <f>IF((((AH68+AI68)/2)+(C68/(D68*((AH68+AI68)/2)))^2/(2*9.81)+B68-(G67+H67^2/(2*9.81))-(A67-A68)*(((DATOS!$B$34*(C68/(D68*((AH68+AI68)/2)))/((D68*((AH68+AI68)/2))/(D68+2*((AH68+AI68)/2)))^(2/3))^2+((DATOS!$B$34*H67/((D67*F67)/(D67+2*F67))^(2/3))^2))/2))&gt;0,((AH68+AI68)/2),AI68)</f>
        <v/>
      </c>
      <c r="AL68" s="5">
        <f>IF((((AJ68+AK68)/2)+(C68/(D68*((AJ68+AK68)/2)))^2/(2*9.81)+B68-(G67+H67^2/(2*9.81))-(A67-A68)*(((DATOS!$B$34*(C68/(D68*((AJ68+AK68)/2)))/((D68*((AJ68+AK68)/2))/(D68+2*((AJ68+AK68)/2)))^(2/3))^2+((DATOS!$B$34*H67/((D67*F67)/(D67+2*F67))^(2/3))^2))/2))&gt;0,AJ68,((AJ68+AK68)/2))</f>
        <v/>
      </c>
      <c r="AM68" s="5">
        <f>IF((((AJ68+AK68)/2)+(C68/(D68*((AJ68+AK68)/2)))^2/(2*9.81)+B68-(G67+H67^2/(2*9.81))-(A67-A68)*(((DATOS!$B$34*(C68/(D68*((AJ68+AK68)/2)))/((D68*((AJ68+AK68)/2))/(D68+2*((AJ68+AK68)/2)))^(2/3))^2+((DATOS!$B$34*H67/((D67*F67)/(D67+2*F67))^(2/3))^2))/2))&gt;0,((AJ68+AK68)/2),AK68)</f>
        <v/>
      </c>
      <c r="AN68" s="5">
        <f>IF((((AL68+AM68)/2)+(C68/(D68*((AL68+AM68)/2)))^2/(2*9.81)+B68-(G67+H67^2/(2*9.81))-(A67-A68)*(((DATOS!$B$34*(C68/(D68*((AL68+AM68)/2)))/((D68*((AL68+AM68)/2))/(D68+2*((AL68+AM68)/2)))^(2/3))^2+((DATOS!$B$34*H67/((D67*F67)/(D67+2*F67))^(2/3))^2))/2))&gt;0,AL68,((AL68+AM68)/2))</f>
        <v/>
      </c>
      <c r="AO68" s="5">
        <f>IF((((AL68+AM68)/2)+(C68/(D68*((AL68+AM68)/2)))^2/(2*9.81)+B68-(G67+H67^2/(2*9.81))-(A67-A68)*(((DATOS!$B$34*(C68/(D68*((AL68+AM68)/2)))/((D68*((AL68+AM68)/2))/(D68+2*((AL68+AM68)/2)))^(2/3))^2+((DATOS!$B$34*H67/((D67*F67)/(D67+2*F67))^(2/3))^2))/2))&gt;0,((AL68+AM68)/2),AM68)</f>
        <v/>
      </c>
      <c r="AP68" s="5">
        <f>IF((((AN68+AO68)/2)+(C68/(D68*((AN68+AO68)/2)))^2/(2*9.81)+B68-(G67+H67^2/(2*9.81))-(A67-A68)*(((DATOS!$B$34*(C68/(D68*((AN68+AO68)/2)))/((D68*((AN68+AO68)/2))/(D68+2*((AN68+AO68)/2)))^(2/3))^2+((DATOS!$B$34*H67/((D67*F67)/(D67+2*F67))^(2/3))^2))/2))&gt;0,AN68,((AN68+AO68)/2))</f>
        <v/>
      </c>
      <c r="AQ68" s="5">
        <f>IF((((AN68+AO68)/2)+(C68/(D68*((AN68+AO68)/2)))^2/(2*9.81)+B68-(G67+H67^2/(2*9.81))-(A67-A68)*(((DATOS!$B$34*(C68/(D68*((AN68+AO68)/2)))/((D68*((AN68+AO68)/2))/(D68+2*((AN68+AO68)/2)))^(2/3))^2+((DATOS!$B$34*H67/((D67*F67)/(D67+2*F67))^(2/3))^2))/2))&gt;0,((AN68+AO68)/2),AO68)</f>
        <v/>
      </c>
      <c r="AR68" s="5">
        <f>IF((((AP68+AQ68)/2)+(C68/(D68*((AP68+AQ68)/2)))^2/(2*9.81)+B68-(G67+H67^2/(2*9.81))-(A67-A68)*(((DATOS!$B$34*(C68/(D68*((AP68+AQ68)/2)))/((D68*((AP68+AQ68)/2))/(D68+2*((AP68+AQ68)/2)))^(2/3))^2+((DATOS!$B$34*H67/((D67*F67)/(D67+2*F67))^(2/3))^2))/2))&gt;0,AP68,((AP68+AQ68)/2))</f>
        <v/>
      </c>
      <c r="AS68" s="5">
        <f>IF((((AP68+AQ68)/2)+(C68/(D68*((AP68+AQ68)/2)))^2/(2*9.81)+B68-(G67+H67^2/(2*9.81))-(A67-A68)*(((DATOS!$B$34*(C68/(D68*((AP68+AQ68)/2)))/((D68*((AP68+AQ68)/2))/(D68+2*((AP68+AQ68)/2)))^(2/3))^2+((DATOS!$B$34*H67/((D67*F67)/(D67+2*F67))^(2/3))^2))/2))&gt;0,((AP68+AQ68)/2),AQ68)</f>
        <v/>
      </c>
      <c r="AT68" s="5">
        <f>IF((((AR68+AS68)/2)+(C68/(D68*((AR68+AS68)/2)))^2/(2*9.81)+B68-(G67+H67^2/(2*9.81))-(A67-A68)*(((DATOS!$B$34*(C68/(D68*((AR68+AS68)/2)))/((D68*((AR68+AS68)/2))/(D68+2*((AR68+AS68)/2)))^(2/3))^2+((DATOS!$B$34*H67/((D67*F67)/(D67+2*F67))^(2/3))^2))/2))&gt;0,AR68,((AR68+AS68)/2))</f>
        <v/>
      </c>
      <c r="AU68" s="5">
        <f>IF((((AR68+AS68)/2)+(C68/(D68*((AR68+AS68)/2)))^2/(2*9.81)+B68-(G67+H67^2/(2*9.81))-(A67-A68)*(((DATOS!$B$34*(C68/(D68*((AR68+AS68)/2)))/((D68*((AR68+AS68)/2))/(D68+2*((AR68+AS68)/2)))^(2/3))^2+((DATOS!$B$34*H67/((D67*F67)/(D67+2*F67))^(2/3))^2))/2))&gt;0,((AR68+AS68)/2),AS68)</f>
        <v/>
      </c>
      <c r="AV68" s="5">
        <f>IF((((AT68+AU68)/2)+(C68/(D68*((AT68+AU68)/2)))^2/(2*9.81)+B68-(G67+H67^2/(2*9.81))-(A67-A68)*(((DATOS!$B$34*(C68/(D68*((AT68+AU68)/2)))/((D68*((AT68+AU68)/2))/(D68+2*((AT68+AU68)/2)))^(2/3))^2+((DATOS!$B$34*H67/((D67*F67)/(D67+2*F67))^(2/3))^2))/2))&gt;0,AT68,((AT68+AU68)/2))</f>
        <v/>
      </c>
      <c r="AW68" s="5">
        <f>IF((((AT68+AU68)/2)+(C68/(D68*((AT68+AU68)/2)))^2/(2*9.81)+B68-(G67+H67^2/(2*9.81))-(A67-A68)*(((DATOS!$B$34*(C68/(D68*((AT68+AU68)/2)))/((D68*((AT68+AU68)/2))/(D68+2*((AT68+AU68)/2)))^(2/3))^2+((DATOS!$B$34*H67/((D67*F67)/(D67+2*F67))^(2/3))^2))/2))&gt;0,((AT68+AU68)/2),AU68)</f>
        <v/>
      </c>
      <c r="AX68" s="5">
        <f>IF((((AV68+AW68)/2)+(C68/(D68*((AV68+AW68)/2)))^2/(2*9.81)+B68-(G67+H67^2/(2*9.81))-(A67-A68)*(((DATOS!$B$34*(C68/(D68*((AV68+AW68)/2)))/((D68*((AV68+AW68)/2))/(D68+2*((AV68+AW68)/2)))^(2/3))^2+((DATOS!$B$34*H67/((D67*F67)/(D67+2*F67))^(2/3))^2))/2))&gt;0,AV68,((AV68+AW68)/2))</f>
        <v/>
      </c>
      <c r="AY68" s="5">
        <f>IF((((AV68+AW68)/2)+(C68/(D68*((AV68+AW68)/2)))^2/(2*9.81)+B68-(G67+H67^2/(2*9.81))-(A67-A68)*(((DATOS!$B$34*(C68/(D68*((AV68+AW68)/2)))/((D68*((AV68+AW68)/2))/(D68+2*((AV68+AW68)/2)))^(2/3))^2+((DATOS!$B$34*H67/((D67*F67)/(D67+2*F67))^(2/3))^2))/2))&gt;0,((AV68+AW68)/2),AW68)</f>
        <v/>
      </c>
      <c r="AZ68" s="5">
        <f>IF((((AX68+AY68)/2)+(C68/(D68*((AX68+AY68)/2)))^2/(2*9.81)+B68-(G67+H67^2/(2*9.81))-(A67-A68)*(((DATOS!$B$34*(C68/(D68*((AX68+AY68)/2)))/((D68*((AX68+AY68)/2))/(D68+2*((AX68+AY68)/2)))^(2/3))^2+((DATOS!$B$34*H67/((D67*F67)/(D67+2*F67))^(2/3))^2))/2))&gt;0,AX68,((AX68+AY68)/2))</f>
        <v/>
      </c>
      <c r="BA68" s="5">
        <f>IF((((AX68+AY68)/2)+(C68/(D68*((AX68+AY68)/2)))^2/(2*9.81)+B68-(G67+H67^2/(2*9.81))-(A67-A68)*(((DATOS!$B$34*(C68/(D68*((AX68+AY68)/2)))/((D68*((AX68+AY68)/2))/(D68+2*((AX68+AY68)/2)))^(2/3))^2+((DATOS!$B$34*H67/((D67*F67)/(D67+2*F67))^(2/3))^2))/2))&gt;0,((AX68+AY68)/2),AY68)</f>
        <v/>
      </c>
      <c r="BB68" s="5">
        <f>IF((((AZ68+BA68)/2)+(C68/(D68*((AZ68+BA68)/2)))^2/(2*9.81)+B68-(G67+H67^2/(2*9.81))-(A67-A68)*(((DATOS!$B$34*(C68/(D68*((AZ68+BA68)/2)))/((D68*((AZ68+BA68)/2))/(D68+2*((AZ68+BA68)/2)))^(2/3))^2+((DATOS!$B$34*H67/((D67*F67)/(D67+2*F67))^(2/3))^2))/2))&gt;0,AZ68,((AZ68+BA68)/2))</f>
        <v/>
      </c>
      <c r="BC68" s="5">
        <f>IF((((AZ68+BA68)/2)+(C68/(D68*((AZ68+BA68)/2)))^2/(2*9.81)+B68-(G67+H67^2/(2*9.81))-(A67-A68)*(((DATOS!$B$34*(C68/(D68*((AZ68+BA68)/2)))/((D68*((AZ68+BA68)/2))/(D68+2*((AZ68+BA68)/2)))^(2/3))^2+((DATOS!$B$34*H67/((D67*F67)/(D67+2*F67))^(2/3))^2))/2))&gt;0,((AZ68+BA68)/2),BA68)</f>
        <v/>
      </c>
      <c r="BD68" s="5">
        <f>IF((((BB68+BC68)/2)+(C68/(D68*((BB68+BC68)/2)))^2/(2*9.81)+B68-(G67+H67^2/(2*9.81))-(A67-A68)*(((DATOS!$B$34*(C68/(D68*((BB68+BC68)/2)))/((D68*((BB68+BC68)/2))/(D68+2*((BB68+BC68)/2)))^(2/3))^2+((DATOS!$B$34*H67/((D67*F67)/(D67+2*F67))^(2/3))^2))/2))&gt;0,BB68,((BB68+BC68)/2))</f>
        <v/>
      </c>
      <c r="BE68" s="5">
        <f>IF((((BB68+BC68)/2)+(C68/(D68*((BB68+BC68)/2)))^2/(2*9.81)+B68-(G67+H67^2/(2*9.81))-(A67-A68)*(((DATOS!$B$34*(C68/(D68*((BB68+BC68)/2)))/((D68*((BB68+BC68)/2))/(D68+2*((BB68+BC68)/2)))^(2/3))^2+((DATOS!$B$34*H67/((D67*F67)/(D67+2*F67))^(2/3))^2))/2))&gt;0,((BB68+BC68)/2),BC68)</f>
        <v/>
      </c>
      <c r="BF68" s="5">
        <f>IF((((BD68+BE68)/2)+(C68/(D68*((BD68+BE68)/2)))^2/(2*9.81)+B68-(G67+H67^2/(2*9.81))-(A67-A68)*(((DATOS!$B$34*(C68/(D68*((BD68+BE68)/2)))/((D68*((BD68+BE68)/2))/(D68+2*((BD68+BE68)/2)))^(2/3))^2+((DATOS!$B$34*H67/((D67*F67)/(D67+2*F67))^(2/3))^2))/2))&gt;0,BD68,((BD68+BE68)/2))</f>
        <v/>
      </c>
      <c r="BG68" s="5">
        <f>IF((((BD68+BE68)/2)+(C68/(D68*((BD68+BE68)/2)))^2/(2*9.81)+B68-(G67+H67^2/(2*9.81))-(A67-A68)*(((DATOS!$B$34*(C68/(D68*((BD68+BE68)/2)))/((D68*((BD68+BE68)/2))/(D68+2*((BD68+BE68)/2)))^(2/3))^2+((DATOS!$B$34*H67/((D67*F67)/(D67+2*F67))^(2/3))^2))/2))&gt;0,((BD68+BE68)/2),BE68)</f>
        <v/>
      </c>
      <c r="BH68" s="5">
        <f>IF((((BF68+BG68)/2)+(C68/(D68*((BF68+BG68)/2)))^2/(2*9.81)+B68-(G67+H67^2/(2*9.81))-(A67-A68)*(((DATOS!$B$34*(C68/(D68*((BF68+BG68)/2)))/((D68*((BF68+BG68)/2))/(D68+2*((BF68+BG68)/2)))^(2/3))^2+((DATOS!$B$34*H67/((D67*F67)/(D67+2*F67))^(2/3))^2))/2))&gt;0,BF68,((BF68+BG68)/2))</f>
        <v/>
      </c>
      <c r="BI68" s="5">
        <f>IF((((BF68+BG68)/2)+(C68/(D68*((BF68+BG68)/2)))^2/(2*9.81)+B68-(G67+H67^2/(2*9.81))-(A67-A68)*(((DATOS!$B$34*(C68/(D68*((BF68+BG68)/2)))/((D68*((BF68+BG68)/2))/(D68+2*((BF68+BG68)/2)))^(2/3))^2+((DATOS!$B$34*H67/((D67*F67)/(D67+2*F67))^(2/3))^2))/2))&gt;0,((BF68+BG68)/2),BG68)</f>
        <v/>
      </c>
      <c r="BJ68" s="5">
        <f>IF((((BH68+BI68)/2)+(C68/(D68*((BH68+BI68)/2)))^2/(2*9.81)+B68-(G67+H67^2/(2*9.81))-(A67-A68)*(((DATOS!$B$34*(C68/(D68*((BH68+BI68)/2)))/((D68*((BH68+BI68)/2))/(D68+2*((BH68+BI68)/2)))^(2/3))^2+((DATOS!$B$34*H67/((D67*F67)/(D67+2*F67))^(2/3))^2))/2))&gt;0,BH68,((BH68+BI68)/2))</f>
        <v/>
      </c>
      <c r="BK68" s="5">
        <f>IF((((BH68+BI68)/2)+(C68/(D68*((BH68+BI68)/2)))^2/(2*9.81)+B68-(G67+H67^2/(2*9.81))-(A67-A68)*(((DATOS!$B$34*(C68/(D68*((BH68+BI68)/2)))/((D68*((BH68+BI68)/2))/(D68+2*((BH68+BI68)/2)))^(2/3))^2+((DATOS!$B$34*H67/((D67*F67)/(D67+2*F67))^(2/3))^2))/2))&gt;0,((BH68+BI68)/2),BI68)</f>
        <v/>
      </c>
      <c r="BL68" s="5">
        <f>IF((((BJ68+BK68)/2)+(C68/(D68*((BJ68+BK68)/2)))^2/(2*9.81)+B68-(G67+H67^2/(2*9.81))-(A67-A68)*(((DATOS!$B$34*(C68/(D68*((BJ68+BK68)/2)))/((D68*((BJ68+BK68)/2))/(D68+2*((BJ68+BK68)/2)))^(2/3))^2+((DATOS!$B$34*H67/((D67*F67)/(D67+2*F67))^(2/3))^2))/2))&gt;0,BJ68,((BJ68+BK68)/2))</f>
        <v/>
      </c>
      <c r="BM68" s="5">
        <f>IF((((BJ68+BK68)/2)+(C68/(D68*((BJ68+BK68)/2)))^2/(2*9.81)+B68-(G67+H67^2/(2*9.81))-(A67-A68)*(((DATOS!$B$34*(C68/(D68*((BJ68+BK68)/2)))/((D68*((BJ68+BK68)/2))/(D68+2*((BJ68+BK68)/2)))^(2/3))^2+((DATOS!$B$34*H67/((D67*F67)/(D67+2*F67))^(2/3))^2))/2))&gt;0,((BJ68+BK68)/2),BK68)</f>
        <v/>
      </c>
      <c r="BN68" s="5">
        <f>IF((((BL68+BM68)/2)+(C68/(D68*((BL68+BM68)/2)))^2/(2*9.81)+B68-(G67+H67^2/(2*9.81))-(A67-A68)*(((DATOS!$B$34*(C68/(D68*((BL68+BM68)/2)))/((D68*((BL68+BM68)/2))/(D68+2*((BL68+BM68)/2)))^(2/3))^2+((DATOS!$B$34*H67/((D67*F67)/(D67+2*F67))^(2/3))^2))/2))&gt;0,BL68,((BL68+BM68)/2))</f>
        <v/>
      </c>
      <c r="BO68" s="5">
        <f>IF((((BL68+BM68)/2)+(C68/(D68*((BL68+BM68)/2)))^2/(2*9.81)+B68-(G67+H67^2/(2*9.81))-(A67-A68)*(((DATOS!$B$34*(C68/(D68*((BL68+BM68)/2)))/((D68*((BL68+BM68)/2))/(D68+2*((BL68+BM68)/2)))^(2/3))^2+((DATOS!$B$34*H67/((D67*F67)/(D67+2*F67))^(2/3))^2))/2))&gt;0,((BL68+BM68)/2),BM68)</f>
        <v/>
      </c>
      <c r="BP68" s="5">
        <f>IF((((BN68+BO68)/2)+(C68/(D68*((BN68+BO68)/2)))^2/(2*9.81)+B68-(G67+H67^2/(2*9.81))-(A67-A68)*(((DATOS!$B$34*(C68/(D68*((BN68+BO68)/2)))/((D68*((BN68+BO68)/2))/(D68+2*((BN68+BO68)/2)))^(2/3))^2+((DATOS!$B$34*H67/((D67*F67)/(D67+2*F67))^(2/3))^2))/2))&gt;0,BN68,((BN68+BO68)/2))</f>
        <v/>
      </c>
      <c r="BQ68" s="5">
        <f>IF((((BN68+BO68)/2)+(C68/(D68*((BN68+BO68)/2)))^2/(2*9.81)+B68-(G67+H67^2/(2*9.81))-(A67-A68)*(((DATOS!$B$34*(C68/(D68*((BN68+BO68)/2)))/((D68*((BN68+BO68)/2))/(D68+2*((BN68+BO68)/2)))^(2/3))^2+((DATOS!$B$34*H67/((D67*F67)/(D67+2*F67))^(2/3))^2))/2))&gt;0,((BN68+BO68)/2),BO68)</f>
        <v/>
      </c>
      <c r="BR68" s="5">
        <f>IF((((BP68+BQ68)/2)+(C68/(D68*((BP68+BQ68)/2)))^2/(2*9.81)+B68-(G67+H67^2/(2*9.81))-(A67-A68)*(((DATOS!$B$34*(C68/(D68*((BP68+BQ68)/2)))/((D68*((BP68+BQ68)/2))/(D68+2*((BP68+BQ68)/2)))^(2/3))^2+((DATOS!$B$34*H67/((D67*F67)/(D67+2*F67))^(2/3))^2))/2))&gt;0,BP68,((BP68+BQ68)/2))</f>
        <v/>
      </c>
      <c r="BS68" s="5">
        <f>IF((((BP68+BQ68)/2)+(C68/(D68*((BP68+BQ68)/2)))^2/(2*9.81)+B68-(G67+H67^2/(2*9.81))-(A67-A68)*(((DATOS!$B$34*(C68/(D68*((BP68+BQ68)/2)))/((D68*((BP68+BQ68)/2))/(D68+2*((BP68+BQ68)/2)))^(2/3))^2+((DATOS!$B$34*H67/((D67*F67)/(D67+2*F67))^(2/3))^2))/2))&gt;0,((BP68+BQ68)/2),BQ68)</f>
        <v/>
      </c>
      <c r="BT68" s="5">
        <f>IF((((BR68+BS68)/2)+(C68/(D68*((BR68+BS68)/2)))^2/(2*9.81)+B68-(G67+H67^2/(2*9.81))-(A67-A68)*(((DATOS!$B$34*(C68/(D68*((BR68+BS68)/2)))/((D68*((BR68+BS68)/2))/(D68+2*((BR68+BS68)/2)))^(2/3))^2+((DATOS!$B$34*H67/((D67*F67)/(D67+2*F67))^(2/3))^2))/2))&gt;0,BR68,((BR68+BS68)/2))</f>
        <v/>
      </c>
      <c r="BU68" s="5">
        <f>IF((((BR68+BS68)/2)+(C68/(D68*((BR68+BS68)/2)))^2/(2*9.81)+B68-(G67+H67^2/(2*9.81))-(A67-A68)*(((DATOS!$B$34*(C68/(D68*((BR68+BS68)/2)))/((D68*((BR68+BS68)/2))/(D68+2*((BR68+BS68)/2)))^(2/3))^2+((DATOS!$B$34*H67/((D67*F67)/(D67+2*F67))^(2/3))^2))/2))&gt;0,((BR68+BS68)/2),BS68)</f>
        <v/>
      </c>
      <c r="BV68" s="5">
        <f>IF((((BT68+BU68)/2)+(C68/(D68*((BT68+BU68)/2)))^2/(2*9.81)+B68-(G67+H67^2/(2*9.81))-(A67-A68)*(((DATOS!$B$34*(C68/(D68*((BT68+BU68)/2)))/((D68*((BT68+BU68)/2))/(D68+2*((BT68+BU68)/2)))^(2/3))^2+((DATOS!$B$34*H67/((D67*F67)/(D67+2*F67))^(2/3))^2))/2))&gt;0,BT68,((BT68+BU68)/2))</f>
        <v/>
      </c>
      <c r="BW68" s="5">
        <f>IF((((BT68+BU68)/2)+(C68/(D68*((BT68+BU68)/2)))^2/(2*9.81)+B68-(G67+H67^2/(2*9.81))-(A67-A68)*(((DATOS!$B$34*(C68/(D68*((BT68+BU68)/2)))/((D68*((BT68+BU68)/2))/(D68+2*((BT68+BU68)/2)))^(2/3))^2+((DATOS!$B$34*H67/((D67*F67)/(D67+2*F67))^(2/3))^2))/2))&gt;0,((BT68+BU68)/2),BU68)</f>
        <v/>
      </c>
    </row>
    <row r="69">
      <c r="A69" s="13" t="n">
        <v>19</v>
      </c>
      <c r="B69" s="16">
        <f>DATOS!$B$22-DATOS!$B$23*A69</f>
        <v/>
      </c>
      <c r="C69" s="24">
        <f>CAUDALES!$B$13</f>
        <v/>
      </c>
      <c r="D69" s="17">
        <f>DATOS!$B$17</f>
        <v/>
      </c>
      <c r="E69" s="16">
        <f>(C69^2/(9.81*D69^2))^(1/3)</f>
        <v/>
      </c>
      <c r="F69" s="16">
        <f>(BV69+BW69)/2</f>
        <v/>
      </c>
      <c r="G69" s="16">
        <f>B69+F69</f>
        <v/>
      </c>
      <c r="H69" s="19">
        <f>C69/(D69*F69)</f>
        <v/>
      </c>
      <c r="I69" s="19">
        <f>H69/SQRT(9.81*F69)</f>
        <v/>
      </c>
      <c r="J69" s="16">
        <f>DATOS!$B$29-IF(AND(A69&gt;=DATOS!$B$30,A69&lt;DATOS!$B$31),DATOS!$B$21,DATOS!$B$20)</f>
        <v/>
      </c>
      <c r="K69" s="19">
        <f>J69-B69</f>
        <v/>
      </c>
      <c r="L69" s="19">
        <f>F69/K69</f>
        <v/>
      </c>
      <c r="M69" s="16">
        <f>J69-G69</f>
        <v/>
      </c>
      <c r="N69" s="5">
        <f>IF(AND(L69&lt;=DATOS!$B$36,M69&gt;=DATOS!$B$37,I69&lt;=1),"CUMPLE","NO CUMPLE")</f>
        <v/>
      </c>
      <c r="O69" s="5">
        <f>IF(AND(A69&gt;=DATOS!$B$30,A69&lt;DATOS!$B$31),"cruce de camiones",IF(AND(A69&gt;=DATOS!$B$32,A69&lt;DATOS!$B$33),"cruce de motos","tramo normal"))</f>
        <v/>
      </c>
      <c r="P69" s="5">
        <f>E69*1.001</f>
        <v/>
      </c>
      <c r="Q69" s="13" t="n">
        <v>3</v>
      </c>
      <c r="R69" s="5">
        <f>IF((((P69+Q69)/2)+(C69/(D69*((P69+Q69)/2)))^2/(2*9.81)+B69-(G68+H68^2/(2*9.81))-(A68-A69)*(((DATOS!$B$34*(C69/(D69*((P69+Q69)/2)))/((D69*((P69+Q69)/2))/(D69+2*((P69+Q69)/2)))^(2/3))^2+((DATOS!$B$34*H68/((D68*F68)/(D68+2*F68))^(2/3))^2))/2))&gt;0,P69,((P69+Q69)/2))</f>
        <v/>
      </c>
      <c r="S69" s="5">
        <f>IF((((P69+Q69)/2)+(C69/(D69*((P69+Q69)/2)))^2/(2*9.81)+B69-(G68+H68^2/(2*9.81))-(A68-A69)*(((DATOS!$B$34*(C69/(D69*((P69+Q69)/2)))/((D69*((P69+Q69)/2))/(D69+2*((P69+Q69)/2)))^(2/3))^2+((DATOS!$B$34*H68/((D68*F68)/(D68+2*F68))^(2/3))^2))/2))&gt;0,((P69+Q69)/2),Q69)</f>
        <v/>
      </c>
      <c r="T69" s="5">
        <f>IF((((R69+S69)/2)+(C69/(D69*((R69+S69)/2)))^2/(2*9.81)+B69-(G68+H68^2/(2*9.81))-(A68-A69)*(((DATOS!$B$34*(C69/(D69*((R69+S69)/2)))/((D69*((R69+S69)/2))/(D69+2*((R69+S69)/2)))^(2/3))^2+((DATOS!$B$34*H68/((D68*F68)/(D68+2*F68))^(2/3))^2))/2))&gt;0,R69,((R69+S69)/2))</f>
        <v/>
      </c>
      <c r="U69" s="5">
        <f>IF((((R69+S69)/2)+(C69/(D69*((R69+S69)/2)))^2/(2*9.81)+B69-(G68+H68^2/(2*9.81))-(A68-A69)*(((DATOS!$B$34*(C69/(D69*((R69+S69)/2)))/((D69*((R69+S69)/2))/(D69+2*((R69+S69)/2)))^(2/3))^2+((DATOS!$B$34*H68/((D68*F68)/(D68+2*F68))^(2/3))^2))/2))&gt;0,((R69+S69)/2),S69)</f>
        <v/>
      </c>
      <c r="V69" s="5">
        <f>IF((((T69+U69)/2)+(C69/(D69*((T69+U69)/2)))^2/(2*9.81)+B69-(G68+H68^2/(2*9.81))-(A68-A69)*(((DATOS!$B$34*(C69/(D69*((T69+U69)/2)))/((D69*((T69+U69)/2))/(D69+2*((T69+U69)/2)))^(2/3))^2+((DATOS!$B$34*H68/((D68*F68)/(D68+2*F68))^(2/3))^2))/2))&gt;0,T69,((T69+U69)/2))</f>
        <v/>
      </c>
      <c r="W69" s="5">
        <f>IF((((T69+U69)/2)+(C69/(D69*((T69+U69)/2)))^2/(2*9.81)+B69-(G68+H68^2/(2*9.81))-(A68-A69)*(((DATOS!$B$34*(C69/(D69*((T69+U69)/2)))/((D69*((T69+U69)/2))/(D69+2*((T69+U69)/2)))^(2/3))^2+((DATOS!$B$34*H68/((D68*F68)/(D68+2*F68))^(2/3))^2))/2))&gt;0,((T69+U69)/2),U69)</f>
        <v/>
      </c>
      <c r="X69" s="5">
        <f>IF((((V69+W69)/2)+(C69/(D69*((V69+W69)/2)))^2/(2*9.81)+B69-(G68+H68^2/(2*9.81))-(A68-A69)*(((DATOS!$B$34*(C69/(D69*((V69+W69)/2)))/((D69*((V69+W69)/2))/(D69+2*((V69+W69)/2)))^(2/3))^2+((DATOS!$B$34*H68/((D68*F68)/(D68+2*F68))^(2/3))^2))/2))&gt;0,V69,((V69+W69)/2))</f>
        <v/>
      </c>
      <c r="Y69" s="5">
        <f>IF((((V69+W69)/2)+(C69/(D69*((V69+W69)/2)))^2/(2*9.81)+B69-(G68+H68^2/(2*9.81))-(A68-A69)*(((DATOS!$B$34*(C69/(D69*((V69+W69)/2)))/((D69*((V69+W69)/2))/(D69+2*((V69+W69)/2)))^(2/3))^2+((DATOS!$B$34*H68/((D68*F68)/(D68+2*F68))^(2/3))^2))/2))&gt;0,((V69+W69)/2),W69)</f>
        <v/>
      </c>
      <c r="Z69" s="5">
        <f>IF((((X69+Y69)/2)+(C69/(D69*((X69+Y69)/2)))^2/(2*9.81)+B69-(G68+H68^2/(2*9.81))-(A68-A69)*(((DATOS!$B$34*(C69/(D69*((X69+Y69)/2)))/((D69*((X69+Y69)/2))/(D69+2*((X69+Y69)/2)))^(2/3))^2+((DATOS!$B$34*H68/((D68*F68)/(D68+2*F68))^(2/3))^2))/2))&gt;0,X69,((X69+Y69)/2))</f>
        <v/>
      </c>
      <c r="AA69" s="5">
        <f>IF((((X69+Y69)/2)+(C69/(D69*((X69+Y69)/2)))^2/(2*9.81)+B69-(G68+H68^2/(2*9.81))-(A68-A69)*(((DATOS!$B$34*(C69/(D69*((X69+Y69)/2)))/((D69*((X69+Y69)/2))/(D69+2*((X69+Y69)/2)))^(2/3))^2+((DATOS!$B$34*H68/((D68*F68)/(D68+2*F68))^(2/3))^2))/2))&gt;0,((X69+Y69)/2),Y69)</f>
        <v/>
      </c>
      <c r="AB69" s="5">
        <f>IF((((Z69+AA69)/2)+(C69/(D69*((Z69+AA69)/2)))^2/(2*9.81)+B69-(G68+H68^2/(2*9.81))-(A68-A69)*(((DATOS!$B$34*(C69/(D69*((Z69+AA69)/2)))/((D69*((Z69+AA69)/2))/(D69+2*((Z69+AA69)/2)))^(2/3))^2+((DATOS!$B$34*H68/((D68*F68)/(D68+2*F68))^(2/3))^2))/2))&gt;0,Z69,((Z69+AA69)/2))</f>
        <v/>
      </c>
      <c r="AC69" s="5">
        <f>IF((((Z69+AA69)/2)+(C69/(D69*((Z69+AA69)/2)))^2/(2*9.81)+B69-(G68+H68^2/(2*9.81))-(A68-A69)*(((DATOS!$B$34*(C69/(D69*((Z69+AA69)/2)))/((D69*((Z69+AA69)/2))/(D69+2*((Z69+AA69)/2)))^(2/3))^2+((DATOS!$B$34*H68/((D68*F68)/(D68+2*F68))^(2/3))^2))/2))&gt;0,((Z69+AA69)/2),AA69)</f>
        <v/>
      </c>
      <c r="AD69" s="5">
        <f>IF((((AB69+AC69)/2)+(C69/(D69*((AB69+AC69)/2)))^2/(2*9.81)+B69-(G68+H68^2/(2*9.81))-(A68-A69)*(((DATOS!$B$34*(C69/(D69*((AB69+AC69)/2)))/((D69*((AB69+AC69)/2))/(D69+2*((AB69+AC69)/2)))^(2/3))^2+((DATOS!$B$34*H68/((D68*F68)/(D68+2*F68))^(2/3))^2))/2))&gt;0,AB69,((AB69+AC69)/2))</f>
        <v/>
      </c>
      <c r="AE69" s="5">
        <f>IF((((AB69+AC69)/2)+(C69/(D69*((AB69+AC69)/2)))^2/(2*9.81)+B69-(G68+H68^2/(2*9.81))-(A68-A69)*(((DATOS!$B$34*(C69/(D69*((AB69+AC69)/2)))/((D69*((AB69+AC69)/2))/(D69+2*((AB69+AC69)/2)))^(2/3))^2+((DATOS!$B$34*H68/((D68*F68)/(D68+2*F68))^(2/3))^2))/2))&gt;0,((AB69+AC69)/2),AC69)</f>
        <v/>
      </c>
      <c r="AF69" s="5">
        <f>IF((((AD69+AE69)/2)+(C69/(D69*((AD69+AE69)/2)))^2/(2*9.81)+B69-(G68+H68^2/(2*9.81))-(A68-A69)*(((DATOS!$B$34*(C69/(D69*((AD69+AE69)/2)))/((D69*((AD69+AE69)/2))/(D69+2*((AD69+AE69)/2)))^(2/3))^2+((DATOS!$B$34*H68/((D68*F68)/(D68+2*F68))^(2/3))^2))/2))&gt;0,AD69,((AD69+AE69)/2))</f>
        <v/>
      </c>
      <c r="AG69" s="5">
        <f>IF((((AD69+AE69)/2)+(C69/(D69*((AD69+AE69)/2)))^2/(2*9.81)+B69-(G68+H68^2/(2*9.81))-(A68-A69)*(((DATOS!$B$34*(C69/(D69*((AD69+AE69)/2)))/((D69*((AD69+AE69)/2))/(D69+2*((AD69+AE69)/2)))^(2/3))^2+((DATOS!$B$34*H68/((D68*F68)/(D68+2*F68))^(2/3))^2))/2))&gt;0,((AD69+AE69)/2),AE69)</f>
        <v/>
      </c>
      <c r="AH69" s="5">
        <f>IF((((AF69+AG69)/2)+(C69/(D69*((AF69+AG69)/2)))^2/(2*9.81)+B69-(G68+H68^2/(2*9.81))-(A68-A69)*(((DATOS!$B$34*(C69/(D69*((AF69+AG69)/2)))/((D69*((AF69+AG69)/2))/(D69+2*((AF69+AG69)/2)))^(2/3))^2+((DATOS!$B$34*H68/((D68*F68)/(D68+2*F68))^(2/3))^2))/2))&gt;0,AF69,((AF69+AG69)/2))</f>
        <v/>
      </c>
      <c r="AI69" s="5">
        <f>IF((((AF69+AG69)/2)+(C69/(D69*((AF69+AG69)/2)))^2/(2*9.81)+B69-(G68+H68^2/(2*9.81))-(A68-A69)*(((DATOS!$B$34*(C69/(D69*((AF69+AG69)/2)))/((D69*((AF69+AG69)/2))/(D69+2*((AF69+AG69)/2)))^(2/3))^2+((DATOS!$B$34*H68/((D68*F68)/(D68+2*F68))^(2/3))^2))/2))&gt;0,((AF69+AG69)/2),AG69)</f>
        <v/>
      </c>
      <c r="AJ69" s="5">
        <f>IF((((AH69+AI69)/2)+(C69/(D69*((AH69+AI69)/2)))^2/(2*9.81)+B69-(G68+H68^2/(2*9.81))-(A68-A69)*(((DATOS!$B$34*(C69/(D69*((AH69+AI69)/2)))/((D69*((AH69+AI69)/2))/(D69+2*((AH69+AI69)/2)))^(2/3))^2+((DATOS!$B$34*H68/((D68*F68)/(D68+2*F68))^(2/3))^2))/2))&gt;0,AH69,((AH69+AI69)/2))</f>
        <v/>
      </c>
      <c r="AK69" s="5">
        <f>IF((((AH69+AI69)/2)+(C69/(D69*((AH69+AI69)/2)))^2/(2*9.81)+B69-(G68+H68^2/(2*9.81))-(A68-A69)*(((DATOS!$B$34*(C69/(D69*((AH69+AI69)/2)))/((D69*((AH69+AI69)/2))/(D69+2*((AH69+AI69)/2)))^(2/3))^2+((DATOS!$B$34*H68/((D68*F68)/(D68+2*F68))^(2/3))^2))/2))&gt;0,((AH69+AI69)/2),AI69)</f>
        <v/>
      </c>
      <c r="AL69" s="5">
        <f>IF((((AJ69+AK69)/2)+(C69/(D69*((AJ69+AK69)/2)))^2/(2*9.81)+B69-(G68+H68^2/(2*9.81))-(A68-A69)*(((DATOS!$B$34*(C69/(D69*((AJ69+AK69)/2)))/((D69*((AJ69+AK69)/2))/(D69+2*((AJ69+AK69)/2)))^(2/3))^2+((DATOS!$B$34*H68/((D68*F68)/(D68+2*F68))^(2/3))^2))/2))&gt;0,AJ69,((AJ69+AK69)/2))</f>
        <v/>
      </c>
      <c r="AM69" s="5">
        <f>IF((((AJ69+AK69)/2)+(C69/(D69*((AJ69+AK69)/2)))^2/(2*9.81)+B69-(G68+H68^2/(2*9.81))-(A68-A69)*(((DATOS!$B$34*(C69/(D69*((AJ69+AK69)/2)))/((D69*((AJ69+AK69)/2))/(D69+2*((AJ69+AK69)/2)))^(2/3))^2+((DATOS!$B$34*H68/((D68*F68)/(D68+2*F68))^(2/3))^2))/2))&gt;0,((AJ69+AK69)/2),AK69)</f>
        <v/>
      </c>
      <c r="AN69" s="5">
        <f>IF((((AL69+AM69)/2)+(C69/(D69*((AL69+AM69)/2)))^2/(2*9.81)+B69-(G68+H68^2/(2*9.81))-(A68-A69)*(((DATOS!$B$34*(C69/(D69*((AL69+AM69)/2)))/((D69*((AL69+AM69)/2))/(D69+2*((AL69+AM69)/2)))^(2/3))^2+((DATOS!$B$34*H68/((D68*F68)/(D68+2*F68))^(2/3))^2))/2))&gt;0,AL69,((AL69+AM69)/2))</f>
        <v/>
      </c>
      <c r="AO69" s="5">
        <f>IF((((AL69+AM69)/2)+(C69/(D69*((AL69+AM69)/2)))^2/(2*9.81)+B69-(G68+H68^2/(2*9.81))-(A68-A69)*(((DATOS!$B$34*(C69/(D69*((AL69+AM69)/2)))/((D69*((AL69+AM69)/2))/(D69+2*((AL69+AM69)/2)))^(2/3))^2+((DATOS!$B$34*H68/((D68*F68)/(D68+2*F68))^(2/3))^2))/2))&gt;0,((AL69+AM69)/2),AM69)</f>
        <v/>
      </c>
      <c r="AP69" s="5">
        <f>IF((((AN69+AO69)/2)+(C69/(D69*((AN69+AO69)/2)))^2/(2*9.81)+B69-(G68+H68^2/(2*9.81))-(A68-A69)*(((DATOS!$B$34*(C69/(D69*((AN69+AO69)/2)))/((D69*((AN69+AO69)/2))/(D69+2*((AN69+AO69)/2)))^(2/3))^2+((DATOS!$B$34*H68/((D68*F68)/(D68+2*F68))^(2/3))^2))/2))&gt;0,AN69,((AN69+AO69)/2))</f>
        <v/>
      </c>
      <c r="AQ69" s="5">
        <f>IF((((AN69+AO69)/2)+(C69/(D69*((AN69+AO69)/2)))^2/(2*9.81)+B69-(G68+H68^2/(2*9.81))-(A68-A69)*(((DATOS!$B$34*(C69/(D69*((AN69+AO69)/2)))/((D69*((AN69+AO69)/2))/(D69+2*((AN69+AO69)/2)))^(2/3))^2+((DATOS!$B$34*H68/((D68*F68)/(D68+2*F68))^(2/3))^2))/2))&gt;0,((AN69+AO69)/2),AO69)</f>
        <v/>
      </c>
      <c r="AR69" s="5">
        <f>IF((((AP69+AQ69)/2)+(C69/(D69*((AP69+AQ69)/2)))^2/(2*9.81)+B69-(G68+H68^2/(2*9.81))-(A68-A69)*(((DATOS!$B$34*(C69/(D69*((AP69+AQ69)/2)))/((D69*((AP69+AQ69)/2))/(D69+2*((AP69+AQ69)/2)))^(2/3))^2+((DATOS!$B$34*H68/((D68*F68)/(D68+2*F68))^(2/3))^2))/2))&gt;0,AP69,((AP69+AQ69)/2))</f>
        <v/>
      </c>
      <c r="AS69" s="5">
        <f>IF((((AP69+AQ69)/2)+(C69/(D69*((AP69+AQ69)/2)))^2/(2*9.81)+B69-(G68+H68^2/(2*9.81))-(A68-A69)*(((DATOS!$B$34*(C69/(D69*((AP69+AQ69)/2)))/((D69*((AP69+AQ69)/2))/(D69+2*((AP69+AQ69)/2)))^(2/3))^2+((DATOS!$B$34*H68/((D68*F68)/(D68+2*F68))^(2/3))^2))/2))&gt;0,((AP69+AQ69)/2),AQ69)</f>
        <v/>
      </c>
      <c r="AT69" s="5">
        <f>IF((((AR69+AS69)/2)+(C69/(D69*((AR69+AS69)/2)))^2/(2*9.81)+B69-(G68+H68^2/(2*9.81))-(A68-A69)*(((DATOS!$B$34*(C69/(D69*((AR69+AS69)/2)))/((D69*((AR69+AS69)/2))/(D69+2*((AR69+AS69)/2)))^(2/3))^2+((DATOS!$B$34*H68/((D68*F68)/(D68+2*F68))^(2/3))^2))/2))&gt;0,AR69,((AR69+AS69)/2))</f>
        <v/>
      </c>
      <c r="AU69" s="5">
        <f>IF((((AR69+AS69)/2)+(C69/(D69*((AR69+AS69)/2)))^2/(2*9.81)+B69-(G68+H68^2/(2*9.81))-(A68-A69)*(((DATOS!$B$34*(C69/(D69*((AR69+AS69)/2)))/((D69*((AR69+AS69)/2))/(D69+2*((AR69+AS69)/2)))^(2/3))^2+((DATOS!$B$34*H68/((D68*F68)/(D68+2*F68))^(2/3))^2))/2))&gt;0,((AR69+AS69)/2),AS69)</f>
        <v/>
      </c>
      <c r="AV69" s="5">
        <f>IF((((AT69+AU69)/2)+(C69/(D69*((AT69+AU69)/2)))^2/(2*9.81)+B69-(G68+H68^2/(2*9.81))-(A68-A69)*(((DATOS!$B$34*(C69/(D69*((AT69+AU69)/2)))/((D69*((AT69+AU69)/2))/(D69+2*((AT69+AU69)/2)))^(2/3))^2+((DATOS!$B$34*H68/((D68*F68)/(D68+2*F68))^(2/3))^2))/2))&gt;0,AT69,((AT69+AU69)/2))</f>
        <v/>
      </c>
      <c r="AW69" s="5">
        <f>IF((((AT69+AU69)/2)+(C69/(D69*((AT69+AU69)/2)))^2/(2*9.81)+B69-(G68+H68^2/(2*9.81))-(A68-A69)*(((DATOS!$B$34*(C69/(D69*((AT69+AU69)/2)))/((D69*((AT69+AU69)/2))/(D69+2*((AT69+AU69)/2)))^(2/3))^2+((DATOS!$B$34*H68/((D68*F68)/(D68+2*F68))^(2/3))^2))/2))&gt;0,((AT69+AU69)/2),AU69)</f>
        <v/>
      </c>
      <c r="AX69" s="5">
        <f>IF((((AV69+AW69)/2)+(C69/(D69*((AV69+AW69)/2)))^2/(2*9.81)+B69-(G68+H68^2/(2*9.81))-(A68-A69)*(((DATOS!$B$34*(C69/(D69*((AV69+AW69)/2)))/((D69*((AV69+AW69)/2))/(D69+2*((AV69+AW69)/2)))^(2/3))^2+((DATOS!$B$34*H68/((D68*F68)/(D68+2*F68))^(2/3))^2))/2))&gt;0,AV69,((AV69+AW69)/2))</f>
        <v/>
      </c>
      <c r="AY69" s="5">
        <f>IF((((AV69+AW69)/2)+(C69/(D69*((AV69+AW69)/2)))^2/(2*9.81)+B69-(G68+H68^2/(2*9.81))-(A68-A69)*(((DATOS!$B$34*(C69/(D69*((AV69+AW69)/2)))/((D69*((AV69+AW69)/2))/(D69+2*((AV69+AW69)/2)))^(2/3))^2+((DATOS!$B$34*H68/((D68*F68)/(D68+2*F68))^(2/3))^2))/2))&gt;0,((AV69+AW69)/2),AW69)</f>
        <v/>
      </c>
      <c r="AZ69" s="5">
        <f>IF((((AX69+AY69)/2)+(C69/(D69*((AX69+AY69)/2)))^2/(2*9.81)+B69-(G68+H68^2/(2*9.81))-(A68-A69)*(((DATOS!$B$34*(C69/(D69*((AX69+AY69)/2)))/((D69*((AX69+AY69)/2))/(D69+2*((AX69+AY69)/2)))^(2/3))^2+((DATOS!$B$34*H68/((D68*F68)/(D68+2*F68))^(2/3))^2))/2))&gt;0,AX69,((AX69+AY69)/2))</f>
        <v/>
      </c>
      <c r="BA69" s="5">
        <f>IF((((AX69+AY69)/2)+(C69/(D69*((AX69+AY69)/2)))^2/(2*9.81)+B69-(G68+H68^2/(2*9.81))-(A68-A69)*(((DATOS!$B$34*(C69/(D69*((AX69+AY69)/2)))/((D69*((AX69+AY69)/2))/(D69+2*((AX69+AY69)/2)))^(2/3))^2+((DATOS!$B$34*H68/((D68*F68)/(D68+2*F68))^(2/3))^2))/2))&gt;0,((AX69+AY69)/2),AY69)</f>
        <v/>
      </c>
      <c r="BB69" s="5">
        <f>IF((((AZ69+BA69)/2)+(C69/(D69*((AZ69+BA69)/2)))^2/(2*9.81)+B69-(G68+H68^2/(2*9.81))-(A68-A69)*(((DATOS!$B$34*(C69/(D69*((AZ69+BA69)/2)))/((D69*((AZ69+BA69)/2))/(D69+2*((AZ69+BA69)/2)))^(2/3))^2+((DATOS!$B$34*H68/((D68*F68)/(D68+2*F68))^(2/3))^2))/2))&gt;0,AZ69,((AZ69+BA69)/2))</f>
        <v/>
      </c>
      <c r="BC69" s="5">
        <f>IF((((AZ69+BA69)/2)+(C69/(D69*((AZ69+BA69)/2)))^2/(2*9.81)+B69-(G68+H68^2/(2*9.81))-(A68-A69)*(((DATOS!$B$34*(C69/(D69*((AZ69+BA69)/2)))/((D69*((AZ69+BA69)/2))/(D69+2*((AZ69+BA69)/2)))^(2/3))^2+((DATOS!$B$34*H68/((D68*F68)/(D68+2*F68))^(2/3))^2))/2))&gt;0,((AZ69+BA69)/2),BA69)</f>
        <v/>
      </c>
      <c r="BD69" s="5">
        <f>IF((((BB69+BC69)/2)+(C69/(D69*((BB69+BC69)/2)))^2/(2*9.81)+B69-(G68+H68^2/(2*9.81))-(A68-A69)*(((DATOS!$B$34*(C69/(D69*((BB69+BC69)/2)))/((D69*((BB69+BC69)/2))/(D69+2*((BB69+BC69)/2)))^(2/3))^2+((DATOS!$B$34*H68/((D68*F68)/(D68+2*F68))^(2/3))^2))/2))&gt;0,BB69,((BB69+BC69)/2))</f>
        <v/>
      </c>
      <c r="BE69" s="5">
        <f>IF((((BB69+BC69)/2)+(C69/(D69*((BB69+BC69)/2)))^2/(2*9.81)+B69-(G68+H68^2/(2*9.81))-(A68-A69)*(((DATOS!$B$34*(C69/(D69*((BB69+BC69)/2)))/((D69*((BB69+BC69)/2))/(D69+2*((BB69+BC69)/2)))^(2/3))^2+((DATOS!$B$34*H68/((D68*F68)/(D68+2*F68))^(2/3))^2))/2))&gt;0,((BB69+BC69)/2),BC69)</f>
        <v/>
      </c>
      <c r="BF69" s="5">
        <f>IF((((BD69+BE69)/2)+(C69/(D69*((BD69+BE69)/2)))^2/(2*9.81)+B69-(G68+H68^2/(2*9.81))-(A68-A69)*(((DATOS!$B$34*(C69/(D69*((BD69+BE69)/2)))/((D69*((BD69+BE69)/2))/(D69+2*((BD69+BE69)/2)))^(2/3))^2+((DATOS!$B$34*H68/((D68*F68)/(D68+2*F68))^(2/3))^2))/2))&gt;0,BD69,((BD69+BE69)/2))</f>
        <v/>
      </c>
      <c r="BG69" s="5">
        <f>IF((((BD69+BE69)/2)+(C69/(D69*((BD69+BE69)/2)))^2/(2*9.81)+B69-(G68+H68^2/(2*9.81))-(A68-A69)*(((DATOS!$B$34*(C69/(D69*((BD69+BE69)/2)))/((D69*((BD69+BE69)/2))/(D69+2*((BD69+BE69)/2)))^(2/3))^2+((DATOS!$B$34*H68/((D68*F68)/(D68+2*F68))^(2/3))^2))/2))&gt;0,((BD69+BE69)/2),BE69)</f>
        <v/>
      </c>
      <c r="BH69" s="5">
        <f>IF((((BF69+BG69)/2)+(C69/(D69*((BF69+BG69)/2)))^2/(2*9.81)+B69-(G68+H68^2/(2*9.81))-(A68-A69)*(((DATOS!$B$34*(C69/(D69*((BF69+BG69)/2)))/((D69*((BF69+BG69)/2))/(D69+2*((BF69+BG69)/2)))^(2/3))^2+((DATOS!$B$34*H68/((D68*F68)/(D68+2*F68))^(2/3))^2))/2))&gt;0,BF69,((BF69+BG69)/2))</f>
        <v/>
      </c>
      <c r="BI69" s="5">
        <f>IF((((BF69+BG69)/2)+(C69/(D69*((BF69+BG69)/2)))^2/(2*9.81)+B69-(G68+H68^2/(2*9.81))-(A68-A69)*(((DATOS!$B$34*(C69/(D69*((BF69+BG69)/2)))/((D69*((BF69+BG69)/2))/(D69+2*((BF69+BG69)/2)))^(2/3))^2+((DATOS!$B$34*H68/((D68*F68)/(D68+2*F68))^(2/3))^2))/2))&gt;0,((BF69+BG69)/2),BG69)</f>
        <v/>
      </c>
      <c r="BJ69" s="5">
        <f>IF((((BH69+BI69)/2)+(C69/(D69*((BH69+BI69)/2)))^2/(2*9.81)+B69-(G68+H68^2/(2*9.81))-(A68-A69)*(((DATOS!$B$34*(C69/(D69*((BH69+BI69)/2)))/((D69*((BH69+BI69)/2))/(D69+2*((BH69+BI69)/2)))^(2/3))^2+((DATOS!$B$34*H68/((D68*F68)/(D68+2*F68))^(2/3))^2))/2))&gt;0,BH69,((BH69+BI69)/2))</f>
        <v/>
      </c>
      <c r="BK69" s="5">
        <f>IF((((BH69+BI69)/2)+(C69/(D69*((BH69+BI69)/2)))^2/(2*9.81)+B69-(G68+H68^2/(2*9.81))-(A68-A69)*(((DATOS!$B$34*(C69/(D69*((BH69+BI69)/2)))/((D69*((BH69+BI69)/2))/(D69+2*((BH69+BI69)/2)))^(2/3))^2+((DATOS!$B$34*H68/((D68*F68)/(D68+2*F68))^(2/3))^2))/2))&gt;0,((BH69+BI69)/2),BI69)</f>
        <v/>
      </c>
      <c r="BL69" s="5">
        <f>IF((((BJ69+BK69)/2)+(C69/(D69*((BJ69+BK69)/2)))^2/(2*9.81)+B69-(G68+H68^2/(2*9.81))-(A68-A69)*(((DATOS!$B$34*(C69/(D69*((BJ69+BK69)/2)))/((D69*((BJ69+BK69)/2))/(D69+2*((BJ69+BK69)/2)))^(2/3))^2+((DATOS!$B$34*H68/((D68*F68)/(D68+2*F68))^(2/3))^2))/2))&gt;0,BJ69,((BJ69+BK69)/2))</f>
        <v/>
      </c>
      <c r="BM69" s="5">
        <f>IF((((BJ69+BK69)/2)+(C69/(D69*((BJ69+BK69)/2)))^2/(2*9.81)+B69-(G68+H68^2/(2*9.81))-(A68-A69)*(((DATOS!$B$34*(C69/(D69*((BJ69+BK69)/2)))/((D69*((BJ69+BK69)/2))/(D69+2*((BJ69+BK69)/2)))^(2/3))^2+((DATOS!$B$34*H68/((D68*F68)/(D68+2*F68))^(2/3))^2))/2))&gt;0,((BJ69+BK69)/2),BK69)</f>
        <v/>
      </c>
      <c r="BN69" s="5">
        <f>IF((((BL69+BM69)/2)+(C69/(D69*((BL69+BM69)/2)))^2/(2*9.81)+B69-(G68+H68^2/(2*9.81))-(A68-A69)*(((DATOS!$B$34*(C69/(D69*((BL69+BM69)/2)))/((D69*((BL69+BM69)/2))/(D69+2*((BL69+BM69)/2)))^(2/3))^2+((DATOS!$B$34*H68/((D68*F68)/(D68+2*F68))^(2/3))^2))/2))&gt;0,BL69,((BL69+BM69)/2))</f>
        <v/>
      </c>
      <c r="BO69" s="5">
        <f>IF((((BL69+BM69)/2)+(C69/(D69*((BL69+BM69)/2)))^2/(2*9.81)+B69-(G68+H68^2/(2*9.81))-(A68-A69)*(((DATOS!$B$34*(C69/(D69*((BL69+BM69)/2)))/((D69*((BL69+BM69)/2))/(D69+2*((BL69+BM69)/2)))^(2/3))^2+((DATOS!$B$34*H68/((D68*F68)/(D68+2*F68))^(2/3))^2))/2))&gt;0,((BL69+BM69)/2),BM69)</f>
        <v/>
      </c>
      <c r="BP69" s="5">
        <f>IF((((BN69+BO69)/2)+(C69/(D69*((BN69+BO69)/2)))^2/(2*9.81)+B69-(G68+H68^2/(2*9.81))-(A68-A69)*(((DATOS!$B$34*(C69/(D69*((BN69+BO69)/2)))/((D69*((BN69+BO69)/2))/(D69+2*((BN69+BO69)/2)))^(2/3))^2+((DATOS!$B$34*H68/((D68*F68)/(D68+2*F68))^(2/3))^2))/2))&gt;0,BN69,((BN69+BO69)/2))</f>
        <v/>
      </c>
      <c r="BQ69" s="5">
        <f>IF((((BN69+BO69)/2)+(C69/(D69*((BN69+BO69)/2)))^2/(2*9.81)+B69-(G68+H68^2/(2*9.81))-(A68-A69)*(((DATOS!$B$34*(C69/(D69*((BN69+BO69)/2)))/((D69*((BN69+BO69)/2))/(D69+2*((BN69+BO69)/2)))^(2/3))^2+((DATOS!$B$34*H68/((D68*F68)/(D68+2*F68))^(2/3))^2))/2))&gt;0,((BN69+BO69)/2),BO69)</f>
        <v/>
      </c>
      <c r="BR69" s="5">
        <f>IF((((BP69+BQ69)/2)+(C69/(D69*((BP69+BQ69)/2)))^2/(2*9.81)+B69-(G68+H68^2/(2*9.81))-(A68-A69)*(((DATOS!$B$34*(C69/(D69*((BP69+BQ69)/2)))/((D69*((BP69+BQ69)/2))/(D69+2*((BP69+BQ69)/2)))^(2/3))^2+((DATOS!$B$34*H68/((D68*F68)/(D68+2*F68))^(2/3))^2))/2))&gt;0,BP69,((BP69+BQ69)/2))</f>
        <v/>
      </c>
      <c r="BS69" s="5">
        <f>IF((((BP69+BQ69)/2)+(C69/(D69*((BP69+BQ69)/2)))^2/(2*9.81)+B69-(G68+H68^2/(2*9.81))-(A68-A69)*(((DATOS!$B$34*(C69/(D69*((BP69+BQ69)/2)))/((D69*((BP69+BQ69)/2))/(D69+2*((BP69+BQ69)/2)))^(2/3))^2+((DATOS!$B$34*H68/((D68*F68)/(D68+2*F68))^(2/3))^2))/2))&gt;0,((BP69+BQ69)/2),BQ69)</f>
        <v/>
      </c>
      <c r="BT69" s="5">
        <f>IF((((BR69+BS69)/2)+(C69/(D69*((BR69+BS69)/2)))^2/(2*9.81)+B69-(G68+H68^2/(2*9.81))-(A68-A69)*(((DATOS!$B$34*(C69/(D69*((BR69+BS69)/2)))/((D69*((BR69+BS69)/2))/(D69+2*((BR69+BS69)/2)))^(2/3))^2+((DATOS!$B$34*H68/((D68*F68)/(D68+2*F68))^(2/3))^2))/2))&gt;0,BR69,((BR69+BS69)/2))</f>
        <v/>
      </c>
      <c r="BU69" s="5">
        <f>IF((((BR69+BS69)/2)+(C69/(D69*((BR69+BS69)/2)))^2/(2*9.81)+B69-(G68+H68^2/(2*9.81))-(A68-A69)*(((DATOS!$B$34*(C69/(D69*((BR69+BS69)/2)))/((D69*((BR69+BS69)/2))/(D69+2*((BR69+BS69)/2)))^(2/3))^2+((DATOS!$B$34*H68/((D68*F68)/(D68+2*F68))^(2/3))^2))/2))&gt;0,((BR69+BS69)/2),BS69)</f>
        <v/>
      </c>
      <c r="BV69" s="5">
        <f>IF((((BT69+BU69)/2)+(C69/(D69*((BT69+BU69)/2)))^2/(2*9.81)+B69-(G68+H68^2/(2*9.81))-(A68-A69)*(((DATOS!$B$34*(C69/(D69*((BT69+BU69)/2)))/((D69*((BT69+BU69)/2))/(D69+2*((BT69+BU69)/2)))^(2/3))^2+((DATOS!$B$34*H68/((D68*F68)/(D68+2*F68))^(2/3))^2))/2))&gt;0,BT69,((BT69+BU69)/2))</f>
        <v/>
      </c>
      <c r="BW69" s="5">
        <f>IF((((BT69+BU69)/2)+(C69/(D69*((BT69+BU69)/2)))^2/(2*9.81)+B69-(G68+H68^2/(2*9.81))-(A68-A69)*(((DATOS!$B$34*(C69/(D69*((BT69+BU69)/2)))/((D69*((BT69+BU69)/2))/(D69+2*((BT69+BU69)/2)))^(2/3))^2+((DATOS!$B$34*H68/((D68*F68)/(D68+2*F68))^(2/3))^2))/2))&gt;0,((BT69+BU69)/2),BU69)</f>
        <v/>
      </c>
    </row>
    <row r="70">
      <c r="A70" s="13" t="n">
        <v>18</v>
      </c>
      <c r="B70" s="16">
        <f>DATOS!$B$22-DATOS!$B$23*A70</f>
        <v/>
      </c>
      <c r="C70" s="24">
        <f>CAUDALES!$B$13</f>
        <v/>
      </c>
      <c r="D70" s="17">
        <f>DATOS!$B$17</f>
        <v/>
      </c>
      <c r="E70" s="16">
        <f>(C70^2/(9.81*D70^2))^(1/3)</f>
        <v/>
      </c>
      <c r="F70" s="16">
        <f>(BV70+BW70)/2</f>
        <v/>
      </c>
      <c r="G70" s="16">
        <f>B70+F70</f>
        <v/>
      </c>
      <c r="H70" s="19">
        <f>C70/(D70*F70)</f>
        <v/>
      </c>
      <c r="I70" s="19">
        <f>H70/SQRT(9.81*F70)</f>
        <v/>
      </c>
      <c r="J70" s="16">
        <f>DATOS!$B$29-IF(AND(A70&gt;=DATOS!$B$30,A70&lt;DATOS!$B$31),DATOS!$B$21,DATOS!$B$20)</f>
        <v/>
      </c>
      <c r="K70" s="19">
        <f>J70-B70</f>
        <v/>
      </c>
      <c r="L70" s="19">
        <f>F70/K70</f>
        <v/>
      </c>
      <c r="M70" s="16">
        <f>J70-G70</f>
        <v/>
      </c>
      <c r="N70" s="5">
        <f>IF(AND(L70&lt;=DATOS!$B$36,M70&gt;=DATOS!$B$37,I70&lt;=1),"CUMPLE","NO CUMPLE")</f>
        <v/>
      </c>
      <c r="O70" s="5">
        <f>IF(AND(A70&gt;=DATOS!$B$30,A70&lt;DATOS!$B$31),"cruce de camiones",IF(AND(A70&gt;=DATOS!$B$32,A70&lt;DATOS!$B$33),"cruce de motos","tramo normal"))</f>
        <v/>
      </c>
      <c r="P70" s="5">
        <f>E70*1.001</f>
        <v/>
      </c>
      <c r="Q70" s="13" t="n">
        <v>3</v>
      </c>
      <c r="R70" s="5">
        <f>IF((((P70+Q70)/2)+(C70/(D70*((P70+Q70)/2)))^2/(2*9.81)+B70-(G69+H69^2/(2*9.81))-(A69-A70)*(((DATOS!$B$34*(C70/(D70*((P70+Q70)/2)))/((D70*((P70+Q70)/2))/(D70+2*((P70+Q70)/2)))^(2/3))^2+((DATOS!$B$34*H69/((D69*F69)/(D69+2*F69))^(2/3))^2))/2))&gt;0,P70,((P70+Q70)/2))</f>
        <v/>
      </c>
      <c r="S70" s="5">
        <f>IF((((P70+Q70)/2)+(C70/(D70*((P70+Q70)/2)))^2/(2*9.81)+B70-(G69+H69^2/(2*9.81))-(A69-A70)*(((DATOS!$B$34*(C70/(D70*((P70+Q70)/2)))/((D70*((P70+Q70)/2))/(D70+2*((P70+Q70)/2)))^(2/3))^2+((DATOS!$B$34*H69/((D69*F69)/(D69+2*F69))^(2/3))^2))/2))&gt;0,((P70+Q70)/2),Q70)</f>
        <v/>
      </c>
      <c r="T70" s="5">
        <f>IF((((R70+S70)/2)+(C70/(D70*((R70+S70)/2)))^2/(2*9.81)+B70-(G69+H69^2/(2*9.81))-(A69-A70)*(((DATOS!$B$34*(C70/(D70*((R70+S70)/2)))/((D70*((R70+S70)/2))/(D70+2*((R70+S70)/2)))^(2/3))^2+((DATOS!$B$34*H69/((D69*F69)/(D69+2*F69))^(2/3))^2))/2))&gt;0,R70,((R70+S70)/2))</f>
        <v/>
      </c>
      <c r="U70" s="5">
        <f>IF((((R70+S70)/2)+(C70/(D70*((R70+S70)/2)))^2/(2*9.81)+B70-(G69+H69^2/(2*9.81))-(A69-A70)*(((DATOS!$B$34*(C70/(D70*((R70+S70)/2)))/((D70*((R70+S70)/2))/(D70+2*((R70+S70)/2)))^(2/3))^2+((DATOS!$B$34*H69/((D69*F69)/(D69+2*F69))^(2/3))^2))/2))&gt;0,((R70+S70)/2),S70)</f>
        <v/>
      </c>
      <c r="V70" s="5">
        <f>IF((((T70+U70)/2)+(C70/(D70*((T70+U70)/2)))^2/(2*9.81)+B70-(G69+H69^2/(2*9.81))-(A69-A70)*(((DATOS!$B$34*(C70/(D70*((T70+U70)/2)))/((D70*((T70+U70)/2))/(D70+2*((T70+U70)/2)))^(2/3))^2+((DATOS!$B$34*H69/((D69*F69)/(D69+2*F69))^(2/3))^2))/2))&gt;0,T70,((T70+U70)/2))</f>
        <v/>
      </c>
      <c r="W70" s="5">
        <f>IF((((T70+U70)/2)+(C70/(D70*((T70+U70)/2)))^2/(2*9.81)+B70-(G69+H69^2/(2*9.81))-(A69-A70)*(((DATOS!$B$34*(C70/(D70*((T70+U70)/2)))/((D70*((T70+U70)/2))/(D70+2*((T70+U70)/2)))^(2/3))^2+((DATOS!$B$34*H69/((D69*F69)/(D69+2*F69))^(2/3))^2))/2))&gt;0,((T70+U70)/2),U70)</f>
        <v/>
      </c>
      <c r="X70" s="5">
        <f>IF((((V70+W70)/2)+(C70/(D70*((V70+W70)/2)))^2/(2*9.81)+B70-(G69+H69^2/(2*9.81))-(A69-A70)*(((DATOS!$B$34*(C70/(D70*((V70+W70)/2)))/((D70*((V70+W70)/2))/(D70+2*((V70+W70)/2)))^(2/3))^2+((DATOS!$B$34*H69/((D69*F69)/(D69+2*F69))^(2/3))^2))/2))&gt;0,V70,((V70+W70)/2))</f>
        <v/>
      </c>
      <c r="Y70" s="5">
        <f>IF((((V70+W70)/2)+(C70/(D70*((V70+W70)/2)))^2/(2*9.81)+B70-(G69+H69^2/(2*9.81))-(A69-A70)*(((DATOS!$B$34*(C70/(D70*((V70+W70)/2)))/((D70*((V70+W70)/2))/(D70+2*((V70+W70)/2)))^(2/3))^2+((DATOS!$B$34*H69/((D69*F69)/(D69+2*F69))^(2/3))^2))/2))&gt;0,((V70+W70)/2),W70)</f>
        <v/>
      </c>
      <c r="Z70" s="5">
        <f>IF((((X70+Y70)/2)+(C70/(D70*((X70+Y70)/2)))^2/(2*9.81)+B70-(G69+H69^2/(2*9.81))-(A69-A70)*(((DATOS!$B$34*(C70/(D70*((X70+Y70)/2)))/((D70*((X70+Y70)/2))/(D70+2*((X70+Y70)/2)))^(2/3))^2+((DATOS!$B$34*H69/((D69*F69)/(D69+2*F69))^(2/3))^2))/2))&gt;0,X70,((X70+Y70)/2))</f>
        <v/>
      </c>
      <c r="AA70" s="5">
        <f>IF((((X70+Y70)/2)+(C70/(D70*((X70+Y70)/2)))^2/(2*9.81)+B70-(G69+H69^2/(2*9.81))-(A69-A70)*(((DATOS!$B$34*(C70/(D70*((X70+Y70)/2)))/((D70*((X70+Y70)/2))/(D70+2*((X70+Y70)/2)))^(2/3))^2+((DATOS!$B$34*H69/((D69*F69)/(D69+2*F69))^(2/3))^2))/2))&gt;0,((X70+Y70)/2),Y70)</f>
        <v/>
      </c>
      <c r="AB70" s="5">
        <f>IF((((Z70+AA70)/2)+(C70/(D70*((Z70+AA70)/2)))^2/(2*9.81)+B70-(G69+H69^2/(2*9.81))-(A69-A70)*(((DATOS!$B$34*(C70/(D70*((Z70+AA70)/2)))/((D70*((Z70+AA70)/2))/(D70+2*((Z70+AA70)/2)))^(2/3))^2+((DATOS!$B$34*H69/((D69*F69)/(D69+2*F69))^(2/3))^2))/2))&gt;0,Z70,((Z70+AA70)/2))</f>
        <v/>
      </c>
      <c r="AC70" s="5">
        <f>IF((((Z70+AA70)/2)+(C70/(D70*((Z70+AA70)/2)))^2/(2*9.81)+B70-(G69+H69^2/(2*9.81))-(A69-A70)*(((DATOS!$B$34*(C70/(D70*((Z70+AA70)/2)))/((D70*((Z70+AA70)/2))/(D70+2*((Z70+AA70)/2)))^(2/3))^2+((DATOS!$B$34*H69/((D69*F69)/(D69+2*F69))^(2/3))^2))/2))&gt;0,((Z70+AA70)/2),AA70)</f>
        <v/>
      </c>
      <c r="AD70" s="5">
        <f>IF((((AB70+AC70)/2)+(C70/(D70*((AB70+AC70)/2)))^2/(2*9.81)+B70-(G69+H69^2/(2*9.81))-(A69-A70)*(((DATOS!$B$34*(C70/(D70*((AB70+AC70)/2)))/((D70*((AB70+AC70)/2))/(D70+2*((AB70+AC70)/2)))^(2/3))^2+((DATOS!$B$34*H69/((D69*F69)/(D69+2*F69))^(2/3))^2))/2))&gt;0,AB70,((AB70+AC70)/2))</f>
        <v/>
      </c>
      <c r="AE70" s="5">
        <f>IF((((AB70+AC70)/2)+(C70/(D70*((AB70+AC70)/2)))^2/(2*9.81)+B70-(G69+H69^2/(2*9.81))-(A69-A70)*(((DATOS!$B$34*(C70/(D70*((AB70+AC70)/2)))/((D70*((AB70+AC70)/2))/(D70+2*((AB70+AC70)/2)))^(2/3))^2+((DATOS!$B$34*H69/((D69*F69)/(D69+2*F69))^(2/3))^2))/2))&gt;0,((AB70+AC70)/2),AC70)</f>
        <v/>
      </c>
      <c r="AF70" s="5">
        <f>IF((((AD70+AE70)/2)+(C70/(D70*((AD70+AE70)/2)))^2/(2*9.81)+B70-(G69+H69^2/(2*9.81))-(A69-A70)*(((DATOS!$B$34*(C70/(D70*((AD70+AE70)/2)))/((D70*((AD70+AE70)/2))/(D70+2*((AD70+AE70)/2)))^(2/3))^2+((DATOS!$B$34*H69/((D69*F69)/(D69+2*F69))^(2/3))^2))/2))&gt;0,AD70,((AD70+AE70)/2))</f>
        <v/>
      </c>
      <c r="AG70" s="5">
        <f>IF((((AD70+AE70)/2)+(C70/(D70*((AD70+AE70)/2)))^2/(2*9.81)+B70-(G69+H69^2/(2*9.81))-(A69-A70)*(((DATOS!$B$34*(C70/(D70*((AD70+AE70)/2)))/((D70*((AD70+AE70)/2))/(D70+2*((AD70+AE70)/2)))^(2/3))^2+((DATOS!$B$34*H69/((D69*F69)/(D69+2*F69))^(2/3))^2))/2))&gt;0,((AD70+AE70)/2),AE70)</f>
        <v/>
      </c>
      <c r="AH70" s="5">
        <f>IF((((AF70+AG70)/2)+(C70/(D70*((AF70+AG70)/2)))^2/(2*9.81)+B70-(G69+H69^2/(2*9.81))-(A69-A70)*(((DATOS!$B$34*(C70/(D70*((AF70+AG70)/2)))/((D70*((AF70+AG70)/2))/(D70+2*((AF70+AG70)/2)))^(2/3))^2+((DATOS!$B$34*H69/((D69*F69)/(D69+2*F69))^(2/3))^2))/2))&gt;0,AF70,((AF70+AG70)/2))</f>
        <v/>
      </c>
      <c r="AI70" s="5">
        <f>IF((((AF70+AG70)/2)+(C70/(D70*((AF70+AG70)/2)))^2/(2*9.81)+B70-(G69+H69^2/(2*9.81))-(A69-A70)*(((DATOS!$B$34*(C70/(D70*((AF70+AG70)/2)))/((D70*((AF70+AG70)/2))/(D70+2*((AF70+AG70)/2)))^(2/3))^2+((DATOS!$B$34*H69/((D69*F69)/(D69+2*F69))^(2/3))^2))/2))&gt;0,((AF70+AG70)/2),AG70)</f>
        <v/>
      </c>
      <c r="AJ70" s="5">
        <f>IF((((AH70+AI70)/2)+(C70/(D70*((AH70+AI70)/2)))^2/(2*9.81)+B70-(G69+H69^2/(2*9.81))-(A69-A70)*(((DATOS!$B$34*(C70/(D70*((AH70+AI70)/2)))/((D70*((AH70+AI70)/2))/(D70+2*((AH70+AI70)/2)))^(2/3))^2+((DATOS!$B$34*H69/((D69*F69)/(D69+2*F69))^(2/3))^2))/2))&gt;0,AH70,((AH70+AI70)/2))</f>
        <v/>
      </c>
      <c r="AK70" s="5">
        <f>IF((((AH70+AI70)/2)+(C70/(D70*((AH70+AI70)/2)))^2/(2*9.81)+B70-(G69+H69^2/(2*9.81))-(A69-A70)*(((DATOS!$B$34*(C70/(D70*((AH70+AI70)/2)))/((D70*((AH70+AI70)/2))/(D70+2*((AH70+AI70)/2)))^(2/3))^2+((DATOS!$B$34*H69/((D69*F69)/(D69+2*F69))^(2/3))^2))/2))&gt;0,((AH70+AI70)/2),AI70)</f>
        <v/>
      </c>
      <c r="AL70" s="5">
        <f>IF((((AJ70+AK70)/2)+(C70/(D70*((AJ70+AK70)/2)))^2/(2*9.81)+B70-(G69+H69^2/(2*9.81))-(A69-A70)*(((DATOS!$B$34*(C70/(D70*((AJ70+AK70)/2)))/((D70*((AJ70+AK70)/2))/(D70+2*((AJ70+AK70)/2)))^(2/3))^2+((DATOS!$B$34*H69/((D69*F69)/(D69+2*F69))^(2/3))^2))/2))&gt;0,AJ70,((AJ70+AK70)/2))</f>
        <v/>
      </c>
      <c r="AM70" s="5">
        <f>IF((((AJ70+AK70)/2)+(C70/(D70*((AJ70+AK70)/2)))^2/(2*9.81)+B70-(G69+H69^2/(2*9.81))-(A69-A70)*(((DATOS!$B$34*(C70/(D70*((AJ70+AK70)/2)))/((D70*((AJ70+AK70)/2))/(D70+2*((AJ70+AK70)/2)))^(2/3))^2+((DATOS!$B$34*H69/((D69*F69)/(D69+2*F69))^(2/3))^2))/2))&gt;0,((AJ70+AK70)/2),AK70)</f>
        <v/>
      </c>
      <c r="AN70" s="5">
        <f>IF((((AL70+AM70)/2)+(C70/(D70*((AL70+AM70)/2)))^2/(2*9.81)+B70-(G69+H69^2/(2*9.81))-(A69-A70)*(((DATOS!$B$34*(C70/(D70*((AL70+AM70)/2)))/((D70*((AL70+AM70)/2))/(D70+2*((AL70+AM70)/2)))^(2/3))^2+((DATOS!$B$34*H69/((D69*F69)/(D69+2*F69))^(2/3))^2))/2))&gt;0,AL70,((AL70+AM70)/2))</f>
        <v/>
      </c>
      <c r="AO70" s="5">
        <f>IF((((AL70+AM70)/2)+(C70/(D70*((AL70+AM70)/2)))^2/(2*9.81)+B70-(G69+H69^2/(2*9.81))-(A69-A70)*(((DATOS!$B$34*(C70/(D70*((AL70+AM70)/2)))/((D70*((AL70+AM70)/2))/(D70+2*((AL70+AM70)/2)))^(2/3))^2+((DATOS!$B$34*H69/((D69*F69)/(D69+2*F69))^(2/3))^2))/2))&gt;0,((AL70+AM70)/2),AM70)</f>
        <v/>
      </c>
      <c r="AP70" s="5">
        <f>IF((((AN70+AO70)/2)+(C70/(D70*((AN70+AO70)/2)))^2/(2*9.81)+B70-(G69+H69^2/(2*9.81))-(A69-A70)*(((DATOS!$B$34*(C70/(D70*((AN70+AO70)/2)))/((D70*((AN70+AO70)/2))/(D70+2*((AN70+AO70)/2)))^(2/3))^2+((DATOS!$B$34*H69/((D69*F69)/(D69+2*F69))^(2/3))^2))/2))&gt;0,AN70,((AN70+AO70)/2))</f>
        <v/>
      </c>
      <c r="AQ70" s="5">
        <f>IF((((AN70+AO70)/2)+(C70/(D70*((AN70+AO70)/2)))^2/(2*9.81)+B70-(G69+H69^2/(2*9.81))-(A69-A70)*(((DATOS!$B$34*(C70/(D70*((AN70+AO70)/2)))/((D70*((AN70+AO70)/2))/(D70+2*((AN70+AO70)/2)))^(2/3))^2+((DATOS!$B$34*H69/((D69*F69)/(D69+2*F69))^(2/3))^2))/2))&gt;0,((AN70+AO70)/2),AO70)</f>
        <v/>
      </c>
      <c r="AR70" s="5">
        <f>IF((((AP70+AQ70)/2)+(C70/(D70*((AP70+AQ70)/2)))^2/(2*9.81)+B70-(G69+H69^2/(2*9.81))-(A69-A70)*(((DATOS!$B$34*(C70/(D70*((AP70+AQ70)/2)))/((D70*((AP70+AQ70)/2))/(D70+2*((AP70+AQ70)/2)))^(2/3))^2+((DATOS!$B$34*H69/((D69*F69)/(D69+2*F69))^(2/3))^2))/2))&gt;0,AP70,((AP70+AQ70)/2))</f>
        <v/>
      </c>
      <c r="AS70" s="5">
        <f>IF((((AP70+AQ70)/2)+(C70/(D70*((AP70+AQ70)/2)))^2/(2*9.81)+B70-(G69+H69^2/(2*9.81))-(A69-A70)*(((DATOS!$B$34*(C70/(D70*((AP70+AQ70)/2)))/((D70*((AP70+AQ70)/2))/(D70+2*((AP70+AQ70)/2)))^(2/3))^2+((DATOS!$B$34*H69/((D69*F69)/(D69+2*F69))^(2/3))^2))/2))&gt;0,((AP70+AQ70)/2),AQ70)</f>
        <v/>
      </c>
      <c r="AT70" s="5">
        <f>IF((((AR70+AS70)/2)+(C70/(D70*((AR70+AS70)/2)))^2/(2*9.81)+B70-(G69+H69^2/(2*9.81))-(A69-A70)*(((DATOS!$B$34*(C70/(D70*((AR70+AS70)/2)))/((D70*((AR70+AS70)/2))/(D70+2*((AR70+AS70)/2)))^(2/3))^2+((DATOS!$B$34*H69/((D69*F69)/(D69+2*F69))^(2/3))^2))/2))&gt;0,AR70,((AR70+AS70)/2))</f>
        <v/>
      </c>
      <c r="AU70" s="5">
        <f>IF((((AR70+AS70)/2)+(C70/(D70*((AR70+AS70)/2)))^2/(2*9.81)+B70-(G69+H69^2/(2*9.81))-(A69-A70)*(((DATOS!$B$34*(C70/(D70*((AR70+AS70)/2)))/((D70*((AR70+AS70)/2))/(D70+2*((AR70+AS70)/2)))^(2/3))^2+((DATOS!$B$34*H69/((D69*F69)/(D69+2*F69))^(2/3))^2))/2))&gt;0,((AR70+AS70)/2),AS70)</f>
        <v/>
      </c>
      <c r="AV70" s="5">
        <f>IF((((AT70+AU70)/2)+(C70/(D70*((AT70+AU70)/2)))^2/(2*9.81)+B70-(G69+H69^2/(2*9.81))-(A69-A70)*(((DATOS!$B$34*(C70/(D70*((AT70+AU70)/2)))/((D70*((AT70+AU70)/2))/(D70+2*((AT70+AU70)/2)))^(2/3))^2+((DATOS!$B$34*H69/((D69*F69)/(D69+2*F69))^(2/3))^2))/2))&gt;0,AT70,((AT70+AU70)/2))</f>
        <v/>
      </c>
      <c r="AW70" s="5">
        <f>IF((((AT70+AU70)/2)+(C70/(D70*((AT70+AU70)/2)))^2/(2*9.81)+B70-(G69+H69^2/(2*9.81))-(A69-A70)*(((DATOS!$B$34*(C70/(D70*((AT70+AU70)/2)))/((D70*((AT70+AU70)/2))/(D70+2*((AT70+AU70)/2)))^(2/3))^2+((DATOS!$B$34*H69/((D69*F69)/(D69+2*F69))^(2/3))^2))/2))&gt;0,((AT70+AU70)/2),AU70)</f>
        <v/>
      </c>
      <c r="AX70" s="5">
        <f>IF((((AV70+AW70)/2)+(C70/(D70*((AV70+AW70)/2)))^2/(2*9.81)+B70-(G69+H69^2/(2*9.81))-(A69-A70)*(((DATOS!$B$34*(C70/(D70*((AV70+AW70)/2)))/((D70*((AV70+AW70)/2))/(D70+2*((AV70+AW70)/2)))^(2/3))^2+((DATOS!$B$34*H69/((D69*F69)/(D69+2*F69))^(2/3))^2))/2))&gt;0,AV70,((AV70+AW70)/2))</f>
        <v/>
      </c>
      <c r="AY70" s="5">
        <f>IF((((AV70+AW70)/2)+(C70/(D70*((AV70+AW70)/2)))^2/(2*9.81)+B70-(G69+H69^2/(2*9.81))-(A69-A70)*(((DATOS!$B$34*(C70/(D70*((AV70+AW70)/2)))/((D70*((AV70+AW70)/2))/(D70+2*((AV70+AW70)/2)))^(2/3))^2+((DATOS!$B$34*H69/((D69*F69)/(D69+2*F69))^(2/3))^2))/2))&gt;0,((AV70+AW70)/2),AW70)</f>
        <v/>
      </c>
      <c r="AZ70" s="5">
        <f>IF((((AX70+AY70)/2)+(C70/(D70*((AX70+AY70)/2)))^2/(2*9.81)+B70-(G69+H69^2/(2*9.81))-(A69-A70)*(((DATOS!$B$34*(C70/(D70*((AX70+AY70)/2)))/((D70*((AX70+AY70)/2))/(D70+2*((AX70+AY70)/2)))^(2/3))^2+((DATOS!$B$34*H69/((D69*F69)/(D69+2*F69))^(2/3))^2))/2))&gt;0,AX70,((AX70+AY70)/2))</f>
        <v/>
      </c>
      <c r="BA70" s="5">
        <f>IF((((AX70+AY70)/2)+(C70/(D70*((AX70+AY70)/2)))^2/(2*9.81)+B70-(G69+H69^2/(2*9.81))-(A69-A70)*(((DATOS!$B$34*(C70/(D70*((AX70+AY70)/2)))/((D70*((AX70+AY70)/2))/(D70+2*((AX70+AY70)/2)))^(2/3))^2+((DATOS!$B$34*H69/((D69*F69)/(D69+2*F69))^(2/3))^2))/2))&gt;0,((AX70+AY70)/2),AY70)</f>
        <v/>
      </c>
      <c r="BB70" s="5">
        <f>IF((((AZ70+BA70)/2)+(C70/(D70*((AZ70+BA70)/2)))^2/(2*9.81)+B70-(G69+H69^2/(2*9.81))-(A69-A70)*(((DATOS!$B$34*(C70/(D70*((AZ70+BA70)/2)))/((D70*((AZ70+BA70)/2))/(D70+2*((AZ70+BA70)/2)))^(2/3))^2+((DATOS!$B$34*H69/((D69*F69)/(D69+2*F69))^(2/3))^2))/2))&gt;0,AZ70,((AZ70+BA70)/2))</f>
        <v/>
      </c>
      <c r="BC70" s="5">
        <f>IF((((AZ70+BA70)/2)+(C70/(D70*((AZ70+BA70)/2)))^2/(2*9.81)+B70-(G69+H69^2/(2*9.81))-(A69-A70)*(((DATOS!$B$34*(C70/(D70*((AZ70+BA70)/2)))/((D70*((AZ70+BA70)/2))/(D70+2*((AZ70+BA70)/2)))^(2/3))^2+((DATOS!$B$34*H69/((D69*F69)/(D69+2*F69))^(2/3))^2))/2))&gt;0,((AZ70+BA70)/2),BA70)</f>
        <v/>
      </c>
      <c r="BD70" s="5">
        <f>IF((((BB70+BC70)/2)+(C70/(D70*((BB70+BC70)/2)))^2/(2*9.81)+B70-(G69+H69^2/(2*9.81))-(A69-A70)*(((DATOS!$B$34*(C70/(D70*((BB70+BC70)/2)))/((D70*((BB70+BC70)/2))/(D70+2*((BB70+BC70)/2)))^(2/3))^2+((DATOS!$B$34*H69/((D69*F69)/(D69+2*F69))^(2/3))^2))/2))&gt;0,BB70,((BB70+BC70)/2))</f>
        <v/>
      </c>
      <c r="BE70" s="5">
        <f>IF((((BB70+BC70)/2)+(C70/(D70*((BB70+BC70)/2)))^2/(2*9.81)+B70-(G69+H69^2/(2*9.81))-(A69-A70)*(((DATOS!$B$34*(C70/(D70*((BB70+BC70)/2)))/((D70*((BB70+BC70)/2))/(D70+2*((BB70+BC70)/2)))^(2/3))^2+((DATOS!$B$34*H69/((D69*F69)/(D69+2*F69))^(2/3))^2))/2))&gt;0,((BB70+BC70)/2),BC70)</f>
        <v/>
      </c>
      <c r="BF70" s="5">
        <f>IF((((BD70+BE70)/2)+(C70/(D70*((BD70+BE70)/2)))^2/(2*9.81)+B70-(G69+H69^2/(2*9.81))-(A69-A70)*(((DATOS!$B$34*(C70/(D70*((BD70+BE70)/2)))/((D70*((BD70+BE70)/2))/(D70+2*((BD70+BE70)/2)))^(2/3))^2+((DATOS!$B$34*H69/((D69*F69)/(D69+2*F69))^(2/3))^2))/2))&gt;0,BD70,((BD70+BE70)/2))</f>
        <v/>
      </c>
      <c r="BG70" s="5">
        <f>IF((((BD70+BE70)/2)+(C70/(D70*((BD70+BE70)/2)))^2/(2*9.81)+B70-(G69+H69^2/(2*9.81))-(A69-A70)*(((DATOS!$B$34*(C70/(D70*((BD70+BE70)/2)))/((D70*((BD70+BE70)/2))/(D70+2*((BD70+BE70)/2)))^(2/3))^2+((DATOS!$B$34*H69/((D69*F69)/(D69+2*F69))^(2/3))^2))/2))&gt;0,((BD70+BE70)/2),BE70)</f>
        <v/>
      </c>
      <c r="BH70" s="5">
        <f>IF((((BF70+BG70)/2)+(C70/(D70*((BF70+BG70)/2)))^2/(2*9.81)+B70-(G69+H69^2/(2*9.81))-(A69-A70)*(((DATOS!$B$34*(C70/(D70*((BF70+BG70)/2)))/((D70*((BF70+BG70)/2))/(D70+2*((BF70+BG70)/2)))^(2/3))^2+((DATOS!$B$34*H69/((D69*F69)/(D69+2*F69))^(2/3))^2))/2))&gt;0,BF70,((BF70+BG70)/2))</f>
        <v/>
      </c>
      <c r="BI70" s="5">
        <f>IF((((BF70+BG70)/2)+(C70/(D70*((BF70+BG70)/2)))^2/(2*9.81)+B70-(G69+H69^2/(2*9.81))-(A69-A70)*(((DATOS!$B$34*(C70/(D70*((BF70+BG70)/2)))/((D70*((BF70+BG70)/2))/(D70+2*((BF70+BG70)/2)))^(2/3))^2+((DATOS!$B$34*H69/((D69*F69)/(D69+2*F69))^(2/3))^2))/2))&gt;0,((BF70+BG70)/2),BG70)</f>
        <v/>
      </c>
      <c r="BJ70" s="5">
        <f>IF((((BH70+BI70)/2)+(C70/(D70*((BH70+BI70)/2)))^2/(2*9.81)+B70-(G69+H69^2/(2*9.81))-(A69-A70)*(((DATOS!$B$34*(C70/(D70*((BH70+BI70)/2)))/((D70*((BH70+BI70)/2))/(D70+2*((BH70+BI70)/2)))^(2/3))^2+((DATOS!$B$34*H69/((D69*F69)/(D69+2*F69))^(2/3))^2))/2))&gt;0,BH70,((BH70+BI70)/2))</f>
        <v/>
      </c>
      <c r="BK70" s="5">
        <f>IF((((BH70+BI70)/2)+(C70/(D70*((BH70+BI70)/2)))^2/(2*9.81)+B70-(G69+H69^2/(2*9.81))-(A69-A70)*(((DATOS!$B$34*(C70/(D70*((BH70+BI70)/2)))/((D70*((BH70+BI70)/2))/(D70+2*((BH70+BI70)/2)))^(2/3))^2+((DATOS!$B$34*H69/((D69*F69)/(D69+2*F69))^(2/3))^2))/2))&gt;0,((BH70+BI70)/2),BI70)</f>
        <v/>
      </c>
      <c r="BL70" s="5">
        <f>IF((((BJ70+BK70)/2)+(C70/(D70*((BJ70+BK70)/2)))^2/(2*9.81)+B70-(G69+H69^2/(2*9.81))-(A69-A70)*(((DATOS!$B$34*(C70/(D70*((BJ70+BK70)/2)))/((D70*((BJ70+BK70)/2))/(D70+2*((BJ70+BK70)/2)))^(2/3))^2+((DATOS!$B$34*H69/((D69*F69)/(D69+2*F69))^(2/3))^2))/2))&gt;0,BJ70,((BJ70+BK70)/2))</f>
        <v/>
      </c>
      <c r="BM70" s="5">
        <f>IF((((BJ70+BK70)/2)+(C70/(D70*((BJ70+BK70)/2)))^2/(2*9.81)+B70-(G69+H69^2/(2*9.81))-(A69-A70)*(((DATOS!$B$34*(C70/(D70*((BJ70+BK70)/2)))/((D70*((BJ70+BK70)/2))/(D70+2*((BJ70+BK70)/2)))^(2/3))^2+((DATOS!$B$34*H69/((D69*F69)/(D69+2*F69))^(2/3))^2))/2))&gt;0,((BJ70+BK70)/2),BK70)</f>
        <v/>
      </c>
      <c r="BN70" s="5">
        <f>IF((((BL70+BM70)/2)+(C70/(D70*((BL70+BM70)/2)))^2/(2*9.81)+B70-(G69+H69^2/(2*9.81))-(A69-A70)*(((DATOS!$B$34*(C70/(D70*((BL70+BM70)/2)))/((D70*((BL70+BM70)/2))/(D70+2*((BL70+BM70)/2)))^(2/3))^2+((DATOS!$B$34*H69/((D69*F69)/(D69+2*F69))^(2/3))^2))/2))&gt;0,BL70,((BL70+BM70)/2))</f>
        <v/>
      </c>
      <c r="BO70" s="5">
        <f>IF((((BL70+BM70)/2)+(C70/(D70*((BL70+BM70)/2)))^2/(2*9.81)+B70-(G69+H69^2/(2*9.81))-(A69-A70)*(((DATOS!$B$34*(C70/(D70*((BL70+BM70)/2)))/((D70*((BL70+BM70)/2))/(D70+2*((BL70+BM70)/2)))^(2/3))^2+((DATOS!$B$34*H69/((D69*F69)/(D69+2*F69))^(2/3))^2))/2))&gt;0,((BL70+BM70)/2),BM70)</f>
        <v/>
      </c>
      <c r="BP70" s="5">
        <f>IF((((BN70+BO70)/2)+(C70/(D70*((BN70+BO70)/2)))^2/(2*9.81)+B70-(G69+H69^2/(2*9.81))-(A69-A70)*(((DATOS!$B$34*(C70/(D70*((BN70+BO70)/2)))/((D70*((BN70+BO70)/2))/(D70+2*((BN70+BO70)/2)))^(2/3))^2+((DATOS!$B$34*H69/((D69*F69)/(D69+2*F69))^(2/3))^2))/2))&gt;0,BN70,((BN70+BO70)/2))</f>
        <v/>
      </c>
      <c r="BQ70" s="5">
        <f>IF((((BN70+BO70)/2)+(C70/(D70*((BN70+BO70)/2)))^2/(2*9.81)+B70-(G69+H69^2/(2*9.81))-(A69-A70)*(((DATOS!$B$34*(C70/(D70*((BN70+BO70)/2)))/((D70*((BN70+BO70)/2))/(D70+2*((BN70+BO70)/2)))^(2/3))^2+((DATOS!$B$34*H69/((D69*F69)/(D69+2*F69))^(2/3))^2))/2))&gt;0,((BN70+BO70)/2),BO70)</f>
        <v/>
      </c>
      <c r="BR70" s="5">
        <f>IF((((BP70+BQ70)/2)+(C70/(D70*((BP70+BQ70)/2)))^2/(2*9.81)+B70-(G69+H69^2/(2*9.81))-(A69-A70)*(((DATOS!$B$34*(C70/(D70*((BP70+BQ70)/2)))/((D70*((BP70+BQ70)/2))/(D70+2*((BP70+BQ70)/2)))^(2/3))^2+((DATOS!$B$34*H69/((D69*F69)/(D69+2*F69))^(2/3))^2))/2))&gt;0,BP70,((BP70+BQ70)/2))</f>
        <v/>
      </c>
      <c r="BS70" s="5">
        <f>IF((((BP70+BQ70)/2)+(C70/(D70*((BP70+BQ70)/2)))^2/(2*9.81)+B70-(G69+H69^2/(2*9.81))-(A69-A70)*(((DATOS!$B$34*(C70/(D70*((BP70+BQ70)/2)))/((D70*((BP70+BQ70)/2))/(D70+2*((BP70+BQ70)/2)))^(2/3))^2+((DATOS!$B$34*H69/((D69*F69)/(D69+2*F69))^(2/3))^2))/2))&gt;0,((BP70+BQ70)/2),BQ70)</f>
        <v/>
      </c>
      <c r="BT70" s="5">
        <f>IF((((BR70+BS70)/2)+(C70/(D70*((BR70+BS70)/2)))^2/(2*9.81)+B70-(G69+H69^2/(2*9.81))-(A69-A70)*(((DATOS!$B$34*(C70/(D70*((BR70+BS70)/2)))/((D70*((BR70+BS70)/2))/(D70+2*((BR70+BS70)/2)))^(2/3))^2+((DATOS!$B$34*H69/((D69*F69)/(D69+2*F69))^(2/3))^2))/2))&gt;0,BR70,((BR70+BS70)/2))</f>
        <v/>
      </c>
      <c r="BU70" s="5">
        <f>IF((((BR70+BS70)/2)+(C70/(D70*((BR70+BS70)/2)))^2/(2*9.81)+B70-(G69+H69^2/(2*9.81))-(A69-A70)*(((DATOS!$B$34*(C70/(D70*((BR70+BS70)/2)))/((D70*((BR70+BS70)/2))/(D70+2*((BR70+BS70)/2)))^(2/3))^2+((DATOS!$B$34*H69/((D69*F69)/(D69+2*F69))^(2/3))^2))/2))&gt;0,((BR70+BS70)/2),BS70)</f>
        <v/>
      </c>
      <c r="BV70" s="5">
        <f>IF((((BT70+BU70)/2)+(C70/(D70*((BT70+BU70)/2)))^2/(2*9.81)+B70-(G69+H69^2/(2*9.81))-(A69-A70)*(((DATOS!$B$34*(C70/(D70*((BT70+BU70)/2)))/((D70*((BT70+BU70)/2))/(D70+2*((BT70+BU70)/2)))^(2/3))^2+((DATOS!$B$34*H69/((D69*F69)/(D69+2*F69))^(2/3))^2))/2))&gt;0,BT70,((BT70+BU70)/2))</f>
        <v/>
      </c>
      <c r="BW70" s="5">
        <f>IF((((BT70+BU70)/2)+(C70/(D70*((BT70+BU70)/2)))^2/(2*9.81)+B70-(G69+H69^2/(2*9.81))-(A69-A70)*(((DATOS!$B$34*(C70/(D70*((BT70+BU70)/2)))/((D70*((BT70+BU70)/2))/(D70+2*((BT70+BU70)/2)))^(2/3))^2+((DATOS!$B$34*H69/((D69*F69)/(D69+2*F69))^(2/3))^2))/2))&gt;0,((BT70+BU70)/2),BU70)</f>
        <v/>
      </c>
    </row>
    <row r="71">
      <c r="A71" s="13" t="n">
        <v>17</v>
      </c>
      <c r="B71" s="16">
        <f>DATOS!$B$22-DATOS!$B$23*A71</f>
        <v/>
      </c>
      <c r="C71" s="24">
        <f>CAUDALES!$B$13</f>
        <v/>
      </c>
      <c r="D71" s="17">
        <f>DATOS!$B$17</f>
        <v/>
      </c>
      <c r="E71" s="16">
        <f>(C71^2/(9.81*D71^2))^(1/3)</f>
        <v/>
      </c>
      <c r="F71" s="16">
        <f>(BV71+BW71)/2</f>
        <v/>
      </c>
      <c r="G71" s="16">
        <f>B71+F71</f>
        <v/>
      </c>
      <c r="H71" s="19">
        <f>C71/(D71*F71)</f>
        <v/>
      </c>
      <c r="I71" s="19">
        <f>H71/SQRT(9.81*F71)</f>
        <v/>
      </c>
      <c r="J71" s="16">
        <f>DATOS!$B$29-IF(AND(A71&gt;=DATOS!$B$30,A71&lt;DATOS!$B$31),DATOS!$B$21,DATOS!$B$20)</f>
        <v/>
      </c>
      <c r="K71" s="19">
        <f>J71-B71</f>
        <v/>
      </c>
      <c r="L71" s="19">
        <f>F71/K71</f>
        <v/>
      </c>
      <c r="M71" s="16">
        <f>J71-G71</f>
        <v/>
      </c>
      <c r="N71" s="5">
        <f>IF(AND(L71&lt;=DATOS!$B$36,M71&gt;=DATOS!$B$37,I71&lt;=1),"CUMPLE","NO CUMPLE")</f>
        <v/>
      </c>
      <c r="O71" s="5">
        <f>IF(AND(A71&gt;=DATOS!$B$30,A71&lt;DATOS!$B$31),"cruce de camiones",IF(AND(A71&gt;=DATOS!$B$32,A71&lt;DATOS!$B$33),"cruce de motos","tramo normal"))</f>
        <v/>
      </c>
      <c r="P71" s="5">
        <f>E71*1.001</f>
        <v/>
      </c>
      <c r="Q71" s="13" t="n">
        <v>3</v>
      </c>
      <c r="R71" s="5">
        <f>IF((((P71+Q71)/2)+(C71/(D71*((P71+Q71)/2)))^2/(2*9.81)+B71-(G70+H70^2/(2*9.81))-(A70-A71)*(((DATOS!$B$34*(C71/(D71*((P71+Q71)/2)))/((D71*((P71+Q71)/2))/(D71+2*((P71+Q71)/2)))^(2/3))^2+((DATOS!$B$34*H70/((D70*F70)/(D70+2*F70))^(2/3))^2))/2))&gt;0,P71,((P71+Q71)/2))</f>
        <v/>
      </c>
      <c r="S71" s="5">
        <f>IF((((P71+Q71)/2)+(C71/(D71*((P71+Q71)/2)))^2/(2*9.81)+B71-(G70+H70^2/(2*9.81))-(A70-A71)*(((DATOS!$B$34*(C71/(D71*((P71+Q71)/2)))/((D71*((P71+Q71)/2))/(D71+2*((P71+Q71)/2)))^(2/3))^2+((DATOS!$B$34*H70/((D70*F70)/(D70+2*F70))^(2/3))^2))/2))&gt;0,((P71+Q71)/2),Q71)</f>
        <v/>
      </c>
      <c r="T71" s="5">
        <f>IF((((R71+S71)/2)+(C71/(D71*((R71+S71)/2)))^2/(2*9.81)+B71-(G70+H70^2/(2*9.81))-(A70-A71)*(((DATOS!$B$34*(C71/(D71*((R71+S71)/2)))/((D71*((R71+S71)/2))/(D71+2*((R71+S71)/2)))^(2/3))^2+((DATOS!$B$34*H70/((D70*F70)/(D70+2*F70))^(2/3))^2))/2))&gt;0,R71,((R71+S71)/2))</f>
        <v/>
      </c>
      <c r="U71" s="5">
        <f>IF((((R71+S71)/2)+(C71/(D71*((R71+S71)/2)))^2/(2*9.81)+B71-(G70+H70^2/(2*9.81))-(A70-A71)*(((DATOS!$B$34*(C71/(D71*((R71+S71)/2)))/((D71*((R71+S71)/2))/(D71+2*((R71+S71)/2)))^(2/3))^2+((DATOS!$B$34*H70/((D70*F70)/(D70+2*F70))^(2/3))^2))/2))&gt;0,((R71+S71)/2),S71)</f>
        <v/>
      </c>
      <c r="V71" s="5">
        <f>IF((((T71+U71)/2)+(C71/(D71*((T71+U71)/2)))^2/(2*9.81)+B71-(G70+H70^2/(2*9.81))-(A70-A71)*(((DATOS!$B$34*(C71/(D71*((T71+U71)/2)))/((D71*((T71+U71)/2))/(D71+2*((T71+U71)/2)))^(2/3))^2+((DATOS!$B$34*H70/((D70*F70)/(D70+2*F70))^(2/3))^2))/2))&gt;0,T71,((T71+U71)/2))</f>
        <v/>
      </c>
      <c r="W71" s="5">
        <f>IF((((T71+U71)/2)+(C71/(D71*((T71+U71)/2)))^2/(2*9.81)+B71-(G70+H70^2/(2*9.81))-(A70-A71)*(((DATOS!$B$34*(C71/(D71*((T71+U71)/2)))/((D71*((T71+U71)/2))/(D71+2*((T71+U71)/2)))^(2/3))^2+((DATOS!$B$34*H70/((D70*F70)/(D70+2*F70))^(2/3))^2))/2))&gt;0,((T71+U71)/2),U71)</f>
        <v/>
      </c>
      <c r="X71" s="5">
        <f>IF((((V71+W71)/2)+(C71/(D71*((V71+W71)/2)))^2/(2*9.81)+B71-(G70+H70^2/(2*9.81))-(A70-A71)*(((DATOS!$B$34*(C71/(D71*((V71+W71)/2)))/((D71*((V71+W71)/2))/(D71+2*((V71+W71)/2)))^(2/3))^2+((DATOS!$B$34*H70/((D70*F70)/(D70+2*F70))^(2/3))^2))/2))&gt;0,V71,((V71+W71)/2))</f>
        <v/>
      </c>
      <c r="Y71" s="5">
        <f>IF((((V71+W71)/2)+(C71/(D71*((V71+W71)/2)))^2/(2*9.81)+B71-(G70+H70^2/(2*9.81))-(A70-A71)*(((DATOS!$B$34*(C71/(D71*((V71+W71)/2)))/((D71*((V71+W71)/2))/(D71+2*((V71+W71)/2)))^(2/3))^2+((DATOS!$B$34*H70/((D70*F70)/(D70+2*F70))^(2/3))^2))/2))&gt;0,((V71+W71)/2),W71)</f>
        <v/>
      </c>
      <c r="Z71" s="5">
        <f>IF((((X71+Y71)/2)+(C71/(D71*((X71+Y71)/2)))^2/(2*9.81)+B71-(G70+H70^2/(2*9.81))-(A70-A71)*(((DATOS!$B$34*(C71/(D71*((X71+Y71)/2)))/((D71*((X71+Y71)/2))/(D71+2*((X71+Y71)/2)))^(2/3))^2+((DATOS!$B$34*H70/((D70*F70)/(D70+2*F70))^(2/3))^2))/2))&gt;0,X71,((X71+Y71)/2))</f>
        <v/>
      </c>
      <c r="AA71" s="5">
        <f>IF((((X71+Y71)/2)+(C71/(D71*((X71+Y71)/2)))^2/(2*9.81)+B71-(G70+H70^2/(2*9.81))-(A70-A71)*(((DATOS!$B$34*(C71/(D71*((X71+Y71)/2)))/((D71*((X71+Y71)/2))/(D71+2*((X71+Y71)/2)))^(2/3))^2+((DATOS!$B$34*H70/((D70*F70)/(D70+2*F70))^(2/3))^2))/2))&gt;0,((X71+Y71)/2),Y71)</f>
        <v/>
      </c>
      <c r="AB71" s="5">
        <f>IF((((Z71+AA71)/2)+(C71/(D71*((Z71+AA71)/2)))^2/(2*9.81)+B71-(G70+H70^2/(2*9.81))-(A70-A71)*(((DATOS!$B$34*(C71/(D71*((Z71+AA71)/2)))/((D71*((Z71+AA71)/2))/(D71+2*((Z71+AA71)/2)))^(2/3))^2+((DATOS!$B$34*H70/((D70*F70)/(D70+2*F70))^(2/3))^2))/2))&gt;0,Z71,((Z71+AA71)/2))</f>
        <v/>
      </c>
      <c r="AC71" s="5">
        <f>IF((((Z71+AA71)/2)+(C71/(D71*((Z71+AA71)/2)))^2/(2*9.81)+B71-(G70+H70^2/(2*9.81))-(A70-A71)*(((DATOS!$B$34*(C71/(D71*((Z71+AA71)/2)))/((D71*((Z71+AA71)/2))/(D71+2*((Z71+AA71)/2)))^(2/3))^2+((DATOS!$B$34*H70/((D70*F70)/(D70+2*F70))^(2/3))^2))/2))&gt;0,((Z71+AA71)/2),AA71)</f>
        <v/>
      </c>
      <c r="AD71" s="5">
        <f>IF((((AB71+AC71)/2)+(C71/(D71*((AB71+AC71)/2)))^2/(2*9.81)+B71-(G70+H70^2/(2*9.81))-(A70-A71)*(((DATOS!$B$34*(C71/(D71*((AB71+AC71)/2)))/((D71*((AB71+AC71)/2))/(D71+2*((AB71+AC71)/2)))^(2/3))^2+((DATOS!$B$34*H70/((D70*F70)/(D70+2*F70))^(2/3))^2))/2))&gt;0,AB71,((AB71+AC71)/2))</f>
        <v/>
      </c>
      <c r="AE71" s="5">
        <f>IF((((AB71+AC71)/2)+(C71/(D71*((AB71+AC71)/2)))^2/(2*9.81)+B71-(G70+H70^2/(2*9.81))-(A70-A71)*(((DATOS!$B$34*(C71/(D71*((AB71+AC71)/2)))/((D71*((AB71+AC71)/2))/(D71+2*((AB71+AC71)/2)))^(2/3))^2+((DATOS!$B$34*H70/((D70*F70)/(D70+2*F70))^(2/3))^2))/2))&gt;0,((AB71+AC71)/2),AC71)</f>
        <v/>
      </c>
      <c r="AF71" s="5">
        <f>IF((((AD71+AE71)/2)+(C71/(D71*((AD71+AE71)/2)))^2/(2*9.81)+B71-(G70+H70^2/(2*9.81))-(A70-A71)*(((DATOS!$B$34*(C71/(D71*((AD71+AE71)/2)))/((D71*((AD71+AE71)/2))/(D71+2*((AD71+AE71)/2)))^(2/3))^2+((DATOS!$B$34*H70/((D70*F70)/(D70+2*F70))^(2/3))^2))/2))&gt;0,AD71,((AD71+AE71)/2))</f>
        <v/>
      </c>
      <c r="AG71" s="5">
        <f>IF((((AD71+AE71)/2)+(C71/(D71*((AD71+AE71)/2)))^2/(2*9.81)+B71-(G70+H70^2/(2*9.81))-(A70-A71)*(((DATOS!$B$34*(C71/(D71*((AD71+AE71)/2)))/((D71*((AD71+AE71)/2))/(D71+2*((AD71+AE71)/2)))^(2/3))^2+((DATOS!$B$34*H70/((D70*F70)/(D70+2*F70))^(2/3))^2))/2))&gt;0,((AD71+AE71)/2),AE71)</f>
        <v/>
      </c>
      <c r="AH71" s="5">
        <f>IF((((AF71+AG71)/2)+(C71/(D71*((AF71+AG71)/2)))^2/(2*9.81)+B71-(G70+H70^2/(2*9.81))-(A70-A71)*(((DATOS!$B$34*(C71/(D71*((AF71+AG71)/2)))/((D71*((AF71+AG71)/2))/(D71+2*((AF71+AG71)/2)))^(2/3))^2+((DATOS!$B$34*H70/((D70*F70)/(D70+2*F70))^(2/3))^2))/2))&gt;0,AF71,((AF71+AG71)/2))</f>
        <v/>
      </c>
      <c r="AI71" s="5">
        <f>IF((((AF71+AG71)/2)+(C71/(D71*((AF71+AG71)/2)))^2/(2*9.81)+B71-(G70+H70^2/(2*9.81))-(A70-A71)*(((DATOS!$B$34*(C71/(D71*((AF71+AG71)/2)))/((D71*((AF71+AG71)/2))/(D71+2*((AF71+AG71)/2)))^(2/3))^2+((DATOS!$B$34*H70/((D70*F70)/(D70+2*F70))^(2/3))^2))/2))&gt;0,((AF71+AG71)/2),AG71)</f>
        <v/>
      </c>
      <c r="AJ71" s="5">
        <f>IF((((AH71+AI71)/2)+(C71/(D71*((AH71+AI71)/2)))^2/(2*9.81)+B71-(G70+H70^2/(2*9.81))-(A70-A71)*(((DATOS!$B$34*(C71/(D71*((AH71+AI71)/2)))/((D71*((AH71+AI71)/2))/(D71+2*((AH71+AI71)/2)))^(2/3))^2+((DATOS!$B$34*H70/((D70*F70)/(D70+2*F70))^(2/3))^2))/2))&gt;0,AH71,((AH71+AI71)/2))</f>
        <v/>
      </c>
      <c r="AK71" s="5">
        <f>IF((((AH71+AI71)/2)+(C71/(D71*((AH71+AI71)/2)))^2/(2*9.81)+B71-(G70+H70^2/(2*9.81))-(A70-A71)*(((DATOS!$B$34*(C71/(D71*((AH71+AI71)/2)))/((D71*((AH71+AI71)/2))/(D71+2*((AH71+AI71)/2)))^(2/3))^2+((DATOS!$B$34*H70/((D70*F70)/(D70+2*F70))^(2/3))^2))/2))&gt;0,((AH71+AI71)/2),AI71)</f>
        <v/>
      </c>
      <c r="AL71" s="5">
        <f>IF((((AJ71+AK71)/2)+(C71/(D71*((AJ71+AK71)/2)))^2/(2*9.81)+B71-(G70+H70^2/(2*9.81))-(A70-A71)*(((DATOS!$B$34*(C71/(D71*((AJ71+AK71)/2)))/((D71*((AJ71+AK71)/2))/(D71+2*((AJ71+AK71)/2)))^(2/3))^2+((DATOS!$B$34*H70/((D70*F70)/(D70+2*F70))^(2/3))^2))/2))&gt;0,AJ71,((AJ71+AK71)/2))</f>
        <v/>
      </c>
      <c r="AM71" s="5">
        <f>IF((((AJ71+AK71)/2)+(C71/(D71*((AJ71+AK71)/2)))^2/(2*9.81)+B71-(G70+H70^2/(2*9.81))-(A70-A71)*(((DATOS!$B$34*(C71/(D71*((AJ71+AK71)/2)))/((D71*((AJ71+AK71)/2))/(D71+2*((AJ71+AK71)/2)))^(2/3))^2+((DATOS!$B$34*H70/((D70*F70)/(D70+2*F70))^(2/3))^2))/2))&gt;0,((AJ71+AK71)/2),AK71)</f>
        <v/>
      </c>
      <c r="AN71" s="5">
        <f>IF((((AL71+AM71)/2)+(C71/(D71*((AL71+AM71)/2)))^2/(2*9.81)+B71-(G70+H70^2/(2*9.81))-(A70-A71)*(((DATOS!$B$34*(C71/(D71*((AL71+AM71)/2)))/((D71*((AL71+AM71)/2))/(D71+2*((AL71+AM71)/2)))^(2/3))^2+((DATOS!$B$34*H70/((D70*F70)/(D70+2*F70))^(2/3))^2))/2))&gt;0,AL71,((AL71+AM71)/2))</f>
        <v/>
      </c>
      <c r="AO71" s="5">
        <f>IF((((AL71+AM71)/2)+(C71/(D71*((AL71+AM71)/2)))^2/(2*9.81)+B71-(G70+H70^2/(2*9.81))-(A70-A71)*(((DATOS!$B$34*(C71/(D71*((AL71+AM71)/2)))/((D71*((AL71+AM71)/2))/(D71+2*((AL71+AM71)/2)))^(2/3))^2+((DATOS!$B$34*H70/((D70*F70)/(D70+2*F70))^(2/3))^2))/2))&gt;0,((AL71+AM71)/2),AM71)</f>
        <v/>
      </c>
      <c r="AP71" s="5">
        <f>IF((((AN71+AO71)/2)+(C71/(D71*((AN71+AO71)/2)))^2/(2*9.81)+B71-(G70+H70^2/(2*9.81))-(A70-A71)*(((DATOS!$B$34*(C71/(D71*((AN71+AO71)/2)))/((D71*((AN71+AO71)/2))/(D71+2*((AN71+AO71)/2)))^(2/3))^2+((DATOS!$B$34*H70/((D70*F70)/(D70+2*F70))^(2/3))^2))/2))&gt;0,AN71,((AN71+AO71)/2))</f>
        <v/>
      </c>
      <c r="AQ71" s="5">
        <f>IF((((AN71+AO71)/2)+(C71/(D71*((AN71+AO71)/2)))^2/(2*9.81)+B71-(G70+H70^2/(2*9.81))-(A70-A71)*(((DATOS!$B$34*(C71/(D71*((AN71+AO71)/2)))/((D71*((AN71+AO71)/2))/(D71+2*((AN71+AO71)/2)))^(2/3))^2+((DATOS!$B$34*H70/((D70*F70)/(D70+2*F70))^(2/3))^2))/2))&gt;0,((AN71+AO71)/2),AO71)</f>
        <v/>
      </c>
      <c r="AR71" s="5">
        <f>IF((((AP71+AQ71)/2)+(C71/(D71*((AP71+AQ71)/2)))^2/(2*9.81)+B71-(G70+H70^2/(2*9.81))-(A70-A71)*(((DATOS!$B$34*(C71/(D71*((AP71+AQ71)/2)))/((D71*((AP71+AQ71)/2))/(D71+2*((AP71+AQ71)/2)))^(2/3))^2+((DATOS!$B$34*H70/((D70*F70)/(D70+2*F70))^(2/3))^2))/2))&gt;0,AP71,((AP71+AQ71)/2))</f>
        <v/>
      </c>
      <c r="AS71" s="5">
        <f>IF((((AP71+AQ71)/2)+(C71/(D71*((AP71+AQ71)/2)))^2/(2*9.81)+B71-(G70+H70^2/(2*9.81))-(A70-A71)*(((DATOS!$B$34*(C71/(D71*((AP71+AQ71)/2)))/((D71*((AP71+AQ71)/2))/(D71+2*((AP71+AQ71)/2)))^(2/3))^2+((DATOS!$B$34*H70/((D70*F70)/(D70+2*F70))^(2/3))^2))/2))&gt;0,((AP71+AQ71)/2),AQ71)</f>
        <v/>
      </c>
      <c r="AT71" s="5">
        <f>IF((((AR71+AS71)/2)+(C71/(D71*((AR71+AS71)/2)))^2/(2*9.81)+B71-(G70+H70^2/(2*9.81))-(A70-A71)*(((DATOS!$B$34*(C71/(D71*((AR71+AS71)/2)))/((D71*((AR71+AS71)/2))/(D71+2*((AR71+AS71)/2)))^(2/3))^2+((DATOS!$B$34*H70/((D70*F70)/(D70+2*F70))^(2/3))^2))/2))&gt;0,AR71,((AR71+AS71)/2))</f>
        <v/>
      </c>
      <c r="AU71" s="5">
        <f>IF((((AR71+AS71)/2)+(C71/(D71*((AR71+AS71)/2)))^2/(2*9.81)+B71-(G70+H70^2/(2*9.81))-(A70-A71)*(((DATOS!$B$34*(C71/(D71*((AR71+AS71)/2)))/((D71*((AR71+AS71)/2))/(D71+2*((AR71+AS71)/2)))^(2/3))^2+((DATOS!$B$34*H70/((D70*F70)/(D70+2*F70))^(2/3))^2))/2))&gt;0,((AR71+AS71)/2),AS71)</f>
        <v/>
      </c>
      <c r="AV71" s="5">
        <f>IF((((AT71+AU71)/2)+(C71/(D71*((AT71+AU71)/2)))^2/(2*9.81)+B71-(G70+H70^2/(2*9.81))-(A70-A71)*(((DATOS!$B$34*(C71/(D71*((AT71+AU71)/2)))/((D71*((AT71+AU71)/2))/(D71+2*((AT71+AU71)/2)))^(2/3))^2+((DATOS!$B$34*H70/((D70*F70)/(D70+2*F70))^(2/3))^2))/2))&gt;0,AT71,((AT71+AU71)/2))</f>
        <v/>
      </c>
      <c r="AW71" s="5">
        <f>IF((((AT71+AU71)/2)+(C71/(D71*((AT71+AU71)/2)))^2/(2*9.81)+B71-(G70+H70^2/(2*9.81))-(A70-A71)*(((DATOS!$B$34*(C71/(D71*((AT71+AU71)/2)))/((D71*((AT71+AU71)/2))/(D71+2*((AT71+AU71)/2)))^(2/3))^2+((DATOS!$B$34*H70/((D70*F70)/(D70+2*F70))^(2/3))^2))/2))&gt;0,((AT71+AU71)/2),AU71)</f>
        <v/>
      </c>
      <c r="AX71" s="5">
        <f>IF((((AV71+AW71)/2)+(C71/(D71*((AV71+AW71)/2)))^2/(2*9.81)+B71-(G70+H70^2/(2*9.81))-(A70-A71)*(((DATOS!$B$34*(C71/(D71*((AV71+AW71)/2)))/((D71*((AV71+AW71)/2))/(D71+2*((AV71+AW71)/2)))^(2/3))^2+((DATOS!$B$34*H70/((D70*F70)/(D70+2*F70))^(2/3))^2))/2))&gt;0,AV71,((AV71+AW71)/2))</f>
        <v/>
      </c>
      <c r="AY71" s="5">
        <f>IF((((AV71+AW71)/2)+(C71/(D71*((AV71+AW71)/2)))^2/(2*9.81)+B71-(G70+H70^2/(2*9.81))-(A70-A71)*(((DATOS!$B$34*(C71/(D71*((AV71+AW71)/2)))/((D71*((AV71+AW71)/2))/(D71+2*((AV71+AW71)/2)))^(2/3))^2+((DATOS!$B$34*H70/((D70*F70)/(D70+2*F70))^(2/3))^2))/2))&gt;0,((AV71+AW71)/2),AW71)</f>
        <v/>
      </c>
      <c r="AZ71" s="5">
        <f>IF((((AX71+AY71)/2)+(C71/(D71*((AX71+AY71)/2)))^2/(2*9.81)+B71-(G70+H70^2/(2*9.81))-(A70-A71)*(((DATOS!$B$34*(C71/(D71*((AX71+AY71)/2)))/((D71*((AX71+AY71)/2))/(D71+2*((AX71+AY71)/2)))^(2/3))^2+((DATOS!$B$34*H70/((D70*F70)/(D70+2*F70))^(2/3))^2))/2))&gt;0,AX71,((AX71+AY71)/2))</f>
        <v/>
      </c>
      <c r="BA71" s="5">
        <f>IF((((AX71+AY71)/2)+(C71/(D71*((AX71+AY71)/2)))^2/(2*9.81)+B71-(G70+H70^2/(2*9.81))-(A70-A71)*(((DATOS!$B$34*(C71/(D71*((AX71+AY71)/2)))/((D71*((AX71+AY71)/2))/(D71+2*((AX71+AY71)/2)))^(2/3))^2+((DATOS!$B$34*H70/((D70*F70)/(D70+2*F70))^(2/3))^2))/2))&gt;0,((AX71+AY71)/2),AY71)</f>
        <v/>
      </c>
      <c r="BB71" s="5">
        <f>IF((((AZ71+BA71)/2)+(C71/(D71*((AZ71+BA71)/2)))^2/(2*9.81)+B71-(G70+H70^2/(2*9.81))-(A70-A71)*(((DATOS!$B$34*(C71/(D71*((AZ71+BA71)/2)))/((D71*((AZ71+BA71)/2))/(D71+2*((AZ71+BA71)/2)))^(2/3))^2+((DATOS!$B$34*H70/((D70*F70)/(D70+2*F70))^(2/3))^2))/2))&gt;0,AZ71,((AZ71+BA71)/2))</f>
        <v/>
      </c>
      <c r="BC71" s="5">
        <f>IF((((AZ71+BA71)/2)+(C71/(D71*((AZ71+BA71)/2)))^2/(2*9.81)+B71-(G70+H70^2/(2*9.81))-(A70-A71)*(((DATOS!$B$34*(C71/(D71*((AZ71+BA71)/2)))/((D71*((AZ71+BA71)/2))/(D71+2*((AZ71+BA71)/2)))^(2/3))^2+((DATOS!$B$34*H70/((D70*F70)/(D70+2*F70))^(2/3))^2))/2))&gt;0,((AZ71+BA71)/2),BA71)</f>
        <v/>
      </c>
      <c r="BD71" s="5">
        <f>IF((((BB71+BC71)/2)+(C71/(D71*((BB71+BC71)/2)))^2/(2*9.81)+B71-(G70+H70^2/(2*9.81))-(A70-A71)*(((DATOS!$B$34*(C71/(D71*((BB71+BC71)/2)))/((D71*((BB71+BC71)/2))/(D71+2*((BB71+BC71)/2)))^(2/3))^2+((DATOS!$B$34*H70/((D70*F70)/(D70+2*F70))^(2/3))^2))/2))&gt;0,BB71,((BB71+BC71)/2))</f>
        <v/>
      </c>
      <c r="BE71" s="5">
        <f>IF((((BB71+BC71)/2)+(C71/(D71*((BB71+BC71)/2)))^2/(2*9.81)+B71-(G70+H70^2/(2*9.81))-(A70-A71)*(((DATOS!$B$34*(C71/(D71*((BB71+BC71)/2)))/((D71*((BB71+BC71)/2))/(D71+2*((BB71+BC71)/2)))^(2/3))^2+((DATOS!$B$34*H70/((D70*F70)/(D70+2*F70))^(2/3))^2))/2))&gt;0,((BB71+BC71)/2),BC71)</f>
        <v/>
      </c>
      <c r="BF71" s="5">
        <f>IF((((BD71+BE71)/2)+(C71/(D71*((BD71+BE71)/2)))^2/(2*9.81)+B71-(G70+H70^2/(2*9.81))-(A70-A71)*(((DATOS!$B$34*(C71/(D71*((BD71+BE71)/2)))/((D71*((BD71+BE71)/2))/(D71+2*((BD71+BE71)/2)))^(2/3))^2+((DATOS!$B$34*H70/((D70*F70)/(D70+2*F70))^(2/3))^2))/2))&gt;0,BD71,((BD71+BE71)/2))</f>
        <v/>
      </c>
      <c r="BG71" s="5">
        <f>IF((((BD71+BE71)/2)+(C71/(D71*((BD71+BE71)/2)))^2/(2*9.81)+B71-(G70+H70^2/(2*9.81))-(A70-A71)*(((DATOS!$B$34*(C71/(D71*((BD71+BE71)/2)))/((D71*((BD71+BE71)/2))/(D71+2*((BD71+BE71)/2)))^(2/3))^2+((DATOS!$B$34*H70/((D70*F70)/(D70+2*F70))^(2/3))^2))/2))&gt;0,((BD71+BE71)/2),BE71)</f>
        <v/>
      </c>
      <c r="BH71" s="5">
        <f>IF((((BF71+BG71)/2)+(C71/(D71*((BF71+BG71)/2)))^2/(2*9.81)+B71-(G70+H70^2/(2*9.81))-(A70-A71)*(((DATOS!$B$34*(C71/(D71*((BF71+BG71)/2)))/((D71*((BF71+BG71)/2))/(D71+2*((BF71+BG71)/2)))^(2/3))^2+((DATOS!$B$34*H70/((D70*F70)/(D70+2*F70))^(2/3))^2))/2))&gt;0,BF71,((BF71+BG71)/2))</f>
        <v/>
      </c>
      <c r="BI71" s="5">
        <f>IF((((BF71+BG71)/2)+(C71/(D71*((BF71+BG71)/2)))^2/(2*9.81)+B71-(G70+H70^2/(2*9.81))-(A70-A71)*(((DATOS!$B$34*(C71/(D71*((BF71+BG71)/2)))/((D71*((BF71+BG71)/2))/(D71+2*((BF71+BG71)/2)))^(2/3))^2+((DATOS!$B$34*H70/((D70*F70)/(D70+2*F70))^(2/3))^2))/2))&gt;0,((BF71+BG71)/2),BG71)</f>
        <v/>
      </c>
      <c r="BJ71" s="5">
        <f>IF((((BH71+BI71)/2)+(C71/(D71*((BH71+BI71)/2)))^2/(2*9.81)+B71-(G70+H70^2/(2*9.81))-(A70-A71)*(((DATOS!$B$34*(C71/(D71*((BH71+BI71)/2)))/((D71*((BH71+BI71)/2))/(D71+2*((BH71+BI71)/2)))^(2/3))^2+((DATOS!$B$34*H70/((D70*F70)/(D70+2*F70))^(2/3))^2))/2))&gt;0,BH71,((BH71+BI71)/2))</f>
        <v/>
      </c>
      <c r="BK71" s="5">
        <f>IF((((BH71+BI71)/2)+(C71/(D71*((BH71+BI71)/2)))^2/(2*9.81)+B71-(G70+H70^2/(2*9.81))-(A70-A71)*(((DATOS!$B$34*(C71/(D71*((BH71+BI71)/2)))/((D71*((BH71+BI71)/2))/(D71+2*((BH71+BI71)/2)))^(2/3))^2+((DATOS!$B$34*H70/((D70*F70)/(D70+2*F70))^(2/3))^2))/2))&gt;0,((BH71+BI71)/2),BI71)</f>
        <v/>
      </c>
      <c r="BL71" s="5">
        <f>IF((((BJ71+BK71)/2)+(C71/(D71*((BJ71+BK71)/2)))^2/(2*9.81)+B71-(G70+H70^2/(2*9.81))-(A70-A71)*(((DATOS!$B$34*(C71/(D71*((BJ71+BK71)/2)))/((D71*((BJ71+BK71)/2))/(D71+2*((BJ71+BK71)/2)))^(2/3))^2+((DATOS!$B$34*H70/((D70*F70)/(D70+2*F70))^(2/3))^2))/2))&gt;0,BJ71,((BJ71+BK71)/2))</f>
        <v/>
      </c>
      <c r="BM71" s="5">
        <f>IF((((BJ71+BK71)/2)+(C71/(D71*((BJ71+BK71)/2)))^2/(2*9.81)+B71-(G70+H70^2/(2*9.81))-(A70-A71)*(((DATOS!$B$34*(C71/(D71*((BJ71+BK71)/2)))/((D71*((BJ71+BK71)/2))/(D71+2*((BJ71+BK71)/2)))^(2/3))^2+((DATOS!$B$34*H70/((D70*F70)/(D70+2*F70))^(2/3))^2))/2))&gt;0,((BJ71+BK71)/2),BK71)</f>
        <v/>
      </c>
      <c r="BN71" s="5">
        <f>IF((((BL71+BM71)/2)+(C71/(D71*((BL71+BM71)/2)))^2/(2*9.81)+B71-(G70+H70^2/(2*9.81))-(A70-A71)*(((DATOS!$B$34*(C71/(D71*((BL71+BM71)/2)))/((D71*((BL71+BM71)/2))/(D71+2*((BL71+BM71)/2)))^(2/3))^2+((DATOS!$B$34*H70/((D70*F70)/(D70+2*F70))^(2/3))^2))/2))&gt;0,BL71,((BL71+BM71)/2))</f>
        <v/>
      </c>
      <c r="BO71" s="5">
        <f>IF((((BL71+BM71)/2)+(C71/(D71*((BL71+BM71)/2)))^2/(2*9.81)+B71-(G70+H70^2/(2*9.81))-(A70-A71)*(((DATOS!$B$34*(C71/(D71*((BL71+BM71)/2)))/((D71*((BL71+BM71)/2))/(D71+2*((BL71+BM71)/2)))^(2/3))^2+((DATOS!$B$34*H70/((D70*F70)/(D70+2*F70))^(2/3))^2))/2))&gt;0,((BL71+BM71)/2),BM71)</f>
        <v/>
      </c>
      <c r="BP71" s="5">
        <f>IF((((BN71+BO71)/2)+(C71/(D71*((BN71+BO71)/2)))^2/(2*9.81)+B71-(G70+H70^2/(2*9.81))-(A70-A71)*(((DATOS!$B$34*(C71/(D71*((BN71+BO71)/2)))/((D71*((BN71+BO71)/2))/(D71+2*((BN71+BO71)/2)))^(2/3))^2+((DATOS!$B$34*H70/((D70*F70)/(D70+2*F70))^(2/3))^2))/2))&gt;0,BN71,((BN71+BO71)/2))</f>
        <v/>
      </c>
      <c r="BQ71" s="5">
        <f>IF((((BN71+BO71)/2)+(C71/(D71*((BN71+BO71)/2)))^2/(2*9.81)+B71-(G70+H70^2/(2*9.81))-(A70-A71)*(((DATOS!$B$34*(C71/(D71*((BN71+BO71)/2)))/((D71*((BN71+BO71)/2))/(D71+2*((BN71+BO71)/2)))^(2/3))^2+((DATOS!$B$34*H70/((D70*F70)/(D70+2*F70))^(2/3))^2))/2))&gt;0,((BN71+BO71)/2),BO71)</f>
        <v/>
      </c>
      <c r="BR71" s="5">
        <f>IF((((BP71+BQ71)/2)+(C71/(D71*((BP71+BQ71)/2)))^2/(2*9.81)+B71-(G70+H70^2/(2*9.81))-(A70-A71)*(((DATOS!$B$34*(C71/(D71*((BP71+BQ71)/2)))/((D71*((BP71+BQ71)/2))/(D71+2*((BP71+BQ71)/2)))^(2/3))^2+((DATOS!$B$34*H70/((D70*F70)/(D70+2*F70))^(2/3))^2))/2))&gt;0,BP71,((BP71+BQ71)/2))</f>
        <v/>
      </c>
      <c r="BS71" s="5">
        <f>IF((((BP71+BQ71)/2)+(C71/(D71*((BP71+BQ71)/2)))^2/(2*9.81)+B71-(G70+H70^2/(2*9.81))-(A70-A71)*(((DATOS!$B$34*(C71/(D71*((BP71+BQ71)/2)))/((D71*((BP71+BQ71)/2))/(D71+2*((BP71+BQ71)/2)))^(2/3))^2+((DATOS!$B$34*H70/((D70*F70)/(D70+2*F70))^(2/3))^2))/2))&gt;0,((BP71+BQ71)/2),BQ71)</f>
        <v/>
      </c>
      <c r="BT71" s="5">
        <f>IF((((BR71+BS71)/2)+(C71/(D71*((BR71+BS71)/2)))^2/(2*9.81)+B71-(G70+H70^2/(2*9.81))-(A70-A71)*(((DATOS!$B$34*(C71/(D71*((BR71+BS71)/2)))/((D71*((BR71+BS71)/2))/(D71+2*((BR71+BS71)/2)))^(2/3))^2+((DATOS!$B$34*H70/((D70*F70)/(D70+2*F70))^(2/3))^2))/2))&gt;0,BR71,((BR71+BS71)/2))</f>
        <v/>
      </c>
      <c r="BU71" s="5">
        <f>IF((((BR71+BS71)/2)+(C71/(D71*((BR71+BS71)/2)))^2/(2*9.81)+B71-(G70+H70^2/(2*9.81))-(A70-A71)*(((DATOS!$B$34*(C71/(D71*((BR71+BS71)/2)))/((D71*((BR71+BS71)/2))/(D71+2*((BR71+BS71)/2)))^(2/3))^2+((DATOS!$B$34*H70/((D70*F70)/(D70+2*F70))^(2/3))^2))/2))&gt;0,((BR71+BS71)/2),BS71)</f>
        <v/>
      </c>
      <c r="BV71" s="5">
        <f>IF((((BT71+BU71)/2)+(C71/(D71*((BT71+BU71)/2)))^2/(2*9.81)+B71-(G70+H70^2/(2*9.81))-(A70-A71)*(((DATOS!$B$34*(C71/(D71*((BT71+BU71)/2)))/((D71*((BT71+BU71)/2))/(D71+2*((BT71+BU71)/2)))^(2/3))^2+((DATOS!$B$34*H70/((D70*F70)/(D70+2*F70))^(2/3))^2))/2))&gt;0,BT71,((BT71+BU71)/2))</f>
        <v/>
      </c>
      <c r="BW71" s="5">
        <f>IF((((BT71+BU71)/2)+(C71/(D71*((BT71+BU71)/2)))^2/(2*9.81)+B71-(G70+H70^2/(2*9.81))-(A70-A71)*(((DATOS!$B$34*(C71/(D71*((BT71+BU71)/2)))/((D71*((BT71+BU71)/2))/(D71+2*((BT71+BU71)/2)))^(2/3))^2+((DATOS!$B$34*H70/((D70*F70)/(D70+2*F70))^(2/3))^2))/2))&gt;0,((BT71+BU71)/2),BU71)</f>
        <v/>
      </c>
    </row>
    <row r="72">
      <c r="A72" s="13" t="n">
        <v>16</v>
      </c>
      <c r="B72" s="16">
        <f>DATOS!$B$22-DATOS!$B$23*A72</f>
        <v/>
      </c>
      <c r="C72" s="24">
        <f>CAUDALES!$B$13</f>
        <v/>
      </c>
      <c r="D72" s="17">
        <f>DATOS!$B$17</f>
        <v/>
      </c>
      <c r="E72" s="16">
        <f>(C72^2/(9.81*D72^2))^(1/3)</f>
        <v/>
      </c>
      <c r="F72" s="16">
        <f>(BV72+BW72)/2</f>
        <v/>
      </c>
      <c r="G72" s="16">
        <f>B72+F72</f>
        <v/>
      </c>
      <c r="H72" s="19">
        <f>C72/(D72*F72)</f>
        <v/>
      </c>
      <c r="I72" s="19">
        <f>H72/SQRT(9.81*F72)</f>
        <v/>
      </c>
      <c r="J72" s="16">
        <f>DATOS!$B$29-IF(AND(A72&gt;=DATOS!$B$30,A72&lt;DATOS!$B$31),DATOS!$B$21,DATOS!$B$20)</f>
        <v/>
      </c>
      <c r="K72" s="19">
        <f>J72-B72</f>
        <v/>
      </c>
      <c r="L72" s="19">
        <f>F72/K72</f>
        <v/>
      </c>
      <c r="M72" s="16">
        <f>J72-G72</f>
        <v/>
      </c>
      <c r="N72" s="5">
        <f>IF(AND(L72&lt;=DATOS!$B$36,M72&gt;=DATOS!$B$37,I72&lt;=1),"CUMPLE","NO CUMPLE")</f>
        <v/>
      </c>
      <c r="O72" s="5">
        <f>IF(AND(A72&gt;=DATOS!$B$30,A72&lt;DATOS!$B$31),"cruce de camiones",IF(AND(A72&gt;=DATOS!$B$32,A72&lt;DATOS!$B$33),"cruce de motos","tramo normal"))</f>
        <v/>
      </c>
      <c r="P72" s="5">
        <f>E72*1.001</f>
        <v/>
      </c>
      <c r="Q72" s="13" t="n">
        <v>3</v>
      </c>
      <c r="R72" s="5">
        <f>IF((((P72+Q72)/2)+(C72/(D72*((P72+Q72)/2)))^2/(2*9.81)+B72-(G71+H71^2/(2*9.81))-(A71-A72)*(((DATOS!$B$34*(C72/(D72*((P72+Q72)/2)))/((D72*((P72+Q72)/2))/(D72+2*((P72+Q72)/2)))^(2/3))^2+((DATOS!$B$34*H71/((D71*F71)/(D71+2*F71))^(2/3))^2))/2))&gt;0,P72,((P72+Q72)/2))</f>
        <v/>
      </c>
      <c r="S72" s="5">
        <f>IF((((P72+Q72)/2)+(C72/(D72*((P72+Q72)/2)))^2/(2*9.81)+B72-(G71+H71^2/(2*9.81))-(A71-A72)*(((DATOS!$B$34*(C72/(D72*((P72+Q72)/2)))/((D72*((P72+Q72)/2))/(D72+2*((P72+Q72)/2)))^(2/3))^2+((DATOS!$B$34*H71/((D71*F71)/(D71+2*F71))^(2/3))^2))/2))&gt;0,((P72+Q72)/2),Q72)</f>
        <v/>
      </c>
      <c r="T72" s="5">
        <f>IF((((R72+S72)/2)+(C72/(D72*((R72+S72)/2)))^2/(2*9.81)+B72-(G71+H71^2/(2*9.81))-(A71-A72)*(((DATOS!$B$34*(C72/(D72*((R72+S72)/2)))/((D72*((R72+S72)/2))/(D72+2*((R72+S72)/2)))^(2/3))^2+((DATOS!$B$34*H71/((D71*F71)/(D71+2*F71))^(2/3))^2))/2))&gt;0,R72,((R72+S72)/2))</f>
        <v/>
      </c>
      <c r="U72" s="5">
        <f>IF((((R72+S72)/2)+(C72/(D72*((R72+S72)/2)))^2/(2*9.81)+B72-(G71+H71^2/(2*9.81))-(A71-A72)*(((DATOS!$B$34*(C72/(D72*((R72+S72)/2)))/((D72*((R72+S72)/2))/(D72+2*((R72+S72)/2)))^(2/3))^2+((DATOS!$B$34*H71/((D71*F71)/(D71+2*F71))^(2/3))^2))/2))&gt;0,((R72+S72)/2),S72)</f>
        <v/>
      </c>
      <c r="V72" s="5">
        <f>IF((((T72+U72)/2)+(C72/(D72*((T72+U72)/2)))^2/(2*9.81)+B72-(G71+H71^2/(2*9.81))-(A71-A72)*(((DATOS!$B$34*(C72/(D72*((T72+U72)/2)))/((D72*((T72+U72)/2))/(D72+2*((T72+U72)/2)))^(2/3))^2+((DATOS!$B$34*H71/((D71*F71)/(D71+2*F71))^(2/3))^2))/2))&gt;0,T72,((T72+U72)/2))</f>
        <v/>
      </c>
      <c r="W72" s="5">
        <f>IF((((T72+U72)/2)+(C72/(D72*((T72+U72)/2)))^2/(2*9.81)+B72-(G71+H71^2/(2*9.81))-(A71-A72)*(((DATOS!$B$34*(C72/(D72*((T72+U72)/2)))/((D72*((T72+U72)/2))/(D72+2*((T72+U72)/2)))^(2/3))^2+((DATOS!$B$34*H71/((D71*F71)/(D71+2*F71))^(2/3))^2))/2))&gt;0,((T72+U72)/2),U72)</f>
        <v/>
      </c>
      <c r="X72" s="5">
        <f>IF((((V72+W72)/2)+(C72/(D72*((V72+W72)/2)))^2/(2*9.81)+B72-(G71+H71^2/(2*9.81))-(A71-A72)*(((DATOS!$B$34*(C72/(D72*((V72+W72)/2)))/((D72*((V72+W72)/2))/(D72+2*((V72+W72)/2)))^(2/3))^2+((DATOS!$B$34*H71/((D71*F71)/(D71+2*F71))^(2/3))^2))/2))&gt;0,V72,((V72+W72)/2))</f>
        <v/>
      </c>
      <c r="Y72" s="5">
        <f>IF((((V72+W72)/2)+(C72/(D72*((V72+W72)/2)))^2/(2*9.81)+B72-(G71+H71^2/(2*9.81))-(A71-A72)*(((DATOS!$B$34*(C72/(D72*((V72+W72)/2)))/((D72*((V72+W72)/2))/(D72+2*((V72+W72)/2)))^(2/3))^2+((DATOS!$B$34*H71/((D71*F71)/(D71+2*F71))^(2/3))^2))/2))&gt;0,((V72+W72)/2),W72)</f>
        <v/>
      </c>
      <c r="Z72" s="5">
        <f>IF((((X72+Y72)/2)+(C72/(D72*((X72+Y72)/2)))^2/(2*9.81)+B72-(G71+H71^2/(2*9.81))-(A71-A72)*(((DATOS!$B$34*(C72/(D72*((X72+Y72)/2)))/((D72*((X72+Y72)/2))/(D72+2*((X72+Y72)/2)))^(2/3))^2+((DATOS!$B$34*H71/((D71*F71)/(D71+2*F71))^(2/3))^2))/2))&gt;0,X72,((X72+Y72)/2))</f>
        <v/>
      </c>
      <c r="AA72" s="5">
        <f>IF((((X72+Y72)/2)+(C72/(D72*((X72+Y72)/2)))^2/(2*9.81)+B72-(G71+H71^2/(2*9.81))-(A71-A72)*(((DATOS!$B$34*(C72/(D72*((X72+Y72)/2)))/((D72*((X72+Y72)/2))/(D72+2*((X72+Y72)/2)))^(2/3))^2+((DATOS!$B$34*H71/((D71*F71)/(D71+2*F71))^(2/3))^2))/2))&gt;0,((X72+Y72)/2),Y72)</f>
        <v/>
      </c>
      <c r="AB72" s="5">
        <f>IF((((Z72+AA72)/2)+(C72/(D72*((Z72+AA72)/2)))^2/(2*9.81)+B72-(G71+H71^2/(2*9.81))-(A71-A72)*(((DATOS!$B$34*(C72/(D72*((Z72+AA72)/2)))/((D72*((Z72+AA72)/2))/(D72+2*((Z72+AA72)/2)))^(2/3))^2+((DATOS!$B$34*H71/((D71*F71)/(D71+2*F71))^(2/3))^2))/2))&gt;0,Z72,((Z72+AA72)/2))</f>
        <v/>
      </c>
      <c r="AC72" s="5">
        <f>IF((((Z72+AA72)/2)+(C72/(D72*((Z72+AA72)/2)))^2/(2*9.81)+B72-(G71+H71^2/(2*9.81))-(A71-A72)*(((DATOS!$B$34*(C72/(D72*((Z72+AA72)/2)))/((D72*((Z72+AA72)/2))/(D72+2*((Z72+AA72)/2)))^(2/3))^2+((DATOS!$B$34*H71/((D71*F71)/(D71+2*F71))^(2/3))^2))/2))&gt;0,((Z72+AA72)/2),AA72)</f>
        <v/>
      </c>
      <c r="AD72" s="5">
        <f>IF((((AB72+AC72)/2)+(C72/(D72*((AB72+AC72)/2)))^2/(2*9.81)+B72-(G71+H71^2/(2*9.81))-(A71-A72)*(((DATOS!$B$34*(C72/(D72*((AB72+AC72)/2)))/((D72*((AB72+AC72)/2))/(D72+2*((AB72+AC72)/2)))^(2/3))^2+((DATOS!$B$34*H71/((D71*F71)/(D71+2*F71))^(2/3))^2))/2))&gt;0,AB72,((AB72+AC72)/2))</f>
        <v/>
      </c>
      <c r="AE72" s="5">
        <f>IF((((AB72+AC72)/2)+(C72/(D72*((AB72+AC72)/2)))^2/(2*9.81)+B72-(G71+H71^2/(2*9.81))-(A71-A72)*(((DATOS!$B$34*(C72/(D72*((AB72+AC72)/2)))/((D72*((AB72+AC72)/2))/(D72+2*((AB72+AC72)/2)))^(2/3))^2+((DATOS!$B$34*H71/((D71*F71)/(D71+2*F71))^(2/3))^2))/2))&gt;0,((AB72+AC72)/2),AC72)</f>
        <v/>
      </c>
      <c r="AF72" s="5">
        <f>IF((((AD72+AE72)/2)+(C72/(D72*((AD72+AE72)/2)))^2/(2*9.81)+B72-(G71+H71^2/(2*9.81))-(A71-A72)*(((DATOS!$B$34*(C72/(D72*((AD72+AE72)/2)))/((D72*((AD72+AE72)/2))/(D72+2*((AD72+AE72)/2)))^(2/3))^2+((DATOS!$B$34*H71/((D71*F71)/(D71+2*F71))^(2/3))^2))/2))&gt;0,AD72,((AD72+AE72)/2))</f>
        <v/>
      </c>
      <c r="AG72" s="5">
        <f>IF((((AD72+AE72)/2)+(C72/(D72*((AD72+AE72)/2)))^2/(2*9.81)+B72-(G71+H71^2/(2*9.81))-(A71-A72)*(((DATOS!$B$34*(C72/(D72*((AD72+AE72)/2)))/((D72*((AD72+AE72)/2))/(D72+2*((AD72+AE72)/2)))^(2/3))^2+((DATOS!$B$34*H71/((D71*F71)/(D71+2*F71))^(2/3))^2))/2))&gt;0,((AD72+AE72)/2),AE72)</f>
        <v/>
      </c>
      <c r="AH72" s="5">
        <f>IF((((AF72+AG72)/2)+(C72/(D72*((AF72+AG72)/2)))^2/(2*9.81)+B72-(G71+H71^2/(2*9.81))-(A71-A72)*(((DATOS!$B$34*(C72/(D72*((AF72+AG72)/2)))/((D72*((AF72+AG72)/2))/(D72+2*((AF72+AG72)/2)))^(2/3))^2+((DATOS!$B$34*H71/((D71*F71)/(D71+2*F71))^(2/3))^2))/2))&gt;0,AF72,((AF72+AG72)/2))</f>
        <v/>
      </c>
      <c r="AI72" s="5">
        <f>IF((((AF72+AG72)/2)+(C72/(D72*((AF72+AG72)/2)))^2/(2*9.81)+B72-(G71+H71^2/(2*9.81))-(A71-A72)*(((DATOS!$B$34*(C72/(D72*((AF72+AG72)/2)))/((D72*((AF72+AG72)/2))/(D72+2*((AF72+AG72)/2)))^(2/3))^2+((DATOS!$B$34*H71/((D71*F71)/(D71+2*F71))^(2/3))^2))/2))&gt;0,((AF72+AG72)/2),AG72)</f>
        <v/>
      </c>
      <c r="AJ72" s="5">
        <f>IF((((AH72+AI72)/2)+(C72/(D72*((AH72+AI72)/2)))^2/(2*9.81)+B72-(G71+H71^2/(2*9.81))-(A71-A72)*(((DATOS!$B$34*(C72/(D72*((AH72+AI72)/2)))/((D72*((AH72+AI72)/2))/(D72+2*((AH72+AI72)/2)))^(2/3))^2+((DATOS!$B$34*H71/((D71*F71)/(D71+2*F71))^(2/3))^2))/2))&gt;0,AH72,((AH72+AI72)/2))</f>
        <v/>
      </c>
      <c r="AK72" s="5">
        <f>IF((((AH72+AI72)/2)+(C72/(D72*((AH72+AI72)/2)))^2/(2*9.81)+B72-(G71+H71^2/(2*9.81))-(A71-A72)*(((DATOS!$B$34*(C72/(D72*((AH72+AI72)/2)))/((D72*((AH72+AI72)/2))/(D72+2*((AH72+AI72)/2)))^(2/3))^2+((DATOS!$B$34*H71/((D71*F71)/(D71+2*F71))^(2/3))^2))/2))&gt;0,((AH72+AI72)/2),AI72)</f>
        <v/>
      </c>
      <c r="AL72" s="5">
        <f>IF((((AJ72+AK72)/2)+(C72/(D72*((AJ72+AK72)/2)))^2/(2*9.81)+B72-(G71+H71^2/(2*9.81))-(A71-A72)*(((DATOS!$B$34*(C72/(D72*((AJ72+AK72)/2)))/((D72*((AJ72+AK72)/2))/(D72+2*((AJ72+AK72)/2)))^(2/3))^2+((DATOS!$B$34*H71/((D71*F71)/(D71+2*F71))^(2/3))^2))/2))&gt;0,AJ72,((AJ72+AK72)/2))</f>
        <v/>
      </c>
      <c r="AM72" s="5">
        <f>IF((((AJ72+AK72)/2)+(C72/(D72*((AJ72+AK72)/2)))^2/(2*9.81)+B72-(G71+H71^2/(2*9.81))-(A71-A72)*(((DATOS!$B$34*(C72/(D72*((AJ72+AK72)/2)))/((D72*((AJ72+AK72)/2))/(D72+2*((AJ72+AK72)/2)))^(2/3))^2+((DATOS!$B$34*H71/((D71*F71)/(D71+2*F71))^(2/3))^2))/2))&gt;0,((AJ72+AK72)/2),AK72)</f>
        <v/>
      </c>
      <c r="AN72" s="5">
        <f>IF((((AL72+AM72)/2)+(C72/(D72*((AL72+AM72)/2)))^2/(2*9.81)+B72-(G71+H71^2/(2*9.81))-(A71-A72)*(((DATOS!$B$34*(C72/(D72*((AL72+AM72)/2)))/((D72*((AL72+AM72)/2))/(D72+2*((AL72+AM72)/2)))^(2/3))^2+((DATOS!$B$34*H71/((D71*F71)/(D71+2*F71))^(2/3))^2))/2))&gt;0,AL72,((AL72+AM72)/2))</f>
        <v/>
      </c>
      <c r="AO72" s="5">
        <f>IF((((AL72+AM72)/2)+(C72/(D72*((AL72+AM72)/2)))^2/(2*9.81)+B72-(G71+H71^2/(2*9.81))-(A71-A72)*(((DATOS!$B$34*(C72/(D72*((AL72+AM72)/2)))/((D72*((AL72+AM72)/2))/(D72+2*((AL72+AM72)/2)))^(2/3))^2+((DATOS!$B$34*H71/((D71*F71)/(D71+2*F71))^(2/3))^2))/2))&gt;0,((AL72+AM72)/2),AM72)</f>
        <v/>
      </c>
      <c r="AP72" s="5">
        <f>IF((((AN72+AO72)/2)+(C72/(D72*((AN72+AO72)/2)))^2/(2*9.81)+B72-(G71+H71^2/(2*9.81))-(A71-A72)*(((DATOS!$B$34*(C72/(D72*((AN72+AO72)/2)))/((D72*((AN72+AO72)/2))/(D72+2*((AN72+AO72)/2)))^(2/3))^2+((DATOS!$B$34*H71/((D71*F71)/(D71+2*F71))^(2/3))^2))/2))&gt;0,AN72,((AN72+AO72)/2))</f>
        <v/>
      </c>
      <c r="AQ72" s="5">
        <f>IF((((AN72+AO72)/2)+(C72/(D72*((AN72+AO72)/2)))^2/(2*9.81)+B72-(G71+H71^2/(2*9.81))-(A71-A72)*(((DATOS!$B$34*(C72/(D72*((AN72+AO72)/2)))/((D72*((AN72+AO72)/2))/(D72+2*((AN72+AO72)/2)))^(2/3))^2+((DATOS!$B$34*H71/((D71*F71)/(D71+2*F71))^(2/3))^2))/2))&gt;0,((AN72+AO72)/2),AO72)</f>
        <v/>
      </c>
      <c r="AR72" s="5">
        <f>IF((((AP72+AQ72)/2)+(C72/(D72*((AP72+AQ72)/2)))^2/(2*9.81)+B72-(G71+H71^2/(2*9.81))-(A71-A72)*(((DATOS!$B$34*(C72/(D72*((AP72+AQ72)/2)))/((D72*((AP72+AQ72)/2))/(D72+2*((AP72+AQ72)/2)))^(2/3))^2+((DATOS!$B$34*H71/((D71*F71)/(D71+2*F71))^(2/3))^2))/2))&gt;0,AP72,((AP72+AQ72)/2))</f>
        <v/>
      </c>
      <c r="AS72" s="5">
        <f>IF((((AP72+AQ72)/2)+(C72/(D72*((AP72+AQ72)/2)))^2/(2*9.81)+B72-(G71+H71^2/(2*9.81))-(A71-A72)*(((DATOS!$B$34*(C72/(D72*((AP72+AQ72)/2)))/((D72*((AP72+AQ72)/2))/(D72+2*((AP72+AQ72)/2)))^(2/3))^2+((DATOS!$B$34*H71/((D71*F71)/(D71+2*F71))^(2/3))^2))/2))&gt;0,((AP72+AQ72)/2),AQ72)</f>
        <v/>
      </c>
      <c r="AT72" s="5">
        <f>IF((((AR72+AS72)/2)+(C72/(D72*((AR72+AS72)/2)))^2/(2*9.81)+B72-(G71+H71^2/(2*9.81))-(A71-A72)*(((DATOS!$B$34*(C72/(D72*((AR72+AS72)/2)))/((D72*((AR72+AS72)/2))/(D72+2*((AR72+AS72)/2)))^(2/3))^2+((DATOS!$B$34*H71/((D71*F71)/(D71+2*F71))^(2/3))^2))/2))&gt;0,AR72,((AR72+AS72)/2))</f>
        <v/>
      </c>
      <c r="AU72" s="5">
        <f>IF((((AR72+AS72)/2)+(C72/(D72*((AR72+AS72)/2)))^2/(2*9.81)+B72-(G71+H71^2/(2*9.81))-(A71-A72)*(((DATOS!$B$34*(C72/(D72*((AR72+AS72)/2)))/((D72*((AR72+AS72)/2))/(D72+2*((AR72+AS72)/2)))^(2/3))^2+((DATOS!$B$34*H71/((D71*F71)/(D71+2*F71))^(2/3))^2))/2))&gt;0,((AR72+AS72)/2),AS72)</f>
        <v/>
      </c>
      <c r="AV72" s="5">
        <f>IF((((AT72+AU72)/2)+(C72/(D72*((AT72+AU72)/2)))^2/(2*9.81)+B72-(G71+H71^2/(2*9.81))-(A71-A72)*(((DATOS!$B$34*(C72/(D72*((AT72+AU72)/2)))/((D72*((AT72+AU72)/2))/(D72+2*((AT72+AU72)/2)))^(2/3))^2+((DATOS!$B$34*H71/((D71*F71)/(D71+2*F71))^(2/3))^2))/2))&gt;0,AT72,((AT72+AU72)/2))</f>
        <v/>
      </c>
      <c r="AW72" s="5">
        <f>IF((((AT72+AU72)/2)+(C72/(D72*((AT72+AU72)/2)))^2/(2*9.81)+B72-(G71+H71^2/(2*9.81))-(A71-A72)*(((DATOS!$B$34*(C72/(D72*((AT72+AU72)/2)))/((D72*((AT72+AU72)/2))/(D72+2*((AT72+AU72)/2)))^(2/3))^2+((DATOS!$B$34*H71/((D71*F71)/(D71+2*F71))^(2/3))^2))/2))&gt;0,((AT72+AU72)/2),AU72)</f>
        <v/>
      </c>
      <c r="AX72" s="5">
        <f>IF((((AV72+AW72)/2)+(C72/(D72*((AV72+AW72)/2)))^2/(2*9.81)+B72-(G71+H71^2/(2*9.81))-(A71-A72)*(((DATOS!$B$34*(C72/(D72*((AV72+AW72)/2)))/((D72*((AV72+AW72)/2))/(D72+2*((AV72+AW72)/2)))^(2/3))^2+((DATOS!$B$34*H71/((D71*F71)/(D71+2*F71))^(2/3))^2))/2))&gt;0,AV72,((AV72+AW72)/2))</f>
        <v/>
      </c>
      <c r="AY72" s="5">
        <f>IF((((AV72+AW72)/2)+(C72/(D72*((AV72+AW72)/2)))^2/(2*9.81)+B72-(G71+H71^2/(2*9.81))-(A71-A72)*(((DATOS!$B$34*(C72/(D72*((AV72+AW72)/2)))/((D72*((AV72+AW72)/2))/(D72+2*((AV72+AW72)/2)))^(2/3))^2+((DATOS!$B$34*H71/((D71*F71)/(D71+2*F71))^(2/3))^2))/2))&gt;0,((AV72+AW72)/2),AW72)</f>
        <v/>
      </c>
      <c r="AZ72" s="5">
        <f>IF((((AX72+AY72)/2)+(C72/(D72*((AX72+AY72)/2)))^2/(2*9.81)+B72-(G71+H71^2/(2*9.81))-(A71-A72)*(((DATOS!$B$34*(C72/(D72*((AX72+AY72)/2)))/((D72*((AX72+AY72)/2))/(D72+2*((AX72+AY72)/2)))^(2/3))^2+((DATOS!$B$34*H71/((D71*F71)/(D71+2*F71))^(2/3))^2))/2))&gt;0,AX72,((AX72+AY72)/2))</f>
        <v/>
      </c>
      <c r="BA72" s="5">
        <f>IF((((AX72+AY72)/2)+(C72/(D72*((AX72+AY72)/2)))^2/(2*9.81)+B72-(G71+H71^2/(2*9.81))-(A71-A72)*(((DATOS!$B$34*(C72/(D72*((AX72+AY72)/2)))/((D72*((AX72+AY72)/2))/(D72+2*((AX72+AY72)/2)))^(2/3))^2+((DATOS!$B$34*H71/((D71*F71)/(D71+2*F71))^(2/3))^2))/2))&gt;0,((AX72+AY72)/2),AY72)</f>
        <v/>
      </c>
      <c r="BB72" s="5">
        <f>IF((((AZ72+BA72)/2)+(C72/(D72*((AZ72+BA72)/2)))^2/(2*9.81)+B72-(G71+H71^2/(2*9.81))-(A71-A72)*(((DATOS!$B$34*(C72/(D72*((AZ72+BA72)/2)))/((D72*((AZ72+BA72)/2))/(D72+2*((AZ72+BA72)/2)))^(2/3))^2+((DATOS!$B$34*H71/((D71*F71)/(D71+2*F71))^(2/3))^2))/2))&gt;0,AZ72,((AZ72+BA72)/2))</f>
        <v/>
      </c>
      <c r="BC72" s="5">
        <f>IF((((AZ72+BA72)/2)+(C72/(D72*((AZ72+BA72)/2)))^2/(2*9.81)+B72-(G71+H71^2/(2*9.81))-(A71-A72)*(((DATOS!$B$34*(C72/(D72*((AZ72+BA72)/2)))/((D72*((AZ72+BA72)/2))/(D72+2*((AZ72+BA72)/2)))^(2/3))^2+((DATOS!$B$34*H71/((D71*F71)/(D71+2*F71))^(2/3))^2))/2))&gt;0,((AZ72+BA72)/2),BA72)</f>
        <v/>
      </c>
      <c r="BD72" s="5">
        <f>IF((((BB72+BC72)/2)+(C72/(D72*((BB72+BC72)/2)))^2/(2*9.81)+B72-(G71+H71^2/(2*9.81))-(A71-A72)*(((DATOS!$B$34*(C72/(D72*((BB72+BC72)/2)))/((D72*((BB72+BC72)/2))/(D72+2*((BB72+BC72)/2)))^(2/3))^2+((DATOS!$B$34*H71/((D71*F71)/(D71+2*F71))^(2/3))^2))/2))&gt;0,BB72,((BB72+BC72)/2))</f>
        <v/>
      </c>
      <c r="BE72" s="5">
        <f>IF((((BB72+BC72)/2)+(C72/(D72*((BB72+BC72)/2)))^2/(2*9.81)+B72-(G71+H71^2/(2*9.81))-(A71-A72)*(((DATOS!$B$34*(C72/(D72*((BB72+BC72)/2)))/((D72*((BB72+BC72)/2))/(D72+2*((BB72+BC72)/2)))^(2/3))^2+((DATOS!$B$34*H71/((D71*F71)/(D71+2*F71))^(2/3))^2))/2))&gt;0,((BB72+BC72)/2),BC72)</f>
        <v/>
      </c>
      <c r="BF72" s="5">
        <f>IF((((BD72+BE72)/2)+(C72/(D72*((BD72+BE72)/2)))^2/(2*9.81)+B72-(G71+H71^2/(2*9.81))-(A71-A72)*(((DATOS!$B$34*(C72/(D72*((BD72+BE72)/2)))/((D72*((BD72+BE72)/2))/(D72+2*((BD72+BE72)/2)))^(2/3))^2+((DATOS!$B$34*H71/((D71*F71)/(D71+2*F71))^(2/3))^2))/2))&gt;0,BD72,((BD72+BE72)/2))</f>
        <v/>
      </c>
      <c r="BG72" s="5">
        <f>IF((((BD72+BE72)/2)+(C72/(D72*((BD72+BE72)/2)))^2/(2*9.81)+B72-(G71+H71^2/(2*9.81))-(A71-A72)*(((DATOS!$B$34*(C72/(D72*((BD72+BE72)/2)))/((D72*((BD72+BE72)/2))/(D72+2*((BD72+BE72)/2)))^(2/3))^2+((DATOS!$B$34*H71/((D71*F71)/(D71+2*F71))^(2/3))^2))/2))&gt;0,((BD72+BE72)/2),BE72)</f>
        <v/>
      </c>
      <c r="BH72" s="5">
        <f>IF((((BF72+BG72)/2)+(C72/(D72*((BF72+BG72)/2)))^2/(2*9.81)+B72-(G71+H71^2/(2*9.81))-(A71-A72)*(((DATOS!$B$34*(C72/(D72*((BF72+BG72)/2)))/((D72*((BF72+BG72)/2))/(D72+2*((BF72+BG72)/2)))^(2/3))^2+((DATOS!$B$34*H71/((D71*F71)/(D71+2*F71))^(2/3))^2))/2))&gt;0,BF72,((BF72+BG72)/2))</f>
        <v/>
      </c>
      <c r="BI72" s="5">
        <f>IF((((BF72+BG72)/2)+(C72/(D72*((BF72+BG72)/2)))^2/(2*9.81)+B72-(G71+H71^2/(2*9.81))-(A71-A72)*(((DATOS!$B$34*(C72/(D72*((BF72+BG72)/2)))/((D72*((BF72+BG72)/2))/(D72+2*((BF72+BG72)/2)))^(2/3))^2+((DATOS!$B$34*H71/((D71*F71)/(D71+2*F71))^(2/3))^2))/2))&gt;0,((BF72+BG72)/2),BG72)</f>
        <v/>
      </c>
      <c r="BJ72" s="5">
        <f>IF((((BH72+BI72)/2)+(C72/(D72*((BH72+BI72)/2)))^2/(2*9.81)+B72-(G71+H71^2/(2*9.81))-(A71-A72)*(((DATOS!$B$34*(C72/(D72*((BH72+BI72)/2)))/((D72*((BH72+BI72)/2))/(D72+2*((BH72+BI72)/2)))^(2/3))^2+((DATOS!$B$34*H71/((D71*F71)/(D71+2*F71))^(2/3))^2))/2))&gt;0,BH72,((BH72+BI72)/2))</f>
        <v/>
      </c>
      <c r="BK72" s="5">
        <f>IF((((BH72+BI72)/2)+(C72/(D72*((BH72+BI72)/2)))^2/(2*9.81)+B72-(G71+H71^2/(2*9.81))-(A71-A72)*(((DATOS!$B$34*(C72/(D72*((BH72+BI72)/2)))/((D72*((BH72+BI72)/2))/(D72+2*((BH72+BI72)/2)))^(2/3))^2+((DATOS!$B$34*H71/((D71*F71)/(D71+2*F71))^(2/3))^2))/2))&gt;0,((BH72+BI72)/2),BI72)</f>
        <v/>
      </c>
      <c r="BL72" s="5">
        <f>IF((((BJ72+BK72)/2)+(C72/(D72*((BJ72+BK72)/2)))^2/(2*9.81)+B72-(G71+H71^2/(2*9.81))-(A71-A72)*(((DATOS!$B$34*(C72/(D72*((BJ72+BK72)/2)))/((D72*((BJ72+BK72)/2))/(D72+2*((BJ72+BK72)/2)))^(2/3))^2+((DATOS!$B$34*H71/((D71*F71)/(D71+2*F71))^(2/3))^2))/2))&gt;0,BJ72,((BJ72+BK72)/2))</f>
        <v/>
      </c>
      <c r="BM72" s="5">
        <f>IF((((BJ72+BK72)/2)+(C72/(D72*((BJ72+BK72)/2)))^2/(2*9.81)+B72-(G71+H71^2/(2*9.81))-(A71-A72)*(((DATOS!$B$34*(C72/(D72*((BJ72+BK72)/2)))/((D72*((BJ72+BK72)/2))/(D72+2*((BJ72+BK72)/2)))^(2/3))^2+((DATOS!$B$34*H71/((D71*F71)/(D71+2*F71))^(2/3))^2))/2))&gt;0,((BJ72+BK72)/2),BK72)</f>
        <v/>
      </c>
      <c r="BN72" s="5">
        <f>IF((((BL72+BM72)/2)+(C72/(D72*((BL72+BM72)/2)))^2/(2*9.81)+B72-(G71+H71^2/(2*9.81))-(A71-A72)*(((DATOS!$B$34*(C72/(D72*((BL72+BM72)/2)))/((D72*((BL72+BM72)/2))/(D72+2*((BL72+BM72)/2)))^(2/3))^2+((DATOS!$B$34*H71/((D71*F71)/(D71+2*F71))^(2/3))^2))/2))&gt;0,BL72,((BL72+BM72)/2))</f>
        <v/>
      </c>
      <c r="BO72" s="5">
        <f>IF((((BL72+BM72)/2)+(C72/(D72*((BL72+BM72)/2)))^2/(2*9.81)+B72-(G71+H71^2/(2*9.81))-(A71-A72)*(((DATOS!$B$34*(C72/(D72*((BL72+BM72)/2)))/((D72*((BL72+BM72)/2))/(D72+2*((BL72+BM72)/2)))^(2/3))^2+((DATOS!$B$34*H71/((D71*F71)/(D71+2*F71))^(2/3))^2))/2))&gt;0,((BL72+BM72)/2),BM72)</f>
        <v/>
      </c>
      <c r="BP72" s="5">
        <f>IF((((BN72+BO72)/2)+(C72/(D72*((BN72+BO72)/2)))^2/(2*9.81)+B72-(G71+H71^2/(2*9.81))-(A71-A72)*(((DATOS!$B$34*(C72/(D72*((BN72+BO72)/2)))/((D72*((BN72+BO72)/2))/(D72+2*((BN72+BO72)/2)))^(2/3))^2+((DATOS!$B$34*H71/((D71*F71)/(D71+2*F71))^(2/3))^2))/2))&gt;0,BN72,((BN72+BO72)/2))</f>
        <v/>
      </c>
      <c r="BQ72" s="5">
        <f>IF((((BN72+BO72)/2)+(C72/(D72*((BN72+BO72)/2)))^2/(2*9.81)+B72-(G71+H71^2/(2*9.81))-(A71-A72)*(((DATOS!$B$34*(C72/(D72*((BN72+BO72)/2)))/((D72*((BN72+BO72)/2))/(D72+2*((BN72+BO72)/2)))^(2/3))^2+((DATOS!$B$34*H71/((D71*F71)/(D71+2*F71))^(2/3))^2))/2))&gt;0,((BN72+BO72)/2),BO72)</f>
        <v/>
      </c>
      <c r="BR72" s="5">
        <f>IF((((BP72+BQ72)/2)+(C72/(D72*((BP72+BQ72)/2)))^2/(2*9.81)+B72-(G71+H71^2/(2*9.81))-(A71-A72)*(((DATOS!$B$34*(C72/(D72*((BP72+BQ72)/2)))/((D72*((BP72+BQ72)/2))/(D72+2*((BP72+BQ72)/2)))^(2/3))^2+((DATOS!$B$34*H71/((D71*F71)/(D71+2*F71))^(2/3))^2))/2))&gt;0,BP72,((BP72+BQ72)/2))</f>
        <v/>
      </c>
      <c r="BS72" s="5">
        <f>IF((((BP72+BQ72)/2)+(C72/(D72*((BP72+BQ72)/2)))^2/(2*9.81)+B72-(G71+H71^2/(2*9.81))-(A71-A72)*(((DATOS!$B$34*(C72/(D72*((BP72+BQ72)/2)))/((D72*((BP72+BQ72)/2))/(D72+2*((BP72+BQ72)/2)))^(2/3))^2+((DATOS!$B$34*H71/((D71*F71)/(D71+2*F71))^(2/3))^2))/2))&gt;0,((BP72+BQ72)/2),BQ72)</f>
        <v/>
      </c>
      <c r="BT72" s="5">
        <f>IF((((BR72+BS72)/2)+(C72/(D72*((BR72+BS72)/2)))^2/(2*9.81)+B72-(G71+H71^2/(2*9.81))-(A71-A72)*(((DATOS!$B$34*(C72/(D72*((BR72+BS72)/2)))/((D72*((BR72+BS72)/2))/(D72+2*((BR72+BS72)/2)))^(2/3))^2+((DATOS!$B$34*H71/((D71*F71)/(D71+2*F71))^(2/3))^2))/2))&gt;0,BR72,((BR72+BS72)/2))</f>
        <v/>
      </c>
      <c r="BU72" s="5">
        <f>IF((((BR72+BS72)/2)+(C72/(D72*((BR72+BS72)/2)))^2/(2*9.81)+B72-(G71+H71^2/(2*9.81))-(A71-A72)*(((DATOS!$B$34*(C72/(D72*((BR72+BS72)/2)))/((D72*((BR72+BS72)/2))/(D72+2*((BR72+BS72)/2)))^(2/3))^2+((DATOS!$B$34*H71/((D71*F71)/(D71+2*F71))^(2/3))^2))/2))&gt;0,((BR72+BS72)/2),BS72)</f>
        <v/>
      </c>
      <c r="BV72" s="5">
        <f>IF((((BT72+BU72)/2)+(C72/(D72*((BT72+BU72)/2)))^2/(2*9.81)+B72-(G71+H71^2/(2*9.81))-(A71-A72)*(((DATOS!$B$34*(C72/(D72*((BT72+BU72)/2)))/((D72*((BT72+BU72)/2))/(D72+2*((BT72+BU72)/2)))^(2/3))^2+((DATOS!$B$34*H71/((D71*F71)/(D71+2*F71))^(2/3))^2))/2))&gt;0,BT72,((BT72+BU72)/2))</f>
        <v/>
      </c>
      <c r="BW72" s="5">
        <f>IF((((BT72+BU72)/2)+(C72/(D72*((BT72+BU72)/2)))^2/(2*9.81)+B72-(G71+H71^2/(2*9.81))-(A71-A72)*(((DATOS!$B$34*(C72/(D72*((BT72+BU72)/2)))/((D72*((BT72+BU72)/2))/(D72+2*((BT72+BU72)/2)))^(2/3))^2+((DATOS!$B$34*H71/((D71*F71)/(D71+2*F71))^(2/3))^2))/2))&gt;0,((BT72+BU72)/2),BU72)</f>
        <v/>
      </c>
    </row>
    <row r="73">
      <c r="A73" s="13" t="n">
        <v>15</v>
      </c>
      <c r="B73" s="16">
        <f>DATOS!$B$22-DATOS!$B$23*A73</f>
        <v/>
      </c>
      <c r="C73" s="24">
        <f>CAUDALES!$B$13</f>
        <v/>
      </c>
      <c r="D73" s="17">
        <f>DATOS!$B$17</f>
        <v/>
      </c>
      <c r="E73" s="16">
        <f>(C73^2/(9.81*D73^2))^(1/3)</f>
        <v/>
      </c>
      <c r="F73" s="16">
        <f>(BV73+BW73)/2</f>
        <v/>
      </c>
      <c r="G73" s="16">
        <f>B73+F73</f>
        <v/>
      </c>
      <c r="H73" s="19">
        <f>C73/(D73*F73)</f>
        <v/>
      </c>
      <c r="I73" s="19">
        <f>H73/SQRT(9.81*F73)</f>
        <v/>
      </c>
      <c r="J73" s="16">
        <f>DATOS!$B$29-IF(AND(A73&gt;=DATOS!$B$30,A73&lt;DATOS!$B$31),DATOS!$B$21,DATOS!$B$20)</f>
        <v/>
      </c>
      <c r="K73" s="19">
        <f>J73-B73</f>
        <v/>
      </c>
      <c r="L73" s="19">
        <f>F73/K73</f>
        <v/>
      </c>
      <c r="M73" s="16">
        <f>J73-G73</f>
        <v/>
      </c>
      <c r="N73" s="5">
        <f>IF(AND(L73&lt;=DATOS!$B$36,M73&gt;=DATOS!$B$37,I73&lt;=1),"CUMPLE","NO CUMPLE")</f>
        <v/>
      </c>
      <c r="O73" s="5">
        <f>IF(AND(A73&gt;=DATOS!$B$30,A73&lt;DATOS!$B$31),"cruce de camiones",IF(AND(A73&gt;=DATOS!$B$32,A73&lt;DATOS!$B$33),"cruce de motos","tramo normal"))</f>
        <v/>
      </c>
      <c r="P73" s="5">
        <f>E73*1.001</f>
        <v/>
      </c>
      <c r="Q73" s="13" t="n">
        <v>3</v>
      </c>
      <c r="R73" s="5">
        <f>IF((((P73+Q73)/2)+(C73/(D73*((P73+Q73)/2)))^2/(2*9.81)+B73-(G72+H72^2/(2*9.81))-(A72-A73)*(((DATOS!$B$34*(C73/(D73*((P73+Q73)/2)))/((D73*((P73+Q73)/2))/(D73+2*((P73+Q73)/2)))^(2/3))^2+((DATOS!$B$34*H72/((D72*F72)/(D72+2*F72))^(2/3))^2))/2))&gt;0,P73,((P73+Q73)/2))</f>
        <v/>
      </c>
      <c r="S73" s="5">
        <f>IF((((P73+Q73)/2)+(C73/(D73*((P73+Q73)/2)))^2/(2*9.81)+B73-(G72+H72^2/(2*9.81))-(A72-A73)*(((DATOS!$B$34*(C73/(D73*((P73+Q73)/2)))/((D73*((P73+Q73)/2))/(D73+2*((P73+Q73)/2)))^(2/3))^2+((DATOS!$B$34*H72/((D72*F72)/(D72+2*F72))^(2/3))^2))/2))&gt;0,((P73+Q73)/2),Q73)</f>
        <v/>
      </c>
      <c r="T73" s="5">
        <f>IF((((R73+S73)/2)+(C73/(D73*((R73+S73)/2)))^2/(2*9.81)+B73-(G72+H72^2/(2*9.81))-(A72-A73)*(((DATOS!$B$34*(C73/(D73*((R73+S73)/2)))/((D73*((R73+S73)/2))/(D73+2*((R73+S73)/2)))^(2/3))^2+((DATOS!$B$34*H72/((D72*F72)/(D72+2*F72))^(2/3))^2))/2))&gt;0,R73,((R73+S73)/2))</f>
        <v/>
      </c>
      <c r="U73" s="5">
        <f>IF((((R73+S73)/2)+(C73/(D73*((R73+S73)/2)))^2/(2*9.81)+B73-(G72+H72^2/(2*9.81))-(A72-A73)*(((DATOS!$B$34*(C73/(D73*((R73+S73)/2)))/((D73*((R73+S73)/2))/(D73+2*((R73+S73)/2)))^(2/3))^2+((DATOS!$B$34*H72/((D72*F72)/(D72+2*F72))^(2/3))^2))/2))&gt;0,((R73+S73)/2),S73)</f>
        <v/>
      </c>
      <c r="V73" s="5">
        <f>IF((((T73+U73)/2)+(C73/(D73*((T73+U73)/2)))^2/(2*9.81)+B73-(G72+H72^2/(2*9.81))-(A72-A73)*(((DATOS!$B$34*(C73/(D73*((T73+U73)/2)))/((D73*((T73+U73)/2))/(D73+2*((T73+U73)/2)))^(2/3))^2+((DATOS!$B$34*H72/((D72*F72)/(D72+2*F72))^(2/3))^2))/2))&gt;0,T73,((T73+U73)/2))</f>
        <v/>
      </c>
      <c r="W73" s="5">
        <f>IF((((T73+U73)/2)+(C73/(D73*((T73+U73)/2)))^2/(2*9.81)+B73-(G72+H72^2/(2*9.81))-(A72-A73)*(((DATOS!$B$34*(C73/(D73*((T73+U73)/2)))/((D73*((T73+U73)/2))/(D73+2*((T73+U73)/2)))^(2/3))^2+((DATOS!$B$34*H72/((D72*F72)/(D72+2*F72))^(2/3))^2))/2))&gt;0,((T73+U73)/2),U73)</f>
        <v/>
      </c>
      <c r="X73" s="5">
        <f>IF((((V73+W73)/2)+(C73/(D73*((V73+W73)/2)))^2/(2*9.81)+B73-(G72+H72^2/(2*9.81))-(A72-A73)*(((DATOS!$B$34*(C73/(D73*((V73+W73)/2)))/((D73*((V73+W73)/2))/(D73+2*((V73+W73)/2)))^(2/3))^2+((DATOS!$B$34*H72/((D72*F72)/(D72+2*F72))^(2/3))^2))/2))&gt;0,V73,((V73+W73)/2))</f>
        <v/>
      </c>
      <c r="Y73" s="5">
        <f>IF((((V73+W73)/2)+(C73/(D73*((V73+W73)/2)))^2/(2*9.81)+B73-(G72+H72^2/(2*9.81))-(A72-A73)*(((DATOS!$B$34*(C73/(D73*((V73+W73)/2)))/((D73*((V73+W73)/2))/(D73+2*((V73+W73)/2)))^(2/3))^2+((DATOS!$B$34*H72/((D72*F72)/(D72+2*F72))^(2/3))^2))/2))&gt;0,((V73+W73)/2),W73)</f>
        <v/>
      </c>
      <c r="Z73" s="5">
        <f>IF((((X73+Y73)/2)+(C73/(D73*((X73+Y73)/2)))^2/(2*9.81)+B73-(G72+H72^2/(2*9.81))-(A72-A73)*(((DATOS!$B$34*(C73/(D73*((X73+Y73)/2)))/((D73*((X73+Y73)/2))/(D73+2*((X73+Y73)/2)))^(2/3))^2+((DATOS!$B$34*H72/((D72*F72)/(D72+2*F72))^(2/3))^2))/2))&gt;0,X73,((X73+Y73)/2))</f>
        <v/>
      </c>
      <c r="AA73" s="5">
        <f>IF((((X73+Y73)/2)+(C73/(D73*((X73+Y73)/2)))^2/(2*9.81)+B73-(G72+H72^2/(2*9.81))-(A72-A73)*(((DATOS!$B$34*(C73/(D73*((X73+Y73)/2)))/((D73*((X73+Y73)/2))/(D73+2*((X73+Y73)/2)))^(2/3))^2+((DATOS!$B$34*H72/((D72*F72)/(D72+2*F72))^(2/3))^2))/2))&gt;0,((X73+Y73)/2),Y73)</f>
        <v/>
      </c>
      <c r="AB73" s="5">
        <f>IF((((Z73+AA73)/2)+(C73/(D73*((Z73+AA73)/2)))^2/(2*9.81)+B73-(G72+H72^2/(2*9.81))-(A72-A73)*(((DATOS!$B$34*(C73/(D73*((Z73+AA73)/2)))/((D73*((Z73+AA73)/2))/(D73+2*((Z73+AA73)/2)))^(2/3))^2+((DATOS!$B$34*H72/((D72*F72)/(D72+2*F72))^(2/3))^2))/2))&gt;0,Z73,((Z73+AA73)/2))</f>
        <v/>
      </c>
      <c r="AC73" s="5">
        <f>IF((((Z73+AA73)/2)+(C73/(D73*((Z73+AA73)/2)))^2/(2*9.81)+B73-(G72+H72^2/(2*9.81))-(A72-A73)*(((DATOS!$B$34*(C73/(D73*((Z73+AA73)/2)))/((D73*((Z73+AA73)/2))/(D73+2*((Z73+AA73)/2)))^(2/3))^2+((DATOS!$B$34*H72/((D72*F72)/(D72+2*F72))^(2/3))^2))/2))&gt;0,((Z73+AA73)/2),AA73)</f>
        <v/>
      </c>
      <c r="AD73" s="5">
        <f>IF((((AB73+AC73)/2)+(C73/(D73*((AB73+AC73)/2)))^2/(2*9.81)+B73-(G72+H72^2/(2*9.81))-(A72-A73)*(((DATOS!$B$34*(C73/(D73*((AB73+AC73)/2)))/((D73*((AB73+AC73)/2))/(D73+2*((AB73+AC73)/2)))^(2/3))^2+((DATOS!$B$34*H72/((D72*F72)/(D72+2*F72))^(2/3))^2))/2))&gt;0,AB73,((AB73+AC73)/2))</f>
        <v/>
      </c>
      <c r="AE73" s="5">
        <f>IF((((AB73+AC73)/2)+(C73/(D73*((AB73+AC73)/2)))^2/(2*9.81)+B73-(G72+H72^2/(2*9.81))-(A72-A73)*(((DATOS!$B$34*(C73/(D73*((AB73+AC73)/2)))/((D73*((AB73+AC73)/2))/(D73+2*((AB73+AC73)/2)))^(2/3))^2+((DATOS!$B$34*H72/((D72*F72)/(D72+2*F72))^(2/3))^2))/2))&gt;0,((AB73+AC73)/2),AC73)</f>
        <v/>
      </c>
      <c r="AF73" s="5">
        <f>IF((((AD73+AE73)/2)+(C73/(D73*((AD73+AE73)/2)))^2/(2*9.81)+B73-(G72+H72^2/(2*9.81))-(A72-A73)*(((DATOS!$B$34*(C73/(D73*((AD73+AE73)/2)))/((D73*((AD73+AE73)/2))/(D73+2*((AD73+AE73)/2)))^(2/3))^2+((DATOS!$B$34*H72/((D72*F72)/(D72+2*F72))^(2/3))^2))/2))&gt;0,AD73,((AD73+AE73)/2))</f>
        <v/>
      </c>
      <c r="AG73" s="5">
        <f>IF((((AD73+AE73)/2)+(C73/(D73*((AD73+AE73)/2)))^2/(2*9.81)+B73-(G72+H72^2/(2*9.81))-(A72-A73)*(((DATOS!$B$34*(C73/(D73*((AD73+AE73)/2)))/((D73*((AD73+AE73)/2))/(D73+2*((AD73+AE73)/2)))^(2/3))^2+((DATOS!$B$34*H72/((D72*F72)/(D72+2*F72))^(2/3))^2))/2))&gt;0,((AD73+AE73)/2),AE73)</f>
        <v/>
      </c>
      <c r="AH73" s="5">
        <f>IF((((AF73+AG73)/2)+(C73/(D73*((AF73+AG73)/2)))^2/(2*9.81)+B73-(G72+H72^2/(2*9.81))-(A72-A73)*(((DATOS!$B$34*(C73/(D73*((AF73+AG73)/2)))/((D73*((AF73+AG73)/2))/(D73+2*((AF73+AG73)/2)))^(2/3))^2+((DATOS!$B$34*H72/((D72*F72)/(D72+2*F72))^(2/3))^2))/2))&gt;0,AF73,((AF73+AG73)/2))</f>
        <v/>
      </c>
      <c r="AI73" s="5">
        <f>IF((((AF73+AG73)/2)+(C73/(D73*((AF73+AG73)/2)))^2/(2*9.81)+B73-(G72+H72^2/(2*9.81))-(A72-A73)*(((DATOS!$B$34*(C73/(D73*((AF73+AG73)/2)))/((D73*((AF73+AG73)/2))/(D73+2*((AF73+AG73)/2)))^(2/3))^2+((DATOS!$B$34*H72/((D72*F72)/(D72+2*F72))^(2/3))^2))/2))&gt;0,((AF73+AG73)/2),AG73)</f>
        <v/>
      </c>
      <c r="AJ73" s="5">
        <f>IF((((AH73+AI73)/2)+(C73/(D73*((AH73+AI73)/2)))^2/(2*9.81)+B73-(G72+H72^2/(2*9.81))-(A72-A73)*(((DATOS!$B$34*(C73/(D73*((AH73+AI73)/2)))/((D73*((AH73+AI73)/2))/(D73+2*((AH73+AI73)/2)))^(2/3))^2+((DATOS!$B$34*H72/((D72*F72)/(D72+2*F72))^(2/3))^2))/2))&gt;0,AH73,((AH73+AI73)/2))</f>
        <v/>
      </c>
      <c r="AK73" s="5">
        <f>IF((((AH73+AI73)/2)+(C73/(D73*((AH73+AI73)/2)))^2/(2*9.81)+B73-(G72+H72^2/(2*9.81))-(A72-A73)*(((DATOS!$B$34*(C73/(D73*((AH73+AI73)/2)))/((D73*((AH73+AI73)/2))/(D73+2*((AH73+AI73)/2)))^(2/3))^2+((DATOS!$B$34*H72/((D72*F72)/(D72+2*F72))^(2/3))^2))/2))&gt;0,((AH73+AI73)/2),AI73)</f>
        <v/>
      </c>
      <c r="AL73" s="5">
        <f>IF((((AJ73+AK73)/2)+(C73/(D73*((AJ73+AK73)/2)))^2/(2*9.81)+B73-(G72+H72^2/(2*9.81))-(A72-A73)*(((DATOS!$B$34*(C73/(D73*((AJ73+AK73)/2)))/((D73*((AJ73+AK73)/2))/(D73+2*((AJ73+AK73)/2)))^(2/3))^2+((DATOS!$B$34*H72/((D72*F72)/(D72+2*F72))^(2/3))^2))/2))&gt;0,AJ73,((AJ73+AK73)/2))</f>
        <v/>
      </c>
      <c r="AM73" s="5">
        <f>IF((((AJ73+AK73)/2)+(C73/(D73*((AJ73+AK73)/2)))^2/(2*9.81)+B73-(G72+H72^2/(2*9.81))-(A72-A73)*(((DATOS!$B$34*(C73/(D73*((AJ73+AK73)/2)))/((D73*((AJ73+AK73)/2))/(D73+2*((AJ73+AK73)/2)))^(2/3))^2+((DATOS!$B$34*H72/((D72*F72)/(D72+2*F72))^(2/3))^2))/2))&gt;0,((AJ73+AK73)/2),AK73)</f>
        <v/>
      </c>
      <c r="AN73" s="5">
        <f>IF((((AL73+AM73)/2)+(C73/(D73*((AL73+AM73)/2)))^2/(2*9.81)+B73-(G72+H72^2/(2*9.81))-(A72-A73)*(((DATOS!$B$34*(C73/(D73*((AL73+AM73)/2)))/((D73*((AL73+AM73)/2))/(D73+2*((AL73+AM73)/2)))^(2/3))^2+((DATOS!$B$34*H72/((D72*F72)/(D72+2*F72))^(2/3))^2))/2))&gt;0,AL73,((AL73+AM73)/2))</f>
        <v/>
      </c>
      <c r="AO73" s="5">
        <f>IF((((AL73+AM73)/2)+(C73/(D73*((AL73+AM73)/2)))^2/(2*9.81)+B73-(G72+H72^2/(2*9.81))-(A72-A73)*(((DATOS!$B$34*(C73/(D73*((AL73+AM73)/2)))/((D73*((AL73+AM73)/2))/(D73+2*((AL73+AM73)/2)))^(2/3))^2+((DATOS!$B$34*H72/((D72*F72)/(D72+2*F72))^(2/3))^2))/2))&gt;0,((AL73+AM73)/2),AM73)</f>
        <v/>
      </c>
      <c r="AP73" s="5">
        <f>IF((((AN73+AO73)/2)+(C73/(D73*((AN73+AO73)/2)))^2/(2*9.81)+B73-(G72+H72^2/(2*9.81))-(A72-A73)*(((DATOS!$B$34*(C73/(D73*((AN73+AO73)/2)))/((D73*((AN73+AO73)/2))/(D73+2*((AN73+AO73)/2)))^(2/3))^2+((DATOS!$B$34*H72/((D72*F72)/(D72+2*F72))^(2/3))^2))/2))&gt;0,AN73,((AN73+AO73)/2))</f>
        <v/>
      </c>
      <c r="AQ73" s="5">
        <f>IF((((AN73+AO73)/2)+(C73/(D73*((AN73+AO73)/2)))^2/(2*9.81)+B73-(G72+H72^2/(2*9.81))-(A72-A73)*(((DATOS!$B$34*(C73/(D73*((AN73+AO73)/2)))/((D73*((AN73+AO73)/2))/(D73+2*((AN73+AO73)/2)))^(2/3))^2+((DATOS!$B$34*H72/((D72*F72)/(D72+2*F72))^(2/3))^2))/2))&gt;0,((AN73+AO73)/2),AO73)</f>
        <v/>
      </c>
      <c r="AR73" s="5">
        <f>IF((((AP73+AQ73)/2)+(C73/(D73*((AP73+AQ73)/2)))^2/(2*9.81)+B73-(G72+H72^2/(2*9.81))-(A72-A73)*(((DATOS!$B$34*(C73/(D73*((AP73+AQ73)/2)))/((D73*((AP73+AQ73)/2))/(D73+2*((AP73+AQ73)/2)))^(2/3))^2+((DATOS!$B$34*H72/((D72*F72)/(D72+2*F72))^(2/3))^2))/2))&gt;0,AP73,((AP73+AQ73)/2))</f>
        <v/>
      </c>
      <c r="AS73" s="5">
        <f>IF((((AP73+AQ73)/2)+(C73/(D73*((AP73+AQ73)/2)))^2/(2*9.81)+B73-(G72+H72^2/(2*9.81))-(A72-A73)*(((DATOS!$B$34*(C73/(D73*((AP73+AQ73)/2)))/((D73*((AP73+AQ73)/2))/(D73+2*((AP73+AQ73)/2)))^(2/3))^2+((DATOS!$B$34*H72/((D72*F72)/(D72+2*F72))^(2/3))^2))/2))&gt;0,((AP73+AQ73)/2),AQ73)</f>
        <v/>
      </c>
      <c r="AT73" s="5">
        <f>IF((((AR73+AS73)/2)+(C73/(D73*((AR73+AS73)/2)))^2/(2*9.81)+B73-(G72+H72^2/(2*9.81))-(A72-A73)*(((DATOS!$B$34*(C73/(D73*((AR73+AS73)/2)))/((D73*((AR73+AS73)/2))/(D73+2*((AR73+AS73)/2)))^(2/3))^2+((DATOS!$B$34*H72/((D72*F72)/(D72+2*F72))^(2/3))^2))/2))&gt;0,AR73,((AR73+AS73)/2))</f>
        <v/>
      </c>
      <c r="AU73" s="5">
        <f>IF((((AR73+AS73)/2)+(C73/(D73*((AR73+AS73)/2)))^2/(2*9.81)+B73-(G72+H72^2/(2*9.81))-(A72-A73)*(((DATOS!$B$34*(C73/(D73*((AR73+AS73)/2)))/((D73*((AR73+AS73)/2))/(D73+2*((AR73+AS73)/2)))^(2/3))^2+((DATOS!$B$34*H72/((D72*F72)/(D72+2*F72))^(2/3))^2))/2))&gt;0,((AR73+AS73)/2),AS73)</f>
        <v/>
      </c>
      <c r="AV73" s="5">
        <f>IF((((AT73+AU73)/2)+(C73/(D73*((AT73+AU73)/2)))^2/(2*9.81)+B73-(G72+H72^2/(2*9.81))-(A72-A73)*(((DATOS!$B$34*(C73/(D73*((AT73+AU73)/2)))/((D73*((AT73+AU73)/2))/(D73+2*((AT73+AU73)/2)))^(2/3))^2+((DATOS!$B$34*H72/((D72*F72)/(D72+2*F72))^(2/3))^2))/2))&gt;0,AT73,((AT73+AU73)/2))</f>
        <v/>
      </c>
      <c r="AW73" s="5">
        <f>IF((((AT73+AU73)/2)+(C73/(D73*((AT73+AU73)/2)))^2/(2*9.81)+B73-(G72+H72^2/(2*9.81))-(A72-A73)*(((DATOS!$B$34*(C73/(D73*((AT73+AU73)/2)))/((D73*((AT73+AU73)/2))/(D73+2*((AT73+AU73)/2)))^(2/3))^2+((DATOS!$B$34*H72/((D72*F72)/(D72+2*F72))^(2/3))^2))/2))&gt;0,((AT73+AU73)/2),AU73)</f>
        <v/>
      </c>
      <c r="AX73" s="5">
        <f>IF((((AV73+AW73)/2)+(C73/(D73*((AV73+AW73)/2)))^2/(2*9.81)+B73-(G72+H72^2/(2*9.81))-(A72-A73)*(((DATOS!$B$34*(C73/(D73*((AV73+AW73)/2)))/((D73*((AV73+AW73)/2))/(D73+2*((AV73+AW73)/2)))^(2/3))^2+((DATOS!$B$34*H72/((D72*F72)/(D72+2*F72))^(2/3))^2))/2))&gt;0,AV73,((AV73+AW73)/2))</f>
        <v/>
      </c>
      <c r="AY73" s="5">
        <f>IF((((AV73+AW73)/2)+(C73/(D73*((AV73+AW73)/2)))^2/(2*9.81)+B73-(G72+H72^2/(2*9.81))-(A72-A73)*(((DATOS!$B$34*(C73/(D73*((AV73+AW73)/2)))/((D73*((AV73+AW73)/2))/(D73+2*((AV73+AW73)/2)))^(2/3))^2+((DATOS!$B$34*H72/((D72*F72)/(D72+2*F72))^(2/3))^2))/2))&gt;0,((AV73+AW73)/2),AW73)</f>
        <v/>
      </c>
      <c r="AZ73" s="5">
        <f>IF((((AX73+AY73)/2)+(C73/(D73*((AX73+AY73)/2)))^2/(2*9.81)+B73-(G72+H72^2/(2*9.81))-(A72-A73)*(((DATOS!$B$34*(C73/(D73*((AX73+AY73)/2)))/((D73*((AX73+AY73)/2))/(D73+2*((AX73+AY73)/2)))^(2/3))^2+((DATOS!$B$34*H72/((D72*F72)/(D72+2*F72))^(2/3))^2))/2))&gt;0,AX73,((AX73+AY73)/2))</f>
        <v/>
      </c>
      <c r="BA73" s="5">
        <f>IF((((AX73+AY73)/2)+(C73/(D73*((AX73+AY73)/2)))^2/(2*9.81)+B73-(G72+H72^2/(2*9.81))-(A72-A73)*(((DATOS!$B$34*(C73/(D73*((AX73+AY73)/2)))/((D73*((AX73+AY73)/2))/(D73+2*((AX73+AY73)/2)))^(2/3))^2+((DATOS!$B$34*H72/((D72*F72)/(D72+2*F72))^(2/3))^2))/2))&gt;0,((AX73+AY73)/2),AY73)</f>
        <v/>
      </c>
      <c r="BB73" s="5">
        <f>IF((((AZ73+BA73)/2)+(C73/(D73*((AZ73+BA73)/2)))^2/(2*9.81)+B73-(G72+H72^2/(2*9.81))-(A72-A73)*(((DATOS!$B$34*(C73/(D73*((AZ73+BA73)/2)))/((D73*((AZ73+BA73)/2))/(D73+2*((AZ73+BA73)/2)))^(2/3))^2+((DATOS!$B$34*H72/((D72*F72)/(D72+2*F72))^(2/3))^2))/2))&gt;0,AZ73,((AZ73+BA73)/2))</f>
        <v/>
      </c>
      <c r="BC73" s="5">
        <f>IF((((AZ73+BA73)/2)+(C73/(D73*((AZ73+BA73)/2)))^2/(2*9.81)+B73-(G72+H72^2/(2*9.81))-(A72-A73)*(((DATOS!$B$34*(C73/(D73*((AZ73+BA73)/2)))/((D73*((AZ73+BA73)/2))/(D73+2*((AZ73+BA73)/2)))^(2/3))^2+((DATOS!$B$34*H72/((D72*F72)/(D72+2*F72))^(2/3))^2))/2))&gt;0,((AZ73+BA73)/2),BA73)</f>
        <v/>
      </c>
      <c r="BD73" s="5">
        <f>IF((((BB73+BC73)/2)+(C73/(D73*((BB73+BC73)/2)))^2/(2*9.81)+B73-(G72+H72^2/(2*9.81))-(A72-A73)*(((DATOS!$B$34*(C73/(D73*((BB73+BC73)/2)))/((D73*((BB73+BC73)/2))/(D73+2*((BB73+BC73)/2)))^(2/3))^2+((DATOS!$B$34*H72/((D72*F72)/(D72+2*F72))^(2/3))^2))/2))&gt;0,BB73,((BB73+BC73)/2))</f>
        <v/>
      </c>
      <c r="BE73" s="5">
        <f>IF((((BB73+BC73)/2)+(C73/(D73*((BB73+BC73)/2)))^2/(2*9.81)+B73-(G72+H72^2/(2*9.81))-(A72-A73)*(((DATOS!$B$34*(C73/(D73*((BB73+BC73)/2)))/((D73*((BB73+BC73)/2))/(D73+2*((BB73+BC73)/2)))^(2/3))^2+((DATOS!$B$34*H72/((D72*F72)/(D72+2*F72))^(2/3))^2))/2))&gt;0,((BB73+BC73)/2),BC73)</f>
        <v/>
      </c>
      <c r="BF73" s="5">
        <f>IF((((BD73+BE73)/2)+(C73/(D73*((BD73+BE73)/2)))^2/(2*9.81)+B73-(G72+H72^2/(2*9.81))-(A72-A73)*(((DATOS!$B$34*(C73/(D73*((BD73+BE73)/2)))/((D73*((BD73+BE73)/2))/(D73+2*((BD73+BE73)/2)))^(2/3))^2+((DATOS!$B$34*H72/((D72*F72)/(D72+2*F72))^(2/3))^2))/2))&gt;0,BD73,((BD73+BE73)/2))</f>
        <v/>
      </c>
      <c r="BG73" s="5">
        <f>IF((((BD73+BE73)/2)+(C73/(D73*((BD73+BE73)/2)))^2/(2*9.81)+B73-(G72+H72^2/(2*9.81))-(A72-A73)*(((DATOS!$B$34*(C73/(D73*((BD73+BE73)/2)))/((D73*((BD73+BE73)/2))/(D73+2*((BD73+BE73)/2)))^(2/3))^2+((DATOS!$B$34*H72/((D72*F72)/(D72+2*F72))^(2/3))^2))/2))&gt;0,((BD73+BE73)/2),BE73)</f>
        <v/>
      </c>
      <c r="BH73" s="5">
        <f>IF((((BF73+BG73)/2)+(C73/(D73*((BF73+BG73)/2)))^2/(2*9.81)+B73-(G72+H72^2/(2*9.81))-(A72-A73)*(((DATOS!$B$34*(C73/(D73*((BF73+BG73)/2)))/((D73*((BF73+BG73)/2))/(D73+2*((BF73+BG73)/2)))^(2/3))^2+((DATOS!$B$34*H72/((D72*F72)/(D72+2*F72))^(2/3))^2))/2))&gt;0,BF73,((BF73+BG73)/2))</f>
        <v/>
      </c>
      <c r="BI73" s="5">
        <f>IF((((BF73+BG73)/2)+(C73/(D73*((BF73+BG73)/2)))^2/(2*9.81)+B73-(G72+H72^2/(2*9.81))-(A72-A73)*(((DATOS!$B$34*(C73/(D73*((BF73+BG73)/2)))/((D73*((BF73+BG73)/2))/(D73+2*((BF73+BG73)/2)))^(2/3))^2+((DATOS!$B$34*H72/((D72*F72)/(D72+2*F72))^(2/3))^2))/2))&gt;0,((BF73+BG73)/2),BG73)</f>
        <v/>
      </c>
      <c r="BJ73" s="5">
        <f>IF((((BH73+BI73)/2)+(C73/(D73*((BH73+BI73)/2)))^2/(2*9.81)+B73-(G72+H72^2/(2*9.81))-(A72-A73)*(((DATOS!$B$34*(C73/(D73*((BH73+BI73)/2)))/((D73*((BH73+BI73)/2))/(D73+2*((BH73+BI73)/2)))^(2/3))^2+((DATOS!$B$34*H72/((D72*F72)/(D72+2*F72))^(2/3))^2))/2))&gt;0,BH73,((BH73+BI73)/2))</f>
        <v/>
      </c>
      <c r="BK73" s="5">
        <f>IF((((BH73+BI73)/2)+(C73/(D73*((BH73+BI73)/2)))^2/(2*9.81)+B73-(G72+H72^2/(2*9.81))-(A72-A73)*(((DATOS!$B$34*(C73/(D73*((BH73+BI73)/2)))/((D73*((BH73+BI73)/2))/(D73+2*((BH73+BI73)/2)))^(2/3))^2+((DATOS!$B$34*H72/((D72*F72)/(D72+2*F72))^(2/3))^2))/2))&gt;0,((BH73+BI73)/2),BI73)</f>
        <v/>
      </c>
      <c r="BL73" s="5">
        <f>IF((((BJ73+BK73)/2)+(C73/(D73*((BJ73+BK73)/2)))^2/(2*9.81)+B73-(G72+H72^2/(2*9.81))-(A72-A73)*(((DATOS!$B$34*(C73/(D73*((BJ73+BK73)/2)))/((D73*((BJ73+BK73)/2))/(D73+2*((BJ73+BK73)/2)))^(2/3))^2+((DATOS!$B$34*H72/((D72*F72)/(D72+2*F72))^(2/3))^2))/2))&gt;0,BJ73,((BJ73+BK73)/2))</f>
        <v/>
      </c>
      <c r="BM73" s="5">
        <f>IF((((BJ73+BK73)/2)+(C73/(D73*((BJ73+BK73)/2)))^2/(2*9.81)+B73-(G72+H72^2/(2*9.81))-(A72-A73)*(((DATOS!$B$34*(C73/(D73*((BJ73+BK73)/2)))/((D73*((BJ73+BK73)/2))/(D73+2*((BJ73+BK73)/2)))^(2/3))^2+((DATOS!$B$34*H72/((D72*F72)/(D72+2*F72))^(2/3))^2))/2))&gt;0,((BJ73+BK73)/2),BK73)</f>
        <v/>
      </c>
      <c r="BN73" s="5">
        <f>IF((((BL73+BM73)/2)+(C73/(D73*((BL73+BM73)/2)))^2/(2*9.81)+B73-(G72+H72^2/(2*9.81))-(A72-A73)*(((DATOS!$B$34*(C73/(D73*((BL73+BM73)/2)))/((D73*((BL73+BM73)/2))/(D73+2*((BL73+BM73)/2)))^(2/3))^2+((DATOS!$B$34*H72/((D72*F72)/(D72+2*F72))^(2/3))^2))/2))&gt;0,BL73,((BL73+BM73)/2))</f>
        <v/>
      </c>
      <c r="BO73" s="5">
        <f>IF((((BL73+BM73)/2)+(C73/(D73*((BL73+BM73)/2)))^2/(2*9.81)+B73-(G72+H72^2/(2*9.81))-(A72-A73)*(((DATOS!$B$34*(C73/(D73*((BL73+BM73)/2)))/((D73*((BL73+BM73)/2))/(D73+2*((BL73+BM73)/2)))^(2/3))^2+((DATOS!$B$34*H72/((D72*F72)/(D72+2*F72))^(2/3))^2))/2))&gt;0,((BL73+BM73)/2),BM73)</f>
        <v/>
      </c>
      <c r="BP73" s="5">
        <f>IF((((BN73+BO73)/2)+(C73/(D73*((BN73+BO73)/2)))^2/(2*9.81)+B73-(G72+H72^2/(2*9.81))-(A72-A73)*(((DATOS!$B$34*(C73/(D73*((BN73+BO73)/2)))/((D73*((BN73+BO73)/2))/(D73+2*((BN73+BO73)/2)))^(2/3))^2+((DATOS!$B$34*H72/((D72*F72)/(D72+2*F72))^(2/3))^2))/2))&gt;0,BN73,((BN73+BO73)/2))</f>
        <v/>
      </c>
      <c r="BQ73" s="5">
        <f>IF((((BN73+BO73)/2)+(C73/(D73*((BN73+BO73)/2)))^2/(2*9.81)+B73-(G72+H72^2/(2*9.81))-(A72-A73)*(((DATOS!$B$34*(C73/(D73*((BN73+BO73)/2)))/((D73*((BN73+BO73)/2))/(D73+2*((BN73+BO73)/2)))^(2/3))^2+((DATOS!$B$34*H72/((D72*F72)/(D72+2*F72))^(2/3))^2))/2))&gt;0,((BN73+BO73)/2),BO73)</f>
        <v/>
      </c>
      <c r="BR73" s="5">
        <f>IF((((BP73+BQ73)/2)+(C73/(D73*((BP73+BQ73)/2)))^2/(2*9.81)+B73-(G72+H72^2/(2*9.81))-(A72-A73)*(((DATOS!$B$34*(C73/(D73*((BP73+BQ73)/2)))/((D73*((BP73+BQ73)/2))/(D73+2*((BP73+BQ73)/2)))^(2/3))^2+((DATOS!$B$34*H72/((D72*F72)/(D72+2*F72))^(2/3))^2))/2))&gt;0,BP73,((BP73+BQ73)/2))</f>
        <v/>
      </c>
      <c r="BS73" s="5">
        <f>IF((((BP73+BQ73)/2)+(C73/(D73*((BP73+BQ73)/2)))^2/(2*9.81)+B73-(G72+H72^2/(2*9.81))-(A72-A73)*(((DATOS!$B$34*(C73/(D73*((BP73+BQ73)/2)))/((D73*((BP73+BQ73)/2))/(D73+2*((BP73+BQ73)/2)))^(2/3))^2+((DATOS!$B$34*H72/((D72*F72)/(D72+2*F72))^(2/3))^2))/2))&gt;0,((BP73+BQ73)/2),BQ73)</f>
        <v/>
      </c>
      <c r="BT73" s="5">
        <f>IF((((BR73+BS73)/2)+(C73/(D73*((BR73+BS73)/2)))^2/(2*9.81)+B73-(G72+H72^2/(2*9.81))-(A72-A73)*(((DATOS!$B$34*(C73/(D73*((BR73+BS73)/2)))/((D73*((BR73+BS73)/2))/(D73+2*((BR73+BS73)/2)))^(2/3))^2+((DATOS!$B$34*H72/((D72*F72)/(D72+2*F72))^(2/3))^2))/2))&gt;0,BR73,((BR73+BS73)/2))</f>
        <v/>
      </c>
      <c r="BU73" s="5">
        <f>IF((((BR73+BS73)/2)+(C73/(D73*((BR73+BS73)/2)))^2/(2*9.81)+B73-(G72+H72^2/(2*9.81))-(A72-A73)*(((DATOS!$B$34*(C73/(D73*((BR73+BS73)/2)))/((D73*((BR73+BS73)/2))/(D73+2*((BR73+BS73)/2)))^(2/3))^2+((DATOS!$B$34*H72/((D72*F72)/(D72+2*F72))^(2/3))^2))/2))&gt;0,((BR73+BS73)/2),BS73)</f>
        <v/>
      </c>
      <c r="BV73" s="5">
        <f>IF((((BT73+BU73)/2)+(C73/(D73*((BT73+BU73)/2)))^2/(2*9.81)+B73-(G72+H72^2/(2*9.81))-(A72-A73)*(((DATOS!$B$34*(C73/(D73*((BT73+BU73)/2)))/((D73*((BT73+BU73)/2))/(D73+2*((BT73+BU73)/2)))^(2/3))^2+((DATOS!$B$34*H72/((D72*F72)/(D72+2*F72))^(2/3))^2))/2))&gt;0,BT73,((BT73+BU73)/2))</f>
        <v/>
      </c>
      <c r="BW73" s="5">
        <f>IF((((BT73+BU73)/2)+(C73/(D73*((BT73+BU73)/2)))^2/(2*9.81)+B73-(G72+H72^2/(2*9.81))-(A72-A73)*(((DATOS!$B$34*(C73/(D73*((BT73+BU73)/2)))/((D73*((BT73+BU73)/2))/(D73+2*((BT73+BU73)/2)))^(2/3))^2+((DATOS!$B$34*H72/((D72*F72)/(D72+2*F72))^(2/3))^2))/2))&gt;0,((BT73+BU73)/2),BU73)</f>
        <v/>
      </c>
    </row>
    <row r="74">
      <c r="A74" s="13" t="n">
        <v>14</v>
      </c>
      <c r="B74" s="16">
        <f>DATOS!$B$22-DATOS!$B$23*A74</f>
        <v/>
      </c>
      <c r="C74" s="24">
        <f>CAUDALES!$B$13</f>
        <v/>
      </c>
      <c r="D74" s="17">
        <f>DATOS!$B$17</f>
        <v/>
      </c>
      <c r="E74" s="16">
        <f>(C74^2/(9.81*D74^2))^(1/3)</f>
        <v/>
      </c>
      <c r="F74" s="16">
        <f>(BV74+BW74)/2</f>
        <v/>
      </c>
      <c r="G74" s="16">
        <f>B74+F74</f>
        <v/>
      </c>
      <c r="H74" s="19">
        <f>C74/(D74*F74)</f>
        <v/>
      </c>
      <c r="I74" s="19">
        <f>H74/SQRT(9.81*F74)</f>
        <v/>
      </c>
      <c r="J74" s="16">
        <f>DATOS!$B$29-IF(AND(A74&gt;=DATOS!$B$30,A74&lt;DATOS!$B$31),DATOS!$B$21,DATOS!$B$20)</f>
        <v/>
      </c>
      <c r="K74" s="19">
        <f>J74-B74</f>
        <v/>
      </c>
      <c r="L74" s="19">
        <f>F74/K74</f>
        <v/>
      </c>
      <c r="M74" s="16">
        <f>J74-G74</f>
        <v/>
      </c>
      <c r="N74" s="5">
        <f>IF(AND(L74&lt;=DATOS!$B$36,M74&gt;=DATOS!$B$37,I74&lt;=1),"CUMPLE","NO CUMPLE")</f>
        <v/>
      </c>
      <c r="O74" s="5">
        <f>IF(AND(A74&gt;=DATOS!$B$30,A74&lt;DATOS!$B$31),"cruce de camiones",IF(AND(A74&gt;=DATOS!$B$32,A74&lt;DATOS!$B$33),"cruce de motos","tramo normal"))</f>
        <v/>
      </c>
      <c r="P74" s="5">
        <f>E74*1.001</f>
        <v/>
      </c>
      <c r="Q74" s="13" t="n">
        <v>3</v>
      </c>
      <c r="R74" s="5">
        <f>IF((((P74+Q74)/2)+(C74/(D74*((P74+Q74)/2)))^2/(2*9.81)+B74-(G73+H73^2/(2*9.81))-(A73-A74)*(((DATOS!$B$34*(C74/(D74*((P74+Q74)/2)))/((D74*((P74+Q74)/2))/(D74+2*((P74+Q74)/2)))^(2/3))^2+((DATOS!$B$34*H73/((D73*F73)/(D73+2*F73))^(2/3))^2))/2))&gt;0,P74,((P74+Q74)/2))</f>
        <v/>
      </c>
      <c r="S74" s="5">
        <f>IF((((P74+Q74)/2)+(C74/(D74*((P74+Q74)/2)))^2/(2*9.81)+B74-(G73+H73^2/(2*9.81))-(A73-A74)*(((DATOS!$B$34*(C74/(D74*((P74+Q74)/2)))/((D74*((P74+Q74)/2))/(D74+2*((P74+Q74)/2)))^(2/3))^2+((DATOS!$B$34*H73/((D73*F73)/(D73+2*F73))^(2/3))^2))/2))&gt;0,((P74+Q74)/2),Q74)</f>
        <v/>
      </c>
      <c r="T74" s="5">
        <f>IF((((R74+S74)/2)+(C74/(D74*((R74+S74)/2)))^2/(2*9.81)+B74-(G73+H73^2/(2*9.81))-(A73-A74)*(((DATOS!$B$34*(C74/(D74*((R74+S74)/2)))/((D74*((R74+S74)/2))/(D74+2*((R74+S74)/2)))^(2/3))^2+((DATOS!$B$34*H73/((D73*F73)/(D73+2*F73))^(2/3))^2))/2))&gt;0,R74,((R74+S74)/2))</f>
        <v/>
      </c>
      <c r="U74" s="5">
        <f>IF((((R74+S74)/2)+(C74/(D74*((R74+S74)/2)))^2/(2*9.81)+B74-(G73+H73^2/(2*9.81))-(A73-A74)*(((DATOS!$B$34*(C74/(D74*((R74+S74)/2)))/((D74*((R74+S74)/2))/(D74+2*((R74+S74)/2)))^(2/3))^2+((DATOS!$B$34*H73/((D73*F73)/(D73+2*F73))^(2/3))^2))/2))&gt;0,((R74+S74)/2),S74)</f>
        <v/>
      </c>
      <c r="V74" s="5">
        <f>IF((((T74+U74)/2)+(C74/(D74*((T74+U74)/2)))^2/(2*9.81)+B74-(G73+H73^2/(2*9.81))-(A73-A74)*(((DATOS!$B$34*(C74/(D74*((T74+U74)/2)))/((D74*((T74+U74)/2))/(D74+2*((T74+U74)/2)))^(2/3))^2+((DATOS!$B$34*H73/((D73*F73)/(D73+2*F73))^(2/3))^2))/2))&gt;0,T74,((T74+U74)/2))</f>
        <v/>
      </c>
      <c r="W74" s="5">
        <f>IF((((T74+U74)/2)+(C74/(D74*((T74+U74)/2)))^2/(2*9.81)+B74-(G73+H73^2/(2*9.81))-(A73-A74)*(((DATOS!$B$34*(C74/(D74*((T74+U74)/2)))/((D74*((T74+U74)/2))/(D74+2*((T74+U74)/2)))^(2/3))^2+((DATOS!$B$34*H73/((D73*F73)/(D73+2*F73))^(2/3))^2))/2))&gt;0,((T74+U74)/2),U74)</f>
        <v/>
      </c>
      <c r="X74" s="5">
        <f>IF((((V74+W74)/2)+(C74/(D74*((V74+W74)/2)))^2/(2*9.81)+B74-(G73+H73^2/(2*9.81))-(A73-A74)*(((DATOS!$B$34*(C74/(D74*((V74+W74)/2)))/((D74*((V74+W74)/2))/(D74+2*((V74+W74)/2)))^(2/3))^2+((DATOS!$B$34*H73/((D73*F73)/(D73+2*F73))^(2/3))^2))/2))&gt;0,V74,((V74+W74)/2))</f>
        <v/>
      </c>
      <c r="Y74" s="5">
        <f>IF((((V74+W74)/2)+(C74/(D74*((V74+W74)/2)))^2/(2*9.81)+B74-(G73+H73^2/(2*9.81))-(A73-A74)*(((DATOS!$B$34*(C74/(D74*((V74+W74)/2)))/((D74*((V74+W74)/2))/(D74+2*((V74+W74)/2)))^(2/3))^2+((DATOS!$B$34*H73/((D73*F73)/(D73+2*F73))^(2/3))^2))/2))&gt;0,((V74+W74)/2),W74)</f>
        <v/>
      </c>
      <c r="Z74" s="5">
        <f>IF((((X74+Y74)/2)+(C74/(D74*((X74+Y74)/2)))^2/(2*9.81)+B74-(G73+H73^2/(2*9.81))-(A73-A74)*(((DATOS!$B$34*(C74/(D74*((X74+Y74)/2)))/((D74*((X74+Y74)/2))/(D74+2*((X74+Y74)/2)))^(2/3))^2+((DATOS!$B$34*H73/((D73*F73)/(D73+2*F73))^(2/3))^2))/2))&gt;0,X74,((X74+Y74)/2))</f>
        <v/>
      </c>
      <c r="AA74" s="5">
        <f>IF((((X74+Y74)/2)+(C74/(D74*((X74+Y74)/2)))^2/(2*9.81)+B74-(G73+H73^2/(2*9.81))-(A73-A74)*(((DATOS!$B$34*(C74/(D74*((X74+Y74)/2)))/((D74*((X74+Y74)/2))/(D74+2*((X74+Y74)/2)))^(2/3))^2+((DATOS!$B$34*H73/((D73*F73)/(D73+2*F73))^(2/3))^2))/2))&gt;0,((X74+Y74)/2),Y74)</f>
        <v/>
      </c>
      <c r="AB74" s="5">
        <f>IF((((Z74+AA74)/2)+(C74/(D74*((Z74+AA74)/2)))^2/(2*9.81)+B74-(G73+H73^2/(2*9.81))-(A73-A74)*(((DATOS!$B$34*(C74/(D74*((Z74+AA74)/2)))/((D74*((Z74+AA74)/2))/(D74+2*((Z74+AA74)/2)))^(2/3))^2+((DATOS!$B$34*H73/((D73*F73)/(D73+2*F73))^(2/3))^2))/2))&gt;0,Z74,((Z74+AA74)/2))</f>
        <v/>
      </c>
      <c r="AC74" s="5">
        <f>IF((((Z74+AA74)/2)+(C74/(D74*((Z74+AA74)/2)))^2/(2*9.81)+B74-(G73+H73^2/(2*9.81))-(A73-A74)*(((DATOS!$B$34*(C74/(D74*((Z74+AA74)/2)))/((D74*((Z74+AA74)/2))/(D74+2*((Z74+AA74)/2)))^(2/3))^2+((DATOS!$B$34*H73/((D73*F73)/(D73+2*F73))^(2/3))^2))/2))&gt;0,((Z74+AA74)/2),AA74)</f>
        <v/>
      </c>
      <c r="AD74" s="5">
        <f>IF((((AB74+AC74)/2)+(C74/(D74*((AB74+AC74)/2)))^2/(2*9.81)+B74-(G73+H73^2/(2*9.81))-(A73-A74)*(((DATOS!$B$34*(C74/(D74*((AB74+AC74)/2)))/((D74*((AB74+AC74)/2))/(D74+2*((AB74+AC74)/2)))^(2/3))^2+((DATOS!$B$34*H73/((D73*F73)/(D73+2*F73))^(2/3))^2))/2))&gt;0,AB74,((AB74+AC74)/2))</f>
        <v/>
      </c>
      <c r="AE74" s="5">
        <f>IF((((AB74+AC74)/2)+(C74/(D74*((AB74+AC74)/2)))^2/(2*9.81)+B74-(G73+H73^2/(2*9.81))-(A73-A74)*(((DATOS!$B$34*(C74/(D74*((AB74+AC74)/2)))/((D74*((AB74+AC74)/2))/(D74+2*((AB74+AC74)/2)))^(2/3))^2+((DATOS!$B$34*H73/((D73*F73)/(D73+2*F73))^(2/3))^2))/2))&gt;0,((AB74+AC74)/2),AC74)</f>
        <v/>
      </c>
      <c r="AF74" s="5">
        <f>IF((((AD74+AE74)/2)+(C74/(D74*((AD74+AE74)/2)))^2/(2*9.81)+B74-(G73+H73^2/(2*9.81))-(A73-A74)*(((DATOS!$B$34*(C74/(D74*((AD74+AE74)/2)))/((D74*((AD74+AE74)/2))/(D74+2*((AD74+AE74)/2)))^(2/3))^2+((DATOS!$B$34*H73/((D73*F73)/(D73+2*F73))^(2/3))^2))/2))&gt;0,AD74,((AD74+AE74)/2))</f>
        <v/>
      </c>
      <c r="AG74" s="5">
        <f>IF((((AD74+AE74)/2)+(C74/(D74*((AD74+AE74)/2)))^2/(2*9.81)+B74-(G73+H73^2/(2*9.81))-(A73-A74)*(((DATOS!$B$34*(C74/(D74*((AD74+AE74)/2)))/((D74*((AD74+AE74)/2))/(D74+2*((AD74+AE74)/2)))^(2/3))^2+((DATOS!$B$34*H73/((D73*F73)/(D73+2*F73))^(2/3))^2))/2))&gt;0,((AD74+AE74)/2),AE74)</f>
        <v/>
      </c>
      <c r="AH74" s="5">
        <f>IF((((AF74+AG74)/2)+(C74/(D74*((AF74+AG74)/2)))^2/(2*9.81)+B74-(G73+H73^2/(2*9.81))-(A73-A74)*(((DATOS!$B$34*(C74/(D74*((AF74+AG74)/2)))/((D74*((AF74+AG74)/2))/(D74+2*((AF74+AG74)/2)))^(2/3))^2+((DATOS!$B$34*H73/((D73*F73)/(D73+2*F73))^(2/3))^2))/2))&gt;0,AF74,((AF74+AG74)/2))</f>
        <v/>
      </c>
      <c r="AI74" s="5">
        <f>IF((((AF74+AG74)/2)+(C74/(D74*((AF74+AG74)/2)))^2/(2*9.81)+B74-(G73+H73^2/(2*9.81))-(A73-A74)*(((DATOS!$B$34*(C74/(D74*((AF74+AG74)/2)))/((D74*((AF74+AG74)/2))/(D74+2*((AF74+AG74)/2)))^(2/3))^2+((DATOS!$B$34*H73/((D73*F73)/(D73+2*F73))^(2/3))^2))/2))&gt;0,((AF74+AG74)/2),AG74)</f>
        <v/>
      </c>
      <c r="AJ74" s="5">
        <f>IF((((AH74+AI74)/2)+(C74/(D74*((AH74+AI74)/2)))^2/(2*9.81)+B74-(G73+H73^2/(2*9.81))-(A73-A74)*(((DATOS!$B$34*(C74/(D74*((AH74+AI74)/2)))/((D74*((AH74+AI74)/2))/(D74+2*((AH74+AI74)/2)))^(2/3))^2+((DATOS!$B$34*H73/((D73*F73)/(D73+2*F73))^(2/3))^2))/2))&gt;0,AH74,((AH74+AI74)/2))</f>
        <v/>
      </c>
      <c r="AK74" s="5">
        <f>IF((((AH74+AI74)/2)+(C74/(D74*((AH74+AI74)/2)))^2/(2*9.81)+B74-(G73+H73^2/(2*9.81))-(A73-A74)*(((DATOS!$B$34*(C74/(D74*((AH74+AI74)/2)))/((D74*((AH74+AI74)/2))/(D74+2*((AH74+AI74)/2)))^(2/3))^2+((DATOS!$B$34*H73/((D73*F73)/(D73+2*F73))^(2/3))^2))/2))&gt;0,((AH74+AI74)/2),AI74)</f>
        <v/>
      </c>
      <c r="AL74" s="5">
        <f>IF((((AJ74+AK74)/2)+(C74/(D74*((AJ74+AK74)/2)))^2/(2*9.81)+B74-(G73+H73^2/(2*9.81))-(A73-A74)*(((DATOS!$B$34*(C74/(D74*((AJ74+AK74)/2)))/((D74*((AJ74+AK74)/2))/(D74+2*((AJ74+AK74)/2)))^(2/3))^2+((DATOS!$B$34*H73/((D73*F73)/(D73+2*F73))^(2/3))^2))/2))&gt;0,AJ74,((AJ74+AK74)/2))</f>
        <v/>
      </c>
      <c r="AM74" s="5">
        <f>IF((((AJ74+AK74)/2)+(C74/(D74*((AJ74+AK74)/2)))^2/(2*9.81)+B74-(G73+H73^2/(2*9.81))-(A73-A74)*(((DATOS!$B$34*(C74/(D74*((AJ74+AK74)/2)))/((D74*((AJ74+AK74)/2))/(D74+2*((AJ74+AK74)/2)))^(2/3))^2+((DATOS!$B$34*H73/((D73*F73)/(D73+2*F73))^(2/3))^2))/2))&gt;0,((AJ74+AK74)/2),AK74)</f>
        <v/>
      </c>
      <c r="AN74" s="5">
        <f>IF((((AL74+AM74)/2)+(C74/(D74*((AL74+AM74)/2)))^2/(2*9.81)+B74-(G73+H73^2/(2*9.81))-(A73-A74)*(((DATOS!$B$34*(C74/(D74*((AL74+AM74)/2)))/((D74*((AL74+AM74)/2))/(D74+2*((AL74+AM74)/2)))^(2/3))^2+((DATOS!$B$34*H73/((D73*F73)/(D73+2*F73))^(2/3))^2))/2))&gt;0,AL74,((AL74+AM74)/2))</f>
        <v/>
      </c>
      <c r="AO74" s="5">
        <f>IF((((AL74+AM74)/2)+(C74/(D74*((AL74+AM74)/2)))^2/(2*9.81)+B74-(G73+H73^2/(2*9.81))-(A73-A74)*(((DATOS!$B$34*(C74/(D74*((AL74+AM74)/2)))/((D74*((AL74+AM74)/2))/(D74+2*((AL74+AM74)/2)))^(2/3))^2+((DATOS!$B$34*H73/((D73*F73)/(D73+2*F73))^(2/3))^2))/2))&gt;0,((AL74+AM74)/2),AM74)</f>
        <v/>
      </c>
      <c r="AP74" s="5">
        <f>IF((((AN74+AO74)/2)+(C74/(D74*((AN74+AO74)/2)))^2/(2*9.81)+B74-(G73+H73^2/(2*9.81))-(A73-A74)*(((DATOS!$B$34*(C74/(D74*((AN74+AO74)/2)))/((D74*((AN74+AO74)/2))/(D74+2*((AN74+AO74)/2)))^(2/3))^2+((DATOS!$B$34*H73/((D73*F73)/(D73+2*F73))^(2/3))^2))/2))&gt;0,AN74,((AN74+AO74)/2))</f>
        <v/>
      </c>
      <c r="AQ74" s="5">
        <f>IF((((AN74+AO74)/2)+(C74/(D74*((AN74+AO74)/2)))^2/(2*9.81)+B74-(G73+H73^2/(2*9.81))-(A73-A74)*(((DATOS!$B$34*(C74/(D74*((AN74+AO74)/2)))/((D74*((AN74+AO74)/2))/(D74+2*((AN74+AO74)/2)))^(2/3))^2+((DATOS!$B$34*H73/((D73*F73)/(D73+2*F73))^(2/3))^2))/2))&gt;0,((AN74+AO74)/2),AO74)</f>
        <v/>
      </c>
      <c r="AR74" s="5">
        <f>IF((((AP74+AQ74)/2)+(C74/(D74*((AP74+AQ74)/2)))^2/(2*9.81)+B74-(G73+H73^2/(2*9.81))-(A73-A74)*(((DATOS!$B$34*(C74/(D74*((AP74+AQ74)/2)))/((D74*((AP74+AQ74)/2))/(D74+2*((AP74+AQ74)/2)))^(2/3))^2+((DATOS!$B$34*H73/((D73*F73)/(D73+2*F73))^(2/3))^2))/2))&gt;0,AP74,((AP74+AQ74)/2))</f>
        <v/>
      </c>
      <c r="AS74" s="5">
        <f>IF((((AP74+AQ74)/2)+(C74/(D74*((AP74+AQ74)/2)))^2/(2*9.81)+B74-(G73+H73^2/(2*9.81))-(A73-A74)*(((DATOS!$B$34*(C74/(D74*((AP74+AQ74)/2)))/((D74*((AP74+AQ74)/2))/(D74+2*((AP74+AQ74)/2)))^(2/3))^2+((DATOS!$B$34*H73/((D73*F73)/(D73+2*F73))^(2/3))^2))/2))&gt;0,((AP74+AQ74)/2),AQ74)</f>
        <v/>
      </c>
      <c r="AT74" s="5">
        <f>IF((((AR74+AS74)/2)+(C74/(D74*((AR74+AS74)/2)))^2/(2*9.81)+B74-(G73+H73^2/(2*9.81))-(A73-A74)*(((DATOS!$B$34*(C74/(D74*((AR74+AS74)/2)))/((D74*((AR74+AS74)/2))/(D74+2*((AR74+AS74)/2)))^(2/3))^2+((DATOS!$B$34*H73/((D73*F73)/(D73+2*F73))^(2/3))^2))/2))&gt;0,AR74,((AR74+AS74)/2))</f>
        <v/>
      </c>
      <c r="AU74" s="5">
        <f>IF((((AR74+AS74)/2)+(C74/(D74*((AR74+AS74)/2)))^2/(2*9.81)+B74-(G73+H73^2/(2*9.81))-(A73-A74)*(((DATOS!$B$34*(C74/(D74*((AR74+AS74)/2)))/((D74*((AR74+AS74)/2))/(D74+2*((AR74+AS74)/2)))^(2/3))^2+((DATOS!$B$34*H73/((D73*F73)/(D73+2*F73))^(2/3))^2))/2))&gt;0,((AR74+AS74)/2),AS74)</f>
        <v/>
      </c>
      <c r="AV74" s="5">
        <f>IF((((AT74+AU74)/2)+(C74/(D74*((AT74+AU74)/2)))^2/(2*9.81)+B74-(G73+H73^2/(2*9.81))-(A73-A74)*(((DATOS!$B$34*(C74/(D74*((AT74+AU74)/2)))/((D74*((AT74+AU74)/2))/(D74+2*((AT74+AU74)/2)))^(2/3))^2+((DATOS!$B$34*H73/((D73*F73)/(D73+2*F73))^(2/3))^2))/2))&gt;0,AT74,((AT74+AU74)/2))</f>
        <v/>
      </c>
      <c r="AW74" s="5">
        <f>IF((((AT74+AU74)/2)+(C74/(D74*((AT74+AU74)/2)))^2/(2*9.81)+B74-(G73+H73^2/(2*9.81))-(A73-A74)*(((DATOS!$B$34*(C74/(D74*((AT74+AU74)/2)))/((D74*((AT74+AU74)/2))/(D74+2*((AT74+AU74)/2)))^(2/3))^2+((DATOS!$B$34*H73/((D73*F73)/(D73+2*F73))^(2/3))^2))/2))&gt;0,((AT74+AU74)/2),AU74)</f>
        <v/>
      </c>
      <c r="AX74" s="5">
        <f>IF((((AV74+AW74)/2)+(C74/(D74*((AV74+AW74)/2)))^2/(2*9.81)+B74-(G73+H73^2/(2*9.81))-(A73-A74)*(((DATOS!$B$34*(C74/(D74*((AV74+AW74)/2)))/((D74*((AV74+AW74)/2))/(D74+2*((AV74+AW74)/2)))^(2/3))^2+((DATOS!$B$34*H73/((D73*F73)/(D73+2*F73))^(2/3))^2))/2))&gt;0,AV74,((AV74+AW74)/2))</f>
        <v/>
      </c>
      <c r="AY74" s="5">
        <f>IF((((AV74+AW74)/2)+(C74/(D74*((AV74+AW74)/2)))^2/(2*9.81)+B74-(G73+H73^2/(2*9.81))-(A73-A74)*(((DATOS!$B$34*(C74/(D74*((AV74+AW74)/2)))/((D74*((AV74+AW74)/2))/(D74+2*((AV74+AW74)/2)))^(2/3))^2+((DATOS!$B$34*H73/((D73*F73)/(D73+2*F73))^(2/3))^2))/2))&gt;0,((AV74+AW74)/2),AW74)</f>
        <v/>
      </c>
      <c r="AZ74" s="5">
        <f>IF((((AX74+AY74)/2)+(C74/(D74*((AX74+AY74)/2)))^2/(2*9.81)+B74-(G73+H73^2/(2*9.81))-(A73-A74)*(((DATOS!$B$34*(C74/(D74*((AX74+AY74)/2)))/((D74*((AX74+AY74)/2))/(D74+2*((AX74+AY74)/2)))^(2/3))^2+((DATOS!$B$34*H73/((D73*F73)/(D73+2*F73))^(2/3))^2))/2))&gt;0,AX74,((AX74+AY74)/2))</f>
        <v/>
      </c>
      <c r="BA74" s="5">
        <f>IF((((AX74+AY74)/2)+(C74/(D74*((AX74+AY74)/2)))^2/(2*9.81)+B74-(G73+H73^2/(2*9.81))-(A73-A74)*(((DATOS!$B$34*(C74/(D74*((AX74+AY74)/2)))/((D74*((AX74+AY74)/2))/(D74+2*((AX74+AY74)/2)))^(2/3))^2+((DATOS!$B$34*H73/((D73*F73)/(D73+2*F73))^(2/3))^2))/2))&gt;0,((AX74+AY74)/2),AY74)</f>
        <v/>
      </c>
      <c r="BB74" s="5">
        <f>IF((((AZ74+BA74)/2)+(C74/(D74*((AZ74+BA74)/2)))^2/(2*9.81)+B74-(G73+H73^2/(2*9.81))-(A73-A74)*(((DATOS!$B$34*(C74/(D74*((AZ74+BA74)/2)))/((D74*((AZ74+BA74)/2))/(D74+2*((AZ74+BA74)/2)))^(2/3))^2+((DATOS!$B$34*H73/((D73*F73)/(D73+2*F73))^(2/3))^2))/2))&gt;0,AZ74,((AZ74+BA74)/2))</f>
        <v/>
      </c>
      <c r="BC74" s="5">
        <f>IF((((AZ74+BA74)/2)+(C74/(D74*((AZ74+BA74)/2)))^2/(2*9.81)+B74-(G73+H73^2/(2*9.81))-(A73-A74)*(((DATOS!$B$34*(C74/(D74*((AZ74+BA74)/2)))/((D74*((AZ74+BA74)/2))/(D74+2*((AZ74+BA74)/2)))^(2/3))^2+((DATOS!$B$34*H73/((D73*F73)/(D73+2*F73))^(2/3))^2))/2))&gt;0,((AZ74+BA74)/2),BA74)</f>
        <v/>
      </c>
      <c r="BD74" s="5">
        <f>IF((((BB74+BC74)/2)+(C74/(D74*((BB74+BC74)/2)))^2/(2*9.81)+B74-(G73+H73^2/(2*9.81))-(A73-A74)*(((DATOS!$B$34*(C74/(D74*((BB74+BC74)/2)))/((D74*((BB74+BC74)/2))/(D74+2*((BB74+BC74)/2)))^(2/3))^2+((DATOS!$B$34*H73/((D73*F73)/(D73+2*F73))^(2/3))^2))/2))&gt;0,BB74,((BB74+BC74)/2))</f>
        <v/>
      </c>
      <c r="BE74" s="5">
        <f>IF((((BB74+BC74)/2)+(C74/(D74*((BB74+BC74)/2)))^2/(2*9.81)+B74-(G73+H73^2/(2*9.81))-(A73-A74)*(((DATOS!$B$34*(C74/(D74*((BB74+BC74)/2)))/((D74*((BB74+BC74)/2))/(D74+2*((BB74+BC74)/2)))^(2/3))^2+((DATOS!$B$34*H73/((D73*F73)/(D73+2*F73))^(2/3))^2))/2))&gt;0,((BB74+BC74)/2),BC74)</f>
        <v/>
      </c>
      <c r="BF74" s="5">
        <f>IF((((BD74+BE74)/2)+(C74/(D74*((BD74+BE74)/2)))^2/(2*9.81)+B74-(G73+H73^2/(2*9.81))-(A73-A74)*(((DATOS!$B$34*(C74/(D74*((BD74+BE74)/2)))/((D74*((BD74+BE74)/2))/(D74+2*((BD74+BE74)/2)))^(2/3))^2+((DATOS!$B$34*H73/((D73*F73)/(D73+2*F73))^(2/3))^2))/2))&gt;0,BD74,((BD74+BE74)/2))</f>
        <v/>
      </c>
      <c r="BG74" s="5">
        <f>IF((((BD74+BE74)/2)+(C74/(D74*((BD74+BE74)/2)))^2/(2*9.81)+B74-(G73+H73^2/(2*9.81))-(A73-A74)*(((DATOS!$B$34*(C74/(D74*((BD74+BE74)/2)))/((D74*((BD74+BE74)/2))/(D74+2*((BD74+BE74)/2)))^(2/3))^2+((DATOS!$B$34*H73/((D73*F73)/(D73+2*F73))^(2/3))^2))/2))&gt;0,((BD74+BE74)/2),BE74)</f>
        <v/>
      </c>
      <c r="BH74" s="5">
        <f>IF((((BF74+BG74)/2)+(C74/(D74*((BF74+BG74)/2)))^2/(2*9.81)+B74-(G73+H73^2/(2*9.81))-(A73-A74)*(((DATOS!$B$34*(C74/(D74*((BF74+BG74)/2)))/((D74*((BF74+BG74)/2))/(D74+2*((BF74+BG74)/2)))^(2/3))^2+((DATOS!$B$34*H73/((D73*F73)/(D73+2*F73))^(2/3))^2))/2))&gt;0,BF74,((BF74+BG74)/2))</f>
        <v/>
      </c>
      <c r="BI74" s="5">
        <f>IF((((BF74+BG74)/2)+(C74/(D74*((BF74+BG74)/2)))^2/(2*9.81)+B74-(G73+H73^2/(2*9.81))-(A73-A74)*(((DATOS!$B$34*(C74/(D74*((BF74+BG74)/2)))/((D74*((BF74+BG74)/2))/(D74+2*((BF74+BG74)/2)))^(2/3))^2+((DATOS!$B$34*H73/((D73*F73)/(D73+2*F73))^(2/3))^2))/2))&gt;0,((BF74+BG74)/2),BG74)</f>
        <v/>
      </c>
      <c r="BJ74" s="5">
        <f>IF((((BH74+BI74)/2)+(C74/(D74*((BH74+BI74)/2)))^2/(2*9.81)+B74-(G73+H73^2/(2*9.81))-(A73-A74)*(((DATOS!$B$34*(C74/(D74*((BH74+BI74)/2)))/((D74*((BH74+BI74)/2))/(D74+2*((BH74+BI74)/2)))^(2/3))^2+((DATOS!$B$34*H73/((D73*F73)/(D73+2*F73))^(2/3))^2))/2))&gt;0,BH74,((BH74+BI74)/2))</f>
        <v/>
      </c>
      <c r="BK74" s="5">
        <f>IF((((BH74+BI74)/2)+(C74/(D74*((BH74+BI74)/2)))^2/(2*9.81)+B74-(G73+H73^2/(2*9.81))-(A73-A74)*(((DATOS!$B$34*(C74/(D74*((BH74+BI74)/2)))/((D74*((BH74+BI74)/2))/(D74+2*((BH74+BI74)/2)))^(2/3))^2+((DATOS!$B$34*H73/((D73*F73)/(D73+2*F73))^(2/3))^2))/2))&gt;0,((BH74+BI74)/2),BI74)</f>
        <v/>
      </c>
      <c r="BL74" s="5">
        <f>IF((((BJ74+BK74)/2)+(C74/(D74*((BJ74+BK74)/2)))^2/(2*9.81)+B74-(G73+H73^2/(2*9.81))-(A73-A74)*(((DATOS!$B$34*(C74/(D74*((BJ74+BK74)/2)))/((D74*((BJ74+BK74)/2))/(D74+2*((BJ74+BK74)/2)))^(2/3))^2+((DATOS!$B$34*H73/((D73*F73)/(D73+2*F73))^(2/3))^2))/2))&gt;0,BJ74,((BJ74+BK74)/2))</f>
        <v/>
      </c>
      <c r="BM74" s="5">
        <f>IF((((BJ74+BK74)/2)+(C74/(D74*((BJ74+BK74)/2)))^2/(2*9.81)+B74-(G73+H73^2/(2*9.81))-(A73-A74)*(((DATOS!$B$34*(C74/(D74*((BJ74+BK74)/2)))/((D74*((BJ74+BK74)/2))/(D74+2*((BJ74+BK74)/2)))^(2/3))^2+((DATOS!$B$34*H73/((D73*F73)/(D73+2*F73))^(2/3))^2))/2))&gt;0,((BJ74+BK74)/2),BK74)</f>
        <v/>
      </c>
      <c r="BN74" s="5">
        <f>IF((((BL74+BM74)/2)+(C74/(D74*((BL74+BM74)/2)))^2/(2*9.81)+B74-(G73+H73^2/(2*9.81))-(A73-A74)*(((DATOS!$B$34*(C74/(D74*((BL74+BM74)/2)))/((D74*((BL74+BM74)/2))/(D74+2*((BL74+BM74)/2)))^(2/3))^2+((DATOS!$B$34*H73/((D73*F73)/(D73+2*F73))^(2/3))^2))/2))&gt;0,BL74,((BL74+BM74)/2))</f>
        <v/>
      </c>
      <c r="BO74" s="5">
        <f>IF((((BL74+BM74)/2)+(C74/(D74*((BL74+BM74)/2)))^2/(2*9.81)+B74-(G73+H73^2/(2*9.81))-(A73-A74)*(((DATOS!$B$34*(C74/(D74*((BL74+BM74)/2)))/((D74*((BL74+BM74)/2))/(D74+2*((BL74+BM74)/2)))^(2/3))^2+((DATOS!$B$34*H73/((D73*F73)/(D73+2*F73))^(2/3))^2))/2))&gt;0,((BL74+BM74)/2),BM74)</f>
        <v/>
      </c>
      <c r="BP74" s="5">
        <f>IF((((BN74+BO74)/2)+(C74/(D74*((BN74+BO74)/2)))^2/(2*9.81)+B74-(G73+H73^2/(2*9.81))-(A73-A74)*(((DATOS!$B$34*(C74/(D74*((BN74+BO74)/2)))/((D74*((BN74+BO74)/2))/(D74+2*((BN74+BO74)/2)))^(2/3))^2+((DATOS!$B$34*H73/((D73*F73)/(D73+2*F73))^(2/3))^2))/2))&gt;0,BN74,((BN74+BO74)/2))</f>
        <v/>
      </c>
      <c r="BQ74" s="5">
        <f>IF((((BN74+BO74)/2)+(C74/(D74*((BN74+BO74)/2)))^2/(2*9.81)+B74-(G73+H73^2/(2*9.81))-(A73-A74)*(((DATOS!$B$34*(C74/(D74*((BN74+BO74)/2)))/((D74*((BN74+BO74)/2))/(D74+2*((BN74+BO74)/2)))^(2/3))^2+((DATOS!$B$34*H73/((D73*F73)/(D73+2*F73))^(2/3))^2))/2))&gt;0,((BN74+BO74)/2),BO74)</f>
        <v/>
      </c>
      <c r="BR74" s="5">
        <f>IF((((BP74+BQ74)/2)+(C74/(D74*((BP74+BQ74)/2)))^2/(2*9.81)+B74-(G73+H73^2/(2*9.81))-(A73-A74)*(((DATOS!$B$34*(C74/(D74*((BP74+BQ74)/2)))/((D74*((BP74+BQ74)/2))/(D74+2*((BP74+BQ74)/2)))^(2/3))^2+((DATOS!$B$34*H73/((D73*F73)/(D73+2*F73))^(2/3))^2))/2))&gt;0,BP74,((BP74+BQ74)/2))</f>
        <v/>
      </c>
      <c r="BS74" s="5">
        <f>IF((((BP74+BQ74)/2)+(C74/(D74*((BP74+BQ74)/2)))^2/(2*9.81)+B74-(G73+H73^2/(2*9.81))-(A73-A74)*(((DATOS!$B$34*(C74/(D74*((BP74+BQ74)/2)))/((D74*((BP74+BQ74)/2))/(D74+2*((BP74+BQ74)/2)))^(2/3))^2+((DATOS!$B$34*H73/((D73*F73)/(D73+2*F73))^(2/3))^2))/2))&gt;0,((BP74+BQ74)/2),BQ74)</f>
        <v/>
      </c>
      <c r="BT74" s="5">
        <f>IF((((BR74+BS74)/2)+(C74/(D74*((BR74+BS74)/2)))^2/(2*9.81)+B74-(G73+H73^2/(2*9.81))-(A73-A74)*(((DATOS!$B$34*(C74/(D74*((BR74+BS74)/2)))/((D74*((BR74+BS74)/2))/(D74+2*((BR74+BS74)/2)))^(2/3))^2+((DATOS!$B$34*H73/((D73*F73)/(D73+2*F73))^(2/3))^2))/2))&gt;0,BR74,((BR74+BS74)/2))</f>
        <v/>
      </c>
      <c r="BU74" s="5">
        <f>IF((((BR74+BS74)/2)+(C74/(D74*((BR74+BS74)/2)))^2/(2*9.81)+B74-(G73+H73^2/(2*9.81))-(A73-A74)*(((DATOS!$B$34*(C74/(D74*((BR74+BS74)/2)))/((D74*((BR74+BS74)/2))/(D74+2*((BR74+BS74)/2)))^(2/3))^2+((DATOS!$B$34*H73/((D73*F73)/(D73+2*F73))^(2/3))^2))/2))&gt;0,((BR74+BS74)/2),BS74)</f>
        <v/>
      </c>
      <c r="BV74" s="5">
        <f>IF((((BT74+BU74)/2)+(C74/(D74*((BT74+BU74)/2)))^2/(2*9.81)+B74-(G73+H73^2/(2*9.81))-(A73-A74)*(((DATOS!$B$34*(C74/(D74*((BT74+BU74)/2)))/((D74*((BT74+BU74)/2))/(D74+2*((BT74+BU74)/2)))^(2/3))^2+((DATOS!$B$34*H73/((D73*F73)/(D73+2*F73))^(2/3))^2))/2))&gt;0,BT74,((BT74+BU74)/2))</f>
        <v/>
      </c>
      <c r="BW74" s="5">
        <f>IF((((BT74+BU74)/2)+(C74/(D74*((BT74+BU74)/2)))^2/(2*9.81)+B74-(G73+H73^2/(2*9.81))-(A73-A74)*(((DATOS!$B$34*(C74/(D74*((BT74+BU74)/2)))/((D74*((BT74+BU74)/2))/(D74+2*((BT74+BU74)/2)))^(2/3))^2+((DATOS!$B$34*H73/((D73*F73)/(D73+2*F73))^(2/3))^2))/2))&gt;0,((BT74+BU74)/2),BU74)</f>
        <v/>
      </c>
    </row>
    <row r="75">
      <c r="A75" s="13" t="n">
        <v>13</v>
      </c>
      <c r="B75" s="16">
        <f>DATOS!$B$22-DATOS!$B$23*A75</f>
        <v/>
      </c>
      <c r="C75" s="24">
        <f>CAUDALES!$B$13</f>
        <v/>
      </c>
      <c r="D75" s="17">
        <f>DATOS!$B$17</f>
        <v/>
      </c>
      <c r="E75" s="16">
        <f>(C75^2/(9.81*D75^2))^(1/3)</f>
        <v/>
      </c>
      <c r="F75" s="16">
        <f>(BV75+BW75)/2</f>
        <v/>
      </c>
      <c r="G75" s="16">
        <f>B75+F75</f>
        <v/>
      </c>
      <c r="H75" s="19">
        <f>C75/(D75*F75)</f>
        <v/>
      </c>
      <c r="I75" s="19">
        <f>H75/SQRT(9.81*F75)</f>
        <v/>
      </c>
      <c r="J75" s="16">
        <f>DATOS!$B$29-IF(AND(A75&gt;=DATOS!$B$30,A75&lt;DATOS!$B$31),DATOS!$B$21,DATOS!$B$20)</f>
        <v/>
      </c>
      <c r="K75" s="19">
        <f>J75-B75</f>
        <v/>
      </c>
      <c r="L75" s="19">
        <f>F75/K75</f>
        <v/>
      </c>
      <c r="M75" s="16">
        <f>J75-G75</f>
        <v/>
      </c>
      <c r="N75" s="5">
        <f>IF(AND(L75&lt;=DATOS!$B$36,M75&gt;=DATOS!$B$37,I75&lt;=1),"CUMPLE","NO CUMPLE")</f>
        <v/>
      </c>
      <c r="O75" s="5">
        <f>IF(AND(A75&gt;=DATOS!$B$30,A75&lt;DATOS!$B$31),"cruce de camiones",IF(AND(A75&gt;=DATOS!$B$32,A75&lt;DATOS!$B$33),"cruce de motos","tramo normal"))</f>
        <v/>
      </c>
      <c r="P75" s="5">
        <f>E75*1.001</f>
        <v/>
      </c>
      <c r="Q75" s="13" t="n">
        <v>3</v>
      </c>
      <c r="R75" s="5">
        <f>IF((((P75+Q75)/2)+(C75/(D75*((P75+Q75)/2)))^2/(2*9.81)+B75-(G74+H74^2/(2*9.81))-(A74-A75)*(((DATOS!$B$34*(C75/(D75*((P75+Q75)/2)))/((D75*((P75+Q75)/2))/(D75+2*((P75+Q75)/2)))^(2/3))^2+((DATOS!$B$34*H74/((D74*F74)/(D74+2*F74))^(2/3))^2))/2))&gt;0,P75,((P75+Q75)/2))</f>
        <v/>
      </c>
      <c r="S75" s="5">
        <f>IF((((P75+Q75)/2)+(C75/(D75*((P75+Q75)/2)))^2/(2*9.81)+B75-(G74+H74^2/(2*9.81))-(A74-A75)*(((DATOS!$B$34*(C75/(D75*((P75+Q75)/2)))/((D75*((P75+Q75)/2))/(D75+2*((P75+Q75)/2)))^(2/3))^2+((DATOS!$B$34*H74/((D74*F74)/(D74+2*F74))^(2/3))^2))/2))&gt;0,((P75+Q75)/2),Q75)</f>
        <v/>
      </c>
      <c r="T75" s="5">
        <f>IF((((R75+S75)/2)+(C75/(D75*((R75+S75)/2)))^2/(2*9.81)+B75-(G74+H74^2/(2*9.81))-(A74-A75)*(((DATOS!$B$34*(C75/(D75*((R75+S75)/2)))/((D75*((R75+S75)/2))/(D75+2*((R75+S75)/2)))^(2/3))^2+((DATOS!$B$34*H74/((D74*F74)/(D74+2*F74))^(2/3))^2))/2))&gt;0,R75,((R75+S75)/2))</f>
        <v/>
      </c>
      <c r="U75" s="5">
        <f>IF((((R75+S75)/2)+(C75/(D75*((R75+S75)/2)))^2/(2*9.81)+B75-(G74+H74^2/(2*9.81))-(A74-A75)*(((DATOS!$B$34*(C75/(D75*((R75+S75)/2)))/((D75*((R75+S75)/2))/(D75+2*((R75+S75)/2)))^(2/3))^2+((DATOS!$B$34*H74/((D74*F74)/(D74+2*F74))^(2/3))^2))/2))&gt;0,((R75+S75)/2),S75)</f>
        <v/>
      </c>
      <c r="V75" s="5">
        <f>IF((((T75+U75)/2)+(C75/(D75*((T75+U75)/2)))^2/(2*9.81)+B75-(G74+H74^2/(2*9.81))-(A74-A75)*(((DATOS!$B$34*(C75/(D75*((T75+U75)/2)))/((D75*((T75+U75)/2))/(D75+2*((T75+U75)/2)))^(2/3))^2+((DATOS!$B$34*H74/((D74*F74)/(D74+2*F74))^(2/3))^2))/2))&gt;0,T75,((T75+U75)/2))</f>
        <v/>
      </c>
      <c r="W75" s="5">
        <f>IF((((T75+U75)/2)+(C75/(D75*((T75+U75)/2)))^2/(2*9.81)+B75-(G74+H74^2/(2*9.81))-(A74-A75)*(((DATOS!$B$34*(C75/(D75*((T75+U75)/2)))/((D75*((T75+U75)/2))/(D75+2*((T75+U75)/2)))^(2/3))^2+((DATOS!$B$34*H74/((D74*F74)/(D74+2*F74))^(2/3))^2))/2))&gt;0,((T75+U75)/2),U75)</f>
        <v/>
      </c>
      <c r="X75" s="5">
        <f>IF((((V75+W75)/2)+(C75/(D75*((V75+W75)/2)))^2/(2*9.81)+B75-(G74+H74^2/(2*9.81))-(A74-A75)*(((DATOS!$B$34*(C75/(D75*((V75+W75)/2)))/((D75*((V75+W75)/2))/(D75+2*((V75+W75)/2)))^(2/3))^2+((DATOS!$B$34*H74/((D74*F74)/(D74+2*F74))^(2/3))^2))/2))&gt;0,V75,((V75+W75)/2))</f>
        <v/>
      </c>
      <c r="Y75" s="5">
        <f>IF((((V75+W75)/2)+(C75/(D75*((V75+W75)/2)))^2/(2*9.81)+B75-(G74+H74^2/(2*9.81))-(A74-A75)*(((DATOS!$B$34*(C75/(D75*((V75+W75)/2)))/((D75*((V75+W75)/2))/(D75+2*((V75+W75)/2)))^(2/3))^2+((DATOS!$B$34*H74/((D74*F74)/(D74+2*F74))^(2/3))^2))/2))&gt;0,((V75+W75)/2),W75)</f>
        <v/>
      </c>
      <c r="Z75" s="5">
        <f>IF((((X75+Y75)/2)+(C75/(D75*((X75+Y75)/2)))^2/(2*9.81)+B75-(G74+H74^2/(2*9.81))-(A74-A75)*(((DATOS!$B$34*(C75/(D75*((X75+Y75)/2)))/((D75*((X75+Y75)/2))/(D75+2*((X75+Y75)/2)))^(2/3))^2+((DATOS!$B$34*H74/((D74*F74)/(D74+2*F74))^(2/3))^2))/2))&gt;0,X75,((X75+Y75)/2))</f>
        <v/>
      </c>
      <c r="AA75" s="5">
        <f>IF((((X75+Y75)/2)+(C75/(D75*((X75+Y75)/2)))^2/(2*9.81)+B75-(G74+H74^2/(2*9.81))-(A74-A75)*(((DATOS!$B$34*(C75/(D75*((X75+Y75)/2)))/((D75*((X75+Y75)/2))/(D75+2*((X75+Y75)/2)))^(2/3))^2+((DATOS!$B$34*H74/((D74*F74)/(D74+2*F74))^(2/3))^2))/2))&gt;0,((X75+Y75)/2),Y75)</f>
        <v/>
      </c>
      <c r="AB75" s="5">
        <f>IF((((Z75+AA75)/2)+(C75/(D75*((Z75+AA75)/2)))^2/(2*9.81)+B75-(G74+H74^2/(2*9.81))-(A74-A75)*(((DATOS!$B$34*(C75/(D75*((Z75+AA75)/2)))/((D75*((Z75+AA75)/2))/(D75+2*((Z75+AA75)/2)))^(2/3))^2+((DATOS!$B$34*H74/((D74*F74)/(D74+2*F74))^(2/3))^2))/2))&gt;0,Z75,((Z75+AA75)/2))</f>
        <v/>
      </c>
      <c r="AC75" s="5">
        <f>IF((((Z75+AA75)/2)+(C75/(D75*((Z75+AA75)/2)))^2/(2*9.81)+B75-(G74+H74^2/(2*9.81))-(A74-A75)*(((DATOS!$B$34*(C75/(D75*((Z75+AA75)/2)))/((D75*((Z75+AA75)/2))/(D75+2*((Z75+AA75)/2)))^(2/3))^2+((DATOS!$B$34*H74/((D74*F74)/(D74+2*F74))^(2/3))^2))/2))&gt;0,((Z75+AA75)/2),AA75)</f>
        <v/>
      </c>
      <c r="AD75" s="5">
        <f>IF((((AB75+AC75)/2)+(C75/(D75*((AB75+AC75)/2)))^2/(2*9.81)+B75-(G74+H74^2/(2*9.81))-(A74-A75)*(((DATOS!$B$34*(C75/(D75*((AB75+AC75)/2)))/((D75*((AB75+AC75)/2))/(D75+2*((AB75+AC75)/2)))^(2/3))^2+((DATOS!$B$34*H74/((D74*F74)/(D74+2*F74))^(2/3))^2))/2))&gt;0,AB75,((AB75+AC75)/2))</f>
        <v/>
      </c>
      <c r="AE75" s="5">
        <f>IF((((AB75+AC75)/2)+(C75/(D75*((AB75+AC75)/2)))^2/(2*9.81)+B75-(G74+H74^2/(2*9.81))-(A74-A75)*(((DATOS!$B$34*(C75/(D75*((AB75+AC75)/2)))/((D75*((AB75+AC75)/2))/(D75+2*((AB75+AC75)/2)))^(2/3))^2+((DATOS!$B$34*H74/((D74*F74)/(D74+2*F74))^(2/3))^2))/2))&gt;0,((AB75+AC75)/2),AC75)</f>
        <v/>
      </c>
      <c r="AF75" s="5">
        <f>IF((((AD75+AE75)/2)+(C75/(D75*((AD75+AE75)/2)))^2/(2*9.81)+B75-(G74+H74^2/(2*9.81))-(A74-A75)*(((DATOS!$B$34*(C75/(D75*((AD75+AE75)/2)))/((D75*((AD75+AE75)/2))/(D75+2*((AD75+AE75)/2)))^(2/3))^2+((DATOS!$B$34*H74/((D74*F74)/(D74+2*F74))^(2/3))^2))/2))&gt;0,AD75,((AD75+AE75)/2))</f>
        <v/>
      </c>
      <c r="AG75" s="5">
        <f>IF((((AD75+AE75)/2)+(C75/(D75*((AD75+AE75)/2)))^2/(2*9.81)+B75-(G74+H74^2/(2*9.81))-(A74-A75)*(((DATOS!$B$34*(C75/(D75*((AD75+AE75)/2)))/((D75*((AD75+AE75)/2))/(D75+2*((AD75+AE75)/2)))^(2/3))^2+((DATOS!$B$34*H74/((D74*F74)/(D74+2*F74))^(2/3))^2))/2))&gt;0,((AD75+AE75)/2),AE75)</f>
        <v/>
      </c>
      <c r="AH75" s="5">
        <f>IF((((AF75+AG75)/2)+(C75/(D75*((AF75+AG75)/2)))^2/(2*9.81)+B75-(G74+H74^2/(2*9.81))-(A74-A75)*(((DATOS!$B$34*(C75/(D75*((AF75+AG75)/2)))/((D75*((AF75+AG75)/2))/(D75+2*((AF75+AG75)/2)))^(2/3))^2+((DATOS!$B$34*H74/((D74*F74)/(D74+2*F74))^(2/3))^2))/2))&gt;0,AF75,((AF75+AG75)/2))</f>
        <v/>
      </c>
      <c r="AI75" s="5">
        <f>IF((((AF75+AG75)/2)+(C75/(D75*((AF75+AG75)/2)))^2/(2*9.81)+B75-(G74+H74^2/(2*9.81))-(A74-A75)*(((DATOS!$B$34*(C75/(D75*((AF75+AG75)/2)))/((D75*((AF75+AG75)/2))/(D75+2*((AF75+AG75)/2)))^(2/3))^2+((DATOS!$B$34*H74/((D74*F74)/(D74+2*F74))^(2/3))^2))/2))&gt;0,((AF75+AG75)/2),AG75)</f>
        <v/>
      </c>
      <c r="AJ75" s="5">
        <f>IF((((AH75+AI75)/2)+(C75/(D75*((AH75+AI75)/2)))^2/(2*9.81)+B75-(G74+H74^2/(2*9.81))-(A74-A75)*(((DATOS!$B$34*(C75/(D75*((AH75+AI75)/2)))/((D75*((AH75+AI75)/2))/(D75+2*((AH75+AI75)/2)))^(2/3))^2+((DATOS!$B$34*H74/((D74*F74)/(D74+2*F74))^(2/3))^2))/2))&gt;0,AH75,((AH75+AI75)/2))</f>
        <v/>
      </c>
      <c r="AK75" s="5">
        <f>IF((((AH75+AI75)/2)+(C75/(D75*((AH75+AI75)/2)))^2/(2*9.81)+B75-(G74+H74^2/(2*9.81))-(A74-A75)*(((DATOS!$B$34*(C75/(D75*((AH75+AI75)/2)))/((D75*((AH75+AI75)/2))/(D75+2*((AH75+AI75)/2)))^(2/3))^2+((DATOS!$B$34*H74/((D74*F74)/(D74+2*F74))^(2/3))^2))/2))&gt;0,((AH75+AI75)/2),AI75)</f>
        <v/>
      </c>
      <c r="AL75" s="5">
        <f>IF((((AJ75+AK75)/2)+(C75/(D75*((AJ75+AK75)/2)))^2/(2*9.81)+B75-(G74+H74^2/(2*9.81))-(A74-A75)*(((DATOS!$B$34*(C75/(D75*((AJ75+AK75)/2)))/((D75*((AJ75+AK75)/2))/(D75+2*((AJ75+AK75)/2)))^(2/3))^2+((DATOS!$B$34*H74/((D74*F74)/(D74+2*F74))^(2/3))^2))/2))&gt;0,AJ75,((AJ75+AK75)/2))</f>
        <v/>
      </c>
      <c r="AM75" s="5">
        <f>IF((((AJ75+AK75)/2)+(C75/(D75*((AJ75+AK75)/2)))^2/(2*9.81)+B75-(G74+H74^2/(2*9.81))-(A74-A75)*(((DATOS!$B$34*(C75/(D75*((AJ75+AK75)/2)))/((D75*((AJ75+AK75)/2))/(D75+2*((AJ75+AK75)/2)))^(2/3))^2+((DATOS!$B$34*H74/((D74*F74)/(D74+2*F74))^(2/3))^2))/2))&gt;0,((AJ75+AK75)/2),AK75)</f>
        <v/>
      </c>
      <c r="AN75" s="5">
        <f>IF((((AL75+AM75)/2)+(C75/(D75*((AL75+AM75)/2)))^2/(2*9.81)+B75-(G74+H74^2/(2*9.81))-(A74-A75)*(((DATOS!$B$34*(C75/(D75*((AL75+AM75)/2)))/((D75*((AL75+AM75)/2))/(D75+2*((AL75+AM75)/2)))^(2/3))^2+((DATOS!$B$34*H74/((D74*F74)/(D74+2*F74))^(2/3))^2))/2))&gt;0,AL75,((AL75+AM75)/2))</f>
        <v/>
      </c>
      <c r="AO75" s="5">
        <f>IF((((AL75+AM75)/2)+(C75/(D75*((AL75+AM75)/2)))^2/(2*9.81)+B75-(G74+H74^2/(2*9.81))-(A74-A75)*(((DATOS!$B$34*(C75/(D75*((AL75+AM75)/2)))/((D75*((AL75+AM75)/2))/(D75+2*((AL75+AM75)/2)))^(2/3))^2+((DATOS!$B$34*H74/((D74*F74)/(D74+2*F74))^(2/3))^2))/2))&gt;0,((AL75+AM75)/2),AM75)</f>
        <v/>
      </c>
      <c r="AP75" s="5">
        <f>IF((((AN75+AO75)/2)+(C75/(D75*((AN75+AO75)/2)))^2/(2*9.81)+B75-(G74+H74^2/(2*9.81))-(A74-A75)*(((DATOS!$B$34*(C75/(D75*((AN75+AO75)/2)))/((D75*((AN75+AO75)/2))/(D75+2*((AN75+AO75)/2)))^(2/3))^2+((DATOS!$B$34*H74/((D74*F74)/(D74+2*F74))^(2/3))^2))/2))&gt;0,AN75,((AN75+AO75)/2))</f>
        <v/>
      </c>
      <c r="AQ75" s="5">
        <f>IF((((AN75+AO75)/2)+(C75/(D75*((AN75+AO75)/2)))^2/(2*9.81)+B75-(G74+H74^2/(2*9.81))-(A74-A75)*(((DATOS!$B$34*(C75/(D75*((AN75+AO75)/2)))/((D75*((AN75+AO75)/2))/(D75+2*((AN75+AO75)/2)))^(2/3))^2+((DATOS!$B$34*H74/((D74*F74)/(D74+2*F74))^(2/3))^2))/2))&gt;0,((AN75+AO75)/2),AO75)</f>
        <v/>
      </c>
      <c r="AR75" s="5">
        <f>IF((((AP75+AQ75)/2)+(C75/(D75*((AP75+AQ75)/2)))^2/(2*9.81)+B75-(G74+H74^2/(2*9.81))-(A74-A75)*(((DATOS!$B$34*(C75/(D75*((AP75+AQ75)/2)))/((D75*((AP75+AQ75)/2))/(D75+2*((AP75+AQ75)/2)))^(2/3))^2+((DATOS!$B$34*H74/((D74*F74)/(D74+2*F74))^(2/3))^2))/2))&gt;0,AP75,((AP75+AQ75)/2))</f>
        <v/>
      </c>
      <c r="AS75" s="5">
        <f>IF((((AP75+AQ75)/2)+(C75/(D75*((AP75+AQ75)/2)))^2/(2*9.81)+B75-(G74+H74^2/(2*9.81))-(A74-A75)*(((DATOS!$B$34*(C75/(D75*((AP75+AQ75)/2)))/((D75*((AP75+AQ75)/2))/(D75+2*((AP75+AQ75)/2)))^(2/3))^2+((DATOS!$B$34*H74/((D74*F74)/(D74+2*F74))^(2/3))^2))/2))&gt;0,((AP75+AQ75)/2),AQ75)</f>
        <v/>
      </c>
      <c r="AT75" s="5">
        <f>IF((((AR75+AS75)/2)+(C75/(D75*((AR75+AS75)/2)))^2/(2*9.81)+B75-(G74+H74^2/(2*9.81))-(A74-A75)*(((DATOS!$B$34*(C75/(D75*((AR75+AS75)/2)))/((D75*((AR75+AS75)/2))/(D75+2*((AR75+AS75)/2)))^(2/3))^2+((DATOS!$B$34*H74/((D74*F74)/(D74+2*F74))^(2/3))^2))/2))&gt;0,AR75,((AR75+AS75)/2))</f>
        <v/>
      </c>
      <c r="AU75" s="5">
        <f>IF((((AR75+AS75)/2)+(C75/(D75*((AR75+AS75)/2)))^2/(2*9.81)+B75-(G74+H74^2/(2*9.81))-(A74-A75)*(((DATOS!$B$34*(C75/(D75*((AR75+AS75)/2)))/((D75*((AR75+AS75)/2))/(D75+2*((AR75+AS75)/2)))^(2/3))^2+((DATOS!$B$34*H74/((D74*F74)/(D74+2*F74))^(2/3))^2))/2))&gt;0,((AR75+AS75)/2),AS75)</f>
        <v/>
      </c>
      <c r="AV75" s="5">
        <f>IF((((AT75+AU75)/2)+(C75/(D75*((AT75+AU75)/2)))^2/(2*9.81)+B75-(G74+H74^2/(2*9.81))-(A74-A75)*(((DATOS!$B$34*(C75/(D75*((AT75+AU75)/2)))/((D75*((AT75+AU75)/2))/(D75+2*((AT75+AU75)/2)))^(2/3))^2+((DATOS!$B$34*H74/((D74*F74)/(D74+2*F74))^(2/3))^2))/2))&gt;0,AT75,((AT75+AU75)/2))</f>
        <v/>
      </c>
      <c r="AW75" s="5">
        <f>IF((((AT75+AU75)/2)+(C75/(D75*((AT75+AU75)/2)))^2/(2*9.81)+B75-(G74+H74^2/(2*9.81))-(A74-A75)*(((DATOS!$B$34*(C75/(D75*((AT75+AU75)/2)))/((D75*((AT75+AU75)/2))/(D75+2*((AT75+AU75)/2)))^(2/3))^2+((DATOS!$B$34*H74/((D74*F74)/(D74+2*F74))^(2/3))^2))/2))&gt;0,((AT75+AU75)/2),AU75)</f>
        <v/>
      </c>
      <c r="AX75" s="5">
        <f>IF((((AV75+AW75)/2)+(C75/(D75*((AV75+AW75)/2)))^2/(2*9.81)+B75-(G74+H74^2/(2*9.81))-(A74-A75)*(((DATOS!$B$34*(C75/(D75*((AV75+AW75)/2)))/((D75*((AV75+AW75)/2))/(D75+2*((AV75+AW75)/2)))^(2/3))^2+((DATOS!$B$34*H74/((D74*F74)/(D74+2*F74))^(2/3))^2))/2))&gt;0,AV75,((AV75+AW75)/2))</f>
        <v/>
      </c>
      <c r="AY75" s="5">
        <f>IF((((AV75+AW75)/2)+(C75/(D75*((AV75+AW75)/2)))^2/(2*9.81)+B75-(G74+H74^2/(2*9.81))-(A74-A75)*(((DATOS!$B$34*(C75/(D75*((AV75+AW75)/2)))/((D75*((AV75+AW75)/2))/(D75+2*((AV75+AW75)/2)))^(2/3))^2+((DATOS!$B$34*H74/((D74*F74)/(D74+2*F74))^(2/3))^2))/2))&gt;0,((AV75+AW75)/2),AW75)</f>
        <v/>
      </c>
      <c r="AZ75" s="5">
        <f>IF((((AX75+AY75)/2)+(C75/(D75*((AX75+AY75)/2)))^2/(2*9.81)+B75-(G74+H74^2/(2*9.81))-(A74-A75)*(((DATOS!$B$34*(C75/(D75*((AX75+AY75)/2)))/((D75*((AX75+AY75)/2))/(D75+2*((AX75+AY75)/2)))^(2/3))^2+((DATOS!$B$34*H74/((D74*F74)/(D74+2*F74))^(2/3))^2))/2))&gt;0,AX75,((AX75+AY75)/2))</f>
        <v/>
      </c>
      <c r="BA75" s="5">
        <f>IF((((AX75+AY75)/2)+(C75/(D75*((AX75+AY75)/2)))^2/(2*9.81)+B75-(G74+H74^2/(2*9.81))-(A74-A75)*(((DATOS!$B$34*(C75/(D75*((AX75+AY75)/2)))/((D75*((AX75+AY75)/2))/(D75+2*((AX75+AY75)/2)))^(2/3))^2+((DATOS!$B$34*H74/((D74*F74)/(D74+2*F74))^(2/3))^2))/2))&gt;0,((AX75+AY75)/2),AY75)</f>
        <v/>
      </c>
      <c r="BB75" s="5">
        <f>IF((((AZ75+BA75)/2)+(C75/(D75*((AZ75+BA75)/2)))^2/(2*9.81)+B75-(G74+H74^2/(2*9.81))-(A74-A75)*(((DATOS!$B$34*(C75/(D75*((AZ75+BA75)/2)))/((D75*((AZ75+BA75)/2))/(D75+2*((AZ75+BA75)/2)))^(2/3))^2+((DATOS!$B$34*H74/((D74*F74)/(D74+2*F74))^(2/3))^2))/2))&gt;0,AZ75,((AZ75+BA75)/2))</f>
        <v/>
      </c>
      <c r="BC75" s="5">
        <f>IF((((AZ75+BA75)/2)+(C75/(D75*((AZ75+BA75)/2)))^2/(2*9.81)+B75-(G74+H74^2/(2*9.81))-(A74-A75)*(((DATOS!$B$34*(C75/(D75*((AZ75+BA75)/2)))/((D75*((AZ75+BA75)/2))/(D75+2*((AZ75+BA75)/2)))^(2/3))^2+((DATOS!$B$34*H74/((D74*F74)/(D74+2*F74))^(2/3))^2))/2))&gt;0,((AZ75+BA75)/2),BA75)</f>
        <v/>
      </c>
      <c r="BD75" s="5">
        <f>IF((((BB75+BC75)/2)+(C75/(D75*((BB75+BC75)/2)))^2/(2*9.81)+B75-(G74+H74^2/(2*9.81))-(A74-A75)*(((DATOS!$B$34*(C75/(D75*((BB75+BC75)/2)))/((D75*((BB75+BC75)/2))/(D75+2*((BB75+BC75)/2)))^(2/3))^2+((DATOS!$B$34*H74/((D74*F74)/(D74+2*F74))^(2/3))^2))/2))&gt;0,BB75,((BB75+BC75)/2))</f>
        <v/>
      </c>
      <c r="BE75" s="5">
        <f>IF((((BB75+BC75)/2)+(C75/(D75*((BB75+BC75)/2)))^2/(2*9.81)+B75-(G74+H74^2/(2*9.81))-(A74-A75)*(((DATOS!$B$34*(C75/(D75*((BB75+BC75)/2)))/((D75*((BB75+BC75)/2))/(D75+2*((BB75+BC75)/2)))^(2/3))^2+((DATOS!$B$34*H74/((D74*F74)/(D74+2*F74))^(2/3))^2))/2))&gt;0,((BB75+BC75)/2),BC75)</f>
        <v/>
      </c>
      <c r="BF75" s="5">
        <f>IF((((BD75+BE75)/2)+(C75/(D75*((BD75+BE75)/2)))^2/(2*9.81)+B75-(G74+H74^2/(2*9.81))-(A74-A75)*(((DATOS!$B$34*(C75/(D75*((BD75+BE75)/2)))/((D75*((BD75+BE75)/2))/(D75+2*((BD75+BE75)/2)))^(2/3))^2+((DATOS!$B$34*H74/((D74*F74)/(D74+2*F74))^(2/3))^2))/2))&gt;0,BD75,((BD75+BE75)/2))</f>
        <v/>
      </c>
      <c r="BG75" s="5">
        <f>IF((((BD75+BE75)/2)+(C75/(D75*((BD75+BE75)/2)))^2/(2*9.81)+B75-(G74+H74^2/(2*9.81))-(A74-A75)*(((DATOS!$B$34*(C75/(D75*((BD75+BE75)/2)))/((D75*((BD75+BE75)/2))/(D75+2*((BD75+BE75)/2)))^(2/3))^2+((DATOS!$B$34*H74/((D74*F74)/(D74+2*F74))^(2/3))^2))/2))&gt;0,((BD75+BE75)/2),BE75)</f>
        <v/>
      </c>
      <c r="BH75" s="5">
        <f>IF((((BF75+BG75)/2)+(C75/(D75*((BF75+BG75)/2)))^2/(2*9.81)+B75-(G74+H74^2/(2*9.81))-(A74-A75)*(((DATOS!$B$34*(C75/(D75*((BF75+BG75)/2)))/((D75*((BF75+BG75)/2))/(D75+2*((BF75+BG75)/2)))^(2/3))^2+((DATOS!$B$34*H74/((D74*F74)/(D74+2*F74))^(2/3))^2))/2))&gt;0,BF75,((BF75+BG75)/2))</f>
        <v/>
      </c>
      <c r="BI75" s="5">
        <f>IF((((BF75+BG75)/2)+(C75/(D75*((BF75+BG75)/2)))^2/(2*9.81)+B75-(G74+H74^2/(2*9.81))-(A74-A75)*(((DATOS!$B$34*(C75/(D75*((BF75+BG75)/2)))/((D75*((BF75+BG75)/2))/(D75+2*((BF75+BG75)/2)))^(2/3))^2+((DATOS!$B$34*H74/((D74*F74)/(D74+2*F74))^(2/3))^2))/2))&gt;0,((BF75+BG75)/2),BG75)</f>
        <v/>
      </c>
      <c r="BJ75" s="5">
        <f>IF((((BH75+BI75)/2)+(C75/(D75*((BH75+BI75)/2)))^2/(2*9.81)+B75-(G74+H74^2/(2*9.81))-(A74-A75)*(((DATOS!$B$34*(C75/(D75*((BH75+BI75)/2)))/((D75*((BH75+BI75)/2))/(D75+2*((BH75+BI75)/2)))^(2/3))^2+((DATOS!$B$34*H74/((D74*F74)/(D74+2*F74))^(2/3))^2))/2))&gt;0,BH75,((BH75+BI75)/2))</f>
        <v/>
      </c>
      <c r="BK75" s="5">
        <f>IF((((BH75+BI75)/2)+(C75/(D75*((BH75+BI75)/2)))^2/(2*9.81)+B75-(G74+H74^2/(2*9.81))-(A74-A75)*(((DATOS!$B$34*(C75/(D75*((BH75+BI75)/2)))/((D75*((BH75+BI75)/2))/(D75+2*((BH75+BI75)/2)))^(2/3))^2+((DATOS!$B$34*H74/((D74*F74)/(D74+2*F74))^(2/3))^2))/2))&gt;0,((BH75+BI75)/2),BI75)</f>
        <v/>
      </c>
      <c r="BL75" s="5">
        <f>IF((((BJ75+BK75)/2)+(C75/(D75*((BJ75+BK75)/2)))^2/(2*9.81)+B75-(G74+H74^2/(2*9.81))-(A74-A75)*(((DATOS!$B$34*(C75/(D75*((BJ75+BK75)/2)))/((D75*((BJ75+BK75)/2))/(D75+2*((BJ75+BK75)/2)))^(2/3))^2+((DATOS!$B$34*H74/((D74*F74)/(D74+2*F74))^(2/3))^2))/2))&gt;0,BJ75,((BJ75+BK75)/2))</f>
        <v/>
      </c>
      <c r="BM75" s="5">
        <f>IF((((BJ75+BK75)/2)+(C75/(D75*((BJ75+BK75)/2)))^2/(2*9.81)+B75-(G74+H74^2/(2*9.81))-(A74-A75)*(((DATOS!$B$34*(C75/(D75*((BJ75+BK75)/2)))/((D75*((BJ75+BK75)/2))/(D75+2*((BJ75+BK75)/2)))^(2/3))^2+((DATOS!$B$34*H74/((D74*F74)/(D74+2*F74))^(2/3))^2))/2))&gt;0,((BJ75+BK75)/2),BK75)</f>
        <v/>
      </c>
      <c r="BN75" s="5">
        <f>IF((((BL75+BM75)/2)+(C75/(D75*((BL75+BM75)/2)))^2/(2*9.81)+B75-(G74+H74^2/(2*9.81))-(A74-A75)*(((DATOS!$B$34*(C75/(D75*((BL75+BM75)/2)))/((D75*((BL75+BM75)/2))/(D75+2*((BL75+BM75)/2)))^(2/3))^2+((DATOS!$B$34*H74/((D74*F74)/(D74+2*F74))^(2/3))^2))/2))&gt;0,BL75,((BL75+BM75)/2))</f>
        <v/>
      </c>
      <c r="BO75" s="5">
        <f>IF((((BL75+BM75)/2)+(C75/(D75*((BL75+BM75)/2)))^2/(2*9.81)+B75-(G74+H74^2/(2*9.81))-(A74-A75)*(((DATOS!$B$34*(C75/(D75*((BL75+BM75)/2)))/((D75*((BL75+BM75)/2))/(D75+2*((BL75+BM75)/2)))^(2/3))^2+((DATOS!$B$34*H74/((D74*F74)/(D74+2*F74))^(2/3))^2))/2))&gt;0,((BL75+BM75)/2),BM75)</f>
        <v/>
      </c>
      <c r="BP75" s="5">
        <f>IF((((BN75+BO75)/2)+(C75/(D75*((BN75+BO75)/2)))^2/(2*9.81)+B75-(G74+H74^2/(2*9.81))-(A74-A75)*(((DATOS!$B$34*(C75/(D75*((BN75+BO75)/2)))/((D75*((BN75+BO75)/2))/(D75+2*((BN75+BO75)/2)))^(2/3))^2+((DATOS!$B$34*H74/((D74*F74)/(D74+2*F74))^(2/3))^2))/2))&gt;0,BN75,((BN75+BO75)/2))</f>
        <v/>
      </c>
      <c r="BQ75" s="5">
        <f>IF((((BN75+BO75)/2)+(C75/(D75*((BN75+BO75)/2)))^2/(2*9.81)+B75-(G74+H74^2/(2*9.81))-(A74-A75)*(((DATOS!$B$34*(C75/(D75*((BN75+BO75)/2)))/((D75*((BN75+BO75)/2))/(D75+2*((BN75+BO75)/2)))^(2/3))^2+((DATOS!$B$34*H74/((D74*F74)/(D74+2*F74))^(2/3))^2))/2))&gt;0,((BN75+BO75)/2),BO75)</f>
        <v/>
      </c>
      <c r="BR75" s="5">
        <f>IF((((BP75+BQ75)/2)+(C75/(D75*((BP75+BQ75)/2)))^2/(2*9.81)+B75-(G74+H74^2/(2*9.81))-(A74-A75)*(((DATOS!$B$34*(C75/(D75*((BP75+BQ75)/2)))/((D75*((BP75+BQ75)/2))/(D75+2*((BP75+BQ75)/2)))^(2/3))^2+((DATOS!$B$34*H74/((D74*F74)/(D74+2*F74))^(2/3))^2))/2))&gt;0,BP75,((BP75+BQ75)/2))</f>
        <v/>
      </c>
      <c r="BS75" s="5">
        <f>IF((((BP75+BQ75)/2)+(C75/(D75*((BP75+BQ75)/2)))^2/(2*9.81)+B75-(G74+H74^2/(2*9.81))-(A74-A75)*(((DATOS!$B$34*(C75/(D75*((BP75+BQ75)/2)))/((D75*((BP75+BQ75)/2))/(D75+2*((BP75+BQ75)/2)))^(2/3))^2+((DATOS!$B$34*H74/((D74*F74)/(D74+2*F74))^(2/3))^2))/2))&gt;0,((BP75+BQ75)/2),BQ75)</f>
        <v/>
      </c>
      <c r="BT75" s="5">
        <f>IF((((BR75+BS75)/2)+(C75/(D75*((BR75+BS75)/2)))^2/(2*9.81)+B75-(G74+H74^2/(2*9.81))-(A74-A75)*(((DATOS!$B$34*(C75/(D75*((BR75+BS75)/2)))/((D75*((BR75+BS75)/2))/(D75+2*((BR75+BS75)/2)))^(2/3))^2+((DATOS!$B$34*H74/((D74*F74)/(D74+2*F74))^(2/3))^2))/2))&gt;0,BR75,((BR75+BS75)/2))</f>
        <v/>
      </c>
      <c r="BU75" s="5">
        <f>IF((((BR75+BS75)/2)+(C75/(D75*((BR75+BS75)/2)))^2/(2*9.81)+B75-(G74+H74^2/(2*9.81))-(A74-A75)*(((DATOS!$B$34*(C75/(D75*((BR75+BS75)/2)))/((D75*((BR75+BS75)/2))/(D75+2*((BR75+BS75)/2)))^(2/3))^2+((DATOS!$B$34*H74/((D74*F74)/(D74+2*F74))^(2/3))^2))/2))&gt;0,((BR75+BS75)/2),BS75)</f>
        <v/>
      </c>
      <c r="BV75" s="5">
        <f>IF((((BT75+BU75)/2)+(C75/(D75*((BT75+BU75)/2)))^2/(2*9.81)+B75-(G74+H74^2/(2*9.81))-(A74-A75)*(((DATOS!$B$34*(C75/(D75*((BT75+BU75)/2)))/((D75*((BT75+BU75)/2))/(D75+2*((BT75+BU75)/2)))^(2/3))^2+((DATOS!$B$34*H74/((D74*F74)/(D74+2*F74))^(2/3))^2))/2))&gt;0,BT75,((BT75+BU75)/2))</f>
        <v/>
      </c>
      <c r="BW75" s="5">
        <f>IF((((BT75+BU75)/2)+(C75/(D75*((BT75+BU75)/2)))^2/(2*9.81)+B75-(G74+H74^2/(2*9.81))-(A74-A75)*(((DATOS!$B$34*(C75/(D75*((BT75+BU75)/2)))/((D75*((BT75+BU75)/2))/(D75+2*((BT75+BU75)/2)))^(2/3))^2+((DATOS!$B$34*H74/((D74*F74)/(D74+2*F74))^(2/3))^2))/2))&gt;0,((BT75+BU75)/2),BU75)</f>
        <v/>
      </c>
    </row>
    <row r="76">
      <c r="A76" s="13" t="n">
        <v>12</v>
      </c>
      <c r="B76" s="16">
        <f>DATOS!$B$22-DATOS!$B$23*A76</f>
        <v/>
      </c>
      <c r="C76" s="24">
        <f>CAUDALES!$B$13</f>
        <v/>
      </c>
      <c r="D76" s="17">
        <f>DATOS!$B$17</f>
        <v/>
      </c>
      <c r="E76" s="16">
        <f>(C76^2/(9.81*D76^2))^(1/3)</f>
        <v/>
      </c>
      <c r="F76" s="16">
        <f>(BV76+BW76)/2</f>
        <v/>
      </c>
      <c r="G76" s="16">
        <f>B76+F76</f>
        <v/>
      </c>
      <c r="H76" s="19">
        <f>C76/(D76*F76)</f>
        <v/>
      </c>
      <c r="I76" s="19">
        <f>H76/SQRT(9.81*F76)</f>
        <v/>
      </c>
      <c r="J76" s="16">
        <f>DATOS!$B$29-IF(AND(A76&gt;=DATOS!$B$30,A76&lt;DATOS!$B$31),DATOS!$B$21,DATOS!$B$20)</f>
        <v/>
      </c>
      <c r="K76" s="19">
        <f>J76-B76</f>
        <v/>
      </c>
      <c r="L76" s="19">
        <f>F76/K76</f>
        <v/>
      </c>
      <c r="M76" s="16">
        <f>J76-G76</f>
        <v/>
      </c>
      <c r="N76" s="5">
        <f>IF(AND(L76&lt;=DATOS!$B$36,M76&gt;=DATOS!$B$37,I76&lt;=1),"CUMPLE","NO CUMPLE")</f>
        <v/>
      </c>
      <c r="O76" s="5">
        <f>IF(AND(A76&gt;=DATOS!$B$30,A76&lt;DATOS!$B$31),"cruce de camiones",IF(AND(A76&gt;=DATOS!$B$32,A76&lt;DATOS!$B$33),"cruce de motos","tramo normal"))</f>
        <v/>
      </c>
      <c r="P76" s="5">
        <f>E76*1.001</f>
        <v/>
      </c>
      <c r="Q76" s="13" t="n">
        <v>3</v>
      </c>
      <c r="R76" s="5">
        <f>IF((((P76+Q76)/2)+(C76/(D76*((P76+Q76)/2)))^2/(2*9.81)+B76-(G75+H75^2/(2*9.81))-(A75-A76)*(((DATOS!$B$34*(C76/(D76*((P76+Q76)/2)))/((D76*((P76+Q76)/2))/(D76+2*((P76+Q76)/2)))^(2/3))^2+((DATOS!$B$34*H75/((D75*F75)/(D75+2*F75))^(2/3))^2))/2))&gt;0,P76,((P76+Q76)/2))</f>
        <v/>
      </c>
      <c r="S76" s="5">
        <f>IF((((P76+Q76)/2)+(C76/(D76*((P76+Q76)/2)))^2/(2*9.81)+B76-(G75+H75^2/(2*9.81))-(A75-A76)*(((DATOS!$B$34*(C76/(D76*((P76+Q76)/2)))/((D76*((P76+Q76)/2))/(D76+2*((P76+Q76)/2)))^(2/3))^2+((DATOS!$B$34*H75/((D75*F75)/(D75+2*F75))^(2/3))^2))/2))&gt;0,((P76+Q76)/2),Q76)</f>
        <v/>
      </c>
      <c r="T76" s="5">
        <f>IF((((R76+S76)/2)+(C76/(D76*((R76+S76)/2)))^2/(2*9.81)+B76-(G75+H75^2/(2*9.81))-(A75-A76)*(((DATOS!$B$34*(C76/(D76*((R76+S76)/2)))/((D76*((R76+S76)/2))/(D76+2*((R76+S76)/2)))^(2/3))^2+((DATOS!$B$34*H75/((D75*F75)/(D75+2*F75))^(2/3))^2))/2))&gt;0,R76,((R76+S76)/2))</f>
        <v/>
      </c>
      <c r="U76" s="5">
        <f>IF((((R76+S76)/2)+(C76/(D76*((R76+S76)/2)))^2/(2*9.81)+B76-(G75+H75^2/(2*9.81))-(A75-A76)*(((DATOS!$B$34*(C76/(D76*((R76+S76)/2)))/((D76*((R76+S76)/2))/(D76+2*((R76+S76)/2)))^(2/3))^2+((DATOS!$B$34*H75/((D75*F75)/(D75+2*F75))^(2/3))^2))/2))&gt;0,((R76+S76)/2),S76)</f>
        <v/>
      </c>
      <c r="V76" s="5">
        <f>IF((((T76+U76)/2)+(C76/(D76*((T76+U76)/2)))^2/(2*9.81)+B76-(G75+H75^2/(2*9.81))-(A75-A76)*(((DATOS!$B$34*(C76/(D76*((T76+U76)/2)))/((D76*((T76+U76)/2))/(D76+2*((T76+U76)/2)))^(2/3))^2+((DATOS!$B$34*H75/((D75*F75)/(D75+2*F75))^(2/3))^2))/2))&gt;0,T76,((T76+U76)/2))</f>
        <v/>
      </c>
      <c r="W76" s="5">
        <f>IF((((T76+U76)/2)+(C76/(D76*((T76+U76)/2)))^2/(2*9.81)+B76-(G75+H75^2/(2*9.81))-(A75-A76)*(((DATOS!$B$34*(C76/(D76*((T76+U76)/2)))/((D76*((T76+U76)/2))/(D76+2*((T76+U76)/2)))^(2/3))^2+((DATOS!$B$34*H75/((D75*F75)/(D75+2*F75))^(2/3))^2))/2))&gt;0,((T76+U76)/2),U76)</f>
        <v/>
      </c>
      <c r="X76" s="5">
        <f>IF((((V76+W76)/2)+(C76/(D76*((V76+W76)/2)))^2/(2*9.81)+B76-(G75+H75^2/(2*9.81))-(A75-A76)*(((DATOS!$B$34*(C76/(D76*((V76+W76)/2)))/((D76*((V76+W76)/2))/(D76+2*((V76+W76)/2)))^(2/3))^2+((DATOS!$B$34*H75/((D75*F75)/(D75+2*F75))^(2/3))^2))/2))&gt;0,V76,((V76+W76)/2))</f>
        <v/>
      </c>
      <c r="Y76" s="5">
        <f>IF((((V76+W76)/2)+(C76/(D76*((V76+W76)/2)))^2/(2*9.81)+B76-(G75+H75^2/(2*9.81))-(A75-A76)*(((DATOS!$B$34*(C76/(D76*((V76+W76)/2)))/((D76*((V76+W76)/2))/(D76+2*((V76+W76)/2)))^(2/3))^2+((DATOS!$B$34*H75/((D75*F75)/(D75+2*F75))^(2/3))^2))/2))&gt;0,((V76+W76)/2),W76)</f>
        <v/>
      </c>
      <c r="Z76" s="5">
        <f>IF((((X76+Y76)/2)+(C76/(D76*((X76+Y76)/2)))^2/(2*9.81)+B76-(G75+H75^2/(2*9.81))-(A75-A76)*(((DATOS!$B$34*(C76/(D76*((X76+Y76)/2)))/((D76*((X76+Y76)/2))/(D76+2*((X76+Y76)/2)))^(2/3))^2+((DATOS!$B$34*H75/((D75*F75)/(D75+2*F75))^(2/3))^2))/2))&gt;0,X76,((X76+Y76)/2))</f>
        <v/>
      </c>
      <c r="AA76" s="5">
        <f>IF((((X76+Y76)/2)+(C76/(D76*((X76+Y76)/2)))^2/(2*9.81)+B76-(G75+H75^2/(2*9.81))-(A75-A76)*(((DATOS!$B$34*(C76/(D76*((X76+Y76)/2)))/((D76*((X76+Y76)/2))/(D76+2*((X76+Y76)/2)))^(2/3))^2+((DATOS!$B$34*H75/((D75*F75)/(D75+2*F75))^(2/3))^2))/2))&gt;0,((X76+Y76)/2),Y76)</f>
        <v/>
      </c>
      <c r="AB76" s="5">
        <f>IF((((Z76+AA76)/2)+(C76/(D76*((Z76+AA76)/2)))^2/(2*9.81)+B76-(G75+H75^2/(2*9.81))-(A75-A76)*(((DATOS!$B$34*(C76/(D76*((Z76+AA76)/2)))/((D76*((Z76+AA76)/2))/(D76+2*((Z76+AA76)/2)))^(2/3))^2+((DATOS!$B$34*H75/((D75*F75)/(D75+2*F75))^(2/3))^2))/2))&gt;0,Z76,((Z76+AA76)/2))</f>
        <v/>
      </c>
      <c r="AC76" s="5">
        <f>IF((((Z76+AA76)/2)+(C76/(D76*((Z76+AA76)/2)))^2/(2*9.81)+B76-(G75+H75^2/(2*9.81))-(A75-A76)*(((DATOS!$B$34*(C76/(D76*((Z76+AA76)/2)))/((D76*((Z76+AA76)/2))/(D76+2*((Z76+AA76)/2)))^(2/3))^2+((DATOS!$B$34*H75/((D75*F75)/(D75+2*F75))^(2/3))^2))/2))&gt;0,((Z76+AA76)/2),AA76)</f>
        <v/>
      </c>
      <c r="AD76" s="5">
        <f>IF((((AB76+AC76)/2)+(C76/(D76*((AB76+AC76)/2)))^2/(2*9.81)+B76-(G75+H75^2/(2*9.81))-(A75-A76)*(((DATOS!$B$34*(C76/(D76*((AB76+AC76)/2)))/((D76*((AB76+AC76)/2))/(D76+2*((AB76+AC76)/2)))^(2/3))^2+((DATOS!$B$34*H75/((D75*F75)/(D75+2*F75))^(2/3))^2))/2))&gt;0,AB76,((AB76+AC76)/2))</f>
        <v/>
      </c>
      <c r="AE76" s="5">
        <f>IF((((AB76+AC76)/2)+(C76/(D76*((AB76+AC76)/2)))^2/(2*9.81)+B76-(G75+H75^2/(2*9.81))-(A75-A76)*(((DATOS!$B$34*(C76/(D76*((AB76+AC76)/2)))/((D76*((AB76+AC76)/2))/(D76+2*((AB76+AC76)/2)))^(2/3))^2+((DATOS!$B$34*H75/((D75*F75)/(D75+2*F75))^(2/3))^2))/2))&gt;0,((AB76+AC76)/2),AC76)</f>
        <v/>
      </c>
      <c r="AF76" s="5">
        <f>IF((((AD76+AE76)/2)+(C76/(D76*((AD76+AE76)/2)))^2/(2*9.81)+B76-(G75+H75^2/(2*9.81))-(A75-A76)*(((DATOS!$B$34*(C76/(D76*((AD76+AE76)/2)))/((D76*((AD76+AE76)/2))/(D76+2*((AD76+AE76)/2)))^(2/3))^2+((DATOS!$B$34*H75/((D75*F75)/(D75+2*F75))^(2/3))^2))/2))&gt;0,AD76,((AD76+AE76)/2))</f>
        <v/>
      </c>
      <c r="AG76" s="5">
        <f>IF((((AD76+AE76)/2)+(C76/(D76*((AD76+AE76)/2)))^2/(2*9.81)+B76-(G75+H75^2/(2*9.81))-(A75-A76)*(((DATOS!$B$34*(C76/(D76*((AD76+AE76)/2)))/((D76*((AD76+AE76)/2))/(D76+2*((AD76+AE76)/2)))^(2/3))^2+((DATOS!$B$34*H75/((D75*F75)/(D75+2*F75))^(2/3))^2))/2))&gt;0,((AD76+AE76)/2),AE76)</f>
        <v/>
      </c>
      <c r="AH76" s="5">
        <f>IF((((AF76+AG76)/2)+(C76/(D76*((AF76+AG76)/2)))^2/(2*9.81)+B76-(G75+H75^2/(2*9.81))-(A75-A76)*(((DATOS!$B$34*(C76/(D76*((AF76+AG76)/2)))/((D76*((AF76+AG76)/2))/(D76+2*((AF76+AG76)/2)))^(2/3))^2+((DATOS!$B$34*H75/((D75*F75)/(D75+2*F75))^(2/3))^2))/2))&gt;0,AF76,((AF76+AG76)/2))</f>
        <v/>
      </c>
      <c r="AI76" s="5">
        <f>IF((((AF76+AG76)/2)+(C76/(D76*((AF76+AG76)/2)))^2/(2*9.81)+B76-(G75+H75^2/(2*9.81))-(A75-A76)*(((DATOS!$B$34*(C76/(D76*((AF76+AG76)/2)))/((D76*((AF76+AG76)/2))/(D76+2*((AF76+AG76)/2)))^(2/3))^2+((DATOS!$B$34*H75/((D75*F75)/(D75+2*F75))^(2/3))^2))/2))&gt;0,((AF76+AG76)/2),AG76)</f>
        <v/>
      </c>
      <c r="AJ76" s="5">
        <f>IF((((AH76+AI76)/2)+(C76/(D76*((AH76+AI76)/2)))^2/(2*9.81)+B76-(G75+H75^2/(2*9.81))-(A75-A76)*(((DATOS!$B$34*(C76/(D76*((AH76+AI76)/2)))/((D76*((AH76+AI76)/2))/(D76+2*((AH76+AI76)/2)))^(2/3))^2+((DATOS!$B$34*H75/((D75*F75)/(D75+2*F75))^(2/3))^2))/2))&gt;0,AH76,((AH76+AI76)/2))</f>
        <v/>
      </c>
      <c r="AK76" s="5">
        <f>IF((((AH76+AI76)/2)+(C76/(D76*((AH76+AI76)/2)))^2/(2*9.81)+B76-(G75+H75^2/(2*9.81))-(A75-A76)*(((DATOS!$B$34*(C76/(D76*((AH76+AI76)/2)))/((D76*((AH76+AI76)/2))/(D76+2*((AH76+AI76)/2)))^(2/3))^2+((DATOS!$B$34*H75/((D75*F75)/(D75+2*F75))^(2/3))^2))/2))&gt;0,((AH76+AI76)/2),AI76)</f>
        <v/>
      </c>
      <c r="AL76" s="5">
        <f>IF((((AJ76+AK76)/2)+(C76/(D76*((AJ76+AK76)/2)))^2/(2*9.81)+B76-(G75+H75^2/(2*9.81))-(A75-A76)*(((DATOS!$B$34*(C76/(D76*((AJ76+AK76)/2)))/((D76*((AJ76+AK76)/2))/(D76+2*((AJ76+AK76)/2)))^(2/3))^2+((DATOS!$B$34*H75/((D75*F75)/(D75+2*F75))^(2/3))^2))/2))&gt;0,AJ76,((AJ76+AK76)/2))</f>
        <v/>
      </c>
      <c r="AM76" s="5">
        <f>IF((((AJ76+AK76)/2)+(C76/(D76*((AJ76+AK76)/2)))^2/(2*9.81)+B76-(G75+H75^2/(2*9.81))-(A75-A76)*(((DATOS!$B$34*(C76/(D76*((AJ76+AK76)/2)))/((D76*((AJ76+AK76)/2))/(D76+2*((AJ76+AK76)/2)))^(2/3))^2+((DATOS!$B$34*H75/((D75*F75)/(D75+2*F75))^(2/3))^2))/2))&gt;0,((AJ76+AK76)/2),AK76)</f>
        <v/>
      </c>
      <c r="AN76" s="5">
        <f>IF((((AL76+AM76)/2)+(C76/(D76*((AL76+AM76)/2)))^2/(2*9.81)+B76-(G75+H75^2/(2*9.81))-(A75-A76)*(((DATOS!$B$34*(C76/(D76*((AL76+AM76)/2)))/((D76*((AL76+AM76)/2))/(D76+2*((AL76+AM76)/2)))^(2/3))^2+((DATOS!$B$34*H75/((D75*F75)/(D75+2*F75))^(2/3))^2))/2))&gt;0,AL76,((AL76+AM76)/2))</f>
        <v/>
      </c>
      <c r="AO76" s="5">
        <f>IF((((AL76+AM76)/2)+(C76/(D76*((AL76+AM76)/2)))^2/(2*9.81)+B76-(G75+H75^2/(2*9.81))-(A75-A76)*(((DATOS!$B$34*(C76/(D76*((AL76+AM76)/2)))/((D76*((AL76+AM76)/2))/(D76+2*((AL76+AM76)/2)))^(2/3))^2+((DATOS!$B$34*H75/((D75*F75)/(D75+2*F75))^(2/3))^2))/2))&gt;0,((AL76+AM76)/2),AM76)</f>
        <v/>
      </c>
      <c r="AP76" s="5">
        <f>IF((((AN76+AO76)/2)+(C76/(D76*((AN76+AO76)/2)))^2/(2*9.81)+B76-(G75+H75^2/(2*9.81))-(A75-A76)*(((DATOS!$B$34*(C76/(D76*((AN76+AO76)/2)))/((D76*((AN76+AO76)/2))/(D76+2*((AN76+AO76)/2)))^(2/3))^2+((DATOS!$B$34*H75/((D75*F75)/(D75+2*F75))^(2/3))^2))/2))&gt;0,AN76,((AN76+AO76)/2))</f>
        <v/>
      </c>
      <c r="AQ76" s="5">
        <f>IF((((AN76+AO76)/2)+(C76/(D76*((AN76+AO76)/2)))^2/(2*9.81)+B76-(G75+H75^2/(2*9.81))-(A75-A76)*(((DATOS!$B$34*(C76/(D76*((AN76+AO76)/2)))/((D76*((AN76+AO76)/2))/(D76+2*((AN76+AO76)/2)))^(2/3))^2+((DATOS!$B$34*H75/((D75*F75)/(D75+2*F75))^(2/3))^2))/2))&gt;0,((AN76+AO76)/2),AO76)</f>
        <v/>
      </c>
      <c r="AR76" s="5">
        <f>IF((((AP76+AQ76)/2)+(C76/(D76*((AP76+AQ76)/2)))^2/(2*9.81)+B76-(G75+H75^2/(2*9.81))-(A75-A76)*(((DATOS!$B$34*(C76/(D76*((AP76+AQ76)/2)))/((D76*((AP76+AQ76)/2))/(D76+2*((AP76+AQ76)/2)))^(2/3))^2+((DATOS!$B$34*H75/((D75*F75)/(D75+2*F75))^(2/3))^2))/2))&gt;0,AP76,((AP76+AQ76)/2))</f>
        <v/>
      </c>
      <c r="AS76" s="5">
        <f>IF((((AP76+AQ76)/2)+(C76/(D76*((AP76+AQ76)/2)))^2/(2*9.81)+B76-(G75+H75^2/(2*9.81))-(A75-A76)*(((DATOS!$B$34*(C76/(D76*((AP76+AQ76)/2)))/((D76*((AP76+AQ76)/2))/(D76+2*((AP76+AQ76)/2)))^(2/3))^2+((DATOS!$B$34*H75/((D75*F75)/(D75+2*F75))^(2/3))^2))/2))&gt;0,((AP76+AQ76)/2),AQ76)</f>
        <v/>
      </c>
      <c r="AT76" s="5">
        <f>IF((((AR76+AS76)/2)+(C76/(D76*((AR76+AS76)/2)))^2/(2*9.81)+B76-(G75+H75^2/(2*9.81))-(A75-A76)*(((DATOS!$B$34*(C76/(D76*((AR76+AS76)/2)))/((D76*((AR76+AS76)/2))/(D76+2*((AR76+AS76)/2)))^(2/3))^2+((DATOS!$B$34*H75/((D75*F75)/(D75+2*F75))^(2/3))^2))/2))&gt;0,AR76,((AR76+AS76)/2))</f>
        <v/>
      </c>
      <c r="AU76" s="5">
        <f>IF((((AR76+AS76)/2)+(C76/(D76*((AR76+AS76)/2)))^2/(2*9.81)+B76-(G75+H75^2/(2*9.81))-(A75-A76)*(((DATOS!$B$34*(C76/(D76*((AR76+AS76)/2)))/((D76*((AR76+AS76)/2))/(D76+2*((AR76+AS76)/2)))^(2/3))^2+((DATOS!$B$34*H75/((D75*F75)/(D75+2*F75))^(2/3))^2))/2))&gt;0,((AR76+AS76)/2),AS76)</f>
        <v/>
      </c>
      <c r="AV76" s="5">
        <f>IF((((AT76+AU76)/2)+(C76/(D76*((AT76+AU76)/2)))^2/(2*9.81)+B76-(G75+H75^2/(2*9.81))-(A75-A76)*(((DATOS!$B$34*(C76/(D76*((AT76+AU76)/2)))/((D76*((AT76+AU76)/2))/(D76+2*((AT76+AU76)/2)))^(2/3))^2+((DATOS!$B$34*H75/((D75*F75)/(D75+2*F75))^(2/3))^2))/2))&gt;0,AT76,((AT76+AU76)/2))</f>
        <v/>
      </c>
      <c r="AW76" s="5">
        <f>IF((((AT76+AU76)/2)+(C76/(D76*((AT76+AU76)/2)))^2/(2*9.81)+B76-(G75+H75^2/(2*9.81))-(A75-A76)*(((DATOS!$B$34*(C76/(D76*((AT76+AU76)/2)))/((D76*((AT76+AU76)/2))/(D76+2*((AT76+AU76)/2)))^(2/3))^2+((DATOS!$B$34*H75/((D75*F75)/(D75+2*F75))^(2/3))^2))/2))&gt;0,((AT76+AU76)/2),AU76)</f>
        <v/>
      </c>
      <c r="AX76" s="5">
        <f>IF((((AV76+AW76)/2)+(C76/(D76*((AV76+AW76)/2)))^2/(2*9.81)+B76-(G75+H75^2/(2*9.81))-(A75-A76)*(((DATOS!$B$34*(C76/(D76*((AV76+AW76)/2)))/((D76*((AV76+AW76)/2))/(D76+2*((AV76+AW76)/2)))^(2/3))^2+((DATOS!$B$34*H75/((D75*F75)/(D75+2*F75))^(2/3))^2))/2))&gt;0,AV76,((AV76+AW76)/2))</f>
        <v/>
      </c>
      <c r="AY76" s="5">
        <f>IF((((AV76+AW76)/2)+(C76/(D76*((AV76+AW76)/2)))^2/(2*9.81)+B76-(G75+H75^2/(2*9.81))-(A75-A76)*(((DATOS!$B$34*(C76/(D76*((AV76+AW76)/2)))/((D76*((AV76+AW76)/2))/(D76+2*((AV76+AW76)/2)))^(2/3))^2+((DATOS!$B$34*H75/((D75*F75)/(D75+2*F75))^(2/3))^2))/2))&gt;0,((AV76+AW76)/2),AW76)</f>
        <v/>
      </c>
      <c r="AZ76" s="5">
        <f>IF((((AX76+AY76)/2)+(C76/(D76*((AX76+AY76)/2)))^2/(2*9.81)+B76-(G75+H75^2/(2*9.81))-(A75-A76)*(((DATOS!$B$34*(C76/(D76*((AX76+AY76)/2)))/((D76*((AX76+AY76)/2))/(D76+2*((AX76+AY76)/2)))^(2/3))^2+((DATOS!$B$34*H75/((D75*F75)/(D75+2*F75))^(2/3))^2))/2))&gt;0,AX76,((AX76+AY76)/2))</f>
        <v/>
      </c>
      <c r="BA76" s="5">
        <f>IF((((AX76+AY76)/2)+(C76/(D76*((AX76+AY76)/2)))^2/(2*9.81)+B76-(G75+H75^2/(2*9.81))-(A75-A76)*(((DATOS!$B$34*(C76/(D76*((AX76+AY76)/2)))/((D76*((AX76+AY76)/2))/(D76+2*((AX76+AY76)/2)))^(2/3))^2+((DATOS!$B$34*H75/((D75*F75)/(D75+2*F75))^(2/3))^2))/2))&gt;0,((AX76+AY76)/2),AY76)</f>
        <v/>
      </c>
      <c r="BB76" s="5">
        <f>IF((((AZ76+BA76)/2)+(C76/(D76*((AZ76+BA76)/2)))^2/(2*9.81)+B76-(G75+H75^2/(2*9.81))-(A75-A76)*(((DATOS!$B$34*(C76/(D76*((AZ76+BA76)/2)))/((D76*((AZ76+BA76)/2))/(D76+2*((AZ76+BA76)/2)))^(2/3))^2+((DATOS!$B$34*H75/((D75*F75)/(D75+2*F75))^(2/3))^2))/2))&gt;0,AZ76,((AZ76+BA76)/2))</f>
        <v/>
      </c>
      <c r="BC76" s="5">
        <f>IF((((AZ76+BA76)/2)+(C76/(D76*((AZ76+BA76)/2)))^2/(2*9.81)+B76-(G75+H75^2/(2*9.81))-(A75-A76)*(((DATOS!$B$34*(C76/(D76*((AZ76+BA76)/2)))/((D76*((AZ76+BA76)/2))/(D76+2*((AZ76+BA76)/2)))^(2/3))^2+((DATOS!$B$34*H75/((D75*F75)/(D75+2*F75))^(2/3))^2))/2))&gt;0,((AZ76+BA76)/2),BA76)</f>
        <v/>
      </c>
      <c r="BD76" s="5">
        <f>IF((((BB76+BC76)/2)+(C76/(D76*((BB76+BC76)/2)))^2/(2*9.81)+B76-(G75+H75^2/(2*9.81))-(A75-A76)*(((DATOS!$B$34*(C76/(D76*((BB76+BC76)/2)))/((D76*((BB76+BC76)/2))/(D76+2*((BB76+BC76)/2)))^(2/3))^2+((DATOS!$B$34*H75/((D75*F75)/(D75+2*F75))^(2/3))^2))/2))&gt;0,BB76,((BB76+BC76)/2))</f>
        <v/>
      </c>
      <c r="BE76" s="5">
        <f>IF((((BB76+BC76)/2)+(C76/(D76*((BB76+BC76)/2)))^2/(2*9.81)+B76-(G75+H75^2/(2*9.81))-(A75-A76)*(((DATOS!$B$34*(C76/(D76*((BB76+BC76)/2)))/((D76*((BB76+BC76)/2))/(D76+2*((BB76+BC76)/2)))^(2/3))^2+((DATOS!$B$34*H75/((D75*F75)/(D75+2*F75))^(2/3))^2))/2))&gt;0,((BB76+BC76)/2),BC76)</f>
        <v/>
      </c>
      <c r="BF76" s="5">
        <f>IF((((BD76+BE76)/2)+(C76/(D76*((BD76+BE76)/2)))^2/(2*9.81)+B76-(G75+H75^2/(2*9.81))-(A75-A76)*(((DATOS!$B$34*(C76/(D76*((BD76+BE76)/2)))/((D76*((BD76+BE76)/2))/(D76+2*((BD76+BE76)/2)))^(2/3))^2+((DATOS!$B$34*H75/((D75*F75)/(D75+2*F75))^(2/3))^2))/2))&gt;0,BD76,((BD76+BE76)/2))</f>
        <v/>
      </c>
      <c r="BG76" s="5">
        <f>IF((((BD76+BE76)/2)+(C76/(D76*((BD76+BE76)/2)))^2/(2*9.81)+B76-(G75+H75^2/(2*9.81))-(A75-A76)*(((DATOS!$B$34*(C76/(D76*((BD76+BE76)/2)))/((D76*((BD76+BE76)/2))/(D76+2*((BD76+BE76)/2)))^(2/3))^2+((DATOS!$B$34*H75/((D75*F75)/(D75+2*F75))^(2/3))^2))/2))&gt;0,((BD76+BE76)/2),BE76)</f>
        <v/>
      </c>
      <c r="BH76" s="5">
        <f>IF((((BF76+BG76)/2)+(C76/(D76*((BF76+BG76)/2)))^2/(2*9.81)+B76-(G75+H75^2/(2*9.81))-(A75-A76)*(((DATOS!$B$34*(C76/(D76*((BF76+BG76)/2)))/((D76*((BF76+BG76)/2))/(D76+2*((BF76+BG76)/2)))^(2/3))^2+((DATOS!$B$34*H75/((D75*F75)/(D75+2*F75))^(2/3))^2))/2))&gt;0,BF76,((BF76+BG76)/2))</f>
        <v/>
      </c>
      <c r="BI76" s="5">
        <f>IF((((BF76+BG76)/2)+(C76/(D76*((BF76+BG76)/2)))^2/(2*9.81)+B76-(G75+H75^2/(2*9.81))-(A75-A76)*(((DATOS!$B$34*(C76/(D76*((BF76+BG76)/2)))/((D76*((BF76+BG76)/2))/(D76+2*((BF76+BG76)/2)))^(2/3))^2+((DATOS!$B$34*H75/((D75*F75)/(D75+2*F75))^(2/3))^2))/2))&gt;0,((BF76+BG76)/2),BG76)</f>
        <v/>
      </c>
      <c r="BJ76" s="5">
        <f>IF((((BH76+BI76)/2)+(C76/(D76*((BH76+BI76)/2)))^2/(2*9.81)+B76-(G75+H75^2/(2*9.81))-(A75-A76)*(((DATOS!$B$34*(C76/(D76*((BH76+BI76)/2)))/((D76*((BH76+BI76)/2))/(D76+2*((BH76+BI76)/2)))^(2/3))^2+((DATOS!$B$34*H75/((D75*F75)/(D75+2*F75))^(2/3))^2))/2))&gt;0,BH76,((BH76+BI76)/2))</f>
        <v/>
      </c>
      <c r="BK76" s="5">
        <f>IF((((BH76+BI76)/2)+(C76/(D76*((BH76+BI76)/2)))^2/(2*9.81)+B76-(G75+H75^2/(2*9.81))-(A75-A76)*(((DATOS!$B$34*(C76/(D76*((BH76+BI76)/2)))/((D76*((BH76+BI76)/2))/(D76+2*((BH76+BI76)/2)))^(2/3))^2+((DATOS!$B$34*H75/((D75*F75)/(D75+2*F75))^(2/3))^2))/2))&gt;0,((BH76+BI76)/2),BI76)</f>
        <v/>
      </c>
      <c r="BL76" s="5">
        <f>IF((((BJ76+BK76)/2)+(C76/(D76*((BJ76+BK76)/2)))^2/(2*9.81)+B76-(G75+H75^2/(2*9.81))-(A75-A76)*(((DATOS!$B$34*(C76/(D76*((BJ76+BK76)/2)))/((D76*((BJ76+BK76)/2))/(D76+2*((BJ76+BK76)/2)))^(2/3))^2+((DATOS!$B$34*H75/((D75*F75)/(D75+2*F75))^(2/3))^2))/2))&gt;0,BJ76,((BJ76+BK76)/2))</f>
        <v/>
      </c>
      <c r="BM76" s="5">
        <f>IF((((BJ76+BK76)/2)+(C76/(D76*((BJ76+BK76)/2)))^2/(2*9.81)+B76-(G75+H75^2/(2*9.81))-(A75-A76)*(((DATOS!$B$34*(C76/(D76*((BJ76+BK76)/2)))/((D76*((BJ76+BK76)/2))/(D76+2*((BJ76+BK76)/2)))^(2/3))^2+((DATOS!$B$34*H75/((D75*F75)/(D75+2*F75))^(2/3))^2))/2))&gt;0,((BJ76+BK76)/2),BK76)</f>
        <v/>
      </c>
      <c r="BN76" s="5">
        <f>IF((((BL76+BM76)/2)+(C76/(D76*((BL76+BM76)/2)))^2/(2*9.81)+B76-(G75+H75^2/(2*9.81))-(A75-A76)*(((DATOS!$B$34*(C76/(D76*((BL76+BM76)/2)))/((D76*((BL76+BM76)/2))/(D76+2*((BL76+BM76)/2)))^(2/3))^2+((DATOS!$B$34*H75/((D75*F75)/(D75+2*F75))^(2/3))^2))/2))&gt;0,BL76,((BL76+BM76)/2))</f>
        <v/>
      </c>
      <c r="BO76" s="5">
        <f>IF((((BL76+BM76)/2)+(C76/(D76*((BL76+BM76)/2)))^2/(2*9.81)+B76-(G75+H75^2/(2*9.81))-(A75-A76)*(((DATOS!$B$34*(C76/(D76*((BL76+BM76)/2)))/((D76*((BL76+BM76)/2))/(D76+2*((BL76+BM76)/2)))^(2/3))^2+((DATOS!$B$34*H75/((D75*F75)/(D75+2*F75))^(2/3))^2))/2))&gt;0,((BL76+BM76)/2),BM76)</f>
        <v/>
      </c>
      <c r="BP76" s="5">
        <f>IF((((BN76+BO76)/2)+(C76/(D76*((BN76+BO76)/2)))^2/(2*9.81)+B76-(G75+H75^2/(2*9.81))-(A75-A76)*(((DATOS!$B$34*(C76/(D76*((BN76+BO76)/2)))/((D76*((BN76+BO76)/2))/(D76+2*((BN76+BO76)/2)))^(2/3))^2+((DATOS!$B$34*H75/((D75*F75)/(D75+2*F75))^(2/3))^2))/2))&gt;0,BN76,((BN76+BO76)/2))</f>
        <v/>
      </c>
      <c r="BQ76" s="5">
        <f>IF((((BN76+BO76)/2)+(C76/(D76*((BN76+BO76)/2)))^2/(2*9.81)+B76-(G75+H75^2/(2*9.81))-(A75-A76)*(((DATOS!$B$34*(C76/(D76*((BN76+BO76)/2)))/((D76*((BN76+BO76)/2))/(D76+2*((BN76+BO76)/2)))^(2/3))^2+((DATOS!$B$34*H75/((D75*F75)/(D75+2*F75))^(2/3))^2))/2))&gt;0,((BN76+BO76)/2),BO76)</f>
        <v/>
      </c>
      <c r="BR76" s="5">
        <f>IF((((BP76+BQ76)/2)+(C76/(D76*((BP76+BQ76)/2)))^2/(2*9.81)+B76-(G75+H75^2/(2*9.81))-(A75-A76)*(((DATOS!$B$34*(C76/(D76*((BP76+BQ76)/2)))/((D76*((BP76+BQ76)/2))/(D76+2*((BP76+BQ76)/2)))^(2/3))^2+((DATOS!$B$34*H75/((D75*F75)/(D75+2*F75))^(2/3))^2))/2))&gt;0,BP76,((BP76+BQ76)/2))</f>
        <v/>
      </c>
      <c r="BS76" s="5">
        <f>IF((((BP76+BQ76)/2)+(C76/(D76*((BP76+BQ76)/2)))^2/(2*9.81)+B76-(G75+H75^2/(2*9.81))-(A75-A76)*(((DATOS!$B$34*(C76/(D76*((BP76+BQ76)/2)))/((D76*((BP76+BQ76)/2))/(D76+2*((BP76+BQ76)/2)))^(2/3))^2+((DATOS!$B$34*H75/((D75*F75)/(D75+2*F75))^(2/3))^2))/2))&gt;0,((BP76+BQ76)/2),BQ76)</f>
        <v/>
      </c>
      <c r="BT76" s="5">
        <f>IF((((BR76+BS76)/2)+(C76/(D76*((BR76+BS76)/2)))^2/(2*9.81)+B76-(G75+H75^2/(2*9.81))-(A75-A76)*(((DATOS!$B$34*(C76/(D76*((BR76+BS76)/2)))/((D76*((BR76+BS76)/2))/(D76+2*((BR76+BS76)/2)))^(2/3))^2+((DATOS!$B$34*H75/((D75*F75)/(D75+2*F75))^(2/3))^2))/2))&gt;0,BR76,((BR76+BS76)/2))</f>
        <v/>
      </c>
      <c r="BU76" s="5">
        <f>IF((((BR76+BS76)/2)+(C76/(D76*((BR76+BS76)/2)))^2/(2*9.81)+B76-(G75+H75^2/(2*9.81))-(A75-A76)*(((DATOS!$B$34*(C76/(D76*((BR76+BS76)/2)))/((D76*((BR76+BS76)/2))/(D76+2*((BR76+BS76)/2)))^(2/3))^2+((DATOS!$B$34*H75/((D75*F75)/(D75+2*F75))^(2/3))^2))/2))&gt;0,((BR76+BS76)/2),BS76)</f>
        <v/>
      </c>
      <c r="BV76" s="5">
        <f>IF((((BT76+BU76)/2)+(C76/(D76*((BT76+BU76)/2)))^2/(2*9.81)+B76-(G75+H75^2/(2*9.81))-(A75-A76)*(((DATOS!$B$34*(C76/(D76*((BT76+BU76)/2)))/((D76*((BT76+BU76)/2))/(D76+2*((BT76+BU76)/2)))^(2/3))^2+((DATOS!$B$34*H75/((D75*F75)/(D75+2*F75))^(2/3))^2))/2))&gt;0,BT76,((BT76+BU76)/2))</f>
        <v/>
      </c>
      <c r="BW76" s="5">
        <f>IF((((BT76+BU76)/2)+(C76/(D76*((BT76+BU76)/2)))^2/(2*9.81)+B76-(G75+H75^2/(2*9.81))-(A75-A76)*(((DATOS!$B$34*(C76/(D76*((BT76+BU76)/2)))/((D76*((BT76+BU76)/2))/(D76+2*((BT76+BU76)/2)))^(2/3))^2+((DATOS!$B$34*H75/((D75*F75)/(D75+2*F75))^(2/3))^2))/2))&gt;0,((BT76+BU76)/2),BU76)</f>
        <v/>
      </c>
    </row>
    <row r="77">
      <c r="A77" s="13" t="n">
        <v>11.27</v>
      </c>
      <c r="B77" s="16">
        <f>DATOS!$B$22-DATOS!$B$23*A77</f>
        <v/>
      </c>
      <c r="C77" s="24">
        <f>CAUDALES!$B$13</f>
        <v/>
      </c>
      <c r="D77" s="17">
        <f>DATOS!$B$17</f>
        <v/>
      </c>
      <c r="E77" s="16">
        <f>(C77^2/(9.81*D77^2))^(1/3)</f>
        <v/>
      </c>
      <c r="F77" s="16">
        <f>(BV77+BW77)/2</f>
        <v/>
      </c>
      <c r="G77" s="16">
        <f>B77+F77</f>
        <v/>
      </c>
      <c r="H77" s="19">
        <f>C77/(D77*F77)</f>
        <v/>
      </c>
      <c r="I77" s="19">
        <f>H77/SQRT(9.81*F77)</f>
        <v/>
      </c>
      <c r="J77" s="16">
        <f>DATOS!$B$29-IF(AND(A77&gt;=DATOS!$B$30,A77&lt;DATOS!$B$31),DATOS!$B$21,DATOS!$B$20)</f>
        <v/>
      </c>
      <c r="K77" s="19">
        <f>J77-B77</f>
        <v/>
      </c>
      <c r="L77" s="19">
        <f>F77/K77</f>
        <v/>
      </c>
      <c r="M77" s="16">
        <f>J77-G77</f>
        <v/>
      </c>
      <c r="N77" s="5">
        <f>IF(AND(L77&lt;=DATOS!$B$36,M77&gt;=DATOS!$B$37,I77&lt;=1),"CUMPLE","NO CUMPLE")</f>
        <v/>
      </c>
      <c r="O77" s="5">
        <f>IF(AND(A77&gt;=DATOS!$B$30,A77&lt;DATOS!$B$31),"cruce de camiones",IF(AND(A77&gt;=DATOS!$B$32,A77&lt;DATOS!$B$33),"cruce de motos","tramo normal"))</f>
        <v/>
      </c>
      <c r="P77" s="5">
        <f>E77*1.001</f>
        <v/>
      </c>
      <c r="Q77" s="13" t="n">
        <v>3</v>
      </c>
      <c r="R77" s="5">
        <f>IF((((P77+Q77)/2)+(C77/(D77*((P77+Q77)/2)))^2/(2*9.81)+B77-(G76+H76^2/(2*9.81))-(A76-A77)*(((DATOS!$B$34*(C77/(D77*((P77+Q77)/2)))/((D77*((P77+Q77)/2))/(D77+2*((P77+Q77)/2)))^(2/3))^2+((DATOS!$B$34*H76/((D76*F76)/(D76+2*F76))^(2/3))^2))/2))&gt;0,P77,((P77+Q77)/2))</f>
        <v/>
      </c>
      <c r="S77" s="5">
        <f>IF((((P77+Q77)/2)+(C77/(D77*((P77+Q77)/2)))^2/(2*9.81)+B77-(G76+H76^2/(2*9.81))-(A76-A77)*(((DATOS!$B$34*(C77/(D77*((P77+Q77)/2)))/((D77*((P77+Q77)/2))/(D77+2*((P77+Q77)/2)))^(2/3))^2+((DATOS!$B$34*H76/((D76*F76)/(D76+2*F76))^(2/3))^2))/2))&gt;0,((P77+Q77)/2),Q77)</f>
        <v/>
      </c>
      <c r="T77" s="5">
        <f>IF((((R77+S77)/2)+(C77/(D77*((R77+S77)/2)))^2/(2*9.81)+B77-(G76+H76^2/(2*9.81))-(A76-A77)*(((DATOS!$B$34*(C77/(D77*((R77+S77)/2)))/((D77*((R77+S77)/2))/(D77+2*((R77+S77)/2)))^(2/3))^2+((DATOS!$B$34*H76/((D76*F76)/(D76+2*F76))^(2/3))^2))/2))&gt;0,R77,((R77+S77)/2))</f>
        <v/>
      </c>
      <c r="U77" s="5">
        <f>IF((((R77+S77)/2)+(C77/(D77*((R77+S77)/2)))^2/(2*9.81)+B77-(G76+H76^2/(2*9.81))-(A76-A77)*(((DATOS!$B$34*(C77/(D77*((R77+S77)/2)))/((D77*((R77+S77)/2))/(D77+2*((R77+S77)/2)))^(2/3))^2+((DATOS!$B$34*H76/((D76*F76)/(D76+2*F76))^(2/3))^2))/2))&gt;0,((R77+S77)/2),S77)</f>
        <v/>
      </c>
      <c r="V77" s="5">
        <f>IF((((T77+U77)/2)+(C77/(D77*((T77+U77)/2)))^2/(2*9.81)+B77-(G76+H76^2/(2*9.81))-(A76-A77)*(((DATOS!$B$34*(C77/(D77*((T77+U77)/2)))/((D77*((T77+U77)/2))/(D77+2*((T77+U77)/2)))^(2/3))^2+((DATOS!$B$34*H76/((D76*F76)/(D76+2*F76))^(2/3))^2))/2))&gt;0,T77,((T77+U77)/2))</f>
        <v/>
      </c>
      <c r="W77" s="5">
        <f>IF((((T77+U77)/2)+(C77/(D77*((T77+U77)/2)))^2/(2*9.81)+B77-(G76+H76^2/(2*9.81))-(A76-A77)*(((DATOS!$B$34*(C77/(D77*((T77+U77)/2)))/((D77*((T77+U77)/2))/(D77+2*((T77+U77)/2)))^(2/3))^2+((DATOS!$B$34*H76/((D76*F76)/(D76+2*F76))^(2/3))^2))/2))&gt;0,((T77+U77)/2),U77)</f>
        <v/>
      </c>
      <c r="X77" s="5">
        <f>IF((((V77+W77)/2)+(C77/(D77*((V77+W77)/2)))^2/(2*9.81)+B77-(G76+H76^2/(2*9.81))-(A76-A77)*(((DATOS!$B$34*(C77/(D77*((V77+W77)/2)))/((D77*((V77+W77)/2))/(D77+2*((V77+W77)/2)))^(2/3))^2+((DATOS!$B$34*H76/((D76*F76)/(D76+2*F76))^(2/3))^2))/2))&gt;0,V77,((V77+W77)/2))</f>
        <v/>
      </c>
      <c r="Y77" s="5">
        <f>IF((((V77+W77)/2)+(C77/(D77*((V77+W77)/2)))^2/(2*9.81)+B77-(G76+H76^2/(2*9.81))-(A76-A77)*(((DATOS!$B$34*(C77/(D77*((V77+W77)/2)))/((D77*((V77+W77)/2))/(D77+2*((V77+W77)/2)))^(2/3))^2+((DATOS!$B$34*H76/((D76*F76)/(D76+2*F76))^(2/3))^2))/2))&gt;0,((V77+W77)/2),W77)</f>
        <v/>
      </c>
      <c r="Z77" s="5">
        <f>IF((((X77+Y77)/2)+(C77/(D77*((X77+Y77)/2)))^2/(2*9.81)+B77-(G76+H76^2/(2*9.81))-(A76-A77)*(((DATOS!$B$34*(C77/(D77*((X77+Y77)/2)))/((D77*((X77+Y77)/2))/(D77+2*((X77+Y77)/2)))^(2/3))^2+((DATOS!$B$34*H76/((D76*F76)/(D76+2*F76))^(2/3))^2))/2))&gt;0,X77,((X77+Y77)/2))</f>
        <v/>
      </c>
      <c r="AA77" s="5">
        <f>IF((((X77+Y77)/2)+(C77/(D77*((X77+Y77)/2)))^2/(2*9.81)+B77-(G76+H76^2/(2*9.81))-(A76-A77)*(((DATOS!$B$34*(C77/(D77*((X77+Y77)/2)))/((D77*((X77+Y77)/2))/(D77+2*((X77+Y77)/2)))^(2/3))^2+((DATOS!$B$34*H76/((D76*F76)/(D76+2*F76))^(2/3))^2))/2))&gt;0,((X77+Y77)/2),Y77)</f>
        <v/>
      </c>
      <c r="AB77" s="5">
        <f>IF((((Z77+AA77)/2)+(C77/(D77*((Z77+AA77)/2)))^2/(2*9.81)+B77-(G76+H76^2/(2*9.81))-(A76-A77)*(((DATOS!$B$34*(C77/(D77*((Z77+AA77)/2)))/((D77*((Z77+AA77)/2))/(D77+2*((Z77+AA77)/2)))^(2/3))^2+((DATOS!$B$34*H76/((D76*F76)/(D76+2*F76))^(2/3))^2))/2))&gt;0,Z77,((Z77+AA77)/2))</f>
        <v/>
      </c>
      <c r="AC77" s="5">
        <f>IF((((Z77+AA77)/2)+(C77/(D77*((Z77+AA77)/2)))^2/(2*9.81)+B77-(G76+H76^2/(2*9.81))-(A76-A77)*(((DATOS!$B$34*(C77/(D77*((Z77+AA77)/2)))/((D77*((Z77+AA77)/2))/(D77+2*((Z77+AA77)/2)))^(2/3))^2+((DATOS!$B$34*H76/((D76*F76)/(D76+2*F76))^(2/3))^2))/2))&gt;0,((Z77+AA77)/2),AA77)</f>
        <v/>
      </c>
      <c r="AD77" s="5">
        <f>IF((((AB77+AC77)/2)+(C77/(D77*((AB77+AC77)/2)))^2/(2*9.81)+B77-(G76+H76^2/(2*9.81))-(A76-A77)*(((DATOS!$B$34*(C77/(D77*((AB77+AC77)/2)))/((D77*((AB77+AC77)/2))/(D77+2*((AB77+AC77)/2)))^(2/3))^2+((DATOS!$B$34*H76/((D76*F76)/(D76+2*F76))^(2/3))^2))/2))&gt;0,AB77,((AB77+AC77)/2))</f>
        <v/>
      </c>
      <c r="AE77" s="5">
        <f>IF((((AB77+AC77)/2)+(C77/(D77*((AB77+AC77)/2)))^2/(2*9.81)+B77-(G76+H76^2/(2*9.81))-(A76-A77)*(((DATOS!$B$34*(C77/(D77*((AB77+AC77)/2)))/((D77*((AB77+AC77)/2))/(D77+2*((AB77+AC77)/2)))^(2/3))^2+((DATOS!$B$34*H76/((D76*F76)/(D76+2*F76))^(2/3))^2))/2))&gt;0,((AB77+AC77)/2),AC77)</f>
        <v/>
      </c>
      <c r="AF77" s="5">
        <f>IF((((AD77+AE77)/2)+(C77/(D77*((AD77+AE77)/2)))^2/(2*9.81)+B77-(G76+H76^2/(2*9.81))-(A76-A77)*(((DATOS!$B$34*(C77/(D77*((AD77+AE77)/2)))/((D77*((AD77+AE77)/2))/(D77+2*((AD77+AE77)/2)))^(2/3))^2+((DATOS!$B$34*H76/((D76*F76)/(D76+2*F76))^(2/3))^2))/2))&gt;0,AD77,((AD77+AE77)/2))</f>
        <v/>
      </c>
      <c r="AG77" s="5">
        <f>IF((((AD77+AE77)/2)+(C77/(D77*((AD77+AE77)/2)))^2/(2*9.81)+B77-(G76+H76^2/(2*9.81))-(A76-A77)*(((DATOS!$B$34*(C77/(D77*((AD77+AE77)/2)))/((D77*((AD77+AE77)/2))/(D77+2*((AD77+AE77)/2)))^(2/3))^2+((DATOS!$B$34*H76/((D76*F76)/(D76+2*F76))^(2/3))^2))/2))&gt;0,((AD77+AE77)/2),AE77)</f>
        <v/>
      </c>
      <c r="AH77" s="5">
        <f>IF((((AF77+AG77)/2)+(C77/(D77*((AF77+AG77)/2)))^2/(2*9.81)+B77-(G76+H76^2/(2*9.81))-(A76-A77)*(((DATOS!$B$34*(C77/(D77*((AF77+AG77)/2)))/((D77*((AF77+AG77)/2))/(D77+2*((AF77+AG77)/2)))^(2/3))^2+((DATOS!$B$34*H76/((D76*F76)/(D76+2*F76))^(2/3))^2))/2))&gt;0,AF77,((AF77+AG77)/2))</f>
        <v/>
      </c>
      <c r="AI77" s="5">
        <f>IF((((AF77+AG77)/2)+(C77/(D77*((AF77+AG77)/2)))^2/(2*9.81)+B77-(G76+H76^2/(2*9.81))-(A76-A77)*(((DATOS!$B$34*(C77/(D77*((AF77+AG77)/2)))/((D77*((AF77+AG77)/2))/(D77+2*((AF77+AG77)/2)))^(2/3))^2+((DATOS!$B$34*H76/((D76*F76)/(D76+2*F76))^(2/3))^2))/2))&gt;0,((AF77+AG77)/2),AG77)</f>
        <v/>
      </c>
      <c r="AJ77" s="5">
        <f>IF((((AH77+AI77)/2)+(C77/(D77*((AH77+AI77)/2)))^2/(2*9.81)+B77-(G76+H76^2/(2*9.81))-(A76-A77)*(((DATOS!$B$34*(C77/(D77*((AH77+AI77)/2)))/((D77*((AH77+AI77)/2))/(D77+2*((AH77+AI77)/2)))^(2/3))^2+((DATOS!$B$34*H76/((D76*F76)/(D76+2*F76))^(2/3))^2))/2))&gt;0,AH77,((AH77+AI77)/2))</f>
        <v/>
      </c>
      <c r="AK77" s="5">
        <f>IF((((AH77+AI77)/2)+(C77/(D77*((AH77+AI77)/2)))^2/(2*9.81)+B77-(G76+H76^2/(2*9.81))-(A76-A77)*(((DATOS!$B$34*(C77/(D77*((AH77+AI77)/2)))/((D77*((AH77+AI77)/2))/(D77+2*((AH77+AI77)/2)))^(2/3))^2+((DATOS!$B$34*H76/((D76*F76)/(D76+2*F76))^(2/3))^2))/2))&gt;0,((AH77+AI77)/2),AI77)</f>
        <v/>
      </c>
      <c r="AL77" s="5">
        <f>IF((((AJ77+AK77)/2)+(C77/(D77*((AJ77+AK77)/2)))^2/(2*9.81)+B77-(G76+H76^2/(2*9.81))-(A76-A77)*(((DATOS!$B$34*(C77/(D77*((AJ77+AK77)/2)))/((D77*((AJ77+AK77)/2))/(D77+2*((AJ77+AK77)/2)))^(2/3))^2+((DATOS!$B$34*H76/((D76*F76)/(D76+2*F76))^(2/3))^2))/2))&gt;0,AJ77,((AJ77+AK77)/2))</f>
        <v/>
      </c>
      <c r="AM77" s="5">
        <f>IF((((AJ77+AK77)/2)+(C77/(D77*((AJ77+AK77)/2)))^2/(2*9.81)+B77-(G76+H76^2/(2*9.81))-(A76-A77)*(((DATOS!$B$34*(C77/(D77*((AJ77+AK77)/2)))/((D77*((AJ77+AK77)/2))/(D77+2*((AJ77+AK77)/2)))^(2/3))^2+((DATOS!$B$34*H76/((D76*F76)/(D76+2*F76))^(2/3))^2))/2))&gt;0,((AJ77+AK77)/2),AK77)</f>
        <v/>
      </c>
      <c r="AN77" s="5">
        <f>IF((((AL77+AM77)/2)+(C77/(D77*((AL77+AM77)/2)))^2/(2*9.81)+B77-(G76+H76^2/(2*9.81))-(A76-A77)*(((DATOS!$B$34*(C77/(D77*((AL77+AM77)/2)))/((D77*((AL77+AM77)/2))/(D77+2*((AL77+AM77)/2)))^(2/3))^2+((DATOS!$B$34*H76/((D76*F76)/(D76+2*F76))^(2/3))^2))/2))&gt;0,AL77,((AL77+AM77)/2))</f>
        <v/>
      </c>
      <c r="AO77" s="5">
        <f>IF((((AL77+AM77)/2)+(C77/(D77*((AL77+AM77)/2)))^2/(2*9.81)+B77-(G76+H76^2/(2*9.81))-(A76-A77)*(((DATOS!$B$34*(C77/(D77*((AL77+AM77)/2)))/((D77*((AL77+AM77)/2))/(D77+2*((AL77+AM77)/2)))^(2/3))^2+((DATOS!$B$34*H76/((D76*F76)/(D76+2*F76))^(2/3))^2))/2))&gt;0,((AL77+AM77)/2),AM77)</f>
        <v/>
      </c>
      <c r="AP77" s="5">
        <f>IF((((AN77+AO77)/2)+(C77/(D77*((AN77+AO77)/2)))^2/(2*9.81)+B77-(G76+H76^2/(2*9.81))-(A76-A77)*(((DATOS!$B$34*(C77/(D77*((AN77+AO77)/2)))/((D77*((AN77+AO77)/2))/(D77+2*((AN77+AO77)/2)))^(2/3))^2+((DATOS!$B$34*H76/((D76*F76)/(D76+2*F76))^(2/3))^2))/2))&gt;0,AN77,((AN77+AO77)/2))</f>
        <v/>
      </c>
      <c r="AQ77" s="5">
        <f>IF((((AN77+AO77)/2)+(C77/(D77*((AN77+AO77)/2)))^2/(2*9.81)+B77-(G76+H76^2/(2*9.81))-(A76-A77)*(((DATOS!$B$34*(C77/(D77*((AN77+AO77)/2)))/((D77*((AN77+AO77)/2))/(D77+2*((AN77+AO77)/2)))^(2/3))^2+((DATOS!$B$34*H76/((D76*F76)/(D76+2*F76))^(2/3))^2))/2))&gt;0,((AN77+AO77)/2),AO77)</f>
        <v/>
      </c>
      <c r="AR77" s="5">
        <f>IF((((AP77+AQ77)/2)+(C77/(D77*((AP77+AQ77)/2)))^2/(2*9.81)+B77-(G76+H76^2/(2*9.81))-(A76-A77)*(((DATOS!$B$34*(C77/(D77*((AP77+AQ77)/2)))/((D77*((AP77+AQ77)/2))/(D77+2*((AP77+AQ77)/2)))^(2/3))^2+((DATOS!$B$34*H76/((D76*F76)/(D76+2*F76))^(2/3))^2))/2))&gt;0,AP77,((AP77+AQ77)/2))</f>
        <v/>
      </c>
      <c r="AS77" s="5">
        <f>IF((((AP77+AQ77)/2)+(C77/(D77*((AP77+AQ77)/2)))^2/(2*9.81)+B77-(G76+H76^2/(2*9.81))-(A76-A77)*(((DATOS!$B$34*(C77/(D77*((AP77+AQ77)/2)))/((D77*((AP77+AQ77)/2))/(D77+2*((AP77+AQ77)/2)))^(2/3))^2+((DATOS!$B$34*H76/((D76*F76)/(D76+2*F76))^(2/3))^2))/2))&gt;0,((AP77+AQ77)/2),AQ77)</f>
        <v/>
      </c>
      <c r="AT77" s="5">
        <f>IF((((AR77+AS77)/2)+(C77/(D77*((AR77+AS77)/2)))^2/(2*9.81)+B77-(G76+H76^2/(2*9.81))-(A76-A77)*(((DATOS!$B$34*(C77/(D77*((AR77+AS77)/2)))/((D77*((AR77+AS77)/2))/(D77+2*((AR77+AS77)/2)))^(2/3))^2+((DATOS!$B$34*H76/((D76*F76)/(D76+2*F76))^(2/3))^2))/2))&gt;0,AR77,((AR77+AS77)/2))</f>
        <v/>
      </c>
      <c r="AU77" s="5">
        <f>IF((((AR77+AS77)/2)+(C77/(D77*((AR77+AS77)/2)))^2/(2*9.81)+B77-(G76+H76^2/(2*9.81))-(A76-A77)*(((DATOS!$B$34*(C77/(D77*((AR77+AS77)/2)))/((D77*((AR77+AS77)/2))/(D77+2*((AR77+AS77)/2)))^(2/3))^2+((DATOS!$B$34*H76/((D76*F76)/(D76+2*F76))^(2/3))^2))/2))&gt;0,((AR77+AS77)/2),AS77)</f>
        <v/>
      </c>
      <c r="AV77" s="5">
        <f>IF((((AT77+AU77)/2)+(C77/(D77*((AT77+AU77)/2)))^2/(2*9.81)+B77-(G76+H76^2/(2*9.81))-(A76-A77)*(((DATOS!$B$34*(C77/(D77*((AT77+AU77)/2)))/((D77*((AT77+AU77)/2))/(D77+2*((AT77+AU77)/2)))^(2/3))^2+((DATOS!$B$34*H76/((D76*F76)/(D76+2*F76))^(2/3))^2))/2))&gt;0,AT77,((AT77+AU77)/2))</f>
        <v/>
      </c>
      <c r="AW77" s="5">
        <f>IF((((AT77+AU77)/2)+(C77/(D77*((AT77+AU77)/2)))^2/(2*9.81)+B77-(G76+H76^2/(2*9.81))-(A76-A77)*(((DATOS!$B$34*(C77/(D77*((AT77+AU77)/2)))/((D77*((AT77+AU77)/2))/(D77+2*((AT77+AU77)/2)))^(2/3))^2+((DATOS!$B$34*H76/((D76*F76)/(D76+2*F76))^(2/3))^2))/2))&gt;0,((AT77+AU77)/2),AU77)</f>
        <v/>
      </c>
      <c r="AX77" s="5">
        <f>IF((((AV77+AW77)/2)+(C77/(D77*((AV77+AW77)/2)))^2/(2*9.81)+B77-(G76+H76^2/(2*9.81))-(A76-A77)*(((DATOS!$B$34*(C77/(D77*((AV77+AW77)/2)))/((D77*((AV77+AW77)/2))/(D77+2*((AV77+AW77)/2)))^(2/3))^2+((DATOS!$B$34*H76/((D76*F76)/(D76+2*F76))^(2/3))^2))/2))&gt;0,AV77,((AV77+AW77)/2))</f>
        <v/>
      </c>
      <c r="AY77" s="5">
        <f>IF((((AV77+AW77)/2)+(C77/(D77*((AV77+AW77)/2)))^2/(2*9.81)+B77-(G76+H76^2/(2*9.81))-(A76-A77)*(((DATOS!$B$34*(C77/(D77*((AV77+AW77)/2)))/((D77*((AV77+AW77)/2))/(D77+2*((AV77+AW77)/2)))^(2/3))^2+((DATOS!$B$34*H76/((D76*F76)/(D76+2*F76))^(2/3))^2))/2))&gt;0,((AV77+AW77)/2),AW77)</f>
        <v/>
      </c>
      <c r="AZ77" s="5">
        <f>IF((((AX77+AY77)/2)+(C77/(D77*((AX77+AY77)/2)))^2/(2*9.81)+B77-(G76+H76^2/(2*9.81))-(A76-A77)*(((DATOS!$B$34*(C77/(D77*((AX77+AY77)/2)))/((D77*((AX77+AY77)/2))/(D77+2*((AX77+AY77)/2)))^(2/3))^2+((DATOS!$B$34*H76/((D76*F76)/(D76+2*F76))^(2/3))^2))/2))&gt;0,AX77,((AX77+AY77)/2))</f>
        <v/>
      </c>
      <c r="BA77" s="5">
        <f>IF((((AX77+AY77)/2)+(C77/(D77*((AX77+AY77)/2)))^2/(2*9.81)+B77-(G76+H76^2/(2*9.81))-(A76-A77)*(((DATOS!$B$34*(C77/(D77*((AX77+AY77)/2)))/((D77*((AX77+AY77)/2))/(D77+2*((AX77+AY77)/2)))^(2/3))^2+((DATOS!$B$34*H76/((D76*F76)/(D76+2*F76))^(2/3))^2))/2))&gt;0,((AX77+AY77)/2),AY77)</f>
        <v/>
      </c>
      <c r="BB77" s="5">
        <f>IF((((AZ77+BA77)/2)+(C77/(D77*((AZ77+BA77)/2)))^2/(2*9.81)+B77-(G76+H76^2/(2*9.81))-(A76-A77)*(((DATOS!$B$34*(C77/(D77*((AZ77+BA77)/2)))/((D77*((AZ77+BA77)/2))/(D77+2*((AZ77+BA77)/2)))^(2/3))^2+((DATOS!$B$34*H76/((D76*F76)/(D76+2*F76))^(2/3))^2))/2))&gt;0,AZ77,((AZ77+BA77)/2))</f>
        <v/>
      </c>
      <c r="BC77" s="5">
        <f>IF((((AZ77+BA77)/2)+(C77/(D77*((AZ77+BA77)/2)))^2/(2*9.81)+B77-(G76+H76^2/(2*9.81))-(A76-A77)*(((DATOS!$B$34*(C77/(D77*((AZ77+BA77)/2)))/((D77*((AZ77+BA77)/2))/(D77+2*((AZ77+BA77)/2)))^(2/3))^2+((DATOS!$B$34*H76/((D76*F76)/(D76+2*F76))^(2/3))^2))/2))&gt;0,((AZ77+BA77)/2),BA77)</f>
        <v/>
      </c>
      <c r="BD77" s="5">
        <f>IF((((BB77+BC77)/2)+(C77/(D77*((BB77+BC77)/2)))^2/(2*9.81)+B77-(G76+H76^2/(2*9.81))-(A76-A77)*(((DATOS!$B$34*(C77/(D77*((BB77+BC77)/2)))/((D77*((BB77+BC77)/2))/(D77+2*((BB77+BC77)/2)))^(2/3))^2+((DATOS!$B$34*H76/((D76*F76)/(D76+2*F76))^(2/3))^2))/2))&gt;0,BB77,((BB77+BC77)/2))</f>
        <v/>
      </c>
      <c r="BE77" s="5">
        <f>IF((((BB77+BC77)/2)+(C77/(D77*((BB77+BC77)/2)))^2/(2*9.81)+B77-(G76+H76^2/(2*9.81))-(A76-A77)*(((DATOS!$B$34*(C77/(D77*((BB77+BC77)/2)))/((D77*((BB77+BC77)/2))/(D77+2*((BB77+BC77)/2)))^(2/3))^2+((DATOS!$B$34*H76/((D76*F76)/(D76+2*F76))^(2/3))^2))/2))&gt;0,((BB77+BC77)/2),BC77)</f>
        <v/>
      </c>
      <c r="BF77" s="5">
        <f>IF((((BD77+BE77)/2)+(C77/(D77*((BD77+BE77)/2)))^2/(2*9.81)+B77-(G76+H76^2/(2*9.81))-(A76-A77)*(((DATOS!$B$34*(C77/(D77*((BD77+BE77)/2)))/((D77*((BD77+BE77)/2))/(D77+2*((BD77+BE77)/2)))^(2/3))^2+((DATOS!$B$34*H76/((D76*F76)/(D76+2*F76))^(2/3))^2))/2))&gt;0,BD77,((BD77+BE77)/2))</f>
        <v/>
      </c>
      <c r="BG77" s="5">
        <f>IF((((BD77+BE77)/2)+(C77/(D77*((BD77+BE77)/2)))^2/(2*9.81)+B77-(G76+H76^2/(2*9.81))-(A76-A77)*(((DATOS!$B$34*(C77/(D77*((BD77+BE77)/2)))/((D77*((BD77+BE77)/2))/(D77+2*((BD77+BE77)/2)))^(2/3))^2+((DATOS!$B$34*H76/((D76*F76)/(D76+2*F76))^(2/3))^2))/2))&gt;0,((BD77+BE77)/2),BE77)</f>
        <v/>
      </c>
      <c r="BH77" s="5">
        <f>IF((((BF77+BG77)/2)+(C77/(D77*((BF77+BG77)/2)))^2/(2*9.81)+B77-(G76+H76^2/(2*9.81))-(A76-A77)*(((DATOS!$B$34*(C77/(D77*((BF77+BG77)/2)))/((D77*((BF77+BG77)/2))/(D77+2*((BF77+BG77)/2)))^(2/3))^2+((DATOS!$B$34*H76/((D76*F76)/(D76+2*F76))^(2/3))^2))/2))&gt;0,BF77,((BF77+BG77)/2))</f>
        <v/>
      </c>
      <c r="BI77" s="5">
        <f>IF((((BF77+BG77)/2)+(C77/(D77*((BF77+BG77)/2)))^2/(2*9.81)+B77-(G76+H76^2/(2*9.81))-(A76-A77)*(((DATOS!$B$34*(C77/(D77*((BF77+BG77)/2)))/((D77*((BF77+BG77)/2))/(D77+2*((BF77+BG77)/2)))^(2/3))^2+((DATOS!$B$34*H76/((D76*F76)/(D76+2*F76))^(2/3))^2))/2))&gt;0,((BF77+BG77)/2),BG77)</f>
        <v/>
      </c>
      <c r="BJ77" s="5">
        <f>IF((((BH77+BI77)/2)+(C77/(D77*((BH77+BI77)/2)))^2/(2*9.81)+B77-(G76+H76^2/(2*9.81))-(A76-A77)*(((DATOS!$B$34*(C77/(D77*((BH77+BI77)/2)))/((D77*((BH77+BI77)/2))/(D77+2*((BH77+BI77)/2)))^(2/3))^2+((DATOS!$B$34*H76/((D76*F76)/(D76+2*F76))^(2/3))^2))/2))&gt;0,BH77,((BH77+BI77)/2))</f>
        <v/>
      </c>
      <c r="BK77" s="5">
        <f>IF((((BH77+BI77)/2)+(C77/(D77*((BH77+BI77)/2)))^2/(2*9.81)+B77-(G76+H76^2/(2*9.81))-(A76-A77)*(((DATOS!$B$34*(C77/(D77*((BH77+BI77)/2)))/((D77*((BH77+BI77)/2))/(D77+2*((BH77+BI77)/2)))^(2/3))^2+((DATOS!$B$34*H76/((D76*F76)/(D76+2*F76))^(2/3))^2))/2))&gt;0,((BH77+BI77)/2),BI77)</f>
        <v/>
      </c>
      <c r="BL77" s="5">
        <f>IF((((BJ77+BK77)/2)+(C77/(D77*((BJ77+BK77)/2)))^2/(2*9.81)+B77-(G76+H76^2/(2*9.81))-(A76-A77)*(((DATOS!$B$34*(C77/(D77*((BJ77+BK77)/2)))/((D77*((BJ77+BK77)/2))/(D77+2*((BJ77+BK77)/2)))^(2/3))^2+((DATOS!$B$34*H76/((D76*F76)/(D76+2*F76))^(2/3))^2))/2))&gt;0,BJ77,((BJ77+BK77)/2))</f>
        <v/>
      </c>
      <c r="BM77" s="5">
        <f>IF((((BJ77+BK77)/2)+(C77/(D77*((BJ77+BK77)/2)))^2/(2*9.81)+B77-(G76+H76^2/(2*9.81))-(A76-A77)*(((DATOS!$B$34*(C77/(D77*((BJ77+BK77)/2)))/((D77*((BJ77+BK77)/2))/(D77+2*((BJ77+BK77)/2)))^(2/3))^2+((DATOS!$B$34*H76/((D76*F76)/(D76+2*F76))^(2/3))^2))/2))&gt;0,((BJ77+BK77)/2),BK77)</f>
        <v/>
      </c>
      <c r="BN77" s="5">
        <f>IF((((BL77+BM77)/2)+(C77/(D77*((BL77+BM77)/2)))^2/(2*9.81)+B77-(G76+H76^2/(2*9.81))-(A76-A77)*(((DATOS!$B$34*(C77/(D77*((BL77+BM77)/2)))/((D77*((BL77+BM77)/2))/(D77+2*((BL77+BM77)/2)))^(2/3))^2+((DATOS!$B$34*H76/((D76*F76)/(D76+2*F76))^(2/3))^2))/2))&gt;0,BL77,((BL77+BM77)/2))</f>
        <v/>
      </c>
      <c r="BO77" s="5">
        <f>IF((((BL77+BM77)/2)+(C77/(D77*((BL77+BM77)/2)))^2/(2*9.81)+B77-(G76+H76^2/(2*9.81))-(A76-A77)*(((DATOS!$B$34*(C77/(D77*((BL77+BM77)/2)))/((D77*((BL77+BM77)/2))/(D77+2*((BL77+BM77)/2)))^(2/3))^2+((DATOS!$B$34*H76/((D76*F76)/(D76+2*F76))^(2/3))^2))/2))&gt;0,((BL77+BM77)/2),BM77)</f>
        <v/>
      </c>
      <c r="BP77" s="5">
        <f>IF((((BN77+BO77)/2)+(C77/(D77*((BN77+BO77)/2)))^2/(2*9.81)+B77-(G76+H76^2/(2*9.81))-(A76-A77)*(((DATOS!$B$34*(C77/(D77*((BN77+BO77)/2)))/((D77*((BN77+BO77)/2))/(D77+2*((BN77+BO77)/2)))^(2/3))^2+((DATOS!$B$34*H76/((D76*F76)/(D76+2*F76))^(2/3))^2))/2))&gt;0,BN77,((BN77+BO77)/2))</f>
        <v/>
      </c>
      <c r="BQ77" s="5">
        <f>IF((((BN77+BO77)/2)+(C77/(D77*((BN77+BO77)/2)))^2/(2*9.81)+B77-(G76+H76^2/(2*9.81))-(A76-A77)*(((DATOS!$B$34*(C77/(D77*((BN77+BO77)/2)))/((D77*((BN77+BO77)/2))/(D77+2*((BN77+BO77)/2)))^(2/3))^2+((DATOS!$B$34*H76/((D76*F76)/(D76+2*F76))^(2/3))^2))/2))&gt;0,((BN77+BO77)/2),BO77)</f>
        <v/>
      </c>
      <c r="BR77" s="5">
        <f>IF((((BP77+BQ77)/2)+(C77/(D77*((BP77+BQ77)/2)))^2/(2*9.81)+B77-(G76+H76^2/(2*9.81))-(A76-A77)*(((DATOS!$B$34*(C77/(D77*((BP77+BQ77)/2)))/((D77*((BP77+BQ77)/2))/(D77+2*((BP77+BQ77)/2)))^(2/3))^2+((DATOS!$B$34*H76/((D76*F76)/(D76+2*F76))^(2/3))^2))/2))&gt;0,BP77,((BP77+BQ77)/2))</f>
        <v/>
      </c>
      <c r="BS77" s="5">
        <f>IF((((BP77+BQ77)/2)+(C77/(D77*((BP77+BQ77)/2)))^2/(2*9.81)+B77-(G76+H76^2/(2*9.81))-(A76-A77)*(((DATOS!$B$34*(C77/(D77*((BP77+BQ77)/2)))/((D77*((BP77+BQ77)/2))/(D77+2*((BP77+BQ77)/2)))^(2/3))^2+((DATOS!$B$34*H76/((D76*F76)/(D76+2*F76))^(2/3))^2))/2))&gt;0,((BP77+BQ77)/2),BQ77)</f>
        <v/>
      </c>
      <c r="BT77" s="5">
        <f>IF((((BR77+BS77)/2)+(C77/(D77*((BR77+BS77)/2)))^2/(2*9.81)+B77-(G76+H76^2/(2*9.81))-(A76-A77)*(((DATOS!$B$34*(C77/(D77*((BR77+BS77)/2)))/((D77*((BR77+BS77)/2))/(D77+2*((BR77+BS77)/2)))^(2/3))^2+((DATOS!$B$34*H76/((D76*F76)/(D76+2*F76))^(2/3))^2))/2))&gt;0,BR77,((BR77+BS77)/2))</f>
        <v/>
      </c>
      <c r="BU77" s="5">
        <f>IF((((BR77+BS77)/2)+(C77/(D77*((BR77+BS77)/2)))^2/(2*9.81)+B77-(G76+H76^2/(2*9.81))-(A76-A77)*(((DATOS!$B$34*(C77/(D77*((BR77+BS77)/2)))/((D77*((BR77+BS77)/2))/(D77+2*((BR77+BS77)/2)))^(2/3))^2+((DATOS!$B$34*H76/((D76*F76)/(D76+2*F76))^(2/3))^2))/2))&gt;0,((BR77+BS77)/2),BS77)</f>
        <v/>
      </c>
      <c r="BV77" s="5">
        <f>IF((((BT77+BU77)/2)+(C77/(D77*((BT77+BU77)/2)))^2/(2*9.81)+B77-(G76+H76^2/(2*9.81))-(A76-A77)*(((DATOS!$B$34*(C77/(D77*((BT77+BU77)/2)))/((D77*((BT77+BU77)/2))/(D77+2*((BT77+BU77)/2)))^(2/3))^2+((DATOS!$B$34*H76/((D76*F76)/(D76+2*F76))^(2/3))^2))/2))&gt;0,BT77,((BT77+BU77)/2))</f>
        <v/>
      </c>
      <c r="BW77" s="5">
        <f>IF((((BT77+BU77)/2)+(C77/(D77*((BT77+BU77)/2)))^2/(2*9.81)+B77-(G76+H76^2/(2*9.81))-(A76-A77)*(((DATOS!$B$34*(C77/(D77*((BT77+BU77)/2)))/((D77*((BT77+BU77)/2))/(D77+2*((BT77+BU77)/2)))^(2/3))^2+((DATOS!$B$34*H76/((D76*F76)/(D76+2*F76))^(2/3))^2))/2))&gt;0,((BT77+BU77)/2),BU77)</f>
        <v/>
      </c>
    </row>
    <row r="78">
      <c r="A78" s="13" t="n">
        <v>11</v>
      </c>
      <c r="B78" s="16">
        <f>DATOS!$B$22-DATOS!$B$23*A78</f>
        <v/>
      </c>
      <c r="C78" s="24">
        <f>CAUDALES!$B$13</f>
        <v/>
      </c>
      <c r="D78" s="17">
        <f>DATOS!$B$17</f>
        <v/>
      </c>
      <c r="E78" s="16">
        <f>(C78^2/(9.81*D78^2))^(1/3)</f>
        <v/>
      </c>
      <c r="F78" s="16">
        <f>(BV78+BW78)/2</f>
        <v/>
      </c>
      <c r="G78" s="16">
        <f>B78+F78</f>
        <v/>
      </c>
      <c r="H78" s="19">
        <f>C78/(D78*F78)</f>
        <v/>
      </c>
      <c r="I78" s="19">
        <f>H78/SQRT(9.81*F78)</f>
        <v/>
      </c>
      <c r="J78" s="16">
        <f>DATOS!$B$29-IF(AND(A78&gt;=DATOS!$B$30,A78&lt;DATOS!$B$31),DATOS!$B$21,DATOS!$B$20)</f>
        <v/>
      </c>
      <c r="K78" s="19">
        <f>J78-B78</f>
        <v/>
      </c>
      <c r="L78" s="19">
        <f>F78/K78</f>
        <v/>
      </c>
      <c r="M78" s="16">
        <f>J78-G78</f>
        <v/>
      </c>
      <c r="N78" s="5">
        <f>IF(AND(L78&lt;=DATOS!$B$36,M78&gt;=DATOS!$B$37,I78&lt;=1),"CUMPLE","NO CUMPLE")</f>
        <v/>
      </c>
      <c r="O78" s="5">
        <f>IF(AND(A78&gt;=DATOS!$B$30,A78&lt;DATOS!$B$31),"cruce de camiones",IF(AND(A78&gt;=DATOS!$B$32,A78&lt;DATOS!$B$33),"cruce de motos","tramo normal"))</f>
        <v/>
      </c>
      <c r="P78" s="5">
        <f>E78*1.001</f>
        <v/>
      </c>
      <c r="Q78" s="13" t="n">
        <v>3</v>
      </c>
      <c r="R78" s="5">
        <f>IF((((P78+Q78)/2)+(C78/(D78*((P78+Q78)/2)))^2/(2*9.81)+B78-(G77+H77^2/(2*9.81))-(A77-A78)*(((DATOS!$B$34*(C78/(D78*((P78+Q78)/2)))/((D78*((P78+Q78)/2))/(D78+2*((P78+Q78)/2)))^(2/3))^2+((DATOS!$B$34*H77/((D77*F77)/(D77+2*F77))^(2/3))^2))/2))&gt;0,P78,((P78+Q78)/2))</f>
        <v/>
      </c>
      <c r="S78" s="5">
        <f>IF((((P78+Q78)/2)+(C78/(D78*((P78+Q78)/2)))^2/(2*9.81)+B78-(G77+H77^2/(2*9.81))-(A77-A78)*(((DATOS!$B$34*(C78/(D78*((P78+Q78)/2)))/((D78*((P78+Q78)/2))/(D78+2*((P78+Q78)/2)))^(2/3))^2+((DATOS!$B$34*H77/((D77*F77)/(D77+2*F77))^(2/3))^2))/2))&gt;0,((P78+Q78)/2),Q78)</f>
        <v/>
      </c>
      <c r="T78" s="5">
        <f>IF((((R78+S78)/2)+(C78/(D78*((R78+S78)/2)))^2/(2*9.81)+B78-(G77+H77^2/(2*9.81))-(A77-A78)*(((DATOS!$B$34*(C78/(D78*((R78+S78)/2)))/((D78*((R78+S78)/2))/(D78+2*((R78+S78)/2)))^(2/3))^2+((DATOS!$B$34*H77/((D77*F77)/(D77+2*F77))^(2/3))^2))/2))&gt;0,R78,((R78+S78)/2))</f>
        <v/>
      </c>
      <c r="U78" s="5">
        <f>IF((((R78+S78)/2)+(C78/(D78*((R78+S78)/2)))^2/(2*9.81)+B78-(G77+H77^2/(2*9.81))-(A77-A78)*(((DATOS!$B$34*(C78/(D78*((R78+S78)/2)))/((D78*((R78+S78)/2))/(D78+2*((R78+S78)/2)))^(2/3))^2+((DATOS!$B$34*H77/((D77*F77)/(D77+2*F77))^(2/3))^2))/2))&gt;0,((R78+S78)/2),S78)</f>
        <v/>
      </c>
      <c r="V78" s="5">
        <f>IF((((T78+U78)/2)+(C78/(D78*((T78+U78)/2)))^2/(2*9.81)+B78-(G77+H77^2/(2*9.81))-(A77-A78)*(((DATOS!$B$34*(C78/(D78*((T78+U78)/2)))/((D78*((T78+U78)/2))/(D78+2*((T78+U78)/2)))^(2/3))^2+((DATOS!$B$34*H77/((D77*F77)/(D77+2*F77))^(2/3))^2))/2))&gt;0,T78,((T78+U78)/2))</f>
        <v/>
      </c>
      <c r="W78" s="5">
        <f>IF((((T78+U78)/2)+(C78/(D78*((T78+U78)/2)))^2/(2*9.81)+B78-(G77+H77^2/(2*9.81))-(A77-A78)*(((DATOS!$B$34*(C78/(D78*((T78+U78)/2)))/((D78*((T78+U78)/2))/(D78+2*((T78+U78)/2)))^(2/3))^2+((DATOS!$B$34*H77/((D77*F77)/(D77+2*F77))^(2/3))^2))/2))&gt;0,((T78+U78)/2),U78)</f>
        <v/>
      </c>
      <c r="X78" s="5">
        <f>IF((((V78+W78)/2)+(C78/(D78*((V78+W78)/2)))^2/(2*9.81)+B78-(G77+H77^2/(2*9.81))-(A77-A78)*(((DATOS!$B$34*(C78/(D78*((V78+W78)/2)))/((D78*((V78+W78)/2))/(D78+2*((V78+W78)/2)))^(2/3))^2+((DATOS!$B$34*H77/((D77*F77)/(D77+2*F77))^(2/3))^2))/2))&gt;0,V78,((V78+W78)/2))</f>
        <v/>
      </c>
      <c r="Y78" s="5">
        <f>IF((((V78+W78)/2)+(C78/(D78*((V78+W78)/2)))^2/(2*9.81)+B78-(G77+H77^2/(2*9.81))-(A77-A78)*(((DATOS!$B$34*(C78/(D78*((V78+W78)/2)))/((D78*((V78+W78)/2))/(D78+2*((V78+W78)/2)))^(2/3))^2+((DATOS!$B$34*H77/((D77*F77)/(D77+2*F77))^(2/3))^2))/2))&gt;0,((V78+W78)/2),W78)</f>
        <v/>
      </c>
      <c r="Z78" s="5">
        <f>IF((((X78+Y78)/2)+(C78/(D78*((X78+Y78)/2)))^2/(2*9.81)+B78-(G77+H77^2/(2*9.81))-(A77-A78)*(((DATOS!$B$34*(C78/(D78*((X78+Y78)/2)))/((D78*((X78+Y78)/2))/(D78+2*((X78+Y78)/2)))^(2/3))^2+((DATOS!$B$34*H77/((D77*F77)/(D77+2*F77))^(2/3))^2))/2))&gt;0,X78,((X78+Y78)/2))</f>
        <v/>
      </c>
      <c r="AA78" s="5">
        <f>IF((((X78+Y78)/2)+(C78/(D78*((X78+Y78)/2)))^2/(2*9.81)+B78-(G77+H77^2/(2*9.81))-(A77-A78)*(((DATOS!$B$34*(C78/(D78*((X78+Y78)/2)))/((D78*((X78+Y78)/2))/(D78+2*((X78+Y78)/2)))^(2/3))^2+((DATOS!$B$34*H77/((D77*F77)/(D77+2*F77))^(2/3))^2))/2))&gt;0,((X78+Y78)/2),Y78)</f>
        <v/>
      </c>
      <c r="AB78" s="5">
        <f>IF((((Z78+AA78)/2)+(C78/(D78*((Z78+AA78)/2)))^2/(2*9.81)+B78-(G77+H77^2/(2*9.81))-(A77-A78)*(((DATOS!$B$34*(C78/(D78*((Z78+AA78)/2)))/((D78*((Z78+AA78)/2))/(D78+2*((Z78+AA78)/2)))^(2/3))^2+((DATOS!$B$34*H77/((D77*F77)/(D77+2*F77))^(2/3))^2))/2))&gt;0,Z78,((Z78+AA78)/2))</f>
        <v/>
      </c>
      <c r="AC78" s="5">
        <f>IF((((Z78+AA78)/2)+(C78/(D78*((Z78+AA78)/2)))^2/(2*9.81)+B78-(G77+H77^2/(2*9.81))-(A77-A78)*(((DATOS!$B$34*(C78/(D78*((Z78+AA78)/2)))/((D78*((Z78+AA78)/2))/(D78+2*((Z78+AA78)/2)))^(2/3))^2+((DATOS!$B$34*H77/((D77*F77)/(D77+2*F77))^(2/3))^2))/2))&gt;0,((Z78+AA78)/2),AA78)</f>
        <v/>
      </c>
      <c r="AD78" s="5">
        <f>IF((((AB78+AC78)/2)+(C78/(D78*((AB78+AC78)/2)))^2/(2*9.81)+B78-(G77+H77^2/(2*9.81))-(A77-A78)*(((DATOS!$B$34*(C78/(D78*((AB78+AC78)/2)))/((D78*((AB78+AC78)/2))/(D78+2*((AB78+AC78)/2)))^(2/3))^2+((DATOS!$B$34*H77/((D77*F77)/(D77+2*F77))^(2/3))^2))/2))&gt;0,AB78,((AB78+AC78)/2))</f>
        <v/>
      </c>
      <c r="AE78" s="5">
        <f>IF((((AB78+AC78)/2)+(C78/(D78*((AB78+AC78)/2)))^2/(2*9.81)+B78-(G77+H77^2/(2*9.81))-(A77-A78)*(((DATOS!$B$34*(C78/(D78*((AB78+AC78)/2)))/((D78*((AB78+AC78)/2))/(D78+2*((AB78+AC78)/2)))^(2/3))^2+((DATOS!$B$34*H77/((D77*F77)/(D77+2*F77))^(2/3))^2))/2))&gt;0,((AB78+AC78)/2),AC78)</f>
        <v/>
      </c>
      <c r="AF78" s="5">
        <f>IF((((AD78+AE78)/2)+(C78/(D78*((AD78+AE78)/2)))^2/(2*9.81)+B78-(G77+H77^2/(2*9.81))-(A77-A78)*(((DATOS!$B$34*(C78/(D78*((AD78+AE78)/2)))/((D78*((AD78+AE78)/2))/(D78+2*((AD78+AE78)/2)))^(2/3))^2+((DATOS!$B$34*H77/((D77*F77)/(D77+2*F77))^(2/3))^2))/2))&gt;0,AD78,((AD78+AE78)/2))</f>
        <v/>
      </c>
      <c r="AG78" s="5">
        <f>IF((((AD78+AE78)/2)+(C78/(D78*((AD78+AE78)/2)))^2/(2*9.81)+B78-(G77+H77^2/(2*9.81))-(A77-A78)*(((DATOS!$B$34*(C78/(D78*((AD78+AE78)/2)))/((D78*((AD78+AE78)/2))/(D78+2*((AD78+AE78)/2)))^(2/3))^2+((DATOS!$B$34*H77/((D77*F77)/(D77+2*F77))^(2/3))^2))/2))&gt;0,((AD78+AE78)/2),AE78)</f>
        <v/>
      </c>
      <c r="AH78" s="5">
        <f>IF((((AF78+AG78)/2)+(C78/(D78*((AF78+AG78)/2)))^2/(2*9.81)+B78-(G77+H77^2/(2*9.81))-(A77-A78)*(((DATOS!$B$34*(C78/(D78*((AF78+AG78)/2)))/((D78*((AF78+AG78)/2))/(D78+2*((AF78+AG78)/2)))^(2/3))^2+((DATOS!$B$34*H77/((D77*F77)/(D77+2*F77))^(2/3))^2))/2))&gt;0,AF78,((AF78+AG78)/2))</f>
        <v/>
      </c>
      <c r="AI78" s="5">
        <f>IF((((AF78+AG78)/2)+(C78/(D78*((AF78+AG78)/2)))^2/(2*9.81)+B78-(G77+H77^2/(2*9.81))-(A77-A78)*(((DATOS!$B$34*(C78/(D78*((AF78+AG78)/2)))/((D78*((AF78+AG78)/2))/(D78+2*((AF78+AG78)/2)))^(2/3))^2+((DATOS!$B$34*H77/((D77*F77)/(D77+2*F77))^(2/3))^2))/2))&gt;0,((AF78+AG78)/2),AG78)</f>
        <v/>
      </c>
      <c r="AJ78" s="5">
        <f>IF((((AH78+AI78)/2)+(C78/(D78*((AH78+AI78)/2)))^2/(2*9.81)+B78-(G77+H77^2/(2*9.81))-(A77-A78)*(((DATOS!$B$34*(C78/(D78*((AH78+AI78)/2)))/((D78*((AH78+AI78)/2))/(D78+2*((AH78+AI78)/2)))^(2/3))^2+((DATOS!$B$34*H77/((D77*F77)/(D77+2*F77))^(2/3))^2))/2))&gt;0,AH78,((AH78+AI78)/2))</f>
        <v/>
      </c>
      <c r="AK78" s="5">
        <f>IF((((AH78+AI78)/2)+(C78/(D78*((AH78+AI78)/2)))^2/(2*9.81)+B78-(G77+H77^2/(2*9.81))-(A77-A78)*(((DATOS!$B$34*(C78/(D78*((AH78+AI78)/2)))/((D78*((AH78+AI78)/2))/(D78+2*((AH78+AI78)/2)))^(2/3))^2+((DATOS!$B$34*H77/((D77*F77)/(D77+2*F77))^(2/3))^2))/2))&gt;0,((AH78+AI78)/2),AI78)</f>
        <v/>
      </c>
      <c r="AL78" s="5">
        <f>IF((((AJ78+AK78)/2)+(C78/(D78*((AJ78+AK78)/2)))^2/(2*9.81)+B78-(G77+H77^2/(2*9.81))-(A77-A78)*(((DATOS!$B$34*(C78/(D78*((AJ78+AK78)/2)))/((D78*((AJ78+AK78)/2))/(D78+2*((AJ78+AK78)/2)))^(2/3))^2+((DATOS!$B$34*H77/((D77*F77)/(D77+2*F77))^(2/3))^2))/2))&gt;0,AJ78,((AJ78+AK78)/2))</f>
        <v/>
      </c>
      <c r="AM78" s="5">
        <f>IF((((AJ78+AK78)/2)+(C78/(D78*((AJ78+AK78)/2)))^2/(2*9.81)+B78-(G77+H77^2/(2*9.81))-(A77-A78)*(((DATOS!$B$34*(C78/(D78*((AJ78+AK78)/2)))/((D78*((AJ78+AK78)/2))/(D78+2*((AJ78+AK78)/2)))^(2/3))^2+((DATOS!$B$34*H77/((D77*F77)/(D77+2*F77))^(2/3))^2))/2))&gt;0,((AJ78+AK78)/2),AK78)</f>
        <v/>
      </c>
      <c r="AN78" s="5">
        <f>IF((((AL78+AM78)/2)+(C78/(D78*((AL78+AM78)/2)))^2/(2*9.81)+B78-(G77+H77^2/(2*9.81))-(A77-A78)*(((DATOS!$B$34*(C78/(D78*((AL78+AM78)/2)))/((D78*((AL78+AM78)/2))/(D78+2*((AL78+AM78)/2)))^(2/3))^2+((DATOS!$B$34*H77/((D77*F77)/(D77+2*F77))^(2/3))^2))/2))&gt;0,AL78,((AL78+AM78)/2))</f>
        <v/>
      </c>
      <c r="AO78" s="5">
        <f>IF((((AL78+AM78)/2)+(C78/(D78*((AL78+AM78)/2)))^2/(2*9.81)+B78-(G77+H77^2/(2*9.81))-(A77-A78)*(((DATOS!$B$34*(C78/(D78*((AL78+AM78)/2)))/((D78*((AL78+AM78)/2))/(D78+2*((AL78+AM78)/2)))^(2/3))^2+((DATOS!$B$34*H77/((D77*F77)/(D77+2*F77))^(2/3))^2))/2))&gt;0,((AL78+AM78)/2),AM78)</f>
        <v/>
      </c>
      <c r="AP78" s="5">
        <f>IF((((AN78+AO78)/2)+(C78/(D78*((AN78+AO78)/2)))^2/(2*9.81)+B78-(G77+H77^2/(2*9.81))-(A77-A78)*(((DATOS!$B$34*(C78/(D78*((AN78+AO78)/2)))/((D78*((AN78+AO78)/2))/(D78+2*((AN78+AO78)/2)))^(2/3))^2+((DATOS!$B$34*H77/((D77*F77)/(D77+2*F77))^(2/3))^2))/2))&gt;0,AN78,((AN78+AO78)/2))</f>
        <v/>
      </c>
      <c r="AQ78" s="5">
        <f>IF((((AN78+AO78)/2)+(C78/(D78*((AN78+AO78)/2)))^2/(2*9.81)+B78-(G77+H77^2/(2*9.81))-(A77-A78)*(((DATOS!$B$34*(C78/(D78*((AN78+AO78)/2)))/((D78*((AN78+AO78)/2))/(D78+2*((AN78+AO78)/2)))^(2/3))^2+((DATOS!$B$34*H77/((D77*F77)/(D77+2*F77))^(2/3))^2))/2))&gt;0,((AN78+AO78)/2),AO78)</f>
        <v/>
      </c>
      <c r="AR78" s="5">
        <f>IF((((AP78+AQ78)/2)+(C78/(D78*((AP78+AQ78)/2)))^2/(2*9.81)+B78-(G77+H77^2/(2*9.81))-(A77-A78)*(((DATOS!$B$34*(C78/(D78*((AP78+AQ78)/2)))/((D78*((AP78+AQ78)/2))/(D78+2*((AP78+AQ78)/2)))^(2/3))^2+((DATOS!$B$34*H77/((D77*F77)/(D77+2*F77))^(2/3))^2))/2))&gt;0,AP78,((AP78+AQ78)/2))</f>
        <v/>
      </c>
      <c r="AS78" s="5">
        <f>IF((((AP78+AQ78)/2)+(C78/(D78*((AP78+AQ78)/2)))^2/(2*9.81)+B78-(G77+H77^2/(2*9.81))-(A77-A78)*(((DATOS!$B$34*(C78/(D78*((AP78+AQ78)/2)))/((D78*((AP78+AQ78)/2))/(D78+2*((AP78+AQ78)/2)))^(2/3))^2+((DATOS!$B$34*H77/((D77*F77)/(D77+2*F77))^(2/3))^2))/2))&gt;0,((AP78+AQ78)/2),AQ78)</f>
        <v/>
      </c>
      <c r="AT78" s="5">
        <f>IF((((AR78+AS78)/2)+(C78/(D78*((AR78+AS78)/2)))^2/(2*9.81)+B78-(G77+H77^2/(2*9.81))-(A77-A78)*(((DATOS!$B$34*(C78/(D78*((AR78+AS78)/2)))/((D78*((AR78+AS78)/2))/(D78+2*((AR78+AS78)/2)))^(2/3))^2+((DATOS!$B$34*H77/((D77*F77)/(D77+2*F77))^(2/3))^2))/2))&gt;0,AR78,((AR78+AS78)/2))</f>
        <v/>
      </c>
      <c r="AU78" s="5">
        <f>IF((((AR78+AS78)/2)+(C78/(D78*((AR78+AS78)/2)))^2/(2*9.81)+B78-(G77+H77^2/(2*9.81))-(A77-A78)*(((DATOS!$B$34*(C78/(D78*((AR78+AS78)/2)))/((D78*((AR78+AS78)/2))/(D78+2*((AR78+AS78)/2)))^(2/3))^2+((DATOS!$B$34*H77/((D77*F77)/(D77+2*F77))^(2/3))^2))/2))&gt;0,((AR78+AS78)/2),AS78)</f>
        <v/>
      </c>
      <c r="AV78" s="5">
        <f>IF((((AT78+AU78)/2)+(C78/(D78*((AT78+AU78)/2)))^2/(2*9.81)+B78-(G77+H77^2/(2*9.81))-(A77-A78)*(((DATOS!$B$34*(C78/(D78*((AT78+AU78)/2)))/((D78*((AT78+AU78)/2))/(D78+2*((AT78+AU78)/2)))^(2/3))^2+((DATOS!$B$34*H77/((D77*F77)/(D77+2*F77))^(2/3))^2))/2))&gt;0,AT78,((AT78+AU78)/2))</f>
        <v/>
      </c>
      <c r="AW78" s="5">
        <f>IF((((AT78+AU78)/2)+(C78/(D78*((AT78+AU78)/2)))^2/(2*9.81)+B78-(G77+H77^2/(2*9.81))-(A77-A78)*(((DATOS!$B$34*(C78/(D78*((AT78+AU78)/2)))/((D78*((AT78+AU78)/2))/(D78+2*((AT78+AU78)/2)))^(2/3))^2+((DATOS!$B$34*H77/((D77*F77)/(D77+2*F77))^(2/3))^2))/2))&gt;0,((AT78+AU78)/2),AU78)</f>
        <v/>
      </c>
      <c r="AX78" s="5">
        <f>IF((((AV78+AW78)/2)+(C78/(D78*((AV78+AW78)/2)))^2/(2*9.81)+B78-(G77+H77^2/(2*9.81))-(A77-A78)*(((DATOS!$B$34*(C78/(D78*((AV78+AW78)/2)))/((D78*((AV78+AW78)/2))/(D78+2*((AV78+AW78)/2)))^(2/3))^2+((DATOS!$B$34*H77/((D77*F77)/(D77+2*F77))^(2/3))^2))/2))&gt;0,AV78,((AV78+AW78)/2))</f>
        <v/>
      </c>
      <c r="AY78" s="5">
        <f>IF((((AV78+AW78)/2)+(C78/(D78*((AV78+AW78)/2)))^2/(2*9.81)+B78-(G77+H77^2/(2*9.81))-(A77-A78)*(((DATOS!$B$34*(C78/(D78*((AV78+AW78)/2)))/((D78*((AV78+AW78)/2))/(D78+2*((AV78+AW78)/2)))^(2/3))^2+((DATOS!$B$34*H77/((D77*F77)/(D77+2*F77))^(2/3))^2))/2))&gt;0,((AV78+AW78)/2),AW78)</f>
        <v/>
      </c>
      <c r="AZ78" s="5">
        <f>IF((((AX78+AY78)/2)+(C78/(D78*((AX78+AY78)/2)))^2/(2*9.81)+B78-(G77+H77^2/(2*9.81))-(A77-A78)*(((DATOS!$B$34*(C78/(D78*((AX78+AY78)/2)))/((D78*((AX78+AY78)/2))/(D78+2*((AX78+AY78)/2)))^(2/3))^2+((DATOS!$B$34*H77/((D77*F77)/(D77+2*F77))^(2/3))^2))/2))&gt;0,AX78,((AX78+AY78)/2))</f>
        <v/>
      </c>
      <c r="BA78" s="5">
        <f>IF((((AX78+AY78)/2)+(C78/(D78*((AX78+AY78)/2)))^2/(2*9.81)+B78-(G77+H77^2/(2*9.81))-(A77-A78)*(((DATOS!$B$34*(C78/(D78*((AX78+AY78)/2)))/((D78*((AX78+AY78)/2))/(D78+2*((AX78+AY78)/2)))^(2/3))^2+((DATOS!$B$34*H77/((D77*F77)/(D77+2*F77))^(2/3))^2))/2))&gt;0,((AX78+AY78)/2),AY78)</f>
        <v/>
      </c>
      <c r="BB78" s="5">
        <f>IF((((AZ78+BA78)/2)+(C78/(D78*((AZ78+BA78)/2)))^2/(2*9.81)+B78-(G77+H77^2/(2*9.81))-(A77-A78)*(((DATOS!$B$34*(C78/(D78*((AZ78+BA78)/2)))/((D78*((AZ78+BA78)/2))/(D78+2*((AZ78+BA78)/2)))^(2/3))^2+((DATOS!$B$34*H77/((D77*F77)/(D77+2*F77))^(2/3))^2))/2))&gt;0,AZ78,((AZ78+BA78)/2))</f>
        <v/>
      </c>
      <c r="BC78" s="5">
        <f>IF((((AZ78+BA78)/2)+(C78/(D78*((AZ78+BA78)/2)))^2/(2*9.81)+B78-(G77+H77^2/(2*9.81))-(A77-A78)*(((DATOS!$B$34*(C78/(D78*((AZ78+BA78)/2)))/((D78*((AZ78+BA78)/2))/(D78+2*((AZ78+BA78)/2)))^(2/3))^2+((DATOS!$B$34*H77/((D77*F77)/(D77+2*F77))^(2/3))^2))/2))&gt;0,((AZ78+BA78)/2),BA78)</f>
        <v/>
      </c>
      <c r="BD78" s="5">
        <f>IF((((BB78+BC78)/2)+(C78/(D78*((BB78+BC78)/2)))^2/(2*9.81)+B78-(G77+H77^2/(2*9.81))-(A77-A78)*(((DATOS!$B$34*(C78/(D78*((BB78+BC78)/2)))/((D78*((BB78+BC78)/2))/(D78+2*((BB78+BC78)/2)))^(2/3))^2+((DATOS!$B$34*H77/((D77*F77)/(D77+2*F77))^(2/3))^2))/2))&gt;0,BB78,((BB78+BC78)/2))</f>
        <v/>
      </c>
      <c r="BE78" s="5">
        <f>IF((((BB78+BC78)/2)+(C78/(D78*((BB78+BC78)/2)))^2/(2*9.81)+B78-(G77+H77^2/(2*9.81))-(A77-A78)*(((DATOS!$B$34*(C78/(D78*((BB78+BC78)/2)))/((D78*((BB78+BC78)/2))/(D78+2*((BB78+BC78)/2)))^(2/3))^2+((DATOS!$B$34*H77/((D77*F77)/(D77+2*F77))^(2/3))^2))/2))&gt;0,((BB78+BC78)/2),BC78)</f>
        <v/>
      </c>
      <c r="BF78" s="5">
        <f>IF((((BD78+BE78)/2)+(C78/(D78*((BD78+BE78)/2)))^2/(2*9.81)+B78-(G77+H77^2/(2*9.81))-(A77-A78)*(((DATOS!$B$34*(C78/(D78*((BD78+BE78)/2)))/((D78*((BD78+BE78)/2))/(D78+2*((BD78+BE78)/2)))^(2/3))^2+((DATOS!$B$34*H77/((D77*F77)/(D77+2*F77))^(2/3))^2))/2))&gt;0,BD78,((BD78+BE78)/2))</f>
        <v/>
      </c>
      <c r="BG78" s="5">
        <f>IF((((BD78+BE78)/2)+(C78/(D78*((BD78+BE78)/2)))^2/(2*9.81)+B78-(G77+H77^2/(2*9.81))-(A77-A78)*(((DATOS!$B$34*(C78/(D78*((BD78+BE78)/2)))/((D78*((BD78+BE78)/2))/(D78+2*((BD78+BE78)/2)))^(2/3))^2+((DATOS!$B$34*H77/((D77*F77)/(D77+2*F77))^(2/3))^2))/2))&gt;0,((BD78+BE78)/2),BE78)</f>
        <v/>
      </c>
      <c r="BH78" s="5">
        <f>IF((((BF78+BG78)/2)+(C78/(D78*((BF78+BG78)/2)))^2/(2*9.81)+B78-(G77+H77^2/(2*9.81))-(A77-A78)*(((DATOS!$B$34*(C78/(D78*((BF78+BG78)/2)))/((D78*((BF78+BG78)/2))/(D78+2*((BF78+BG78)/2)))^(2/3))^2+((DATOS!$B$34*H77/((D77*F77)/(D77+2*F77))^(2/3))^2))/2))&gt;0,BF78,((BF78+BG78)/2))</f>
        <v/>
      </c>
      <c r="BI78" s="5">
        <f>IF((((BF78+BG78)/2)+(C78/(D78*((BF78+BG78)/2)))^2/(2*9.81)+B78-(G77+H77^2/(2*9.81))-(A77-A78)*(((DATOS!$B$34*(C78/(D78*((BF78+BG78)/2)))/((D78*((BF78+BG78)/2))/(D78+2*((BF78+BG78)/2)))^(2/3))^2+((DATOS!$B$34*H77/((D77*F77)/(D77+2*F77))^(2/3))^2))/2))&gt;0,((BF78+BG78)/2),BG78)</f>
        <v/>
      </c>
      <c r="BJ78" s="5">
        <f>IF((((BH78+BI78)/2)+(C78/(D78*((BH78+BI78)/2)))^2/(2*9.81)+B78-(G77+H77^2/(2*9.81))-(A77-A78)*(((DATOS!$B$34*(C78/(D78*((BH78+BI78)/2)))/((D78*((BH78+BI78)/2))/(D78+2*((BH78+BI78)/2)))^(2/3))^2+((DATOS!$B$34*H77/((D77*F77)/(D77+2*F77))^(2/3))^2))/2))&gt;0,BH78,((BH78+BI78)/2))</f>
        <v/>
      </c>
      <c r="BK78" s="5">
        <f>IF((((BH78+BI78)/2)+(C78/(D78*((BH78+BI78)/2)))^2/(2*9.81)+B78-(G77+H77^2/(2*9.81))-(A77-A78)*(((DATOS!$B$34*(C78/(D78*((BH78+BI78)/2)))/((D78*((BH78+BI78)/2))/(D78+2*((BH78+BI78)/2)))^(2/3))^2+((DATOS!$B$34*H77/((D77*F77)/(D77+2*F77))^(2/3))^2))/2))&gt;0,((BH78+BI78)/2),BI78)</f>
        <v/>
      </c>
      <c r="BL78" s="5">
        <f>IF((((BJ78+BK78)/2)+(C78/(D78*((BJ78+BK78)/2)))^2/(2*9.81)+B78-(G77+H77^2/(2*9.81))-(A77-A78)*(((DATOS!$B$34*(C78/(D78*((BJ78+BK78)/2)))/((D78*((BJ78+BK78)/2))/(D78+2*((BJ78+BK78)/2)))^(2/3))^2+((DATOS!$B$34*H77/((D77*F77)/(D77+2*F77))^(2/3))^2))/2))&gt;0,BJ78,((BJ78+BK78)/2))</f>
        <v/>
      </c>
      <c r="BM78" s="5">
        <f>IF((((BJ78+BK78)/2)+(C78/(D78*((BJ78+BK78)/2)))^2/(2*9.81)+B78-(G77+H77^2/(2*9.81))-(A77-A78)*(((DATOS!$B$34*(C78/(D78*((BJ78+BK78)/2)))/((D78*((BJ78+BK78)/2))/(D78+2*((BJ78+BK78)/2)))^(2/3))^2+((DATOS!$B$34*H77/((D77*F77)/(D77+2*F77))^(2/3))^2))/2))&gt;0,((BJ78+BK78)/2),BK78)</f>
        <v/>
      </c>
      <c r="BN78" s="5">
        <f>IF((((BL78+BM78)/2)+(C78/(D78*((BL78+BM78)/2)))^2/(2*9.81)+B78-(G77+H77^2/(2*9.81))-(A77-A78)*(((DATOS!$B$34*(C78/(D78*((BL78+BM78)/2)))/((D78*((BL78+BM78)/2))/(D78+2*((BL78+BM78)/2)))^(2/3))^2+((DATOS!$B$34*H77/((D77*F77)/(D77+2*F77))^(2/3))^2))/2))&gt;0,BL78,((BL78+BM78)/2))</f>
        <v/>
      </c>
      <c r="BO78" s="5">
        <f>IF((((BL78+BM78)/2)+(C78/(D78*((BL78+BM78)/2)))^2/(2*9.81)+B78-(G77+H77^2/(2*9.81))-(A77-A78)*(((DATOS!$B$34*(C78/(D78*((BL78+BM78)/2)))/((D78*((BL78+BM78)/2))/(D78+2*((BL78+BM78)/2)))^(2/3))^2+((DATOS!$B$34*H77/((D77*F77)/(D77+2*F77))^(2/3))^2))/2))&gt;0,((BL78+BM78)/2),BM78)</f>
        <v/>
      </c>
      <c r="BP78" s="5">
        <f>IF((((BN78+BO78)/2)+(C78/(D78*((BN78+BO78)/2)))^2/(2*9.81)+B78-(G77+H77^2/(2*9.81))-(A77-A78)*(((DATOS!$B$34*(C78/(D78*((BN78+BO78)/2)))/((D78*((BN78+BO78)/2))/(D78+2*((BN78+BO78)/2)))^(2/3))^2+((DATOS!$B$34*H77/((D77*F77)/(D77+2*F77))^(2/3))^2))/2))&gt;0,BN78,((BN78+BO78)/2))</f>
        <v/>
      </c>
      <c r="BQ78" s="5">
        <f>IF((((BN78+BO78)/2)+(C78/(D78*((BN78+BO78)/2)))^2/(2*9.81)+B78-(G77+H77^2/(2*9.81))-(A77-A78)*(((DATOS!$B$34*(C78/(D78*((BN78+BO78)/2)))/((D78*((BN78+BO78)/2))/(D78+2*((BN78+BO78)/2)))^(2/3))^2+((DATOS!$B$34*H77/((D77*F77)/(D77+2*F77))^(2/3))^2))/2))&gt;0,((BN78+BO78)/2),BO78)</f>
        <v/>
      </c>
      <c r="BR78" s="5">
        <f>IF((((BP78+BQ78)/2)+(C78/(D78*((BP78+BQ78)/2)))^2/(2*9.81)+B78-(G77+H77^2/(2*9.81))-(A77-A78)*(((DATOS!$B$34*(C78/(D78*((BP78+BQ78)/2)))/((D78*((BP78+BQ78)/2))/(D78+2*((BP78+BQ78)/2)))^(2/3))^2+((DATOS!$B$34*H77/((D77*F77)/(D77+2*F77))^(2/3))^2))/2))&gt;0,BP78,((BP78+BQ78)/2))</f>
        <v/>
      </c>
      <c r="BS78" s="5">
        <f>IF((((BP78+BQ78)/2)+(C78/(D78*((BP78+BQ78)/2)))^2/(2*9.81)+B78-(G77+H77^2/(2*9.81))-(A77-A78)*(((DATOS!$B$34*(C78/(D78*((BP78+BQ78)/2)))/((D78*((BP78+BQ78)/2))/(D78+2*((BP78+BQ78)/2)))^(2/3))^2+((DATOS!$B$34*H77/((D77*F77)/(D77+2*F77))^(2/3))^2))/2))&gt;0,((BP78+BQ78)/2),BQ78)</f>
        <v/>
      </c>
      <c r="BT78" s="5">
        <f>IF((((BR78+BS78)/2)+(C78/(D78*((BR78+BS78)/2)))^2/(2*9.81)+B78-(G77+H77^2/(2*9.81))-(A77-A78)*(((DATOS!$B$34*(C78/(D78*((BR78+BS78)/2)))/((D78*((BR78+BS78)/2))/(D78+2*((BR78+BS78)/2)))^(2/3))^2+((DATOS!$B$34*H77/((D77*F77)/(D77+2*F77))^(2/3))^2))/2))&gt;0,BR78,((BR78+BS78)/2))</f>
        <v/>
      </c>
      <c r="BU78" s="5">
        <f>IF((((BR78+BS78)/2)+(C78/(D78*((BR78+BS78)/2)))^2/(2*9.81)+B78-(G77+H77^2/(2*9.81))-(A77-A78)*(((DATOS!$B$34*(C78/(D78*((BR78+BS78)/2)))/((D78*((BR78+BS78)/2))/(D78+2*((BR78+BS78)/2)))^(2/3))^2+((DATOS!$B$34*H77/((D77*F77)/(D77+2*F77))^(2/3))^2))/2))&gt;0,((BR78+BS78)/2),BS78)</f>
        <v/>
      </c>
      <c r="BV78" s="5">
        <f>IF((((BT78+BU78)/2)+(C78/(D78*((BT78+BU78)/2)))^2/(2*9.81)+B78-(G77+H77^2/(2*9.81))-(A77-A78)*(((DATOS!$B$34*(C78/(D78*((BT78+BU78)/2)))/((D78*((BT78+BU78)/2))/(D78+2*((BT78+BU78)/2)))^(2/3))^2+((DATOS!$B$34*H77/((D77*F77)/(D77+2*F77))^(2/3))^2))/2))&gt;0,BT78,((BT78+BU78)/2))</f>
        <v/>
      </c>
      <c r="BW78" s="5">
        <f>IF((((BT78+BU78)/2)+(C78/(D78*((BT78+BU78)/2)))^2/(2*9.81)+B78-(G77+H77^2/(2*9.81))-(A77-A78)*(((DATOS!$B$34*(C78/(D78*((BT78+BU78)/2)))/((D78*((BT78+BU78)/2))/(D78+2*((BT78+BU78)/2)))^(2/3))^2+((DATOS!$B$34*H77/((D77*F77)/(D77+2*F77))^(2/3))^2))/2))&gt;0,((BT78+BU78)/2),BU78)</f>
        <v/>
      </c>
    </row>
    <row r="79">
      <c r="A79" s="13" t="n">
        <v>10</v>
      </c>
      <c r="B79" s="16">
        <f>DATOS!$B$22-DATOS!$B$23*A79</f>
        <v/>
      </c>
      <c r="C79" s="24">
        <f>CAUDALES!$B$13</f>
        <v/>
      </c>
      <c r="D79" s="17">
        <f>DATOS!$B$17</f>
        <v/>
      </c>
      <c r="E79" s="16">
        <f>(C79^2/(9.81*D79^2))^(1/3)</f>
        <v/>
      </c>
      <c r="F79" s="16">
        <f>(BV79+BW79)/2</f>
        <v/>
      </c>
      <c r="G79" s="16">
        <f>B79+F79</f>
        <v/>
      </c>
      <c r="H79" s="19">
        <f>C79/(D79*F79)</f>
        <v/>
      </c>
      <c r="I79" s="19">
        <f>H79/SQRT(9.81*F79)</f>
        <v/>
      </c>
      <c r="J79" s="16">
        <f>DATOS!$B$29-IF(AND(A79&gt;=DATOS!$B$30,A79&lt;DATOS!$B$31),DATOS!$B$21,DATOS!$B$20)</f>
        <v/>
      </c>
      <c r="K79" s="19">
        <f>J79-B79</f>
        <v/>
      </c>
      <c r="L79" s="19">
        <f>F79/K79</f>
        <v/>
      </c>
      <c r="M79" s="16">
        <f>J79-G79</f>
        <v/>
      </c>
      <c r="N79" s="5">
        <f>IF(AND(L79&lt;=DATOS!$B$36,M79&gt;=DATOS!$B$37,I79&lt;=1),"CUMPLE","NO CUMPLE")</f>
        <v/>
      </c>
      <c r="O79" s="5">
        <f>IF(AND(A79&gt;=DATOS!$B$30,A79&lt;DATOS!$B$31),"cruce de camiones",IF(AND(A79&gt;=DATOS!$B$32,A79&lt;DATOS!$B$33),"cruce de motos","tramo normal"))</f>
        <v/>
      </c>
      <c r="P79" s="5">
        <f>E79*1.001</f>
        <v/>
      </c>
      <c r="Q79" s="13" t="n">
        <v>3</v>
      </c>
      <c r="R79" s="5">
        <f>IF((((P79+Q79)/2)+(C79/(D79*((P79+Q79)/2)))^2/(2*9.81)+B79-(G78+H78^2/(2*9.81))-(A78-A79)*(((DATOS!$B$34*(C79/(D79*((P79+Q79)/2)))/((D79*((P79+Q79)/2))/(D79+2*((P79+Q79)/2)))^(2/3))^2+((DATOS!$B$34*H78/((D78*F78)/(D78+2*F78))^(2/3))^2))/2))&gt;0,P79,((P79+Q79)/2))</f>
        <v/>
      </c>
      <c r="S79" s="5">
        <f>IF((((P79+Q79)/2)+(C79/(D79*((P79+Q79)/2)))^2/(2*9.81)+B79-(G78+H78^2/(2*9.81))-(A78-A79)*(((DATOS!$B$34*(C79/(D79*((P79+Q79)/2)))/((D79*((P79+Q79)/2))/(D79+2*((P79+Q79)/2)))^(2/3))^2+((DATOS!$B$34*H78/((D78*F78)/(D78+2*F78))^(2/3))^2))/2))&gt;0,((P79+Q79)/2),Q79)</f>
        <v/>
      </c>
      <c r="T79" s="5">
        <f>IF((((R79+S79)/2)+(C79/(D79*((R79+S79)/2)))^2/(2*9.81)+B79-(G78+H78^2/(2*9.81))-(A78-A79)*(((DATOS!$B$34*(C79/(D79*((R79+S79)/2)))/((D79*((R79+S79)/2))/(D79+2*((R79+S79)/2)))^(2/3))^2+((DATOS!$B$34*H78/((D78*F78)/(D78+2*F78))^(2/3))^2))/2))&gt;0,R79,((R79+S79)/2))</f>
        <v/>
      </c>
      <c r="U79" s="5">
        <f>IF((((R79+S79)/2)+(C79/(D79*((R79+S79)/2)))^2/(2*9.81)+B79-(G78+H78^2/(2*9.81))-(A78-A79)*(((DATOS!$B$34*(C79/(D79*((R79+S79)/2)))/((D79*((R79+S79)/2))/(D79+2*((R79+S79)/2)))^(2/3))^2+((DATOS!$B$34*H78/((D78*F78)/(D78+2*F78))^(2/3))^2))/2))&gt;0,((R79+S79)/2),S79)</f>
        <v/>
      </c>
      <c r="V79" s="5">
        <f>IF((((T79+U79)/2)+(C79/(D79*((T79+U79)/2)))^2/(2*9.81)+B79-(G78+H78^2/(2*9.81))-(A78-A79)*(((DATOS!$B$34*(C79/(D79*((T79+U79)/2)))/((D79*((T79+U79)/2))/(D79+2*((T79+U79)/2)))^(2/3))^2+((DATOS!$B$34*H78/((D78*F78)/(D78+2*F78))^(2/3))^2))/2))&gt;0,T79,((T79+U79)/2))</f>
        <v/>
      </c>
      <c r="W79" s="5">
        <f>IF((((T79+U79)/2)+(C79/(D79*((T79+U79)/2)))^2/(2*9.81)+B79-(G78+H78^2/(2*9.81))-(A78-A79)*(((DATOS!$B$34*(C79/(D79*((T79+U79)/2)))/((D79*((T79+U79)/2))/(D79+2*((T79+U79)/2)))^(2/3))^2+((DATOS!$B$34*H78/((D78*F78)/(D78+2*F78))^(2/3))^2))/2))&gt;0,((T79+U79)/2),U79)</f>
        <v/>
      </c>
      <c r="X79" s="5">
        <f>IF((((V79+W79)/2)+(C79/(D79*((V79+W79)/2)))^2/(2*9.81)+B79-(G78+H78^2/(2*9.81))-(A78-A79)*(((DATOS!$B$34*(C79/(D79*((V79+W79)/2)))/((D79*((V79+W79)/2))/(D79+2*((V79+W79)/2)))^(2/3))^2+((DATOS!$B$34*H78/((D78*F78)/(D78+2*F78))^(2/3))^2))/2))&gt;0,V79,((V79+W79)/2))</f>
        <v/>
      </c>
      <c r="Y79" s="5">
        <f>IF((((V79+W79)/2)+(C79/(D79*((V79+W79)/2)))^2/(2*9.81)+B79-(G78+H78^2/(2*9.81))-(A78-A79)*(((DATOS!$B$34*(C79/(D79*((V79+W79)/2)))/((D79*((V79+W79)/2))/(D79+2*((V79+W79)/2)))^(2/3))^2+((DATOS!$B$34*H78/((D78*F78)/(D78+2*F78))^(2/3))^2))/2))&gt;0,((V79+W79)/2),W79)</f>
        <v/>
      </c>
      <c r="Z79" s="5">
        <f>IF((((X79+Y79)/2)+(C79/(D79*((X79+Y79)/2)))^2/(2*9.81)+B79-(G78+H78^2/(2*9.81))-(A78-A79)*(((DATOS!$B$34*(C79/(D79*((X79+Y79)/2)))/((D79*((X79+Y79)/2))/(D79+2*((X79+Y79)/2)))^(2/3))^2+((DATOS!$B$34*H78/((D78*F78)/(D78+2*F78))^(2/3))^2))/2))&gt;0,X79,((X79+Y79)/2))</f>
        <v/>
      </c>
      <c r="AA79" s="5">
        <f>IF((((X79+Y79)/2)+(C79/(D79*((X79+Y79)/2)))^2/(2*9.81)+B79-(G78+H78^2/(2*9.81))-(A78-A79)*(((DATOS!$B$34*(C79/(D79*((X79+Y79)/2)))/((D79*((X79+Y79)/2))/(D79+2*((X79+Y79)/2)))^(2/3))^2+((DATOS!$B$34*H78/((D78*F78)/(D78+2*F78))^(2/3))^2))/2))&gt;0,((X79+Y79)/2),Y79)</f>
        <v/>
      </c>
      <c r="AB79" s="5">
        <f>IF((((Z79+AA79)/2)+(C79/(D79*((Z79+AA79)/2)))^2/(2*9.81)+B79-(G78+H78^2/(2*9.81))-(A78-A79)*(((DATOS!$B$34*(C79/(D79*((Z79+AA79)/2)))/((D79*((Z79+AA79)/2))/(D79+2*((Z79+AA79)/2)))^(2/3))^2+((DATOS!$B$34*H78/((D78*F78)/(D78+2*F78))^(2/3))^2))/2))&gt;0,Z79,((Z79+AA79)/2))</f>
        <v/>
      </c>
      <c r="AC79" s="5">
        <f>IF((((Z79+AA79)/2)+(C79/(D79*((Z79+AA79)/2)))^2/(2*9.81)+B79-(G78+H78^2/(2*9.81))-(A78-A79)*(((DATOS!$B$34*(C79/(D79*((Z79+AA79)/2)))/((D79*((Z79+AA79)/2))/(D79+2*((Z79+AA79)/2)))^(2/3))^2+((DATOS!$B$34*H78/((D78*F78)/(D78+2*F78))^(2/3))^2))/2))&gt;0,((Z79+AA79)/2),AA79)</f>
        <v/>
      </c>
      <c r="AD79" s="5">
        <f>IF((((AB79+AC79)/2)+(C79/(D79*((AB79+AC79)/2)))^2/(2*9.81)+B79-(G78+H78^2/(2*9.81))-(A78-A79)*(((DATOS!$B$34*(C79/(D79*((AB79+AC79)/2)))/((D79*((AB79+AC79)/2))/(D79+2*((AB79+AC79)/2)))^(2/3))^2+((DATOS!$B$34*H78/((D78*F78)/(D78+2*F78))^(2/3))^2))/2))&gt;0,AB79,((AB79+AC79)/2))</f>
        <v/>
      </c>
      <c r="AE79" s="5">
        <f>IF((((AB79+AC79)/2)+(C79/(D79*((AB79+AC79)/2)))^2/(2*9.81)+B79-(G78+H78^2/(2*9.81))-(A78-A79)*(((DATOS!$B$34*(C79/(D79*((AB79+AC79)/2)))/((D79*((AB79+AC79)/2))/(D79+2*((AB79+AC79)/2)))^(2/3))^2+((DATOS!$B$34*H78/((D78*F78)/(D78+2*F78))^(2/3))^2))/2))&gt;0,((AB79+AC79)/2),AC79)</f>
        <v/>
      </c>
      <c r="AF79" s="5">
        <f>IF((((AD79+AE79)/2)+(C79/(D79*((AD79+AE79)/2)))^2/(2*9.81)+B79-(G78+H78^2/(2*9.81))-(A78-A79)*(((DATOS!$B$34*(C79/(D79*((AD79+AE79)/2)))/((D79*((AD79+AE79)/2))/(D79+2*((AD79+AE79)/2)))^(2/3))^2+((DATOS!$B$34*H78/((D78*F78)/(D78+2*F78))^(2/3))^2))/2))&gt;0,AD79,((AD79+AE79)/2))</f>
        <v/>
      </c>
      <c r="AG79" s="5">
        <f>IF((((AD79+AE79)/2)+(C79/(D79*((AD79+AE79)/2)))^2/(2*9.81)+B79-(G78+H78^2/(2*9.81))-(A78-A79)*(((DATOS!$B$34*(C79/(D79*((AD79+AE79)/2)))/((D79*((AD79+AE79)/2))/(D79+2*((AD79+AE79)/2)))^(2/3))^2+((DATOS!$B$34*H78/((D78*F78)/(D78+2*F78))^(2/3))^2))/2))&gt;0,((AD79+AE79)/2),AE79)</f>
        <v/>
      </c>
      <c r="AH79" s="5">
        <f>IF((((AF79+AG79)/2)+(C79/(D79*((AF79+AG79)/2)))^2/(2*9.81)+B79-(G78+H78^2/(2*9.81))-(A78-A79)*(((DATOS!$B$34*(C79/(D79*((AF79+AG79)/2)))/((D79*((AF79+AG79)/2))/(D79+2*((AF79+AG79)/2)))^(2/3))^2+((DATOS!$B$34*H78/((D78*F78)/(D78+2*F78))^(2/3))^2))/2))&gt;0,AF79,((AF79+AG79)/2))</f>
        <v/>
      </c>
      <c r="AI79" s="5">
        <f>IF((((AF79+AG79)/2)+(C79/(D79*((AF79+AG79)/2)))^2/(2*9.81)+B79-(G78+H78^2/(2*9.81))-(A78-A79)*(((DATOS!$B$34*(C79/(D79*((AF79+AG79)/2)))/((D79*((AF79+AG79)/2))/(D79+2*((AF79+AG79)/2)))^(2/3))^2+((DATOS!$B$34*H78/((D78*F78)/(D78+2*F78))^(2/3))^2))/2))&gt;0,((AF79+AG79)/2),AG79)</f>
        <v/>
      </c>
      <c r="AJ79" s="5">
        <f>IF((((AH79+AI79)/2)+(C79/(D79*((AH79+AI79)/2)))^2/(2*9.81)+B79-(G78+H78^2/(2*9.81))-(A78-A79)*(((DATOS!$B$34*(C79/(D79*((AH79+AI79)/2)))/((D79*((AH79+AI79)/2))/(D79+2*((AH79+AI79)/2)))^(2/3))^2+((DATOS!$B$34*H78/((D78*F78)/(D78+2*F78))^(2/3))^2))/2))&gt;0,AH79,((AH79+AI79)/2))</f>
        <v/>
      </c>
      <c r="AK79" s="5">
        <f>IF((((AH79+AI79)/2)+(C79/(D79*((AH79+AI79)/2)))^2/(2*9.81)+B79-(G78+H78^2/(2*9.81))-(A78-A79)*(((DATOS!$B$34*(C79/(D79*((AH79+AI79)/2)))/((D79*((AH79+AI79)/2))/(D79+2*((AH79+AI79)/2)))^(2/3))^2+((DATOS!$B$34*H78/((D78*F78)/(D78+2*F78))^(2/3))^2))/2))&gt;0,((AH79+AI79)/2),AI79)</f>
        <v/>
      </c>
      <c r="AL79" s="5">
        <f>IF((((AJ79+AK79)/2)+(C79/(D79*((AJ79+AK79)/2)))^2/(2*9.81)+B79-(G78+H78^2/(2*9.81))-(A78-A79)*(((DATOS!$B$34*(C79/(D79*((AJ79+AK79)/2)))/((D79*((AJ79+AK79)/2))/(D79+2*((AJ79+AK79)/2)))^(2/3))^2+((DATOS!$B$34*H78/((D78*F78)/(D78+2*F78))^(2/3))^2))/2))&gt;0,AJ79,((AJ79+AK79)/2))</f>
        <v/>
      </c>
      <c r="AM79" s="5">
        <f>IF((((AJ79+AK79)/2)+(C79/(D79*((AJ79+AK79)/2)))^2/(2*9.81)+B79-(G78+H78^2/(2*9.81))-(A78-A79)*(((DATOS!$B$34*(C79/(D79*((AJ79+AK79)/2)))/((D79*((AJ79+AK79)/2))/(D79+2*((AJ79+AK79)/2)))^(2/3))^2+((DATOS!$B$34*H78/((D78*F78)/(D78+2*F78))^(2/3))^2))/2))&gt;0,((AJ79+AK79)/2),AK79)</f>
        <v/>
      </c>
      <c r="AN79" s="5">
        <f>IF((((AL79+AM79)/2)+(C79/(D79*((AL79+AM79)/2)))^2/(2*9.81)+B79-(G78+H78^2/(2*9.81))-(A78-A79)*(((DATOS!$B$34*(C79/(D79*((AL79+AM79)/2)))/((D79*((AL79+AM79)/2))/(D79+2*((AL79+AM79)/2)))^(2/3))^2+((DATOS!$B$34*H78/((D78*F78)/(D78+2*F78))^(2/3))^2))/2))&gt;0,AL79,((AL79+AM79)/2))</f>
        <v/>
      </c>
      <c r="AO79" s="5">
        <f>IF((((AL79+AM79)/2)+(C79/(D79*((AL79+AM79)/2)))^2/(2*9.81)+B79-(G78+H78^2/(2*9.81))-(A78-A79)*(((DATOS!$B$34*(C79/(D79*((AL79+AM79)/2)))/((D79*((AL79+AM79)/2))/(D79+2*((AL79+AM79)/2)))^(2/3))^2+((DATOS!$B$34*H78/((D78*F78)/(D78+2*F78))^(2/3))^2))/2))&gt;0,((AL79+AM79)/2),AM79)</f>
        <v/>
      </c>
      <c r="AP79" s="5">
        <f>IF((((AN79+AO79)/2)+(C79/(D79*((AN79+AO79)/2)))^2/(2*9.81)+B79-(G78+H78^2/(2*9.81))-(A78-A79)*(((DATOS!$B$34*(C79/(D79*((AN79+AO79)/2)))/((D79*((AN79+AO79)/2))/(D79+2*((AN79+AO79)/2)))^(2/3))^2+((DATOS!$B$34*H78/((D78*F78)/(D78+2*F78))^(2/3))^2))/2))&gt;0,AN79,((AN79+AO79)/2))</f>
        <v/>
      </c>
      <c r="AQ79" s="5">
        <f>IF((((AN79+AO79)/2)+(C79/(D79*((AN79+AO79)/2)))^2/(2*9.81)+B79-(G78+H78^2/(2*9.81))-(A78-A79)*(((DATOS!$B$34*(C79/(D79*((AN79+AO79)/2)))/((D79*((AN79+AO79)/2))/(D79+2*((AN79+AO79)/2)))^(2/3))^2+((DATOS!$B$34*H78/((D78*F78)/(D78+2*F78))^(2/3))^2))/2))&gt;0,((AN79+AO79)/2),AO79)</f>
        <v/>
      </c>
      <c r="AR79" s="5">
        <f>IF((((AP79+AQ79)/2)+(C79/(D79*((AP79+AQ79)/2)))^2/(2*9.81)+B79-(G78+H78^2/(2*9.81))-(A78-A79)*(((DATOS!$B$34*(C79/(D79*((AP79+AQ79)/2)))/((D79*((AP79+AQ79)/2))/(D79+2*((AP79+AQ79)/2)))^(2/3))^2+((DATOS!$B$34*H78/((D78*F78)/(D78+2*F78))^(2/3))^2))/2))&gt;0,AP79,((AP79+AQ79)/2))</f>
        <v/>
      </c>
      <c r="AS79" s="5">
        <f>IF((((AP79+AQ79)/2)+(C79/(D79*((AP79+AQ79)/2)))^2/(2*9.81)+B79-(G78+H78^2/(2*9.81))-(A78-A79)*(((DATOS!$B$34*(C79/(D79*((AP79+AQ79)/2)))/((D79*((AP79+AQ79)/2))/(D79+2*((AP79+AQ79)/2)))^(2/3))^2+((DATOS!$B$34*H78/((D78*F78)/(D78+2*F78))^(2/3))^2))/2))&gt;0,((AP79+AQ79)/2),AQ79)</f>
        <v/>
      </c>
      <c r="AT79" s="5">
        <f>IF((((AR79+AS79)/2)+(C79/(D79*((AR79+AS79)/2)))^2/(2*9.81)+B79-(G78+H78^2/(2*9.81))-(A78-A79)*(((DATOS!$B$34*(C79/(D79*((AR79+AS79)/2)))/((D79*((AR79+AS79)/2))/(D79+2*((AR79+AS79)/2)))^(2/3))^2+((DATOS!$B$34*H78/((D78*F78)/(D78+2*F78))^(2/3))^2))/2))&gt;0,AR79,((AR79+AS79)/2))</f>
        <v/>
      </c>
      <c r="AU79" s="5">
        <f>IF((((AR79+AS79)/2)+(C79/(D79*((AR79+AS79)/2)))^2/(2*9.81)+B79-(G78+H78^2/(2*9.81))-(A78-A79)*(((DATOS!$B$34*(C79/(D79*((AR79+AS79)/2)))/((D79*((AR79+AS79)/2))/(D79+2*((AR79+AS79)/2)))^(2/3))^2+((DATOS!$B$34*H78/((D78*F78)/(D78+2*F78))^(2/3))^2))/2))&gt;0,((AR79+AS79)/2),AS79)</f>
        <v/>
      </c>
      <c r="AV79" s="5">
        <f>IF((((AT79+AU79)/2)+(C79/(D79*((AT79+AU79)/2)))^2/(2*9.81)+B79-(G78+H78^2/(2*9.81))-(A78-A79)*(((DATOS!$B$34*(C79/(D79*((AT79+AU79)/2)))/((D79*((AT79+AU79)/2))/(D79+2*((AT79+AU79)/2)))^(2/3))^2+((DATOS!$B$34*H78/((D78*F78)/(D78+2*F78))^(2/3))^2))/2))&gt;0,AT79,((AT79+AU79)/2))</f>
        <v/>
      </c>
      <c r="AW79" s="5">
        <f>IF((((AT79+AU79)/2)+(C79/(D79*((AT79+AU79)/2)))^2/(2*9.81)+B79-(G78+H78^2/(2*9.81))-(A78-A79)*(((DATOS!$B$34*(C79/(D79*((AT79+AU79)/2)))/((D79*((AT79+AU79)/2))/(D79+2*((AT79+AU79)/2)))^(2/3))^2+((DATOS!$B$34*H78/((D78*F78)/(D78+2*F78))^(2/3))^2))/2))&gt;0,((AT79+AU79)/2),AU79)</f>
        <v/>
      </c>
      <c r="AX79" s="5">
        <f>IF((((AV79+AW79)/2)+(C79/(D79*((AV79+AW79)/2)))^2/(2*9.81)+B79-(G78+H78^2/(2*9.81))-(A78-A79)*(((DATOS!$B$34*(C79/(D79*((AV79+AW79)/2)))/((D79*((AV79+AW79)/2))/(D79+2*((AV79+AW79)/2)))^(2/3))^2+((DATOS!$B$34*H78/((D78*F78)/(D78+2*F78))^(2/3))^2))/2))&gt;0,AV79,((AV79+AW79)/2))</f>
        <v/>
      </c>
      <c r="AY79" s="5">
        <f>IF((((AV79+AW79)/2)+(C79/(D79*((AV79+AW79)/2)))^2/(2*9.81)+B79-(G78+H78^2/(2*9.81))-(A78-A79)*(((DATOS!$B$34*(C79/(D79*((AV79+AW79)/2)))/((D79*((AV79+AW79)/2))/(D79+2*((AV79+AW79)/2)))^(2/3))^2+((DATOS!$B$34*H78/((D78*F78)/(D78+2*F78))^(2/3))^2))/2))&gt;0,((AV79+AW79)/2),AW79)</f>
        <v/>
      </c>
      <c r="AZ79" s="5">
        <f>IF((((AX79+AY79)/2)+(C79/(D79*((AX79+AY79)/2)))^2/(2*9.81)+B79-(G78+H78^2/(2*9.81))-(A78-A79)*(((DATOS!$B$34*(C79/(D79*((AX79+AY79)/2)))/((D79*((AX79+AY79)/2))/(D79+2*((AX79+AY79)/2)))^(2/3))^2+((DATOS!$B$34*H78/((D78*F78)/(D78+2*F78))^(2/3))^2))/2))&gt;0,AX79,((AX79+AY79)/2))</f>
        <v/>
      </c>
      <c r="BA79" s="5">
        <f>IF((((AX79+AY79)/2)+(C79/(D79*((AX79+AY79)/2)))^2/(2*9.81)+B79-(G78+H78^2/(2*9.81))-(A78-A79)*(((DATOS!$B$34*(C79/(D79*((AX79+AY79)/2)))/((D79*((AX79+AY79)/2))/(D79+2*((AX79+AY79)/2)))^(2/3))^2+((DATOS!$B$34*H78/((D78*F78)/(D78+2*F78))^(2/3))^2))/2))&gt;0,((AX79+AY79)/2),AY79)</f>
        <v/>
      </c>
      <c r="BB79" s="5">
        <f>IF((((AZ79+BA79)/2)+(C79/(D79*((AZ79+BA79)/2)))^2/(2*9.81)+B79-(G78+H78^2/(2*9.81))-(A78-A79)*(((DATOS!$B$34*(C79/(D79*((AZ79+BA79)/2)))/((D79*((AZ79+BA79)/2))/(D79+2*((AZ79+BA79)/2)))^(2/3))^2+((DATOS!$B$34*H78/((D78*F78)/(D78+2*F78))^(2/3))^2))/2))&gt;0,AZ79,((AZ79+BA79)/2))</f>
        <v/>
      </c>
      <c r="BC79" s="5">
        <f>IF((((AZ79+BA79)/2)+(C79/(D79*((AZ79+BA79)/2)))^2/(2*9.81)+B79-(G78+H78^2/(2*9.81))-(A78-A79)*(((DATOS!$B$34*(C79/(D79*((AZ79+BA79)/2)))/((D79*((AZ79+BA79)/2))/(D79+2*((AZ79+BA79)/2)))^(2/3))^2+((DATOS!$B$34*H78/((D78*F78)/(D78+2*F78))^(2/3))^2))/2))&gt;0,((AZ79+BA79)/2),BA79)</f>
        <v/>
      </c>
      <c r="BD79" s="5">
        <f>IF((((BB79+BC79)/2)+(C79/(D79*((BB79+BC79)/2)))^2/(2*9.81)+B79-(G78+H78^2/(2*9.81))-(A78-A79)*(((DATOS!$B$34*(C79/(D79*((BB79+BC79)/2)))/((D79*((BB79+BC79)/2))/(D79+2*((BB79+BC79)/2)))^(2/3))^2+((DATOS!$B$34*H78/((D78*F78)/(D78+2*F78))^(2/3))^2))/2))&gt;0,BB79,((BB79+BC79)/2))</f>
        <v/>
      </c>
      <c r="BE79" s="5">
        <f>IF((((BB79+BC79)/2)+(C79/(D79*((BB79+BC79)/2)))^2/(2*9.81)+B79-(G78+H78^2/(2*9.81))-(A78-A79)*(((DATOS!$B$34*(C79/(D79*((BB79+BC79)/2)))/((D79*((BB79+BC79)/2))/(D79+2*((BB79+BC79)/2)))^(2/3))^2+((DATOS!$B$34*H78/((D78*F78)/(D78+2*F78))^(2/3))^2))/2))&gt;0,((BB79+BC79)/2),BC79)</f>
        <v/>
      </c>
      <c r="BF79" s="5">
        <f>IF((((BD79+BE79)/2)+(C79/(D79*((BD79+BE79)/2)))^2/(2*9.81)+B79-(G78+H78^2/(2*9.81))-(A78-A79)*(((DATOS!$B$34*(C79/(D79*((BD79+BE79)/2)))/((D79*((BD79+BE79)/2))/(D79+2*((BD79+BE79)/2)))^(2/3))^2+((DATOS!$B$34*H78/((D78*F78)/(D78+2*F78))^(2/3))^2))/2))&gt;0,BD79,((BD79+BE79)/2))</f>
        <v/>
      </c>
      <c r="BG79" s="5">
        <f>IF((((BD79+BE79)/2)+(C79/(D79*((BD79+BE79)/2)))^2/(2*9.81)+B79-(G78+H78^2/(2*9.81))-(A78-A79)*(((DATOS!$B$34*(C79/(D79*((BD79+BE79)/2)))/((D79*((BD79+BE79)/2))/(D79+2*((BD79+BE79)/2)))^(2/3))^2+((DATOS!$B$34*H78/((D78*F78)/(D78+2*F78))^(2/3))^2))/2))&gt;0,((BD79+BE79)/2),BE79)</f>
        <v/>
      </c>
      <c r="BH79" s="5">
        <f>IF((((BF79+BG79)/2)+(C79/(D79*((BF79+BG79)/2)))^2/(2*9.81)+B79-(G78+H78^2/(2*9.81))-(A78-A79)*(((DATOS!$B$34*(C79/(D79*((BF79+BG79)/2)))/((D79*((BF79+BG79)/2))/(D79+2*((BF79+BG79)/2)))^(2/3))^2+((DATOS!$B$34*H78/((D78*F78)/(D78+2*F78))^(2/3))^2))/2))&gt;0,BF79,((BF79+BG79)/2))</f>
        <v/>
      </c>
      <c r="BI79" s="5">
        <f>IF((((BF79+BG79)/2)+(C79/(D79*((BF79+BG79)/2)))^2/(2*9.81)+B79-(G78+H78^2/(2*9.81))-(A78-A79)*(((DATOS!$B$34*(C79/(D79*((BF79+BG79)/2)))/((D79*((BF79+BG79)/2))/(D79+2*((BF79+BG79)/2)))^(2/3))^2+((DATOS!$B$34*H78/((D78*F78)/(D78+2*F78))^(2/3))^2))/2))&gt;0,((BF79+BG79)/2),BG79)</f>
        <v/>
      </c>
      <c r="BJ79" s="5">
        <f>IF((((BH79+BI79)/2)+(C79/(D79*((BH79+BI79)/2)))^2/(2*9.81)+B79-(G78+H78^2/(2*9.81))-(A78-A79)*(((DATOS!$B$34*(C79/(D79*((BH79+BI79)/2)))/((D79*((BH79+BI79)/2))/(D79+2*((BH79+BI79)/2)))^(2/3))^2+((DATOS!$B$34*H78/((D78*F78)/(D78+2*F78))^(2/3))^2))/2))&gt;0,BH79,((BH79+BI79)/2))</f>
        <v/>
      </c>
      <c r="BK79" s="5">
        <f>IF((((BH79+BI79)/2)+(C79/(D79*((BH79+BI79)/2)))^2/(2*9.81)+B79-(G78+H78^2/(2*9.81))-(A78-A79)*(((DATOS!$B$34*(C79/(D79*((BH79+BI79)/2)))/((D79*((BH79+BI79)/2))/(D79+2*((BH79+BI79)/2)))^(2/3))^2+((DATOS!$B$34*H78/((D78*F78)/(D78+2*F78))^(2/3))^2))/2))&gt;0,((BH79+BI79)/2),BI79)</f>
        <v/>
      </c>
      <c r="BL79" s="5">
        <f>IF((((BJ79+BK79)/2)+(C79/(D79*((BJ79+BK79)/2)))^2/(2*9.81)+B79-(G78+H78^2/(2*9.81))-(A78-A79)*(((DATOS!$B$34*(C79/(D79*((BJ79+BK79)/2)))/((D79*((BJ79+BK79)/2))/(D79+2*((BJ79+BK79)/2)))^(2/3))^2+((DATOS!$B$34*H78/((D78*F78)/(D78+2*F78))^(2/3))^2))/2))&gt;0,BJ79,((BJ79+BK79)/2))</f>
        <v/>
      </c>
      <c r="BM79" s="5">
        <f>IF((((BJ79+BK79)/2)+(C79/(D79*((BJ79+BK79)/2)))^2/(2*9.81)+B79-(G78+H78^2/(2*9.81))-(A78-A79)*(((DATOS!$B$34*(C79/(D79*((BJ79+BK79)/2)))/((D79*((BJ79+BK79)/2))/(D79+2*((BJ79+BK79)/2)))^(2/3))^2+((DATOS!$B$34*H78/((D78*F78)/(D78+2*F78))^(2/3))^2))/2))&gt;0,((BJ79+BK79)/2),BK79)</f>
        <v/>
      </c>
      <c r="BN79" s="5">
        <f>IF((((BL79+BM79)/2)+(C79/(D79*((BL79+BM79)/2)))^2/(2*9.81)+B79-(G78+H78^2/(2*9.81))-(A78-A79)*(((DATOS!$B$34*(C79/(D79*((BL79+BM79)/2)))/((D79*((BL79+BM79)/2))/(D79+2*((BL79+BM79)/2)))^(2/3))^2+((DATOS!$B$34*H78/((D78*F78)/(D78+2*F78))^(2/3))^2))/2))&gt;0,BL79,((BL79+BM79)/2))</f>
        <v/>
      </c>
      <c r="BO79" s="5">
        <f>IF((((BL79+BM79)/2)+(C79/(D79*((BL79+BM79)/2)))^2/(2*9.81)+B79-(G78+H78^2/(2*9.81))-(A78-A79)*(((DATOS!$B$34*(C79/(D79*((BL79+BM79)/2)))/((D79*((BL79+BM79)/2))/(D79+2*((BL79+BM79)/2)))^(2/3))^2+((DATOS!$B$34*H78/((D78*F78)/(D78+2*F78))^(2/3))^2))/2))&gt;0,((BL79+BM79)/2),BM79)</f>
        <v/>
      </c>
      <c r="BP79" s="5">
        <f>IF((((BN79+BO79)/2)+(C79/(D79*((BN79+BO79)/2)))^2/(2*9.81)+B79-(G78+H78^2/(2*9.81))-(A78-A79)*(((DATOS!$B$34*(C79/(D79*((BN79+BO79)/2)))/((D79*((BN79+BO79)/2))/(D79+2*((BN79+BO79)/2)))^(2/3))^2+((DATOS!$B$34*H78/((D78*F78)/(D78+2*F78))^(2/3))^2))/2))&gt;0,BN79,((BN79+BO79)/2))</f>
        <v/>
      </c>
      <c r="BQ79" s="5">
        <f>IF((((BN79+BO79)/2)+(C79/(D79*((BN79+BO79)/2)))^2/(2*9.81)+B79-(G78+H78^2/(2*9.81))-(A78-A79)*(((DATOS!$B$34*(C79/(D79*((BN79+BO79)/2)))/((D79*((BN79+BO79)/2))/(D79+2*((BN79+BO79)/2)))^(2/3))^2+((DATOS!$B$34*H78/((D78*F78)/(D78+2*F78))^(2/3))^2))/2))&gt;0,((BN79+BO79)/2),BO79)</f>
        <v/>
      </c>
      <c r="BR79" s="5">
        <f>IF((((BP79+BQ79)/2)+(C79/(D79*((BP79+BQ79)/2)))^2/(2*9.81)+B79-(G78+H78^2/(2*9.81))-(A78-A79)*(((DATOS!$B$34*(C79/(D79*((BP79+BQ79)/2)))/((D79*((BP79+BQ79)/2))/(D79+2*((BP79+BQ79)/2)))^(2/3))^2+((DATOS!$B$34*H78/((D78*F78)/(D78+2*F78))^(2/3))^2))/2))&gt;0,BP79,((BP79+BQ79)/2))</f>
        <v/>
      </c>
      <c r="BS79" s="5">
        <f>IF((((BP79+BQ79)/2)+(C79/(D79*((BP79+BQ79)/2)))^2/(2*9.81)+B79-(G78+H78^2/(2*9.81))-(A78-A79)*(((DATOS!$B$34*(C79/(D79*((BP79+BQ79)/2)))/((D79*((BP79+BQ79)/2))/(D79+2*((BP79+BQ79)/2)))^(2/3))^2+((DATOS!$B$34*H78/((D78*F78)/(D78+2*F78))^(2/3))^2))/2))&gt;0,((BP79+BQ79)/2),BQ79)</f>
        <v/>
      </c>
      <c r="BT79" s="5">
        <f>IF((((BR79+BS79)/2)+(C79/(D79*((BR79+BS79)/2)))^2/(2*9.81)+B79-(G78+H78^2/(2*9.81))-(A78-A79)*(((DATOS!$B$34*(C79/(D79*((BR79+BS79)/2)))/((D79*((BR79+BS79)/2))/(D79+2*((BR79+BS79)/2)))^(2/3))^2+((DATOS!$B$34*H78/((D78*F78)/(D78+2*F78))^(2/3))^2))/2))&gt;0,BR79,((BR79+BS79)/2))</f>
        <v/>
      </c>
      <c r="BU79" s="5">
        <f>IF((((BR79+BS79)/2)+(C79/(D79*((BR79+BS79)/2)))^2/(2*9.81)+B79-(G78+H78^2/(2*9.81))-(A78-A79)*(((DATOS!$B$34*(C79/(D79*((BR79+BS79)/2)))/((D79*((BR79+BS79)/2))/(D79+2*((BR79+BS79)/2)))^(2/3))^2+((DATOS!$B$34*H78/((D78*F78)/(D78+2*F78))^(2/3))^2))/2))&gt;0,((BR79+BS79)/2),BS79)</f>
        <v/>
      </c>
      <c r="BV79" s="5">
        <f>IF((((BT79+BU79)/2)+(C79/(D79*((BT79+BU79)/2)))^2/(2*9.81)+B79-(G78+H78^2/(2*9.81))-(A78-A79)*(((DATOS!$B$34*(C79/(D79*((BT79+BU79)/2)))/((D79*((BT79+BU79)/2))/(D79+2*((BT79+BU79)/2)))^(2/3))^2+((DATOS!$B$34*H78/((D78*F78)/(D78+2*F78))^(2/3))^2))/2))&gt;0,BT79,((BT79+BU79)/2))</f>
        <v/>
      </c>
      <c r="BW79" s="5">
        <f>IF((((BT79+BU79)/2)+(C79/(D79*((BT79+BU79)/2)))^2/(2*9.81)+B79-(G78+H78^2/(2*9.81))-(A78-A79)*(((DATOS!$B$34*(C79/(D79*((BT79+BU79)/2)))/((D79*((BT79+BU79)/2))/(D79+2*((BT79+BU79)/2)))^(2/3))^2+((DATOS!$B$34*H78/((D78*F78)/(D78+2*F78))^(2/3))^2))/2))&gt;0,((BT79+BU79)/2),BU79)</f>
        <v/>
      </c>
    </row>
    <row r="80">
      <c r="A80" s="13" t="n">
        <v>9</v>
      </c>
      <c r="B80" s="16">
        <f>DATOS!$B$22-DATOS!$B$23*A80</f>
        <v/>
      </c>
      <c r="C80" s="24">
        <f>CAUDALES!$B$13</f>
        <v/>
      </c>
      <c r="D80" s="17">
        <f>DATOS!$B$17</f>
        <v/>
      </c>
      <c r="E80" s="16">
        <f>(C80^2/(9.81*D80^2))^(1/3)</f>
        <v/>
      </c>
      <c r="F80" s="16">
        <f>(BV80+BW80)/2</f>
        <v/>
      </c>
      <c r="G80" s="16">
        <f>B80+F80</f>
        <v/>
      </c>
      <c r="H80" s="19">
        <f>C80/(D80*F80)</f>
        <v/>
      </c>
      <c r="I80" s="19">
        <f>H80/SQRT(9.81*F80)</f>
        <v/>
      </c>
      <c r="J80" s="16">
        <f>DATOS!$B$29-IF(AND(A80&gt;=DATOS!$B$30,A80&lt;DATOS!$B$31),DATOS!$B$21,DATOS!$B$20)</f>
        <v/>
      </c>
      <c r="K80" s="19">
        <f>J80-B80</f>
        <v/>
      </c>
      <c r="L80" s="19">
        <f>F80/K80</f>
        <v/>
      </c>
      <c r="M80" s="16">
        <f>J80-G80</f>
        <v/>
      </c>
      <c r="N80" s="5">
        <f>IF(AND(L80&lt;=DATOS!$B$36,M80&gt;=DATOS!$B$37,I80&lt;=1),"CUMPLE","NO CUMPLE")</f>
        <v/>
      </c>
      <c r="O80" s="5">
        <f>IF(AND(A80&gt;=DATOS!$B$30,A80&lt;DATOS!$B$31),"cruce de camiones",IF(AND(A80&gt;=DATOS!$B$32,A80&lt;DATOS!$B$33),"cruce de motos","tramo normal"))</f>
        <v/>
      </c>
      <c r="P80" s="5">
        <f>E80*1.001</f>
        <v/>
      </c>
      <c r="Q80" s="13" t="n">
        <v>3</v>
      </c>
      <c r="R80" s="5">
        <f>IF((((P80+Q80)/2)+(C80/(D80*((P80+Q80)/2)))^2/(2*9.81)+B80-(G79+H79^2/(2*9.81))-(A79-A80)*(((DATOS!$B$34*(C80/(D80*((P80+Q80)/2)))/((D80*((P80+Q80)/2))/(D80+2*((P80+Q80)/2)))^(2/3))^2+((DATOS!$B$34*H79/((D79*F79)/(D79+2*F79))^(2/3))^2))/2))&gt;0,P80,((P80+Q80)/2))</f>
        <v/>
      </c>
      <c r="S80" s="5">
        <f>IF((((P80+Q80)/2)+(C80/(D80*((P80+Q80)/2)))^2/(2*9.81)+B80-(G79+H79^2/(2*9.81))-(A79-A80)*(((DATOS!$B$34*(C80/(D80*((P80+Q80)/2)))/((D80*((P80+Q80)/2))/(D80+2*((P80+Q80)/2)))^(2/3))^2+((DATOS!$B$34*H79/((D79*F79)/(D79+2*F79))^(2/3))^2))/2))&gt;0,((P80+Q80)/2),Q80)</f>
        <v/>
      </c>
      <c r="T80" s="5">
        <f>IF((((R80+S80)/2)+(C80/(D80*((R80+S80)/2)))^2/(2*9.81)+B80-(G79+H79^2/(2*9.81))-(A79-A80)*(((DATOS!$B$34*(C80/(D80*((R80+S80)/2)))/((D80*((R80+S80)/2))/(D80+2*((R80+S80)/2)))^(2/3))^2+((DATOS!$B$34*H79/((D79*F79)/(D79+2*F79))^(2/3))^2))/2))&gt;0,R80,((R80+S80)/2))</f>
        <v/>
      </c>
      <c r="U80" s="5">
        <f>IF((((R80+S80)/2)+(C80/(D80*((R80+S80)/2)))^2/(2*9.81)+B80-(G79+H79^2/(2*9.81))-(A79-A80)*(((DATOS!$B$34*(C80/(D80*((R80+S80)/2)))/((D80*((R80+S80)/2))/(D80+2*((R80+S80)/2)))^(2/3))^2+((DATOS!$B$34*H79/((D79*F79)/(D79+2*F79))^(2/3))^2))/2))&gt;0,((R80+S80)/2),S80)</f>
        <v/>
      </c>
      <c r="V80" s="5">
        <f>IF((((T80+U80)/2)+(C80/(D80*((T80+U80)/2)))^2/(2*9.81)+B80-(G79+H79^2/(2*9.81))-(A79-A80)*(((DATOS!$B$34*(C80/(D80*((T80+U80)/2)))/((D80*((T80+U80)/2))/(D80+2*((T80+U80)/2)))^(2/3))^2+((DATOS!$B$34*H79/((D79*F79)/(D79+2*F79))^(2/3))^2))/2))&gt;0,T80,((T80+U80)/2))</f>
        <v/>
      </c>
      <c r="W80" s="5">
        <f>IF((((T80+U80)/2)+(C80/(D80*((T80+U80)/2)))^2/(2*9.81)+B80-(G79+H79^2/(2*9.81))-(A79-A80)*(((DATOS!$B$34*(C80/(D80*((T80+U80)/2)))/((D80*((T80+U80)/2))/(D80+2*((T80+U80)/2)))^(2/3))^2+((DATOS!$B$34*H79/((D79*F79)/(D79+2*F79))^(2/3))^2))/2))&gt;0,((T80+U80)/2),U80)</f>
        <v/>
      </c>
      <c r="X80" s="5">
        <f>IF((((V80+W80)/2)+(C80/(D80*((V80+W80)/2)))^2/(2*9.81)+B80-(G79+H79^2/(2*9.81))-(A79-A80)*(((DATOS!$B$34*(C80/(D80*((V80+W80)/2)))/((D80*((V80+W80)/2))/(D80+2*((V80+W80)/2)))^(2/3))^2+((DATOS!$B$34*H79/((D79*F79)/(D79+2*F79))^(2/3))^2))/2))&gt;0,V80,((V80+W80)/2))</f>
        <v/>
      </c>
      <c r="Y80" s="5">
        <f>IF((((V80+W80)/2)+(C80/(D80*((V80+W80)/2)))^2/(2*9.81)+B80-(G79+H79^2/(2*9.81))-(A79-A80)*(((DATOS!$B$34*(C80/(D80*((V80+W80)/2)))/((D80*((V80+W80)/2))/(D80+2*((V80+W80)/2)))^(2/3))^2+((DATOS!$B$34*H79/((D79*F79)/(D79+2*F79))^(2/3))^2))/2))&gt;0,((V80+W80)/2),W80)</f>
        <v/>
      </c>
      <c r="Z80" s="5">
        <f>IF((((X80+Y80)/2)+(C80/(D80*((X80+Y80)/2)))^2/(2*9.81)+B80-(G79+H79^2/(2*9.81))-(A79-A80)*(((DATOS!$B$34*(C80/(D80*((X80+Y80)/2)))/((D80*((X80+Y80)/2))/(D80+2*((X80+Y80)/2)))^(2/3))^2+((DATOS!$B$34*H79/((D79*F79)/(D79+2*F79))^(2/3))^2))/2))&gt;0,X80,((X80+Y80)/2))</f>
        <v/>
      </c>
      <c r="AA80" s="5">
        <f>IF((((X80+Y80)/2)+(C80/(D80*((X80+Y80)/2)))^2/(2*9.81)+B80-(G79+H79^2/(2*9.81))-(A79-A80)*(((DATOS!$B$34*(C80/(D80*((X80+Y80)/2)))/((D80*((X80+Y80)/2))/(D80+2*((X80+Y80)/2)))^(2/3))^2+((DATOS!$B$34*H79/((D79*F79)/(D79+2*F79))^(2/3))^2))/2))&gt;0,((X80+Y80)/2),Y80)</f>
        <v/>
      </c>
      <c r="AB80" s="5">
        <f>IF((((Z80+AA80)/2)+(C80/(D80*((Z80+AA80)/2)))^2/(2*9.81)+B80-(G79+H79^2/(2*9.81))-(A79-A80)*(((DATOS!$B$34*(C80/(D80*((Z80+AA80)/2)))/((D80*((Z80+AA80)/2))/(D80+2*((Z80+AA80)/2)))^(2/3))^2+((DATOS!$B$34*H79/((D79*F79)/(D79+2*F79))^(2/3))^2))/2))&gt;0,Z80,((Z80+AA80)/2))</f>
        <v/>
      </c>
      <c r="AC80" s="5">
        <f>IF((((Z80+AA80)/2)+(C80/(D80*((Z80+AA80)/2)))^2/(2*9.81)+B80-(G79+H79^2/(2*9.81))-(A79-A80)*(((DATOS!$B$34*(C80/(D80*((Z80+AA80)/2)))/((D80*((Z80+AA80)/2))/(D80+2*((Z80+AA80)/2)))^(2/3))^2+((DATOS!$B$34*H79/((D79*F79)/(D79+2*F79))^(2/3))^2))/2))&gt;0,((Z80+AA80)/2),AA80)</f>
        <v/>
      </c>
      <c r="AD80" s="5">
        <f>IF((((AB80+AC80)/2)+(C80/(D80*((AB80+AC80)/2)))^2/(2*9.81)+B80-(G79+H79^2/(2*9.81))-(A79-A80)*(((DATOS!$B$34*(C80/(D80*((AB80+AC80)/2)))/((D80*((AB80+AC80)/2))/(D80+2*((AB80+AC80)/2)))^(2/3))^2+((DATOS!$B$34*H79/((D79*F79)/(D79+2*F79))^(2/3))^2))/2))&gt;0,AB80,((AB80+AC80)/2))</f>
        <v/>
      </c>
      <c r="AE80" s="5">
        <f>IF((((AB80+AC80)/2)+(C80/(D80*((AB80+AC80)/2)))^2/(2*9.81)+B80-(G79+H79^2/(2*9.81))-(A79-A80)*(((DATOS!$B$34*(C80/(D80*((AB80+AC80)/2)))/((D80*((AB80+AC80)/2))/(D80+2*((AB80+AC80)/2)))^(2/3))^2+((DATOS!$B$34*H79/((D79*F79)/(D79+2*F79))^(2/3))^2))/2))&gt;0,((AB80+AC80)/2),AC80)</f>
        <v/>
      </c>
      <c r="AF80" s="5">
        <f>IF((((AD80+AE80)/2)+(C80/(D80*((AD80+AE80)/2)))^2/(2*9.81)+B80-(G79+H79^2/(2*9.81))-(A79-A80)*(((DATOS!$B$34*(C80/(D80*((AD80+AE80)/2)))/((D80*((AD80+AE80)/2))/(D80+2*((AD80+AE80)/2)))^(2/3))^2+((DATOS!$B$34*H79/((D79*F79)/(D79+2*F79))^(2/3))^2))/2))&gt;0,AD80,((AD80+AE80)/2))</f>
        <v/>
      </c>
      <c r="AG80" s="5">
        <f>IF((((AD80+AE80)/2)+(C80/(D80*((AD80+AE80)/2)))^2/(2*9.81)+B80-(G79+H79^2/(2*9.81))-(A79-A80)*(((DATOS!$B$34*(C80/(D80*((AD80+AE80)/2)))/((D80*((AD80+AE80)/2))/(D80+2*((AD80+AE80)/2)))^(2/3))^2+((DATOS!$B$34*H79/((D79*F79)/(D79+2*F79))^(2/3))^2))/2))&gt;0,((AD80+AE80)/2),AE80)</f>
        <v/>
      </c>
      <c r="AH80" s="5">
        <f>IF((((AF80+AG80)/2)+(C80/(D80*((AF80+AG80)/2)))^2/(2*9.81)+B80-(G79+H79^2/(2*9.81))-(A79-A80)*(((DATOS!$B$34*(C80/(D80*((AF80+AG80)/2)))/((D80*((AF80+AG80)/2))/(D80+2*((AF80+AG80)/2)))^(2/3))^2+((DATOS!$B$34*H79/((D79*F79)/(D79+2*F79))^(2/3))^2))/2))&gt;0,AF80,((AF80+AG80)/2))</f>
        <v/>
      </c>
      <c r="AI80" s="5">
        <f>IF((((AF80+AG80)/2)+(C80/(D80*((AF80+AG80)/2)))^2/(2*9.81)+B80-(G79+H79^2/(2*9.81))-(A79-A80)*(((DATOS!$B$34*(C80/(D80*((AF80+AG80)/2)))/((D80*((AF80+AG80)/2))/(D80+2*((AF80+AG80)/2)))^(2/3))^2+((DATOS!$B$34*H79/((D79*F79)/(D79+2*F79))^(2/3))^2))/2))&gt;0,((AF80+AG80)/2),AG80)</f>
        <v/>
      </c>
      <c r="AJ80" s="5">
        <f>IF((((AH80+AI80)/2)+(C80/(D80*((AH80+AI80)/2)))^2/(2*9.81)+B80-(G79+H79^2/(2*9.81))-(A79-A80)*(((DATOS!$B$34*(C80/(D80*((AH80+AI80)/2)))/((D80*((AH80+AI80)/2))/(D80+2*((AH80+AI80)/2)))^(2/3))^2+((DATOS!$B$34*H79/((D79*F79)/(D79+2*F79))^(2/3))^2))/2))&gt;0,AH80,((AH80+AI80)/2))</f>
        <v/>
      </c>
      <c r="AK80" s="5">
        <f>IF((((AH80+AI80)/2)+(C80/(D80*((AH80+AI80)/2)))^2/(2*9.81)+B80-(G79+H79^2/(2*9.81))-(A79-A80)*(((DATOS!$B$34*(C80/(D80*((AH80+AI80)/2)))/((D80*((AH80+AI80)/2))/(D80+2*((AH80+AI80)/2)))^(2/3))^2+((DATOS!$B$34*H79/((D79*F79)/(D79+2*F79))^(2/3))^2))/2))&gt;0,((AH80+AI80)/2),AI80)</f>
        <v/>
      </c>
      <c r="AL80" s="5">
        <f>IF((((AJ80+AK80)/2)+(C80/(D80*((AJ80+AK80)/2)))^2/(2*9.81)+B80-(G79+H79^2/(2*9.81))-(A79-A80)*(((DATOS!$B$34*(C80/(D80*((AJ80+AK80)/2)))/((D80*((AJ80+AK80)/2))/(D80+2*((AJ80+AK80)/2)))^(2/3))^2+((DATOS!$B$34*H79/((D79*F79)/(D79+2*F79))^(2/3))^2))/2))&gt;0,AJ80,((AJ80+AK80)/2))</f>
        <v/>
      </c>
      <c r="AM80" s="5">
        <f>IF((((AJ80+AK80)/2)+(C80/(D80*((AJ80+AK80)/2)))^2/(2*9.81)+B80-(G79+H79^2/(2*9.81))-(A79-A80)*(((DATOS!$B$34*(C80/(D80*((AJ80+AK80)/2)))/((D80*((AJ80+AK80)/2))/(D80+2*((AJ80+AK80)/2)))^(2/3))^2+((DATOS!$B$34*H79/((D79*F79)/(D79+2*F79))^(2/3))^2))/2))&gt;0,((AJ80+AK80)/2),AK80)</f>
        <v/>
      </c>
      <c r="AN80" s="5">
        <f>IF((((AL80+AM80)/2)+(C80/(D80*((AL80+AM80)/2)))^2/(2*9.81)+B80-(G79+H79^2/(2*9.81))-(A79-A80)*(((DATOS!$B$34*(C80/(D80*((AL80+AM80)/2)))/((D80*((AL80+AM80)/2))/(D80+2*((AL80+AM80)/2)))^(2/3))^2+((DATOS!$B$34*H79/((D79*F79)/(D79+2*F79))^(2/3))^2))/2))&gt;0,AL80,((AL80+AM80)/2))</f>
        <v/>
      </c>
      <c r="AO80" s="5">
        <f>IF((((AL80+AM80)/2)+(C80/(D80*((AL80+AM80)/2)))^2/(2*9.81)+B80-(G79+H79^2/(2*9.81))-(A79-A80)*(((DATOS!$B$34*(C80/(D80*((AL80+AM80)/2)))/((D80*((AL80+AM80)/2))/(D80+2*((AL80+AM80)/2)))^(2/3))^2+((DATOS!$B$34*H79/((D79*F79)/(D79+2*F79))^(2/3))^2))/2))&gt;0,((AL80+AM80)/2),AM80)</f>
        <v/>
      </c>
      <c r="AP80" s="5">
        <f>IF((((AN80+AO80)/2)+(C80/(D80*((AN80+AO80)/2)))^2/(2*9.81)+B80-(G79+H79^2/(2*9.81))-(A79-A80)*(((DATOS!$B$34*(C80/(D80*((AN80+AO80)/2)))/((D80*((AN80+AO80)/2))/(D80+2*((AN80+AO80)/2)))^(2/3))^2+((DATOS!$B$34*H79/((D79*F79)/(D79+2*F79))^(2/3))^2))/2))&gt;0,AN80,((AN80+AO80)/2))</f>
        <v/>
      </c>
      <c r="AQ80" s="5">
        <f>IF((((AN80+AO80)/2)+(C80/(D80*((AN80+AO80)/2)))^2/(2*9.81)+B80-(G79+H79^2/(2*9.81))-(A79-A80)*(((DATOS!$B$34*(C80/(D80*((AN80+AO80)/2)))/((D80*((AN80+AO80)/2))/(D80+2*((AN80+AO80)/2)))^(2/3))^2+((DATOS!$B$34*H79/((D79*F79)/(D79+2*F79))^(2/3))^2))/2))&gt;0,((AN80+AO80)/2),AO80)</f>
        <v/>
      </c>
      <c r="AR80" s="5">
        <f>IF((((AP80+AQ80)/2)+(C80/(D80*((AP80+AQ80)/2)))^2/(2*9.81)+B80-(G79+H79^2/(2*9.81))-(A79-A80)*(((DATOS!$B$34*(C80/(D80*((AP80+AQ80)/2)))/((D80*((AP80+AQ80)/2))/(D80+2*((AP80+AQ80)/2)))^(2/3))^2+((DATOS!$B$34*H79/((D79*F79)/(D79+2*F79))^(2/3))^2))/2))&gt;0,AP80,((AP80+AQ80)/2))</f>
        <v/>
      </c>
      <c r="AS80" s="5">
        <f>IF((((AP80+AQ80)/2)+(C80/(D80*((AP80+AQ80)/2)))^2/(2*9.81)+B80-(G79+H79^2/(2*9.81))-(A79-A80)*(((DATOS!$B$34*(C80/(D80*((AP80+AQ80)/2)))/((D80*((AP80+AQ80)/2))/(D80+2*((AP80+AQ80)/2)))^(2/3))^2+((DATOS!$B$34*H79/((D79*F79)/(D79+2*F79))^(2/3))^2))/2))&gt;0,((AP80+AQ80)/2),AQ80)</f>
        <v/>
      </c>
      <c r="AT80" s="5">
        <f>IF((((AR80+AS80)/2)+(C80/(D80*((AR80+AS80)/2)))^2/(2*9.81)+B80-(G79+H79^2/(2*9.81))-(A79-A80)*(((DATOS!$B$34*(C80/(D80*((AR80+AS80)/2)))/((D80*((AR80+AS80)/2))/(D80+2*((AR80+AS80)/2)))^(2/3))^2+((DATOS!$B$34*H79/((D79*F79)/(D79+2*F79))^(2/3))^2))/2))&gt;0,AR80,((AR80+AS80)/2))</f>
        <v/>
      </c>
      <c r="AU80" s="5">
        <f>IF((((AR80+AS80)/2)+(C80/(D80*((AR80+AS80)/2)))^2/(2*9.81)+B80-(G79+H79^2/(2*9.81))-(A79-A80)*(((DATOS!$B$34*(C80/(D80*((AR80+AS80)/2)))/((D80*((AR80+AS80)/2))/(D80+2*((AR80+AS80)/2)))^(2/3))^2+((DATOS!$B$34*H79/((D79*F79)/(D79+2*F79))^(2/3))^2))/2))&gt;0,((AR80+AS80)/2),AS80)</f>
        <v/>
      </c>
      <c r="AV80" s="5">
        <f>IF((((AT80+AU80)/2)+(C80/(D80*((AT80+AU80)/2)))^2/(2*9.81)+B80-(G79+H79^2/(2*9.81))-(A79-A80)*(((DATOS!$B$34*(C80/(D80*((AT80+AU80)/2)))/((D80*((AT80+AU80)/2))/(D80+2*((AT80+AU80)/2)))^(2/3))^2+((DATOS!$B$34*H79/((D79*F79)/(D79+2*F79))^(2/3))^2))/2))&gt;0,AT80,((AT80+AU80)/2))</f>
        <v/>
      </c>
      <c r="AW80" s="5">
        <f>IF((((AT80+AU80)/2)+(C80/(D80*((AT80+AU80)/2)))^2/(2*9.81)+B80-(G79+H79^2/(2*9.81))-(A79-A80)*(((DATOS!$B$34*(C80/(D80*((AT80+AU80)/2)))/((D80*((AT80+AU80)/2))/(D80+2*((AT80+AU80)/2)))^(2/3))^2+((DATOS!$B$34*H79/((D79*F79)/(D79+2*F79))^(2/3))^2))/2))&gt;0,((AT80+AU80)/2),AU80)</f>
        <v/>
      </c>
      <c r="AX80" s="5">
        <f>IF((((AV80+AW80)/2)+(C80/(D80*((AV80+AW80)/2)))^2/(2*9.81)+B80-(G79+H79^2/(2*9.81))-(A79-A80)*(((DATOS!$B$34*(C80/(D80*((AV80+AW80)/2)))/((D80*((AV80+AW80)/2))/(D80+2*((AV80+AW80)/2)))^(2/3))^2+((DATOS!$B$34*H79/((D79*F79)/(D79+2*F79))^(2/3))^2))/2))&gt;0,AV80,((AV80+AW80)/2))</f>
        <v/>
      </c>
      <c r="AY80" s="5">
        <f>IF((((AV80+AW80)/2)+(C80/(D80*((AV80+AW80)/2)))^2/(2*9.81)+B80-(G79+H79^2/(2*9.81))-(A79-A80)*(((DATOS!$B$34*(C80/(D80*((AV80+AW80)/2)))/((D80*((AV80+AW80)/2))/(D80+2*((AV80+AW80)/2)))^(2/3))^2+((DATOS!$B$34*H79/((D79*F79)/(D79+2*F79))^(2/3))^2))/2))&gt;0,((AV80+AW80)/2),AW80)</f>
        <v/>
      </c>
      <c r="AZ80" s="5">
        <f>IF((((AX80+AY80)/2)+(C80/(D80*((AX80+AY80)/2)))^2/(2*9.81)+B80-(G79+H79^2/(2*9.81))-(A79-A80)*(((DATOS!$B$34*(C80/(D80*((AX80+AY80)/2)))/((D80*((AX80+AY80)/2))/(D80+2*((AX80+AY80)/2)))^(2/3))^2+((DATOS!$B$34*H79/((D79*F79)/(D79+2*F79))^(2/3))^2))/2))&gt;0,AX80,((AX80+AY80)/2))</f>
        <v/>
      </c>
      <c r="BA80" s="5">
        <f>IF((((AX80+AY80)/2)+(C80/(D80*((AX80+AY80)/2)))^2/(2*9.81)+B80-(G79+H79^2/(2*9.81))-(A79-A80)*(((DATOS!$B$34*(C80/(D80*((AX80+AY80)/2)))/((D80*((AX80+AY80)/2))/(D80+2*((AX80+AY80)/2)))^(2/3))^2+((DATOS!$B$34*H79/((D79*F79)/(D79+2*F79))^(2/3))^2))/2))&gt;0,((AX80+AY80)/2),AY80)</f>
        <v/>
      </c>
      <c r="BB80" s="5">
        <f>IF((((AZ80+BA80)/2)+(C80/(D80*((AZ80+BA80)/2)))^2/(2*9.81)+B80-(G79+H79^2/(2*9.81))-(A79-A80)*(((DATOS!$B$34*(C80/(D80*((AZ80+BA80)/2)))/((D80*((AZ80+BA80)/2))/(D80+2*((AZ80+BA80)/2)))^(2/3))^2+((DATOS!$B$34*H79/((D79*F79)/(D79+2*F79))^(2/3))^2))/2))&gt;0,AZ80,((AZ80+BA80)/2))</f>
        <v/>
      </c>
      <c r="BC80" s="5">
        <f>IF((((AZ80+BA80)/2)+(C80/(D80*((AZ80+BA80)/2)))^2/(2*9.81)+B80-(G79+H79^2/(2*9.81))-(A79-A80)*(((DATOS!$B$34*(C80/(D80*((AZ80+BA80)/2)))/((D80*((AZ80+BA80)/2))/(D80+2*((AZ80+BA80)/2)))^(2/3))^2+((DATOS!$B$34*H79/((D79*F79)/(D79+2*F79))^(2/3))^2))/2))&gt;0,((AZ80+BA80)/2),BA80)</f>
        <v/>
      </c>
      <c r="BD80" s="5">
        <f>IF((((BB80+BC80)/2)+(C80/(D80*((BB80+BC80)/2)))^2/(2*9.81)+B80-(G79+H79^2/(2*9.81))-(A79-A80)*(((DATOS!$B$34*(C80/(D80*((BB80+BC80)/2)))/((D80*((BB80+BC80)/2))/(D80+2*((BB80+BC80)/2)))^(2/3))^2+((DATOS!$B$34*H79/((D79*F79)/(D79+2*F79))^(2/3))^2))/2))&gt;0,BB80,((BB80+BC80)/2))</f>
        <v/>
      </c>
      <c r="BE80" s="5">
        <f>IF((((BB80+BC80)/2)+(C80/(D80*((BB80+BC80)/2)))^2/(2*9.81)+B80-(G79+H79^2/(2*9.81))-(A79-A80)*(((DATOS!$B$34*(C80/(D80*((BB80+BC80)/2)))/((D80*((BB80+BC80)/2))/(D80+2*((BB80+BC80)/2)))^(2/3))^2+((DATOS!$B$34*H79/((D79*F79)/(D79+2*F79))^(2/3))^2))/2))&gt;0,((BB80+BC80)/2),BC80)</f>
        <v/>
      </c>
      <c r="BF80" s="5">
        <f>IF((((BD80+BE80)/2)+(C80/(D80*((BD80+BE80)/2)))^2/(2*9.81)+B80-(G79+H79^2/(2*9.81))-(A79-A80)*(((DATOS!$B$34*(C80/(D80*((BD80+BE80)/2)))/((D80*((BD80+BE80)/2))/(D80+2*((BD80+BE80)/2)))^(2/3))^2+((DATOS!$B$34*H79/((D79*F79)/(D79+2*F79))^(2/3))^2))/2))&gt;0,BD80,((BD80+BE80)/2))</f>
        <v/>
      </c>
      <c r="BG80" s="5">
        <f>IF((((BD80+BE80)/2)+(C80/(D80*((BD80+BE80)/2)))^2/(2*9.81)+B80-(G79+H79^2/(2*9.81))-(A79-A80)*(((DATOS!$B$34*(C80/(D80*((BD80+BE80)/2)))/((D80*((BD80+BE80)/2))/(D80+2*((BD80+BE80)/2)))^(2/3))^2+((DATOS!$B$34*H79/((D79*F79)/(D79+2*F79))^(2/3))^2))/2))&gt;0,((BD80+BE80)/2),BE80)</f>
        <v/>
      </c>
      <c r="BH80" s="5">
        <f>IF((((BF80+BG80)/2)+(C80/(D80*((BF80+BG80)/2)))^2/(2*9.81)+B80-(G79+H79^2/(2*9.81))-(A79-A80)*(((DATOS!$B$34*(C80/(D80*((BF80+BG80)/2)))/((D80*((BF80+BG80)/2))/(D80+2*((BF80+BG80)/2)))^(2/3))^2+((DATOS!$B$34*H79/((D79*F79)/(D79+2*F79))^(2/3))^2))/2))&gt;0,BF80,((BF80+BG80)/2))</f>
        <v/>
      </c>
      <c r="BI80" s="5">
        <f>IF((((BF80+BG80)/2)+(C80/(D80*((BF80+BG80)/2)))^2/(2*9.81)+B80-(G79+H79^2/(2*9.81))-(A79-A80)*(((DATOS!$B$34*(C80/(D80*((BF80+BG80)/2)))/((D80*((BF80+BG80)/2))/(D80+2*((BF80+BG80)/2)))^(2/3))^2+((DATOS!$B$34*H79/((D79*F79)/(D79+2*F79))^(2/3))^2))/2))&gt;0,((BF80+BG80)/2),BG80)</f>
        <v/>
      </c>
      <c r="BJ80" s="5">
        <f>IF((((BH80+BI80)/2)+(C80/(D80*((BH80+BI80)/2)))^2/(2*9.81)+B80-(G79+H79^2/(2*9.81))-(A79-A80)*(((DATOS!$B$34*(C80/(D80*((BH80+BI80)/2)))/((D80*((BH80+BI80)/2))/(D80+2*((BH80+BI80)/2)))^(2/3))^2+((DATOS!$B$34*H79/((D79*F79)/(D79+2*F79))^(2/3))^2))/2))&gt;0,BH80,((BH80+BI80)/2))</f>
        <v/>
      </c>
      <c r="BK80" s="5">
        <f>IF((((BH80+BI80)/2)+(C80/(D80*((BH80+BI80)/2)))^2/(2*9.81)+B80-(G79+H79^2/(2*9.81))-(A79-A80)*(((DATOS!$B$34*(C80/(D80*((BH80+BI80)/2)))/((D80*((BH80+BI80)/2))/(D80+2*((BH80+BI80)/2)))^(2/3))^2+((DATOS!$B$34*H79/((D79*F79)/(D79+2*F79))^(2/3))^2))/2))&gt;0,((BH80+BI80)/2),BI80)</f>
        <v/>
      </c>
      <c r="BL80" s="5">
        <f>IF((((BJ80+BK80)/2)+(C80/(D80*((BJ80+BK80)/2)))^2/(2*9.81)+B80-(G79+H79^2/(2*9.81))-(A79-A80)*(((DATOS!$B$34*(C80/(D80*((BJ80+BK80)/2)))/((D80*((BJ80+BK80)/2))/(D80+2*((BJ80+BK80)/2)))^(2/3))^2+((DATOS!$B$34*H79/((D79*F79)/(D79+2*F79))^(2/3))^2))/2))&gt;0,BJ80,((BJ80+BK80)/2))</f>
        <v/>
      </c>
      <c r="BM80" s="5">
        <f>IF((((BJ80+BK80)/2)+(C80/(D80*((BJ80+BK80)/2)))^2/(2*9.81)+B80-(G79+H79^2/(2*9.81))-(A79-A80)*(((DATOS!$B$34*(C80/(D80*((BJ80+BK80)/2)))/((D80*((BJ80+BK80)/2))/(D80+2*((BJ80+BK80)/2)))^(2/3))^2+((DATOS!$B$34*H79/((D79*F79)/(D79+2*F79))^(2/3))^2))/2))&gt;0,((BJ80+BK80)/2),BK80)</f>
        <v/>
      </c>
      <c r="BN80" s="5">
        <f>IF((((BL80+BM80)/2)+(C80/(D80*((BL80+BM80)/2)))^2/(2*9.81)+B80-(G79+H79^2/(2*9.81))-(A79-A80)*(((DATOS!$B$34*(C80/(D80*((BL80+BM80)/2)))/((D80*((BL80+BM80)/2))/(D80+2*((BL80+BM80)/2)))^(2/3))^2+((DATOS!$B$34*H79/((D79*F79)/(D79+2*F79))^(2/3))^2))/2))&gt;0,BL80,((BL80+BM80)/2))</f>
        <v/>
      </c>
      <c r="BO80" s="5">
        <f>IF((((BL80+BM80)/2)+(C80/(D80*((BL80+BM80)/2)))^2/(2*9.81)+B80-(G79+H79^2/(2*9.81))-(A79-A80)*(((DATOS!$B$34*(C80/(D80*((BL80+BM80)/2)))/((D80*((BL80+BM80)/2))/(D80+2*((BL80+BM80)/2)))^(2/3))^2+((DATOS!$B$34*H79/((D79*F79)/(D79+2*F79))^(2/3))^2))/2))&gt;0,((BL80+BM80)/2),BM80)</f>
        <v/>
      </c>
      <c r="BP80" s="5">
        <f>IF((((BN80+BO80)/2)+(C80/(D80*((BN80+BO80)/2)))^2/(2*9.81)+B80-(G79+H79^2/(2*9.81))-(A79-A80)*(((DATOS!$B$34*(C80/(D80*((BN80+BO80)/2)))/((D80*((BN80+BO80)/2))/(D80+2*((BN80+BO80)/2)))^(2/3))^2+((DATOS!$B$34*H79/((D79*F79)/(D79+2*F79))^(2/3))^2))/2))&gt;0,BN80,((BN80+BO80)/2))</f>
        <v/>
      </c>
      <c r="BQ80" s="5">
        <f>IF((((BN80+BO80)/2)+(C80/(D80*((BN80+BO80)/2)))^2/(2*9.81)+B80-(G79+H79^2/(2*9.81))-(A79-A80)*(((DATOS!$B$34*(C80/(D80*((BN80+BO80)/2)))/((D80*((BN80+BO80)/2))/(D80+2*((BN80+BO80)/2)))^(2/3))^2+((DATOS!$B$34*H79/((D79*F79)/(D79+2*F79))^(2/3))^2))/2))&gt;0,((BN80+BO80)/2),BO80)</f>
        <v/>
      </c>
      <c r="BR80" s="5">
        <f>IF((((BP80+BQ80)/2)+(C80/(D80*((BP80+BQ80)/2)))^2/(2*9.81)+B80-(G79+H79^2/(2*9.81))-(A79-A80)*(((DATOS!$B$34*(C80/(D80*((BP80+BQ80)/2)))/((D80*((BP80+BQ80)/2))/(D80+2*((BP80+BQ80)/2)))^(2/3))^2+((DATOS!$B$34*H79/((D79*F79)/(D79+2*F79))^(2/3))^2))/2))&gt;0,BP80,((BP80+BQ80)/2))</f>
        <v/>
      </c>
      <c r="BS80" s="5">
        <f>IF((((BP80+BQ80)/2)+(C80/(D80*((BP80+BQ80)/2)))^2/(2*9.81)+B80-(G79+H79^2/(2*9.81))-(A79-A80)*(((DATOS!$B$34*(C80/(D80*((BP80+BQ80)/2)))/((D80*((BP80+BQ80)/2))/(D80+2*((BP80+BQ80)/2)))^(2/3))^2+((DATOS!$B$34*H79/((D79*F79)/(D79+2*F79))^(2/3))^2))/2))&gt;0,((BP80+BQ80)/2),BQ80)</f>
        <v/>
      </c>
      <c r="BT80" s="5">
        <f>IF((((BR80+BS80)/2)+(C80/(D80*((BR80+BS80)/2)))^2/(2*9.81)+B80-(G79+H79^2/(2*9.81))-(A79-A80)*(((DATOS!$B$34*(C80/(D80*((BR80+BS80)/2)))/((D80*((BR80+BS80)/2))/(D80+2*((BR80+BS80)/2)))^(2/3))^2+((DATOS!$B$34*H79/((D79*F79)/(D79+2*F79))^(2/3))^2))/2))&gt;0,BR80,((BR80+BS80)/2))</f>
        <v/>
      </c>
      <c r="BU80" s="5">
        <f>IF((((BR80+BS80)/2)+(C80/(D80*((BR80+BS80)/2)))^2/(2*9.81)+B80-(G79+H79^2/(2*9.81))-(A79-A80)*(((DATOS!$B$34*(C80/(D80*((BR80+BS80)/2)))/((D80*((BR80+BS80)/2))/(D80+2*((BR80+BS80)/2)))^(2/3))^2+((DATOS!$B$34*H79/((D79*F79)/(D79+2*F79))^(2/3))^2))/2))&gt;0,((BR80+BS80)/2),BS80)</f>
        <v/>
      </c>
      <c r="BV80" s="5">
        <f>IF((((BT80+BU80)/2)+(C80/(D80*((BT80+BU80)/2)))^2/(2*9.81)+B80-(G79+H79^2/(2*9.81))-(A79-A80)*(((DATOS!$B$34*(C80/(D80*((BT80+BU80)/2)))/((D80*((BT80+BU80)/2))/(D80+2*((BT80+BU80)/2)))^(2/3))^2+((DATOS!$B$34*H79/((D79*F79)/(D79+2*F79))^(2/3))^2))/2))&gt;0,BT80,((BT80+BU80)/2))</f>
        <v/>
      </c>
      <c r="BW80" s="5">
        <f>IF((((BT80+BU80)/2)+(C80/(D80*((BT80+BU80)/2)))^2/(2*9.81)+B80-(G79+H79^2/(2*9.81))-(A79-A80)*(((DATOS!$B$34*(C80/(D80*((BT80+BU80)/2)))/((D80*((BT80+BU80)/2))/(D80+2*((BT80+BU80)/2)))^(2/3))^2+((DATOS!$B$34*H79/((D79*F79)/(D79+2*F79))^(2/3))^2))/2))&gt;0,((BT80+BU80)/2),BU80)</f>
        <v/>
      </c>
    </row>
    <row r="81">
      <c r="A81" s="13" t="n">
        <v>8</v>
      </c>
      <c r="B81" s="16">
        <f>DATOS!$B$22-DATOS!$B$23*A81</f>
        <v/>
      </c>
      <c r="C81" s="24">
        <f>CAUDALES!$B$13</f>
        <v/>
      </c>
      <c r="D81" s="17">
        <f>DATOS!$B$17</f>
        <v/>
      </c>
      <c r="E81" s="16">
        <f>(C81^2/(9.81*D81^2))^(1/3)</f>
        <v/>
      </c>
      <c r="F81" s="16">
        <f>(BV81+BW81)/2</f>
        <v/>
      </c>
      <c r="G81" s="16">
        <f>B81+F81</f>
        <v/>
      </c>
      <c r="H81" s="19">
        <f>C81/(D81*F81)</f>
        <v/>
      </c>
      <c r="I81" s="19">
        <f>H81/SQRT(9.81*F81)</f>
        <v/>
      </c>
      <c r="J81" s="16">
        <f>DATOS!$B$29-IF(AND(A81&gt;=DATOS!$B$30,A81&lt;DATOS!$B$31),DATOS!$B$21,DATOS!$B$20)</f>
        <v/>
      </c>
      <c r="K81" s="19">
        <f>J81-B81</f>
        <v/>
      </c>
      <c r="L81" s="19">
        <f>F81/K81</f>
        <v/>
      </c>
      <c r="M81" s="16">
        <f>J81-G81</f>
        <v/>
      </c>
      <c r="N81" s="5">
        <f>IF(AND(L81&lt;=DATOS!$B$36,M81&gt;=DATOS!$B$37,I81&lt;=1),"CUMPLE","NO CUMPLE")</f>
        <v/>
      </c>
      <c r="O81" s="5">
        <f>IF(AND(A81&gt;=DATOS!$B$30,A81&lt;DATOS!$B$31),"cruce de camiones",IF(AND(A81&gt;=DATOS!$B$32,A81&lt;DATOS!$B$33),"cruce de motos","tramo normal"))</f>
        <v/>
      </c>
      <c r="P81" s="5">
        <f>E81*1.001</f>
        <v/>
      </c>
      <c r="Q81" s="13" t="n">
        <v>3</v>
      </c>
      <c r="R81" s="5">
        <f>IF((((P81+Q81)/2)+(C81/(D81*((P81+Q81)/2)))^2/(2*9.81)+B81-(G80+H80^2/(2*9.81))-(A80-A81)*(((DATOS!$B$34*(C81/(D81*((P81+Q81)/2)))/((D81*((P81+Q81)/2))/(D81+2*((P81+Q81)/2)))^(2/3))^2+((DATOS!$B$34*H80/((D80*F80)/(D80+2*F80))^(2/3))^2))/2))&gt;0,P81,((P81+Q81)/2))</f>
        <v/>
      </c>
      <c r="S81" s="5">
        <f>IF((((P81+Q81)/2)+(C81/(D81*((P81+Q81)/2)))^2/(2*9.81)+B81-(G80+H80^2/(2*9.81))-(A80-A81)*(((DATOS!$B$34*(C81/(D81*((P81+Q81)/2)))/((D81*((P81+Q81)/2))/(D81+2*((P81+Q81)/2)))^(2/3))^2+((DATOS!$B$34*H80/((D80*F80)/(D80+2*F80))^(2/3))^2))/2))&gt;0,((P81+Q81)/2),Q81)</f>
        <v/>
      </c>
      <c r="T81" s="5">
        <f>IF((((R81+S81)/2)+(C81/(D81*((R81+S81)/2)))^2/(2*9.81)+B81-(G80+H80^2/(2*9.81))-(A80-A81)*(((DATOS!$B$34*(C81/(D81*((R81+S81)/2)))/((D81*((R81+S81)/2))/(D81+2*((R81+S81)/2)))^(2/3))^2+((DATOS!$B$34*H80/((D80*F80)/(D80+2*F80))^(2/3))^2))/2))&gt;0,R81,((R81+S81)/2))</f>
        <v/>
      </c>
      <c r="U81" s="5">
        <f>IF((((R81+S81)/2)+(C81/(D81*((R81+S81)/2)))^2/(2*9.81)+B81-(G80+H80^2/(2*9.81))-(A80-A81)*(((DATOS!$B$34*(C81/(D81*((R81+S81)/2)))/((D81*((R81+S81)/2))/(D81+2*((R81+S81)/2)))^(2/3))^2+((DATOS!$B$34*H80/((D80*F80)/(D80+2*F80))^(2/3))^2))/2))&gt;0,((R81+S81)/2),S81)</f>
        <v/>
      </c>
      <c r="V81" s="5">
        <f>IF((((T81+U81)/2)+(C81/(D81*((T81+U81)/2)))^2/(2*9.81)+B81-(G80+H80^2/(2*9.81))-(A80-A81)*(((DATOS!$B$34*(C81/(D81*((T81+U81)/2)))/((D81*((T81+U81)/2))/(D81+2*((T81+U81)/2)))^(2/3))^2+((DATOS!$B$34*H80/((D80*F80)/(D80+2*F80))^(2/3))^2))/2))&gt;0,T81,((T81+U81)/2))</f>
        <v/>
      </c>
      <c r="W81" s="5">
        <f>IF((((T81+U81)/2)+(C81/(D81*((T81+U81)/2)))^2/(2*9.81)+B81-(G80+H80^2/(2*9.81))-(A80-A81)*(((DATOS!$B$34*(C81/(D81*((T81+U81)/2)))/((D81*((T81+U81)/2))/(D81+2*((T81+U81)/2)))^(2/3))^2+((DATOS!$B$34*H80/((D80*F80)/(D80+2*F80))^(2/3))^2))/2))&gt;0,((T81+U81)/2),U81)</f>
        <v/>
      </c>
      <c r="X81" s="5">
        <f>IF((((V81+W81)/2)+(C81/(D81*((V81+W81)/2)))^2/(2*9.81)+B81-(G80+H80^2/(2*9.81))-(A80-A81)*(((DATOS!$B$34*(C81/(D81*((V81+W81)/2)))/((D81*((V81+W81)/2))/(D81+2*((V81+W81)/2)))^(2/3))^2+((DATOS!$B$34*H80/((D80*F80)/(D80+2*F80))^(2/3))^2))/2))&gt;0,V81,((V81+W81)/2))</f>
        <v/>
      </c>
      <c r="Y81" s="5">
        <f>IF((((V81+W81)/2)+(C81/(D81*((V81+W81)/2)))^2/(2*9.81)+B81-(G80+H80^2/(2*9.81))-(A80-A81)*(((DATOS!$B$34*(C81/(D81*((V81+W81)/2)))/((D81*((V81+W81)/2))/(D81+2*((V81+W81)/2)))^(2/3))^2+((DATOS!$B$34*H80/((D80*F80)/(D80+2*F80))^(2/3))^2))/2))&gt;0,((V81+W81)/2),W81)</f>
        <v/>
      </c>
      <c r="Z81" s="5">
        <f>IF((((X81+Y81)/2)+(C81/(D81*((X81+Y81)/2)))^2/(2*9.81)+B81-(G80+H80^2/(2*9.81))-(A80-A81)*(((DATOS!$B$34*(C81/(D81*((X81+Y81)/2)))/((D81*((X81+Y81)/2))/(D81+2*((X81+Y81)/2)))^(2/3))^2+((DATOS!$B$34*H80/((D80*F80)/(D80+2*F80))^(2/3))^2))/2))&gt;0,X81,((X81+Y81)/2))</f>
        <v/>
      </c>
      <c r="AA81" s="5">
        <f>IF((((X81+Y81)/2)+(C81/(D81*((X81+Y81)/2)))^2/(2*9.81)+B81-(G80+H80^2/(2*9.81))-(A80-A81)*(((DATOS!$B$34*(C81/(D81*((X81+Y81)/2)))/((D81*((X81+Y81)/2))/(D81+2*((X81+Y81)/2)))^(2/3))^2+((DATOS!$B$34*H80/((D80*F80)/(D80+2*F80))^(2/3))^2))/2))&gt;0,((X81+Y81)/2),Y81)</f>
        <v/>
      </c>
      <c r="AB81" s="5">
        <f>IF((((Z81+AA81)/2)+(C81/(D81*((Z81+AA81)/2)))^2/(2*9.81)+B81-(G80+H80^2/(2*9.81))-(A80-A81)*(((DATOS!$B$34*(C81/(D81*((Z81+AA81)/2)))/((D81*((Z81+AA81)/2))/(D81+2*((Z81+AA81)/2)))^(2/3))^2+((DATOS!$B$34*H80/((D80*F80)/(D80+2*F80))^(2/3))^2))/2))&gt;0,Z81,((Z81+AA81)/2))</f>
        <v/>
      </c>
      <c r="AC81" s="5">
        <f>IF((((Z81+AA81)/2)+(C81/(D81*((Z81+AA81)/2)))^2/(2*9.81)+B81-(G80+H80^2/(2*9.81))-(A80-A81)*(((DATOS!$B$34*(C81/(D81*((Z81+AA81)/2)))/((D81*((Z81+AA81)/2))/(D81+2*((Z81+AA81)/2)))^(2/3))^2+((DATOS!$B$34*H80/((D80*F80)/(D80+2*F80))^(2/3))^2))/2))&gt;0,((Z81+AA81)/2),AA81)</f>
        <v/>
      </c>
      <c r="AD81" s="5">
        <f>IF((((AB81+AC81)/2)+(C81/(D81*((AB81+AC81)/2)))^2/(2*9.81)+B81-(G80+H80^2/(2*9.81))-(A80-A81)*(((DATOS!$B$34*(C81/(D81*((AB81+AC81)/2)))/((D81*((AB81+AC81)/2))/(D81+2*((AB81+AC81)/2)))^(2/3))^2+((DATOS!$B$34*H80/((D80*F80)/(D80+2*F80))^(2/3))^2))/2))&gt;0,AB81,((AB81+AC81)/2))</f>
        <v/>
      </c>
      <c r="AE81" s="5">
        <f>IF((((AB81+AC81)/2)+(C81/(D81*((AB81+AC81)/2)))^2/(2*9.81)+B81-(G80+H80^2/(2*9.81))-(A80-A81)*(((DATOS!$B$34*(C81/(D81*((AB81+AC81)/2)))/((D81*((AB81+AC81)/2))/(D81+2*((AB81+AC81)/2)))^(2/3))^2+((DATOS!$B$34*H80/((D80*F80)/(D80+2*F80))^(2/3))^2))/2))&gt;0,((AB81+AC81)/2),AC81)</f>
        <v/>
      </c>
      <c r="AF81" s="5">
        <f>IF((((AD81+AE81)/2)+(C81/(D81*((AD81+AE81)/2)))^2/(2*9.81)+B81-(G80+H80^2/(2*9.81))-(A80-A81)*(((DATOS!$B$34*(C81/(D81*((AD81+AE81)/2)))/((D81*((AD81+AE81)/2))/(D81+2*((AD81+AE81)/2)))^(2/3))^2+((DATOS!$B$34*H80/((D80*F80)/(D80+2*F80))^(2/3))^2))/2))&gt;0,AD81,((AD81+AE81)/2))</f>
        <v/>
      </c>
      <c r="AG81" s="5">
        <f>IF((((AD81+AE81)/2)+(C81/(D81*((AD81+AE81)/2)))^2/(2*9.81)+B81-(G80+H80^2/(2*9.81))-(A80-A81)*(((DATOS!$B$34*(C81/(D81*((AD81+AE81)/2)))/((D81*((AD81+AE81)/2))/(D81+2*((AD81+AE81)/2)))^(2/3))^2+((DATOS!$B$34*H80/((D80*F80)/(D80+2*F80))^(2/3))^2))/2))&gt;0,((AD81+AE81)/2),AE81)</f>
        <v/>
      </c>
      <c r="AH81" s="5">
        <f>IF((((AF81+AG81)/2)+(C81/(D81*((AF81+AG81)/2)))^2/(2*9.81)+B81-(G80+H80^2/(2*9.81))-(A80-A81)*(((DATOS!$B$34*(C81/(D81*((AF81+AG81)/2)))/((D81*((AF81+AG81)/2))/(D81+2*((AF81+AG81)/2)))^(2/3))^2+((DATOS!$B$34*H80/((D80*F80)/(D80+2*F80))^(2/3))^2))/2))&gt;0,AF81,((AF81+AG81)/2))</f>
        <v/>
      </c>
      <c r="AI81" s="5">
        <f>IF((((AF81+AG81)/2)+(C81/(D81*((AF81+AG81)/2)))^2/(2*9.81)+B81-(G80+H80^2/(2*9.81))-(A80-A81)*(((DATOS!$B$34*(C81/(D81*((AF81+AG81)/2)))/((D81*((AF81+AG81)/2))/(D81+2*((AF81+AG81)/2)))^(2/3))^2+((DATOS!$B$34*H80/((D80*F80)/(D80+2*F80))^(2/3))^2))/2))&gt;0,((AF81+AG81)/2),AG81)</f>
        <v/>
      </c>
      <c r="AJ81" s="5">
        <f>IF((((AH81+AI81)/2)+(C81/(D81*((AH81+AI81)/2)))^2/(2*9.81)+B81-(G80+H80^2/(2*9.81))-(A80-A81)*(((DATOS!$B$34*(C81/(D81*((AH81+AI81)/2)))/((D81*((AH81+AI81)/2))/(D81+2*((AH81+AI81)/2)))^(2/3))^2+((DATOS!$B$34*H80/((D80*F80)/(D80+2*F80))^(2/3))^2))/2))&gt;0,AH81,((AH81+AI81)/2))</f>
        <v/>
      </c>
      <c r="AK81" s="5">
        <f>IF((((AH81+AI81)/2)+(C81/(D81*((AH81+AI81)/2)))^2/(2*9.81)+B81-(G80+H80^2/(2*9.81))-(A80-A81)*(((DATOS!$B$34*(C81/(D81*((AH81+AI81)/2)))/((D81*((AH81+AI81)/2))/(D81+2*((AH81+AI81)/2)))^(2/3))^2+((DATOS!$B$34*H80/((D80*F80)/(D80+2*F80))^(2/3))^2))/2))&gt;0,((AH81+AI81)/2),AI81)</f>
        <v/>
      </c>
      <c r="AL81" s="5">
        <f>IF((((AJ81+AK81)/2)+(C81/(D81*((AJ81+AK81)/2)))^2/(2*9.81)+B81-(G80+H80^2/(2*9.81))-(A80-A81)*(((DATOS!$B$34*(C81/(D81*((AJ81+AK81)/2)))/((D81*((AJ81+AK81)/2))/(D81+2*((AJ81+AK81)/2)))^(2/3))^2+((DATOS!$B$34*H80/((D80*F80)/(D80+2*F80))^(2/3))^2))/2))&gt;0,AJ81,((AJ81+AK81)/2))</f>
        <v/>
      </c>
      <c r="AM81" s="5">
        <f>IF((((AJ81+AK81)/2)+(C81/(D81*((AJ81+AK81)/2)))^2/(2*9.81)+B81-(G80+H80^2/(2*9.81))-(A80-A81)*(((DATOS!$B$34*(C81/(D81*((AJ81+AK81)/2)))/((D81*((AJ81+AK81)/2))/(D81+2*((AJ81+AK81)/2)))^(2/3))^2+((DATOS!$B$34*H80/((D80*F80)/(D80+2*F80))^(2/3))^2))/2))&gt;0,((AJ81+AK81)/2),AK81)</f>
        <v/>
      </c>
      <c r="AN81" s="5">
        <f>IF((((AL81+AM81)/2)+(C81/(D81*((AL81+AM81)/2)))^2/(2*9.81)+B81-(G80+H80^2/(2*9.81))-(A80-A81)*(((DATOS!$B$34*(C81/(D81*((AL81+AM81)/2)))/((D81*((AL81+AM81)/2))/(D81+2*((AL81+AM81)/2)))^(2/3))^2+((DATOS!$B$34*H80/((D80*F80)/(D80+2*F80))^(2/3))^2))/2))&gt;0,AL81,((AL81+AM81)/2))</f>
        <v/>
      </c>
      <c r="AO81" s="5">
        <f>IF((((AL81+AM81)/2)+(C81/(D81*((AL81+AM81)/2)))^2/(2*9.81)+B81-(G80+H80^2/(2*9.81))-(A80-A81)*(((DATOS!$B$34*(C81/(D81*((AL81+AM81)/2)))/((D81*((AL81+AM81)/2))/(D81+2*((AL81+AM81)/2)))^(2/3))^2+((DATOS!$B$34*H80/((D80*F80)/(D80+2*F80))^(2/3))^2))/2))&gt;0,((AL81+AM81)/2),AM81)</f>
        <v/>
      </c>
      <c r="AP81" s="5">
        <f>IF((((AN81+AO81)/2)+(C81/(D81*((AN81+AO81)/2)))^2/(2*9.81)+B81-(G80+H80^2/(2*9.81))-(A80-A81)*(((DATOS!$B$34*(C81/(D81*((AN81+AO81)/2)))/((D81*((AN81+AO81)/2))/(D81+2*((AN81+AO81)/2)))^(2/3))^2+((DATOS!$B$34*H80/((D80*F80)/(D80+2*F80))^(2/3))^2))/2))&gt;0,AN81,((AN81+AO81)/2))</f>
        <v/>
      </c>
      <c r="AQ81" s="5">
        <f>IF((((AN81+AO81)/2)+(C81/(D81*((AN81+AO81)/2)))^2/(2*9.81)+B81-(G80+H80^2/(2*9.81))-(A80-A81)*(((DATOS!$B$34*(C81/(D81*((AN81+AO81)/2)))/((D81*((AN81+AO81)/2))/(D81+2*((AN81+AO81)/2)))^(2/3))^2+((DATOS!$B$34*H80/((D80*F80)/(D80+2*F80))^(2/3))^2))/2))&gt;0,((AN81+AO81)/2),AO81)</f>
        <v/>
      </c>
      <c r="AR81" s="5">
        <f>IF((((AP81+AQ81)/2)+(C81/(D81*((AP81+AQ81)/2)))^2/(2*9.81)+B81-(G80+H80^2/(2*9.81))-(A80-A81)*(((DATOS!$B$34*(C81/(D81*((AP81+AQ81)/2)))/((D81*((AP81+AQ81)/2))/(D81+2*((AP81+AQ81)/2)))^(2/3))^2+((DATOS!$B$34*H80/((D80*F80)/(D80+2*F80))^(2/3))^2))/2))&gt;0,AP81,((AP81+AQ81)/2))</f>
        <v/>
      </c>
      <c r="AS81" s="5">
        <f>IF((((AP81+AQ81)/2)+(C81/(D81*((AP81+AQ81)/2)))^2/(2*9.81)+B81-(G80+H80^2/(2*9.81))-(A80-A81)*(((DATOS!$B$34*(C81/(D81*((AP81+AQ81)/2)))/((D81*((AP81+AQ81)/2))/(D81+2*((AP81+AQ81)/2)))^(2/3))^2+((DATOS!$B$34*H80/((D80*F80)/(D80+2*F80))^(2/3))^2))/2))&gt;0,((AP81+AQ81)/2),AQ81)</f>
        <v/>
      </c>
      <c r="AT81" s="5">
        <f>IF((((AR81+AS81)/2)+(C81/(D81*((AR81+AS81)/2)))^2/(2*9.81)+B81-(G80+H80^2/(2*9.81))-(A80-A81)*(((DATOS!$B$34*(C81/(D81*((AR81+AS81)/2)))/((D81*((AR81+AS81)/2))/(D81+2*((AR81+AS81)/2)))^(2/3))^2+((DATOS!$B$34*H80/((D80*F80)/(D80+2*F80))^(2/3))^2))/2))&gt;0,AR81,((AR81+AS81)/2))</f>
        <v/>
      </c>
      <c r="AU81" s="5">
        <f>IF((((AR81+AS81)/2)+(C81/(D81*((AR81+AS81)/2)))^2/(2*9.81)+B81-(G80+H80^2/(2*9.81))-(A80-A81)*(((DATOS!$B$34*(C81/(D81*((AR81+AS81)/2)))/((D81*((AR81+AS81)/2))/(D81+2*((AR81+AS81)/2)))^(2/3))^2+((DATOS!$B$34*H80/((D80*F80)/(D80+2*F80))^(2/3))^2))/2))&gt;0,((AR81+AS81)/2),AS81)</f>
        <v/>
      </c>
      <c r="AV81" s="5">
        <f>IF((((AT81+AU81)/2)+(C81/(D81*((AT81+AU81)/2)))^2/(2*9.81)+B81-(G80+H80^2/(2*9.81))-(A80-A81)*(((DATOS!$B$34*(C81/(D81*((AT81+AU81)/2)))/((D81*((AT81+AU81)/2))/(D81+2*((AT81+AU81)/2)))^(2/3))^2+((DATOS!$B$34*H80/((D80*F80)/(D80+2*F80))^(2/3))^2))/2))&gt;0,AT81,((AT81+AU81)/2))</f>
        <v/>
      </c>
      <c r="AW81" s="5">
        <f>IF((((AT81+AU81)/2)+(C81/(D81*((AT81+AU81)/2)))^2/(2*9.81)+B81-(G80+H80^2/(2*9.81))-(A80-A81)*(((DATOS!$B$34*(C81/(D81*((AT81+AU81)/2)))/((D81*((AT81+AU81)/2))/(D81+2*((AT81+AU81)/2)))^(2/3))^2+((DATOS!$B$34*H80/((D80*F80)/(D80+2*F80))^(2/3))^2))/2))&gt;0,((AT81+AU81)/2),AU81)</f>
        <v/>
      </c>
      <c r="AX81" s="5">
        <f>IF((((AV81+AW81)/2)+(C81/(D81*((AV81+AW81)/2)))^2/(2*9.81)+B81-(G80+H80^2/(2*9.81))-(A80-A81)*(((DATOS!$B$34*(C81/(D81*((AV81+AW81)/2)))/((D81*((AV81+AW81)/2))/(D81+2*((AV81+AW81)/2)))^(2/3))^2+((DATOS!$B$34*H80/((D80*F80)/(D80+2*F80))^(2/3))^2))/2))&gt;0,AV81,((AV81+AW81)/2))</f>
        <v/>
      </c>
      <c r="AY81" s="5">
        <f>IF((((AV81+AW81)/2)+(C81/(D81*((AV81+AW81)/2)))^2/(2*9.81)+B81-(G80+H80^2/(2*9.81))-(A80-A81)*(((DATOS!$B$34*(C81/(D81*((AV81+AW81)/2)))/((D81*((AV81+AW81)/2))/(D81+2*((AV81+AW81)/2)))^(2/3))^2+((DATOS!$B$34*H80/((D80*F80)/(D80+2*F80))^(2/3))^2))/2))&gt;0,((AV81+AW81)/2),AW81)</f>
        <v/>
      </c>
      <c r="AZ81" s="5">
        <f>IF((((AX81+AY81)/2)+(C81/(D81*((AX81+AY81)/2)))^2/(2*9.81)+B81-(G80+H80^2/(2*9.81))-(A80-A81)*(((DATOS!$B$34*(C81/(D81*((AX81+AY81)/2)))/((D81*((AX81+AY81)/2))/(D81+2*((AX81+AY81)/2)))^(2/3))^2+((DATOS!$B$34*H80/((D80*F80)/(D80+2*F80))^(2/3))^2))/2))&gt;0,AX81,((AX81+AY81)/2))</f>
        <v/>
      </c>
      <c r="BA81" s="5">
        <f>IF((((AX81+AY81)/2)+(C81/(D81*((AX81+AY81)/2)))^2/(2*9.81)+B81-(G80+H80^2/(2*9.81))-(A80-A81)*(((DATOS!$B$34*(C81/(D81*((AX81+AY81)/2)))/((D81*((AX81+AY81)/2))/(D81+2*((AX81+AY81)/2)))^(2/3))^2+((DATOS!$B$34*H80/((D80*F80)/(D80+2*F80))^(2/3))^2))/2))&gt;0,((AX81+AY81)/2),AY81)</f>
        <v/>
      </c>
      <c r="BB81" s="5">
        <f>IF((((AZ81+BA81)/2)+(C81/(D81*((AZ81+BA81)/2)))^2/(2*9.81)+B81-(G80+H80^2/(2*9.81))-(A80-A81)*(((DATOS!$B$34*(C81/(D81*((AZ81+BA81)/2)))/((D81*((AZ81+BA81)/2))/(D81+2*((AZ81+BA81)/2)))^(2/3))^2+((DATOS!$B$34*H80/((D80*F80)/(D80+2*F80))^(2/3))^2))/2))&gt;0,AZ81,((AZ81+BA81)/2))</f>
        <v/>
      </c>
      <c r="BC81" s="5">
        <f>IF((((AZ81+BA81)/2)+(C81/(D81*((AZ81+BA81)/2)))^2/(2*9.81)+B81-(G80+H80^2/(2*9.81))-(A80-A81)*(((DATOS!$B$34*(C81/(D81*((AZ81+BA81)/2)))/((D81*((AZ81+BA81)/2))/(D81+2*((AZ81+BA81)/2)))^(2/3))^2+((DATOS!$B$34*H80/((D80*F80)/(D80+2*F80))^(2/3))^2))/2))&gt;0,((AZ81+BA81)/2),BA81)</f>
        <v/>
      </c>
      <c r="BD81" s="5">
        <f>IF((((BB81+BC81)/2)+(C81/(D81*((BB81+BC81)/2)))^2/(2*9.81)+B81-(G80+H80^2/(2*9.81))-(A80-A81)*(((DATOS!$B$34*(C81/(D81*((BB81+BC81)/2)))/((D81*((BB81+BC81)/2))/(D81+2*((BB81+BC81)/2)))^(2/3))^2+((DATOS!$B$34*H80/((D80*F80)/(D80+2*F80))^(2/3))^2))/2))&gt;0,BB81,((BB81+BC81)/2))</f>
        <v/>
      </c>
      <c r="BE81" s="5">
        <f>IF((((BB81+BC81)/2)+(C81/(D81*((BB81+BC81)/2)))^2/(2*9.81)+B81-(G80+H80^2/(2*9.81))-(A80-A81)*(((DATOS!$B$34*(C81/(D81*((BB81+BC81)/2)))/((D81*((BB81+BC81)/2))/(D81+2*((BB81+BC81)/2)))^(2/3))^2+((DATOS!$B$34*H80/((D80*F80)/(D80+2*F80))^(2/3))^2))/2))&gt;0,((BB81+BC81)/2),BC81)</f>
        <v/>
      </c>
      <c r="BF81" s="5">
        <f>IF((((BD81+BE81)/2)+(C81/(D81*((BD81+BE81)/2)))^2/(2*9.81)+B81-(G80+H80^2/(2*9.81))-(A80-A81)*(((DATOS!$B$34*(C81/(D81*((BD81+BE81)/2)))/((D81*((BD81+BE81)/2))/(D81+2*((BD81+BE81)/2)))^(2/3))^2+((DATOS!$B$34*H80/((D80*F80)/(D80+2*F80))^(2/3))^2))/2))&gt;0,BD81,((BD81+BE81)/2))</f>
        <v/>
      </c>
      <c r="BG81" s="5">
        <f>IF((((BD81+BE81)/2)+(C81/(D81*((BD81+BE81)/2)))^2/(2*9.81)+B81-(G80+H80^2/(2*9.81))-(A80-A81)*(((DATOS!$B$34*(C81/(D81*((BD81+BE81)/2)))/((D81*((BD81+BE81)/2))/(D81+2*((BD81+BE81)/2)))^(2/3))^2+((DATOS!$B$34*H80/((D80*F80)/(D80+2*F80))^(2/3))^2))/2))&gt;0,((BD81+BE81)/2),BE81)</f>
        <v/>
      </c>
      <c r="BH81" s="5">
        <f>IF((((BF81+BG81)/2)+(C81/(D81*((BF81+BG81)/2)))^2/(2*9.81)+B81-(G80+H80^2/(2*9.81))-(A80-A81)*(((DATOS!$B$34*(C81/(D81*((BF81+BG81)/2)))/((D81*((BF81+BG81)/2))/(D81+2*((BF81+BG81)/2)))^(2/3))^2+((DATOS!$B$34*H80/((D80*F80)/(D80+2*F80))^(2/3))^2))/2))&gt;0,BF81,((BF81+BG81)/2))</f>
        <v/>
      </c>
      <c r="BI81" s="5">
        <f>IF((((BF81+BG81)/2)+(C81/(D81*((BF81+BG81)/2)))^2/(2*9.81)+B81-(G80+H80^2/(2*9.81))-(A80-A81)*(((DATOS!$B$34*(C81/(D81*((BF81+BG81)/2)))/((D81*((BF81+BG81)/2))/(D81+2*((BF81+BG81)/2)))^(2/3))^2+((DATOS!$B$34*H80/((D80*F80)/(D80+2*F80))^(2/3))^2))/2))&gt;0,((BF81+BG81)/2),BG81)</f>
        <v/>
      </c>
      <c r="BJ81" s="5">
        <f>IF((((BH81+BI81)/2)+(C81/(D81*((BH81+BI81)/2)))^2/(2*9.81)+B81-(G80+H80^2/(2*9.81))-(A80-A81)*(((DATOS!$B$34*(C81/(D81*((BH81+BI81)/2)))/((D81*((BH81+BI81)/2))/(D81+2*((BH81+BI81)/2)))^(2/3))^2+((DATOS!$B$34*H80/((D80*F80)/(D80+2*F80))^(2/3))^2))/2))&gt;0,BH81,((BH81+BI81)/2))</f>
        <v/>
      </c>
      <c r="BK81" s="5">
        <f>IF((((BH81+BI81)/2)+(C81/(D81*((BH81+BI81)/2)))^2/(2*9.81)+B81-(G80+H80^2/(2*9.81))-(A80-A81)*(((DATOS!$B$34*(C81/(D81*((BH81+BI81)/2)))/((D81*((BH81+BI81)/2))/(D81+2*((BH81+BI81)/2)))^(2/3))^2+((DATOS!$B$34*H80/((D80*F80)/(D80+2*F80))^(2/3))^2))/2))&gt;0,((BH81+BI81)/2),BI81)</f>
        <v/>
      </c>
      <c r="BL81" s="5">
        <f>IF((((BJ81+BK81)/2)+(C81/(D81*((BJ81+BK81)/2)))^2/(2*9.81)+B81-(G80+H80^2/(2*9.81))-(A80-A81)*(((DATOS!$B$34*(C81/(D81*((BJ81+BK81)/2)))/((D81*((BJ81+BK81)/2))/(D81+2*((BJ81+BK81)/2)))^(2/3))^2+((DATOS!$B$34*H80/((D80*F80)/(D80+2*F80))^(2/3))^2))/2))&gt;0,BJ81,((BJ81+BK81)/2))</f>
        <v/>
      </c>
      <c r="BM81" s="5">
        <f>IF((((BJ81+BK81)/2)+(C81/(D81*((BJ81+BK81)/2)))^2/(2*9.81)+B81-(G80+H80^2/(2*9.81))-(A80-A81)*(((DATOS!$B$34*(C81/(D81*((BJ81+BK81)/2)))/((D81*((BJ81+BK81)/2))/(D81+2*((BJ81+BK81)/2)))^(2/3))^2+((DATOS!$B$34*H80/((D80*F80)/(D80+2*F80))^(2/3))^2))/2))&gt;0,((BJ81+BK81)/2),BK81)</f>
        <v/>
      </c>
      <c r="BN81" s="5">
        <f>IF((((BL81+BM81)/2)+(C81/(D81*((BL81+BM81)/2)))^2/(2*9.81)+B81-(G80+H80^2/(2*9.81))-(A80-A81)*(((DATOS!$B$34*(C81/(D81*((BL81+BM81)/2)))/((D81*((BL81+BM81)/2))/(D81+2*((BL81+BM81)/2)))^(2/3))^2+((DATOS!$B$34*H80/((D80*F80)/(D80+2*F80))^(2/3))^2))/2))&gt;0,BL81,((BL81+BM81)/2))</f>
        <v/>
      </c>
      <c r="BO81" s="5">
        <f>IF((((BL81+BM81)/2)+(C81/(D81*((BL81+BM81)/2)))^2/(2*9.81)+B81-(G80+H80^2/(2*9.81))-(A80-A81)*(((DATOS!$B$34*(C81/(D81*((BL81+BM81)/2)))/((D81*((BL81+BM81)/2))/(D81+2*((BL81+BM81)/2)))^(2/3))^2+((DATOS!$B$34*H80/((D80*F80)/(D80+2*F80))^(2/3))^2))/2))&gt;0,((BL81+BM81)/2),BM81)</f>
        <v/>
      </c>
      <c r="BP81" s="5">
        <f>IF((((BN81+BO81)/2)+(C81/(D81*((BN81+BO81)/2)))^2/(2*9.81)+B81-(G80+H80^2/(2*9.81))-(A80-A81)*(((DATOS!$B$34*(C81/(D81*((BN81+BO81)/2)))/((D81*((BN81+BO81)/2))/(D81+2*((BN81+BO81)/2)))^(2/3))^2+((DATOS!$B$34*H80/((D80*F80)/(D80+2*F80))^(2/3))^2))/2))&gt;0,BN81,((BN81+BO81)/2))</f>
        <v/>
      </c>
      <c r="BQ81" s="5">
        <f>IF((((BN81+BO81)/2)+(C81/(D81*((BN81+BO81)/2)))^2/(2*9.81)+B81-(G80+H80^2/(2*9.81))-(A80-A81)*(((DATOS!$B$34*(C81/(D81*((BN81+BO81)/2)))/((D81*((BN81+BO81)/2))/(D81+2*((BN81+BO81)/2)))^(2/3))^2+((DATOS!$B$34*H80/((D80*F80)/(D80+2*F80))^(2/3))^2))/2))&gt;0,((BN81+BO81)/2),BO81)</f>
        <v/>
      </c>
      <c r="BR81" s="5">
        <f>IF((((BP81+BQ81)/2)+(C81/(D81*((BP81+BQ81)/2)))^2/(2*9.81)+B81-(G80+H80^2/(2*9.81))-(A80-A81)*(((DATOS!$B$34*(C81/(D81*((BP81+BQ81)/2)))/((D81*((BP81+BQ81)/2))/(D81+2*((BP81+BQ81)/2)))^(2/3))^2+((DATOS!$B$34*H80/((D80*F80)/(D80+2*F80))^(2/3))^2))/2))&gt;0,BP81,((BP81+BQ81)/2))</f>
        <v/>
      </c>
      <c r="BS81" s="5">
        <f>IF((((BP81+BQ81)/2)+(C81/(D81*((BP81+BQ81)/2)))^2/(2*9.81)+B81-(G80+H80^2/(2*9.81))-(A80-A81)*(((DATOS!$B$34*(C81/(D81*((BP81+BQ81)/2)))/((D81*((BP81+BQ81)/2))/(D81+2*((BP81+BQ81)/2)))^(2/3))^2+((DATOS!$B$34*H80/((D80*F80)/(D80+2*F80))^(2/3))^2))/2))&gt;0,((BP81+BQ81)/2),BQ81)</f>
        <v/>
      </c>
      <c r="BT81" s="5">
        <f>IF((((BR81+BS81)/2)+(C81/(D81*((BR81+BS81)/2)))^2/(2*9.81)+B81-(G80+H80^2/(2*9.81))-(A80-A81)*(((DATOS!$B$34*(C81/(D81*((BR81+BS81)/2)))/((D81*((BR81+BS81)/2))/(D81+2*((BR81+BS81)/2)))^(2/3))^2+((DATOS!$B$34*H80/((D80*F80)/(D80+2*F80))^(2/3))^2))/2))&gt;0,BR81,((BR81+BS81)/2))</f>
        <v/>
      </c>
      <c r="BU81" s="5">
        <f>IF((((BR81+BS81)/2)+(C81/(D81*((BR81+BS81)/2)))^2/(2*9.81)+B81-(G80+H80^2/(2*9.81))-(A80-A81)*(((DATOS!$B$34*(C81/(D81*((BR81+BS81)/2)))/((D81*((BR81+BS81)/2))/(D81+2*((BR81+BS81)/2)))^(2/3))^2+((DATOS!$B$34*H80/((D80*F80)/(D80+2*F80))^(2/3))^2))/2))&gt;0,((BR81+BS81)/2),BS81)</f>
        <v/>
      </c>
      <c r="BV81" s="5">
        <f>IF((((BT81+BU81)/2)+(C81/(D81*((BT81+BU81)/2)))^2/(2*9.81)+B81-(G80+H80^2/(2*9.81))-(A80-A81)*(((DATOS!$B$34*(C81/(D81*((BT81+BU81)/2)))/((D81*((BT81+BU81)/2))/(D81+2*((BT81+BU81)/2)))^(2/3))^2+((DATOS!$B$34*H80/((D80*F80)/(D80+2*F80))^(2/3))^2))/2))&gt;0,BT81,((BT81+BU81)/2))</f>
        <v/>
      </c>
      <c r="BW81" s="5">
        <f>IF((((BT81+BU81)/2)+(C81/(D81*((BT81+BU81)/2)))^2/(2*9.81)+B81-(G80+H80^2/(2*9.81))-(A80-A81)*(((DATOS!$B$34*(C81/(D81*((BT81+BU81)/2)))/((D81*((BT81+BU81)/2))/(D81+2*((BT81+BU81)/2)))^(2/3))^2+((DATOS!$B$34*H80/((D80*F80)/(D80+2*F80))^(2/3))^2))/2))&gt;0,((BT81+BU81)/2),BU81)</f>
        <v/>
      </c>
    </row>
    <row r="82">
      <c r="A82" s="13" t="n">
        <v>7</v>
      </c>
      <c r="B82" s="16">
        <f>DATOS!$B$22-DATOS!$B$23*A82</f>
        <v/>
      </c>
      <c r="C82" s="24">
        <f>CAUDALES!$B$13</f>
        <v/>
      </c>
      <c r="D82" s="17">
        <f>DATOS!$B$17</f>
        <v/>
      </c>
      <c r="E82" s="16">
        <f>(C82^2/(9.81*D82^2))^(1/3)</f>
        <v/>
      </c>
      <c r="F82" s="16">
        <f>(BV82+BW82)/2</f>
        <v/>
      </c>
      <c r="G82" s="16">
        <f>B82+F82</f>
        <v/>
      </c>
      <c r="H82" s="19">
        <f>C82/(D82*F82)</f>
        <v/>
      </c>
      <c r="I82" s="19">
        <f>H82/SQRT(9.81*F82)</f>
        <v/>
      </c>
      <c r="J82" s="16">
        <f>DATOS!$B$29-IF(AND(A82&gt;=DATOS!$B$30,A82&lt;DATOS!$B$31),DATOS!$B$21,DATOS!$B$20)</f>
        <v/>
      </c>
      <c r="K82" s="19">
        <f>J82-B82</f>
        <v/>
      </c>
      <c r="L82" s="19">
        <f>F82/K82</f>
        <v/>
      </c>
      <c r="M82" s="16">
        <f>J82-G82</f>
        <v/>
      </c>
      <c r="N82" s="5">
        <f>IF(AND(L82&lt;=DATOS!$B$36,M82&gt;=DATOS!$B$37,I82&lt;=1),"CUMPLE","NO CUMPLE")</f>
        <v/>
      </c>
      <c r="O82" s="5">
        <f>IF(AND(A82&gt;=DATOS!$B$30,A82&lt;DATOS!$B$31),"cruce de camiones",IF(AND(A82&gt;=DATOS!$B$32,A82&lt;DATOS!$B$33),"cruce de motos","tramo normal"))</f>
        <v/>
      </c>
      <c r="P82" s="5">
        <f>E82*1.001</f>
        <v/>
      </c>
      <c r="Q82" s="13" t="n">
        <v>3</v>
      </c>
      <c r="R82" s="5">
        <f>IF((((P82+Q82)/2)+(C82/(D82*((P82+Q82)/2)))^2/(2*9.81)+B82-(G81+H81^2/(2*9.81))-(A81-A82)*(((DATOS!$B$34*(C82/(D82*((P82+Q82)/2)))/((D82*((P82+Q82)/2))/(D82+2*((P82+Q82)/2)))^(2/3))^2+((DATOS!$B$34*H81/((D81*F81)/(D81+2*F81))^(2/3))^2))/2))&gt;0,P82,((P82+Q82)/2))</f>
        <v/>
      </c>
      <c r="S82" s="5">
        <f>IF((((P82+Q82)/2)+(C82/(D82*((P82+Q82)/2)))^2/(2*9.81)+B82-(G81+H81^2/(2*9.81))-(A81-A82)*(((DATOS!$B$34*(C82/(D82*((P82+Q82)/2)))/((D82*((P82+Q82)/2))/(D82+2*((P82+Q82)/2)))^(2/3))^2+((DATOS!$B$34*H81/((D81*F81)/(D81+2*F81))^(2/3))^2))/2))&gt;0,((P82+Q82)/2),Q82)</f>
        <v/>
      </c>
      <c r="T82" s="5">
        <f>IF((((R82+S82)/2)+(C82/(D82*((R82+S82)/2)))^2/(2*9.81)+B82-(G81+H81^2/(2*9.81))-(A81-A82)*(((DATOS!$B$34*(C82/(D82*((R82+S82)/2)))/((D82*((R82+S82)/2))/(D82+2*((R82+S82)/2)))^(2/3))^2+((DATOS!$B$34*H81/((D81*F81)/(D81+2*F81))^(2/3))^2))/2))&gt;0,R82,((R82+S82)/2))</f>
        <v/>
      </c>
      <c r="U82" s="5">
        <f>IF((((R82+S82)/2)+(C82/(D82*((R82+S82)/2)))^2/(2*9.81)+B82-(G81+H81^2/(2*9.81))-(A81-A82)*(((DATOS!$B$34*(C82/(D82*((R82+S82)/2)))/((D82*((R82+S82)/2))/(D82+2*((R82+S82)/2)))^(2/3))^2+((DATOS!$B$34*H81/((D81*F81)/(D81+2*F81))^(2/3))^2))/2))&gt;0,((R82+S82)/2),S82)</f>
        <v/>
      </c>
      <c r="V82" s="5">
        <f>IF((((T82+U82)/2)+(C82/(D82*((T82+U82)/2)))^2/(2*9.81)+B82-(G81+H81^2/(2*9.81))-(A81-A82)*(((DATOS!$B$34*(C82/(D82*((T82+U82)/2)))/((D82*((T82+U82)/2))/(D82+2*((T82+U82)/2)))^(2/3))^2+((DATOS!$B$34*H81/((D81*F81)/(D81+2*F81))^(2/3))^2))/2))&gt;0,T82,((T82+U82)/2))</f>
        <v/>
      </c>
      <c r="W82" s="5">
        <f>IF((((T82+U82)/2)+(C82/(D82*((T82+U82)/2)))^2/(2*9.81)+B82-(G81+H81^2/(2*9.81))-(A81-A82)*(((DATOS!$B$34*(C82/(D82*((T82+U82)/2)))/((D82*((T82+U82)/2))/(D82+2*((T82+U82)/2)))^(2/3))^2+((DATOS!$B$34*H81/((D81*F81)/(D81+2*F81))^(2/3))^2))/2))&gt;0,((T82+U82)/2),U82)</f>
        <v/>
      </c>
      <c r="X82" s="5">
        <f>IF((((V82+W82)/2)+(C82/(D82*((V82+W82)/2)))^2/(2*9.81)+B82-(G81+H81^2/(2*9.81))-(A81-A82)*(((DATOS!$B$34*(C82/(D82*((V82+W82)/2)))/((D82*((V82+W82)/2))/(D82+2*((V82+W82)/2)))^(2/3))^2+((DATOS!$B$34*H81/((D81*F81)/(D81+2*F81))^(2/3))^2))/2))&gt;0,V82,((V82+W82)/2))</f>
        <v/>
      </c>
      <c r="Y82" s="5">
        <f>IF((((V82+W82)/2)+(C82/(D82*((V82+W82)/2)))^2/(2*9.81)+B82-(G81+H81^2/(2*9.81))-(A81-A82)*(((DATOS!$B$34*(C82/(D82*((V82+W82)/2)))/((D82*((V82+W82)/2))/(D82+2*((V82+W82)/2)))^(2/3))^2+((DATOS!$B$34*H81/((D81*F81)/(D81+2*F81))^(2/3))^2))/2))&gt;0,((V82+W82)/2),W82)</f>
        <v/>
      </c>
      <c r="Z82" s="5">
        <f>IF((((X82+Y82)/2)+(C82/(D82*((X82+Y82)/2)))^2/(2*9.81)+B82-(G81+H81^2/(2*9.81))-(A81-A82)*(((DATOS!$B$34*(C82/(D82*((X82+Y82)/2)))/((D82*((X82+Y82)/2))/(D82+2*((X82+Y82)/2)))^(2/3))^2+((DATOS!$B$34*H81/((D81*F81)/(D81+2*F81))^(2/3))^2))/2))&gt;0,X82,((X82+Y82)/2))</f>
        <v/>
      </c>
      <c r="AA82" s="5">
        <f>IF((((X82+Y82)/2)+(C82/(D82*((X82+Y82)/2)))^2/(2*9.81)+B82-(G81+H81^2/(2*9.81))-(A81-A82)*(((DATOS!$B$34*(C82/(D82*((X82+Y82)/2)))/((D82*((X82+Y82)/2))/(D82+2*((X82+Y82)/2)))^(2/3))^2+((DATOS!$B$34*H81/((D81*F81)/(D81+2*F81))^(2/3))^2))/2))&gt;0,((X82+Y82)/2),Y82)</f>
        <v/>
      </c>
      <c r="AB82" s="5">
        <f>IF((((Z82+AA82)/2)+(C82/(D82*((Z82+AA82)/2)))^2/(2*9.81)+B82-(G81+H81^2/(2*9.81))-(A81-A82)*(((DATOS!$B$34*(C82/(D82*((Z82+AA82)/2)))/((D82*((Z82+AA82)/2))/(D82+2*((Z82+AA82)/2)))^(2/3))^2+((DATOS!$B$34*H81/((D81*F81)/(D81+2*F81))^(2/3))^2))/2))&gt;0,Z82,((Z82+AA82)/2))</f>
        <v/>
      </c>
      <c r="AC82" s="5">
        <f>IF((((Z82+AA82)/2)+(C82/(D82*((Z82+AA82)/2)))^2/(2*9.81)+B82-(G81+H81^2/(2*9.81))-(A81-A82)*(((DATOS!$B$34*(C82/(D82*((Z82+AA82)/2)))/((D82*((Z82+AA82)/2))/(D82+2*((Z82+AA82)/2)))^(2/3))^2+((DATOS!$B$34*H81/((D81*F81)/(D81+2*F81))^(2/3))^2))/2))&gt;0,((Z82+AA82)/2),AA82)</f>
        <v/>
      </c>
      <c r="AD82" s="5">
        <f>IF((((AB82+AC82)/2)+(C82/(D82*((AB82+AC82)/2)))^2/(2*9.81)+B82-(G81+H81^2/(2*9.81))-(A81-A82)*(((DATOS!$B$34*(C82/(D82*((AB82+AC82)/2)))/((D82*((AB82+AC82)/2))/(D82+2*((AB82+AC82)/2)))^(2/3))^2+((DATOS!$B$34*H81/((D81*F81)/(D81+2*F81))^(2/3))^2))/2))&gt;0,AB82,((AB82+AC82)/2))</f>
        <v/>
      </c>
      <c r="AE82" s="5">
        <f>IF((((AB82+AC82)/2)+(C82/(D82*((AB82+AC82)/2)))^2/(2*9.81)+B82-(G81+H81^2/(2*9.81))-(A81-A82)*(((DATOS!$B$34*(C82/(D82*((AB82+AC82)/2)))/((D82*((AB82+AC82)/2))/(D82+2*((AB82+AC82)/2)))^(2/3))^2+((DATOS!$B$34*H81/((D81*F81)/(D81+2*F81))^(2/3))^2))/2))&gt;0,((AB82+AC82)/2),AC82)</f>
        <v/>
      </c>
      <c r="AF82" s="5">
        <f>IF((((AD82+AE82)/2)+(C82/(D82*((AD82+AE82)/2)))^2/(2*9.81)+B82-(G81+H81^2/(2*9.81))-(A81-A82)*(((DATOS!$B$34*(C82/(D82*((AD82+AE82)/2)))/((D82*((AD82+AE82)/2))/(D82+2*((AD82+AE82)/2)))^(2/3))^2+((DATOS!$B$34*H81/((D81*F81)/(D81+2*F81))^(2/3))^2))/2))&gt;0,AD82,((AD82+AE82)/2))</f>
        <v/>
      </c>
      <c r="AG82" s="5">
        <f>IF((((AD82+AE82)/2)+(C82/(D82*((AD82+AE82)/2)))^2/(2*9.81)+B82-(G81+H81^2/(2*9.81))-(A81-A82)*(((DATOS!$B$34*(C82/(D82*((AD82+AE82)/2)))/((D82*((AD82+AE82)/2))/(D82+2*((AD82+AE82)/2)))^(2/3))^2+((DATOS!$B$34*H81/((D81*F81)/(D81+2*F81))^(2/3))^2))/2))&gt;0,((AD82+AE82)/2),AE82)</f>
        <v/>
      </c>
      <c r="AH82" s="5">
        <f>IF((((AF82+AG82)/2)+(C82/(D82*((AF82+AG82)/2)))^2/(2*9.81)+B82-(G81+H81^2/(2*9.81))-(A81-A82)*(((DATOS!$B$34*(C82/(D82*((AF82+AG82)/2)))/((D82*((AF82+AG82)/2))/(D82+2*((AF82+AG82)/2)))^(2/3))^2+((DATOS!$B$34*H81/((D81*F81)/(D81+2*F81))^(2/3))^2))/2))&gt;0,AF82,((AF82+AG82)/2))</f>
        <v/>
      </c>
      <c r="AI82" s="5">
        <f>IF((((AF82+AG82)/2)+(C82/(D82*((AF82+AG82)/2)))^2/(2*9.81)+B82-(G81+H81^2/(2*9.81))-(A81-A82)*(((DATOS!$B$34*(C82/(D82*((AF82+AG82)/2)))/((D82*((AF82+AG82)/2))/(D82+2*((AF82+AG82)/2)))^(2/3))^2+((DATOS!$B$34*H81/((D81*F81)/(D81+2*F81))^(2/3))^2))/2))&gt;0,((AF82+AG82)/2),AG82)</f>
        <v/>
      </c>
      <c r="AJ82" s="5">
        <f>IF((((AH82+AI82)/2)+(C82/(D82*((AH82+AI82)/2)))^2/(2*9.81)+B82-(G81+H81^2/(2*9.81))-(A81-A82)*(((DATOS!$B$34*(C82/(D82*((AH82+AI82)/2)))/((D82*((AH82+AI82)/2))/(D82+2*((AH82+AI82)/2)))^(2/3))^2+((DATOS!$B$34*H81/((D81*F81)/(D81+2*F81))^(2/3))^2))/2))&gt;0,AH82,((AH82+AI82)/2))</f>
        <v/>
      </c>
      <c r="AK82" s="5">
        <f>IF((((AH82+AI82)/2)+(C82/(D82*((AH82+AI82)/2)))^2/(2*9.81)+B82-(G81+H81^2/(2*9.81))-(A81-A82)*(((DATOS!$B$34*(C82/(D82*((AH82+AI82)/2)))/((D82*((AH82+AI82)/2))/(D82+2*((AH82+AI82)/2)))^(2/3))^2+((DATOS!$B$34*H81/((D81*F81)/(D81+2*F81))^(2/3))^2))/2))&gt;0,((AH82+AI82)/2),AI82)</f>
        <v/>
      </c>
      <c r="AL82" s="5">
        <f>IF((((AJ82+AK82)/2)+(C82/(D82*((AJ82+AK82)/2)))^2/(2*9.81)+B82-(G81+H81^2/(2*9.81))-(A81-A82)*(((DATOS!$B$34*(C82/(D82*((AJ82+AK82)/2)))/((D82*((AJ82+AK82)/2))/(D82+2*((AJ82+AK82)/2)))^(2/3))^2+((DATOS!$B$34*H81/((D81*F81)/(D81+2*F81))^(2/3))^2))/2))&gt;0,AJ82,((AJ82+AK82)/2))</f>
        <v/>
      </c>
      <c r="AM82" s="5">
        <f>IF((((AJ82+AK82)/2)+(C82/(D82*((AJ82+AK82)/2)))^2/(2*9.81)+B82-(G81+H81^2/(2*9.81))-(A81-A82)*(((DATOS!$B$34*(C82/(D82*((AJ82+AK82)/2)))/((D82*((AJ82+AK82)/2))/(D82+2*((AJ82+AK82)/2)))^(2/3))^2+((DATOS!$B$34*H81/((D81*F81)/(D81+2*F81))^(2/3))^2))/2))&gt;0,((AJ82+AK82)/2),AK82)</f>
        <v/>
      </c>
      <c r="AN82" s="5">
        <f>IF((((AL82+AM82)/2)+(C82/(D82*((AL82+AM82)/2)))^2/(2*9.81)+B82-(G81+H81^2/(2*9.81))-(A81-A82)*(((DATOS!$B$34*(C82/(D82*((AL82+AM82)/2)))/((D82*((AL82+AM82)/2))/(D82+2*((AL82+AM82)/2)))^(2/3))^2+((DATOS!$B$34*H81/((D81*F81)/(D81+2*F81))^(2/3))^2))/2))&gt;0,AL82,((AL82+AM82)/2))</f>
        <v/>
      </c>
      <c r="AO82" s="5">
        <f>IF((((AL82+AM82)/2)+(C82/(D82*((AL82+AM82)/2)))^2/(2*9.81)+B82-(G81+H81^2/(2*9.81))-(A81-A82)*(((DATOS!$B$34*(C82/(D82*((AL82+AM82)/2)))/((D82*((AL82+AM82)/2))/(D82+2*((AL82+AM82)/2)))^(2/3))^2+((DATOS!$B$34*H81/((D81*F81)/(D81+2*F81))^(2/3))^2))/2))&gt;0,((AL82+AM82)/2),AM82)</f>
        <v/>
      </c>
      <c r="AP82" s="5">
        <f>IF((((AN82+AO82)/2)+(C82/(D82*((AN82+AO82)/2)))^2/(2*9.81)+B82-(G81+H81^2/(2*9.81))-(A81-A82)*(((DATOS!$B$34*(C82/(D82*((AN82+AO82)/2)))/((D82*((AN82+AO82)/2))/(D82+2*((AN82+AO82)/2)))^(2/3))^2+((DATOS!$B$34*H81/((D81*F81)/(D81+2*F81))^(2/3))^2))/2))&gt;0,AN82,((AN82+AO82)/2))</f>
        <v/>
      </c>
      <c r="AQ82" s="5">
        <f>IF((((AN82+AO82)/2)+(C82/(D82*((AN82+AO82)/2)))^2/(2*9.81)+B82-(G81+H81^2/(2*9.81))-(A81-A82)*(((DATOS!$B$34*(C82/(D82*((AN82+AO82)/2)))/((D82*((AN82+AO82)/2))/(D82+2*((AN82+AO82)/2)))^(2/3))^2+((DATOS!$B$34*H81/((D81*F81)/(D81+2*F81))^(2/3))^2))/2))&gt;0,((AN82+AO82)/2),AO82)</f>
        <v/>
      </c>
      <c r="AR82" s="5">
        <f>IF((((AP82+AQ82)/2)+(C82/(D82*((AP82+AQ82)/2)))^2/(2*9.81)+B82-(G81+H81^2/(2*9.81))-(A81-A82)*(((DATOS!$B$34*(C82/(D82*((AP82+AQ82)/2)))/((D82*((AP82+AQ82)/2))/(D82+2*((AP82+AQ82)/2)))^(2/3))^2+((DATOS!$B$34*H81/((D81*F81)/(D81+2*F81))^(2/3))^2))/2))&gt;0,AP82,((AP82+AQ82)/2))</f>
        <v/>
      </c>
      <c r="AS82" s="5">
        <f>IF((((AP82+AQ82)/2)+(C82/(D82*((AP82+AQ82)/2)))^2/(2*9.81)+B82-(G81+H81^2/(2*9.81))-(A81-A82)*(((DATOS!$B$34*(C82/(D82*((AP82+AQ82)/2)))/((D82*((AP82+AQ82)/2))/(D82+2*((AP82+AQ82)/2)))^(2/3))^2+((DATOS!$B$34*H81/((D81*F81)/(D81+2*F81))^(2/3))^2))/2))&gt;0,((AP82+AQ82)/2),AQ82)</f>
        <v/>
      </c>
      <c r="AT82" s="5">
        <f>IF((((AR82+AS82)/2)+(C82/(D82*((AR82+AS82)/2)))^2/(2*9.81)+B82-(G81+H81^2/(2*9.81))-(A81-A82)*(((DATOS!$B$34*(C82/(D82*((AR82+AS82)/2)))/((D82*((AR82+AS82)/2))/(D82+2*((AR82+AS82)/2)))^(2/3))^2+((DATOS!$B$34*H81/((D81*F81)/(D81+2*F81))^(2/3))^2))/2))&gt;0,AR82,((AR82+AS82)/2))</f>
        <v/>
      </c>
      <c r="AU82" s="5">
        <f>IF((((AR82+AS82)/2)+(C82/(D82*((AR82+AS82)/2)))^2/(2*9.81)+B82-(G81+H81^2/(2*9.81))-(A81-A82)*(((DATOS!$B$34*(C82/(D82*((AR82+AS82)/2)))/((D82*((AR82+AS82)/2))/(D82+2*((AR82+AS82)/2)))^(2/3))^2+((DATOS!$B$34*H81/((D81*F81)/(D81+2*F81))^(2/3))^2))/2))&gt;0,((AR82+AS82)/2),AS82)</f>
        <v/>
      </c>
      <c r="AV82" s="5">
        <f>IF((((AT82+AU82)/2)+(C82/(D82*((AT82+AU82)/2)))^2/(2*9.81)+B82-(G81+H81^2/(2*9.81))-(A81-A82)*(((DATOS!$B$34*(C82/(D82*((AT82+AU82)/2)))/((D82*((AT82+AU82)/2))/(D82+2*((AT82+AU82)/2)))^(2/3))^2+((DATOS!$B$34*H81/((D81*F81)/(D81+2*F81))^(2/3))^2))/2))&gt;0,AT82,((AT82+AU82)/2))</f>
        <v/>
      </c>
      <c r="AW82" s="5">
        <f>IF((((AT82+AU82)/2)+(C82/(D82*((AT82+AU82)/2)))^2/(2*9.81)+B82-(G81+H81^2/(2*9.81))-(A81-A82)*(((DATOS!$B$34*(C82/(D82*((AT82+AU82)/2)))/((D82*((AT82+AU82)/2))/(D82+2*((AT82+AU82)/2)))^(2/3))^2+((DATOS!$B$34*H81/((D81*F81)/(D81+2*F81))^(2/3))^2))/2))&gt;0,((AT82+AU82)/2),AU82)</f>
        <v/>
      </c>
      <c r="AX82" s="5">
        <f>IF((((AV82+AW82)/2)+(C82/(D82*((AV82+AW82)/2)))^2/(2*9.81)+B82-(G81+H81^2/(2*9.81))-(A81-A82)*(((DATOS!$B$34*(C82/(D82*((AV82+AW82)/2)))/((D82*((AV82+AW82)/2))/(D82+2*((AV82+AW82)/2)))^(2/3))^2+((DATOS!$B$34*H81/((D81*F81)/(D81+2*F81))^(2/3))^2))/2))&gt;0,AV82,((AV82+AW82)/2))</f>
        <v/>
      </c>
      <c r="AY82" s="5">
        <f>IF((((AV82+AW82)/2)+(C82/(D82*((AV82+AW82)/2)))^2/(2*9.81)+B82-(G81+H81^2/(2*9.81))-(A81-A82)*(((DATOS!$B$34*(C82/(D82*((AV82+AW82)/2)))/((D82*((AV82+AW82)/2))/(D82+2*((AV82+AW82)/2)))^(2/3))^2+((DATOS!$B$34*H81/((D81*F81)/(D81+2*F81))^(2/3))^2))/2))&gt;0,((AV82+AW82)/2),AW82)</f>
        <v/>
      </c>
      <c r="AZ82" s="5">
        <f>IF((((AX82+AY82)/2)+(C82/(D82*((AX82+AY82)/2)))^2/(2*9.81)+B82-(G81+H81^2/(2*9.81))-(A81-A82)*(((DATOS!$B$34*(C82/(D82*((AX82+AY82)/2)))/((D82*((AX82+AY82)/2))/(D82+2*((AX82+AY82)/2)))^(2/3))^2+((DATOS!$B$34*H81/((D81*F81)/(D81+2*F81))^(2/3))^2))/2))&gt;0,AX82,((AX82+AY82)/2))</f>
        <v/>
      </c>
      <c r="BA82" s="5">
        <f>IF((((AX82+AY82)/2)+(C82/(D82*((AX82+AY82)/2)))^2/(2*9.81)+B82-(G81+H81^2/(2*9.81))-(A81-A82)*(((DATOS!$B$34*(C82/(D82*((AX82+AY82)/2)))/((D82*((AX82+AY82)/2))/(D82+2*((AX82+AY82)/2)))^(2/3))^2+((DATOS!$B$34*H81/((D81*F81)/(D81+2*F81))^(2/3))^2))/2))&gt;0,((AX82+AY82)/2),AY82)</f>
        <v/>
      </c>
      <c r="BB82" s="5">
        <f>IF((((AZ82+BA82)/2)+(C82/(D82*((AZ82+BA82)/2)))^2/(2*9.81)+B82-(G81+H81^2/(2*9.81))-(A81-A82)*(((DATOS!$B$34*(C82/(D82*((AZ82+BA82)/2)))/((D82*((AZ82+BA82)/2))/(D82+2*((AZ82+BA82)/2)))^(2/3))^2+((DATOS!$B$34*H81/((D81*F81)/(D81+2*F81))^(2/3))^2))/2))&gt;0,AZ82,((AZ82+BA82)/2))</f>
        <v/>
      </c>
      <c r="BC82" s="5">
        <f>IF((((AZ82+BA82)/2)+(C82/(D82*((AZ82+BA82)/2)))^2/(2*9.81)+B82-(G81+H81^2/(2*9.81))-(A81-A82)*(((DATOS!$B$34*(C82/(D82*((AZ82+BA82)/2)))/((D82*((AZ82+BA82)/2))/(D82+2*((AZ82+BA82)/2)))^(2/3))^2+((DATOS!$B$34*H81/((D81*F81)/(D81+2*F81))^(2/3))^2))/2))&gt;0,((AZ82+BA82)/2),BA82)</f>
        <v/>
      </c>
      <c r="BD82" s="5">
        <f>IF((((BB82+BC82)/2)+(C82/(D82*((BB82+BC82)/2)))^2/(2*9.81)+B82-(G81+H81^2/(2*9.81))-(A81-A82)*(((DATOS!$B$34*(C82/(D82*((BB82+BC82)/2)))/((D82*((BB82+BC82)/2))/(D82+2*((BB82+BC82)/2)))^(2/3))^2+((DATOS!$B$34*H81/((D81*F81)/(D81+2*F81))^(2/3))^2))/2))&gt;0,BB82,((BB82+BC82)/2))</f>
        <v/>
      </c>
      <c r="BE82" s="5">
        <f>IF((((BB82+BC82)/2)+(C82/(D82*((BB82+BC82)/2)))^2/(2*9.81)+B82-(G81+H81^2/(2*9.81))-(A81-A82)*(((DATOS!$B$34*(C82/(D82*((BB82+BC82)/2)))/((D82*((BB82+BC82)/2))/(D82+2*((BB82+BC82)/2)))^(2/3))^2+((DATOS!$B$34*H81/((D81*F81)/(D81+2*F81))^(2/3))^2))/2))&gt;0,((BB82+BC82)/2),BC82)</f>
        <v/>
      </c>
      <c r="BF82" s="5">
        <f>IF((((BD82+BE82)/2)+(C82/(D82*((BD82+BE82)/2)))^2/(2*9.81)+B82-(G81+H81^2/(2*9.81))-(A81-A82)*(((DATOS!$B$34*(C82/(D82*((BD82+BE82)/2)))/((D82*((BD82+BE82)/2))/(D82+2*((BD82+BE82)/2)))^(2/3))^2+((DATOS!$B$34*H81/((D81*F81)/(D81+2*F81))^(2/3))^2))/2))&gt;0,BD82,((BD82+BE82)/2))</f>
        <v/>
      </c>
      <c r="BG82" s="5">
        <f>IF((((BD82+BE82)/2)+(C82/(D82*((BD82+BE82)/2)))^2/(2*9.81)+B82-(G81+H81^2/(2*9.81))-(A81-A82)*(((DATOS!$B$34*(C82/(D82*((BD82+BE82)/2)))/((D82*((BD82+BE82)/2))/(D82+2*((BD82+BE82)/2)))^(2/3))^2+((DATOS!$B$34*H81/((D81*F81)/(D81+2*F81))^(2/3))^2))/2))&gt;0,((BD82+BE82)/2),BE82)</f>
        <v/>
      </c>
      <c r="BH82" s="5">
        <f>IF((((BF82+BG82)/2)+(C82/(D82*((BF82+BG82)/2)))^2/(2*9.81)+B82-(G81+H81^2/(2*9.81))-(A81-A82)*(((DATOS!$B$34*(C82/(D82*((BF82+BG82)/2)))/((D82*((BF82+BG82)/2))/(D82+2*((BF82+BG82)/2)))^(2/3))^2+((DATOS!$B$34*H81/((D81*F81)/(D81+2*F81))^(2/3))^2))/2))&gt;0,BF82,((BF82+BG82)/2))</f>
        <v/>
      </c>
      <c r="BI82" s="5">
        <f>IF((((BF82+BG82)/2)+(C82/(D82*((BF82+BG82)/2)))^2/(2*9.81)+B82-(G81+H81^2/(2*9.81))-(A81-A82)*(((DATOS!$B$34*(C82/(D82*((BF82+BG82)/2)))/((D82*((BF82+BG82)/2))/(D82+2*((BF82+BG82)/2)))^(2/3))^2+((DATOS!$B$34*H81/((D81*F81)/(D81+2*F81))^(2/3))^2))/2))&gt;0,((BF82+BG82)/2),BG82)</f>
        <v/>
      </c>
      <c r="BJ82" s="5">
        <f>IF((((BH82+BI82)/2)+(C82/(D82*((BH82+BI82)/2)))^2/(2*9.81)+B82-(G81+H81^2/(2*9.81))-(A81-A82)*(((DATOS!$B$34*(C82/(D82*((BH82+BI82)/2)))/((D82*((BH82+BI82)/2))/(D82+2*((BH82+BI82)/2)))^(2/3))^2+((DATOS!$B$34*H81/((D81*F81)/(D81+2*F81))^(2/3))^2))/2))&gt;0,BH82,((BH82+BI82)/2))</f>
        <v/>
      </c>
      <c r="BK82" s="5">
        <f>IF((((BH82+BI82)/2)+(C82/(D82*((BH82+BI82)/2)))^2/(2*9.81)+B82-(G81+H81^2/(2*9.81))-(A81-A82)*(((DATOS!$B$34*(C82/(D82*((BH82+BI82)/2)))/((D82*((BH82+BI82)/2))/(D82+2*((BH82+BI82)/2)))^(2/3))^2+((DATOS!$B$34*H81/((D81*F81)/(D81+2*F81))^(2/3))^2))/2))&gt;0,((BH82+BI82)/2),BI82)</f>
        <v/>
      </c>
      <c r="BL82" s="5">
        <f>IF((((BJ82+BK82)/2)+(C82/(D82*((BJ82+BK82)/2)))^2/(2*9.81)+B82-(G81+H81^2/(2*9.81))-(A81-A82)*(((DATOS!$B$34*(C82/(D82*((BJ82+BK82)/2)))/((D82*((BJ82+BK82)/2))/(D82+2*((BJ82+BK82)/2)))^(2/3))^2+((DATOS!$B$34*H81/((D81*F81)/(D81+2*F81))^(2/3))^2))/2))&gt;0,BJ82,((BJ82+BK82)/2))</f>
        <v/>
      </c>
      <c r="BM82" s="5">
        <f>IF((((BJ82+BK82)/2)+(C82/(D82*((BJ82+BK82)/2)))^2/(2*9.81)+B82-(G81+H81^2/(2*9.81))-(A81-A82)*(((DATOS!$B$34*(C82/(D82*((BJ82+BK82)/2)))/((D82*((BJ82+BK82)/2))/(D82+2*((BJ82+BK82)/2)))^(2/3))^2+((DATOS!$B$34*H81/((D81*F81)/(D81+2*F81))^(2/3))^2))/2))&gt;0,((BJ82+BK82)/2),BK82)</f>
        <v/>
      </c>
      <c r="BN82" s="5">
        <f>IF((((BL82+BM82)/2)+(C82/(D82*((BL82+BM82)/2)))^2/(2*9.81)+B82-(G81+H81^2/(2*9.81))-(A81-A82)*(((DATOS!$B$34*(C82/(D82*((BL82+BM82)/2)))/((D82*((BL82+BM82)/2))/(D82+2*((BL82+BM82)/2)))^(2/3))^2+((DATOS!$B$34*H81/((D81*F81)/(D81+2*F81))^(2/3))^2))/2))&gt;0,BL82,((BL82+BM82)/2))</f>
        <v/>
      </c>
      <c r="BO82" s="5">
        <f>IF((((BL82+BM82)/2)+(C82/(D82*((BL82+BM82)/2)))^2/(2*9.81)+B82-(G81+H81^2/(2*9.81))-(A81-A82)*(((DATOS!$B$34*(C82/(D82*((BL82+BM82)/2)))/((D82*((BL82+BM82)/2))/(D82+2*((BL82+BM82)/2)))^(2/3))^2+((DATOS!$B$34*H81/((D81*F81)/(D81+2*F81))^(2/3))^2))/2))&gt;0,((BL82+BM82)/2),BM82)</f>
        <v/>
      </c>
      <c r="BP82" s="5">
        <f>IF((((BN82+BO82)/2)+(C82/(D82*((BN82+BO82)/2)))^2/(2*9.81)+B82-(G81+H81^2/(2*9.81))-(A81-A82)*(((DATOS!$B$34*(C82/(D82*((BN82+BO82)/2)))/((D82*((BN82+BO82)/2))/(D82+2*((BN82+BO82)/2)))^(2/3))^2+((DATOS!$B$34*H81/((D81*F81)/(D81+2*F81))^(2/3))^2))/2))&gt;0,BN82,((BN82+BO82)/2))</f>
        <v/>
      </c>
      <c r="BQ82" s="5">
        <f>IF((((BN82+BO82)/2)+(C82/(D82*((BN82+BO82)/2)))^2/(2*9.81)+B82-(G81+H81^2/(2*9.81))-(A81-A82)*(((DATOS!$B$34*(C82/(D82*((BN82+BO82)/2)))/((D82*((BN82+BO82)/2))/(D82+2*((BN82+BO82)/2)))^(2/3))^2+((DATOS!$B$34*H81/((D81*F81)/(D81+2*F81))^(2/3))^2))/2))&gt;0,((BN82+BO82)/2),BO82)</f>
        <v/>
      </c>
      <c r="BR82" s="5">
        <f>IF((((BP82+BQ82)/2)+(C82/(D82*((BP82+BQ82)/2)))^2/(2*9.81)+B82-(G81+H81^2/(2*9.81))-(A81-A82)*(((DATOS!$B$34*(C82/(D82*((BP82+BQ82)/2)))/((D82*((BP82+BQ82)/2))/(D82+2*((BP82+BQ82)/2)))^(2/3))^2+((DATOS!$B$34*H81/((D81*F81)/(D81+2*F81))^(2/3))^2))/2))&gt;0,BP82,((BP82+BQ82)/2))</f>
        <v/>
      </c>
      <c r="BS82" s="5">
        <f>IF((((BP82+BQ82)/2)+(C82/(D82*((BP82+BQ82)/2)))^2/(2*9.81)+B82-(G81+H81^2/(2*9.81))-(A81-A82)*(((DATOS!$B$34*(C82/(D82*((BP82+BQ82)/2)))/((D82*((BP82+BQ82)/2))/(D82+2*((BP82+BQ82)/2)))^(2/3))^2+((DATOS!$B$34*H81/((D81*F81)/(D81+2*F81))^(2/3))^2))/2))&gt;0,((BP82+BQ82)/2),BQ82)</f>
        <v/>
      </c>
      <c r="BT82" s="5">
        <f>IF((((BR82+BS82)/2)+(C82/(D82*((BR82+BS82)/2)))^2/(2*9.81)+B82-(G81+H81^2/(2*9.81))-(A81-A82)*(((DATOS!$B$34*(C82/(D82*((BR82+BS82)/2)))/((D82*((BR82+BS82)/2))/(D82+2*((BR82+BS82)/2)))^(2/3))^2+((DATOS!$B$34*H81/((D81*F81)/(D81+2*F81))^(2/3))^2))/2))&gt;0,BR82,((BR82+BS82)/2))</f>
        <v/>
      </c>
      <c r="BU82" s="5">
        <f>IF((((BR82+BS82)/2)+(C82/(D82*((BR82+BS82)/2)))^2/(2*9.81)+B82-(G81+H81^2/(2*9.81))-(A81-A82)*(((DATOS!$B$34*(C82/(D82*((BR82+BS82)/2)))/((D82*((BR82+BS82)/2))/(D82+2*((BR82+BS82)/2)))^(2/3))^2+((DATOS!$B$34*H81/((D81*F81)/(D81+2*F81))^(2/3))^2))/2))&gt;0,((BR82+BS82)/2),BS82)</f>
        <v/>
      </c>
      <c r="BV82" s="5">
        <f>IF((((BT82+BU82)/2)+(C82/(D82*((BT82+BU82)/2)))^2/(2*9.81)+B82-(G81+H81^2/(2*9.81))-(A81-A82)*(((DATOS!$B$34*(C82/(D82*((BT82+BU82)/2)))/((D82*((BT82+BU82)/2))/(D82+2*((BT82+BU82)/2)))^(2/3))^2+((DATOS!$B$34*H81/((D81*F81)/(D81+2*F81))^(2/3))^2))/2))&gt;0,BT82,((BT82+BU82)/2))</f>
        <v/>
      </c>
      <c r="BW82" s="5">
        <f>IF((((BT82+BU82)/2)+(C82/(D82*((BT82+BU82)/2)))^2/(2*9.81)+B82-(G81+H81^2/(2*9.81))-(A81-A82)*(((DATOS!$B$34*(C82/(D82*((BT82+BU82)/2)))/((D82*((BT82+BU82)/2))/(D82+2*((BT82+BU82)/2)))^(2/3))^2+((DATOS!$B$34*H81/((D81*F81)/(D81+2*F81))^(2/3))^2))/2))&gt;0,((BT82+BU82)/2),BU82)</f>
        <v/>
      </c>
    </row>
    <row r="83">
      <c r="A83" s="13" t="n">
        <v>6</v>
      </c>
      <c r="B83" s="16">
        <f>DATOS!$B$22-DATOS!$B$23*A83</f>
        <v/>
      </c>
      <c r="C83" s="24">
        <f>CAUDALES!$B$13</f>
        <v/>
      </c>
      <c r="D83" s="17">
        <f>DATOS!$B$17</f>
        <v/>
      </c>
      <c r="E83" s="16">
        <f>(C83^2/(9.81*D83^2))^(1/3)</f>
        <v/>
      </c>
      <c r="F83" s="16">
        <f>(BV83+BW83)/2</f>
        <v/>
      </c>
      <c r="G83" s="16">
        <f>B83+F83</f>
        <v/>
      </c>
      <c r="H83" s="19">
        <f>C83/(D83*F83)</f>
        <v/>
      </c>
      <c r="I83" s="19">
        <f>H83/SQRT(9.81*F83)</f>
        <v/>
      </c>
      <c r="J83" s="16">
        <f>DATOS!$B$29-IF(AND(A83&gt;=DATOS!$B$30,A83&lt;DATOS!$B$31),DATOS!$B$21,DATOS!$B$20)</f>
        <v/>
      </c>
      <c r="K83" s="19">
        <f>J83-B83</f>
        <v/>
      </c>
      <c r="L83" s="19">
        <f>F83/K83</f>
        <v/>
      </c>
      <c r="M83" s="16">
        <f>J83-G83</f>
        <v/>
      </c>
      <c r="N83" s="5">
        <f>IF(AND(L83&lt;=DATOS!$B$36,M83&gt;=DATOS!$B$37,I83&lt;=1),"CUMPLE","NO CUMPLE")</f>
        <v/>
      </c>
      <c r="O83" s="5">
        <f>IF(AND(A83&gt;=DATOS!$B$30,A83&lt;DATOS!$B$31),"cruce de camiones",IF(AND(A83&gt;=DATOS!$B$32,A83&lt;DATOS!$B$33),"cruce de motos","tramo normal"))</f>
        <v/>
      </c>
      <c r="P83" s="5">
        <f>E83*1.001</f>
        <v/>
      </c>
      <c r="Q83" s="13" t="n">
        <v>3</v>
      </c>
      <c r="R83" s="5">
        <f>IF((((P83+Q83)/2)+(C83/(D83*((P83+Q83)/2)))^2/(2*9.81)+B83-(G82+H82^2/(2*9.81))-(A82-A83)*(((DATOS!$B$34*(C83/(D83*((P83+Q83)/2)))/((D83*((P83+Q83)/2))/(D83+2*((P83+Q83)/2)))^(2/3))^2+((DATOS!$B$34*H82/((D82*F82)/(D82+2*F82))^(2/3))^2))/2))&gt;0,P83,((P83+Q83)/2))</f>
        <v/>
      </c>
      <c r="S83" s="5">
        <f>IF((((P83+Q83)/2)+(C83/(D83*((P83+Q83)/2)))^2/(2*9.81)+B83-(G82+H82^2/(2*9.81))-(A82-A83)*(((DATOS!$B$34*(C83/(D83*((P83+Q83)/2)))/((D83*((P83+Q83)/2))/(D83+2*((P83+Q83)/2)))^(2/3))^2+((DATOS!$B$34*H82/((D82*F82)/(D82+2*F82))^(2/3))^2))/2))&gt;0,((P83+Q83)/2),Q83)</f>
        <v/>
      </c>
      <c r="T83" s="5">
        <f>IF((((R83+S83)/2)+(C83/(D83*((R83+S83)/2)))^2/(2*9.81)+B83-(G82+H82^2/(2*9.81))-(A82-A83)*(((DATOS!$B$34*(C83/(D83*((R83+S83)/2)))/((D83*((R83+S83)/2))/(D83+2*((R83+S83)/2)))^(2/3))^2+((DATOS!$B$34*H82/((D82*F82)/(D82+2*F82))^(2/3))^2))/2))&gt;0,R83,((R83+S83)/2))</f>
        <v/>
      </c>
      <c r="U83" s="5">
        <f>IF((((R83+S83)/2)+(C83/(D83*((R83+S83)/2)))^2/(2*9.81)+B83-(G82+H82^2/(2*9.81))-(A82-A83)*(((DATOS!$B$34*(C83/(D83*((R83+S83)/2)))/((D83*((R83+S83)/2))/(D83+2*((R83+S83)/2)))^(2/3))^2+((DATOS!$B$34*H82/((D82*F82)/(D82+2*F82))^(2/3))^2))/2))&gt;0,((R83+S83)/2),S83)</f>
        <v/>
      </c>
      <c r="V83" s="5">
        <f>IF((((T83+U83)/2)+(C83/(D83*((T83+U83)/2)))^2/(2*9.81)+B83-(G82+H82^2/(2*9.81))-(A82-A83)*(((DATOS!$B$34*(C83/(D83*((T83+U83)/2)))/((D83*((T83+U83)/2))/(D83+2*((T83+U83)/2)))^(2/3))^2+((DATOS!$B$34*H82/((D82*F82)/(D82+2*F82))^(2/3))^2))/2))&gt;0,T83,((T83+U83)/2))</f>
        <v/>
      </c>
      <c r="W83" s="5">
        <f>IF((((T83+U83)/2)+(C83/(D83*((T83+U83)/2)))^2/(2*9.81)+B83-(G82+H82^2/(2*9.81))-(A82-A83)*(((DATOS!$B$34*(C83/(D83*((T83+U83)/2)))/((D83*((T83+U83)/2))/(D83+2*((T83+U83)/2)))^(2/3))^2+((DATOS!$B$34*H82/((D82*F82)/(D82+2*F82))^(2/3))^2))/2))&gt;0,((T83+U83)/2),U83)</f>
        <v/>
      </c>
      <c r="X83" s="5">
        <f>IF((((V83+W83)/2)+(C83/(D83*((V83+W83)/2)))^2/(2*9.81)+B83-(G82+H82^2/(2*9.81))-(A82-A83)*(((DATOS!$B$34*(C83/(D83*((V83+W83)/2)))/((D83*((V83+W83)/2))/(D83+2*((V83+W83)/2)))^(2/3))^2+((DATOS!$B$34*H82/((D82*F82)/(D82+2*F82))^(2/3))^2))/2))&gt;0,V83,((V83+W83)/2))</f>
        <v/>
      </c>
      <c r="Y83" s="5">
        <f>IF((((V83+W83)/2)+(C83/(D83*((V83+W83)/2)))^2/(2*9.81)+B83-(G82+H82^2/(2*9.81))-(A82-A83)*(((DATOS!$B$34*(C83/(D83*((V83+W83)/2)))/((D83*((V83+W83)/2))/(D83+2*((V83+W83)/2)))^(2/3))^2+((DATOS!$B$34*H82/((D82*F82)/(D82+2*F82))^(2/3))^2))/2))&gt;0,((V83+W83)/2),W83)</f>
        <v/>
      </c>
      <c r="Z83" s="5">
        <f>IF((((X83+Y83)/2)+(C83/(D83*((X83+Y83)/2)))^2/(2*9.81)+B83-(G82+H82^2/(2*9.81))-(A82-A83)*(((DATOS!$B$34*(C83/(D83*((X83+Y83)/2)))/((D83*((X83+Y83)/2))/(D83+2*((X83+Y83)/2)))^(2/3))^2+((DATOS!$B$34*H82/((D82*F82)/(D82+2*F82))^(2/3))^2))/2))&gt;0,X83,((X83+Y83)/2))</f>
        <v/>
      </c>
      <c r="AA83" s="5">
        <f>IF((((X83+Y83)/2)+(C83/(D83*((X83+Y83)/2)))^2/(2*9.81)+B83-(G82+H82^2/(2*9.81))-(A82-A83)*(((DATOS!$B$34*(C83/(D83*((X83+Y83)/2)))/((D83*((X83+Y83)/2))/(D83+2*((X83+Y83)/2)))^(2/3))^2+((DATOS!$B$34*H82/((D82*F82)/(D82+2*F82))^(2/3))^2))/2))&gt;0,((X83+Y83)/2),Y83)</f>
        <v/>
      </c>
      <c r="AB83" s="5">
        <f>IF((((Z83+AA83)/2)+(C83/(D83*((Z83+AA83)/2)))^2/(2*9.81)+B83-(G82+H82^2/(2*9.81))-(A82-A83)*(((DATOS!$B$34*(C83/(D83*((Z83+AA83)/2)))/((D83*((Z83+AA83)/2))/(D83+2*((Z83+AA83)/2)))^(2/3))^2+((DATOS!$B$34*H82/((D82*F82)/(D82+2*F82))^(2/3))^2))/2))&gt;0,Z83,((Z83+AA83)/2))</f>
        <v/>
      </c>
      <c r="AC83" s="5">
        <f>IF((((Z83+AA83)/2)+(C83/(D83*((Z83+AA83)/2)))^2/(2*9.81)+B83-(G82+H82^2/(2*9.81))-(A82-A83)*(((DATOS!$B$34*(C83/(D83*((Z83+AA83)/2)))/((D83*((Z83+AA83)/2))/(D83+2*((Z83+AA83)/2)))^(2/3))^2+((DATOS!$B$34*H82/((D82*F82)/(D82+2*F82))^(2/3))^2))/2))&gt;0,((Z83+AA83)/2),AA83)</f>
        <v/>
      </c>
      <c r="AD83" s="5">
        <f>IF((((AB83+AC83)/2)+(C83/(D83*((AB83+AC83)/2)))^2/(2*9.81)+B83-(G82+H82^2/(2*9.81))-(A82-A83)*(((DATOS!$B$34*(C83/(D83*((AB83+AC83)/2)))/((D83*((AB83+AC83)/2))/(D83+2*((AB83+AC83)/2)))^(2/3))^2+((DATOS!$B$34*H82/((D82*F82)/(D82+2*F82))^(2/3))^2))/2))&gt;0,AB83,((AB83+AC83)/2))</f>
        <v/>
      </c>
      <c r="AE83" s="5">
        <f>IF((((AB83+AC83)/2)+(C83/(D83*((AB83+AC83)/2)))^2/(2*9.81)+B83-(G82+H82^2/(2*9.81))-(A82-A83)*(((DATOS!$B$34*(C83/(D83*((AB83+AC83)/2)))/((D83*((AB83+AC83)/2))/(D83+2*((AB83+AC83)/2)))^(2/3))^2+((DATOS!$B$34*H82/((D82*F82)/(D82+2*F82))^(2/3))^2))/2))&gt;0,((AB83+AC83)/2),AC83)</f>
        <v/>
      </c>
      <c r="AF83" s="5">
        <f>IF((((AD83+AE83)/2)+(C83/(D83*((AD83+AE83)/2)))^2/(2*9.81)+B83-(G82+H82^2/(2*9.81))-(A82-A83)*(((DATOS!$B$34*(C83/(D83*((AD83+AE83)/2)))/((D83*((AD83+AE83)/2))/(D83+2*((AD83+AE83)/2)))^(2/3))^2+((DATOS!$B$34*H82/((D82*F82)/(D82+2*F82))^(2/3))^2))/2))&gt;0,AD83,((AD83+AE83)/2))</f>
        <v/>
      </c>
      <c r="AG83" s="5">
        <f>IF((((AD83+AE83)/2)+(C83/(D83*((AD83+AE83)/2)))^2/(2*9.81)+B83-(G82+H82^2/(2*9.81))-(A82-A83)*(((DATOS!$B$34*(C83/(D83*((AD83+AE83)/2)))/((D83*((AD83+AE83)/2))/(D83+2*((AD83+AE83)/2)))^(2/3))^2+((DATOS!$B$34*H82/((D82*F82)/(D82+2*F82))^(2/3))^2))/2))&gt;0,((AD83+AE83)/2),AE83)</f>
        <v/>
      </c>
      <c r="AH83" s="5">
        <f>IF((((AF83+AG83)/2)+(C83/(D83*((AF83+AG83)/2)))^2/(2*9.81)+B83-(G82+H82^2/(2*9.81))-(A82-A83)*(((DATOS!$B$34*(C83/(D83*((AF83+AG83)/2)))/((D83*((AF83+AG83)/2))/(D83+2*((AF83+AG83)/2)))^(2/3))^2+((DATOS!$B$34*H82/((D82*F82)/(D82+2*F82))^(2/3))^2))/2))&gt;0,AF83,((AF83+AG83)/2))</f>
        <v/>
      </c>
      <c r="AI83" s="5">
        <f>IF((((AF83+AG83)/2)+(C83/(D83*((AF83+AG83)/2)))^2/(2*9.81)+B83-(G82+H82^2/(2*9.81))-(A82-A83)*(((DATOS!$B$34*(C83/(D83*((AF83+AG83)/2)))/((D83*((AF83+AG83)/2))/(D83+2*((AF83+AG83)/2)))^(2/3))^2+((DATOS!$B$34*H82/((D82*F82)/(D82+2*F82))^(2/3))^2))/2))&gt;0,((AF83+AG83)/2),AG83)</f>
        <v/>
      </c>
      <c r="AJ83" s="5">
        <f>IF((((AH83+AI83)/2)+(C83/(D83*((AH83+AI83)/2)))^2/(2*9.81)+B83-(G82+H82^2/(2*9.81))-(A82-A83)*(((DATOS!$B$34*(C83/(D83*((AH83+AI83)/2)))/((D83*((AH83+AI83)/2))/(D83+2*((AH83+AI83)/2)))^(2/3))^2+((DATOS!$B$34*H82/((D82*F82)/(D82+2*F82))^(2/3))^2))/2))&gt;0,AH83,((AH83+AI83)/2))</f>
        <v/>
      </c>
      <c r="AK83" s="5">
        <f>IF((((AH83+AI83)/2)+(C83/(D83*((AH83+AI83)/2)))^2/(2*9.81)+B83-(G82+H82^2/(2*9.81))-(A82-A83)*(((DATOS!$B$34*(C83/(D83*((AH83+AI83)/2)))/((D83*((AH83+AI83)/2))/(D83+2*((AH83+AI83)/2)))^(2/3))^2+((DATOS!$B$34*H82/((D82*F82)/(D82+2*F82))^(2/3))^2))/2))&gt;0,((AH83+AI83)/2),AI83)</f>
        <v/>
      </c>
      <c r="AL83" s="5">
        <f>IF((((AJ83+AK83)/2)+(C83/(D83*((AJ83+AK83)/2)))^2/(2*9.81)+B83-(G82+H82^2/(2*9.81))-(A82-A83)*(((DATOS!$B$34*(C83/(D83*((AJ83+AK83)/2)))/((D83*((AJ83+AK83)/2))/(D83+2*((AJ83+AK83)/2)))^(2/3))^2+((DATOS!$B$34*H82/((D82*F82)/(D82+2*F82))^(2/3))^2))/2))&gt;0,AJ83,((AJ83+AK83)/2))</f>
        <v/>
      </c>
      <c r="AM83" s="5">
        <f>IF((((AJ83+AK83)/2)+(C83/(D83*((AJ83+AK83)/2)))^2/(2*9.81)+B83-(G82+H82^2/(2*9.81))-(A82-A83)*(((DATOS!$B$34*(C83/(D83*((AJ83+AK83)/2)))/((D83*((AJ83+AK83)/2))/(D83+2*((AJ83+AK83)/2)))^(2/3))^2+((DATOS!$B$34*H82/((D82*F82)/(D82+2*F82))^(2/3))^2))/2))&gt;0,((AJ83+AK83)/2),AK83)</f>
        <v/>
      </c>
      <c r="AN83" s="5">
        <f>IF((((AL83+AM83)/2)+(C83/(D83*((AL83+AM83)/2)))^2/(2*9.81)+B83-(G82+H82^2/(2*9.81))-(A82-A83)*(((DATOS!$B$34*(C83/(D83*((AL83+AM83)/2)))/((D83*((AL83+AM83)/2))/(D83+2*((AL83+AM83)/2)))^(2/3))^2+((DATOS!$B$34*H82/((D82*F82)/(D82+2*F82))^(2/3))^2))/2))&gt;0,AL83,((AL83+AM83)/2))</f>
        <v/>
      </c>
      <c r="AO83" s="5">
        <f>IF((((AL83+AM83)/2)+(C83/(D83*((AL83+AM83)/2)))^2/(2*9.81)+B83-(G82+H82^2/(2*9.81))-(A82-A83)*(((DATOS!$B$34*(C83/(D83*((AL83+AM83)/2)))/((D83*((AL83+AM83)/2))/(D83+2*((AL83+AM83)/2)))^(2/3))^2+((DATOS!$B$34*H82/((D82*F82)/(D82+2*F82))^(2/3))^2))/2))&gt;0,((AL83+AM83)/2),AM83)</f>
        <v/>
      </c>
      <c r="AP83" s="5">
        <f>IF((((AN83+AO83)/2)+(C83/(D83*((AN83+AO83)/2)))^2/(2*9.81)+B83-(G82+H82^2/(2*9.81))-(A82-A83)*(((DATOS!$B$34*(C83/(D83*((AN83+AO83)/2)))/((D83*((AN83+AO83)/2))/(D83+2*((AN83+AO83)/2)))^(2/3))^2+((DATOS!$B$34*H82/((D82*F82)/(D82+2*F82))^(2/3))^2))/2))&gt;0,AN83,((AN83+AO83)/2))</f>
        <v/>
      </c>
      <c r="AQ83" s="5">
        <f>IF((((AN83+AO83)/2)+(C83/(D83*((AN83+AO83)/2)))^2/(2*9.81)+B83-(G82+H82^2/(2*9.81))-(A82-A83)*(((DATOS!$B$34*(C83/(D83*((AN83+AO83)/2)))/((D83*((AN83+AO83)/2))/(D83+2*((AN83+AO83)/2)))^(2/3))^2+((DATOS!$B$34*H82/((D82*F82)/(D82+2*F82))^(2/3))^2))/2))&gt;0,((AN83+AO83)/2),AO83)</f>
        <v/>
      </c>
      <c r="AR83" s="5">
        <f>IF((((AP83+AQ83)/2)+(C83/(D83*((AP83+AQ83)/2)))^2/(2*9.81)+B83-(G82+H82^2/(2*9.81))-(A82-A83)*(((DATOS!$B$34*(C83/(D83*((AP83+AQ83)/2)))/((D83*((AP83+AQ83)/2))/(D83+2*((AP83+AQ83)/2)))^(2/3))^2+((DATOS!$B$34*H82/((D82*F82)/(D82+2*F82))^(2/3))^2))/2))&gt;0,AP83,((AP83+AQ83)/2))</f>
        <v/>
      </c>
      <c r="AS83" s="5">
        <f>IF((((AP83+AQ83)/2)+(C83/(D83*((AP83+AQ83)/2)))^2/(2*9.81)+B83-(G82+H82^2/(2*9.81))-(A82-A83)*(((DATOS!$B$34*(C83/(D83*((AP83+AQ83)/2)))/((D83*((AP83+AQ83)/2))/(D83+2*((AP83+AQ83)/2)))^(2/3))^2+((DATOS!$B$34*H82/((D82*F82)/(D82+2*F82))^(2/3))^2))/2))&gt;0,((AP83+AQ83)/2),AQ83)</f>
        <v/>
      </c>
      <c r="AT83" s="5">
        <f>IF((((AR83+AS83)/2)+(C83/(D83*((AR83+AS83)/2)))^2/(2*9.81)+B83-(G82+H82^2/(2*9.81))-(A82-A83)*(((DATOS!$B$34*(C83/(D83*((AR83+AS83)/2)))/((D83*((AR83+AS83)/2))/(D83+2*((AR83+AS83)/2)))^(2/3))^2+((DATOS!$B$34*H82/((D82*F82)/(D82+2*F82))^(2/3))^2))/2))&gt;0,AR83,((AR83+AS83)/2))</f>
        <v/>
      </c>
      <c r="AU83" s="5">
        <f>IF((((AR83+AS83)/2)+(C83/(D83*((AR83+AS83)/2)))^2/(2*9.81)+B83-(G82+H82^2/(2*9.81))-(A82-A83)*(((DATOS!$B$34*(C83/(D83*((AR83+AS83)/2)))/((D83*((AR83+AS83)/2))/(D83+2*((AR83+AS83)/2)))^(2/3))^2+((DATOS!$B$34*H82/((D82*F82)/(D82+2*F82))^(2/3))^2))/2))&gt;0,((AR83+AS83)/2),AS83)</f>
        <v/>
      </c>
      <c r="AV83" s="5">
        <f>IF((((AT83+AU83)/2)+(C83/(D83*((AT83+AU83)/2)))^2/(2*9.81)+B83-(G82+H82^2/(2*9.81))-(A82-A83)*(((DATOS!$B$34*(C83/(D83*((AT83+AU83)/2)))/((D83*((AT83+AU83)/2))/(D83+2*((AT83+AU83)/2)))^(2/3))^2+((DATOS!$B$34*H82/((D82*F82)/(D82+2*F82))^(2/3))^2))/2))&gt;0,AT83,((AT83+AU83)/2))</f>
        <v/>
      </c>
      <c r="AW83" s="5">
        <f>IF((((AT83+AU83)/2)+(C83/(D83*((AT83+AU83)/2)))^2/(2*9.81)+B83-(G82+H82^2/(2*9.81))-(A82-A83)*(((DATOS!$B$34*(C83/(D83*((AT83+AU83)/2)))/((D83*((AT83+AU83)/2))/(D83+2*((AT83+AU83)/2)))^(2/3))^2+((DATOS!$B$34*H82/((D82*F82)/(D82+2*F82))^(2/3))^2))/2))&gt;0,((AT83+AU83)/2),AU83)</f>
        <v/>
      </c>
      <c r="AX83" s="5">
        <f>IF((((AV83+AW83)/2)+(C83/(D83*((AV83+AW83)/2)))^2/(2*9.81)+B83-(G82+H82^2/(2*9.81))-(A82-A83)*(((DATOS!$B$34*(C83/(D83*((AV83+AW83)/2)))/((D83*((AV83+AW83)/2))/(D83+2*((AV83+AW83)/2)))^(2/3))^2+((DATOS!$B$34*H82/((D82*F82)/(D82+2*F82))^(2/3))^2))/2))&gt;0,AV83,((AV83+AW83)/2))</f>
        <v/>
      </c>
      <c r="AY83" s="5">
        <f>IF((((AV83+AW83)/2)+(C83/(D83*((AV83+AW83)/2)))^2/(2*9.81)+B83-(G82+H82^2/(2*9.81))-(A82-A83)*(((DATOS!$B$34*(C83/(D83*((AV83+AW83)/2)))/((D83*((AV83+AW83)/2))/(D83+2*((AV83+AW83)/2)))^(2/3))^2+((DATOS!$B$34*H82/((D82*F82)/(D82+2*F82))^(2/3))^2))/2))&gt;0,((AV83+AW83)/2),AW83)</f>
        <v/>
      </c>
      <c r="AZ83" s="5">
        <f>IF((((AX83+AY83)/2)+(C83/(D83*((AX83+AY83)/2)))^2/(2*9.81)+B83-(G82+H82^2/(2*9.81))-(A82-A83)*(((DATOS!$B$34*(C83/(D83*((AX83+AY83)/2)))/((D83*((AX83+AY83)/2))/(D83+2*((AX83+AY83)/2)))^(2/3))^2+((DATOS!$B$34*H82/((D82*F82)/(D82+2*F82))^(2/3))^2))/2))&gt;0,AX83,((AX83+AY83)/2))</f>
        <v/>
      </c>
      <c r="BA83" s="5">
        <f>IF((((AX83+AY83)/2)+(C83/(D83*((AX83+AY83)/2)))^2/(2*9.81)+B83-(G82+H82^2/(2*9.81))-(A82-A83)*(((DATOS!$B$34*(C83/(D83*((AX83+AY83)/2)))/((D83*((AX83+AY83)/2))/(D83+2*((AX83+AY83)/2)))^(2/3))^2+((DATOS!$B$34*H82/((D82*F82)/(D82+2*F82))^(2/3))^2))/2))&gt;0,((AX83+AY83)/2),AY83)</f>
        <v/>
      </c>
      <c r="BB83" s="5">
        <f>IF((((AZ83+BA83)/2)+(C83/(D83*((AZ83+BA83)/2)))^2/(2*9.81)+B83-(G82+H82^2/(2*9.81))-(A82-A83)*(((DATOS!$B$34*(C83/(D83*((AZ83+BA83)/2)))/((D83*((AZ83+BA83)/2))/(D83+2*((AZ83+BA83)/2)))^(2/3))^2+((DATOS!$B$34*H82/((D82*F82)/(D82+2*F82))^(2/3))^2))/2))&gt;0,AZ83,((AZ83+BA83)/2))</f>
        <v/>
      </c>
      <c r="BC83" s="5">
        <f>IF((((AZ83+BA83)/2)+(C83/(D83*((AZ83+BA83)/2)))^2/(2*9.81)+B83-(G82+H82^2/(2*9.81))-(A82-A83)*(((DATOS!$B$34*(C83/(D83*((AZ83+BA83)/2)))/((D83*((AZ83+BA83)/2))/(D83+2*((AZ83+BA83)/2)))^(2/3))^2+((DATOS!$B$34*H82/((D82*F82)/(D82+2*F82))^(2/3))^2))/2))&gt;0,((AZ83+BA83)/2),BA83)</f>
        <v/>
      </c>
      <c r="BD83" s="5">
        <f>IF((((BB83+BC83)/2)+(C83/(D83*((BB83+BC83)/2)))^2/(2*9.81)+B83-(G82+H82^2/(2*9.81))-(A82-A83)*(((DATOS!$B$34*(C83/(D83*((BB83+BC83)/2)))/((D83*((BB83+BC83)/2))/(D83+2*((BB83+BC83)/2)))^(2/3))^2+((DATOS!$B$34*H82/((D82*F82)/(D82+2*F82))^(2/3))^2))/2))&gt;0,BB83,((BB83+BC83)/2))</f>
        <v/>
      </c>
      <c r="BE83" s="5">
        <f>IF((((BB83+BC83)/2)+(C83/(D83*((BB83+BC83)/2)))^2/(2*9.81)+B83-(G82+H82^2/(2*9.81))-(A82-A83)*(((DATOS!$B$34*(C83/(D83*((BB83+BC83)/2)))/((D83*((BB83+BC83)/2))/(D83+2*((BB83+BC83)/2)))^(2/3))^2+((DATOS!$B$34*H82/((D82*F82)/(D82+2*F82))^(2/3))^2))/2))&gt;0,((BB83+BC83)/2),BC83)</f>
        <v/>
      </c>
      <c r="BF83" s="5">
        <f>IF((((BD83+BE83)/2)+(C83/(D83*((BD83+BE83)/2)))^2/(2*9.81)+B83-(G82+H82^2/(2*9.81))-(A82-A83)*(((DATOS!$B$34*(C83/(D83*((BD83+BE83)/2)))/((D83*((BD83+BE83)/2))/(D83+2*((BD83+BE83)/2)))^(2/3))^2+((DATOS!$B$34*H82/((D82*F82)/(D82+2*F82))^(2/3))^2))/2))&gt;0,BD83,((BD83+BE83)/2))</f>
        <v/>
      </c>
      <c r="BG83" s="5">
        <f>IF((((BD83+BE83)/2)+(C83/(D83*((BD83+BE83)/2)))^2/(2*9.81)+B83-(G82+H82^2/(2*9.81))-(A82-A83)*(((DATOS!$B$34*(C83/(D83*((BD83+BE83)/2)))/((D83*((BD83+BE83)/2))/(D83+2*((BD83+BE83)/2)))^(2/3))^2+((DATOS!$B$34*H82/((D82*F82)/(D82+2*F82))^(2/3))^2))/2))&gt;0,((BD83+BE83)/2),BE83)</f>
        <v/>
      </c>
      <c r="BH83" s="5">
        <f>IF((((BF83+BG83)/2)+(C83/(D83*((BF83+BG83)/2)))^2/(2*9.81)+B83-(G82+H82^2/(2*9.81))-(A82-A83)*(((DATOS!$B$34*(C83/(D83*((BF83+BG83)/2)))/((D83*((BF83+BG83)/2))/(D83+2*((BF83+BG83)/2)))^(2/3))^2+((DATOS!$B$34*H82/((D82*F82)/(D82+2*F82))^(2/3))^2))/2))&gt;0,BF83,((BF83+BG83)/2))</f>
        <v/>
      </c>
      <c r="BI83" s="5">
        <f>IF((((BF83+BG83)/2)+(C83/(D83*((BF83+BG83)/2)))^2/(2*9.81)+B83-(G82+H82^2/(2*9.81))-(A82-A83)*(((DATOS!$B$34*(C83/(D83*((BF83+BG83)/2)))/((D83*((BF83+BG83)/2))/(D83+2*((BF83+BG83)/2)))^(2/3))^2+((DATOS!$B$34*H82/((D82*F82)/(D82+2*F82))^(2/3))^2))/2))&gt;0,((BF83+BG83)/2),BG83)</f>
        <v/>
      </c>
      <c r="BJ83" s="5">
        <f>IF((((BH83+BI83)/2)+(C83/(D83*((BH83+BI83)/2)))^2/(2*9.81)+B83-(G82+H82^2/(2*9.81))-(A82-A83)*(((DATOS!$B$34*(C83/(D83*((BH83+BI83)/2)))/((D83*((BH83+BI83)/2))/(D83+2*((BH83+BI83)/2)))^(2/3))^2+((DATOS!$B$34*H82/((D82*F82)/(D82+2*F82))^(2/3))^2))/2))&gt;0,BH83,((BH83+BI83)/2))</f>
        <v/>
      </c>
      <c r="BK83" s="5">
        <f>IF((((BH83+BI83)/2)+(C83/(D83*((BH83+BI83)/2)))^2/(2*9.81)+B83-(G82+H82^2/(2*9.81))-(A82-A83)*(((DATOS!$B$34*(C83/(D83*((BH83+BI83)/2)))/((D83*((BH83+BI83)/2))/(D83+2*((BH83+BI83)/2)))^(2/3))^2+((DATOS!$B$34*H82/((D82*F82)/(D82+2*F82))^(2/3))^2))/2))&gt;0,((BH83+BI83)/2),BI83)</f>
        <v/>
      </c>
      <c r="BL83" s="5">
        <f>IF((((BJ83+BK83)/2)+(C83/(D83*((BJ83+BK83)/2)))^2/(2*9.81)+B83-(G82+H82^2/(2*9.81))-(A82-A83)*(((DATOS!$B$34*(C83/(D83*((BJ83+BK83)/2)))/((D83*((BJ83+BK83)/2))/(D83+2*((BJ83+BK83)/2)))^(2/3))^2+((DATOS!$B$34*H82/((D82*F82)/(D82+2*F82))^(2/3))^2))/2))&gt;0,BJ83,((BJ83+BK83)/2))</f>
        <v/>
      </c>
      <c r="BM83" s="5">
        <f>IF((((BJ83+BK83)/2)+(C83/(D83*((BJ83+BK83)/2)))^2/(2*9.81)+B83-(G82+H82^2/(2*9.81))-(A82-A83)*(((DATOS!$B$34*(C83/(D83*((BJ83+BK83)/2)))/((D83*((BJ83+BK83)/2))/(D83+2*((BJ83+BK83)/2)))^(2/3))^2+((DATOS!$B$34*H82/((D82*F82)/(D82+2*F82))^(2/3))^2))/2))&gt;0,((BJ83+BK83)/2),BK83)</f>
        <v/>
      </c>
      <c r="BN83" s="5">
        <f>IF((((BL83+BM83)/2)+(C83/(D83*((BL83+BM83)/2)))^2/(2*9.81)+B83-(G82+H82^2/(2*9.81))-(A82-A83)*(((DATOS!$B$34*(C83/(D83*((BL83+BM83)/2)))/((D83*((BL83+BM83)/2))/(D83+2*((BL83+BM83)/2)))^(2/3))^2+((DATOS!$B$34*H82/((D82*F82)/(D82+2*F82))^(2/3))^2))/2))&gt;0,BL83,((BL83+BM83)/2))</f>
        <v/>
      </c>
      <c r="BO83" s="5">
        <f>IF((((BL83+BM83)/2)+(C83/(D83*((BL83+BM83)/2)))^2/(2*9.81)+B83-(G82+H82^2/(2*9.81))-(A82-A83)*(((DATOS!$B$34*(C83/(D83*((BL83+BM83)/2)))/((D83*((BL83+BM83)/2))/(D83+2*((BL83+BM83)/2)))^(2/3))^2+((DATOS!$B$34*H82/((D82*F82)/(D82+2*F82))^(2/3))^2))/2))&gt;0,((BL83+BM83)/2),BM83)</f>
        <v/>
      </c>
      <c r="BP83" s="5">
        <f>IF((((BN83+BO83)/2)+(C83/(D83*((BN83+BO83)/2)))^2/(2*9.81)+B83-(G82+H82^2/(2*9.81))-(A82-A83)*(((DATOS!$B$34*(C83/(D83*((BN83+BO83)/2)))/((D83*((BN83+BO83)/2))/(D83+2*((BN83+BO83)/2)))^(2/3))^2+((DATOS!$B$34*H82/((D82*F82)/(D82+2*F82))^(2/3))^2))/2))&gt;0,BN83,((BN83+BO83)/2))</f>
        <v/>
      </c>
      <c r="BQ83" s="5">
        <f>IF((((BN83+BO83)/2)+(C83/(D83*((BN83+BO83)/2)))^2/(2*9.81)+B83-(G82+H82^2/(2*9.81))-(A82-A83)*(((DATOS!$B$34*(C83/(D83*((BN83+BO83)/2)))/((D83*((BN83+BO83)/2))/(D83+2*((BN83+BO83)/2)))^(2/3))^2+((DATOS!$B$34*H82/((D82*F82)/(D82+2*F82))^(2/3))^2))/2))&gt;0,((BN83+BO83)/2),BO83)</f>
        <v/>
      </c>
      <c r="BR83" s="5">
        <f>IF((((BP83+BQ83)/2)+(C83/(D83*((BP83+BQ83)/2)))^2/(2*9.81)+B83-(G82+H82^2/(2*9.81))-(A82-A83)*(((DATOS!$B$34*(C83/(D83*((BP83+BQ83)/2)))/((D83*((BP83+BQ83)/2))/(D83+2*((BP83+BQ83)/2)))^(2/3))^2+((DATOS!$B$34*H82/((D82*F82)/(D82+2*F82))^(2/3))^2))/2))&gt;0,BP83,((BP83+BQ83)/2))</f>
        <v/>
      </c>
      <c r="BS83" s="5">
        <f>IF((((BP83+BQ83)/2)+(C83/(D83*((BP83+BQ83)/2)))^2/(2*9.81)+B83-(G82+H82^2/(2*9.81))-(A82-A83)*(((DATOS!$B$34*(C83/(D83*((BP83+BQ83)/2)))/((D83*((BP83+BQ83)/2))/(D83+2*((BP83+BQ83)/2)))^(2/3))^2+((DATOS!$B$34*H82/((D82*F82)/(D82+2*F82))^(2/3))^2))/2))&gt;0,((BP83+BQ83)/2),BQ83)</f>
        <v/>
      </c>
      <c r="BT83" s="5">
        <f>IF((((BR83+BS83)/2)+(C83/(D83*((BR83+BS83)/2)))^2/(2*9.81)+B83-(G82+H82^2/(2*9.81))-(A82-A83)*(((DATOS!$B$34*(C83/(D83*((BR83+BS83)/2)))/((D83*((BR83+BS83)/2))/(D83+2*((BR83+BS83)/2)))^(2/3))^2+((DATOS!$B$34*H82/((D82*F82)/(D82+2*F82))^(2/3))^2))/2))&gt;0,BR83,((BR83+BS83)/2))</f>
        <v/>
      </c>
      <c r="BU83" s="5">
        <f>IF((((BR83+BS83)/2)+(C83/(D83*((BR83+BS83)/2)))^2/(2*9.81)+B83-(G82+H82^2/(2*9.81))-(A82-A83)*(((DATOS!$B$34*(C83/(D83*((BR83+BS83)/2)))/((D83*((BR83+BS83)/2))/(D83+2*((BR83+BS83)/2)))^(2/3))^2+((DATOS!$B$34*H82/((D82*F82)/(D82+2*F82))^(2/3))^2))/2))&gt;0,((BR83+BS83)/2),BS83)</f>
        <v/>
      </c>
      <c r="BV83" s="5">
        <f>IF((((BT83+BU83)/2)+(C83/(D83*((BT83+BU83)/2)))^2/(2*9.81)+B83-(G82+H82^2/(2*9.81))-(A82-A83)*(((DATOS!$B$34*(C83/(D83*((BT83+BU83)/2)))/((D83*((BT83+BU83)/2))/(D83+2*((BT83+BU83)/2)))^(2/3))^2+((DATOS!$B$34*H82/((D82*F82)/(D82+2*F82))^(2/3))^2))/2))&gt;0,BT83,((BT83+BU83)/2))</f>
        <v/>
      </c>
      <c r="BW83" s="5">
        <f>IF((((BT83+BU83)/2)+(C83/(D83*((BT83+BU83)/2)))^2/(2*9.81)+B83-(G82+H82^2/(2*9.81))-(A82-A83)*(((DATOS!$B$34*(C83/(D83*((BT83+BU83)/2)))/((D83*((BT83+BU83)/2))/(D83+2*((BT83+BU83)/2)))^(2/3))^2+((DATOS!$B$34*H82/((D82*F82)/(D82+2*F82))^(2/3))^2))/2))&gt;0,((BT83+BU83)/2),BU83)</f>
        <v/>
      </c>
    </row>
    <row r="84">
      <c r="A84" s="13" t="n">
        <v>5</v>
      </c>
      <c r="B84" s="16">
        <f>DATOS!$B$22-DATOS!$B$23*A84</f>
        <v/>
      </c>
      <c r="C84" s="24">
        <f>CAUDALES!$B$13</f>
        <v/>
      </c>
      <c r="D84" s="17">
        <f>DATOS!$B$17</f>
        <v/>
      </c>
      <c r="E84" s="16">
        <f>(C84^2/(9.81*D84^2))^(1/3)</f>
        <v/>
      </c>
      <c r="F84" s="16">
        <f>(BV84+BW84)/2</f>
        <v/>
      </c>
      <c r="G84" s="16">
        <f>B84+F84</f>
        <v/>
      </c>
      <c r="H84" s="19">
        <f>C84/(D84*F84)</f>
        <v/>
      </c>
      <c r="I84" s="19">
        <f>H84/SQRT(9.81*F84)</f>
        <v/>
      </c>
      <c r="J84" s="16">
        <f>DATOS!$B$29-IF(AND(A84&gt;=DATOS!$B$30,A84&lt;DATOS!$B$31),DATOS!$B$21,DATOS!$B$20)</f>
        <v/>
      </c>
      <c r="K84" s="19">
        <f>J84-B84</f>
        <v/>
      </c>
      <c r="L84" s="19">
        <f>F84/K84</f>
        <v/>
      </c>
      <c r="M84" s="16">
        <f>J84-G84</f>
        <v/>
      </c>
      <c r="N84" s="5">
        <f>IF(AND(L84&lt;=DATOS!$B$36,M84&gt;=DATOS!$B$37,I84&lt;=1),"CUMPLE","NO CUMPLE")</f>
        <v/>
      </c>
      <c r="O84" s="5">
        <f>IF(AND(A84&gt;=DATOS!$B$30,A84&lt;DATOS!$B$31),"cruce de camiones",IF(AND(A84&gt;=DATOS!$B$32,A84&lt;DATOS!$B$33),"cruce de motos","tramo normal"))</f>
        <v/>
      </c>
      <c r="P84" s="5">
        <f>E84*1.001</f>
        <v/>
      </c>
      <c r="Q84" s="13" t="n">
        <v>3</v>
      </c>
      <c r="R84" s="5">
        <f>IF((((P84+Q84)/2)+(C84/(D84*((P84+Q84)/2)))^2/(2*9.81)+B84-(G83+H83^2/(2*9.81))-(A83-A84)*(((DATOS!$B$34*(C84/(D84*((P84+Q84)/2)))/((D84*((P84+Q84)/2))/(D84+2*((P84+Q84)/2)))^(2/3))^2+((DATOS!$B$34*H83/((D83*F83)/(D83+2*F83))^(2/3))^2))/2))&gt;0,P84,((P84+Q84)/2))</f>
        <v/>
      </c>
      <c r="S84" s="5">
        <f>IF((((P84+Q84)/2)+(C84/(D84*((P84+Q84)/2)))^2/(2*9.81)+B84-(G83+H83^2/(2*9.81))-(A83-A84)*(((DATOS!$B$34*(C84/(D84*((P84+Q84)/2)))/((D84*((P84+Q84)/2))/(D84+2*((P84+Q84)/2)))^(2/3))^2+((DATOS!$B$34*H83/((D83*F83)/(D83+2*F83))^(2/3))^2))/2))&gt;0,((P84+Q84)/2),Q84)</f>
        <v/>
      </c>
      <c r="T84" s="5">
        <f>IF((((R84+S84)/2)+(C84/(D84*((R84+S84)/2)))^2/(2*9.81)+B84-(G83+H83^2/(2*9.81))-(A83-A84)*(((DATOS!$B$34*(C84/(D84*((R84+S84)/2)))/((D84*((R84+S84)/2))/(D84+2*((R84+S84)/2)))^(2/3))^2+((DATOS!$B$34*H83/((D83*F83)/(D83+2*F83))^(2/3))^2))/2))&gt;0,R84,((R84+S84)/2))</f>
        <v/>
      </c>
      <c r="U84" s="5">
        <f>IF((((R84+S84)/2)+(C84/(D84*((R84+S84)/2)))^2/(2*9.81)+B84-(G83+H83^2/(2*9.81))-(A83-A84)*(((DATOS!$B$34*(C84/(D84*((R84+S84)/2)))/((D84*((R84+S84)/2))/(D84+2*((R84+S84)/2)))^(2/3))^2+((DATOS!$B$34*H83/((D83*F83)/(D83+2*F83))^(2/3))^2))/2))&gt;0,((R84+S84)/2),S84)</f>
        <v/>
      </c>
      <c r="V84" s="5">
        <f>IF((((T84+U84)/2)+(C84/(D84*((T84+U84)/2)))^2/(2*9.81)+B84-(G83+H83^2/(2*9.81))-(A83-A84)*(((DATOS!$B$34*(C84/(D84*((T84+U84)/2)))/((D84*((T84+U84)/2))/(D84+2*((T84+U84)/2)))^(2/3))^2+((DATOS!$B$34*H83/((D83*F83)/(D83+2*F83))^(2/3))^2))/2))&gt;0,T84,((T84+U84)/2))</f>
        <v/>
      </c>
      <c r="W84" s="5">
        <f>IF((((T84+U84)/2)+(C84/(D84*((T84+U84)/2)))^2/(2*9.81)+B84-(G83+H83^2/(2*9.81))-(A83-A84)*(((DATOS!$B$34*(C84/(D84*((T84+U84)/2)))/((D84*((T84+U84)/2))/(D84+2*((T84+U84)/2)))^(2/3))^2+((DATOS!$B$34*H83/((D83*F83)/(D83+2*F83))^(2/3))^2))/2))&gt;0,((T84+U84)/2),U84)</f>
        <v/>
      </c>
      <c r="X84" s="5">
        <f>IF((((V84+W84)/2)+(C84/(D84*((V84+W84)/2)))^2/(2*9.81)+B84-(G83+H83^2/(2*9.81))-(A83-A84)*(((DATOS!$B$34*(C84/(D84*((V84+W84)/2)))/((D84*((V84+W84)/2))/(D84+2*((V84+W84)/2)))^(2/3))^2+((DATOS!$B$34*H83/((D83*F83)/(D83+2*F83))^(2/3))^2))/2))&gt;0,V84,((V84+W84)/2))</f>
        <v/>
      </c>
      <c r="Y84" s="5">
        <f>IF((((V84+W84)/2)+(C84/(D84*((V84+W84)/2)))^2/(2*9.81)+B84-(G83+H83^2/(2*9.81))-(A83-A84)*(((DATOS!$B$34*(C84/(D84*((V84+W84)/2)))/((D84*((V84+W84)/2))/(D84+2*((V84+W84)/2)))^(2/3))^2+((DATOS!$B$34*H83/((D83*F83)/(D83+2*F83))^(2/3))^2))/2))&gt;0,((V84+W84)/2),W84)</f>
        <v/>
      </c>
      <c r="Z84" s="5">
        <f>IF((((X84+Y84)/2)+(C84/(D84*((X84+Y84)/2)))^2/(2*9.81)+B84-(G83+H83^2/(2*9.81))-(A83-A84)*(((DATOS!$B$34*(C84/(D84*((X84+Y84)/2)))/((D84*((X84+Y84)/2))/(D84+2*((X84+Y84)/2)))^(2/3))^2+((DATOS!$B$34*H83/((D83*F83)/(D83+2*F83))^(2/3))^2))/2))&gt;0,X84,((X84+Y84)/2))</f>
        <v/>
      </c>
      <c r="AA84" s="5">
        <f>IF((((X84+Y84)/2)+(C84/(D84*((X84+Y84)/2)))^2/(2*9.81)+B84-(G83+H83^2/(2*9.81))-(A83-A84)*(((DATOS!$B$34*(C84/(D84*((X84+Y84)/2)))/((D84*((X84+Y84)/2))/(D84+2*((X84+Y84)/2)))^(2/3))^2+((DATOS!$B$34*H83/((D83*F83)/(D83+2*F83))^(2/3))^2))/2))&gt;0,((X84+Y84)/2),Y84)</f>
        <v/>
      </c>
      <c r="AB84" s="5">
        <f>IF((((Z84+AA84)/2)+(C84/(D84*((Z84+AA84)/2)))^2/(2*9.81)+B84-(G83+H83^2/(2*9.81))-(A83-A84)*(((DATOS!$B$34*(C84/(D84*((Z84+AA84)/2)))/((D84*((Z84+AA84)/2))/(D84+2*((Z84+AA84)/2)))^(2/3))^2+((DATOS!$B$34*H83/((D83*F83)/(D83+2*F83))^(2/3))^2))/2))&gt;0,Z84,((Z84+AA84)/2))</f>
        <v/>
      </c>
      <c r="AC84" s="5">
        <f>IF((((Z84+AA84)/2)+(C84/(D84*((Z84+AA84)/2)))^2/(2*9.81)+B84-(G83+H83^2/(2*9.81))-(A83-A84)*(((DATOS!$B$34*(C84/(D84*((Z84+AA84)/2)))/((D84*((Z84+AA84)/2))/(D84+2*((Z84+AA84)/2)))^(2/3))^2+((DATOS!$B$34*H83/((D83*F83)/(D83+2*F83))^(2/3))^2))/2))&gt;0,((Z84+AA84)/2),AA84)</f>
        <v/>
      </c>
      <c r="AD84" s="5">
        <f>IF((((AB84+AC84)/2)+(C84/(D84*((AB84+AC84)/2)))^2/(2*9.81)+B84-(G83+H83^2/(2*9.81))-(A83-A84)*(((DATOS!$B$34*(C84/(D84*((AB84+AC84)/2)))/((D84*((AB84+AC84)/2))/(D84+2*((AB84+AC84)/2)))^(2/3))^2+((DATOS!$B$34*H83/((D83*F83)/(D83+2*F83))^(2/3))^2))/2))&gt;0,AB84,((AB84+AC84)/2))</f>
        <v/>
      </c>
      <c r="AE84" s="5">
        <f>IF((((AB84+AC84)/2)+(C84/(D84*((AB84+AC84)/2)))^2/(2*9.81)+B84-(G83+H83^2/(2*9.81))-(A83-A84)*(((DATOS!$B$34*(C84/(D84*((AB84+AC84)/2)))/((D84*((AB84+AC84)/2))/(D84+2*((AB84+AC84)/2)))^(2/3))^2+((DATOS!$B$34*H83/((D83*F83)/(D83+2*F83))^(2/3))^2))/2))&gt;0,((AB84+AC84)/2),AC84)</f>
        <v/>
      </c>
      <c r="AF84" s="5">
        <f>IF((((AD84+AE84)/2)+(C84/(D84*((AD84+AE84)/2)))^2/(2*9.81)+B84-(G83+H83^2/(2*9.81))-(A83-A84)*(((DATOS!$B$34*(C84/(D84*((AD84+AE84)/2)))/((D84*((AD84+AE84)/2))/(D84+2*((AD84+AE84)/2)))^(2/3))^2+((DATOS!$B$34*H83/((D83*F83)/(D83+2*F83))^(2/3))^2))/2))&gt;0,AD84,((AD84+AE84)/2))</f>
        <v/>
      </c>
      <c r="AG84" s="5">
        <f>IF((((AD84+AE84)/2)+(C84/(D84*((AD84+AE84)/2)))^2/(2*9.81)+B84-(G83+H83^2/(2*9.81))-(A83-A84)*(((DATOS!$B$34*(C84/(D84*((AD84+AE84)/2)))/((D84*((AD84+AE84)/2))/(D84+2*((AD84+AE84)/2)))^(2/3))^2+((DATOS!$B$34*H83/((D83*F83)/(D83+2*F83))^(2/3))^2))/2))&gt;0,((AD84+AE84)/2),AE84)</f>
        <v/>
      </c>
      <c r="AH84" s="5">
        <f>IF((((AF84+AG84)/2)+(C84/(D84*((AF84+AG84)/2)))^2/(2*9.81)+B84-(G83+H83^2/(2*9.81))-(A83-A84)*(((DATOS!$B$34*(C84/(D84*((AF84+AG84)/2)))/((D84*((AF84+AG84)/2))/(D84+2*((AF84+AG84)/2)))^(2/3))^2+((DATOS!$B$34*H83/((D83*F83)/(D83+2*F83))^(2/3))^2))/2))&gt;0,AF84,((AF84+AG84)/2))</f>
        <v/>
      </c>
      <c r="AI84" s="5">
        <f>IF((((AF84+AG84)/2)+(C84/(D84*((AF84+AG84)/2)))^2/(2*9.81)+B84-(G83+H83^2/(2*9.81))-(A83-A84)*(((DATOS!$B$34*(C84/(D84*((AF84+AG84)/2)))/((D84*((AF84+AG84)/2))/(D84+2*((AF84+AG84)/2)))^(2/3))^2+((DATOS!$B$34*H83/((D83*F83)/(D83+2*F83))^(2/3))^2))/2))&gt;0,((AF84+AG84)/2),AG84)</f>
        <v/>
      </c>
      <c r="AJ84" s="5">
        <f>IF((((AH84+AI84)/2)+(C84/(D84*((AH84+AI84)/2)))^2/(2*9.81)+B84-(G83+H83^2/(2*9.81))-(A83-A84)*(((DATOS!$B$34*(C84/(D84*((AH84+AI84)/2)))/((D84*((AH84+AI84)/2))/(D84+2*((AH84+AI84)/2)))^(2/3))^2+((DATOS!$B$34*H83/((D83*F83)/(D83+2*F83))^(2/3))^2))/2))&gt;0,AH84,((AH84+AI84)/2))</f>
        <v/>
      </c>
      <c r="AK84" s="5">
        <f>IF((((AH84+AI84)/2)+(C84/(D84*((AH84+AI84)/2)))^2/(2*9.81)+B84-(G83+H83^2/(2*9.81))-(A83-A84)*(((DATOS!$B$34*(C84/(D84*((AH84+AI84)/2)))/((D84*((AH84+AI84)/2))/(D84+2*((AH84+AI84)/2)))^(2/3))^2+((DATOS!$B$34*H83/((D83*F83)/(D83+2*F83))^(2/3))^2))/2))&gt;0,((AH84+AI84)/2),AI84)</f>
        <v/>
      </c>
      <c r="AL84" s="5">
        <f>IF((((AJ84+AK84)/2)+(C84/(D84*((AJ84+AK84)/2)))^2/(2*9.81)+B84-(G83+H83^2/(2*9.81))-(A83-A84)*(((DATOS!$B$34*(C84/(D84*((AJ84+AK84)/2)))/((D84*((AJ84+AK84)/2))/(D84+2*((AJ84+AK84)/2)))^(2/3))^2+((DATOS!$B$34*H83/((D83*F83)/(D83+2*F83))^(2/3))^2))/2))&gt;0,AJ84,((AJ84+AK84)/2))</f>
        <v/>
      </c>
      <c r="AM84" s="5">
        <f>IF((((AJ84+AK84)/2)+(C84/(D84*((AJ84+AK84)/2)))^2/(2*9.81)+B84-(G83+H83^2/(2*9.81))-(A83-A84)*(((DATOS!$B$34*(C84/(D84*((AJ84+AK84)/2)))/((D84*((AJ84+AK84)/2))/(D84+2*((AJ84+AK84)/2)))^(2/3))^2+((DATOS!$B$34*H83/((D83*F83)/(D83+2*F83))^(2/3))^2))/2))&gt;0,((AJ84+AK84)/2),AK84)</f>
        <v/>
      </c>
      <c r="AN84" s="5">
        <f>IF((((AL84+AM84)/2)+(C84/(D84*((AL84+AM84)/2)))^2/(2*9.81)+B84-(G83+H83^2/(2*9.81))-(A83-A84)*(((DATOS!$B$34*(C84/(D84*((AL84+AM84)/2)))/((D84*((AL84+AM84)/2))/(D84+2*((AL84+AM84)/2)))^(2/3))^2+((DATOS!$B$34*H83/((D83*F83)/(D83+2*F83))^(2/3))^2))/2))&gt;0,AL84,((AL84+AM84)/2))</f>
        <v/>
      </c>
      <c r="AO84" s="5">
        <f>IF((((AL84+AM84)/2)+(C84/(D84*((AL84+AM84)/2)))^2/(2*9.81)+B84-(G83+H83^2/(2*9.81))-(A83-A84)*(((DATOS!$B$34*(C84/(D84*((AL84+AM84)/2)))/((D84*((AL84+AM84)/2))/(D84+2*((AL84+AM84)/2)))^(2/3))^2+((DATOS!$B$34*H83/((D83*F83)/(D83+2*F83))^(2/3))^2))/2))&gt;0,((AL84+AM84)/2),AM84)</f>
        <v/>
      </c>
      <c r="AP84" s="5">
        <f>IF((((AN84+AO84)/2)+(C84/(D84*((AN84+AO84)/2)))^2/(2*9.81)+B84-(G83+H83^2/(2*9.81))-(A83-A84)*(((DATOS!$B$34*(C84/(D84*((AN84+AO84)/2)))/((D84*((AN84+AO84)/2))/(D84+2*((AN84+AO84)/2)))^(2/3))^2+((DATOS!$B$34*H83/((D83*F83)/(D83+2*F83))^(2/3))^2))/2))&gt;0,AN84,((AN84+AO84)/2))</f>
        <v/>
      </c>
      <c r="AQ84" s="5">
        <f>IF((((AN84+AO84)/2)+(C84/(D84*((AN84+AO84)/2)))^2/(2*9.81)+B84-(G83+H83^2/(2*9.81))-(A83-A84)*(((DATOS!$B$34*(C84/(D84*((AN84+AO84)/2)))/((D84*((AN84+AO84)/2))/(D84+2*((AN84+AO84)/2)))^(2/3))^2+((DATOS!$B$34*H83/((D83*F83)/(D83+2*F83))^(2/3))^2))/2))&gt;0,((AN84+AO84)/2),AO84)</f>
        <v/>
      </c>
      <c r="AR84" s="5">
        <f>IF((((AP84+AQ84)/2)+(C84/(D84*((AP84+AQ84)/2)))^2/(2*9.81)+B84-(G83+H83^2/(2*9.81))-(A83-A84)*(((DATOS!$B$34*(C84/(D84*((AP84+AQ84)/2)))/((D84*((AP84+AQ84)/2))/(D84+2*((AP84+AQ84)/2)))^(2/3))^2+((DATOS!$B$34*H83/((D83*F83)/(D83+2*F83))^(2/3))^2))/2))&gt;0,AP84,((AP84+AQ84)/2))</f>
        <v/>
      </c>
      <c r="AS84" s="5">
        <f>IF((((AP84+AQ84)/2)+(C84/(D84*((AP84+AQ84)/2)))^2/(2*9.81)+B84-(G83+H83^2/(2*9.81))-(A83-A84)*(((DATOS!$B$34*(C84/(D84*((AP84+AQ84)/2)))/((D84*((AP84+AQ84)/2))/(D84+2*((AP84+AQ84)/2)))^(2/3))^2+((DATOS!$B$34*H83/((D83*F83)/(D83+2*F83))^(2/3))^2))/2))&gt;0,((AP84+AQ84)/2),AQ84)</f>
        <v/>
      </c>
      <c r="AT84" s="5">
        <f>IF((((AR84+AS84)/2)+(C84/(D84*((AR84+AS84)/2)))^2/(2*9.81)+B84-(G83+H83^2/(2*9.81))-(A83-A84)*(((DATOS!$B$34*(C84/(D84*((AR84+AS84)/2)))/((D84*((AR84+AS84)/2))/(D84+2*((AR84+AS84)/2)))^(2/3))^2+((DATOS!$B$34*H83/((D83*F83)/(D83+2*F83))^(2/3))^2))/2))&gt;0,AR84,((AR84+AS84)/2))</f>
        <v/>
      </c>
      <c r="AU84" s="5">
        <f>IF((((AR84+AS84)/2)+(C84/(D84*((AR84+AS84)/2)))^2/(2*9.81)+B84-(G83+H83^2/(2*9.81))-(A83-A84)*(((DATOS!$B$34*(C84/(D84*((AR84+AS84)/2)))/((D84*((AR84+AS84)/2))/(D84+2*((AR84+AS84)/2)))^(2/3))^2+((DATOS!$B$34*H83/((D83*F83)/(D83+2*F83))^(2/3))^2))/2))&gt;0,((AR84+AS84)/2),AS84)</f>
        <v/>
      </c>
      <c r="AV84" s="5">
        <f>IF((((AT84+AU84)/2)+(C84/(D84*((AT84+AU84)/2)))^2/(2*9.81)+B84-(G83+H83^2/(2*9.81))-(A83-A84)*(((DATOS!$B$34*(C84/(D84*((AT84+AU84)/2)))/((D84*((AT84+AU84)/2))/(D84+2*((AT84+AU84)/2)))^(2/3))^2+((DATOS!$B$34*H83/((D83*F83)/(D83+2*F83))^(2/3))^2))/2))&gt;0,AT84,((AT84+AU84)/2))</f>
        <v/>
      </c>
      <c r="AW84" s="5">
        <f>IF((((AT84+AU84)/2)+(C84/(D84*((AT84+AU84)/2)))^2/(2*9.81)+B84-(G83+H83^2/(2*9.81))-(A83-A84)*(((DATOS!$B$34*(C84/(D84*((AT84+AU84)/2)))/((D84*((AT84+AU84)/2))/(D84+2*((AT84+AU84)/2)))^(2/3))^2+((DATOS!$B$34*H83/((D83*F83)/(D83+2*F83))^(2/3))^2))/2))&gt;0,((AT84+AU84)/2),AU84)</f>
        <v/>
      </c>
      <c r="AX84" s="5">
        <f>IF((((AV84+AW84)/2)+(C84/(D84*((AV84+AW84)/2)))^2/(2*9.81)+B84-(G83+H83^2/(2*9.81))-(A83-A84)*(((DATOS!$B$34*(C84/(D84*((AV84+AW84)/2)))/((D84*((AV84+AW84)/2))/(D84+2*((AV84+AW84)/2)))^(2/3))^2+((DATOS!$B$34*H83/((D83*F83)/(D83+2*F83))^(2/3))^2))/2))&gt;0,AV84,((AV84+AW84)/2))</f>
        <v/>
      </c>
      <c r="AY84" s="5">
        <f>IF((((AV84+AW84)/2)+(C84/(D84*((AV84+AW84)/2)))^2/(2*9.81)+B84-(G83+H83^2/(2*9.81))-(A83-A84)*(((DATOS!$B$34*(C84/(D84*((AV84+AW84)/2)))/((D84*((AV84+AW84)/2))/(D84+2*((AV84+AW84)/2)))^(2/3))^2+((DATOS!$B$34*H83/((D83*F83)/(D83+2*F83))^(2/3))^2))/2))&gt;0,((AV84+AW84)/2),AW84)</f>
        <v/>
      </c>
      <c r="AZ84" s="5">
        <f>IF((((AX84+AY84)/2)+(C84/(D84*((AX84+AY84)/2)))^2/(2*9.81)+B84-(G83+H83^2/(2*9.81))-(A83-A84)*(((DATOS!$B$34*(C84/(D84*((AX84+AY84)/2)))/((D84*((AX84+AY84)/2))/(D84+2*((AX84+AY84)/2)))^(2/3))^2+((DATOS!$B$34*H83/((D83*F83)/(D83+2*F83))^(2/3))^2))/2))&gt;0,AX84,((AX84+AY84)/2))</f>
        <v/>
      </c>
      <c r="BA84" s="5">
        <f>IF((((AX84+AY84)/2)+(C84/(D84*((AX84+AY84)/2)))^2/(2*9.81)+B84-(G83+H83^2/(2*9.81))-(A83-A84)*(((DATOS!$B$34*(C84/(D84*((AX84+AY84)/2)))/((D84*((AX84+AY84)/2))/(D84+2*((AX84+AY84)/2)))^(2/3))^2+((DATOS!$B$34*H83/((D83*F83)/(D83+2*F83))^(2/3))^2))/2))&gt;0,((AX84+AY84)/2),AY84)</f>
        <v/>
      </c>
      <c r="BB84" s="5">
        <f>IF((((AZ84+BA84)/2)+(C84/(D84*((AZ84+BA84)/2)))^2/(2*9.81)+B84-(G83+H83^2/(2*9.81))-(A83-A84)*(((DATOS!$B$34*(C84/(D84*((AZ84+BA84)/2)))/((D84*((AZ84+BA84)/2))/(D84+2*((AZ84+BA84)/2)))^(2/3))^2+((DATOS!$B$34*H83/((D83*F83)/(D83+2*F83))^(2/3))^2))/2))&gt;0,AZ84,((AZ84+BA84)/2))</f>
        <v/>
      </c>
      <c r="BC84" s="5">
        <f>IF((((AZ84+BA84)/2)+(C84/(D84*((AZ84+BA84)/2)))^2/(2*9.81)+B84-(G83+H83^2/(2*9.81))-(A83-A84)*(((DATOS!$B$34*(C84/(D84*((AZ84+BA84)/2)))/((D84*((AZ84+BA84)/2))/(D84+2*((AZ84+BA84)/2)))^(2/3))^2+((DATOS!$B$34*H83/((D83*F83)/(D83+2*F83))^(2/3))^2))/2))&gt;0,((AZ84+BA84)/2),BA84)</f>
        <v/>
      </c>
      <c r="BD84" s="5">
        <f>IF((((BB84+BC84)/2)+(C84/(D84*((BB84+BC84)/2)))^2/(2*9.81)+B84-(G83+H83^2/(2*9.81))-(A83-A84)*(((DATOS!$B$34*(C84/(D84*((BB84+BC84)/2)))/((D84*((BB84+BC84)/2))/(D84+2*((BB84+BC84)/2)))^(2/3))^2+((DATOS!$B$34*H83/((D83*F83)/(D83+2*F83))^(2/3))^2))/2))&gt;0,BB84,((BB84+BC84)/2))</f>
        <v/>
      </c>
      <c r="BE84" s="5">
        <f>IF((((BB84+BC84)/2)+(C84/(D84*((BB84+BC84)/2)))^2/(2*9.81)+B84-(G83+H83^2/(2*9.81))-(A83-A84)*(((DATOS!$B$34*(C84/(D84*((BB84+BC84)/2)))/((D84*((BB84+BC84)/2))/(D84+2*((BB84+BC84)/2)))^(2/3))^2+((DATOS!$B$34*H83/((D83*F83)/(D83+2*F83))^(2/3))^2))/2))&gt;0,((BB84+BC84)/2),BC84)</f>
        <v/>
      </c>
      <c r="BF84" s="5">
        <f>IF((((BD84+BE84)/2)+(C84/(D84*((BD84+BE84)/2)))^2/(2*9.81)+B84-(G83+H83^2/(2*9.81))-(A83-A84)*(((DATOS!$B$34*(C84/(D84*((BD84+BE84)/2)))/((D84*((BD84+BE84)/2))/(D84+2*((BD84+BE84)/2)))^(2/3))^2+((DATOS!$B$34*H83/((D83*F83)/(D83+2*F83))^(2/3))^2))/2))&gt;0,BD84,((BD84+BE84)/2))</f>
        <v/>
      </c>
      <c r="BG84" s="5">
        <f>IF((((BD84+BE84)/2)+(C84/(D84*((BD84+BE84)/2)))^2/(2*9.81)+B84-(G83+H83^2/(2*9.81))-(A83-A84)*(((DATOS!$B$34*(C84/(D84*((BD84+BE84)/2)))/((D84*((BD84+BE84)/2))/(D84+2*((BD84+BE84)/2)))^(2/3))^2+((DATOS!$B$34*H83/((D83*F83)/(D83+2*F83))^(2/3))^2))/2))&gt;0,((BD84+BE84)/2),BE84)</f>
        <v/>
      </c>
      <c r="BH84" s="5">
        <f>IF((((BF84+BG84)/2)+(C84/(D84*((BF84+BG84)/2)))^2/(2*9.81)+B84-(G83+H83^2/(2*9.81))-(A83-A84)*(((DATOS!$B$34*(C84/(D84*((BF84+BG84)/2)))/((D84*((BF84+BG84)/2))/(D84+2*((BF84+BG84)/2)))^(2/3))^2+((DATOS!$B$34*H83/((D83*F83)/(D83+2*F83))^(2/3))^2))/2))&gt;0,BF84,((BF84+BG84)/2))</f>
        <v/>
      </c>
      <c r="BI84" s="5">
        <f>IF((((BF84+BG84)/2)+(C84/(D84*((BF84+BG84)/2)))^2/(2*9.81)+B84-(G83+H83^2/(2*9.81))-(A83-A84)*(((DATOS!$B$34*(C84/(D84*((BF84+BG84)/2)))/((D84*((BF84+BG84)/2))/(D84+2*((BF84+BG84)/2)))^(2/3))^2+((DATOS!$B$34*H83/((D83*F83)/(D83+2*F83))^(2/3))^2))/2))&gt;0,((BF84+BG84)/2),BG84)</f>
        <v/>
      </c>
      <c r="BJ84" s="5">
        <f>IF((((BH84+BI84)/2)+(C84/(D84*((BH84+BI84)/2)))^2/(2*9.81)+B84-(G83+H83^2/(2*9.81))-(A83-A84)*(((DATOS!$B$34*(C84/(D84*((BH84+BI84)/2)))/((D84*((BH84+BI84)/2))/(D84+2*((BH84+BI84)/2)))^(2/3))^2+((DATOS!$B$34*H83/((D83*F83)/(D83+2*F83))^(2/3))^2))/2))&gt;0,BH84,((BH84+BI84)/2))</f>
        <v/>
      </c>
      <c r="BK84" s="5">
        <f>IF((((BH84+BI84)/2)+(C84/(D84*((BH84+BI84)/2)))^2/(2*9.81)+B84-(G83+H83^2/(2*9.81))-(A83-A84)*(((DATOS!$B$34*(C84/(D84*((BH84+BI84)/2)))/((D84*((BH84+BI84)/2))/(D84+2*((BH84+BI84)/2)))^(2/3))^2+((DATOS!$B$34*H83/((D83*F83)/(D83+2*F83))^(2/3))^2))/2))&gt;0,((BH84+BI84)/2),BI84)</f>
        <v/>
      </c>
      <c r="BL84" s="5">
        <f>IF((((BJ84+BK84)/2)+(C84/(D84*((BJ84+BK84)/2)))^2/(2*9.81)+B84-(G83+H83^2/(2*9.81))-(A83-A84)*(((DATOS!$B$34*(C84/(D84*((BJ84+BK84)/2)))/((D84*((BJ84+BK84)/2))/(D84+2*((BJ84+BK84)/2)))^(2/3))^2+((DATOS!$B$34*H83/((D83*F83)/(D83+2*F83))^(2/3))^2))/2))&gt;0,BJ84,((BJ84+BK84)/2))</f>
        <v/>
      </c>
      <c r="BM84" s="5">
        <f>IF((((BJ84+BK84)/2)+(C84/(D84*((BJ84+BK84)/2)))^2/(2*9.81)+B84-(G83+H83^2/(2*9.81))-(A83-A84)*(((DATOS!$B$34*(C84/(D84*((BJ84+BK84)/2)))/((D84*((BJ84+BK84)/2))/(D84+2*((BJ84+BK84)/2)))^(2/3))^2+((DATOS!$B$34*H83/((D83*F83)/(D83+2*F83))^(2/3))^2))/2))&gt;0,((BJ84+BK84)/2),BK84)</f>
        <v/>
      </c>
      <c r="BN84" s="5">
        <f>IF((((BL84+BM84)/2)+(C84/(D84*((BL84+BM84)/2)))^2/(2*9.81)+B84-(G83+H83^2/(2*9.81))-(A83-A84)*(((DATOS!$B$34*(C84/(D84*((BL84+BM84)/2)))/((D84*((BL84+BM84)/2))/(D84+2*((BL84+BM84)/2)))^(2/3))^2+((DATOS!$B$34*H83/((D83*F83)/(D83+2*F83))^(2/3))^2))/2))&gt;0,BL84,((BL84+BM84)/2))</f>
        <v/>
      </c>
      <c r="BO84" s="5">
        <f>IF((((BL84+BM84)/2)+(C84/(D84*((BL84+BM84)/2)))^2/(2*9.81)+B84-(G83+H83^2/(2*9.81))-(A83-A84)*(((DATOS!$B$34*(C84/(D84*((BL84+BM84)/2)))/((D84*((BL84+BM84)/2))/(D84+2*((BL84+BM84)/2)))^(2/3))^2+((DATOS!$B$34*H83/((D83*F83)/(D83+2*F83))^(2/3))^2))/2))&gt;0,((BL84+BM84)/2),BM84)</f>
        <v/>
      </c>
      <c r="BP84" s="5">
        <f>IF((((BN84+BO84)/2)+(C84/(D84*((BN84+BO84)/2)))^2/(2*9.81)+B84-(G83+H83^2/(2*9.81))-(A83-A84)*(((DATOS!$B$34*(C84/(D84*((BN84+BO84)/2)))/((D84*((BN84+BO84)/2))/(D84+2*((BN84+BO84)/2)))^(2/3))^2+((DATOS!$B$34*H83/((D83*F83)/(D83+2*F83))^(2/3))^2))/2))&gt;0,BN84,((BN84+BO84)/2))</f>
        <v/>
      </c>
      <c r="BQ84" s="5">
        <f>IF((((BN84+BO84)/2)+(C84/(D84*((BN84+BO84)/2)))^2/(2*9.81)+B84-(G83+H83^2/(2*9.81))-(A83-A84)*(((DATOS!$B$34*(C84/(D84*((BN84+BO84)/2)))/((D84*((BN84+BO84)/2))/(D84+2*((BN84+BO84)/2)))^(2/3))^2+((DATOS!$B$34*H83/((D83*F83)/(D83+2*F83))^(2/3))^2))/2))&gt;0,((BN84+BO84)/2),BO84)</f>
        <v/>
      </c>
      <c r="BR84" s="5">
        <f>IF((((BP84+BQ84)/2)+(C84/(D84*((BP84+BQ84)/2)))^2/(2*9.81)+B84-(G83+H83^2/(2*9.81))-(A83-A84)*(((DATOS!$B$34*(C84/(D84*((BP84+BQ84)/2)))/((D84*((BP84+BQ84)/2))/(D84+2*((BP84+BQ84)/2)))^(2/3))^2+((DATOS!$B$34*H83/((D83*F83)/(D83+2*F83))^(2/3))^2))/2))&gt;0,BP84,((BP84+BQ84)/2))</f>
        <v/>
      </c>
      <c r="BS84" s="5">
        <f>IF((((BP84+BQ84)/2)+(C84/(D84*((BP84+BQ84)/2)))^2/(2*9.81)+B84-(G83+H83^2/(2*9.81))-(A83-A84)*(((DATOS!$B$34*(C84/(D84*((BP84+BQ84)/2)))/((D84*((BP84+BQ84)/2))/(D84+2*((BP84+BQ84)/2)))^(2/3))^2+((DATOS!$B$34*H83/((D83*F83)/(D83+2*F83))^(2/3))^2))/2))&gt;0,((BP84+BQ84)/2),BQ84)</f>
        <v/>
      </c>
      <c r="BT84" s="5">
        <f>IF((((BR84+BS84)/2)+(C84/(D84*((BR84+BS84)/2)))^2/(2*9.81)+B84-(G83+H83^2/(2*9.81))-(A83-A84)*(((DATOS!$B$34*(C84/(D84*((BR84+BS84)/2)))/((D84*((BR84+BS84)/2))/(D84+2*((BR84+BS84)/2)))^(2/3))^2+((DATOS!$B$34*H83/((D83*F83)/(D83+2*F83))^(2/3))^2))/2))&gt;0,BR84,((BR84+BS84)/2))</f>
        <v/>
      </c>
      <c r="BU84" s="5">
        <f>IF((((BR84+BS84)/2)+(C84/(D84*((BR84+BS84)/2)))^2/(2*9.81)+B84-(G83+H83^2/(2*9.81))-(A83-A84)*(((DATOS!$B$34*(C84/(D84*((BR84+BS84)/2)))/((D84*((BR84+BS84)/2))/(D84+2*((BR84+BS84)/2)))^(2/3))^2+((DATOS!$B$34*H83/((D83*F83)/(D83+2*F83))^(2/3))^2))/2))&gt;0,((BR84+BS84)/2),BS84)</f>
        <v/>
      </c>
      <c r="BV84" s="5">
        <f>IF((((BT84+BU84)/2)+(C84/(D84*((BT84+BU84)/2)))^2/(2*9.81)+B84-(G83+H83^2/(2*9.81))-(A83-A84)*(((DATOS!$B$34*(C84/(D84*((BT84+BU84)/2)))/((D84*((BT84+BU84)/2))/(D84+2*((BT84+BU84)/2)))^(2/3))^2+((DATOS!$B$34*H83/((D83*F83)/(D83+2*F83))^(2/3))^2))/2))&gt;0,BT84,((BT84+BU84)/2))</f>
        <v/>
      </c>
      <c r="BW84" s="5">
        <f>IF((((BT84+BU84)/2)+(C84/(D84*((BT84+BU84)/2)))^2/(2*9.81)+B84-(G83+H83^2/(2*9.81))-(A83-A84)*(((DATOS!$B$34*(C84/(D84*((BT84+BU84)/2)))/((D84*((BT84+BU84)/2))/(D84+2*((BT84+BU84)/2)))^(2/3))^2+((DATOS!$B$34*H83/((D83*F83)/(D83+2*F83))^(2/3))^2))/2))&gt;0,((BT84+BU84)/2),BU84)</f>
        <v/>
      </c>
    </row>
    <row r="85">
      <c r="A85" s="13" t="n">
        <v>4</v>
      </c>
      <c r="B85" s="16">
        <f>DATOS!$B$22-DATOS!$B$23*A85</f>
        <v/>
      </c>
      <c r="C85" s="24">
        <f>CAUDALES!$B$13</f>
        <v/>
      </c>
      <c r="D85" s="17">
        <f>DATOS!$B$17</f>
        <v/>
      </c>
      <c r="E85" s="16">
        <f>(C85^2/(9.81*D85^2))^(1/3)</f>
        <v/>
      </c>
      <c r="F85" s="16">
        <f>(BV85+BW85)/2</f>
        <v/>
      </c>
      <c r="G85" s="16">
        <f>B85+F85</f>
        <v/>
      </c>
      <c r="H85" s="19">
        <f>C85/(D85*F85)</f>
        <v/>
      </c>
      <c r="I85" s="19">
        <f>H85/SQRT(9.81*F85)</f>
        <v/>
      </c>
      <c r="J85" s="16">
        <f>DATOS!$B$29-IF(AND(A85&gt;=DATOS!$B$30,A85&lt;DATOS!$B$31),DATOS!$B$21,DATOS!$B$20)</f>
        <v/>
      </c>
      <c r="K85" s="19">
        <f>J85-B85</f>
        <v/>
      </c>
      <c r="L85" s="19">
        <f>F85/K85</f>
        <v/>
      </c>
      <c r="M85" s="16">
        <f>J85-G85</f>
        <v/>
      </c>
      <c r="N85" s="5">
        <f>IF(AND(L85&lt;=DATOS!$B$36,M85&gt;=DATOS!$B$37,I85&lt;=1),"CUMPLE","NO CUMPLE")</f>
        <v/>
      </c>
      <c r="O85" s="5">
        <f>IF(AND(A85&gt;=DATOS!$B$30,A85&lt;DATOS!$B$31),"cruce de camiones",IF(AND(A85&gt;=DATOS!$B$32,A85&lt;DATOS!$B$33),"cruce de motos","tramo normal"))</f>
        <v/>
      </c>
      <c r="P85" s="5">
        <f>E85*1.001</f>
        <v/>
      </c>
      <c r="Q85" s="13" t="n">
        <v>3</v>
      </c>
      <c r="R85" s="5">
        <f>IF((((P85+Q85)/2)+(C85/(D85*((P85+Q85)/2)))^2/(2*9.81)+B85-(G84+H84^2/(2*9.81))-(A84-A85)*(((DATOS!$B$34*(C85/(D85*((P85+Q85)/2)))/((D85*((P85+Q85)/2))/(D85+2*((P85+Q85)/2)))^(2/3))^2+((DATOS!$B$34*H84/((D84*F84)/(D84+2*F84))^(2/3))^2))/2))&gt;0,P85,((P85+Q85)/2))</f>
        <v/>
      </c>
      <c r="S85" s="5">
        <f>IF((((P85+Q85)/2)+(C85/(D85*((P85+Q85)/2)))^2/(2*9.81)+B85-(G84+H84^2/(2*9.81))-(A84-A85)*(((DATOS!$B$34*(C85/(D85*((P85+Q85)/2)))/((D85*((P85+Q85)/2))/(D85+2*((P85+Q85)/2)))^(2/3))^2+((DATOS!$B$34*H84/((D84*F84)/(D84+2*F84))^(2/3))^2))/2))&gt;0,((P85+Q85)/2),Q85)</f>
        <v/>
      </c>
      <c r="T85" s="5">
        <f>IF((((R85+S85)/2)+(C85/(D85*((R85+S85)/2)))^2/(2*9.81)+B85-(G84+H84^2/(2*9.81))-(A84-A85)*(((DATOS!$B$34*(C85/(D85*((R85+S85)/2)))/((D85*((R85+S85)/2))/(D85+2*((R85+S85)/2)))^(2/3))^2+((DATOS!$B$34*H84/((D84*F84)/(D84+2*F84))^(2/3))^2))/2))&gt;0,R85,((R85+S85)/2))</f>
        <v/>
      </c>
      <c r="U85" s="5">
        <f>IF((((R85+S85)/2)+(C85/(D85*((R85+S85)/2)))^2/(2*9.81)+B85-(G84+H84^2/(2*9.81))-(A84-A85)*(((DATOS!$B$34*(C85/(D85*((R85+S85)/2)))/((D85*((R85+S85)/2))/(D85+2*((R85+S85)/2)))^(2/3))^2+((DATOS!$B$34*H84/((D84*F84)/(D84+2*F84))^(2/3))^2))/2))&gt;0,((R85+S85)/2),S85)</f>
        <v/>
      </c>
      <c r="V85" s="5">
        <f>IF((((T85+U85)/2)+(C85/(D85*((T85+U85)/2)))^2/(2*9.81)+B85-(G84+H84^2/(2*9.81))-(A84-A85)*(((DATOS!$B$34*(C85/(D85*((T85+U85)/2)))/((D85*((T85+U85)/2))/(D85+2*((T85+U85)/2)))^(2/3))^2+((DATOS!$B$34*H84/((D84*F84)/(D84+2*F84))^(2/3))^2))/2))&gt;0,T85,((T85+U85)/2))</f>
        <v/>
      </c>
      <c r="W85" s="5">
        <f>IF((((T85+U85)/2)+(C85/(D85*((T85+U85)/2)))^2/(2*9.81)+B85-(G84+H84^2/(2*9.81))-(A84-A85)*(((DATOS!$B$34*(C85/(D85*((T85+U85)/2)))/((D85*((T85+U85)/2))/(D85+2*((T85+U85)/2)))^(2/3))^2+((DATOS!$B$34*H84/((D84*F84)/(D84+2*F84))^(2/3))^2))/2))&gt;0,((T85+U85)/2),U85)</f>
        <v/>
      </c>
      <c r="X85" s="5">
        <f>IF((((V85+W85)/2)+(C85/(D85*((V85+W85)/2)))^2/(2*9.81)+B85-(G84+H84^2/(2*9.81))-(A84-A85)*(((DATOS!$B$34*(C85/(D85*((V85+W85)/2)))/((D85*((V85+W85)/2))/(D85+2*((V85+W85)/2)))^(2/3))^2+((DATOS!$B$34*H84/((D84*F84)/(D84+2*F84))^(2/3))^2))/2))&gt;0,V85,((V85+W85)/2))</f>
        <v/>
      </c>
      <c r="Y85" s="5">
        <f>IF((((V85+W85)/2)+(C85/(D85*((V85+W85)/2)))^2/(2*9.81)+B85-(G84+H84^2/(2*9.81))-(A84-A85)*(((DATOS!$B$34*(C85/(D85*((V85+W85)/2)))/((D85*((V85+W85)/2))/(D85+2*((V85+W85)/2)))^(2/3))^2+((DATOS!$B$34*H84/((D84*F84)/(D84+2*F84))^(2/3))^2))/2))&gt;0,((V85+W85)/2),W85)</f>
        <v/>
      </c>
      <c r="Z85" s="5">
        <f>IF((((X85+Y85)/2)+(C85/(D85*((X85+Y85)/2)))^2/(2*9.81)+B85-(G84+H84^2/(2*9.81))-(A84-A85)*(((DATOS!$B$34*(C85/(D85*((X85+Y85)/2)))/((D85*((X85+Y85)/2))/(D85+2*((X85+Y85)/2)))^(2/3))^2+((DATOS!$B$34*H84/((D84*F84)/(D84+2*F84))^(2/3))^2))/2))&gt;0,X85,((X85+Y85)/2))</f>
        <v/>
      </c>
      <c r="AA85" s="5">
        <f>IF((((X85+Y85)/2)+(C85/(D85*((X85+Y85)/2)))^2/(2*9.81)+B85-(G84+H84^2/(2*9.81))-(A84-A85)*(((DATOS!$B$34*(C85/(D85*((X85+Y85)/2)))/((D85*((X85+Y85)/2))/(D85+2*((X85+Y85)/2)))^(2/3))^2+((DATOS!$B$34*H84/((D84*F84)/(D84+2*F84))^(2/3))^2))/2))&gt;0,((X85+Y85)/2),Y85)</f>
        <v/>
      </c>
      <c r="AB85" s="5">
        <f>IF((((Z85+AA85)/2)+(C85/(D85*((Z85+AA85)/2)))^2/(2*9.81)+B85-(G84+H84^2/(2*9.81))-(A84-A85)*(((DATOS!$B$34*(C85/(D85*((Z85+AA85)/2)))/((D85*((Z85+AA85)/2))/(D85+2*((Z85+AA85)/2)))^(2/3))^2+((DATOS!$B$34*H84/((D84*F84)/(D84+2*F84))^(2/3))^2))/2))&gt;0,Z85,((Z85+AA85)/2))</f>
        <v/>
      </c>
      <c r="AC85" s="5">
        <f>IF((((Z85+AA85)/2)+(C85/(D85*((Z85+AA85)/2)))^2/(2*9.81)+B85-(G84+H84^2/(2*9.81))-(A84-A85)*(((DATOS!$B$34*(C85/(D85*((Z85+AA85)/2)))/((D85*((Z85+AA85)/2))/(D85+2*((Z85+AA85)/2)))^(2/3))^2+((DATOS!$B$34*H84/((D84*F84)/(D84+2*F84))^(2/3))^2))/2))&gt;0,((Z85+AA85)/2),AA85)</f>
        <v/>
      </c>
      <c r="AD85" s="5">
        <f>IF((((AB85+AC85)/2)+(C85/(D85*((AB85+AC85)/2)))^2/(2*9.81)+B85-(G84+H84^2/(2*9.81))-(A84-A85)*(((DATOS!$B$34*(C85/(D85*((AB85+AC85)/2)))/((D85*((AB85+AC85)/2))/(D85+2*((AB85+AC85)/2)))^(2/3))^2+((DATOS!$B$34*H84/((D84*F84)/(D84+2*F84))^(2/3))^2))/2))&gt;0,AB85,((AB85+AC85)/2))</f>
        <v/>
      </c>
      <c r="AE85" s="5">
        <f>IF((((AB85+AC85)/2)+(C85/(D85*((AB85+AC85)/2)))^2/(2*9.81)+B85-(G84+H84^2/(2*9.81))-(A84-A85)*(((DATOS!$B$34*(C85/(D85*((AB85+AC85)/2)))/((D85*((AB85+AC85)/2))/(D85+2*((AB85+AC85)/2)))^(2/3))^2+((DATOS!$B$34*H84/((D84*F84)/(D84+2*F84))^(2/3))^2))/2))&gt;0,((AB85+AC85)/2),AC85)</f>
        <v/>
      </c>
      <c r="AF85" s="5">
        <f>IF((((AD85+AE85)/2)+(C85/(D85*((AD85+AE85)/2)))^2/(2*9.81)+B85-(G84+H84^2/(2*9.81))-(A84-A85)*(((DATOS!$B$34*(C85/(D85*((AD85+AE85)/2)))/((D85*((AD85+AE85)/2))/(D85+2*((AD85+AE85)/2)))^(2/3))^2+((DATOS!$B$34*H84/((D84*F84)/(D84+2*F84))^(2/3))^2))/2))&gt;0,AD85,((AD85+AE85)/2))</f>
        <v/>
      </c>
      <c r="AG85" s="5">
        <f>IF((((AD85+AE85)/2)+(C85/(D85*((AD85+AE85)/2)))^2/(2*9.81)+B85-(G84+H84^2/(2*9.81))-(A84-A85)*(((DATOS!$B$34*(C85/(D85*((AD85+AE85)/2)))/((D85*((AD85+AE85)/2))/(D85+2*((AD85+AE85)/2)))^(2/3))^2+((DATOS!$B$34*H84/((D84*F84)/(D84+2*F84))^(2/3))^2))/2))&gt;0,((AD85+AE85)/2),AE85)</f>
        <v/>
      </c>
      <c r="AH85" s="5">
        <f>IF((((AF85+AG85)/2)+(C85/(D85*((AF85+AG85)/2)))^2/(2*9.81)+B85-(G84+H84^2/(2*9.81))-(A84-A85)*(((DATOS!$B$34*(C85/(D85*((AF85+AG85)/2)))/((D85*((AF85+AG85)/2))/(D85+2*((AF85+AG85)/2)))^(2/3))^2+((DATOS!$B$34*H84/((D84*F84)/(D84+2*F84))^(2/3))^2))/2))&gt;0,AF85,((AF85+AG85)/2))</f>
        <v/>
      </c>
      <c r="AI85" s="5">
        <f>IF((((AF85+AG85)/2)+(C85/(D85*((AF85+AG85)/2)))^2/(2*9.81)+B85-(G84+H84^2/(2*9.81))-(A84-A85)*(((DATOS!$B$34*(C85/(D85*((AF85+AG85)/2)))/((D85*((AF85+AG85)/2))/(D85+2*((AF85+AG85)/2)))^(2/3))^2+((DATOS!$B$34*H84/((D84*F84)/(D84+2*F84))^(2/3))^2))/2))&gt;0,((AF85+AG85)/2),AG85)</f>
        <v/>
      </c>
      <c r="AJ85" s="5">
        <f>IF((((AH85+AI85)/2)+(C85/(D85*((AH85+AI85)/2)))^2/(2*9.81)+B85-(G84+H84^2/(2*9.81))-(A84-A85)*(((DATOS!$B$34*(C85/(D85*((AH85+AI85)/2)))/((D85*((AH85+AI85)/2))/(D85+2*((AH85+AI85)/2)))^(2/3))^2+((DATOS!$B$34*H84/((D84*F84)/(D84+2*F84))^(2/3))^2))/2))&gt;0,AH85,((AH85+AI85)/2))</f>
        <v/>
      </c>
      <c r="AK85" s="5">
        <f>IF((((AH85+AI85)/2)+(C85/(D85*((AH85+AI85)/2)))^2/(2*9.81)+B85-(G84+H84^2/(2*9.81))-(A84-A85)*(((DATOS!$B$34*(C85/(D85*((AH85+AI85)/2)))/((D85*((AH85+AI85)/2))/(D85+2*((AH85+AI85)/2)))^(2/3))^2+((DATOS!$B$34*H84/((D84*F84)/(D84+2*F84))^(2/3))^2))/2))&gt;0,((AH85+AI85)/2),AI85)</f>
        <v/>
      </c>
      <c r="AL85" s="5">
        <f>IF((((AJ85+AK85)/2)+(C85/(D85*((AJ85+AK85)/2)))^2/(2*9.81)+B85-(G84+H84^2/(2*9.81))-(A84-A85)*(((DATOS!$B$34*(C85/(D85*((AJ85+AK85)/2)))/((D85*((AJ85+AK85)/2))/(D85+2*((AJ85+AK85)/2)))^(2/3))^2+((DATOS!$B$34*H84/((D84*F84)/(D84+2*F84))^(2/3))^2))/2))&gt;0,AJ85,((AJ85+AK85)/2))</f>
        <v/>
      </c>
      <c r="AM85" s="5">
        <f>IF((((AJ85+AK85)/2)+(C85/(D85*((AJ85+AK85)/2)))^2/(2*9.81)+B85-(G84+H84^2/(2*9.81))-(A84-A85)*(((DATOS!$B$34*(C85/(D85*((AJ85+AK85)/2)))/((D85*((AJ85+AK85)/2))/(D85+2*((AJ85+AK85)/2)))^(2/3))^2+((DATOS!$B$34*H84/((D84*F84)/(D84+2*F84))^(2/3))^2))/2))&gt;0,((AJ85+AK85)/2),AK85)</f>
        <v/>
      </c>
      <c r="AN85" s="5">
        <f>IF((((AL85+AM85)/2)+(C85/(D85*((AL85+AM85)/2)))^2/(2*9.81)+B85-(G84+H84^2/(2*9.81))-(A84-A85)*(((DATOS!$B$34*(C85/(D85*((AL85+AM85)/2)))/((D85*((AL85+AM85)/2))/(D85+2*((AL85+AM85)/2)))^(2/3))^2+((DATOS!$B$34*H84/((D84*F84)/(D84+2*F84))^(2/3))^2))/2))&gt;0,AL85,((AL85+AM85)/2))</f>
        <v/>
      </c>
      <c r="AO85" s="5">
        <f>IF((((AL85+AM85)/2)+(C85/(D85*((AL85+AM85)/2)))^2/(2*9.81)+B85-(G84+H84^2/(2*9.81))-(A84-A85)*(((DATOS!$B$34*(C85/(D85*((AL85+AM85)/2)))/((D85*((AL85+AM85)/2))/(D85+2*((AL85+AM85)/2)))^(2/3))^2+((DATOS!$B$34*H84/((D84*F84)/(D84+2*F84))^(2/3))^2))/2))&gt;0,((AL85+AM85)/2),AM85)</f>
        <v/>
      </c>
      <c r="AP85" s="5">
        <f>IF((((AN85+AO85)/2)+(C85/(D85*((AN85+AO85)/2)))^2/(2*9.81)+B85-(G84+H84^2/(2*9.81))-(A84-A85)*(((DATOS!$B$34*(C85/(D85*((AN85+AO85)/2)))/((D85*((AN85+AO85)/2))/(D85+2*((AN85+AO85)/2)))^(2/3))^2+((DATOS!$B$34*H84/((D84*F84)/(D84+2*F84))^(2/3))^2))/2))&gt;0,AN85,((AN85+AO85)/2))</f>
        <v/>
      </c>
      <c r="AQ85" s="5">
        <f>IF((((AN85+AO85)/2)+(C85/(D85*((AN85+AO85)/2)))^2/(2*9.81)+B85-(G84+H84^2/(2*9.81))-(A84-A85)*(((DATOS!$B$34*(C85/(D85*((AN85+AO85)/2)))/((D85*((AN85+AO85)/2))/(D85+2*((AN85+AO85)/2)))^(2/3))^2+((DATOS!$B$34*H84/((D84*F84)/(D84+2*F84))^(2/3))^2))/2))&gt;0,((AN85+AO85)/2),AO85)</f>
        <v/>
      </c>
      <c r="AR85" s="5">
        <f>IF((((AP85+AQ85)/2)+(C85/(D85*((AP85+AQ85)/2)))^2/(2*9.81)+B85-(G84+H84^2/(2*9.81))-(A84-A85)*(((DATOS!$B$34*(C85/(D85*((AP85+AQ85)/2)))/((D85*((AP85+AQ85)/2))/(D85+2*((AP85+AQ85)/2)))^(2/3))^2+((DATOS!$B$34*H84/((D84*F84)/(D84+2*F84))^(2/3))^2))/2))&gt;0,AP85,((AP85+AQ85)/2))</f>
        <v/>
      </c>
      <c r="AS85" s="5">
        <f>IF((((AP85+AQ85)/2)+(C85/(D85*((AP85+AQ85)/2)))^2/(2*9.81)+B85-(G84+H84^2/(2*9.81))-(A84-A85)*(((DATOS!$B$34*(C85/(D85*((AP85+AQ85)/2)))/((D85*((AP85+AQ85)/2))/(D85+2*((AP85+AQ85)/2)))^(2/3))^2+((DATOS!$B$34*H84/((D84*F84)/(D84+2*F84))^(2/3))^2))/2))&gt;0,((AP85+AQ85)/2),AQ85)</f>
        <v/>
      </c>
      <c r="AT85" s="5">
        <f>IF((((AR85+AS85)/2)+(C85/(D85*((AR85+AS85)/2)))^2/(2*9.81)+B85-(G84+H84^2/(2*9.81))-(A84-A85)*(((DATOS!$B$34*(C85/(D85*((AR85+AS85)/2)))/((D85*((AR85+AS85)/2))/(D85+2*((AR85+AS85)/2)))^(2/3))^2+((DATOS!$B$34*H84/((D84*F84)/(D84+2*F84))^(2/3))^2))/2))&gt;0,AR85,((AR85+AS85)/2))</f>
        <v/>
      </c>
      <c r="AU85" s="5">
        <f>IF((((AR85+AS85)/2)+(C85/(D85*((AR85+AS85)/2)))^2/(2*9.81)+B85-(G84+H84^2/(2*9.81))-(A84-A85)*(((DATOS!$B$34*(C85/(D85*((AR85+AS85)/2)))/((D85*((AR85+AS85)/2))/(D85+2*((AR85+AS85)/2)))^(2/3))^2+((DATOS!$B$34*H84/((D84*F84)/(D84+2*F84))^(2/3))^2))/2))&gt;0,((AR85+AS85)/2),AS85)</f>
        <v/>
      </c>
      <c r="AV85" s="5">
        <f>IF((((AT85+AU85)/2)+(C85/(D85*((AT85+AU85)/2)))^2/(2*9.81)+B85-(G84+H84^2/(2*9.81))-(A84-A85)*(((DATOS!$B$34*(C85/(D85*((AT85+AU85)/2)))/((D85*((AT85+AU85)/2))/(D85+2*((AT85+AU85)/2)))^(2/3))^2+((DATOS!$B$34*H84/((D84*F84)/(D84+2*F84))^(2/3))^2))/2))&gt;0,AT85,((AT85+AU85)/2))</f>
        <v/>
      </c>
      <c r="AW85" s="5">
        <f>IF((((AT85+AU85)/2)+(C85/(D85*((AT85+AU85)/2)))^2/(2*9.81)+B85-(G84+H84^2/(2*9.81))-(A84-A85)*(((DATOS!$B$34*(C85/(D85*((AT85+AU85)/2)))/((D85*((AT85+AU85)/2))/(D85+2*((AT85+AU85)/2)))^(2/3))^2+((DATOS!$B$34*H84/((D84*F84)/(D84+2*F84))^(2/3))^2))/2))&gt;0,((AT85+AU85)/2),AU85)</f>
        <v/>
      </c>
      <c r="AX85" s="5">
        <f>IF((((AV85+AW85)/2)+(C85/(D85*((AV85+AW85)/2)))^2/(2*9.81)+B85-(G84+H84^2/(2*9.81))-(A84-A85)*(((DATOS!$B$34*(C85/(D85*((AV85+AW85)/2)))/((D85*((AV85+AW85)/2))/(D85+2*((AV85+AW85)/2)))^(2/3))^2+((DATOS!$B$34*H84/((D84*F84)/(D84+2*F84))^(2/3))^2))/2))&gt;0,AV85,((AV85+AW85)/2))</f>
        <v/>
      </c>
      <c r="AY85" s="5">
        <f>IF((((AV85+AW85)/2)+(C85/(D85*((AV85+AW85)/2)))^2/(2*9.81)+B85-(G84+H84^2/(2*9.81))-(A84-A85)*(((DATOS!$B$34*(C85/(D85*((AV85+AW85)/2)))/((D85*((AV85+AW85)/2))/(D85+2*((AV85+AW85)/2)))^(2/3))^2+((DATOS!$B$34*H84/((D84*F84)/(D84+2*F84))^(2/3))^2))/2))&gt;0,((AV85+AW85)/2),AW85)</f>
        <v/>
      </c>
      <c r="AZ85" s="5">
        <f>IF((((AX85+AY85)/2)+(C85/(D85*((AX85+AY85)/2)))^2/(2*9.81)+B85-(G84+H84^2/(2*9.81))-(A84-A85)*(((DATOS!$B$34*(C85/(D85*((AX85+AY85)/2)))/((D85*((AX85+AY85)/2))/(D85+2*((AX85+AY85)/2)))^(2/3))^2+((DATOS!$B$34*H84/((D84*F84)/(D84+2*F84))^(2/3))^2))/2))&gt;0,AX85,((AX85+AY85)/2))</f>
        <v/>
      </c>
      <c r="BA85" s="5">
        <f>IF((((AX85+AY85)/2)+(C85/(D85*((AX85+AY85)/2)))^2/(2*9.81)+B85-(G84+H84^2/(2*9.81))-(A84-A85)*(((DATOS!$B$34*(C85/(D85*((AX85+AY85)/2)))/((D85*((AX85+AY85)/2))/(D85+2*((AX85+AY85)/2)))^(2/3))^2+((DATOS!$B$34*H84/((D84*F84)/(D84+2*F84))^(2/3))^2))/2))&gt;0,((AX85+AY85)/2),AY85)</f>
        <v/>
      </c>
      <c r="BB85" s="5">
        <f>IF((((AZ85+BA85)/2)+(C85/(D85*((AZ85+BA85)/2)))^2/(2*9.81)+B85-(G84+H84^2/(2*9.81))-(A84-A85)*(((DATOS!$B$34*(C85/(D85*((AZ85+BA85)/2)))/((D85*((AZ85+BA85)/2))/(D85+2*((AZ85+BA85)/2)))^(2/3))^2+((DATOS!$B$34*H84/((D84*F84)/(D84+2*F84))^(2/3))^2))/2))&gt;0,AZ85,((AZ85+BA85)/2))</f>
        <v/>
      </c>
      <c r="BC85" s="5">
        <f>IF((((AZ85+BA85)/2)+(C85/(D85*((AZ85+BA85)/2)))^2/(2*9.81)+B85-(G84+H84^2/(2*9.81))-(A84-A85)*(((DATOS!$B$34*(C85/(D85*((AZ85+BA85)/2)))/((D85*((AZ85+BA85)/2))/(D85+2*((AZ85+BA85)/2)))^(2/3))^2+((DATOS!$B$34*H84/((D84*F84)/(D84+2*F84))^(2/3))^2))/2))&gt;0,((AZ85+BA85)/2),BA85)</f>
        <v/>
      </c>
      <c r="BD85" s="5">
        <f>IF((((BB85+BC85)/2)+(C85/(D85*((BB85+BC85)/2)))^2/(2*9.81)+B85-(G84+H84^2/(2*9.81))-(A84-A85)*(((DATOS!$B$34*(C85/(D85*((BB85+BC85)/2)))/((D85*((BB85+BC85)/2))/(D85+2*((BB85+BC85)/2)))^(2/3))^2+((DATOS!$B$34*H84/((D84*F84)/(D84+2*F84))^(2/3))^2))/2))&gt;0,BB85,((BB85+BC85)/2))</f>
        <v/>
      </c>
      <c r="BE85" s="5">
        <f>IF((((BB85+BC85)/2)+(C85/(D85*((BB85+BC85)/2)))^2/(2*9.81)+B85-(G84+H84^2/(2*9.81))-(A84-A85)*(((DATOS!$B$34*(C85/(D85*((BB85+BC85)/2)))/((D85*((BB85+BC85)/2))/(D85+2*((BB85+BC85)/2)))^(2/3))^2+((DATOS!$B$34*H84/((D84*F84)/(D84+2*F84))^(2/3))^2))/2))&gt;0,((BB85+BC85)/2),BC85)</f>
        <v/>
      </c>
      <c r="BF85" s="5">
        <f>IF((((BD85+BE85)/2)+(C85/(D85*((BD85+BE85)/2)))^2/(2*9.81)+B85-(G84+H84^2/(2*9.81))-(A84-A85)*(((DATOS!$B$34*(C85/(D85*((BD85+BE85)/2)))/((D85*((BD85+BE85)/2))/(D85+2*((BD85+BE85)/2)))^(2/3))^2+((DATOS!$B$34*H84/((D84*F84)/(D84+2*F84))^(2/3))^2))/2))&gt;0,BD85,((BD85+BE85)/2))</f>
        <v/>
      </c>
      <c r="BG85" s="5">
        <f>IF((((BD85+BE85)/2)+(C85/(D85*((BD85+BE85)/2)))^2/(2*9.81)+B85-(G84+H84^2/(2*9.81))-(A84-A85)*(((DATOS!$B$34*(C85/(D85*((BD85+BE85)/2)))/((D85*((BD85+BE85)/2))/(D85+2*((BD85+BE85)/2)))^(2/3))^2+((DATOS!$B$34*H84/((D84*F84)/(D84+2*F84))^(2/3))^2))/2))&gt;0,((BD85+BE85)/2),BE85)</f>
        <v/>
      </c>
      <c r="BH85" s="5">
        <f>IF((((BF85+BG85)/2)+(C85/(D85*((BF85+BG85)/2)))^2/(2*9.81)+B85-(G84+H84^2/(2*9.81))-(A84-A85)*(((DATOS!$B$34*(C85/(D85*((BF85+BG85)/2)))/((D85*((BF85+BG85)/2))/(D85+2*((BF85+BG85)/2)))^(2/3))^2+((DATOS!$B$34*H84/((D84*F84)/(D84+2*F84))^(2/3))^2))/2))&gt;0,BF85,((BF85+BG85)/2))</f>
        <v/>
      </c>
      <c r="BI85" s="5">
        <f>IF((((BF85+BG85)/2)+(C85/(D85*((BF85+BG85)/2)))^2/(2*9.81)+B85-(G84+H84^2/(2*9.81))-(A84-A85)*(((DATOS!$B$34*(C85/(D85*((BF85+BG85)/2)))/((D85*((BF85+BG85)/2))/(D85+2*((BF85+BG85)/2)))^(2/3))^2+((DATOS!$B$34*H84/((D84*F84)/(D84+2*F84))^(2/3))^2))/2))&gt;0,((BF85+BG85)/2),BG85)</f>
        <v/>
      </c>
      <c r="BJ85" s="5">
        <f>IF((((BH85+BI85)/2)+(C85/(D85*((BH85+BI85)/2)))^2/(2*9.81)+B85-(G84+H84^2/(2*9.81))-(A84-A85)*(((DATOS!$B$34*(C85/(D85*((BH85+BI85)/2)))/((D85*((BH85+BI85)/2))/(D85+2*((BH85+BI85)/2)))^(2/3))^2+((DATOS!$B$34*H84/((D84*F84)/(D84+2*F84))^(2/3))^2))/2))&gt;0,BH85,((BH85+BI85)/2))</f>
        <v/>
      </c>
      <c r="BK85" s="5">
        <f>IF((((BH85+BI85)/2)+(C85/(D85*((BH85+BI85)/2)))^2/(2*9.81)+B85-(G84+H84^2/(2*9.81))-(A84-A85)*(((DATOS!$B$34*(C85/(D85*((BH85+BI85)/2)))/((D85*((BH85+BI85)/2))/(D85+2*((BH85+BI85)/2)))^(2/3))^2+((DATOS!$B$34*H84/((D84*F84)/(D84+2*F84))^(2/3))^2))/2))&gt;0,((BH85+BI85)/2),BI85)</f>
        <v/>
      </c>
      <c r="BL85" s="5">
        <f>IF((((BJ85+BK85)/2)+(C85/(D85*((BJ85+BK85)/2)))^2/(2*9.81)+B85-(G84+H84^2/(2*9.81))-(A84-A85)*(((DATOS!$B$34*(C85/(D85*((BJ85+BK85)/2)))/((D85*((BJ85+BK85)/2))/(D85+2*((BJ85+BK85)/2)))^(2/3))^2+((DATOS!$B$34*H84/((D84*F84)/(D84+2*F84))^(2/3))^2))/2))&gt;0,BJ85,((BJ85+BK85)/2))</f>
        <v/>
      </c>
      <c r="BM85" s="5">
        <f>IF((((BJ85+BK85)/2)+(C85/(D85*((BJ85+BK85)/2)))^2/(2*9.81)+B85-(G84+H84^2/(2*9.81))-(A84-A85)*(((DATOS!$B$34*(C85/(D85*((BJ85+BK85)/2)))/((D85*((BJ85+BK85)/2))/(D85+2*((BJ85+BK85)/2)))^(2/3))^2+((DATOS!$B$34*H84/((D84*F84)/(D84+2*F84))^(2/3))^2))/2))&gt;0,((BJ85+BK85)/2),BK85)</f>
        <v/>
      </c>
      <c r="BN85" s="5">
        <f>IF((((BL85+BM85)/2)+(C85/(D85*((BL85+BM85)/2)))^2/(2*9.81)+B85-(G84+H84^2/(2*9.81))-(A84-A85)*(((DATOS!$B$34*(C85/(D85*((BL85+BM85)/2)))/((D85*((BL85+BM85)/2))/(D85+2*((BL85+BM85)/2)))^(2/3))^2+((DATOS!$B$34*H84/((D84*F84)/(D84+2*F84))^(2/3))^2))/2))&gt;0,BL85,((BL85+BM85)/2))</f>
        <v/>
      </c>
      <c r="BO85" s="5">
        <f>IF((((BL85+BM85)/2)+(C85/(D85*((BL85+BM85)/2)))^2/(2*9.81)+B85-(G84+H84^2/(2*9.81))-(A84-A85)*(((DATOS!$B$34*(C85/(D85*((BL85+BM85)/2)))/((D85*((BL85+BM85)/2))/(D85+2*((BL85+BM85)/2)))^(2/3))^2+((DATOS!$B$34*H84/((D84*F84)/(D84+2*F84))^(2/3))^2))/2))&gt;0,((BL85+BM85)/2),BM85)</f>
        <v/>
      </c>
      <c r="BP85" s="5">
        <f>IF((((BN85+BO85)/2)+(C85/(D85*((BN85+BO85)/2)))^2/(2*9.81)+B85-(G84+H84^2/(2*9.81))-(A84-A85)*(((DATOS!$B$34*(C85/(D85*((BN85+BO85)/2)))/((D85*((BN85+BO85)/2))/(D85+2*((BN85+BO85)/2)))^(2/3))^2+((DATOS!$B$34*H84/((D84*F84)/(D84+2*F84))^(2/3))^2))/2))&gt;0,BN85,((BN85+BO85)/2))</f>
        <v/>
      </c>
      <c r="BQ85" s="5">
        <f>IF((((BN85+BO85)/2)+(C85/(D85*((BN85+BO85)/2)))^2/(2*9.81)+B85-(G84+H84^2/(2*9.81))-(A84-A85)*(((DATOS!$B$34*(C85/(D85*((BN85+BO85)/2)))/((D85*((BN85+BO85)/2))/(D85+2*((BN85+BO85)/2)))^(2/3))^2+((DATOS!$B$34*H84/((D84*F84)/(D84+2*F84))^(2/3))^2))/2))&gt;0,((BN85+BO85)/2),BO85)</f>
        <v/>
      </c>
      <c r="BR85" s="5">
        <f>IF((((BP85+BQ85)/2)+(C85/(D85*((BP85+BQ85)/2)))^2/(2*9.81)+B85-(G84+H84^2/(2*9.81))-(A84-A85)*(((DATOS!$B$34*(C85/(D85*((BP85+BQ85)/2)))/((D85*((BP85+BQ85)/2))/(D85+2*((BP85+BQ85)/2)))^(2/3))^2+((DATOS!$B$34*H84/((D84*F84)/(D84+2*F84))^(2/3))^2))/2))&gt;0,BP85,((BP85+BQ85)/2))</f>
        <v/>
      </c>
      <c r="BS85" s="5">
        <f>IF((((BP85+BQ85)/2)+(C85/(D85*((BP85+BQ85)/2)))^2/(2*9.81)+B85-(G84+H84^2/(2*9.81))-(A84-A85)*(((DATOS!$B$34*(C85/(D85*((BP85+BQ85)/2)))/((D85*((BP85+BQ85)/2))/(D85+2*((BP85+BQ85)/2)))^(2/3))^2+((DATOS!$B$34*H84/((D84*F84)/(D84+2*F84))^(2/3))^2))/2))&gt;0,((BP85+BQ85)/2),BQ85)</f>
        <v/>
      </c>
      <c r="BT85" s="5">
        <f>IF((((BR85+BS85)/2)+(C85/(D85*((BR85+BS85)/2)))^2/(2*9.81)+B85-(G84+H84^2/(2*9.81))-(A84-A85)*(((DATOS!$B$34*(C85/(D85*((BR85+BS85)/2)))/((D85*((BR85+BS85)/2))/(D85+2*((BR85+BS85)/2)))^(2/3))^2+((DATOS!$B$34*H84/((D84*F84)/(D84+2*F84))^(2/3))^2))/2))&gt;0,BR85,((BR85+BS85)/2))</f>
        <v/>
      </c>
      <c r="BU85" s="5">
        <f>IF((((BR85+BS85)/2)+(C85/(D85*((BR85+BS85)/2)))^2/(2*9.81)+B85-(G84+H84^2/(2*9.81))-(A84-A85)*(((DATOS!$B$34*(C85/(D85*((BR85+BS85)/2)))/((D85*((BR85+BS85)/2))/(D85+2*((BR85+BS85)/2)))^(2/3))^2+((DATOS!$B$34*H84/((D84*F84)/(D84+2*F84))^(2/3))^2))/2))&gt;0,((BR85+BS85)/2),BS85)</f>
        <v/>
      </c>
      <c r="BV85" s="5">
        <f>IF((((BT85+BU85)/2)+(C85/(D85*((BT85+BU85)/2)))^2/(2*9.81)+B85-(G84+H84^2/(2*9.81))-(A84-A85)*(((DATOS!$B$34*(C85/(D85*((BT85+BU85)/2)))/((D85*((BT85+BU85)/2))/(D85+2*((BT85+BU85)/2)))^(2/3))^2+((DATOS!$B$34*H84/((D84*F84)/(D84+2*F84))^(2/3))^2))/2))&gt;0,BT85,((BT85+BU85)/2))</f>
        <v/>
      </c>
      <c r="BW85" s="5">
        <f>IF((((BT85+BU85)/2)+(C85/(D85*((BT85+BU85)/2)))^2/(2*9.81)+B85-(G84+H84^2/(2*9.81))-(A84-A85)*(((DATOS!$B$34*(C85/(D85*((BT85+BU85)/2)))/((D85*((BT85+BU85)/2))/(D85+2*((BT85+BU85)/2)))^(2/3))^2+((DATOS!$B$34*H84/((D84*F84)/(D84+2*F84))^(2/3))^2))/2))&gt;0,((BT85+BU85)/2),BU85)</f>
        <v/>
      </c>
    </row>
    <row r="86">
      <c r="A86" s="13" t="n">
        <v>3</v>
      </c>
      <c r="B86" s="16">
        <f>DATOS!$B$22-DATOS!$B$23*A86</f>
        <v/>
      </c>
      <c r="C86" s="24">
        <f>CAUDALES!$B$13</f>
        <v/>
      </c>
      <c r="D86" s="17">
        <f>DATOS!$B$17</f>
        <v/>
      </c>
      <c r="E86" s="16">
        <f>(C86^2/(9.81*D86^2))^(1/3)</f>
        <v/>
      </c>
      <c r="F86" s="16">
        <f>(BV86+BW86)/2</f>
        <v/>
      </c>
      <c r="G86" s="16">
        <f>B86+F86</f>
        <v/>
      </c>
      <c r="H86" s="19">
        <f>C86/(D86*F86)</f>
        <v/>
      </c>
      <c r="I86" s="19">
        <f>H86/SQRT(9.81*F86)</f>
        <v/>
      </c>
      <c r="J86" s="16">
        <f>DATOS!$B$29-IF(AND(A86&gt;=DATOS!$B$30,A86&lt;DATOS!$B$31),DATOS!$B$21,DATOS!$B$20)</f>
        <v/>
      </c>
      <c r="K86" s="19">
        <f>J86-B86</f>
        <v/>
      </c>
      <c r="L86" s="19">
        <f>F86/K86</f>
        <v/>
      </c>
      <c r="M86" s="16">
        <f>J86-G86</f>
        <v/>
      </c>
      <c r="N86" s="5">
        <f>IF(AND(L86&lt;=DATOS!$B$36,M86&gt;=DATOS!$B$37,I86&lt;=1),"CUMPLE","NO CUMPLE")</f>
        <v/>
      </c>
      <c r="O86" s="5">
        <f>IF(AND(A86&gt;=DATOS!$B$30,A86&lt;DATOS!$B$31),"cruce de camiones",IF(AND(A86&gt;=DATOS!$B$32,A86&lt;DATOS!$B$33),"cruce de motos","tramo normal"))</f>
        <v/>
      </c>
      <c r="P86" s="5">
        <f>E86*1.001</f>
        <v/>
      </c>
      <c r="Q86" s="13" t="n">
        <v>3</v>
      </c>
      <c r="R86" s="5">
        <f>IF((((P86+Q86)/2)+(C86/(D86*((P86+Q86)/2)))^2/(2*9.81)+B86-(G85+H85^2/(2*9.81))-(A85-A86)*(((DATOS!$B$34*(C86/(D86*((P86+Q86)/2)))/((D86*((P86+Q86)/2))/(D86+2*((P86+Q86)/2)))^(2/3))^2+((DATOS!$B$34*H85/((D85*F85)/(D85+2*F85))^(2/3))^2))/2))&gt;0,P86,((P86+Q86)/2))</f>
        <v/>
      </c>
      <c r="S86" s="5">
        <f>IF((((P86+Q86)/2)+(C86/(D86*((P86+Q86)/2)))^2/(2*9.81)+B86-(G85+H85^2/(2*9.81))-(A85-A86)*(((DATOS!$B$34*(C86/(D86*((P86+Q86)/2)))/((D86*((P86+Q86)/2))/(D86+2*((P86+Q86)/2)))^(2/3))^2+((DATOS!$B$34*H85/((D85*F85)/(D85+2*F85))^(2/3))^2))/2))&gt;0,((P86+Q86)/2),Q86)</f>
        <v/>
      </c>
      <c r="T86" s="5">
        <f>IF((((R86+S86)/2)+(C86/(D86*((R86+S86)/2)))^2/(2*9.81)+B86-(G85+H85^2/(2*9.81))-(A85-A86)*(((DATOS!$B$34*(C86/(D86*((R86+S86)/2)))/((D86*((R86+S86)/2))/(D86+2*((R86+S86)/2)))^(2/3))^2+((DATOS!$B$34*H85/((D85*F85)/(D85+2*F85))^(2/3))^2))/2))&gt;0,R86,((R86+S86)/2))</f>
        <v/>
      </c>
      <c r="U86" s="5">
        <f>IF((((R86+S86)/2)+(C86/(D86*((R86+S86)/2)))^2/(2*9.81)+B86-(G85+H85^2/(2*9.81))-(A85-A86)*(((DATOS!$B$34*(C86/(D86*((R86+S86)/2)))/((D86*((R86+S86)/2))/(D86+2*((R86+S86)/2)))^(2/3))^2+((DATOS!$B$34*H85/((D85*F85)/(D85+2*F85))^(2/3))^2))/2))&gt;0,((R86+S86)/2),S86)</f>
        <v/>
      </c>
      <c r="V86" s="5">
        <f>IF((((T86+U86)/2)+(C86/(D86*((T86+U86)/2)))^2/(2*9.81)+B86-(G85+H85^2/(2*9.81))-(A85-A86)*(((DATOS!$B$34*(C86/(D86*((T86+U86)/2)))/((D86*((T86+U86)/2))/(D86+2*((T86+U86)/2)))^(2/3))^2+((DATOS!$B$34*H85/((D85*F85)/(D85+2*F85))^(2/3))^2))/2))&gt;0,T86,((T86+U86)/2))</f>
        <v/>
      </c>
      <c r="W86" s="5">
        <f>IF((((T86+U86)/2)+(C86/(D86*((T86+U86)/2)))^2/(2*9.81)+B86-(G85+H85^2/(2*9.81))-(A85-A86)*(((DATOS!$B$34*(C86/(D86*((T86+U86)/2)))/((D86*((T86+U86)/2))/(D86+2*((T86+U86)/2)))^(2/3))^2+((DATOS!$B$34*H85/((D85*F85)/(D85+2*F85))^(2/3))^2))/2))&gt;0,((T86+U86)/2),U86)</f>
        <v/>
      </c>
      <c r="X86" s="5">
        <f>IF((((V86+W86)/2)+(C86/(D86*((V86+W86)/2)))^2/(2*9.81)+B86-(G85+H85^2/(2*9.81))-(A85-A86)*(((DATOS!$B$34*(C86/(D86*((V86+W86)/2)))/((D86*((V86+W86)/2))/(D86+2*((V86+W86)/2)))^(2/3))^2+((DATOS!$B$34*H85/((D85*F85)/(D85+2*F85))^(2/3))^2))/2))&gt;0,V86,((V86+W86)/2))</f>
        <v/>
      </c>
      <c r="Y86" s="5">
        <f>IF((((V86+W86)/2)+(C86/(D86*((V86+W86)/2)))^2/(2*9.81)+B86-(G85+H85^2/(2*9.81))-(A85-A86)*(((DATOS!$B$34*(C86/(D86*((V86+W86)/2)))/((D86*((V86+W86)/2))/(D86+2*((V86+W86)/2)))^(2/3))^2+((DATOS!$B$34*H85/((D85*F85)/(D85+2*F85))^(2/3))^2))/2))&gt;0,((V86+W86)/2),W86)</f>
        <v/>
      </c>
      <c r="Z86" s="5">
        <f>IF((((X86+Y86)/2)+(C86/(D86*((X86+Y86)/2)))^2/(2*9.81)+B86-(G85+H85^2/(2*9.81))-(A85-A86)*(((DATOS!$B$34*(C86/(D86*((X86+Y86)/2)))/((D86*((X86+Y86)/2))/(D86+2*((X86+Y86)/2)))^(2/3))^2+((DATOS!$B$34*H85/((D85*F85)/(D85+2*F85))^(2/3))^2))/2))&gt;0,X86,((X86+Y86)/2))</f>
        <v/>
      </c>
      <c r="AA86" s="5">
        <f>IF((((X86+Y86)/2)+(C86/(D86*((X86+Y86)/2)))^2/(2*9.81)+B86-(G85+H85^2/(2*9.81))-(A85-A86)*(((DATOS!$B$34*(C86/(D86*((X86+Y86)/2)))/((D86*((X86+Y86)/2))/(D86+2*((X86+Y86)/2)))^(2/3))^2+((DATOS!$B$34*H85/((D85*F85)/(D85+2*F85))^(2/3))^2))/2))&gt;0,((X86+Y86)/2),Y86)</f>
        <v/>
      </c>
      <c r="AB86" s="5">
        <f>IF((((Z86+AA86)/2)+(C86/(D86*((Z86+AA86)/2)))^2/(2*9.81)+B86-(G85+H85^2/(2*9.81))-(A85-A86)*(((DATOS!$B$34*(C86/(D86*((Z86+AA86)/2)))/((D86*((Z86+AA86)/2))/(D86+2*((Z86+AA86)/2)))^(2/3))^2+((DATOS!$B$34*H85/((D85*F85)/(D85+2*F85))^(2/3))^2))/2))&gt;0,Z86,((Z86+AA86)/2))</f>
        <v/>
      </c>
      <c r="AC86" s="5">
        <f>IF((((Z86+AA86)/2)+(C86/(D86*((Z86+AA86)/2)))^2/(2*9.81)+B86-(G85+H85^2/(2*9.81))-(A85-A86)*(((DATOS!$B$34*(C86/(D86*((Z86+AA86)/2)))/((D86*((Z86+AA86)/2))/(D86+2*((Z86+AA86)/2)))^(2/3))^2+((DATOS!$B$34*H85/((D85*F85)/(D85+2*F85))^(2/3))^2))/2))&gt;0,((Z86+AA86)/2),AA86)</f>
        <v/>
      </c>
      <c r="AD86" s="5">
        <f>IF((((AB86+AC86)/2)+(C86/(D86*((AB86+AC86)/2)))^2/(2*9.81)+B86-(G85+H85^2/(2*9.81))-(A85-A86)*(((DATOS!$B$34*(C86/(D86*((AB86+AC86)/2)))/((D86*((AB86+AC86)/2))/(D86+2*((AB86+AC86)/2)))^(2/3))^2+((DATOS!$B$34*H85/((D85*F85)/(D85+2*F85))^(2/3))^2))/2))&gt;0,AB86,((AB86+AC86)/2))</f>
        <v/>
      </c>
      <c r="AE86" s="5">
        <f>IF((((AB86+AC86)/2)+(C86/(D86*((AB86+AC86)/2)))^2/(2*9.81)+B86-(G85+H85^2/(2*9.81))-(A85-A86)*(((DATOS!$B$34*(C86/(D86*((AB86+AC86)/2)))/((D86*((AB86+AC86)/2))/(D86+2*((AB86+AC86)/2)))^(2/3))^2+((DATOS!$B$34*H85/((D85*F85)/(D85+2*F85))^(2/3))^2))/2))&gt;0,((AB86+AC86)/2),AC86)</f>
        <v/>
      </c>
      <c r="AF86" s="5">
        <f>IF((((AD86+AE86)/2)+(C86/(D86*((AD86+AE86)/2)))^2/(2*9.81)+B86-(G85+H85^2/(2*9.81))-(A85-A86)*(((DATOS!$B$34*(C86/(D86*((AD86+AE86)/2)))/((D86*((AD86+AE86)/2))/(D86+2*((AD86+AE86)/2)))^(2/3))^2+((DATOS!$B$34*H85/((D85*F85)/(D85+2*F85))^(2/3))^2))/2))&gt;0,AD86,((AD86+AE86)/2))</f>
        <v/>
      </c>
      <c r="AG86" s="5">
        <f>IF((((AD86+AE86)/2)+(C86/(D86*((AD86+AE86)/2)))^2/(2*9.81)+B86-(G85+H85^2/(2*9.81))-(A85-A86)*(((DATOS!$B$34*(C86/(D86*((AD86+AE86)/2)))/((D86*((AD86+AE86)/2))/(D86+2*((AD86+AE86)/2)))^(2/3))^2+((DATOS!$B$34*H85/((D85*F85)/(D85+2*F85))^(2/3))^2))/2))&gt;0,((AD86+AE86)/2),AE86)</f>
        <v/>
      </c>
      <c r="AH86" s="5">
        <f>IF((((AF86+AG86)/2)+(C86/(D86*((AF86+AG86)/2)))^2/(2*9.81)+B86-(G85+H85^2/(2*9.81))-(A85-A86)*(((DATOS!$B$34*(C86/(D86*((AF86+AG86)/2)))/((D86*((AF86+AG86)/2))/(D86+2*((AF86+AG86)/2)))^(2/3))^2+((DATOS!$B$34*H85/((D85*F85)/(D85+2*F85))^(2/3))^2))/2))&gt;0,AF86,((AF86+AG86)/2))</f>
        <v/>
      </c>
      <c r="AI86" s="5">
        <f>IF((((AF86+AG86)/2)+(C86/(D86*((AF86+AG86)/2)))^2/(2*9.81)+B86-(G85+H85^2/(2*9.81))-(A85-A86)*(((DATOS!$B$34*(C86/(D86*((AF86+AG86)/2)))/((D86*((AF86+AG86)/2))/(D86+2*((AF86+AG86)/2)))^(2/3))^2+((DATOS!$B$34*H85/((D85*F85)/(D85+2*F85))^(2/3))^2))/2))&gt;0,((AF86+AG86)/2),AG86)</f>
        <v/>
      </c>
      <c r="AJ86" s="5">
        <f>IF((((AH86+AI86)/2)+(C86/(D86*((AH86+AI86)/2)))^2/(2*9.81)+B86-(G85+H85^2/(2*9.81))-(A85-A86)*(((DATOS!$B$34*(C86/(D86*((AH86+AI86)/2)))/((D86*((AH86+AI86)/2))/(D86+2*((AH86+AI86)/2)))^(2/3))^2+((DATOS!$B$34*H85/((D85*F85)/(D85+2*F85))^(2/3))^2))/2))&gt;0,AH86,((AH86+AI86)/2))</f>
        <v/>
      </c>
      <c r="AK86" s="5">
        <f>IF((((AH86+AI86)/2)+(C86/(D86*((AH86+AI86)/2)))^2/(2*9.81)+B86-(G85+H85^2/(2*9.81))-(A85-A86)*(((DATOS!$B$34*(C86/(D86*((AH86+AI86)/2)))/((D86*((AH86+AI86)/2))/(D86+2*((AH86+AI86)/2)))^(2/3))^2+((DATOS!$B$34*H85/((D85*F85)/(D85+2*F85))^(2/3))^2))/2))&gt;0,((AH86+AI86)/2),AI86)</f>
        <v/>
      </c>
      <c r="AL86" s="5">
        <f>IF((((AJ86+AK86)/2)+(C86/(D86*((AJ86+AK86)/2)))^2/(2*9.81)+B86-(G85+H85^2/(2*9.81))-(A85-A86)*(((DATOS!$B$34*(C86/(D86*((AJ86+AK86)/2)))/((D86*((AJ86+AK86)/2))/(D86+2*((AJ86+AK86)/2)))^(2/3))^2+((DATOS!$B$34*H85/((D85*F85)/(D85+2*F85))^(2/3))^2))/2))&gt;0,AJ86,((AJ86+AK86)/2))</f>
        <v/>
      </c>
      <c r="AM86" s="5">
        <f>IF((((AJ86+AK86)/2)+(C86/(D86*((AJ86+AK86)/2)))^2/(2*9.81)+B86-(G85+H85^2/(2*9.81))-(A85-A86)*(((DATOS!$B$34*(C86/(D86*((AJ86+AK86)/2)))/((D86*((AJ86+AK86)/2))/(D86+2*((AJ86+AK86)/2)))^(2/3))^2+((DATOS!$B$34*H85/((D85*F85)/(D85+2*F85))^(2/3))^2))/2))&gt;0,((AJ86+AK86)/2),AK86)</f>
        <v/>
      </c>
      <c r="AN86" s="5">
        <f>IF((((AL86+AM86)/2)+(C86/(D86*((AL86+AM86)/2)))^2/(2*9.81)+B86-(G85+H85^2/(2*9.81))-(A85-A86)*(((DATOS!$B$34*(C86/(D86*((AL86+AM86)/2)))/((D86*((AL86+AM86)/2))/(D86+2*((AL86+AM86)/2)))^(2/3))^2+((DATOS!$B$34*H85/((D85*F85)/(D85+2*F85))^(2/3))^2))/2))&gt;0,AL86,((AL86+AM86)/2))</f>
        <v/>
      </c>
      <c r="AO86" s="5">
        <f>IF((((AL86+AM86)/2)+(C86/(D86*((AL86+AM86)/2)))^2/(2*9.81)+B86-(G85+H85^2/(2*9.81))-(A85-A86)*(((DATOS!$B$34*(C86/(D86*((AL86+AM86)/2)))/((D86*((AL86+AM86)/2))/(D86+2*((AL86+AM86)/2)))^(2/3))^2+((DATOS!$B$34*H85/((D85*F85)/(D85+2*F85))^(2/3))^2))/2))&gt;0,((AL86+AM86)/2),AM86)</f>
        <v/>
      </c>
      <c r="AP86" s="5">
        <f>IF((((AN86+AO86)/2)+(C86/(D86*((AN86+AO86)/2)))^2/(2*9.81)+B86-(G85+H85^2/(2*9.81))-(A85-A86)*(((DATOS!$B$34*(C86/(D86*((AN86+AO86)/2)))/((D86*((AN86+AO86)/2))/(D86+2*((AN86+AO86)/2)))^(2/3))^2+((DATOS!$B$34*H85/((D85*F85)/(D85+2*F85))^(2/3))^2))/2))&gt;0,AN86,((AN86+AO86)/2))</f>
        <v/>
      </c>
      <c r="AQ86" s="5">
        <f>IF((((AN86+AO86)/2)+(C86/(D86*((AN86+AO86)/2)))^2/(2*9.81)+B86-(G85+H85^2/(2*9.81))-(A85-A86)*(((DATOS!$B$34*(C86/(D86*((AN86+AO86)/2)))/((D86*((AN86+AO86)/2))/(D86+2*((AN86+AO86)/2)))^(2/3))^2+((DATOS!$B$34*H85/((D85*F85)/(D85+2*F85))^(2/3))^2))/2))&gt;0,((AN86+AO86)/2),AO86)</f>
        <v/>
      </c>
      <c r="AR86" s="5">
        <f>IF((((AP86+AQ86)/2)+(C86/(D86*((AP86+AQ86)/2)))^2/(2*9.81)+B86-(G85+H85^2/(2*9.81))-(A85-A86)*(((DATOS!$B$34*(C86/(D86*((AP86+AQ86)/2)))/((D86*((AP86+AQ86)/2))/(D86+2*((AP86+AQ86)/2)))^(2/3))^2+((DATOS!$B$34*H85/((D85*F85)/(D85+2*F85))^(2/3))^2))/2))&gt;0,AP86,((AP86+AQ86)/2))</f>
        <v/>
      </c>
      <c r="AS86" s="5">
        <f>IF((((AP86+AQ86)/2)+(C86/(D86*((AP86+AQ86)/2)))^2/(2*9.81)+B86-(G85+H85^2/(2*9.81))-(A85-A86)*(((DATOS!$B$34*(C86/(D86*((AP86+AQ86)/2)))/((D86*((AP86+AQ86)/2))/(D86+2*((AP86+AQ86)/2)))^(2/3))^2+((DATOS!$B$34*H85/((D85*F85)/(D85+2*F85))^(2/3))^2))/2))&gt;0,((AP86+AQ86)/2),AQ86)</f>
        <v/>
      </c>
      <c r="AT86" s="5">
        <f>IF((((AR86+AS86)/2)+(C86/(D86*((AR86+AS86)/2)))^2/(2*9.81)+B86-(G85+H85^2/(2*9.81))-(A85-A86)*(((DATOS!$B$34*(C86/(D86*((AR86+AS86)/2)))/((D86*((AR86+AS86)/2))/(D86+2*((AR86+AS86)/2)))^(2/3))^2+((DATOS!$B$34*H85/((D85*F85)/(D85+2*F85))^(2/3))^2))/2))&gt;0,AR86,((AR86+AS86)/2))</f>
        <v/>
      </c>
      <c r="AU86" s="5">
        <f>IF((((AR86+AS86)/2)+(C86/(D86*((AR86+AS86)/2)))^2/(2*9.81)+B86-(G85+H85^2/(2*9.81))-(A85-A86)*(((DATOS!$B$34*(C86/(D86*((AR86+AS86)/2)))/((D86*((AR86+AS86)/2))/(D86+2*((AR86+AS86)/2)))^(2/3))^2+((DATOS!$B$34*H85/((D85*F85)/(D85+2*F85))^(2/3))^2))/2))&gt;0,((AR86+AS86)/2),AS86)</f>
        <v/>
      </c>
      <c r="AV86" s="5">
        <f>IF((((AT86+AU86)/2)+(C86/(D86*((AT86+AU86)/2)))^2/(2*9.81)+B86-(G85+H85^2/(2*9.81))-(A85-A86)*(((DATOS!$B$34*(C86/(D86*((AT86+AU86)/2)))/((D86*((AT86+AU86)/2))/(D86+2*((AT86+AU86)/2)))^(2/3))^2+((DATOS!$B$34*H85/((D85*F85)/(D85+2*F85))^(2/3))^2))/2))&gt;0,AT86,((AT86+AU86)/2))</f>
        <v/>
      </c>
      <c r="AW86" s="5">
        <f>IF((((AT86+AU86)/2)+(C86/(D86*((AT86+AU86)/2)))^2/(2*9.81)+B86-(G85+H85^2/(2*9.81))-(A85-A86)*(((DATOS!$B$34*(C86/(D86*((AT86+AU86)/2)))/((D86*((AT86+AU86)/2))/(D86+2*((AT86+AU86)/2)))^(2/3))^2+((DATOS!$B$34*H85/((D85*F85)/(D85+2*F85))^(2/3))^2))/2))&gt;0,((AT86+AU86)/2),AU86)</f>
        <v/>
      </c>
      <c r="AX86" s="5">
        <f>IF((((AV86+AW86)/2)+(C86/(D86*((AV86+AW86)/2)))^2/(2*9.81)+B86-(G85+H85^2/(2*9.81))-(A85-A86)*(((DATOS!$B$34*(C86/(D86*((AV86+AW86)/2)))/((D86*((AV86+AW86)/2))/(D86+2*((AV86+AW86)/2)))^(2/3))^2+((DATOS!$B$34*H85/((D85*F85)/(D85+2*F85))^(2/3))^2))/2))&gt;0,AV86,((AV86+AW86)/2))</f>
        <v/>
      </c>
      <c r="AY86" s="5">
        <f>IF((((AV86+AW86)/2)+(C86/(D86*((AV86+AW86)/2)))^2/(2*9.81)+B86-(G85+H85^2/(2*9.81))-(A85-A86)*(((DATOS!$B$34*(C86/(D86*((AV86+AW86)/2)))/((D86*((AV86+AW86)/2))/(D86+2*((AV86+AW86)/2)))^(2/3))^2+((DATOS!$B$34*H85/((D85*F85)/(D85+2*F85))^(2/3))^2))/2))&gt;0,((AV86+AW86)/2),AW86)</f>
        <v/>
      </c>
      <c r="AZ86" s="5">
        <f>IF((((AX86+AY86)/2)+(C86/(D86*((AX86+AY86)/2)))^2/(2*9.81)+B86-(G85+H85^2/(2*9.81))-(A85-A86)*(((DATOS!$B$34*(C86/(D86*((AX86+AY86)/2)))/((D86*((AX86+AY86)/2))/(D86+2*((AX86+AY86)/2)))^(2/3))^2+((DATOS!$B$34*H85/((D85*F85)/(D85+2*F85))^(2/3))^2))/2))&gt;0,AX86,((AX86+AY86)/2))</f>
        <v/>
      </c>
      <c r="BA86" s="5">
        <f>IF((((AX86+AY86)/2)+(C86/(D86*((AX86+AY86)/2)))^2/(2*9.81)+B86-(G85+H85^2/(2*9.81))-(A85-A86)*(((DATOS!$B$34*(C86/(D86*((AX86+AY86)/2)))/((D86*((AX86+AY86)/2))/(D86+2*((AX86+AY86)/2)))^(2/3))^2+((DATOS!$B$34*H85/((D85*F85)/(D85+2*F85))^(2/3))^2))/2))&gt;0,((AX86+AY86)/2),AY86)</f>
        <v/>
      </c>
      <c r="BB86" s="5">
        <f>IF((((AZ86+BA86)/2)+(C86/(D86*((AZ86+BA86)/2)))^2/(2*9.81)+B86-(G85+H85^2/(2*9.81))-(A85-A86)*(((DATOS!$B$34*(C86/(D86*((AZ86+BA86)/2)))/((D86*((AZ86+BA86)/2))/(D86+2*((AZ86+BA86)/2)))^(2/3))^2+((DATOS!$B$34*H85/((D85*F85)/(D85+2*F85))^(2/3))^2))/2))&gt;0,AZ86,((AZ86+BA86)/2))</f>
        <v/>
      </c>
      <c r="BC86" s="5">
        <f>IF((((AZ86+BA86)/2)+(C86/(D86*((AZ86+BA86)/2)))^2/(2*9.81)+B86-(G85+H85^2/(2*9.81))-(A85-A86)*(((DATOS!$B$34*(C86/(D86*((AZ86+BA86)/2)))/((D86*((AZ86+BA86)/2))/(D86+2*((AZ86+BA86)/2)))^(2/3))^2+((DATOS!$B$34*H85/((D85*F85)/(D85+2*F85))^(2/3))^2))/2))&gt;0,((AZ86+BA86)/2),BA86)</f>
        <v/>
      </c>
      <c r="BD86" s="5">
        <f>IF((((BB86+BC86)/2)+(C86/(D86*((BB86+BC86)/2)))^2/(2*9.81)+B86-(G85+H85^2/(2*9.81))-(A85-A86)*(((DATOS!$B$34*(C86/(D86*((BB86+BC86)/2)))/((D86*((BB86+BC86)/2))/(D86+2*((BB86+BC86)/2)))^(2/3))^2+((DATOS!$B$34*H85/((D85*F85)/(D85+2*F85))^(2/3))^2))/2))&gt;0,BB86,((BB86+BC86)/2))</f>
        <v/>
      </c>
      <c r="BE86" s="5">
        <f>IF((((BB86+BC86)/2)+(C86/(D86*((BB86+BC86)/2)))^2/(2*9.81)+B86-(G85+H85^2/(2*9.81))-(A85-A86)*(((DATOS!$B$34*(C86/(D86*((BB86+BC86)/2)))/((D86*((BB86+BC86)/2))/(D86+2*((BB86+BC86)/2)))^(2/3))^2+((DATOS!$B$34*H85/((D85*F85)/(D85+2*F85))^(2/3))^2))/2))&gt;0,((BB86+BC86)/2),BC86)</f>
        <v/>
      </c>
      <c r="BF86" s="5">
        <f>IF((((BD86+BE86)/2)+(C86/(D86*((BD86+BE86)/2)))^2/(2*9.81)+B86-(G85+H85^2/(2*9.81))-(A85-A86)*(((DATOS!$B$34*(C86/(D86*((BD86+BE86)/2)))/((D86*((BD86+BE86)/2))/(D86+2*((BD86+BE86)/2)))^(2/3))^2+((DATOS!$B$34*H85/((D85*F85)/(D85+2*F85))^(2/3))^2))/2))&gt;0,BD86,((BD86+BE86)/2))</f>
        <v/>
      </c>
      <c r="BG86" s="5">
        <f>IF((((BD86+BE86)/2)+(C86/(D86*((BD86+BE86)/2)))^2/(2*9.81)+B86-(G85+H85^2/(2*9.81))-(A85-A86)*(((DATOS!$B$34*(C86/(D86*((BD86+BE86)/2)))/((D86*((BD86+BE86)/2))/(D86+2*((BD86+BE86)/2)))^(2/3))^2+((DATOS!$B$34*H85/((D85*F85)/(D85+2*F85))^(2/3))^2))/2))&gt;0,((BD86+BE86)/2),BE86)</f>
        <v/>
      </c>
      <c r="BH86" s="5">
        <f>IF((((BF86+BG86)/2)+(C86/(D86*((BF86+BG86)/2)))^2/(2*9.81)+B86-(G85+H85^2/(2*9.81))-(A85-A86)*(((DATOS!$B$34*(C86/(D86*((BF86+BG86)/2)))/((D86*((BF86+BG86)/2))/(D86+2*((BF86+BG86)/2)))^(2/3))^2+((DATOS!$B$34*H85/((D85*F85)/(D85+2*F85))^(2/3))^2))/2))&gt;0,BF86,((BF86+BG86)/2))</f>
        <v/>
      </c>
      <c r="BI86" s="5">
        <f>IF((((BF86+BG86)/2)+(C86/(D86*((BF86+BG86)/2)))^2/(2*9.81)+B86-(G85+H85^2/(2*9.81))-(A85-A86)*(((DATOS!$B$34*(C86/(D86*((BF86+BG86)/2)))/((D86*((BF86+BG86)/2))/(D86+2*((BF86+BG86)/2)))^(2/3))^2+((DATOS!$B$34*H85/((D85*F85)/(D85+2*F85))^(2/3))^2))/2))&gt;0,((BF86+BG86)/2),BG86)</f>
        <v/>
      </c>
      <c r="BJ86" s="5">
        <f>IF((((BH86+BI86)/2)+(C86/(D86*((BH86+BI86)/2)))^2/(2*9.81)+B86-(G85+H85^2/(2*9.81))-(A85-A86)*(((DATOS!$B$34*(C86/(D86*((BH86+BI86)/2)))/((D86*((BH86+BI86)/2))/(D86+2*((BH86+BI86)/2)))^(2/3))^2+((DATOS!$B$34*H85/((D85*F85)/(D85+2*F85))^(2/3))^2))/2))&gt;0,BH86,((BH86+BI86)/2))</f>
        <v/>
      </c>
      <c r="BK86" s="5">
        <f>IF((((BH86+BI86)/2)+(C86/(D86*((BH86+BI86)/2)))^2/(2*9.81)+B86-(G85+H85^2/(2*9.81))-(A85-A86)*(((DATOS!$B$34*(C86/(D86*((BH86+BI86)/2)))/((D86*((BH86+BI86)/2))/(D86+2*((BH86+BI86)/2)))^(2/3))^2+((DATOS!$B$34*H85/((D85*F85)/(D85+2*F85))^(2/3))^2))/2))&gt;0,((BH86+BI86)/2),BI86)</f>
        <v/>
      </c>
      <c r="BL86" s="5">
        <f>IF((((BJ86+BK86)/2)+(C86/(D86*((BJ86+BK86)/2)))^2/(2*9.81)+B86-(G85+H85^2/(2*9.81))-(A85-A86)*(((DATOS!$B$34*(C86/(D86*((BJ86+BK86)/2)))/((D86*((BJ86+BK86)/2))/(D86+2*((BJ86+BK86)/2)))^(2/3))^2+((DATOS!$B$34*H85/((D85*F85)/(D85+2*F85))^(2/3))^2))/2))&gt;0,BJ86,((BJ86+BK86)/2))</f>
        <v/>
      </c>
      <c r="BM86" s="5">
        <f>IF((((BJ86+BK86)/2)+(C86/(D86*((BJ86+BK86)/2)))^2/(2*9.81)+B86-(G85+H85^2/(2*9.81))-(A85-A86)*(((DATOS!$B$34*(C86/(D86*((BJ86+BK86)/2)))/((D86*((BJ86+BK86)/2))/(D86+2*((BJ86+BK86)/2)))^(2/3))^2+((DATOS!$B$34*H85/((D85*F85)/(D85+2*F85))^(2/3))^2))/2))&gt;0,((BJ86+BK86)/2),BK86)</f>
        <v/>
      </c>
      <c r="BN86" s="5">
        <f>IF((((BL86+BM86)/2)+(C86/(D86*((BL86+BM86)/2)))^2/(2*9.81)+B86-(G85+H85^2/(2*9.81))-(A85-A86)*(((DATOS!$B$34*(C86/(D86*((BL86+BM86)/2)))/((D86*((BL86+BM86)/2))/(D86+2*((BL86+BM86)/2)))^(2/3))^2+((DATOS!$B$34*H85/((D85*F85)/(D85+2*F85))^(2/3))^2))/2))&gt;0,BL86,((BL86+BM86)/2))</f>
        <v/>
      </c>
      <c r="BO86" s="5">
        <f>IF((((BL86+BM86)/2)+(C86/(D86*((BL86+BM86)/2)))^2/(2*9.81)+B86-(G85+H85^2/(2*9.81))-(A85-A86)*(((DATOS!$B$34*(C86/(D86*((BL86+BM86)/2)))/((D86*((BL86+BM86)/2))/(D86+2*((BL86+BM86)/2)))^(2/3))^2+((DATOS!$B$34*H85/((D85*F85)/(D85+2*F85))^(2/3))^2))/2))&gt;0,((BL86+BM86)/2),BM86)</f>
        <v/>
      </c>
      <c r="BP86" s="5">
        <f>IF((((BN86+BO86)/2)+(C86/(D86*((BN86+BO86)/2)))^2/(2*9.81)+B86-(G85+H85^2/(2*9.81))-(A85-A86)*(((DATOS!$B$34*(C86/(D86*((BN86+BO86)/2)))/((D86*((BN86+BO86)/2))/(D86+2*((BN86+BO86)/2)))^(2/3))^2+((DATOS!$B$34*H85/((D85*F85)/(D85+2*F85))^(2/3))^2))/2))&gt;0,BN86,((BN86+BO86)/2))</f>
        <v/>
      </c>
      <c r="BQ86" s="5">
        <f>IF((((BN86+BO86)/2)+(C86/(D86*((BN86+BO86)/2)))^2/(2*9.81)+B86-(G85+H85^2/(2*9.81))-(A85-A86)*(((DATOS!$B$34*(C86/(D86*((BN86+BO86)/2)))/((D86*((BN86+BO86)/2))/(D86+2*((BN86+BO86)/2)))^(2/3))^2+((DATOS!$B$34*H85/((D85*F85)/(D85+2*F85))^(2/3))^2))/2))&gt;0,((BN86+BO86)/2),BO86)</f>
        <v/>
      </c>
      <c r="BR86" s="5">
        <f>IF((((BP86+BQ86)/2)+(C86/(D86*((BP86+BQ86)/2)))^2/(2*9.81)+B86-(G85+H85^2/(2*9.81))-(A85-A86)*(((DATOS!$B$34*(C86/(D86*((BP86+BQ86)/2)))/((D86*((BP86+BQ86)/2))/(D86+2*((BP86+BQ86)/2)))^(2/3))^2+((DATOS!$B$34*H85/((D85*F85)/(D85+2*F85))^(2/3))^2))/2))&gt;0,BP86,((BP86+BQ86)/2))</f>
        <v/>
      </c>
      <c r="BS86" s="5">
        <f>IF((((BP86+BQ86)/2)+(C86/(D86*((BP86+BQ86)/2)))^2/(2*9.81)+B86-(G85+H85^2/(2*9.81))-(A85-A86)*(((DATOS!$B$34*(C86/(D86*((BP86+BQ86)/2)))/((D86*((BP86+BQ86)/2))/(D86+2*((BP86+BQ86)/2)))^(2/3))^2+((DATOS!$B$34*H85/((D85*F85)/(D85+2*F85))^(2/3))^2))/2))&gt;0,((BP86+BQ86)/2),BQ86)</f>
        <v/>
      </c>
      <c r="BT86" s="5">
        <f>IF((((BR86+BS86)/2)+(C86/(D86*((BR86+BS86)/2)))^2/(2*9.81)+B86-(G85+H85^2/(2*9.81))-(A85-A86)*(((DATOS!$B$34*(C86/(D86*((BR86+BS86)/2)))/((D86*((BR86+BS86)/2))/(D86+2*((BR86+BS86)/2)))^(2/3))^2+((DATOS!$B$34*H85/((D85*F85)/(D85+2*F85))^(2/3))^2))/2))&gt;0,BR86,((BR86+BS86)/2))</f>
        <v/>
      </c>
      <c r="BU86" s="5">
        <f>IF((((BR86+BS86)/2)+(C86/(D86*((BR86+BS86)/2)))^2/(2*9.81)+B86-(G85+H85^2/(2*9.81))-(A85-A86)*(((DATOS!$B$34*(C86/(D86*((BR86+BS86)/2)))/((D86*((BR86+BS86)/2))/(D86+2*((BR86+BS86)/2)))^(2/3))^2+((DATOS!$B$34*H85/((D85*F85)/(D85+2*F85))^(2/3))^2))/2))&gt;0,((BR86+BS86)/2),BS86)</f>
        <v/>
      </c>
      <c r="BV86" s="5">
        <f>IF((((BT86+BU86)/2)+(C86/(D86*((BT86+BU86)/2)))^2/(2*9.81)+B86-(G85+H85^2/(2*9.81))-(A85-A86)*(((DATOS!$B$34*(C86/(D86*((BT86+BU86)/2)))/((D86*((BT86+BU86)/2))/(D86+2*((BT86+BU86)/2)))^(2/3))^2+((DATOS!$B$34*H85/((D85*F85)/(D85+2*F85))^(2/3))^2))/2))&gt;0,BT86,((BT86+BU86)/2))</f>
        <v/>
      </c>
      <c r="BW86" s="5">
        <f>IF((((BT86+BU86)/2)+(C86/(D86*((BT86+BU86)/2)))^2/(2*9.81)+B86-(G85+H85^2/(2*9.81))-(A85-A86)*(((DATOS!$B$34*(C86/(D86*((BT86+BU86)/2)))/((D86*((BT86+BU86)/2))/(D86+2*((BT86+BU86)/2)))^(2/3))^2+((DATOS!$B$34*H85/((D85*F85)/(D85+2*F85))^(2/3))^2))/2))&gt;0,((BT86+BU86)/2),BU86)</f>
        <v/>
      </c>
    </row>
    <row r="87">
      <c r="A87" s="13" t="n">
        <v>2</v>
      </c>
      <c r="B87" s="16">
        <f>DATOS!$B$22-DATOS!$B$23*A87</f>
        <v/>
      </c>
      <c r="C87" s="24">
        <f>CAUDALES!$B$13</f>
        <v/>
      </c>
      <c r="D87" s="17">
        <f>DATOS!$B$17</f>
        <v/>
      </c>
      <c r="E87" s="16">
        <f>(C87^2/(9.81*D87^2))^(1/3)</f>
        <v/>
      </c>
      <c r="F87" s="16">
        <f>(BV87+BW87)/2</f>
        <v/>
      </c>
      <c r="G87" s="16">
        <f>B87+F87</f>
        <v/>
      </c>
      <c r="H87" s="19">
        <f>C87/(D87*F87)</f>
        <v/>
      </c>
      <c r="I87" s="19">
        <f>H87/SQRT(9.81*F87)</f>
        <v/>
      </c>
      <c r="J87" s="16">
        <f>DATOS!$B$29-IF(AND(A87&gt;=DATOS!$B$30,A87&lt;DATOS!$B$31),DATOS!$B$21,DATOS!$B$20)</f>
        <v/>
      </c>
      <c r="K87" s="19">
        <f>J87-B87</f>
        <v/>
      </c>
      <c r="L87" s="19">
        <f>F87/K87</f>
        <v/>
      </c>
      <c r="M87" s="16">
        <f>J87-G87</f>
        <v/>
      </c>
      <c r="N87" s="5">
        <f>IF(AND(L87&lt;=DATOS!$B$36,M87&gt;=DATOS!$B$37,I87&lt;=1),"CUMPLE","NO CUMPLE")</f>
        <v/>
      </c>
      <c r="O87" s="5">
        <f>IF(AND(A87&gt;=DATOS!$B$30,A87&lt;DATOS!$B$31),"cruce de camiones",IF(AND(A87&gt;=DATOS!$B$32,A87&lt;DATOS!$B$33),"cruce de motos","tramo normal"))</f>
        <v/>
      </c>
      <c r="P87" s="5">
        <f>E87*1.001</f>
        <v/>
      </c>
      <c r="Q87" s="13" t="n">
        <v>3</v>
      </c>
      <c r="R87" s="5">
        <f>IF((((P87+Q87)/2)+(C87/(D87*((P87+Q87)/2)))^2/(2*9.81)+B87-(G86+H86^2/(2*9.81))-(A86-A87)*(((DATOS!$B$34*(C87/(D87*((P87+Q87)/2)))/((D87*((P87+Q87)/2))/(D87+2*((P87+Q87)/2)))^(2/3))^2+((DATOS!$B$34*H86/((D86*F86)/(D86+2*F86))^(2/3))^2))/2))&gt;0,P87,((P87+Q87)/2))</f>
        <v/>
      </c>
      <c r="S87" s="5">
        <f>IF((((P87+Q87)/2)+(C87/(D87*((P87+Q87)/2)))^2/(2*9.81)+B87-(G86+H86^2/(2*9.81))-(A86-A87)*(((DATOS!$B$34*(C87/(D87*((P87+Q87)/2)))/((D87*((P87+Q87)/2))/(D87+2*((P87+Q87)/2)))^(2/3))^2+((DATOS!$B$34*H86/((D86*F86)/(D86+2*F86))^(2/3))^2))/2))&gt;0,((P87+Q87)/2),Q87)</f>
        <v/>
      </c>
      <c r="T87" s="5">
        <f>IF((((R87+S87)/2)+(C87/(D87*((R87+S87)/2)))^2/(2*9.81)+B87-(G86+H86^2/(2*9.81))-(A86-A87)*(((DATOS!$B$34*(C87/(D87*((R87+S87)/2)))/((D87*((R87+S87)/2))/(D87+2*((R87+S87)/2)))^(2/3))^2+((DATOS!$B$34*H86/((D86*F86)/(D86+2*F86))^(2/3))^2))/2))&gt;0,R87,((R87+S87)/2))</f>
        <v/>
      </c>
      <c r="U87" s="5">
        <f>IF((((R87+S87)/2)+(C87/(D87*((R87+S87)/2)))^2/(2*9.81)+B87-(G86+H86^2/(2*9.81))-(A86-A87)*(((DATOS!$B$34*(C87/(D87*((R87+S87)/2)))/((D87*((R87+S87)/2))/(D87+2*((R87+S87)/2)))^(2/3))^2+((DATOS!$B$34*H86/((D86*F86)/(D86+2*F86))^(2/3))^2))/2))&gt;0,((R87+S87)/2),S87)</f>
        <v/>
      </c>
      <c r="V87" s="5">
        <f>IF((((T87+U87)/2)+(C87/(D87*((T87+U87)/2)))^2/(2*9.81)+B87-(G86+H86^2/(2*9.81))-(A86-A87)*(((DATOS!$B$34*(C87/(D87*((T87+U87)/2)))/((D87*((T87+U87)/2))/(D87+2*((T87+U87)/2)))^(2/3))^2+((DATOS!$B$34*H86/((D86*F86)/(D86+2*F86))^(2/3))^2))/2))&gt;0,T87,((T87+U87)/2))</f>
        <v/>
      </c>
      <c r="W87" s="5">
        <f>IF((((T87+U87)/2)+(C87/(D87*((T87+U87)/2)))^2/(2*9.81)+B87-(G86+H86^2/(2*9.81))-(A86-A87)*(((DATOS!$B$34*(C87/(D87*((T87+U87)/2)))/((D87*((T87+U87)/2))/(D87+2*((T87+U87)/2)))^(2/3))^2+((DATOS!$B$34*H86/((D86*F86)/(D86+2*F86))^(2/3))^2))/2))&gt;0,((T87+U87)/2),U87)</f>
        <v/>
      </c>
      <c r="X87" s="5">
        <f>IF((((V87+W87)/2)+(C87/(D87*((V87+W87)/2)))^2/(2*9.81)+B87-(G86+H86^2/(2*9.81))-(A86-A87)*(((DATOS!$B$34*(C87/(D87*((V87+W87)/2)))/((D87*((V87+W87)/2))/(D87+2*((V87+W87)/2)))^(2/3))^2+((DATOS!$B$34*H86/((D86*F86)/(D86+2*F86))^(2/3))^2))/2))&gt;0,V87,((V87+W87)/2))</f>
        <v/>
      </c>
      <c r="Y87" s="5">
        <f>IF((((V87+W87)/2)+(C87/(D87*((V87+W87)/2)))^2/(2*9.81)+B87-(G86+H86^2/(2*9.81))-(A86-A87)*(((DATOS!$B$34*(C87/(D87*((V87+W87)/2)))/((D87*((V87+W87)/2))/(D87+2*((V87+W87)/2)))^(2/3))^2+((DATOS!$B$34*H86/((D86*F86)/(D86+2*F86))^(2/3))^2))/2))&gt;0,((V87+W87)/2),W87)</f>
        <v/>
      </c>
      <c r="Z87" s="5">
        <f>IF((((X87+Y87)/2)+(C87/(D87*((X87+Y87)/2)))^2/(2*9.81)+B87-(G86+H86^2/(2*9.81))-(A86-A87)*(((DATOS!$B$34*(C87/(D87*((X87+Y87)/2)))/((D87*((X87+Y87)/2))/(D87+2*((X87+Y87)/2)))^(2/3))^2+((DATOS!$B$34*H86/((D86*F86)/(D86+2*F86))^(2/3))^2))/2))&gt;0,X87,((X87+Y87)/2))</f>
        <v/>
      </c>
      <c r="AA87" s="5">
        <f>IF((((X87+Y87)/2)+(C87/(D87*((X87+Y87)/2)))^2/(2*9.81)+B87-(G86+H86^2/(2*9.81))-(A86-A87)*(((DATOS!$B$34*(C87/(D87*((X87+Y87)/2)))/((D87*((X87+Y87)/2))/(D87+2*((X87+Y87)/2)))^(2/3))^2+((DATOS!$B$34*H86/((D86*F86)/(D86+2*F86))^(2/3))^2))/2))&gt;0,((X87+Y87)/2),Y87)</f>
        <v/>
      </c>
      <c r="AB87" s="5">
        <f>IF((((Z87+AA87)/2)+(C87/(D87*((Z87+AA87)/2)))^2/(2*9.81)+B87-(G86+H86^2/(2*9.81))-(A86-A87)*(((DATOS!$B$34*(C87/(D87*((Z87+AA87)/2)))/((D87*((Z87+AA87)/2))/(D87+2*((Z87+AA87)/2)))^(2/3))^2+((DATOS!$B$34*H86/((D86*F86)/(D86+2*F86))^(2/3))^2))/2))&gt;0,Z87,((Z87+AA87)/2))</f>
        <v/>
      </c>
      <c r="AC87" s="5">
        <f>IF((((Z87+AA87)/2)+(C87/(D87*((Z87+AA87)/2)))^2/(2*9.81)+B87-(G86+H86^2/(2*9.81))-(A86-A87)*(((DATOS!$B$34*(C87/(D87*((Z87+AA87)/2)))/((D87*((Z87+AA87)/2))/(D87+2*((Z87+AA87)/2)))^(2/3))^2+((DATOS!$B$34*H86/((D86*F86)/(D86+2*F86))^(2/3))^2))/2))&gt;0,((Z87+AA87)/2),AA87)</f>
        <v/>
      </c>
      <c r="AD87" s="5">
        <f>IF((((AB87+AC87)/2)+(C87/(D87*((AB87+AC87)/2)))^2/(2*9.81)+B87-(G86+H86^2/(2*9.81))-(A86-A87)*(((DATOS!$B$34*(C87/(D87*((AB87+AC87)/2)))/((D87*((AB87+AC87)/2))/(D87+2*((AB87+AC87)/2)))^(2/3))^2+((DATOS!$B$34*H86/((D86*F86)/(D86+2*F86))^(2/3))^2))/2))&gt;0,AB87,((AB87+AC87)/2))</f>
        <v/>
      </c>
      <c r="AE87" s="5">
        <f>IF((((AB87+AC87)/2)+(C87/(D87*((AB87+AC87)/2)))^2/(2*9.81)+B87-(G86+H86^2/(2*9.81))-(A86-A87)*(((DATOS!$B$34*(C87/(D87*((AB87+AC87)/2)))/((D87*((AB87+AC87)/2))/(D87+2*((AB87+AC87)/2)))^(2/3))^2+((DATOS!$B$34*H86/((D86*F86)/(D86+2*F86))^(2/3))^2))/2))&gt;0,((AB87+AC87)/2),AC87)</f>
        <v/>
      </c>
      <c r="AF87" s="5">
        <f>IF((((AD87+AE87)/2)+(C87/(D87*((AD87+AE87)/2)))^2/(2*9.81)+B87-(G86+H86^2/(2*9.81))-(A86-A87)*(((DATOS!$B$34*(C87/(D87*((AD87+AE87)/2)))/((D87*((AD87+AE87)/2))/(D87+2*((AD87+AE87)/2)))^(2/3))^2+((DATOS!$B$34*H86/((D86*F86)/(D86+2*F86))^(2/3))^2))/2))&gt;0,AD87,((AD87+AE87)/2))</f>
        <v/>
      </c>
      <c r="AG87" s="5">
        <f>IF((((AD87+AE87)/2)+(C87/(D87*((AD87+AE87)/2)))^2/(2*9.81)+B87-(G86+H86^2/(2*9.81))-(A86-A87)*(((DATOS!$B$34*(C87/(D87*((AD87+AE87)/2)))/((D87*((AD87+AE87)/2))/(D87+2*((AD87+AE87)/2)))^(2/3))^2+((DATOS!$B$34*H86/((D86*F86)/(D86+2*F86))^(2/3))^2))/2))&gt;0,((AD87+AE87)/2),AE87)</f>
        <v/>
      </c>
      <c r="AH87" s="5">
        <f>IF((((AF87+AG87)/2)+(C87/(D87*((AF87+AG87)/2)))^2/(2*9.81)+B87-(G86+H86^2/(2*9.81))-(A86-A87)*(((DATOS!$B$34*(C87/(D87*((AF87+AG87)/2)))/((D87*((AF87+AG87)/2))/(D87+2*((AF87+AG87)/2)))^(2/3))^2+((DATOS!$B$34*H86/((D86*F86)/(D86+2*F86))^(2/3))^2))/2))&gt;0,AF87,((AF87+AG87)/2))</f>
        <v/>
      </c>
      <c r="AI87" s="5">
        <f>IF((((AF87+AG87)/2)+(C87/(D87*((AF87+AG87)/2)))^2/(2*9.81)+B87-(G86+H86^2/(2*9.81))-(A86-A87)*(((DATOS!$B$34*(C87/(D87*((AF87+AG87)/2)))/((D87*((AF87+AG87)/2))/(D87+2*((AF87+AG87)/2)))^(2/3))^2+((DATOS!$B$34*H86/((D86*F86)/(D86+2*F86))^(2/3))^2))/2))&gt;0,((AF87+AG87)/2),AG87)</f>
        <v/>
      </c>
      <c r="AJ87" s="5">
        <f>IF((((AH87+AI87)/2)+(C87/(D87*((AH87+AI87)/2)))^2/(2*9.81)+B87-(G86+H86^2/(2*9.81))-(A86-A87)*(((DATOS!$B$34*(C87/(D87*((AH87+AI87)/2)))/((D87*((AH87+AI87)/2))/(D87+2*((AH87+AI87)/2)))^(2/3))^2+((DATOS!$B$34*H86/((D86*F86)/(D86+2*F86))^(2/3))^2))/2))&gt;0,AH87,((AH87+AI87)/2))</f>
        <v/>
      </c>
      <c r="AK87" s="5">
        <f>IF((((AH87+AI87)/2)+(C87/(D87*((AH87+AI87)/2)))^2/(2*9.81)+B87-(G86+H86^2/(2*9.81))-(A86-A87)*(((DATOS!$B$34*(C87/(D87*((AH87+AI87)/2)))/((D87*((AH87+AI87)/2))/(D87+2*((AH87+AI87)/2)))^(2/3))^2+((DATOS!$B$34*H86/((D86*F86)/(D86+2*F86))^(2/3))^2))/2))&gt;0,((AH87+AI87)/2),AI87)</f>
        <v/>
      </c>
      <c r="AL87" s="5">
        <f>IF((((AJ87+AK87)/2)+(C87/(D87*((AJ87+AK87)/2)))^2/(2*9.81)+B87-(G86+H86^2/(2*9.81))-(A86-A87)*(((DATOS!$B$34*(C87/(D87*((AJ87+AK87)/2)))/((D87*((AJ87+AK87)/2))/(D87+2*((AJ87+AK87)/2)))^(2/3))^2+((DATOS!$B$34*H86/((D86*F86)/(D86+2*F86))^(2/3))^2))/2))&gt;0,AJ87,((AJ87+AK87)/2))</f>
        <v/>
      </c>
      <c r="AM87" s="5">
        <f>IF((((AJ87+AK87)/2)+(C87/(D87*((AJ87+AK87)/2)))^2/(2*9.81)+B87-(G86+H86^2/(2*9.81))-(A86-A87)*(((DATOS!$B$34*(C87/(D87*((AJ87+AK87)/2)))/((D87*((AJ87+AK87)/2))/(D87+2*((AJ87+AK87)/2)))^(2/3))^2+((DATOS!$B$34*H86/((D86*F86)/(D86+2*F86))^(2/3))^2))/2))&gt;0,((AJ87+AK87)/2),AK87)</f>
        <v/>
      </c>
      <c r="AN87" s="5">
        <f>IF((((AL87+AM87)/2)+(C87/(D87*((AL87+AM87)/2)))^2/(2*9.81)+B87-(G86+H86^2/(2*9.81))-(A86-A87)*(((DATOS!$B$34*(C87/(D87*((AL87+AM87)/2)))/((D87*((AL87+AM87)/2))/(D87+2*((AL87+AM87)/2)))^(2/3))^2+((DATOS!$B$34*H86/((D86*F86)/(D86+2*F86))^(2/3))^2))/2))&gt;0,AL87,((AL87+AM87)/2))</f>
        <v/>
      </c>
      <c r="AO87" s="5">
        <f>IF((((AL87+AM87)/2)+(C87/(D87*((AL87+AM87)/2)))^2/(2*9.81)+B87-(G86+H86^2/(2*9.81))-(A86-A87)*(((DATOS!$B$34*(C87/(D87*((AL87+AM87)/2)))/((D87*((AL87+AM87)/2))/(D87+2*((AL87+AM87)/2)))^(2/3))^2+((DATOS!$B$34*H86/((D86*F86)/(D86+2*F86))^(2/3))^2))/2))&gt;0,((AL87+AM87)/2),AM87)</f>
        <v/>
      </c>
      <c r="AP87" s="5">
        <f>IF((((AN87+AO87)/2)+(C87/(D87*((AN87+AO87)/2)))^2/(2*9.81)+B87-(G86+H86^2/(2*9.81))-(A86-A87)*(((DATOS!$B$34*(C87/(D87*((AN87+AO87)/2)))/((D87*((AN87+AO87)/2))/(D87+2*((AN87+AO87)/2)))^(2/3))^2+((DATOS!$B$34*H86/((D86*F86)/(D86+2*F86))^(2/3))^2))/2))&gt;0,AN87,((AN87+AO87)/2))</f>
        <v/>
      </c>
      <c r="AQ87" s="5">
        <f>IF((((AN87+AO87)/2)+(C87/(D87*((AN87+AO87)/2)))^2/(2*9.81)+B87-(G86+H86^2/(2*9.81))-(A86-A87)*(((DATOS!$B$34*(C87/(D87*((AN87+AO87)/2)))/((D87*((AN87+AO87)/2))/(D87+2*((AN87+AO87)/2)))^(2/3))^2+((DATOS!$B$34*H86/((D86*F86)/(D86+2*F86))^(2/3))^2))/2))&gt;0,((AN87+AO87)/2),AO87)</f>
        <v/>
      </c>
      <c r="AR87" s="5">
        <f>IF((((AP87+AQ87)/2)+(C87/(D87*((AP87+AQ87)/2)))^2/(2*9.81)+B87-(G86+H86^2/(2*9.81))-(A86-A87)*(((DATOS!$B$34*(C87/(D87*((AP87+AQ87)/2)))/((D87*((AP87+AQ87)/2))/(D87+2*((AP87+AQ87)/2)))^(2/3))^2+((DATOS!$B$34*H86/((D86*F86)/(D86+2*F86))^(2/3))^2))/2))&gt;0,AP87,((AP87+AQ87)/2))</f>
        <v/>
      </c>
      <c r="AS87" s="5">
        <f>IF((((AP87+AQ87)/2)+(C87/(D87*((AP87+AQ87)/2)))^2/(2*9.81)+B87-(G86+H86^2/(2*9.81))-(A86-A87)*(((DATOS!$B$34*(C87/(D87*((AP87+AQ87)/2)))/((D87*((AP87+AQ87)/2))/(D87+2*((AP87+AQ87)/2)))^(2/3))^2+((DATOS!$B$34*H86/((D86*F86)/(D86+2*F86))^(2/3))^2))/2))&gt;0,((AP87+AQ87)/2),AQ87)</f>
        <v/>
      </c>
      <c r="AT87" s="5">
        <f>IF((((AR87+AS87)/2)+(C87/(D87*((AR87+AS87)/2)))^2/(2*9.81)+B87-(G86+H86^2/(2*9.81))-(A86-A87)*(((DATOS!$B$34*(C87/(D87*((AR87+AS87)/2)))/((D87*((AR87+AS87)/2))/(D87+2*((AR87+AS87)/2)))^(2/3))^2+((DATOS!$B$34*H86/((D86*F86)/(D86+2*F86))^(2/3))^2))/2))&gt;0,AR87,((AR87+AS87)/2))</f>
        <v/>
      </c>
      <c r="AU87" s="5">
        <f>IF((((AR87+AS87)/2)+(C87/(D87*((AR87+AS87)/2)))^2/(2*9.81)+B87-(G86+H86^2/(2*9.81))-(A86-A87)*(((DATOS!$B$34*(C87/(D87*((AR87+AS87)/2)))/((D87*((AR87+AS87)/2))/(D87+2*((AR87+AS87)/2)))^(2/3))^2+((DATOS!$B$34*H86/((D86*F86)/(D86+2*F86))^(2/3))^2))/2))&gt;0,((AR87+AS87)/2),AS87)</f>
        <v/>
      </c>
      <c r="AV87" s="5">
        <f>IF((((AT87+AU87)/2)+(C87/(D87*((AT87+AU87)/2)))^2/(2*9.81)+B87-(G86+H86^2/(2*9.81))-(A86-A87)*(((DATOS!$B$34*(C87/(D87*((AT87+AU87)/2)))/((D87*((AT87+AU87)/2))/(D87+2*((AT87+AU87)/2)))^(2/3))^2+((DATOS!$B$34*H86/((D86*F86)/(D86+2*F86))^(2/3))^2))/2))&gt;0,AT87,((AT87+AU87)/2))</f>
        <v/>
      </c>
      <c r="AW87" s="5">
        <f>IF((((AT87+AU87)/2)+(C87/(D87*((AT87+AU87)/2)))^2/(2*9.81)+B87-(G86+H86^2/(2*9.81))-(A86-A87)*(((DATOS!$B$34*(C87/(D87*((AT87+AU87)/2)))/((D87*((AT87+AU87)/2))/(D87+2*((AT87+AU87)/2)))^(2/3))^2+((DATOS!$B$34*H86/((D86*F86)/(D86+2*F86))^(2/3))^2))/2))&gt;0,((AT87+AU87)/2),AU87)</f>
        <v/>
      </c>
      <c r="AX87" s="5">
        <f>IF((((AV87+AW87)/2)+(C87/(D87*((AV87+AW87)/2)))^2/(2*9.81)+B87-(G86+H86^2/(2*9.81))-(A86-A87)*(((DATOS!$B$34*(C87/(D87*((AV87+AW87)/2)))/((D87*((AV87+AW87)/2))/(D87+2*((AV87+AW87)/2)))^(2/3))^2+((DATOS!$B$34*H86/((D86*F86)/(D86+2*F86))^(2/3))^2))/2))&gt;0,AV87,((AV87+AW87)/2))</f>
        <v/>
      </c>
      <c r="AY87" s="5">
        <f>IF((((AV87+AW87)/2)+(C87/(D87*((AV87+AW87)/2)))^2/(2*9.81)+B87-(G86+H86^2/(2*9.81))-(A86-A87)*(((DATOS!$B$34*(C87/(D87*((AV87+AW87)/2)))/((D87*((AV87+AW87)/2))/(D87+2*((AV87+AW87)/2)))^(2/3))^2+((DATOS!$B$34*H86/((D86*F86)/(D86+2*F86))^(2/3))^2))/2))&gt;0,((AV87+AW87)/2),AW87)</f>
        <v/>
      </c>
      <c r="AZ87" s="5">
        <f>IF((((AX87+AY87)/2)+(C87/(D87*((AX87+AY87)/2)))^2/(2*9.81)+B87-(G86+H86^2/(2*9.81))-(A86-A87)*(((DATOS!$B$34*(C87/(D87*((AX87+AY87)/2)))/((D87*((AX87+AY87)/2))/(D87+2*((AX87+AY87)/2)))^(2/3))^2+((DATOS!$B$34*H86/((D86*F86)/(D86+2*F86))^(2/3))^2))/2))&gt;0,AX87,((AX87+AY87)/2))</f>
        <v/>
      </c>
      <c r="BA87" s="5">
        <f>IF((((AX87+AY87)/2)+(C87/(D87*((AX87+AY87)/2)))^2/(2*9.81)+B87-(G86+H86^2/(2*9.81))-(A86-A87)*(((DATOS!$B$34*(C87/(D87*((AX87+AY87)/2)))/((D87*((AX87+AY87)/2))/(D87+2*((AX87+AY87)/2)))^(2/3))^2+((DATOS!$B$34*H86/((D86*F86)/(D86+2*F86))^(2/3))^2))/2))&gt;0,((AX87+AY87)/2),AY87)</f>
        <v/>
      </c>
      <c r="BB87" s="5">
        <f>IF((((AZ87+BA87)/2)+(C87/(D87*((AZ87+BA87)/2)))^2/(2*9.81)+B87-(G86+H86^2/(2*9.81))-(A86-A87)*(((DATOS!$B$34*(C87/(D87*((AZ87+BA87)/2)))/((D87*((AZ87+BA87)/2))/(D87+2*((AZ87+BA87)/2)))^(2/3))^2+((DATOS!$B$34*H86/((D86*F86)/(D86+2*F86))^(2/3))^2))/2))&gt;0,AZ87,((AZ87+BA87)/2))</f>
        <v/>
      </c>
      <c r="BC87" s="5">
        <f>IF((((AZ87+BA87)/2)+(C87/(D87*((AZ87+BA87)/2)))^2/(2*9.81)+B87-(G86+H86^2/(2*9.81))-(A86-A87)*(((DATOS!$B$34*(C87/(D87*((AZ87+BA87)/2)))/((D87*((AZ87+BA87)/2))/(D87+2*((AZ87+BA87)/2)))^(2/3))^2+((DATOS!$B$34*H86/((D86*F86)/(D86+2*F86))^(2/3))^2))/2))&gt;0,((AZ87+BA87)/2),BA87)</f>
        <v/>
      </c>
      <c r="BD87" s="5">
        <f>IF((((BB87+BC87)/2)+(C87/(D87*((BB87+BC87)/2)))^2/(2*9.81)+B87-(G86+H86^2/(2*9.81))-(A86-A87)*(((DATOS!$B$34*(C87/(D87*((BB87+BC87)/2)))/((D87*((BB87+BC87)/2))/(D87+2*((BB87+BC87)/2)))^(2/3))^2+((DATOS!$B$34*H86/((D86*F86)/(D86+2*F86))^(2/3))^2))/2))&gt;0,BB87,((BB87+BC87)/2))</f>
        <v/>
      </c>
      <c r="BE87" s="5">
        <f>IF((((BB87+BC87)/2)+(C87/(D87*((BB87+BC87)/2)))^2/(2*9.81)+B87-(G86+H86^2/(2*9.81))-(A86-A87)*(((DATOS!$B$34*(C87/(D87*((BB87+BC87)/2)))/((D87*((BB87+BC87)/2))/(D87+2*((BB87+BC87)/2)))^(2/3))^2+((DATOS!$B$34*H86/((D86*F86)/(D86+2*F86))^(2/3))^2))/2))&gt;0,((BB87+BC87)/2),BC87)</f>
        <v/>
      </c>
      <c r="BF87" s="5">
        <f>IF((((BD87+BE87)/2)+(C87/(D87*((BD87+BE87)/2)))^2/(2*9.81)+B87-(G86+H86^2/(2*9.81))-(A86-A87)*(((DATOS!$B$34*(C87/(D87*((BD87+BE87)/2)))/((D87*((BD87+BE87)/2))/(D87+2*((BD87+BE87)/2)))^(2/3))^2+((DATOS!$B$34*H86/((D86*F86)/(D86+2*F86))^(2/3))^2))/2))&gt;0,BD87,((BD87+BE87)/2))</f>
        <v/>
      </c>
      <c r="BG87" s="5">
        <f>IF((((BD87+BE87)/2)+(C87/(D87*((BD87+BE87)/2)))^2/(2*9.81)+B87-(G86+H86^2/(2*9.81))-(A86-A87)*(((DATOS!$B$34*(C87/(D87*((BD87+BE87)/2)))/((D87*((BD87+BE87)/2))/(D87+2*((BD87+BE87)/2)))^(2/3))^2+((DATOS!$B$34*H86/((D86*F86)/(D86+2*F86))^(2/3))^2))/2))&gt;0,((BD87+BE87)/2),BE87)</f>
        <v/>
      </c>
      <c r="BH87" s="5">
        <f>IF((((BF87+BG87)/2)+(C87/(D87*((BF87+BG87)/2)))^2/(2*9.81)+B87-(G86+H86^2/(2*9.81))-(A86-A87)*(((DATOS!$B$34*(C87/(D87*((BF87+BG87)/2)))/((D87*((BF87+BG87)/2))/(D87+2*((BF87+BG87)/2)))^(2/3))^2+((DATOS!$B$34*H86/((D86*F86)/(D86+2*F86))^(2/3))^2))/2))&gt;0,BF87,((BF87+BG87)/2))</f>
        <v/>
      </c>
      <c r="BI87" s="5">
        <f>IF((((BF87+BG87)/2)+(C87/(D87*((BF87+BG87)/2)))^2/(2*9.81)+B87-(G86+H86^2/(2*9.81))-(A86-A87)*(((DATOS!$B$34*(C87/(D87*((BF87+BG87)/2)))/((D87*((BF87+BG87)/2))/(D87+2*((BF87+BG87)/2)))^(2/3))^2+((DATOS!$B$34*H86/((D86*F86)/(D86+2*F86))^(2/3))^2))/2))&gt;0,((BF87+BG87)/2),BG87)</f>
        <v/>
      </c>
      <c r="BJ87" s="5">
        <f>IF((((BH87+BI87)/2)+(C87/(D87*((BH87+BI87)/2)))^2/(2*9.81)+B87-(G86+H86^2/(2*9.81))-(A86-A87)*(((DATOS!$B$34*(C87/(D87*((BH87+BI87)/2)))/((D87*((BH87+BI87)/2))/(D87+2*((BH87+BI87)/2)))^(2/3))^2+((DATOS!$B$34*H86/((D86*F86)/(D86+2*F86))^(2/3))^2))/2))&gt;0,BH87,((BH87+BI87)/2))</f>
        <v/>
      </c>
      <c r="BK87" s="5">
        <f>IF((((BH87+BI87)/2)+(C87/(D87*((BH87+BI87)/2)))^2/(2*9.81)+B87-(G86+H86^2/(2*9.81))-(A86-A87)*(((DATOS!$B$34*(C87/(D87*((BH87+BI87)/2)))/((D87*((BH87+BI87)/2))/(D87+2*((BH87+BI87)/2)))^(2/3))^2+((DATOS!$B$34*H86/((D86*F86)/(D86+2*F86))^(2/3))^2))/2))&gt;0,((BH87+BI87)/2),BI87)</f>
        <v/>
      </c>
      <c r="BL87" s="5">
        <f>IF((((BJ87+BK87)/2)+(C87/(D87*((BJ87+BK87)/2)))^2/(2*9.81)+B87-(G86+H86^2/(2*9.81))-(A86-A87)*(((DATOS!$B$34*(C87/(D87*((BJ87+BK87)/2)))/((D87*((BJ87+BK87)/2))/(D87+2*((BJ87+BK87)/2)))^(2/3))^2+((DATOS!$B$34*H86/((D86*F86)/(D86+2*F86))^(2/3))^2))/2))&gt;0,BJ87,((BJ87+BK87)/2))</f>
        <v/>
      </c>
      <c r="BM87" s="5">
        <f>IF((((BJ87+BK87)/2)+(C87/(D87*((BJ87+BK87)/2)))^2/(2*9.81)+B87-(G86+H86^2/(2*9.81))-(A86-A87)*(((DATOS!$B$34*(C87/(D87*((BJ87+BK87)/2)))/((D87*((BJ87+BK87)/2))/(D87+2*((BJ87+BK87)/2)))^(2/3))^2+((DATOS!$B$34*H86/((D86*F86)/(D86+2*F86))^(2/3))^2))/2))&gt;0,((BJ87+BK87)/2),BK87)</f>
        <v/>
      </c>
      <c r="BN87" s="5">
        <f>IF((((BL87+BM87)/2)+(C87/(D87*((BL87+BM87)/2)))^2/(2*9.81)+B87-(G86+H86^2/(2*9.81))-(A86-A87)*(((DATOS!$B$34*(C87/(D87*((BL87+BM87)/2)))/((D87*((BL87+BM87)/2))/(D87+2*((BL87+BM87)/2)))^(2/3))^2+((DATOS!$B$34*H86/((D86*F86)/(D86+2*F86))^(2/3))^2))/2))&gt;0,BL87,((BL87+BM87)/2))</f>
        <v/>
      </c>
      <c r="BO87" s="5">
        <f>IF((((BL87+BM87)/2)+(C87/(D87*((BL87+BM87)/2)))^2/(2*9.81)+B87-(G86+H86^2/(2*9.81))-(A86-A87)*(((DATOS!$B$34*(C87/(D87*((BL87+BM87)/2)))/((D87*((BL87+BM87)/2))/(D87+2*((BL87+BM87)/2)))^(2/3))^2+((DATOS!$B$34*H86/((D86*F86)/(D86+2*F86))^(2/3))^2))/2))&gt;0,((BL87+BM87)/2),BM87)</f>
        <v/>
      </c>
      <c r="BP87" s="5">
        <f>IF((((BN87+BO87)/2)+(C87/(D87*((BN87+BO87)/2)))^2/(2*9.81)+B87-(G86+H86^2/(2*9.81))-(A86-A87)*(((DATOS!$B$34*(C87/(D87*((BN87+BO87)/2)))/((D87*((BN87+BO87)/2))/(D87+2*((BN87+BO87)/2)))^(2/3))^2+((DATOS!$B$34*H86/((D86*F86)/(D86+2*F86))^(2/3))^2))/2))&gt;0,BN87,((BN87+BO87)/2))</f>
        <v/>
      </c>
      <c r="BQ87" s="5">
        <f>IF((((BN87+BO87)/2)+(C87/(D87*((BN87+BO87)/2)))^2/(2*9.81)+B87-(G86+H86^2/(2*9.81))-(A86-A87)*(((DATOS!$B$34*(C87/(D87*((BN87+BO87)/2)))/((D87*((BN87+BO87)/2))/(D87+2*((BN87+BO87)/2)))^(2/3))^2+((DATOS!$B$34*H86/((D86*F86)/(D86+2*F86))^(2/3))^2))/2))&gt;0,((BN87+BO87)/2),BO87)</f>
        <v/>
      </c>
      <c r="BR87" s="5">
        <f>IF((((BP87+BQ87)/2)+(C87/(D87*((BP87+BQ87)/2)))^2/(2*9.81)+B87-(G86+H86^2/(2*9.81))-(A86-A87)*(((DATOS!$B$34*(C87/(D87*((BP87+BQ87)/2)))/((D87*((BP87+BQ87)/2))/(D87+2*((BP87+BQ87)/2)))^(2/3))^2+((DATOS!$B$34*H86/((D86*F86)/(D86+2*F86))^(2/3))^2))/2))&gt;0,BP87,((BP87+BQ87)/2))</f>
        <v/>
      </c>
      <c r="BS87" s="5">
        <f>IF((((BP87+BQ87)/2)+(C87/(D87*((BP87+BQ87)/2)))^2/(2*9.81)+B87-(G86+H86^2/(2*9.81))-(A86-A87)*(((DATOS!$B$34*(C87/(D87*((BP87+BQ87)/2)))/((D87*((BP87+BQ87)/2))/(D87+2*((BP87+BQ87)/2)))^(2/3))^2+((DATOS!$B$34*H86/((D86*F86)/(D86+2*F86))^(2/3))^2))/2))&gt;0,((BP87+BQ87)/2),BQ87)</f>
        <v/>
      </c>
      <c r="BT87" s="5">
        <f>IF((((BR87+BS87)/2)+(C87/(D87*((BR87+BS87)/2)))^2/(2*9.81)+B87-(G86+H86^2/(2*9.81))-(A86-A87)*(((DATOS!$B$34*(C87/(D87*((BR87+BS87)/2)))/((D87*((BR87+BS87)/2))/(D87+2*((BR87+BS87)/2)))^(2/3))^2+((DATOS!$B$34*H86/((D86*F86)/(D86+2*F86))^(2/3))^2))/2))&gt;0,BR87,((BR87+BS87)/2))</f>
        <v/>
      </c>
      <c r="BU87" s="5">
        <f>IF((((BR87+BS87)/2)+(C87/(D87*((BR87+BS87)/2)))^2/(2*9.81)+B87-(G86+H86^2/(2*9.81))-(A86-A87)*(((DATOS!$B$34*(C87/(D87*((BR87+BS87)/2)))/((D87*((BR87+BS87)/2))/(D87+2*((BR87+BS87)/2)))^(2/3))^2+((DATOS!$B$34*H86/((D86*F86)/(D86+2*F86))^(2/3))^2))/2))&gt;0,((BR87+BS87)/2),BS87)</f>
        <v/>
      </c>
      <c r="BV87" s="5">
        <f>IF((((BT87+BU87)/2)+(C87/(D87*((BT87+BU87)/2)))^2/(2*9.81)+B87-(G86+H86^2/(2*9.81))-(A86-A87)*(((DATOS!$B$34*(C87/(D87*((BT87+BU87)/2)))/((D87*((BT87+BU87)/2))/(D87+2*((BT87+BU87)/2)))^(2/3))^2+((DATOS!$B$34*H86/((D86*F86)/(D86+2*F86))^(2/3))^2))/2))&gt;0,BT87,((BT87+BU87)/2))</f>
        <v/>
      </c>
      <c r="BW87" s="5">
        <f>IF((((BT87+BU87)/2)+(C87/(D87*((BT87+BU87)/2)))^2/(2*9.81)+B87-(G86+H86^2/(2*9.81))-(A86-A87)*(((DATOS!$B$34*(C87/(D87*((BT87+BU87)/2)))/((D87*((BT87+BU87)/2))/(D87+2*((BT87+BU87)/2)))^(2/3))^2+((DATOS!$B$34*H86/((D86*F86)/(D86+2*F86))^(2/3))^2))/2))&gt;0,((BT87+BU87)/2),BU87)</f>
        <v/>
      </c>
    </row>
    <row r="88">
      <c r="A88" s="13" t="n">
        <v>1.07</v>
      </c>
      <c r="B88" s="16">
        <f>DATOS!$B$22-DATOS!$B$23*A88</f>
        <v/>
      </c>
      <c r="C88" s="24">
        <f>CAUDALES!$B$13</f>
        <v/>
      </c>
      <c r="D88" s="17">
        <f>DATOS!$B$17</f>
        <v/>
      </c>
      <c r="E88" s="16">
        <f>(C88^2/(9.81*D88^2))^(1/3)</f>
        <v/>
      </c>
      <c r="F88" s="16">
        <f>(BV88+BW88)/2</f>
        <v/>
      </c>
      <c r="G88" s="16">
        <f>B88+F88</f>
        <v/>
      </c>
      <c r="H88" s="19">
        <f>C88/(D88*F88)</f>
        <v/>
      </c>
      <c r="I88" s="19">
        <f>H88/SQRT(9.81*F88)</f>
        <v/>
      </c>
      <c r="J88" s="16">
        <f>DATOS!$B$29-IF(AND(A88&gt;=DATOS!$B$30,A88&lt;DATOS!$B$31),DATOS!$B$21,DATOS!$B$20)</f>
        <v/>
      </c>
      <c r="K88" s="19">
        <f>J88-B88</f>
        <v/>
      </c>
      <c r="L88" s="19">
        <f>F88/K88</f>
        <v/>
      </c>
      <c r="M88" s="16">
        <f>J88-G88</f>
        <v/>
      </c>
      <c r="N88" s="5">
        <f>IF(AND(L88&lt;=DATOS!$B$36,M88&gt;=DATOS!$B$37,I88&lt;=1),"CUMPLE","NO CUMPLE")</f>
        <v/>
      </c>
      <c r="O88" s="5">
        <f>IF(AND(A88&gt;=DATOS!$B$30,A88&lt;DATOS!$B$31),"cruce de camiones",IF(AND(A88&gt;=DATOS!$B$32,A88&lt;DATOS!$B$33),"cruce de motos","tramo normal"))</f>
        <v/>
      </c>
      <c r="P88" s="5">
        <f>E88*1.001</f>
        <v/>
      </c>
      <c r="Q88" s="13" t="n">
        <v>3</v>
      </c>
      <c r="R88" s="5">
        <f>IF((((P88+Q88)/2)+(C88/(D88*((P88+Q88)/2)))^2/(2*9.81)+B88-(G87+H87^2/(2*9.81))-(A87-A88)*(((DATOS!$B$34*(C88/(D88*((P88+Q88)/2)))/((D88*((P88+Q88)/2))/(D88+2*((P88+Q88)/2)))^(2/3))^2+((DATOS!$B$34*H87/((D87*F87)/(D87+2*F87))^(2/3))^2))/2))&gt;0,P88,((P88+Q88)/2))</f>
        <v/>
      </c>
      <c r="S88" s="5">
        <f>IF((((P88+Q88)/2)+(C88/(D88*((P88+Q88)/2)))^2/(2*9.81)+B88-(G87+H87^2/(2*9.81))-(A87-A88)*(((DATOS!$B$34*(C88/(D88*((P88+Q88)/2)))/((D88*((P88+Q88)/2))/(D88+2*((P88+Q88)/2)))^(2/3))^2+((DATOS!$B$34*H87/((D87*F87)/(D87+2*F87))^(2/3))^2))/2))&gt;0,((P88+Q88)/2),Q88)</f>
        <v/>
      </c>
      <c r="T88" s="5">
        <f>IF((((R88+S88)/2)+(C88/(D88*((R88+S88)/2)))^2/(2*9.81)+B88-(G87+H87^2/(2*9.81))-(A87-A88)*(((DATOS!$B$34*(C88/(D88*((R88+S88)/2)))/((D88*((R88+S88)/2))/(D88+2*((R88+S88)/2)))^(2/3))^2+((DATOS!$B$34*H87/((D87*F87)/(D87+2*F87))^(2/3))^2))/2))&gt;0,R88,((R88+S88)/2))</f>
        <v/>
      </c>
      <c r="U88" s="5">
        <f>IF((((R88+S88)/2)+(C88/(D88*((R88+S88)/2)))^2/(2*9.81)+B88-(G87+H87^2/(2*9.81))-(A87-A88)*(((DATOS!$B$34*(C88/(D88*((R88+S88)/2)))/((D88*((R88+S88)/2))/(D88+2*((R88+S88)/2)))^(2/3))^2+((DATOS!$B$34*H87/((D87*F87)/(D87+2*F87))^(2/3))^2))/2))&gt;0,((R88+S88)/2),S88)</f>
        <v/>
      </c>
      <c r="V88" s="5">
        <f>IF((((T88+U88)/2)+(C88/(D88*((T88+U88)/2)))^2/(2*9.81)+B88-(G87+H87^2/(2*9.81))-(A87-A88)*(((DATOS!$B$34*(C88/(D88*((T88+U88)/2)))/((D88*((T88+U88)/2))/(D88+2*((T88+U88)/2)))^(2/3))^2+((DATOS!$B$34*H87/((D87*F87)/(D87+2*F87))^(2/3))^2))/2))&gt;0,T88,((T88+U88)/2))</f>
        <v/>
      </c>
      <c r="W88" s="5">
        <f>IF((((T88+U88)/2)+(C88/(D88*((T88+U88)/2)))^2/(2*9.81)+B88-(G87+H87^2/(2*9.81))-(A87-A88)*(((DATOS!$B$34*(C88/(D88*((T88+U88)/2)))/((D88*((T88+U88)/2))/(D88+2*((T88+U88)/2)))^(2/3))^2+((DATOS!$B$34*H87/((D87*F87)/(D87+2*F87))^(2/3))^2))/2))&gt;0,((T88+U88)/2),U88)</f>
        <v/>
      </c>
      <c r="X88" s="5">
        <f>IF((((V88+W88)/2)+(C88/(D88*((V88+W88)/2)))^2/(2*9.81)+B88-(G87+H87^2/(2*9.81))-(A87-A88)*(((DATOS!$B$34*(C88/(D88*((V88+W88)/2)))/((D88*((V88+W88)/2))/(D88+2*((V88+W88)/2)))^(2/3))^2+((DATOS!$B$34*H87/((D87*F87)/(D87+2*F87))^(2/3))^2))/2))&gt;0,V88,((V88+W88)/2))</f>
        <v/>
      </c>
      <c r="Y88" s="5">
        <f>IF((((V88+W88)/2)+(C88/(D88*((V88+W88)/2)))^2/(2*9.81)+B88-(G87+H87^2/(2*9.81))-(A87-A88)*(((DATOS!$B$34*(C88/(D88*((V88+W88)/2)))/((D88*((V88+W88)/2))/(D88+2*((V88+W88)/2)))^(2/3))^2+((DATOS!$B$34*H87/((D87*F87)/(D87+2*F87))^(2/3))^2))/2))&gt;0,((V88+W88)/2),W88)</f>
        <v/>
      </c>
      <c r="Z88" s="5">
        <f>IF((((X88+Y88)/2)+(C88/(D88*((X88+Y88)/2)))^2/(2*9.81)+B88-(G87+H87^2/(2*9.81))-(A87-A88)*(((DATOS!$B$34*(C88/(D88*((X88+Y88)/2)))/((D88*((X88+Y88)/2))/(D88+2*((X88+Y88)/2)))^(2/3))^2+((DATOS!$B$34*H87/((D87*F87)/(D87+2*F87))^(2/3))^2))/2))&gt;0,X88,((X88+Y88)/2))</f>
        <v/>
      </c>
      <c r="AA88" s="5">
        <f>IF((((X88+Y88)/2)+(C88/(D88*((X88+Y88)/2)))^2/(2*9.81)+B88-(G87+H87^2/(2*9.81))-(A87-A88)*(((DATOS!$B$34*(C88/(D88*((X88+Y88)/2)))/((D88*((X88+Y88)/2))/(D88+2*((X88+Y88)/2)))^(2/3))^2+((DATOS!$B$34*H87/((D87*F87)/(D87+2*F87))^(2/3))^2))/2))&gt;0,((X88+Y88)/2),Y88)</f>
        <v/>
      </c>
      <c r="AB88" s="5">
        <f>IF((((Z88+AA88)/2)+(C88/(D88*((Z88+AA88)/2)))^2/(2*9.81)+B88-(G87+H87^2/(2*9.81))-(A87-A88)*(((DATOS!$B$34*(C88/(D88*((Z88+AA88)/2)))/((D88*((Z88+AA88)/2))/(D88+2*((Z88+AA88)/2)))^(2/3))^2+((DATOS!$B$34*H87/((D87*F87)/(D87+2*F87))^(2/3))^2))/2))&gt;0,Z88,((Z88+AA88)/2))</f>
        <v/>
      </c>
      <c r="AC88" s="5">
        <f>IF((((Z88+AA88)/2)+(C88/(D88*((Z88+AA88)/2)))^2/(2*9.81)+B88-(G87+H87^2/(2*9.81))-(A87-A88)*(((DATOS!$B$34*(C88/(D88*((Z88+AA88)/2)))/((D88*((Z88+AA88)/2))/(D88+2*((Z88+AA88)/2)))^(2/3))^2+((DATOS!$B$34*H87/((D87*F87)/(D87+2*F87))^(2/3))^2))/2))&gt;0,((Z88+AA88)/2),AA88)</f>
        <v/>
      </c>
      <c r="AD88" s="5">
        <f>IF((((AB88+AC88)/2)+(C88/(D88*((AB88+AC88)/2)))^2/(2*9.81)+B88-(G87+H87^2/(2*9.81))-(A87-A88)*(((DATOS!$B$34*(C88/(D88*((AB88+AC88)/2)))/((D88*((AB88+AC88)/2))/(D88+2*((AB88+AC88)/2)))^(2/3))^2+((DATOS!$B$34*H87/((D87*F87)/(D87+2*F87))^(2/3))^2))/2))&gt;0,AB88,((AB88+AC88)/2))</f>
        <v/>
      </c>
      <c r="AE88" s="5">
        <f>IF((((AB88+AC88)/2)+(C88/(D88*((AB88+AC88)/2)))^2/(2*9.81)+B88-(G87+H87^2/(2*9.81))-(A87-A88)*(((DATOS!$B$34*(C88/(D88*((AB88+AC88)/2)))/((D88*((AB88+AC88)/2))/(D88+2*((AB88+AC88)/2)))^(2/3))^2+((DATOS!$B$34*H87/((D87*F87)/(D87+2*F87))^(2/3))^2))/2))&gt;0,((AB88+AC88)/2),AC88)</f>
        <v/>
      </c>
      <c r="AF88" s="5">
        <f>IF((((AD88+AE88)/2)+(C88/(D88*((AD88+AE88)/2)))^2/(2*9.81)+B88-(G87+H87^2/(2*9.81))-(A87-A88)*(((DATOS!$B$34*(C88/(D88*((AD88+AE88)/2)))/((D88*((AD88+AE88)/2))/(D88+2*((AD88+AE88)/2)))^(2/3))^2+((DATOS!$B$34*H87/((D87*F87)/(D87+2*F87))^(2/3))^2))/2))&gt;0,AD88,((AD88+AE88)/2))</f>
        <v/>
      </c>
      <c r="AG88" s="5">
        <f>IF((((AD88+AE88)/2)+(C88/(D88*((AD88+AE88)/2)))^2/(2*9.81)+B88-(G87+H87^2/(2*9.81))-(A87-A88)*(((DATOS!$B$34*(C88/(D88*((AD88+AE88)/2)))/((D88*((AD88+AE88)/2))/(D88+2*((AD88+AE88)/2)))^(2/3))^2+((DATOS!$B$34*H87/((D87*F87)/(D87+2*F87))^(2/3))^2))/2))&gt;0,((AD88+AE88)/2),AE88)</f>
        <v/>
      </c>
      <c r="AH88" s="5">
        <f>IF((((AF88+AG88)/2)+(C88/(D88*((AF88+AG88)/2)))^2/(2*9.81)+B88-(G87+H87^2/(2*9.81))-(A87-A88)*(((DATOS!$B$34*(C88/(D88*((AF88+AG88)/2)))/((D88*((AF88+AG88)/2))/(D88+2*((AF88+AG88)/2)))^(2/3))^2+((DATOS!$B$34*H87/((D87*F87)/(D87+2*F87))^(2/3))^2))/2))&gt;0,AF88,((AF88+AG88)/2))</f>
        <v/>
      </c>
      <c r="AI88" s="5">
        <f>IF((((AF88+AG88)/2)+(C88/(D88*((AF88+AG88)/2)))^2/(2*9.81)+B88-(G87+H87^2/(2*9.81))-(A87-A88)*(((DATOS!$B$34*(C88/(D88*((AF88+AG88)/2)))/((D88*((AF88+AG88)/2))/(D88+2*((AF88+AG88)/2)))^(2/3))^2+((DATOS!$B$34*H87/((D87*F87)/(D87+2*F87))^(2/3))^2))/2))&gt;0,((AF88+AG88)/2),AG88)</f>
        <v/>
      </c>
      <c r="AJ88" s="5">
        <f>IF((((AH88+AI88)/2)+(C88/(D88*((AH88+AI88)/2)))^2/(2*9.81)+B88-(G87+H87^2/(2*9.81))-(A87-A88)*(((DATOS!$B$34*(C88/(D88*((AH88+AI88)/2)))/((D88*((AH88+AI88)/2))/(D88+2*((AH88+AI88)/2)))^(2/3))^2+((DATOS!$B$34*H87/((D87*F87)/(D87+2*F87))^(2/3))^2))/2))&gt;0,AH88,((AH88+AI88)/2))</f>
        <v/>
      </c>
      <c r="AK88" s="5">
        <f>IF((((AH88+AI88)/2)+(C88/(D88*((AH88+AI88)/2)))^2/(2*9.81)+B88-(G87+H87^2/(2*9.81))-(A87-A88)*(((DATOS!$B$34*(C88/(D88*((AH88+AI88)/2)))/((D88*((AH88+AI88)/2))/(D88+2*((AH88+AI88)/2)))^(2/3))^2+((DATOS!$B$34*H87/((D87*F87)/(D87+2*F87))^(2/3))^2))/2))&gt;0,((AH88+AI88)/2),AI88)</f>
        <v/>
      </c>
      <c r="AL88" s="5">
        <f>IF((((AJ88+AK88)/2)+(C88/(D88*((AJ88+AK88)/2)))^2/(2*9.81)+B88-(G87+H87^2/(2*9.81))-(A87-A88)*(((DATOS!$B$34*(C88/(D88*((AJ88+AK88)/2)))/((D88*((AJ88+AK88)/2))/(D88+2*((AJ88+AK88)/2)))^(2/3))^2+((DATOS!$B$34*H87/((D87*F87)/(D87+2*F87))^(2/3))^2))/2))&gt;0,AJ88,((AJ88+AK88)/2))</f>
        <v/>
      </c>
      <c r="AM88" s="5">
        <f>IF((((AJ88+AK88)/2)+(C88/(D88*((AJ88+AK88)/2)))^2/(2*9.81)+B88-(G87+H87^2/(2*9.81))-(A87-A88)*(((DATOS!$B$34*(C88/(D88*((AJ88+AK88)/2)))/((D88*((AJ88+AK88)/2))/(D88+2*((AJ88+AK88)/2)))^(2/3))^2+((DATOS!$B$34*H87/((D87*F87)/(D87+2*F87))^(2/3))^2))/2))&gt;0,((AJ88+AK88)/2),AK88)</f>
        <v/>
      </c>
      <c r="AN88" s="5">
        <f>IF((((AL88+AM88)/2)+(C88/(D88*((AL88+AM88)/2)))^2/(2*9.81)+B88-(G87+H87^2/(2*9.81))-(A87-A88)*(((DATOS!$B$34*(C88/(D88*((AL88+AM88)/2)))/((D88*((AL88+AM88)/2))/(D88+2*((AL88+AM88)/2)))^(2/3))^2+((DATOS!$B$34*H87/((D87*F87)/(D87+2*F87))^(2/3))^2))/2))&gt;0,AL88,((AL88+AM88)/2))</f>
        <v/>
      </c>
      <c r="AO88" s="5">
        <f>IF((((AL88+AM88)/2)+(C88/(D88*((AL88+AM88)/2)))^2/(2*9.81)+B88-(G87+H87^2/(2*9.81))-(A87-A88)*(((DATOS!$B$34*(C88/(D88*((AL88+AM88)/2)))/((D88*((AL88+AM88)/2))/(D88+2*((AL88+AM88)/2)))^(2/3))^2+((DATOS!$B$34*H87/((D87*F87)/(D87+2*F87))^(2/3))^2))/2))&gt;0,((AL88+AM88)/2),AM88)</f>
        <v/>
      </c>
      <c r="AP88" s="5">
        <f>IF((((AN88+AO88)/2)+(C88/(D88*((AN88+AO88)/2)))^2/(2*9.81)+B88-(G87+H87^2/(2*9.81))-(A87-A88)*(((DATOS!$B$34*(C88/(D88*((AN88+AO88)/2)))/((D88*((AN88+AO88)/2))/(D88+2*((AN88+AO88)/2)))^(2/3))^2+((DATOS!$B$34*H87/((D87*F87)/(D87+2*F87))^(2/3))^2))/2))&gt;0,AN88,((AN88+AO88)/2))</f>
        <v/>
      </c>
      <c r="AQ88" s="5">
        <f>IF((((AN88+AO88)/2)+(C88/(D88*((AN88+AO88)/2)))^2/(2*9.81)+B88-(G87+H87^2/(2*9.81))-(A87-A88)*(((DATOS!$B$34*(C88/(D88*((AN88+AO88)/2)))/((D88*((AN88+AO88)/2))/(D88+2*((AN88+AO88)/2)))^(2/3))^2+((DATOS!$B$34*H87/((D87*F87)/(D87+2*F87))^(2/3))^2))/2))&gt;0,((AN88+AO88)/2),AO88)</f>
        <v/>
      </c>
      <c r="AR88" s="5">
        <f>IF((((AP88+AQ88)/2)+(C88/(D88*((AP88+AQ88)/2)))^2/(2*9.81)+B88-(G87+H87^2/(2*9.81))-(A87-A88)*(((DATOS!$B$34*(C88/(D88*((AP88+AQ88)/2)))/((D88*((AP88+AQ88)/2))/(D88+2*((AP88+AQ88)/2)))^(2/3))^2+((DATOS!$B$34*H87/((D87*F87)/(D87+2*F87))^(2/3))^2))/2))&gt;0,AP88,((AP88+AQ88)/2))</f>
        <v/>
      </c>
      <c r="AS88" s="5">
        <f>IF((((AP88+AQ88)/2)+(C88/(D88*((AP88+AQ88)/2)))^2/(2*9.81)+B88-(G87+H87^2/(2*9.81))-(A87-A88)*(((DATOS!$B$34*(C88/(D88*((AP88+AQ88)/2)))/((D88*((AP88+AQ88)/2))/(D88+2*((AP88+AQ88)/2)))^(2/3))^2+((DATOS!$B$34*H87/((D87*F87)/(D87+2*F87))^(2/3))^2))/2))&gt;0,((AP88+AQ88)/2),AQ88)</f>
        <v/>
      </c>
      <c r="AT88" s="5">
        <f>IF((((AR88+AS88)/2)+(C88/(D88*((AR88+AS88)/2)))^2/(2*9.81)+B88-(G87+H87^2/(2*9.81))-(A87-A88)*(((DATOS!$B$34*(C88/(D88*((AR88+AS88)/2)))/((D88*((AR88+AS88)/2))/(D88+2*((AR88+AS88)/2)))^(2/3))^2+((DATOS!$B$34*H87/((D87*F87)/(D87+2*F87))^(2/3))^2))/2))&gt;0,AR88,((AR88+AS88)/2))</f>
        <v/>
      </c>
      <c r="AU88" s="5">
        <f>IF((((AR88+AS88)/2)+(C88/(D88*((AR88+AS88)/2)))^2/(2*9.81)+B88-(G87+H87^2/(2*9.81))-(A87-A88)*(((DATOS!$B$34*(C88/(D88*((AR88+AS88)/2)))/((D88*((AR88+AS88)/2))/(D88+2*((AR88+AS88)/2)))^(2/3))^2+((DATOS!$B$34*H87/((D87*F87)/(D87+2*F87))^(2/3))^2))/2))&gt;0,((AR88+AS88)/2),AS88)</f>
        <v/>
      </c>
      <c r="AV88" s="5">
        <f>IF((((AT88+AU88)/2)+(C88/(D88*((AT88+AU88)/2)))^2/(2*9.81)+B88-(G87+H87^2/(2*9.81))-(A87-A88)*(((DATOS!$B$34*(C88/(D88*((AT88+AU88)/2)))/((D88*((AT88+AU88)/2))/(D88+2*((AT88+AU88)/2)))^(2/3))^2+((DATOS!$B$34*H87/((D87*F87)/(D87+2*F87))^(2/3))^2))/2))&gt;0,AT88,((AT88+AU88)/2))</f>
        <v/>
      </c>
      <c r="AW88" s="5">
        <f>IF((((AT88+AU88)/2)+(C88/(D88*((AT88+AU88)/2)))^2/(2*9.81)+B88-(G87+H87^2/(2*9.81))-(A87-A88)*(((DATOS!$B$34*(C88/(D88*((AT88+AU88)/2)))/((D88*((AT88+AU88)/2))/(D88+2*((AT88+AU88)/2)))^(2/3))^2+((DATOS!$B$34*H87/((D87*F87)/(D87+2*F87))^(2/3))^2))/2))&gt;0,((AT88+AU88)/2),AU88)</f>
        <v/>
      </c>
      <c r="AX88" s="5">
        <f>IF((((AV88+AW88)/2)+(C88/(D88*((AV88+AW88)/2)))^2/(2*9.81)+B88-(G87+H87^2/(2*9.81))-(A87-A88)*(((DATOS!$B$34*(C88/(D88*((AV88+AW88)/2)))/((D88*((AV88+AW88)/2))/(D88+2*((AV88+AW88)/2)))^(2/3))^2+((DATOS!$B$34*H87/((D87*F87)/(D87+2*F87))^(2/3))^2))/2))&gt;0,AV88,((AV88+AW88)/2))</f>
        <v/>
      </c>
      <c r="AY88" s="5">
        <f>IF((((AV88+AW88)/2)+(C88/(D88*((AV88+AW88)/2)))^2/(2*9.81)+B88-(G87+H87^2/(2*9.81))-(A87-A88)*(((DATOS!$B$34*(C88/(D88*((AV88+AW88)/2)))/((D88*((AV88+AW88)/2))/(D88+2*((AV88+AW88)/2)))^(2/3))^2+((DATOS!$B$34*H87/((D87*F87)/(D87+2*F87))^(2/3))^2))/2))&gt;0,((AV88+AW88)/2),AW88)</f>
        <v/>
      </c>
      <c r="AZ88" s="5">
        <f>IF((((AX88+AY88)/2)+(C88/(D88*((AX88+AY88)/2)))^2/(2*9.81)+B88-(G87+H87^2/(2*9.81))-(A87-A88)*(((DATOS!$B$34*(C88/(D88*((AX88+AY88)/2)))/((D88*((AX88+AY88)/2))/(D88+2*((AX88+AY88)/2)))^(2/3))^2+((DATOS!$B$34*H87/((D87*F87)/(D87+2*F87))^(2/3))^2))/2))&gt;0,AX88,((AX88+AY88)/2))</f>
        <v/>
      </c>
      <c r="BA88" s="5">
        <f>IF((((AX88+AY88)/2)+(C88/(D88*((AX88+AY88)/2)))^2/(2*9.81)+B88-(G87+H87^2/(2*9.81))-(A87-A88)*(((DATOS!$B$34*(C88/(D88*((AX88+AY88)/2)))/((D88*((AX88+AY88)/2))/(D88+2*((AX88+AY88)/2)))^(2/3))^2+((DATOS!$B$34*H87/((D87*F87)/(D87+2*F87))^(2/3))^2))/2))&gt;0,((AX88+AY88)/2),AY88)</f>
        <v/>
      </c>
      <c r="BB88" s="5">
        <f>IF((((AZ88+BA88)/2)+(C88/(D88*((AZ88+BA88)/2)))^2/(2*9.81)+B88-(G87+H87^2/(2*9.81))-(A87-A88)*(((DATOS!$B$34*(C88/(D88*((AZ88+BA88)/2)))/((D88*((AZ88+BA88)/2))/(D88+2*((AZ88+BA88)/2)))^(2/3))^2+((DATOS!$B$34*H87/((D87*F87)/(D87+2*F87))^(2/3))^2))/2))&gt;0,AZ88,((AZ88+BA88)/2))</f>
        <v/>
      </c>
      <c r="BC88" s="5">
        <f>IF((((AZ88+BA88)/2)+(C88/(D88*((AZ88+BA88)/2)))^2/(2*9.81)+B88-(G87+H87^2/(2*9.81))-(A87-A88)*(((DATOS!$B$34*(C88/(D88*((AZ88+BA88)/2)))/((D88*((AZ88+BA88)/2))/(D88+2*((AZ88+BA88)/2)))^(2/3))^2+((DATOS!$B$34*H87/((D87*F87)/(D87+2*F87))^(2/3))^2))/2))&gt;0,((AZ88+BA88)/2),BA88)</f>
        <v/>
      </c>
      <c r="BD88" s="5">
        <f>IF((((BB88+BC88)/2)+(C88/(D88*((BB88+BC88)/2)))^2/(2*9.81)+B88-(G87+H87^2/(2*9.81))-(A87-A88)*(((DATOS!$B$34*(C88/(D88*((BB88+BC88)/2)))/((D88*((BB88+BC88)/2))/(D88+2*((BB88+BC88)/2)))^(2/3))^2+((DATOS!$B$34*H87/((D87*F87)/(D87+2*F87))^(2/3))^2))/2))&gt;0,BB88,((BB88+BC88)/2))</f>
        <v/>
      </c>
      <c r="BE88" s="5">
        <f>IF((((BB88+BC88)/2)+(C88/(D88*((BB88+BC88)/2)))^2/(2*9.81)+B88-(G87+H87^2/(2*9.81))-(A87-A88)*(((DATOS!$B$34*(C88/(D88*((BB88+BC88)/2)))/((D88*((BB88+BC88)/2))/(D88+2*((BB88+BC88)/2)))^(2/3))^2+((DATOS!$B$34*H87/((D87*F87)/(D87+2*F87))^(2/3))^2))/2))&gt;0,((BB88+BC88)/2),BC88)</f>
        <v/>
      </c>
      <c r="BF88" s="5">
        <f>IF((((BD88+BE88)/2)+(C88/(D88*((BD88+BE88)/2)))^2/(2*9.81)+B88-(G87+H87^2/(2*9.81))-(A87-A88)*(((DATOS!$B$34*(C88/(D88*((BD88+BE88)/2)))/((D88*((BD88+BE88)/2))/(D88+2*((BD88+BE88)/2)))^(2/3))^2+((DATOS!$B$34*H87/((D87*F87)/(D87+2*F87))^(2/3))^2))/2))&gt;0,BD88,((BD88+BE88)/2))</f>
        <v/>
      </c>
      <c r="BG88" s="5">
        <f>IF((((BD88+BE88)/2)+(C88/(D88*((BD88+BE88)/2)))^2/(2*9.81)+B88-(G87+H87^2/(2*9.81))-(A87-A88)*(((DATOS!$B$34*(C88/(D88*((BD88+BE88)/2)))/((D88*((BD88+BE88)/2))/(D88+2*((BD88+BE88)/2)))^(2/3))^2+((DATOS!$B$34*H87/((D87*F87)/(D87+2*F87))^(2/3))^2))/2))&gt;0,((BD88+BE88)/2),BE88)</f>
        <v/>
      </c>
      <c r="BH88" s="5">
        <f>IF((((BF88+BG88)/2)+(C88/(D88*((BF88+BG88)/2)))^2/(2*9.81)+B88-(G87+H87^2/(2*9.81))-(A87-A88)*(((DATOS!$B$34*(C88/(D88*((BF88+BG88)/2)))/((D88*((BF88+BG88)/2))/(D88+2*((BF88+BG88)/2)))^(2/3))^2+((DATOS!$B$34*H87/((D87*F87)/(D87+2*F87))^(2/3))^2))/2))&gt;0,BF88,((BF88+BG88)/2))</f>
        <v/>
      </c>
      <c r="BI88" s="5">
        <f>IF((((BF88+BG88)/2)+(C88/(D88*((BF88+BG88)/2)))^2/(2*9.81)+B88-(G87+H87^2/(2*9.81))-(A87-A88)*(((DATOS!$B$34*(C88/(D88*((BF88+BG88)/2)))/((D88*((BF88+BG88)/2))/(D88+2*((BF88+BG88)/2)))^(2/3))^2+((DATOS!$B$34*H87/((D87*F87)/(D87+2*F87))^(2/3))^2))/2))&gt;0,((BF88+BG88)/2),BG88)</f>
        <v/>
      </c>
      <c r="BJ88" s="5">
        <f>IF((((BH88+BI88)/2)+(C88/(D88*((BH88+BI88)/2)))^2/(2*9.81)+B88-(G87+H87^2/(2*9.81))-(A87-A88)*(((DATOS!$B$34*(C88/(D88*((BH88+BI88)/2)))/((D88*((BH88+BI88)/2))/(D88+2*((BH88+BI88)/2)))^(2/3))^2+((DATOS!$B$34*H87/((D87*F87)/(D87+2*F87))^(2/3))^2))/2))&gt;0,BH88,((BH88+BI88)/2))</f>
        <v/>
      </c>
      <c r="BK88" s="5">
        <f>IF((((BH88+BI88)/2)+(C88/(D88*((BH88+BI88)/2)))^2/(2*9.81)+B88-(G87+H87^2/(2*9.81))-(A87-A88)*(((DATOS!$B$34*(C88/(D88*((BH88+BI88)/2)))/((D88*((BH88+BI88)/2))/(D88+2*((BH88+BI88)/2)))^(2/3))^2+((DATOS!$B$34*H87/((D87*F87)/(D87+2*F87))^(2/3))^2))/2))&gt;0,((BH88+BI88)/2),BI88)</f>
        <v/>
      </c>
      <c r="BL88" s="5">
        <f>IF((((BJ88+BK88)/2)+(C88/(D88*((BJ88+BK88)/2)))^2/(2*9.81)+B88-(G87+H87^2/(2*9.81))-(A87-A88)*(((DATOS!$B$34*(C88/(D88*((BJ88+BK88)/2)))/((D88*((BJ88+BK88)/2))/(D88+2*((BJ88+BK88)/2)))^(2/3))^2+((DATOS!$B$34*H87/((D87*F87)/(D87+2*F87))^(2/3))^2))/2))&gt;0,BJ88,((BJ88+BK88)/2))</f>
        <v/>
      </c>
      <c r="BM88" s="5">
        <f>IF((((BJ88+BK88)/2)+(C88/(D88*((BJ88+BK88)/2)))^2/(2*9.81)+B88-(G87+H87^2/(2*9.81))-(A87-A88)*(((DATOS!$B$34*(C88/(D88*((BJ88+BK88)/2)))/((D88*((BJ88+BK88)/2))/(D88+2*((BJ88+BK88)/2)))^(2/3))^2+((DATOS!$B$34*H87/((D87*F87)/(D87+2*F87))^(2/3))^2))/2))&gt;0,((BJ88+BK88)/2),BK88)</f>
        <v/>
      </c>
      <c r="BN88" s="5">
        <f>IF((((BL88+BM88)/2)+(C88/(D88*((BL88+BM88)/2)))^2/(2*9.81)+B88-(G87+H87^2/(2*9.81))-(A87-A88)*(((DATOS!$B$34*(C88/(D88*((BL88+BM88)/2)))/((D88*((BL88+BM88)/2))/(D88+2*((BL88+BM88)/2)))^(2/3))^2+((DATOS!$B$34*H87/((D87*F87)/(D87+2*F87))^(2/3))^2))/2))&gt;0,BL88,((BL88+BM88)/2))</f>
        <v/>
      </c>
      <c r="BO88" s="5">
        <f>IF((((BL88+BM88)/2)+(C88/(D88*((BL88+BM88)/2)))^2/(2*9.81)+B88-(G87+H87^2/(2*9.81))-(A87-A88)*(((DATOS!$B$34*(C88/(D88*((BL88+BM88)/2)))/((D88*((BL88+BM88)/2))/(D88+2*((BL88+BM88)/2)))^(2/3))^2+((DATOS!$B$34*H87/((D87*F87)/(D87+2*F87))^(2/3))^2))/2))&gt;0,((BL88+BM88)/2),BM88)</f>
        <v/>
      </c>
      <c r="BP88" s="5">
        <f>IF((((BN88+BO88)/2)+(C88/(D88*((BN88+BO88)/2)))^2/(2*9.81)+B88-(G87+H87^2/(2*9.81))-(A87-A88)*(((DATOS!$B$34*(C88/(D88*((BN88+BO88)/2)))/((D88*((BN88+BO88)/2))/(D88+2*((BN88+BO88)/2)))^(2/3))^2+((DATOS!$B$34*H87/((D87*F87)/(D87+2*F87))^(2/3))^2))/2))&gt;0,BN88,((BN88+BO88)/2))</f>
        <v/>
      </c>
      <c r="BQ88" s="5">
        <f>IF((((BN88+BO88)/2)+(C88/(D88*((BN88+BO88)/2)))^2/(2*9.81)+B88-(G87+H87^2/(2*9.81))-(A87-A88)*(((DATOS!$B$34*(C88/(D88*((BN88+BO88)/2)))/((D88*((BN88+BO88)/2))/(D88+2*((BN88+BO88)/2)))^(2/3))^2+((DATOS!$B$34*H87/((D87*F87)/(D87+2*F87))^(2/3))^2))/2))&gt;0,((BN88+BO88)/2),BO88)</f>
        <v/>
      </c>
      <c r="BR88" s="5">
        <f>IF((((BP88+BQ88)/2)+(C88/(D88*((BP88+BQ88)/2)))^2/(2*9.81)+B88-(G87+H87^2/(2*9.81))-(A87-A88)*(((DATOS!$B$34*(C88/(D88*((BP88+BQ88)/2)))/((D88*((BP88+BQ88)/2))/(D88+2*((BP88+BQ88)/2)))^(2/3))^2+((DATOS!$B$34*H87/((D87*F87)/(D87+2*F87))^(2/3))^2))/2))&gt;0,BP88,((BP88+BQ88)/2))</f>
        <v/>
      </c>
      <c r="BS88" s="5">
        <f>IF((((BP88+BQ88)/2)+(C88/(D88*((BP88+BQ88)/2)))^2/(2*9.81)+B88-(G87+H87^2/(2*9.81))-(A87-A88)*(((DATOS!$B$34*(C88/(D88*((BP88+BQ88)/2)))/((D88*((BP88+BQ88)/2))/(D88+2*((BP88+BQ88)/2)))^(2/3))^2+((DATOS!$B$34*H87/((D87*F87)/(D87+2*F87))^(2/3))^2))/2))&gt;0,((BP88+BQ88)/2),BQ88)</f>
        <v/>
      </c>
      <c r="BT88" s="5">
        <f>IF((((BR88+BS88)/2)+(C88/(D88*((BR88+BS88)/2)))^2/(2*9.81)+B88-(G87+H87^2/(2*9.81))-(A87-A88)*(((DATOS!$B$34*(C88/(D88*((BR88+BS88)/2)))/((D88*((BR88+BS88)/2))/(D88+2*((BR88+BS88)/2)))^(2/3))^2+((DATOS!$B$34*H87/((D87*F87)/(D87+2*F87))^(2/3))^2))/2))&gt;0,BR88,((BR88+BS88)/2))</f>
        <v/>
      </c>
      <c r="BU88" s="5">
        <f>IF((((BR88+BS88)/2)+(C88/(D88*((BR88+BS88)/2)))^2/(2*9.81)+B88-(G87+H87^2/(2*9.81))-(A87-A88)*(((DATOS!$B$34*(C88/(D88*((BR88+BS88)/2)))/((D88*((BR88+BS88)/2))/(D88+2*((BR88+BS88)/2)))^(2/3))^2+((DATOS!$B$34*H87/((D87*F87)/(D87+2*F87))^(2/3))^2))/2))&gt;0,((BR88+BS88)/2),BS88)</f>
        <v/>
      </c>
      <c r="BV88" s="5">
        <f>IF((((BT88+BU88)/2)+(C88/(D88*((BT88+BU88)/2)))^2/(2*9.81)+B88-(G87+H87^2/(2*9.81))-(A87-A88)*(((DATOS!$B$34*(C88/(D88*((BT88+BU88)/2)))/((D88*((BT88+BU88)/2))/(D88+2*((BT88+BU88)/2)))^(2/3))^2+((DATOS!$B$34*H87/((D87*F87)/(D87+2*F87))^(2/3))^2))/2))&gt;0,BT88,((BT88+BU88)/2))</f>
        <v/>
      </c>
      <c r="BW88" s="5">
        <f>IF((((BT88+BU88)/2)+(C88/(D88*((BT88+BU88)/2)))^2/(2*9.81)+B88-(G87+H87^2/(2*9.81))-(A87-A88)*(((DATOS!$B$34*(C88/(D88*((BT88+BU88)/2)))/((D88*((BT88+BU88)/2))/(D88+2*((BT88+BU88)/2)))^(2/3))^2+((DATOS!$B$34*H87/((D87*F87)/(D87+2*F87))^(2/3))^2))/2))&gt;0,((BT88+BU88)/2),BU88)</f>
        <v/>
      </c>
    </row>
    <row r="89">
      <c r="A89" s="13" t="n">
        <v>1</v>
      </c>
      <c r="B89" s="16">
        <f>DATOS!$B$22-DATOS!$B$23*A89</f>
        <v/>
      </c>
      <c r="C89" s="24">
        <f>CAUDALES!$B$13</f>
        <v/>
      </c>
      <c r="D89" s="17">
        <f>DATOS!$B$17</f>
        <v/>
      </c>
      <c r="E89" s="16">
        <f>(C89^2/(9.81*D89^2))^(1/3)</f>
        <v/>
      </c>
      <c r="F89" s="16">
        <f>(BV89+BW89)/2</f>
        <v/>
      </c>
      <c r="G89" s="16">
        <f>B89+F89</f>
        <v/>
      </c>
      <c r="H89" s="19">
        <f>C89/(D89*F89)</f>
        <v/>
      </c>
      <c r="I89" s="19">
        <f>H89/SQRT(9.81*F89)</f>
        <v/>
      </c>
      <c r="J89" s="16">
        <f>DATOS!$B$29-IF(AND(A89&gt;=DATOS!$B$30,A89&lt;DATOS!$B$31),DATOS!$B$21,DATOS!$B$20)</f>
        <v/>
      </c>
      <c r="K89" s="19">
        <f>J89-B89</f>
        <v/>
      </c>
      <c r="L89" s="19">
        <f>F89/K89</f>
        <v/>
      </c>
      <c r="M89" s="16">
        <f>J89-G89</f>
        <v/>
      </c>
      <c r="N89" s="5">
        <f>IF(AND(L89&lt;=DATOS!$B$36,M89&gt;=DATOS!$B$37,I89&lt;=1),"CUMPLE","NO CUMPLE")</f>
        <v/>
      </c>
      <c r="O89" s="5">
        <f>IF(AND(A89&gt;=DATOS!$B$30,A89&lt;DATOS!$B$31),"cruce de camiones",IF(AND(A89&gt;=DATOS!$B$32,A89&lt;DATOS!$B$33),"cruce de motos","tramo normal"))</f>
        <v/>
      </c>
      <c r="P89" s="5">
        <f>E89*1.001</f>
        <v/>
      </c>
      <c r="Q89" s="13" t="n">
        <v>3</v>
      </c>
      <c r="R89" s="5">
        <f>IF((((P89+Q89)/2)+(C89/(D89*((P89+Q89)/2)))^2/(2*9.81)+B89-(G88+H88^2/(2*9.81))-(A88-A89)*(((DATOS!$B$34*(C89/(D89*((P89+Q89)/2)))/((D89*((P89+Q89)/2))/(D89+2*((P89+Q89)/2)))^(2/3))^2+((DATOS!$B$34*H88/((D88*F88)/(D88+2*F88))^(2/3))^2))/2))&gt;0,P89,((P89+Q89)/2))</f>
        <v/>
      </c>
      <c r="S89" s="5">
        <f>IF((((P89+Q89)/2)+(C89/(D89*((P89+Q89)/2)))^2/(2*9.81)+B89-(G88+H88^2/(2*9.81))-(A88-A89)*(((DATOS!$B$34*(C89/(D89*((P89+Q89)/2)))/((D89*((P89+Q89)/2))/(D89+2*((P89+Q89)/2)))^(2/3))^2+((DATOS!$B$34*H88/((D88*F88)/(D88+2*F88))^(2/3))^2))/2))&gt;0,((P89+Q89)/2),Q89)</f>
        <v/>
      </c>
      <c r="T89" s="5">
        <f>IF((((R89+S89)/2)+(C89/(D89*((R89+S89)/2)))^2/(2*9.81)+B89-(G88+H88^2/(2*9.81))-(A88-A89)*(((DATOS!$B$34*(C89/(D89*((R89+S89)/2)))/((D89*((R89+S89)/2))/(D89+2*((R89+S89)/2)))^(2/3))^2+((DATOS!$B$34*H88/((D88*F88)/(D88+2*F88))^(2/3))^2))/2))&gt;0,R89,((R89+S89)/2))</f>
        <v/>
      </c>
      <c r="U89" s="5">
        <f>IF((((R89+S89)/2)+(C89/(D89*((R89+S89)/2)))^2/(2*9.81)+B89-(G88+H88^2/(2*9.81))-(A88-A89)*(((DATOS!$B$34*(C89/(D89*((R89+S89)/2)))/((D89*((R89+S89)/2))/(D89+2*((R89+S89)/2)))^(2/3))^2+((DATOS!$B$34*H88/((D88*F88)/(D88+2*F88))^(2/3))^2))/2))&gt;0,((R89+S89)/2),S89)</f>
        <v/>
      </c>
      <c r="V89" s="5">
        <f>IF((((T89+U89)/2)+(C89/(D89*((T89+U89)/2)))^2/(2*9.81)+B89-(G88+H88^2/(2*9.81))-(A88-A89)*(((DATOS!$B$34*(C89/(D89*((T89+U89)/2)))/((D89*((T89+U89)/2))/(D89+2*((T89+U89)/2)))^(2/3))^2+((DATOS!$B$34*H88/((D88*F88)/(D88+2*F88))^(2/3))^2))/2))&gt;0,T89,((T89+U89)/2))</f>
        <v/>
      </c>
      <c r="W89" s="5">
        <f>IF((((T89+U89)/2)+(C89/(D89*((T89+U89)/2)))^2/(2*9.81)+B89-(G88+H88^2/(2*9.81))-(A88-A89)*(((DATOS!$B$34*(C89/(D89*((T89+U89)/2)))/((D89*((T89+U89)/2))/(D89+2*((T89+U89)/2)))^(2/3))^2+((DATOS!$B$34*H88/((D88*F88)/(D88+2*F88))^(2/3))^2))/2))&gt;0,((T89+U89)/2),U89)</f>
        <v/>
      </c>
      <c r="X89" s="5">
        <f>IF((((V89+W89)/2)+(C89/(D89*((V89+W89)/2)))^2/(2*9.81)+B89-(G88+H88^2/(2*9.81))-(A88-A89)*(((DATOS!$B$34*(C89/(D89*((V89+W89)/2)))/((D89*((V89+W89)/2))/(D89+2*((V89+W89)/2)))^(2/3))^2+((DATOS!$B$34*H88/((D88*F88)/(D88+2*F88))^(2/3))^2))/2))&gt;0,V89,((V89+W89)/2))</f>
        <v/>
      </c>
      <c r="Y89" s="5">
        <f>IF((((V89+W89)/2)+(C89/(D89*((V89+W89)/2)))^2/(2*9.81)+B89-(G88+H88^2/(2*9.81))-(A88-A89)*(((DATOS!$B$34*(C89/(D89*((V89+W89)/2)))/((D89*((V89+W89)/2))/(D89+2*((V89+W89)/2)))^(2/3))^2+((DATOS!$B$34*H88/((D88*F88)/(D88+2*F88))^(2/3))^2))/2))&gt;0,((V89+W89)/2),W89)</f>
        <v/>
      </c>
      <c r="Z89" s="5">
        <f>IF((((X89+Y89)/2)+(C89/(D89*((X89+Y89)/2)))^2/(2*9.81)+B89-(G88+H88^2/(2*9.81))-(A88-A89)*(((DATOS!$B$34*(C89/(D89*((X89+Y89)/2)))/((D89*((X89+Y89)/2))/(D89+2*((X89+Y89)/2)))^(2/3))^2+((DATOS!$B$34*H88/((D88*F88)/(D88+2*F88))^(2/3))^2))/2))&gt;0,X89,((X89+Y89)/2))</f>
        <v/>
      </c>
      <c r="AA89" s="5">
        <f>IF((((X89+Y89)/2)+(C89/(D89*((X89+Y89)/2)))^2/(2*9.81)+B89-(G88+H88^2/(2*9.81))-(A88-A89)*(((DATOS!$B$34*(C89/(D89*((X89+Y89)/2)))/((D89*((X89+Y89)/2))/(D89+2*((X89+Y89)/2)))^(2/3))^2+((DATOS!$B$34*H88/((D88*F88)/(D88+2*F88))^(2/3))^2))/2))&gt;0,((X89+Y89)/2),Y89)</f>
        <v/>
      </c>
      <c r="AB89" s="5">
        <f>IF((((Z89+AA89)/2)+(C89/(D89*((Z89+AA89)/2)))^2/(2*9.81)+B89-(G88+H88^2/(2*9.81))-(A88-A89)*(((DATOS!$B$34*(C89/(D89*((Z89+AA89)/2)))/((D89*((Z89+AA89)/2))/(D89+2*((Z89+AA89)/2)))^(2/3))^2+((DATOS!$B$34*H88/((D88*F88)/(D88+2*F88))^(2/3))^2))/2))&gt;0,Z89,((Z89+AA89)/2))</f>
        <v/>
      </c>
      <c r="AC89" s="5">
        <f>IF((((Z89+AA89)/2)+(C89/(D89*((Z89+AA89)/2)))^2/(2*9.81)+B89-(G88+H88^2/(2*9.81))-(A88-A89)*(((DATOS!$B$34*(C89/(D89*((Z89+AA89)/2)))/((D89*((Z89+AA89)/2))/(D89+2*((Z89+AA89)/2)))^(2/3))^2+((DATOS!$B$34*H88/((D88*F88)/(D88+2*F88))^(2/3))^2))/2))&gt;0,((Z89+AA89)/2),AA89)</f>
        <v/>
      </c>
      <c r="AD89" s="5">
        <f>IF((((AB89+AC89)/2)+(C89/(D89*((AB89+AC89)/2)))^2/(2*9.81)+B89-(G88+H88^2/(2*9.81))-(A88-A89)*(((DATOS!$B$34*(C89/(D89*((AB89+AC89)/2)))/((D89*((AB89+AC89)/2))/(D89+2*((AB89+AC89)/2)))^(2/3))^2+((DATOS!$B$34*H88/((D88*F88)/(D88+2*F88))^(2/3))^2))/2))&gt;0,AB89,((AB89+AC89)/2))</f>
        <v/>
      </c>
      <c r="AE89" s="5">
        <f>IF((((AB89+AC89)/2)+(C89/(D89*((AB89+AC89)/2)))^2/(2*9.81)+B89-(G88+H88^2/(2*9.81))-(A88-A89)*(((DATOS!$B$34*(C89/(D89*((AB89+AC89)/2)))/((D89*((AB89+AC89)/2))/(D89+2*((AB89+AC89)/2)))^(2/3))^2+((DATOS!$B$34*H88/((D88*F88)/(D88+2*F88))^(2/3))^2))/2))&gt;0,((AB89+AC89)/2),AC89)</f>
        <v/>
      </c>
      <c r="AF89" s="5">
        <f>IF((((AD89+AE89)/2)+(C89/(D89*((AD89+AE89)/2)))^2/(2*9.81)+B89-(G88+H88^2/(2*9.81))-(A88-A89)*(((DATOS!$B$34*(C89/(D89*((AD89+AE89)/2)))/((D89*((AD89+AE89)/2))/(D89+2*((AD89+AE89)/2)))^(2/3))^2+((DATOS!$B$34*H88/((D88*F88)/(D88+2*F88))^(2/3))^2))/2))&gt;0,AD89,((AD89+AE89)/2))</f>
        <v/>
      </c>
      <c r="AG89" s="5">
        <f>IF((((AD89+AE89)/2)+(C89/(D89*((AD89+AE89)/2)))^2/(2*9.81)+B89-(G88+H88^2/(2*9.81))-(A88-A89)*(((DATOS!$B$34*(C89/(D89*((AD89+AE89)/2)))/((D89*((AD89+AE89)/2))/(D89+2*((AD89+AE89)/2)))^(2/3))^2+((DATOS!$B$34*H88/((D88*F88)/(D88+2*F88))^(2/3))^2))/2))&gt;0,((AD89+AE89)/2),AE89)</f>
        <v/>
      </c>
      <c r="AH89" s="5">
        <f>IF((((AF89+AG89)/2)+(C89/(D89*((AF89+AG89)/2)))^2/(2*9.81)+B89-(G88+H88^2/(2*9.81))-(A88-A89)*(((DATOS!$B$34*(C89/(D89*((AF89+AG89)/2)))/((D89*((AF89+AG89)/2))/(D89+2*((AF89+AG89)/2)))^(2/3))^2+((DATOS!$B$34*H88/((D88*F88)/(D88+2*F88))^(2/3))^2))/2))&gt;0,AF89,((AF89+AG89)/2))</f>
        <v/>
      </c>
      <c r="AI89" s="5">
        <f>IF((((AF89+AG89)/2)+(C89/(D89*((AF89+AG89)/2)))^2/(2*9.81)+B89-(G88+H88^2/(2*9.81))-(A88-A89)*(((DATOS!$B$34*(C89/(D89*((AF89+AG89)/2)))/((D89*((AF89+AG89)/2))/(D89+2*((AF89+AG89)/2)))^(2/3))^2+((DATOS!$B$34*H88/((D88*F88)/(D88+2*F88))^(2/3))^2))/2))&gt;0,((AF89+AG89)/2),AG89)</f>
        <v/>
      </c>
      <c r="AJ89" s="5">
        <f>IF((((AH89+AI89)/2)+(C89/(D89*((AH89+AI89)/2)))^2/(2*9.81)+B89-(G88+H88^2/(2*9.81))-(A88-A89)*(((DATOS!$B$34*(C89/(D89*((AH89+AI89)/2)))/((D89*((AH89+AI89)/2))/(D89+2*((AH89+AI89)/2)))^(2/3))^2+((DATOS!$B$34*H88/((D88*F88)/(D88+2*F88))^(2/3))^2))/2))&gt;0,AH89,((AH89+AI89)/2))</f>
        <v/>
      </c>
      <c r="AK89" s="5">
        <f>IF((((AH89+AI89)/2)+(C89/(D89*((AH89+AI89)/2)))^2/(2*9.81)+B89-(G88+H88^2/(2*9.81))-(A88-A89)*(((DATOS!$B$34*(C89/(D89*((AH89+AI89)/2)))/((D89*((AH89+AI89)/2))/(D89+2*((AH89+AI89)/2)))^(2/3))^2+((DATOS!$B$34*H88/((D88*F88)/(D88+2*F88))^(2/3))^2))/2))&gt;0,((AH89+AI89)/2),AI89)</f>
        <v/>
      </c>
      <c r="AL89" s="5">
        <f>IF((((AJ89+AK89)/2)+(C89/(D89*((AJ89+AK89)/2)))^2/(2*9.81)+B89-(G88+H88^2/(2*9.81))-(A88-A89)*(((DATOS!$B$34*(C89/(D89*((AJ89+AK89)/2)))/((D89*((AJ89+AK89)/2))/(D89+2*((AJ89+AK89)/2)))^(2/3))^2+((DATOS!$B$34*H88/((D88*F88)/(D88+2*F88))^(2/3))^2))/2))&gt;0,AJ89,((AJ89+AK89)/2))</f>
        <v/>
      </c>
      <c r="AM89" s="5">
        <f>IF((((AJ89+AK89)/2)+(C89/(D89*((AJ89+AK89)/2)))^2/(2*9.81)+B89-(G88+H88^2/(2*9.81))-(A88-A89)*(((DATOS!$B$34*(C89/(D89*((AJ89+AK89)/2)))/((D89*((AJ89+AK89)/2))/(D89+2*((AJ89+AK89)/2)))^(2/3))^2+((DATOS!$B$34*H88/((D88*F88)/(D88+2*F88))^(2/3))^2))/2))&gt;0,((AJ89+AK89)/2),AK89)</f>
        <v/>
      </c>
      <c r="AN89" s="5">
        <f>IF((((AL89+AM89)/2)+(C89/(D89*((AL89+AM89)/2)))^2/(2*9.81)+B89-(G88+H88^2/(2*9.81))-(A88-A89)*(((DATOS!$B$34*(C89/(D89*((AL89+AM89)/2)))/((D89*((AL89+AM89)/2))/(D89+2*((AL89+AM89)/2)))^(2/3))^2+((DATOS!$B$34*H88/((D88*F88)/(D88+2*F88))^(2/3))^2))/2))&gt;0,AL89,((AL89+AM89)/2))</f>
        <v/>
      </c>
      <c r="AO89" s="5">
        <f>IF((((AL89+AM89)/2)+(C89/(D89*((AL89+AM89)/2)))^2/(2*9.81)+B89-(G88+H88^2/(2*9.81))-(A88-A89)*(((DATOS!$B$34*(C89/(D89*((AL89+AM89)/2)))/((D89*((AL89+AM89)/2))/(D89+2*((AL89+AM89)/2)))^(2/3))^2+((DATOS!$B$34*H88/((D88*F88)/(D88+2*F88))^(2/3))^2))/2))&gt;0,((AL89+AM89)/2),AM89)</f>
        <v/>
      </c>
      <c r="AP89" s="5">
        <f>IF((((AN89+AO89)/2)+(C89/(D89*((AN89+AO89)/2)))^2/(2*9.81)+B89-(G88+H88^2/(2*9.81))-(A88-A89)*(((DATOS!$B$34*(C89/(D89*((AN89+AO89)/2)))/((D89*((AN89+AO89)/2))/(D89+2*((AN89+AO89)/2)))^(2/3))^2+((DATOS!$B$34*H88/((D88*F88)/(D88+2*F88))^(2/3))^2))/2))&gt;0,AN89,((AN89+AO89)/2))</f>
        <v/>
      </c>
      <c r="AQ89" s="5">
        <f>IF((((AN89+AO89)/2)+(C89/(D89*((AN89+AO89)/2)))^2/(2*9.81)+B89-(G88+H88^2/(2*9.81))-(A88-A89)*(((DATOS!$B$34*(C89/(D89*((AN89+AO89)/2)))/((D89*((AN89+AO89)/2))/(D89+2*((AN89+AO89)/2)))^(2/3))^2+((DATOS!$B$34*H88/((D88*F88)/(D88+2*F88))^(2/3))^2))/2))&gt;0,((AN89+AO89)/2),AO89)</f>
        <v/>
      </c>
      <c r="AR89" s="5">
        <f>IF((((AP89+AQ89)/2)+(C89/(D89*((AP89+AQ89)/2)))^2/(2*9.81)+B89-(G88+H88^2/(2*9.81))-(A88-A89)*(((DATOS!$B$34*(C89/(D89*((AP89+AQ89)/2)))/((D89*((AP89+AQ89)/2))/(D89+2*((AP89+AQ89)/2)))^(2/3))^2+((DATOS!$B$34*H88/((D88*F88)/(D88+2*F88))^(2/3))^2))/2))&gt;0,AP89,((AP89+AQ89)/2))</f>
        <v/>
      </c>
      <c r="AS89" s="5">
        <f>IF((((AP89+AQ89)/2)+(C89/(D89*((AP89+AQ89)/2)))^2/(2*9.81)+B89-(G88+H88^2/(2*9.81))-(A88-A89)*(((DATOS!$B$34*(C89/(D89*((AP89+AQ89)/2)))/((D89*((AP89+AQ89)/2))/(D89+2*((AP89+AQ89)/2)))^(2/3))^2+((DATOS!$B$34*H88/((D88*F88)/(D88+2*F88))^(2/3))^2))/2))&gt;0,((AP89+AQ89)/2),AQ89)</f>
        <v/>
      </c>
      <c r="AT89" s="5">
        <f>IF((((AR89+AS89)/2)+(C89/(D89*((AR89+AS89)/2)))^2/(2*9.81)+B89-(G88+H88^2/(2*9.81))-(A88-A89)*(((DATOS!$B$34*(C89/(D89*((AR89+AS89)/2)))/((D89*((AR89+AS89)/2))/(D89+2*((AR89+AS89)/2)))^(2/3))^2+((DATOS!$B$34*H88/((D88*F88)/(D88+2*F88))^(2/3))^2))/2))&gt;0,AR89,((AR89+AS89)/2))</f>
        <v/>
      </c>
      <c r="AU89" s="5">
        <f>IF((((AR89+AS89)/2)+(C89/(D89*((AR89+AS89)/2)))^2/(2*9.81)+B89-(G88+H88^2/(2*9.81))-(A88-A89)*(((DATOS!$B$34*(C89/(D89*((AR89+AS89)/2)))/((D89*((AR89+AS89)/2))/(D89+2*((AR89+AS89)/2)))^(2/3))^2+((DATOS!$B$34*H88/((D88*F88)/(D88+2*F88))^(2/3))^2))/2))&gt;0,((AR89+AS89)/2),AS89)</f>
        <v/>
      </c>
      <c r="AV89" s="5">
        <f>IF((((AT89+AU89)/2)+(C89/(D89*((AT89+AU89)/2)))^2/(2*9.81)+B89-(G88+H88^2/(2*9.81))-(A88-A89)*(((DATOS!$B$34*(C89/(D89*((AT89+AU89)/2)))/((D89*((AT89+AU89)/2))/(D89+2*((AT89+AU89)/2)))^(2/3))^2+((DATOS!$B$34*H88/((D88*F88)/(D88+2*F88))^(2/3))^2))/2))&gt;0,AT89,((AT89+AU89)/2))</f>
        <v/>
      </c>
      <c r="AW89" s="5">
        <f>IF((((AT89+AU89)/2)+(C89/(D89*((AT89+AU89)/2)))^2/(2*9.81)+B89-(G88+H88^2/(2*9.81))-(A88-A89)*(((DATOS!$B$34*(C89/(D89*((AT89+AU89)/2)))/((D89*((AT89+AU89)/2))/(D89+2*((AT89+AU89)/2)))^(2/3))^2+((DATOS!$B$34*H88/((D88*F88)/(D88+2*F88))^(2/3))^2))/2))&gt;0,((AT89+AU89)/2),AU89)</f>
        <v/>
      </c>
      <c r="AX89" s="5">
        <f>IF((((AV89+AW89)/2)+(C89/(D89*((AV89+AW89)/2)))^2/(2*9.81)+B89-(G88+H88^2/(2*9.81))-(A88-A89)*(((DATOS!$B$34*(C89/(D89*((AV89+AW89)/2)))/((D89*((AV89+AW89)/2))/(D89+2*((AV89+AW89)/2)))^(2/3))^2+((DATOS!$B$34*H88/((D88*F88)/(D88+2*F88))^(2/3))^2))/2))&gt;0,AV89,((AV89+AW89)/2))</f>
        <v/>
      </c>
      <c r="AY89" s="5">
        <f>IF((((AV89+AW89)/2)+(C89/(D89*((AV89+AW89)/2)))^2/(2*9.81)+B89-(G88+H88^2/(2*9.81))-(A88-A89)*(((DATOS!$B$34*(C89/(D89*((AV89+AW89)/2)))/((D89*((AV89+AW89)/2))/(D89+2*((AV89+AW89)/2)))^(2/3))^2+((DATOS!$B$34*H88/((D88*F88)/(D88+2*F88))^(2/3))^2))/2))&gt;0,((AV89+AW89)/2),AW89)</f>
        <v/>
      </c>
      <c r="AZ89" s="5">
        <f>IF((((AX89+AY89)/2)+(C89/(D89*((AX89+AY89)/2)))^2/(2*9.81)+B89-(G88+H88^2/(2*9.81))-(A88-A89)*(((DATOS!$B$34*(C89/(D89*((AX89+AY89)/2)))/((D89*((AX89+AY89)/2))/(D89+2*((AX89+AY89)/2)))^(2/3))^2+((DATOS!$B$34*H88/((D88*F88)/(D88+2*F88))^(2/3))^2))/2))&gt;0,AX89,((AX89+AY89)/2))</f>
        <v/>
      </c>
      <c r="BA89" s="5">
        <f>IF((((AX89+AY89)/2)+(C89/(D89*((AX89+AY89)/2)))^2/(2*9.81)+B89-(G88+H88^2/(2*9.81))-(A88-A89)*(((DATOS!$B$34*(C89/(D89*((AX89+AY89)/2)))/((D89*((AX89+AY89)/2))/(D89+2*((AX89+AY89)/2)))^(2/3))^2+((DATOS!$B$34*H88/((D88*F88)/(D88+2*F88))^(2/3))^2))/2))&gt;0,((AX89+AY89)/2),AY89)</f>
        <v/>
      </c>
      <c r="BB89" s="5">
        <f>IF((((AZ89+BA89)/2)+(C89/(D89*((AZ89+BA89)/2)))^2/(2*9.81)+B89-(G88+H88^2/(2*9.81))-(A88-A89)*(((DATOS!$B$34*(C89/(D89*((AZ89+BA89)/2)))/((D89*((AZ89+BA89)/2))/(D89+2*((AZ89+BA89)/2)))^(2/3))^2+((DATOS!$B$34*H88/((D88*F88)/(D88+2*F88))^(2/3))^2))/2))&gt;0,AZ89,((AZ89+BA89)/2))</f>
        <v/>
      </c>
      <c r="BC89" s="5">
        <f>IF((((AZ89+BA89)/2)+(C89/(D89*((AZ89+BA89)/2)))^2/(2*9.81)+B89-(G88+H88^2/(2*9.81))-(A88-A89)*(((DATOS!$B$34*(C89/(D89*((AZ89+BA89)/2)))/((D89*((AZ89+BA89)/2))/(D89+2*((AZ89+BA89)/2)))^(2/3))^2+((DATOS!$B$34*H88/((D88*F88)/(D88+2*F88))^(2/3))^2))/2))&gt;0,((AZ89+BA89)/2),BA89)</f>
        <v/>
      </c>
      <c r="BD89" s="5">
        <f>IF((((BB89+BC89)/2)+(C89/(D89*((BB89+BC89)/2)))^2/(2*9.81)+B89-(G88+H88^2/(2*9.81))-(A88-A89)*(((DATOS!$B$34*(C89/(D89*((BB89+BC89)/2)))/((D89*((BB89+BC89)/2))/(D89+2*((BB89+BC89)/2)))^(2/3))^2+((DATOS!$B$34*H88/((D88*F88)/(D88+2*F88))^(2/3))^2))/2))&gt;0,BB89,((BB89+BC89)/2))</f>
        <v/>
      </c>
      <c r="BE89" s="5">
        <f>IF((((BB89+BC89)/2)+(C89/(D89*((BB89+BC89)/2)))^2/(2*9.81)+B89-(G88+H88^2/(2*9.81))-(A88-A89)*(((DATOS!$B$34*(C89/(D89*((BB89+BC89)/2)))/((D89*((BB89+BC89)/2))/(D89+2*((BB89+BC89)/2)))^(2/3))^2+((DATOS!$B$34*H88/((D88*F88)/(D88+2*F88))^(2/3))^2))/2))&gt;0,((BB89+BC89)/2),BC89)</f>
        <v/>
      </c>
      <c r="BF89" s="5">
        <f>IF((((BD89+BE89)/2)+(C89/(D89*((BD89+BE89)/2)))^2/(2*9.81)+B89-(G88+H88^2/(2*9.81))-(A88-A89)*(((DATOS!$B$34*(C89/(D89*((BD89+BE89)/2)))/((D89*((BD89+BE89)/2))/(D89+2*((BD89+BE89)/2)))^(2/3))^2+((DATOS!$B$34*H88/((D88*F88)/(D88+2*F88))^(2/3))^2))/2))&gt;0,BD89,((BD89+BE89)/2))</f>
        <v/>
      </c>
      <c r="BG89" s="5">
        <f>IF((((BD89+BE89)/2)+(C89/(D89*((BD89+BE89)/2)))^2/(2*9.81)+B89-(G88+H88^2/(2*9.81))-(A88-A89)*(((DATOS!$B$34*(C89/(D89*((BD89+BE89)/2)))/((D89*((BD89+BE89)/2))/(D89+2*((BD89+BE89)/2)))^(2/3))^2+((DATOS!$B$34*H88/((D88*F88)/(D88+2*F88))^(2/3))^2))/2))&gt;0,((BD89+BE89)/2),BE89)</f>
        <v/>
      </c>
      <c r="BH89" s="5">
        <f>IF((((BF89+BG89)/2)+(C89/(D89*((BF89+BG89)/2)))^2/(2*9.81)+B89-(G88+H88^2/(2*9.81))-(A88-A89)*(((DATOS!$B$34*(C89/(D89*((BF89+BG89)/2)))/((D89*((BF89+BG89)/2))/(D89+2*((BF89+BG89)/2)))^(2/3))^2+((DATOS!$B$34*H88/((D88*F88)/(D88+2*F88))^(2/3))^2))/2))&gt;0,BF89,((BF89+BG89)/2))</f>
        <v/>
      </c>
      <c r="BI89" s="5">
        <f>IF((((BF89+BG89)/2)+(C89/(D89*((BF89+BG89)/2)))^2/(2*9.81)+B89-(G88+H88^2/(2*9.81))-(A88-A89)*(((DATOS!$B$34*(C89/(D89*((BF89+BG89)/2)))/((D89*((BF89+BG89)/2))/(D89+2*((BF89+BG89)/2)))^(2/3))^2+((DATOS!$B$34*H88/((D88*F88)/(D88+2*F88))^(2/3))^2))/2))&gt;0,((BF89+BG89)/2),BG89)</f>
        <v/>
      </c>
      <c r="BJ89" s="5">
        <f>IF((((BH89+BI89)/2)+(C89/(D89*((BH89+BI89)/2)))^2/(2*9.81)+B89-(G88+H88^2/(2*9.81))-(A88-A89)*(((DATOS!$B$34*(C89/(D89*((BH89+BI89)/2)))/((D89*((BH89+BI89)/2))/(D89+2*((BH89+BI89)/2)))^(2/3))^2+((DATOS!$B$34*H88/((D88*F88)/(D88+2*F88))^(2/3))^2))/2))&gt;0,BH89,((BH89+BI89)/2))</f>
        <v/>
      </c>
      <c r="BK89" s="5">
        <f>IF((((BH89+BI89)/2)+(C89/(D89*((BH89+BI89)/2)))^2/(2*9.81)+B89-(G88+H88^2/(2*9.81))-(A88-A89)*(((DATOS!$B$34*(C89/(D89*((BH89+BI89)/2)))/((D89*((BH89+BI89)/2))/(D89+2*((BH89+BI89)/2)))^(2/3))^2+((DATOS!$B$34*H88/((D88*F88)/(D88+2*F88))^(2/3))^2))/2))&gt;0,((BH89+BI89)/2),BI89)</f>
        <v/>
      </c>
      <c r="BL89" s="5">
        <f>IF((((BJ89+BK89)/2)+(C89/(D89*((BJ89+BK89)/2)))^2/(2*9.81)+B89-(G88+H88^2/(2*9.81))-(A88-A89)*(((DATOS!$B$34*(C89/(D89*((BJ89+BK89)/2)))/((D89*((BJ89+BK89)/2))/(D89+2*((BJ89+BK89)/2)))^(2/3))^2+((DATOS!$B$34*H88/((D88*F88)/(D88+2*F88))^(2/3))^2))/2))&gt;0,BJ89,((BJ89+BK89)/2))</f>
        <v/>
      </c>
      <c r="BM89" s="5">
        <f>IF((((BJ89+BK89)/2)+(C89/(D89*((BJ89+BK89)/2)))^2/(2*9.81)+B89-(G88+H88^2/(2*9.81))-(A88-A89)*(((DATOS!$B$34*(C89/(D89*((BJ89+BK89)/2)))/((D89*((BJ89+BK89)/2))/(D89+2*((BJ89+BK89)/2)))^(2/3))^2+((DATOS!$B$34*H88/((D88*F88)/(D88+2*F88))^(2/3))^2))/2))&gt;0,((BJ89+BK89)/2),BK89)</f>
        <v/>
      </c>
      <c r="BN89" s="5">
        <f>IF((((BL89+BM89)/2)+(C89/(D89*((BL89+BM89)/2)))^2/(2*9.81)+B89-(G88+H88^2/(2*9.81))-(A88-A89)*(((DATOS!$B$34*(C89/(D89*((BL89+BM89)/2)))/((D89*((BL89+BM89)/2))/(D89+2*((BL89+BM89)/2)))^(2/3))^2+((DATOS!$B$34*H88/((D88*F88)/(D88+2*F88))^(2/3))^2))/2))&gt;0,BL89,((BL89+BM89)/2))</f>
        <v/>
      </c>
      <c r="BO89" s="5">
        <f>IF((((BL89+BM89)/2)+(C89/(D89*((BL89+BM89)/2)))^2/(2*9.81)+B89-(G88+H88^2/(2*9.81))-(A88-A89)*(((DATOS!$B$34*(C89/(D89*((BL89+BM89)/2)))/((D89*((BL89+BM89)/2))/(D89+2*((BL89+BM89)/2)))^(2/3))^2+((DATOS!$B$34*H88/((D88*F88)/(D88+2*F88))^(2/3))^2))/2))&gt;0,((BL89+BM89)/2),BM89)</f>
        <v/>
      </c>
      <c r="BP89" s="5">
        <f>IF((((BN89+BO89)/2)+(C89/(D89*((BN89+BO89)/2)))^2/(2*9.81)+B89-(G88+H88^2/(2*9.81))-(A88-A89)*(((DATOS!$B$34*(C89/(D89*((BN89+BO89)/2)))/((D89*((BN89+BO89)/2))/(D89+2*((BN89+BO89)/2)))^(2/3))^2+((DATOS!$B$34*H88/((D88*F88)/(D88+2*F88))^(2/3))^2))/2))&gt;0,BN89,((BN89+BO89)/2))</f>
        <v/>
      </c>
      <c r="BQ89" s="5">
        <f>IF((((BN89+BO89)/2)+(C89/(D89*((BN89+BO89)/2)))^2/(2*9.81)+B89-(G88+H88^2/(2*9.81))-(A88-A89)*(((DATOS!$B$34*(C89/(D89*((BN89+BO89)/2)))/((D89*((BN89+BO89)/2))/(D89+2*((BN89+BO89)/2)))^(2/3))^2+((DATOS!$B$34*H88/((D88*F88)/(D88+2*F88))^(2/3))^2))/2))&gt;0,((BN89+BO89)/2),BO89)</f>
        <v/>
      </c>
      <c r="BR89" s="5">
        <f>IF((((BP89+BQ89)/2)+(C89/(D89*((BP89+BQ89)/2)))^2/(2*9.81)+B89-(G88+H88^2/(2*9.81))-(A88-A89)*(((DATOS!$B$34*(C89/(D89*((BP89+BQ89)/2)))/((D89*((BP89+BQ89)/2))/(D89+2*((BP89+BQ89)/2)))^(2/3))^2+((DATOS!$B$34*H88/((D88*F88)/(D88+2*F88))^(2/3))^2))/2))&gt;0,BP89,((BP89+BQ89)/2))</f>
        <v/>
      </c>
      <c r="BS89" s="5">
        <f>IF((((BP89+BQ89)/2)+(C89/(D89*((BP89+BQ89)/2)))^2/(2*9.81)+B89-(G88+H88^2/(2*9.81))-(A88-A89)*(((DATOS!$B$34*(C89/(D89*((BP89+BQ89)/2)))/((D89*((BP89+BQ89)/2))/(D89+2*((BP89+BQ89)/2)))^(2/3))^2+((DATOS!$B$34*H88/((D88*F88)/(D88+2*F88))^(2/3))^2))/2))&gt;0,((BP89+BQ89)/2),BQ89)</f>
        <v/>
      </c>
      <c r="BT89" s="5">
        <f>IF((((BR89+BS89)/2)+(C89/(D89*((BR89+BS89)/2)))^2/(2*9.81)+B89-(G88+H88^2/(2*9.81))-(A88-A89)*(((DATOS!$B$34*(C89/(D89*((BR89+BS89)/2)))/((D89*((BR89+BS89)/2))/(D89+2*((BR89+BS89)/2)))^(2/3))^2+((DATOS!$B$34*H88/((D88*F88)/(D88+2*F88))^(2/3))^2))/2))&gt;0,BR89,((BR89+BS89)/2))</f>
        <v/>
      </c>
      <c r="BU89" s="5">
        <f>IF((((BR89+BS89)/2)+(C89/(D89*((BR89+BS89)/2)))^2/(2*9.81)+B89-(G88+H88^2/(2*9.81))-(A88-A89)*(((DATOS!$B$34*(C89/(D89*((BR89+BS89)/2)))/((D89*((BR89+BS89)/2))/(D89+2*((BR89+BS89)/2)))^(2/3))^2+((DATOS!$B$34*H88/((D88*F88)/(D88+2*F88))^(2/3))^2))/2))&gt;0,((BR89+BS89)/2),BS89)</f>
        <v/>
      </c>
      <c r="BV89" s="5">
        <f>IF((((BT89+BU89)/2)+(C89/(D89*((BT89+BU89)/2)))^2/(2*9.81)+B89-(G88+H88^2/(2*9.81))-(A88-A89)*(((DATOS!$B$34*(C89/(D89*((BT89+BU89)/2)))/((D89*((BT89+BU89)/2))/(D89+2*((BT89+BU89)/2)))^(2/3))^2+((DATOS!$B$34*H88/((D88*F88)/(D88+2*F88))^(2/3))^2))/2))&gt;0,BT89,((BT89+BU89)/2))</f>
        <v/>
      </c>
      <c r="BW89" s="5">
        <f>IF((((BT89+BU89)/2)+(C89/(D89*((BT89+BU89)/2)))^2/(2*9.81)+B89-(G88+H88^2/(2*9.81))-(A88-A89)*(((DATOS!$B$34*(C89/(D89*((BT89+BU89)/2)))/((D89*((BT89+BU89)/2))/(D89+2*((BT89+BU89)/2)))^(2/3))^2+((DATOS!$B$34*H88/((D88*F88)/(D88+2*F88))^(2/3))^2))/2))&gt;0,((BT89+BU89)/2),BU89)</f>
        <v/>
      </c>
    </row>
    <row r="90">
      <c r="A90" s="13" t="n">
        <v>0</v>
      </c>
      <c r="B90" s="16">
        <f>DATOS!$B$22-DATOS!$B$23*A90</f>
        <v/>
      </c>
      <c r="C90" s="24">
        <f>CAUDALES!$B$13</f>
        <v/>
      </c>
      <c r="D90" s="17">
        <f>DATOS!$B$17</f>
        <v/>
      </c>
      <c r="E90" s="16">
        <f>(C90^2/(9.81*D90^2))^(1/3)</f>
        <v/>
      </c>
      <c r="F90" s="16">
        <f>(BV90+BW90)/2</f>
        <v/>
      </c>
      <c r="G90" s="16">
        <f>B90+F90</f>
        <v/>
      </c>
      <c r="H90" s="19">
        <f>C90/(D90*F90)</f>
        <v/>
      </c>
      <c r="I90" s="19">
        <f>H90/SQRT(9.81*F90)</f>
        <v/>
      </c>
      <c r="J90" s="16">
        <f>DATOS!$B$29-IF(AND(A90&gt;=DATOS!$B$30,A90&lt;DATOS!$B$31),DATOS!$B$21,DATOS!$B$20)</f>
        <v/>
      </c>
      <c r="K90" s="19">
        <f>J90-B90</f>
        <v/>
      </c>
      <c r="L90" s="19">
        <f>F90/K90</f>
        <v/>
      </c>
      <c r="M90" s="16">
        <f>J90-G90</f>
        <v/>
      </c>
      <c r="N90" s="5">
        <f>IF(AND(L90&lt;=DATOS!$B$36,M90&gt;=DATOS!$B$37,I90&lt;=1),"CUMPLE","NO CUMPLE")</f>
        <v/>
      </c>
      <c r="O90" s="5">
        <f>IF(AND(A90&gt;=DATOS!$B$30,A90&lt;DATOS!$B$31),"cruce de camiones",IF(AND(A90&gt;=DATOS!$B$32,A90&lt;DATOS!$B$33),"cruce de motos","tramo normal"))</f>
        <v/>
      </c>
      <c r="P90" s="5">
        <f>E90*1.001</f>
        <v/>
      </c>
      <c r="Q90" s="13" t="n">
        <v>3</v>
      </c>
      <c r="R90" s="5">
        <f>IF((((P90+Q90)/2)+(C90/(D90*((P90+Q90)/2)))^2/(2*9.81)+B90-(G89+H89^2/(2*9.81))-(A89-A90)*(((DATOS!$B$34*(C90/(D90*((P90+Q90)/2)))/((D90*((P90+Q90)/2))/(D90+2*((P90+Q90)/2)))^(2/3))^2+((DATOS!$B$34*H89/((D89*F89)/(D89+2*F89))^(2/3))^2))/2))&gt;0,P90,((P90+Q90)/2))</f>
        <v/>
      </c>
      <c r="S90" s="5">
        <f>IF((((P90+Q90)/2)+(C90/(D90*((P90+Q90)/2)))^2/(2*9.81)+B90-(G89+H89^2/(2*9.81))-(A89-A90)*(((DATOS!$B$34*(C90/(D90*((P90+Q90)/2)))/((D90*((P90+Q90)/2))/(D90+2*((P90+Q90)/2)))^(2/3))^2+((DATOS!$B$34*H89/((D89*F89)/(D89+2*F89))^(2/3))^2))/2))&gt;0,((P90+Q90)/2),Q90)</f>
        <v/>
      </c>
      <c r="T90" s="5">
        <f>IF((((R90+S90)/2)+(C90/(D90*((R90+S90)/2)))^2/(2*9.81)+B90-(G89+H89^2/(2*9.81))-(A89-A90)*(((DATOS!$B$34*(C90/(D90*((R90+S90)/2)))/((D90*((R90+S90)/2))/(D90+2*((R90+S90)/2)))^(2/3))^2+((DATOS!$B$34*H89/((D89*F89)/(D89+2*F89))^(2/3))^2))/2))&gt;0,R90,((R90+S90)/2))</f>
        <v/>
      </c>
      <c r="U90" s="5">
        <f>IF((((R90+S90)/2)+(C90/(D90*((R90+S90)/2)))^2/(2*9.81)+B90-(G89+H89^2/(2*9.81))-(A89-A90)*(((DATOS!$B$34*(C90/(D90*((R90+S90)/2)))/((D90*((R90+S90)/2))/(D90+2*((R90+S90)/2)))^(2/3))^2+((DATOS!$B$34*H89/((D89*F89)/(D89+2*F89))^(2/3))^2))/2))&gt;0,((R90+S90)/2),S90)</f>
        <v/>
      </c>
      <c r="V90" s="5">
        <f>IF((((T90+U90)/2)+(C90/(D90*((T90+U90)/2)))^2/(2*9.81)+B90-(G89+H89^2/(2*9.81))-(A89-A90)*(((DATOS!$B$34*(C90/(D90*((T90+U90)/2)))/((D90*((T90+U90)/2))/(D90+2*((T90+U90)/2)))^(2/3))^2+((DATOS!$B$34*H89/((D89*F89)/(D89+2*F89))^(2/3))^2))/2))&gt;0,T90,((T90+U90)/2))</f>
        <v/>
      </c>
      <c r="W90" s="5">
        <f>IF((((T90+U90)/2)+(C90/(D90*((T90+U90)/2)))^2/(2*9.81)+B90-(G89+H89^2/(2*9.81))-(A89-A90)*(((DATOS!$B$34*(C90/(D90*((T90+U90)/2)))/((D90*((T90+U90)/2))/(D90+2*((T90+U90)/2)))^(2/3))^2+((DATOS!$B$34*H89/((D89*F89)/(D89+2*F89))^(2/3))^2))/2))&gt;0,((T90+U90)/2),U90)</f>
        <v/>
      </c>
      <c r="X90" s="5">
        <f>IF((((V90+W90)/2)+(C90/(D90*((V90+W90)/2)))^2/(2*9.81)+B90-(G89+H89^2/(2*9.81))-(A89-A90)*(((DATOS!$B$34*(C90/(D90*((V90+W90)/2)))/((D90*((V90+W90)/2))/(D90+2*((V90+W90)/2)))^(2/3))^2+((DATOS!$B$34*H89/((D89*F89)/(D89+2*F89))^(2/3))^2))/2))&gt;0,V90,((V90+W90)/2))</f>
        <v/>
      </c>
      <c r="Y90" s="5">
        <f>IF((((V90+W90)/2)+(C90/(D90*((V90+W90)/2)))^2/(2*9.81)+B90-(G89+H89^2/(2*9.81))-(A89-A90)*(((DATOS!$B$34*(C90/(D90*((V90+W90)/2)))/((D90*((V90+W90)/2))/(D90+2*((V90+W90)/2)))^(2/3))^2+((DATOS!$B$34*H89/((D89*F89)/(D89+2*F89))^(2/3))^2))/2))&gt;0,((V90+W90)/2),W90)</f>
        <v/>
      </c>
      <c r="Z90" s="5">
        <f>IF((((X90+Y90)/2)+(C90/(D90*((X90+Y90)/2)))^2/(2*9.81)+B90-(G89+H89^2/(2*9.81))-(A89-A90)*(((DATOS!$B$34*(C90/(D90*((X90+Y90)/2)))/((D90*((X90+Y90)/2))/(D90+2*((X90+Y90)/2)))^(2/3))^2+((DATOS!$B$34*H89/((D89*F89)/(D89+2*F89))^(2/3))^2))/2))&gt;0,X90,((X90+Y90)/2))</f>
        <v/>
      </c>
      <c r="AA90" s="5">
        <f>IF((((X90+Y90)/2)+(C90/(D90*((X90+Y90)/2)))^2/(2*9.81)+B90-(G89+H89^2/(2*9.81))-(A89-A90)*(((DATOS!$B$34*(C90/(D90*((X90+Y90)/2)))/((D90*((X90+Y90)/2))/(D90+2*((X90+Y90)/2)))^(2/3))^2+((DATOS!$B$34*H89/((D89*F89)/(D89+2*F89))^(2/3))^2))/2))&gt;0,((X90+Y90)/2),Y90)</f>
        <v/>
      </c>
      <c r="AB90" s="5">
        <f>IF((((Z90+AA90)/2)+(C90/(D90*((Z90+AA90)/2)))^2/(2*9.81)+B90-(G89+H89^2/(2*9.81))-(A89-A90)*(((DATOS!$B$34*(C90/(D90*((Z90+AA90)/2)))/((D90*((Z90+AA90)/2))/(D90+2*((Z90+AA90)/2)))^(2/3))^2+((DATOS!$B$34*H89/((D89*F89)/(D89+2*F89))^(2/3))^2))/2))&gt;0,Z90,((Z90+AA90)/2))</f>
        <v/>
      </c>
      <c r="AC90" s="5">
        <f>IF((((Z90+AA90)/2)+(C90/(D90*((Z90+AA90)/2)))^2/(2*9.81)+B90-(G89+H89^2/(2*9.81))-(A89-A90)*(((DATOS!$B$34*(C90/(D90*((Z90+AA90)/2)))/((D90*((Z90+AA90)/2))/(D90+2*((Z90+AA90)/2)))^(2/3))^2+((DATOS!$B$34*H89/((D89*F89)/(D89+2*F89))^(2/3))^2))/2))&gt;0,((Z90+AA90)/2),AA90)</f>
        <v/>
      </c>
      <c r="AD90" s="5">
        <f>IF((((AB90+AC90)/2)+(C90/(D90*((AB90+AC90)/2)))^2/(2*9.81)+B90-(G89+H89^2/(2*9.81))-(A89-A90)*(((DATOS!$B$34*(C90/(D90*((AB90+AC90)/2)))/((D90*((AB90+AC90)/2))/(D90+2*((AB90+AC90)/2)))^(2/3))^2+((DATOS!$B$34*H89/((D89*F89)/(D89+2*F89))^(2/3))^2))/2))&gt;0,AB90,((AB90+AC90)/2))</f>
        <v/>
      </c>
      <c r="AE90" s="5">
        <f>IF((((AB90+AC90)/2)+(C90/(D90*((AB90+AC90)/2)))^2/(2*9.81)+B90-(G89+H89^2/(2*9.81))-(A89-A90)*(((DATOS!$B$34*(C90/(D90*((AB90+AC90)/2)))/((D90*((AB90+AC90)/2))/(D90+2*((AB90+AC90)/2)))^(2/3))^2+((DATOS!$B$34*H89/((D89*F89)/(D89+2*F89))^(2/3))^2))/2))&gt;0,((AB90+AC90)/2),AC90)</f>
        <v/>
      </c>
      <c r="AF90" s="5">
        <f>IF((((AD90+AE90)/2)+(C90/(D90*((AD90+AE90)/2)))^2/(2*9.81)+B90-(G89+H89^2/(2*9.81))-(A89-A90)*(((DATOS!$B$34*(C90/(D90*((AD90+AE90)/2)))/((D90*((AD90+AE90)/2))/(D90+2*((AD90+AE90)/2)))^(2/3))^2+((DATOS!$B$34*H89/((D89*F89)/(D89+2*F89))^(2/3))^2))/2))&gt;0,AD90,((AD90+AE90)/2))</f>
        <v/>
      </c>
      <c r="AG90" s="5">
        <f>IF((((AD90+AE90)/2)+(C90/(D90*((AD90+AE90)/2)))^2/(2*9.81)+B90-(G89+H89^2/(2*9.81))-(A89-A90)*(((DATOS!$B$34*(C90/(D90*((AD90+AE90)/2)))/((D90*((AD90+AE90)/2))/(D90+2*((AD90+AE90)/2)))^(2/3))^2+((DATOS!$B$34*H89/((D89*F89)/(D89+2*F89))^(2/3))^2))/2))&gt;0,((AD90+AE90)/2),AE90)</f>
        <v/>
      </c>
      <c r="AH90" s="5">
        <f>IF((((AF90+AG90)/2)+(C90/(D90*((AF90+AG90)/2)))^2/(2*9.81)+B90-(G89+H89^2/(2*9.81))-(A89-A90)*(((DATOS!$B$34*(C90/(D90*((AF90+AG90)/2)))/((D90*((AF90+AG90)/2))/(D90+2*((AF90+AG90)/2)))^(2/3))^2+((DATOS!$B$34*H89/((D89*F89)/(D89+2*F89))^(2/3))^2))/2))&gt;0,AF90,((AF90+AG90)/2))</f>
        <v/>
      </c>
      <c r="AI90" s="5">
        <f>IF((((AF90+AG90)/2)+(C90/(D90*((AF90+AG90)/2)))^2/(2*9.81)+B90-(G89+H89^2/(2*9.81))-(A89-A90)*(((DATOS!$B$34*(C90/(D90*((AF90+AG90)/2)))/((D90*((AF90+AG90)/2))/(D90+2*((AF90+AG90)/2)))^(2/3))^2+((DATOS!$B$34*H89/((D89*F89)/(D89+2*F89))^(2/3))^2))/2))&gt;0,((AF90+AG90)/2),AG90)</f>
        <v/>
      </c>
      <c r="AJ90" s="5">
        <f>IF((((AH90+AI90)/2)+(C90/(D90*((AH90+AI90)/2)))^2/(2*9.81)+B90-(G89+H89^2/(2*9.81))-(A89-A90)*(((DATOS!$B$34*(C90/(D90*((AH90+AI90)/2)))/((D90*((AH90+AI90)/2))/(D90+2*((AH90+AI90)/2)))^(2/3))^2+((DATOS!$B$34*H89/((D89*F89)/(D89+2*F89))^(2/3))^2))/2))&gt;0,AH90,((AH90+AI90)/2))</f>
        <v/>
      </c>
      <c r="AK90" s="5">
        <f>IF((((AH90+AI90)/2)+(C90/(D90*((AH90+AI90)/2)))^2/(2*9.81)+B90-(G89+H89^2/(2*9.81))-(A89-A90)*(((DATOS!$B$34*(C90/(D90*((AH90+AI90)/2)))/((D90*((AH90+AI90)/2))/(D90+2*((AH90+AI90)/2)))^(2/3))^2+((DATOS!$B$34*H89/((D89*F89)/(D89+2*F89))^(2/3))^2))/2))&gt;0,((AH90+AI90)/2),AI90)</f>
        <v/>
      </c>
      <c r="AL90" s="5">
        <f>IF((((AJ90+AK90)/2)+(C90/(D90*((AJ90+AK90)/2)))^2/(2*9.81)+B90-(G89+H89^2/(2*9.81))-(A89-A90)*(((DATOS!$B$34*(C90/(D90*((AJ90+AK90)/2)))/((D90*((AJ90+AK90)/2))/(D90+2*((AJ90+AK90)/2)))^(2/3))^2+((DATOS!$B$34*H89/((D89*F89)/(D89+2*F89))^(2/3))^2))/2))&gt;0,AJ90,((AJ90+AK90)/2))</f>
        <v/>
      </c>
      <c r="AM90" s="5">
        <f>IF((((AJ90+AK90)/2)+(C90/(D90*((AJ90+AK90)/2)))^2/(2*9.81)+B90-(G89+H89^2/(2*9.81))-(A89-A90)*(((DATOS!$B$34*(C90/(D90*((AJ90+AK90)/2)))/((D90*((AJ90+AK90)/2))/(D90+2*((AJ90+AK90)/2)))^(2/3))^2+((DATOS!$B$34*H89/((D89*F89)/(D89+2*F89))^(2/3))^2))/2))&gt;0,((AJ90+AK90)/2),AK90)</f>
        <v/>
      </c>
      <c r="AN90" s="5">
        <f>IF((((AL90+AM90)/2)+(C90/(D90*((AL90+AM90)/2)))^2/(2*9.81)+B90-(G89+H89^2/(2*9.81))-(A89-A90)*(((DATOS!$B$34*(C90/(D90*((AL90+AM90)/2)))/((D90*((AL90+AM90)/2))/(D90+2*((AL90+AM90)/2)))^(2/3))^2+((DATOS!$B$34*H89/((D89*F89)/(D89+2*F89))^(2/3))^2))/2))&gt;0,AL90,((AL90+AM90)/2))</f>
        <v/>
      </c>
      <c r="AO90" s="5">
        <f>IF((((AL90+AM90)/2)+(C90/(D90*((AL90+AM90)/2)))^2/(2*9.81)+B90-(G89+H89^2/(2*9.81))-(A89-A90)*(((DATOS!$B$34*(C90/(D90*((AL90+AM90)/2)))/((D90*((AL90+AM90)/2))/(D90+2*((AL90+AM90)/2)))^(2/3))^2+((DATOS!$B$34*H89/((D89*F89)/(D89+2*F89))^(2/3))^2))/2))&gt;0,((AL90+AM90)/2),AM90)</f>
        <v/>
      </c>
      <c r="AP90" s="5">
        <f>IF((((AN90+AO90)/2)+(C90/(D90*((AN90+AO90)/2)))^2/(2*9.81)+B90-(G89+H89^2/(2*9.81))-(A89-A90)*(((DATOS!$B$34*(C90/(D90*((AN90+AO90)/2)))/((D90*((AN90+AO90)/2))/(D90+2*((AN90+AO90)/2)))^(2/3))^2+((DATOS!$B$34*H89/((D89*F89)/(D89+2*F89))^(2/3))^2))/2))&gt;0,AN90,((AN90+AO90)/2))</f>
        <v/>
      </c>
      <c r="AQ90" s="5">
        <f>IF((((AN90+AO90)/2)+(C90/(D90*((AN90+AO90)/2)))^2/(2*9.81)+B90-(G89+H89^2/(2*9.81))-(A89-A90)*(((DATOS!$B$34*(C90/(D90*((AN90+AO90)/2)))/((D90*((AN90+AO90)/2))/(D90+2*((AN90+AO90)/2)))^(2/3))^2+((DATOS!$B$34*H89/((D89*F89)/(D89+2*F89))^(2/3))^2))/2))&gt;0,((AN90+AO90)/2),AO90)</f>
        <v/>
      </c>
      <c r="AR90" s="5">
        <f>IF((((AP90+AQ90)/2)+(C90/(D90*((AP90+AQ90)/2)))^2/(2*9.81)+B90-(G89+H89^2/(2*9.81))-(A89-A90)*(((DATOS!$B$34*(C90/(D90*((AP90+AQ90)/2)))/((D90*((AP90+AQ90)/2))/(D90+2*((AP90+AQ90)/2)))^(2/3))^2+((DATOS!$B$34*H89/((D89*F89)/(D89+2*F89))^(2/3))^2))/2))&gt;0,AP90,((AP90+AQ90)/2))</f>
        <v/>
      </c>
      <c r="AS90" s="5">
        <f>IF((((AP90+AQ90)/2)+(C90/(D90*((AP90+AQ90)/2)))^2/(2*9.81)+B90-(G89+H89^2/(2*9.81))-(A89-A90)*(((DATOS!$B$34*(C90/(D90*((AP90+AQ90)/2)))/((D90*((AP90+AQ90)/2))/(D90+2*((AP90+AQ90)/2)))^(2/3))^2+((DATOS!$B$34*H89/((D89*F89)/(D89+2*F89))^(2/3))^2))/2))&gt;0,((AP90+AQ90)/2),AQ90)</f>
        <v/>
      </c>
      <c r="AT90" s="5">
        <f>IF((((AR90+AS90)/2)+(C90/(D90*((AR90+AS90)/2)))^2/(2*9.81)+B90-(G89+H89^2/(2*9.81))-(A89-A90)*(((DATOS!$B$34*(C90/(D90*((AR90+AS90)/2)))/((D90*((AR90+AS90)/2))/(D90+2*((AR90+AS90)/2)))^(2/3))^2+((DATOS!$B$34*H89/((D89*F89)/(D89+2*F89))^(2/3))^2))/2))&gt;0,AR90,((AR90+AS90)/2))</f>
        <v/>
      </c>
      <c r="AU90" s="5">
        <f>IF((((AR90+AS90)/2)+(C90/(D90*((AR90+AS90)/2)))^2/(2*9.81)+B90-(G89+H89^2/(2*9.81))-(A89-A90)*(((DATOS!$B$34*(C90/(D90*((AR90+AS90)/2)))/((D90*((AR90+AS90)/2))/(D90+2*((AR90+AS90)/2)))^(2/3))^2+((DATOS!$B$34*H89/((D89*F89)/(D89+2*F89))^(2/3))^2))/2))&gt;0,((AR90+AS90)/2),AS90)</f>
        <v/>
      </c>
      <c r="AV90" s="5">
        <f>IF((((AT90+AU90)/2)+(C90/(D90*((AT90+AU90)/2)))^2/(2*9.81)+B90-(G89+H89^2/(2*9.81))-(A89-A90)*(((DATOS!$B$34*(C90/(D90*((AT90+AU90)/2)))/((D90*((AT90+AU90)/2))/(D90+2*((AT90+AU90)/2)))^(2/3))^2+((DATOS!$B$34*H89/((D89*F89)/(D89+2*F89))^(2/3))^2))/2))&gt;0,AT90,((AT90+AU90)/2))</f>
        <v/>
      </c>
      <c r="AW90" s="5">
        <f>IF((((AT90+AU90)/2)+(C90/(D90*((AT90+AU90)/2)))^2/(2*9.81)+B90-(G89+H89^2/(2*9.81))-(A89-A90)*(((DATOS!$B$34*(C90/(D90*((AT90+AU90)/2)))/((D90*((AT90+AU90)/2))/(D90+2*((AT90+AU90)/2)))^(2/3))^2+((DATOS!$B$34*H89/((D89*F89)/(D89+2*F89))^(2/3))^2))/2))&gt;0,((AT90+AU90)/2),AU90)</f>
        <v/>
      </c>
      <c r="AX90" s="5">
        <f>IF((((AV90+AW90)/2)+(C90/(D90*((AV90+AW90)/2)))^2/(2*9.81)+B90-(G89+H89^2/(2*9.81))-(A89-A90)*(((DATOS!$B$34*(C90/(D90*((AV90+AW90)/2)))/((D90*((AV90+AW90)/2))/(D90+2*((AV90+AW90)/2)))^(2/3))^2+((DATOS!$B$34*H89/((D89*F89)/(D89+2*F89))^(2/3))^2))/2))&gt;0,AV90,((AV90+AW90)/2))</f>
        <v/>
      </c>
      <c r="AY90" s="5">
        <f>IF((((AV90+AW90)/2)+(C90/(D90*((AV90+AW90)/2)))^2/(2*9.81)+B90-(G89+H89^2/(2*9.81))-(A89-A90)*(((DATOS!$B$34*(C90/(D90*((AV90+AW90)/2)))/((D90*((AV90+AW90)/2))/(D90+2*((AV90+AW90)/2)))^(2/3))^2+((DATOS!$B$34*H89/((D89*F89)/(D89+2*F89))^(2/3))^2))/2))&gt;0,((AV90+AW90)/2),AW90)</f>
        <v/>
      </c>
      <c r="AZ90" s="5">
        <f>IF((((AX90+AY90)/2)+(C90/(D90*((AX90+AY90)/2)))^2/(2*9.81)+B90-(G89+H89^2/(2*9.81))-(A89-A90)*(((DATOS!$B$34*(C90/(D90*((AX90+AY90)/2)))/((D90*((AX90+AY90)/2))/(D90+2*((AX90+AY90)/2)))^(2/3))^2+((DATOS!$B$34*H89/((D89*F89)/(D89+2*F89))^(2/3))^2))/2))&gt;0,AX90,((AX90+AY90)/2))</f>
        <v/>
      </c>
      <c r="BA90" s="5">
        <f>IF((((AX90+AY90)/2)+(C90/(D90*((AX90+AY90)/2)))^2/(2*9.81)+B90-(G89+H89^2/(2*9.81))-(A89-A90)*(((DATOS!$B$34*(C90/(D90*((AX90+AY90)/2)))/((D90*((AX90+AY90)/2))/(D90+2*((AX90+AY90)/2)))^(2/3))^2+((DATOS!$B$34*H89/((D89*F89)/(D89+2*F89))^(2/3))^2))/2))&gt;0,((AX90+AY90)/2),AY90)</f>
        <v/>
      </c>
      <c r="BB90" s="5">
        <f>IF((((AZ90+BA90)/2)+(C90/(D90*((AZ90+BA90)/2)))^2/(2*9.81)+B90-(G89+H89^2/(2*9.81))-(A89-A90)*(((DATOS!$B$34*(C90/(D90*((AZ90+BA90)/2)))/((D90*((AZ90+BA90)/2))/(D90+2*((AZ90+BA90)/2)))^(2/3))^2+((DATOS!$B$34*H89/((D89*F89)/(D89+2*F89))^(2/3))^2))/2))&gt;0,AZ90,((AZ90+BA90)/2))</f>
        <v/>
      </c>
      <c r="BC90" s="5">
        <f>IF((((AZ90+BA90)/2)+(C90/(D90*((AZ90+BA90)/2)))^2/(2*9.81)+B90-(G89+H89^2/(2*9.81))-(A89-A90)*(((DATOS!$B$34*(C90/(D90*((AZ90+BA90)/2)))/((D90*((AZ90+BA90)/2))/(D90+2*((AZ90+BA90)/2)))^(2/3))^2+((DATOS!$B$34*H89/((D89*F89)/(D89+2*F89))^(2/3))^2))/2))&gt;0,((AZ90+BA90)/2),BA90)</f>
        <v/>
      </c>
      <c r="BD90" s="5">
        <f>IF((((BB90+BC90)/2)+(C90/(D90*((BB90+BC90)/2)))^2/(2*9.81)+B90-(G89+H89^2/(2*9.81))-(A89-A90)*(((DATOS!$B$34*(C90/(D90*((BB90+BC90)/2)))/((D90*((BB90+BC90)/2))/(D90+2*((BB90+BC90)/2)))^(2/3))^2+((DATOS!$B$34*H89/((D89*F89)/(D89+2*F89))^(2/3))^2))/2))&gt;0,BB90,((BB90+BC90)/2))</f>
        <v/>
      </c>
      <c r="BE90" s="5">
        <f>IF((((BB90+BC90)/2)+(C90/(D90*((BB90+BC90)/2)))^2/(2*9.81)+B90-(G89+H89^2/(2*9.81))-(A89-A90)*(((DATOS!$B$34*(C90/(D90*((BB90+BC90)/2)))/((D90*((BB90+BC90)/2))/(D90+2*((BB90+BC90)/2)))^(2/3))^2+((DATOS!$B$34*H89/((D89*F89)/(D89+2*F89))^(2/3))^2))/2))&gt;0,((BB90+BC90)/2),BC90)</f>
        <v/>
      </c>
      <c r="BF90" s="5">
        <f>IF((((BD90+BE90)/2)+(C90/(D90*((BD90+BE90)/2)))^2/(2*9.81)+B90-(G89+H89^2/(2*9.81))-(A89-A90)*(((DATOS!$B$34*(C90/(D90*((BD90+BE90)/2)))/((D90*((BD90+BE90)/2))/(D90+2*((BD90+BE90)/2)))^(2/3))^2+((DATOS!$B$34*H89/((D89*F89)/(D89+2*F89))^(2/3))^2))/2))&gt;0,BD90,((BD90+BE90)/2))</f>
        <v/>
      </c>
      <c r="BG90" s="5">
        <f>IF((((BD90+BE90)/2)+(C90/(D90*((BD90+BE90)/2)))^2/(2*9.81)+B90-(G89+H89^2/(2*9.81))-(A89-A90)*(((DATOS!$B$34*(C90/(D90*((BD90+BE90)/2)))/((D90*((BD90+BE90)/2))/(D90+2*((BD90+BE90)/2)))^(2/3))^2+((DATOS!$B$34*H89/((D89*F89)/(D89+2*F89))^(2/3))^2))/2))&gt;0,((BD90+BE90)/2),BE90)</f>
        <v/>
      </c>
      <c r="BH90" s="5">
        <f>IF((((BF90+BG90)/2)+(C90/(D90*((BF90+BG90)/2)))^2/(2*9.81)+B90-(G89+H89^2/(2*9.81))-(A89-A90)*(((DATOS!$B$34*(C90/(D90*((BF90+BG90)/2)))/((D90*((BF90+BG90)/2))/(D90+2*((BF90+BG90)/2)))^(2/3))^2+((DATOS!$B$34*H89/((D89*F89)/(D89+2*F89))^(2/3))^2))/2))&gt;0,BF90,((BF90+BG90)/2))</f>
        <v/>
      </c>
      <c r="BI90" s="5">
        <f>IF((((BF90+BG90)/2)+(C90/(D90*((BF90+BG90)/2)))^2/(2*9.81)+B90-(G89+H89^2/(2*9.81))-(A89-A90)*(((DATOS!$B$34*(C90/(D90*((BF90+BG90)/2)))/((D90*((BF90+BG90)/2))/(D90+2*((BF90+BG90)/2)))^(2/3))^2+((DATOS!$B$34*H89/((D89*F89)/(D89+2*F89))^(2/3))^2))/2))&gt;0,((BF90+BG90)/2),BG90)</f>
        <v/>
      </c>
      <c r="BJ90" s="5">
        <f>IF((((BH90+BI90)/2)+(C90/(D90*((BH90+BI90)/2)))^2/(2*9.81)+B90-(G89+H89^2/(2*9.81))-(A89-A90)*(((DATOS!$B$34*(C90/(D90*((BH90+BI90)/2)))/((D90*((BH90+BI90)/2))/(D90+2*((BH90+BI90)/2)))^(2/3))^2+((DATOS!$B$34*H89/((D89*F89)/(D89+2*F89))^(2/3))^2))/2))&gt;0,BH90,((BH90+BI90)/2))</f>
        <v/>
      </c>
      <c r="BK90" s="5">
        <f>IF((((BH90+BI90)/2)+(C90/(D90*((BH90+BI90)/2)))^2/(2*9.81)+B90-(G89+H89^2/(2*9.81))-(A89-A90)*(((DATOS!$B$34*(C90/(D90*((BH90+BI90)/2)))/((D90*((BH90+BI90)/2))/(D90+2*((BH90+BI90)/2)))^(2/3))^2+((DATOS!$B$34*H89/((D89*F89)/(D89+2*F89))^(2/3))^2))/2))&gt;0,((BH90+BI90)/2),BI90)</f>
        <v/>
      </c>
      <c r="BL90" s="5">
        <f>IF((((BJ90+BK90)/2)+(C90/(D90*((BJ90+BK90)/2)))^2/(2*9.81)+B90-(G89+H89^2/(2*9.81))-(A89-A90)*(((DATOS!$B$34*(C90/(D90*((BJ90+BK90)/2)))/((D90*((BJ90+BK90)/2))/(D90+2*((BJ90+BK90)/2)))^(2/3))^2+((DATOS!$B$34*H89/((D89*F89)/(D89+2*F89))^(2/3))^2))/2))&gt;0,BJ90,((BJ90+BK90)/2))</f>
        <v/>
      </c>
      <c r="BM90" s="5">
        <f>IF((((BJ90+BK90)/2)+(C90/(D90*((BJ90+BK90)/2)))^2/(2*9.81)+B90-(G89+H89^2/(2*9.81))-(A89-A90)*(((DATOS!$B$34*(C90/(D90*((BJ90+BK90)/2)))/((D90*((BJ90+BK90)/2))/(D90+2*((BJ90+BK90)/2)))^(2/3))^2+((DATOS!$B$34*H89/((D89*F89)/(D89+2*F89))^(2/3))^2))/2))&gt;0,((BJ90+BK90)/2),BK90)</f>
        <v/>
      </c>
      <c r="BN90" s="5">
        <f>IF((((BL90+BM90)/2)+(C90/(D90*((BL90+BM90)/2)))^2/(2*9.81)+B90-(G89+H89^2/(2*9.81))-(A89-A90)*(((DATOS!$B$34*(C90/(D90*((BL90+BM90)/2)))/((D90*((BL90+BM90)/2))/(D90+2*((BL90+BM90)/2)))^(2/3))^2+((DATOS!$B$34*H89/((D89*F89)/(D89+2*F89))^(2/3))^2))/2))&gt;0,BL90,((BL90+BM90)/2))</f>
        <v/>
      </c>
      <c r="BO90" s="5">
        <f>IF((((BL90+BM90)/2)+(C90/(D90*((BL90+BM90)/2)))^2/(2*9.81)+B90-(G89+H89^2/(2*9.81))-(A89-A90)*(((DATOS!$B$34*(C90/(D90*((BL90+BM90)/2)))/((D90*((BL90+BM90)/2))/(D90+2*((BL90+BM90)/2)))^(2/3))^2+((DATOS!$B$34*H89/((D89*F89)/(D89+2*F89))^(2/3))^2))/2))&gt;0,((BL90+BM90)/2),BM90)</f>
        <v/>
      </c>
      <c r="BP90" s="5">
        <f>IF((((BN90+BO90)/2)+(C90/(D90*((BN90+BO90)/2)))^2/(2*9.81)+B90-(G89+H89^2/(2*9.81))-(A89-A90)*(((DATOS!$B$34*(C90/(D90*((BN90+BO90)/2)))/((D90*((BN90+BO90)/2))/(D90+2*((BN90+BO90)/2)))^(2/3))^2+((DATOS!$B$34*H89/((D89*F89)/(D89+2*F89))^(2/3))^2))/2))&gt;0,BN90,((BN90+BO90)/2))</f>
        <v/>
      </c>
      <c r="BQ90" s="5">
        <f>IF((((BN90+BO90)/2)+(C90/(D90*((BN90+BO90)/2)))^2/(2*9.81)+B90-(G89+H89^2/(2*9.81))-(A89-A90)*(((DATOS!$B$34*(C90/(D90*((BN90+BO90)/2)))/((D90*((BN90+BO90)/2))/(D90+2*((BN90+BO90)/2)))^(2/3))^2+((DATOS!$B$34*H89/((D89*F89)/(D89+2*F89))^(2/3))^2))/2))&gt;0,((BN90+BO90)/2),BO90)</f>
        <v/>
      </c>
      <c r="BR90" s="5">
        <f>IF((((BP90+BQ90)/2)+(C90/(D90*((BP90+BQ90)/2)))^2/(2*9.81)+B90-(G89+H89^2/(2*9.81))-(A89-A90)*(((DATOS!$B$34*(C90/(D90*((BP90+BQ90)/2)))/((D90*((BP90+BQ90)/2))/(D90+2*((BP90+BQ90)/2)))^(2/3))^2+((DATOS!$B$34*H89/((D89*F89)/(D89+2*F89))^(2/3))^2))/2))&gt;0,BP90,((BP90+BQ90)/2))</f>
        <v/>
      </c>
      <c r="BS90" s="5">
        <f>IF((((BP90+BQ90)/2)+(C90/(D90*((BP90+BQ90)/2)))^2/(2*9.81)+B90-(G89+H89^2/(2*9.81))-(A89-A90)*(((DATOS!$B$34*(C90/(D90*((BP90+BQ90)/2)))/((D90*((BP90+BQ90)/2))/(D90+2*((BP90+BQ90)/2)))^(2/3))^2+((DATOS!$B$34*H89/((D89*F89)/(D89+2*F89))^(2/3))^2))/2))&gt;0,((BP90+BQ90)/2),BQ90)</f>
        <v/>
      </c>
      <c r="BT90" s="5">
        <f>IF((((BR90+BS90)/2)+(C90/(D90*((BR90+BS90)/2)))^2/(2*9.81)+B90-(G89+H89^2/(2*9.81))-(A89-A90)*(((DATOS!$B$34*(C90/(D90*((BR90+BS90)/2)))/((D90*((BR90+BS90)/2))/(D90+2*((BR90+BS90)/2)))^(2/3))^2+((DATOS!$B$34*H89/((D89*F89)/(D89+2*F89))^(2/3))^2))/2))&gt;0,BR90,((BR90+BS90)/2))</f>
        <v/>
      </c>
      <c r="BU90" s="5">
        <f>IF((((BR90+BS90)/2)+(C90/(D90*((BR90+BS90)/2)))^2/(2*9.81)+B90-(G89+H89^2/(2*9.81))-(A89-A90)*(((DATOS!$B$34*(C90/(D90*((BR90+BS90)/2)))/((D90*((BR90+BS90)/2))/(D90+2*((BR90+BS90)/2)))^(2/3))^2+((DATOS!$B$34*H89/((D89*F89)/(D89+2*F89))^(2/3))^2))/2))&gt;0,((BR90+BS90)/2),BS90)</f>
        <v/>
      </c>
      <c r="BV90" s="5">
        <f>IF((((BT90+BU90)/2)+(C90/(D90*((BT90+BU90)/2)))^2/(2*9.81)+B90-(G89+H89^2/(2*9.81))-(A89-A90)*(((DATOS!$B$34*(C90/(D90*((BT90+BU90)/2)))/((D90*((BT90+BU90)/2))/(D90+2*((BT90+BU90)/2)))^(2/3))^2+((DATOS!$B$34*H89/((D89*F89)/(D89+2*F89))^(2/3))^2))/2))&gt;0,BT90,((BT90+BU90)/2))</f>
        <v/>
      </c>
      <c r="BW90" s="5">
        <f>IF((((BT90+BU90)/2)+(C90/(D90*((BT90+BU90)/2)))^2/(2*9.81)+B90-(G89+H89^2/(2*9.81))-(A89-A90)*(((DATOS!$B$34*(C90/(D90*((BT90+BU90)/2)))/((D90*((BT90+BU90)/2))/(D90+2*((BT90+BU90)/2)))^(2/3))^2+((DATOS!$B$34*H89/((D89*F89)/(D89+2*F89))^(2/3))^2))/2))&gt;0,((BT90+BU90)/2),BU90)</f>
        <v/>
      </c>
    </row>
    <row r="91"/>
    <row r="92">
      <c r="A92" s="3" t="inlineStr">
        <is>
          <t>RESUMEN</t>
        </is>
      </c>
    </row>
    <row r="93">
      <c r="A93" s="5" t="inlineStr">
        <is>
          <t>Llenado maximo y/h</t>
        </is>
      </c>
      <c r="B93" s="16">
        <f>MAX(L6:L90)</f>
        <v/>
      </c>
    </row>
    <row r="94">
      <c r="A94" s="5" t="inlineStr">
        <is>
          <t>Borde libre minimo (m)</t>
        </is>
      </c>
      <c r="B94" s="16">
        <f>MIN(M6:M90)</f>
        <v/>
      </c>
    </row>
    <row r="95">
      <c r="A95" s="5" t="inlineStr">
        <is>
          <t>Froude maximo en el colector (sin el brink)</t>
        </is>
      </c>
      <c r="B95" s="16">
        <f>MAX(I7:I90)</f>
        <v/>
      </c>
    </row>
    <row r="96">
      <c r="A96" s="5" t="inlineStr">
        <is>
          <t>Estaciones que no cumplen</t>
        </is>
      </c>
      <c r="B96" s="5">
        <f>COUNTIF(N6:N90,"NO CUMPLE")</f>
        <v/>
      </c>
    </row>
    <row r="97">
      <c r="A97" s="5" t="inlineStr">
        <is>
          <t>Nivel de agua en 0+000 (msnm)</t>
        </is>
      </c>
      <c r="B97" s="16">
        <f>G90</f>
        <v/>
      </c>
    </row>
    <row r="98"/>
    <row r="99">
      <c r="A99" s="3" t="inlineStr">
        <is>
          <t>VERIFICACION DE VELOCIDADES Y AUTOLIMPIEZA (RNE CE.040 Drenaje Pluvial; esfuerzo tractivo minimo)</t>
        </is>
      </c>
    </row>
    <row r="100">
      <c r="A100" s="2" t="inlineStr">
        <is>
          <t>Tirante normal por punto fijo: y(k+1) = (Q n (b + 2 y(k))^(2/3) / (b^(5/3) S^(1/2)))^(3/5), 8 iteraciones (columnas P a W). Esfuerzo tractivo tau = gamma R S.</t>
        </is>
      </c>
    </row>
    <row r="101">
      <c r="A101" s="11" t="inlineStr">
        <is>
          <t>CASO</t>
        </is>
      </c>
      <c r="B101" s="11" t="inlineStr">
        <is>
          <t>Q (m3/s)</t>
        </is>
      </c>
      <c r="C101" s="11" t="inlineStr">
        <is>
          <t>yn (m)</t>
        </is>
      </c>
      <c r="D101" s="11" t="inlineStr">
        <is>
          <t>V (m/s)</t>
        </is>
      </c>
      <c r="E101" s="11" t="inlineStr">
        <is>
          <t>R (m)</t>
        </is>
      </c>
      <c r="F101" s="11" t="inlineStr">
        <is>
          <t>TAU (kg/m2)</t>
        </is>
      </c>
      <c r="G101" s="11" t="inlineStr">
        <is>
          <t>TAU (Pa)</t>
        </is>
      </c>
      <c r="H101" s="11" t="inlineStr">
        <is>
          <t>FROUDE</t>
        </is>
      </c>
      <c r="I101" s="11" t="inlineStr">
        <is>
          <t>V &gt;= 0.90 m/s (CE.040)</t>
        </is>
      </c>
      <c r="J101" s="11" t="inlineStr">
        <is>
          <t>TAU &gt;= 0.15 kg/m2</t>
        </is>
      </c>
      <c r="K101" s="11" t="inlineStr">
        <is>
          <t>V &lt;= 3.0 m/s (concreto)</t>
        </is>
      </c>
    </row>
    <row r="102">
      <c r="A102" s="5" t="inlineStr">
        <is>
          <t>Caudal de diseno del tramo (Varones + Refugio)</t>
        </is>
      </c>
      <c r="B102" s="24">
        <f>CAUDALES!$B$13</f>
        <v/>
      </c>
      <c r="C102" s="16">
        <f>W102</f>
        <v/>
      </c>
      <c r="D102" s="19">
        <f>B102/(DATOS!$B$17*C102)</f>
        <v/>
      </c>
      <c r="E102" s="16">
        <f>DATOS!$B$17*C102/(DATOS!$B$17+2*C102)</f>
        <v/>
      </c>
      <c r="F102" s="16">
        <f>1000*E102*DATOS!$B$23</f>
        <v/>
      </c>
      <c r="G102" s="19">
        <f>F102*9.81</f>
        <v/>
      </c>
      <c r="H102" s="19">
        <f>D102/SQRT(9.81*C102)</f>
        <v/>
      </c>
      <c r="I102" s="5">
        <f>IF(D102&gt;=0.9,"CUMPLE","NO CUMPLE")</f>
        <v/>
      </c>
      <c r="J102" s="5">
        <f>IF(F102&gt;=0.15,"CUMPLE","NO CUMPLE")</f>
        <v/>
      </c>
      <c r="K102" s="5">
        <f>IF(D102&lt;=3.0,"CUMPLE","NO CUMPLE")</f>
        <v/>
      </c>
      <c r="P102" s="20">
        <f>(B102*DATOS!$B$34/(DATOS!$B$17*SQRT(DATOS!$B$23)))^(3/5)</f>
        <v/>
      </c>
      <c r="Q102" s="20">
        <f>(B102*DATOS!$B$34*(DATOS!$B$17+2*P102)^(2/3)/(DATOS!$B$17^(5/3)*SQRT(DATOS!$B$23)))^(3/5)</f>
        <v/>
      </c>
      <c r="R102" s="20">
        <f>(B102*DATOS!$B$34*(DATOS!$B$17+2*Q102)^(2/3)/(DATOS!$B$17^(5/3)*SQRT(DATOS!$B$23)))^(3/5)</f>
        <v/>
      </c>
      <c r="S102" s="20">
        <f>(B102*DATOS!$B$34*(DATOS!$B$17+2*R102)^(2/3)/(DATOS!$B$17^(5/3)*SQRT(DATOS!$B$23)))^(3/5)</f>
        <v/>
      </c>
      <c r="T102" s="20">
        <f>(B102*DATOS!$B$34*(DATOS!$B$17+2*S102)^(2/3)/(DATOS!$B$17^(5/3)*SQRT(DATOS!$B$23)))^(3/5)</f>
        <v/>
      </c>
      <c r="U102" s="20">
        <f>(B102*DATOS!$B$34*(DATOS!$B$17+2*T102)^(2/3)/(DATOS!$B$17^(5/3)*SQRT(DATOS!$B$23)))^(3/5)</f>
        <v/>
      </c>
      <c r="V102" s="20">
        <f>(B102*DATOS!$B$34*(DATOS!$B$17+2*U102)^(2/3)/(DATOS!$B$17^(5/3)*SQRT(DATOS!$B$23)))^(3/5)</f>
        <v/>
      </c>
      <c r="W102" s="20">
        <f>(B102*DATOS!$B$34*(DATOS!$B$17+2*V102)^(2/3)/(DATOS!$B$17^(5/3)*SQRT(DATOS!$B$23)))^(3/5)</f>
        <v/>
      </c>
    </row>
    <row r="103">
      <c r="A103" s="5" t="inlineStr">
        <is>
          <t>Solo aporte de CAR Varones (CUI 2705619)</t>
        </is>
      </c>
      <c r="B103" s="24">
        <f>CAUDALES!$B$10/1000</f>
        <v/>
      </c>
      <c r="C103" s="16">
        <f>W103</f>
        <v/>
      </c>
      <c r="D103" s="19">
        <f>B103/(DATOS!$B$17*C103)</f>
        <v/>
      </c>
      <c r="E103" s="16">
        <f>DATOS!$B$17*C103/(DATOS!$B$17+2*C103)</f>
        <v/>
      </c>
      <c r="F103" s="16">
        <f>1000*E103*DATOS!$B$23</f>
        <v/>
      </c>
      <c r="G103" s="19">
        <f>F103*9.81</f>
        <v/>
      </c>
      <c r="H103" s="19">
        <f>D103/SQRT(9.81*C103)</f>
        <v/>
      </c>
      <c r="I103" s="5">
        <f>IF(D103&gt;=0.9,"CUMPLE","caudal parcial: ver tau")</f>
        <v/>
      </c>
      <c r="J103" s="5">
        <f>IF(F103&gt;=0.15,"CUMPLE","NO CUMPLE")</f>
        <v/>
      </c>
      <c r="K103" s="5">
        <f>IF(D103&lt;=3.0,"CUMPLE","NO CUMPLE")</f>
        <v/>
      </c>
      <c r="P103" s="20">
        <f>(B103*DATOS!$B$34/(DATOS!$B$17*SQRT(DATOS!$B$23)))^(3/5)</f>
        <v/>
      </c>
      <c r="Q103" s="20">
        <f>(B103*DATOS!$B$34*(DATOS!$B$17+2*P103)^(2/3)/(DATOS!$B$17^(5/3)*SQRT(DATOS!$B$23)))^(3/5)</f>
        <v/>
      </c>
      <c r="R103" s="20">
        <f>(B103*DATOS!$B$34*(DATOS!$B$17+2*Q103)^(2/3)/(DATOS!$B$17^(5/3)*SQRT(DATOS!$B$23)))^(3/5)</f>
        <v/>
      </c>
      <c r="S103" s="20">
        <f>(B103*DATOS!$B$34*(DATOS!$B$17+2*R103)^(2/3)/(DATOS!$B$17^(5/3)*SQRT(DATOS!$B$23)))^(3/5)</f>
        <v/>
      </c>
      <c r="T103" s="20">
        <f>(B103*DATOS!$B$34*(DATOS!$B$17+2*S103)^(2/3)/(DATOS!$B$17^(5/3)*SQRT(DATOS!$B$23)))^(3/5)</f>
        <v/>
      </c>
      <c r="U103" s="20">
        <f>(B103*DATOS!$B$34*(DATOS!$B$17+2*T103)^(2/3)/(DATOS!$B$17^(5/3)*SQRT(DATOS!$B$23)))^(3/5)</f>
        <v/>
      </c>
      <c r="V103" s="20">
        <f>(B103*DATOS!$B$34*(DATOS!$B$17+2*U103)^(2/3)/(DATOS!$B$17^(5/3)*SQRT(DATOS!$B$23)))^(3/5)</f>
        <v/>
      </c>
      <c r="W103" s="20">
        <f>(B103*DATOS!$B$34*(DATOS!$B$17+2*V103)^(2/3)/(DATOS!$B$17^(5/3)*SQRT(DATOS!$B$23)))^(3/5)</f>
        <v/>
      </c>
    </row>
    <row r="104">
      <c r="A104" s="5" t="inlineStr">
        <is>
          <t>Solo aporte del Hogar de Refugio (CUI 2675514)</t>
        </is>
      </c>
      <c r="B104" s="24">
        <f>CAUDALES!$B$11/1000</f>
        <v/>
      </c>
      <c r="C104" s="16">
        <f>W104</f>
        <v/>
      </c>
      <c r="D104" s="19">
        <f>B104/(DATOS!$B$17*C104)</f>
        <v/>
      </c>
      <c r="E104" s="16">
        <f>DATOS!$B$17*C104/(DATOS!$B$17+2*C104)</f>
        <v/>
      </c>
      <c r="F104" s="16">
        <f>1000*E104*DATOS!$B$23</f>
        <v/>
      </c>
      <c r="G104" s="19">
        <f>F104*9.81</f>
        <v/>
      </c>
      <c r="H104" s="19">
        <f>D104/SQRT(9.81*C104)</f>
        <v/>
      </c>
      <c r="I104" s="5">
        <f>IF(D104&gt;=0.9,"CUMPLE","caudal parcial: ver tau")</f>
        <v/>
      </c>
      <c r="J104" s="5">
        <f>IF(F104&gt;=0.15,"CUMPLE","NO CUMPLE")</f>
        <v/>
      </c>
      <c r="K104" s="5">
        <f>IF(D104&lt;=3.0,"CUMPLE","NO CUMPLE")</f>
        <v/>
      </c>
      <c r="P104" s="20">
        <f>(B104*DATOS!$B$34/(DATOS!$B$17*SQRT(DATOS!$B$23)))^(3/5)</f>
        <v/>
      </c>
      <c r="Q104" s="20">
        <f>(B104*DATOS!$B$34*(DATOS!$B$17+2*P104)^(2/3)/(DATOS!$B$17^(5/3)*SQRT(DATOS!$B$23)))^(3/5)</f>
        <v/>
      </c>
      <c r="R104" s="20">
        <f>(B104*DATOS!$B$34*(DATOS!$B$17+2*Q104)^(2/3)/(DATOS!$B$17^(5/3)*SQRT(DATOS!$B$23)))^(3/5)</f>
        <v/>
      </c>
      <c r="S104" s="20">
        <f>(B104*DATOS!$B$34*(DATOS!$B$17+2*R104)^(2/3)/(DATOS!$B$17^(5/3)*SQRT(DATOS!$B$23)))^(3/5)</f>
        <v/>
      </c>
      <c r="T104" s="20">
        <f>(B104*DATOS!$B$34*(DATOS!$B$17+2*S104)^(2/3)/(DATOS!$B$17^(5/3)*SQRT(DATOS!$B$23)))^(3/5)</f>
        <v/>
      </c>
      <c r="U104" s="20">
        <f>(B104*DATOS!$B$34*(DATOS!$B$17+2*T104)^(2/3)/(DATOS!$B$17^(5/3)*SQRT(DATOS!$B$23)))^(3/5)</f>
        <v/>
      </c>
      <c r="V104" s="20">
        <f>(B104*DATOS!$B$34*(DATOS!$B$17+2*U104)^(2/3)/(DATOS!$B$17^(5/3)*SQRT(DATOS!$B$23)))^(3/5)</f>
        <v/>
      </c>
      <c r="W104" s="20">
        <f>(B104*DATOS!$B$34*(DATOS!$B$17+2*V104)^(2/3)/(DATOS!$B$17^(5/3)*SQRT(DATOS!$B$23)))^(3/5)</f>
        <v/>
      </c>
    </row>
    <row r="105">
      <c r="A105" s="5" t="inlineStr">
        <is>
          <t>50 % del caudal de diseno</t>
        </is>
      </c>
      <c r="B105" s="24">
        <f>0.50*CAUDALES!$B$13</f>
        <v/>
      </c>
      <c r="C105" s="16">
        <f>W105</f>
        <v/>
      </c>
      <c r="D105" s="19">
        <f>B105/(DATOS!$B$17*C105)</f>
        <v/>
      </c>
      <c r="E105" s="16">
        <f>DATOS!$B$17*C105/(DATOS!$B$17+2*C105)</f>
        <v/>
      </c>
      <c r="F105" s="16">
        <f>1000*E105*DATOS!$B$23</f>
        <v/>
      </c>
      <c r="G105" s="19">
        <f>F105*9.81</f>
        <v/>
      </c>
      <c r="H105" s="19">
        <f>D105/SQRT(9.81*C105)</f>
        <v/>
      </c>
      <c r="I105" s="5">
        <f>IF(D105&gt;=0.9,"CUMPLE","caudal parcial: ver tau")</f>
        <v/>
      </c>
      <c r="J105" s="5">
        <f>IF(F105&gt;=0.15,"CUMPLE","NO CUMPLE")</f>
        <v/>
      </c>
      <c r="K105" s="5">
        <f>IF(D105&lt;=3.0,"CUMPLE","NO CUMPLE")</f>
        <v/>
      </c>
      <c r="P105" s="20">
        <f>(B105*DATOS!$B$34/(DATOS!$B$17*SQRT(DATOS!$B$23)))^(3/5)</f>
        <v/>
      </c>
      <c r="Q105" s="20">
        <f>(B105*DATOS!$B$34*(DATOS!$B$17+2*P105)^(2/3)/(DATOS!$B$17^(5/3)*SQRT(DATOS!$B$23)))^(3/5)</f>
        <v/>
      </c>
      <c r="R105" s="20">
        <f>(B105*DATOS!$B$34*(DATOS!$B$17+2*Q105)^(2/3)/(DATOS!$B$17^(5/3)*SQRT(DATOS!$B$23)))^(3/5)</f>
        <v/>
      </c>
      <c r="S105" s="20">
        <f>(B105*DATOS!$B$34*(DATOS!$B$17+2*R105)^(2/3)/(DATOS!$B$17^(5/3)*SQRT(DATOS!$B$23)))^(3/5)</f>
        <v/>
      </c>
      <c r="T105" s="20">
        <f>(B105*DATOS!$B$34*(DATOS!$B$17+2*S105)^(2/3)/(DATOS!$B$17^(5/3)*SQRT(DATOS!$B$23)))^(3/5)</f>
        <v/>
      </c>
      <c r="U105" s="20">
        <f>(B105*DATOS!$B$34*(DATOS!$B$17+2*T105)^(2/3)/(DATOS!$B$17^(5/3)*SQRT(DATOS!$B$23)))^(3/5)</f>
        <v/>
      </c>
      <c r="V105" s="20">
        <f>(B105*DATOS!$B$34*(DATOS!$B$17+2*U105)^(2/3)/(DATOS!$B$17^(5/3)*SQRT(DATOS!$B$23)))^(3/5)</f>
        <v/>
      </c>
      <c r="W105" s="20">
        <f>(B105*DATOS!$B$34*(DATOS!$B$17+2*V105)^(2/3)/(DATOS!$B$17^(5/3)*SQRT(DATOS!$B$23)))^(3/5)</f>
        <v/>
      </c>
    </row>
    <row r="106">
      <c r="A106" s="5" t="inlineStr">
        <is>
          <t>25 % del caudal de diseno</t>
        </is>
      </c>
      <c r="B106" s="24">
        <f>0.25*CAUDALES!$B$13</f>
        <v/>
      </c>
      <c r="C106" s="16">
        <f>W106</f>
        <v/>
      </c>
      <c r="D106" s="19">
        <f>B106/(DATOS!$B$17*C106)</f>
        <v/>
      </c>
      <c r="E106" s="16">
        <f>DATOS!$B$17*C106/(DATOS!$B$17+2*C106)</f>
        <v/>
      </c>
      <c r="F106" s="16">
        <f>1000*E106*DATOS!$B$23</f>
        <v/>
      </c>
      <c r="G106" s="19">
        <f>F106*9.81</f>
        <v/>
      </c>
      <c r="H106" s="19">
        <f>D106/SQRT(9.81*C106)</f>
        <v/>
      </c>
      <c r="I106" s="5">
        <f>IF(D106&gt;=0.9,"CUMPLE","caudal parcial: ver tau")</f>
        <v/>
      </c>
      <c r="J106" s="5">
        <f>IF(F106&gt;=0.15,"CUMPLE","NO CUMPLE")</f>
        <v/>
      </c>
      <c r="K106" s="5">
        <f>IF(D106&lt;=3.0,"CUMPLE","NO CUMPLE")</f>
        <v/>
      </c>
      <c r="P106" s="20">
        <f>(B106*DATOS!$B$34/(DATOS!$B$17*SQRT(DATOS!$B$23)))^(3/5)</f>
        <v/>
      </c>
      <c r="Q106" s="20">
        <f>(B106*DATOS!$B$34*(DATOS!$B$17+2*P106)^(2/3)/(DATOS!$B$17^(5/3)*SQRT(DATOS!$B$23)))^(3/5)</f>
        <v/>
      </c>
      <c r="R106" s="20">
        <f>(B106*DATOS!$B$34*(DATOS!$B$17+2*Q106)^(2/3)/(DATOS!$B$17^(5/3)*SQRT(DATOS!$B$23)))^(3/5)</f>
        <v/>
      </c>
      <c r="S106" s="20">
        <f>(B106*DATOS!$B$34*(DATOS!$B$17+2*R106)^(2/3)/(DATOS!$B$17^(5/3)*SQRT(DATOS!$B$23)))^(3/5)</f>
        <v/>
      </c>
      <c r="T106" s="20">
        <f>(B106*DATOS!$B$34*(DATOS!$B$17+2*S106)^(2/3)/(DATOS!$B$17^(5/3)*SQRT(DATOS!$B$23)))^(3/5)</f>
        <v/>
      </c>
      <c r="U106" s="20">
        <f>(B106*DATOS!$B$34*(DATOS!$B$17+2*T106)^(2/3)/(DATOS!$B$17^(5/3)*SQRT(DATOS!$B$23)))^(3/5)</f>
        <v/>
      </c>
      <c r="V106" s="20">
        <f>(B106*DATOS!$B$34*(DATOS!$B$17+2*U106)^(2/3)/(DATOS!$B$17^(5/3)*SQRT(DATOS!$B$23)))^(3/5)</f>
        <v/>
      </c>
      <c r="W106" s="20">
        <f>(B106*DATOS!$B$34*(DATOS!$B$17+2*V106)^(2/3)/(DATOS!$B$17^(5/3)*SQRT(DATOS!$B$23)))^(3/5)</f>
        <v/>
      </c>
    </row>
    <row r="107">
      <c r="A107" s="5" t="inlineStr">
        <is>
          <t>10 % del caudal de diseno (lluvia menor)</t>
        </is>
      </c>
      <c r="B107" s="24">
        <f>0.10*CAUDALES!$B$13</f>
        <v/>
      </c>
      <c r="C107" s="16">
        <f>W107</f>
        <v/>
      </c>
      <c r="D107" s="19">
        <f>B107/(DATOS!$B$17*C107)</f>
        <v/>
      </c>
      <c r="E107" s="16">
        <f>DATOS!$B$17*C107/(DATOS!$B$17+2*C107)</f>
        <v/>
      </c>
      <c r="F107" s="16">
        <f>1000*E107*DATOS!$B$23</f>
        <v/>
      </c>
      <c r="G107" s="19">
        <f>F107*9.81</f>
        <v/>
      </c>
      <c r="H107" s="19">
        <f>D107/SQRT(9.81*C107)</f>
        <v/>
      </c>
      <c r="I107" s="5">
        <f>IF(D107&gt;=0.9,"CUMPLE","caudal parcial: ver tau")</f>
        <v/>
      </c>
      <c r="J107" s="5">
        <f>IF(F107&gt;=0.15,"CUMPLE","NO CUMPLE")</f>
        <v/>
      </c>
      <c r="K107" s="5">
        <f>IF(D107&lt;=3.0,"CUMPLE","NO CUMPLE")</f>
        <v/>
      </c>
      <c r="P107" s="20">
        <f>(B107*DATOS!$B$34/(DATOS!$B$17*SQRT(DATOS!$B$23)))^(3/5)</f>
        <v/>
      </c>
      <c r="Q107" s="20">
        <f>(B107*DATOS!$B$34*(DATOS!$B$17+2*P107)^(2/3)/(DATOS!$B$17^(5/3)*SQRT(DATOS!$B$23)))^(3/5)</f>
        <v/>
      </c>
      <c r="R107" s="20">
        <f>(B107*DATOS!$B$34*(DATOS!$B$17+2*Q107)^(2/3)/(DATOS!$B$17^(5/3)*SQRT(DATOS!$B$23)))^(3/5)</f>
        <v/>
      </c>
      <c r="S107" s="20">
        <f>(B107*DATOS!$B$34*(DATOS!$B$17+2*R107)^(2/3)/(DATOS!$B$17^(5/3)*SQRT(DATOS!$B$23)))^(3/5)</f>
        <v/>
      </c>
      <c r="T107" s="20">
        <f>(B107*DATOS!$B$34*(DATOS!$B$17+2*S107)^(2/3)/(DATOS!$B$17^(5/3)*SQRT(DATOS!$B$23)))^(3/5)</f>
        <v/>
      </c>
      <c r="U107" s="20">
        <f>(B107*DATOS!$B$34*(DATOS!$B$17+2*T107)^(2/3)/(DATOS!$B$17^(5/3)*SQRT(DATOS!$B$23)))^(3/5)</f>
        <v/>
      </c>
      <c r="V107" s="20">
        <f>(B107*DATOS!$B$34*(DATOS!$B$17+2*U107)^(2/3)/(DATOS!$B$17^(5/3)*SQRT(DATOS!$B$23)))^(3/5)</f>
        <v/>
      </c>
      <c r="W107" s="20">
        <f>(B107*DATOS!$B$34*(DATOS!$B$17+2*V107)^(2/3)/(DATOS!$B$17^(5/3)*SQRT(DATOS!$B$23)))^(3/5)</f>
        <v/>
      </c>
    </row>
    <row r="108">
      <c r="A108" s="5" t="inlineStr">
        <is>
          <t>5 % del caudal de diseno</t>
        </is>
      </c>
      <c r="B108" s="24">
        <f>0.05*CAUDALES!$B$13</f>
        <v/>
      </c>
      <c r="C108" s="16">
        <f>W108</f>
        <v/>
      </c>
      <c r="D108" s="19">
        <f>B108/(DATOS!$B$17*C108)</f>
        <v/>
      </c>
      <c r="E108" s="16">
        <f>DATOS!$B$17*C108/(DATOS!$B$17+2*C108)</f>
        <v/>
      </c>
      <c r="F108" s="16">
        <f>1000*E108*DATOS!$B$23</f>
        <v/>
      </c>
      <c r="G108" s="19">
        <f>F108*9.81</f>
        <v/>
      </c>
      <c r="H108" s="19">
        <f>D108/SQRT(9.81*C108)</f>
        <v/>
      </c>
      <c r="I108" s="5">
        <f>IF(D108&gt;=0.9,"CUMPLE","caudal parcial: ver tau")</f>
        <v/>
      </c>
      <c r="J108" s="5">
        <f>IF(F108&gt;=0.15,"CUMPLE","NO CUMPLE")</f>
        <v/>
      </c>
      <c r="K108" s="5">
        <f>IF(D108&lt;=3.0,"CUMPLE","NO CUMPLE")</f>
        <v/>
      </c>
      <c r="P108" s="20">
        <f>(B108*DATOS!$B$34/(DATOS!$B$17*SQRT(DATOS!$B$23)))^(3/5)</f>
        <v/>
      </c>
      <c r="Q108" s="20">
        <f>(B108*DATOS!$B$34*(DATOS!$B$17+2*P108)^(2/3)/(DATOS!$B$17^(5/3)*SQRT(DATOS!$B$23)))^(3/5)</f>
        <v/>
      </c>
      <c r="R108" s="20">
        <f>(B108*DATOS!$B$34*(DATOS!$B$17+2*Q108)^(2/3)/(DATOS!$B$17^(5/3)*SQRT(DATOS!$B$23)))^(3/5)</f>
        <v/>
      </c>
      <c r="S108" s="20">
        <f>(B108*DATOS!$B$34*(DATOS!$B$17+2*R108)^(2/3)/(DATOS!$B$17^(5/3)*SQRT(DATOS!$B$23)))^(3/5)</f>
        <v/>
      </c>
      <c r="T108" s="20">
        <f>(B108*DATOS!$B$34*(DATOS!$B$17+2*S108)^(2/3)/(DATOS!$B$17^(5/3)*SQRT(DATOS!$B$23)))^(3/5)</f>
        <v/>
      </c>
      <c r="U108" s="20">
        <f>(B108*DATOS!$B$34*(DATOS!$B$17+2*T108)^(2/3)/(DATOS!$B$17^(5/3)*SQRT(DATOS!$B$23)))^(3/5)</f>
        <v/>
      </c>
      <c r="V108" s="20">
        <f>(B108*DATOS!$B$34*(DATOS!$B$17+2*U108)^(2/3)/(DATOS!$B$17^(5/3)*SQRT(DATOS!$B$23)))^(3/5)</f>
        <v/>
      </c>
      <c r="W108" s="20">
        <f>(B108*DATOS!$B$34*(DATOS!$B$17+2*V108)^(2/3)/(DATOS!$B$17^(5/3)*SQRT(DATOS!$B$23)))^(3/5)</f>
        <v/>
      </c>
    </row>
    <row r="109"/>
    <row r="110">
      <c r="A110" s="5" t="inlineStr">
        <is>
          <t>Velocidad maxima en el perfil de flujo (m/s)</t>
        </is>
      </c>
      <c r="B110" s="19">
        <f>MAX(H6:H90)</f>
        <v/>
      </c>
    </row>
    <row r="111">
      <c r="A111" s="5" t="inlineStr">
        <is>
          <t>Velocidad minima en el perfil de flujo con el caudal de diseno (m/s)</t>
        </is>
      </c>
      <c r="B111" s="19">
        <f>MIN(H6:H90)</f>
        <v/>
      </c>
    </row>
    <row r="112">
      <c r="A112" s="5" t="inlineStr">
        <is>
          <t>Verificacion global de velocidades</t>
        </is>
      </c>
      <c r="B112" s="5">
        <f>IF(AND(B110&lt;=3.0,B111&gt;=0.9,COUNTIF(J102:J108,"NO CUMPLE")=0),"CUMPLE","NO CUMPLE")</f>
        <v/>
      </c>
    </row>
    <row r="113">
      <c r="A113" s="2" t="inlineStr">
        <is>
          <t>Criterios: velocidad minima 0.90 m/s con el caudal de diseno (autolimpieza, RNE CE.040); velocidad maxima 3.0 m/s para revestimiento de concreto (valor conservador); esfuerzo tractivo minimo 0.15 kg/m2 (1.5 Pa) para caudales parciales (arrastre de arena fina en colectores pluviales).</t>
        </is>
      </c>
    </row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>
      <c r="A200" s="2" t="inlineStr">
        <is>
          <t>Velocidades:</t>
        </is>
      </c>
      <c r="B200">
        <f>B112</f>
        <v/>
      </c>
      <c r="F200" s="2" t="inlineStr">
        <is>
          <t>NA en 0+000:</t>
        </is>
      </c>
      <c r="G200" s="5">
        <f>G90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3"/>
  <sheetViews>
    <sheetView showGridLines="0" workbookViewId="0">
      <selection activeCell="A1" sqref="A1"/>
    </sheetView>
  </sheetViews>
  <sheetFormatPr baseColWidth="8" defaultRowHeight="15"/>
  <cols>
    <col width="56" customWidth="1" min="1" max="1"/>
    <col width="12" customWidth="1" min="2" max="2"/>
    <col width="9" customWidth="1" min="3" max="3"/>
    <col width="64" customWidth="1" min="4" max="4"/>
    <col width="16" customWidth="1" min="5" max="5"/>
  </cols>
  <sheetData>
    <row r="1">
      <c r="A1" s="1" t="inlineStr">
        <is>
          <t>6. VERIFICACION ESTRUCTURAL (RNE E.060; cargas E.020 y rueda AASHTO LRFD HL-93)</t>
        </is>
      </c>
    </row>
    <row r="2">
      <c r="A2" s="2" t="inlineStr">
        <is>
          <t>Colector pluvial frontal - tramo Hogar de Refugio Temporal Mujeres Violentadas (CUI 2675514), Morales - San Martin. Hidroconsult, Oct. 2026</t>
        </is>
      </c>
    </row>
    <row r="3"/>
    <row r="4">
      <c r="A4" s="11" t="inlineStr">
        <is>
          <t>ELEMENTO / PARAMETRO</t>
        </is>
      </c>
      <c r="B4" s="11" t="inlineStr">
        <is>
          <t>VALOR</t>
        </is>
      </c>
      <c r="C4" s="11" t="inlineStr">
        <is>
          <t>UND</t>
        </is>
      </c>
      <c r="D4" s="11" t="inlineStr">
        <is>
          <t>FORMULA / CRITERIO</t>
        </is>
      </c>
      <c r="E4" s="11" t="inlineStr">
        <is>
          <t>RESULTADO</t>
        </is>
      </c>
    </row>
    <row r="5">
      <c r="A5" s="12" t="inlineStr">
        <is>
          <t>PARAMETROS</t>
        </is>
      </c>
    </row>
    <row r="6">
      <c r="A6" s="5" t="inlineStr">
        <is>
          <t>f'c</t>
        </is>
      </c>
      <c r="B6" s="23" t="n">
        <v>210</v>
      </c>
      <c r="C6" s="5" t="inlineStr">
        <is>
          <t>kg/cm2</t>
        </is>
      </c>
      <c r="D6" s="5" t="inlineStr">
        <is>
          <t>E.060</t>
        </is>
      </c>
    </row>
    <row r="7">
      <c r="A7" s="5" t="inlineStr">
        <is>
          <t>fy</t>
        </is>
      </c>
      <c r="B7" s="23" t="n">
        <v>4200</v>
      </c>
      <c r="C7" s="5" t="inlineStr">
        <is>
          <t>kg/cm2</t>
        </is>
      </c>
      <c r="D7" s="5" t="inlineStr">
        <is>
          <t>Grado 60</t>
        </is>
      </c>
    </row>
    <row r="8">
      <c r="A8" s="5" t="inlineStr">
        <is>
          <t>Peso concreto armado</t>
        </is>
      </c>
      <c r="B8" s="23" t="n">
        <v>2.4</v>
      </c>
      <c r="C8" s="5" t="inlineStr">
        <is>
          <t>t/m3</t>
        </is>
      </c>
      <c r="D8" s="5" t="inlineStr">
        <is>
          <t>E.020</t>
        </is>
      </c>
    </row>
    <row r="9">
      <c r="A9" s="5" t="inlineStr">
        <is>
          <t>Peso suelo / relleno</t>
        </is>
      </c>
      <c r="B9" s="23" t="n">
        <v>1.8</v>
      </c>
      <c r="C9" s="5" t="inlineStr">
        <is>
          <t>t/m3</t>
        </is>
      </c>
      <c r="D9" s="5" t="inlineStr">
        <is>
          <t>Verificar con EMS</t>
        </is>
      </c>
    </row>
    <row r="10">
      <c r="A10" s="5" t="inlineStr">
        <is>
          <t>Ko (reposo)</t>
        </is>
      </c>
      <c r="B10" s="23" t="n">
        <v>0.5</v>
      </c>
      <c r="C10" s="5" t="inlineStr">
        <is>
          <t>-</t>
        </is>
      </c>
      <c r="D10" s="5" t="inlineStr">
        <is>
          <t>Relleno compactado contra muro rigido</t>
        </is>
      </c>
    </row>
    <row r="11">
      <c r="A11" s="5" t="inlineStr">
        <is>
          <t>Sobrecarga peatonal</t>
        </is>
      </c>
      <c r="B11" s="23" t="n">
        <v>0.5</v>
      </c>
      <c r="C11" s="5" t="inlineStr">
        <is>
          <t>t/m2</t>
        </is>
      </c>
      <c r="D11" s="5" t="inlineStr">
        <is>
          <t>E.020</t>
        </is>
      </c>
    </row>
    <row r="12">
      <c r="A12" s="5" t="inlineStr">
        <is>
          <t>Sobrecarga lateral vehiculo liviano</t>
        </is>
      </c>
      <c r="B12" s="23" t="n">
        <v>1</v>
      </c>
      <c r="C12" s="5" t="inlineStr">
        <is>
          <t>t/m2</t>
        </is>
      </c>
      <c r="D12" s="5" t="inlineStr"/>
    </row>
    <row r="13">
      <c r="A13" s="5" t="inlineStr">
        <is>
          <t>Sobrecarga lateral camion (heq 1.50 m)</t>
        </is>
      </c>
      <c r="B13" s="23" t="n">
        <v>2.7</v>
      </c>
      <c r="C13" s="5" t="inlineStr">
        <is>
          <t>t/m2</t>
        </is>
      </c>
      <c r="D13" s="5" t="inlineStr">
        <is>
          <t>AASHTO 3.11.6.4</t>
        </is>
      </c>
    </row>
    <row r="14">
      <c r="A14" s="5" t="inlineStr">
        <is>
          <t>Rueda vehiculo liviano / moto</t>
        </is>
      </c>
      <c r="B14" s="23" t="n">
        <v>1</v>
      </c>
      <c r="C14" s="5" t="inlineStr">
        <is>
          <t>t</t>
        </is>
      </c>
      <c r="D14" s="5" t="inlineStr"/>
    </row>
    <row r="15">
      <c r="A15" s="5" t="inlineStr">
        <is>
          <t>Rueda camion HL-93</t>
        </is>
      </c>
      <c r="B15" s="23" t="n">
        <v>7.26</v>
      </c>
      <c r="C15" s="5" t="inlineStr">
        <is>
          <t>t</t>
        </is>
      </c>
      <c r="D15" s="5" t="inlineStr">
        <is>
          <t>AASHTO</t>
        </is>
      </c>
    </row>
    <row r="16">
      <c r="A16" s="5" t="inlineStr">
        <is>
          <t>Impacto</t>
        </is>
      </c>
      <c r="B16" s="23" t="n">
        <v>0.33</v>
      </c>
      <c r="C16" s="5" t="inlineStr">
        <is>
          <t>-</t>
        </is>
      </c>
      <c r="D16" s="5" t="inlineStr">
        <is>
          <t>AASHTO 3.6.2</t>
        </is>
      </c>
    </row>
    <row r="17">
      <c r="A17" s="5" t="inlineStr">
        <is>
          <t>Huella de rueda</t>
        </is>
      </c>
      <c r="B17" s="23" t="n">
        <v>0.25</v>
      </c>
      <c r="C17" s="5" t="inlineStr">
        <is>
          <t>m</t>
        </is>
      </c>
      <c r="D17" s="5" t="inlineStr">
        <is>
          <t>AASHTO 3.6.1.2.5</t>
        </is>
      </c>
    </row>
    <row r="18">
      <c r="A18" s="5" t="inlineStr">
        <is>
          <t>Luz de calculo de losas (b + e muro)</t>
        </is>
      </c>
      <c r="B18" s="22">
        <f>DATOS!$B$17+DATOS!$B$18</f>
        <v/>
      </c>
      <c r="C18" s="5" t="inlineStr">
        <is>
          <t>m</t>
        </is>
      </c>
      <c r="D18" s="5" t="inlineStr">
        <is>
          <t>centro a centro de muros</t>
        </is>
      </c>
    </row>
    <row r="19">
      <c r="A19" s="5" t="inlineStr">
        <is>
          <t>Altura interior maxima del muro H</t>
        </is>
      </c>
      <c r="B19" s="22">
        <f>MAX(PERFIL_FLUJO!K6:K200)</f>
        <v/>
      </c>
      <c r="C19" s="5" t="inlineStr">
        <is>
          <t>m</t>
        </is>
      </c>
      <c r="D19" s="5" t="inlineStr">
        <is>
          <t>hoja PERFIL_FLUJO</t>
        </is>
      </c>
    </row>
    <row r="20">
      <c r="A20" s="5" t="inlineStr">
        <is>
          <t>Altura interior minima del muro</t>
        </is>
      </c>
      <c r="B20" s="22">
        <f>MIN(PERFIL_FLUJO!K6:K200)</f>
        <v/>
      </c>
      <c r="C20" s="5" t="inlineStr">
        <is>
          <t>m</t>
        </is>
      </c>
      <c r="D20" s="5" t="inlineStr"/>
    </row>
    <row r="21">
      <c r="A21" s="12" t="inlineStr">
        <is>
          <t>A. LOSA SUPERIOR MONOLITICA e=0.10 - TRAMO NORMAL (marco 3/8" @0.20)</t>
        </is>
      </c>
    </row>
    <row r="22">
      <c r="A22" s="5" t="inlineStr">
        <is>
          <t>Espesor</t>
        </is>
      </c>
      <c r="B22" s="22">
        <f>DATOS!$B$20</f>
        <v/>
      </c>
      <c r="C22" s="5" t="inlineStr">
        <is>
          <t>m</t>
        </is>
      </c>
      <c r="D22" s="5" t="inlineStr"/>
    </row>
    <row r="23">
      <c r="A23" s="5" t="inlineStr">
        <is>
          <t>Carga ultima</t>
        </is>
      </c>
      <c r="B23" s="16">
        <f>1.4*B8*B22+1.7*B11</f>
        <v/>
      </c>
      <c r="C23" s="5" t="inlineStr">
        <is>
          <t>t/m2</t>
        </is>
      </c>
      <c r="D23" s="5" t="inlineStr">
        <is>
          <t>1.4 D + 1.7 L</t>
        </is>
      </c>
    </row>
    <row r="24">
      <c r="A24" s="5" t="inlineStr">
        <is>
          <t>Mu (simplemente apoyada, conservador)</t>
        </is>
      </c>
      <c r="B24" s="16">
        <f>B23*B18^2/8</f>
        <v/>
      </c>
      <c r="C24" s="5" t="inlineStr">
        <is>
          <t>t.m/m</t>
        </is>
      </c>
      <c r="D24" s="5" t="inlineStr">
        <is>
          <t>wu L2/8</t>
        </is>
      </c>
    </row>
    <row r="25">
      <c r="A25" s="5" t="inlineStr">
        <is>
          <t>Peralte efectivo d</t>
        </is>
      </c>
      <c r="B25" s="16">
        <f>B22*100/2</f>
        <v/>
      </c>
      <c r="C25" s="5" t="inlineStr">
        <is>
          <t>cm</t>
        </is>
      </c>
      <c r="D25" s="5" t="inlineStr"/>
    </row>
    <row r="26">
      <c r="A26" s="5" t="inlineStr">
        <is>
          <t>As colocado</t>
        </is>
      </c>
      <c r="B26" s="16">
        <f>0.71/0.20</f>
        <v/>
      </c>
      <c r="C26" s="5" t="inlineStr">
        <is>
          <t>cm2/m</t>
        </is>
      </c>
      <c r="D26" s="5" t="inlineStr">
        <is>
          <t>3/8" @0.20</t>
        </is>
      </c>
    </row>
    <row r="27">
      <c r="A27" s="5" t="inlineStr">
        <is>
          <t>a</t>
        </is>
      </c>
      <c r="B27" s="16">
        <f>B26*B7/(0.85*B6*100)</f>
        <v/>
      </c>
      <c r="C27" s="5" t="inlineStr">
        <is>
          <t>cm</t>
        </is>
      </c>
      <c r="D27" s="5" t="inlineStr"/>
    </row>
    <row r="28">
      <c r="A28" s="5" t="inlineStr">
        <is>
          <t>Momento resistente fMn</t>
        </is>
      </c>
      <c r="B28" s="16">
        <f>0.9*B26*B7*(B25-B27/2)/100000</f>
        <v/>
      </c>
      <c r="C28" s="5" t="inlineStr">
        <is>
          <t>t.m/m</t>
        </is>
      </c>
      <c r="D28" s="5" t="inlineStr">
        <is>
          <t>0.9 As fy (d - a/2)</t>
        </is>
      </c>
      <c r="E28" s="3">
        <f>IF(B28&gt;=B24,"CUMPLE","NO CUMPLE")</f>
        <v/>
      </c>
    </row>
    <row r="29">
      <c r="A29" s="5" t="inlineStr">
        <is>
          <t>Cuantia minima 0.0018 b e</t>
        </is>
      </c>
      <c r="B29" s="16">
        <f>0.0018*100*B22*100</f>
        <v/>
      </c>
      <c r="C29" s="5" t="inlineStr">
        <is>
          <t>cm2/m</t>
        </is>
      </c>
      <c r="D29" s="5" t="inlineStr">
        <is>
          <t>E.060 9.7.2</t>
        </is>
      </c>
      <c r="E29" s="3">
        <f>IF(B26&gt;=B29,"CUMPLE","NO CUMPLE")</f>
        <v/>
      </c>
    </row>
    <row r="30">
      <c r="A30" s="12" t="inlineStr">
        <is>
          <t>B. LOSA SUPERIOR MONOLITICA e=0.10 - CRUCE DE MOTOS (marco 3/8" @0.15)</t>
        </is>
      </c>
    </row>
    <row r="31">
      <c r="A31" s="5" t="inlineStr">
        <is>
          <t>Espesor</t>
        </is>
      </c>
      <c r="B31" s="22">
        <f>DATOS!$B$20</f>
        <v/>
      </c>
      <c r="C31" s="5" t="inlineStr">
        <is>
          <t>m</t>
        </is>
      </c>
      <c r="D31" s="5" t="inlineStr"/>
    </row>
    <row r="32">
      <c r="A32" s="5" t="inlineStr">
        <is>
          <t>Ancho de franja E</t>
        </is>
      </c>
      <c r="B32" s="16">
        <f>0.66+0.55*B18</f>
        <v/>
      </c>
      <c r="C32" s="5" t="inlineStr">
        <is>
          <t>m</t>
        </is>
      </c>
      <c r="D32" s="5" t="inlineStr">
        <is>
          <t>AASHTO 4.6.2.1.3</t>
        </is>
      </c>
    </row>
    <row r="33">
      <c r="A33" s="5" t="inlineStr">
        <is>
          <t>Momento por rueda</t>
        </is>
      </c>
      <c r="B33" s="16">
        <f>B14*(1+B16)*(B18/4-B17/8)/B32</f>
        <v/>
      </c>
      <c r="C33" s="5" t="inlineStr">
        <is>
          <t>t.m/m</t>
        </is>
      </c>
      <c r="D33" s="5" t="inlineStr">
        <is>
          <t>P (1+IM) (L/4 - c/8) / E</t>
        </is>
      </c>
    </row>
    <row r="34">
      <c r="A34" s="5" t="inlineStr">
        <is>
          <t>Mu</t>
        </is>
      </c>
      <c r="B34" s="16">
        <f>1.4*B8*B31*B18^2/8+1.7*B33</f>
        <v/>
      </c>
      <c r="C34" s="5" t="inlineStr">
        <is>
          <t>t.m/m</t>
        </is>
      </c>
      <c r="D34" s="5" t="inlineStr">
        <is>
          <t>1.4 MD + 1.7 ML</t>
        </is>
      </c>
    </row>
    <row r="35">
      <c r="A35" s="5" t="inlineStr">
        <is>
          <t>Peralte efectivo d</t>
        </is>
      </c>
      <c r="B35" s="16">
        <f>B31*100/2</f>
        <v/>
      </c>
      <c r="C35" s="5" t="inlineStr">
        <is>
          <t>cm</t>
        </is>
      </c>
      <c r="D35" s="5" t="inlineStr"/>
    </row>
    <row r="36">
      <c r="A36" s="5" t="inlineStr">
        <is>
          <t>As colocado</t>
        </is>
      </c>
      <c r="B36" s="16">
        <f>0.71/0.15</f>
        <v/>
      </c>
      <c r="C36" s="5" t="inlineStr">
        <is>
          <t>cm2/m</t>
        </is>
      </c>
      <c r="D36" s="5" t="inlineStr">
        <is>
          <t>3/8" @0.15</t>
        </is>
      </c>
    </row>
    <row r="37">
      <c r="A37" s="5" t="inlineStr">
        <is>
          <t>a</t>
        </is>
      </c>
      <c r="B37" s="16">
        <f>B36*B7/(0.85*B6*100)</f>
        <v/>
      </c>
      <c r="C37" s="5" t="inlineStr">
        <is>
          <t>cm</t>
        </is>
      </c>
      <c r="D37" s="5" t="inlineStr"/>
    </row>
    <row r="38">
      <c r="A38" s="5" t="inlineStr">
        <is>
          <t>Momento resistente fMn</t>
        </is>
      </c>
      <c r="B38" s="16">
        <f>0.9*B36*B7*(B35-B37/2)/100000</f>
        <v/>
      </c>
      <c r="C38" s="5" t="inlineStr">
        <is>
          <t>t.m/m</t>
        </is>
      </c>
      <c r="D38" s="5" t="inlineStr"/>
      <c r="E38" s="3">
        <f>IF(B38&gt;=B34,"CUMPLE","NO CUMPLE")</f>
        <v/>
      </c>
    </row>
    <row r="39">
      <c r="A39" s="5" t="inlineStr">
        <is>
          <t>Cuantia minima</t>
        </is>
      </c>
      <c r="B39" s="16">
        <f>0.0018*100*B31*100</f>
        <v/>
      </c>
      <c r="C39" s="5" t="inlineStr">
        <is>
          <t>cm2/m</t>
        </is>
      </c>
      <c r="D39" s="5" t="inlineStr">
        <is>
          <t>E.060 9.7.2</t>
        </is>
      </c>
      <c r="E39" s="3">
        <f>IF(B36&gt;=B39,"CUMPLE","NO CUMPLE")</f>
        <v/>
      </c>
    </row>
    <row r="40">
      <c r="A40" s="12" t="inlineStr">
        <is>
          <t>C. LOSA SUPERIOR e=0.25 - CRUCE DE CAMIONES (doble marco 1/2" @0.15)</t>
        </is>
      </c>
    </row>
    <row r="41">
      <c r="A41" s="5" t="inlineStr">
        <is>
          <t>Espesor</t>
        </is>
      </c>
      <c r="B41" s="22">
        <f>DATOS!$B$21</f>
        <v/>
      </c>
      <c r="C41" s="5" t="inlineStr">
        <is>
          <t>m</t>
        </is>
      </c>
      <c r="D41" s="5" t="inlineStr"/>
    </row>
    <row r="42">
      <c r="A42" s="5" t="inlineStr">
        <is>
          <t>Ancho de franja E</t>
        </is>
      </c>
      <c r="B42" s="16">
        <f>0.66+0.55*B18</f>
        <v/>
      </c>
      <c r="C42" s="5" t="inlineStr">
        <is>
          <t>m</t>
        </is>
      </c>
      <c r="D42" s="5" t="inlineStr">
        <is>
          <t>AASHTO 4.6.2.1.3</t>
        </is>
      </c>
    </row>
    <row r="43">
      <c r="A43" s="5" t="inlineStr">
        <is>
          <t>Momento por rueda</t>
        </is>
      </c>
      <c r="B43" s="16">
        <f>B15*(1+B16)*(B18/4-B17/8)/B42</f>
        <v/>
      </c>
      <c r="C43" s="5" t="inlineStr">
        <is>
          <t>t.m/m</t>
        </is>
      </c>
      <c r="D43" s="5" t="inlineStr">
        <is>
          <t>simplemente apoyada (conservador)</t>
        </is>
      </c>
    </row>
    <row r="44">
      <c r="A44" s="5" t="inlineStr">
        <is>
          <t>Mu</t>
        </is>
      </c>
      <c r="B44" s="16">
        <f>1.4*B8*B41*B18^2/8+1.7*B43</f>
        <v/>
      </c>
      <c r="C44" s="5" t="inlineStr">
        <is>
          <t>t.m/m</t>
        </is>
      </c>
      <c r="D44" s="5" t="inlineStr"/>
    </row>
    <row r="45">
      <c r="A45" s="5" t="inlineStr">
        <is>
          <t>Peralte efectivo d</t>
        </is>
      </c>
      <c r="B45" s="16">
        <f>(B41-0.04)*100-0.635</f>
        <v/>
      </c>
      <c r="C45" s="5" t="inlineStr">
        <is>
          <t>cm</t>
        </is>
      </c>
      <c r="D45" s="5" t="inlineStr">
        <is>
          <t>recubrimiento 4 cm</t>
        </is>
      </c>
    </row>
    <row r="46">
      <c r="A46" s="5" t="inlineStr">
        <is>
          <t>As colocado</t>
        </is>
      </c>
      <c r="B46" s="16">
        <f>1.27/0.15</f>
        <v/>
      </c>
      <c r="C46" s="5" t="inlineStr">
        <is>
          <t>cm2/m</t>
        </is>
      </c>
      <c r="D46" s="5" t="inlineStr">
        <is>
          <t>1/2" @0.15 (una capa en traccion)</t>
        </is>
      </c>
    </row>
    <row r="47">
      <c r="A47" s="5" t="inlineStr">
        <is>
          <t>a</t>
        </is>
      </c>
      <c r="B47" s="16">
        <f>B46*B7/(0.85*B6*100)</f>
        <v/>
      </c>
      <c r="C47" s="5" t="inlineStr">
        <is>
          <t>cm</t>
        </is>
      </c>
      <c r="D47" s="5" t="inlineStr"/>
    </row>
    <row r="48">
      <c r="A48" s="5" t="inlineStr">
        <is>
          <t>Momento resistente fMn</t>
        </is>
      </c>
      <c r="B48" s="16">
        <f>0.9*B46*B7*(B45-B47/2)/100000</f>
        <v/>
      </c>
      <c r="C48" s="5" t="inlineStr">
        <is>
          <t>t.m/m</t>
        </is>
      </c>
      <c r="D48" s="5" t="inlineStr"/>
      <c r="E48" s="3">
        <f>IF(B48&gt;=B44,"CUMPLE","NO CUMPLE")</f>
        <v/>
      </c>
    </row>
    <row r="49">
      <c r="A49" s="5" t="inlineStr">
        <is>
          <t>Cuantia minima</t>
        </is>
      </c>
      <c r="B49" s="16">
        <f>0.0018*100*B41*100</f>
        <v/>
      </c>
      <c r="C49" s="5" t="inlineStr">
        <is>
          <t>cm2/m</t>
        </is>
      </c>
      <c r="D49" s="5" t="inlineStr"/>
      <c r="E49" s="3">
        <f>IF(B46&gt;=B49,"CUMPLE","NO CUMPLE")</f>
        <v/>
      </c>
    </row>
    <row r="50">
      <c r="A50" s="5" t="inlineStr">
        <is>
          <t>Cortante ultimo Vu</t>
        </is>
      </c>
      <c r="B50" s="16">
        <f>1.7*B15*(1+B16)*(B18-B45/100-B17/2)/B18/B42+1.4*B8*B41*B18/2</f>
        <v/>
      </c>
      <c r="C50" s="5" t="inlineStr">
        <is>
          <t>t/m</t>
        </is>
      </c>
      <c r="D50" s="5" t="inlineStr">
        <is>
          <t>rueda a d del apoyo</t>
        </is>
      </c>
    </row>
    <row r="51">
      <c r="A51" s="5" t="inlineStr">
        <is>
          <t>Cortante resistente fVc</t>
        </is>
      </c>
      <c r="B51" s="16">
        <f>0.85*0.53*SQRT(B6)*100*B45/1000</f>
        <v/>
      </c>
      <c r="C51" s="5" t="inlineStr">
        <is>
          <t>t/m</t>
        </is>
      </c>
      <c r="D51" s="5" t="inlineStr"/>
      <c r="E51" s="3">
        <f>IF(B51&gt;=B50,"CUMPLE","NO CUMPLE")</f>
        <v/>
      </c>
    </row>
    <row r="52">
      <c r="A52" s="12" t="inlineStr">
        <is>
          <t>D. MURO e=0.15 - TRAMO NORMAL (marco unico 3/8" @0.20 en el eje de la seccion) - marco cerrado monolitico</t>
        </is>
      </c>
    </row>
    <row r="53">
      <c r="A53" s="5" t="inlineStr">
        <is>
          <t>Altura del muro H</t>
        </is>
      </c>
      <c r="B53" s="16">
        <f>B19</f>
        <v/>
      </c>
      <c r="C53" s="5" t="inlineStr">
        <is>
          <t>m</t>
        </is>
      </c>
      <c r="D53" s="5" t="inlineStr">
        <is>
          <t>altura interior maxima</t>
        </is>
      </c>
    </row>
    <row r="54">
      <c r="A54" s="5" t="inlineStr">
        <is>
          <t>Empuje en reposo en la base p</t>
        </is>
      </c>
      <c r="B54" s="16">
        <f>B10*B9*B53</f>
        <v/>
      </c>
      <c r="C54" s="5" t="inlineStr">
        <is>
          <t>t/m2</t>
        </is>
      </c>
      <c r="D54" s="5" t="inlineStr">
        <is>
          <t>Ko gamma H</t>
        </is>
      </c>
    </row>
    <row r="55">
      <c r="A55" s="5" t="inlineStr">
        <is>
          <t>Sobrecarga lateral q</t>
        </is>
      </c>
      <c r="B55" s="16">
        <f>B10*B11</f>
        <v/>
      </c>
      <c r="C55" s="5" t="inlineStr">
        <is>
          <t>t/m2</t>
        </is>
      </c>
      <c r="D55" s="5" t="inlineStr">
        <is>
          <t>Ko x s/c peatonal</t>
        </is>
      </c>
    </row>
    <row r="56">
      <c r="A56" s="5" t="inlineStr">
        <is>
          <t>Momento de servicio</t>
        </is>
      </c>
      <c r="B56" s="16">
        <f>B54*B53^2/20+B55*B53^2/12</f>
        <v/>
      </c>
      <c r="C56" s="5" t="inlineStr">
        <is>
          <t>t.m/m</t>
        </is>
      </c>
      <c r="D56" s="5" t="inlineStr">
        <is>
          <t>miembro de marco cerrado con extremos empotrados: p H2/20 (triangular) + q H2/12 (uniforme)</t>
        </is>
      </c>
    </row>
    <row r="57">
      <c r="A57" s="5" t="inlineStr">
        <is>
          <t>Mu</t>
        </is>
      </c>
      <c r="B57" s="16">
        <f>1.7*B56</f>
        <v/>
      </c>
      <c r="C57" s="5" t="inlineStr">
        <is>
          <t>t.m/m</t>
        </is>
      </c>
      <c r="D57" s="5" t="inlineStr">
        <is>
          <t>1.7 empuje</t>
        </is>
      </c>
    </row>
    <row r="58">
      <c r="A58" s="5" t="inlineStr">
        <is>
          <t>Peralte efectivo d</t>
        </is>
      </c>
      <c r="B58" s="22">
        <f>DATOS!$B$18*100/2</f>
        <v/>
      </c>
      <c r="C58" s="5" t="inlineStr">
        <is>
          <t>cm</t>
        </is>
      </c>
      <c r="D58" s="5" t="inlineStr">
        <is>
          <t>marco unico en el eje del muro (una capa; E.060 14.3.4 exige dos capas solo en muros de mas de 0.20 m)</t>
        </is>
      </c>
    </row>
    <row r="59">
      <c r="A59" s="5" t="inlineStr">
        <is>
          <t>As colocado</t>
        </is>
      </c>
      <c r="B59" s="16">
        <f>0.71/0.20</f>
        <v/>
      </c>
      <c r="C59" s="5" t="inlineStr">
        <is>
          <t>cm2/m</t>
        </is>
      </c>
      <c r="D59" s="5" t="inlineStr">
        <is>
          <t>3/8" @0.20</t>
        </is>
      </c>
    </row>
    <row r="60">
      <c r="A60" s="5" t="inlineStr">
        <is>
          <t>a</t>
        </is>
      </c>
      <c r="B60" s="16">
        <f>B59*B7/(0.85*B6*100)</f>
        <v/>
      </c>
      <c r="C60" s="5" t="inlineStr">
        <is>
          <t>cm</t>
        </is>
      </c>
      <c r="D60" s="5" t="inlineStr"/>
    </row>
    <row r="61">
      <c r="A61" s="5" t="inlineStr">
        <is>
          <t>Momento resistente fMn</t>
        </is>
      </c>
      <c r="B61" s="16">
        <f>0.9*B59*B7*(B58-B60/2)/100000</f>
        <v/>
      </c>
      <c r="C61" s="5" t="inlineStr">
        <is>
          <t>t.m/m</t>
        </is>
      </c>
      <c r="D61" s="5" t="inlineStr"/>
      <c r="E61" s="3">
        <f>IF(B61&gt;=B57,"CUMPLE","NO CUMPLE")</f>
        <v/>
      </c>
    </row>
    <row r="62">
      <c r="A62" s="5" t="inlineStr">
        <is>
          <t>Cuantia minima 0.0018 b e</t>
        </is>
      </c>
      <c r="B62" s="22">
        <f>0.0018*100*DATOS!$B$18*100</f>
        <v/>
      </c>
      <c r="C62" s="5" t="inlineStr">
        <is>
          <t>cm2/m</t>
        </is>
      </c>
      <c r="D62" s="5" t="inlineStr"/>
      <c r="E62" s="3">
        <f>IF(B59&gt;=B62,"CUMPLE","NO CUMPLE")</f>
        <v/>
      </c>
    </row>
    <row r="63">
      <c r="A63" s="5" t="inlineStr">
        <is>
          <t>Vu</t>
        </is>
      </c>
      <c r="B63" s="16">
        <f>1.7*(B54*B53/2*0.6+B55*B53/2)</f>
        <v/>
      </c>
      <c r="C63" s="5" t="inlineStr">
        <is>
          <t>t/m</t>
        </is>
      </c>
      <c r="D63" s="5" t="inlineStr">
        <is>
          <t>reaccion en la base (0.6 de la triangular)</t>
        </is>
      </c>
    </row>
    <row r="64">
      <c r="A64" s="5" t="inlineStr">
        <is>
          <t>fVc</t>
        </is>
      </c>
      <c r="B64" s="16">
        <f>0.85*0.53*SQRT(B6)*100*B58/1000</f>
        <v/>
      </c>
      <c r="C64" s="5" t="inlineStr">
        <is>
          <t>t/m</t>
        </is>
      </c>
      <c r="D64" s="5" t="inlineStr"/>
      <c r="E64" s="3">
        <f>IF(B64&gt;=B63,"CUMPLE","NO CUMPLE")</f>
        <v/>
      </c>
    </row>
    <row r="65">
      <c r="A65" s="12" t="inlineStr">
        <is>
          <t>E. MURO e=0.15 - CRUCE DE MOTOS (marco unico 3/8" @0.15)</t>
        </is>
      </c>
    </row>
    <row r="66">
      <c r="A66" s="5" t="inlineStr">
        <is>
          <t>Altura del muro H</t>
        </is>
      </c>
      <c r="B66" s="16">
        <f>B19</f>
        <v/>
      </c>
      <c r="C66" s="5" t="inlineStr">
        <is>
          <t>m</t>
        </is>
      </c>
      <c r="D66" s="5" t="inlineStr"/>
    </row>
    <row r="67">
      <c r="A67" s="5" t="inlineStr">
        <is>
          <t>Empuje en reposo en la base p</t>
        </is>
      </c>
      <c r="B67" s="16">
        <f>B10*B9*B66</f>
        <v/>
      </c>
      <c r="C67" s="5" t="inlineStr">
        <is>
          <t>t/m2</t>
        </is>
      </c>
      <c r="D67" s="5" t="inlineStr"/>
    </row>
    <row r="68">
      <c r="A68" s="5" t="inlineStr">
        <is>
          <t>Sobrecarga lateral q</t>
        </is>
      </c>
      <c r="B68" s="16">
        <f>B10*B12</f>
        <v/>
      </c>
      <c r="C68" s="5" t="inlineStr">
        <is>
          <t>t/m2</t>
        </is>
      </c>
      <c r="D68" s="5" t="inlineStr">
        <is>
          <t>Ko x s/c vehiculo liviano</t>
        </is>
      </c>
    </row>
    <row r="69">
      <c r="A69" s="5" t="inlineStr">
        <is>
          <t>Mu</t>
        </is>
      </c>
      <c r="B69" s="16">
        <f>1.7*(B67*B66^2/20+B68*B66^2/12)</f>
        <v/>
      </c>
      <c r="C69" s="5" t="inlineStr">
        <is>
          <t>t.m/m</t>
        </is>
      </c>
      <c r="D69" s="5" t="inlineStr"/>
    </row>
    <row r="70">
      <c r="A70" s="5" t="inlineStr">
        <is>
          <t>As colocado</t>
        </is>
      </c>
      <c r="B70" s="16">
        <f>0.71/0.15</f>
        <v/>
      </c>
      <c r="C70" s="5" t="inlineStr">
        <is>
          <t>cm2/m</t>
        </is>
      </c>
      <c r="D70" s="5" t="inlineStr"/>
    </row>
    <row r="71">
      <c r="A71" s="5" t="inlineStr">
        <is>
          <t>a</t>
        </is>
      </c>
      <c r="B71" s="16">
        <f>B70*B7/(0.85*B6*100)</f>
        <v/>
      </c>
      <c r="C71" s="5" t="inlineStr">
        <is>
          <t>cm</t>
        </is>
      </c>
      <c r="D71" s="5" t="inlineStr"/>
    </row>
    <row r="72">
      <c r="A72" s="5" t="inlineStr">
        <is>
          <t>Momento resistente fMn</t>
        </is>
      </c>
      <c r="B72" s="16">
        <f>0.9*B70*B7*(B58-B71/2)/100000</f>
        <v/>
      </c>
      <c r="C72" s="5" t="inlineStr">
        <is>
          <t>t.m/m</t>
        </is>
      </c>
      <c r="D72" s="5" t="inlineStr"/>
      <c r="E72" s="3">
        <f>IF(B72&gt;=B69,"CUMPLE","NO CUMPLE")</f>
        <v/>
      </c>
    </row>
    <row r="73">
      <c r="A73" s="12" t="inlineStr">
        <is>
          <t>F. MURO e=0.15 - CRUCE DE CAMIONES (doble marco 1/2" @0.15: una capa en cada cara)</t>
        </is>
      </c>
    </row>
    <row r="74">
      <c r="A74" s="5" t="inlineStr">
        <is>
          <t>Altura del muro H</t>
        </is>
      </c>
      <c r="B74" s="16">
        <f>B19</f>
        <v/>
      </c>
      <c r="C74" s="5" t="inlineStr">
        <is>
          <t>m</t>
        </is>
      </c>
      <c r="D74" s="5" t="inlineStr"/>
    </row>
    <row r="75">
      <c r="A75" s="5" t="inlineStr">
        <is>
          <t>Empuje en reposo en la base p</t>
        </is>
      </c>
      <c r="B75" s="16">
        <f>B10*B9*B74</f>
        <v/>
      </c>
      <c r="C75" s="5" t="inlineStr">
        <is>
          <t>t/m2</t>
        </is>
      </c>
      <c r="D75" s="5" t="inlineStr"/>
    </row>
    <row r="76">
      <c r="A76" s="5" t="inlineStr">
        <is>
          <t>Sobrecarga lateral q</t>
        </is>
      </c>
      <c r="B76" s="16">
        <f>B10*B13</f>
        <v/>
      </c>
      <c r="C76" s="5" t="inlineStr">
        <is>
          <t>t/m2</t>
        </is>
      </c>
      <c r="D76" s="5" t="inlineStr">
        <is>
          <t>Ko x s/c camion</t>
        </is>
      </c>
    </row>
    <row r="77">
      <c r="A77" s="5" t="inlineStr">
        <is>
          <t>Mu</t>
        </is>
      </c>
      <c r="B77" s="16">
        <f>1.7*(B75*B74^2/20+B76*B74^2/12)</f>
        <v/>
      </c>
      <c r="C77" s="5" t="inlineStr">
        <is>
          <t>t.m/m</t>
        </is>
      </c>
      <c r="D77" s="5" t="inlineStr"/>
    </row>
    <row r="78">
      <c r="A78" s="5" t="inlineStr">
        <is>
          <t>Peralte efectivo d</t>
        </is>
      </c>
      <c r="B78" s="22">
        <f>(DATOS!$B$18-0.04)*100-0.635</f>
        <v/>
      </c>
      <c r="C78" s="5" t="inlineStr">
        <is>
          <t>cm</t>
        </is>
      </c>
      <c r="D78" s="5" t="inlineStr"/>
    </row>
    <row r="79">
      <c r="A79" s="5" t="inlineStr">
        <is>
          <t>As colocado (una capa)</t>
        </is>
      </c>
      <c r="B79" s="16">
        <f>1.27/0.15</f>
        <v/>
      </c>
      <c r="C79" s="5" t="inlineStr">
        <is>
          <t>cm2/m</t>
        </is>
      </c>
      <c r="D79" s="5" t="inlineStr"/>
    </row>
    <row r="80">
      <c r="A80" s="5" t="inlineStr">
        <is>
          <t>a</t>
        </is>
      </c>
      <c r="B80" s="16">
        <f>B79*B7/(0.85*B6*100)</f>
        <v/>
      </c>
      <c r="C80" s="5" t="inlineStr">
        <is>
          <t>cm</t>
        </is>
      </c>
      <c r="D80" s="5" t="inlineStr"/>
    </row>
    <row r="81">
      <c r="A81" s="5" t="inlineStr">
        <is>
          <t>Momento resistente fMn</t>
        </is>
      </c>
      <c r="B81" s="16">
        <f>0.9*B79*B7*(B78-B80/2)/100000</f>
        <v/>
      </c>
      <c r="C81" s="5" t="inlineStr">
        <is>
          <t>t.m/m</t>
        </is>
      </c>
      <c r="D81" s="5" t="inlineStr"/>
      <c r="E81" s="3">
        <f>IF(B81&gt;=B77,"CUMPLE","NO CUMPLE")</f>
        <v/>
      </c>
    </row>
    <row r="82">
      <c r="A82" s="12" t="inlineStr">
        <is>
          <t>G. LOSA DE FONDO e=0.15 (marco unico 3/8" @0.20)</t>
        </is>
      </c>
    </row>
    <row r="83">
      <c r="A83" s="5" t="inlineStr">
        <is>
          <t>Peso de la estructura por metro</t>
        </is>
      </c>
      <c r="B83" s="22">
        <f>B8*(DATOS!$B$17+2*DATOS!$B$18)*(DATOS!$B$20+DATOS!$B$19)+2*B8*DATOS!$B$18*B19</f>
        <v/>
      </c>
      <c r="C83" s="5" t="inlineStr">
        <is>
          <t>t/m</t>
        </is>
      </c>
      <c r="D83" s="5" t="inlineStr">
        <is>
          <t>losas + muros (altura maxima)</t>
        </is>
      </c>
    </row>
    <row r="84">
      <c r="A84" s="5" t="inlineStr">
        <is>
          <t>Agua (colector lleno) y sobrecarga</t>
        </is>
      </c>
      <c r="B84" s="22">
        <f>1.0*DATOS!$B$17*B19+B11*(DATOS!$B$17+2*DATOS!$B$18)</f>
        <v/>
      </c>
      <c r="C84" s="5" t="inlineStr">
        <is>
          <t>t/m</t>
        </is>
      </c>
      <c r="D84" s="5" t="inlineStr"/>
    </row>
    <row r="85">
      <c r="A85" s="5" t="inlineStr">
        <is>
          <t>Reaccion del suelo</t>
        </is>
      </c>
      <c r="B85" s="22">
        <f>(B83+B84)/(DATOS!$B$17+2*DATOS!$B$18)</f>
        <v/>
      </c>
      <c r="C85" s="5" t="inlineStr">
        <is>
          <t>t/m2</t>
        </is>
      </c>
      <c r="D85" s="5" t="inlineStr">
        <is>
          <t>uniforme</t>
        </is>
      </c>
    </row>
    <row r="86">
      <c r="A86" s="5" t="inlineStr">
        <is>
          <t>Mu</t>
        </is>
      </c>
      <c r="B86" s="16">
        <f>1.5*B85*B18^2/8</f>
        <v/>
      </c>
      <c r="C86" s="5" t="inlineStr">
        <is>
          <t>t.m/m</t>
        </is>
      </c>
      <c r="D86" s="5" t="inlineStr">
        <is>
          <t>1.5 (D+L) wL2/8, simplemente apoyada (conservador)</t>
        </is>
      </c>
    </row>
    <row r="87">
      <c r="A87" s="5" t="inlineStr">
        <is>
          <t>Peralte efectivo d</t>
        </is>
      </c>
      <c r="B87" s="22">
        <f>DATOS!$B$19*100/2</f>
        <v/>
      </c>
      <c r="C87" s="5" t="inlineStr">
        <is>
          <t>cm</t>
        </is>
      </c>
      <c r="D87" s="5" t="inlineStr">
        <is>
          <t>marco unico en el eje de la losa de fondo (una capa)</t>
        </is>
      </c>
    </row>
    <row r="88">
      <c r="A88" s="5" t="inlineStr">
        <is>
          <t>As colocado</t>
        </is>
      </c>
      <c r="B88" s="16">
        <f>0.71/0.20</f>
        <v/>
      </c>
      <c r="C88" s="5" t="inlineStr">
        <is>
          <t>cm2/m</t>
        </is>
      </c>
      <c r="D88" s="5" t="inlineStr"/>
    </row>
    <row r="89">
      <c r="A89" s="5" t="inlineStr">
        <is>
          <t>a</t>
        </is>
      </c>
      <c r="B89" s="16">
        <f>B88*B7/(0.85*B6*100)</f>
        <v/>
      </c>
      <c r="C89" s="5" t="inlineStr">
        <is>
          <t>cm</t>
        </is>
      </c>
      <c r="D89" s="5" t="inlineStr"/>
    </row>
    <row r="90">
      <c r="A90" s="5" t="inlineStr">
        <is>
          <t>Momento resistente fMn</t>
        </is>
      </c>
      <c r="B90" s="16">
        <f>0.9*B88*B7*(B87-B89/2)/100000</f>
        <v/>
      </c>
      <c r="C90" s="5" t="inlineStr">
        <is>
          <t>t.m/m</t>
        </is>
      </c>
      <c r="D90" s="5" t="inlineStr"/>
      <c r="E90" s="3">
        <f>IF(B90&gt;=B86,"CUMPLE","NO CUMPLE")</f>
        <v/>
      </c>
    </row>
    <row r="91">
      <c r="A91" s="5" t="inlineStr">
        <is>
          <t>Presion sobre el suelo</t>
        </is>
      </c>
      <c r="B91" s="16">
        <f>B85/10</f>
        <v/>
      </c>
      <c r="C91" s="5" t="inlineStr">
        <is>
          <t>kg/cm2</t>
        </is>
      </c>
      <c r="D91" s="5" t="inlineStr">
        <is>
          <t>comparar con la capacidad portante del EMS</t>
        </is>
      </c>
      <c r="E91" s="3">
        <f>IF(B91&lt;=1.0,"CUMPLE (&lt;= 1.0 kg/cm2)","VERIFICAR EMS")</f>
        <v/>
      </c>
    </row>
    <row r="92">
      <c r="A92" s="12" t="inlineStr">
        <is>
          <t>H. TAPA DE REGISTRO 0.68 x 0.68 x 0.08 - 3/8" @0.10 (rueda liviana; no hay registros en los cruces)</t>
        </is>
      </c>
    </row>
    <row r="93">
      <c r="A93" s="5" t="inlineStr">
        <is>
          <t>Espesor</t>
        </is>
      </c>
      <c r="B93" s="23" t="n">
        <v>0.08</v>
      </c>
      <c r="C93" s="5" t="inlineStr">
        <is>
          <t>m</t>
        </is>
      </c>
      <c r="D93" s="5" t="inlineStr"/>
    </row>
    <row r="94">
      <c r="A94" s="5" t="inlineStr">
        <is>
          <t>Luz de calculo</t>
        </is>
      </c>
      <c r="B94" s="23" t="n">
        <v>0.64</v>
      </c>
      <c r="C94" s="5" t="inlineStr">
        <is>
          <t>m</t>
        </is>
      </c>
      <c r="D94" s="5" t="inlineStr">
        <is>
          <t>luz libre 0.60 + apoyo 0.02 a cada lado</t>
        </is>
      </c>
    </row>
    <row r="95">
      <c r="A95" s="5" t="inlineStr">
        <is>
          <t>Ancho de franja</t>
        </is>
      </c>
      <c r="B95" s="16">
        <f>MIN(0.66+0.55*B94,0.68)</f>
        <v/>
      </c>
      <c r="C95" s="5" t="inlineStr">
        <is>
          <t>m</t>
        </is>
      </c>
      <c r="D95" s="5" t="inlineStr">
        <is>
          <t>limitado al ancho de la tapa</t>
        </is>
      </c>
    </row>
    <row r="96">
      <c r="A96" s="5" t="inlineStr">
        <is>
          <t>Momento por rueda</t>
        </is>
      </c>
      <c r="B96" s="16">
        <f>B14*(1+B16)*(B94/4-B17/8)/B95</f>
        <v/>
      </c>
      <c r="C96" s="5" t="inlineStr">
        <is>
          <t>t.m/m</t>
        </is>
      </c>
      <c r="D96" s="5" t="inlineStr"/>
    </row>
    <row r="97">
      <c r="A97" s="5" t="inlineStr">
        <is>
          <t>Mu</t>
        </is>
      </c>
      <c r="B97" s="16">
        <f>1.4*B8*B93*B94^2/8+1.7*B96</f>
        <v/>
      </c>
      <c r="C97" s="5" t="inlineStr">
        <is>
          <t>t.m/m</t>
        </is>
      </c>
      <c r="D97" s="5" t="inlineStr"/>
    </row>
    <row r="98">
      <c r="A98" s="5" t="inlineStr">
        <is>
          <t>Peralte efectivo d</t>
        </is>
      </c>
      <c r="B98" s="16">
        <f>(B93-0.025)*100-0.48</f>
        <v/>
      </c>
      <c r="C98" s="5" t="inlineStr">
        <is>
          <t>cm</t>
        </is>
      </c>
      <c r="D98" s="5" t="inlineStr"/>
    </row>
    <row r="99">
      <c r="A99" s="5" t="inlineStr">
        <is>
          <t>As colocado</t>
        </is>
      </c>
      <c r="B99" s="16">
        <f>0.71/0.10</f>
        <v/>
      </c>
      <c r="C99" s="5" t="inlineStr">
        <is>
          <t>cm2/m</t>
        </is>
      </c>
      <c r="D99" s="5" t="inlineStr"/>
    </row>
    <row r="100">
      <c r="A100" s="5" t="inlineStr">
        <is>
          <t>a</t>
        </is>
      </c>
      <c r="B100" s="16">
        <f>B99*B7/(0.85*B6*100)</f>
        <v/>
      </c>
      <c r="C100" s="5" t="inlineStr">
        <is>
          <t>cm</t>
        </is>
      </c>
      <c r="D100" s="5" t="inlineStr"/>
    </row>
    <row r="101">
      <c r="A101" s="5" t="inlineStr">
        <is>
          <t>Momento resistente fMn</t>
        </is>
      </c>
      <c r="B101" s="16">
        <f>0.9*B99*B7*(B98-B100/2)/100000</f>
        <v/>
      </c>
      <c r="C101" s="5" t="inlineStr">
        <is>
          <t>t.m/m</t>
        </is>
      </c>
      <c r="D101" s="5" t="inlineStr"/>
      <c r="E101" s="3">
        <f>IF(B101&gt;=B97,"CUMPLE","NO CUMPLE")</f>
        <v/>
      </c>
    </row>
    <row r="102"/>
    <row r="103">
      <c r="A103" s="2" t="inlineStr">
        <is>
          <t>Los muros se verifican como miembros del marco cerrado (losa superior y de fondo vaciadas monoliticamente con los muros). En los cruces el acero indicado va en ambas caras. Registros solo fuera de los cruces vehiculares.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34" customWidth="1" min="2" max="2"/>
    <col width="40" customWidth="1" min="3" max="3"/>
    <col width="14" customWidth="1" min="4" max="4"/>
    <col width="18" customWidth="1" min="5" max="5"/>
  </cols>
  <sheetData>
    <row r="1">
      <c r="A1" s="1" t="inlineStr">
        <is>
          <t>7. CUADRO DE CUMPLIMIENTO NORMATIVO Y CONDICIONES DE COMPATIBILIDAD</t>
        </is>
      </c>
    </row>
    <row r="2">
      <c r="A2" s="2" t="inlineStr">
        <is>
          <t>Colector pluvial frontal - tramo Hogar de Refugio Temporal Mujeres Violentadas (CUI 2675514), Morales - San Martin. Hidroconsult, Oct. 2026</t>
        </is>
      </c>
    </row>
    <row r="3"/>
    <row r="4">
      <c r="A4" s="11" t="inlineStr">
        <is>
          <t>REQUISITO</t>
        </is>
      </c>
      <c r="B4" s="11" t="inlineStr">
        <is>
          <t>NORMA / REFERENCIA</t>
        </is>
      </c>
      <c r="C4" s="11" t="inlineStr">
        <is>
          <t>CRITERIO</t>
        </is>
      </c>
      <c r="D4" s="11" t="inlineStr">
        <is>
          <t>VALOR DEL DISENO</t>
        </is>
      </c>
      <c r="E4" s="11" t="inlineStr">
        <is>
          <t>RESULTADO</t>
        </is>
      </c>
    </row>
    <row r="5">
      <c r="A5" s="12" t="inlineStr">
        <is>
          <t>HIDROLOGIA E HIDRAULICA</t>
        </is>
      </c>
    </row>
    <row r="6">
      <c r="A6" s="5" t="inlineStr">
        <is>
          <t>Periodo de retorno del colector</t>
        </is>
      </c>
      <c r="B6" s="5" t="inlineStr">
        <is>
          <t>Estudio hidrologico del proyecto (RNE CE.040)</t>
        </is>
      </c>
      <c r="C6" s="5" t="inlineStr">
        <is>
          <t>TR = 25 anos, igual al estudio hidrologico y al colector receptor</t>
        </is>
      </c>
      <c r="D6" s="22">
        <f>DATOS!$B$6</f>
        <v/>
      </c>
      <c r="E6" s="3">
        <f>IF(DATOS!$B$6=25,"CUMPLE","VERIFICAR")</f>
        <v/>
      </c>
    </row>
    <row r="7">
      <c r="A7" s="5" t="inlineStr">
        <is>
          <t>Intensidad de diseno del colector</t>
        </is>
      </c>
      <c r="B7" s="5" t="inlineStr">
        <is>
          <t>Estudio hidrologico; MTC Manual de Hidrologia (Dick y Peschke)</t>
        </is>
      </c>
      <c r="C7" s="5" t="inlineStr">
        <is>
          <t>tc = 15 min sobre la curva P-D del analisis estadistico (P10 = 35.16, P20 = 41.82 mm)</t>
        </is>
      </c>
      <c r="D7" s="22">
        <f>DATOS!$B$11</f>
        <v/>
      </c>
      <c r="E7" s="3">
        <f>IF(ABS(DATOS!$B$11-155.66)&lt;0.5,"CUMPLE","VERIFICAR")</f>
        <v/>
      </c>
    </row>
    <row r="8">
      <c r="A8" s="5" t="inlineStr">
        <is>
          <t>Caudal de diseno del tramo</t>
        </is>
      </c>
      <c r="B8" s="5" t="inlineStr">
        <is>
          <t>Metodo racional, FS = 1.15 (memorias HIDRO-CE040)</t>
        </is>
      </c>
      <c r="C8" s="5" t="inlineStr">
        <is>
          <t>Q = Q CAR Varones (dato) + Q Hogar de Refugio</t>
        </is>
      </c>
      <c r="D8" s="22">
        <f>CAUDALES!$B$12</f>
        <v/>
      </c>
      <c r="E8" s="3">
        <f>IF(CAUDALES!$B$12&lt;=560.7,"CUMPLE (&lt;= 560.7 L/s del receptor)","NO CUMPLE")</f>
        <v/>
      </c>
    </row>
    <row r="9">
      <c r="A9" s="5" t="inlineStr">
        <is>
          <t>Regimen de flujo en el colector</t>
        </is>
      </c>
      <c r="B9" s="5" t="inlineStr">
        <is>
          <t>RNE CE.040; Chow (flujo gradualmente variado)</t>
        </is>
      </c>
      <c r="C9" s="5" t="inlineStr">
        <is>
          <t>Subcritico en todo el tramo: Froude &lt; 1</t>
        </is>
      </c>
      <c r="D9" s="22">
        <f>PERFIL_FLUJO!B95</f>
        <v/>
      </c>
      <c r="E9" s="3">
        <f>IF(PERFIL_FLUJO!B95&lt;1,"CUMPLE","NO CUMPLE")</f>
        <v/>
      </c>
    </row>
    <row r="10">
      <c r="A10" s="5" t="inlineStr">
        <is>
          <t>Llenado maximo de la seccion</t>
        </is>
      </c>
      <c r="B10" s="5" t="inlineStr">
        <is>
          <t>Criterio de diseno adoptado (y/h &lt;= 85 %)</t>
        </is>
      </c>
      <c r="C10" s="5" t="inlineStr">
        <is>
          <t>Tirante / altura interior</t>
        </is>
      </c>
      <c r="D10" s="22">
        <f>PERFIL_FLUJO!B93</f>
        <v/>
      </c>
      <c r="E10" s="3">
        <f>IF(PERFIL_FLUJO!B93&lt;=DATOS!$B$36,"CUMPLE","NO CUMPLE")</f>
        <v/>
      </c>
    </row>
    <row r="11">
      <c r="A11" s="5" t="inlineStr">
        <is>
          <t>Borde libre bajo la losa</t>
        </is>
      </c>
      <c r="B11" s="5" t="inlineStr">
        <is>
          <t>Criterio de diseno adoptado (&gt;= 0.05 m)</t>
        </is>
      </c>
      <c r="C11" s="5" t="inlineStr">
        <is>
          <t>Cota bajo losa - nivel de agua</t>
        </is>
      </c>
      <c r="D11" s="22">
        <f>PERFIL_FLUJO!B94</f>
        <v/>
      </c>
      <c r="E11" s="3">
        <f>IF(PERFIL_FLUJO!B94&gt;=DATOS!$B$37,"CUMPLE","NO CUMPLE")</f>
        <v/>
      </c>
    </row>
    <row r="12">
      <c r="A12" s="5" t="inlineStr">
        <is>
          <t>Velocidad minima (autolimpieza)</t>
        </is>
      </c>
      <c r="B12" s="5" t="inlineStr">
        <is>
          <t>RNE CE.040 Drenaje Pluvial</t>
        </is>
      </c>
      <c r="C12" s="5" t="inlineStr">
        <is>
          <t>V &gt;= 0.90 m/s con el caudal de diseno</t>
        </is>
      </c>
      <c r="D12" s="22">
        <f>PERFIL_FLUJO!B200</f>
        <v/>
      </c>
      <c r="E12" s="3">
        <f>PERFIL_FLUJO!B200</f>
        <v/>
      </c>
    </row>
    <row r="13">
      <c r="A13" s="5" t="inlineStr">
        <is>
          <t>Velocidad maxima (revestimiento de concreto)</t>
        </is>
      </c>
      <c r="B13" s="5" t="inlineStr">
        <is>
          <t>RNE CE.040 Drenaje Pluvial</t>
        </is>
      </c>
      <c r="C13" s="5" t="inlineStr">
        <is>
          <t>V &lt;= 3.0 m/s</t>
        </is>
      </c>
      <c r="D13" s="22">
        <f>PERFIL_FLUJO!B200</f>
        <v/>
      </c>
      <c r="E13" s="3">
        <f>PERFIL_FLUJO!B200</f>
        <v/>
      </c>
    </row>
    <row r="14">
      <c r="A14" s="5" t="inlineStr">
        <is>
          <t>Esfuerzo tractivo con caudales parciales</t>
        </is>
      </c>
      <c r="B14" s="5" t="inlineStr">
        <is>
          <t>Criterio de autolimpieza (ASCE / WEF)</t>
        </is>
      </c>
      <c r="C14" s="5" t="inlineStr">
        <is>
          <t>tau = gamma R S &gt;= 0.15 kg/m2 hasta el 5 % del caudal</t>
        </is>
      </c>
      <c r="D14" s="22">
        <f>PERFIL_FLUJO!B200</f>
        <v/>
      </c>
      <c r="E14" s="3">
        <f>PERFIL_FLUJO!B200</f>
        <v/>
      </c>
    </row>
    <row r="15">
      <c r="A15" s="5" t="inlineStr">
        <is>
          <t>Caida libre de las cunetas al colector</t>
        </is>
      </c>
      <c r="B15" s="5" t="inlineStr">
        <is>
          <t>Criterio de diseno: NA del colector bajo el fondo de cada cuneta</t>
        </is>
      </c>
      <c r="C15" s="5" t="inlineStr">
        <is>
          <t>Cunetas Ejes 01, 02, 06, 07, 11 y 12 (cotas del plano de arquitectura vigente)</t>
        </is>
      </c>
      <c r="D15" s="22">
        <f>COUNTIF(CUNETAS!L5:L10,"CAIDA LIBRE")</f>
        <v/>
      </c>
      <c r="E15" s="3">
        <f>IF(COUNTIF(CUNETAS!L5:L10,"CAIDA LIBRE")=6,"CUMPLE (6 de 6)","VERIFICAR")</f>
        <v/>
      </c>
    </row>
    <row r="16">
      <c r="A16" s="5" t="inlineStr">
        <is>
          <t>Capacidad de la seccion con llenado del 85 % (margen frente al caudal de diseno)</t>
        </is>
      </c>
      <c r="B16" s="5" t="inlineStr">
        <is>
          <t>Manning; criterio de llenado maximo adoptado</t>
        </is>
      </c>
      <c r="C16" s="5" t="inlineStr">
        <is>
          <t>Q85 = (1/n) A R^(2/3) S^(1/2) con y = 0.85 h minima; margen = Q85 / Q diseno</t>
        </is>
      </c>
      <c r="D16" s="22">
        <f>1000*DATOS!$B$17*0.85*ESTRUCTURAL!B20*(DATOS!$B$17*0.85*ESTRUCTURAL!B20/(DATOS!$B$17+2*0.85*ESTRUCTURAL!B20))^(2/3)*SQRT(DATOS!$B$23)/DATOS!$B$34</f>
        <v/>
      </c>
      <c r="E16" s="3">
        <f>"CUMPLE (margen "&amp;TEXT(1000*DATOS!$B$17*0.85*ESTRUCTURAL!B20*(DATOS!$B$17*0.85*ESTRUCTURAL!B20/(DATOS!$B$17+2*0.85*ESTRUCTURAL!B20))^(2/3)*SQRT(DATOS!$B$23)/DATOS!$B$34/CAUDALES!$B$12,"0.0")&amp;" veces el caudal de diseno)"</f>
        <v/>
      </c>
    </row>
    <row r="17">
      <c r="A17" s="5" t="inlineStr">
        <is>
          <t>Cota de llegada del colector del CAR Varones: caida libre sobre el NA de la CL y bajo el techo de la caja</t>
        </is>
      </c>
      <c r="B17" s="5" t="inlineStr">
        <is>
          <t>Compatibilidad con el expediente del CAR Varones (CUI 2705619)</t>
        </is>
      </c>
      <c r="C17" s="5" t="inlineStr">
        <is>
          <t>Entre el nivel de agua en 0+000 + 0.10 (caida libre) y el techo de la CL (tapa 261.15 - losa 0.10); ventana este 0.60 x 1.17</t>
        </is>
      </c>
      <c r="D17" s="22">
        <f>DATOS!$B$43</f>
        <v/>
      </c>
      <c r="E17" s="3">
        <f>IF(AND(DATOS!$B$43&gt;=PERFIL_FLUJO!G200+0.10,DATOS!$B$43&lt;=DATOS!$B$44-DATOS!$B$20),"CUMPLE (rango "&amp;TEXT(PERFIL_FLUJO!G200+0.10,"0.00")&amp;" a "&amp;TEXT(DATOS!$B$44-DATOS!$B$20,"0.00")&amp;" msnm)","VERIFICAR")</f>
        <v/>
      </c>
    </row>
    <row r="18">
      <c r="A18" s="5" t="inlineStr">
        <is>
          <t>Cuneta Eje 01 del CAR Varones: caida libre a la CL</t>
        </is>
      </c>
      <c r="B18" s="5" t="inlineStr">
        <is>
          <t>Compatibilidad con el expediente del CAR Varones</t>
        </is>
      </c>
      <c r="C18" s="5" t="inlineStr">
        <is>
          <t>NCF en el muro norte &gt; NA de la CL</t>
        </is>
      </c>
      <c r="D18" s="22">
        <f>DATOS!$B$45</f>
        <v/>
      </c>
      <c r="E18" s="3">
        <f>IF(DATOS!$B$45&gt;PERFIL_FLUJO!G200,"CUMPLE (caida libre "&amp;TEXT(DATOS!$B$45-PERFIL_FLUJO!G200,"0.00")&amp;" m)","VERIFICAR")</f>
        <v/>
      </c>
    </row>
    <row r="19">
      <c r="A19" s="12" t="inlineStr">
        <is>
          <t>ENTREGA AL COLECTOR RECEPTOR (CAR MUJERES, CUI 2717013)</t>
        </is>
      </c>
    </row>
    <row r="20">
      <c r="A20" s="5" t="inlineStr">
        <is>
          <t>Cota de fondo de llegada &gt;= cota de fondo del R-01</t>
        </is>
      </c>
      <c r="B20" s="5" t="inlineStr">
        <is>
          <t>Compatibilidad con el expediente del receptor</t>
        </is>
      </c>
      <c r="C20" s="5" t="inlineStr">
        <is>
          <t>CF llegada 258.89 &gt;= 258.72</t>
        </is>
      </c>
      <c r="D20" s="22">
        <f>EMPALME!B8</f>
        <v/>
      </c>
      <c r="E20" s="3">
        <f>IF(EMPALME!B8&gt;=DATOS!$B$39,"CUMPLE","NO CUMPLE")</f>
        <v/>
      </c>
    </row>
    <row r="21">
      <c r="A21" s="5" t="inlineStr">
        <is>
          <t>Caudal entregado &lt;= caudal previsto por el receptor</t>
        </is>
      </c>
      <c r="B21" s="5" t="inlineStr">
        <is>
          <t>Compatibilidad con el expediente del receptor</t>
        </is>
      </c>
      <c r="C21" s="5" t="inlineStr">
        <is>
          <t>Q &lt;= 560.7 L/s</t>
        </is>
      </c>
      <c r="D21" s="22">
        <f>CAUDALES!$B$12</f>
        <v/>
      </c>
      <c r="E21" s="3">
        <f>IF(CAUDALES!$B$12&lt;=560.7,"CUMPLE","NO CUMPLE")</f>
        <v/>
      </c>
    </row>
    <row r="22">
      <c r="A22" s="5" t="inlineStr">
        <is>
          <t>Entrega en regimen subcritico (resalto ahogado en la poza)</t>
        </is>
      </c>
      <c r="B22" s="5" t="inlineStr">
        <is>
          <t>USBR, poza de disipacion; Chow</t>
        </is>
      </c>
      <c r="C22" s="5" t="inlineStr">
        <is>
          <t>y2 conjugado &lt; tirante disponible en la poza</t>
        </is>
      </c>
      <c r="D22" s="22">
        <f>EMPALME!B19</f>
        <v/>
      </c>
      <c r="E22" s="3">
        <f>EMPALME!B19</f>
        <v/>
      </c>
    </row>
    <row r="23">
      <c r="A23" s="5" t="inlineStr">
        <is>
          <t>Longitud de la poza de disipacion</t>
        </is>
      </c>
      <c r="B23" s="5" t="inlineStr">
        <is>
          <t>USBR (resalto ahogado: L &gt;= 0.8 x 6 y2)</t>
        </is>
      </c>
      <c r="C23" s="5" t="inlineStr">
        <is>
          <t>L poza = 3.50 m</t>
        </is>
      </c>
      <c r="D23" s="22">
        <f>EMPALME!B22</f>
        <v/>
      </c>
      <c r="E23" s="3">
        <f>EMPALME!B22</f>
        <v/>
      </c>
    </row>
    <row r="24">
      <c r="A24" s="12" t="inlineStr">
        <is>
          <t>ESTRUCTURAS (RNE E.060 CONCRETO ARMADO, E.020 CARGAS, AASHTO LRFD)</t>
        </is>
      </c>
    </row>
    <row r="25">
      <c r="A25" s="5" t="inlineStr">
        <is>
          <t>Combinaciones de carga</t>
        </is>
      </c>
      <c r="B25" s="5" t="inlineStr">
        <is>
          <t>RNE E.060 art. 9.2</t>
        </is>
      </c>
      <c r="C25" s="5" t="inlineStr">
        <is>
          <t>U = 1.4 D + 1.7 L; factores phi = 0.90 flexion y 0.85 cortante (art. 9.3)</t>
        </is>
      </c>
      <c r="D25" s="22" t="inlineStr">
        <is>
          <t>aplicado</t>
        </is>
      </c>
      <c r="E25" s="3" t="inlineStr">
        <is>
          <t>CUMPLE</t>
        </is>
      </c>
    </row>
    <row r="26">
      <c r="A26" s="5" t="inlineStr">
        <is>
          <t>Losa superior tramo normal: flexion</t>
        </is>
      </c>
      <c r="B26" s="5" t="inlineStr">
        <is>
          <t>RNE E.060 cap. 10</t>
        </is>
      </c>
      <c r="C26" s="5" t="inlineStr">
        <is>
          <t>phi Mn &gt;= Mu</t>
        </is>
      </c>
      <c r="D26" s="22">
        <f>ESTRUCTURAL!B28</f>
        <v/>
      </c>
      <c r="E26" s="3">
        <f>IF(ESTRUCTURAL!B28&gt;=ESTRUCTURAL!B24,"CUMPLE","NO CUMPLE")</f>
        <v/>
      </c>
    </row>
    <row r="27">
      <c r="A27" s="5" t="inlineStr">
        <is>
          <t>Losa superior tramo normal: cuantia minima</t>
        </is>
      </c>
      <c r="B27" s="5" t="inlineStr">
        <is>
          <t>RNE E.060 art. 9.7.2 (0.0018 b h, grado 60)</t>
        </is>
      </c>
      <c r="C27" s="5" t="inlineStr">
        <is>
          <t>As &gt;= As min</t>
        </is>
      </c>
      <c r="D27" s="22">
        <f>ESTRUCTURAL!B26</f>
        <v/>
      </c>
      <c r="E27" s="3">
        <f>IF(ESTRUCTURAL!B26&gt;=ESTRUCTURAL!B29,"CUMPLE","NO CUMPLE")</f>
        <v/>
      </c>
    </row>
    <row r="28">
      <c r="A28" s="5" t="inlineStr">
        <is>
          <t>Losa superior cruce de motos: flexion (rueda 1 t)</t>
        </is>
      </c>
      <c r="B28" s="5" t="inlineStr">
        <is>
          <t>RNE E.060; AASHTO LRFD 4.6.2.1.3 (ancho de franja)</t>
        </is>
      </c>
      <c r="C28" s="5" t="inlineStr">
        <is>
          <t>phi Mn &gt;= Mu</t>
        </is>
      </c>
      <c r="D28" s="22">
        <f>ESTRUCTURAL!B38</f>
        <v/>
      </c>
      <c r="E28" s="3">
        <f>IF(ESTRUCTURAL!B38&gt;=ESTRUCTURAL!B34,"CUMPLE","NO CUMPLE")</f>
        <v/>
      </c>
    </row>
    <row r="29">
      <c r="A29" s="5" t="inlineStr">
        <is>
          <t>Losa superior cruce de camiones: flexion (rueda HL-93, IM 33 %)</t>
        </is>
      </c>
      <c r="B29" s="5" t="inlineStr">
        <is>
          <t>AASHTO LRFD 3.6.1.2 y 3.6.2; Manual de Puentes MTC</t>
        </is>
      </c>
      <c r="C29" s="5" t="inlineStr">
        <is>
          <t>phi Mn &gt;= Mu</t>
        </is>
      </c>
      <c r="D29" s="22">
        <f>ESTRUCTURAL!B48</f>
        <v/>
      </c>
      <c r="E29" s="3">
        <f>IF(ESTRUCTURAL!B48&gt;=ESTRUCTURAL!B44,"CUMPLE","NO CUMPLE")</f>
        <v/>
      </c>
    </row>
    <row r="30">
      <c r="A30" s="5" t="inlineStr">
        <is>
          <t>Losa superior cruce de camiones: cortante</t>
        </is>
      </c>
      <c r="B30" s="5" t="inlineStr">
        <is>
          <t>RNE E.060 art. 11.3 (Vc = 0.53 raiz f'c b d)</t>
        </is>
      </c>
      <c r="C30" s="5" t="inlineStr">
        <is>
          <t>phi Vc &gt;= Vu</t>
        </is>
      </c>
      <c r="D30" s="22">
        <f>ESTRUCTURAL!B51</f>
        <v/>
      </c>
      <c r="E30" s="3">
        <f>IF(ESTRUCTURAL!B51&gt;=ESTRUCTURAL!B50,"CUMPLE","NO CUMPLE")</f>
        <v/>
      </c>
    </row>
    <row r="31">
      <c r="A31" s="5" t="inlineStr">
        <is>
          <t>Muro tramo normal: flexion por empuje de suelo</t>
        </is>
      </c>
      <c r="B31" s="5" t="inlineStr">
        <is>
          <t>RNE E.060; E.020 (empuje en reposo Ko = 0.5)</t>
        </is>
      </c>
      <c r="C31" s="5" t="inlineStr">
        <is>
          <t>phi Mn &gt;= Mu (marco cerrado)</t>
        </is>
      </c>
      <c r="D31" s="22">
        <f>ESTRUCTURAL!B61</f>
        <v/>
      </c>
      <c r="E31" s="3">
        <f>IF(ESTRUCTURAL!B61&gt;=ESTRUCTURAL!B57,"CUMPLE","NO CUMPLE")</f>
        <v/>
      </c>
    </row>
    <row r="32">
      <c r="A32" s="5" t="inlineStr">
        <is>
          <t>Muro tramo normal: cortante</t>
        </is>
      </c>
      <c r="B32" s="5" t="inlineStr">
        <is>
          <t>RNE E.060 art. 11.3</t>
        </is>
      </c>
      <c r="C32" s="5" t="inlineStr">
        <is>
          <t>phi Vc &gt;= Vu</t>
        </is>
      </c>
      <c r="D32" s="22">
        <f>ESTRUCTURAL!B64</f>
        <v/>
      </c>
      <c r="E32" s="3">
        <f>IF(ESTRUCTURAL!B64&gt;=ESTRUCTURAL!B63,"CUMPLE","NO CUMPLE")</f>
        <v/>
      </c>
    </row>
    <row r="33">
      <c r="A33" s="5" t="inlineStr">
        <is>
          <t>Muro tramo normal: refuerzo en una capa</t>
        </is>
      </c>
      <c r="B33" s="5" t="inlineStr">
        <is>
          <t>RNE E.060 art. 14.3.4 (dos capas solo si e &gt; 0.20 m)</t>
        </is>
      </c>
      <c r="C33" s="5" t="inlineStr">
        <is>
          <t>e = 0.15 m: una capa en el eje</t>
        </is>
      </c>
      <c r="D33" s="22">
        <f>DATOS!$B$18</f>
        <v/>
      </c>
      <c r="E33" s="3">
        <f>IF(DATOS!$B$18&lt;=0.20,"CUMPLE","VERIFICAR")</f>
        <v/>
      </c>
    </row>
    <row r="34">
      <c r="A34" s="5" t="inlineStr">
        <is>
          <t>Muro cruce de motos: flexion</t>
        </is>
      </c>
      <c r="B34" s="5" t="inlineStr">
        <is>
          <t>RNE E.060</t>
        </is>
      </c>
      <c r="C34" s="5" t="inlineStr">
        <is>
          <t>phi Mn &gt;= Mu</t>
        </is>
      </c>
      <c r="D34" s="22">
        <f>ESTRUCTURAL!B72</f>
        <v/>
      </c>
      <c r="E34" s="3">
        <f>IF(ESTRUCTURAL!B72&gt;=ESTRUCTURAL!B69,"CUMPLE","NO CUMPLE")</f>
        <v/>
      </c>
    </row>
    <row r="35">
      <c r="A35" s="5" t="inlineStr">
        <is>
          <t>Muro cruce de camiones: flexion (sobrecarga lateral camion)</t>
        </is>
      </c>
      <c r="B35" s="5" t="inlineStr">
        <is>
          <t>RNE E.060; AASHTO LRFD 3.11.6.4</t>
        </is>
      </c>
      <c r="C35" s="5" t="inlineStr">
        <is>
          <t>phi Mn &gt;= Mu</t>
        </is>
      </c>
      <c r="D35" s="22">
        <f>ESTRUCTURAL!B81</f>
        <v/>
      </c>
      <c r="E35" s="3">
        <f>IF(ESTRUCTURAL!B81&gt;=ESTRUCTURAL!B77,"CUMPLE","NO CUMPLE")</f>
        <v/>
      </c>
    </row>
    <row r="36">
      <c r="A36" s="5" t="inlineStr">
        <is>
          <t>Losa de fondo: flexion</t>
        </is>
      </c>
      <c r="B36" s="5" t="inlineStr">
        <is>
          <t>RNE E.060</t>
        </is>
      </c>
      <c r="C36" s="5" t="inlineStr">
        <is>
          <t>phi Mn &gt;= Mu</t>
        </is>
      </c>
      <c r="D36" s="22">
        <f>ESTRUCTURAL!B90</f>
        <v/>
      </c>
      <c r="E36" s="3">
        <f>IF(ESTRUCTURAL!B90&gt;=ESTRUCTURAL!B86,"CUMPLE","NO CUMPLE")</f>
        <v/>
      </c>
    </row>
    <row r="37">
      <c r="A37" s="5" t="inlineStr">
        <is>
          <t>Presion sobre el suelo</t>
        </is>
      </c>
      <c r="B37" s="5" t="inlineStr">
        <is>
          <t>RNE E.050 Suelos y Cimentaciones</t>
        </is>
      </c>
      <c r="C37" s="5" t="inlineStr">
        <is>
          <t>q &lt;= 0.50 kg/cm2, valor minimo usual de capacidad admisible en suelos blandos; el EMS del proyecto lo confirma</t>
        </is>
      </c>
      <c r="D37" s="22">
        <f>ESTRUCTURAL!B91</f>
        <v/>
      </c>
      <c r="E37" s="3">
        <f>IF(ESTRUCTURAL!B91&lt;=0.5,"CUMPLE (q = "&amp;TEXT(ESTRUCTURAL!B91,"0.00")&amp;" kg/cm2 &lt; 0.50)","VERIFICAR EMS")</f>
        <v/>
      </c>
    </row>
    <row r="38">
      <c r="A38" s="5" t="inlineStr">
        <is>
          <t>Tapa de registro 0.68 x 0.68 x 0.08: flexion (rueda liviana)</t>
        </is>
      </c>
      <c r="B38" s="5" t="inlineStr">
        <is>
          <t>RNE E.060</t>
        </is>
      </c>
      <c r="C38" s="5" t="inlineStr">
        <is>
          <t>phi Mn &gt;= Mu</t>
        </is>
      </c>
      <c r="D38" s="22">
        <f>ESTRUCTURAL!B101</f>
        <v/>
      </c>
      <c r="E38" s="3">
        <f>IF(ESTRUCTURAL!B101&gt;=ESTRUCTURAL!B97,"CUMPLE","NO CUMPLE")</f>
        <v/>
      </c>
    </row>
    <row r="39">
      <c r="A39" s="5" t="inlineStr">
        <is>
          <t>Recubrimientos</t>
        </is>
      </c>
      <c r="B39" s="5" t="inlineStr">
        <is>
          <t>RNE E.060 art. 7.7 (concreto sobre solado: 4 cm)</t>
        </is>
      </c>
      <c r="C39" s="5" t="inlineStr">
        <is>
          <t>4 cm muros y losa de fondo; 2.5 cm losa superior no expuesta; 4 cm cruce de camiones</t>
        </is>
      </c>
      <c r="D39" s="22" t="inlineStr">
        <is>
          <t>aplicado</t>
        </is>
      </c>
      <c r="E39" s="3" t="inlineStr">
        <is>
          <t>CUMPLE</t>
        </is>
      </c>
    </row>
    <row r="40">
      <c r="A40" s="5" t="inlineStr">
        <is>
          <t>Traslapes y ganchos</t>
        </is>
      </c>
      <c r="B40" s="5" t="inlineStr">
        <is>
          <t>RNE E.060 cap. 12</t>
        </is>
      </c>
      <c r="C40" s="5" t="inlineStr">
        <is>
          <t>Traslape 0.40 m (3/8"), 0.50 m (1/2"); ganchos 0.30 m</t>
        </is>
      </c>
      <c r="D40" s="22" t="inlineStr">
        <is>
          <t>aplicado</t>
        </is>
      </c>
      <c r="E40" s="3" t="inlineStr">
        <is>
          <t>CUMPLE</t>
        </is>
      </c>
    </row>
    <row r="41">
      <c r="A41" s="12" t="inlineStr">
        <is>
          <t>CONSTRUCTIVOS</t>
        </is>
      </c>
    </row>
    <row r="42">
      <c r="A42" s="5" t="inlineStr">
        <is>
          <t>Registros de limpieza</t>
        </is>
      </c>
      <c r="B42" s="5" t="inlineStr">
        <is>
          <t>RNE CE.040 (accesibilidad para mantenimiento)</t>
        </is>
      </c>
      <c r="C42" s="5" t="inlineStr">
        <is>
          <t>Separacion &lt;= 12 m y en cada llegada de cuneta; fuera de los cruces vehiculares</t>
        </is>
      </c>
      <c r="D42" s="22" t="inlineStr">
        <is>
          <t>7 + 3 registros</t>
        </is>
      </c>
      <c r="E42" s="3" t="inlineStr">
        <is>
          <t>CUMPLE</t>
        </is>
      </c>
    </row>
    <row r="43">
      <c r="A43" s="5" t="inlineStr">
        <is>
          <t>Juntas de dilatacion</t>
        </is>
      </c>
      <c r="B43" s="5" t="inlineStr">
        <is>
          <t>Practica del colector receptor (CAR Mujeres)</t>
        </is>
      </c>
      <c r="C43" s="5" t="inlineStr">
        <is>
          <t>Cada 4.00 m con tecnopor 1" y sello</t>
        </is>
      </c>
      <c r="D43" s="22" t="inlineStr">
        <is>
          <t>17 juntas</t>
        </is>
      </c>
      <c r="E43" s="3" t="inlineStr">
        <is>
          <t>CUMPLE</t>
        </is>
      </c>
    </row>
    <row r="44">
      <c r="A44" s="5" t="inlineStr">
        <is>
          <t>Emplazamiento</t>
        </is>
      </c>
      <c r="B44" s="5" t="inlineStr">
        <is>
          <t>Lindero y faja de la carretera Oasis</t>
        </is>
      </c>
      <c r="C44" s="5" t="inlineStr">
        <is>
          <t>Dentro del predio, pegado por fuera del cerco, sin invadir la via</t>
        </is>
      </c>
      <c r="D44" s="22" t="inlineStr">
        <is>
          <t>eje a 0.575 m del cerco</t>
        </is>
      </c>
      <c r="E44" s="3" t="inlineStr">
        <is>
          <t>CUMPLE</t>
        </is>
      </c>
    </row>
    <row r="45"/>
    <row r="46">
      <c r="A46" s="3" t="inlineStr">
        <is>
          <t>Requisitos que no cumplen o por verificar</t>
        </is>
      </c>
      <c r="B46" s="3">
        <f>COUNTIF(E5:E44,"NO CUMPLE*")+COUNTIF(E5:E44,"VERIFICAR*")</f>
        <v/>
      </c>
    </row>
    <row r="47"/>
    <row r="48">
      <c r="A48" s="12" t="inlineStr">
        <is>
          <t>DATOS DE OTROS EXPEDIENTES Y COMO QUEDAN CUBIERTOS EN ESTE DISENO</t>
        </is>
      </c>
    </row>
    <row r="49">
      <c r="A49" s="5" t="inlineStr">
        <is>
          <t>1. Llegada del colector del CAR Varones (CUI 2705619): cota de fondo 259.884 msnm en la cara este de la CL (ventana 0.60 x 1.17 hasta el techo de la CL) y cuneta Eje 01 de Varones por el muro norte (ventana 0.40 x 0.66, NCF 260.394). Como la CL queda del lado de Varones, su tapa se fija en +261.15 (piso de ese proyecto); el colector de Varones entrega 221.7 + 37.0 = 258.7 L/s.</t>
        </is>
      </c>
    </row>
    <row r="50">
      <c r="A50" s="5" t="inlineStr">
        <is>
          <t>2. Caudal del CAR Varones (258.7 L/s): dato de su memoria y base del colector receptor (560.7 L/s). La seccion de este tramo tiene capacidad para mas del doble del caudal de diseno con llenado del 85 % (ver fila del cuadro), de modo que una variacion de ese dato no compromete el tramo.</t>
        </is>
      </c>
    </row>
    <row r="51">
      <c r="A51" s="5" t="inlineStr">
        <is>
          <t>3. Capacidad portante: la presion transmitida (0.33 kg/cm2) es menor que 0.50 kg/cm2, valor minimo usual de suelos blandos; el EMS del proyecto, exigido por la norma E.050, la confirma.</t>
        </is>
      </c>
    </row>
    <row r="52">
      <c r="A52" s="5" t="inlineStr">
        <is>
          <t>4. Coordenadas UTM: obtenidas del registro R-01 del CAR Mujeres (CUI 2717013) y del rumbo del lindero (azimut 49.54); el trazo queda definido por su posicion fisica (eje a 0.575 m del cerco) y se replantea en obra desde ese cerco.</t>
        </is>
      </c>
    </row>
    <row r="53">
      <c r="A53" s="5" t="inlineStr">
        <is>
          <t>5. Cotas de fondo de las cunetas: tomadas del plano de arquitectura vigente (PLANTA GENERAL REFUGIO, 03-10-2026), perfiles 01 a 12; todas caen libremente al colector.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2026-10-20T17:43:24Z</dcterms:created>
  <dcterms:modified xmlns:dcterms="http://purl.org/dc/terms/" xmlns:xsi="http://www.w3.org/2001/XMLSchema-instance" xsi:type="dcterms:W3CDTF">2026-10-20T17:43:24Z</dcterms:modified>
</cp:coreProperties>
</file>