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  <sheet name="ACU JUNTA DILATACION" sheetId="27" state="visible" r:id="rId30"/>
    <sheet name="ACU JUNTA CERCO" sheetId="28" state="visible" r:id="rId31"/>
    <sheet name="DESAGREGADO LLORADEROS" sheetId="29" state="visible" r:id="rId32"/>
    <sheet name="COSTO HORA HOMBRE 2026" sheetId="30" state="visible" r:id="rId33"/>
    <sheet name="ACU LLORADEROS" sheetId="31" state="visible" r:id="rId34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<sst xmlns="http://schemas.openxmlformats.org/spreadsheetml/2006/main" count="3401" uniqueCount="1480">
  <si>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</si>
  <si>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</si>
  <si>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</si>
  <si>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</si>
  <si>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</si>
  <si>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</si>
  <si>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</si>
  <si>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</si>
  <si>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</si>
  <si>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</si>
  <si>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</si>
  <si>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</si>
  <si>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</si>
  <si>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</si>
  <si>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</si>
  <si>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</si>
  <si>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</si>
  <si>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</si>
  <si>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</si>
  <si>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</si>
  <si>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</si>
  <si>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</si>
  <si>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</si>
  <si>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</si>
  <si>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</si>
  <si>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</si>
  <si>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</si>
  <si>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</si>
  <si>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</si>
  <si>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</si>
  <si>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</si>
  <si>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</si>
  <si>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</si>
  <si>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</si>
  <si>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</si>
  <si>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</si>
  <si>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</si>
  <si>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</si>
  <si>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</si>
  <si>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</si>
  <si>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</si>
  <si>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</si>
  <si>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</si>
  <si>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</si>
  <si>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</si>
  <si>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</si>
  <si>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</si>
  <si>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</si>
  <si>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</si>
  <si>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</si>
  <si>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</si>
  <si>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</si>
  <si>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</si>
  <si>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</si>
  <si>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</si>
  <si>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</si>
  <si>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</si>
  <si>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</si>
  <si>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</si>
  <si>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</si>
  <si>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</si>
  <si>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</si>
  <si>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</si>
  <si>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</si>
  <si>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</si>
  <si>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</si>
  <si>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</si>
  <si>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</si>
  <si>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</si>
  <si>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</si>
  <si>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</si>
  <si>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</si>
  <si>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</si>
  <si>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</si>
  <si>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</si>
  <si>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</si>
  <si>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</si>
  <si>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</si>
  <si>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</si>
  <si>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</si>
  <si>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</si>
  <si>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</si>
  <si>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</si>
  <si>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</si>
  <si>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</si>
  <si>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</si>
  <si>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</si>
  <si>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</si>
  <si>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</si>
  <si>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</si>
  <si>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</si>
  <si>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</si>
  <si>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</si>
  <si>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</si>
  <si>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</si>
  <si>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</si>
  <si>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</si>
  <si>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</si>
  <si>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</si>
  <si>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</si>
  <si>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</si>
  <si>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</si>
  <si>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</si>
  <si>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</si>
  <si>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</si>
  <si>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</si>
  <si>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</si>
  <si>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</si>
  <si>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</si>
  <si>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</si>
  <si>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</si>
  <si>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</si>
  <si>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</si>
  <si>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</si>
  <si>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</si>
  <si>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</si>
  <si>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</si>
  <si>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</si>
  <si>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</si>
  <si>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</si>
  <si>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</si>
  <si>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</si>
  <si>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</si>
  <si>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</si>
  <si>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</si>
  <si>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</si>
  <si>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</si>
  <si>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</si>
  <si>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</si>
  <si>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</si>
  <si>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</si>
  <si>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</si>
  <si>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</si>
  <si>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</si>
  <si>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</si>
  <si>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</si>
  <si>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</si>
  <si>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</si>
  <si>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</si>
  <si>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</si>
  <si>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</si>
  <si>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</si>
  <si>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</si>
  <si>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</si>
  <si>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</si>
  <si>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</si>
  <si>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</si>
  <si>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</si>
  <si>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</si>
  <si>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</si>
  <si>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</si>
  <si>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</si>
  <si>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</si>
  <si>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</si>
  <si>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</si>
  <si>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</si>
  <si>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</si>
  <si>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</si>
  <si>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</si>
  <si>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</si>
  <si>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</si>
  <si>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</si>
  <si>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</si>
  <si>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</si>
  <si>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</si>
  <si>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</si>
  <si>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</si>
  <si>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</si>
  <si>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</si>
  <si>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</si>
  <si>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</si>
  <si>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</si>
  <si>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</si>
  <si>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</si>
  <si>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</si>
  <si>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</si>
  <si>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</si>
  <si>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</si>
  <si>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</si>
  <si>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</si>
  <si>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</si>
  <si>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</si>
  <si>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</si>
  <si>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</si>
  <si>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</si>
  <si>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</si>
  <si>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</si>
  <si>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</si>
  <si>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</si>
  <si>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</si>
  <si>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</si>
  <si>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</si>
  <si>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</si>
  <si>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</si>
  <si>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</si>
  <si>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</si>
  <si>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</si>
  <si>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</si>
  <si>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</si>
  <si>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</si>
  <si>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</si>
  <si>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</si>
  <si>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</si>
  <si>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</si>
  <si>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</si>
  <si>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</si>
  <si>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</si>
  <si>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</si>
  <si>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</si>
  <si>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</si>
  <si>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</si>
  <si>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</si>
  <si>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</si>
  <si>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</si>
  <si>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</si>
  <si>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</si>
  <si>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</si>
  <si>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</si>
  <si>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</si>
  <si>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</si>
  <si>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</si>
  <si>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</si>
  <si>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</si>
  <si>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</si>
  <si>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</si>
  <si>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</si>
  <si>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</si>
  <si>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</si>
  <si>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</si>
  <si>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</si>
  <si>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</si>
  <si>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</si>
  <si>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</si>
  <si>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</si>
  <si>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</si>
  <si>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</si>
  <si>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</si>
  <si>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</si>
  <si>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</si>
  <si>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</si>
  <si>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</si>
  <si>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</si>
  <si>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</si>
  <si>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</si>
  <si>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</si>
  <si>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</si>
  <si>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</si>
  <si>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</si>
  <si>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</si>
  <si>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</si>
  <si>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</si>
  <si>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</si>
  <si>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</si>
  <si>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</si>
  <si>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</si>
  <si>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</si>
  <si>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</si>
  <si>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</si>
  <si>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</si>
  <si>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</si>
  <si>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</si>
  <si>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</si>
  <si>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</si>
  <si>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</si>
  <si>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</si>
  <si>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</si>
  <si>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</si>
  <si>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</si>
  <si>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</si>
  <si>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</si>
  <si>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</si>
  <si>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</si>
  <si>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</si>
  <si>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</si>
  <si>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</si>
  <si>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</si>
  <si>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</si>
  <si>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</si>
  <si>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</si>
  <si>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</si>
  <si>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</si>
  <si>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</si>
  <si>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</si>
  <si>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</si>
  <si>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</si>
  <si>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</si>
  <si>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</si>
  <si>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</si>
  <si>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</si>
  <si>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</si>
  <si>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</si>
  <si>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</si>
  <si>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</si>
  <si>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</si>
  <si>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</si>
  <si>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</si>
  <si>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</si>
  <si>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</si>
  <si>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</si>
  <si>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</si>
  <si>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</si>
  <si>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</si>
  <si>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</si>
  <si>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</si>
  <si>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</si>
  <si>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</si>
  <si>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</si>
  <si>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</si>
  <si>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</si>
  <si>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</si>
  <si>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</si>
  <si>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</si>
  <si>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</si>
  <si>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</si>
  <si>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</si>
  <si>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</si>
  <si>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</si>
  <si>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</si>
  <si>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</si>
  <si>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</si>
  <si>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</si>
  <si>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</si>
  <si>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</si>
  <si>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</si>
  <si>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</si>
  <si>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</si>
  <si>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</si>
  <si>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</si>
  <si>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</si>
  <si>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</si>
  <si>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</si>
  <si>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</si>
  <si>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</si>
  <si>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</si>
  <si>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</si>
  <si>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</si>
  <si>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</si>
  <si>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</si>
  <si>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</si>
  <si>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</si>
  <si>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</si>
  <si>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</si>
  <si>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</si>
  <si>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</si>
  <si>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</si>
  <si>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</si>
  <si>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</si>
  <si>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</si>
  <si>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</si>
  <si>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</si>
  <si>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</si>
  <si>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</si>
  <si>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</si>
  <si>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</si>
  <si>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</si>
  <si>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</si>
  <si>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</si>
  <si>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</si>
  <si>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</si>
  <si>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</si>
  <si>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</si>
  <si>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</si>
  <si>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</si>
  <si>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</si>
  <si>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</si>
  <si>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</si>
  <si>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</si>
  <si>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</si>
  <si>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</si>
  <si>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</si>
  <si>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</si>
  <si>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</si>
  <si>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</si>
  <si>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</si>
  <si>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</si>
  <si>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</si>
  <si>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</si>
  <si>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</si>
  <si>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</si>
  <si>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</si>
  <si>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</si>
  <si>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</si>
  <si>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</si>
  <si>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</si>
  <si>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</si>
  <si>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</si>
  <si>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</si>
  <si>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</si>
  <si>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</si>
  <si>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</si>
  <si>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</si>
  <si>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</si>
  <si>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</si>
  <si>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</si>
  <si>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</si>
  <si>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</si>
  <si>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</si>
  <si>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</si>
  <si>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</si>
  <si>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</si>
  <si>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</si>
  <si>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</si>
  <si>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</si>
  <si>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</si>
  <si>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</si>
  <si>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</si>
  <si>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</si>
  <si>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</si>
  <si>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</si>
  <si>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</si>
  <si>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</si>
  <si>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</si>
  <si>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</si>
  <si>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</si>
  <si>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</si>
  <si>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</si>
  <si>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</si>
  <si>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</si>
  <si>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</si>
  <si>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</si>
  <si>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</si>
  <si>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</si>
  <si>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</si>
  <si>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</si>
  <si>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</si>
  <si>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</si>
  <si>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</si>
  <si>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</si>
  <si>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</si>
  <si>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</si>
  <si>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</si>
  <si>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</si>
  <si>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</si>
  <si>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</si>
  <si>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</si>
  <si>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</si>
  <si>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</si>
  <si>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</si>
  <si>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</si>
  <si>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</si>
  <si>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</si>
  <si>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</si>
  <si>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</si>
  <si>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</si>
  <si>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</si>
  <si>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</si>
  <si>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</si>
  <si>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</si>
  <si>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</si>
  <si>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</si>
  <si>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</si>
  <si>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</si>
  <si>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</si>
  <si>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</si>
  <si>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</si>
  <si>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</si>
  <si>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</si>
  <si>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</si>
  <si>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</si>
  <si>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</si>
  <si>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</si>
  <si>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</si>
  <si>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</si>
  <si>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</si>
  <si>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</si>
  <si>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</si>
  <si>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</si>
  <si>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</si>
  <si>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</si>
  <si>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</si>
  <si>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</si>
  <si>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</si>
  <si>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</si>
  <si>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</si>
  <si>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</si>
  <si>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</si>
  <si>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</si>
  <si>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</si>
  <si>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</si>
  <si>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</si>
  <si>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</si>
  <si>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</si>
  <si>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</si>
  <si>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</si>
  <si>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</si>
  <si>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</si>
  <si>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</si>
  <si>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</si>
  <si>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</si>
  <si>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</si>
  <si>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</si>
  <si>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</si>
  <si>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</si>
  <si>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</si>
  <si>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</si>
  <si>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</si>
  <si>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</si>
  <si>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</si>
  <si>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</si>
  <si>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</si>
  <si>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</si>
  <si>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</si>
  <si>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</si>
  <si>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</si>
  <si>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</si>
  <si>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</si>
  <si>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</si>
  <si>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</si>
  <si>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</si>
  <si>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</si>
  <si>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</si>
  <si>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</si>
  <si>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</si>
  <si>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</si>
  <si>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</si>
  <si>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</si>
  <si>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</si>
  <si>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</si>
  <si>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</si>
  <si>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</si>
  <si>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</si>
  <si>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</si>
  <si>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</si>
  <si>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</si>
  <si>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</si>
  <si>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</si>
  <si>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</si>
  <si>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</si>
  <si>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</si>
  <si>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</si>
  <si>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</si>
  <si>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</si>
  <si>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</si>
  <si>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</si>
  <si>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</si>
  <si>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</si>
  <si>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</si>
  <si>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</si>
  <si>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</si>
  <si>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</si>
  <si>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</si>
  <si>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</si>
  <si>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</si>
  <si>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</si>
  <si>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</si>
  <si>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</si>
  <si>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</si>
  <si>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</si>
  <si>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</si>
  <si>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</si>
  <si>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</si>
  <si>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</si>
  <si>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</si>
  <si>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</si>
  <si>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</si>
  <si>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</si>
  <si>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</si>
  <si>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</si>
  <si>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</si>
  <si>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</si>
  <si>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</si>
  <si>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</si>
  <si>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</si>
  <si>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</si>
  <si>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</si>
  <si>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</si>
  <si>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</si>
  <si>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</si>
  <si>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</si>
  <si>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</si>
  <si>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</si>
  <si>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</si>
  <si>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</si>
  <si>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</si>
  <si>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</si>
  <si>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</si>
  <si>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</si>
  <si>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</si>
  <si>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</si>
  <si>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</si>
  <si>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</si>
  <si>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</si>
  <si>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</si>
  <si>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</si>
  <si>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</si>
  <si>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</si>
  <si>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</si>
  <si>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</si>
  <si>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</si>
  <si>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</si>
  <si>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</si>
  <si>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</si>
  <si>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</si>
  <si>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</si>
  <si>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</si>
  <si>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</si>
  <si>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</si>
  <si>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</si>
  <si>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</si>
  <si>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</si>
  <si>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</si>
  <si>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</si>
  <si>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</si>
  <si>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</si>
  <si>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</si>
  <si>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</si>
  <si>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</si>
  <si>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</si>
  <si>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</si>
  <si>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</si>
  <si>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</si>
  <si>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</si>
  <si>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</si>
  <si>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</si>
  <si>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</si>
  <si>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</si>
  <si>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</si>
  <si>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</si>
  <si>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</si>
  <si>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</si>
  <si>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</si>
  <si>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</si>
  <si>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</si>
  <si>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</si>
  <si>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</si>
  <si>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</si>
  <si>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</si>
  <si>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</si>
  <si>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</si>
  <si>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</si>
  <si>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</si>
  <si>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</si>
  <si>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</si>
  <si>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</si>
  <si>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</si>
  <si>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</si>
  <si>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</si>
  <si>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</si>
  <si>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</si>
  <si>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</si>
  <si>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</si>
  <si>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</si>
  <si>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</si>
  <si>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</si>
  <si>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</si>
  <si>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</si>
  <si>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</si>
  <si>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</si>
  <si>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</si>
  <si>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</si>
  <si>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</si>
  <si>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</si>
  <si>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</si>
  <si>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</si>
  <si>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</si>
  <si>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</si>
  <si>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</si>
  <si>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</si>
  <si>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</si>
  <si>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</si>
  <si>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</si>
  <si>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</si>
  <si>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</si>
  <si>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</si>
  <si>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</si>
  <si>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</si>
  <si>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</si>
  <si>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</si>
  <si>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</si>
  <si>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</si>
  <si>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</si>
  <si>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</si>
  <si>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</si>
  <si>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</si>
  <si>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</si>
  <si>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</si>
  <si>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</si>
  <si>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</si>
  <si>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</si>
  <si>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</si>
  <si>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</si>
  <si>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</si>
  <si>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</si>
  <si>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</si>
  <si>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</si>
  <si>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</si>
  <si>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</si>
  <si>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</si>
  <si>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</si>
  <si>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</si>
  <si>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</si>
  <si>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</si>
  <si>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</si>
  <si>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</si>
  <si>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</si>
  <si>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</si>
  <si>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</si>
  <si>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</si>
  <si>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</si>
  <si>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</si>
  <si>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</si>
  <si>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</si>
  <si>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</si>
  <si>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</si>
  <si>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</si>
  <si>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</si>
  <si>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</si>
  <si>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</si>
  <si>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</si>
  <si>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</si>
  <si>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</si>
  <si>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</si>
  <si>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</si>
  <si>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</si>
  <si>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</si>
  <si>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</si>
  <si>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</si>
  <si>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</si>
  <si>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</si>
  <si>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</si>
  <si>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</si>
  <si>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</si>
  <si>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</si>
  <si>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</si>
  <si>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</si>
  <si>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</si>
  <si>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</si>
  <si>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</si>
  <si>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</si>
  <si>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</si>
  <si>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</si>
  <si>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</si>
  <si>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</si>
  <si>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</si>
  <si>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</si>
  <si>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</si>
  <si>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</si>
  <si>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</si>
  <si>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</si>
  <si>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</si>
  <si>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</si>
  <si>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</si>
  <si>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</si>
  <si>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</si>
  <si>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</si>
  <si>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</si>
  <si>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</si>
  <si>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</si>
  <si>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</si>
  <si>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</si>
  <si>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</si>
  <si>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</si>
  <si>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</si>
  <si>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</si>
  <si>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</si>
  <si>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</si>
  <si>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</si>
  <si>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</si>
  <si>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</si>
  <si>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</si>
  <si>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</si>
  <si>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</si>
  <si>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</si>
  <si>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</si>
  <si>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</si>
  <si>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</si>
  <si>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</si>
  <si>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</si>
  <si>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</si>
  <si>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</si>
  <si>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</si>
  <si>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</si>
  <si>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</si>
  <si>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</si>
  <si>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</si>
  <si>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</si>
  <si>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</si>
  <si>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</si>
  <si>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</si>
  <si>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</si>
  <si>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</si>
  <si>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</si>
  <si>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</si>
  <si>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</si>
  <si>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</si>
  <si>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</si>
  <si>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</si>
  <si>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</si>
  <si>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</si>
  <si>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</si>
  <si>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</si>
  <si>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</si>
  <si>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</si>
  <si>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</si>
  <si>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</si>
  <si>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</si>
  <si>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</si>
  <si>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</si>
  <si>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</si>
  <si>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</si>
  <si>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</si>
  <si>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</si>
  <si>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</si>
  <si>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</si>
  <si>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</si>
  <si>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</si>
  <si>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</si>
  <si>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</si>
  <si>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</si>
  <si>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</si>
  <si>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</si>
  <si>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</si>
  <si>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</si>
  <si>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</si>
  <si>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</si>
  <si>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</si>
  <si>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</si>
  <si>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</si>
  <si>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</si>
  <si>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</si>
  <si>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</si>
  <si>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</si>
  <si>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</si>
  <si>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</si>
  <si>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</si>
  <si>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</si>
  <si>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</si>
  <si>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</si>
  <si>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</si>
  <si>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</si>
  <si>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</si>
  <si>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</si>
  <si>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</si>
  <si>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</si>
  <si>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</si>
  <si>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</si>
  <si>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</si>
  <si>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</si>
  <si>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</si>
  <si>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</si>
  <si>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</si>
  <si>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</si>
  <si>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</si>
  <si>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</si>
  <si>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</si>
  <si>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</si>
  <si>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</si>
  <si>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</si>
  <si>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</si>
  <si>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</si>
  <si>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</si>
  <si>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</si>
  <si>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</si>
  <si>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</si>
  <si>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</si>
  <si>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</si>
  <si>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</si>
  <si>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</si>
  <si>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</si>
  <si>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</si>
  <si>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</si>
  <si>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</si>
  <si>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</si>
  <si>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</si>
  <si>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</si>
  <si>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</si>
  <si>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</si>
  <si>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</si>
  <si>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</si>
  <si>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</si>
  <si>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</si>
  <si>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</si>
  <si>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</si>
  <si>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</si>
  <si>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</si>
  <si>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</si>
  <si>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</si>
  <si>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</si>
  <si>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</si>
  <si>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</si>
  <si>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</si>
  <si>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</si>
  <si>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</si>
  <si>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</si>
  <si>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</si>
  <si>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</si>
  <si>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</si>
  <si>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</si>
  <si>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</si>
  <si>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</si>
  <si>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</si>
  <si>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</si>
  <si>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</si>
  <si>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</si>
  <si>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</si>
  <si>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</si>
  <si>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</si>
  <si>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</si>
  <si>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</si>
  <si>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</si>
  <si>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</si>
  <si>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</si>
  <si>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</si>
  <si>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</si>
  <si>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</si>
  <si>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</si>
  <si>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</si>
  <si>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</si>
  <si>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</si>
  <si>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</si>
  <si>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</si>
  <si>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</si>
  <si>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</si>
  <si>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</si>
  <si>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</si>
  <si>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</si>
  <si>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</si>
  <si>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</si>
  <si>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</si>
  <si>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</si>
  <si>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</si>
  <si>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</si>
  <si>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</si>
  <si>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</si>
  <si>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</si>
  <si>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</si>
  <si>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</si>
  <si>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</si>
  <si>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</si>
  <si>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</si>
  <si>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</si>
  <si>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</si>
  <si>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</si>
  <si>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</si>
  <si>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</si>
  <si>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</si>
  <si>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</si>
  <si>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</si>
  <si>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</si>
  <si>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</si>
  <si>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</si>
  <si>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</si>
  <si>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</si>
  <si>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</si>
  <si>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</si>
  <si>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</si>
  <si>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</si>
  <si>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</si>
  <si>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</si>
  <si>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</si>
  <si>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</si>
  <si>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</si>
  <si>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</si>
  <si>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</si>
  <si>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</si>
  <si>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</si>
  <si>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</si>
  <si>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</si>
  <si>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</si>
  <si>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</si>
  <si>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</si>
  <si>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</si>
  <si>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</si>
  <si>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</si>
  <si>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</si>
  <si>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</si>
  <si>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</si>
  <si>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</si>
  <si>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</si>
  <si>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</si>
  <si>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</si>
  <si>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</si>
  <si>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</si>
  <si>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</si>
  <si>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</si>
  <si>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</si>
  <si>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</si>
  <si>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</si>
  <si>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</si>
  <si>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</si>
  <si>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</si>
  <si>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</si>
  <si>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</si>
  <si>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</si>
  <si>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</si>
  <si>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</si>
  <si>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</si>
  <si>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</si>
  <si>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</si>
  <si>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</si>
  <si>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</si>
  <si>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</si>
  <si>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</si>
  <si>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</si>
  <si>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</si>
  <si>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</si>
  <si>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</si>
  <si>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</si>
  <si>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</si>
  <si>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</si>
  <si>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</si>
  <si>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</si>
  <si>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</si>
  <si>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</si>
  <si>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</si>
  <si>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</si>
  <si>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</si>
  <si>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</si>
  <si>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</si>
  <si>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</si>
  <si>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</si>
  <si>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</si>
  <si>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</si>
  <si>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</si>
  <si>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</si>
  <si>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</si>
  <si>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</si>
  <si>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</si>
  <si>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</si>
  <si>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</si>
  <si>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</si>
  <si>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</si>
  <si>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</si>
  <si>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</si>
  <si>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</si>
  <si>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</si>
  <si>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</si>
  <si>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</si>
  <si>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</si>
  <si>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</si>
  <si>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</si>
  <si>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</si>
  <si>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</si>
  <si>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</si>
  <si>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</si>
  <si>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</si>
  <si>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</si>
  <si>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</si>
  <si>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</si>
  <si>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</si>
  <si>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</si>
  <si>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</si>
  <si>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</si>
  <si>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</si>
  <si>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</si>
  <si>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</si>
  <si>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</si>
  <si>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</si>
  <si>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</si>
  <si>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</si>
  <si>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</si>
  <si>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</si>
  <si>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</si>
  <si>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</si>
  <si>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</si>
  <si>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</si>
  <si>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</si>
  <si>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</si>
  <si>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</si>
  <si>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</si>
  <si>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</si>
  <si>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</si>
  <si>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</si>
  <si>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</si>
  <si>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</si>
  <si>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</si>
  <si>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</si>
  <si>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</si>
  <si>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</si>
  <si>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</si>
  <si>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</si>
  <si>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</si>
  <si>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</si>
  <si>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</si>
  <si>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</si>
  <si>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</si>
  <si>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</si>
  <si>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</si>
  <si>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</si>
  <si>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</si>
  <si>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</si>
  <si>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</si>
  <si>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</si>
  <si>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</si>
  <si>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</si>
  <si>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</si>
  <si>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</si>
  <si>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</si>
  <si>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</si>
  <si>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</si>
  <si>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</si>
  <si>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</si>
  <si>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</si>
  <si>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</si>
  <si>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</si>
  <si>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</si>
  <si>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</si>
  <si>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</si>
  <si>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</si>
  <si>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</si>
  <si>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</si>
  <si>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</si>
  <si>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</si>
  <si>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</si>
  <si>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</si>
  <si>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</si>
  <si>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</si>
  <si>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</si>
  <si>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</si>
  <si>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</si>
  <si>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</si>
  <si>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</si>
  <si>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</si>
  <si>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</si>
  <si>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</si>
  <si>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</si>
  <si>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</si>
  <si>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</si>
  <si>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</si>
  <si>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</si>
  <si>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</si>
  <si>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</si>
  <si>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</si>
  <si>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</si>
  <si>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</si>
  <si>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</si>
  <si>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</si>
  <si>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</si>
  <si>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</si>
  <si>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</si>
  <si>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</si>
  <si>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</si>
  <si>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</si>
  <si>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</si>
  <si>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</si>
  <si>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</si>
  <si>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</si>
  <si>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</si>
  <si>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</si>
  <si>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</si>
  <si>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</si>
  <si>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</si>
  <si>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</si>
  <si>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</si>
  <si>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</si>
  <si>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</si>
  <si>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</si>
  <si>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</si>
  <si>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</si>
  <si>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</si>
  <si>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</si>
  <si>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</si>
  <si>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</si>
  <si>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</si>
  <si>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</si>
  <si>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</si>
  <si>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</si>
  <si>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</si>
  <si>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</si>
  <si>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</si>
  <si>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</si>
  <si>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</si>
  <si>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</si>
  <si>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</si>
  <si>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</si>
  <si>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</si>
  <si>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</si>
  <si>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</si>
  <si>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</si>
  <si>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</si>
  <si>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</si>
  <si>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</si>
  <si>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</si>
  <si>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</si>
  <si>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</si>
  <si>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</si>
  <si>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</si>
  <si>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</si>
  <si>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</si>
  <si>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</si>
  <si>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</si>
  <si>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</si>
  <si>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</si>
  <si>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</si>
  <si>
    <t xml:space="preserve">Perimetro del contramarco L 1 1/2"x1 1/2"x1/8" (4 x 0.70)</t>
  </si>
  <si>
    <t xml:space="preserve">Peso del angulo L 1 1/2"x1 1/2"x1/8" (contramarco)</t>
  </si>
  <si>
    <t xml:space="preserve">Peso del angulo L 1 1/2"x1 1/2"x1/8" (marco de tapa)</t>
  </si>
  <si>
    <t xml:space="preserve">Desarrollo pintado del angulo 1 1/2"x1 1/2" del contramarco (4 caras)</t>
  </si>
  <si>
    <t xml:space="preserve">Desarrollo pintado del angulo 1 1/2"x1 1/2" del marco de tapa (4 caras)</t>
  </si>
  <si>
    <t xml:space="preserve">Lamina DP-01 (ubicacion) y DP-06B (detalle): contramarco L 1 1/2"x1 1/2"x1/8" anclado a la losa, marco L 1 1/2"x1 1/2"x1/8" soldado a la tapa, tapa de concreto armado 0.68 x 0.68 x 0.08 con parrilla 3/8" @0.10 y asas; borde engrosado 0.15 x 0.10 alrededor de la abertura de 0.70 x 0.70.</t>
  </si>
  <si>
    <t xml:space="preserve">CONTRAMARCO METALICO L 1 1/2"x1 1/2"x1/8" CON ANCLAJES</t>
  </si>
  <si>
    <t xml:space="preserve">registros x (2.80 x 1.83 + 2.72 x 1.83)</t>
  </si>
  <si>
    <t xml:space="preserve">registros x (2.80 x 0.152 + 2.72 x 0.152)</t>
  </si>
  <si>
    <t xml:space="preserve">Contramarco: angulo L 1 1/2"x1 1/2"x1/8", 4 x 0.70 = 2.80 m x 1.83 kg/m</t>
  </si>
  <si>
    <t xml:space="preserve">Anticorrosivo y esmalte en angulos: 2.80 x 0.152 + 2.72 x 0.152</t>
  </si>
  <si>
    <t xml:space="preserve">Cada tapa incluye: contramarco L 1 1/2"x1 1/2"x1/8" con 8 anclajes, marco L 1 1/2"x1 1/2"x1/8", tapa de concreto armado 0.68 x 0.68 x 0.08 con parrilla y asas, refuerzo de borde y pintura</t>
  </si>
  <si>
    <t xml:space="preserve">Angulo L 1 1/2"x1 1/2"x1/8" (incluye corte y soldadura)</t>
  </si>
  <si>
    <t xml:space="preserve">Lija para fierro N° 80</t>
  </si>
  <si>
    <t xml:space="preserve">Thinner acrilico</t>
  </si>
  <si>
    <t xml:space="preserve">Contramarco metalico L 1 1/2"x1 1/2"x1/8" con anclajes</t>
  </si>
  <si>
    <t xml:space="preserve">2.80 x 1.83 + 2.72 x 1.83 = 10.10 kg por tapa</t>
  </si>
  <si>
    <t xml:space="preserve">2.80 x 0.152 + 2.72 x 0.152 = 0.84 m2 por tapa</t>
  </si>
  <si>
    <t xml:space="preserve">Contramarco 4 x 0.70 = 2.80 m x 1.83 kg/m; 5 % de desperdicio (COLECTOR INSUMOS)</t>
  </si>
  <si>
    <t xml:space="preserve">COLECTOR INSUMOS: 1 pliego cada 4 m2</t>
  </si>
  <si>
    <t xml:space="preserve">COLECTOR INSUMOS: 15 % del volumen de pintura (dilucion y limpieza)</t>
  </si>
  <si>
    <t xml:space="preserve">Sodimac Peru: barra de 6 m (10.98 kg) S/ 39.90 con IGV</t>
  </si>
  <si>
    <t xml:space="preserve">Sodimac Peru: caja de 5 kg S/ 109.90 con IGV</t>
  </si>
  <si>
    <t xml:space="preserve">Cemento Pacasmayo tipo I 42.5 kg: S/ 36.50 con IGV</t>
  </si>
  <si>
    <t xml:space="preserve">Agregados Tarapoto (Morales): S/ 48.00 el m3</t>
  </si>
  <si>
    <t xml:space="preserve">Por cotizar en Tarapoto: no hay precio publicado de la piedra de 1/2"</t>
  </si>
  <si>
    <t xml:space="preserve">EMAPA San Martin: tarifa comercial de 30 m3 a mas, agua 6.80 + alcantarillado 1.53</t>
  </si>
  <si>
    <t xml:space="preserve">Maderas del Norte: S/ 5.20 el p2 con IGV</t>
  </si>
  <si>
    <t xml:space="preserve">Sodimac Peru, Aceros Arequipa: 1/2" x 9 m S/ 36.50 y 3/8" x 9 m S/ 20.35 con IGV (ponderado)</t>
  </si>
  <si>
    <t xml:space="preserve">Sodimac Peru: rollo de 10 kg S/ 59.90 con IGV</t>
  </si>
  <si>
    <t xml:space="preserve">Promart: anticorrosivo Vencedor 1 gl S/ 53.00 con IGV</t>
  </si>
  <si>
    <t xml:space="preserve">Promart: esmalte sintetico CPP 1 gl S/ 57.00 con IGV</t>
  </si>
  <si>
    <t xml:space="preserve">Sodimac Peru: lija para fierro 3M grano 80 S/ 2.50 con IGV</t>
  </si>
  <si>
    <t xml:space="preserve">Sodimac Peru: thinner acrilico TOPEX 3.5 L S/ 38.90 con IGV</t>
  </si>
  <si>
    <t xml:space="preserve">Konstrutecnia: S/ 15.00 la hora-maquina con IGV</t>
  </si>
  <si>
    <t xml:space="preserve">Konstrutecnia: S/ 13.00 la hora-maquina con IGV</t>
  </si>
  <si>
    <t xml:space="preserve">Por cotizar en Tarapoto: no hay tarifa publicada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</si>
  <si>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 obtenidos de precios publicados (octubre 2026), con su fuente en la columna H; los marcados "por cotizar" deben confirmarse en Tarapoto.</t>
  </si>
  <si>
    <t xml:space="preserve">ANALISIS DE COSTO UNITARIO - JUNTA DE DILATACION E=1" CON TECNOPOR Y SELLADOR ASFALTICO EN COLECTOR</t>
  </si>
  <si>
    <t xml:space="preserve">Partida de Delphin 01.04.04.06.01 JUNTA DE DILATACION E=1" CON TECNOPOR Y SELLADOR ASFALTICO EN COLECTOR (metrado 01.04.04.06.01, hoja COLECTOR JUNTAS Y EMPALMES). Se mide por metro de junta a lo largo del perimetro de la seccion. Cantidades de la lamina DD-03: plancha de tecnopor de 1" en toda la seccion y sellador asfaltico 1" x 2" (asfalto liquido RC-250 + arena gruesa) en las caras interiores y en la cara superior (EG-2013 MTC, 510). Celda amarilla = dato; verde = formula. Precios sin IGV.</t>
  </si>
  <si>
    <t xml:space="preserve">1. CANTIDADES POR METRO DE JUNTA (lamina DD-03 y hoja COLECTOR JUNTAS Y EMPALMES)</t>
  </si>
  <si>
    <t xml:space="preserve">CONCEPTO</t>
  </si>
  <si>
    <t xml:space="preserve">Perimetro de la seccion en cada junta: 2 x 1.10 + 2 x (0.15 + 1.61 + 0.10)</t>
  </si>
  <si>
    <t xml:space="preserve">COLECTOR JUNTAS Y EMPALMES fila 11; DD-03 A</t>
  </si>
  <si>
    <t xml:space="preserve">Numero de juntas de dilatacion (cada 4.00 m)</t>
  </si>
  <si>
    <t xml:space="preserve">COLECTOR JUNTAS Y EMPALMES fila 11; DD-03 E</t>
  </si>
  <si>
    <t xml:space="preserve">Area de tecnopor por junta: seccion 1.10 x 1.86 menos el hueco 0.80 x 1.61</t>
  </si>
  <si>
    <t xml:space="preserve">DD-03, cuadro de componentes</t>
  </si>
  <si>
    <t xml:space="preserve">Tecnopor por metro de junta (area neta)</t>
  </si>
  <si>
    <t xml:space="preserve">formula</t>
  </si>
  <si>
    <t xml:space="preserve">Desperdicio por el corte del anillo en planchas de 1.20 x 2.40</t>
  </si>
  <si>
    <t xml:space="preserve">criterio: recortes del hueco interior y de las esquinas</t>
  </si>
  <si>
    <t xml:space="preserve">Area de una plancha de tecnopor 1" (1.20 x 2.40 m)</t>
  </si>
  <si>
    <t xml:space="preserve">medida comercial</t>
  </si>
  <si>
    <t xml:space="preserve">Planchas de tecnopor por metro de junta</t>
  </si>
  <si>
    <t xml:space="preserve">pln/m</t>
  </si>
  <si>
    <t xml:space="preserve">Longitud sellada por junta: caras interiores 2 x 1.61 + 0.80 y cara superior 1.10</t>
  </si>
  <si>
    <t xml:space="preserve">Seccion del sellador 1" x 2" (0.0254 x 0.0508)</t>
  </si>
  <si>
    <t xml:space="preserve">DD-03 B; EG-2013 510.02 c</t>
  </si>
  <si>
    <t xml:space="preserve">Mezcla de sellador por metro de junta</t>
  </si>
  <si>
    <t xml:space="preserve">m3/m</t>
  </si>
  <si>
    <t xml:space="preserve">Asfalto liquido RC-250 por m3 de mezcla</t>
  </si>
  <si>
    <t xml:space="preserve">gal/m3</t>
  </si>
  <si>
    <t xml:space="preserve">criterio: mezcla de ~2,000 kg/m3 con ~9 % de asfalto = 180 kg / 3.6 kg/gal</t>
  </si>
  <si>
    <t xml:space="preserve">Arena gruesa por m3 de mezcla</t>
  </si>
  <si>
    <t xml:space="preserve">m3/m3</t>
  </si>
  <si>
    <t xml:space="preserve">criterio: arena suelta con 5 % de desperdicio</t>
  </si>
  <si>
    <t xml:space="preserve">Operario por metro de junta (colocacion del tecnopor y sellado)</t>
  </si>
  <si>
    <t xml:space="preserve">hh/m</t>
  </si>
  <si>
    <t xml:space="preserve">COLECTOR INSUMOS fila 71</t>
  </si>
  <si>
    <t xml:space="preserve">Peon por metro de junta</t>
  </si>
  <si>
    <t xml:space="preserve">COLECTOR INSUMOS fila 72</t>
  </si>
  <si>
    <t xml:space="preserve">2. ANALISIS DE COSTO UNITARIO (formato Delphin)</t>
  </si>
  <si>
    <t xml:space="preserve">01.04.04.06.01 JUNTA DE DILATACION E=1" CON TECNOPOR Y SELLADOR ASFALTICO EN COLECTOR</t>
  </si>
  <si>
    <t xml:space="preserve">01.04.04.06.01 (hoja COLECTOR JUNTAS Y EMPALMES)</t>
  </si>
  <si>
    <t xml:space="preserve">Rendimiento (m/dia, cuadrilla de 1 operario)</t>
  </si>
  <si>
    <t xml:space="preserve">CANTIDAD POR M</t>
  </si>
  <si>
    <t xml:space="preserve">costo hora-hombre de la ACU TAPA REGISTRO</t>
  </si>
  <si>
    <t xml:space="preserve">Plancha de tecnopor 1" x 1.20 x 2.40 m</t>
  </si>
  <si>
    <t xml:space="preserve">pln</t>
  </si>
  <si>
    <t xml:space="preserve">Sodimac Peru: plancha de poliestireno expandido 1" x 1.20 x 2.40 m (Dipropor) S/ 13.90 con IGV</t>
  </si>
  <si>
    <t xml:space="preserve">Asfalto liquido RC-250</t>
  </si>
  <si>
    <t xml:space="preserve">Conselva: asfalto liquido RC-250 por galon S/ 17.70 con IGV (Petroperu publica su lista ex planta; confirmar en Tarapoto)</t>
  </si>
  <si>
    <t xml:space="preserve">precio de la ACU TAPA REGISTRO (Agregados Tarapoto, Morales)</t>
  </si>
  <si>
    <t xml:space="preserve">3 % del costo de mano de obra (incluye recipiente para calentar el asfalto)</t>
  </si>
  <si>
    <t xml:space="preserve">COSTO DIRECTO DE LA PARTIDA (metrado x costo unitario, S/)</t>
  </si>
  <si>
    <t xml:space="preserve">ANALISIS DE COSTO UNITARIO - JUNTA E=1" CON TECNOPOR Y SELLADOR ASFALTICO ENTRE COLECTOR Y CERCO PERIMETRICO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</si>
  <si>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adyacente, con sellador asfaltico 1" x 2" (RC-250 + arena) en la cara superior. Celda amarilla = dato; verde = formula. Precios sin IGV.</t>
  </si>
  <si>
    <t xml:space="preserve">Junta contra el cimiento del cerco (0+000.00 a 0+058.81)</t>
  </si>
  <si>
    <t xml:space="preserve">COLECTOR JUNTAS Y EMPALMES fila 15</t>
  </si>
  <si>
    <t xml:space="preserve">Altura de la plancha contra el cerco</t>
  </si>
  <si>
    <t xml:space="preserve">DD-03 C</t>
  </si>
  <si>
    <t xml:space="preserve">Junta en el borde de la losa con el piso adyacente (colector y cajas CL y CC)</t>
  </si>
  <si>
    <t xml:space="preserve">COLECTOR JUNTAS Y EMPALMES filas 16 a 18</t>
  </si>
  <si>
    <t xml:space="preserve">Altura de la plancha en el borde de la losa</t>
  </si>
  <si>
    <t xml:space="preserve">DD-03 D</t>
  </si>
  <si>
    <t xml:space="preserve">Longitud total de la partida</t>
  </si>
  <si>
    <t xml:space="preserve">COLECTOR JUNTAS Y EMPALMES fila 19</t>
  </si>
  <si>
    <t xml:space="preserve">Tecnopor por metro de junta (promedio ponderado)</t>
  </si>
  <si>
    <t xml:space="preserve">Desperdicio por el corte en tiras</t>
  </si>
  <si>
    <t xml:space="preserve">criterio</t>
  </si>
  <si>
    <t xml:space="preserve">Mezcla de sellador por metro de junta: 1" x 2" en la cara superior (0.0254 x 0.0508)</t>
  </si>
  <si>
    <t xml:space="preserve">DD-03 C y D; EG-2013 510.02 c</t>
  </si>
  <si>
    <t xml:space="preserve">Peon por metro de junta (corte y colocacion de las tiras)</t>
  </si>
  <si>
    <t xml:space="preserve">COLECTOR INSUMOS fila 74</t>
  </si>
  <si>
    <t xml:space="preserve">Operario por metro de junta (sellado)</t>
  </si>
  <si>
    <t xml:space="preserve">COLECTOR INSUMOS fila 76</t>
  </si>
  <si>
    <t xml:space="preserve">01.04.04.06.02 JUNTA E=1" CON TECNOPOR Y SELLADOR ASFALTICO ENTRE COLECTOR Y CERCO PERIMETRICO</t>
  </si>
  <si>
    <t xml:space="preserve">01.04.04.06.02 (hoja COLECTOR JUNTAS Y EMPALMES)</t>
  </si>
  <si>
    <t xml:space="preserve">Rendimiento (m/dia, operario de sellado)</t>
  </si>
  <si>
    <t xml:space="preserve">DESAGREGADO DE LA PARTIDA 01.04.03.04.03.04 - LLORADERO DE TUBERIA PVC Ø3" C/FILTRO DE GRAVA Y GEOTEXTIL @1.50 m</t>
  </si>
  <si>
    <t xml:space="preserve">La partida se mide por unidad de lloradero. A: ubicacion y numero, de la hoja METRADO LLORADEROS (muros de cuneta colindantes con area verde, medidos en la planta general de drenaje; un lloradero cada 1.50 m). B: componentes de un lloradero segun las laminas DL-01 y DL-02 (tubo PVC-U Ø 3" de 0.30 m con 8 perforaciones Ø 3/8", filtro de grava de 0.30 x 0.30 x 0.30 m forrado con geotextil no tejido) por el numero de lloraderos. Celda amarilla = dato; verde = formula.</t>
  </si>
  <si>
    <t xml:space="preserve">A. UBICACION Y NUMERO DE LLORADEROS (hoja METRADO LLORADEROS)</t>
  </si>
  <si>
    <t xml:space="preserve">EJE Y TRAMO (progresivas de la cuneta)</t>
  </si>
  <si>
    <t xml:space="preserve">LONGITUD JUNTO A AREA VERDE (m)</t>
  </si>
  <si>
    <t xml:space="preserve">ESPACIAM. (m)</t>
  </si>
  <si>
    <t xml:space="preserve">planta general de drenaje; N° = REDONDEAR.MAS(L / 1.50)</t>
  </si>
  <si>
    <t xml:space="preserve">TOTAL (und de la partida)</t>
  </si>
  <si>
    <t xml:space="preserve">B. DATOS DEL DETALLE (laminas DL-01 y DL-02)</t>
  </si>
  <si>
    <t xml:space="preserve">Lado del filtro localizado (cubo de grava forrado con geotextil)</t>
  </si>
  <si>
    <t xml:space="preserve">DL-02 A: filtro 0.30 x 0.30 x 0.30 m</t>
  </si>
  <si>
    <t xml:space="preserve">Longitud del tubo PVC-U Ø 3" por lloradero</t>
  </si>
  <si>
    <t xml:space="preserve">DL-02 B: 0.10 en el muro + 0.20 perforado dentro del filtro</t>
  </si>
  <si>
    <t xml:space="preserve">Perforaciones Ø 3/8" por fila</t>
  </si>
  <si>
    <t xml:space="preserve">DL-02 B: 4 perforaciones @0.05 por fila</t>
  </si>
  <si>
    <t xml:space="preserve">Filas de perforaciones</t>
  </si>
  <si>
    <t xml:space="preserve">DL-02 B: 2 filas a 120 grados, simetricas respecto al fondo</t>
  </si>
  <si>
    <t xml:space="preserve">Desperdicio de grava (acomodo y perdidas)</t>
  </si>
  <si>
    <t xml:space="preserve">criterio de obra</t>
  </si>
  <si>
    <t xml:space="preserve">Traslapes del geotextil</t>
  </si>
  <si>
    <t xml:space="preserve">DL-01 etapa 3: traslape de 0.10 m al cerrar el filtro</t>
  </si>
  <si>
    <t xml:space="preserve">Mortero 1:3 de sellado alrededor del tubo</t>
  </si>
  <si>
    <t xml:space="preserve">anillo de 0.02 m en las dos caras del muro (DL-02)</t>
  </si>
  <si>
    <t xml:space="preserve">C. COMPONENTES DE UN LLORADERO Y TOTAL DE LA PARTIDA</t>
  </si>
  <si>
    <t xml:space="preserve">POR LLORADERO</t>
  </si>
  <si>
    <t xml:space="preserve">N° LLORADEROS</t>
  </si>
  <si>
    <t xml:space="preserve">Tubo PVC-U Ø 3" para desague (NTP 399.003)</t>
  </si>
  <si>
    <t xml:space="preserve">DL-02 B; sale de tubos de 3 m (10 lloraderos por tubo)</t>
  </si>
  <si>
    <t xml:space="preserve">Perforaciones Ø 3/8" en el tramo dentro del filtro</t>
  </si>
  <si>
    <t xml:space="preserve">DL-02 B</t>
  </si>
  <si>
    <t xml:space="preserve">Excavacion local del hueco del filtro (lado^3)</t>
  </si>
  <si>
    <t xml:space="preserve">DL-01 etapa 1; incluida en la mano de obra del ACU</t>
  </si>
  <si>
    <t xml:space="preserve">Grava filtrante (ripio) 20 a 40 mm: lado^3 + desperdicio</t>
  </si>
  <si>
    <t xml:space="preserve">DL-01 etapa 2; DL-02 A</t>
  </si>
  <si>
    <t xml:space="preserve">Geotextil no tejido clase 2: 6 caras del cubo + traslapes</t>
  </si>
  <si>
    <t xml:space="preserve">DL-01 etapa 3; DL-02 A</t>
  </si>
  <si>
    <t xml:space="preserve">DL-02</t>
  </si>
  <si>
    <t xml:space="preserve">D. CONTROL CON EL RESUMEN</t>
  </si>
  <si>
    <t xml:space="preserve">RESUMEN</t>
  </si>
  <si>
    <t xml:space="preserve">01.04.03.04.03.04 LLORADERO DE TUBERIA PVC Ø3" C/FILTRO DE GRAVA Y GEOTEXTIL @1.50 m</t>
  </si>
  <si>
    <t xml:space="preserve">Borde de la losa con el piso adyacente: colector (un lado, lado via; al lado predio esta el cerco)</t>
  </si>
  <si>
    <t xml:space="preserve">DP-04 y DD-03 D: junta de tecnopor en el borde de la losa superior, lado via</t>
  </si>
  <si>
    <t xml:space="preserve">Borde de la losa con el piso adyacente: caja CL (un lado, lado via)</t>
  </si>
  <si>
    <t xml:space="preserve">1 x (largo exterior + 0.30)</t>
  </si>
  <si>
    <t xml:space="preserve">Borde de la losa con el piso adyacente: caja CC (un lado, lado via)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</si>
  <si>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 (un solo lado, lado via). Empalme de cada cuneta por ventana en el muro lado predio con caida libre al fondo (sin dintel adicional).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</si>
  <si>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 (un solo lado, lado via), con sellador asfaltico 1" x 2" (RC-250 + arena) en la cara superior. Celda amarilla = dato; verde = formula. Precios sin IGV.</t>
  </si>
  <si>
    <t xml:space="preserve">Junta en el borde de la losa con el piso adyacente, un lado (colector y cajas CL y CC)</t>
  </si>
  <si>
    <t xml:space="preserve">PLANILLA DE METRADOS - JUNTA DE DILATACIÓN E=1" (0.0254 m) CON SELLADOR ASFÁLTICO EN CUNETAS: TODA LA SECCIÓN (2 MUROS + LOSA DE FONDO)</t>
  </si>
  <si>
    <t xml:space="preserve">Ancho interior del fondo de la cuneta (m): la junta cruza también la losa de fondo</t>
  </si>
  <si>
    <t xml:space="preserve">LONG. POR
JUNTA (m)
2 muros + fondo</t>
  </si>
  <si>
    <t xml:space="preserve">NOTAS:</t>
  </si>
  <si>
    <t xml:space="preserve">1. EG-2013 MTC, Seccion 510 (cunetas revestidas de concreto): la junta corta toda la seccion en U, es decir los dos muros y la losa de fondo, para que cada pano de 3.00 m trabaje independiente.</t>
  </si>
  <si>
    <t xml:space="preserve">2. Longitud por junta = 2 x altura del muro (area del muro / longitud del eje, hoja CONCRETO EN CUNETAS) + ancho interior del fondo 0.40 m.</t>
  </si>
  <si>
    <t xml:space="preserve">3. Junta e = 1" (0.0254 m): tecnopor de 1" en todo el espesor y sellador asfaltico (RC-250 + arena) en la cara interior; se mide en metros lineales de junta sellada. Detalle en la lamina DJ-01.</t>
  </si>
  <si>
    <t xml:space="preserve">COSTO DE LA HORA-HOMBRE 2026 - REGIMEN DE CONSTRUCCION CIVIL</t>
  </si>
  <si>
    <t xml:space="preserve">Costo de la hora-hombre que usan todas las ACU de la planilla. Jornal basico 2026: R.M. 197-2025-TR (convenio CAPECO - FTCCP). El costo hora-hombre de CAPECO (jornal + leyes y beneficios sociales + BUC + movilidad + ropa de trabajo) se lleva al jornal 2026 con la misma estructura: costo 2026 = costo 2024-2025 x jornal 2026 / jornal 2024-2025. Celda amarilla = dato; verde = formula. Cuando CAPECO publique la tabla 2026 se cambian solo las celdas amarillas.</t>
  </si>
  <si>
    <t xml:space="preserve">1. COSTO HORA-HOMBRE POR CATEGORIA (S/ por hora)</t>
  </si>
  <si>
    <t xml:space="preserve">CATEGORIA</t>
  </si>
  <si>
    <t xml:space="preserve">JORNAL BASICO 2024-2025 (S/ dia)</t>
  </si>
  <si>
    <t xml:space="preserve">COSTO HH CAPECO 2024-2025</t>
  </si>
  <si>
    <t xml:space="preserve">FACTOR HH / JORNAL</t>
  </si>
  <si>
    <t xml:space="preserve">JORNAL BASICO 2026 (S/ dia)</t>
  </si>
  <si>
    <t xml:space="preserve">COSTO HH 2026 (S/ hh)</t>
  </si>
  <si>
    <t xml:space="preserve">FUENTE</t>
  </si>
  <si>
    <t xml:space="preserve">jornal: R.M. 197-2025-TR (El Peruano, 19/12/2025) y tabla salarial 2026 FTCCP: jornal basico desde el 01/01/2026. Costo HH: CAPECO: tabla de costo hora-hombre pliego 2024-2025 (jornales 86.80 / 68.10 / 61.30)</t>
  </si>
  <si>
    <t xml:space="preserve">2. COMPONENTES QUE INCLUYE EL COSTO HORA-HOMBRE (estructura CAPECO)</t>
  </si>
  <si>
    <t xml:space="preserve">Jornal basico por 8 horas de labor (operario, oficial y peon).</t>
  </si>
  <si>
    <t xml:space="preserve">Leyes y beneficios sociales sobre el jornal basico (descanso dominical, feriados, vacaciones, gratificaciones, CTS, ESSALUD y otros), segun la tabla CAPECO.</t>
  </si>
  <si>
    <t xml:space="preserve">Bonificacion unificada de construccion (BUC): 32 % del jornal del operario y 30 % del oficial y del peon.</t>
  </si>
  <si>
    <t xml:space="preserve">Bonificacion por movilidad acumulada (S/ 8.60 por dia en la tabla FTCCP 2026) y ropa de trabajo.</t>
  </si>
  <si>
    <t xml:space="preserve">No incluye horas extras, trabajo en altura ni bonificacion por alta especializacion (no se usan en estas partidas).</t>
  </si>
  <si>
    <t xml:space="preserve">hoja COSTO HORA HOMBRE 2026 (CAPECO, jornal R.M. 197-2025-TR)</t>
  </si>
  <si>
    <t xml:space="preserve">ANALISIS DE COSTO UNITARIO - LLORADERO DE TUBERIA PVC Ø3" C/FILTRO DE GRAVA Y GEOTEXTIL @1.50 m</t>
  </si>
  <si>
    <t xml:space="preserve">Partida de Delphin 01.04.03.04.03.04 LLORADERO DE TUBERIA PVC Ø3" C/FILTRO DE GRAVA Y GEOTEXTIL @1.50 m (CUNETA COLINDANTE CON AREA VERDE) (metrado: hojas METRADO LLORADEROS y DESAGREGADO LLORADEROS). Cantidades por lloradero de las laminas DL-01 y DL-02: tubo PVC-U Ø 3" de 0.30 m con 8 perforaciones Ø 3/8", filtro de grava de 0.30 x 0.30 x 0.30 m forrado con geotextil no tejido y mortero 1:3 de sellado. Mano de obra de la hoja COSTO HORA HOMBRE 2026. Celda amarilla = dato; verde = formula. Precios sin IGV.</t>
  </si>
  <si>
    <t xml:space="preserve">1. CANTIDADES POR LLORADERO (hoja DESAGREGADO LLORADEROS)</t>
  </si>
  <si>
    <t xml:space="preserve">Numero de lloraderos de la partida</t>
  </si>
  <si>
    <t xml:space="preserve">DESAGREGADO LLORADEROS fila 23</t>
  </si>
  <si>
    <t xml:space="preserve">Tubo PVC-U Ø 3" por lloradero</t>
  </si>
  <si>
    <t xml:space="preserve">DESAGREGADO LLORADEROS fila 37 (DL-02 B)</t>
  </si>
  <si>
    <t xml:space="preserve">Desperdicio del tubo (corte de 10 piezas por tubo de 3 m)</t>
  </si>
  <si>
    <t xml:space="preserve">Grava filtrante por lloradero (incluye 10 % de desperdicio)</t>
  </si>
  <si>
    <t xml:space="preserve">DESAGREGADO LLORADEROS fila 40 (DL-02 A)</t>
  </si>
  <si>
    <t xml:space="preserve">Geotextil por lloradero (6 caras + 10 % de traslapes)</t>
  </si>
  <si>
    <t xml:space="preserve">DESAGREGADO LLORADEROS fila 41 (DL-01 etapa 3)</t>
  </si>
  <si>
    <t xml:space="preserve">Desperdicio del geotextil (corte del rollo)</t>
  </si>
  <si>
    <t xml:space="preserve">DESAGREGADO LLORADEROS fila 42 (DL-02)</t>
  </si>
  <si>
    <t xml:space="preserve">Cemento por m3 de mortero 1:3</t>
  </si>
  <si>
    <t xml:space="preserve">bol/m3</t>
  </si>
  <si>
    <t xml:space="preserve">dosificacion usual del mortero 1:3</t>
  </si>
  <si>
    <t xml:space="preserve">Arena gruesa por m3 de mortero 1:3</t>
  </si>
  <si>
    <t xml:space="preserve">arena suelta con 5 % de desperdicio</t>
  </si>
  <si>
    <t xml:space="preserve">Agua por m3 de mortero 1:3</t>
  </si>
  <si>
    <t xml:space="preserve">Rendimiento de la cuadrilla</t>
  </si>
  <si>
    <t xml:space="preserve">und/dia</t>
  </si>
  <si>
    <t xml:space="preserve">excavacion local de 0.027 m3, forrado, grava y cierre; el tubo se deja al vaciar el muro</t>
  </si>
  <si>
    <t xml:space="preserve">Operarios en la cuadrilla</t>
  </si>
  <si>
    <t xml:space="preserve">colocacion del tubo, sellado y control</t>
  </si>
  <si>
    <t xml:space="preserve">Peones en la cuadrilla</t>
  </si>
  <si>
    <t xml:space="preserve">excavacion, grava y relleno</t>
  </si>
  <si>
    <t xml:space="preserve">01.04.03.04.03.04 LLORADERO DE TUBERIA PVC Ø3" C/FILTRO DE GRAVA Y GEOTEXTIL @1.50 m (CUNETA COLINDANTE CON AREA VERDE)</t>
  </si>
  <si>
    <t xml:space="preserve">01.04.03.04.03.04 (hojas METRADO LLORADEROS y DESAGREGADO LLORADEROS)</t>
  </si>
  <si>
    <t xml:space="preserve">Rendimiento (und/dia, cuadrilla 0.5 operario + 1 peon)</t>
  </si>
  <si>
    <t xml:space="preserve">CANTIDAD POR UND</t>
  </si>
  <si>
    <t xml:space="preserve">Tubo PVC-U Ø 3" desague (NTP 399.003)</t>
  </si>
  <si>
    <t xml:space="preserve">Sodimac Peru y Promart: tubo desague PVC 3" x 3 m liviano Pavco S/ 39.90 con IGV (S/ 11.27 el m sin IGV)</t>
  </si>
  <si>
    <t xml:space="preserve">Grava filtrante 20 a 40 mm</t>
  </si>
  <si>
    <t xml:space="preserve">Agregados Tarapoto (Morales): piedra chancada 3/4" S/ 70.00 el m3 puesto en obra (precio publicado mas cercano a la grava 20 a 40 mm)</t>
  </si>
  <si>
    <t xml:space="preserve">Geotextil no tejido 200 g/m2</t>
  </si>
  <si>
    <t xml:space="preserve">Ferropolis Peru: geotextil no tejido 200 g/m2, rollo de 4 x 100 m S/ 2,300.00 (S/ 5.75 el m2 con IGV)</t>
  </si>
  <si>
    <t xml:space="preserve">precio de la ACU TAPA REGISTRO (Cemento Pacasmayo tipo I S/ 36.50 con IGV)</t>
  </si>
  <si>
    <t xml:space="preserve">precio de la ACU TAPA REGISTRO (EMAPA San Martin)</t>
  </si>
  <si>
    <t xml:space="preserve">3 % del costo de mano de obra (pala, pico, barreta, sierra para PVC y taladro para las perforaciones)</t>
  </si>
  <si>
    <t xml:space="preserve">1. EG-2013 MTC, Seccion 510 (cunetas revestidas de concreto): la junta corta toda la seccion en U, es decir los dos muros y la losa de fondo, para que cada paño de 3.00 m trabaje independiente.</t>
  </si>
  <si>
    <t xml:space="preserve">Ancho interior del fondo (m)</t>
  </si>
  <si>
    <t xml:space="preserve">JORNAL 2024-2025 (S/ dia)</t>
  </si>
  <si>
    <t xml:space="preserve">Jornal 2026: R.M. 197-2025-TR (FTCCP). Costo HH: tabla CAPECO 2024-2025</t>
  </si>
  <si>
    <t xml:space="preserve">COSTO DE LA HORA-HOMBRE 2026 - REGIMEN DE CONSTRUCCION CIVIL (TABLA OFICIAL CAPECO - FTCCP)</t>
  </si>
  <si>
    <t xml:space="preserve">Costo de la hora-hombre en edificacion del 01.01.2026 al 31.12.2026, segun la tabla oficial elaborada entre CAPECO y la FTCCP (Remuneracion y condiciones de trabajo en construccion civil 2026, Acta final de negociacion colectiva, Exp. N° 339-2025-MTPE/2.14-NC). El resumen de la parte 1 es el que usan todas las ACU de la planilla. Celda amarilla = dato de la tabla oficial; verde = formula.</t>
  </si>
  <si>
    <t xml:space="preserve">1. COSTO HORA-HOMBRE 2026 POR CATEGORIA (lo usan todas las ACU)</t>
  </si>
  <si>
    <t xml:space="preserve">JORNAL BASICO (S/ dia)</t>
  </si>
  <si>
    <t xml:space="preserve">TOTAL POR DIA DE 8 h (S/)</t>
  </si>
  <si>
    <t xml:space="preserve">Tabla oficial CAPECO - FTCCP 2026 (Exp. N° 339-2025-MTPE/2.14-NC)</t>
  </si>
  <si>
    <t xml:space="preserve">2. COSTO HORA-HOMBRE EN EDIFICACION DEL 01.01.2026 AL 31.12.2026</t>
  </si>
  <si>
    <t xml:space="preserve">BASE</t>
  </si>
  <si>
    <t xml:space="preserve">OPERARIO</t>
  </si>
  <si>
    <t xml:space="preserve">OFICIAL</t>
  </si>
  <si>
    <t xml:space="preserve">PEON</t>
  </si>
  <si>
    <t xml:space="preserve">Remuneracion basica del 01/01/2026 al 31/12/2026</t>
  </si>
  <si>
    <t xml:space="preserve">jornal</t>
  </si>
  <si>
    <t xml:space="preserve">R.M. 197-2025-TR; tabla oficial CAPECO - FTCCP 2026</t>
  </si>
  <si>
    <t xml:space="preserve">Beneficios y leyes sociales sobre el jornal basico (%)</t>
  </si>
  <si>
    <t xml:space="preserve">parte 3: 112.20 % sobre el jornal basico</t>
  </si>
  <si>
    <t xml:space="preserve">Bonificacion unificada de construccion (BUC)</t>
  </si>
  <si>
    <t xml:space="preserve">32/30/30 %</t>
  </si>
  <si>
    <t xml:space="preserve">32 % operario; 30 % oficial y peon</t>
  </si>
  <si>
    <t xml:space="preserve">Beneficios y leyes sociales sobre el BUC (%)</t>
  </si>
  <si>
    <t xml:space="preserve">parte 3: 12.25 % sobre el BUC</t>
  </si>
  <si>
    <t xml:space="preserve">Seguro de vida ESSALUD + Vida (S/ 5.00 por mes)</t>
  </si>
  <si>
    <t xml:space="preserve">dia</t>
  </si>
  <si>
    <t xml:space="preserve">tabla oficial</t>
  </si>
  <si>
    <t xml:space="preserve">Fondo de capacitacion (Exp. N° 339-2025-MTPE/2.14-NC)</t>
  </si>
  <si>
    <t xml:space="preserve">Bonificacion por movilidad (R.M. N° 139-2024-TR)</t>
  </si>
  <si>
    <t xml:space="preserve">S/ 8.60 por dia laborado en todo el pais</t>
  </si>
  <si>
    <t xml:space="preserve">Overol (R.D. N° 777-87-DR-LIM): (2 x S/ 132.80) / 300</t>
  </si>
  <si>
    <t xml:space="preserve">Total por dia de 8 horas (S/)</t>
  </si>
  <si>
    <t xml:space="preserve">Costo de la hora-hombre (S/ hh)</t>
  </si>
  <si>
    <t xml:space="preserve">total por dia / 8 horas</t>
  </si>
  <si>
    <t xml:space="preserve">3. PORCENTAJES DE BENEFICIOS Y LEYES SOCIALES EN EDIFICACION (tabla oficial CAPECO - FTCCP 2026)</t>
  </si>
  <si>
    <t xml:space="preserve">SOBRE JORNAL BASICO (%)</t>
  </si>
  <si>
    <t xml:space="preserve">SOBRE BUC (%)</t>
  </si>
  <si>
    <t xml:space="preserve">1.01 Indemnizacion por tiempo de servicios</t>
  </si>
  <si>
    <t xml:space="preserve">1.01 Indemnizacion por participacion de utilidades</t>
  </si>
  <si>
    <t xml:space="preserve">1.02 SCTR: prestaciones asistenciales (Ley 26790)</t>
  </si>
  <si>
    <t xml:space="preserve">1.02 SCTR: prestaciones economicas</t>
  </si>
  <si>
    <t xml:space="preserve">1.04 Regimen de prestaciones de salud (ESSALUD)</t>
  </si>
  <si>
    <t xml:space="preserve">1.05 Seguro de vida ley</t>
  </si>
  <si>
    <t xml:space="preserve">2.01 Salario dominical</t>
  </si>
  <si>
    <t xml:space="preserve">2.02 Vacaciones record (30 dias)</t>
  </si>
  <si>
    <t xml:space="preserve">2.03 Gratificacion por Fiestas Patrias y Navidad</t>
  </si>
  <si>
    <t xml:space="preserve">2.04 Jornales por dias feriados no laborables</t>
  </si>
  <si>
    <t xml:space="preserve">2.05 Asignacion escolar (promedio 3 hijos)</t>
  </si>
  <si>
    <t xml:space="preserve">3.01 ESSALUD sobre salario dominical (9 % de 17.58 %)</t>
  </si>
  <si>
    <t xml:space="preserve">3.02 ESSALUD sobre vacaciones (9 % de 10.00 %)</t>
  </si>
  <si>
    <t xml:space="preserve">3.03 ESSALUD sobre feriados (9 % de 4.33 %)</t>
  </si>
  <si>
    <t xml:space="preserve">4.01 SCTR sobre salario dominical (2.35 % de 17.58 %)</t>
  </si>
  <si>
    <t xml:space="preserve">4.02 SCTR sobre vacaciones (2.35 % de 10.00 %)</t>
  </si>
  <si>
    <t xml:space="preserve">4.03 SCTR sobre feriados (2.35 % de 4.33 %)</t>
  </si>
  <si>
    <t xml:space="preserve">5.01 Seguro de vida ley sobre salario dominical (0.90 % de 17.58 %)</t>
  </si>
  <si>
    <t xml:space="preserve">5.02 Seguro de vida ley sobre feriados (0.90 % de 4.33 %)</t>
  </si>
  <si>
    <t xml:space="preserve">6.01 Bonificacion extraordinaria Ley 30334 (9 % de 22.22 %)</t>
  </si>
  <si>
    <t xml:space="preserve">PORCENTAJE TOTAL DE LEYES Y BENEFICIOS SOCIALES</t>
  </si>
  <si>
    <t xml:space="preserve">112.20 % y 12.25 %</t>
  </si>
  <si>
    <t xml:space="preserve">hoja COSTO HORA HOMBRE 2026 (tabla oficial CAPECO - FTCCP 2026)</t>
  </si>
  <si>
    <t xml:space="preserve">Lamina DP-01 (nota 5), DP-03, DP-06C y DD-03. Junta de dilatacion de 1" cada 4.00 m en todo el perimetro de la seccion (tecnopor de 1" en todo el perimetro + sellador asfaltico RC-250 con arena de 1" x 2" en la cara expuesta, EG-2013 MTC). Junta longitudinal de tecnopor de 1" con sellador asfaltico entre el muro del colector y el cimiento del cerco, en todo el tramo pegado al cerco; al otro lado hay terreno natural (sin vereda ni piso) y no lleva junta. Empalme de cada cuneta por ventana en el muro lado predio con caida libre al fondo (sin dintel adicional).</t>
  </si>
  <si>
    <t xml:space="preserve">Junta longitudinal contra el cimiento del cerco (tramo pegado al cerco, 0+000 al primer quiebre)</t>
  </si>
  <si>
    <t xml:space="preserve">DP-01, DP-04 y DD-03 C: junta entre el muro lado predio y el cimiento del cerco (h = 0.90)</t>
  </si>
  <si>
    <t xml:space="preserve">Lado opuesto al cerco (colector y cajas CL y CC): terreno natural, sin vereda ni piso: no lleva junta</t>
  </si>
  <si>
    <t xml:space="preserve">DP-04 y DD-03 D</t>
  </si>
  <si>
    <t xml:space="preserve">TOTAL JUNTA LONGITUDINAL CON EL CERCO (m)</t>
  </si>
  <si>
    <t xml:space="preserve">Partida de Delphin 01.04.04.06.02 JUNTA E=1" CON TECNOPOR Y SELLADOR ASFALTICO ENTRE COLECTOR Y CERCO PERIMETRICO (metrado 01.04.04.06.02, hoja COLECTOR JUNTAS Y EMPALMES). Cantidades de la lamina DD-03: junta longitudinal con plancha de tecnopor de 1" de 0.90 m de altura contra el cimiento del cerco, en todo el tramo pegado al cerco, con sellador asfaltico 1" x 2" (RC-250 + arena) en la cara superior. Al otro lado hay terreno natural: no lleva junta. Celda amarilla = dato; verde = formula. Precios sin IGV.</t>
  </si>
  <si>
    <t xml:space="preserve">Lado opuesto al cerco: terreno natural, sin junta</t>
  </si>
  <si>
    <t xml:space="preserve">Altura de plancha en el lado opuesto (no aplica)</t>
  </si>
  <si>
    <t xml:space="preserve">COLECTOR JUNTAS Y EMPALMES fila 16 (0 m)</t>
  </si>
  <si>
    <t xml:space="preserve">DD-03 B; EG-2013 MTC, Seccion 510</t>
  </si>
  <si>
    <t xml:space="preserve">DD-03 C; EG-2013 MTC, Seccion 510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</si>
</sst>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17.0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335.159543966302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157.0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52.0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884.0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40.0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52.0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30.0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24.0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4.0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162.0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90.0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70.0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58.3136159999999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10.0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58.805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17.0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335.159543966302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157.0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884.0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40.0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52.0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30.0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24.0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4.0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162.0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90.0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70.0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0.0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58.3136159999999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2.91449999999992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10.0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7.0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1.0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2.0</v>
      </c>
      <c r="K316" s="27"/>
      <c r="L316" s="26"/>
    </row>
    <row r="317" customFormat="false" ht="46.5" hidden="false" customHeight="true" outlineLevel="0" collapsed="false">
      <c r="A317" s="26"/>
      <c r="B317" s="26" t="s">
        <v>1195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101.02 kg; concreto 0.37 m3; acero 173.38 kg; pintura 8.39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58.805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0.0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0.0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0.0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0.0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0.0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0.0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0.0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0.0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0.0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0.0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0.0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0.0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0.0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3.0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3.0</v>
      </c>
      <c r="I12" s="135" t="n">
        <f aca="false">H12*G12</f>
        <v>9.0</v>
      </c>
      <c r="J12" s="117" t="n">
        <f aca="false">MAX(1,ROUNDDOWN(E12/4,0))</f>
        <v>1.0</v>
      </c>
      <c r="K12" s="117" t="n">
        <f aca="false">C12</f>
        <v>3.0</v>
      </c>
      <c r="L12" s="135" t="n">
        <f aca="false">K12*J12</f>
        <v>3.0</v>
      </c>
      <c r="M12" s="117" t="n">
        <v>2</v>
      </c>
      <c r="N12" s="117" t="n">
        <f aca="false">C12</f>
        <v>3.0</v>
      </c>
      <c r="O12" s="135" t="n">
        <f aca="false">N12*M12</f>
        <v>6.0</v>
      </c>
      <c r="P12" s="138"/>
      <c r="Q12" s="138"/>
      <c r="R12" s="139" t="n">
        <f aca="false">Q12*P12</f>
        <v>0.0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3.0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3.0</v>
      </c>
      <c r="I13" s="135" t="n">
        <f aca="false">H13*G13</f>
        <v>9.0</v>
      </c>
      <c r="J13" s="117" t="n">
        <f aca="false">MAX(1,ROUNDDOWN(E13/4,0))</f>
        <v>1.0</v>
      </c>
      <c r="K13" s="117" t="n">
        <f aca="false">C13</f>
        <v>3.0</v>
      </c>
      <c r="L13" s="135" t="n">
        <f aca="false">K13*J13</f>
        <v>3.0</v>
      </c>
      <c r="M13" s="117" t="n">
        <v>2</v>
      </c>
      <c r="N13" s="117" t="n">
        <f aca="false">C13</f>
        <v>3.0</v>
      </c>
      <c r="O13" s="135" t="n">
        <f aca="false">N13*M13</f>
        <v>6.0</v>
      </c>
      <c r="P13" s="138"/>
      <c r="Q13" s="138"/>
      <c r="R13" s="139" t="n">
        <f aca="false">Q13*P13</f>
        <v>0.0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2.0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2.0</v>
      </c>
      <c r="I15" s="135" t="n">
        <f aca="false">H15*G15</f>
        <v>6.0</v>
      </c>
      <c r="J15" s="117" t="n">
        <f aca="false">MAX(1,ROUNDDOWN(E15/4,0))</f>
        <v>1.0</v>
      </c>
      <c r="K15" s="117" t="n">
        <f aca="false">C15</f>
        <v>2.0</v>
      </c>
      <c r="L15" s="135" t="n">
        <f aca="false">K15*J15</f>
        <v>2.0</v>
      </c>
      <c r="M15" s="117" t="n">
        <v>2</v>
      </c>
      <c r="N15" s="117" t="n">
        <f aca="false">C15</f>
        <v>2.0</v>
      </c>
      <c r="O15" s="135" t="n">
        <f aca="false">N15*M15</f>
        <v>4.0</v>
      </c>
      <c r="P15" s="138"/>
      <c r="Q15" s="138"/>
      <c r="R15" s="139" t="n">
        <f aca="false">Q15*P15</f>
        <v>0.0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2.0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2.0</v>
      </c>
      <c r="I16" s="135" t="n">
        <f aca="false">H16*G16</f>
        <v>6.0</v>
      </c>
      <c r="J16" s="117" t="n">
        <f aca="false">MAX(1,ROUNDDOWN(E16/4,0))</f>
        <v>1.0</v>
      </c>
      <c r="K16" s="117" t="n">
        <f aca="false">C16</f>
        <v>2.0</v>
      </c>
      <c r="L16" s="135" t="n">
        <f aca="false">K16*J16</f>
        <v>2.0</v>
      </c>
      <c r="M16" s="117" t="n">
        <v>2</v>
      </c>
      <c r="N16" s="117" t="n">
        <f aca="false">C16</f>
        <v>2.0</v>
      </c>
      <c r="O16" s="135" t="n">
        <f aca="false">N16*M16</f>
        <v>4.0</v>
      </c>
      <c r="P16" s="138"/>
      <c r="Q16" s="138"/>
      <c r="R16" s="139" t="n">
        <f aca="false">Q16*P16</f>
        <v>0.0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2.0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2.0</v>
      </c>
      <c r="I18" s="135" t="n">
        <f aca="false">H18*G18</f>
        <v>6.0</v>
      </c>
      <c r="J18" s="117" t="n">
        <f aca="false">MAX(1,ROUNDDOWN(E18/4,0))</f>
        <v>1.0</v>
      </c>
      <c r="K18" s="117" t="n">
        <f aca="false">C18</f>
        <v>2.0</v>
      </c>
      <c r="L18" s="135" t="n">
        <f aca="false">K18*J18</f>
        <v>2.0</v>
      </c>
      <c r="M18" s="117" t="n">
        <v>2</v>
      </c>
      <c r="N18" s="117" t="n">
        <f aca="false">C18</f>
        <v>2.0</v>
      </c>
      <c r="O18" s="135" t="n">
        <f aca="false">N18*M18</f>
        <v>4.0</v>
      </c>
      <c r="P18" s="138"/>
      <c r="Q18" s="138"/>
      <c r="R18" s="139" t="n">
        <f aca="false">Q18*P18</f>
        <v>0.0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2.0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2.0</v>
      </c>
      <c r="I19" s="135" t="n">
        <f aca="false">H19*G19</f>
        <v>6.0</v>
      </c>
      <c r="J19" s="117" t="n">
        <f aca="false">MAX(1,ROUNDDOWN(E19/4,0))</f>
        <v>1.0</v>
      </c>
      <c r="K19" s="117" t="n">
        <f aca="false">C19</f>
        <v>2.0</v>
      </c>
      <c r="L19" s="135" t="n">
        <f aca="false">K19*J19</f>
        <v>2.0</v>
      </c>
      <c r="M19" s="117" t="n">
        <v>2</v>
      </c>
      <c r="N19" s="117" t="n">
        <f aca="false">C19</f>
        <v>2.0</v>
      </c>
      <c r="O19" s="135" t="n">
        <f aca="false">N19*M19</f>
        <v>4.0</v>
      </c>
      <c r="P19" s="138"/>
      <c r="Q19" s="138"/>
      <c r="R19" s="139" t="n">
        <f aca="false">Q19*P19</f>
        <v>0.0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3.0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3.0</v>
      </c>
      <c r="I21" s="135" t="n">
        <f aca="false">H21*G21</f>
        <v>9.0</v>
      </c>
      <c r="J21" s="117" t="n">
        <f aca="false">MAX(1,ROUNDDOWN(E21/4,0))</f>
        <v>1.0</v>
      </c>
      <c r="K21" s="117" t="n">
        <f aca="false">C21</f>
        <v>3.0</v>
      </c>
      <c r="L21" s="135" t="n">
        <f aca="false">K21*J21</f>
        <v>3.0</v>
      </c>
      <c r="M21" s="117" t="n">
        <v>2</v>
      </c>
      <c r="N21" s="117" t="n">
        <f aca="false">C21</f>
        <v>3.0</v>
      </c>
      <c r="O21" s="135" t="n">
        <f aca="false">N21*M21</f>
        <v>6.0</v>
      </c>
      <c r="P21" s="138"/>
      <c r="Q21" s="138"/>
      <c r="R21" s="139" t="n">
        <f aca="false">Q21*P21</f>
        <v>0.0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3.0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3.0</v>
      </c>
      <c r="I22" s="135" t="n">
        <f aca="false">H22*G22</f>
        <v>9.0</v>
      </c>
      <c r="J22" s="117" t="n">
        <f aca="false">MAX(1,ROUNDDOWN(E22/4,0))</f>
        <v>1.0</v>
      </c>
      <c r="K22" s="117" t="n">
        <f aca="false">C22</f>
        <v>3.0</v>
      </c>
      <c r="L22" s="135" t="n">
        <f aca="false">K22*J22</f>
        <v>3.0</v>
      </c>
      <c r="M22" s="117" t="n">
        <v>2</v>
      </c>
      <c r="N22" s="117" t="n">
        <f aca="false">C22</f>
        <v>3.0</v>
      </c>
      <c r="O22" s="135" t="n">
        <f aca="false">N22*M22</f>
        <v>6.0</v>
      </c>
      <c r="P22" s="138"/>
      <c r="Q22" s="138"/>
      <c r="R22" s="139" t="n">
        <f aca="false">Q22*P22</f>
        <v>0.0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3.0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3.0</v>
      </c>
      <c r="I24" s="135" t="n">
        <f aca="false">H24*G24</f>
        <v>9.0</v>
      </c>
      <c r="J24" s="117" t="n">
        <f aca="false">MAX(1,ROUNDDOWN(E24/4,0))</f>
        <v>1.0</v>
      </c>
      <c r="K24" s="117" t="n">
        <f aca="false">C24</f>
        <v>3.0</v>
      </c>
      <c r="L24" s="135" t="n">
        <f aca="false">K24*J24</f>
        <v>3.0</v>
      </c>
      <c r="M24" s="117" t="n">
        <v>2</v>
      </c>
      <c r="N24" s="117" t="n">
        <f aca="false">C24</f>
        <v>3.0</v>
      </c>
      <c r="O24" s="135" t="n">
        <f aca="false">N24*M24</f>
        <v>6.0</v>
      </c>
      <c r="P24" s="138"/>
      <c r="Q24" s="138"/>
      <c r="R24" s="139" t="n">
        <f aca="false">Q24*P24</f>
        <v>0.0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3.0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3.0</v>
      </c>
      <c r="I25" s="135" t="n">
        <f aca="false">H25*G25</f>
        <v>9.0</v>
      </c>
      <c r="J25" s="117" t="n">
        <f aca="false">MAX(1,ROUNDDOWN(E25/4,0))</f>
        <v>1.0</v>
      </c>
      <c r="K25" s="117" t="n">
        <f aca="false">C25</f>
        <v>3.0</v>
      </c>
      <c r="L25" s="135" t="n">
        <f aca="false">K25*J25</f>
        <v>3.0</v>
      </c>
      <c r="M25" s="117" t="n">
        <v>2</v>
      </c>
      <c r="N25" s="117" t="n">
        <f aca="false">C25</f>
        <v>3.0</v>
      </c>
      <c r="O25" s="135" t="n">
        <f aca="false">N25*M25</f>
        <v>6.0</v>
      </c>
      <c r="P25" s="138"/>
      <c r="Q25" s="138"/>
      <c r="R25" s="139" t="n">
        <f aca="false">Q25*P25</f>
        <v>0.0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2.0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2.0</v>
      </c>
      <c r="I27" s="135" t="n">
        <f aca="false">H27*G27</f>
        <v>6.0</v>
      </c>
      <c r="J27" s="117" t="n">
        <f aca="false">MAX(1,ROUNDDOWN(E27/4,0))</f>
        <v>1.0</v>
      </c>
      <c r="K27" s="117" t="n">
        <f aca="false">C27</f>
        <v>2.0</v>
      </c>
      <c r="L27" s="135" t="n">
        <f aca="false">K27*J27</f>
        <v>2.0</v>
      </c>
      <c r="M27" s="117" t="n">
        <v>2</v>
      </c>
      <c r="N27" s="117" t="n">
        <f aca="false">C27</f>
        <v>2.0</v>
      </c>
      <c r="O27" s="135" t="n">
        <f aca="false">N27*M27</f>
        <v>4.0</v>
      </c>
      <c r="P27" s="138"/>
      <c r="Q27" s="138"/>
      <c r="R27" s="139" t="n">
        <f aca="false">Q27*P27</f>
        <v>0.0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2.0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2.0</v>
      </c>
      <c r="I28" s="135" t="n">
        <f aca="false">H28*G28</f>
        <v>6.0</v>
      </c>
      <c r="J28" s="117" t="n">
        <f aca="false">MAX(1,ROUNDDOWN(E28/4,0))</f>
        <v>1.0</v>
      </c>
      <c r="K28" s="117" t="n">
        <f aca="false">C28</f>
        <v>2.0</v>
      </c>
      <c r="L28" s="135" t="n">
        <f aca="false">K28*J28</f>
        <v>2.0</v>
      </c>
      <c r="M28" s="117" t="n">
        <v>2</v>
      </c>
      <c r="N28" s="117" t="n">
        <f aca="false">C28</f>
        <v>2.0</v>
      </c>
      <c r="O28" s="135" t="n">
        <f aca="false">N28*M28</f>
        <v>4.0</v>
      </c>
      <c r="P28" s="138"/>
      <c r="Q28" s="138"/>
      <c r="R28" s="139" t="n">
        <f aca="false">Q28*P28</f>
        <v>0.0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3.0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3.0</v>
      </c>
      <c r="I30" s="135" t="n">
        <f aca="false">H30*G30</f>
        <v>9.0</v>
      </c>
      <c r="J30" s="117" t="n">
        <f aca="false">MAX(1,ROUNDDOWN(E30/4,0))</f>
        <v>1.0</v>
      </c>
      <c r="K30" s="117" t="n">
        <f aca="false">C30</f>
        <v>3.0</v>
      </c>
      <c r="L30" s="135" t="n">
        <f aca="false">K30*J30</f>
        <v>3.0</v>
      </c>
      <c r="M30" s="117" t="n">
        <v>2</v>
      </c>
      <c r="N30" s="117" t="n">
        <f aca="false">C30</f>
        <v>3.0</v>
      </c>
      <c r="O30" s="135" t="n">
        <f aca="false">N30*M30</f>
        <v>6.0</v>
      </c>
      <c r="P30" s="138"/>
      <c r="Q30" s="138"/>
      <c r="R30" s="139" t="n">
        <f aca="false">Q30*P30</f>
        <v>0.0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3.0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3.0</v>
      </c>
      <c r="I31" s="135" t="n">
        <f aca="false">H31*G31</f>
        <v>9.0</v>
      </c>
      <c r="J31" s="117" t="n">
        <f aca="false">MAX(1,ROUNDDOWN(E31/4,0))</f>
        <v>1.0</v>
      </c>
      <c r="K31" s="117" t="n">
        <f aca="false">C31</f>
        <v>3.0</v>
      </c>
      <c r="L31" s="135" t="n">
        <f aca="false">K31*J31</f>
        <v>3.0</v>
      </c>
      <c r="M31" s="117" t="n">
        <v>2</v>
      </c>
      <c r="N31" s="117" t="n">
        <f aca="false">C31</f>
        <v>3.0</v>
      </c>
      <c r="O31" s="135" t="n">
        <f aca="false">N31*M31</f>
        <v>6.0</v>
      </c>
      <c r="P31" s="138"/>
      <c r="Q31" s="138"/>
      <c r="R31" s="139" t="n">
        <f aca="false">Q31*P31</f>
        <v>0.0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2.0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2.0</v>
      </c>
      <c r="I33" s="135" t="n">
        <f aca="false">H33*G33</f>
        <v>6.0</v>
      </c>
      <c r="J33" s="117" t="n">
        <f aca="false">MAX(1,ROUNDDOWN(E33/4,0))</f>
        <v>1.0</v>
      </c>
      <c r="K33" s="117" t="n">
        <f aca="false">C33</f>
        <v>2.0</v>
      </c>
      <c r="L33" s="135" t="n">
        <f aca="false">K33*J33</f>
        <v>2.0</v>
      </c>
      <c r="M33" s="117" t="n">
        <v>2</v>
      </c>
      <c r="N33" s="117" t="n">
        <f aca="false">C33</f>
        <v>2.0</v>
      </c>
      <c r="O33" s="135" t="n">
        <f aca="false">N33*M33</f>
        <v>4.0</v>
      </c>
      <c r="P33" s="138"/>
      <c r="Q33" s="138"/>
      <c r="R33" s="139" t="n">
        <f aca="false">Q33*P33</f>
        <v>0.0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2.0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2.0</v>
      </c>
      <c r="I34" s="135" t="n">
        <f aca="false">H34*G34</f>
        <v>6.0</v>
      </c>
      <c r="J34" s="117" t="n">
        <f aca="false">MAX(1,ROUNDDOWN(E34/4,0))</f>
        <v>1.0</v>
      </c>
      <c r="K34" s="117" t="n">
        <f aca="false">C34</f>
        <v>2.0</v>
      </c>
      <c r="L34" s="135" t="n">
        <f aca="false">K34*J34</f>
        <v>2.0</v>
      </c>
      <c r="M34" s="117" t="n">
        <v>2</v>
      </c>
      <c r="N34" s="117" t="n">
        <f aca="false">C34</f>
        <v>2.0</v>
      </c>
      <c r="O34" s="135" t="n">
        <f aca="false">N34*M34</f>
        <v>4.0</v>
      </c>
      <c r="P34" s="138"/>
      <c r="Q34" s="138"/>
      <c r="R34" s="139" t="n">
        <f aca="false">Q34*P34</f>
        <v>0.0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2.0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2.0</v>
      </c>
      <c r="I36" s="135" t="n">
        <f aca="false">H36*G36</f>
        <v>6.0</v>
      </c>
      <c r="J36" s="117" t="n">
        <f aca="false">MAX(1,ROUNDDOWN(E36/4,0))</f>
        <v>1.0</v>
      </c>
      <c r="K36" s="117" t="n">
        <f aca="false">C36</f>
        <v>2.0</v>
      </c>
      <c r="L36" s="135" t="n">
        <f aca="false">K36*J36</f>
        <v>2.0</v>
      </c>
      <c r="M36" s="117" t="n">
        <v>2</v>
      </c>
      <c r="N36" s="117" t="n">
        <f aca="false">C36</f>
        <v>2.0</v>
      </c>
      <c r="O36" s="135" t="n">
        <f aca="false">N36*M36</f>
        <v>4.0</v>
      </c>
      <c r="P36" s="138"/>
      <c r="Q36" s="138"/>
      <c r="R36" s="139" t="n">
        <f aca="false">Q36*P36</f>
        <v>0.0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2.0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2.0</v>
      </c>
      <c r="I37" s="135" t="n">
        <f aca="false">H37*G37</f>
        <v>6.0</v>
      </c>
      <c r="J37" s="117" t="n">
        <f aca="false">MAX(1,ROUNDDOWN(E37/4,0))</f>
        <v>1.0</v>
      </c>
      <c r="K37" s="117" t="n">
        <f aca="false">C37</f>
        <v>2.0</v>
      </c>
      <c r="L37" s="135" t="n">
        <f aca="false">K37*J37</f>
        <v>2.0</v>
      </c>
      <c r="M37" s="117" t="n">
        <v>2</v>
      </c>
      <c r="N37" s="117" t="n">
        <f aca="false">C37</f>
        <v>2.0</v>
      </c>
      <c r="O37" s="135" t="n">
        <f aca="false">N37*M37</f>
        <v>4.0</v>
      </c>
      <c r="P37" s="138"/>
      <c r="Q37" s="138"/>
      <c r="R37" s="139" t="n">
        <f aca="false">Q37*P37</f>
        <v>0.0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4.0</v>
      </c>
      <c r="E39" s="117" t="n">
        <v>11</v>
      </c>
      <c r="F39" s="135" t="n">
        <f aca="false">E39*D39</f>
        <v>44.0</v>
      </c>
      <c r="G39" s="117" t="n">
        <v>3</v>
      </c>
      <c r="H39" s="117" t="n">
        <f aca="false">C39</f>
        <v>4.0</v>
      </c>
      <c r="I39" s="135" t="n">
        <f aca="false">H39*G39</f>
        <v>12.0</v>
      </c>
      <c r="J39" s="117" t="n">
        <v>3</v>
      </c>
      <c r="K39" s="117" t="n">
        <f aca="false">C39</f>
        <v>4.0</v>
      </c>
      <c r="L39" s="135" t="n">
        <f aca="false">K39*J39</f>
        <v>12.0</v>
      </c>
      <c r="M39" s="117" t="n">
        <v>0</v>
      </c>
      <c r="N39" s="117" t="n">
        <f aca="false">C39</f>
        <v>4.0</v>
      </c>
      <c r="O39" s="135" t="n">
        <f aca="false">N39*M39</f>
        <v>0.0</v>
      </c>
      <c r="P39" s="138"/>
      <c r="Q39" s="138"/>
      <c r="R39" s="139" t="n">
        <f aca="false">Q39*P39</f>
        <v>0.0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4.0</v>
      </c>
      <c r="E40" s="117" t="n">
        <v>11</v>
      </c>
      <c r="F40" s="135" t="n">
        <f aca="false">E40*D40</f>
        <v>44.0</v>
      </c>
      <c r="G40" s="117" t="n">
        <v>3</v>
      </c>
      <c r="H40" s="117" t="n">
        <f aca="false">C40</f>
        <v>4.0</v>
      </c>
      <c r="I40" s="135" t="n">
        <f aca="false">H40*G40</f>
        <v>12.0</v>
      </c>
      <c r="J40" s="117" t="n">
        <v>3</v>
      </c>
      <c r="K40" s="117" t="n">
        <f aca="false">C40</f>
        <v>4.0</v>
      </c>
      <c r="L40" s="135" t="n">
        <f aca="false">K40*J40</f>
        <v>12.0</v>
      </c>
      <c r="M40" s="117" t="n">
        <v>0</v>
      </c>
      <c r="N40" s="117" t="n">
        <f aca="false">C40</f>
        <v>4.0</v>
      </c>
      <c r="O40" s="135" t="n">
        <f aca="false">N40*M40</f>
        <v>0.0</v>
      </c>
      <c r="P40" s="138"/>
      <c r="Q40" s="138"/>
      <c r="R40" s="139" t="n">
        <f aca="false">Q40*P40</f>
        <v>0.0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1.0</v>
      </c>
      <c r="E41" s="117" t="n">
        <v>6</v>
      </c>
      <c r="F41" s="135" t="n">
        <f aca="false">E41*D41</f>
        <v>6.0</v>
      </c>
      <c r="G41" s="117" t="n">
        <v>3</v>
      </c>
      <c r="H41" s="117" t="n">
        <f aca="false">C41</f>
        <v>1.0</v>
      </c>
      <c r="I41" s="135" t="n">
        <f aca="false">H41*G41</f>
        <v>3.0</v>
      </c>
      <c r="J41" s="117" t="n">
        <v>1</v>
      </c>
      <c r="K41" s="117" t="n">
        <f aca="false">C41</f>
        <v>1.0</v>
      </c>
      <c r="L41" s="135" t="n">
        <f aca="false">K41*J41</f>
        <v>1.0</v>
      </c>
      <c r="M41" s="117" t="n">
        <v>1</v>
      </c>
      <c r="N41" s="117" t="n">
        <f aca="false">C41</f>
        <v>1.0</v>
      </c>
      <c r="O41" s="135" t="n">
        <f aca="false">N41*M41</f>
        <v>1.0</v>
      </c>
      <c r="P41" s="138"/>
      <c r="Q41" s="138"/>
      <c r="R41" s="139" t="n">
        <f aca="false">Q41*P41</f>
        <v>0.0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1.0</v>
      </c>
      <c r="E42" s="117" t="n">
        <v>6</v>
      </c>
      <c r="F42" s="135" t="n">
        <f aca="false">E42*D42</f>
        <v>6.0</v>
      </c>
      <c r="G42" s="117" t="n">
        <v>3</v>
      </c>
      <c r="H42" s="117" t="n">
        <f aca="false">C42</f>
        <v>1.0</v>
      </c>
      <c r="I42" s="135" t="n">
        <f aca="false">H42*G42</f>
        <v>3.0</v>
      </c>
      <c r="J42" s="117" t="n">
        <v>1</v>
      </c>
      <c r="K42" s="117" t="n">
        <f aca="false">C42</f>
        <v>1.0</v>
      </c>
      <c r="L42" s="135" t="n">
        <f aca="false">K42*J42</f>
        <v>1.0</v>
      </c>
      <c r="M42" s="117" t="n">
        <v>1</v>
      </c>
      <c r="N42" s="117" t="n">
        <f aca="false">C42</f>
        <v>1.0</v>
      </c>
      <c r="O42" s="135" t="n">
        <f aca="false">N42*M42</f>
        <v>1.0</v>
      </c>
      <c r="P42" s="138"/>
      <c r="Q42" s="138"/>
      <c r="R42" s="139" t="n">
        <f aca="false">Q42*P42</f>
        <v>0.0</v>
      </c>
    </row>
    <row r="43" customFormat="false" ht="23.25" hidden="false" customHeight="true" outlineLevel="0" collapsed="false">
      <c r="C43" s="142" t="n">
        <f aca="false">SUM(C11:C42)</f>
        <v>54.0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162.0</v>
      </c>
      <c r="J43" s="117"/>
      <c r="K43" s="117"/>
      <c r="L43" s="142" t="n">
        <f aca="false">SUM(L11:L42)</f>
        <v>70.0</v>
      </c>
      <c r="M43" s="117"/>
      <c r="N43" s="117"/>
      <c r="O43" s="142" t="n">
        <f aca="false">SUM(O11:O42)</f>
        <v>90.0</v>
      </c>
      <c r="P43" s="138"/>
      <c r="Q43" s="138"/>
      <c r="R43" s="142" t="n">
        <f aca="false">SUM(R11:R42)</f>
        <v>0.0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44.0</v>
      </c>
      <c r="G12" s="135" t="n">
        <f aca="false">C12*F12</f>
        <v>44.0</v>
      </c>
      <c r="H12" s="145" t="n">
        <f aca="false">$F$51</f>
        <v>2.0</v>
      </c>
      <c r="I12" s="135" t="n">
        <f aca="false">C12*H12</f>
        <v>2.0</v>
      </c>
      <c r="J12" s="117" t="n">
        <f aca="false">'METRADO MONTANTES'!C12</f>
        <v>3.0</v>
      </c>
      <c r="K12" s="135" t="n">
        <f aca="false">C12*J12</f>
        <v>3.0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44.0</v>
      </c>
      <c r="G13" s="135" t="n">
        <f aca="false">C13*F13</f>
        <v>44.0</v>
      </c>
      <c r="H13" s="145" t="n">
        <f aca="false">$F$51</f>
        <v>2.0</v>
      </c>
      <c r="I13" s="135" t="n">
        <f aca="false">C13*H13</f>
        <v>2.0</v>
      </c>
      <c r="J13" s="117" t="n">
        <f aca="false">'METRADO MONTANTES'!C13</f>
        <v>3.0</v>
      </c>
      <c r="K13" s="135" t="n">
        <f aca="false">C13*J13</f>
        <v>3.0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25.0</v>
      </c>
      <c r="G15" s="135" t="n">
        <f aca="false">C15*F15</f>
        <v>25.0</v>
      </c>
      <c r="H15" s="145" t="n">
        <f aca="false">$F$51</f>
        <v>2.0</v>
      </c>
      <c r="I15" s="135" t="n">
        <f aca="false">C15*H15</f>
        <v>2.0</v>
      </c>
      <c r="J15" s="117" t="n">
        <f aca="false">'METRADO MONTANTES'!C15</f>
        <v>2.0</v>
      </c>
      <c r="K15" s="135" t="n">
        <f aca="false">C15*J15</f>
        <v>2.0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25.0</v>
      </c>
      <c r="G16" s="135" t="n">
        <f aca="false">C16*F16</f>
        <v>25.0</v>
      </c>
      <c r="H16" s="145" t="n">
        <f aca="false">$F$51</f>
        <v>2.0</v>
      </c>
      <c r="I16" s="135" t="n">
        <f aca="false">C16*H16</f>
        <v>2.0</v>
      </c>
      <c r="J16" s="117" t="n">
        <f aca="false">'METRADO MONTANTES'!C16</f>
        <v>2.0</v>
      </c>
      <c r="K16" s="135" t="n">
        <f aca="false">C16*J16</f>
        <v>2.0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30.0</v>
      </c>
      <c r="G18" s="135" t="n">
        <f aca="false">C18*F18</f>
        <v>30.0</v>
      </c>
      <c r="H18" s="145" t="n">
        <f aca="false">$F$51</f>
        <v>2.0</v>
      </c>
      <c r="I18" s="135" t="n">
        <f aca="false">C18*H18</f>
        <v>2.0</v>
      </c>
      <c r="J18" s="117" t="n">
        <f aca="false">'METRADO MONTANTES'!C18</f>
        <v>2.0</v>
      </c>
      <c r="K18" s="135" t="n">
        <f aca="false">C18*J18</f>
        <v>2.0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30.0</v>
      </c>
      <c r="G19" s="135" t="n">
        <f aca="false">C19*F19</f>
        <v>30.0</v>
      </c>
      <c r="H19" s="145" t="n">
        <f aca="false">$F$51</f>
        <v>2.0</v>
      </c>
      <c r="I19" s="135" t="n">
        <f aca="false">C19*H19</f>
        <v>2.0</v>
      </c>
      <c r="J19" s="117" t="n">
        <f aca="false">'METRADO MONTANTES'!C19</f>
        <v>2.0</v>
      </c>
      <c r="K19" s="135" t="n">
        <f aca="false">C19*J19</f>
        <v>2.0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65.0</v>
      </c>
      <c r="G21" s="135" t="n">
        <f aca="false">C21*F21</f>
        <v>65.0</v>
      </c>
      <c r="H21" s="145" t="n">
        <f aca="false">$F$51</f>
        <v>2.0</v>
      </c>
      <c r="I21" s="135" t="n">
        <f aca="false">C21*H21</f>
        <v>2.0</v>
      </c>
      <c r="J21" s="117" t="n">
        <f aca="false">'METRADO MONTANTES'!C21</f>
        <v>3.0</v>
      </c>
      <c r="K21" s="135" t="n">
        <f aca="false">C21*J21</f>
        <v>3.0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65.0</v>
      </c>
      <c r="G22" s="135" t="n">
        <f aca="false">C22*F22</f>
        <v>65.0</v>
      </c>
      <c r="H22" s="145" t="n">
        <f aca="false">$F$51</f>
        <v>2.0</v>
      </c>
      <c r="I22" s="135" t="n">
        <f aca="false">C22*H22</f>
        <v>2.0</v>
      </c>
      <c r="J22" s="117" t="n">
        <f aca="false">'METRADO MONTANTES'!C22</f>
        <v>3.0</v>
      </c>
      <c r="K22" s="135" t="n">
        <f aca="false">C22*J22</f>
        <v>3.0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55.0</v>
      </c>
      <c r="G24" s="135" t="n">
        <f aca="false">C24*F24</f>
        <v>55.0</v>
      </c>
      <c r="H24" s="145" t="n">
        <f aca="false">$F$51</f>
        <v>2.0</v>
      </c>
      <c r="I24" s="135" t="n">
        <f aca="false">C24*H24</f>
        <v>2.0</v>
      </c>
      <c r="J24" s="117" t="n">
        <f aca="false">'METRADO MONTANTES'!C24</f>
        <v>3.0</v>
      </c>
      <c r="K24" s="135" t="n">
        <f aca="false">C24*J24</f>
        <v>3.0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55.0</v>
      </c>
      <c r="G25" s="135" t="n">
        <f aca="false">C25*F25</f>
        <v>55.0</v>
      </c>
      <c r="H25" s="145" t="n">
        <f aca="false">$F$51</f>
        <v>2.0</v>
      </c>
      <c r="I25" s="135" t="n">
        <f aca="false">C25*H25</f>
        <v>2.0</v>
      </c>
      <c r="J25" s="117" t="n">
        <f aca="false">'METRADO MONTANTES'!C25</f>
        <v>3.0</v>
      </c>
      <c r="K25" s="135" t="n">
        <f aca="false">C25*J25</f>
        <v>3.0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36.0</v>
      </c>
      <c r="G27" s="135" t="n">
        <f aca="false">C27*F27</f>
        <v>36.0</v>
      </c>
      <c r="H27" s="145" t="n">
        <f aca="false">$F$51</f>
        <v>2.0</v>
      </c>
      <c r="I27" s="135" t="n">
        <f aca="false">C27*H27</f>
        <v>2.0</v>
      </c>
      <c r="J27" s="117" t="n">
        <f aca="false">'METRADO MONTANTES'!C27</f>
        <v>2.0</v>
      </c>
      <c r="K27" s="135" t="n">
        <f aca="false">C27*J27</f>
        <v>2.0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36.0</v>
      </c>
      <c r="G28" s="135" t="n">
        <f aca="false">C28*F28</f>
        <v>36.0</v>
      </c>
      <c r="H28" s="145" t="n">
        <f aca="false">$F$51</f>
        <v>2.0</v>
      </c>
      <c r="I28" s="135" t="n">
        <f aca="false">C28*H28</f>
        <v>2.0</v>
      </c>
      <c r="J28" s="117" t="n">
        <f aca="false">'METRADO MONTANTES'!C28</f>
        <v>2.0</v>
      </c>
      <c r="K28" s="135" t="n">
        <f aca="false">C28*J28</f>
        <v>2.0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65.0</v>
      </c>
      <c r="G30" s="135" t="n">
        <f aca="false">C30*F30</f>
        <v>65.0</v>
      </c>
      <c r="H30" s="145" t="n">
        <f aca="false">$F$51</f>
        <v>2.0</v>
      </c>
      <c r="I30" s="135" t="n">
        <f aca="false">C30*H30</f>
        <v>2.0</v>
      </c>
      <c r="J30" s="117" t="n">
        <f aca="false">'METRADO MONTANTES'!C30</f>
        <v>3.0</v>
      </c>
      <c r="K30" s="135" t="n">
        <f aca="false">C30*J30</f>
        <v>3.0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65.0</v>
      </c>
      <c r="G31" s="135" t="n">
        <f aca="false">C31*F31</f>
        <v>65.0</v>
      </c>
      <c r="H31" s="145" t="n">
        <f aca="false">$F$51</f>
        <v>2.0</v>
      </c>
      <c r="I31" s="135" t="n">
        <f aca="false">C31*H31</f>
        <v>2.0</v>
      </c>
      <c r="J31" s="117" t="n">
        <f aca="false">'METRADO MONTANTES'!C31</f>
        <v>3.0</v>
      </c>
      <c r="K31" s="135" t="n">
        <f aca="false">C31*J31</f>
        <v>3.0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36.0</v>
      </c>
      <c r="G33" s="135" t="n">
        <f aca="false">C33*F33</f>
        <v>36.0</v>
      </c>
      <c r="H33" s="145" t="n">
        <f aca="false">$F$51</f>
        <v>2.0</v>
      </c>
      <c r="I33" s="135" t="n">
        <f aca="false">C33*H33</f>
        <v>2.0</v>
      </c>
      <c r="J33" s="117" t="n">
        <f aca="false">'METRADO MONTANTES'!C33</f>
        <v>2.0</v>
      </c>
      <c r="K33" s="135" t="n">
        <f aca="false">C33*J33</f>
        <v>2.0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36.0</v>
      </c>
      <c r="G34" s="135" t="n">
        <f aca="false">C34*F34</f>
        <v>36.0</v>
      </c>
      <c r="H34" s="145" t="n">
        <f aca="false">$F$51</f>
        <v>2.0</v>
      </c>
      <c r="I34" s="135" t="n">
        <f aca="false">C34*H34</f>
        <v>2.0</v>
      </c>
      <c r="J34" s="117" t="n">
        <f aca="false">'METRADO MONTANTES'!C34</f>
        <v>2.0</v>
      </c>
      <c r="K34" s="135" t="n">
        <f aca="false">C34*J34</f>
        <v>2.0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26.0</v>
      </c>
      <c r="G36" s="135" t="n">
        <f aca="false">C36*F36</f>
        <v>26.0</v>
      </c>
      <c r="H36" s="145" t="n">
        <f aca="false">$F$51</f>
        <v>2.0</v>
      </c>
      <c r="I36" s="135" t="n">
        <f aca="false">C36*H36</f>
        <v>2.0</v>
      </c>
      <c r="J36" s="117" t="n">
        <f aca="false">'METRADO MONTANTES'!C36</f>
        <v>2.0</v>
      </c>
      <c r="K36" s="135" t="n">
        <f aca="false">C36*J36</f>
        <v>2.0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26.0</v>
      </c>
      <c r="G37" s="135" t="n">
        <f aca="false">C37*F37</f>
        <v>26.0</v>
      </c>
      <c r="H37" s="145" t="n">
        <f aca="false">$F$51</f>
        <v>2.0</v>
      </c>
      <c r="I37" s="135" t="n">
        <f aca="false">C37*H37</f>
        <v>2.0</v>
      </c>
      <c r="J37" s="117" t="n">
        <f aca="false">'METRADO MONTANTES'!C37</f>
        <v>2.0</v>
      </c>
      <c r="K37" s="135" t="n">
        <f aca="false">C37*J37</f>
        <v>2.0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60.0</v>
      </c>
      <c r="G39" s="135" t="n">
        <f aca="false">C39*F39</f>
        <v>60.0</v>
      </c>
      <c r="H39" s="145" t="n">
        <f aca="false">$F$51</f>
        <v>2.0</v>
      </c>
      <c r="I39" s="135" t="n">
        <f aca="false">C39*H39</f>
        <v>2.0</v>
      </c>
      <c r="J39" s="117" t="n">
        <f aca="false">'METRADO MONTANTES'!C39</f>
        <v>4.0</v>
      </c>
      <c r="K39" s="135" t="n">
        <f aca="false">C39*J39</f>
        <v>4.0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60.0</v>
      </c>
      <c r="G40" s="135" t="n">
        <f aca="false">C40*F40</f>
        <v>60.0</v>
      </c>
      <c r="H40" s="145" t="n">
        <f aca="false">$F$51</f>
        <v>2.0</v>
      </c>
      <c r="I40" s="135" t="n">
        <f aca="false">C40*H40</f>
        <v>2.0</v>
      </c>
      <c r="J40" s="117" t="n">
        <f aca="false">'METRADO MONTANTES'!C40</f>
        <v>4.0</v>
      </c>
      <c r="K40" s="135" t="n">
        <f aca="false">C40*J40</f>
        <v>4.0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20.0</v>
      </c>
      <c r="D41" s="142"/>
      <c r="E41" s="146" t="n">
        <f aca="false">SUM(E11:E40)</f>
        <v>513.98</v>
      </c>
      <c r="F41" s="142"/>
      <c r="G41" s="142" t="n">
        <f aca="false">SUM(G11:G40)</f>
        <v>884.0</v>
      </c>
      <c r="H41" s="142"/>
      <c r="I41" s="142" t="n">
        <f aca="false">SUM(I11:I40)</f>
        <v>40.0</v>
      </c>
      <c r="J41" s="142"/>
      <c r="K41" s="142" t="n">
        <f aca="false">SUM(K11:K40)</f>
        <v>52.0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30.0</v>
      </c>
      <c r="D12" s="171" t="n">
        <f aca="false">SUM(D8:D11)</f>
        <v>24.0</v>
      </c>
      <c r="E12" s="171" t="n">
        <f aca="false">SUM(E8:E11)</f>
        <v>0.0</v>
      </c>
      <c r="F12" s="171" t="n">
        <f aca="false">SUM(F8:F11)</f>
        <v>4.0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7.0</v>
      </c>
      <c r="N11" s="195" t="n">
        <f aca="false">IF(B11="","",G11*M11)</f>
        <v>84.0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49.0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0.0</v>
      </c>
      <c r="AD11" s="199" t="n">
        <f aca="false">IF(B11="","",IF(D11="TAPADA",IFERROR(IF($X$1="ENTERO (redondeo arriba)",ROUNDUP(G11/Z11,0)+1,G11/Z11+1),0),0))</f>
        <v>0.0</v>
      </c>
      <c r="AE11" s="199" t="n">
        <f aca="false">IF(B11="","",IF(D11="TAPADA",AC11*AD11,0))</f>
        <v>0.0</v>
      </c>
      <c r="AF11" s="199" t="n">
        <f aca="false">IF(B11="","",IF(D11="TAPADA",AE11*Y11,0))</f>
        <v>0.0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8.0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7.0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71.0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0.0</v>
      </c>
      <c r="AD13" s="199" t="n">
        <f aca="false">IF(B13="","",IF(D13="TAPADA",IFERROR(IF($X$1="ENTERO (redondeo arriba)",ROUNDUP(G13/Z13,0)+1,G13/Z13+1),0),0))</f>
        <v>0.0</v>
      </c>
      <c r="AE13" s="199" t="n">
        <f aca="false">IF(B13="","",IF(D13="TAPADA",AC13*AD13,0))</f>
        <v>0.0</v>
      </c>
      <c r="AF13" s="199" t="n">
        <f aca="false">IF(B13="","",IF(D13="TAPADA",AE13*Y13,0))</f>
        <v>0.0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9.0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9.0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0.0</v>
      </c>
      <c r="AD15" s="199" t="n">
        <f aca="false">IF(B15="","",IF(D15="TAPADA",IFERROR(IF($X$1="ENTERO (redondeo arriba)",ROUNDUP(G15/Z15,0)+1,G15/Z15+1),0),0))</f>
        <v>0.0</v>
      </c>
      <c r="AE15" s="199" t="n">
        <f aca="false">IF(B15="","",IF(D15="TAPADA",AC15*AD15,0))</f>
        <v>0.0</v>
      </c>
      <c r="AF15" s="199" t="n">
        <f aca="false">IF(B15="","",IF(D15="TAPADA",AE15*Y15,0))</f>
        <v>0.0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10.0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10.0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0.0</v>
      </c>
      <c r="AD17" s="199" t="n">
        <f aca="false">IF(B17="","",IF(D17="TAPADA",IFERROR(IF($X$1="ENTERO (redondeo arriba)",ROUNDUP(G17/Z17,0)+1,G17/Z17+1),0),0))</f>
        <v>0.0</v>
      </c>
      <c r="AE17" s="199" t="n">
        <f aca="false">IF(B17="","",IF(D17="TAPADA",AC17*AD17,0))</f>
        <v>0.0</v>
      </c>
      <c r="AF17" s="199" t="n">
        <f aca="false">IF(B17="","",IF(D17="TAPADA",AE17*Y17,0))</f>
        <v>0.0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12.0</v>
      </c>
      <c r="N18" s="195" t="n">
        <f aca="false">IF(B18="","",G18*M18)</f>
        <v>27.0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10.0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10.0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12.0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7.0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0.0</v>
      </c>
      <c r="AD20" s="199" t="n">
        <f aca="false">IF(B20="","",IF(D20="TAPADA",IFERROR(IF($X$1="ENTERO (redondeo arriba)",ROUNDUP(G20/Z20,0)+1,G20/Z20+1),0),0))</f>
        <v>0.0</v>
      </c>
      <c r="AE20" s="199" t="n">
        <f aca="false">IF(B20="","",IF(D20="TAPADA",AC20*AD20,0))</f>
        <v>0.0</v>
      </c>
      <c r="AF20" s="199" t="n">
        <f aca="false">IF(B20="","",IF(D20="TAPADA",AE20*Y20,0))</f>
        <v>0.0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9.0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7.0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0.0</v>
      </c>
      <c r="AD22" s="199" t="n">
        <f aca="false">IF(B22="","",IF(D22="TAPADA",IFERROR(IF($X$1="ENTERO (redondeo arriba)",ROUNDUP(G22/Z22,0)+1,G22/Z22+1),0),0))</f>
        <v>0.0</v>
      </c>
      <c r="AE22" s="199" t="n">
        <f aca="false">IF(B22="","",IF(D22="TAPADA",AC22*AD22,0))</f>
        <v>0.0</v>
      </c>
      <c r="AF22" s="199" t="n">
        <f aca="false">IF(B22="","",IF(D22="TAPADA",AE22*Y22,0))</f>
        <v>0.0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9.0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10.0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0.0</v>
      </c>
      <c r="AD24" s="199" t="n">
        <f aca="false">IF(B24="","",IF(D24="TAPADA",IFERROR(IF($X$1="ENTERO (redondeo arriba)",ROUNDUP(G24/Z24,0)+1,G24/Z24+1),0),0))</f>
        <v>0.0</v>
      </c>
      <c r="AE24" s="199" t="n">
        <f aca="false">IF(B24="","",IF(D24="TAPADA",AC24*AD24,0))</f>
        <v>0.0</v>
      </c>
      <c r="AF24" s="199" t="n">
        <f aca="false">IF(B24="","",IF(D24="TAPADA",AE24*Y24,0))</f>
        <v>0.0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12.0</v>
      </c>
      <c r="N25" s="195" t="n">
        <f aca="false">IF(B25="","",G25*M25)</f>
        <v>180.0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61.0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61.0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7.0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0.0</v>
      </c>
      <c r="AD26" s="199" t="n">
        <f aca="false">IF(B26="","",IF(D26="TAPADA",IFERROR(IF($X$1="ENTERO (redondeo arriba)",ROUNDUP(G26/Z26,0)+1,G26/Z26+1),0),0))</f>
        <v>0.0</v>
      </c>
      <c r="AE26" s="199" t="n">
        <f aca="false">IF(B26="","",IF(D26="TAPADA",AC26*AD26,0))</f>
        <v>0.0</v>
      </c>
      <c r="AF26" s="199" t="n">
        <f aca="false">IF(B26="","",IF(D26="TAPADA",AE26*Y26,0))</f>
        <v>0.0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9.0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10.0</v>
      </c>
      <c r="N28" s="195" t="n">
        <f aca="false">IF(B28="","",G28*M28)</f>
        <v>637.5</v>
      </c>
      <c r="O28" s="195" t="n">
        <f aca="false">IF(B28="","",N28*I28)</f>
        <v>357.0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256.0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0.0</v>
      </c>
      <c r="AD28" s="199" t="n">
        <f aca="false">IF(B28="","",IF(D28="TAPADA",IFERROR(IF($X$1="ENTERO (redondeo arriba)",ROUNDUP(G28/Z28,0)+1,G28/Z28+1),0),0))</f>
        <v>0.0</v>
      </c>
      <c r="AE28" s="199" t="n">
        <f aca="false">IF(B28="","",IF(D28="TAPADA",AC28*AD28,0))</f>
        <v>0.0</v>
      </c>
      <c r="AF28" s="199" t="n">
        <f aca="false">IF(B28="","",IF(D28="TAPADA",AE28*Y28,0))</f>
        <v>0.0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12.0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12.0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8.0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8.0</v>
      </c>
      <c r="N32" s="195" t="n">
        <f aca="false">IF(B32="","",G32*M32)</f>
        <v>56.0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29.0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29.0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8.0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0.0</v>
      </c>
      <c r="AD33" s="199" t="n">
        <f aca="false">IF(B33="","",IF(D33="TAPADA",IFERROR(IF($X$1="ENTERO (redondeo arriba)",ROUNDUP(G33/Z33,0)+1,G33/Z33+1),0),0))</f>
        <v>0.0</v>
      </c>
      <c r="AE33" s="199" t="n">
        <f aca="false">IF(B33="","",IF(D33="TAPADA",AC33*AD33,0))</f>
        <v>0.0</v>
      </c>
      <c r="AF33" s="199" t="n">
        <f aca="false">IF(B33="","",IF(D33="TAPADA",AE33*Y33,0))</f>
        <v>0.0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10.0</v>
      </c>
      <c r="N34" s="195" t="n">
        <f aca="false">IF(B34="","",G34*M34)</f>
        <v>22.0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10.0</v>
      </c>
      <c r="N35" s="195" t="n">
        <f aca="false">IF(B35="","",G35*M35)</f>
        <v>65.0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27.0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27.0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0.0</v>
      </c>
      <c r="AD36" s="199" t="n">
        <f aca="false">IF(B36="","",IF(D36="TAPADA",IFERROR(IF($X$1="ENTERO (redondeo arriba)",ROUNDUP(G36/Z36,0)+1,G36/Z36+1),0),0))</f>
        <v>0.0</v>
      </c>
      <c r="AE36" s="199" t="n">
        <f aca="false">IF(B36="","",IF(D36="TAPADA",AC36*AD36,0))</f>
        <v>0.0</v>
      </c>
      <c r="AF36" s="199" t="n">
        <f aca="false">IF(B36="","",IF(D36="TAPADA",AE36*Y36,0))</f>
        <v>0.0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11.0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0.0</v>
      </c>
      <c r="M7" s="211" t="n">
        <f aca="false">SUM(J7:L7)</f>
        <v>37.12</v>
      </c>
      <c r="N7" s="212" t="n">
        <f aca="false">IF(B7="","",IF(D7="TAPADA",4,3))</f>
        <v>3.0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4.0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15.0</v>
      </c>
      <c r="L9" s="199" t="n">
        <f aca="false">IF(B9="","",IF(D9="TAPADA",E9*F9,0))</f>
        <v>0.0</v>
      </c>
      <c r="M9" s="211" t="n">
        <f aca="false">SUM(J9:L9)</f>
        <v>44.25</v>
      </c>
      <c r="N9" s="212" t="n">
        <f aca="false">IF(B9="","",IF(D9="TAPADA",4,3))</f>
        <v>3.0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4.0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0.0</v>
      </c>
      <c r="M11" s="211" t="n">
        <f aca="false">SUM(J11:L11)</f>
        <v>51.0679</v>
      </c>
      <c r="N11" s="212" t="n">
        <f aca="false">IF(B11="","",IF(D11="TAPADA",4,3))</f>
        <v>3.0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4.0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0.0</v>
      </c>
      <c r="M13" s="211" t="n">
        <f aca="false">SUM(J13:L13)</f>
        <v>61.0236</v>
      </c>
      <c r="N13" s="212" t="n">
        <f aca="false">IF(B13="","",IF(D13="TAPADA",4,3))</f>
        <v>3.0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4.0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4.0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0.0</v>
      </c>
      <c r="M16" s="211" t="n">
        <f aca="false">SUM(J16:L16)</f>
        <v>5.9364</v>
      </c>
      <c r="N16" s="212" t="n">
        <f aca="false">IF(B16="","",IF(D16="TAPADA",4,3))</f>
        <v>3.0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0.0</v>
      </c>
      <c r="M17" s="211" t="n">
        <f aca="false">SUM(J17:L17)</f>
        <v>8.944</v>
      </c>
      <c r="N17" s="212" t="n">
        <f aca="false">IF(B17="","",IF(D17="TAPADA",4,3))</f>
        <v>3.0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0.0</v>
      </c>
      <c r="M18" s="211" t="n">
        <f aca="false">SUM(J18:L18)</f>
        <v>44.2854</v>
      </c>
      <c r="N18" s="212" t="n">
        <f aca="false">IF(B18="","",IF(D18="TAPADA",4,3))</f>
        <v>3.0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4.0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0.0</v>
      </c>
      <c r="M20" s="211" t="n">
        <f aca="false">SUM(J20:L20)</f>
        <v>44.2854</v>
      </c>
      <c r="N20" s="212" t="n">
        <f aca="false">IF(B20="","",IF(D20="TAPADA",4,3))</f>
        <v>3.0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4.0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0.0</v>
      </c>
      <c r="M22" s="211" t="n">
        <f aca="false">SUM(J22:L22)</f>
        <v>100.1968</v>
      </c>
      <c r="N22" s="212" t="n">
        <f aca="false">IF(B22="","",IF(D22="TAPADA",4,3))</f>
        <v>3.0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6.0</v>
      </c>
      <c r="L23" s="199" t="n">
        <f aca="false">IF(B23="","",IF(D23="TAPADA",E23*F23,0))</f>
        <v>6.0</v>
      </c>
      <c r="M23" s="211" t="n">
        <f aca="false">SUM(J23:L23)</f>
        <v>37.8</v>
      </c>
      <c r="N23" s="212" t="n">
        <f aca="false">IF(B23="","",IF(D23="TAPADA",4,3))</f>
        <v>4.0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0.0</v>
      </c>
      <c r="M24" s="211" t="n">
        <f aca="false">SUM(J24:L24)</f>
        <v>44.2854</v>
      </c>
      <c r="N24" s="212" t="n">
        <f aca="false">IF(B24="","",IF(D24="TAPADA",4,3))</f>
        <v>3.0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4.0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0.0</v>
      </c>
      <c r="M26" s="211" t="n">
        <f aca="false">SUM(J26:L26)</f>
        <v>112.2</v>
      </c>
      <c r="N26" s="212" t="n">
        <f aca="false">IF(B26="","",IF(D26="TAPADA",4,3))</f>
        <v>3.0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4.0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4.0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4.0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4.0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0.0</v>
      </c>
      <c r="M31" s="211" t="n">
        <f aca="false">SUM(J31:L31)</f>
        <v>17.28</v>
      </c>
      <c r="N31" s="212" t="n">
        <f aca="false">IF(B31="","",IF(D31="TAPADA",4,3))</f>
        <v>3.0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0.0</v>
      </c>
      <c r="M32" s="211" t="n">
        <f aca="false">SUM(J32:L32)</f>
        <v>82.2156</v>
      </c>
      <c r="N32" s="212" t="n">
        <f aca="false">IF(B32="","",IF(D32="TAPADA",4,3))</f>
        <v>3.0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4.0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4.0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0.0</v>
      </c>
      <c r="M35" s="211" t="n">
        <f aca="false">SUM(J35:L35)</f>
        <v>66.1122</v>
      </c>
      <c r="N35" s="212" t="n">
        <f aca="false">IF(B35="","",IF(D35="TAPADA",4,3))</f>
        <v>3.0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4.0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32.0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0.0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0.0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0.0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0.0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0.0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0.0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0.0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0.0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0.0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0.0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0.0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0.0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0.0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16.0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0.0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0.0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0.0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1342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1408</v>
      </c>
      <c r="B10" s="236" t="n">
        <v>0.4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1344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335.159543966302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3.0</v>
      </c>
      <c r="H13" s="242" t="n">
        <f aca="false">ROUNDUP(D13/G13,0)</f>
        <v>13.0</v>
      </c>
      <c r="I13" s="242" t="n">
        <f aca="false">$B$9*F13+$B$10</f>
        <v>1.15767366720517</v>
      </c>
      <c r="J13" s="242" t="n">
        <f aca="false">H13*I13</f>
        <v>15.0497576736672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3.0</v>
      </c>
      <c r="H14" s="242" t="n">
        <f aca="false">ROUNDUP(D14/G14,0)</f>
        <v>44.0</v>
      </c>
      <c r="I14" s="242" t="n">
        <f aca="false">$B$9*F14+$B$10</f>
        <v>1.59709591134887</v>
      </c>
      <c r="J14" s="242" t="n">
        <f aca="false">H14*I14</f>
        <v>70.2722200993504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3.0</v>
      </c>
      <c r="H15" s="242" t="n">
        <f aca="false">ROUNDUP(D15/G15,0)</f>
        <v>2.0</v>
      </c>
      <c r="I15" s="242" t="n">
        <f aca="false">$B$9*F15+$B$10</f>
        <v>1.02886597938144</v>
      </c>
      <c r="J15" s="242" t="n">
        <f aca="false">H15*I15</f>
        <v>2.05773195876289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3.0</v>
      </c>
      <c r="H16" s="242" t="n">
        <f aca="false">ROUNDUP(D16/G16,0)</f>
        <v>3.0</v>
      </c>
      <c r="I16" s="242" t="n">
        <f aca="false">$B$9*F16+$B$10</f>
        <v>1.04186046511628</v>
      </c>
      <c r="J16" s="242" t="n">
        <f aca="false">H16*I16</f>
        <v>3.12558139534884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3.0</v>
      </c>
      <c r="H17" s="242" t="n">
        <f aca="false">ROUNDUP(D17/G17,0)</f>
        <v>15.0</v>
      </c>
      <c r="I17" s="242" t="n">
        <f aca="false">$B$9*F17+$B$10</f>
        <v>1.21887578070784</v>
      </c>
      <c r="J17" s="242" t="n">
        <f aca="false">H17*I17</f>
        <v>18.2831367106176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3.0</v>
      </c>
      <c r="H18" s="242" t="n">
        <f aca="false">ROUNDUP(D18/G18,0)</f>
        <v>41.0</v>
      </c>
      <c r="I18" s="242" t="n">
        <f aca="false">$B$9*F18+$B$10</f>
        <v>1.55852442671984</v>
      </c>
      <c r="J18" s="242" t="n">
        <f aca="false">H18*I18</f>
        <v>63.8995014955135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3.0</v>
      </c>
      <c r="H19" s="242" t="n">
        <f aca="false">ROUNDUP(D19/G19,0)</f>
        <v>42.0</v>
      </c>
      <c r="I19" s="242" t="n">
        <f aca="false">$B$9*F19+$B$10</f>
        <v>1.58536197295147</v>
      </c>
      <c r="J19" s="242" t="n">
        <f aca="false">H19*I19</f>
        <v>66.5852028639618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3.0</v>
      </c>
      <c r="H20" s="242" t="n">
        <f aca="false">ROUNDUP(D20/G20,0)</f>
        <v>3.0</v>
      </c>
      <c r="I20" s="242" t="n">
        <f aca="false">$B$9*F20+$B$10</f>
        <v>1.0390243902439</v>
      </c>
      <c r="J20" s="242" t="n">
        <f aca="false">H20*I20</f>
        <v>3.11707317073171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3.0</v>
      </c>
      <c r="H21" s="242" t="n">
        <f aca="false">ROUNDUP(D21/G21,0)</f>
        <v>3.0</v>
      </c>
      <c r="I21" s="242" t="n">
        <f aca="false">$B$9*F21+$B$10</f>
        <v>1.03428571428571</v>
      </c>
      <c r="J21" s="242" t="n">
        <f aca="false">H21*I21</f>
        <v>3.10285714285714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3.0</v>
      </c>
      <c r="H22" s="242" t="n">
        <f aca="false">ROUNDUP(D22/G22,0)</f>
        <v>6.0</v>
      </c>
      <c r="I22" s="242" t="n">
        <f aca="false">$B$9*F22+$B$10</f>
        <v>1.08</v>
      </c>
      <c r="J22" s="242" t="n">
        <f aca="false">H22*I22</f>
        <v>6.48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33.0</v>
      </c>
      <c r="F23" s="242" t="n">
        <f aca="false">E23/D23</f>
        <v>0.461796809403862</v>
      </c>
      <c r="G23" s="242" t="n">
        <f aca="false">B8</f>
        <v>3.0</v>
      </c>
      <c r="H23" s="242" t="n">
        <f aca="false">ROUNDUP(D23/G23,0)</f>
        <v>24.0</v>
      </c>
      <c r="I23" s="242" t="n">
        <f aca="false">$B$9*F23+$B$10</f>
        <v>1.32359361880772</v>
      </c>
      <c r="J23" s="242" t="n">
        <f aca="false">H23*I23</f>
        <v>31.7662468513854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54.0</v>
      </c>
      <c r="F24" s="242" t="n">
        <f aca="false">E24/D24</f>
        <v>0.494868035190616</v>
      </c>
      <c r="G24" s="242" t="n">
        <f aca="false">B8</f>
        <v>3.0</v>
      </c>
      <c r="H24" s="242" t="n">
        <f aca="false">ROUNDUP(D24/G24,0)</f>
        <v>37.0</v>
      </c>
      <c r="I24" s="242" t="n">
        <f aca="false">$B$9*F24+$B$10</f>
        <v>1.38973607038123</v>
      </c>
      <c r="J24" s="242" t="n">
        <f aca="false">H24*I24</f>
        <v>51.4202346041056</v>
      </c>
    </row>
    <row r="26" customHeight="true" ht="15">
      <c r="A26" s="237" t="s">
        <v>1345</v>
      </c>
    </row>
    <row r="27" customHeight="true" ht="27">
      <c r="A27" s="237" t="s">
        <v>1407</v>
      </c>
    </row>
    <row r="28" customHeight="true" ht="27">
      <c r="A28" s="237" t="s">
        <v>1347</v>
      </c>
    </row>
    <row r="29" customHeight="true" ht="27">
      <c r="A29" s="237" t="s">
        <v>1348</v>
      </c>
    </row>
  </sheetData>
  <mergeCells count="9">
    <mergeCell ref="A1:J1"/>
    <mergeCell ref="B2:J2"/>
    <mergeCell ref="B3:J3"/>
    <mergeCell ref="B4:J4"/>
    <mergeCell ref="B5:J5"/>
    <mergeCell ref="A26:J26"/>
    <mergeCell ref="A27:J27"/>
    <mergeCell ref="A28:J28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25.0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4.0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4.0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2.0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2.0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2.0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3.0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2.0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16.0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3.0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21.0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73.0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157.0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17.0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17.0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17.0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17.0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17.0</v>
      </c>
      <c r="D20" s="256" t="n">
        <f aca="false">PARAMETROS!B5-2*PARAMETROS!B8</f>
        <v>0.55</v>
      </c>
      <c r="E20" s="256" t="n">
        <f aca="false">ROUND((PARAMETROS!B6-2*PARAMETROS!B8)/PARAMETROS!B9,0)+1</f>
        <v>5.0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17.0</v>
      </c>
      <c r="D21" s="256" t="n">
        <f aca="false">PARAMETROS!B6-2*PARAMETROS!B8</f>
        <v>0.55</v>
      </c>
      <c r="E21" s="256" t="n">
        <f aca="false">ROUND((PARAMETROS!B5-2*PARAMETROS!B8)/PARAMETROS!B9,0)+1</f>
        <v>5.0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1184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1185</v>
      </c>
      <c r="C38" s="284" t="n">
        <v>1.83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1186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1187</v>
      </c>
      <c r="C40" s="284" t="n">
        <v>0.152</v>
      </c>
      <c r="D40" s="285" t="s">
        <v>602</v>
      </c>
      <c r="E40" s="286" t="s">
        <v>605</v>
      </c>
    </row>
    <row r="41" customFormat="false" ht="15" hidden="false" customHeight="true" outlineLevel="0" collapsed="false">
      <c r="A41" s="283" t="n">
        <v>32</v>
      </c>
      <c r="B41" s="149" t="s">
        <v>1188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1.0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0.0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0.0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1.0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1.0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5.0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757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'COLECTOR PARAMETROS'!$C$57+0.5-'COLECTOR PARAMETROS'!$C$56</f>
        <v>0.841999999999985</v>
      </c>
      <c r="G38" s="298" t="n">
        <v>-1</v>
      </c>
      <c r="H38" s="21"/>
      <c r="I38" s="21"/>
      <c r="J38" s="290" t="n">
        <f aca="false">D38*E38*F38*G38</f>
        <v>-0.189449999999997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10.0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3.0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10.0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-7.0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4.53719999999988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4.53719999999988</v>
      </c>
      <c r="I52" s="296" t="n">
        <f aca="false">G52+H52</f>
        <v>35.8622159999999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5.0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1.0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1.0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10.0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132.0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0.0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21.0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34.0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55.0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39.0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0.0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22.0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14.0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0.0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22.0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89.0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0.0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22.0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41.0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0.0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23.0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15.0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0.0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23.0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53.0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53.0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1.0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148.0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148.0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10.0</v>
      </c>
      <c r="G33" s="289" t="n">
        <v>1.4</v>
      </c>
      <c r="H33" s="290" t="n">
        <f aca="false">E33*F33*G33</f>
        <v>112.0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10.0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10.0</v>
      </c>
      <c r="G35" s="289" t="n">
        <v>0.4</v>
      </c>
      <c r="H35" s="290" t="n">
        <f aca="false">E35*F35*G35</f>
        <v>8.0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10.0</v>
      </c>
      <c r="G36" s="289" t="n">
        <v>0.2</v>
      </c>
      <c r="H36" s="290" t="n">
        <f aca="false">E36*F36*G36</f>
        <v>16.0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1189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10.0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1190</v>
      </c>
      <c r="C23" s="285" t="s">
        <v>60</v>
      </c>
      <c r="D23" s="283" t="s">
        <v>894</v>
      </c>
      <c r="E23" s="296" t="n">
        <f aca="false">E19</f>
        <v>10.0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10.0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1191</v>
      </c>
      <c r="E25" s="296" t="n">
        <f aca="false">E19*('COLECTOR PARAMETROS'!$C$36*'COLECTOR PARAMETROS'!$C$38+'COLECTOR PARAMETROS'!$C$37*'COLECTOR PARAMETROS'!$C$39)</f>
        <v>101.016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10.0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1192</v>
      </c>
      <c r="E28" s="296" t="n">
        <f aca="false">E19*('COLECTOR PARAMETROS'!$C$36*'COLECTOR PARAMETROS'!$C$40+'COLECTOR PARAMETROS'!$C$37*'COLECTOR PARAMETROS'!$C$41)</f>
        <v>8.3904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1468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17.0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1469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1470</v>
      </c>
    </row>
    <row r="16" customFormat="false" ht="30" hidden="false" customHeight="true" outlineLevel="0" collapsed="false">
      <c r="A16" s="283" t="n">
        <v>2</v>
      </c>
      <c r="B16" s="149" t="s">
        <v>1471</v>
      </c>
      <c r="C16" s="301" t="s">
        <v>523</v>
      </c>
      <c r="D16" s="298" t="n">
        <v>0.0</v>
      </c>
      <c r="E16" s="290" t="n">
        <f aca="false">'COLECTOR PARAMETROS'!$C$64</f>
        <v>69.887</v>
      </c>
      <c r="F16" s="290" t="n">
        <f aca="false">D16*E16</f>
        <v>0.0</v>
      </c>
      <c r="G16" s="286" t="s">
        <v>1472</v>
      </c>
    </row>
    <row r="17" customFormat="false" ht="30" hidden="false" customHeight="true" outlineLevel="0" collapsed="false">
      <c r="A17" s="283"/>
      <c r="B17" s="149"/>
      <c r="C17" s="283"/>
      <c r="D17" s="298"/>
      <c r="E17" s="290"/>
      <c r="F17" s="290"/>
      <c r="G17" s="286"/>
    </row>
    <row r="18" customFormat="false" ht="30" hidden="false" customHeight="true" outlineLevel="0" collapsed="false">
      <c r="A18" s="283"/>
      <c r="B18" s="149"/>
      <c r="C18" s="283"/>
      <c r="D18" s="298"/>
      <c r="E18" s="290"/>
      <c r="F18" s="290"/>
      <c r="G18" s="286"/>
    </row>
    <row r="19" customFormat="false" ht="21.75" hidden="false" customHeight="true" outlineLevel="0" collapsed="false">
      <c r="A19" s="291" t="s">
        <v>1473</v>
      </c>
      <c r="B19" s="302"/>
      <c r="C19" s="292"/>
      <c r="D19" s="292"/>
      <c r="E19" s="292"/>
      <c r="F19" s="293" t="n">
        <f aca="false">SUM(F15:F18)</f>
        <v>58.805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1.0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1.0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1.0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1.0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1.0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1.0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6.0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35.8622159999999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348.939361679999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18.6483523199999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19.0069744799999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6.67037217599998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35.8622159999999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35.8622159999999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35.8622159999999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35.8622159999999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286.897727999999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101.016</v>
      </c>
      <c r="E60" s="295" t="s">
        <v>1196</v>
      </c>
      <c r="F60" s="285" t="s">
        <v>50</v>
      </c>
      <c r="G60" s="284" t="n">
        <v>1.05</v>
      </c>
      <c r="H60" s="296" t="n">
        <f aca="false">G60*$D$60</f>
        <v>106.0668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3.03048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10.1016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10.1016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8.3904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0.671232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0.671232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1197</v>
      </c>
      <c r="F66" s="285" t="s">
        <v>60</v>
      </c>
      <c r="G66" s="284" t="n">
        <v>0.25</v>
      </c>
      <c r="H66" s="296" t="n">
        <f aca="false">G66*$D$64</f>
        <v>2.0976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1198</v>
      </c>
      <c r="F67" s="285" t="s">
        <v>981</v>
      </c>
      <c r="G67" s="284" t="n">
        <v>0.024</v>
      </c>
      <c r="H67" s="296" t="n">
        <f aca="false">G67*$D$64</f>
        <v>0.2013696</v>
      </c>
    </row>
    <row r="68" customFormat="false" ht="19.5" hidden="false" customHeight="true" outlineLevel="0" collapsed="false">
      <c r="A68" s="21"/>
      <c r="B68" s="304"/>
      <c r="C68" s="21"/>
      <c r="D68" s="21"/>
      <c r="E68" s="295" t="s">
        <v>952</v>
      </c>
      <c r="F68" s="285" t="s">
        <v>953</v>
      </c>
      <c r="G68" s="284" t="n">
        <v>0.4</v>
      </c>
      <c r="H68" s="296" t="n">
        <f aca="false">G68*$D$64</f>
        <v>3.35616</v>
      </c>
    </row>
    <row r="69" customFormat="false" ht="19.5" hidden="false" customHeight="true" outlineLevel="0" collapsed="false">
      <c r="A69" s="283" t="n">
        <v>12</v>
      </c>
      <c r="B69" s="295" t="s">
        <v>985</v>
      </c>
      <c r="C69" s="285" t="s">
        <v>57</v>
      </c>
      <c r="D69" s="290" t="n">
        <f aca="false">'PLANILLA GENERAL DE METRADOS'!K321</f>
        <v>100.64</v>
      </c>
      <c r="E69" s="295" t="s">
        <v>986</v>
      </c>
      <c r="F69" s="285" t="s">
        <v>168</v>
      </c>
      <c r="G69" s="306" t="n">
        <f aca="false">'ACU JUNTA DILATACION'!$D$14*(1+'ACU JUNTA DILATACION'!$D$15)</f>
        <v>0.140844594594595</v>
      </c>
      <c r="H69" s="296" t="n">
        <f aca="false">G69*$D$69</f>
        <v>14.1746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987</v>
      </c>
      <c r="F70" s="285" t="inlineStr">
        <is>
          <t>m3</t>
        </is>
      </c>
      <c r="G70" s="306" t="n">
        <f aca="false">'ACU JUNTA DILATACION'!$D$20</f>
        <v>0.00111595243243243</v>
      </c>
      <c r="H70" s="296" t="n">
        <f aca="false">G70*$D$69</f>
        <v>0.1123094528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952</v>
      </c>
      <c r="F71" s="285" t="s">
        <v>953</v>
      </c>
      <c r="G71" s="284" t="n">
        <v>0.2</v>
      </c>
      <c r="H71" s="296" t="n">
        <f aca="false">G71*$D$69</f>
        <v>20.128</v>
      </c>
    </row>
    <row r="72" customFormat="false" ht="19.5" hidden="false" customHeight="true" outlineLevel="0" collapsed="false">
      <c r="A72" s="21"/>
      <c r="B72" s="304"/>
      <c r="C72" s="21"/>
      <c r="D72" s="21"/>
      <c r="E72" s="295" t="s">
        <v>955</v>
      </c>
      <c r="F72" s="285" t="s">
        <v>953</v>
      </c>
      <c r="G72" s="284" t="n">
        <v>0.2</v>
      </c>
      <c r="H72" s="296" t="n">
        <f aca="false">G72*$D$69</f>
        <v>20.128</v>
      </c>
    </row>
    <row r="73" customFormat="false" ht="19.5" hidden="false" customHeight="true" outlineLevel="0" collapsed="false">
      <c r="A73" s="283" t="n">
        <v>13</v>
      </c>
      <c r="B73" s="295" t="s">
        <v>988</v>
      </c>
      <c r="C73" s="285" t="s">
        <v>57</v>
      </c>
      <c r="D73" s="290" t="n">
        <f aca="false">'PLANILLA GENERAL DE METRADOS'!K322</f>
        <v>58.805</v>
      </c>
      <c r="E73" s="295" t="s">
        <v>986</v>
      </c>
      <c r="F73" s="285" t="s">
        <v>168</v>
      </c>
      <c r="G73" s="306" t="n">
        <f aca="false">'ACU JUNTA CERCO'!$D$16*(1+'ACU JUNTA CERCO'!$D$17)</f>
        <v>0.945</v>
      </c>
      <c r="H73" s="296" t="n">
        <f aca="false">G73*$D$73</f>
        <v>55.570725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955</v>
      </c>
      <c r="F74" s="285" t="s">
        <v>953</v>
      </c>
      <c r="G74" s="284" t="n">
        <v>0.1</v>
      </c>
      <c r="H74" s="296" t="n">
        <f aca="false">G74*$D$73</f>
        <v>5.8805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987</v>
      </c>
      <c r="F75" s="285" t="inlineStr">
        <is>
          <t>m3</t>
        </is>
      </c>
      <c r="G75" s="306" t="n">
        <f aca="false">'ACU JUNTA CERCO'!$D$20</f>
        <v>0.00129032</v>
      </c>
      <c r="H75" s="296" t="n">
        <f aca="false">G75*$D$73</f>
        <v>0.0758772676</v>
      </c>
    </row>
    <row r="76" customFormat="false" ht="19.5" hidden="false" customHeight="true" outlineLevel="0" collapsed="false">
      <c r="A76" s="21"/>
      <c r="B76" s="304"/>
      <c r="C76" s="21"/>
      <c r="D76" s="21"/>
      <c r="E76" s="295" t="s">
        <v>952</v>
      </c>
      <c r="F76" s="285" t="s">
        <v>953</v>
      </c>
      <c r="G76" s="284" t="n">
        <v>0.05</v>
      </c>
      <c r="H76" s="296" t="n">
        <f aca="false">G76*$D$73</f>
        <v>2.94025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1221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1199</v>
      </c>
      <c r="C11" s="285" t="s">
        <v>60</v>
      </c>
      <c r="D11" s="290" t="n">
        <f aca="false">+'COLECTOR REGISTROS Y TAPAS'!E23</f>
        <v>10.0</v>
      </c>
      <c r="E11" s="305" t="n">
        <f aca="false">+'COLECTOR REGISTROS Y TAPAS'!E19</f>
        <v>10.0</v>
      </c>
      <c r="F11" s="306" t="n">
        <f aca="false">D11/E11</f>
        <v>1.0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10.0</v>
      </c>
      <c r="E12" s="305" t="n">
        <f aca="false">+'COLECTOR REGISTROS Y TAPAS'!E19</f>
        <v>10.0</v>
      </c>
      <c r="F12" s="306" t="n">
        <f aca="false">D12/E12</f>
        <v>1.0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101.016</v>
      </c>
      <c r="E13" s="305" t="n">
        <f aca="false">+'COLECTOR REGISTROS Y TAPAS'!E19</f>
        <v>10.0</v>
      </c>
      <c r="F13" s="306" t="n">
        <f aca="false">D13/E13</f>
        <v>10.1016</v>
      </c>
      <c r="G13" s="283" t="s">
        <v>1003</v>
      </c>
      <c r="H13" s="149" t="s">
        <v>1200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10.0</v>
      </c>
      <c r="E14" s="305" t="n">
        <f aca="false">+'COLECTOR REGISTROS Y TAPAS'!E19</f>
        <v>10.0</v>
      </c>
      <c r="F14" s="306" t="n">
        <f aca="false">D14/E14</f>
        <v>1.0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10.0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10.0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8.3904</v>
      </c>
      <c r="E17" s="305" t="n">
        <f aca="false">+'COLECTOR REGISTROS Y TAPAS'!E19</f>
        <v>10.0</v>
      </c>
      <c r="F17" s="306" t="n">
        <f aca="false">D17/E17</f>
        <v>0.83904</v>
      </c>
      <c r="G17" s="283" t="s">
        <v>1014</v>
      </c>
      <c r="H17" s="149" t="s">
        <v>1201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1026</v>
      </c>
      <c r="C22" s="285" t="s">
        <v>50</v>
      </c>
      <c r="D22" s="306" t="n">
        <f aca="false">'COLECTOR PARAMETROS'!C36*'COLECTOR PARAMETROS'!C38</f>
        <v>5.124</v>
      </c>
      <c r="E22" s="306" t="n">
        <f aca="false">+'COLECTOR INSUMOS'!G60</f>
        <v>1.05</v>
      </c>
      <c r="F22" s="306" t="n">
        <f aca="false">D22*E22</f>
        <v>5.3802</v>
      </c>
      <c r="G22" s="290" t="n">
        <f aca="false">F22*SUMIF($B$68:$B$93,B22,$F$68:$F$93)</f>
        <v>16.571016</v>
      </c>
      <c r="H22" s="149" t="s">
        <v>1202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16.0975584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10.1016</v>
      </c>
      <c r="E24" s="306" t="n">
        <f aca="false">+'COLECTOR INSUMOS'!G61</f>
        <v>0.03</v>
      </c>
      <c r="F24" s="306" t="n">
        <f aca="false">D24*E24</f>
        <v>0.303048</v>
      </c>
      <c r="G24" s="290" t="n">
        <f aca="false">F24*SUMIF($B$68:$B$93,B24,$F$68:$F$93)</f>
        <v>5.64578424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10.1016</v>
      </c>
      <c r="E25" s="306" t="n">
        <f aca="false">+'COLECTOR INSUMOS'!G62</f>
        <v>0.1</v>
      </c>
      <c r="F25" s="306" t="n">
        <f aca="false">D25*E25</f>
        <v>1.01016</v>
      </c>
      <c r="G25" s="290" t="n">
        <f aca="false">F25*SUMIF($B$68:$B$93,B25,$F$68:$F$93)</f>
        <v>29.244132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10.1016</v>
      </c>
      <c r="E26" s="306" t="n">
        <f aca="false">+'COLECTOR INSUMOS'!G63</f>
        <v>0.1</v>
      </c>
      <c r="F26" s="306" t="n">
        <f aca="false">D26*E26</f>
        <v>1.01016</v>
      </c>
      <c r="G26" s="290" t="n">
        <f aca="false">F26*SUMIF($B$68:$B$93,B26,$F$68:$F$93)</f>
        <v>22.9104288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10.1016</v>
      </c>
      <c r="E27" s="306" t="n">
        <f aca="false">+'COLECTOR INSUMOS'!G62</f>
        <v>0.1</v>
      </c>
      <c r="F27" s="306" t="n">
        <f aca="false">D27*E27</f>
        <v>1.01016</v>
      </c>
      <c r="G27" s="290" t="n">
        <f aca="false">F27*SUMIF($B$68:$B$93,B27,$F$68:$F$93)</f>
        <v>8.08128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98.55019944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11.1327017088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0.7825139712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0.05731466496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0.376134656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0.326121472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0.85673472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0.671182848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4.862820352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21.05923412736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1.0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5.0715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5.0715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62.6234112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16.06155264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12.582936576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96.552400896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0.83904</v>
      </c>
      <c r="E50" s="306" t="n">
        <f aca="false">+'COLECTOR INSUMOS'!G64</f>
        <v>0.08</v>
      </c>
      <c r="F50" s="306" t="n">
        <f aca="false">D50*E50</f>
        <v>0.0671232</v>
      </c>
      <c r="G50" s="290" t="n">
        <f aca="false">F50*SUMIF($B$68:$B$93,B50,$F$68:$F$93)</f>
        <v>3.015174144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0.83904</v>
      </c>
      <c r="E51" s="306" t="n">
        <f aca="false">+'COLECTOR INSUMOS'!G65</f>
        <v>0.08</v>
      </c>
      <c r="F51" s="306" t="n">
        <f aca="false">D51*E51</f>
        <v>0.0671232</v>
      </c>
      <c r="G51" s="290" t="n">
        <f aca="false">F51*SUMIF($B$68:$B$93,B51,$F$68:$F$93)</f>
        <v>3.242721792</v>
      </c>
      <c r="H51" s="149" t="s">
        <v>1036</v>
      </c>
    </row>
    <row r="52" customFormat="false" ht="19.5" hidden="false" customHeight="true" outlineLevel="0" collapsed="false">
      <c r="A52" s="21"/>
      <c r="B52" s="295" t="s">
        <v>1197</v>
      </c>
      <c r="C52" s="285" t="s">
        <v>60</v>
      </c>
      <c r="D52" s="306" t="n">
        <f aca="false">F17</f>
        <v>0.83904</v>
      </c>
      <c r="E52" s="306" t="n">
        <f aca="false">+'COLECTOR INSUMOS'!G66</f>
        <v>0.25</v>
      </c>
      <c r="F52" s="306" t="n">
        <f aca="false">D52*E52</f>
        <v>0.20976</v>
      </c>
      <c r="G52" s="290" t="n">
        <f aca="false">F52*SUMIF($B$68:$B$93,B52,$F$68:$F$93)</f>
        <v>0.4446912</v>
      </c>
      <c r="H52" s="149" t="s">
        <v>1203</v>
      </c>
    </row>
    <row r="53" customFormat="false" ht="19.5" hidden="false" customHeight="true" outlineLevel="0" collapsed="false">
      <c r="A53" s="21"/>
      <c r="B53" s="295" t="s">
        <v>1198</v>
      </c>
      <c r="C53" s="285" t="s">
        <v>981</v>
      </c>
      <c r="D53" s="306" t="n">
        <f aca="false">F17</f>
        <v>0.83904</v>
      </c>
      <c r="E53" s="306" t="n">
        <f aca="false">+'COLECTOR INSUMOS'!G67</f>
        <v>0.024</v>
      </c>
      <c r="F53" s="306" t="n">
        <f aca="false">D53*E53</f>
        <v>0.02013696</v>
      </c>
      <c r="G53" s="290" t="n">
        <f aca="false">F53*SUMIF($B$68:$B$93,B53,$F$68:$F$93)</f>
        <v>0.717882624</v>
      </c>
      <c r="H53" s="149" t="s">
        <v>1204</v>
      </c>
    </row>
    <row r="54" customFormat="false" ht="19.5" hidden="false" customHeight="true" outlineLevel="0" collapsed="false">
      <c r="A54" s="21"/>
      <c r="B54" s="295" t="s">
        <v>952</v>
      </c>
      <c r="C54" s="285" t="s">
        <v>953</v>
      </c>
      <c r="D54" s="306" t="n">
        <f aca="false">F17</f>
        <v>0.83904</v>
      </c>
      <c r="E54" s="306" t="n">
        <f aca="false">+'COLECTOR INSUMOS'!G68</f>
        <v>0.4</v>
      </c>
      <c r="F54" s="306" t="n">
        <f aca="false">D54*E54</f>
        <v>0.335616</v>
      </c>
      <c r="G54" s="290" t="n">
        <f aca="false">F54*SUMIF($B$68:$B$93,B54,$F$68:$F$93)</f>
        <v>9.7160832</v>
      </c>
      <c r="H54" s="149" t="s">
        <v>1036</v>
      </c>
    </row>
    <row r="55" customFormat="false" ht="19.5" hidden="false" customHeight="true" outlineLevel="0" collapsed="false">
      <c r="A55" s="21"/>
      <c r="B55" s="294" t="s">
        <v>1049</v>
      </c>
      <c r="C55" s="295"/>
      <c r="D55" s="295"/>
      <c r="E55" s="295"/>
      <c r="F55" s="295"/>
      <c r="G55" s="296" t="n">
        <f aca="false">SUM(G50:G54)</f>
        <v>17.13655296</v>
      </c>
      <c r="H55" s="295"/>
    </row>
    <row r="56" customFormat="false" ht="31.5" hidden="false" customHeight="true" outlineLevel="0" collapsed="false">
      <c r="A56" s="283" t="s">
        <v>1050</v>
      </c>
      <c r="B56" s="294" t="s">
        <v>1051</v>
      </c>
      <c r="C56" s="294"/>
      <c r="D56" s="294"/>
      <c r="E56" s="294"/>
      <c r="F56" s="294"/>
      <c r="G56" s="294"/>
      <c r="H56" s="294"/>
    </row>
    <row r="57" customFormat="false" ht="19.5" hidden="false" customHeight="true" outlineLevel="0" collapsed="false">
      <c r="A57" s="21"/>
      <c r="B57" s="295" t="s">
        <v>952</v>
      </c>
      <c r="C57" s="285" t="s">
        <v>953</v>
      </c>
      <c r="D57" s="306" t="n">
        <f aca="false">F14</f>
        <v>1.0</v>
      </c>
      <c r="E57" s="307" t="n">
        <v>1</v>
      </c>
      <c r="F57" s="306" t="n">
        <f aca="false">D57*E57</f>
        <v>1.0</v>
      </c>
      <c r="G57" s="290" t="n">
        <f aca="false">F57*SUMIF($B$68:$B$93,B57,$F$68:$F$93)</f>
        <v>28.95</v>
      </c>
      <c r="H57" s="149" t="s">
        <v>1052</v>
      </c>
    </row>
    <row r="58" customFormat="false" ht="19.5" hidden="false" customHeight="true" outlineLevel="0" collapsed="false">
      <c r="A58" s="21"/>
      <c r="B58" s="295" t="s">
        <v>955</v>
      </c>
      <c r="C58" s="285" t="s">
        <v>953</v>
      </c>
      <c r="D58" s="306" t="n">
        <f aca="false">F14</f>
        <v>1.0</v>
      </c>
      <c r="E58" s="307" t="n">
        <v>1</v>
      </c>
      <c r="F58" s="306" t="n">
        <f aca="false">D58*E58</f>
        <v>1.0</v>
      </c>
      <c r="G58" s="290" t="n">
        <f aca="false">F58*SUMIF($B$68:$B$93,B58,$F$68:$F$93)</f>
        <v>20.54</v>
      </c>
      <c r="H58" s="149" t="s">
        <v>1052</v>
      </c>
    </row>
    <row r="59" customFormat="false" ht="19.5" hidden="false" customHeight="true" outlineLevel="0" collapsed="false">
      <c r="A59" s="21"/>
      <c r="B59" s="294" t="s">
        <v>1053</v>
      </c>
      <c r="C59" s="295"/>
      <c r="D59" s="295"/>
      <c r="E59" s="295"/>
      <c r="F59" s="295"/>
      <c r="G59" s="296" t="n">
        <f aca="false">SUM(G57:G58)</f>
        <v>49.49</v>
      </c>
      <c r="H59" s="295"/>
    </row>
    <row r="60" customFormat="false" ht="19.5" hidden="false" customHeight="true" outlineLevel="0" collapsed="false">
      <c r="A60" s="295"/>
      <c r="B60" s="294" t="s">
        <v>1054</v>
      </c>
      <c r="C60" s="295"/>
      <c r="D60" s="295"/>
      <c r="E60" s="295"/>
      <c r="F60" s="295"/>
      <c r="G60" s="296" t="n">
        <f aca="false">+G28+G39+G42+G48+G55+G59</f>
        <v>287.85988742336</v>
      </c>
      <c r="H60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10.0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2.73021440919798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1.0</v>
      </c>
      <c r="E69" s="306" t="n">
        <f aca="false">SUMIF($B$21:$B$59,B69,$F$21:$F$59)</f>
        <v>2.9301728</v>
      </c>
      <c r="F69" s="289" t="n">
        <f aca="false">'COSTO HORA HOMBRE 2026'!$G$11</f>
        <v>28.95</v>
      </c>
      <c r="G69" s="290" t="n">
        <f aca="false">E69*F69</f>
        <v>84.82850256</v>
      </c>
      <c r="H69" s="149" t="s">
        <v>1467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0.544185243955578</v>
      </c>
      <c r="E70" s="306" t="n">
        <f aca="false">SUMIF($B$21:$B$59,B70,$F$21:$F$59)</f>
        <v>1.5945568</v>
      </c>
      <c r="F70" s="289" t="n">
        <f aca="false">'COSTO HORA HOMBRE 2026'!$G$12</f>
        <v>22.68</v>
      </c>
      <c r="G70" s="290" t="n">
        <f aca="false">E70*F70</f>
        <v>36.164548224</v>
      </c>
      <c r="H70" s="149" t="s">
        <v>1467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0.422073674289789</v>
      </c>
      <c r="E71" s="306" t="n">
        <f aca="false">SUMIF($B$21:$B$59,B71,$F$21:$F$59)</f>
        <v>1.2367488</v>
      </c>
      <c r="F71" s="289" t="n">
        <f aca="false">'COSTO HORA HOMBRE 2026'!$G$13</f>
        <v>20.54</v>
      </c>
      <c r="G71" s="290" t="n">
        <f aca="false">E71*F71</f>
        <v>25.402820352</v>
      </c>
      <c r="H71" s="149" t="s">
        <v>1467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146.395871136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1026</v>
      </c>
      <c r="C74" s="285" t="s">
        <v>50</v>
      </c>
      <c r="D74" s="295"/>
      <c r="E74" s="306" t="n">
        <f aca="false">SUMIF($B$21:$B$59,B74,$F$21:$F$59)</f>
        <v>10.60668</v>
      </c>
      <c r="F74" s="289" t="n">
        <v>3.08</v>
      </c>
      <c r="G74" s="290" t="n">
        <f aca="false">E74*F74</f>
        <v>32.6685744</v>
      </c>
      <c r="H74" s="149" t="s">
        <v>1205</v>
      </c>
    </row>
    <row r="75" customFormat="false" ht="19.5" hidden="false" customHeight="true" outlineLevel="0" collapsed="false">
      <c r="A75" s="283" t="n">
        <v>5</v>
      </c>
      <c r="B75" s="295" t="s">
        <v>1028</v>
      </c>
      <c r="C75" s="285" t="s">
        <v>50</v>
      </c>
      <c r="D75" s="295"/>
      <c r="E75" s="306" t="n">
        <f aca="false">SUMIF($B$21:$B$59,B75,$F$21:$F$59)</f>
        <v>0.303048</v>
      </c>
      <c r="F75" s="289" t="n">
        <v>18.63</v>
      </c>
      <c r="G75" s="290" t="n">
        <f aca="false">E75*F75</f>
        <v>5.64578424</v>
      </c>
      <c r="H75" s="149" t="s">
        <v>1206</v>
      </c>
    </row>
    <row r="76" customFormat="false" ht="19.5" hidden="false" customHeight="true" outlineLevel="0" collapsed="false">
      <c r="A76" s="283" t="n">
        <v>6</v>
      </c>
      <c r="B76" s="295" t="s">
        <v>944</v>
      </c>
      <c r="C76" s="285" t="s">
        <v>945</v>
      </c>
      <c r="D76" s="295"/>
      <c r="E76" s="306" t="n">
        <f aca="false">SUMIF($B$21:$B$59,B76,$F$21:$F$59)</f>
        <v>0.35993216</v>
      </c>
      <c r="F76" s="289" t="n">
        <v>30.93</v>
      </c>
      <c r="G76" s="290" t="n">
        <f aca="false">E76*F76</f>
        <v>11.1327017088</v>
      </c>
      <c r="H76" s="149" t="s">
        <v>1207</v>
      </c>
    </row>
    <row r="77" customFormat="false" ht="19.5" hidden="false" customHeight="true" outlineLevel="0" collapsed="false">
      <c r="A77" s="283" t="n">
        <v>7</v>
      </c>
      <c r="B77" s="295" t="s">
        <v>946</v>
      </c>
      <c r="C77" s="285" t="s">
        <v>167</v>
      </c>
      <c r="D77" s="295"/>
      <c r="E77" s="306" t="n">
        <f aca="false">SUMIF($B$21:$B$59,B77,$F$21:$F$59)</f>
        <v>0.01923584</v>
      </c>
      <c r="F77" s="289" t="n">
        <v>40.68</v>
      </c>
      <c r="G77" s="290" t="n">
        <f aca="false">E77*F77</f>
        <v>0.7825139712</v>
      </c>
      <c r="H77" s="149" t="s">
        <v>1208</v>
      </c>
    </row>
    <row r="78" customFormat="false" ht="19.5" hidden="false" customHeight="true" outlineLevel="0" collapsed="false">
      <c r="A78" s="283" t="n">
        <v>8</v>
      </c>
      <c r="B78" s="295" t="s">
        <v>947</v>
      </c>
      <c r="C78" s="285" t="s">
        <v>167</v>
      </c>
      <c r="D78" s="295"/>
      <c r="E78" s="306" t="n">
        <f aca="false">SUMIF($B$21:$B$59,B78,$F$21:$F$59)</f>
        <v>0.01960576</v>
      </c>
      <c r="F78" s="289" t="n">
        <v>101.69</v>
      </c>
      <c r="G78" s="290" t="n">
        <f aca="false">E78*F78</f>
        <v>1.9937097344</v>
      </c>
      <c r="H78" s="149" t="s">
        <v>1209</v>
      </c>
    </row>
    <row r="79" customFormat="false" ht="19.5" hidden="false" customHeight="true" outlineLevel="0" collapsed="false">
      <c r="A79" s="283" t="n">
        <v>9</v>
      </c>
      <c r="B79" s="295" t="s">
        <v>948</v>
      </c>
      <c r="C79" s="285" t="s">
        <v>167</v>
      </c>
      <c r="D79" s="295"/>
      <c r="E79" s="306" t="n">
        <f aca="false">SUMIF($B$21:$B$59,B79,$F$21:$F$59)</f>
        <v>0.006880512</v>
      </c>
      <c r="F79" s="289" t="n">
        <v>8.33</v>
      </c>
      <c r="G79" s="290" t="n">
        <f aca="false">E79*F79</f>
        <v>0.05731466496</v>
      </c>
      <c r="H79" s="149" t="s">
        <v>1210</v>
      </c>
    </row>
    <row r="80" customFormat="false" ht="19.5" hidden="false" customHeight="true" outlineLevel="0" collapsed="false">
      <c r="A80" s="283" t="n">
        <v>10</v>
      </c>
      <c r="B80" s="295" t="s">
        <v>959</v>
      </c>
      <c r="C80" s="285" t="s">
        <v>960</v>
      </c>
      <c r="D80" s="295"/>
      <c r="E80" s="306" t="n">
        <f aca="false">SUMIF($B$21:$B$59,B80,$F$21:$F$59)</f>
        <v>1.15</v>
      </c>
      <c r="F80" s="289" t="n">
        <v>4.41</v>
      </c>
      <c r="G80" s="290" t="n">
        <f aca="false">E80*F80</f>
        <v>5.0715</v>
      </c>
      <c r="H80" s="149" t="s">
        <v>1211</v>
      </c>
    </row>
    <row r="81" customFormat="false" ht="19.5" hidden="false" customHeight="true" outlineLevel="0" collapsed="false">
      <c r="A81" s="283" t="n">
        <v>11</v>
      </c>
      <c r="B81" s="295" t="s">
        <v>1044</v>
      </c>
      <c r="C81" s="285" t="s">
        <v>50</v>
      </c>
      <c r="D81" s="295"/>
      <c r="E81" s="306" t="n">
        <f aca="false">SUMIF($B$21:$B$59,B81,$F$21:$F$59)</f>
        <v>18.20448</v>
      </c>
      <c r="F81" s="289" t="n">
        <v>3.44</v>
      </c>
      <c r="G81" s="290" t="n">
        <f aca="false">E81*F81</f>
        <v>62.6234112</v>
      </c>
      <c r="H81" s="149" t="s">
        <v>1212</v>
      </c>
    </row>
    <row r="82" customFormat="false" ht="19.5" hidden="false" customHeight="true" outlineLevel="0" collapsed="false">
      <c r="A82" s="283" t="n">
        <v>12</v>
      </c>
      <c r="B82" s="295" t="s">
        <v>965</v>
      </c>
      <c r="C82" s="285" t="s">
        <v>50</v>
      </c>
      <c r="D82" s="295"/>
      <c r="E82" s="306" t="n">
        <f aca="false">SUMIF($B$21:$B$59,B82,$F$21:$F$59)</f>
        <v>1.040256</v>
      </c>
      <c r="F82" s="289" t="n">
        <v>5.08</v>
      </c>
      <c r="G82" s="290" t="n">
        <f aca="false">E82*F82</f>
        <v>5.28450048</v>
      </c>
      <c r="H82" s="149" t="s">
        <v>1213</v>
      </c>
    </row>
    <row r="83" customFormat="false" ht="19.5" hidden="false" customHeight="true" outlineLevel="0" collapsed="false">
      <c r="A83" s="283" t="n">
        <v>13</v>
      </c>
      <c r="B83" s="295" t="s">
        <v>980</v>
      </c>
      <c r="C83" s="285" t="s">
        <v>981</v>
      </c>
      <c r="D83" s="295"/>
      <c r="E83" s="306" t="n">
        <f aca="false">SUMIF($B$21:$B$59,B83,$F$21:$F$59)</f>
        <v>0.0671232</v>
      </c>
      <c r="F83" s="289" t="n">
        <v>44.92</v>
      </c>
      <c r="G83" s="290" t="n">
        <f aca="false">E83*F83</f>
        <v>3.015174144</v>
      </c>
      <c r="H83" s="149" t="s">
        <v>1214</v>
      </c>
    </row>
    <row r="84" customFormat="false" ht="19.5" hidden="false" customHeight="true" outlineLevel="0" collapsed="false">
      <c r="A84" s="283" t="n">
        <v>14</v>
      </c>
      <c r="B84" s="295" t="s">
        <v>982</v>
      </c>
      <c r="C84" s="285" t="s">
        <v>981</v>
      </c>
      <c r="D84" s="295"/>
      <c r="E84" s="306" t="n">
        <f aca="false">SUMIF($B$21:$B$59,B84,$F$21:$F$59)</f>
        <v>0.0671232</v>
      </c>
      <c r="F84" s="289" t="n">
        <v>48.31</v>
      </c>
      <c r="G84" s="290" t="n">
        <f aca="false">E84*F84</f>
        <v>3.242721792</v>
      </c>
      <c r="H84" s="149" t="s">
        <v>1215</v>
      </c>
    </row>
    <row r="85" customFormat="false" ht="19.5" hidden="false" customHeight="true" outlineLevel="0" collapsed="false">
      <c r="A85" s="283" t="n">
        <v>15</v>
      </c>
      <c r="B85" s="295" t="s">
        <v>1197</v>
      </c>
      <c r="C85" s="285" t="s">
        <v>60</v>
      </c>
      <c r="D85" s="295"/>
      <c r="E85" s="306" t="n">
        <f aca="false">SUMIF($B$21:$B$59,B85,$F$21:$F$59)</f>
        <v>0.20976</v>
      </c>
      <c r="F85" s="289" t="n">
        <v>2.12</v>
      </c>
      <c r="G85" s="290" t="n">
        <f aca="false">E85*F85</f>
        <v>0.4446912</v>
      </c>
      <c r="H85" s="149" t="s">
        <v>1216</v>
      </c>
    </row>
    <row r="86" customFormat="false" ht="19.5" hidden="false" customHeight="true" outlineLevel="0" collapsed="false">
      <c r="A86" s="283" t="n">
        <v>16</v>
      </c>
      <c r="B86" s="295" t="s">
        <v>1198</v>
      </c>
      <c r="C86" s="285" t="s">
        <v>981</v>
      </c>
      <c r="D86" s="295"/>
      <c r="E86" s="306" t="n">
        <f aca="false">SUMIF($B$21:$B$59,B86,$F$21:$F$59)</f>
        <v>0.02013696</v>
      </c>
      <c r="F86" s="289" t="n">
        <v>35.65</v>
      </c>
      <c r="G86" s="290" t="n">
        <f aca="false">E86*F86</f>
        <v>0.717882624</v>
      </c>
      <c r="H86" s="149" t="s">
        <v>1217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132.68048015936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146.395871136</v>
      </c>
      <c r="G89" s="290" t="n">
        <f aca="false">E89*F89</f>
        <v>4.39187613408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0.0100996091425052</v>
      </c>
      <c r="E90" s="306" t="n">
        <f aca="false">SUMIF($B$21:$B$59,B90,$F$21:$F$59)</f>
        <v>0.0295936</v>
      </c>
      <c r="F90" s="289" t="n">
        <v>12.71</v>
      </c>
      <c r="G90" s="290" t="n">
        <f aca="false">E90*F90</f>
        <v>0.376134656</v>
      </c>
      <c r="H90" s="149" t="s">
        <v>1218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0.0100996091425052</v>
      </c>
      <c r="E91" s="306" t="n">
        <f aca="false">SUMIF($B$21:$B$59,B91,$F$21:$F$59)</f>
        <v>0.0295936</v>
      </c>
      <c r="F91" s="289" t="n">
        <v>11.02</v>
      </c>
      <c r="G91" s="290" t="n">
        <f aca="false">E91*F91</f>
        <v>0.326121472</v>
      </c>
      <c r="H91" s="149" t="s">
        <v>1219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0.344744173449429</v>
      </c>
      <c r="E92" s="306" t="n">
        <f aca="false">SUMIF($B$21:$B$59,B92,$F$21:$F$59)</f>
        <v>1.01016</v>
      </c>
      <c r="F92" s="289" t="n">
        <v>8.0</v>
      </c>
      <c r="G92" s="290" t="n">
        <f aca="false">E92*F92</f>
        <v>8.08128</v>
      </c>
      <c r="H92" s="149" t="s">
        <v>1220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13.17541226208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292.25176355744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2922.5176355744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IF(ABS(G60+G89-G94)&lt;0.005,"CONFORME","REVISAR")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6:H56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f aca="false">'COSTO HORA HOMBRE 2026'!$G$11</f>
        <v>28.95</v>
      </c>
      <c r="G31" s="290" t="n">
        <f aca="false">E31*F31</f>
        <v>9.264</v>
      </c>
      <c r="H31" s="149" t="s">
        <v>1467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f aca="false">'COSTO HORA HOMBRE 2026'!$G$13</f>
        <v>20.54</v>
      </c>
      <c r="G32" s="290" t="n">
        <f aca="false">E32*F32</f>
        <v>6.5728</v>
      </c>
      <c r="H32" s="149" t="s">
        <v>1467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15.8368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15.8368</v>
      </c>
      <c r="G40" s="290" t="n">
        <f aca="false">E40*F40</f>
        <v>0.79184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0.79184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40.0578485040984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20588.9329741365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884.0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f aca="false">'COSTO HORA HOMBRE 2026'!$G$11</f>
        <v>28.95</v>
      </c>
      <c r="G51" s="290" t="n">
        <f aca="false">E51*F51</f>
        <v>5.79</v>
      </c>
      <c r="H51" s="149" t="s">
        <v>1467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f aca="false">'COSTO HORA HOMBRE 2026'!$G$13</f>
        <v>20.54</v>
      </c>
      <c r="G52" s="290" t="n">
        <f aca="false">E52*F52</f>
        <v>2.054</v>
      </c>
      <c r="H52" s="149" t="s">
        <v>1467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7.844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7.844</v>
      </c>
      <c r="G60" s="290" t="n">
        <f aca="false">E60*F60</f>
        <v>0.3922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0.3922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16.4525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14544.01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40.0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f aca="false">'COSTO HORA HOMBRE 2026'!$G$11</f>
        <v>28.95</v>
      </c>
      <c r="G71" s="290" t="n">
        <f aca="false">E71*F71</f>
        <v>7.72</v>
      </c>
      <c r="H71" s="149" t="s">
        <v>1467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f aca="false">'COSTO HORA HOMBRE 2026'!$G$13</f>
        <v>20.54</v>
      </c>
      <c r="G72" s="290" t="n">
        <f aca="false">E72*F72</f>
        <v>2.73866666666667</v>
      </c>
      <c r="H72" s="149" t="s">
        <v>1467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10.4586666666667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10.4586666666667</v>
      </c>
      <c r="G80" s="290" t="n">
        <f aca="false">E80*F80</f>
        <v>0.522933333333333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0.522933333333333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15.5859525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623.4381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52.0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f aca="false">'COSTO HORA HOMBRE 2026'!$G$11</f>
        <v>28.95</v>
      </c>
      <c r="G91" s="290" t="n">
        <f aca="false">E91*F91</f>
        <v>14.475</v>
      </c>
      <c r="H91" s="149" t="s">
        <v>1467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f aca="false">'COSTO HORA HOMBRE 2026'!$G$13</f>
        <v>20.54</v>
      </c>
      <c r="G92" s="290" t="n">
        <f aca="false">E92*F92</f>
        <v>5.135</v>
      </c>
      <c r="H92" s="149" t="s">
        <v>1467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19.61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19.61</v>
      </c>
      <c r="G100" s="290" t="n">
        <f aca="false">E100*F100</f>
        <v>0.9805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0.9805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27.0784983730072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1408.08191539637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40.0578485040984</v>
      </c>
      <c r="F107" s="290" t="n">
        <f aca="false">+G43</f>
        <v>20588.9329741365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884.0</v>
      </c>
      <c r="E108" s="290" t="n">
        <f aca="false">+G62</f>
        <v>16.4525</v>
      </c>
      <c r="F108" s="290" t="n">
        <f aca="false">+G63</f>
        <v>14544.01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40.0</v>
      </c>
      <c r="E109" s="290" t="n">
        <f aca="false">+G82</f>
        <v>15.5859525</v>
      </c>
      <c r="F109" s="290" t="n">
        <f aca="false">+G83</f>
        <v>623.4381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52.0</v>
      </c>
      <c r="E110" s="290" t="n">
        <f aca="false">+G102</f>
        <v>27.0784983730072</v>
      </c>
      <c r="F110" s="290" t="n">
        <f aca="false">+G103</f>
        <v>1408.08191539637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37164.4629895329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1.0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1.0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1.0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1.0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1.0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1.0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1.0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1.0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2.0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10.0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1193</v>
      </c>
      <c r="C25" s="285" t="s">
        <v>50</v>
      </c>
      <c r="D25" s="306" t="n">
        <f aca="false">'COLECTOR PARAMETROS'!C36*'COLECTOR PARAMETROS'!C38</f>
        <v>5.124</v>
      </c>
      <c r="E25" s="301" t="n">
        <f aca="false">+$F$20</f>
        <v>10.0</v>
      </c>
      <c r="F25" s="306" t="n">
        <f aca="false">D25*E25</f>
        <v>51.24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10.0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10.1016</v>
      </c>
      <c r="E27" s="295"/>
      <c r="F27" s="296" t="n">
        <f aca="false">SUM(F25:F26)</f>
        <v>101.016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10.0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10.0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10.0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10.0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10.0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1194</v>
      </c>
      <c r="C38" s="285" t="s">
        <v>168</v>
      </c>
      <c r="D38" s="306" t="n">
        <f aca="false">'COLECTOR PARAMETROS'!C36*'COLECTOR PARAMETROS'!C40+'COLECTOR PARAMETROS'!C37*'COLECTOR PARAMETROS'!C41</f>
        <v>0.83904</v>
      </c>
      <c r="E38" s="301" t="n">
        <f aca="false">+$F$20</f>
        <v>10.0</v>
      </c>
      <c r="F38" s="306" t="n">
        <f aca="false">D38*E38</f>
        <v>8.3904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0.83904</v>
      </c>
      <c r="E39" s="295"/>
      <c r="F39" s="296" t="n">
        <f aca="false">SUM(F38:F38)</f>
        <v>8.3904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101.016</v>
      </c>
      <c r="F43" s="306" t="n">
        <f aca="false">+'COLECTOR REGISTROS Y TAPAS'!E25</f>
        <v>101.016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8.3904</v>
      </c>
      <c r="F46" s="306" t="n">
        <f aca="false">+'COLECTOR REGISTROS Y TAPAS'!E28</f>
        <v>8.3904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1222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1223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1226</v>
      </c>
      <c r="C11" s="285" t="s">
        <v>57</v>
      </c>
      <c r="D11" s="306" t="n">
        <f aca="false">'COLECTOR JUNTAS Y EMPALMES'!E11</f>
        <v>5.92</v>
      </c>
      <c r="E11" s="295"/>
      <c r="F11" s="295"/>
      <c r="G11" s="295"/>
      <c r="H11" s="149" t="s">
        <v>1227</v>
      </c>
    </row>
    <row r="12" customFormat="false" ht="31.5" hidden="false" customHeight="true" outlineLevel="0" collapsed="false">
      <c r="A12" s="283" t="n">
        <v>2.0</v>
      </c>
      <c r="B12" s="149" t="s">
        <v>1228</v>
      </c>
      <c r="C12" s="285" t="s">
        <v>60</v>
      </c>
      <c r="D12" s="306" t="n">
        <f aca="false">'COLECTOR JUNTAS Y EMPALMES'!D11</f>
        <v>17.0</v>
      </c>
      <c r="E12" s="295"/>
      <c r="F12" s="295"/>
      <c r="G12" s="295"/>
      <c r="H12" s="149" t="s">
        <v>1229</v>
      </c>
    </row>
    <row r="13" customFormat="false" ht="31.5" hidden="false" customHeight="true" outlineLevel="0" collapsed="false">
      <c r="A13" s="283" t="n">
        <v>3.0</v>
      </c>
      <c r="B13" s="149" t="s">
        <v>1230</v>
      </c>
      <c r="C13" s="285" t="s">
        <v>168</v>
      </c>
      <c r="D13" s="306" t="n">
        <f aca="false">1.10*(0.15+1.61+0.10)-0.80*1.61</f>
        <v>0.758</v>
      </c>
      <c r="E13" s="295"/>
      <c r="F13" s="295"/>
      <c r="G13" s="295"/>
      <c r="H13" s="149" t="s">
        <v>1231</v>
      </c>
    </row>
    <row r="14" customFormat="false" ht="31.5" hidden="false" customHeight="true" outlineLevel="0" collapsed="false">
      <c r="A14" s="283" t="n">
        <v>4.0</v>
      </c>
      <c r="B14" s="149" t="s">
        <v>1232</v>
      </c>
      <c r="C14" s="285" t="s">
        <v>602</v>
      </c>
      <c r="D14" s="306" t="n">
        <f aca="false">D13/D11</f>
        <v>0.128040540540541</v>
      </c>
      <c r="E14" s="295"/>
      <c r="F14" s="295"/>
      <c r="G14" s="295"/>
      <c r="H14" s="149" t="s">
        <v>1233</v>
      </c>
    </row>
    <row r="15" customFormat="false" ht="31.5" hidden="false" customHeight="true" outlineLevel="0" collapsed="false">
      <c r="A15" s="283" t="n">
        <v>5.0</v>
      </c>
      <c r="B15" s="149" t="s">
        <v>1234</v>
      </c>
      <c r="C15" s="285" t="s">
        <v>523</v>
      </c>
      <c r="D15" s="309" t="n">
        <v>0.1</v>
      </c>
      <c r="E15" s="295"/>
      <c r="F15" s="295"/>
      <c r="G15" s="295"/>
      <c r="H15" s="149" t="s">
        <v>1235</v>
      </c>
    </row>
    <row r="16" customFormat="false" ht="31.5" hidden="false" customHeight="true" outlineLevel="0" collapsed="false">
      <c r="A16" s="283" t="n">
        <v>6.0</v>
      </c>
      <c r="B16" s="149" t="s">
        <v>1236</v>
      </c>
      <c r="C16" s="285" t="s">
        <v>168</v>
      </c>
      <c r="D16" s="309" t="n">
        <v>2.88</v>
      </c>
      <c r="E16" s="295"/>
      <c r="F16" s="295"/>
      <c r="G16" s="295"/>
      <c r="H16" s="149" t="s">
        <v>1237</v>
      </c>
    </row>
    <row r="17" customFormat="false" ht="31.5" hidden="false" customHeight="true" outlineLevel="0" collapsed="false">
      <c r="A17" s="283" t="n">
        <v>7.0</v>
      </c>
      <c r="B17" s="149" t="s">
        <v>1238</v>
      </c>
      <c r="C17" s="285" t="s">
        <v>1239</v>
      </c>
      <c r="D17" s="306" t="n">
        <f aca="false">D14*(1+D15)/D16</f>
        <v>0.0489043731231231</v>
      </c>
      <c r="E17" s="295"/>
      <c r="F17" s="295"/>
      <c r="G17" s="295"/>
      <c r="H17" s="149" t="s">
        <v>1233</v>
      </c>
    </row>
    <row r="18" customFormat="false" ht="31.5" hidden="false" customHeight="true" outlineLevel="0" collapsed="false">
      <c r="A18" s="283" t="n">
        <v>8.0</v>
      </c>
      <c r="B18" s="149" t="s">
        <v>1240</v>
      </c>
      <c r="C18" s="285" t="s">
        <v>57</v>
      </c>
      <c r="D18" s="306" t="n">
        <f aca="false">2*1.61+0.80+1.10</f>
        <v>5.12</v>
      </c>
      <c r="E18" s="295"/>
      <c r="F18" s="295"/>
      <c r="G18" s="295"/>
      <c r="H18" s="149" t="s">
        <v>1231</v>
      </c>
    </row>
    <row r="19" customFormat="false" ht="31.5" hidden="false" customHeight="true" outlineLevel="0" collapsed="false">
      <c r="A19" s="283" t="n">
        <v>9.0</v>
      </c>
      <c r="B19" s="149" t="s">
        <v>1241</v>
      </c>
      <c r="C19" s="285" t="s">
        <v>168</v>
      </c>
      <c r="D19" s="306" t="n">
        <f aca="false">0.0254*0.0508</f>
        <v>0.00129032</v>
      </c>
      <c r="E19" s="295"/>
      <c r="F19" s="295"/>
      <c r="G19" s="295"/>
      <c r="H19" s="149" t="s">
        <v>1478</v>
      </c>
    </row>
    <row r="20" customFormat="false" ht="31.5" hidden="false" customHeight="true" outlineLevel="0" collapsed="false">
      <c r="A20" s="283" t="n">
        <v>10.0</v>
      </c>
      <c r="B20" s="149" t="s">
        <v>1243</v>
      </c>
      <c r="C20" s="285" t="s">
        <v>1244</v>
      </c>
      <c r="D20" s="306" t="n">
        <f aca="false">D19*D18/D11</f>
        <v>0.00111595243243243</v>
      </c>
      <c r="E20" s="295"/>
      <c r="F20" s="295"/>
      <c r="G20" s="295"/>
      <c r="H20" s="149" t="s">
        <v>1233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1251</v>
      </c>
      <c r="C23" s="285" t="s">
        <v>1252</v>
      </c>
      <c r="D23" s="306" t="n">
        <f aca="false">'COLECTOR INSUMOS'!G71</f>
        <v>0.2</v>
      </c>
      <c r="E23" s="295"/>
      <c r="F23" s="295"/>
      <c r="G23" s="295"/>
      <c r="H23" s="149" t="s">
        <v>1253</v>
      </c>
    </row>
    <row r="24" customFormat="false" ht="31.5" hidden="false" customHeight="true" outlineLevel="0" collapsed="false">
      <c r="A24" s="283" t="n">
        <v>14.0</v>
      </c>
      <c r="B24" s="149" t="s">
        <v>1254</v>
      </c>
      <c r="C24" s="285" t="s">
        <v>1252</v>
      </c>
      <c r="D24" s="306" t="n">
        <f aca="false">'COLECTOR INSUMOS'!G72</f>
        <v>0.2</v>
      </c>
      <c r="E24" s="295"/>
      <c r="F24" s="295"/>
      <c r="G24" s="295"/>
      <c r="H24" s="149" t="s">
        <v>1255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1257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1258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EMPALMES'!F12</f>
        <v>100.64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1259</v>
      </c>
      <c r="B31" s="294"/>
      <c r="C31" s="290" t="n">
        <f aca="false">8/E34</f>
        <v>40.0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$D$23</f>
        <v>0.2</v>
      </c>
      <c r="F34" s="290" t="n">
        <f aca="false">'COSTO HORA HOMBRE 2026'!$G$11</f>
        <v>28.95</v>
      </c>
      <c r="G34" s="290" t="n">
        <f aca="false">E34*F34</f>
        <v>5.79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1.0</v>
      </c>
      <c r="E35" s="306" t="n">
        <f aca="false">$D$24</f>
        <v>0.2</v>
      </c>
      <c r="F35" s="290" t="n">
        <f aca="false">'COSTO HORA HOMBRE 2026'!$G$13</f>
        <v>20.54</v>
      </c>
      <c r="G35" s="290" t="n">
        <f aca="false">E35*F35</f>
        <v>4.108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9.898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$D$17</f>
        <v>0.0489043731231231</v>
      </c>
      <c r="F38" s="290" t="n">
        <f aca="false">13.9/1.18</f>
        <v>11.7796610169492</v>
      </c>
      <c r="G38" s="290" t="n">
        <f aca="false">E38*F38</f>
        <v>0.57607693763679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0.0557976216216216</v>
      </c>
      <c r="F39" s="290" t="n">
        <f aca="false">17.7/1.18</f>
        <v>15.0</v>
      </c>
      <c r="G39" s="290" t="n">
        <f aca="false">E39*F39</f>
        <v>0.836964324324325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0.00117175005405405</v>
      </c>
      <c r="F40" s="290" t="n">
        <f aca="false">'ACU TAPA REGISTRO'!F77</f>
        <v>40.68</v>
      </c>
      <c r="G40" s="290" t="n">
        <f aca="false">E40*F40</f>
        <v>0.0476667921989189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1.46070805416003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9.898</v>
      </c>
      <c r="G43" s="290" t="n">
        <f aca="false">E43*F43</f>
        <v>0.29694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0.29694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11.65564805416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1173.02442017067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1270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1474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1272</v>
      </c>
      <c r="C11" s="285" t="s">
        <v>57</v>
      </c>
      <c r="D11" s="306" t="n">
        <f aca="false">'COLECTOR JUNTAS Y EMPALMES'!F15</f>
        <v>58.805</v>
      </c>
      <c r="E11" s="295"/>
      <c r="F11" s="295"/>
      <c r="G11" s="295"/>
      <c r="H11" s="149" t="s">
        <v>1273</v>
      </c>
    </row>
    <row r="12" customFormat="false" ht="31.5" hidden="false" customHeight="true" outlineLevel="0" collapsed="false">
      <c r="A12" s="283" t="n">
        <v>2.0</v>
      </c>
      <c r="B12" s="149" t="s">
        <v>1274</v>
      </c>
      <c r="C12" s="285" t="s">
        <v>57</v>
      </c>
      <c r="D12" s="309" t="n">
        <v>0.9</v>
      </c>
      <c r="E12" s="295"/>
      <c r="F12" s="295"/>
      <c r="G12" s="295"/>
      <c r="H12" s="149" t="s">
        <v>1275</v>
      </c>
    </row>
    <row r="13" customFormat="false" ht="31.5" hidden="false" customHeight="true" outlineLevel="0" collapsed="false">
      <c r="A13" s="283" t="n">
        <v>3.0</v>
      </c>
      <c r="B13" s="149" t="s">
        <v>1475</v>
      </c>
      <c r="C13" s="285" t="s">
        <v>57</v>
      </c>
      <c r="D13" s="306" t="n">
        <f aca="false">'COLECTOR JUNTAS Y EMPALMES'!F16</f>
        <v>0.0</v>
      </c>
      <c r="E13" s="295"/>
      <c r="F13" s="295"/>
      <c r="G13" s="295"/>
      <c r="H13" s="149" t="s">
        <v>1477</v>
      </c>
    </row>
    <row r="14" customFormat="false" ht="31.5" hidden="false" customHeight="true" outlineLevel="0" collapsed="false">
      <c r="A14" s="283" t="n">
        <v>4.0</v>
      </c>
      <c r="B14" s="149" t="s">
        <v>1476</v>
      </c>
      <c r="C14" s="285" t="s">
        <v>57</v>
      </c>
      <c r="D14" s="309" t="n">
        <v>0.0</v>
      </c>
      <c r="E14" s="295"/>
      <c r="F14" s="295"/>
      <c r="G14" s="295"/>
      <c r="H14" s="149" t="s">
        <v>1279</v>
      </c>
    </row>
    <row r="15" customFormat="false" ht="31.5" hidden="false" customHeight="true" outlineLevel="0" collapsed="false">
      <c r="A15" s="283" t="n">
        <v>5.0</v>
      </c>
      <c r="B15" s="149" t="s">
        <v>1280</v>
      </c>
      <c r="C15" s="285" t="s">
        <v>57</v>
      </c>
      <c r="D15" s="306" t="n">
        <f aca="false">'COLECTOR JUNTAS Y EMPALMES'!F19</f>
        <v>58.805</v>
      </c>
      <c r="E15" s="295"/>
      <c r="F15" s="295"/>
      <c r="G15" s="295"/>
      <c r="H15" s="149" t="s">
        <v>1281</v>
      </c>
    </row>
    <row r="16" customFormat="false" ht="31.5" hidden="false" customHeight="true" outlineLevel="0" collapsed="false">
      <c r="A16" s="283" t="n">
        <v>6.0</v>
      </c>
      <c r="B16" s="149" t="s">
        <v>1282</v>
      </c>
      <c r="C16" s="285" t="s">
        <v>602</v>
      </c>
      <c r="D16" s="306" t="n">
        <f aca="false">(D11*D12+D13*D14)/D15</f>
        <v>0.9</v>
      </c>
      <c r="E16" s="295"/>
      <c r="F16" s="295"/>
      <c r="G16" s="295"/>
      <c r="H16" s="149" t="s">
        <v>1233</v>
      </c>
    </row>
    <row r="17" customFormat="false" ht="31.5" hidden="false" customHeight="true" outlineLevel="0" collapsed="false">
      <c r="A17" s="283" t="n">
        <v>7.0</v>
      </c>
      <c r="B17" s="149" t="s">
        <v>1283</v>
      </c>
      <c r="C17" s="285" t="s">
        <v>523</v>
      </c>
      <c r="D17" s="309" t="n">
        <v>0.05</v>
      </c>
      <c r="E17" s="295"/>
      <c r="F17" s="295"/>
      <c r="G17" s="295"/>
      <c r="H17" s="149" t="s">
        <v>1284</v>
      </c>
    </row>
    <row r="18" customFormat="false" ht="31.5" hidden="false" customHeight="true" outlineLevel="0" collapsed="false">
      <c r="A18" s="283" t="n">
        <v>8.0</v>
      </c>
      <c r="B18" s="149" t="s">
        <v>1236</v>
      </c>
      <c r="C18" s="285" t="s">
        <v>168</v>
      </c>
      <c r="D18" s="309" t="n">
        <v>2.88</v>
      </c>
      <c r="E18" s="295"/>
      <c r="F18" s="295"/>
      <c r="G18" s="295"/>
      <c r="H18" s="149" t="s">
        <v>1237</v>
      </c>
    </row>
    <row r="19" customFormat="false" ht="31.5" hidden="false" customHeight="true" outlineLevel="0" collapsed="false">
      <c r="A19" s="283" t="n">
        <v>9.0</v>
      </c>
      <c r="B19" s="149" t="s">
        <v>1238</v>
      </c>
      <c r="C19" s="285" t="s">
        <v>1239</v>
      </c>
      <c r="D19" s="306" t="n">
        <f aca="false">D16*(1+D17)/D18</f>
        <v>0.328125</v>
      </c>
      <c r="E19" s="295"/>
      <c r="F19" s="295"/>
      <c r="G19" s="295"/>
      <c r="H19" s="149" t="s">
        <v>1233</v>
      </c>
    </row>
    <row r="20" customFormat="false" ht="31.5" hidden="false" customHeight="true" outlineLevel="0" collapsed="false">
      <c r="A20" s="283" t="n">
        <v>10.0</v>
      </c>
      <c r="B20" s="149" t="s">
        <v>1285</v>
      </c>
      <c r="C20" s="285" t="s">
        <v>1244</v>
      </c>
      <c r="D20" s="306" t="n">
        <f aca="false">0.0254*0.0508</f>
        <v>0.00129032</v>
      </c>
      <c r="E20" s="295"/>
      <c r="F20" s="295"/>
      <c r="G20" s="295"/>
      <c r="H20" s="149" t="s">
        <v>1479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1287</v>
      </c>
      <c r="C23" s="285" t="s">
        <v>1252</v>
      </c>
      <c r="D23" s="306" t="n">
        <f aca="false">'COLECTOR INSUMOS'!G74</f>
        <v>0.1</v>
      </c>
      <c r="E23" s="295"/>
      <c r="F23" s="295"/>
      <c r="G23" s="295"/>
      <c r="H23" s="149" t="s">
        <v>1288</v>
      </c>
    </row>
    <row r="24" customFormat="false" ht="31.5" hidden="false" customHeight="true" outlineLevel="0" collapsed="false">
      <c r="A24" s="283" t="n">
        <v>14.0</v>
      </c>
      <c r="B24" s="149" t="s">
        <v>1289</v>
      </c>
      <c r="C24" s="285" t="s">
        <v>1252</v>
      </c>
      <c r="D24" s="306" t="n">
        <f aca="false">'COLECTOR INSUMOS'!G76</f>
        <v>0.05</v>
      </c>
      <c r="E24" s="295"/>
      <c r="F24" s="295"/>
      <c r="G24" s="295"/>
      <c r="H24" s="149" t="s">
        <v>1290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1291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1292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EMPALMES'!F19</f>
        <v>58.805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1293</v>
      </c>
      <c r="B31" s="294"/>
      <c r="C31" s="290" t="n">
        <f aca="false">8/E34</f>
        <v>160.0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$D$24</f>
        <v>0.05</v>
      </c>
      <c r="F34" s="290" t="n">
        <f aca="false">'COSTO HORA HOMBRE 2026'!$G$11</f>
        <v>28.95</v>
      </c>
      <c r="G34" s="290" t="n">
        <f aca="false">E34*F34</f>
        <v>1.4475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2.0</v>
      </c>
      <c r="E35" s="306" t="n">
        <f aca="false">$D$23</f>
        <v>0.1</v>
      </c>
      <c r="F35" s="290" t="n">
        <f aca="false">'COSTO HORA HOMBRE 2026'!$G$13</f>
        <v>20.54</v>
      </c>
      <c r="G35" s="290" t="n">
        <f aca="false">E35*F35</f>
        <v>2.054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3.5015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$D$19</f>
        <v>0.328125</v>
      </c>
      <c r="F38" s="290" t="n">
        <f aca="false">13.9/1.18</f>
        <v>11.7796610169492</v>
      </c>
      <c r="G38" s="290" t="n">
        <f aca="false">E38*F38</f>
        <v>3.86520127118644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0.064516</v>
      </c>
      <c r="F39" s="290" t="n">
        <f aca="false">17.7/1.18</f>
        <v>15.0</v>
      </c>
      <c r="G39" s="290" t="n">
        <f aca="false">E39*F39</f>
        <v>0.96774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0.001354836</v>
      </c>
      <c r="F40" s="290" t="n">
        <f aca="false">'ACU TAPA REGISTRO'!F77</f>
        <v>40.68</v>
      </c>
      <c r="G40" s="290" t="n">
        <f aca="false">E40*F40</f>
        <v>0.05511472848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4.88805599966644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3.5015</v>
      </c>
      <c r="G43" s="290" t="n">
        <f aca="false">E43*F43</f>
        <v>0.105045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0.105045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8.49460099966644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499.525011785385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1294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1295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1296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1297</v>
      </c>
      <c r="C10" s="282" t="s">
        <v>460</v>
      </c>
      <c r="D10" s="282" t="s">
        <v>1298</v>
      </c>
      <c r="E10" s="282" t="s">
        <v>1299</v>
      </c>
      <c r="F10" s="282" t="s">
        <v>463</v>
      </c>
      <c r="G10" s="282"/>
      <c r="H10" s="282" t="s">
        <v>657</v>
      </c>
    </row>
    <row r="11" customFormat="false" ht="19.5" hidden="false" customHeight="true" outlineLevel="0" collapsed="false">
      <c r="A11" s="283" t="n">
        <v>1.0</v>
      </c>
      <c r="B11" s="149" t="str">
        <f aca="false">'METRADO LLORADEROS'!B7&amp;": "&amp;'METRADO LLORADEROS'!C7</f>
        <v>EJE 01: 0+000.00 a 0+037.00</v>
      </c>
      <c r="C11" s="285" t="str">
        <f aca="false">'METRADO LLORADEROS'!D7</f>
        <v>LADO ESTE</v>
      </c>
      <c r="D11" s="290" t="n">
        <f aca="false">'METRADO LLORADEROS'!E7</f>
        <v>37.0</v>
      </c>
      <c r="E11" s="290" t="n">
        <f aca="false">'METRADO LLORADEROS'!F7</f>
        <v>1.5</v>
      </c>
      <c r="F11" s="290" t="n">
        <f aca="false">'METRADO LLORADEROS'!G7</f>
        <v>25.0</v>
      </c>
      <c r="G11" s="295"/>
      <c r="H11" s="149" t="s">
        <v>1300</v>
      </c>
    </row>
    <row r="12" customFormat="false" ht="19.5" hidden="false" customHeight="true" outlineLevel="0" collapsed="false">
      <c r="A12" s="283" t="n">
        <v>2.0</v>
      </c>
      <c r="B12" s="149" t="str">
        <f aca="false">'METRADO LLORADEROS'!B8&amp;": "&amp;'METRADO LLORADEROS'!C8</f>
        <v>EJE 01: 0+032.25 a 0+037.00</v>
      </c>
      <c r="C12" s="285" t="str">
        <f aca="false">'METRADO LLORADEROS'!D8</f>
        <v>LADO OESTE</v>
      </c>
      <c r="D12" s="290" t="n">
        <f aca="false">'METRADO LLORADEROS'!E8</f>
        <v>4.75</v>
      </c>
      <c r="E12" s="290" t="n">
        <f aca="false">'METRADO LLORADEROS'!F8</f>
        <v>1.5</v>
      </c>
      <c r="F12" s="290" t="n">
        <f aca="false">'METRADO LLORADEROS'!G8</f>
        <v>4.0</v>
      </c>
      <c r="G12" s="295"/>
      <c r="H12" s="149" t="s">
        <v>1300</v>
      </c>
    </row>
    <row r="13" customFormat="false" ht="19.5" hidden="false" customHeight="true" outlineLevel="0" collapsed="false">
      <c r="A13" s="283" t="n">
        <v>3.0</v>
      </c>
      <c r="B13" s="149" t="str">
        <f aca="false">'METRADO LLORADEROS'!B9&amp;": "&amp;'METRADO LLORADEROS'!C9</f>
        <v>EJE 02: 0+040.62 a 0+045.37</v>
      </c>
      <c r="C13" s="285" t="str">
        <f aca="false">'METRADO LLORADEROS'!D9</f>
        <v>LADO SUR</v>
      </c>
      <c r="D13" s="290" t="n">
        <f aca="false">'METRADO LLORADEROS'!E9</f>
        <v>4.75</v>
      </c>
      <c r="E13" s="290" t="n">
        <f aca="false">'METRADO LLORADEROS'!F9</f>
        <v>1.5</v>
      </c>
      <c r="F13" s="290" t="n">
        <f aca="false">'METRADO LLORADEROS'!G9</f>
        <v>4.0</v>
      </c>
      <c r="G13" s="295"/>
      <c r="H13" s="149" t="s">
        <v>1300</v>
      </c>
    </row>
    <row r="14" customFormat="false" ht="19.5" hidden="false" customHeight="true" outlineLevel="0" collapsed="false">
      <c r="A14" s="283" t="n">
        <v>4.0</v>
      </c>
      <c r="B14" s="149" t="str">
        <f aca="false">'METRADO LLORADEROS'!B10&amp;": "&amp;'METRADO LLORADEROS'!C10</f>
        <v>EJE 07: 0+040.62 a 0+042.87</v>
      </c>
      <c r="C14" s="285" t="str">
        <f aca="false">'METRADO LLORADEROS'!D10</f>
        <v>LADO SUR</v>
      </c>
      <c r="D14" s="290" t="n">
        <f aca="false">'METRADO LLORADEROS'!E10</f>
        <v>2.25</v>
      </c>
      <c r="E14" s="290" t="n">
        <f aca="false">'METRADO LLORADEROS'!F10</f>
        <v>1.5</v>
      </c>
      <c r="F14" s="290" t="n">
        <f aca="false">'METRADO LLORADEROS'!G10</f>
        <v>2.0</v>
      </c>
      <c r="G14" s="295"/>
      <c r="H14" s="149" t="s">
        <v>1300</v>
      </c>
    </row>
    <row r="15" customFormat="false" ht="19.5" hidden="false" customHeight="true" outlineLevel="0" collapsed="false">
      <c r="A15" s="283" t="n">
        <v>5.0</v>
      </c>
      <c r="B15" s="149" t="str">
        <f aca="false">'METRADO LLORADEROS'!B11&amp;": "&amp;'METRADO LLORADEROS'!C11</f>
        <v>EJE 07: 0+123.97 a 0+125.70</v>
      </c>
      <c r="C15" s="285" t="str">
        <f aca="false">'METRADO LLORADEROS'!D11</f>
        <v>LADO ESTE</v>
      </c>
      <c r="D15" s="290" t="n">
        <f aca="false">'METRADO LLORADEROS'!E11</f>
        <v>1.73</v>
      </c>
      <c r="E15" s="290" t="n">
        <f aca="false">'METRADO LLORADEROS'!F11</f>
        <v>1.5</v>
      </c>
      <c r="F15" s="290" t="n">
        <f aca="false">'METRADO LLORADEROS'!G11</f>
        <v>2.0</v>
      </c>
      <c r="G15" s="295"/>
      <c r="H15" s="149" t="s">
        <v>1300</v>
      </c>
    </row>
    <row r="16" customFormat="false" ht="19.5" hidden="false" customHeight="true" outlineLevel="0" collapsed="false">
      <c r="A16" s="283" t="n">
        <v>6.0</v>
      </c>
      <c r="B16" s="149" t="str">
        <f aca="false">'METRADO LLORADEROS'!B12&amp;": "&amp;'METRADO LLORADEROS'!C12</f>
        <v>EJE 07: 0+123.97 a 0+125.70</v>
      </c>
      <c r="C16" s="285" t="str">
        <f aca="false">'METRADO LLORADEROS'!D12</f>
        <v>LADO OESTE</v>
      </c>
      <c r="D16" s="290" t="n">
        <f aca="false">'METRADO LLORADEROS'!E12</f>
        <v>1.73</v>
      </c>
      <c r="E16" s="290" t="n">
        <f aca="false">'METRADO LLORADEROS'!F12</f>
        <v>1.5</v>
      </c>
      <c r="F16" s="290" t="n">
        <f aca="false">'METRADO LLORADEROS'!G12</f>
        <v>2.0</v>
      </c>
      <c r="G16" s="295"/>
      <c r="H16" s="149" t="s">
        <v>1300</v>
      </c>
    </row>
    <row r="17" customFormat="false" ht="19.5" hidden="false" customHeight="true" outlineLevel="0" collapsed="false">
      <c r="A17" s="283" t="n">
        <v>7.0</v>
      </c>
      <c r="B17" s="149" t="str">
        <f aca="false">'METRADO LLORADEROS'!B13&amp;": "&amp;'METRADO LLORADEROS'!C13</f>
        <v>EJE 09: 0+000.50 a 0+005.00</v>
      </c>
      <c r="C17" s="285" t="str">
        <f aca="false">'METRADO LLORADEROS'!D13</f>
        <v>LADO SUR</v>
      </c>
      <c r="D17" s="290" t="n">
        <f aca="false">'METRADO LLORADEROS'!E13</f>
        <v>4.5</v>
      </c>
      <c r="E17" s="290" t="n">
        <f aca="false">'METRADO LLORADEROS'!F13</f>
        <v>1.5</v>
      </c>
      <c r="F17" s="290" t="n">
        <f aca="false">'METRADO LLORADEROS'!G13</f>
        <v>3.0</v>
      </c>
      <c r="G17" s="295"/>
      <c r="H17" s="149" t="s">
        <v>1300</v>
      </c>
    </row>
    <row r="18" customFormat="false" ht="19.5" hidden="false" customHeight="true" outlineLevel="0" collapsed="false">
      <c r="A18" s="283" t="n">
        <v>8.0</v>
      </c>
      <c r="B18" s="149" t="str">
        <f aca="false">'METRADO LLORADEROS'!B14&amp;": "&amp;'METRADO LLORADEROS'!C14</f>
        <v>EJE 11: 0+069.05 a 0+071.30</v>
      </c>
      <c r="C18" s="285" t="str">
        <f aca="false">'METRADO LLORADEROS'!D14</f>
        <v>LADO ESTE</v>
      </c>
      <c r="D18" s="290" t="n">
        <f aca="false">'METRADO LLORADEROS'!E14</f>
        <v>2.25</v>
      </c>
      <c r="E18" s="290" t="n">
        <f aca="false">'METRADO LLORADEROS'!F14</f>
        <v>1.5</v>
      </c>
      <c r="F18" s="290" t="n">
        <f aca="false">'METRADO LLORADEROS'!G14</f>
        <v>2.0</v>
      </c>
      <c r="G18" s="295"/>
      <c r="H18" s="149" t="s">
        <v>1300</v>
      </c>
    </row>
    <row r="19" customFormat="false" ht="19.5" hidden="false" customHeight="true" outlineLevel="0" collapsed="false">
      <c r="A19" s="283" t="n">
        <v>9.0</v>
      </c>
      <c r="B19" s="149" t="str">
        <f aca="false">'METRADO LLORADEROS'!B15&amp;": "&amp;'METRADO LLORADEROS'!C15</f>
        <v>EJE 11: 0+039.50 a 0+062.75</v>
      </c>
      <c r="C19" s="285" t="str">
        <f aca="false">'METRADO LLORADEROS'!D15</f>
        <v>LADO OESTE</v>
      </c>
      <c r="D19" s="290" t="n">
        <f aca="false">'METRADO LLORADEROS'!E15</f>
        <v>23.25</v>
      </c>
      <c r="E19" s="290" t="n">
        <f aca="false">'METRADO LLORADEROS'!F15</f>
        <v>1.5</v>
      </c>
      <c r="F19" s="290" t="n">
        <f aca="false">'METRADO LLORADEROS'!G15</f>
        <v>16.0</v>
      </c>
      <c r="G19" s="295"/>
      <c r="H19" s="149" t="s">
        <v>1300</v>
      </c>
    </row>
    <row r="20" customFormat="false" ht="19.5" hidden="false" customHeight="true" outlineLevel="0" collapsed="false">
      <c r="A20" s="283" t="n">
        <v>10.0</v>
      </c>
      <c r="B20" s="149" t="str">
        <f aca="false">'METRADO LLORADEROS'!B16&amp;": "&amp;'METRADO LLORADEROS'!C16</f>
        <v>EJE 11: 0+066.80 a 0+071.30</v>
      </c>
      <c r="C20" s="285" t="str">
        <f aca="false">'METRADO LLORADEROS'!D16</f>
        <v>LADO OESTE</v>
      </c>
      <c r="D20" s="290" t="n">
        <f aca="false">'METRADO LLORADEROS'!E16</f>
        <v>4.5</v>
      </c>
      <c r="E20" s="290" t="n">
        <f aca="false">'METRADO LLORADEROS'!F16</f>
        <v>1.5</v>
      </c>
      <c r="F20" s="290" t="n">
        <f aca="false">'METRADO LLORADEROS'!G16</f>
        <v>3.0</v>
      </c>
      <c r="G20" s="295"/>
      <c r="H20" s="149" t="s">
        <v>1300</v>
      </c>
    </row>
    <row r="21" customFormat="false" ht="19.5" hidden="false" customHeight="true" outlineLevel="0" collapsed="false">
      <c r="A21" s="283" t="n">
        <v>11.0</v>
      </c>
      <c r="B21" s="149" t="str">
        <f aca="false">'METRADO LLORADEROS'!B17&amp;": "&amp;'METRADO LLORADEROS'!C17</f>
        <v>EJE 12: 0+078.50 a 0+109.00</v>
      </c>
      <c r="C21" s="285" t="str">
        <f aca="false">'METRADO LLORADEROS'!D17</f>
        <v>LADO ESTE</v>
      </c>
      <c r="D21" s="290" t="n">
        <f aca="false">'METRADO LLORADEROS'!E17</f>
        <v>30.5</v>
      </c>
      <c r="E21" s="290" t="n">
        <f aca="false">'METRADO LLORADEROS'!F17</f>
        <v>1.5</v>
      </c>
      <c r="F21" s="290" t="n">
        <f aca="false">'METRADO LLORADEROS'!G17</f>
        <v>21.0</v>
      </c>
      <c r="G21" s="295"/>
      <c r="H21" s="149" t="s">
        <v>1300</v>
      </c>
    </row>
    <row r="22" customFormat="false" ht="19.5" hidden="false" customHeight="true" outlineLevel="0" collapsed="false">
      <c r="A22" s="283" t="n">
        <v>12.0</v>
      </c>
      <c r="B22" s="149" t="str">
        <f aca="false">'METRADO LLORADEROS'!B18&amp;": "&amp;'METRADO LLORADEROS'!C18</f>
        <v>EJE 12: 0+000.00 a 0+109.00</v>
      </c>
      <c r="C22" s="285" t="str">
        <f aca="false">'METRADO LLORADEROS'!D18</f>
        <v>LADO OESTE</v>
      </c>
      <c r="D22" s="290" t="n">
        <f aca="false">'METRADO LLORADEROS'!E18</f>
        <v>109.0</v>
      </c>
      <c r="E22" s="290" t="n">
        <f aca="false">'METRADO LLORADEROS'!F18</f>
        <v>1.5</v>
      </c>
      <c r="F22" s="290" t="n">
        <f aca="false">'METRADO LLORADEROS'!G18</f>
        <v>73.0</v>
      </c>
      <c r="G22" s="295"/>
      <c r="H22" s="149" t="s">
        <v>1300</v>
      </c>
    </row>
    <row r="23" customFormat="false" ht="19.5" hidden="false" customHeight="true" outlineLevel="0" collapsed="false">
      <c r="A23" s="21"/>
      <c r="B23" s="294" t="s">
        <v>1301</v>
      </c>
      <c r="C23" s="295"/>
      <c r="D23" s="296" t="n">
        <f aca="false">SUM(D11:D22)</f>
        <v>226.21</v>
      </c>
      <c r="E23" s="295"/>
      <c r="F23" s="296" t="n">
        <f aca="false">SUM(F11:F22)</f>
        <v>157.0</v>
      </c>
      <c r="G23" s="295"/>
      <c r="H23" s="295"/>
    </row>
    <row r="25" customFormat="false" ht="19.5" hidden="false" customHeight="true" outlineLevel="0" collapsed="false">
      <c r="A25" s="294" t="s">
        <v>1302</v>
      </c>
      <c r="B25" s="294"/>
      <c r="C25" s="294"/>
      <c r="D25" s="294"/>
      <c r="E25" s="294"/>
      <c r="F25" s="294"/>
      <c r="G25" s="294"/>
      <c r="H25" s="294"/>
    </row>
    <row r="26" customFormat="false" ht="31.5" hidden="false" customHeight="true" outlineLevel="0" collapsed="false">
      <c r="A26" s="282" t="s">
        <v>331</v>
      </c>
      <c r="B26" s="282" t="s">
        <v>1082</v>
      </c>
      <c r="C26" s="282" t="s">
        <v>151</v>
      </c>
      <c r="D26" s="282" t="s">
        <v>292</v>
      </c>
      <c r="E26" s="282"/>
      <c r="F26" s="282"/>
      <c r="G26" s="282"/>
      <c r="H26" s="282" t="s">
        <v>657</v>
      </c>
    </row>
    <row r="27" customFormat="false" ht="31.5" hidden="false" customHeight="true" outlineLevel="0" collapsed="false">
      <c r="A27" s="283" t="n">
        <v>1.0</v>
      </c>
      <c r="B27" s="149" t="s">
        <v>1303</v>
      </c>
      <c r="C27" s="285" t="s">
        <v>57</v>
      </c>
      <c r="D27" s="307" t="n">
        <v>0.3</v>
      </c>
      <c r="E27" s="295"/>
      <c r="F27" s="295"/>
      <c r="G27" s="295"/>
      <c r="H27" s="149" t="s">
        <v>1304</v>
      </c>
    </row>
    <row r="28" customFormat="false" ht="31.5" hidden="false" customHeight="true" outlineLevel="0" collapsed="false">
      <c r="A28" s="283" t="n">
        <v>2.0</v>
      </c>
      <c r="B28" s="149" t="s">
        <v>1305</v>
      </c>
      <c r="C28" s="285" t="s">
        <v>57</v>
      </c>
      <c r="D28" s="307" t="n">
        <v>0.3</v>
      </c>
      <c r="E28" s="295"/>
      <c r="F28" s="295"/>
      <c r="G28" s="295"/>
      <c r="H28" s="149" t="s">
        <v>1306</v>
      </c>
    </row>
    <row r="29" customFormat="false" ht="31.5" hidden="false" customHeight="true" outlineLevel="0" collapsed="false">
      <c r="A29" s="283" t="n">
        <v>3.0</v>
      </c>
      <c r="B29" s="149" t="s">
        <v>1307</v>
      </c>
      <c r="C29" s="285" t="s">
        <v>60</v>
      </c>
      <c r="D29" s="307" t="n">
        <v>4.0</v>
      </c>
      <c r="E29" s="295"/>
      <c r="F29" s="295"/>
      <c r="G29" s="295"/>
      <c r="H29" s="149" t="s">
        <v>1308</v>
      </c>
    </row>
    <row r="30" customFormat="false" ht="31.5" hidden="false" customHeight="true" outlineLevel="0" collapsed="false">
      <c r="A30" s="283" t="n">
        <v>4.0</v>
      </c>
      <c r="B30" s="149" t="s">
        <v>1309</v>
      </c>
      <c r="C30" s="285" t="s">
        <v>60</v>
      </c>
      <c r="D30" s="307" t="n">
        <v>2.0</v>
      </c>
      <c r="E30" s="295"/>
      <c r="F30" s="295"/>
      <c r="G30" s="295"/>
      <c r="H30" s="149" t="s">
        <v>1310</v>
      </c>
    </row>
    <row r="31" customFormat="false" ht="31.5" hidden="false" customHeight="true" outlineLevel="0" collapsed="false">
      <c r="A31" s="283" t="n">
        <v>5.0</v>
      </c>
      <c r="B31" s="149" t="s">
        <v>1311</v>
      </c>
      <c r="C31" s="285" t="s">
        <v>523</v>
      </c>
      <c r="D31" s="307" t="n">
        <v>0.1</v>
      </c>
      <c r="E31" s="295"/>
      <c r="F31" s="295"/>
      <c r="G31" s="295"/>
      <c r="H31" s="149" t="s">
        <v>1312</v>
      </c>
    </row>
    <row r="32" customFormat="false" ht="31.5" hidden="false" customHeight="true" outlineLevel="0" collapsed="false">
      <c r="A32" s="283" t="n">
        <v>6.0</v>
      </c>
      <c r="B32" s="149" t="s">
        <v>1313</v>
      </c>
      <c r="C32" s="285" t="s">
        <v>523</v>
      </c>
      <c r="D32" s="307" t="n">
        <v>0.1</v>
      </c>
      <c r="E32" s="295"/>
      <c r="F32" s="295"/>
      <c r="G32" s="295"/>
      <c r="H32" s="149" t="s">
        <v>1314</v>
      </c>
    </row>
    <row r="33" customFormat="false" ht="31.5" hidden="false" customHeight="true" outlineLevel="0" collapsed="false">
      <c r="A33" s="283" t="n">
        <v>7.0</v>
      </c>
      <c r="B33" s="149" t="s">
        <v>1315</v>
      </c>
      <c r="C33" s="285" t="s">
        <v>167</v>
      </c>
      <c r="D33" s="307" t="n">
        <v>0.0005</v>
      </c>
      <c r="E33" s="295"/>
      <c r="F33" s="295"/>
      <c r="G33" s="295"/>
      <c r="H33" s="149" t="s">
        <v>1316</v>
      </c>
    </row>
    <row r="35" customFormat="false" ht="19.5" hidden="false" customHeight="true" outlineLevel="0" collapsed="false">
      <c r="A35" s="294" t="s">
        <v>1317</v>
      </c>
      <c r="B35" s="294"/>
      <c r="C35" s="294"/>
      <c r="D35" s="294"/>
      <c r="E35" s="294"/>
      <c r="F35" s="294"/>
      <c r="G35" s="294"/>
      <c r="H35" s="294"/>
    </row>
    <row r="36" customFormat="false" ht="31.5" hidden="false" customHeight="true" outlineLevel="0" collapsed="false">
      <c r="A36" s="282" t="s">
        <v>331</v>
      </c>
      <c r="B36" s="282" t="s">
        <v>992</v>
      </c>
      <c r="C36" s="282" t="s">
        <v>151</v>
      </c>
      <c r="D36" s="282" t="s">
        <v>1318</v>
      </c>
      <c r="E36" s="282" t="s">
        <v>1319</v>
      </c>
      <c r="F36" s="282" t="s">
        <v>150</v>
      </c>
      <c r="G36" s="282"/>
      <c r="H36" s="282" t="s">
        <v>657</v>
      </c>
    </row>
    <row r="37" customFormat="false" ht="31.5" hidden="false" customHeight="true" outlineLevel="0" collapsed="false">
      <c r="A37" s="283" t="n">
        <v>1.0</v>
      </c>
      <c r="B37" s="149" t="s">
        <v>1320</v>
      </c>
      <c r="C37" s="285" t="s">
        <v>57</v>
      </c>
      <c r="D37" s="306" t="n">
        <f aca="false">$D$28</f>
        <v>0.3</v>
      </c>
      <c r="E37" s="290" t="n">
        <f aca="false">+$F$23</f>
        <v>157.0</v>
      </c>
      <c r="F37" s="306" t="n">
        <f aca="false">D37*E37</f>
        <v>47.1</v>
      </c>
      <c r="G37" s="295"/>
      <c r="H37" s="149" t="s">
        <v>1321</v>
      </c>
    </row>
    <row r="38" customFormat="false" ht="31.5" hidden="false" customHeight="true" outlineLevel="0" collapsed="false">
      <c r="A38" s="283" t="n">
        <v>2.0</v>
      </c>
      <c r="B38" s="149" t="s">
        <v>1322</v>
      </c>
      <c r="C38" s="285" t="s">
        <v>60</v>
      </c>
      <c r="D38" s="306" t="n">
        <f aca="false">$D$29*$D$30</f>
        <v>8.0</v>
      </c>
      <c r="E38" s="290" t="n">
        <f aca="false">+$F$23</f>
        <v>157.0</v>
      </c>
      <c r="F38" s="306" t="n">
        <f aca="false">D38*E38</f>
        <v>1256.0</v>
      </c>
      <c r="G38" s="295"/>
      <c r="H38" s="149" t="s">
        <v>1323</v>
      </c>
    </row>
    <row r="39" customFormat="false" ht="31.5" hidden="false" customHeight="true" outlineLevel="0" collapsed="false">
      <c r="A39" s="283" t="n">
        <v>3.0</v>
      </c>
      <c r="B39" s="149" t="s">
        <v>1324</v>
      </c>
      <c r="C39" s="285" t="s">
        <v>167</v>
      </c>
      <c r="D39" s="306" t="n">
        <f aca="false">$D$27^3</f>
        <v>0.027</v>
      </c>
      <c r="E39" s="290" t="n">
        <f aca="false">+$F$23</f>
        <v>157.0</v>
      </c>
      <c r="F39" s="306" t="n">
        <f aca="false">D39*E39</f>
        <v>4.239</v>
      </c>
      <c r="G39" s="295"/>
      <c r="H39" s="149" t="s">
        <v>1325</v>
      </c>
    </row>
    <row r="40" customFormat="false" ht="31.5" hidden="false" customHeight="true" outlineLevel="0" collapsed="false">
      <c r="A40" s="283" t="n">
        <v>4.0</v>
      </c>
      <c r="B40" s="149" t="s">
        <v>1326</v>
      </c>
      <c r="C40" s="285" t="s">
        <v>167</v>
      </c>
      <c r="D40" s="306" t="n">
        <f aca="false">$D$27^3*(1+$D$31)</f>
        <v>0.0297</v>
      </c>
      <c r="E40" s="290" t="n">
        <f aca="false">+$F$23</f>
        <v>157.0</v>
      </c>
      <c r="F40" s="306" t="n">
        <f aca="false">D40*E40</f>
        <v>4.6629</v>
      </c>
      <c r="G40" s="295"/>
      <c r="H40" s="149" t="s">
        <v>1327</v>
      </c>
    </row>
    <row r="41" customFormat="false" ht="31.5" hidden="false" customHeight="true" outlineLevel="0" collapsed="false">
      <c r="A41" s="283" t="n">
        <v>5.0</v>
      </c>
      <c r="B41" s="149" t="s">
        <v>1328</v>
      </c>
      <c r="C41" s="285" t="s">
        <v>168</v>
      </c>
      <c r="D41" s="306" t="n">
        <f aca="false">6*$D$27^2*(1+$D$32)</f>
        <v>0.594</v>
      </c>
      <c r="E41" s="290" t="n">
        <f aca="false">+$F$23</f>
        <v>157.0</v>
      </c>
      <c r="F41" s="306" t="n">
        <f aca="false">D41*E41</f>
        <v>93.258</v>
      </c>
      <c r="G41" s="295"/>
      <c r="H41" s="149" t="s">
        <v>1329</v>
      </c>
    </row>
    <row r="42" customFormat="false" ht="31.5" hidden="false" customHeight="true" outlineLevel="0" collapsed="false">
      <c r="A42" s="283" t="n">
        <v>6.0</v>
      </c>
      <c r="B42" s="149" t="s">
        <v>1315</v>
      </c>
      <c r="C42" s="285" t="s">
        <v>167</v>
      </c>
      <c r="D42" s="306" t="n">
        <f aca="false">$D$33</f>
        <v>0.0005</v>
      </c>
      <c r="E42" s="290" t="n">
        <f aca="false">+$F$23</f>
        <v>157.0</v>
      </c>
      <c r="F42" s="306" t="n">
        <f aca="false">D42*E42</f>
        <v>0.0785</v>
      </c>
      <c r="G42" s="295"/>
      <c r="H42" s="149" t="s">
        <v>1330</v>
      </c>
    </row>
    <row r="44" customFormat="false" ht="19.5" hidden="false" customHeight="true" outlineLevel="0" collapsed="false">
      <c r="A44" s="294" t="s">
        <v>1331</v>
      </c>
      <c r="B44" s="294"/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2"/>
      <c r="B45" s="282" t="s">
        <v>891</v>
      </c>
      <c r="C45" s="282" t="s">
        <v>151</v>
      </c>
      <c r="D45" s="282"/>
      <c r="E45" s="282" t="s">
        <v>1177</v>
      </c>
      <c r="F45" s="282" t="s">
        <v>1332</v>
      </c>
      <c r="G45" s="282" t="s">
        <v>1179</v>
      </c>
      <c r="H45" s="282"/>
    </row>
    <row r="46" customFormat="false" ht="31.5" hidden="false" customHeight="true" outlineLevel="0" collapsed="false">
      <c r="A46" s="21"/>
      <c r="B46" s="149" t="s">
        <v>1333</v>
      </c>
      <c r="C46" s="285" t="s">
        <v>60</v>
      </c>
      <c r="D46" s="295"/>
      <c r="E46" s="306" t="n">
        <f aca="false">+$F$23</f>
        <v>157.0</v>
      </c>
      <c r="F46" s="306" t="n">
        <f aca="false">+RESUMEN!D32</f>
        <v>157.0</v>
      </c>
      <c r="G46" s="283" t="str">
        <f aca="false">IF(ABS(E46-F46)&lt;0.001,"CONFORME","REVISAR")</f>
        <v>CONFORME</v>
      </c>
      <c r="H46" s="295"/>
    </row>
  </sheetData>
  <mergeCells count="14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35:H35"/>
    <mergeCell ref="A44:H44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1411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1412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1413</v>
      </c>
      <c r="B9" s="294"/>
      <c r="C9" s="294"/>
      <c r="D9" s="294"/>
      <c r="E9" s="294"/>
      <c r="F9" s="294"/>
      <c r="G9" s="294"/>
      <c r="H9" s="294"/>
    </row>
    <row r="10" customFormat="false" ht="33" hidden="false" customHeight="true" outlineLevel="0" collapsed="false">
      <c r="A10" s="282" t="s">
        <v>331</v>
      </c>
      <c r="B10" s="282" t="s">
        <v>1352</v>
      </c>
      <c r="C10" s="282" t="s">
        <v>1414</v>
      </c>
      <c r="D10" s="282" t="s">
        <v>1415</v>
      </c>
      <c r="E10" s="282"/>
      <c r="F10" s="282"/>
      <c r="G10" s="282" t="s">
        <v>1357</v>
      </c>
      <c r="H10" s="282" t="s">
        <v>1358</v>
      </c>
    </row>
    <row r="11" customFormat="false" ht="21" hidden="false" customHeight="true" outlineLevel="0" collapsed="false">
      <c r="A11" s="283" t="n">
        <v>1.0</v>
      </c>
      <c r="B11" s="149" t="s">
        <v>952</v>
      </c>
      <c r="C11" s="290" t="n">
        <f aca="false">D17</f>
        <v>89.3</v>
      </c>
      <c r="D11" s="290" t="n">
        <f aca="false">D25</f>
        <v>231.62</v>
      </c>
      <c r="E11" s="295"/>
      <c r="F11" s="295"/>
      <c r="G11" s="296" t="n">
        <f aca="false">D26</f>
        <v>28.95</v>
      </c>
      <c r="H11" s="149" t="s">
        <v>1416</v>
      </c>
    </row>
    <row r="12" customFormat="false" ht="21" hidden="false" customHeight="true" outlineLevel="0" collapsed="false">
      <c r="A12" s="283" t="n">
        <v>2.0</v>
      </c>
      <c r="B12" s="149" t="s">
        <v>954</v>
      </c>
      <c r="C12" s="290" t="n">
        <f aca="false">E17</f>
        <v>69.75</v>
      </c>
      <c r="D12" s="290" t="n">
        <f aca="false">E25</f>
        <v>181.46</v>
      </c>
      <c r="E12" s="295"/>
      <c r="F12" s="295"/>
      <c r="G12" s="296" t="n">
        <f aca="false">E26</f>
        <v>22.68</v>
      </c>
      <c r="H12" s="149" t="s">
        <v>1416</v>
      </c>
    </row>
    <row r="13" customFormat="false" ht="21" hidden="false" customHeight="true" outlineLevel="0" collapsed="false">
      <c r="A13" s="283" t="n">
        <v>3.0</v>
      </c>
      <c r="B13" s="149" t="s">
        <v>955</v>
      </c>
      <c r="C13" s="290" t="n">
        <f aca="false">F17</f>
        <v>62.8</v>
      </c>
      <c r="D13" s="290" t="n">
        <f aca="false">F25</f>
        <v>164.34</v>
      </c>
      <c r="E13" s="295"/>
      <c r="F13" s="295"/>
      <c r="G13" s="296" t="n">
        <f aca="false">F26</f>
        <v>20.54</v>
      </c>
      <c r="H13" s="149" t="s">
        <v>1416</v>
      </c>
    </row>
    <row r="15" customFormat="false" ht="19.5" hidden="false" customHeight="true" outlineLevel="0" collapsed="false">
      <c r="A15" s="294" t="s">
        <v>1417</v>
      </c>
      <c r="B15" s="294"/>
      <c r="C15" s="294"/>
      <c r="D15" s="294"/>
      <c r="E15" s="294"/>
      <c r="F15" s="294"/>
      <c r="G15" s="294"/>
      <c r="H15" s="294"/>
    </row>
    <row r="16" customFormat="false" ht="21" hidden="false" customHeight="true" outlineLevel="0" collapsed="false">
      <c r="A16" s="282" t="s">
        <v>331</v>
      </c>
      <c r="B16" s="282" t="s">
        <v>1225</v>
      </c>
      <c r="C16" s="282" t="s">
        <v>1418</v>
      </c>
      <c r="D16" s="282" t="s">
        <v>1419</v>
      </c>
      <c r="E16" s="282" t="s">
        <v>1420</v>
      </c>
      <c r="F16" s="282" t="s">
        <v>1421</v>
      </c>
      <c r="G16" s="282"/>
      <c r="H16" s="282" t="s">
        <v>657</v>
      </c>
    </row>
    <row r="17" customFormat="false" ht="21" hidden="false" customHeight="true" outlineLevel="0" collapsed="false">
      <c r="A17" s="283" t="n">
        <v>1.0</v>
      </c>
      <c r="B17" s="149" t="s">
        <v>1422</v>
      </c>
      <c r="C17" s="285" t="s">
        <v>1423</v>
      </c>
      <c r="D17" s="289" t="n">
        <v>89.3</v>
      </c>
      <c r="E17" s="289" t="n">
        <v>69.75</v>
      </c>
      <c r="F17" s="289" t="n">
        <v>62.8</v>
      </c>
      <c r="G17" s="295"/>
      <c r="H17" s="149" t="s">
        <v>1424</v>
      </c>
    </row>
    <row r="18" customFormat="false" ht="21" hidden="false" customHeight="true" outlineLevel="0" collapsed="false">
      <c r="A18" s="283" t="n">
        <v>2.0</v>
      </c>
      <c r="B18" s="149" t="s">
        <v>1425</v>
      </c>
      <c r="C18" s="290" t="n">
        <f aca="false">$D$50</f>
        <v>112.2</v>
      </c>
      <c r="D18" s="290" t="n">
        <f aca="false">ROUND(D17*$C$18/100,2)</f>
        <v>100.19</v>
      </c>
      <c r="E18" s="290" t="n">
        <f aca="false">ROUND(E17*$C$18/100,2)</f>
        <v>78.26</v>
      </c>
      <c r="F18" s="290" t="n">
        <f aca="false">ROUND(F17*$C$18/100,2)</f>
        <v>70.46</v>
      </c>
      <c r="G18" s="295"/>
      <c r="H18" s="149" t="s">
        <v>1426</v>
      </c>
    </row>
    <row r="19" customFormat="false" ht="21" hidden="false" customHeight="true" outlineLevel="0" collapsed="false">
      <c r="A19" s="283" t="n">
        <v>3.0</v>
      </c>
      <c r="B19" s="149" t="s">
        <v>1427</v>
      </c>
      <c r="C19" s="285" t="s">
        <v>1428</v>
      </c>
      <c r="D19" s="290" t="n">
        <f aca="false">ROUND(D17*0.32,2)</f>
        <v>28.58</v>
      </c>
      <c r="E19" s="290" t="n">
        <f aca="false">ROUND(E17*0.30,2)</f>
        <v>20.93</v>
      </c>
      <c r="F19" s="290" t="n">
        <f aca="false">ROUND(F17*0.30,2)</f>
        <v>18.84</v>
      </c>
      <c r="G19" s="295"/>
      <c r="H19" s="149" t="s">
        <v>1429</v>
      </c>
    </row>
    <row r="20" customFormat="false" ht="21" hidden="false" customHeight="true" outlineLevel="0" collapsed="false">
      <c r="A20" s="283" t="n">
        <v>4.0</v>
      </c>
      <c r="B20" s="149" t="s">
        <v>1430</v>
      </c>
      <c r="C20" s="290" t="n">
        <f aca="false">$E$50</f>
        <v>12.25</v>
      </c>
      <c r="D20" s="290" t="n">
        <f aca="false">ROUND(D19*$C$20/100,2)</f>
        <v>3.5</v>
      </c>
      <c r="E20" s="290" t="n">
        <f aca="false">ROUND(E19*$C$20/100,2)</f>
        <v>2.56</v>
      </c>
      <c r="F20" s="290" t="n">
        <f aca="false">ROUND(F19*$C$20/100,2)</f>
        <v>2.31</v>
      </c>
      <c r="G20" s="295"/>
      <c r="H20" s="149" t="s">
        <v>1431</v>
      </c>
    </row>
    <row r="21" customFormat="false" ht="21" hidden="false" customHeight="true" outlineLevel="0" collapsed="false">
      <c r="A21" s="283" t="n">
        <v>5.0</v>
      </c>
      <c r="B21" s="149" t="s">
        <v>1432</v>
      </c>
      <c r="C21" s="285" t="s">
        <v>1433</v>
      </c>
      <c r="D21" s="289" t="n">
        <v>0.16</v>
      </c>
      <c r="E21" s="289" t="n">
        <v>0.16</v>
      </c>
      <c r="F21" s="289" t="n">
        <v>0.16</v>
      </c>
      <c r="G21" s="295"/>
      <c r="H21" s="149" t="s">
        <v>1434</v>
      </c>
    </row>
    <row r="22" customFormat="false" ht="21" hidden="false" customHeight="true" outlineLevel="0" collapsed="false">
      <c r="A22" s="283" t="n">
        <v>6.0</v>
      </c>
      <c r="B22" s="149" t="s">
        <v>1435</v>
      </c>
      <c r="C22" s="285" t="s">
        <v>1433</v>
      </c>
      <c r="D22" s="289" t="n">
        <v>0.4</v>
      </c>
      <c r="E22" s="289" t="n">
        <v>0.31</v>
      </c>
      <c r="F22" s="289" t="n">
        <v>0.28</v>
      </c>
      <c r="G22" s="295"/>
      <c r="H22" s="149" t="s">
        <v>1434</v>
      </c>
    </row>
    <row r="23" customFormat="false" ht="21" hidden="false" customHeight="true" outlineLevel="0" collapsed="false">
      <c r="A23" s="283" t="n">
        <v>7.0</v>
      </c>
      <c r="B23" s="149" t="s">
        <v>1436</v>
      </c>
      <c r="C23" s="285" t="s">
        <v>1433</v>
      </c>
      <c r="D23" s="289" t="n">
        <v>8.6</v>
      </c>
      <c r="E23" s="289" t="n">
        <v>8.6</v>
      </c>
      <c r="F23" s="289" t="n">
        <v>8.6</v>
      </c>
      <c r="G23" s="295"/>
      <c r="H23" s="149" t="s">
        <v>1437</v>
      </c>
    </row>
    <row r="24" customFormat="false" ht="21" hidden="false" customHeight="true" outlineLevel="0" collapsed="false">
      <c r="A24" s="283" t="n">
        <v>8.0</v>
      </c>
      <c r="B24" s="149" t="s">
        <v>1438</v>
      </c>
      <c r="C24" s="285" t="s">
        <v>1433</v>
      </c>
      <c r="D24" s="290" t="n">
        <f aca="false">ROUND(2*132.8/300,2)</f>
        <v>0.89</v>
      </c>
      <c r="E24" s="290" t="n">
        <f aca="false">ROUND(2*132.8/300,2)</f>
        <v>0.89</v>
      </c>
      <c r="F24" s="290" t="n">
        <f aca="false">ROUND(2*132.8/300,2)</f>
        <v>0.89</v>
      </c>
      <c r="G24" s="295"/>
      <c r="H24" s="149" t="s">
        <v>1434</v>
      </c>
    </row>
    <row r="25" customFormat="false" ht="21" hidden="false" customHeight="true" outlineLevel="0" collapsed="false">
      <c r="A25" s="21"/>
      <c r="B25" s="294" t="s">
        <v>1439</v>
      </c>
      <c r="C25" s="295"/>
      <c r="D25" s="296" t="n">
        <f aca="false">SUM(D17:D24)</f>
        <v>231.62</v>
      </c>
      <c r="E25" s="296" t="n">
        <f aca="false">SUM(E17:E24)</f>
        <v>181.46</v>
      </c>
      <c r="F25" s="296" t="n">
        <f aca="false">SUM(F17:F24)</f>
        <v>164.34</v>
      </c>
      <c r="G25" s="295"/>
      <c r="H25" s="295"/>
    </row>
    <row r="26" customFormat="false" ht="21" hidden="false" customHeight="true" outlineLevel="0" collapsed="false">
      <c r="A26" s="21"/>
      <c r="B26" s="294" t="s">
        <v>1440</v>
      </c>
      <c r="C26" s="295"/>
      <c r="D26" s="296" t="n">
        <f aca="false">ROUND(D25/8,2)</f>
        <v>28.95</v>
      </c>
      <c r="E26" s="296" t="n">
        <f aca="false">ROUND(E25/8,2)</f>
        <v>22.68</v>
      </c>
      <c r="F26" s="296" t="n">
        <f aca="false">ROUND(F25/8,2)</f>
        <v>20.54</v>
      </c>
      <c r="G26" s="295"/>
      <c r="H26" s="149" t="s">
        <v>1441</v>
      </c>
    </row>
    <row r="28" customFormat="false" ht="19.5" hidden="false" customHeight="true" outlineLevel="0" collapsed="false">
      <c r="A28" s="294" t="s">
        <v>1442</v>
      </c>
      <c r="B28" s="294"/>
      <c r="C28" s="294"/>
      <c r="D28" s="294"/>
      <c r="E28" s="294"/>
      <c r="F28" s="294"/>
      <c r="G28" s="294"/>
      <c r="H28" s="294"/>
    </row>
    <row r="29" customFormat="false" ht="33" hidden="false" customHeight="true" outlineLevel="0" collapsed="false">
      <c r="A29" s="282" t="s">
        <v>331</v>
      </c>
      <c r="B29" s="282" t="s">
        <v>1225</v>
      </c>
      <c r="C29" s="282"/>
      <c r="D29" s="282" t="s">
        <v>1443</v>
      </c>
      <c r="E29" s="282" t="s">
        <v>1444</v>
      </c>
      <c r="F29" s="282"/>
      <c r="G29" s="282"/>
      <c r="H29" s="282" t="s">
        <v>657</v>
      </c>
    </row>
    <row r="30" customFormat="false" ht="19.5" hidden="false" customHeight="true" outlineLevel="0" collapsed="false">
      <c r="A30" s="283" t="n">
        <v>1.0</v>
      </c>
      <c r="B30" s="149" t="s">
        <v>1445</v>
      </c>
      <c r="C30" s="295"/>
      <c r="D30" s="289" t="n">
        <v>12.0</v>
      </c>
      <c r="E30" s="295"/>
      <c r="F30" s="295"/>
      <c r="G30" s="295"/>
      <c r="H30" s="149" t="s">
        <v>1434</v>
      </c>
    </row>
    <row r="31" customFormat="false" ht="19.5" hidden="false" customHeight="true" outlineLevel="0" collapsed="false">
      <c r="A31" s="283" t="n">
        <v>2.0</v>
      </c>
      <c r="B31" s="149" t="s">
        <v>1446</v>
      </c>
      <c r="C31" s="295"/>
      <c r="D31" s="289" t="n">
        <v>3.0</v>
      </c>
      <c r="E31" s="295"/>
      <c r="F31" s="295"/>
      <c r="G31" s="295"/>
      <c r="H31" s="149" t="s">
        <v>1434</v>
      </c>
    </row>
    <row r="32" customFormat="false" ht="19.5" hidden="false" customHeight="true" outlineLevel="0" collapsed="false">
      <c r="A32" s="283" t="n">
        <v>3.0</v>
      </c>
      <c r="B32" s="149" t="s">
        <v>1447</v>
      </c>
      <c r="C32" s="295"/>
      <c r="D32" s="289" t="n">
        <v>1.3</v>
      </c>
      <c r="E32" s="289" t="n">
        <v>1.3</v>
      </c>
      <c r="F32" s="295"/>
      <c r="G32" s="295"/>
      <c r="H32" s="149" t="s">
        <v>1434</v>
      </c>
    </row>
    <row r="33" customFormat="false" ht="19.5" hidden="false" customHeight="true" outlineLevel="0" collapsed="false">
      <c r="A33" s="283" t="n">
        <v>4.0</v>
      </c>
      <c r="B33" s="149" t="s">
        <v>1448</v>
      </c>
      <c r="C33" s="295"/>
      <c r="D33" s="289" t="n">
        <v>1.05</v>
      </c>
      <c r="E33" s="289" t="n">
        <v>1.05</v>
      </c>
      <c r="F33" s="295"/>
      <c r="G33" s="295"/>
      <c r="H33" s="149" t="s">
        <v>1434</v>
      </c>
    </row>
    <row r="34" customFormat="false" ht="19.5" hidden="false" customHeight="true" outlineLevel="0" collapsed="false">
      <c r="A34" s="283" t="n">
        <v>5.0</v>
      </c>
      <c r="B34" s="149" t="s">
        <v>1449</v>
      </c>
      <c r="C34" s="295"/>
      <c r="D34" s="289" t="n">
        <v>9.0</v>
      </c>
      <c r="E34" s="289" t="n">
        <v>9.0</v>
      </c>
      <c r="F34" s="295"/>
      <c r="G34" s="295"/>
      <c r="H34" s="149" t="s">
        <v>1434</v>
      </c>
    </row>
    <row r="35" customFormat="false" ht="19.5" hidden="false" customHeight="true" outlineLevel="0" collapsed="false">
      <c r="A35" s="283" t="n">
        <v>6.0</v>
      </c>
      <c r="B35" s="149" t="s">
        <v>1450</v>
      </c>
      <c r="C35" s="295"/>
      <c r="D35" s="289" t="n">
        <v>0.9</v>
      </c>
      <c r="E35" s="289" t="n">
        <v>0.9</v>
      </c>
      <c r="F35" s="295"/>
      <c r="G35" s="295"/>
      <c r="H35" s="149" t="s">
        <v>1434</v>
      </c>
    </row>
    <row r="36" customFormat="false" ht="19.5" hidden="false" customHeight="true" outlineLevel="0" collapsed="false">
      <c r="A36" s="283" t="n">
        <v>7.0</v>
      </c>
      <c r="B36" s="149" t="s">
        <v>1451</v>
      </c>
      <c r="C36" s="295"/>
      <c r="D36" s="289" t="n">
        <v>17.58</v>
      </c>
      <c r="E36" s="295"/>
      <c r="F36" s="295"/>
      <c r="G36" s="295"/>
      <c r="H36" s="149" t="s">
        <v>1434</v>
      </c>
    </row>
    <row r="37" customFormat="false" ht="19.5" hidden="false" customHeight="true" outlineLevel="0" collapsed="false">
      <c r="A37" s="283" t="n">
        <v>8.0</v>
      </c>
      <c r="B37" s="149" t="s">
        <v>1452</v>
      </c>
      <c r="C37" s="295"/>
      <c r="D37" s="289" t="n">
        <v>10.0</v>
      </c>
      <c r="E37" s="295"/>
      <c r="F37" s="295"/>
      <c r="G37" s="295"/>
      <c r="H37" s="149" t="s">
        <v>1434</v>
      </c>
    </row>
    <row r="38" customFormat="false" ht="19.5" hidden="false" customHeight="true" outlineLevel="0" collapsed="false">
      <c r="A38" s="283" t="n">
        <v>9.0</v>
      </c>
      <c r="B38" s="149" t="s">
        <v>1453</v>
      </c>
      <c r="C38" s="295"/>
      <c r="D38" s="289" t="n">
        <v>22.22</v>
      </c>
      <c r="E38" s="295"/>
      <c r="F38" s="295"/>
      <c r="G38" s="295"/>
      <c r="H38" s="149" t="s">
        <v>1434</v>
      </c>
    </row>
    <row r="39" customFormat="false" ht="19.5" hidden="false" customHeight="true" outlineLevel="0" collapsed="false">
      <c r="A39" s="283" t="n">
        <v>10.0</v>
      </c>
      <c r="B39" s="149" t="s">
        <v>1454</v>
      </c>
      <c r="C39" s="295"/>
      <c r="D39" s="289" t="n">
        <v>4.33</v>
      </c>
      <c r="E39" s="295"/>
      <c r="F39" s="295"/>
      <c r="G39" s="295"/>
      <c r="H39" s="149" t="s">
        <v>1434</v>
      </c>
    </row>
    <row r="40" customFormat="false" ht="19.5" hidden="false" customHeight="true" outlineLevel="0" collapsed="false">
      <c r="A40" s="283" t="n">
        <v>11.0</v>
      </c>
      <c r="B40" s="149" t="s">
        <v>1455</v>
      </c>
      <c r="C40" s="295"/>
      <c r="D40" s="289" t="n">
        <v>25.0</v>
      </c>
      <c r="E40" s="295"/>
      <c r="F40" s="295"/>
      <c r="G40" s="295"/>
      <c r="H40" s="149" t="s">
        <v>1434</v>
      </c>
    </row>
    <row r="41" customFormat="false" ht="19.5" hidden="false" customHeight="true" outlineLevel="0" collapsed="false">
      <c r="A41" s="283" t="n">
        <v>12.0</v>
      </c>
      <c r="B41" s="149" t="s">
        <v>1456</v>
      </c>
      <c r="C41" s="295"/>
      <c r="D41" s="289" t="n">
        <v>1.58</v>
      </c>
      <c r="E41" s="295"/>
      <c r="F41" s="295"/>
      <c r="G41" s="295"/>
      <c r="H41" s="149" t="s">
        <v>1434</v>
      </c>
    </row>
    <row r="42" customFormat="false" ht="19.5" hidden="false" customHeight="true" outlineLevel="0" collapsed="false">
      <c r="A42" s="283" t="n">
        <v>13.0</v>
      </c>
      <c r="B42" s="149" t="s">
        <v>1457</v>
      </c>
      <c r="C42" s="295"/>
      <c r="D42" s="289" t="n">
        <v>0.9</v>
      </c>
      <c r="E42" s="295"/>
      <c r="F42" s="295"/>
      <c r="G42" s="295"/>
      <c r="H42" s="149" t="s">
        <v>1434</v>
      </c>
    </row>
    <row r="43" customFormat="false" ht="19.5" hidden="false" customHeight="true" outlineLevel="0" collapsed="false">
      <c r="A43" s="283" t="n">
        <v>14.0</v>
      </c>
      <c r="B43" s="149" t="s">
        <v>1458</v>
      </c>
      <c r="C43" s="295"/>
      <c r="D43" s="289" t="n">
        <v>0.39</v>
      </c>
      <c r="E43" s="295"/>
      <c r="F43" s="295"/>
      <c r="G43" s="295"/>
      <c r="H43" s="149" t="s">
        <v>1434</v>
      </c>
    </row>
    <row r="44" customFormat="false" ht="19.5" hidden="false" customHeight="true" outlineLevel="0" collapsed="false">
      <c r="A44" s="283" t="n">
        <v>15.0</v>
      </c>
      <c r="B44" s="149" t="s">
        <v>1459</v>
      </c>
      <c r="C44" s="295"/>
      <c r="D44" s="289" t="n">
        <v>0.41</v>
      </c>
      <c r="E44" s="295"/>
      <c r="F44" s="295"/>
      <c r="G44" s="295"/>
      <c r="H44" s="149" t="s">
        <v>1434</v>
      </c>
    </row>
    <row r="45" customFormat="false" ht="19.5" hidden="false" customHeight="true" outlineLevel="0" collapsed="false">
      <c r="A45" s="283" t="n">
        <v>16.0</v>
      </c>
      <c r="B45" s="149" t="s">
        <v>1460</v>
      </c>
      <c r="C45" s="295"/>
      <c r="D45" s="289" t="n">
        <v>0.24</v>
      </c>
      <c r="E45" s="295"/>
      <c r="F45" s="295"/>
      <c r="G45" s="295"/>
      <c r="H45" s="149" t="s">
        <v>1434</v>
      </c>
    </row>
    <row r="46" customFormat="false" ht="19.5" hidden="false" customHeight="true" outlineLevel="0" collapsed="false">
      <c r="A46" s="283" t="n">
        <v>17.0</v>
      </c>
      <c r="B46" s="149" t="s">
        <v>1461</v>
      </c>
      <c r="C46" s="295"/>
      <c r="D46" s="289" t="n">
        <v>0.1</v>
      </c>
      <c r="E46" s="295"/>
      <c r="F46" s="295"/>
      <c r="G46" s="295"/>
      <c r="H46" s="149" t="s">
        <v>1434</v>
      </c>
    </row>
    <row r="47" customFormat="false" ht="19.5" hidden="false" customHeight="true" outlineLevel="0" collapsed="false">
      <c r="A47" s="283" t="n">
        <v>18.0</v>
      </c>
      <c r="B47" s="149" t="s">
        <v>1462</v>
      </c>
      <c r="C47" s="295"/>
      <c r="D47" s="289" t="n">
        <v>0.16</v>
      </c>
      <c r="E47" s="295"/>
      <c r="F47" s="295"/>
      <c r="G47" s="295"/>
      <c r="H47" s="149" t="s">
        <v>1434</v>
      </c>
    </row>
    <row r="48" customFormat="false" ht="19.5" hidden="false" customHeight="true" outlineLevel="0" collapsed="false">
      <c r="A48" s="283" t="n">
        <v>19.0</v>
      </c>
      <c r="B48" s="149" t="s">
        <v>1463</v>
      </c>
      <c r="C48" s="295"/>
      <c r="D48" s="289" t="n">
        <v>0.04</v>
      </c>
      <c r="E48" s="295"/>
      <c r="F48" s="295"/>
      <c r="G48" s="295"/>
      <c r="H48" s="149" t="s">
        <v>1434</v>
      </c>
    </row>
    <row r="49" customFormat="false" ht="19.5" hidden="false" customHeight="true" outlineLevel="0" collapsed="false">
      <c r="A49" s="283" t="n">
        <v>20.0</v>
      </c>
      <c r="B49" s="149" t="s">
        <v>1464</v>
      </c>
      <c r="C49" s="295"/>
      <c r="D49" s="289" t="n">
        <v>2.0</v>
      </c>
      <c r="E49" s="295"/>
      <c r="F49" s="295"/>
      <c r="G49" s="295"/>
      <c r="H49" s="149" t="s">
        <v>1434</v>
      </c>
    </row>
    <row r="50" customFormat="false" ht="21" hidden="false" customHeight="true" outlineLevel="0" collapsed="false">
      <c r="A50" s="21"/>
      <c r="B50" s="294" t="s">
        <v>1465</v>
      </c>
      <c r="C50" s="295"/>
      <c r="D50" s="296" t="n">
        <f aca="false">SUM(D30:D49)</f>
        <v>112.2</v>
      </c>
      <c r="E50" s="296" t="n">
        <f aca="false">SUM(E30:E49)</f>
        <v>12.25</v>
      </c>
      <c r="F50" s="295"/>
      <c r="G50" s="295"/>
      <c r="H50" s="149" t="s">
        <v>1466</v>
      </c>
    </row>
  </sheetData>
  <mergeCells count="13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5:H15"/>
    <mergeCell ref="A28:H2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1367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1368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1369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1370</v>
      </c>
      <c r="C11" s="285" t="s">
        <v>60</v>
      </c>
      <c r="D11" s="306" t="n">
        <f aca="false">'DESAGREGADO LLORADEROS'!F23</f>
        <v>157.0</v>
      </c>
      <c r="E11" s="295"/>
      <c r="F11" s="295"/>
      <c r="G11" s="295"/>
      <c r="H11" s="149" t="s">
        <v>1371</v>
      </c>
    </row>
    <row r="12" customFormat="false" ht="31.5" hidden="false" customHeight="true" outlineLevel="0" collapsed="false">
      <c r="A12" s="283" t="n">
        <v>2.0</v>
      </c>
      <c r="B12" s="149" t="s">
        <v>1372</v>
      </c>
      <c r="C12" s="285" t="s">
        <v>57</v>
      </c>
      <c r="D12" s="306" t="n">
        <f aca="false">'DESAGREGADO LLORADEROS'!D37</f>
        <v>0.3</v>
      </c>
      <c r="E12" s="295"/>
      <c r="F12" s="295"/>
      <c r="G12" s="295"/>
      <c r="H12" s="149" t="s">
        <v>1373</v>
      </c>
    </row>
    <row r="13" customFormat="false" ht="31.5" hidden="false" customHeight="true" outlineLevel="0" collapsed="false">
      <c r="A13" s="283" t="n">
        <v>3.0</v>
      </c>
      <c r="B13" s="149" t="s">
        <v>1374</v>
      </c>
      <c r="C13" s="285" t="s">
        <v>523</v>
      </c>
      <c r="D13" s="307" t="n">
        <v>0.05</v>
      </c>
      <c r="E13" s="295"/>
      <c r="F13" s="295"/>
      <c r="G13" s="295"/>
      <c r="H13" s="149" t="s">
        <v>1312</v>
      </c>
    </row>
    <row r="14" customFormat="false" ht="31.5" hidden="false" customHeight="true" outlineLevel="0" collapsed="false">
      <c r="A14" s="283" t="n">
        <v>4.0</v>
      </c>
      <c r="B14" s="149" t="s">
        <v>1375</v>
      </c>
      <c r="C14" s="285" t="s">
        <v>167</v>
      </c>
      <c r="D14" s="306" t="n">
        <f aca="false">'DESAGREGADO LLORADEROS'!D40</f>
        <v>0.0297</v>
      </c>
      <c r="E14" s="295"/>
      <c r="F14" s="295"/>
      <c r="G14" s="295"/>
      <c r="H14" s="149" t="s">
        <v>1376</v>
      </c>
    </row>
    <row r="15" customFormat="false" ht="31.5" hidden="false" customHeight="true" outlineLevel="0" collapsed="false">
      <c r="A15" s="283" t="n">
        <v>5.0</v>
      </c>
      <c r="B15" s="149" t="s">
        <v>1377</v>
      </c>
      <c r="C15" s="285" t="s">
        <v>168</v>
      </c>
      <c r="D15" s="306" t="n">
        <f aca="false">'DESAGREGADO LLORADEROS'!D41</f>
        <v>0.594</v>
      </c>
      <c r="E15" s="295"/>
      <c r="F15" s="295"/>
      <c r="G15" s="295"/>
      <c r="H15" s="149" t="s">
        <v>1378</v>
      </c>
    </row>
    <row r="16" customFormat="false" ht="31.5" hidden="false" customHeight="true" outlineLevel="0" collapsed="false">
      <c r="A16" s="283" t="n">
        <v>6.0</v>
      </c>
      <c r="B16" s="149" t="s">
        <v>1379</v>
      </c>
      <c r="C16" s="285" t="s">
        <v>523</v>
      </c>
      <c r="D16" s="307" t="n">
        <v>0.05</v>
      </c>
      <c r="E16" s="295"/>
      <c r="F16" s="295"/>
      <c r="G16" s="295"/>
      <c r="H16" s="149" t="s">
        <v>1312</v>
      </c>
    </row>
    <row r="17" customFormat="false" ht="31.5" hidden="false" customHeight="true" outlineLevel="0" collapsed="false">
      <c r="A17" s="283" t="n">
        <v>7.0</v>
      </c>
      <c r="B17" s="149" t="s">
        <v>1315</v>
      </c>
      <c r="C17" s="285" t="s">
        <v>167</v>
      </c>
      <c r="D17" s="306" t="n">
        <f aca="false">'DESAGREGADO LLORADEROS'!D42</f>
        <v>0.0005</v>
      </c>
      <c r="E17" s="295"/>
      <c r="F17" s="295"/>
      <c r="G17" s="295"/>
      <c r="H17" s="149" t="s">
        <v>1380</v>
      </c>
    </row>
    <row r="18" customFormat="false" ht="31.5" hidden="false" customHeight="true" outlineLevel="0" collapsed="false">
      <c r="A18" s="283" t="n">
        <v>8.0</v>
      </c>
      <c r="B18" s="149" t="s">
        <v>1381</v>
      </c>
      <c r="C18" s="285" t="s">
        <v>1382</v>
      </c>
      <c r="D18" s="307" t="n">
        <v>10.5</v>
      </c>
      <c r="E18" s="295"/>
      <c r="F18" s="295"/>
      <c r="G18" s="295"/>
      <c r="H18" s="149" t="s">
        <v>1383</v>
      </c>
    </row>
    <row r="19" customFormat="false" ht="31.5" hidden="false" customHeight="true" outlineLevel="0" collapsed="false">
      <c r="A19" s="283" t="n">
        <v>9.0</v>
      </c>
      <c r="B19" s="149" t="s">
        <v>1384</v>
      </c>
      <c r="C19" s="285" t="s">
        <v>1249</v>
      </c>
      <c r="D19" s="307" t="n">
        <v>1.05</v>
      </c>
      <c r="E19" s="295"/>
      <c r="F19" s="295"/>
      <c r="G19" s="295"/>
      <c r="H19" s="149" t="s">
        <v>1385</v>
      </c>
    </row>
    <row r="20" customFormat="false" ht="31.5" hidden="false" customHeight="true" outlineLevel="0" collapsed="false">
      <c r="A20" s="283" t="n">
        <v>10.0</v>
      </c>
      <c r="B20" s="149" t="s">
        <v>1386</v>
      </c>
      <c r="C20" s="285" t="s">
        <v>1249</v>
      </c>
      <c r="D20" s="307" t="n">
        <v>0.27</v>
      </c>
      <c r="E20" s="295"/>
      <c r="F20" s="295"/>
      <c r="G20" s="295"/>
      <c r="H20" s="149" t="s">
        <v>1383</v>
      </c>
    </row>
    <row r="21" customFormat="false" ht="31.5" hidden="false" customHeight="true" outlineLevel="0" collapsed="false">
      <c r="A21" s="283" t="n">
        <v>11.0</v>
      </c>
      <c r="B21" s="149" t="s">
        <v>1387</v>
      </c>
      <c r="C21" s="285" t="s">
        <v>1388</v>
      </c>
      <c r="D21" s="307" t="n">
        <v>24.0</v>
      </c>
      <c r="E21" s="295"/>
      <c r="F21" s="295"/>
      <c r="G21" s="295"/>
      <c r="H21" s="149" t="s">
        <v>1389</v>
      </c>
    </row>
    <row r="22" customFormat="false" ht="31.5" hidden="false" customHeight="true" outlineLevel="0" collapsed="false">
      <c r="A22" s="283" t="n">
        <v>12.0</v>
      </c>
      <c r="B22" s="149" t="s">
        <v>1390</v>
      </c>
      <c r="C22" s="285" t="s">
        <v>523</v>
      </c>
      <c r="D22" s="307" t="n">
        <v>0.5</v>
      </c>
      <c r="E22" s="295"/>
      <c r="F22" s="295"/>
      <c r="G22" s="295"/>
      <c r="H22" s="149" t="s">
        <v>1391</v>
      </c>
    </row>
    <row r="23" customFormat="false" ht="31.5" hidden="false" customHeight="true" outlineLevel="0" collapsed="false">
      <c r="A23" s="283" t="n">
        <v>13.0</v>
      </c>
      <c r="B23" s="149" t="s">
        <v>1392</v>
      </c>
      <c r="C23" s="285" t="s">
        <v>523</v>
      </c>
      <c r="D23" s="307" t="n">
        <v>1.0</v>
      </c>
      <c r="E23" s="295"/>
      <c r="F23" s="295"/>
      <c r="G23" s="295"/>
      <c r="H23" s="149" t="s">
        <v>1393</v>
      </c>
    </row>
    <row r="25" customFormat="false" ht="19.5" hidden="false" customHeight="true" outlineLevel="0" collapsed="false">
      <c r="A25" s="294" t="s">
        <v>1256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1056</v>
      </c>
      <c r="B26" s="294"/>
      <c r="C26" s="295" t="s">
        <v>1394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1058</v>
      </c>
      <c r="B27" s="294"/>
      <c r="C27" s="295" t="s">
        <v>1395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502</v>
      </c>
      <c r="B28" s="294"/>
      <c r="C28" s="295" t="s">
        <v>60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1060</v>
      </c>
      <c r="B29" s="294"/>
      <c r="C29" s="290" t="n">
        <f aca="false">'DESAGREGADO LLORADEROS'!F23</f>
        <v>157.0</v>
      </c>
      <c r="D29" s="290"/>
      <c r="E29" s="290"/>
      <c r="F29" s="290"/>
      <c r="G29" s="290"/>
      <c r="H29" s="290"/>
    </row>
    <row r="30" customFormat="false" ht="19.5" hidden="false" customHeight="true" outlineLevel="0" collapsed="false">
      <c r="A30" s="294" t="s">
        <v>1396</v>
      </c>
      <c r="B30" s="294"/>
      <c r="C30" s="290" t="n">
        <f aca="false">$D$21</f>
        <v>24.0</v>
      </c>
      <c r="D30" s="290"/>
      <c r="E30" s="290"/>
      <c r="F30" s="290"/>
      <c r="G30" s="290"/>
      <c r="H30" s="290"/>
    </row>
    <row r="31" customFormat="false" ht="31.5" hidden="false" customHeight="true" outlineLevel="0" collapsed="false">
      <c r="A31" s="282" t="s">
        <v>331</v>
      </c>
      <c r="B31" s="282" t="s">
        <v>1062</v>
      </c>
      <c r="C31" s="282" t="s">
        <v>151</v>
      </c>
      <c r="D31" s="282" t="s">
        <v>1063</v>
      </c>
      <c r="E31" s="282" t="s">
        <v>1397</v>
      </c>
      <c r="F31" s="282" t="s">
        <v>1064</v>
      </c>
      <c r="G31" s="282" t="s">
        <v>1020</v>
      </c>
      <c r="H31" s="282" t="s">
        <v>1065</v>
      </c>
    </row>
    <row r="32" customFormat="false" ht="19.5" hidden="false" customHeight="true" outlineLevel="0" collapsed="false">
      <c r="A32" s="21"/>
      <c r="B32" s="294" t="s">
        <v>1066</v>
      </c>
      <c r="C32" s="294"/>
      <c r="D32" s="294"/>
      <c r="E32" s="294"/>
      <c r="F32" s="294"/>
      <c r="G32" s="294"/>
      <c r="H32" s="294"/>
    </row>
    <row r="33" customFormat="false" ht="31.5" hidden="false" customHeight="true" outlineLevel="0" collapsed="false">
      <c r="A33" s="283" t="n">
        <v>1.0</v>
      </c>
      <c r="B33" s="295" t="s">
        <v>952</v>
      </c>
      <c r="C33" s="285" t="s">
        <v>953</v>
      </c>
      <c r="D33" s="306" t="n">
        <f aca="false">E33*$C$30/8</f>
        <v>0.5</v>
      </c>
      <c r="E33" s="306" t="n">
        <f aca="false">$D$22*8/$D$21</f>
        <v>0.166666666666667</v>
      </c>
      <c r="F33" s="290" t="n">
        <f aca="false">'COSTO HORA HOMBRE 2026'!$G$11</f>
        <v>28.95</v>
      </c>
      <c r="G33" s="290" t="n">
        <f aca="false">E33*F33</f>
        <v>4.825</v>
      </c>
      <c r="H33" s="149" t="s">
        <v>1467</v>
      </c>
    </row>
    <row r="34" customFormat="false" ht="31.5" hidden="false" customHeight="true" outlineLevel="0" collapsed="false">
      <c r="A34" s="283" t="n">
        <v>2.0</v>
      </c>
      <c r="B34" s="295" t="s">
        <v>955</v>
      </c>
      <c r="C34" s="285" t="s">
        <v>953</v>
      </c>
      <c r="D34" s="306" t="n">
        <f aca="false">E34*$C$30/8</f>
        <v>1.0</v>
      </c>
      <c r="E34" s="306" t="n">
        <f aca="false">$D$23*8/$D$21</f>
        <v>0.333333333333333</v>
      </c>
      <c r="F34" s="290" t="n">
        <f aca="false">'COSTO HORA HOMBRE 2026'!$G$13</f>
        <v>20.54</v>
      </c>
      <c r="G34" s="290" t="n">
        <f aca="false">E34*F34</f>
        <v>6.84666666666667</v>
      </c>
      <c r="H34" s="149" t="s">
        <v>1467</v>
      </c>
    </row>
    <row r="35" customFormat="false" ht="19.5" hidden="false" customHeight="true" outlineLevel="0" collapsed="false">
      <c r="A35" s="21"/>
      <c r="B35" s="294" t="s">
        <v>1068</v>
      </c>
      <c r="C35" s="295"/>
      <c r="D35" s="295"/>
      <c r="E35" s="295"/>
      <c r="F35" s="295"/>
      <c r="G35" s="296" t="n">
        <f aca="false">SUM(G33:G34)</f>
        <v>11.6716666666667</v>
      </c>
      <c r="H35" s="295"/>
    </row>
    <row r="36" customFormat="false" ht="19.5" hidden="false" customHeight="true" outlineLevel="0" collapsed="false">
      <c r="A36" s="21"/>
      <c r="B36" s="294" t="s">
        <v>1069</v>
      </c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3" t="n">
        <v>3.0</v>
      </c>
      <c r="B37" s="295" t="s">
        <v>1398</v>
      </c>
      <c r="C37" s="285" t="s">
        <v>57</v>
      </c>
      <c r="D37" s="295"/>
      <c r="E37" s="306" t="n">
        <f aca="false">$D$12*(1+$D$13)</f>
        <v>0.315</v>
      </c>
      <c r="F37" s="290" t="n">
        <f aca="false">39.9/1.18/3</f>
        <v>11.271186440678</v>
      </c>
      <c r="G37" s="290" t="n">
        <f aca="false">E37*F37</f>
        <v>3.55042372881356</v>
      </c>
      <c r="H37" s="149" t="s">
        <v>1399</v>
      </c>
    </row>
    <row r="38" customFormat="false" ht="31.5" hidden="false" customHeight="true" outlineLevel="0" collapsed="false">
      <c r="A38" s="283" t="n">
        <v>4.0</v>
      </c>
      <c r="B38" s="295" t="s">
        <v>1400</v>
      </c>
      <c r="C38" s="285" t="s">
        <v>167</v>
      </c>
      <c r="D38" s="295"/>
      <c r="E38" s="306" t="n">
        <f aca="false">$D$14</f>
        <v>0.0297</v>
      </c>
      <c r="F38" s="290" t="n">
        <f aca="false">70.0/1.18</f>
        <v>59.3220338983051</v>
      </c>
      <c r="G38" s="290" t="n">
        <f aca="false">E38*F38</f>
        <v>1.76186440677966</v>
      </c>
      <c r="H38" s="149" t="s">
        <v>1401</v>
      </c>
    </row>
    <row r="39" customFormat="false" ht="31.5" hidden="false" customHeight="true" outlineLevel="0" collapsed="false">
      <c r="A39" s="283" t="n">
        <v>5.0</v>
      </c>
      <c r="B39" s="295" t="s">
        <v>1402</v>
      </c>
      <c r="C39" s="285" t="s">
        <v>168</v>
      </c>
      <c r="D39" s="295"/>
      <c r="E39" s="306" t="n">
        <f aca="false">$D$15*(1+$D$16)</f>
        <v>0.6237</v>
      </c>
      <c r="F39" s="290" t="n">
        <f aca="false">2300.0/400/1.18</f>
        <v>4.8728813559322</v>
      </c>
      <c r="G39" s="290" t="n">
        <f aca="false">E39*F39</f>
        <v>3.03921610169492</v>
      </c>
      <c r="H39" s="149" t="s">
        <v>1403</v>
      </c>
    </row>
    <row r="40" customFormat="false" ht="31.5" hidden="false" customHeight="true" outlineLevel="0" collapsed="false">
      <c r="A40" s="283" t="n">
        <v>6.0</v>
      </c>
      <c r="B40" s="295" t="s">
        <v>944</v>
      </c>
      <c r="C40" s="285" t="s">
        <v>945</v>
      </c>
      <c r="D40" s="295"/>
      <c r="E40" s="306" t="n">
        <f aca="false">$D$17*$D$18</f>
        <v>0.00525</v>
      </c>
      <c r="F40" s="290" t="n">
        <f aca="false">'ACU TAPA REGISTRO'!F76</f>
        <v>30.93</v>
      </c>
      <c r="G40" s="290" t="n">
        <f aca="false">E40*F40</f>
        <v>0.1623825</v>
      </c>
      <c r="H40" s="149" t="s">
        <v>1404</v>
      </c>
    </row>
    <row r="41" customFormat="false" ht="19.5" hidden="false" customHeight="true" outlineLevel="0" collapsed="false">
      <c r="A41" s="283" t="n">
        <v>7.0</v>
      </c>
      <c r="B41" s="295" t="s">
        <v>946</v>
      </c>
      <c r="C41" s="285" t="s">
        <v>167</v>
      </c>
      <c r="D41" s="295"/>
      <c r="E41" s="306" t="n">
        <f aca="false">$D$17*$D$19</f>
        <v>0.000525</v>
      </c>
      <c r="F41" s="290" t="n">
        <f aca="false">'ACU TAPA REGISTRO'!F77</f>
        <v>40.68</v>
      </c>
      <c r="G41" s="290" t="n">
        <f aca="false">E41*F41</f>
        <v>0.021357</v>
      </c>
      <c r="H41" s="149" t="s">
        <v>1267</v>
      </c>
    </row>
    <row r="42" customFormat="false" ht="19.5" hidden="false" customHeight="true" outlineLevel="0" collapsed="false">
      <c r="A42" s="283" t="n">
        <v>8.0</v>
      </c>
      <c r="B42" s="295" t="s">
        <v>948</v>
      </c>
      <c r="C42" s="285" t="s">
        <v>167</v>
      </c>
      <c r="D42" s="295"/>
      <c r="E42" s="306" t="n">
        <f aca="false">$D$17*$D$20</f>
        <v>0.000135</v>
      </c>
      <c r="F42" s="290" t="n">
        <f aca="false">'ACU TAPA REGISTRO'!F79</f>
        <v>8.33</v>
      </c>
      <c r="G42" s="290" t="n">
        <f aca="false">E42*F42</f>
        <v>0.00112455</v>
      </c>
      <c r="H42" s="149" t="s">
        <v>1405</v>
      </c>
    </row>
    <row r="43" customFormat="false" ht="19.5" hidden="false" customHeight="true" outlineLevel="0" collapsed="false">
      <c r="A43" s="21"/>
      <c r="B43" s="294" t="s">
        <v>1071</v>
      </c>
      <c r="C43" s="295"/>
      <c r="D43" s="295"/>
      <c r="E43" s="295"/>
      <c r="F43" s="295"/>
      <c r="G43" s="296" t="n">
        <f aca="false">SUM(G37:G42)</f>
        <v>8.53636828728814</v>
      </c>
      <c r="H43" s="295"/>
    </row>
    <row r="44" customFormat="false" ht="19.5" hidden="false" customHeight="true" outlineLevel="0" collapsed="false">
      <c r="A44" s="21"/>
      <c r="B44" s="294" t="s">
        <v>1072</v>
      </c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3" t="n">
        <v>9.0</v>
      </c>
      <c r="B45" s="295" t="s">
        <v>969</v>
      </c>
      <c r="C45" s="285" t="s">
        <v>970</v>
      </c>
      <c r="D45" s="295"/>
      <c r="E45" s="284" t="n">
        <v>0.03</v>
      </c>
      <c r="F45" s="290" t="n">
        <f aca="false">+G35</f>
        <v>11.6716666666667</v>
      </c>
      <c r="G45" s="290" t="n">
        <f aca="false">E45*F45</f>
        <v>0.35015</v>
      </c>
      <c r="H45" s="149" t="s">
        <v>1406</v>
      </c>
    </row>
    <row r="46" customFormat="false" ht="19.5" hidden="false" customHeight="true" outlineLevel="0" collapsed="false">
      <c r="A46" s="21"/>
      <c r="B46" s="294" t="s">
        <v>1075</v>
      </c>
      <c r="C46" s="295"/>
      <c r="D46" s="295"/>
      <c r="E46" s="295"/>
      <c r="F46" s="295"/>
      <c r="G46" s="296" t="n">
        <f aca="false">SUM(G45:G45)</f>
        <v>0.35015</v>
      </c>
      <c r="H46" s="295"/>
    </row>
    <row r="47" customFormat="false" ht="21.75" hidden="false" customHeight="true" outlineLevel="0" collapsed="false">
      <c r="A47" s="294" t="s">
        <v>1129</v>
      </c>
      <c r="B47" s="294"/>
      <c r="C47" s="294"/>
      <c r="D47" s="294"/>
      <c r="E47" s="294"/>
      <c r="F47" s="294"/>
      <c r="G47" s="296" t="n">
        <f aca="false">+G35+G43+G46</f>
        <v>20.5581849539548</v>
      </c>
      <c r="H47" s="295"/>
    </row>
    <row r="48" customFormat="false" ht="21.75" hidden="false" customHeight="true" outlineLevel="0" collapsed="false">
      <c r="A48" s="294" t="s">
        <v>1269</v>
      </c>
      <c r="B48" s="294"/>
      <c r="C48" s="294"/>
      <c r="D48" s="294"/>
      <c r="E48" s="294"/>
      <c r="F48" s="294"/>
      <c r="G48" s="296" t="n">
        <f aca="false">G47*C29</f>
        <v>3227.6350377709</v>
      </c>
      <c r="H48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C26:H26"/>
    <mergeCell ref="A27:B27"/>
    <mergeCell ref="C27:H27"/>
    <mergeCell ref="A28:B28"/>
    <mergeCell ref="C28:H28"/>
    <mergeCell ref="A29:B29"/>
    <mergeCell ref="C29:H29"/>
    <mergeCell ref="A30:B30"/>
    <mergeCell ref="C30:H30"/>
    <mergeCell ref="B32:H32"/>
    <mergeCell ref="B36:H36"/>
    <mergeCell ref="B44:H44"/>
    <mergeCell ref="A47:F47"/>
    <mergeCell ref="A48:F4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