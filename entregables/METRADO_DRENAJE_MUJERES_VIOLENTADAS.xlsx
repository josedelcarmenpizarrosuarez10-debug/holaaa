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39" firstSheet="0" activeTab="19"/>
  </bookViews>
  <sheets>
    <sheet name="RESUMEN" sheetId="1" state="visible" r:id="rId3"/>
    <sheet name="PLANILLA GENERAL DE METRADOS" sheetId="2" state="visible" r:id="rId4"/>
    <sheet name="CONCRETO EN CUNETAS" sheetId="3" state="visible" r:id="rId5"/>
    <sheet name="ENCOFRADO Y DESENCOFRADO" sheetId="4" state="visible" r:id="rId6"/>
    <sheet name="METRADO MONTANTES" sheetId="5" state="visible" r:id="rId7"/>
    <sheet name="METRADO CANALETAS" sheetId="6" state="visible" r:id="rId8"/>
    <sheet name="METRADO  EN PISO (SUMIDERO)" sheetId="7" state="visible" r:id="rId9"/>
    <sheet name="METRADO ACERO" sheetId="8" state="visible" r:id="rId10"/>
    <sheet name="METRADO DE CURADO" sheetId="9" state="visible" r:id="rId11"/>
    <sheet name="METRADO DE REJILLAS" sheetId="10" state="visible" r:id="rId12"/>
    <sheet name="METRADO JUNTA DE DILATACION" sheetId="11" state="visible" r:id="rId13"/>
    <sheet name="METRADO LLORADEROS" sheetId="12" state="visible" r:id="rId14"/>
    <sheet name="PLANILLA TAPAS REGISTRO INTERNO" sheetId="13" state="visible" r:id="rId15"/>
    <sheet name="PARAMETROS" sheetId="14" state="visible" r:id="rId16"/>
    <sheet name="Listas" sheetId="15" state="hidden" r:id="rId17"/>
    <sheet name="COLECTOR PARAMETROS" sheetId="16" state="visible" r:id="rId18"/>
    <sheet name="COLECTOR MOV. TIERRAS" sheetId="17" state="visible" r:id="rId19"/>
    <sheet name="COLECTOR CONCRETO" sheetId="18" state="visible" r:id="rId20"/>
    <sheet name="COLECTOR ENCOFRADO" sheetId="19" state="visible" r:id="rId21"/>
    <sheet name="COLECTOR ACERO" sheetId="20" state="visible" r:id="rId22"/>
    <sheet name="COLECTOR REGISTROS Y TAPAS" sheetId="21" state="visible" r:id="rId23"/>
    <sheet name="COLECTOR JUNTAS Y EMPALMES" sheetId="22" state="visible" r:id="rId24"/>
    <sheet name="COLECTOR INSUMOS" sheetId="23" state="visible" r:id="rId25"/>
    <sheet name="ACU TAPA REGISTRO" sheetId="24" state="visible" r:id="rId26"/>
    <sheet name="ACU CANALETAS" sheetId="25" state="visible" r:id="rId27"/>
    <sheet name="DESAGREGADO TAPA REGISTRO" sheetId="26" state="visible" r:id="rId28"/>
    <sheet name="ACU JUNTA DILATACION" sheetId="27" state="visible" r:id="rId30"/>
    <sheet name="ACU JUNTA CERCO" sheetId="28" state="visible" r:id="rId31"/>
  </sheets>
  <definedNames>
    <definedName function="false" hidden="false" localSheetId="24" name="_xlnm.Print_Area" vbProcedure="false">'ACU CANALETAS'!$A$1:$H$111</definedName>
    <definedName function="false" hidden="false" localSheetId="23" name="_xlnm.Print_Area" vbProcedure="false">'ACU TAPA REGISTRO'!$A$1:$H$96</definedName>
    <definedName function="false" hidden="false" localSheetId="2" name="_xlnm.Print_Area" vbProcedure="false">'CONCRETO EN CUNETAS'!$A$1:$O$79</definedName>
    <definedName function="false" hidden="false" localSheetId="2" name="_xlnm.Print_Titles" vbProcedure="false">'CONCRETO EN CUNETAS'!$1:$8</definedName>
    <definedName function="false" hidden="false" localSheetId="25" name="_xlnm.Print_Area" vbProcedure="false">'DESAGREGADO TAPA REGISTRO'!$A$1:$G$46</definedName>
    <definedName function="false" hidden="false" localSheetId="3" name="_xlnm.Print_Area" vbProcedure="false">'ENCOFRADO Y DESENCOFRADO'!$A$1:$P$79</definedName>
    <definedName function="false" hidden="false" localSheetId="3" name="_xlnm.Print_Titles" vbProcedure="false">'ENCOFRADO Y DESENCOFRADO'!$2:$7</definedName>
    <definedName function="false" hidden="false" localSheetId="5" name="_xlnm.Print_Area" vbProcedure="false">'METRADO CANALETAS'!$A$1:$L$53</definedName>
    <definedName function="false" hidden="false" localSheetId="5" name="_xlnm.Print_Titles" vbProcedure="false">'METRADO CANALETAS'!$1:$10</definedName>
    <definedName function="false" hidden="false" localSheetId="4" name="_xlnm.Print_Area" vbProcedure="false">'METRADO MONTANTES'!$A$1:$R$45</definedName>
    <definedName function="false" hidden="false" localSheetId="4" name="_xlnm.Print_Titles" vbProcedure="false">'METRADO MONTANTES'!$1:$10</definedName>
    <definedName function="false" hidden="false" localSheetId="1" name="_xlnm.Print_Area" vbProcedure="false">'PLANILLA GENERAL DE METRADOS'!$A$1:$L$322</definedName>
    <definedName function="false" hidden="false" localSheetId="0" name="_xlnm.Print_Area" vbProcedure="false">RESUMEN!$A$1:$D$75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1" authorId="0">
      <text>
        <r>
          <rPr>
            <sz val="10"/>
            <rFont val="Arial"/>
            <family val="2"/>
          </rPr>
          <t xml:space="preserve">Abrazaderas por montante = REDONDEAR.MENOS(longitud/4) con mínimo 1. Reproduce el criterio de CAR Mujeres (6.2 m = 1, 8.2 m = 2, 12 m = 3). Se puede escribir encima.</t>
        </r>
      </text>
    </comment>
    <comment ref="P11" authorId="0">
      <text>
        <r>
          <rPr>
            <sz val="10"/>
            <rFont val="Arial"/>
            <family val="2"/>
          </rPr>
          <t xml:space="preserve">Codos 45° por montante: según detalle. Escribir la cantidad en cada lado.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16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19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22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25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28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31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34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37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D40" authorId="0">
      <text>
        <r>
          <rPr>
            <sz val="10"/>
            <rFont val="Arial"/>
            <family val="2"/>
          </rPr>
          <t xml:space="preserve">Techo a dos aguas: se toma igual al Lado 01. Si el Lado 02 mide distinto, escribir aquí su longitud.</t>
        </r>
      </text>
    </comment>
    <comment ref="J12" authorId="0">
      <text>
        <r>
          <rPr>
            <sz val="10"/>
            <rFont val="Arial"/>
            <family val="2"/>
          </rPr>
          <t xml:space="preserve">Igual al N° de montantes de METRADO MONTANTES, EDIFICACION 01, Lado A.</t>
        </r>
      </text>
    </comment>
    <comment ref="J13" authorId="0">
      <text>
        <r>
          <rPr>
            <sz val="10"/>
            <rFont val="Arial"/>
            <family val="2"/>
          </rPr>
          <t xml:space="preserve">Igual al N° de montantes de METRADO MONTANTES, EDIFICACION 01, Lado B.</t>
        </r>
      </text>
    </comment>
    <comment ref="J15" authorId="0">
      <text>
        <r>
          <rPr>
            <sz val="10"/>
            <rFont val="Arial"/>
            <family val="2"/>
          </rPr>
          <t xml:space="preserve">Igual al N° de montantes de METRADO MONTANTES, EDIFICACION 02, Lado A.</t>
        </r>
      </text>
    </comment>
    <comment ref="J16" authorId="0">
      <text>
        <r>
          <rPr>
            <sz val="10"/>
            <rFont val="Arial"/>
            <family val="2"/>
          </rPr>
          <t xml:space="preserve">Igual al N° de montantes de METRADO MONTANTES, EDIFICACION 02, Lado B.</t>
        </r>
      </text>
    </comment>
    <comment ref="J18" authorId="0">
      <text>
        <r>
          <rPr>
            <sz val="10"/>
            <rFont val="Arial"/>
            <family val="2"/>
          </rPr>
          <t xml:space="preserve">Igual al N° de montantes de METRADO MONTANTES, EDIFICACION 03, Lado A.</t>
        </r>
      </text>
    </comment>
    <comment ref="J19" authorId="0">
      <text>
        <r>
          <rPr>
            <sz val="10"/>
            <rFont val="Arial"/>
            <family val="2"/>
          </rPr>
          <t xml:space="preserve">Igual al N° de montantes de METRADO MONTANTES, EDIFICACION 03, Lado B.</t>
        </r>
      </text>
    </comment>
    <comment ref="J21" authorId="0">
      <text>
        <r>
          <rPr>
            <sz val="10"/>
            <rFont val="Arial"/>
            <family val="2"/>
          </rPr>
          <t xml:space="preserve">Igual al N° de montantes de METRADO MONTANTES, EDIFICACION 04, Lado A.</t>
        </r>
      </text>
    </comment>
    <comment ref="J22" authorId="0">
      <text>
        <r>
          <rPr>
            <sz val="10"/>
            <rFont val="Arial"/>
            <family val="2"/>
          </rPr>
          <t xml:space="preserve">Igual al N° de montantes de METRADO MONTANTES, EDIFICACION 04, Lado B.</t>
        </r>
      </text>
    </comment>
    <comment ref="J24" authorId="0">
      <text>
        <r>
          <rPr>
            <sz val="10"/>
            <rFont val="Arial"/>
            <family val="2"/>
          </rPr>
          <t xml:space="preserve">Igual al N° de montantes de METRADO MONTANTES, EDIFICACION 05, Lado A.</t>
        </r>
      </text>
    </comment>
    <comment ref="J25" authorId="0">
      <text>
        <r>
          <rPr>
            <sz val="10"/>
            <rFont val="Arial"/>
            <family val="2"/>
          </rPr>
          <t xml:space="preserve">Igual al N° de montantes de METRADO MONTANTES, EDIFICACION 05, Lado B.</t>
        </r>
      </text>
    </comment>
    <comment ref="J27" authorId="0">
      <text>
        <r>
          <rPr>
            <sz val="10"/>
            <rFont val="Arial"/>
            <family val="2"/>
          </rPr>
          <t xml:space="preserve">Igual al N° de montantes de METRADO MONTANTES, EDIFICACION 06, Lado A.</t>
        </r>
      </text>
    </comment>
    <comment ref="J28" authorId="0">
      <text>
        <r>
          <rPr>
            <sz val="10"/>
            <rFont val="Arial"/>
            <family val="2"/>
          </rPr>
          <t xml:space="preserve">Igual al N° de montantes de METRADO MONTANTES, EDIFICACION 06, Lado B.</t>
        </r>
      </text>
    </comment>
    <comment ref="J30" authorId="0">
      <text>
        <r>
          <rPr>
            <sz val="10"/>
            <rFont val="Arial"/>
            <family val="2"/>
          </rPr>
          <t xml:space="preserve">Igual al N° de montantes de METRADO MONTANTES, EDIFICACION 07, Lado A.</t>
        </r>
      </text>
    </comment>
    <comment ref="J31" authorId="0">
      <text>
        <r>
          <rPr>
            <sz val="10"/>
            <rFont val="Arial"/>
            <family val="2"/>
          </rPr>
          <t xml:space="preserve">Igual al N° de montantes de METRADO MONTANTES, EDIFICACION 07, Lado B.</t>
        </r>
      </text>
    </comment>
    <comment ref="J33" authorId="0">
      <text>
        <r>
          <rPr>
            <sz val="10"/>
            <rFont val="Arial"/>
            <family val="2"/>
          </rPr>
          <t xml:space="preserve">Igual al N° de montantes de METRADO MONTANTES, EDIFICACION 08, Lado A.</t>
        </r>
      </text>
    </comment>
    <comment ref="J34" authorId="0">
      <text>
        <r>
          <rPr>
            <sz val="10"/>
            <rFont val="Arial"/>
            <family val="2"/>
          </rPr>
          <t xml:space="preserve">Igual al N° de montantes de METRADO MONTANTES, EDIFICACION 08, Lado B.</t>
        </r>
      </text>
    </comment>
    <comment ref="J36" authorId="0">
      <text>
        <r>
          <rPr>
            <sz val="10"/>
            <rFont val="Arial"/>
            <family val="2"/>
          </rPr>
          <t xml:space="preserve">Igual al N° de montantes de METRADO MONTANTES, EDIFICACION 09, Lado A.</t>
        </r>
      </text>
    </comment>
    <comment ref="J37" authorId="0">
      <text>
        <r>
          <rPr>
            <sz val="10"/>
            <rFont val="Arial"/>
            <family val="2"/>
          </rPr>
          <t xml:space="preserve">Igual al N° de montantes de METRADO MONTANTES, EDIFICACION 09, Lado B.</t>
        </r>
      </text>
    </comment>
    <comment ref="J39" authorId="0">
      <text>
        <r>
          <rPr>
            <sz val="10"/>
            <rFont val="Arial"/>
            <family val="2"/>
          </rPr>
          <t xml:space="preserve">Igual al N° de montantes de METRADO MONTANTES, LOSA DEPORTIVA, Lado A.</t>
        </r>
      </text>
    </comment>
    <comment ref="J40" authorId="0">
      <text>
        <r>
          <rPr>
            <sz val="10"/>
            <rFont val="Arial"/>
            <family val="2"/>
          </rPr>
          <t xml:space="preserve">Igual al N° de montantes de METRADO MONTANTES, LOSA DEPORTIVA, Lado B.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Área de muro (un solo muro) tomada de la hoja 'CONCRETO ARMADO EN CUNETAS' de tu Excel (fila AREA, bajo MUROS de cada eje).</t>
        </r>
      </text>
    </comment>
    <comment ref="F13" authorId="0">
      <text>
        <r>
          <rPr>
            <sz val="10"/>
            <rFont val="Arial"/>
            <family val="2"/>
          </rPr>
          <t xml:space="preserve">Altura de muro = Área de muro / Longitud del eje (misma altura usada para el volumen de concreto de muros en tu hoja original).</t>
        </r>
      </text>
    </comment>
    <comment ref="H13" authorId="0">
      <text>
        <r>
          <rPr>
            <sz val="10"/>
            <rFont val="Arial"/>
            <family val="2"/>
          </rPr>
          <t xml:space="preserve"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<sst xmlns="http://schemas.openxmlformats.org/spreadsheetml/2006/main" count="3401" uniqueCount="1294">
  <si>
    <t xml:space="preserve">RESUMEN METRADOS DE DRENAJE PLUVIAL</t>
  </si>
  <si>
    <t xml:space="preserve">ENTIDAD</t>
  </si>
  <si>
    <t xml:space="preserve">GERENCIA TERRITORIAL BAJO MAYO - TARAPOTO</t>
  </si>
  <si>
    <t xml:space="preserve">PROYECTO</t>
  </si>
  <si>
    <t xml:space="preserve"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</si>
  <si>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 xml:space="preserve">UBICACIÓN</t>
  </si>
  <si>
    <t xml:space="preserve">SAN MARTIN - SAN MARTIN - MORALES</t>
  </si>
  <si>
    <t xml:space="preserve">FECHA</t>
  </si>
  <si>
    <t xml:space="preserve">Item</t>
  </si>
  <si>
    <t xml:space="preserve">Descripción</t>
  </si>
  <si>
    <t xml:space="preserve">Unid.</t>
  </si>
  <si>
    <t xml:space="preserve">Total.</t>
  </si>
  <si>
    <t xml:space="preserve">01.04.03</t>
  </si>
  <si>
    <t xml:space="preserve">SISTEMA DE DRENAJE PLUVIAL</t>
  </si>
  <si>
    <t xml:space="preserve">01.04.03.01</t>
  </si>
  <si>
    <t xml:space="preserve">TRABAJOS PRELIMINARES</t>
  </si>
  <si>
    <t xml:space="preserve">01.04.03.01.01</t>
  </si>
  <si>
    <t xml:space="preserve">LIMPIEZA MANUAL DE TERRENO</t>
  </si>
  <si>
    <t xml:space="preserve">m²</t>
  </si>
  <si>
    <t xml:space="preserve">01.04.03.01.02</t>
  </si>
  <si>
    <t xml:space="preserve">TRAZO, NIVELES Y REPLANTEO PRELIMINAR</t>
  </si>
  <si>
    <t xml:space="preserve">01.04.03.02</t>
  </si>
  <si>
    <t xml:space="preserve">MOVIMIENTO DE TIERRAS</t>
  </si>
  <si>
    <t xml:space="preserve">01.04.03.02.01</t>
  </si>
  <si>
    <t xml:space="preserve">EXCAVACIÓN MANUAL DE ZANJAS P/CUNETAS</t>
  </si>
  <si>
    <t xml:space="preserve">m³</t>
  </si>
  <si>
    <t xml:space="preserve">01.04.03.02.02</t>
  </si>
  <si>
    <t xml:space="preserve">EXCAVACIÓN MANUAL DE ZANJAS P/DADOS DE CONCRETO</t>
  </si>
  <si>
    <t xml:space="preserve">01.04.03.02.03</t>
  </si>
  <si>
    <t xml:space="preserve">REFINE, NIVELACIÓN Y COMPACTACIÓN EN TERRENO NORMAL</t>
  </si>
  <si>
    <t xml:space="preserve">01.04.03.02.04</t>
  </si>
  <si>
    <t xml:space="preserve">RELLENO COMPACTADO C/MATERIAL PROPIO SELECCIONADO</t>
  </si>
  <si>
    <t xml:space="preserve">01.04.03.02.05</t>
  </si>
  <si>
    <t xml:space="preserve">ELIMINACIÓN DE MATERIAL EXCEDENTE D&lt;1Km</t>
  </si>
  <si>
    <t xml:space="preserve">01.04.03.03</t>
  </si>
  <si>
    <t xml:space="preserve">OBRAS DE CONCRETO SIMPLE</t>
  </si>
  <si>
    <t xml:space="preserve">01.04.03.03.01</t>
  </si>
  <si>
    <t xml:space="preserve">CONCRETO f'c=100 kg/cm2 PARA SOLADO E=4''</t>
  </si>
  <si>
    <t xml:space="preserve">01.04.03.03.02</t>
  </si>
  <si>
    <t xml:space="preserve">CONCRETO f'c=140 Kg/cm2 PARA DADOS DE CONCRETO</t>
  </si>
  <si>
    <t xml:space="preserve">01.04.03.04</t>
  </si>
  <si>
    <t xml:space="preserve">OBRAS DE CONCRETO ARMADO</t>
  </si>
  <si>
    <t xml:space="preserve">01.04.03.04.02</t>
  </si>
  <si>
    <t xml:space="preserve">CUNETAS</t>
  </si>
  <si>
    <t xml:space="preserve">01.04.03.04.02.01</t>
  </si>
  <si>
    <t xml:space="preserve">CONCRETO f'c=175 kg/cm2 PARA CUNETAS</t>
  </si>
  <si>
    <t xml:space="preserve">01.04.03.04.02.02</t>
  </si>
  <si>
    <t xml:space="preserve">ENCOFRADO Y DESENCOFRADO DE CUNETAS</t>
  </si>
  <si>
    <t xml:space="preserve">01.04.03.04.02.03</t>
  </si>
  <si>
    <t xml:space="preserve">ACERO f'y=4200 kg/cm2 PARA CUNETA</t>
  </si>
  <si>
    <t xml:space="preserve">kg</t>
  </si>
  <si>
    <t xml:space="preserve">01.04.03.04.02.04</t>
  </si>
  <si>
    <t xml:space="preserve">CURADO DE CONCRETO EN CUNETA</t>
  </si>
  <si>
    <t xml:space="preserve">01.04.03.04.03</t>
  </si>
  <si>
    <t xml:space="preserve">VARIOS</t>
  </si>
  <si>
    <t xml:space="preserve">01.04.03.04.03.01</t>
  </si>
  <si>
    <t xml:space="preserve">REJILLA METALICA P/CUNETA C/PL 1''x 3/16'' Y ANGULO 1'' x 1'' x 3/16'', S/DETALLE</t>
  </si>
  <si>
    <t xml:space="preserve">m</t>
  </si>
  <si>
    <t xml:space="preserve">01.04.03.04.03.02</t>
  </si>
  <si>
    <t xml:space="preserve">TAPA DE INSPECCION 0.60m x 0.60m</t>
  </si>
  <si>
    <t xml:space="preserve">und</t>
  </si>
  <si>
    <t xml:space="preserve">01.04.03.04.03.03</t>
  </si>
  <si>
    <t xml:space="preserve">JUNTA DE DILATACION E=1" CON SELLADOR ASFALTO</t>
  </si>
  <si>
    <t xml:space="preserve">01.04.03.04.03.04</t>
  </si>
  <si>
    <t xml:space="preserve">LLORADERO DE TUBERIA PVC Ø3" C/FILTRO DE GRAVA Y GEOTEXTIL @1.50 m (CUNETA COLINDANTE CON AREA VERDE)</t>
  </si>
  <si>
    <t xml:space="preserve">01.04.03.05</t>
  </si>
  <si>
    <t xml:space="preserve">RED DE COLECCIÓN</t>
  </si>
  <si>
    <t xml:space="preserve">01.04.03.05.01</t>
  </si>
  <si>
    <t xml:space="preserve">RED DE RECOLECCION TECHO</t>
  </si>
  <si>
    <t xml:space="preserve">01.04.03.05.01.01</t>
  </si>
  <si>
    <t xml:space="preserve">MONTANTE CON TUBERÍA PVC DE 4"</t>
  </si>
  <si>
    <t xml:space="preserve">01.04.03.05.01.02</t>
  </si>
  <si>
    <t xml:space="preserve">FALSA COLUMNA P/MONTANTE DE 0.20m x 0.15m x 1.30m</t>
  </si>
  <si>
    <t xml:space="preserve">01.04.03.05.01.02.01</t>
  </si>
  <si>
    <t xml:space="preserve">CONCRETO F´C=175 KG/CM2 EN FALSA COLUMNA</t>
  </si>
  <si>
    <t xml:space="preserve">01.04.03.05.01.02.02</t>
  </si>
  <si>
    <t xml:space="preserve">ENCOFRADO Y DESENCOFRADO EN FALSA COLUMNA - MONTANTE PLUVIAL</t>
  </si>
  <si>
    <t xml:space="preserve">01.04.03.05.01.02.03</t>
  </si>
  <si>
    <t xml:space="preserve">ACERO FY=4200 KG/CM2 EN FALSA COLUMNA (MONTANTE PLUVIAL)</t>
  </si>
  <si>
    <t xml:space="preserve">01.04.03.05.01.03</t>
  </si>
  <si>
    <t xml:space="preserve">CANALETA DE PLANCHA DE ACERO GALVANIZADO e=0.9mm, SECCIÓN 0.25m x 0.20m</t>
  </si>
  <si>
    <t xml:space="preserve">01.04.03.05.01.04</t>
  </si>
  <si>
    <t xml:space="preserve">SOPORTE DE PLATINA F°G° 1" x 1/8" P/CANALETA</t>
  </si>
  <si>
    <t xml:space="preserve">01.04.03.05.01.05</t>
  </si>
  <si>
    <t xml:space="preserve">TAPA LATERAL DE PLANCHA GALVANIZADA P/CANALETA</t>
  </si>
  <si>
    <t xml:space="preserve">01.04.03.05.01.06</t>
  </si>
  <si>
    <t xml:space="preserve">BOQUILLA DE PLANCHA GALVANIZADA P/CONEXIÓN DE CANALETA A MONTANTE Ø4"</t>
  </si>
  <si>
    <t xml:space="preserve">01.04.03.05.02</t>
  </si>
  <si>
    <t xml:space="preserve">RED DE RECOLECCION PISO</t>
  </si>
  <si>
    <t xml:space="preserve">01.04.03.05.02.01</t>
  </si>
  <si>
    <t xml:space="preserve">TUBERIA DESAGÜE PVC-CP Ø4"</t>
  </si>
  <si>
    <t xml:space="preserve">01.04.03.05.02.02</t>
  </si>
  <si>
    <t xml:space="preserve">SUMIDERO METALICO C/PLATINA 1" X 3/16"</t>
  </si>
  <si>
    <t xml:space="preserve">01.04.03.05.02.03</t>
  </si>
  <si>
    <t xml:space="preserve">CODO DESAGÜE PVC Ø4" x 90°</t>
  </si>
  <si>
    <t xml:space="preserve">01.04.03.05.02.04</t>
  </si>
  <si>
    <t xml:space="preserve">TEE SANITARIA DESAGÜE PVC Ø4"</t>
  </si>
  <si>
    <t xml:space="preserve">01.04.03.05.03</t>
  </si>
  <si>
    <t xml:space="preserve">ACCESORIOS</t>
  </si>
  <si>
    <t xml:space="preserve">01.04.03.05.03.02</t>
  </si>
  <si>
    <t xml:space="preserve">01.04.03.05.03.04</t>
  </si>
  <si>
    <t xml:space="preserve">COLGADOR F°G° P/TUBERIA PVC Ø4"</t>
  </si>
  <si>
    <t xml:space="preserve">01.04.03.05.03.05</t>
  </si>
  <si>
    <t xml:space="preserve">ABRAZADERA DE F°G° P/TUBERIA PVC Ø4"</t>
  </si>
  <si>
    <t xml:space="preserve">01.04.04</t>
  </si>
  <si>
    <t xml:space="preserve">COLECTOR PLUVIAL FRONTAL (TRAMO HOGAR DE REFUGIO - EMPALME CON CAR MUJERES)</t>
  </si>
  <si>
    <t xml:space="preserve">01.04.04.01</t>
  </si>
  <si>
    <t xml:space="preserve">01.04.04.01.01</t>
  </si>
  <si>
    <t xml:space="preserve">01.04.04.01.02</t>
  </si>
  <si>
    <t xml:space="preserve">01.04.04.02</t>
  </si>
  <si>
    <t xml:space="preserve">01.04.04.02.01</t>
  </si>
  <si>
    <t xml:space="preserve">EXCAVACIÓN MANUAL DE ZANJAS P/COLECTOR</t>
  </si>
  <si>
    <t xml:space="preserve">01.04.04.02.02</t>
  </si>
  <si>
    <t xml:space="preserve">01.04.04.02.03</t>
  </si>
  <si>
    <t xml:space="preserve">01.04.04.02.04</t>
  </si>
  <si>
    <t xml:space="preserve">01.04.04.03</t>
  </si>
  <si>
    <t xml:space="preserve">01.04.04.03.01</t>
  </si>
  <si>
    <t xml:space="preserve">CONCRETO f'c=100 kg/cm2 PARA SOLADO E=2''</t>
  </si>
  <si>
    <t xml:space="preserve">01.04.04.04</t>
  </si>
  <si>
    <t xml:space="preserve">OBRAS DE CONCRETO ARMADO - COLECTOR Y CAJAS</t>
  </si>
  <si>
    <t xml:space="preserve">01.04.04.04.01</t>
  </si>
  <si>
    <t xml:space="preserve">CONCRETO f'c=210 kg/cm2 PARA COLECTOR</t>
  </si>
  <si>
    <t xml:space="preserve">01.04.04.04.02</t>
  </si>
  <si>
    <t xml:space="preserve">ENCOFRADO Y DESENCOFRADO DE COLECTOR</t>
  </si>
  <si>
    <t xml:space="preserve">01.04.04.04.03</t>
  </si>
  <si>
    <t xml:space="preserve">ACERO f'y=4200 kg/cm2 PARA COLECTOR</t>
  </si>
  <si>
    <t xml:space="preserve">01.04.04.04.04</t>
  </si>
  <si>
    <t xml:space="preserve">ACABADO FROTACHADO DE LOSA SUPERIOR (VEREDA)</t>
  </si>
  <si>
    <t xml:space="preserve">01.04.04.04.05</t>
  </si>
  <si>
    <t xml:space="preserve">CURADO DE CONCRETO EN COLECTOR</t>
  </si>
  <si>
    <t xml:space="preserve">01.04.04.05</t>
  </si>
  <si>
    <t xml:space="preserve">REGISTROS DE LIMPIEZA Y TAPAS</t>
  </si>
  <si>
    <t xml:space="preserve">01.04.04.05.01</t>
  </si>
  <si>
    <t xml:space="preserve">TAPA DE REGISTRO 0.68x0.68 C/MARCO Y CONTRAMARCO</t>
  </si>
  <si>
    <t xml:space="preserve">01.04.04.06</t>
  </si>
  <si>
    <t xml:space="preserve">JUNTAS</t>
  </si>
  <si>
    <t xml:space="preserve">01.04.04.06.01</t>
  </si>
  <si>
    <t xml:space="preserve">JUNTA DE DILATACION E=1" CON TECNOPOR Y SELLADOR ASFALTICO EN COLECTOR</t>
  </si>
  <si>
    <t xml:space="preserve">01.04.04.06.02</t>
  </si>
  <si>
    <t xml:space="preserve">JUNTA E=1" CON TECNOPOR Y SELLADOR ASFALTICO ENTRE COLECTOR Y CERCO PERIMETRICO</t>
  </si>
  <si>
    <t xml:space="preserve">ITEM</t>
  </si>
  <si>
    <t xml:space="preserve">DESCRIPCION</t>
  </si>
  <si>
    <t xml:space="preserve">Nº DE VECES</t>
  </si>
  <si>
    <t xml:space="preserve">LARGO</t>
  </si>
  <si>
    <t xml:space="preserve">ANCHO</t>
  </si>
  <si>
    <t xml:space="preserve">ALTURA</t>
  </si>
  <si>
    <t xml:space="preserve">FACT.</t>
  </si>
  <si>
    <t xml:space="preserve">AREA</t>
  </si>
  <si>
    <t xml:space="preserve">VOLUMEN</t>
  </si>
  <si>
    <t xml:space="preserve">PARCIAL</t>
  </si>
  <si>
    <t xml:space="preserve">TOTAL</t>
  </si>
  <si>
    <t xml:space="preserve">UND</t>
  </si>
  <si>
    <t xml:space="preserve">EJE 1</t>
  </si>
  <si>
    <t xml:space="preserve">EJE 2</t>
  </si>
  <si>
    <t xml:space="preserve">EJE 3</t>
  </si>
  <si>
    <t xml:space="preserve">EJE 4</t>
  </si>
  <si>
    <t xml:space="preserve">EJE 5</t>
  </si>
  <si>
    <t xml:space="preserve">EJE 6</t>
  </si>
  <si>
    <t xml:space="preserve">EJE 7</t>
  </si>
  <si>
    <t xml:space="preserve">EJE 8</t>
  </si>
  <si>
    <t xml:space="preserve">EJE 9</t>
  </si>
  <si>
    <t xml:space="preserve">EJE 10</t>
  </si>
  <si>
    <t xml:space="preserve">EJE 11</t>
  </si>
  <si>
    <t xml:space="preserve">EJE 12</t>
  </si>
  <si>
    <t xml:space="preserve">DADO 0.40 X 0.40</t>
  </si>
  <si>
    <t xml:space="preserve">EXCAVACIÓN  MANUAL DE ZANJA PARA CUNETA</t>
  </si>
  <si>
    <t xml:space="preserve">RELLENO COMPACTADO CON MATERIAL PROPIO</t>
  </si>
  <si>
    <t xml:space="preserve">m3</t>
  </si>
  <si>
    <t xml:space="preserve">m2</t>
  </si>
  <si>
    <t xml:space="preserve">Kgr</t>
  </si>
  <si>
    <t xml:space="preserve">Acero Longitudinal</t>
  </si>
  <si>
    <t xml:space="preserve">Acero Transversal</t>
  </si>
  <si>
    <t xml:space="preserve">Tramo normal (0+000.00 - 0+026.32)</t>
  </si>
  <si>
    <t xml:space="preserve">Cruce de camiones (0+026.32 - 0+031.33)</t>
  </si>
  <si>
    <t xml:space="preserve">Tramo normal (0+031.33 - 0+039.04)</t>
  </si>
  <si>
    <t xml:space="preserve">Cruce de motos (0+039.04 - 0+041.04)</t>
  </si>
  <si>
    <t xml:space="preserve">Tramo normal (0+041.04 - 0+058.81)</t>
  </si>
  <si>
    <t xml:space="preserve">Tramo diagonal (quiebres) (0+058.81 - 0+066.89)</t>
  </si>
  <si>
    <t xml:space="preserve">Tramo recto final (0+066.89 - 0+069.89)</t>
  </si>
  <si>
    <t xml:space="preserve">Caja de llegada CL</t>
  </si>
  <si>
    <t xml:space="preserve">Caja de caida CC</t>
  </si>
  <si>
    <t xml:space="preserve">Tramo normal (0+000.00 - 0+026.32) - lateral de zanja</t>
  </si>
  <si>
    <t xml:space="preserve">Cruce de camiones (0+026.32 - 0+031.33) - lateral de zanja</t>
  </si>
  <si>
    <t xml:space="preserve">Tramo normal (0+031.33 - 0+039.04) - lateral de zanja</t>
  </si>
  <si>
    <t xml:space="preserve">Cruce de motos (0+039.04 - 0+041.04) - lateral de zanja</t>
  </si>
  <si>
    <t xml:space="preserve">Tramo normal (0+041.04 - 0+058.81) - lateral de zanja</t>
  </si>
  <si>
    <t xml:space="preserve">Tramo diagonal (quiebres) (0+058.81 - 0+066.89) - lateral de zanja</t>
  </si>
  <si>
    <t xml:space="preserve">Tramo recto final (0+066.89 - 0+069.89) - lateral de zanja</t>
  </si>
  <si>
    <t xml:space="preserve">Tramo normal (0+000.00 - 0+026.32) - franja de nivelacion</t>
  </si>
  <si>
    <t xml:space="preserve">Cruce de camiones (0+026.32 - 0+031.33) - franja de nivelacion</t>
  </si>
  <si>
    <t xml:space="preserve">Tramo normal (0+031.33 - 0+039.04) - franja de nivelacion</t>
  </si>
  <si>
    <t xml:space="preserve">Cruce de motos (0+039.04 - 0+041.04) - franja de nivelacion</t>
  </si>
  <si>
    <t xml:space="preserve">Tramo normal (0+041.04 - 0+058.81) - franja de nivelacion</t>
  </si>
  <si>
    <t xml:space="preserve">Tramo diagonal (quiebres) (0+058.81 - 0+066.89) - franja de nivelacion</t>
  </si>
  <si>
    <t xml:space="preserve">Tramo recto final (0+066.89 - 0+069.89) - franja de nivelacion</t>
  </si>
  <si>
    <t xml:space="preserve">Excavacion de zanjas y cajas</t>
  </si>
  <si>
    <t xml:space="preserve">Relleno compactado (se descuenta)</t>
  </si>
  <si>
    <t xml:space="preserve">Losa de fondo: Tramo normal (0+000.00 - 0+026.32)</t>
  </si>
  <si>
    <t xml:space="preserve">Losa de fondo: Cruce de camiones (0+026.32 - 0+031.33)</t>
  </si>
  <si>
    <t xml:space="preserve">Losa de fondo: Tramo normal (0+031.33 - 0+039.04)</t>
  </si>
  <si>
    <t xml:space="preserve">Losa de fondo: Cruce de motos (0+039.04 - 0+041.04)</t>
  </si>
  <si>
    <t xml:space="preserve">Losa de fondo: Tramo normal (0+041.04 - 0+058.81)</t>
  </si>
  <si>
    <t xml:space="preserve">Losa de fondo: Tramo diagonal (quiebres) (0+058.81 - 0+066.89)</t>
  </si>
  <si>
    <t xml:space="preserve">Losa de fondo: Tramo recto final (0+066.89 - 0+069.89)</t>
  </si>
  <si>
    <t xml:space="preserve">Losa de fondo: Caja de llegada CL</t>
  </si>
  <si>
    <t xml:space="preserve">Losa de fondo: Caja de caida CC (incluye umbral)</t>
  </si>
  <si>
    <t xml:space="preserve">Muros:</t>
  </si>
  <si>
    <t xml:space="preserve">Caja de llegada CL (muros, murete, descuento de ventana)</t>
  </si>
  <si>
    <t xml:space="preserve">Caja de caida CC (muros, murete, descuento de ventana)</t>
  </si>
  <si>
    <t xml:space="preserve">Losa superior (incluye bordes de registro):</t>
  </si>
  <si>
    <t xml:space="preserve">Caja de llegada CL (descuento de abertura)</t>
  </si>
  <si>
    <t xml:space="preserve">Caja de caida CC (descuento de aberturas)</t>
  </si>
  <si>
    <t xml:space="preserve">Bordes engrosados de abertura de registros RS-01 a RS-07</t>
  </si>
  <si>
    <t xml:space="preserve">Descuento de aberturas de registro 0.70 x 0.70 x 0.10</t>
  </si>
  <si>
    <t xml:space="preserve">Caja de llegada CL (malla 3/8" @0.20 ambas caras)</t>
  </si>
  <si>
    <t xml:space="preserve">Caja de caida CC (malla 3/8" @0.20 ambas caras)</t>
  </si>
  <si>
    <t xml:space="preserve">Registros en la losa del colector (RS-01 a RS-07)</t>
  </si>
  <si>
    <t xml:space="preserve">Caja de llegada CL (1 registro)</t>
  </si>
  <si>
    <t xml:space="preserve">Caja de caida CC (2 registros)</t>
  </si>
  <si>
    <t xml:space="preserve">Cada tapa incluye: contramarco L 2"x2"x3/16" con 8 anclajes, marco L 1 1/2"x1 1/2"x1/8", tapa de concreto armado 0.68 x 0.68 x 0.08 con parrilla y asas, refuerzo de borde y pintura</t>
  </si>
  <si>
    <t xml:space="preserve">Desagregado por componente: ver hoja DESAGREGADO TAPA REGISTRO</t>
  </si>
  <si>
    <t xml:space="preserve">JUNTAS </t>
  </si>
  <si>
    <t xml:space="preserve">CONCRETO F´C=175 KG/CM2 PARA CUNETAS  - DRENAJE PLUVIAL</t>
  </si>
  <si>
    <t xml:space="preserve">LONGITUDES Y AREAS</t>
  </si>
  <si>
    <t xml:space="preserve">Sub.TOTAL</t>
  </si>
  <si>
    <t xml:space="preserve">TOTAL (m3)</t>
  </si>
  <si>
    <t xml:space="preserve">CUNETA EJE 01</t>
  </si>
  <si>
    <t xml:space="preserve">MUROS</t>
  </si>
  <si>
    <t xml:space="preserve">CUNETA EJE 07</t>
  </si>
  <si>
    <t xml:space="preserve">ESPESOR</t>
  </si>
  <si>
    <t xml:space="preserve">CANT.</t>
  </si>
  <si>
    <t xml:space="preserve">LOSA</t>
  </si>
  <si>
    <t xml:space="preserve">LONGITUD</t>
  </si>
  <si>
    <t xml:space="preserve">TAPA</t>
  </si>
  <si>
    <t xml:space="preserve">CUNETA EJE 02</t>
  </si>
  <si>
    <t xml:space="preserve">CUNETA EJE 08</t>
  </si>
  <si>
    <t xml:space="preserve">CUNETA EJE 03</t>
  </si>
  <si>
    <t xml:space="preserve">CUNETA EJE 09</t>
  </si>
  <si>
    <t xml:space="preserve">CUNETA EJE 04</t>
  </si>
  <si>
    <t xml:space="preserve">CUNETA EJE 10</t>
  </si>
  <si>
    <t xml:space="preserve">CUNETA EJE 05</t>
  </si>
  <si>
    <t xml:space="preserve">CUNETA EJE 11</t>
  </si>
  <si>
    <t xml:space="preserve">CUNETA EJE 06</t>
  </si>
  <si>
    <t xml:space="preserve">CUNETA EJE 12</t>
  </si>
  <si>
    <t xml:space="preserve"> ENCOFRADO Y DESENCOFRADO CUNETAS - DRENAJE PLUVIAL</t>
  </si>
  <si>
    <t xml:space="preserve">OBRAS DE CONCRETO ARMADO - ENCOFRADO Y DESENCOFRADO CUNETAS</t>
  </si>
  <si>
    <t xml:space="preserve">TOTAL (m2)</t>
  </si>
  <si>
    <t xml:space="preserve">EJE1</t>
  </si>
  <si>
    <t xml:space="preserve">ABIERTA</t>
  </si>
  <si>
    <t xml:space="preserve">MUROS EXTERNO</t>
  </si>
  <si>
    <t xml:space="preserve">NORMAL</t>
  </si>
  <si>
    <t xml:space="preserve">MURO INTERNO</t>
  </si>
  <si>
    <t xml:space="preserve">CANTIDAD</t>
  </si>
  <si>
    <t xml:space="preserve">TAPADO</t>
  </si>
  <si>
    <t xml:space="preserve">MURO EXTERNO</t>
  </si>
  <si>
    <t xml:space="preserve">CALCULO DE MONTANTES POR EDIFICACION  - DRENAJE PLUVIAL</t>
  </si>
  <si>
    <t xml:space="preserve">MONTANTES</t>
  </si>
  <si>
    <t xml:space="preserve">LONG. TUBERIA PVC 4"</t>
  </si>
  <si>
    <t xml:space="preserve">CODO PVC 90° 4"</t>
  </si>
  <si>
    <t xml:space="preserve">ABRAZADERA 4"</t>
  </si>
  <si>
    <t xml:space="preserve">COLGADOR 4"</t>
  </si>
  <si>
    <t xml:space="preserve">CODO PVC 45° 4"</t>
  </si>
  <si>
    <t xml:space="preserve">VECES</t>
  </si>
  <si>
    <t xml:space="preserve">TOTAL (m)</t>
  </si>
  <si>
    <t xml:space="preserve">TOTAL (und)</t>
  </si>
  <si>
    <t xml:space="preserve">EDIFICACION 01</t>
  </si>
  <si>
    <t xml:space="preserve">Lado A</t>
  </si>
  <si>
    <t xml:space="preserve">Lado B</t>
  </si>
  <si>
    <t xml:space="preserve">EDIFICACION 02</t>
  </si>
  <si>
    <t xml:space="preserve">EDIFICACION 03</t>
  </si>
  <si>
    <t xml:space="preserve">EDIFICACION 04</t>
  </si>
  <si>
    <t xml:space="preserve">EDIFICACION 05</t>
  </si>
  <si>
    <t xml:space="preserve">EDIFICACION 06</t>
  </si>
  <si>
    <t xml:space="preserve">EDIFICACION 07</t>
  </si>
  <si>
    <t xml:space="preserve">EDIFICACION 08</t>
  </si>
  <si>
    <t xml:space="preserve">EDIFICACION 09</t>
  </si>
  <si>
    <t xml:space="preserve">LOSA DEPORTIVA</t>
  </si>
  <si>
    <t xml:space="preserve">OBRA EXTERIOR 01</t>
  </si>
  <si>
    <t xml:space="preserve">OBRA EXTERIOR03</t>
  </si>
  <si>
    <t xml:space="preserve">METRADO DE CANALETAS DE TECHO - DRENAJE PLUVIAL</t>
  </si>
  <si>
    <t xml:space="preserve">CANALETA DE PLANCHA DE ACERO GALVANIZADO - SECCIÓN INTERIOR 0.25 m (FONDO) x 0.20 m (ALTO) - TECHOS A DOS AGUAS: UNA CANALETA POR CADA LADO</t>
  </si>
  <si>
    <t xml:space="preserve">EDIFICACIÓN</t>
  </si>
  <si>
    <t xml:space="preserve">N° DE CANALETAS</t>
  </si>
  <si>
    <t xml:space="preserve">CANALETA 0.25 x 0.20 m</t>
  </si>
  <si>
    <t xml:space="preserve">SOPORTE PLATINA F°G° 1" x 1/8"</t>
  </si>
  <si>
    <t xml:space="preserve">TAPA LATERAL</t>
  </si>
  <si>
    <t xml:space="preserve">BOQUILLA A MONTANTE Ø4"</t>
  </si>
  <si>
    <t xml:space="preserve">LONGITUD (m)</t>
  </si>
  <si>
    <t xml:space="preserve">Lado 01</t>
  </si>
  <si>
    <t xml:space="preserve">Lado 02</t>
  </si>
  <si>
    <t xml:space="preserve">PARÁMETROS DE CÁLCULO - CANALETA</t>
  </si>
  <si>
    <t xml:space="preserve">DESCRIPCIÓN</t>
  </si>
  <si>
    <t xml:space="preserve">VALOR</t>
  </si>
  <si>
    <t xml:space="preserve">UNIDAD</t>
  </si>
  <si>
    <t xml:space="preserve">CRITERIO</t>
  </si>
  <si>
    <t xml:space="preserve">Fondo interior de canaleta</t>
  </si>
  <si>
    <t xml:space="preserve">Dato del proyecto</t>
  </si>
  <si>
    <t xml:space="preserve">Altura interior de canaleta</t>
  </si>
  <si>
    <t xml:space="preserve">Doblez o pestaña superior (por cada lado)</t>
  </si>
  <si>
    <t xml:space="preserve">Editable según detalle</t>
  </si>
  <si>
    <t xml:space="preserve">Desarrollo de plancha (fondo + 2 alturas + 2 dobleces)</t>
  </si>
  <si>
    <t xml:space="preserve">Calculado</t>
  </si>
  <si>
    <t xml:space="preserve">Espesor de plancha galvanizada</t>
  </si>
  <si>
    <t xml:space="preserve">mm</t>
  </si>
  <si>
    <t xml:space="preserve">Editable según EE.TT. (cambiar también la descripción de la partida)</t>
  </si>
  <si>
    <t xml:space="preserve">Separación de soportes</t>
  </si>
  <si>
    <t xml:space="preserve">Editable. Soportes por canaleta = REDONDEAR.MAS(L / sep) + 1</t>
  </si>
  <si>
    <t xml:space="preserve">Tapas laterales por canaleta</t>
  </si>
  <si>
    <t xml:space="preserve">Una en cada extremo</t>
  </si>
  <si>
    <t xml:space="preserve">Área de plancha galvanizada (referencial)</t>
  </si>
  <si>
    <t xml:space="preserve">Total de canaleta x desarrollo. Solo referencia para el análisis de costos</t>
  </si>
  <si>
    <t xml:space="preserve">PLANILLA DE METRADOS - RED DE DRENAJE EN PISO Y SUMIDEROS</t>
  </si>
  <si>
    <t xml:space="preserve">SECTOR</t>
  </si>
  <si>
    <t xml:space="preserve">TUBERÍA 4" PVC-U
Desagüe Clase Pesada (m)</t>
  </si>
  <si>
    <t xml:space="preserve">SUMIDERO DE 4"
(und)</t>
  </si>
  <si>
    <t xml:space="preserve">CODO 90° x 4"
(und)</t>
  </si>
  <si>
    <t xml:space="preserve">CODO 45° x 4"
(und)</t>
  </si>
  <si>
    <t xml:space="preserve">TEE° x 4"
(und)</t>
  </si>
  <si>
    <t xml:space="preserve">OBSERVACIÓN</t>
  </si>
  <si>
    <t xml:space="preserve">SECTOR 01</t>
  </si>
  <si>
    <t xml:space="preserve">Según sector</t>
  </si>
  <si>
    <t xml:space="preserve">SECTOR 02</t>
  </si>
  <si>
    <t xml:space="preserve">SECTOR 03</t>
  </si>
  <si>
    <t xml:space="preserve">SECTOR 04</t>
  </si>
  <si>
    <t xml:space="preserve">METRADO DE ACERO EN CUNETAS  - DRENAJE PLUVIAL</t>
  </si>
  <si>
    <t xml:space="preserve">METRADO DETALLADO POR EJE Y POR TRAMO</t>
  </si>
  <si>
    <t xml:space="preserve">IDENTIFICACIÓN Y GEOMETRÍA</t>
  </si>
  <si>
    <t xml:space="preserve">ACERO LONGITUDINAL DEL CUERPO U</t>
  </si>
  <si>
    <t xml:space="preserve">ACERO TRANSVERSAL DEL CUERPO U</t>
  </si>
  <si>
    <t xml:space="preserve">ACERO TRANSVERSAL DE LA TAPA (SOLO CUNETA TAPADA)</t>
  </si>
  <si>
    <t xml:space="preserve">RESULTADO</t>
  </si>
  <si>
    <t xml:space="preserve">N°</t>
  </si>
  <si>
    <t xml:space="preserve">EJE</t>
  </si>
  <si>
    <t xml:space="preserve">TRAMO</t>
  </si>
  <si>
    <t xml:space="preserve">TIPO DE CUNETA</t>
  </si>
  <si>
    <t xml:space="preserve">SEC. INI</t>
  </si>
  <si>
    <t xml:space="preserve">SEC. FIN</t>
  </si>
  <si>
    <t xml:space="preserve">LONGITUD TRAMO (m)</t>
  </si>
  <si>
    <t xml:space="preserve">Ø CUERPO</t>
  </si>
  <si>
    <t xml:space="preserve">FACTOR CUERPO (kg/m)</t>
  </si>
  <si>
    <t xml:space="preserve">SEP. LONG. (m)</t>
  </si>
  <si>
    <t xml:space="preserve">BARRAS LONG. INI</t>
  </si>
  <si>
    <t xml:space="preserve">BARRAS LONG. FIN</t>
  </si>
  <si>
    <t xml:space="preserve">BARRAS PROM.</t>
  </si>
  <si>
    <t xml:space="preserve">LONG. ACERO LONG. (m)</t>
  </si>
  <si>
    <t xml:space="preserve">KG LONG.</t>
  </si>
  <si>
    <t xml:space="preserve">SEP. TRANSV. U (m)</t>
  </si>
  <si>
    <t xml:space="preserve">DES. TRANSV. U INI (m)</t>
  </si>
  <si>
    <t xml:space="preserve">DES. TRANSV. U FIN (m)</t>
  </si>
  <si>
    <t xml:space="preserve">DES. PROM. U (m)</t>
  </si>
  <si>
    <t xml:space="preserve">CANT. TRANSV. U</t>
  </si>
  <si>
    <t xml:space="preserve">LONG. ACERO TRANSV. U (m)</t>
  </si>
  <si>
    <t xml:space="preserve">KG TRANSV. U</t>
  </si>
  <si>
    <t xml:space="preserve">TOTAL KG CUERPO U</t>
  </si>
  <si>
    <t xml:space="preserve">Ø TAPA</t>
  </si>
  <si>
    <t xml:space="preserve">FACTOR TAPA (kg/m)</t>
  </si>
  <si>
    <t xml:space="preserve">SEP. TRANSV. TAPA (m)</t>
  </si>
  <si>
    <t xml:space="preserve">LONG. BARRA TAPA INI (m)</t>
  </si>
  <si>
    <t xml:space="preserve">LONG. BARRA TAPA FIN (m)</t>
  </si>
  <si>
    <t xml:space="preserve">LONG. PROM. TAPA (m)</t>
  </si>
  <si>
    <t xml:space="preserve">CANT. BARRAS TAPA</t>
  </si>
  <si>
    <t xml:space="preserve">LONG. ACERO TAPA (m)</t>
  </si>
  <si>
    <t xml:space="preserve">KG ACERO TAPA</t>
  </si>
  <si>
    <t xml:space="preserve">TOTAL KG TRAMO</t>
  </si>
  <si>
    <t xml:space="preserve">EJE 01</t>
  </si>
  <si>
    <t xml:space="preserve">TRAMO 01</t>
  </si>
  <si>
    <t xml:space="preserve">SEC 02</t>
  </si>
  <si>
    <t xml:space="preserve">SEC 03</t>
  </si>
  <si>
    <t xml:space="preserve">3/8"</t>
  </si>
  <si>
    <t xml:space="preserve">TRAMO 02</t>
  </si>
  <si>
    <t xml:space="preserve">TAPADA</t>
  </si>
  <si>
    <t xml:space="preserve">SEC 04</t>
  </si>
  <si>
    <t xml:space="preserve">EJE 02</t>
  </si>
  <si>
    <t xml:space="preserve">SEC 06</t>
  </si>
  <si>
    <t xml:space="preserve">SEC 07</t>
  </si>
  <si>
    <t xml:space="preserve">SEC 08</t>
  </si>
  <si>
    <t xml:space="preserve">TRAMO 03</t>
  </si>
  <si>
    <t xml:space="preserve">SEC 09</t>
  </si>
  <si>
    <t xml:space="preserve">TRAMO 04</t>
  </si>
  <si>
    <t xml:space="preserve">SEC 10</t>
  </si>
  <si>
    <t xml:space="preserve">TRAMO 05</t>
  </si>
  <si>
    <t xml:space="preserve">SEC 10 </t>
  </si>
  <si>
    <t xml:space="preserve">SEC 11</t>
  </si>
  <si>
    <t xml:space="preserve">TRAMO 06</t>
  </si>
  <si>
    <t xml:space="preserve">SEC 12</t>
  </si>
  <si>
    <t xml:space="preserve">TRAMO 07</t>
  </si>
  <si>
    <t xml:space="preserve">SEC 13</t>
  </si>
  <si>
    <t xml:space="preserve">SEC 14</t>
  </si>
  <si>
    <t xml:space="preserve">EJE 05</t>
  </si>
  <si>
    <t xml:space="preserve">SEC 20</t>
  </si>
  <si>
    <t xml:space="preserve">SEC 21</t>
  </si>
  <si>
    <t xml:space="preserve">SEC 22</t>
  </si>
  <si>
    <t xml:space="preserve">EJE 06</t>
  </si>
  <si>
    <t xml:space="preserve">SEC 24</t>
  </si>
  <si>
    <t xml:space="preserve">SEC 25</t>
  </si>
  <si>
    <t xml:space="preserve">SEC 26</t>
  </si>
  <si>
    <t xml:space="preserve">SEC 26 </t>
  </si>
  <si>
    <t xml:space="preserve">SEC 27</t>
  </si>
  <si>
    <t xml:space="preserve">SEC 28</t>
  </si>
  <si>
    <t xml:space="preserve">EJE 07</t>
  </si>
  <si>
    <t xml:space="preserve">SEC 30</t>
  </si>
  <si>
    <t xml:space="preserve">SEC 31</t>
  </si>
  <si>
    <t xml:space="preserve">SEC 32</t>
  </si>
  <si>
    <t xml:space="preserve">SEC 33</t>
  </si>
  <si>
    <t xml:space="preserve">SEC 34</t>
  </si>
  <si>
    <t xml:space="preserve">SEC 35</t>
  </si>
  <si>
    <t xml:space="preserve">SEC 36</t>
  </si>
  <si>
    <t xml:space="preserve">EJE 08</t>
  </si>
  <si>
    <t xml:space="preserve">SEC 37</t>
  </si>
  <si>
    <t xml:space="preserve">SEC 38</t>
  </si>
  <si>
    <t xml:space="preserve">EJE 09</t>
  </si>
  <si>
    <t xml:space="preserve">SEC 39</t>
  </si>
  <si>
    <t xml:space="preserve">SEC 40</t>
  </si>
  <si>
    <t xml:space="preserve">SEC 44</t>
  </si>
  <si>
    <t xml:space="preserve">SEC 45</t>
  </si>
  <si>
    <t xml:space="preserve">SEC 46</t>
  </si>
  <si>
    <t xml:space="preserve">SEC 47</t>
  </si>
  <si>
    <t xml:space="preserve">SEC 48</t>
  </si>
  <si>
    <t xml:space="preserve">SEC 50</t>
  </si>
  <si>
    <t xml:space="preserve">SEC 51</t>
  </si>
  <si>
    <t xml:space="preserve">SEC 52</t>
  </si>
  <si>
    <t xml:space="preserve">SEC 53</t>
  </si>
  <si>
    <t xml:space="preserve">TOTALES DE LA PLANILLA</t>
  </si>
  <si>
    <t xml:space="preserve">METRADO DE CURADO DE CONCRETO EN CUNETAS</t>
  </si>
  <si>
    <t xml:space="preserve">ANCHO INTERIOR (m)</t>
  </si>
  <si>
    <t xml:space="preserve">ALTURA INT. INI (m)</t>
  </si>
  <si>
    <t xml:space="preserve">ALTURA INT. FIN (m)</t>
  </si>
  <si>
    <t xml:space="preserve">ALTURA PROM. (m)</t>
  </si>
  <si>
    <t xml:space="preserve">ÁREA 2 MUROS (m²)</t>
  </si>
  <si>
    <t xml:space="preserve">ÁREA FONDO (m²)</t>
  </si>
  <si>
    <t xml:space="preserve">ÁREA TAPA / TECHO (m²)</t>
  </si>
  <si>
    <t xml:space="preserve">TOTAL CURADO (m²)</t>
  </si>
  <si>
    <t xml:space="preserve">N° CARAS</t>
  </si>
  <si>
    <t xml:space="preserve">UND.</t>
  </si>
  <si>
    <t xml:space="preserve">EJE 03</t>
  </si>
  <si>
    <t xml:space="preserve">EJE 04</t>
  </si>
  <si>
    <t xml:space="preserve">TOTAL DE CURADO DE CONCRETO EN CUNETAS</t>
  </si>
  <si>
    <t xml:space="preserve">METRADO DE REJILLAS PARA CUNETAS</t>
  </si>
  <si>
    <t xml:space="preserve">LONGITUD DEL TRAMO (m)</t>
  </si>
  <si>
    <t xml:space="preserve">DESCUENTO SIN REJILLA (m)</t>
  </si>
  <si>
    <t xml:space="preserve">LONGITUD CON REJILLA (m)</t>
  </si>
  <si>
    <t xml:space="preserve">TOTAL CALCULADO DE REJILLA EN CUNETAS ABIERTAS</t>
  </si>
  <si>
    <t xml:space="preserve">PLANILLA DE METRADOS - JUNTA DE DILATACIÓN E=1" CON SELLADOR ASFÁLTICO EN MUROS DE CUNETAS</t>
  </si>
  <si>
    <t xml:space="preserve">PARÁMETROS</t>
  </si>
  <si>
    <t xml:space="preserve">Espaciamiento entre juntas (m)</t>
  </si>
  <si>
    <t xml:space="preserve">N° de muros con junta por cuneta</t>
  </si>
  <si>
    <t xml:space="preserve">Espesor de junta (referencial, no interviene en el metrado lineal)</t>
  </si>
  <si>
    <t xml:space="preserve">1" = 0.0254 m</t>
  </si>
  <si>
    <t xml:space="preserve">EJE / DESCRIPCIÓN</t>
  </si>
  <si>
    <t xml:space="preserve">LONGITUD
EJE (m)</t>
  </si>
  <si>
    <t xml:space="preserve">ÁREA MURO
(m²)</t>
  </si>
  <si>
    <t xml:space="preserve">ALTURA
MURO (m)</t>
  </si>
  <si>
    <t xml:space="preserve">ESPACIAMIENTO
(m)</t>
  </si>
  <si>
    <t xml:space="preserve">N° DE
JUNTAS</t>
  </si>
  <si>
    <t xml:space="preserve">N° MUROS
x JUNTA</t>
  </si>
  <si>
    <t xml:space="preserve">PARCIAL
(ml)</t>
  </si>
  <si>
    <t xml:space="preserve">Descripccion</t>
  </si>
  <si>
    <t xml:space="preserve">ml</t>
  </si>
  <si>
    <t xml:space="preserve">METRADO DE LLORADEROS DE PVC Ø3" EN MUROS DE CUNETA COLINDANTES CON ÁREA VERDE</t>
  </si>
  <si>
    <t xml:space="preserve">PROGRESIVA DEL TRAMO (desde - hasta)</t>
  </si>
  <si>
    <t xml:space="preserve">LADO DEL MURO</t>
  </si>
  <si>
    <t xml:space="preserve">LONGITUD JUNTO A ÁREA VERDE (m)</t>
  </si>
  <si>
    <t xml:space="preserve">ESPACIAMIENTO (m)</t>
  </si>
  <si>
    <t xml:space="preserve">N° DE LLORADEROS</t>
  </si>
  <si>
    <t xml:space="preserve">0+000.00 a 0+037.00</t>
  </si>
  <si>
    <t xml:space="preserve">LADO ESTE</t>
  </si>
  <si>
    <t xml:space="preserve">0+032.25 a 0+037.00</t>
  </si>
  <si>
    <t xml:space="preserve">LADO OESTE</t>
  </si>
  <si>
    <t xml:space="preserve">0+040.62 a 0+045.37</t>
  </si>
  <si>
    <t xml:space="preserve">LADO SUR</t>
  </si>
  <si>
    <t xml:space="preserve">0+040.62 a 0+042.87</t>
  </si>
  <si>
    <t xml:space="preserve">0+123.97 a 0+125.70</t>
  </si>
  <si>
    <t xml:space="preserve">0+000.50 a 0+005.00</t>
  </si>
  <si>
    <t xml:space="preserve">0+069.05 a 0+071.30</t>
  </si>
  <si>
    <t xml:space="preserve">0+039.50 a 0+062.75</t>
  </si>
  <si>
    <t xml:space="preserve">0+066.80 a 0+071.30</t>
  </si>
  <si>
    <t xml:space="preserve">0+078.50 a 0+109.00</t>
  </si>
  <si>
    <t xml:space="preserve">0+000.00 a 0+109.00</t>
  </si>
  <si>
    <t xml:space="preserve">TOTAL DE LLORADEROS EN CUNETAS COLINDANTES CON ÁREA VERDE</t>
  </si>
  <si>
    <t xml:space="preserve">CRITERIO DE METRADO</t>
  </si>
  <si>
    <t xml:space="preserve">1. Solo llevan lloraderos los muros de cuneta colindantes con área verde (detalle de instalación de lloraderos en cunetas de evacuación pluvial y especificación técnica del plano de drenaje: lloraderos de tubería PVC Ø3", espaciamiento típico L = 1.50 m, en muros de contención de la cuneta colindantes con áreas verdes).</t>
  </si>
  <si>
    <t xml:space="preserve">2. Tramos medidos en la planta general de drenaje: muro cuya franja exterior de 0.30 m queda dentro del achurado de área verde; no se cuentan tramos menores de 1.50 m. Progresivas desde el inicio de cada eje (igual que los perfiles), recortadas a la longitud del eje de este metrado.</t>
  </si>
  <si>
    <t xml:space="preserve">3. N° de lloraderos por tramo = REDONDEAR.MAS(longitud / 1.50). Cada unidad comprende: pase de tubería PVC-U Ø3" (L = 0.30 m) a media altura del muro con pendiente S = 0.5 % hacia la cuneta; filtro localizado de grava 20-40 mm de 0.30 x 0.30 x 0.30 m (0.027 m³) envuelto en geotextil no tejido (0.60 m² con traslapes); excavación local y relleno del filtro.</t>
  </si>
  <si>
    <t xml:space="preserve">4. Partida nueva: no modifica ninguna otra partida del metrado.</t>
  </si>
  <si>
    <t xml:space="preserve">METRADO DE TAPAS DE REGISTRO EN CUNETAS TAPADAS</t>
  </si>
  <si>
    <t xml:space="preserve">DIMENSIONES</t>
  </si>
  <si>
    <t xml:space="preserve">VOLUMEN / PARCIAL</t>
  </si>
  <si>
    <t xml:space="preserve">TAPA DE REGISTRO (DE CONCRETO)</t>
  </si>
  <si>
    <t xml:space="preserve">CONCRETO F´C=210 KG/CM2 EN TAPA DE REGISTRO</t>
  </si>
  <si>
    <t xml:space="preserve">TAPA 0.60 x 0.60 x 0.10 m</t>
  </si>
  <si>
    <t xml:space="preserve">ENCOFRADO Y DESENCOFRADO EN TAPA DE REGISTRO</t>
  </si>
  <si>
    <t xml:space="preserve">LATERALES DE TAPA</t>
  </si>
  <si>
    <t xml:space="preserve">FONDO DE MOLDE / BASE DE PREFABRICADO</t>
  </si>
  <si>
    <t xml:space="preserve">TOTAL ENCOFRADO FONDO + LATERALES</t>
  </si>
  <si>
    <t xml:space="preserve">ACERO FY=4200 KG/CM2 EN TAPA DE REGISTRO - VARILLA 3/8</t>
  </si>
  <si>
    <t xml:space="preserve">LONGITUD DE CADA BARRA</t>
  </si>
  <si>
    <t xml:space="preserve">CANTIDAD DE BARRAS POR TAPA</t>
  </si>
  <si>
    <t xml:space="preserve">Acero longitudinal 3/8 - parrilla simple</t>
  </si>
  <si>
    <t xml:space="preserve">Acero transversal 3/8 - parrilla simple</t>
  </si>
  <si>
    <t xml:space="preserve">TOTAL ACERO 3/8</t>
  </si>
  <si>
    <t xml:space="preserve">PARÁMETROS  - TAPA DE REGISTRO DE CONCRETO</t>
  </si>
  <si>
    <t xml:space="preserve">Valor</t>
  </si>
  <si>
    <t xml:space="preserve">Unidad</t>
  </si>
  <si>
    <t xml:space="preserve">Criterio</t>
  </si>
  <si>
    <t xml:space="preserve">Cantidad de tapas</t>
  </si>
  <si>
    <t xml:space="preserve">Según resumen: 10 tapas</t>
  </si>
  <si>
    <t xml:space="preserve">Largo de tapa</t>
  </si>
  <si>
    <t xml:space="preserve">Según detalle</t>
  </si>
  <si>
    <t xml:space="preserve">Ancho de tapa</t>
  </si>
  <si>
    <t xml:space="preserve">Espesor de tapa</t>
  </si>
  <si>
    <t xml:space="preserve">Recubrimiento considerado</t>
  </si>
  <si>
    <t xml:space="preserve">Editable según plano estructural</t>
  </si>
  <si>
    <t xml:space="preserve">Separación de varillas 3/8</t>
  </si>
  <si>
    <t xml:space="preserve">Parrilla simple en ambos sentidos</t>
  </si>
  <si>
    <t xml:space="preserve">Peso varilla 3/8</t>
  </si>
  <si>
    <t xml:space="preserve">kg/m</t>
  </si>
  <si>
    <t xml:space="preserve">Peso unitario usado para metrado</t>
  </si>
  <si>
    <t xml:space="preserve">Longitud varilla comercial</t>
  </si>
  <si>
    <t xml:space="preserve">Solo equivalente de longitud, sin redondeo</t>
  </si>
  <si>
    <t xml:space="preserve">PARÁMETROS - MOVIMIENTO DE TIERRAS</t>
  </si>
  <si>
    <t xml:space="preserve">Espesor de solado sumado a excavación y relleno</t>
  </si>
  <si>
    <t xml:space="preserve">Solado e=4" bajo la losa. Poner 0 si la altura ya lo incluye</t>
  </si>
  <si>
    <t xml:space="preserve">Factor de esponjamiento</t>
  </si>
  <si>
    <t xml:space="preserve">-</t>
  </si>
  <si>
    <t xml:space="preserve">Eliminación = (excavación − relleno) × factor</t>
  </si>
  <si>
    <t xml:space="preserve">LISTAS, FACTORES Y PARÁMETROS EDITABLES</t>
  </si>
  <si>
    <t xml:space="preserve">DIÁMETRO</t>
  </si>
  <si>
    <t xml:space="preserve">FACTOR kg/m</t>
  </si>
  <si>
    <t xml:space="preserve">CRITERIO DE CONTEO</t>
  </si>
  <si>
    <t xml:space="preserve">6 mm</t>
  </si>
  <si>
    <t xml:space="preserve">TEÓRICO (L/s+1)</t>
  </si>
  <si>
    <t xml:space="preserve">8 mm</t>
  </si>
  <si>
    <t xml:space="preserve">ENTERO (redondeo arriba)</t>
  </si>
  <si>
    <t xml:space="preserve">12 mm</t>
  </si>
  <si>
    <t xml:space="preserve">1/2"</t>
  </si>
  <si>
    <t xml:space="preserve">5/8"</t>
  </si>
  <si>
    <t xml:space="preserve">3/4"</t>
  </si>
  <si>
    <t xml:space="preserve">1"</t>
  </si>
  <si>
    <t xml:space="preserve">NOTA</t>
  </si>
  <si>
    <t xml:space="preserve">Los factores kg/m son editables. Si el proyecto usa otro factor, cámbialo aquí.</t>
  </si>
  <si>
    <t xml:space="preserve">La opción TEÓRICO mantiene cantidades decimales: Longitud / separación + 1.</t>
  </si>
  <si>
    <t xml:space="preserve">La opción ENTERO redondea hacia arriba antes de sumar la barra final.</t>
  </si>
  <si>
    <t xml:space="preserve">COLECTOR PLUVIAL FRONTAL - PARAMETROS DE METRADO</t>
  </si>
  <si>
    <t xml:space="preserve">Tramo Hogar de Refugio Temporal (CUI 2675514), empalme con el colector de CAR Mujeres (CUI 2717013). Valores tomados de los planos DP-01 a DP-10 y DA-01 a DA-03 y de la memoria de calculo del colector. Celda amarilla = dato; verde = formula.</t>
  </si>
  <si>
    <t xml:space="preserve">PARAMETRO</t>
  </si>
  <si>
    <t xml:space="preserve">SUSTENTO (lamina / norma / criterio)</t>
  </si>
  <si>
    <t xml:space="preserve">Ancho interior del colector b</t>
  </si>
  <si>
    <t xml:space="preserve">Lamina DP-04 (secciones); memoria de calculo, hoja DATOS</t>
  </si>
  <si>
    <t xml:space="preserve">Espesor de muros</t>
  </si>
  <si>
    <t xml:space="preserve">Lamina DP-04; memoria, hoja ESTRUCTURAL</t>
  </si>
  <si>
    <t xml:space="preserve">Espesor de losa de fondo</t>
  </si>
  <si>
    <t xml:space="preserve">Lamina DP-04</t>
  </si>
  <si>
    <t xml:space="preserve">Espesor de losa superior (tramo normal y cruce de motos)</t>
  </si>
  <si>
    <t xml:space="preserve">Lamina DP-04 (secciones A y B)</t>
  </si>
  <si>
    <t xml:space="preserve">Espesor de losa superior (cruce de camiones)</t>
  </si>
  <si>
    <t xml:space="preserve">Lamina DP-04 (seccion C); memoria, hoja ESTRUCTURAL (carga HL-93)</t>
  </si>
  <si>
    <t xml:space="preserve">Espesor de solado</t>
  </si>
  <si>
    <t xml:space="preserve">Lamina DP-04 y DA-02</t>
  </si>
  <si>
    <t xml:space="preserve">Nivel de piso terminado del frente (cara superior de la losa)</t>
  </si>
  <si>
    <t xml:space="preserve">msnm</t>
  </si>
  <si>
    <t xml:space="preserve">Lamina DP-02 (perfil) y plano de arquitectura</t>
  </si>
  <si>
    <t xml:space="preserve">Sobreancho de excavacion a cada lado del colector</t>
  </si>
  <si>
    <t xml:space="preserve">Lamina DA-01: zanja de 1.60 m (1.10 + 2 x 0.25)</t>
  </si>
  <si>
    <t xml:space="preserve">Franja de relleno de nivelacion del retiro, lado via</t>
  </si>
  <si>
    <t xml:space="preserve">Lamina DA-01, nota 2</t>
  </si>
  <si>
    <t xml:space="preserve">Recubrimiento del acero</t>
  </si>
  <si>
    <t xml:space="preserve">Norma E.060, tabla 7.7.1 (concreto en contacto con el suelo)</t>
  </si>
  <si>
    <t xml:space="preserve">Peso de la barra de 3/8"</t>
  </si>
  <si>
    <t xml:space="preserve">Igual a PARAMETROS!B10 de esta planilla</t>
  </si>
  <si>
    <t xml:space="preserve">Peso de la barra de 1/2"</t>
  </si>
  <si>
    <t xml:space="preserve">Catalogo del fabricante (0.994 kg/m)</t>
  </si>
  <si>
    <t xml:space="preserve">Traslape de barras longitudinales</t>
  </si>
  <si>
    <t xml:space="preserve">Norma E.060, 12.15 (clase B, 3/8"): 0.40 m</t>
  </si>
  <si>
    <t xml:space="preserve">Longitud comercial de barra</t>
  </si>
  <si>
    <t xml:space="preserve">Igual a PARAMETROS!B11 de esta planilla</t>
  </si>
  <si>
    <t xml:space="preserve">Ganchos de cierre del marco (2 x 0.15)</t>
  </si>
  <si>
    <t xml:space="preserve">Lamina DP-08, cuadro de doblado</t>
  </si>
  <si>
    <t xml:space="preserve">Igual a PARAMETROS!B16 de esta planilla</t>
  </si>
  <si>
    <t xml:space="preserve">Espaciamiento de marcos en tramo normal</t>
  </si>
  <si>
    <t xml:space="preserve">Lamina DP-04 (seccion A) y DP-08</t>
  </si>
  <si>
    <t xml:space="preserve">Espaciamiento de marcos en cruces (motos y camiones)</t>
  </si>
  <si>
    <t xml:space="preserve">Lamina DP-04 (secciones B y C) y DP-08</t>
  </si>
  <si>
    <t xml:space="preserve">Espaciamiento de barras longitudinales (normal y motos)</t>
  </si>
  <si>
    <t xml:space="preserve">Lamina DP-04 y DP-08</t>
  </si>
  <si>
    <t xml:space="preserve">Espaciamiento de barras longitudinales (camiones)</t>
  </si>
  <si>
    <t xml:space="preserve">Lamina DP-04 (seccion C) y DP-08</t>
  </si>
  <si>
    <t xml:space="preserve">Malla de las cajas: espaciamiento 3/8" ambas caras</t>
  </si>
  <si>
    <t xml:space="preserve">Lamina DP-07</t>
  </si>
  <si>
    <t xml:space="preserve">Factor por traslapes y ganchos de la malla</t>
  </si>
  <si>
    <t xml:space="preserve">10 % (traslape 0.40 cada 9.00 m y ganchos de esquina 0.40)</t>
  </si>
  <si>
    <t xml:space="preserve">Numero de registros de limpieza con tapa</t>
  </si>
  <si>
    <t xml:space="preserve">Lamina DP-01 (RS-01 a RS-07) + 1 en CL + 2 en CC = 10; hoja COLECTOR REGISTROS Y TAPAS</t>
  </si>
  <si>
    <t xml:space="preserve">Lado de la tapa de concreto</t>
  </si>
  <si>
    <t xml:space="preserve">Lamina DP-06B</t>
  </si>
  <si>
    <t xml:space="preserve">Espesor de la tapa</t>
  </si>
  <si>
    <t xml:space="preserve">Lado de la abertura en la losa (luz del contramarco)</t>
  </si>
  <si>
    <t xml:space="preserve">Perimetro del contramarco L 2"x2"x3/16" (4 x 0.70)</t>
  </si>
  <si>
    <t xml:space="preserve">Perimetro del marco de tapa L 1 1/2"x1 1/2"x1/8" (4 x 0.68)</t>
  </si>
  <si>
    <t xml:space="preserve">Peso del angulo L 2"x2"x3/16"</t>
  </si>
  <si>
    <t xml:space="preserve">Catalogo del fabricante</t>
  </si>
  <si>
    <t xml:space="preserve">Peso del angulo L 1 1/2"x1 1/2"x1/8"</t>
  </si>
  <si>
    <t xml:space="preserve">Desarrollo pintado del angulo 2"x2" (4 caras)</t>
  </si>
  <si>
    <t xml:space="preserve">m2/m</t>
  </si>
  <si>
    <t xml:space="preserve">4 x 0.0508 m</t>
  </si>
  <si>
    <t xml:space="preserve">Desarrollo pintado del angulo 1 1/2"x1 1/2" (4 caras)</t>
  </si>
  <si>
    <t xml:space="preserve">4 x 0.0381 m</t>
  </si>
  <si>
    <t xml:space="preserve">Borde engrosado de la abertura: perimetro medio</t>
  </si>
  <si>
    <t xml:space="preserve">Lamina DP-06B (4 x 0.75)</t>
  </si>
  <si>
    <t xml:space="preserve">Borde engrosado: seccion (0.15 x 0.10)</t>
  </si>
  <si>
    <t xml:space="preserve">Caja de llegada CL: largo interior</t>
  </si>
  <si>
    <t xml:space="preserve">Caja de llegada CL: ancho interior</t>
  </si>
  <si>
    <t xml:space="preserve">Caja de llegada CL: profundidad de la poza bajo el fondo del colector</t>
  </si>
  <si>
    <t xml:space="preserve">Cota de fondo del colector en el arranque (0+000)</t>
  </si>
  <si>
    <t xml:space="preserve">Lamina DP-02; memoria, hoja PERFIL_FLUJO</t>
  </si>
  <si>
    <t xml:space="preserve">Caja de llegada CL: ancho de la ventana de llegada del colector CAR Varones (muro este)</t>
  </si>
  <si>
    <t xml:space="preserve">Lamina DP-07 (corte); expediente del CAR Varones (CUI 2705619): colector b = 0.60</t>
  </si>
  <si>
    <t xml:space="preserve">Cota de fondo de llegada del colector CAR Varones (alfeizar de la ventana este)</t>
  </si>
  <si>
    <t xml:space="preserve">Expediente del CAR Varones: 260.20 - 0.3 % x 105.29 m; lamina DP-07</t>
  </si>
  <si>
    <t xml:space="preserve">Caja de llegada CL: cota de la tapa (piso terminado del CAR Varones)</t>
  </si>
  <si>
    <t xml:space="preserve">La CL queda del lado del CAR Varones (x = 349162.00 a 349163.80), cuyo piso es +261.15; lamina DP-07</t>
  </si>
  <si>
    <t xml:space="preserve">Ventana en el muro norte de la CL para la cuneta Eje 01 del CAR Varones: ancho</t>
  </si>
  <si>
    <t xml:space="preserve">Lamina DP-07; expediente del CAR Varones</t>
  </si>
  <si>
    <t xml:space="preserve">Ventana de la cuneta Eje 01 del CAR Varones: cota de fondo (NCF)</t>
  </si>
  <si>
    <t xml:space="preserve">Caja de caida CC: largo interior de la poza</t>
  </si>
  <si>
    <t xml:space="preserve">Caja de caida CC: ancho interior</t>
  </si>
  <si>
    <t xml:space="preserve">Caja de caida CC: profundidad de la poza bajo el fondo del receptor R-01</t>
  </si>
  <si>
    <t xml:space="preserve">Cota de fondo del receptor R-01 (CAR Mujeres, CUI 2717013)</t>
  </si>
  <si>
    <t xml:space="preserve">Memoria del colector CAR Mujeres</t>
  </si>
  <si>
    <t xml:space="preserve">Nivel de agua en el receptor R-01</t>
  </si>
  <si>
    <t xml:space="preserve">Cota de fondo del colector en la caida (0+069.89)</t>
  </si>
  <si>
    <t xml:space="preserve">Caja de caida CC: ancho de la ventana de salida al receptor</t>
  </si>
  <si>
    <t xml:space="preserve">Lamina DP-07 (corte)</t>
  </si>
  <si>
    <t xml:space="preserve">Umbral de la caja de caida: ancho</t>
  </si>
  <si>
    <t xml:space="preserve">Umbral de la caja de caida: alto</t>
  </si>
  <si>
    <t xml:space="preserve">Espaciamiento de juntas de dilatacion</t>
  </si>
  <si>
    <t xml:space="preserve">Lamina DP-01, nota 5; DP-03</t>
  </si>
  <si>
    <t xml:space="preserve">Altura interior maxima del colector (para el perimetro de la junta)</t>
  </si>
  <si>
    <t xml:space="preserve">Lamina DP-02 (perfil)</t>
  </si>
  <si>
    <t xml:space="preserve">Progresiva de la caida al receptor (fin del colector)</t>
  </si>
  <si>
    <t xml:space="preserve">Lamina DP-01</t>
  </si>
  <si>
    <t xml:space="preserve">Progresiva del primer quiebre (fin del tramo pegado al cerco)</t>
  </si>
  <si>
    <t xml:space="preserve">COLECTOR PLUVIAL FRONTAL - METRADO DE MOVIMIENTO DE TIERRAS</t>
  </si>
  <si>
    <t xml:space="preserve"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</si>
  <si>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 xml:space="preserve">ZONA</t>
  </si>
  <si>
    <t xml:space="preserve">PROG. INICIO</t>
  </si>
  <si>
    <t xml:space="preserve">PROG. FIN</t>
  </si>
  <si>
    <t xml:space="preserve">ALTURA INTERIOR h (m)</t>
  </si>
  <si>
    <t xml:space="preserve">e LOSA SUP. (m)</t>
  </si>
  <si>
    <t xml:space="preserve">ANCHO EXT. b + 2e (m)</t>
  </si>
  <si>
    <t xml:space="preserve">ANCHO DE ZANJA (m)</t>
  </si>
  <si>
    <t xml:space="preserve">Hz: TERRENO - FONDO DE SOLADO (m)</t>
  </si>
  <si>
    <t xml:space="preserve">NPT - TERRENO (m)</t>
  </si>
  <si>
    <t xml:space="preserve">LIMPIEZA Y TRAZO (m2)</t>
  </si>
  <si>
    <t xml:space="preserve">EXCAVACION (m3)</t>
  </si>
  <si>
    <t xml:space="preserve">REFINE Y NIVELACION (m2)</t>
  </si>
  <si>
    <t xml:space="preserve">RELLENO LATERAL DE ZANJA (m3)</t>
  </si>
  <si>
    <t xml:space="preserve">RELLENO FRANJA DE NIVELACION (m3)</t>
  </si>
  <si>
    <t xml:space="preserve">SUSTENTO</t>
  </si>
  <si>
    <t xml:space="preserve">tramo normal</t>
  </si>
  <si>
    <t xml:space="preserve">0+000.00</t>
  </si>
  <si>
    <t xml:space="preserve">0+026.32</t>
  </si>
  <si>
    <t xml:space="preserve">DP-01 (planta), DP-02 (perfil: fondo y terreno), DP-04 (seccion), DA-01 (criterio)</t>
  </si>
  <si>
    <t xml:space="preserve">cruce de camiones</t>
  </si>
  <si>
    <t xml:space="preserve">CAMION</t>
  </si>
  <si>
    <t xml:space="preserve">0+031.33</t>
  </si>
  <si>
    <t xml:space="preserve">0+039.04</t>
  </si>
  <si>
    <t xml:space="preserve">cruce de motos</t>
  </si>
  <si>
    <t xml:space="preserve">MOTOS</t>
  </si>
  <si>
    <t xml:space="preserve">0+041.04</t>
  </si>
  <si>
    <t xml:space="preserve">0+058.81</t>
  </si>
  <si>
    <t xml:space="preserve">tramo diagonal (quiebres)</t>
  </si>
  <si>
    <t xml:space="preserve">0+066.89</t>
  </si>
  <si>
    <t xml:space="preserve">tramo recto final</t>
  </si>
  <si>
    <t xml:space="preserve">0+069.89</t>
  </si>
  <si>
    <t xml:space="preserve">TOTAL COLECTOR (tramos)</t>
  </si>
  <si>
    <t xml:space="preserve"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</si>
  <si>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 xml:space="preserve">CAJA</t>
  </si>
  <si>
    <t xml:space="preserve">PROG.</t>
  </si>
  <si>
    <t xml:space="preserve">LARGO INT. (m)</t>
  </si>
  <si>
    <t xml:space="preserve">ANCHO INT. (m)</t>
  </si>
  <si>
    <t xml:space="preserve">ALTURA INT. H (m)</t>
  </si>
  <si>
    <t xml:space="preserve">COTA DE PISO (msnm)</t>
  </si>
  <si>
    <t xml:space="preserve">TERRENO (msnm)</t>
  </si>
  <si>
    <t xml:space="preserve">LARGO EXC. (m)</t>
  </si>
  <si>
    <t xml:space="preserve">ANCHO EXC. (m)</t>
  </si>
  <si>
    <t xml:space="preserve">Hz (m)</t>
  </si>
  <si>
    <t xml:space="preserve">VOL. EXTERIOR CAJA (m3)</t>
  </si>
  <si>
    <t xml:space="preserve">RELLENO LATERAL (m3)</t>
  </si>
  <si>
    <t xml:space="preserve">RELLENO FRANJA (m3)</t>
  </si>
  <si>
    <t xml:space="preserve">DP-07 (planta y cortes de la caja), DP-02 (cotas), DA-01</t>
  </si>
  <si>
    <t xml:space="preserve">TOTAL CAJAS</t>
  </si>
  <si>
    <t xml:space="preserve">RESUMEN PARA LA PLANILLA GENERAL (partidas 01.04.04.01 y 01.04.04.02)</t>
  </si>
  <si>
    <t xml:space="preserve">LIMPIEZA MANUAL DE TERRENO / TRAZO Y REPLANTEO</t>
  </si>
  <si>
    <t xml:space="preserve">EXCAVACION MANUAL DE ZANJAS</t>
  </si>
  <si>
    <t xml:space="preserve">REFINE, NIVELACION Y COMPACTACION</t>
  </si>
  <si>
    <t xml:space="preserve">RELLENO COMPACTADO (lateral + franja + cajas)</t>
  </si>
  <si>
    <t xml:space="preserve">ELIMINACION DE MATERIAL EXCEDENTE = (excavacion - relleno) x esponjamiento</t>
  </si>
  <si>
    <t xml:space="preserve">Nota: las prolongaciones de las cunetas de los Ejes 11 y 12 (1.88 y 5.39 m hasta el muro del colector) no forman parte de esta partida; se metran dentro de las partidas de cunetas del proyecto.</t>
  </si>
  <si>
    <t xml:space="preserve">COLECTOR PLUVIAL FRONTAL - METRADO DE CONCRETO SIMPLE Y ARMADO</t>
  </si>
  <si>
    <t xml:space="preserve"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</si>
  <si>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 xml:space="preserve">ANCHO EXT. (m)</t>
  </si>
  <si>
    <t xml:space="preserve">SOLADO f'c=100 (m2)</t>
  </si>
  <si>
    <t xml:space="preserve">LOSA DE FONDO (m3)</t>
  </si>
  <si>
    <t xml:space="preserve">MUROS (m3)</t>
  </si>
  <si>
    <t xml:space="preserve">LOSA SUPERIOR (m3)</t>
  </si>
  <si>
    <t xml:space="preserve">ACABADO DE LOSA SUP. (m2)</t>
  </si>
  <si>
    <t xml:space="preserve">CURADO (m2)</t>
  </si>
  <si>
    <t xml:space="preserve">DP-04 (secciones A, B, C), DP-02 (h por tramo), DA-02 (areas por metro)</t>
  </si>
  <si>
    <t xml:space="preserve">CAJAS CL Y CC POR ELEMENTO - lamina DP-07 (dimensiones interiores de la hoja COLECTOR MOV. TIERRAS; e muro = e fondo = 0.15; losa superior e = 0.10)</t>
  </si>
  <si>
    <t xml:space="preserve">CAJA / ELEMENTO</t>
  </si>
  <si>
    <t xml:space="preserve">DETALLE</t>
  </si>
  <si>
    <t xml:space="preserve">LARGO (m)</t>
  </si>
  <si>
    <t xml:space="preserve">ANCHO (m)</t>
  </si>
  <si>
    <t xml:space="preserve">ALTO / ESPESOR (m)</t>
  </si>
  <si>
    <t xml:space="preserve">SOLADO (m2)</t>
  </si>
  <si>
    <t xml:space="preserve">ACABADO (m2)</t>
  </si>
  <si>
    <t xml:space="preserve">Caja de llegada CL: solado</t>
  </si>
  <si>
    <t xml:space="preserve">fondo + 0.05/lado</t>
  </si>
  <si>
    <t xml:space="preserve">DP-07: solado f'c=100 e=0.05 bajo la losa de fondo</t>
  </si>
  <si>
    <t xml:space="preserve">Caja de llegada CL: losa de fondo</t>
  </si>
  <si>
    <t xml:space="preserve">exterior x e</t>
  </si>
  <si>
    <t xml:space="preserve">DP-07: losa de fondo e=0.15 (ancho exterior)</t>
  </si>
  <si>
    <t xml:space="preserve">Caja de llegada CL: muros largos</t>
  </si>
  <si>
    <t xml:space="preserve">exterior x e x H</t>
  </si>
  <si>
    <t xml:space="preserve">DP-07: dos muros largos de e=0.15, altura interior H</t>
  </si>
  <si>
    <t xml:space="preserve">Caja de llegada CL: muros cortos</t>
  </si>
  <si>
    <t xml:space="preserve">interior x e x H</t>
  </si>
  <si>
    <t xml:space="preserve">DP-07: dos muros de cierre de e=0.15</t>
  </si>
  <si>
    <t xml:space="preserve">Caja de llegada CL: descuento ventana de salida al colector</t>
  </si>
  <si>
    <t xml:space="preserve">ancho x alto x e</t>
  </si>
  <si>
    <t xml:space="preserve">DP-07 (corte): salida al colector (muro oeste), 0.80 x 1.40 hasta la losa del colector</t>
  </si>
  <si>
    <t xml:space="preserve">Caja de llegada CL: descuento ventana de llegada del CAR Varones</t>
  </si>
  <si>
    <t xml:space="preserve">DP-07 (corte): ventana del colector del CAR Varones en el muro este, 0.60 x 1.17 hasta el techo de la CL</t>
  </si>
  <si>
    <t xml:space="preserve">Caja de llegada CL: descuento ventana cuneta Eje 01 (CAR Varones)</t>
  </si>
  <si>
    <t xml:space="preserve">DP-07 (planta y corte): ventana 0.40 x 0.66 en el muro norte</t>
  </si>
  <si>
    <t xml:space="preserve">Caja de llegada CL: murete del escalon de la poza</t>
  </si>
  <si>
    <t xml:space="preserve">ancho x e x desnivel</t>
  </si>
  <si>
    <t xml:space="preserve">DP-07 (corte): murete e=0.15 entre el fondo del colector y el piso de la poza</t>
  </si>
  <si>
    <t xml:space="preserve">Caja de llegada CL: losa superior</t>
  </si>
  <si>
    <t xml:space="preserve">DP-07: losa superior e=0.10 a nivel del piso terminado (CL en +261.15, CC en +260.60)</t>
  </si>
  <si>
    <t xml:space="preserve">Caja de llegada CL: descuento aberturas de registro</t>
  </si>
  <si>
    <t xml:space="preserve">0.70 x 0.70 x e</t>
  </si>
  <si>
    <t xml:space="preserve">DP-06B: 1 abertura(s) de registro en la losa</t>
  </si>
  <si>
    <t xml:space="preserve">Caja de llegada CL: acabado de losa superior</t>
  </si>
  <si>
    <t xml:space="preserve">exterior</t>
  </si>
  <si>
    <t xml:space="preserve">DP-07: losa superior frotachada y brunada</t>
  </si>
  <si>
    <t xml:space="preserve">Caja de llegada CL: curado</t>
  </si>
  <si>
    <t xml:space="preserve">caras int. + fondo + losa</t>
  </si>
  <si>
    <t xml:space="preserve">Caras interiores de muros (perimetro x H) + fondo interior + losa superior</t>
  </si>
  <si>
    <t xml:space="preserve">Caja de caida CC: solado</t>
  </si>
  <si>
    <t xml:space="preserve">Caja de caida CC: losa de fondo</t>
  </si>
  <si>
    <t xml:space="preserve">Caja de caida CC: umbral de la poza</t>
  </si>
  <si>
    <t xml:space="preserve">0.25 x 0.40</t>
  </si>
  <si>
    <t xml:space="preserve">DP-07: umbral 0.25 x 0.40 en el fondo, borde de la poza</t>
  </si>
  <si>
    <t xml:space="preserve">Caja de caida CC: muros largos</t>
  </si>
  <si>
    <t xml:space="preserve">Caja de caida CC: muros cortos</t>
  </si>
  <si>
    <t xml:space="preserve">DP-07: muro(s) de cierre; en CC el lado de llegada lo cierra el colector</t>
  </si>
  <si>
    <t xml:space="preserve">Caja de caida CC: descuento ventana de salida</t>
  </si>
  <si>
    <t xml:space="preserve">DP-07 (corte): ventana de salida al receptor R-01 (0.50 m sobre el nivel de agua)</t>
  </si>
  <si>
    <t xml:space="preserve">Caja de caida CC: murete del escalon de la poza</t>
  </si>
  <si>
    <t xml:space="preserve">Caja de caida CC: losa superior</t>
  </si>
  <si>
    <t xml:space="preserve">Caja de caida CC: descuento aberturas de registro</t>
  </si>
  <si>
    <t xml:space="preserve">DP-06B: 2 abertura(s) de registro en la losa</t>
  </si>
  <si>
    <t xml:space="preserve">Caja de caida CC: acabado de losa superior</t>
  </si>
  <si>
    <t xml:space="preserve">Caja de caida CC: curado</t>
  </si>
  <si>
    <t xml:space="preserve">REGISTROS DE LIMPIEZA EN LA LOSA DEL COLECTOR - lamina DP-06B (borde engrosado 0.15 x 0.10 alrededor de la abertura; descuento de la abertura 0.70 x 0.70 en la losa superior)</t>
  </si>
  <si>
    <t xml:space="preserve">Registros: borde engrosado de la abertura</t>
  </si>
  <si>
    <t xml:space="preserve">perimetro x seccion</t>
  </si>
  <si>
    <t xml:space="preserve">DP-06B: borde engrosado en los 10 registros (7 en la losa del colector, 1 en CL y 2 en CC)</t>
  </si>
  <si>
    <t xml:space="preserve">Registros RS-01 a RS-07: descuento de la abertura en la losa superior</t>
  </si>
  <si>
    <t xml:space="preserve">DP-06B</t>
  </si>
  <si>
    <t xml:space="preserve">TOTAL CAJAS Y REGISTROS</t>
  </si>
  <si>
    <t xml:space="preserve">RESUMEN PARA LA PLANILLA GENERAL (partidas 01.04.04.03 y 01.04.04.04)</t>
  </si>
  <si>
    <t xml:space="preserve">CONCRETO f'c=100 PARA SOLADO e=0.05</t>
  </si>
  <si>
    <t xml:space="preserve">CONCRETO f'c=210 EN LOSA DE FONDO</t>
  </si>
  <si>
    <t xml:space="preserve">CONCRETO f'c=210 EN MUROS</t>
  </si>
  <si>
    <t xml:space="preserve">CONCRETO f'c=210 EN LOSA SUPERIOR</t>
  </si>
  <si>
    <t xml:space="preserve">CURADO DE CONCRETO</t>
  </si>
  <si>
    <t xml:space="preserve">COLECTOR PLUVIAL FRONTAL - METRADO DE ENCOFRADO Y DESENCOFRADO</t>
  </si>
  <si>
    <t xml:space="preserve"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</si>
  <si>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 xml:space="preserve">ANCHO INT. b (m)</t>
  </si>
  <si>
    <t xml:space="preserve">CARAS INTERIORES DE MUROS 2 x h x L (m2)</t>
  </si>
  <si>
    <t xml:space="preserve">CARAS EXTERIORES 2 x (e fondo + h + e losa) x L (m2)</t>
  </si>
  <si>
    <t xml:space="preserve">FONDO DE LOSA SUPERIOR b x L (m2)</t>
  </si>
  <si>
    <t xml:space="preserve">TOTAL ENCOFRADO (m2)</t>
  </si>
  <si>
    <t xml:space="preserve">DP-04 (secciones), DA-02 (areas por metro)</t>
  </si>
  <si>
    <t xml:space="preserve">CAJAS CL Y CC - lamina DP-07: caras interiores y exteriores de muros (perimetro x H, dos caras), fondo de la losa superior (interior) y, en CC, caras del umbral y del murete de la poza</t>
  </si>
  <si>
    <t xml:space="preserve">ALTO (m)</t>
  </si>
  <si>
    <t xml:space="preserve">CARAS</t>
  </si>
  <si>
    <t xml:space="preserve">AREA (m2)</t>
  </si>
  <si>
    <t xml:space="preserve">Caja de llegada CL: muros, cara interior y exterior</t>
  </si>
  <si>
    <t xml:space="preserve">perimetro int. x H</t>
  </si>
  <si>
    <t xml:space="preserve">DP-07: muros e=0.15 encofrados por ambas caras</t>
  </si>
  <si>
    <t xml:space="preserve">Caja de llegada CL: fondo de la losa superior</t>
  </si>
  <si>
    <t xml:space="preserve">interior</t>
  </si>
  <si>
    <t xml:space="preserve">DP-07: losa superior e=0.10 encofrada por debajo</t>
  </si>
  <si>
    <t xml:space="preserve">Caja de llegada CL: cara del murete de la poza</t>
  </si>
  <si>
    <t xml:space="preserve">ancho x desnivel</t>
  </si>
  <si>
    <t xml:space="preserve">DP-07 (corte): murete entre el fondo del colector y el piso de la poza</t>
  </si>
  <si>
    <t xml:space="preserve">Caja de caida CC: muros, cara interior y exterior</t>
  </si>
  <si>
    <t xml:space="preserve">Caja de caida CC: fondo de la losa superior</t>
  </si>
  <si>
    <t xml:space="preserve">Caja de caida CC: caras del umbral de la poza</t>
  </si>
  <si>
    <t xml:space="preserve">2 caras x ancho</t>
  </si>
  <si>
    <t xml:space="preserve">DP-07: umbral 0.25 x 0.40</t>
  </si>
  <si>
    <t xml:space="preserve">Caja de caida CC: cara del murete de la poza</t>
  </si>
  <si>
    <t xml:space="preserve">RESUMEN PARA LA PLANILLA GENERAL (partida 01.04.04.04.04)</t>
  </si>
  <si>
    <t xml:space="preserve">COLECTOR PLUVIAL FRONTAL - METRADO DE ACERO DE REFUERZO fy=4200 kg/cm2</t>
  </si>
  <si>
    <t xml:space="preserve"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</si>
  <si>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 xml:space="preserve">ESPAC. MARCOS s (m)</t>
  </si>
  <si>
    <t xml:space="preserve">CAPAS (1 = marco unico; 2 = ext. + int.)</t>
  </si>
  <si>
    <t xml:space="preserve">DIAM. MARCOS</t>
  </si>
  <si>
    <t xml:space="preserve">N° DE JUEGOS (L / s, redondeado arriba)</t>
  </si>
  <si>
    <t xml:space="preserve">PERIMETRO MARCO 1 (m)</t>
  </si>
  <si>
    <t xml:space="preserve">PERIMETRO MARCO 2 (m)</t>
  </si>
  <si>
    <t xml:space="preserve">LONGITUD DE MARCOS (m)</t>
  </si>
  <si>
    <t xml:space="preserve">PESO (kg/m)</t>
  </si>
  <si>
    <t xml:space="preserve">ACERO EN MARCOS (kg)</t>
  </si>
  <si>
    <t xml:space="preserve">ESPAC. LONGIT. (m)</t>
  </si>
  <si>
    <t xml:space="preserve">N° BARRAS LONGIT. (perimetro / espac.)</t>
  </si>
  <si>
    <t xml:space="preserve">LONGITUD LONGIT. CON TRASLAPE (m)</t>
  </si>
  <si>
    <t xml:space="preserve">ACERO LONGIT. 3/8" (kg)</t>
  </si>
  <si>
    <t xml:space="preserve">TOTAL (kg)</t>
  </si>
  <si>
    <t xml:space="preserve">DP-04 (seccion A), DP-08 (cuadro de doblado), DA-03</t>
  </si>
  <si>
    <t xml:space="preserve">DP-04 (seccion C), DP-08 (cuadro de doblado), DA-03</t>
  </si>
  <si>
    <t xml:space="preserve">DP-04 (seccion B), DP-08 (cuadro de doblado), DA-03</t>
  </si>
  <si>
    <t xml:space="preserve">CAJAS CL Y CC - lamina DP-07: malla 3/8" @0.20 en ambas caras de losas y muros. Por paño: barras = (L1 / s + 1) x L2 + (L2 / s + 1) x L1, por el numero de caras y el factor de traslapes y ganchos</t>
  </si>
  <si>
    <t xml:space="preserve">CAJA / PAÑO</t>
  </si>
  <si>
    <t xml:space="preserve">L1 (m)</t>
  </si>
  <si>
    <t xml:space="preserve">L2 (m)</t>
  </si>
  <si>
    <t xml:space="preserve">ESPAC. s (m)</t>
  </si>
  <si>
    <t xml:space="preserve">PAÑOS IGUALES</t>
  </si>
  <si>
    <t xml:space="preserve">BARRAS (m)</t>
  </si>
  <si>
    <t xml:space="preserve">FACTOR TRASLAPE</t>
  </si>
  <si>
    <t xml:space="preserve">ACERO (kg)</t>
  </si>
  <si>
    <t xml:space="preserve">DP-07: malla 3/8" @0.20 ambas caras</t>
  </si>
  <si>
    <t xml:space="preserve">exterior x H</t>
  </si>
  <si>
    <t xml:space="preserve">DP-07: dos muros largos, malla ambas caras</t>
  </si>
  <si>
    <t xml:space="preserve">interior x H</t>
  </si>
  <si>
    <t xml:space="preserve">DP-07: muro(s) de cierre, malla ambas caras</t>
  </si>
  <si>
    <t xml:space="preserve">REGISTROS DE LIMPIEZA Y TAPAS - lamina DP-06B: refuerzo de borde de la abertura, parrilla de la tapa, asas y anclajes del contramarco (cantidad de registros de la hoja COLECTOR REGISTROS Y TAPAS)</t>
  </si>
  <si>
    <t xml:space="preserve">ELEMENTO</t>
  </si>
  <si>
    <t xml:space="preserve">DIAM.</t>
  </si>
  <si>
    <t xml:space="preserve">FORMA</t>
  </si>
  <si>
    <t xml:space="preserve">PIEZAS POR REGISTRO</t>
  </si>
  <si>
    <t xml:space="preserve">REGISTROS</t>
  </si>
  <si>
    <t xml:space="preserve">LONG. POR PIEZA (m)</t>
  </si>
  <si>
    <t xml:space="preserve">LONG. TOTAL (m)</t>
  </si>
  <si>
    <t xml:space="preserve">Refuerzo de borde de la abertura</t>
  </si>
  <si>
    <t xml:space="preserve">recta</t>
  </si>
  <si>
    <t xml:space="preserve">DP-06B: 2 barras de 1/2" por lado, L = 1.40</t>
  </si>
  <si>
    <t xml:space="preserve">Parrilla de la tapa de concreto</t>
  </si>
  <si>
    <t xml:space="preserve">DP-06B: 7 + 7 barras 3/8" @0.10</t>
  </si>
  <si>
    <t xml:space="preserve">Asas de la tapa</t>
  </si>
  <si>
    <t xml:space="preserve">3/8" liso</t>
  </si>
  <si>
    <t xml:space="preserve">U</t>
  </si>
  <si>
    <t xml:space="preserve">DP-06B: 2 asas de 0.40 desarrollado</t>
  </si>
  <si>
    <t xml:space="preserve">Anclajes del contramarco</t>
  </si>
  <si>
    <t xml:space="preserve">L</t>
  </si>
  <si>
    <t xml:space="preserve">DP-06B: 8 anclajes de 0.20 soldados al angulo</t>
  </si>
  <si>
    <t xml:space="preserve">TOTAL REGISTROS Y TAPAS</t>
  </si>
  <si>
    <t xml:space="preserve">RESUMEN PARA LA PLANILLA GENERAL (partidas 01.04.04.04.05 y 01.04.04.05.06)</t>
  </si>
  <si>
    <t xml:space="preserve">ACERO DE REFUERZO EN COLECTOR Y CAJAS</t>
  </si>
  <si>
    <t xml:space="preserve">ACERO DE REFUERZO EN TAPAS, BORDES Y ANCLAJES</t>
  </si>
  <si>
    <t xml:space="preserve">COLECTOR PLUVIAL FRONTAL - REGISTROS DE LIMPIEZA Y TAPAS</t>
  </si>
  <si>
    <t xml:space="preserve"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</si>
  <si>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 xml:space="preserve">REGISTRO</t>
  </si>
  <si>
    <t xml:space="preserve">PROGRESIVA</t>
  </si>
  <si>
    <t xml:space="preserve">UBICACION</t>
  </si>
  <si>
    <t xml:space="preserve">TAPA 0.68 x 0.68 (und)</t>
  </si>
  <si>
    <t xml:space="preserve">CL</t>
  </si>
  <si>
    <t xml:space="preserve">Caja de llegada (empalme con CAR Varones y cuneta Eje 01)</t>
  </si>
  <si>
    <t xml:space="preserve">DP-07</t>
  </si>
  <si>
    <t xml:space="preserve">RS-01</t>
  </si>
  <si>
    <t xml:space="preserve">0+011.27</t>
  </si>
  <si>
    <t xml:space="preserve">Registro en la losa del colector; empalme cuneta</t>
  </si>
  <si>
    <t xml:space="preserve">DP-01, DP-06B</t>
  </si>
  <si>
    <t xml:space="preserve">RS-02</t>
  </si>
  <si>
    <t xml:space="preserve">0+022.00</t>
  </si>
  <si>
    <t xml:space="preserve">Registro en la losa del colector; limpieza / quiebre</t>
  </si>
  <si>
    <t xml:space="preserve">RS-03</t>
  </si>
  <si>
    <t xml:space="preserve">0+032.50</t>
  </si>
  <si>
    <t xml:space="preserve">RS-04</t>
  </si>
  <si>
    <t xml:space="preserve">0+042.68</t>
  </si>
  <si>
    <t xml:space="preserve">RS-05</t>
  </si>
  <si>
    <t xml:space="preserve">0+052.00</t>
  </si>
  <si>
    <t xml:space="preserve">RS-06</t>
  </si>
  <si>
    <t xml:space="preserve">RS-07</t>
  </si>
  <si>
    <t xml:space="preserve">CC (2)</t>
  </si>
  <si>
    <t xml:space="preserve">Caja de caida: dos registros sobre la poza</t>
  </si>
  <si>
    <t xml:space="preserve">TOTAL DE REGISTROS CON TAPA</t>
  </si>
  <si>
    <t xml:space="preserve">METRADO DE LAS PARTIDAS DE REGISTROS (cantidad = total de registros; dimensiones de la hoja COLECTOR PARAMETROS)</t>
  </si>
  <si>
    <t xml:space="preserve">PARTIDA</t>
  </si>
  <si>
    <t xml:space="preserve">CALCULO</t>
  </si>
  <si>
    <t xml:space="preserve">CONTRAMARCO METALICO L 2"x2"x3/16" CON ANCLAJES</t>
  </si>
  <si>
    <t xml:space="preserve">1 por registro</t>
  </si>
  <si>
    <t xml:space="preserve">MARCO METALICO DE TAPA L 1 1/2"x1 1/2"x1/8"</t>
  </si>
  <si>
    <t xml:space="preserve">1 por tapa</t>
  </si>
  <si>
    <t xml:space="preserve">ANGULOS METALICOS P/MARCO Y CONTRAMARCO</t>
  </si>
  <si>
    <t xml:space="preserve">registros x (2.80 x 3.63 + 2.72 x 1.83)</t>
  </si>
  <si>
    <t xml:space="preserve">DP-06B; pesos de catalogo</t>
  </si>
  <si>
    <t xml:space="preserve">TAPA DE CONCRETO ARMADO 0.68 x 0.68 x 0.08</t>
  </si>
  <si>
    <t xml:space="preserve">CONCRETO f'c=210 EN TAPAS</t>
  </si>
  <si>
    <t xml:space="preserve">registros x 0.68 x 0.68 x 0.08</t>
  </si>
  <si>
    <t xml:space="preserve">PINTURA ANTICORROSIVA Y ESMALTE EN ANGULOS</t>
  </si>
  <si>
    <t xml:space="preserve">registros x (2.80 x 0.203 + 2.72 x 0.152)</t>
  </si>
  <si>
    <t xml:space="preserve">4 caras de cada angulo</t>
  </si>
  <si>
    <t xml:space="preserve">COLECTOR PLUVIAL FRONTAL - JUNTAS Y EMPALMES DE CUNETAS</t>
  </si>
  <si>
    <t xml:space="preserve">Lamina DP-01 (nota 5), DP-03 y DP-06C. Junta de dilatacion de 1" cada 4.00 m en todo el perimetro de la seccion (tecnopor de 1" en todo el perimetro + sellador asfaltico RC-250 con arena de 1" x 2" en la cara expuesta, EG-2013 secc. 510.02 c y 438.02 e 3). Junta de tecnopor de 1" entre el colector y el cimiento del cerco, y entre el borde de la losa y el piso adyacente. Empalme de cada cuneta por ventana en el muro lado predio con caida libre al fondo (sin dintel adicional).</t>
  </si>
  <si>
    <t xml:space="preserve">PROGRESIVA / DETALLE</t>
  </si>
  <si>
    <t xml:space="preserve">PARCIAL (m)</t>
  </si>
  <si>
    <t xml:space="preserve">JUNTA DE DILATACION e=1" CON TECNOPOR Y SELLADOR ASFALTICO EN COLECTOR (perimetro = 2 x ancho exterior + 2 x (e fondo + h max + e losa))</t>
  </si>
  <si>
    <t xml:space="preserve">Juntas de dilatacion cada 4.00 m entre 0+004.00 y 0+068.00</t>
  </si>
  <si>
    <t xml:space="preserve">DP-01 nota 5; DP-03 (juntas en el perfil); perimetro de la seccion</t>
  </si>
  <si>
    <t xml:space="preserve">TOTAL JUNTA DE DILATACION (m)</t>
  </si>
  <si>
    <t xml:space="preserve">JUNTA e=1" CON TECNOPOR Y SELLADOR ASFALTICO ENTRE COLECTOR Y CERCO PERIMETRICO</t>
  </si>
  <si>
    <t xml:space="preserve">Contra el cimiento del cerco (tramo pegado al cerco, 0+000 a primer quiebre)</t>
  </si>
  <si>
    <t xml:space="preserve">DP-01, DP-04 (junta entre muro y cimiento del cerco)</t>
  </si>
  <si>
    <t xml:space="preserve">Borde de la losa con el piso adyacente: colector (ambos lados)</t>
  </si>
  <si>
    <t xml:space="preserve">DP-04: junta de tecnopor en el borde de la losa superior</t>
  </si>
  <si>
    <t xml:space="preserve">Borde de la losa con el piso adyacente: caja CL (ambos lados)</t>
  </si>
  <si>
    <t xml:space="preserve">2 x (largo exterior + 0.30)</t>
  </si>
  <si>
    <t xml:space="preserve">Borde de la losa con el piso adyacente: caja CC (ambos lados)</t>
  </si>
  <si>
    <t xml:space="preserve">TOTAL JUNTA DE TECNOPOR (m)</t>
  </si>
  <si>
    <t xml:space="preserve">EMPALME DE CUNETA AL COLECTOR (ventana 0.40 x H en el muro lado predio, caida libre y registro encima) - lamina DP-06C</t>
  </si>
  <si>
    <t xml:space="preserve">Cuneta Eje 01 (perimetral este), perfil 01</t>
  </si>
  <si>
    <t xml:space="preserve">0+001.07</t>
  </si>
  <si>
    <t xml:space="preserve">DP-06C (cuadro de empalmes); DP-01</t>
  </si>
  <si>
    <t xml:space="preserve">Cuneta Eje 02 (estacionamiento), perfil 02</t>
  </si>
  <si>
    <t xml:space="preserve">Cuneta Eje 06 (ingreso vehicular), perfil 06</t>
  </si>
  <si>
    <t xml:space="preserve">Cuneta Eje 07, perfil 07</t>
  </si>
  <si>
    <t xml:space="preserve">Cuneta Eje 11, perfil 11</t>
  </si>
  <si>
    <t xml:space="preserve">0+060.89</t>
  </si>
  <si>
    <t xml:space="preserve">Cuneta Eje 12 (perimetral oeste), perfil 12</t>
  </si>
  <si>
    <t xml:space="preserve">0+069.56</t>
  </si>
  <si>
    <t xml:space="preserve">TOTAL EMPALMES (und)</t>
  </si>
  <si>
    <t xml:space="preserve"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</si>
  <si>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 xml:space="preserve">COLECTOR PLUVIAL FRONTAL - DESGLOSE DE INSUMOS POR PARTIDA</t>
  </si>
  <si>
    <t xml:space="preserve">Rendimientos unitarios referenciales (celdas amarillas, editar segun el analisis de costos unitarios adoptado). El metrado se toma de la PLANILLA GENERAL DE METRADOS.</t>
  </si>
  <si>
    <t xml:space="preserve">METRADO</t>
  </si>
  <si>
    <t xml:space="preserve">INSUMO</t>
  </si>
  <si>
    <t xml:space="preserve">UND INSUMO</t>
  </si>
  <si>
    <t xml:space="preserve">CANTIDAD POR UND DE PARTIDA</t>
  </si>
  <si>
    <t xml:space="preserve">CANTIDAD TOTAL</t>
  </si>
  <si>
    <t xml:space="preserve">01.04.04.04.01 CONCRETO f'c=210 PARA COLECTOR - losa de fondo</t>
  </si>
  <si>
    <t xml:space="preserve">Cemento Portland tipo I</t>
  </si>
  <si>
    <t xml:space="preserve">bol</t>
  </si>
  <si>
    <t xml:space="preserve">Arena gruesa</t>
  </si>
  <si>
    <t xml:space="preserve">Piedra chancada 1/2"</t>
  </si>
  <si>
    <t xml:space="preserve">Agua</t>
  </si>
  <si>
    <t xml:space="preserve">Mezcladora 9-11 p3</t>
  </si>
  <si>
    <t xml:space="preserve">hm</t>
  </si>
  <si>
    <t xml:space="preserve">Vibrador de concreto</t>
  </si>
  <si>
    <t xml:space="preserve">Operario</t>
  </si>
  <si>
    <t xml:space="preserve">hh</t>
  </si>
  <si>
    <t xml:space="preserve">Oficial</t>
  </si>
  <si>
    <t xml:space="preserve">Peon</t>
  </si>
  <si>
    <t xml:space="preserve">01.04.04.04.01 CONCRETO f'c=210 PARA COLECTOR - muros</t>
  </si>
  <si>
    <t xml:space="preserve">01.04.04.04.01 CONCRETO f'c=210 PARA COLECTOR - losa superior</t>
  </si>
  <si>
    <t xml:space="preserve">01.04.04.04.02 ENCOFRADO Y DESENCOFRADO DE COLECTOR</t>
  </si>
  <si>
    <t xml:space="preserve">Madera tornillo</t>
  </si>
  <si>
    <t xml:space="preserve">p2</t>
  </si>
  <si>
    <t xml:space="preserve">Clavos 3"</t>
  </si>
  <si>
    <t xml:space="preserve">Alambre negro N 8</t>
  </si>
  <si>
    <t xml:space="preserve">01.04.04.04.03 ACERO f'y=4200 PARA COLECTOR</t>
  </si>
  <si>
    <t xml:space="preserve">Acero corrugado fy=4200 (incluye 5 % desperdicio)</t>
  </si>
  <si>
    <t xml:space="preserve">Alambre negro N 16</t>
  </si>
  <si>
    <t xml:space="preserve">01.04.04.03.01 SOLADO f'c=100 e=0.05</t>
  </si>
  <si>
    <t xml:space="preserve">Hormigon</t>
  </si>
  <si>
    <t xml:space="preserve">01.04.04.02.01 EXCAVACION MANUAL DE ZANJAS</t>
  </si>
  <si>
    <t xml:space="preserve">Herramientas manuales</t>
  </si>
  <si>
    <t xml:space="preserve">%mo</t>
  </si>
  <si>
    <t xml:space="preserve">01.04.04.02.03 RELLENO COMPACTADO CON MATERIAL PROPIO</t>
  </si>
  <si>
    <t xml:space="preserve">Compactador vibratorio tipo plancha</t>
  </si>
  <si>
    <t xml:space="preserve">01.04.04.02.04 ELIMINACION DE MATERIAL EXCEDENTE</t>
  </si>
  <si>
    <t xml:space="preserve">Volquete 6 m3</t>
  </si>
  <si>
    <t xml:space="preserve">Cargador frontal</t>
  </si>
  <si>
    <t xml:space="preserve">01.04.04.05.01 TAPA DE REGISTRO: angulos (marco y contramarco)</t>
  </si>
  <si>
    <t xml:space="preserve">Angulo de acero (incluye corte y soldadura)</t>
  </si>
  <si>
    <t xml:space="preserve">Soldadura cellocord</t>
  </si>
  <si>
    <t xml:space="preserve">01.04.04.05.01 TAPA DE REGISTRO: pintura en angulos</t>
  </si>
  <si>
    <t xml:space="preserve">Pintura anticorrosiva</t>
  </si>
  <si>
    <t xml:space="preserve">gal</t>
  </si>
  <si>
    <t xml:space="preserve">Esmalte sintetico</t>
  </si>
  <si>
    <t xml:space="preserve">Lija y thinner</t>
  </si>
  <si>
    <t xml:space="preserve">glb</t>
  </si>
  <si>
    <t xml:space="preserve">01.04.04.06.01 JUNTA DE DILATACION e=1" CON TECNOPOR Y SELLADOR ASFALTICO</t>
  </si>
  <si>
    <t xml:space="preserve">Tecnopor 1"</t>
  </si>
  <si>
    <t xml:space="preserve">Sellador asfaltico: asfalto liquido RC-250 + arena gruesa (sello de 1" x 2")</t>
  </si>
  <si>
    <t xml:space="preserve">01.04.04.06.02 JUNTA e=1" CON TECNOPOR Y SELLADOR ASFALTICO ENTRE COLECTOR Y CERCO PERIMETRICO</t>
  </si>
  <si>
    <t xml:space="preserve">ANALISIS DE COSTO UNITARIO - TAPA DE REGISTRO 0.68 x 0.68 C/MARCO Y CONTRAMARCO</t>
  </si>
  <si>
    <t xml:space="preserve">Analisis de la partida de Delphin 01.04.04.06.05.01 TAPA DE REGISTRO 0.68x0.68 C/MARCO Y CONTRAMARCO, partida 01.04.04.05.01 del metrado; componentes desagregados en la hoja DESAGREGADO TAPA REGISTRO. Cantidad por tapa = metrado del componente / numero de tapas. Ratios de insumos tomados de la hoja COLECTOR INSUMOS. Celda amarilla = dato (ratio o precio); verde = formula. Precios sin IGV, referenciales: al pasar a Delphin rigen los de la base de precios del presupuesto.</t>
  </si>
  <si>
    <t xml:space="preserve">1. CANTIDADES POR TAPA (tomadas de este metrado)</t>
  </si>
  <si>
    <t xml:space="preserve">COMPONENTE</t>
  </si>
  <si>
    <t xml:space="preserve">METRADO TOTAL</t>
  </si>
  <si>
    <t xml:space="preserve">N° DE TAPAS</t>
  </si>
  <si>
    <t xml:space="preserve">CANTIDAD POR TAPA</t>
  </si>
  <si>
    <t xml:space="preserve">Contramarco metalico L 2"x2"x3/16" con anclajes</t>
  </si>
  <si>
    <t xml:space="preserve">contramarco</t>
  </si>
  <si>
    <t xml:space="preserve">DP-06B; 1 por registro</t>
  </si>
  <si>
    <t xml:space="preserve">Marco metalico de tapa L 1 1/2"x1 1/2"x1/8"</t>
  </si>
  <si>
    <t xml:space="preserve">marco</t>
  </si>
  <si>
    <t xml:space="preserve">DP-06B; 1 por tapa</t>
  </si>
  <si>
    <t xml:space="preserve">Angulos metalicos para marco y contramarco (incluye soldadura)</t>
  </si>
  <si>
    <t xml:space="preserve">angulos</t>
  </si>
  <si>
    <t xml:space="preserve">2.80 x 3.63 + 2.72 x 1.83 = 15.14 kg por tapa</t>
  </si>
  <si>
    <t xml:space="preserve">Tapa de concreto armado 0.68 x 0.68 x 0.08 m (incluye acero y asas)</t>
  </si>
  <si>
    <t xml:space="preserve">tapa</t>
  </si>
  <si>
    <t xml:space="preserve">Concreto f'c=210 kg/cm2 en tapas</t>
  </si>
  <si>
    <t xml:space="preserve">concreto</t>
  </si>
  <si>
    <t xml:space="preserve">0.68 x 0.68 x 0.08 = 0.0370 m3 por tapa</t>
  </si>
  <si>
    <t xml:space="preserve">Acero fy=4200 kg/cm2 en tapas, bordes y anclajes</t>
  </si>
  <si>
    <t xml:space="preserve">acero</t>
  </si>
  <si>
    <t xml:space="preserve">Hoja COLECTOR ACERO, filas 33 a 36</t>
  </si>
  <si>
    <t xml:space="preserve">Pintura anticorrosiva y esmalte en angulos</t>
  </si>
  <si>
    <t xml:space="preserve">pintura</t>
  </si>
  <si>
    <t xml:space="preserve">2.80 x 0.203 + 2.72 x 0.152 = 0.98 m2 por tapa</t>
  </si>
  <si>
    <t xml:space="preserve">2. DESGLOSE POR COMPONENTE (insumos que aporta cada componente a una tapa)</t>
  </si>
  <si>
    <t xml:space="preserve">CANTIDAD DEL COMPONENTE POR TAPA</t>
  </si>
  <si>
    <t xml:space="preserve">RATIO POR UND DE COMPONENTE</t>
  </si>
  <si>
    <t xml:space="preserve">APORTE POR TAPA</t>
  </si>
  <si>
    <t xml:space="preserve">PARCIAL S/</t>
  </si>
  <si>
    <t xml:space="preserve">SUSTENTO DEL RATIO</t>
  </si>
  <si>
    <t xml:space="preserve">A</t>
  </si>
  <si>
    <t xml:space="preserve">Marco y contramarco metalicos: fabricacion, soldadura de anclajes y colocacion (kg de angulo por tapa)</t>
  </si>
  <si>
    <t xml:space="preserve">Angulo L 2"x2"x3/16"</t>
  </si>
  <si>
    <t xml:space="preserve">Contramarco 4 x 0.70 = 2.80 m x 3.63 kg/m; 5 % de desperdicio (COLECTOR INSUMOS)</t>
  </si>
  <si>
    <t xml:space="preserve">Angulo L 1 1/2"x1 1/2"x1/8"</t>
  </si>
  <si>
    <t xml:space="preserve">Marco 4 x 0.68 = 2.72 m x 1.83 kg/m; 5 % de desperdicio</t>
  </si>
  <si>
    <t xml:space="preserve">Soldadura cellocord E6011 1/8"</t>
  </si>
  <si>
    <t xml:space="preserve">COLECTOR INSUMOS, ratio por kg de angulo</t>
  </si>
  <si>
    <t xml:space="preserve">Maquina de soldar 250 A</t>
  </si>
  <si>
    <t xml:space="preserve">Mismo tiempo del operario soldador</t>
  </si>
  <si>
    <t xml:space="preserve">Subtotal A</t>
  </si>
  <si>
    <t xml:space="preserve">B</t>
  </si>
  <si>
    <t xml:space="preserve">Concreto f'c=210 kg/cm2 de la tapa (m3 por tapa)</t>
  </si>
  <si>
    <t xml:space="preserve">COLECTOR INSUMOS, concreto f'c=210 (diseno de mezcla)</t>
  </si>
  <si>
    <t xml:space="preserve">COLECTOR INSUMOS</t>
  </si>
  <si>
    <t xml:space="preserve">Subtotal B</t>
  </si>
  <si>
    <t xml:space="preserve">C</t>
  </si>
  <si>
    <t xml:space="preserve">Vaciado de la tapa dentro del marco (und de tapa)</t>
  </si>
  <si>
    <t xml:space="preserve">Tablero de vaciado 0.80 x 0.80 x 1" = 6.89 p2, 6 usos; el marco metalico hace de encofrado lateral</t>
  </si>
  <si>
    <t xml:space="preserve">Subtotal C</t>
  </si>
  <si>
    <t xml:space="preserve">D</t>
  </si>
  <si>
    <t xml:space="preserve">Acero fy=4200 kg/cm2 de tapa, borde de abertura, asas y anclajes (kg por tapa)</t>
  </si>
  <si>
    <t xml:space="preserve">Acero corrugado fy=4200</t>
  </si>
  <si>
    <t xml:space="preserve">COLECTOR INSUMOS (incluye 5 % de desperdicio)</t>
  </si>
  <si>
    <t xml:space="preserve">Subtotal D</t>
  </si>
  <si>
    <t xml:space="preserve">E</t>
  </si>
  <si>
    <t xml:space="preserve">Pintura anticorrosiva y esmalte en angulos (m2 por tapa)</t>
  </si>
  <si>
    <t xml:space="preserve">Subtotal E</t>
  </si>
  <si>
    <t xml:space="preserve">F</t>
  </si>
  <si>
    <t xml:space="preserve">Colocacion: nivelacion y fijacion del contramarco antes del vaciado de la losa y asentado de la tapa (und de tapa)</t>
  </si>
  <si>
    <t xml:space="preserve">Criterio de obra: 1 hh por registro</t>
  </si>
  <si>
    <t xml:space="preserve">Subtotal F</t>
  </si>
  <si>
    <t xml:space="preserve">Costo de los componentes por tapa (sin herramientas manuales)</t>
  </si>
  <si>
    <t xml:space="preserve">3. ANALISIS DE COSTO UNITARIO (formato Delphin)</t>
  </si>
  <si>
    <t xml:space="preserve">Partida</t>
  </si>
  <si>
    <t xml:space="preserve">01.04.04.06.05.01 TAPA DE REGISTRO 0.68x0.68 C/MARCO Y CONTRAMARCO</t>
  </si>
  <si>
    <t xml:space="preserve">Partida del metrado</t>
  </si>
  <si>
    <t xml:space="preserve">01.04.04.05.01 TAPA DE REGISTRO (10 und); componentes en la hoja DESAGREGADO TAPA REGISTRO</t>
  </si>
  <si>
    <t xml:space="preserve">Metrado</t>
  </si>
  <si>
    <t xml:space="preserve">Rendimiento (und/dia, cuadrilla de 1 operario)</t>
  </si>
  <si>
    <t xml:space="preserve">RECURSO</t>
  </si>
  <si>
    <t xml:space="preserve">CUADRILLA</t>
  </si>
  <si>
    <t xml:space="preserve">PRECIO S/</t>
  </si>
  <si>
    <t xml:space="preserve">FUENTE DEL PRECIO</t>
  </si>
  <si>
    <t xml:space="preserve">MANO DE OBRA</t>
  </si>
  <si>
    <t xml:space="preserve">CAPECO: costo hora-hombre 2024-2025 llevado al jornal basico 2025-2026</t>
  </si>
  <si>
    <t xml:space="preserve">Subtotal mano de obra</t>
  </si>
  <si>
    <t xml:space="preserve">MATERIALES</t>
  </si>
  <si>
    <t xml:space="preserve">Mercado Tarapoto 2026, sin IGV (referencial)</t>
  </si>
  <si>
    <t xml:space="preserve">Subtotal materiales</t>
  </si>
  <si>
    <t xml:space="preserve">EQUIPOS</t>
  </si>
  <si>
    <t xml:space="preserve">3 % del costo de mano de obra</t>
  </si>
  <si>
    <t xml:space="preserve">Tarifa horaria de mercado sin IGV</t>
  </si>
  <si>
    <t xml:space="preserve">Subtotal equipos</t>
  </si>
  <si>
    <t xml:space="preserve">COSTO UNITARIO DIRECTO POR TAPA (S/ por und)</t>
  </si>
  <si>
    <t xml:space="preserve">COSTO DIRECTO DE LA PARTIDA (metrado x costo unitario)</t>
  </si>
  <si>
    <t xml:space="preserve">Control: costo de componentes (seccion 2) + herramientas manuales = costo unitario</t>
  </si>
  <si>
    <t xml:space="preserve">ANALISIS DE COSTOS UNITARIOS - CANALETAS DE TECHO DE PLANCHA GALVANIZADA</t>
  </si>
  <si>
    <t xml:space="preserve">Analisis de las partidas 01.04.03.05.01.03 a 01.04.03.05.01.06 (red de recoleccion de techo). Las cantidades de insumos salen de los parametros de la hoja METRADO CANALETAS (seccion 0.25 x 0.20, pestana 0.05, plancha e=0.9 mm, soportes @0.60). Celda amarilla = dato (cuadrilla, rendimiento, aporte o precio); verde = formula. Precios sin IGV, referenciales: al pasar a Delphin rigen los de la base de precios del presupuesto.</t>
  </si>
  <si>
    <t xml:space="preserve">DATOS DE CALCULO (de la hoja METRADO CANALETAS y de catalogo)</t>
  </si>
  <si>
    <t xml:space="preserve">DATO</t>
  </si>
  <si>
    <t xml:space="preserve">Fondo interior de la canaleta</t>
  </si>
  <si>
    <t xml:space="preserve">METRADO CANALETAS F45</t>
  </si>
  <si>
    <t xml:space="preserve">Altura interior de la canaleta</t>
  </si>
  <si>
    <t xml:space="preserve">METRADO CANALETAS F46</t>
  </si>
  <si>
    <t xml:space="preserve">Pestana superior (cada lado)</t>
  </si>
  <si>
    <t xml:space="preserve">METRADO CANALETAS F47</t>
  </si>
  <si>
    <t xml:space="preserve">Desarrollo de plancha por metro de canaleta</t>
  </si>
  <si>
    <t xml:space="preserve">fondo + 2 alturas + 2 pestanas</t>
  </si>
  <si>
    <t xml:space="preserve">METRADO CANALETAS F49</t>
  </si>
  <si>
    <t xml:space="preserve">Separacion de soportes</t>
  </si>
  <si>
    <t xml:space="preserve">METRADO CANALETAS F50</t>
  </si>
  <si>
    <t xml:space="preserve">Peso de la plancha galvanizada</t>
  </si>
  <si>
    <t xml:space="preserve">kg/m2</t>
  </si>
  <si>
    <t xml:space="preserve">espesor x 7.85 kg/m2 por mm + zinc (0.3 kg/m2)</t>
  </si>
  <si>
    <t xml:space="preserve">Largo de la plancha comercial (1.22 x 2.44)</t>
  </si>
  <si>
    <t xml:space="preserve">catalogo; la canaleta se fabrica en tramos de 2.44 m</t>
  </si>
  <si>
    <t xml:space="preserve">Traslape entre tramos</t>
  </si>
  <si>
    <t xml:space="preserve">criterio de obra (remachado y sellado)</t>
  </si>
  <si>
    <t xml:space="preserve">Desarrollo de la platina de un soporte</t>
  </si>
  <si>
    <t xml:space="preserve">abraza la canaleta (fondo + 2 lados) + 2 orejas de fijacion de 0.10</t>
  </si>
  <si>
    <t xml:space="preserve">Peso de la platina 1" x 1/8"</t>
  </si>
  <si>
    <t xml:space="preserve">25.4 x 3.18 mm x 7.85 = 0.633 kg/m</t>
  </si>
  <si>
    <t xml:space="preserve">Largo de la platina comercial</t>
  </si>
  <si>
    <t xml:space="preserve">catalogo</t>
  </si>
  <si>
    <t xml:space="preserve">ACU 1: 01.04.03.05.01.03 CANALETA DE PLANCHA DE ACERO GALVANIZADO e=0.9mm, SECCION 0.25m x 0.20m</t>
  </si>
  <si>
    <t xml:space="preserve">Rendimiento (m/dia)</t>
  </si>
  <si>
    <t xml:space="preserve">fabricacion (corte y doblado en obra), remachado, sellado y colocacion sobre los soportes; cuadrilla 1 op + 1 peon</t>
  </si>
  <si>
    <t xml:space="preserve">SUSTENTO / FUENTE</t>
  </si>
  <si>
    <t xml:space="preserve">Operario (hojalatero)</t>
  </si>
  <si>
    <t xml:space="preserve">Plancha de acero galvanizado e=0.9 mm</t>
  </si>
  <si>
    <t xml:space="preserve">desarrollo x (1 + traslape/2.44) x 1.05 desperdicio; Mercado Tarapoto 2026, sin IGV (referencial)</t>
  </si>
  <si>
    <t xml:space="preserve">Remache pop 1/8"</t>
  </si>
  <si>
    <t xml:space="preserve">2 filas a @0.05 en cada traslape (cada 2.44 m)</t>
  </si>
  <si>
    <t xml:space="preserve">Sellador de poliuretano (cartucho 300 ml)</t>
  </si>
  <si>
    <t xml:space="preserve">1 cartucho = 8 m de cordon de 6 mm; una junta (0.65 m) cada 2.44 m</t>
  </si>
  <si>
    <t xml:space="preserve">5 % del costo de mano de obra (hojalateria)</t>
  </si>
  <si>
    <t xml:space="preserve">COSTO UNITARIO DIRECTO (S/ por m)</t>
  </si>
  <si>
    <t xml:space="preserve">ACU 2: 01.04.03.05.01.04 SOPORTE DE PLATINA F°G° 1" x 1/8" P/CANALETA</t>
  </si>
  <si>
    <t xml:space="preserve">Rendimiento (und/dia)</t>
  </si>
  <si>
    <t xml:space="preserve">corte, doblado en U con orejas, perforado y fijacion al alero o viga; cuadrilla 1 op + 0.5 peon</t>
  </si>
  <si>
    <t xml:space="preserve">Platina de fierro galvanizado 1" x 1/8"</t>
  </si>
  <si>
    <t xml:space="preserve">desarrollo del soporte x 1.05 desperdicio; Mercado Tarapoto 2026, sin IGV (referencial)</t>
  </si>
  <si>
    <t xml:space="preserve">Perno de expansion 1/4" x 2 1/2" con tarugo</t>
  </si>
  <si>
    <t xml:space="preserve">2 por soporte (una oreja a cada lado)</t>
  </si>
  <si>
    <t xml:space="preserve">Tornillo autorroscante 1/4" x 3/4" (soporte a canaleta)</t>
  </si>
  <si>
    <t xml:space="preserve">2 por soporte</t>
  </si>
  <si>
    <t xml:space="preserve">COSTO UNITARIO DIRECTO (S/ por und)</t>
  </si>
  <si>
    <t xml:space="preserve">ACU 3: 01.04.03.05.01.05 TAPA LATERAL DE PLANCHA GALVANIZADA P/CANALETA</t>
  </si>
  <si>
    <t xml:space="preserve">trazo, corte, doblez de pestanas, remachado y sellado en el extremo de la canaleta; cuadrilla 1 op + 0.5 peon</t>
  </si>
  <si>
    <t xml:space="preserve">tapa 0.25 x 0.20 + pestana de 0.03 en el contorno, 10 % desperdicio</t>
  </si>
  <si>
    <t xml:space="preserve">6 por tapa</t>
  </si>
  <si>
    <t xml:space="preserve">contorno de la tapa (0.65 m) / 8 m por cartucho</t>
  </si>
  <si>
    <t xml:space="preserve">ACU 4: 01.04.03.05.01.06 BOQUILLA DE PLANCHA GALVANIZADA P/CONEXION DE CANALETA A MONTANTE Ø4"</t>
  </si>
  <si>
    <t xml:space="preserve">corte de la abertura en el fondo, fabricacion del tubo y la brida, remachado, sellado y embone al montante; cuadrilla 1 op + 0.5 peon</t>
  </si>
  <si>
    <t xml:space="preserve">tubo de 4" x 0.15 m (embone en el montante) + brida 0.20 x 0.20 en el fondo de la canaleta; 15 % desperdicio</t>
  </si>
  <si>
    <t xml:space="preserve">8 por boquilla (brida al fondo de la canaleta)</t>
  </si>
  <si>
    <t xml:space="preserve">contorno de la brida + embone (1.12 m) / 8 m por cartucho</t>
  </si>
  <si>
    <t xml:space="preserve">RESUMEN DE COSTOS DIRECTOS (referencial)</t>
  </si>
  <si>
    <t xml:space="preserve">C.U. S/</t>
  </si>
  <si>
    <t xml:space="preserve">CANALETA DE PLANCHA DE ACERO GALVANIZADO e=0.9mm, SECCION 0.25m x 0.20m</t>
  </si>
  <si>
    <t xml:space="preserve">BOQUILLA DE PLANCHA GALVANIZADA P/CONEXION DE CANALETA A MONTANTE Ø4"</t>
  </si>
  <si>
    <t xml:space="preserve">TOTAL CANALETAS (costo directo)</t>
  </si>
  <si>
    <t xml:space="preserve">DESAGREGADO DE LA PARTIDA 01.04.04.05.01 - TAPA DE REGISTRO 0.68x0.68 C/MARCO Y CONTRAMARCO</t>
  </si>
  <si>
    <t xml:space="preserve">La partida se mide por unidad de registro (tapa con marco y contramarco). Esta hoja muestra donde va cada registro y lo que lleva cada uno; las cantidades salen de las hojas COLECTOR PARAMETROS, COLECTOR REGISTROS Y TAPAS y COLECTOR ACERO (lamina DP-06B).</t>
  </si>
  <si>
    <t xml:space="preserve">A. UBICACION DE LOS REGISTROS</t>
  </si>
  <si>
    <t xml:space="preserve">CANT. (und)</t>
  </si>
  <si>
    <t xml:space="preserve">TOTAL DE REGISTROS (und de la partida)</t>
  </si>
  <si>
    <t xml:space="preserve">B. COMPONENTES DE UNA TAPA DE REGISTRO Y TOTAL DE LA PARTIDA</t>
  </si>
  <si>
    <t xml:space="preserve">POR REGISTRO</t>
  </si>
  <si>
    <t xml:space="preserve">N° REGISTROS</t>
  </si>
  <si>
    <t xml:space="preserve">ANGULOS METALICOS</t>
  </si>
  <si>
    <t xml:space="preserve">Contramarco: angulo L 2"x2"x3/16", 4 x 0.70 = 2.80 m x 3.63 kg/m</t>
  </si>
  <si>
    <t xml:space="preserve">lamina DP-06B; esquinas a 45 grados soldadas</t>
  </si>
  <si>
    <t xml:space="preserve">Marco de tapa: angulo L 1 1/2"x1 1/2"x1/8", 4 x 0.68 = 2.72 m x 1.83 kg/m</t>
  </si>
  <si>
    <t xml:space="preserve">lamina DP-06B; sirve de encofrado de la tapa</t>
  </si>
  <si>
    <t xml:space="preserve">Subtotal angulos</t>
  </si>
  <si>
    <t xml:space="preserve">CONCRETO</t>
  </si>
  <si>
    <t xml:space="preserve">Tapa de concreto f'c=210: 0.68 x 0.68 x 0.08</t>
  </si>
  <si>
    <t xml:space="preserve">lamina DP-06B</t>
  </si>
  <si>
    <t xml:space="preserve">Subtotal concreto</t>
  </si>
  <si>
    <t xml:space="preserve">ACERO DE REFUERZO fy=4200</t>
  </si>
  <si>
    <t xml:space="preserve">Parrilla de la tapa: 7 + 7 barras 3/8" @0.10, L = 0.62</t>
  </si>
  <si>
    <t xml:space="preserve">COLECTOR ACERO fila 34</t>
  </si>
  <si>
    <t xml:space="preserve">Asas de la tapa: 2 barras 3/8" liso, desarrollo 0.40</t>
  </si>
  <si>
    <t xml:space="preserve">COLECTOR ACERO fila 35</t>
  </si>
  <si>
    <t xml:space="preserve">Anclajes del contramarco: 8 barras 3/8", L = 0.20</t>
  </si>
  <si>
    <t xml:space="preserve">COLECTOR ACERO fila 36</t>
  </si>
  <si>
    <t xml:space="preserve">Refuerzo de borde de la abertura: 8 barras 1/2", L = 1.40</t>
  </si>
  <si>
    <t xml:space="preserve">COLECTOR ACERO fila 33</t>
  </si>
  <si>
    <t xml:space="preserve">Subtotal acero</t>
  </si>
  <si>
    <t xml:space="preserve">PINTURA</t>
  </si>
  <si>
    <t xml:space="preserve">Anticorrosivo y esmalte en angulos: 2.80 x 0.203 + 2.72 x 0.152</t>
  </si>
  <si>
    <t xml:space="preserve">Subtotal pintura</t>
  </si>
  <si>
    <t xml:space="preserve">C. CONTROL CON EL METRADO DE LOS COMPONENTES (hojas del colector)</t>
  </si>
  <si>
    <t xml:space="preserve">ESTA HOJA</t>
  </si>
  <si>
    <t xml:space="preserve">HOJA DEL COLECTOR</t>
  </si>
  <si>
    <t xml:space="preserve">CONTROL</t>
  </si>
  <si>
    <t xml:space="preserve">Angulos (marco y contramarco)</t>
  </si>
  <si>
    <t xml:space="preserve">Concreto en tapas</t>
  </si>
  <si>
    <t xml:space="preserve">Acero en tapas, bordes y anclajes</t>
  </si>
  <si>
    <t xml:space="preserve">Pintura en angulos</t>
  </si>
  <si>
    <t xml:space="preserve">Perimetro del contramarco L 1 1/2"x1 1/2"x1/8" (4 x 0.70)</t>
  </si>
  <si>
    <t xml:space="preserve">Peso del angulo L 1 1/2"x1 1/2"x1/8" (contramarco)</t>
  </si>
  <si>
    <t xml:space="preserve">Peso del angulo L 1 1/2"x1 1/2"x1/8" (marco de tapa)</t>
  </si>
  <si>
    <t xml:space="preserve">Desarrollo pintado del angulo 1 1/2"x1 1/2" del contramarco (4 caras)</t>
  </si>
  <si>
    <t xml:space="preserve">Desarrollo pintado del angulo 1 1/2"x1 1/2" del marco de tapa (4 caras)</t>
  </si>
  <si>
    <t xml:space="preserve">Lamina DP-01 (ubicacion) y DP-06B (detalle): contramarco L 1 1/2"x1 1/2"x1/8" anclado a la losa, marco L 1 1/2"x1 1/2"x1/8" soldado a la tapa, tapa de concreto armado 0.68 x 0.68 x 0.08 con parrilla 3/8" @0.10 y asas; borde engrosado 0.15 x 0.10 alrededor de la abertura de 0.70 x 0.70.</t>
  </si>
  <si>
    <t xml:space="preserve">CONTRAMARCO METALICO L 1 1/2"x1 1/2"x1/8" CON ANCLAJES</t>
  </si>
  <si>
    <t xml:space="preserve">registros x (2.80 x 1.83 + 2.72 x 1.83)</t>
  </si>
  <si>
    <t xml:space="preserve">registros x (2.80 x 0.152 + 2.72 x 0.152)</t>
  </si>
  <si>
    <t xml:space="preserve">Contramarco: angulo L 1 1/2"x1 1/2"x1/8", 4 x 0.70 = 2.80 m x 1.83 kg/m</t>
  </si>
  <si>
    <t xml:space="preserve">Anticorrosivo y esmalte en angulos: 2.80 x 0.152 + 2.72 x 0.152</t>
  </si>
  <si>
    <t xml:space="preserve">Cada tapa incluye: contramarco L 1 1/2"x1 1/2"x1/8" con 8 anclajes, marco L 1 1/2"x1 1/2"x1/8", tapa de concreto armado 0.68 x 0.68 x 0.08 con parrilla y asas, refuerzo de borde y pintura</t>
  </si>
  <si>
    <t xml:space="preserve">Angulo L 1 1/2"x1 1/2"x1/8" (incluye corte y soldadura)</t>
  </si>
  <si>
    <t xml:space="preserve">Lija para fierro N° 80</t>
  </si>
  <si>
    <t xml:space="preserve">Thinner acrilico</t>
  </si>
  <si>
    <t xml:space="preserve">Contramarco metalico L 1 1/2"x1 1/2"x1/8" con anclajes</t>
  </si>
  <si>
    <t xml:space="preserve">2.80 x 1.83 + 2.72 x 1.83 = 10.10 kg por tapa</t>
  </si>
  <si>
    <t xml:space="preserve">2.80 x 0.152 + 2.72 x 0.152 = 0.84 m2 por tapa</t>
  </si>
  <si>
    <t xml:space="preserve">Contramarco 4 x 0.70 = 2.80 m x 1.83 kg/m; 5 % de desperdicio (COLECTOR INSUMOS)</t>
  </si>
  <si>
    <t xml:space="preserve">COLECTOR INSUMOS: 1 pliego cada 4 m2</t>
  </si>
  <si>
    <t xml:space="preserve">COLECTOR INSUMOS: 15 % del volumen de pintura (dilucion y limpieza)</t>
  </si>
  <si>
    <t xml:space="preserve">Sodimac Peru: barra de 6 m (10.98 kg) S/ 39.90 con IGV</t>
  </si>
  <si>
    <t xml:space="preserve">Sodimac Peru: caja de 5 kg S/ 109.90 con IGV</t>
  </si>
  <si>
    <t xml:space="preserve">Cemento Pacasmayo tipo I 42.5 kg: S/ 36.50 con IGV</t>
  </si>
  <si>
    <t xml:space="preserve">Agregados Tarapoto (Morales): S/ 48.00 el m3</t>
  </si>
  <si>
    <t xml:space="preserve">Por cotizar en Tarapoto: no hay precio publicado de la piedra de 1/2"</t>
  </si>
  <si>
    <t xml:space="preserve">EMAPA San Martin: tarifa comercial de 30 m3 a mas, agua 6.80 + alcantarillado 1.53</t>
  </si>
  <si>
    <t xml:space="preserve">Maderas del Norte: S/ 5.20 el p2 con IGV</t>
  </si>
  <si>
    <t xml:space="preserve">Sodimac Peru, Aceros Arequipa: 1/2" x 9 m S/ 36.50 y 3/8" x 9 m S/ 20.35 con IGV (ponderado)</t>
  </si>
  <si>
    <t xml:space="preserve">Sodimac Peru: rollo de 10 kg S/ 59.90 con IGV</t>
  </si>
  <si>
    <t xml:space="preserve">Promart: anticorrosivo Vencedor 1 gl S/ 53.00 con IGV</t>
  </si>
  <si>
    <t xml:space="preserve">Promart: esmalte sintetico CPP 1 gl S/ 57.00 con IGV</t>
  </si>
  <si>
    <t xml:space="preserve">Sodimac Peru: lija para fierro 3M grano 80 S/ 2.50 con IGV</t>
  </si>
  <si>
    <t xml:space="preserve">Sodimac Peru: thinner acrilico TOPEX 3.5 L S/ 38.90 con IGV</t>
  </si>
  <si>
    <t xml:space="preserve">Konstrutecnia: S/ 15.00 la hora-maquina con IGV</t>
  </si>
  <si>
    <t xml:space="preserve">Konstrutecnia: S/ 13.00 la hora-maquina con IGV</t>
  </si>
  <si>
    <t xml:space="preserve">Por cotizar en Tarapoto: no hay tarifa publicada</t>
  </si>
  <si>
    <t xml:space="preserve">Analisis de la partida de Delphin 01.04.04.06.05.01 TAPA DE REGISTRO 0.68x0.68 C/MARCO Y CONTRAMARCO, partida 01.04.04.05.01 del metrado; componentes desagregados en la hoja DESAGREGADO TAPA REGISTRO. Cantidad por tapa = metrado del componente / numero de tapas. Ratios de insumos tomados de la hoja COLECTOR INSUMOS. Celda amarilla = dato (ratio o precio); verde = formula. Precios sin IGV obtenidos de precios publicados (octubre 2026), con su fuente en la columna H; los marcados "por cotizar" deben confirmarse en Tarapoto.</t>
  </si>
  <si>
    <t xml:space="preserve">ANALISIS DE COSTO UNITARIO - JUNTA DE DILATACION E=1" CON TECNOPOR Y SELLADOR ASFALTICO EN COLECTOR</t>
  </si>
  <si>
    <t xml:space="preserve">Partida de Delphin 01.04.04.06.01 JUNTA DE DILATACION E=1" CON TECNOPOR Y SELLADOR ASFALTICO EN COLECTOR (metrado 01.04.04.06.01, hoja COLECTOR JUNTAS Y EMPALMES). Se mide por metro de junta a lo largo del perimetro de la seccion. Cantidades de la lamina DD-03: plancha de tecnopor de 1" en toda la seccion y sellador asfaltico 1" x 2" (asfalto liquido RC-250 + arena gruesa) en las caras interiores y en la cara superior (EG-2013 MTC, 510). Celda amarilla = dato; verde = formula. Precios sin IGV.</t>
  </si>
  <si>
    <t xml:space="preserve">1. CANTIDADES POR METRO DE JUNTA (lamina DD-03 y hoja COLECTOR JUNTAS Y EMPALMES)</t>
  </si>
  <si>
    <t xml:space="preserve">CONCEPTO</t>
  </si>
  <si>
    <t xml:space="preserve">Perimetro de la seccion en cada junta: 2 x 1.10 + 2 x (0.15 + 1.61 + 0.10)</t>
  </si>
  <si>
    <t xml:space="preserve">COLECTOR JUNTAS Y EMPALMES fila 11; DD-03 A</t>
  </si>
  <si>
    <t xml:space="preserve">Numero de juntas de dilatacion (cada 4.00 m)</t>
  </si>
  <si>
    <t xml:space="preserve">COLECTOR JUNTAS Y EMPALMES fila 11; DD-03 E</t>
  </si>
  <si>
    <t xml:space="preserve">Area de tecnopor por junta: seccion 1.10 x 1.86 menos el hueco 0.80 x 1.61</t>
  </si>
  <si>
    <t xml:space="preserve">DD-03, cuadro de componentes</t>
  </si>
  <si>
    <t xml:space="preserve">Tecnopor por metro de junta (area neta)</t>
  </si>
  <si>
    <t xml:space="preserve">formula</t>
  </si>
  <si>
    <t xml:space="preserve">Desperdicio por el corte del anillo en planchas de 1.20 x 2.40</t>
  </si>
  <si>
    <t xml:space="preserve">criterio: recortes del hueco interior y de las esquinas</t>
  </si>
  <si>
    <t xml:space="preserve">Area de una plancha de tecnopor 1" (1.20 x 2.40 m)</t>
  </si>
  <si>
    <t xml:space="preserve">medida comercial</t>
  </si>
  <si>
    <t xml:space="preserve">Planchas de tecnopor por metro de junta</t>
  </si>
  <si>
    <t xml:space="preserve">pln/m</t>
  </si>
  <si>
    <t xml:space="preserve">Longitud sellada por junta: caras interiores 2 x 1.61 + 0.80 y cara superior 1.10</t>
  </si>
  <si>
    <t xml:space="preserve">Seccion del sellador 1" x 2" (0.0254 x 0.0508)</t>
  </si>
  <si>
    <t xml:space="preserve">DD-03 B; EG-2013 510.02 c</t>
  </si>
  <si>
    <t xml:space="preserve">Mezcla de sellador por metro de junta</t>
  </si>
  <si>
    <t xml:space="preserve">m3/m</t>
  </si>
  <si>
    <t xml:space="preserve">Asfalto liquido RC-250 por m3 de mezcla</t>
  </si>
  <si>
    <t xml:space="preserve">gal/m3</t>
  </si>
  <si>
    <t xml:space="preserve">criterio: mezcla de ~2,000 kg/m3 con ~9 % de asfalto = 180 kg / 3.6 kg/gal</t>
  </si>
  <si>
    <t xml:space="preserve">Arena gruesa por m3 de mezcla</t>
  </si>
  <si>
    <t xml:space="preserve">m3/m3</t>
  </si>
  <si>
    <t xml:space="preserve">criterio: arena suelta con 5 % de desperdicio</t>
  </si>
  <si>
    <t xml:space="preserve">Operario por metro de junta (colocacion del tecnopor y sellado)</t>
  </si>
  <si>
    <t xml:space="preserve">hh/m</t>
  </si>
  <si>
    <t xml:space="preserve">COLECTOR INSUMOS fila 71</t>
  </si>
  <si>
    <t xml:space="preserve">Peon por metro de junta</t>
  </si>
  <si>
    <t xml:space="preserve">COLECTOR INSUMOS fila 72</t>
  </si>
  <si>
    <t xml:space="preserve">2. ANALISIS DE COSTO UNITARIO (formato Delphin)</t>
  </si>
  <si>
    <t xml:space="preserve">01.04.04.06.01 JUNTA DE DILATACION E=1" CON TECNOPOR Y SELLADOR ASFALTICO EN COLECTOR</t>
  </si>
  <si>
    <t xml:space="preserve">01.04.04.06.01 (hoja COLECTOR JUNTAS Y EMPALMES)</t>
  </si>
  <si>
    <t xml:space="preserve">Rendimiento (m/dia, cuadrilla de 1 operario)</t>
  </si>
  <si>
    <t xml:space="preserve">CANTIDAD POR M</t>
  </si>
  <si>
    <t xml:space="preserve">costo hora-hombre de la ACU TAPA REGISTRO</t>
  </si>
  <si>
    <t xml:space="preserve">Plancha de tecnopor 1" x 1.20 x 2.40 m</t>
  </si>
  <si>
    <t xml:space="preserve">pln</t>
  </si>
  <si>
    <t xml:space="preserve">Sodimac Peru: plancha de poliestireno expandido 1" x 1.20 x 2.40 m (Dipropor) S/ 13.90 con IGV</t>
  </si>
  <si>
    <t xml:space="preserve">Asfalto liquido RC-250</t>
  </si>
  <si>
    <t xml:space="preserve">Conselva: asfalto liquido RC-250 por galon S/ 17.70 con IGV (Petroperu publica su lista ex planta; confirmar en Tarapoto)</t>
  </si>
  <si>
    <t xml:space="preserve">precio de la ACU TAPA REGISTRO (Agregados Tarapoto, Morales)</t>
  </si>
  <si>
    <t xml:space="preserve">3 % del costo de mano de obra (incluye recipiente para calentar el asfalto)</t>
  </si>
  <si>
    <t xml:space="preserve">COSTO DIRECTO DE LA PARTIDA (metrado x costo unitario, S/)</t>
  </si>
  <si>
    <t xml:space="preserve">ANALISIS DE COSTO UNITARIO - JUNTA E=1" CON TECNOPOR Y SELLADOR ASFALTICO ENTRE COLECTOR Y CERCO PERIMETRICO</t>
  </si>
  <si>
    <t xml:space="preserve">Partida de Delphin 01.04.04.06.02 JUNTA E=1" CON TECNOPOR Y SELLADOR ASFALTICO ENTRE COLECTOR Y CERCO PERIMETRICO (metrado 01.04.04.06.02, hoja COLECTOR JUNTAS Y EMPALMES). Cantidades de la lamina DD-03: plancha de tecnopor de 1" de 0.90 m de altura contra el cimiento del cerco y de 0.10 m en el borde de la losa con el piso adyacente, con sellador asfaltico 1" x 2" (RC-250 + arena) en la cara superior. Celda amarilla = dato; verde = formula. Precios sin IGV.</t>
  </si>
  <si>
    <t xml:space="preserve">Junta contra el cimiento del cerco (0+000.00 a 0+058.81)</t>
  </si>
  <si>
    <t xml:space="preserve">COLECTOR JUNTAS Y EMPALMES fila 15</t>
  </si>
  <si>
    <t xml:space="preserve">Altura de la plancha contra el cerco</t>
  </si>
  <si>
    <t xml:space="preserve">DD-03 C</t>
  </si>
  <si>
    <t xml:space="preserve">Junta en el borde de la losa con el piso adyacente (colector y cajas CL y CC)</t>
  </si>
  <si>
    <t xml:space="preserve">COLECTOR JUNTAS Y EMPALMES filas 16 a 18</t>
  </si>
  <si>
    <t xml:space="preserve">Altura de la plancha en el borde de la losa</t>
  </si>
  <si>
    <t xml:space="preserve">DD-03 D</t>
  </si>
  <si>
    <t xml:space="preserve">Longitud total de la partida</t>
  </si>
  <si>
    <t xml:space="preserve">COLECTOR JUNTAS Y EMPALMES fila 19</t>
  </si>
  <si>
    <t xml:space="preserve">Tecnopor por metro de junta (promedio ponderado)</t>
  </si>
  <si>
    <t xml:space="preserve">Desperdicio por el corte en tiras</t>
  </si>
  <si>
    <t xml:space="preserve">criterio</t>
  </si>
  <si>
    <t xml:space="preserve">Mezcla de sellador por metro de junta: 1" x 2" en la cara superior (0.0254 x 0.0508)</t>
  </si>
  <si>
    <t xml:space="preserve">DD-03 C y D; EG-2013 510.02 c</t>
  </si>
  <si>
    <t xml:space="preserve">Peon por metro de junta (corte y colocacion de las tiras)</t>
  </si>
  <si>
    <t xml:space="preserve">COLECTOR INSUMOS fila 74</t>
  </si>
  <si>
    <t xml:space="preserve">Operario por metro de junta (sellado)</t>
  </si>
  <si>
    <t xml:space="preserve">COLECTOR INSUMOS fila 76</t>
  </si>
  <si>
    <t xml:space="preserve">01.04.04.06.02 JUNTA E=1" CON TECNOPOR Y SELLADOR ASFALTICO ENTRE COLECTOR Y CERCO PERIMETRICO</t>
  </si>
  <si>
    <t xml:space="preserve">01.04.04.06.02 (hoja COLECTOR JUNTAS Y EMPALMES)</t>
  </si>
  <si>
    <t xml:space="preserve">Rendimiento (m/dia, operario de sellado)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</si>
</sst>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-yy"/>
    <numFmt numFmtId="166" formatCode="@"/>
    <numFmt numFmtId="167" formatCode="d\-mmm\-yy"/>
    <numFmt numFmtId="168" formatCode="0.00"/>
    <numFmt numFmtId="169" formatCode="General"/>
    <numFmt numFmtId="170" formatCode="0.0000"/>
    <numFmt numFmtId="171" formatCode="0"/>
    <numFmt numFmtId="172" formatCode="0.0"/>
    <numFmt numFmtId="173" formatCode="0.00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Calibri"/>
      <family val="0"/>
      <charset val="1"/>
    </font>
    <font>
      <sz val="12"/>
      <color theme="1"/>
      <name val="Arial Narrow"/>
      <family val="2"/>
      <charset val="1"/>
    </font>
    <font>
      <b val="true"/>
      <u val="single"/>
      <sz val="14"/>
      <color theme="0"/>
      <name val="Arial Narrow"/>
      <family val="2"/>
      <charset val="1"/>
    </font>
    <font>
      <b val="true"/>
      <sz val="14"/>
      <name val="Arial Narrow"/>
      <family val="2"/>
      <charset val="1"/>
    </font>
    <font>
      <sz val="14"/>
      <name val="Arial Narrow"/>
      <family val="2"/>
      <charset val="1"/>
    </font>
    <font>
      <b val="true"/>
      <sz val="12"/>
      <color rgb="FFFFFFFF"/>
      <name val="Arial Narrow"/>
      <family val="2"/>
      <charset val="1"/>
    </font>
    <font>
      <b val="true"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 val="true"/>
      <u val="single"/>
      <sz val="16"/>
      <color theme="0"/>
      <name val="Arial Narrow"/>
      <family val="2"/>
      <charset val="1"/>
    </font>
    <font>
      <b val="true"/>
      <sz val="14"/>
      <color theme="0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12"/>
      <color theme="1"/>
      <name val="Arial Narrow"/>
      <family val="2"/>
      <charset val="1"/>
    </font>
    <font>
      <b val="true"/>
      <u val="single"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sz val="10"/>
      <name val="Arial"/>
      <family val="2"/>
    </font>
    <font>
      <b val="true"/>
      <sz val="12"/>
      <name val="Arial Narrow"/>
      <family val="0"/>
      <charset val="1"/>
    </font>
    <font>
      <b val="true"/>
      <sz val="12"/>
      <color rgb="FFFFFFFF"/>
      <name val="Arial Narrow"/>
      <family val="0"/>
      <charset val="1"/>
    </font>
    <font>
      <sz val="12"/>
      <name val="Arial Narrow"/>
      <family val="0"/>
      <charset val="1"/>
    </font>
    <font>
      <b val="true"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 val="true"/>
      <sz val="11"/>
      <color rgb="FFFFFFFF"/>
      <name val="Arial Narrow"/>
      <family val="2"/>
      <charset val="1"/>
    </font>
    <font>
      <b val="true"/>
      <u val="single"/>
      <sz val="18"/>
      <color theme="0"/>
      <name val="Arial Narrow"/>
      <family val="2"/>
      <charset val="1"/>
    </font>
    <font>
      <b val="true"/>
      <sz val="16"/>
      <name val="Arial Narrow"/>
      <family val="2"/>
      <charset val="1"/>
    </font>
    <font>
      <sz val="16"/>
      <name val="Arial Narrow"/>
      <family val="2"/>
      <charset val="1"/>
    </font>
    <font>
      <b val="true"/>
      <sz val="16"/>
      <color rgb="FFFFFFFF"/>
      <name val="Arial Narrow"/>
      <family val="2"/>
      <charset val="1"/>
    </font>
    <font>
      <b val="true"/>
      <sz val="14"/>
      <color rgb="FF1F1F1F"/>
      <name val="Arial Narrow"/>
      <family val="2"/>
      <charset val="1"/>
    </font>
    <font>
      <sz val="11"/>
      <color rgb="FF1F1F1F"/>
      <name val="Arial Narrow"/>
      <family val="2"/>
      <charset val="1"/>
    </font>
    <font>
      <b val="true"/>
      <sz val="11"/>
      <color theme="0"/>
      <name val="Arial Narrow"/>
      <family val="2"/>
      <charset val="1"/>
    </font>
    <font>
      <b val="true"/>
      <sz val="10"/>
      <color rgb="FFFFFFFF"/>
      <name val="Arial Narrow"/>
      <family val="2"/>
      <charset val="1"/>
    </font>
    <font>
      <b val="true"/>
      <sz val="11"/>
      <color rgb="FFC00000"/>
      <name val="Arial Narrow"/>
      <family val="2"/>
      <charset val="1"/>
    </font>
    <font>
      <b val="true"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 val="true"/>
      <sz val="11"/>
      <color rgb="FF1F4E78"/>
      <name val="Arial Narrow"/>
      <family val="2"/>
      <charset val="1"/>
    </font>
    <font>
      <b val="true"/>
      <sz val="11"/>
      <color theme="1"/>
      <name val="Arial Narrow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6"/>
      <color rgb="FFFFFFFF"/>
      <name val="Arial Narrow"/>
      <family val="0"/>
      <charset val="1"/>
    </font>
    <font>
      <b val="true"/>
      <sz val="14"/>
      <name val="Arial Narrow"/>
      <family val="0"/>
      <charset val="1"/>
    </font>
    <font>
      <sz val="14"/>
      <name val="Arial Narrow"/>
      <family val="0"/>
      <charset val="1"/>
    </font>
    <font>
      <sz val="11"/>
      <name val="Arial Narrow"/>
      <family val="0"/>
      <charset val="1"/>
    </font>
    <font>
      <i val="true"/>
      <sz val="11"/>
      <name val="Arial Narrow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5"/>
        <bgColor rgb="FF305496"/>
      </patternFill>
    </fill>
    <fill>
      <patternFill patternType="solid">
        <fgColor theme="0" tint="-0.05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F0000"/>
        <bgColor rgb="FFC00000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9"/>
        <bgColor rgb="FFD9D9D9"/>
      </patternFill>
    </fill>
    <fill>
      <patternFill patternType="solid">
        <fgColor theme="2" tint="-0.25"/>
        <bgColor rgb="FFBFBFBF"/>
      </patternFill>
    </fill>
    <fill>
      <patternFill patternType="solid">
        <fgColor theme="0" tint="-0.25"/>
        <bgColor rgb="FFAFABAB"/>
      </patternFill>
    </fill>
    <fill>
      <patternFill patternType="solid">
        <fgColor theme="7" tint="0.5999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0" tint="-0.15"/>
        <bgColor rgb="FFE4DFEC"/>
      </patternFill>
    </fill>
    <fill>
      <patternFill patternType="solid">
        <fgColor theme="5" tint="0.3999"/>
        <bgColor rgb="FFBFBFBF"/>
      </patternFill>
    </fill>
    <fill>
      <patternFill patternType="solid">
        <fgColor rgb="FFFFFF00"/>
        <bgColor rgb="FFFFE699"/>
      </patternFill>
    </fill>
    <fill>
      <patternFill patternType="solid">
        <fgColor rgb="FF1F4E78"/>
        <bgColor rgb="FF305496"/>
      </patternFill>
    </fill>
    <fill>
      <patternFill patternType="solid">
        <fgColor rgb="FFE2F0D9"/>
        <bgColor rgb="FFF0F7E8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9"/>
        <bgColor rgb="FFDDEBF7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1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4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5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9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6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8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24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4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28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8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9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29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8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8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3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3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8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8" fillId="3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3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8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0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8" fillId="30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7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3" borderId="2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1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2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7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8" fillId="7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1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3" fillId="7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21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4" fillId="29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1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8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7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2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3" fillId="19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4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dxfs count="13">
    <dxf>
      <fill>
        <patternFill patternType="solid">
          <fgColor rgb="FF2F559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7F7F7F"/>
      </font>
      <fill>
        <patternFill>
          <bgColor rgb="FFF2F2F2"/>
        </patternFill>
      </fill>
    </dxf>
    <dxf>
      <font>
        <b val="1"/>
        <color rgb="FF3857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3857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7F7F7F"/>
      </font>
      <fill>
        <patternFill>
          <bgColor rgb="FFF2F2F2"/>
        </patternFill>
      </fill>
    </dxf>
    <dxf>
      <font>
        <b val="1"/>
        <color rgb="FF3857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7F7F7F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AF4FB"/>
      <rgbColor rgb="FFC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D9D9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D9E1F2"/>
      <rgbColor rgb="FFE4DFEC"/>
      <rgbColor rgb="FFF4B183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drawings/_rels/vmlDrawingHF1.vml.rels><?xml version="1.0" encoding="UTF-8" standalone="yes"?>
<Relationships xmlns="http://schemas.openxmlformats.org/package/2006/relationships"><Relationship Id="rId1" Type="http://schemas.openxmlformats.org/officeDocument/2006/relationships/image" Target="../media/hf_image1.jpeg"/></Relationships>
</file>

<file path=xl/drawings/_rels/vmlDrawingHF2.vml.rels><?xml version="1.0" encoding="UTF-8" standalone="yes"?>
<Relationships xmlns="http://schemas.openxmlformats.org/package/2006/relationships"><Relationship Id="rId1" Type="http://schemas.openxmlformats.org/officeDocument/2006/relationships/image" Target="../media/hf_image2.png"/></Relationships>
</file>

<file path=xl/drawings/_rels/vmlDrawingHF3.vml.rels><?xml version="1.0" encoding="UTF-8" standalone="yes"?>
<Relationships xmlns="http://schemas.openxmlformats.org/package/2006/relationships"><Relationship Id="rId1" Type="http://schemas.openxmlformats.org/officeDocument/2006/relationships/image" Target="../media/hf_image2.png"/></Relationships>
</file>

<file path=xl/drawings/_rels/vmlDrawingHF4.vml.rels><?xml version="1.0" encoding="UTF-8" standalone="yes"?>
<Relationships xmlns="http://schemas.openxmlformats.org/package/2006/relationships"><Relationship Id="rId1" Type="http://schemas.openxmlformats.org/officeDocument/2006/relationships/image" Target="../media/hf_image2.png"/></Relationships>
</file>

<file path=xl/drawings/_rels/vmlDrawingHF5.vml.rels><?xml version="1.0" encoding="UTF-8" standalone="yes"?>
<Relationships xmlns="http://schemas.openxmlformats.org/package/2006/relationships"><Relationship Id="rId1" Type="http://schemas.openxmlformats.org/officeDocument/2006/relationships/image" Target="../media/hf_image2.png"/></Relationships>
</file>

<file path=xl/tables/table1.xml><?xml version="1.0" encoding="utf-8"?>
<table xmlns="http://schemas.openxmlformats.org/spreadsheetml/2006/main" id="1" name="TablaDrenajePisoSumideros" displayName="TablaDrenajePisoSumideros" ref="A7:G12" headerRowCount="1" totalsRowCount="0" totalsRowShown="0">
  <tableColumns count="7">
    <tableColumn id="1" name="SECTOR"/>
    <tableColumn id="2" name="TUBERÍA 4&quot; PVC-U&#10;Desagüe Clase Pesada (m)"/>
    <tableColumn id="3" name="SUMIDERO DE 4&quot;&#10;(und)"/>
    <tableColumn id="4" name="CODO 90° x 4&quot;&#10;(und)"/>
    <tableColumn id="5" name="CODO 45° x 4&quot;&#10;(und)"/>
    <tableColumn id="6" name="TEE° x 4&quot;&#10;(und)"/>
    <tableColumn id="7" name="OBSERV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Id="rIdHF1" Type="http://schemas.openxmlformats.org/officeDocument/2006/relationships/vmlDrawing" Target="../drawings/vmlDrawingHF1.vml"/></Relationships>
</file>

<file path=xl/worksheets/_rels/sheet3.xml.rels><?xml version="1.0" encoding="UTF-8"?><Relationships xmlns="http://schemas.openxmlformats.org/package/2006/relationships"><Relationship Id="rIdHF2" Type="http://schemas.openxmlformats.org/officeDocument/2006/relationships/vmlDrawing" Target="../drawings/vmlDrawingHF2.vml"/></Relationships>
</file>

<file path=xl/worksheets/_rels/sheet4.xml.rels><?xml version="1.0" encoding="UTF-8"?><Relationships xmlns="http://schemas.openxmlformats.org/package/2006/relationships"><Relationship Id="rIdHF3" Type="http://schemas.openxmlformats.org/officeDocument/2006/relationships/vmlDrawing" Target="../drawings/vmlDrawingHF3.vml"/>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Relationship Id="rIdHF4" Type="http://schemas.openxmlformats.org/officeDocument/2006/relationships/vmlDrawing" Target="../drawings/vmlDrawingHF4.vml"/>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Relationship Id="rIdHF5" Type="http://schemas.openxmlformats.org/officeDocument/2006/relationships/vmlDrawing" Target="../drawings/vmlDrawingHF5.vml"/>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53" colorId="64" zoomScale="130" zoomScaleNormal="130" zoomScalePageLayoutView="130" workbookViewId="0">
      <selection pane="topLeft" activeCell="F57" activeCellId="0" sqref="F57"/>
    </sheetView>
  </sheetViews>
  <sheetFormatPr defaultColWidth="11.54296875" defaultRowHeight="15" zeroHeight="false" outlineLevelRow="0" outlineLevelCol="0"/>
  <cols>
    <col collapsed="false" customWidth="true" hidden="false" outlineLevel="0" max="1" min="1" style="1" width="18.09"/>
    <col collapsed="false" customWidth="true" hidden="false" outlineLevel="0" max="2" min="2" style="1" width="74.09"/>
    <col collapsed="false" customWidth="true" hidden="false" outlineLevel="0" max="3" min="3" style="2" width="19.36"/>
    <col collapsed="false" customWidth="true" hidden="false" outlineLevel="0" max="4" min="4" style="2" width="21.54"/>
    <col collapsed="false" customWidth="false" hidden="false" outlineLevel="0" max="16384" min="5" style="1" width="11.54"/>
  </cols>
  <sheetData>
    <row r="1" customFormat="false" ht="15" hidden="false" customHeight="true" outlineLevel="0" collapsed="false">
      <c r="A1" s="3"/>
      <c r="B1" s="4"/>
      <c r="C1" s="4"/>
      <c r="D1" s="4"/>
      <c r="E1" s="3"/>
    </row>
    <row r="2" customFormat="false" ht="22.5" hidden="false" customHeight="true" outlineLevel="0" collapsed="false">
      <c r="A2" s="5" t="s">
        <v>0</v>
      </c>
      <c r="B2" s="5"/>
      <c r="C2" s="5"/>
      <c r="D2" s="5"/>
    </row>
    <row r="3" customFormat="false" ht="4.5" hidden="true" customHeight="true" outlineLevel="0" collapsed="false">
      <c r="A3" s="6"/>
      <c r="B3" s="6"/>
      <c r="C3" s="6"/>
      <c r="D3" s="6"/>
    </row>
    <row r="4" customFormat="false" ht="21" hidden="false" customHeight="true" outlineLevel="0" collapsed="false">
      <c r="A4" s="7" t="s">
        <v>1</v>
      </c>
      <c r="B4" s="8" t="s">
        <v>2</v>
      </c>
      <c r="C4" s="8"/>
      <c r="D4" s="8"/>
    </row>
    <row r="5" customFormat="false" ht="79.5" hidden="false" customHeight="true" outlineLevel="0" collapsed="false">
      <c r="A5" s="9" t="s">
        <v>3</v>
      </c>
      <c r="B5" s="8" t="s">
        <v>4</v>
      </c>
      <c r="C5" s="8"/>
      <c r="D5" s="8"/>
    </row>
    <row r="6" customFormat="false" ht="18" hidden="false" customHeight="true" outlineLevel="0" collapsed="false">
      <c r="A6" s="7" t="s">
        <v>5</v>
      </c>
      <c r="B6" s="8" t="s">
        <v>6</v>
      </c>
      <c r="C6" s="8"/>
      <c r="D6" s="8"/>
    </row>
    <row r="7" customFormat="false" ht="24.75" hidden="false" customHeight="true" outlineLevel="0" collapsed="false">
      <c r="A7" s="7" t="s">
        <v>7</v>
      </c>
      <c r="B7" s="10" t="n">
        <v>46266</v>
      </c>
      <c r="C7" s="10"/>
      <c r="D7" s="10"/>
    </row>
    <row r="8" customFormat="false" ht="15" hidden="false" customHeight="false" outlineLevel="0" collapsed="false">
      <c r="A8" s="11" t="s">
        <v>8</v>
      </c>
      <c r="B8" s="11" t="s">
        <v>9</v>
      </c>
      <c r="C8" s="11" t="s">
        <v>10</v>
      </c>
      <c r="D8" s="11" t="s">
        <v>11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/>
      <c r="D9" s="12"/>
    </row>
    <row r="10" customFormat="false" ht="15" hidden="false" customHeight="false" outlineLevel="0" collapsed="false">
      <c r="A10" s="12" t="s">
        <v>14</v>
      </c>
      <c r="B10" s="12" t="s">
        <v>15</v>
      </c>
      <c r="C10" s="12"/>
      <c r="D10" s="12"/>
    </row>
    <row r="11" customFormat="false" ht="15" hidden="false" customHeight="false" outlineLevel="0" collapsed="false">
      <c r="A11" s="13" t="s">
        <v>16</v>
      </c>
      <c r="B11" s="14" t="s">
        <v>17</v>
      </c>
      <c r="C11" s="15" t="s">
        <v>18</v>
      </c>
      <c r="D11" s="16" t="n">
        <f aca="false">+'PLANILLA GENERAL DE METRADOS'!K11</f>
        <v>956.872</v>
      </c>
    </row>
    <row r="12" customFormat="false" ht="15" hidden="false" customHeight="false" outlineLevel="0" collapsed="false">
      <c r="A12" s="13" t="s">
        <v>19</v>
      </c>
      <c r="B12" s="13" t="s">
        <v>20</v>
      </c>
      <c r="C12" s="15" t="s">
        <v>18</v>
      </c>
      <c r="D12" s="16" t="n">
        <f aca="false">+'PLANILLA GENERAL DE METRADOS'!K24</f>
        <v>956.872</v>
      </c>
    </row>
    <row r="13" customFormat="false" ht="15" hidden="false" customHeight="false" outlineLevel="0" collapsed="false">
      <c r="A13" s="12" t="s">
        <v>21</v>
      </c>
      <c r="B13" s="12" t="s">
        <v>22</v>
      </c>
      <c r="C13" s="17"/>
      <c r="D13" s="18"/>
    </row>
    <row r="14" customFormat="false" ht="15" hidden="false" customHeight="false" outlineLevel="0" collapsed="false">
      <c r="A14" s="13" t="s">
        <v>23</v>
      </c>
      <c r="B14" s="13" t="s">
        <v>24</v>
      </c>
      <c r="C14" s="15" t="s">
        <v>25</v>
      </c>
      <c r="D14" s="16" t="n">
        <f aca="false">+'PLANILLA GENERAL DE METRADOS'!K38</f>
        <v>619.79764</v>
      </c>
    </row>
    <row r="15" customFormat="false" ht="15" hidden="false" customHeight="false" outlineLevel="0" collapsed="false">
      <c r="A15" s="13" t="s">
        <v>26</v>
      </c>
      <c r="B15" s="13" t="s">
        <v>27</v>
      </c>
      <c r="C15" s="15" t="s">
        <v>25</v>
      </c>
      <c r="D15" s="16" t="n">
        <f aca="false">+'PLANILLA GENERAL DE METRADOS'!K51</f>
        <v>2.912</v>
      </c>
    </row>
    <row r="16" customFormat="false" ht="15" hidden="false" customHeight="false" outlineLevel="0" collapsed="false">
      <c r="A16" s="13" t="s">
        <v>28</v>
      </c>
      <c r="B16" s="13" t="s">
        <v>29</v>
      </c>
      <c r="C16" s="15" t="s">
        <v>18</v>
      </c>
      <c r="D16" s="16" t="n">
        <f aca="false">+'PLANILLA GENERAL DE METRADOS'!K54</f>
        <v>410.088</v>
      </c>
    </row>
    <row r="17" customFormat="false" ht="15" hidden="false" customHeight="false" outlineLevel="0" collapsed="false">
      <c r="A17" s="13" t="s">
        <v>30</v>
      </c>
      <c r="B17" s="13" t="s">
        <v>31</v>
      </c>
      <c r="C17" s="15" t="s">
        <v>25</v>
      </c>
      <c r="D17" s="16" t="n">
        <f aca="false">+'PLANILLA GENERAL DE METRADOS'!K67</f>
        <v>343.77408</v>
      </c>
    </row>
    <row r="18" customFormat="false" ht="15" hidden="false" customHeight="false" outlineLevel="0" collapsed="false">
      <c r="A18" s="13" t="s">
        <v>32</v>
      </c>
      <c r="B18" s="13" t="s">
        <v>33</v>
      </c>
      <c r="C18" s="15" t="s">
        <v>25</v>
      </c>
      <c r="D18" s="16" t="n">
        <f aca="false">+'PLANILLA GENERAL DE METRADOS'!K80</f>
        <v>331.228272</v>
      </c>
    </row>
    <row r="19" customFormat="false" ht="15" hidden="false" customHeight="false" outlineLevel="0" collapsed="false">
      <c r="A19" s="12" t="s">
        <v>34</v>
      </c>
      <c r="B19" s="12" t="s">
        <v>35</v>
      </c>
      <c r="C19" s="17"/>
      <c r="D19" s="18"/>
    </row>
    <row r="20" customFormat="false" ht="15" hidden="false" customHeight="false" outlineLevel="0" collapsed="false">
      <c r="A20" s="13" t="s">
        <v>36</v>
      </c>
      <c r="B20" s="13" t="s">
        <v>37</v>
      </c>
      <c r="C20" s="15" t="s">
        <v>18</v>
      </c>
      <c r="D20" s="16" t="n">
        <f aca="false">+'PLANILLA GENERAL DE METRADOS'!K84</f>
        <v>410.088</v>
      </c>
    </row>
    <row r="21" customFormat="false" ht="15" hidden="false" customHeight="false" outlineLevel="0" collapsed="false">
      <c r="A21" s="13" t="s">
        <v>38</v>
      </c>
      <c r="B21" s="13" t="s">
        <v>39</v>
      </c>
      <c r="C21" s="15" t="s">
        <v>25</v>
      </c>
      <c r="D21" s="16" t="n">
        <f aca="false">+'PLANILLA GENERAL DE METRADOS'!K97</f>
        <v>2.912</v>
      </c>
    </row>
    <row r="22" customFormat="false" ht="15" hidden="false" customHeight="false" outlineLevel="0" collapsed="false">
      <c r="A22" s="12" t="s">
        <v>40</v>
      </c>
      <c r="B22" s="12" t="s">
        <v>41</v>
      </c>
      <c r="C22" s="17"/>
      <c r="D22" s="18"/>
    </row>
    <row r="23" customFormat="false" ht="15" hidden="false" customHeight="false" outlineLevel="0" collapsed="false">
      <c r="A23" s="13" t="s">
        <v>42</v>
      </c>
      <c r="B23" s="19" t="s">
        <v>43</v>
      </c>
      <c r="C23" s="15"/>
      <c r="D23" s="16"/>
    </row>
    <row r="24" customFormat="false" ht="15" hidden="false" customHeight="false" outlineLevel="0" collapsed="false">
      <c r="A24" s="13" t="s">
        <v>44</v>
      </c>
      <c r="B24" s="13" t="s">
        <v>45</v>
      </c>
      <c r="C24" s="15" t="s">
        <v>25</v>
      </c>
      <c r="D24" s="16" t="n">
        <f aca="false">+'PLANILLA GENERAL DE METRADOS'!K101</f>
        <v>122.6458</v>
      </c>
    </row>
    <row r="25" customFormat="false" ht="15" hidden="false" customHeight="false" outlineLevel="0" collapsed="false">
      <c r="A25" s="13" t="s">
        <v>46</v>
      </c>
      <c r="B25" s="13" t="s">
        <v>47</v>
      </c>
      <c r="C25" s="15" t="s">
        <v>18</v>
      </c>
      <c r="D25" s="16" t="n">
        <f aca="false">+'PLANILLA GENERAL DE METRADOS'!K114</f>
        <v>1661.96</v>
      </c>
    </row>
    <row r="26" customFormat="false" ht="15" hidden="false" customHeight="false" outlineLevel="0" collapsed="false">
      <c r="A26" s="13" t="s">
        <v>48</v>
      </c>
      <c r="B26" s="13" t="s">
        <v>49</v>
      </c>
      <c r="C26" s="15" t="s">
        <v>50</v>
      </c>
      <c r="D26" s="16" t="n">
        <f aca="false">+'PLANILLA GENERAL DE METRADOS'!K127</f>
        <v>4967.051712</v>
      </c>
    </row>
    <row r="27" customFormat="false" ht="15" hidden="false" customHeight="false" outlineLevel="0" collapsed="false">
      <c r="A27" s="13" t="s">
        <v>51</v>
      </c>
      <c r="B27" s="13" t="s">
        <v>52</v>
      </c>
      <c r="C27" s="15" t="s">
        <v>18</v>
      </c>
      <c r="D27" s="16" t="n">
        <f aca="false">+'METRADO DE CURADO'!M38</f>
        <v>1084.2059</v>
      </c>
    </row>
    <row r="28" customFormat="false" ht="15" hidden="false" customHeight="false" outlineLevel="0" collapsed="false">
      <c r="A28" s="13" t="s">
        <v>53</v>
      </c>
      <c r="B28" s="19" t="s">
        <v>54</v>
      </c>
      <c r="C28" s="15"/>
      <c r="D28" s="16"/>
    </row>
    <row r="29" customFormat="false" ht="15" hidden="false" customHeight="false" outlineLevel="0" collapsed="false">
      <c r="A29" s="13" t="s">
        <v>55</v>
      </c>
      <c r="B29" s="13" t="s">
        <v>56</v>
      </c>
      <c r="C29" s="15" t="s">
        <v>57</v>
      </c>
      <c r="D29" s="16" t="n">
        <f aca="false">+'PLANILLA GENERAL DE METRADOS'!K132</f>
        <v>510.11</v>
      </c>
    </row>
    <row r="30" customFormat="false" ht="15" hidden="false" customHeight="false" outlineLevel="0" collapsed="false">
      <c r="A30" s="13" t="s">
        <v>58</v>
      </c>
      <c r="B30" s="13" t="s">
        <v>59</v>
      </c>
      <c r="C30" s="15" t="s">
        <v>60</v>
      </c>
      <c r="D30" s="16" t="n">
        <f aca="false">+'PLANILLA GENERAL DE METRADOS'!K133</f>
        <v>17</v>
      </c>
    </row>
    <row r="31" customFormat="false" ht="15" hidden="false" customHeight="false" outlineLevel="0" collapsed="false">
      <c r="A31" s="13" t="s">
        <v>61</v>
      </c>
      <c r="B31" s="13" t="s">
        <v>62</v>
      </c>
      <c r="C31" s="15" t="s">
        <v>57</v>
      </c>
      <c r="D31" s="16" t="n">
        <f aca="false">+'PLANILLA GENERAL DE METRADOS'!K134</f>
        <v>241.959543966302</v>
      </c>
    </row>
    <row r="32" customFormat="false" ht="29.85" hidden="false" customHeight="false" outlineLevel="0" collapsed="false">
      <c r="A32" s="13" t="s">
        <v>63</v>
      </c>
      <c r="B32" s="13" t="s">
        <v>64</v>
      </c>
      <c r="C32" s="15" t="s">
        <v>60</v>
      </c>
      <c r="D32" s="16" t="n">
        <f aca="false">+'PLANILLA GENERAL DE METRADOS'!K135</f>
        <v>157</v>
      </c>
      <c r="G32" s="0"/>
    </row>
    <row r="33" customFormat="false" ht="15" hidden="false" customHeight="false" outlineLevel="0" collapsed="false">
      <c r="A33" s="12" t="s">
        <v>65</v>
      </c>
      <c r="B33" s="12" t="s">
        <v>66</v>
      </c>
      <c r="C33" s="17"/>
      <c r="D33" s="18"/>
    </row>
    <row r="34" customFormat="false" ht="18" hidden="false" customHeight="true" outlineLevel="0" collapsed="false">
      <c r="A34" s="13" t="s">
        <v>67</v>
      </c>
      <c r="B34" s="19" t="s">
        <v>68</v>
      </c>
      <c r="C34" s="15"/>
      <c r="D34" s="16"/>
    </row>
    <row r="35" customFormat="false" ht="18" hidden="false" customHeight="true" outlineLevel="0" collapsed="false">
      <c r="A35" s="13" t="s">
        <v>69</v>
      </c>
      <c r="B35" s="13" t="s">
        <v>70</v>
      </c>
      <c r="C35" s="15" t="s">
        <v>57</v>
      </c>
      <c r="D35" s="16" t="n">
        <f aca="false">+'PLANILLA GENERAL DE METRADOS'!K139</f>
        <v>380.86</v>
      </c>
    </row>
    <row r="36" customFormat="false" ht="18" hidden="false" customHeight="true" outlineLevel="0" collapsed="false">
      <c r="A36" s="20" t="s">
        <v>71</v>
      </c>
      <c r="B36" s="20" t="s">
        <v>72</v>
      </c>
      <c r="C36" s="15" t="s">
        <v>60</v>
      </c>
      <c r="D36" s="16" t="n">
        <f aca="false">+'PLANILLA GENERAL DE METRADOS'!K140</f>
        <v>52</v>
      </c>
    </row>
    <row r="37" customFormat="false" ht="18" hidden="false" customHeight="true" outlineLevel="0" collapsed="false">
      <c r="A37" s="20" t="s">
        <v>73</v>
      </c>
      <c r="B37" s="20" t="s">
        <v>74</v>
      </c>
      <c r="C37" s="15" t="s">
        <v>25</v>
      </c>
      <c r="D37" s="16" t="n">
        <f aca="false">+'PLANILLA GENERAL DE METRADOS'!K141</f>
        <v>2.028</v>
      </c>
    </row>
    <row r="38" customFormat="false" ht="29.85" hidden="false" customHeight="false" outlineLevel="0" collapsed="false">
      <c r="A38" s="20" t="s">
        <v>75</v>
      </c>
      <c r="B38" s="20" t="s">
        <v>76</v>
      </c>
      <c r="C38" s="15" t="s">
        <v>18</v>
      </c>
      <c r="D38" s="16" t="n">
        <f aca="false">+'PLANILLA GENERAL DE METRADOS'!K143</f>
        <v>33.8</v>
      </c>
    </row>
    <row r="39" customFormat="false" ht="29.85" hidden="false" customHeight="false" outlineLevel="0" collapsed="false">
      <c r="A39" s="20" t="s">
        <v>77</v>
      </c>
      <c r="B39" s="20" t="s">
        <v>78</v>
      </c>
      <c r="C39" s="15" t="s">
        <v>50</v>
      </c>
      <c r="D39" s="16" t="n">
        <f aca="false">+'PLANILLA GENERAL DE METRADOS'!K146</f>
        <v>291.7824</v>
      </c>
    </row>
    <row r="40" customFormat="false" ht="33" hidden="false" customHeight="true" outlineLevel="0" collapsed="false">
      <c r="A40" s="20" t="s">
        <v>79</v>
      </c>
      <c r="B40" s="20" t="s">
        <v>80</v>
      </c>
      <c r="C40" s="15" t="s">
        <v>57</v>
      </c>
      <c r="D40" s="16" t="n">
        <f aca="false">+'PLANILLA GENERAL DE METRADOS'!K149</f>
        <v>513.98</v>
      </c>
    </row>
    <row r="41" customFormat="false" ht="18" hidden="false" customHeight="true" outlineLevel="0" collapsed="false">
      <c r="A41" s="20" t="s">
        <v>81</v>
      </c>
      <c r="B41" s="20" t="s">
        <v>82</v>
      </c>
      <c r="C41" s="15" t="s">
        <v>60</v>
      </c>
      <c r="D41" s="16" t="n">
        <f aca="false">+'PLANILLA GENERAL DE METRADOS'!K150</f>
        <v>884</v>
      </c>
    </row>
    <row r="42" customFormat="false" ht="21" hidden="false" customHeight="true" outlineLevel="0" collapsed="false">
      <c r="A42" s="20" t="s">
        <v>83</v>
      </c>
      <c r="B42" s="20" t="s">
        <v>84</v>
      </c>
      <c r="C42" s="15" t="s">
        <v>60</v>
      </c>
      <c r="D42" s="16" t="n">
        <f aca="false">+'PLANILLA GENERAL DE METRADOS'!K151</f>
        <v>40</v>
      </c>
    </row>
    <row r="43" customFormat="false" ht="34.5" hidden="false" customHeight="true" outlineLevel="0" collapsed="false">
      <c r="A43" s="20" t="s">
        <v>85</v>
      </c>
      <c r="B43" s="20" t="s">
        <v>86</v>
      </c>
      <c r="C43" s="15" t="s">
        <v>60</v>
      </c>
      <c r="D43" s="16" t="n">
        <f aca="false">+'PLANILLA GENERAL DE METRADOS'!K152</f>
        <v>52</v>
      </c>
    </row>
    <row r="44" customFormat="false" ht="15" hidden="false" customHeight="false" outlineLevel="0" collapsed="false">
      <c r="A44" s="13" t="s">
        <v>87</v>
      </c>
      <c r="B44" s="19" t="s">
        <v>88</v>
      </c>
      <c r="C44" s="15"/>
      <c r="D44" s="16"/>
    </row>
    <row r="45" customFormat="false" ht="15" hidden="false" customHeight="false" outlineLevel="0" collapsed="false">
      <c r="A45" s="13" t="s">
        <v>89</v>
      </c>
      <c r="B45" s="13" t="s">
        <v>90</v>
      </c>
      <c r="C45" s="15" t="s">
        <v>57</v>
      </c>
      <c r="D45" s="16" t="n">
        <f aca="false">+'PLANILLA GENERAL DE METRADOS'!K155</f>
        <v>112.26</v>
      </c>
    </row>
    <row r="46" customFormat="false" ht="15" hidden="false" customHeight="false" outlineLevel="0" collapsed="false">
      <c r="A46" s="13" t="s">
        <v>91</v>
      </c>
      <c r="B46" s="13" t="s">
        <v>92</v>
      </c>
      <c r="C46" s="15" t="s">
        <v>60</v>
      </c>
      <c r="D46" s="16" t="n">
        <f aca="false">+'PLANILLA GENERAL DE METRADOS'!K156</f>
        <v>30</v>
      </c>
    </row>
    <row r="47" customFormat="false" ht="15" hidden="false" customHeight="false" outlineLevel="0" collapsed="false">
      <c r="A47" s="13" t="s">
        <v>93</v>
      </c>
      <c r="B47" s="13" t="s">
        <v>94</v>
      </c>
      <c r="C47" s="15" t="s">
        <v>60</v>
      </c>
      <c r="D47" s="16" t="n">
        <f aca="false">+'PLANILLA GENERAL DE METRADOS'!K157</f>
        <v>24</v>
      </c>
    </row>
    <row r="48" customFormat="false" ht="15" hidden="false" customHeight="false" outlineLevel="0" collapsed="false">
      <c r="A48" s="13" t="s">
        <v>95</v>
      </c>
      <c r="B48" s="13" t="s">
        <v>96</v>
      </c>
      <c r="C48" s="15" t="s">
        <v>60</v>
      </c>
      <c r="D48" s="16" t="n">
        <f aca="false">+'PLANILLA GENERAL DE METRADOS'!K158</f>
        <v>4</v>
      </c>
    </row>
    <row r="49" customFormat="false" ht="15" hidden="false" customHeight="false" outlineLevel="0" collapsed="false">
      <c r="A49" s="13" t="s">
        <v>97</v>
      </c>
      <c r="B49" s="19" t="s">
        <v>98</v>
      </c>
      <c r="C49" s="15"/>
      <c r="D49" s="16"/>
    </row>
    <row r="50" customFormat="false" ht="15" hidden="false" customHeight="false" outlineLevel="0" collapsed="false">
      <c r="A50" s="13" t="s">
        <v>99</v>
      </c>
      <c r="B50" s="13" t="s">
        <v>94</v>
      </c>
      <c r="C50" s="15" t="s">
        <v>60</v>
      </c>
      <c r="D50" s="16" t="n">
        <f aca="false">+'PLANILLA GENERAL DE METRADOS'!K161</f>
        <v>162</v>
      </c>
    </row>
    <row r="51" customFormat="false" ht="15" hidden="false" customHeight="false" outlineLevel="0" collapsed="false">
      <c r="A51" s="13" t="s">
        <v>100</v>
      </c>
      <c r="B51" s="13" t="s">
        <v>101</v>
      </c>
      <c r="C51" s="15" t="s">
        <v>60</v>
      </c>
      <c r="D51" s="16" t="n">
        <f aca="false">+'PLANILLA GENERAL DE METRADOS'!K162</f>
        <v>90</v>
      </c>
    </row>
    <row r="52" customFormat="false" ht="15" hidden="false" customHeight="false" outlineLevel="0" collapsed="false">
      <c r="A52" s="13" t="s">
        <v>102</v>
      </c>
      <c r="B52" s="13" t="s">
        <v>103</v>
      </c>
      <c r="C52" s="15" t="s">
        <v>60</v>
      </c>
      <c r="D52" s="16" t="n">
        <f aca="false">+'PLANILLA GENERAL DE METRADOS'!K163</f>
        <v>70</v>
      </c>
    </row>
    <row r="54" customFormat="false" ht="30.75" hidden="false" customHeight="true" outlineLevel="0" collapsed="false">
      <c r="A54" s="12" t="s">
        <v>104</v>
      </c>
      <c r="B54" s="12" t="s">
        <v>105</v>
      </c>
      <c r="C54" s="12"/>
      <c r="D54" s="12"/>
    </row>
    <row r="55" customFormat="false" ht="15" hidden="false" customHeight="false" outlineLevel="0" collapsed="false">
      <c r="A55" s="12" t="s">
        <v>106</v>
      </c>
      <c r="B55" s="12" t="s">
        <v>15</v>
      </c>
      <c r="C55" s="12"/>
      <c r="D55" s="12"/>
    </row>
    <row r="56" customFormat="false" ht="15" hidden="false" customHeight="false" outlineLevel="0" collapsed="false">
      <c r="A56" s="13" t="s">
        <v>107</v>
      </c>
      <c r="B56" s="14" t="s">
        <v>17</v>
      </c>
      <c r="C56" s="15" t="s">
        <v>18</v>
      </c>
      <c r="D56" s="16" t="n">
        <f aca="false">+'PLANILLA GENERAL DE METRADOS'!K167</f>
        <v>125.854</v>
      </c>
    </row>
    <row r="57" customFormat="false" ht="15" hidden="false" customHeight="false" outlineLevel="0" collapsed="false">
      <c r="A57" s="13" t="s">
        <v>108</v>
      </c>
      <c r="B57" s="14" t="s">
        <v>20</v>
      </c>
      <c r="C57" s="15" t="s">
        <v>18</v>
      </c>
      <c r="D57" s="16" t="n">
        <f aca="false">+'PLANILLA GENERAL DE METRADOS'!K177</f>
        <v>125.854</v>
      </c>
    </row>
    <row r="58" customFormat="false" ht="15" hidden="false" customHeight="false" outlineLevel="0" collapsed="false">
      <c r="A58" s="12" t="s">
        <v>109</v>
      </c>
      <c r="B58" s="12" t="s">
        <v>22</v>
      </c>
      <c r="C58" s="12"/>
      <c r="D58" s="12"/>
    </row>
    <row r="59" customFormat="false" ht="15" hidden="false" customHeight="false" outlineLevel="0" collapsed="false">
      <c r="A59" s="13" t="s">
        <v>110</v>
      </c>
      <c r="B59" s="14" t="s">
        <v>111</v>
      </c>
      <c r="C59" s="15" t="s">
        <v>25</v>
      </c>
      <c r="D59" s="16" t="n">
        <f aca="false">+'PLANILLA GENERAL DE METRADOS'!K188</f>
        <v>164.894376</v>
      </c>
    </row>
    <row r="60" customFormat="false" ht="15" hidden="false" customHeight="false" outlineLevel="0" collapsed="false">
      <c r="A60" s="13" t="s">
        <v>112</v>
      </c>
      <c r="B60" s="14" t="s">
        <v>29</v>
      </c>
      <c r="C60" s="15" t="s">
        <v>18</v>
      </c>
      <c r="D60" s="16" t="n">
        <f aca="false">+'PLANILLA GENERAL DE METRADOS'!K198</f>
        <v>93.938</v>
      </c>
    </row>
    <row r="61" customFormat="false" ht="30.75" hidden="false" customHeight="true" outlineLevel="0" collapsed="false">
      <c r="A61" s="13" t="s">
        <v>113</v>
      </c>
      <c r="B61" s="14" t="s">
        <v>31</v>
      </c>
      <c r="C61" s="15" t="s">
        <v>25</v>
      </c>
      <c r="D61" s="16" t="n">
        <f aca="false">+'PLANILLA GENERAL DE METRADOS'!K208</f>
        <v>82.7733350000001</v>
      </c>
    </row>
    <row r="62" customFormat="false" ht="15" hidden="false" customHeight="false" outlineLevel="0" collapsed="false">
      <c r="A62" s="13" t="s">
        <v>114</v>
      </c>
      <c r="B62" s="14" t="s">
        <v>33</v>
      </c>
      <c r="C62" s="15" t="s">
        <v>25</v>
      </c>
      <c r="D62" s="16" t="n">
        <f aca="false">+'PLANILLA GENERAL DE METRADOS'!K225</f>
        <v>98.5452491999995</v>
      </c>
    </row>
    <row r="63" customFormat="false" ht="15" hidden="false" customHeight="false" outlineLevel="0" collapsed="false">
      <c r="A63" s="12" t="s">
        <v>115</v>
      </c>
      <c r="B63" s="12" t="s">
        <v>35</v>
      </c>
      <c r="C63" s="12"/>
      <c r="D63" s="12"/>
    </row>
    <row r="64" customFormat="false" ht="15" hidden="false" customHeight="false" outlineLevel="0" collapsed="false">
      <c r="A64" s="13" t="s">
        <v>116</v>
      </c>
      <c r="B64" s="14" t="s">
        <v>117</v>
      </c>
      <c r="C64" s="15" t="s">
        <v>18</v>
      </c>
      <c r="D64" s="16" t="n">
        <f aca="false">+'PLANILLA GENERAL DE METRADOS'!K229</f>
        <v>93.938</v>
      </c>
    </row>
    <row r="65" customFormat="false" ht="15" hidden="false" customHeight="false" outlineLevel="0" collapsed="false">
      <c r="A65" s="12" t="s">
        <v>118</v>
      </c>
      <c r="B65" s="12" t="s">
        <v>119</v>
      </c>
      <c r="C65" s="12"/>
      <c r="D65" s="12"/>
    </row>
    <row r="66" customFormat="false" ht="15" hidden="false" customHeight="false" outlineLevel="0" collapsed="false">
      <c r="A66" s="13" t="s">
        <v>120</v>
      </c>
      <c r="B66" s="14" t="s">
        <v>121</v>
      </c>
      <c r="C66" s="15" t="s">
        <v>25</v>
      </c>
      <c r="D66" s="16" t="n">
        <f aca="false">+'PLANILLA GENERAL DE METRADOS'!K240</f>
        <v>58.3136159999999</v>
      </c>
    </row>
    <row r="67" customFormat="false" ht="15" hidden="false" customHeight="false" outlineLevel="0" collapsed="false">
      <c r="A67" s="13" t="s">
        <v>122</v>
      </c>
      <c r="B67" s="14" t="s">
        <v>123</v>
      </c>
      <c r="C67" s="15" t="s">
        <v>18</v>
      </c>
      <c r="D67" s="16" t="n">
        <f aca="false">+'PLANILLA GENERAL DE METRADOS'!K272</f>
        <v>585.231879999998</v>
      </c>
    </row>
    <row r="68" customFormat="false" ht="15" hidden="false" customHeight="false" outlineLevel="0" collapsed="false">
      <c r="A68" s="13" t="s">
        <v>124</v>
      </c>
      <c r="B68" s="14" t="s">
        <v>125</v>
      </c>
      <c r="C68" s="15" t="s">
        <v>50</v>
      </c>
      <c r="D68" s="16" t="n">
        <f aca="false">+'PLANILLA GENERAL DE METRADOS'!K282</f>
        <v>3056.4463751111</v>
      </c>
    </row>
    <row r="69" customFormat="false" ht="15" hidden="false" customHeight="false" outlineLevel="0" collapsed="false">
      <c r="A69" s="13" t="s">
        <v>126</v>
      </c>
      <c r="B69" s="14" t="s">
        <v>127</v>
      </c>
      <c r="C69" s="15" t="s">
        <v>18</v>
      </c>
      <c r="D69" s="16" t="n">
        <f aca="false">+'PLANILLA GENERAL DE METRADOS'!K292</f>
        <v>86.059</v>
      </c>
    </row>
    <row r="70" customFormat="false" ht="15" hidden="false" customHeight="false" outlineLevel="0" collapsed="false">
      <c r="A70" s="13" t="s">
        <v>128</v>
      </c>
      <c r="B70" s="14" t="s">
        <v>129</v>
      </c>
      <c r="C70" s="15" t="s">
        <v>18</v>
      </c>
      <c r="D70" s="16" t="n">
        <f aca="false">+'PLANILLA GENERAL DE METRADOS'!K302</f>
        <v>390.604439999999</v>
      </c>
    </row>
    <row r="71" customFormat="false" ht="15" hidden="false" customHeight="false" outlineLevel="0" collapsed="false">
      <c r="A71" s="12" t="s">
        <v>130</v>
      </c>
      <c r="B71" s="12" t="s">
        <v>131</v>
      </c>
      <c r="C71" s="12"/>
      <c r="D71" s="12"/>
    </row>
    <row r="72" customFormat="false" ht="15" hidden="false" customHeight="false" outlineLevel="0" collapsed="false">
      <c r="A72" s="13" t="s">
        <v>132</v>
      </c>
      <c r="B72" s="14" t="s">
        <v>133</v>
      </c>
      <c r="C72" s="15" t="s">
        <v>60</v>
      </c>
      <c r="D72" s="16" t="n">
        <f aca="false">+'PLANILLA GENERAL DE METRADOS'!K313</f>
        <v>10</v>
      </c>
    </row>
    <row r="73" customFormat="false" ht="15" hidden="false" customHeight="false" outlineLevel="0" collapsed="false">
      <c r="A73" s="12" t="s">
        <v>134</v>
      </c>
      <c r="B73" s="12" t="s">
        <v>135</v>
      </c>
      <c r="C73" s="12"/>
      <c r="D73" s="12"/>
    </row>
    <row r="74" customFormat="false" ht="15" hidden="false" customHeight="false" outlineLevel="0" collapsed="false">
      <c r="A74" s="13" t="s">
        <v>136</v>
      </c>
      <c r="B74" s="14" t="s">
        <v>137</v>
      </c>
      <c r="C74" s="15" t="s">
        <v>57</v>
      </c>
      <c r="D74" s="16" t="n">
        <f aca="false">+'PLANILLA GENERAL DE METRADOS'!K321</f>
        <v>100.64</v>
      </c>
    </row>
    <row r="75" customFormat="false" ht="15" hidden="false" customHeight="false" outlineLevel="0" collapsed="false">
      <c r="A75" s="13" t="s">
        <v>138</v>
      </c>
      <c r="B75" s="14" t="s">
        <v>139</v>
      </c>
      <c r="C75" s="15" t="s">
        <v>57</v>
      </c>
      <c r="D75" s="16" t="n">
        <f aca="false">+'PLANILLA GENERAL DE METRADOS'!K322</f>
        <v>210.979</v>
      </c>
    </row>
  </sheetData>
  <mergeCells count="5">
    <mergeCell ref="A2:D2"/>
    <mergeCell ref="B4:D4"/>
    <mergeCell ref="B5:D5"/>
    <mergeCell ref="B6:D6"/>
    <mergeCell ref="B7:D7"/>
  </mergeCells>
  <printOptions headings="false" gridLines="false" gridLinesSet="true" horizontalCentered="false" verticalCentered="false"/>
  <pageMargins left="0.670138888888889" right="0" top="1.26458333333333" bottom="0.354166666666667" header="0.315277777777778" footer="0.511811023622047"/>
  <pageSetup paperSize="9" scale="65" fitToWidth="1" fitToHeight="1" pageOrder="downThenOver" orientation="portrait" blackAndWhite="false" draft="false" cellComments="none" horizontalDpi="300" verticalDpi="300" copies="1"/>
  <headerFooter>
    <oddHeader>&amp;C&amp;G</oddHeader>
  </headerFooter>
  <legacyDrawingHF r:id="rIdHF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322"/>
  <sheetViews>
    <sheetView showFormulas="false" showGridLines="true" showRowColHeaders="true" showZeros="true" rightToLeft="false" tabSelected="false" showOutlineSymbols="true" defaultGridColor="true" view="normal" topLeftCell="A298" colorId="64" zoomScale="100" zoomScaleNormal="100" zoomScalePageLayoutView="120" workbookViewId="0">
      <selection pane="topLeft" activeCell="B323" activeCellId="0" sqref="B323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20.73"/>
    <col collapsed="false" customWidth="true" hidden="false" outlineLevel="0" max="2" min="2" style="0" width="37.36"/>
    <col collapsed="false" customWidth="true" hidden="false" outlineLevel="0" max="10" min="10" style="0" width="20"/>
  </cols>
  <sheetData>
    <row r="2" customFormat="false" ht="24.7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25.5" hidden="false" customHeight="true" outlineLevel="0" collapsed="false">
      <c r="A3" s="9" t="s">
        <v>1</v>
      </c>
      <c r="B3" s="8" t="str">
        <f aca="false">+RESUMEN!B4</f>
        <v>GERENCIA TERRITORIAL BAJO MAYO - TARAPOTO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58.5" hidden="false" customHeight="true" outlineLevel="0" collapsed="false">
      <c r="A4" s="9" t="s">
        <v>3</v>
      </c>
      <c r="B4" s="8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customFormat="false" ht="25.5" hidden="false" customHeight="true" outlineLevel="0" collapsed="false">
      <c r="A5" s="9" t="s">
        <v>5</v>
      </c>
      <c r="B5" s="8" t="str">
        <f aca="false">+RESUMEN!B6</f>
        <v>SAN MARTIN - SAN MARTIN - MORALES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customFormat="false" ht="25.5" hidden="false" customHeight="true" outlineLevel="0" collapsed="false">
      <c r="A6" s="9" t="s">
        <v>7</v>
      </c>
      <c r="B6" s="10" t="n">
        <f aca="false">+RESUMEN!B7</f>
        <v>46266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4.25" hidden="false" customHeight="fals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customFormat="false" ht="30.75" hidden="false" customHeight="true" outlineLevel="0" collapsed="false">
      <c r="A8" s="22" t="s">
        <v>140</v>
      </c>
      <c r="B8" s="22" t="s">
        <v>141</v>
      </c>
      <c r="C8" s="22" t="s">
        <v>142</v>
      </c>
      <c r="D8" s="22" t="s">
        <v>143</v>
      </c>
      <c r="E8" s="22" t="s">
        <v>144</v>
      </c>
      <c r="F8" s="22" t="s">
        <v>145</v>
      </c>
      <c r="G8" s="22" t="s">
        <v>146</v>
      </c>
      <c r="H8" s="22" t="s">
        <v>147</v>
      </c>
      <c r="I8" s="22" t="s">
        <v>148</v>
      </c>
      <c r="J8" s="22" t="s">
        <v>149</v>
      </c>
      <c r="K8" s="22" t="s">
        <v>150</v>
      </c>
      <c r="L8" s="22" t="s">
        <v>151</v>
      </c>
    </row>
    <row r="9" customFormat="false" ht="15" hidden="false" customHeight="true" outlineLevel="0" collapsed="false">
      <c r="A9" s="23" t="s">
        <v>12</v>
      </c>
      <c r="B9" s="23" t="s">
        <v>13</v>
      </c>
      <c r="C9" s="23"/>
      <c r="D9" s="23"/>
      <c r="E9" s="23"/>
      <c r="F9" s="23"/>
      <c r="G9" s="23"/>
      <c r="H9" s="23"/>
      <c r="I9" s="23"/>
      <c r="J9" s="23"/>
      <c r="K9" s="23"/>
      <c r="L9" s="23"/>
    </row>
    <row r="10" customFormat="false" ht="15" hidden="false" customHeight="true" outlineLevel="0" collapsed="false">
      <c r="A10" s="23" t="s">
        <v>14</v>
      </c>
      <c r="B10" s="23" t="s">
        <v>15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customFormat="false" ht="21.75" hidden="false" customHeight="true" outlineLevel="0" collapsed="false">
      <c r="A11" s="24" t="s">
        <v>16</v>
      </c>
      <c r="B11" s="24" t="s">
        <v>17</v>
      </c>
      <c r="C11" s="25"/>
      <c r="D11" s="25"/>
      <c r="E11" s="25"/>
      <c r="F11" s="25"/>
      <c r="G11" s="25"/>
      <c r="H11" s="25"/>
      <c r="I11" s="25"/>
      <c r="J11" s="25"/>
      <c r="K11" s="25" t="n">
        <f aca="false">SUM(J12:J23)</f>
        <v>956.872</v>
      </c>
      <c r="L11" s="24" t="s">
        <v>18</v>
      </c>
    </row>
    <row r="12" customFormat="false" ht="15" hidden="false" customHeight="true" outlineLevel="0" collapsed="false">
      <c r="A12" s="26"/>
      <c r="B12" s="26" t="s">
        <v>152</v>
      </c>
      <c r="C12" s="27" t="n">
        <v>1</v>
      </c>
      <c r="D12" s="27" t="n">
        <v>37.14</v>
      </c>
      <c r="E12" s="27" t="n">
        <v>1.4</v>
      </c>
      <c r="F12" s="27"/>
      <c r="G12" s="27"/>
      <c r="H12" s="27"/>
      <c r="I12" s="27"/>
      <c r="J12" s="27" t="n">
        <f aca="false">C12*D12*E12</f>
        <v>51.996</v>
      </c>
      <c r="K12" s="27"/>
      <c r="L12" s="26"/>
    </row>
    <row r="13" customFormat="false" ht="15" hidden="false" customHeight="true" outlineLevel="0" collapsed="false">
      <c r="A13" s="26"/>
      <c r="B13" s="26" t="s">
        <v>153</v>
      </c>
      <c r="C13" s="27" t="n">
        <v>1</v>
      </c>
      <c r="D13" s="27" t="n">
        <v>130.85</v>
      </c>
      <c r="E13" s="27" t="n">
        <v>1.4</v>
      </c>
      <c r="F13" s="27"/>
      <c r="G13" s="27"/>
      <c r="H13" s="27"/>
      <c r="I13" s="27"/>
      <c r="J13" s="27" t="n">
        <f aca="false">C13*D13*E13</f>
        <v>183.19</v>
      </c>
      <c r="K13" s="27"/>
      <c r="L13" s="26"/>
    </row>
    <row r="14" customFormat="false" ht="15" hidden="false" customHeight="true" outlineLevel="0" collapsed="false">
      <c r="A14" s="26"/>
      <c r="B14" s="26" t="s">
        <v>154</v>
      </c>
      <c r="C14" s="27" t="n">
        <v>1</v>
      </c>
      <c r="D14" s="27" t="n">
        <v>5.82</v>
      </c>
      <c r="E14" s="27" t="n">
        <v>1.4</v>
      </c>
      <c r="F14" s="27"/>
      <c r="G14" s="27"/>
      <c r="H14" s="27"/>
      <c r="I14" s="27"/>
      <c r="J14" s="27" t="n">
        <f aca="false">C14*D14*E14</f>
        <v>8.148</v>
      </c>
      <c r="K14" s="27"/>
      <c r="L14" s="26"/>
    </row>
    <row r="15" customFormat="false" ht="15" hidden="false" customHeight="true" outlineLevel="0" collapsed="false">
      <c r="A15" s="26"/>
      <c r="B15" s="26" t="s">
        <v>155</v>
      </c>
      <c r="C15" s="27" t="n">
        <v>1</v>
      </c>
      <c r="D15" s="27" t="n">
        <v>8.6</v>
      </c>
      <c r="E15" s="27" t="n">
        <v>1.4</v>
      </c>
      <c r="F15" s="27"/>
      <c r="G15" s="27"/>
      <c r="H15" s="27"/>
      <c r="I15" s="27"/>
      <c r="J15" s="27" t="n">
        <f aca="false">C15*D15*E15</f>
        <v>12.04</v>
      </c>
      <c r="K15" s="27"/>
      <c r="L15" s="26"/>
    </row>
    <row r="16" customFormat="false" ht="15" hidden="false" customHeight="true" outlineLevel="0" collapsed="false">
      <c r="A16" s="26"/>
      <c r="B16" s="26" t="s">
        <v>156</v>
      </c>
      <c r="C16" s="27" t="n">
        <v>1</v>
      </c>
      <c r="D16" s="27" t="n">
        <v>43.23</v>
      </c>
      <c r="E16" s="27" t="n">
        <v>1.4</v>
      </c>
      <c r="F16" s="27"/>
      <c r="G16" s="27"/>
      <c r="H16" s="27"/>
      <c r="I16" s="27"/>
      <c r="J16" s="27" t="n">
        <f aca="false">C16*D16*E16</f>
        <v>60.522</v>
      </c>
      <c r="K16" s="27"/>
      <c r="L16" s="26"/>
    </row>
    <row r="17" customFormat="false" ht="15" hidden="false" customHeight="true" outlineLevel="0" collapsed="false">
      <c r="A17" s="26"/>
      <c r="B17" s="26" t="s">
        <v>157</v>
      </c>
      <c r="C17" s="27" t="n">
        <v>1</v>
      </c>
      <c r="D17" s="27" t="n">
        <v>120.36</v>
      </c>
      <c r="E17" s="27" t="n">
        <v>1.4</v>
      </c>
      <c r="F17" s="27"/>
      <c r="G17" s="27"/>
      <c r="H17" s="27"/>
      <c r="I17" s="27"/>
      <c r="J17" s="27" t="n">
        <f aca="false">C17*D17*E17</f>
        <v>168.504</v>
      </c>
      <c r="K17" s="27"/>
      <c r="L17" s="26"/>
    </row>
    <row r="18" customFormat="false" ht="15" hidden="false" customHeight="true" outlineLevel="0" collapsed="false">
      <c r="A18" s="26"/>
      <c r="B18" s="26" t="s">
        <v>158</v>
      </c>
      <c r="C18" s="27" t="n">
        <v>1</v>
      </c>
      <c r="D18" s="27" t="n">
        <v>125.7</v>
      </c>
      <c r="E18" s="27" t="n">
        <v>1.4</v>
      </c>
      <c r="F18" s="27"/>
      <c r="G18" s="27"/>
      <c r="H18" s="27"/>
      <c r="I18" s="27"/>
      <c r="J18" s="27" t="n">
        <f aca="false">C18*D18*E18</f>
        <v>175.98</v>
      </c>
      <c r="K18" s="27"/>
      <c r="L18" s="26"/>
    </row>
    <row r="19" customFormat="false" ht="15" hidden="false" customHeight="true" outlineLevel="0" collapsed="false">
      <c r="A19" s="26"/>
      <c r="B19" s="26" t="s">
        <v>159</v>
      </c>
      <c r="C19" s="27" t="n">
        <v>1</v>
      </c>
      <c r="D19" s="27" t="n">
        <v>8.2</v>
      </c>
      <c r="E19" s="27" t="n">
        <v>1.4</v>
      </c>
      <c r="F19" s="27"/>
      <c r="G19" s="27"/>
      <c r="H19" s="27"/>
      <c r="I19" s="27"/>
      <c r="J19" s="27" t="n">
        <f aca="false">C19*D19*E19</f>
        <v>11.48</v>
      </c>
      <c r="K19" s="27"/>
      <c r="L19" s="26"/>
    </row>
    <row r="20" customFormat="false" ht="15" hidden="false" customHeight="true" outlineLevel="0" collapsed="false">
      <c r="A20" s="26"/>
      <c r="B20" s="26" t="s">
        <v>160</v>
      </c>
      <c r="C20" s="27" t="n">
        <v>1</v>
      </c>
      <c r="D20" s="27" t="n">
        <v>7</v>
      </c>
      <c r="E20" s="27" t="n">
        <v>1.4</v>
      </c>
      <c r="F20" s="27"/>
      <c r="G20" s="27"/>
      <c r="H20" s="27"/>
      <c r="I20" s="27"/>
      <c r="J20" s="27" t="n">
        <f aca="false">C20*D20*E20</f>
        <v>9.8</v>
      </c>
      <c r="K20" s="27"/>
      <c r="L20" s="26"/>
    </row>
    <row r="21" customFormat="false" ht="15" hidden="false" customHeight="true" outlineLevel="0" collapsed="false">
      <c r="A21" s="26"/>
      <c r="B21" s="26" t="s">
        <v>161</v>
      </c>
      <c r="C21" s="27" t="n">
        <v>1</v>
      </c>
      <c r="D21" s="27" t="n">
        <v>16</v>
      </c>
      <c r="E21" s="27" t="n">
        <v>1.4</v>
      </c>
      <c r="F21" s="27"/>
      <c r="G21" s="27"/>
      <c r="H21" s="27"/>
      <c r="I21" s="27"/>
      <c r="J21" s="27" t="n">
        <f aca="false">C21*D21*E21</f>
        <v>22.4</v>
      </c>
      <c r="K21" s="27"/>
      <c r="L21" s="26"/>
    </row>
    <row r="22" customFormat="false" ht="15" hidden="false" customHeight="true" outlineLevel="0" collapsed="false">
      <c r="A22" s="26"/>
      <c r="B22" s="26" t="s">
        <v>162</v>
      </c>
      <c r="C22" s="27" t="n">
        <v>1</v>
      </c>
      <c r="D22" s="27" t="n">
        <v>71.46</v>
      </c>
      <c r="E22" s="27" t="n">
        <v>1.4</v>
      </c>
      <c r="F22" s="27"/>
      <c r="G22" s="27"/>
      <c r="H22" s="27"/>
      <c r="I22" s="27"/>
      <c r="J22" s="27" t="n">
        <f aca="false">C22*D22*E22</f>
        <v>100.044</v>
      </c>
      <c r="K22" s="27"/>
      <c r="L22" s="26"/>
    </row>
    <row r="23" customFormat="false" ht="15" hidden="false" customHeight="true" outlineLevel="0" collapsed="false">
      <c r="A23" s="26"/>
      <c r="B23" s="26" t="s">
        <v>163</v>
      </c>
      <c r="C23" s="27" t="n">
        <v>1</v>
      </c>
      <c r="D23" s="27" t="n">
        <v>109.12</v>
      </c>
      <c r="E23" s="27" t="n">
        <v>1.4</v>
      </c>
      <c r="F23" s="27"/>
      <c r="G23" s="27"/>
      <c r="H23" s="27"/>
      <c r="I23" s="27"/>
      <c r="J23" s="27" t="n">
        <f aca="false">C23*D23*E23</f>
        <v>152.768</v>
      </c>
      <c r="K23" s="27"/>
      <c r="L23" s="26"/>
    </row>
    <row r="24" customFormat="false" ht="30.75" hidden="false" customHeight="true" outlineLevel="0" collapsed="false">
      <c r="A24" s="24" t="s">
        <v>19</v>
      </c>
      <c r="B24" s="24" t="s">
        <v>20</v>
      </c>
      <c r="C24" s="25"/>
      <c r="D24" s="25"/>
      <c r="E24" s="25"/>
      <c r="F24" s="25"/>
      <c r="G24" s="25"/>
      <c r="H24" s="25"/>
      <c r="I24" s="25"/>
      <c r="J24" s="25"/>
      <c r="K24" s="28" t="n">
        <f aca="false">SUM(J25:J36)</f>
        <v>956.872</v>
      </c>
      <c r="L24" s="24" t="s">
        <v>18</v>
      </c>
    </row>
    <row r="25" customFormat="false" ht="15" hidden="false" customHeight="true" outlineLevel="0" collapsed="false">
      <c r="A25" s="26"/>
      <c r="B25" s="26" t="s">
        <v>152</v>
      </c>
      <c r="C25" s="27" t="n">
        <v>1</v>
      </c>
      <c r="D25" s="27" t="n">
        <v>37.14</v>
      </c>
      <c r="E25" s="27" t="n">
        <v>1.4</v>
      </c>
      <c r="F25" s="27"/>
      <c r="G25" s="27"/>
      <c r="H25" s="27"/>
      <c r="I25" s="27"/>
      <c r="J25" s="27" t="n">
        <f aca="false">C25*D25*E25</f>
        <v>51.996</v>
      </c>
      <c r="K25" s="27"/>
      <c r="L25" s="26"/>
    </row>
    <row r="26" customFormat="false" ht="15" hidden="false" customHeight="true" outlineLevel="0" collapsed="false">
      <c r="A26" s="26"/>
      <c r="B26" s="26" t="s">
        <v>153</v>
      </c>
      <c r="C26" s="27" t="n">
        <v>1</v>
      </c>
      <c r="D26" s="27" t="n">
        <v>130.85</v>
      </c>
      <c r="E26" s="27" t="n">
        <v>1.4</v>
      </c>
      <c r="F26" s="27"/>
      <c r="G26" s="27"/>
      <c r="H26" s="27"/>
      <c r="I26" s="27"/>
      <c r="J26" s="27" t="n">
        <f aca="false">C26*D26*E26</f>
        <v>183.19</v>
      </c>
      <c r="K26" s="27"/>
      <c r="L26" s="26"/>
    </row>
    <row r="27" customFormat="false" ht="15" hidden="false" customHeight="true" outlineLevel="0" collapsed="false">
      <c r="A27" s="26"/>
      <c r="B27" s="26" t="s">
        <v>154</v>
      </c>
      <c r="C27" s="27" t="n">
        <v>1</v>
      </c>
      <c r="D27" s="27" t="n">
        <v>5.82</v>
      </c>
      <c r="E27" s="27" t="n">
        <v>1.4</v>
      </c>
      <c r="F27" s="27"/>
      <c r="G27" s="27"/>
      <c r="H27" s="27"/>
      <c r="I27" s="27"/>
      <c r="J27" s="27" t="n">
        <f aca="false">C27*D27*E27</f>
        <v>8.148</v>
      </c>
      <c r="K27" s="26"/>
      <c r="L27" s="26"/>
    </row>
    <row r="28" customFormat="false" ht="15" hidden="false" customHeight="true" outlineLevel="0" collapsed="false">
      <c r="A28" s="26"/>
      <c r="B28" s="26" t="s">
        <v>155</v>
      </c>
      <c r="C28" s="27" t="n">
        <v>1</v>
      </c>
      <c r="D28" s="27" t="n">
        <v>8.6</v>
      </c>
      <c r="E28" s="27" t="n">
        <v>1.4</v>
      </c>
      <c r="F28" s="27"/>
      <c r="G28" s="27"/>
      <c r="H28" s="27"/>
      <c r="I28" s="27"/>
      <c r="J28" s="27" t="n">
        <f aca="false">C28*D28*E28</f>
        <v>12.04</v>
      </c>
      <c r="K28" s="26"/>
      <c r="L28" s="26"/>
    </row>
    <row r="29" customFormat="false" ht="15" hidden="false" customHeight="true" outlineLevel="0" collapsed="false">
      <c r="A29" s="26"/>
      <c r="B29" s="26" t="s">
        <v>156</v>
      </c>
      <c r="C29" s="27" t="n">
        <v>1</v>
      </c>
      <c r="D29" s="27" t="n">
        <v>43.23</v>
      </c>
      <c r="E29" s="27" t="n">
        <v>1.4</v>
      </c>
      <c r="F29" s="27"/>
      <c r="G29" s="27"/>
      <c r="H29" s="27"/>
      <c r="I29" s="27"/>
      <c r="J29" s="27" t="n">
        <f aca="false">C29*D29*E29</f>
        <v>60.522</v>
      </c>
      <c r="K29" s="26"/>
      <c r="L29" s="26"/>
    </row>
    <row r="30" customFormat="false" ht="15" hidden="false" customHeight="true" outlineLevel="0" collapsed="false">
      <c r="A30" s="26"/>
      <c r="B30" s="26" t="s">
        <v>157</v>
      </c>
      <c r="C30" s="27" t="n">
        <v>1</v>
      </c>
      <c r="D30" s="27" t="n">
        <v>120.36</v>
      </c>
      <c r="E30" s="27" t="n">
        <v>1.4</v>
      </c>
      <c r="F30" s="27"/>
      <c r="G30" s="27"/>
      <c r="H30" s="27"/>
      <c r="I30" s="27"/>
      <c r="J30" s="27" t="n">
        <f aca="false">C30*D30*E30</f>
        <v>168.504</v>
      </c>
      <c r="K30" s="26"/>
      <c r="L30" s="26"/>
    </row>
    <row r="31" customFormat="false" ht="15" hidden="false" customHeight="true" outlineLevel="0" collapsed="false">
      <c r="A31" s="26"/>
      <c r="B31" s="26" t="s">
        <v>158</v>
      </c>
      <c r="C31" s="27" t="n">
        <v>1</v>
      </c>
      <c r="D31" s="27" t="n">
        <v>125.7</v>
      </c>
      <c r="E31" s="27" t="n">
        <v>1.4</v>
      </c>
      <c r="F31" s="27"/>
      <c r="G31" s="27"/>
      <c r="H31" s="27"/>
      <c r="I31" s="27"/>
      <c r="J31" s="27" t="n">
        <f aca="false">C31*D31*E31</f>
        <v>175.98</v>
      </c>
      <c r="K31" s="26"/>
      <c r="L31" s="26"/>
    </row>
    <row r="32" customFormat="false" ht="15" hidden="false" customHeight="true" outlineLevel="0" collapsed="false">
      <c r="A32" s="26"/>
      <c r="B32" s="26" t="s">
        <v>159</v>
      </c>
      <c r="C32" s="27" t="n">
        <v>1</v>
      </c>
      <c r="D32" s="27" t="n">
        <v>8.2</v>
      </c>
      <c r="E32" s="27" t="n">
        <v>1.4</v>
      </c>
      <c r="F32" s="27"/>
      <c r="G32" s="27"/>
      <c r="H32" s="27"/>
      <c r="I32" s="27"/>
      <c r="J32" s="27" t="n">
        <f aca="false">C32*D32*E32</f>
        <v>11.48</v>
      </c>
      <c r="K32" s="26"/>
      <c r="L32" s="26"/>
    </row>
    <row r="33" customFormat="false" ht="15" hidden="false" customHeight="true" outlineLevel="0" collapsed="false">
      <c r="A33" s="26"/>
      <c r="B33" s="26" t="s">
        <v>160</v>
      </c>
      <c r="C33" s="27" t="n">
        <v>1</v>
      </c>
      <c r="D33" s="27" t="n">
        <v>7</v>
      </c>
      <c r="E33" s="27" t="n">
        <v>1.4</v>
      </c>
      <c r="F33" s="27"/>
      <c r="G33" s="27"/>
      <c r="H33" s="27"/>
      <c r="I33" s="27"/>
      <c r="J33" s="27" t="n">
        <f aca="false">C33*D33*E33</f>
        <v>9.8</v>
      </c>
      <c r="K33" s="26"/>
      <c r="L33" s="26"/>
    </row>
    <row r="34" customFormat="false" ht="15" hidden="false" customHeight="true" outlineLevel="0" collapsed="false">
      <c r="A34" s="26"/>
      <c r="B34" s="26" t="s">
        <v>161</v>
      </c>
      <c r="C34" s="27" t="n">
        <v>1</v>
      </c>
      <c r="D34" s="27" t="n">
        <v>16</v>
      </c>
      <c r="E34" s="27" t="n">
        <v>1.4</v>
      </c>
      <c r="F34" s="27"/>
      <c r="G34" s="27"/>
      <c r="H34" s="27"/>
      <c r="I34" s="27"/>
      <c r="J34" s="27" t="n">
        <f aca="false">C34*D34*E34</f>
        <v>22.4</v>
      </c>
      <c r="K34" s="26"/>
      <c r="L34" s="26"/>
    </row>
    <row r="35" customFormat="false" ht="15" hidden="false" customHeight="true" outlineLevel="0" collapsed="false">
      <c r="A35" s="26"/>
      <c r="B35" s="26" t="s">
        <v>162</v>
      </c>
      <c r="C35" s="27" t="n">
        <v>1</v>
      </c>
      <c r="D35" s="27" t="n">
        <v>71.46</v>
      </c>
      <c r="E35" s="27" t="n">
        <v>1.4</v>
      </c>
      <c r="F35" s="27"/>
      <c r="G35" s="27"/>
      <c r="H35" s="27"/>
      <c r="I35" s="27"/>
      <c r="J35" s="27" t="n">
        <f aca="false">C35*D35*E35</f>
        <v>100.044</v>
      </c>
      <c r="K35" s="26"/>
      <c r="L35" s="26"/>
    </row>
    <row r="36" customFormat="false" ht="15" hidden="false" customHeight="true" outlineLevel="0" collapsed="false">
      <c r="A36" s="26"/>
      <c r="B36" s="26" t="s">
        <v>163</v>
      </c>
      <c r="C36" s="27" t="n">
        <v>1</v>
      </c>
      <c r="D36" s="27" t="n">
        <v>109.12</v>
      </c>
      <c r="E36" s="27" t="n">
        <v>1.4</v>
      </c>
      <c r="F36" s="27"/>
      <c r="G36" s="27"/>
      <c r="H36" s="27"/>
      <c r="I36" s="27"/>
      <c r="J36" s="27" t="n">
        <f aca="false">C36*D36*E36</f>
        <v>152.768</v>
      </c>
      <c r="K36" s="26"/>
      <c r="L36" s="26"/>
    </row>
    <row r="37" customFormat="false" ht="15" hidden="false" customHeight="true" outlineLevel="0" collapsed="false">
      <c r="A37" s="23" t="s">
        <v>21</v>
      </c>
      <c r="B37" s="23" t="s">
        <v>22</v>
      </c>
      <c r="C37" s="29"/>
      <c r="D37" s="29"/>
      <c r="E37" s="29"/>
      <c r="F37" s="29"/>
      <c r="G37" s="29"/>
      <c r="H37" s="29"/>
      <c r="I37" s="29"/>
      <c r="J37" s="29"/>
      <c r="K37" s="23"/>
      <c r="L37" s="23"/>
    </row>
    <row r="38" customFormat="false" ht="30.75" hidden="false" customHeight="true" outlineLevel="0" collapsed="false">
      <c r="A38" s="24" t="s">
        <v>23</v>
      </c>
      <c r="B38" s="24" t="s">
        <v>24</v>
      </c>
      <c r="C38" s="25"/>
      <c r="D38" s="25"/>
      <c r="E38" s="25"/>
      <c r="F38" s="25"/>
      <c r="G38" s="25"/>
      <c r="H38" s="25"/>
      <c r="I38" s="25"/>
      <c r="J38" s="25"/>
      <c r="K38" s="25" t="n">
        <f aca="false">SUM(J39:J50)</f>
        <v>619.79764</v>
      </c>
      <c r="L38" s="24" t="s">
        <v>25</v>
      </c>
    </row>
    <row r="39" customFormat="false" ht="15" hidden="false" customHeight="true" outlineLevel="0" collapsed="false">
      <c r="A39" s="26"/>
      <c r="B39" s="26" t="s">
        <v>152</v>
      </c>
      <c r="C39" s="27" t="n">
        <v>1</v>
      </c>
      <c r="D39" s="27" t="n">
        <v>37.14</v>
      </c>
      <c r="E39" s="27" t="n">
        <v>1.4</v>
      </c>
      <c r="F39" s="27" t="n">
        <v>0.4</v>
      </c>
      <c r="G39" s="27"/>
      <c r="H39" s="27"/>
      <c r="I39" s="27"/>
      <c r="J39" s="27" t="n">
        <f aca="false">C39*D39*E39*(F39+PARAMETROS!$B$15)</f>
        <v>25.998</v>
      </c>
      <c r="K39" s="26"/>
      <c r="L39" s="26"/>
    </row>
    <row r="40" customFormat="false" ht="15" hidden="false" customHeight="true" outlineLevel="0" collapsed="false">
      <c r="A40" s="26"/>
      <c r="B40" s="26" t="s">
        <v>153</v>
      </c>
      <c r="C40" s="27" t="n">
        <v>1</v>
      </c>
      <c r="D40" s="27" t="n">
        <v>130.85</v>
      </c>
      <c r="E40" s="27" t="n">
        <v>1.4</v>
      </c>
      <c r="F40" s="27" t="n">
        <v>0.62</v>
      </c>
      <c r="G40" s="27"/>
      <c r="H40" s="27"/>
      <c r="I40" s="27"/>
      <c r="J40" s="27" t="n">
        <f aca="false">C40*D40*E40*(F40+PARAMETROS!$B$15)</f>
        <v>131.8968</v>
      </c>
      <c r="K40" s="26"/>
      <c r="L40" s="26"/>
    </row>
    <row r="41" customFormat="false" ht="15" hidden="false" customHeight="true" outlineLevel="0" collapsed="false">
      <c r="A41" s="26"/>
      <c r="B41" s="26" t="s">
        <v>154</v>
      </c>
      <c r="C41" s="27" t="n">
        <v>1</v>
      </c>
      <c r="D41" s="27" t="n">
        <v>5.82</v>
      </c>
      <c r="E41" s="27" t="n">
        <v>1.4</v>
      </c>
      <c r="F41" s="27" t="n">
        <v>0.3</v>
      </c>
      <c r="G41" s="27"/>
      <c r="H41" s="27"/>
      <c r="I41" s="27"/>
      <c r="J41" s="27" t="n">
        <f aca="false">C41*D41*E41*(F41+PARAMETROS!$B$15)</f>
        <v>3.2592</v>
      </c>
      <c r="K41" s="26"/>
      <c r="L41" s="26"/>
    </row>
    <row r="42" customFormat="false" ht="15" hidden="false" customHeight="true" outlineLevel="0" collapsed="false">
      <c r="A42" s="26"/>
      <c r="B42" s="26" t="s">
        <v>155</v>
      </c>
      <c r="C42" s="27" t="n">
        <v>1</v>
      </c>
      <c r="D42" s="27" t="n">
        <v>8.6</v>
      </c>
      <c r="E42" s="27" t="n">
        <v>1.4</v>
      </c>
      <c r="F42" s="27" t="n">
        <v>0.32</v>
      </c>
      <c r="G42" s="27"/>
      <c r="H42" s="27"/>
      <c r="I42" s="27"/>
      <c r="J42" s="27" t="n">
        <f aca="false">C42*D42*E42*(F42+PARAMETROS!$B$15)</f>
        <v>5.0568</v>
      </c>
      <c r="K42" s="26"/>
      <c r="L42" s="26"/>
    </row>
    <row r="43" customFormat="false" ht="15" hidden="false" customHeight="true" outlineLevel="0" collapsed="false">
      <c r="A43" s="26"/>
      <c r="B43" s="26" t="s">
        <v>156</v>
      </c>
      <c r="C43" s="27" t="n">
        <v>1</v>
      </c>
      <c r="D43" s="27" t="n">
        <v>43.23</v>
      </c>
      <c r="E43" s="27" t="n">
        <v>1.4</v>
      </c>
      <c r="F43" s="27" t="n">
        <v>0.4</v>
      </c>
      <c r="G43" s="27"/>
      <c r="H43" s="27"/>
      <c r="I43" s="27"/>
      <c r="J43" s="27" t="n">
        <f aca="false">C43*D43*E43*(F43+PARAMETROS!$B$15)</f>
        <v>30.261</v>
      </c>
      <c r="K43" s="26"/>
      <c r="L43" s="26"/>
    </row>
    <row r="44" customFormat="false" ht="15" hidden="false" customHeight="true" outlineLevel="0" collapsed="false">
      <c r="A44" s="26"/>
      <c r="B44" s="26" t="s">
        <v>157</v>
      </c>
      <c r="C44" s="27" t="n">
        <v>1</v>
      </c>
      <c r="D44" s="27" t="n">
        <v>120.36</v>
      </c>
      <c r="E44" s="27" t="n">
        <v>1.4</v>
      </c>
      <c r="F44" s="27" t="n">
        <v>0.6</v>
      </c>
      <c r="G44" s="27"/>
      <c r="H44" s="27"/>
      <c r="I44" s="27"/>
      <c r="J44" s="27" t="n">
        <f aca="false">C44*D44*E44*(F44+PARAMETROS!$B$15)</f>
        <v>117.9528</v>
      </c>
      <c r="K44" s="26"/>
      <c r="L44" s="26"/>
    </row>
    <row r="45" customFormat="false" ht="15" hidden="false" customHeight="true" outlineLevel="0" collapsed="false">
      <c r="A45" s="26"/>
      <c r="B45" s="26" t="s">
        <v>158</v>
      </c>
      <c r="C45" s="27" t="n">
        <v>1</v>
      </c>
      <c r="D45" s="27" t="n">
        <v>125.7</v>
      </c>
      <c r="E45" s="27" t="n">
        <v>1.4</v>
      </c>
      <c r="F45" s="27" t="n">
        <v>0.61</v>
      </c>
      <c r="G45" s="27"/>
      <c r="H45" s="27"/>
      <c r="I45" s="27"/>
      <c r="J45" s="27" t="n">
        <f aca="false">C45*D45*E45*(F45+PARAMETROS!$B$15)</f>
        <v>124.9458</v>
      </c>
      <c r="K45" s="26"/>
      <c r="L45" s="26"/>
    </row>
    <row r="46" customFormat="false" ht="15" hidden="false" customHeight="true" outlineLevel="0" collapsed="false">
      <c r="A46" s="26"/>
      <c r="B46" s="26" t="s">
        <v>159</v>
      </c>
      <c r="C46" s="27" t="n">
        <v>1</v>
      </c>
      <c r="D46" s="27" t="n">
        <v>8.2</v>
      </c>
      <c r="E46" s="27" t="n">
        <v>1.4</v>
      </c>
      <c r="F46" s="27" t="n">
        <v>0.42</v>
      </c>
      <c r="G46" s="27"/>
      <c r="H46" s="27"/>
      <c r="I46" s="27"/>
      <c r="J46" s="27" t="n">
        <f aca="false">C46*D46*E46*(F46+PARAMETROS!$B$15)</f>
        <v>5.9696</v>
      </c>
      <c r="K46" s="26"/>
      <c r="L46" s="26"/>
    </row>
    <row r="47" customFormat="false" ht="15" hidden="false" customHeight="true" outlineLevel="0" collapsed="false">
      <c r="A47" s="26"/>
      <c r="B47" s="26" t="s">
        <v>160</v>
      </c>
      <c r="C47" s="27" t="n">
        <v>1</v>
      </c>
      <c r="D47" s="27" t="n">
        <v>7</v>
      </c>
      <c r="E47" s="27" t="n">
        <v>1.4</v>
      </c>
      <c r="F47" s="27" t="n">
        <v>0.41</v>
      </c>
      <c r="G47" s="27"/>
      <c r="H47" s="27"/>
      <c r="I47" s="27"/>
      <c r="J47" s="27" t="n">
        <f aca="false">C47*D47*E47*(F47+PARAMETROS!$B$15)</f>
        <v>4.998</v>
      </c>
      <c r="K47" s="26"/>
      <c r="L47" s="26"/>
    </row>
    <row r="48" customFormat="false" ht="15" hidden="false" customHeight="true" outlineLevel="0" collapsed="false">
      <c r="A48" s="26"/>
      <c r="B48" s="26" t="s">
        <v>161</v>
      </c>
      <c r="C48" s="27" t="n">
        <v>1</v>
      </c>
      <c r="D48" s="27" t="n">
        <v>16</v>
      </c>
      <c r="E48" s="27" t="n">
        <v>1.4</v>
      </c>
      <c r="F48" s="27" t="n">
        <v>0.35</v>
      </c>
      <c r="G48" s="27"/>
      <c r="H48" s="27"/>
      <c r="I48" s="27"/>
      <c r="J48" s="27" t="n">
        <f aca="false">C48*D48*E48*(F48+PARAMETROS!$B$15)</f>
        <v>10.08</v>
      </c>
      <c r="K48" s="26"/>
      <c r="L48" s="26"/>
    </row>
    <row r="49" customFormat="false" ht="15" hidden="false" customHeight="true" outlineLevel="0" collapsed="false">
      <c r="A49" s="26"/>
      <c r="B49" s="26" t="s">
        <v>162</v>
      </c>
      <c r="C49" s="27" t="n">
        <v>1</v>
      </c>
      <c r="D49" s="27" t="n">
        <v>71.46</v>
      </c>
      <c r="E49" s="27" t="n">
        <v>1.4</v>
      </c>
      <c r="F49" s="27" t="n">
        <v>0.47</v>
      </c>
      <c r="G49" s="27"/>
      <c r="H49" s="27"/>
      <c r="I49" s="27"/>
      <c r="J49" s="27" t="n">
        <f aca="false">C49*D49*E49*(F49+PARAMETROS!$B$15)</f>
        <v>57.02508</v>
      </c>
      <c r="K49" s="26"/>
      <c r="L49" s="26"/>
    </row>
    <row r="50" customFormat="false" ht="15" hidden="false" customHeight="true" outlineLevel="0" collapsed="false">
      <c r="A50" s="26"/>
      <c r="B50" s="26" t="s">
        <v>163</v>
      </c>
      <c r="C50" s="27" t="n">
        <v>1</v>
      </c>
      <c r="D50" s="27" t="n">
        <v>109.12</v>
      </c>
      <c r="E50" s="27" t="n">
        <v>1.4</v>
      </c>
      <c r="F50" s="27" t="n">
        <v>0.57</v>
      </c>
      <c r="G50" s="27"/>
      <c r="H50" s="27"/>
      <c r="I50" s="27"/>
      <c r="J50" s="27" t="n">
        <f aca="false">C50*D50*E50*(F50+PARAMETROS!$B$15)</f>
        <v>102.35456</v>
      </c>
      <c r="K50" s="26"/>
      <c r="L50" s="26"/>
    </row>
    <row r="51" customFormat="false" ht="30.75" hidden="false" customHeight="true" outlineLevel="0" collapsed="false">
      <c r="A51" s="24" t="s">
        <v>26</v>
      </c>
      <c r="B51" s="24" t="s">
        <v>27</v>
      </c>
      <c r="C51" s="25" t="n">
        <v>52</v>
      </c>
      <c r="D51" s="25"/>
      <c r="E51" s="25"/>
      <c r="F51" s="25"/>
      <c r="G51" s="25"/>
      <c r="H51" s="25"/>
      <c r="I51" s="25"/>
      <c r="J51" s="25"/>
      <c r="K51" s="25" t="n">
        <f aca="false">J52*C51</f>
        <v>2.912</v>
      </c>
      <c r="L51" s="24" t="s">
        <v>25</v>
      </c>
    </row>
    <row r="52" customFormat="false" ht="15" hidden="false" customHeight="true" outlineLevel="0" collapsed="false">
      <c r="A52" s="26"/>
      <c r="B52" s="26" t="s">
        <v>164</v>
      </c>
      <c r="C52" s="27"/>
      <c r="D52" s="27" t="n">
        <v>0.4</v>
      </c>
      <c r="E52" s="27" t="n">
        <v>0.35</v>
      </c>
      <c r="F52" s="27" t="n">
        <v>0.4</v>
      </c>
      <c r="G52" s="27"/>
      <c r="H52" s="27"/>
      <c r="I52" s="27"/>
      <c r="J52" s="30" t="n">
        <f aca="false">D52*E52*F52</f>
        <v>0.056</v>
      </c>
      <c r="K52" s="26"/>
      <c r="L52" s="26"/>
    </row>
    <row r="53" customFormat="false" ht="15" hidden="false" customHeight="true" outlineLevel="0" collapsed="false">
      <c r="A53" s="26"/>
      <c r="B53" s="26"/>
      <c r="C53" s="27"/>
      <c r="D53" s="27"/>
      <c r="E53" s="27"/>
      <c r="F53" s="27"/>
      <c r="G53" s="27"/>
      <c r="H53" s="27"/>
      <c r="I53" s="27"/>
      <c r="J53" s="27"/>
      <c r="K53" s="26"/>
      <c r="L53" s="26"/>
    </row>
    <row r="54" customFormat="false" ht="46.5" hidden="false" customHeight="true" outlineLevel="0" collapsed="false">
      <c r="A54" s="24" t="s">
        <v>28</v>
      </c>
      <c r="B54" s="24" t="s">
        <v>29</v>
      </c>
      <c r="C54" s="25"/>
      <c r="D54" s="25"/>
      <c r="E54" s="25"/>
      <c r="F54" s="25"/>
      <c r="G54" s="25"/>
      <c r="H54" s="25"/>
      <c r="I54" s="25"/>
      <c r="J54" s="25"/>
      <c r="K54" s="25" t="n">
        <f aca="false">SUM(J55:J66)</f>
        <v>410.088</v>
      </c>
      <c r="L54" s="24" t="s">
        <v>18</v>
      </c>
    </row>
    <row r="55" customFormat="false" ht="15" hidden="false" customHeight="true" outlineLevel="0" collapsed="false">
      <c r="A55" s="26"/>
      <c r="B55" s="26" t="s">
        <v>152</v>
      </c>
      <c r="C55" s="27" t="n">
        <v>1</v>
      </c>
      <c r="D55" s="27" t="n">
        <v>37.14</v>
      </c>
      <c r="E55" s="27" t="n">
        <v>0.6</v>
      </c>
      <c r="F55" s="27"/>
      <c r="G55" s="27"/>
      <c r="H55" s="27"/>
      <c r="I55" s="27"/>
      <c r="J55" s="27" t="n">
        <f aca="false">C55*D55*E55</f>
        <v>22.284</v>
      </c>
      <c r="K55" s="26"/>
      <c r="L55" s="26"/>
    </row>
    <row r="56" customFormat="false" ht="15" hidden="false" customHeight="true" outlineLevel="0" collapsed="false">
      <c r="A56" s="26"/>
      <c r="B56" s="26" t="s">
        <v>153</v>
      </c>
      <c r="C56" s="27" t="n">
        <v>1</v>
      </c>
      <c r="D56" s="27" t="n">
        <v>130.85</v>
      </c>
      <c r="E56" s="27" t="n">
        <v>0.6</v>
      </c>
      <c r="F56" s="27"/>
      <c r="G56" s="27"/>
      <c r="H56" s="27"/>
      <c r="I56" s="27"/>
      <c r="J56" s="27" t="n">
        <f aca="false">C56*D56*E56</f>
        <v>78.51</v>
      </c>
      <c r="K56" s="26"/>
      <c r="L56" s="26"/>
    </row>
    <row r="57" customFormat="false" ht="15" hidden="false" customHeight="true" outlineLevel="0" collapsed="false">
      <c r="A57" s="26"/>
      <c r="B57" s="26" t="s">
        <v>154</v>
      </c>
      <c r="C57" s="27" t="n">
        <v>1</v>
      </c>
      <c r="D57" s="27" t="n">
        <v>5.82</v>
      </c>
      <c r="E57" s="27" t="n">
        <v>0.6</v>
      </c>
      <c r="F57" s="27"/>
      <c r="G57" s="27"/>
      <c r="H57" s="27"/>
      <c r="I57" s="27"/>
      <c r="J57" s="27" t="n">
        <f aca="false">C57*D57*E57</f>
        <v>3.492</v>
      </c>
      <c r="K57" s="26"/>
      <c r="L57" s="26"/>
    </row>
    <row r="58" customFormat="false" ht="15" hidden="false" customHeight="true" outlineLevel="0" collapsed="false">
      <c r="A58" s="26"/>
      <c r="B58" s="26" t="s">
        <v>155</v>
      </c>
      <c r="C58" s="27" t="n">
        <v>1</v>
      </c>
      <c r="D58" s="27" t="n">
        <v>8.6</v>
      </c>
      <c r="E58" s="27" t="n">
        <v>0.6</v>
      </c>
      <c r="F58" s="27"/>
      <c r="G58" s="27"/>
      <c r="H58" s="27"/>
      <c r="I58" s="27"/>
      <c r="J58" s="27" t="n">
        <f aca="false">C58*D58*E58</f>
        <v>5.16</v>
      </c>
      <c r="K58" s="26"/>
      <c r="L58" s="26"/>
    </row>
    <row r="59" customFormat="false" ht="15" hidden="false" customHeight="true" outlineLevel="0" collapsed="false">
      <c r="A59" s="26"/>
      <c r="B59" s="26" t="s">
        <v>156</v>
      </c>
      <c r="C59" s="27" t="n">
        <v>1</v>
      </c>
      <c r="D59" s="27" t="n">
        <v>43.23</v>
      </c>
      <c r="E59" s="27" t="n">
        <v>0.6</v>
      </c>
      <c r="F59" s="27"/>
      <c r="G59" s="27"/>
      <c r="H59" s="27"/>
      <c r="I59" s="27"/>
      <c r="J59" s="27" t="n">
        <f aca="false">C59*D59*E59</f>
        <v>25.938</v>
      </c>
      <c r="K59" s="26"/>
      <c r="L59" s="26"/>
    </row>
    <row r="60" customFormat="false" ht="15" hidden="false" customHeight="true" outlineLevel="0" collapsed="false">
      <c r="A60" s="26"/>
      <c r="B60" s="26" t="s">
        <v>157</v>
      </c>
      <c r="C60" s="27" t="n">
        <v>1</v>
      </c>
      <c r="D60" s="27" t="n">
        <v>120.36</v>
      </c>
      <c r="E60" s="27" t="n">
        <v>0.6</v>
      </c>
      <c r="F60" s="27"/>
      <c r="G60" s="27"/>
      <c r="H60" s="27"/>
      <c r="I60" s="27"/>
      <c r="J60" s="27" t="n">
        <f aca="false">C60*D60*E60</f>
        <v>72.216</v>
      </c>
      <c r="K60" s="26"/>
      <c r="L60" s="26"/>
    </row>
    <row r="61" customFormat="false" ht="15" hidden="false" customHeight="true" outlineLevel="0" collapsed="false">
      <c r="A61" s="26"/>
      <c r="B61" s="26" t="s">
        <v>158</v>
      </c>
      <c r="C61" s="27" t="n">
        <v>1</v>
      </c>
      <c r="D61" s="27" t="n">
        <v>125.7</v>
      </c>
      <c r="E61" s="27" t="n">
        <v>0.6</v>
      </c>
      <c r="F61" s="27"/>
      <c r="G61" s="27"/>
      <c r="H61" s="27"/>
      <c r="I61" s="27"/>
      <c r="J61" s="27" t="n">
        <f aca="false">C61*D61*E61</f>
        <v>75.42</v>
      </c>
      <c r="K61" s="26"/>
      <c r="L61" s="26"/>
    </row>
    <row r="62" s="31" customFormat="true" ht="15" hidden="false" customHeight="true" outlineLevel="0" collapsed="false">
      <c r="A62" s="26"/>
      <c r="B62" s="26" t="s">
        <v>159</v>
      </c>
      <c r="C62" s="27" t="n">
        <v>1</v>
      </c>
      <c r="D62" s="27" t="n">
        <v>8.2</v>
      </c>
      <c r="E62" s="27" t="n">
        <v>0.6</v>
      </c>
      <c r="F62" s="27"/>
      <c r="G62" s="27"/>
      <c r="H62" s="27"/>
      <c r="I62" s="27"/>
      <c r="J62" s="27" t="n">
        <f aca="false">C62*D62*E62</f>
        <v>4.92</v>
      </c>
      <c r="K62" s="26"/>
      <c r="L62" s="26"/>
    </row>
    <row r="63" customFormat="false" ht="15" hidden="false" customHeight="true" outlineLevel="0" collapsed="false">
      <c r="A63" s="26"/>
      <c r="B63" s="26" t="s">
        <v>160</v>
      </c>
      <c r="C63" s="27" t="n">
        <v>1</v>
      </c>
      <c r="D63" s="27" t="n">
        <v>7</v>
      </c>
      <c r="E63" s="27" t="n">
        <v>0.6</v>
      </c>
      <c r="F63" s="27"/>
      <c r="G63" s="27"/>
      <c r="H63" s="27"/>
      <c r="I63" s="27"/>
      <c r="J63" s="27" t="n">
        <f aca="false">C63*D63*E63</f>
        <v>4.2</v>
      </c>
      <c r="K63" s="26"/>
      <c r="L63" s="26"/>
    </row>
    <row r="64" customFormat="false" ht="15" hidden="false" customHeight="true" outlineLevel="0" collapsed="false">
      <c r="A64" s="26"/>
      <c r="B64" s="26" t="s">
        <v>161</v>
      </c>
      <c r="C64" s="27" t="n">
        <v>1</v>
      </c>
      <c r="D64" s="27" t="n">
        <v>16</v>
      </c>
      <c r="E64" s="27" t="n">
        <v>0.6</v>
      </c>
      <c r="F64" s="27"/>
      <c r="G64" s="27"/>
      <c r="H64" s="27"/>
      <c r="I64" s="27"/>
      <c r="J64" s="27" t="n">
        <f aca="false">C64*D64*E64</f>
        <v>9.6</v>
      </c>
      <c r="K64" s="26"/>
      <c r="L64" s="26"/>
    </row>
    <row r="65" customFormat="false" ht="15" hidden="false" customHeight="true" outlineLevel="0" collapsed="false">
      <c r="A65" s="26"/>
      <c r="B65" s="26" t="s">
        <v>162</v>
      </c>
      <c r="C65" s="27" t="n">
        <v>1</v>
      </c>
      <c r="D65" s="27" t="n">
        <v>71.46</v>
      </c>
      <c r="E65" s="27" t="n">
        <v>0.6</v>
      </c>
      <c r="F65" s="27"/>
      <c r="G65" s="27"/>
      <c r="H65" s="27"/>
      <c r="I65" s="27"/>
      <c r="J65" s="27" t="n">
        <f aca="false">C65*D65*E65</f>
        <v>42.876</v>
      </c>
      <c r="K65" s="26"/>
      <c r="L65" s="26"/>
    </row>
    <row r="66" customFormat="false" ht="15" hidden="false" customHeight="true" outlineLevel="0" collapsed="false">
      <c r="A66" s="26"/>
      <c r="B66" s="26" t="s">
        <v>163</v>
      </c>
      <c r="C66" s="27" t="n">
        <v>1</v>
      </c>
      <c r="D66" s="27" t="n">
        <v>109.12</v>
      </c>
      <c r="E66" s="27" t="n">
        <v>0.6</v>
      </c>
      <c r="F66" s="27"/>
      <c r="G66" s="27"/>
      <c r="H66" s="27"/>
      <c r="I66" s="27"/>
      <c r="J66" s="27" t="n">
        <f aca="false">C66*D66*E66</f>
        <v>65.472</v>
      </c>
      <c r="K66" s="26"/>
      <c r="L66" s="26"/>
    </row>
    <row r="67" customFormat="false" ht="30.75" hidden="false" customHeight="true" outlineLevel="0" collapsed="false">
      <c r="A67" s="24" t="s">
        <v>30</v>
      </c>
      <c r="B67" s="24" t="s">
        <v>31</v>
      </c>
      <c r="C67" s="25"/>
      <c r="D67" s="25"/>
      <c r="E67" s="25"/>
      <c r="F67" s="25"/>
      <c r="G67" s="25"/>
      <c r="H67" s="25"/>
      <c r="I67" s="25"/>
      <c r="J67" s="25"/>
      <c r="K67" s="25" t="n">
        <f aca="false">SUM(J68:J79)</f>
        <v>343.77408</v>
      </c>
      <c r="L67" s="24" t="s">
        <v>25</v>
      </c>
    </row>
    <row r="68" customFormat="false" ht="15" hidden="false" customHeight="true" outlineLevel="0" collapsed="false">
      <c r="A68" s="26"/>
      <c r="B68" s="26" t="s">
        <v>152</v>
      </c>
      <c r="C68" s="27" t="n">
        <v>1</v>
      </c>
      <c r="D68" s="27" t="n">
        <v>37.14</v>
      </c>
      <c r="E68" s="27" t="n">
        <v>0.8</v>
      </c>
      <c r="F68" s="27" t="n">
        <v>0.41</v>
      </c>
      <c r="G68" s="27"/>
      <c r="H68" s="27"/>
      <c r="I68" s="27"/>
      <c r="J68" s="27" t="n">
        <f aca="false">C68*D68*E68*(F68+PARAMETROS!$B$15)</f>
        <v>15.15312</v>
      </c>
      <c r="K68" s="26"/>
      <c r="L68" s="26"/>
    </row>
    <row r="69" customFormat="false" ht="15" hidden="false" customHeight="true" outlineLevel="0" collapsed="false">
      <c r="A69" s="26"/>
      <c r="B69" s="26" t="s">
        <v>153</v>
      </c>
      <c r="C69" s="27" t="n">
        <v>1</v>
      </c>
      <c r="D69" s="27" t="n">
        <v>130.85</v>
      </c>
      <c r="E69" s="27" t="n">
        <v>0.8</v>
      </c>
      <c r="F69" s="27" t="n">
        <v>0.65</v>
      </c>
      <c r="G69" s="27"/>
      <c r="H69" s="27"/>
      <c r="I69" s="27"/>
      <c r="J69" s="27" t="n">
        <f aca="false">C69*D69*E69*(F69+PARAMETROS!$B$15)</f>
        <v>78.51</v>
      </c>
      <c r="K69" s="26"/>
      <c r="L69" s="26"/>
    </row>
    <row r="70" customFormat="false" ht="15" hidden="false" customHeight="true" outlineLevel="0" collapsed="false">
      <c r="A70" s="26"/>
      <c r="B70" s="26" t="s">
        <v>154</v>
      </c>
      <c r="C70" s="27" t="n">
        <v>1</v>
      </c>
      <c r="D70" s="27" t="n">
        <v>5.82</v>
      </c>
      <c r="E70" s="27" t="n">
        <v>0.8</v>
      </c>
      <c r="F70" s="27" t="n">
        <v>0.37</v>
      </c>
      <c r="G70" s="27"/>
      <c r="H70" s="27"/>
      <c r="I70" s="27"/>
      <c r="J70" s="27" t="n">
        <f aca="false">C70*D70*E70*(F70+PARAMETROS!$B$15)</f>
        <v>2.18832</v>
      </c>
      <c r="K70" s="26"/>
      <c r="L70" s="26"/>
    </row>
    <row r="71" customFormat="false" ht="15" hidden="false" customHeight="true" outlineLevel="0" collapsed="false">
      <c r="A71" s="26"/>
      <c r="B71" s="26" t="s">
        <v>155</v>
      </c>
      <c r="C71" s="27" t="n">
        <v>1</v>
      </c>
      <c r="D71" s="27" t="n">
        <v>8.6</v>
      </c>
      <c r="E71" s="27" t="n">
        <v>0.8</v>
      </c>
      <c r="F71" s="27" t="n">
        <v>0.33</v>
      </c>
      <c r="G71" s="27"/>
      <c r="H71" s="27"/>
      <c r="I71" s="27"/>
      <c r="J71" s="27" t="n">
        <f aca="false">C71*D71*E71*(F71+PARAMETROS!$B$15)</f>
        <v>2.9584</v>
      </c>
      <c r="K71" s="26"/>
      <c r="L71" s="26"/>
    </row>
    <row r="72" customFormat="false" ht="15" hidden="false" customHeight="true" outlineLevel="0" collapsed="false">
      <c r="A72" s="26"/>
      <c r="B72" s="26" t="s">
        <v>156</v>
      </c>
      <c r="C72" s="27" t="n">
        <v>1</v>
      </c>
      <c r="D72" s="27" t="n">
        <v>43.23</v>
      </c>
      <c r="E72" s="27" t="n">
        <v>0.8</v>
      </c>
      <c r="F72" s="27" t="n">
        <v>0.37</v>
      </c>
      <c r="G72" s="27"/>
      <c r="H72" s="27"/>
      <c r="I72" s="27"/>
      <c r="J72" s="27" t="n">
        <f aca="false">C72*D72*E72*(F72+PARAMETROS!$B$15)</f>
        <v>16.25448</v>
      </c>
      <c r="K72" s="26"/>
      <c r="L72" s="26"/>
    </row>
    <row r="73" customFormat="false" ht="15" hidden="false" customHeight="true" outlineLevel="0" collapsed="false">
      <c r="A73" s="26"/>
      <c r="B73" s="26" t="s">
        <v>157</v>
      </c>
      <c r="C73" s="27" t="n">
        <v>1</v>
      </c>
      <c r="D73" s="27" t="n">
        <v>120.36</v>
      </c>
      <c r="E73" s="27" t="n">
        <v>0.8</v>
      </c>
      <c r="F73" s="27" t="n">
        <v>0.56</v>
      </c>
      <c r="G73" s="27"/>
      <c r="H73" s="27"/>
      <c r="I73" s="27"/>
      <c r="J73" s="27" t="n">
        <f aca="false">C73*D73*E73*(F73+PARAMETROS!$B$15)</f>
        <v>63.55008</v>
      </c>
      <c r="K73" s="26"/>
      <c r="L73" s="26"/>
    </row>
    <row r="74" customFormat="false" ht="15" hidden="false" customHeight="true" outlineLevel="0" collapsed="false">
      <c r="A74" s="26"/>
      <c r="B74" s="26" t="s">
        <v>158</v>
      </c>
      <c r="C74" s="27" t="n">
        <v>1</v>
      </c>
      <c r="D74" s="27" t="n">
        <v>125.7</v>
      </c>
      <c r="E74" s="27" t="n">
        <v>0.8</v>
      </c>
      <c r="F74" s="27" t="n">
        <v>0.62</v>
      </c>
      <c r="G74" s="27"/>
      <c r="H74" s="27"/>
      <c r="I74" s="27"/>
      <c r="J74" s="27" t="n">
        <f aca="false">C74*D74*E74*(F74+PARAMETROS!$B$15)</f>
        <v>72.4032</v>
      </c>
      <c r="K74" s="26"/>
      <c r="L74" s="26"/>
    </row>
    <row r="75" customFormat="false" ht="15" hidden="false" customHeight="true" outlineLevel="0" collapsed="false">
      <c r="A75" s="26"/>
      <c r="B75" s="26" t="s">
        <v>159</v>
      </c>
      <c r="C75" s="27" t="n">
        <v>1</v>
      </c>
      <c r="D75" s="27" t="n">
        <v>8.2</v>
      </c>
      <c r="E75" s="27" t="n">
        <v>0.8</v>
      </c>
      <c r="F75" s="27" t="n">
        <v>0.35</v>
      </c>
      <c r="G75" s="27"/>
      <c r="H75" s="27"/>
      <c r="I75" s="27"/>
      <c r="J75" s="27" t="n">
        <f aca="false">C75*D75*E75*(F75+PARAMETROS!$B$15)</f>
        <v>2.952</v>
      </c>
      <c r="K75" s="26"/>
      <c r="L75" s="26"/>
    </row>
    <row r="76" customFormat="false" ht="15" hidden="false" customHeight="true" outlineLevel="0" collapsed="false">
      <c r="A76" s="26"/>
      <c r="B76" s="26" t="s">
        <v>160</v>
      </c>
      <c r="C76" s="27" t="n">
        <v>1</v>
      </c>
      <c r="D76" s="27" t="n">
        <v>7</v>
      </c>
      <c r="E76" s="27" t="n">
        <v>0.8</v>
      </c>
      <c r="F76" s="27" t="n">
        <v>0.45</v>
      </c>
      <c r="G76" s="27"/>
      <c r="H76" s="27"/>
      <c r="I76" s="27"/>
      <c r="J76" s="27" t="n">
        <f aca="false">C76*D76*E76*(F76+PARAMETROS!$B$15)</f>
        <v>3.08</v>
      </c>
      <c r="K76" s="26"/>
      <c r="L76" s="26"/>
    </row>
    <row r="77" customFormat="false" ht="15" hidden="false" customHeight="true" outlineLevel="0" collapsed="false">
      <c r="A77" s="26"/>
      <c r="B77" s="26" t="s">
        <v>161</v>
      </c>
      <c r="C77" s="27" t="n">
        <v>1</v>
      </c>
      <c r="D77" s="27" t="n">
        <v>16</v>
      </c>
      <c r="E77" s="27" t="n">
        <v>0.8</v>
      </c>
      <c r="F77" s="27" t="n">
        <v>0.55</v>
      </c>
      <c r="G77" s="27"/>
      <c r="H77" s="27"/>
      <c r="I77" s="27"/>
      <c r="J77" s="27" t="n">
        <f aca="false">C77*D77*E77*(F77+PARAMETROS!$B$15)</f>
        <v>8.32</v>
      </c>
      <c r="K77" s="26"/>
      <c r="L77" s="26"/>
    </row>
    <row r="78" customFormat="false" ht="15" hidden="false" customHeight="true" outlineLevel="0" collapsed="false">
      <c r="A78" s="26"/>
      <c r="B78" s="26" t="s">
        <v>162</v>
      </c>
      <c r="C78" s="27" t="n">
        <v>1</v>
      </c>
      <c r="D78" s="27" t="n">
        <v>71.46</v>
      </c>
      <c r="E78" s="27" t="n">
        <v>0.8</v>
      </c>
      <c r="F78" s="27" t="n">
        <v>0.34</v>
      </c>
      <c r="G78" s="27"/>
      <c r="H78" s="27"/>
      <c r="I78" s="27"/>
      <c r="J78" s="27" t="n">
        <f aca="false">C78*D78*E78*(F78+PARAMETROS!$B$15)</f>
        <v>25.15392</v>
      </c>
      <c r="K78" s="26"/>
      <c r="L78" s="26"/>
    </row>
    <row r="79" customFormat="false" ht="15" hidden="false" customHeight="true" outlineLevel="0" collapsed="false">
      <c r="A79" s="26"/>
      <c r="B79" s="26" t="s">
        <v>163</v>
      </c>
      <c r="C79" s="27" t="n">
        <v>1</v>
      </c>
      <c r="D79" s="27" t="n">
        <v>109.12</v>
      </c>
      <c r="E79" s="27" t="n">
        <v>0.8</v>
      </c>
      <c r="F79" s="27" t="n">
        <v>0.51</v>
      </c>
      <c r="G79" s="27"/>
      <c r="H79" s="27"/>
      <c r="I79" s="27"/>
      <c r="J79" s="27" t="n">
        <f aca="false">C79*D79*E79*(F79+PARAMETROS!$B$15)</f>
        <v>53.25056</v>
      </c>
      <c r="K79" s="26"/>
      <c r="L79" s="26"/>
    </row>
    <row r="80" customFormat="false" ht="30.75" hidden="false" customHeight="true" outlineLevel="0" collapsed="false">
      <c r="A80" s="24" t="s">
        <v>32</v>
      </c>
      <c r="B80" s="24" t="s">
        <v>33</v>
      </c>
      <c r="C80" s="25"/>
      <c r="D80" s="25"/>
      <c r="E80" s="25"/>
      <c r="F80" s="25"/>
      <c r="G80" s="27" t="n">
        <f aca="false">PARAMETROS!$B$16</f>
        <v>1.2</v>
      </c>
      <c r="H80" s="25"/>
      <c r="I80" s="25"/>
      <c r="J80" s="25"/>
      <c r="K80" s="25" t="n">
        <f aca="false">(J81+J82)*G80</f>
        <v>331.228272</v>
      </c>
      <c r="L80" s="24" t="s">
        <v>25</v>
      </c>
    </row>
    <row r="81" customFormat="false" ht="30.75" hidden="false" customHeight="true" outlineLevel="0" collapsed="false">
      <c r="A81" s="26"/>
      <c r="B81" s="26" t="s">
        <v>165</v>
      </c>
      <c r="C81" s="27"/>
      <c r="D81" s="27"/>
      <c r="E81" s="27"/>
      <c r="F81" s="27"/>
      <c r="G81" s="27" t="n">
        <v>1</v>
      </c>
      <c r="H81" s="27"/>
      <c r="I81" s="27" t="n">
        <f aca="false">+K38</f>
        <v>619.79764</v>
      </c>
      <c r="J81" s="27" t="n">
        <f aca="false">G81*I81</f>
        <v>619.79764</v>
      </c>
      <c r="K81" s="26"/>
      <c r="L81" s="26"/>
    </row>
    <row r="82" customFormat="false" ht="30.75" hidden="false" customHeight="true" outlineLevel="0" collapsed="false">
      <c r="A82" s="26"/>
      <c r="B82" s="26" t="s">
        <v>166</v>
      </c>
      <c r="C82" s="27"/>
      <c r="D82" s="27"/>
      <c r="E82" s="27"/>
      <c r="F82" s="27"/>
      <c r="G82" s="27" t="n">
        <v>-1</v>
      </c>
      <c r="H82" s="27"/>
      <c r="I82" s="27" t="n">
        <f aca="false">+K67</f>
        <v>343.77408</v>
      </c>
      <c r="J82" s="27" t="n">
        <f aca="false">G82*I82</f>
        <v>-343.77408</v>
      </c>
      <c r="K82" s="26"/>
      <c r="L82" s="26"/>
    </row>
    <row r="83" customFormat="false" ht="15" hidden="false" customHeight="true" outlineLevel="0" collapsed="false">
      <c r="A83" s="23" t="s">
        <v>34</v>
      </c>
      <c r="B83" s="23" t="s">
        <v>35</v>
      </c>
      <c r="C83" s="29"/>
      <c r="D83" s="29"/>
      <c r="E83" s="29"/>
      <c r="F83" s="29"/>
      <c r="G83" s="29"/>
      <c r="H83" s="29"/>
      <c r="I83" s="29"/>
      <c r="J83" s="29"/>
      <c r="K83" s="23"/>
      <c r="L83" s="23"/>
    </row>
    <row r="84" customFormat="false" ht="30.75" hidden="false" customHeight="true" outlineLevel="0" collapsed="false">
      <c r="A84" s="24" t="s">
        <v>36</v>
      </c>
      <c r="B84" s="24" t="s">
        <v>37</v>
      </c>
      <c r="C84" s="25"/>
      <c r="D84" s="25"/>
      <c r="E84" s="25"/>
      <c r="F84" s="25"/>
      <c r="G84" s="25"/>
      <c r="H84" s="25"/>
      <c r="I84" s="25"/>
      <c r="J84" s="25"/>
      <c r="K84" s="25" t="n">
        <f aca="false">SUM(J85:J96)</f>
        <v>410.088</v>
      </c>
      <c r="L84" s="24" t="s">
        <v>18</v>
      </c>
    </row>
    <row r="85" customFormat="false" ht="15" hidden="false" customHeight="true" outlineLevel="0" collapsed="false">
      <c r="A85" s="26"/>
      <c r="B85" s="26" t="s">
        <v>152</v>
      </c>
      <c r="C85" s="27" t="n">
        <v>1</v>
      </c>
      <c r="D85" s="27" t="n">
        <v>37.14</v>
      </c>
      <c r="E85" s="27" t="n">
        <v>0.6</v>
      </c>
      <c r="F85" s="27"/>
      <c r="G85" s="27"/>
      <c r="H85" s="27"/>
      <c r="I85" s="27"/>
      <c r="J85" s="27" t="n">
        <f aca="false">C85*D85*E85</f>
        <v>22.284</v>
      </c>
      <c r="K85" s="26"/>
      <c r="L85" s="26"/>
    </row>
    <row r="86" customFormat="false" ht="15" hidden="false" customHeight="true" outlineLevel="0" collapsed="false">
      <c r="A86" s="26"/>
      <c r="B86" s="26" t="s">
        <v>153</v>
      </c>
      <c r="C86" s="27" t="n">
        <v>1</v>
      </c>
      <c r="D86" s="27" t="n">
        <v>130.85</v>
      </c>
      <c r="E86" s="27" t="n">
        <v>0.6</v>
      </c>
      <c r="F86" s="27"/>
      <c r="G86" s="27"/>
      <c r="H86" s="27"/>
      <c r="I86" s="27"/>
      <c r="J86" s="27" t="n">
        <f aca="false">C86*D86*E86</f>
        <v>78.51</v>
      </c>
      <c r="K86" s="26"/>
      <c r="L86" s="26"/>
    </row>
    <row r="87" customFormat="false" ht="15" hidden="false" customHeight="true" outlineLevel="0" collapsed="false">
      <c r="A87" s="26"/>
      <c r="B87" s="26" t="s">
        <v>154</v>
      </c>
      <c r="C87" s="27" t="n">
        <v>1</v>
      </c>
      <c r="D87" s="27" t="n">
        <v>5.82</v>
      </c>
      <c r="E87" s="27" t="n">
        <v>0.6</v>
      </c>
      <c r="F87" s="27"/>
      <c r="G87" s="27"/>
      <c r="H87" s="27"/>
      <c r="I87" s="27"/>
      <c r="J87" s="27" t="n">
        <f aca="false">C87*D87*E87</f>
        <v>3.492</v>
      </c>
      <c r="K87" s="26"/>
      <c r="L87" s="26"/>
    </row>
    <row r="88" customFormat="false" ht="15" hidden="false" customHeight="true" outlineLevel="0" collapsed="false">
      <c r="A88" s="26"/>
      <c r="B88" s="26" t="s">
        <v>155</v>
      </c>
      <c r="C88" s="27" t="n">
        <v>1</v>
      </c>
      <c r="D88" s="27" t="n">
        <v>8.6</v>
      </c>
      <c r="E88" s="27" t="n">
        <v>0.6</v>
      </c>
      <c r="F88" s="27"/>
      <c r="G88" s="27"/>
      <c r="H88" s="27"/>
      <c r="I88" s="27"/>
      <c r="J88" s="27" t="n">
        <f aca="false">C88*D88*E88</f>
        <v>5.16</v>
      </c>
      <c r="K88" s="26"/>
      <c r="L88" s="26"/>
    </row>
    <row r="89" customFormat="false" ht="15" hidden="false" customHeight="true" outlineLevel="0" collapsed="false">
      <c r="A89" s="26"/>
      <c r="B89" s="26" t="s">
        <v>156</v>
      </c>
      <c r="C89" s="27" t="n">
        <v>1</v>
      </c>
      <c r="D89" s="27" t="n">
        <v>43.23</v>
      </c>
      <c r="E89" s="27" t="n">
        <v>0.6</v>
      </c>
      <c r="F89" s="27"/>
      <c r="G89" s="27"/>
      <c r="H89" s="27"/>
      <c r="I89" s="27"/>
      <c r="J89" s="27" t="n">
        <f aca="false">C89*D89*E89</f>
        <v>25.938</v>
      </c>
      <c r="K89" s="26"/>
      <c r="L89" s="26"/>
    </row>
    <row r="90" customFormat="false" ht="15" hidden="false" customHeight="true" outlineLevel="0" collapsed="false">
      <c r="A90" s="26"/>
      <c r="B90" s="26" t="s">
        <v>157</v>
      </c>
      <c r="C90" s="27" t="n">
        <v>1</v>
      </c>
      <c r="D90" s="27" t="n">
        <v>120.36</v>
      </c>
      <c r="E90" s="27" t="n">
        <v>0.6</v>
      </c>
      <c r="F90" s="27"/>
      <c r="G90" s="27"/>
      <c r="H90" s="27"/>
      <c r="I90" s="27"/>
      <c r="J90" s="27" t="n">
        <f aca="false">C90*D90*E90</f>
        <v>72.216</v>
      </c>
      <c r="K90" s="26"/>
      <c r="L90" s="26"/>
    </row>
    <row r="91" customFormat="false" ht="15" hidden="false" customHeight="true" outlineLevel="0" collapsed="false">
      <c r="A91" s="26"/>
      <c r="B91" s="26" t="s">
        <v>158</v>
      </c>
      <c r="C91" s="27" t="n">
        <v>1</v>
      </c>
      <c r="D91" s="27" t="n">
        <v>125.7</v>
      </c>
      <c r="E91" s="27" t="n">
        <v>0.6</v>
      </c>
      <c r="F91" s="27"/>
      <c r="G91" s="27"/>
      <c r="H91" s="27"/>
      <c r="I91" s="27"/>
      <c r="J91" s="27" t="n">
        <f aca="false">C91*D91*E91</f>
        <v>75.42</v>
      </c>
      <c r="K91" s="26"/>
      <c r="L91" s="26"/>
    </row>
    <row r="92" customFormat="false" ht="15" hidden="false" customHeight="true" outlineLevel="0" collapsed="false">
      <c r="A92" s="26"/>
      <c r="B92" s="26" t="s">
        <v>159</v>
      </c>
      <c r="C92" s="27" t="n">
        <v>1</v>
      </c>
      <c r="D92" s="27" t="n">
        <v>8.2</v>
      </c>
      <c r="E92" s="27" t="n">
        <v>0.6</v>
      </c>
      <c r="F92" s="27"/>
      <c r="G92" s="27"/>
      <c r="H92" s="27"/>
      <c r="I92" s="27"/>
      <c r="J92" s="27" t="n">
        <f aca="false">C92*D92*E92</f>
        <v>4.92</v>
      </c>
      <c r="K92" s="26"/>
      <c r="L92" s="26"/>
    </row>
    <row r="93" customFormat="false" ht="15" hidden="false" customHeight="true" outlineLevel="0" collapsed="false">
      <c r="A93" s="26"/>
      <c r="B93" s="26" t="s">
        <v>160</v>
      </c>
      <c r="C93" s="27" t="n">
        <v>1</v>
      </c>
      <c r="D93" s="27" t="n">
        <v>7</v>
      </c>
      <c r="E93" s="27" t="n">
        <v>0.6</v>
      </c>
      <c r="F93" s="27"/>
      <c r="G93" s="27"/>
      <c r="H93" s="27"/>
      <c r="I93" s="27"/>
      <c r="J93" s="27" t="n">
        <f aca="false">C93*D93*E93</f>
        <v>4.2</v>
      </c>
      <c r="K93" s="26"/>
      <c r="L93" s="26"/>
    </row>
    <row r="94" customFormat="false" ht="15" hidden="false" customHeight="true" outlineLevel="0" collapsed="false">
      <c r="A94" s="26"/>
      <c r="B94" s="26" t="s">
        <v>161</v>
      </c>
      <c r="C94" s="27" t="n">
        <v>1</v>
      </c>
      <c r="D94" s="27" t="n">
        <v>16</v>
      </c>
      <c r="E94" s="27" t="n">
        <v>0.6</v>
      </c>
      <c r="F94" s="27"/>
      <c r="G94" s="27"/>
      <c r="H94" s="27"/>
      <c r="I94" s="27"/>
      <c r="J94" s="27" t="n">
        <f aca="false">C94*D94*E94</f>
        <v>9.6</v>
      </c>
      <c r="K94" s="26"/>
      <c r="L94" s="26"/>
    </row>
    <row r="95" customFormat="false" ht="15" hidden="false" customHeight="true" outlineLevel="0" collapsed="false">
      <c r="A95" s="26"/>
      <c r="B95" s="26" t="s">
        <v>162</v>
      </c>
      <c r="C95" s="27" t="n">
        <v>1</v>
      </c>
      <c r="D95" s="27" t="n">
        <v>71.46</v>
      </c>
      <c r="E95" s="27" t="n">
        <v>0.6</v>
      </c>
      <c r="F95" s="27"/>
      <c r="G95" s="27"/>
      <c r="H95" s="27"/>
      <c r="I95" s="27"/>
      <c r="J95" s="27" t="n">
        <f aca="false">C95*D95*E95</f>
        <v>42.876</v>
      </c>
      <c r="K95" s="26"/>
      <c r="L95" s="26"/>
    </row>
    <row r="96" customFormat="false" ht="15" hidden="false" customHeight="true" outlineLevel="0" collapsed="false">
      <c r="A96" s="26"/>
      <c r="B96" s="26" t="s">
        <v>163</v>
      </c>
      <c r="C96" s="27" t="n">
        <v>1</v>
      </c>
      <c r="D96" s="27" t="n">
        <v>109.12</v>
      </c>
      <c r="E96" s="27" t="n">
        <v>0.6</v>
      </c>
      <c r="F96" s="27"/>
      <c r="G96" s="27"/>
      <c r="H96" s="27"/>
      <c r="I96" s="27"/>
      <c r="J96" s="27" t="n">
        <f aca="false">C96*D96*E96</f>
        <v>65.472</v>
      </c>
      <c r="K96" s="26"/>
      <c r="L96" s="26"/>
    </row>
    <row r="97" customFormat="false" ht="30.75" hidden="false" customHeight="true" outlineLevel="0" collapsed="false">
      <c r="A97" s="24" t="s">
        <v>38</v>
      </c>
      <c r="B97" s="24" t="s">
        <v>39</v>
      </c>
      <c r="C97" s="25" t="n">
        <v>52</v>
      </c>
      <c r="D97" s="25"/>
      <c r="E97" s="25"/>
      <c r="F97" s="25"/>
      <c r="G97" s="25"/>
      <c r="H97" s="25"/>
      <c r="I97" s="25"/>
      <c r="J97" s="25"/>
      <c r="K97" s="25" t="n">
        <f aca="false">J98*C97</f>
        <v>2.912</v>
      </c>
      <c r="L97" s="24" t="s">
        <v>25</v>
      </c>
    </row>
    <row r="98" customFormat="false" ht="20.25" hidden="false" customHeight="true" outlineLevel="0" collapsed="false">
      <c r="A98" s="32"/>
      <c r="B98" s="32" t="s">
        <v>164</v>
      </c>
      <c r="C98" s="33"/>
      <c r="D98" s="33" t="n">
        <v>0.4</v>
      </c>
      <c r="E98" s="33" t="n">
        <v>0.35</v>
      </c>
      <c r="F98" s="33" t="n">
        <v>0.4</v>
      </c>
      <c r="G98" s="33"/>
      <c r="H98" s="33"/>
      <c r="I98" s="33"/>
      <c r="J98" s="33" t="n">
        <f aca="false">D98*E98*F98</f>
        <v>0.056</v>
      </c>
      <c r="K98" s="33"/>
      <c r="L98" s="32"/>
    </row>
    <row r="99" customFormat="false" ht="20.25" hidden="false" customHeight="true" outlineLevel="0" collapsed="false">
      <c r="A99" s="23" t="s">
        <v>40</v>
      </c>
      <c r="B99" s="23" t="s">
        <v>41</v>
      </c>
      <c r="C99" s="29"/>
      <c r="D99" s="29"/>
      <c r="E99" s="29"/>
      <c r="F99" s="29"/>
      <c r="G99" s="29"/>
      <c r="H99" s="29"/>
      <c r="I99" s="29"/>
      <c r="J99" s="29"/>
      <c r="K99" s="29"/>
      <c r="L99" s="23"/>
    </row>
    <row r="100" customFormat="false" ht="15" hidden="false" customHeight="true" outlineLevel="0" collapsed="false">
      <c r="A100" s="34" t="s">
        <v>42</v>
      </c>
      <c r="B100" s="34" t="s">
        <v>43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customFormat="false" ht="30.75" hidden="false" customHeight="true" outlineLevel="0" collapsed="false">
      <c r="A101" s="24" t="s">
        <v>44</v>
      </c>
      <c r="B101" s="24" t="s">
        <v>45</v>
      </c>
      <c r="C101" s="25"/>
      <c r="D101" s="25"/>
      <c r="E101" s="25"/>
      <c r="F101" s="25"/>
      <c r="G101" s="25"/>
      <c r="H101" s="25"/>
      <c r="I101" s="25"/>
      <c r="J101" s="25"/>
      <c r="K101" s="25" t="n">
        <f aca="false">SUM(J102:J113)</f>
        <v>122.6458</v>
      </c>
      <c r="L101" s="24" t="s">
        <v>25</v>
      </c>
    </row>
    <row r="102" customFormat="false" ht="15" hidden="false" customHeight="true" outlineLevel="0" collapsed="false">
      <c r="A102" s="26"/>
      <c r="B102" s="26" t="s">
        <v>152</v>
      </c>
      <c r="C102" s="27" t="n">
        <v>1</v>
      </c>
      <c r="D102" s="27"/>
      <c r="E102" s="27"/>
      <c r="F102" s="27"/>
      <c r="G102" s="27"/>
      <c r="H102" s="27"/>
      <c r="I102" s="27"/>
      <c r="J102" s="27" t="n">
        <f aca="false">+'CONCRETO EN CUNETAS'!G10</f>
        <v>5.3508</v>
      </c>
      <c r="K102" s="27"/>
      <c r="L102" s="26"/>
    </row>
    <row r="103" customFormat="false" ht="15" hidden="false" customHeight="true" outlineLevel="0" collapsed="false">
      <c r="A103" s="26"/>
      <c r="B103" s="26" t="s">
        <v>153</v>
      </c>
      <c r="C103" s="27" t="n">
        <v>1</v>
      </c>
      <c r="D103" s="27"/>
      <c r="E103" s="27"/>
      <c r="F103" s="27"/>
      <c r="G103" s="27"/>
      <c r="H103" s="27"/>
      <c r="I103" s="27"/>
      <c r="J103" s="27" t="n">
        <f aca="false">+'CONCRETO EN CUNETAS'!G22</f>
        <v>25.4146</v>
      </c>
      <c r="K103" s="27"/>
      <c r="L103" s="26"/>
    </row>
    <row r="104" customFormat="false" ht="15" hidden="false" customHeight="true" outlineLevel="0" collapsed="false">
      <c r="A104" s="26"/>
      <c r="B104" s="26" t="s">
        <v>154</v>
      </c>
      <c r="C104" s="27" t="n">
        <v>1</v>
      </c>
      <c r="D104" s="27"/>
      <c r="E104" s="27"/>
      <c r="F104" s="27"/>
      <c r="G104" s="27"/>
      <c r="H104" s="27"/>
      <c r="I104" s="27"/>
      <c r="J104" s="27" t="n">
        <f aca="false">+'CONCRETO EN CUNETAS'!G34</f>
        <v>0.7152</v>
      </c>
      <c r="K104" s="27"/>
      <c r="L104" s="26"/>
    </row>
    <row r="105" customFormat="false" ht="15" hidden="false" customHeight="true" outlineLevel="0" collapsed="false">
      <c r="A105" s="26"/>
      <c r="B105" s="26" t="s">
        <v>155</v>
      </c>
      <c r="C105" s="27" t="n">
        <v>1</v>
      </c>
      <c r="D105" s="27"/>
      <c r="E105" s="27"/>
      <c r="F105" s="27"/>
      <c r="G105" s="27"/>
      <c r="H105" s="27"/>
      <c r="I105" s="27"/>
      <c r="J105" s="27" t="n">
        <f aca="false">+'CONCRETO EN CUNETAS'!G46</f>
        <v>1.068</v>
      </c>
      <c r="K105" s="27"/>
      <c r="L105" s="26"/>
    </row>
    <row r="106" customFormat="false" ht="15" hidden="false" customHeight="true" outlineLevel="0" collapsed="false">
      <c r="A106" s="26"/>
      <c r="B106" s="26" t="s">
        <v>156</v>
      </c>
      <c r="C106" s="27" t="n">
        <v>1</v>
      </c>
      <c r="D106" s="27"/>
      <c r="E106" s="27"/>
      <c r="F106" s="27"/>
      <c r="G106" s="27"/>
      <c r="H106" s="27"/>
      <c r="I106" s="27"/>
      <c r="J106" s="27" t="n">
        <f aca="false">+'CONCRETO EN CUNETAS'!G58</f>
        <v>6.4758</v>
      </c>
      <c r="K106" s="27"/>
      <c r="L106" s="26"/>
    </row>
    <row r="107" customFormat="false" ht="15" hidden="false" customHeight="true" outlineLevel="0" collapsed="false">
      <c r="A107" s="26"/>
      <c r="B107" s="26" t="s">
        <v>157</v>
      </c>
      <c r="C107" s="27" t="n">
        <v>1</v>
      </c>
      <c r="D107" s="27"/>
      <c r="E107" s="27"/>
      <c r="F107" s="27"/>
      <c r="G107" s="27"/>
      <c r="H107" s="27"/>
      <c r="I107" s="27"/>
      <c r="J107" s="27" t="n">
        <f aca="false">+'CONCRETO EN CUNETAS'!G70</f>
        <v>22.7196</v>
      </c>
      <c r="K107" s="27"/>
      <c r="L107" s="26"/>
    </row>
    <row r="108" customFormat="false" ht="15" hidden="false" customHeight="true" outlineLevel="0" collapsed="false">
      <c r="A108" s="26"/>
      <c r="B108" s="26" t="s">
        <v>158</v>
      </c>
      <c r="C108" s="27" t="n">
        <v>1</v>
      </c>
      <c r="D108" s="27"/>
      <c r="E108" s="27"/>
      <c r="F108" s="27"/>
      <c r="G108" s="27"/>
      <c r="H108" s="27"/>
      <c r="I108" s="27"/>
      <c r="J108" s="27" t="n">
        <f aca="false">+'CONCRETO EN CUNETAS'!O10</f>
        <v>23.9066</v>
      </c>
      <c r="K108" s="27"/>
      <c r="L108" s="26"/>
    </row>
    <row r="109" customFormat="false" ht="15" hidden="false" customHeight="true" outlineLevel="0" collapsed="false">
      <c r="A109" s="26"/>
      <c r="B109" s="26" t="s">
        <v>159</v>
      </c>
      <c r="C109" s="27" t="n">
        <v>1</v>
      </c>
      <c r="D109" s="27"/>
      <c r="E109" s="27"/>
      <c r="F109" s="27"/>
      <c r="G109" s="27"/>
      <c r="H109" s="27"/>
      <c r="I109" s="27"/>
      <c r="J109" s="27" t="n">
        <f aca="false">+'CONCRETO EN CUNETAS'!O22</f>
        <v>1.508</v>
      </c>
      <c r="K109" s="27"/>
      <c r="L109" s="26"/>
    </row>
    <row r="110" customFormat="false" ht="15" hidden="false" customHeight="true" outlineLevel="0" collapsed="false">
      <c r="A110" s="26"/>
      <c r="B110" s="26" t="s">
        <v>160</v>
      </c>
      <c r="C110" s="27" t="n">
        <v>1</v>
      </c>
      <c r="D110" s="27"/>
      <c r="E110" s="27"/>
      <c r="F110" s="27"/>
      <c r="G110" s="27"/>
      <c r="H110" s="27"/>
      <c r="I110" s="27"/>
      <c r="J110" s="27" t="n">
        <f aca="false">+'CONCRETO EN CUNETAS'!O34</f>
        <v>1.284</v>
      </c>
      <c r="K110" s="27"/>
      <c r="L110" s="26"/>
    </row>
    <row r="111" customFormat="false" ht="15" hidden="false" customHeight="true" outlineLevel="0" collapsed="false">
      <c r="A111" s="26"/>
      <c r="B111" s="26" t="s">
        <v>161</v>
      </c>
      <c r="C111" s="27" t="n">
        <v>1</v>
      </c>
      <c r="D111" s="27"/>
      <c r="E111" s="27"/>
      <c r="F111" s="27"/>
      <c r="G111" s="27"/>
      <c r="H111" s="27"/>
      <c r="I111" s="27"/>
      <c r="J111" s="27" t="n">
        <f aca="false">+'CONCRETO EN CUNETAS'!O46</f>
        <v>2.048</v>
      </c>
      <c r="K111" s="27"/>
      <c r="L111" s="26"/>
    </row>
    <row r="112" customFormat="false" ht="15" hidden="false" customHeight="true" outlineLevel="0" collapsed="false">
      <c r="A112" s="26"/>
      <c r="B112" s="26" t="s">
        <v>162</v>
      </c>
      <c r="C112" s="27" t="n">
        <v>1</v>
      </c>
      <c r="D112" s="27"/>
      <c r="E112" s="27"/>
      <c r="F112" s="27"/>
      <c r="G112" s="27"/>
      <c r="H112" s="27"/>
      <c r="I112" s="27"/>
      <c r="J112" s="27" t="n">
        <f aca="false">+'CONCRETO EN CUNETAS'!O58</f>
        <v>11.4096</v>
      </c>
      <c r="K112" s="27"/>
      <c r="L112" s="26"/>
    </row>
    <row r="113" customFormat="false" ht="15" hidden="false" customHeight="true" outlineLevel="0" collapsed="false">
      <c r="A113" s="26"/>
      <c r="B113" s="26" t="s">
        <v>163</v>
      </c>
      <c r="C113" s="27" t="n">
        <v>1</v>
      </c>
      <c r="D113" s="27"/>
      <c r="E113" s="27"/>
      <c r="F113" s="27"/>
      <c r="G113" s="27"/>
      <c r="H113" s="27"/>
      <c r="I113" s="27"/>
      <c r="J113" s="27" t="n">
        <f aca="false">+'CONCRETO EN CUNETAS'!O70</f>
        <v>20.7456</v>
      </c>
      <c r="K113" s="27"/>
      <c r="L113" s="26"/>
    </row>
    <row r="114" customFormat="false" ht="30.75" hidden="false" customHeight="true" outlineLevel="0" collapsed="false">
      <c r="A114" s="24" t="s">
        <v>46</v>
      </c>
      <c r="B114" s="24" t="s">
        <v>47</v>
      </c>
      <c r="C114" s="25"/>
      <c r="D114" s="25"/>
      <c r="E114" s="25"/>
      <c r="F114" s="25"/>
      <c r="G114" s="25"/>
      <c r="H114" s="25"/>
      <c r="I114" s="25"/>
      <c r="J114" s="25"/>
      <c r="K114" s="25" t="n">
        <f aca="false">SUM(J115:J126)</f>
        <v>1661.96</v>
      </c>
      <c r="L114" s="24" t="s">
        <v>18</v>
      </c>
    </row>
    <row r="115" customFormat="false" ht="15" hidden="false" customHeight="true" outlineLevel="0" collapsed="false">
      <c r="A115" s="26"/>
      <c r="B115" s="26" t="s">
        <v>152</v>
      </c>
      <c r="C115" s="27" t="n">
        <v>1</v>
      </c>
      <c r="D115" s="27"/>
      <c r="E115" s="27"/>
      <c r="F115" s="27"/>
      <c r="G115" s="27"/>
      <c r="H115" s="27"/>
      <c r="I115" s="27"/>
      <c r="J115" s="27" t="n">
        <f aca="false">+'ENCOFRADO Y DESENCOFRADO'!H12</f>
        <v>66.796</v>
      </c>
      <c r="K115" s="27"/>
      <c r="L115" s="26"/>
    </row>
    <row r="116" customFormat="false" ht="15" hidden="false" customHeight="true" outlineLevel="0" collapsed="false">
      <c r="A116" s="26"/>
      <c r="B116" s="26" t="s">
        <v>153</v>
      </c>
      <c r="C116" s="27" t="n">
        <v>1</v>
      </c>
      <c r="D116" s="27"/>
      <c r="E116" s="27"/>
      <c r="F116" s="27"/>
      <c r="G116" s="27"/>
      <c r="H116" s="27"/>
      <c r="I116" s="27"/>
      <c r="J116" s="27" t="n">
        <f aca="false">+'ENCOFRADO Y DESENCOFRADO'!P12</f>
        <v>358.444</v>
      </c>
      <c r="K116" s="27"/>
      <c r="L116" s="26"/>
    </row>
    <row r="117" customFormat="false" ht="15" hidden="false" customHeight="true" outlineLevel="0" collapsed="false">
      <c r="A117" s="26"/>
      <c r="B117" s="26" t="s">
        <v>154</v>
      </c>
      <c r="C117" s="27" t="n">
        <v>1</v>
      </c>
      <c r="D117" s="27"/>
      <c r="E117" s="27"/>
      <c r="F117" s="27"/>
      <c r="G117" s="27"/>
      <c r="H117" s="27"/>
      <c r="I117" s="27"/>
      <c r="J117" s="27" t="n">
        <f aca="false">+'ENCOFRADO Y DESENCOFRADO'!H23</f>
        <v>8.48</v>
      </c>
      <c r="K117" s="27"/>
      <c r="L117" s="26"/>
    </row>
    <row r="118" customFormat="false" ht="15" hidden="false" customHeight="true" outlineLevel="0" collapsed="false">
      <c r="A118" s="26"/>
      <c r="B118" s="26" t="s">
        <v>155</v>
      </c>
      <c r="C118" s="27" t="n">
        <v>1</v>
      </c>
      <c r="D118" s="27"/>
      <c r="E118" s="27"/>
      <c r="F118" s="27"/>
      <c r="G118" s="27"/>
      <c r="H118" s="27"/>
      <c r="I118" s="27"/>
      <c r="J118" s="27" t="n">
        <f aca="false">+'ENCOFRADO Y DESENCOFRADO'!P23</f>
        <v>12.76</v>
      </c>
      <c r="K118" s="27"/>
      <c r="L118" s="26"/>
    </row>
    <row r="119" customFormat="false" ht="15" hidden="false" customHeight="true" outlineLevel="0" collapsed="false">
      <c r="A119" s="26"/>
      <c r="B119" s="26" t="s">
        <v>156</v>
      </c>
      <c r="C119" s="27" t="n">
        <v>1</v>
      </c>
      <c r="D119" s="27"/>
      <c r="E119" s="27"/>
      <c r="F119" s="27"/>
      <c r="G119" s="27"/>
      <c r="H119" s="27"/>
      <c r="I119" s="27"/>
      <c r="J119" s="27" t="n">
        <f aca="false">+'ENCOFRADO Y DESENCOFRADO'!H34</f>
        <v>80.36</v>
      </c>
      <c r="K119" s="27"/>
      <c r="L119" s="26"/>
    </row>
    <row r="120" customFormat="false" ht="15" hidden="false" customHeight="true" outlineLevel="0" collapsed="false">
      <c r="A120" s="26"/>
      <c r="B120" s="26" t="s">
        <v>157</v>
      </c>
      <c r="C120" s="27" t="n">
        <v>1</v>
      </c>
      <c r="D120" s="27"/>
      <c r="E120" s="27"/>
      <c r="F120" s="27"/>
      <c r="G120" s="27"/>
      <c r="H120" s="27"/>
      <c r="I120" s="27"/>
      <c r="J120" s="27" t="n">
        <f aca="false">+'ENCOFRADO Y DESENCOFRADO'!P34</f>
        <v>318.54</v>
      </c>
      <c r="K120" s="27"/>
      <c r="L120" s="26"/>
    </row>
    <row r="121" customFormat="false" ht="15" hidden="false" customHeight="true" outlineLevel="0" collapsed="false">
      <c r="A121" s="26"/>
      <c r="B121" s="26" t="s">
        <v>158</v>
      </c>
      <c r="C121" s="27" t="n">
        <v>1</v>
      </c>
      <c r="D121" s="27"/>
      <c r="E121" s="27"/>
      <c r="F121" s="27"/>
      <c r="G121" s="27"/>
      <c r="H121" s="27"/>
      <c r="I121" s="27"/>
      <c r="J121" s="27" t="n">
        <f aca="false">+'ENCOFRADO Y DESENCOFRADO'!H45</f>
        <v>337.7</v>
      </c>
      <c r="K121" s="27"/>
      <c r="L121" s="26"/>
    </row>
    <row r="122" customFormat="false" ht="15" hidden="false" customHeight="true" outlineLevel="0" collapsed="false">
      <c r="A122" s="26"/>
      <c r="B122" s="26" t="s">
        <v>159</v>
      </c>
      <c r="C122" s="27" t="n">
        <v>1</v>
      </c>
      <c r="D122" s="27"/>
      <c r="E122" s="27"/>
      <c r="F122" s="27"/>
      <c r="G122" s="27"/>
      <c r="H122" s="27"/>
      <c r="I122" s="27"/>
      <c r="J122" s="27" t="n">
        <f aca="false">+'ENCOFRADO Y DESENCOFRADO'!P45</f>
        <v>17.04</v>
      </c>
      <c r="K122" s="27"/>
      <c r="L122" s="26"/>
    </row>
    <row r="123" customFormat="false" ht="15" hidden="false" customHeight="true" outlineLevel="0" collapsed="false">
      <c r="A123" s="26"/>
      <c r="B123" s="26" t="s">
        <v>160</v>
      </c>
      <c r="C123" s="27" t="n">
        <v>1</v>
      </c>
      <c r="D123" s="27"/>
      <c r="E123" s="27"/>
      <c r="F123" s="27"/>
      <c r="G123" s="27"/>
      <c r="H123" s="27"/>
      <c r="I123" s="27"/>
      <c r="J123" s="27" t="n">
        <f aca="false">+'ENCOFRADO Y DESENCOFRADO'!H57</f>
        <v>14.48</v>
      </c>
      <c r="K123" s="27"/>
      <c r="L123" s="26"/>
    </row>
    <row r="124" customFormat="false" ht="15" hidden="false" customHeight="true" outlineLevel="0" collapsed="false">
      <c r="A124" s="26"/>
      <c r="B124" s="26" t="s">
        <v>161</v>
      </c>
      <c r="C124" s="27" t="n">
        <v>1</v>
      </c>
      <c r="D124" s="27"/>
      <c r="E124" s="27"/>
      <c r="F124" s="27"/>
      <c r="G124" s="27"/>
      <c r="H124" s="27"/>
      <c r="I124" s="27"/>
      <c r="J124" s="27" t="n">
        <f aca="false">+'ENCOFRADO Y DESENCOFRADO'!P57</f>
        <v>24.96</v>
      </c>
      <c r="K124" s="27"/>
      <c r="L124" s="26"/>
    </row>
    <row r="125" customFormat="false" ht="15" hidden="false" customHeight="true" outlineLevel="0" collapsed="false">
      <c r="A125" s="26"/>
      <c r="B125" s="26" t="s">
        <v>162</v>
      </c>
      <c r="C125" s="27" t="n">
        <v>1</v>
      </c>
      <c r="D125" s="27"/>
      <c r="E125" s="27"/>
      <c r="F125" s="27"/>
      <c r="G125" s="27"/>
      <c r="H125" s="27"/>
      <c r="I125" s="27"/>
      <c r="J125" s="27" t="n">
        <f aca="false">+'ENCOFRADO Y DESENCOFRADO'!H69</f>
        <v>150.624</v>
      </c>
      <c r="K125" s="27"/>
      <c r="L125" s="26"/>
    </row>
    <row r="126" customFormat="false" ht="15" hidden="false" customHeight="true" outlineLevel="0" collapsed="false">
      <c r="A126" s="26"/>
      <c r="B126" s="26" t="s">
        <v>163</v>
      </c>
      <c r="C126" s="27" t="n">
        <v>1</v>
      </c>
      <c r="D126" s="27"/>
      <c r="E126" s="27"/>
      <c r="F126" s="27"/>
      <c r="G126" s="27"/>
      <c r="H126" s="27"/>
      <c r="I126" s="27"/>
      <c r="J126" s="27" t="n">
        <f aca="false">+'ENCOFRADO Y DESENCOFRADO'!P69</f>
        <v>271.776</v>
      </c>
      <c r="K126" s="27"/>
      <c r="L126" s="26"/>
    </row>
    <row r="127" customFormat="false" ht="30.75" hidden="false" customHeight="true" outlineLevel="0" collapsed="false">
      <c r="A127" s="24" t="s">
        <v>48</v>
      </c>
      <c r="B127" s="24" t="s">
        <v>49</v>
      </c>
      <c r="C127" s="25"/>
      <c r="D127" s="25"/>
      <c r="E127" s="25"/>
      <c r="F127" s="25"/>
      <c r="G127" s="25"/>
      <c r="H127" s="25"/>
      <c r="I127" s="25"/>
      <c r="J127" s="25"/>
      <c r="K127" s="25" t="n">
        <f aca="false">+'METRADO ACERO'!AG38</f>
        <v>4967.051712</v>
      </c>
      <c r="L127" s="24" t="s">
        <v>50</v>
      </c>
    </row>
    <row r="128" customFormat="false" ht="15" hidden="false" customHeight="true" outlineLevel="0" collapsed="false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</row>
    <row r="129" customFormat="false" ht="15" hidden="false" customHeight="true" outlineLevel="0" collapsed="false">
      <c r="A129" s="36" t="s">
        <v>51</v>
      </c>
      <c r="B129" s="36" t="s">
        <v>52</v>
      </c>
      <c r="C129" s="36"/>
      <c r="D129" s="36"/>
      <c r="E129" s="36"/>
      <c r="F129" s="36"/>
      <c r="G129" s="36"/>
      <c r="H129" s="36"/>
      <c r="I129" s="36"/>
      <c r="J129" s="36"/>
      <c r="K129" s="37" t="n">
        <f aca="false">+'METRADO DE CURADO'!M38</f>
        <v>1084.2059</v>
      </c>
      <c r="L129" s="36" t="s">
        <v>18</v>
      </c>
    </row>
    <row r="130" customFormat="false" ht="1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9"/>
      <c r="L130" s="38"/>
    </row>
    <row r="131" customFormat="false" ht="15" hidden="false" customHeight="true" outlineLevel="0" collapsed="false">
      <c r="A131" s="34" t="s">
        <v>53</v>
      </c>
      <c r="B131" s="40" t="s">
        <v>54</v>
      </c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customFormat="false" ht="46.5" hidden="false" customHeight="true" outlineLevel="0" collapsed="false">
      <c r="A132" s="24" t="s">
        <v>55</v>
      </c>
      <c r="B132" s="24" t="s">
        <v>56</v>
      </c>
      <c r="C132" s="24"/>
      <c r="D132" s="24"/>
      <c r="E132" s="24"/>
      <c r="F132" s="24"/>
      <c r="G132" s="24"/>
      <c r="H132" s="24"/>
      <c r="I132" s="24"/>
      <c r="J132" s="24"/>
      <c r="K132" s="28" t="n">
        <f aca="false">+'METRADO DE REJILLAS'!G38</f>
        <v>510.11</v>
      </c>
      <c r="L132" s="41" t="s">
        <v>57</v>
      </c>
    </row>
    <row r="133" customFormat="false" ht="15" hidden="false" customHeight="true" outlineLevel="0" collapsed="false">
      <c r="A133" s="36" t="s">
        <v>58</v>
      </c>
      <c r="B133" s="36" t="s">
        <v>59</v>
      </c>
      <c r="C133" s="36"/>
      <c r="D133" s="36"/>
      <c r="E133" s="36"/>
      <c r="F133" s="36"/>
      <c r="G133" s="36"/>
      <c r="H133" s="36"/>
      <c r="I133" s="36"/>
      <c r="J133" s="36"/>
      <c r="K133" s="42" t="n">
        <f aca="false">+'PLANILLA TAPAS REGISTRO INTERNO'!J9</f>
        <v>17.0</v>
      </c>
      <c r="L133" s="43" t="s">
        <v>60</v>
      </c>
    </row>
    <row r="134" customFormat="false" ht="30.75" hidden="false" customHeight="true" outlineLevel="0" collapsed="false">
      <c r="A134" s="36" t="s">
        <v>61</v>
      </c>
      <c r="B134" s="36" t="s">
        <v>62</v>
      </c>
      <c r="C134" s="36"/>
      <c r="D134" s="36"/>
      <c r="E134" s="36"/>
      <c r="F134" s="36"/>
      <c r="G134" s="36"/>
      <c r="H134" s="36"/>
      <c r="I134" s="36"/>
      <c r="J134" s="36"/>
      <c r="K134" s="28" t="n">
        <f aca="false">+'METRADO JUNTA DE DILATACION'!J12</f>
        <v>241.959543966302</v>
      </c>
      <c r="L134" s="43" t="s">
        <v>57</v>
      </c>
    </row>
    <row r="135" customFormat="false" ht="30.75" hidden="false" customHeight="true" outlineLevel="0" collapsed="false">
      <c r="A135" s="36" t="s">
        <v>63</v>
      </c>
      <c r="B135" s="36" t="s">
        <v>64</v>
      </c>
      <c r="C135" s="36"/>
      <c r="D135" s="36"/>
      <c r="E135" s="36"/>
      <c r="F135" s="36"/>
      <c r="G135" s="36"/>
      <c r="H135" s="36"/>
      <c r="I135" s="36"/>
      <c r="J135" s="36"/>
      <c r="K135" s="28" t="n">
        <f aca="false">+'METRADO LLORADEROS'!G20</f>
        <v>157.0</v>
      </c>
      <c r="L135" s="43" t="s">
        <v>60</v>
      </c>
    </row>
    <row r="136" customFormat="false" ht="15" hidden="false" customHeight="tru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5"/>
      <c r="L136" s="44"/>
    </row>
    <row r="137" customFormat="false" ht="15" hidden="false" customHeight="true" outlineLevel="0" collapsed="false">
      <c r="A137" s="23" t="s">
        <v>65</v>
      </c>
      <c r="B137" s="23" t="s">
        <v>66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customFormat="false" ht="15" hidden="false" customHeight="true" outlineLevel="0" collapsed="false">
      <c r="A138" s="34" t="s">
        <v>67</v>
      </c>
      <c r="B138" s="34" t="s">
        <v>68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</row>
    <row r="139" customFormat="false" ht="15" hidden="false" customHeight="true" outlineLevel="0" collapsed="false">
      <c r="A139" s="24" t="s">
        <v>69</v>
      </c>
      <c r="B139" s="24" t="s">
        <v>70</v>
      </c>
      <c r="C139" s="24"/>
      <c r="D139" s="24"/>
      <c r="E139" s="24"/>
      <c r="F139" s="24"/>
      <c r="G139" s="24"/>
      <c r="H139" s="24"/>
      <c r="I139" s="24"/>
      <c r="J139" s="24"/>
      <c r="K139" s="46" t="n">
        <f aca="false">+'METRADO MONTANTES'!F43</f>
        <v>380.86</v>
      </c>
      <c r="L139" s="24" t="s">
        <v>57</v>
      </c>
    </row>
    <row r="140" customFormat="false" ht="30.75" hidden="false" customHeight="true" outlineLevel="0" collapsed="false">
      <c r="A140" s="36" t="s">
        <v>71</v>
      </c>
      <c r="B140" s="36" t="s">
        <v>72</v>
      </c>
      <c r="C140" s="36"/>
      <c r="D140" s="36"/>
      <c r="E140" s="36"/>
      <c r="F140" s="36"/>
      <c r="G140" s="36"/>
      <c r="H140" s="36"/>
      <c r="I140" s="36"/>
      <c r="J140" s="37"/>
      <c r="K140" s="42" t="n">
        <v>52</v>
      </c>
      <c r="L140" s="36" t="s">
        <v>60</v>
      </c>
    </row>
    <row r="141" customFormat="false" ht="30.75" hidden="false" customHeight="true" outlineLevel="0" collapsed="false">
      <c r="A141" s="47" t="s">
        <v>73</v>
      </c>
      <c r="B141" s="48" t="s">
        <v>74</v>
      </c>
      <c r="C141" s="49" t="n">
        <v>52</v>
      </c>
      <c r="D141" s="50"/>
      <c r="E141" s="50"/>
      <c r="F141" s="50"/>
      <c r="G141" s="50"/>
      <c r="H141" s="51"/>
      <c r="I141" s="51"/>
      <c r="J141" s="51"/>
      <c r="K141" s="52" t="n">
        <f aca="false">J142*C141</f>
        <v>2.028</v>
      </c>
      <c r="L141" s="48" t="s">
        <v>167</v>
      </c>
    </row>
    <row r="142" customFormat="false" ht="15" hidden="false" customHeight="true" outlineLevel="0" collapsed="false">
      <c r="A142" s="53"/>
      <c r="B142" s="44"/>
      <c r="C142" s="54"/>
      <c r="D142" s="55" t="n">
        <v>1.3</v>
      </c>
      <c r="E142" s="55" t="n">
        <v>0.15</v>
      </c>
      <c r="F142" s="55" t="n">
        <v>0.2</v>
      </c>
      <c r="G142" s="56"/>
      <c r="H142" s="45"/>
      <c r="I142" s="45"/>
      <c r="J142" s="45" t="n">
        <f aca="false">D142*E142*F142</f>
        <v>0.039</v>
      </c>
      <c r="K142" s="57"/>
      <c r="L142" s="44"/>
    </row>
    <row r="143" customFormat="false" ht="46.5" hidden="false" customHeight="true" outlineLevel="0" collapsed="false">
      <c r="A143" s="58" t="s">
        <v>75</v>
      </c>
      <c r="B143" s="48" t="s">
        <v>76</v>
      </c>
      <c r="C143" s="59" t="n">
        <v>52</v>
      </c>
      <c r="D143" s="48"/>
      <c r="E143" s="48"/>
      <c r="F143" s="48"/>
      <c r="G143" s="48"/>
      <c r="H143" s="51"/>
      <c r="I143" s="51"/>
      <c r="J143" s="51"/>
      <c r="K143" s="60" t="n">
        <f aca="false">K144*C143</f>
        <v>33.8</v>
      </c>
      <c r="L143" s="48" t="s">
        <v>168</v>
      </c>
    </row>
    <row r="144" customFormat="false" ht="15" hidden="false" customHeight="true" outlineLevel="0" collapsed="false">
      <c r="A144" s="61"/>
      <c r="B144" s="44"/>
      <c r="C144" s="62" t="n">
        <v>2</v>
      </c>
      <c r="D144" s="55" t="n">
        <v>1.3</v>
      </c>
      <c r="E144" s="55" t="n">
        <v>0.15</v>
      </c>
      <c r="F144" s="44"/>
      <c r="G144" s="44"/>
      <c r="H144" s="45"/>
      <c r="I144" s="45"/>
      <c r="J144" s="45" t="n">
        <f aca="false">C144*D144*E144</f>
        <v>0.39</v>
      </c>
      <c r="K144" s="63" t="n">
        <f aca="false">J144+J145</f>
        <v>0.65</v>
      </c>
      <c r="L144" s="44"/>
    </row>
    <row r="145" customFormat="false" ht="15" hidden="false" customHeight="true" outlineLevel="0" collapsed="false">
      <c r="A145" s="61"/>
      <c r="B145" s="44"/>
      <c r="C145" s="62" t="n">
        <v>1</v>
      </c>
      <c r="D145" s="55" t="n">
        <v>1.3</v>
      </c>
      <c r="E145" s="55" t="n">
        <v>0.2</v>
      </c>
      <c r="F145" s="44"/>
      <c r="G145" s="44"/>
      <c r="H145" s="45"/>
      <c r="I145" s="45"/>
      <c r="J145" s="45" t="n">
        <f aca="false">C145*D145*E145</f>
        <v>0.26</v>
      </c>
      <c r="K145" s="63"/>
      <c r="L145" s="44"/>
    </row>
    <row r="146" customFormat="false" ht="30.75" hidden="false" customHeight="true" outlineLevel="0" collapsed="false">
      <c r="A146" s="58" t="s">
        <v>77</v>
      </c>
      <c r="B146" s="48" t="s">
        <v>78</v>
      </c>
      <c r="C146" s="59" t="n">
        <v>52</v>
      </c>
      <c r="D146" s="48"/>
      <c r="E146" s="48"/>
      <c r="F146" s="48"/>
      <c r="G146" s="48"/>
      <c r="H146" s="51"/>
      <c r="I146" s="51"/>
      <c r="J146" s="51"/>
      <c r="K146" s="60" t="n">
        <f aca="false">K147*C146</f>
        <v>291.7824</v>
      </c>
      <c r="L146" s="48" t="s">
        <v>169</v>
      </c>
    </row>
    <row r="147" customFormat="false" ht="15" hidden="false" customHeight="true" outlineLevel="0" collapsed="false">
      <c r="A147" s="61"/>
      <c r="B147" s="26" t="s">
        <v>170</v>
      </c>
      <c r="C147" s="26"/>
      <c r="D147" s="27" t="n">
        <v>1.2</v>
      </c>
      <c r="E147" s="27" t="n">
        <v>4</v>
      </c>
      <c r="F147" s="27" t="n">
        <v>0.56</v>
      </c>
      <c r="G147" s="27"/>
      <c r="H147" s="27"/>
      <c r="I147" s="27"/>
      <c r="J147" s="27" t="n">
        <f aca="false">D147*E147*F147</f>
        <v>2.688</v>
      </c>
      <c r="K147" s="64" t="n">
        <f aca="false">+J147+J148</f>
        <v>5.6112</v>
      </c>
      <c r="L147" s="26"/>
    </row>
    <row r="148" customFormat="false" ht="15" hidden="false" customHeight="true" outlineLevel="0" collapsed="false">
      <c r="A148" s="61"/>
      <c r="B148" s="26" t="s">
        <v>171</v>
      </c>
      <c r="C148" s="26"/>
      <c r="D148" s="27" t="n">
        <v>0.58</v>
      </c>
      <c r="E148" s="27" t="n">
        <v>9</v>
      </c>
      <c r="F148" s="27" t="n">
        <v>0.56</v>
      </c>
      <c r="G148" s="27"/>
      <c r="H148" s="27"/>
      <c r="I148" s="27"/>
      <c r="J148" s="27" t="n">
        <f aca="false">D148*E148*F148</f>
        <v>2.9232</v>
      </c>
      <c r="K148" s="64"/>
      <c r="L148" s="26"/>
    </row>
    <row r="149" customFormat="false" ht="46.5" hidden="false" customHeight="true" outlineLevel="0" collapsed="false">
      <c r="A149" s="24" t="s">
        <v>79</v>
      </c>
      <c r="B149" s="24" t="s">
        <v>80</v>
      </c>
      <c r="C149" s="24"/>
      <c r="D149" s="24"/>
      <c r="E149" s="24"/>
      <c r="F149" s="24"/>
      <c r="G149" s="24"/>
      <c r="H149" s="24"/>
      <c r="I149" s="24"/>
      <c r="J149" s="24"/>
      <c r="K149" s="28" t="n">
        <f aca="false">+'METRADO CANALETAS'!E41</f>
        <v>513.98</v>
      </c>
      <c r="L149" s="24" t="s">
        <v>57</v>
      </c>
    </row>
    <row r="150" customFormat="false" ht="30.75" hidden="false" customHeight="true" outlineLevel="0" collapsed="false">
      <c r="A150" s="24" t="s">
        <v>81</v>
      </c>
      <c r="B150" s="24" t="s">
        <v>82</v>
      </c>
      <c r="C150" s="24"/>
      <c r="D150" s="24"/>
      <c r="E150" s="24"/>
      <c r="F150" s="24"/>
      <c r="G150" s="24"/>
      <c r="H150" s="24"/>
      <c r="I150" s="24"/>
      <c r="J150" s="24"/>
      <c r="K150" s="28" t="n">
        <f aca="false">+'METRADO CANALETAS'!G41</f>
        <v>884.0</v>
      </c>
      <c r="L150" s="24" t="s">
        <v>60</v>
      </c>
    </row>
    <row r="151" customFormat="false" ht="30.75" hidden="false" customHeight="true" outlineLevel="0" collapsed="false">
      <c r="A151" s="24" t="s">
        <v>83</v>
      </c>
      <c r="B151" s="24" t="s">
        <v>84</v>
      </c>
      <c r="C151" s="24"/>
      <c r="D151" s="24"/>
      <c r="E151" s="24"/>
      <c r="F151" s="24"/>
      <c r="G151" s="24"/>
      <c r="H151" s="24"/>
      <c r="I151" s="24"/>
      <c r="J151" s="24"/>
      <c r="K151" s="28" t="n">
        <f aca="false">+'METRADO CANALETAS'!I41</f>
        <v>40.0</v>
      </c>
      <c r="L151" s="24" t="s">
        <v>60</v>
      </c>
    </row>
    <row r="152" customFormat="false" ht="46.5" hidden="false" customHeight="true" outlineLevel="0" collapsed="false">
      <c r="A152" s="24" t="s">
        <v>85</v>
      </c>
      <c r="B152" s="24" t="s">
        <v>86</v>
      </c>
      <c r="C152" s="24"/>
      <c r="D152" s="24"/>
      <c r="E152" s="24"/>
      <c r="F152" s="24"/>
      <c r="G152" s="24"/>
      <c r="H152" s="24"/>
      <c r="I152" s="24"/>
      <c r="J152" s="24"/>
      <c r="K152" s="28" t="n">
        <f aca="false">+'METRADO CANALETAS'!K41</f>
        <v>52.0</v>
      </c>
      <c r="L152" s="24" t="s">
        <v>60</v>
      </c>
    </row>
    <row r="153" customFormat="false" ht="15" hidden="false" customHeight="true" outlineLevel="0" collapsed="false">
      <c r="A153" s="61"/>
      <c r="B153" s="44"/>
      <c r="C153" s="44"/>
      <c r="D153" s="44"/>
      <c r="E153" s="44"/>
      <c r="F153" s="44"/>
      <c r="G153" s="44"/>
      <c r="H153" s="45"/>
      <c r="I153" s="45"/>
      <c r="J153" s="45"/>
      <c r="K153" s="45"/>
      <c r="L153" s="44"/>
    </row>
    <row r="154" customFormat="false" ht="15" hidden="false" customHeight="true" outlineLevel="0" collapsed="false">
      <c r="A154" s="34" t="s">
        <v>87</v>
      </c>
      <c r="B154" s="34" t="s">
        <v>88</v>
      </c>
      <c r="C154" s="34"/>
      <c r="D154" s="34"/>
      <c r="E154" s="34"/>
      <c r="F154" s="34"/>
      <c r="G154" s="34"/>
      <c r="H154" s="34"/>
      <c r="I154" s="34"/>
      <c r="J154" s="35"/>
      <c r="K154" s="35"/>
      <c r="L154" s="34"/>
    </row>
    <row r="155" customFormat="false" ht="15" hidden="false" customHeight="true" outlineLevel="0" collapsed="false">
      <c r="A155" s="24" t="s">
        <v>89</v>
      </c>
      <c r="B155" s="24" t="s">
        <v>90</v>
      </c>
      <c r="C155" s="24"/>
      <c r="D155" s="24"/>
      <c r="E155" s="24"/>
      <c r="F155" s="24"/>
      <c r="G155" s="24"/>
      <c r="H155" s="24"/>
      <c r="I155" s="24"/>
      <c r="J155" s="25"/>
      <c r="K155" s="25" t="n">
        <f aca="false">+'METRADO  EN PISO (SUMIDERO)'!B12</f>
        <v>112.26</v>
      </c>
      <c r="L155" s="24" t="s">
        <v>57</v>
      </c>
    </row>
    <row r="156" customFormat="false" ht="30.75" hidden="false" customHeight="true" outlineLevel="0" collapsed="false">
      <c r="A156" s="36" t="s">
        <v>91</v>
      </c>
      <c r="B156" s="36" t="s">
        <v>92</v>
      </c>
      <c r="C156" s="36"/>
      <c r="D156" s="36"/>
      <c r="E156" s="36"/>
      <c r="F156" s="36"/>
      <c r="G156" s="36"/>
      <c r="H156" s="36"/>
      <c r="I156" s="36"/>
      <c r="J156" s="37"/>
      <c r="K156" s="25" t="n">
        <f aca="false">+'METRADO  EN PISO (SUMIDERO)'!C12</f>
        <v>30.0</v>
      </c>
      <c r="L156" s="36" t="s">
        <v>60</v>
      </c>
    </row>
    <row r="157" customFormat="false" ht="15" hidden="false" customHeight="true" outlineLevel="0" collapsed="false">
      <c r="A157" s="36" t="s">
        <v>93</v>
      </c>
      <c r="B157" s="36" t="s">
        <v>94</v>
      </c>
      <c r="C157" s="36"/>
      <c r="D157" s="36"/>
      <c r="E157" s="36"/>
      <c r="F157" s="36"/>
      <c r="G157" s="36"/>
      <c r="H157" s="36"/>
      <c r="I157" s="36"/>
      <c r="J157" s="37"/>
      <c r="K157" s="25" t="n">
        <f aca="false">+'METRADO  EN PISO (SUMIDERO)'!D12</f>
        <v>24.0</v>
      </c>
      <c r="L157" s="36" t="s">
        <v>60</v>
      </c>
    </row>
    <row r="158" customFormat="false" ht="15" hidden="false" customHeight="true" outlineLevel="0" collapsed="false">
      <c r="A158" s="36" t="s">
        <v>95</v>
      </c>
      <c r="B158" s="36" t="s">
        <v>96</v>
      </c>
      <c r="C158" s="36"/>
      <c r="D158" s="36"/>
      <c r="E158" s="36"/>
      <c r="F158" s="36"/>
      <c r="G158" s="36"/>
      <c r="H158" s="36"/>
      <c r="I158" s="36"/>
      <c r="J158" s="37"/>
      <c r="K158" s="25" t="n">
        <f aca="false">+'METRADO  EN PISO (SUMIDERO)'!F12</f>
        <v>4.0</v>
      </c>
      <c r="L158" s="36" t="s">
        <v>60</v>
      </c>
    </row>
    <row r="159" customFormat="false" ht="15" hidden="false" customHeight="tru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5"/>
      <c r="K159" s="45"/>
      <c r="L159" s="44"/>
    </row>
    <row r="160" customFormat="false" ht="15" hidden="false" customHeight="true" outlineLevel="0" collapsed="false">
      <c r="A160" s="34" t="s">
        <v>97</v>
      </c>
      <c r="B160" s="34" t="s">
        <v>98</v>
      </c>
      <c r="C160" s="34"/>
      <c r="D160" s="34"/>
      <c r="E160" s="34"/>
      <c r="F160" s="34"/>
      <c r="G160" s="34"/>
      <c r="H160" s="34"/>
      <c r="I160" s="34"/>
      <c r="J160" s="35"/>
      <c r="K160" s="35"/>
      <c r="L160" s="34"/>
    </row>
    <row r="161" customFormat="false" ht="15" hidden="false" customHeight="true" outlineLevel="0" collapsed="false">
      <c r="A161" s="36" t="s">
        <v>99</v>
      </c>
      <c r="B161" s="24" t="s">
        <v>94</v>
      </c>
      <c r="C161" s="24"/>
      <c r="D161" s="24"/>
      <c r="E161" s="24"/>
      <c r="F161" s="24"/>
      <c r="G161" s="24"/>
      <c r="H161" s="24"/>
      <c r="I161" s="24"/>
      <c r="J161" s="25"/>
      <c r="K161" s="25" t="n">
        <f aca="false">+'METRADO MONTANTES'!I43</f>
        <v>162.0</v>
      </c>
      <c r="L161" s="24" t="s">
        <v>60</v>
      </c>
    </row>
    <row r="162" customFormat="false" ht="30.75" hidden="false" customHeight="true" outlineLevel="0" collapsed="false">
      <c r="A162" s="36" t="s">
        <v>100</v>
      </c>
      <c r="B162" s="24" t="s">
        <v>101</v>
      </c>
      <c r="C162" s="24"/>
      <c r="D162" s="24"/>
      <c r="E162" s="24"/>
      <c r="F162" s="24"/>
      <c r="G162" s="24"/>
      <c r="H162" s="24"/>
      <c r="I162" s="24"/>
      <c r="J162" s="25"/>
      <c r="K162" s="25" t="n">
        <f aca="false">+'METRADO MONTANTES'!O43</f>
        <v>90.0</v>
      </c>
      <c r="L162" s="24" t="s">
        <v>60</v>
      </c>
    </row>
    <row r="163" customFormat="false" ht="30.75" hidden="false" customHeight="true" outlineLevel="0" collapsed="false">
      <c r="A163" s="36" t="s">
        <v>102</v>
      </c>
      <c r="B163" s="24" t="s">
        <v>103</v>
      </c>
      <c r="C163" s="24"/>
      <c r="D163" s="24"/>
      <c r="E163" s="24"/>
      <c r="F163" s="24"/>
      <c r="G163" s="24"/>
      <c r="H163" s="24"/>
      <c r="I163" s="24"/>
      <c r="J163" s="24"/>
      <c r="K163" s="25" t="n">
        <f aca="false">+'METRADO MONTANTES'!L43</f>
        <v>70.0</v>
      </c>
      <c r="L163" s="24" t="s">
        <v>60</v>
      </c>
    </row>
    <row r="165" customFormat="false" ht="46.5" hidden="false" customHeight="true" outlineLevel="0" collapsed="false">
      <c r="A165" s="23" t="s">
        <v>104</v>
      </c>
      <c r="B165" s="23" t="s">
        <v>105</v>
      </c>
      <c r="C165" s="65"/>
      <c r="D165" s="65"/>
      <c r="E165" s="65"/>
      <c r="F165" s="65"/>
      <c r="G165" s="65"/>
      <c r="H165" s="65"/>
      <c r="I165" s="65"/>
      <c r="J165" s="65"/>
      <c r="K165" s="65"/>
      <c r="L165" s="66"/>
    </row>
    <row r="166" customFormat="false" ht="15" hidden="false" customHeight="true" outlineLevel="0" collapsed="false">
      <c r="A166" s="23" t="s">
        <v>106</v>
      </c>
      <c r="B166" s="23" t="s">
        <v>15</v>
      </c>
      <c r="C166" s="65"/>
      <c r="D166" s="65"/>
      <c r="E166" s="65"/>
      <c r="F166" s="65"/>
      <c r="G166" s="65"/>
      <c r="H166" s="65"/>
      <c r="I166" s="65"/>
      <c r="J166" s="65"/>
      <c r="K166" s="65"/>
      <c r="L166" s="66"/>
    </row>
    <row r="167" customFormat="false" ht="15" hidden="false" customHeight="true" outlineLevel="0" collapsed="false">
      <c r="A167" s="24" t="s">
        <v>107</v>
      </c>
      <c r="B167" s="24" t="s">
        <v>17</v>
      </c>
      <c r="C167" s="25"/>
      <c r="D167" s="25"/>
      <c r="E167" s="25"/>
      <c r="F167" s="25"/>
      <c r="G167" s="25"/>
      <c r="H167" s="25"/>
      <c r="I167" s="25"/>
      <c r="J167" s="25"/>
      <c r="K167" s="25" t="n">
        <f aca="false">SUM(J168:J176)</f>
        <v>125.854</v>
      </c>
      <c r="L167" s="24" t="s">
        <v>18</v>
      </c>
    </row>
    <row r="168" customFormat="false" ht="15" hidden="false" customHeight="true" outlineLevel="0" collapsed="false">
      <c r="A168" s="26"/>
      <c r="B168" s="26" t="s">
        <v>172</v>
      </c>
      <c r="C168" s="27" t="n">
        <v>1</v>
      </c>
      <c r="D168" s="27"/>
      <c r="E168" s="27"/>
      <c r="F168" s="27"/>
      <c r="G168" s="27"/>
      <c r="H168" s="27"/>
      <c r="I168" s="27"/>
      <c r="J168" s="27" t="n">
        <f aca="false">'COLECTOR MOV. TIERRAS'!M10</f>
        <v>42.112</v>
      </c>
      <c r="K168" s="27"/>
      <c r="L168" s="26"/>
    </row>
    <row r="169" customFormat="false" ht="30.75" hidden="false" customHeight="true" outlineLevel="0" collapsed="false">
      <c r="A169" s="26"/>
      <c r="B169" s="26" t="s">
        <v>173</v>
      </c>
      <c r="C169" s="27" t="n">
        <v>1</v>
      </c>
      <c r="D169" s="27"/>
      <c r="E169" s="27"/>
      <c r="F169" s="27"/>
      <c r="G169" s="27"/>
      <c r="H169" s="27"/>
      <c r="I169" s="27"/>
      <c r="J169" s="27" t="n">
        <f aca="false">'COLECTOR MOV. TIERRAS'!M11</f>
        <v>8.016</v>
      </c>
      <c r="K169" s="27"/>
      <c r="L169" s="26"/>
    </row>
    <row r="170" customFormat="false" ht="15" hidden="false" customHeight="true" outlineLevel="0" collapsed="false">
      <c r="A170" s="26"/>
      <c r="B170" s="26" t="s">
        <v>174</v>
      </c>
      <c r="C170" s="27" t="n">
        <v>1</v>
      </c>
      <c r="D170" s="27"/>
      <c r="E170" s="27"/>
      <c r="F170" s="27"/>
      <c r="G170" s="27"/>
      <c r="H170" s="27"/>
      <c r="I170" s="27"/>
      <c r="J170" s="27" t="n">
        <f aca="false">'COLECTOR MOV. TIERRAS'!M12</f>
        <v>12.336</v>
      </c>
      <c r="K170" s="27"/>
      <c r="L170" s="26"/>
    </row>
    <row r="171" customFormat="false" ht="15" hidden="false" customHeight="true" outlineLevel="0" collapsed="false">
      <c r="A171" s="26"/>
      <c r="B171" s="26" t="s">
        <v>175</v>
      </c>
      <c r="C171" s="27" t="n">
        <v>1</v>
      </c>
      <c r="D171" s="27"/>
      <c r="E171" s="27"/>
      <c r="F171" s="27"/>
      <c r="G171" s="27"/>
      <c r="H171" s="27"/>
      <c r="I171" s="27"/>
      <c r="J171" s="27" t="n">
        <f aca="false">'COLECTOR MOV. TIERRAS'!M13</f>
        <v>3.2</v>
      </c>
      <c r="K171" s="27"/>
      <c r="L171" s="26"/>
    </row>
    <row r="172" customFormat="false" ht="15" hidden="false" customHeight="true" outlineLevel="0" collapsed="false">
      <c r="A172" s="26"/>
      <c r="B172" s="26" t="s">
        <v>176</v>
      </c>
      <c r="C172" s="27" t="n">
        <v>1</v>
      </c>
      <c r="D172" s="27"/>
      <c r="E172" s="27"/>
      <c r="F172" s="27"/>
      <c r="G172" s="27"/>
      <c r="H172" s="27"/>
      <c r="I172" s="27"/>
      <c r="J172" s="27" t="n">
        <f aca="false">'COLECTOR MOV. TIERRAS'!M14</f>
        <v>28.432</v>
      </c>
      <c r="K172" s="27"/>
      <c r="L172" s="26"/>
    </row>
    <row r="173" customFormat="false" ht="30.75" hidden="false" customHeight="true" outlineLevel="0" collapsed="false">
      <c r="A173" s="26"/>
      <c r="B173" s="26" t="s">
        <v>177</v>
      </c>
      <c r="C173" s="27" t="n">
        <v>1</v>
      </c>
      <c r="D173" s="27"/>
      <c r="E173" s="27"/>
      <c r="F173" s="27"/>
      <c r="G173" s="27"/>
      <c r="H173" s="27"/>
      <c r="I173" s="27"/>
      <c r="J173" s="27" t="n">
        <f aca="false">'COLECTOR MOV. TIERRAS'!M15</f>
        <v>12.928</v>
      </c>
      <c r="K173" s="27"/>
      <c r="L173" s="26"/>
    </row>
    <row r="174" customFormat="false" ht="15" hidden="false" customHeight="true" outlineLevel="0" collapsed="false">
      <c r="A174" s="26"/>
      <c r="B174" s="26" t="s">
        <v>178</v>
      </c>
      <c r="C174" s="27" t="n">
        <v>1</v>
      </c>
      <c r="D174" s="27"/>
      <c r="E174" s="27"/>
      <c r="F174" s="27"/>
      <c r="G174" s="27"/>
      <c r="H174" s="27"/>
      <c r="I174" s="27"/>
      <c r="J174" s="27" t="n">
        <f aca="false">'COLECTOR MOV. TIERRAS'!M16</f>
        <v>4.8</v>
      </c>
      <c r="K174" s="27"/>
      <c r="L174" s="26"/>
    </row>
    <row r="175" customFormat="false" ht="15" hidden="false" customHeight="true" outlineLevel="0" collapsed="false">
      <c r="A175" s="26"/>
      <c r="B175" s="26" t="s">
        <v>179</v>
      </c>
      <c r="C175" s="27" t="n">
        <v>1</v>
      </c>
      <c r="D175" s="27"/>
      <c r="E175" s="27"/>
      <c r="F175" s="27"/>
      <c r="G175" s="27"/>
      <c r="H175" s="27"/>
      <c r="I175" s="27"/>
      <c r="J175" s="27" t="n">
        <f aca="false">'COLECTOR MOV. TIERRAS'!M21</f>
        <v>4.14</v>
      </c>
      <c r="K175" s="27"/>
      <c r="L175" s="26"/>
    </row>
    <row r="176" customFormat="false" ht="15" hidden="false" customHeight="true" outlineLevel="0" collapsed="false">
      <c r="A176" s="26"/>
      <c r="B176" s="26" t="s">
        <v>180</v>
      </c>
      <c r="C176" s="27" t="n">
        <v>1</v>
      </c>
      <c r="D176" s="27"/>
      <c r="E176" s="27"/>
      <c r="F176" s="27"/>
      <c r="G176" s="27"/>
      <c r="H176" s="27"/>
      <c r="I176" s="27"/>
      <c r="J176" s="27" t="n">
        <f aca="false">'COLECTOR MOV. TIERRAS'!M22</f>
        <v>9.89</v>
      </c>
      <c r="K176" s="27"/>
      <c r="L176" s="26"/>
    </row>
    <row r="177" customFormat="false" ht="30.75" hidden="false" customHeight="true" outlineLevel="0" collapsed="false">
      <c r="A177" s="24" t="s">
        <v>108</v>
      </c>
      <c r="B177" s="24" t="s">
        <v>20</v>
      </c>
      <c r="C177" s="25"/>
      <c r="D177" s="25"/>
      <c r="E177" s="25"/>
      <c r="F177" s="25"/>
      <c r="G177" s="25"/>
      <c r="H177" s="25"/>
      <c r="I177" s="25"/>
      <c r="J177" s="25"/>
      <c r="K177" s="25" t="n">
        <f aca="false">SUM(J178:J186)</f>
        <v>125.854</v>
      </c>
      <c r="L177" s="24" t="s">
        <v>18</v>
      </c>
    </row>
    <row r="178" customFormat="false" ht="15" hidden="false" customHeight="true" outlineLevel="0" collapsed="false">
      <c r="A178" s="26"/>
      <c r="B178" s="26" t="s">
        <v>172</v>
      </c>
      <c r="C178" s="27" t="n">
        <v>1</v>
      </c>
      <c r="D178" s="27"/>
      <c r="E178" s="27"/>
      <c r="F178" s="27"/>
      <c r="G178" s="27"/>
      <c r="H178" s="27"/>
      <c r="I178" s="27"/>
      <c r="J178" s="27" t="n">
        <f aca="false">'COLECTOR MOV. TIERRAS'!M10</f>
        <v>42.112</v>
      </c>
      <c r="K178" s="27"/>
      <c r="L178" s="26"/>
    </row>
    <row r="179" customFormat="false" ht="30.75" hidden="false" customHeight="true" outlineLevel="0" collapsed="false">
      <c r="A179" s="26"/>
      <c r="B179" s="26" t="s">
        <v>173</v>
      </c>
      <c r="C179" s="27" t="n">
        <v>1</v>
      </c>
      <c r="D179" s="27"/>
      <c r="E179" s="27"/>
      <c r="F179" s="27"/>
      <c r="G179" s="27"/>
      <c r="H179" s="27"/>
      <c r="I179" s="27"/>
      <c r="J179" s="27" t="n">
        <f aca="false">'COLECTOR MOV. TIERRAS'!M11</f>
        <v>8.016</v>
      </c>
      <c r="K179" s="27"/>
      <c r="L179" s="26"/>
    </row>
    <row r="180" customFormat="false" ht="15" hidden="false" customHeight="true" outlineLevel="0" collapsed="false">
      <c r="A180" s="26"/>
      <c r="B180" s="26" t="s">
        <v>174</v>
      </c>
      <c r="C180" s="27" t="n">
        <v>1</v>
      </c>
      <c r="D180" s="27"/>
      <c r="E180" s="27"/>
      <c r="F180" s="27"/>
      <c r="G180" s="27"/>
      <c r="H180" s="27"/>
      <c r="I180" s="27"/>
      <c r="J180" s="27" t="n">
        <f aca="false">'COLECTOR MOV. TIERRAS'!M12</f>
        <v>12.336</v>
      </c>
      <c r="K180" s="27"/>
      <c r="L180" s="26"/>
    </row>
    <row r="181" customFormat="false" ht="15" hidden="false" customHeight="true" outlineLevel="0" collapsed="false">
      <c r="A181" s="26"/>
      <c r="B181" s="26" t="s">
        <v>175</v>
      </c>
      <c r="C181" s="27" t="n">
        <v>1</v>
      </c>
      <c r="D181" s="27"/>
      <c r="E181" s="27"/>
      <c r="F181" s="27"/>
      <c r="G181" s="27"/>
      <c r="H181" s="27"/>
      <c r="I181" s="27"/>
      <c r="J181" s="27" t="n">
        <f aca="false">'COLECTOR MOV. TIERRAS'!M13</f>
        <v>3.2</v>
      </c>
      <c r="K181" s="27"/>
      <c r="L181" s="26"/>
    </row>
    <row r="182" customFormat="false" ht="15" hidden="false" customHeight="true" outlineLevel="0" collapsed="false">
      <c r="A182" s="26"/>
      <c r="B182" s="26" t="s">
        <v>176</v>
      </c>
      <c r="C182" s="27" t="n">
        <v>1</v>
      </c>
      <c r="D182" s="27"/>
      <c r="E182" s="27"/>
      <c r="F182" s="27"/>
      <c r="G182" s="27"/>
      <c r="H182" s="27"/>
      <c r="I182" s="27"/>
      <c r="J182" s="27" t="n">
        <f aca="false">'COLECTOR MOV. TIERRAS'!M14</f>
        <v>28.432</v>
      </c>
      <c r="K182" s="27"/>
      <c r="L182" s="26"/>
    </row>
    <row r="183" customFormat="false" ht="30.75" hidden="false" customHeight="true" outlineLevel="0" collapsed="false">
      <c r="A183" s="26"/>
      <c r="B183" s="26" t="s">
        <v>177</v>
      </c>
      <c r="C183" s="27" t="n">
        <v>1</v>
      </c>
      <c r="D183" s="27"/>
      <c r="E183" s="27"/>
      <c r="F183" s="27"/>
      <c r="G183" s="27"/>
      <c r="H183" s="27"/>
      <c r="I183" s="27"/>
      <c r="J183" s="27" t="n">
        <f aca="false">'COLECTOR MOV. TIERRAS'!M15</f>
        <v>12.928</v>
      </c>
      <c r="K183" s="27"/>
      <c r="L183" s="26"/>
    </row>
    <row r="184" customFormat="false" ht="15" hidden="false" customHeight="true" outlineLevel="0" collapsed="false">
      <c r="A184" s="26"/>
      <c r="B184" s="26" t="s">
        <v>178</v>
      </c>
      <c r="C184" s="27" t="n">
        <v>1</v>
      </c>
      <c r="D184" s="27"/>
      <c r="E184" s="27"/>
      <c r="F184" s="27"/>
      <c r="G184" s="27"/>
      <c r="H184" s="27"/>
      <c r="I184" s="27"/>
      <c r="J184" s="27" t="n">
        <f aca="false">'COLECTOR MOV. TIERRAS'!M16</f>
        <v>4.8</v>
      </c>
      <c r="K184" s="27"/>
      <c r="L184" s="26"/>
    </row>
    <row r="185" customFormat="false" ht="15" hidden="false" customHeight="true" outlineLevel="0" collapsed="false">
      <c r="A185" s="26"/>
      <c r="B185" s="26" t="s">
        <v>179</v>
      </c>
      <c r="C185" s="27" t="n">
        <v>1</v>
      </c>
      <c r="D185" s="27"/>
      <c r="E185" s="27"/>
      <c r="F185" s="27"/>
      <c r="G185" s="27"/>
      <c r="H185" s="27"/>
      <c r="I185" s="27"/>
      <c r="J185" s="27" t="n">
        <f aca="false">'COLECTOR MOV. TIERRAS'!M21</f>
        <v>4.14</v>
      </c>
      <c r="K185" s="27"/>
      <c r="L185" s="26"/>
    </row>
    <row r="186" customFormat="false" ht="15" hidden="false" customHeight="true" outlineLevel="0" collapsed="false">
      <c r="A186" s="26"/>
      <c r="B186" s="26" t="s">
        <v>180</v>
      </c>
      <c r="C186" s="27" t="n">
        <v>1</v>
      </c>
      <c r="D186" s="27"/>
      <c r="E186" s="27"/>
      <c r="F186" s="27"/>
      <c r="G186" s="27"/>
      <c r="H186" s="27"/>
      <c r="I186" s="27"/>
      <c r="J186" s="27" t="n">
        <f aca="false">'COLECTOR MOV. TIERRAS'!M22</f>
        <v>9.89</v>
      </c>
      <c r="K186" s="27"/>
      <c r="L186" s="26"/>
    </row>
    <row r="187" customFormat="false" ht="15" hidden="false" customHeight="true" outlineLevel="0" collapsed="false">
      <c r="A187" s="23" t="s">
        <v>109</v>
      </c>
      <c r="B187" s="23" t="s">
        <v>22</v>
      </c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customFormat="false" ht="30.75" hidden="false" customHeight="true" outlineLevel="0" collapsed="false">
      <c r="A188" s="24" t="s">
        <v>110</v>
      </c>
      <c r="B188" s="24" t="s">
        <v>111</v>
      </c>
      <c r="C188" s="25"/>
      <c r="D188" s="25"/>
      <c r="E188" s="25"/>
      <c r="F188" s="25"/>
      <c r="G188" s="25"/>
      <c r="H188" s="25"/>
      <c r="I188" s="25"/>
      <c r="J188" s="25"/>
      <c r="K188" s="25" t="n">
        <f aca="false">SUM(J189:J197)</f>
        <v>164.894376</v>
      </c>
      <c r="L188" s="24" t="s">
        <v>25</v>
      </c>
    </row>
    <row r="189" customFormat="false" ht="15" hidden="false" customHeight="true" outlineLevel="0" collapsed="false">
      <c r="A189" s="26"/>
      <c r="B189" s="26" t="s">
        <v>172</v>
      </c>
      <c r="C189" s="27" t="n">
        <v>1</v>
      </c>
      <c r="D189" s="27"/>
      <c r="E189" s="27"/>
      <c r="F189" s="27"/>
      <c r="G189" s="27"/>
      <c r="H189" s="27"/>
      <c r="I189" s="27"/>
      <c r="J189" s="27" t="n">
        <f aca="false">'COLECTOR MOV. TIERRAS'!N10</f>
        <v>58.74624</v>
      </c>
      <c r="K189" s="27"/>
      <c r="L189" s="26"/>
    </row>
    <row r="190" customFormat="false" ht="30.75" hidden="false" customHeight="true" outlineLevel="0" collapsed="false">
      <c r="A190" s="26"/>
      <c r="B190" s="26" t="s">
        <v>173</v>
      </c>
      <c r="C190" s="27" t="n">
        <v>1</v>
      </c>
      <c r="D190" s="27"/>
      <c r="E190" s="27"/>
      <c r="F190" s="27"/>
      <c r="G190" s="27"/>
      <c r="H190" s="27"/>
      <c r="I190" s="27"/>
      <c r="J190" s="27" t="n">
        <f aca="false">'COLECTOR MOV. TIERRAS'!N11</f>
        <v>10.212384</v>
      </c>
      <c r="K190" s="27"/>
      <c r="L190" s="26"/>
    </row>
    <row r="191" customFormat="false" ht="15" hidden="false" customHeight="true" outlineLevel="0" collapsed="false">
      <c r="A191" s="26"/>
      <c r="B191" s="26" t="s">
        <v>174</v>
      </c>
      <c r="C191" s="27" t="n">
        <v>1</v>
      </c>
      <c r="D191" s="27"/>
      <c r="E191" s="27"/>
      <c r="F191" s="27"/>
      <c r="G191" s="27"/>
      <c r="H191" s="27"/>
      <c r="I191" s="27"/>
      <c r="J191" s="27" t="n">
        <f aca="false">'COLECTOR MOV. TIERRAS'!N12</f>
        <v>16.875648</v>
      </c>
      <c r="K191" s="27"/>
      <c r="L191" s="26"/>
    </row>
    <row r="192" customFormat="false" ht="15" hidden="false" customHeight="true" outlineLevel="0" collapsed="false">
      <c r="A192" s="26"/>
      <c r="B192" s="26" t="s">
        <v>175</v>
      </c>
      <c r="C192" s="27" t="n">
        <v>1</v>
      </c>
      <c r="D192" s="27"/>
      <c r="E192" s="27"/>
      <c r="F192" s="27"/>
      <c r="G192" s="27"/>
      <c r="H192" s="27"/>
      <c r="I192" s="27"/>
      <c r="J192" s="27" t="n">
        <f aca="false">'COLECTOR MOV. TIERRAS'!N13</f>
        <v>5.136</v>
      </c>
      <c r="K192" s="27"/>
      <c r="L192" s="26"/>
    </row>
    <row r="193" customFormat="false" ht="15" hidden="false" customHeight="true" outlineLevel="0" collapsed="false">
      <c r="A193" s="26"/>
      <c r="B193" s="26" t="s">
        <v>176</v>
      </c>
      <c r="C193" s="27" t="n">
        <v>1</v>
      </c>
      <c r="D193" s="27"/>
      <c r="E193" s="27"/>
      <c r="F193" s="27"/>
      <c r="G193" s="27"/>
      <c r="H193" s="27"/>
      <c r="I193" s="27"/>
      <c r="J193" s="27" t="n">
        <f aca="false">'COLECTOR MOV. TIERRAS'!N14</f>
        <v>32.83896</v>
      </c>
      <c r="K193" s="27"/>
      <c r="L193" s="26"/>
    </row>
    <row r="194" customFormat="false" ht="30.75" hidden="false" customHeight="true" outlineLevel="0" collapsed="false">
      <c r="A194" s="26"/>
      <c r="B194" s="26" t="s">
        <v>177</v>
      </c>
      <c r="C194" s="27" t="n">
        <v>1</v>
      </c>
      <c r="D194" s="27"/>
      <c r="E194" s="27"/>
      <c r="F194" s="27"/>
      <c r="G194" s="27"/>
      <c r="H194" s="27"/>
      <c r="I194" s="27"/>
      <c r="J194" s="27" t="n">
        <f aca="false">'COLECTOR MOV. TIERRAS'!N15</f>
        <v>13.354624</v>
      </c>
      <c r="K194" s="27"/>
      <c r="L194" s="26"/>
    </row>
    <row r="195" customFormat="false" ht="15" hidden="false" customHeight="true" outlineLevel="0" collapsed="false">
      <c r="A195" s="26"/>
      <c r="B195" s="26" t="s">
        <v>178</v>
      </c>
      <c r="C195" s="27" t="n">
        <v>1</v>
      </c>
      <c r="D195" s="27"/>
      <c r="E195" s="27"/>
      <c r="F195" s="27"/>
      <c r="G195" s="27"/>
      <c r="H195" s="27"/>
      <c r="I195" s="27"/>
      <c r="J195" s="27" t="n">
        <f aca="false">'COLECTOR MOV. TIERRAS'!N16</f>
        <v>5.0976</v>
      </c>
      <c r="K195" s="27"/>
      <c r="L195" s="26"/>
    </row>
    <row r="196" customFormat="false" ht="15" hidden="false" customHeight="true" outlineLevel="0" collapsed="false">
      <c r="A196" s="26"/>
      <c r="B196" s="26" t="s">
        <v>179</v>
      </c>
      <c r="C196" s="27" t="n">
        <v>1</v>
      </c>
      <c r="D196" s="27"/>
      <c r="E196" s="27"/>
      <c r="F196" s="27"/>
      <c r="G196" s="27"/>
      <c r="H196" s="27"/>
      <c r="I196" s="27"/>
      <c r="J196" s="27" t="n">
        <f aca="false">'COLECTOR MOV. TIERRAS'!N21</f>
        <v>7.04627999999999</v>
      </c>
      <c r="K196" s="27"/>
      <c r="L196" s="26"/>
    </row>
    <row r="197" customFormat="false" ht="15" hidden="false" customHeight="true" outlineLevel="0" collapsed="false">
      <c r="A197" s="26"/>
      <c r="B197" s="26" t="s">
        <v>180</v>
      </c>
      <c r="C197" s="27" t="n">
        <v>1</v>
      </c>
      <c r="D197" s="27"/>
      <c r="E197" s="27"/>
      <c r="F197" s="27"/>
      <c r="G197" s="27"/>
      <c r="H197" s="27"/>
      <c r="I197" s="27"/>
      <c r="J197" s="27" t="n">
        <f aca="false">'COLECTOR MOV. TIERRAS'!N22</f>
        <v>15.5866399999997</v>
      </c>
      <c r="K197" s="27"/>
      <c r="L197" s="26"/>
    </row>
    <row r="198" customFormat="false" ht="46.5" hidden="false" customHeight="true" outlineLevel="0" collapsed="false">
      <c r="A198" s="24" t="s">
        <v>112</v>
      </c>
      <c r="B198" s="24" t="s">
        <v>29</v>
      </c>
      <c r="C198" s="25"/>
      <c r="D198" s="25"/>
      <c r="E198" s="25"/>
      <c r="F198" s="25"/>
      <c r="G198" s="25"/>
      <c r="H198" s="25"/>
      <c r="I198" s="25"/>
      <c r="J198" s="25"/>
      <c r="K198" s="25" t="n">
        <f aca="false">SUM(J199:J207)</f>
        <v>93.938</v>
      </c>
      <c r="L198" s="24" t="s">
        <v>18</v>
      </c>
    </row>
    <row r="199" customFormat="false" ht="15" hidden="false" customHeight="true" outlineLevel="0" collapsed="false">
      <c r="A199" s="26"/>
      <c r="B199" s="26" t="s">
        <v>172</v>
      </c>
      <c r="C199" s="27" t="n">
        <v>1</v>
      </c>
      <c r="D199" s="27"/>
      <c r="E199" s="27"/>
      <c r="F199" s="27"/>
      <c r="G199" s="27"/>
      <c r="H199" s="27"/>
      <c r="I199" s="27"/>
      <c r="J199" s="27" t="n">
        <f aca="false">'COLECTOR MOV. TIERRAS'!O10</f>
        <v>31.584</v>
      </c>
      <c r="K199" s="27"/>
      <c r="L199" s="26"/>
    </row>
    <row r="200" customFormat="false" ht="30.75" hidden="false" customHeight="true" outlineLevel="0" collapsed="false">
      <c r="A200" s="26"/>
      <c r="B200" s="26" t="s">
        <v>173</v>
      </c>
      <c r="C200" s="27" t="n">
        <v>1</v>
      </c>
      <c r="D200" s="27"/>
      <c r="E200" s="27"/>
      <c r="F200" s="27"/>
      <c r="G200" s="27"/>
      <c r="H200" s="27"/>
      <c r="I200" s="27"/>
      <c r="J200" s="27" t="n">
        <f aca="false">'COLECTOR MOV. TIERRAS'!O11</f>
        <v>6.012</v>
      </c>
      <c r="K200" s="27"/>
      <c r="L200" s="26"/>
    </row>
    <row r="201" customFormat="false" ht="15" hidden="false" customHeight="true" outlineLevel="0" collapsed="false">
      <c r="A201" s="26"/>
      <c r="B201" s="26" t="s">
        <v>174</v>
      </c>
      <c r="C201" s="27" t="n">
        <v>1</v>
      </c>
      <c r="D201" s="27"/>
      <c r="E201" s="27"/>
      <c r="F201" s="27"/>
      <c r="G201" s="27"/>
      <c r="H201" s="27"/>
      <c r="I201" s="27"/>
      <c r="J201" s="27" t="n">
        <f aca="false">'COLECTOR MOV. TIERRAS'!O12</f>
        <v>9.252</v>
      </c>
      <c r="K201" s="27"/>
      <c r="L201" s="26"/>
    </row>
    <row r="202" customFormat="false" ht="15" hidden="false" customHeight="true" outlineLevel="0" collapsed="false">
      <c r="A202" s="26"/>
      <c r="B202" s="26" t="s">
        <v>175</v>
      </c>
      <c r="C202" s="27" t="n">
        <v>1</v>
      </c>
      <c r="D202" s="27"/>
      <c r="E202" s="27"/>
      <c r="F202" s="27"/>
      <c r="G202" s="27"/>
      <c r="H202" s="27"/>
      <c r="I202" s="27"/>
      <c r="J202" s="27" t="n">
        <f aca="false">'COLECTOR MOV. TIERRAS'!O13</f>
        <v>2.4</v>
      </c>
      <c r="K202" s="27"/>
      <c r="L202" s="26"/>
    </row>
    <row r="203" customFormat="false" ht="15" hidden="false" customHeight="true" outlineLevel="0" collapsed="false">
      <c r="A203" s="26"/>
      <c r="B203" s="26" t="s">
        <v>176</v>
      </c>
      <c r="C203" s="27" t="n">
        <v>1</v>
      </c>
      <c r="D203" s="27"/>
      <c r="E203" s="27"/>
      <c r="F203" s="27"/>
      <c r="G203" s="27"/>
      <c r="H203" s="27"/>
      <c r="I203" s="27"/>
      <c r="J203" s="27" t="n">
        <f aca="false">'COLECTOR MOV. TIERRAS'!O14</f>
        <v>21.324</v>
      </c>
      <c r="K203" s="27"/>
      <c r="L203" s="26"/>
    </row>
    <row r="204" customFormat="false" ht="30.75" hidden="false" customHeight="true" outlineLevel="0" collapsed="false">
      <c r="A204" s="26"/>
      <c r="B204" s="26" t="s">
        <v>177</v>
      </c>
      <c r="C204" s="27" t="n">
        <v>1</v>
      </c>
      <c r="D204" s="27"/>
      <c r="E204" s="27"/>
      <c r="F204" s="27"/>
      <c r="G204" s="27"/>
      <c r="H204" s="27"/>
      <c r="I204" s="27"/>
      <c r="J204" s="27" t="n">
        <f aca="false">'COLECTOR MOV. TIERRAS'!O15</f>
        <v>9.696</v>
      </c>
      <c r="K204" s="27"/>
      <c r="L204" s="26"/>
    </row>
    <row r="205" customFormat="false" ht="15" hidden="false" customHeight="true" outlineLevel="0" collapsed="false">
      <c r="A205" s="26"/>
      <c r="B205" s="26" t="s">
        <v>178</v>
      </c>
      <c r="C205" s="27" t="n">
        <v>1</v>
      </c>
      <c r="D205" s="27"/>
      <c r="E205" s="27"/>
      <c r="F205" s="27"/>
      <c r="G205" s="27"/>
      <c r="H205" s="27"/>
      <c r="I205" s="27"/>
      <c r="J205" s="27" t="n">
        <f aca="false">'COLECTOR MOV. TIERRAS'!O16</f>
        <v>3.6</v>
      </c>
      <c r="K205" s="27"/>
      <c r="L205" s="26"/>
    </row>
    <row r="206" customFormat="false" ht="15" hidden="false" customHeight="true" outlineLevel="0" collapsed="false">
      <c r="A206" s="26"/>
      <c r="B206" s="26" t="s">
        <v>179</v>
      </c>
      <c r="C206" s="27" t="n">
        <v>1</v>
      </c>
      <c r="D206" s="27"/>
      <c r="E206" s="27"/>
      <c r="F206" s="27"/>
      <c r="G206" s="27"/>
      <c r="H206" s="27"/>
      <c r="I206" s="27"/>
      <c r="J206" s="27" t="n">
        <f aca="false">'COLECTOR MOV. TIERRAS'!O21</f>
        <v>2.66</v>
      </c>
      <c r="K206" s="27"/>
      <c r="L206" s="26"/>
    </row>
    <row r="207" customFormat="false" ht="15" hidden="false" customHeight="true" outlineLevel="0" collapsed="false">
      <c r="A207" s="26"/>
      <c r="B207" s="26" t="s">
        <v>180</v>
      </c>
      <c r="C207" s="27" t="n">
        <v>1</v>
      </c>
      <c r="D207" s="27"/>
      <c r="E207" s="27"/>
      <c r="F207" s="27"/>
      <c r="G207" s="27"/>
      <c r="H207" s="27"/>
      <c r="I207" s="27"/>
      <c r="J207" s="27" t="n">
        <f aca="false">'COLECTOR MOV. TIERRAS'!O22</f>
        <v>7.41</v>
      </c>
      <c r="K207" s="27"/>
      <c r="L207" s="26"/>
    </row>
    <row r="208" customFormat="false" ht="61.5" hidden="false" customHeight="true" outlineLevel="0" collapsed="false">
      <c r="A208" s="24" t="s">
        <v>113</v>
      </c>
      <c r="B208" s="24" t="s">
        <v>31</v>
      </c>
      <c r="C208" s="25"/>
      <c r="D208" s="25"/>
      <c r="E208" s="25"/>
      <c r="F208" s="25"/>
      <c r="G208" s="25"/>
      <c r="H208" s="25"/>
      <c r="I208" s="25"/>
      <c r="J208" s="25"/>
      <c r="K208" s="25" t="n">
        <f aca="false">SUM(J209:J224)</f>
        <v>82.7733350000001</v>
      </c>
      <c r="L208" s="24" t="s">
        <v>25</v>
      </c>
    </row>
    <row r="209" customFormat="false" ht="30.75" hidden="false" customHeight="true" outlineLevel="0" collapsed="false">
      <c r="A209" s="26"/>
      <c r="B209" s="26" t="s">
        <v>181</v>
      </c>
      <c r="C209" s="27" t="n">
        <v>1</v>
      </c>
      <c r="D209" s="27"/>
      <c r="E209" s="27"/>
      <c r="F209" s="27"/>
      <c r="G209" s="27"/>
      <c r="H209" s="27"/>
      <c r="I209" s="27"/>
      <c r="J209" s="27" t="n">
        <f aca="false">'COLECTOR MOV. TIERRAS'!P10</f>
        <v>18.3582</v>
      </c>
      <c r="K209" s="27"/>
      <c r="L209" s="26"/>
    </row>
    <row r="210" customFormat="false" ht="30.75" hidden="false" customHeight="true" outlineLevel="0" collapsed="false">
      <c r="A210" s="26"/>
      <c r="B210" s="26" t="s">
        <v>182</v>
      </c>
      <c r="C210" s="27" t="n">
        <v>1</v>
      </c>
      <c r="D210" s="27"/>
      <c r="E210" s="27"/>
      <c r="F210" s="27"/>
      <c r="G210" s="27"/>
      <c r="H210" s="27"/>
      <c r="I210" s="27"/>
      <c r="J210" s="27" t="n">
        <f aca="false">'COLECTOR MOV. TIERRAS'!P11</f>
        <v>3.19137</v>
      </c>
      <c r="K210" s="27"/>
      <c r="L210" s="26"/>
    </row>
    <row r="211" customFormat="false" ht="30.75" hidden="false" customHeight="true" outlineLevel="0" collapsed="false">
      <c r="A211" s="26"/>
      <c r="B211" s="26" t="s">
        <v>183</v>
      </c>
      <c r="C211" s="27" t="n">
        <v>1</v>
      </c>
      <c r="D211" s="27"/>
      <c r="E211" s="27"/>
      <c r="F211" s="27"/>
      <c r="G211" s="27"/>
      <c r="H211" s="27"/>
      <c r="I211" s="27"/>
      <c r="J211" s="27" t="n">
        <f aca="false">'COLECTOR MOV. TIERRAS'!P12</f>
        <v>5.27364</v>
      </c>
      <c r="K211" s="27"/>
      <c r="L211" s="26"/>
    </row>
    <row r="212" customFormat="false" ht="30.75" hidden="false" customHeight="true" outlineLevel="0" collapsed="false">
      <c r="A212" s="26"/>
      <c r="B212" s="26" t="s">
        <v>184</v>
      </c>
      <c r="C212" s="27" t="n">
        <v>1</v>
      </c>
      <c r="D212" s="27"/>
      <c r="E212" s="27"/>
      <c r="F212" s="27"/>
      <c r="G212" s="27"/>
      <c r="H212" s="27"/>
      <c r="I212" s="27"/>
      <c r="J212" s="27" t="n">
        <f aca="false">'COLECTOR MOV. TIERRAS'!P13</f>
        <v>1.605</v>
      </c>
      <c r="K212" s="27"/>
      <c r="L212" s="26"/>
    </row>
    <row r="213" customFormat="false" ht="30.75" hidden="false" customHeight="true" outlineLevel="0" collapsed="false">
      <c r="A213" s="26"/>
      <c r="B213" s="26" t="s">
        <v>185</v>
      </c>
      <c r="C213" s="27" t="n">
        <v>1</v>
      </c>
      <c r="D213" s="27"/>
      <c r="E213" s="27"/>
      <c r="F213" s="27"/>
      <c r="G213" s="27"/>
      <c r="H213" s="27"/>
      <c r="I213" s="27"/>
      <c r="J213" s="27" t="n">
        <f aca="false">'COLECTOR MOV. TIERRAS'!P14</f>
        <v>10.262175</v>
      </c>
      <c r="K213" s="27"/>
      <c r="L213" s="26"/>
    </row>
    <row r="214" customFormat="false" ht="30.75" hidden="false" customHeight="true" outlineLevel="0" collapsed="false">
      <c r="A214" s="26"/>
      <c r="B214" s="26" t="s">
        <v>186</v>
      </c>
      <c r="C214" s="27" t="n">
        <v>1</v>
      </c>
      <c r="D214" s="27"/>
      <c r="E214" s="27"/>
      <c r="F214" s="27"/>
      <c r="G214" s="27"/>
      <c r="H214" s="27"/>
      <c r="I214" s="27"/>
      <c r="J214" s="27" t="n">
        <f aca="false">'COLECTOR MOV. TIERRAS'!P15</f>
        <v>4.17332</v>
      </c>
      <c r="K214" s="27"/>
      <c r="L214" s="26"/>
    </row>
    <row r="215" customFormat="false" ht="30.75" hidden="false" customHeight="true" outlineLevel="0" collapsed="false">
      <c r="A215" s="26"/>
      <c r="B215" s="26" t="s">
        <v>187</v>
      </c>
      <c r="C215" s="27" t="n">
        <v>1</v>
      </c>
      <c r="D215" s="27"/>
      <c r="E215" s="27"/>
      <c r="F215" s="27"/>
      <c r="G215" s="27"/>
      <c r="H215" s="27"/>
      <c r="I215" s="27"/>
      <c r="J215" s="27" t="n">
        <f aca="false">'COLECTOR MOV. TIERRAS'!P16</f>
        <v>1.593</v>
      </c>
      <c r="K215" s="27"/>
      <c r="L215" s="26"/>
    </row>
    <row r="216" customFormat="false" ht="30.75" hidden="false" customHeight="true" outlineLevel="0" collapsed="false">
      <c r="A216" s="26"/>
      <c r="B216" s="26" t="s">
        <v>188</v>
      </c>
      <c r="C216" s="27" t="n">
        <v>1</v>
      </c>
      <c r="D216" s="27"/>
      <c r="E216" s="27"/>
      <c r="F216" s="27"/>
      <c r="G216" s="27"/>
      <c r="H216" s="27"/>
      <c r="I216" s="27"/>
      <c r="J216" s="27" t="n">
        <f aca="false">'COLECTOR MOV. TIERRAS'!Q10</f>
        <v>9.0804</v>
      </c>
      <c r="K216" s="27"/>
      <c r="L216" s="26"/>
    </row>
    <row r="217" customFormat="false" ht="30.75" hidden="false" customHeight="true" outlineLevel="0" collapsed="false">
      <c r="A217" s="26"/>
      <c r="B217" s="26" t="s">
        <v>189</v>
      </c>
      <c r="C217" s="27" t="n">
        <v>1</v>
      </c>
      <c r="D217" s="27"/>
      <c r="E217" s="27"/>
      <c r="F217" s="27"/>
      <c r="G217" s="27"/>
      <c r="H217" s="27"/>
      <c r="I217" s="27"/>
      <c r="J217" s="27" t="n">
        <f aca="false">'COLECTOR MOV. TIERRAS'!Q11</f>
        <v>2.57013</v>
      </c>
      <c r="K217" s="27"/>
      <c r="L217" s="26"/>
    </row>
    <row r="218" customFormat="false" ht="30.75" hidden="false" customHeight="true" outlineLevel="0" collapsed="false">
      <c r="A218" s="26"/>
      <c r="B218" s="26" t="s">
        <v>190</v>
      </c>
      <c r="C218" s="27" t="n">
        <v>1</v>
      </c>
      <c r="D218" s="27"/>
      <c r="E218" s="27"/>
      <c r="F218" s="27"/>
      <c r="G218" s="27"/>
      <c r="H218" s="27"/>
      <c r="I218" s="27"/>
      <c r="J218" s="27" t="n">
        <f aca="false">'COLECTOR MOV. TIERRAS'!Q12</f>
        <v>3.36927</v>
      </c>
      <c r="K218" s="27"/>
      <c r="L218" s="26"/>
    </row>
    <row r="219" customFormat="false" ht="30.75" hidden="false" customHeight="true" outlineLevel="0" collapsed="false">
      <c r="A219" s="26"/>
      <c r="B219" s="26" t="s">
        <v>191</v>
      </c>
      <c r="C219" s="27" t="n">
        <v>1</v>
      </c>
      <c r="D219" s="27"/>
      <c r="E219" s="27"/>
      <c r="F219" s="27"/>
      <c r="G219" s="27"/>
      <c r="H219" s="27"/>
      <c r="I219" s="27"/>
      <c r="J219" s="27" t="n">
        <f aca="false">'COLECTOR MOV. TIERRAS'!Q13</f>
        <v>0.43</v>
      </c>
      <c r="K219" s="27"/>
      <c r="L219" s="26"/>
    </row>
    <row r="220" customFormat="false" ht="30.75" hidden="false" customHeight="true" outlineLevel="0" collapsed="false">
      <c r="A220" s="26"/>
      <c r="B220" s="26" t="s">
        <v>192</v>
      </c>
      <c r="C220" s="27" t="n">
        <v>1</v>
      </c>
      <c r="D220" s="27"/>
      <c r="E220" s="27"/>
      <c r="F220" s="27"/>
      <c r="G220" s="27"/>
      <c r="H220" s="27"/>
      <c r="I220" s="27"/>
      <c r="J220" s="27" t="n">
        <f aca="false">'COLECTOR MOV. TIERRAS'!Q14</f>
        <v>12.35015</v>
      </c>
      <c r="K220" s="27"/>
      <c r="L220" s="26"/>
    </row>
    <row r="221" customFormat="false" ht="30.75" hidden="false" customHeight="true" outlineLevel="0" collapsed="false">
      <c r="A221" s="26"/>
      <c r="B221" s="26" t="s">
        <v>193</v>
      </c>
      <c r="C221" s="27" t="n">
        <v>1</v>
      </c>
      <c r="D221" s="27"/>
      <c r="E221" s="27"/>
      <c r="F221" s="27"/>
      <c r="G221" s="27"/>
      <c r="H221" s="27"/>
      <c r="I221" s="27"/>
      <c r="J221" s="27" t="n">
        <f aca="false">'COLECTOR MOV. TIERRAS'!Q15</f>
        <v>6.9084</v>
      </c>
      <c r="K221" s="27"/>
      <c r="L221" s="26"/>
    </row>
    <row r="222" customFormat="false" ht="30.75" hidden="false" customHeight="true" outlineLevel="0" collapsed="false">
      <c r="A222" s="26"/>
      <c r="B222" s="26" t="s">
        <v>194</v>
      </c>
      <c r="C222" s="27" t="n">
        <v>1</v>
      </c>
      <c r="D222" s="27"/>
      <c r="E222" s="27"/>
      <c r="F222" s="27"/>
      <c r="G222" s="27"/>
      <c r="H222" s="27"/>
      <c r="I222" s="27"/>
      <c r="J222" s="27" t="n">
        <f aca="false">'COLECTOR MOV. TIERRAS'!Q16</f>
        <v>2.529</v>
      </c>
      <c r="K222" s="27"/>
      <c r="L222" s="26"/>
    </row>
    <row r="223" customFormat="false" ht="15" hidden="false" customHeight="true" outlineLevel="0" collapsed="false">
      <c r="A223" s="26"/>
      <c r="B223" s="26" t="s">
        <v>179</v>
      </c>
      <c r="C223" s="27" t="n">
        <v>1</v>
      </c>
      <c r="D223" s="27"/>
      <c r="E223" s="27"/>
      <c r="F223" s="27"/>
      <c r="G223" s="27"/>
      <c r="H223" s="27"/>
      <c r="I223" s="27"/>
      <c r="J223" s="27" t="n">
        <f aca="false">'COLECTOR MOV. TIERRAS'!P21</f>
        <v>1.07928000000013</v>
      </c>
      <c r="K223" s="27"/>
      <c r="L223" s="26"/>
    </row>
    <row r="224" customFormat="false" ht="15" hidden="false" customHeight="true" outlineLevel="0" collapsed="false">
      <c r="A224" s="26"/>
      <c r="B224" s="26" t="s">
        <v>180</v>
      </c>
      <c r="C224" s="27" t="n">
        <v>1</v>
      </c>
      <c r="D224" s="27"/>
      <c r="E224" s="27"/>
      <c r="F224" s="27"/>
      <c r="G224" s="27"/>
      <c r="H224" s="27"/>
      <c r="I224" s="27"/>
      <c r="J224" s="27" t="n">
        <f aca="false">'COLECTOR MOV. TIERRAS'!P22</f>
        <v>0.0</v>
      </c>
      <c r="K224" s="27"/>
      <c r="L224" s="26"/>
    </row>
    <row r="225" customFormat="false" ht="30.75" hidden="false" customHeight="true" outlineLevel="0" collapsed="false">
      <c r="A225" s="24" t="s">
        <v>114</v>
      </c>
      <c r="B225" s="24" t="s">
        <v>33</v>
      </c>
      <c r="C225" s="25"/>
      <c r="D225" s="25"/>
      <c r="E225" s="25"/>
      <c r="F225" s="25"/>
      <c r="G225" s="25"/>
      <c r="H225" s="25"/>
      <c r="I225" s="25"/>
      <c r="J225" s="25"/>
      <c r="K225" s="25" t="n">
        <f aca="false">SUM(J226:J227)*PARAMETROS!$B$16</f>
        <v>98.5452491999995</v>
      </c>
      <c r="L225" s="24" t="s">
        <v>25</v>
      </c>
    </row>
    <row r="226" customFormat="false" ht="15" hidden="false" customHeight="true" outlineLevel="0" collapsed="false">
      <c r="A226" s="26"/>
      <c r="B226" s="26" t="s">
        <v>195</v>
      </c>
      <c r="C226" s="27" t="n">
        <v>1</v>
      </c>
      <c r="D226" s="27"/>
      <c r="E226" s="27"/>
      <c r="F226" s="27"/>
      <c r="G226" s="27"/>
      <c r="H226" s="27"/>
      <c r="I226" s="27"/>
      <c r="J226" s="27" t="n">
        <f aca="false">K188</f>
        <v>164.894376</v>
      </c>
      <c r="K226" s="27"/>
      <c r="L226" s="26"/>
    </row>
    <row r="227" customFormat="false" ht="15" hidden="false" customHeight="true" outlineLevel="0" collapsed="false">
      <c r="A227" s="26"/>
      <c r="B227" s="26" t="s">
        <v>196</v>
      </c>
      <c r="C227" s="27" t="n">
        <v>-1</v>
      </c>
      <c r="D227" s="27"/>
      <c r="E227" s="27"/>
      <c r="F227" s="27"/>
      <c r="G227" s="27"/>
      <c r="H227" s="27"/>
      <c r="I227" s="27"/>
      <c r="J227" s="27" t="n">
        <f aca="false">-K208</f>
        <v>-82.7733350000001</v>
      </c>
      <c r="K227" s="27"/>
      <c r="L227" s="26"/>
    </row>
    <row r="228" customFormat="false" ht="15" hidden="false" customHeight="true" outlineLevel="0" collapsed="false">
      <c r="A228" s="23" t="s">
        <v>115</v>
      </c>
      <c r="B228" s="23" t="s">
        <v>35</v>
      </c>
      <c r="C228" s="65"/>
      <c r="D228" s="65"/>
      <c r="E228" s="65"/>
      <c r="F228" s="65"/>
      <c r="G228" s="65"/>
      <c r="H228" s="65"/>
      <c r="I228" s="65"/>
      <c r="J228" s="65"/>
      <c r="K228" s="65"/>
      <c r="L228" s="66"/>
    </row>
    <row r="229" customFormat="false" ht="30.75" hidden="false" customHeight="true" outlineLevel="0" collapsed="false">
      <c r="A229" s="24" t="s">
        <v>116</v>
      </c>
      <c r="B229" s="24" t="s">
        <v>117</v>
      </c>
      <c r="C229" s="25"/>
      <c r="D229" s="25"/>
      <c r="E229" s="25"/>
      <c r="F229" s="25"/>
      <c r="G229" s="25"/>
      <c r="H229" s="25"/>
      <c r="I229" s="25"/>
      <c r="J229" s="25"/>
      <c r="K229" s="25" t="n">
        <f aca="false">SUM(J230:J238)</f>
        <v>93.938</v>
      </c>
      <c r="L229" s="24" t="s">
        <v>18</v>
      </c>
    </row>
    <row r="230" customFormat="false" ht="15" hidden="false" customHeight="true" outlineLevel="0" collapsed="false">
      <c r="A230" s="26"/>
      <c r="B230" s="26" t="s">
        <v>172</v>
      </c>
      <c r="C230" s="27" t="n">
        <v>1</v>
      </c>
      <c r="D230" s="27"/>
      <c r="E230" s="27"/>
      <c r="F230" s="27"/>
      <c r="G230" s="27"/>
      <c r="H230" s="27"/>
      <c r="I230" s="27"/>
      <c r="J230" s="27" t="n">
        <f aca="false">'COLECTOR CONCRETO'!H10</f>
        <v>31.584</v>
      </c>
      <c r="K230" s="27"/>
      <c r="L230" s="26"/>
    </row>
    <row r="231" customFormat="false" ht="30.75" hidden="false" customHeight="true" outlineLevel="0" collapsed="false">
      <c r="A231" s="26"/>
      <c r="B231" s="26" t="s">
        <v>173</v>
      </c>
      <c r="C231" s="27" t="n">
        <v>1</v>
      </c>
      <c r="D231" s="27"/>
      <c r="E231" s="27"/>
      <c r="F231" s="27"/>
      <c r="G231" s="27"/>
      <c r="H231" s="27"/>
      <c r="I231" s="27"/>
      <c r="J231" s="27" t="n">
        <f aca="false">'COLECTOR CONCRETO'!H11</f>
        <v>6.012</v>
      </c>
      <c r="K231" s="27"/>
      <c r="L231" s="26"/>
    </row>
    <row r="232" customFormat="false" ht="15" hidden="false" customHeight="true" outlineLevel="0" collapsed="false">
      <c r="A232" s="26"/>
      <c r="B232" s="26" t="s">
        <v>174</v>
      </c>
      <c r="C232" s="27" t="n">
        <v>1</v>
      </c>
      <c r="D232" s="27"/>
      <c r="E232" s="27"/>
      <c r="F232" s="27"/>
      <c r="G232" s="27"/>
      <c r="H232" s="27"/>
      <c r="I232" s="27"/>
      <c r="J232" s="27" t="n">
        <f aca="false">'COLECTOR CONCRETO'!H12</f>
        <v>9.252</v>
      </c>
      <c r="K232" s="27"/>
      <c r="L232" s="26"/>
    </row>
    <row r="233" customFormat="false" ht="15" hidden="false" customHeight="true" outlineLevel="0" collapsed="false">
      <c r="A233" s="26"/>
      <c r="B233" s="26" t="s">
        <v>175</v>
      </c>
      <c r="C233" s="27" t="n">
        <v>1</v>
      </c>
      <c r="D233" s="27"/>
      <c r="E233" s="27"/>
      <c r="F233" s="27"/>
      <c r="G233" s="27"/>
      <c r="H233" s="27"/>
      <c r="I233" s="27"/>
      <c r="J233" s="27" t="n">
        <f aca="false">'COLECTOR CONCRETO'!H13</f>
        <v>2.4</v>
      </c>
      <c r="K233" s="27"/>
      <c r="L233" s="26"/>
    </row>
    <row r="234" customFormat="false" ht="15" hidden="false" customHeight="true" outlineLevel="0" collapsed="false">
      <c r="A234" s="26"/>
      <c r="B234" s="26" t="s">
        <v>176</v>
      </c>
      <c r="C234" s="27" t="n">
        <v>1</v>
      </c>
      <c r="D234" s="27"/>
      <c r="E234" s="27"/>
      <c r="F234" s="27"/>
      <c r="G234" s="27"/>
      <c r="H234" s="27"/>
      <c r="I234" s="27"/>
      <c r="J234" s="27" t="n">
        <f aca="false">'COLECTOR CONCRETO'!H14</f>
        <v>21.324</v>
      </c>
      <c r="K234" s="27"/>
      <c r="L234" s="26"/>
    </row>
    <row r="235" customFormat="false" ht="30.75" hidden="false" customHeight="true" outlineLevel="0" collapsed="false">
      <c r="A235" s="26"/>
      <c r="B235" s="26" t="s">
        <v>177</v>
      </c>
      <c r="C235" s="27" t="n">
        <v>1</v>
      </c>
      <c r="D235" s="27"/>
      <c r="E235" s="27"/>
      <c r="F235" s="27"/>
      <c r="G235" s="27"/>
      <c r="H235" s="27"/>
      <c r="I235" s="27"/>
      <c r="J235" s="27" t="n">
        <f aca="false">'COLECTOR CONCRETO'!H15</f>
        <v>9.696</v>
      </c>
      <c r="K235" s="27"/>
      <c r="L235" s="26"/>
    </row>
    <row r="236" customFormat="false" ht="15" hidden="false" customHeight="true" outlineLevel="0" collapsed="false">
      <c r="A236" s="26"/>
      <c r="B236" s="26" t="s">
        <v>178</v>
      </c>
      <c r="C236" s="27" t="n">
        <v>1</v>
      </c>
      <c r="D236" s="27"/>
      <c r="E236" s="27"/>
      <c r="F236" s="27"/>
      <c r="G236" s="27"/>
      <c r="H236" s="27"/>
      <c r="I236" s="27"/>
      <c r="J236" s="27" t="n">
        <f aca="false">'COLECTOR CONCRETO'!H16</f>
        <v>3.6</v>
      </c>
      <c r="K236" s="27"/>
      <c r="L236" s="26"/>
    </row>
    <row r="237" customFormat="false" ht="15" hidden="false" customHeight="true" outlineLevel="0" collapsed="false">
      <c r="A237" s="26"/>
      <c r="B237" s="26" t="s">
        <v>179</v>
      </c>
      <c r="C237" s="27" t="n">
        <v>1</v>
      </c>
      <c r="D237" s="27"/>
      <c r="E237" s="27"/>
      <c r="F237" s="27"/>
      <c r="G237" s="27"/>
      <c r="H237" s="27"/>
      <c r="I237" s="27"/>
      <c r="J237" s="27" t="n">
        <f aca="false">SUM('COLECTOR CONCRETO'!H21:H32)</f>
        <v>2.66</v>
      </c>
      <c r="K237" s="27"/>
      <c r="L237" s="26"/>
    </row>
    <row r="238" customFormat="false" ht="15" hidden="false" customHeight="true" outlineLevel="0" collapsed="false">
      <c r="A238" s="26"/>
      <c r="B238" s="26" t="s">
        <v>180</v>
      </c>
      <c r="C238" s="27" t="n">
        <v>1</v>
      </c>
      <c r="D238" s="27"/>
      <c r="E238" s="27"/>
      <c r="F238" s="27"/>
      <c r="G238" s="27"/>
      <c r="H238" s="27"/>
      <c r="I238" s="27"/>
      <c r="J238" s="27" t="n">
        <f aca="false">SUM('COLECTOR CONCRETO'!H33:H43)</f>
        <v>7.41</v>
      </c>
      <c r="K238" s="27"/>
      <c r="L238" s="26"/>
    </row>
    <row r="239" customFormat="false" ht="30.75" hidden="false" customHeight="true" outlineLevel="0" collapsed="false">
      <c r="A239" s="23" t="s">
        <v>118</v>
      </c>
      <c r="B239" s="23" t="s">
        <v>119</v>
      </c>
      <c r="C239" s="65"/>
      <c r="D239" s="65"/>
      <c r="E239" s="65"/>
      <c r="F239" s="65"/>
      <c r="G239" s="65"/>
      <c r="H239" s="65"/>
      <c r="I239" s="65"/>
      <c r="J239" s="65"/>
      <c r="K239" s="65"/>
      <c r="L239" s="66"/>
    </row>
    <row r="240" customFormat="false" ht="30.75" hidden="false" customHeight="true" outlineLevel="0" collapsed="false">
      <c r="A240" s="24" t="s">
        <v>120</v>
      </c>
      <c r="B240" s="24" t="s">
        <v>121</v>
      </c>
      <c r="C240" s="25"/>
      <c r="D240" s="25"/>
      <c r="E240" s="25"/>
      <c r="F240" s="25"/>
      <c r="G240" s="25"/>
      <c r="H240" s="25"/>
      <c r="I240" s="25"/>
      <c r="J240" s="25"/>
      <c r="K240" s="25" t="n">
        <f aca="false">SUM(J241:J271)</f>
        <v>58.3136159999999</v>
      </c>
      <c r="L240" s="24" t="s">
        <v>25</v>
      </c>
    </row>
    <row r="241" customFormat="false" ht="15" hidden="false" customHeight="true" outlineLevel="0" collapsed="false">
      <c r="A241" s="26"/>
      <c r="B241" s="26" t="s">
        <v>197</v>
      </c>
      <c r="C241" s="27" t="n">
        <v>1</v>
      </c>
      <c r="D241" s="27"/>
      <c r="E241" s="27"/>
      <c r="F241" s="27"/>
      <c r="G241" s="27"/>
      <c r="H241" s="27"/>
      <c r="I241" s="27"/>
      <c r="J241" s="27" t="n">
        <f aca="false">'COLECTOR CONCRETO'!I10</f>
        <v>4.3428</v>
      </c>
      <c r="K241" s="27"/>
      <c r="L241" s="26"/>
    </row>
    <row r="242" customFormat="false" ht="30.75" hidden="false" customHeight="true" outlineLevel="0" collapsed="false">
      <c r="A242" s="26"/>
      <c r="B242" s="26" t="s">
        <v>198</v>
      </c>
      <c r="C242" s="27" t="n">
        <v>1</v>
      </c>
      <c r="D242" s="27"/>
      <c r="E242" s="27"/>
      <c r="F242" s="27"/>
      <c r="G242" s="27"/>
      <c r="H242" s="27"/>
      <c r="I242" s="27"/>
      <c r="J242" s="27" t="n">
        <f aca="false">'COLECTOR CONCRETO'!I11</f>
        <v>0.82665</v>
      </c>
      <c r="K242" s="27"/>
      <c r="L242" s="26"/>
    </row>
    <row r="243" customFormat="false" ht="15" hidden="false" customHeight="true" outlineLevel="0" collapsed="false">
      <c r="A243" s="26"/>
      <c r="B243" s="26" t="s">
        <v>199</v>
      </c>
      <c r="C243" s="27" t="n">
        <v>1</v>
      </c>
      <c r="D243" s="27"/>
      <c r="E243" s="27"/>
      <c r="F243" s="27"/>
      <c r="G243" s="27"/>
      <c r="H243" s="27"/>
      <c r="I243" s="27"/>
      <c r="J243" s="27" t="n">
        <f aca="false">'COLECTOR CONCRETO'!I12</f>
        <v>1.27215</v>
      </c>
      <c r="K243" s="27"/>
      <c r="L243" s="26"/>
    </row>
    <row r="244" customFormat="false" ht="15" hidden="false" customHeight="true" outlineLevel="0" collapsed="false">
      <c r="A244" s="26"/>
      <c r="B244" s="26" t="s">
        <v>200</v>
      </c>
      <c r="C244" s="27" t="n">
        <v>1</v>
      </c>
      <c r="D244" s="27"/>
      <c r="E244" s="27"/>
      <c r="F244" s="27"/>
      <c r="G244" s="27"/>
      <c r="H244" s="27"/>
      <c r="I244" s="27"/>
      <c r="J244" s="27" t="n">
        <f aca="false">'COLECTOR CONCRETO'!I13</f>
        <v>0.33</v>
      </c>
      <c r="K244" s="27"/>
      <c r="L244" s="26"/>
    </row>
    <row r="245" customFormat="false" ht="15" hidden="false" customHeight="true" outlineLevel="0" collapsed="false">
      <c r="A245" s="26"/>
      <c r="B245" s="26" t="s">
        <v>201</v>
      </c>
      <c r="C245" s="27" t="n">
        <v>1</v>
      </c>
      <c r="D245" s="27"/>
      <c r="E245" s="27"/>
      <c r="F245" s="27"/>
      <c r="G245" s="27"/>
      <c r="H245" s="27"/>
      <c r="I245" s="27"/>
      <c r="J245" s="27" t="n">
        <f aca="false">'COLECTOR CONCRETO'!I14</f>
        <v>2.93205</v>
      </c>
      <c r="K245" s="27"/>
      <c r="L245" s="26"/>
    </row>
    <row r="246" customFormat="false" ht="30.75" hidden="false" customHeight="true" outlineLevel="0" collapsed="false">
      <c r="A246" s="26"/>
      <c r="B246" s="26" t="s">
        <v>202</v>
      </c>
      <c r="C246" s="27" t="n">
        <v>1</v>
      </c>
      <c r="D246" s="27"/>
      <c r="E246" s="27"/>
      <c r="F246" s="27"/>
      <c r="G246" s="27"/>
      <c r="H246" s="27"/>
      <c r="I246" s="27"/>
      <c r="J246" s="27" t="n">
        <f aca="false">'COLECTOR CONCRETO'!I15</f>
        <v>1.3332</v>
      </c>
      <c r="K246" s="27"/>
      <c r="L246" s="26"/>
    </row>
    <row r="247" customFormat="false" ht="15" hidden="false" customHeight="true" outlineLevel="0" collapsed="false">
      <c r="A247" s="26"/>
      <c r="B247" s="26" t="s">
        <v>203</v>
      </c>
      <c r="C247" s="27" t="n">
        <v>1</v>
      </c>
      <c r="D247" s="27"/>
      <c r="E247" s="27"/>
      <c r="F247" s="27"/>
      <c r="G247" s="27"/>
      <c r="H247" s="27"/>
      <c r="I247" s="27"/>
      <c r="J247" s="27" t="n">
        <f aca="false">'COLECTOR CONCRETO'!I16</f>
        <v>0.495</v>
      </c>
      <c r="K247" s="27"/>
      <c r="L247" s="26"/>
    </row>
    <row r="248" customFormat="false" ht="15" hidden="false" customHeight="true" outlineLevel="0" collapsed="false">
      <c r="A248" s="26"/>
      <c r="B248" s="26" t="s">
        <v>204</v>
      </c>
      <c r="C248" s="27" t="n">
        <v>1</v>
      </c>
      <c r="D248" s="27"/>
      <c r="E248" s="27"/>
      <c r="F248" s="27"/>
      <c r="G248" s="27"/>
      <c r="H248" s="27"/>
      <c r="I248" s="27"/>
      <c r="J248" s="27" t="n">
        <f aca="false">SUM('COLECTOR CONCRETO'!I21:I32)</f>
        <v>0.351</v>
      </c>
      <c r="K248" s="27"/>
      <c r="L248" s="26"/>
    </row>
    <row r="249" customFormat="false" ht="15" hidden="false" customHeight="true" outlineLevel="0" collapsed="false">
      <c r="A249" s="26"/>
      <c r="B249" s="26" t="s">
        <v>205</v>
      </c>
      <c r="C249" s="27" t="n">
        <v>1</v>
      </c>
      <c r="D249" s="27"/>
      <c r="E249" s="27"/>
      <c r="F249" s="27"/>
      <c r="G249" s="27"/>
      <c r="H249" s="27"/>
      <c r="I249" s="27"/>
      <c r="J249" s="27" t="n">
        <f aca="false">SUM('COLECTOR CONCRETO'!I33:I43)</f>
        <v>1.176</v>
      </c>
      <c r="K249" s="27"/>
      <c r="L249" s="26"/>
    </row>
    <row r="250" customFormat="false" ht="15" hidden="false" customHeight="true" outlineLevel="0" collapsed="false">
      <c r="A250" s="26"/>
      <c r="B250" s="26" t="s">
        <v>206</v>
      </c>
      <c r="C250" s="27"/>
      <c r="D250" s="27"/>
      <c r="E250" s="27"/>
      <c r="F250" s="27"/>
      <c r="G250" s="27"/>
      <c r="H250" s="27"/>
      <c r="I250" s="27"/>
      <c r="J250" s="27"/>
      <c r="K250" s="27"/>
      <c r="L250" s="26"/>
    </row>
    <row r="251" customFormat="false" ht="15" hidden="false" customHeight="true" outlineLevel="0" collapsed="false">
      <c r="A251" s="26"/>
      <c r="B251" s="26" t="s">
        <v>172</v>
      </c>
      <c r="C251" s="27" t="n">
        <v>1</v>
      </c>
      <c r="D251" s="27"/>
      <c r="E251" s="27"/>
      <c r="F251" s="27"/>
      <c r="G251" s="27"/>
      <c r="H251" s="27"/>
      <c r="I251" s="27"/>
      <c r="J251" s="27" t="n">
        <f aca="false">'COLECTOR CONCRETO'!J10</f>
        <v>11.362344</v>
      </c>
      <c r="K251" s="27"/>
      <c r="L251" s="26"/>
    </row>
    <row r="252" customFormat="false" ht="30.75" hidden="false" customHeight="true" outlineLevel="0" collapsed="false">
      <c r="A252" s="26"/>
      <c r="B252" s="26" t="s">
        <v>173</v>
      </c>
      <c r="C252" s="27" t="n">
        <v>1</v>
      </c>
      <c r="D252" s="27"/>
      <c r="E252" s="27"/>
      <c r="F252" s="27"/>
      <c r="G252" s="27"/>
      <c r="H252" s="27"/>
      <c r="I252" s="27"/>
      <c r="J252" s="27" t="n">
        <f aca="false">'COLECTOR CONCRETO'!J11</f>
        <v>2.008008</v>
      </c>
      <c r="K252" s="27"/>
      <c r="L252" s="26"/>
    </row>
    <row r="253" customFormat="false" ht="15" hidden="false" customHeight="true" outlineLevel="0" collapsed="false">
      <c r="A253" s="26"/>
      <c r="B253" s="26" t="s">
        <v>174</v>
      </c>
      <c r="C253" s="27" t="n">
        <v>1</v>
      </c>
      <c r="D253" s="27"/>
      <c r="E253" s="27"/>
      <c r="F253" s="27"/>
      <c r="G253" s="27"/>
      <c r="H253" s="27"/>
      <c r="I253" s="27"/>
      <c r="J253" s="27" t="n">
        <f aca="false">'COLECTOR CONCRETO'!J12</f>
        <v>3.483378</v>
      </c>
      <c r="K253" s="27"/>
      <c r="L253" s="26"/>
    </row>
    <row r="254" customFormat="false" ht="15" hidden="false" customHeight="true" outlineLevel="0" collapsed="false">
      <c r="A254" s="26"/>
      <c r="B254" s="26" t="s">
        <v>175</v>
      </c>
      <c r="C254" s="27" t="n">
        <v>1</v>
      </c>
      <c r="D254" s="27"/>
      <c r="E254" s="27"/>
      <c r="F254" s="27"/>
      <c r="G254" s="27"/>
      <c r="H254" s="27"/>
      <c r="I254" s="27"/>
      <c r="J254" s="27" t="n">
        <f aca="false">'COLECTOR CONCRETO'!J13</f>
        <v>0.912</v>
      </c>
      <c r="K254" s="27"/>
      <c r="L254" s="26"/>
    </row>
    <row r="255" customFormat="false" ht="15" hidden="false" customHeight="true" outlineLevel="0" collapsed="false">
      <c r="A255" s="26"/>
      <c r="B255" s="26" t="s">
        <v>176</v>
      </c>
      <c r="C255" s="27" t="n">
        <v>1</v>
      </c>
      <c r="D255" s="27"/>
      <c r="E255" s="27"/>
      <c r="F255" s="27"/>
      <c r="G255" s="27"/>
      <c r="H255" s="27"/>
      <c r="I255" s="27"/>
      <c r="J255" s="27" t="n">
        <f aca="false">'COLECTOR CONCRETO'!J14</f>
        <v>8.26305</v>
      </c>
      <c r="K255" s="27"/>
      <c r="L255" s="26"/>
    </row>
    <row r="256" customFormat="false" ht="30.75" hidden="false" customHeight="true" outlineLevel="0" collapsed="false">
      <c r="A256" s="26"/>
      <c r="B256" s="26" t="s">
        <v>177</v>
      </c>
      <c r="C256" s="27" t="n">
        <v>1</v>
      </c>
      <c r="D256" s="27"/>
      <c r="E256" s="27"/>
      <c r="F256" s="27"/>
      <c r="G256" s="27"/>
      <c r="H256" s="27"/>
      <c r="I256" s="27"/>
      <c r="J256" s="27" t="n">
        <f aca="false">'COLECTOR CONCRETO'!J15</f>
        <v>3.851736</v>
      </c>
      <c r="K256" s="27"/>
      <c r="L256" s="26"/>
    </row>
    <row r="257" customFormat="false" ht="15" hidden="false" customHeight="true" outlineLevel="0" collapsed="false">
      <c r="A257" s="26"/>
      <c r="B257" s="26" t="s">
        <v>178</v>
      </c>
      <c r="C257" s="27" t="n">
        <v>1</v>
      </c>
      <c r="D257" s="27"/>
      <c r="E257" s="27"/>
      <c r="F257" s="27"/>
      <c r="G257" s="27"/>
      <c r="H257" s="27"/>
      <c r="I257" s="27"/>
      <c r="J257" s="27" t="n">
        <f aca="false">'COLECTOR CONCRETO'!J16</f>
        <v>1.4445</v>
      </c>
      <c r="K257" s="27"/>
      <c r="L257" s="26"/>
    </row>
    <row r="258" customFormat="false" ht="30.75" hidden="false" customHeight="true" outlineLevel="0" collapsed="false">
      <c r="A258" s="26"/>
      <c r="B258" s="26" t="s">
        <v>207</v>
      </c>
      <c r="C258" s="27" t="n">
        <v>1</v>
      </c>
      <c r="D258" s="27"/>
      <c r="E258" s="27"/>
      <c r="F258" s="27"/>
      <c r="G258" s="27"/>
      <c r="H258" s="27"/>
      <c r="I258" s="27"/>
      <c r="J258" s="27" t="n">
        <f aca="false">SUM('COLECTOR CONCRETO'!J21:J32)</f>
        <v>1.62269999999996</v>
      </c>
      <c r="K258" s="27"/>
      <c r="L258" s="26"/>
    </row>
    <row r="259" customFormat="false" ht="30.75" hidden="false" customHeight="true" outlineLevel="0" collapsed="false">
      <c r="A259" s="26"/>
      <c r="B259" s="26" t="s">
        <v>208</v>
      </c>
      <c r="C259" s="27" t="n">
        <v>1</v>
      </c>
      <c r="D259" s="27"/>
      <c r="E259" s="27"/>
      <c r="F259" s="27"/>
      <c r="G259" s="27"/>
      <c r="H259" s="27"/>
      <c r="I259" s="27"/>
      <c r="J259" s="27" t="n">
        <f aca="false">SUM('COLECTOR CONCRETO'!J33:J43)</f>
        <v>2.91449999999992</v>
      </c>
      <c r="K259" s="27"/>
      <c r="L259" s="26"/>
    </row>
    <row r="260" customFormat="false" ht="15" hidden="false" customHeight="true" outlineLevel="0" collapsed="false">
      <c r="A260" s="26"/>
      <c r="B260" s="26" t="s">
        <v>209</v>
      </c>
      <c r="C260" s="27"/>
      <c r="D260" s="27"/>
      <c r="E260" s="27"/>
      <c r="F260" s="27"/>
      <c r="G260" s="27"/>
      <c r="H260" s="27"/>
      <c r="I260" s="27"/>
      <c r="J260" s="27"/>
      <c r="K260" s="27"/>
      <c r="L260" s="26"/>
    </row>
    <row r="261" customFormat="false" ht="15" hidden="false" customHeight="true" outlineLevel="0" collapsed="false">
      <c r="A261" s="26"/>
      <c r="B261" s="26" t="s">
        <v>172</v>
      </c>
      <c r="C261" s="27" t="n">
        <v>1</v>
      </c>
      <c r="D261" s="27"/>
      <c r="E261" s="27"/>
      <c r="F261" s="27"/>
      <c r="G261" s="27"/>
      <c r="H261" s="27"/>
      <c r="I261" s="27"/>
      <c r="J261" s="27" t="n">
        <f aca="false">'COLECTOR CONCRETO'!K10</f>
        <v>2.8952</v>
      </c>
      <c r="K261" s="27"/>
      <c r="L261" s="26"/>
    </row>
    <row r="262" customFormat="false" ht="30.75" hidden="false" customHeight="true" outlineLevel="0" collapsed="false">
      <c r="A262" s="26"/>
      <c r="B262" s="26" t="s">
        <v>173</v>
      </c>
      <c r="C262" s="27" t="n">
        <v>1</v>
      </c>
      <c r="D262" s="27"/>
      <c r="E262" s="27"/>
      <c r="F262" s="27"/>
      <c r="G262" s="27"/>
      <c r="H262" s="27"/>
      <c r="I262" s="27"/>
      <c r="J262" s="27" t="n">
        <f aca="false">'COLECTOR CONCRETO'!K11</f>
        <v>1.37775</v>
      </c>
      <c r="K262" s="27"/>
      <c r="L262" s="26"/>
    </row>
    <row r="263" customFormat="false" ht="15" hidden="false" customHeight="true" outlineLevel="0" collapsed="false">
      <c r="A263" s="26"/>
      <c r="B263" s="26" t="s">
        <v>174</v>
      </c>
      <c r="C263" s="27" t="n">
        <v>1</v>
      </c>
      <c r="D263" s="27"/>
      <c r="E263" s="27"/>
      <c r="F263" s="27"/>
      <c r="G263" s="27"/>
      <c r="H263" s="27"/>
      <c r="I263" s="27"/>
      <c r="J263" s="27" t="n">
        <f aca="false">'COLECTOR CONCRETO'!K12</f>
        <v>0.8481</v>
      </c>
      <c r="K263" s="27"/>
      <c r="L263" s="26"/>
    </row>
    <row r="264" customFormat="false" ht="15" hidden="false" customHeight="true" outlineLevel="0" collapsed="false">
      <c r="A264" s="26"/>
      <c r="B264" s="26" t="s">
        <v>175</v>
      </c>
      <c r="C264" s="27" t="n">
        <v>1</v>
      </c>
      <c r="D264" s="27"/>
      <c r="E264" s="27"/>
      <c r="F264" s="27"/>
      <c r="G264" s="27"/>
      <c r="H264" s="27"/>
      <c r="I264" s="27"/>
      <c r="J264" s="27" t="n">
        <f aca="false">'COLECTOR CONCRETO'!K13</f>
        <v>0.22</v>
      </c>
      <c r="K264" s="27"/>
      <c r="L264" s="26"/>
    </row>
    <row r="265" customFormat="false" ht="15" hidden="false" customHeight="true" outlineLevel="0" collapsed="false">
      <c r="A265" s="26"/>
      <c r="B265" s="26" t="s">
        <v>176</v>
      </c>
      <c r="C265" s="27" t="n">
        <v>1</v>
      </c>
      <c r="D265" s="27"/>
      <c r="E265" s="27"/>
      <c r="F265" s="27"/>
      <c r="G265" s="27"/>
      <c r="H265" s="27"/>
      <c r="I265" s="27"/>
      <c r="J265" s="27" t="n">
        <f aca="false">'COLECTOR CONCRETO'!K14</f>
        <v>1.9547</v>
      </c>
      <c r="K265" s="27"/>
      <c r="L265" s="26"/>
    </row>
    <row r="266" customFormat="false" ht="30.75" hidden="false" customHeight="true" outlineLevel="0" collapsed="false">
      <c r="A266" s="26"/>
      <c r="B266" s="26" t="s">
        <v>177</v>
      </c>
      <c r="C266" s="27" t="n">
        <v>1</v>
      </c>
      <c r="D266" s="27"/>
      <c r="E266" s="27"/>
      <c r="F266" s="27"/>
      <c r="G266" s="27"/>
      <c r="H266" s="27"/>
      <c r="I266" s="27"/>
      <c r="J266" s="27" t="n">
        <f aca="false">'COLECTOR CONCRETO'!K15</f>
        <v>0.8888</v>
      </c>
      <c r="K266" s="27"/>
      <c r="L266" s="26"/>
    </row>
    <row r="267" customFormat="false" ht="15" hidden="false" customHeight="true" outlineLevel="0" collapsed="false">
      <c r="A267" s="26"/>
      <c r="B267" s="26" t="s">
        <v>178</v>
      </c>
      <c r="C267" s="27" t="n">
        <v>1</v>
      </c>
      <c r="D267" s="27"/>
      <c r="E267" s="27"/>
      <c r="F267" s="27"/>
      <c r="G267" s="27"/>
      <c r="H267" s="27"/>
      <c r="I267" s="27"/>
      <c r="J267" s="27" t="n">
        <f aca="false">'COLECTOR CONCRETO'!K16</f>
        <v>0.33</v>
      </c>
      <c r="K267" s="27"/>
      <c r="L267" s="26"/>
    </row>
    <row r="268" customFormat="false" ht="30.75" hidden="false" customHeight="true" outlineLevel="0" collapsed="false">
      <c r="A268" s="26"/>
      <c r="B268" s="26" t="s">
        <v>210</v>
      </c>
      <c r="C268" s="27" t="n">
        <v>1</v>
      </c>
      <c r="D268" s="27"/>
      <c r="E268" s="27"/>
      <c r="F268" s="27"/>
      <c r="G268" s="27"/>
      <c r="H268" s="27"/>
      <c r="I268" s="27"/>
      <c r="J268" s="27" t="n">
        <f aca="false">SUM('COLECTOR CONCRETO'!K21:K32)</f>
        <v>0.185</v>
      </c>
      <c r="K268" s="27"/>
      <c r="L268" s="26"/>
    </row>
    <row r="269" customFormat="false" ht="30.75" hidden="false" customHeight="true" outlineLevel="0" collapsed="false">
      <c r="A269" s="26"/>
      <c r="B269" s="26" t="s">
        <v>211</v>
      </c>
      <c r="C269" s="27" t="n">
        <v>1</v>
      </c>
      <c r="D269" s="27"/>
      <c r="E269" s="27"/>
      <c r="F269" s="27"/>
      <c r="G269" s="27"/>
      <c r="H269" s="27"/>
      <c r="I269" s="27"/>
      <c r="J269" s="27" t="n">
        <f aca="false">SUM('COLECTOR CONCRETO'!K33:K43)</f>
        <v>0.586</v>
      </c>
      <c r="K269" s="27"/>
      <c r="L269" s="26"/>
    </row>
    <row r="270" customFormat="false" ht="30.75" hidden="false" customHeight="true" outlineLevel="0" collapsed="false">
      <c r="A270" s="26"/>
      <c r="B270" s="26" t="s">
        <v>212</v>
      </c>
      <c r="C270" s="27" t="n">
        <v>1</v>
      </c>
      <c r="D270" s="27"/>
      <c r="E270" s="27"/>
      <c r="F270" s="27"/>
      <c r="G270" s="27"/>
      <c r="H270" s="27"/>
      <c r="I270" s="27"/>
      <c r="J270" s="27" t="n">
        <f aca="false">'COLECTOR CONCRETO'!K45</f>
        <v>0.45</v>
      </c>
      <c r="K270" s="27"/>
      <c r="L270" s="26"/>
    </row>
    <row r="271" customFormat="false" ht="30.75" hidden="false" customHeight="true" outlineLevel="0" collapsed="false">
      <c r="A271" s="26"/>
      <c r="B271" s="26" t="s">
        <v>213</v>
      </c>
      <c r="C271" s="27" t="n">
        <v>1</v>
      </c>
      <c r="D271" s="27"/>
      <c r="E271" s="27"/>
      <c r="F271" s="27"/>
      <c r="G271" s="27"/>
      <c r="H271" s="27"/>
      <c r="I271" s="27"/>
      <c r="J271" s="27" t="n">
        <f aca="false">'COLECTOR CONCRETO'!K46</f>
        <v>-0.343</v>
      </c>
      <c r="K271" s="27"/>
      <c r="L271" s="26"/>
    </row>
    <row r="272" customFormat="false" ht="30.75" hidden="false" customHeight="true" outlineLevel="0" collapsed="false">
      <c r="A272" s="24" t="s">
        <v>122</v>
      </c>
      <c r="B272" s="24" t="s">
        <v>123</v>
      </c>
      <c r="C272" s="25"/>
      <c r="D272" s="25"/>
      <c r="E272" s="25"/>
      <c r="F272" s="25"/>
      <c r="G272" s="25"/>
      <c r="H272" s="25"/>
      <c r="I272" s="25"/>
      <c r="J272" s="25"/>
      <c r="K272" s="25" t="n">
        <f aca="false">SUM(J273:J281)</f>
        <v>585.231879999998</v>
      </c>
      <c r="L272" s="24" t="s">
        <v>18</v>
      </c>
    </row>
    <row r="273" customFormat="false" ht="15" hidden="false" customHeight="true" outlineLevel="0" collapsed="false">
      <c r="A273" s="26"/>
      <c r="B273" s="26" t="s">
        <v>172</v>
      </c>
      <c r="C273" s="27" t="n">
        <v>1</v>
      </c>
      <c r="D273" s="27"/>
      <c r="E273" s="27"/>
      <c r="F273" s="27"/>
      <c r="G273" s="27"/>
      <c r="H273" s="27"/>
      <c r="I273" s="27"/>
      <c r="J273" s="27" t="n">
        <f aca="false">'COLECTOR ENCOFRADO'!K10</f>
        <v>185.71392</v>
      </c>
      <c r="K273" s="27"/>
      <c r="L273" s="26"/>
    </row>
    <row r="274" customFormat="false" ht="30.75" hidden="false" customHeight="true" outlineLevel="0" collapsed="false">
      <c r="A274" s="26"/>
      <c r="B274" s="26" t="s">
        <v>173</v>
      </c>
      <c r="C274" s="27" t="n">
        <v>1</v>
      </c>
      <c r="D274" s="27"/>
      <c r="E274" s="27"/>
      <c r="F274" s="27"/>
      <c r="G274" s="27"/>
      <c r="H274" s="27"/>
      <c r="I274" s="27"/>
      <c r="J274" s="27" t="n">
        <f aca="false">'COLECTOR ENCOFRADO'!K11</f>
        <v>34.78944</v>
      </c>
      <c r="K274" s="27"/>
      <c r="L274" s="26"/>
    </row>
    <row r="275" customFormat="false" ht="15" hidden="false" customHeight="true" outlineLevel="0" collapsed="false">
      <c r="A275" s="26"/>
      <c r="B275" s="26" t="s">
        <v>174</v>
      </c>
      <c r="C275" s="27" t="n">
        <v>1</v>
      </c>
      <c r="D275" s="27"/>
      <c r="E275" s="27"/>
      <c r="F275" s="27"/>
      <c r="G275" s="27"/>
      <c r="H275" s="27"/>
      <c r="I275" s="27"/>
      <c r="J275" s="27" t="n">
        <f aca="false">'COLECTOR ENCOFRADO'!K12</f>
        <v>56.46804</v>
      </c>
      <c r="K275" s="27"/>
      <c r="L275" s="26"/>
    </row>
    <row r="276" customFormat="false" ht="15" hidden="false" customHeight="true" outlineLevel="0" collapsed="false">
      <c r="A276" s="26"/>
      <c r="B276" s="26" t="s">
        <v>175</v>
      </c>
      <c r="C276" s="27" t="n">
        <v>1</v>
      </c>
      <c r="D276" s="27"/>
      <c r="E276" s="27"/>
      <c r="F276" s="27"/>
      <c r="G276" s="27"/>
      <c r="H276" s="27"/>
      <c r="I276" s="27"/>
      <c r="J276" s="27" t="n">
        <f aca="false">'COLECTOR ENCOFRADO'!K13</f>
        <v>14.76</v>
      </c>
      <c r="K276" s="27"/>
      <c r="L276" s="26"/>
    </row>
    <row r="277" customFormat="false" ht="15" hidden="false" customHeight="true" outlineLevel="0" collapsed="false">
      <c r="A277" s="26"/>
      <c r="B277" s="26" t="s">
        <v>176</v>
      </c>
      <c r="C277" s="27" t="n">
        <v>1</v>
      </c>
      <c r="D277" s="27"/>
      <c r="E277" s="27"/>
      <c r="F277" s="27"/>
      <c r="G277" s="27"/>
      <c r="H277" s="27"/>
      <c r="I277" s="27"/>
      <c r="J277" s="27" t="n">
        <f aca="false">'COLECTOR ENCOFRADO'!K14</f>
        <v>133.275</v>
      </c>
      <c r="K277" s="27"/>
      <c r="L277" s="26"/>
    </row>
    <row r="278" customFormat="false" ht="30.75" hidden="false" customHeight="true" outlineLevel="0" collapsed="false">
      <c r="A278" s="26"/>
      <c r="B278" s="26" t="s">
        <v>177</v>
      </c>
      <c r="C278" s="27" t="n">
        <v>1</v>
      </c>
      <c r="D278" s="27"/>
      <c r="E278" s="27"/>
      <c r="F278" s="27"/>
      <c r="G278" s="27"/>
      <c r="H278" s="27"/>
      <c r="I278" s="27"/>
      <c r="J278" s="27" t="n">
        <f aca="false">'COLECTOR ENCOFRADO'!K15</f>
        <v>61.86048</v>
      </c>
      <c r="K278" s="27"/>
      <c r="L278" s="26"/>
    </row>
    <row r="279" customFormat="false" ht="15" hidden="false" customHeight="true" outlineLevel="0" collapsed="false">
      <c r="A279" s="26"/>
      <c r="B279" s="26" t="s">
        <v>178</v>
      </c>
      <c r="C279" s="27" t="n">
        <v>1</v>
      </c>
      <c r="D279" s="27"/>
      <c r="E279" s="27"/>
      <c r="F279" s="27"/>
      <c r="G279" s="27"/>
      <c r="H279" s="27"/>
      <c r="I279" s="27"/>
      <c r="J279" s="27" t="n">
        <f aca="false">'COLECTOR ENCOFRADO'!K16</f>
        <v>23.16</v>
      </c>
      <c r="K279" s="27"/>
      <c r="L279" s="26"/>
    </row>
    <row r="280" customFormat="false" ht="15" hidden="false" customHeight="true" outlineLevel="0" collapsed="false">
      <c r="A280" s="26"/>
      <c r="B280" s="26" t="s">
        <v>179</v>
      </c>
      <c r="C280" s="27" t="n">
        <v>1</v>
      </c>
      <c r="D280" s="27"/>
      <c r="E280" s="27"/>
      <c r="F280" s="27"/>
      <c r="G280" s="27"/>
      <c r="H280" s="27"/>
      <c r="I280" s="27"/>
      <c r="J280" s="27" t="n">
        <f aca="false">SUM('COLECTOR ENCOFRADO'!K21:K23)</f>
        <v>24.2999999999994</v>
      </c>
      <c r="K280" s="27"/>
      <c r="L280" s="26"/>
    </row>
    <row r="281" customFormat="false" ht="15" hidden="false" customHeight="true" outlineLevel="0" collapsed="false">
      <c r="A281" s="26"/>
      <c r="B281" s="26" t="s">
        <v>180</v>
      </c>
      <c r="C281" s="27" t="n">
        <v>1</v>
      </c>
      <c r="D281" s="27"/>
      <c r="E281" s="27"/>
      <c r="F281" s="27"/>
      <c r="G281" s="27"/>
      <c r="H281" s="27"/>
      <c r="I281" s="27"/>
      <c r="J281" s="27" t="n">
        <f aca="false">SUM('COLECTOR ENCOFRADO'!K24:K27)</f>
        <v>50.9049999999989</v>
      </c>
      <c r="K281" s="27"/>
      <c r="L281" s="26"/>
    </row>
    <row r="282" customFormat="false" ht="30.75" hidden="false" customHeight="true" outlineLevel="0" collapsed="false">
      <c r="A282" s="24" t="s">
        <v>124</v>
      </c>
      <c r="B282" s="24" t="s">
        <v>125</v>
      </c>
      <c r="C282" s="25"/>
      <c r="D282" s="25"/>
      <c r="E282" s="25"/>
      <c r="F282" s="25"/>
      <c r="G282" s="25"/>
      <c r="H282" s="25"/>
      <c r="I282" s="25"/>
      <c r="J282" s="25"/>
      <c r="K282" s="25" t="n">
        <f aca="false">SUM(J283:J291)</f>
        <v>3056.4463751111</v>
      </c>
      <c r="L282" s="24" t="s">
        <v>50</v>
      </c>
    </row>
    <row r="283" customFormat="false" ht="15" hidden="false" customHeight="true" outlineLevel="0" collapsed="false">
      <c r="A283" s="26"/>
      <c r="B283" s="26" t="s">
        <v>172</v>
      </c>
      <c r="C283" s="27" t="n">
        <v>1</v>
      </c>
      <c r="D283" s="27"/>
      <c r="E283" s="27"/>
      <c r="F283" s="27"/>
      <c r="G283" s="27"/>
      <c r="H283" s="27"/>
      <c r="I283" s="27"/>
      <c r="J283" s="27" t="n">
        <f aca="false">'COLECTOR ACERO'!U10</f>
        <v>717.125546666667</v>
      </c>
      <c r="K283" s="27"/>
      <c r="L283" s="26"/>
    </row>
    <row r="284" customFormat="false" ht="30.75" hidden="false" customHeight="true" outlineLevel="0" collapsed="false">
      <c r="A284" s="26"/>
      <c r="B284" s="26" t="s">
        <v>173</v>
      </c>
      <c r="C284" s="27" t="n">
        <v>1</v>
      </c>
      <c r="D284" s="27"/>
      <c r="E284" s="27"/>
      <c r="F284" s="27"/>
      <c r="G284" s="27"/>
      <c r="H284" s="27"/>
      <c r="I284" s="27"/>
      <c r="J284" s="27" t="n">
        <f aca="false">'COLECTOR ACERO'!U11</f>
        <v>536.436917333333</v>
      </c>
      <c r="K284" s="27"/>
      <c r="L284" s="26"/>
    </row>
    <row r="285" customFormat="false" ht="15" hidden="false" customHeight="true" outlineLevel="0" collapsed="false">
      <c r="A285" s="26"/>
      <c r="B285" s="26" t="s">
        <v>174</v>
      </c>
      <c r="C285" s="27" t="n">
        <v>1</v>
      </c>
      <c r="D285" s="27"/>
      <c r="E285" s="27"/>
      <c r="F285" s="27"/>
      <c r="G285" s="27"/>
      <c r="H285" s="27"/>
      <c r="I285" s="27"/>
      <c r="J285" s="27" t="n">
        <f aca="false">'COLECTOR ACERO'!U12</f>
        <v>218.498933333333</v>
      </c>
      <c r="K285" s="27"/>
      <c r="L285" s="26"/>
    </row>
    <row r="286" customFormat="false" ht="15" hidden="false" customHeight="true" outlineLevel="0" collapsed="false">
      <c r="A286" s="26"/>
      <c r="B286" s="26" t="s">
        <v>175</v>
      </c>
      <c r="C286" s="27" t="n">
        <v>1</v>
      </c>
      <c r="D286" s="27"/>
      <c r="E286" s="27"/>
      <c r="F286" s="27"/>
      <c r="G286" s="27"/>
      <c r="H286" s="27"/>
      <c r="I286" s="27"/>
      <c r="J286" s="27" t="n">
        <f aca="false">'COLECTOR ACERO'!U13</f>
        <v>68.7767111111111</v>
      </c>
      <c r="K286" s="27"/>
      <c r="L286" s="26"/>
    </row>
    <row r="287" customFormat="false" ht="15" hidden="false" customHeight="true" outlineLevel="0" collapsed="false">
      <c r="A287" s="26"/>
      <c r="B287" s="26" t="s">
        <v>176</v>
      </c>
      <c r="C287" s="27" t="n">
        <v>1</v>
      </c>
      <c r="D287" s="27"/>
      <c r="E287" s="27"/>
      <c r="F287" s="27"/>
      <c r="G287" s="27"/>
      <c r="H287" s="27"/>
      <c r="I287" s="27"/>
      <c r="J287" s="27" t="n">
        <f aca="false">'COLECTOR ACERO'!U14</f>
        <v>505.268462222222</v>
      </c>
      <c r="K287" s="27"/>
      <c r="L287" s="26"/>
    </row>
    <row r="288" customFormat="false" ht="30.75" hidden="false" customHeight="true" outlineLevel="0" collapsed="false">
      <c r="A288" s="26"/>
      <c r="B288" s="26" t="s">
        <v>177</v>
      </c>
      <c r="C288" s="27" t="n">
        <v>1</v>
      </c>
      <c r="D288" s="27"/>
      <c r="E288" s="27"/>
      <c r="F288" s="27"/>
      <c r="G288" s="27"/>
      <c r="H288" s="27"/>
      <c r="I288" s="27"/>
      <c r="J288" s="27" t="n">
        <f aca="false">'COLECTOR ACERO'!U15</f>
        <v>237.914631111111</v>
      </c>
      <c r="K288" s="27"/>
      <c r="L288" s="26"/>
    </row>
    <row r="289" customFormat="false" ht="15" hidden="false" customHeight="true" outlineLevel="0" collapsed="false">
      <c r="A289" s="26"/>
      <c r="B289" s="26" t="s">
        <v>178</v>
      </c>
      <c r="C289" s="27" t="n">
        <v>1</v>
      </c>
      <c r="D289" s="27"/>
      <c r="E289" s="27"/>
      <c r="F289" s="27"/>
      <c r="G289" s="27"/>
      <c r="H289" s="27"/>
      <c r="I289" s="27"/>
      <c r="J289" s="27" t="n">
        <f aca="false">'COLECTOR ACERO'!U16</f>
        <v>87.9013333333334</v>
      </c>
      <c r="K289" s="27"/>
      <c r="L289" s="26"/>
    </row>
    <row r="290" customFormat="false" ht="30.75" hidden="false" customHeight="true" outlineLevel="0" collapsed="false">
      <c r="A290" s="26"/>
      <c r="B290" s="26" t="s">
        <v>214</v>
      </c>
      <c r="C290" s="27" t="n">
        <v>1</v>
      </c>
      <c r="D290" s="27"/>
      <c r="E290" s="27"/>
      <c r="F290" s="27"/>
      <c r="G290" s="27"/>
      <c r="H290" s="27"/>
      <c r="I290" s="27"/>
      <c r="J290" s="27" t="n">
        <f aca="false">SUM('COLECTOR ACERO'!U21:U24)</f>
        <v>238.515199999996</v>
      </c>
      <c r="K290" s="27"/>
      <c r="L290" s="26"/>
    </row>
    <row r="291" customFormat="false" ht="30.75" hidden="false" customHeight="true" outlineLevel="0" collapsed="false">
      <c r="A291" s="26"/>
      <c r="B291" s="26" t="s">
        <v>215</v>
      </c>
      <c r="C291" s="27" t="n">
        <v>1</v>
      </c>
      <c r="D291" s="27"/>
      <c r="E291" s="27"/>
      <c r="F291" s="27"/>
      <c r="G291" s="27"/>
      <c r="H291" s="27"/>
      <c r="I291" s="27"/>
      <c r="J291" s="27" t="n">
        <f aca="false">SUM('COLECTOR ACERO'!U25:U28)</f>
        <v>446.008639999994</v>
      </c>
      <c r="K291" s="27"/>
      <c r="L291" s="26"/>
    </row>
    <row r="292" customFormat="false" ht="30.75" hidden="false" customHeight="true" outlineLevel="0" collapsed="false">
      <c r="A292" s="24" t="s">
        <v>126</v>
      </c>
      <c r="B292" s="24" t="s">
        <v>127</v>
      </c>
      <c r="C292" s="25"/>
      <c r="D292" s="25"/>
      <c r="E292" s="25"/>
      <c r="F292" s="25"/>
      <c r="G292" s="25"/>
      <c r="H292" s="25"/>
      <c r="I292" s="25"/>
      <c r="J292" s="25"/>
      <c r="K292" s="25" t="n">
        <f aca="false">SUM(J293:J301)</f>
        <v>86.059</v>
      </c>
      <c r="L292" s="24" t="s">
        <v>18</v>
      </c>
    </row>
    <row r="293" customFormat="false" ht="15" hidden="false" customHeight="true" outlineLevel="0" collapsed="false">
      <c r="A293" s="26"/>
      <c r="B293" s="26" t="s">
        <v>172</v>
      </c>
      <c r="C293" s="27" t="n">
        <v>1</v>
      </c>
      <c r="D293" s="27"/>
      <c r="E293" s="27"/>
      <c r="F293" s="27"/>
      <c r="G293" s="27"/>
      <c r="H293" s="27"/>
      <c r="I293" s="27"/>
      <c r="J293" s="27" t="n">
        <f aca="false">'COLECTOR CONCRETO'!L10</f>
        <v>28.952</v>
      </c>
      <c r="K293" s="27"/>
      <c r="L293" s="26"/>
    </row>
    <row r="294" customFormat="false" ht="30.75" hidden="false" customHeight="true" outlineLevel="0" collapsed="false">
      <c r="A294" s="26"/>
      <c r="B294" s="26" t="s">
        <v>173</v>
      </c>
      <c r="C294" s="27" t="n">
        <v>1</v>
      </c>
      <c r="D294" s="27"/>
      <c r="E294" s="27"/>
      <c r="F294" s="27"/>
      <c r="G294" s="27"/>
      <c r="H294" s="27"/>
      <c r="I294" s="27"/>
      <c r="J294" s="27" t="n">
        <f aca="false">'COLECTOR CONCRETO'!L11</f>
        <v>5.511</v>
      </c>
      <c r="K294" s="27"/>
      <c r="L294" s="26"/>
    </row>
    <row r="295" customFormat="false" ht="15" hidden="false" customHeight="true" outlineLevel="0" collapsed="false">
      <c r="A295" s="26"/>
      <c r="B295" s="26" t="s">
        <v>174</v>
      </c>
      <c r="C295" s="27" t="n">
        <v>1</v>
      </c>
      <c r="D295" s="27"/>
      <c r="E295" s="27"/>
      <c r="F295" s="27"/>
      <c r="G295" s="27"/>
      <c r="H295" s="27"/>
      <c r="I295" s="27"/>
      <c r="J295" s="27" t="n">
        <f aca="false">'COLECTOR CONCRETO'!L12</f>
        <v>8.481</v>
      </c>
      <c r="K295" s="27"/>
      <c r="L295" s="26"/>
    </row>
    <row r="296" customFormat="false" ht="15" hidden="false" customHeight="true" outlineLevel="0" collapsed="false">
      <c r="A296" s="26"/>
      <c r="B296" s="26" t="s">
        <v>175</v>
      </c>
      <c r="C296" s="27" t="n">
        <v>1</v>
      </c>
      <c r="D296" s="27"/>
      <c r="E296" s="27"/>
      <c r="F296" s="27"/>
      <c r="G296" s="27"/>
      <c r="H296" s="27"/>
      <c r="I296" s="27"/>
      <c r="J296" s="27" t="n">
        <f aca="false">'COLECTOR CONCRETO'!L13</f>
        <v>2.2</v>
      </c>
      <c r="K296" s="27"/>
      <c r="L296" s="26"/>
    </row>
    <row r="297" customFormat="false" ht="15" hidden="false" customHeight="true" outlineLevel="0" collapsed="false">
      <c r="A297" s="26"/>
      <c r="B297" s="26" t="s">
        <v>176</v>
      </c>
      <c r="C297" s="27" t="n">
        <v>1</v>
      </c>
      <c r="D297" s="27"/>
      <c r="E297" s="27"/>
      <c r="F297" s="27"/>
      <c r="G297" s="27"/>
      <c r="H297" s="27"/>
      <c r="I297" s="27"/>
      <c r="J297" s="27" t="n">
        <f aca="false">'COLECTOR CONCRETO'!L14</f>
        <v>19.547</v>
      </c>
      <c r="K297" s="27"/>
      <c r="L297" s="26"/>
    </row>
    <row r="298" customFormat="false" ht="30.75" hidden="false" customHeight="true" outlineLevel="0" collapsed="false">
      <c r="A298" s="26"/>
      <c r="B298" s="26" t="s">
        <v>177</v>
      </c>
      <c r="C298" s="27" t="n">
        <v>1</v>
      </c>
      <c r="D298" s="27"/>
      <c r="E298" s="27"/>
      <c r="F298" s="27"/>
      <c r="G298" s="27"/>
      <c r="H298" s="27"/>
      <c r="I298" s="27"/>
      <c r="J298" s="27" t="n">
        <f aca="false">'COLECTOR CONCRETO'!L15</f>
        <v>8.888</v>
      </c>
      <c r="K298" s="27"/>
      <c r="L298" s="26"/>
    </row>
    <row r="299" customFormat="false" ht="15" hidden="false" customHeight="true" outlineLevel="0" collapsed="false">
      <c r="A299" s="26"/>
      <c r="B299" s="26" t="s">
        <v>178</v>
      </c>
      <c r="C299" s="27" t="n">
        <v>1</v>
      </c>
      <c r="D299" s="27"/>
      <c r="E299" s="27"/>
      <c r="F299" s="27"/>
      <c r="G299" s="27"/>
      <c r="H299" s="27"/>
      <c r="I299" s="27"/>
      <c r="J299" s="27" t="n">
        <f aca="false">'COLECTOR CONCRETO'!L16</f>
        <v>3.3</v>
      </c>
      <c r="K299" s="27"/>
      <c r="L299" s="26"/>
    </row>
    <row r="300" customFormat="false" ht="15" hidden="false" customHeight="true" outlineLevel="0" collapsed="false">
      <c r="A300" s="26"/>
      <c r="B300" s="26" t="s">
        <v>179</v>
      </c>
      <c r="C300" s="27" t="n">
        <v>1</v>
      </c>
      <c r="D300" s="27"/>
      <c r="E300" s="27"/>
      <c r="F300" s="27"/>
      <c r="G300" s="27"/>
      <c r="H300" s="27"/>
      <c r="I300" s="27"/>
      <c r="J300" s="27" t="n">
        <f aca="false">SUM('COLECTOR CONCRETO'!L21:L32)</f>
        <v>2.34</v>
      </c>
      <c r="K300" s="27"/>
      <c r="L300" s="26"/>
    </row>
    <row r="301" customFormat="false" ht="15" hidden="false" customHeight="true" outlineLevel="0" collapsed="false">
      <c r="A301" s="26"/>
      <c r="B301" s="26" t="s">
        <v>180</v>
      </c>
      <c r="C301" s="27" t="n">
        <v>1</v>
      </c>
      <c r="D301" s="27"/>
      <c r="E301" s="27"/>
      <c r="F301" s="27"/>
      <c r="G301" s="27"/>
      <c r="H301" s="27"/>
      <c r="I301" s="27"/>
      <c r="J301" s="27" t="n">
        <f aca="false">SUM('COLECTOR CONCRETO'!L33:L43)</f>
        <v>6.84</v>
      </c>
      <c r="K301" s="27"/>
      <c r="L301" s="26"/>
    </row>
    <row r="302" customFormat="false" ht="30.75" hidden="false" customHeight="true" outlineLevel="0" collapsed="false">
      <c r="A302" s="24" t="s">
        <v>128</v>
      </c>
      <c r="B302" s="24" t="s">
        <v>129</v>
      </c>
      <c r="C302" s="25"/>
      <c r="D302" s="25"/>
      <c r="E302" s="25"/>
      <c r="F302" s="25"/>
      <c r="G302" s="25"/>
      <c r="H302" s="25"/>
      <c r="I302" s="25"/>
      <c r="J302" s="25"/>
      <c r="K302" s="25" t="n">
        <f aca="false">SUM(J303:J311)</f>
        <v>390.604439999999</v>
      </c>
      <c r="L302" s="24" t="s">
        <v>18</v>
      </c>
    </row>
    <row r="303" customFormat="false" ht="15" hidden="false" customHeight="true" outlineLevel="0" collapsed="false">
      <c r="A303" s="26"/>
      <c r="B303" s="26" t="s">
        <v>172</v>
      </c>
      <c r="C303" s="27" t="n">
        <v>1</v>
      </c>
      <c r="D303" s="27"/>
      <c r="E303" s="27"/>
      <c r="F303" s="27"/>
      <c r="G303" s="27"/>
      <c r="H303" s="27"/>
      <c r="I303" s="27"/>
      <c r="J303" s="27" t="n">
        <f aca="false">'COLECTOR CONCRETO'!M10</f>
        <v>125.75696</v>
      </c>
      <c r="K303" s="27"/>
      <c r="L303" s="26"/>
    </row>
    <row r="304" customFormat="false" ht="30.75" hidden="false" customHeight="true" outlineLevel="0" collapsed="false">
      <c r="A304" s="26"/>
      <c r="B304" s="26" t="s">
        <v>173</v>
      </c>
      <c r="C304" s="27" t="n">
        <v>1</v>
      </c>
      <c r="D304" s="27"/>
      <c r="E304" s="27"/>
      <c r="F304" s="27"/>
      <c r="G304" s="27"/>
      <c r="H304" s="27"/>
      <c r="I304" s="27"/>
      <c r="J304" s="27" t="n">
        <f aca="false">'COLECTOR CONCRETO'!M11</f>
        <v>22.90572</v>
      </c>
      <c r="K304" s="27"/>
      <c r="L304" s="26"/>
    </row>
    <row r="305" customFormat="false" ht="15" hidden="false" customHeight="true" outlineLevel="0" collapsed="false">
      <c r="A305" s="26"/>
      <c r="B305" s="26" t="s">
        <v>174</v>
      </c>
      <c r="C305" s="27" t="n">
        <v>1</v>
      </c>
      <c r="D305" s="27"/>
      <c r="E305" s="27"/>
      <c r="F305" s="27"/>
      <c r="G305" s="27"/>
      <c r="H305" s="27"/>
      <c r="I305" s="27"/>
      <c r="J305" s="27" t="n">
        <f aca="false">'COLECTOR CONCRETO'!M12</f>
        <v>37.87152</v>
      </c>
      <c r="K305" s="27"/>
      <c r="L305" s="26"/>
    </row>
    <row r="306" customFormat="false" ht="15" hidden="false" customHeight="true" outlineLevel="0" collapsed="false">
      <c r="A306" s="26"/>
      <c r="B306" s="26" t="s">
        <v>175</v>
      </c>
      <c r="C306" s="27" t="n">
        <v>1</v>
      </c>
      <c r="D306" s="27"/>
      <c r="E306" s="27"/>
      <c r="F306" s="27"/>
      <c r="G306" s="27"/>
      <c r="H306" s="27"/>
      <c r="I306" s="27"/>
      <c r="J306" s="27" t="n">
        <f aca="false">'COLECTOR CONCRETO'!M13</f>
        <v>9.88</v>
      </c>
      <c r="K306" s="27"/>
      <c r="L306" s="26"/>
    </row>
    <row r="307" customFormat="false" ht="15" hidden="false" customHeight="true" outlineLevel="0" collapsed="false">
      <c r="A307" s="26"/>
      <c r="B307" s="26" t="s">
        <v>176</v>
      </c>
      <c r="C307" s="27" t="n">
        <v>1</v>
      </c>
      <c r="D307" s="27"/>
      <c r="E307" s="27"/>
      <c r="F307" s="27"/>
      <c r="G307" s="27"/>
      <c r="H307" s="27"/>
      <c r="I307" s="27"/>
      <c r="J307" s="27" t="n">
        <f aca="false">'COLECTOR CONCRETO'!M14</f>
        <v>88.85</v>
      </c>
      <c r="K307" s="27"/>
      <c r="L307" s="26"/>
    </row>
    <row r="308" customFormat="false" ht="30.75" hidden="false" customHeight="true" outlineLevel="0" collapsed="false">
      <c r="A308" s="26"/>
      <c r="B308" s="26" t="s">
        <v>177</v>
      </c>
      <c r="C308" s="27" t="n">
        <v>1</v>
      </c>
      <c r="D308" s="27"/>
      <c r="E308" s="27"/>
      <c r="F308" s="27"/>
      <c r="G308" s="27"/>
      <c r="H308" s="27"/>
      <c r="I308" s="27"/>
      <c r="J308" s="27" t="n">
        <f aca="false">'COLECTOR CONCRETO'!M15</f>
        <v>41.03024</v>
      </c>
      <c r="K308" s="27"/>
      <c r="L308" s="26"/>
    </row>
    <row r="309" customFormat="false" ht="15" hidden="false" customHeight="true" outlineLevel="0" collapsed="false">
      <c r="A309" s="26"/>
      <c r="B309" s="26" t="s">
        <v>178</v>
      </c>
      <c r="C309" s="27" t="n">
        <v>1</v>
      </c>
      <c r="D309" s="27"/>
      <c r="E309" s="27"/>
      <c r="F309" s="27"/>
      <c r="G309" s="27"/>
      <c r="H309" s="27"/>
      <c r="I309" s="27"/>
      <c r="J309" s="27" t="n">
        <f aca="false">'COLECTOR CONCRETO'!M16</f>
        <v>15.33</v>
      </c>
      <c r="K309" s="27"/>
      <c r="L309" s="26"/>
    </row>
    <row r="310" customFormat="false" ht="15" hidden="false" customHeight="true" outlineLevel="0" collapsed="false">
      <c r="A310" s="26"/>
      <c r="B310" s="26" t="s">
        <v>179</v>
      </c>
      <c r="C310" s="27" t="n">
        <v>1</v>
      </c>
      <c r="D310" s="27"/>
      <c r="E310" s="27"/>
      <c r="F310" s="27"/>
      <c r="G310" s="27"/>
      <c r="H310" s="27"/>
      <c r="I310" s="27"/>
      <c r="J310" s="27" t="n">
        <f aca="false">SUM('COLECTOR CONCRETO'!M21:M32)</f>
        <v>15.0899999999997</v>
      </c>
      <c r="K310" s="27"/>
      <c r="L310" s="26"/>
    </row>
    <row r="311" customFormat="false" ht="15" hidden="false" customHeight="true" outlineLevel="0" collapsed="false">
      <c r="A311" s="26"/>
      <c r="B311" s="26" t="s">
        <v>180</v>
      </c>
      <c r="C311" s="27" t="n">
        <v>1</v>
      </c>
      <c r="D311" s="27"/>
      <c r="E311" s="27"/>
      <c r="F311" s="27"/>
      <c r="G311" s="27"/>
      <c r="H311" s="27"/>
      <c r="I311" s="27"/>
      <c r="J311" s="27" t="n">
        <f aca="false">SUM('COLECTOR CONCRETO'!M33:M43)</f>
        <v>33.8899999999995</v>
      </c>
      <c r="K311" s="27"/>
      <c r="L311" s="26"/>
    </row>
    <row r="312" customFormat="false" ht="15" hidden="false" customHeight="true" outlineLevel="0" collapsed="false">
      <c r="A312" s="23" t="s">
        <v>130</v>
      </c>
      <c r="B312" s="23" t="s">
        <v>131</v>
      </c>
      <c r="C312" s="65"/>
      <c r="D312" s="65"/>
      <c r="E312" s="65"/>
      <c r="F312" s="65"/>
      <c r="G312" s="65"/>
      <c r="H312" s="65"/>
      <c r="I312" s="65"/>
      <c r="J312" s="65"/>
      <c r="K312" s="65"/>
      <c r="L312" s="66"/>
    </row>
    <row r="313" customFormat="false" ht="30.75" hidden="false" customHeight="true" outlineLevel="0" collapsed="false">
      <c r="A313" s="24" t="s">
        <v>132</v>
      </c>
      <c r="B313" s="24" t="s">
        <v>133</v>
      </c>
      <c r="C313" s="25"/>
      <c r="D313" s="25"/>
      <c r="E313" s="25"/>
      <c r="F313" s="25"/>
      <c r="G313" s="25"/>
      <c r="H313" s="25"/>
      <c r="I313" s="25"/>
      <c r="J313" s="25"/>
      <c r="K313" s="25" t="n">
        <f aca="false">SUM(J314:J316)</f>
        <v>10.0</v>
      </c>
      <c r="L313" s="24" t="s">
        <v>60</v>
      </c>
    </row>
    <row r="314" customFormat="false" ht="15" hidden="false" customHeight="true" outlineLevel="0" collapsed="false">
      <c r="A314" s="26"/>
      <c r="B314" s="26" t="s">
        <v>216</v>
      </c>
      <c r="C314" s="27" t="n">
        <v>1</v>
      </c>
      <c r="D314" s="27"/>
      <c r="E314" s="27"/>
      <c r="F314" s="27"/>
      <c r="G314" s="27"/>
      <c r="H314" s="27"/>
      <c r="I314" s="27"/>
      <c r="J314" s="27" t="n">
        <f aca="false">SUM('COLECTOR REGISTROS Y TAPAS'!E11:E17)</f>
        <v>7.0</v>
      </c>
      <c r="K314" s="27"/>
      <c r="L314" s="26"/>
    </row>
    <row r="315" customFormat="false" ht="15" hidden="false" customHeight="true" outlineLevel="0" collapsed="false">
      <c r="A315" s="26"/>
      <c r="B315" s="26" t="s">
        <v>217</v>
      </c>
      <c r="C315" s="27" t="n">
        <v>1</v>
      </c>
      <c r="D315" s="27"/>
      <c r="E315" s="27"/>
      <c r="F315" s="27"/>
      <c r="G315" s="27"/>
      <c r="H315" s="27"/>
      <c r="I315" s="27"/>
      <c r="J315" s="27" t="n">
        <f aca="false">+'COLECTOR REGISTROS Y TAPAS'!E10</f>
        <v>1.0</v>
      </c>
      <c r="K315" s="27"/>
      <c r="L315" s="26"/>
    </row>
    <row r="316" customFormat="false" ht="15" hidden="false" customHeight="true" outlineLevel="0" collapsed="false">
      <c r="A316" s="26"/>
      <c r="B316" s="26" t="s">
        <v>218</v>
      </c>
      <c r="C316" s="27" t="n">
        <v>1</v>
      </c>
      <c r="D316" s="27"/>
      <c r="E316" s="27"/>
      <c r="F316" s="27"/>
      <c r="G316" s="27"/>
      <c r="H316" s="27"/>
      <c r="I316" s="27"/>
      <c r="J316" s="27" t="n">
        <f aca="false">+'COLECTOR REGISTROS Y TAPAS'!E18</f>
        <v>2.0</v>
      </c>
      <c r="K316" s="27"/>
      <c r="L316" s="26"/>
    </row>
    <row r="317" customFormat="false" ht="46.5" hidden="false" customHeight="true" outlineLevel="0" collapsed="false">
      <c r="A317" s="26"/>
      <c r="B317" s="26" t="s">
        <v>1195</v>
      </c>
      <c r="C317" s="27"/>
      <c r="D317" s="27"/>
      <c r="E317" s="27"/>
      <c r="F317" s="27"/>
      <c r="G317" s="27"/>
      <c r="H317" s="27"/>
      <c r="I317" s="27"/>
      <c r="J317" s="27"/>
      <c r="K317" s="27"/>
      <c r="L317" s="26"/>
    </row>
    <row r="318" customFormat="false" ht="30.75" hidden="false" customHeight="true" outlineLevel="0" collapsed="false">
      <c r="A318" s="26"/>
      <c r="B318" s="26" t="str">
        <f aca="false">"Totales para "&amp;K313&amp;" tapas: angulos "&amp;TEXT('COLECTOR REGISTROS Y TAPAS'!E25,"0.00")&amp;" kg; concreto "&amp;TEXT('COLECTOR REGISTROS Y TAPAS'!E27,"0.00")&amp;" m3; acero "&amp;TEXT('COLECTOR ACERO'!I41,"0.00")&amp;" kg; pintura "&amp;TEXT('COLECTOR REGISTROS Y TAPAS'!E28,"0.00")&amp;" m2"</f>
        <v>Totales para 10 tapas: angulos 101.02 kg; concreto 0.37 m3; acero 173.38 kg; pintura 8.39 m2</v>
      </c>
      <c r="C318" s="27"/>
      <c r="D318" s="27"/>
      <c r="E318" s="27"/>
      <c r="F318" s="27"/>
      <c r="G318" s="27"/>
      <c r="H318" s="27"/>
      <c r="I318" s="27"/>
      <c r="J318" s="27"/>
      <c r="K318" s="27"/>
      <c r="L318" s="26"/>
    </row>
    <row r="319" customFormat="false" ht="15" hidden="false" customHeight="true" outlineLevel="0" collapsed="false">
      <c r="A319" s="26"/>
      <c r="B319" s="26" t="s">
        <v>220</v>
      </c>
      <c r="C319" s="27"/>
      <c r="D319" s="27"/>
      <c r="E319" s="27"/>
      <c r="F319" s="27"/>
      <c r="G319" s="27"/>
      <c r="H319" s="27"/>
      <c r="I319" s="27"/>
      <c r="J319" s="27"/>
      <c r="K319" s="27"/>
      <c r="L319" s="26"/>
    </row>
    <row r="320" customFormat="false" ht="15" hidden="false" customHeight="true" outlineLevel="0" collapsed="false">
      <c r="A320" s="23" t="s">
        <v>134</v>
      </c>
      <c r="B320" s="23" t="s">
        <v>221</v>
      </c>
      <c r="C320" s="65"/>
      <c r="D320" s="65"/>
      <c r="E320" s="65"/>
      <c r="F320" s="65"/>
      <c r="G320" s="65"/>
      <c r="H320" s="65"/>
      <c r="I320" s="65"/>
      <c r="J320" s="65"/>
      <c r="K320" s="65"/>
      <c r="L320" s="66"/>
    </row>
    <row r="321" customFormat="false" ht="46.5" hidden="false" customHeight="true" outlineLevel="0" collapsed="false">
      <c r="A321" s="24" t="s">
        <v>136</v>
      </c>
      <c r="B321" s="24" t="s">
        <v>137</v>
      </c>
      <c r="C321" s="25"/>
      <c r="D321" s="25"/>
      <c r="E321" s="25"/>
      <c r="F321" s="25"/>
      <c r="G321" s="25"/>
      <c r="H321" s="25"/>
      <c r="I321" s="25"/>
      <c r="J321" s="25"/>
      <c r="K321" s="25" t="n">
        <f aca="false">+'COLECTOR JUNTAS Y EMPALMES'!F12</f>
        <v>100.64</v>
      </c>
      <c r="L321" s="24" t="s">
        <v>57</v>
      </c>
    </row>
    <row r="322" customFormat="false" ht="46.5" hidden="false" customHeight="true" outlineLevel="0" collapsed="false">
      <c r="A322" s="24" t="s">
        <v>138</v>
      </c>
      <c r="B322" s="24" t="s">
        <v>139</v>
      </c>
      <c r="C322" s="25"/>
      <c r="D322" s="25"/>
      <c r="E322" s="25"/>
      <c r="F322" s="25"/>
      <c r="G322" s="25"/>
      <c r="H322" s="25"/>
      <c r="I322" s="25"/>
      <c r="J322" s="25"/>
      <c r="K322" s="25" t="n">
        <f aca="false">+'COLECTOR JUNTAS Y EMPALMES'!F19</f>
        <v>210.979</v>
      </c>
      <c r="L322" s="24" t="s">
        <v>57</v>
      </c>
    </row>
  </sheetData>
  <mergeCells count="12">
    <mergeCell ref="A2:L2"/>
    <mergeCell ref="B3:L3"/>
    <mergeCell ref="B4:L4"/>
    <mergeCell ref="B5:L5"/>
    <mergeCell ref="B6:L6"/>
    <mergeCell ref="B9:L9"/>
    <mergeCell ref="B10:L10"/>
    <mergeCell ref="B131:L131"/>
    <mergeCell ref="B137:L137"/>
    <mergeCell ref="B138:L138"/>
    <mergeCell ref="K144:K145"/>
    <mergeCell ref="K147:K1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O157"/>
  <sheetViews>
    <sheetView showFormulas="false" showGridLines="true" showRowColHeaders="true" showZeros="true" rightToLeft="false" tabSelected="false" showOutlineSymbols="true" defaultGridColor="true" view="normal" topLeftCell="A61" colorId="64" zoomScale="115" zoomScaleNormal="115" zoomScalePageLayoutView="130" workbookViewId="0">
      <selection pane="topLeft" activeCell="H64" activeCellId="0" sqref="H64"/>
    </sheetView>
  </sheetViews>
  <sheetFormatPr defaultColWidth="12.3671875" defaultRowHeight="13.5" zeroHeight="false" outlineLevelRow="0" outlineLevelCol="0"/>
  <cols>
    <col collapsed="false" customWidth="true" hidden="false" outlineLevel="0" max="1" min="1" style="67" width="3.91"/>
    <col collapsed="false" customWidth="true" hidden="false" outlineLevel="0" max="2" min="2" style="67" width="12.91"/>
    <col collapsed="false" customWidth="true" hidden="false" outlineLevel="0" max="3" min="3" style="67" width="15.64"/>
    <col collapsed="false" customWidth="false" hidden="false" outlineLevel="0" max="6" min="4" style="67" width="12.36"/>
    <col collapsed="false" customWidth="true" hidden="false" outlineLevel="0" max="7" min="7" style="67" width="13.91"/>
    <col collapsed="false" customWidth="true" hidden="false" outlineLevel="0" max="8" min="8" style="67" width="7.91"/>
    <col collapsed="false" customWidth="true" hidden="false" outlineLevel="0" max="9" min="9" style="67" width="7.09"/>
    <col collapsed="false" customWidth="false" hidden="false" outlineLevel="0" max="14" min="10" style="67" width="12.36"/>
    <col collapsed="false" customWidth="true" hidden="false" outlineLevel="0" max="15" min="15" style="67" width="14.18"/>
    <col collapsed="false" customWidth="false" hidden="false" outlineLevel="0" max="16384" min="16" style="67" width="12.36"/>
  </cols>
  <sheetData>
    <row r="1" customFormat="false" ht="27" hidden="false" customHeight="true" outlineLevel="0" collapsed="false"/>
    <row r="2" customFormat="false" ht="24.75" hidden="false" customHeight="true" outlineLevel="0" collapsed="false">
      <c r="B2" s="68" t="s">
        <v>222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customFormat="false" ht="24.75" hidden="false" customHeight="true" outlineLevel="0" collapsed="false">
      <c r="B3" s="9" t="s">
        <v>1</v>
      </c>
      <c r="C3" s="8" t="str">
        <f aca="false">+RESUMEN!B4</f>
        <v>GERENCIA TERRITORIAL BAJO MAYO - TARAPOTO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customFormat="false" ht="59.25" hidden="false" customHeight="true" outlineLevel="0" collapsed="false">
      <c r="B4" s="9" t="s">
        <v>3</v>
      </c>
      <c r="C4" s="8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customFormat="false" ht="24.75" hidden="false" customHeight="true" outlineLevel="0" collapsed="false">
      <c r="B5" s="9" t="s">
        <v>5</v>
      </c>
      <c r="C5" s="8" t="str">
        <f aca="false">+RESUMEN!B6</f>
        <v>SAN MARTIN - SAN MARTIN - MORALES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24.75" hidden="false" customHeight="true" outlineLevel="0" collapsed="false">
      <c r="B6" s="9" t="s">
        <v>7</v>
      </c>
      <c r="C6" s="10" t="n">
        <f aca="false">+RESUMEN!B7</f>
        <v>46266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24" hidden="false" customHeight="true" outlineLevel="0" collapsed="false">
      <c r="A7" s="69"/>
      <c r="B7" s="70" t="s">
        <v>41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</row>
    <row r="8" customFormat="false" ht="15.75" hidden="false" customHeight="true" outlineLevel="0" collapsed="false"/>
    <row r="9" customFormat="false" ht="24" hidden="false" customHeight="true" outlineLevel="0" collapsed="false">
      <c r="B9" s="71" t="s">
        <v>223</v>
      </c>
      <c r="C9" s="71"/>
      <c r="D9" s="71"/>
      <c r="E9" s="72" t="s">
        <v>167</v>
      </c>
      <c r="F9" s="72" t="s">
        <v>224</v>
      </c>
      <c r="G9" s="73" t="s">
        <v>225</v>
      </c>
      <c r="I9" s="74"/>
      <c r="J9" s="75" t="s">
        <v>223</v>
      </c>
      <c r="K9" s="75"/>
      <c r="L9" s="75"/>
      <c r="M9" s="75" t="s">
        <v>167</v>
      </c>
      <c r="N9" s="75" t="s">
        <v>224</v>
      </c>
      <c r="O9" s="75" t="s">
        <v>225</v>
      </c>
    </row>
    <row r="10" customFormat="false" ht="15" hidden="false" customHeight="true" outlineLevel="0" collapsed="false">
      <c r="B10" s="76" t="s">
        <v>226</v>
      </c>
      <c r="C10" s="77" t="s">
        <v>227</v>
      </c>
      <c r="D10" s="78" t="s">
        <v>147</v>
      </c>
      <c r="E10" s="79" t="n">
        <v>14.07</v>
      </c>
      <c r="F10" s="80" t="n">
        <f aca="false">E10*E11*E12</f>
        <v>2.814</v>
      </c>
      <c r="G10" s="81" t="n">
        <f aca="false">SUM(F10:F18)</f>
        <v>5.3508</v>
      </c>
      <c r="I10" s="74"/>
      <c r="J10" s="82" t="s">
        <v>228</v>
      </c>
      <c r="K10" s="83" t="s">
        <v>227</v>
      </c>
      <c r="L10" s="84" t="s">
        <v>147</v>
      </c>
      <c r="M10" s="85" t="n">
        <v>74.5</v>
      </c>
      <c r="N10" s="86" t="n">
        <f aca="false">M10*M11*M12</f>
        <v>14.9</v>
      </c>
      <c r="O10" s="86" t="n">
        <f aca="false">SUM(N10:N18)</f>
        <v>23.9066</v>
      </c>
    </row>
    <row r="11" customFormat="false" ht="15" hidden="false" customHeight="true" outlineLevel="0" collapsed="false">
      <c r="B11" s="76"/>
      <c r="C11" s="77"/>
      <c r="D11" s="84" t="s">
        <v>229</v>
      </c>
      <c r="E11" s="85" t="n">
        <v>0.1</v>
      </c>
      <c r="F11" s="80"/>
      <c r="G11" s="81"/>
      <c r="I11" s="74"/>
      <c r="J11" s="82"/>
      <c r="K11" s="82"/>
      <c r="L11" s="84" t="s">
        <v>229</v>
      </c>
      <c r="M11" s="85" t="n">
        <v>0.1</v>
      </c>
      <c r="N11" s="86"/>
      <c r="O11" s="86"/>
    </row>
    <row r="12" customFormat="false" ht="15" hidden="false" customHeight="true" outlineLevel="0" collapsed="false">
      <c r="B12" s="76"/>
      <c r="C12" s="77"/>
      <c r="D12" s="87" t="s">
        <v>230</v>
      </c>
      <c r="E12" s="88" t="n">
        <v>2</v>
      </c>
      <c r="F12" s="80"/>
      <c r="G12" s="81"/>
      <c r="I12" s="74"/>
      <c r="J12" s="82"/>
      <c r="K12" s="83"/>
      <c r="L12" s="84" t="s">
        <v>230</v>
      </c>
      <c r="M12" s="85" t="n">
        <v>2</v>
      </c>
      <c r="N12" s="86"/>
      <c r="O12" s="86"/>
    </row>
    <row r="13" customFormat="false" ht="15" hidden="false" customHeight="true" outlineLevel="0" collapsed="false">
      <c r="B13" s="76"/>
      <c r="C13" s="77" t="s">
        <v>231</v>
      </c>
      <c r="D13" s="78" t="s">
        <v>229</v>
      </c>
      <c r="E13" s="79" t="n">
        <v>0.1</v>
      </c>
      <c r="F13" s="80" t="n">
        <f aca="false">E13*E14*E15</f>
        <v>2.2284</v>
      </c>
      <c r="G13" s="81"/>
      <c r="I13" s="74"/>
      <c r="J13" s="82"/>
      <c r="K13" s="83" t="s">
        <v>231</v>
      </c>
      <c r="L13" s="84" t="s">
        <v>229</v>
      </c>
      <c r="M13" s="85" t="n">
        <v>0.1</v>
      </c>
      <c r="N13" s="86" t="n">
        <f aca="false">M13*M14*M15</f>
        <v>7.542</v>
      </c>
      <c r="O13" s="86"/>
    </row>
    <row r="14" customFormat="false" ht="15" hidden="false" customHeight="true" outlineLevel="0" collapsed="false">
      <c r="B14" s="76"/>
      <c r="C14" s="77"/>
      <c r="D14" s="84" t="s">
        <v>232</v>
      </c>
      <c r="E14" s="85" t="n">
        <v>37.14</v>
      </c>
      <c r="F14" s="80"/>
      <c r="G14" s="81"/>
      <c r="I14" s="74"/>
      <c r="J14" s="82"/>
      <c r="K14" s="82"/>
      <c r="L14" s="84" t="s">
        <v>232</v>
      </c>
      <c r="M14" s="85" t="n">
        <v>125.7</v>
      </c>
      <c r="N14" s="86"/>
      <c r="O14" s="86"/>
    </row>
    <row r="15" customFormat="false" ht="15.75" hidden="false" customHeight="true" outlineLevel="0" collapsed="false">
      <c r="B15" s="76"/>
      <c r="C15" s="77"/>
      <c r="D15" s="87" t="s">
        <v>144</v>
      </c>
      <c r="E15" s="88" t="n">
        <v>0.6</v>
      </c>
      <c r="F15" s="80"/>
      <c r="G15" s="81"/>
      <c r="I15" s="74"/>
      <c r="J15" s="82"/>
      <c r="K15" s="83"/>
      <c r="L15" s="84" t="s">
        <v>144</v>
      </c>
      <c r="M15" s="85" t="n">
        <v>0.6</v>
      </c>
      <c r="N15" s="86"/>
      <c r="O15" s="86"/>
    </row>
    <row r="16" customFormat="false" ht="15" hidden="false" customHeight="true" outlineLevel="0" collapsed="false">
      <c r="B16" s="76"/>
      <c r="C16" s="77" t="s">
        <v>233</v>
      </c>
      <c r="D16" s="78" t="s">
        <v>232</v>
      </c>
      <c r="E16" s="79" t="n">
        <v>5.14</v>
      </c>
      <c r="F16" s="80" t="n">
        <f aca="false">E16*E17*E18</f>
        <v>0.3084</v>
      </c>
      <c r="G16" s="81"/>
      <c r="I16" s="74"/>
      <c r="J16" s="82"/>
      <c r="K16" s="83" t="s">
        <v>233</v>
      </c>
      <c r="L16" s="84" t="s">
        <v>232</v>
      </c>
      <c r="M16" s="89" t="n">
        <v>24.41</v>
      </c>
      <c r="N16" s="86" t="n">
        <f aca="false">M16*M17*M18</f>
        <v>1.4646</v>
      </c>
      <c r="O16" s="86"/>
    </row>
    <row r="17" customFormat="false" ht="15" hidden="false" customHeight="true" outlineLevel="0" collapsed="false">
      <c r="B17" s="76"/>
      <c r="C17" s="77"/>
      <c r="D17" s="84" t="s">
        <v>229</v>
      </c>
      <c r="E17" s="85" t="n">
        <v>0.1</v>
      </c>
      <c r="F17" s="80"/>
      <c r="G17" s="81"/>
      <c r="I17" s="74"/>
      <c r="J17" s="82"/>
      <c r="K17" s="82"/>
      <c r="L17" s="84" t="s">
        <v>229</v>
      </c>
      <c r="M17" s="85" t="n">
        <v>0.1</v>
      </c>
      <c r="N17" s="86"/>
      <c r="O17" s="86"/>
    </row>
    <row r="18" customFormat="false" ht="15.75" hidden="false" customHeight="true" outlineLevel="0" collapsed="false">
      <c r="B18" s="76"/>
      <c r="C18" s="77"/>
      <c r="D18" s="87" t="s">
        <v>144</v>
      </c>
      <c r="E18" s="88" t="n">
        <v>0.6</v>
      </c>
      <c r="F18" s="80"/>
      <c r="G18" s="81"/>
      <c r="I18" s="74"/>
      <c r="J18" s="82"/>
      <c r="K18" s="82"/>
      <c r="L18" s="84" t="s">
        <v>144</v>
      </c>
      <c r="M18" s="85" t="n">
        <v>0.6</v>
      </c>
      <c r="N18" s="86"/>
      <c r="O18" s="86"/>
    </row>
    <row r="19" customFormat="false" ht="15" hidden="false" customHeight="true" outlineLevel="0" collapsed="false">
      <c r="F19" s="90"/>
      <c r="I19" s="74"/>
    </row>
    <row r="20" customFormat="false" ht="14.25" hidden="false" customHeight="true" outlineLevel="0" collapsed="false">
      <c r="I20" s="74"/>
    </row>
    <row r="21" customFormat="false" ht="21" hidden="false" customHeight="true" outlineLevel="0" collapsed="false">
      <c r="B21" s="71" t="s">
        <v>223</v>
      </c>
      <c r="C21" s="71"/>
      <c r="D21" s="71"/>
      <c r="E21" s="72" t="s">
        <v>167</v>
      </c>
      <c r="F21" s="72" t="s">
        <v>224</v>
      </c>
      <c r="G21" s="73" t="s">
        <v>225</v>
      </c>
      <c r="I21" s="74"/>
      <c r="J21" s="75" t="s">
        <v>223</v>
      </c>
      <c r="K21" s="75"/>
      <c r="L21" s="75"/>
      <c r="M21" s="75" t="s">
        <v>167</v>
      </c>
      <c r="N21" s="75" t="s">
        <v>224</v>
      </c>
      <c r="O21" s="75" t="s">
        <v>225</v>
      </c>
    </row>
    <row r="22" customFormat="false" ht="15.75" hidden="false" customHeight="true" outlineLevel="0" collapsed="false">
      <c r="B22" s="76" t="s">
        <v>234</v>
      </c>
      <c r="C22" s="77" t="s">
        <v>227</v>
      </c>
      <c r="D22" s="78" t="s">
        <v>147</v>
      </c>
      <c r="E22" s="79" t="n">
        <v>78.32</v>
      </c>
      <c r="F22" s="80" t="n">
        <f aca="false">E22*E23*E24</f>
        <v>15.664</v>
      </c>
      <c r="G22" s="81" t="n">
        <f aca="false">SUM(F22:F30)</f>
        <v>25.4146</v>
      </c>
      <c r="J22" s="82" t="s">
        <v>235</v>
      </c>
      <c r="K22" s="83" t="s">
        <v>227</v>
      </c>
      <c r="L22" s="84" t="s">
        <v>147</v>
      </c>
      <c r="M22" s="85" t="n">
        <v>2.62</v>
      </c>
      <c r="N22" s="86" t="n">
        <f aca="false">M22*M23*M24</f>
        <v>0.524</v>
      </c>
      <c r="O22" s="86" t="n">
        <f aca="false">SUM(N22:N30)</f>
        <v>1.508</v>
      </c>
    </row>
    <row r="23" customFormat="false" ht="15" hidden="false" customHeight="true" outlineLevel="0" collapsed="false">
      <c r="B23" s="76"/>
      <c r="C23" s="77"/>
      <c r="D23" s="84" t="s">
        <v>229</v>
      </c>
      <c r="E23" s="85" t="n">
        <v>0.1</v>
      </c>
      <c r="F23" s="80"/>
      <c r="G23" s="81"/>
      <c r="J23" s="82"/>
      <c r="K23" s="82"/>
      <c r="L23" s="84" t="s">
        <v>229</v>
      </c>
      <c r="M23" s="85" t="n">
        <v>0.1</v>
      </c>
      <c r="N23" s="86"/>
      <c r="O23" s="86"/>
    </row>
    <row r="24" customFormat="false" ht="15.75" hidden="false" customHeight="true" outlineLevel="0" collapsed="false">
      <c r="B24" s="76"/>
      <c r="C24" s="77"/>
      <c r="D24" s="87" t="s">
        <v>230</v>
      </c>
      <c r="E24" s="88" t="n">
        <v>2</v>
      </c>
      <c r="F24" s="80"/>
      <c r="G24" s="81"/>
      <c r="J24" s="82"/>
      <c r="K24" s="83"/>
      <c r="L24" s="84" t="s">
        <v>230</v>
      </c>
      <c r="M24" s="85" t="n">
        <v>2</v>
      </c>
      <c r="N24" s="86"/>
      <c r="O24" s="86"/>
    </row>
    <row r="25" customFormat="false" ht="15" hidden="false" customHeight="true" outlineLevel="0" collapsed="false">
      <c r="B25" s="76"/>
      <c r="C25" s="77" t="s">
        <v>231</v>
      </c>
      <c r="D25" s="78" t="s">
        <v>229</v>
      </c>
      <c r="E25" s="79" t="n">
        <v>0.1</v>
      </c>
      <c r="F25" s="80" t="n">
        <f aca="false">E25*E26*E27</f>
        <v>7.851</v>
      </c>
      <c r="G25" s="81"/>
      <c r="J25" s="82"/>
      <c r="K25" s="83" t="s">
        <v>231</v>
      </c>
      <c r="L25" s="84" t="s">
        <v>229</v>
      </c>
      <c r="M25" s="85" t="n">
        <v>0.1</v>
      </c>
      <c r="N25" s="86" t="n">
        <f aca="false">M25*M26*M27</f>
        <v>0.492</v>
      </c>
      <c r="O25" s="86"/>
    </row>
    <row r="26" customFormat="false" ht="15" hidden="false" customHeight="true" outlineLevel="0" collapsed="false">
      <c r="B26" s="76"/>
      <c r="C26" s="77"/>
      <c r="D26" s="84" t="s">
        <v>232</v>
      </c>
      <c r="E26" s="85" t="n">
        <v>130.85</v>
      </c>
      <c r="F26" s="80"/>
      <c r="G26" s="81"/>
      <c r="J26" s="82"/>
      <c r="K26" s="82"/>
      <c r="L26" s="84" t="s">
        <v>232</v>
      </c>
      <c r="M26" s="85" t="n">
        <v>8.2</v>
      </c>
      <c r="N26" s="86"/>
      <c r="O26" s="86"/>
    </row>
    <row r="27" customFormat="false" ht="15.75" hidden="false" customHeight="true" outlineLevel="0" collapsed="false">
      <c r="B27" s="76"/>
      <c r="C27" s="77"/>
      <c r="D27" s="87" t="s">
        <v>144</v>
      </c>
      <c r="E27" s="88" t="n">
        <v>0.6</v>
      </c>
      <c r="F27" s="80"/>
      <c r="G27" s="81"/>
      <c r="J27" s="82"/>
      <c r="K27" s="83"/>
      <c r="L27" s="84" t="s">
        <v>144</v>
      </c>
      <c r="M27" s="85" t="n">
        <v>0.6</v>
      </c>
      <c r="N27" s="86"/>
      <c r="O27" s="86"/>
    </row>
    <row r="28" customFormat="false" ht="15" hidden="false" customHeight="true" outlineLevel="0" collapsed="false">
      <c r="B28" s="76"/>
      <c r="C28" s="77" t="s">
        <v>233</v>
      </c>
      <c r="D28" s="78" t="s">
        <v>232</v>
      </c>
      <c r="E28" s="79" t="n">
        <v>31.66</v>
      </c>
      <c r="F28" s="80" t="n">
        <f aca="false">E28*E29*E30</f>
        <v>1.8996</v>
      </c>
      <c r="G28" s="81"/>
      <c r="J28" s="82"/>
      <c r="K28" s="83" t="s">
        <v>233</v>
      </c>
      <c r="L28" s="84" t="s">
        <v>232</v>
      </c>
      <c r="M28" s="85" t="n">
        <v>8.2</v>
      </c>
      <c r="N28" s="86" t="n">
        <f aca="false">M28*M29*M30</f>
        <v>0.492</v>
      </c>
      <c r="O28" s="86"/>
    </row>
    <row r="29" customFormat="false" ht="15" hidden="false" customHeight="true" outlineLevel="0" collapsed="false">
      <c r="B29" s="76"/>
      <c r="C29" s="77"/>
      <c r="D29" s="84" t="s">
        <v>229</v>
      </c>
      <c r="E29" s="85" t="n">
        <v>0.1</v>
      </c>
      <c r="F29" s="80"/>
      <c r="G29" s="81"/>
      <c r="J29" s="82"/>
      <c r="K29" s="82"/>
      <c r="L29" s="84" t="s">
        <v>229</v>
      </c>
      <c r="M29" s="85" t="n">
        <v>0.1</v>
      </c>
      <c r="N29" s="86"/>
      <c r="O29" s="86"/>
    </row>
    <row r="30" customFormat="false" ht="15.75" hidden="false" customHeight="true" outlineLevel="0" collapsed="false">
      <c r="B30" s="76"/>
      <c r="C30" s="77"/>
      <c r="D30" s="87" t="s">
        <v>144</v>
      </c>
      <c r="E30" s="88" t="n">
        <v>0.6</v>
      </c>
      <c r="F30" s="80"/>
      <c r="G30" s="81"/>
      <c r="J30" s="82"/>
      <c r="K30" s="82"/>
      <c r="L30" s="84" t="s">
        <v>144</v>
      </c>
      <c r="M30" s="85" t="n">
        <v>0.6</v>
      </c>
      <c r="N30" s="86"/>
      <c r="O30" s="86"/>
    </row>
    <row r="31" customFormat="false" ht="19.5" hidden="false" customHeight="true" outlineLevel="0" collapsed="false"/>
    <row r="33" customFormat="false" ht="18.75" hidden="false" customHeight="true" outlineLevel="0" collapsed="false">
      <c r="B33" s="75" t="s">
        <v>223</v>
      </c>
      <c r="C33" s="75"/>
      <c r="D33" s="75"/>
      <c r="E33" s="75" t="s">
        <v>167</v>
      </c>
      <c r="F33" s="75" t="s">
        <v>224</v>
      </c>
      <c r="G33" s="75" t="s">
        <v>225</v>
      </c>
      <c r="J33" s="75" t="s">
        <v>223</v>
      </c>
      <c r="K33" s="75"/>
      <c r="L33" s="75"/>
      <c r="M33" s="91" t="s">
        <v>167</v>
      </c>
      <c r="N33" s="91" t="s">
        <v>224</v>
      </c>
      <c r="O33" s="91" t="s">
        <v>225</v>
      </c>
    </row>
    <row r="34" customFormat="false" ht="15" hidden="false" customHeight="true" outlineLevel="0" collapsed="false">
      <c r="B34" s="82" t="s">
        <v>236</v>
      </c>
      <c r="C34" s="83" t="s">
        <v>227</v>
      </c>
      <c r="D34" s="84" t="s">
        <v>147</v>
      </c>
      <c r="E34" s="85" t="n">
        <v>1.83</v>
      </c>
      <c r="F34" s="86" t="n">
        <f aca="false">E34*E35*E36</f>
        <v>0.366</v>
      </c>
      <c r="G34" s="86" t="n">
        <f aca="false">SUM(F34:F42)</f>
        <v>0.7152</v>
      </c>
      <c r="J34" s="92" t="s">
        <v>237</v>
      </c>
      <c r="K34" s="77" t="s">
        <v>227</v>
      </c>
      <c r="L34" s="78" t="s">
        <v>147</v>
      </c>
      <c r="M34" s="79" t="n">
        <v>2.22</v>
      </c>
      <c r="N34" s="80" t="n">
        <f aca="false">M34*M35*M36</f>
        <v>0.444</v>
      </c>
      <c r="O34" s="81" t="n">
        <f aca="false">SUM(N34:N42)</f>
        <v>1.284</v>
      </c>
    </row>
    <row r="35" customFormat="false" ht="15.75" hidden="false" customHeight="true" outlineLevel="0" collapsed="false">
      <c r="B35" s="82"/>
      <c r="C35" s="82"/>
      <c r="D35" s="84" t="s">
        <v>229</v>
      </c>
      <c r="E35" s="85" t="n">
        <v>0.1</v>
      </c>
      <c r="F35" s="86"/>
      <c r="G35" s="86"/>
      <c r="J35" s="92"/>
      <c r="K35" s="77"/>
      <c r="L35" s="84" t="s">
        <v>229</v>
      </c>
      <c r="M35" s="85" t="n">
        <v>0.1</v>
      </c>
      <c r="N35" s="80"/>
      <c r="O35" s="81"/>
    </row>
    <row r="36" customFormat="false" ht="15.75" hidden="false" customHeight="true" outlineLevel="0" collapsed="false">
      <c r="B36" s="82"/>
      <c r="C36" s="83"/>
      <c r="D36" s="84" t="s">
        <v>230</v>
      </c>
      <c r="E36" s="85" t="n">
        <v>2</v>
      </c>
      <c r="F36" s="86"/>
      <c r="G36" s="86"/>
      <c r="J36" s="92"/>
      <c r="K36" s="77"/>
      <c r="L36" s="87" t="s">
        <v>230</v>
      </c>
      <c r="M36" s="88" t="n">
        <v>2</v>
      </c>
      <c r="N36" s="80"/>
      <c r="O36" s="81"/>
    </row>
    <row r="37" customFormat="false" ht="19.5" hidden="false" customHeight="true" outlineLevel="0" collapsed="false">
      <c r="B37" s="82"/>
      <c r="C37" s="83" t="s">
        <v>231</v>
      </c>
      <c r="D37" s="84" t="s">
        <v>229</v>
      </c>
      <c r="E37" s="85" t="n">
        <v>0.1</v>
      </c>
      <c r="F37" s="86" t="n">
        <f aca="false">E37*E38*E39</f>
        <v>0.3492</v>
      </c>
      <c r="G37" s="86"/>
      <c r="J37" s="92"/>
      <c r="K37" s="77" t="s">
        <v>231</v>
      </c>
      <c r="L37" s="78" t="s">
        <v>229</v>
      </c>
      <c r="M37" s="79" t="n">
        <v>0.1</v>
      </c>
      <c r="N37" s="80" t="n">
        <f aca="false">M37*M38*M39</f>
        <v>0.42</v>
      </c>
      <c r="O37" s="81"/>
    </row>
    <row r="38" customFormat="false" ht="15" hidden="false" customHeight="true" outlineLevel="0" collapsed="false">
      <c r="B38" s="82"/>
      <c r="C38" s="82"/>
      <c r="D38" s="84" t="s">
        <v>232</v>
      </c>
      <c r="E38" s="85" t="n">
        <v>5.82</v>
      </c>
      <c r="F38" s="86"/>
      <c r="G38" s="86"/>
      <c r="J38" s="92"/>
      <c r="K38" s="77"/>
      <c r="L38" s="84" t="s">
        <v>232</v>
      </c>
      <c r="M38" s="85" t="n">
        <v>7</v>
      </c>
      <c r="N38" s="80"/>
      <c r="O38" s="81"/>
    </row>
    <row r="39" customFormat="false" ht="15.75" hidden="false" customHeight="true" outlineLevel="0" collapsed="false">
      <c r="B39" s="82"/>
      <c r="C39" s="83"/>
      <c r="D39" s="84" t="s">
        <v>144</v>
      </c>
      <c r="E39" s="85" t="n">
        <v>0.6</v>
      </c>
      <c r="F39" s="86"/>
      <c r="G39" s="86"/>
      <c r="J39" s="92"/>
      <c r="K39" s="77"/>
      <c r="L39" s="87" t="s">
        <v>144</v>
      </c>
      <c r="M39" s="88" t="n">
        <v>0.6</v>
      </c>
      <c r="N39" s="80"/>
      <c r="O39" s="81"/>
    </row>
    <row r="40" customFormat="false" ht="15" hidden="false" customHeight="true" outlineLevel="0" collapsed="false">
      <c r="B40" s="82"/>
      <c r="C40" s="83" t="s">
        <v>233</v>
      </c>
      <c r="D40" s="84" t="s">
        <v>232</v>
      </c>
      <c r="E40" s="93" t="n">
        <v>0</v>
      </c>
      <c r="F40" s="86" t="n">
        <f aca="false">E40*E41*E42</f>
        <v>0</v>
      </c>
      <c r="G40" s="86"/>
      <c r="J40" s="92"/>
      <c r="K40" s="77" t="s">
        <v>233</v>
      </c>
      <c r="L40" s="78" t="s">
        <v>232</v>
      </c>
      <c r="M40" s="79" t="n">
        <v>7</v>
      </c>
      <c r="N40" s="80" t="n">
        <f aca="false">M40*M41*M42</f>
        <v>0.42</v>
      </c>
      <c r="O40" s="81"/>
    </row>
    <row r="41" customFormat="false" ht="15" hidden="false" customHeight="true" outlineLevel="0" collapsed="false">
      <c r="B41" s="82"/>
      <c r="C41" s="82"/>
      <c r="D41" s="84" t="s">
        <v>229</v>
      </c>
      <c r="E41" s="85" t="n">
        <v>0.1</v>
      </c>
      <c r="F41" s="86"/>
      <c r="G41" s="86"/>
      <c r="J41" s="92"/>
      <c r="K41" s="77"/>
      <c r="L41" s="84" t="s">
        <v>229</v>
      </c>
      <c r="M41" s="85" t="n">
        <v>0.1</v>
      </c>
      <c r="N41" s="80"/>
      <c r="O41" s="81"/>
    </row>
    <row r="42" customFormat="false" ht="15" hidden="false" customHeight="true" outlineLevel="0" collapsed="false">
      <c r="B42" s="82"/>
      <c r="C42" s="82"/>
      <c r="D42" s="84" t="s">
        <v>144</v>
      </c>
      <c r="E42" s="85" t="n">
        <v>0.6</v>
      </c>
      <c r="F42" s="86"/>
      <c r="G42" s="86"/>
      <c r="J42" s="92"/>
      <c r="K42" s="77"/>
      <c r="L42" s="87" t="s">
        <v>144</v>
      </c>
      <c r="M42" s="88" t="n">
        <v>0.6</v>
      </c>
      <c r="N42" s="80"/>
      <c r="O42" s="81"/>
    </row>
    <row r="45" customFormat="false" ht="19.5" hidden="false" customHeight="true" outlineLevel="0" collapsed="false">
      <c r="B45" s="91" t="s">
        <v>223</v>
      </c>
      <c r="C45" s="91"/>
      <c r="D45" s="91"/>
      <c r="E45" s="91" t="s">
        <v>167</v>
      </c>
      <c r="F45" s="91" t="s">
        <v>224</v>
      </c>
      <c r="G45" s="91" t="s">
        <v>225</v>
      </c>
      <c r="J45" s="75" t="s">
        <v>223</v>
      </c>
      <c r="K45" s="75"/>
      <c r="L45" s="75"/>
      <c r="M45" s="91" t="s">
        <v>167</v>
      </c>
      <c r="N45" s="91" t="s">
        <v>224</v>
      </c>
      <c r="O45" s="91" t="s">
        <v>225</v>
      </c>
    </row>
    <row r="46" customFormat="false" ht="15" hidden="false" customHeight="true" outlineLevel="0" collapsed="false">
      <c r="B46" s="94" t="s">
        <v>238</v>
      </c>
      <c r="C46" s="77" t="s">
        <v>227</v>
      </c>
      <c r="D46" s="78" t="s">
        <v>147</v>
      </c>
      <c r="E46" s="79" t="n">
        <v>2.76</v>
      </c>
      <c r="F46" s="80" t="n">
        <f aca="false">E46*E47*E48</f>
        <v>0.552</v>
      </c>
      <c r="G46" s="81" t="n">
        <f aca="false">SUM(F46:F54)</f>
        <v>1.068</v>
      </c>
      <c r="J46" s="92" t="s">
        <v>239</v>
      </c>
      <c r="K46" s="77" t="s">
        <v>227</v>
      </c>
      <c r="L46" s="78" t="s">
        <v>147</v>
      </c>
      <c r="M46" s="79" t="n">
        <v>5.44</v>
      </c>
      <c r="N46" s="80" t="n">
        <f aca="false">M46*M47*M48</f>
        <v>1.088</v>
      </c>
      <c r="O46" s="81" t="n">
        <f aca="false">SUM(N46:N54)</f>
        <v>2.048</v>
      </c>
    </row>
    <row r="47" customFormat="false" ht="15" hidden="false" customHeight="true" outlineLevel="0" collapsed="false">
      <c r="B47" s="94"/>
      <c r="C47" s="94"/>
      <c r="D47" s="84" t="s">
        <v>229</v>
      </c>
      <c r="E47" s="85" t="n">
        <v>0.1</v>
      </c>
      <c r="F47" s="80"/>
      <c r="G47" s="81"/>
      <c r="J47" s="92"/>
      <c r="K47" s="77"/>
      <c r="L47" s="84" t="s">
        <v>229</v>
      </c>
      <c r="M47" s="85" t="n">
        <v>0.1</v>
      </c>
      <c r="N47" s="80"/>
      <c r="O47" s="81"/>
    </row>
    <row r="48" customFormat="false" ht="15.75" hidden="false" customHeight="true" outlineLevel="0" collapsed="false">
      <c r="B48" s="94"/>
      <c r="C48" s="77"/>
      <c r="D48" s="87" t="s">
        <v>230</v>
      </c>
      <c r="E48" s="88" t="n">
        <v>2</v>
      </c>
      <c r="F48" s="80"/>
      <c r="G48" s="81"/>
      <c r="J48" s="92"/>
      <c r="K48" s="77"/>
      <c r="L48" s="87" t="s">
        <v>230</v>
      </c>
      <c r="M48" s="88" t="n">
        <v>2</v>
      </c>
      <c r="N48" s="80"/>
      <c r="O48" s="81"/>
    </row>
    <row r="49" customFormat="false" ht="15" hidden="false" customHeight="true" outlineLevel="0" collapsed="false">
      <c r="B49" s="94"/>
      <c r="C49" s="77" t="s">
        <v>231</v>
      </c>
      <c r="D49" s="78" t="s">
        <v>229</v>
      </c>
      <c r="E49" s="79" t="n">
        <v>0.1</v>
      </c>
      <c r="F49" s="80" t="n">
        <f aca="false">E49*E50*E51</f>
        <v>0.516</v>
      </c>
      <c r="G49" s="81"/>
      <c r="J49" s="92"/>
      <c r="K49" s="77" t="s">
        <v>231</v>
      </c>
      <c r="L49" s="78" t="s">
        <v>229</v>
      </c>
      <c r="M49" s="79" t="n">
        <v>0.1</v>
      </c>
      <c r="N49" s="80" t="n">
        <f aca="false">M49*M50*M51</f>
        <v>0.96</v>
      </c>
      <c r="O49" s="81"/>
    </row>
    <row r="50" customFormat="false" ht="15" hidden="false" customHeight="true" outlineLevel="0" collapsed="false">
      <c r="B50" s="94"/>
      <c r="C50" s="94"/>
      <c r="D50" s="84" t="s">
        <v>232</v>
      </c>
      <c r="E50" s="85" t="n">
        <v>8.6</v>
      </c>
      <c r="F50" s="80"/>
      <c r="G50" s="81"/>
      <c r="J50" s="92"/>
      <c r="K50" s="77"/>
      <c r="L50" s="84" t="s">
        <v>232</v>
      </c>
      <c r="M50" s="85" t="n">
        <v>16</v>
      </c>
      <c r="N50" s="80"/>
      <c r="O50" s="81"/>
    </row>
    <row r="51" customFormat="false" ht="21" hidden="false" customHeight="true" outlineLevel="0" collapsed="false">
      <c r="B51" s="94"/>
      <c r="C51" s="77"/>
      <c r="D51" s="87" t="s">
        <v>144</v>
      </c>
      <c r="E51" s="88" t="n">
        <v>0.6</v>
      </c>
      <c r="F51" s="80"/>
      <c r="G51" s="81"/>
      <c r="J51" s="92"/>
      <c r="K51" s="77"/>
      <c r="L51" s="87" t="s">
        <v>144</v>
      </c>
      <c r="M51" s="88" t="n">
        <v>0.6</v>
      </c>
      <c r="N51" s="80"/>
      <c r="O51" s="81"/>
    </row>
    <row r="52" customFormat="false" ht="15" hidden="false" customHeight="true" outlineLevel="0" collapsed="false">
      <c r="B52" s="94"/>
      <c r="C52" s="95" t="s">
        <v>233</v>
      </c>
      <c r="D52" s="96" t="s">
        <v>232</v>
      </c>
      <c r="E52" s="97" t="n">
        <v>0</v>
      </c>
      <c r="F52" s="98" t="n">
        <f aca="false">E52*E53*E54</f>
        <v>0</v>
      </c>
      <c r="G52" s="81"/>
      <c r="J52" s="92"/>
      <c r="K52" s="77" t="s">
        <v>233</v>
      </c>
      <c r="L52" s="78" t="s">
        <v>232</v>
      </c>
      <c r="M52" s="99" t="n">
        <v>0</v>
      </c>
      <c r="N52" s="80" t="n">
        <f aca="false">M52*M53*M54</f>
        <v>0</v>
      </c>
      <c r="O52" s="81"/>
    </row>
    <row r="53" customFormat="false" ht="15" hidden="false" customHeight="true" outlineLevel="0" collapsed="false">
      <c r="B53" s="94"/>
      <c r="C53" s="95"/>
      <c r="D53" s="84" t="s">
        <v>229</v>
      </c>
      <c r="E53" s="85" t="n">
        <v>0.1</v>
      </c>
      <c r="F53" s="98"/>
      <c r="G53" s="81"/>
      <c r="J53" s="92"/>
      <c r="K53" s="77"/>
      <c r="L53" s="84" t="s">
        <v>229</v>
      </c>
      <c r="M53" s="85" t="n">
        <v>0.1</v>
      </c>
      <c r="N53" s="80"/>
      <c r="O53" s="81"/>
    </row>
    <row r="54" customFormat="false" ht="15.75" hidden="false" customHeight="true" outlineLevel="0" collapsed="false">
      <c r="B54" s="94"/>
      <c r="C54" s="95"/>
      <c r="D54" s="87" t="s">
        <v>144</v>
      </c>
      <c r="E54" s="88" t="n">
        <v>0.6</v>
      </c>
      <c r="F54" s="98"/>
      <c r="G54" s="81"/>
      <c r="J54" s="92"/>
      <c r="K54" s="77"/>
      <c r="L54" s="87" t="s">
        <v>144</v>
      </c>
      <c r="M54" s="88" t="n">
        <v>0.6</v>
      </c>
      <c r="N54" s="80"/>
      <c r="O54" s="81"/>
    </row>
    <row r="57" customFormat="false" ht="21" hidden="false" customHeight="true" outlineLevel="0" collapsed="false">
      <c r="B57" s="75" t="s">
        <v>223</v>
      </c>
      <c r="C57" s="75"/>
      <c r="D57" s="75"/>
      <c r="E57" s="75" t="s">
        <v>167</v>
      </c>
      <c r="F57" s="75" t="s">
        <v>224</v>
      </c>
      <c r="G57" s="75" t="s">
        <v>225</v>
      </c>
      <c r="J57" s="75" t="s">
        <v>223</v>
      </c>
      <c r="K57" s="75"/>
      <c r="L57" s="75"/>
      <c r="M57" s="91" t="s">
        <v>167</v>
      </c>
      <c r="N57" s="91" t="s">
        <v>224</v>
      </c>
      <c r="O57" s="91" t="s">
        <v>225</v>
      </c>
    </row>
    <row r="58" customFormat="false" ht="15" hidden="false" customHeight="true" outlineLevel="0" collapsed="false">
      <c r="B58" s="82" t="s">
        <v>240</v>
      </c>
      <c r="C58" s="83" t="s">
        <v>227</v>
      </c>
      <c r="D58" s="84" t="s">
        <v>147</v>
      </c>
      <c r="E58" s="85" t="n">
        <v>17.7</v>
      </c>
      <c r="F58" s="86" t="n">
        <f aca="false">E58*E59*E60</f>
        <v>3.54</v>
      </c>
      <c r="G58" s="86" t="n">
        <f aca="false">SUM(F58:F66)</f>
        <v>6.4758</v>
      </c>
      <c r="J58" s="92" t="s">
        <v>241</v>
      </c>
      <c r="K58" s="77" t="s">
        <v>227</v>
      </c>
      <c r="L58" s="78" t="s">
        <v>147</v>
      </c>
      <c r="M58" s="79" t="n">
        <v>33</v>
      </c>
      <c r="N58" s="80" t="n">
        <f aca="false">M58*M59*M60</f>
        <v>6.6</v>
      </c>
      <c r="O58" s="81" t="n">
        <f aca="false">SUM(N58:N66)</f>
        <v>11.4096</v>
      </c>
    </row>
    <row r="59" customFormat="false" ht="15" hidden="false" customHeight="true" outlineLevel="0" collapsed="false">
      <c r="B59" s="82"/>
      <c r="C59" s="82"/>
      <c r="D59" s="84" t="s">
        <v>229</v>
      </c>
      <c r="E59" s="85" t="n">
        <v>0.1</v>
      </c>
      <c r="F59" s="86"/>
      <c r="G59" s="86"/>
      <c r="J59" s="92"/>
      <c r="K59" s="77"/>
      <c r="L59" s="84" t="s">
        <v>229</v>
      </c>
      <c r="M59" s="85" t="n">
        <v>0.1</v>
      </c>
      <c r="N59" s="80"/>
      <c r="O59" s="81"/>
    </row>
    <row r="60" customFormat="false" ht="15.75" hidden="false" customHeight="true" outlineLevel="0" collapsed="false">
      <c r="B60" s="82"/>
      <c r="C60" s="83"/>
      <c r="D60" s="84" t="s">
        <v>230</v>
      </c>
      <c r="E60" s="85" t="n">
        <v>2</v>
      </c>
      <c r="F60" s="86"/>
      <c r="G60" s="86"/>
      <c r="J60" s="92"/>
      <c r="K60" s="77"/>
      <c r="L60" s="87" t="s">
        <v>230</v>
      </c>
      <c r="M60" s="88" t="n">
        <v>2</v>
      </c>
      <c r="N60" s="80"/>
      <c r="O60" s="81"/>
    </row>
    <row r="61" customFormat="false" ht="15" hidden="false" customHeight="true" outlineLevel="0" collapsed="false">
      <c r="B61" s="82"/>
      <c r="C61" s="83" t="s">
        <v>231</v>
      </c>
      <c r="D61" s="84" t="s">
        <v>229</v>
      </c>
      <c r="E61" s="85" t="n">
        <v>0.1</v>
      </c>
      <c r="F61" s="86" t="n">
        <f aca="false">E61*E62*E63</f>
        <v>2.5938</v>
      </c>
      <c r="G61" s="86"/>
      <c r="J61" s="92"/>
      <c r="K61" s="77" t="s">
        <v>231</v>
      </c>
      <c r="L61" s="78" t="s">
        <v>229</v>
      </c>
      <c r="M61" s="79" t="n">
        <v>0.1</v>
      </c>
      <c r="N61" s="80" t="n">
        <f aca="false">M61*M62*M63</f>
        <v>4.2876</v>
      </c>
      <c r="O61" s="81"/>
    </row>
    <row r="62" customFormat="false" ht="15" hidden="false" customHeight="true" outlineLevel="0" collapsed="false">
      <c r="B62" s="82"/>
      <c r="C62" s="82"/>
      <c r="D62" s="84" t="s">
        <v>232</v>
      </c>
      <c r="E62" s="85" t="n">
        <v>43.23</v>
      </c>
      <c r="F62" s="86"/>
      <c r="G62" s="86"/>
      <c r="I62" s="74"/>
      <c r="J62" s="92"/>
      <c r="K62" s="77"/>
      <c r="L62" s="84" t="s">
        <v>232</v>
      </c>
      <c r="M62" s="85" t="n">
        <v>71.46</v>
      </c>
      <c r="N62" s="80"/>
      <c r="O62" s="81"/>
    </row>
    <row r="63" customFormat="false" ht="15.75" hidden="false" customHeight="true" outlineLevel="0" collapsed="false">
      <c r="B63" s="82"/>
      <c r="C63" s="83"/>
      <c r="D63" s="84" t="s">
        <v>144</v>
      </c>
      <c r="E63" s="85" t="n">
        <v>0.6</v>
      </c>
      <c r="F63" s="86"/>
      <c r="G63" s="86"/>
      <c r="I63" s="74"/>
      <c r="J63" s="92"/>
      <c r="K63" s="77"/>
      <c r="L63" s="87" t="s">
        <v>144</v>
      </c>
      <c r="M63" s="88" t="n">
        <v>0.6</v>
      </c>
      <c r="N63" s="80"/>
      <c r="O63" s="81"/>
    </row>
    <row r="64" customFormat="false" ht="15" hidden="false" customHeight="true" outlineLevel="0" collapsed="false">
      <c r="B64" s="82"/>
      <c r="C64" s="83" t="s">
        <v>233</v>
      </c>
      <c r="D64" s="84" t="s">
        <v>232</v>
      </c>
      <c r="E64" s="85" t="n">
        <v>5.7</v>
      </c>
      <c r="F64" s="86" t="n">
        <f aca="false">E64*E65*E66</f>
        <v>0.342</v>
      </c>
      <c r="G64" s="86"/>
      <c r="J64" s="92"/>
      <c r="K64" s="77" t="s">
        <v>233</v>
      </c>
      <c r="L64" s="78" t="s">
        <v>232</v>
      </c>
      <c r="M64" s="79" t="n">
        <v>8.7</v>
      </c>
      <c r="N64" s="80" t="n">
        <f aca="false">M64*M65*M66</f>
        <v>0.522</v>
      </c>
      <c r="O64" s="81"/>
    </row>
    <row r="65" customFormat="false" ht="15" hidden="false" customHeight="true" outlineLevel="0" collapsed="false">
      <c r="B65" s="82"/>
      <c r="C65" s="82"/>
      <c r="D65" s="84" t="s">
        <v>229</v>
      </c>
      <c r="E65" s="85" t="n">
        <v>0.1</v>
      </c>
      <c r="F65" s="86"/>
      <c r="G65" s="86"/>
      <c r="J65" s="92"/>
      <c r="K65" s="77"/>
      <c r="L65" s="84" t="s">
        <v>229</v>
      </c>
      <c r="M65" s="85" t="n">
        <v>0.1</v>
      </c>
      <c r="N65" s="80"/>
      <c r="O65" s="81"/>
    </row>
    <row r="66" customFormat="false" ht="18" hidden="false" customHeight="true" outlineLevel="0" collapsed="false">
      <c r="B66" s="82"/>
      <c r="C66" s="82"/>
      <c r="D66" s="84" t="s">
        <v>144</v>
      </c>
      <c r="E66" s="85" t="n">
        <v>0.6</v>
      </c>
      <c r="F66" s="86"/>
      <c r="G66" s="86"/>
      <c r="J66" s="92"/>
      <c r="K66" s="77"/>
      <c r="L66" s="87" t="s">
        <v>144</v>
      </c>
      <c r="M66" s="88" t="n">
        <v>0.6</v>
      </c>
      <c r="N66" s="80"/>
      <c r="O66" s="81"/>
    </row>
    <row r="68" customFormat="false" ht="14.25" hidden="false" customHeight="true" outlineLevel="0" collapsed="false"/>
    <row r="69" customFormat="false" ht="24" hidden="false" customHeight="true" outlineLevel="0" collapsed="false">
      <c r="B69" s="71" t="s">
        <v>223</v>
      </c>
      <c r="C69" s="71"/>
      <c r="D69" s="71"/>
      <c r="E69" s="72" t="s">
        <v>167</v>
      </c>
      <c r="F69" s="72" t="s">
        <v>224</v>
      </c>
      <c r="G69" s="73" t="s">
        <v>225</v>
      </c>
      <c r="J69" s="75" t="s">
        <v>223</v>
      </c>
      <c r="K69" s="75"/>
      <c r="L69" s="75"/>
      <c r="M69" s="91" t="s">
        <v>167</v>
      </c>
      <c r="N69" s="91" t="s">
        <v>224</v>
      </c>
      <c r="O69" s="91" t="s">
        <v>225</v>
      </c>
    </row>
    <row r="70" customFormat="false" ht="19.5" hidden="false" customHeight="true" outlineLevel="0" collapsed="false">
      <c r="B70" s="76" t="s">
        <v>242</v>
      </c>
      <c r="C70" s="77" t="s">
        <v>227</v>
      </c>
      <c r="D70" s="78" t="s">
        <v>147</v>
      </c>
      <c r="E70" s="79" t="n">
        <v>69.72</v>
      </c>
      <c r="F70" s="80" t="n">
        <f aca="false">E70*E71*E72</f>
        <v>13.944</v>
      </c>
      <c r="G70" s="81" t="n">
        <f aca="false">SUM(F70:F78)</f>
        <v>22.7196</v>
      </c>
      <c r="J70" s="100" t="s">
        <v>243</v>
      </c>
      <c r="K70" s="77" t="s">
        <v>227</v>
      </c>
      <c r="L70" s="78" t="s">
        <v>147</v>
      </c>
      <c r="M70" s="79" t="n">
        <v>54</v>
      </c>
      <c r="N70" s="80" t="n">
        <f aca="false">M70*M71*M72</f>
        <v>10.8</v>
      </c>
      <c r="O70" s="81" t="n">
        <f aca="false">SUM(N70:N78)</f>
        <v>20.7456</v>
      </c>
    </row>
    <row r="71" customFormat="false" ht="14.25" hidden="false" customHeight="true" outlineLevel="0" collapsed="false">
      <c r="B71" s="76"/>
      <c r="C71" s="77"/>
      <c r="D71" s="84" t="s">
        <v>229</v>
      </c>
      <c r="E71" s="85" t="n">
        <v>0.1</v>
      </c>
      <c r="F71" s="80"/>
      <c r="G71" s="81"/>
      <c r="J71" s="100"/>
      <c r="K71" s="77"/>
      <c r="L71" s="84" t="s">
        <v>229</v>
      </c>
      <c r="M71" s="85" t="n">
        <v>0.1</v>
      </c>
      <c r="N71" s="80"/>
      <c r="O71" s="81"/>
    </row>
    <row r="72" customFormat="false" ht="22.5" hidden="false" customHeight="true" outlineLevel="0" collapsed="false">
      <c r="B72" s="76"/>
      <c r="C72" s="77"/>
      <c r="D72" s="87" t="s">
        <v>230</v>
      </c>
      <c r="E72" s="88" t="n">
        <v>2</v>
      </c>
      <c r="F72" s="80"/>
      <c r="G72" s="81"/>
      <c r="J72" s="100"/>
      <c r="K72" s="77"/>
      <c r="L72" s="87" t="s">
        <v>230</v>
      </c>
      <c r="M72" s="88" t="n">
        <v>2</v>
      </c>
      <c r="N72" s="80"/>
      <c r="O72" s="81"/>
    </row>
    <row r="73" customFormat="false" ht="15" hidden="false" customHeight="true" outlineLevel="0" collapsed="false">
      <c r="B73" s="76"/>
      <c r="C73" s="101" t="s">
        <v>231</v>
      </c>
      <c r="D73" s="96" t="s">
        <v>229</v>
      </c>
      <c r="E73" s="102" t="n">
        <v>0.1</v>
      </c>
      <c r="F73" s="103" t="n">
        <f aca="false">E73*E74*E75</f>
        <v>7.2216</v>
      </c>
      <c r="G73" s="81"/>
      <c r="J73" s="100"/>
      <c r="K73" s="77" t="s">
        <v>231</v>
      </c>
      <c r="L73" s="78" t="s">
        <v>229</v>
      </c>
      <c r="M73" s="79" t="n">
        <v>0.1</v>
      </c>
      <c r="N73" s="80" t="n">
        <f aca="false">M73*M74*M75</f>
        <v>6.5472</v>
      </c>
      <c r="O73" s="81"/>
    </row>
    <row r="74" customFormat="false" ht="14.25" hidden="false" customHeight="true" outlineLevel="0" collapsed="false">
      <c r="B74" s="76"/>
      <c r="C74" s="101"/>
      <c r="D74" s="84" t="s">
        <v>232</v>
      </c>
      <c r="E74" s="85" t="n">
        <v>120.36</v>
      </c>
      <c r="F74" s="103"/>
      <c r="G74" s="81"/>
      <c r="J74" s="100"/>
      <c r="K74" s="77"/>
      <c r="L74" s="84" t="s">
        <v>232</v>
      </c>
      <c r="M74" s="85" t="n">
        <v>109.12</v>
      </c>
      <c r="N74" s="80"/>
      <c r="O74" s="81"/>
    </row>
    <row r="75" customFormat="false" ht="15.75" hidden="false" customHeight="true" outlineLevel="0" collapsed="false">
      <c r="B75" s="76"/>
      <c r="C75" s="101"/>
      <c r="D75" s="104" t="s">
        <v>144</v>
      </c>
      <c r="E75" s="105" t="n">
        <v>0.6</v>
      </c>
      <c r="F75" s="103"/>
      <c r="G75" s="81"/>
      <c r="J75" s="100"/>
      <c r="K75" s="77"/>
      <c r="L75" s="87" t="s">
        <v>144</v>
      </c>
      <c r="M75" s="88" t="n">
        <v>0.6</v>
      </c>
      <c r="N75" s="80"/>
      <c r="O75" s="81"/>
    </row>
    <row r="76" customFormat="false" ht="15" hidden="false" customHeight="true" outlineLevel="0" collapsed="false">
      <c r="B76" s="76"/>
      <c r="C76" s="77" t="s">
        <v>233</v>
      </c>
      <c r="D76" s="78" t="s">
        <v>232</v>
      </c>
      <c r="E76" s="79" t="n">
        <v>25.9</v>
      </c>
      <c r="F76" s="80" t="n">
        <f aca="false">E76*E77*E78</f>
        <v>1.554</v>
      </c>
      <c r="G76" s="81"/>
      <c r="J76" s="100"/>
      <c r="K76" s="77" t="s">
        <v>233</v>
      </c>
      <c r="L76" s="78" t="s">
        <v>232</v>
      </c>
      <c r="M76" s="106" t="n">
        <v>56.64</v>
      </c>
      <c r="N76" s="80" t="n">
        <f aca="false">M76*M77*M78</f>
        <v>3.3984</v>
      </c>
      <c r="O76" s="81"/>
    </row>
    <row r="77" customFormat="false" ht="14.25" hidden="false" customHeight="true" outlineLevel="0" collapsed="false">
      <c r="B77" s="76"/>
      <c r="C77" s="77"/>
      <c r="D77" s="84" t="s">
        <v>229</v>
      </c>
      <c r="E77" s="85" t="n">
        <v>0.1</v>
      </c>
      <c r="F77" s="80"/>
      <c r="G77" s="81"/>
      <c r="I77" s="74"/>
      <c r="J77" s="100"/>
      <c r="K77" s="77"/>
      <c r="L77" s="84" t="s">
        <v>229</v>
      </c>
      <c r="M77" s="85" t="n">
        <v>0.1</v>
      </c>
      <c r="N77" s="80"/>
      <c r="O77" s="81"/>
    </row>
    <row r="78" customFormat="false" ht="15.75" hidden="false" customHeight="true" outlineLevel="0" collapsed="false">
      <c r="B78" s="76"/>
      <c r="C78" s="77"/>
      <c r="D78" s="87" t="s">
        <v>144</v>
      </c>
      <c r="E78" s="88" t="n">
        <v>0.6</v>
      </c>
      <c r="F78" s="80"/>
      <c r="G78" s="81"/>
      <c r="I78" s="74"/>
      <c r="J78" s="100"/>
      <c r="K78" s="77"/>
      <c r="L78" s="87" t="s">
        <v>144</v>
      </c>
      <c r="M78" s="88" t="n">
        <v>0.6</v>
      </c>
      <c r="N78" s="80"/>
      <c r="O78" s="81"/>
    </row>
    <row r="80" customFormat="false" ht="13.5" hidden="false" customHeight="false" outlineLevel="0" collapsed="false">
      <c r="I80" s="74"/>
    </row>
    <row r="81" customFormat="false" ht="13.5" hidden="false" customHeight="false" outlineLevel="0" collapsed="false">
      <c r="I81" s="74"/>
    </row>
    <row r="85" customFormat="false" ht="27.75" hidden="false" customHeight="true" outlineLevel="0" collapsed="false"/>
    <row r="96" customFormat="false" ht="13.5" hidden="false" customHeight="false" outlineLevel="0" collapsed="false">
      <c r="I96" s="74"/>
    </row>
    <row r="97" customFormat="false" ht="13.5" hidden="false" customHeight="false" outlineLevel="0" collapsed="false">
      <c r="I97" s="74"/>
    </row>
    <row r="100" customFormat="false" ht="24" hidden="false" customHeight="true" outlineLevel="0" collapsed="false"/>
    <row r="111" customFormat="false" ht="13.5" hidden="false" customHeight="false" outlineLevel="0" collapsed="false">
      <c r="I111" s="74"/>
    </row>
    <row r="112" customFormat="false" ht="13.5" hidden="false" customHeight="false" outlineLevel="0" collapsed="false">
      <c r="I112" s="74"/>
    </row>
    <row r="115" customFormat="false" ht="23.25" hidden="false" customHeight="true" outlineLevel="0" collapsed="false"/>
    <row r="126" customFormat="false" ht="13.5" hidden="false" customHeight="false" outlineLevel="0" collapsed="false">
      <c r="I126" s="74"/>
    </row>
    <row r="127" customFormat="false" ht="13.5" hidden="false" customHeight="false" outlineLevel="0" collapsed="false">
      <c r="I127" s="74"/>
    </row>
    <row r="130" customFormat="false" ht="25.5" hidden="false" customHeight="true" outlineLevel="0" collapsed="false"/>
    <row r="141" customFormat="false" ht="13.5" hidden="false" customHeight="false" outlineLevel="0" collapsed="false">
      <c r="I141" s="74"/>
    </row>
    <row r="142" customFormat="false" ht="13.5" hidden="false" customHeight="false" outlineLevel="0" collapsed="false">
      <c r="I142" s="74"/>
    </row>
    <row r="145" customFormat="false" ht="25.5" hidden="false" customHeight="true" outlineLevel="0" collapsed="false"/>
    <row r="146" customFormat="false" ht="15" hidden="false" customHeight="true" outlineLevel="0" collapsed="false"/>
    <row r="156" customFormat="false" ht="13.5" hidden="false" customHeight="false" outlineLevel="0" collapsed="false">
      <c r="I156" s="74"/>
    </row>
    <row r="157" customFormat="false" ht="13.5" hidden="false" customHeight="false" outlineLevel="0" collapsed="false">
      <c r="I157" s="74"/>
    </row>
  </sheetData>
  <mergeCells count="114">
    <mergeCell ref="B2:O2"/>
    <mergeCell ref="C3:O3"/>
    <mergeCell ref="C4:O4"/>
    <mergeCell ref="C5:O5"/>
    <mergeCell ref="C6:O6"/>
    <mergeCell ref="B7:O7"/>
    <mergeCell ref="B9:D9"/>
    <mergeCell ref="J9:L9"/>
    <mergeCell ref="B10:B18"/>
    <mergeCell ref="C10:C12"/>
    <mergeCell ref="F10:F12"/>
    <mergeCell ref="G10:G18"/>
    <mergeCell ref="J10:J18"/>
    <mergeCell ref="K10:K12"/>
    <mergeCell ref="N10:N12"/>
    <mergeCell ref="O10:O18"/>
    <mergeCell ref="C13:C15"/>
    <mergeCell ref="F13:F15"/>
    <mergeCell ref="K13:K15"/>
    <mergeCell ref="N13:N15"/>
    <mergeCell ref="C16:C18"/>
    <mergeCell ref="F16:F18"/>
    <mergeCell ref="K16:K18"/>
    <mergeCell ref="N16:N18"/>
    <mergeCell ref="B21:D21"/>
    <mergeCell ref="J21:L21"/>
    <mergeCell ref="B22:B30"/>
    <mergeCell ref="C22:C24"/>
    <mergeCell ref="F22:F24"/>
    <mergeCell ref="G22:G30"/>
    <mergeCell ref="J22:J30"/>
    <mergeCell ref="K22:K24"/>
    <mergeCell ref="N22:N24"/>
    <mergeCell ref="O22:O30"/>
    <mergeCell ref="C25:C27"/>
    <mergeCell ref="F25:F27"/>
    <mergeCell ref="K25:K27"/>
    <mergeCell ref="N25:N27"/>
    <mergeCell ref="C28:C30"/>
    <mergeCell ref="F28:F30"/>
    <mergeCell ref="K28:K30"/>
    <mergeCell ref="N28:N30"/>
    <mergeCell ref="B33:D33"/>
    <mergeCell ref="J33:L33"/>
    <mergeCell ref="B34:B42"/>
    <mergeCell ref="C34:C36"/>
    <mergeCell ref="F34:F36"/>
    <mergeCell ref="G34:G42"/>
    <mergeCell ref="J34:J42"/>
    <mergeCell ref="K34:K36"/>
    <mergeCell ref="N34:N36"/>
    <mergeCell ref="O34:O42"/>
    <mergeCell ref="C37:C39"/>
    <mergeCell ref="F37:F39"/>
    <mergeCell ref="K37:K39"/>
    <mergeCell ref="N37:N39"/>
    <mergeCell ref="C40:C42"/>
    <mergeCell ref="F40:F42"/>
    <mergeCell ref="K40:K42"/>
    <mergeCell ref="N40:N42"/>
    <mergeCell ref="B45:D45"/>
    <mergeCell ref="J45:L45"/>
    <mergeCell ref="B46:B54"/>
    <mergeCell ref="C46:C48"/>
    <mergeCell ref="F46:F48"/>
    <mergeCell ref="G46:G54"/>
    <mergeCell ref="J46:J54"/>
    <mergeCell ref="K46:K48"/>
    <mergeCell ref="N46:N48"/>
    <mergeCell ref="O46:O54"/>
    <mergeCell ref="C49:C51"/>
    <mergeCell ref="F49:F51"/>
    <mergeCell ref="K49:K51"/>
    <mergeCell ref="N49:N51"/>
    <mergeCell ref="C52:C54"/>
    <mergeCell ref="F52:F54"/>
    <mergeCell ref="K52:K54"/>
    <mergeCell ref="N52:N54"/>
    <mergeCell ref="B57:D57"/>
    <mergeCell ref="J57:L57"/>
    <mergeCell ref="B58:B66"/>
    <mergeCell ref="C58:C60"/>
    <mergeCell ref="F58:F60"/>
    <mergeCell ref="G58:G66"/>
    <mergeCell ref="J58:J66"/>
    <mergeCell ref="K58:K60"/>
    <mergeCell ref="N58:N60"/>
    <mergeCell ref="O58:O66"/>
    <mergeCell ref="C61:C63"/>
    <mergeCell ref="F61:F63"/>
    <mergeCell ref="K61:K63"/>
    <mergeCell ref="N61:N63"/>
    <mergeCell ref="C64:C66"/>
    <mergeCell ref="F64:F66"/>
    <mergeCell ref="K64:K66"/>
    <mergeCell ref="N64:N66"/>
    <mergeCell ref="B69:D69"/>
    <mergeCell ref="J69:L69"/>
    <mergeCell ref="B70:B78"/>
    <mergeCell ref="C70:C72"/>
    <mergeCell ref="F70:F72"/>
    <mergeCell ref="G70:G78"/>
    <mergeCell ref="J70:J78"/>
    <mergeCell ref="K70:K72"/>
    <mergeCell ref="N70:N72"/>
    <mergeCell ref="O70:O78"/>
    <mergeCell ref="C73:C75"/>
    <mergeCell ref="F73:F75"/>
    <mergeCell ref="K73:K75"/>
    <mergeCell ref="N73:N75"/>
    <mergeCell ref="C76:C78"/>
    <mergeCell ref="F76:F78"/>
    <mergeCell ref="K76:K78"/>
    <mergeCell ref="N76:N78"/>
  </mergeCells>
  <printOptions headings="false" gridLines="false" gridLinesSet="true" horizontalCentered="false" verticalCentered="false"/>
  <pageMargins left="0.5" right="0.118055555555556" top="1.10694444444444" bottom="0.929861111111111" header="0.3" footer="0.511811023622047"/>
  <pageSetup paperSize="9" scale="38" fitToWidth="1" fitToHeight="1" pageOrder="downThenOver" orientation="portrait" blackAndWhite="false" draft="false" cellComments="none" horizontalDpi="300" verticalDpi="300" copies="1"/>
  <headerFooter>
    <oddHeader>&amp;C&amp;G</oddHeader>
  </headerFooter>
  <rowBreaks count="1" manualBreakCount="1">
    <brk id="143" man="true" max="16383" min="0"/>
  </rowBreaks>
  <legacyDrawingHF r:id="rIdHF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2:P79"/>
  <sheetViews>
    <sheetView showFormulas="false" showGridLines="true" showRowColHeaders="true" showZeros="true" rightToLeft="false" tabSelected="false" showOutlineSymbols="true" defaultGridColor="true" view="normal" topLeftCell="C25" colorId="64" zoomScale="130" zoomScaleNormal="130" zoomScalePageLayoutView="130" workbookViewId="0">
      <selection pane="topLeft" activeCell="H81" activeCellId="0" sqref="H81"/>
    </sheetView>
  </sheetViews>
  <sheetFormatPr defaultColWidth="10.91015625" defaultRowHeight="15" zeroHeight="false" outlineLevelRow="0" outlineLevelCol="0"/>
  <cols>
    <col collapsed="false" customWidth="true" hidden="false" outlineLevel="0" max="1" min="1" style="107" width="4.45"/>
    <col collapsed="false" customWidth="true" hidden="false" outlineLevel="0" max="2" min="2" style="107" width="13.45"/>
    <col collapsed="false" customWidth="true" hidden="false" outlineLevel="0" max="3" min="3" style="107" width="15"/>
    <col collapsed="false" customWidth="false" hidden="false" outlineLevel="0" max="7" min="4" style="107" width="10.91"/>
    <col collapsed="false" customWidth="true" hidden="false" outlineLevel="0" max="8" min="8" style="107" width="12.27"/>
    <col collapsed="false" customWidth="false" hidden="false" outlineLevel="0" max="14" min="9" style="107" width="10.91"/>
    <col collapsed="false" customWidth="true" hidden="false" outlineLevel="0" max="15" min="15" style="107" width="16.54"/>
    <col collapsed="false" customWidth="true" hidden="false" outlineLevel="0" max="16" min="16" style="107" width="12.36"/>
    <col collapsed="false" customWidth="false" hidden="false" outlineLevel="0" max="16384" min="17" style="107" width="10.91"/>
  </cols>
  <sheetData>
    <row r="2" customFormat="false" ht="21" hidden="false" customHeight="true" outlineLevel="0" collapsed="false">
      <c r="B2" s="108" t="s">
        <v>244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</row>
    <row r="3" customFormat="false" ht="20.25" hidden="false" customHeight="true" outlineLevel="0" collapsed="false">
      <c r="B3" s="109" t="s">
        <v>1</v>
      </c>
      <c r="C3" s="110" t="str">
        <f aca="false">+RESUMEN!B4</f>
        <v>GERENCIA TERRITORIAL BAJO MAYO - TARAPOTO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</row>
    <row r="4" customFormat="false" ht="60" hidden="false" customHeight="true" outlineLevel="0" collapsed="false">
      <c r="B4" s="109" t="s">
        <v>3</v>
      </c>
      <c r="C4" s="110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</row>
    <row r="5" customFormat="false" ht="36" hidden="false" customHeight="true" outlineLevel="0" collapsed="false">
      <c r="B5" s="109" t="s">
        <v>5</v>
      </c>
      <c r="C5" s="110" t="str">
        <f aca="false">+RESUMEN!B6</f>
        <v>SAN MARTIN - SAN MARTIN - MORALES</v>
      </c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</row>
    <row r="6" customFormat="false" ht="19.5" hidden="false" customHeight="true" outlineLevel="0" collapsed="false">
      <c r="B6" s="109" t="s">
        <v>7</v>
      </c>
      <c r="C6" s="111" t="n">
        <f aca="false">+RESUMEN!B7</f>
        <v>46266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</row>
    <row r="7" customFormat="false" ht="19.5" hidden="false" customHeight="true" outlineLevel="0" collapsed="false"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 customFormat="false" ht="15" hidden="false" customHeight="true" outlineLevel="0" collapsed="false">
      <c r="B8" s="113" t="s">
        <v>245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</row>
    <row r="9" customFormat="false" ht="15.75" hidden="false" customHeight="true" outlineLevel="0" collapsed="false"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</row>
    <row r="11" customFormat="false" ht="19.5" hidden="false" customHeight="true" outlineLevel="0" collapsed="false">
      <c r="B11" s="114" t="s">
        <v>223</v>
      </c>
      <c r="C11" s="114"/>
      <c r="D11" s="114"/>
      <c r="E11" s="114"/>
      <c r="F11" s="114"/>
      <c r="G11" s="114" t="s">
        <v>224</v>
      </c>
      <c r="H11" s="114" t="s">
        <v>246</v>
      </c>
      <c r="I11" s="1"/>
      <c r="J11" s="114" t="s">
        <v>223</v>
      </c>
      <c r="K11" s="114"/>
      <c r="L11" s="114"/>
      <c r="M11" s="114"/>
      <c r="N11" s="114"/>
      <c r="O11" s="114" t="s">
        <v>224</v>
      </c>
      <c r="P11" s="114" t="s">
        <v>246</v>
      </c>
    </row>
    <row r="12" customFormat="false" ht="15" hidden="false" customHeight="true" outlineLevel="0" collapsed="false">
      <c r="B12" s="115" t="s">
        <v>247</v>
      </c>
      <c r="C12" s="116" t="s">
        <v>248</v>
      </c>
      <c r="D12" s="115" t="s">
        <v>249</v>
      </c>
      <c r="E12" s="117" t="s">
        <v>147</v>
      </c>
      <c r="F12" s="89" t="n">
        <v>15.36</v>
      </c>
      <c r="G12" s="89" t="n">
        <f aca="false">F12*F13</f>
        <v>30.72</v>
      </c>
      <c r="H12" s="118" t="n">
        <f aca="false">SUM(G12:G20)</f>
        <v>66.796</v>
      </c>
      <c r="I12" s="1"/>
      <c r="J12" s="119" t="s">
        <v>153</v>
      </c>
      <c r="K12" s="120" t="s">
        <v>250</v>
      </c>
      <c r="L12" s="119" t="s">
        <v>249</v>
      </c>
      <c r="M12" s="121" t="s">
        <v>147</v>
      </c>
      <c r="N12" s="89" t="n">
        <v>68.67</v>
      </c>
      <c r="O12" s="89" t="n">
        <f aca="false">N12*N13</f>
        <v>137.34</v>
      </c>
      <c r="P12" s="118" t="n">
        <f aca="false">SUM(O12:O20)</f>
        <v>358.444</v>
      </c>
    </row>
    <row r="13" customFormat="false" ht="15" hidden="false" customHeight="false" outlineLevel="0" collapsed="false">
      <c r="B13" s="115"/>
      <c r="C13" s="115"/>
      <c r="D13" s="115"/>
      <c r="E13" s="117" t="s">
        <v>230</v>
      </c>
      <c r="F13" s="89" t="n">
        <v>2</v>
      </c>
      <c r="G13" s="89"/>
      <c r="H13" s="118"/>
      <c r="I13" s="1"/>
      <c r="J13" s="119"/>
      <c r="K13" s="119"/>
      <c r="L13" s="119"/>
      <c r="M13" s="121" t="s">
        <v>230</v>
      </c>
      <c r="N13" s="89" t="n">
        <v>2</v>
      </c>
      <c r="O13" s="89"/>
      <c r="P13" s="118"/>
    </row>
    <row r="14" customFormat="false" ht="15" hidden="false" customHeight="true" outlineLevel="0" collapsed="false">
      <c r="B14" s="115"/>
      <c r="C14" s="115"/>
      <c r="D14" s="115" t="s">
        <v>251</v>
      </c>
      <c r="E14" s="117" t="s">
        <v>147</v>
      </c>
      <c r="F14" s="89" t="n">
        <v>12.16</v>
      </c>
      <c r="G14" s="89" t="n">
        <f aca="false">F14*F15</f>
        <v>24.32</v>
      </c>
      <c r="H14" s="118"/>
      <c r="I14" s="1"/>
      <c r="J14" s="119"/>
      <c r="K14" s="119"/>
      <c r="L14" s="119" t="s">
        <v>251</v>
      </c>
      <c r="M14" s="121" t="s">
        <v>147</v>
      </c>
      <c r="N14" s="89" t="n">
        <v>58.75</v>
      </c>
      <c r="O14" s="89" t="n">
        <f aca="false">N14*N15</f>
        <v>117.5</v>
      </c>
      <c r="P14" s="118"/>
    </row>
    <row r="15" customFormat="false" ht="15" hidden="false" customHeight="false" outlineLevel="0" collapsed="false">
      <c r="B15" s="115"/>
      <c r="C15" s="116"/>
      <c r="D15" s="116"/>
      <c r="E15" s="117" t="s">
        <v>252</v>
      </c>
      <c r="F15" s="89" t="n">
        <v>2</v>
      </c>
      <c r="G15" s="89"/>
      <c r="H15" s="118"/>
      <c r="I15" s="1"/>
      <c r="J15" s="119"/>
      <c r="K15" s="120"/>
      <c r="L15" s="120"/>
      <c r="M15" s="121" t="s">
        <v>252</v>
      </c>
      <c r="N15" s="89" t="n">
        <v>2</v>
      </c>
      <c r="O15" s="89"/>
      <c r="P15" s="118"/>
    </row>
    <row r="16" customFormat="false" ht="15" hidden="false" customHeight="true" outlineLevel="0" collapsed="false">
      <c r="B16" s="115"/>
      <c r="C16" s="122" t="s">
        <v>253</v>
      </c>
      <c r="D16" s="115" t="s">
        <v>254</v>
      </c>
      <c r="E16" s="117" t="s">
        <v>147</v>
      </c>
      <c r="F16" s="85" t="n">
        <v>2.94</v>
      </c>
      <c r="G16" s="89" t="n">
        <f aca="false">F16*F17</f>
        <v>5.88</v>
      </c>
      <c r="H16" s="118"/>
      <c r="I16" s="1"/>
      <c r="J16" s="119"/>
      <c r="K16" s="123" t="s">
        <v>253</v>
      </c>
      <c r="L16" s="119" t="s">
        <v>254</v>
      </c>
      <c r="M16" s="121" t="s">
        <v>147</v>
      </c>
      <c r="N16" s="89" t="n">
        <v>25.9</v>
      </c>
      <c r="O16" s="89" t="n">
        <f aca="false">N16*N17</f>
        <v>51.8</v>
      </c>
      <c r="P16" s="118"/>
    </row>
    <row r="17" customFormat="false" ht="15" hidden="false" customHeight="false" outlineLevel="0" collapsed="false">
      <c r="B17" s="115"/>
      <c r="C17" s="115"/>
      <c r="D17" s="115"/>
      <c r="E17" s="117" t="s">
        <v>230</v>
      </c>
      <c r="F17" s="85" t="n">
        <v>2</v>
      </c>
      <c r="G17" s="89"/>
      <c r="H17" s="118"/>
      <c r="I17" s="1"/>
      <c r="J17" s="119"/>
      <c r="K17" s="119"/>
      <c r="L17" s="119"/>
      <c r="M17" s="121" t="s">
        <v>230</v>
      </c>
      <c r="N17" s="89" t="n">
        <v>2</v>
      </c>
      <c r="O17" s="89"/>
      <c r="P17" s="118"/>
    </row>
    <row r="18" customFormat="false" ht="15" hidden="false" customHeight="true" outlineLevel="0" collapsed="false">
      <c r="B18" s="115"/>
      <c r="C18" s="115"/>
      <c r="D18" s="115" t="s">
        <v>251</v>
      </c>
      <c r="E18" s="117" t="s">
        <v>147</v>
      </c>
      <c r="F18" s="85" t="n">
        <v>1.91</v>
      </c>
      <c r="G18" s="89" t="n">
        <f aca="false">(F18*F19)+F20</f>
        <v>5.876</v>
      </c>
      <c r="H18" s="118"/>
      <c r="I18" s="1"/>
      <c r="J18" s="119"/>
      <c r="K18" s="119"/>
      <c r="L18" s="119" t="s">
        <v>251</v>
      </c>
      <c r="M18" s="121" t="s">
        <v>147</v>
      </c>
      <c r="N18" s="89" t="n">
        <v>19.57</v>
      </c>
      <c r="O18" s="89" t="n">
        <f aca="false">N18*N19+N20</f>
        <v>51.804</v>
      </c>
      <c r="P18" s="118"/>
    </row>
    <row r="19" customFormat="false" ht="15" hidden="false" customHeight="false" outlineLevel="0" collapsed="false">
      <c r="B19" s="115"/>
      <c r="C19" s="115"/>
      <c r="D19" s="115"/>
      <c r="E19" s="117" t="s">
        <v>252</v>
      </c>
      <c r="F19" s="85" t="n">
        <v>2</v>
      </c>
      <c r="G19" s="89"/>
      <c r="H19" s="89"/>
      <c r="I19" s="1"/>
      <c r="J19" s="119"/>
      <c r="K19" s="119"/>
      <c r="L19" s="119"/>
      <c r="M19" s="121" t="s">
        <v>252</v>
      </c>
      <c r="N19" s="89" t="n">
        <v>2</v>
      </c>
      <c r="O19" s="89"/>
      <c r="P19" s="89"/>
    </row>
    <row r="20" customFormat="false" ht="14.25" hidden="false" customHeight="true" outlineLevel="0" collapsed="false">
      <c r="B20" s="115"/>
      <c r="C20" s="115"/>
      <c r="D20" s="115"/>
      <c r="E20" s="117" t="s">
        <v>233</v>
      </c>
      <c r="F20" s="85" t="n">
        <f aca="false">5.14*0.4</f>
        <v>2.056</v>
      </c>
      <c r="G20" s="89"/>
      <c r="H20" s="89"/>
      <c r="I20" s="1"/>
      <c r="J20" s="119"/>
      <c r="K20" s="119"/>
      <c r="L20" s="119"/>
      <c r="M20" s="121" t="s">
        <v>233</v>
      </c>
      <c r="N20" s="89" t="n">
        <f aca="false">31.66*0.4</f>
        <v>12.664</v>
      </c>
      <c r="O20" s="89"/>
      <c r="P20" s="89"/>
    </row>
    <row r="21" customFormat="false" ht="15" hidden="false" customHeight="false" outlineLevel="0" collapsed="false">
      <c r="J21" s="124"/>
      <c r="K21" s="124"/>
      <c r="L21" s="124"/>
      <c r="M21" s="124"/>
      <c r="N21" s="124"/>
    </row>
    <row r="22" customFormat="false" ht="29.85" hidden="false" customHeight="true" outlineLevel="0" collapsed="false">
      <c r="B22" s="114" t="s">
        <v>223</v>
      </c>
      <c r="C22" s="114"/>
      <c r="D22" s="114"/>
      <c r="E22" s="114"/>
      <c r="F22" s="114"/>
      <c r="G22" s="114" t="s">
        <v>224</v>
      </c>
      <c r="H22" s="114" t="s">
        <v>246</v>
      </c>
      <c r="I22" s="1"/>
      <c r="J22" s="125" t="s">
        <v>223</v>
      </c>
      <c r="K22" s="125"/>
      <c r="L22" s="125"/>
      <c r="M22" s="125"/>
      <c r="N22" s="125"/>
      <c r="O22" s="114" t="s">
        <v>224</v>
      </c>
      <c r="P22" s="114" t="s">
        <v>246</v>
      </c>
    </row>
    <row r="23" customFormat="false" ht="15" hidden="false" customHeight="true" outlineLevel="0" collapsed="false">
      <c r="B23" s="119" t="s">
        <v>154</v>
      </c>
      <c r="C23" s="120" t="s">
        <v>248</v>
      </c>
      <c r="D23" s="119" t="s">
        <v>249</v>
      </c>
      <c r="E23" s="121" t="s">
        <v>147</v>
      </c>
      <c r="F23" s="89" t="n">
        <v>2.41</v>
      </c>
      <c r="G23" s="89" t="n">
        <f aca="false">F23*F24</f>
        <v>4.82</v>
      </c>
      <c r="H23" s="118" t="n">
        <f aca="false">SUM(G23:G31)</f>
        <v>8.48</v>
      </c>
      <c r="I23" s="1"/>
      <c r="J23" s="119" t="s">
        <v>155</v>
      </c>
      <c r="K23" s="120" t="s">
        <v>250</v>
      </c>
      <c r="L23" s="119" t="s">
        <v>249</v>
      </c>
      <c r="M23" s="121" t="s">
        <v>147</v>
      </c>
      <c r="N23" s="89" t="n">
        <v>3.62</v>
      </c>
      <c r="O23" s="89" t="n">
        <f aca="false">N23*N24</f>
        <v>7.24</v>
      </c>
      <c r="P23" s="118" t="n">
        <f aca="false">SUM(O23:O31)</f>
        <v>12.76</v>
      </c>
    </row>
    <row r="24" customFormat="false" ht="15" hidden="false" customHeight="false" outlineLevel="0" collapsed="false">
      <c r="B24" s="119"/>
      <c r="C24" s="119"/>
      <c r="D24" s="119"/>
      <c r="E24" s="121" t="s">
        <v>230</v>
      </c>
      <c r="F24" s="89" t="n">
        <v>2</v>
      </c>
      <c r="G24" s="89"/>
      <c r="H24" s="118"/>
      <c r="I24" s="1"/>
      <c r="J24" s="119"/>
      <c r="K24" s="119"/>
      <c r="L24" s="119"/>
      <c r="M24" s="121" t="s">
        <v>230</v>
      </c>
      <c r="N24" s="89" t="n">
        <v>2</v>
      </c>
      <c r="O24" s="89"/>
      <c r="P24" s="118"/>
    </row>
    <row r="25" customFormat="false" ht="15" hidden="false" customHeight="true" outlineLevel="0" collapsed="false">
      <c r="B25" s="119"/>
      <c r="C25" s="119"/>
      <c r="D25" s="119" t="s">
        <v>251</v>
      </c>
      <c r="E25" s="121" t="s">
        <v>147</v>
      </c>
      <c r="F25" s="89" t="n">
        <v>1.83</v>
      </c>
      <c r="G25" s="89" t="n">
        <f aca="false">F25*F26</f>
        <v>3.66</v>
      </c>
      <c r="H25" s="118"/>
      <c r="I25" s="1"/>
      <c r="J25" s="119"/>
      <c r="K25" s="119"/>
      <c r="L25" s="119" t="s">
        <v>251</v>
      </c>
      <c r="M25" s="121" t="s">
        <v>147</v>
      </c>
      <c r="N25" s="89" t="n">
        <v>2.76</v>
      </c>
      <c r="O25" s="89" t="n">
        <f aca="false">N25*N26</f>
        <v>5.52</v>
      </c>
      <c r="P25" s="118"/>
    </row>
    <row r="26" customFormat="false" ht="15" hidden="false" customHeight="false" outlineLevel="0" collapsed="false">
      <c r="B26" s="119"/>
      <c r="C26" s="120"/>
      <c r="D26" s="120"/>
      <c r="E26" s="121" t="s">
        <v>252</v>
      </c>
      <c r="F26" s="89" t="n">
        <v>2</v>
      </c>
      <c r="G26" s="89"/>
      <c r="H26" s="118"/>
      <c r="I26" s="1"/>
      <c r="J26" s="119"/>
      <c r="K26" s="120"/>
      <c r="L26" s="120"/>
      <c r="M26" s="121" t="s">
        <v>252</v>
      </c>
      <c r="N26" s="89" t="n">
        <v>2</v>
      </c>
      <c r="O26" s="89"/>
      <c r="P26" s="118"/>
    </row>
    <row r="27" customFormat="false" ht="15" hidden="false" customHeight="true" outlineLevel="0" collapsed="false">
      <c r="B27" s="119"/>
      <c r="C27" s="123" t="s">
        <v>253</v>
      </c>
      <c r="D27" s="119" t="s">
        <v>254</v>
      </c>
      <c r="E27" s="121" t="s">
        <v>147</v>
      </c>
      <c r="F27" s="126" t="n">
        <v>0</v>
      </c>
      <c r="G27" s="89" t="n">
        <f aca="false">F27*F28</f>
        <v>0</v>
      </c>
      <c r="H27" s="118"/>
      <c r="I27" s="1"/>
      <c r="J27" s="119"/>
      <c r="K27" s="123" t="s">
        <v>253</v>
      </c>
      <c r="L27" s="119" t="s">
        <v>254</v>
      </c>
      <c r="M27" s="121" t="s">
        <v>147</v>
      </c>
      <c r="N27" s="126" t="n">
        <v>0</v>
      </c>
      <c r="O27" s="89" t="n">
        <f aca="false">N27*N28</f>
        <v>0</v>
      </c>
      <c r="P27" s="118"/>
    </row>
    <row r="28" customFormat="false" ht="15" hidden="false" customHeight="false" outlineLevel="0" collapsed="false">
      <c r="B28" s="119"/>
      <c r="C28" s="119"/>
      <c r="D28" s="119"/>
      <c r="E28" s="121" t="s">
        <v>230</v>
      </c>
      <c r="F28" s="126" t="n">
        <v>2</v>
      </c>
      <c r="G28" s="89"/>
      <c r="H28" s="118"/>
      <c r="I28" s="1"/>
      <c r="J28" s="119"/>
      <c r="K28" s="119"/>
      <c r="L28" s="119"/>
      <c r="M28" s="121" t="s">
        <v>230</v>
      </c>
      <c r="N28" s="126" t="n">
        <v>2</v>
      </c>
      <c r="O28" s="89"/>
      <c r="P28" s="118"/>
    </row>
    <row r="29" customFormat="false" ht="15" hidden="false" customHeight="true" outlineLevel="0" collapsed="false">
      <c r="B29" s="119"/>
      <c r="C29" s="119"/>
      <c r="D29" s="119" t="s">
        <v>251</v>
      </c>
      <c r="E29" s="121" t="s">
        <v>147</v>
      </c>
      <c r="F29" s="126" t="n">
        <v>0</v>
      </c>
      <c r="G29" s="89" t="n">
        <f aca="false">F29*F30+F31</f>
        <v>0</v>
      </c>
      <c r="H29" s="118"/>
      <c r="I29" s="1"/>
      <c r="J29" s="119"/>
      <c r="K29" s="119"/>
      <c r="L29" s="119" t="s">
        <v>251</v>
      </c>
      <c r="M29" s="121" t="s">
        <v>147</v>
      </c>
      <c r="N29" s="126" t="n">
        <v>0</v>
      </c>
      <c r="O29" s="89" t="n">
        <f aca="false">N29*N30+N31</f>
        <v>0</v>
      </c>
      <c r="P29" s="118"/>
    </row>
    <row r="30" customFormat="false" ht="15" hidden="false" customHeight="false" outlineLevel="0" collapsed="false">
      <c r="B30" s="119"/>
      <c r="C30" s="119"/>
      <c r="D30" s="119"/>
      <c r="E30" s="121" t="s">
        <v>252</v>
      </c>
      <c r="F30" s="126" t="n">
        <v>2</v>
      </c>
      <c r="G30" s="89"/>
      <c r="H30" s="89"/>
      <c r="I30" s="1"/>
      <c r="J30" s="119"/>
      <c r="K30" s="119"/>
      <c r="L30" s="119"/>
      <c r="M30" s="121" t="s">
        <v>252</v>
      </c>
      <c r="N30" s="126" t="n">
        <v>2</v>
      </c>
      <c r="O30" s="89"/>
      <c r="P30" s="89"/>
    </row>
    <row r="31" customFormat="false" ht="13.5" hidden="false" customHeight="true" outlineLevel="0" collapsed="false">
      <c r="B31" s="119"/>
      <c r="C31" s="119"/>
      <c r="D31" s="119"/>
      <c r="E31" s="121" t="s">
        <v>233</v>
      </c>
      <c r="F31" s="126" t="n">
        <v>0</v>
      </c>
      <c r="G31" s="89"/>
      <c r="H31" s="89"/>
      <c r="I31" s="1"/>
      <c r="J31" s="119"/>
      <c r="K31" s="119"/>
      <c r="L31" s="119"/>
      <c r="M31" s="121" t="s">
        <v>233</v>
      </c>
      <c r="N31" s="126" t="n">
        <v>0</v>
      </c>
      <c r="O31" s="89"/>
      <c r="P31" s="89"/>
    </row>
    <row r="32" customFormat="false" ht="15" hidden="false" customHeight="false" outlineLevel="0" collapsed="false">
      <c r="B32" s="124"/>
      <c r="C32" s="124"/>
      <c r="D32" s="124"/>
      <c r="E32" s="124"/>
      <c r="F32" s="124"/>
      <c r="J32" s="124"/>
      <c r="K32" s="124"/>
      <c r="L32" s="124"/>
      <c r="M32" s="124"/>
      <c r="N32" s="124"/>
    </row>
    <row r="33" customFormat="false" ht="29.85" hidden="false" customHeight="true" outlineLevel="0" collapsed="false">
      <c r="B33" s="125" t="s">
        <v>223</v>
      </c>
      <c r="C33" s="125"/>
      <c r="D33" s="125"/>
      <c r="E33" s="125"/>
      <c r="F33" s="125"/>
      <c r="G33" s="114" t="s">
        <v>224</v>
      </c>
      <c r="H33" s="114" t="s">
        <v>246</v>
      </c>
      <c r="I33" s="1"/>
      <c r="J33" s="125" t="s">
        <v>223</v>
      </c>
      <c r="K33" s="125"/>
      <c r="L33" s="125"/>
      <c r="M33" s="125"/>
      <c r="N33" s="125"/>
      <c r="O33" s="114" t="s">
        <v>224</v>
      </c>
      <c r="P33" s="114" t="s">
        <v>246</v>
      </c>
    </row>
    <row r="34" customFormat="false" ht="15" hidden="false" customHeight="true" outlineLevel="0" collapsed="false">
      <c r="B34" s="119" t="s">
        <v>156</v>
      </c>
      <c r="C34" s="120" t="s">
        <v>250</v>
      </c>
      <c r="D34" s="119" t="s">
        <v>249</v>
      </c>
      <c r="E34" s="121" t="s">
        <v>147</v>
      </c>
      <c r="F34" s="89" t="n">
        <v>18.53</v>
      </c>
      <c r="G34" s="89" t="n">
        <f aca="false">F34*F35</f>
        <v>37.06</v>
      </c>
      <c r="H34" s="118" t="n">
        <f aca="false">SUM(G34:G42)</f>
        <v>80.36</v>
      </c>
      <c r="I34" s="1"/>
      <c r="J34" s="119" t="s">
        <v>157</v>
      </c>
      <c r="K34" s="120" t="s">
        <v>250</v>
      </c>
      <c r="L34" s="119" t="s">
        <v>249</v>
      </c>
      <c r="M34" s="121" t="s">
        <v>147</v>
      </c>
      <c r="N34" s="89" t="n">
        <v>63.19</v>
      </c>
      <c r="O34" s="89" t="n">
        <f aca="false">N34*N35</f>
        <v>126.38</v>
      </c>
      <c r="P34" s="118" t="n">
        <f aca="false">SUM(O34:O42)</f>
        <v>318.54</v>
      </c>
    </row>
    <row r="35" customFormat="false" ht="15" hidden="false" customHeight="false" outlineLevel="0" collapsed="false">
      <c r="B35" s="119"/>
      <c r="C35" s="119"/>
      <c r="D35" s="119"/>
      <c r="E35" s="121" t="s">
        <v>230</v>
      </c>
      <c r="F35" s="89" t="n">
        <v>2</v>
      </c>
      <c r="G35" s="89"/>
      <c r="H35" s="118"/>
      <c r="I35" s="1"/>
      <c r="J35" s="119"/>
      <c r="K35" s="119"/>
      <c r="L35" s="119"/>
      <c r="M35" s="121" t="s">
        <v>230</v>
      </c>
      <c r="N35" s="89" t="n">
        <v>2</v>
      </c>
      <c r="O35" s="89"/>
      <c r="P35" s="118"/>
    </row>
    <row r="36" customFormat="false" ht="15" hidden="false" customHeight="true" outlineLevel="0" collapsed="false">
      <c r="B36" s="119"/>
      <c r="C36" s="119"/>
      <c r="D36" s="119" t="s">
        <v>251</v>
      </c>
      <c r="E36" s="121" t="s">
        <v>147</v>
      </c>
      <c r="F36" s="89" t="n">
        <v>14.78</v>
      </c>
      <c r="G36" s="89" t="n">
        <f aca="false">F36*F37</f>
        <v>29.56</v>
      </c>
      <c r="H36" s="118"/>
      <c r="I36" s="1"/>
      <c r="J36" s="119"/>
      <c r="K36" s="119"/>
      <c r="L36" s="119" t="s">
        <v>251</v>
      </c>
      <c r="M36" s="121" t="s">
        <v>147</v>
      </c>
      <c r="N36" s="89" t="n">
        <v>53.74</v>
      </c>
      <c r="O36" s="89" t="n">
        <f aca="false">N36*N37</f>
        <v>107.48</v>
      </c>
      <c r="P36" s="118"/>
    </row>
    <row r="37" customFormat="false" ht="15" hidden="false" customHeight="false" outlineLevel="0" collapsed="false">
      <c r="B37" s="119"/>
      <c r="C37" s="120"/>
      <c r="D37" s="120"/>
      <c r="E37" s="121" t="s">
        <v>252</v>
      </c>
      <c r="F37" s="89" t="n">
        <v>2</v>
      </c>
      <c r="G37" s="89"/>
      <c r="H37" s="118"/>
      <c r="I37" s="1"/>
      <c r="J37" s="119"/>
      <c r="K37" s="120"/>
      <c r="L37" s="120"/>
      <c r="M37" s="121" t="s">
        <v>252</v>
      </c>
      <c r="N37" s="89" t="n">
        <v>2</v>
      </c>
      <c r="O37" s="89"/>
      <c r="P37" s="118"/>
    </row>
    <row r="38" customFormat="false" ht="15" hidden="false" customHeight="true" outlineLevel="0" collapsed="false">
      <c r="B38" s="119"/>
      <c r="C38" s="123" t="s">
        <v>253</v>
      </c>
      <c r="D38" s="119" t="s">
        <v>254</v>
      </c>
      <c r="E38" s="121" t="s">
        <v>147</v>
      </c>
      <c r="F38" s="85" t="n">
        <v>3.43</v>
      </c>
      <c r="G38" s="89" t="n">
        <f aca="false">F38*F39</f>
        <v>6.86</v>
      </c>
      <c r="H38" s="118"/>
      <c r="I38" s="1"/>
      <c r="J38" s="119"/>
      <c r="K38" s="123" t="s">
        <v>253</v>
      </c>
      <c r="L38" s="119" t="s">
        <v>254</v>
      </c>
      <c r="M38" s="121" t="s">
        <v>147</v>
      </c>
      <c r="N38" s="85" t="n">
        <v>21.16</v>
      </c>
      <c r="O38" s="89" t="n">
        <f aca="false">N38*N39</f>
        <v>42.32</v>
      </c>
      <c r="P38" s="118"/>
    </row>
    <row r="39" customFormat="false" ht="15" hidden="false" customHeight="false" outlineLevel="0" collapsed="false">
      <c r="B39" s="119"/>
      <c r="C39" s="119"/>
      <c r="D39" s="119"/>
      <c r="E39" s="121" t="s">
        <v>230</v>
      </c>
      <c r="F39" s="85" t="n">
        <v>2</v>
      </c>
      <c r="G39" s="89"/>
      <c r="H39" s="118"/>
      <c r="I39" s="1"/>
      <c r="J39" s="119"/>
      <c r="K39" s="119"/>
      <c r="L39" s="119"/>
      <c r="M39" s="121" t="s">
        <v>230</v>
      </c>
      <c r="N39" s="85" t="n">
        <v>2</v>
      </c>
      <c r="O39" s="89"/>
      <c r="P39" s="118"/>
    </row>
    <row r="40" customFormat="false" ht="15" hidden="false" customHeight="true" outlineLevel="0" collapsed="false">
      <c r="B40" s="119"/>
      <c r="C40" s="119"/>
      <c r="D40" s="119" t="s">
        <v>251</v>
      </c>
      <c r="E40" s="121" t="s">
        <v>147</v>
      </c>
      <c r="F40" s="85" t="n">
        <v>2.3</v>
      </c>
      <c r="G40" s="89" t="n">
        <f aca="false">F40*F41+F42</f>
        <v>6.88</v>
      </c>
      <c r="H40" s="118"/>
      <c r="I40" s="1"/>
      <c r="J40" s="119"/>
      <c r="K40" s="119"/>
      <c r="L40" s="119" t="s">
        <v>251</v>
      </c>
      <c r="M40" s="121" t="s">
        <v>147</v>
      </c>
      <c r="N40" s="85" t="n">
        <v>16</v>
      </c>
      <c r="O40" s="89" t="n">
        <f aca="false">N40*N41+N42</f>
        <v>42.36</v>
      </c>
      <c r="P40" s="118"/>
    </row>
    <row r="41" customFormat="false" ht="15" hidden="false" customHeight="false" outlineLevel="0" collapsed="false">
      <c r="B41" s="119"/>
      <c r="C41" s="119"/>
      <c r="D41" s="119"/>
      <c r="E41" s="121" t="s">
        <v>252</v>
      </c>
      <c r="F41" s="85" t="n">
        <v>2</v>
      </c>
      <c r="G41" s="89"/>
      <c r="H41" s="89"/>
      <c r="I41" s="1"/>
      <c r="J41" s="119"/>
      <c r="K41" s="119"/>
      <c r="L41" s="119"/>
      <c r="M41" s="121" t="s">
        <v>252</v>
      </c>
      <c r="N41" s="85" t="n">
        <v>2</v>
      </c>
      <c r="O41" s="89"/>
      <c r="P41" s="89"/>
    </row>
    <row r="42" customFormat="false" ht="13.5" hidden="false" customHeight="true" outlineLevel="0" collapsed="false">
      <c r="B42" s="119"/>
      <c r="C42" s="119"/>
      <c r="D42" s="119"/>
      <c r="E42" s="121" t="s">
        <v>233</v>
      </c>
      <c r="F42" s="85" t="n">
        <f aca="false">5.7*0.4</f>
        <v>2.28</v>
      </c>
      <c r="G42" s="89"/>
      <c r="H42" s="89"/>
      <c r="I42" s="1"/>
      <c r="J42" s="119"/>
      <c r="K42" s="119"/>
      <c r="L42" s="119"/>
      <c r="M42" s="121" t="s">
        <v>233</v>
      </c>
      <c r="N42" s="85" t="n">
        <f aca="false">25.9*0.4</f>
        <v>10.36</v>
      </c>
      <c r="O42" s="89"/>
      <c r="P42" s="89"/>
    </row>
    <row r="43" customFormat="false" ht="15" hidden="false" customHeight="false" outlineLevel="0" collapsed="false">
      <c r="B43" s="124"/>
      <c r="C43" s="124"/>
      <c r="D43" s="124"/>
      <c r="E43" s="124"/>
      <c r="F43" s="124"/>
      <c r="J43" s="124"/>
      <c r="K43" s="124"/>
      <c r="L43" s="124"/>
      <c r="M43" s="124"/>
      <c r="N43" s="124"/>
    </row>
    <row r="44" customFormat="false" ht="29.85" hidden="false" customHeight="true" outlineLevel="0" collapsed="false">
      <c r="B44" s="125" t="s">
        <v>223</v>
      </c>
      <c r="C44" s="125"/>
      <c r="D44" s="125"/>
      <c r="E44" s="125"/>
      <c r="F44" s="125"/>
      <c r="G44" s="114" t="s">
        <v>224</v>
      </c>
      <c r="H44" s="114" t="s">
        <v>246</v>
      </c>
      <c r="I44" s="1"/>
      <c r="J44" s="125" t="s">
        <v>223</v>
      </c>
      <c r="K44" s="125"/>
      <c r="L44" s="125"/>
      <c r="M44" s="125"/>
      <c r="N44" s="125"/>
      <c r="O44" s="114" t="s">
        <v>224</v>
      </c>
      <c r="P44" s="114" t="s">
        <v>246</v>
      </c>
    </row>
    <row r="45" customFormat="false" ht="15" hidden="false" customHeight="true" outlineLevel="0" collapsed="false">
      <c r="B45" s="119" t="s">
        <v>158</v>
      </c>
      <c r="C45" s="120" t="s">
        <v>250</v>
      </c>
      <c r="D45" s="119" t="s">
        <v>249</v>
      </c>
      <c r="E45" s="121" t="s">
        <v>147</v>
      </c>
      <c r="F45" s="89" t="n">
        <v>68.6</v>
      </c>
      <c r="G45" s="89" t="n">
        <f aca="false">F45*F46</f>
        <v>137.2</v>
      </c>
      <c r="H45" s="118" t="n">
        <f aca="false">SUM(G45:G53)</f>
        <v>337.7</v>
      </c>
      <c r="I45" s="1"/>
      <c r="J45" s="119" t="s">
        <v>159</v>
      </c>
      <c r="K45" s="120" t="s">
        <v>250</v>
      </c>
      <c r="L45" s="119" t="s">
        <v>249</v>
      </c>
      <c r="M45" s="121" t="s">
        <v>147</v>
      </c>
      <c r="N45" s="127" t="n">
        <v>0</v>
      </c>
      <c r="O45" s="89" t="n">
        <f aca="false">N45*N46</f>
        <v>0</v>
      </c>
      <c r="P45" s="118" t="n">
        <f aca="false">SUM(O45:O53)</f>
        <v>17.04</v>
      </c>
    </row>
    <row r="46" customFormat="false" ht="15" hidden="false" customHeight="false" outlineLevel="0" collapsed="false">
      <c r="B46" s="119"/>
      <c r="C46" s="119"/>
      <c r="D46" s="119"/>
      <c r="E46" s="121" t="s">
        <v>230</v>
      </c>
      <c r="F46" s="89" t="n">
        <v>2</v>
      </c>
      <c r="G46" s="89"/>
      <c r="H46" s="118"/>
      <c r="I46" s="1"/>
      <c r="J46" s="119"/>
      <c r="K46" s="119"/>
      <c r="L46" s="119"/>
      <c r="M46" s="121" t="s">
        <v>230</v>
      </c>
      <c r="N46" s="127" t="n">
        <v>2</v>
      </c>
      <c r="O46" s="89"/>
      <c r="P46" s="118"/>
    </row>
    <row r="47" customFormat="false" ht="15" hidden="false" customHeight="true" outlineLevel="0" collapsed="false">
      <c r="B47" s="119"/>
      <c r="C47" s="119"/>
      <c r="D47" s="119" t="s">
        <v>251</v>
      </c>
      <c r="E47" s="121" t="s">
        <v>147</v>
      </c>
      <c r="F47" s="89" t="n">
        <v>58.46</v>
      </c>
      <c r="G47" s="89" t="n">
        <f aca="false">F47*F48</f>
        <v>116.92</v>
      </c>
      <c r="H47" s="118"/>
      <c r="I47" s="1"/>
      <c r="J47" s="119"/>
      <c r="K47" s="119"/>
      <c r="L47" s="119" t="s">
        <v>251</v>
      </c>
      <c r="M47" s="121" t="s">
        <v>147</v>
      </c>
      <c r="N47" s="127" t="n">
        <v>0</v>
      </c>
      <c r="O47" s="89" t="n">
        <f aca="false">N47*N48</f>
        <v>0</v>
      </c>
      <c r="P47" s="118"/>
    </row>
    <row r="48" customFormat="false" ht="15" hidden="false" customHeight="false" outlineLevel="0" collapsed="false">
      <c r="B48" s="119"/>
      <c r="C48" s="120"/>
      <c r="D48" s="120"/>
      <c r="E48" s="121" t="s">
        <v>252</v>
      </c>
      <c r="F48" s="89" t="n">
        <v>2</v>
      </c>
      <c r="G48" s="89"/>
      <c r="H48" s="118"/>
      <c r="I48" s="1"/>
      <c r="J48" s="119"/>
      <c r="K48" s="120"/>
      <c r="L48" s="120"/>
      <c r="M48" s="121" t="s">
        <v>252</v>
      </c>
      <c r="N48" s="127" t="n">
        <v>2</v>
      </c>
      <c r="O48" s="89"/>
      <c r="P48" s="118"/>
    </row>
    <row r="49" customFormat="false" ht="15" hidden="false" customHeight="true" outlineLevel="0" collapsed="false">
      <c r="B49" s="119"/>
      <c r="C49" s="123" t="s">
        <v>253</v>
      </c>
      <c r="D49" s="119" t="s">
        <v>254</v>
      </c>
      <c r="E49" s="121" t="s">
        <v>147</v>
      </c>
      <c r="F49" s="85" t="n">
        <v>20.91</v>
      </c>
      <c r="G49" s="89" t="n">
        <f aca="false">F49*F50</f>
        <v>41.82</v>
      </c>
      <c r="H49" s="118"/>
      <c r="I49" s="1"/>
      <c r="J49" s="119"/>
      <c r="K49" s="123" t="s">
        <v>253</v>
      </c>
      <c r="L49" s="119" t="s">
        <v>254</v>
      </c>
      <c r="M49" s="121" t="s">
        <v>147</v>
      </c>
      <c r="N49" s="85" t="n">
        <v>4.26</v>
      </c>
      <c r="O49" s="89" t="n">
        <f aca="false">N49*N50</f>
        <v>8.52</v>
      </c>
      <c r="P49" s="118"/>
    </row>
    <row r="50" customFormat="false" ht="15" hidden="false" customHeight="false" outlineLevel="0" collapsed="false">
      <c r="B50" s="119"/>
      <c r="C50" s="119"/>
      <c r="D50" s="119"/>
      <c r="E50" s="121" t="s">
        <v>230</v>
      </c>
      <c r="F50" s="89" t="n">
        <v>2</v>
      </c>
      <c r="G50" s="89"/>
      <c r="H50" s="118"/>
      <c r="I50" s="1"/>
      <c r="J50" s="119"/>
      <c r="K50" s="119"/>
      <c r="L50" s="119"/>
      <c r="M50" s="121" t="s">
        <v>230</v>
      </c>
      <c r="N50" s="85" t="n">
        <v>2</v>
      </c>
      <c r="O50" s="89"/>
      <c r="P50" s="118"/>
    </row>
    <row r="51" customFormat="false" ht="15" hidden="false" customHeight="true" outlineLevel="0" collapsed="false">
      <c r="B51" s="119"/>
      <c r="C51" s="119"/>
      <c r="D51" s="119" t="s">
        <v>251</v>
      </c>
      <c r="E51" s="121" t="s">
        <v>147</v>
      </c>
      <c r="F51" s="85" t="n">
        <v>16</v>
      </c>
      <c r="G51" s="89" t="n">
        <f aca="false">F51*F52+F53</f>
        <v>41.76</v>
      </c>
      <c r="H51" s="118"/>
      <c r="I51" s="1"/>
      <c r="J51" s="119"/>
      <c r="K51" s="119"/>
      <c r="L51" s="119" t="s">
        <v>251</v>
      </c>
      <c r="M51" s="121" t="s">
        <v>147</v>
      </c>
      <c r="N51" s="85" t="n">
        <v>2.62</v>
      </c>
      <c r="O51" s="89" t="n">
        <f aca="false">N51*N52+N53</f>
        <v>8.52</v>
      </c>
      <c r="P51" s="118"/>
    </row>
    <row r="52" customFormat="false" ht="15" hidden="false" customHeight="false" outlineLevel="0" collapsed="false">
      <c r="B52" s="119"/>
      <c r="C52" s="119"/>
      <c r="D52" s="119"/>
      <c r="E52" s="121" t="s">
        <v>252</v>
      </c>
      <c r="F52" s="89" t="n">
        <v>2</v>
      </c>
      <c r="G52" s="89"/>
      <c r="H52" s="89"/>
      <c r="I52" s="1"/>
      <c r="J52" s="119"/>
      <c r="K52" s="119"/>
      <c r="L52" s="119"/>
      <c r="M52" s="121" t="s">
        <v>252</v>
      </c>
      <c r="N52" s="85" t="n">
        <v>2</v>
      </c>
      <c r="O52" s="89"/>
      <c r="P52" s="89"/>
    </row>
    <row r="53" customFormat="false" ht="13.5" hidden="false" customHeight="true" outlineLevel="0" collapsed="false">
      <c r="B53" s="119"/>
      <c r="C53" s="119"/>
      <c r="D53" s="119"/>
      <c r="E53" s="121" t="s">
        <v>233</v>
      </c>
      <c r="F53" s="89" t="n">
        <f aca="false">24.4*0.4</f>
        <v>9.76</v>
      </c>
      <c r="G53" s="89"/>
      <c r="H53" s="89"/>
      <c r="I53" s="1"/>
      <c r="J53" s="119"/>
      <c r="K53" s="119"/>
      <c r="L53" s="119"/>
      <c r="M53" s="121" t="s">
        <v>233</v>
      </c>
      <c r="N53" s="85" t="n">
        <f aca="false">8.2*0.4</f>
        <v>3.28</v>
      </c>
      <c r="O53" s="89"/>
      <c r="P53" s="89"/>
    </row>
    <row r="54" customFormat="false" ht="15" hidden="false" customHeight="false" outlineLevel="0" collapsed="false">
      <c r="B54" s="124"/>
      <c r="C54" s="124"/>
      <c r="D54" s="124"/>
      <c r="E54" s="124"/>
      <c r="F54" s="124"/>
      <c r="J54" s="124"/>
      <c r="K54" s="124"/>
      <c r="L54" s="124"/>
      <c r="M54" s="124"/>
      <c r="N54" s="124"/>
    </row>
    <row r="55" customFormat="false" ht="15" hidden="false" customHeight="false" outlineLevel="0" collapsed="false">
      <c r="B55" s="124"/>
      <c r="C55" s="124"/>
      <c r="D55" s="124"/>
      <c r="E55" s="124"/>
      <c r="F55" s="124"/>
      <c r="J55" s="124"/>
      <c r="K55" s="124"/>
      <c r="L55" s="124"/>
      <c r="M55" s="124"/>
      <c r="N55" s="124"/>
    </row>
    <row r="56" customFormat="false" ht="29.85" hidden="false" customHeight="true" outlineLevel="0" collapsed="false">
      <c r="B56" s="125" t="s">
        <v>223</v>
      </c>
      <c r="C56" s="125"/>
      <c r="D56" s="125"/>
      <c r="E56" s="125"/>
      <c r="F56" s="125"/>
      <c r="G56" s="114" t="s">
        <v>224</v>
      </c>
      <c r="H56" s="114" t="s">
        <v>246</v>
      </c>
      <c r="J56" s="125" t="s">
        <v>223</v>
      </c>
      <c r="K56" s="125"/>
      <c r="L56" s="125"/>
      <c r="M56" s="125"/>
      <c r="N56" s="125"/>
      <c r="O56" s="114" t="s">
        <v>224</v>
      </c>
      <c r="P56" s="114" t="s">
        <v>246</v>
      </c>
    </row>
    <row r="57" customFormat="false" ht="15" hidden="false" customHeight="true" outlineLevel="0" collapsed="false">
      <c r="B57" s="119" t="s">
        <v>160</v>
      </c>
      <c r="C57" s="120" t="s">
        <v>250</v>
      </c>
      <c r="D57" s="119" t="s">
        <v>249</v>
      </c>
      <c r="E57" s="121" t="s">
        <v>147</v>
      </c>
      <c r="F57" s="127" t="n">
        <v>0</v>
      </c>
      <c r="G57" s="89" t="n">
        <f aca="false">F57*F58</f>
        <v>0</v>
      </c>
      <c r="H57" s="118" t="n">
        <f aca="false">SUM(G57:G65)</f>
        <v>14.48</v>
      </c>
      <c r="J57" s="119" t="s">
        <v>161</v>
      </c>
      <c r="K57" s="120" t="s">
        <v>250</v>
      </c>
      <c r="L57" s="119" t="s">
        <v>249</v>
      </c>
      <c r="M57" s="121" t="s">
        <v>147</v>
      </c>
      <c r="N57" s="85" t="n">
        <v>7.04</v>
      </c>
      <c r="O57" s="89" t="n">
        <f aca="false">N57*N58</f>
        <v>14.08</v>
      </c>
      <c r="P57" s="118" t="n">
        <f aca="false">SUM(O57:O65)</f>
        <v>24.96</v>
      </c>
    </row>
    <row r="58" customFormat="false" ht="15" hidden="false" customHeight="false" outlineLevel="0" collapsed="false">
      <c r="B58" s="119"/>
      <c r="C58" s="119"/>
      <c r="D58" s="119"/>
      <c r="E58" s="121" t="s">
        <v>230</v>
      </c>
      <c r="F58" s="128" t="n">
        <v>2</v>
      </c>
      <c r="G58" s="89"/>
      <c r="H58" s="118"/>
      <c r="J58" s="119"/>
      <c r="K58" s="119"/>
      <c r="L58" s="119"/>
      <c r="M58" s="121" t="s">
        <v>230</v>
      </c>
      <c r="N58" s="89" t="n">
        <v>2</v>
      </c>
      <c r="O58" s="89"/>
      <c r="P58" s="118"/>
    </row>
    <row r="59" customFormat="false" ht="15" hidden="false" customHeight="true" outlineLevel="0" collapsed="false">
      <c r="B59" s="119"/>
      <c r="C59" s="119"/>
      <c r="D59" s="119" t="s">
        <v>251</v>
      </c>
      <c r="E59" s="121" t="s">
        <v>147</v>
      </c>
      <c r="F59" s="128" t="n">
        <v>0</v>
      </c>
      <c r="G59" s="89" t="n">
        <f aca="false">F59*F60</f>
        <v>0</v>
      </c>
      <c r="H59" s="118"/>
      <c r="J59" s="119"/>
      <c r="K59" s="119"/>
      <c r="L59" s="119" t="s">
        <v>251</v>
      </c>
      <c r="M59" s="121" t="s">
        <v>147</v>
      </c>
      <c r="N59" s="89" t="n">
        <v>5.44</v>
      </c>
      <c r="O59" s="89" t="n">
        <f aca="false">N59*N60</f>
        <v>10.88</v>
      </c>
      <c r="P59" s="118"/>
    </row>
    <row r="60" customFormat="false" ht="15" hidden="false" customHeight="false" outlineLevel="0" collapsed="false">
      <c r="B60" s="119"/>
      <c r="C60" s="120"/>
      <c r="D60" s="120"/>
      <c r="E60" s="121" t="s">
        <v>252</v>
      </c>
      <c r="F60" s="128" t="n">
        <v>2</v>
      </c>
      <c r="G60" s="89"/>
      <c r="H60" s="118"/>
      <c r="J60" s="119"/>
      <c r="K60" s="120"/>
      <c r="L60" s="120"/>
      <c r="M60" s="121" t="s">
        <v>252</v>
      </c>
      <c r="N60" s="89" t="n">
        <v>2</v>
      </c>
      <c r="O60" s="89"/>
      <c r="P60" s="118"/>
    </row>
    <row r="61" customFormat="false" ht="15" hidden="false" customHeight="true" outlineLevel="0" collapsed="false">
      <c r="B61" s="119"/>
      <c r="C61" s="123" t="s">
        <v>253</v>
      </c>
      <c r="D61" s="119" t="s">
        <v>254</v>
      </c>
      <c r="E61" s="121" t="s">
        <v>147</v>
      </c>
      <c r="F61" s="85" t="n">
        <v>3.62</v>
      </c>
      <c r="G61" s="89" t="n">
        <f aca="false">F61*F62</f>
        <v>7.24</v>
      </c>
      <c r="H61" s="118"/>
      <c r="J61" s="119"/>
      <c r="K61" s="123" t="s">
        <v>253</v>
      </c>
      <c r="L61" s="119" t="s">
        <v>254</v>
      </c>
      <c r="M61" s="121" t="s">
        <v>147</v>
      </c>
      <c r="N61" s="127" t="n">
        <v>0</v>
      </c>
      <c r="O61" s="89" t="n">
        <f aca="false">N61*N62</f>
        <v>0</v>
      </c>
      <c r="P61" s="118"/>
    </row>
    <row r="62" customFormat="false" ht="15" hidden="false" customHeight="false" outlineLevel="0" collapsed="false">
      <c r="B62" s="119"/>
      <c r="C62" s="119"/>
      <c r="D62" s="119"/>
      <c r="E62" s="121" t="s">
        <v>230</v>
      </c>
      <c r="F62" s="85" t="n">
        <v>2</v>
      </c>
      <c r="G62" s="89"/>
      <c r="H62" s="118"/>
      <c r="J62" s="119"/>
      <c r="K62" s="119"/>
      <c r="L62" s="119"/>
      <c r="M62" s="121" t="s">
        <v>230</v>
      </c>
      <c r="N62" s="127" t="n">
        <v>2</v>
      </c>
      <c r="O62" s="89"/>
      <c r="P62" s="118"/>
    </row>
    <row r="63" customFormat="false" ht="15" hidden="false" customHeight="true" outlineLevel="0" collapsed="false">
      <c r="B63" s="119"/>
      <c r="C63" s="119"/>
      <c r="D63" s="119" t="s">
        <v>251</v>
      </c>
      <c r="E63" s="121" t="s">
        <v>147</v>
      </c>
      <c r="F63" s="85" t="n">
        <v>2.22</v>
      </c>
      <c r="G63" s="89" t="n">
        <f aca="false">F63*F64+F65</f>
        <v>7.24</v>
      </c>
      <c r="H63" s="118"/>
      <c r="J63" s="119"/>
      <c r="K63" s="119"/>
      <c r="L63" s="119" t="s">
        <v>251</v>
      </c>
      <c r="M63" s="121" t="s">
        <v>147</v>
      </c>
      <c r="N63" s="127" t="n">
        <v>0</v>
      </c>
      <c r="O63" s="89" t="n">
        <f aca="false">N63*N64+N65</f>
        <v>0</v>
      </c>
      <c r="P63" s="118"/>
    </row>
    <row r="64" customFormat="false" ht="15" hidden="false" customHeight="false" outlineLevel="0" collapsed="false">
      <c r="B64" s="119"/>
      <c r="C64" s="119"/>
      <c r="D64" s="119"/>
      <c r="E64" s="121" t="s">
        <v>252</v>
      </c>
      <c r="F64" s="85" t="n">
        <v>2</v>
      </c>
      <c r="G64" s="89"/>
      <c r="H64" s="89"/>
      <c r="J64" s="119"/>
      <c r="K64" s="119"/>
      <c r="L64" s="119"/>
      <c r="M64" s="121" t="s">
        <v>252</v>
      </c>
      <c r="N64" s="127" t="n">
        <v>2</v>
      </c>
      <c r="O64" s="89"/>
      <c r="P64" s="89"/>
    </row>
    <row r="65" customFormat="false" ht="13.5" hidden="false" customHeight="true" outlineLevel="0" collapsed="false">
      <c r="B65" s="119"/>
      <c r="C65" s="119"/>
      <c r="D65" s="119"/>
      <c r="E65" s="121" t="s">
        <v>233</v>
      </c>
      <c r="F65" s="85" t="n">
        <f aca="false">7*0.4</f>
        <v>2.8</v>
      </c>
      <c r="G65" s="89"/>
      <c r="H65" s="89"/>
      <c r="J65" s="119"/>
      <c r="K65" s="119"/>
      <c r="L65" s="119"/>
      <c r="M65" s="121" t="s">
        <v>233</v>
      </c>
      <c r="N65" s="127" t="n">
        <v>0</v>
      </c>
      <c r="O65" s="89"/>
      <c r="P65" s="89"/>
    </row>
    <row r="66" customFormat="false" ht="15" hidden="false" customHeight="false" outlineLevel="0" collapsed="false">
      <c r="B66" s="124"/>
      <c r="C66" s="124"/>
      <c r="D66" s="124"/>
      <c r="E66" s="124"/>
      <c r="F66" s="124"/>
      <c r="J66" s="124"/>
      <c r="K66" s="124"/>
      <c r="L66" s="124"/>
      <c r="M66" s="124"/>
      <c r="N66" s="124"/>
    </row>
    <row r="67" customFormat="false" ht="15" hidden="false" customHeight="false" outlineLevel="0" collapsed="false">
      <c r="B67" s="124"/>
      <c r="C67" s="124"/>
      <c r="D67" s="124"/>
      <c r="E67" s="124"/>
      <c r="F67" s="124"/>
      <c r="J67" s="124"/>
      <c r="K67" s="124"/>
      <c r="L67" s="124"/>
      <c r="M67" s="124"/>
      <c r="N67" s="124"/>
    </row>
    <row r="68" customFormat="false" ht="29.85" hidden="false" customHeight="true" outlineLevel="0" collapsed="false">
      <c r="B68" s="125" t="s">
        <v>223</v>
      </c>
      <c r="C68" s="125"/>
      <c r="D68" s="125"/>
      <c r="E68" s="125"/>
      <c r="F68" s="125"/>
      <c r="G68" s="114" t="s">
        <v>224</v>
      </c>
      <c r="H68" s="114" t="s">
        <v>246</v>
      </c>
      <c r="J68" s="125" t="s">
        <v>223</v>
      </c>
      <c r="K68" s="125"/>
      <c r="L68" s="125"/>
      <c r="M68" s="125"/>
      <c r="N68" s="125"/>
      <c r="O68" s="114" t="s">
        <v>224</v>
      </c>
      <c r="P68" s="114" t="s">
        <v>246</v>
      </c>
    </row>
    <row r="69" customFormat="false" ht="15" hidden="false" customHeight="true" outlineLevel="0" collapsed="false">
      <c r="B69" s="119" t="s">
        <v>162</v>
      </c>
      <c r="C69" s="120" t="s">
        <v>250</v>
      </c>
      <c r="D69" s="119" t="s">
        <v>249</v>
      </c>
      <c r="E69" s="121" t="s">
        <v>147</v>
      </c>
      <c r="F69" s="89" t="n">
        <v>34.95</v>
      </c>
      <c r="G69" s="89" t="n">
        <f aca="false">F69*F70</f>
        <v>69.9</v>
      </c>
      <c r="H69" s="118" t="n">
        <f aca="false">SUM(G69:G77)</f>
        <v>150.624</v>
      </c>
      <c r="J69" s="119" t="s">
        <v>163</v>
      </c>
      <c r="K69" s="120" t="s">
        <v>250</v>
      </c>
      <c r="L69" s="119" t="s">
        <v>249</v>
      </c>
      <c r="M69" s="121" t="s">
        <v>147</v>
      </c>
      <c r="N69" s="85" t="n">
        <v>27.87</v>
      </c>
      <c r="O69" s="89" t="n">
        <f aca="false">N69*N70</f>
        <v>55.74</v>
      </c>
      <c r="P69" s="118" t="n">
        <f aca="false">SUM(O69:O77)</f>
        <v>271.776</v>
      </c>
    </row>
    <row r="70" customFormat="false" ht="15" hidden="false" customHeight="false" outlineLevel="0" collapsed="false">
      <c r="B70" s="119"/>
      <c r="C70" s="119"/>
      <c r="D70" s="119"/>
      <c r="E70" s="121" t="s">
        <v>230</v>
      </c>
      <c r="F70" s="129" t="n">
        <v>2</v>
      </c>
      <c r="G70" s="89"/>
      <c r="H70" s="118"/>
      <c r="J70" s="119"/>
      <c r="K70" s="119"/>
      <c r="L70" s="119"/>
      <c r="M70" s="121" t="s">
        <v>230</v>
      </c>
      <c r="N70" s="129" t="n">
        <v>2</v>
      </c>
      <c r="O70" s="89"/>
      <c r="P70" s="118"/>
    </row>
    <row r="71" customFormat="false" ht="15" hidden="false" customHeight="true" outlineLevel="0" collapsed="false">
      <c r="B71" s="119"/>
      <c r="C71" s="119"/>
      <c r="D71" s="119" t="s">
        <v>251</v>
      </c>
      <c r="E71" s="121" t="s">
        <v>147</v>
      </c>
      <c r="F71" s="129" t="n">
        <v>28.67</v>
      </c>
      <c r="G71" s="89" t="n">
        <f aca="false">F71*F72</f>
        <v>57.34</v>
      </c>
      <c r="H71" s="118"/>
      <c r="J71" s="119"/>
      <c r="K71" s="119"/>
      <c r="L71" s="119" t="s">
        <v>251</v>
      </c>
      <c r="M71" s="121" t="s">
        <v>147</v>
      </c>
      <c r="N71" s="130" t="n">
        <v>22.62</v>
      </c>
      <c r="O71" s="89" t="n">
        <f aca="false">N71*N72</f>
        <v>45.24</v>
      </c>
      <c r="P71" s="118"/>
    </row>
    <row r="72" customFormat="false" ht="15" hidden="false" customHeight="false" outlineLevel="0" collapsed="false">
      <c r="B72" s="119"/>
      <c r="C72" s="120"/>
      <c r="D72" s="120"/>
      <c r="E72" s="121" t="s">
        <v>252</v>
      </c>
      <c r="F72" s="129" t="n">
        <v>2</v>
      </c>
      <c r="G72" s="89"/>
      <c r="H72" s="118"/>
      <c r="J72" s="119"/>
      <c r="K72" s="120"/>
      <c r="L72" s="120"/>
      <c r="M72" s="121" t="s">
        <v>252</v>
      </c>
      <c r="N72" s="129" t="n">
        <v>2</v>
      </c>
      <c r="O72" s="89"/>
      <c r="P72" s="118"/>
    </row>
    <row r="73" customFormat="false" ht="15" hidden="false" customHeight="true" outlineLevel="0" collapsed="false">
      <c r="B73" s="119"/>
      <c r="C73" s="123" t="s">
        <v>253</v>
      </c>
      <c r="D73" s="119" t="s">
        <v>254</v>
      </c>
      <c r="E73" s="121" t="s">
        <v>147</v>
      </c>
      <c r="F73" s="85" t="n">
        <v>6.07</v>
      </c>
      <c r="G73" s="89" t="n">
        <f aca="false">F73*F74</f>
        <v>12.14</v>
      </c>
      <c r="H73" s="118"/>
      <c r="J73" s="119"/>
      <c r="K73" s="123" t="s">
        <v>253</v>
      </c>
      <c r="L73" s="119" t="s">
        <v>254</v>
      </c>
      <c r="M73" s="121" t="s">
        <v>147</v>
      </c>
      <c r="N73" s="89" t="n">
        <v>42.7</v>
      </c>
      <c r="O73" s="89" t="n">
        <f aca="false">N73*N74</f>
        <v>85.4</v>
      </c>
      <c r="P73" s="118"/>
    </row>
    <row r="74" customFormat="false" ht="15" hidden="false" customHeight="false" outlineLevel="0" collapsed="false">
      <c r="B74" s="119"/>
      <c r="C74" s="119"/>
      <c r="D74" s="119"/>
      <c r="E74" s="121" t="s">
        <v>230</v>
      </c>
      <c r="F74" s="85" t="n">
        <v>2</v>
      </c>
      <c r="G74" s="89"/>
      <c r="H74" s="118"/>
      <c r="J74" s="119"/>
      <c r="K74" s="119"/>
      <c r="L74" s="119"/>
      <c r="M74" s="121" t="s">
        <v>230</v>
      </c>
      <c r="N74" s="89" t="n">
        <v>2</v>
      </c>
      <c r="O74" s="89"/>
      <c r="P74" s="118"/>
    </row>
    <row r="75" customFormat="false" ht="15" hidden="false" customHeight="true" outlineLevel="0" collapsed="false">
      <c r="B75" s="119"/>
      <c r="C75" s="119"/>
      <c r="D75" s="119" t="s">
        <v>251</v>
      </c>
      <c r="E75" s="121" t="s">
        <v>147</v>
      </c>
      <c r="F75" s="85" t="n">
        <v>4.33</v>
      </c>
      <c r="G75" s="89" t="n">
        <f aca="false">F75*F76+F77</f>
        <v>11.244</v>
      </c>
      <c r="H75" s="118"/>
      <c r="J75" s="119"/>
      <c r="K75" s="119"/>
      <c r="L75" s="119" t="s">
        <v>251</v>
      </c>
      <c r="M75" s="121" t="s">
        <v>147</v>
      </c>
      <c r="N75" s="89" t="n">
        <v>31.37</v>
      </c>
      <c r="O75" s="89" t="n">
        <f aca="false">N75*N76+N77</f>
        <v>85.396</v>
      </c>
      <c r="P75" s="118"/>
    </row>
    <row r="76" customFormat="false" ht="15" hidden="false" customHeight="false" outlineLevel="0" collapsed="false">
      <c r="B76" s="119"/>
      <c r="C76" s="119"/>
      <c r="D76" s="119"/>
      <c r="E76" s="121" t="s">
        <v>252</v>
      </c>
      <c r="F76" s="85" t="n">
        <v>2</v>
      </c>
      <c r="G76" s="89"/>
      <c r="H76" s="89"/>
      <c r="J76" s="119"/>
      <c r="K76" s="119"/>
      <c r="L76" s="119"/>
      <c r="M76" s="121" t="s">
        <v>252</v>
      </c>
      <c r="N76" s="89" t="n">
        <v>2</v>
      </c>
      <c r="O76" s="89"/>
      <c r="P76" s="89"/>
    </row>
    <row r="77" customFormat="false" ht="13.5" hidden="false" customHeight="true" outlineLevel="0" collapsed="false">
      <c r="B77" s="119"/>
      <c r="C77" s="119"/>
      <c r="D77" s="119"/>
      <c r="E77" s="121" t="s">
        <v>233</v>
      </c>
      <c r="F77" s="85" t="n">
        <f aca="false">6.46*0.4</f>
        <v>2.584</v>
      </c>
      <c r="G77" s="89"/>
      <c r="H77" s="89"/>
      <c r="J77" s="119"/>
      <c r="K77" s="119"/>
      <c r="L77" s="119"/>
      <c r="M77" s="121" t="s">
        <v>233</v>
      </c>
      <c r="N77" s="89" t="n">
        <f aca="false">56.64*0.4</f>
        <v>22.656</v>
      </c>
      <c r="O77" s="89"/>
      <c r="P77" s="89"/>
    </row>
    <row r="78" customFormat="false" ht="15" hidden="false" customHeight="false" outlineLevel="0" collapsed="false">
      <c r="B78" s="124"/>
      <c r="C78" s="124"/>
      <c r="D78" s="124"/>
      <c r="E78" s="124"/>
      <c r="F78" s="124"/>
    </row>
    <row r="79" customFormat="false" ht="15" hidden="false" customHeight="false" outlineLevel="0" collapsed="false">
      <c r="B79" s="124"/>
      <c r="C79" s="124"/>
      <c r="D79" s="124"/>
      <c r="E79" s="124"/>
      <c r="F79" s="124"/>
    </row>
  </sheetData>
  <mergeCells count="162">
    <mergeCell ref="B2:P2"/>
    <mergeCell ref="C3:P3"/>
    <mergeCell ref="C4:P4"/>
    <mergeCell ref="C5:P5"/>
    <mergeCell ref="C6:P6"/>
    <mergeCell ref="B8:P9"/>
    <mergeCell ref="B11:F11"/>
    <mergeCell ref="J11:N11"/>
    <mergeCell ref="B12:B20"/>
    <mergeCell ref="C12:C15"/>
    <mergeCell ref="D12:D13"/>
    <mergeCell ref="G12:G13"/>
    <mergeCell ref="H12:H20"/>
    <mergeCell ref="J12:J20"/>
    <mergeCell ref="K12:K15"/>
    <mergeCell ref="L12:L13"/>
    <mergeCell ref="O12:O13"/>
    <mergeCell ref="P12:P20"/>
    <mergeCell ref="D14:D15"/>
    <mergeCell ref="G14:G15"/>
    <mergeCell ref="L14:L15"/>
    <mergeCell ref="O14:O15"/>
    <mergeCell ref="C16:C20"/>
    <mergeCell ref="D16:D17"/>
    <mergeCell ref="G16:G17"/>
    <mergeCell ref="K16:K20"/>
    <mergeCell ref="L16:L17"/>
    <mergeCell ref="O16:O17"/>
    <mergeCell ref="D18:D20"/>
    <mergeCell ref="G18:G20"/>
    <mergeCell ref="L18:L20"/>
    <mergeCell ref="O18:O20"/>
    <mergeCell ref="B22:F22"/>
    <mergeCell ref="J22:N22"/>
    <mergeCell ref="B23:B31"/>
    <mergeCell ref="C23:C26"/>
    <mergeCell ref="D23:D24"/>
    <mergeCell ref="G23:G24"/>
    <mergeCell ref="H23:H31"/>
    <mergeCell ref="J23:J31"/>
    <mergeCell ref="K23:K26"/>
    <mergeCell ref="L23:L24"/>
    <mergeCell ref="O23:O24"/>
    <mergeCell ref="P23:P31"/>
    <mergeCell ref="D25:D26"/>
    <mergeCell ref="G25:G26"/>
    <mergeCell ref="L25:L26"/>
    <mergeCell ref="O25:O26"/>
    <mergeCell ref="C27:C31"/>
    <mergeCell ref="D27:D28"/>
    <mergeCell ref="G27:G28"/>
    <mergeCell ref="K27:K31"/>
    <mergeCell ref="L27:L28"/>
    <mergeCell ref="O27:O28"/>
    <mergeCell ref="D29:D31"/>
    <mergeCell ref="G29:G31"/>
    <mergeCell ref="L29:L31"/>
    <mergeCell ref="O29:O31"/>
    <mergeCell ref="B33:F33"/>
    <mergeCell ref="J33:N33"/>
    <mergeCell ref="B34:B42"/>
    <mergeCell ref="C34:C37"/>
    <mergeCell ref="D34:D35"/>
    <mergeCell ref="G34:G35"/>
    <mergeCell ref="H34:H42"/>
    <mergeCell ref="J34:J42"/>
    <mergeCell ref="K34:K37"/>
    <mergeCell ref="L34:L35"/>
    <mergeCell ref="O34:O35"/>
    <mergeCell ref="P34:P42"/>
    <mergeCell ref="D36:D37"/>
    <mergeCell ref="G36:G37"/>
    <mergeCell ref="L36:L37"/>
    <mergeCell ref="O36:O37"/>
    <mergeCell ref="C38:C42"/>
    <mergeCell ref="D38:D39"/>
    <mergeCell ref="G38:G39"/>
    <mergeCell ref="K38:K42"/>
    <mergeCell ref="L38:L39"/>
    <mergeCell ref="O38:O39"/>
    <mergeCell ref="D40:D42"/>
    <mergeCell ref="G40:G42"/>
    <mergeCell ref="L40:L42"/>
    <mergeCell ref="O40:O42"/>
    <mergeCell ref="B44:F44"/>
    <mergeCell ref="J44:N44"/>
    <mergeCell ref="B45:B53"/>
    <mergeCell ref="C45:C48"/>
    <mergeCell ref="D45:D46"/>
    <mergeCell ref="G45:G46"/>
    <mergeCell ref="H45:H53"/>
    <mergeCell ref="J45:J53"/>
    <mergeCell ref="K45:K48"/>
    <mergeCell ref="L45:L46"/>
    <mergeCell ref="O45:O46"/>
    <mergeCell ref="P45:P53"/>
    <mergeCell ref="D47:D48"/>
    <mergeCell ref="G47:G48"/>
    <mergeCell ref="L47:L48"/>
    <mergeCell ref="O47:O48"/>
    <mergeCell ref="C49:C53"/>
    <mergeCell ref="D49:D50"/>
    <mergeCell ref="G49:G50"/>
    <mergeCell ref="K49:K53"/>
    <mergeCell ref="L49:L50"/>
    <mergeCell ref="O49:O50"/>
    <mergeCell ref="D51:D53"/>
    <mergeCell ref="G51:G53"/>
    <mergeCell ref="L51:L53"/>
    <mergeCell ref="O51:O53"/>
    <mergeCell ref="B56:F56"/>
    <mergeCell ref="J56:N56"/>
    <mergeCell ref="B57:B65"/>
    <mergeCell ref="C57:C60"/>
    <mergeCell ref="D57:D58"/>
    <mergeCell ref="G57:G58"/>
    <mergeCell ref="H57:H65"/>
    <mergeCell ref="J57:J65"/>
    <mergeCell ref="K57:K60"/>
    <mergeCell ref="L57:L58"/>
    <mergeCell ref="O57:O58"/>
    <mergeCell ref="P57:P65"/>
    <mergeCell ref="D59:D60"/>
    <mergeCell ref="G59:G60"/>
    <mergeCell ref="L59:L60"/>
    <mergeCell ref="O59:O60"/>
    <mergeCell ref="C61:C65"/>
    <mergeCell ref="D61:D62"/>
    <mergeCell ref="G61:G62"/>
    <mergeCell ref="K61:K65"/>
    <mergeCell ref="L61:L62"/>
    <mergeCell ref="O61:O62"/>
    <mergeCell ref="D63:D65"/>
    <mergeCell ref="G63:G65"/>
    <mergeCell ref="L63:L65"/>
    <mergeCell ref="O63:O65"/>
    <mergeCell ref="B68:F68"/>
    <mergeCell ref="J68:N68"/>
    <mergeCell ref="B69:B77"/>
    <mergeCell ref="C69:C72"/>
    <mergeCell ref="D69:D70"/>
    <mergeCell ref="G69:G70"/>
    <mergeCell ref="H69:H77"/>
    <mergeCell ref="J69:J77"/>
    <mergeCell ref="K69:K72"/>
    <mergeCell ref="L69:L70"/>
    <mergeCell ref="O69:O70"/>
    <mergeCell ref="P69:P77"/>
    <mergeCell ref="D71:D72"/>
    <mergeCell ref="G71:G72"/>
    <mergeCell ref="L71:L72"/>
    <mergeCell ref="O71:O72"/>
    <mergeCell ref="C73:C77"/>
    <mergeCell ref="D73:D74"/>
    <mergeCell ref="G73:G74"/>
    <mergeCell ref="K73:K77"/>
    <mergeCell ref="L73:L74"/>
    <mergeCell ref="O73:O74"/>
    <mergeCell ref="D75:D77"/>
    <mergeCell ref="G75:G77"/>
    <mergeCell ref="L75:L77"/>
    <mergeCell ref="O75:O77"/>
  </mergeCells>
  <printOptions headings="false" gridLines="false" gridLinesSet="true" horizontalCentered="false" verticalCentered="false"/>
  <pageMargins left="0.354166666666667" right="0.118055555555556" top="0.988888888888889" bottom="0.354166666666667" header="0.196527777777778" footer="0.511811023622047"/>
  <pageSetup paperSize="9" scale="46" fitToWidth="1" fitToHeight="1" pageOrder="downThenOver" orientation="portrait" blackAndWhite="false" draft="false" cellComments="none" horizontalDpi="300" verticalDpi="300" copies="1"/>
  <headerFooter>
    <oddHeader>&amp;C&amp;G</oddHeader>
  </headerFooter>
  <rowBreaks count="1" manualBreakCount="1">
    <brk id="80" man="true" max="16383" min="0"/>
  </rowBreaks>
  <legacyDrawingHF r:id="rIdHF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R4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15" workbookViewId="0">
      <selection pane="topLeft" activeCell="N42" activeCellId="0" sqref="N42"/>
    </sheetView>
  </sheetViews>
  <sheetFormatPr defaultColWidth="10.91015625" defaultRowHeight="15" zeroHeight="false" outlineLevelRow="0" outlineLevelCol="0"/>
  <cols>
    <col collapsed="false" customWidth="true" hidden="false" outlineLevel="0" max="1" min="1" style="107" width="3.45"/>
    <col collapsed="false" customWidth="true" hidden="false" outlineLevel="0" max="2" min="2" style="107" width="19.18"/>
    <col collapsed="false" customWidth="true" hidden="false" outlineLevel="0" max="3" min="3" style="107" width="16.27"/>
    <col collapsed="false" customWidth="true" hidden="false" outlineLevel="0" max="4" min="4" style="107" width="13.09"/>
    <col collapsed="false" customWidth="true" hidden="false" outlineLevel="0" max="5" min="5" style="107" width="12.91"/>
    <col collapsed="false" customWidth="true" hidden="false" outlineLevel="0" max="6" min="6" style="107" width="8.73"/>
    <col collapsed="false" customWidth="true" hidden="false" outlineLevel="0" max="7" min="7" style="107" width="12.09"/>
    <col collapsed="false" customWidth="true" hidden="false" outlineLevel="0" max="8" min="8" style="107" width="8.54"/>
    <col collapsed="false" customWidth="true" hidden="false" outlineLevel="0" max="9" min="9" style="107" width="7.82"/>
    <col collapsed="false" customWidth="true" hidden="false" outlineLevel="0" max="10" min="10" style="107" width="12.09"/>
    <col collapsed="false" customWidth="true" hidden="false" outlineLevel="0" max="11" min="11" style="107" width="9.63"/>
    <col collapsed="false" customWidth="true" hidden="false" outlineLevel="0" max="12" min="12" style="107" width="8.45"/>
    <col collapsed="false" customWidth="true" hidden="false" outlineLevel="0" max="13" min="13" style="107" width="12.27"/>
    <col collapsed="false" customWidth="true" hidden="false" outlineLevel="0" max="14" min="14" style="107" width="10.18"/>
    <col collapsed="false" customWidth="true" hidden="false" outlineLevel="0" max="15" min="15" style="107" width="8.37"/>
    <col collapsed="false" customWidth="false" hidden="false" outlineLevel="0" max="16384" min="16" style="107" width="10.91"/>
  </cols>
  <sheetData>
    <row r="1" customFormat="false" ht="14.25" hidden="false" customHeight="true" outlineLevel="0" collapsed="false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customFormat="false" ht="24" hidden="false" customHeight="true" outlineLevel="0" collapsed="false">
      <c r="B2" s="131" t="s">
        <v>255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customFormat="false" ht="21" hidden="false" customHeight="true" outlineLevel="0" collapsed="false">
      <c r="B3" s="9" t="s">
        <v>1</v>
      </c>
      <c r="C3" s="8" t="str">
        <f aca="false">+RESUMEN!B4</f>
        <v>GERENCIA TERRITORIAL BAJO MAYO - TARAPOTO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customFormat="false" ht="42" hidden="false" customHeight="true" outlineLevel="0" collapsed="false">
      <c r="B4" s="9" t="s">
        <v>3</v>
      </c>
      <c r="C4" s="8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customFormat="false" ht="30.75" hidden="false" customHeight="true" outlineLevel="0" collapsed="false">
      <c r="B5" s="9" t="s">
        <v>5</v>
      </c>
      <c r="C5" s="8" t="str">
        <f aca="false">+RESUMEN!B6</f>
        <v>SAN MARTIN - SAN MARTIN - MORALES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customFormat="false" ht="18.75" hidden="false" customHeight="true" outlineLevel="0" collapsed="false">
      <c r="B6" s="9" t="s">
        <v>7</v>
      </c>
      <c r="C6" s="10" t="n">
        <f aca="false">+RESUMEN!B7</f>
        <v>46266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customFormat="false" ht="15" hidden="false" customHeight="false" outlineLevel="0" collapsed="false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</row>
    <row r="9" customFormat="false" ht="16.5" hidden="false" customHeight="true" outlineLevel="0" collapsed="false">
      <c r="C9" s="75" t="s">
        <v>256</v>
      </c>
      <c r="D9" s="75" t="s">
        <v>257</v>
      </c>
      <c r="E9" s="75"/>
      <c r="F9" s="75"/>
      <c r="G9" s="75" t="s">
        <v>258</v>
      </c>
      <c r="H9" s="75"/>
      <c r="I9" s="75"/>
      <c r="J9" s="75" t="s">
        <v>259</v>
      </c>
      <c r="K9" s="75"/>
      <c r="L9" s="75"/>
      <c r="M9" s="75" t="s">
        <v>260</v>
      </c>
      <c r="N9" s="75"/>
      <c r="O9" s="75"/>
      <c r="P9" s="75" t="s">
        <v>261</v>
      </c>
      <c r="Q9" s="75"/>
      <c r="R9" s="75"/>
    </row>
    <row r="10" customFormat="false" ht="30.75" hidden="false" customHeight="true" outlineLevel="0" collapsed="false">
      <c r="C10" s="75"/>
      <c r="D10" s="134" t="s">
        <v>262</v>
      </c>
      <c r="E10" s="134" t="s">
        <v>232</v>
      </c>
      <c r="F10" s="135" t="s">
        <v>263</v>
      </c>
      <c r="G10" s="134" t="s">
        <v>252</v>
      </c>
      <c r="H10" s="134" t="s">
        <v>262</v>
      </c>
      <c r="I10" s="135" t="s">
        <v>264</v>
      </c>
      <c r="J10" s="134" t="s">
        <v>252</v>
      </c>
      <c r="K10" s="134" t="s">
        <v>262</v>
      </c>
      <c r="L10" s="135" t="s">
        <v>264</v>
      </c>
      <c r="M10" s="134" t="s">
        <v>252</v>
      </c>
      <c r="N10" s="134" t="s">
        <v>262</v>
      </c>
      <c r="O10" s="135" t="s">
        <v>264</v>
      </c>
      <c r="P10" s="134" t="s">
        <v>252</v>
      </c>
      <c r="Q10" s="134" t="s">
        <v>262</v>
      </c>
      <c r="R10" s="135" t="s">
        <v>264</v>
      </c>
    </row>
    <row r="11" customFormat="false" ht="23.25" hidden="false" customHeight="true" outlineLevel="0" collapsed="false">
      <c r="B11" s="136" t="s">
        <v>265</v>
      </c>
      <c r="C11" s="117"/>
      <c r="D11" s="117"/>
      <c r="E11" s="117"/>
      <c r="F11" s="115"/>
      <c r="G11" s="117"/>
      <c r="H11" s="117"/>
      <c r="I11" s="115"/>
      <c r="J11" s="117"/>
      <c r="K11" s="117"/>
      <c r="L11" s="115"/>
      <c r="M11" s="117"/>
      <c r="N11" s="117"/>
      <c r="O11" s="115"/>
    </row>
    <row r="12" customFormat="false" ht="23.25" hidden="false" customHeight="true" outlineLevel="0" collapsed="false">
      <c r="B12" s="137" t="s">
        <v>266</v>
      </c>
      <c r="C12" s="117" t="n">
        <v>3</v>
      </c>
      <c r="D12" s="117" t="n">
        <f aca="false">C12</f>
        <v>3</v>
      </c>
      <c r="E12" s="117" t="n">
        <v>5.9</v>
      </c>
      <c r="F12" s="135" t="n">
        <f aca="false">E12*D12</f>
        <v>17.7</v>
      </c>
      <c r="G12" s="117" t="n">
        <v>3</v>
      </c>
      <c r="H12" s="117" t="n">
        <f aca="false">C12</f>
        <v>3</v>
      </c>
      <c r="I12" s="135" t="n">
        <f aca="false">H12*G12</f>
        <v>9</v>
      </c>
      <c r="J12" s="117" t="n">
        <f aca="false">MAX(1,ROUNDDOWN(E12/4,0))</f>
        <v>1</v>
      </c>
      <c r="K12" s="117" t="n">
        <f aca="false">C12</f>
        <v>3</v>
      </c>
      <c r="L12" s="135" t="n">
        <f aca="false">K12*J12</f>
        <v>3</v>
      </c>
      <c r="M12" s="117" t="n">
        <v>2</v>
      </c>
      <c r="N12" s="117" t="n">
        <f aca="false">C12</f>
        <v>3</v>
      </c>
      <c r="O12" s="135" t="n">
        <f aca="false">N12*M12</f>
        <v>6</v>
      </c>
      <c r="P12" s="138"/>
      <c r="Q12" s="138"/>
      <c r="R12" s="139" t="n">
        <f aca="false">Q12*P12</f>
        <v>0</v>
      </c>
    </row>
    <row r="13" customFormat="false" ht="23.25" hidden="false" customHeight="true" outlineLevel="0" collapsed="false">
      <c r="B13" s="137" t="s">
        <v>267</v>
      </c>
      <c r="C13" s="117" t="n">
        <v>3</v>
      </c>
      <c r="D13" s="117" t="n">
        <f aca="false">C13</f>
        <v>3</v>
      </c>
      <c r="E13" s="117" t="n">
        <v>5.9</v>
      </c>
      <c r="F13" s="135" t="n">
        <f aca="false">E13*D13</f>
        <v>17.7</v>
      </c>
      <c r="G13" s="117" t="n">
        <v>3</v>
      </c>
      <c r="H13" s="117" t="n">
        <f aca="false">C13</f>
        <v>3</v>
      </c>
      <c r="I13" s="135" t="n">
        <f aca="false">H13*G13</f>
        <v>9</v>
      </c>
      <c r="J13" s="117" t="n">
        <f aca="false">MAX(1,ROUNDDOWN(E13/4,0))</f>
        <v>1</v>
      </c>
      <c r="K13" s="117" t="n">
        <f aca="false">C13</f>
        <v>3</v>
      </c>
      <c r="L13" s="135" t="n">
        <f aca="false">K13*J13</f>
        <v>3</v>
      </c>
      <c r="M13" s="117" t="n">
        <v>2</v>
      </c>
      <c r="N13" s="117" t="n">
        <f aca="false">C13</f>
        <v>3</v>
      </c>
      <c r="O13" s="135" t="n">
        <f aca="false">N13*M13</f>
        <v>6</v>
      </c>
      <c r="P13" s="138"/>
      <c r="Q13" s="138"/>
      <c r="R13" s="139" t="n">
        <f aca="false">Q13*P13</f>
        <v>0</v>
      </c>
    </row>
    <row r="14" customFormat="false" ht="23.25" hidden="false" customHeight="true" outlineLevel="0" collapsed="false">
      <c r="B14" s="136" t="s">
        <v>268</v>
      </c>
      <c r="C14" s="117"/>
      <c r="D14" s="117"/>
      <c r="E14" s="117"/>
      <c r="F14" s="115"/>
      <c r="G14" s="117"/>
      <c r="H14" s="117"/>
      <c r="I14" s="115"/>
      <c r="J14" s="117"/>
      <c r="K14" s="117"/>
      <c r="L14" s="115"/>
      <c r="M14" s="117"/>
      <c r="N14" s="117"/>
      <c r="O14" s="115"/>
      <c r="P14" s="138"/>
      <c r="Q14" s="138"/>
      <c r="R14" s="140"/>
    </row>
    <row r="15" customFormat="false" ht="23.25" hidden="false" customHeight="true" outlineLevel="0" collapsed="false">
      <c r="B15" s="137" t="s">
        <v>266</v>
      </c>
      <c r="C15" s="117" t="n">
        <v>2</v>
      </c>
      <c r="D15" s="117" t="n">
        <f aca="false">C15</f>
        <v>2</v>
      </c>
      <c r="E15" s="117" t="n">
        <v>6.27</v>
      </c>
      <c r="F15" s="135" t="n">
        <f aca="false">E15*D15</f>
        <v>12.54</v>
      </c>
      <c r="G15" s="117" t="n">
        <v>3</v>
      </c>
      <c r="H15" s="117" t="n">
        <f aca="false">C15</f>
        <v>2</v>
      </c>
      <c r="I15" s="135" t="n">
        <f aca="false">H15*G15</f>
        <v>6</v>
      </c>
      <c r="J15" s="117" t="n">
        <f aca="false">MAX(1,ROUNDDOWN(E15/4,0))</f>
        <v>1</v>
      </c>
      <c r="K15" s="117" t="n">
        <f aca="false">C15</f>
        <v>2</v>
      </c>
      <c r="L15" s="135" t="n">
        <f aca="false">K15*J15</f>
        <v>2</v>
      </c>
      <c r="M15" s="117" t="n">
        <v>2</v>
      </c>
      <c r="N15" s="117" t="n">
        <f aca="false">C15</f>
        <v>2</v>
      </c>
      <c r="O15" s="135" t="n">
        <f aca="false">N15*M15</f>
        <v>4</v>
      </c>
      <c r="P15" s="138"/>
      <c r="Q15" s="138"/>
      <c r="R15" s="139" t="n">
        <f aca="false">Q15*P15</f>
        <v>0</v>
      </c>
    </row>
    <row r="16" customFormat="false" ht="23.25" hidden="false" customHeight="true" outlineLevel="0" collapsed="false">
      <c r="B16" s="137" t="s">
        <v>267</v>
      </c>
      <c r="C16" s="117" t="n">
        <v>2</v>
      </c>
      <c r="D16" s="117" t="n">
        <f aca="false">C16</f>
        <v>2</v>
      </c>
      <c r="E16" s="117" t="n">
        <v>6.27</v>
      </c>
      <c r="F16" s="135" t="n">
        <f aca="false">E16*D16</f>
        <v>12.54</v>
      </c>
      <c r="G16" s="117" t="n">
        <v>3</v>
      </c>
      <c r="H16" s="117" t="n">
        <f aca="false">C16</f>
        <v>2</v>
      </c>
      <c r="I16" s="135" t="n">
        <f aca="false">H16*G16</f>
        <v>6</v>
      </c>
      <c r="J16" s="117" t="n">
        <f aca="false">MAX(1,ROUNDDOWN(E16/4,0))</f>
        <v>1</v>
      </c>
      <c r="K16" s="117" t="n">
        <f aca="false">C16</f>
        <v>2</v>
      </c>
      <c r="L16" s="135" t="n">
        <f aca="false">K16*J16</f>
        <v>2</v>
      </c>
      <c r="M16" s="117" t="n">
        <v>2</v>
      </c>
      <c r="N16" s="117" t="n">
        <f aca="false">C16</f>
        <v>2</v>
      </c>
      <c r="O16" s="135" t="n">
        <f aca="false">N16*M16</f>
        <v>4</v>
      </c>
      <c r="P16" s="138"/>
      <c r="Q16" s="138"/>
      <c r="R16" s="139" t="n">
        <f aca="false">Q16*P16</f>
        <v>0</v>
      </c>
    </row>
    <row r="17" customFormat="false" ht="23.25" hidden="false" customHeight="true" outlineLevel="0" collapsed="false">
      <c r="B17" s="136" t="s">
        <v>269</v>
      </c>
      <c r="C17" s="117"/>
      <c r="D17" s="117"/>
      <c r="E17" s="117"/>
      <c r="F17" s="115"/>
      <c r="G17" s="117"/>
      <c r="H17" s="117"/>
      <c r="I17" s="115"/>
      <c r="J17" s="117"/>
      <c r="K17" s="117"/>
      <c r="L17" s="115"/>
      <c r="M17" s="117"/>
      <c r="N17" s="117"/>
      <c r="O17" s="115"/>
      <c r="P17" s="138"/>
      <c r="Q17" s="138"/>
      <c r="R17" s="140"/>
    </row>
    <row r="18" customFormat="false" ht="23.25" hidden="false" customHeight="true" outlineLevel="0" collapsed="false">
      <c r="B18" s="137" t="s">
        <v>266</v>
      </c>
      <c r="C18" s="117" t="n">
        <v>2</v>
      </c>
      <c r="D18" s="117" t="n">
        <f aca="false">C18</f>
        <v>2</v>
      </c>
      <c r="E18" s="117" t="n">
        <v>6.35</v>
      </c>
      <c r="F18" s="135" t="n">
        <f aca="false">E18*D18</f>
        <v>12.7</v>
      </c>
      <c r="G18" s="117" t="n">
        <v>3</v>
      </c>
      <c r="H18" s="117" t="n">
        <f aca="false">C18</f>
        <v>2</v>
      </c>
      <c r="I18" s="135" t="n">
        <f aca="false">H18*G18</f>
        <v>6</v>
      </c>
      <c r="J18" s="117" t="n">
        <f aca="false">MAX(1,ROUNDDOWN(E18/4,0))</f>
        <v>1</v>
      </c>
      <c r="K18" s="117" t="n">
        <f aca="false">C18</f>
        <v>2</v>
      </c>
      <c r="L18" s="135" t="n">
        <f aca="false">K18*J18</f>
        <v>2</v>
      </c>
      <c r="M18" s="117" t="n">
        <v>2</v>
      </c>
      <c r="N18" s="117" t="n">
        <f aca="false">C18</f>
        <v>2</v>
      </c>
      <c r="O18" s="135" t="n">
        <f aca="false">N18*M18</f>
        <v>4</v>
      </c>
      <c r="P18" s="138"/>
      <c r="Q18" s="138"/>
      <c r="R18" s="139" t="n">
        <f aca="false">Q18*P18</f>
        <v>0</v>
      </c>
    </row>
    <row r="19" customFormat="false" ht="23.25" hidden="false" customHeight="true" outlineLevel="0" collapsed="false">
      <c r="B19" s="137" t="s">
        <v>267</v>
      </c>
      <c r="C19" s="117" t="n">
        <v>2</v>
      </c>
      <c r="D19" s="117" t="n">
        <f aca="false">C19</f>
        <v>2</v>
      </c>
      <c r="E19" s="117" t="n">
        <v>6.35</v>
      </c>
      <c r="F19" s="135" t="n">
        <f aca="false">E19*D19</f>
        <v>12.7</v>
      </c>
      <c r="G19" s="117" t="n">
        <v>3</v>
      </c>
      <c r="H19" s="117" t="n">
        <f aca="false">C19</f>
        <v>2</v>
      </c>
      <c r="I19" s="135" t="n">
        <f aca="false">H19*G19</f>
        <v>6</v>
      </c>
      <c r="J19" s="117" t="n">
        <f aca="false">MAX(1,ROUNDDOWN(E19/4,0))</f>
        <v>1</v>
      </c>
      <c r="K19" s="117" t="n">
        <f aca="false">C19</f>
        <v>2</v>
      </c>
      <c r="L19" s="135" t="n">
        <f aca="false">K19*J19</f>
        <v>2</v>
      </c>
      <c r="M19" s="117" t="n">
        <v>2</v>
      </c>
      <c r="N19" s="117" t="n">
        <f aca="false">C19</f>
        <v>2</v>
      </c>
      <c r="O19" s="135" t="n">
        <f aca="false">N19*M19</f>
        <v>4</v>
      </c>
      <c r="P19" s="138"/>
      <c r="Q19" s="138"/>
      <c r="R19" s="139" t="n">
        <f aca="false">Q19*P19</f>
        <v>0</v>
      </c>
    </row>
    <row r="20" customFormat="false" ht="23.25" hidden="false" customHeight="true" outlineLevel="0" collapsed="false">
      <c r="B20" s="136" t="s">
        <v>270</v>
      </c>
      <c r="C20" s="117"/>
      <c r="D20" s="117"/>
      <c r="E20" s="117"/>
      <c r="F20" s="115"/>
      <c r="G20" s="117"/>
      <c r="H20" s="117"/>
      <c r="I20" s="115"/>
      <c r="J20" s="117"/>
      <c r="K20" s="117"/>
      <c r="L20" s="115"/>
      <c r="M20" s="117"/>
      <c r="N20" s="117"/>
      <c r="O20" s="115"/>
      <c r="P20" s="138"/>
      <c r="Q20" s="138"/>
      <c r="R20" s="140"/>
    </row>
    <row r="21" customFormat="false" ht="23.25" hidden="false" customHeight="true" outlineLevel="0" collapsed="false">
      <c r="B21" s="137" t="s">
        <v>266</v>
      </c>
      <c r="C21" s="117" t="n">
        <v>3</v>
      </c>
      <c r="D21" s="117" t="n">
        <f aca="false">C21</f>
        <v>3</v>
      </c>
      <c r="E21" s="117" t="n">
        <v>6.26</v>
      </c>
      <c r="F21" s="135" t="n">
        <f aca="false">E21*D21</f>
        <v>18.78</v>
      </c>
      <c r="G21" s="117" t="n">
        <v>3</v>
      </c>
      <c r="H21" s="117" t="n">
        <f aca="false">C21</f>
        <v>3</v>
      </c>
      <c r="I21" s="135" t="n">
        <f aca="false">H21*G21</f>
        <v>9</v>
      </c>
      <c r="J21" s="117" t="n">
        <f aca="false">MAX(1,ROUNDDOWN(E21/4,0))</f>
        <v>1</v>
      </c>
      <c r="K21" s="117" t="n">
        <f aca="false">C21</f>
        <v>3</v>
      </c>
      <c r="L21" s="135" t="n">
        <f aca="false">K21*J21</f>
        <v>3</v>
      </c>
      <c r="M21" s="117" t="n">
        <v>2</v>
      </c>
      <c r="N21" s="117" t="n">
        <f aca="false">C21</f>
        <v>3</v>
      </c>
      <c r="O21" s="135" t="n">
        <f aca="false">N21*M21</f>
        <v>6</v>
      </c>
      <c r="P21" s="138"/>
      <c r="Q21" s="138"/>
      <c r="R21" s="139" t="n">
        <f aca="false">Q21*P21</f>
        <v>0</v>
      </c>
    </row>
    <row r="22" customFormat="false" ht="23.25" hidden="false" customHeight="true" outlineLevel="0" collapsed="false">
      <c r="B22" s="137" t="s">
        <v>267</v>
      </c>
      <c r="C22" s="117" t="n">
        <v>3</v>
      </c>
      <c r="D22" s="117" t="n">
        <f aca="false">C22</f>
        <v>3</v>
      </c>
      <c r="E22" s="117" t="n">
        <v>6.26</v>
      </c>
      <c r="F22" s="135" t="n">
        <f aca="false">E22*D22</f>
        <v>18.78</v>
      </c>
      <c r="G22" s="117" t="n">
        <v>3</v>
      </c>
      <c r="H22" s="117" t="n">
        <f aca="false">C22</f>
        <v>3</v>
      </c>
      <c r="I22" s="135" t="n">
        <f aca="false">H22*G22</f>
        <v>9</v>
      </c>
      <c r="J22" s="117" t="n">
        <f aca="false">MAX(1,ROUNDDOWN(E22/4,0))</f>
        <v>1</v>
      </c>
      <c r="K22" s="117" t="n">
        <f aca="false">C22</f>
        <v>3</v>
      </c>
      <c r="L22" s="135" t="n">
        <f aca="false">K22*J22</f>
        <v>3</v>
      </c>
      <c r="M22" s="117" t="n">
        <v>2</v>
      </c>
      <c r="N22" s="117" t="n">
        <f aca="false">C22</f>
        <v>3</v>
      </c>
      <c r="O22" s="135" t="n">
        <f aca="false">N22*M22</f>
        <v>6</v>
      </c>
      <c r="P22" s="138"/>
      <c r="Q22" s="138"/>
      <c r="R22" s="139" t="n">
        <f aca="false">Q22*P22</f>
        <v>0</v>
      </c>
    </row>
    <row r="23" customFormat="false" ht="23.25" hidden="false" customHeight="true" outlineLevel="0" collapsed="false">
      <c r="B23" s="136" t="s">
        <v>271</v>
      </c>
      <c r="C23" s="117"/>
      <c r="D23" s="117"/>
      <c r="E23" s="117"/>
      <c r="F23" s="115"/>
      <c r="G23" s="117"/>
      <c r="H23" s="117"/>
      <c r="I23" s="115"/>
      <c r="J23" s="117"/>
      <c r="K23" s="117"/>
      <c r="L23" s="115"/>
      <c r="M23" s="117"/>
      <c r="N23" s="117"/>
      <c r="O23" s="115"/>
      <c r="P23" s="138"/>
      <c r="Q23" s="138"/>
      <c r="R23" s="140"/>
    </row>
    <row r="24" customFormat="false" ht="23.25" hidden="false" customHeight="true" outlineLevel="0" collapsed="false">
      <c r="B24" s="137" t="s">
        <v>266</v>
      </c>
      <c r="C24" s="117" t="n">
        <v>3</v>
      </c>
      <c r="D24" s="117" t="n">
        <f aca="false">C24</f>
        <v>3</v>
      </c>
      <c r="E24" s="117" t="n">
        <v>7.53</v>
      </c>
      <c r="F24" s="135" t="n">
        <f aca="false">E24*D24</f>
        <v>22.59</v>
      </c>
      <c r="G24" s="117" t="n">
        <v>3</v>
      </c>
      <c r="H24" s="117" t="n">
        <f aca="false">C24</f>
        <v>3</v>
      </c>
      <c r="I24" s="135" t="n">
        <f aca="false">H24*G24</f>
        <v>9</v>
      </c>
      <c r="J24" s="117" t="n">
        <f aca="false">MAX(1,ROUNDDOWN(E24/4,0))</f>
        <v>1</v>
      </c>
      <c r="K24" s="117" t="n">
        <f aca="false">C24</f>
        <v>3</v>
      </c>
      <c r="L24" s="135" t="n">
        <f aca="false">K24*J24</f>
        <v>3</v>
      </c>
      <c r="M24" s="117" t="n">
        <v>2</v>
      </c>
      <c r="N24" s="117" t="n">
        <f aca="false">C24</f>
        <v>3</v>
      </c>
      <c r="O24" s="135" t="n">
        <f aca="false">N24*M24</f>
        <v>6</v>
      </c>
      <c r="P24" s="138"/>
      <c r="Q24" s="138"/>
      <c r="R24" s="139" t="n">
        <f aca="false">Q24*P24</f>
        <v>0</v>
      </c>
    </row>
    <row r="25" customFormat="false" ht="23.25" hidden="false" customHeight="true" outlineLevel="0" collapsed="false">
      <c r="B25" s="137" t="s">
        <v>267</v>
      </c>
      <c r="C25" s="117" t="n">
        <v>3</v>
      </c>
      <c r="D25" s="117" t="n">
        <f aca="false">C25</f>
        <v>3</v>
      </c>
      <c r="E25" s="117" t="n">
        <v>7.53</v>
      </c>
      <c r="F25" s="135" t="n">
        <f aca="false">E25*D25</f>
        <v>22.59</v>
      </c>
      <c r="G25" s="117" t="n">
        <v>3</v>
      </c>
      <c r="H25" s="117" t="n">
        <f aca="false">C25</f>
        <v>3</v>
      </c>
      <c r="I25" s="135" t="n">
        <f aca="false">H25*G25</f>
        <v>9</v>
      </c>
      <c r="J25" s="117" t="n">
        <f aca="false">MAX(1,ROUNDDOWN(E25/4,0))</f>
        <v>1</v>
      </c>
      <c r="K25" s="117" t="n">
        <f aca="false">C25</f>
        <v>3</v>
      </c>
      <c r="L25" s="135" t="n">
        <f aca="false">K25*J25</f>
        <v>3</v>
      </c>
      <c r="M25" s="117" t="n">
        <v>2</v>
      </c>
      <c r="N25" s="117" t="n">
        <f aca="false">C25</f>
        <v>3</v>
      </c>
      <c r="O25" s="135" t="n">
        <f aca="false">N25*M25</f>
        <v>6</v>
      </c>
      <c r="P25" s="138"/>
      <c r="Q25" s="138"/>
      <c r="R25" s="139" t="n">
        <f aca="false">Q25*P25</f>
        <v>0</v>
      </c>
    </row>
    <row r="26" customFormat="false" ht="23.25" hidden="false" customHeight="true" outlineLevel="0" collapsed="false">
      <c r="B26" s="136" t="s">
        <v>272</v>
      </c>
      <c r="C26" s="117"/>
      <c r="D26" s="117"/>
      <c r="E26" s="117"/>
      <c r="F26" s="115"/>
      <c r="G26" s="117"/>
      <c r="H26" s="117"/>
      <c r="I26" s="115"/>
      <c r="J26" s="117"/>
      <c r="K26" s="117"/>
      <c r="L26" s="115"/>
      <c r="M26" s="117"/>
      <c r="N26" s="117"/>
      <c r="O26" s="115"/>
      <c r="P26" s="138"/>
      <c r="Q26" s="138"/>
      <c r="R26" s="140"/>
    </row>
    <row r="27" customFormat="false" ht="23.25" hidden="false" customHeight="true" outlineLevel="0" collapsed="false">
      <c r="B27" s="137" t="s">
        <v>266</v>
      </c>
      <c r="C27" s="117" t="n">
        <v>2</v>
      </c>
      <c r="D27" s="117" t="n">
        <f aca="false">C27</f>
        <v>2</v>
      </c>
      <c r="E27" s="117" t="n">
        <v>6.18</v>
      </c>
      <c r="F27" s="135" t="n">
        <f aca="false">E27*D27</f>
        <v>12.36</v>
      </c>
      <c r="G27" s="117" t="n">
        <v>3</v>
      </c>
      <c r="H27" s="117" t="n">
        <f aca="false">C27</f>
        <v>2</v>
      </c>
      <c r="I27" s="135" t="n">
        <f aca="false">H27*G27</f>
        <v>6</v>
      </c>
      <c r="J27" s="117" t="n">
        <f aca="false">MAX(1,ROUNDDOWN(E27/4,0))</f>
        <v>1</v>
      </c>
      <c r="K27" s="117" t="n">
        <f aca="false">C27</f>
        <v>2</v>
      </c>
      <c r="L27" s="135" t="n">
        <f aca="false">K27*J27</f>
        <v>2</v>
      </c>
      <c r="M27" s="117" t="n">
        <v>2</v>
      </c>
      <c r="N27" s="117" t="n">
        <f aca="false">C27</f>
        <v>2</v>
      </c>
      <c r="O27" s="135" t="n">
        <f aca="false">N27*M27</f>
        <v>4</v>
      </c>
      <c r="P27" s="138"/>
      <c r="Q27" s="138"/>
      <c r="R27" s="139" t="n">
        <f aca="false">Q27*P27</f>
        <v>0</v>
      </c>
    </row>
    <row r="28" customFormat="false" ht="23.25" hidden="false" customHeight="true" outlineLevel="0" collapsed="false">
      <c r="B28" s="137" t="s">
        <v>267</v>
      </c>
      <c r="C28" s="117" t="n">
        <v>2</v>
      </c>
      <c r="D28" s="117" t="n">
        <f aca="false">C28</f>
        <v>2</v>
      </c>
      <c r="E28" s="117" t="n">
        <v>6.18</v>
      </c>
      <c r="F28" s="135" t="n">
        <f aca="false">E28*D28</f>
        <v>12.36</v>
      </c>
      <c r="G28" s="117" t="n">
        <v>3</v>
      </c>
      <c r="H28" s="117" t="n">
        <f aca="false">C28</f>
        <v>2</v>
      </c>
      <c r="I28" s="135" t="n">
        <f aca="false">H28*G28</f>
        <v>6</v>
      </c>
      <c r="J28" s="117" t="n">
        <f aca="false">MAX(1,ROUNDDOWN(E28/4,0))</f>
        <v>1</v>
      </c>
      <c r="K28" s="117" t="n">
        <f aca="false">C28</f>
        <v>2</v>
      </c>
      <c r="L28" s="135" t="n">
        <f aca="false">K28*J28</f>
        <v>2</v>
      </c>
      <c r="M28" s="117" t="n">
        <v>2</v>
      </c>
      <c r="N28" s="117" t="n">
        <f aca="false">C28</f>
        <v>2</v>
      </c>
      <c r="O28" s="135" t="n">
        <f aca="false">N28*M28</f>
        <v>4</v>
      </c>
      <c r="P28" s="138"/>
      <c r="Q28" s="138"/>
      <c r="R28" s="139" t="n">
        <f aca="false">Q28*P28</f>
        <v>0</v>
      </c>
    </row>
    <row r="29" customFormat="false" ht="23.25" hidden="false" customHeight="true" outlineLevel="0" collapsed="false">
      <c r="B29" s="136" t="s">
        <v>273</v>
      </c>
      <c r="C29" s="117"/>
      <c r="D29" s="117"/>
      <c r="E29" s="117"/>
      <c r="F29" s="115"/>
      <c r="G29" s="117"/>
      <c r="H29" s="117"/>
      <c r="I29" s="115"/>
      <c r="J29" s="117"/>
      <c r="K29" s="117"/>
      <c r="L29" s="115"/>
      <c r="M29" s="117"/>
      <c r="N29" s="117"/>
      <c r="O29" s="115"/>
      <c r="P29" s="138"/>
      <c r="Q29" s="138"/>
      <c r="R29" s="140"/>
    </row>
    <row r="30" customFormat="false" ht="23.25" hidden="false" customHeight="true" outlineLevel="0" collapsed="false">
      <c r="B30" s="137" t="s">
        <v>266</v>
      </c>
      <c r="C30" s="117" t="n">
        <v>3</v>
      </c>
      <c r="D30" s="117" t="n">
        <f aca="false">C30</f>
        <v>3</v>
      </c>
      <c r="E30" s="117" t="n">
        <v>6.24</v>
      </c>
      <c r="F30" s="135" t="n">
        <f aca="false">E30*D30</f>
        <v>18.72</v>
      </c>
      <c r="G30" s="117" t="n">
        <v>3</v>
      </c>
      <c r="H30" s="117" t="n">
        <f aca="false">C30</f>
        <v>3</v>
      </c>
      <c r="I30" s="135" t="n">
        <f aca="false">H30*G30</f>
        <v>9</v>
      </c>
      <c r="J30" s="117" t="n">
        <f aca="false">MAX(1,ROUNDDOWN(E30/4,0))</f>
        <v>1</v>
      </c>
      <c r="K30" s="117" t="n">
        <f aca="false">C30</f>
        <v>3</v>
      </c>
      <c r="L30" s="135" t="n">
        <f aca="false">K30*J30</f>
        <v>3</v>
      </c>
      <c r="M30" s="117" t="n">
        <v>2</v>
      </c>
      <c r="N30" s="117" t="n">
        <f aca="false">C30</f>
        <v>3</v>
      </c>
      <c r="O30" s="135" t="n">
        <f aca="false">N30*M30</f>
        <v>6</v>
      </c>
      <c r="P30" s="138"/>
      <c r="Q30" s="138"/>
      <c r="R30" s="139" t="n">
        <f aca="false">Q30*P30</f>
        <v>0</v>
      </c>
    </row>
    <row r="31" customFormat="false" ht="23.25" hidden="false" customHeight="true" outlineLevel="0" collapsed="false">
      <c r="B31" s="137" t="s">
        <v>267</v>
      </c>
      <c r="C31" s="117" t="n">
        <v>3</v>
      </c>
      <c r="D31" s="117" t="n">
        <f aca="false">C31</f>
        <v>3</v>
      </c>
      <c r="E31" s="117" t="n">
        <v>6.24</v>
      </c>
      <c r="F31" s="135" t="n">
        <f aca="false">E31*D31</f>
        <v>18.72</v>
      </c>
      <c r="G31" s="117" t="n">
        <v>3</v>
      </c>
      <c r="H31" s="117" t="n">
        <f aca="false">C31</f>
        <v>3</v>
      </c>
      <c r="I31" s="135" t="n">
        <f aca="false">H31*G31</f>
        <v>9</v>
      </c>
      <c r="J31" s="117" t="n">
        <f aca="false">MAX(1,ROUNDDOWN(E31/4,0))</f>
        <v>1</v>
      </c>
      <c r="K31" s="117" t="n">
        <f aca="false">C31</f>
        <v>3</v>
      </c>
      <c r="L31" s="135" t="n">
        <f aca="false">K31*J31</f>
        <v>3</v>
      </c>
      <c r="M31" s="117" t="n">
        <v>2</v>
      </c>
      <c r="N31" s="117" t="n">
        <f aca="false">C31</f>
        <v>3</v>
      </c>
      <c r="O31" s="135" t="n">
        <f aca="false">N31*M31</f>
        <v>6</v>
      </c>
      <c r="P31" s="138"/>
      <c r="Q31" s="138"/>
      <c r="R31" s="139" t="n">
        <f aca="false">Q31*P31</f>
        <v>0</v>
      </c>
    </row>
    <row r="32" customFormat="false" ht="23.25" hidden="false" customHeight="true" outlineLevel="0" collapsed="false">
      <c r="B32" s="136" t="s">
        <v>274</v>
      </c>
      <c r="C32" s="117"/>
      <c r="D32" s="117"/>
      <c r="E32" s="117"/>
      <c r="F32" s="115"/>
      <c r="G32" s="117"/>
      <c r="H32" s="117"/>
      <c r="I32" s="115"/>
      <c r="J32" s="117"/>
      <c r="K32" s="117"/>
      <c r="L32" s="115"/>
      <c r="M32" s="117"/>
      <c r="N32" s="117"/>
      <c r="O32" s="115"/>
      <c r="P32" s="138"/>
      <c r="Q32" s="138"/>
      <c r="R32" s="140"/>
    </row>
    <row r="33" customFormat="false" ht="23.25" hidden="false" customHeight="true" outlineLevel="0" collapsed="false">
      <c r="B33" s="137" t="s">
        <v>266</v>
      </c>
      <c r="C33" s="117" t="n">
        <v>2</v>
      </c>
      <c r="D33" s="117" t="n">
        <f aca="false">C33</f>
        <v>2</v>
      </c>
      <c r="E33" s="117" t="n">
        <v>6.26</v>
      </c>
      <c r="F33" s="135" t="n">
        <f aca="false">E33*D33</f>
        <v>12.52</v>
      </c>
      <c r="G33" s="117" t="n">
        <v>3</v>
      </c>
      <c r="H33" s="2" t="n">
        <f aca="false">C33</f>
        <v>2</v>
      </c>
      <c r="I33" s="135" t="n">
        <f aca="false">H33*G33</f>
        <v>6</v>
      </c>
      <c r="J33" s="117" t="n">
        <f aca="false">MAX(1,ROUNDDOWN(E33/4,0))</f>
        <v>1</v>
      </c>
      <c r="K33" s="117" t="n">
        <f aca="false">C33</f>
        <v>2</v>
      </c>
      <c r="L33" s="135" t="n">
        <f aca="false">K33*J33</f>
        <v>2</v>
      </c>
      <c r="M33" s="117" t="n">
        <v>2</v>
      </c>
      <c r="N33" s="117" t="n">
        <f aca="false">C33</f>
        <v>2</v>
      </c>
      <c r="O33" s="135" t="n">
        <f aca="false">N33*M33</f>
        <v>4</v>
      </c>
      <c r="P33" s="138"/>
      <c r="Q33" s="138"/>
      <c r="R33" s="139" t="n">
        <f aca="false">Q33*P33</f>
        <v>0</v>
      </c>
    </row>
    <row r="34" customFormat="false" ht="23.25" hidden="false" customHeight="true" outlineLevel="0" collapsed="false">
      <c r="B34" s="137" t="s">
        <v>267</v>
      </c>
      <c r="C34" s="117" t="n">
        <v>2</v>
      </c>
      <c r="D34" s="117" t="n">
        <f aca="false">C34</f>
        <v>2</v>
      </c>
      <c r="E34" s="117" t="n">
        <v>6.26</v>
      </c>
      <c r="F34" s="135" t="n">
        <f aca="false">E34*D34</f>
        <v>12.52</v>
      </c>
      <c r="G34" s="117" t="n">
        <v>3</v>
      </c>
      <c r="H34" s="117" t="n">
        <f aca="false">C34</f>
        <v>2</v>
      </c>
      <c r="I34" s="135" t="n">
        <f aca="false">H34*G34</f>
        <v>6</v>
      </c>
      <c r="J34" s="117" t="n">
        <f aca="false">MAX(1,ROUNDDOWN(E34/4,0))</f>
        <v>1</v>
      </c>
      <c r="K34" s="117" t="n">
        <f aca="false">C34</f>
        <v>2</v>
      </c>
      <c r="L34" s="135" t="n">
        <f aca="false">K34*J34</f>
        <v>2</v>
      </c>
      <c r="M34" s="117" t="n">
        <v>2</v>
      </c>
      <c r="N34" s="117" t="n">
        <f aca="false">C34</f>
        <v>2</v>
      </c>
      <c r="O34" s="135" t="n">
        <f aca="false">N34*M34</f>
        <v>4</v>
      </c>
      <c r="P34" s="138"/>
      <c r="Q34" s="138"/>
      <c r="R34" s="139" t="n">
        <f aca="false">Q34*P34</f>
        <v>0</v>
      </c>
    </row>
    <row r="35" customFormat="false" ht="23.25" hidden="false" customHeight="true" outlineLevel="0" collapsed="false">
      <c r="B35" s="136" t="s">
        <v>275</v>
      </c>
      <c r="C35" s="117"/>
      <c r="D35" s="117"/>
      <c r="E35" s="117"/>
      <c r="F35" s="115"/>
      <c r="G35" s="117"/>
      <c r="H35" s="117"/>
      <c r="I35" s="115"/>
      <c r="J35" s="117"/>
      <c r="K35" s="117"/>
      <c r="L35" s="115"/>
      <c r="M35" s="117"/>
      <c r="N35" s="117"/>
      <c r="O35" s="115"/>
      <c r="P35" s="138"/>
      <c r="Q35" s="138"/>
      <c r="R35" s="140"/>
    </row>
    <row r="36" customFormat="false" ht="23.25" hidden="false" customHeight="true" outlineLevel="0" collapsed="false">
      <c r="B36" s="137" t="s">
        <v>266</v>
      </c>
      <c r="C36" s="117" t="n">
        <v>2</v>
      </c>
      <c r="D36" s="117" t="n">
        <f aca="false">C36</f>
        <v>2</v>
      </c>
      <c r="E36" s="117" t="n">
        <v>6.26</v>
      </c>
      <c r="F36" s="135" t="n">
        <f aca="false">E36*D36</f>
        <v>12.52</v>
      </c>
      <c r="G36" s="117" t="n">
        <v>3</v>
      </c>
      <c r="H36" s="117" t="n">
        <f aca="false">C36</f>
        <v>2</v>
      </c>
      <c r="I36" s="135" t="n">
        <f aca="false">H36*G36</f>
        <v>6</v>
      </c>
      <c r="J36" s="117" t="n">
        <f aca="false">MAX(1,ROUNDDOWN(E36/4,0))</f>
        <v>1</v>
      </c>
      <c r="K36" s="117" t="n">
        <f aca="false">C36</f>
        <v>2</v>
      </c>
      <c r="L36" s="135" t="n">
        <f aca="false">K36*J36</f>
        <v>2</v>
      </c>
      <c r="M36" s="117" t="n">
        <v>2</v>
      </c>
      <c r="N36" s="117" t="n">
        <f aca="false">C36</f>
        <v>2</v>
      </c>
      <c r="O36" s="135" t="n">
        <f aca="false">N36*M36</f>
        <v>4</v>
      </c>
      <c r="P36" s="138"/>
      <c r="Q36" s="138"/>
      <c r="R36" s="139" t="n">
        <f aca="false">Q36*P36</f>
        <v>0</v>
      </c>
    </row>
    <row r="37" customFormat="false" ht="23.25" hidden="false" customHeight="true" outlineLevel="0" collapsed="false">
      <c r="B37" s="137" t="s">
        <v>267</v>
      </c>
      <c r="C37" s="117" t="n">
        <v>2</v>
      </c>
      <c r="D37" s="117" t="n">
        <f aca="false">C37</f>
        <v>2</v>
      </c>
      <c r="E37" s="117" t="n">
        <v>6.26</v>
      </c>
      <c r="F37" s="135" t="n">
        <f aca="false">E37*D37</f>
        <v>12.52</v>
      </c>
      <c r="G37" s="117" t="n">
        <v>3</v>
      </c>
      <c r="H37" s="117" t="n">
        <f aca="false">C37</f>
        <v>2</v>
      </c>
      <c r="I37" s="135" t="n">
        <f aca="false">H37*G37</f>
        <v>6</v>
      </c>
      <c r="J37" s="117" t="n">
        <f aca="false">MAX(1,ROUNDDOWN(E37/4,0))</f>
        <v>1</v>
      </c>
      <c r="K37" s="117" t="n">
        <f aca="false">C37</f>
        <v>2</v>
      </c>
      <c r="L37" s="135" t="n">
        <f aca="false">K37*J37</f>
        <v>2</v>
      </c>
      <c r="M37" s="117" t="n">
        <v>2</v>
      </c>
      <c r="N37" s="117" t="n">
        <f aca="false">C37</f>
        <v>2</v>
      </c>
      <c r="O37" s="135" t="n">
        <f aca="false">N37*M37</f>
        <v>4</v>
      </c>
      <c r="P37" s="138"/>
      <c r="Q37" s="138"/>
      <c r="R37" s="139" t="n">
        <f aca="false">Q37*P37</f>
        <v>0</v>
      </c>
    </row>
    <row r="38" customFormat="false" ht="23.25" hidden="false" customHeight="true" outlineLevel="0" collapsed="false">
      <c r="B38" s="136" t="s">
        <v>276</v>
      </c>
      <c r="C38" s="141"/>
      <c r="D38" s="117"/>
      <c r="E38" s="117"/>
      <c r="F38" s="115"/>
      <c r="G38" s="117"/>
      <c r="H38" s="117"/>
      <c r="I38" s="115"/>
      <c r="J38" s="117"/>
      <c r="K38" s="117"/>
      <c r="L38" s="115"/>
      <c r="M38" s="117"/>
      <c r="N38" s="117"/>
      <c r="O38" s="115"/>
      <c r="P38" s="138"/>
      <c r="Q38" s="138"/>
      <c r="R38" s="140"/>
    </row>
    <row r="39" customFormat="false" ht="23.25" hidden="false" customHeight="true" outlineLevel="0" collapsed="false">
      <c r="B39" s="137" t="s">
        <v>266</v>
      </c>
      <c r="C39" s="138" t="n">
        <v>4</v>
      </c>
      <c r="D39" s="117" t="n">
        <f aca="false">C39</f>
        <v>4</v>
      </c>
      <c r="E39" s="117" t="n">
        <v>11</v>
      </c>
      <c r="F39" s="135" t="n">
        <f aca="false">E39*D39</f>
        <v>44</v>
      </c>
      <c r="G39" s="117" t="n">
        <v>3</v>
      </c>
      <c r="H39" s="117" t="n">
        <f aca="false">C39</f>
        <v>4</v>
      </c>
      <c r="I39" s="135" t="n">
        <f aca="false">H39*G39</f>
        <v>12</v>
      </c>
      <c r="J39" s="117" t="n">
        <v>3</v>
      </c>
      <c r="K39" s="117" t="n">
        <f aca="false">C39</f>
        <v>4</v>
      </c>
      <c r="L39" s="135" t="n">
        <f aca="false">K39*J39</f>
        <v>12</v>
      </c>
      <c r="M39" s="117" t="n">
        <v>0</v>
      </c>
      <c r="N39" s="117" t="n">
        <f aca="false">C39</f>
        <v>4</v>
      </c>
      <c r="O39" s="135" t="n">
        <f aca="false">N39*M39</f>
        <v>0</v>
      </c>
      <c r="P39" s="138"/>
      <c r="Q39" s="138"/>
      <c r="R39" s="139" t="n">
        <f aca="false">Q39*P39</f>
        <v>0</v>
      </c>
    </row>
    <row r="40" customFormat="false" ht="23.25" hidden="false" customHeight="true" outlineLevel="0" collapsed="false">
      <c r="B40" s="137" t="s">
        <v>267</v>
      </c>
      <c r="C40" s="117" t="n">
        <v>4</v>
      </c>
      <c r="D40" s="117" t="n">
        <f aca="false">C40</f>
        <v>4</v>
      </c>
      <c r="E40" s="117" t="n">
        <v>11</v>
      </c>
      <c r="F40" s="135" t="n">
        <f aca="false">E40*D40</f>
        <v>44</v>
      </c>
      <c r="G40" s="117" t="n">
        <v>3</v>
      </c>
      <c r="H40" s="117" t="n">
        <f aca="false">C40</f>
        <v>4</v>
      </c>
      <c r="I40" s="135" t="n">
        <f aca="false">H40*G40</f>
        <v>12</v>
      </c>
      <c r="J40" s="117" t="n">
        <v>3</v>
      </c>
      <c r="K40" s="117" t="n">
        <f aca="false">C40</f>
        <v>4</v>
      </c>
      <c r="L40" s="135" t="n">
        <f aca="false">K40*J40</f>
        <v>12</v>
      </c>
      <c r="M40" s="117" t="n">
        <v>0</v>
      </c>
      <c r="N40" s="117" t="n">
        <f aca="false">C40</f>
        <v>4</v>
      </c>
      <c r="O40" s="135" t="n">
        <f aca="false">N40*M40</f>
        <v>0</v>
      </c>
      <c r="P40" s="138"/>
      <c r="Q40" s="138"/>
      <c r="R40" s="139" t="n">
        <f aca="false">Q40*P40</f>
        <v>0</v>
      </c>
    </row>
    <row r="41" customFormat="false" ht="23.25" hidden="false" customHeight="true" outlineLevel="0" collapsed="false">
      <c r="B41" s="136" t="s">
        <v>277</v>
      </c>
      <c r="C41" s="117" t="n">
        <v>1</v>
      </c>
      <c r="D41" s="117" t="n">
        <f aca="false">C41</f>
        <v>1</v>
      </c>
      <c r="E41" s="117" t="n">
        <v>6</v>
      </c>
      <c r="F41" s="135" t="n">
        <f aca="false">E41*D41</f>
        <v>6</v>
      </c>
      <c r="G41" s="117" t="n">
        <v>3</v>
      </c>
      <c r="H41" s="117" t="n">
        <f aca="false">C41</f>
        <v>1</v>
      </c>
      <c r="I41" s="135" t="n">
        <f aca="false">H41*G41</f>
        <v>3</v>
      </c>
      <c r="J41" s="117" t="n">
        <v>1</v>
      </c>
      <c r="K41" s="117" t="n">
        <f aca="false">C41</f>
        <v>1</v>
      </c>
      <c r="L41" s="135" t="n">
        <f aca="false">K41*J41</f>
        <v>1</v>
      </c>
      <c r="M41" s="117" t="n">
        <v>1</v>
      </c>
      <c r="N41" s="117" t="n">
        <f aca="false">C41</f>
        <v>1</v>
      </c>
      <c r="O41" s="135" t="n">
        <f aca="false">N41*M41</f>
        <v>1</v>
      </c>
      <c r="P41" s="138"/>
      <c r="Q41" s="138"/>
      <c r="R41" s="139" t="n">
        <f aca="false">Q41*P41</f>
        <v>0</v>
      </c>
    </row>
    <row r="42" customFormat="false" ht="23.25" hidden="false" customHeight="true" outlineLevel="0" collapsed="false">
      <c r="B42" s="136" t="s">
        <v>278</v>
      </c>
      <c r="C42" s="117" t="n">
        <v>1</v>
      </c>
      <c r="D42" s="117" t="n">
        <f aca="false">C42</f>
        <v>1</v>
      </c>
      <c r="E42" s="117" t="n">
        <v>6</v>
      </c>
      <c r="F42" s="135" t="n">
        <f aca="false">E42*D42</f>
        <v>6</v>
      </c>
      <c r="G42" s="117" t="n">
        <v>3</v>
      </c>
      <c r="H42" s="117" t="n">
        <f aca="false">C42</f>
        <v>1</v>
      </c>
      <c r="I42" s="135" t="n">
        <f aca="false">H42*G42</f>
        <v>3</v>
      </c>
      <c r="J42" s="117" t="n">
        <v>1</v>
      </c>
      <c r="K42" s="117" t="n">
        <f aca="false">C42</f>
        <v>1</v>
      </c>
      <c r="L42" s="135" t="n">
        <f aca="false">K42*J42</f>
        <v>1</v>
      </c>
      <c r="M42" s="117" t="n">
        <v>1</v>
      </c>
      <c r="N42" s="117" t="n">
        <f aca="false">C42</f>
        <v>1</v>
      </c>
      <c r="O42" s="135" t="n">
        <f aca="false">N42*M42</f>
        <v>1</v>
      </c>
      <c r="P42" s="138"/>
      <c r="Q42" s="138"/>
      <c r="R42" s="139" t="n">
        <f aca="false">Q42*P42</f>
        <v>0</v>
      </c>
    </row>
    <row r="43" customFormat="false" ht="23.25" hidden="false" customHeight="true" outlineLevel="0" collapsed="false">
      <c r="C43" s="142" t="n">
        <f aca="false">SUM(C11:C42)</f>
        <v>54</v>
      </c>
      <c r="D43" s="117"/>
      <c r="E43" s="117"/>
      <c r="F43" s="142" t="n">
        <f aca="false">SUM(F11:F42)</f>
        <v>380.86</v>
      </c>
      <c r="G43" s="117"/>
      <c r="H43" s="117"/>
      <c r="I43" s="142" t="n">
        <f aca="false">SUM(I11:I42)</f>
        <v>162</v>
      </c>
      <c r="J43" s="117"/>
      <c r="K43" s="117"/>
      <c r="L43" s="142" t="n">
        <f aca="false">SUM(L11:L42)</f>
        <v>70</v>
      </c>
      <c r="M43" s="117"/>
      <c r="N43" s="117"/>
      <c r="O43" s="142" t="n">
        <f aca="false">SUM(O11:O42)</f>
        <v>90</v>
      </c>
      <c r="P43" s="138"/>
      <c r="Q43" s="138"/>
      <c r="R43" s="142" t="n">
        <f aca="false">SUM(R11:R42)</f>
        <v>0</v>
      </c>
    </row>
    <row r="44" customFormat="false" ht="15" hidden="false" customHeight="false" outlineLevel="0" collapsed="false">
      <c r="M44" s="2"/>
      <c r="N44" s="2"/>
      <c r="O44" s="2"/>
    </row>
  </sheetData>
  <mergeCells count="12">
    <mergeCell ref="B2:R2"/>
    <mergeCell ref="C3:R3"/>
    <mergeCell ref="C4:R4"/>
    <mergeCell ref="C5:R5"/>
    <mergeCell ref="C6:R6"/>
    <mergeCell ref="C7:R7"/>
    <mergeCell ref="C9:C10"/>
    <mergeCell ref="D9:F9"/>
    <mergeCell ref="G9:I9"/>
    <mergeCell ref="J9:L9"/>
    <mergeCell ref="M9:O9"/>
    <mergeCell ref="P9:R9"/>
  </mergeCells>
  <printOptions headings="false" gridLines="false" gridLinesSet="true" horizontalCentered="false" verticalCentered="false"/>
  <pageMargins left="1.41736111111111" right="0.39375" top="1.14652777777778" bottom="0.39375" header="0.315277777777778" footer="0.511811023622047"/>
  <pageSetup paperSize="9" scale="55" fitToWidth="1" fitToHeight="1" pageOrder="downThenOver" orientation="landscape" blackAndWhite="false" draft="false" cellComments="none" horizontalDpi="300" verticalDpi="300" copies="1"/>
  <headerFooter>
    <oddHeader>&amp;C&amp;G</oddHeader>
  </headerFooter>
  <legacyDrawing r:id="rId2"/>
  <legacyDrawingHF r:id="rIdHF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B2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9" min="5" style="0" width="12"/>
    <col collapsed="false" customWidth="true" hidden="false" outlineLevel="0" max="10" min="10" style="0" width="13"/>
    <col collapsed="false" customWidth="true" hidden="false" outlineLevel="0" max="11" min="11" style="0" width="12"/>
  </cols>
  <sheetData>
    <row r="2" customFormat="false" ht="24" hidden="false" customHeight="true" outlineLevel="0" collapsed="false">
      <c r="B2" s="131" t="s">
        <v>279</v>
      </c>
      <c r="C2" s="131"/>
      <c r="D2" s="131"/>
      <c r="E2" s="131"/>
      <c r="F2" s="131"/>
      <c r="G2" s="131"/>
      <c r="H2" s="131"/>
      <c r="I2" s="131"/>
      <c r="J2" s="131"/>
      <c r="K2" s="131"/>
    </row>
    <row r="3" customFormat="false" ht="21" hidden="false" customHeight="true" outlineLevel="0" collapsed="false">
      <c r="B3" s="9" t="s">
        <v>1</v>
      </c>
      <c r="C3" s="8" t="str">
        <f aca="false">+RESUMEN!B4</f>
        <v>GERENCIA TERRITORIAL BAJO MAYO - TARAPOTO</v>
      </c>
      <c r="D3" s="8"/>
      <c r="E3" s="8"/>
      <c r="F3" s="8"/>
      <c r="G3" s="8"/>
      <c r="H3" s="8"/>
      <c r="I3" s="8"/>
      <c r="J3" s="8"/>
      <c r="K3" s="8"/>
    </row>
    <row r="4" customFormat="false" ht="75" hidden="false" customHeight="true" outlineLevel="0" collapsed="false">
      <c r="B4" s="9" t="s">
        <v>3</v>
      </c>
      <c r="C4" s="8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8"/>
      <c r="E4" s="8"/>
      <c r="F4" s="8"/>
      <c r="G4" s="8"/>
      <c r="H4" s="8"/>
      <c r="I4" s="8"/>
      <c r="J4" s="8"/>
      <c r="K4" s="8"/>
    </row>
    <row r="5" customFormat="false" ht="21" hidden="false" customHeight="true" outlineLevel="0" collapsed="false">
      <c r="B5" s="9" t="s">
        <v>5</v>
      </c>
      <c r="C5" s="8" t="str">
        <f aca="false">+RESUMEN!B6</f>
        <v>SAN MARTIN - SAN MARTIN - MORALES</v>
      </c>
      <c r="D5" s="8"/>
      <c r="E5" s="8"/>
      <c r="F5" s="8"/>
      <c r="G5" s="8"/>
      <c r="H5" s="8"/>
      <c r="I5" s="8"/>
      <c r="J5" s="8"/>
      <c r="K5" s="8"/>
    </row>
    <row r="6" customFormat="false" ht="21" hidden="false" customHeight="true" outlineLevel="0" collapsed="false">
      <c r="B6" s="9" t="s">
        <v>7</v>
      </c>
      <c r="C6" s="10" t="n">
        <f aca="false">+RESUMEN!B7</f>
        <v>46266</v>
      </c>
      <c r="D6" s="10"/>
      <c r="E6" s="10"/>
      <c r="F6" s="10"/>
      <c r="G6" s="10"/>
      <c r="H6" s="10"/>
      <c r="I6" s="10"/>
      <c r="J6" s="10"/>
      <c r="K6" s="10"/>
    </row>
    <row r="8" customFormat="false" ht="33" hidden="false" customHeight="true" outlineLevel="0" collapsed="false">
      <c r="B8" s="143" t="s">
        <v>280</v>
      </c>
      <c r="C8" s="143"/>
      <c r="D8" s="143"/>
      <c r="E8" s="143"/>
      <c r="F8" s="143"/>
      <c r="G8" s="143"/>
      <c r="H8" s="143"/>
      <c r="I8" s="143"/>
      <c r="J8" s="143"/>
      <c r="K8" s="143"/>
    </row>
    <row r="9" customFormat="false" ht="42" hidden="false" customHeight="true" outlineLevel="0" collapsed="false">
      <c r="B9" s="75" t="s">
        <v>281</v>
      </c>
      <c r="C9" s="75" t="s">
        <v>282</v>
      </c>
      <c r="D9" s="75" t="s">
        <v>283</v>
      </c>
      <c r="E9" s="75"/>
      <c r="F9" s="75" t="s">
        <v>284</v>
      </c>
      <c r="G9" s="75"/>
      <c r="H9" s="75" t="s">
        <v>285</v>
      </c>
      <c r="I9" s="75"/>
      <c r="J9" s="75" t="s">
        <v>286</v>
      </c>
      <c r="K9" s="75"/>
    </row>
    <row r="10" customFormat="false" ht="30.75" hidden="false" customHeight="true" outlineLevel="0" collapsed="false">
      <c r="B10" s="75"/>
      <c r="C10" s="75"/>
      <c r="D10" s="134" t="s">
        <v>287</v>
      </c>
      <c r="E10" s="134" t="s">
        <v>263</v>
      </c>
      <c r="F10" s="134" t="s">
        <v>252</v>
      </c>
      <c r="G10" s="134" t="s">
        <v>264</v>
      </c>
      <c r="H10" s="134" t="s">
        <v>252</v>
      </c>
      <c r="I10" s="134" t="s">
        <v>264</v>
      </c>
      <c r="J10" s="134" t="s">
        <v>252</v>
      </c>
      <c r="K10" s="134" t="s">
        <v>264</v>
      </c>
    </row>
    <row r="11" customFormat="false" ht="23.25" hidden="false" customHeight="true" outlineLevel="0" collapsed="false">
      <c r="B11" s="136" t="s">
        <v>265</v>
      </c>
      <c r="C11" s="117"/>
      <c r="D11" s="117"/>
      <c r="E11" s="117"/>
      <c r="F11" s="117"/>
      <c r="G11" s="117"/>
      <c r="H11" s="117"/>
      <c r="I11" s="117"/>
      <c r="J11" s="117"/>
      <c r="K11" s="117"/>
    </row>
    <row r="12" customFormat="false" ht="23.25" hidden="false" customHeight="true" outlineLevel="0" collapsed="false">
      <c r="B12" s="137" t="s">
        <v>288</v>
      </c>
      <c r="C12" s="117" t="n">
        <v>1</v>
      </c>
      <c r="D12" s="89" t="n">
        <v>25.33</v>
      </c>
      <c r="E12" s="144" t="n">
        <f aca="false">C12*D12</f>
        <v>25.33</v>
      </c>
      <c r="F12" s="117" t="n">
        <f aca="false">IF(D12&gt;0,ROUNDUP(D12/$F$50,0)+1,0)</f>
        <v>44</v>
      </c>
      <c r="G12" s="135" t="n">
        <f aca="false">C12*F12</f>
        <v>44</v>
      </c>
      <c r="H12" s="145" t="n">
        <f aca="false">$F$51</f>
        <v>2</v>
      </c>
      <c r="I12" s="135" t="n">
        <f aca="false">C12*H12</f>
        <v>2</v>
      </c>
      <c r="J12" s="117" t="n">
        <f aca="false">'METRADO MONTANTES'!C12</f>
        <v>3</v>
      </c>
      <c r="K12" s="135" t="n">
        <f aca="false">C12*J12</f>
        <v>3</v>
      </c>
    </row>
    <row r="13" customFormat="false" ht="23.25" hidden="false" customHeight="true" outlineLevel="0" collapsed="false">
      <c r="B13" s="137" t="s">
        <v>289</v>
      </c>
      <c r="C13" s="117" t="n">
        <v>1</v>
      </c>
      <c r="D13" s="89" t="n">
        <f aca="false">D12</f>
        <v>25.33</v>
      </c>
      <c r="E13" s="144" t="n">
        <f aca="false">C13*D13</f>
        <v>25.33</v>
      </c>
      <c r="F13" s="117" t="n">
        <f aca="false">IF(D13&gt;0,ROUNDUP(D13/$F$50,0)+1,0)</f>
        <v>44</v>
      </c>
      <c r="G13" s="135" t="n">
        <f aca="false">C13*F13</f>
        <v>44</v>
      </c>
      <c r="H13" s="145" t="n">
        <f aca="false">$F$51</f>
        <v>2</v>
      </c>
      <c r="I13" s="135" t="n">
        <f aca="false">C13*H13</f>
        <v>2</v>
      </c>
      <c r="J13" s="117" t="n">
        <f aca="false">'METRADO MONTANTES'!C13</f>
        <v>3</v>
      </c>
      <c r="K13" s="135" t="n">
        <f aca="false">C13*J13</f>
        <v>3</v>
      </c>
    </row>
    <row r="14" customFormat="false" ht="23.25" hidden="false" customHeight="true" outlineLevel="0" collapsed="false">
      <c r="B14" s="136" t="s">
        <v>268</v>
      </c>
      <c r="C14" s="117"/>
      <c r="D14" s="117"/>
      <c r="E14" s="117"/>
      <c r="F14" s="117"/>
      <c r="G14" s="117"/>
      <c r="H14" s="117"/>
      <c r="I14" s="117"/>
      <c r="J14" s="117"/>
      <c r="K14" s="117"/>
    </row>
    <row r="15" customFormat="false" ht="23.25" hidden="false" customHeight="true" outlineLevel="0" collapsed="false">
      <c r="B15" s="137" t="s">
        <v>288</v>
      </c>
      <c r="C15" s="117" t="n">
        <v>1</v>
      </c>
      <c r="D15" s="89" t="n">
        <v>14.33</v>
      </c>
      <c r="E15" s="144" t="n">
        <f aca="false">C15*D15</f>
        <v>14.33</v>
      </c>
      <c r="F15" s="117" t="n">
        <f aca="false">IF(D15&gt;0,ROUNDUP(D15/$F$50,0)+1,0)</f>
        <v>25</v>
      </c>
      <c r="G15" s="135" t="n">
        <f aca="false">C15*F15</f>
        <v>25</v>
      </c>
      <c r="H15" s="145" t="n">
        <f aca="false">$F$51</f>
        <v>2</v>
      </c>
      <c r="I15" s="135" t="n">
        <f aca="false">C15*H15</f>
        <v>2</v>
      </c>
      <c r="J15" s="117" t="n">
        <f aca="false">'METRADO MONTANTES'!C15</f>
        <v>2</v>
      </c>
      <c r="K15" s="135" t="n">
        <f aca="false">C15*J15</f>
        <v>2</v>
      </c>
    </row>
    <row r="16" customFormat="false" ht="23.25" hidden="false" customHeight="true" outlineLevel="0" collapsed="false">
      <c r="B16" s="137" t="s">
        <v>289</v>
      </c>
      <c r="C16" s="117" t="n">
        <v>1</v>
      </c>
      <c r="D16" s="89" t="n">
        <f aca="false">D15</f>
        <v>14.33</v>
      </c>
      <c r="E16" s="144" t="n">
        <f aca="false">C16*D16</f>
        <v>14.33</v>
      </c>
      <c r="F16" s="117" t="n">
        <f aca="false">IF(D16&gt;0,ROUNDUP(D16/$F$50,0)+1,0)</f>
        <v>25</v>
      </c>
      <c r="G16" s="135" t="n">
        <f aca="false">C16*F16</f>
        <v>25</v>
      </c>
      <c r="H16" s="145" t="n">
        <f aca="false">$F$51</f>
        <v>2</v>
      </c>
      <c r="I16" s="135" t="n">
        <f aca="false">C16*H16</f>
        <v>2</v>
      </c>
      <c r="J16" s="117" t="n">
        <f aca="false">'METRADO MONTANTES'!C16</f>
        <v>2</v>
      </c>
      <c r="K16" s="135" t="n">
        <f aca="false">C16*J16</f>
        <v>2</v>
      </c>
    </row>
    <row r="17" customFormat="false" ht="23.25" hidden="false" customHeight="true" outlineLevel="0" collapsed="false">
      <c r="B17" s="136" t="s">
        <v>269</v>
      </c>
      <c r="C17" s="117"/>
      <c r="D17" s="117"/>
      <c r="E17" s="117"/>
      <c r="F17" s="117"/>
      <c r="G17" s="117"/>
      <c r="H17" s="117"/>
      <c r="I17" s="117"/>
      <c r="J17" s="117"/>
      <c r="K17" s="117"/>
    </row>
    <row r="18" customFormat="false" ht="23.25" hidden="false" customHeight="true" outlineLevel="0" collapsed="false">
      <c r="B18" s="137" t="s">
        <v>288</v>
      </c>
      <c r="C18" s="117" t="n">
        <v>1</v>
      </c>
      <c r="D18" s="89" t="n">
        <v>17.33</v>
      </c>
      <c r="E18" s="144" t="n">
        <f aca="false">C18*D18</f>
        <v>17.33</v>
      </c>
      <c r="F18" s="117" t="n">
        <f aca="false">IF(D18&gt;0,ROUNDUP(D18/$F$50,0)+1,0)</f>
        <v>30</v>
      </c>
      <c r="G18" s="135" t="n">
        <f aca="false">C18*F18</f>
        <v>30</v>
      </c>
      <c r="H18" s="145" t="n">
        <f aca="false">$F$51</f>
        <v>2</v>
      </c>
      <c r="I18" s="135" t="n">
        <f aca="false">C18*H18</f>
        <v>2</v>
      </c>
      <c r="J18" s="117" t="n">
        <f aca="false">'METRADO MONTANTES'!C18</f>
        <v>2</v>
      </c>
      <c r="K18" s="135" t="n">
        <f aca="false">C18*J18</f>
        <v>2</v>
      </c>
    </row>
    <row r="19" customFormat="false" ht="23.25" hidden="false" customHeight="true" outlineLevel="0" collapsed="false">
      <c r="B19" s="137" t="s">
        <v>289</v>
      </c>
      <c r="C19" s="117" t="n">
        <v>1</v>
      </c>
      <c r="D19" s="89" t="n">
        <f aca="false">D18</f>
        <v>17.33</v>
      </c>
      <c r="E19" s="144" t="n">
        <f aca="false">C19*D19</f>
        <v>17.33</v>
      </c>
      <c r="F19" s="117" t="n">
        <f aca="false">IF(D19&gt;0,ROUNDUP(D19/$F$50,0)+1,0)</f>
        <v>30</v>
      </c>
      <c r="G19" s="135" t="n">
        <f aca="false">C19*F19</f>
        <v>30</v>
      </c>
      <c r="H19" s="145" t="n">
        <f aca="false">$F$51</f>
        <v>2</v>
      </c>
      <c r="I19" s="135" t="n">
        <f aca="false">C19*H19</f>
        <v>2</v>
      </c>
      <c r="J19" s="117" t="n">
        <f aca="false">'METRADO MONTANTES'!C19</f>
        <v>2</v>
      </c>
      <c r="K19" s="135" t="n">
        <f aca="false">C19*J19</f>
        <v>2</v>
      </c>
    </row>
    <row r="20" customFormat="false" ht="23.25" hidden="false" customHeight="true" outlineLevel="0" collapsed="false">
      <c r="B20" s="136" t="s">
        <v>270</v>
      </c>
      <c r="C20" s="117"/>
      <c r="D20" s="117"/>
      <c r="E20" s="117"/>
      <c r="F20" s="117"/>
      <c r="G20" s="117"/>
      <c r="H20" s="117"/>
      <c r="I20" s="117"/>
      <c r="J20" s="117"/>
      <c r="K20" s="117"/>
    </row>
    <row r="21" customFormat="false" ht="23.25" hidden="false" customHeight="true" outlineLevel="0" collapsed="false">
      <c r="B21" s="137" t="s">
        <v>288</v>
      </c>
      <c r="C21" s="117" t="n">
        <v>1</v>
      </c>
      <c r="D21" s="89" t="n">
        <v>38.13</v>
      </c>
      <c r="E21" s="144" t="n">
        <f aca="false">C21*D21</f>
        <v>38.13</v>
      </c>
      <c r="F21" s="117" t="n">
        <f aca="false">IF(D21&gt;0,ROUNDUP(D21/$F$50,0)+1,0)</f>
        <v>65</v>
      </c>
      <c r="G21" s="135" t="n">
        <f aca="false">C21*F21</f>
        <v>65</v>
      </c>
      <c r="H21" s="145" t="n">
        <f aca="false">$F$51</f>
        <v>2</v>
      </c>
      <c r="I21" s="135" t="n">
        <f aca="false">C21*H21</f>
        <v>2</v>
      </c>
      <c r="J21" s="117" t="n">
        <f aca="false">'METRADO MONTANTES'!C21</f>
        <v>3</v>
      </c>
      <c r="K21" s="135" t="n">
        <f aca="false">C21*J21</f>
        <v>3</v>
      </c>
    </row>
    <row r="22" customFormat="false" ht="23.25" hidden="false" customHeight="true" outlineLevel="0" collapsed="false">
      <c r="B22" s="137" t="s">
        <v>289</v>
      </c>
      <c r="C22" s="117" t="n">
        <v>1</v>
      </c>
      <c r="D22" s="89" t="n">
        <f aca="false">D21</f>
        <v>38.13</v>
      </c>
      <c r="E22" s="144" t="n">
        <f aca="false">C22*D22</f>
        <v>38.13</v>
      </c>
      <c r="F22" s="117" t="n">
        <f aca="false">IF(D22&gt;0,ROUNDUP(D22/$F$50,0)+1,0)</f>
        <v>65</v>
      </c>
      <c r="G22" s="135" t="n">
        <f aca="false">C22*F22</f>
        <v>65</v>
      </c>
      <c r="H22" s="145" t="n">
        <f aca="false">$F$51</f>
        <v>2</v>
      </c>
      <c r="I22" s="135" t="n">
        <f aca="false">C22*H22</f>
        <v>2</v>
      </c>
      <c r="J22" s="117" t="n">
        <f aca="false">'METRADO MONTANTES'!C22</f>
        <v>3</v>
      </c>
      <c r="K22" s="135" t="n">
        <f aca="false">C22*J22</f>
        <v>3</v>
      </c>
    </row>
    <row r="23" customFormat="false" ht="23.25" hidden="false" customHeight="true" outlineLevel="0" collapsed="false">
      <c r="B23" s="136" t="s">
        <v>271</v>
      </c>
      <c r="C23" s="117"/>
      <c r="D23" s="117"/>
      <c r="E23" s="117"/>
      <c r="F23" s="117"/>
      <c r="G23" s="117"/>
      <c r="H23" s="117"/>
      <c r="I23" s="117"/>
      <c r="J23" s="117"/>
      <c r="K23" s="117"/>
    </row>
    <row r="24" customFormat="false" ht="23.25" hidden="false" customHeight="true" outlineLevel="0" collapsed="false">
      <c r="B24" s="137" t="s">
        <v>288</v>
      </c>
      <c r="C24" s="117" t="n">
        <v>1</v>
      </c>
      <c r="D24" s="89" t="n">
        <v>32.31</v>
      </c>
      <c r="E24" s="144" t="n">
        <f aca="false">C24*D24</f>
        <v>32.31</v>
      </c>
      <c r="F24" s="117" t="n">
        <f aca="false">IF(D24&gt;0,ROUNDUP(D24/$F$50,0)+1,0)</f>
        <v>55</v>
      </c>
      <c r="G24" s="135" t="n">
        <f aca="false">C24*F24</f>
        <v>55</v>
      </c>
      <c r="H24" s="145" t="n">
        <f aca="false">$F$51</f>
        <v>2</v>
      </c>
      <c r="I24" s="135" t="n">
        <f aca="false">C24*H24</f>
        <v>2</v>
      </c>
      <c r="J24" s="117" t="n">
        <f aca="false">'METRADO MONTANTES'!C24</f>
        <v>3</v>
      </c>
      <c r="K24" s="135" t="n">
        <f aca="false">C24*J24</f>
        <v>3</v>
      </c>
    </row>
    <row r="25" customFormat="false" ht="23.25" hidden="false" customHeight="true" outlineLevel="0" collapsed="false">
      <c r="B25" s="137" t="s">
        <v>289</v>
      </c>
      <c r="C25" s="117" t="n">
        <v>1</v>
      </c>
      <c r="D25" s="89" t="n">
        <f aca="false">D24</f>
        <v>32.31</v>
      </c>
      <c r="E25" s="144" t="n">
        <f aca="false">C25*D25</f>
        <v>32.31</v>
      </c>
      <c r="F25" s="117" t="n">
        <f aca="false">IF(D25&gt;0,ROUNDUP(D25/$F$50,0)+1,0)</f>
        <v>55</v>
      </c>
      <c r="G25" s="135" t="n">
        <f aca="false">C25*F25</f>
        <v>55</v>
      </c>
      <c r="H25" s="145" t="n">
        <f aca="false">$F$51</f>
        <v>2</v>
      </c>
      <c r="I25" s="135" t="n">
        <f aca="false">C25*H25</f>
        <v>2</v>
      </c>
      <c r="J25" s="117" t="n">
        <f aca="false">'METRADO MONTANTES'!C25</f>
        <v>3</v>
      </c>
      <c r="K25" s="135" t="n">
        <f aca="false">C25*J25</f>
        <v>3</v>
      </c>
    </row>
    <row r="26" customFormat="false" ht="23.25" hidden="false" customHeight="true" outlineLevel="0" collapsed="false">
      <c r="B26" s="136" t="s">
        <v>272</v>
      </c>
      <c r="C26" s="117"/>
      <c r="D26" s="117"/>
      <c r="E26" s="117"/>
      <c r="F26" s="117"/>
      <c r="G26" s="117"/>
      <c r="H26" s="117"/>
      <c r="I26" s="117"/>
      <c r="J26" s="117"/>
      <c r="K26" s="117"/>
    </row>
    <row r="27" customFormat="false" ht="23.25" hidden="false" customHeight="true" outlineLevel="0" collapsed="false">
      <c r="B27" s="137" t="s">
        <v>288</v>
      </c>
      <c r="C27" s="117" t="n">
        <v>1</v>
      </c>
      <c r="D27" s="89" t="n">
        <v>20.73</v>
      </c>
      <c r="E27" s="144" t="n">
        <f aca="false">C27*D27</f>
        <v>20.73</v>
      </c>
      <c r="F27" s="117" t="n">
        <f aca="false">IF(D27&gt;0,ROUNDUP(D27/$F$50,0)+1,0)</f>
        <v>36</v>
      </c>
      <c r="G27" s="135" t="n">
        <f aca="false">C27*F27</f>
        <v>36</v>
      </c>
      <c r="H27" s="145" t="n">
        <f aca="false">$F$51</f>
        <v>2</v>
      </c>
      <c r="I27" s="135" t="n">
        <f aca="false">C27*H27</f>
        <v>2</v>
      </c>
      <c r="J27" s="117" t="n">
        <f aca="false">'METRADO MONTANTES'!C27</f>
        <v>2</v>
      </c>
      <c r="K27" s="135" t="n">
        <f aca="false">C27*J27</f>
        <v>2</v>
      </c>
    </row>
    <row r="28" customFormat="false" ht="23.25" hidden="false" customHeight="true" outlineLevel="0" collapsed="false">
      <c r="B28" s="137" t="s">
        <v>289</v>
      </c>
      <c r="C28" s="117" t="n">
        <v>1</v>
      </c>
      <c r="D28" s="89" t="n">
        <f aca="false">D27</f>
        <v>20.73</v>
      </c>
      <c r="E28" s="144" t="n">
        <f aca="false">C28*D28</f>
        <v>20.73</v>
      </c>
      <c r="F28" s="117" t="n">
        <f aca="false">IF(D28&gt;0,ROUNDUP(D28/$F$50,0)+1,0)</f>
        <v>36</v>
      </c>
      <c r="G28" s="135" t="n">
        <f aca="false">C28*F28</f>
        <v>36</v>
      </c>
      <c r="H28" s="145" t="n">
        <f aca="false">$F$51</f>
        <v>2</v>
      </c>
      <c r="I28" s="135" t="n">
        <f aca="false">C28*H28</f>
        <v>2</v>
      </c>
      <c r="J28" s="117" t="n">
        <f aca="false">'METRADO MONTANTES'!C28</f>
        <v>2</v>
      </c>
      <c r="K28" s="135" t="n">
        <f aca="false">C28*J28</f>
        <v>2</v>
      </c>
    </row>
    <row r="29" customFormat="false" ht="23.25" hidden="false" customHeight="true" outlineLevel="0" collapsed="false">
      <c r="B29" s="136" t="s">
        <v>273</v>
      </c>
      <c r="C29" s="117"/>
      <c r="D29" s="117"/>
      <c r="E29" s="117"/>
      <c r="F29" s="117"/>
      <c r="G29" s="117"/>
      <c r="H29" s="117"/>
      <c r="I29" s="117"/>
      <c r="J29" s="117"/>
      <c r="K29" s="117"/>
    </row>
    <row r="30" customFormat="false" ht="23.25" hidden="false" customHeight="true" outlineLevel="0" collapsed="false">
      <c r="B30" s="137" t="s">
        <v>288</v>
      </c>
      <c r="C30" s="117" t="n">
        <v>1</v>
      </c>
      <c r="D30" s="89" t="n">
        <v>38.13</v>
      </c>
      <c r="E30" s="144" t="n">
        <f aca="false">C30*D30</f>
        <v>38.13</v>
      </c>
      <c r="F30" s="117" t="n">
        <f aca="false">IF(D30&gt;0,ROUNDUP(D30/$F$50,0)+1,0)</f>
        <v>65</v>
      </c>
      <c r="G30" s="135" t="n">
        <f aca="false">C30*F30</f>
        <v>65</v>
      </c>
      <c r="H30" s="145" t="n">
        <f aca="false">$F$51</f>
        <v>2</v>
      </c>
      <c r="I30" s="135" t="n">
        <f aca="false">C30*H30</f>
        <v>2</v>
      </c>
      <c r="J30" s="117" t="n">
        <f aca="false">'METRADO MONTANTES'!C30</f>
        <v>3</v>
      </c>
      <c r="K30" s="135" t="n">
        <f aca="false">C30*J30</f>
        <v>3</v>
      </c>
    </row>
    <row r="31" customFormat="false" ht="23.25" hidden="false" customHeight="true" outlineLevel="0" collapsed="false">
      <c r="B31" s="137" t="s">
        <v>289</v>
      </c>
      <c r="C31" s="117" t="n">
        <v>1</v>
      </c>
      <c r="D31" s="89" t="n">
        <f aca="false">D30</f>
        <v>38.13</v>
      </c>
      <c r="E31" s="144" t="n">
        <f aca="false">C31*D31</f>
        <v>38.13</v>
      </c>
      <c r="F31" s="117" t="n">
        <f aca="false">IF(D31&gt;0,ROUNDUP(D31/$F$50,0)+1,0)</f>
        <v>65</v>
      </c>
      <c r="G31" s="135" t="n">
        <f aca="false">C31*F31</f>
        <v>65</v>
      </c>
      <c r="H31" s="145" t="n">
        <f aca="false">$F$51</f>
        <v>2</v>
      </c>
      <c r="I31" s="135" t="n">
        <f aca="false">C31*H31</f>
        <v>2</v>
      </c>
      <c r="J31" s="117" t="n">
        <f aca="false">'METRADO MONTANTES'!C31</f>
        <v>3</v>
      </c>
      <c r="K31" s="135" t="n">
        <f aca="false">C31*J31</f>
        <v>3</v>
      </c>
    </row>
    <row r="32" customFormat="false" ht="23.25" hidden="false" customHeight="true" outlineLevel="0" collapsed="false">
      <c r="B32" s="136" t="s">
        <v>274</v>
      </c>
      <c r="C32" s="117"/>
      <c r="D32" s="117"/>
      <c r="E32" s="117"/>
      <c r="F32" s="117"/>
      <c r="G32" s="117"/>
      <c r="H32" s="117"/>
      <c r="I32" s="117"/>
      <c r="J32" s="117"/>
      <c r="K32" s="117"/>
    </row>
    <row r="33" customFormat="false" ht="23.25" hidden="false" customHeight="true" outlineLevel="0" collapsed="false">
      <c r="B33" s="137" t="s">
        <v>288</v>
      </c>
      <c r="C33" s="117" t="n">
        <v>1</v>
      </c>
      <c r="D33" s="89" t="n">
        <v>20.73</v>
      </c>
      <c r="E33" s="144" t="n">
        <f aca="false">C33*D33</f>
        <v>20.73</v>
      </c>
      <c r="F33" s="117" t="n">
        <f aca="false">IF(D33&gt;0,ROUNDUP(D33/$F$50,0)+1,0)</f>
        <v>36</v>
      </c>
      <c r="G33" s="135" t="n">
        <f aca="false">C33*F33</f>
        <v>36</v>
      </c>
      <c r="H33" s="145" t="n">
        <f aca="false">$F$51</f>
        <v>2</v>
      </c>
      <c r="I33" s="135" t="n">
        <f aca="false">C33*H33</f>
        <v>2</v>
      </c>
      <c r="J33" s="117" t="n">
        <f aca="false">'METRADO MONTANTES'!C33</f>
        <v>2</v>
      </c>
      <c r="K33" s="135" t="n">
        <f aca="false">C33*J33</f>
        <v>2</v>
      </c>
    </row>
    <row r="34" customFormat="false" ht="23.25" hidden="false" customHeight="true" outlineLevel="0" collapsed="false">
      <c r="B34" s="137" t="s">
        <v>289</v>
      </c>
      <c r="C34" s="117" t="n">
        <v>1</v>
      </c>
      <c r="D34" s="89" t="n">
        <f aca="false">D33</f>
        <v>20.73</v>
      </c>
      <c r="E34" s="144" t="n">
        <f aca="false">C34*D34</f>
        <v>20.73</v>
      </c>
      <c r="F34" s="117" t="n">
        <f aca="false">IF(D34&gt;0,ROUNDUP(D34/$F$50,0)+1,0)</f>
        <v>36</v>
      </c>
      <c r="G34" s="135" t="n">
        <f aca="false">C34*F34</f>
        <v>36</v>
      </c>
      <c r="H34" s="145" t="n">
        <f aca="false">$F$51</f>
        <v>2</v>
      </c>
      <c r="I34" s="135" t="n">
        <f aca="false">C34*H34</f>
        <v>2</v>
      </c>
      <c r="J34" s="117" t="n">
        <f aca="false">'METRADO MONTANTES'!C34</f>
        <v>2</v>
      </c>
      <c r="K34" s="135" t="n">
        <f aca="false">C34*J34</f>
        <v>2</v>
      </c>
    </row>
    <row r="35" customFormat="false" ht="23.25" hidden="false" customHeight="true" outlineLevel="0" collapsed="false">
      <c r="B35" s="136" t="s">
        <v>275</v>
      </c>
      <c r="C35" s="117"/>
      <c r="D35" s="117"/>
      <c r="E35" s="117"/>
      <c r="F35" s="117"/>
      <c r="G35" s="117"/>
      <c r="H35" s="117"/>
      <c r="I35" s="117"/>
      <c r="J35" s="117"/>
      <c r="K35" s="117"/>
    </row>
    <row r="36" customFormat="false" ht="23.25" hidden="false" customHeight="true" outlineLevel="0" collapsed="false">
      <c r="B36" s="137" t="s">
        <v>288</v>
      </c>
      <c r="C36" s="117" t="n">
        <v>1</v>
      </c>
      <c r="D36" s="89" t="n">
        <v>14.77</v>
      </c>
      <c r="E36" s="144" t="n">
        <f aca="false">C36*D36</f>
        <v>14.77</v>
      </c>
      <c r="F36" s="117" t="n">
        <f aca="false">IF(D36&gt;0,ROUNDUP(D36/$F$50,0)+1,0)</f>
        <v>26</v>
      </c>
      <c r="G36" s="135" t="n">
        <f aca="false">C36*F36</f>
        <v>26</v>
      </c>
      <c r="H36" s="145" t="n">
        <f aca="false">$F$51</f>
        <v>2</v>
      </c>
      <c r="I36" s="135" t="n">
        <f aca="false">C36*H36</f>
        <v>2</v>
      </c>
      <c r="J36" s="117" t="n">
        <f aca="false">'METRADO MONTANTES'!C36</f>
        <v>2</v>
      </c>
      <c r="K36" s="135" t="n">
        <f aca="false">C36*J36</f>
        <v>2</v>
      </c>
    </row>
    <row r="37" customFormat="false" ht="23.25" hidden="false" customHeight="true" outlineLevel="0" collapsed="false">
      <c r="B37" s="137" t="s">
        <v>289</v>
      </c>
      <c r="C37" s="117" t="n">
        <v>1</v>
      </c>
      <c r="D37" s="89" t="n">
        <f aca="false">D36</f>
        <v>14.77</v>
      </c>
      <c r="E37" s="144" t="n">
        <f aca="false">C37*D37</f>
        <v>14.77</v>
      </c>
      <c r="F37" s="117" t="n">
        <f aca="false">IF(D37&gt;0,ROUNDUP(D37/$F$50,0)+1,0)</f>
        <v>26</v>
      </c>
      <c r="G37" s="135" t="n">
        <f aca="false">C37*F37</f>
        <v>26</v>
      </c>
      <c r="H37" s="145" t="n">
        <f aca="false">$F$51</f>
        <v>2</v>
      </c>
      <c r="I37" s="135" t="n">
        <f aca="false">C37*H37</f>
        <v>2</v>
      </c>
      <c r="J37" s="117" t="n">
        <f aca="false">'METRADO MONTANTES'!C37</f>
        <v>2</v>
      </c>
      <c r="K37" s="135" t="n">
        <f aca="false">C37*J37</f>
        <v>2</v>
      </c>
    </row>
    <row r="38" customFormat="false" ht="23.25" hidden="false" customHeight="true" outlineLevel="0" collapsed="false">
      <c r="B38" s="136" t="s">
        <v>276</v>
      </c>
      <c r="C38" s="117"/>
      <c r="D38" s="117"/>
      <c r="E38" s="117"/>
      <c r="F38" s="117"/>
      <c r="G38" s="117"/>
      <c r="H38" s="117"/>
      <c r="I38" s="117"/>
      <c r="J38" s="117"/>
      <c r="K38" s="117"/>
    </row>
    <row r="39" customFormat="false" ht="23.25" hidden="false" customHeight="true" outlineLevel="0" collapsed="false">
      <c r="B39" s="137" t="s">
        <v>288</v>
      </c>
      <c r="C39" s="117" t="n">
        <v>1</v>
      </c>
      <c r="D39" s="89" t="n">
        <v>35.2</v>
      </c>
      <c r="E39" s="144" t="n">
        <f aca="false">C39*D39</f>
        <v>35.2</v>
      </c>
      <c r="F39" s="117" t="n">
        <f aca="false">IF(D39&gt;0,ROUNDUP(D39/$F$50,0)+1,0)</f>
        <v>60</v>
      </c>
      <c r="G39" s="135" t="n">
        <f aca="false">C39*F39</f>
        <v>60</v>
      </c>
      <c r="H39" s="145" t="n">
        <f aca="false">$F$51</f>
        <v>2</v>
      </c>
      <c r="I39" s="135" t="n">
        <f aca="false">C39*H39</f>
        <v>2</v>
      </c>
      <c r="J39" s="117" t="n">
        <f aca="false">'METRADO MONTANTES'!C39</f>
        <v>4</v>
      </c>
      <c r="K39" s="135" t="n">
        <f aca="false">C39*J39</f>
        <v>4</v>
      </c>
    </row>
    <row r="40" customFormat="false" ht="23.25" hidden="false" customHeight="true" outlineLevel="0" collapsed="false">
      <c r="B40" s="137" t="s">
        <v>289</v>
      </c>
      <c r="C40" s="117" t="n">
        <v>1</v>
      </c>
      <c r="D40" s="89" t="n">
        <f aca="false">D39</f>
        <v>35.2</v>
      </c>
      <c r="E40" s="144" t="n">
        <f aca="false">C40*D40</f>
        <v>35.2</v>
      </c>
      <c r="F40" s="117" t="n">
        <f aca="false">IF(D40&gt;0,ROUNDUP(D40/$F$50,0)+1,0)</f>
        <v>60</v>
      </c>
      <c r="G40" s="135" t="n">
        <f aca="false">C40*F40</f>
        <v>60</v>
      </c>
      <c r="H40" s="145" t="n">
        <f aca="false">$F$51</f>
        <v>2</v>
      </c>
      <c r="I40" s="135" t="n">
        <f aca="false">C40*H40</f>
        <v>2</v>
      </c>
      <c r="J40" s="117" t="n">
        <f aca="false">'METRADO MONTANTES'!C40</f>
        <v>4</v>
      </c>
      <c r="K40" s="135" t="n">
        <f aca="false">C40*J40</f>
        <v>4</v>
      </c>
    </row>
    <row r="41" customFormat="false" ht="23.25" hidden="false" customHeight="true" outlineLevel="0" collapsed="false">
      <c r="B41" s="142" t="s">
        <v>150</v>
      </c>
      <c r="C41" s="142" t="n">
        <f aca="false">SUM(C11:C40)</f>
        <v>20</v>
      </c>
      <c r="D41" s="142"/>
      <c r="E41" s="146" t="n">
        <f aca="false">SUM(E11:E40)</f>
        <v>513.98</v>
      </c>
      <c r="F41" s="142"/>
      <c r="G41" s="142" t="n">
        <f aca="false">SUM(G11:G40)</f>
        <v>884</v>
      </c>
      <c r="H41" s="142"/>
      <c r="I41" s="142" t="n">
        <f aca="false">SUM(I11:I40)</f>
        <v>40</v>
      </c>
      <c r="J41" s="142"/>
      <c r="K41" s="142" t="n">
        <f aca="false">SUM(K11:K40)</f>
        <v>52</v>
      </c>
    </row>
    <row r="43" customFormat="false" ht="15" hidden="false" customHeight="false" outlineLevel="0" collapsed="false">
      <c r="B43" s="147" t="s">
        <v>290</v>
      </c>
      <c r="C43" s="147"/>
      <c r="D43" s="147"/>
      <c r="E43" s="147"/>
      <c r="F43" s="147"/>
      <c r="G43" s="147"/>
      <c r="H43" s="147"/>
      <c r="I43" s="147"/>
      <c r="J43" s="147"/>
      <c r="K43" s="147"/>
    </row>
    <row r="44" customFormat="false" ht="15" hidden="false" customHeight="false" outlineLevel="0" collapsed="false">
      <c r="B44" s="148" t="s">
        <v>291</v>
      </c>
      <c r="C44" s="148"/>
      <c r="D44" s="148"/>
      <c r="E44" s="148"/>
      <c r="F44" s="148" t="s">
        <v>292</v>
      </c>
      <c r="G44" s="148" t="s">
        <v>293</v>
      </c>
      <c r="H44" s="148" t="s">
        <v>294</v>
      </c>
      <c r="I44" s="148"/>
      <c r="J44" s="148"/>
      <c r="K44" s="148"/>
    </row>
    <row r="45" customFormat="false" ht="18" hidden="false" customHeight="true" outlineLevel="0" collapsed="false">
      <c r="B45" s="149" t="s">
        <v>295</v>
      </c>
      <c r="C45" s="149"/>
      <c r="D45" s="149"/>
      <c r="E45" s="149"/>
      <c r="F45" s="150" t="n">
        <v>0.25</v>
      </c>
      <c r="G45" s="151" t="s">
        <v>57</v>
      </c>
      <c r="H45" s="149" t="s">
        <v>296</v>
      </c>
      <c r="I45" s="149"/>
      <c r="J45" s="149"/>
      <c r="K45" s="149"/>
    </row>
    <row r="46" customFormat="false" ht="18" hidden="false" customHeight="true" outlineLevel="0" collapsed="false">
      <c r="B46" s="149" t="s">
        <v>297</v>
      </c>
      <c r="C46" s="149"/>
      <c r="D46" s="149"/>
      <c r="E46" s="149"/>
      <c r="F46" s="150" t="n">
        <v>0.2</v>
      </c>
      <c r="G46" s="151" t="s">
        <v>57</v>
      </c>
      <c r="H46" s="149" t="s">
        <v>296</v>
      </c>
      <c r="I46" s="149"/>
      <c r="J46" s="149"/>
      <c r="K46" s="149"/>
    </row>
    <row r="47" customFormat="false" ht="18" hidden="false" customHeight="true" outlineLevel="0" collapsed="false">
      <c r="B47" s="149" t="s">
        <v>298</v>
      </c>
      <c r="C47" s="149"/>
      <c r="D47" s="149"/>
      <c r="E47" s="149"/>
      <c r="F47" s="150" t="n">
        <v>0.05</v>
      </c>
      <c r="G47" s="151" t="s">
        <v>57</v>
      </c>
      <c r="H47" s="149" t="s">
        <v>299</v>
      </c>
      <c r="I47" s="149"/>
      <c r="J47" s="149"/>
      <c r="K47" s="149"/>
    </row>
    <row r="48" customFormat="false" ht="18" hidden="false" customHeight="true" outlineLevel="0" collapsed="false">
      <c r="B48" s="149" t="s">
        <v>300</v>
      </c>
      <c r="C48" s="149"/>
      <c r="D48" s="149"/>
      <c r="E48" s="149"/>
      <c r="F48" s="150" t="n">
        <f aca="false">F45+2*F46+2*F47</f>
        <v>0.75</v>
      </c>
      <c r="G48" s="151" t="s">
        <v>57</v>
      </c>
      <c r="H48" s="149" t="s">
        <v>301</v>
      </c>
      <c r="I48" s="149"/>
      <c r="J48" s="149"/>
      <c r="K48" s="149"/>
    </row>
    <row r="49" customFormat="false" ht="30.75" hidden="false" customHeight="true" outlineLevel="0" collapsed="false">
      <c r="B49" s="149" t="s">
        <v>302</v>
      </c>
      <c r="C49" s="149"/>
      <c r="D49" s="149"/>
      <c r="E49" s="149"/>
      <c r="F49" s="152" t="n">
        <v>0.9</v>
      </c>
      <c r="G49" s="151" t="s">
        <v>303</v>
      </c>
      <c r="H49" s="149" t="s">
        <v>304</v>
      </c>
      <c r="I49" s="149"/>
      <c r="J49" s="149"/>
      <c r="K49" s="149"/>
    </row>
    <row r="50" customFormat="false" ht="30.75" hidden="false" customHeight="true" outlineLevel="0" collapsed="false">
      <c r="B50" s="149" t="s">
        <v>305</v>
      </c>
      <c r="C50" s="149"/>
      <c r="D50" s="149"/>
      <c r="E50" s="149"/>
      <c r="F50" s="150" t="n">
        <v>0.6</v>
      </c>
      <c r="G50" s="151" t="s">
        <v>57</v>
      </c>
      <c r="H50" s="149" t="s">
        <v>306</v>
      </c>
      <c r="I50" s="149"/>
      <c r="J50" s="149"/>
      <c r="K50" s="149"/>
    </row>
    <row r="51" customFormat="false" ht="18" hidden="false" customHeight="true" outlineLevel="0" collapsed="false">
      <c r="B51" s="149" t="s">
        <v>307</v>
      </c>
      <c r="C51" s="149"/>
      <c r="D51" s="149"/>
      <c r="E51" s="149"/>
      <c r="F51" s="153" t="n">
        <v>2</v>
      </c>
      <c r="G51" s="151" t="s">
        <v>60</v>
      </c>
      <c r="H51" s="149" t="s">
        <v>308</v>
      </c>
      <c r="I51" s="149"/>
      <c r="J51" s="149"/>
      <c r="K51" s="149"/>
    </row>
    <row r="52" customFormat="false" ht="30.75" hidden="false" customHeight="true" outlineLevel="0" collapsed="false">
      <c r="B52" s="154" t="s">
        <v>309</v>
      </c>
      <c r="C52" s="154"/>
      <c r="D52" s="154"/>
      <c r="E52" s="154"/>
      <c r="F52" s="155" t="n">
        <f aca="false">E41*F48</f>
        <v>385.485</v>
      </c>
      <c r="G52" s="156" t="s">
        <v>18</v>
      </c>
      <c r="H52" s="154" t="s">
        <v>310</v>
      </c>
      <c r="I52" s="154"/>
      <c r="J52" s="154"/>
      <c r="K52" s="154"/>
    </row>
  </sheetData>
  <mergeCells count="31">
    <mergeCell ref="B2:K2"/>
    <mergeCell ref="C3:K3"/>
    <mergeCell ref="C4:K4"/>
    <mergeCell ref="C5:K5"/>
    <mergeCell ref="C6:K6"/>
    <mergeCell ref="B8:K8"/>
    <mergeCell ref="B9:B10"/>
    <mergeCell ref="C9:C10"/>
    <mergeCell ref="D9:E9"/>
    <mergeCell ref="F9:G9"/>
    <mergeCell ref="H9:I9"/>
    <mergeCell ref="J9:K9"/>
    <mergeCell ref="B43:K43"/>
    <mergeCell ref="B44:E44"/>
    <mergeCell ref="H44:K44"/>
    <mergeCell ref="B45:E45"/>
    <mergeCell ref="H45:K45"/>
    <mergeCell ref="B46:E46"/>
    <mergeCell ref="H46:K46"/>
    <mergeCell ref="B47:E47"/>
    <mergeCell ref="H47:K47"/>
    <mergeCell ref="B48:E48"/>
    <mergeCell ref="H48:K48"/>
    <mergeCell ref="B49:E49"/>
    <mergeCell ref="H49:K49"/>
    <mergeCell ref="B50:E50"/>
    <mergeCell ref="H50:K50"/>
    <mergeCell ref="B51:E51"/>
    <mergeCell ref="H51:K51"/>
    <mergeCell ref="B52:E52"/>
    <mergeCell ref="H52:K52"/>
  </mergeCells>
  <printOptions headings="false" gridLines="false" gridLinesSet="true" horizontalCentered="true" verticalCentered="false"/>
  <pageMargins left="1.41736111111111" right="0.39375" top="1.14652777777778" bottom="0.39375" header="0.315277777777778" footer="0.511811023622047"/>
  <pageSetup paperSize="9" scale="100" fitToWidth="1" fitToHeight="0" pageOrder="downThenOver" orientation="portrait" blackAndWhite="false" draft="false" cellComments="none" horizontalDpi="300" verticalDpi="300" copies="1"/>
  <headerFooter>
    <oddHeader>&amp;C&amp;G</oddHeader>
  </headerFooter>
  <legacyDrawing r:id="rId2"/>
  <legacyDrawingHF r:id="rIdHF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15" workbookViewId="0">
      <selection pane="topLeft" activeCell="F17" activeCellId="0" sqref="F17"/>
    </sheetView>
  </sheetViews>
  <sheetFormatPr defaultColWidth="10.91015625" defaultRowHeight="13.5" zeroHeight="false" outlineLevelRow="0" outlineLevelCol="0"/>
  <cols>
    <col collapsed="false" customWidth="true" hidden="false" outlineLevel="0" max="1" min="1" style="157" width="17.45"/>
    <col collapsed="false" customWidth="true" hidden="false" outlineLevel="0" max="2" min="2" style="157" width="26.18"/>
    <col collapsed="false" customWidth="true" hidden="false" outlineLevel="0" max="6" min="3" style="157" width="19.64"/>
    <col collapsed="false" customWidth="true" hidden="false" outlineLevel="0" max="7" min="7" style="157" width="24"/>
    <col collapsed="false" customWidth="false" hidden="false" outlineLevel="0" max="16384" min="8" style="157" width="10.91"/>
  </cols>
  <sheetData>
    <row r="1" customFormat="false" ht="18" hidden="false" customHeight="true" outlineLevel="0" collapsed="false">
      <c r="A1" s="158" t="s">
        <v>311</v>
      </c>
      <c r="B1" s="158"/>
      <c r="C1" s="158"/>
      <c r="D1" s="158"/>
      <c r="E1" s="158"/>
      <c r="F1" s="158"/>
      <c r="G1" s="158"/>
    </row>
    <row r="2" customFormat="false" ht="24.75" hidden="false" customHeight="true" outlineLevel="0" collapsed="false">
      <c r="A2" s="9" t="s">
        <v>1</v>
      </c>
      <c r="B2" s="159" t="str">
        <f aca="false">+RESUMEN!B4</f>
        <v>GERENCIA TERRITORIAL BAJO MAYO - TARAPOTO</v>
      </c>
      <c r="C2" s="159"/>
      <c r="D2" s="159"/>
      <c r="E2" s="159"/>
      <c r="F2" s="159"/>
      <c r="G2" s="159"/>
    </row>
    <row r="3" customFormat="false" ht="53.25" hidden="false" customHeight="true" outlineLevel="0" collapsed="false">
      <c r="A3" s="9" t="s">
        <v>3</v>
      </c>
      <c r="B3" s="15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159"/>
      <c r="D3" s="159"/>
      <c r="E3" s="159"/>
      <c r="F3" s="159"/>
      <c r="G3" s="159"/>
    </row>
    <row r="4" customFormat="false" ht="24.75" hidden="false" customHeight="true" outlineLevel="0" collapsed="false">
      <c r="A4" s="9" t="s">
        <v>5</v>
      </c>
      <c r="B4" s="159" t="str">
        <f aca="false">+RESUMEN!B6</f>
        <v>SAN MARTIN - SAN MARTIN - MORALES</v>
      </c>
      <c r="C4" s="159"/>
      <c r="D4" s="159"/>
      <c r="E4" s="159"/>
      <c r="F4" s="159"/>
      <c r="G4" s="159"/>
    </row>
    <row r="5" customFormat="false" ht="24.75" hidden="false" customHeight="true" outlineLevel="0" collapsed="false">
      <c r="A5" s="9" t="s">
        <v>7</v>
      </c>
      <c r="B5" s="160" t="n">
        <f aca="false">+RESUMEN!B7</f>
        <v>46266</v>
      </c>
      <c r="C5" s="160"/>
      <c r="D5" s="160"/>
      <c r="E5" s="160"/>
      <c r="F5" s="160"/>
      <c r="G5" s="160"/>
    </row>
    <row r="6" customFormat="false" ht="13.5" hidden="false" customHeight="false" outlineLevel="0" collapsed="false">
      <c r="A6" s="161"/>
      <c r="B6" s="161"/>
      <c r="C6" s="161"/>
      <c r="D6" s="161"/>
      <c r="E6" s="161"/>
      <c r="F6" s="161"/>
      <c r="G6" s="161"/>
    </row>
    <row r="7" customFormat="false" ht="39" hidden="false" customHeight="true" outlineLevel="0" collapsed="false">
      <c r="A7" s="162" t="s">
        <v>312</v>
      </c>
      <c r="B7" s="163" t="s">
        <v>313</v>
      </c>
      <c r="C7" s="163" t="s">
        <v>314</v>
      </c>
      <c r="D7" s="163" t="s">
        <v>315</v>
      </c>
      <c r="E7" s="163" t="s">
        <v>316</v>
      </c>
      <c r="F7" s="163" t="s">
        <v>317</v>
      </c>
      <c r="G7" s="164" t="s">
        <v>318</v>
      </c>
    </row>
    <row r="8" customFormat="false" ht="21" hidden="false" customHeight="true" outlineLevel="0" collapsed="false">
      <c r="A8" s="165" t="s">
        <v>319</v>
      </c>
      <c r="B8" s="166" t="n">
        <v>26.52</v>
      </c>
      <c r="C8" s="167" t="n">
        <v>6</v>
      </c>
      <c r="D8" s="167" t="n">
        <v>4</v>
      </c>
      <c r="E8" s="167" t="n">
        <v>0</v>
      </c>
      <c r="F8" s="167" t="n">
        <v>2</v>
      </c>
      <c r="G8" s="168" t="s">
        <v>320</v>
      </c>
    </row>
    <row r="9" customFormat="false" ht="21" hidden="false" customHeight="true" outlineLevel="0" collapsed="false">
      <c r="A9" s="165" t="s">
        <v>321</v>
      </c>
      <c r="B9" s="166" t="n">
        <v>27.18</v>
      </c>
      <c r="C9" s="167" t="n">
        <v>8</v>
      </c>
      <c r="D9" s="167" t="n">
        <v>4</v>
      </c>
      <c r="E9" s="167" t="n">
        <v>0</v>
      </c>
      <c r="F9" s="167" t="n">
        <v>2</v>
      </c>
      <c r="G9" s="168" t="s">
        <v>320</v>
      </c>
    </row>
    <row r="10" customFormat="false" ht="21" hidden="false" customHeight="true" outlineLevel="0" collapsed="false">
      <c r="A10" s="165" t="s">
        <v>322</v>
      </c>
      <c r="B10" s="166" t="n">
        <v>32</v>
      </c>
      <c r="C10" s="167" t="n">
        <v>6</v>
      </c>
      <c r="D10" s="167" t="n">
        <v>6</v>
      </c>
      <c r="E10" s="167" t="n">
        <v>0</v>
      </c>
      <c r="F10" s="167" t="n">
        <v>0</v>
      </c>
      <c r="G10" s="168" t="s">
        <v>320</v>
      </c>
    </row>
    <row r="11" customFormat="false" ht="21" hidden="false" customHeight="true" outlineLevel="0" collapsed="false">
      <c r="A11" s="165" t="s">
        <v>323</v>
      </c>
      <c r="B11" s="166" t="n">
        <v>26.56</v>
      </c>
      <c r="C11" s="167" t="n">
        <v>10</v>
      </c>
      <c r="D11" s="167" t="n">
        <v>10</v>
      </c>
      <c r="E11" s="167" t="n">
        <v>0</v>
      </c>
      <c r="F11" s="167" t="n">
        <v>0</v>
      </c>
      <c r="G11" s="168" t="s">
        <v>320</v>
      </c>
    </row>
    <row r="12" customFormat="false" ht="21" hidden="false" customHeight="true" outlineLevel="0" collapsed="false">
      <c r="A12" s="169" t="s">
        <v>150</v>
      </c>
      <c r="B12" s="170" t="n">
        <f aca="false">SUM(B8:B11)</f>
        <v>112.26</v>
      </c>
      <c r="C12" s="171" t="n">
        <f aca="false">SUM(C8:C11)</f>
        <v>30</v>
      </c>
      <c r="D12" s="171" t="n">
        <f aca="false">SUM(D8:D11)</f>
        <v>24</v>
      </c>
      <c r="E12" s="171" t="n">
        <f aca="false">SUM(E8:E11)</f>
        <v>0</v>
      </c>
      <c r="F12" s="171" t="n">
        <f aca="false">SUM(F8:F11)</f>
        <v>4</v>
      </c>
      <c r="G12" s="172"/>
    </row>
    <row r="13" customFormat="false" ht="13.5" hidden="false" customHeight="false" outlineLevel="0" collapsed="false">
      <c r="A13" s="161"/>
      <c r="B13" s="161"/>
      <c r="C13" s="161"/>
      <c r="D13" s="161"/>
      <c r="E13" s="161"/>
      <c r="F13" s="161"/>
      <c r="G13" s="161"/>
    </row>
    <row r="14" customFormat="false" ht="13.5" hidden="false" customHeight="false" outlineLevel="0" collapsed="false">
      <c r="A14" s="161"/>
      <c r="B14" s="161"/>
      <c r="C14" s="161"/>
      <c r="D14" s="161"/>
      <c r="E14" s="161"/>
      <c r="F14" s="161"/>
      <c r="G14" s="161"/>
    </row>
    <row r="15" customFormat="false" ht="13.5" hidden="false" customHeight="false" outlineLevel="0" collapsed="false">
      <c r="A15" s="161"/>
      <c r="B15" s="161"/>
      <c r="C15" s="161"/>
      <c r="D15" s="161"/>
      <c r="E15" s="161"/>
      <c r="F15" s="161"/>
      <c r="G15" s="161"/>
    </row>
    <row r="16" customFormat="false" ht="13.5" hidden="false" customHeight="false" outlineLevel="0" collapsed="false">
      <c r="A16" s="161"/>
      <c r="B16" s="161"/>
      <c r="C16" s="161"/>
      <c r="D16" s="161"/>
      <c r="E16" s="161"/>
      <c r="F16" s="161"/>
      <c r="G16" s="161"/>
    </row>
    <row r="17" customFormat="false" ht="13.5" hidden="false" customHeight="false" outlineLevel="0" collapsed="false">
      <c r="A17" s="161"/>
      <c r="B17" s="161"/>
      <c r="C17" s="161"/>
      <c r="D17" s="161"/>
      <c r="E17" s="161"/>
      <c r="F17" s="161"/>
      <c r="G17" s="161"/>
    </row>
    <row r="18" customFormat="false" ht="13.5" hidden="false" customHeight="false" outlineLevel="0" collapsed="false">
      <c r="A18" s="161"/>
      <c r="B18" s="161"/>
      <c r="C18" s="161"/>
      <c r="D18" s="161"/>
      <c r="E18" s="161"/>
      <c r="F18" s="161"/>
      <c r="G18" s="161"/>
    </row>
    <row r="19" customFormat="false" ht="13.5" hidden="false" customHeight="false" outlineLevel="0" collapsed="false">
      <c r="A19" s="161"/>
      <c r="B19" s="161"/>
      <c r="C19" s="161"/>
      <c r="D19" s="161"/>
      <c r="E19" s="161"/>
      <c r="F19" s="161"/>
      <c r="G19" s="161"/>
    </row>
    <row r="20" customFormat="false" ht="13.5" hidden="false" customHeight="false" outlineLevel="0" collapsed="false">
      <c r="A20" s="161"/>
      <c r="B20" s="161"/>
      <c r="C20" s="161"/>
      <c r="D20" s="161"/>
      <c r="E20" s="161"/>
      <c r="F20" s="161"/>
      <c r="G20" s="161"/>
    </row>
    <row r="21" customFormat="false" ht="13.5" hidden="false" customHeight="false" outlineLevel="0" collapsed="false">
      <c r="A21" s="161"/>
      <c r="B21" s="161"/>
      <c r="C21" s="161"/>
      <c r="D21" s="161"/>
      <c r="E21" s="161"/>
      <c r="F21" s="161"/>
      <c r="G21" s="161"/>
    </row>
    <row r="22" customFormat="false" ht="13.5" hidden="false" customHeight="false" outlineLevel="0" collapsed="false">
      <c r="A22" s="161"/>
      <c r="B22" s="161"/>
      <c r="C22" s="161"/>
      <c r="D22" s="161"/>
      <c r="E22" s="161"/>
      <c r="F22" s="161"/>
      <c r="G22" s="161"/>
    </row>
    <row r="23" customFormat="false" ht="13.5" hidden="false" customHeight="false" outlineLevel="0" collapsed="false">
      <c r="A23" s="161"/>
      <c r="B23" s="161"/>
      <c r="C23" s="161"/>
      <c r="D23" s="161"/>
      <c r="E23" s="161"/>
      <c r="F23" s="161"/>
      <c r="G23" s="161"/>
    </row>
    <row r="24" customFormat="false" ht="13.5" hidden="false" customHeight="false" outlineLevel="0" collapsed="false">
      <c r="A24" s="161"/>
      <c r="B24" s="161"/>
      <c r="C24" s="161"/>
      <c r="D24" s="161"/>
      <c r="E24" s="161"/>
      <c r="F24" s="161"/>
      <c r="G24" s="161"/>
    </row>
    <row r="25" customFormat="false" ht="13.5" hidden="false" customHeight="false" outlineLevel="0" collapsed="false">
      <c r="A25" s="161"/>
      <c r="B25" s="161"/>
      <c r="C25" s="161"/>
      <c r="D25" s="161"/>
      <c r="E25" s="161"/>
      <c r="F25" s="161"/>
      <c r="G25" s="161"/>
    </row>
    <row r="26" customFormat="false" ht="13.5" hidden="false" customHeight="false" outlineLevel="0" collapsed="false">
      <c r="A26" s="161"/>
      <c r="B26" s="161"/>
      <c r="C26" s="161"/>
      <c r="D26" s="161"/>
      <c r="E26" s="161"/>
      <c r="F26" s="161"/>
      <c r="G26" s="161"/>
    </row>
    <row r="27" customFormat="false" ht="13.5" hidden="false" customHeight="false" outlineLevel="0" collapsed="false">
      <c r="A27" s="161"/>
      <c r="B27" s="161"/>
      <c r="C27" s="161"/>
      <c r="D27" s="161"/>
      <c r="E27" s="161"/>
      <c r="F27" s="161"/>
      <c r="G27" s="161"/>
    </row>
    <row r="28" customFormat="false" ht="13.5" hidden="false" customHeight="false" outlineLevel="0" collapsed="false">
      <c r="A28" s="161"/>
      <c r="B28" s="161"/>
      <c r="C28" s="161"/>
      <c r="D28" s="161"/>
      <c r="E28" s="161"/>
      <c r="F28" s="161"/>
      <c r="G28" s="161"/>
    </row>
    <row r="29" customFormat="false" ht="13.5" hidden="false" customHeight="false" outlineLevel="0" collapsed="false">
      <c r="A29" s="161"/>
      <c r="B29" s="161"/>
      <c r="C29" s="161"/>
      <c r="D29" s="161"/>
      <c r="E29" s="161"/>
      <c r="F29" s="161"/>
      <c r="G29" s="161"/>
    </row>
    <row r="30" customFormat="false" ht="13.5" hidden="false" customHeight="false" outlineLevel="0" collapsed="false">
      <c r="A30" s="161"/>
      <c r="B30" s="161"/>
      <c r="C30" s="161"/>
      <c r="D30" s="161"/>
      <c r="E30" s="161"/>
      <c r="F30" s="161"/>
      <c r="G30" s="161"/>
    </row>
    <row r="31" customFormat="false" ht="13.5" hidden="false" customHeight="false" outlineLevel="0" collapsed="false">
      <c r="A31" s="161"/>
      <c r="B31" s="161"/>
      <c r="C31" s="161"/>
      <c r="D31" s="161"/>
      <c r="E31" s="161"/>
      <c r="F31" s="161"/>
      <c r="G31" s="161"/>
    </row>
    <row r="32" customFormat="false" ht="13.5" hidden="false" customHeight="false" outlineLevel="0" collapsed="false">
      <c r="A32" s="161"/>
      <c r="B32" s="161"/>
      <c r="C32" s="161"/>
      <c r="D32" s="161"/>
      <c r="E32" s="161"/>
      <c r="F32" s="161"/>
      <c r="G32" s="161"/>
    </row>
    <row r="33" customFormat="false" ht="13.5" hidden="false" customHeight="false" outlineLevel="0" collapsed="false">
      <c r="A33" s="161"/>
      <c r="B33" s="161"/>
      <c r="C33" s="161"/>
      <c r="D33" s="161"/>
      <c r="E33" s="161"/>
      <c r="F33" s="161"/>
      <c r="G33" s="161"/>
    </row>
    <row r="34" customFormat="false" ht="13.5" hidden="false" customHeight="false" outlineLevel="0" collapsed="false">
      <c r="A34" s="161"/>
      <c r="B34" s="161"/>
      <c r="C34" s="161"/>
      <c r="D34" s="161"/>
      <c r="E34" s="161"/>
      <c r="F34" s="161"/>
      <c r="G34" s="161"/>
    </row>
    <row r="35" customFormat="false" ht="13.5" hidden="false" customHeight="false" outlineLevel="0" collapsed="false">
      <c r="A35" s="161"/>
      <c r="B35" s="161"/>
      <c r="C35" s="161"/>
      <c r="D35" s="161"/>
      <c r="E35" s="161"/>
      <c r="F35" s="161"/>
      <c r="G35" s="161"/>
    </row>
  </sheetData>
  <mergeCells count="5">
    <mergeCell ref="A1:G1"/>
    <mergeCell ref="B2:G2"/>
    <mergeCell ref="B3:G3"/>
    <mergeCell ref="B4:G4"/>
    <mergeCell ref="B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G38"/>
  <sheetViews>
    <sheetView showFormulas="false" showGridLines="true" showRowColHeaders="true" showZeros="true" rightToLeft="false" tabSelected="false" showOutlineSymbols="true" defaultGridColor="true" view="normal" topLeftCell="A6" colorId="64" zoomScale="85" zoomScaleNormal="85" zoomScalePageLayoutView="100" workbookViewId="0">
      <selection pane="topLeft" activeCell="G11" activeCellId="0" sqref="G11"/>
    </sheetView>
  </sheetViews>
  <sheetFormatPr defaultColWidth="9.453125" defaultRowHeight="13.5" zeroHeight="false" outlineLevelRow="0" outlineLevelCol="0"/>
  <cols>
    <col collapsed="false" customWidth="true" hidden="false" outlineLevel="0" max="1" min="1" style="173" width="18"/>
    <col collapsed="false" customWidth="true" hidden="false" outlineLevel="0" max="2" min="2" style="173" width="10.82"/>
    <col collapsed="false" customWidth="true" hidden="false" outlineLevel="0" max="3" min="3" style="173" width="14.18"/>
    <col collapsed="false" customWidth="true" hidden="false" outlineLevel="0" max="4" min="4" style="173" width="16.36"/>
    <col collapsed="false" customWidth="true" hidden="false" outlineLevel="0" max="6" min="5" style="173" width="12"/>
    <col collapsed="false" customWidth="true" hidden="false" outlineLevel="0" max="7" min="7" style="174" width="13.09"/>
    <col collapsed="false" customWidth="true" hidden="false" outlineLevel="0" max="8" min="8" style="173" width="12"/>
    <col collapsed="false" customWidth="true" hidden="false" outlineLevel="0" max="9" min="9" style="173" width="14.18"/>
    <col collapsed="false" customWidth="true" hidden="false" outlineLevel="0" max="10" min="10" style="173" width="13.09"/>
    <col collapsed="false" customWidth="true" hidden="false" outlineLevel="0" max="12" min="11" style="173" width="14.18"/>
    <col collapsed="false" customWidth="true" hidden="false" outlineLevel="0" max="13" min="13" style="173" width="13.09"/>
    <col collapsed="false" customWidth="true" hidden="false" outlineLevel="0" max="14" min="14" style="173" width="15.27"/>
    <col collapsed="false" customWidth="true" hidden="false" outlineLevel="0" max="15" min="15" style="173" width="12"/>
    <col collapsed="false" customWidth="true" hidden="false" outlineLevel="0" max="16" min="16" style="173" width="14.18"/>
    <col collapsed="false" customWidth="true" hidden="false" outlineLevel="0" max="18" min="17" style="173" width="16.36"/>
    <col collapsed="false" customWidth="true" hidden="false" outlineLevel="0" max="20" min="19" style="173" width="14.18"/>
    <col collapsed="false" customWidth="true" hidden="false" outlineLevel="0" max="21" min="21" style="173" width="16.36"/>
    <col collapsed="false" customWidth="true" hidden="false" outlineLevel="0" max="22" min="22" style="173" width="13.09"/>
    <col collapsed="false" customWidth="true" hidden="false" outlineLevel="0" max="23" min="23" style="173" width="15.27"/>
    <col collapsed="false" customWidth="true" hidden="false" outlineLevel="0" max="24" min="24" style="173" width="10.91"/>
    <col collapsed="false" customWidth="true" hidden="false" outlineLevel="0" max="25" min="25" style="173" width="13.09"/>
    <col collapsed="false" customWidth="true" hidden="false" outlineLevel="0" max="26" min="26" style="173" width="15.27"/>
    <col collapsed="false" customWidth="true" hidden="false" outlineLevel="0" max="28" min="27" style="173" width="16.36"/>
    <col collapsed="false" customWidth="true" hidden="false" outlineLevel="0" max="29" min="29" style="173" width="15.27"/>
    <col collapsed="false" customWidth="true" hidden="false" outlineLevel="0" max="30" min="30" style="173" width="14.18"/>
    <col collapsed="false" customWidth="true" hidden="false" outlineLevel="0" max="31" min="31" style="173" width="16.36"/>
    <col collapsed="false" customWidth="true" hidden="false" outlineLevel="0" max="32" min="32" style="173" width="14.18"/>
    <col collapsed="false" customWidth="true" hidden="false" outlineLevel="0" max="33" min="33" style="173" width="15.27"/>
    <col collapsed="false" customWidth="false" hidden="false" outlineLevel="0" max="16384" min="34" style="173" width="9.45"/>
  </cols>
  <sheetData>
    <row r="1" s="178" customFormat="true" ht="13.5" hidden="false" customHeight="false" outlineLevel="0" collapsed="false">
      <c r="A1" s="175"/>
      <c r="B1" s="176"/>
      <c r="C1" s="176"/>
      <c r="D1" s="176"/>
      <c r="E1" s="176"/>
      <c r="F1" s="176"/>
      <c r="G1" s="177"/>
      <c r="H1" s="176"/>
      <c r="I1" s="175"/>
      <c r="J1" s="176"/>
      <c r="K1" s="176"/>
      <c r="L1" s="176"/>
      <c r="M1" s="176"/>
      <c r="N1" s="175"/>
      <c r="O1" s="176"/>
      <c r="P1" s="176"/>
      <c r="Q1" s="176"/>
      <c r="R1" s="176"/>
      <c r="S1" s="176"/>
      <c r="T1" s="176"/>
      <c r="U1" s="176"/>
      <c r="V1" s="176"/>
      <c r="W1" s="175"/>
      <c r="X1" s="176"/>
      <c r="Y1" s="176"/>
      <c r="Z1" s="176"/>
      <c r="AA1" s="176"/>
      <c r="AB1" s="176"/>
      <c r="AC1" s="176"/>
      <c r="AD1" s="176"/>
      <c r="AE1" s="176"/>
      <c r="AF1" s="176"/>
      <c r="AG1" s="176"/>
    </row>
    <row r="2" s="178" customFormat="true" ht="33" hidden="false" customHeight="true" outlineLevel="0" collapsed="false">
      <c r="A2" s="179" t="s">
        <v>324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</row>
    <row r="3" s="178" customFormat="true" ht="30" hidden="false" customHeight="true" outlineLevel="0" collapsed="false">
      <c r="A3" s="180" t="s">
        <v>1</v>
      </c>
      <c r="B3" s="181" t="str">
        <f aca="false">+RESUMEN!B4</f>
        <v>GERENCIA TERRITORIAL BAJO MAYO - TARAPOTO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</row>
    <row r="4" s="178" customFormat="true" ht="39.75" hidden="false" customHeight="true" outlineLevel="0" collapsed="false">
      <c r="A4" s="180" t="s">
        <v>3</v>
      </c>
      <c r="B4" s="181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</row>
    <row r="5" s="178" customFormat="true" ht="34.5" hidden="false" customHeight="true" outlineLevel="0" collapsed="false">
      <c r="A5" s="180" t="s">
        <v>5</v>
      </c>
      <c r="B5" s="181" t="str">
        <f aca="false">+RESUMEN!B6</f>
        <v>SAN MARTIN - SAN MARTIN - MORALES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</row>
    <row r="6" s="178" customFormat="true" ht="30" hidden="false" customHeight="true" outlineLevel="0" collapsed="false">
      <c r="A6" s="180" t="s">
        <v>7</v>
      </c>
      <c r="B6" s="182" t="n">
        <f aca="false">+RESUMEN!B7</f>
        <v>46266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</row>
    <row r="7" s="178" customFormat="tru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false" ht="21.75" hidden="false" customHeight="true" outlineLevel="0" collapsed="false">
      <c r="A8" s="183" t="s">
        <v>325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</row>
    <row r="9" customFormat="false" ht="23.25" hidden="false" customHeight="true" outlineLevel="0" collapsed="false">
      <c r="A9" s="184" t="s">
        <v>326</v>
      </c>
      <c r="B9" s="184"/>
      <c r="C9" s="184"/>
      <c r="D9" s="184"/>
      <c r="E9" s="184"/>
      <c r="F9" s="184"/>
      <c r="G9" s="184"/>
      <c r="H9" s="185" t="s">
        <v>327</v>
      </c>
      <c r="I9" s="185"/>
      <c r="J9" s="185"/>
      <c r="K9" s="185"/>
      <c r="L9" s="185"/>
      <c r="M9" s="185"/>
      <c r="N9" s="185"/>
      <c r="O9" s="185"/>
      <c r="P9" s="186" t="s">
        <v>328</v>
      </c>
      <c r="Q9" s="186"/>
      <c r="R9" s="186"/>
      <c r="S9" s="186"/>
      <c r="T9" s="186"/>
      <c r="U9" s="186"/>
      <c r="V9" s="186"/>
      <c r="W9" s="186"/>
      <c r="X9" s="187" t="s">
        <v>329</v>
      </c>
      <c r="Y9" s="187"/>
      <c r="Z9" s="187"/>
      <c r="AA9" s="187"/>
      <c r="AB9" s="187"/>
      <c r="AC9" s="187"/>
      <c r="AD9" s="187"/>
      <c r="AE9" s="187"/>
      <c r="AF9" s="187"/>
      <c r="AG9" s="188" t="s">
        <v>330</v>
      </c>
    </row>
    <row r="10" customFormat="false" ht="60" hidden="false" customHeight="true" outlineLevel="0" collapsed="false">
      <c r="A10" s="189" t="s">
        <v>331</v>
      </c>
      <c r="B10" s="189" t="s">
        <v>332</v>
      </c>
      <c r="C10" s="189" t="s">
        <v>333</v>
      </c>
      <c r="D10" s="189" t="s">
        <v>334</v>
      </c>
      <c r="E10" s="189" t="s">
        <v>335</v>
      </c>
      <c r="F10" s="189" t="s">
        <v>336</v>
      </c>
      <c r="G10" s="189" t="s">
        <v>337</v>
      </c>
      <c r="H10" s="189" t="s">
        <v>338</v>
      </c>
      <c r="I10" s="189" t="s">
        <v>339</v>
      </c>
      <c r="J10" s="189" t="s">
        <v>340</v>
      </c>
      <c r="K10" s="189" t="s">
        <v>341</v>
      </c>
      <c r="L10" s="189" t="s">
        <v>342</v>
      </c>
      <c r="M10" s="189" t="s">
        <v>343</v>
      </c>
      <c r="N10" s="189" t="s">
        <v>344</v>
      </c>
      <c r="O10" s="189" t="s">
        <v>345</v>
      </c>
      <c r="P10" s="189" t="s">
        <v>346</v>
      </c>
      <c r="Q10" s="189" t="s">
        <v>347</v>
      </c>
      <c r="R10" s="189" t="s">
        <v>348</v>
      </c>
      <c r="S10" s="189" t="s">
        <v>349</v>
      </c>
      <c r="T10" s="189" t="s">
        <v>350</v>
      </c>
      <c r="U10" s="189" t="s">
        <v>351</v>
      </c>
      <c r="V10" s="189" t="s">
        <v>352</v>
      </c>
      <c r="W10" s="189" t="s">
        <v>353</v>
      </c>
      <c r="X10" s="189" t="s">
        <v>354</v>
      </c>
      <c r="Y10" s="189" t="s">
        <v>355</v>
      </c>
      <c r="Z10" s="189" t="s">
        <v>356</v>
      </c>
      <c r="AA10" s="189" t="s">
        <v>357</v>
      </c>
      <c r="AB10" s="189" t="s">
        <v>358</v>
      </c>
      <c r="AC10" s="189" t="s">
        <v>359</v>
      </c>
      <c r="AD10" s="189" t="s">
        <v>360</v>
      </c>
      <c r="AE10" s="189" t="s">
        <v>361</v>
      </c>
      <c r="AF10" s="189" t="s">
        <v>362</v>
      </c>
      <c r="AG10" s="189" t="s">
        <v>363</v>
      </c>
    </row>
    <row r="11" customFormat="false" ht="36" hidden="false" customHeight="true" outlineLevel="0" collapsed="false">
      <c r="A11" s="190" t="n">
        <v>1</v>
      </c>
      <c r="B11" s="191" t="s">
        <v>364</v>
      </c>
      <c r="C11" s="191" t="s">
        <v>365</v>
      </c>
      <c r="D11" s="192" t="s">
        <v>248</v>
      </c>
      <c r="E11" s="191" t="s">
        <v>366</v>
      </c>
      <c r="F11" s="191" t="s">
        <v>367</v>
      </c>
      <c r="G11" s="193" t="n">
        <v>12</v>
      </c>
      <c r="H11" s="191" t="s">
        <v>368</v>
      </c>
      <c r="I11" s="194" t="n">
        <f aca="false">IF(H11="","",IFERROR(VLOOKUP(H11,Listas!$A$4:$B$11,2,FALSE()),""))</f>
        <v>0.56</v>
      </c>
      <c r="J11" s="193" t="n">
        <v>0.21</v>
      </c>
      <c r="K11" s="193" t="n">
        <v>7</v>
      </c>
      <c r="L11" s="193" t="n">
        <v>7</v>
      </c>
      <c r="M11" s="195" t="n">
        <f aca="false">IF(B11="","",(K11+L11)/2)</f>
        <v>7</v>
      </c>
      <c r="N11" s="195" t="n">
        <f aca="false">IF(B11="","",G11*M11)</f>
        <v>84</v>
      </c>
      <c r="O11" s="195" t="n">
        <f aca="false">IF(B11="","",N11*I11)</f>
        <v>47.04</v>
      </c>
      <c r="P11" s="193" t="n">
        <v>0.25</v>
      </c>
      <c r="Q11" s="193" t="n">
        <v>1.42</v>
      </c>
      <c r="R11" s="193" t="n">
        <v>1.5</v>
      </c>
      <c r="S11" s="195" t="n">
        <f aca="false">IF(B11="","",(Q11+R11)/2)</f>
        <v>1.46</v>
      </c>
      <c r="T11" s="195" t="n">
        <f aca="false">IF(B11="","",IFERROR(IF($X$1="ENTERO (redondeo arriba)",ROUNDUP(G11/P11,0)+1,G11/P11+1),0))</f>
        <v>49</v>
      </c>
      <c r="U11" s="195" t="n">
        <f aca="false">IF(B11="","",S11*T11)</f>
        <v>71.54</v>
      </c>
      <c r="V11" s="195" t="n">
        <f aca="false">IF(B11="","",U11*I11)</f>
        <v>40.0624</v>
      </c>
      <c r="W11" s="195" t="n">
        <f aca="false">IF(B11="","",O11+V11)</f>
        <v>87.1024</v>
      </c>
      <c r="X11" s="196"/>
      <c r="Y11" s="197"/>
      <c r="Z11" s="198"/>
      <c r="AA11" s="198"/>
      <c r="AB11" s="198"/>
      <c r="AC11" s="199" t="n">
        <f aca="false">IF(B11="","",IF(D11="TAPADA",(AA11+AB11)/2,0))</f>
        <v>0</v>
      </c>
      <c r="AD11" s="199" t="n">
        <f aca="false">IF(B11="","",IF(D11="TAPADA",IFERROR(IF($X$1="ENTERO (redondeo arriba)",ROUNDUP(G11/Z11,0)+1,G11/Z11+1),0),0))</f>
        <v>0</v>
      </c>
      <c r="AE11" s="199" t="n">
        <f aca="false">IF(B11="","",IF(D11="TAPADA",AC11*AD11,0))</f>
        <v>0</v>
      </c>
      <c r="AF11" s="199" t="n">
        <f aca="false">IF(B11="","",IF(D11="TAPADA",AE11*Y11,0))</f>
        <v>0</v>
      </c>
      <c r="AG11" s="200" t="n">
        <f aca="false">IF(B11="","",W11+AF11)</f>
        <v>87.1024</v>
      </c>
    </row>
    <row r="12" customFormat="false" ht="36" hidden="false" customHeight="true" outlineLevel="0" collapsed="false">
      <c r="A12" s="190" t="n">
        <v>2</v>
      </c>
      <c r="B12" s="191" t="s">
        <v>364</v>
      </c>
      <c r="C12" s="191" t="s">
        <v>369</v>
      </c>
      <c r="D12" s="192" t="s">
        <v>370</v>
      </c>
      <c r="E12" s="191" t="s">
        <v>367</v>
      </c>
      <c r="F12" s="191" t="s">
        <v>371</v>
      </c>
      <c r="G12" s="193" t="n">
        <v>5.14</v>
      </c>
      <c r="H12" s="191" t="s">
        <v>368</v>
      </c>
      <c r="I12" s="194" t="n">
        <f aca="false">IF(H12="","",IFERROR(VLOOKUP(H12,Listas!$A$4:$B$11,2,FALSE()),""))</f>
        <v>0.56</v>
      </c>
      <c r="J12" s="193" t="n">
        <v>0.23</v>
      </c>
      <c r="K12" s="193" t="n">
        <v>8</v>
      </c>
      <c r="L12" s="193" t="n">
        <v>8</v>
      </c>
      <c r="M12" s="195" t="n">
        <f aca="false">IF(B12="","",(K12+L12)/2)</f>
        <v>8</v>
      </c>
      <c r="N12" s="195" t="n">
        <f aca="false">IF(B12="","",G12*M12)</f>
        <v>41.12</v>
      </c>
      <c r="O12" s="195" t="n">
        <f aca="false">IF(B12="","",N12*I12)</f>
        <v>23.0272</v>
      </c>
      <c r="P12" s="193" t="n">
        <v>0.25</v>
      </c>
      <c r="Q12" s="193" t="n">
        <v>1.5</v>
      </c>
      <c r="R12" s="193" t="n">
        <v>1.58</v>
      </c>
      <c r="S12" s="195" t="n">
        <f aca="false">IF(B12="","",(Q12+R12)/2)</f>
        <v>1.54</v>
      </c>
      <c r="T12" s="195" t="n">
        <f aca="false">IF(B12="","",IFERROR(IF($X$1="ENTERO (redondeo arriba)",ROUNDUP(G12/P12,0)+1,G12/P12+1),0))</f>
        <v>21.56</v>
      </c>
      <c r="U12" s="195" t="n">
        <f aca="false">IF(B12="","",S12*T12)</f>
        <v>33.2024</v>
      </c>
      <c r="V12" s="195" t="n">
        <f aca="false">IF(B12="","",U12*I12)</f>
        <v>18.593344</v>
      </c>
      <c r="W12" s="195" t="n">
        <f aca="false">IF(B12="","",O12+V12)</f>
        <v>41.620544</v>
      </c>
      <c r="X12" s="196" t="s">
        <v>368</v>
      </c>
      <c r="Y12" s="197" t="n">
        <v>0.56</v>
      </c>
      <c r="Z12" s="198" t="n">
        <v>0.25</v>
      </c>
      <c r="AA12" s="198" t="n">
        <v>0.56</v>
      </c>
      <c r="AB12" s="198" t="n">
        <v>0.56</v>
      </c>
      <c r="AC12" s="199" t="n">
        <f aca="false">IF(B12="","",IF(D12="TAPADA",(AA12+AB12)/2,0))</f>
        <v>0.56</v>
      </c>
      <c r="AD12" s="199" t="n">
        <f aca="false">IF(B12="","",IF(D12="TAPADA",IFERROR(IF($X$1="ENTERO (redondeo arriba)",ROUNDUP(G12/Z12,0)+1,G12/Z12+1),0),0))</f>
        <v>21.56</v>
      </c>
      <c r="AE12" s="199" t="n">
        <f aca="false">IF(B12="","",IF(D12="TAPADA",AC12*AD12,0))</f>
        <v>12.0736</v>
      </c>
      <c r="AF12" s="199" t="n">
        <f aca="false">IF(B12="","",IF(D12="TAPADA",AE12*Y12,0))</f>
        <v>6.761216</v>
      </c>
      <c r="AG12" s="200" t="n">
        <f aca="false">IF(B12="","",W12+AF12)</f>
        <v>48.38176</v>
      </c>
    </row>
    <row r="13" customFormat="false" ht="36" hidden="false" customHeight="true" outlineLevel="0" collapsed="false">
      <c r="A13" s="190" t="n">
        <v>3</v>
      </c>
      <c r="B13" s="191" t="s">
        <v>372</v>
      </c>
      <c r="C13" s="191" t="s">
        <v>365</v>
      </c>
      <c r="D13" s="192" t="s">
        <v>248</v>
      </c>
      <c r="E13" s="191" t="s">
        <v>373</v>
      </c>
      <c r="F13" s="191" t="s">
        <v>374</v>
      </c>
      <c r="G13" s="193" t="n">
        <v>17.5</v>
      </c>
      <c r="H13" s="191" t="s">
        <v>368</v>
      </c>
      <c r="I13" s="194" t="n">
        <f aca="false">IF(H13="","",IFERROR(VLOOKUP(H13,Listas!$A$4:$B$11,2,FALSE()),""))</f>
        <v>0.56</v>
      </c>
      <c r="J13" s="193" t="n">
        <v>0.23</v>
      </c>
      <c r="K13" s="193" t="n">
        <v>7</v>
      </c>
      <c r="L13" s="193" t="n">
        <v>7</v>
      </c>
      <c r="M13" s="195" t="n">
        <f aca="false">IF(B13="","",(K13+L13)/2)</f>
        <v>7</v>
      </c>
      <c r="N13" s="195" t="n">
        <f aca="false">IF(B13="","",G13*M13)</f>
        <v>122.5</v>
      </c>
      <c r="O13" s="195" t="n">
        <f aca="false">IF(B13="","",N13*I13)</f>
        <v>68.6</v>
      </c>
      <c r="P13" s="193" t="n">
        <v>0.25</v>
      </c>
      <c r="Q13" s="193" t="n">
        <v>1.42</v>
      </c>
      <c r="R13" s="193" t="n">
        <v>1.58</v>
      </c>
      <c r="S13" s="195" t="n">
        <f aca="false">IF(B13="","",(Q13+R13)/2)</f>
        <v>1.5</v>
      </c>
      <c r="T13" s="195" t="n">
        <f aca="false">IF(B13="","",IFERROR(IF($X$1="ENTERO (redondeo arriba)",ROUNDUP(G13/P13,0)+1,G13/P13+1),0))</f>
        <v>71</v>
      </c>
      <c r="U13" s="195" t="n">
        <f aca="false">IF(B13="","",S13*T13)</f>
        <v>106.5</v>
      </c>
      <c r="V13" s="195" t="n">
        <f aca="false">IF(B13="","",U13*I13)</f>
        <v>59.64</v>
      </c>
      <c r="W13" s="195" t="n">
        <f aca="false">IF(B13="","",O13+V13)</f>
        <v>128.24</v>
      </c>
      <c r="X13" s="196"/>
      <c r="Y13" s="197"/>
      <c r="Z13" s="198"/>
      <c r="AA13" s="198"/>
      <c r="AB13" s="198"/>
      <c r="AC13" s="199" t="n">
        <f aca="false">IF(B13="","",IF(D13="TAPADA",(AA13+AB13)/2,0))</f>
        <v>0</v>
      </c>
      <c r="AD13" s="199" t="n">
        <f aca="false">IF(B13="","",IF(D13="TAPADA",IFERROR(IF($X$1="ENTERO (redondeo arriba)",ROUNDUP(G13/Z13,0)+1,G13/Z13+1),0),0))</f>
        <v>0</v>
      </c>
      <c r="AE13" s="199" t="n">
        <f aca="false">IF(B13="","",IF(D13="TAPADA",AC13*AD13,0))</f>
        <v>0</v>
      </c>
      <c r="AF13" s="199" t="n">
        <f aca="false">IF(B13="","",IF(D13="TAPADA",AE13*Y13,0))</f>
        <v>0</v>
      </c>
      <c r="AG13" s="200" t="n">
        <f aca="false">IF(B13="","",W13+AF13)</f>
        <v>128.24</v>
      </c>
    </row>
    <row r="14" customFormat="false" ht="36" hidden="false" customHeight="true" outlineLevel="0" collapsed="false">
      <c r="A14" s="190" t="n">
        <v>4</v>
      </c>
      <c r="B14" s="191" t="s">
        <v>372</v>
      </c>
      <c r="C14" s="191" t="s">
        <v>369</v>
      </c>
      <c r="D14" s="192" t="s">
        <v>370</v>
      </c>
      <c r="E14" s="191" t="s">
        <v>374</v>
      </c>
      <c r="F14" s="191" t="s">
        <v>375</v>
      </c>
      <c r="G14" s="193" t="n">
        <v>10.2</v>
      </c>
      <c r="H14" s="191" t="s">
        <v>368</v>
      </c>
      <c r="I14" s="194" t="n">
        <f aca="false">IF(H14="","",IFERROR(VLOOKUP(H14,Listas!$A$4:$B$11,2,FALSE()),""))</f>
        <v>0.56</v>
      </c>
      <c r="J14" s="193" t="n">
        <v>0.22</v>
      </c>
      <c r="K14" s="193" t="n">
        <v>8</v>
      </c>
      <c r="L14" s="193" t="n">
        <v>10</v>
      </c>
      <c r="M14" s="195" t="n">
        <f aca="false">IF(B14="","",(K14+L14)/2)</f>
        <v>9</v>
      </c>
      <c r="N14" s="195" t="n">
        <f aca="false">IF(B14="","",G14*M14)</f>
        <v>91.8</v>
      </c>
      <c r="O14" s="195" t="n">
        <f aca="false">IF(B14="","",N14*I14)</f>
        <v>51.408</v>
      </c>
      <c r="P14" s="193" t="n">
        <v>0.25</v>
      </c>
      <c r="Q14" s="193" t="n">
        <v>1.58</v>
      </c>
      <c r="R14" s="193" t="n">
        <v>1.66</v>
      </c>
      <c r="S14" s="195" t="n">
        <f aca="false">IF(B14="","",(Q14+R14)/2)</f>
        <v>1.62</v>
      </c>
      <c r="T14" s="195" t="n">
        <f aca="false">IF(B14="","",IFERROR(IF($X$1="ENTERO (redondeo arriba)",ROUNDUP(G14/P14,0)+1,G14/P14+1),0))</f>
        <v>41.8</v>
      </c>
      <c r="U14" s="195" t="n">
        <f aca="false">IF(B14="","",S14*T14)</f>
        <v>67.716</v>
      </c>
      <c r="V14" s="195" t="n">
        <f aca="false">IF(B14="","",U14*I14)</f>
        <v>37.92096</v>
      </c>
      <c r="W14" s="195" t="n">
        <f aca="false">IF(B14="","",O14+V14)</f>
        <v>89.32896</v>
      </c>
      <c r="X14" s="196" t="s">
        <v>368</v>
      </c>
      <c r="Y14" s="197" t="n">
        <v>0.56</v>
      </c>
      <c r="Z14" s="198" t="n">
        <v>0.25</v>
      </c>
      <c r="AA14" s="198" t="n">
        <v>0.56</v>
      </c>
      <c r="AB14" s="198" t="n">
        <v>0.56</v>
      </c>
      <c r="AC14" s="199" t="n">
        <f aca="false">IF(B14="","",IF(D14="TAPADA",(AA14+AB14)/2,0))</f>
        <v>0.56</v>
      </c>
      <c r="AD14" s="199" t="n">
        <f aca="false">IF(B14="","",IF(D14="TAPADA",IFERROR(IF($X$1="ENTERO (redondeo arriba)",ROUNDUP(G14/Z14,0)+1,G14/Z14+1),0),0))</f>
        <v>41.8</v>
      </c>
      <c r="AE14" s="199" t="n">
        <f aca="false">IF(B14="","",IF(D14="TAPADA",AC14*AD14,0))</f>
        <v>23.408</v>
      </c>
      <c r="AF14" s="199" t="n">
        <f aca="false">IF(B14="","",IF(D14="TAPADA",AE14*Y14,0))</f>
        <v>13.10848</v>
      </c>
      <c r="AG14" s="200" t="n">
        <f aca="false">IF(B14="","",W14+AF14)</f>
        <v>102.43744</v>
      </c>
    </row>
    <row r="15" customFormat="false" ht="36" hidden="false" customHeight="true" outlineLevel="0" collapsed="false">
      <c r="A15" s="190" t="n">
        <v>5</v>
      </c>
      <c r="B15" s="191" t="s">
        <v>372</v>
      </c>
      <c r="C15" s="191" t="s">
        <v>376</v>
      </c>
      <c r="D15" s="192" t="s">
        <v>248</v>
      </c>
      <c r="E15" s="191" t="s">
        <v>375</v>
      </c>
      <c r="F15" s="191" t="s">
        <v>377</v>
      </c>
      <c r="G15" s="193" t="n">
        <v>31.33</v>
      </c>
      <c r="H15" s="191" t="s">
        <v>368</v>
      </c>
      <c r="I15" s="194" t="n">
        <f aca="false">IF(H15="","",IFERROR(VLOOKUP(H15,Listas!$A$4:$B$11,2,FALSE()),""))</f>
        <v>0.56</v>
      </c>
      <c r="J15" s="193" t="n">
        <v>0.2</v>
      </c>
      <c r="K15" s="193" t="n">
        <v>9</v>
      </c>
      <c r="L15" s="193" t="n">
        <v>9</v>
      </c>
      <c r="M15" s="195" t="n">
        <f aca="false">IF(B15="","",(K15+L15)/2)</f>
        <v>9</v>
      </c>
      <c r="N15" s="195" t="n">
        <f aca="false">IF(B15="","",G15*M15)</f>
        <v>281.97</v>
      </c>
      <c r="O15" s="195" t="n">
        <f aca="false">IF(B15="","",N15*I15)</f>
        <v>157.9032</v>
      </c>
      <c r="P15" s="193" t="n">
        <v>0.25</v>
      </c>
      <c r="Q15" s="193" t="n">
        <v>1.66</v>
      </c>
      <c r="R15" s="193" t="n">
        <v>2.02</v>
      </c>
      <c r="S15" s="195" t="n">
        <f aca="false">IF(B15="","",(Q15+R15)/2)</f>
        <v>1.84</v>
      </c>
      <c r="T15" s="195" t="n">
        <f aca="false">IF(B15="","",IFERROR(IF($X$1="ENTERO (redondeo arriba)",ROUNDUP(G15/P15,0)+1,G15/P15+1),0))</f>
        <v>126.32</v>
      </c>
      <c r="U15" s="195" t="n">
        <f aca="false">IF(B15="","",S15*T15)</f>
        <v>232.4288</v>
      </c>
      <c r="V15" s="195" t="n">
        <f aca="false">IF(B15="","",U15*I15)</f>
        <v>130.160128</v>
      </c>
      <c r="W15" s="195" t="n">
        <f aca="false">IF(B15="","",O15+V15)</f>
        <v>288.063328</v>
      </c>
      <c r="X15" s="196"/>
      <c r="Y15" s="197"/>
      <c r="Z15" s="198"/>
      <c r="AA15" s="198"/>
      <c r="AB15" s="198"/>
      <c r="AC15" s="199" t="n">
        <f aca="false">IF(B15="","",IF(D15="TAPADA",(AA15+AB15)/2,0))</f>
        <v>0</v>
      </c>
      <c r="AD15" s="199" t="n">
        <f aca="false">IF(B15="","",IF(D15="TAPADA",IFERROR(IF($X$1="ENTERO (redondeo arriba)",ROUNDUP(G15/Z15,0)+1,G15/Z15+1),0),0))</f>
        <v>0</v>
      </c>
      <c r="AE15" s="199" t="n">
        <f aca="false">IF(B15="","",IF(D15="TAPADA",AC15*AD15,0))</f>
        <v>0</v>
      </c>
      <c r="AF15" s="199" t="n">
        <f aca="false">IF(B15="","",IF(D15="TAPADA",AE15*Y15,0))</f>
        <v>0</v>
      </c>
      <c r="AG15" s="200" t="n">
        <f aca="false">IF(B15="","",W15+AF15)</f>
        <v>288.063328</v>
      </c>
    </row>
    <row r="16" customFormat="false" ht="36" hidden="false" customHeight="true" outlineLevel="0" collapsed="false">
      <c r="A16" s="190" t="n">
        <v>6</v>
      </c>
      <c r="B16" s="191" t="s">
        <v>372</v>
      </c>
      <c r="C16" s="191" t="s">
        <v>378</v>
      </c>
      <c r="D16" s="192" t="s">
        <v>370</v>
      </c>
      <c r="E16" s="191" t="s">
        <v>377</v>
      </c>
      <c r="F16" s="191" t="s">
        <v>379</v>
      </c>
      <c r="G16" s="193" t="n">
        <v>8.36</v>
      </c>
      <c r="H16" s="191" t="s">
        <v>368</v>
      </c>
      <c r="I16" s="194" t="n">
        <f aca="false">IF(H16="","",IFERROR(VLOOKUP(H16,Listas!$A$4:$B$11,2,FALSE()),""))</f>
        <v>0.56</v>
      </c>
      <c r="J16" s="193" t="n">
        <v>0.23</v>
      </c>
      <c r="K16" s="193" t="n">
        <v>10</v>
      </c>
      <c r="L16" s="193" t="n">
        <v>10</v>
      </c>
      <c r="M16" s="195" t="n">
        <f aca="false">IF(B16="","",(K16+L16)/2)</f>
        <v>10</v>
      </c>
      <c r="N16" s="195" t="n">
        <f aca="false">IF(B16="","",G16*M16)</f>
        <v>83.6</v>
      </c>
      <c r="O16" s="195" t="n">
        <f aca="false">IF(B16="","",N16*I16)</f>
        <v>46.816</v>
      </c>
      <c r="P16" s="193" t="n">
        <v>0.25</v>
      </c>
      <c r="Q16" s="193" t="n">
        <v>2.02</v>
      </c>
      <c r="R16" s="193" t="n">
        <v>2.08</v>
      </c>
      <c r="S16" s="195" t="n">
        <f aca="false">IF(B16="","",(Q16+R16)/2)</f>
        <v>2.05</v>
      </c>
      <c r="T16" s="195" t="n">
        <f aca="false">IF(B16="","",IFERROR(IF($X$1="ENTERO (redondeo arriba)",ROUNDUP(G16/P16,0)+1,G16/P16+1),0))</f>
        <v>34.44</v>
      </c>
      <c r="U16" s="195" t="n">
        <f aca="false">IF(B16="","",S16*T16)</f>
        <v>70.602</v>
      </c>
      <c r="V16" s="195" t="n">
        <f aca="false">IF(B16="","",U16*I16)</f>
        <v>39.53712</v>
      </c>
      <c r="W16" s="195" t="n">
        <f aca="false">IF(B16="","",O16+V16)</f>
        <v>86.35312</v>
      </c>
      <c r="X16" s="196" t="s">
        <v>368</v>
      </c>
      <c r="Y16" s="197" t="n">
        <v>0.56</v>
      </c>
      <c r="Z16" s="198" t="n">
        <v>0.25</v>
      </c>
      <c r="AA16" s="198" t="n">
        <v>0.56</v>
      </c>
      <c r="AB16" s="198" t="n">
        <v>0.56</v>
      </c>
      <c r="AC16" s="199" t="n">
        <f aca="false">IF(B16="","",IF(D16="TAPADA",(AA16+AB16)/2,0))</f>
        <v>0.56</v>
      </c>
      <c r="AD16" s="199" t="n">
        <f aca="false">IF(B16="","",IF(D16="TAPADA",IFERROR(IF($X$1="ENTERO (redondeo arriba)",ROUNDUP(G16/Z16,0)+1,G16/Z16+1),0),0))</f>
        <v>34.44</v>
      </c>
      <c r="AE16" s="199" t="n">
        <f aca="false">IF(B16="","",IF(D16="TAPADA",AC16*AD16,0))</f>
        <v>19.2864</v>
      </c>
      <c r="AF16" s="199" t="n">
        <f aca="false">IF(B16="","",IF(D16="TAPADA",AE16*Y16,0))</f>
        <v>10.800384</v>
      </c>
      <c r="AG16" s="200" t="n">
        <f aca="false">IF(B16="","",W16+AF16)</f>
        <v>97.153504</v>
      </c>
    </row>
    <row r="17" customFormat="false" ht="36" hidden="false" customHeight="true" outlineLevel="0" collapsed="false">
      <c r="A17" s="190" t="n">
        <v>7</v>
      </c>
      <c r="B17" s="191" t="s">
        <v>372</v>
      </c>
      <c r="C17" s="191" t="s">
        <v>380</v>
      </c>
      <c r="D17" s="192" t="s">
        <v>248</v>
      </c>
      <c r="E17" s="191" t="s">
        <v>381</v>
      </c>
      <c r="F17" s="191" t="s">
        <v>382</v>
      </c>
      <c r="G17" s="193" t="n">
        <v>30.36</v>
      </c>
      <c r="H17" s="191" t="s">
        <v>368</v>
      </c>
      <c r="I17" s="194" t="n">
        <f aca="false">IF(H17="","",IFERROR(VLOOKUP(H17,Listas!$A$4:$B$11,2,FALSE()),""))</f>
        <v>0.56</v>
      </c>
      <c r="J17" s="193" t="n">
        <v>0.22</v>
      </c>
      <c r="K17" s="193" t="n">
        <v>9</v>
      </c>
      <c r="L17" s="193" t="n">
        <v>11</v>
      </c>
      <c r="M17" s="195" t="n">
        <f aca="false">IF(B17="","",(K17+L17)/2)</f>
        <v>10</v>
      </c>
      <c r="N17" s="195" t="n">
        <f aca="false">IF(B17="","",G17*M17)</f>
        <v>303.6</v>
      </c>
      <c r="O17" s="195" t="n">
        <f aca="false">IF(B17="","",N17*I17)</f>
        <v>170.016</v>
      </c>
      <c r="P17" s="193" t="n">
        <v>0.25</v>
      </c>
      <c r="Q17" s="193" t="n">
        <v>2.08</v>
      </c>
      <c r="R17" s="193" t="n">
        <v>2.36</v>
      </c>
      <c r="S17" s="195" t="n">
        <f aca="false">IF(B17="","",(Q17+R17)/2)</f>
        <v>2.22</v>
      </c>
      <c r="T17" s="195" t="n">
        <f aca="false">IF(B17="","",IFERROR(IF($X$1="ENTERO (redondeo arriba)",ROUNDUP(G17/P17,0)+1,G17/P17+1),0))</f>
        <v>122.44</v>
      </c>
      <c r="U17" s="195" t="n">
        <f aca="false">IF(B17="","",S17*T17)</f>
        <v>271.8168</v>
      </c>
      <c r="V17" s="195" t="n">
        <f aca="false">IF(B17="","",U17*I17)</f>
        <v>152.217408</v>
      </c>
      <c r="W17" s="195" t="n">
        <f aca="false">IF(B17="","",O17+V17)</f>
        <v>322.233408</v>
      </c>
      <c r="X17" s="196"/>
      <c r="Y17" s="197"/>
      <c r="Z17" s="198"/>
      <c r="AA17" s="198"/>
      <c r="AB17" s="198"/>
      <c r="AC17" s="199" t="n">
        <f aca="false">IF(B17="","",IF(D17="TAPADA",(AA17+AB17)/2,0))</f>
        <v>0</v>
      </c>
      <c r="AD17" s="199" t="n">
        <f aca="false">IF(B17="","",IF(D17="TAPADA",IFERROR(IF($X$1="ENTERO (redondeo arriba)",ROUNDUP(G17/Z17,0)+1,G17/Z17+1),0),0))</f>
        <v>0</v>
      </c>
      <c r="AE17" s="199" t="n">
        <f aca="false">IF(B17="","",IF(D17="TAPADA",AC17*AD17,0))</f>
        <v>0</v>
      </c>
      <c r="AF17" s="199" t="n">
        <f aca="false">IF(B17="","",IF(D17="TAPADA",AE17*Y17,0))</f>
        <v>0</v>
      </c>
      <c r="AG17" s="200" t="n">
        <f aca="false">IF(B17="","",W17+AF17)</f>
        <v>322.233408</v>
      </c>
    </row>
    <row r="18" customFormat="false" ht="36" hidden="false" customHeight="true" outlineLevel="0" collapsed="false">
      <c r="A18" s="190" t="n">
        <v>8</v>
      </c>
      <c r="B18" s="191" t="s">
        <v>372</v>
      </c>
      <c r="C18" s="191" t="s">
        <v>383</v>
      </c>
      <c r="D18" s="192" t="s">
        <v>370</v>
      </c>
      <c r="E18" s="191" t="s">
        <v>382</v>
      </c>
      <c r="F18" s="191" t="s">
        <v>384</v>
      </c>
      <c r="G18" s="193" t="n">
        <v>2.25</v>
      </c>
      <c r="H18" s="191" t="s">
        <v>368</v>
      </c>
      <c r="I18" s="194" t="n">
        <f aca="false">IF(H18="","",IFERROR(VLOOKUP(H18,Listas!$A$4:$B$11,2,FALSE()),""))</f>
        <v>0.56</v>
      </c>
      <c r="J18" s="193" t="n">
        <v>0.22</v>
      </c>
      <c r="K18" s="193" t="n">
        <v>12</v>
      </c>
      <c r="L18" s="193" t="n">
        <v>12</v>
      </c>
      <c r="M18" s="195" t="n">
        <f aca="false">IF(B18="","",(K18+L18)/2)</f>
        <v>12</v>
      </c>
      <c r="N18" s="195" t="n">
        <f aca="false">IF(B18="","",G18*M18)</f>
        <v>27</v>
      </c>
      <c r="O18" s="195" t="n">
        <f aca="false">IF(B18="","",N18*I18)</f>
        <v>15.12</v>
      </c>
      <c r="P18" s="193" t="n">
        <v>0.25</v>
      </c>
      <c r="Q18" s="193" t="n">
        <v>2.36</v>
      </c>
      <c r="R18" s="193" t="n">
        <v>2.42</v>
      </c>
      <c r="S18" s="195" t="n">
        <f aca="false">IF(B18="","",(Q18+R18)/2)</f>
        <v>2.39</v>
      </c>
      <c r="T18" s="195" t="n">
        <f aca="false">IF(B18="","",IFERROR(IF($X$1="ENTERO (redondeo arriba)",ROUNDUP(G18/P18,0)+1,G18/P18+1),0))</f>
        <v>10</v>
      </c>
      <c r="U18" s="195" t="n">
        <f aca="false">IF(B18="","",S18*T18)</f>
        <v>23.9</v>
      </c>
      <c r="V18" s="195" t="n">
        <f aca="false">IF(B18="","",U18*I18)</f>
        <v>13.384</v>
      </c>
      <c r="W18" s="195" t="n">
        <f aca="false">IF(B18="","",O18+V18)</f>
        <v>28.504</v>
      </c>
      <c r="X18" s="196" t="s">
        <v>368</v>
      </c>
      <c r="Y18" s="197" t="n">
        <v>0.56</v>
      </c>
      <c r="Z18" s="198" t="n">
        <v>0.25</v>
      </c>
      <c r="AA18" s="198" t="n">
        <v>0.56</v>
      </c>
      <c r="AB18" s="198" t="n">
        <v>0.56</v>
      </c>
      <c r="AC18" s="199" t="n">
        <f aca="false">IF(B18="","",IF(D18="TAPADA",(AA18+AB18)/2,0))</f>
        <v>0.56</v>
      </c>
      <c r="AD18" s="199" t="n">
        <f aca="false">IF(B18="","",IF(D18="TAPADA",IFERROR(IF($X$1="ENTERO (redondeo arriba)",ROUNDUP(G18/Z18,0)+1,G18/Z18+1),0),0))</f>
        <v>10</v>
      </c>
      <c r="AE18" s="199" t="n">
        <f aca="false">IF(B18="","",IF(D18="TAPADA",AC18*AD18,0))</f>
        <v>5.6</v>
      </c>
      <c r="AF18" s="199" t="n">
        <f aca="false">IF(B18="","",IF(D18="TAPADA",AE18*Y18,0))</f>
        <v>3.136</v>
      </c>
      <c r="AG18" s="200" t="n">
        <f aca="false">IF(B18="","",W18+AF18)</f>
        <v>31.64</v>
      </c>
    </row>
    <row r="19" customFormat="false" ht="36" hidden="false" customHeight="true" outlineLevel="0" collapsed="false">
      <c r="A19" s="190" t="n">
        <v>9</v>
      </c>
      <c r="B19" s="191" t="s">
        <v>372</v>
      </c>
      <c r="C19" s="191" t="s">
        <v>385</v>
      </c>
      <c r="D19" s="192" t="s">
        <v>370</v>
      </c>
      <c r="E19" s="191" t="s">
        <v>386</v>
      </c>
      <c r="F19" s="191" t="s">
        <v>387</v>
      </c>
      <c r="G19" s="193" t="n">
        <v>10.85</v>
      </c>
      <c r="H19" s="191" t="s">
        <v>368</v>
      </c>
      <c r="I19" s="194" t="n">
        <f aca="false">IF(H19="","",IFERROR(VLOOKUP(H19,Listas!$A$4:$B$11,2,FALSE()),""))</f>
        <v>0.56</v>
      </c>
      <c r="J19" s="193" t="n">
        <v>0.21</v>
      </c>
      <c r="K19" s="193" t="n">
        <v>12</v>
      </c>
      <c r="L19" s="193" t="n">
        <v>12</v>
      </c>
      <c r="M19" s="195" t="n">
        <f aca="false">IF(B19="","",(K19+L19)/2)</f>
        <v>12</v>
      </c>
      <c r="N19" s="195" t="n">
        <f aca="false">IF(B19="","",G19*M19)</f>
        <v>130.2</v>
      </c>
      <c r="O19" s="195" t="n">
        <f aca="false">IF(B19="","",N19*I19)</f>
        <v>72.912</v>
      </c>
      <c r="P19" s="193" t="n">
        <v>0.25</v>
      </c>
      <c r="Q19" s="193" t="n">
        <v>2.32</v>
      </c>
      <c r="R19" s="193" t="n">
        <v>2.42</v>
      </c>
      <c r="S19" s="195" t="n">
        <f aca="false">IF(B19="","",(Q19+R19)/2)</f>
        <v>2.37</v>
      </c>
      <c r="T19" s="195" t="n">
        <f aca="false">IF(B19="","",IFERROR(IF($X$1="ENTERO (redondeo arriba)",ROUNDUP(G19/P19,0)+1,G19/P19+1),0))</f>
        <v>44.4</v>
      </c>
      <c r="U19" s="195" t="n">
        <f aca="false">IF(B19="","",S19*T19)</f>
        <v>105.228</v>
      </c>
      <c r="V19" s="195" t="n">
        <f aca="false">IF(B19="","",U19*I19)</f>
        <v>58.92768</v>
      </c>
      <c r="W19" s="195" t="n">
        <f aca="false">IF(B19="","",O19+V19)</f>
        <v>131.83968</v>
      </c>
      <c r="X19" s="196" t="s">
        <v>368</v>
      </c>
      <c r="Y19" s="197" t="n">
        <v>0.56</v>
      </c>
      <c r="Z19" s="198" t="n">
        <v>0.25</v>
      </c>
      <c r="AA19" s="198" t="n">
        <v>0.56</v>
      </c>
      <c r="AB19" s="198" t="n">
        <v>0.56</v>
      </c>
      <c r="AC19" s="199" t="n">
        <f aca="false">IF(B19="","",IF(D19="TAPADA",(AA19+AB19)/2,0))</f>
        <v>0.56</v>
      </c>
      <c r="AD19" s="199" t="n">
        <f aca="false">IF(B19="","",IF(D19="TAPADA",IFERROR(IF($X$1="ENTERO (redondeo arriba)",ROUNDUP(G19/Z19,0)+1,G19/Z19+1),0),0))</f>
        <v>44.4</v>
      </c>
      <c r="AE19" s="199" t="n">
        <f aca="false">IF(B19="","",IF(D19="TAPADA",AC19*AD19,0))</f>
        <v>24.864</v>
      </c>
      <c r="AF19" s="199" t="n">
        <f aca="false">IF(B19="","",IF(D19="TAPADA",AE19*Y19,0))</f>
        <v>13.92384</v>
      </c>
      <c r="AG19" s="200" t="n">
        <f aca="false">IF(B19="","",W19+AF19)</f>
        <v>145.76352</v>
      </c>
    </row>
    <row r="20" customFormat="false" ht="36" hidden="false" customHeight="true" outlineLevel="0" collapsed="false">
      <c r="A20" s="190" t="n">
        <v>10</v>
      </c>
      <c r="B20" s="191" t="s">
        <v>388</v>
      </c>
      <c r="C20" s="191" t="s">
        <v>365</v>
      </c>
      <c r="D20" s="192" t="s">
        <v>248</v>
      </c>
      <c r="E20" s="191" t="s">
        <v>389</v>
      </c>
      <c r="F20" s="191" t="s">
        <v>390</v>
      </c>
      <c r="G20" s="193" t="n">
        <v>17.53</v>
      </c>
      <c r="H20" s="191" t="s">
        <v>368</v>
      </c>
      <c r="I20" s="194" t="n">
        <f aca="false">IF(H20="","",IFERROR(VLOOKUP(H20,Listas!$A$4:$B$11,2,FALSE()),""))</f>
        <v>0.56</v>
      </c>
      <c r="J20" s="193" t="n">
        <v>0.22</v>
      </c>
      <c r="K20" s="193" t="n">
        <v>7</v>
      </c>
      <c r="L20" s="193" t="n">
        <v>7</v>
      </c>
      <c r="M20" s="195" t="n">
        <f aca="false">IF(B20="","",(K20+L20)/2)</f>
        <v>7</v>
      </c>
      <c r="N20" s="195" t="n">
        <f aca="false">IF(B20="","",G20*M20)</f>
        <v>122.71</v>
      </c>
      <c r="O20" s="195" t="n">
        <f aca="false">IF(B20="","",N20*I20)</f>
        <v>68.7176</v>
      </c>
      <c r="P20" s="193" t="n">
        <v>0.25</v>
      </c>
      <c r="Q20" s="193" t="n">
        <v>1.42</v>
      </c>
      <c r="R20" s="193" t="n">
        <v>1.58</v>
      </c>
      <c r="S20" s="195" t="n">
        <f aca="false">IF(B20="","",(Q20+R20)/2)</f>
        <v>1.5</v>
      </c>
      <c r="T20" s="195" t="n">
        <f aca="false">IF(B20="","",IFERROR(IF($X$1="ENTERO (redondeo arriba)",ROUNDUP(G20/P20,0)+1,G20/P20+1),0))</f>
        <v>71.12</v>
      </c>
      <c r="U20" s="195" t="n">
        <f aca="false">IF(B20="","",S20*T20)</f>
        <v>106.68</v>
      </c>
      <c r="V20" s="195" t="n">
        <f aca="false">IF(B20="","",U20*I20)</f>
        <v>59.7408</v>
      </c>
      <c r="W20" s="195" t="n">
        <f aca="false">IF(B20="","",O20+V20)</f>
        <v>128.4584</v>
      </c>
      <c r="X20" s="196"/>
      <c r="Y20" s="197"/>
      <c r="Z20" s="198"/>
      <c r="AA20" s="198"/>
      <c r="AB20" s="198"/>
      <c r="AC20" s="199" t="n">
        <f aca="false">IF(B20="","",IF(D20="TAPADA",(AA20+AB20)/2,0))</f>
        <v>0</v>
      </c>
      <c r="AD20" s="199" t="n">
        <f aca="false">IF(B20="","",IF(D20="TAPADA",IFERROR(IF($X$1="ENTERO (redondeo arriba)",ROUNDUP(G20/Z20,0)+1,G20/Z20+1),0),0))</f>
        <v>0</v>
      </c>
      <c r="AE20" s="199" t="n">
        <f aca="false">IF(B20="","",IF(D20="TAPADA",AC20*AD20,0))</f>
        <v>0</v>
      </c>
      <c r="AF20" s="199" t="n">
        <f aca="false">IF(B20="","",IF(D20="TAPADA",AE20*Y20,0))</f>
        <v>0</v>
      </c>
      <c r="AG20" s="200" t="n">
        <f aca="false">IF(B20="","",W20+AF20)</f>
        <v>128.4584</v>
      </c>
    </row>
    <row r="21" customFormat="false" ht="36" hidden="false" customHeight="true" outlineLevel="0" collapsed="false">
      <c r="A21" s="190" t="n">
        <v>11</v>
      </c>
      <c r="B21" s="191" t="s">
        <v>388</v>
      </c>
      <c r="C21" s="191" t="s">
        <v>369</v>
      </c>
      <c r="D21" s="192" t="s">
        <v>370</v>
      </c>
      <c r="E21" s="191" t="s">
        <v>390</v>
      </c>
      <c r="F21" s="191" t="s">
        <v>391</v>
      </c>
      <c r="G21" s="193" t="n">
        <v>5.7</v>
      </c>
      <c r="H21" s="191" t="s">
        <v>368</v>
      </c>
      <c r="I21" s="194" t="n">
        <f aca="false">IF(H21="","",IFERROR(VLOOKUP(H21,Listas!$A$4:$B$11,2,FALSE()),""))</f>
        <v>0.56</v>
      </c>
      <c r="J21" s="193" t="n">
        <v>0.21</v>
      </c>
      <c r="K21" s="193" t="n">
        <v>8</v>
      </c>
      <c r="L21" s="193" t="n">
        <v>10</v>
      </c>
      <c r="M21" s="195" t="n">
        <f aca="false">IF(B21="","",(K21+L21)/2)</f>
        <v>9</v>
      </c>
      <c r="N21" s="195" t="n">
        <f aca="false">IF(B21="","",G21*M21)</f>
        <v>51.3</v>
      </c>
      <c r="O21" s="195" t="n">
        <f aca="false">IF(B21="","",N21*I21)</f>
        <v>28.728</v>
      </c>
      <c r="P21" s="193" t="n">
        <v>0.25</v>
      </c>
      <c r="Q21" s="193" t="n">
        <v>1.58</v>
      </c>
      <c r="R21" s="193" t="n">
        <v>1.62</v>
      </c>
      <c r="S21" s="195" t="n">
        <f aca="false">IF(B21="","",(Q21+R21)/2)</f>
        <v>1.6</v>
      </c>
      <c r="T21" s="195" t="n">
        <f aca="false">IF(B21="","",IFERROR(IF($X$1="ENTERO (redondeo arriba)",ROUNDUP(G21/P21,0)+1,G21/P21+1),0))</f>
        <v>23.8</v>
      </c>
      <c r="U21" s="195" t="n">
        <f aca="false">IF(B21="","",S21*T21)</f>
        <v>38.08</v>
      </c>
      <c r="V21" s="195" t="n">
        <f aca="false">IF(B21="","",U21*I21)</f>
        <v>21.3248</v>
      </c>
      <c r="W21" s="195" t="n">
        <f aca="false">IF(B21="","",O21+V21)</f>
        <v>50.0528</v>
      </c>
      <c r="X21" s="196" t="s">
        <v>368</v>
      </c>
      <c r="Y21" s="197" t="n">
        <v>0.56</v>
      </c>
      <c r="Z21" s="198" t="n">
        <v>0.25</v>
      </c>
      <c r="AA21" s="198" t="n">
        <v>0.56</v>
      </c>
      <c r="AB21" s="198" t="n">
        <v>0.56</v>
      </c>
      <c r="AC21" s="199" t="n">
        <f aca="false">IF(B21="","",IF(D21="TAPADA",(AA21+AB21)/2,0))</f>
        <v>0.56</v>
      </c>
      <c r="AD21" s="199" t="n">
        <f aca="false">IF(B21="","",IF(D21="TAPADA",IFERROR(IF($X$1="ENTERO (redondeo arriba)",ROUNDUP(G21/Z21,0)+1,G21/Z21+1),0),0))</f>
        <v>23.8</v>
      </c>
      <c r="AE21" s="199" t="n">
        <f aca="false">IF(B21="","",IF(D21="TAPADA",AC21*AD21,0))</f>
        <v>13.328</v>
      </c>
      <c r="AF21" s="199" t="n">
        <f aca="false">IF(B21="","",IF(D21="TAPADA",AE21*Y21,0))</f>
        <v>7.46368</v>
      </c>
      <c r="AG21" s="200" t="n">
        <f aca="false">IF(B21="","",W21+AF21)</f>
        <v>57.51648</v>
      </c>
    </row>
    <row r="22" customFormat="false" ht="36" hidden="false" customHeight="true" outlineLevel="0" collapsed="false">
      <c r="A22" s="190" t="n">
        <v>12</v>
      </c>
      <c r="B22" s="191" t="s">
        <v>392</v>
      </c>
      <c r="C22" s="191" t="s">
        <v>365</v>
      </c>
      <c r="D22" s="192" t="s">
        <v>248</v>
      </c>
      <c r="E22" s="191" t="s">
        <v>393</v>
      </c>
      <c r="F22" s="191" t="s">
        <v>394</v>
      </c>
      <c r="G22" s="193" t="n">
        <v>17.53</v>
      </c>
      <c r="H22" s="191" t="s">
        <v>368</v>
      </c>
      <c r="I22" s="194" t="n">
        <f aca="false">IF(H22="","",IFERROR(VLOOKUP(H22,Listas!$A$4:$B$11,2,FALSE()),""))</f>
        <v>0.56</v>
      </c>
      <c r="J22" s="193" t="n">
        <v>0.22</v>
      </c>
      <c r="K22" s="193" t="n">
        <v>7</v>
      </c>
      <c r="L22" s="193" t="n">
        <v>7</v>
      </c>
      <c r="M22" s="195" t="n">
        <f aca="false">IF(B22="","",(K22+L22)/2)</f>
        <v>7</v>
      </c>
      <c r="N22" s="195" t="n">
        <f aca="false">IF(B22="","",G22*M22)</f>
        <v>122.71</v>
      </c>
      <c r="O22" s="195" t="n">
        <f aca="false">IF(B22="","",N22*I22)</f>
        <v>68.7176</v>
      </c>
      <c r="P22" s="193" t="n">
        <v>0.25</v>
      </c>
      <c r="Q22" s="193" t="n">
        <v>1.42</v>
      </c>
      <c r="R22" s="193" t="n">
        <v>1.58</v>
      </c>
      <c r="S22" s="195" t="n">
        <f aca="false">IF(B22="","",(Q22+R22)/2)</f>
        <v>1.5</v>
      </c>
      <c r="T22" s="195" t="n">
        <f aca="false">IF(B22="","",IFERROR(IF($X$1="ENTERO (redondeo arriba)",ROUNDUP(G22/P22,0)+1,G22/P22+1),0))</f>
        <v>71.12</v>
      </c>
      <c r="U22" s="195" t="n">
        <f aca="false">IF(B22="","",S22*T22)</f>
        <v>106.68</v>
      </c>
      <c r="V22" s="195" t="n">
        <f aca="false">IF(B22="","",U22*I22)</f>
        <v>59.7408</v>
      </c>
      <c r="W22" s="195" t="n">
        <f aca="false">IF(B22="","",O22+V22)</f>
        <v>128.4584</v>
      </c>
      <c r="X22" s="196"/>
      <c r="Y22" s="197"/>
      <c r="Z22" s="198"/>
      <c r="AA22" s="198"/>
      <c r="AB22" s="198"/>
      <c r="AC22" s="199" t="n">
        <f aca="false">IF(B22="","",IF(D22="TAPADA",(AA22+AB22)/2,0))</f>
        <v>0</v>
      </c>
      <c r="AD22" s="199" t="n">
        <f aca="false">IF(B22="","",IF(D22="TAPADA",IFERROR(IF($X$1="ENTERO (redondeo arriba)",ROUNDUP(G22/Z22,0)+1,G22/Z22+1),0),0))</f>
        <v>0</v>
      </c>
      <c r="AE22" s="199" t="n">
        <f aca="false">IF(B22="","",IF(D22="TAPADA",AC22*AD22,0))</f>
        <v>0</v>
      </c>
      <c r="AF22" s="199" t="n">
        <f aca="false">IF(B22="","",IF(D22="TAPADA",AE22*Y22,0))</f>
        <v>0</v>
      </c>
      <c r="AG22" s="200" t="n">
        <f aca="false">IF(B22="","",W22+AF22)</f>
        <v>128.4584</v>
      </c>
    </row>
    <row r="23" customFormat="false" ht="36" hidden="false" customHeight="true" outlineLevel="0" collapsed="false">
      <c r="A23" s="190" t="n">
        <v>13</v>
      </c>
      <c r="B23" s="191" t="s">
        <v>392</v>
      </c>
      <c r="C23" s="191" t="s">
        <v>369</v>
      </c>
      <c r="D23" s="192" t="s">
        <v>370</v>
      </c>
      <c r="E23" s="191" t="s">
        <v>394</v>
      </c>
      <c r="F23" s="191" t="s">
        <v>395</v>
      </c>
      <c r="G23" s="193" t="n">
        <v>10.9</v>
      </c>
      <c r="H23" s="191" t="s">
        <v>368</v>
      </c>
      <c r="I23" s="194" t="n">
        <f aca="false">IF(H23="","",IFERROR(VLOOKUP(H23,Listas!$A$4:$B$11,2,FALSE()),""))</f>
        <v>0.56</v>
      </c>
      <c r="J23" s="193" t="n">
        <v>0.22</v>
      </c>
      <c r="K23" s="193" t="n">
        <v>8</v>
      </c>
      <c r="L23" s="193" t="n">
        <v>10</v>
      </c>
      <c r="M23" s="195" t="n">
        <f aca="false">IF(B23="","",(K23+L23)/2)</f>
        <v>9</v>
      </c>
      <c r="N23" s="195" t="n">
        <f aca="false">IF(B23="","",G23*M23)</f>
        <v>98.1</v>
      </c>
      <c r="O23" s="195" t="n">
        <f aca="false">IF(B23="","",N23*I23)</f>
        <v>54.936</v>
      </c>
      <c r="P23" s="193" t="n">
        <v>0.25</v>
      </c>
      <c r="Q23" s="193" t="n">
        <v>1.58</v>
      </c>
      <c r="R23" s="193" t="n">
        <v>1.7</v>
      </c>
      <c r="S23" s="195" t="n">
        <f aca="false">IF(B23="","",(Q23+R23)/2)</f>
        <v>1.64</v>
      </c>
      <c r="T23" s="195" t="n">
        <f aca="false">IF(B23="","",IFERROR(IF($X$1="ENTERO (redondeo arriba)",ROUNDUP(G23/P23,0)+1,G23/P23+1),0))</f>
        <v>44.6</v>
      </c>
      <c r="U23" s="195" t="n">
        <f aca="false">IF(B23="","",S23*T23)</f>
        <v>73.144</v>
      </c>
      <c r="V23" s="195" t="n">
        <f aca="false">IF(B23="","",U23*I23)</f>
        <v>40.96064</v>
      </c>
      <c r="W23" s="195" t="n">
        <f aca="false">IF(B23="","",O23+V23)</f>
        <v>95.89664</v>
      </c>
      <c r="X23" s="196" t="s">
        <v>368</v>
      </c>
      <c r="Y23" s="197" t="n">
        <v>0.56</v>
      </c>
      <c r="Z23" s="198" t="n">
        <v>0.25</v>
      </c>
      <c r="AA23" s="198" t="n">
        <v>0.56</v>
      </c>
      <c r="AB23" s="198" t="n">
        <v>0.56</v>
      </c>
      <c r="AC23" s="199" t="n">
        <f aca="false">IF(B23="","",IF(D23="TAPADA",(AA23+AB23)/2,0))</f>
        <v>0.56</v>
      </c>
      <c r="AD23" s="199" t="n">
        <f aca="false">IF(B23="","",IF(D23="TAPADA",IFERROR(IF($X$1="ENTERO (redondeo arriba)",ROUNDUP(G23/Z23,0)+1,G23/Z23+1),0),0))</f>
        <v>44.6</v>
      </c>
      <c r="AE23" s="199" t="n">
        <f aca="false">IF(B23="","",IF(D23="TAPADA",AC23*AD23,0))</f>
        <v>24.976</v>
      </c>
      <c r="AF23" s="199" t="n">
        <f aca="false">IF(B23="","",IF(D23="TAPADA",AE23*Y23,0))</f>
        <v>13.98656</v>
      </c>
      <c r="AG23" s="200" t="n">
        <f aca="false">IF(B23="","",W23+AF23)</f>
        <v>109.8832</v>
      </c>
    </row>
    <row r="24" customFormat="false" ht="36" hidden="false" customHeight="true" outlineLevel="0" collapsed="false">
      <c r="A24" s="190" t="n">
        <v>14</v>
      </c>
      <c r="B24" s="191" t="s">
        <v>392</v>
      </c>
      <c r="C24" s="191" t="s">
        <v>376</v>
      </c>
      <c r="D24" s="192" t="s">
        <v>248</v>
      </c>
      <c r="E24" s="191" t="s">
        <v>396</v>
      </c>
      <c r="F24" s="191" t="s">
        <v>397</v>
      </c>
      <c r="G24" s="193" t="n">
        <v>56.93</v>
      </c>
      <c r="H24" s="191" t="s">
        <v>368</v>
      </c>
      <c r="I24" s="194" t="n">
        <f aca="false">IF(H24="","",IFERROR(VLOOKUP(H24,Listas!$A$4:$B$11,2,FALSE()),""))</f>
        <v>0.56</v>
      </c>
      <c r="J24" s="193" t="n">
        <v>0.2</v>
      </c>
      <c r="K24" s="193" t="n">
        <v>9</v>
      </c>
      <c r="L24" s="193" t="n">
        <v>11</v>
      </c>
      <c r="M24" s="195" t="n">
        <f aca="false">IF(B24="","",(K24+L24)/2)</f>
        <v>10</v>
      </c>
      <c r="N24" s="195" t="n">
        <f aca="false">IF(B24="","",G24*M24)</f>
        <v>569.3</v>
      </c>
      <c r="O24" s="195" t="n">
        <f aca="false">IF(B24="","",N24*I24)</f>
        <v>318.808</v>
      </c>
      <c r="P24" s="193" t="n">
        <v>0.25</v>
      </c>
      <c r="Q24" s="193" t="n">
        <v>1.7</v>
      </c>
      <c r="R24" s="193" t="n">
        <v>2.26</v>
      </c>
      <c r="S24" s="195" t="n">
        <f aca="false">IF(B24="","",(Q24+R24)/2)</f>
        <v>1.98</v>
      </c>
      <c r="T24" s="195" t="n">
        <f aca="false">IF(B24="","",IFERROR(IF($X$1="ENTERO (redondeo arriba)",ROUNDUP(G24/P24,0)+1,G24/P24+1),0))</f>
        <v>228.72</v>
      </c>
      <c r="U24" s="195" t="n">
        <f aca="false">IF(B24="","",S24*T24)</f>
        <v>452.8656</v>
      </c>
      <c r="V24" s="195" t="n">
        <f aca="false">IF(B24="","",U24*I24)</f>
        <v>253.604736</v>
      </c>
      <c r="W24" s="195" t="n">
        <f aca="false">IF(B24="","",O24+V24)</f>
        <v>572.412736</v>
      </c>
      <c r="X24" s="196"/>
      <c r="Y24" s="197"/>
      <c r="Z24" s="198"/>
      <c r="AA24" s="198"/>
      <c r="AB24" s="198"/>
      <c r="AC24" s="199" t="n">
        <f aca="false">IF(B24="","",IF(D24="TAPADA",(AA24+AB24)/2,0))</f>
        <v>0</v>
      </c>
      <c r="AD24" s="199" t="n">
        <f aca="false">IF(B24="","",IF(D24="TAPADA",IFERROR(IF($X$1="ENTERO (redondeo arriba)",ROUNDUP(G24/Z24,0)+1,G24/Z24+1),0),0))</f>
        <v>0</v>
      </c>
      <c r="AE24" s="199" t="n">
        <f aca="false">IF(B24="","",IF(D24="TAPADA",AC24*AD24,0))</f>
        <v>0</v>
      </c>
      <c r="AF24" s="199" t="n">
        <f aca="false">IF(B24="","",IF(D24="TAPADA",AE24*Y24,0))</f>
        <v>0</v>
      </c>
      <c r="AG24" s="200" t="n">
        <f aca="false">IF(B24="","",W24+AF24)</f>
        <v>572.412736</v>
      </c>
    </row>
    <row r="25" customFormat="false" ht="36" hidden="false" customHeight="true" outlineLevel="0" collapsed="false">
      <c r="A25" s="190" t="n">
        <v>15</v>
      </c>
      <c r="B25" s="191" t="s">
        <v>392</v>
      </c>
      <c r="C25" s="191" t="s">
        <v>378</v>
      </c>
      <c r="D25" s="192" t="s">
        <v>370</v>
      </c>
      <c r="E25" s="191" t="s">
        <v>397</v>
      </c>
      <c r="F25" s="191" t="s">
        <v>398</v>
      </c>
      <c r="G25" s="193" t="n">
        <v>15</v>
      </c>
      <c r="H25" s="191" t="s">
        <v>368</v>
      </c>
      <c r="I25" s="194" t="n">
        <f aca="false">IF(H25="","",IFERROR(VLOOKUP(H25,Listas!$A$4:$B$11,2,FALSE()),""))</f>
        <v>0.56</v>
      </c>
      <c r="J25" s="193" t="n">
        <v>0.21</v>
      </c>
      <c r="K25" s="193" t="n">
        <v>12</v>
      </c>
      <c r="L25" s="193" t="n">
        <v>12</v>
      </c>
      <c r="M25" s="195" t="n">
        <f aca="false">IF(B25="","",(K25+L25)/2)</f>
        <v>12</v>
      </c>
      <c r="N25" s="195" t="n">
        <f aca="false">IF(B25="","",G25*M25)</f>
        <v>180</v>
      </c>
      <c r="O25" s="195" t="n">
        <f aca="false">IF(B25="","",N25*I25)</f>
        <v>100.8</v>
      </c>
      <c r="P25" s="193" t="n">
        <v>0.25</v>
      </c>
      <c r="Q25" s="193" t="n">
        <v>2.26</v>
      </c>
      <c r="R25" s="193" t="n">
        <v>2.42</v>
      </c>
      <c r="S25" s="195" t="n">
        <f aca="false">IF(B25="","",(Q25+R25)/2)</f>
        <v>2.34</v>
      </c>
      <c r="T25" s="195" t="n">
        <f aca="false">IF(B25="","",IFERROR(IF($X$1="ENTERO (redondeo arriba)",ROUNDUP(G25/P25,0)+1,G25/P25+1),0))</f>
        <v>61</v>
      </c>
      <c r="U25" s="195" t="n">
        <f aca="false">IF(B25="","",S25*T25)</f>
        <v>142.74</v>
      </c>
      <c r="V25" s="195" t="n">
        <f aca="false">IF(B25="","",U25*I25)</f>
        <v>79.9344</v>
      </c>
      <c r="W25" s="195" t="n">
        <f aca="false">IF(B25="","",O25+V25)</f>
        <v>180.7344</v>
      </c>
      <c r="X25" s="196" t="s">
        <v>368</v>
      </c>
      <c r="Y25" s="197" t="n">
        <v>0.56</v>
      </c>
      <c r="Z25" s="198" t="n">
        <v>0.25</v>
      </c>
      <c r="AA25" s="198" t="n">
        <v>0.56</v>
      </c>
      <c r="AB25" s="198" t="n">
        <v>0.56</v>
      </c>
      <c r="AC25" s="199" t="n">
        <f aca="false">IF(B25="","",IF(D25="TAPADA",(AA25+AB25)/2,0))</f>
        <v>0.56</v>
      </c>
      <c r="AD25" s="199" t="n">
        <f aca="false">IF(B25="","",IF(D25="TAPADA",IFERROR(IF($X$1="ENTERO (redondeo arriba)",ROUNDUP(G25/Z25,0)+1,G25/Z25+1),0),0))</f>
        <v>61</v>
      </c>
      <c r="AE25" s="199" t="n">
        <f aca="false">IF(B25="","",IF(D25="TAPADA",AC25*AD25,0))</f>
        <v>34.16</v>
      </c>
      <c r="AF25" s="199" t="n">
        <f aca="false">IF(B25="","",IF(D25="TAPADA",AE25*Y25,0))</f>
        <v>19.1296</v>
      </c>
      <c r="AG25" s="200" t="n">
        <f aca="false">IF(B25="","",W25+AF25)</f>
        <v>199.864</v>
      </c>
    </row>
    <row r="26" customFormat="false" ht="36" hidden="false" customHeight="true" outlineLevel="0" collapsed="false">
      <c r="A26" s="190" t="n">
        <v>16</v>
      </c>
      <c r="B26" s="191" t="s">
        <v>399</v>
      </c>
      <c r="C26" s="191" t="s">
        <v>365</v>
      </c>
      <c r="D26" s="192" t="s">
        <v>248</v>
      </c>
      <c r="E26" s="191" t="s">
        <v>400</v>
      </c>
      <c r="F26" s="191" t="s">
        <v>401</v>
      </c>
      <c r="G26" s="193" t="n">
        <v>17.53</v>
      </c>
      <c r="H26" s="191" t="s">
        <v>368</v>
      </c>
      <c r="I26" s="194" t="n">
        <f aca="false">IF(H26="","",IFERROR(VLOOKUP(H26,Listas!$A$4:$B$11,2,FALSE()),""))</f>
        <v>0.56</v>
      </c>
      <c r="J26" s="193" t="n">
        <v>0.22</v>
      </c>
      <c r="K26" s="193" t="n">
        <v>7</v>
      </c>
      <c r="L26" s="193" t="n">
        <v>7</v>
      </c>
      <c r="M26" s="195" t="n">
        <f aca="false">IF(B26="","",(K26+L26)/2)</f>
        <v>7</v>
      </c>
      <c r="N26" s="195" t="n">
        <f aca="false">IF(B26="","",G26*M26)</f>
        <v>122.71</v>
      </c>
      <c r="O26" s="195" t="n">
        <f aca="false">IF(B26="","",N26*I26)</f>
        <v>68.7176</v>
      </c>
      <c r="P26" s="193" t="n">
        <v>0.25</v>
      </c>
      <c r="Q26" s="193" t="n">
        <v>1.42</v>
      </c>
      <c r="R26" s="193" t="n">
        <v>1.58</v>
      </c>
      <c r="S26" s="195" t="n">
        <f aca="false">IF(B26="","",(Q26+R26)/2)</f>
        <v>1.5</v>
      </c>
      <c r="T26" s="195" t="n">
        <f aca="false">IF(B26="","",IFERROR(IF($X$1="ENTERO (redondeo arriba)",ROUNDUP(G26/P26,0)+1,G26/P26+1),0))</f>
        <v>71.12</v>
      </c>
      <c r="U26" s="195" t="n">
        <f aca="false">IF(B26="","",S26*T26)</f>
        <v>106.68</v>
      </c>
      <c r="V26" s="195" t="n">
        <f aca="false">IF(B26="","",U26*I26)</f>
        <v>59.7408</v>
      </c>
      <c r="W26" s="195" t="n">
        <f aca="false">IF(B26="","",O26+V26)</f>
        <v>128.4584</v>
      </c>
      <c r="X26" s="196"/>
      <c r="Y26" s="197"/>
      <c r="Z26" s="198"/>
      <c r="AA26" s="198"/>
      <c r="AB26" s="198"/>
      <c r="AC26" s="199" t="n">
        <f aca="false">IF(B26="","",IF(D26="TAPADA",(AA26+AB26)/2,0))</f>
        <v>0</v>
      </c>
      <c r="AD26" s="199" t="n">
        <f aca="false">IF(B26="","",IF(D26="TAPADA",IFERROR(IF($X$1="ENTERO (redondeo arriba)",ROUNDUP(G26/Z26,0)+1,G26/Z26+1),0),0))</f>
        <v>0</v>
      </c>
      <c r="AE26" s="199" t="n">
        <f aca="false">IF(B26="","",IF(D26="TAPADA",AC26*AD26,0))</f>
        <v>0</v>
      </c>
      <c r="AF26" s="199" t="n">
        <f aca="false">IF(B26="","",IF(D26="TAPADA",AE26*Y26,0))</f>
        <v>0</v>
      </c>
      <c r="AG26" s="200" t="n">
        <f aca="false">IF(B26="","",W26+AF26)</f>
        <v>128.4584</v>
      </c>
    </row>
    <row r="27" customFormat="false" ht="36" hidden="false" customHeight="true" outlineLevel="0" collapsed="false">
      <c r="A27" s="190" t="n">
        <v>17</v>
      </c>
      <c r="B27" s="191" t="s">
        <v>399</v>
      </c>
      <c r="C27" s="191" t="s">
        <v>369</v>
      </c>
      <c r="D27" s="192" t="s">
        <v>370</v>
      </c>
      <c r="E27" s="191" t="s">
        <v>401</v>
      </c>
      <c r="F27" s="191" t="s">
        <v>402</v>
      </c>
      <c r="G27" s="193" t="n">
        <v>7.66</v>
      </c>
      <c r="H27" s="191" t="s">
        <v>368</v>
      </c>
      <c r="I27" s="194" t="n">
        <f aca="false">IF(H27="","",IFERROR(VLOOKUP(H27,Listas!$A$4:$B$11,2,FALSE()),""))</f>
        <v>0.56</v>
      </c>
      <c r="J27" s="193" t="n">
        <v>0.22</v>
      </c>
      <c r="K27" s="193" t="n">
        <v>8</v>
      </c>
      <c r="L27" s="193" t="n">
        <v>10</v>
      </c>
      <c r="M27" s="195" t="n">
        <f aca="false">IF(B27="","",(K27+L27)/2)</f>
        <v>9</v>
      </c>
      <c r="N27" s="195" t="n">
        <f aca="false">IF(B27="","",G27*M27)</f>
        <v>68.94</v>
      </c>
      <c r="O27" s="195" t="n">
        <f aca="false">IF(B27="","",N27*I27)</f>
        <v>38.6064</v>
      </c>
      <c r="P27" s="193" t="n">
        <v>0.25</v>
      </c>
      <c r="Q27" s="193" t="n">
        <v>1.58</v>
      </c>
      <c r="R27" s="193" t="n">
        <v>1.66</v>
      </c>
      <c r="S27" s="195" t="n">
        <f aca="false">IF(B27="","",(Q27+R27)/2)</f>
        <v>1.62</v>
      </c>
      <c r="T27" s="195" t="n">
        <f aca="false">IF(B27="","",IFERROR(IF($X$1="ENTERO (redondeo arriba)",ROUNDUP(G27/P27,0)+1,G27/P27+1),0))</f>
        <v>31.64</v>
      </c>
      <c r="U27" s="195" t="n">
        <f aca="false">IF(B27="","",S27*T27)</f>
        <v>51.2568</v>
      </c>
      <c r="V27" s="195" t="n">
        <f aca="false">IF(B27="","",U27*I27)</f>
        <v>28.703808</v>
      </c>
      <c r="W27" s="195" t="n">
        <f aca="false">IF(B27="","",O27+V27)</f>
        <v>67.310208</v>
      </c>
      <c r="X27" s="196" t="s">
        <v>368</v>
      </c>
      <c r="Y27" s="197" t="n">
        <v>0.56</v>
      </c>
      <c r="Z27" s="198" t="n">
        <v>0.25</v>
      </c>
      <c r="AA27" s="198" t="n">
        <v>0.56</v>
      </c>
      <c r="AB27" s="198" t="n">
        <v>0.56</v>
      </c>
      <c r="AC27" s="199" t="n">
        <f aca="false">IF(B27="","",IF(D27="TAPADA",(AA27+AB27)/2,0))</f>
        <v>0.56</v>
      </c>
      <c r="AD27" s="199" t="n">
        <f aca="false">IF(B27="","",IF(D27="TAPADA",IFERROR(IF($X$1="ENTERO (redondeo arriba)",ROUNDUP(G27/Z27,0)+1,G27/Z27+1),0),0))</f>
        <v>31.64</v>
      </c>
      <c r="AE27" s="199" t="n">
        <f aca="false">IF(B27="","",IF(D27="TAPADA",AC27*AD27,0))</f>
        <v>17.7184</v>
      </c>
      <c r="AF27" s="199" t="n">
        <f aca="false">IF(B27="","",IF(D27="TAPADA",AE27*Y27,0))</f>
        <v>9.922304</v>
      </c>
      <c r="AG27" s="200" t="n">
        <f aca="false">IF(B27="","",W27+AF27)</f>
        <v>77.232512</v>
      </c>
    </row>
    <row r="28" customFormat="false" ht="36" hidden="false" customHeight="true" outlineLevel="0" collapsed="false">
      <c r="A28" s="190" t="n">
        <v>18</v>
      </c>
      <c r="B28" s="191" t="s">
        <v>399</v>
      </c>
      <c r="C28" s="191" t="s">
        <v>376</v>
      </c>
      <c r="D28" s="192" t="s">
        <v>248</v>
      </c>
      <c r="E28" s="191" t="s">
        <v>402</v>
      </c>
      <c r="F28" s="191" t="s">
        <v>403</v>
      </c>
      <c r="G28" s="193" t="n">
        <v>63.75</v>
      </c>
      <c r="H28" s="191" t="s">
        <v>368</v>
      </c>
      <c r="I28" s="194" t="n">
        <f aca="false">IF(H28="","",IFERROR(VLOOKUP(H28,Listas!$A$4:$B$11,2,FALSE()),""))</f>
        <v>0.56</v>
      </c>
      <c r="J28" s="193" t="n">
        <v>0.19</v>
      </c>
      <c r="K28" s="193" t="n">
        <v>9</v>
      </c>
      <c r="L28" s="193" t="n">
        <v>11</v>
      </c>
      <c r="M28" s="195" t="n">
        <f aca="false">IF(B28="","",(K28+L28)/2)</f>
        <v>10</v>
      </c>
      <c r="N28" s="195" t="n">
        <f aca="false">IF(B28="","",G28*M28)</f>
        <v>637.5</v>
      </c>
      <c r="O28" s="195" t="n">
        <f aca="false">IF(B28="","",N28*I28)</f>
        <v>357</v>
      </c>
      <c r="P28" s="193" t="n">
        <v>0.25</v>
      </c>
      <c r="Q28" s="193" t="n">
        <v>1.66</v>
      </c>
      <c r="R28" s="193" t="n">
        <v>2.32</v>
      </c>
      <c r="S28" s="195" t="n">
        <f aca="false">IF(B28="","",(Q28+R28)/2)</f>
        <v>1.99</v>
      </c>
      <c r="T28" s="195" t="n">
        <f aca="false">IF(B28="","",IFERROR(IF($X$1="ENTERO (redondeo arriba)",ROUNDUP(G28/P28,0)+1,G28/P28+1),0))</f>
        <v>256</v>
      </c>
      <c r="U28" s="195" t="n">
        <f aca="false">IF(B28="","",S28*T28)</f>
        <v>509.44</v>
      </c>
      <c r="V28" s="195" t="n">
        <f aca="false">IF(B28="","",U28*I28)</f>
        <v>285.2864</v>
      </c>
      <c r="W28" s="195" t="n">
        <f aca="false">IF(B28="","",O28+V28)</f>
        <v>642.2864</v>
      </c>
      <c r="X28" s="196"/>
      <c r="Y28" s="197"/>
      <c r="Z28" s="198"/>
      <c r="AA28" s="198"/>
      <c r="AB28" s="198"/>
      <c r="AC28" s="199" t="n">
        <f aca="false">IF(B28="","",IF(D28="TAPADA",(AA28+AB28)/2,0))</f>
        <v>0</v>
      </c>
      <c r="AD28" s="199" t="n">
        <f aca="false">IF(B28="","",IF(D28="TAPADA",IFERROR(IF($X$1="ENTERO (redondeo arriba)",ROUNDUP(G28/Z28,0)+1,G28/Z28+1),0),0))</f>
        <v>0</v>
      </c>
      <c r="AE28" s="199" t="n">
        <f aca="false">IF(B28="","",IF(D28="TAPADA",AC28*AD28,0))</f>
        <v>0</v>
      </c>
      <c r="AF28" s="199" t="n">
        <f aca="false">IF(B28="","",IF(D28="TAPADA",AE28*Y28,0))</f>
        <v>0</v>
      </c>
      <c r="AG28" s="200" t="n">
        <f aca="false">IF(B28="","",W28+AF28)</f>
        <v>642.2864</v>
      </c>
    </row>
    <row r="29" customFormat="false" ht="36" hidden="false" customHeight="true" outlineLevel="0" collapsed="false">
      <c r="A29" s="190" t="n">
        <v>19</v>
      </c>
      <c r="B29" s="191" t="s">
        <v>399</v>
      </c>
      <c r="C29" s="191" t="s">
        <v>378</v>
      </c>
      <c r="D29" s="192" t="s">
        <v>370</v>
      </c>
      <c r="E29" s="191" t="s">
        <v>403</v>
      </c>
      <c r="F29" s="191" t="s">
        <v>404</v>
      </c>
      <c r="G29" s="193" t="n">
        <v>11.47</v>
      </c>
      <c r="H29" s="191" t="s">
        <v>368</v>
      </c>
      <c r="I29" s="194" t="n">
        <f aca="false">IF(H29="","",IFERROR(VLOOKUP(H29,Listas!$A$4:$B$11,2,FALSE()),""))</f>
        <v>0.56</v>
      </c>
      <c r="J29" s="193" t="n">
        <v>0.21</v>
      </c>
      <c r="K29" s="193" t="n">
        <v>12</v>
      </c>
      <c r="L29" s="193" t="n">
        <v>12</v>
      </c>
      <c r="M29" s="195" t="n">
        <f aca="false">IF(B29="","",(K29+L29)/2)</f>
        <v>12</v>
      </c>
      <c r="N29" s="195" t="n">
        <f aca="false">IF(B29="","",G29*M29)</f>
        <v>137.64</v>
      </c>
      <c r="O29" s="195" t="n">
        <f aca="false">IF(B29="","",N29*I29)</f>
        <v>77.0784</v>
      </c>
      <c r="P29" s="193" t="n">
        <v>0.25</v>
      </c>
      <c r="Q29" s="193" t="n">
        <v>2.32</v>
      </c>
      <c r="R29" s="193" t="n">
        <v>2.42</v>
      </c>
      <c r="S29" s="195" t="n">
        <f aca="false">IF(B29="","",(Q29+R29)/2)</f>
        <v>2.37</v>
      </c>
      <c r="T29" s="195" t="n">
        <f aca="false">IF(B29="","",IFERROR(IF($X$1="ENTERO (redondeo arriba)",ROUNDUP(G29/P29,0)+1,G29/P29+1),0))</f>
        <v>46.88</v>
      </c>
      <c r="U29" s="195" t="n">
        <f aca="false">IF(B29="","",S29*T29)</f>
        <v>111.1056</v>
      </c>
      <c r="V29" s="195" t="n">
        <f aca="false">IF(B29="","",U29*I29)</f>
        <v>62.219136</v>
      </c>
      <c r="W29" s="195" t="n">
        <f aca="false">IF(B29="","",O29+V29)</f>
        <v>139.297536</v>
      </c>
      <c r="X29" s="196" t="s">
        <v>368</v>
      </c>
      <c r="Y29" s="197" t="n">
        <v>0.56</v>
      </c>
      <c r="Z29" s="198" t="n">
        <v>0.25</v>
      </c>
      <c r="AA29" s="198" t="n">
        <v>0.56</v>
      </c>
      <c r="AB29" s="198" t="n">
        <v>0.56</v>
      </c>
      <c r="AC29" s="199" t="n">
        <f aca="false">IF(B29="","",IF(D29="TAPADA",(AA29+AB29)/2,0))</f>
        <v>0.56</v>
      </c>
      <c r="AD29" s="199" t="n">
        <f aca="false">IF(B29="","",IF(D29="TAPADA",IFERROR(IF($X$1="ENTERO (redondeo arriba)",ROUNDUP(G29/Z29,0)+1,G29/Z29+1),0),0))</f>
        <v>46.88</v>
      </c>
      <c r="AE29" s="199" t="n">
        <f aca="false">IF(B29="","",IF(D29="TAPADA",AC29*AD29,0))</f>
        <v>26.2528</v>
      </c>
      <c r="AF29" s="199" t="n">
        <f aca="false">IF(B29="","",IF(D29="TAPADA",AE29*Y29,0))</f>
        <v>14.701568</v>
      </c>
      <c r="AG29" s="200" t="n">
        <f aca="false">IF(B29="","",W29+AF29)</f>
        <v>153.999104</v>
      </c>
    </row>
    <row r="30" customFormat="false" ht="36" hidden="false" customHeight="true" outlineLevel="0" collapsed="false">
      <c r="A30" s="190" t="n">
        <v>20</v>
      </c>
      <c r="B30" s="191" t="s">
        <v>399</v>
      </c>
      <c r="C30" s="191" t="s">
        <v>380</v>
      </c>
      <c r="D30" s="192" t="s">
        <v>370</v>
      </c>
      <c r="E30" s="191" t="s">
        <v>405</v>
      </c>
      <c r="F30" s="191" t="s">
        <v>406</v>
      </c>
      <c r="G30" s="193" t="n">
        <v>5.17</v>
      </c>
      <c r="H30" s="191" t="s">
        <v>368</v>
      </c>
      <c r="I30" s="194" t="n">
        <f aca="false">IF(H30="","",IFERROR(VLOOKUP(H30,Listas!$A$4:$B$11,2,FALSE()),""))</f>
        <v>0.56</v>
      </c>
      <c r="J30" s="193" t="n">
        <v>0.21</v>
      </c>
      <c r="K30" s="193" t="n">
        <v>12</v>
      </c>
      <c r="L30" s="193" t="n">
        <v>12</v>
      </c>
      <c r="M30" s="195" t="n">
        <f aca="false">IF(B30="","",(K30+L30)/2)</f>
        <v>12</v>
      </c>
      <c r="N30" s="195" t="n">
        <f aca="false">IF(B30="","",G30*M30)</f>
        <v>62.04</v>
      </c>
      <c r="O30" s="195" t="n">
        <f aca="false">IF(B30="","",N30*I30)</f>
        <v>34.7424</v>
      </c>
      <c r="P30" s="193" t="n">
        <v>0.25</v>
      </c>
      <c r="Q30" s="193" t="n">
        <v>2.32</v>
      </c>
      <c r="R30" s="193" t="n">
        <v>2.36</v>
      </c>
      <c r="S30" s="195" t="n">
        <f aca="false">IF(B30="","",(Q30+R30)/2)</f>
        <v>2.34</v>
      </c>
      <c r="T30" s="195" t="n">
        <f aca="false">IF(B30="","",IFERROR(IF($X$1="ENTERO (redondeo arriba)",ROUNDUP(G30/P30,0)+1,G30/P30+1),0))</f>
        <v>21.68</v>
      </c>
      <c r="U30" s="195" t="n">
        <f aca="false">IF(B30="","",S30*T30)</f>
        <v>50.7312</v>
      </c>
      <c r="V30" s="195" t="n">
        <f aca="false">IF(B30="","",U30*I30)</f>
        <v>28.409472</v>
      </c>
      <c r="W30" s="195" t="n">
        <f aca="false">IF(B30="","",O30+V30)</f>
        <v>63.151872</v>
      </c>
      <c r="X30" s="196" t="s">
        <v>368</v>
      </c>
      <c r="Y30" s="197" t="n">
        <v>0.56</v>
      </c>
      <c r="Z30" s="198" t="n">
        <v>0.25</v>
      </c>
      <c r="AA30" s="198" t="n">
        <v>0.56</v>
      </c>
      <c r="AB30" s="198" t="n">
        <v>0.56</v>
      </c>
      <c r="AC30" s="199" t="n">
        <f aca="false">IF(B30="","",IF(D30="TAPADA",(AA30+AB30)/2,0))</f>
        <v>0.56</v>
      </c>
      <c r="AD30" s="199" t="n">
        <f aca="false">IF(B30="","",IF(D30="TAPADA",IFERROR(IF($X$1="ENTERO (redondeo arriba)",ROUNDUP(G30/Z30,0)+1,G30/Z30+1),0),0))</f>
        <v>21.68</v>
      </c>
      <c r="AE30" s="199" t="n">
        <f aca="false">IF(B30="","",IF(D30="TAPADA",AC30*AD30,0))</f>
        <v>12.1408</v>
      </c>
      <c r="AF30" s="199" t="n">
        <f aca="false">IF(B30="","",IF(D30="TAPADA",AE30*Y30,0))</f>
        <v>6.798848</v>
      </c>
      <c r="AG30" s="200" t="n">
        <f aca="false">IF(B30="","",W30+AF30)</f>
        <v>69.95072</v>
      </c>
    </row>
    <row r="31" customFormat="false" ht="36" hidden="false" customHeight="true" outlineLevel="0" collapsed="false">
      <c r="A31" s="190" t="n">
        <v>21</v>
      </c>
      <c r="B31" s="191" t="s">
        <v>407</v>
      </c>
      <c r="C31" s="191" t="s">
        <v>365</v>
      </c>
      <c r="D31" s="192" t="s">
        <v>370</v>
      </c>
      <c r="E31" s="191" t="s">
        <v>408</v>
      </c>
      <c r="F31" s="191" t="s">
        <v>409</v>
      </c>
      <c r="G31" s="193" t="n">
        <v>8.2</v>
      </c>
      <c r="H31" s="191" t="s">
        <v>368</v>
      </c>
      <c r="I31" s="194" t="n">
        <f aca="false">IF(H31="","",IFERROR(VLOOKUP(H31,Listas!$A$4:$B$11,2,FALSE()),""))</f>
        <v>0.56</v>
      </c>
      <c r="J31" s="193" t="n">
        <v>0.21</v>
      </c>
      <c r="K31" s="193" t="n">
        <v>8</v>
      </c>
      <c r="L31" s="193" t="n">
        <v>8</v>
      </c>
      <c r="M31" s="195" t="n">
        <f aca="false">IF(B31="","",(K31+L31)/2)</f>
        <v>8</v>
      </c>
      <c r="N31" s="195" t="n">
        <f aca="false">IF(B31="","",G31*M31)</f>
        <v>65.6</v>
      </c>
      <c r="O31" s="195" t="n">
        <f aca="false">IF(B31="","",N31*I31)</f>
        <v>36.736</v>
      </c>
      <c r="P31" s="193" t="n">
        <v>0.25</v>
      </c>
      <c r="Q31" s="193" t="n">
        <v>1.42</v>
      </c>
      <c r="R31" s="193" t="n">
        <v>1.48</v>
      </c>
      <c r="S31" s="195" t="n">
        <f aca="false">IF(B31="","",(Q31+R31)/2)</f>
        <v>1.45</v>
      </c>
      <c r="T31" s="195" t="n">
        <f aca="false">IF(B31="","",IFERROR(IF($X$1="ENTERO (redondeo arriba)",ROUNDUP(G31/P31,0)+1,G31/P31+1),0))</f>
        <v>33.8</v>
      </c>
      <c r="U31" s="195" t="n">
        <f aca="false">IF(B31="","",S31*T31)</f>
        <v>49.01</v>
      </c>
      <c r="V31" s="195" t="n">
        <f aca="false">IF(B31="","",U31*I31)</f>
        <v>27.4456</v>
      </c>
      <c r="W31" s="195" t="n">
        <f aca="false">IF(B31="","",O31+V31)</f>
        <v>64.1816</v>
      </c>
      <c r="X31" s="196" t="s">
        <v>368</v>
      </c>
      <c r="Y31" s="197" t="n">
        <v>0.56</v>
      </c>
      <c r="Z31" s="198" t="n">
        <v>0.25</v>
      </c>
      <c r="AA31" s="198" t="n">
        <v>0.56</v>
      </c>
      <c r="AB31" s="198" t="n">
        <v>0.56</v>
      </c>
      <c r="AC31" s="199" t="n">
        <f aca="false">IF(B31="","",IF(D31="TAPADA",(AA31+AB31)/2,0))</f>
        <v>0.56</v>
      </c>
      <c r="AD31" s="199" t="n">
        <f aca="false">IF(B31="","",IF(D31="TAPADA",IFERROR(IF($X$1="ENTERO (redondeo arriba)",ROUNDUP(G31/Z31,0)+1,G31/Z31+1),0),0))</f>
        <v>33.8</v>
      </c>
      <c r="AE31" s="199" t="n">
        <f aca="false">IF(B31="","",IF(D31="TAPADA",AC31*AD31,0))</f>
        <v>18.928</v>
      </c>
      <c r="AF31" s="199" t="n">
        <f aca="false">IF(B31="","",IF(D31="TAPADA",AE31*Y31,0))</f>
        <v>10.59968</v>
      </c>
      <c r="AG31" s="200" t="n">
        <f aca="false">IF(B31="","",W31+AF31)</f>
        <v>74.78128</v>
      </c>
    </row>
    <row r="32" customFormat="false" ht="36" hidden="false" customHeight="true" outlineLevel="0" collapsed="false">
      <c r="A32" s="190" t="n">
        <v>22</v>
      </c>
      <c r="B32" s="191" t="s">
        <v>410</v>
      </c>
      <c r="C32" s="191" t="s">
        <v>365</v>
      </c>
      <c r="D32" s="192" t="s">
        <v>370</v>
      </c>
      <c r="E32" s="191" t="s">
        <v>411</v>
      </c>
      <c r="F32" s="191" t="s">
        <v>412</v>
      </c>
      <c r="G32" s="193" t="n">
        <v>7</v>
      </c>
      <c r="H32" s="191" t="s">
        <v>368</v>
      </c>
      <c r="I32" s="194" t="n">
        <f aca="false">IF(H32="","",IFERROR(VLOOKUP(H32,Listas!$A$4:$B$11,2,FALSE()),""))</f>
        <v>0.56</v>
      </c>
      <c r="J32" s="193" t="n">
        <v>0.21</v>
      </c>
      <c r="K32" s="193" t="n">
        <v>8</v>
      </c>
      <c r="L32" s="193" t="n">
        <v>8</v>
      </c>
      <c r="M32" s="195" t="n">
        <f aca="false">IF(B32="","",(K32+L32)/2)</f>
        <v>8</v>
      </c>
      <c r="N32" s="195" t="n">
        <f aca="false">IF(B32="","",G32*M32)</f>
        <v>56</v>
      </c>
      <c r="O32" s="195" t="n">
        <f aca="false">IF(B32="","",N32*I32)</f>
        <v>31.36</v>
      </c>
      <c r="P32" s="193" t="n">
        <v>0.25</v>
      </c>
      <c r="Q32" s="193" t="n">
        <v>1.42</v>
      </c>
      <c r="R32" s="193" t="n">
        <v>1.48</v>
      </c>
      <c r="S32" s="195" t="n">
        <f aca="false">IF(B32="","",(Q32+R32)/2)</f>
        <v>1.45</v>
      </c>
      <c r="T32" s="195" t="n">
        <f aca="false">IF(B32="","",IFERROR(IF($X$1="ENTERO (redondeo arriba)",ROUNDUP(G32/P32,0)+1,G32/P32+1),0))</f>
        <v>29</v>
      </c>
      <c r="U32" s="195" t="n">
        <f aca="false">IF(B32="","",S32*T32)</f>
        <v>42.05</v>
      </c>
      <c r="V32" s="195" t="n">
        <f aca="false">IF(B32="","",U32*I32)</f>
        <v>23.548</v>
      </c>
      <c r="W32" s="195" t="n">
        <f aca="false">IF(B32="","",O32+V32)</f>
        <v>54.908</v>
      </c>
      <c r="X32" s="196" t="s">
        <v>368</v>
      </c>
      <c r="Y32" s="197" t="n">
        <v>0.56</v>
      </c>
      <c r="Z32" s="198" t="n">
        <v>0.25</v>
      </c>
      <c r="AA32" s="198" t="n">
        <v>0.56</v>
      </c>
      <c r="AB32" s="198" t="n">
        <v>0.56</v>
      </c>
      <c r="AC32" s="199" t="n">
        <f aca="false">IF(B32="","",IF(D32="TAPADA",(AA32+AB32)/2,0))</f>
        <v>0.56</v>
      </c>
      <c r="AD32" s="199" t="n">
        <f aca="false">IF(B32="","",IF(D32="TAPADA",IFERROR(IF($X$1="ENTERO (redondeo arriba)",ROUNDUP(G32/Z32,0)+1,G32/Z32+1),0),0))</f>
        <v>29</v>
      </c>
      <c r="AE32" s="199" t="n">
        <f aca="false">IF(B32="","",IF(D32="TAPADA",AC32*AD32,0))</f>
        <v>16.24</v>
      </c>
      <c r="AF32" s="199" t="n">
        <f aca="false">IF(B32="","",IF(D32="TAPADA",AE32*Y32,0))</f>
        <v>9.0944</v>
      </c>
      <c r="AG32" s="200" t="n">
        <f aca="false">IF(B32="","",W32+AF32)</f>
        <v>64.0024</v>
      </c>
    </row>
    <row r="33" customFormat="false" ht="36" hidden="false" customHeight="true" outlineLevel="0" collapsed="false">
      <c r="A33" s="190" t="n">
        <v>23</v>
      </c>
      <c r="B33" s="191" t="s">
        <v>162</v>
      </c>
      <c r="C33" s="191" t="s">
        <v>365</v>
      </c>
      <c r="D33" s="192" t="s">
        <v>248</v>
      </c>
      <c r="E33" s="191" t="s">
        <v>413</v>
      </c>
      <c r="F33" s="191" t="s">
        <v>414</v>
      </c>
      <c r="G33" s="193" t="n">
        <v>42.76</v>
      </c>
      <c r="H33" s="191" t="s">
        <v>368</v>
      </c>
      <c r="I33" s="194" t="n">
        <f aca="false">IF(H33="","",IFERROR(VLOOKUP(H33,Listas!$A$4:$B$11,2,FALSE()),""))</f>
        <v>0.56</v>
      </c>
      <c r="J33" s="193" t="n">
        <v>0.2</v>
      </c>
      <c r="K33" s="193" t="n">
        <v>7</v>
      </c>
      <c r="L33" s="193" t="n">
        <v>9</v>
      </c>
      <c r="M33" s="195" t="n">
        <f aca="false">IF(B33="","",(K33+L33)/2)</f>
        <v>8</v>
      </c>
      <c r="N33" s="195" t="n">
        <f aca="false">IF(B33="","",G33*M33)</f>
        <v>342.08</v>
      </c>
      <c r="O33" s="195" t="n">
        <f aca="false">IF(B33="","",N33*I33)</f>
        <v>191.5648</v>
      </c>
      <c r="P33" s="193" t="n">
        <v>0.25</v>
      </c>
      <c r="Q33" s="193" t="n">
        <v>1.42</v>
      </c>
      <c r="R33" s="193" t="n">
        <v>1.82</v>
      </c>
      <c r="S33" s="195" t="n">
        <f aca="false">IF(B33="","",(Q33+R33)/2)</f>
        <v>1.62</v>
      </c>
      <c r="T33" s="195" t="n">
        <f aca="false">IF(B33="","",IFERROR(IF($X$1="ENTERO (redondeo arriba)",ROUNDUP(G33/P33,0)+1,G33/P33+1),0))</f>
        <v>172.04</v>
      </c>
      <c r="U33" s="195" t="n">
        <f aca="false">IF(B33="","",S33*T33)</f>
        <v>278.7048</v>
      </c>
      <c r="V33" s="195" t="n">
        <f aca="false">IF(B33="","",U33*I33)</f>
        <v>156.074688</v>
      </c>
      <c r="W33" s="195" t="n">
        <f aca="false">IF(B33="","",O33+V33)</f>
        <v>347.639488</v>
      </c>
      <c r="X33" s="196"/>
      <c r="Y33" s="197"/>
      <c r="Z33" s="198"/>
      <c r="AA33" s="198"/>
      <c r="AB33" s="198"/>
      <c r="AC33" s="199" t="n">
        <f aca="false">IF(B33="","",IF(D33="TAPADA",(AA33+AB33)/2,0))</f>
        <v>0</v>
      </c>
      <c r="AD33" s="199" t="n">
        <f aca="false">IF(B33="","",IF(D33="TAPADA",IFERROR(IF($X$1="ENTERO (redondeo arriba)",ROUNDUP(G33/Z33,0)+1,G33/Z33+1),0),0))</f>
        <v>0</v>
      </c>
      <c r="AE33" s="199" t="n">
        <f aca="false">IF(B33="","",IF(D33="TAPADA",AC33*AD33,0))</f>
        <v>0</v>
      </c>
      <c r="AF33" s="199" t="n">
        <f aca="false">IF(B33="","",IF(D33="TAPADA",AE33*Y33,0))</f>
        <v>0</v>
      </c>
      <c r="AG33" s="200" t="n">
        <f aca="false">IF(B33="","",W33+AF33)</f>
        <v>347.639488</v>
      </c>
    </row>
    <row r="34" customFormat="false" ht="36" hidden="false" customHeight="true" outlineLevel="0" collapsed="false">
      <c r="A34" s="190" t="n">
        <v>24</v>
      </c>
      <c r="B34" s="191" t="s">
        <v>162</v>
      </c>
      <c r="C34" s="191" t="s">
        <v>369</v>
      </c>
      <c r="D34" s="192" t="s">
        <v>370</v>
      </c>
      <c r="E34" s="191" t="s">
        <v>414</v>
      </c>
      <c r="F34" s="191" t="s">
        <v>415</v>
      </c>
      <c r="G34" s="193" t="n">
        <v>2.2</v>
      </c>
      <c r="H34" s="191" t="s">
        <v>368</v>
      </c>
      <c r="I34" s="194" t="n">
        <f aca="false">IF(H34="","",IFERROR(VLOOKUP(H34,Listas!$A$4:$B$11,2,FALSE()),""))</f>
        <v>0.56</v>
      </c>
      <c r="J34" s="193" t="n">
        <v>0.2</v>
      </c>
      <c r="K34" s="193" t="n">
        <v>10</v>
      </c>
      <c r="L34" s="193" t="n">
        <v>10</v>
      </c>
      <c r="M34" s="195" t="n">
        <f aca="false">IF(B34="","",(K34+L34)/2)</f>
        <v>10</v>
      </c>
      <c r="N34" s="195" t="n">
        <f aca="false">IF(B34="","",G34*M34)</f>
        <v>22</v>
      </c>
      <c r="O34" s="195" t="n">
        <f aca="false">IF(B34="","",N34*I34)</f>
        <v>12.32</v>
      </c>
      <c r="P34" s="193" t="n">
        <v>0.25</v>
      </c>
      <c r="Q34" s="193" t="n">
        <v>1.82</v>
      </c>
      <c r="R34" s="193" t="n">
        <v>1.84</v>
      </c>
      <c r="S34" s="195" t="n">
        <f aca="false">IF(B34="","",(Q34+R34)/2)</f>
        <v>1.83</v>
      </c>
      <c r="T34" s="195" t="n">
        <f aca="false">IF(B34="","",IFERROR(IF($X$1="ENTERO (redondeo arriba)",ROUNDUP(G34/P34,0)+1,G34/P34+1),0))</f>
        <v>9.8</v>
      </c>
      <c r="U34" s="195" t="n">
        <f aca="false">IF(B34="","",S34*T34)</f>
        <v>17.934</v>
      </c>
      <c r="V34" s="195" t="n">
        <f aca="false">IF(B34="","",U34*I34)</f>
        <v>10.04304</v>
      </c>
      <c r="W34" s="195" t="n">
        <f aca="false">IF(B34="","",O34+V34)</f>
        <v>22.36304</v>
      </c>
      <c r="X34" s="196" t="s">
        <v>368</v>
      </c>
      <c r="Y34" s="197" t="n">
        <v>0.56</v>
      </c>
      <c r="Z34" s="198" t="n">
        <v>0.25</v>
      </c>
      <c r="AA34" s="198" t="n">
        <v>0.56</v>
      </c>
      <c r="AB34" s="198" t="n">
        <v>0.56</v>
      </c>
      <c r="AC34" s="199" t="n">
        <f aca="false">IF(B34="","",IF(D34="TAPADA",(AA34+AB34)/2,0))</f>
        <v>0.56</v>
      </c>
      <c r="AD34" s="199" t="n">
        <f aca="false">IF(B34="","",IF(D34="TAPADA",IFERROR(IF($X$1="ENTERO (redondeo arriba)",ROUNDUP(G34/Z34,0)+1,G34/Z34+1),0),0))</f>
        <v>9.8</v>
      </c>
      <c r="AE34" s="199" t="n">
        <f aca="false">IF(B34="","",IF(D34="TAPADA",AC34*AD34,0))</f>
        <v>5.488</v>
      </c>
      <c r="AF34" s="199" t="n">
        <f aca="false">IF(B34="","",IF(D34="TAPADA",AE34*Y34,0))</f>
        <v>3.07328</v>
      </c>
      <c r="AG34" s="200" t="n">
        <f aca="false">IF(B34="","",W34+AF34)</f>
        <v>25.43632</v>
      </c>
    </row>
    <row r="35" customFormat="false" ht="36" hidden="false" customHeight="true" outlineLevel="0" collapsed="false">
      <c r="A35" s="190" t="n">
        <v>25</v>
      </c>
      <c r="B35" s="191" t="s">
        <v>162</v>
      </c>
      <c r="C35" s="191" t="s">
        <v>376</v>
      </c>
      <c r="D35" s="192" t="s">
        <v>370</v>
      </c>
      <c r="E35" s="191" t="s">
        <v>416</v>
      </c>
      <c r="F35" s="191" t="s">
        <v>417</v>
      </c>
      <c r="G35" s="193" t="n">
        <v>6.5</v>
      </c>
      <c r="H35" s="191" t="s">
        <v>368</v>
      </c>
      <c r="I35" s="194" t="n">
        <f aca="false">IF(H35="","",IFERROR(VLOOKUP(H35,Listas!$A$4:$B$11,2,FALSE()),""))</f>
        <v>0.56</v>
      </c>
      <c r="J35" s="193" t="n">
        <v>0.21</v>
      </c>
      <c r="K35" s="193" t="n">
        <v>10</v>
      </c>
      <c r="L35" s="193" t="n">
        <v>10</v>
      </c>
      <c r="M35" s="195" t="n">
        <f aca="false">IF(B35="","",(K35+L35)/2)</f>
        <v>10</v>
      </c>
      <c r="N35" s="195" t="n">
        <f aca="false">IF(B35="","",G35*M35)</f>
        <v>65</v>
      </c>
      <c r="O35" s="195" t="n">
        <f aca="false">IF(B35="","",N35*I35)</f>
        <v>36.4</v>
      </c>
      <c r="P35" s="193" t="n">
        <v>0.25</v>
      </c>
      <c r="Q35" s="193" t="n">
        <v>1.76</v>
      </c>
      <c r="R35" s="193" t="n">
        <v>1.82</v>
      </c>
      <c r="S35" s="195" t="n">
        <f aca="false">IF(B35="","",(Q35+R35)/2)</f>
        <v>1.79</v>
      </c>
      <c r="T35" s="195" t="n">
        <f aca="false">IF(B35="","",IFERROR(IF($X$1="ENTERO (redondeo arriba)",ROUNDUP(G35/P35,0)+1,G35/P35+1),0))</f>
        <v>27</v>
      </c>
      <c r="U35" s="195" t="n">
        <f aca="false">IF(B35="","",S35*T35)</f>
        <v>48.33</v>
      </c>
      <c r="V35" s="195" t="n">
        <f aca="false">IF(B35="","",U35*I35)</f>
        <v>27.0648</v>
      </c>
      <c r="W35" s="195" t="n">
        <f aca="false">IF(B35="","",O35+V35)</f>
        <v>63.4648</v>
      </c>
      <c r="X35" s="196" t="s">
        <v>368</v>
      </c>
      <c r="Y35" s="197" t="n">
        <v>0.56</v>
      </c>
      <c r="Z35" s="198" t="n">
        <v>0.25</v>
      </c>
      <c r="AA35" s="198" t="n">
        <v>0.56</v>
      </c>
      <c r="AB35" s="198" t="n">
        <v>0.56</v>
      </c>
      <c r="AC35" s="199" t="n">
        <f aca="false">IF(B35="","",IF(D35="TAPADA",(AA35+AB35)/2,0))</f>
        <v>0.56</v>
      </c>
      <c r="AD35" s="199" t="n">
        <f aca="false">IF(B35="","",IF(D35="TAPADA",IFERROR(IF($X$1="ENTERO (redondeo arriba)",ROUNDUP(G35/Z35,0)+1,G35/Z35+1),0),0))</f>
        <v>27</v>
      </c>
      <c r="AE35" s="199" t="n">
        <f aca="false">IF(B35="","",IF(D35="TAPADA",AC35*AD35,0))</f>
        <v>15.12</v>
      </c>
      <c r="AF35" s="199" t="n">
        <f aca="false">IF(B35="","",IF(D35="TAPADA",AE35*Y35,0))</f>
        <v>8.4672</v>
      </c>
      <c r="AG35" s="200" t="n">
        <f aca="false">IF(B35="","",W35+AF35)</f>
        <v>71.932</v>
      </c>
    </row>
    <row r="36" customFormat="false" ht="36" hidden="false" customHeight="true" outlineLevel="0" collapsed="false">
      <c r="A36" s="190" t="n">
        <v>26</v>
      </c>
      <c r="B36" s="191" t="s">
        <v>163</v>
      </c>
      <c r="C36" s="191" t="s">
        <v>365</v>
      </c>
      <c r="D36" s="192" t="s">
        <v>248</v>
      </c>
      <c r="E36" s="191" t="s">
        <v>418</v>
      </c>
      <c r="F36" s="191" t="s">
        <v>419</v>
      </c>
      <c r="G36" s="193" t="n">
        <v>32.48</v>
      </c>
      <c r="H36" s="191" t="s">
        <v>368</v>
      </c>
      <c r="I36" s="194" t="n">
        <f aca="false">IF(H36="","",IFERROR(VLOOKUP(H36,Listas!$A$4:$B$11,2,FALSE()),""))</f>
        <v>0.56</v>
      </c>
      <c r="J36" s="193" t="n">
        <v>0.2</v>
      </c>
      <c r="K36" s="193" t="n">
        <v>7</v>
      </c>
      <c r="L36" s="193" t="n">
        <v>1.76</v>
      </c>
      <c r="M36" s="195" t="n">
        <f aca="false">IF(B36="","",(K36+L36)/2)</f>
        <v>4.38</v>
      </c>
      <c r="N36" s="195" t="n">
        <f aca="false">IF(B36="","",G36*M36)</f>
        <v>142.2624</v>
      </c>
      <c r="O36" s="195" t="n">
        <f aca="false">IF(B36="","",N36*I36)</f>
        <v>79.666944</v>
      </c>
      <c r="P36" s="193" t="n">
        <v>0.25</v>
      </c>
      <c r="Q36" s="193" t="n">
        <v>1.42</v>
      </c>
      <c r="R36" s="193" t="n">
        <v>1.76</v>
      </c>
      <c r="S36" s="195" t="n">
        <f aca="false">IF(B36="","",(Q36+R36)/2)</f>
        <v>1.59</v>
      </c>
      <c r="T36" s="195" t="n">
        <f aca="false">IF(B36="","",IFERROR(IF($X$1="ENTERO (redondeo arriba)",ROUNDUP(G36/P36,0)+1,G36/P36+1),0))</f>
        <v>130.92</v>
      </c>
      <c r="U36" s="195" t="n">
        <f aca="false">IF(B36="","",S36*T36)</f>
        <v>208.1628</v>
      </c>
      <c r="V36" s="195" t="n">
        <f aca="false">IF(B36="","",U36*I36)</f>
        <v>116.571168</v>
      </c>
      <c r="W36" s="195" t="n">
        <f aca="false">IF(B36="","",O36+V36)</f>
        <v>196.238112</v>
      </c>
      <c r="X36" s="196"/>
      <c r="Y36" s="197"/>
      <c r="Z36" s="198"/>
      <c r="AA36" s="198"/>
      <c r="AB36" s="198"/>
      <c r="AC36" s="199" t="n">
        <f aca="false">IF(B36="","",IF(D36="TAPADA",(AA36+AB36)/2,0))</f>
        <v>0</v>
      </c>
      <c r="AD36" s="199" t="n">
        <f aca="false">IF(B36="","",IF(D36="TAPADA",IFERROR(IF($X$1="ENTERO (redondeo arriba)",ROUNDUP(G36/Z36,0)+1,G36/Z36+1),0),0))</f>
        <v>0</v>
      </c>
      <c r="AE36" s="199" t="n">
        <f aca="false">IF(B36="","",IF(D36="TAPADA",AC36*AD36,0))</f>
        <v>0</v>
      </c>
      <c r="AF36" s="199" t="n">
        <f aca="false">IF(B36="","",IF(D36="TAPADA",AE36*Y36,0))</f>
        <v>0</v>
      </c>
      <c r="AG36" s="200" t="n">
        <f aca="false">IF(B36="","",W36+AF36)</f>
        <v>196.238112</v>
      </c>
    </row>
    <row r="37" customFormat="false" ht="36" hidden="false" customHeight="true" outlineLevel="0" collapsed="false">
      <c r="A37" s="190" t="n">
        <v>27</v>
      </c>
      <c r="B37" s="191" t="s">
        <v>163</v>
      </c>
      <c r="C37" s="191" t="s">
        <v>369</v>
      </c>
      <c r="D37" s="192" t="s">
        <v>370</v>
      </c>
      <c r="E37" s="191" t="s">
        <v>420</v>
      </c>
      <c r="F37" s="191" t="s">
        <v>421</v>
      </c>
      <c r="G37" s="193" t="n">
        <v>56.64</v>
      </c>
      <c r="H37" s="191" t="s">
        <v>368</v>
      </c>
      <c r="I37" s="194" t="n">
        <f aca="false">IF(H37="","",IFERROR(VLOOKUP(H37,Listas!$A$4:$B$11,2,FALSE()),""))</f>
        <v>0.56</v>
      </c>
      <c r="J37" s="193" t="n">
        <v>0.21</v>
      </c>
      <c r="K37" s="193" t="n">
        <v>10</v>
      </c>
      <c r="L37" s="193" t="n">
        <v>12</v>
      </c>
      <c r="M37" s="195" t="n">
        <f aca="false">IF(B37="","",(K37+L37)/2)</f>
        <v>11</v>
      </c>
      <c r="N37" s="195" t="n">
        <f aca="false">IF(B37="","",G37*M37)</f>
        <v>623.04</v>
      </c>
      <c r="O37" s="195" t="n">
        <f aca="false">IF(B37="","",N37*I37)</f>
        <v>348.9024</v>
      </c>
      <c r="P37" s="193" t="n">
        <v>0.25</v>
      </c>
      <c r="Q37" s="193" t="n">
        <v>1.66</v>
      </c>
      <c r="R37" s="193" t="n">
        <v>2.22</v>
      </c>
      <c r="S37" s="195" t="n">
        <f aca="false">IF(B37="","",(Q37+R37)/2)</f>
        <v>1.94</v>
      </c>
      <c r="T37" s="195" t="n">
        <f aca="false">IF(B37="","",IFERROR(IF($X$1="ENTERO (redondeo arriba)",ROUNDUP(G37/P37,0)+1,G37/P37+1),0))</f>
        <v>227.56</v>
      </c>
      <c r="U37" s="195" t="n">
        <f aca="false">IF(B37="","",S37*T37)</f>
        <v>441.4664</v>
      </c>
      <c r="V37" s="195" t="n">
        <f aca="false">IF(B37="","",U37*I37)</f>
        <v>247.221184</v>
      </c>
      <c r="W37" s="195" t="n">
        <f aca="false">IF(B37="","",O37+V37)</f>
        <v>596.123584</v>
      </c>
      <c r="X37" s="196" t="s">
        <v>368</v>
      </c>
      <c r="Y37" s="197" t="n">
        <v>0.56</v>
      </c>
      <c r="Z37" s="198" t="n">
        <v>0.25</v>
      </c>
      <c r="AA37" s="198" t="n">
        <v>0.56</v>
      </c>
      <c r="AB37" s="198" t="n">
        <v>0.56</v>
      </c>
      <c r="AC37" s="199" t="n">
        <f aca="false">IF(B37="","",IF(D37="TAPADA",(AA37+AB37)/2,0))</f>
        <v>0.56</v>
      </c>
      <c r="AD37" s="199" t="n">
        <f aca="false">IF(B37="","",IF(D37="TAPADA",IFERROR(IF($X$1="ENTERO (redondeo arriba)",ROUNDUP(G37/Z37,0)+1,G37/Z37+1),0),0))</f>
        <v>227.56</v>
      </c>
      <c r="AE37" s="199" t="n">
        <f aca="false">IF(B37="","",IF(D37="TAPADA",AC37*AD37,0))</f>
        <v>127.4336</v>
      </c>
      <c r="AF37" s="199" t="n">
        <f aca="false">IF(B37="","",IF(D37="TAPADA",AE37*Y37,0))</f>
        <v>71.362816</v>
      </c>
      <c r="AG37" s="200" t="n">
        <f aca="false">IF(B37="","",W37+AF37)</f>
        <v>667.4864</v>
      </c>
    </row>
    <row r="38" customFormat="false" ht="36" hidden="false" customHeight="true" outlineLevel="0" collapsed="false">
      <c r="A38" s="201" t="s">
        <v>422</v>
      </c>
      <c r="B38" s="201"/>
      <c r="C38" s="201"/>
      <c r="D38" s="201"/>
      <c r="E38" s="201"/>
      <c r="F38" s="201"/>
      <c r="G38" s="201" t="n">
        <f aca="false">SUM(G11:G37)</f>
        <v>512.94</v>
      </c>
      <c r="H38" s="201"/>
      <c r="I38" s="201"/>
      <c r="J38" s="201"/>
      <c r="K38" s="201"/>
      <c r="L38" s="201"/>
      <c r="M38" s="201"/>
      <c r="N38" s="201" t="n">
        <f aca="false">SUM(N11:N37)</f>
        <v>4654.7224</v>
      </c>
      <c r="O38" s="201" t="n">
        <f aca="false">SUM(O11:O37)</f>
        <v>2606.644544</v>
      </c>
      <c r="P38" s="201"/>
      <c r="Q38" s="201"/>
      <c r="R38" s="201"/>
      <c r="S38" s="201"/>
      <c r="T38" s="201"/>
      <c r="U38" s="201" t="n">
        <f aca="false">SUM(U11:U37)</f>
        <v>3817.9952</v>
      </c>
      <c r="V38" s="201" t="n">
        <f aca="false">SUM(V11:V37)</f>
        <v>2138.077312</v>
      </c>
      <c r="W38" s="201" t="n">
        <f aca="false">SUM(W11:W37)</f>
        <v>4744.721856</v>
      </c>
      <c r="X38" s="201"/>
      <c r="Y38" s="201"/>
      <c r="Z38" s="201"/>
      <c r="AA38" s="201"/>
      <c r="AB38" s="201"/>
      <c r="AC38" s="201"/>
      <c r="AD38" s="201"/>
      <c r="AE38" s="201" t="n">
        <f aca="false">SUM(AE11:AE37)</f>
        <v>397.0176</v>
      </c>
      <c r="AF38" s="201" t="n">
        <f aca="false">SUM(AF11:AF37)</f>
        <v>222.329856</v>
      </c>
      <c r="AG38" s="201" t="n">
        <f aca="false">SUM(AG11:AG37)</f>
        <v>4967.051712</v>
      </c>
    </row>
  </sheetData>
  <mergeCells count="11">
    <mergeCell ref="A2:AG2"/>
    <mergeCell ref="B3:AG3"/>
    <mergeCell ref="B4:AG4"/>
    <mergeCell ref="B5:AG5"/>
    <mergeCell ref="B6:AG6"/>
    <mergeCell ref="A8:AG8"/>
    <mergeCell ref="A9:G9"/>
    <mergeCell ref="H9:O9"/>
    <mergeCell ref="P9:W9"/>
    <mergeCell ref="X9:AF9"/>
    <mergeCell ref="A38:F38"/>
  </mergeCells>
  <conditionalFormatting sqref="X11:AF37">
    <cfRule type="expression" priority="2" aboveAverage="0" equalAverage="0" bottom="0" percent="0" rank="0" text="" dxfId="4">
      <formula>$D11="ABIERTA"</formula>
    </cfRule>
  </conditionalFormatting>
  <conditionalFormatting sqref="D11:D37">
    <cfRule type="expression" priority="3" aboveAverage="0" equalAverage="0" bottom="0" percent="0" rank="0" text="" dxfId="5">
      <formula>D11="TAPADA"</formula>
    </cfRule>
    <cfRule type="expression" priority="4" aboveAverage="0" equalAverage="0" bottom="0" percent="0" rank="0" text="" dxfId="6">
      <formula>D11="ABIERTA"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O3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F15" activeCellId="0" sqref="F15"/>
    </sheetView>
  </sheetViews>
  <sheetFormatPr defaultColWidth="9.453125" defaultRowHeight="15" zeroHeight="false" outlineLevelRow="0" outlineLevelCol="0"/>
  <cols>
    <col collapsed="false" customWidth="true" hidden="false" outlineLevel="0" max="1" min="1" style="202" width="6.54"/>
    <col collapsed="false" customWidth="true" hidden="false" outlineLevel="0" max="2" min="2" style="202" width="13.09"/>
    <col collapsed="false" customWidth="true" hidden="false" outlineLevel="0" max="3" min="3" style="202" width="18.81"/>
    <col collapsed="false" customWidth="true" hidden="false" outlineLevel="0" max="4" min="4" style="202" width="17.45"/>
    <col collapsed="false" customWidth="true" hidden="false" outlineLevel="0" max="5" min="5" style="202" width="16"/>
    <col collapsed="false" customWidth="true" hidden="false" outlineLevel="0" max="8" min="6" style="202" width="15.27"/>
    <col collapsed="false" customWidth="true" hidden="false" outlineLevel="0" max="9" min="9" style="202" width="14.18"/>
    <col collapsed="false" customWidth="true" hidden="false" outlineLevel="0" max="10" min="10" style="202" width="16.36"/>
    <col collapsed="false" customWidth="true" hidden="false" outlineLevel="0" max="11" min="11" style="202" width="15.27"/>
    <col collapsed="false" customWidth="true" hidden="false" outlineLevel="0" max="12" min="12" style="202" width="17.45"/>
    <col collapsed="false" customWidth="true" hidden="false" outlineLevel="0" max="13" min="13" style="202" width="16.36"/>
    <col collapsed="false" customWidth="true" hidden="false" outlineLevel="0" max="14" min="14" style="202" width="10.91"/>
    <col collapsed="false" customWidth="true" hidden="false" outlineLevel="0" max="15" min="15" style="202" width="8.73"/>
    <col collapsed="false" customWidth="false" hidden="false" outlineLevel="0" max="16384" min="16" style="202" width="9.45"/>
  </cols>
  <sheetData>
    <row r="1" customFormat="false" ht="24.75" hidden="false" customHeight="true" outlineLevel="0" collapsed="false">
      <c r="A1" s="203" t="s">
        <v>423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customFormat="false" ht="27" hidden="false" customHeight="true" outlineLevel="0" collapsed="false">
      <c r="A2" s="204" t="s">
        <v>1</v>
      </c>
      <c r="B2" s="204"/>
      <c r="C2" s="205" t="s">
        <v>2</v>
      </c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</row>
    <row r="3" customFormat="false" ht="46.5" hidden="false" customHeight="true" outlineLevel="0" collapsed="false">
      <c r="A3" s="204" t="s">
        <v>3</v>
      </c>
      <c r="B3" s="204"/>
      <c r="C3" s="205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</row>
    <row r="4" customFormat="false" ht="27" hidden="false" customHeight="true" outlineLevel="0" collapsed="false">
      <c r="A4" s="204" t="s">
        <v>5</v>
      </c>
      <c r="B4" s="204"/>
      <c r="C4" s="205" t="str">
        <f aca="false">+RESUMEN!B6</f>
        <v>SAN MARTIN - SAN MARTIN - MORALES</v>
      </c>
      <c r="D4" s="205"/>
      <c r="E4" s="205"/>
      <c r="F4" s="205"/>
      <c r="G4" s="205"/>
      <c r="H4" s="205"/>
      <c r="I4" s="205"/>
      <c r="J4" s="205"/>
      <c r="K4" s="204" t="s">
        <v>7</v>
      </c>
      <c r="L4" s="206" t="n">
        <f aca="false">+RESUMEN!B7</f>
        <v>46266</v>
      </c>
      <c r="M4" s="206"/>
      <c r="N4" s="206"/>
      <c r="O4" s="206"/>
    </row>
    <row r="6" customFormat="false" ht="36.75" hidden="false" customHeight="true" outlineLevel="0" collapsed="false">
      <c r="A6" s="207" t="s">
        <v>331</v>
      </c>
      <c r="B6" s="207" t="s">
        <v>332</v>
      </c>
      <c r="C6" s="207" t="s">
        <v>333</v>
      </c>
      <c r="D6" s="207" t="s">
        <v>334</v>
      </c>
      <c r="E6" s="207" t="s">
        <v>287</v>
      </c>
      <c r="F6" s="207" t="s">
        <v>424</v>
      </c>
      <c r="G6" s="207" t="s">
        <v>425</v>
      </c>
      <c r="H6" s="207" t="s">
        <v>426</v>
      </c>
      <c r="I6" s="207" t="s">
        <v>427</v>
      </c>
      <c r="J6" s="207" t="s">
        <v>428</v>
      </c>
      <c r="K6" s="207" t="s">
        <v>429</v>
      </c>
      <c r="L6" s="207" t="s">
        <v>430</v>
      </c>
      <c r="M6" s="207" t="s">
        <v>431</v>
      </c>
      <c r="N6" s="207" t="s">
        <v>432</v>
      </c>
      <c r="O6" s="207" t="s">
        <v>433</v>
      </c>
    </row>
    <row r="7" customFormat="false" ht="33" hidden="false" customHeight="true" outlineLevel="0" collapsed="false">
      <c r="A7" s="208" t="n">
        <v>1</v>
      </c>
      <c r="B7" s="209" t="s">
        <v>364</v>
      </c>
      <c r="C7" s="209" t="s">
        <v>365</v>
      </c>
      <c r="D7" s="192" t="s">
        <v>248</v>
      </c>
      <c r="E7" s="210" t="n">
        <v>32</v>
      </c>
      <c r="F7" s="193" t="n">
        <v>0.4</v>
      </c>
      <c r="G7" s="210" t="n">
        <v>0.3</v>
      </c>
      <c r="H7" s="210" t="n">
        <v>0.46</v>
      </c>
      <c r="I7" s="199" t="n">
        <f aca="false">IF(B7="","",(G7+H7)/2)</f>
        <v>0.38</v>
      </c>
      <c r="J7" s="199" t="n">
        <f aca="false">IF(B7="","",2*E7*I7)</f>
        <v>24.32</v>
      </c>
      <c r="K7" s="199" t="n">
        <f aca="false">IF(B7="","",E7*F7)</f>
        <v>12.8</v>
      </c>
      <c r="L7" s="199" t="n">
        <f aca="false">IF(B7="","",IF(D7="TAPADA",E7*F7,0))</f>
        <v>0</v>
      </c>
      <c r="M7" s="211" t="n">
        <f aca="false">SUM(J7:L7)</f>
        <v>37.12</v>
      </c>
      <c r="N7" s="212" t="n">
        <f aca="false">IF(B7="","",IF(D7="TAPADA",4,3))</f>
        <v>3</v>
      </c>
      <c r="O7" s="213" t="s">
        <v>18</v>
      </c>
    </row>
    <row r="8" customFormat="false" ht="33" hidden="false" customHeight="true" outlineLevel="0" collapsed="false">
      <c r="A8" s="208" t="n">
        <v>2</v>
      </c>
      <c r="B8" s="209" t="s">
        <v>364</v>
      </c>
      <c r="C8" s="209" t="s">
        <v>369</v>
      </c>
      <c r="D8" s="192" t="s">
        <v>370</v>
      </c>
      <c r="E8" s="210" t="n">
        <v>5.14</v>
      </c>
      <c r="F8" s="193" t="n">
        <v>0.4</v>
      </c>
      <c r="G8" s="210" t="n">
        <v>0.46</v>
      </c>
      <c r="H8" s="210" t="n">
        <v>0.48</v>
      </c>
      <c r="I8" s="199" t="n">
        <f aca="false">IF(B8="","",(G8+H8)/2)</f>
        <v>0.47</v>
      </c>
      <c r="J8" s="199" t="n">
        <f aca="false">IF(B8="","",2*E8*I8)</f>
        <v>4.8316</v>
      </c>
      <c r="K8" s="199" t="n">
        <f aca="false">IF(B8="","",E8*F8)</f>
        <v>2.056</v>
      </c>
      <c r="L8" s="199" t="n">
        <f aca="false">IF(B8="","",IF(D8="TAPADA",E8*F8,0))</f>
        <v>2.056</v>
      </c>
      <c r="M8" s="211" t="n">
        <f aca="false">SUM(J8:L8)</f>
        <v>8.9436</v>
      </c>
      <c r="N8" s="212" t="n">
        <f aca="false">IF(B8="","",IF(D8="TAPADA",4,3))</f>
        <v>4</v>
      </c>
      <c r="O8" s="213" t="s">
        <v>18</v>
      </c>
    </row>
    <row r="9" customFormat="false" ht="33" hidden="false" customHeight="true" outlineLevel="0" collapsed="false">
      <c r="A9" s="208" t="n">
        <v>3</v>
      </c>
      <c r="B9" s="209" t="s">
        <v>372</v>
      </c>
      <c r="C9" s="209" t="s">
        <v>365</v>
      </c>
      <c r="D9" s="192" t="s">
        <v>248</v>
      </c>
      <c r="E9" s="210" t="n">
        <v>37.5</v>
      </c>
      <c r="F9" s="193" t="n">
        <v>0.4</v>
      </c>
      <c r="G9" s="210" t="n">
        <v>0.3</v>
      </c>
      <c r="H9" s="210" t="n">
        <v>0.48</v>
      </c>
      <c r="I9" s="199" t="n">
        <f aca="false">IF(B9="","",(G9+H9)/2)</f>
        <v>0.39</v>
      </c>
      <c r="J9" s="199" t="n">
        <f aca="false">IF(B9="","",2*E9*I9)</f>
        <v>29.25</v>
      </c>
      <c r="K9" s="199" t="n">
        <f aca="false">IF(B9="","",E9*F9)</f>
        <v>15</v>
      </c>
      <c r="L9" s="199" t="n">
        <f aca="false">IF(B9="","",IF(D9="TAPADA",E9*F9,0))</f>
        <v>0</v>
      </c>
      <c r="M9" s="211" t="n">
        <f aca="false">SUM(J9:L9)</f>
        <v>44.25</v>
      </c>
      <c r="N9" s="212" t="n">
        <f aca="false">IF(B9="","",IF(D9="TAPADA",4,3))</f>
        <v>3</v>
      </c>
      <c r="O9" s="213" t="s">
        <v>18</v>
      </c>
    </row>
    <row r="10" customFormat="false" ht="33" hidden="false" customHeight="true" outlineLevel="0" collapsed="false">
      <c r="A10" s="208" t="n">
        <v>4</v>
      </c>
      <c r="B10" s="209" t="s">
        <v>372</v>
      </c>
      <c r="C10" s="209" t="s">
        <v>369</v>
      </c>
      <c r="D10" s="192" t="s">
        <v>370</v>
      </c>
      <c r="E10" s="210" t="n">
        <v>10.2</v>
      </c>
      <c r="F10" s="193" t="n">
        <v>0.4</v>
      </c>
      <c r="G10" s="210" t="n">
        <v>0.48</v>
      </c>
      <c r="H10" s="210" t="n">
        <v>0.53</v>
      </c>
      <c r="I10" s="199" t="n">
        <f aca="false">IF(B10="","",(G10+H10)/2)</f>
        <v>0.505</v>
      </c>
      <c r="J10" s="199" t="n">
        <f aca="false">IF(B10="","",2*E10*I10)</f>
        <v>10.302</v>
      </c>
      <c r="K10" s="199" t="n">
        <f aca="false">IF(B10="","",E10*F10)</f>
        <v>4.08</v>
      </c>
      <c r="L10" s="199" t="n">
        <f aca="false">IF(B10="","",IF(D10="TAPADA",E10*F10,0))</f>
        <v>4.08</v>
      </c>
      <c r="M10" s="211" t="n">
        <f aca="false">SUM(J10:L10)</f>
        <v>18.462</v>
      </c>
      <c r="N10" s="212" t="n">
        <f aca="false">IF(B10="","",IF(D10="TAPADA",4,3))</f>
        <v>4</v>
      </c>
      <c r="O10" s="213" t="s">
        <v>18</v>
      </c>
    </row>
    <row r="11" customFormat="false" ht="33" hidden="false" customHeight="true" outlineLevel="0" collapsed="false">
      <c r="A11" s="208" t="n">
        <v>5</v>
      </c>
      <c r="B11" s="209" t="s">
        <v>372</v>
      </c>
      <c r="C11" s="209" t="s">
        <v>376</v>
      </c>
      <c r="D11" s="192" t="s">
        <v>248</v>
      </c>
      <c r="E11" s="210" t="n">
        <v>31.33</v>
      </c>
      <c r="F11" s="193" t="n">
        <v>0.4</v>
      </c>
      <c r="G11" s="210" t="n">
        <v>0.53</v>
      </c>
      <c r="H11" s="210" t="n">
        <v>0.7</v>
      </c>
      <c r="I11" s="199" t="n">
        <f aca="false">IF(B11="","",(G11+H11)/2)</f>
        <v>0.615</v>
      </c>
      <c r="J11" s="199" t="n">
        <f aca="false">IF(B11="","",2*E11*I11)</f>
        <v>38.5359</v>
      </c>
      <c r="K11" s="199" t="n">
        <f aca="false">IF(B11="","",E11*F11)</f>
        <v>12.532</v>
      </c>
      <c r="L11" s="199" t="n">
        <f aca="false">IF(B11="","",IF(D11="TAPADA",E11*F11,0))</f>
        <v>0</v>
      </c>
      <c r="M11" s="211" t="n">
        <f aca="false">SUM(J11:L11)</f>
        <v>51.0679</v>
      </c>
      <c r="N11" s="212" t="n">
        <f aca="false">IF(B11="","",IF(D11="TAPADA",4,3))</f>
        <v>3</v>
      </c>
      <c r="O11" s="213" t="s">
        <v>18</v>
      </c>
    </row>
    <row r="12" customFormat="false" ht="39.75" hidden="false" customHeight="true" outlineLevel="0" collapsed="false">
      <c r="A12" s="208" t="n">
        <v>6</v>
      </c>
      <c r="B12" s="209" t="s">
        <v>372</v>
      </c>
      <c r="C12" s="209" t="s">
        <v>378</v>
      </c>
      <c r="D12" s="192" t="s">
        <v>370</v>
      </c>
      <c r="E12" s="210" t="n">
        <v>8.36</v>
      </c>
      <c r="F12" s="193" t="n">
        <v>0.4</v>
      </c>
      <c r="G12" s="210" t="n">
        <v>0.7</v>
      </c>
      <c r="H12" s="210" t="n">
        <v>0.73</v>
      </c>
      <c r="I12" s="199" t="n">
        <f aca="false">IF(B12="","",(G12+H12)/2)</f>
        <v>0.715</v>
      </c>
      <c r="J12" s="199" t="n">
        <f aca="false">IF(B12="","",2*E12*I12)</f>
        <v>11.9548</v>
      </c>
      <c r="K12" s="199" t="n">
        <f aca="false">IF(B12="","",E12*F12)</f>
        <v>3.344</v>
      </c>
      <c r="L12" s="199" t="n">
        <f aca="false">IF(B12="","",IF(D12="TAPADA",E12*F12,0))</f>
        <v>3.344</v>
      </c>
      <c r="M12" s="211" t="n">
        <f aca="false">SUM(J12:L12)</f>
        <v>18.6428</v>
      </c>
      <c r="N12" s="212" t="n">
        <f aca="false">IF(B12="","",IF(D12="TAPADA",4,3))</f>
        <v>4</v>
      </c>
      <c r="O12" s="213" t="s">
        <v>18</v>
      </c>
    </row>
    <row r="13" customFormat="false" ht="33" hidden="false" customHeight="true" outlineLevel="0" collapsed="false">
      <c r="A13" s="208" t="n">
        <v>7</v>
      </c>
      <c r="B13" s="209" t="s">
        <v>372</v>
      </c>
      <c r="C13" s="209" t="s">
        <v>380</v>
      </c>
      <c r="D13" s="192" t="s">
        <v>248</v>
      </c>
      <c r="E13" s="210" t="n">
        <v>30.36</v>
      </c>
      <c r="F13" s="193" t="n">
        <v>0.4</v>
      </c>
      <c r="G13" s="210" t="n">
        <v>0.73</v>
      </c>
      <c r="H13" s="210" t="n">
        <v>0.88</v>
      </c>
      <c r="I13" s="199" t="n">
        <f aca="false">IF(B13="","",(G13+H13)/2)</f>
        <v>0.805</v>
      </c>
      <c r="J13" s="199" t="n">
        <f aca="false">IF(B13="","",2*E13*I13)</f>
        <v>48.8796</v>
      </c>
      <c r="K13" s="199" t="n">
        <f aca="false">IF(B13="","",E13*F13)</f>
        <v>12.144</v>
      </c>
      <c r="L13" s="199" t="n">
        <f aca="false">IF(B13="","",IF(D13="TAPADA",E13*F13,0))</f>
        <v>0</v>
      </c>
      <c r="M13" s="211" t="n">
        <f aca="false">SUM(J13:L13)</f>
        <v>61.0236</v>
      </c>
      <c r="N13" s="212" t="n">
        <f aca="false">IF(B13="","",IF(D13="TAPADA",4,3))</f>
        <v>3</v>
      </c>
      <c r="O13" s="213" t="s">
        <v>18</v>
      </c>
    </row>
    <row r="14" customFormat="false" ht="33" hidden="false" customHeight="true" outlineLevel="0" collapsed="false">
      <c r="A14" s="208" t="n">
        <v>8</v>
      </c>
      <c r="B14" s="209" t="s">
        <v>372</v>
      </c>
      <c r="C14" s="209" t="s">
        <v>383</v>
      </c>
      <c r="D14" s="192" t="s">
        <v>370</v>
      </c>
      <c r="E14" s="210" t="n">
        <v>2.25</v>
      </c>
      <c r="F14" s="193" t="n">
        <v>0.4</v>
      </c>
      <c r="G14" s="210" t="n">
        <v>0.88</v>
      </c>
      <c r="H14" s="210" t="n">
        <v>0.9</v>
      </c>
      <c r="I14" s="199" t="n">
        <f aca="false">IF(B14="","",(G14+H14)/2)</f>
        <v>0.89</v>
      </c>
      <c r="J14" s="199" t="n">
        <f aca="false">IF(B14="","",2*E14*I14)</f>
        <v>4.005</v>
      </c>
      <c r="K14" s="199" t="n">
        <f aca="false">IF(B14="","",E14*F14)</f>
        <v>0.9</v>
      </c>
      <c r="L14" s="199" t="n">
        <f aca="false">IF(B14="","",IF(D14="TAPADA",E14*F14,0))</f>
        <v>0.9</v>
      </c>
      <c r="M14" s="211" t="n">
        <f aca="false">SUM(J14:L14)</f>
        <v>5.805</v>
      </c>
      <c r="N14" s="212" t="n">
        <f aca="false">IF(B14="","",IF(D14="TAPADA",4,3))</f>
        <v>4</v>
      </c>
      <c r="O14" s="213" t="s">
        <v>18</v>
      </c>
    </row>
    <row r="15" customFormat="false" ht="33" hidden="false" customHeight="true" outlineLevel="0" collapsed="false">
      <c r="A15" s="208" t="n">
        <v>9</v>
      </c>
      <c r="B15" s="209" t="s">
        <v>372</v>
      </c>
      <c r="C15" s="209" t="s">
        <v>385</v>
      </c>
      <c r="D15" s="192" t="s">
        <v>370</v>
      </c>
      <c r="E15" s="210" t="n">
        <v>10.85</v>
      </c>
      <c r="F15" s="193" t="n">
        <v>0.4</v>
      </c>
      <c r="G15" s="210" t="n">
        <v>0.85</v>
      </c>
      <c r="H15" s="210" t="n">
        <v>0.9</v>
      </c>
      <c r="I15" s="199" t="n">
        <f aca="false">IF(B15="","",(G15+H15)/2)</f>
        <v>0.875</v>
      </c>
      <c r="J15" s="199" t="n">
        <f aca="false">IF(B15="","",2*E15*I15)</f>
        <v>18.9875</v>
      </c>
      <c r="K15" s="199" t="n">
        <f aca="false">IF(B15="","",E15*F15)</f>
        <v>4.34</v>
      </c>
      <c r="L15" s="199" t="n">
        <f aca="false">IF(B15="","",IF(D15="TAPADA",E15*F15,0))</f>
        <v>4.34</v>
      </c>
      <c r="M15" s="211" t="n">
        <f aca="false">SUM(J15:L15)</f>
        <v>27.6675</v>
      </c>
      <c r="N15" s="212" t="n">
        <f aca="false">IF(B15="","",IF(D15="TAPADA",4,3))</f>
        <v>4</v>
      </c>
      <c r="O15" s="213" t="s">
        <v>18</v>
      </c>
    </row>
    <row r="16" customFormat="false" ht="33" hidden="false" customHeight="true" outlineLevel="0" collapsed="false">
      <c r="A16" s="208" t="n">
        <v>10</v>
      </c>
      <c r="B16" s="209" t="s">
        <v>434</v>
      </c>
      <c r="C16" s="209" t="s">
        <v>365</v>
      </c>
      <c r="D16" s="192" t="s">
        <v>248</v>
      </c>
      <c r="E16" s="210" t="n">
        <v>5.82</v>
      </c>
      <c r="F16" s="193" t="n">
        <v>0.4</v>
      </c>
      <c r="G16" s="210" t="n">
        <v>0.3</v>
      </c>
      <c r="H16" s="210" t="n">
        <v>0.32</v>
      </c>
      <c r="I16" s="199" t="n">
        <f aca="false">IF(B16="","",(G16+H16)/2)</f>
        <v>0.31</v>
      </c>
      <c r="J16" s="199" t="n">
        <f aca="false">IF(B16="","",2*E16*I16)</f>
        <v>3.6084</v>
      </c>
      <c r="K16" s="199" t="n">
        <f aca="false">IF(B16="","",E16*F16)</f>
        <v>2.328</v>
      </c>
      <c r="L16" s="199" t="n">
        <f aca="false">IF(B16="","",IF(D16="TAPADA",E16*F16,0))</f>
        <v>0</v>
      </c>
      <c r="M16" s="211" t="n">
        <f aca="false">SUM(J16:L16)</f>
        <v>5.9364</v>
      </c>
      <c r="N16" s="212" t="n">
        <f aca="false">IF(B16="","",IF(D16="TAPADA",4,3))</f>
        <v>3</v>
      </c>
      <c r="O16" s="213" t="s">
        <v>18</v>
      </c>
    </row>
    <row r="17" customFormat="false" ht="33" hidden="false" customHeight="true" outlineLevel="0" collapsed="false">
      <c r="A17" s="208" t="n">
        <v>11</v>
      </c>
      <c r="B17" s="209" t="s">
        <v>435</v>
      </c>
      <c r="C17" s="209" t="s">
        <v>365</v>
      </c>
      <c r="D17" s="192" t="s">
        <v>248</v>
      </c>
      <c r="E17" s="210" t="n">
        <v>8.6</v>
      </c>
      <c r="F17" s="193" t="n">
        <v>0.4</v>
      </c>
      <c r="G17" s="210" t="n">
        <v>0.3</v>
      </c>
      <c r="H17" s="210" t="n">
        <v>0.34</v>
      </c>
      <c r="I17" s="199" t="n">
        <f aca="false">IF(B17="","",(G17+H17)/2)</f>
        <v>0.32</v>
      </c>
      <c r="J17" s="199" t="n">
        <f aca="false">IF(B17="","",2*E17*I17)</f>
        <v>5.504</v>
      </c>
      <c r="K17" s="199" t="n">
        <f aca="false">IF(B17="","",E17*F17)</f>
        <v>3.44</v>
      </c>
      <c r="L17" s="199" t="n">
        <f aca="false">IF(B17="","",IF(D17="TAPADA",E17*F17,0))</f>
        <v>0</v>
      </c>
      <c r="M17" s="211" t="n">
        <f aca="false">SUM(J17:L17)</f>
        <v>8.944</v>
      </c>
      <c r="N17" s="212" t="n">
        <f aca="false">IF(B17="","",IF(D17="TAPADA",4,3))</f>
        <v>3</v>
      </c>
      <c r="O17" s="213" t="s">
        <v>18</v>
      </c>
    </row>
    <row r="18" customFormat="false" ht="33" hidden="false" customHeight="true" outlineLevel="0" collapsed="false">
      <c r="A18" s="208" t="n">
        <v>12</v>
      </c>
      <c r="B18" s="209" t="s">
        <v>388</v>
      </c>
      <c r="C18" s="209" t="s">
        <v>365</v>
      </c>
      <c r="D18" s="192" t="s">
        <v>248</v>
      </c>
      <c r="E18" s="210" t="n">
        <v>37.53</v>
      </c>
      <c r="F18" s="193" t="n">
        <v>0.4</v>
      </c>
      <c r="G18" s="210" t="n">
        <v>0.3</v>
      </c>
      <c r="H18" s="210" t="n">
        <v>0.48</v>
      </c>
      <c r="I18" s="199" t="n">
        <f aca="false">IF(B18="","",(G18+H18)/2)</f>
        <v>0.39</v>
      </c>
      <c r="J18" s="199" t="n">
        <f aca="false">IF(B18="","",2*E18*I18)</f>
        <v>29.2734</v>
      </c>
      <c r="K18" s="199" t="n">
        <f aca="false">IF(B18="","",E18*F18)</f>
        <v>15.012</v>
      </c>
      <c r="L18" s="199" t="n">
        <f aca="false">IF(B18="","",IF(D18="TAPADA",E18*F18,0))</f>
        <v>0</v>
      </c>
      <c r="M18" s="211" t="n">
        <f aca="false">SUM(J18:L18)</f>
        <v>44.2854</v>
      </c>
      <c r="N18" s="212" t="n">
        <f aca="false">IF(B18="","",IF(D18="TAPADA",4,3))</f>
        <v>3</v>
      </c>
      <c r="O18" s="213" t="s">
        <v>18</v>
      </c>
    </row>
    <row r="19" customFormat="false" ht="33" hidden="false" customHeight="true" outlineLevel="0" collapsed="false">
      <c r="A19" s="208" t="n">
        <v>13</v>
      </c>
      <c r="B19" s="209" t="s">
        <v>388</v>
      </c>
      <c r="C19" s="209" t="s">
        <v>369</v>
      </c>
      <c r="D19" s="192" t="s">
        <v>370</v>
      </c>
      <c r="E19" s="210" t="n">
        <v>5.7</v>
      </c>
      <c r="F19" s="193" t="n">
        <v>0.4</v>
      </c>
      <c r="G19" s="210" t="n">
        <v>0.48</v>
      </c>
      <c r="H19" s="210" t="n">
        <v>0.51</v>
      </c>
      <c r="I19" s="199" t="n">
        <f aca="false">IF(B19="","",(G19+H19)/2)</f>
        <v>0.495</v>
      </c>
      <c r="J19" s="199" t="n">
        <f aca="false">IF(B19="","",2*E19*I19)</f>
        <v>5.643</v>
      </c>
      <c r="K19" s="199" t="n">
        <f aca="false">IF(B19="","",E19*F19)</f>
        <v>2.28</v>
      </c>
      <c r="L19" s="199" t="n">
        <f aca="false">IF(B19="","",IF(D19="TAPADA",E19*F19,0))</f>
        <v>2.28</v>
      </c>
      <c r="M19" s="211" t="n">
        <f aca="false">SUM(J19:L19)</f>
        <v>10.203</v>
      </c>
      <c r="N19" s="212" t="n">
        <f aca="false">IF(B19="","",IF(D19="TAPADA",4,3))</f>
        <v>4</v>
      </c>
      <c r="O19" s="213" t="s">
        <v>18</v>
      </c>
    </row>
    <row r="20" customFormat="false" ht="33" hidden="false" customHeight="true" outlineLevel="0" collapsed="false">
      <c r="A20" s="208" t="n">
        <v>14</v>
      </c>
      <c r="B20" s="209" t="s">
        <v>392</v>
      </c>
      <c r="C20" s="209" t="s">
        <v>365</v>
      </c>
      <c r="D20" s="192" t="s">
        <v>248</v>
      </c>
      <c r="E20" s="210" t="n">
        <v>37.53</v>
      </c>
      <c r="F20" s="193" t="n">
        <v>0.4</v>
      </c>
      <c r="G20" s="210" t="n">
        <v>0.3</v>
      </c>
      <c r="H20" s="210" t="n">
        <v>0.48</v>
      </c>
      <c r="I20" s="199" t="n">
        <f aca="false">IF(B20="","",(G20+H20)/2)</f>
        <v>0.39</v>
      </c>
      <c r="J20" s="199" t="n">
        <f aca="false">IF(B20="","",2*E20*I20)</f>
        <v>29.2734</v>
      </c>
      <c r="K20" s="199" t="n">
        <f aca="false">IF(B20="","",E20*F20)</f>
        <v>15.012</v>
      </c>
      <c r="L20" s="199" t="n">
        <f aca="false">IF(B20="","",IF(D20="TAPADA",E20*F20,0))</f>
        <v>0</v>
      </c>
      <c r="M20" s="211" t="n">
        <f aca="false">SUM(J20:L20)</f>
        <v>44.2854</v>
      </c>
      <c r="N20" s="212" t="n">
        <f aca="false">IF(B20="","",IF(D20="TAPADA",4,3))</f>
        <v>3</v>
      </c>
      <c r="O20" s="213" t="s">
        <v>18</v>
      </c>
    </row>
    <row r="21" customFormat="false" ht="33" hidden="false" customHeight="true" outlineLevel="0" collapsed="false">
      <c r="A21" s="208" t="n">
        <v>15</v>
      </c>
      <c r="B21" s="209" t="s">
        <v>392</v>
      </c>
      <c r="C21" s="209" t="s">
        <v>369</v>
      </c>
      <c r="D21" s="192" t="s">
        <v>370</v>
      </c>
      <c r="E21" s="210" t="n">
        <v>10.9</v>
      </c>
      <c r="F21" s="193" t="n">
        <v>0.4</v>
      </c>
      <c r="G21" s="210" t="n">
        <v>0.48</v>
      </c>
      <c r="H21" s="210" t="n">
        <v>0.54</v>
      </c>
      <c r="I21" s="199" t="n">
        <f aca="false">IF(B21="","",(G21+H21)/2)</f>
        <v>0.51</v>
      </c>
      <c r="J21" s="199" t="n">
        <f aca="false">IF(B21="","",2*E21*I21)</f>
        <v>11.118</v>
      </c>
      <c r="K21" s="199" t="n">
        <f aca="false">IF(B21="","",E21*F21)</f>
        <v>4.36</v>
      </c>
      <c r="L21" s="199" t="n">
        <f aca="false">IF(B21="","",IF(D21="TAPADA",E21*F21,0))</f>
        <v>4.36</v>
      </c>
      <c r="M21" s="211" t="n">
        <f aca="false">SUM(J21:L21)</f>
        <v>19.838</v>
      </c>
      <c r="N21" s="212" t="n">
        <f aca="false">IF(B21="","",IF(D21="TAPADA",4,3))</f>
        <v>4</v>
      </c>
      <c r="O21" s="213" t="s">
        <v>18</v>
      </c>
    </row>
    <row r="22" customFormat="false" ht="33" hidden="false" customHeight="true" outlineLevel="0" collapsed="false">
      <c r="A22" s="208" t="n">
        <v>16</v>
      </c>
      <c r="B22" s="209" t="s">
        <v>392</v>
      </c>
      <c r="C22" s="209" t="s">
        <v>376</v>
      </c>
      <c r="D22" s="192" t="s">
        <v>248</v>
      </c>
      <c r="E22" s="210" t="n">
        <v>56.93</v>
      </c>
      <c r="F22" s="193" t="n">
        <v>0.4</v>
      </c>
      <c r="G22" s="210" t="n">
        <v>0.54</v>
      </c>
      <c r="H22" s="210" t="n">
        <v>0.82</v>
      </c>
      <c r="I22" s="199" t="n">
        <f aca="false">IF(B22="","",(G22+H22)/2)</f>
        <v>0.68</v>
      </c>
      <c r="J22" s="199" t="n">
        <f aca="false">IF(B22="","",2*E22*I22)</f>
        <v>77.4248</v>
      </c>
      <c r="K22" s="199" t="n">
        <f aca="false">IF(B22="","",E22*F22)</f>
        <v>22.772</v>
      </c>
      <c r="L22" s="199" t="n">
        <f aca="false">IF(B22="","",IF(D22="TAPADA",E22*F22,0))</f>
        <v>0</v>
      </c>
      <c r="M22" s="211" t="n">
        <f aca="false">SUM(J22:L22)</f>
        <v>100.1968</v>
      </c>
      <c r="N22" s="212" t="n">
        <f aca="false">IF(B22="","",IF(D22="TAPADA",4,3))</f>
        <v>3</v>
      </c>
      <c r="O22" s="213" t="s">
        <v>18</v>
      </c>
    </row>
    <row r="23" customFormat="false" ht="33" hidden="false" customHeight="true" outlineLevel="0" collapsed="false">
      <c r="A23" s="208" t="n">
        <v>17</v>
      </c>
      <c r="B23" s="209" t="s">
        <v>392</v>
      </c>
      <c r="C23" s="209" t="s">
        <v>378</v>
      </c>
      <c r="D23" s="192" t="s">
        <v>370</v>
      </c>
      <c r="E23" s="210" t="n">
        <v>15</v>
      </c>
      <c r="F23" s="193" t="n">
        <v>0.4</v>
      </c>
      <c r="G23" s="210" t="n">
        <v>0.82</v>
      </c>
      <c r="H23" s="210" t="n">
        <v>0.9</v>
      </c>
      <c r="I23" s="199" t="n">
        <f aca="false">IF(B23="","",(G23+H23)/2)</f>
        <v>0.86</v>
      </c>
      <c r="J23" s="199" t="n">
        <f aca="false">IF(B23="","",2*E23*I23)</f>
        <v>25.8</v>
      </c>
      <c r="K23" s="199" t="n">
        <f aca="false">IF(B23="","",E23*F23)</f>
        <v>6</v>
      </c>
      <c r="L23" s="199" t="n">
        <f aca="false">IF(B23="","",IF(D23="TAPADA",E23*F23,0))</f>
        <v>6</v>
      </c>
      <c r="M23" s="211" t="n">
        <f aca="false">SUM(J23:L23)</f>
        <v>37.8</v>
      </c>
      <c r="N23" s="212" t="n">
        <f aca="false">IF(B23="","",IF(D23="TAPADA",4,3))</f>
        <v>4</v>
      </c>
      <c r="O23" s="213" t="s">
        <v>18</v>
      </c>
    </row>
    <row r="24" customFormat="false" ht="33" hidden="false" customHeight="true" outlineLevel="0" collapsed="false">
      <c r="A24" s="208" t="n">
        <v>18</v>
      </c>
      <c r="B24" s="209" t="s">
        <v>399</v>
      </c>
      <c r="C24" s="209" t="s">
        <v>365</v>
      </c>
      <c r="D24" s="192" t="s">
        <v>248</v>
      </c>
      <c r="E24" s="210" t="n">
        <v>37.53</v>
      </c>
      <c r="F24" s="193" t="n">
        <v>0.4</v>
      </c>
      <c r="G24" s="210" t="n">
        <v>0.3</v>
      </c>
      <c r="H24" s="210" t="n">
        <v>0.48</v>
      </c>
      <c r="I24" s="199" t="n">
        <f aca="false">IF(B24="","",(G24+H24)/2)</f>
        <v>0.39</v>
      </c>
      <c r="J24" s="199" t="n">
        <f aca="false">IF(B24="","",2*E24*I24)</f>
        <v>29.2734</v>
      </c>
      <c r="K24" s="199" t="n">
        <f aca="false">IF(B24="","",E24*F24)</f>
        <v>15.012</v>
      </c>
      <c r="L24" s="199" t="n">
        <f aca="false">IF(B24="","",IF(D24="TAPADA",E24*F24,0))</f>
        <v>0</v>
      </c>
      <c r="M24" s="211" t="n">
        <f aca="false">SUM(J24:L24)</f>
        <v>44.2854</v>
      </c>
      <c r="N24" s="212" t="n">
        <f aca="false">IF(B24="","",IF(D24="TAPADA",4,3))</f>
        <v>3</v>
      </c>
      <c r="O24" s="213" t="s">
        <v>18</v>
      </c>
    </row>
    <row r="25" customFormat="false" ht="33" hidden="false" customHeight="true" outlineLevel="0" collapsed="false">
      <c r="A25" s="208" t="n">
        <v>19</v>
      </c>
      <c r="B25" s="209" t="s">
        <v>399</v>
      </c>
      <c r="C25" s="209" t="s">
        <v>369</v>
      </c>
      <c r="D25" s="192" t="s">
        <v>370</v>
      </c>
      <c r="E25" s="210" t="n">
        <v>7.66</v>
      </c>
      <c r="F25" s="193" t="n">
        <v>0.4</v>
      </c>
      <c r="G25" s="210" t="n">
        <v>0.48</v>
      </c>
      <c r="H25" s="210" t="n">
        <v>0.52</v>
      </c>
      <c r="I25" s="199" t="n">
        <f aca="false">IF(B25="","",(G25+H25)/2)</f>
        <v>0.5</v>
      </c>
      <c r="J25" s="199" t="n">
        <f aca="false">IF(B25="","",2*E25*I25)</f>
        <v>7.66</v>
      </c>
      <c r="K25" s="199" t="n">
        <f aca="false">IF(B25="","",E25*F25)</f>
        <v>3.064</v>
      </c>
      <c r="L25" s="199" t="n">
        <f aca="false">IF(B25="","",IF(D25="TAPADA",E25*F25,0))</f>
        <v>3.064</v>
      </c>
      <c r="M25" s="211" t="n">
        <f aca="false">SUM(J25:L25)</f>
        <v>13.788</v>
      </c>
      <c r="N25" s="212" t="n">
        <f aca="false">IF(B25="","",IF(D25="TAPADA",4,3))</f>
        <v>4</v>
      </c>
      <c r="O25" s="213" t="s">
        <v>18</v>
      </c>
    </row>
    <row r="26" customFormat="false" ht="33" hidden="false" customHeight="true" outlineLevel="0" collapsed="false">
      <c r="A26" s="208" t="n">
        <v>20</v>
      </c>
      <c r="B26" s="209" t="s">
        <v>399</v>
      </c>
      <c r="C26" s="209" t="s">
        <v>376</v>
      </c>
      <c r="D26" s="192" t="s">
        <v>248</v>
      </c>
      <c r="E26" s="210" t="n">
        <v>63.75</v>
      </c>
      <c r="F26" s="193" t="n">
        <v>0.4</v>
      </c>
      <c r="G26" s="210" t="n">
        <v>0.52</v>
      </c>
      <c r="H26" s="210" t="n">
        <v>0.84</v>
      </c>
      <c r="I26" s="199" t="n">
        <f aca="false">IF(B26="","",(G26+H26)/2)</f>
        <v>0.68</v>
      </c>
      <c r="J26" s="199" t="n">
        <f aca="false">IF(B26="","",2*E26*I26)</f>
        <v>86.7</v>
      </c>
      <c r="K26" s="199" t="n">
        <f aca="false">IF(B26="","",E26*F26)</f>
        <v>25.5</v>
      </c>
      <c r="L26" s="199" t="n">
        <f aca="false">IF(B26="","",IF(D26="TAPADA",E26*F26,0))</f>
        <v>0</v>
      </c>
      <c r="M26" s="211" t="n">
        <f aca="false">SUM(J26:L26)</f>
        <v>112.2</v>
      </c>
      <c r="N26" s="212" t="n">
        <f aca="false">IF(B26="","",IF(D26="TAPADA",4,3))</f>
        <v>3</v>
      </c>
      <c r="O26" s="213" t="s">
        <v>18</v>
      </c>
    </row>
    <row r="27" customFormat="false" ht="33" hidden="false" customHeight="true" outlineLevel="0" collapsed="false">
      <c r="A27" s="208" t="n">
        <v>21</v>
      </c>
      <c r="B27" s="209" t="s">
        <v>399</v>
      </c>
      <c r="C27" s="209" t="s">
        <v>378</v>
      </c>
      <c r="D27" s="192" t="s">
        <v>370</v>
      </c>
      <c r="E27" s="210" t="n">
        <v>11.47</v>
      </c>
      <c r="F27" s="193" t="n">
        <v>0.4</v>
      </c>
      <c r="G27" s="210" t="n">
        <v>0.84</v>
      </c>
      <c r="H27" s="210" t="n">
        <v>0.9</v>
      </c>
      <c r="I27" s="199" t="n">
        <f aca="false">IF(B27="","",(G27+H27)/2)</f>
        <v>0.87</v>
      </c>
      <c r="J27" s="199" t="n">
        <f aca="false">IF(B27="","",2*E27*I27)</f>
        <v>19.9578</v>
      </c>
      <c r="K27" s="199" t="n">
        <f aca="false">IF(B27="","",E27*F27)</f>
        <v>4.588</v>
      </c>
      <c r="L27" s="199" t="n">
        <f aca="false">IF(B27="","",IF(D27="TAPADA",E27*F27,0))</f>
        <v>4.588</v>
      </c>
      <c r="M27" s="211" t="n">
        <f aca="false">SUM(J27:L27)</f>
        <v>29.1338</v>
      </c>
      <c r="N27" s="212" t="n">
        <f aca="false">IF(B27="","",IF(D27="TAPADA",4,3))</f>
        <v>4</v>
      </c>
      <c r="O27" s="213" t="s">
        <v>18</v>
      </c>
    </row>
    <row r="28" customFormat="false" ht="33" hidden="false" customHeight="true" outlineLevel="0" collapsed="false">
      <c r="A28" s="208" t="n">
        <v>22</v>
      </c>
      <c r="B28" s="209" t="s">
        <v>399</v>
      </c>
      <c r="C28" s="209" t="s">
        <v>380</v>
      </c>
      <c r="D28" s="192" t="s">
        <v>370</v>
      </c>
      <c r="E28" s="210" t="n">
        <v>5.17</v>
      </c>
      <c r="F28" s="193" t="n">
        <v>0.4</v>
      </c>
      <c r="G28" s="210" t="n">
        <v>0.85</v>
      </c>
      <c r="H28" s="210" t="n">
        <v>0.88</v>
      </c>
      <c r="I28" s="199" t="n">
        <f aca="false">IF(B28="","",(G28+H28)/2)</f>
        <v>0.865</v>
      </c>
      <c r="J28" s="199" t="n">
        <f aca="false">IF(B28="","",2*E28*I28)</f>
        <v>8.9441</v>
      </c>
      <c r="K28" s="199" t="n">
        <f aca="false">IF(B28="","",E28*F28)</f>
        <v>2.068</v>
      </c>
      <c r="L28" s="199" t="n">
        <f aca="false">IF(B28="","",IF(D28="TAPADA",E28*F28,0))</f>
        <v>2.068</v>
      </c>
      <c r="M28" s="211" t="n">
        <f aca="false">SUM(J28:L28)</f>
        <v>13.0801</v>
      </c>
      <c r="N28" s="212" t="n">
        <f aca="false">IF(B28="","",IF(D28="TAPADA",4,3))</f>
        <v>4</v>
      </c>
      <c r="O28" s="213" t="s">
        <v>18</v>
      </c>
    </row>
    <row r="29" customFormat="false" ht="33" hidden="false" customHeight="true" outlineLevel="0" collapsed="false">
      <c r="A29" s="208" t="n">
        <v>23</v>
      </c>
      <c r="B29" s="209" t="s">
        <v>407</v>
      </c>
      <c r="C29" s="209" t="s">
        <v>365</v>
      </c>
      <c r="D29" s="192" t="s">
        <v>370</v>
      </c>
      <c r="E29" s="210" t="n">
        <v>8.2</v>
      </c>
      <c r="F29" s="193" t="n">
        <v>0.4</v>
      </c>
      <c r="G29" s="210" t="n">
        <v>0.4</v>
      </c>
      <c r="H29" s="210" t="n">
        <v>0.44</v>
      </c>
      <c r="I29" s="199" t="n">
        <f aca="false">IF(B29="","",(G29+H29)/2)</f>
        <v>0.42</v>
      </c>
      <c r="J29" s="199" t="n">
        <f aca="false">IF(B29="","",2*E29*I29)</f>
        <v>6.888</v>
      </c>
      <c r="K29" s="199" t="n">
        <f aca="false">IF(B29="","",E29*F29)</f>
        <v>3.28</v>
      </c>
      <c r="L29" s="199" t="n">
        <f aca="false">IF(B29="","",IF(D29="TAPADA",E29*F29,0))</f>
        <v>3.28</v>
      </c>
      <c r="M29" s="211" t="n">
        <f aca="false">SUM(J29:L29)</f>
        <v>13.448</v>
      </c>
      <c r="N29" s="212" t="n">
        <f aca="false">IF(B29="","",IF(D29="TAPADA",4,3))</f>
        <v>4</v>
      </c>
      <c r="O29" s="213" t="s">
        <v>18</v>
      </c>
    </row>
    <row r="30" customFormat="false" ht="33" hidden="false" customHeight="true" outlineLevel="0" collapsed="false">
      <c r="A30" s="208" t="n">
        <v>24</v>
      </c>
      <c r="B30" s="209" t="s">
        <v>410</v>
      </c>
      <c r="C30" s="209" t="s">
        <v>365</v>
      </c>
      <c r="D30" s="192" t="s">
        <v>370</v>
      </c>
      <c r="E30" s="210" t="n">
        <v>7</v>
      </c>
      <c r="F30" s="193" t="n">
        <v>0.4</v>
      </c>
      <c r="G30" s="210" t="n">
        <v>0.4</v>
      </c>
      <c r="H30" s="210" t="n">
        <v>0.43</v>
      </c>
      <c r="I30" s="199" t="n">
        <f aca="false">IF(B30="","",(G30+H30)/2)</f>
        <v>0.415</v>
      </c>
      <c r="J30" s="199" t="n">
        <f aca="false">IF(B30="","",2*E30*I30)</f>
        <v>5.81</v>
      </c>
      <c r="K30" s="199" t="n">
        <f aca="false">IF(B30="","",E30*F30)</f>
        <v>2.8</v>
      </c>
      <c r="L30" s="199" t="n">
        <f aca="false">IF(B30="","",IF(D30="TAPADA",E30*F30,0))</f>
        <v>2.8</v>
      </c>
      <c r="M30" s="211" t="n">
        <f aca="false">SUM(J30:L30)</f>
        <v>11.41</v>
      </c>
      <c r="N30" s="212" t="n">
        <f aca="false">IF(B30="","",IF(D30="TAPADA",4,3))</f>
        <v>4</v>
      </c>
      <c r="O30" s="213" t="s">
        <v>18</v>
      </c>
    </row>
    <row r="31" customFormat="false" ht="33" hidden="false" customHeight="true" outlineLevel="0" collapsed="false">
      <c r="A31" s="208" t="n">
        <v>25</v>
      </c>
      <c r="B31" s="209" t="s">
        <v>161</v>
      </c>
      <c r="C31" s="209" t="s">
        <v>365</v>
      </c>
      <c r="D31" s="192" t="s">
        <v>248</v>
      </c>
      <c r="E31" s="210" t="n">
        <v>16</v>
      </c>
      <c r="F31" s="193" t="n">
        <v>0.4</v>
      </c>
      <c r="G31" s="210" t="n">
        <v>0.3</v>
      </c>
      <c r="H31" s="210" t="n">
        <v>0.38</v>
      </c>
      <c r="I31" s="199" t="n">
        <f aca="false">IF(B31="","",(G31+H31)/2)</f>
        <v>0.34</v>
      </c>
      <c r="J31" s="199" t="n">
        <f aca="false">IF(B31="","",2*E31*I31)</f>
        <v>10.88</v>
      </c>
      <c r="K31" s="199" t="n">
        <f aca="false">IF(B31="","",E31*F31)</f>
        <v>6.4</v>
      </c>
      <c r="L31" s="199" t="n">
        <f aca="false">IF(B31="","",IF(D31="TAPADA",E31*F31,0))</f>
        <v>0</v>
      </c>
      <c r="M31" s="211" t="n">
        <f aca="false">SUM(J31:L31)</f>
        <v>17.28</v>
      </c>
      <c r="N31" s="212" t="n">
        <f aca="false">IF(B31="","",IF(D31="TAPADA",4,3))</f>
        <v>3</v>
      </c>
      <c r="O31" s="213" t="s">
        <v>18</v>
      </c>
    </row>
    <row r="32" customFormat="false" ht="33" hidden="false" customHeight="true" outlineLevel="0" collapsed="false">
      <c r="A32" s="208" t="n">
        <v>26</v>
      </c>
      <c r="B32" s="209" t="s">
        <v>162</v>
      </c>
      <c r="C32" s="209" t="s">
        <v>365</v>
      </c>
      <c r="D32" s="192" t="s">
        <v>248</v>
      </c>
      <c r="E32" s="210" t="n">
        <v>62.76</v>
      </c>
      <c r="F32" s="193" t="n">
        <v>0.4</v>
      </c>
      <c r="G32" s="210" t="n">
        <v>0.3</v>
      </c>
      <c r="H32" s="210" t="n">
        <v>0.61</v>
      </c>
      <c r="I32" s="199" t="n">
        <f aca="false">IF(B32="","",(G32+H32)/2)</f>
        <v>0.455</v>
      </c>
      <c r="J32" s="199" t="n">
        <f aca="false">IF(B32="","",2*E32*I32)</f>
        <v>57.1116</v>
      </c>
      <c r="K32" s="199" t="n">
        <f aca="false">IF(B32="","",E32*F32)</f>
        <v>25.104</v>
      </c>
      <c r="L32" s="199" t="n">
        <f aca="false">IF(B32="","",IF(D32="TAPADA",E32*F32,0))</f>
        <v>0</v>
      </c>
      <c r="M32" s="211" t="n">
        <f aca="false">SUM(J32:L32)</f>
        <v>82.2156</v>
      </c>
      <c r="N32" s="212" t="n">
        <f aca="false">IF(B32="","",IF(D32="TAPADA",4,3))</f>
        <v>3</v>
      </c>
      <c r="O32" s="213" t="s">
        <v>18</v>
      </c>
    </row>
    <row r="33" customFormat="false" ht="33" hidden="false" customHeight="true" outlineLevel="0" collapsed="false">
      <c r="A33" s="208" t="n">
        <v>27</v>
      </c>
      <c r="B33" s="209" t="s">
        <v>162</v>
      </c>
      <c r="C33" s="209" t="s">
        <v>369</v>
      </c>
      <c r="D33" s="192" t="s">
        <v>370</v>
      </c>
      <c r="E33" s="210" t="n">
        <v>2.2</v>
      </c>
      <c r="F33" s="193" t="n">
        <v>0.4</v>
      </c>
      <c r="G33" s="210" t="n">
        <v>0.61</v>
      </c>
      <c r="H33" s="210" t="n">
        <v>0.62</v>
      </c>
      <c r="I33" s="199" t="n">
        <f aca="false">IF(B33="","",(G33+H33)/2)</f>
        <v>0.615</v>
      </c>
      <c r="J33" s="199" t="n">
        <f aca="false">IF(B33="","",2*E33*I33)</f>
        <v>2.706</v>
      </c>
      <c r="K33" s="199" t="n">
        <f aca="false">IF(B33="","",E33*F33)</f>
        <v>0.88</v>
      </c>
      <c r="L33" s="199" t="n">
        <f aca="false">IF(B33="","",IF(D33="TAPADA",E33*F33,0))</f>
        <v>0.88</v>
      </c>
      <c r="M33" s="211" t="n">
        <f aca="false">SUM(J33:L33)</f>
        <v>4.466</v>
      </c>
      <c r="N33" s="212" t="n">
        <f aca="false">IF(B33="","",IF(D33="TAPADA",4,3))</f>
        <v>4</v>
      </c>
      <c r="O33" s="213" t="s">
        <v>18</v>
      </c>
    </row>
    <row r="34" customFormat="false" ht="33" hidden="false" customHeight="true" outlineLevel="0" collapsed="false">
      <c r="A34" s="208" t="n">
        <v>28</v>
      </c>
      <c r="B34" s="209" t="s">
        <v>162</v>
      </c>
      <c r="C34" s="209" t="s">
        <v>376</v>
      </c>
      <c r="D34" s="192" t="s">
        <v>370</v>
      </c>
      <c r="E34" s="210" t="n">
        <v>6.5</v>
      </c>
      <c r="F34" s="193" t="n">
        <v>0.4</v>
      </c>
      <c r="G34" s="210" t="n">
        <v>0.57</v>
      </c>
      <c r="H34" s="210" t="n">
        <v>0.6</v>
      </c>
      <c r="I34" s="199" t="n">
        <f aca="false">IF(B34="","",(G34+H34)/2)</f>
        <v>0.585</v>
      </c>
      <c r="J34" s="199" t="n">
        <f aca="false">IF(B34="","",2*E34*I34)</f>
        <v>7.605</v>
      </c>
      <c r="K34" s="199" t="n">
        <f aca="false">IF(B34="","",E34*F34)</f>
        <v>2.6</v>
      </c>
      <c r="L34" s="199" t="n">
        <f aca="false">IF(B34="","",IF(D34="TAPADA",E34*F34,0))</f>
        <v>2.6</v>
      </c>
      <c r="M34" s="211" t="n">
        <f aca="false">SUM(J34:L34)</f>
        <v>12.805</v>
      </c>
      <c r="N34" s="212" t="n">
        <f aca="false">IF(B34="","",IF(D34="TAPADA",4,3))</f>
        <v>4</v>
      </c>
      <c r="O34" s="213" t="s">
        <v>18</v>
      </c>
    </row>
    <row r="35" customFormat="false" ht="33" hidden="false" customHeight="true" outlineLevel="0" collapsed="false">
      <c r="A35" s="208" t="n">
        <v>29</v>
      </c>
      <c r="B35" s="209" t="s">
        <v>163</v>
      </c>
      <c r="C35" s="209" t="s">
        <v>365</v>
      </c>
      <c r="D35" s="192" t="s">
        <v>248</v>
      </c>
      <c r="E35" s="210" t="n">
        <v>52.47</v>
      </c>
      <c r="F35" s="193" t="n">
        <v>0.4</v>
      </c>
      <c r="G35" s="210" t="n">
        <v>0.3</v>
      </c>
      <c r="H35" s="210" t="n">
        <v>0.56</v>
      </c>
      <c r="I35" s="199" t="n">
        <f aca="false">IF(B35="","",(G35+H35)/2)</f>
        <v>0.43</v>
      </c>
      <c r="J35" s="199" t="n">
        <f aca="false">IF(B35="","",2*E35*I35)</f>
        <v>45.1242</v>
      </c>
      <c r="K35" s="199" t="n">
        <f aca="false">IF(B35="","",E35*F35)</f>
        <v>20.988</v>
      </c>
      <c r="L35" s="199" t="n">
        <f aca="false">IF(B35="","",IF(D35="TAPADA",E35*F35,0))</f>
        <v>0</v>
      </c>
      <c r="M35" s="211" t="n">
        <f aca="false">SUM(J35:L35)</f>
        <v>66.1122</v>
      </c>
      <c r="N35" s="212" t="n">
        <f aca="false">IF(B35="","",IF(D35="TAPADA",4,3))</f>
        <v>3</v>
      </c>
      <c r="O35" s="213" t="s">
        <v>18</v>
      </c>
    </row>
    <row r="36" customFormat="false" ht="33" hidden="false" customHeight="true" outlineLevel="0" collapsed="false">
      <c r="A36" s="208" t="n">
        <v>30</v>
      </c>
      <c r="B36" s="209" t="s">
        <v>163</v>
      </c>
      <c r="C36" s="209" t="s">
        <v>369</v>
      </c>
      <c r="D36" s="192" t="s">
        <v>370</v>
      </c>
      <c r="E36" s="210" t="n">
        <v>56.64</v>
      </c>
      <c r="F36" s="193" t="n">
        <v>0.4</v>
      </c>
      <c r="G36" s="210" t="n">
        <v>0.51</v>
      </c>
      <c r="H36" s="210" t="n">
        <v>0.8</v>
      </c>
      <c r="I36" s="199" t="n">
        <f aca="false">IF(B36="","",(G36+H36)/2)</f>
        <v>0.655</v>
      </c>
      <c r="J36" s="199" t="n">
        <f aca="false">IF(B36="","",2*E36*I36)</f>
        <v>74.1984</v>
      </c>
      <c r="K36" s="199" t="n">
        <f aca="false">IF(B36="","",E36*F36)</f>
        <v>22.656</v>
      </c>
      <c r="L36" s="199" t="n">
        <f aca="false">IF(B36="","",IF(D36="TAPADA",E36*F36,0))</f>
        <v>22.656</v>
      </c>
      <c r="M36" s="211" t="n">
        <f aca="false">SUM(J36:L36)</f>
        <v>119.5104</v>
      </c>
      <c r="N36" s="212" t="n">
        <f aca="false">IF(B36="","",IF(D36="TAPADA",4,3))</f>
        <v>4</v>
      </c>
      <c r="O36" s="213" t="s">
        <v>18</v>
      </c>
    </row>
    <row r="38" customFormat="false" ht="22.5" hidden="false" customHeight="true" outlineLevel="0" collapsed="false">
      <c r="A38" s="214" t="s">
        <v>436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5" t="n">
        <f aca="false">SUM(M7:M36)</f>
        <v>1084.2059</v>
      </c>
      <c r="N38" s="215"/>
      <c r="O38" s="215" t="s">
        <v>18</v>
      </c>
    </row>
  </sheetData>
  <mergeCells count="9">
    <mergeCell ref="A1:O1"/>
    <mergeCell ref="A2:B2"/>
    <mergeCell ref="C2:O2"/>
    <mergeCell ref="A3:B3"/>
    <mergeCell ref="C3:O3"/>
    <mergeCell ref="A4:B4"/>
    <mergeCell ref="C4:J4"/>
    <mergeCell ref="L4:O4"/>
    <mergeCell ref="A38:L38"/>
  </mergeCells>
  <conditionalFormatting sqref="D7:D36">
    <cfRule type="expression" priority="2" aboveAverage="0" equalAverage="0" bottom="0" percent="0" rank="0" text="" dxfId="7">
      <formula>D7="TAPADA"</formula>
    </cfRule>
    <cfRule type="expression" priority="3" aboveAverage="0" equalAverage="0" bottom="0" percent="0" rank="0" text="" dxfId="8">
      <formula>D7="ABIERTA"</formula>
    </cfRule>
  </conditionalFormatting>
  <conditionalFormatting sqref="L7:L36">
    <cfRule type="expression" priority="4" aboveAverage="0" equalAverage="0" bottom="0" percent="0" rank="0" text="" dxfId="9">
      <formula>$D7="ABIERTA"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8" colorId="64" zoomScale="115" zoomScaleNormal="115" zoomScalePageLayoutView="115" workbookViewId="0">
      <selection pane="topLeft" activeCell="L14" activeCellId="0" sqref="L14"/>
    </sheetView>
  </sheetViews>
  <sheetFormatPr defaultColWidth="9.453125" defaultRowHeight="13.5" zeroHeight="false" outlineLevelRow="0" outlineLevelCol="0"/>
  <cols>
    <col collapsed="false" customWidth="true" hidden="false" outlineLevel="0" max="1" min="1" style="173" width="6.54"/>
    <col collapsed="false" customWidth="true" hidden="false" outlineLevel="0" max="2" min="2" style="173" width="15.91"/>
    <col collapsed="false" customWidth="true" hidden="false" outlineLevel="0" max="3" min="3" style="173" width="18.81"/>
    <col collapsed="false" customWidth="true" hidden="false" outlineLevel="0" max="4" min="4" style="173" width="17.45"/>
    <col collapsed="false" customWidth="true" hidden="false" outlineLevel="0" max="5" min="5" style="173" width="14.73"/>
    <col collapsed="false" customWidth="true" hidden="false" outlineLevel="0" max="6" min="6" style="173" width="19.64"/>
    <col collapsed="false" customWidth="true" hidden="false" outlineLevel="0" max="7" min="7" style="173" width="27"/>
    <col collapsed="false" customWidth="true" hidden="false" outlineLevel="0" max="8" min="8" style="173" width="8.73"/>
    <col collapsed="false" customWidth="false" hidden="false" outlineLevel="0" max="16384" min="9" style="173" width="9.45"/>
  </cols>
  <sheetData>
    <row r="1" customFormat="false" ht="21" hidden="false" customHeight="true" outlineLevel="0" collapsed="false">
      <c r="A1" s="216" t="s">
        <v>437</v>
      </c>
      <c r="B1" s="216"/>
      <c r="C1" s="216"/>
      <c r="D1" s="216"/>
      <c r="E1" s="216"/>
      <c r="F1" s="216"/>
      <c r="G1" s="216"/>
      <c r="H1" s="216"/>
    </row>
    <row r="2" customFormat="false" ht="22.5" hidden="false" customHeight="true" outlineLevel="0" collapsed="false">
      <c r="A2" s="217" t="s">
        <v>1</v>
      </c>
      <c r="B2" s="217"/>
      <c r="C2" s="218" t="s">
        <v>2</v>
      </c>
      <c r="D2" s="218"/>
      <c r="E2" s="218"/>
      <c r="F2" s="218"/>
      <c r="G2" s="218"/>
      <c r="H2" s="218"/>
    </row>
    <row r="3" customFormat="false" ht="54" hidden="false" customHeight="true" outlineLevel="0" collapsed="false">
      <c r="A3" s="217" t="s">
        <v>3</v>
      </c>
      <c r="B3" s="217"/>
      <c r="C3" s="218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18"/>
      <c r="E3" s="218"/>
      <c r="F3" s="218"/>
      <c r="G3" s="218"/>
      <c r="H3" s="218"/>
    </row>
    <row r="4" customFormat="false" ht="24" hidden="false" customHeight="true" outlineLevel="0" collapsed="false">
      <c r="A4" s="217" t="s">
        <v>5</v>
      </c>
      <c r="B4" s="217"/>
      <c r="C4" s="219" t="str">
        <f aca="false">+RESUMEN!B6</f>
        <v>SAN MARTIN - SAN MARTIN - MORALES</v>
      </c>
      <c r="D4" s="219"/>
      <c r="E4" s="219"/>
      <c r="F4" s="219"/>
      <c r="G4" s="220" t="s">
        <v>7</v>
      </c>
      <c r="H4" s="221" t="n">
        <f aca="false">+RESUMEN!B7</f>
        <v>46266</v>
      </c>
    </row>
    <row r="6" customFormat="false" ht="31.5" hidden="false" customHeight="true" outlineLevel="0" collapsed="false">
      <c r="A6" s="222" t="s">
        <v>331</v>
      </c>
      <c r="B6" s="222" t="s">
        <v>332</v>
      </c>
      <c r="C6" s="222" t="s">
        <v>333</v>
      </c>
      <c r="D6" s="222" t="s">
        <v>334</v>
      </c>
      <c r="E6" s="222" t="s">
        <v>438</v>
      </c>
      <c r="F6" s="222" t="s">
        <v>439</v>
      </c>
      <c r="G6" s="222" t="s">
        <v>440</v>
      </c>
      <c r="H6" s="222" t="s">
        <v>433</v>
      </c>
    </row>
    <row r="7" customFormat="false" ht="30" hidden="false" customHeight="true" outlineLevel="0" collapsed="false">
      <c r="A7" s="208" t="n">
        <v>1</v>
      </c>
      <c r="B7" s="209" t="s">
        <v>364</v>
      </c>
      <c r="C7" s="209" t="s">
        <v>365</v>
      </c>
      <c r="D7" s="192" t="s">
        <v>248</v>
      </c>
      <c r="E7" s="210" t="n">
        <v>32</v>
      </c>
      <c r="F7" s="223" t="n">
        <v>0</v>
      </c>
      <c r="G7" s="224" t="n">
        <f aca="false">IF(B7="","",IF(D7="ABIERTA",IF(E7-F7&lt;0,0,E7-F7),0))</f>
        <v>32</v>
      </c>
      <c r="H7" s="225" t="s">
        <v>57</v>
      </c>
    </row>
    <row r="8" customFormat="false" ht="33" hidden="false" customHeight="true" outlineLevel="0" collapsed="false">
      <c r="A8" s="208" t="n">
        <v>2</v>
      </c>
      <c r="B8" s="209" t="s">
        <v>364</v>
      </c>
      <c r="C8" s="209" t="s">
        <v>369</v>
      </c>
      <c r="D8" s="192" t="s">
        <v>370</v>
      </c>
      <c r="E8" s="210" t="n">
        <v>5.14</v>
      </c>
      <c r="F8" s="223" t="n">
        <v>0</v>
      </c>
      <c r="G8" s="224" t="n">
        <f aca="false">IF(B8="","",IF(D8="ABIERTA",IF(E8-F8&lt;0,0,E8-F8),0))</f>
        <v>0</v>
      </c>
      <c r="H8" s="225" t="s">
        <v>57</v>
      </c>
    </row>
    <row r="9" customFormat="false" ht="28.5" hidden="false" customHeight="true" outlineLevel="0" collapsed="false">
      <c r="A9" s="208" t="n">
        <v>3</v>
      </c>
      <c r="B9" s="209" t="s">
        <v>372</v>
      </c>
      <c r="C9" s="209" t="s">
        <v>365</v>
      </c>
      <c r="D9" s="192" t="s">
        <v>248</v>
      </c>
      <c r="E9" s="210" t="n">
        <v>37.5</v>
      </c>
      <c r="F9" s="223" t="n">
        <v>0</v>
      </c>
      <c r="G9" s="224" t="n">
        <f aca="false">IF(B9="","",IF(D9="ABIERTA",IF(E9-F9&lt;0,0,E9-F9),0))</f>
        <v>37.5</v>
      </c>
      <c r="H9" s="225" t="s">
        <v>57</v>
      </c>
    </row>
    <row r="10" customFormat="false" ht="27" hidden="false" customHeight="true" outlineLevel="0" collapsed="false">
      <c r="A10" s="208" t="n">
        <v>4</v>
      </c>
      <c r="B10" s="209" t="s">
        <v>372</v>
      </c>
      <c r="C10" s="209" t="s">
        <v>369</v>
      </c>
      <c r="D10" s="192" t="s">
        <v>370</v>
      </c>
      <c r="E10" s="210" t="n">
        <v>10.2</v>
      </c>
      <c r="F10" s="223" t="n">
        <v>0</v>
      </c>
      <c r="G10" s="224" t="n">
        <f aca="false">IF(B10="","",IF(D10="ABIERTA",IF(E10-F10&lt;0,0,E10-F10),0))</f>
        <v>0</v>
      </c>
      <c r="H10" s="225" t="s">
        <v>57</v>
      </c>
    </row>
    <row r="11" customFormat="false" ht="27" hidden="false" customHeight="true" outlineLevel="0" collapsed="false">
      <c r="A11" s="208" t="n">
        <v>5</v>
      </c>
      <c r="B11" s="209" t="s">
        <v>372</v>
      </c>
      <c r="C11" s="209" t="s">
        <v>376</v>
      </c>
      <c r="D11" s="192" t="s">
        <v>248</v>
      </c>
      <c r="E11" s="210" t="n">
        <v>31.33</v>
      </c>
      <c r="F11" s="223" t="n">
        <v>0</v>
      </c>
      <c r="G11" s="224" t="n">
        <f aca="false">IF(B11="","",IF(D11="ABIERTA",IF(E11-F11&lt;0,0,E11-F11),0))</f>
        <v>31.33</v>
      </c>
      <c r="H11" s="225" t="s">
        <v>57</v>
      </c>
    </row>
    <row r="12" customFormat="false" ht="27" hidden="false" customHeight="true" outlineLevel="0" collapsed="false">
      <c r="A12" s="208" t="n">
        <v>6</v>
      </c>
      <c r="B12" s="209" t="s">
        <v>372</v>
      </c>
      <c r="C12" s="209" t="s">
        <v>378</v>
      </c>
      <c r="D12" s="192" t="s">
        <v>370</v>
      </c>
      <c r="E12" s="210" t="n">
        <v>8.36</v>
      </c>
      <c r="F12" s="223" t="n">
        <v>0</v>
      </c>
      <c r="G12" s="224" t="n">
        <f aca="false">IF(B12="","",IF(D12="ABIERTA",IF(E12-F12&lt;0,0,E12-F12),0))</f>
        <v>0</v>
      </c>
      <c r="H12" s="225" t="s">
        <v>57</v>
      </c>
    </row>
    <row r="13" customFormat="false" ht="27" hidden="false" customHeight="true" outlineLevel="0" collapsed="false">
      <c r="A13" s="208" t="n">
        <v>7</v>
      </c>
      <c r="B13" s="209" t="s">
        <v>372</v>
      </c>
      <c r="C13" s="209" t="s">
        <v>380</v>
      </c>
      <c r="D13" s="192" t="s">
        <v>248</v>
      </c>
      <c r="E13" s="210" t="n">
        <v>30.36</v>
      </c>
      <c r="F13" s="223" t="n">
        <v>0</v>
      </c>
      <c r="G13" s="224" t="n">
        <f aca="false">IF(B13="","",IF(D13="ABIERTA",IF(E13-F13&lt;0,0,E13-F13),0))</f>
        <v>30.36</v>
      </c>
      <c r="H13" s="225" t="s">
        <v>57</v>
      </c>
    </row>
    <row r="14" customFormat="false" ht="27" hidden="false" customHeight="true" outlineLevel="0" collapsed="false">
      <c r="A14" s="208" t="n">
        <v>8</v>
      </c>
      <c r="B14" s="209" t="s">
        <v>372</v>
      </c>
      <c r="C14" s="209" t="s">
        <v>383</v>
      </c>
      <c r="D14" s="192" t="s">
        <v>370</v>
      </c>
      <c r="E14" s="210" t="n">
        <v>2.25</v>
      </c>
      <c r="F14" s="223" t="n">
        <v>0</v>
      </c>
      <c r="G14" s="224" t="n">
        <f aca="false">IF(B14="","",IF(D14="ABIERTA",IF(E14-F14&lt;0,0,E14-F14),0))</f>
        <v>0</v>
      </c>
      <c r="H14" s="225" t="s">
        <v>57</v>
      </c>
    </row>
    <row r="15" customFormat="false" ht="27" hidden="false" customHeight="true" outlineLevel="0" collapsed="false">
      <c r="A15" s="208" t="n">
        <v>9</v>
      </c>
      <c r="B15" s="209" t="s">
        <v>372</v>
      </c>
      <c r="C15" s="209" t="s">
        <v>385</v>
      </c>
      <c r="D15" s="192" t="s">
        <v>370</v>
      </c>
      <c r="E15" s="210" t="n">
        <v>10.85</v>
      </c>
      <c r="F15" s="223" t="n">
        <v>0</v>
      </c>
      <c r="G15" s="224" t="n">
        <f aca="false">IF(B15="","",IF(D15="ABIERTA",IF(E15-F15&lt;0,0,E15-F15),0))</f>
        <v>0</v>
      </c>
      <c r="H15" s="225" t="s">
        <v>57</v>
      </c>
    </row>
    <row r="16" customFormat="false" ht="27" hidden="false" customHeight="true" outlineLevel="0" collapsed="false">
      <c r="A16" s="208" t="n">
        <v>10</v>
      </c>
      <c r="B16" s="209" t="s">
        <v>434</v>
      </c>
      <c r="C16" s="209" t="s">
        <v>365</v>
      </c>
      <c r="D16" s="192" t="s">
        <v>248</v>
      </c>
      <c r="E16" s="210" t="n">
        <v>5.82</v>
      </c>
      <c r="F16" s="223" t="n">
        <v>0</v>
      </c>
      <c r="G16" s="224" t="n">
        <f aca="false">IF(B16="","",IF(D16="ABIERTA",IF(E16-F16&lt;0,0,E16-F16),0))</f>
        <v>5.82</v>
      </c>
      <c r="H16" s="225" t="s">
        <v>57</v>
      </c>
    </row>
    <row r="17" customFormat="false" ht="27" hidden="false" customHeight="true" outlineLevel="0" collapsed="false">
      <c r="A17" s="208" t="n">
        <v>11</v>
      </c>
      <c r="B17" s="209" t="s">
        <v>435</v>
      </c>
      <c r="C17" s="209" t="s">
        <v>365</v>
      </c>
      <c r="D17" s="192" t="s">
        <v>248</v>
      </c>
      <c r="E17" s="210" t="n">
        <v>8.6</v>
      </c>
      <c r="F17" s="223" t="n">
        <v>0</v>
      </c>
      <c r="G17" s="224" t="n">
        <f aca="false">IF(B17="","",IF(D17="ABIERTA",IF(E17-F17&lt;0,0,E17-F17),0))</f>
        <v>8.6</v>
      </c>
      <c r="H17" s="225" t="s">
        <v>57</v>
      </c>
    </row>
    <row r="18" customFormat="false" ht="27" hidden="false" customHeight="true" outlineLevel="0" collapsed="false">
      <c r="A18" s="208" t="n">
        <v>12</v>
      </c>
      <c r="B18" s="209" t="s">
        <v>388</v>
      </c>
      <c r="C18" s="209" t="s">
        <v>365</v>
      </c>
      <c r="D18" s="192" t="s">
        <v>248</v>
      </c>
      <c r="E18" s="210" t="n">
        <v>37.53</v>
      </c>
      <c r="F18" s="223" t="n">
        <v>0</v>
      </c>
      <c r="G18" s="224" t="n">
        <f aca="false">IF(B18="","",IF(D18="ABIERTA",IF(E18-F18&lt;0,0,E18-F18),0))</f>
        <v>37.53</v>
      </c>
      <c r="H18" s="225" t="s">
        <v>57</v>
      </c>
    </row>
    <row r="19" customFormat="false" ht="27" hidden="false" customHeight="true" outlineLevel="0" collapsed="false">
      <c r="A19" s="208" t="n">
        <v>13</v>
      </c>
      <c r="B19" s="209" t="s">
        <v>388</v>
      </c>
      <c r="C19" s="209" t="s">
        <v>369</v>
      </c>
      <c r="D19" s="192" t="s">
        <v>370</v>
      </c>
      <c r="E19" s="210" t="n">
        <v>5.7</v>
      </c>
      <c r="F19" s="223" t="n">
        <v>0</v>
      </c>
      <c r="G19" s="224" t="n">
        <f aca="false">IF(B19="","",IF(D19="ABIERTA",IF(E19-F19&lt;0,0,E19-F19),0))</f>
        <v>0</v>
      </c>
      <c r="H19" s="225" t="s">
        <v>57</v>
      </c>
    </row>
    <row r="20" customFormat="false" ht="27" hidden="false" customHeight="true" outlineLevel="0" collapsed="false">
      <c r="A20" s="208" t="n">
        <v>14</v>
      </c>
      <c r="B20" s="209" t="s">
        <v>392</v>
      </c>
      <c r="C20" s="209" t="s">
        <v>365</v>
      </c>
      <c r="D20" s="192" t="s">
        <v>248</v>
      </c>
      <c r="E20" s="210" t="n">
        <v>37.53</v>
      </c>
      <c r="F20" s="223" t="n">
        <v>0</v>
      </c>
      <c r="G20" s="224" t="n">
        <f aca="false">IF(B20="","",IF(D20="ABIERTA",IF(E20-F20&lt;0,0,E20-F20),0))</f>
        <v>37.53</v>
      </c>
      <c r="H20" s="225" t="s">
        <v>57</v>
      </c>
    </row>
    <row r="21" customFormat="false" ht="27" hidden="false" customHeight="true" outlineLevel="0" collapsed="false">
      <c r="A21" s="208" t="n">
        <v>15</v>
      </c>
      <c r="B21" s="209" t="s">
        <v>392</v>
      </c>
      <c r="C21" s="209" t="s">
        <v>369</v>
      </c>
      <c r="D21" s="192" t="s">
        <v>370</v>
      </c>
      <c r="E21" s="210" t="n">
        <v>10.9</v>
      </c>
      <c r="F21" s="223" t="n">
        <v>0</v>
      </c>
      <c r="G21" s="224" t="n">
        <f aca="false">IF(B21="","",IF(D21="ABIERTA",IF(E21-F21&lt;0,0,E21-F21),0))</f>
        <v>0</v>
      </c>
      <c r="H21" s="225" t="s">
        <v>57</v>
      </c>
    </row>
    <row r="22" customFormat="false" ht="27" hidden="false" customHeight="true" outlineLevel="0" collapsed="false">
      <c r="A22" s="208" t="n">
        <v>16</v>
      </c>
      <c r="B22" s="209" t="s">
        <v>392</v>
      </c>
      <c r="C22" s="209" t="s">
        <v>376</v>
      </c>
      <c r="D22" s="192" t="s">
        <v>248</v>
      </c>
      <c r="E22" s="210" t="n">
        <v>56.93</v>
      </c>
      <c r="F22" s="223" t="n">
        <v>0</v>
      </c>
      <c r="G22" s="224" t="n">
        <f aca="false">IF(B22="","",IF(D22="ABIERTA",IF(E22-F22&lt;0,0,E22-F22),0))</f>
        <v>56.93</v>
      </c>
      <c r="H22" s="225" t="s">
        <v>57</v>
      </c>
    </row>
    <row r="23" customFormat="false" ht="27" hidden="false" customHeight="true" outlineLevel="0" collapsed="false">
      <c r="A23" s="208" t="n">
        <v>17</v>
      </c>
      <c r="B23" s="209" t="s">
        <v>392</v>
      </c>
      <c r="C23" s="209" t="s">
        <v>378</v>
      </c>
      <c r="D23" s="192" t="s">
        <v>370</v>
      </c>
      <c r="E23" s="210" t="n">
        <v>15</v>
      </c>
      <c r="F23" s="223" t="n">
        <v>0</v>
      </c>
      <c r="G23" s="224" t="n">
        <f aca="false">IF(B23="","",IF(D23="ABIERTA",IF(E23-F23&lt;0,0,E23-F23),0))</f>
        <v>0</v>
      </c>
      <c r="H23" s="225" t="s">
        <v>57</v>
      </c>
    </row>
    <row r="24" customFormat="false" ht="27" hidden="false" customHeight="true" outlineLevel="0" collapsed="false">
      <c r="A24" s="208" t="n">
        <v>18</v>
      </c>
      <c r="B24" s="209" t="s">
        <v>399</v>
      </c>
      <c r="C24" s="209" t="s">
        <v>365</v>
      </c>
      <c r="D24" s="192" t="s">
        <v>248</v>
      </c>
      <c r="E24" s="210" t="n">
        <v>37.53</v>
      </c>
      <c r="F24" s="223" t="n">
        <v>0</v>
      </c>
      <c r="G24" s="224" t="n">
        <f aca="false">IF(B24="","",IF(D24="ABIERTA",IF(E24-F24&lt;0,0,E24-F24),0))</f>
        <v>37.53</v>
      </c>
      <c r="H24" s="225" t="s">
        <v>57</v>
      </c>
    </row>
    <row r="25" customFormat="false" ht="27" hidden="false" customHeight="true" outlineLevel="0" collapsed="false">
      <c r="A25" s="208" t="n">
        <v>19</v>
      </c>
      <c r="B25" s="209" t="s">
        <v>399</v>
      </c>
      <c r="C25" s="209" t="s">
        <v>369</v>
      </c>
      <c r="D25" s="192" t="s">
        <v>370</v>
      </c>
      <c r="E25" s="210" t="n">
        <v>7.66</v>
      </c>
      <c r="F25" s="223" t="n">
        <v>0</v>
      </c>
      <c r="G25" s="224" t="n">
        <f aca="false">IF(B25="","",IF(D25="ABIERTA",IF(E25-F25&lt;0,0,E25-F25),0))</f>
        <v>0</v>
      </c>
      <c r="H25" s="225" t="s">
        <v>57</v>
      </c>
    </row>
    <row r="26" customFormat="false" ht="27" hidden="false" customHeight="true" outlineLevel="0" collapsed="false">
      <c r="A26" s="208" t="n">
        <v>20</v>
      </c>
      <c r="B26" s="209" t="s">
        <v>399</v>
      </c>
      <c r="C26" s="209" t="s">
        <v>376</v>
      </c>
      <c r="D26" s="192" t="s">
        <v>248</v>
      </c>
      <c r="E26" s="210" t="n">
        <v>63.75</v>
      </c>
      <c r="F26" s="223" t="n">
        <v>0</v>
      </c>
      <c r="G26" s="224" t="n">
        <f aca="false">IF(B26="","",IF(D26="ABIERTA",IF(E26-F26&lt;0,0,E26-F26),0))</f>
        <v>63.75</v>
      </c>
      <c r="H26" s="225" t="s">
        <v>57</v>
      </c>
    </row>
    <row r="27" customFormat="false" ht="27" hidden="false" customHeight="true" outlineLevel="0" collapsed="false">
      <c r="A27" s="208" t="n">
        <v>21</v>
      </c>
      <c r="B27" s="209" t="s">
        <v>399</v>
      </c>
      <c r="C27" s="209" t="s">
        <v>378</v>
      </c>
      <c r="D27" s="192" t="s">
        <v>370</v>
      </c>
      <c r="E27" s="210" t="n">
        <v>11.47</v>
      </c>
      <c r="F27" s="223" t="n">
        <v>0</v>
      </c>
      <c r="G27" s="224" t="n">
        <f aca="false">IF(B27="","",IF(D27="ABIERTA",IF(E27-F27&lt;0,0,E27-F27),0))</f>
        <v>0</v>
      </c>
      <c r="H27" s="225" t="s">
        <v>57</v>
      </c>
    </row>
    <row r="28" customFormat="false" ht="27" hidden="false" customHeight="true" outlineLevel="0" collapsed="false">
      <c r="A28" s="208" t="n">
        <v>22</v>
      </c>
      <c r="B28" s="209" t="s">
        <v>399</v>
      </c>
      <c r="C28" s="209" t="s">
        <v>380</v>
      </c>
      <c r="D28" s="192" t="s">
        <v>370</v>
      </c>
      <c r="E28" s="210" t="n">
        <v>5.17</v>
      </c>
      <c r="F28" s="223" t="n">
        <v>0</v>
      </c>
      <c r="G28" s="224" t="n">
        <f aca="false">IF(B28="","",IF(D28="ABIERTA",IF(E28-F28&lt;0,0,E28-F28),0))</f>
        <v>0</v>
      </c>
      <c r="H28" s="225" t="s">
        <v>57</v>
      </c>
    </row>
    <row r="29" customFormat="false" ht="27" hidden="false" customHeight="true" outlineLevel="0" collapsed="false">
      <c r="A29" s="208" t="n">
        <v>23</v>
      </c>
      <c r="B29" s="209" t="s">
        <v>407</v>
      </c>
      <c r="C29" s="209" t="s">
        <v>365</v>
      </c>
      <c r="D29" s="192" t="s">
        <v>370</v>
      </c>
      <c r="E29" s="210" t="n">
        <v>8.2</v>
      </c>
      <c r="F29" s="223" t="n">
        <v>0</v>
      </c>
      <c r="G29" s="224" t="n">
        <f aca="false">IF(B29="","",IF(D29="ABIERTA",IF(E29-F29&lt;0,0,E29-F29),0))</f>
        <v>0</v>
      </c>
      <c r="H29" s="225" t="s">
        <v>57</v>
      </c>
    </row>
    <row r="30" customFormat="false" ht="27" hidden="false" customHeight="true" outlineLevel="0" collapsed="false">
      <c r="A30" s="208" t="n">
        <v>24</v>
      </c>
      <c r="B30" s="209" t="s">
        <v>410</v>
      </c>
      <c r="C30" s="209" t="s">
        <v>365</v>
      </c>
      <c r="D30" s="192" t="s">
        <v>370</v>
      </c>
      <c r="E30" s="210" t="n">
        <v>7</v>
      </c>
      <c r="F30" s="223" t="n">
        <v>0</v>
      </c>
      <c r="G30" s="224" t="n">
        <f aca="false">IF(B30="","",IF(D30="ABIERTA",IF(E30-F30&lt;0,0,E30-F30),0))</f>
        <v>0</v>
      </c>
      <c r="H30" s="225" t="s">
        <v>57</v>
      </c>
    </row>
    <row r="31" customFormat="false" ht="27" hidden="false" customHeight="true" outlineLevel="0" collapsed="false">
      <c r="A31" s="208" t="n">
        <v>25</v>
      </c>
      <c r="B31" s="209" t="s">
        <v>161</v>
      </c>
      <c r="C31" s="209" t="s">
        <v>365</v>
      </c>
      <c r="D31" s="192" t="s">
        <v>248</v>
      </c>
      <c r="E31" s="210" t="n">
        <v>16</v>
      </c>
      <c r="F31" s="223" t="n">
        <v>0</v>
      </c>
      <c r="G31" s="224" t="n">
        <f aca="false">IF(B31="","",IF(D31="ABIERTA",IF(E31-F31&lt;0,0,E31-F31),0))</f>
        <v>16</v>
      </c>
      <c r="H31" s="225" t="s">
        <v>57</v>
      </c>
    </row>
    <row r="32" customFormat="false" ht="27" hidden="false" customHeight="true" outlineLevel="0" collapsed="false">
      <c r="A32" s="208" t="n">
        <v>26</v>
      </c>
      <c r="B32" s="209" t="s">
        <v>162</v>
      </c>
      <c r="C32" s="209" t="s">
        <v>365</v>
      </c>
      <c r="D32" s="192" t="s">
        <v>248</v>
      </c>
      <c r="E32" s="210" t="n">
        <v>62.76</v>
      </c>
      <c r="F32" s="223" t="n">
        <v>0</v>
      </c>
      <c r="G32" s="224" t="n">
        <f aca="false">IF(B32="","",IF(D32="ABIERTA",IF(E32-F32&lt;0,0,E32-F32),0))</f>
        <v>62.76</v>
      </c>
      <c r="H32" s="225" t="s">
        <v>57</v>
      </c>
    </row>
    <row r="33" customFormat="false" ht="27" hidden="false" customHeight="true" outlineLevel="0" collapsed="false">
      <c r="A33" s="208" t="n">
        <v>27</v>
      </c>
      <c r="B33" s="209" t="s">
        <v>162</v>
      </c>
      <c r="C33" s="209" t="s">
        <v>369</v>
      </c>
      <c r="D33" s="192" t="s">
        <v>370</v>
      </c>
      <c r="E33" s="210" t="n">
        <v>2.2</v>
      </c>
      <c r="F33" s="223" t="n">
        <v>0</v>
      </c>
      <c r="G33" s="224" t="n">
        <f aca="false">IF(B33="","",IF(D33="ABIERTA",IF(E33-F33&lt;0,0,E33-F33),0))</f>
        <v>0</v>
      </c>
      <c r="H33" s="225" t="s">
        <v>57</v>
      </c>
    </row>
    <row r="34" customFormat="false" ht="27" hidden="false" customHeight="true" outlineLevel="0" collapsed="false">
      <c r="A34" s="208" t="n">
        <v>28</v>
      </c>
      <c r="B34" s="209" t="s">
        <v>162</v>
      </c>
      <c r="C34" s="209" t="s">
        <v>376</v>
      </c>
      <c r="D34" s="192" t="s">
        <v>370</v>
      </c>
      <c r="E34" s="210" t="n">
        <v>6.5</v>
      </c>
      <c r="F34" s="223" t="n">
        <v>0</v>
      </c>
      <c r="G34" s="224" t="n">
        <f aca="false">IF(B34="","",IF(D34="ABIERTA",IF(E34-F34&lt;0,0,E34-F34),0))</f>
        <v>0</v>
      </c>
      <c r="H34" s="225" t="s">
        <v>57</v>
      </c>
    </row>
    <row r="35" customFormat="false" ht="27" hidden="false" customHeight="true" outlineLevel="0" collapsed="false">
      <c r="A35" s="208" t="n">
        <v>29</v>
      </c>
      <c r="B35" s="209" t="s">
        <v>163</v>
      </c>
      <c r="C35" s="209" t="s">
        <v>365</v>
      </c>
      <c r="D35" s="192" t="s">
        <v>248</v>
      </c>
      <c r="E35" s="210" t="n">
        <v>52.47</v>
      </c>
      <c r="F35" s="223" t="n">
        <v>0</v>
      </c>
      <c r="G35" s="224" t="n">
        <f aca="false">IF(B35="","",IF(D35="ABIERTA",IF(E35-F35&lt;0,0,E35-F35),0))</f>
        <v>52.47</v>
      </c>
      <c r="H35" s="225" t="s">
        <v>57</v>
      </c>
    </row>
    <row r="36" customFormat="false" ht="27" hidden="false" customHeight="true" outlineLevel="0" collapsed="false">
      <c r="A36" s="208" t="n">
        <v>30</v>
      </c>
      <c r="B36" s="209" t="s">
        <v>163</v>
      </c>
      <c r="C36" s="209" t="s">
        <v>369</v>
      </c>
      <c r="D36" s="192" t="s">
        <v>370</v>
      </c>
      <c r="E36" s="210" t="n">
        <v>56.64</v>
      </c>
      <c r="F36" s="223" t="n">
        <v>0</v>
      </c>
      <c r="G36" s="224" t="n">
        <f aca="false">IF(B36="","",IF(D36="ABIERTA",IF(E36-F36&lt;0,0,E36-F36),0))</f>
        <v>0</v>
      </c>
      <c r="H36" s="225" t="s">
        <v>57</v>
      </c>
    </row>
    <row r="38" customFormat="false" ht="18" hidden="false" customHeight="true" outlineLevel="0" collapsed="false">
      <c r="A38" s="226" t="s">
        <v>441</v>
      </c>
      <c r="B38" s="226"/>
      <c r="C38" s="226"/>
      <c r="D38" s="226"/>
      <c r="E38" s="226"/>
      <c r="F38" s="226"/>
      <c r="G38" s="227" t="n">
        <f aca="false">SUM(G7:G36)</f>
        <v>510.11</v>
      </c>
      <c r="H38" s="227" t="s">
        <v>57</v>
      </c>
    </row>
  </sheetData>
  <mergeCells count="8">
    <mergeCell ref="A1:H1"/>
    <mergeCell ref="A2:B2"/>
    <mergeCell ref="C2:H2"/>
    <mergeCell ref="A3:B3"/>
    <mergeCell ref="C3:H3"/>
    <mergeCell ref="A4:B4"/>
    <mergeCell ref="C4:F4"/>
    <mergeCell ref="A38:F38"/>
  </mergeCells>
  <conditionalFormatting sqref="D7:D36">
    <cfRule type="expression" priority="2" aboveAverage="0" equalAverage="0" bottom="0" percent="0" rank="0" text="" dxfId="10">
      <formula>D7="TAPADA"</formula>
    </cfRule>
    <cfRule type="expression" priority="3" aboveAverage="0" equalAverage="0" bottom="0" percent="0" rank="0" text="" dxfId="11">
      <formula>D7="ABIERTA"</formula>
    </cfRule>
  </conditionalFormatting>
  <conditionalFormatting sqref="G7:G36">
    <cfRule type="expression" priority="4" aboveAverage="0" equalAverage="0" bottom="0" percent="0" rank="0" text="" dxfId="12">
      <formula>$D7="TAPADA"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1" topLeftCell="A12" activePane="bottomLeft" state="frozen"/>
      <selection pane="topLeft" activeCell="A1" activeCellId="0" sqref="A1"/>
      <selection pane="bottomLeft" activeCell="P10" activeCellId="0" sqref="P10"/>
    </sheetView>
  </sheetViews>
  <sheetFormatPr defaultColWidth="8.63671875" defaultRowHeight="13.5" zeroHeight="false" outlineLevelRow="0" outlineLevelCol="0"/>
  <cols>
    <col collapsed="false" customWidth="true" hidden="false" outlineLevel="0" max="1" min="1" style="228" width="24.91"/>
    <col collapsed="false" customWidth="true" hidden="false" outlineLevel="0" max="2" min="2" style="228" width="16"/>
    <col collapsed="false" customWidth="true" hidden="false" outlineLevel="0" max="3" min="3" style="228" width="7"/>
    <col collapsed="false" customWidth="true" hidden="false" outlineLevel="0" max="10" min="4" style="228" width="15.27"/>
    <col collapsed="false" customWidth="false" hidden="false" outlineLevel="0" max="16384" min="11" style="228" width="8.64"/>
  </cols>
  <sheetData>
    <row r="1" customFormat="false" ht="31.5" hidden="false" customHeight="true" outlineLevel="0" collapsed="false">
      <c r="A1" s="229" t="s">
        <v>442</v>
      </c>
      <c r="B1" s="229"/>
      <c r="C1" s="229"/>
      <c r="D1" s="229"/>
      <c r="E1" s="229"/>
      <c r="F1" s="229"/>
      <c r="G1" s="229"/>
      <c r="H1" s="229"/>
      <c r="I1" s="229"/>
      <c r="J1" s="229"/>
    </row>
    <row r="2" customFormat="false" ht="15" hidden="false" customHeight="true" outlineLevel="0" collapsed="false">
      <c r="A2" s="230" t="s">
        <v>1</v>
      </c>
      <c r="B2" s="231" t="s">
        <v>2</v>
      </c>
      <c r="C2" s="231"/>
      <c r="D2" s="231"/>
      <c r="E2" s="231"/>
      <c r="F2" s="231"/>
      <c r="G2" s="231"/>
      <c r="H2" s="231"/>
      <c r="I2" s="231"/>
      <c r="J2" s="231"/>
    </row>
    <row r="3" customFormat="false" ht="59.25" hidden="false" customHeight="true" outlineLevel="0" collapsed="false">
      <c r="A3" s="230" t="s">
        <v>3</v>
      </c>
      <c r="B3" s="231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1"/>
      <c r="D3" s="231"/>
      <c r="E3" s="231"/>
      <c r="F3" s="231"/>
      <c r="G3" s="231"/>
      <c r="H3" s="231"/>
      <c r="I3" s="231"/>
      <c r="J3" s="231"/>
    </row>
    <row r="4" customFormat="false" ht="15" hidden="false" customHeight="true" outlineLevel="0" collapsed="false">
      <c r="A4" s="230" t="s">
        <v>5</v>
      </c>
      <c r="B4" s="231" t="str">
        <f aca="false">+RESUMEN!B6</f>
        <v>SAN MARTIN - SAN MARTIN - MORALES</v>
      </c>
      <c r="C4" s="231"/>
      <c r="D4" s="231"/>
      <c r="E4" s="231"/>
      <c r="F4" s="231"/>
      <c r="G4" s="231"/>
      <c r="H4" s="231"/>
      <c r="I4" s="231"/>
      <c r="J4" s="231"/>
    </row>
    <row r="5" customFormat="false" ht="15" hidden="false" customHeight="true" outlineLevel="0" collapsed="false">
      <c r="A5" s="230" t="s">
        <v>7</v>
      </c>
      <c r="B5" s="232" t="n">
        <f aca="false">+RESUMEN!B7</f>
        <v>46266</v>
      </c>
      <c r="C5" s="232"/>
      <c r="D5" s="232"/>
      <c r="E5" s="232"/>
      <c r="F5" s="232"/>
      <c r="G5" s="232"/>
      <c r="H5" s="232"/>
      <c r="I5" s="232"/>
      <c r="J5" s="232"/>
    </row>
    <row r="7" customFormat="false" ht="14.9" hidden="false" customHeight="false" outlineLevel="0" collapsed="false">
      <c r="A7" s="233" t="s">
        <v>443</v>
      </c>
      <c r="B7" s="234"/>
    </row>
    <row r="8" customFormat="false" ht="36" hidden="false" customHeight="true" outlineLevel="0" collapsed="false">
      <c r="A8" s="235" t="s">
        <v>444</v>
      </c>
      <c r="B8" s="236" t="n">
        <v>3</v>
      </c>
    </row>
    <row r="9" customFormat="false" ht="26.25" hidden="false" customHeight="true" outlineLevel="0" collapsed="false">
      <c r="A9" s="235" t="s">
        <v>445</v>
      </c>
      <c r="B9" s="236" t="n">
        <v>2</v>
      </c>
    </row>
    <row r="10" customFormat="false" ht="27.75" hidden="false" customHeight="true" outlineLevel="0" collapsed="false">
      <c r="A10" s="237" t="s">
        <v>446</v>
      </c>
      <c r="B10" s="237" t="s">
        <v>447</v>
      </c>
    </row>
    <row r="11" customFormat="false" ht="39.75" hidden="false" customHeight="true" outlineLevel="0" collapsed="false">
      <c r="A11" s="238" t="s">
        <v>140</v>
      </c>
      <c r="B11" s="238" t="s">
        <v>448</v>
      </c>
      <c r="C11" s="238" t="s">
        <v>433</v>
      </c>
      <c r="D11" s="238" t="s">
        <v>449</v>
      </c>
      <c r="E11" s="238" t="s">
        <v>450</v>
      </c>
      <c r="F11" s="238" t="s">
        <v>451</v>
      </c>
      <c r="G11" s="238" t="s">
        <v>452</v>
      </c>
      <c r="H11" s="238" t="s">
        <v>453</v>
      </c>
      <c r="I11" s="238" t="s">
        <v>454</v>
      </c>
      <c r="J11" s="238" t="s">
        <v>455</v>
      </c>
    </row>
    <row r="12" customFormat="false" ht="25.5" hidden="false" customHeight="true" outlineLevel="0" collapsed="false">
      <c r="A12" s="239" t="s">
        <v>456</v>
      </c>
      <c r="B12" s="239" t="s">
        <v>62</v>
      </c>
      <c r="C12" s="239" t="s">
        <v>457</v>
      </c>
      <c r="D12" s="240"/>
      <c r="E12" s="240"/>
      <c r="F12" s="240"/>
      <c r="G12" s="240"/>
      <c r="H12" s="240"/>
      <c r="I12" s="240"/>
      <c r="J12" s="240" t="n">
        <f aca="false">SUM(J13:J24)</f>
        <v>241.959543966302</v>
      </c>
    </row>
    <row r="13" customFormat="false" ht="15" hidden="false" customHeight="true" outlineLevel="0" collapsed="false">
      <c r="A13" s="237" t="n">
        <v>1</v>
      </c>
      <c r="B13" s="237" t="s">
        <v>364</v>
      </c>
      <c r="C13" s="237"/>
      <c r="D13" s="241" t="n">
        <v>37.14</v>
      </c>
      <c r="E13" s="242" t="n">
        <f aca="false">+'CONCRETO EN CUNETAS'!E10</f>
        <v>14.07</v>
      </c>
      <c r="F13" s="242" t="n">
        <f aca="false">E13/D13</f>
        <v>0.378836833602585</v>
      </c>
      <c r="G13" s="242" t="n">
        <f aca="false">B8</f>
        <v>3</v>
      </c>
      <c r="H13" s="242" t="n">
        <f aca="false">ROUNDUP(D13/G13,0)</f>
        <v>13</v>
      </c>
      <c r="I13" s="242" t="n">
        <f aca="false">B9</f>
        <v>2</v>
      </c>
      <c r="J13" s="242" t="n">
        <f aca="false">H13*I13*F13</f>
        <v>9.8497576736672</v>
      </c>
    </row>
    <row r="14" customFormat="false" ht="15" hidden="false" customHeight="true" outlineLevel="0" collapsed="false">
      <c r="A14" s="237" t="n">
        <v>2</v>
      </c>
      <c r="B14" s="237" t="s">
        <v>372</v>
      </c>
      <c r="C14" s="237"/>
      <c r="D14" s="241" t="n">
        <v>130.85</v>
      </c>
      <c r="E14" s="242" t="n">
        <f aca="false">+'CONCRETO EN CUNETAS'!E22</f>
        <v>78.32</v>
      </c>
      <c r="F14" s="242" t="n">
        <f aca="false">E14/D14</f>
        <v>0.598547955674436</v>
      </c>
      <c r="G14" s="242" t="n">
        <f aca="false">B8</f>
        <v>3</v>
      </c>
      <c r="H14" s="242" t="n">
        <f aca="false">ROUNDUP(D14/G14,0)</f>
        <v>44</v>
      </c>
      <c r="I14" s="242" t="n">
        <f aca="false">B9</f>
        <v>2</v>
      </c>
      <c r="J14" s="242" t="n">
        <f aca="false">H14*I14*F14</f>
        <v>52.6722200993504</v>
      </c>
    </row>
    <row r="15" customFormat="false" ht="15" hidden="false" customHeight="true" outlineLevel="0" collapsed="false">
      <c r="A15" s="237" t="n">
        <v>3</v>
      </c>
      <c r="B15" s="237" t="s">
        <v>434</v>
      </c>
      <c r="C15" s="237"/>
      <c r="D15" s="241" t="n">
        <v>5.82</v>
      </c>
      <c r="E15" s="242" t="n">
        <f aca="false">+'CONCRETO EN CUNETAS'!E34</f>
        <v>1.83</v>
      </c>
      <c r="F15" s="242" t="n">
        <f aca="false">E15/D15</f>
        <v>0.314432989690722</v>
      </c>
      <c r="G15" s="242" t="n">
        <f aca="false">B8</f>
        <v>3</v>
      </c>
      <c r="H15" s="242" t="n">
        <f aca="false">ROUNDUP(D15/G15,0)</f>
        <v>2</v>
      </c>
      <c r="I15" s="242" t="n">
        <f aca="false">B9</f>
        <v>2</v>
      </c>
      <c r="J15" s="242" t="n">
        <f aca="false">H15*I15*F15</f>
        <v>1.25773195876289</v>
      </c>
    </row>
    <row r="16" customFormat="false" ht="15" hidden="false" customHeight="true" outlineLevel="0" collapsed="false">
      <c r="A16" s="237" t="n">
        <v>4</v>
      </c>
      <c r="B16" s="237" t="s">
        <v>435</v>
      </c>
      <c r="C16" s="237"/>
      <c r="D16" s="241" t="n">
        <v>8.6</v>
      </c>
      <c r="E16" s="242" t="n">
        <f aca="false">+'CONCRETO EN CUNETAS'!E46</f>
        <v>2.76</v>
      </c>
      <c r="F16" s="242" t="n">
        <f aca="false">E16/D16</f>
        <v>0.32093023255814</v>
      </c>
      <c r="G16" s="242" t="n">
        <f aca="false">B8</f>
        <v>3</v>
      </c>
      <c r="H16" s="242" t="n">
        <f aca="false">ROUNDUP(D16/G16,0)</f>
        <v>3</v>
      </c>
      <c r="I16" s="242" t="n">
        <f aca="false">B9</f>
        <v>2</v>
      </c>
      <c r="J16" s="242" t="n">
        <f aca="false">H16*I16*F16</f>
        <v>1.92558139534884</v>
      </c>
    </row>
    <row r="17" customFormat="false" ht="15" hidden="false" customHeight="true" outlineLevel="0" collapsed="false">
      <c r="A17" s="237" t="n">
        <v>5</v>
      </c>
      <c r="B17" s="237" t="s">
        <v>388</v>
      </c>
      <c r="C17" s="237"/>
      <c r="D17" s="241" t="n">
        <v>43.23</v>
      </c>
      <c r="E17" s="242" t="n">
        <f aca="false">+'CONCRETO EN CUNETAS'!E58</f>
        <v>17.7</v>
      </c>
      <c r="F17" s="242" t="n">
        <f aca="false">E17/D17</f>
        <v>0.409437890353921</v>
      </c>
      <c r="G17" s="242" t="n">
        <f aca="false">B8</f>
        <v>3</v>
      </c>
      <c r="H17" s="242" t="n">
        <f aca="false">ROUNDUP(D17/G17,0)</f>
        <v>15</v>
      </c>
      <c r="I17" s="242" t="n">
        <f aca="false">B9</f>
        <v>2</v>
      </c>
      <c r="J17" s="242" t="n">
        <f aca="false">H17*I17*F17</f>
        <v>12.2831367106176</v>
      </c>
    </row>
    <row r="18" customFormat="false" ht="15" hidden="false" customHeight="true" outlineLevel="0" collapsed="false">
      <c r="A18" s="237" t="n">
        <v>6</v>
      </c>
      <c r="B18" s="237" t="s">
        <v>392</v>
      </c>
      <c r="C18" s="237"/>
      <c r="D18" s="241" t="n">
        <v>120.36</v>
      </c>
      <c r="E18" s="242" t="n">
        <f aca="false">+'CONCRETO EN CUNETAS'!E70</f>
        <v>69.72</v>
      </c>
      <c r="F18" s="242" t="n">
        <f aca="false">E18/D18</f>
        <v>0.57926221335992</v>
      </c>
      <c r="G18" s="242" t="n">
        <f aca="false">B8</f>
        <v>3</v>
      </c>
      <c r="H18" s="242" t="n">
        <f aca="false">ROUNDUP(D18/G18,0)</f>
        <v>41</v>
      </c>
      <c r="I18" s="242" t="n">
        <f aca="false">B9</f>
        <v>2</v>
      </c>
      <c r="J18" s="242" t="n">
        <f aca="false">H18*I18*F18</f>
        <v>47.4995014955135</v>
      </c>
    </row>
    <row r="19" customFormat="false" ht="15" hidden="false" customHeight="true" outlineLevel="0" collapsed="false">
      <c r="A19" s="237" t="n">
        <v>7</v>
      </c>
      <c r="B19" s="237" t="s">
        <v>399</v>
      </c>
      <c r="C19" s="237"/>
      <c r="D19" s="241" t="n">
        <v>125.7</v>
      </c>
      <c r="E19" s="242" t="n">
        <f aca="false">+'CONCRETO EN CUNETAS'!M10</f>
        <v>74.5</v>
      </c>
      <c r="F19" s="242" t="n">
        <f aca="false">E19/D19</f>
        <v>0.592680986475736</v>
      </c>
      <c r="G19" s="242" t="n">
        <f aca="false">B8</f>
        <v>3</v>
      </c>
      <c r="H19" s="242" t="n">
        <f aca="false">ROUNDUP(D19/G19,0)</f>
        <v>42</v>
      </c>
      <c r="I19" s="242" t="n">
        <f aca="false">B9</f>
        <v>2</v>
      </c>
      <c r="J19" s="242" t="n">
        <f aca="false">H19*I19*F19</f>
        <v>49.7852028639618</v>
      </c>
    </row>
    <row r="20" customFormat="false" ht="15" hidden="false" customHeight="true" outlineLevel="0" collapsed="false">
      <c r="A20" s="237" t="n">
        <v>8</v>
      </c>
      <c r="B20" s="237" t="s">
        <v>407</v>
      </c>
      <c r="C20" s="237"/>
      <c r="D20" s="241" t="n">
        <v>8.2</v>
      </c>
      <c r="E20" s="242" t="n">
        <f aca="false">+'CONCRETO EN CUNETAS'!M22</f>
        <v>2.62</v>
      </c>
      <c r="F20" s="242" t="n">
        <f aca="false">E20/D20</f>
        <v>0.319512195121951</v>
      </c>
      <c r="G20" s="242" t="n">
        <f aca="false">B8</f>
        <v>3</v>
      </c>
      <c r="H20" s="242" t="n">
        <f aca="false">ROUNDUP(D20/G20,0)</f>
        <v>3</v>
      </c>
      <c r="I20" s="242" t="n">
        <f aca="false">B9</f>
        <v>2</v>
      </c>
      <c r="J20" s="242" t="n">
        <f aca="false">H20*I20*F20</f>
        <v>1.91707317073171</v>
      </c>
    </row>
    <row r="21" customFormat="false" ht="15" hidden="false" customHeight="true" outlineLevel="0" collapsed="false">
      <c r="A21" s="237" t="n">
        <v>9</v>
      </c>
      <c r="B21" s="237" t="s">
        <v>410</v>
      </c>
      <c r="C21" s="237"/>
      <c r="D21" s="241" t="n">
        <v>7</v>
      </c>
      <c r="E21" s="242" t="n">
        <f aca="false">+'CONCRETO EN CUNETAS'!M34</f>
        <v>2.22</v>
      </c>
      <c r="F21" s="242" t="n">
        <f aca="false">E21/D21</f>
        <v>0.317142857142857</v>
      </c>
      <c r="G21" s="242" t="n">
        <f aca="false">B8</f>
        <v>3</v>
      </c>
      <c r="H21" s="242" t="n">
        <f aca="false">ROUNDUP(D21/G21,0)</f>
        <v>3</v>
      </c>
      <c r="I21" s="242" t="n">
        <f aca="false">B9</f>
        <v>2</v>
      </c>
      <c r="J21" s="242" t="n">
        <f aca="false">H21*I21*F21</f>
        <v>1.90285714285714</v>
      </c>
    </row>
    <row r="22" customFormat="false" ht="15" hidden="false" customHeight="true" outlineLevel="0" collapsed="false">
      <c r="A22" s="237" t="n">
        <v>10</v>
      </c>
      <c r="B22" s="237" t="s">
        <v>161</v>
      </c>
      <c r="C22" s="237"/>
      <c r="D22" s="241" t="n">
        <v>16</v>
      </c>
      <c r="E22" s="242" t="n">
        <f aca="false">+'CONCRETO EN CUNETAS'!M46</f>
        <v>5.44</v>
      </c>
      <c r="F22" s="242" t="n">
        <f aca="false">E22/D22</f>
        <v>0.34</v>
      </c>
      <c r="G22" s="242" t="n">
        <f aca="false">B8</f>
        <v>3</v>
      </c>
      <c r="H22" s="242" t="n">
        <f aca="false">ROUNDUP(D22/G22,0)</f>
        <v>6</v>
      </c>
      <c r="I22" s="242" t="n">
        <f aca="false">B9</f>
        <v>2</v>
      </c>
      <c r="J22" s="242" t="n">
        <f aca="false">H22*I22*F22</f>
        <v>4.08</v>
      </c>
    </row>
    <row r="23" customFormat="false" ht="15" hidden="false" customHeight="true" outlineLevel="0" collapsed="false">
      <c r="A23" s="237" t="n">
        <v>11</v>
      </c>
      <c r="B23" s="237" t="s">
        <v>162</v>
      </c>
      <c r="C23" s="237"/>
      <c r="D23" s="241" t="n">
        <v>71.46</v>
      </c>
      <c r="E23" s="242" t="n">
        <f aca="false">+'CONCRETO EN CUNETAS'!M58</f>
        <v>33</v>
      </c>
      <c r="F23" s="242" t="n">
        <f aca="false">E23/D23</f>
        <v>0.461796809403862</v>
      </c>
      <c r="G23" s="242" t="n">
        <f aca="false">B8</f>
        <v>3</v>
      </c>
      <c r="H23" s="242" t="n">
        <f aca="false">ROUNDUP(D23/G23,0)</f>
        <v>24</v>
      </c>
      <c r="I23" s="242" t="n">
        <f aca="false">B9</f>
        <v>2</v>
      </c>
      <c r="J23" s="242" t="n">
        <f aca="false">H23*I23*F23</f>
        <v>22.1662468513854</v>
      </c>
    </row>
    <row r="24" customFormat="false" ht="15" hidden="false" customHeight="true" outlineLevel="0" collapsed="false">
      <c r="A24" s="237" t="n">
        <v>12</v>
      </c>
      <c r="B24" s="237" t="s">
        <v>163</v>
      </c>
      <c r="C24" s="237"/>
      <c r="D24" s="241" t="n">
        <v>109.12</v>
      </c>
      <c r="E24" s="242" t="n">
        <f aca="false">+'CONCRETO EN CUNETAS'!M70</f>
        <v>54</v>
      </c>
      <c r="F24" s="242" t="n">
        <f aca="false">E24/D24</f>
        <v>0.494868035190616</v>
      </c>
      <c r="G24" s="242" t="n">
        <f aca="false">B8</f>
        <v>3</v>
      </c>
      <c r="H24" s="242" t="n">
        <f aca="false">ROUNDUP(D24/G24,0)</f>
        <v>37</v>
      </c>
      <c r="I24" s="242" t="n">
        <f aca="false">B9</f>
        <v>2</v>
      </c>
      <c r="J24" s="242" t="n">
        <f aca="false">H24*I24*F24</f>
        <v>36.6202346041056</v>
      </c>
    </row>
  </sheetData>
  <mergeCells count="5">
    <mergeCell ref="A1:J1"/>
    <mergeCell ref="B2:J2"/>
    <mergeCell ref="B3:J3"/>
    <mergeCell ref="B4:J4"/>
    <mergeCell ref="B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8" colorId="64" zoomScale="115" zoomScaleNormal="115" zoomScalePageLayoutView="115" workbookViewId="0">
      <selection pane="topLeft" activeCell="L14" activeCellId="0" sqref="L14"/>
    </sheetView>
  </sheetViews>
  <sheetFormatPr defaultColWidth="9.453125" defaultRowHeight="13.5" zeroHeight="false" outlineLevelRow="0" outlineLevelCol="0"/>
  <cols>
    <col collapsed="false" customWidth="true" hidden="false" outlineLevel="0" max="1" min="1" style="173" width="6.54"/>
    <col collapsed="false" customWidth="true" hidden="false" outlineLevel="0" max="2" min="2" style="173" width="15.91"/>
    <col collapsed="false" customWidth="true" hidden="false" outlineLevel="0" max="3" min="3" style="173" width="18.81"/>
    <col collapsed="false" customWidth="true" hidden="false" outlineLevel="0" max="4" min="4" style="173" width="17.45"/>
    <col collapsed="false" customWidth="true" hidden="false" outlineLevel="0" max="5" min="5" style="173" width="14.73"/>
    <col collapsed="false" customWidth="true" hidden="false" outlineLevel="0" max="6" min="6" style="173" width="19.64"/>
    <col collapsed="false" customWidth="true" hidden="false" outlineLevel="0" max="7" min="7" style="173" width="27"/>
    <col collapsed="false" customWidth="true" hidden="false" outlineLevel="0" max="8" min="8" style="173" width="8.73"/>
    <col collapsed="false" customWidth="false" hidden="false" outlineLevel="0" max="10" min="9" style="173" width="9.45"/>
  </cols>
  <sheetData>
    <row r="1" customFormat="false" ht="21" hidden="false" customHeight="true" outlineLevel="0" collapsed="false">
      <c r="A1" s="216" t="s">
        <v>458</v>
      </c>
      <c r="B1" s="216"/>
      <c r="C1" s="216"/>
      <c r="D1" s="216"/>
      <c r="E1" s="216"/>
      <c r="F1" s="216"/>
      <c r="G1" s="216"/>
      <c r="H1" s="216"/>
    </row>
    <row r="2" customFormat="false" ht="22.5" hidden="false" customHeight="true" outlineLevel="0" collapsed="false">
      <c r="A2" s="217" t="s">
        <v>1</v>
      </c>
      <c r="B2" s="217"/>
      <c r="C2" s="218" t="s">
        <v>2</v>
      </c>
      <c r="D2" s="218"/>
      <c r="E2" s="218"/>
      <c r="F2" s="218"/>
      <c r="G2" s="218"/>
      <c r="H2" s="218"/>
    </row>
    <row r="3" customFormat="false" ht="54" hidden="false" customHeight="true" outlineLevel="0" collapsed="false">
      <c r="A3" s="217" t="s">
        <v>3</v>
      </c>
      <c r="B3" s="217"/>
      <c r="C3" s="218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18"/>
      <c r="E3" s="218"/>
      <c r="F3" s="218"/>
      <c r="G3" s="218"/>
      <c r="H3" s="218"/>
    </row>
    <row r="4" customFormat="false" ht="24" hidden="false" customHeight="true" outlineLevel="0" collapsed="false">
      <c r="A4" s="217" t="s">
        <v>5</v>
      </c>
      <c r="B4" s="217"/>
      <c r="C4" s="219" t="str">
        <f aca="false">+RESUMEN!B6</f>
        <v>SAN MARTIN - SAN MARTIN - MORALES</v>
      </c>
      <c r="D4" s="219"/>
      <c r="E4" s="219"/>
      <c r="F4" s="219"/>
      <c r="G4" s="220" t="s">
        <v>7</v>
      </c>
      <c r="H4" s="221" t="n">
        <f aca="false">+RESUMEN!B7</f>
        <v>46266</v>
      </c>
    </row>
    <row r="6" customFormat="false" ht="31.5" hidden="false" customHeight="true" outlineLevel="0" collapsed="false">
      <c r="A6" s="222" t="s">
        <v>331</v>
      </c>
      <c r="B6" s="222" t="s">
        <v>332</v>
      </c>
      <c r="C6" s="222" t="s">
        <v>459</v>
      </c>
      <c r="D6" s="222" t="s">
        <v>460</v>
      </c>
      <c r="E6" s="222" t="s">
        <v>461</v>
      </c>
      <c r="F6" s="222" t="s">
        <v>462</v>
      </c>
      <c r="G6" s="222" t="s">
        <v>463</v>
      </c>
      <c r="H6" s="222" t="s">
        <v>433</v>
      </c>
    </row>
    <row r="7" customFormat="false" ht="30" hidden="false" customHeight="true" outlineLevel="0" collapsed="false">
      <c r="A7" s="208" t="n">
        <v>1</v>
      </c>
      <c r="B7" s="209" t="s">
        <v>364</v>
      </c>
      <c r="C7" s="209" t="s">
        <v>464</v>
      </c>
      <c r="D7" s="192" t="s">
        <v>465</v>
      </c>
      <c r="E7" s="210" t="n">
        <v>37</v>
      </c>
      <c r="F7" s="223" t="n">
        <v>1.5</v>
      </c>
      <c r="G7" s="224" t="n">
        <f aca="false">IF(B7="","",ROUNDUP(E7/F7,0))</f>
        <v>25</v>
      </c>
      <c r="H7" s="225" t="s">
        <v>60</v>
      </c>
    </row>
    <row r="8" customFormat="false" ht="34.3" hidden="false" customHeight="false" outlineLevel="0" collapsed="false">
      <c r="A8" s="208" t="n">
        <v>2</v>
      </c>
      <c r="B8" s="209" t="s">
        <v>364</v>
      </c>
      <c r="C8" s="209" t="s">
        <v>466</v>
      </c>
      <c r="D8" s="192" t="s">
        <v>467</v>
      </c>
      <c r="E8" s="210" t="n">
        <v>4.75</v>
      </c>
      <c r="F8" s="223" t="n">
        <v>1.5</v>
      </c>
      <c r="G8" s="224" t="n">
        <f aca="false">IF(B8="","",ROUNDUP(E8/F8,0))</f>
        <v>4</v>
      </c>
      <c r="H8" s="225" t="s">
        <v>60</v>
      </c>
    </row>
    <row r="9" customFormat="false" ht="34.3" hidden="false" customHeight="false" outlineLevel="0" collapsed="false">
      <c r="A9" s="208" t="n">
        <v>3</v>
      </c>
      <c r="B9" s="209" t="s">
        <v>372</v>
      </c>
      <c r="C9" s="209" t="s">
        <v>468</v>
      </c>
      <c r="D9" s="192" t="s">
        <v>469</v>
      </c>
      <c r="E9" s="210" t="n">
        <v>4.75</v>
      </c>
      <c r="F9" s="223" t="n">
        <v>1.5</v>
      </c>
      <c r="G9" s="224" t="n">
        <f aca="false">IF(B9="","",ROUNDUP(E9/F9,0))</f>
        <v>4</v>
      </c>
      <c r="H9" s="225" t="s">
        <v>60</v>
      </c>
    </row>
    <row r="10" customFormat="false" ht="34.3" hidden="false" customHeight="false" outlineLevel="0" collapsed="false">
      <c r="A10" s="208" t="n">
        <v>4</v>
      </c>
      <c r="B10" s="209" t="s">
        <v>399</v>
      </c>
      <c r="C10" s="209" t="s">
        <v>470</v>
      </c>
      <c r="D10" s="192" t="s">
        <v>469</v>
      </c>
      <c r="E10" s="210" t="n">
        <v>2.25</v>
      </c>
      <c r="F10" s="223" t="n">
        <v>1.5</v>
      </c>
      <c r="G10" s="224" t="n">
        <f aca="false">IF(B10="","",ROUNDUP(E10/F10,0))</f>
        <v>2</v>
      </c>
      <c r="H10" s="225" t="s">
        <v>60</v>
      </c>
    </row>
    <row r="11" customFormat="false" ht="34.3" hidden="false" customHeight="false" outlineLevel="0" collapsed="false">
      <c r="A11" s="208" t="n">
        <v>5</v>
      </c>
      <c r="B11" s="209" t="s">
        <v>399</v>
      </c>
      <c r="C11" s="209" t="s">
        <v>471</v>
      </c>
      <c r="D11" s="192" t="s">
        <v>465</v>
      </c>
      <c r="E11" s="210" t="n">
        <v>1.73</v>
      </c>
      <c r="F11" s="223" t="n">
        <v>1.5</v>
      </c>
      <c r="G11" s="224" t="n">
        <f aca="false">IF(B11="","",ROUNDUP(E11/F11,0))</f>
        <v>2</v>
      </c>
      <c r="H11" s="225" t="s">
        <v>60</v>
      </c>
    </row>
    <row r="12" customFormat="false" ht="34.3" hidden="false" customHeight="false" outlineLevel="0" collapsed="false">
      <c r="A12" s="208" t="n">
        <v>6</v>
      </c>
      <c r="B12" s="209" t="s">
        <v>399</v>
      </c>
      <c r="C12" s="209" t="s">
        <v>471</v>
      </c>
      <c r="D12" s="192" t="s">
        <v>467</v>
      </c>
      <c r="E12" s="210" t="n">
        <v>1.73</v>
      </c>
      <c r="F12" s="223" t="n">
        <v>1.5</v>
      </c>
      <c r="G12" s="224" t="n">
        <f aca="false">IF(B12="","",ROUNDUP(E12/F12,0))</f>
        <v>2</v>
      </c>
      <c r="H12" s="225" t="s">
        <v>60</v>
      </c>
    </row>
    <row r="13" customFormat="false" ht="34.3" hidden="false" customHeight="false" outlineLevel="0" collapsed="false">
      <c r="A13" s="208" t="n">
        <v>7</v>
      </c>
      <c r="B13" s="209" t="s">
        <v>410</v>
      </c>
      <c r="C13" s="209" t="s">
        <v>472</v>
      </c>
      <c r="D13" s="192" t="s">
        <v>469</v>
      </c>
      <c r="E13" s="210" t="n">
        <v>4.5</v>
      </c>
      <c r="F13" s="223" t="n">
        <v>1.5</v>
      </c>
      <c r="G13" s="224" t="n">
        <f aca="false">IF(B13="","",ROUNDUP(E13/F13,0))</f>
        <v>3</v>
      </c>
      <c r="H13" s="225" t="s">
        <v>60</v>
      </c>
    </row>
    <row r="14" customFormat="false" ht="34.3" hidden="false" customHeight="false" outlineLevel="0" collapsed="false">
      <c r="A14" s="208" t="n">
        <v>8</v>
      </c>
      <c r="B14" s="209" t="s">
        <v>162</v>
      </c>
      <c r="C14" s="209" t="s">
        <v>473</v>
      </c>
      <c r="D14" s="192" t="s">
        <v>465</v>
      </c>
      <c r="E14" s="210" t="n">
        <v>2.25</v>
      </c>
      <c r="F14" s="223" t="n">
        <v>1.5</v>
      </c>
      <c r="G14" s="224" t="n">
        <f aca="false">IF(B14="","",ROUNDUP(E14/F14,0))</f>
        <v>2</v>
      </c>
      <c r="H14" s="225" t="s">
        <v>60</v>
      </c>
    </row>
    <row r="15" customFormat="false" ht="34.3" hidden="false" customHeight="false" outlineLevel="0" collapsed="false">
      <c r="A15" s="208" t="n">
        <v>9</v>
      </c>
      <c r="B15" s="209" t="s">
        <v>162</v>
      </c>
      <c r="C15" s="209" t="s">
        <v>474</v>
      </c>
      <c r="D15" s="192" t="s">
        <v>467</v>
      </c>
      <c r="E15" s="210" t="n">
        <v>23.25</v>
      </c>
      <c r="F15" s="223" t="n">
        <v>1.5</v>
      </c>
      <c r="G15" s="224" t="n">
        <f aca="false">IF(B15="","",ROUNDUP(E15/F15,0))</f>
        <v>16</v>
      </c>
      <c r="H15" s="225" t="s">
        <v>60</v>
      </c>
    </row>
    <row r="16" customFormat="false" ht="34.3" hidden="false" customHeight="false" outlineLevel="0" collapsed="false">
      <c r="A16" s="208" t="n">
        <v>10</v>
      </c>
      <c r="B16" s="209" t="s">
        <v>162</v>
      </c>
      <c r="C16" s="209" t="s">
        <v>475</v>
      </c>
      <c r="D16" s="192" t="s">
        <v>467</v>
      </c>
      <c r="E16" s="210" t="n">
        <v>4.5</v>
      </c>
      <c r="F16" s="223" t="n">
        <v>1.5</v>
      </c>
      <c r="G16" s="224" t="n">
        <f aca="false">IF(B16="","",ROUNDUP(E16/F16,0))</f>
        <v>3</v>
      </c>
      <c r="H16" s="225" t="s">
        <v>60</v>
      </c>
    </row>
    <row r="17" customFormat="false" ht="34.3" hidden="false" customHeight="false" outlineLevel="0" collapsed="false">
      <c r="A17" s="208" t="n">
        <v>11</v>
      </c>
      <c r="B17" s="209" t="s">
        <v>163</v>
      </c>
      <c r="C17" s="209" t="s">
        <v>476</v>
      </c>
      <c r="D17" s="192" t="s">
        <v>465</v>
      </c>
      <c r="E17" s="210" t="n">
        <v>30.5</v>
      </c>
      <c r="F17" s="223" t="n">
        <v>1.5</v>
      </c>
      <c r="G17" s="224" t="n">
        <f aca="false">IF(B17="","",ROUNDUP(E17/F17,0))</f>
        <v>21</v>
      </c>
      <c r="H17" s="225" t="s">
        <v>60</v>
      </c>
    </row>
    <row r="18" customFormat="false" ht="34.3" hidden="false" customHeight="false" outlineLevel="0" collapsed="false">
      <c r="A18" s="208" t="n">
        <v>12</v>
      </c>
      <c r="B18" s="209" t="s">
        <v>163</v>
      </c>
      <c r="C18" s="209" t="s">
        <v>477</v>
      </c>
      <c r="D18" s="192" t="s">
        <v>467</v>
      </c>
      <c r="E18" s="210" t="n">
        <v>109</v>
      </c>
      <c r="F18" s="223" t="n">
        <v>1.5</v>
      </c>
      <c r="G18" s="224" t="n">
        <f aca="false">IF(B18="","",ROUNDUP(E18/F18,0))</f>
        <v>73</v>
      </c>
      <c r="H18" s="225" t="s">
        <v>60</v>
      </c>
    </row>
    <row r="20" customFormat="false" ht="25.5" hidden="false" customHeight="true" outlineLevel="0" collapsed="false">
      <c r="A20" s="243" t="s">
        <v>478</v>
      </c>
      <c r="B20" s="243"/>
      <c r="C20" s="243"/>
      <c r="D20" s="243"/>
      <c r="E20" s="244" t="n">
        <f aca="false">SUM(E7:E18)</f>
        <v>226.21</v>
      </c>
      <c r="F20" s="244"/>
      <c r="G20" s="227" t="n">
        <f aca="false">SUM(G7:G18)</f>
        <v>157</v>
      </c>
      <c r="H20" s="227" t="s">
        <v>60</v>
      </c>
    </row>
    <row r="22" customFormat="false" ht="15.6" hidden="false" customHeight="true" outlineLevel="0" collapsed="false">
      <c r="A22" s="245" t="s">
        <v>479</v>
      </c>
      <c r="B22" s="245"/>
      <c r="C22" s="245"/>
      <c r="D22" s="245"/>
      <c r="E22" s="245"/>
      <c r="F22" s="245"/>
      <c r="G22" s="245"/>
      <c r="H22" s="245"/>
    </row>
    <row r="23" customFormat="false" ht="35.45" hidden="false" customHeight="true" outlineLevel="0" collapsed="false">
      <c r="A23" s="246" t="s">
        <v>480</v>
      </c>
      <c r="B23" s="246"/>
      <c r="C23" s="246"/>
      <c r="D23" s="246"/>
      <c r="E23" s="246"/>
      <c r="F23" s="246"/>
      <c r="G23" s="246"/>
      <c r="H23" s="246"/>
    </row>
    <row r="24" customFormat="false" ht="48.2" hidden="false" customHeight="true" outlineLevel="0" collapsed="false">
      <c r="A24" s="246" t="s">
        <v>481</v>
      </c>
      <c r="B24" s="246"/>
      <c r="C24" s="246"/>
      <c r="D24" s="246"/>
      <c r="E24" s="246"/>
      <c r="F24" s="246"/>
      <c r="G24" s="246"/>
      <c r="H24" s="246"/>
    </row>
    <row r="25" customFormat="false" ht="59.55" hidden="false" customHeight="true" outlineLevel="0" collapsed="false">
      <c r="A25" s="246" t="s">
        <v>482</v>
      </c>
      <c r="B25" s="246"/>
      <c r="C25" s="246"/>
      <c r="D25" s="246"/>
      <c r="E25" s="246"/>
      <c r="F25" s="246"/>
      <c r="G25" s="246"/>
      <c r="H25" s="246"/>
    </row>
    <row r="26" customFormat="false" ht="18.45" hidden="false" customHeight="true" outlineLevel="0" collapsed="false">
      <c r="A26" s="246" t="s">
        <v>483</v>
      </c>
      <c r="B26" s="246"/>
      <c r="C26" s="246"/>
      <c r="D26" s="246"/>
      <c r="E26" s="246"/>
      <c r="F26" s="246"/>
      <c r="G26" s="246"/>
      <c r="H26" s="246"/>
    </row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3">
    <mergeCell ref="A1:H1"/>
    <mergeCell ref="A2:B2"/>
    <mergeCell ref="C2:H2"/>
    <mergeCell ref="A3:B3"/>
    <mergeCell ref="C3:H3"/>
    <mergeCell ref="A4:B4"/>
    <mergeCell ref="C4:F4"/>
    <mergeCell ref="A20:D20"/>
    <mergeCell ref="A22:H22"/>
    <mergeCell ref="A23:H23"/>
    <mergeCell ref="A24:H24"/>
    <mergeCell ref="A25:H25"/>
    <mergeCell ref="A26:H26"/>
  </mergeCells>
  <conditionalFormatting sqref="D7:D18">
    <cfRule type="expression" priority="2" aboveAverage="0" equalAverage="0" bottom="0" percent="0" rank="0" text="" dxfId="10">
      <formula>D7="TAPADA"</formula>
    </cfRule>
    <cfRule type="expression" priority="3" aboveAverage="0" equalAverage="0" bottom="0" percent="0" rank="0" text="" dxfId="11">
      <formula>D7="ABIERTA"</formula>
    </cfRule>
  </conditionalFormatting>
  <conditionalFormatting sqref="G7:G18">
    <cfRule type="expression" priority="4" aboveAverage="0" equalAverage="0" bottom="0" percent="0" rank="0" text="" dxfId="12">
      <formula>$D7="TAPADA"</formula>
    </cfRule>
  </conditionalFormatting>
  <printOptions headings="false" gridLines="false" gridLinesSet="true" horizontalCentered="false" verticalCentered="false"/>
  <pageMargins left="0.7" right="0.7" top="0.848611111111111" bottom="0.848611111111111" header="0.75" footer="0.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K23"/>
  <sheetViews>
    <sheetView showFormulas="false" showGridLines="true" showRowColHeaders="true" showZeros="true" rightToLeft="false" tabSelected="false" showOutlineSymbols="true" defaultGridColor="true" view="normal" topLeftCell="B4" colorId="64" zoomScale="115" zoomScaleNormal="115" zoomScalePageLayoutView="115" workbookViewId="0">
      <selection pane="topLeft" activeCell="J26" activeCellId="0" sqref="J26"/>
    </sheetView>
  </sheetViews>
  <sheetFormatPr defaultColWidth="9.453125" defaultRowHeight="15" zeroHeight="false" outlineLevelRow="0" outlineLevelCol="0"/>
  <cols>
    <col collapsed="false" customWidth="true" hidden="false" outlineLevel="0" max="1" min="1" style="202" width="22.45"/>
    <col collapsed="false" customWidth="true" hidden="false" outlineLevel="0" max="2" min="2" style="202" width="50.73"/>
    <col collapsed="false" customWidth="true" hidden="false" outlineLevel="0" max="3" min="3" style="202" width="14.18"/>
    <col collapsed="false" customWidth="true" hidden="false" outlineLevel="0" max="4" min="4" style="202" width="18.18"/>
    <col collapsed="false" customWidth="true" hidden="false" outlineLevel="0" max="5" min="5" style="202" width="12.54"/>
    <col collapsed="false" customWidth="true" hidden="false" outlineLevel="0" max="8" min="6" style="202" width="12"/>
    <col collapsed="false" customWidth="true" hidden="false" outlineLevel="0" max="10" min="9" style="202" width="16.36"/>
    <col collapsed="false" customWidth="true" hidden="false" outlineLevel="0" max="11" min="11" style="202" width="9.82"/>
    <col collapsed="false" customWidth="false" hidden="false" outlineLevel="0" max="16384" min="12" style="202" width="9.45"/>
  </cols>
  <sheetData>
    <row r="1" customFormat="false" ht="19.5" hidden="false" customHeight="true" outlineLevel="0" collapsed="false">
      <c r="A1" s="247" t="s">
        <v>484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</row>
    <row r="2" customFormat="false" ht="24.75" hidden="false" customHeight="true" outlineLevel="0" collapsed="false">
      <c r="A2" s="204" t="s">
        <v>1</v>
      </c>
      <c r="B2" s="205" t="s">
        <v>2</v>
      </c>
      <c r="C2" s="205"/>
      <c r="D2" s="205"/>
      <c r="E2" s="205"/>
      <c r="F2" s="205"/>
      <c r="G2" s="205"/>
      <c r="H2" s="205"/>
      <c r="I2" s="205"/>
      <c r="J2" s="205"/>
      <c r="K2" s="205"/>
    </row>
    <row r="3" customFormat="false" ht="39.75" hidden="false" customHeight="true" outlineLevel="0" collapsed="false">
      <c r="A3" s="204" t="s">
        <v>3</v>
      </c>
      <c r="B3" s="205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05"/>
      <c r="D3" s="205"/>
      <c r="E3" s="205"/>
      <c r="F3" s="205"/>
      <c r="G3" s="205"/>
      <c r="H3" s="205"/>
      <c r="I3" s="205"/>
      <c r="J3" s="205"/>
      <c r="K3" s="205"/>
    </row>
    <row r="4" customFormat="false" ht="24" hidden="false" customHeight="true" outlineLevel="0" collapsed="false">
      <c r="A4" s="204" t="s">
        <v>5</v>
      </c>
      <c r="B4" s="205" t="str">
        <f aca="false">+RESUMEN!B6</f>
        <v>SAN MARTIN - SAN MARTIN - MORALES</v>
      </c>
      <c r="C4" s="205"/>
      <c r="D4" s="205"/>
      <c r="E4" s="205"/>
      <c r="F4" s="205"/>
      <c r="G4" s="205"/>
      <c r="H4" s="205"/>
      <c r="I4" s="205"/>
      <c r="J4" s="205"/>
      <c r="K4" s="205"/>
    </row>
    <row r="5" customFormat="false" ht="18" hidden="false" customHeight="true" outlineLevel="0" collapsed="false">
      <c r="A5" s="204" t="s">
        <v>7</v>
      </c>
      <c r="B5" s="248" t="n">
        <f aca="false">+RESUMEN!B7</f>
        <v>46266</v>
      </c>
      <c r="C5" s="248"/>
      <c r="D5" s="248"/>
      <c r="E5" s="248"/>
      <c r="F5" s="248"/>
      <c r="G5" s="248"/>
      <c r="H5" s="248"/>
      <c r="I5" s="248"/>
      <c r="J5" s="248"/>
      <c r="K5" s="248"/>
    </row>
    <row r="6" customFormat="false" ht="9.75" hidden="false" customHeight="true" outlineLevel="0" collapsed="false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</row>
    <row r="7" customFormat="false" ht="19.5" hidden="false" customHeight="true" outlineLevel="0" collapsed="false">
      <c r="A7" s="250" t="s">
        <v>140</v>
      </c>
      <c r="B7" s="250" t="s">
        <v>291</v>
      </c>
      <c r="C7" s="250" t="s">
        <v>142</v>
      </c>
      <c r="D7" s="250" t="s">
        <v>485</v>
      </c>
      <c r="E7" s="250"/>
      <c r="F7" s="250"/>
      <c r="G7" s="250"/>
      <c r="H7" s="250"/>
      <c r="I7" s="250" t="s">
        <v>149</v>
      </c>
      <c r="J7" s="250" t="s">
        <v>150</v>
      </c>
      <c r="K7" s="250" t="s">
        <v>151</v>
      </c>
    </row>
    <row r="8" customFormat="false" ht="36" hidden="false" customHeight="true" outlineLevel="0" collapsed="false">
      <c r="A8" s="250"/>
      <c r="B8" s="250"/>
      <c r="C8" s="250"/>
      <c r="D8" s="250" t="s">
        <v>143</v>
      </c>
      <c r="E8" s="250" t="s">
        <v>144</v>
      </c>
      <c r="F8" s="250" t="s">
        <v>145</v>
      </c>
      <c r="G8" s="250" t="s">
        <v>146</v>
      </c>
      <c r="H8" s="250" t="s">
        <v>147</v>
      </c>
      <c r="I8" s="250" t="s">
        <v>486</v>
      </c>
      <c r="J8" s="250"/>
      <c r="K8" s="250"/>
    </row>
    <row r="9" customFormat="false" ht="19.5" hidden="false" customHeight="true" outlineLevel="0" collapsed="false">
      <c r="A9" s="208" t="s">
        <v>58</v>
      </c>
      <c r="B9" s="251" t="s">
        <v>487</v>
      </c>
      <c r="C9" s="208"/>
      <c r="D9" s="208"/>
      <c r="E9" s="208"/>
      <c r="F9" s="208"/>
      <c r="G9" s="208"/>
      <c r="H9" s="208"/>
      <c r="I9" s="208"/>
      <c r="J9" s="252" t="n">
        <f aca="false">+PARAMETROS!B4</f>
        <v>17</v>
      </c>
      <c r="K9" s="253" t="s">
        <v>60</v>
      </c>
    </row>
    <row r="10" customFormat="false" ht="19.5" hidden="false" customHeight="true" outlineLevel="0" collapsed="false">
      <c r="A10" s="208"/>
      <c r="B10" s="251"/>
      <c r="C10" s="208"/>
      <c r="D10" s="208"/>
      <c r="E10" s="208"/>
      <c r="F10" s="208"/>
      <c r="G10" s="208"/>
      <c r="H10" s="208"/>
      <c r="I10" s="208"/>
      <c r="J10" s="208"/>
      <c r="K10" s="208"/>
    </row>
    <row r="11" customFormat="false" ht="19.5" hidden="false" customHeight="true" outlineLevel="0" collapsed="false">
      <c r="A11" s="254"/>
      <c r="B11" s="255" t="s">
        <v>488</v>
      </c>
      <c r="C11" s="254"/>
      <c r="D11" s="254"/>
      <c r="E11" s="254"/>
      <c r="F11" s="254"/>
      <c r="G11" s="254"/>
      <c r="H11" s="254"/>
      <c r="I11" s="254" t="s">
        <v>150</v>
      </c>
      <c r="J11" s="254"/>
      <c r="K11" s="254"/>
    </row>
    <row r="12" customFormat="false" ht="19.5" hidden="false" customHeight="true" outlineLevel="0" collapsed="false">
      <c r="A12" s="208"/>
      <c r="B12" s="251" t="s">
        <v>489</v>
      </c>
      <c r="C12" s="256" t="n">
        <f aca="false">PARAMETROS!B4</f>
        <v>17</v>
      </c>
      <c r="D12" s="256" t="n">
        <f aca="false">PARAMETROS!B5</f>
        <v>0.6</v>
      </c>
      <c r="E12" s="256" t="n">
        <f aca="false">PARAMETROS!B6</f>
        <v>0.6</v>
      </c>
      <c r="F12" s="256" t="n">
        <f aca="false">PARAMETROS!B7</f>
        <v>0.1</v>
      </c>
      <c r="G12" s="257"/>
      <c r="H12" s="257"/>
      <c r="I12" s="256" t="n">
        <f aca="false">C12*D12*E12*F12</f>
        <v>0.612</v>
      </c>
      <c r="J12" s="252" t="n">
        <f aca="false">I12</f>
        <v>0.612</v>
      </c>
      <c r="K12" s="253" t="s">
        <v>167</v>
      </c>
    </row>
    <row r="13" customFormat="false" ht="19.5" hidden="false" customHeight="true" outlineLevel="0" collapsed="false">
      <c r="A13" s="208"/>
      <c r="B13" s="251"/>
      <c r="C13" s="257"/>
      <c r="D13" s="257"/>
      <c r="E13" s="257"/>
      <c r="F13" s="257"/>
      <c r="G13" s="257"/>
      <c r="H13" s="257"/>
      <c r="I13" s="257"/>
      <c r="J13" s="257"/>
      <c r="K13" s="208"/>
    </row>
    <row r="14" customFormat="false" ht="29.25" hidden="false" customHeight="true" outlineLevel="0" collapsed="false">
      <c r="A14" s="254"/>
      <c r="B14" s="255" t="s">
        <v>490</v>
      </c>
      <c r="C14" s="258"/>
      <c r="D14" s="258"/>
      <c r="E14" s="258"/>
      <c r="F14" s="258"/>
      <c r="G14" s="258"/>
      <c r="H14" s="258"/>
      <c r="I14" s="258" t="s">
        <v>150</v>
      </c>
      <c r="J14" s="258"/>
      <c r="K14" s="254"/>
    </row>
    <row r="15" customFormat="false" ht="19.5" hidden="false" customHeight="true" outlineLevel="0" collapsed="false">
      <c r="A15" s="208"/>
      <c r="B15" s="251" t="s">
        <v>491</v>
      </c>
      <c r="C15" s="256" t="n">
        <f aca="false">PARAMETROS!B4</f>
        <v>17</v>
      </c>
      <c r="D15" s="256" t="n">
        <f aca="false">2*(PARAMETROS!B5+PARAMETROS!B6)</f>
        <v>2.4</v>
      </c>
      <c r="E15" s="256"/>
      <c r="F15" s="256" t="n">
        <f aca="false">PARAMETROS!B7</f>
        <v>0.1</v>
      </c>
      <c r="G15" s="257"/>
      <c r="H15" s="256" t="n">
        <f aca="false">D15*F15</f>
        <v>0.24</v>
      </c>
      <c r="I15" s="256" t="n">
        <f aca="false">C15*H15</f>
        <v>4.08</v>
      </c>
      <c r="J15" s="256" t="n">
        <f aca="false">I15</f>
        <v>4.08</v>
      </c>
      <c r="K15" s="208" t="s">
        <v>168</v>
      </c>
    </row>
    <row r="16" customFormat="false" ht="19.5" hidden="false" customHeight="true" outlineLevel="0" collapsed="false">
      <c r="A16" s="208"/>
      <c r="B16" s="251" t="s">
        <v>492</v>
      </c>
      <c r="C16" s="256" t="n">
        <f aca="false">PARAMETROS!B4</f>
        <v>17</v>
      </c>
      <c r="D16" s="256" t="n">
        <f aca="false">PARAMETROS!B5</f>
        <v>0.6</v>
      </c>
      <c r="E16" s="256" t="n">
        <f aca="false">PARAMETROS!B6</f>
        <v>0.6</v>
      </c>
      <c r="F16" s="256"/>
      <c r="G16" s="257"/>
      <c r="H16" s="256" t="n">
        <f aca="false">D16*E16</f>
        <v>0.36</v>
      </c>
      <c r="I16" s="256" t="n">
        <f aca="false">C16*H16</f>
        <v>6.12</v>
      </c>
      <c r="J16" s="256" t="n">
        <f aca="false">I16</f>
        <v>6.12</v>
      </c>
      <c r="K16" s="208" t="s">
        <v>168</v>
      </c>
    </row>
    <row r="17" customFormat="false" ht="19.5" hidden="false" customHeight="true" outlineLevel="0" collapsed="false">
      <c r="A17" s="208"/>
      <c r="B17" s="251" t="s">
        <v>493</v>
      </c>
      <c r="C17" s="257"/>
      <c r="D17" s="257"/>
      <c r="E17" s="257"/>
      <c r="F17" s="257"/>
      <c r="G17" s="257"/>
      <c r="H17" s="256"/>
      <c r="I17" s="256"/>
      <c r="J17" s="252" t="n">
        <f aca="false">J15+J16</f>
        <v>10.2</v>
      </c>
      <c r="K17" s="253" t="s">
        <v>168</v>
      </c>
    </row>
    <row r="18" customFormat="false" ht="19.5" hidden="false" customHeight="true" outlineLevel="0" collapsed="false">
      <c r="A18" s="208"/>
      <c r="B18" s="251"/>
      <c r="C18" s="257"/>
      <c r="D18" s="257"/>
      <c r="E18" s="257"/>
      <c r="F18" s="257"/>
      <c r="G18" s="257"/>
      <c r="H18" s="257"/>
      <c r="I18" s="257"/>
      <c r="J18" s="257"/>
      <c r="K18" s="208"/>
    </row>
    <row r="19" customFormat="false" ht="42.75" hidden="false" customHeight="true" outlineLevel="0" collapsed="false">
      <c r="A19" s="254"/>
      <c r="B19" s="255" t="s">
        <v>494</v>
      </c>
      <c r="C19" s="258"/>
      <c r="D19" s="259" t="s">
        <v>495</v>
      </c>
      <c r="E19" s="260" t="s">
        <v>496</v>
      </c>
      <c r="F19" s="258"/>
      <c r="G19" s="258"/>
      <c r="H19" s="258"/>
      <c r="I19" s="258" t="s">
        <v>150</v>
      </c>
      <c r="J19" s="258"/>
      <c r="K19" s="254"/>
    </row>
    <row r="20" customFormat="false" ht="19.5" hidden="false" customHeight="true" outlineLevel="0" collapsed="false">
      <c r="A20" s="208"/>
      <c r="B20" s="251" t="s">
        <v>497</v>
      </c>
      <c r="C20" s="256" t="n">
        <f aca="false">PARAMETROS!B4</f>
        <v>17</v>
      </c>
      <c r="D20" s="256" t="n">
        <f aca="false">PARAMETROS!B5-2*PARAMETROS!B8</f>
        <v>0.55</v>
      </c>
      <c r="E20" s="256" t="n">
        <f aca="false">ROUND((PARAMETROS!B6-2*PARAMETROS!B8)/PARAMETROS!B9,0)+1</f>
        <v>5</v>
      </c>
      <c r="F20" s="256"/>
      <c r="G20" s="256" t="n">
        <f aca="false">PARAMETROS!B10</f>
        <v>0.56</v>
      </c>
      <c r="H20" s="257"/>
      <c r="I20" s="256" t="n">
        <f aca="false">C20*D20*E20*G20</f>
        <v>26.18</v>
      </c>
      <c r="J20" s="256" t="n">
        <f aca="false">I20</f>
        <v>26.18</v>
      </c>
      <c r="K20" s="208" t="s">
        <v>50</v>
      </c>
    </row>
    <row r="21" customFormat="false" ht="19.5" hidden="false" customHeight="true" outlineLevel="0" collapsed="false">
      <c r="A21" s="208"/>
      <c r="B21" s="251" t="s">
        <v>498</v>
      </c>
      <c r="C21" s="256" t="n">
        <f aca="false">PARAMETROS!B4</f>
        <v>17</v>
      </c>
      <c r="D21" s="256" t="n">
        <f aca="false">PARAMETROS!B6-2*PARAMETROS!B8</f>
        <v>0.55</v>
      </c>
      <c r="E21" s="256" t="n">
        <f aca="false">ROUND((PARAMETROS!B5-2*PARAMETROS!B8)/PARAMETROS!B9,0)+1</f>
        <v>5</v>
      </c>
      <c r="F21" s="256"/>
      <c r="G21" s="256" t="n">
        <f aca="false">PARAMETROS!B10</f>
        <v>0.56</v>
      </c>
      <c r="H21" s="257"/>
      <c r="I21" s="256" t="n">
        <f aca="false">C21*D21*E21*G21</f>
        <v>26.18</v>
      </c>
      <c r="J21" s="256" t="n">
        <f aca="false">I21</f>
        <v>26.18</v>
      </c>
      <c r="K21" s="208" t="s">
        <v>50</v>
      </c>
    </row>
    <row r="22" customFormat="false" ht="19.5" hidden="false" customHeight="true" outlineLevel="0" collapsed="false">
      <c r="A22" s="208"/>
      <c r="B22" s="251" t="s">
        <v>499</v>
      </c>
      <c r="C22" s="257"/>
      <c r="D22" s="257"/>
      <c r="E22" s="257"/>
      <c r="F22" s="257"/>
      <c r="G22" s="257"/>
      <c r="H22" s="257"/>
      <c r="I22" s="256"/>
      <c r="J22" s="252" t="n">
        <f aca="false">J20+J21</f>
        <v>52.36</v>
      </c>
      <c r="K22" s="253" t="s">
        <v>50</v>
      </c>
    </row>
    <row r="23" customFormat="false" ht="19.5" hidden="false" customHeight="true" outlineLevel="0" collapsed="false">
      <c r="A23" s="261"/>
      <c r="B23" s="249"/>
      <c r="C23" s="261"/>
      <c r="D23" s="261"/>
      <c r="E23" s="261"/>
      <c r="F23" s="261"/>
      <c r="G23" s="261"/>
      <c r="H23" s="261"/>
      <c r="I23" s="261"/>
      <c r="J23" s="261"/>
      <c r="K23" s="261"/>
    </row>
  </sheetData>
  <mergeCells count="10">
    <mergeCell ref="A1:K1"/>
    <mergeCell ref="B2:K2"/>
    <mergeCell ref="B3:K3"/>
    <mergeCell ref="B4:K4"/>
    <mergeCell ref="B5:K5"/>
    <mergeCell ref="A7:A8"/>
    <mergeCell ref="B7:B8"/>
    <mergeCell ref="D7:H7"/>
    <mergeCell ref="J7:J8"/>
    <mergeCell ref="K7:K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60" workbookViewId="0">
      <selection pane="topLeft" activeCell="B5" activeCellId="0" sqref="B5"/>
    </sheetView>
  </sheetViews>
  <sheetFormatPr defaultColWidth="9.453125" defaultRowHeight="13.5" zeroHeight="false" outlineLevelRow="0" outlineLevelCol="0"/>
  <cols>
    <col collapsed="false" customWidth="true" hidden="false" outlineLevel="0" max="1" min="1" style="262" width="34.91"/>
    <col collapsed="false" customWidth="true" hidden="false" outlineLevel="0" max="2" min="2" style="262" width="14.18"/>
    <col collapsed="false" customWidth="true" hidden="false" outlineLevel="0" max="3" min="3" style="262" width="13.09"/>
    <col collapsed="false" customWidth="true" hidden="false" outlineLevel="0" max="4" min="4" style="262" width="52.36"/>
    <col collapsed="false" customWidth="false" hidden="false" outlineLevel="0" max="16384" min="5" style="262" width="9.45"/>
  </cols>
  <sheetData>
    <row r="1" customFormat="false" ht="9.75" hidden="false" customHeight="true" outlineLevel="0" collapsed="false">
      <c r="A1" s="263" t="s">
        <v>500</v>
      </c>
      <c r="B1" s="263"/>
      <c r="C1" s="263"/>
      <c r="D1" s="263"/>
    </row>
    <row r="2" customFormat="false" ht="9.75" hidden="false" customHeight="true" outlineLevel="0" collapsed="false">
      <c r="A2" s="264"/>
      <c r="B2" s="264"/>
      <c r="C2" s="264"/>
      <c r="D2" s="264"/>
    </row>
    <row r="3" customFormat="false" ht="9.75" hidden="false" customHeight="true" outlineLevel="0" collapsed="false">
      <c r="A3" s="265" t="s">
        <v>9</v>
      </c>
      <c r="B3" s="265" t="s">
        <v>501</v>
      </c>
      <c r="C3" s="265" t="s">
        <v>502</v>
      </c>
      <c r="D3" s="265" t="s">
        <v>503</v>
      </c>
    </row>
    <row r="4" customFormat="false" ht="15" hidden="false" customHeight="true" outlineLevel="0" collapsed="false">
      <c r="A4" s="264" t="s">
        <v>504</v>
      </c>
      <c r="B4" s="266" t="n">
        <v>17</v>
      </c>
      <c r="C4" s="267" t="s">
        <v>60</v>
      </c>
      <c r="D4" s="264" t="s">
        <v>505</v>
      </c>
    </row>
    <row r="5" customFormat="false" ht="15" hidden="false" customHeight="true" outlineLevel="0" collapsed="false">
      <c r="A5" s="264" t="s">
        <v>506</v>
      </c>
      <c r="B5" s="266" t="n">
        <v>0.6</v>
      </c>
      <c r="C5" s="267" t="s">
        <v>57</v>
      </c>
      <c r="D5" s="264" t="s">
        <v>507</v>
      </c>
    </row>
    <row r="6" customFormat="false" ht="15" hidden="false" customHeight="true" outlineLevel="0" collapsed="false">
      <c r="A6" s="264" t="s">
        <v>508</v>
      </c>
      <c r="B6" s="266" t="n">
        <v>0.6</v>
      </c>
      <c r="C6" s="267" t="s">
        <v>57</v>
      </c>
      <c r="D6" s="264" t="s">
        <v>507</v>
      </c>
    </row>
    <row r="7" customFormat="false" ht="15" hidden="false" customHeight="true" outlineLevel="0" collapsed="false">
      <c r="A7" s="264" t="s">
        <v>509</v>
      </c>
      <c r="B7" s="266" t="n">
        <v>0.1</v>
      </c>
      <c r="C7" s="267" t="s">
        <v>57</v>
      </c>
      <c r="D7" s="264" t="s">
        <v>507</v>
      </c>
    </row>
    <row r="8" customFormat="false" ht="15" hidden="false" customHeight="true" outlineLevel="0" collapsed="false">
      <c r="A8" s="264" t="s">
        <v>510</v>
      </c>
      <c r="B8" s="266" t="n">
        <v>0.025</v>
      </c>
      <c r="C8" s="267" t="s">
        <v>57</v>
      </c>
      <c r="D8" s="264" t="s">
        <v>511</v>
      </c>
    </row>
    <row r="9" customFormat="false" ht="15" hidden="false" customHeight="true" outlineLevel="0" collapsed="false">
      <c r="A9" s="264" t="s">
        <v>512</v>
      </c>
      <c r="B9" s="266" t="n">
        <v>0.15</v>
      </c>
      <c r="C9" s="267" t="s">
        <v>57</v>
      </c>
      <c r="D9" s="264" t="s">
        <v>513</v>
      </c>
    </row>
    <row r="10" customFormat="false" ht="15" hidden="false" customHeight="true" outlineLevel="0" collapsed="false">
      <c r="A10" s="264" t="s">
        <v>514</v>
      </c>
      <c r="B10" s="266" t="n">
        <v>0.56</v>
      </c>
      <c r="C10" s="267" t="s">
        <v>515</v>
      </c>
      <c r="D10" s="264" t="s">
        <v>516</v>
      </c>
    </row>
    <row r="11" customFormat="false" ht="15" hidden="false" customHeight="true" outlineLevel="0" collapsed="false">
      <c r="A11" s="264" t="s">
        <v>517</v>
      </c>
      <c r="B11" s="266" t="n">
        <v>9</v>
      </c>
      <c r="C11" s="267" t="s">
        <v>57</v>
      </c>
      <c r="D11" s="264" t="s">
        <v>518</v>
      </c>
    </row>
    <row r="13" customFormat="false" ht="27.75" hidden="false" customHeight="true" outlineLevel="0" collapsed="false">
      <c r="A13" s="268" t="s">
        <v>519</v>
      </c>
    </row>
    <row r="14" customFormat="false" ht="14.9" hidden="false" customHeight="false" outlineLevel="0" collapsed="false">
      <c r="A14" s="265" t="s">
        <v>9</v>
      </c>
      <c r="B14" s="265" t="s">
        <v>501</v>
      </c>
      <c r="C14" s="265" t="s">
        <v>502</v>
      </c>
      <c r="D14" s="265" t="s">
        <v>503</v>
      </c>
    </row>
    <row r="15" customFormat="false" ht="27.75" hidden="false" customHeight="true" outlineLevel="0" collapsed="false">
      <c r="A15" s="264" t="s">
        <v>520</v>
      </c>
      <c r="B15" s="266" t="n">
        <v>0.1</v>
      </c>
      <c r="C15" s="267" t="s">
        <v>57</v>
      </c>
      <c r="D15" s="264" t="s">
        <v>521</v>
      </c>
    </row>
    <row r="16" customFormat="false" ht="14.9" hidden="false" customHeight="false" outlineLevel="0" collapsed="false">
      <c r="A16" s="264" t="s">
        <v>522</v>
      </c>
      <c r="B16" s="266" t="n">
        <v>1.2</v>
      </c>
      <c r="C16" s="267" t="s">
        <v>523</v>
      </c>
      <c r="D16" s="264" t="s">
        <v>524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9.453125" defaultRowHeight="13.5" zeroHeight="false" outlineLevelRow="0" outlineLevelCol="0"/>
  <cols>
    <col collapsed="false" customWidth="true" hidden="false" outlineLevel="0" max="2" min="1" style="262" width="16.36"/>
    <col collapsed="false" customWidth="false" hidden="false" outlineLevel="0" max="3" min="3" style="262" width="9.45"/>
    <col collapsed="false" customWidth="true" hidden="false" outlineLevel="0" max="4" min="4" style="262" width="19.64"/>
    <col collapsed="false" customWidth="false" hidden="false" outlineLevel="0" max="5" min="5" style="262" width="9.45"/>
    <col collapsed="false" customWidth="true" hidden="false" outlineLevel="0" max="6" min="6" style="262" width="30.54"/>
    <col collapsed="false" customWidth="false" hidden="false" outlineLevel="0" max="16384" min="7" style="262" width="9.45"/>
  </cols>
  <sheetData>
    <row r="1" customFormat="false" ht="18" hidden="false" customHeight="true" outlineLevel="0" collapsed="false">
      <c r="A1" s="269" t="s">
        <v>525</v>
      </c>
      <c r="B1" s="269"/>
      <c r="C1" s="269"/>
      <c r="D1" s="269"/>
      <c r="E1" s="269"/>
      <c r="F1" s="269"/>
    </row>
    <row r="3" customFormat="false" ht="13.5" hidden="false" customHeight="false" outlineLevel="0" collapsed="false">
      <c r="A3" s="270" t="s">
        <v>526</v>
      </c>
      <c r="B3" s="270" t="s">
        <v>527</v>
      </c>
      <c r="D3" s="270" t="s">
        <v>334</v>
      </c>
      <c r="F3" s="270" t="s">
        <v>528</v>
      </c>
    </row>
    <row r="4" customFormat="false" ht="14.9" hidden="false" customHeight="false" outlineLevel="0" collapsed="false">
      <c r="A4" s="271" t="s">
        <v>529</v>
      </c>
      <c r="B4" s="272" t="n">
        <v>0.222</v>
      </c>
      <c r="D4" s="273" t="s">
        <v>248</v>
      </c>
      <c r="F4" s="274" t="s">
        <v>530</v>
      </c>
    </row>
    <row r="5" customFormat="false" ht="14.9" hidden="false" customHeight="false" outlineLevel="0" collapsed="false">
      <c r="A5" s="271" t="s">
        <v>531</v>
      </c>
      <c r="B5" s="272" t="n">
        <v>0.395</v>
      </c>
      <c r="D5" s="273" t="s">
        <v>370</v>
      </c>
      <c r="F5" s="274" t="s">
        <v>532</v>
      </c>
    </row>
    <row r="6" customFormat="false" ht="13.5" hidden="false" customHeight="false" outlineLevel="0" collapsed="false">
      <c r="A6" s="271" t="s">
        <v>368</v>
      </c>
      <c r="B6" s="272" t="n">
        <v>0.56</v>
      </c>
    </row>
    <row r="7" customFormat="false" ht="13.5" hidden="false" customHeight="false" outlineLevel="0" collapsed="false">
      <c r="A7" s="271" t="s">
        <v>533</v>
      </c>
      <c r="B7" s="272" t="n">
        <v>0.888</v>
      </c>
    </row>
    <row r="8" customFormat="false" ht="13.5" hidden="false" customHeight="false" outlineLevel="0" collapsed="false">
      <c r="A8" s="271" t="s">
        <v>534</v>
      </c>
      <c r="B8" s="272" t="n">
        <v>0.994</v>
      </c>
    </row>
    <row r="9" customFormat="false" ht="13.5" hidden="false" customHeight="false" outlineLevel="0" collapsed="false">
      <c r="A9" s="271" t="s">
        <v>535</v>
      </c>
      <c r="B9" s="272" t="n">
        <v>1.552</v>
      </c>
    </row>
    <row r="10" customFormat="false" ht="13.5" hidden="false" customHeight="false" outlineLevel="0" collapsed="false">
      <c r="A10" s="271" t="s">
        <v>536</v>
      </c>
      <c r="B10" s="272" t="n">
        <v>2.235</v>
      </c>
    </row>
    <row r="11" customFormat="false" ht="13.5" hidden="false" customHeight="false" outlineLevel="0" collapsed="false">
      <c r="A11" s="271" t="s">
        <v>537</v>
      </c>
      <c r="B11" s="272" t="n">
        <v>3.973</v>
      </c>
    </row>
    <row r="13" customFormat="false" ht="13.5" hidden="false" customHeight="false" outlineLevel="0" collapsed="false">
      <c r="A13" s="275" t="s">
        <v>538</v>
      </c>
      <c r="B13" s="275"/>
      <c r="C13" s="275"/>
      <c r="D13" s="275"/>
      <c r="E13" s="275"/>
      <c r="F13" s="275"/>
    </row>
    <row r="14" customFormat="false" ht="14.9" hidden="false" customHeight="true" outlineLevel="0" collapsed="false">
      <c r="A14" s="276" t="s">
        <v>539</v>
      </c>
      <c r="B14" s="276"/>
      <c r="C14" s="276"/>
      <c r="D14" s="276"/>
      <c r="E14" s="276"/>
      <c r="F14" s="276"/>
    </row>
    <row r="15" customFormat="false" ht="14.9" hidden="false" customHeight="true" outlineLevel="0" collapsed="false">
      <c r="A15" s="276" t="s">
        <v>540</v>
      </c>
      <c r="B15" s="276"/>
      <c r="C15" s="276"/>
      <c r="D15" s="276"/>
      <c r="E15" s="276"/>
      <c r="F15" s="276"/>
    </row>
    <row r="16" customFormat="false" ht="14.9" hidden="false" customHeight="true" outlineLevel="0" collapsed="false">
      <c r="A16" s="276" t="s">
        <v>541</v>
      </c>
      <c r="B16" s="276"/>
      <c r="C16" s="276"/>
      <c r="D16" s="276"/>
      <c r="E16" s="276"/>
      <c r="F16" s="276"/>
    </row>
  </sheetData>
  <mergeCells count="5">
    <mergeCell ref="A1:F1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70"/>
  </cols>
  <sheetData>
    <row r="1" customFormat="false" ht="27" hidden="false" customHeight="true" outlineLevel="0" collapsed="false">
      <c r="A1" s="277" t="s">
        <v>542</v>
      </c>
      <c r="B1" s="277"/>
      <c r="C1" s="277"/>
      <c r="D1" s="277"/>
      <c r="E1" s="277"/>
      <c r="F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</row>
    <row r="7" customFormat="false" ht="48" hidden="false" customHeight="true" outlineLevel="0" collapsed="false">
      <c r="A7" s="281" t="s">
        <v>543</v>
      </c>
      <c r="B7" s="281"/>
      <c r="C7" s="281"/>
      <c r="D7" s="281"/>
      <c r="E7" s="281"/>
      <c r="F7" s="281"/>
    </row>
    <row r="9" customFormat="false" ht="30" hidden="false" customHeight="true" outlineLevel="0" collapsed="false">
      <c r="A9" s="282" t="s">
        <v>331</v>
      </c>
      <c r="B9" s="282" t="s">
        <v>544</v>
      </c>
      <c r="C9" s="282" t="s">
        <v>292</v>
      </c>
      <c r="D9" s="282" t="s">
        <v>151</v>
      </c>
      <c r="E9" s="282" t="s">
        <v>545</v>
      </c>
    </row>
    <row r="10" customFormat="false" ht="15" hidden="false" customHeight="true" outlineLevel="0" collapsed="false">
      <c r="A10" s="283" t="n">
        <v>1</v>
      </c>
      <c r="B10" s="149" t="s">
        <v>546</v>
      </c>
      <c r="C10" s="284" t="n">
        <v>0.8</v>
      </c>
      <c r="D10" s="285" t="s">
        <v>57</v>
      </c>
      <c r="E10" s="286" t="s">
        <v>547</v>
      </c>
    </row>
    <row r="11" customFormat="false" ht="15" hidden="false" customHeight="true" outlineLevel="0" collapsed="false">
      <c r="A11" s="283" t="n">
        <v>2</v>
      </c>
      <c r="B11" s="149" t="s">
        <v>548</v>
      </c>
      <c r="C11" s="284" t="n">
        <v>0.15</v>
      </c>
      <c r="D11" s="285" t="s">
        <v>57</v>
      </c>
      <c r="E11" s="286" t="s">
        <v>549</v>
      </c>
    </row>
    <row r="12" customFormat="false" ht="15" hidden="false" customHeight="true" outlineLevel="0" collapsed="false">
      <c r="A12" s="283" t="n">
        <v>3</v>
      </c>
      <c r="B12" s="149" t="s">
        <v>550</v>
      </c>
      <c r="C12" s="284" t="n">
        <v>0.15</v>
      </c>
      <c r="D12" s="285" t="s">
        <v>57</v>
      </c>
      <c r="E12" s="286" t="s">
        <v>551</v>
      </c>
    </row>
    <row r="13" customFormat="false" ht="15" hidden="false" customHeight="true" outlineLevel="0" collapsed="false">
      <c r="A13" s="283" t="n">
        <v>4</v>
      </c>
      <c r="B13" s="149" t="s">
        <v>552</v>
      </c>
      <c r="C13" s="284" t="n">
        <v>0.1</v>
      </c>
      <c r="D13" s="285" t="s">
        <v>57</v>
      </c>
      <c r="E13" s="286" t="s">
        <v>553</v>
      </c>
    </row>
    <row r="14" customFormat="false" ht="15" hidden="false" customHeight="true" outlineLevel="0" collapsed="false">
      <c r="A14" s="283" t="n">
        <v>5</v>
      </c>
      <c r="B14" s="149" t="s">
        <v>554</v>
      </c>
      <c r="C14" s="284" t="n">
        <v>0.25</v>
      </c>
      <c r="D14" s="285" t="s">
        <v>57</v>
      </c>
      <c r="E14" s="286" t="s">
        <v>555</v>
      </c>
    </row>
    <row r="15" customFormat="false" ht="15" hidden="false" customHeight="true" outlineLevel="0" collapsed="false">
      <c r="A15" s="283" t="n">
        <v>6</v>
      </c>
      <c r="B15" s="149" t="s">
        <v>556</v>
      </c>
      <c r="C15" s="284" t="n">
        <v>0.05</v>
      </c>
      <c r="D15" s="285" t="s">
        <v>57</v>
      </c>
      <c r="E15" s="286" t="s">
        <v>557</v>
      </c>
    </row>
    <row r="16" customFormat="false" ht="15" hidden="false" customHeight="true" outlineLevel="0" collapsed="false">
      <c r="A16" s="283" t="n">
        <v>7</v>
      </c>
      <c r="B16" s="149" t="s">
        <v>558</v>
      </c>
      <c r="C16" s="284" t="n">
        <v>260.6</v>
      </c>
      <c r="D16" s="285" t="s">
        <v>559</v>
      </c>
      <c r="E16" s="286" t="s">
        <v>560</v>
      </c>
    </row>
    <row r="17" customFormat="false" ht="15" hidden="false" customHeight="true" outlineLevel="0" collapsed="false">
      <c r="A17" s="283" t="n">
        <v>8</v>
      </c>
      <c r="B17" s="149" t="s">
        <v>561</v>
      </c>
      <c r="C17" s="284" t="n">
        <v>0.25</v>
      </c>
      <c r="D17" s="285" t="s">
        <v>57</v>
      </c>
      <c r="E17" s="286" t="s">
        <v>562</v>
      </c>
    </row>
    <row r="18" customFormat="false" ht="15" hidden="false" customHeight="true" outlineLevel="0" collapsed="false">
      <c r="A18" s="283" t="n">
        <v>9</v>
      </c>
      <c r="B18" s="149" t="s">
        <v>563</v>
      </c>
      <c r="C18" s="284" t="n">
        <v>1</v>
      </c>
      <c r="D18" s="285" t="s">
        <v>57</v>
      </c>
      <c r="E18" s="286" t="s">
        <v>564</v>
      </c>
    </row>
    <row r="19" customFormat="false" ht="15" hidden="false" customHeight="true" outlineLevel="0" collapsed="false">
      <c r="A19" s="283" t="n">
        <v>10</v>
      </c>
      <c r="B19" s="149" t="s">
        <v>565</v>
      </c>
      <c r="C19" s="284" t="n">
        <v>0.04</v>
      </c>
      <c r="D19" s="285" t="s">
        <v>57</v>
      </c>
      <c r="E19" s="286" t="s">
        <v>566</v>
      </c>
    </row>
    <row r="20" customFormat="false" ht="15" hidden="false" customHeight="true" outlineLevel="0" collapsed="false">
      <c r="A20" s="283" t="n">
        <v>11</v>
      </c>
      <c r="B20" s="149" t="s">
        <v>567</v>
      </c>
      <c r="C20" s="284" t="n">
        <v>0.56</v>
      </c>
      <c r="D20" s="285" t="s">
        <v>515</v>
      </c>
      <c r="E20" s="286" t="s">
        <v>568</v>
      </c>
    </row>
    <row r="21" customFormat="false" ht="15" hidden="false" customHeight="true" outlineLevel="0" collapsed="false">
      <c r="A21" s="283" t="n">
        <v>12</v>
      </c>
      <c r="B21" s="149" t="s">
        <v>569</v>
      </c>
      <c r="C21" s="284" t="n">
        <v>0.994</v>
      </c>
      <c r="D21" s="285" t="s">
        <v>515</v>
      </c>
      <c r="E21" s="286" t="s">
        <v>570</v>
      </c>
    </row>
    <row r="22" customFormat="false" ht="15" hidden="false" customHeight="true" outlineLevel="0" collapsed="false">
      <c r="A22" s="283" t="n">
        <v>13</v>
      </c>
      <c r="B22" s="149" t="s">
        <v>571</v>
      </c>
      <c r="C22" s="284" t="n">
        <v>0.4</v>
      </c>
      <c r="D22" s="285" t="s">
        <v>57</v>
      </c>
      <c r="E22" s="286" t="s">
        <v>572</v>
      </c>
    </row>
    <row r="23" customFormat="false" ht="15" hidden="false" customHeight="true" outlineLevel="0" collapsed="false">
      <c r="A23" s="283" t="n">
        <v>14</v>
      </c>
      <c r="B23" s="149" t="s">
        <v>573</v>
      </c>
      <c r="C23" s="284" t="n">
        <v>9</v>
      </c>
      <c r="D23" s="285" t="s">
        <v>57</v>
      </c>
      <c r="E23" s="286" t="s">
        <v>574</v>
      </c>
    </row>
    <row r="24" customFormat="false" ht="15" hidden="false" customHeight="true" outlineLevel="0" collapsed="false">
      <c r="A24" s="283" t="n">
        <v>15</v>
      </c>
      <c r="B24" s="149" t="s">
        <v>575</v>
      </c>
      <c r="C24" s="284" t="n">
        <v>0.3</v>
      </c>
      <c r="D24" s="285" t="s">
        <v>57</v>
      </c>
      <c r="E24" s="286" t="s">
        <v>576</v>
      </c>
    </row>
    <row r="25" customFormat="false" ht="15" hidden="false" customHeight="true" outlineLevel="0" collapsed="false">
      <c r="A25" s="283" t="n">
        <v>16</v>
      </c>
      <c r="B25" s="149" t="s">
        <v>522</v>
      </c>
      <c r="C25" s="287" t="n">
        <f aca="false">PARAMETROS!$B$16</f>
        <v>1.2</v>
      </c>
      <c r="D25" s="285" t="s">
        <v>523</v>
      </c>
      <c r="E25" s="286" t="s">
        <v>577</v>
      </c>
    </row>
    <row r="26" customFormat="false" ht="15" hidden="false" customHeight="true" outlineLevel="0" collapsed="false">
      <c r="A26" s="283" t="n">
        <v>17</v>
      </c>
      <c r="B26" s="149" t="s">
        <v>578</v>
      </c>
      <c r="C26" s="284" t="n">
        <v>0.2</v>
      </c>
      <c r="D26" s="285" t="s">
        <v>57</v>
      </c>
      <c r="E26" s="286" t="s">
        <v>579</v>
      </c>
    </row>
    <row r="27" customFormat="false" ht="15" hidden="false" customHeight="true" outlineLevel="0" collapsed="false">
      <c r="A27" s="283" t="n">
        <v>18</v>
      </c>
      <c r="B27" s="149" t="s">
        <v>580</v>
      </c>
      <c r="C27" s="284" t="n">
        <v>0.15</v>
      </c>
      <c r="D27" s="285" t="s">
        <v>57</v>
      </c>
      <c r="E27" s="286" t="s">
        <v>581</v>
      </c>
    </row>
    <row r="28" customFormat="false" ht="15" hidden="false" customHeight="true" outlineLevel="0" collapsed="false">
      <c r="A28" s="283" t="n">
        <v>19</v>
      </c>
      <c r="B28" s="149" t="s">
        <v>582</v>
      </c>
      <c r="C28" s="284" t="n">
        <v>0.25</v>
      </c>
      <c r="D28" s="285" t="s">
        <v>57</v>
      </c>
      <c r="E28" s="286" t="s">
        <v>583</v>
      </c>
    </row>
    <row r="29" customFormat="false" ht="15" hidden="false" customHeight="true" outlineLevel="0" collapsed="false">
      <c r="A29" s="283" t="n">
        <v>20</v>
      </c>
      <c r="B29" s="149" t="s">
        <v>584</v>
      </c>
      <c r="C29" s="284" t="n">
        <v>0.2</v>
      </c>
      <c r="D29" s="285" t="s">
        <v>57</v>
      </c>
      <c r="E29" s="286" t="s">
        <v>585</v>
      </c>
    </row>
    <row r="30" customFormat="false" ht="15" hidden="false" customHeight="true" outlineLevel="0" collapsed="false">
      <c r="A30" s="283" t="n">
        <v>21</v>
      </c>
      <c r="B30" s="149" t="s">
        <v>586</v>
      </c>
      <c r="C30" s="284" t="n">
        <v>0.2</v>
      </c>
      <c r="D30" s="285" t="s">
        <v>57</v>
      </c>
      <c r="E30" s="286" t="s">
        <v>587</v>
      </c>
    </row>
    <row r="31" customFormat="false" ht="15" hidden="false" customHeight="true" outlineLevel="0" collapsed="false">
      <c r="A31" s="283" t="n">
        <v>22</v>
      </c>
      <c r="B31" s="149" t="s">
        <v>588</v>
      </c>
      <c r="C31" s="284" t="n">
        <v>1.1</v>
      </c>
      <c r="D31" s="285" t="s">
        <v>523</v>
      </c>
      <c r="E31" s="286" t="s">
        <v>589</v>
      </c>
    </row>
    <row r="32" customFormat="false" ht="27.75" hidden="false" customHeight="true" outlineLevel="0" collapsed="false">
      <c r="A32" s="283" t="n">
        <v>23</v>
      </c>
      <c r="B32" s="149" t="s">
        <v>590</v>
      </c>
      <c r="C32" s="284" t="n">
        <v>10</v>
      </c>
      <c r="D32" s="285" t="s">
        <v>60</v>
      </c>
      <c r="E32" s="286" t="s">
        <v>591</v>
      </c>
    </row>
    <row r="33" customFormat="false" ht="15" hidden="false" customHeight="true" outlineLevel="0" collapsed="false">
      <c r="A33" s="283" t="n">
        <v>24</v>
      </c>
      <c r="B33" s="149" t="s">
        <v>592</v>
      </c>
      <c r="C33" s="284" t="n">
        <v>0.68</v>
      </c>
      <c r="D33" s="285" t="s">
        <v>57</v>
      </c>
      <c r="E33" s="286" t="s">
        <v>593</v>
      </c>
    </row>
    <row r="34" customFormat="false" ht="15" hidden="false" customHeight="true" outlineLevel="0" collapsed="false">
      <c r="A34" s="283" t="n">
        <v>25</v>
      </c>
      <c r="B34" s="149" t="s">
        <v>594</v>
      </c>
      <c r="C34" s="284" t="n">
        <v>0.08</v>
      </c>
      <c r="D34" s="285" t="s">
        <v>57</v>
      </c>
      <c r="E34" s="286" t="s">
        <v>593</v>
      </c>
    </row>
    <row r="35" customFormat="false" ht="15" hidden="false" customHeight="true" outlineLevel="0" collapsed="false">
      <c r="A35" s="283" t="n">
        <v>26</v>
      </c>
      <c r="B35" s="149" t="s">
        <v>595</v>
      </c>
      <c r="C35" s="284" t="n">
        <v>0.7</v>
      </c>
      <c r="D35" s="285" t="s">
        <v>57</v>
      </c>
      <c r="E35" s="286" t="s">
        <v>593</v>
      </c>
    </row>
    <row r="36" customFormat="false" ht="15" hidden="false" customHeight="true" outlineLevel="0" collapsed="false">
      <c r="A36" s="283" t="n">
        <v>27</v>
      </c>
      <c r="B36" s="149" t="s">
        <v>1184</v>
      </c>
      <c r="C36" s="284" t="n">
        <v>2.8</v>
      </c>
      <c r="D36" s="285" t="s">
        <v>57</v>
      </c>
      <c r="E36" s="286" t="s">
        <v>593</v>
      </c>
    </row>
    <row r="37" customFormat="false" ht="15" hidden="false" customHeight="true" outlineLevel="0" collapsed="false">
      <c r="A37" s="283" t="n">
        <v>28</v>
      </c>
      <c r="B37" s="149" t="s">
        <v>597</v>
      </c>
      <c r="C37" s="284" t="n">
        <v>2.72</v>
      </c>
      <c r="D37" s="285" t="s">
        <v>57</v>
      </c>
      <c r="E37" s="286" t="s">
        <v>593</v>
      </c>
    </row>
    <row r="38" customFormat="false" ht="15" hidden="false" customHeight="true" outlineLevel="0" collapsed="false">
      <c r="A38" s="283" t="n">
        <v>29</v>
      </c>
      <c r="B38" s="149" t="s">
        <v>1185</v>
      </c>
      <c r="C38" s="284" t="n">
        <v>1.83</v>
      </c>
      <c r="D38" s="285" t="s">
        <v>515</v>
      </c>
      <c r="E38" s="286" t="s">
        <v>599</v>
      </c>
    </row>
    <row r="39" customFormat="false" ht="15" hidden="false" customHeight="true" outlineLevel="0" collapsed="false">
      <c r="A39" s="283" t="n">
        <v>30</v>
      </c>
      <c r="B39" s="149" t="s">
        <v>1186</v>
      </c>
      <c r="C39" s="284" t="n">
        <v>1.83</v>
      </c>
      <c r="D39" s="285" t="s">
        <v>515</v>
      </c>
      <c r="E39" s="286" t="s">
        <v>599</v>
      </c>
    </row>
    <row r="40" customFormat="false" ht="15" hidden="false" customHeight="true" outlineLevel="0" collapsed="false">
      <c r="A40" s="283" t="n">
        <v>31</v>
      </c>
      <c r="B40" s="149" t="s">
        <v>1187</v>
      </c>
      <c r="C40" s="284" t="n">
        <v>0.152</v>
      </c>
      <c r="D40" s="285" t="s">
        <v>602</v>
      </c>
      <c r="E40" s="286" t="s">
        <v>605</v>
      </c>
    </row>
    <row r="41" customFormat="false" ht="15" hidden="false" customHeight="true" outlineLevel="0" collapsed="false">
      <c r="A41" s="283" t="n">
        <v>32</v>
      </c>
      <c r="B41" s="149" t="s">
        <v>1188</v>
      </c>
      <c r="C41" s="284" t="n">
        <v>0.152</v>
      </c>
      <c r="D41" s="285" t="s">
        <v>602</v>
      </c>
      <c r="E41" s="286" t="s">
        <v>605</v>
      </c>
    </row>
    <row r="42" customFormat="false" ht="15" hidden="false" customHeight="true" outlineLevel="0" collapsed="false">
      <c r="A42" s="283" t="n">
        <v>33</v>
      </c>
      <c r="B42" s="149" t="s">
        <v>606</v>
      </c>
      <c r="C42" s="284" t="n">
        <v>3</v>
      </c>
      <c r="D42" s="285" t="s">
        <v>57</v>
      </c>
      <c r="E42" s="286" t="s">
        <v>607</v>
      </c>
    </row>
    <row r="43" customFormat="false" ht="15" hidden="false" customHeight="true" outlineLevel="0" collapsed="false">
      <c r="A43" s="283" t="n">
        <v>34</v>
      </c>
      <c r="B43" s="149" t="s">
        <v>608</v>
      </c>
      <c r="C43" s="284" t="n">
        <v>0.015</v>
      </c>
      <c r="D43" s="285" t="s">
        <v>168</v>
      </c>
      <c r="E43" s="286" t="s">
        <v>593</v>
      </c>
    </row>
    <row r="44" customFormat="false" ht="15" hidden="false" customHeight="true" outlineLevel="0" collapsed="false">
      <c r="A44" s="283" t="n">
        <v>35</v>
      </c>
      <c r="B44" s="149" t="s">
        <v>609</v>
      </c>
      <c r="C44" s="284" t="n">
        <v>1.5</v>
      </c>
      <c r="D44" s="285" t="s">
        <v>57</v>
      </c>
      <c r="E44" s="286" t="s">
        <v>587</v>
      </c>
    </row>
    <row r="45" customFormat="false" ht="15" hidden="false" customHeight="true" outlineLevel="0" collapsed="false">
      <c r="A45" s="283" t="n">
        <v>36</v>
      </c>
      <c r="B45" s="149" t="s">
        <v>610</v>
      </c>
      <c r="C45" s="284" t="n">
        <v>1</v>
      </c>
      <c r="D45" s="285" t="s">
        <v>57</v>
      </c>
      <c r="E45" s="286" t="s">
        <v>587</v>
      </c>
    </row>
    <row r="46" customFormat="false" ht="15" hidden="false" customHeight="true" outlineLevel="0" collapsed="false">
      <c r="A46" s="283" t="n">
        <v>37</v>
      </c>
      <c r="B46" s="149" t="s">
        <v>611</v>
      </c>
      <c r="C46" s="284" t="n">
        <v>0.3</v>
      </c>
      <c r="D46" s="285" t="s">
        <v>57</v>
      </c>
      <c r="E46" s="286" t="s">
        <v>587</v>
      </c>
    </row>
    <row r="47" customFormat="false" ht="15" hidden="false" customHeight="true" outlineLevel="0" collapsed="false">
      <c r="A47" s="283" t="n">
        <v>38</v>
      </c>
      <c r="B47" s="149" t="s">
        <v>612</v>
      </c>
      <c r="C47" s="284" t="n">
        <v>259.1</v>
      </c>
      <c r="D47" s="285" t="s">
        <v>559</v>
      </c>
      <c r="E47" s="286" t="s">
        <v>613</v>
      </c>
    </row>
    <row r="48" customFormat="false" ht="30.75" hidden="false" customHeight="true" outlineLevel="0" collapsed="false">
      <c r="A48" s="283" t="n">
        <v>39</v>
      </c>
      <c r="B48" s="149" t="s">
        <v>614</v>
      </c>
      <c r="C48" s="284" t="n">
        <v>0.6</v>
      </c>
      <c r="D48" s="285" t="s">
        <v>57</v>
      </c>
      <c r="E48" s="286" t="s">
        <v>615</v>
      </c>
    </row>
    <row r="49" customFormat="false" ht="30.75" hidden="false" customHeight="true" outlineLevel="0" collapsed="false">
      <c r="A49" s="283" t="n">
        <v>40</v>
      </c>
      <c r="B49" s="149" t="s">
        <v>616</v>
      </c>
      <c r="C49" s="284" t="n">
        <v>259.884</v>
      </c>
      <c r="D49" s="285" t="s">
        <v>559</v>
      </c>
      <c r="E49" s="286" t="s">
        <v>617</v>
      </c>
    </row>
    <row r="50" customFormat="false" ht="27.75" hidden="false" customHeight="true" outlineLevel="0" collapsed="false">
      <c r="A50" s="283" t="n">
        <v>41</v>
      </c>
      <c r="B50" s="149" t="s">
        <v>618</v>
      </c>
      <c r="C50" s="284" t="n">
        <v>261.15</v>
      </c>
      <c r="D50" s="285" t="s">
        <v>559</v>
      </c>
      <c r="E50" s="286" t="s">
        <v>619</v>
      </c>
    </row>
    <row r="51" customFormat="false" ht="30.75" hidden="false" customHeight="true" outlineLevel="0" collapsed="false">
      <c r="A51" s="283" t="n">
        <v>42</v>
      </c>
      <c r="B51" s="149" t="s">
        <v>620</v>
      </c>
      <c r="C51" s="284" t="n">
        <v>0.4</v>
      </c>
      <c r="D51" s="285" t="s">
        <v>57</v>
      </c>
      <c r="E51" s="286" t="s">
        <v>621</v>
      </c>
    </row>
    <row r="52" customFormat="false" ht="15" hidden="false" customHeight="true" outlineLevel="0" collapsed="false">
      <c r="A52" s="283" t="n">
        <v>43</v>
      </c>
      <c r="B52" s="149" t="s">
        <v>622</v>
      </c>
      <c r="C52" s="284" t="n">
        <v>260.394</v>
      </c>
      <c r="D52" s="285" t="s">
        <v>559</v>
      </c>
      <c r="E52" s="286" t="s">
        <v>621</v>
      </c>
    </row>
    <row r="53" customFormat="false" ht="15" hidden="false" customHeight="true" outlineLevel="0" collapsed="false">
      <c r="A53" s="283" t="n">
        <v>44</v>
      </c>
      <c r="B53" s="149" t="s">
        <v>623</v>
      </c>
      <c r="C53" s="284" t="n">
        <v>3.5</v>
      </c>
      <c r="D53" s="285" t="s">
        <v>57</v>
      </c>
      <c r="E53" s="286" t="s">
        <v>587</v>
      </c>
    </row>
    <row r="54" customFormat="false" ht="15" hidden="false" customHeight="true" outlineLevel="0" collapsed="false">
      <c r="A54" s="283" t="n">
        <v>45</v>
      </c>
      <c r="B54" s="149" t="s">
        <v>624</v>
      </c>
      <c r="C54" s="284" t="n">
        <v>1.5</v>
      </c>
      <c r="D54" s="285" t="s">
        <v>57</v>
      </c>
      <c r="E54" s="286" t="s">
        <v>587</v>
      </c>
    </row>
    <row r="55" customFormat="false" ht="15" hidden="false" customHeight="true" outlineLevel="0" collapsed="false">
      <c r="A55" s="283" t="n">
        <v>46</v>
      </c>
      <c r="B55" s="149" t="s">
        <v>625</v>
      </c>
      <c r="C55" s="284" t="n">
        <v>0.4</v>
      </c>
      <c r="D55" s="285" t="s">
        <v>57</v>
      </c>
      <c r="E55" s="286" t="s">
        <v>587</v>
      </c>
    </row>
    <row r="56" customFormat="false" ht="15" hidden="false" customHeight="true" outlineLevel="0" collapsed="false">
      <c r="A56" s="283" t="n">
        <v>47</v>
      </c>
      <c r="B56" s="149" t="s">
        <v>626</v>
      </c>
      <c r="C56" s="284" t="n">
        <v>258.72</v>
      </c>
      <c r="D56" s="285" t="s">
        <v>559</v>
      </c>
      <c r="E56" s="286" t="s">
        <v>627</v>
      </c>
    </row>
    <row r="57" customFormat="false" ht="15" hidden="false" customHeight="true" outlineLevel="0" collapsed="false">
      <c r="A57" s="283" t="n">
        <v>48</v>
      </c>
      <c r="B57" s="149" t="s">
        <v>628</v>
      </c>
      <c r="C57" s="284" t="n">
        <v>259.062</v>
      </c>
      <c r="D57" s="285" t="s">
        <v>559</v>
      </c>
      <c r="E57" s="286" t="s">
        <v>627</v>
      </c>
    </row>
    <row r="58" customFormat="false" ht="15" hidden="false" customHeight="true" outlineLevel="0" collapsed="false">
      <c r="A58" s="283" t="n">
        <v>49</v>
      </c>
      <c r="B58" s="149" t="s">
        <v>629</v>
      </c>
      <c r="C58" s="284" t="n">
        <v>258.89</v>
      </c>
      <c r="D58" s="285" t="s">
        <v>559</v>
      </c>
      <c r="E58" s="286" t="s">
        <v>613</v>
      </c>
    </row>
    <row r="59" customFormat="false" ht="15" hidden="false" customHeight="true" outlineLevel="0" collapsed="false">
      <c r="A59" s="283" t="n">
        <v>50</v>
      </c>
      <c r="B59" s="149" t="s">
        <v>630</v>
      </c>
      <c r="C59" s="284" t="n">
        <v>1.5</v>
      </c>
      <c r="D59" s="285" t="s">
        <v>57</v>
      </c>
      <c r="E59" s="286" t="s">
        <v>631</v>
      </c>
    </row>
    <row r="60" customFormat="false" ht="15" hidden="false" customHeight="true" outlineLevel="0" collapsed="false">
      <c r="A60" s="283" t="n">
        <v>51</v>
      </c>
      <c r="B60" s="149" t="s">
        <v>632</v>
      </c>
      <c r="C60" s="284" t="n">
        <v>0.25</v>
      </c>
      <c r="D60" s="285" t="s">
        <v>57</v>
      </c>
      <c r="E60" s="286" t="s">
        <v>587</v>
      </c>
    </row>
    <row r="61" customFormat="false" ht="15" hidden="false" customHeight="true" outlineLevel="0" collapsed="false">
      <c r="A61" s="283" t="n">
        <v>52</v>
      </c>
      <c r="B61" s="149" t="s">
        <v>633</v>
      </c>
      <c r="C61" s="284" t="n">
        <v>0.4</v>
      </c>
      <c r="D61" s="285" t="s">
        <v>57</v>
      </c>
      <c r="E61" s="286" t="s">
        <v>587</v>
      </c>
    </row>
    <row r="62" customFormat="false" ht="15" hidden="false" customHeight="true" outlineLevel="0" collapsed="false">
      <c r="A62" s="283" t="n">
        <v>53</v>
      </c>
      <c r="B62" s="149" t="s">
        <v>634</v>
      </c>
      <c r="C62" s="284" t="n">
        <v>4</v>
      </c>
      <c r="D62" s="285" t="s">
        <v>57</v>
      </c>
      <c r="E62" s="286" t="s">
        <v>635</v>
      </c>
    </row>
    <row r="63" customFormat="false" ht="15" hidden="false" customHeight="true" outlineLevel="0" collapsed="false">
      <c r="A63" s="283" t="n">
        <v>54</v>
      </c>
      <c r="B63" s="149" t="s">
        <v>636</v>
      </c>
      <c r="C63" s="284" t="n">
        <v>1.61</v>
      </c>
      <c r="D63" s="285" t="s">
        <v>57</v>
      </c>
      <c r="E63" s="286" t="s">
        <v>637</v>
      </c>
    </row>
    <row r="64" customFormat="false" ht="15" hidden="false" customHeight="true" outlineLevel="0" collapsed="false">
      <c r="A64" s="283" t="n">
        <v>55</v>
      </c>
      <c r="B64" s="149" t="s">
        <v>638</v>
      </c>
      <c r="C64" s="284" t="n">
        <v>69.887</v>
      </c>
      <c r="D64" s="285" t="s">
        <v>57</v>
      </c>
      <c r="E64" s="286" t="s">
        <v>639</v>
      </c>
    </row>
    <row r="65" customFormat="false" ht="15" hidden="false" customHeight="true" outlineLevel="0" collapsed="false">
      <c r="A65" s="283" t="n">
        <v>56</v>
      </c>
      <c r="B65" s="149" t="s">
        <v>640</v>
      </c>
      <c r="C65" s="284" t="n">
        <v>58.805</v>
      </c>
      <c r="D65" s="285" t="s">
        <v>57</v>
      </c>
      <c r="E65" s="286" t="s">
        <v>639</v>
      </c>
    </row>
  </sheetData>
  <mergeCells count="10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7" min="3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7" min="13" style="0" width="12"/>
    <col collapsed="false" customWidth="true" hidden="false" outlineLevel="0" max="18" min="18" style="0" width="46"/>
  </cols>
  <sheetData>
    <row r="1" customFormat="false" ht="27" hidden="false" customHeight="true" outlineLevel="0" collapsed="false">
      <c r="A1" s="277" t="s">
        <v>641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</row>
    <row r="7" customFormat="false" ht="48" hidden="false" customHeight="true" outlineLevel="0" collapsed="false">
      <c r="A7" s="281" t="s">
        <v>642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</row>
    <row r="9" customFormat="false" ht="48" hidden="false" customHeight="true" outlineLevel="0" collapsed="false">
      <c r="A9" s="282" t="s">
        <v>331</v>
      </c>
      <c r="B9" s="282" t="s">
        <v>333</v>
      </c>
      <c r="C9" s="282" t="s">
        <v>643</v>
      </c>
      <c r="D9" s="282" t="s">
        <v>644</v>
      </c>
      <c r="E9" s="282" t="s">
        <v>645</v>
      </c>
      <c r="F9" s="282" t="s">
        <v>287</v>
      </c>
      <c r="G9" s="282" t="s">
        <v>646</v>
      </c>
      <c r="H9" s="282" t="s">
        <v>647</v>
      </c>
      <c r="I9" s="282" t="s">
        <v>648</v>
      </c>
      <c r="J9" s="282" t="s">
        <v>649</v>
      </c>
      <c r="K9" s="282" t="s">
        <v>650</v>
      </c>
      <c r="L9" s="282" t="s">
        <v>651</v>
      </c>
      <c r="M9" s="282" t="s">
        <v>652</v>
      </c>
      <c r="N9" s="282" t="s">
        <v>653</v>
      </c>
      <c r="O9" s="282" t="s">
        <v>654</v>
      </c>
      <c r="P9" s="282" t="s">
        <v>655</v>
      </c>
      <c r="Q9" s="282" t="s">
        <v>656</v>
      </c>
      <c r="R9" s="282" t="s">
        <v>657</v>
      </c>
    </row>
    <row r="10" customFormat="false" ht="30" hidden="false" customHeight="true" outlineLevel="0" collapsed="false">
      <c r="A10" s="283" t="n">
        <v>1</v>
      </c>
      <c r="B10" s="283" t="s">
        <v>658</v>
      </c>
      <c r="C10" s="288" t="s">
        <v>250</v>
      </c>
      <c r="D10" s="283" t="s">
        <v>659</v>
      </c>
      <c r="E10" s="283" t="s">
        <v>660</v>
      </c>
      <c r="F10" s="289" t="n">
        <v>26.32</v>
      </c>
      <c r="G10" s="284" t="n">
        <v>1.439</v>
      </c>
      <c r="H10" s="289" t="n">
        <v>0.1</v>
      </c>
      <c r="I10" s="290" t="n">
        <f aca="false">'COLECTOR PARAMETROS'!$C$10+2*'COLECTOR PARAMETROS'!$C$11</f>
        <v>1.1</v>
      </c>
      <c r="J10" s="290" t="n">
        <f aca="false">I10+2*'COLECTOR PARAMETROS'!$C$17</f>
        <v>1.6</v>
      </c>
      <c r="K10" s="284" t="n">
        <v>1.395</v>
      </c>
      <c r="L10" s="284" t="n">
        <v>0.345</v>
      </c>
      <c r="M10" s="290" t="n">
        <f aca="false">J10*F10</f>
        <v>42.112</v>
      </c>
      <c r="N10" s="290" t="n">
        <f aca="false">J10*K10*F10</f>
        <v>58.74624</v>
      </c>
      <c r="O10" s="290" t="n">
        <f aca="false">(I10+0.1)*F10</f>
        <v>31.584</v>
      </c>
      <c r="P10" s="290" t="n">
        <f aca="false">2*'COLECTOR PARAMETROS'!$C$17*K10*F10</f>
        <v>18.3582</v>
      </c>
      <c r="Q10" s="290" t="n">
        <f aca="false">'COLECTOR PARAMETROS'!$C$18*L10*F10</f>
        <v>9.0804</v>
      </c>
      <c r="R10" s="286" t="s">
        <v>661</v>
      </c>
    </row>
    <row r="11" customFormat="false" ht="30" hidden="false" customHeight="true" outlineLevel="0" collapsed="false">
      <c r="A11" s="283" t="n">
        <v>2</v>
      </c>
      <c r="B11" s="283" t="s">
        <v>662</v>
      </c>
      <c r="C11" s="288" t="s">
        <v>663</v>
      </c>
      <c r="D11" s="283" t="s">
        <v>660</v>
      </c>
      <c r="E11" s="283" t="s">
        <v>664</v>
      </c>
      <c r="F11" s="289" t="n">
        <v>5.01</v>
      </c>
      <c r="G11" s="284" t="n">
        <v>1.336</v>
      </c>
      <c r="H11" s="289" t="n">
        <v>0.25</v>
      </c>
      <c r="I11" s="290" t="n">
        <f aca="false">'COLECTOR PARAMETROS'!$C$10+2*'COLECTOR PARAMETROS'!$C$11</f>
        <v>1.1</v>
      </c>
      <c r="J11" s="290" t="n">
        <f aca="false">I11+2*'COLECTOR PARAMETROS'!$C$17</f>
        <v>1.6</v>
      </c>
      <c r="K11" s="284" t="n">
        <v>1.274</v>
      </c>
      <c r="L11" s="284" t="n">
        <v>0.513</v>
      </c>
      <c r="M11" s="290" t="n">
        <f aca="false">J11*F11</f>
        <v>8.016</v>
      </c>
      <c r="N11" s="290" t="n">
        <f aca="false">J11*K11*F11</f>
        <v>10.212384</v>
      </c>
      <c r="O11" s="290" t="n">
        <f aca="false">(I11+0.1)*F11</f>
        <v>6.012</v>
      </c>
      <c r="P11" s="290" t="n">
        <f aca="false">2*'COLECTOR PARAMETROS'!$C$17*K11*F11</f>
        <v>3.19137</v>
      </c>
      <c r="Q11" s="290" t="n">
        <f aca="false">'COLECTOR PARAMETROS'!$C$18*L11*F11</f>
        <v>2.57013</v>
      </c>
      <c r="R11" s="286" t="s">
        <v>661</v>
      </c>
    </row>
    <row r="12" customFormat="false" ht="30" hidden="false" customHeight="true" outlineLevel="0" collapsed="false">
      <c r="A12" s="283" t="n">
        <v>3</v>
      </c>
      <c r="B12" s="283" t="s">
        <v>658</v>
      </c>
      <c r="C12" s="288" t="s">
        <v>250</v>
      </c>
      <c r="D12" s="283" t="s">
        <v>664</v>
      </c>
      <c r="E12" s="283" t="s">
        <v>665</v>
      </c>
      <c r="F12" s="289" t="n">
        <v>7.71</v>
      </c>
      <c r="G12" s="284" t="n">
        <v>1.506</v>
      </c>
      <c r="H12" s="289" t="n">
        <v>0.1</v>
      </c>
      <c r="I12" s="290" t="n">
        <f aca="false">'COLECTOR PARAMETROS'!$C$10+2*'COLECTOR PARAMETROS'!$C$11</f>
        <v>1.1</v>
      </c>
      <c r="J12" s="290" t="n">
        <f aca="false">I12+2*'COLECTOR PARAMETROS'!$C$17</f>
        <v>1.6</v>
      </c>
      <c r="K12" s="284" t="n">
        <v>1.368</v>
      </c>
      <c r="L12" s="284" t="n">
        <v>0.437</v>
      </c>
      <c r="M12" s="290" t="n">
        <f aca="false">J12*F12</f>
        <v>12.336</v>
      </c>
      <c r="N12" s="290" t="n">
        <f aca="false">J12*K12*F12</f>
        <v>16.875648</v>
      </c>
      <c r="O12" s="290" t="n">
        <f aca="false">(I12+0.1)*F12</f>
        <v>9.252</v>
      </c>
      <c r="P12" s="290" t="n">
        <f aca="false">2*'COLECTOR PARAMETROS'!$C$17*K12*F12</f>
        <v>5.27364</v>
      </c>
      <c r="Q12" s="290" t="n">
        <f aca="false">'COLECTOR PARAMETROS'!$C$18*L12*F12</f>
        <v>3.36927</v>
      </c>
      <c r="R12" s="286" t="s">
        <v>661</v>
      </c>
    </row>
    <row r="13" customFormat="false" ht="30" hidden="false" customHeight="true" outlineLevel="0" collapsed="false">
      <c r="A13" s="283" t="n">
        <v>4</v>
      </c>
      <c r="B13" s="283" t="s">
        <v>666</v>
      </c>
      <c r="C13" s="288" t="s">
        <v>667</v>
      </c>
      <c r="D13" s="283" t="s">
        <v>665</v>
      </c>
      <c r="E13" s="283" t="s">
        <v>668</v>
      </c>
      <c r="F13" s="289" t="n">
        <v>2</v>
      </c>
      <c r="G13" s="284" t="n">
        <v>1.52</v>
      </c>
      <c r="H13" s="289" t="n">
        <v>0.1</v>
      </c>
      <c r="I13" s="290" t="n">
        <f aca="false">'COLECTOR PARAMETROS'!$C$10+2*'COLECTOR PARAMETROS'!$C$11</f>
        <v>1.1</v>
      </c>
      <c r="J13" s="290" t="n">
        <f aca="false">I13+2*'COLECTOR PARAMETROS'!$C$17</f>
        <v>1.6</v>
      </c>
      <c r="K13" s="284" t="n">
        <v>1.605</v>
      </c>
      <c r="L13" s="284" t="n">
        <v>0.215</v>
      </c>
      <c r="M13" s="290" t="n">
        <f aca="false">J13*F13</f>
        <v>3.2</v>
      </c>
      <c r="N13" s="290" t="n">
        <f aca="false">J13*K13*F13</f>
        <v>5.136</v>
      </c>
      <c r="O13" s="290" t="n">
        <f aca="false">(I13+0.1)*F13</f>
        <v>2.4</v>
      </c>
      <c r="P13" s="290" t="n">
        <f aca="false">2*'COLECTOR PARAMETROS'!$C$17*K13*F13</f>
        <v>1.605</v>
      </c>
      <c r="Q13" s="290" t="n">
        <f aca="false">'COLECTOR PARAMETROS'!$C$18*L13*F13</f>
        <v>0.43</v>
      </c>
      <c r="R13" s="286" t="s">
        <v>661</v>
      </c>
    </row>
    <row r="14" customFormat="false" ht="30" hidden="false" customHeight="true" outlineLevel="0" collapsed="false">
      <c r="A14" s="283" t="n">
        <v>5</v>
      </c>
      <c r="B14" s="283" t="s">
        <v>658</v>
      </c>
      <c r="C14" s="288" t="s">
        <v>250</v>
      </c>
      <c r="D14" s="283" t="s">
        <v>668</v>
      </c>
      <c r="E14" s="283" t="s">
        <v>669</v>
      </c>
      <c r="F14" s="289" t="n">
        <v>17.77</v>
      </c>
      <c r="G14" s="284" t="n">
        <v>1.55</v>
      </c>
      <c r="H14" s="289" t="n">
        <v>0.1</v>
      </c>
      <c r="I14" s="290" t="n">
        <f aca="false">'COLECTOR PARAMETROS'!$C$10+2*'COLECTOR PARAMETROS'!$C$11</f>
        <v>1.1</v>
      </c>
      <c r="J14" s="290" t="n">
        <f aca="false">I14+2*'COLECTOR PARAMETROS'!$C$17</f>
        <v>1.6</v>
      </c>
      <c r="K14" s="284" t="n">
        <v>1.155</v>
      </c>
      <c r="L14" s="284" t="n">
        <v>0.695</v>
      </c>
      <c r="M14" s="290" t="n">
        <f aca="false">J14*F14</f>
        <v>28.432</v>
      </c>
      <c r="N14" s="290" t="n">
        <f aca="false">J14*K14*F14</f>
        <v>32.83896</v>
      </c>
      <c r="O14" s="290" t="n">
        <f aca="false">(I14+0.1)*F14</f>
        <v>21.324</v>
      </c>
      <c r="P14" s="290" t="n">
        <f aca="false">2*'COLECTOR PARAMETROS'!$C$17*K14*F14</f>
        <v>10.262175</v>
      </c>
      <c r="Q14" s="290" t="n">
        <f aca="false">'COLECTOR PARAMETROS'!$C$18*L14*F14</f>
        <v>12.35015</v>
      </c>
      <c r="R14" s="286" t="s">
        <v>661</v>
      </c>
    </row>
    <row r="15" customFormat="false" ht="30" hidden="false" customHeight="true" outlineLevel="0" collapsed="false">
      <c r="A15" s="283" t="n">
        <v>6</v>
      </c>
      <c r="B15" s="283" t="s">
        <v>670</v>
      </c>
      <c r="C15" s="288" t="s">
        <v>250</v>
      </c>
      <c r="D15" s="283" t="s">
        <v>669</v>
      </c>
      <c r="E15" s="283" t="s">
        <v>671</v>
      </c>
      <c r="F15" s="289" t="n">
        <v>8.08</v>
      </c>
      <c r="G15" s="284" t="n">
        <v>1.589</v>
      </c>
      <c r="H15" s="289" t="n">
        <v>0.1</v>
      </c>
      <c r="I15" s="290" t="n">
        <f aca="false">'COLECTOR PARAMETROS'!$C$10+2*'COLECTOR PARAMETROS'!$C$11</f>
        <v>1.1</v>
      </c>
      <c r="J15" s="290" t="n">
        <f aca="false">I15+2*'COLECTOR PARAMETROS'!$C$17</f>
        <v>1.6</v>
      </c>
      <c r="K15" s="284" t="n">
        <v>1.033</v>
      </c>
      <c r="L15" s="284" t="n">
        <v>0.855</v>
      </c>
      <c r="M15" s="290" t="n">
        <f aca="false">J15*F15</f>
        <v>12.928</v>
      </c>
      <c r="N15" s="290" t="n">
        <f aca="false">J15*K15*F15</f>
        <v>13.354624</v>
      </c>
      <c r="O15" s="290" t="n">
        <f aca="false">(I15+0.1)*F15</f>
        <v>9.696</v>
      </c>
      <c r="P15" s="290" t="n">
        <f aca="false">2*'COLECTOR PARAMETROS'!$C$17*K15*F15</f>
        <v>4.17332</v>
      </c>
      <c r="Q15" s="290" t="n">
        <f aca="false">'COLECTOR PARAMETROS'!$C$18*L15*F15</f>
        <v>6.9084</v>
      </c>
      <c r="R15" s="286" t="s">
        <v>661</v>
      </c>
    </row>
    <row r="16" customFormat="false" ht="30" hidden="false" customHeight="true" outlineLevel="0" collapsed="false">
      <c r="A16" s="283" t="n">
        <v>7</v>
      </c>
      <c r="B16" s="283" t="s">
        <v>672</v>
      </c>
      <c r="C16" s="288" t="s">
        <v>250</v>
      </c>
      <c r="D16" s="283" t="s">
        <v>671</v>
      </c>
      <c r="E16" s="283" t="s">
        <v>673</v>
      </c>
      <c r="F16" s="289" t="n">
        <v>3</v>
      </c>
      <c r="G16" s="284" t="n">
        <v>1.605</v>
      </c>
      <c r="H16" s="289" t="n">
        <v>0.1</v>
      </c>
      <c r="I16" s="290" t="n">
        <f aca="false">'COLECTOR PARAMETROS'!$C$10+2*'COLECTOR PARAMETROS'!$C$11</f>
        <v>1.1</v>
      </c>
      <c r="J16" s="290" t="n">
        <f aca="false">I16+2*'COLECTOR PARAMETROS'!$C$17</f>
        <v>1.6</v>
      </c>
      <c r="K16" s="284" t="n">
        <v>1.062</v>
      </c>
      <c r="L16" s="284" t="n">
        <v>0.843</v>
      </c>
      <c r="M16" s="290" t="n">
        <f aca="false">J16*F16</f>
        <v>4.8</v>
      </c>
      <c r="N16" s="290" t="n">
        <f aca="false">J16*K16*F16</f>
        <v>5.0976</v>
      </c>
      <c r="O16" s="290" t="n">
        <f aca="false">(I16+0.1)*F16</f>
        <v>3.6</v>
      </c>
      <c r="P16" s="290" t="n">
        <f aca="false">2*'COLECTOR PARAMETROS'!$C$17*K16*F16</f>
        <v>1.593</v>
      </c>
      <c r="Q16" s="290" t="n">
        <f aca="false">'COLECTOR PARAMETROS'!$C$18*L16*F16</f>
        <v>2.529</v>
      </c>
      <c r="R16" s="286" t="s">
        <v>661</v>
      </c>
    </row>
    <row r="17" customFormat="false" ht="21.75" hidden="false" customHeight="true" outlineLevel="0" collapsed="false">
      <c r="A17" s="291" t="s">
        <v>674</v>
      </c>
      <c r="B17" s="292"/>
      <c r="C17" s="292"/>
      <c r="D17" s="292"/>
      <c r="E17" s="292"/>
      <c r="F17" s="293" t="n">
        <f aca="false">SUM(F10:F16)</f>
        <v>69.89</v>
      </c>
      <c r="G17" s="292"/>
      <c r="H17" s="292"/>
      <c r="I17" s="292"/>
      <c r="J17" s="292"/>
      <c r="K17" s="292"/>
      <c r="L17" s="292"/>
      <c r="M17" s="293" t="n">
        <f aca="false">SUM(M10:M16)</f>
        <v>111.824</v>
      </c>
      <c r="N17" s="293" t="n">
        <f aca="false">SUM(N10:N16)</f>
        <v>142.261456</v>
      </c>
      <c r="O17" s="293" t="n">
        <f aca="false">SUM(O10:O16)</f>
        <v>83.868</v>
      </c>
      <c r="P17" s="293" t="n">
        <f aca="false">SUM(P10:P16)</f>
        <v>44.456705</v>
      </c>
      <c r="Q17" s="293" t="n">
        <f aca="false">SUM(Q10:Q16)</f>
        <v>37.23735</v>
      </c>
      <c r="R17" s="292"/>
    </row>
    <row r="19" customFormat="false" ht="19.5" hidden="false" customHeight="true" outlineLevel="0" collapsed="false">
      <c r="A19" s="294" t="s">
        <v>675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</row>
    <row r="20" customFormat="false" ht="48" hidden="false" customHeight="true" outlineLevel="0" collapsed="false">
      <c r="A20" s="282" t="s">
        <v>331</v>
      </c>
      <c r="B20" s="282" t="s">
        <v>676</v>
      </c>
      <c r="C20" s="282" t="s">
        <v>677</v>
      </c>
      <c r="D20" s="282" t="s">
        <v>678</v>
      </c>
      <c r="E20" s="282" t="s">
        <v>679</v>
      </c>
      <c r="F20" s="282" t="s">
        <v>680</v>
      </c>
      <c r="G20" s="282" t="s">
        <v>681</v>
      </c>
      <c r="H20" s="282" t="s">
        <v>682</v>
      </c>
      <c r="I20" s="282" t="s">
        <v>683</v>
      </c>
      <c r="J20" s="282" t="s">
        <v>684</v>
      </c>
      <c r="K20" s="282" t="s">
        <v>685</v>
      </c>
      <c r="L20" s="282" t="s">
        <v>686</v>
      </c>
      <c r="M20" s="282" t="s">
        <v>652</v>
      </c>
      <c r="N20" s="282" t="s">
        <v>653</v>
      </c>
      <c r="O20" s="282" t="s">
        <v>654</v>
      </c>
      <c r="P20" s="282" t="s">
        <v>687</v>
      </c>
      <c r="Q20" s="282" t="s">
        <v>688</v>
      </c>
      <c r="R20" s="282" t="s">
        <v>657</v>
      </c>
    </row>
    <row r="21" customFormat="false" ht="30" hidden="false" customHeight="true" outlineLevel="0" collapsed="false">
      <c r="A21" s="283" t="n">
        <v>1</v>
      </c>
      <c r="B21" s="283" t="s">
        <v>179</v>
      </c>
      <c r="C21" s="283" t="s">
        <v>659</v>
      </c>
      <c r="D21" s="290" t="n">
        <f aca="false">'COLECTOR PARAMETROS'!$C$44</f>
        <v>1.5</v>
      </c>
      <c r="E21" s="290" t="n">
        <f aca="false">'COLECTOR PARAMETROS'!$C$45</f>
        <v>1</v>
      </c>
      <c r="F21" s="287" t="n">
        <f aca="false">'COLECTOR PARAMETROS'!$C$50-'COLECTOR PARAMETROS'!$C$13-G21</f>
        <v>2.24999999999994</v>
      </c>
      <c r="G21" s="287" t="n">
        <f aca="false">'COLECTOR PARAMETROS'!$C$47-'COLECTOR PARAMETROS'!$C$46</f>
        <v>258.8</v>
      </c>
      <c r="H21" s="284" t="n">
        <v>260.302</v>
      </c>
      <c r="I21" s="290" t="n">
        <f aca="false">D21+2*'COLECTOR PARAMETROS'!$C$11+2*'COLECTOR PARAMETROS'!$C$17</f>
        <v>2.3</v>
      </c>
      <c r="J21" s="290" t="n">
        <f aca="false">E21+2*'COLECTOR PARAMETROS'!$C$11+2*'COLECTOR PARAMETROS'!$C$17</f>
        <v>1.8</v>
      </c>
      <c r="K21" s="287" t="n">
        <f aca="false">H21-(G21-'COLECTOR PARAMETROS'!$C$12-'COLECTOR PARAMETROS'!$C$15)</f>
        <v>1.702</v>
      </c>
      <c r="L21" s="290" t="n">
        <f aca="false">(D21+2*'COLECTOR PARAMETROS'!$C$11)*(E21+2*'COLECTOR PARAMETROS'!$C$11)*(F21+'COLECTOR PARAMETROS'!$C$13+'COLECTOR PARAMETROS'!$C$12+'COLECTOR PARAMETROS'!$C$15)</f>
        <v>5.96699999999987</v>
      </c>
      <c r="M21" s="290" t="n">
        <f aca="false">I21*J21</f>
        <v>4.14</v>
      </c>
      <c r="N21" s="290" t="n">
        <f aca="false">I21*J21*K21</f>
        <v>7.04627999999999</v>
      </c>
      <c r="O21" s="290" t="n">
        <f aca="false">(D21+2*'COLECTOR PARAMETROS'!$C$11+0.1)*(E21+2*'COLECTOR PARAMETROS'!$C$11+0.1)</f>
        <v>2.66</v>
      </c>
      <c r="P21" s="290" t="n">
        <f aca="false">MAX(0,N21-L21)</f>
        <v>1.07928000000013</v>
      </c>
      <c r="Q21" s="290" t="n">
        <v>0</v>
      </c>
      <c r="R21" s="286" t="s">
        <v>689</v>
      </c>
    </row>
    <row r="22" customFormat="false" ht="30" hidden="false" customHeight="true" outlineLevel="0" collapsed="false">
      <c r="A22" s="283" t="n">
        <v>2</v>
      </c>
      <c r="B22" s="283" t="s">
        <v>180</v>
      </c>
      <c r="C22" s="283" t="s">
        <v>673</v>
      </c>
      <c r="D22" s="290" t="n">
        <f aca="false">'COLECTOR PARAMETROS'!$C$53</f>
        <v>3.5</v>
      </c>
      <c r="E22" s="290" t="n">
        <f aca="false">'COLECTOR PARAMETROS'!$C$54</f>
        <v>1.5</v>
      </c>
      <c r="F22" s="287" t="n">
        <f aca="false">'COLECTOR PARAMETROS'!$C$16-'COLECTOR PARAMETROS'!$C$13-G22</f>
        <v>2.17999999999995</v>
      </c>
      <c r="G22" s="287" t="n">
        <f aca="false">'COLECTOR PARAMETROS'!$C$56-'COLECTOR PARAMETROS'!$C$55</f>
        <v>258.32</v>
      </c>
      <c r="H22" s="284" t="n">
        <v>259.696</v>
      </c>
      <c r="I22" s="290" t="n">
        <f aca="false">D22+2*'COLECTOR PARAMETROS'!$C$11+2*'COLECTOR PARAMETROS'!$C$17</f>
        <v>4.3</v>
      </c>
      <c r="J22" s="290" t="n">
        <f aca="false">E22+2*'COLECTOR PARAMETROS'!$C$11+2*'COLECTOR PARAMETROS'!$C$17</f>
        <v>2.3</v>
      </c>
      <c r="K22" s="287" t="n">
        <f aca="false">H22-(G22-'COLECTOR PARAMETROS'!$C$12-'COLECTOR PARAMETROS'!$C$15)</f>
        <v>1.57599999999997</v>
      </c>
      <c r="L22" s="290" t="n">
        <f aca="false">(D22+2*'COLECTOR PARAMETROS'!$C$11)*(E22+2*'COLECTOR PARAMETROS'!$C$11)*(F22+'COLECTOR PARAMETROS'!$C$13+'COLECTOR PARAMETROS'!$C$12+'COLECTOR PARAMETROS'!$C$15)</f>
        <v>16.9631999999997</v>
      </c>
      <c r="M22" s="290" t="n">
        <f aca="false">I22*J22</f>
        <v>9.89</v>
      </c>
      <c r="N22" s="290" t="n">
        <f aca="false">I22*J22*K22</f>
        <v>15.5866399999997</v>
      </c>
      <c r="O22" s="290" t="n">
        <f aca="false">(D22+2*'COLECTOR PARAMETROS'!$C$11+0.1)*(E22+2*'COLECTOR PARAMETROS'!$C$11+0.1)</f>
        <v>7.41</v>
      </c>
      <c r="P22" s="290" t="n">
        <f aca="false">MAX(0,N22-L22)</f>
        <v>0</v>
      </c>
      <c r="Q22" s="290" t="n">
        <v>0</v>
      </c>
      <c r="R22" s="286" t="s">
        <v>689</v>
      </c>
    </row>
    <row r="23" customFormat="false" ht="21.75" hidden="false" customHeight="true" outlineLevel="0" collapsed="false">
      <c r="A23" s="291" t="s">
        <v>690</v>
      </c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3" t="n">
        <f aca="false">SUM(M21:M22)</f>
        <v>14.03</v>
      </c>
      <c r="N23" s="293" t="n">
        <f aca="false">SUM(N21:N22)</f>
        <v>22.6329199999996</v>
      </c>
      <c r="O23" s="293" t="n">
        <f aca="false">SUM(O21:O22)</f>
        <v>10.07</v>
      </c>
      <c r="P23" s="293" t="n">
        <f aca="false">SUM(P21:P22)</f>
        <v>1.07928000000013</v>
      </c>
      <c r="Q23" s="293" t="n">
        <f aca="false">SUM(Q21:Q22)</f>
        <v>0</v>
      </c>
      <c r="R23" s="292"/>
    </row>
    <row r="25" customFormat="false" ht="19.5" hidden="false" customHeight="true" outlineLevel="0" collapsed="false">
      <c r="A25" s="294" t="s">
        <v>691</v>
      </c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</row>
    <row r="26" customFormat="false" ht="21.75" hidden="false" customHeight="true" outlineLevel="0" collapsed="false">
      <c r="A26" s="283" t="n">
        <v>1</v>
      </c>
      <c r="B26" s="295" t="s">
        <v>692</v>
      </c>
      <c r="C26" s="295"/>
      <c r="D26" s="295"/>
      <c r="E26" s="295"/>
      <c r="F26" s="285" t="s">
        <v>168</v>
      </c>
      <c r="G26" s="290" t="n">
        <f aca="false">M17</f>
        <v>111.824</v>
      </c>
      <c r="H26" s="290" t="n">
        <f aca="false">M23</f>
        <v>14.03</v>
      </c>
      <c r="I26" s="296" t="n">
        <f aca="false">G26+H26</f>
        <v>125.854</v>
      </c>
    </row>
    <row r="27" customFormat="false" ht="21.75" hidden="false" customHeight="true" outlineLevel="0" collapsed="false">
      <c r="A27" s="283" t="n">
        <v>2</v>
      </c>
      <c r="B27" s="295" t="s">
        <v>693</v>
      </c>
      <c r="C27" s="295"/>
      <c r="D27" s="295"/>
      <c r="E27" s="295"/>
      <c r="F27" s="285" t="s">
        <v>167</v>
      </c>
      <c r="G27" s="290" t="n">
        <f aca="false">N17</f>
        <v>142.261456</v>
      </c>
      <c r="H27" s="290" t="n">
        <f aca="false">N23</f>
        <v>22.6329199999996</v>
      </c>
      <c r="I27" s="296" t="n">
        <f aca="false">G27+H27</f>
        <v>164.894376</v>
      </c>
    </row>
    <row r="28" customFormat="false" ht="21.75" hidden="false" customHeight="true" outlineLevel="0" collapsed="false">
      <c r="A28" s="283" t="n">
        <v>3</v>
      </c>
      <c r="B28" s="295" t="s">
        <v>694</v>
      </c>
      <c r="C28" s="295"/>
      <c r="D28" s="295"/>
      <c r="E28" s="295"/>
      <c r="F28" s="285" t="s">
        <v>168</v>
      </c>
      <c r="G28" s="290" t="n">
        <f aca="false">O17</f>
        <v>83.868</v>
      </c>
      <c r="H28" s="290" t="n">
        <f aca="false">O23</f>
        <v>10.07</v>
      </c>
      <c r="I28" s="296" t="n">
        <f aca="false">G28+H28</f>
        <v>93.938</v>
      </c>
    </row>
    <row r="29" customFormat="false" ht="21.75" hidden="false" customHeight="true" outlineLevel="0" collapsed="false">
      <c r="A29" s="283" t="n">
        <v>4</v>
      </c>
      <c r="B29" s="295" t="s">
        <v>695</v>
      </c>
      <c r="C29" s="295"/>
      <c r="D29" s="295"/>
      <c r="E29" s="295"/>
      <c r="F29" s="285" t="s">
        <v>167</v>
      </c>
      <c r="G29" s="290" t="n">
        <f aca="false">P17+Q17</f>
        <v>81.694055</v>
      </c>
      <c r="H29" s="290" t="n">
        <f aca="false">P23+Q23</f>
        <v>1.07928000000013</v>
      </c>
      <c r="I29" s="296" t="n">
        <f aca="false">G29+H29</f>
        <v>82.7733350000001</v>
      </c>
    </row>
    <row r="30" customFormat="false" ht="21.75" hidden="false" customHeight="true" outlineLevel="0" collapsed="false">
      <c r="A30" s="283" t="n">
        <v>5</v>
      </c>
      <c r="B30" s="295" t="s">
        <v>696</v>
      </c>
      <c r="C30" s="295"/>
      <c r="D30" s="295"/>
      <c r="E30" s="295"/>
      <c r="F30" s="285" t="s">
        <v>167</v>
      </c>
      <c r="G30" s="290" t="n">
        <f aca="false">(I27-I29)</f>
        <v>82.1210409999995</v>
      </c>
      <c r="H30" s="290" t="n">
        <f aca="false">'COLECTOR PARAMETROS'!$C$25</f>
        <v>1.2</v>
      </c>
      <c r="I30" s="296" t="n">
        <f aca="false">G30*H30</f>
        <v>98.5452491999995</v>
      </c>
    </row>
    <row r="32" customFormat="false" ht="33.75" hidden="false" customHeight="true" outlineLevel="0" collapsed="false">
      <c r="A32" s="297" t="s">
        <v>697</v>
      </c>
      <c r="B32" s="297"/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</row>
  </sheetData>
  <mergeCells count="18">
    <mergeCell ref="A1:R1"/>
    <mergeCell ref="A2:B2"/>
    <mergeCell ref="C2:R2"/>
    <mergeCell ref="A3:B3"/>
    <mergeCell ref="C3:R3"/>
    <mergeCell ref="A4:B4"/>
    <mergeCell ref="C4:R4"/>
    <mergeCell ref="A5:B5"/>
    <mergeCell ref="C5:R5"/>
    <mergeCell ref="A7:R7"/>
    <mergeCell ref="A19:R19"/>
    <mergeCell ref="A25:R25"/>
    <mergeCell ref="B26:E26"/>
    <mergeCell ref="B27:E27"/>
    <mergeCell ref="B28:E28"/>
    <mergeCell ref="B29:E29"/>
    <mergeCell ref="B30:E30"/>
    <mergeCell ref="A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5" min="3" style="0" width="11"/>
    <col collapsed="false" customWidth="true" hidden="false" outlineLevel="0" max="7" min="6" style="0" width="10"/>
    <col collapsed="false" customWidth="true" hidden="false" outlineLevel="0" max="13" min="8" style="0" width="12"/>
    <col collapsed="false" customWidth="true" hidden="false" outlineLevel="0" max="14" min="14" style="0" width="46"/>
  </cols>
  <sheetData>
    <row r="1" customFormat="false" ht="27" hidden="false" customHeight="true" outlineLevel="0" collapsed="false">
      <c r="A1" s="277" t="s">
        <v>698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</row>
    <row r="7" customFormat="false" ht="48" hidden="false" customHeight="true" outlineLevel="0" collapsed="false">
      <c r="A7" s="281" t="s">
        <v>699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</row>
    <row r="9" customFormat="false" ht="48" hidden="false" customHeight="true" outlineLevel="0" collapsed="false">
      <c r="A9" s="282" t="s">
        <v>331</v>
      </c>
      <c r="B9" s="282" t="s">
        <v>333</v>
      </c>
      <c r="C9" s="282" t="s">
        <v>643</v>
      </c>
      <c r="D9" s="282" t="s">
        <v>287</v>
      </c>
      <c r="E9" s="282" t="s">
        <v>646</v>
      </c>
      <c r="F9" s="282" t="s">
        <v>647</v>
      </c>
      <c r="G9" s="282" t="s">
        <v>700</v>
      </c>
      <c r="H9" s="282" t="s">
        <v>701</v>
      </c>
      <c r="I9" s="282" t="s">
        <v>702</v>
      </c>
      <c r="J9" s="282" t="s">
        <v>703</v>
      </c>
      <c r="K9" s="282" t="s">
        <v>704</v>
      </c>
      <c r="L9" s="282" t="s">
        <v>705</v>
      </c>
      <c r="M9" s="282" t="s">
        <v>706</v>
      </c>
      <c r="N9" s="282" t="s">
        <v>657</v>
      </c>
    </row>
    <row r="10" customFormat="false" ht="30" hidden="false" customHeight="true" outlineLevel="0" collapsed="false">
      <c r="A10" s="283" t="n">
        <v>1</v>
      </c>
      <c r="B10" s="283" t="s">
        <v>658</v>
      </c>
      <c r="C10" s="288" t="s">
        <v>250</v>
      </c>
      <c r="D10" s="290" t="n">
        <f aca="false">'COLECTOR MOV. TIERRAS'!F10</f>
        <v>26.32</v>
      </c>
      <c r="E10" s="287" t="n">
        <f aca="false">'COLECTOR MOV. TIERRAS'!G10</f>
        <v>1.439</v>
      </c>
      <c r="F10" s="290" t="n">
        <f aca="false">'COLECTOR MOV. TIERRAS'!H10</f>
        <v>0.1</v>
      </c>
      <c r="G10" s="290" t="n">
        <f aca="false">'COLECTOR MOV. TIERRAS'!I10</f>
        <v>1.1</v>
      </c>
      <c r="H10" s="290" t="n">
        <f aca="false">(G10+0.1)*D10</f>
        <v>31.584</v>
      </c>
      <c r="I10" s="290" t="n">
        <f aca="false">G10*'COLECTOR PARAMETROS'!$C$12*D10</f>
        <v>4.3428</v>
      </c>
      <c r="J10" s="290" t="n">
        <f aca="false">2*'COLECTOR PARAMETROS'!$C$11*E10*D10</f>
        <v>11.362344</v>
      </c>
      <c r="K10" s="290" t="n">
        <f aca="false">G10*F10*D10</f>
        <v>2.8952</v>
      </c>
      <c r="L10" s="290" t="n">
        <f aca="false">G10*D10</f>
        <v>28.952</v>
      </c>
      <c r="M10" s="290" t="n">
        <f aca="false">(2*E10+'COLECTOR PARAMETROS'!$C$10+G10)*D10</f>
        <v>125.75696</v>
      </c>
      <c r="N10" s="286" t="s">
        <v>707</v>
      </c>
    </row>
    <row r="11" customFormat="false" ht="30" hidden="false" customHeight="true" outlineLevel="0" collapsed="false">
      <c r="A11" s="283" t="n">
        <v>2</v>
      </c>
      <c r="B11" s="283" t="s">
        <v>662</v>
      </c>
      <c r="C11" s="288" t="s">
        <v>663</v>
      </c>
      <c r="D11" s="290" t="n">
        <f aca="false">'COLECTOR MOV. TIERRAS'!F11</f>
        <v>5.01</v>
      </c>
      <c r="E11" s="287" t="n">
        <f aca="false">'COLECTOR MOV. TIERRAS'!G11</f>
        <v>1.336</v>
      </c>
      <c r="F11" s="290" t="n">
        <f aca="false">'COLECTOR MOV. TIERRAS'!H11</f>
        <v>0.25</v>
      </c>
      <c r="G11" s="290" t="n">
        <f aca="false">'COLECTOR MOV. TIERRAS'!I11</f>
        <v>1.1</v>
      </c>
      <c r="H11" s="290" t="n">
        <f aca="false">(G11+0.1)*D11</f>
        <v>6.012</v>
      </c>
      <c r="I11" s="290" t="n">
        <f aca="false">G11*'COLECTOR PARAMETROS'!$C$12*D11</f>
        <v>0.82665</v>
      </c>
      <c r="J11" s="290" t="n">
        <f aca="false">2*'COLECTOR PARAMETROS'!$C$11*E11*D11</f>
        <v>2.008008</v>
      </c>
      <c r="K11" s="290" t="n">
        <f aca="false">G11*F11*D11</f>
        <v>1.37775</v>
      </c>
      <c r="L11" s="290" t="n">
        <f aca="false">G11*D11</f>
        <v>5.511</v>
      </c>
      <c r="M11" s="290" t="n">
        <f aca="false">(2*E11+'COLECTOR PARAMETROS'!$C$10+G11)*D11</f>
        <v>22.90572</v>
      </c>
      <c r="N11" s="286" t="s">
        <v>707</v>
      </c>
    </row>
    <row r="12" customFormat="false" ht="30" hidden="false" customHeight="true" outlineLevel="0" collapsed="false">
      <c r="A12" s="283" t="n">
        <v>3</v>
      </c>
      <c r="B12" s="283" t="s">
        <v>658</v>
      </c>
      <c r="C12" s="288" t="s">
        <v>250</v>
      </c>
      <c r="D12" s="290" t="n">
        <f aca="false">'COLECTOR MOV. TIERRAS'!F12</f>
        <v>7.71</v>
      </c>
      <c r="E12" s="287" t="n">
        <f aca="false">'COLECTOR MOV. TIERRAS'!G12</f>
        <v>1.506</v>
      </c>
      <c r="F12" s="290" t="n">
        <f aca="false">'COLECTOR MOV. TIERRAS'!H12</f>
        <v>0.1</v>
      </c>
      <c r="G12" s="290" t="n">
        <f aca="false">'COLECTOR MOV. TIERRAS'!I12</f>
        <v>1.1</v>
      </c>
      <c r="H12" s="290" t="n">
        <f aca="false">(G12+0.1)*D12</f>
        <v>9.252</v>
      </c>
      <c r="I12" s="290" t="n">
        <f aca="false">G12*'COLECTOR PARAMETROS'!$C$12*D12</f>
        <v>1.27215</v>
      </c>
      <c r="J12" s="290" t="n">
        <f aca="false">2*'COLECTOR PARAMETROS'!$C$11*E12*D12</f>
        <v>3.483378</v>
      </c>
      <c r="K12" s="290" t="n">
        <f aca="false">G12*F12*D12</f>
        <v>0.8481</v>
      </c>
      <c r="L12" s="290" t="n">
        <f aca="false">G12*D12</f>
        <v>8.481</v>
      </c>
      <c r="M12" s="290" t="n">
        <f aca="false">(2*E12+'COLECTOR PARAMETROS'!$C$10+G12)*D12</f>
        <v>37.87152</v>
      </c>
      <c r="N12" s="286" t="s">
        <v>707</v>
      </c>
    </row>
    <row r="13" customFormat="false" ht="30" hidden="false" customHeight="true" outlineLevel="0" collapsed="false">
      <c r="A13" s="283" t="n">
        <v>4</v>
      </c>
      <c r="B13" s="283" t="s">
        <v>666</v>
      </c>
      <c r="C13" s="288" t="s">
        <v>667</v>
      </c>
      <c r="D13" s="290" t="n">
        <f aca="false">'COLECTOR MOV. TIERRAS'!F13</f>
        <v>2</v>
      </c>
      <c r="E13" s="287" t="n">
        <f aca="false">'COLECTOR MOV. TIERRAS'!G13</f>
        <v>1.52</v>
      </c>
      <c r="F13" s="290" t="n">
        <f aca="false">'COLECTOR MOV. TIERRAS'!H13</f>
        <v>0.1</v>
      </c>
      <c r="G13" s="290" t="n">
        <f aca="false">'COLECTOR MOV. TIERRAS'!I13</f>
        <v>1.1</v>
      </c>
      <c r="H13" s="290" t="n">
        <f aca="false">(G13+0.1)*D13</f>
        <v>2.4</v>
      </c>
      <c r="I13" s="290" t="n">
        <f aca="false">G13*'COLECTOR PARAMETROS'!$C$12*D13</f>
        <v>0.33</v>
      </c>
      <c r="J13" s="290" t="n">
        <f aca="false">2*'COLECTOR PARAMETROS'!$C$11*E13*D13</f>
        <v>0.912</v>
      </c>
      <c r="K13" s="290" t="n">
        <f aca="false">G13*F13*D13</f>
        <v>0.22</v>
      </c>
      <c r="L13" s="290" t="n">
        <f aca="false">G13*D13</f>
        <v>2.2</v>
      </c>
      <c r="M13" s="290" t="n">
        <f aca="false">(2*E13+'COLECTOR PARAMETROS'!$C$10+G13)*D13</f>
        <v>9.88</v>
      </c>
      <c r="N13" s="286" t="s">
        <v>707</v>
      </c>
    </row>
    <row r="14" customFormat="false" ht="30" hidden="false" customHeight="true" outlineLevel="0" collapsed="false">
      <c r="A14" s="283" t="n">
        <v>5</v>
      </c>
      <c r="B14" s="283" t="s">
        <v>658</v>
      </c>
      <c r="C14" s="288" t="s">
        <v>250</v>
      </c>
      <c r="D14" s="290" t="n">
        <f aca="false">'COLECTOR MOV. TIERRAS'!F14</f>
        <v>17.77</v>
      </c>
      <c r="E14" s="287" t="n">
        <f aca="false">'COLECTOR MOV. TIERRAS'!G14</f>
        <v>1.55</v>
      </c>
      <c r="F14" s="290" t="n">
        <f aca="false">'COLECTOR MOV. TIERRAS'!H14</f>
        <v>0.1</v>
      </c>
      <c r="G14" s="290" t="n">
        <f aca="false">'COLECTOR MOV. TIERRAS'!I14</f>
        <v>1.1</v>
      </c>
      <c r="H14" s="290" t="n">
        <f aca="false">(G14+0.1)*D14</f>
        <v>21.324</v>
      </c>
      <c r="I14" s="290" t="n">
        <f aca="false">G14*'COLECTOR PARAMETROS'!$C$12*D14</f>
        <v>2.93205</v>
      </c>
      <c r="J14" s="290" t="n">
        <f aca="false">2*'COLECTOR PARAMETROS'!$C$11*E14*D14</f>
        <v>8.26305</v>
      </c>
      <c r="K14" s="290" t="n">
        <f aca="false">G14*F14*D14</f>
        <v>1.9547</v>
      </c>
      <c r="L14" s="290" t="n">
        <f aca="false">G14*D14</f>
        <v>19.547</v>
      </c>
      <c r="M14" s="290" t="n">
        <f aca="false">(2*E14+'COLECTOR PARAMETROS'!$C$10+G14)*D14</f>
        <v>88.85</v>
      </c>
      <c r="N14" s="286" t="s">
        <v>707</v>
      </c>
    </row>
    <row r="15" customFormat="false" ht="30" hidden="false" customHeight="true" outlineLevel="0" collapsed="false">
      <c r="A15" s="283" t="n">
        <v>6</v>
      </c>
      <c r="B15" s="283" t="s">
        <v>670</v>
      </c>
      <c r="C15" s="288" t="s">
        <v>250</v>
      </c>
      <c r="D15" s="290" t="n">
        <f aca="false">'COLECTOR MOV. TIERRAS'!F15</f>
        <v>8.08</v>
      </c>
      <c r="E15" s="287" t="n">
        <f aca="false">'COLECTOR MOV. TIERRAS'!G15</f>
        <v>1.589</v>
      </c>
      <c r="F15" s="290" t="n">
        <f aca="false">'COLECTOR MOV. TIERRAS'!H15</f>
        <v>0.1</v>
      </c>
      <c r="G15" s="290" t="n">
        <f aca="false">'COLECTOR MOV. TIERRAS'!I15</f>
        <v>1.1</v>
      </c>
      <c r="H15" s="290" t="n">
        <f aca="false">(G15+0.1)*D15</f>
        <v>9.696</v>
      </c>
      <c r="I15" s="290" t="n">
        <f aca="false">G15*'COLECTOR PARAMETROS'!$C$12*D15</f>
        <v>1.3332</v>
      </c>
      <c r="J15" s="290" t="n">
        <f aca="false">2*'COLECTOR PARAMETROS'!$C$11*E15*D15</f>
        <v>3.851736</v>
      </c>
      <c r="K15" s="290" t="n">
        <f aca="false">G15*F15*D15</f>
        <v>0.8888</v>
      </c>
      <c r="L15" s="290" t="n">
        <f aca="false">G15*D15</f>
        <v>8.888</v>
      </c>
      <c r="M15" s="290" t="n">
        <f aca="false">(2*E15+'COLECTOR PARAMETROS'!$C$10+G15)*D15</f>
        <v>41.03024</v>
      </c>
      <c r="N15" s="286" t="s">
        <v>707</v>
      </c>
    </row>
    <row r="16" customFormat="false" ht="30" hidden="false" customHeight="true" outlineLevel="0" collapsed="false">
      <c r="A16" s="283" t="n">
        <v>7</v>
      </c>
      <c r="B16" s="283" t="s">
        <v>672</v>
      </c>
      <c r="C16" s="288" t="s">
        <v>250</v>
      </c>
      <c r="D16" s="290" t="n">
        <f aca="false">'COLECTOR MOV. TIERRAS'!F16</f>
        <v>3</v>
      </c>
      <c r="E16" s="287" t="n">
        <f aca="false">'COLECTOR MOV. TIERRAS'!G16</f>
        <v>1.605</v>
      </c>
      <c r="F16" s="290" t="n">
        <f aca="false">'COLECTOR MOV. TIERRAS'!H16</f>
        <v>0.1</v>
      </c>
      <c r="G16" s="290" t="n">
        <f aca="false">'COLECTOR MOV. TIERRAS'!I16</f>
        <v>1.1</v>
      </c>
      <c r="H16" s="290" t="n">
        <f aca="false">(G16+0.1)*D16</f>
        <v>3.6</v>
      </c>
      <c r="I16" s="290" t="n">
        <f aca="false">G16*'COLECTOR PARAMETROS'!$C$12*D16</f>
        <v>0.495</v>
      </c>
      <c r="J16" s="290" t="n">
        <f aca="false">2*'COLECTOR PARAMETROS'!$C$11*E16*D16</f>
        <v>1.4445</v>
      </c>
      <c r="K16" s="290" t="n">
        <f aca="false">G16*F16*D16</f>
        <v>0.33</v>
      </c>
      <c r="L16" s="290" t="n">
        <f aca="false">G16*D16</f>
        <v>3.3</v>
      </c>
      <c r="M16" s="290" t="n">
        <f aca="false">(2*E16+'COLECTOR PARAMETROS'!$C$10+G16)*D16</f>
        <v>15.33</v>
      </c>
      <c r="N16" s="286" t="s">
        <v>707</v>
      </c>
    </row>
    <row r="17" customFormat="false" ht="21.75" hidden="false" customHeight="true" outlineLevel="0" collapsed="false">
      <c r="A17" s="291" t="s">
        <v>674</v>
      </c>
      <c r="B17" s="292"/>
      <c r="C17" s="292"/>
      <c r="D17" s="293" t="n">
        <f aca="false">SUM(D10:D16)</f>
        <v>69.89</v>
      </c>
      <c r="E17" s="292"/>
      <c r="F17" s="292"/>
      <c r="G17" s="292"/>
      <c r="H17" s="293" t="n">
        <f aca="false">SUM(H10:H16)</f>
        <v>83.868</v>
      </c>
      <c r="I17" s="293" t="n">
        <f aca="false">SUM(I10:I16)</f>
        <v>11.53185</v>
      </c>
      <c r="J17" s="293" t="n">
        <f aca="false">SUM(J10:J16)</f>
        <v>31.325016</v>
      </c>
      <c r="K17" s="293" t="n">
        <f aca="false">SUM(K10:K16)</f>
        <v>8.51455</v>
      </c>
      <c r="L17" s="293" t="n">
        <f aca="false">SUM(L10:L16)</f>
        <v>76.879</v>
      </c>
      <c r="M17" s="293" t="n">
        <f aca="false">SUM(M10:M16)</f>
        <v>341.62444</v>
      </c>
      <c r="N17" s="292"/>
    </row>
    <row r="19" customFormat="false" ht="19.5" hidden="false" customHeight="true" outlineLevel="0" collapsed="false">
      <c r="A19" s="294" t="s">
        <v>708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</row>
    <row r="20" customFormat="false" ht="48" hidden="false" customHeight="true" outlineLevel="0" collapsed="false">
      <c r="A20" s="282" t="s">
        <v>331</v>
      </c>
      <c r="B20" s="282" t="s">
        <v>709</v>
      </c>
      <c r="C20" s="282" t="s">
        <v>710</v>
      </c>
      <c r="D20" s="282" t="s">
        <v>711</v>
      </c>
      <c r="E20" s="282" t="s">
        <v>712</v>
      </c>
      <c r="F20" s="282" t="s">
        <v>713</v>
      </c>
      <c r="G20" s="282" t="s">
        <v>262</v>
      </c>
      <c r="H20" s="282" t="s">
        <v>714</v>
      </c>
      <c r="I20" s="282" t="s">
        <v>702</v>
      </c>
      <c r="J20" s="282" t="s">
        <v>703</v>
      </c>
      <c r="K20" s="282" t="s">
        <v>704</v>
      </c>
      <c r="L20" s="282" t="s">
        <v>715</v>
      </c>
      <c r="M20" s="282" t="s">
        <v>706</v>
      </c>
      <c r="N20" s="282" t="s">
        <v>657</v>
      </c>
    </row>
    <row r="21" customFormat="false" ht="30" hidden="false" customHeight="true" outlineLevel="0" collapsed="false">
      <c r="A21" s="21"/>
      <c r="B21" s="149" t="s">
        <v>716</v>
      </c>
      <c r="C21" s="283" t="s">
        <v>717</v>
      </c>
      <c r="D21" s="290" t="n">
        <f aca="false">'COLECTOR MOV. TIERRAS'!D21+2*'COLECTOR PARAMETROS'!$C$11+0.1</f>
        <v>1.9</v>
      </c>
      <c r="E21" s="290" t="n">
        <f aca="false">'COLECTOR MOV. TIERRAS'!E21+2*'COLECTOR PARAMETROS'!$C$11+0.1</f>
        <v>1.4</v>
      </c>
      <c r="F21" s="284" t="n">
        <v>1</v>
      </c>
      <c r="G21" s="298" t="n">
        <v>1</v>
      </c>
      <c r="H21" s="290" t="n">
        <f aca="false">D21*E21</f>
        <v>2.66</v>
      </c>
      <c r="I21" s="21"/>
      <c r="J21" s="21"/>
      <c r="K21" s="21"/>
      <c r="L21" s="21"/>
      <c r="M21" s="21"/>
      <c r="N21" s="286" t="s">
        <v>718</v>
      </c>
    </row>
    <row r="22" customFormat="false" ht="30" hidden="false" customHeight="true" outlineLevel="0" collapsed="false">
      <c r="A22" s="21"/>
      <c r="B22" s="149" t="s">
        <v>719</v>
      </c>
      <c r="C22" s="283" t="s">
        <v>720</v>
      </c>
      <c r="D22" s="290" t="n">
        <f aca="false">'COLECTOR MOV. TIERRAS'!D21+2*'COLECTOR PARAMETROS'!$C$11</f>
        <v>1.8</v>
      </c>
      <c r="E22" s="290" t="n">
        <f aca="false">'COLECTOR MOV. TIERRAS'!E21+2*'COLECTOR PARAMETROS'!$C$11</f>
        <v>1.3</v>
      </c>
      <c r="F22" s="287" t="n">
        <f aca="false">'COLECTOR PARAMETROS'!$C$12</f>
        <v>0.15</v>
      </c>
      <c r="G22" s="298" t="n">
        <v>1</v>
      </c>
      <c r="H22" s="21"/>
      <c r="I22" s="290" t="n">
        <f aca="false">D22*E22*F22*G22</f>
        <v>0.351</v>
      </c>
      <c r="J22" s="21"/>
      <c r="K22" s="21"/>
      <c r="L22" s="21"/>
      <c r="M22" s="21"/>
      <c r="N22" s="286" t="s">
        <v>721</v>
      </c>
    </row>
    <row r="23" customFormat="false" ht="30" hidden="false" customHeight="true" outlineLevel="0" collapsed="false">
      <c r="A23" s="21"/>
      <c r="B23" s="149" t="s">
        <v>722</v>
      </c>
      <c r="C23" s="283" t="s">
        <v>723</v>
      </c>
      <c r="D23" s="290" t="n">
        <f aca="false">'COLECTOR MOV. TIERRAS'!D21+2*'COLECTOR PARAMETROS'!$C$11</f>
        <v>1.8</v>
      </c>
      <c r="E23" s="290" t="n">
        <f aca="false">'COLECTOR PARAMETROS'!$C$11</f>
        <v>0.15</v>
      </c>
      <c r="F23" s="287" t="n">
        <f aca="false">'COLECTOR MOV. TIERRAS'!F21</f>
        <v>2.24999999999994</v>
      </c>
      <c r="G23" s="298" t="n">
        <v>2</v>
      </c>
      <c r="H23" s="21"/>
      <c r="I23" s="21"/>
      <c r="J23" s="290" t="n">
        <f aca="false">D23*E23*F23*G23</f>
        <v>1.21499999999997</v>
      </c>
      <c r="K23" s="21"/>
      <c r="L23" s="21"/>
      <c r="M23" s="21"/>
      <c r="N23" s="286" t="s">
        <v>724</v>
      </c>
    </row>
    <row r="24" customFormat="false" ht="30" hidden="false" customHeight="true" outlineLevel="0" collapsed="false">
      <c r="A24" s="21"/>
      <c r="B24" s="149" t="s">
        <v>725</v>
      </c>
      <c r="C24" s="283" t="s">
        <v>726</v>
      </c>
      <c r="D24" s="290" t="n">
        <f aca="false">'COLECTOR MOV. TIERRAS'!E21</f>
        <v>1</v>
      </c>
      <c r="E24" s="290" t="n">
        <f aca="false">'COLECTOR PARAMETROS'!$C$11</f>
        <v>0.15</v>
      </c>
      <c r="F24" s="287" t="n">
        <f aca="false">'COLECTOR MOV. TIERRAS'!F21</f>
        <v>2.24999999999994</v>
      </c>
      <c r="G24" s="298" t="n">
        <v>2</v>
      </c>
      <c r="H24" s="21"/>
      <c r="I24" s="21"/>
      <c r="J24" s="290" t="n">
        <f aca="false">D24*E24*F24*G24</f>
        <v>0.674999999999983</v>
      </c>
      <c r="K24" s="21"/>
      <c r="L24" s="21"/>
      <c r="M24" s="21"/>
      <c r="N24" s="286" t="s">
        <v>727</v>
      </c>
    </row>
    <row r="25" customFormat="false" ht="30" hidden="false" customHeight="true" outlineLevel="0" collapsed="false">
      <c r="A25" s="21"/>
      <c r="B25" s="149" t="s">
        <v>728</v>
      </c>
      <c r="C25" s="283" t="s">
        <v>729</v>
      </c>
      <c r="D25" s="290" t="n">
        <f aca="false">'COLECTOR PARAMETROS'!$C$10</f>
        <v>0.8</v>
      </c>
      <c r="E25" s="290" t="n">
        <f aca="false">'COLECTOR PARAMETROS'!$C$11</f>
        <v>0.15</v>
      </c>
      <c r="F25" s="287" t="n">
        <f aca="false">'COLECTOR PARAMETROS'!$C$16-'COLECTOR PARAMETROS'!$C$13-'COLECTOR PARAMETROS'!$C$47</f>
        <v>1.39999999999998</v>
      </c>
      <c r="G25" s="298" t="n">
        <v>-1</v>
      </c>
      <c r="H25" s="21"/>
      <c r="I25" s="21"/>
      <c r="J25" s="290" t="n">
        <f aca="false">D25*E25*F25*G25</f>
        <v>-0.167999999999997</v>
      </c>
      <c r="K25" s="21"/>
      <c r="L25" s="21"/>
      <c r="M25" s="21"/>
      <c r="N25" s="286" t="s">
        <v>730</v>
      </c>
    </row>
    <row r="26" customFormat="false" ht="30" hidden="false" customHeight="true" outlineLevel="0" collapsed="false">
      <c r="A26" s="21"/>
      <c r="B26" s="149" t="s">
        <v>731</v>
      </c>
      <c r="C26" s="283" t="s">
        <v>729</v>
      </c>
      <c r="D26" s="290" t="n">
        <f aca="false">'COLECTOR PARAMETROS'!$C$48</f>
        <v>0.6</v>
      </c>
      <c r="E26" s="290" t="n">
        <f aca="false">'COLECTOR PARAMETROS'!$C$11</f>
        <v>0.15</v>
      </c>
      <c r="F26" s="287" t="n">
        <f aca="false">'COLECTOR PARAMETROS'!$C$50-'COLECTOR PARAMETROS'!$C$13-'COLECTOR PARAMETROS'!$C$49</f>
        <v>1.16599999999994</v>
      </c>
      <c r="G26" s="298" t="n">
        <v>-1</v>
      </c>
      <c r="H26" s="21"/>
      <c r="I26" s="21"/>
      <c r="J26" s="290" t="n">
        <f aca="false">D26*E26*F26*G26</f>
        <v>-0.104939999999995</v>
      </c>
      <c r="K26" s="21"/>
      <c r="L26" s="21"/>
      <c r="M26" s="21"/>
      <c r="N26" s="286" t="s">
        <v>732</v>
      </c>
    </row>
    <row r="27" customFormat="false" ht="30" hidden="false" customHeight="true" outlineLevel="0" collapsed="false">
      <c r="A27" s="21"/>
      <c r="B27" s="149" t="s">
        <v>733</v>
      </c>
      <c r="C27" s="283" t="s">
        <v>729</v>
      </c>
      <c r="D27" s="290" t="n">
        <f aca="false">'COLECTOR PARAMETROS'!$C$51</f>
        <v>0.4</v>
      </c>
      <c r="E27" s="290" t="n">
        <f aca="false">'COLECTOR PARAMETROS'!$C$11</f>
        <v>0.15</v>
      </c>
      <c r="F27" s="287" t="n">
        <f aca="false">'COLECTOR PARAMETROS'!$C$50-'COLECTOR PARAMETROS'!$C$13-'COLECTOR PARAMETROS'!$C$52</f>
        <v>0.655999999999949</v>
      </c>
      <c r="G27" s="298" t="n">
        <v>-1</v>
      </c>
      <c r="H27" s="21"/>
      <c r="I27" s="21"/>
      <c r="J27" s="290" t="n">
        <f aca="false">D27*E27*F27*G27</f>
        <v>-0.0393599999999969</v>
      </c>
      <c r="K27" s="21"/>
      <c r="L27" s="21"/>
      <c r="M27" s="21"/>
      <c r="N27" s="286" t="s">
        <v>734</v>
      </c>
    </row>
    <row r="28" customFormat="false" ht="30" hidden="false" customHeight="true" outlineLevel="0" collapsed="false">
      <c r="A28" s="21"/>
      <c r="B28" s="149" t="s">
        <v>735</v>
      </c>
      <c r="C28" s="283" t="s">
        <v>736</v>
      </c>
      <c r="D28" s="290" t="n">
        <f aca="false">'COLECTOR MOV. TIERRAS'!E21</f>
        <v>1</v>
      </c>
      <c r="E28" s="290" t="n">
        <f aca="false">'COLECTOR PARAMETROS'!$C$11</f>
        <v>0.15</v>
      </c>
      <c r="F28" s="287" t="n">
        <f aca="false">'COLECTOR PARAMETROS'!$C$46</f>
        <v>0.3</v>
      </c>
      <c r="G28" s="298" t="n">
        <v>1</v>
      </c>
      <c r="H28" s="21"/>
      <c r="I28" s="21"/>
      <c r="J28" s="290" t="n">
        <f aca="false">D28*E28*F28*G28</f>
        <v>0.045</v>
      </c>
      <c r="K28" s="21"/>
      <c r="L28" s="21"/>
      <c r="M28" s="21"/>
      <c r="N28" s="286" t="s">
        <v>737</v>
      </c>
    </row>
    <row r="29" customFormat="false" ht="30" hidden="false" customHeight="true" outlineLevel="0" collapsed="false">
      <c r="A29" s="21"/>
      <c r="B29" s="149" t="s">
        <v>738</v>
      </c>
      <c r="C29" s="283" t="s">
        <v>720</v>
      </c>
      <c r="D29" s="290" t="n">
        <f aca="false">'COLECTOR MOV. TIERRAS'!D21+2*'COLECTOR PARAMETROS'!$C$11</f>
        <v>1.8</v>
      </c>
      <c r="E29" s="290" t="n">
        <f aca="false">'COLECTOR MOV. TIERRAS'!E21+2*'COLECTOR PARAMETROS'!$C$11</f>
        <v>1.3</v>
      </c>
      <c r="F29" s="287" t="n">
        <f aca="false">'COLECTOR PARAMETROS'!$C$13</f>
        <v>0.1</v>
      </c>
      <c r="G29" s="298" t="n">
        <v>1</v>
      </c>
      <c r="H29" s="21"/>
      <c r="I29" s="21"/>
      <c r="J29" s="21"/>
      <c r="K29" s="290" t="n">
        <f aca="false">D29*E29*F29*G29</f>
        <v>0.234</v>
      </c>
      <c r="L29" s="21"/>
      <c r="M29" s="21"/>
      <c r="N29" s="286" t="s">
        <v>739</v>
      </c>
    </row>
    <row r="30" customFormat="false" ht="30" hidden="false" customHeight="true" outlineLevel="0" collapsed="false">
      <c r="A30" s="21"/>
      <c r="B30" s="149" t="s">
        <v>740</v>
      </c>
      <c r="C30" s="283" t="s">
        <v>741</v>
      </c>
      <c r="D30" s="290" t="n">
        <f aca="false">'COLECTOR PARAMETROS'!$C$35</f>
        <v>0.7</v>
      </c>
      <c r="E30" s="290" t="n">
        <f aca="false">'COLECTOR PARAMETROS'!$C$35</f>
        <v>0.7</v>
      </c>
      <c r="F30" s="287" t="n">
        <f aca="false">'COLECTOR PARAMETROS'!$C$13</f>
        <v>0.1</v>
      </c>
      <c r="G30" s="298" t="n">
        <v>-1</v>
      </c>
      <c r="H30" s="21"/>
      <c r="I30" s="21"/>
      <c r="J30" s="21"/>
      <c r="K30" s="290" t="n">
        <f aca="false">D30*E30*F30*G30</f>
        <v>-0.049</v>
      </c>
      <c r="L30" s="21"/>
      <c r="M30" s="21"/>
      <c r="N30" s="286" t="s">
        <v>742</v>
      </c>
    </row>
    <row r="31" customFormat="false" ht="30" hidden="false" customHeight="true" outlineLevel="0" collapsed="false">
      <c r="A31" s="21"/>
      <c r="B31" s="149" t="s">
        <v>743</v>
      </c>
      <c r="C31" s="283" t="s">
        <v>744</v>
      </c>
      <c r="D31" s="290" t="n">
        <f aca="false">'COLECTOR MOV. TIERRAS'!D21+2*'COLECTOR PARAMETROS'!$C$11</f>
        <v>1.8</v>
      </c>
      <c r="E31" s="290" t="n">
        <f aca="false">'COLECTOR MOV. TIERRAS'!E21+2*'COLECTOR PARAMETROS'!$C$11</f>
        <v>1.3</v>
      </c>
      <c r="F31" s="284" t="n">
        <v>1</v>
      </c>
      <c r="G31" s="298" t="n">
        <v>1</v>
      </c>
      <c r="H31" s="21"/>
      <c r="I31" s="21"/>
      <c r="J31" s="21"/>
      <c r="K31" s="21"/>
      <c r="L31" s="290" t="n">
        <f aca="false">D31*E31</f>
        <v>2.34</v>
      </c>
      <c r="M31" s="21"/>
      <c r="N31" s="286" t="s">
        <v>745</v>
      </c>
    </row>
    <row r="32" customFormat="false" ht="30" hidden="false" customHeight="true" outlineLevel="0" collapsed="false">
      <c r="A32" s="21"/>
      <c r="B32" s="149" t="s">
        <v>746</v>
      </c>
      <c r="C32" s="283" t="s">
        <v>747</v>
      </c>
      <c r="D32" s="290" t="n">
        <f aca="false">2*('COLECTOR MOV. TIERRAS'!D21+'COLECTOR MOV. TIERRAS'!E21)</f>
        <v>5</v>
      </c>
      <c r="E32" s="290" t="n">
        <f aca="false">'COLECTOR MOV. TIERRAS'!F21</f>
        <v>2.24999999999994</v>
      </c>
      <c r="F32" s="284" t="n">
        <v>1</v>
      </c>
      <c r="G32" s="298" t="n">
        <v>1</v>
      </c>
      <c r="H32" s="21"/>
      <c r="I32" s="21"/>
      <c r="J32" s="21"/>
      <c r="K32" s="21"/>
      <c r="L32" s="21"/>
      <c r="M32" s="290" t="n">
        <f aca="false">D32*E32+'COLECTOR MOV. TIERRAS'!D21*'COLECTOR MOV. TIERRAS'!E21+('COLECTOR MOV. TIERRAS'!D21+2*'COLECTOR PARAMETROS'!$C$11)*('COLECTOR MOV. TIERRAS'!E21+2*'COLECTOR PARAMETROS'!$C$11)</f>
        <v>15.0899999999997</v>
      </c>
      <c r="N32" s="286" t="s">
        <v>748</v>
      </c>
    </row>
    <row r="33" customFormat="false" ht="30" hidden="false" customHeight="true" outlineLevel="0" collapsed="false">
      <c r="A33" s="21"/>
      <c r="B33" s="149" t="s">
        <v>749</v>
      </c>
      <c r="C33" s="283" t="s">
        <v>717</v>
      </c>
      <c r="D33" s="290" t="n">
        <f aca="false">'COLECTOR MOV. TIERRAS'!D22+2*'COLECTOR PARAMETROS'!$C$11+0.1</f>
        <v>3.9</v>
      </c>
      <c r="E33" s="290" t="n">
        <f aca="false">'COLECTOR MOV. TIERRAS'!E22+2*'COLECTOR PARAMETROS'!$C$11+0.1</f>
        <v>1.9</v>
      </c>
      <c r="F33" s="284" t="n">
        <v>1</v>
      </c>
      <c r="G33" s="298" t="n">
        <v>1</v>
      </c>
      <c r="H33" s="290" t="n">
        <f aca="false">D33*E33</f>
        <v>7.41</v>
      </c>
      <c r="I33" s="21"/>
      <c r="J33" s="21"/>
      <c r="K33" s="21"/>
      <c r="L33" s="21"/>
      <c r="M33" s="21"/>
      <c r="N33" s="286" t="s">
        <v>718</v>
      </c>
    </row>
    <row r="34" customFormat="false" ht="30" hidden="false" customHeight="true" outlineLevel="0" collapsed="false">
      <c r="A34" s="21"/>
      <c r="B34" s="149" t="s">
        <v>750</v>
      </c>
      <c r="C34" s="283" t="s">
        <v>720</v>
      </c>
      <c r="D34" s="290" t="n">
        <f aca="false">'COLECTOR MOV. TIERRAS'!D22+2*'COLECTOR PARAMETROS'!$C$11</f>
        <v>3.8</v>
      </c>
      <c r="E34" s="290" t="n">
        <f aca="false">'COLECTOR MOV. TIERRAS'!E22+2*'COLECTOR PARAMETROS'!$C$11</f>
        <v>1.8</v>
      </c>
      <c r="F34" s="287" t="n">
        <f aca="false">'COLECTOR PARAMETROS'!$C$12</f>
        <v>0.15</v>
      </c>
      <c r="G34" s="298" t="n">
        <v>1</v>
      </c>
      <c r="H34" s="21"/>
      <c r="I34" s="290" t="n">
        <f aca="false">D34*E34*F34*G34</f>
        <v>1.026</v>
      </c>
      <c r="J34" s="21"/>
      <c r="K34" s="21"/>
      <c r="L34" s="21"/>
      <c r="M34" s="21"/>
      <c r="N34" s="286" t="s">
        <v>721</v>
      </c>
    </row>
    <row r="35" customFormat="false" ht="30" hidden="false" customHeight="true" outlineLevel="0" collapsed="false">
      <c r="A35" s="21"/>
      <c r="B35" s="149" t="s">
        <v>751</v>
      </c>
      <c r="C35" s="283" t="s">
        <v>752</v>
      </c>
      <c r="D35" s="290" t="n">
        <f aca="false">'COLECTOR MOV. TIERRAS'!E22</f>
        <v>1.5</v>
      </c>
      <c r="E35" s="290" t="n">
        <f aca="false">'COLECTOR PARAMETROS'!$C$60</f>
        <v>0.25</v>
      </c>
      <c r="F35" s="287" t="n">
        <f aca="false">'COLECTOR PARAMETROS'!$C$61</f>
        <v>0.4</v>
      </c>
      <c r="G35" s="298" t="n">
        <v>1</v>
      </c>
      <c r="H35" s="21"/>
      <c r="I35" s="290" t="n">
        <f aca="false">D35*E35*F35*G35</f>
        <v>0.15</v>
      </c>
      <c r="J35" s="21"/>
      <c r="K35" s="21"/>
      <c r="L35" s="21"/>
      <c r="M35" s="21"/>
      <c r="N35" s="286" t="s">
        <v>753</v>
      </c>
    </row>
    <row r="36" customFormat="false" ht="30" hidden="false" customHeight="true" outlineLevel="0" collapsed="false">
      <c r="A36" s="21"/>
      <c r="B36" s="149" t="s">
        <v>754</v>
      </c>
      <c r="C36" s="283" t="s">
        <v>723</v>
      </c>
      <c r="D36" s="290" t="n">
        <f aca="false">'COLECTOR MOV. TIERRAS'!D22+2*'COLECTOR PARAMETROS'!$C$11</f>
        <v>3.8</v>
      </c>
      <c r="E36" s="290" t="n">
        <f aca="false">'COLECTOR PARAMETROS'!$C$11</f>
        <v>0.15</v>
      </c>
      <c r="F36" s="287" t="n">
        <f aca="false">'COLECTOR MOV. TIERRAS'!F22</f>
        <v>2.17999999999995</v>
      </c>
      <c r="G36" s="298" t="n">
        <v>2</v>
      </c>
      <c r="H36" s="21"/>
      <c r="I36" s="21"/>
      <c r="J36" s="290" t="n">
        <f aca="false">D36*E36*F36*G36</f>
        <v>2.48519999999994</v>
      </c>
      <c r="K36" s="21"/>
      <c r="L36" s="21"/>
      <c r="M36" s="21"/>
      <c r="N36" s="286" t="s">
        <v>724</v>
      </c>
    </row>
    <row r="37" customFormat="false" ht="30" hidden="false" customHeight="true" outlineLevel="0" collapsed="false">
      <c r="A37" s="21"/>
      <c r="B37" s="149" t="s">
        <v>755</v>
      </c>
      <c r="C37" s="283" t="s">
        <v>726</v>
      </c>
      <c r="D37" s="290" t="n">
        <f aca="false">'COLECTOR MOV. TIERRAS'!E22</f>
        <v>1.5</v>
      </c>
      <c r="E37" s="290" t="n">
        <f aca="false">'COLECTOR PARAMETROS'!$C$11</f>
        <v>0.15</v>
      </c>
      <c r="F37" s="287" t="n">
        <f aca="false">'COLECTOR MOV. TIERRAS'!F22</f>
        <v>2.17999999999995</v>
      </c>
      <c r="G37" s="298" t="n">
        <v>1</v>
      </c>
      <c r="H37" s="21"/>
      <c r="I37" s="21"/>
      <c r="J37" s="290" t="n">
        <f aca="false">D37*E37*F37*G37</f>
        <v>0.490499999999989</v>
      </c>
      <c r="K37" s="21"/>
      <c r="L37" s="21"/>
      <c r="M37" s="21"/>
      <c r="N37" s="286" t="s">
        <v>756</v>
      </c>
    </row>
    <row r="38" customFormat="false" ht="30" hidden="false" customHeight="true" outlineLevel="0" collapsed="false">
      <c r="A38" s="21"/>
      <c r="B38" s="149" t="s">
        <v>757</v>
      </c>
      <c r="C38" s="283" t="s">
        <v>729</v>
      </c>
      <c r="D38" s="290" t="n">
        <f aca="false">'COLECTOR PARAMETROS'!$C$59</f>
        <v>1.5</v>
      </c>
      <c r="E38" s="290" t="n">
        <f aca="false">'COLECTOR PARAMETROS'!$C$11</f>
        <v>0.15</v>
      </c>
      <c r="F38" s="287" t="n">
        <f aca="false">'COLECTOR PARAMETROS'!$C$57+0.5-'COLECTOR PARAMETROS'!$C$56</f>
        <v>0.841999999999985</v>
      </c>
      <c r="G38" s="298" t="n">
        <v>-1</v>
      </c>
      <c r="H38" s="21"/>
      <c r="I38" s="21"/>
      <c r="J38" s="290" t="n">
        <f aca="false">D38*E38*F38*G38</f>
        <v>-0.189449999999997</v>
      </c>
      <c r="K38" s="21"/>
      <c r="L38" s="21"/>
      <c r="M38" s="21"/>
      <c r="N38" s="286" t="s">
        <v>758</v>
      </c>
    </row>
    <row r="39" customFormat="false" ht="30" hidden="false" customHeight="true" outlineLevel="0" collapsed="false">
      <c r="A39" s="21"/>
      <c r="B39" s="149" t="s">
        <v>759</v>
      </c>
      <c r="C39" s="283" t="s">
        <v>736</v>
      </c>
      <c r="D39" s="290" t="n">
        <f aca="false">'COLECTOR MOV. TIERRAS'!E22</f>
        <v>1.5</v>
      </c>
      <c r="E39" s="290" t="n">
        <f aca="false">'COLECTOR PARAMETROS'!$C$11</f>
        <v>0.15</v>
      </c>
      <c r="F39" s="287" t="n">
        <f aca="false">'COLECTOR PARAMETROS'!$C$58-('COLECTOR PARAMETROS'!$C$56-'COLECTOR PARAMETROS'!$C$55)</f>
        <v>0.569999999999936</v>
      </c>
      <c r="G39" s="298" t="n">
        <v>1</v>
      </c>
      <c r="H39" s="21"/>
      <c r="I39" s="21"/>
      <c r="J39" s="290" t="n">
        <f aca="false">D39*E39*F39*G39</f>
        <v>0.128249999999986</v>
      </c>
      <c r="K39" s="21"/>
      <c r="L39" s="21"/>
      <c r="M39" s="21"/>
      <c r="N39" s="286" t="s">
        <v>737</v>
      </c>
    </row>
    <row r="40" customFormat="false" ht="30" hidden="false" customHeight="true" outlineLevel="0" collapsed="false">
      <c r="A40" s="21"/>
      <c r="B40" s="149" t="s">
        <v>760</v>
      </c>
      <c r="C40" s="283" t="s">
        <v>720</v>
      </c>
      <c r="D40" s="290" t="n">
        <f aca="false">'COLECTOR MOV. TIERRAS'!D22+2*'COLECTOR PARAMETROS'!$C$11</f>
        <v>3.8</v>
      </c>
      <c r="E40" s="290" t="n">
        <f aca="false">'COLECTOR MOV. TIERRAS'!E22+2*'COLECTOR PARAMETROS'!$C$11</f>
        <v>1.8</v>
      </c>
      <c r="F40" s="287" t="n">
        <f aca="false">'COLECTOR PARAMETROS'!$C$13</f>
        <v>0.1</v>
      </c>
      <c r="G40" s="298" t="n">
        <v>1</v>
      </c>
      <c r="H40" s="21"/>
      <c r="I40" s="21"/>
      <c r="J40" s="21"/>
      <c r="K40" s="290" t="n">
        <f aca="false">D40*E40*F40*G40</f>
        <v>0.684</v>
      </c>
      <c r="L40" s="21"/>
      <c r="M40" s="21"/>
      <c r="N40" s="286" t="s">
        <v>739</v>
      </c>
    </row>
    <row r="41" customFormat="false" ht="30" hidden="false" customHeight="true" outlineLevel="0" collapsed="false">
      <c r="A41" s="21"/>
      <c r="B41" s="149" t="s">
        <v>761</v>
      </c>
      <c r="C41" s="283" t="s">
        <v>741</v>
      </c>
      <c r="D41" s="290" t="n">
        <f aca="false">'COLECTOR PARAMETROS'!$C$35</f>
        <v>0.7</v>
      </c>
      <c r="E41" s="290" t="n">
        <f aca="false">'COLECTOR PARAMETROS'!$C$35</f>
        <v>0.7</v>
      </c>
      <c r="F41" s="287" t="n">
        <f aca="false">'COLECTOR PARAMETROS'!$C$13</f>
        <v>0.1</v>
      </c>
      <c r="G41" s="298" t="n">
        <v>-2</v>
      </c>
      <c r="H41" s="21"/>
      <c r="I41" s="21"/>
      <c r="J41" s="21"/>
      <c r="K41" s="290" t="n">
        <f aca="false">D41*E41*F41*G41</f>
        <v>-0.098</v>
      </c>
      <c r="L41" s="21"/>
      <c r="M41" s="21"/>
      <c r="N41" s="286" t="s">
        <v>762</v>
      </c>
    </row>
    <row r="42" customFormat="false" ht="30" hidden="false" customHeight="true" outlineLevel="0" collapsed="false">
      <c r="A42" s="21"/>
      <c r="B42" s="149" t="s">
        <v>763</v>
      </c>
      <c r="C42" s="283" t="s">
        <v>744</v>
      </c>
      <c r="D42" s="290" t="n">
        <f aca="false">'COLECTOR MOV. TIERRAS'!D22+2*'COLECTOR PARAMETROS'!$C$11</f>
        <v>3.8</v>
      </c>
      <c r="E42" s="290" t="n">
        <f aca="false">'COLECTOR MOV. TIERRAS'!E22+2*'COLECTOR PARAMETROS'!$C$11</f>
        <v>1.8</v>
      </c>
      <c r="F42" s="284" t="n">
        <v>1</v>
      </c>
      <c r="G42" s="298" t="n">
        <v>1</v>
      </c>
      <c r="H42" s="21"/>
      <c r="I42" s="21"/>
      <c r="J42" s="21"/>
      <c r="K42" s="21"/>
      <c r="L42" s="290" t="n">
        <f aca="false">D42*E42</f>
        <v>6.84</v>
      </c>
      <c r="M42" s="21"/>
      <c r="N42" s="286" t="s">
        <v>745</v>
      </c>
    </row>
    <row r="43" customFormat="false" ht="30" hidden="false" customHeight="true" outlineLevel="0" collapsed="false">
      <c r="A43" s="21"/>
      <c r="B43" s="149" t="s">
        <v>764</v>
      </c>
      <c r="C43" s="283" t="s">
        <v>747</v>
      </c>
      <c r="D43" s="290" t="n">
        <f aca="false">2*('COLECTOR MOV. TIERRAS'!D22+'COLECTOR MOV. TIERRAS'!E22)</f>
        <v>10</v>
      </c>
      <c r="E43" s="290" t="n">
        <f aca="false">'COLECTOR MOV. TIERRAS'!F22</f>
        <v>2.17999999999995</v>
      </c>
      <c r="F43" s="284" t="n">
        <v>1</v>
      </c>
      <c r="G43" s="298" t="n">
        <v>1</v>
      </c>
      <c r="H43" s="21"/>
      <c r="I43" s="21"/>
      <c r="J43" s="21"/>
      <c r="K43" s="21"/>
      <c r="L43" s="21"/>
      <c r="M43" s="290" t="n">
        <f aca="false">D43*E43+'COLECTOR MOV. TIERRAS'!D22*'COLECTOR MOV. TIERRAS'!E22+('COLECTOR MOV. TIERRAS'!D22+2*'COLECTOR PARAMETROS'!$C$11)*('COLECTOR MOV. TIERRAS'!E22+2*'COLECTOR PARAMETROS'!$C$11)</f>
        <v>33.8899999999995</v>
      </c>
      <c r="N43" s="286" t="s">
        <v>748</v>
      </c>
    </row>
    <row r="44" customFormat="false" ht="19.5" hidden="false" customHeight="true" outlineLevel="0" collapsed="false">
      <c r="A44" s="294" t="s">
        <v>765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</row>
    <row r="45" customFormat="false" ht="30" hidden="false" customHeight="true" outlineLevel="0" collapsed="false">
      <c r="A45" s="21"/>
      <c r="B45" s="283" t="s">
        <v>766</v>
      </c>
      <c r="C45" s="283" t="s">
        <v>767</v>
      </c>
      <c r="D45" s="290" t="n">
        <f aca="false">'COLECTOR PARAMETROS'!$C$42</f>
        <v>3</v>
      </c>
      <c r="E45" s="290" t="n">
        <f aca="false">'COLECTOR PARAMETROS'!$C$43</f>
        <v>0.015</v>
      </c>
      <c r="F45" s="284" t="n">
        <v>1</v>
      </c>
      <c r="G45" s="299" t="n">
        <f aca="false">'COLECTOR PARAMETROS'!$C$32</f>
        <v>10</v>
      </c>
      <c r="H45" s="21"/>
      <c r="I45" s="21"/>
      <c r="J45" s="21"/>
      <c r="K45" s="290" t="n">
        <f aca="false">D45*E45*F45*G45</f>
        <v>0.45</v>
      </c>
      <c r="L45" s="21"/>
      <c r="M45" s="21"/>
      <c r="N45" s="286" t="s">
        <v>768</v>
      </c>
    </row>
    <row r="46" customFormat="false" ht="30" hidden="false" customHeight="true" outlineLevel="0" collapsed="false">
      <c r="A46" s="21"/>
      <c r="B46" s="283" t="s">
        <v>769</v>
      </c>
      <c r="C46" s="283" t="s">
        <v>741</v>
      </c>
      <c r="D46" s="290" t="n">
        <f aca="false">'COLECTOR PARAMETROS'!$C$35</f>
        <v>0.7</v>
      </c>
      <c r="E46" s="290" t="n">
        <f aca="false">'COLECTOR PARAMETROS'!$C$35</f>
        <v>0.7</v>
      </c>
      <c r="F46" s="287" t="n">
        <f aca="false">'COLECTOR PARAMETROS'!$C$13</f>
        <v>0.1</v>
      </c>
      <c r="G46" s="299" t="n">
        <f aca="false">-('COLECTOR PARAMETROS'!$C$32-3)</f>
        <v>-7</v>
      </c>
      <c r="H46" s="21"/>
      <c r="I46" s="21"/>
      <c r="J46" s="21"/>
      <c r="K46" s="290" t="n">
        <f aca="false">D46*E46*F46*G46</f>
        <v>-0.343</v>
      </c>
      <c r="L46" s="21"/>
      <c r="M46" s="21"/>
      <c r="N46" s="286" t="s">
        <v>770</v>
      </c>
    </row>
    <row r="47" customFormat="false" ht="21.75" hidden="false" customHeight="true" outlineLevel="0" collapsed="false">
      <c r="A47" s="291" t="s">
        <v>771</v>
      </c>
      <c r="B47" s="292"/>
      <c r="C47" s="292"/>
      <c r="D47" s="292"/>
      <c r="E47" s="292"/>
      <c r="F47" s="292"/>
      <c r="G47" s="292"/>
      <c r="H47" s="293" t="n">
        <f aca="false">SUM(H21:H46)</f>
        <v>10.07</v>
      </c>
      <c r="I47" s="293" t="n">
        <f aca="false">SUM(I21:I46)</f>
        <v>1.527</v>
      </c>
      <c r="J47" s="293" t="n">
        <f aca="false">SUM(J21:J46)</f>
        <v>4.53719999999988</v>
      </c>
      <c r="K47" s="293" t="n">
        <f aca="false">SUM(K21:K46)</f>
        <v>0.878</v>
      </c>
      <c r="L47" s="293" t="n">
        <f aca="false">SUM(L21:L46)</f>
        <v>9.18</v>
      </c>
      <c r="M47" s="293" t="n">
        <f aca="false">SUM(M21:M46)</f>
        <v>48.9799999999992</v>
      </c>
      <c r="N47" s="292"/>
    </row>
    <row r="49" customFormat="false" ht="19.5" hidden="false" customHeight="true" outlineLevel="0" collapsed="false">
      <c r="A49" s="294" t="s">
        <v>772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</row>
    <row r="50" customFormat="false" ht="21.75" hidden="false" customHeight="true" outlineLevel="0" collapsed="false">
      <c r="A50" s="283" t="n">
        <v>1</v>
      </c>
      <c r="B50" s="295" t="s">
        <v>773</v>
      </c>
      <c r="C50" s="295"/>
      <c r="D50" s="295"/>
      <c r="E50" s="295"/>
      <c r="F50" s="285" t="s">
        <v>168</v>
      </c>
      <c r="G50" s="290" t="n">
        <f aca="false">H17</f>
        <v>83.868</v>
      </c>
      <c r="H50" s="290" t="n">
        <f aca="false">H47</f>
        <v>10.07</v>
      </c>
      <c r="I50" s="296" t="n">
        <f aca="false">G50+H50</f>
        <v>93.938</v>
      </c>
    </row>
    <row r="51" customFormat="false" ht="21.75" hidden="false" customHeight="true" outlineLevel="0" collapsed="false">
      <c r="A51" s="283" t="n">
        <v>2</v>
      </c>
      <c r="B51" s="295" t="s">
        <v>774</v>
      </c>
      <c r="C51" s="295"/>
      <c r="D51" s="295"/>
      <c r="E51" s="295"/>
      <c r="F51" s="285" t="s">
        <v>167</v>
      </c>
      <c r="G51" s="290" t="n">
        <f aca="false">I17</f>
        <v>11.53185</v>
      </c>
      <c r="H51" s="290" t="n">
        <f aca="false">I47</f>
        <v>1.527</v>
      </c>
      <c r="I51" s="296" t="n">
        <f aca="false">G51+H51</f>
        <v>13.05885</v>
      </c>
    </row>
    <row r="52" customFormat="false" ht="21.75" hidden="false" customHeight="true" outlineLevel="0" collapsed="false">
      <c r="A52" s="283" t="n">
        <v>3</v>
      </c>
      <c r="B52" s="295" t="s">
        <v>775</v>
      </c>
      <c r="C52" s="295"/>
      <c r="D52" s="295"/>
      <c r="E52" s="295"/>
      <c r="F52" s="285" t="s">
        <v>167</v>
      </c>
      <c r="G52" s="290" t="n">
        <f aca="false">J17</f>
        <v>31.325016</v>
      </c>
      <c r="H52" s="290" t="n">
        <f aca="false">J47</f>
        <v>4.53719999999988</v>
      </c>
      <c r="I52" s="296" t="n">
        <f aca="false">G52+H52</f>
        <v>35.8622159999999</v>
      </c>
    </row>
    <row r="53" customFormat="false" ht="21.75" hidden="false" customHeight="true" outlineLevel="0" collapsed="false">
      <c r="A53" s="283" t="n">
        <v>4</v>
      </c>
      <c r="B53" s="295" t="s">
        <v>776</v>
      </c>
      <c r="C53" s="295"/>
      <c r="D53" s="295"/>
      <c r="E53" s="295"/>
      <c r="F53" s="285" t="s">
        <v>167</v>
      </c>
      <c r="G53" s="290" t="n">
        <f aca="false">K17</f>
        <v>8.51455</v>
      </c>
      <c r="H53" s="290" t="n">
        <f aca="false">K47</f>
        <v>0.878</v>
      </c>
      <c r="I53" s="296" t="n">
        <f aca="false">G53+H53</f>
        <v>9.39255</v>
      </c>
    </row>
    <row r="54" customFormat="false" ht="21.75" hidden="false" customHeight="true" outlineLevel="0" collapsed="false">
      <c r="A54" s="283" t="n">
        <v>5</v>
      </c>
      <c r="B54" s="295" t="s">
        <v>127</v>
      </c>
      <c r="C54" s="295"/>
      <c r="D54" s="295"/>
      <c r="E54" s="295"/>
      <c r="F54" s="285" t="s">
        <v>168</v>
      </c>
      <c r="G54" s="290" t="n">
        <f aca="false">L17</f>
        <v>76.879</v>
      </c>
      <c r="H54" s="290" t="n">
        <f aca="false">L47</f>
        <v>9.18</v>
      </c>
      <c r="I54" s="296" t="n">
        <f aca="false">G54+H54</f>
        <v>86.059</v>
      </c>
    </row>
    <row r="55" customFormat="false" ht="21.75" hidden="false" customHeight="true" outlineLevel="0" collapsed="false">
      <c r="A55" s="283" t="n">
        <v>6</v>
      </c>
      <c r="B55" s="295" t="s">
        <v>777</v>
      </c>
      <c r="C55" s="295"/>
      <c r="D55" s="295"/>
      <c r="E55" s="295"/>
      <c r="F55" s="285" t="s">
        <v>168</v>
      </c>
      <c r="G55" s="290" t="n">
        <f aca="false">M17</f>
        <v>341.62444</v>
      </c>
      <c r="H55" s="290" t="n">
        <f aca="false">M47</f>
        <v>48.9799999999992</v>
      </c>
      <c r="I55" s="296" t="n">
        <f aca="false">G55+H55</f>
        <v>390.604439999999</v>
      </c>
    </row>
  </sheetData>
  <mergeCells count="19">
    <mergeCell ref="A1:N1"/>
    <mergeCell ref="A2:B2"/>
    <mergeCell ref="C2:N2"/>
    <mergeCell ref="A3:B3"/>
    <mergeCell ref="C3:N3"/>
    <mergeCell ref="A4:B4"/>
    <mergeCell ref="C4:N4"/>
    <mergeCell ref="A5:B5"/>
    <mergeCell ref="C5:N5"/>
    <mergeCell ref="A7:N7"/>
    <mergeCell ref="A19:N19"/>
    <mergeCell ref="A44:N44"/>
    <mergeCell ref="A49:N49"/>
    <mergeCell ref="B50:E50"/>
    <mergeCell ref="B51:E51"/>
    <mergeCell ref="B52:E52"/>
    <mergeCell ref="B53:E53"/>
    <mergeCell ref="B54:E54"/>
    <mergeCell ref="B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5" min="3" style="0" width="11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6"/>
  </cols>
  <sheetData>
    <row r="1" customFormat="false" ht="27" hidden="false" customHeight="true" outlineLevel="0" collapsed="false">
      <c r="A1" s="277" t="s">
        <v>778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  <c r="I2" s="279"/>
      <c r="J2" s="279"/>
      <c r="K2" s="279"/>
      <c r="L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  <c r="I3" s="279"/>
      <c r="J3" s="279"/>
      <c r="K3" s="279"/>
      <c r="L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  <c r="I4" s="279"/>
      <c r="J4" s="279"/>
      <c r="K4" s="279"/>
      <c r="L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  <c r="I5" s="280"/>
      <c r="J5" s="280"/>
      <c r="K5" s="280"/>
      <c r="L5" s="280"/>
    </row>
    <row r="7" customFormat="false" ht="48" hidden="false" customHeight="true" outlineLevel="0" collapsed="false">
      <c r="A7" s="281" t="s">
        <v>779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</row>
    <row r="9" customFormat="false" ht="48" hidden="false" customHeight="true" outlineLevel="0" collapsed="false">
      <c r="A9" s="282" t="s">
        <v>331</v>
      </c>
      <c r="B9" s="282" t="s">
        <v>333</v>
      </c>
      <c r="C9" s="282" t="s">
        <v>643</v>
      </c>
      <c r="D9" s="282" t="s">
        <v>287</v>
      </c>
      <c r="E9" s="282" t="s">
        <v>646</v>
      </c>
      <c r="F9" s="282" t="s">
        <v>647</v>
      </c>
      <c r="G9" s="282" t="s">
        <v>780</v>
      </c>
      <c r="H9" s="282" t="s">
        <v>781</v>
      </c>
      <c r="I9" s="282" t="s">
        <v>782</v>
      </c>
      <c r="J9" s="282" t="s">
        <v>783</v>
      </c>
      <c r="K9" s="282" t="s">
        <v>784</v>
      </c>
      <c r="L9" s="282" t="s">
        <v>657</v>
      </c>
    </row>
    <row r="10" customFormat="false" ht="30" hidden="false" customHeight="true" outlineLevel="0" collapsed="false">
      <c r="A10" s="283" t="n">
        <v>1</v>
      </c>
      <c r="B10" s="283" t="s">
        <v>658</v>
      </c>
      <c r="C10" s="288" t="s">
        <v>250</v>
      </c>
      <c r="D10" s="290" t="n">
        <f aca="false">'COLECTOR MOV. TIERRAS'!F10</f>
        <v>26.32</v>
      </c>
      <c r="E10" s="287" t="n">
        <f aca="false">'COLECTOR MOV. TIERRAS'!G10</f>
        <v>1.439</v>
      </c>
      <c r="F10" s="290" t="n">
        <f aca="false">'COLECTOR MOV. TIERRAS'!H10</f>
        <v>0.1</v>
      </c>
      <c r="G10" s="290" t="n">
        <f aca="false">'COLECTOR PARAMETROS'!$C$10</f>
        <v>0.8</v>
      </c>
      <c r="H10" s="290" t="n">
        <f aca="false">2*E10*D10</f>
        <v>75.74896</v>
      </c>
      <c r="I10" s="290" t="n">
        <f aca="false">2*('COLECTOR PARAMETROS'!$C$12+E10+F10)*D10</f>
        <v>88.90896</v>
      </c>
      <c r="J10" s="290" t="n">
        <f aca="false">G10*D10</f>
        <v>21.056</v>
      </c>
      <c r="K10" s="296" t="n">
        <f aca="false">SUM(H10:J10)</f>
        <v>185.71392</v>
      </c>
      <c r="L10" s="286" t="s">
        <v>785</v>
      </c>
    </row>
    <row r="11" customFormat="false" ht="30" hidden="false" customHeight="true" outlineLevel="0" collapsed="false">
      <c r="A11" s="283" t="n">
        <v>2</v>
      </c>
      <c r="B11" s="283" t="s">
        <v>662</v>
      </c>
      <c r="C11" s="288" t="s">
        <v>663</v>
      </c>
      <c r="D11" s="290" t="n">
        <f aca="false">'COLECTOR MOV. TIERRAS'!F11</f>
        <v>5.01</v>
      </c>
      <c r="E11" s="287" t="n">
        <f aca="false">'COLECTOR MOV. TIERRAS'!G11</f>
        <v>1.336</v>
      </c>
      <c r="F11" s="290" t="n">
        <f aca="false">'COLECTOR MOV. TIERRAS'!H11</f>
        <v>0.25</v>
      </c>
      <c r="G11" s="290" t="n">
        <f aca="false">'COLECTOR PARAMETROS'!$C$10</f>
        <v>0.8</v>
      </c>
      <c r="H11" s="290" t="n">
        <f aca="false">2*E11*D11</f>
        <v>13.38672</v>
      </c>
      <c r="I11" s="290" t="n">
        <f aca="false">2*('COLECTOR PARAMETROS'!$C$12+E11+F11)*D11</f>
        <v>17.39472</v>
      </c>
      <c r="J11" s="290" t="n">
        <f aca="false">G11*D11</f>
        <v>4.008</v>
      </c>
      <c r="K11" s="296" t="n">
        <f aca="false">SUM(H11:J11)</f>
        <v>34.78944</v>
      </c>
      <c r="L11" s="286" t="s">
        <v>785</v>
      </c>
    </row>
    <row r="12" customFormat="false" ht="30" hidden="false" customHeight="true" outlineLevel="0" collapsed="false">
      <c r="A12" s="283" t="n">
        <v>3</v>
      </c>
      <c r="B12" s="283" t="s">
        <v>658</v>
      </c>
      <c r="C12" s="288" t="s">
        <v>250</v>
      </c>
      <c r="D12" s="290" t="n">
        <f aca="false">'COLECTOR MOV. TIERRAS'!F12</f>
        <v>7.71</v>
      </c>
      <c r="E12" s="287" t="n">
        <f aca="false">'COLECTOR MOV. TIERRAS'!G12</f>
        <v>1.506</v>
      </c>
      <c r="F12" s="290" t="n">
        <f aca="false">'COLECTOR MOV. TIERRAS'!H12</f>
        <v>0.1</v>
      </c>
      <c r="G12" s="290" t="n">
        <f aca="false">'COLECTOR PARAMETROS'!$C$10</f>
        <v>0.8</v>
      </c>
      <c r="H12" s="290" t="n">
        <f aca="false">2*E12*D12</f>
        <v>23.22252</v>
      </c>
      <c r="I12" s="290" t="n">
        <f aca="false">2*('COLECTOR PARAMETROS'!$C$12+E12+F12)*D12</f>
        <v>27.07752</v>
      </c>
      <c r="J12" s="290" t="n">
        <f aca="false">G12*D12</f>
        <v>6.168</v>
      </c>
      <c r="K12" s="296" t="n">
        <f aca="false">SUM(H12:J12)</f>
        <v>56.46804</v>
      </c>
      <c r="L12" s="286" t="s">
        <v>785</v>
      </c>
    </row>
    <row r="13" customFormat="false" ht="30" hidden="false" customHeight="true" outlineLevel="0" collapsed="false">
      <c r="A13" s="283" t="n">
        <v>4</v>
      </c>
      <c r="B13" s="283" t="s">
        <v>666</v>
      </c>
      <c r="C13" s="288" t="s">
        <v>667</v>
      </c>
      <c r="D13" s="290" t="n">
        <f aca="false">'COLECTOR MOV. TIERRAS'!F13</f>
        <v>2</v>
      </c>
      <c r="E13" s="287" t="n">
        <f aca="false">'COLECTOR MOV. TIERRAS'!G13</f>
        <v>1.52</v>
      </c>
      <c r="F13" s="290" t="n">
        <f aca="false">'COLECTOR MOV. TIERRAS'!H13</f>
        <v>0.1</v>
      </c>
      <c r="G13" s="290" t="n">
        <f aca="false">'COLECTOR PARAMETROS'!$C$10</f>
        <v>0.8</v>
      </c>
      <c r="H13" s="290" t="n">
        <f aca="false">2*E13*D13</f>
        <v>6.08</v>
      </c>
      <c r="I13" s="290" t="n">
        <f aca="false">2*('COLECTOR PARAMETROS'!$C$12+E13+F13)*D13</f>
        <v>7.08</v>
      </c>
      <c r="J13" s="290" t="n">
        <f aca="false">G13*D13</f>
        <v>1.6</v>
      </c>
      <c r="K13" s="296" t="n">
        <f aca="false">SUM(H13:J13)</f>
        <v>14.76</v>
      </c>
      <c r="L13" s="286" t="s">
        <v>785</v>
      </c>
    </row>
    <row r="14" customFormat="false" ht="30" hidden="false" customHeight="true" outlineLevel="0" collapsed="false">
      <c r="A14" s="283" t="n">
        <v>5</v>
      </c>
      <c r="B14" s="283" t="s">
        <v>658</v>
      </c>
      <c r="C14" s="288" t="s">
        <v>250</v>
      </c>
      <c r="D14" s="290" t="n">
        <f aca="false">'COLECTOR MOV. TIERRAS'!F14</f>
        <v>17.77</v>
      </c>
      <c r="E14" s="287" t="n">
        <f aca="false">'COLECTOR MOV. TIERRAS'!G14</f>
        <v>1.55</v>
      </c>
      <c r="F14" s="290" t="n">
        <f aca="false">'COLECTOR MOV. TIERRAS'!H14</f>
        <v>0.1</v>
      </c>
      <c r="G14" s="290" t="n">
        <f aca="false">'COLECTOR PARAMETROS'!$C$10</f>
        <v>0.8</v>
      </c>
      <c r="H14" s="290" t="n">
        <f aca="false">2*E14*D14</f>
        <v>55.087</v>
      </c>
      <c r="I14" s="290" t="n">
        <f aca="false">2*('COLECTOR PARAMETROS'!$C$12+E14+F14)*D14</f>
        <v>63.972</v>
      </c>
      <c r="J14" s="290" t="n">
        <f aca="false">G14*D14</f>
        <v>14.216</v>
      </c>
      <c r="K14" s="296" t="n">
        <f aca="false">SUM(H14:J14)</f>
        <v>133.275</v>
      </c>
      <c r="L14" s="286" t="s">
        <v>785</v>
      </c>
    </row>
    <row r="15" customFormat="false" ht="30" hidden="false" customHeight="true" outlineLevel="0" collapsed="false">
      <c r="A15" s="283" t="n">
        <v>6</v>
      </c>
      <c r="B15" s="283" t="s">
        <v>670</v>
      </c>
      <c r="C15" s="288" t="s">
        <v>250</v>
      </c>
      <c r="D15" s="290" t="n">
        <f aca="false">'COLECTOR MOV. TIERRAS'!F15</f>
        <v>8.08</v>
      </c>
      <c r="E15" s="287" t="n">
        <f aca="false">'COLECTOR MOV. TIERRAS'!G15</f>
        <v>1.589</v>
      </c>
      <c r="F15" s="290" t="n">
        <f aca="false">'COLECTOR MOV. TIERRAS'!H15</f>
        <v>0.1</v>
      </c>
      <c r="G15" s="290" t="n">
        <f aca="false">'COLECTOR PARAMETROS'!$C$10</f>
        <v>0.8</v>
      </c>
      <c r="H15" s="290" t="n">
        <f aca="false">2*E15*D15</f>
        <v>25.67824</v>
      </c>
      <c r="I15" s="290" t="n">
        <f aca="false">2*('COLECTOR PARAMETROS'!$C$12+E15+F15)*D15</f>
        <v>29.71824</v>
      </c>
      <c r="J15" s="290" t="n">
        <f aca="false">G15*D15</f>
        <v>6.464</v>
      </c>
      <c r="K15" s="296" t="n">
        <f aca="false">SUM(H15:J15)</f>
        <v>61.86048</v>
      </c>
      <c r="L15" s="286" t="s">
        <v>785</v>
      </c>
    </row>
    <row r="16" customFormat="false" ht="30" hidden="false" customHeight="true" outlineLevel="0" collapsed="false">
      <c r="A16" s="283" t="n">
        <v>7</v>
      </c>
      <c r="B16" s="283" t="s">
        <v>672</v>
      </c>
      <c r="C16" s="288" t="s">
        <v>250</v>
      </c>
      <c r="D16" s="290" t="n">
        <f aca="false">'COLECTOR MOV. TIERRAS'!F16</f>
        <v>3</v>
      </c>
      <c r="E16" s="287" t="n">
        <f aca="false">'COLECTOR MOV. TIERRAS'!G16</f>
        <v>1.605</v>
      </c>
      <c r="F16" s="290" t="n">
        <f aca="false">'COLECTOR MOV. TIERRAS'!H16</f>
        <v>0.1</v>
      </c>
      <c r="G16" s="290" t="n">
        <f aca="false">'COLECTOR PARAMETROS'!$C$10</f>
        <v>0.8</v>
      </c>
      <c r="H16" s="290" t="n">
        <f aca="false">2*E16*D16</f>
        <v>9.63</v>
      </c>
      <c r="I16" s="290" t="n">
        <f aca="false">2*('COLECTOR PARAMETROS'!$C$12+E16+F16)*D16</f>
        <v>11.13</v>
      </c>
      <c r="J16" s="290" t="n">
        <f aca="false">G16*D16</f>
        <v>2.4</v>
      </c>
      <c r="K16" s="296" t="n">
        <f aca="false">SUM(H16:J16)</f>
        <v>23.16</v>
      </c>
      <c r="L16" s="286" t="s">
        <v>785</v>
      </c>
    </row>
    <row r="17" customFormat="false" ht="21.75" hidden="false" customHeight="true" outlineLevel="0" collapsed="false">
      <c r="A17" s="291" t="s">
        <v>674</v>
      </c>
      <c r="B17" s="292"/>
      <c r="C17" s="292"/>
      <c r="D17" s="293" t="n">
        <f aca="false">SUM(D10:D16)</f>
        <v>69.89</v>
      </c>
      <c r="E17" s="292"/>
      <c r="F17" s="292"/>
      <c r="G17" s="292"/>
      <c r="H17" s="293" t="n">
        <f aca="false">SUM(H10:H16)</f>
        <v>208.83344</v>
      </c>
      <c r="I17" s="293" t="n">
        <f aca="false">SUM(I10:I16)</f>
        <v>245.28144</v>
      </c>
      <c r="J17" s="293" t="n">
        <f aca="false">SUM(J10:J16)</f>
        <v>55.912</v>
      </c>
      <c r="K17" s="293" t="n">
        <f aca="false">SUM(K10:K16)</f>
        <v>510.02688</v>
      </c>
      <c r="L17" s="292"/>
    </row>
    <row r="19" customFormat="false" ht="19.5" hidden="false" customHeight="true" outlineLevel="0" collapsed="false">
      <c r="A19" s="294" t="s">
        <v>786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</row>
    <row r="20" customFormat="false" ht="48" hidden="false" customHeight="true" outlineLevel="0" collapsed="false">
      <c r="A20" s="282" t="s">
        <v>331</v>
      </c>
      <c r="B20" s="282" t="s">
        <v>709</v>
      </c>
      <c r="C20" s="282" t="s">
        <v>710</v>
      </c>
      <c r="D20" s="282" t="s">
        <v>711</v>
      </c>
      <c r="E20" s="282" t="s">
        <v>787</v>
      </c>
      <c r="F20" s="282" t="s">
        <v>788</v>
      </c>
      <c r="G20" s="282"/>
      <c r="H20" s="282"/>
      <c r="I20" s="282"/>
      <c r="J20" s="282"/>
      <c r="K20" s="282" t="s">
        <v>789</v>
      </c>
      <c r="L20" s="282" t="s">
        <v>657</v>
      </c>
    </row>
    <row r="21" customFormat="false" ht="30" hidden="false" customHeight="true" outlineLevel="0" collapsed="false">
      <c r="A21" s="21"/>
      <c r="B21" s="149" t="s">
        <v>790</v>
      </c>
      <c r="C21" s="283" t="s">
        <v>791</v>
      </c>
      <c r="D21" s="290" t="n">
        <f aca="false">2*('COLECTOR MOV. TIERRAS'!D21+'COLECTOR MOV. TIERRAS'!E21)</f>
        <v>5</v>
      </c>
      <c r="E21" s="287" t="n">
        <f aca="false">'COLECTOR MOV. TIERRAS'!F21</f>
        <v>2.24999999999994</v>
      </c>
      <c r="F21" s="298" t="n">
        <v>2</v>
      </c>
      <c r="G21" s="21"/>
      <c r="H21" s="21"/>
      <c r="I21" s="21"/>
      <c r="J21" s="21"/>
      <c r="K21" s="290" t="n">
        <f aca="false">D21*E21*F21</f>
        <v>22.4999999999994</v>
      </c>
      <c r="L21" s="286" t="s">
        <v>792</v>
      </c>
    </row>
    <row r="22" customFormat="false" ht="30" hidden="false" customHeight="true" outlineLevel="0" collapsed="false">
      <c r="A22" s="21"/>
      <c r="B22" s="149" t="s">
        <v>793</v>
      </c>
      <c r="C22" s="283" t="s">
        <v>794</v>
      </c>
      <c r="D22" s="290" t="n">
        <f aca="false">'COLECTOR MOV. TIERRAS'!D21</f>
        <v>1.5</v>
      </c>
      <c r="E22" s="287" t="n">
        <f aca="false">'COLECTOR MOV. TIERRAS'!E21</f>
        <v>1</v>
      </c>
      <c r="F22" s="298" t="n">
        <v>1</v>
      </c>
      <c r="G22" s="21"/>
      <c r="H22" s="21"/>
      <c r="I22" s="21"/>
      <c r="J22" s="21"/>
      <c r="K22" s="290" t="n">
        <f aca="false">D22*E22*F22</f>
        <v>1.5</v>
      </c>
      <c r="L22" s="286" t="s">
        <v>795</v>
      </c>
    </row>
    <row r="23" customFormat="false" ht="30" hidden="false" customHeight="true" outlineLevel="0" collapsed="false">
      <c r="A23" s="21"/>
      <c r="B23" s="149" t="s">
        <v>796</v>
      </c>
      <c r="C23" s="283" t="s">
        <v>797</v>
      </c>
      <c r="D23" s="290" t="n">
        <f aca="false">'COLECTOR MOV. TIERRAS'!E21</f>
        <v>1</v>
      </c>
      <c r="E23" s="287" t="n">
        <f aca="false">'COLECTOR PARAMETROS'!$C$46</f>
        <v>0.3</v>
      </c>
      <c r="F23" s="298" t="n">
        <v>1</v>
      </c>
      <c r="G23" s="21"/>
      <c r="H23" s="21"/>
      <c r="I23" s="21"/>
      <c r="J23" s="21"/>
      <c r="K23" s="290" t="n">
        <f aca="false">D23*E23*F23</f>
        <v>0.3</v>
      </c>
      <c r="L23" s="286" t="s">
        <v>798</v>
      </c>
    </row>
    <row r="24" customFormat="false" ht="30" hidden="false" customHeight="true" outlineLevel="0" collapsed="false">
      <c r="A24" s="21"/>
      <c r="B24" s="149" t="s">
        <v>799</v>
      </c>
      <c r="C24" s="283" t="s">
        <v>791</v>
      </c>
      <c r="D24" s="290" t="n">
        <f aca="false">2*('COLECTOR MOV. TIERRAS'!D22+'COLECTOR MOV. TIERRAS'!E22)</f>
        <v>10</v>
      </c>
      <c r="E24" s="287" t="n">
        <f aca="false">'COLECTOR MOV. TIERRAS'!F22</f>
        <v>2.17999999999995</v>
      </c>
      <c r="F24" s="298" t="n">
        <v>2</v>
      </c>
      <c r="G24" s="21"/>
      <c r="H24" s="21"/>
      <c r="I24" s="21"/>
      <c r="J24" s="21"/>
      <c r="K24" s="290" t="n">
        <f aca="false">D24*E24*F24</f>
        <v>43.599999999999</v>
      </c>
      <c r="L24" s="286" t="s">
        <v>792</v>
      </c>
    </row>
    <row r="25" customFormat="false" ht="30" hidden="false" customHeight="true" outlineLevel="0" collapsed="false">
      <c r="A25" s="21"/>
      <c r="B25" s="149" t="s">
        <v>800</v>
      </c>
      <c r="C25" s="283" t="s">
        <v>794</v>
      </c>
      <c r="D25" s="290" t="n">
        <f aca="false">'COLECTOR MOV. TIERRAS'!D22</f>
        <v>3.5</v>
      </c>
      <c r="E25" s="287" t="n">
        <f aca="false">'COLECTOR MOV. TIERRAS'!E22</f>
        <v>1.5</v>
      </c>
      <c r="F25" s="298" t="n">
        <v>1</v>
      </c>
      <c r="G25" s="21"/>
      <c r="H25" s="21"/>
      <c r="I25" s="21"/>
      <c r="J25" s="21"/>
      <c r="K25" s="290" t="n">
        <f aca="false">D25*E25*F25</f>
        <v>5.25</v>
      </c>
      <c r="L25" s="286" t="s">
        <v>795</v>
      </c>
    </row>
    <row r="26" customFormat="false" ht="30" hidden="false" customHeight="true" outlineLevel="0" collapsed="false">
      <c r="A26" s="21"/>
      <c r="B26" s="149" t="s">
        <v>801</v>
      </c>
      <c r="C26" s="283" t="s">
        <v>802</v>
      </c>
      <c r="D26" s="290" t="n">
        <f aca="false">'COLECTOR MOV. TIERRAS'!E22</f>
        <v>1.5</v>
      </c>
      <c r="E26" s="287" t="n">
        <f aca="false">'COLECTOR PARAMETROS'!$C$61</f>
        <v>0.4</v>
      </c>
      <c r="F26" s="298" t="n">
        <v>2</v>
      </c>
      <c r="G26" s="21"/>
      <c r="H26" s="21"/>
      <c r="I26" s="21"/>
      <c r="J26" s="21"/>
      <c r="K26" s="290" t="n">
        <f aca="false">D26*E26*F26</f>
        <v>1.2</v>
      </c>
      <c r="L26" s="286" t="s">
        <v>803</v>
      </c>
    </row>
    <row r="27" customFormat="false" ht="30" hidden="false" customHeight="true" outlineLevel="0" collapsed="false">
      <c r="A27" s="21"/>
      <c r="B27" s="149" t="s">
        <v>804</v>
      </c>
      <c r="C27" s="283" t="s">
        <v>797</v>
      </c>
      <c r="D27" s="290" t="n">
        <f aca="false">'COLECTOR MOV. TIERRAS'!E22</f>
        <v>1.5</v>
      </c>
      <c r="E27" s="287" t="n">
        <f aca="false">'COLECTOR PARAMETROS'!$C$58-('COLECTOR PARAMETROS'!$C$56-'COLECTOR PARAMETROS'!$C$55)</f>
        <v>0.569999999999936</v>
      </c>
      <c r="F27" s="298" t="n">
        <v>1</v>
      </c>
      <c r="G27" s="21"/>
      <c r="H27" s="21"/>
      <c r="I27" s="21"/>
      <c r="J27" s="21"/>
      <c r="K27" s="290" t="n">
        <f aca="false">D27*E27*F27</f>
        <v>0.854999999999905</v>
      </c>
      <c r="L27" s="286" t="s">
        <v>798</v>
      </c>
    </row>
    <row r="28" customFormat="false" ht="21.75" hidden="false" customHeight="true" outlineLevel="0" collapsed="false">
      <c r="A28" s="291" t="s">
        <v>690</v>
      </c>
      <c r="B28" s="292"/>
      <c r="C28" s="292"/>
      <c r="D28" s="292"/>
      <c r="E28" s="292"/>
      <c r="F28" s="292"/>
      <c r="G28" s="292"/>
      <c r="H28" s="292"/>
      <c r="I28" s="292"/>
      <c r="J28" s="292"/>
      <c r="K28" s="293" t="n">
        <f aca="false">SUM(K21:K27)</f>
        <v>75.2049999999983</v>
      </c>
      <c r="L28" s="292"/>
    </row>
    <row r="30" customFormat="false" ht="19.5" hidden="false" customHeight="true" outlineLevel="0" collapsed="false">
      <c r="A30" s="294" t="s">
        <v>805</v>
      </c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</row>
    <row r="31" customFormat="false" ht="21.75" hidden="false" customHeight="true" outlineLevel="0" collapsed="false">
      <c r="A31" s="283" t="n">
        <v>1</v>
      </c>
      <c r="B31" s="295" t="s">
        <v>123</v>
      </c>
      <c r="C31" s="295"/>
      <c r="D31" s="295"/>
      <c r="E31" s="295"/>
      <c r="F31" s="285" t="s">
        <v>168</v>
      </c>
      <c r="G31" s="290" t="n">
        <f aca="false">K17</f>
        <v>510.02688</v>
      </c>
      <c r="H31" s="290" t="n">
        <f aca="false">K28</f>
        <v>75.2049999999983</v>
      </c>
      <c r="I31" s="296" t="n">
        <f aca="false">G31+H31</f>
        <v>585.231879999998</v>
      </c>
    </row>
  </sheetData>
  <mergeCells count="13">
    <mergeCell ref="A1:L1"/>
    <mergeCell ref="A2:B2"/>
    <mergeCell ref="C2:L2"/>
    <mergeCell ref="A3:B3"/>
    <mergeCell ref="C3:L3"/>
    <mergeCell ref="A4:B4"/>
    <mergeCell ref="C4:L4"/>
    <mergeCell ref="A5:B5"/>
    <mergeCell ref="C5:L5"/>
    <mergeCell ref="A7:L7"/>
    <mergeCell ref="A19:L19"/>
    <mergeCell ref="A30:L30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8" min="6" style="0" width="9"/>
    <col collapsed="false" customWidth="true" hidden="false" outlineLevel="0" max="9" min="9" style="0" width="11"/>
    <col collapsed="false" customWidth="true" hidden="false" outlineLevel="0" max="20" min="10" style="0" width="9"/>
    <col collapsed="false" customWidth="true" hidden="false" outlineLevel="0" max="21" min="21" style="0" width="11"/>
    <col collapsed="false" customWidth="true" hidden="false" outlineLevel="0" max="22" min="22" style="0" width="44"/>
  </cols>
  <sheetData>
    <row r="1" customFormat="false" ht="27" hidden="false" customHeight="true" outlineLevel="0" collapsed="false">
      <c r="A1" s="277" t="s">
        <v>806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</row>
    <row r="7" customFormat="false" ht="48" hidden="false" customHeight="true" outlineLevel="0" collapsed="false">
      <c r="A7" s="281" t="s">
        <v>807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</row>
    <row r="9" customFormat="false" ht="60" hidden="false" customHeight="true" outlineLevel="0" collapsed="false">
      <c r="A9" s="282" t="s">
        <v>331</v>
      </c>
      <c r="B9" s="282" t="s">
        <v>333</v>
      </c>
      <c r="C9" s="282" t="s">
        <v>643</v>
      </c>
      <c r="D9" s="282" t="s">
        <v>287</v>
      </c>
      <c r="E9" s="282" t="s">
        <v>646</v>
      </c>
      <c r="F9" s="282" t="s">
        <v>647</v>
      </c>
      <c r="G9" s="282" t="s">
        <v>700</v>
      </c>
      <c r="H9" s="282" t="s">
        <v>808</v>
      </c>
      <c r="I9" s="282" t="s">
        <v>809</v>
      </c>
      <c r="J9" s="282" t="s">
        <v>810</v>
      </c>
      <c r="K9" s="282" t="s">
        <v>811</v>
      </c>
      <c r="L9" s="282" t="s">
        <v>812</v>
      </c>
      <c r="M9" s="282" t="s">
        <v>813</v>
      </c>
      <c r="N9" s="282" t="s">
        <v>814</v>
      </c>
      <c r="O9" s="282" t="s">
        <v>815</v>
      </c>
      <c r="P9" s="282" t="s">
        <v>816</v>
      </c>
      <c r="Q9" s="282" t="s">
        <v>817</v>
      </c>
      <c r="R9" s="282" t="s">
        <v>818</v>
      </c>
      <c r="S9" s="282" t="s">
        <v>819</v>
      </c>
      <c r="T9" s="282" t="s">
        <v>820</v>
      </c>
      <c r="U9" s="282" t="s">
        <v>821</v>
      </c>
      <c r="V9" s="282" t="s">
        <v>657</v>
      </c>
    </row>
    <row r="10" customFormat="false" ht="30" hidden="false" customHeight="true" outlineLevel="0" collapsed="false">
      <c r="A10" s="283" t="n">
        <v>1</v>
      </c>
      <c r="B10" s="283" t="s">
        <v>658</v>
      </c>
      <c r="C10" s="288" t="s">
        <v>250</v>
      </c>
      <c r="D10" s="290" t="n">
        <f aca="false">'COLECTOR MOV. TIERRAS'!F10</f>
        <v>26.32</v>
      </c>
      <c r="E10" s="287" t="n">
        <f aca="false">'COLECTOR MOV. TIERRAS'!G10</f>
        <v>1.439</v>
      </c>
      <c r="F10" s="290" t="n">
        <f aca="false">'COLECTOR MOV. TIERRAS'!H10</f>
        <v>0.1</v>
      </c>
      <c r="G10" s="290" t="n">
        <f aca="false">'COLECTOR MOV. TIERRAS'!I10</f>
        <v>1.1</v>
      </c>
      <c r="H10" s="290" t="n">
        <f aca="false">'COLECTOR PARAMETROS'!$C$26</f>
        <v>0.2</v>
      </c>
      <c r="I10" s="298" t="n">
        <v>1</v>
      </c>
      <c r="J10" s="288" t="s">
        <v>368</v>
      </c>
      <c r="K10" s="299" t="n">
        <f aca="false">ROUNDUP(D10/H10,0)</f>
        <v>132</v>
      </c>
      <c r="L10" s="287" t="n">
        <f aca="false">IF(I10=2,2*(G10-2*'COLECTOR PARAMETROS'!$C$19)+2*('COLECTOR PARAMETROS'!$C$12+E10+F10-2*'COLECTOR PARAMETROS'!$C$19)+'COLECTOR PARAMETROS'!$C$24,2*(G10-'COLECTOR PARAMETROS'!$C$11)+2*('COLECTOR PARAMETROS'!$C$12/2+E10+F10/2)+'COLECTOR PARAMETROS'!$C$24)</f>
        <v>5.328</v>
      </c>
      <c r="M10" s="287" t="n">
        <f aca="false">IF(I10=2,2*('COLECTOR PARAMETROS'!$C$10+2*('COLECTOR PARAMETROS'!$C$11-'COLECTOR PARAMETROS'!$C$19))+2*(E10+2*('COLECTOR PARAMETROS'!$C$11-'COLECTOR PARAMETROS'!$C$19))+'COLECTOR PARAMETROS'!$C$24,0)</f>
        <v>0</v>
      </c>
      <c r="N10" s="290" t="n">
        <f aca="false">K10*(L10+M10)</f>
        <v>703.296</v>
      </c>
      <c r="O10" s="287" t="n">
        <f aca="false">IF(J10="1/2""",'COLECTOR PARAMETROS'!$C$21,'COLECTOR PARAMETROS'!$C$20)</f>
        <v>0.56</v>
      </c>
      <c r="P10" s="290" t="n">
        <f aca="false">N10*O10</f>
        <v>393.84576</v>
      </c>
      <c r="Q10" s="290" t="n">
        <f aca="false">'COLECTOR PARAMETROS'!$C$28</f>
        <v>0.25</v>
      </c>
      <c r="R10" s="299" t="n">
        <f aca="false">ROUND(L10/Q10,0)+IF(M10&gt;0,ROUND(M10/Q10,0),0)</f>
        <v>21</v>
      </c>
      <c r="S10" s="290" t="n">
        <f aca="false">R10*D10*(1+'COLECTOR PARAMETROS'!$C$22/'COLECTOR PARAMETROS'!$C$23)</f>
        <v>577.285333333333</v>
      </c>
      <c r="T10" s="290" t="n">
        <f aca="false">S10*'COLECTOR PARAMETROS'!$C$20</f>
        <v>323.279786666667</v>
      </c>
      <c r="U10" s="296" t="n">
        <f aca="false">P10+T10</f>
        <v>717.125546666667</v>
      </c>
      <c r="V10" s="286" t="s">
        <v>822</v>
      </c>
    </row>
    <row r="11" customFormat="false" ht="30" hidden="false" customHeight="true" outlineLevel="0" collapsed="false">
      <c r="A11" s="283" t="n">
        <v>2</v>
      </c>
      <c r="B11" s="283" t="s">
        <v>662</v>
      </c>
      <c r="C11" s="288" t="s">
        <v>663</v>
      </c>
      <c r="D11" s="290" t="n">
        <f aca="false">'COLECTOR MOV. TIERRAS'!F11</f>
        <v>5.01</v>
      </c>
      <c r="E11" s="287" t="n">
        <f aca="false">'COLECTOR MOV. TIERRAS'!G11</f>
        <v>1.336</v>
      </c>
      <c r="F11" s="290" t="n">
        <f aca="false">'COLECTOR MOV. TIERRAS'!H11</f>
        <v>0.25</v>
      </c>
      <c r="G11" s="290" t="n">
        <f aca="false">'COLECTOR MOV. TIERRAS'!I11</f>
        <v>1.1</v>
      </c>
      <c r="H11" s="290" t="n">
        <f aca="false">'COLECTOR PARAMETROS'!$C$27</f>
        <v>0.15</v>
      </c>
      <c r="I11" s="298" t="n">
        <v>2</v>
      </c>
      <c r="J11" s="288" t="s">
        <v>534</v>
      </c>
      <c r="K11" s="299" t="n">
        <f aca="false">ROUNDUP(D11/H11,0)</f>
        <v>34</v>
      </c>
      <c r="L11" s="287" t="n">
        <f aca="false">IF(I11=2,2*(G11-2*'COLECTOR PARAMETROS'!$C$19)+2*('COLECTOR PARAMETROS'!$C$12+E11+F11-2*'COLECTOR PARAMETROS'!$C$19)+'COLECTOR PARAMETROS'!$C$24,2*(G11-'COLECTOR PARAMETROS'!$C$11)+2*('COLECTOR PARAMETROS'!$C$12/2+E11+F11/2)+'COLECTOR PARAMETROS'!$C$24)</f>
        <v>5.652</v>
      </c>
      <c r="M11" s="287" t="n">
        <f aca="false">IF(I11=2,2*('COLECTOR PARAMETROS'!$C$10+2*('COLECTOR PARAMETROS'!$C$11-'COLECTOR PARAMETROS'!$C$19))+2*(E11+2*('COLECTOR PARAMETROS'!$C$11-'COLECTOR PARAMETROS'!$C$19))+'COLECTOR PARAMETROS'!$C$24,0)</f>
        <v>5.452</v>
      </c>
      <c r="N11" s="290" t="n">
        <f aca="false">K11*(L11+M11)</f>
        <v>377.536</v>
      </c>
      <c r="O11" s="287" t="n">
        <f aca="false">IF(J11="1/2""",'COLECTOR PARAMETROS'!$C$21,'COLECTOR PARAMETROS'!$C$20)</f>
        <v>0.994</v>
      </c>
      <c r="P11" s="290" t="n">
        <f aca="false">N11*O11</f>
        <v>375.270784</v>
      </c>
      <c r="Q11" s="290" t="n">
        <f aca="false">'COLECTOR PARAMETROS'!$C$29</f>
        <v>0.2</v>
      </c>
      <c r="R11" s="299" t="n">
        <f aca="false">ROUND(L11/Q11,0)+IF(M11&gt;0,ROUND(M11/Q11,0),0)</f>
        <v>55</v>
      </c>
      <c r="S11" s="290" t="n">
        <f aca="false">R11*D11*(1+'COLECTOR PARAMETROS'!$C$22/'COLECTOR PARAMETROS'!$C$23)</f>
        <v>287.796666666667</v>
      </c>
      <c r="T11" s="290" t="n">
        <f aca="false">S11*'COLECTOR PARAMETROS'!$C$20</f>
        <v>161.166133333333</v>
      </c>
      <c r="U11" s="296" t="n">
        <f aca="false">P11+T11</f>
        <v>536.436917333333</v>
      </c>
      <c r="V11" s="286" t="s">
        <v>823</v>
      </c>
    </row>
    <row r="12" customFormat="false" ht="30" hidden="false" customHeight="true" outlineLevel="0" collapsed="false">
      <c r="A12" s="283" t="n">
        <v>3</v>
      </c>
      <c r="B12" s="283" t="s">
        <v>658</v>
      </c>
      <c r="C12" s="288" t="s">
        <v>250</v>
      </c>
      <c r="D12" s="290" t="n">
        <f aca="false">'COLECTOR MOV. TIERRAS'!F12</f>
        <v>7.71</v>
      </c>
      <c r="E12" s="287" t="n">
        <f aca="false">'COLECTOR MOV. TIERRAS'!G12</f>
        <v>1.506</v>
      </c>
      <c r="F12" s="290" t="n">
        <f aca="false">'COLECTOR MOV. TIERRAS'!H12</f>
        <v>0.1</v>
      </c>
      <c r="G12" s="290" t="n">
        <f aca="false">'COLECTOR MOV. TIERRAS'!I12</f>
        <v>1.1</v>
      </c>
      <c r="H12" s="290" t="n">
        <f aca="false">'COLECTOR PARAMETROS'!$C$26</f>
        <v>0.2</v>
      </c>
      <c r="I12" s="298" t="n">
        <v>1</v>
      </c>
      <c r="J12" s="288" t="s">
        <v>368</v>
      </c>
      <c r="K12" s="299" t="n">
        <f aca="false">ROUNDUP(D12/H12,0)</f>
        <v>39</v>
      </c>
      <c r="L12" s="287" t="n">
        <f aca="false">IF(I12=2,2*(G12-2*'COLECTOR PARAMETROS'!$C$19)+2*('COLECTOR PARAMETROS'!$C$12+E12+F12-2*'COLECTOR PARAMETROS'!$C$19)+'COLECTOR PARAMETROS'!$C$24,2*(G12-'COLECTOR PARAMETROS'!$C$11)+2*('COLECTOR PARAMETROS'!$C$12/2+E12+F12/2)+'COLECTOR PARAMETROS'!$C$24)</f>
        <v>5.462</v>
      </c>
      <c r="M12" s="287" t="n">
        <f aca="false">IF(I12=2,2*('COLECTOR PARAMETROS'!$C$10+2*('COLECTOR PARAMETROS'!$C$11-'COLECTOR PARAMETROS'!$C$19))+2*(E12+2*('COLECTOR PARAMETROS'!$C$11-'COLECTOR PARAMETROS'!$C$19))+'COLECTOR PARAMETROS'!$C$24,0)</f>
        <v>0</v>
      </c>
      <c r="N12" s="290" t="n">
        <f aca="false">K12*(L12+M12)</f>
        <v>213.018</v>
      </c>
      <c r="O12" s="287" t="n">
        <f aca="false">IF(J12="1/2""",'COLECTOR PARAMETROS'!$C$21,'COLECTOR PARAMETROS'!$C$20)</f>
        <v>0.56</v>
      </c>
      <c r="P12" s="290" t="n">
        <f aca="false">N12*O12</f>
        <v>119.29008</v>
      </c>
      <c r="Q12" s="290" t="n">
        <f aca="false">'COLECTOR PARAMETROS'!$C$28</f>
        <v>0.25</v>
      </c>
      <c r="R12" s="299" t="n">
        <f aca="false">ROUND(L12/Q12,0)+IF(M12&gt;0,ROUND(M12/Q12,0),0)</f>
        <v>22</v>
      </c>
      <c r="S12" s="290" t="n">
        <f aca="false">R12*D12*(1+'COLECTOR PARAMETROS'!$C$22/'COLECTOR PARAMETROS'!$C$23)</f>
        <v>177.158666666667</v>
      </c>
      <c r="T12" s="290" t="n">
        <f aca="false">S12*'COLECTOR PARAMETROS'!$C$20</f>
        <v>99.2088533333334</v>
      </c>
      <c r="U12" s="296" t="n">
        <f aca="false">P12+T12</f>
        <v>218.498933333333</v>
      </c>
      <c r="V12" s="286" t="s">
        <v>822</v>
      </c>
    </row>
    <row r="13" customFormat="false" ht="30" hidden="false" customHeight="true" outlineLevel="0" collapsed="false">
      <c r="A13" s="283" t="n">
        <v>4</v>
      </c>
      <c r="B13" s="283" t="s">
        <v>666</v>
      </c>
      <c r="C13" s="288" t="s">
        <v>667</v>
      </c>
      <c r="D13" s="290" t="n">
        <f aca="false">'COLECTOR MOV. TIERRAS'!F13</f>
        <v>2</v>
      </c>
      <c r="E13" s="287" t="n">
        <f aca="false">'COLECTOR MOV. TIERRAS'!G13</f>
        <v>1.52</v>
      </c>
      <c r="F13" s="290" t="n">
        <f aca="false">'COLECTOR MOV. TIERRAS'!H13</f>
        <v>0.1</v>
      </c>
      <c r="G13" s="290" t="n">
        <f aca="false">'COLECTOR MOV. TIERRAS'!I13</f>
        <v>1.1</v>
      </c>
      <c r="H13" s="290" t="n">
        <f aca="false">'COLECTOR PARAMETROS'!$C$27</f>
        <v>0.15</v>
      </c>
      <c r="I13" s="298" t="n">
        <v>1</v>
      </c>
      <c r="J13" s="288" t="s">
        <v>368</v>
      </c>
      <c r="K13" s="299" t="n">
        <f aca="false">ROUNDUP(D13/H13,0)</f>
        <v>14</v>
      </c>
      <c r="L13" s="287" t="n">
        <f aca="false">IF(I13=2,2*(G13-2*'COLECTOR PARAMETROS'!$C$19)+2*('COLECTOR PARAMETROS'!$C$12+E13+F13-2*'COLECTOR PARAMETROS'!$C$19)+'COLECTOR PARAMETROS'!$C$24,2*(G13-'COLECTOR PARAMETROS'!$C$11)+2*('COLECTOR PARAMETROS'!$C$12/2+E13+F13/2)+'COLECTOR PARAMETROS'!$C$24)</f>
        <v>5.49</v>
      </c>
      <c r="M13" s="287" t="n">
        <f aca="false">IF(I13=2,2*('COLECTOR PARAMETROS'!$C$10+2*('COLECTOR PARAMETROS'!$C$11-'COLECTOR PARAMETROS'!$C$19))+2*(E13+2*('COLECTOR PARAMETROS'!$C$11-'COLECTOR PARAMETROS'!$C$19))+'COLECTOR PARAMETROS'!$C$24,0)</f>
        <v>0</v>
      </c>
      <c r="N13" s="290" t="n">
        <f aca="false">K13*(L13+M13)</f>
        <v>76.86</v>
      </c>
      <c r="O13" s="287" t="n">
        <f aca="false">IF(J13="1/2""",'COLECTOR PARAMETROS'!$C$21,'COLECTOR PARAMETROS'!$C$20)</f>
        <v>0.56</v>
      </c>
      <c r="P13" s="290" t="n">
        <f aca="false">N13*O13</f>
        <v>43.0416</v>
      </c>
      <c r="Q13" s="290" t="n">
        <f aca="false">'COLECTOR PARAMETROS'!$C$28</f>
        <v>0.25</v>
      </c>
      <c r="R13" s="299" t="n">
        <f aca="false">ROUND(L13/Q13,0)+IF(M13&gt;0,ROUND(M13/Q13,0),0)</f>
        <v>22</v>
      </c>
      <c r="S13" s="290" t="n">
        <f aca="false">R13*D13*(1+'COLECTOR PARAMETROS'!$C$22/'COLECTOR PARAMETROS'!$C$23)</f>
        <v>45.9555555555556</v>
      </c>
      <c r="T13" s="290" t="n">
        <f aca="false">S13*'COLECTOR PARAMETROS'!$C$20</f>
        <v>25.7351111111111</v>
      </c>
      <c r="U13" s="296" t="n">
        <f aca="false">P13+T13</f>
        <v>68.7767111111111</v>
      </c>
      <c r="V13" s="286" t="s">
        <v>824</v>
      </c>
    </row>
    <row r="14" customFormat="false" ht="30" hidden="false" customHeight="true" outlineLevel="0" collapsed="false">
      <c r="A14" s="283" t="n">
        <v>5</v>
      </c>
      <c r="B14" s="283" t="s">
        <v>658</v>
      </c>
      <c r="C14" s="288" t="s">
        <v>250</v>
      </c>
      <c r="D14" s="290" t="n">
        <f aca="false">'COLECTOR MOV. TIERRAS'!F14</f>
        <v>17.77</v>
      </c>
      <c r="E14" s="287" t="n">
        <f aca="false">'COLECTOR MOV. TIERRAS'!G14</f>
        <v>1.55</v>
      </c>
      <c r="F14" s="290" t="n">
        <f aca="false">'COLECTOR MOV. TIERRAS'!H14</f>
        <v>0.1</v>
      </c>
      <c r="G14" s="290" t="n">
        <f aca="false">'COLECTOR MOV. TIERRAS'!I14</f>
        <v>1.1</v>
      </c>
      <c r="H14" s="290" t="n">
        <f aca="false">'COLECTOR PARAMETROS'!$C$26</f>
        <v>0.2</v>
      </c>
      <c r="I14" s="298" t="n">
        <v>1</v>
      </c>
      <c r="J14" s="288" t="s">
        <v>368</v>
      </c>
      <c r="K14" s="299" t="n">
        <f aca="false">ROUNDUP(D14/H14,0)</f>
        <v>89</v>
      </c>
      <c r="L14" s="287" t="n">
        <f aca="false">IF(I14=2,2*(G14-2*'COLECTOR PARAMETROS'!$C$19)+2*('COLECTOR PARAMETROS'!$C$12+E14+F14-2*'COLECTOR PARAMETROS'!$C$19)+'COLECTOR PARAMETROS'!$C$24,2*(G14-'COLECTOR PARAMETROS'!$C$11)+2*('COLECTOR PARAMETROS'!$C$12/2+E14+F14/2)+'COLECTOR PARAMETROS'!$C$24)</f>
        <v>5.55</v>
      </c>
      <c r="M14" s="287" t="n">
        <f aca="false">IF(I14=2,2*('COLECTOR PARAMETROS'!$C$10+2*('COLECTOR PARAMETROS'!$C$11-'COLECTOR PARAMETROS'!$C$19))+2*(E14+2*('COLECTOR PARAMETROS'!$C$11-'COLECTOR PARAMETROS'!$C$19))+'COLECTOR PARAMETROS'!$C$24,0)</f>
        <v>0</v>
      </c>
      <c r="N14" s="290" t="n">
        <f aca="false">K14*(L14+M14)</f>
        <v>493.95</v>
      </c>
      <c r="O14" s="287" t="n">
        <f aca="false">IF(J14="1/2""",'COLECTOR PARAMETROS'!$C$21,'COLECTOR PARAMETROS'!$C$20)</f>
        <v>0.56</v>
      </c>
      <c r="P14" s="290" t="n">
        <f aca="false">N14*O14</f>
        <v>276.612</v>
      </c>
      <c r="Q14" s="290" t="n">
        <f aca="false">'COLECTOR PARAMETROS'!$C$28</f>
        <v>0.25</v>
      </c>
      <c r="R14" s="299" t="n">
        <f aca="false">ROUND(L14/Q14,0)+IF(M14&gt;0,ROUND(M14/Q14,0),0)</f>
        <v>22</v>
      </c>
      <c r="S14" s="290" t="n">
        <f aca="false">R14*D14*(1+'COLECTOR PARAMETROS'!$C$22/'COLECTOR PARAMETROS'!$C$23)</f>
        <v>408.315111111111</v>
      </c>
      <c r="T14" s="290" t="n">
        <f aca="false">S14*'COLECTOR PARAMETROS'!$C$20</f>
        <v>228.656462222222</v>
      </c>
      <c r="U14" s="296" t="n">
        <f aca="false">P14+T14</f>
        <v>505.268462222222</v>
      </c>
      <c r="V14" s="286" t="s">
        <v>822</v>
      </c>
    </row>
    <row r="15" customFormat="false" ht="30" hidden="false" customHeight="true" outlineLevel="0" collapsed="false">
      <c r="A15" s="283" t="n">
        <v>6</v>
      </c>
      <c r="B15" s="283" t="s">
        <v>670</v>
      </c>
      <c r="C15" s="288" t="s">
        <v>250</v>
      </c>
      <c r="D15" s="290" t="n">
        <f aca="false">'COLECTOR MOV. TIERRAS'!F15</f>
        <v>8.08</v>
      </c>
      <c r="E15" s="287" t="n">
        <f aca="false">'COLECTOR MOV. TIERRAS'!G15</f>
        <v>1.589</v>
      </c>
      <c r="F15" s="290" t="n">
        <f aca="false">'COLECTOR MOV. TIERRAS'!H15</f>
        <v>0.1</v>
      </c>
      <c r="G15" s="290" t="n">
        <f aca="false">'COLECTOR MOV. TIERRAS'!I15</f>
        <v>1.1</v>
      </c>
      <c r="H15" s="290" t="n">
        <f aca="false">'COLECTOR PARAMETROS'!$C$26</f>
        <v>0.2</v>
      </c>
      <c r="I15" s="298" t="n">
        <v>1</v>
      </c>
      <c r="J15" s="288" t="s">
        <v>368</v>
      </c>
      <c r="K15" s="299" t="n">
        <f aca="false">ROUNDUP(D15/H15,0)</f>
        <v>41</v>
      </c>
      <c r="L15" s="287" t="n">
        <f aca="false">IF(I15=2,2*(G15-2*'COLECTOR PARAMETROS'!$C$19)+2*('COLECTOR PARAMETROS'!$C$12+E15+F15-2*'COLECTOR PARAMETROS'!$C$19)+'COLECTOR PARAMETROS'!$C$24,2*(G15-'COLECTOR PARAMETROS'!$C$11)+2*('COLECTOR PARAMETROS'!$C$12/2+E15+F15/2)+'COLECTOR PARAMETROS'!$C$24)</f>
        <v>5.628</v>
      </c>
      <c r="M15" s="287" t="n">
        <f aca="false">IF(I15=2,2*('COLECTOR PARAMETROS'!$C$10+2*('COLECTOR PARAMETROS'!$C$11-'COLECTOR PARAMETROS'!$C$19))+2*(E15+2*('COLECTOR PARAMETROS'!$C$11-'COLECTOR PARAMETROS'!$C$19))+'COLECTOR PARAMETROS'!$C$24,0)</f>
        <v>0</v>
      </c>
      <c r="N15" s="290" t="n">
        <f aca="false">K15*(L15+M15)</f>
        <v>230.748</v>
      </c>
      <c r="O15" s="287" t="n">
        <f aca="false">IF(J15="1/2""",'COLECTOR PARAMETROS'!$C$21,'COLECTOR PARAMETROS'!$C$20)</f>
        <v>0.56</v>
      </c>
      <c r="P15" s="290" t="n">
        <f aca="false">N15*O15</f>
        <v>129.21888</v>
      </c>
      <c r="Q15" s="290" t="n">
        <f aca="false">'COLECTOR PARAMETROS'!$C$28</f>
        <v>0.25</v>
      </c>
      <c r="R15" s="299" t="n">
        <f aca="false">ROUND(L15/Q15,0)+IF(M15&gt;0,ROUND(M15/Q15,0),0)</f>
        <v>23</v>
      </c>
      <c r="S15" s="290" t="n">
        <f aca="false">R15*D15*(1+'COLECTOR PARAMETROS'!$C$22/'COLECTOR PARAMETROS'!$C$23)</f>
        <v>194.099555555556</v>
      </c>
      <c r="T15" s="290" t="n">
        <f aca="false">S15*'COLECTOR PARAMETROS'!$C$20</f>
        <v>108.695751111111</v>
      </c>
      <c r="U15" s="296" t="n">
        <f aca="false">P15+T15</f>
        <v>237.914631111111</v>
      </c>
      <c r="V15" s="286" t="s">
        <v>822</v>
      </c>
    </row>
    <row r="16" customFormat="false" ht="30" hidden="false" customHeight="true" outlineLevel="0" collapsed="false">
      <c r="A16" s="283" t="n">
        <v>7</v>
      </c>
      <c r="B16" s="283" t="s">
        <v>672</v>
      </c>
      <c r="C16" s="288" t="s">
        <v>250</v>
      </c>
      <c r="D16" s="290" t="n">
        <f aca="false">'COLECTOR MOV. TIERRAS'!F16</f>
        <v>3</v>
      </c>
      <c r="E16" s="287" t="n">
        <f aca="false">'COLECTOR MOV. TIERRAS'!G16</f>
        <v>1.605</v>
      </c>
      <c r="F16" s="290" t="n">
        <f aca="false">'COLECTOR MOV. TIERRAS'!H16</f>
        <v>0.1</v>
      </c>
      <c r="G16" s="290" t="n">
        <f aca="false">'COLECTOR MOV. TIERRAS'!I16</f>
        <v>1.1</v>
      </c>
      <c r="H16" s="290" t="n">
        <f aca="false">'COLECTOR PARAMETROS'!$C$26</f>
        <v>0.2</v>
      </c>
      <c r="I16" s="298" t="n">
        <v>1</v>
      </c>
      <c r="J16" s="288" t="s">
        <v>368</v>
      </c>
      <c r="K16" s="299" t="n">
        <f aca="false">ROUNDUP(D16/H16,0)</f>
        <v>15</v>
      </c>
      <c r="L16" s="287" t="n">
        <f aca="false">IF(I16=2,2*(G16-2*'COLECTOR PARAMETROS'!$C$19)+2*('COLECTOR PARAMETROS'!$C$12+E16+F16-2*'COLECTOR PARAMETROS'!$C$19)+'COLECTOR PARAMETROS'!$C$24,2*(G16-'COLECTOR PARAMETROS'!$C$11)+2*('COLECTOR PARAMETROS'!$C$12/2+E16+F16/2)+'COLECTOR PARAMETROS'!$C$24)</f>
        <v>5.66</v>
      </c>
      <c r="M16" s="287" t="n">
        <f aca="false">IF(I16=2,2*('COLECTOR PARAMETROS'!$C$10+2*('COLECTOR PARAMETROS'!$C$11-'COLECTOR PARAMETROS'!$C$19))+2*(E16+2*('COLECTOR PARAMETROS'!$C$11-'COLECTOR PARAMETROS'!$C$19))+'COLECTOR PARAMETROS'!$C$24,0)</f>
        <v>0</v>
      </c>
      <c r="N16" s="290" t="n">
        <f aca="false">K16*(L16+M16)</f>
        <v>84.9</v>
      </c>
      <c r="O16" s="287" t="n">
        <f aca="false">IF(J16="1/2""",'COLECTOR PARAMETROS'!$C$21,'COLECTOR PARAMETROS'!$C$20)</f>
        <v>0.56</v>
      </c>
      <c r="P16" s="290" t="n">
        <f aca="false">N16*O16</f>
        <v>47.544</v>
      </c>
      <c r="Q16" s="290" t="n">
        <f aca="false">'COLECTOR PARAMETROS'!$C$28</f>
        <v>0.25</v>
      </c>
      <c r="R16" s="299" t="n">
        <f aca="false">ROUND(L16/Q16,0)+IF(M16&gt;0,ROUND(M16/Q16,0),0)</f>
        <v>23</v>
      </c>
      <c r="S16" s="290" t="n">
        <f aca="false">R16*D16*(1+'COLECTOR PARAMETROS'!$C$22/'COLECTOR PARAMETROS'!$C$23)</f>
        <v>72.0666666666667</v>
      </c>
      <c r="T16" s="290" t="n">
        <f aca="false">S16*'COLECTOR PARAMETROS'!$C$20</f>
        <v>40.3573333333333</v>
      </c>
      <c r="U16" s="296" t="n">
        <f aca="false">P16+T16</f>
        <v>87.9013333333334</v>
      </c>
      <c r="V16" s="286" t="s">
        <v>822</v>
      </c>
    </row>
    <row r="17" customFormat="false" ht="21.75" hidden="false" customHeight="true" outlineLevel="0" collapsed="false">
      <c r="A17" s="291" t="s">
        <v>674</v>
      </c>
      <c r="B17" s="292"/>
      <c r="C17" s="292"/>
      <c r="D17" s="293" t="n">
        <f aca="false">SUM(D10:D16)</f>
        <v>69.89</v>
      </c>
      <c r="E17" s="292"/>
      <c r="F17" s="292"/>
      <c r="G17" s="292"/>
      <c r="H17" s="292"/>
      <c r="I17" s="292"/>
      <c r="J17" s="292"/>
      <c r="K17" s="292"/>
      <c r="L17" s="292"/>
      <c r="M17" s="292"/>
      <c r="N17" s="293" t="n">
        <f aca="false">SUM(N10:N16)</f>
        <v>2180.308</v>
      </c>
      <c r="O17" s="292"/>
      <c r="P17" s="293" t="n">
        <f aca="false">SUM(P10:P16)</f>
        <v>1384.823104</v>
      </c>
      <c r="Q17" s="292"/>
      <c r="R17" s="292"/>
      <c r="S17" s="293" t="n">
        <f aca="false">SUM(S10:S16)</f>
        <v>1762.67755555556</v>
      </c>
      <c r="T17" s="293" t="n">
        <f aca="false">SUM(T10:T16)</f>
        <v>987.099431111111</v>
      </c>
      <c r="U17" s="293" t="n">
        <f aca="false">SUM(U10:U16)</f>
        <v>2371.92253511111</v>
      </c>
      <c r="V17" s="292"/>
    </row>
    <row r="19" customFormat="false" ht="19.5" hidden="false" customHeight="true" outlineLevel="0" collapsed="false">
      <c r="A19" s="294" t="s">
        <v>825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</row>
    <row r="20" customFormat="false" ht="60" hidden="false" customHeight="true" outlineLevel="0" collapsed="false">
      <c r="A20" s="282" t="s">
        <v>331</v>
      </c>
      <c r="B20" s="282" t="s">
        <v>826</v>
      </c>
      <c r="C20" s="282" t="s">
        <v>710</v>
      </c>
      <c r="D20" s="282" t="s">
        <v>827</v>
      </c>
      <c r="E20" s="282" t="s">
        <v>828</v>
      </c>
      <c r="F20" s="282" t="s">
        <v>829</v>
      </c>
      <c r="G20" s="282" t="s">
        <v>788</v>
      </c>
      <c r="H20" s="282" t="s">
        <v>830</v>
      </c>
      <c r="I20" s="282" t="s">
        <v>831</v>
      </c>
      <c r="J20" s="282" t="s">
        <v>832</v>
      </c>
      <c r="K20" s="282" t="s">
        <v>815</v>
      </c>
      <c r="L20" s="282"/>
      <c r="M20" s="282"/>
      <c r="N20" s="282"/>
      <c r="O20" s="282"/>
      <c r="P20" s="282"/>
      <c r="Q20" s="282"/>
      <c r="R20" s="282"/>
      <c r="S20" s="282"/>
      <c r="T20" s="282"/>
      <c r="U20" s="282" t="s">
        <v>833</v>
      </c>
      <c r="V20" s="282" t="s">
        <v>657</v>
      </c>
    </row>
    <row r="21" customFormat="false" ht="30" hidden="false" customHeight="true" outlineLevel="0" collapsed="false">
      <c r="A21" s="21"/>
      <c r="B21" s="149" t="s">
        <v>719</v>
      </c>
      <c r="C21" s="283" t="s">
        <v>744</v>
      </c>
      <c r="D21" s="290" t="n">
        <f aca="false">'COLECTOR MOV. TIERRAS'!D21+2*'COLECTOR PARAMETROS'!$C$11</f>
        <v>1.8</v>
      </c>
      <c r="E21" s="287" t="n">
        <f aca="false">'COLECTOR MOV. TIERRAS'!E21+2*'COLECTOR PARAMETROS'!$C$11</f>
        <v>1.3</v>
      </c>
      <c r="F21" s="290" t="n">
        <f aca="false">'COLECTOR PARAMETROS'!$C$30</f>
        <v>0.2</v>
      </c>
      <c r="G21" s="298" t="n">
        <v>2</v>
      </c>
      <c r="H21" s="298" t="n">
        <v>1</v>
      </c>
      <c r="I21" s="290" t="n">
        <f aca="false">((D21/F21+1)*E21+(E21/F21+1)*D21)*G21*H21</f>
        <v>53</v>
      </c>
      <c r="J21" s="290" t="n">
        <f aca="false">'COLECTOR PARAMETROS'!$C$31</f>
        <v>1.1</v>
      </c>
      <c r="K21" s="287" t="n">
        <f aca="false">'COLECTOR PARAMETROS'!$C$20</f>
        <v>0.56</v>
      </c>
      <c r="L21" s="21"/>
      <c r="M21" s="21"/>
      <c r="N21" s="21"/>
      <c r="O21" s="21"/>
      <c r="P21" s="21"/>
      <c r="Q21" s="21"/>
      <c r="R21" s="21"/>
      <c r="S21" s="21"/>
      <c r="T21" s="21"/>
      <c r="U21" s="296" t="n">
        <f aca="false">I21*J21*K21</f>
        <v>32.648</v>
      </c>
      <c r="V21" s="286" t="s">
        <v>834</v>
      </c>
    </row>
    <row r="22" customFormat="false" ht="30" hidden="false" customHeight="true" outlineLevel="0" collapsed="false">
      <c r="A22" s="21"/>
      <c r="B22" s="149" t="s">
        <v>738</v>
      </c>
      <c r="C22" s="283" t="s">
        <v>744</v>
      </c>
      <c r="D22" s="290" t="n">
        <f aca="false">'COLECTOR MOV. TIERRAS'!D21+2*'COLECTOR PARAMETROS'!$C$11</f>
        <v>1.8</v>
      </c>
      <c r="E22" s="287" t="n">
        <f aca="false">'COLECTOR MOV. TIERRAS'!E21+2*'COLECTOR PARAMETROS'!$C$11</f>
        <v>1.3</v>
      </c>
      <c r="F22" s="290" t="n">
        <f aca="false">'COLECTOR PARAMETROS'!$C$30</f>
        <v>0.2</v>
      </c>
      <c r="G22" s="298" t="n">
        <v>2</v>
      </c>
      <c r="H22" s="298" t="n">
        <v>1</v>
      </c>
      <c r="I22" s="290" t="n">
        <f aca="false">((D22/F22+1)*E22+(E22/F22+1)*D22)*G22*H22</f>
        <v>53</v>
      </c>
      <c r="J22" s="290" t="n">
        <f aca="false">'COLECTOR PARAMETROS'!$C$31</f>
        <v>1.1</v>
      </c>
      <c r="K22" s="287" t="n">
        <f aca="false">'COLECTOR PARAMETROS'!$C$20</f>
        <v>0.56</v>
      </c>
      <c r="L22" s="21"/>
      <c r="M22" s="21"/>
      <c r="N22" s="21"/>
      <c r="O22" s="21"/>
      <c r="P22" s="21"/>
      <c r="Q22" s="21"/>
      <c r="R22" s="21"/>
      <c r="S22" s="21"/>
      <c r="T22" s="21"/>
      <c r="U22" s="296" t="n">
        <f aca="false">I22*J22*K22</f>
        <v>32.648</v>
      </c>
      <c r="V22" s="286" t="s">
        <v>834</v>
      </c>
    </row>
    <row r="23" customFormat="false" ht="30" hidden="false" customHeight="true" outlineLevel="0" collapsed="false">
      <c r="A23" s="21"/>
      <c r="B23" s="149" t="s">
        <v>722</v>
      </c>
      <c r="C23" s="283" t="s">
        <v>835</v>
      </c>
      <c r="D23" s="290" t="n">
        <f aca="false">'COLECTOR MOV. TIERRAS'!D21+2*'COLECTOR PARAMETROS'!$C$11</f>
        <v>1.8</v>
      </c>
      <c r="E23" s="287" t="n">
        <f aca="false">'COLECTOR MOV. TIERRAS'!F21</f>
        <v>2.24999999999994</v>
      </c>
      <c r="F23" s="290" t="n">
        <f aca="false">'COLECTOR PARAMETROS'!$C$30</f>
        <v>0.2</v>
      </c>
      <c r="G23" s="298" t="n">
        <v>2</v>
      </c>
      <c r="H23" s="298" t="n">
        <v>2</v>
      </c>
      <c r="I23" s="290" t="n">
        <f aca="false">((D23/F23+1)*E23+(E23/F23+1)*D23)*G23*H23</f>
        <v>178.199999999996</v>
      </c>
      <c r="J23" s="290" t="n">
        <f aca="false">'COLECTOR PARAMETROS'!$C$31</f>
        <v>1.1</v>
      </c>
      <c r="K23" s="287" t="n">
        <f aca="false">'COLECTOR PARAMETROS'!$C$20</f>
        <v>0.56</v>
      </c>
      <c r="L23" s="21"/>
      <c r="M23" s="21"/>
      <c r="N23" s="21"/>
      <c r="O23" s="21"/>
      <c r="P23" s="21"/>
      <c r="Q23" s="21"/>
      <c r="R23" s="21"/>
      <c r="S23" s="21"/>
      <c r="T23" s="21"/>
      <c r="U23" s="296" t="n">
        <f aca="false">I23*J23*K23</f>
        <v>109.771199999997</v>
      </c>
      <c r="V23" s="286" t="s">
        <v>836</v>
      </c>
    </row>
    <row r="24" customFormat="false" ht="30" hidden="false" customHeight="true" outlineLevel="0" collapsed="false">
      <c r="A24" s="21"/>
      <c r="B24" s="149" t="s">
        <v>725</v>
      </c>
      <c r="C24" s="283" t="s">
        <v>837</v>
      </c>
      <c r="D24" s="290" t="n">
        <f aca="false">'COLECTOR MOV. TIERRAS'!E21</f>
        <v>1</v>
      </c>
      <c r="E24" s="287" t="n">
        <f aca="false">'COLECTOR MOV. TIERRAS'!F21</f>
        <v>2.24999999999994</v>
      </c>
      <c r="F24" s="290" t="n">
        <f aca="false">'COLECTOR PARAMETROS'!$C$30</f>
        <v>0.2</v>
      </c>
      <c r="G24" s="298" t="n">
        <v>2</v>
      </c>
      <c r="H24" s="298" t="n">
        <v>2</v>
      </c>
      <c r="I24" s="290" t="n">
        <f aca="false">((D24/F24+1)*E24+(E24/F24+1)*D24)*G24*H24</f>
        <v>102.999999999998</v>
      </c>
      <c r="J24" s="290" t="n">
        <f aca="false">'COLECTOR PARAMETROS'!$C$31</f>
        <v>1.1</v>
      </c>
      <c r="K24" s="287" t="n">
        <f aca="false">'COLECTOR PARAMETROS'!$C$20</f>
        <v>0.56</v>
      </c>
      <c r="L24" s="21"/>
      <c r="M24" s="21"/>
      <c r="N24" s="21"/>
      <c r="O24" s="21"/>
      <c r="P24" s="21"/>
      <c r="Q24" s="21"/>
      <c r="R24" s="21"/>
      <c r="S24" s="21"/>
      <c r="T24" s="21"/>
      <c r="U24" s="296" t="n">
        <f aca="false">I24*J24*K24</f>
        <v>63.4479999999985</v>
      </c>
      <c r="V24" s="286" t="s">
        <v>838</v>
      </c>
    </row>
    <row r="25" customFormat="false" ht="30" hidden="false" customHeight="true" outlineLevel="0" collapsed="false">
      <c r="A25" s="21"/>
      <c r="B25" s="149" t="s">
        <v>750</v>
      </c>
      <c r="C25" s="283" t="s">
        <v>744</v>
      </c>
      <c r="D25" s="290" t="n">
        <f aca="false">'COLECTOR MOV. TIERRAS'!D22+2*'COLECTOR PARAMETROS'!$C$11</f>
        <v>3.8</v>
      </c>
      <c r="E25" s="287" t="n">
        <f aca="false">'COLECTOR MOV. TIERRAS'!E22+2*'COLECTOR PARAMETROS'!$C$11</f>
        <v>1.8</v>
      </c>
      <c r="F25" s="290" t="n">
        <f aca="false">'COLECTOR PARAMETROS'!$C$30</f>
        <v>0.2</v>
      </c>
      <c r="G25" s="298" t="n">
        <v>2</v>
      </c>
      <c r="H25" s="298" t="n">
        <v>1</v>
      </c>
      <c r="I25" s="290" t="n">
        <f aca="false">((D25/F25+1)*E25+(E25/F25+1)*D25)*G25*H25</f>
        <v>148</v>
      </c>
      <c r="J25" s="290" t="n">
        <f aca="false">'COLECTOR PARAMETROS'!$C$31</f>
        <v>1.1</v>
      </c>
      <c r="K25" s="287" t="n">
        <f aca="false">'COLECTOR PARAMETROS'!$C$20</f>
        <v>0.56</v>
      </c>
      <c r="L25" s="21"/>
      <c r="M25" s="21"/>
      <c r="N25" s="21"/>
      <c r="O25" s="21"/>
      <c r="P25" s="21"/>
      <c r="Q25" s="21"/>
      <c r="R25" s="21"/>
      <c r="S25" s="21"/>
      <c r="T25" s="21"/>
      <c r="U25" s="296" t="n">
        <f aca="false">I25*J25*K25</f>
        <v>91.168</v>
      </c>
      <c r="V25" s="286" t="s">
        <v>834</v>
      </c>
    </row>
    <row r="26" customFormat="false" ht="30" hidden="false" customHeight="true" outlineLevel="0" collapsed="false">
      <c r="A26" s="21"/>
      <c r="B26" s="149" t="s">
        <v>760</v>
      </c>
      <c r="C26" s="283" t="s">
        <v>744</v>
      </c>
      <c r="D26" s="290" t="n">
        <f aca="false">'COLECTOR MOV. TIERRAS'!D22+2*'COLECTOR PARAMETROS'!$C$11</f>
        <v>3.8</v>
      </c>
      <c r="E26" s="287" t="n">
        <f aca="false">'COLECTOR MOV. TIERRAS'!E22+2*'COLECTOR PARAMETROS'!$C$11</f>
        <v>1.8</v>
      </c>
      <c r="F26" s="290" t="n">
        <f aca="false">'COLECTOR PARAMETROS'!$C$30</f>
        <v>0.2</v>
      </c>
      <c r="G26" s="298" t="n">
        <v>2</v>
      </c>
      <c r="H26" s="298" t="n">
        <v>1</v>
      </c>
      <c r="I26" s="290" t="n">
        <f aca="false">((D26/F26+1)*E26+(E26/F26+1)*D26)*G26*H26</f>
        <v>148</v>
      </c>
      <c r="J26" s="290" t="n">
        <f aca="false">'COLECTOR PARAMETROS'!$C$31</f>
        <v>1.1</v>
      </c>
      <c r="K26" s="287" t="n">
        <f aca="false">'COLECTOR PARAMETROS'!$C$20</f>
        <v>0.56</v>
      </c>
      <c r="L26" s="21"/>
      <c r="M26" s="21"/>
      <c r="N26" s="21"/>
      <c r="O26" s="21"/>
      <c r="P26" s="21"/>
      <c r="Q26" s="21"/>
      <c r="R26" s="21"/>
      <c r="S26" s="21"/>
      <c r="T26" s="21"/>
      <c r="U26" s="296" t="n">
        <f aca="false">I26*J26*K26</f>
        <v>91.168</v>
      </c>
      <c r="V26" s="286" t="s">
        <v>834</v>
      </c>
    </row>
    <row r="27" customFormat="false" ht="30" hidden="false" customHeight="true" outlineLevel="0" collapsed="false">
      <c r="A27" s="21"/>
      <c r="B27" s="149" t="s">
        <v>754</v>
      </c>
      <c r="C27" s="283" t="s">
        <v>835</v>
      </c>
      <c r="D27" s="290" t="n">
        <f aca="false">'COLECTOR MOV. TIERRAS'!D22+2*'COLECTOR PARAMETROS'!$C$11</f>
        <v>3.8</v>
      </c>
      <c r="E27" s="287" t="n">
        <f aca="false">'COLECTOR MOV. TIERRAS'!F22</f>
        <v>2.17999999999995</v>
      </c>
      <c r="F27" s="290" t="n">
        <f aca="false">'COLECTOR PARAMETROS'!$C$30</f>
        <v>0.2</v>
      </c>
      <c r="G27" s="298" t="n">
        <v>2</v>
      </c>
      <c r="H27" s="298" t="n">
        <v>2</v>
      </c>
      <c r="I27" s="290" t="n">
        <f aca="false">((D27/F27+1)*E27+(E27/F27+1)*D27)*G27*H27</f>
        <v>355.279999999992</v>
      </c>
      <c r="J27" s="290" t="n">
        <f aca="false">'COLECTOR PARAMETROS'!$C$31</f>
        <v>1.1</v>
      </c>
      <c r="K27" s="287" t="n">
        <f aca="false">'COLECTOR PARAMETROS'!$C$20</f>
        <v>0.56</v>
      </c>
      <c r="L27" s="21"/>
      <c r="M27" s="21"/>
      <c r="N27" s="21"/>
      <c r="O27" s="21"/>
      <c r="P27" s="21"/>
      <c r="Q27" s="21"/>
      <c r="R27" s="21"/>
      <c r="S27" s="21"/>
      <c r="T27" s="21"/>
      <c r="U27" s="296" t="n">
        <f aca="false">I27*J27*K27</f>
        <v>218.852479999995</v>
      </c>
      <c r="V27" s="286" t="s">
        <v>836</v>
      </c>
    </row>
    <row r="28" customFormat="false" ht="30" hidden="false" customHeight="true" outlineLevel="0" collapsed="false">
      <c r="A28" s="21"/>
      <c r="B28" s="149" t="s">
        <v>755</v>
      </c>
      <c r="C28" s="283" t="s">
        <v>837</v>
      </c>
      <c r="D28" s="290" t="n">
        <f aca="false">'COLECTOR MOV. TIERRAS'!E22</f>
        <v>1.5</v>
      </c>
      <c r="E28" s="287" t="n">
        <f aca="false">'COLECTOR MOV. TIERRAS'!F22</f>
        <v>2.17999999999995</v>
      </c>
      <c r="F28" s="290" t="n">
        <f aca="false">'COLECTOR PARAMETROS'!$C$30</f>
        <v>0.2</v>
      </c>
      <c r="G28" s="298" t="n">
        <v>2</v>
      </c>
      <c r="H28" s="298" t="n">
        <v>1</v>
      </c>
      <c r="I28" s="290" t="n">
        <f aca="false">((D28/F28+1)*E28+(E28/F28+1)*D28)*G28*H28</f>
        <v>72.7599999999984</v>
      </c>
      <c r="J28" s="290" t="n">
        <f aca="false">'COLECTOR PARAMETROS'!$C$31</f>
        <v>1.1</v>
      </c>
      <c r="K28" s="287" t="n">
        <f aca="false">'COLECTOR PARAMETROS'!$C$20</f>
        <v>0.56</v>
      </c>
      <c r="L28" s="21"/>
      <c r="M28" s="21"/>
      <c r="N28" s="21"/>
      <c r="O28" s="21"/>
      <c r="P28" s="21"/>
      <c r="Q28" s="21"/>
      <c r="R28" s="21"/>
      <c r="S28" s="21"/>
      <c r="T28" s="21"/>
      <c r="U28" s="296" t="n">
        <f aca="false">I28*J28*K28</f>
        <v>44.820159999999</v>
      </c>
      <c r="V28" s="286" t="s">
        <v>838</v>
      </c>
    </row>
    <row r="29" customFormat="false" ht="21.75" hidden="false" customHeight="true" outlineLevel="0" collapsed="false">
      <c r="A29" s="291" t="s">
        <v>690</v>
      </c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3" t="n">
        <f aca="false">SUM(U21:U28)</f>
        <v>684.52383999999</v>
      </c>
      <c r="V29" s="292"/>
    </row>
    <row r="31" customFormat="false" ht="19.5" hidden="false" customHeight="true" outlineLevel="0" collapsed="false">
      <c r="A31" s="294" t="s">
        <v>839</v>
      </c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</row>
    <row r="32" customFormat="false" ht="39.75" hidden="false" customHeight="true" outlineLevel="0" collapsed="false">
      <c r="A32" s="282" t="s">
        <v>331</v>
      </c>
      <c r="B32" s="282" t="s">
        <v>840</v>
      </c>
      <c r="C32" s="282" t="s">
        <v>841</v>
      </c>
      <c r="D32" s="282" t="s">
        <v>842</v>
      </c>
      <c r="E32" s="282" t="s">
        <v>843</v>
      </c>
      <c r="F32" s="282" t="s">
        <v>844</v>
      </c>
      <c r="G32" s="282" t="s">
        <v>845</v>
      </c>
      <c r="H32" s="282" t="s">
        <v>846</v>
      </c>
      <c r="I32" s="282" t="s">
        <v>815</v>
      </c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 t="s">
        <v>833</v>
      </c>
      <c r="V32" s="282" t="s">
        <v>657</v>
      </c>
    </row>
    <row r="33" customFormat="false" ht="30" hidden="false" customHeight="true" outlineLevel="0" collapsed="false">
      <c r="A33" s="283" t="n">
        <v>1</v>
      </c>
      <c r="B33" s="149" t="s">
        <v>847</v>
      </c>
      <c r="C33" s="288" t="s">
        <v>534</v>
      </c>
      <c r="D33" s="283" t="s">
        <v>848</v>
      </c>
      <c r="E33" s="298" t="n">
        <v>8</v>
      </c>
      <c r="F33" s="299" t="n">
        <f aca="false">'COLECTOR PARAMETROS'!$C$32</f>
        <v>10</v>
      </c>
      <c r="G33" s="289" t="n">
        <v>1.4</v>
      </c>
      <c r="H33" s="290" t="n">
        <f aca="false">E33*F33*G33</f>
        <v>112</v>
      </c>
      <c r="I33" s="287" t="n">
        <f aca="false">'COLECTOR PARAMETROS'!$C$21</f>
        <v>0.994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96" t="n">
        <f aca="false">H33*I33</f>
        <v>111.328</v>
      </c>
      <c r="V33" s="286" t="s">
        <v>849</v>
      </c>
    </row>
    <row r="34" customFormat="false" ht="30" hidden="false" customHeight="true" outlineLevel="0" collapsed="false">
      <c r="A34" s="283" t="n">
        <v>2</v>
      </c>
      <c r="B34" s="149" t="s">
        <v>850</v>
      </c>
      <c r="C34" s="288" t="s">
        <v>368</v>
      </c>
      <c r="D34" s="283" t="s">
        <v>848</v>
      </c>
      <c r="E34" s="298" t="n">
        <v>14</v>
      </c>
      <c r="F34" s="299" t="n">
        <f aca="false">'COLECTOR PARAMETROS'!$C$32</f>
        <v>10</v>
      </c>
      <c r="G34" s="289" t="n">
        <v>0.62</v>
      </c>
      <c r="H34" s="290" t="n">
        <f aca="false">E34*F34*G34</f>
        <v>86.8</v>
      </c>
      <c r="I34" s="287" t="n">
        <f aca="false">'COLECTOR PARAMETROS'!$C$20</f>
        <v>0.56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96" t="n">
        <f aca="false">H34*I34</f>
        <v>48.608</v>
      </c>
      <c r="V34" s="286" t="s">
        <v>851</v>
      </c>
    </row>
    <row r="35" customFormat="false" ht="30" hidden="false" customHeight="true" outlineLevel="0" collapsed="false">
      <c r="A35" s="283" t="n">
        <v>3</v>
      </c>
      <c r="B35" s="149" t="s">
        <v>852</v>
      </c>
      <c r="C35" s="288" t="s">
        <v>853</v>
      </c>
      <c r="D35" s="283" t="s">
        <v>854</v>
      </c>
      <c r="E35" s="298" t="n">
        <v>2</v>
      </c>
      <c r="F35" s="299" t="n">
        <f aca="false">'COLECTOR PARAMETROS'!$C$32</f>
        <v>10</v>
      </c>
      <c r="G35" s="289" t="n">
        <v>0.4</v>
      </c>
      <c r="H35" s="290" t="n">
        <f aca="false">E35*F35*G35</f>
        <v>8</v>
      </c>
      <c r="I35" s="287" t="n">
        <f aca="false">'COLECTOR PARAMETROS'!$C$20</f>
        <v>0.56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96" t="n">
        <f aca="false">H35*I35</f>
        <v>4.48</v>
      </c>
      <c r="V35" s="286" t="s">
        <v>855</v>
      </c>
    </row>
    <row r="36" customFormat="false" ht="30" hidden="false" customHeight="true" outlineLevel="0" collapsed="false">
      <c r="A36" s="283" t="n">
        <v>4</v>
      </c>
      <c r="B36" s="149" t="s">
        <v>856</v>
      </c>
      <c r="C36" s="288" t="s">
        <v>368</v>
      </c>
      <c r="D36" s="283" t="s">
        <v>857</v>
      </c>
      <c r="E36" s="298" t="n">
        <v>8</v>
      </c>
      <c r="F36" s="299" t="n">
        <f aca="false">'COLECTOR PARAMETROS'!$C$32</f>
        <v>10</v>
      </c>
      <c r="G36" s="289" t="n">
        <v>0.2</v>
      </c>
      <c r="H36" s="290" t="n">
        <f aca="false">E36*F36*G36</f>
        <v>16</v>
      </c>
      <c r="I36" s="287" t="n">
        <f aca="false">'COLECTOR PARAMETROS'!$C$20</f>
        <v>0.56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96" t="n">
        <f aca="false">H36*I36</f>
        <v>8.96</v>
      </c>
      <c r="V36" s="286" t="s">
        <v>858</v>
      </c>
    </row>
    <row r="37" customFormat="false" ht="21.75" hidden="false" customHeight="true" outlineLevel="0" collapsed="false">
      <c r="A37" s="291" t="s">
        <v>859</v>
      </c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3" t="n">
        <f aca="false">SUM(U33:U36)</f>
        <v>173.376</v>
      </c>
      <c r="V37" s="292"/>
    </row>
    <row r="39" customFormat="false" ht="19.5" hidden="false" customHeight="true" outlineLevel="0" collapsed="false">
      <c r="A39" s="294" t="s">
        <v>860</v>
      </c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</row>
    <row r="40" customFormat="false" ht="21.75" hidden="false" customHeight="true" outlineLevel="0" collapsed="false">
      <c r="A40" s="283" t="n">
        <v>1</v>
      </c>
      <c r="B40" s="295" t="s">
        <v>861</v>
      </c>
      <c r="C40" s="295"/>
      <c r="D40" s="295"/>
      <c r="E40" s="295"/>
      <c r="F40" s="285" t="s">
        <v>50</v>
      </c>
      <c r="G40" s="290" t="n">
        <f aca="false">SUMIF(J10:J16,"3/8""",P10:P16)+T17+U29</f>
        <v>2681.1755911111</v>
      </c>
      <c r="H40" s="290" t="n">
        <f aca="false">SUMIF(J10:J16,"1/2""",P10:P16)</f>
        <v>375.270784</v>
      </c>
      <c r="I40" s="296" t="n">
        <f aca="false">U17+U29</f>
        <v>3056.4463751111</v>
      </c>
    </row>
    <row r="41" customFormat="false" ht="21.75" hidden="false" customHeight="true" outlineLevel="0" collapsed="false">
      <c r="A41" s="283" t="n">
        <v>2</v>
      </c>
      <c r="B41" s="295" t="s">
        <v>862</v>
      </c>
      <c r="C41" s="295"/>
      <c r="D41" s="295"/>
      <c r="E41" s="295"/>
      <c r="F41" s="285" t="s">
        <v>50</v>
      </c>
      <c r="G41" s="290" t="n">
        <f aca="false">SUMIF(C33:C36,"3/8*",U33:U36)</f>
        <v>62.048</v>
      </c>
      <c r="H41" s="290" t="n">
        <f aca="false">SUMIF(C33:C36,"1/2*",U33:U36)</f>
        <v>111.328</v>
      </c>
      <c r="I41" s="296" t="n">
        <f aca="false">U37</f>
        <v>173.376</v>
      </c>
    </row>
  </sheetData>
  <mergeCells count="15">
    <mergeCell ref="A1:V1"/>
    <mergeCell ref="A2:B2"/>
    <mergeCell ref="C2:V2"/>
    <mergeCell ref="A3:B3"/>
    <mergeCell ref="C3:V3"/>
    <mergeCell ref="A4:B4"/>
    <mergeCell ref="C4:V4"/>
    <mergeCell ref="A5:B5"/>
    <mergeCell ref="C5:V5"/>
    <mergeCell ref="A7:V7"/>
    <mergeCell ref="A19:V19"/>
    <mergeCell ref="A31:V31"/>
    <mergeCell ref="A39:V39"/>
    <mergeCell ref="B40:E40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F36" activeCellId="0" sqref="F36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27" hidden="false" customHeight="true" outlineLevel="0" collapsed="false">
      <c r="A1" s="277" t="s">
        <v>863</v>
      </c>
      <c r="B1" s="277"/>
      <c r="C1" s="277"/>
      <c r="D1" s="277"/>
      <c r="E1" s="277"/>
      <c r="F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</row>
    <row r="7" customFormat="false" ht="48" hidden="false" customHeight="true" outlineLevel="0" collapsed="false">
      <c r="A7" s="281" t="s">
        <v>1189</v>
      </c>
      <c r="B7" s="281"/>
      <c r="C7" s="281"/>
      <c r="D7" s="281"/>
      <c r="E7" s="281"/>
      <c r="F7" s="281"/>
    </row>
    <row r="9" customFormat="false" ht="30" hidden="false" customHeight="true" outlineLevel="0" collapsed="false">
      <c r="A9" s="282" t="s">
        <v>331</v>
      </c>
      <c r="B9" s="282" t="s">
        <v>865</v>
      </c>
      <c r="C9" s="282" t="s">
        <v>866</v>
      </c>
      <c r="D9" s="282" t="s">
        <v>867</v>
      </c>
      <c r="E9" s="282" t="s">
        <v>868</v>
      </c>
      <c r="F9" s="282" t="s">
        <v>657</v>
      </c>
    </row>
    <row r="10" customFormat="false" ht="24" hidden="false" customHeight="true" outlineLevel="0" collapsed="false">
      <c r="A10" s="283" t="n">
        <v>1</v>
      </c>
      <c r="B10" s="283" t="s">
        <v>869</v>
      </c>
      <c r="C10" s="283" t="s">
        <v>659</v>
      </c>
      <c r="D10" s="149" t="s">
        <v>870</v>
      </c>
      <c r="E10" s="298" t="n">
        <v>1</v>
      </c>
      <c r="F10" s="286" t="s">
        <v>871</v>
      </c>
    </row>
    <row r="11" customFormat="false" ht="24" hidden="false" customHeight="true" outlineLevel="0" collapsed="false">
      <c r="A11" s="283" t="n">
        <v>2</v>
      </c>
      <c r="B11" s="283" t="s">
        <v>872</v>
      </c>
      <c r="C11" s="283" t="s">
        <v>873</v>
      </c>
      <c r="D11" s="149" t="s">
        <v>874</v>
      </c>
      <c r="E11" s="298" t="n">
        <v>1</v>
      </c>
      <c r="F11" s="286" t="s">
        <v>875</v>
      </c>
    </row>
    <row r="12" customFormat="false" ht="24" hidden="false" customHeight="true" outlineLevel="0" collapsed="false">
      <c r="A12" s="283" t="n">
        <v>3</v>
      </c>
      <c r="B12" s="283" t="s">
        <v>876</v>
      </c>
      <c r="C12" s="283" t="s">
        <v>877</v>
      </c>
      <c r="D12" s="149" t="s">
        <v>878</v>
      </c>
      <c r="E12" s="298" t="n">
        <v>1</v>
      </c>
      <c r="F12" s="286" t="s">
        <v>875</v>
      </c>
    </row>
    <row r="13" customFormat="false" ht="24" hidden="false" customHeight="true" outlineLevel="0" collapsed="false">
      <c r="A13" s="283" t="n">
        <v>4</v>
      </c>
      <c r="B13" s="283" t="s">
        <v>879</v>
      </c>
      <c r="C13" s="283" t="s">
        <v>880</v>
      </c>
      <c r="D13" s="149" t="s">
        <v>874</v>
      </c>
      <c r="E13" s="298" t="n">
        <v>1</v>
      </c>
      <c r="F13" s="286" t="s">
        <v>875</v>
      </c>
    </row>
    <row r="14" customFormat="false" ht="24" hidden="false" customHeight="true" outlineLevel="0" collapsed="false">
      <c r="A14" s="283" t="n">
        <v>5</v>
      </c>
      <c r="B14" s="283" t="s">
        <v>881</v>
      </c>
      <c r="C14" s="283" t="s">
        <v>882</v>
      </c>
      <c r="D14" s="149" t="s">
        <v>874</v>
      </c>
      <c r="E14" s="298" t="n">
        <v>1</v>
      </c>
      <c r="F14" s="286" t="s">
        <v>875</v>
      </c>
    </row>
    <row r="15" customFormat="false" ht="24" hidden="false" customHeight="true" outlineLevel="0" collapsed="false">
      <c r="A15" s="283" t="n">
        <v>6</v>
      </c>
      <c r="B15" s="283" t="s">
        <v>883</v>
      </c>
      <c r="C15" s="283" t="s">
        <v>884</v>
      </c>
      <c r="D15" s="149" t="s">
        <v>878</v>
      </c>
      <c r="E15" s="298" t="n">
        <v>1</v>
      </c>
      <c r="F15" s="286" t="s">
        <v>875</v>
      </c>
    </row>
    <row r="16" customFormat="false" ht="24" hidden="false" customHeight="true" outlineLevel="0" collapsed="false">
      <c r="A16" s="283" t="n">
        <v>7</v>
      </c>
      <c r="B16" s="283" t="s">
        <v>885</v>
      </c>
      <c r="C16" s="283" t="s">
        <v>669</v>
      </c>
      <c r="D16" s="149" t="s">
        <v>878</v>
      </c>
      <c r="E16" s="298" t="n">
        <v>1</v>
      </c>
      <c r="F16" s="286" t="s">
        <v>875</v>
      </c>
    </row>
    <row r="17" customFormat="false" ht="24" hidden="false" customHeight="true" outlineLevel="0" collapsed="false">
      <c r="A17" s="283" t="n">
        <v>8</v>
      </c>
      <c r="B17" s="283" t="s">
        <v>886</v>
      </c>
      <c r="C17" s="283" t="s">
        <v>671</v>
      </c>
      <c r="D17" s="149" t="s">
        <v>878</v>
      </c>
      <c r="E17" s="298" t="n">
        <v>1</v>
      </c>
      <c r="F17" s="286" t="s">
        <v>875</v>
      </c>
    </row>
    <row r="18" customFormat="false" ht="24" hidden="false" customHeight="true" outlineLevel="0" collapsed="false">
      <c r="A18" s="283" t="n">
        <v>9</v>
      </c>
      <c r="B18" s="283" t="s">
        <v>887</v>
      </c>
      <c r="C18" s="283" t="s">
        <v>673</v>
      </c>
      <c r="D18" s="149" t="s">
        <v>888</v>
      </c>
      <c r="E18" s="298" t="n">
        <v>2</v>
      </c>
      <c r="F18" s="286" t="s">
        <v>871</v>
      </c>
    </row>
    <row r="19" customFormat="false" ht="21.75" hidden="false" customHeight="true" outlineLevel="0" collapsed="false">
      <c r="A19" s="291" t="s">
        <v>889</v>
      </c>
      <c r="B19" s="292"/>
      <c r="C19" s="292"/>
      <c r="D19" s="292"/>
      <c r="E19" s="300" t="n">
        <f aca="false">SUM(E10:E18)</f>
        <v>10.0</v>
      </c>
      <c r="F19" s="292"/>
    </row>
    <row r="21" customFormat="false" ht="19.5" hidden="false" customHeight="true" outlineLevel="0" collapsed="false">
      <c r="A21" s="294" t="s">
        <v>890</v>
      </c>
      <c r="B21" s="294"/>
      <c r="C21" s="294"/>
      <c r="D21" s="294"/>
      <c r="E21" s="294"/>
      <c r="F21" s="294"/>
    </row>
    <row r="22" customFormat="false" ht="30" hidden="false" customHeight="true" outlineLevel="0" collapsed="false">
      <c r="A22" s="282" t="s">
        <v>331</v>
      </c>
      <c r="B22" s="282" t="s">
        <v>891</v>
      </c>
      <c r="C22" s="282" t="s">
        <v>151</v>
      </c>
      <c r="D22" s="282" t="s">
        <v>892</v>
      </c>
      <c r="E22" s="282" t="s">
        <v>150</v>
      </c>
      <c r="F22" s="282" t="s">
        <v>657</v>
      </c>
    </row>
    <row r="23" customFormat="false" ht="30" hidden="false" customHeight="true" outlineLevel="0" collapsed="false">
      <c r="A23" s="283" t="n">
        <v>1</v>
      </c>
      <c r="B23" s="149" t="s">
        <v>1190</v>
      </c>
      <c r="C23" s="285" t="s">
        <v>60</v>
      </c>
      <c r="D23" s="283" t="s">
        <v>894</v>
      </c>
      <c r="E23" s="296" t="n">
        <f aca="false">E19</f>
        <v>10.0</v>
      </c>
      <c r="F23" s="286" t="s">
        <v>770</v>
      </c>
    </row>
    <row r="24" customFormat="false" ht="30" hidden="false" customHeight="true" outlineLevel="0" collapsed="false">
      <c r="A24" s="283" t="n">
        <v>2</v>
      </c>
      <c r="B24" s="149" t="s">
        <v>895</v>
      </c>
      <c r="C24" s="285" t="s">
        <v>60</v>
      </c>
      <c r="D24" s="283" t="s">
        <v>896</v>
      </c>
      <c r="E24" s="296" t="n">
        <f aca="false">E19</f>
        <v>10.0</v>
      </c>
      <c r="F24" s="286" t="s">
        <v>770</v>
      </c>
    </row>
    <row r="25" customFormat="false" ht="30" hidden="false" customHeight="true" outlineLevel="0" collapsed="false">
      <c r="A25" s="283" t="n">
        <v>3</v>
      </c>
      <c r="B25" s="149" t="s">
        <v>897</v>
      </c>
      <c r="C25" s="285" t="s">
        <v>50</v>
      </c>
      <c r="D25" s="283" t="s">
        <v>1191</v>
      </c>
      <c r="E25" s="296" t="n">
        <f aca="false">E19*('COLECTOR PARAMETROS'!$C$36*'COLECTOR PARAMETROS'!$C$38+'COLECTOR PARAMETROS'!$C$37*'COLECTOR PARAMETROS'!$C$39)</f>
        <v>101.016</v>
      </c>
      <c r="F25" s="286" t="s">
        <v>899</v>
      </c>
    </row>
    <row r="26" customFormat="false" ht="30" hidden="false" customHeight="true" outlineLevel="0" collapsed="false">
      <c r="A26" s="283" t="n">
        <v>4</v>
      </c>
      <c r="B26" s="149" t="s">
        <v>900</v>
      </c>
      <c r="C26" s="285" t="s">
        <v>60</v>
      </c>
      <c r="D26" s="283" t="s">
        <v>894</v>
      </c>
      <c r="E26" s="296" t="n">
        <f aca="false">E19</f>
        <v>10.0</v>
      </c>
      <c r="F26" s="286" t="s">
        <v>770</v>
      </c>
    </row>
    <row r="27" customFormat="false" ht="30" hidden="false" customHeight="true" outlineLevel="0" collapsed="false">
      <c r="A27" s="283" t="n">
        <v>5</v>
      </c>
      <c r="B27" s="149" t="s">
        <v>901</v>
      </c>
      <c r="C27" s="285" t="s">
        <v>167</v>
      </c>
      <c r="D27" s="283" t="s">
        <v>902</v>
      </c>
      <c r="E27" s="296" t="n">
        <f aca="false">E19*'COLECTOR PARAMETROS'!$C$33*'COLECTOR PARAMETROS'!$C$33*'COLECTOR PARAMETROS'!$C$34</f>
        <v>0.36992</v>
      </c>
      <c r="F27" s="286" t="s">
        <v>770</v>
      </c>
    </row>
    <row r="28" customFormat="false" ht="30" hidden="false" customHeight="true" outlineLevel="0" collapsed="false">
      <c r="A28" s="283" t="n">
        <v>6</v>
      </c>
      <c r="B28" s="149" t="s">
        <v>903</v>
      </c>
      <c r="C28" s="285" t="s">
        <v>168</v>
      </c>
      <c r="D28" s="283" t="s">
        <v>1192</v>
      </c>
      <c r="E28" s="296" t="n">
        <f aca="false">E19*('COLECTOR PARAMETROS'!$C$36*'COLECTOR PARAMETROS'!$C$40+'COLECTOR PARAMETROS'!$C$37*'COLECTOR PARAMETROS'!$C$41)</f>
        <v>8.3904</v>
      </c>
      <c r="F28" s="286" t="s">
        <v>905</v>
      </c>
    </row>
  </sheetData>
  <mergeCells count="11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52"/>
  </cols>
  <sheetData>
    <row r="1" customFormat="false" ht="27" hidden="false" customHeight="true" outlineLevel="0" collapsed="false">
      <c r="A1" s="277" t="s">
        <v>906</v>
      </c>
      <c r="B1" s="277"/>
      <c r="C1" s="277"/>
      <c r="D1" s="277"/>
      <c r="E1" s="277"/>
      <c r="F1" s="277"/>
      <c r="G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</row>
    <row r="7" customFormat="false" ht="48" hidden="false" customHeight="true" outlineLevel="0" collapsed="false">
      <c r="A7" s="281" t="s">
        <v>907</v>
      </c>
      <c r="B7" s="281"/>
      <c r="C7" s="281"/>
      <c r="D7" s="281"/>
      <c r="E7" s="281"/>
      <c r="F7" s="281"/>
      <c r="G7" s="281"/>
    </row>
    <row r="9" customFormat="false" ht="30" hidden="false" customHeight="true" outlineLevel="0" collapsed="false">
      <c r="A9" s="282" t="s">
        <v>331</v>
      </c>
      <c r="B9" s="282" t="s">
        <v>840</v>
      </c>
      <c r="C9" s="282" t="s">
        <v>908</v>
      </c>
      <c r="D9" s="282" t="s">
        <v>262</v>
      </c>
      <c r="E9" s="282" t="s">
        <v>287</v>
      </c>
      <c r="F9" s="282" t="s">
        <v>909</v>
      </c>
      <c r="G9" s="282" t="s">
        <v>657</v>
      </c>
    </row>
    <row r="10" customFormat="false" ht="19.5" hidden="false" customHeight="true" outlineLevel="0" collapsed="false">
      <c r="A10" s="294" t="s">
        <v>910</v>
      </c>
      <c r="B10" s="294"/>
      <c r="C10" s="294"/>
      <c r="D10" s="294"/>
      <c r="E10" s="294"/>
      <c r="F10" s="294"/>
      <c r="G10" s="294"/>
    </row>
    <row r="11" customFormat="false" ht="30" hidden="false" customHeight="true" outlineLevel="0" collapsed="false">
      <c r="A11" s="283" t="n">
        <v>1</v>
      </c>
      <c r="B11" s="149" t="s">
        <v>911</v>
      </c>
      <c r="C11" s="301" t="str">
        <f aca="false">"n = ENTERO("&amp;TEXT('COLECTOR PARAMETROS'!$C$64,"0.00")&amp;" / 4.00)"</f>
        <v>n = ENTERO(69.89 / 4.00)</v>
      </c>
      <c r="D11" s="299" t="n">
        <f aca="false">INT('COLECTOR PARAMETROS'!$C$64/'COLECTOR PARAMETROS'!$C$62)</f>
        <v>17</v>
      </c>
      <c r="E11" s="290" t="n">
        <f aca="false">2*('COLECTOR PARAMETROS'!$C$10+2*'COLECTOR PARAMETROS'!$C$11)+2*('COLECTOR PARAMETROS'!$C$12+'COLECTOR PARAMETROS'!$C$63+'COLECTOR PARAMETROS'!$C$13)</f>
        <v>5.92</v>
      </c>
      <c r="F11" s="290" t="n">
        <f aca="false">D11*E11</f>
        <v>100.64</v>
      </c>
      <c r="G11" s="286" t="s">
        <v>912</v>
      </c>
    </row>
    <row r="12" customFormat="false" ht="21.75" hidden="false" customHeight="true" outlineLevel="0" collapsed="false">
      <c r="A12" s="291" t="s">
        <v>913</v>
      </c>
      <c r="B12" s="302"/>
      <c r="C12" s="292"/>
      <c r="D12" s="292"/>
      <c r="E12" s="292"/>
      <c r="F12" s="293" t="n">
        <f aca="false">SUM(F11:F11)</f>
        <v>100.64</v>
      </c>
      <c r="G12" s="292"/>
    </row>
    <row r="13" customFormat="false" ht="14.25" hidden="false" customHeight="false" outlineLevel="0" collapsed="false">
      <c r="B13" s="303"/>
    </row>
    <row r="14" customFormat="false" ht="19.5" hidden="false" customHeight="true" outlineLevel="0" collapsed="false">
      <c r="A14" s="294" t="s">
        <v>914</v>
      </c>
      <c r="B14" s="294"/>
      <c r="C14" s="294"/>
      <c r="D14" s="294"/>
      <c r="E14" s="294"/>
      <c r="F14" s="294"/>
      <c r="G14" s="294"/>
    </row>
    <row r="15" customFormat="false" ht="30" hidden="false" customHeight="true" outlineLevel="0" collapsed="false">
      <c r="A15" s="283" t="n">
        <v>1</v>
      </c>
      <c r="B15" s="149" t="s">
        <v>915</v>
      </c>
      <c r="C15" s="301" t="str">
        <f aca="false">"0+000.00 a 0+"&amp;TEXT('COLECTOR PARAMETROS'!$C$65,"000.00")</f>
        <v>0+000.00 a 0+058.81</v>
      </c>
      <c r="D15" s="298" t="n">
        <v>1</v>
      </c>
      <c r="E15" s="290" t="n">
        <f aca="false">'COLECTOR PARAMETROS'!$C$65</f>
        <v>58.805</v>
      </c>
      <c r="F15" s="290" t="n">
        <f aca="false">D15*E15</f>
        <v>58.805</v>
      </c>
      <c r="G15" s="286" t="s">
        <v>916</v>
      </c>
    </row>
    <row r="16" customFormat="false" ht="30" hidden="false" customHeight="true" outlineLevel="0" collapsed="false">
      <c r="A16" s="283" t="n">
        <v>2</v>
      </c>
      <c r="B16" s="149" t="s">
        <v>917</v>
      </c>
      <c r="C16" s="301" t="str">
        <f aca="false">"2 x 0+"&amp;TEXT('COLECTOR PARAMETROS'!$C$64,"000.00")</f>
        <v>2 x 0+069.89</v>
      </c>
      <c r="D16" s="298" t="n">
        <v>2</v>
      </c>
      <c r="E16" s="290" t="n">
        <f aca="false">'COLECTOR PARAMETROS'!$C$64</f>
        <v>69.887</v>
      </c>
      <c r="F16" s="290" t="n">
        <f aca="false">D16*E16</f>
        <v>139.774</v>
      </c>
      <c r="G16" s="286" t="s">
        <v>918</v>
      </c>
    </row>
    <row r="17" customFormat="false" ht="30" hidden="false" customHeight="true" outlineLevel="0" collapsed="false">
      <c r="A17" s="283" t="n">
        <v>3</v>
      </c>
      <c r="B17" s="149" t="s">
        <v>919</v>
      </c>
      <c r="C17" s="283" t="s">
        <v>920</v>
      </c>
      <c r="D17" s="298" t="n">
        <v>2</v>
      </c>
      <c r="E17" s="290" t="n">
        <f aca="false">'COLECTOR MOV. TIERRAS'!D21+2*'COLECTOR PARAMETROS'!$C$11+0.3</f>
        <v>2.1</v>
      </c>
      <c r="F17" s="290" t="n">
        <f aca="false">D17*E17</f>
        <v>4.2</v>
      </c>
      <c r="G17" s="286" t="s">
        <v>871</v>
      </c>
    </row>
    <row r="18" customFormat="false" ht="30" hidden="false" customHeight="true" outlineLevel="0" collapsed="false">
      <c r="A18" s="283" t="n">
        <v>4</v>
      </c>
      <c r="B18" s="149" t="s">
        <v>921</v>
      </c>
      <c r="C18" s="283" t="s">
        <v>920</v>
      </c>
      <c r="D18" s="298" t="n">
        <v>2</v>
      </c>
      <c r="E18" s="290" t="n">
        <f aca="false">'COLECTOR MOV. TIERRAS'!D22+2*'COLECTOR PARAMETROS'!$C$11+0.3</f>
        <v>4.1</v>
      </c>
      <c r="F18" s="290" t="n">
        <f aca="false">D18*E18</f>
        <v>8.2</v>
      </c>
      <c r="G18" s="286" t="s">
        <v>871</v>
      </c>
    </row>
    <row r="19" customFormat="false" ht="21.75" hidden="false" customHeight="true" outlineLevel="0" collapsed="false">
      <c r="A19" s="291" t="s">
        <v>922</v>
      </c>
      <c r="B19" s="302"/>
      <c r="C19" s="292"/>
      <c r="D19" s="292"/>
      <c r="E19" s="292"/>
      <c r="F19" s="293" t="n">
        <f aca="false">SUM(F15:F18)</f>
        <v>210.979</v>
      </c>
      <c r="G19" s="292"/>
    </row>
    <row r="20" customFormat="false" ht="14.25" hidden="false" customHeight="false" outlineLevel="0" collapsed="false">
      <c r="B20" s="303"/>
    </row>
    <row r="21" customFormat="false" ht="19.5" hidden="false" customHeight="true" outlineLevel="0" collapsed="false">
      <c r="A21" s="294" t="s">
        <v>923</v>
      </c>
      <c r="B21" s="294"/>
      <c r="C21" s="294"/>
      <c r="D21" s="294"/>
      <c r="E21" s="294"/>
      <c r="F21" s="294"/>
      <c r="G21" s="294"/>
    </row>
    <row r="22" customFormat="false" ht="24" hidden="false" customHeight="true" outlineLevel="0" collapsed="false">
      <c r="A22" s="283" t="n">
        <v>1</v>
      </c>
      <c r="B22" s="149" t="s">
        <v>924</v>
      </c>
      <c r="C22" s="283" t="s">
        <v>925</v>
      </c>
      <c r="D22" s="298" t="n">
        <v>1</v>
      </c>
      <c r="E22" s="21"/>
      <c r="F22" s="299" t="n">
        <f aca="false">D22</f>
        <v>1</v>
      </c>
      <c r="G22" s="286" t="s">
        <v>926</v>
      </c>
    </row>
    <row r="23" customFormat="false" ht="24" hidden="false" customHeight="true" outlineLevel="0" collapsed="false">
      <c r="A23" s="283" t="n">
        <v>2</v>
      </c>
      <c r="B23" s="149" t="s">
        <v>927</v>
      </c>
      <c r="C23" s="283" t="s">
        <v>873</v>
      </c>
      <c r="D23" s="298" t="n">
        <v>1</v>
      </c>
      <c r="E23" s="21"/>
      <c r="F23" s="299" t="n">
        <f aca="false">D23</f>
        <v>1</v>
      </c>
      <c r="G23" s="286" t="s">
        <v>926</v>
      </c>
    </row>
    <row r="24" customFormat="false" ht="24" hidden="false" customHeight="true" outlineLevel="0" collapsed="false">
      <c r="A24" s="283" t="n">
        <v>3</v>
      </c>
      <c r="B24" s="149" t="s">
        <v>928</v>
      </c>
      <c r="C24" s="283" t="s">
        <v>880</v>
      </c>
      <c r="D24" s="298" t="n">
        <v>1</v>
      </c>
      <c r="E24" s="21"/>
      <c r="F24" s="299" t="n">
        <f aca="false">D24</f>
        <v>1</v>
      </c>
      <c r="G24" s="286" t="s">
        <v>926</v>
      </c>
    </row>
    <row r="25" customFormat="false" ht="24" hidden="false" customHeight="true" outlineLevel="0" collapsed="false">
      <c r="A25" s="283" t="n">
        <v>4</v>
      </c>
      <c r="B25" s="149" t="s">
        <v>929</v>
      </c>
      <c r="C25" s="283" t="s">
        <v>882</v>
      </c>
      <c r="D25" s="298" t="n">
        <v>1</v>
      </c>
      <c r="E25" s="21"/>
      <c r="F25" s="299" t="n">
        <f aca="false">D25</f>
        <v>1</v>
      </c>
      <c r="G25" s="286" t="s">
        <v>926</v>
      </c>
    </row>
    <row r="26" customFormat="false" ht="24" hidden="false" customHeight="true" outlineLevel="0" collapsed="false">
      <c r="A26" s="283" t="n">
        <v>5</v>
      </c>
      <c r="B26" s="149" t="s">
        <v>930</v>
      </c>
      <c r="C26" s="283" t="s">
        <v>931</v>
      </c>
      <c r="D26" s="298" t="n">
        <v>1</v>
      </c>
      <c r="E26" s="21"/>
      <c r="F26" s="299" t="n">
        <f aca="false">D26</f>
        <v>1</v>
      </c>
      <c r="G26" s="286" t="s">
        <v>926</v>
      </c>
    </row>
    <row r="27" customFormat="false" ht="24" hidden="false" customHeight="true" outlineLevel="0" collapsed="false">
      <c r="A27" s="283" t="n">
        <v>6</v>
      </c>
      <c r="B27" s="149" t="s">
        <v>932</v>
      </c>
      <c r="C27" s="283" t="s">
        <v>933</v>
      </c>
      <c r="D27" s="298" t="n">
        <v>1</v>
      </c>
      <c r="E27" s="21"/>
      <c r="F27" s="299" t="n">
        <f aca="false">D27</f>
        <v>1</v>
      </c>
      <c r="G27" s="286" t="s">
        <v>926</v>
      </c>
    </row>
    <row r="28" customFormat="false" ht="21.75" hidden="false" customHeight="true" outlineLevel="0" collapsed="false">
      <c r="A28" s="291" t="s">
        <v>934</v>
      </c>
      <c r="B28" s="302"/>
      <c r="C28" s="292"/>
      <c r="D28" s="292"/>
      <c r="E28" s="292"/>
      <c r="F28" s="300" t="n">
        <f aca="false">SUM(F22:F27)</f>
        <v>6</v>
      </c>
      <c r="G28" s="292"/>
    </row>
    <row r="30" customFormat="false" ht="33.75" hidden="false" customHeight="true" outlineLevel="0" collapsed="false">
      <c r="A30" s="297" t="s">
        <v>935</v>
      </c>
      <c r="B30" s="297"/>
      <c r="C30" s="297"/>
      <c r="D30" s="297"/>
      <c r="E30" s="297"/>
      <c r="F30" s="297"/>
      <c r="G30" s="297"/>
    </row>
  </sheetData>
  <mergeCells count="14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7:G7"/>
    <mergeCell ref="A10:G10"/>
    <mergeCell ref="A14:G14"/>
    <mergeCell ref="A21:G21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27" hidden="false" customHeight="true" outlineLevel="0" collapsed="false">
      <c r="A1" s="277" t="s">
        <v>936</v>
      </c>
      <c r="B1" s="277"/>
      <c r="C1" s="277"/>
      <c r="D1" s="277"/>
      <c r="E1" s="277"/>
      <c r="F1" s="277"/>
      <c r="G1" s="277"/>
      <c r="H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</row>
    <row r="7" customFormat="false" ht="48" hidden="false" customHeight="true" outlineLevel="0" collapsed="false">
      <c r="A7" s="281" t="s">
        <v>937</v>
      </c>
      <c r="B7" s="281"/>
      <c r="C7" s="281"/>
      <c r="D7" s="281"/>
      <c r="E7" s="281"/>
      <c r="F7" s="281"/>
      <c r="G7" s="281"/>
      <c r="H7" s="281"/>
    </row>
    <row r="9" customFormat="false" ht="39.75" hidden="false" customHeight="true" outlineLevel="0" collapsed="false">
      <c r="A9" s="282" t="s">
        <v>331</v>
      </c>
      <c r="B9" s="282" t="s">
        <v>891</v>
      </c>
      <c r="C9" s="282" t="s">
        <v>151</v>
      </c>
      <c r="D9" s="282" t="s">
        <v>938</v>
      </c>
      <c r="E9" s="282" t="s">
        <v>939</v>
      </c>
      <c r="F9" s="282" t="s">
        <v>940</v>
      </c>
      <c r="G9" s="282" t="s">
        <v>941</v>
      </c>
      <c r="H9" s="282" t="s">
        <v>942</v>
      </c>
    </row>
    <row r="10" customFormat="false" ht="19.5" hidden="false" customHeight="true" outlineLevel="0" collapsed="false">
      <c r="A10" s="283" t="n">
        <v>1</v>
      </c>
      <c r="B10" s="295" t="s">
        <v>943</v>
      </c>
      <c r="C10" s="285" t="s">
        <v>167</v>
      </c>
      <c r="D10" s="290" t="n">
        <f aca="false">SUM('PLANILLA GENERAL DE METRADOS'!J241:J249)</f>
        <v>13.05885</v>
      </c>
      <c r="E10" s="295" t="s">
        <v>944</v>
      </c>
      <c r="F10" s="285" t="s">
        <v>945</v>
      </c>
      <c r="G10" s="284" t="n">
        <v>9.73</v>
      </c>
      <c r="H10" s="296" t="n">
        <f aca="false">G10*$D$10</f>
        <v>127.0626105</v>
      </c>
    </row>
    <row r="11" customFormat="false" ht="19.5" hidden="false" customHeight="true" outlineLevel="0" collapsed="false">
      <c r="A11" s="21"/>
      <c r="B11" s="304"/>
      <c r="C11" s="21"/>
      <c r="D11" s="21"/>
      <c r="E11" s="295" t="s">
        <v>946</v>
      </c>
      <c r="F11" s="285" t="s">
        <v>167</v>
      </c>
      <c r="G11" s="284" t="n">
        <v>0.52</v>
      </c>
      <c r="H11" s="296" t="n">
        <f aca="false">G11*$D$10</f>
        <v>6.790602</v>
      </c>
    </row>
    <row r="12" customFormat="false" ht="19.5" hidden="false" customHeight="true" outlineLevel="0" collapsed="false">
      <c r="A12" s="21"/>
      <c r="B12" s="304"/>
      <c r="C12" s="21"/>
      <c r="D12" s="21"/>
      <c r="E12" s="295" t="s">
        <v>947</v>
      </c>
      <c r="F12" s="285" t="s">
        <v>167</v>
      </c>
      <c r="G12" s="284" t="n">
        <v>0.53</v>
      </c>
      <c r="H12" s="296" t="n">
        <f aca="false">G12*$D$10</f>
        <v>6.9211905</v>
      </c>
    </row>
    <row r="13" customFormat="false" ht="19.5" hidden="false" customHeight="true" outlineLevel="0" collapsed="false">
      <c r="A13" s="21"/>
      <c r="B13" s="304"/>
      <c r="C13" s="21"/>
      <c r="D13" s="21"/>
      <c r="E13" s="295" t="s">
        <v>948</v>
      </c>
      <c r="F13" s="285" t="s">
        <v>167</v>
      </c>
      <c r="G13" s="284" t="n">
        <v>0.186</v>
      </c>
      <c r="H13" s="296" t="n">
        <f aca="false">G13*$D$10</f>
        <v>2.4289461</v>
      </c>
    </row>
    <row r="14" customFormat="false" ht="19.5" hidden="false" customHeight="true" outlineLevel="0" collapsed="false">
      <c r="A14" s="21"/>
      <c r="B14" s="304"/>
      <c r="C14" s="21"/>
      <c r="D14" s="21"/>
      <c r="E14" s="295" t="s">
        <v>949</v>
      </c>
      <c r="F14" s="285" t="s">
        <v>950</v>
      </c>
      <c r="G14" s="284" t="n">
        <v>0.8</v>
      </c>
      <c r="H14" s="296" t="n">
        <f aca="false">G14*$D$10</f>
        <v>10.44708</v>
      </c>
    </row>
    <row r="15" customFormat="false" ht="19.5" hidden="false" customHeight="true" outlineLevel="0" collapsed="false">
      <c r="A15" s="21"/>
      <c r="B15" s="304"/>
      <c r="C15" s="21"/>
      <c r="D15" s="21"/>
      <c r="E15" s="295" t="s">
        <v>951</v>
      </c>
      <c r="F15" s="285" t="s">
        <v>950</v>
      </c>
      <c r="G15" s="284" t="n">
        <v>0.8</v>
      </c>
      <c r="H15" s="296" t="n">
        <f aca="false">G15*$D$10</f>
        <v>10.44708</v>
      </c>
    </row>
    <row r="16" customFormat="false" ht="19.5" hidden="false" customHeight="true" outlineLevel="0" collapsed="false">
      <c r="A16" s="21"/>
      <c r="B16" s="304"/>
      <c r="C16" s="21"/>
      <c r="D16" s="21"/>
      <c r="E16" s="295" t="s">
        <v>952</v>
      </c>
      <c r="F16" s="285" t="s">
        <v>953</v>
      </c>
      <c r="G16" s="284" t="n">
        <v>0.8</v>
      </c>
      <c r="H16" s="296" t="n">
        <f aca="false">G16*$D$10</f>
        <v>10.44708</v>
      </c>
    </row>
    <row r="17" customFormat="false" ht="19.5" hidden="false" customHeight="true" outlineLevel="0" collapsed="false">
      <c r="A17" s="21"/>
      <c r="B17" s="304"/>
      <c r="C17" s="21"/>
      <c r="D17" s="21"/>
      <c r="E17" s="295" t="s">
        <v>954</v>
      </c>
      <c r="F17" s="285" t="s">
        <v>953</v>
      </c>
      <c r="G17" s="284" t="n">
        <v>0.8</v>
      </c>
      <c r="H17" s="296" t="n">
        <f aca="false">G17*$D$10</f>
        <v>10.44708</v>
      </c>
    </row>
    <row r="18" customFormat="false" ht="19.5" hidden="false" customHeight="true" outlineLevel="0" collapsed="false">
      <c r="A18" s="21"/>
      <c r="B18" s="304"/>
      <c r="C18" s="21"/>
      <c r="D18" s="21"/>
      <c r="E18" s="295" t="s">
        <v>955</v>
      </c>
      <c r="F18" s="285" t="s">
        <v>953</v>
      </c>
      <c r="G18" s="284" t="n">
        <v>6.4</v>
      </c>
      <c r="H18" s="296" t="n">
        <f aca="false">G18*$D$10</f>
        <v>83.57664</v>
      </c>
    </row>
    <row r="19" customFormat="false" ht="19.5" hidden="false" customHeight="true" outlineLevel="0" collapsed="false">
      <c r="A19" s="283" t="n">
        <v>2</v>
      </c>
      <c r="B19" s="295" t="s">
        <v>956</v>
      </c>
      <c r="C19" s="285" t="s">
        <v>167</v>
      </c>
      <c r="D19" s="290" t="n">
        <f aca="false">SUM('PLANILLA GENERAL DE METRADOS'!J251:J259)</f>
        <v>35.8622159999999</v>
      </c>
      <c r="E19" s="295" t="s">
        <v>944</v>
      </c>
      <c r="F19" s="285" t="s">
        <v>945</v>
      </c>
      <c r="G19" s="284" t="n">
        <v>9.73</v>
      </c>
      <c r="H19" s="296" t="n">
        <f aca="false">G19*$D$19</f>
        <v>348.939361679999</v>
      </c>
    </row>
    <row r="20" customFormat="false" ht="19.5" hidden="false" customHeight="true" outlineLevel="0" collapsed="false">
      <c r="A20" s="21"/>
      <c r="B20" s="304"/>
      <c r="C20" s="21"/>
      <c r="D20" s="21"/>
      <c r="E20" s="295" t="s">
        <v>946</v>
      </c>
      <c r="F20" s="285" t="s">
        <v>167</v>
      </c>
      <c r="G20" s="284" t="n">
        <v>0.52</v>
      </c>
      <c r="H20" s="296" t="n">
        <f aca="false">G20*$D$19</f>
        <v>18.6483523199999</v>
      </c>
    </row>
    <row r="21" customFormat="false" ht="19.5" hidden="false" customHeight="true" outlineLevel="0" collapsed="false">
      <c r="A21" s="21"/>
      <c r="B21" s="304"/>
      <c r="C21" s="21"/>
      <c r="D21" s="21"/>
      <c r="E21" s="295" t="s">
        <v>947</v>
      </c>
      <c r="F21" s="285" t="s">
        <v>167</v>
      </c>
      <c r="G21" s="284" t="n">
        <v>0.53</v>
      </c>
      <c r="H21" s="296" t="n">
        <f aca="false">G21*$D$19</f>
        <v>19.0069744799999</v>
      </c>
    </row>
    <row r="22" customFormat="false" ht="19.5" hidden="false" customHeight="true" outlineLevel="0" collapsed="false">
      <c r="A22" s="21"/>
      <c r="B22" s="304"/>
      <c r="C22" s="21"/>
      <c r="D22" s="21"/>
      <c r="E22" s="295" t="s">
        <v>948</v>
      </c>
      <c r="F22" s="285" t="s">
        <v>167</v>
      </c>
      <c r="G22" s="284" t="n">
        <v>0.186</v>
      </c>
      <c r="H22" s="296" t="n">
        <f aca="false">G22*$D$19</f>
        <v>6.67037217599998</v>
      </c>
    </row>
    <row r="23" customFormat="false" ht="19.5" hidden="false" customHeight="true" outlineLevel="0" collapsed="false">
      <c r="A23" s="21"/>
      <c r="B23" s="304"/>
      <c r="C23" s="21"/>
      <c r="D23" s="21"/>
      <c r="E23" s="295" t="s">
        <v>949</v>
      </c>
      <c r="F23" s="285" t="s">
        <v>950</v>
      </c>
      <c r="G23" s="284" t="n">
        <v>1</v>
      </c>
      <c r="H23" s="296" t="n">
        <f aca="false">G23*$D$19</f>
        <v>35.8622159999999</v>
      </c>
    </row>
    <row r="24" customFormat="false" ht="19.5" hidden="false" customHeight="true" outlineLevel="0" collapsed="false">
      <c r="A24" s="21"/>
      <c r="B24" s="304"/>
      <c r="C24" s="21"/>
      <c r="D24" s="21"/>
      <c r="E24" s="295" t="s">
        <v>951</v>
      </c>
      <c r="F24" s="285" t="s">
        <v>950</v>
      </c>
      <c r="G24" s="284" t="n">
        <v>1</v>
      </c>
      <c r="H24" s="296" t="n">
        <f aca="false">G24*$D$19</f>
        <v>35.8622159999999</v>
      </c>
    </row>
    <row r="25" customFormat="false" ht="19.5" hidden="false" customHeight="true" outlineLevel="0" collapsed="false">
      <c r="A25" s="21"/>
      <c r="B25" s="304"/>
      <c r="C25" s="21"/>
      <c r="D25" s="21"/>
      <c r="E25" s="295" t="s">
        <v>952</v>
      </c>
      <c r="F25" s="285" t="s">
        <v>953</v>
      </c>
      <c r="G25" s="284" t="n">
        <v>1</v>
      </c>
      <c r="H25" s="296" t="n">
        <f aca="false">G25*$D$19</f>
        <v>35.8622159999999</v>
      </c>
    </row>
    <row r="26" customFormat="false" ht="19.5" hidden="false" customHeight="true" outlineLevel="0" collapsed="false">
      <c r="A26" s="21"/>
      <c r="B26" s="304"/>
      <c r="C26" s="21"/>
      <c r="D26" s="21"/>
      <c r="E26" s="295" t="s">
        <v>954</v>
      </c>
      <c r="F26" s="285" t="s">
        <v>953</v>
      </c>
      <c r="G26" s="284" t="n">
        <v>1</v>
      </c>
      <c r="H26" s="296" t="n">
        <f aca="false">G26*$D$19</f>
        <v>35.8622159999999</v>
      </c>
    </row>
    <row r="27" customFormat="false" ht="19.5" hidden="false" customHeight="true" outlineLevel="0" collapsed="false">
      <c r="A27" s="21"/>
      <c r="B27" s="304"/>
      <c r="C27" s="21"/>
      <c r="D27" s="21"/>
      <c r="E27" s="295" t="s">
        <v>955</v>
      </c>
      <c r="F27" s="285" t="s">
        <v>953</v>
      </c>
      <c r="G27" s="284" t="n">
        <v>8</v>
      </c>
      <c r="H27" s="296" t="n">
        <f aca="false">G27*$D$19</f>
        <v>286.897727999999</v>
      </c>
    </row>
    <row r="28" customFormat="false" ht="19.5" hidden="false" customHeight="true" outlineLevel="0" collapsed="false">
      <c r="A28" s="283" t="n">
        <v>3</v>
      </c>
      <c r="B28" s="295" t="s">
        <v>957</v>
      </c>
      <c r="C28" s="285" t="s">
        <v>167</v>
      </c>
      <c r="D28" s="290" t="n">
        <f aca="false">SUM('PLANILLA GENERAL DE METRADOS'!J261:J271)</f>
        <v>9.39255</v>
      </c>
      <c r="E28" s="295" t="s">
        <v>944</v>
      </c>
      <c r="F28" s="285" t="s">
        <v>945</v>
      </c>
      <c r="G28" s="284" t="n">
        <v>9.73</v>
      </c>
      <c r="H28" s="296" t="n">
        <f aca="false">G28*$D$28</f>
        <v>91.3895115</v>
      </c>
    </row>
    <row r="29" customFormat="false" ht="19.5" hidden="false" customHeight="true" outlineLevel="0" collapsed="false">
      <c r="A29" s="21"/>
      <c r="B29" s="304"/>
      <c r="C29" s="21"/>
      <c r="D29" s="21"/>
      <c r="E29" s="295" t="s">
        <v>946</v>
      </c>
      <c r="F29" s="285" t="s">
        <v>167</v>
      </c>
      <c r="G29" s="284" t="n">
        <v>0.52</v>
      </c>
      <c r="H29" s="296" t="n">
        <f aca="false">G29*$D$28</f>
        <v>4.884126</v>
      </c>
    </row>
    <row r="30" customFormat="false" ht="19.5" hidden="false" customHeight="true" outlineLevel="0" collapsed="false">
      <c r="A30" s="21"/>
      <c r="B30" s="304"/>
      <c r="C30" s="21"/>
      <c r="D30" s="21"/>
      <c r="E30" s="295" t="s">
        <v>947</v>
      </c>
      <c r="F30" s="285" t="s">
        <v>167</v>
      </c>
      <c r="G30" s="284" t="n">
        <v>0.53</v>
      </c>
      <c r="H30" s="296" t="n">
        <f aca="false">G30*$D$28</f>
        <v>4.9780515</v>
      </c>
    </row>
    <row r="31" customFormat="false" ht="19.5" hidden="false" customHeight="true" outlineLevel="0" collapsed="false">
      <c r="A31" s="21"/>
      <c r="B31" s="304"/>
      <c r="C31" s="21"/>
      <c r="D31" s="21"/>
      <c r="E31" s="295" t="s">
        <v>948</v>
      </c>
      <c r="F31" s="285" t="s">
        <v>167</v>
      </c>
      <c r="G31" s="284" t="n">
        <v>0.186</v>
      </c>
      <c r="H31" s="296" t="n">
        <f aca="false">G31*$D$28</f>
        <v>1.7470143</v>
      </c>
    </row>
    <row r="32" customFormat="false" ht="19.5" hidden="false" customHeight="true" outlineLevel="0" collapsed="false">
      <c r="A32" s="21"/>
      <c r="B32" s="304"/>
      <c r="C32" s="21"/>
      <c r="D32" s="21"/>
      <c r="E32" s="295" t="s">
        <v>949</v>
      </c>
      <c r="F32" s="285" t="s">
        <v>950</v>
      </c>
      <c r="G32" s="284" t="n">
        <v>0.8</v>
      </c>
      <c r="H32" s="296" t="n">
        <f aca="false">G32*$D$28</f>
        <v>7.51404</v>
      </c>
    </row>
    <row r="33" customFormat="false" ht="19.5" hidden="false" customHeight="true" outlineLevel="0" collapsed="false">
      <c r="A33" s="21"/>
      <c r="B33" s="304"/>
      <c r="C33" s="21"/>
      <c r="D33" s="21"/>
      <c r="E33" s="295" t="s">
        <v>951</v>
      </c>
      <c r="F33" s="285" t="s">
        <v>950</v>
      </c>
      <c r="G33" s="284" t="n">
        <v>0.8</v>
      </c>
      <c r="H33" s="296" t="n">
        <f aca="false">G33*$D$28</f>
        <v>7.51404</v>
      </c>
    </row>
    <row r="34" customFormat="false" ht="19.5" hidden="false" customHeight="true" outlineLevel="0" collapsed="false">
      <c r="A34" s="21"/>
      <c r="B34" s="304"/>
      <c r="C34" s="21"/>
      <c r="D34" s="21"/>
      <c r="E34" s="295" t="s">
        <v>952</v>
      </c>
      <c r="F34" s="285" t="s">
        <v>953</v>
      </c>
      <c r="G34" s="284" t="n">
        <v>0.8</v>
      </c>
      <c r="H34" s="296" t="n">
        <f aca="false">G34*$D$28</f>
        <v>7.51404</v>
      </c>
    </row>
    <row r="35" customFormat="false" ht="19.5" hidden="false" customHeight="true" outlineLevel="0" collapsed="false">
      <c r="A35" s="21"/>
      <c r="B35" s="304"/>
      <c r="C35" s="21"/>
      <c r="D35" s="21"/>
      <c r="E35" s="295" t="s">
        <v>954</v>
      </c>
      <c r="F35" s="285" t="s">
        <v>953</v>
      </c>
      <c r="G35" s="284" t="n">
        <v>0.8</v>
      </c>
      <c r="H35" s="296" t="n">
        <f aca="false">G35*$D$28</f>
        <v>7.51404</v>
      </c>
    </row>
    <row r="36" customFormat="false" ht="19.5" hidden="false" customHeight="true" outlineLevel="0" collapsed="false">
      <c r="A36" s="21"/>
      <c r="B36" s="304"/>
      <c r="C36" s="21"/>
      <c r="D36" s="21"/>
      <c r="E36" s="295" t="s">
        <v>955</v>
      </c>
      <c r="F36" s="285" t="s">
        <v>953</v>
      </c>
      <c r="G36" s="284" t="n">
        <v>6.4</v>
      </c>
      <c r="H36" s="296" t="n">
        <f aca="false">G36*$D$28</f>
        <v>60.11232</v>
      </c>
    </row>
    <row r="37" customFormat="false" ht="19.5" hidden="false" customHeight="true" outlineLevel="0" collapsed="false">
      <c r="A37" s="283" t="n">
        <v>4</v>
      </c>
      <c r="B37" s="295" t="s">
        <v>958</v>
      </c>
      <c r="C37" s="285" t="s">
        <v>168</v>
      </c>
      <c r="D37" s="290" t="n">
        <f aca="false">'PLANILLA GENERAL DE METRADOS'!K272</f>
        <v>585.231879999998</v>
      </c>
      <c r="E37" s="295" t="s">
        <v>959</v>
      </c>
      <c r="F37" s="285" t="s">
        <v>960</v>
      </c>
      <c r="G37" s="284" t="n">
        <v>4.24</v>
      </c>
      <c r="H37" s="296" t="n">
        <f aca="false">G37*$D$37</f>
        <v>2481.38317119999</v>
      </c>
    </row>
    <row r="38" customFormat="false" ht="19.5" hidden="false" customHeight="true" outlineLevel="0" collapsed="false">
      <c r="A38" s="21"/>
      <c r="B38" s="304"/>
      <c r="C38" s="21"/>
      <c r="D38" s="21"/>
      <c r="E38" s="295" t="s">
        <v>961</v>
      </c>
      <c r="F38" s="285" t="s">
        <v>50</v>
      </c>
      <c r="G38" s="284" t="n">
        <v>0.2</v>
      </c>
      <c r="H38" s="296" t="n">
        <f aca="false">G38*$D$37</f>
        <v>117.046376</v>
      </c>
    </row>
    <row r="39" customFormat="false" ht="19.5" hidden="false" customHeight="true" outlineLevel="0" collapsed="false">
      <c r="A39" s="21"/>
      <c r="B39" s="304"/>
      <c r="C39" s="21"/>
      <c r="D39" s="21"/>
      <c r="E39" s="295" t="s">
        <v>962</v>
      </c>
      <c r="F39" s="285" t="s">
        <v>50</v>
      </c>
      <c r="G39" s="284" t="n">
        <v>0.2</v>
      </c>
      <c r="H39" s="296" t="n">
        <f aca="false">G39*$D$37</f>
        <v>117.046376</v>
      </c>
    </row>
    <row r="40" customFormat="false" ht="19.5" hidden="false" customHeight="true" outlineLevel="0" collapsed="false">
      <c r="A40" s="21"/>
      <c r="B40" s="304"/>
      <c r="C40" s="21"/>
      <c r="D40" s="21"/>
      <c r="E40" s="295" t="s">
        <v>952</v>
      </c>
      <c r="F40" s="285" t="s">
        <v>953</v>
      </c>
      <c r="G40" s="284" t="n">
        <v>0.8</v>
      </c>
      <c r="H40" s="296" t="n">
        <f aca="false">G40*$D$37</f>
        <v>468.185503999999</v>
      </c>
    </row>
    <row r="41" customFormat="false" ht="19.5" hidden="false" customHeight="true" outlineLevel="0" collapsed="false">
      <c r="A41" s="21"/>
      <c r="B41" s="304"/>
      <c r="C41" s="21"/>
      <c r="D41" s="21"/>
      <c r="E41" s="295" t="s">
        <v>954</v>
      </c>
      <c r="F41" s="285" t="s">
        <v>953</v>
      </c>
      <c r="G41" s="284" t="n">
        <v>0.8</v>
      </c>
      <c r="H41" s="296" t="n">
        <f aca="false">G41*$D$37</f>
        <v>468.185503999999</v>
      </c>
    </row>
    <row r="42" customFormat="false" ht="19.5" hidden="false" customHeight="true" outlineLevel="0" collapsed="false">
      <c r="A42" s="283" t="n">
        <v>5</v>
      </c>
      <c r="B42" s="295" t="s">
        <v>963</v>
      </c>
      <c r="C42" s="285" t="s">
        <v>50</v>
      </c>
      <c r="D42" s="290" t="n">
        <f aca="false">'PLANILLA GENERAL DE METRADOS'!K282</f>
        <v>3056.4463751111</v>
      </c>
      <c r="E42" s="295" t="s">
        <v>964</v>
      </c>
      <c r="F42" s="285" t="s">
        <v>50</v>
      </c>
      <c r="G42" s="284" t="n">
        <v>1.05</v>
      </c>
      <c r="H42" s="296" t="n">
        <f aca="false">G42*$D$42</f>
        <v>3209.26869386666</v>
      </c>
    </row>
    <row r="43" customFormat="false" ht="19.5" hidden="false" customHeight="true" outlineLevel="0" collapsed="false">
      <c r="A43" s="21"/>
      <c r="B43" s="304"/>
      <c r="C43" s="21"/>
      <c r="D43" s="21"/>
      <c r="E43" s="295" t="s">
        <v>965</v>
      </c>
      <c r="F43" s="285" t="s">
        <v>50</v>
      </c>
      <c r="G43" s="284" t="n">
        <v>0.06</v>
      </c>
      <c r="H43" s="296" t="n">
        <f aca="false">G43*$D$42</f>
        <v>183.386782506666</v>
      </c>
    </row>
    <row r="44" customFormat="false" ht="19.5" hidden="false" customHeight="true" outlineLevel="0" collapsed="false">
      <c r="A44" s="21"/>
      <c r="B44" s="304"/>
      <c r="C44" s="21"/>
      <c r="D44" s="21"/>
      <c r="E44" s="295" t="s">
        <v>952</v>
      </c>
      <c r="F44" s="285" t="s">
        <v>953</v>
      </c>
      <c r="G44" s="284" t="n">
        <v>0.032</v>
      </c>
      <c r="H44" s="296" t="n">
        <f aca="false">G44*$D$42</f>
        <v>97.8062840035552</v>
      </c>
    </row>
    <row r="45" customFormat="false" ht="19.5" hidden="false" customHeight="true" outlineLevel="0" collapsed="false">
      <c r="A45" s="21"/>
      <c r="B45" s="304"/>
      <c r="C45" s="21"/>
      <c r="D45" s="21"/>
      <c r="E45" s="295" t="s">
        <v>954</v>
      </c>
      <c r="F45" s="285" t="s">
        <v>953</v>
      </c>
      <c r="G45" s="284" t="n">
        <v>0.032</v>
      </c>
      <c r="H45" s="296" t="n">
        <f aca="false">G45*$D$42</f>
        <v>97.8062840035552</v>
      </c>
    </row>
    <row r="46" customFormat="false" ht="19.5" hidden="false" customHeight="true" outlineLevel="0" collapsed="false">
      <c r="A46" s="283" t="n">
        <v>6</v>
      </c>
      <c r="B46" s="295" t="s">
        <v>966</v>
      </c>
      <c r="C46" s="285" t="s">
        <v>168</v>
      </c>
      <c r="D46" s="290" t="n">
        <f aca="false">'PLANILLA GENERAL DE METRADOS'!K229</f>
        <v>93.938</v>
      </c>
      <c r="E46" s="295" t="s">
        <v>944</v>
      </c>
      <c r="F46" s="285" t="s">
        <v>945</v>
      </c>
      <c r="G46" s="284" t="n">
        <v>0.3</v>
      </c>
      <c r="H46" s="296" t="n">
        <f aca="false">G46*$D$46</f>
        <v>28.1814</v>
      </c>
    </row>
    <row r="47" customFormat="false" ht="19.5" hidden="false" customHeight="true" outlineLevel="0" collapsed="false">
      <c r="A47" s="21"/>
      <c r="B47" s="304"/>
      <c r="C47" s="21"/>
      <c r="D47" s="21"/>
      <c r="E47" s="295" t="s">
        <v>967</v>
      </c>
      <c r="F47" s="285" t="s">
        <v>167</v>
      </c>
      <c r="G47" s="284" t="n">
        <v>0.064</v>
      </c>
      <c r="H47" s="296" t="n">
        <f aca="false">G47*$D$46</f>
        <v>6.012032</v>
      </c>
    </row>
    <row r="48" customFormat="false" ht="19.5" hidden="false" customHeight="true" outlineLevel="0" collapsed="false">
      <c r="A48" s="21"/>
      <c r="B48" s="304"/>
      <c r="C48" s="21"/>
      <c r="D48" s="21"/>
      <c r="E48" s="295" t="s">
        <v>948</v>
      </c>
      <c r="F48" s="285" t="s">
        <v>167</v>
      </c>
      <c r="G48" s="284" t="n">
        <v>0.01</v>
      </c>
      <c r="H48" s="296" t="n">
        <f aca="false">G48*$D$46</f>
        <v>0.93938</v>
      </c>
    </row>
    <row r="49" customFormat="false" ht="19.5" hidden="false" customHeight="true" outlineLevel="0" collapsed="false">
      <c r="A49" s="21"/>
      <c r="B49" s="304"/>
      <c r="C49" s="21"/>
      <c r="D49" s="21"/>
      <c r="E49" s="295" t="s">
        <v>952</v>
      </c>
      <c r="F49" s="285" t="s">
        <v>953</v>
      </c>
      <c r="G49" s="284" t="n">
        <v>0.1</v>
      </c>
      <c r="H49" s="296" t="n">
        <f aca="false">G49*$D$46</f>
        <v>9.3938</v>
      </c>
    </row>
    <row r="50" customFormat="false" ht="19.5" hidden="false" customHeight="true" outlineLevel="0" collapsed="false">
      <c r="A50" s="21"/>
      <c r="B50" s="304"/>
      <c r="C50" s="21"/>
      <c r="D50" s="21"/>
      <c r="E50" s="295" t="s">
        <v>955</v>
      </c>
      <c r="F50" s="285" t="s">
        <v>953</v>
      </c>
      <c r="G50" s="284" t="n">
        <v>0.4</v>
      </c>
      <c r="H50" s="296" t="n">
        <f aca="false">G50*$D$46</f>
        <v>37.5752</v>
      </c>
    </row>
    <row r="51" customFormat="false" ht="19.5" hidden="false" customHeight="true" outlineLevel="0" collapsed="false">
      <c r="A51" s="283" t="n">
        <v>7</v>
      </c>
      <c r="B51" s="295" t="s">
        <v>968</v>
      </c>
      <c r="C51" s="285" t="s">
        <v>167</v>
      </c>
      <c r="D51" s="290" t="n">
        <f aca="false">'PLANILLA GENERAL DE METRADOS'!K188</f>
        <v>164.894376</v>
      </c>
      <c r="E51" s="295" t="s">
        <v>955</v>
      </c>
      <c r="F51" s="285" t="s">
        <v>953</v>
      </c>
      <c r="G51" s="284" t="n">
        <v>2.67</v>
      </c>
      <c r="H51" s="296" t="n">
        <f aca="false">G51*$D$51</f>
        <v>440.267983919999</v>
      </c>
    </row>
    <row r="52" customFormat="false" ht="19.5" hidden="false" customHeight="true" outlineLevel="0" collapsed="false">
      <c r="A52" s="21"/>
      <c r="B52" s="304"/>
      <c r="C52" s="21"/>
      <c r="D52" s="21"/>
      <c r="E52" s="295" t="s">
        <v>969</v>
      </c>
      <c r="F52" s="285" t="s">
        <v>970</v>
      </c>
      <c r="G52" s="284" t="n">
        <v>0.03</v>
      </c>
      <c r="H52" s="296" t="n">
        <f aca="false">G52*$D$51</f>
        <v>4.94683127999999</v>
      </c>
    </row>
    <row r="53" customFormat="false" ht="19.5" hidden="false" customHeight="true" outlineLevel="0" collapsed="false">
      <c r="A53" s="283" t="n">
        <v>8</v>
      </c>
      <c r="B53" s="295" t="s">
        <v>971</v>
      </c>
      <c r="C53" s="285" t="s">
        <v>167</v>
      </c>
      <c r="D53" s="290" t="n">
        <f aca="false">'PLANILLA GENERAL DE METRADOS'!K208</f>
        <v>82.7733350000001</v>
      </c>
      <c r="E53" s="295" t="s">
        <v>948</v>
      </c>
      <c r="F53" s="285" t="s">
        <v>167</v>
      </c>
      <c r="G53" s="284" t="n">
        <v>0.05</v>
      </c>
      <c r="H53" s="296" t="n">
        <f aca="false">G53*$D$53</f>
        <v>4.13866675000001</v>
      </c>
    </row>
    <row r="54" customFormat="false" ht="19.5" hidden="false" customHeight="true" outlineLevel="0" collapsed="false">
      <c r="A54" s="21"/>
      <c r="B54" s="304"/>
      <c r="C54" s="21"/>
      <c r="D54" s="21"/>
      <c r="E54" s="295" t="s">
        <v>972</v>
      </c>
      <c r="F54" s="285" t="s">
        <v>950</v>
      </c>
      <c r="G54" s="284" t="n">
        <v>0.4</v>
      </c>
      <c r="H54" s="296" t="n">
        <f aca="false">G54*$D$53</f>
        <v>33.1093340000001</v>
      </c>
    </row>
    <row r="55" customFormat="false" ht="19.5" hidden="false" customHeight="true" outlineLevel="0" collapsed="false">
      <c r="A55" s="21"/>
      <c r="B55" s="304"/>
      <c r="C55" s="21"/>
      <c r="D55" s="21"/>
      <c r="E55" s="295" t="s">
        <v>952</v>
      </c>
      <c r="F55" s="285" t="s">
        <v>953</v>
      </c>
      <c r="G55" s="284" t="n">
        <v>0.4</v>
      </c>
      <c r="H55" s="296" t="n">
        <f aca="false">G55*$D$53</f>
        <v>33.1093340000001</v>
      </c>
    </row>
    <row r="56" customFormat="false" ht="19.5" hidden="false" customHeight="true" outlineLevel="0" collapsed="false">
      <c r="A56" s="21"/>
      <c r="B56" s="304"/>
      <c r="C56" s="21"/>
      <c r="D56" s="21"/>
      <c r="E56" s="295" t="s">
        <v>955</v>
      </c>
      <c r="F56" s="285" t="s">
        <v>953</v>
      </c>
      <c r="G56" s="284" t="n">
        <v>1.6</v>
      </c>
      <c r="H56" s="296" t="n">
        <f aca="false">G56*$D$53</f>
        <v>132.437336</v>
      </c>
    </row>
    <row r="57" customFormat="false" ht="19.5" hidden="false" customHeight="true" outlineLevel="0" collapsed="false">
      <c r="A57" s="283" t="n">
        <v>9</v>
      </c>
      <c r="B57" s="295" t="s">
        <v>973</v>
      </c>
      <c r="C57" s="285" t="s">
        <v>167</v>
      </c>
      <c r="D57" s="290" t="n">
        <f aca="false">'PLANILLA GENERAL DE METRADOS'!K225</f>
        <v>98.5452491999995</v>
      </c>
      <c r="E57" s="295" t="s">
        <v>974</v>
      </c>
      <c r="F57" s="285" t="s">
        <v>950</v>
      </c>
      <c r="G57" s="284" t="n">
        <v>0.133</v>
      </c>
      <c r="H57" s="296" t="n">
        <f aca="false">G57*$D$57</f>
        <v>13.1065181435999</v>
      </c>
    </row>
    <row r="58" customFormat="false" ht="19.5" hidden="false" customHeight="true" outlineLevel="0" collapsed="false">
      <c r="A58" s="21"/>
      <c r="B58" s="304"/>
      <c r="C58" s="21"/>
      <c r="D58" s="21"/>
      <c r="E58" s="295" t="s">
        <v>975</v>
      </c>
      <c r="F58" s="285" t="s">
        <v>950</v>
      </c>
      <c r="G58" s="284" t="n">
        <v>0.033</v>
      </c>
      <c r="H58" s="296" t="n">
        <f aca="false">G58*$D$57</f>
        <v>3.25199322359998</v>
      </c>
    </row>
    <row r="59" customFormat="false" ht="19.5" hidden="false" customHeight="true" outlineLevel="0" collapsed="false">
      <c r="A59" s="21"/>
      <c r="B59" s="304"/>
      <c r="C59" s="21"/>
      <c r="D59" s="21"/>
      <c r="E59" s="295" t="s">
        <v>955</v>
      </c>
      <c r="F59" s="285" t="s">
        <v>953</v>
      </c>
      <c r="G59" s="284" t="n">
        <v>0.133</v>
      </c>
      <c r="H59" s="296" t="n">
        <f aca="false">G59*$D$57</f>
        <v>13.1065181435999</v>
      </c>
    </row>
    <row r="60" customFormat="false" ht="19.5" hidden="false" customHeight="true" outlineLevel="0" collapsed="false">
      <c r="A60" s="283" t="n">
        <v>10</v>
      </c>
      <c r="B60" s="295" t="s">
        <v>976</v>
      </c>
      <c r="C60" s="285" t="s">
        <v>50</v>
      </c>
      <c r="D60" s="290" t="n">
        <f aca="false">'COLECTOR REGISTROS Y TAPAS'!E25</f>
        <v>101.016</v>
      </c>
      <c r="E60" s="295" t="s">
        <v>1196</v>
      </c>
      <c r="F60" s="285" t="s">
        <v>50</v>
      </c>
      <c r="G60" s="284" t="n">
        <v>1.05</v>
      </c>
      <c r="H60" s="296" t="n">
        <f aca="false">G60*$D$60</f>
        <v>106.0668</v>
      </c>
    </row>
    <row r="61" customFormat="false" ht="19.5" hidden="false" customHeight="true" outlineLevel="0" collapsed="false">
      <c r="A61" s="21"/>
      <c r="B61" s="304"/>
      <c r="C61" s="21"/>
      <c r="D61" s="21"/>
      <c r="E61" s="295" t="s">
        <v>978</v>
      </c>
      <c r="F61" s="285" t="s">
        <v>50</v>
      </c>
      <c r="G61" s="284" t="n">
        <v>0.03</v>
      </c>
      <c r="H61" s="296" t="n">
        <f aca="false">G61*$D$60</f>
        <v>3.03048</v>
      </c>
    </row>
    <row r="62" customFormat="false" ht="19.5" hidden="false" customHeight="true" outlineLevel="0" collapsed="false">
      <c r="A62" s="21"/>
      <c r="B62" s="304"/>
      <c r="C62" s="21"/>
      <c r="D62" s="21"/>
      <c r="E62" s="295" t="s">
        <v>952</v>
      </c>
      <c r="F62" s="285" t="s">
        <v>953</v>
      </c>
      <c r="G62" s="284" t="n">
        <v>0.1</v>
      </c>
      <c r="H62" s="296" t="n">
        <f aca="false">G62*$D$60</f>
        <v>10.1016</v>
      </c>
    </row>
    <row r="63" customFormat="false" ht="19.5" hidden="false" customHeight="true" outlineLevel="0" collapsed="false">
      <c r="A63" s="21"/>
      <c r="B63" s="304"/>
      <c r="C63" s="21"/>
      <c r="D63" s="21"/>
      <c r="E63" s="295" t="s">
        <v>954</v>
      </c>
      <c r="F63" s="285" t="s">
        <v>953</v>
      </c>
      <c r="G63" s="284" t="n">
        <v>0.1</v>
      </c>
      <c r="H63" s="296" t="n">
        <f aca="false">G63*$D$60</f>
        <v>10.1016</v>
      </c>
    </row>
    <row r="64" customFormat="false" ht="19.5" hidden="false" customHeight="true" outlineLevel="0" collapsed="false">
      <c r="A64" s="283" t="n">
        <v>11</v>
      </c>
      <c r="B64" s="295" t="s">
        <v>979</v>
      </c>
      <c r="C64" s="285" t="s">
        <v>168</v>
      </c>
      <c r="D64" s="290" t="n">
        <f aca="false">'COLECTOR REGISTROS Y TAPAS'!E28</f>
        <v>8.3904</v>
      </c>
      <c r="E64" s="295" t="s">
        <v>980</v>
      </c>
      <c r="F64" s="285" t="s">
        <v>981</v>
      </c>
      <c r="G64" s="284" t="n">
        <v>0.08</v>
      </c>
      <c r="H64" s="296" t="n">
        <f aca="false">G64*$D$64</f>
        <v>0.671232</v>
      </c>
    </row>
    <row r="65" customFormat="false" ht="19.5" hidden="false" customHeight="true" outlineLevel="0" collapsed="false">
      <c r="A65" s="21"/>
      <c r="B65" s="304"/>
      <c r="C65" s="21"/>
      <c r="D65" s="21"/>
      <c r="E65" s="295" t="s">
        <v>982</v>
      </c>
      <c r="F65" s="285" t="s">
        <v>981</v>
      </c>
      <c r="G65" s="284" t="n">
        <v>0.08</v>
      </c>
      <c r="H65" s="296" t="n">
        <f aca="false">G65*$D$64</f>
        <v>0.671232</v>
      </c>
    </row>
    <row r="66" customFormat="false" ht="19.5" hidden="false" customHeight="true" outlineLevel="0" collapsed="false">
      <c r="A66" s="21"/>
      <c r="B66" s="304"/>
      <c r="C66" s="21"/>
      <c r="D66" s="21"/>
      <c r="E66" s="295" t="s">
        <v>1197</v>
      </c>
      <c r="F66" s="285" t="s">
        <v>60</v>
      </c>
      <c r="G66" s="284" t="n">
        <v>0.25</v>
      </c>
      <c r="H66" s="296" t="n">
        <f aca="false">G66*$D$64</f>
        <v>2.0976</v>
      </c>
    </row>
    <row r="67" customFormat="false" ht="19.5" hidden="false" customHeight="true" outlineLevel="0" collapsed="false">
      <c r="A67" s="21"/>
      <c r="B67" s="304"/>
      <c r="C67" s="21"/>
      <c r="D67" s="21"/>
      <c r="E67" s="295" t="s">
        <v>1198</v>
      </c>
      <c r="F67" s="285" t="s">
        <v>981</v>
      </c>
      <c r="G67" s="284" t="n">
        <v>0.024</v>
      </c>
      <c r="H67" s="296" t="n">
        <f aca="false">G67*$D$64</f>
        <v>0.2013696</v>
      </c>
    </row>
    <row r="68" customFormat="false" ht="19.5" hidden="false" customHeight="true" outlineLevel="0" collapsed="false">
      <c r="A68" s="21"/>
      <c r="B68" s="304"/>
      <c r="C68" s="21"/>
      <c r="D68" s="21"/>
      <c r="E68" s="295" t="s">
        <v>952</v>
      </c>
      <c r="F68" s="285" t="s">
        <v>953</v>
      </c>
      <c r="G68" s="284" t="n">
        <v>0.4</v>
      </c>
      <c r="H68" s="296" t="n">
        <f aca="false">G68*$D$64</f>
        <v>3.35616</v>
      </c>
    </row>
    <row r="69" customFormat="false" ht="19.5" hidden="false" customHeight="true" outlineLevel="0" collapsed="false">
      <c r="A69" s="283" t="n">
        <v>12</v>
      </c>
      <c r="B69" s="295" t="s">
        <v>985</v>
      </c>
      <c r="C69" s="285" t="s">
        <v>57</v>
      </c>
      <c r="D69" s="290" t="n">
        <f aca="false">'PLANILLA GENERAL DE METRADOS'!K321</f>
        <v>100.64</v>
      </c>
      <c r="E69" s="295" t="s">
        <v>986</v>
      </c>
      <c r="F69" s="285" t="s">
        <v>168</v>
      </c>
      <c r="G69" s="306" t="n">
        <f aca="false">'ACU JUNTA DILATACION'!$D$14*(1+'ACU JUNTA DILATACION'!$D$15)</f>
        <v>0.140844594594595</v>
      </c>
      <c r="H69" s="296" t="n">
        <f aca="false">G69*$D$69</f>
        <v>14.1746</v>
      </c>
    </row>
    <row r="70" customFormat="false" ht="19.5" hidden="false" customHeight="true" outlineLevel="0" collapsed="false">
      <c r="A70" s="21"/>
      <c r="B70" s="304"/>
      <c r="C70" s="21"/>
      <c r="D70" s="21"/>
      <c r="E70" s="295" t="s">
        <v>987</v>
      </c>
      <c r="F70" s="285" t="inlineStr">
        <is>
          <t>m3</t>
        </is>
      </c>
      <c r="G70" s="306" t="n">
        <f aca="false">'ACU JUNTA DILATACION'!$D$20</f>
        <v>0.00111595243243243</v>
      </c>
      <c r="H70" s="296" t="n">
        <f aca="false">G70*$D$69</f>
        <v>0.1123094528</v>
      </c>
    </row>
    <row r="71" customFormat="false" ht="19.5" hidden="false" customHeight="true" outlineLevel="0" collapsed="false">
      <c r="A71" s="21"/>
      <c r="B71" s="304"/>
      <c r="C71" s="21"/>
      <c r="D71" s="21"/>
      <c r="E71" s="295" t="s">
        <v>952</v>
      </c>
      <c r="F71" s="285" t="s">
        <v>953</v>
      </c>
      <c r="G71" s="284" t="n">
        <v>0.2</v>
      </c>
      <c r="H71" s="296" t="n">
        <f aca="false">G71*$D$69</f>
        <v>20.128</v>
      </c>
    </row>
    <row r="72" customFormat="false" ht="19.5" hidden="false" customHeight="true" outlineLevel="0" collapsed="false">
      <c r="A72" s="21"/>
      <c r="B72" s="304"/>
      <c r="C72" s="21"/>
      <c r="D72" s="21"/>
      <c r="E72" s="295" t="s">
        <v>955</v>
      </c>
      <c r="F72" s="285" t="s">
        <v>953</v>
      </c>
      <c r="G72" s="284" t="n">
        <v>0.2</v>
      </c>
      <c r="H72" s="296" t="n">
        <f aca="false">G72*$D$69</f>
        <v>20.128</v>
      </c>
    </row>
    <row r="73" customFormat="false" ht="19.5" hidden="false" customHeight="true" outlineLevel="0" collapsed="false">
      <c r="A73" s="283" t="n">
        <v>13</v>
      </c>
      <c r="B73" s="295" t="s">
        <v>988</v>
      </c>
      <c r="C73" s="285" t="s">
        <v>57</v>
      </c>
      <c r="D73" s="290" t="n">
        <f aca="false">'PLANILLA GENERAL DE METRADOS'!K322</f>
        <v>210.979</v>
      </c>
      <c r="E73" s="295" t="s">
        <v>986</v>
      </c>
      <c r="F73" s="285" t="s">
        <v>168</v>
      </c>
      <c r="G73" s="306" t="n">
        <f aca="false">'ACU JUNTA CERCO'!$D$16*(1+'ACU JUNTA CERCO'!$D$17)</f>
        <v>0.339128515160277</v>
      </c>
      <c r="H73" s="296" t="n">
        <f aca="false">G73*$D$73</f>
        <v>71.548995</v>
      </c>
    </row>
    <row r="74" customFormat="false" ht="19.5" hidden="false" customHeight="true" outlineLevel="0" collapsed="false">
      <c r="A74" s="21"/>
      <c r="B74" s="304"/>
      <c r="C74" s="21"/>
      <c r="D74" s="21"/>
      <c r="E74" s="295" t="s">
        <v>955</v>
      </c>
      <c r="F74" s="285" t="s">
        <v>953</v>
      </c>
      <c r="G74" s="284" t="n">
        <v>0.1</v>
      </c>
      <c r="H74" s="296" t="n">
        <f aca="false">G74*$D$73</f>
        <v>21.0979</v>
      </c>
    </row>
    <row r="75" customFormat="false" ht="19.5" hidden="false" customHeight="true" outlineLevel="0" collapsed="false">
      <c r="A75" s="21"/>
      <c r="B75" s="304"/>
      <c r="C75" s="21"/>
      <c r="D75" s="21"/>
      <c r="E75" s="295" t="s">
        <v>987</v>
      </c>
      <c r="F75" s="285" t="inlineStr">
        <is>
          <t>m3</t>
        </is>
      </c>
      <c r="G75" s="306" t="n">
        <f aca="false">'ACU JUNTA CERCO'!$D$20</f>
        <v>0.00129032</v>
      </c>
      <c r="H75" s="296" t="n">
        <f aca="false">G75*$D$73</f>
        <v>0.27223042328</v>
      </c>
    </row>
    <row r="76" customFormat="false" ht="19.5" hidden="false" customHeight="true" outlineLevel="0" collapsed="false">
      <c r="A76" s="21"/>
      <c r="B76" s="304"/>
      <c r="C76" s="21"/>
      <c r="D76" s="21"/>
      <c r="E76" s="295" t="s">
        <v>952</v>
      </c>
      <c r="F76" s="285" t="s">
        <v>953</v>
      </c>
      <c r="G76" s="284" t="n">
        <v>0.05</v>
      </c>
      <c r="H76" s="296" t="n">
        <f aca="false">G76*$D$73</f>
        <v>10.54895</v>
      </c>
    </row>
  </sheetData>
  <mergeCells count="10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26" activeCellId="0" sqref="L26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7" min="4" style="0" width="14"/>
    <col collapsed="false" customWidth="true" hidden="false" outlineLevel="0" max="8" min="8" style="0" width="44"/>
  </cols>
  <sheetData>
    <row r="1" customFormat="false" ht="27" hidden="false" customHeight="true" outlineLevel="0" collapsed="false">
      <c r="A1" s="277" t="s">
        <v>989</v>
      </c>
      <c r="B1" s="277"/>
      <c r="C1" s="277"/>
      <c r="D1" s="277"/>
      <c r="E1" s="277"/>
      <c r="F1" s="277"/>
      <c r="G1" s="277"/>
      <c r="H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</row>
    <row r="7" customFormat="false" ht="66" hidden="false" customHeight="true" outlineLevel="0" collapsed="false">
      <c r="A7" s="281" t="s">
        <v>1221</v>
      </c>
      <c r="B7" s="281"/>
      <c r="C7" s="281"/>
      <c r="D7" s="281"/>
      <c r="E7" s="281"/>
      <c r="F7" s="281"/>
      <c r="G7" s="281"/>
      <c r="H7" s="281"/>
    </row>
    <row r="9" customFormat="false" ht="19.5" hidden="false" customHeight="true" outlineLevel="0" collapsed="false">
      <c r="A9" s="294" t="s">
        <v>991</v>
      </c>
      <c r="B9" s="294"/>
      <c r="C9" s="294"/>
      <c r="D9" s="294"/>
      <c r="E9" s="294"/>
      <c r="F9" s="294"/>
      <c r="G9" s="294"/>
      <c r="H9" s="294"/>
    </row>
    <row r="10" customFormat="false" ht="31.5" hidden="false" customHeight="true" outlineLevel="0" collapsed="false">
      <c r="A10" s="282" t="s">
        <v>331</v>
      </c>
      <c r="B10" s="282" t="s">
        <v>992</v>
      </c>
      <c r="C10" s="282" t="s">
        <v>151</v>
      </c>
      <c r="D10" s="282" t="s">
        <v>993</v>
      </c>
      <c r="E10" s="282" t="s">
        <v>994</v>
      </c>
      <c r="F10" s="282" t="s">
        <v>995</v>
      </c>
      <c r="G10" s="282" t="s">
        <v>992</v>
      </c>
      <c r="H10" s="282" t="s">
        <v>657</v>
      </c>
    </row>
    <row r="11" customFormat="false" ht="31.5" hidden="false" customHeight="true" outlineLevel="0" collapsed="false">
      <c r="A11" s="283" t="n">
        <v>1</v>
      </c>
      <c r="B11" s="149" t="s">
        <v>1199</v>
      </c>
      <c r="C11" s="285" t="s">
        <v>60</v>
      </c>
      <c r="D11" s="290" t="n">
        <f aca="false">+'COLECTOR REGISTROS Y TAPAS'!E23</f>
        <v>10.0</v>
      </c>
      <c r="E11" s="305" t="n">
        <f aca="false">+'COLECTOR REGISTROS Y TAPAS'!E19</f>
        <v>10.0</v>
      </c>
      <c r="F11" s="306" t="n">
        <f aca="false">D11/E11</f>
        <v>1.0</v>
      </c>
      <c r="G11" s="283" t="s">
        <v>997</v>
      </c>
      <c r="H11" s="149" t="s">
        <v>998</v>
      </c>
    </row>
    <row r="12" customFormat="false" ht="31.5" hidden="false" customHeight="true" outlineLevel="0" collapsed="false">
      <c r="A12" s="283" t="n">
        <v>2</v>
      </c>
      <c r="B12" s="149" t="s">
        <v>999</v>
      </c>
      <c r="C12" s="285" t="s">
        <v>60</v>
      </c>
      <c r="D12" s="290" t="n">
        <f aca="false">+'COLECTOR REGISTROS Y TAPAS'!E24</f>
        <v>10.0</v>
      </c>
      <c r="E12" s="305" t="n">
        <f aca="false">+'COLECTOR REGISTROS Y TAPAS'!E19</f>
        <v>10.0</v>
      </c>
      <c r="F12" s="306" t="n">
        <f aca="false">D12/E12</f>
        <v>1.0</v>
      </c>
      <c r="G12" s="283" t="s">
        <v>1000</v>
      </c>
      <c r="H12" s="149" t="s">
        <v>1001</v>
      </c>
    </row>
    <row r="13" customFormat="false" ht="31.5" hidden="false" customHeight="true" outlineLevel="0" collapsed="false">
      <c r="A13" s="283" t="n">
        <v>3</v>
      </c>
      <c r="B13" s="149" t="s">
        <v>1002</v>
      </c>
      <c r="C13" s="285" t="s">
        <v>50</v>
      </c>
      <c r="D13" s="290" t="n">
        <f aca="false">+'COLECTOR REGISTROS Y TAPAS'!E25</f>
        <v>101.016</v>
      </c>
      <c r="E13" s="305" t="n">
        <f aca="false">+'COLECTOR REGISTROS Y TAPAS'!E19</f>
        <v>10.0</v>
      </c>
      <c r="F13" s="306" t="n">
        <f aca="false">D13/E13</f>
        <v>10.1016</v>
      </c>
      <c r="G13" s="283" t="s">
        <v>1003</v>
      </c>
      <c r="H13" s="149" t="s">
        <v>1200</v>
      </c>
    </row>
    <row r="14" customFormat="false" ht="31.5" hidden="false" customHeight="true" outlineLevel="0" collapsed="false">
      <c r="A14" s="283" t="n">
        <v>4</v>
      </c>
      <c r="B14" s="149" t="s">
        <v>1005</v>
      </c>
      <c r="C14" s="285" t="s">
        <v>60</v>
      </c>
      <c r="D14" s="290" t="n">
        <f aca="false">+'COLECTOR REGISTROS Y TAPAS'!E26</f>
        <v>10.0</v>
      </c>
      <c r="E14" s="305" t="n">
        <f aca="false">+'COLECTOR REGISTROS Y TAPAS'!E19</f>
        <v>10.0</v>
      </c>
      <c r="F14" s="306" t="n">
        <f aca="false">D14/E14</f>
        <v>1.0</v>
      </c>
      <c r="G14" s="283" t="s">
        <v>1006</v>
      </c>
      <c r="H14" s="149" t="s">
        <v>770</v>
      </c>
    </row>
    <row r="15" customFormat="false" ht="31.5" hidden="false" customHeight="true" outlineLevel="0" collapsed="false">
      <c r="A15" s="283" t="n">
        <v>5</v>
      </c>
      <c r="B15" s="149" t="s">
        <v>1007</v>
      </c>
      <c r="C15" s="285" t="s">
        <v>167</v>
      </c>
      <c r="D15" s="306" t="n">
        <f aca="false">+'COLECTOR REGISTROS Y TAPAS'!E27</f>
        <v>0.36992</v>
      </c>
      <c r="E15" s="305" t="n">
        <f aca="false">+'COLECTOR REGISTROS Y TAPAS'!E19</f>
        <v>10.0</v>
      </c>
      <c r="F15" s="306" t="n">
        <f aca="false">D15/E15</f>
        <v>0.036992</v>
      </c>
      <c r="G15" s="283" t="s">
        <v>1008</v>
      </c>
      <c r="H15" s="149" t="s">
        <v>1009</v>
      </c>
    </row>
    <row r="16" customFormat="false" ht="31.5" hidden="false" customHeight="true" outlineLevel="0" collapsed="false">
      <c r="A16" s="283" t="n">
        <v>6</v>
      </c>
      <c r="B16" s="149" t="s">
        <v>1010</v>
      </c>
      <c r="C16" s="285" t="s">
        <v>50</v>
      </c>
      <c r="D16" s="290" t="n">
        <f aca="false">+'COLECTOR ACERO'!I41</f>
        <v>173.376</v>
      </c>
      <c r="E16" s="305" t="n">
        <f aca="false">+'COLECTOR REGISTROS Y TAPAS'!E19</f>
        <v>10.0</v>
      </c>
      <c r="F16" s="306" t="n">
        <f aca="false">D16/E16</f>
        <v>17.3376</v>
      </c>
      <c r="G16" s="283" t="s">
        <v>1011</v>
      </c>
      <c r="H16" s="149" t="s">
        <v>1012</v>
      </c>
    </row>
    <row r="17" customFormat="false" ht="31.5" hidden="false" customHeight="true" outlineLevel="0" collapsed="false">
      <c r="A17" s="283" t="n">
        <v>7</v>
      </c>
      <c r="B17" s="149" t="s">
        <v>1013</v>
      </c>
      <c r="C17" s="285" t="s">
        <v>168</v>
      </c>
      <c r="D17" s="290" t="n">
        <f aca="false">+'COLECTOR REGISTROS Y TAPAS'!E28</f>
        <v>8.3904</v>
      </c>
      <c r="E17" s="305" t="n">
        <f aca="false">+'COLECTOR REGISTROS Y TAPAS'!E19</f>
        <v>10.0</v>
      </c>
      <c r="F17" s="306" t="n">
        <f aca="false">D17/E17</f>
        <v>0.83904</v>
      </c>
      <c r="G17" s="283" t="s">
        <v>1014</v>
      </c>
      <c r="H17" s="149" t="s">
        <v>1201</v>
      </c>
    </row>
    <row r="19" customFormat="false" ht="19.5" hidden="false" customHeight="true" outlineLevel="0" collapsed="false">
      <c r="A19" s="294" t="s">
        <v>1016</v>
      </c>
      <c r="B19" s="294"/>
      <c r="C19" s="294"/>
      <c r="D19" s="294"/>
      <c r="E19" s="294"/>
      <c r="F19" s="294"/>
      <c r="G19" s="294"/>
      <c r="H19" s="294"/>
    </row>
    <row r="20" customFormat="false" ht="61.5" hidden="false" customHeight="true" outlineLevel="0" collapsed="false">
      <c r="A20" s="282" t="s">
        <v>331</v>
      </c>
      <c r="B20" s="282" t="s">
        <v>939</v>
      </c>
      <c r="C20" s="282" t="s">
        <v>151</v>
      </c>
      <c r="D20" s="282" t="s">
        <v>1017</v>
      </c>
      <c r="E20" s="282" t="s">
        <v>1018</v>
      </c>
      <c r="F20" s="282" t="s">
        <v>1019</v>
      </c>
      <c r="G20" s="282" t="s">
        <v>1020</v>
      </c>
      <c r="H20" s="282" t="s">
        <v>1021</v>
      </c>
    </row>
    <row r="21" customFormat="false" ht="31.5" hidden="false" customHeight="true" outlineLevel="0" collapsed="false">
      <c r="A21" s="283" t="s">
        <v>1022</v>
      </c>
      <c r="B21" s="294" t="s">
        <v>1023</v>
      </c>
      <c r="C21" s="294"/>
      <c r="D21" s="294"/>
      <c r="E21" s="294"/>
      <c r="F21" s="294"/>
      <c r="G21" s="294"/>
      <c r="H21" s="294"/>
    </row>
    <row r="22" customFormat="false" ht="31.5" hidden="false" customHeight="true" outlineLevel="0" collapsed="false">
      <c r="A22" s="21"/>
      <c r="B22" s="295" t="s">
        <v>1026</v>
      </c>
      <c r="C22" s="285" t="s">
        <v>50</v>
      </c>
      <c r="D22" s="306" t="n">
        <f aca="false">'COLECTOR PARAMETROS'!C36*'COLECTOR PARAMETROS'!C38</f>
        <v>5.124</v>
      </c>
      <c r="E22" s="306" t="n">
        <f aca="false">+'COLECTOR INSUMOS'!G60</f>
        <v>1.05</v>
      </c>
      <c r="F22" s="306" t="n">
        <f aca="false">D22*E22</f>
        <v>5.3802</v>
      </c>
      <c r="G22" s="290" t="n">
        <f aca="false">F22*SUMIF($B$68:$B$93,B22,$F$68:$F$93)</f>
        <v>16.571016</v>
      </c>
      <c r="H22" s="149" t="s">
        <v>1202</v>
      </c>
    </row>
    <row r="23" customFormat="false" ht="31.5" hidden="false" customHeight="true" outlineLevel="0" collapsed="false">
      <c r="A23" s="21"/>
      <c r="B23" s="295" t="s">
        <v>1026</v>
      </c>
      <c r="C23" s="285" t="s">
        <v>50</v>
      </c>
      <c r="D23" s="306" t="n">
        <f aca="false">'COLECTOR PARAMETROS'!C37*'COLECTOR PARAMETROS'!C39</f>
        <v>4.9776</v>
      </c>
      <c r="E23" s="306" t="n">
        <f aca="false">+'COLECTOR INSUMOS'!G60</f>
        <v>1.05</v>
      </c>
      <c r="F23" s="306" t="n">
        <f aca="false">D23*E23</f>
        <v>5.22648</v>
      </c>
      <c r="G23" s="290" t="n">
        <f aca="false">F23*SUMIF($B$68:$B$93,B23,$F$68:$F$93)</f>
        <v>16.0975584</v>
      </c>
      <c r="H23" s="149" t="s">
        <v>1027</v>
      </c>
    </row>
    <row r="24" customFormat="false" ht="19.5" hidden="false" customHeight="true" outlineLevel="0" collapsed="false">
      <c r="A24" s="21"/>
      <c r="B24" s="295" t="s">
        <v>1028</v>
      </c>
      <c r="C24" s="285" t="s">
        <v>50</v>
      </c>
      <c r="D24" s="306" t="n">
        <f aca="false">F13</f>
        <v>10.1016</v>
      </c>
      <c r="E24" s="306" t="n">
        <f aca="false">+'COLECTOR INSUMOS'!G61</f>
        <v>0.03</v>
      </c>
      <c r="F24" s="306" t="n">
        <f aca="false">D24*E24</f>
        <v>0.303048</v>
      </c>
      <c r="G24" s="290" t="n">
        <f aca="false">F24*SUMIF($B$68:$B$93,B24,$F$68:$F$93)</f>
        <v>5.64578424</v>
      </c>
      <c r="H24" s="149" t="s">
        <v>1029</v>
      </c>
    </row>
    <row r="25" customFormat="false" ht="19.5" hidden="false" customHeight="true" outlineLevel="0" collapsed="false">
      <c r="A25" s="21"/>
      <c r="B25" s="295" t="s">
        <v>952</v>
      </c>
      <c r="C25" s="285" t="s">
        <v>953</v>
      </c>
      <c r="D25" s="306" t="n">
        <f aca="false">F13</f>
        <v>10.1016</v>
      </c>
      <c r="E25" s="306" t="n">
        <f aca="false">+'COLECTOR INSUMOS'!G62</f>
        <v>0.1</v>
      </c>
      <c r="F25" s="306" t="n">
        <f aca="false">D25*E25</f>
        <v>1.01016</v>
      </c>
      <c r="G25" s="290" t="n">
        <f aca="false">F25*SUMIF($B$68:$B$93,B25,$F$68:$F$93)</f>
        <v>30.7290672</v>
      </c>
      <c r="H25" s="149" t="s">
        <v>1029</v>
      </c>
    </row>
    <row r="26" customFormat="false" ht="19.5" hidden="false" customHeight="true" outlineLevel="0" collapsed="false">
      <c r="A26" s="21"/>
      <c r="B26" s="295" t="s">
        <v>954</v>
      </c>
      <c r="C26" s="285" t="s">
        <v>953</v>
      </c>
      <c r="D26" s="306" t="n">
        <f aca="false">F13</f>
        <v>10.1016</v>
      </c>
      <c r="E26" s="306" t="n">
        <f aca="false">+'COLECTOR INSUMOS'!G63</f>
        <v>0.1</v>
      </c>
      <c r="F26" s="306" t="n">
        <f aca="false">D26*E26</f>
        <v>1.01016</v>
      </c>
      <c r="G26" s="290" t="n">
        <f aca="false">F26*SUMIF($B$68:$B$93,B26,$F$68:$F$93)</f>
        <v>23.183172</v>
      </c>
      <c r="H26" s="149" t="s">
        <v>1029</v>
      </c>
    </row>
    <row r="27" customFormat="false" ht="19.5" hidden="false" customHeight="true" outlineLevel="0" collapsed="false">
      <c r="A27" s="21"/>
      <c r="B27" s="295" t="s">
        <v>1030</v>
      </c>
      <c r="C27" s="285" t="s">
        <v>950</v>
      </c>
      <c r="D27" s="306" t="n">
        <f aca="false">F13</f>
        <v>10.1016</v>
      </c>
      <c r="E27" s="306" t="n">
        <f aca="false">+'COLECTOR INSUMOS'!G62</f>
        <v>0.1</v>
      </c>
      <c r="F27" s="306" t="n">
        <f aca="false">D27*E27</f>
        <v>1.01016</v>
      </c>
      <c r="G27" s="290" t="n">
        <f aca="false">F27*SUMIF($B$68:$B$93,B27,$F$68:$F$93)</f>
        <v>8.08128</v>
      </c>
      <c r="H27" s="149" t="s">
        <v>1031</v>
      </c>
    </row>
    <row r="28" customFormat="false" ht="19.5" hidden="false" customHeight="true" outlineLevel="0" collapsed="false">
      <c r="A28" s="21"/>
      <c r="B28" s="294" t="s">
        <v>1032</v>
      </c>
      <c r="C28" s="295"/>
      <c r="D28" s="295"/>
      <c r="E28" s="295"/>
      <c r="F28" s="295"/>
      <c r="G28" s="296" t="n">
        <f aca="false">SUM(G22:G27)</f>
        <v>100.30787784</v>
      </c>
      <c r="H28" s="295"/>
    </row>
    <row r="29" customFormat="false" ht="31.5" hidden="false" customHeight="true" outlineLevel="0" collapsed="false">
      <c r="A29" s="283" t="s">
        <v>1033</v>
      </c>
      <c r="B29" s="294" t="s">
        <v>1034</v>
      </c>
      <c r="C29" s="294"/>
      <c r="D29" s="294"/>
      <c r="E29" s="294"/>
      <c r="F29" s="294"/>
      <c r="G29" s="294"/>
      <c r="H29" s="294"/>
    </row>
    <row r="30" customFormat="false" ht="31.5" hidden="false" customHeight="true" outlineLevel="0" collapsed="false">
      <c r="A30" s="21"/>
      <c r="B30" s="295" t="s">
        <v>944</v>
      </c>
      <c r="C30" s="285" t="s">
        <v>945</v>
      </c>
      <c r="D30" s="306" t="n">
        <f aca="false">F15</f>
        <v>0.036992</v>
      </c>
      <c r="E30" s="306" t="n">
        <f aca="false">+'COLECTOR INSUMOS'!G28</f>
        <v>9.73</v>
      </c>
      <c r="F30" s="306" t="n">
        <f aca="false">D30*E30</f>
        <v>0.35993216</v>
      </c>
      <c r="G30" s="290" t="n">
        <f aca="false">F30*SUMIF($B$68:$B$93,B30,$F$68:$F$93)</f>
        <v>11.1327017088</v>
      </c>
      <c r="H30" s="149" t="s">
        <v>1035</v>
      </c>
    </row>
    <row r="31" customFormat="false" ht="19.5" hidden="false" customHeight="true" outlineLevel="0" collapsed="false">
      <c r="A31" s="21"/>
      <c r="B31" s="295" t="s">
        <v>946</v>
      </c>
      <c r="C31" s="285" t="s">
        <v>167</v>
      </c>
      <c r="D31" s="306" t="n">
        <f aca="false">F15</f>
        <v>0.036992</v>
      </c>
      <c r="E31" s="306" t="n">
        <f aca="false">+'COLECTOR INSUMOS'!G29</f>
        <v>0.52</v>
      </c>
      <c r="F31" s="306" t="n">
        <f aca="false">D31*E31</f>
        <v>0.01923584</v>
      </c>
      <c r="G31" s="290" t="n">
        <f aca="false">F31*SUMIF($B$68:$B$93,B31,$F$68:$F$93)</f>
        <v>0.7825139712</v>
      </c>
      <c r="H31" s="149" t="s">
        <v>1036</v>
      </c>
    </row>
    <row r="32" customFormat="false" ht="19.5" hidden="false" customHeight="true" outlineLevel="0" collapsed="false">
      <c r="A32" s="21"/>
      <c r="B32" s="295" t="s">
        <v>947</v>
      </c>
      <c r="C32" s="285" t="s">
        <v>167</v>
      </c>
      <c r="D32" s="306" t="n">
        <f aca="false">F15</f>
        <v>0.036992</v>
      </c>
      <c r="E32" s="306" t="n">
        <f aca="false">+'COLECTOR INSUMOS'!G30</f>
        <v>0.53</v>
      </c>
      <c r="F32" s="306" t="n">
        <f aca="false">D32*E32</f>
        <v>0.01960576</v>
      </c>
      <c r="G32" s="290" t="n">
        <f aca="false">F32*SUMIF($B$68:$B$93,B32,$F$68:$F$93)</f>
        <v>1.9937097344</v>
      </c>
      <c r="H32" s="149" t="s">
        <v>1036</v>
      </c>
    </row>
    <row r="33" customFormat="false" ht="19.5" hidden="false" customHeight="true" outlineLevel="0" collapsed="false">
      <c r="A33" s="21"/>
      <c r="B33" s="295" t="s">
        <v>948</v>
      </c>
      <c r="C33" s="285" t="s">
        <v>167</v>
      </c>
      <c r="D33" s="306" t="n">
        <f aca="false">F15</f>
        <v>0.036992</v>
      </c>
      <c r="E33" s="306" t="n">
        <f aca="false">+'COLECTOR INSUMOS'!G31</f>
        <v>0.186</v>
      </c>
      <c r="F33" s="306" t="n">
        <f aca="false">D33*E33</f>
        <v>0.006880512</v>
      </c>
      <c r="G33" s="290" t="n">
        <f aca="false">F33*SUMIF($B$68:$B$93,B33,$F$68:$F$93)</f>
        <v>0.05731466496</v>
      </c>
      <c r="H33" s="149" t="s">
        <v>1036</v>
      </c>
    </row>
    <row r="34" customFormat="false" ht="19.5" hidden="false" customHeight="true" outlineLevel="0" collapsed="false">
      <c r="A34" s="21"/>
      <c r="B34" s="295" t="s">
        <v>949</v>
      </c>
      <c r="C34" s="285" t="s">
        <v>950</v>
      </c>
      <c r="D34" s="306" t="n">
        <f aca="false">F15</f>
        <v>0.036992</v>
      </c>
      <c r="E34" s="306" t="n">
        <f aca="false">+'COLECTOR INSUMOS'!G32</f>
        <v>0.8</v>
      </c>
      <c r="F34" s="306" t="n">
        <f aca="false">D34*E34</f>
        <v>0.0295936</v>
      </c>
      <c r="G34" s="290" t="n">
        <f aca="false">F34*SUMIF($B$68:$B$93,B34,$F$68:$F$93)</f>
        <v>0.376134656</v>
      </c>
      <c r="H34" s="149" t="s">
        <v>1036</v>
      </c>
    </row>
    <row r="35" customFormat="false" ht="19.5" hidden="false" customHeight="true" outlineLevel="0" collapsed="false">
      <c r="A35" s="21"/>
      <c r="B35" s="295" t="s">
        <v>951</v>
      </c>
      <c r="C35" s="285" t="s">
        <v>950</v>
      </c>
      <c r="D35" s="306" t="n">
        <f aca="false">F15</f>
        <v>0.036992</v>
      </c>
      <c r="E35" s="306" t="n">
        <f aca="false">+'COLECTOR INSUMOS'!G33</f>
        <v>0.8</v>
      </c>
      <c r="F35" s="306" t="n">
        <f aca="false">D35*E35</f>
        <v>0.0295936</v>
      </c>
      <c r="G35" s="290" t="n">
        <f aca="false">F35*SUMIF($B$68:$B$93,B35,$F$68:$F$93)</f>
        <v>0.326121472</v>
      </c>
      <c r="H35" s="149" t="s">
        <v>1036</v>
      </c>
    </row>
    <row r="36" customFormat="false" ht="19.5" hidden="false" customHeight="true" outlineLevel="0" collapsed="false">
      <c r="A36" s="21"/>
      <c r="B36" s="295" t="s">
        <v>952</v>
      </c>
      <c r="C36" s="285" t="s">
        <v>953</v>
      </c>
      <c r="D36" s="306" t="n">
        <f aca="false">F15</f>
        <v>0.036992</v>
      </c>
      <c r="E36" s="306" t="n">
        <f aca="false">+'COLECTOR INSUMOS'!G34</f>
        <v>0.8</v>
      </c>
      <c r="F36" s="306" t="n">
        <f aca="false">D36*E36</f>
        <v>0.0295936</v>
      </c>
      <c r="G36" s="290" t="n">
        <f aca="false">F36*SUMIF($B$68:$B$93,B36,$F$68:$F$93)</f>
        <v>0.900237312</v>
      </c>
      <c r="H36" s="149" t="s">
        <v>1036</v>
      </c>
    </row>
    <row r="37" customFormat="false" ht="19.5" hidden="false" customHeight="true" outlineLevel="0" collapsed="false">
      <c r="A37" s="21"/>
      <c r="B37" s="295" t="s">
        <v>954</v>
      </c>
      <c r="C37" s="285" t="s">
        <v>953</v>
      </c>
      <c r="D37" s="306" t="n">
        <f aca="false">F15</f>
        <v>0.036992</v>
      </c>
      <c r="E37" s="306" t="n">
        <f aca="false">+'COLECTOR INSUMOS'!G35</f>
        <v>0.8</v>
      </c>
      <c r="F37" s="306" t="n">
        <f aca="false">D37*E37</f>
        <v>0.0295936</v>
      </c>
      <c r="G37" s="290" t="n">
        <f aca="false">F37*SUMIF($B$68:$B$93,B37,$F$68:$F$93)</f>
        <v>0.67917312</v>
      </c>
      <c r="H37" s="149" t="s">
        <v>1036</v>
      </c>
    </row>
    <row r="38" customFormat="false" ht="19.5" hidden="false" customHeight="true" outlineLevel="0" collapsed="false">
      <c r="A38" s="21"/>
      <c r="B38" s="295" t="s">
        <v>955</v>
      </c>
      <c r="C38" s="285" t="s">
        <v>953</v>
      </c>
      <c r="D38" s="306" t="n">
        <f aca="false">F15</f>
        <v>0.036992</v>
      </c>
      <c r="E38" s="306" t="n">
        <f aca="false">+'COLECTOR INSUMOS'!G36</f>
        <v>6.4</v>
      </c>
      <c r="F38" s="306" t="n">
        <f aca="false">D38*E38</f>
        <v>0.2367488</v>
      </c>
      <c r="G38" s="290" t="n">
        <f aca="false">F38*SUMIF($B$68:$B$93,B38,$F$68:$F$93)</f>
        <v>4.922007552</v>
      </c>
      <c r="H38" s="149" t="s">
        <v>1036</v>
      </c>
    </row>
    <row r="39" customFormat="false" ht="19.5" hidden="false" customHeight="true" outlineLevel="0" collapsed="false">
      <c r="A39" s="21"/>
      <c r="B39" s="294" t="s">
        <v>1037</v>
      </c>
      <c r="C39" s="295"/>
      <c r="D39" s="295"/>
      <c r="E39" s="295"/>
      <c r="F39" s="295"/>
      <c r="G39" s="296" t="n">
        <f aca="false">SUM(G30:G38)</f>
        <v>21.16991419136</v>
      </c>
      <c r="H39" s="295"/>
    </row>
    <row r="40" customFormat="false" ht="31.5" hidden="false" customHeight="true" outlineLevel="0" collapsed="false">
      <c r="A40" s="283" t="s">
        <v>1038</v>
      </c>
      <c r="B40" s="294" t="s">
        <v>1039</v>
      </c>
      <c r="C40" s="294"/>
      <c r="D40" s="294"/>
      <c r="E40" s="294"/>
      <c r="F40" s="294"/>
      <c r="G40" s="294"/>
      <c r="H40" s="294"/>
    </row>
    <row r="41" customFormat="false" ht="31.5" hidden="false" customHeight="true" outlineLevel="0" collapsed="false">
      <c r="A41" s="21"/>
      <c r="B41" s="295" t="s">
        <v>959</v>
      </c>
      <c r="C41" s="285" t="s">
        <v>960</v>
      </c>
      <c r="D41" s="306" t="n">
        <f aca="false">F14</f>
        <v>1.0</v>
      </c>
      <c r="E41" s="307" t="n">
        <v>1.15</v>
      </c>
      <c r="F41" s="306" t="n">
        <f aca="false">D41*E41</f>
        <v>1.15</v>
      </c>
      <c r="G41" s="290" t="n">
        <f aca="false">F41*SUMIF($B$68:$B$93,B41,$F$68:$F$93)</f>
        <v>5.0715</v>
      </c>
      <c r="H41" s="149" t="s">
        <v>1040</v>
      </c>
    </row>
    <row r="42" customFormat="false" ht="19.5" hidden="false" customHeight="true" outlineLevel="0" collapsed="false">
      <c r="A42" s="21"/>
      <c r="B42" s="294" t="s">
        <v>1041</v>
      </c>
      <c r="C42" s="295"/>
      <c r="D42" s="295"/>
      <c r="E42" s="295"/>
      <c r="F42" s="295"/>
      <c r="G42" s="296" t="n">
        <f aca="false">SUM(G41:G41)</f>
        <v>5.0715</v>
      </c>
      <c r="H42" s="295"/>
    </row>
    <row r="43" customFormat="false" ht="31.5" hidden="false" customHeight="true" outlineLevel="0" collapsed="false">
      <c r="A43" s="283" t="s">
        <v>1042</v>
      </c>
      <c r="B43" s="294" t="s">
        <v>1043</v>
      </c>
      <c r="C43" s="294"/>
      <c r="D43" s="294"/>
      <c r="E43" s="294"/>
      <c r="F43" s="294"/>
      <c r="G43" s="294"/>
      <c r="H43" s="294"/>
    </row>
    <row r="44" customFormat="false" ht="31.5" hidden="false" customHeight="true" outlineLevel="0" collapsed="false">
      <c r="A44" s="21"/>
      <c r="B44" s="295" t="s">
        <v>1044</v>
      </c>
      <c r="C44" s="285" t="s">
        <v>50</v>
      </c>
      <c r="D44" s="306" t="n">
        <f aca="false">F16</f>
        <v>17.3376</v>
      </c>
      <c r="E44" s="306" t="n">
        <f aca="false">+'COLECTOR INSUMOS'!G42</f>
        <v>1.05</v>
      </c>
      <c r="F44" s="306" t="n">
        <f aca="false">D44*E44</f>
        <v>18.20448</v>
      </c>
      <c r="G44" s="290" t="n">
        <f aca="false">F44*SUMIF($B$68:$B$93,B44,$F$68:$F$93)</f>
        <v>62.6234112</v>
      </c>
      <c r="H44" s="149" t="s">
        <v>1045</v>
      </c>
    </row>
    <row r="45" customFormat="false" ht="19.5" hidden="false" customHeight="true" outlineLevel="0" collapsed="false">
      <c r="A45" s="21"/>
      <c r="B45" s="295" t="s">
        <v>965</v>
      </c>
      <c r="C45" s="285" t="s">
        <v>50</v>
      </c>
      <c r="D45" s="306" t="n">
        <f aca="false">F16</f>
        <v>17.3376</v>
      </c>
      <c r="E45" s="306" t="n">
        <f aca="false">+'COLECTOR INSUMOS'!G43</f>
        <v>0.06</v>
      </c>
      <c r="F45" s="306" t="n">
        <f aca="false">D45*E45</f>
        <v>1.040256</v>
      </c>
      <c r="G45" s="290" t="n">
        <f aca="false">F45*SUMIF($B$68:$B$93,B45,$F$68:$F$93)</f>
        <v>5.28450048</v>
      </c>
      <c r="H45" s="149" t="s">
        <v>1036</v>
      </c>
    </row>
    <row r="46" customFormat="false" ht="19.5" hidden="false" customHeight="true" outlineLevel="0" collapsed="false">
      <c r="A46" s="21"/>
      <c r="B46" s="295" t="s">
        <v>952</v>
      </c>
      <c r="C46" s="285" t="s">
        <v>953</v>
      </c>
      <c r="D46" s="306" t="n">
        <f aca="false">F16</f>
        <v>17.3376</v>
      </c>
      <c r="E46" s="306" t="n">
        <f aca="false">+'COLECTOR INSUMOS'!G44</f>
        <v>0.032</v>
      </c>
      <c r="F46" s="306" t="n">
        <f aca="false">D46*E46</f>
        <v>0.5548032</v>
      </c>
      <c r="G46" s="290" t="n">
        <f aca="false">F46*SUMIF($B$68:$B$93,B46,$F$68:$F$93)</f>
        <v>16.877113344</v>
      </c>
      <c r="H46" s="149" t="s">
        <v>1036</v>
      </c>
    </row>
    <row r="47" customFormat="false" ht="19.5" hidden="false" customHeight="true" outlineLevel="0" collapsed="false">
      <c r="A47" s="21"/>
      <c r="B47" s="295" t="s">
        <v>954</v>
      </c>
      <c r="C47" s="285" t="s">
        <v>953</v>
      </c>
      <c r="D47" s="306" t="n">
        <f aca="false">F16</f>
        <v>17.3376</v>
      </c>
      <c r="E47" s="306" t="n">
        <f aca="false">+'COLECTOR INSUMOS'!G45</f>
        <v>0.032</v>
      </c>
      <c r="F47" s="306" t="n">
        <f aca="false">D47*E47</f>
        <v>0.5548032</v>
      </c>
      <c r="G47" s="290" t="n">
        <f aca="false">F47*SUMIF($B$68:$B$93,B47,$F$68:$F$93)</f>
        <v>12.73273344</v>
      </c>
      <c r="H47" s="149" t="s">
        <v>1036</v>
      </c>
    </row>
    <row r="48" customFormat="false" ht="19.5" hidden="false" customHeight="true" outlineLevel="0" collapsed="false">
      <c r="A48" s="21"/>
      <c r="B48" s="294" t="s">
        <v>1046</v>
      </c>
      <c r="C48" s="295"/>
      <c r="D48" s="295"/>
      <c r="E48" s="295"/>
      <c r="F48" s="295"/>
      <c r="G48" s="296" t="n">
        <f aca="false">SUM(G44:G47)</f>
        <v>97.517758464</v>
      </c>
      <c r="H48" s="295"/>
    </row>
    <row r="49" customFormat="false" ht="31.5" hidden="false" customHeight="true" outlineLevel="0" collapsed="false">
      <c r="A49" s="283" t="s">
        <v>1047</v>
      </c>
      <c r="B49" s="294" t="s">
        <v>1048</v>
      </c>
      <c r="C49" s="294"/>
      <c r="D49" s="294"/>
      <c r="E49" s="294"/>
      <c r="F49" s="294"/>
      <c r="G49" s="294"/>
      <c r="H49" s="294"/>
    </row>
    <row r="50" customFormat="false" ht="19.5" hidden="false" customHeight="true" outlineLevel="0" collapsed="false">
      <c r="A50" s="21"/>
      <c r="B50" s="295" t="s">
        <v>980</v>
      </c>
      <c r="C50" s="285" t="s">
        <v>981</v>
      </c>
      <c r="D50" s="306" t="n">
        <f aca="false">F17</f>
        <v>0.83904</v>
      </c>
      <c r="E50" s="306" t="n">
        <f aca="false">+'COLECTOR INSUMOS'!G64</f>
        <v>0.08</v>
      </c>
      <c r="F50" s="306" t="n">
        <f aca="false">D50*E50</f>
        <v>0.0671232</v>
      </c>
      <c r="G50" s="290" t="n">
        <f aca="false">F50*SUMIF($B$68:$B$93,B50,$F$68:$F$93)</f>
        <v>3.015174144</v>
      </c>
      <c r="H50" s="149" t="s">
        <v>1036</v>
      </c>
    </row>
    <row r="51" customFormat="false" ht="19.5" hidden="false" customHeight="true" outlineLevel="0" collapsed="false">
      <c r="A51" s="21"/>
      <c r="B51" s="295" t="s">
        <v>982</v>
      </c>
      <c r="C51" s="285" t="s">
        <v>981</v>
      </c>
      <c r="D51" s="306" t="n">
        <f aca="false">F17</f>
        <v>0.83904</v>
      </c>
      <c r="E51" s="306" t="n">
        <f aca="false">+'COLECTOR INSUMOS'!G65</f>
        <v>0.08</v>
      </c>
      <c r="F51" s="306" t="n">
        <f aca="false">D51*E51</f>
        <v>0.0671232</v>
      </c>
      <c r="G51" s="290" t="n">
        <f aca="false">F51*SUMIF($B$68:$B$93,B51,$F$68:$F$93)</f>
        <v>3.242721792</v>
      </c>
      <c r="H51" s="149" t="s">
        <v>1036</v>
      </c>
    </row>
    <row r="52" customFormat="false" ht="19.5" hidden="false" customHeight="true" outlineLevel="0" collapsed="false">
      <c r="A52" s="21"/>
      <c r="B52" s="295" t="s">
        <v>1197</v>
      </c>
      <c r="C52" s="285" t="s">
        <v>60</v>
      </c>
      <c r="D52" s="306" t="n">
        <f aca="false">F17</f>
        <v>0.83904</v>
      </c>
      <c r="E52" s="306" t="n">
        <f aca="false">+'COLECTOR INSUMOS'!G66</f>
        <v>0.25</v>
      </c>
      <c r="F52" s="306" t="n">
        <f aca="false">D52*E52</f>
        <v>0.20976</v>
      </c>
      <c r="G52" s="290" t="n">
        <f aca="false">F52*SUMIF($B$68:$B$93,B52,$F$68:$F$93)</f>
        <v>0.4446912</v>
      </c>
      <c r="H52" s="149" t="s">
        <v>1203</v>
      </c>
    </row>
    <row r="53" customFormat="false" ht="19.5" hidden="false" customHeight="true" outlineLevel="0" collapsed="false">
      <c r="A53" s="21"/>
      <c r="B53" s="295" t="s">
        <v>1198</v>
      </c>
      <c r="C53" s="285" t="s">
        <v>981</v>
      </c>
      <c r="D53" s="306" t="n">
        <f aca="false">F17</f>
        <v>0.83904</v>
      </c>
      <c r="E53" s="306" t="n">
        <f aca="false">+'COLECTOR INSUMOS'!G67</f>
        <v>0.024</v>
      </c>
      <c r="F53" s="306" t="n">
        <f aca="false">D53*E53</f>
        <v>0.02013696</v>
      </c>
      <c r="G53" s="290" t="n">
        <f aca="false">F53*SUMIF($B$68:$B$93,B53,$F$68:$F$93)</f>
        <v>0.717882624</v>
      </c>
      <c r="H53" s="149" t="s">
        <v>1204</v>
      </c>
    </row>
    <row r="54" customFormat="false" ht="19.5" hidden="false" customHeight="true" outlineLevel="0" collapsed="false">
      <c r="A54" s="21"/>
      <c r="B54" s="295" t="s">
        <v>952</v>
      </c>
      <c r="C54" s="285" t="s">
        <v>953</v>
      </c>
      <c r="D54" s="306" t="n">
        <f aca="false">F17</f>
        <v>0.83904</v>
      </c>
      <c r="E54" s="306" t="n">
        <f aca="false">+'COLECTOR INSUMOS'!G68</f>
        <v>0.4</v>
      </c>
      <c r="F54" s="306" t="n">
        <f aca="false">D54*E54</f>
        <v>0.335616</v>
      </c>
      <c r="G54" s="290" t="n">
        <f aca="false">F54*SUMIF($B$68:$B$93,B54,$F$68:$F$93)</f>
        <v>10.20943872</v>
      </c>
      <c r="H54" s="149" t="s">
        <v>1036</v>
      </c>
    </row>
    <row r="55" customFormat="false" ht="19.5" hidden="false" customHeight="true" outlineLevel="0" collapsed="false">
      <c r="A55" s="21"/>
      <c r="B55" s="294" t="s">
        <v>1049</v>
      </c>
      <c r="C55" s="295"/>
      <c r="D55" s="295"/>
      <c r="E55" s="295"/>
      <c r="F55" s="295"/>
      <c r="G55" s="296" t="n">
        <f aca="false">SUM(G50:G54)</f>
        <v>17.62990848</v>
      </c>
      <c r="H55" s="295"/>
    </row>
    <row r="56" customFormat="false" ht="31.5" hidden="false" customHeight="true" outlineLevel="0" collapsed="false">
      <c r="A56" s="283" t="s">
        <v>1050</v>
      </c>
      <c r="B56" s="294" t="s">
        <v>1051</v>
      </c>
      <c r="C56" s="294"/>
      <c r="D56" s="294"/>
      <c r="E56" s="294"/>
      <c r="F56" s="294"/>
      <c r="G56" s="294"/>
      <c r="H56" s="294"/>
    </row>
    <row r="57" customFormat="false" ht="19.5" hidden="false" customHeight="true" outlineLevel="0" collapsed="false">
      <c r="A57" s="21"/>
      <c r="B57" s="295" t="s">
        <v>952</v>
      </c>
      <c r="C57" s="285" t="s">
        <v>953</v>
      </c>
      <c r="D57" s="306" t="n">
        <f aca="false">F14</f>
        <v>1.0</v>
      </c>
      <c r="E57" s="307" t="n">
        <v>1</v>
      </c>
      <c r="F57" s="306" t="n">
        <f aca="false">D57*E57</f>
        <v>1.0</v>
      </c>
      <c r="G57" s="290" t="n">
        <f aca="false">F57*SUMIF($B$68:$B$93,B57,$F$68:$F$93)</f>
        <v>30.42</v>
      </c>
      <c r="H57" s="149" t="s">
        <v>1052</v>
      </c>
    </row>
    <row r="58" customFormat="false" ht="19.5" hidden="false" customHeight="true" outlineLevel="0" collapsed="false">
      <c r="A58" s="21"/>
      <c r="B58" s="295" t="s">
        <v>955</v>
      </c>
      <c r="C58" s="285" t="s">
        <v>953</v>
      </c>
      <c r="D58" s="306" t="n">
        <f aca="false">F14</f>
        <v>1.0</v>
      </c>
      <c r="E58" s="307" t="n">
        <v>1</v>
      </c>
      <c r="F58" s="306" t="n">
        <f aca="false">D58*E58</f>
        <v>1.0</v>
      </c>
      <c r="G58" s="290" t="n">
        <f aca="false">F58*SUMIF($B$68:$B$93,B58,$F$68:$F$93)</f>
        <v>20.79</v>
      </c>
      <c r="H58" s="149" t="s">
        <v>1052</v>
      </c>
    </row>
    <row r="59" customFormat="false" ht="19.5" hidden="false" customHeight="true" outlineLevel="0" collapsed="false">
      <c r="A59" s="21"/>
      <c r="B59" s="294" t="s">
        <v>1053</v>
      </c>
      <c r="C59" s="295"/>
      <c r="D59" s="295"/>
      <c r="E59" s="295"/>
      <c r="F59" s="295"/>
      <c r="G59" s="296" t="n">
        <f aca="false">SUM(G57:G58)</f>
        <v>51.21</v>
      </c>
      <c r="H59" s="295"/>
    </row>
    <row r="60" customFormat="false" ht="19.5" hidden="false" customHeight="true" outlineLevel="0" collapsed="false">
      <c r="A60" s="295"/>
      <c r="B60" s="294" t="s">
        <v>1054</v>
      </c>
      <c r="C60" s="295"/>
      <c r="D60" s="295"/>
      <c r="E60" s="295"/>
      <c r="F60" s="295"/>
      <c r="G60" s="296" t="n">
        <f aca="false">+G28+G39+G42+G48+G55+G59</f>
        <v>292.90695897536</v>
      </c>
      <c r="H60" s="295"/>
    </row>
    <row r="61" customFormat="false" ht="19.5" hidden="false" customHeight="true" outlineLevel="0" collapsed="false">
      <c r="A61" s="294" t="s">
        <v>1055</v>
      </c>
      <c r="B61" s="294"/>
      <c r="C61" s="294"/>
      <c r="D61" s="294"/>
      <c r="E61" s="294"/>
      <c r="F61" s="294"/>
      <c r="G61" s="294"/>
      <c r="H61" s="294"/>
    </row>
    <row r="62" customFormat="false" ht="19.5" hidden="false" customHeight="true" outlineLevel="0" collapsed="false">
      <c r="A62" s="294" t="s">
        <v>1056</v>
      </c>
      <c r="B62" s="294"/>
      <c r="C62" s="295" t="s">
        <v>1057</v>
      </c>
      <c r="D62" s="295"/>
      <c r="E62" s="295"/>
      <c r="F62" s="295"/>
      <c r="G62" s="295"/>
      <c r="H62" s="295"/>
    </row>
    <row r="63" customFormat="false" ht="19.5" hidden="false" customHeight="true" outlineLevel="0" collapsed="false">
      <c r="A63" s="294" t="s">
        <v>1058</v>
      </c>
      <c r="B63" s="294"/>
      <c r="C63" s="295" t="s">
        <v>1059</v>
      </c>
      <c r="D63" s="295"/>
      <c r="E63" s="295"/>
      <c r="F63" s="295"/>
      <c r="G63" s="295"/>
      <c r="H63" s="295"/>
    </row>
    <row r="64" customFormat="false" ht="19.5" hidden="false" customHeight="true" outlineLevel="0" collapsed="false">
      <c r="A64" s="294" t="s">
        <v>502</v>
      </c>
      <c r="B64" s="294"/>
      <c r="C64" s="295" t="s">
        <v>60</v>
      </c>
      <c r="D64" s="295"/>
      <c r="E64" s="295"/>
      <c r="F64" s="295"/>
      <c r="G64" s="295"/>
      <c r="H64" s="295"/>
    </row>
    <row r="65" customFormat="false" ht="19.5" hidden="false" customHeight="true" outlineLevel="0" collapsed="false">
      <c r="A65" s="294" t="s">
        <v>1060</v>
      </c>
      <c r="B65" s="294"/>
      <c r="C65" s="290" t="n">
        <f aca="false">+E11</f>
        <v>10.0</v>
      </c>
      <c r="D65" s="290"/>
      <c r="E65" s="290"/>
      <c r="F65" s="290"/>
      <c r="G65" s="290"/>
      <c r="H65" s="290"/>
    </row>
    <row r="66" customFormat="false" ht="19.5" hidden="false" customHeight="true" outlineLevel="0" collapsed="false">
      <c r="A66" s="294" t="s">
        <v>1061</v>
      </c>
      <c r="B66" s="294"/>
      <c r="C66" s="290" t="n">
        <f aca="false">8/E69</f>
        <v>2.73021440919798</v>
      </c>
      <c r="D66" s="290"/>
      <c r="E66" s="290"/>
      <c r="F66" s="290"/>
      <c r="G66" s="290"/>
      <c r="H66" s="290"/>
    </row>
    <row r="67" customFormat="false" ht="31.5" hidden="false" customHeight="true" outlineLevel="0" collapsed="false">
      <c r="A67" s="282" t="s">
        <v>331</v>
      </c>
      <c r="B67" s="282" t="s">
        <v>1062</v>
      </c>
      <c r="C67" s="282" t="s">
        <v>151</v>
      </c>
      <c r="D67" s="282" t="s">
        <v>1063</v>
      </c>
      <c r="E67" s="282" t="s">
        <v>995</v>
      </c>
      <c r="F67" s="282" t="s">
        <v>1064</v>
      </c>
      <c r="G67" s="282" t="s">
        <v>1020</v>
      </c>
      <c r="H67" s="282" t="s">
        <v>1065</v>
      </c>
    </row>
    <row r="68" customFormat="false" ht="19.5" hidden="false" customHeight="true" outlineLevel="0" collapsed="false">
      <c r="A68" s="21"/>
      <c r="B68" s="294" t="s">
        <v>1066</v>
      </c>
      <c r="C68" s="294"/>
      <c r="D68" s="294"/>
      <c r="E68" s="294"/>
      <c r="F68" s="294"/>
      <c r="G68" s="294"/>
      <c r="H68" s="294"/>
    </row>
    <row r="69" customFormat="false" ht="31.5" hidden="false" customHeight="true" outlineLevel="0" collapsed="false">
      <c r="A69" s="283" t="n">
        <v>1</v>
      </c>
      <c r="B69" s="295" t="s">
        <v>952</v>
      </c>
      <c r="C69" s="285" t="s">
        <v>953</v>
      </c>
      <c r="D69" s="306" t="n">
        <f aca="false">E69*$C$66/8</f>
        <v>1.0</v>
      </c>
      <c r="E69" s="306" t="n">
        <f aca="false">SUMIF($B$21:$B$59,B69,$F$21:$F$59)</f>
        <v>2.9301728</v>
      </c>
      <c r="F69" s="289" t="n">
        <v>30.42</v>
      </c>
      <c r="G69" s="290" t="n">
        <f aca="false">E69*F69</f>
        <v>89.135856576</v>
      </c>
      <c r="H69" s="149" t="s">
        <v>1067</v>
      </c>
    </row>
    <row r="70" customFormat="false" ht="31.5" hidden="false" customHeight="true" outlineLevel="0" collapsed="false">
      <c r="A70" s="283" t="n">
        <v>2</v>
      </c>
      <c r="B70" s="295" t="s">
        <v>954</v>
      </c>
      <c r="C70" s="285" t="s">
        <v>953</v>
      </c>
      <c r="D70" s="306" t="n">
        <f aca="false">E70*$C$66/8</f>
        <v>0.544185243955578</v>
      </c>
      <c r="E70" s="306" t="n">
        <f aca="false">SUMIF($B$21:$B$59,B70,$F$21:$F$59)</f>
        <v>1.5945568</v>
      </c>
      <c r="F70" s="289" t="n">
        <v>22.95</v>
      </c>
      <c r="G70" s="290" t="n">
        <f aca="false">E70*F70</f>
        <v>36.59507856</v>
      </c>
      <c r="H70" s="149" t="s">
        <v>1067</v>
      </c>
    </row>
    <row r="71" customFormat="false" ht="31.5" hidden="false" customHeight="true" outlineLevel="0" collapsed="false">
      <c r="A71" s="283" t="n">
        <v>3</v>
      </c>
      <c r="B71" s="295" t="s">
        <v>955</v>
      </c>
      <c r="C71" s="285" t="s">
        <v>953</v>
      </c>
      <c r="D71" s="306" t="n">
        <f aca="false">E71*$C$66/8</f>
        <v>0.422073674289789</v>
      </c>
      <c r="E71" s="306" t="n">
        <f aca="false">SUMIF($B$21:$B$59,B71,$F$21:$F$59)</f>
        <v>1.2367488</v>
      </c>
      <c r="F71" s="289" t="n">
        <v>20.79</v>
      </c>
      <c r="G71" s="290" t="n">
        <f aca="false">E71*F71</f>
        <v>25.712007552</v>
      </c>
      <c r="H71" s="149" t="s">
        <v>1067</v>
      </c>
    </row>
    <row r="72" customFormat="false" ht="19.5" hidden="false" customHeight="true" outlineLevel="0" collapsed="false">
      <c r="A72" s="21"/>
      <c r="B72" s="294" t="s">
        <v>1068</v>
      </c>
      <c r="C72" s="295"/>
      <c r="D72" s="295"/>
      <c r="E72" s="295"/>
      <c r="F72" s="295"/>
      <c r="G72" s="296" t="n">
        <f aca="false">SUM(G69:G71)</f>
        <v>151.442942688</v>
      </c>
      <c r="H72" s="295"/>
    </row>
    <row r="73" customFormat="false" ht="19.5" hidden="false" customHeight="true" outlineLevel="0" collapsed="false">
      <c r="A73" s="21"/>
      <c r="B73" s="294" t="s">
        <v>1069</v>
      </c>
      <c r="C73" s="294"/>
      <c r="D73" s="294"/>
      <c r="E73" s="294"/>
      <c r="F73" s="294"/>
      <c r="G73" s="294"/>
      <c r="H73" s="294"/>
    </row>
    <row r="74" customFormat="false" ht="19.5" hidden="false" customHeight="true" outlineLevel="0" collapsed="false">
      <c r="A74" s="283" t="n">
        <v>4</v>
      </c>
      <c r="B74" s="295" t="s">
        <v>1026</v>
      </c>
      <c r="C74" s="285" t="s">
        <v>50</v>
      </c>
      <c r="D74" s="295"/>
      <c r="E74" s="306" t="n">
        <f aca="false">SUMIF($B$21:$B$59,B74,$F$21:$F$59)</f>
        <v>10.60668</v>
      </c>
      <c r="F74" s="289" t="n">
        <v>3.08</v>
      </c>
      <c r="G74" s="290" t="n">
        <f aca="false">E74*F74</f>
        <v>32.6685744</v>
      </c>
      <c r="H74" s="149" t="s">
        <v>1205</v>
      </c>
    </row>
    <row r="75" customFormat="false" ht="19.5" hidden="false" customHeight="true" outlineLevel="0" collapsed="false">
      <c r="A75" s="283" t="n">
        <v>5</v>
      </c>
      <c r="B75" s="295" t="s">
        <v>1028</v>
      </c>
      <c r="C75" s="285" t="s">
        <v>50</v>
      </c>
      <c r="D75" s="295"/>
      <c r="E75" s="306" t="n">
        <f aca="false">SUMIF($B$21:$B$59,B75,$F$21:$F$59)</f>
        <v>0.303048</v>
      </c>
      <c r="F75" s="289" t="n">
        <v>18.63</v>
      </c>
      <c r="G75" s="290" t="n">
        <f aca="false">E75*F75</f>
        <v>5.64578424</v>
      </c>
      <c r="H75" s="149" t="s">
        <v>1206</v>
      </c>
    </row>
    <row r="76" customFormat="false" ht="19.5" hidden="false" customHeight="true" outlineLevel="0" collapsed="false">
      <c r="A76" s="283" t="n">
        <v>6</v>
      </c>
      <c r="B76" s="295" t="s">
        <v>944</v>
      </c>
      <c r="C76" s="285" t="s">
        <v>945</v>
      </c>
      <c r="D76" s="295"/>
      <c r="E76" s="306" t="n">
        <f aca="false">SUMIF($B$21:$B$59,B76,$F$21:$F$59)</f>
        <v>0.35993216</v>
      </c>
      <c r="F76" s="289" t="n">
        <v>30.93</v>
      </c>
      <c r="G76" s="290" t="n">
        <f aca="false">E76*F76</f>
        <v>11.1327017088</v>
      </c>
      <c r="H76" s="149" t="s">
        <v>1207</v>
      </c>
    </row>
    <row r="77" customFormat="false" ht="19.5" hidden="false" customHeight="true" outlineLevel="0" collapsed="false">
      <c r="A77" s="283" t="n">
        <v>7</v>
      </c>
      <c r="B77" s="295" t="s">
        <v>946</v>
      </c>
      <c r="C77" s="285" t="s">
        <v>167</v>
      </c>
      <c r="D77" s="295"/>
      <c r="E77" s="306" t="n">
        <f aca="false">SUMIF($B$21:$B$59,B77,$F$21:$F$59)</f>
        <v>0.01923584</v>
      </c>
      <c r="F77" s="289" t="n">
        <v>40.68</v>
      </c>
      <c r="G77" s="290" t="n">
        <f aca="false">E77*F77</f>
        <v>0.7825139712</v>
      </c>
      <c r="H77" s="149" t="s">
        <v>1208</v>
      </c>
    </row>
    <row r="78" customFormat="false" ht="19.5" hidden="false" customHeight="true" outlineLevel="0" collapsed="false">
      <c r="A78" s="283" t="n">
        <v>8</v>
      </c>
      <c r="B78" s="295" t="s">
        <v>947</v>
      </c>
      <c r="C78" s="285" t="s">
        <v>167</v>
      </c>
      <c r="D78" s="295"/>
      <c r="E78" s="306" t="n">
        <f aca="false">SUMIF($B$21:$B$59,B78,$F$21:$F$59)</f>
        <v>0.01960576</v>
      </c>
      <c r="F78" s="289" t="n">
        <v>101.69</v>
      </c>
      <c r="G78" s="290" t="n">
        <f aca="false">E78*F78</f>
        <v>1.9937097344</v>
      </c>
      <c r="H78" s="149" t="s">
        <v>1209</v>
      </c>
    </row>
    <row r="79" customFormat="false" ht="19.5" hidden="false" customHeight="true" outlineLevel="0" collapsed="false">
      <c r="A79" s="283" t="n">
        <v>9</v>
      </c>
      <c r="B79" s="295" t="s">
        <v>948</v>
      </c>
      <c r="C79" s="285" t="s">
        <v>167</v>
      </c>
      <c r="D79" s="295"/>
      <c r="E79" s="306" t="n">
        <f aca="false">SUMIF($B$21:$B$59,B79,$F$21:$F$59)</f>
        <v>0.006880512</v>
      </c>
      <c r="F79" s="289" t="n">
        <v>8.33</v>
      </c>
      <c r="G79" s="290" t="n">
        <f aca="false">E79*F79</f>
        <v>0.05731466496</v>
      </c>
      <c r="H79" s="149" t="s">
        <v>1210</v>
      </c>
    </row>
    <row r="80" customFormat="false" ht="19.5" hidden="false" customHeight="true" outlineLevel="0" collapsed="false">
      <c r="A80" s="283" t="n">
        <v>10</v>
      </c>
      <c r="B80" s="295" t="s">
        <v>959</v>
      </c>
      <c r="C80" s="285" t="s">
        <v>960</v>
      </c>
      <c r="D80" s="295"/>
      <c r="E80" s="306" t="n">
        <f aca="false">SUMIF($B$21:$B$59,B80,$F$21:$F$59)</f>
        <v>1.15</v>
      </c>
      <c r="F80" s="289" t="n">
        <v>4.41</v>
      </c>
      <c r="G80" s="290" t="n">
        <f aca="false">E80*F80</f>
        <v>5.0715</v>
      </c>
      <c r="H80" s="149" t="s">
        <v>1211</v>
      </c>
    </row>
    <row r="81" customFormat="false" ht="19.5" hidden="false" customHeight="true" outlineLevel="0" collapsed="false">
      <c r="A81" s="283" t="n">
        <v>11</v>
      </c>
      <c r="B81" s="295" t="s">
        <v>1044</v>
      </c>
      <c r="C81" s="285" t="s">
        <v>50</v>
      </c>
      <c r="D81" s="295"/>
      <c r="E81" s="306" t="n">
        <f aca="false">SUMIF($B$21:$B$59,B81,$F$21:$F$59)</f>
        <v>18.20448</v>
      </c>
      <c r="F81" s="289" t="n">
        <v>3.44</v>
      </c>
      <c r="G81" s="290" t="n">
        <f aca="false">E81*F81</f>
        <v>62.6234112</v>
      </c>
      <c r="H81" s="149" t="s">
        <v>1212</v>
      </c>
    </row>
    <row r="82" customFormat="false" ht="19.5" hidden="false" customHeight="true" outlineLevel="0" collapsed="false">
      <c r="A82" s="283" t="n">
        <v>12</v>
      </c>
      <c r="B82" s="295" t="s">
        <v>965</v>
      </c>
      <c r="C82" s="285" t="s">
        <v>50</v>
      </c>
      <c r="D82" s="295"/>
      <c r="E82" s="306" t="n">
        <f aca="false">SUMIF($B$21:$B$59,B82,$F$21:$F$59)</f>
        <v>1.040256</v>
      </c>
      <c r="F82" s="289" t="n">
        <v>5.08</v>
      </c>
      <c r="G82" s="290" t="n">
        <f aca="false">E82*F82</f>
        <v>5.28450048</v>
      </c>
      <c r="H82" s="149" t="s">
        <v>1213</v>
      </c>
    </row>
    <row r="83" customFormat="false" ht="19.5" hidden="false" customHeight="true" outlineLevel="0" collapsed="false">
      <c r="A83" s="283" t="n">
        <v>13</v>
      </c>
      <c r="B83" s="295" t="s">
        <v>980</v>
      </c>
      <c r="C83" s="285" t="s">
        <v>981</v>
      </c>
      <c r="D83" s="295"/>
      <c r="E83" s="306" t="n">
        <f aca="false">SUMIF($B$21:$B$59,B83,$F$21:$F$59)</f>
        <v>0.0671232</v>
      </c>
      <c r="F83" s="289" t="n">
        <v>44.92</v>
      </c>
      <c r="G83" s="290" t="n">
        <f aca="false">E83*F83</f>
        <v>3.015174144</v>
      </c>
      <c r="H83" s="149" t="s">
        <v>1214</v>
      </c>
    </row>
    <row r="84" customFormat="false" ht="19.5" hidden="false" customHeight="true" outlineLevel="0" collapsed="false">
      <c r="A84" s="283" t="n">
        <v>14</v>
      </c>
      <c r="B84" s="295" t="s">
        <v>982</v>
      </c>
      <c r="C84" s="285" t="s">
        <v>981</v>
      </c>
      <c r="D84" s="295"/>
      <c r="E84" s="306" t="n">
        <f aca="false">SUMIF($B$21:$B$59,B84,$F$21:$F$59)</f>
        <v>0.0671232</v>
      </c>
      <c r="F84" s="289" t="n">
        <v>48.31</v>
      </c>
      <c r="G84" s="290" t="n">
        <f aca="false">E84*F84</f>
        <v>3.242721792</v>
      </c>
      <c r="H84" s="149" t="s">
        <v>1215</v>
      </c>
    </row>
    <row r="85" customFormat="false" ht="19.5" hidden="false" customHeight="true" outlineLevel="0" collapsed="false">
      <c r="A85" s="283" t="n">
        <v>15</v>
      </c>
      <c r="B85" s="295" t="s">
        <v>1197</v>
      </c>
      <c r="C85" s="285" t="s">
        <v>60</v>
      </c>
      <c r="D85" s="295"/>
      <c r="E85" s="306" t="n">
        <f aca="false">SUMIF($B$21:$B$59,B85,$F$21:$F$59)</f>
        <v>0.20976</v>
      </c>
      <c r="F85" s="289" t="n">
        <v>2.12</v>
      </c>
      <c r="G85" s="290" t="n">
        <f aca="false">E85*F85</f>
        <v>0.4446912</v>
      </c>
      <c r="H85" s="149" t="s">
        <v>1216</v>
      </c>
    </row>
    <row r="86" customFormat="false" ht="19.5" hidden="false" customHeight="true" outlineLevel="0" collapsed="false">
      <c r="A86" s="283" t="n">
        <v>16</v>
      </c>
      <c r="B86" s="295" t="s">
        <v>1198</v>
      </c>
      <c r="C86" s="285" t="s">
        <v>981</v>
      </c>
      <c r="D86" s="295"/>
      <c r="E86" s="306" t="n">
        <f aca="false">SUMIF($B$21:$B$59,B86,$F$21:$F$59)</f>
        <v>0.02013696</v>
      </c>
      <c r="F86" s="289" t="n">
        <v>35.65</v>
      </c>
      <c r="G86" s="290" t="n">
        <f aca="false">E86*F86</f>
        <v>0.717882624</v>
      </c>
      <c r="H86" s="149" t="s">
        <v>1217</v>
      </c>
    </row>
    <row r="87" customFormat="false" ht="19.5" hidden="false" customHeight="true" outlineLevel="0" collapsed="false">
      <c r="A87" s="21"/>
      <c r="B87" s="294" t="s">
        <v>1071</v>
      </c>
      <c r="C87" s="295"/>
      <c r="D87" s="295"/>
      <c r="E87" s="295"/>
      <c r="F87" s="295"/>
      <c r="G87" s="296" t="n">
        <f aca="false">SUM(G74:G86)</f>
        <v>132.68048015936</v>
      </c>
      <c r="H87" s="295"/>
    </row>
    <row r="88" customFormat="false" ht="19.5" hidden="false" customHeight="true" outlineLevel="0" collapsed="false">
      <c r="A88" s="21"/>
      <c r="B88" s="294" t="s">
        <v>1072</v>
      </c>
      <c r="C88" s="294"/>
      <c r="D88" s="294"/>
      <c r="E88" s="294"/>
      <c r="F88" s="294"/>
      <c r="G88" s="294"/>
      <c r="H88" s="294"/>
    </row>
    <row r="89" customFormat="false" ht="19.5" hidden="false" customHeight="true" outlineLevel="0" collapsed="false">
      <c r="A89" s="283" t="n">
        <v>17</v>
      </c>
      <c r="B89" s="295" t="s">
        <v>969</v>
      </c>
      <c r="C89" s="285" t="s">
        <v>970</v>
      </c>
      <c r="D89" s="295"/>
      <c r="E89" s="284" t="n">
        <v>0.03</v>
      </c>
      <c r="F89" s="290" t="n">
        <f aca="false">+G72</f>
        <v>151.442942688</v>
      </c>
      <c r="G89" s="290" t="n">
        <f aca="false">E89*F89</f>
        <v>4.54328828064</v>
      </c>
      <c r="H89" s="149" t="s">
        <v>1073</v>
      </c>
    </row>
    <row r="90" customFormat="false" ht="19.5" hidden="false" customHeight="true" outlineLevel="0" collapsed="false">
      <c r="A90" s="283" t="n">
        <v>18</v>
      </c>
      <c r="B90" s="295" t="s">
        <v>949</v>
      </c>
      <c r="C90" s="285" t="s">
        <v>950</v>
      </c>
      <c r="D90" s="306" t="n">
        <f aca="false">E90*$C$66/8</f>
        <v>0.0100996091425052</v>
      </c>
      <c r="E90" s="306" t="n">
        <f aca="false">SUMIF($B$21:$B$59,B90,$F$21:$F$59)</f>
        <v>0.0295936</v>
      </c>
      <c r="F90" s="289" t="n">
        <v>12.71</v>
      </c>
      <c r="G90" s="290" t="n">
        <f aca="false">E90*F90</f>
        <v>0.376134656</v>
      </c>
      <c r="H90" s="149" t="s">
        <v>1218</v>
      </c>
    </row>
    <row r="91" customFormat="false" ht="19.5" hidden="false" customHeight="true" outlineLevel="0" collapsed="false">
      <c r="A91" s="283" t="n">
        <v>19</v>
      </c>
      <c r="B91" s="295" t="s">
        <v>951</v>
      </c>
      <c r="C91" s="285" t="s">
        <v>950</v>
      </c>
      <c r="D91" s="306" t="n">
        <f aca="false">E91*$C$66/8</f>
        <v>0.0100996091425052</v>
      </c>
      <c r="E91" s="306" t="n">
        <f aca="false">SUMIF($B$21:$B$59,B91,$F$21:$F$59)</f>
        <v>0.0295936</v>
      </c>
      <c r="F91" s="289" t="n">
        <v>11.02</v>
      </c>
      <c r="G91" s="290" t="n">
        <f aca="false">E91*F91</f>
        <v>0.326121472</v>
      </c>
      <c r="H91" s="149" t="s">
        <v>1219</v>
      </c>
    </row>
    <row r="92" customFormat="false" ht="19.5" hidden="false" customHeight="true" outlineLevel="0" collapsed="false">
      <c r="A92" s="283" t="n">
        <v>20</v>
      </c>
      <c r="B92" s="295" t="s">
        <v>1030</v>
      </c>
      <c r="C92" s="285" t="s">
        <v>950</v>
      </c>
      <c r="D92" s="306" t="n">
        <f aca="false">E92*$C$66/8</f>
        <v>0.344744173449429</v>
      </c>
      <c r="E92" s="306" t="n">
        <f aca="false">SUMIF($B$21:$B$59,B92,$F$21:$F$59)</f>
        <v>1.01016</v>
      </c>
      <c r="F92" s="289" t="n">
        <v>8.0</v>
      </c>
      <c r="G92" s="290" t="n">
        <f aca="false">E92*F92</f>
        <v>8.08128</v>
      </c>
      <c r="H92" s="149" t="s">
        <v>1220</v>
      </c>
    </row>
    <row r="93" customFormat="false" ht="19.5" hidden="false" customHeight="true" outlineLevel="0" collapsed="false">
      <c r="A93" s="21"/>
      <c r="B93" s="294" t="s">
        <v>1075</v>
      </c>
      <c r="C93" s="295"/>
      <c r="D93" s="295"/>
      <c r="E93" s="295"/>
      <c r="F93" s="295"/>
      <c r="G93" s="296" t="n">
        <f aca="false">SUM(G89:G92)</f>
        <v>13.32682440864</v>
      </c>
      <c r="H93" s="295"/>
    </row>
    <row r="94" customFormat="false" ht="21.75" hidden="false" customHeight="true" outlineLevel="0" collapsed="false">
      <c r="A94" s="294" t="s">
        <v>1076</v>
      </c>
      <c r="B94" s="294"/>
      <c r="C94" s="294"/>
      <c r="D94" s="294"/>
      <c r="E94" s="294"/>
      <c r="F94" s="294"/>
      <c r="G94" s="296" t="n">
        <f aca="false">+G72+G87+G93</f>
        <v>297.450247256</v>
      </c>
      <c r="H94" s="295"/>
    </row>
    <row r="95" customFormat="false" ht="21.75" hidden="false" customHeight="true" outlineLevel="0" collapsed="false">
      <c r="A95" s="294" t="s">
        <v>1077</v>
      </c>
      <c r="B95" s="294"/>
      <c r="C95" s="294"/>
      <c r="D95" s="294"/>
      <c r="E95" s="294"/>
      <c r="F95" s="294"/>
      <c r="G95" s="296" t="n">
        <f aca="false">G94*C65</f>
        <v>2974.50247256</v>
      </c>
      <c r="H95" s="295"/>
    </row>
    <row r="96" customFormat="false" ht="19.5" hidden="false" customHeight="true" outlineLevel="0" collapsed="false">
      <c r="A96" s="295" t="s">
        <v>1078</v>
      </c>
      <c r="B96" s="295"/>
      <c r="C96" s="295"/>
      <c r="D96" s="295"/>
      <c r="E96" s="295"/>
      <c r="F96" s="295"/>
      <c r="G96" s="283" t="str">
        <f aca="false">IF(ABS(G60+G89-G94)&lt;0.005,"CONFORME","REVISAR")</f>
        <v>CONFORME</v>
      </c>
      <c r="H96" s="295"/>
    </row>
  </sheetData>
  <mergeCells count="35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19:H19"/>
    <mergeCell ref="B21:H21"/>
    <mergeCell ref="B29:H29"/>
    <mergeCell ref="B40:H40"/>
    <mergeCell ref="B43:H43"/>
    <mergeCell ref="B49:H49"/>
    <mergeCell ref="B56:H56"/>
    <mergeCell ref="A61:H61"/>
    <mergeCell ref="A62:B62"/>
    <mergeCell ref="C62:H62"/>
    <mergeCell ref="A63:B63"/>
    <mergeCell ref="C63:H63"/>
    <mergeCell ref="A64:B64"/>
    <mergeCell ref="C64:H64"/>
    <mergeCell ref="A65:B65"/>
    <mergeCell ref="C65:H65"/>
    <mergeCell ref="A66:B66"/>
    <mergeCell ref="C66:H66"/>
    <mergeCell ref="B68:H68"/>
    <mergeCell ref="B73:H73"/>
    <mergeCell ref="B88:H88"/>
    <mergeCell ref="A94:F94"/>
    <mergeCell ref="A95:F95"/>
    <mergeCell ref="A96:F96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1"/>
  <sheetViews>
    <sheetView showFormulas="false" showGridLines="fals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7" min="4" style="0" width="13"/>
    <col collapsed="false" customWidth="true" hidden="false" outlineLevel="0" max="8" min="8" style="0" width="46"/>
  </cols>
  <sheetData>
    <row r="1" customFormat="false" ht="27" hidden="false" customHeight="true" outlineLevel="0" collapsed="false">
      <c r="A1" s="277" t="s">
        <v>1079</v>
      </c>
      <c r="B1" s="277"/>
      <c r="C1" s="277"/>
      <c r="D1" s="277"/>
      <c r="E1" s="277"/>
      <c r="F1" s="277"/>
      <c r="G1" s="277"/>
      <c r="H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</row>
    <row r="7" customFormat="false" ht="66" hidden="false" customHeight="true" outlineLevel="0" collapsed="false">
      <c r="A7" s="281" t="s">
        <v>1080</v>
      </c>
      <c r="B7" s="281"/>
      <c r="C7" s="281"/>
      <c r="D7" s="281"/>
      <c r="E7" s="281"/>
      <c r="F7" s="281"/>
      <c r="G7" s="281"/>
      <c r="H7" s="281"/>
    </row>
    <row r="9" customFormat="false" ht="19.5" hidden="false" customHeight="true" outlineLevel="0" collapsed="false">
      <c r="A9" s="294" t="s">
        <v>1081</v>
      </c>
      <c r="B9" s="294"/>
      <c r="C9" s="294"/>
      <c r="D9" s="294"/>
      <c r="E9" s="294"/>
      <c r="F9" s="294"/>
      <c r="G9" s="294"/>
      <c r="H9" s="294"/>
    </row>
    <row r="10" customFormat="false" ht="21.75" hidden="false" customHeight="true" outlineLevel="0" collapsed="false">
      <c r="A10" s="282" t="s">
        <v>331</v>
      </c>
      <c r="B10" s="282" t="s">
        <v>1082</v>
      </c>
      <c r="C10" s="282" t="s">
        <v>151</v>
      </c>
      <c r="D10" s="282" t="s">
        <v>292</v>
      </c>
      <c r="E10" s="282"/>
      <c r="F10" s="282"/>
      <c r="G10" s="282"/>
      <c r="H10" s="282" t="s">
        <v>657</v>
      </c>
    </row>
    <row r="11" customFormat="false" ht="19.5" hidden="false" customHeight="true" outlineLevel="0" collapsed="false">
      <c r="A11" s="283" t="n">
        <v>1</v>
      </c>
      <c r="B11" s="295" t="s">
        <v>1083</v>
      </c>
      <c r="C11" s="285" t="s">
        <v>57</v>
      </c>
      <c r="D11" s="306" t="n">
        <f aca="false">+'METRADO CANALETAS'!F45</f>
        <v>0.25</v>
      </c>
      <c r="E11" s="295"/>
      <c r="F11" s="295"/>
      <c r="G11" s="295"/>
      <c r="H11" s="149" t="s">
        <v>1084</v>
      </c>
    </row>
    <row r="12" customFormat="false" ht="19.5" hidden="false" customHeight="true" outlineLevel="0" collapsed="false">
      <c r="A12" s="283" t="n">
        <v>2</v>
      </c>
      <c r="B12" s="295" t="s">
        <v>1085</v>
      </c>
      <c r="C12" s="285" t="s">
        <v>57</v>
      </c>
      <c r="D12" s="306" t="n">
        <f aca="false">+'METRADO CANALETAS'!F46</f>
        <v>0.2</v>
      </c>
      <c r="E12" s="295"/>
      <c r="F12" s="295"/>
      <c r="G12" s="295"/>
      <c r="H12" s="149" t="s">
        <v>1086</v>
      </c>
    </row>
    <row r="13" customFormat="false" ht="19.5" hidden="false" customHeight="true" outlineLevel="0" collapsed="false">
      <c r="A13" s="283" t="n">
        <v>3</v>
      </c>
      <c r="B13" s="295" t="s">
        <v>1087</v>
      </c>
      <c r="C13" s="285" t="s">
        <v>57</v>
      </c>
      <c r="D13" s="306" t="n">
        <f aca="false">+'METRADO CANALETAS'!F47</f>
        <v>0.05</v>
      </c>
      <c r="E13" s="295"/>
      <c r="F13" s="295"/>
      <c r="G13" s="295"/>
      <c r="H13" s="149" t="s">
        <v>1088</v>
      </c>
    </row>
    <row r="14" customFormat="false" ht="19.5" hidden="false" customHeight="true" outlineLevel="0" collapsed="false">
      <c r="A14" s="283" t="n">
        <v>4</v>
      </c>
      <c r="B14" s="295" t="s">
        <v>1089</v>
      </c>
      <c r="C14" s="285" t="s">
        <v>602</v>
      </c>
      <c r="D14" s="306" t="n">
        <f aca="false">+'METRADO CANALETAS'!F48</f>
        <v>0.75</v>
      </c>
      <c r="E14" s="295"/>
      <c r="F14" s="295"/>
      <c r="G14" s="295"/>
      <c r="H14" s="149" t="s">
        <v>1090</v>
      </c>
    </row>
    <row r="15" customFormat="false" ht="19.5" hidden="false" customHeight="true" outlineLevel="0" collapsed="false">
      <c r="A15" s="283" t="n">
        <v>5</v>
      </c>
      <c r="B15" s="295" t="s">
        <v>302</v>
      </c>
      <c r="C15" s="285" t="s">
        <v>303</v>
      </c>
      <c r="D15" s="306" t="n">
        <f aca="false">+'METRADO CANALETAS'!F49</f>
        <v>0.9</v>
      </c>
      <c r="E15" s="295"/>
      <c r="F15" s="295"/>
      <c r="G15" s="295"/>
      <c r="H15" s="149" t="s">
        <v>1091</v>
      </c>
    </row>
    <row r="16" customFormat="false" ht="19.5" hidden="false" customHeight="true" outlineLevel="0" collapsed="false">
      <c r="A16" s="283" t="n">
        <v>6</v>
      </c>
      <c r="B16" s="295" t="s">
        <v>1092</v>
      </c>
      <c r="C16" s="285" t="s">
        <v>57</v>
      </c>
      <c r="D16" s="306" t="n">
        <f aca="false">+'METRADO CANALETAS'!F50</f>
        <v>0.6</v>
      </c>
      <c r="E16" s="295"/>
      <c r="F16" s="295"/>
      <c r="G16" s="295"/>
      <c r="H16" s="149" t="s">
        <v>1093</v>
      </c>
    </row>
    <row r="17" customFormat="false" ht="19.5" hidden="false" customHeight="true" outlineLevel="0" collapsed="false">
      <c r="A17" s="283" t="n">
        <v>7</v>
      </c>
      <c r="B17" s="295" t="s">
        <v>1094</v>
      </c>
      <c r="C17" s="285" t="s">
        <v>1095</v>
      </c>
      <c r="D17" s="306" t="n">
        <f aca="false">D15*7.85+0.3</f>
        <v>7.365</v>
      </c>
      <c r="E17" s="295"/>
      <c r="F17" s="295"/>
      <c r="G17" s="295"/>
      <c r="H17" s="149" t="s">
        <v>1096</v>
      </c>
    </row>
    <row r="18" customFormat="false" ht="19.5" hidden="false" customHeight="true" outlineLevel="0" collapsed="false">
      <c r="A18" s="283" t="n">
        <v>8</v>
      </c>
      <c r="B18" s="295" t="s">
        <v>1097</v>
      </c>
      <c r="C18" s="285" t="s">
        <v>57</v>
      </c>
      <c r="D18" s="307" t="n">
        <v>2.44</v>
      </c>
      <c r="E18" s="295"/>
      <c r="F18" s="295"/>
      <c r="G18" s="295"/>
      <c r="H18" s="149" t="s">
        <v>1098</v>
      </c>
    </row>
    <row r="19" customFormat="false" ht="19.5" hidden="false" customHeight="true" outlineLevel="0" collapsed="false">
      <c r="A19" s="283" t="n">
        <v>9</v>
      </c>
      <c r="B19" s="295" t="s">
        <v>1099</v>
      </c>
      <c r="C19" s="285" t="s">
        <v>57</v>
      </c>
      <c r="D19" s="307" t="n">
        <v>0.05</v>
      </c>
      <c r="E19" s="295"/>
      <c r="F19" s="295"/>
      <c r="G19" s="295"/>
      <c r="H19" s="149" t="s">
        <v>1100</v>
      </c>
    </row>
    <row r="20" customFormat="false" ht="19.5" hidden="false" customHeight="true" outlineLevel="0" collapsed="false">
      <c r="A20" s="283" t="n">
        <v>10</v>
      </c>
      <c r="B20" s="295" t="s">
        <v>1101</v>
      </c>
      <c r="C20" s="285" t="s">
        <v>57</v>
      </c>
      <c r="D20" s="306" t="n">
        <f aca="false">D11+2*D12+2*0.1</f>
        <v>0.85</v>
      </c>
      <c r="E20" s="295"/>
      <c r="F20" s="295"/>
      <c r="G20" s="295"/>
      <c r="H20" s="149" t="s">
        <v>1102</v>
      </c>
    </row>
    <row r="21" customFormat="false" ht="19.5" hidden="false" customHeight="true" outlineLevel="0" collapsed="false">
      <c r="A21" s="283" t="n">
        <v>11</v>
      </c>
      <c r="B21" s="295" t="s">
        <v>1103</v>
      </c>
      <c r="C21" s="285" t="s">
        <v>515</v>
      </c>
      <c r="D21" s="307" t="n">
        <v>0.633</v>
      </c>
      <c r="E21" s="295"/>
      <c r="F21" s="295"/>
      <c r="G21" s="295"/>
      <c r="H21" s="149" t="s">
        <v>1104</v>
      </c>
    </row>
    <row r="22" customFormat="false" ht="19.5" hidden="false" customHeight="true" outlineLevel="0" collapsed="false">
      <c r="A22" s="283" t="n">
        <v>12</v>
      </c>
      <c r="B22" s="295" t="s">
        <v>1105</v>
      </c>
      <c r="C22" s="285" t="s">
        <v>57</v>
      </c>
      <c r="D22" s="307" t="n">
        <v>6</v>
      </c>
      <c r="E22" s="295"/>
      <c r="F22" s="295"/>
      <c r="G22" s="295"/>
      <c r="H22" s="149" t="s">
        <v>1106</v>
      </c>
    </row>
    <row r="25" customFormat="false" ht="21.75" hidden="false" customHeight="true" outlineLevel="0" collapsed="false">
      <c r="A25" s="294" t="s">
        <v>1107</v>
      </c>
      <c r="B25" s="294"/>
      <c r="C25" s="294"/>
      <c r="D25" s="294"/>
      <c r="E25" s="294"/>
      <c r="F25" s="294"/>
      <c r="G25" s="294"/>
      <c r="H25" s="294"/>
    </row>
    <row r="26" customFormat="false" ht="19.5" hidden="false" customHeight="true" outlineLevel="0" collapsed="false">
      <c r="A26" s="294" t="s">
        <v>502</v>
      </c>
      <c r="B26" s="294"/>
      <c r="C26" s="295" t="s">
        <v>57</v>
      </c>
      <c r="D26" s="295"/>
      <c r="E26" s="295"/>
      <c r="F26" s="295"/>
      <c r="G26" s="295"/>
      <c r="H26" s="295"/>
    </row>
    <row r="27" customFormat="false" ht="19.5" hidden="false" customHeight="true" outlineLevel="0" collapsed="false">
      <c r="A27" s="294" t="s">
        <v>1060</v>
      </c>
      <c r="B27" s="294"/>
      <c r="C27" s="290" t="n">
        <f aca="false">+'PLANILLA GENERAL DE METRADOS'!K149</f>
        <v>513.98</v>
      </c>
      <c r="D27" s="295"/>
      <c r="E27" s="295"/>
      <c r="F27" s="295"/>
      <c r="G27" s="295"/>
      <c r="H27" s="295"/>
    </row>
    <row r="28" customFormat="false" ht="19.5" hidden="false" customHeight="true" outlineLevel="0" collapsed="false">
      <c r="A28" s="294" t="s">
        <v>1108</v>
      </c>
      <c r="B28" s="294"/>
      <c r="C28" s="289" t="n">
        <v>25</v>
      </c>
      <c r="D28" s="295"/>
      <c r="E28" s="295" t="s">
        <v>1109</v>
      </c>
      <c r="F28" s="295"/>
      <c r="G28" s="295"/>
      <c r="H28" s="295"/>
    </row>
    <row r="29" customFormat="false" ht="31.5" hidden="false" customHeight="true" outlineLevel="0" collapsed="false">
      <c r="A29" s="282" t="s">
        <v>331</v>
      </c>
      <c r="B29" s="282" t="s">
        <v>1062</v>
      </c>
      <c r="C29" s="282" t="s">
        <v>151</v>
      </c>
      <c r="D29" s="282" t="s">
        <v>1063</v>
      </c>
      <c r="E29" s="282" t="s">
        <v>252</v>
      </c>
      <c r="F29" s="282" t="s">
        <v>1064</v>
      </c>
      <c r="G29" s="282" t="s">
        <v>1020</v>
      </c>
      <c r="H29" s="282" t="s">
        <v>1110</v>
      </c>
    </row>
    <row r="30" customFormat="false" ht="19.5" hidden="false" customHeight="true" outlineLevel="0" collapsed="false">
      <c r="A30" s="21"/>
      <c r="B30" s="294" t="s">
        <v>1066</v>
      </c>
      <c r="C30" s="294"/>
      <c r="D30" s="294"/>
      <c r="E30" s="294"/>
      <c r="F30" s="294"/>
      <c r="G30" s="294"/>
      <c r="H30" s="294"/>
    </row>
    <row r="31" customFormat="false" ht="31.5" hidden="false" customHeight="true" outlineLevel="0" collapsed="false">
      <c r="A31" s="283" t="n">
        <v>1</v>
      </c>
      <c r="B31" s="295" t="s">
        <v>1111</v>
      </c>
      <c r="C31" s="285" t="s">
        <v>953</v>
      </c>
      <c r="D31" s="284" t="n">
        <v>1</v>
      </c>
      <c r="E31" s="306" t="n">
        <f aca="false">D31*8/$C$28</f>
        <v>0.32</v>
      </c>
      <c r="F31" s="289" t="n">
        <v>30.42</v>
      </c>
      <c r="G31" s="290" t="n">
        <f aca="false">E31*F31</f>
        <v>9.7344</v>
      </c>
      <c r="H31" s="149" t="s">
        <v>1067</v>
      </c>
    </row>
    <row r="32" customFormat="false" ht="31.5" hidden="false" customHeight="true" outlineLevel="0" collapsed="false">
      <c r="A32" s="283" t="n">
        <v>2</v>
      </c>
      <c r="B32" s="295" t="s">
        <v>955</v>
      </c>
      <c r="C32" s="285" t="s">
        <v>953</v>
      </c>
      <c r="D32" s="284" t="n">
        <v>1</v>
      </c>
      <c r="E32" s="306" t="n">
        <f aca="false">D32*8/$C$28</f>
        <v>0.32</v>
      </c>
      <c r="F32" s="289" t="n">
        <v>20.79</v>
      </c>
      <c r="G32" s="290" t="n">
        <f aca="false">E32*F32</f>
        <v>6.6528</v>
      </c>
      <c r="H32" s="149" t="s">
        <v>1067</v>
      </c>
    </row>
    <row r="33" customFormat="false" ht="19.5" hidden="false" customHeight="true" outlineLevel="0" collapsed="false">
      <c r="A33" s="21"/>
      <c r="B33" s="294" t="s">
        <v>1068</v>
      </c>
      <c r="C33" s="295"/>
      <c r="D33" s="295"/>
      <c r="E33" s="295"/>
      <c r="F33" s="295"/>
      <c r="G33" s="296" t="n">
        <f aca="false">SUM(G31:G32)</f>
        <v>16.3872</v>
      </c>
      <c r="H33" s="295"/>
    </row>
    <row r="34" customFormat="false" ht="19.5" hidden="false" customHeight="true" outlineLevel="0" collapsed="false">
      <c r="A34" s="21"/>
      <c r="B34" s="294" t="s">
        <v>1069</v>
      </c>
      <c r="C34" s="294"/>
      <c r="D34" s="294"/>
      <c r="E34" s="294"/>
      <c r="F34" s="294"/>
      <c r="G34" s="294"/>
      <c r="H34" s="294"/>
    </row>
    <row r="35" customFormat="false" ht="31.5" hidden="false" customHeight="true" outlineLevel="0" collapsed="false">
      <c r="A35" s="283" t="n">
        <v>3</v>
      </c>
      <c r="B35" s="295" t="s">
        <v>1112</v>
      </c>
      <c r="C35" s="285" t="s">
        <v>168</v>
      </c>
      <c r="D35" s="295"/>
      <c r="E35" s="306" t="n">
        <f aca="false">$D$14*(1+$D$19/$D$18)*1.05</f>
        <v>0.803637295081967</v>
      </c>
      <c r="F35" s="289" t="n">
        <v>26.95</v>
      </c>
      <c r="G35" s="290" t="n">
        <f aca="false">E35*F35</f>
        <v>21.658025102459</v>
      </c>
      <c r="H35" s="149" t="s">
        <v>1113</v>
      </c>
    </row>
    <row r="36" customFormat="false" ht="19.5" hidden="false" customHeight="true" outlineLevel="0" collapsed="false">
      <c r="A36" s="283" t="n">
        <v>4</v>
      </c>
      <c r="B36" s="295" t="s">
        <v>1114</v>
      </c>
      <c r="C36" s="285" t="s">
        <v>60</v>
      </c>
      <c r="D36" s="295"/>
      <c r="E36" s="306" t="n">
        <f aca="false">2*($D$11+2*$D$12)/0.05/$D$18</f>
        <v>10.655737704918</v>
      </c>
      <c r="F36" s="289" t="n">
        <v>0.1</v>
      </c>
      <c r="G36" s="290" t="n">
        <f aca="false">E36*F36</f>
        <v>1.0655737704918</v>
      </c>
      <c r="H36" s="149" t="s">
        <v>1115</v>
      </c>
    </row>
    <row r="37" customFormat="false" ht="31.5" hidden="false" customHeight="true" outlineLevel="0" collapsed="false">
      <c r="A37" s="283" t="n">
        <v>5</v>
      </c>
      <c r="B37" s="295" t="s">
        <v>1116</v>
      </c>
      <c r="C37" s="285" t="s">
        <v>60</v>
      </c>
      <c r="D37" s="295"/>
      <c r="E37" s="306" t="n">
        <f aca="false">($D$11+2*$D$12)/$D$18/8</f>
        <v>0.0332991803278689</v>
      </c>
      <c r="F37" s="289" t="n">
        <v>21.19</v>
      </c>
      <c r="G37" s="290" t="n">
        <f aca="false">E37*F37</f>
        <v>0.705609631147541</v>
      </c>
      <c r="H37" s="149" t="s">
        <v>1117</v>
      </c>
    </row>
    <row r="38" customFormat="false" ht="19.5" hidden="false" customHeight="true" outlineLevel="0" collapsed="false">
      <c r="A38" s="21"/>
      <c r="B38" s="294" t="s">
        <v>1071</v>
      </c>
      <c r="C38" s="295"/>
      <c r="D38" s="295"/>
      <c r="E38" s="295"/>
      <c r="F38" s="295"/>
      <c r="G38" s="296" t="n">
        <f aca="false">SUM(G35:G37)</f>
        <v>23.4292085040984</v>
      </c>
      <c r="H38" s="295"/>
    </row>
    <row r="39" customFormat="false" ht="19.5" hidden="false" customHeight="true" outlineLevel="0" collapsed="false">
      <c r="A39" s="21"/>
      <c r="B39" s="294" t="s">
        <v>1072</v>
      </c>
      <c r="C39" s="294"/>
      <c r="D39" s="294"/>
      <c r="E39" s="294"/>
      <c r="F39" s="294"/>
      <c r="G39" s="294"/>
      <c r="H39" s="294"/>
    </row>
    <row r="40" customFormat="false" ht="19.5" hidden="false" customHeight="true" outlineLevel="0" collapsed="false">
      <c r="A40" s="283" t="n">
        <v>6</v>
      </c>
      <c r="B40" s="295" t="s">
        <v>969</v>
      </c>
      <c r="C40" s="285" t="s">
        <v>970</v>
      </c>
      <c r="D40" s="295"/>
      <c r="E40" s="284" t="n">
        <v>0.05</v>
      </c>
      <c r="F40" s="290" t="n">
        <f aca="false">+G33</f>
        <v>16.3872</v>
      </c>
      <c r="G40" s="290" t="n">
        <f aca="false">E40*F40</f>
        <v>0.81936</v>
      </c>
      <c r="H40" s="149" t="s">
        <v>1118</v>
      </c>
    </row>
    <row r="41" customFormat="false" ht="19.5" hidden="false" customHeight="true" outlineLevel="0" collapsed="false">
      <c r="A41" s="21"/>
      <c r="B41" s="294" t="s">
        <v>1075</v>
      </c>
      <c r="C41" s="295"/>
      <c r="D41" s="295"/>
      <c r="E41" s="295"/>
      <c r="F41" s="295"/>
      <c r="G41" s="296" t="n">
        <f aca="false">SUM(G40:G40)</f>
        <v>0.81936</v>
      </c>
      <c r="H41" s="295"/>
    </row>
    <row r="42" customFormat="false" ht="21.75" hidden="false" customHeight="true" outlineLevel="0" collapsed="false">
      <c r="A42" s="294" t="s">
        <v>1119</v>
      </c>
      <c r="B42" s="294"/>
      <c r="C42" s="294"/>
      <c r="D42" s="294"/>
      <c r="E42" s="294"/>
      <c r="F42" s="294"/>
      <c r="G42" s="296" t="n">
        <f aca="false">+G33+G38+G41</f>
        <v>40.6357685040984</v>
      </c>
      <c r="H42" s="295"/>
    </row>
    <row r="43" customFormat="false" ht="21.75" hidden="false" customHeight="true" outlineLevel="0" collapsed="false">
      <c r="A43" s="294" t="s">
        <v>1077</v>
      </c>
      <c r="B43" s="294"/>
      <c r="C43" s="294"/>
      <c r="D43" s="294"/>
      <c r="E43" s="294"/>
      <c r="F43" s="294"/>
      <c r="G43" s="296" t="n">
        <f aca="false">G42*C27</f>
        <v>20885.9722957365</v>
      </c>
      <c r="H43" s="295"/>
    </row>
    <row r="45" customFormat="false" ht="21.75" hidden="false" customHeight="true" outlineLevel="0" collapsed="false">
      <c r="A45" s="294" t="s">
        <v>1120</v>
      </c>
      <c r="B45" s="294"/>
      <c r="C45" s="294"/>
      <c r="D45" s="294"/>
      <c r="E45" s="294"/>
      <c r="F45" s="294"/>
      <c r="G45" s="294"/>
      <c r="H45" s="294"/>
    </row>
    <row r="46" customFormat="false" ht="19.5" hidden="false" customHeight="true" outlineLevel="0" collapsed="false">
      <c r="A46" s="294" t="s">
        <v>502</v>
      </c>
      <c r="B46" s="294"/>
      <c r="C46" s="295" t="s">
        <v>60</v>
      </c>
      <c r="D46" s="295"/>
      <c r="E46" s="295"/>
      <c r="F46" s="295"/>
      <c r="G46" s="295"/>
      <c r="H46" s="295"/>
    </row>
    <row r="47" customFormat="false" ht="19.5" hidden="false" customHeight="true" outlineLevel="0" collapsed="false">
      <c r="A47" s="294" t="s">
        <v>1060</v>
      </c>
      <c r="B47" s="294"/>
      <c r="C47" s="290" t="n">
        <f aca="false">+'PLANILLA GENERAL DE METRADOS'!K150</f>
        <v>884</v>
      </c>
      <c r="D47" s="295"/>
      <c r="E47" s="295"/>
      <c r="F47" s="295"/>
      <c r="G47" s="295"/>
      <c r="H47" s="295"/>
    </row>
    <row r="48" customFormat="false" ht="19.5" hidden="false" customHeight="true" outlineLevel="0" collapsed="false">
      <c r="A48" s="294" t="s">
        <v>1121</v>
      </c>
      <c r="B48" s="294"/>
      <c r="C48" s="289" t="n">
        <v>40</v>
      </c>
      <c r="D48" s="295"/>
      <c r="E48" s="295" t="s">
        <v>1122</v>
      </c>
      <c r="F48" s="295"/>
      <c r="G48" s="295"/>
      <c r="H48" s="295"/>
    </row>
    <row r="49" customFormat="false" ht="31.5" hidden="false" customHeight="true" outlineLevel="0" collapsed="false">
      <c r="A49" s="282" t="s">
        <v>331</v>
      </c>
      <c r="B49" s="282" t="s">
        <v>1062</v>
      </c>
      <c r="C49" s="282" t="s">
        <v>151</v>
      </c>
      <c r="D49" s="282" t="s">
        <v>1063</v>
      </c>
      <c r="E49" s="282" t="s">
        <v>252</v>
      </c>
      <c r="F49" s="282" t="s">
        <v>1064</v>
      </c>
      <c r="G49" s="282" t="s">
        <v>1020</v>
      </c>
      <c r="H49" s="282" t="s">
        <v>1110</v>
      </c>
    </row>
    <row r="50" customFormat="false" ht="19.5" hidden="false" customHeight="true" outlineLevel="0" collapsed="false">
      <c r="A50" s="21"/>
      <c r="B50" s="294" t="s">
        <v>1066</v>
      </c>
      <c r="C50" s="294"/>
      <c r="D50" s="294"/>
      <c r="E50" s="294"/>
      <c r="F50" s="294"/>
      <c r="G50" s="294"/>
      <c r="H50" s="294"/>
    </row>
    <row r="51" customFormat="false" ht="31.5" hidden="false" customHeight="true" outlineLevel="0" collapsed="false">
      <c r="A51" s="283" t="n">
        <v>1</v>
      </c>
      <c r="B51" s="295" t="s">
        <v>952</v>
      </c>
      <c r="C51" s="285" t="s">
        <v>953</v>
      </c>
      <c r="D51" s="284" t="n">
        <v>1</v>
      </c>
      <c r="E51" s="306" t="n">
        <f aca="false">D51*8/$C$48</f>
        <v>0.2</v>
      </c>
      <c r="F51" s="289" t="n">
        <v>30.42</v>
      </c>
      <c r="G51" s="290" t="n">
        <f aca="false">E51*F51</f>
        <v>6.084</v>
      </c>
      <c r="H51" s="149" t="s">
        <v>1067</v>
      </c>
    </row>
    <row r="52" customFormat="false" ht="31.5" hidden="false" customHeight="true" outlineLevel="0" collapsed="false">
      <c r="A52" s="283" t="n">
        <v>2</v>
      </c>
      <c r="B52" s="295" t="s">
        <v>955</v>
      </c>
      <c r="C52" s="285" t="s">
        <v>953</v>
      </c>
      <c r="D52" s="284" t="n">
        <v>0.5</v>
      </c>
      <c r="E52" s="306" t="n">
        <f aca="false">D52*8/$C$48</f>
        <v>0.1</v>
      </c>
      <c r="F52" s="289" t="n">
        <v>20.79</v>
      </c>
      <c r="G52" s="290" t="n">
        <f aca="false">E52*F52</f>
        <v>2.079</v>
      </c>
      <c r="H52" s="149" t="s">
        <v>1067</v>
      </c>
    </row>
    <row r="53" customFormat="false" ht="19.5" hidden="false" customHeight="true" outlineLevel="0" collapsed="false">
      <c r="A53" s="21"/>
      <c r="B53" s="294" t="s">
        <v>1068</v>
      </c>
      <c r="C53" s="295"/>
      <c r="D53" s="295"/>
      <c r="E53" s="295"/>
      <c r="F53" s="295"/>
      <c r="G53" s="296" t="n">
        <f aca="false">SUM(G51:G52)</f>
        <v>8.163</v>
      </c>
      <c r="H53" s="295"/>
    </row>
    <row r="54" customFormat="false" ht="19.5" hidden="false" customHeight="true" outlineLevel="0" collapsed="false">
      <c r="A54" s="21"/>
      <c r="B54" s="294" t="s">
        <v>1069</v>
      </c>
      <c r="C54" s="294"/>
      <c r="D54" s="294"/>
      <c r="E54" s="294"/>
      <c r="F54" s="294"/>
      <c r="G54" s="294"/>
      <c r="H54" s="294"/>
    </row>
    <row r="55" customFormat="false" ht="31.5" hidden="false" customHeight="true" outlineLevel="0" collapsed="false">
      <c r="A55" s="283" t="n">
        <v>3</v>
      </c>
      <c r="B55" s="295" t="s">
        <v>1123</v>
      </c>
      <c r="C55" s="285" t="s">
        <v>57</v>
      </c>
      <c r="D55" s="295"/>
      <c r="E55" s="306" t="n">
        <f aca="false">$D$20*1.05</f>
        <v>0.8925</v>
      </c>
      <c r="F55" s="289" t="n">
        <v>6.36</v>
      </c>
      <c r="G55" s="290" t="n">
        <f aca="false">E55*F55</f>
        <v>5.6763</v>
      </c>
      <c r="H55" s="149" t="s">
        <v>1124</v>
      </c>
    </row>
    <row r="56" customFormat="false" ht="19.5" hidden="false" customHeight="true" outlineLevel="0" collapsed="false">
      <c r="A56" s="283" t="n">
        <v>4</v>
      </c>
      <c r="B56" s="295" t="s">
        <v>1125</v>
      </c>
      <c r="C56" s="285" t="s">
        <v>60</v>
      </c>
      <c r="D56" s="295"/>
      <c r="E56" s="307" t="n">
        <v>2</v>
      </c>
      <c r="F56" s="289" t="n">
        <v>1.02</v>
      </c>
      <c r="G56" s="290" t="n">
        <f aca="false">E56*F56</f>
        <v>2.04</v>
      </c>
      <c r="H56" s="149" t="s">
        <v>1126</v>
      </c>
    </row>
    <row r="57" customFormat="false" ht="19.5" hidden="false" customHeight="true" outlineLevel="0" collapsed="false">
      <c r="A57" s="283" t="n">
        <v>5</v>
      </c>
      <c r="B57" s="295" t="s">
        <v>1127</v>
      </c>
      <c r="C57" s="285" t="s">
        <v>60</v>
      </c>
      <c r="D57" s="295"/>
      <c r="E57" s="307" t="n">
        <v>2</v>
      </c>
      <c r="F57" s="289" t="n">
        <v>0.25</v>
      </c>
      <c r="G57" s="290" t="n">
        <f aca="false">E57*F57</f>
        <v>0.5</v>
      </c>
      <c r="H57" s="149" t="s">
        <v>1128</v>
      </c>
    </row>
    <row r="58" customFormat="false" ht="19.5" hidden="false" customHeight="true" outlineLevel="0" collapsed="false">
      <c r="A58" s="21"/>
      <c r="B58" s="294" t="s">
        <v>1071</v>
      </c>
      <c r="C58" s="295"/>
      <c r="D58" s="295"/>
      <c r="E58" s="295"/>
      <c r="F58" s="295"/>
      <c r="G58" s="296" t="n">
        <f aca="false">SUM(G55:G57)</f>
        <v>8.2163</v>
      </c>
      <c r="H58" s="295"/>
    </row>
    <row r="59" customFormat="false" ht="19.5" hidden="false" customHeight="true" outlineLevel="0" collapsed="false">
      <c r="A59" s="21"/>
      <c r="B59" s="294" t="s">
        <v>1072</v>
      </c>
      <c r="C59" s="294"/>
      <c r="D59" s="294"/>
      <c r="E59" s="294"/>
      <c r="F59" s="294"/>
      <c r="G59" s="294"/>
      <c r="H59" s="294"/>
    </row>
    <row r="60" customFormat="false" ht="19.5" hidden="false" customHeight="true" outlineLevel="0" collapsed="false">
      <c r="A60" s="283" t="n">
        <v>6</v>
      </c>
      <c r="B60" s="295" t="s">
        <v>969</v>
      </c>
      <c r="C60" s="285" t="s">
        <v>970</v>
      </c>
      <c r="D60" s="295"/>
      <c r="E60" s="284" t="n">
        <v>0.05</v>
      </c>
      <c r="F60" s="290" t="n">
        <f aca="false">+G53</f>
        <v>8.163</v>
      </c>
      <c r="G60" s="290" t="n">
        <f aca="false">E60*F60</f>
        <v>0.40815</v>
      </c>
      <c r="H60" s="149" t="s">
        <v>1118</v>
      </c>
    </row>
    <row r="61" customFormat="false" ht="19.5" hidden="false" customHeight="true" outlineLevel="0" collapsed="false">
      <c r="A61" s="21"/>
      <c r="B61" s="294" t="s">
        <v>1075</v>
      </c>
      <c r="C61" s="295"/>
      <c r="D61" s="295"/>
      <c r="E61" s="295"/>
      <c r="F61" s="295"/>
      <c r="G61" s="296" t="n">
        <f aca="false">SUM(G60:G60)</f>
        <v>0.40815</v>
      </c>
      <c r="H61" s="295"/>
    </row>
    <row r="62" customFormat="false" ht="21.75" hidden="false" customHeight="true" outlineLevel="0" collapsed="false">
      <c r="A62" s="294" t="s">
        <v>1129</v>
      </c>
      <c r="B62" s="294"/>
      <c r="C62" s="294"/>
      <c r="D62" s="294"/>
      <c r="E62" s="294"/>
      <c r="F62" s="294"/>
      <c r="G62" s="296" t="n">
        <f aca="false">+G53+G58+G61</f>
        <v>16.78745</v>
      </c>
      <c r="H62" s="295"/>
    </row>
    <row r="63" customFormat="false" ht="21.75" hidden="false" customHeight="true" outlineLevel="0" collapsed="false">
      <c r="A63" s="294" t="s">
        <v>1077</v>
      </c>
      <c r="B63" s="294"/>
      <c r="C63" s="294"/>
      <c r="D63" s="294"/>
      <c r="E63" s="294"/>
      <c r="F63" s="294"/>
      <c r="G63" s="296" t="n">
        <f aca="false">G62*C47</f>
        <v>14840.1058</v>
      </c>
      <c r="H63" s="295"/>
    </row>
    <row r="65" customFormat="false" ht="21.75" hidden="false" customHeight="true" outlineLevel="0" collapsed="false">
      <c r="A65" s="294" t="s">
        <v>1130</v>
      </c>
      <c r="B65" s="294"/>
      <c r="C65" s="294"/>
      <c r="D65" s="294"/>
      <c r="E65" s="294"/>
      <c r="F65" s="294"/>
      <c r="G65" s="294"/>
      <c r="H65" s="294"/>
    </row>
    <row r="66" customFormat="false" ht="19.5" hidden="false" customHeight="true" outlineLevel="0" collapsed="false">
      <c r="A66" s="294" t="s">
        <v>502</v>
      </c>
      <c r="B66" s="294"/>
      <c r="C66" s="295" t="s">
        <v>60</v>
      </c>
      <c r="D66" s="295"/>
      <c r="E66" s="295"/>
      <c r="F66" s="295"/>
      <c r="G66" s="295"/>
      <c r="H66" s="295"/>
    </row>
    <row r="67" customFormat="false" ht="19.5" hidden="false" customHeight="true" outlineLevel="0" collapsed="false">
      <c r="A67" s="294" t="s">
        <v>1060</v>
      </c>
      <c r="B67" s="294"/>
      <c r="C67" s="290" t="n">
        <f aca="false">+'PLANILLA GENERAL DE METRADOS'!K151</f>
        <v>40</v>
      </c>
      <c r="D67" s="295"/>
      <c r="E67" s="295"/>
      <c r="F67" s="295"/>
      <c r="G67" s="295"/>
      <c r="H67" s="295"/>
    </row>
    <row r="68" customFormat="false" ht="19.5" hidden="false" customHeight="true" outlineLevel="0" collapsed="false">
      <c r="A68" s="294" t="s">
        <v>1121</v>
      </c>
      <c r="B68" s="294"/>
      <c r="C68" s="289" t="n">
        <v>30</v>
      </c>
      <c r="D68" s="295"/>
      <c r="E68" s="295" t="s">
        <v>1131</v>
      </c>
      <c r="F68" s="295"/>
      <c r="G68" s="295"/>
      <c r="H68" s="295"/>
    </row>
    <row r="69" customFormat="false" ht="31.5" hidden="false" customHeight="true" outlineLevel="0" collapsed="false">
      <c r="A69" s="282" t="s">
        <v>331</v>
      </c>
      <c r="B69" s="282" t="s">
        <v>1062</v>
      </c>
      <c r="C69" s="282" t="s">
        <v>151</v>
      </c>
      <c r="D69" s="282" t="s">
        <v>1063</v>
      </c>
      <c r="E69" s="282" t="s">
        <v>252</v>
      </c>
      <c r="F69" s="282" t="s">
        <v>1064</v>
      </c>
      <c r="G69" s="282" t="s">
        <v>1020</v>
      </c>
      <c r="H69" s="282" t="s">
        <v>1110</v>
      </c>
    </row>
    <row r="70" customFormat="false" ht="19.5" hidden="false" customHeight="true" outlineLevel="0" collapsed="false">
      <c r="A70" s="21"/>
      <c r="B70" s="294" t="s">
        <v>1066</v>
      </c>
      <c r="C70" s="294"/>
      <c r="D70" s="294"/>
      <c r="E70" s="294"/>
      <c r="F70" s="294"/>
      <c r="G70" s="294"/>
      <c r="H70" s="294"/>
    </row>
    <row r="71" customFormat="false" ht="31.5" hidden="false" customHeight="true" outlineLevel="0" collapsed="false">
      <c r="A71" s="283" t="n">
        <v>1</v>
      </c>
      <c r="B71" s="295" t="s">
        <v>1111</v>
      </c>
      <c r="C71" s="285" t="s">
        <v>953</v>
      </c>
      <c r="D71" s="284" t="n">
        <v>1</v>
      </c>
      <c r="E71" s="306" t="n">
        <f aca="false">D71*8/$C$68</f>
        <v>0.266666666666667</v>
      </c>
      <c r="F71" s="289" t="n">
        <v>30.42</v>
      </c>
      <c r="G71" s="290" t="n">
        <f aca="false">E71*F71</f>
        <v>8.112</v>
      </c>
      <c r="H71" s="149" t="s">
        <v>1067</v>
      </c>
    </row>
    <row r="72" customFormat="false" ht="31.5" hidden="false" customHeight="true" outlineLevel="0" collapsed="false">
      <c r="A72" s="283" t="n">
        <v>2</v>
      </c>
      <c r="B72" s="295" t="s">
        <v>955</v>
      </c>
      <c r="C72" s="285" t="s">
        <v>953</v>
      </c>
      <c r="D72" s="284" t="n">
        <v>0.5</v>
      </c>
      <c r="E72" s="306" t="n">
        <f aca="false">D72*8/$C$68</f>
        <v>0.133333333333333</v>
      </c>
      <c r="F72" s="289" t="n">
        <v>20.79</v>
      </c>
      <c r="G72" s="290" t="n">
        <f aca="false">E72*F72</f>
        <v>2.772</v>
      </c>
      <c r="H72" s="149" t="s">
        <v>1067</v>
      </c>
    </row>
    <row r="73" customFormat="false" ht="19.5" hidden="false" customHeight="true" outlineLevel="0" collapsed="false">
      <c r="A73" s="21"/>
      <c r="B73" s="294" t="s">
        <v>1068</v>
      </c>
      <c r="C73" s="295"/>
      <c r="D73" s="295"/>
      <c r="E73" s="295"/>
      <c r="F73" s="295"/>
      <c r="G73" s="296" t="n">
        <f aca="false">SUM(G71:G72)</f>
        <v>10.884</v>
      </c>
      <c r="H73" s="295"/>
    </row>
    <row r="74" customFormat="false" ht="19.5" hidden="false" customHeight="true" outlineLevel="0" collapsed="false">
      <c r="A74" s="21"/>
      <c r="B74" s="294" t="s">
        <v>1069</v>
      </c>
      <c r="C74" s="294"/>
      <c r="D74" s="294"/>
      <c r="E74" s="294"/>
      <c r="F74" s="294"/>
      <c r="G74" s="294"/>
      <c r="H74" s="294"/>
    </row>
    <row r="75" customFormat="false" ht="31.5" hidden="false" customHeight="true" outlineLevel="0" collapsed="false">
      <c r="A75" s="283" t="n">
        <v>3</v>
      </c>
      <c r="B75" s="295" t="s">
        <v>1112</v>
      </c>
      <c r="C75" s="285" t="s">
        <v>168</v>
      </c>
      <c r="D75" s="295"/>
      <c r="E75" s="306" t="n">
        <f aca="false">($D$11*$D$12+2*($D$11+$D$12)*0.03)*1.1</f>
        <v>0.0847</v>
      </c>
      <c r="F75" s="289" t="n">
        <v>26.95</v>
      </c>
      <c r="G75" s="290" t="n">
        <f aca="false">E75*F75</f>
        <v>2.282665</v>
      </c>
      <c r="H75" s="149" t="s">
        <v>1132</v>
      </c>
    </row>
    <row r="76" customFormat="false" ht="19.5" hidden="false" customHeight="true" outlineLevel="0" collapsed="false">
      <c r="A76" s="283" t="n">
        <v>4</v>
      </c>
      <c r="B76" s="295" t="s">
        <v>1114</v>
      </c>
      <c r="C76" s="285" t="s">
        <v>60</v>
      </c>
      <c r="D76" s="295"/>
      <c r="E76" s="307" t="n">
        <v>6</v>
      </c>
      <c r="F76" s="289" t="n">
        <v>0.1</v>
      </c>
      <c r="G76" s="290" t="n">
        <f aca="false">E76*F76</f>
        <v>0.6</v>
      </c>
      <c r="H76" s="149" t="s">
        <v>1133</v>
      </c>
    </row>
    <row r="77" customFormat="false" ht="19.5" hidden="false" customHeight="true" outlineLevel="0" collapsed="false">
      <c r="A77" s="283" t="n">
        <v>5</v>
      </c>
      <c r="B77" s="295" t="s">
        <v>1116</v>
      </c>
      <c r="C77" s="285" t="s">
        <v>60</v>
      </c>
      <c r="D77" s="295"/>
      <c r="E77" s="306" t="n">
        <f aca="false">($D$11+2*$D$12)/8</f>
        <v>0.08125</v>
      </c>
      <c r="F77" s="289" t="n">
        <v>21.19</v>
      </c>
      <c r="G77" s="290" t="n">
        <f aca="false">E77*F77</f>
        <v>1.7216875</v>
      </c>
      <c r="H77" s="149" t="s">
        <v>1134</v>
      </c>
    </row>
    <row r="78" customFormat="false" ht="19.5" hidden="false" customHeight="true" outlineLevel="0" collapsed="false">
      <c r="A78" s="21"/>
      <c r="B78" s="294" t="s">
        <v>1071</v>
      </c>
      <c r="C78" s="295"/>
      <c r="D78" s="295"/>
      <c r="E78" s="295"/>
      <c r="F78" s="295"/>
      <c r="G78" s="296" t="n">
        <f aca="false">SUM(G75:G77)</f>
        <v>4.6043525</v>
      </c>
      <c r="H78" s="295"/>
    </row>
    <row r="79" customFormat="false" ht="19.5" hidden="false" customHeight="true" outlineLevel="0" collapsed="false">
      <c r="A79" s="21"/>
      <c r="B79" s="294" t="s">
        <v>1072</v>
      </c>
      <c r="C79" s="294"/>
      <c r="D79" s="294"/>
      <c r="E79" s="294"/>
      <c r="F79" s="294"/>
      <c r="G79" s="294"/>
      <c r="H79" s="294"/>
    </row>
    <row r="80" customFormat="false" ht="19.5" hidden="false" customHeight="true" outlineLevel="0" collapsed="false">
      <c r="A80" s="283" t="n">
        <v>6</v>
      </c>
      <c r="B80" s="295" t="s">
        <v>969</v>
      </c>
      <c r="C80" s="285" t="s">
        <v>970</v>
      </c>
      <c r="D80" s="295"/>
      <c r="E80" s="284" t="n">
        <v>0.05</v>
      </c>
      <c r="F80" s="290" t="n">
        <f aca="false">+G73</f>
        <v>10.884</v>
      </c>
      <c r="G80" s="290" t="n">
        <f aca="false">E80*F80</f>
        <v>0.5442</v>
      </c>
      <c r="H80" s="149" t="s">
        <v>1118</v>
      </c>
    </row>
    <row r="81" customFormat="false" ht="19.5" hidden="false" customHeight="true" outlineLevel="0" collapsed="false">
      <c r="A81" s="21"/>
      <c r="B81" s="294" t="s">
        <v>1075</v>
      </c>
      <c r="C81" s="295"/>
      <c r="D81" s="295"/>
      <c r="E81" s="295"/>
      <c r="F81" s="295"/>
      <c r="G81" s="296" t="n">
        <f aca="false">SUM(G80:G80)</f>
        <v>0.5442</v>
      </c>
      <c r="H81" s="295"/>
    </row>
    <row r="82" customFormat="false" ht="21.75" hidden="false" customHeight="true" outlineLevel="0" collapsed="false">
      <c r="A82" s="294" t="s">
        <v>1129</v>
      </c>
      <c r="B82" s="294"/>
      <c r="C82" s="294"/>
      <c r="D82" s="294"/>
      <c r="E82" s="294"/>
      <c r="F82" s="294"/>
      <c r="G82" s="296" t="n">
        <f aca="false">+G73+G78+G81</f>
        <v>16.0325525</v>
      </c>
      <c r="H82" s="295"/>
    </row>
    <row r="83" customFormat="false" ht="21.75" hidden="false" customHeight="true" outlineLevel="0" collapsed="false">
      <c r="A83" s="294" t="s">
        <v>1077</v>
      </c>
      <c r="B83" s="294"/>
      <c r="C83" s="294"/>
      <c r="D83" s="294"/>
      <c r="E83" s="294"/>
      <c r="F83" s="294"/>
      <c r="G83" s="296" t="n">
        <f aca="false">G82*C67</f>
        <v>641.3021</v>
      </c>
      <c r="H83" s="295"/>
    </row>
    <row r="85" customFormat="false" ht="21.75" hidden="false" customHeight="true" outlineLevel="0" collapsed="false">
      <c r="A85" s="294" t="s">
        <v>1135</v>
      </c>
      <c r="B85" s="294"/>
      <c r="C85" s="294"/>
      <c r="D85" s="294"/>
      <c r="E85" s="294"/>
      <c r="F85" s="294"/>
      <c r="G85" s="294"/>
      <c r="H85" s="294"/>
    </row>
    <row r="86" customFormat="false" ht="19.5" hidden="false" customHeight="true" outlineLevel="0" collapsed="false">
      <c r="A86" s="294" t="s">
        <v>502</v>
      </c>
      <c r="B86" s="294"/>
      <c r="C86" s="295" t="s">
        <v>60</v>
      </c>
      <c r="D86" s="295"/>
      <c r="E86" s="295"/>
      <c r="F86" s="295"/>
      <c r="G86" s="295"/>
      <c r="H86" s="295"/>
    </row>
    <row r="87" customFormat="false" ht="19.5" hidden="false" customHeight="true" outlineLevel="0" collapsed="false">
      <c r="A87" s="294" t="s">
        <v>1060</v>
      </c>
      <c r="B87" s="294"/>
      <c r="C87" s="290" t="n">
        <f aca="false">+'PLANILLA GENERAL DE METRADOS'!K152</f>
        <v>52</v>
      </c>
      <c r="D87" s="295"/>
      <c r="E87" s="295"/>
      <c r="F87" s="295"/>
      <c r="G87" s="295"/>
      <c r="H87" s="295"/>
    </row>
    <row r="88" customFormat="false" ht="19.5" hidden="false" customHeight="true" outlineLevel="0" collapsed="false">
      <c r="A88" s="294" t="s">
        <v>1121</v>
      </c>
      <c r="B88" s="294"/>
      <c r="C88" s="289" t="n">
        <v>16</v>
      </c>
      <c r="D88" s="295"/>
      <c r="E88" s="295" t="s">
        <v>1136</v>
      </c>
      <c r="F88" s="295"/>
      <c r="G88" s="295"/>
      <c r="H88" s="295"/>
    </row>
    <row r="89" customFormat="false" ht="31.5" hidden="false" customHeight="true" outlineLevel="0" collapsed="false">
      <c r="A89" s="282" t="s">
        <v>331</v>
      </c>
      <c r="B89" s="282" t="s">
        <v>1062</v>
      </c>
      <c r="C89" s="282" t="s">
        <v>151</v>
      </c>
      <c r="D89" s="282" t="s">
        <v>1063</v>
      </c>
      <c r="E89" s="282" t="s">
        <v>252</v>
      </c>
      <c r="F89" s="282" t="s">
        <v>1064</v>
      </c>
      <c r="G89" s="282" t="s">
        <v>1020</v>
      </c>
      <c r="H89" s="282" t="s">
        <v>1110</v>
      </c>
    </row>
    <row r="90" customFormat="false" ht="19.5" hidden="false" customHeight="true" outlineLevel="0" collapsed="false">
      <c r="A90" s="21"/>
      <c r="B90" s="294" t="s">
        <v>1066</v>
      </c>
      <c r="C90" s="294"/>
      <c r="D90" s="294"/>
      <c r="E90" s="294"/>
      <c r="F90" s="294"/>
      <c r="G90" s="294"/>
      <c r="H90" s="294"/>
    </row>
    <row r="91" customFormat="false" ht="31.5" hidden="false" customHeight="true" outlineLevel="0" collapsed="false">
      <c r="A91" s="283" t="n">
        <v>1</v>
      </c>
      <c r="B91" s="295" t="s">
        <v>1111</v>
      </c>
      <c r="C91" s="285" t="s">
        <v>953</v>
      </c>
      <c r="D91" s="284" t="n">
        <v>1</v>
      </c>
      <c r="E91" s="306" t="n">
        <f aca="false">D91*8/$C$88</f>
        <v>0.5</v>
      </c>
      <c r="F91" s="289" t="n">
        <v>30.42</v>
      </c>
      <c r="G91" s="290" t="n">
        <f aca="false">E91*F91</f>
        <v>15.21</v>
      </c>
      <c r="H91" s="149" t="s">
        <v>1067</v>
      </c>
    </row>
    <row r="92" customFormat="false" ht="31.5" hidden="false" customHeight="true" outlineLevel="0" collapsed="false">
      <c r="A92" s="283" t="n">
        <v>2</v>
      </c>
      <c r="B92" s="295" t="s">
        <v>955</v>
      </c>
      <c r="C92" s="285" t="s">
        <v>953</v>
      </c>
      <c r="D92" s="284" t="n">
        <v>0.5</v>
      </c>
      <c r="E92" s="306" t="n">
        <f aca="false">D92*8/$C$88</f>
        <v>0.25</v>
      </c>
      <c r="F92" s="289" t="n">
        <v>20.79</v>
      </c>
      <c r="G92" s="290" t="n">
        <f aca="false">E92*F92</f>
        <v>5.1975</v>
      </c>
      <c r="H92" s="149" t="s">
        <v>1067</v>
      </c>
    </row>
    <row r="93" customFormat="false" ht="19.5" hidden="false" customHeight="true" outlineLevel="0" collapsed="false">
      <c r="A93" s="21"/>
      <c r="B93" s="294" t="s">
        <v>1068</v>
      </c>
      <c r="C93" s="295"/>
      <c r="D93" s="295"/>
      <c r="E93" s="295"/>
      <c r="F93" s="295"/>
      <c r="G93" s="296" t="n">
        <f aca="false">SUM(G91:G92)</f>
        <v>20.4075</v>
      </c>
      <c r="H93" s="295"/>
    </row>
    <row r="94" customFormat="false" ht="19.5" hidden="false" customHeight="true" outlineLevel="0" collapsed="false">
      <c r="A94" s="21"/>
      <c r="B94" s="294" t="s">
        <v>1069</v>
      </c>
      <c r="C94" s="294"/>
      <c r="D94" s="294"/>
      <c r="E94" s="294"/>
      <c r="F94" s="294"/>
      <c r="G94" s="294"/>
      <c r="H94" s="294"/>
    </row>
    <row r="95" customFormat="false" ht="31.5" hidden="false" customHeight="true" outlineLevel="0" collapsed="false">
      <c r="A95" s="283" t="n">
        <v>3</v>
      </c>
      <c r="B95" s="295" t="s">
        <v>1112</v>
      </c>
      <c r="C95" s="285" t="s">
        <v>168</v>
      </c>
      <c r="D95" s="295"/>
      <c r="E95" s="306" t="n">
        <f aca="false">(PI()*0.1016*0.15+0.2*0.2)*1.15</f>
        <v>0.101059552846815</v>
      </c>
      <c r="F95" s="289" t="n">
        <v>26.95</v>
      </c>
      <c r="G95" s="290" t="n">
        <f aca="false">E95*F95</f>
        <v>2.72355494922166</v>
      </c>
      <c r="H95" s="149" t="s">
        <v>1137</v>
      </c>
    </row>
    <row r="96" customFormat="false" ht="19.5" hidden="false" customHeight="true" outlineLevel="0" collapsed="false">
      <c r="A96" s="283" t="n">
        <v>4</v>
      </c>
      <c r="B96" s="295" t="s">
        <v>1114</v>
      </c>
      <c r="C96" s="285" t="s">
        <v>60</v>
      </c>
      <c r="D96" s="295"/>
      <c r="E96" s="307" t="n">
        <v>8</v>
      </c>
      <c r="F96" s="289" t="n">
        <v>0.1</v>
      </c>
      <c r="G96" s="290" t="n">
        <f aca="false">E96*F96</f>
        <v>0.8</v>
      </c>
      <c r="H96" s="149" t="s">
        <v>1138</v>
      </c>
    </row>
    <row r="97" customFormat="false" ht="31.5" hidden="false" customHeight="true" outlineLevel="0" collapsed="false">
      <c r="A97" s="283" t="n">
        <v>5</v>
      </c>
      <c r="B97" s="295" t="s">
        <v>1116</v>
      </c>
      <c r="C97" s="285" t="s">
        <v>60</v>
      </c>
      <c r="D97" s="295"/>
      <c r="E97" s="306" t="n">
        <f aca="false">(4*0.2+PI()*0.1016)/8</f>
        <v>0.13989822670059</v>
      </c>
      <c r="F97" s="289" t="n">
        <v>21.19</v>
      </c>
      <c r="G97" s="290" t="n">
        <f aca="false">E97*F97</f>
        <v>2.96444342378551</v>
      </c>
      <c r="H97" s="149" t="s">
        <v>1139</v>
      </c>
    </row>
    <row r="98" customFormat="false" ht="19.5" hidden="false" customHeight="true" outlineLevel="0" collapsed="false">
      <c r="A98" s="21"/>
      <c r="B98" s="294" t="s">
        <v>1071</v>
      </c>
      <c r="C98" s="295"/>
      <c r="D98" s="295"/>
      <c r="E98" s="295"/>
      <c r="F98" s="295"/>
      <c r="G98" s="296" t="n">
        <f aca="false">SUM(G95:G97)</f>
        <v>6.48799837300717</v>
      </c>
      <c r="H98" s="295"/>
    </row>
    <row r="99" customFormat="false" ht="19.5" hidden="false" customHeight="true" outlineLevel="0" collapsed="false">
      <c r="A99" s="21"/>
      <c r="B99" s="294" t="s">
        <v>1072</v>
      </c>
      <c r="C99" s="294"/>
      <c r="D99" s="294"/>
      <c r="E99" s="294"/>
      <c r="F99" s="294"/>
      <c r="G99" s="294"/>
      <c r="H99" s="294"/>
    </row>
    <row r="100" customFormat="false" ht="19.5" hidden="false" customHeight="true" outlineLevel="0" collapsed="false">
      <c r="A100" s="283" t="n">
        <v>6</v>
      </c>
      <c r="B100" s="295" t="s">
        <v>969</v>
      </c>
      <c r="C100" s="285" t="s">
        <v>970</v>
      </c>
      <c r="D100" s="295"/>
      <c r="E100" s="284" t="n">
        <v>0.05</v>
      </c>
      <c r="F100" s="290" t="n">
        <f aca="false">+G93</f>
        <v>20.4075</v>
      </c>
      <c r="G100" s="290" t="n">
        <f aca="false">E100*F100</f>
        <v>1.020375</v>
      </c>
      <c r="H100" s="149" t="s">
        <v>1118</v>
      </c>
    </row>
    <row r="101" customFormat="false" ht="19.5" hidden="false" customHeight="true" outlineLevel="0" collapsed="false">
      <c r="A101" s="21"/>
      <c r="B101" s="294" t="s">
        <v>1075</v>
      </c>
      <c r="C101" s="295"/>
      <c r="D101" s="295"/>
      <c r="E101" s="295"/>
      <c r="F101" s="295"/>
      <c r="G101" s="296" t="n">
        <f aca="false">SUM(G100:G100)</f>
        <v>1.020375</v>
      </c>
      <c r="H101" s="295"/>
    </row>
    <row r="102" customFormat="false" ht="21.75" hidden="false" customHeight="true" outlineLevel="0" collapsed="false">
      <c r="A102" s="294" t="s">
        <v>1129</v>
      </c>
      <c r="B102" s="294"/>
      <c r="C102" s="294"/>
      <c r="D102" s="294"/>
      <c r="E102" s="294"/>
      <c r="F102" s="294"/>
      <c r="G102" s="296" t="n">
        <f aca="false">+G93+G98+G101</f>
        <v>27.9158733730072</v>
      </c>
      <c r="H102" s="295"/>
    </row>
    <row r="103" customFormat="false" ht="21.75" hidden="false" customHeight="true" outlineLevel="0" collapsed="false">
      <c r="A103" s="294" t="s">
        <v>1077</v>
      </c>
      <c r="B103" s="294"/>
      <c r="C103" s="294"/>
      <c r="D103" s="294"/>
      <c r="E103" s="294"/>
      <c r="F103" s="294"/>
      <c r="G103" s="296" t="n">
        <f aca="false">G102*C87</f>
        <v>1451.62541539637</v>
      </c>
      <c r="H103" s="295"/>
    </row>
    <row r="105" customFormat="false" ht="19.5" hidden="false" customHeight="true" outlineLevel="0" collapsed="false">
      <c r="A105" s="294" t="s">
        <v>1140</v>
      </c>
      <c r="B105" s="294"/>
      <c r="C105" s="294"/>
      <c r="D105" s="294"/>
      <c r="E105" s="294"/>
      <c r="F105" s="294"/>
      <c r="G105" s="294"/>
      <c r="H105" s="294"/>
    </row>
    <row r="106" customFormat="false" ht="19.5" hidden="false" customHeight="true" outlineLevel="0" collapsed="false">
      <c r="A106" s="282"/>
      <c r="B106" s="282" t="s">
        <v>891</v>
      </c>
      <c r="C106" s="282" t="s">
        <v>151</v>
      </c>
      <c r="D106" s="282" t="s">
        <v>938</v>
      </c>
      <c r="E106" s="282" t="s">
        <v>1141</v>
      </c>
      <c r="F106" s="282" t="s">
        <v>1020</v>
      </c>
      <c r="G106" s="282"/>
      <c r="H106" s="282"/>
    </row>
    <row r="107" customFormat="false" ht="31.5" hidden="false" customHeight="true" outlineLevel="0" collapsed="false">
      <c r="A107" s="149" t="s">
        <v>79</v>
      </c>
      <c r="B107" s="149" t="s">
        <v>1142</v>
      </c>
      <c r="C107" s="285" t="s">
        <v>57</v>
      </c>
      <c r="D107" s="290" t="n">
        <f aca="false">+C27</f>
        <v>513.98</v>
      </c>
      <c r="E107" s="290" t="n">
        <f aca="false">+G42</f>
        <v>40.6357685040984</v>
      </c>
      <c r="F107" s="290" t="n">
        <f aca="false">+G43</f>
        <v>20885.9722957365</v>
      </c>
      <c r="G107" s="295"/>
      <c r="H107" s="295"/>
    </row>
    <row r="108" customFormat="false" ht="31.5" hidden="false" customHeight="true" outlineLevel="0" collapsed="false">
      <c r="A108" s="149" t="s">
        <v>81</v>
      </c>
      <c r="B108" s="149" t="s">
        <v>82</v>
      </c>
      <c r="C108" s="285" t="s">
        <v>60</v>
      </c>
      <c r="D108" s="290" t="n">
        <f aca="false">+C47</f>
        <v>884</v>
      </c>
      <c r="E108" s="290" t="n">
        <f aca="false">+G62</f>
        <v>16.78745</v>
      </c>
      <c r="F108" s="290" t="n">
        <f aca="false">+G63</f>
        <v>14840.1058</v>
      </c>
      <c r="G108" s="295"/>
      <c r="H108" s="295"/>
    </row>
    <row r="109" customFormat="false" ht="31.5" hidden="false" customHeight="true" outlineLevel="0" collapsed="false">
      <c r="A109" s="149" t="s">
        <v>83</v>
      </c>
      <c r="B109" s="149" t="s">
        <v>84</v>
      </c>
      <c r="C109" s="285" t="s">
        <v>60</v>
      </c>
      <c r="D109" s="290" t="n">
        <f aca="false">+C67</f>
        <v>40</v>
      </c>
      <c r="E109" s="290" t="n">
        <f aca="false">+G82</f>
        <v>16.0325525</v>
      </c>
      <c r="F109" s="290" t="n">
        <f aca="false">+G83</f>
        <v>641.3021</v>
      </c>
      <c r="G109" s="295"/>
      <c r="H109" s="295"/>
    </row>
    <row r="110" customFormat="false" ht="31.5" hidden="false" customHeight="true" outlineLevel="0" collapsed="false">
      <c r="A110" s="149" t="s">
        <v>85</v>
      </c>
      <c r="B110" s="149" t="s">
        <v>1143</v>
      </c>
      <c r="C110" s="285" t="s">
        <v>60</v>
      </c>
      <c r="D110" s="290" t="n">
        <f aca="false">+C87</f>
        <v>52</v>
      </c>
      <c r="E110" s="290" t="n">
        <f aca="false">+G102</f>
        <v>27.9158733730072</v>
      </c>
      <c r="F110" s="290" t="n">
        <f aca="false">+G103</f>
        <v>1451.62541539637</v>
      </c>
      <c r="G110" s="295"/>
      <c r="H110" s="295"/>
    </row>
    <row r="111" customFormat="false" ht="19.5" hidden="false" customHeight="true" outlineLevel="0" collapsed="false">
      <c r="A111" s="295"/>
      <c r="B111" s="294" t="s">
        <v>1144</v>
      </c>
      <c r="C111" s="295"/>
      <c r="D111" s="295"/>
      <c r="E111" s="295"/>
      <c r="F111" s="296" t="n">
        <f aca="false">SUM(F107:F110)</f>
        <v>37819.0056111329</v>
      </c>
      <c r="G111" s="295"/>
      <c r="H111" s="295"/>
    </row>
  </sheetData>
  <mergeCells count="52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5:H25"/>
    <mergeCell ref="A26:B26"/>
    <mergeCell ref="A27:B27"/>
    <mergeCell ref="A28:B28"/>
    <mergeCell ref="E28:H28"/>
    <mergeCell ref="B30:H30"/>
    <mergeCell ref="B34:H34"/>
    <mergeCell ref="B39:H39"/>
    <mergeCell ref="A42:F42"/>
    <mergeCell ref="A43:F43"/>
    <mergeCell ref="A45:H45"/>
    <mergeCell ref="A46:B46"/>
    <mergeCell ref="A47:B47"/>
    <mergeCell ref="A48:B48"/>
    <mergeCell ref="E48:H48"/>
    <mergeCell ref="B50:H50"/>
    <mergeCell ref="B54:H54"/>
    <mergeCell ref="B59:H59"/>
    <mergeCell ref="A62:F62"/>
    <mergeCell ref="A63:F63"/>
    <mergeCell ref="A65:H65"/>
    <mergeCell ref="A66:B66"/>
    <mergeCell ref="A67:B67"/>
    <mergeCell ref="A68:B68"/>
    <mergeCell ref="E68:H68"/>
    <mergeCell ref="B70:H70"/>
    <mergeCell ref="B74:H74"/>
    <mergeCell ref="B79:H79"/>
    <mergeCell ref="A82:F82"/>
    <mergeCell ref="A83:F83"/>
    <mergeCell ref="A85:H85"/>
    <mergeCell ref="A86:B86"/>
    <mergeCell ref="A87:B87"/>
    <mergeCell ref="A88:B88"/>
    <mergeCell ref="E88:H88"/>
    <mergeCell ref="B90:H90"/>
    <mergeCell ref="B94:H94"/>
    <mergeCell ref="B99:H99"/>
    <mergeCell ref="A102:F102"/>
    <mergeCell ref="A103:F103"/>
    <mergeCell ref="A105:H105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6"/>
  <sheetViews>
    <sheetView showFormulas="false" showGridLines="fals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40"/>
  </cols>
  <sheetData>
    <row r="1" customFormat="false" ht="30" hidden="false" customHeight="true" outlineLevel="0" collapsed="false">
      <c r="A1" s="277" t="s">
        <v>1145</v>
      </c>
      <c r="B1" s="277"/>
      <c r="C1" s="277"/>
      <c r="D1" s="277"/>
      <c r="E1" s="277"/>
      <c r="F1" s="277"/>
      <c r="G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</row>
    <row r="7" customFormat="false" ht="48" hidden="false" customHeight="true" outlineLevel="0" collapsed="false">
      <c r="A7" s="281" t="s">
        <v>1146</v>
      </c>
      <c r="B7" s="281"/>
      <c r="C7" s="281"/>
      <c r="D7" s="281"/>
      <c r="E7" s="281"/>
      <c r="F7" s="281"/>
      <c r="G7" s="281"/>
    </row>
    <row r="9" customFormat="false" ht="19.5" hidden="false" customHeight="true" outlineLevel="0" collapsed="false">
      <c r="A9" s="294" t="s">
        <v>1147</v>
      </c>
      <c r="B9" s="294"/>
      <c r="C9" s="294"/>
      <c r="D9" s="294"/>
      <c r="E9" s="294"/>
      <c r="F9" s="294"/>
      <c r="G9" s="294"/>
    </row>
    <row r="10" customFormat="false" ht="21.75" hidden="false" customHeight="true" outlineLevel="0" collapsed="false">
      <c r="A10" s="282" t="s">
        <v>331</v>
      </c>
      <c r="B10" s="282" t="s">
        <v>865</v>
      </c>
      <c r="C10" s="282" t="s">
        <v>866</v>
      </c>
      <c r="D10" s="282" t="s">
        <v>867</v>
      </c>
      <c r="E10" s="282"/>
      <c r="F10" s="282" t="s">
        <v>1148</v>
      </c>
      <c r="G10" s="282" t="s">
        <v>657</v>
      </c>
    </row>
    <row r="11" customFormat="false" ht="30.75" hidden="false" customHeight="true" outlineLevel="0" collapsed="false">
      <c r="A11" s="283" t="n">
        <v>1</v>
      </c>
      <c r="B11" s="283" t="str">
        <f aca="false">+'COLECTOR REGISTROS Y TAPAS'!B10</f>
        <v>CL</v>
      </c>
      <c r="C11" s="283" t="str">
        <f aca="false">+'COLECTOR REGISTROS Y TAPAS'!C10</f>
        <v>0+000.00</v>
      </c>
      <c r="D11" s="149" t="str">
        <f aca="false">+'COLECTOR REGISTROS Y TAPAS'!D10</f>
        <v>Caja de llegada (empalme con CAR Varones y cuneta Eje 01)</v>
      </c>
      <c r="E11" s="149"/>
      <c r="F11" s="290" t="n">
        <f aca="false">+'COLECTOR REGISTROS Y TAPAS'!E10</f>
        <v>1.0</v>
      </c>
      <c r="G11" s="283" t="str">
        <f aca="false">+'COLECTOR REGISTROS Y TAPAS'!F10</f>
        <v>DP-07</v>
      </c>
    </row>
    <row r="12" customFormat="false" ht="30.75" hidden="false" customHeight="true" outlineLevel="0" collapsed="false">
      <c r="A12" s="283" t="n">
        <v>2</v>
      </c>
      <c r="B12" s="283" t="str">
        <f aca="false">+'COLECTOR REGISTROS Y TAPAS'!B11</f>
        <v>RS-01</v>
      </c>
      <c r="C12" s="283" t="str">
        <f aca="false">+'COLECTOR REGISTROS Y TAPAS'!C11</f>
        <v>0+011.27</v>
      </c>
      <c r="D12" s="149" t="str">
        <f aca="false">+'COLECTOR REGISTROS Y TAPAS'!D11</f>
        <v>Registro en la losa del colector; empalme cuneta</v>
      </c>
      <c r="E12" s="149"/>
      <c r="F12" s="290" t="n">
        <f aca="false">+'COLECTOR REGISTROS Y TAPAS'!E11</f>
        <v>1.0</v>
      </c>
      <c r="G12" s="283" t="str">
        <f aca="false">+'COLECTOR REGISTROS Y TAPAS'!F11</f>
        <v>DP-01, DP-06B</v>
      </c>
    </row>
    <row r="13" customFormat="false" ht="30.75" hidden="false" customHeight="true" outlineLevel="0" collapsed="false">
      <c r="A13" s="283" t="n">
        <v>3</v>
      </c>
      <c r="B13" s="283" t="str">
        <f aca="false">+'COLECTOR REGISTROS Y TAPAS'!B12</f>
        <v>RS-02</v>
      </c>
      <c r="C13" s="283" t="str">
        <f aca="false">+'COLECTOR REGISTROS Y TAPAS'!C12</f>
        <v>0+022.00</v>
      </c>
      <c r="D13" s="149" t="str">
        <f aca="false">+'COLECTOR REGISTROS Y TAPAS'!D12</f>
        <v>Registro en la losa del colector; limpieza / quiebre</v>
      </c>
      <c r="E13" s="149"/>
      <c r="F13" s="290" t="n">
        <f aca="false">+'COLECTOR REGISTROS Y TAPAS'!E12</f>
        <v>1.0</v>
      </c>
      <c r="G13" s="283" t="str">
        <f aca="false">+'COLECTOR REGISTROS Y TAPAS'!F12</f>
        <v>DP-01, DP-06B</v>
      </c>
    </row>
    <row r="14" customFormat="false" ht="30.75" hidden="false" customHeight="true" outlineLevel="0" collapsed="false">
      <c r="A14" s="283" t="n">
        <v>4</v>
      </c>
      <c r="B14" s="283" t="str">
        <f aca="false">+'COLECTOR REGISTROS Y TAPAS'!B13</f>
        <v>RS-03</v>
      </c>
      <c r="C14" s="283" t="str">
        <f aca="false">+'COLECTOR REGISTROS Y TAPAS'!C13</f>
        <v>0+032.50</v>
      </c>
      <c r="D14" s="149" t="str">
        <f aca="false">+'COLECTOR REGISTROS Y TAPAS'!D13</f>
        <v>Registro en la losa del colector; empalme cuneta</v>
      </c>
      <c r="E14" s="149"/>
      <c r="F14" s="290" t="n">
        <f aca="false">+'COLECTOR REGISTROS Y TAPAS'!E13</f>
        <v>1.0</v>
      </c>
      <c r="G14" s="283" t="str">
        <f aca="false">+'COLECTOR REGISTROS Y TAPAS'!F13</f>
        <v>DP-01, DP-06B</v>
      </c>
    </row>
    <row r="15" customFormat="false" ht="30.75" hidden="false" customHeight="true" outlineLevel="0" collapsed="false">
      <c r="A15" s="283" t="n">
        <v>5</v>
      </c>
      <c r="B15" s="283" t="str">
        <f aca="false">+'COLECTOR REGISTROS Y TAPAS'!B14</f>
        <v>RS-04</v>
      </c>
      <c r="C15" s="283" t="str">
        <f aca="false">+'COLECTOR REGISTROS Y TAPAS'!C14</f>
        <v>0+042.68</v>
      </c>
      <c r="D15" s="149" t="str">
        <f aca="false">+'COLECTOR REGISTROS Y TAPAS'!D14</f>
        <v>Registro en la losa del colector; empalme cuneta</v>
      </c>
      <c r="E15" s="149"/>
      <c r="F15" s="290" t="n">
        <f aca="false">+'COLECTOR REGISTROS Y TAPAS'!E14</f>
        <v>1.0</v>
      </c>
      <c r="G15" s="283" t="str">
        <f aca="false">+'COLECTOR REGISTROS Y TAPAS'!F14</f>
        <v>DP-01, DP-06B</v>
      </c>
    </row>
    <row r="16" customFormat="false" ht="30.75" hidden="false" customHeight="true" outlineLevel="0" collapsed="false">
      <c r="A16" s="283" t="n">
        <v>6</v>
      </c>
      <c r="B16" s="283" t="str">
        <f aca="false">+'COLECTOR REGISTROS Y TAPAS'!B15</f>
        <v>RS-05</v>
      </c>
      <c r="C16" s="283" t="str">
        <f aca="false">+'COLECTOR REGISTROS Y TAPAS'!C15</f>
        <v>0+052.00</v>
      </c>
      <c r="D16" s="149" t="str">
        <f aca="false">+'COLECTOR REGISTROS Y TAPAS'!D15</f>
        <v>Registro en la losa del colector; limpieza / quiebre</v>
      </c>
      <c r="E16" s="149"/>
      <c r="F16" s="290" t="n">
        <f aca="false">+'COLECTOR REGISTROS Y TAPAS'!E15</f>
        <v>1.0</v>
      </c>
      <c r="G16" s="283" t="str">
        <f aca="false">+'COLECTOR REGISTROS Y TAPAS'!F15</f>
        <v>DP-01, DP-06B</v>
      </c>
    </row>
    <row r="17" customFormat="false" ht="30.75" hidden="false" customHeight="true" outlineLevel="0" collapsed="false">
      <c r="A17" s="283" t="n">
        <v>7</v>
      </c>
      <c r="B17" s="283" t="str">
        <f aca="false">+'COLECTOR REGISTROS Y TAPAS'!B16</f>
        <v>RS-06</v>
      </c>
      <c r="C17" s="283" t="str">
        <f aca="false">+'COLECTOR REGISTROS Y TAPAS'!C16</f>
        <v>0+058.81</v>
      </c>
      <c r="D17" s="149" t="str">
        <f aca="false">+'COLECTOR REGISTROS Y TAPAS'!D16</f>
        <v>Registro en la losa del colector; limpieza / quiebre</v>
      </c>
      <c r="E17" s="149"/>
      <c r="F17" s="290" t="n">
        <f aca="false">+'COLECTOR REGISTROS Y TAPAS'!E16</f>
        <v>1.0</v>
      </c>
      <c r="G17" s="283" t="str">
        <f aca="false">+'COLECTOR REGISTROS Y TAPAS'!F16</f>
        <v>DP-01, DP-06B</v>
      </c>
    </row>
    <row r="18" customFormat="false" ht="30.75" hidden="false" customHeight="true" outlineLevel="0" collapsed="false">
      <c r="A18" s="283" t="n">
        <v>8</v>
      </c>
      <c r="B18" s="283" t="str">
        <f aca="false">+'COLECTOR REGISTROS Y TAPAS'!B17</f>
        <v>RS-07</v>
      </c>
      <c r="C18" s="283" t="str">
        <f aca="false">+'COLECTOR REGISTROS Y TAPAS'!C17</f>
        <v>0+066.89</v>
      </c>
      <c r="D18" s="149" t="str">
        <f aca="false">+'COLECTOR REGISTROS Y TAPAS'!D17</f>
        <v>Registro en la losa del colector; limpieza / quiebre</v>
      </c>
      <c r="E18" s="149"/>
      <c r="F18" s="290" t="n">
        <f aca="false">+'COLECTOR REGISTROS Y TAPAS'!E17</f>
        <v>1.0</v>
      </c>
      <c r="G18" s="283" t="str">
        <f aca="false">+'COLECTOR REGISTROS Y TAPAS'!F17</f>
        <v>DP-01, DP-06B</v>
      </c>
    </row>
    <row r="19" customFormat="false" ht="30.75" hidden="false" customHeight="true" outlineLevel="0" collapsed="false">
      <c r="A19" s="283" t="n">
        <v>9</v>
      </c>
      <c r="B19" s="283" t="str">
        <f aca="false">+'COLECTOR REGISTROS Y TAPAS'!B18</f>
        <v>CC (2)</v>
      </c>
      <c r="C19" s="283" t="str">
        <f aca="false">+'COLECTOR REGISTROS Y TAPAS'!C18</f>
        <v>0+069.89</v>
      </c>
      <c r="D19" s="149" t="str">
        <f aca="false">+'COLECTOR REGISTROS Y TAPAS'!D18</f>
        <v>Caja de caida: dos registros sobre la poza</v>
      </c>
      <c r="E19" s="149"/>
      <c r="F19" s="290" t="n">
        <f aca="false">+'COLECTOR REGISTROS Y TAPAS'!E18</f>
        <v>2.0</v>
      </c>
      <c r="G19" s="283" t="str">
        <f aca="false">+'COLECTOR REGISTROS Y TAPAS'!F18</f>
        <v>DP-07</v>
      </c>
    </row>
    <row r="20" customFormat="false" ht="19.5" hidden="false" customHeight="true" outlineLevel="0" collapsed="false">
      <c r="A20" s="295"/>
      <c r="B20" s="294" t="s">
        <v>1149</v>
      </c>
      <c r="C20" s="295"/>
      <c r="D20" s="295"/>
      <c r="E20" s="295"/>
      <c r="F20" s="296" t="n">
        <f aca="false">SUM(F11:F19)</f>
        <v>10.0</v>
      </c>
      <c r="G20" s="295"/>
    </row>
    <row r="22" customFormat="false" ht="19.5" hidden="false" customHeight="true" outlineLevel="0" collapsed="false">
      <c r="A22" s="294" t="s">
        <v>1150</v>
      </c>
      <c r="B22" s="294"/>
      <c r="C22" s="294"/>
      <c r="D22" s="294"/>
      <c r="E22" s="294"/>
      <c r="F22" s="294"/>
      <c r="G22" s="294"/>
    </row>
    <row r="23" customFormat="false" ht="21.75" hidden="false" customHeight="true" outlineLevel="0" collapsed="false">
      <c r="A23" s="282" t="s">
        <v>331</v>
      </c>
      <c r="B23" s="282" t="s">
        <v>992</v>
      </c>
      <c r="C23" s="282" t="s">
        <v>151</v>
      </c>
      <c r="D23" s="282" t="s">
        <v>1151</v>
      </c>
      <c r="E23" s="282" t="s">
        <v>1152</v>
      </c>
      <c r="F23" s="282" t="s">
        <v>150</v>
      </c>
      <c r="G23" s="282" t="s">
        <v>657</v>
      </c>
    </row>
    <row r="24" customFormat="false" ht="19.5" hidden="false" customHeight="true" outlineLevel="0" collapsed="false">
      <c r="A24" s="21"/>
      <c r="B24" s="294" t="s">
        <v>1153</v>
      </c>
      <c r="C24" s="294"/>
      <c r="D24" s="294"/>
      <c r="E24" s="294"/>
      <c r="F24" s="294"/>
      <c r="G24" s="294"/>
    </row>
    <row r="25" customFormat="false" ht="30.75" hidden="false" customHeight="true" outlineLevel="0" collapsed="false">
      <c r="A25" s="283" t="n">
        <v>1</v>
      </c>
      <c r="B25" s="149" t="s">
        <v>1193</v>
      </c>
      <c r="C25" s="285" t="s">
        <v>50</v>
      </c>
      <c r="D25" s="306" t="n">
        <f aca="false">'COLECTOR PARAMETROS'!C36*'COLECTOR PARAMETROS'!C38</f>
        <v>5.124</v>
      </c>
      <c r="E25" s="301" t="n">
        <f aca="false">+$F$20</f>
        <v>10.0</v>
      </c>
      <c r="F25" s="306" t="n">
        <f aca="false">D25*E25</f>
        <v>51.24</v>
      </c>
      <c r="G25" s="149" t="s">
        <v>1155</v>
      </c>
    </row>
    <row r="26" customFormat="false" ht="30.75" hidden="false" customHeight="true" outlineLevel="0" collapsed="false">
      <c r="A26" s="283" t="n">
        <v>2</v>
      </c>
      <c r="B26" s="149" t="s">
        <v>1156</v>
      </c>
      <c r="C26" s="285" t="s">
        <v>50</v>
      </c>
      <c r="D26" s="306" t="n">
        <f aca="false">'COLECTOR PARAMETROS'!C37*'COLECTOR PARAMETROS'!C39</f>
        <v>4.9776</v>
      </c>
      <c r="E26" s="301" t="n">
        <f aca="false">+$F$20</f>
        <v>10.0</v>
      </c>
      <c r="F26" s="306" t="n">
        <f aca="false">D26*E26</f>
        <v>49.776</v>
      </c>
      <c r="G26" s="149" t="s">
        <v>1157</v>
      </c>
    </row>
    <row r="27" customFormat="false" ht="19.5" hidden="false" customHeight="true" outlineLevel="0" collapsed="false">
      <c r="A27" s="21"/>
      <c r="B27" s="294" t="s">
        <v>1158</v>
      </c>
      <c r="C27" s="285" t="s">
        <v>50</v>
      </c>
      <c r="D27" s="308" t="n">
        <f aca="false">SUM(D25:D26)</f>
        <v>10.1016</v>
      </c>
      <c r="E27" s="295"/>
      <c r="F27" s="296" t="n">
        <f aca="false">SUM(F25:F26)</f>
        <v>101.016</v>
      </c>
      <c r="G27" s="295"/>
    </row>
    <row r="28" customFormat="false" ht="19.5" hidden="false" customHeight="true" outlineLevel="0" collapsed="false">
      <c r="A28" s="21"/>
      <c r="B28" s="294" t="s">
        <v>1159</v>
      </c>
      <c r="C28" s="294"/>
      <c r="D28" s="294"/>
      <c r="E28" s="294"/>
      <c r="F28" s="294"/>
      <c r="G28" s="294"/>
    </row>
    <row r="29" customFormat="false" ht="30.75" hidden="false" customHeight="true" outlineLevel="0" collapsed="false">
      <c r="A29" s="283" t="n">
        <v>3</v>
      </c>
      <c r="B29" s="149" t="s">
        <v>1160</v>
      </c>
      <c r="C29" s="285" t="s">
        <v>167</v>
      </c>
      <c r="D29" s="306" t="n">
        <f aca="false">'COLECTOR PARAMETROS'!C33*'COLECTOR PARAMETROS'!C33*'COLECTOR PARAMETROS'!C34</f>
        <v>0.036992</v>
      </c>
      <c r="E29" s="301" t="n">
        <f aca="false">+$F$20</f>
        <v>10.0</v>
      </c>
      <c r="F29" s="306" t="n">
        <f aca="false">D29*E29</f>
        <v>0.36992</v>
      </c>
      <c r="G29" s="149" t="s">
        <v>1161</v>
      </c>
    </row>
    <row r="30" customFormat="false" ht="19.5" hidden="false" customHeight="true" outlineLevel="0" collapsed="false">
      <c r="A30" s="21"/>
      <c r="B30" s="294" t="s">
        <v>1162</v>
      </c>
      <c r="C30" s="285" t="s">
        <v>167</v>
      </c>
      <c r="D30" s="308" t="n">
        <f aca="false">SUM(D29:D29)</f>
        <v>0.036992</v>
      </c>
      <c r="E30" s="295"/>
      <c r="F30" s="296" t="n">
        <f aca="false">SUM(F29:F29)</f>
        <v>0.36992</v>
      </c>
      <c r="G30" s="295"/>
    </row>
    <row r="31" customFormat="false" ht="19.5" hidden="false" customHeight="true" outlineLevel="0" collapsed="false">
      <c r="A31" s="21"/>
      <c r="B31" s="294" t="s">
        <v>1163</v>
      </c>
      <c r="C31" s="294"/>
      <c r="D31" s="294"/>
      <c r="E31" s="294"/>
      <c r="F31" s="294"/>
      <c r="G31" s="294"/>
    </row>
    <row r="32" customFormat="false" ht="30.75" hidden="false" customHeight="true" outlineLevel="0" collapsed="false">
      <c r="A32" s="283" t="n">
        <v>4</v>
      </c>
      <c r="B32" s="149" t="s">
        <v>1164</v>
      </c>
      <c r="C32" s="285" t="s">
        <v>50</v>
      </c>
      <c r="D32" s="306" t="n">
        <f aca="false">'COLECTOR ACERO'!U34/'COLECTOR ACERO'!F34</f>
        <v>4.8608</v>
      </c>
      <c r="E32" s="301" t="n">
        <f aca="false">+$F$20</f>
        <v>10.0</v>
      </c>
      <c r="F32" s="306" t="n">
        <f aca="false">D32*E32</f>
        <v>48.608</v>
      </c>
      <c r="G32" s="149" t="s">
        <v>1165</v>
      </c>
    </row>
    <row r="33" customFormat="false" ht="30.75" hidden="false" customHeight="true" outlineLevel="0" collapsed="false">
      <c r="A33" s="283" t="n">
        <v>5</v>
      </c>
      <c r="B33" s="149" t="s">
        <v>1166</v>
      </c>
      <c r="C33" s="285" t="s">
        <v>50</v>
      </c>
      <c r="D33" s="306" t="n">
        <f aca="false">'COLECTOR ACERO'!U35/'COLECTOR ACERO'!F35</f>
        <v>0.448</v>
      </c>
      <c r="E33" s="301" t="n">
        <f aca="false">+$F$20</f>
        <v>10.0</v>
      </c>
      <c r="F33" s="306" t="n">
        <f aca="false">D33*E33</f>
        <v>4.48</v>
      </c>
      <c r="G33" s="149" t="s">
        <v>1167</v>
      </c>
    </row>
    <row r="34" customFormat="false" ht="30.75" hidden="false" customHeight="true" outlineLevel="0" collapsed="false">
      <c r="A34" s="283" t="n">
        <v>6</v>
      </c>
      <c r="B34" s="149" t="s">
        <v>1168</v>
      </c>
      <c r="C34" s="285" t="s">
        <v>50</v>
      </c>
      <c r="D34" s="306" t="n">
        <f aca="false">'COLECTOR ACERO'!U36/'COLECTOR ACERO'!F36</f>
        <v>0.896</v>
      </c>
      <c r="E34" s="301" t="n">
        <f aca="false">+$F$20</f>
        <v>10.0</v>
      </c>
      <c r="F34" s="306" t="n">
        <f aca="false">D34*E34</f>
        <v>8.96</v>
      </c>
      <c r="G34" s="149" t="s">
        <v>1169</v>
      </c>
    </row>
    <row r="35" customFormat="false" ht="30.75" hidden="false" customHeight="true" outlineLevel="0" collapsed="false">
      <c r="A35" s="283" t="n">
        <v>7</v>
      </c>
      <c r="B35" s="149" t="s">
        <v>1170</v>
      </c>
      <c r="C35" s="285" t="s">
        <v>50</v>
      </c>
      <c r="D35" s="306" t="n">
        <f aca="false">'COLECTOR ACERO'!U33/'COLECTOR ACERO'!F33</f>
        <v>11.1328</v>
      </c>
      <c r="E35" s="301" t="n">
        <f aca="false">+$F$20</f>
        <v>10.0</v>
      </c>
      <c r="F35" s="306" t="n">
        <f aca="false">D35*E35</f>
        <v>111.328</v>
      </c>
      <c r="G35" s="149" t="s">
        <v>1171</v>
      </c>
    </row>
    <row r="36" customFormat="false" ht="19.5" hidden="false" customHeight="true" outlineLevel="0" collapsed="false">
      <c r="A36" s="21"/>
      <c r="B36" s="294" t="s">
        <v>1172</v>
      </c>
      <c r="C36" s="285" t="s">
        <v>50</v>
      </c>
      <c r="D36" s="308" t="n">
        <f aca="false">SUM(D32:D35)</f>
        <v>17.3376</v>
      </c>
      <c r="E36" s="295"/>
      <c r="F36" s="296" t="n">
        <f aca="false">SUM(F32:F35)</f>
        <v>173.376</v>
      </c>
      <c r="G36" s="295"/>
    </row>
    <row r="37" customFormat="false" ht="19.5" hidden="false" customHeight="true" outlineLevel="0" collapsed="false">
      <c r="A37" s="21"/>
      <c r="B37" s="294" t="s">
        <v>1173</v>
      </c>
      <c r="C37" s="294"/>
      <c r="D37" s="294"/>
      <c r="E37" s="294"/>
      <c r="F37" s="294"/>
      <c r="G37" s="294"/>
    </row>
    <row r="38" customFormat="false" ht="30.75" hidden="false" customHeight="true" outlineLevel="0" collapsed="false">
      <c r="A38" s="283" t="n">
        <v>8</v>
      </c>
      <c r="B38" s="149" t="s">
        <v>1194</v>
      </c>
      <c r="C38" s="285" t="s">
        <v>168</v>
      </c>
      <c r="D38" s="306" t="n">
        <f aca="false">'COLECTOR PARAMETROS'!C36*'COLECTOR PARAMETROS'!C40+'COLECTOR PARAMETROS'!C37*'COLECTOR PARAMETROS'!C41</f>
        <v>0.83904</v>
      </c>
      <c r="E38" s="301" t="n">
        <f aca="false">+$F$20</f>
        <v>10.0</v>
      </c>
      <c r="F38" s="306" t="n">
        <f aca="false">D38*E38</f>
        <v>8.3904</v>
      </c>
      <c r="G38" s="149" t="s">
        <v>905</v>
      </c>
    </row>
    <row r="39" customFormat="false" ht="19.5" hidden="false" customHeight="true" outlineLevel="0" collapsed="false">
      <c r="A39" s="21"/>
      <c r="B39" s="294" t="s">
        <v>1175</v>
      </c>
      <c r="C39" s="285" t="s">
        <v>168</v>
      </c>
      <c r="D39" s="308" t="n">
        <f aca="false">SUM(D38:D38)</f>
        <v>0.83904</v>
      </c>
      <c r="E39" s="295"/>
      <c r="F39" s="296" t="n">
        <f aca="false">SUM(F38:F38)</f>
        <v>8.3904</v>
      </c>
      <c r="G39" s="295"/>
    </row>
    <row r="41" customFormat="false" ht="19.5" hidden="false" customHeight="true" outlineLevel="0" collapsed="false">
      <c r="A41" s="294" t="s">
        <v>1176</v>
      </c>
      <c r="B41" s="294"/>
      <c r="C41" s="294"/>
      <c r="D41" s="294"/>
      <c r="E41" s="294"/>
      <c r="F41" s="294"/>
      <c r="G41" s="294"/>
    </row>
    <row r="42" customFormat="false" ht="19.5" hidden="false" customHeight="true" outlineLevel="0" collapsed="false">
      <c r="A42" s="282"/>
      <c r="B42" s="282" t="s">
        <v>992</v>
      </c>
      <c r="C42" s="282" t="s">
        <v>151</v>
      </c>
      <c r="D42" s="282"/>
      <c r="E42" s="282" t="s">
        <v>1177</v>
      </c>
      <c r="F42" s="282" t="s">
        <v>1178</v>
      </c>
      <c r="G42" s="282" t="s">
        <v>1179</v>
      </c>
    </row>
    <row r="43" customFormat="false" ht="19.5" hidden="false" customHeight="true" outlineLevel="0" collapsed="false">
      <c r="A43" s="21"/>
      <c r="B43" s="149" t="s">
        <v>1180</v>
      </c>
      <c r="C43" s="285" t="s">
        <v>50</v>
      </c>
      <c r="D43" s="295"/>
      <c r="E43" s="306" t="n">
        <f aca="false">+F27</f>
        <v>101.016</v>
      </c>
      <c r="F43" s="306" t="n">
        <f aca="false">+'COLECTOR REGISTROS Y TAPAS'!E25</f>
        <v>101.016</v>
      </c>
      <c r="G43" s="283" t="str">
        <f aca="false">IF(ABS(E43-F43)&lt;0.001,"CONFORME","REVISAR")</f>
        <v>CONFORME</v>
      </c>
    </row>
    <row r="44" customFormat="false" ht="19.5" hidden="false" customHeight="true" outlineLevel="0" collapsed="false">
      <c r="A44" s="21"/>
      <c r="B44" s="149" t="s">
        <v>1181</v>
      </c>
      <c r="C44" s="285" t="s">
        <v>167</v>
      </c>
      <c r="D44" s="295"/>
      <c r="E44" s="306" t="n">
        <f aca="false">+F30</f>
        <v>0.36992</v>
      </c>
      <c r="F44" s="306" t="n">
        <f aca="false">+'COLECTOR REGISTROS Y TAPAS'!E27</f>
        <v>0.36992</v>
      </c>
      <c r="G44" s="283" t="str">
        <f aca="false">IF(ABS(E44-F44)&lt;0.001,"CONFORME","REVISAR")</f>
        <v>CONFORME</v>
      </c>
    </row>
    <row r="45" customFormat="false" ht="19.5" hidden="false" customHeight="true" outlineLevel="0" collapsed="false">
      <c r="A45" s="21"/>
      <c r="B45" s="149" t="s">
        <v>1182</v>
      </c>
      <c r="C45" s="285" t="s">
        <v>50</v>
      </c>
      <c r="D45" s="295"/>
      <c r="E45" s="306" t="n">
        <f aca="false">+F36</f>
        <v>173.376</v>
      </c>
      <c r="F45" s="306" t="n">
        <f aca="false">+'COLECTOR ACERO'!I41</f>
        <v>173.376</v>
      </c>
      <c r="G45" s="283" t="str">
        <f aca="false">IF(ABS(E45-F45)&lt;0.001,"CONFORME","REVISAR")</f>
        <v>CONFORME</v>
      </c>
    </row>
    <row r="46" customFormat="false" ht="19.5" hidden="false" customHeight="true" outlineLevel="0" collapsed="false">
      <c r="A46" s="21"/>
      <c r="B46" s="149" t="s">
        <v>1183</v>
      </c>
      <c r="C46" s="285" t="s">
        <v>168</v>
      </c>
      <c r="D46" s="295"/>
      <c r="E46" s="306" t="n">
        <f aca="false">+F39</f>
        <v>8.3904</v>
      </c>
      <c r="F46" s="306" t="n">
        <f aca="false">+'COLECTOR REGISTROS Y TAPAS'!E28</f>
        <v>8.3904</v>
      </c>
      <c r="G46" s="283" t="str">
        <f aca="false">IF(ABS(E46-F46)&lt;0.001,"CONFORME","REVISAR")</f>
        <v>CONFORME</v>
      </c>
    </row>
  </sheetData>
  <mergeCells count="27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7:G7"/>
    <mergeCell ref="A9:G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22:G22"/>
    <mergeCell ref="B24:G24"/>
    <mergeCell ref="B28:G28"/>
    <mergeCell ref="B31:G31"/>
    <mergeCell ref="B37:G37"/>
    <mergeCell ref="A41:G41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6" activeCellId="0" sqref="L26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7" min="4" style="0" width="14"/>
    <col collapsed="false" customWidth="true" hidden="false" outlineLevel="0" max="8" min="8" style="0" width="44"/>
  </cols>
  <sheetData>
    <row r="1" customFormat="false" ht="27" hidden="false" customHeight="true" outlineLevel="0" collapsed="false">
      <c r="A1" s="277" t="s">
        <v>1222</v>
      </c>
      <c r="B1" s="277"/>
      <c r="C1" s="277"/>
      <c r="D1" s="277"/>
      <c r="E1" s="277"/>
      <c r="F1" s="277"/>
      <c r="G1" s="277"/>
      <c r="H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</row>
    <row r="7" customFormat="false" ht="66" hidden="false" customHeight="true" outlineLevel="0" collapsed="false">
      <c r="A7" s="281" t="s">
        <v>1223</v>
      </c>
      <c r="B7" s="281"/>
      <c r="C7" s="281"/>
      <c r="D7" s="281"/>
      <c r="E7" s="281"/>
      <c r="F7" s="281"/>
      <c r="G7" s="281"/>
      <c r="H7" s="281"/>
    </row>
    <row r="9" customFormat="false" ht="19.5" hidden="false" customHeight="true" outlineLevel="0" collapsed="false">
      <c r="A9" s="294" t="s">
        <v>1224</v>
      </c>
      <c r="B9" s="294"/>
      <c r="C9" s="294"/>
      <c r="D9" s="294"/>
      <c r="E9" s="294"/>
      <c r="F9" s="294"/>
      <c r="G9" s="294"/>
      <c r="H9" s="294"/>
    </row>
    <row r="10" customFormat="false" ht="31.5" hidden="false" customHeight="true" outlineLevel="0" collapsed="false">
      <c r="A10" s="282" t="s">
        <v>331</v>
      </c>
      <c r="B10" s="282" t="s">
        <v>1225</v>
      </c>
      <c r="C10" s="282" t="s">
        <v>151</v>
      </c>
      <c r="D10" s="282" t="s">
        <v>292</v>
      </c>
      <c r="E10" s="282"/>
      <c r="F10" s="282"/>
      <c r="G10" s="282"/>
      <c r="H10" s="282" t="s">
        <v>657</v>
      </c>
    </row>
    <row r="11" customFormat="false" ht="31.5" hidden="false" customHeight="true" outlineLevel="0" collapsed="false">
      <c r="A11" s="283" t="n">
        <v>1.0</v>
      </c>
      <c r="B11" s="149" t="s">
        <v>1226</v>
      </c>
      <c r="C11" s="285" t="s">
        <v>57</v>
      </c>
      <c r="D11" s="306" t="n">
        <f aca="false">'COLECTOR JUNTAS Y EMPALMES'!E11</f>
        <v>5.92</v>
      </c>
      <c r="E11" s="295"/>
      <c r="F11" s="295"/>
      <c r="G11" s="295"/>
      <c r="H11" s="149" t="s">
        <v>1227</v>
      </c>
    </row>
    <row r="12" customFormat="false" ht="31.5" hidden="false" customHeight="true" outlineLevel="0" collapsed="false">
      <c r="A12" s="283" t="n">
        <v>2.0</v>
      </c>
      <c r="B12" s="149" t="s">
        <v>1228</v>
      </c>
      <c r="C12" s="285" t="s">
        <v>60</v>
      </c>
      <c r="D12" s="306" t="n">
        <f aca="false">'COLECTOR JUNTAS Y EMPALMES'!D11</f>
        <v>17.0</v>
      </c>
      <c r="E12" s="295"/>
      <c r="F12" s="295"/>
      <c r="G12" s="295"/>
      <c r="H12" s="149" t="s">
        <v>1229</v>
      </c>
    </row>
    <row r="13" customFormat="false" ht="31.5" hidden="false" customHeight="true" outlineLevel="0" collapsed="false">
      <c r="A13" s="283" t="n">
        <v>3.0</v>
      </c>
      <c r="B13" s="149" t="s">
        <v>1230</v>
      </c>
      <c r="C13" s="285" t="s">
        <v>168</v>
      </c>
      <c r="D13" s="306" t="n">
        <f aca="false">1.10*(0.15+1.61+0.10)-0.80*1.61</f>
        <v>0.758</v>
      </c>
      <c r="E13" s="295"/>
      <c r="F13" s="295"/>
      <c r="G13" s="295"/>
      <c r="H13" s="149" t="s">
        <v>1231</v>
      </c>
    </row>
    <row r="14" customFormat="false" ht="31.5" hidden="false" customHeight="true" outlineLevel="0" collapsed="false">
      <c r="A14" s="283" t="n">
        <v>4.0</v>
      </c>
      <c r="B14" s="149" t="s">
        <v>1232</v>
      </c>
      <c r="C14" s="285" t="s">
        <v>602</v>
      </c>
      <c r="D14" s="306" t="n">
        <f aca="false">D13/D11</f>
        <v>0.128040540540541</v>
      </c>
      <c r="E14" s="295"/>
      <c r="F14" s="295"/>
      <c r="G14" s="295"/>
      <c r="H14" s="149" t="s">
        <v>1233</v>
      </c>
    </row>
    <row r="15" customFormat="false" ht="31.5" hidden="false" customHeight="true" outlineLevel="0" collapsed="false">
      <c r="A15" s="283" t="n">
        <v>5.0</v>
      </c>
      <c r="B15" s="149" t="s">
        <v>1234</v>
      </c>
      <c r="C15" s="285" t="s">
        <v>523</v>
      </c>
      <c r="D15" s="309" t="n">
        <v>0.1</v>
      </c>
      <c r="E15" s="295"/>
      <c r="F15" s="295"/>
      <c r="G15" s="295"/>
      <c r="H15" s="149" t="s">
        <v>1235</v>
      </c>
    </row>
    <row r="16" customFormat="false" ht="31.5" hidden="false" customHeight="true" outlineLevel="0" collapsed="false">
      <c r="A16" s="283" t="n">
        <v>6.0</v>
      </c>
      <c r="B16" s="149" t="s">
        <v>1236</v>
      </c>
      <c r="C16" s="285" t="s">
        <v>168</v>
      </c>
      <c r="D16" s="309" t="n">
        <v>2.88</v>
      </c>
      <c r="E16" s="295"/>
      <c r="F16" s="295"/>
      <c r="G16" s="295"/>
      <c r="H16" s="149" t="s">
        <v>1237</v>
      </c>
    </row>
    <row r="17" customFormat="false" ht="31.5" hidden="false" customHeight="true" outlineLevel="0" collapsed="false">
      <c r="A17" s="283" t="n">
        <v>7.0</v>
      </c>
      <c r="B17" s="149" t="s">
        <v>1238</v>
      </c>
      <c r="C17" s="285" t="s">
        <v>1239</v>
      </c>
      <c r="D17" s="306" t="n">
        <f aca="false">D14*(1+D15)/D16</f>
        <v>0.0489043731231231</v>
      </c>
      <c r="E17" s="295"/>
      <c r="F17" s="295"/>
      <c r="G17" s="295"/>
      <c r="H17" s="149" t="s">
        <v>1233</v>
      </c>
    </row>
    <row r="18" customFormat="false" ht="31.5" hidden="false" customHeight="true" outlineLevel="0" collapsed="false">
      <c r="A18" s="283" t="n">
        <v>8.0</v>
      </c>
      <c r="B18" s="149" t="s">
        <v>1240</v>
      </c>
      <c r="C18" s="285" t="s">
        <v>57</v>
      </c>
      <c r="D18" s="306" t="n">
        <f aca="false">2*1.61+0.80+1.10</f>
        <v>5.12</v>
      </c>
      <c r="E18" s="295"/>
      <c r="F18" s="295"/>
      <c r="G18" s="295"/>
      <c r="H18" s="149" t="s">
        <v>1231</v>
      </c>
    </row>
    <row r="19" customFormat="false" ht="31.5" hidden="false" customHeight="true" outlineLevel="0" collapsed="false">
      <c r="A19" s="283" t="n">
        <v>9.0</v>
      </c>
      <c r="B19" s="149" t="s">
        <v>1241</v>
      </c>
      <c r="C19" s="285" t="s">
        <v>168</v>
      </c>
      <c r="D19" s="306" t="n">
        <f aca="false">0.0254*0.0508</f>
        <v>0.00129032</v>
      </c>
      <c r="E19" s="295"/>
      <c r="F19" s="295"/>
      <c r="G19" s="295"/>
      <c r="H19" s="149" t="s">
        <v>1242</v>
      </c>
    </row>
    <row r="20" customFormat="false" ht="31.5" hidden="false" customHeight="true" outlineLevel="0" collapsed="false">
      <c r="A20" s="283" t="n">
        <v>10.0</v>
      </c>
      <c r="B20" s="149" t="s">
        <v>1243</v>
      </c>
      <c r="C20" s="285" t="s">
        <v>1244</v>
      </c>
      <c r="D20" s="306" t="n">
        <f aca="false">D19*D18/D11</f>
        <v>0.00111595243243243</v>
      </c>
      <c r="E20" s="295"/>
      <c r="F20" s="295"/>
      <c r="G20" s="295"/>
      <c r="H20" s="149" t="s">
        <v>1233</v>
      </c>
    </row>
    <row r="21" customFormat="false" ht="31.5" hidden="false" customHeight="true" outlineLevel="0" collapsed="false">
      <c r="A21" s="283" t="n">
        <v>11.0</v>
      </c>
      <c r="B21" s="149" t="s">
        <v>1245</v>
      </c>
      <c r="C21" s="285" t="s">
        <v>1246</v>
      </c>
      <c r="D21" s="309" t="n">
        <v>50.0</v>
      </c>
      <c r="E21" s="295"/>
      <c r="F21" s="295"/>
      <c r="G21" s="295"/>
      <c r="H21" s="149" t="s">
        <v>1247</v>
      </c>
    </row>
    <row r="22" customFormat="false" ht="31.5" hidden="false" customHeight="true" outlineLevel="0" collapsed="false">
      <c r="A22" s="283" t="n">
        <v>12.0</v>
      </c>
      <c r="B22" s="149" t="s">
        <v>1248</v>
      </c>
      <c r="C22" s="285" t="s">
        <v>1249</v>
      </c>
      <c r="D22" s="309" t="n">
        <v>1.05</v>
      </c>
      <c r="E22" s="295"/>
      <c r="F22" s="295"/>
      <c r="G22" s="295"/>
      <c r="H22" s="149" t="s">
        <v>1250</v>
      </c>
    </row>
    <row r="23" customFormat="false" ht="31.5" hidden="false" customHeight="true" outlineLevel="0" collapsed="false">
      <c r="A23" s="283" t="n">
        <v>13.0</v>
      </c>
      <c r="B23" s="149" t="s">
        <v>1251</v>
      </c>
      <c r="C23" s="285" t="s">
        <v>1252</v>
      </c>
      <c r="D23" s="306" t="n">
        <f aca="false">'COLECTOR INSUMOS'!G71</f>
        <v>0.2</v>
      </c>
      <c r="E23" s="295"/>
      <c r="F23" s="295"/>
      <c r="G23" s="295"/>
      <c r="H23" s="149" t="s">
        <v>1253</v>
      </c>
    </row>
    <row r="24" customFormat="false" ht="31.5" hidden="false" customHeight="true" outlineLevel="0" collapsed="false">
      <c r="A24" s="283" t="n">
        <v>14.0</v>
      </c>
      <c r="B24" s="149" t="s">
        <v>1254</v>
      </c>
      <c r="C24" s="285" t="s">
        <v>1252</v>
      </c>
      <c r="D24" s="306" t="n">
        <f aca="false">'COLECTOR INSUMOS'!G72</f>
        <v>0.2</v>
      </c>
      <c r="E24" s="295"/>
      <c r="F24" s="295"/>
      <c r="G24" s="295"/>
      <c r="H24" s="149" t="s">
        <v>1255</v>
      </c>
    </row>
    <row r="26" customFormat="false" ht="19.5" hidden="false" customHeight="true" outlineLevel="0" collapsed="false">
      <c r="A26" s="294" t="s">
        <v>1256</v>
      </c>
      <c r="B26" s="294"/>
      <c r="C26" s="294"/>
      <c r="D26" s="294"/>
      <c r="E26" s="294"/>
      <c r="F26" s="294"/>
      <c r="G26" s="294"/>
      <c r="H26" s="294"/>
    </row>
    <row r="27" customFormat="false" ht="19.5" hidden="false" customHeight="true" outlineLevel="0" collapsed="false">
      <c r="A27" s="294" t="s">
        <v>1056</v>
      </c>
      <c r="B27" s="294"/>
      <c r="C27" s="295" t="s">
        <v>1257</v>
      </c>
      <c r="D27" s="295"/>
      <c r="E27" s="295"/>
      <c r="F27" s="295"/>
      <c r="G27" s="295"/>
      <c r="H27" s="295"/>
    </row>
    <row r="28" customFormat="false" ht="19.5" hidden="false" customHeight="true" outlineLevel="0" collapsed="false">
      <c r="A28" s="294" t="s">
        <v>1058</v>
      </c>
      <c r="B28" s="294"/>
      <c r="C28" s="295" t="s">
        <v>1258</v>
      </c>
      <c r="D28" s="295"/>
      <c r="E28" s="295"/>
      <c r="F28" s="295"/>
      <c r="G28" s="295"/>
      <c r="H28" s="295"/>
    </row>
    <row r="29" customFormat="false" ht="19.5" hidden="false" customHeight="true" outlineLevel="0" collapsed="false">
      <c r="A29" s="294" t="s">
        <v>502</v>
      </c>
      <c r="B29" s="294"/>
      <c r="C29" s="295" t="s">
        <v>57</v>
      </c>
      <c r="D29" s="295"/>
      <c r="E29" s="295"/>
      <c r="F29" s="295"/>
      <c r="G29" s="295"/>
      <c r="H29" s="295"/>
    </row>
    <row r="30" customFormat="false" ht="19.5" hidden="false" customHeight="true" outlineLevel="0" collapsed="false">
      <c r="A30" s="294" t="s">
        <v>1060</v>
      </c>
      <c r="B30" s="294"/>
      <c r="C30" s="290" t="n">
        <f aca="false">'COLECTOR JUNTAS Y EMPALMES'!F12</f>
        <v>100.64</v>
      </c>
      <c r="D30" s="290"/>
      <c r="E30" s="290"/>
      <c r="F30" s="290"/>
      <c r="G30" s="290"/>
      <c r="H30" s="290"/>
    </row>
    <row r="31" customFormat="false" ht="19.5" hidden="false" customHeight="true" outlineLevel="0" collapsed="false">
      <c r="A31" s="294" t="s">
        <v>1259</v>
      </c>
      <c r="B31" s="294"/>
      <c r="C31" s="290" t="n">
        <f aca="false">8/E34</f>
        <v>40.0</v>
      </c>
      <c r="D31" s="290"/>
      <c r="E31" s="290"/>
      <c r="F31" s="290"/>
      <c r="G31" s="290"/>
      <c r="H31" s="290"/>
    </row>
    <row r="32" customFormat="false" ht="31.5" hidden="false" customHeight="true" outlineLevel="0" collapsed="false">
      <c r="A32" s="282" t="s">
        <v>331</v>
      </c>
      <c r="B32" s="282" t="s">
        <v>1062</v>
      </c>
      <c r="C32" s="282" t="s">
        <v>151</v>
      </c>
      <c r="D32" s="282" t="s">
        <v>1063</v>
      </c>
      <c r="E32" s="282" t="s">
        <v>1260</v>
      </c>
      <c r="F32" s="282" t="s">
        <v>1064</v>
      </c>
      <c r="G32" s="282" t="s">
        <v>1020</v>
      </c>
      <c r="H32" s="282" t="s">
        <v>1065</v>
      </c>
    </row>
    <row r="33" customFormat="false" ht="19.5" hidden="false" customHeight="true" outlineLevel="0" collapsed="false">
      <c r="A33" s="21"/>
      <c r="B33" s="294" t="s">
        <v>1066</v>
      </c>
      <c r="C33" s="294"/>
      <c r="D33" s="294"/>
      <c r="E33" s="294"/>
      <c r="F33" s="294"/>
      <c r="G33" s="294"/>
      <c r="H33" s="294"/>
    </row>
    <row r="34" customFormat="false" ht="19.5" hidden="false" customHeight="true" outlineLevel="0" collapsed="false">
      <c r="A34" s="283" t="n">
        <v>1.0</v>
      </c>
      <c r="B34" s="295" t="s">
        <v>952</v>
      </c>
      <c r="C34" s="285" t="s">
        <v>953</v>
      </c>
      <c r="D34" s="306" t="n">
        <f aca="false">E34*$C$31/8</f>
        <v>1.0</v>
      </c>
      <c r="E34" s="306" t="n">
        <f aca="false">$D$23</f>
        <v>0.2</v>
      </c>
      <c r="F34" s="290" t="n">
        <f aca="false">'ACU TAPA REGISTRO'!F69</f>
        <v>30.42</v>
      </c>
      <c r="G34" s="290" t="n">
        <f aca="false">E34*F34</f>
        <v>6.084</v>
      </c>
      <c r="H34" s="149" t="s">
        <v>1261</v>
      </c>
    </row>
    <row r="35" customFormat="false" ht="19.5" hidden="false" customHeight="true" outlineLevel="0" collapsed="false">
      <c r="A35" s="283" t="n">
        <v>2.0</v>
      </c>
      <c r="B35" s="295" t="s">
        <v>955</v>
      </c>
      <c r="C35" s="285" t="s">
        <v>953</v>
      </c>
      <c r="D35" s="306" t="n">
        <f aca="false">E35*$C$31/8</f>
        <v>1.0</v>
      </c>
      <c r="E35" s="306" t="n">
        <f aca="false">$D$24</f>
        <v>0.2</v>
      </c>
      <c r="F35" s="290" t="n">
        <f aca="false">'ACU TAPA REGISTRO'!F71</f>
        <v>20.79</v>
      </c>
      <c r="G35" s="290" t="n">
        <f aca="false">E35*F35</f>
        <v>4.158</v>
      </c>
      <c r="H35" s="149" t="s">
        <v>1261</v>
      </c>
    </row>
    <row r="36" customFormat="false" ht="19.5" hidden="false" customHeight="true" outlineLevel="0" collapsed="false">
      <c r="A36" s="21"/>
      <c r="B36" s="294" t="s">
        <v>1068</v>
      </c>
      <c r="C36" s="295"/>
      <c r="D36" s="295"/>
      <c r="E36" s="295"/>
      <c r="F36" s="295"/>
      <c r="G36" s="296" t="n">
        <f aca="false">SUM(G34:G35)</f>
        <v>10.242</v>
      </c>
      <c r="H36" s="295"/>
    </row>
    <row r="37" customFormat="false" ht="19.5" hidden="false" customHeight="true" outlineLevel="0" collapsed="false">
      <c r="A37" s="21"/>
      <c r="B37" s="294" t="s">
        <v>1069</v>
      </c>
      <c r="C37" s="294"/>
      <c r="D37" s="294"/>
      <c r="E37" s="294"/>
      <c r="F37" s="294"/>
      <c r="G37" s="294"/>
      <c r="H37" s="294"/>
    </row>
    <row r="38" customFormat="false" ht="31.5" hidden="false" customHeight="true" outlineLevel="0" collapsed="false">
      <c r="A38" s="283" t="n">
        <v>3.0</v>
      </c>
      <c r="B38" s="295" t="s">
        <v>1262</v>
      </c>
      <c r="C38" s="285" t="s">
        <v>1263</v>
      </c>
      <c r="D38" s="295"/>
      <c r="E38" s="306" t="n">
        <f aca="false">$D$17</f>
        <v>0.0489043731231231</v>
      </c>
      <c r="F38" s="290" t="n">
        <f aca="false">13.9/1.18</f>
        <v>11.7796610169492</v>
      </c>
      <c r="G38" s="290" t="n">
        <f aca="false">E38*F38</f>
        <v>0.57607693763679</v>
      </c>
      <c r="H38" s="149" t="s">
        <v>1264</v>
      </c>
    </row>
    <row r="39" customFormat="false" ht="31.5" hidden="false" customHeight="true" outlineLevel="0" collapsed="false">
      <c r="A39" s="283" t="n">
        <v>4.0</v>
      </c>
      <c r="B39" s="295" t="s">
        <v>1265</v>
      </c>
      <c r="C39" s="285" t="s">
        <v>981</v>
      </c>
      <c r="D39" s="295"/>
      <c r="E39" s="306" t="n">
        <f aca="false">$D$20*$D$21</f>
        <v>0.0557976216216216</v>
      </c>
      <c r="F39" s="290" t="n">
        <f aca="false">17.7/1.18</f>
        <v>15.0</v>
      </c>
      <c r="G39" s="290" t="n">
        <f aca="false">E39*F39</f>
        <v>0.836964324324325</v>
      </c>
      <c r="H39" s="149" t="s">
        <v>1266</v>
      </c>
    </row>
    <row r="40" customFormat="false" ht="19.5" hidden="false" customHeight="true" outlineLevel="0" collapsed="false">
      <c r="A40" s="283" t="n">
        <v>5.0</v>
      </c>
      <c r="B40" s="295" t="s">
        <v>946</v>
      </c>
      <c r="C40" s="285" t="s">
        <v>167</v>
      </c>
      <c r="D40" s="295"/>
      <c r="E40" s="306" t="n">
        <f aca="false">$D$20*$D$22</f>
        <v>0.00117175005405405</v>
      </c>
      <c r="F40" s="290" t="n">
        <f aca="false">'ACU TAPA REGISTRO'!F77</f>
        <v>40.68</v>
      </c>
      <c r="G40" s="290" t="n">
        <f aca="false">E40*F40</f>
        <v>0.0476667921989189</v>
      </c>
      <c r="H40" s="149" t="s">
        <v>1267</v>
      </c>
    </row>
    <row r="41" customFormat="false" ht="19.5" hidden="false" customHeight="true" outlineLevel="0" collapsed="false">
      <c r="A41" s="21"/>
      <c r="B41" s="294" t="s">
        <v>1071</v>
      </c>
      <c r="C41" s="295"/>
      <c r="D41" s="295"/>
      <c r="E41" s="295"/>
      <c r="F41" s="295"/>
      <c r="G41" s="296" t="n">
        <f aca="false">SUM(G38:G40)</f>
        <v>1.46070805416003</v>
      </c>
      <c r="H41" s="295"/>
    </row>
    <row r="42" customFormat="false" ht="19.5" hidden="false" customHeight="true" outlineLevel="0" collapsed="false">
      <c r="A42" s="21"/>
      <c r="B42" s="294" t="s">
        <v>1072</v>
      </c>
      <c r="C42" s="294"/>
      <c r="D42" s="294"/>
      <c r="E42" s="294"/>
      <c r="F42" s="294"/>
      <c r="G42" s="294"/>
      <c r="H42" s="294"/>
    </row>
    <row r="43" customFormat="false" ht="19.5" hidden="false" customHeight="true" outlineLevel="0" collapsed="false">
      <c r="A43" s="283" t="n">
        <v>6.0</v>
      </c>
      <c r="B43" s="295" t="s">
        <v>969</v>
      </c>
      <c r="C43" s="285" t="s">
        <v>970</v>
      </c>
      <c r="D43" s="295"/>
      <c r="E43" s="284" t="n">
        <v>0.03</v>
      </c>
      <c r="F43" s="290" t="n">
        <f aca="false">+G36</f>
        <v>10.242</v>
      </c>
      <c r="G43" s="290" t="n">
        <f aca="false">E43*F43</f>
        <v>0.30726</v>
      </c>
      <c r="H43" s="149" t="s">
        <v>1268</v>
      </c>
    </row>
    <row r="44" customFormat="false" ht="19.5" hidden="false" customHeight="true" outlineLevel="0" collapsed="false">
      <c r="A44" s="21"/>
      <c r="B44" s="294" t="s">
        <v>1075</v>
      </c>
      <c r="C44" s="295"/>
      <c r="D44" s="295"/>
      <c r="E44" s="295"/>
      <c r="F44" s="295"/>
      <c r="G44" s="296" t="n">
        <f aca="false">SUM(G43:G43)</f>
        <v>0.30726</v>
      </c>
      <c r="H44" s="295"/>
    </row>
    <row r="45" customFormat="false" ht="21.75" hidden="false" customHeight="true" outlineLevel="0" collapsed="false">
      <c r="A45" s="294" t="s">
        <v>1119</v>
      </c>
      <c r="B45" s="294"/>
      <c r="C45" s="294"/>
      <c r="D45" s="294"/>
      <c r="E45" s="294"/>
      <c r="F45" s="294"/>
      <c r="G45" s="296" t="n">
        <f aca="false">+G36+G41+G44</f>
        <v>12.00996805416</v>
      </c>
      <c r="H45" s="295"/>
    </row>
    <row r="46" customFormat="false" ht="21.75" hidden="false" customHeight="true" outlineLevel="0" collapsed="false">
      <c r="A46" s="294" t="s">
        <v>1269</v>
      </c>
      <c r="B46" s="294"/>
      <c r="C46" s="294"/>
      <c r="D46" s="294"/>
      <c r="E46" s="294"/>
      <c r="F46" s="294"/>
      <c r="G46" s="296" t="n">
        <f aca="false">G45*C30</f>
        <v>1208.68318497067</v>
      </c>
      <c r="H46" s="295"/>
    </row>
  </sheetData>
  <mergeCells count="27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B33:H33"/>
    <mergeCell ref="B37:H37"/>
    <mergeCell ref="B42:H42"/>
    <mergeCell ref="A45:F45"/>
    <mergeCell ref="A46:F46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6" activeCellId="0" sqref="L26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7" min="4" style="0" width="14"/>
    <col collapsed="false" customWidth="true" hidden="false" outlineLevel="0" max="8" min="8" style="0" width="44"/>
  </cols>
  <sheetData>
    <row r="1" customFormat="false" ht="27" hidden="false" customHeight="true" outlineLevel="0" collapsed="false">
      <c r="A1" s="277" t="s">
        <v>1270</v>
      </c>
      <c r="B1" s="277"/>
      <c r="C1" s="277"/>
      <c r="D1" s="277"/>
      <c r="E1" s="277"/>
      <c r="F1" s="277"/>
      <c r="G1" s="277"/>
      <c r="H1" s="277"/>
    </row>
    <row r="2" customFormat="false" ht="24.75" hidden="false" customHeight="true" outlineLevel="0" collapsed="false">
      <c r="A2" s="278" t="s">
        <v>1</v>
      </c>
      <c r="B2" s="278"/>
      <c r="C2" s="279" t="str">
        <f aca="false">+RESUMEN!B4</f>
        <v>GERENCIA TERRITORIAL BAJO MAYO - TARAPOTO</v>
      </c>
      <c r="D2" s="279"/>
      <c r="E2" s="279"/>
      <c r="F2" s="279"/>
      <c r="G2" s="279"/>
      <c r="H2" s="279"/>
    </row>
    <row r="3" customFormat="false" ht="58.5" hidden="false" customHeight="true" outlineLevel="0" collapsed="false">
      <c r="A3" s="278" t="s">
        <v>3</v>
      </c>
      <c r="B3" s="278"/>
      <c r="C3" s="279" t="str">
        <f aca="false"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79"/>
      <c r="E3" s="279"/>
      <c r="F3" s="279"/>
      <c r="G3" s="279"/>
      <c r="H3" s="279"/>
    </row>
    <row r="4" customFormat="false" ht="24.75" hidden="false" customHeight="true" outlineLevel="0" collapsed="false">
      <c r="A4" s="278" t="s">
        <v>5</v>
      </c>
      <c r="B4" s="278"/>
      <c r="C4" s="279" t="str">
        <f aca="false">+RESUMEN!B6</f>
        <v>SAN MARTIN - SAN MARTIN - MORALES</v>
      </c>
      <c r="D4" s="279"/>
      <c r="E4" s="279"/>
      <c r="F4" s="279"/>
      <c r="G4" s="279"/>
      <c r="H4" s="279"/>
    </row>
    <row r="5" customFormat="false" ht="24.75" hidden="false" customHeight="true" outlineLevel="0" collapsed="false">
      <c r="A5" s="278" t="s">
        <v>7</v>
      </c>
      <c r="B5" s="278"/>
      <c r="C5" s="280" t="n">
        <f aca="false">+RESUMEN!B7</f>
        <v>46266</v>
      </c>
      <c r="D5" s="280"/>
      <c r="E5" s="280"/>
      <c r="F5" s="280"/>
      <c r="G5" s="280"/>
      <c r="H5" s="280"/>
    </row>
    <row r="7" customFormat="false" ht="66" hidden="false" customHeight="true" outlineLevel="0" collapsed="false">
      <c r="A7" s="281" t="s">
        <v>1271</v>
      </c>
      <c r="B7" s="281"/>
      <c r="C7" s="281"/>
      <c r="D7" s="281"/>
      <c r="E7" s="281"/>
      <c r="F7" s="281"/>
      <c r="G7" s="281"/>
      <c r="H7" s="281"/>
    </row>
    <row r="9" customFormat="false" ht="19.5" hidden="false" customHeight="true" outlineLevel="0" collapsed="false">
      <c r="A9" s="294" t="s">
        <v>1224</v>
      </c>
      <c r="B9" s="294"/>
      <c r="C9" s="294"/>
      <c r="D9" s="294"/>
      <c r="E9" s="294"/>
      <c r="F9" s="294"/>
      <c r="G9" s="294"/>
      <c r="H9" s="294"/>
    </row>
    <row r="10" customFormat="false" ht="31.5" hidden="false" customHeight="true" outlineLevel="0" collapsed="false">
      <c r="A10" s="282" t="s">
        <v>331</v>
      </c>
      <c r="B10" s="282" t="s">
        <v>1225</v>
      </c>
      <c r="C10" s="282" t="s">
        <v>151</v>
      </c>
      <c r="D10" s="282" t="s">
        <v>292</v>
      </c>
      <c r="E10" s="282"/>
      <c r="F10" s="282"/>
      <c r="G10" s="282"/>
      <c r="H10" s="282" t="s">
        <v>657</v>
      </c>
    </row>
    <row r="11" customFormat="false" ht="31.5" hidden="false" customHeight="true" outlineLevel="0" collapsed="false">
      <c r="A11" s="283" t="n">
        <v>1.0</v>
      </c>
      <c r="B11" s="149" t="s">
        <v>1272</v>
      </c>
      <c r="C11" s="285" t="s">
        <v>57</v>
      </c>
      <c r="D11" s="306" t="n">
        <f aca="false">'COLECTOR JUNTAS Y EMPALMES'!F15</f>
        <v>58.805</v>
      </c>
      <c r="E11" s="295"/>
      <c r="F11" s="295"/>
      <c r="G11" s="295"/>
      <c r="H11" s="149" t="s">
        <v>1273</v>
      </c>
    </row>
    <row r="12" customFormat="false" ht="31.5" hidden="false" customHeight="true" outlineLevel="0" collapsed="false">
      <c r="A12" s="283" t="n">
        <v>2.0</v>
      </c>
      <c r="B12" s="149" t="s">
        <v>1274</v>
      </c>
      <c r="C12" s="285" t="s">
        <v>57</v>
      </c>
      <c r="D12" s="309" t="n">
        <v>0.9</v>
      </c>
      <c r="E12" s="295"/>
      <c r="F12" s="295"/>
      <c r="G12" s="295"/>
      <c r="H12" s="149" t="s">
        <v>1275</v>
      </c>
    </row>
    <row r="13" customFormat="false" ht="31.5" hidden="false" customHeight="true" outlineLevel="0" collapsed="false">
      <c r="A13" s="283" t="n">
        <v>3.0</v>
      </c>
      <c r="B13" s="149" t="s">
        <v>1276</v>
      </c>
      <c r="C13" s="285" t="s">
        <v>57</v>
      </c>
      <c r="D13" s="306" t="n">
        <f aca="false">'COLECTOR JUNTAS Y EMPALMES'!F16+'COLECTOR JUNTAS Y EMPALMES'!F17+'COLECTOR JUNTAS Y EMPALMES'!F18</f>
        <v>152.174</v>
      </c>
      <c r="E13" s="295"/>
      <c r="F13" s="295"/>
      <c r="G13" s="295"/>
      <c r="H13" s="149" t="s">
        <v>1277</v>
      </c>
    </row>
    <row r="14" customFormat="false" ht="31.5" hidden="false" customHeight="true" outlineLevel="0" collapsed="false">
      <c r="A14" s="283" t="n">
        <v>4.0</v>
      </c>
      <c r="B14" s="149" t="s">
        <v>1278</v>
      </c>
      <c r="C14" s="285" t="s">
        <v>57</v>
      </c>
      <c r="D14" s="309" t="n">
        <v>0.1</v>
      </c>
      <c r="E14" s="295"/>
      <c r="F14" s="295"/>
      <c r="G14" s="295"/>
      <c r="H14" s="149" t="s">
        <v>1279</v>
      </c>
    </row>
    <row r="15" customFormat="false" ht="31.5" hidden="false" customHeight="true" outlineLevel="0" collapsed="false">
      <c r="A15" s="283" t="n">
        <v>5.0</v>
      </c>
      <c r="B15" s="149" t="s">
        <v>1280</v>
      </c>
      <c r="C15" s="285" t="s">
        <v>57</v>
      </c>
      <c r="D15" s="306" t="n">
        <f aca="false">'COLECTOR JUNTAS Y EMPALMES'!F19</f>
        <v>210.979</v>
      </c>
      <c r="E15" s="295"/>
      <c r="F15" s="295"/>
      <c r="G15" s="295"/>
      <c r="H15" s="149" t="s">
        <v>1281</v>
      </c>
    </row>
    <row r="16" customFormat="false" ht="31.5" hidden="false" customHeight="true" outlineLevel="0" collapsed="false">
      <c r="A16" s="283" t="n">
        <v>6.0</v>
      </c>
      <c r="B16" s="149" t="s">
        <v>1282</v>
      </c>
      <c r="C16" s="285" t="s">
        <v>602</v>
      </c>
      <c r="D16" s="306" t="n">
        <f aca="false">(D11*D12+D13*D14)/D15</f>
        <v>0.322979538247883</v>
      </c>
      <c r="E16" s="295"/>
      <c r="F16" s="295"/>
      <c r="G16" s="295"/>
      <c r="H16" s="149" t="s">
        <v>1233</v>
      </c>
    </row>
    <row r="17" customFormat="false" ht="31.5" hidden="false" customHeight="true" outlineLevel="0" collapsed="false">
      <c r="A17" s="283" t="n">
        <v>7.0</v>
      </c>
      <c r="B17" s="149" t="s">
        <v>1283</v>
      </c>
      <c r="C17" s="285" t="s">
        <v>523</v>
      </c>
      <c r="D17" s="309" t="n">
        <v>0.05</v>
      </c>
      <c r="E17" s="295"/>
      <c r="F17" s="295"/>
      <c r="G17" s="295"/>
      <c r="H17" s="149" t="s">
        <v>1284</v>
      </c>
    </row>
    <row r="18" customFormat="false" ht="31.5" hidden="false" customHeight="true" outlineLevel="0" collapsed="false">
      <c r="A18" s="283" t="n">
        <v>8.0</v>
      </c>
      <c r="B18" s="149" t="s">
        <v>1236</v>
      </c>
      <c r="C18" s="285" t="s">
        <v>168</v>
      </c>
      <c r="D18" s="309" t="n">
        <v>2.88</v>
      </c>
      <c r="E18" s="295"/>
      <c r="F18" s="295"/>
      <c r="G18" s="295"/>
      <c r="H18" s="149" t="s">
        <v>1237</v>
      </c>
    </row>
    <row r="19" customFormat="false" ht="31.5" hidden="false" customHeight="true" outlineLevel="0" collapsed="false">
      <c r="A19" s="283" t="n">
        <v>9.0</v>
      </c>
      <c r="B19" s="149" t="s">
        <v>1238</v>
      </c>
      <c r="C19" s="285" t="s">
        <v>1239</v>
      </c>
      <c r="D19" s="306" t="n">
        <f aca="false">D16*(1+D17)/D18</f>
        <v>0.117752956652874</v>
      </c>
      <c r="E19" s="295"/>
      <c r="F19" s="295"/>
      <c r="G19" s="295"/>
      <c r="H19" s="149" t="s">
        <v>1233</v>
      </c>
    </row>
    <row r="20" customFormat="false" ht="31.5" hidden="false" customHeight="true" outlineLevel="0" collapsed="false">
      <c r="A20" s="283" t="n">
        <v>10.0</v>
      </c>
      <c r="B20" s="149" t="s">
        <v>1285</v>
      </c>
      <c r="C20" s="285" t="s">
        <v>1244</v>
      </c>
      <c r="D20" s="306" t="n">
        <f aca="false">0.0254*0.0508</f>
        <v>0.00129032</v>
      </c>
      <c r="E20" s="295"/>
      <c r="F20" s="295"/>
      <c r="G20" s="295"/>
      <c r="H20" s="149" t="s">
        <v>1286</v>
      </c>
    </row>
    <row r="21" customFormat="false" ht="31.5" hidden="false" customHeight="true" outlineLevel="0" collapsed="false">
      <c r="A21" s="283" t="n">
        <v>11.0</v>
      </c>
      <c r="B21" s="149" t="s">
        <v>1245</v>
      </c>
      <c r="C21" s="285" t="s">
        <v>1246</v>
      </c>
      <c r="D21" s="309" t="n">
        <v>50.0</v>
      </c>
      <c r="E21" s="295"/>
      <c r="F21" s="295"/>
      <c r="G21" s="295"/>
      <c r="H21" s="149" t="s">
        <v>1247</v>
      </c>
    </row>
    <row r="22" customFormat="false" ht="31.5" hidden="false" customHeight="true" outlineLevel="0" collapsed="false">
      <c r="A22" s="283" t="n">
        <v>12.0</v>
      </c>
      <c r="B22" s="149" t="s">
        <v>1248</v>
      </c>
      <c r="C22" s="285" t="s">
        <v>1249</v>
      </c>
      <c r="D22" s="309" t="n">
        <v>1.05</v>
      </c>
      <c r="E22" s="295"/>
      <c r="F22" s="295"/>
      <c r="G22" s="295"/>
      <c r="H22" s="149" t="s">
        <v>1250</v>
      </c>
    </row>
    <row r="23" customFormat="false" ht="31.5" hidden="false" customHeight="true" outlineLevel="0" collapsed="false">
      <c r="A23" s="283" t="n">
        <v>13.0</v>
      </c>
      <c r="B23" s="149" t="s">
        <v>1287</v>
      </c>
      <c r="C23" s="285" t="s">
        <v>1252</v>
      </c>
      <c r="D23" s="306" t="n">
        <f aca="false">'COLECTOR INSUMOS'!G74</f>
        <v>0.1</v>
      </c>
      <c r="E23" s="295"/>
      <c r="F23" s="295"/>
      <c r="G23" s="295"/>
      <c r="H23" s="149" t="s">
        <v>1288</v>
      </c>
    </row>
    <row r="24" customFormat="false" ht="31.5" hidden="false" customHeight="true" outlineLevel="0" collapsed="false">
      <c r="A24" s="283" t="n">
        <v>14.0</v>
      </c>
      <c r="B24" s="149" t="s">
        <v>1289</v>
      </c>
      <c r="C24" s="285" t="s">
        <v>1252</v>
      </c>
      <c r="D24" s="306" t="n">
        <f aca="false">'COLECTOR INSUMOS'!G76</f>
        <v>0.05</v>
      </c>
      <c r="E24" s="295"/>
      <c r="F24" s="295"/>
      <c r="G24" s="295"/>
      <c r="H24" s="149" t="s">
        <v>1290</v>
      </c>
    </row>
    <row r="26" customFormat="false" ht="19.5" hidden="false" customHeight="true" outlineLevel="0" collapsed="false">
      <c r="A26" s="294" t="s">
        <v>1256</v>
      </c>
      <c r="B26" s="294"/>
      <c r="C26" s="294"/>
      <c r="D26" s="294"/>
      <c r="E26" s="294"/>
      <c r="F26" s="294"/>
      <c r="G26" s="294"/>
      <c r="H26" s="294"/>
    </row>
    <row r="27" customFormat="false" ht="19.5" hidden="false" customHeight="true" outlineLevel="0" collapsed="false">
      <c r="A27" s="294" t="s">
        <v>1056</v>
      </c>
      <c r="B27" s="294"/>
      <c r="C27" s="295" t="s">
        <v>1291</v>
      </c>
      <c r="D27" s="295"/>
      <c r="E27" s="295"/>
      <c r="F27" s="295"/>
      <c r="G27" s="295"/>
      <c r="H27" s="295"/>
    </row>
    <row r="28" customFormat="false" ht="19.5" hidden="false" customHeight="true" outlineLevel="0" collapsed="false">
      <c r="A28" s="294" t="s">
        <v>1058</v>
      </c>
      <c r="B28" s="294"/>
      <c r="C28" s="295" t="s">
        <v>1292</v>
      </c>
      <c r="D28" s="295"/>
      <c r="E28" s="295"/>
      <c r="F28" s="295"/>
      <c r="G28" s="295"/>
      <c r="H28" s="295"/>
    </row>
    <row r="29" customFormat="false" ht="19.5" hidden="false" customHeight="true" outlineLevel="0" collapsed="false">
      <c r="A29" s="294" t="s">
        <v>502</v>
      </c>
      <c r="B29" s="294"/>
      <c r="C29" s="295" t="s">
        <v>57</v>
      </c>
      <c r="D29" s="295"/>
      <c r="E29" s="295"/>
      <c r="F29" s="295"/>
      <c r="G29" s="295"/>
      <c r="H29" s="295"/>
    </row>
    <row r="30" customFormat="false" ht="19.5" hidden="false" customHeight="true" outlineLevel="0" collapsed="false">
      <c r="A30" s="294" t="s">
        <v>1060</v>
      </c>
      <c r="B30" s="294"/>
      <c r="C30" s="290" t="n">
        <f aca="false">'COLECTOR JUNTAS Y EMPALMES'!F19</f>
        <v>210.979</v>
      </c>
      <c r="D30" s="290"/>
      <c r="E30" s="290"/>
      <c r="F30" s="290"/>
      <c r="G30" s="290"/>
      <c r="H30" s="290"/>
    </row>
    <row r="31" customFormat="false" ht="19.5" hidden="false" customHeight="true" outlineLevel="0" collapsed="false">
      <c r="A31" s="294" t="s">
        <v>1293</v>
      </c>
      <c r="B31" s="294"/>
      <c r="C31" s="290" t="n">
        <f aca="false">8/E34</f>
        <v>160.0</v>
      </c>
      <c r="D31" s="290"/>
      <c r="E31" s="290"/>
      <c r="F31" s="290"/>
      <c r="G31" s="290"/>
      <c r="H31" s="290"/>
    </row>
    <row r="32" customFormat="false" ht="31.5" hidden="false" customHeight="true" outlineLevel="0" collapsed="false">
      <c r="A32" s="282" t="s">
        <v>331</v>
      </c>
      <c r="B32" s="282" t="s">
        <v>1062</v>
      </c>
      <c r="C32" s="282" t="s">
        <v>151</v>
      </c>
      <c r="D32" s="282" t="s">
        <v>1063</v>
      </c>
      <c r="E32" s="282" t="s">
        <v>1260</v>
      </c>
      <c r="F32" s="282" t="s">
        <v>1064</v>
      </c>
      <c r="G32" s="282" t="s">
        <v>1020</v>
      </c>
      <c r="H32" s="282" t="s">
        <v>1065</v>
      </c>
    </row>
    <row r="33" customFormat="false" ht="19.5" hidden="false" customHeight="true" outlineLevel="0" collapsed="false">
      <c r="A33" s="21"/>
      <c r="B33" s="294" t="s">
        <v>1066</v>
      </c>
      <c r="C33" s="294"/>
      <c r="D33" s="294"/>
      <c r="E33" s="294"/>
      <c r="F33" s="294"/>
      <c r="G33" s="294"/>
      <c r="H33" s="294"/>
    </row>
    <row r="34" customFormat="false" ht="19.5" hidden="false" customHeight="true" outlineLevel="0" collapsed="false">
      <c r="A34" s="283" t="n">
        <v>1.0</v>
      </c>
      <c r="B34" s="295" t="s">
        <v>952</v>
      </c>
      <c r="C34" s="285" t="s">
        <v>953</v>
      </c>
      <c r="D34" s="306" t="n">
        <f aca="false">E34*$C$31/8</f>
        <v>1.0</v>
      </c>
      <c r="E34" s="306" t="n">
        <f aca="false">$D$24</f>
        <v>0.05</v>
      </c>
      <c r="F34" s="290" t="n">
        <f aca="false">'ACU TAPA REGISTRO'!F69</f>
        <v>30.42</v>
      </c>
      <c r="G34" s="290" t="n">
        <f aca="false">E34*F34</f>
        <v>1.521</v>
      </c>
      <c r="H34" s="149" t="s">
        <v>1261</v>
      </c>
    </row>
    <row r="35" customFormat="false" ht="19.5" hidden="false" customHeight="true" outlineLevel="0" collapsed="false">
      <c r="A35" s="283" t="n">
        <v>2.0</v>
      </c>
      <c r="B35" s="295" t="s">
        <v>955</v>
      </c>
      <c r="C35" s="285" t="s">
        <v>953</v>
      </c>
      <c r="D35" s="306" t="n">
        <f aca="false">E35*$C$31/8</f>
        <v>2.0</v>
      </c>
      <c r="E35" s="306" t="n">
        <f aca="false">$D$23</f>
        <v>0.1</v>
      </c>
      <c r="F35" s="290" t="n">
        <f aca="false">'ACU TAPA REGISTRO'!F71</f>
        <v>20.79</v>
      </c>
      <c r="G35" s="290" t="n">
        <f aca="false">E35*F35</f>
        <v>2.079</v>
      </c>
      <c r="H35" s="149" t="s">
        <v>1261</v>
      </c>
    </row>
    <row r="36" customFormat="false" ht="19.5" hidden="false" customHeight="true" outlineLevel="0" collapsed="false">
      <c r="A36" s="21"/>
      <c r="B36" s="294" t="s">
        <v>1068</v>
      </c>
      <c r="C36" s="295"/>
      <c r="D36" s="295"/>
      <c r="E36" s="295"/>
      <c r="F36" s="295"/>
      <c r="G36" s="296" t="n">
        <f aca="false">SUM(G34:G35)</f>
        <v>3.6</v>
      </c>
      <c r="H36" s="295"/>
    </row>
    <row r="37" customFormat="false" ht="19.5" hidden="false" customHeight="true" outlineLevel="0" collapsed="false">
      <c r="A37" s="21"/>
      <c r="B37" s="294" t="s">
        <v>1069</v>
      </c>
      <c r="C37" s="294"/>
      <c r="D37" s="294"/>
      <c r="E37" s="294"/>
      <c r="F37" s="294"/>
      <c r="G37" s="294"/>
      <c r="H37" s="294"/>
    </row>
    <row r="38" customFormat="false" ht="31.5" hidden="false" customHeight="true" outlineLevel="0" collapsed="false">
      <c r="A38" s="283" t="n">
        <v>3.0</v>
      </c>
      <c r="B38" s="295" t="s">
        <v>1262</v>
      </c>
      <c r="C38" s="285" t="s">
        <v>1263</v>
      </c>
      <c r="D38" s="295"/>
      <c r="E38" s="306" t="n">
        <f aca="false">$D$19</f>
        <v>0.117752956652874</v>
      </c>
      <c r="F38" s="290" t="n">
        <f aca="false">13.9/1.18</f>
        <v>11.7796610169492</v>
      </c>
      <c r="G38" s="290" t="n">
        <f aca="false">E38*F38</f>
        <v>1.38708991311436</v>
      </c>
      <c r="H38" s="149" t="s">
        <v>1264</v>
      </c>
    </row>
    <row r="39" customFormat="false" ht="31.5" hidden="false" customHeight="true" outlineLevel="0" collapsed="false">
      <c r="A39" s="283" t="n">
        <v>4.0</v>
      </c>
      <c r="B39" s="295" t="s">
        <v>1265</v>
      </c>
      <c r="C39" s="285" t="s">
        <v>981</v>
      </c>
      <c r="D39" s="295"/>
      <c r="E39" s="306" t="n">
        <f aca="false">$D$20*$D$21</f>
        <v>0.064516</v>
      </c>
      <c r="F39" s="290" t="n">
        <f aca="false">17.7/1.18</f>
        <v>15.0</v>
      </c>
      <c r="G39" s="290" t="n">
        <f aca="false">E39*F39</f>
        <v>0.96774</v>
      </c>
      <c r="H39" s="149" t="s">
        <v>1266</v>
      </c>
    </row>
    <row r="40" customFormat="false" ht="19.5" hidden="false" customHeight="true" outlineLevel="0" collapsed="false">
      <c r="A40" s="283" t="n">
        <v>5.0</v>
      </c>
      <c r="B40" s="295" t="s">
        <v>946</v>
      </c>
      <c r="C40" s="285" t="s">
        <v>167</v>
      </c>
      <c r="D40" s="295"/>
      <c r="E40" s="306" t="n">
        <f aca="false">$D$20*$D$22</f>
        <v>0.001354836</v>
      </c>
      <c r="F40" s="290" t="n">
        <f aca="false">'ACU TAPA REGISTRO'!F77</f>
        <v>40.68</v>
      </c>
      <c r="G40" s="290" t="n">
        <f aca="false">E40*F40</f>
        <v>0.05511472848</v>
      </c>
      <c r="H40" s="149" t="s">
        <v>1267</v>
      </c>
    </row>
    <row r="41" customFormat="false" ht="19.5" hidden="false" customHeight="true" outlineLevel="0" collapsed="false">
      <c r="A41" s="21"/>
      <c r="B41" s="294" t="s">
        <v>1071</v>
      </c>
      <c r="C41" s="295"/>
      <c r="D41" s="295"/>
      <c r="E41" s="295"/>
      <c r="F41" s="295"/>
      <c r="G41" s="296" t="n">
        <f aca="false">SUM(G38:G40)</f>
        <v>2.40994464159436</v>
      </c>
      <c r="H41" s="295"/>
    </row>
    <row r="42" customFormat="false" ht="19.5" hidden="false" customHeight="true" outlineLevel="0" collapsed="false">
      <c r="A42" s="21"/>
      <c r="B42" s="294" t="s">
        <v>1072</v>
      </c>
      <c r="C42" s="294"/>
      <c r="D42" s="294"/>
      <c r="E42" s="294"/>
      <c r="F42" s="294"/>
      <c r="G42" s="294"/>
      <c r="H42" s="294"/>
    </row>
    <row r="43" customFormat="false" ht="19.5" hidden="false" customHeight="true" outlineLevel="0" collapsed="false">
      <c r="A43" s="283" t="n">
        <v>6.0</v>
      </c>
      <c r="B43" s="295" t="s">
        <v>969</v>
      </c>
      <c r="C43" s="285" t="s">
        <v>970</v>
      </c>
      <c r="D43" s="295"/>
      <c r="E43" s="284" t="n">
        <v>0.03</v>
      </c>
      <c r="F43" s="290" t="n">
        <f aca="false">+G36</f>
        <v>3.6</v>
      </c>
      <c r="G43" s="290" t="n">
        <f aca="false">E43*F43</f>
        <v>0.108</v>
      </c>
      <c r="H43" s="149" t="s">
        <v>1268</v>
      </c>
    </row>
    <row r="44" customFormat="false" ht="19.5" hidden="false" customHeight="true" outlineLevel="0" collapsed="false">
      <c r="A44" s="21"/>
      <c r="B44" s="294" t="s">
        <v>1075</v>
      </c>
      <c r="C44" s="295"/>
      <c r="D44" s="295"/>
      <c r="E44" s="295"/>
      <c r="F44" s="295"/>
      <c r="G44" s="296" t="n">
        <f aca="false">SUM(G43:G43)</f>
        <v>0.108</v>
      </c>
      <c r="H44" s="295"/>
    </row>
    <row r="45" customFormat="false" ht="21.75" hidden="false" customHeight="true" outlineLevel="0" collapsed="false">
      <c r="A45" s="294" t="s">
        <v>1119</v>
      </c>
      <c r="B45" s="294"/>
      <c r="C45" s="294"/>
      <c r="D45" s="294"/>
      <c r="E45" s="294"/>
      <c r="F45" s="294"/>
      <c r="G45" s="296" t="n">
        <f aca="false">+G36+G41+G44</f>
        <v>6.11794464159436</v>
      </c>
      <c r="H45" s="295"/>
    </row>
    <row r="46" customFormat="false" ht="21.75" hidden="false" customHeight="true" outlineLevel="0" collapsed="false">
      <c r="A46" s="294" t="s">
        <v>1269</v>
      </c>
      <c r="B46" s="294"/>
      <c r="C46" s="294"/>
      <c r="D46" s="294"/>
      <c r="E46" s="294"/>
      <c r="F46" s="294"/>
      <c r="G46" s="296" t="n">
        <f aca="false">G45*C30</f>
        <v>1290.75784253894</v>
      </c>
      <c r="H46" s="295"/>
    </row>
  </sheetData>
  <mergeCells count="27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B33:H33"/>
    <mergeCell ref="B37:H37"/>
    <mergeCell ref="B42:H42"/>
    <mergeCell ref="A45:F45"/>
    <mergeCell ref="A46:F46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2025-06-05T14:29:57Z</dcterms:created>
  <dc:creator>MSI SWORD GAMING</dc:creator>
  <dc:description/>
  <dc:language>en-US</dc:language>
  <cp:lastModifiedBy/>
  <cp:lastPrinted>2026-03-10T13:03:41Z</cp:lastPrinted>
  <dcterms:modified xsi:type="dcterms:W3CDTF">2026-10-08T04:30:43Z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