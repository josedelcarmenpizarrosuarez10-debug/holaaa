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ETRADO POR AMBIENTE" sheetId="2" state="visible" r:id="rId2"/>
    <sheet xmlns:r="http://schemas.openxmlformats.org/officeDocument/2006/relationships" name="POR EDIFICACIÓN" sheetId="3" state="visible" r:id="rId3"/>
  </sheets>
  <definedNames>
    <definedName name="_xlnm.Print_Titles" localSheetId="0">'RESUMEN'!$10:$10</definedName>
    <definedName name="_xlnm.Print_Area" localSheetId="0">'RESUMEN'!$A$1:$E$122</definedName>
    <definedName name="_xlnm.Print_Titles" localSheetId="1">'METRADO POR AMBIENTE'!$10:$10</definedName>
    <definedName name="_xlnm.Print_Area" localSheetId="1">'METRADO POR AMBIENTE'!$A$1:$G$263</definedName>
    <definedName name="_xlnm.Print_Titles" localSheetId="2">'POR EDIFICACIÓN'!$10:$10</definedName>
    <definedName name="_xlnm.Print_Area" localSheetId="2">'POR EDIFICACIÓN'!$A$1:$L$72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;-0;&quot;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  <font>
      <name val="Arial"/>
      <color rgb="00808080"/>
      <sz val="7"/>
    </font>
    <font>
      <name val="Arial"/>
      <color rgb="00FFFFFF"/>
      <sz val="7"/>
    </font>
    <font>
      <name val="Arial"/>
      <sz val="8"/>
    </font>
  </fonts>
  <fills count="4">
    <fill>
      <patternFill/>
    </fill>
    <fill>
      <patternFill patternType="gray125"/>
    </fill>
    <fill>
      <patternFill patternType="solid">
        <fgColor rgb="007B1E2B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2" fillId="3" borderId="1" applyAlignment="1" pivotButton="0" quotePrefix="0" xfId="0">
      <alignment horizontal="center" vertical="center" wrapText="1"/>
    </xf>
    <xf numFmtId="1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2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2" customWidth="1" min="3" max="3"/>
    <col width="6" customWidth="1" min="4" max="4"/>
    <col width="11" customWidth="1" min="5" max="5"/>
    <col hidden="1" width="4" customWidth="1" min="6" max="6"/>
  </cols>
  <sheetData>
    <row r="1" ht="24" customHeight="1">
      <c r="A1" s="1" t="inlineStr">
        <is>
          <t>HOJA RESUMEN DE METRADOS - ARQUITECTURA: EQUIPAMIENTO Y MOBILIARIO</t>
        </is>
      </c>
    </row>
    <row r="2" ht="36" customHeight="1">
      <c r="A2" s="2" t="inlineStr">
        <is>
          <t>PROYECTO</t>
        </is>
      </c>
      <c r="B2" s="3" t="inlineStr">
        <is>
          <t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</t>
        </is>
      </c>
      <c r="C2" s="4" t="n"/>
      <c r="D2" s="4" t="n"/>
      <c r="E2" s="4" t="n"/>
    </row>
    <row r="3">
      <c r="A3" s="2" t="inlineStr">
        <is>
          <t>CUI</t>
        </is>
      </c>
      <c r="B3" s="5" t="inlineStr">
        <is>
          <t>N.° 2675514</t>
        </is>
      </c>
      <c r="C3" s="4" t="n"/>
      <c r="D3" s="4" t="n"/>
      <c r="E3" s="4" t="n"/>
    </row>
    <row r="4">
      <c r="A4" s="2" t="inlineStr">
        <is>
          <t>PROPIETARIO</t>
        </is>
      </c>
      <c r="B4" s="5" t="inlineStr">
        <is>
          <t>Gobierno Regional San Martín - Gerencia Territorial Bajo Mayo</t>
        </is>
      </c>
      <c r="C4" s="4" t="n"/>
      <c r="D4" s="4" t="n"/>
      <c r="E4" s="4" t="n"/>
    </row>
    <row r="5">
      <c r="A5" s="2" t="inlineStr">
        <is>
          <t>UBICACIÓN</t>
        </is>
      </c>
      <c r="B5" s="5" t="inlineStr">
        <is>
          <t>Morales / San Martín / San Martín</t>
        </is>
      </c>
      <c r="C5" s="4" t="n"/>
      <c r="D5" s="4" t="n"/>
      <c r="E5" s="4" t="n"/>
    </row>
    <row r="6">
      <c r="A6" s="2" t="inlineStr">
        <is>
          <t>ESPECIALIDAD</t>
        </is>
      </c>
      <c r="B6" s="5" t="inlineStr">
        <is>
          <t>ARQUITECTURA - EQUIPAMIENTO Y MOBILIARIO</t>
        </is>
      </c>
      <c r="C6" s="4" t="n"/>
      <c r="D6" s="4" t="n"/>
      <c r="E6" s="4" t="n"/>
    </row>
    <row r="7">
      <c r="A7" s="2" t="inlineStr">
        <is>
          <t>LÁMINAS</t>
        </is>
      </c>
      <c r="B7" s="5" t="inlineStr">
        <is>
          <t>EM-01 a EM-07 (equipamiento y mobiliario, escala 1/50)</t>
        </is>
      </c>
      <c r="C7" s="4" t="n"/>
      <c r="D7" s="4" t="n"/>
      <c r="E7" s="4" t="n"/>
    </row>
    <row r="8">
      <c r="A8" s="2" t="inlineStr">
        <is>
          <t>FECHA</t>
        </is>
      </c>
      <c r="B8" s="5" t="inlineStr">
        <is>
          <t>SETIEMBRE 2026</t>
        </is>
      </c>
      <c r="C8" s="4" t="n"/>
      <c r="D8" s="4" t="n"/>
      <c r="E8" s="4" t="n"/>
    </row>
    <row r="10">
      <c r="A10" s="6" t="inlineStr">
        <is>
          <t>PART. N.°</t>
        </is>
      </c>
      <c r="B10" s="6" t="inlineStr">
        <is>
          <t>CÓD.</t>
        </is>
      </c>
      <c r="C10" s="6" t="inlineStr">
        <is>
          <t>DESCRIPCIÓN</t>
        </is>
      </c>
      <c r="D10" s="6" t="inlineStr">
        <is>
          <t>UND</t>
        </is>
      </c>
      <c r="E10" s="6" t="inlineStr">
        <is>
          <t>METRADO</t>
        </is>
      </c>
    </row>
    <row r="11">
      <c r="A11" s="7" t="inlineStr">
        <is>
          <t>03</t>
        </is>
      </c>
      <c r="B11" s="8" t="n"/>
      <c r="C11" s="2" t="inlineStr">
        <is>
          <t>ARQUITECTURA</t>
        </is>
      </c>
      <c r="D11" s="8" t="n"/>
      <c r="E11" s="8" t="n"/>
    </row>
    <row r="12">
      <c r="A12" s="7" t="inlineStr">
        <is>
          <t>03.01</t>
        </is>
      </c>
      <c r="B12" s="8" t="n"/>
      <c r="C12" s="2" t="inlineStr">
        <is>
          <t>MOBILIARIO Y EQUIPAMIENTO</t>
        </is>
      </c>
      <c r="D12" s="8" t="n"/>
      <c r="E12" s="8" t="n"/>
    </row>
    <row r="13">
      <c r="A13" s="9" t="inlineStr">
        <is>
          <t>03.01.01</t>
        </is>
      </c>
      <c r="B13" s="10" t="n"/>
      <c r="C13" s="3" t="inlineStr">
        <is>
          <t>EQUIPOS</t>
        </is>
      </c>
      <c r="D13" s="10" t="n"/>
      <c r="E13" s="10" t="n"/>
    </row>
    <row r="14">
      <c r="A14" s="10" t="inlineStr">
        <is>
          <t>03.01.01.01</t>
        </is>
      </c>
      <c r="B14" s="10" t="inlineStr">
        <is>
          <t>E1</t>
        </is>
      </c>
      <c r="C14" s="5" t="inlineStr">
        <is>
          <t>PROYECTOR INTERACTIVO</t>
        </is>
      </c>
      <c r="D14" s="10" t="inlineStr">
        <is>
          <t>und</t>
        </is>
      </c>
      <c r="E14" s="11">
        <f>SUMIF('METRADO POR AMBIENTE'!$H$11:$H$262,F14,'METRADO POR AMBIENTE'!$G$11:$G$262)</f>
        <v/>
      </c>
      <c r="F14" s="12" t="inlineStr">
        <is>
          <t>E1</t>
        </is>
      </c>
    </row>
    <row r="15">
      <c r="A15" s="10" t="inlineStr">
        <is>
          <t>03.01.01.02</t>
        </is>
      </c>
      <c r="B15" s="10" t="inlineStr">
        <is>
          <t>E2</t>
        </is>
      </c>
      <c r="C15" s="5" t="inlineStr">
        <is>
          <t>COMPUTADORA PORTÁTIL i5</t>
        </is>
      </c>
      <c r="D15" s="10" t="inlineStr">
        <is>
          <t>und</t>
        </is>
      </c>
      <c r="E15" s="11">
        <f>SUMIF('METRADO POR AMBIENTE'!$H$11:$H$262,F15,'METRADO POR AMBIENTE'!$G$11:$G$262)</f>
        <v/>
      </c>
      <c r="F15" s="12" t="inlineStr">
        <is>
          <t>E2</t>
        </is>
      </c>
    </row>
    <row r="16">
      <c r="A16" s="10" t="inlineStr">
        <is>
          <t>03.01.01.03</t>
        </is>
      </c>
      <c r="B16" s="10" t="inlineStr">
        <is>
          <t>E3</t>
        </is>
      </c>
      <c r="C16" s="5" t="inlineStr">
        <is>
          <t>PRESENTADOR INALÁMBRICO CON PUNTERO LÁSER</t>
        </is>
      </c>
      <c r="D16" s="10" t="inlineStr">
        <is>
          <t>und</t>
        </is>
      </c>
      <c r="E16" s="11">
        <f>SUMIF('METRADO POR AMBIENTE'!$H$11:$H$262,F16,'METRADO POR AMBIENTE'!$G$11:$G$262)</f>
        <v/>
      </c>
      <c r="F16" s="12" t="inlineStr">
        <is>
          <t>E3</t>
        </is>
      </c>
    </row>
    <row r="17">
      <c r="A17" s="10" t="inlineStr">
        <is>
          <t>03.01.01.04</t>
        </is>
      </c>
      <c r="B17" s="10" t="inlineStr">
        <is>
          <t>E4</t>
        </is>
      </c>
      <c r="C17" s="5" t="inlineStr">
        <is>
          <t>RELOJ PARA ADOSAR A PARED</t>
        </is>
      </c>
      <c r="D17" s="10" t="inlineStr">
        <is>
          <t>und</t>
        </is>
      </c>
      <c r="E17" s="11">
        <f>SUMIF('METRADO POR AMBIENTE'!$H$11:$H$262,F17,'METRADO POR AMBIENTE'!$G$11:$G$262)</f>
        <v/>
      </c>
      <c r="F17" s="12" t="inlineStr">
        <is>
          <t>E4</t>
        </is>
      </c>
    </row>
    <row r="18">
      <c r="A18" s="10" t="inlineStr">
        <is>
          <t>03.01.01.05</t>
        </is>
      </c>
      <c r="B18" s="10" t="inlineStr">
        <is>
          <t>E5</t>
        </is>
      </c>
      <c r="C18" s="5" t="inlineStr">
        <is>
          <t>LAVADORA DE 20 kg DE CARGA SUPERIOR</t>
        </is>
      </c>
      <c r="D18" s="10" t="inlineStr">
        <is>
          <t>und</t>
        </is>
      </c>
      <c r="E18" s="11">
        <f>SUMIF('METRADO POR AMBIENTE'!$H$11:$H$262,F18,'METRADO POR AMBIENTE'!$G$11:$G$262)</f>
        <v/>
      </c>
      <c r="F18" s="12" t="inlineStr">
        <is>
          <t>E5</t>
        </is>
      </c>
    </row>
    <row r="19">
      <c r="A19" s="10" t="inlineStr">
        <is>
          <t>03.01.01.06</t>
        </is>
      </c>
      <c r="B19" s="10" t="inlineStr">
        <is>
          <t>E6</t>
        </is>
      </c>
      <c r="C19" s="5" t="inlineStr">
        <is>
          <t>COMPUTADORA i5 ESTACIONARIA</t>
        </is>
      </c>
      <c r="D19" s="10" t="inlineStr">
        <is>
          <t>und</t>
        </is>
      </c>
      <c r="E19" s="11">
        <f>SUMIF('METRADO POR AMBIENTE'!$H$11:$H$262,F19,'METRADO POR AMBIENTE'!$G$11:$G$262)</f>
        <v/>
      </c>
      <c r="F19" s="12" t="inlineStr">
        <is>
          <t>E6</t>
        </is>
      </c>
    </row>
    <row r="20">
      <c r="A20" s="10" t="inlineStr">
        <is>
          <t>03.01.01.07</t>
        </is>
      </c>
      <c r="B20" s="10" t="inlineStr">
        <is>
          <t>E7</t>
        </is>
      </c>
      <c r="C20" s="5" t="inlineStr">
        <is>
          <t>PROYECTOR MULTIMEDIA</t>
        </is>
      </c>
      <c r="D20" s="10" t="inlineStr">
        <is>
          <t>und</t>
        </is>
      </c>
      <c r="E20" s="11">
        <f>SUMIF('METRADO POR AMBIENTE'!$H$11:$H$262,F20,'METRADO POR AMBIENTE'!$G$11:$G$262)</f>
        <v/>
      </c>
      <c r="F20" s="12" t="inlineStr">
        <is>
          <t>E7</t>
        </is>
      </c>
    </row>
    <row r="21">
      <c r="A21" s="10" t="inlineStr">
        <is>
          <t>03.01.01.08</t>
        </is>
      </c>
      <c r="B21" s="10" t="inlineStr">
        <is>
          <t>E9</t>
        </is>
      </c>
      <c r="C21" s="5" t="inlineStr">
        <is>
          <t>IMPRESORA MULTIFUNCIONAL</t>
        </is>
      </c>
      <c r="D21" s="10" t="inlineStr">
        <is>
          <t>und</t>
        </is>
      </c>
      <c r="E21" s="11">
        <f>SUMIF('METRADO POR AMBIENTE'!$H$11:$H$262,F21,'METRADO POR AMBIENTE'!$G$11:$G$262)</f>
        <v/>
      </c>
      <c r="F21" s="12" t="inlineStr">
        <is>
          <t>E9</t>
        </is>
      </c>
    </row>
    <row r="22">
      <c r="A22" s="10" t="inlineStr">
        <is>
          <t>03.01.01.09</t>
        </is>
      </c>
      <c r="B22" s="10" t="inlineStr">
        <is>
          <t>E10</t>
        </is>
      </c>
      <c r="C22" s="5" t="inlineStr">
        <is>
          <t>MÁQUINA DE CORTE TEXTIL</t>
        </is>
      </c>
      <c r="D22" s="10" t="inlineStr">
        <is>
          <t>und</t>
        </is>
      </c>
      <c r="E22" s="11">
        <f>SUMIF('METRADO POR AMBIENTE'!$H$11:$H$262,F22,'METRADO POR AMBIENTE'!$G$11:$G$262)</f>
        <v/>
      </c>
      <c r="F22" s="12" t="inlineStr">
        <is>
          <t>E10</t>
        </is>
      </c>
    </row>
    <row r="23">
      <c r="A23" s="10" t="inlineStr">
        <is>
          <t>03.01.01.10</t>
        </is>
      </c>
      <c r="B23" s="10" t="inlineStr">
        <is>
          <t>E13</t>
        </is>
      </c>
      <c r="C23" s="5" t="inlineStr">
        <is>
          <t>COCINA INDUSTRIAL DE 2 HORNILLAS</t>
        </is>
      </c>
      <c r="D23" s="10" t="inlineStr">
        <is>
          <t>und</t>
        </is>
      </c>
      <c r="E23" s="11">
        <f>SUMIF('METRADO POR AMBIENTE'!$H$11:$H$262,F23,'METRADO POR AMBIENTE'!$G$11:$G$262)</f>
        <v/>
      </c>
      <c r="F23" s="12" t="inlineStr">
        <is>
          <t>E13</t>
        </is>
      </c>
    </row>
    <row r="24">
      <c r="A24" s="10" t="inlineStr">
        <is>
          <t>03.01.01.11</t>
        </is>
      </c>
      <c r="B24" s="10" t="inlineStr">
        <is>
          <t>E16</t>
        </is>
      </c>
      <c r="C24" s="5" t="inlineStr">
        <is>
          <t>HORNO MICROONDAS DE 31 LITROS</t>
        </is>
      </c>
      <c r="D24" s="10" t="inlineStr">
        <is>
          <t>und</t>
        </is>
      </c>
      <c r="E24" s="11">
        <f>SUMIF('METRADO POR AMBIENTE'!$H$11:$H$262,F24,'METRADO POR AMBIENTE'!$G$11:$G$262)</f>
        <v/>
      </c>
      <c r="F24" s="12" t="inlineStr">
        <is>
          <t>E16</t>
        </is>
      </c>
    </row>
    <row r="25">
      <c r="A25" s="10" t="inlineStr">
        <is>
          <t>03.01.01.12</t>
        </is>
      </c>
      <c r="B25" s="10" t="inlineStr">
        <is>
          <t>E17</t>
        </is>
      </c>
      <c r="C25" s="5" t="inlineStr">
        <is>
          <t>LICUADORA DE 1.5 LITROS</t>
        </is>
      </c>
      <c r="D25" s="10" t="inlineStr">
        <is>
          <t>und</t>
        </is>
      </c>
      <c r="E25" s="11">
        <f>SUMIF('METRADO POR AMBIENTE'!$H$11:$H$262,F25,'METRADO POR AMBIENTE'!$G$11:$G$262)</f>
        <v/>
      </c>
      <c r="F25" s="12" t="inlineStr">
        <is>
          <t>E17</t>
        </is>
      </c>
    </row>
    <row r="26">
      <c r="A26" s="10" t="inlineStr">
        <is>
          <t>03.01.01.13</t>
        </is>
      </c>
      <c r="B26" s="10" t="inlineStr">
        <is>
          <t>E18</t>
        </is>
      </c>
      <c r="C26" s="5" t="inlineStr">
        <is>
          <t>ECRAN</t>
        </is>
      </c>
      <c r="D26" s="10" t="inlineStr">
        <is>
          <t>und</t>
        </is>
      </c>
      <c r="E26" s="11">
        <f>SUMIF('METRADO POR AMBIENTE'!$H$11:$H$262,F26,'METRADO POR AMBIENTE'!$G$11:$G$262)</f>
        <v/>
      </c>
      <c r="F26" s="12" t="inlineStr">
        <is>
          <t>E18</t>
        </is>
      </c>
    </row>
    <row r="27">
      <c r="A27" s="10" t="inlineStr">
        <is>
          <t>03.01.01.14</t>
        </is>
      </c>
      <c r="B27" s="10" t="inlineStr">
        <is>
          <t>E19</t>
        </is>
      </c>
      <c r="C27" s="5" t="inlineStr">
        <is>
          <t>REFRIGERADORA DE 315 LITROS</t>
        </is>
      </c>
      <c r="D27" s="10" t="inlineStr">
        <is>
          <t>und</t>
        </is>
      </c>
      <c r="E27" s="11">
        <f>SUMIF('METRADO POR AMBIENTE'!$H$11:$H$262,F27,'METRADO POR AMBIENTE'!$G$11:$G$262)</f>
        <v/>
      </c>
      <c r="F27" s="12" t="inlineStr">
        <is>
          <t>E19</t>
        </is>
      </c>
    </row>
    <row r="28">
      <c r="A28" s="9" t="inlineStr">
        <is>
          <t>03.01.02</t>
        </is>
      </c>
      <c r="B28" s="10" t="n"/>
      <c r="C28" s="3" t="inlineStr">
        <is>
          <t>MOBILIARIO</t>
        </is>
      </c>
      <c r="D28" s="10" t="n"/>
      <c r="E28" s="10" t="n"/>
    </row>
    <row r="29">
      <c r="A29" s="10" t="inlineStr">
        <is>
          <t>03.01.02.01</t>
        </is>
      </c>
      <c r="B29" s="10" t="inlineStr">
        <is>
          <t>M3</t>
        </is>
      </c>
      <c r="C29" s="5" t="inlineStr">
        <is>
          <t>SILLA REGULABLE DE ESTUDIANTE DE MADERA Y METAL 0.30 x 0.27 x 0.32 m</t>
        </is>
      </c>
      <c r="D29" s="10" t="inlineStr">
        <is>
          <t>und</t>
        </is>
      </c>
      <c r="E29" s="11">
        <f>SUMIF('METRADO POR AMBIENTE'!$H$11:$H$262,F29,'METRADO POR AMBIENTE'!$G$11:$G$262)</f>
        <v/>
      </c>
      <c r="F29" s="12" t="inlineStr">
        <is>
          <t>M3</t>
        </is>
      </c>
    </row>
    <row r="30">
      <c r="A30" s="10" t="inlineStr">
        <is>
          <t>03.01.02.02</t>
        </is>
      </c>
      <c r="B30" s="10" t="inlineStr">
        <is>
          <t>M4</t>
        </is>
      </c>
      <c r="C30" s="5" t="inlineStr">
        <is>
          <t>MESA REGULABLE DE MADERA Y METAL 0.56 x 0.50 x 0.60 m</t>
        </is>
      </c>
      <c r="D30" s="10" t="inlineStr">
        <is>
          <t>und</t>
        </is>
      </c>
      <c r="E30" s="11">
        <f>SUMIF('METRADO POR AMBIENTE'!$H$11:$H$262,F30,'METRADO POR AMBIENTE'!$G$11:$G$262)</f>
        <v/>
      </c>
      <c r="F30" s="12" t="inlineStr">
        <is>
          <t>M4</t>
        </is>
      </c>
    </row>
    <row r="31">
      <c r="A31" s="10" t="inlineStr">
        <is>
          <t>03.01.02.03</t>
        </is>
      </c>
      <c r="B31" s="10" t="inlineStr">
        <is>
          <t>M7</t>
        </is>
      </c>
      <c r="C31" s="5" t="inlineStr">
        <is>
          <t>SILLA DEL PROFESOR DE MADERA, MELAMINA Y METAL 0.45 x 0.40 x 0.36 m</t>
        </is>
      </c>
      <c r="D31" s="10" t="inlineStr">
        <is>
          <t>und</t>
        </is>
      </c>
      <c r="E31" s="11">
        <f>SUMIF('METRADO POR AMBIENTE'!$H$11:$H$262,F31,'METRADO POR AMBIENTE'!$G$11:$G$262)</f>
        <v/>
      </c>
      <c r="F31" s="12" t="inlineStr">
        <is>
          <t>M7</t>
        </is>
      </c>
    </row>
    <row r="32">
      <c r="A32" s="10" t="inlineStr">
        <is>
          <t>03.01.02.04</t>
        </is>
      </c>
      <c r="B32" s="10" t="inlineStr">
        <is>
          <t>M8</t>
        </is>
      </c>
      <c r="C32" s="5" t="inlineStr">
        <is>
          <t>MESA PARA EL PROFESOR DE MADERA Y METAL 1.00 x 0.50 x 0.75 m</t>
        </is>
      </c>
      <c r="D32" s="10" t="inlineStr">
        <is>
          <t>und</t>
        </is>
      </c>
      <c r="E32" s="11">
        <f>SUMIF('METRADO POR AMBIENTE'!$H$11:$H$262,F32,'METRADO POR AMBIENTE'!$G$11:$G$262)</f>
        <v/>
      </c>
      <c r="F32" s="12" t="inlineStr">
        <is>
          <t>M8</t>
        </is>
      </c>
    </row>
    <row r="33">
      <c r="A33" s="10" t="inlineStr">
        <is>
          <t>03.01.02.05</t>
        </is>
      </c>
      <c r="B33" s="10" t="inlineStr">
        <is>
          <t>M9</t>
        </is>
      </c>
      <c r="C33" s="5" t="inlineStr">
        <is>
          <t>MANIQUÍ DE COSTURA PARA CONFECCIÓN TEXTIL</t>
        </is>
      </c>
      <c r="D33" s="10" t="inlineStr">
        <is>
          <t>und</t>
        </is>
      </c>
      <c r="E33" s="11">
        <f>SUMIF('METRADO POR AMBIENTE'!$H$11:$H$262,F33,'METRADO POR AMBIENTE'!$G$11:$G$262)</f>
        <v/>
      </c>
      <c r="F33" s="12" t="inlineStr">
        <is>
          <t>M9</t>
        </is>
      </c>
    </row>
    <row r="34">
      <c r="A34" s="10" t="inlineStr">
        <is>
          <t>03.01.02.06</t>
        </is>
      </c>
      <c r="B34" s="10" t="inlineStr">
        <is>
          <t>M13</t>
        </is>
      </c>
      <c r="C34" s="5" t="inlineStr">
        <is>
          <t>RACK DE SOPORTE METÁLICO PARA PROYECTOR EN TECHO</t>
        </is>
      </c>
      <c r="D34" s="10" t="inlineStr">
        <is>
          <t>und</t>
        </is>
      </c>
      <c r="E34" s="11">
        <f>SUMIF('METRADO POR AMBIENTE'!$H$11:$H$262,F34,'METRADO POR AMBIENTE'!$G$11:$G$262)</f>
        <v/>
      </c>
      <c r="F34" s="12" t="inlineStr">
        <is>
          <t>M13</t>
        </is>
      </c>
    </row>
    <row r="35">
      <c r="A35" s="10" t="inlineStr">
        <is>
          <t>03.01.02.07</t>
        </is>
      </c>
      <c r="B35" s="10" t="inlineStr">
        <is>
          <t>M15</t>
        </is>
      </c>
      <c r="C35" s="5" t="inlineStr">
        <is>
          <t>ATRIL DE MESA PARA DIBUJO Y PINTURA</t>
        </is>
      </c>
      <c r="D35" s="10" t="inlineStr">
        <is>
          <t>und</t>
        </is>
      </c>
      <c r="E35" s="11">
        <f>SUMIF('METRADO POR AMBIENTE'!$H$11:$H$262,F35,'METRADO POR AMBIENTE'!$G$11:$G$262)</f>
        <v/>
      </c>
      <c r="F35" s="12" t="inlineStr">
        <is>
          <t>M15</t>
        </is>
      </c>
    </row>
    <row r="36">
      <c r="A36" s="10" t="inlineStr">
        <is>
          <t>03.01.02.08</t>
        </is>
      </c>
      <c r="B36" s="10" t="inlineStr">
        <is>
          <t>M16</t>
        </is>
      </c>
      <c r="C36" s="5" t="inlineStr">
        <is>
          <t>MESA DE TRABAJO DE MADERA PARA ESTUDIANTES 0.90 x 1.80 x 0.56 m</t>
        </is>
      </c>
      <c r="D36" s="10" t="inlineStr">
        <is>
          <t>und</t>
        </is>
      </c>
      <c r="E36" s="11">
        <f>SUMIF('METRADO POR AMBIENTE'!$H$11:$H$262,F36,'METRADO POR AMBIENTE'!$G$11:$G$262)</f>
        <v/>
      </c>
      <c r="F36" s="12" t="inlineStr">
        <is>
          <t>M16</t>
        </is>
      </c>
    </row>
    <row r="37">
      <c r="A37" s="10" t="inlineStr">
        <is>
          <t>03.01.02.09</t>
        </is>
      </c>
      <c r="B37" s="10" t="inlineStr">
        <is>
          <t>M16</t>
        </is>
      </c>
      <c r="C37" s="5" t="inlineStr">
        <is>
          <t>MESA DE CORTE TEXTIL 0.80 x 1.50 x 0.75 m</t>
        </is>
      </c>
      <c r="D37" s="10" t="inlineStr">
        <is>
          <t>und</t>
        </is>
      </c>
      <c r="E37" s="11">
        <f>SUMIF('METRADO POR AMBIENTE'!$H$11:$H$262,F37,'METRADO POR AMBIENTE'!$G$11:$G$262)</f>
        <v/>
      </c>
      <c r="F37" s="12" t="inlineStr">
        <is>
          <t>M16-T</t>
        </is>
      </c>
    </row>
    <row r="38">
      <c r="A38" s="10" t="inlineStr">
        <is>
          <t>03.01.02.10</t>
        </is>
      </c>
      <c r="B38" s="10" t="inlineStr">
        <is>
          <t>M19</t>
        </is>
      </c>
      <c r="C38" s="5" t="inlineStr">
        <is>
          <t>MESA DE MADERA 1.00 x 1.80 x 0.75 m</t>
        </is>
      </c>
      <c r="D38" s="10" t="inlineStr">
        <is>
          <t>und</t>
        </is>
      </c>
      <c r="E38" s="11">
        <f>SUMIF('METRADO POR AMBIENTE'!$H$11:$H$262,F38,'METRADO POR AMBIENTE'!$G$11:$G$262)</f>
        <v/>
      </c>
      <c r="F38" s="12" t="inlineStr">
        <is>
          <t>M19</t>
        </is>
      </c>
    </row>
    <row r="39">
      <c r="A39" s="10" t="inlineStr">
        <is>
          <t>03.01.02.11</t>
        </is>
      </c>
      <c r="B39" s="10" t="inlineStr">
        <is>
          <t>M20</t>
        </is>
      </c>
      <c r="C39" s="5" t="inlineStr">
        <is>
          <t>BIOMBO METÁLICO DE 3 CUERPOS</t>
        </is>
      </c>
      <c r="D39" s="10" t="inlineStr">
        <is>
          <t>und</t>
        </is>
      </c>
      <c r="E39" s="11">
        <f>SUMIF('METRADO POR AMBIENTE'!$H$11:$H$262,F39,'METRADO POR AMBIENTE'!$G$11:$G$262)</f>
        <v/>
      </c>
      <c r="F39" s="12" t="inlineStr">
        <is>
          <t>M20</t>
        </is>
      </c>
    </row>
    <row r="40">
      <c r="A40" s="10" t="inlineStr">
        <is>
          <t>03.01.02.12</t>
        </is>
      </c>
      <c r="B40" s="10" t="inlineStr">
        <is>
          <t>M21</t>
        </is>
      </c>
      <c r="C40" s="5" t="inlineStr">
        <is>
          <t>MESA DE REUNIONES DE MADERA Y MELAMINA 2.40 x 1.00 x 0.75 m</t>
        </is>
      </c>
      <c r="D40" s="10" t="inlineStr">
        <is>
          <t>und</t>
        </is>
      </c>
      <c r="E40" s="11">
        <f>SUMIF('METRADO POR AMBIENTE'!$H$11:$H$262,F40,'METRADO POR AMBIENTE'!$G$11:$G$262)</f>
        <v/>
      </c>
      <c r="F40" s="12" t="inlineStr">
        <is>
          <t>M21</t>
        </is>
      </c>
    </row>
    <row r="41">
      <c r="A41" s="10" t="inlineStr">
        <is>
          <t>03.01.02.13</t>
        </is>
      </c>
      <c r="B41" s="10" t="inlineStr">
        <is>
          <t>M22</t>
        </is>
      </c>
      <c r="C41" s="5" t="inlineStr">
        <is>
          <t>MESA DE MADERA 1.00 x 1.80 x 0.75 m</t>
        </is>
      </c>
      <c r="D41" s="10" t="inlineStr">
        <is>
          <t>und</t>
        </is>
      </c>
      <c r="E41" s="11">
        <f>SUMIF('METRADO POR AMBIENTE'!$H$11:$H$262,F41,'METRADO POR AMBIENTE'!$G$11:$G$262)</f>
        <v/>
      </c>
      <c r="F41" s="12" t="inlineStr">
        <is>
          <t>M22</t>
        </is>
      </c>
    </row>
    <row r="42">
      <c r="A42" s="10" t="inlineStr">
        <is>
          <t>03.01.02.14</t>
        </is>
      </c>
      <c r="B42" s="10" t="inlineStr">
        <is>
          <t>M23</t>
        </is>
      </c>
      <c r="C42" s="5" t="inlineStr">
        <is>
          <t>MESA DE MADERA 1.00 x 2.00 x 0.75 m</t>
        </is>
      </c>
      <c r="D42" s="10" t="inlineStr">
        <is>
          <t>und</t>
        </is>
      </c>
      <c r="E42" s="11">
        <f>SUMIF('METRADO POR AMBIENTE'!$H$11:$H$262,F42,'METRADO POR AMBIENTE'!$G$11:$G$262)</f>
        <v/>
      </c>
      <c r="F42" s="12" t="inlineStr">
        <is>
          <t>M23</t>
        </is>
      </c>
    </row>
    <row r="43">
      <c r="A43" s="10" t="inlineStr">
        <is>
          <t>03.01.02.15</t>
        </is>
      </c>
      <c r="B43" s="10" t="inlineStr">
        <is>
          <t>M26</t>
        </is>
      </c>
      <c r="C43" s="5" t="inlineStr">
        <is>
          <t>MESA DE ACERO INOXIDABLE 0.90 x 0.60 x 0.90 m</t>
        </is>
      </c>
      <c r="D43" s="10" t="inlineStr">
        <is>
          <t>und</t>
        </is>
      </c>
      <c r="E43" s="11">
        <f>SUMIF('METRADO POR AMBIENTE'!$H$11:$H$262,F43,'METRADO POR AMBIENTE'!$G$11:$G$262)</f>
        <v/>
      </c>
      <c r="F43" s="12" t="inlineStr">
        <is>
          <t>M26</t>
        </is>
      </c>
    </row>
    <row r="44">
      <c r="A44" s="10" t="inlineStr">
        <is>
          <t>03.01.02.16</t>
        </is>
      </c>
      <c r="B44" s="10" t="inlineStr">
        <is>
          <t>M27</t>
        </is>
      </c>
      <c r="C44" s="5" t="inlineStr">
        <is>
          <t>SILLA DE RUEDAS</t>
        </is>
      </c>
      <c r="D44" s="10" t="inlineStr">
        <is>
          <t>und</t>
        </is>
      </c>
      <c r="E44" s="11">
        <f>SUMIF('METRADO POR AMBIENTE'!$H$11:$H$262,F44,'METRADO POR AMBIENTE'!$G$11:$G$262)</f>
        <v/>
      </c>
      <c r="F44" s="12" t="inlineStr">
        <is>
          <t>M27</t>
        </is>
      </c>
    </row>
    <row r="45">
      <c r="A45" s="10" t="inlineStr">
        <is>
          <t>03.01.02.17</t>
        </is>
      </c>
      <c r="B45" s="10" t="inlineStr">
        <is>
          <t>M28</t>
        </is>
      </c>
      <c r="C45" s="5" t="inlineStr">
        <is>
          <t>ESCRITORIO DE MELAMINA CON DOS CAJONERAS 1.00 x 0.50 x 0.75 m</t>
        </is>
      </c>
      <c r="D45" s="10" t="inlineStr">
        <is>
          <t>und</t>
        </is>
      </c>
      <c r="E45" s="11">
        <f>SUMIF('METRADO POR AMBIENTE'!$H$11:$H$262,F45,'METRADO POR AMBIENTE'!$G$11:$G$262)</f>
        <v/>
      </c>
      <c r="F45" s="12" t="inlineStr">
        <is>
          <t>M28</t>
        </is>
      </c>
    </row>
    <row r="46">
      <c r="A46" s="10" t="inlineStr">
        <is>
          <t>03.01.02.18</t>
        </is>
      </c>
      <c r="B46" s="10" t="inlineStr">
        <is>
          <t>M31</t>
        </is>
      </c>
      <c r="C46" s="5" t="inlineStr">
        <is>
          <t>ESCRITORIO DE MELAMINA CON CREDENZA MÓVIL 1.50 x 0.80 x 0.75 m</t>
        </is>
      </c>
      <c r="D46" s="10" t="inlineStr">
        <is>
          <t>und</t>
        </is>
      </c>
      <c r="E46" s="11">
        <f>SUMIF('METRADO POR AMBIENTE'!$H$11:$H$262,F46,'METRADO POR AMBIENTE'!$G$11:$G$262)</f>
        <v/>
      </c>
      <c r="F46" s="12" t="inlineStr">
        <is>
          <t>M31</t>
        </is>
      </c>
    </row>
    <row r="47">
      <c r="A47" s="10" t="inlineStr">
        <is>
          <t>03.01.02.19</t>
        </is>
      </c>
      <c r="B47" s="10" t="inlineStr">
        <is>
          <t>M32</t>
        </is>
      </c>
      <c r="C47" s="5" t="inlineStr">
        <is>
          <t>SILLÓN PARA ACOPLAR 0.44 x 0.55 x 0.60 m</t>
        </is>
      </c>
      <c r="D47" s="10" t="inlineStr">
        <is>
          <t>und</t>
        </is>
      </c>
      <c r="E47" s="11">
        <f>SUMIF('METRADO POR AMBIENTE'!$H$11:$H$262,F47,'METRADO POR AMBIENTE'!$G$11:$G$262)</f>
        <v/>
      </c>
      <c r="F47" s="12" t="inlineStr">
        <is>
          <t>M32</t>
        </is>
      </c>
    </row>
    <row r="48">
      <c r="A48" s="10" t="inlineStr">
        <is>
          <t>03.01.02.20</t>
        </is>
      </c>
      <c r="B48" s="10" t="inlineStr">
        <is>
          <t>M34</t>
        </is>
      </c>
      <c r="C48" s="5" t="inlineStr">
        <is>
          <t>SOFÁ DE MADERA DE 2 CUERPOS 0.44 x 0.55 x 1.00 m</t>
        </is>
      </c>
      <c r="D48" s="10" t="inlineStr">
        <is>
          <t>und</t>
        </is>
      </c>
      <c r="E48" s="11">
        <f>SUMIF('METRADO POR AMBIENTE'!$H$11:$H$262,F48,'METRADO POR AMBIENTE'!$G$11:$G$262)</f>
        <v/>
      </c>
      <c r="F48" s="12" t="inlineStr">
        <is>
          <t>M34</t>
        </is>
      </c>
    </row>
    <row r="49">
      <c r="A49" s="10" t="inlineStr">
        <is>
          <t>03.01.02.21</t>
        </is>
      </c>
      <c r="B49" s="10" t="inlineStr">
        <is>
          <t>M35</t>
        </is>
      </c>
      <c r="C49" s="5" t="inlineStr">
        <is>
          <t>SILLA TIPO TABURETE REGULABLE DE MADERA Y METAL 0.15 x 0.30 x 0.60 x 0.75 m</t>
        </is>
      </c>
      <c r="D49" s="10" t="inlineStr">
        <is>
          <t>und</t>
        </is>
      </c>
      <c r="E49" s="11">
        <f>SUMIF('METRADO POR AMBIENTE'!$H$11:$H$262,F49,'METRADO POR AMBIENTE'!$G$11:$G$262)</f>
        <v/>
      </c>
      <c r="F49" s="12" t="inlineStr">
        <is>
          <t>M35</t>
        </is>
      </c>
    </row>
    <row r="50">
      <c r="A50" s="10" t="inlineStr">
        <is>
          <t>03.01.02.22</t>
        </is>
      </c>
      <c r="B50" s="10" t="inlineStr">
        <is>
          <t>M36</t>
        </is>
      </c>
      <c r="C50" s="5" t="inlineStr">
        <is>
          <t>ARMARIO DE MELAMINA CON 2 PUERTAS Y 4 NIVELES 0.90 x 0.45 x 1.80 m</t>
        </is>
      </c>
      <c r="D50" s="10" t="inlineStr">
        <is>
          <t>und</t>
        </is>
      </c>
      <c r="E50" s="11">
        <f>SUMIF('METRADO POR AMBIENTE'!$H$11:$H$262,F50,'METRADO POR AMBIENTE'!$G$11:$G$262)</f>
        <v/>
      </c>
      <c r="F50" s="12" t="inlineStr">
        <is>
          <t>M36</t>
        </is>
      </c>
    </row>
    <row r="51">
      <c r="A51" s="10" t="inlineStr">
        <is>
          <t>03.01.02.23</t>
        </is>
      </c>
      <c r="B51" s="10" t="inlineStr">
        <is>
          <t>M37</t>
        </is>
      </c>
      <c r="C51" s="5" t="inlineStr">
        <is>
          <t>ARMARIO PARA ALMACENAR MATERIAL DE MELAMINA CON 2 PUERTAS Y 5 DIVISIONES 0.90 x 0.60 x 1.80 m</t>
        </is>
      </c>
      <c r="D51" s="10" t="inlineStr">
        <is>
          <t>und</t>
        </is>
      </c>
      <c r="E51" s="11">
        <f>SUMIF('METRADO POR AMBIENTE'!$H$11:$H$262,F51,'METRADO POR AMBIENTE'!$G$11:$G$262)</f>
        <v/>
      </c>
      <c r="F51" s="12" t="inlineStr">
        <is>
          <t>M37</t>
        </is>
      </c>
    </row>
    <row r="52">
      <c r="A52" s="10" t="inlineStr">
        <is>
          <t>03.01.02.24</t>
        </is>
      </c>
      <c r="B52" s="10" t="inlineStr">
        <is>
          <t>M39</t>
        </is>
      </c>
      <c r="C52" s="5" t="inlineStr">
        <is>
          <t>ARCHIVADOR DE MELAMINA CON TRES GAVETAS 0.60 x 0.46 x 1.20 m</t>
        </is>
      </c>
      <c r="D52" s="10" t="inlineStr">
        <is>
          <t>und</t>
        </is>
      </c>
      <c r="E52" s="11">
        <f>SUMIF('METRADO POR AMBIENTE'!$H$11:$H$262,F52,'METRADO POR AMBIENTE'!$G$11:$G$262)</f>
        <v/>
      </c>
      <c r="F52" s="12" t="inlineStr">
        <is>
          <t>M39</t>
        </is>
      </c>
    </row>
    <row r="53">
      <c r="A53" s="10" t="inlineStr">
        <is>
          <t>03.01.02.25</t>
        </is>
      </c>
      <c r="B53" s="10" t="inlineStr">
        <is>
          <t>M51</t>
        </is>
      </c>
      <c r="C53" s="5" t="inlineStr">
        <is>
          <t>ESTANTE METÁLICO RANURADO CON CUATRO DIVISIONES 0.90 x 0.45 x 1.80 m</t>
        </is>
      </c>
      <c r="D53" s="10" t="inlineStr">
        <is>
          <t>und</t>
        </is>
      </c>
      <c r="E53" s="11">
        <f>SUMIF('METRADO POR AMBIENTE'!$H$11:$H$262,F53,'METRADO POR AMBIENTE'!$G$11:$G$262)</f>
        <v/>
      </c>
      <c r="F53" s="12" t="inlineStr">
        <is>
          <t>M51</t>
        </is>
      </c>
    </row>
    <row r="54">
      <c r="A54" s="10" t="inlineStr">
        <is>
          <t>03.01.02.26</t>
        </is>
      </c>
      <c r="B54" s="10" t="inlineStr">
        <is>
          <t>M52</t>
        </is>
      </c>
      <c r="C54" s="5" t="inlineStr">
        <is>
          <t>ESTANTE DE ACERO INOXIDABLE CON CUATRO DIVISIONES Y BANDEJA 0.60 x 0.60 x 1.80 m</t>
        </is>
      </c>
      <c r="D54" s="10" t="inlineStr">
        <is>
          <t>und</t>
        </is>
      </c>
      <c r="E54" s="11">
        <f>SUMIF('METRADO POR AMBIENTE'!$H$11:$H$262,F54,'METRADO POR AMBIENTE'!$G$11:$G$262)</f>
        <v/>
      </c>
      <c r="F54" s="12" t="inlineStr">
        <is>
          <t>M52</t>
        </is>
      </c>
    </row>
    <row r="55">
      <c r="A55" s="10" t="inlineStr">
        <is>
          <t>03.01.02.27</t>
        </is>
      </c>
      <c r="B55" s="10" t="inlineStr">
        <is>
          <t>M54</t>
        </is>
      </c>
      <c r="C55" s="5" t="inlineStr">
        <is>
          <t>EXHIBIDOR DE LIBROS DE MELAMINA CON DIVISIONES ESCALONADAS 1.20 x 0.40 x 0.85 m</t>
        </is>
      </c>
      <c r="D55" s="10" t="inlineStr">
        <is>
          <t>und</t>
        </is>
      </c>
      <c r="E55" s="11">
        <f>SUMIF('METRADO POR AMBIENTE'!$H$11:$H$262,F55,'METRADO POR AMBIENTE'!$G$11:$G$262)</f>
        <v/>
      </c>
      <c r="F55" s="12" t="inlineStr">
        <is>
          <t>M54</t>
        </is>
      </c>
    </row>
    <row r="56">
      <c r="A56" s="10" t="inlineStr">
        <is>
          <t>03.01.02.28</t>
        </is>
      </c>
      <c r="B56" s="10" t="inlineStr">
        <is>
          <t>M56</t>
        </is>
      </c>
      <c r="C56" s="5" t="inlineStr">
        <is>
          <t>MUEBLE BAJO DE MELAMINA PARA GUARDAR MOCHILAS CON DOS DIVISIONES 0.60 x 0.40 x 1.00 m</t>
        </is>
      </c>
      <c r="D56" s="10" t="inlineStr">
        <is>
          <t>und</t>
        </is>
      </c>
      <c r="E56" s="11">
        <f>SUMIF('METRADO POR AMBIENTE'!$H$11:$H$262,F56,'METRADO POR AMBIENTE'!$G$11:$G$262)</f>
        <v/>
      </c>
      <c r="F56" s="12" t="inlineStr">
        <is>
          <t>M56</t>
        </is>
      </c>
    </row>
    <row r="57">
      <c r="A57" s="10" t="inlineStr">
        <is>
          <t>03.01.02.29</t>
        </is>
      </c>
      <c r="B57" s="10" t="inlineStr">
        <is>
          <t>M57</t>
        </is>
      </c>
      <c r="C57" s="5" t="inlineStr">
        <is>
          <t>MUEBLE BAJO DE MELAMINA CON DOS PUERTAS Y DOS DIVISIONES HORIZONTALES 0.60 x 1.20 x 1.00 m</t>
        </is>
      </c>
      <c r="D57" s="10" t="inlineStr">
        <is>
          <t>und</t>
        </is>
      </c>
      <c r="E57" s="11">
        <f>SUMIF('METRADO POR AMBIENTE'!$H$11:$H$262,F57,'METRADO POR AMBIENTE'!$G$11:$G$262)</f>
        <v/>
      </c>
      <c r="F57" s="12" t="inlineStr">
        <is>
          <t>M57</t>
        </is>
      </c>
    </row>
    <row r="58">
      <c r="A58" s="10" t="inlineStr">
        <is>
          <t>03.01.02.30</t>
        </is>
      </c>
      <c r="B58" s="10" t="inlineStr">
        <is>
          <t>M60</t>
        </is>
      </c>
      <c r="C58" s="5" t="inlineStr">
        <is>
          <t>PAPELERA DE PLÁSTICO CON PEDAL</t>
        </is>
      </c>
      <c r="D58" s="10" t="inlineStr">
        <is>
          <t>und</t>
        </is>
      </c>
      <c r="E58" s="11">
        <f>SUMIF('METRADO POR AMBIENTE'!$H$11:$H$262,F58,'METRADO POR AMBIENTE'!$G$11:$G$262)</f>
        <v/>
      </c>
      <c r="F58" s="12" t="inlineStr">
        <is>
          <t>M60</t>
        </is>
      </c>
    </row>
    <row r="59">
      <c r="A59" s="10" t="inlineStr">
        <is>
          <t>03.01.02.31</t>
        </is>
      </c>
      <c r="B59" s="10" t="inlineStr">
        <is>
          <t>M61</t>
        </is>
      </c>
      <c r="C59" s="5" t="inlineStr">
        <is>
          <t>VELADOR DE MADERA 0.45 x 0.50 m</t>
        </is>
      </c>
      <c r="D59" s="10" t="inlineStr">
        <is>
          <t>und</t>
        </is>
      </c>
      <c r="E59" s="11">
        <f>SUMIF('METRADO POR AMBIENTE'!$H$11:$H$262,F59,'METRADO POR AMBIENTE'!$G$11:$G$262)</f>
        <v/>
      </c>
      <c r="F59" s="12" t="inlineStr">
        <is>
          <t>M61</t>
        </is>
      </c>
    </row>
    <row r="60">
      <c r="A60" s="10" t="inlineStr">
        <is>
          <t>03.01.02.32</t>
        </is>
      </c>
      <c r="B60" s="10" t="inlineStr">
        <is>
          <t>M62</t>
        </is>
      </c>
      <c r="C60" s="5" t="inlineStr">
        <is>
          <t>CESTO BOTA PAPELES DE ACERO CON PEDAL</t>
        </is>
      </c>
      <c r="D60" s="10" t="inlineStr">
        <is>
          <t>und</t>
        </is>
      </c>
      <c r="E60" s="11">
        <f>SUMIF('METRADO POR AMBIENTE'!$H$11:$H$262,F60,'METRADO POR AMBIENTE'!$G$11:$G$262)</f>
        <v/>
      </c>
      <c r="F60" s="12" t="inlineStr">
        <is>
          <t>M62</t>
        </is>
      </c>
    </row>
    <row r="61">
      <c r="A61" s="10" t="inlineStr">
        <is>
          <t>03.01.02.33</t>
        </is>
      </c>
      <c r="B61" s="10" t="inlineStr">
        <is>
          <t>M63</t>
        </is>
      </c>
      <c r="C61" s="5" t="inlineStr">
        <is>
          <t>SOFÁ DE 3 CUERPOS 0.55 x 1.50 x 0.44 m</t>
        </is>
      </c>
      <c r="D61" s="10" t="inlineStr">
        <is>
          <t>und</t>
        </is>
      </c>
      <c r="E61" s="11">
        <f>SUMIF('METRADO POR AMBIENTE'!$H$11:$H$262,F61,'METRADO POR AMBIENTE'!$G$11:$G$262)</f>
        <v/>
      </c>
      <c r="F61" s="12" t="inlineStr">
        <is>
          <t>M63</t>
        </is>
      </c>
    </row>
    <row r="62">
      <c r="A62" s="10" t="inlineStr">
        <is>
          <t>03.01.02.34</t>
        </is>
      </c>
      <c r="B62" s="10" t="inlineStr">
        <is>
          <t>M64</t>
        </is>
      </c>
      <c r="C62" s="5" t="inlineStr">
        <is>
          <t>CAMAROTE DE UNA PLAZA Y MEDIA, INCLUYE COLCHÓN</t>
        </is>
      </c>
      <c r="D62" s="10" t="inlineStr">
        <is>
          <t>und</t>
        </is>
      </c>
      <c r="E62" s="11">
        <f>SUMIF('METRADO POR AMBIENTE'!$H$11:$H$262,F62,'METRADO POR AMBIENTE'!$G$11:$G$262)</f>
        <v/>
      </c>
      <c r="F62" s="12" t="inlineStr">
        <is>
          <t>M64</t>
        </is>
      </c>
    </row>
    <row r="63">
      <c r="A63" s="10" t="inlineStr">
        <is>
          <t>03.01.02.35</t>
        </is>
      </c>
      <c r="B63" s="10" t="inlineStr">
        <is>
          <t>M64</t>
        </is>
      </c>
      <c r="C63" s="5" t="inlineStr">
        <is>
          <t>CANASTILLA MÓVIL CON RUEDAS PARA PELOTAS 1.00 x 0.80 x 1.00 m</t>
        </is>
      </c>
      <c r="D63" s="10" t="inlineStr">
        <is>
          <t>und</t>
        </is>
      </c>
      <c r="E63" s="11">
        <f>SUMIF('METRADO POR AMBIENTE'!$H$11:$H$262,F63,'METRADO POR AMBIENTE'!$G$11:$G$262)</f>
        <v/>
      </c>
      <c r="F63" s="12" t="inlineStr">
        <is>
          <t>M64-C</t>
        </is>
      </c>
    </row>
    <row r="64">
      <c r="A64" s="10" t="inlineStr">
        <is>
          <t>03.01.02.36</t>
        </is>
      </c>
      <c r="B64" s="10" t="inlineStr">
        <is>
          <t>M65</t>
        </is>
      </c>
      <c r="C64" s="5" t="inlineStr">
        <is>
          <t>CAMILLA METÁLICA RECLINABLE CON RESPALDO Y RUEDAS 1.80 x 0.60 x 0.70 m</t>
        </is>
      </c>
      <c r="D64" s="10" t="inlineStr">
        <is>
          <t>und</t>
        </is>
      </c>
      <c r="E64" s="11">
        <f>SUMIF('METRADO POR AMBIENTE'!$H$11:$H$262,F64,'METRADO POR AMBIENTE'!$G$11:$G$262)</f>
        <v/>
      </c>
      <c r="F64" s="12" t="inlineStr">
        <is>
          <t>M65</t>
        </is>
      </c>
    </row>
    <row r="65">
      <c r="A65" s="10" t="inlineStr">
        <is>
          <t>03.01.02.37</t>
        </is>
      </c>
      <c r="B65" s="10" t="inlineStr">
        <is>
          <t>M67</t>
        </is>
      </c>
      <c r="C65" s="5" t="inlineStr">
        <is>
          <t>ESCALERA METÁLICA DE DOS PELDAÑOS 0.40 x 0.40 x 0.36 m</t>
        </is>
      </c>
      <c r="D65" s="10" t="inlineStr">
        <is>
          <t>und</t>
        </is>
      </c>
      <c r="E65" s="11">
        <f>SUMIF('METRADO POR AMBIENTE'!$H$11:$H$262,F65,'METRADO POR AMBIENTE'!$G$11:$G$262)</f>
        <v/>
      </c>
      <c r="F65" s="12" t="inlineStr">
        <is>
          <t>M67</t>
        </is>
      </c>
    </row>
    <row r="66">
      <c r="A66" s="10" t="inlineStr">
        <is>
          <t>03.01.02.38</t>
        </is>
      </c>
      <c r="B66" s="10" t="inlineStr">
        <is>
          <t>M68</t>
        </is>
      </c>
      <c r="C66" s="5" t="inlineStr">
        <is>
          <t>PARIHUELA DE MADERA 0.90 x 0.50 x 0.20 m</t>
        </is>
      </c>
      <c r="D66" s="10" t="inlineStr">
        <is>
          <t>und</t>
        </is>
      </c>
      <c r="E66" s="11">
        <f>SUMIF('METRADO POR AMBIENTE'!$H$11:$H$262,F66,'METRADO POR AMBIENTE'!$G$11:$G$262)</f>
        <v/>
      </c>
      <c r="F66" s="12" t="inlineStr">
        <is>
          <t>M68</t>
        </is>
      </c>
    </row>
    <row r="67">
      <c r="A67" s="10" t="inlineStr">
        <is>
          <t>03.01.02.39</t>
        </is>
      </c>
      <c r="B67" s="10" t="inlineStr">
        <is>
          <t>M69</t>
        </is>
      </c>
      <c r="C67" s="5" t="inlineStr">
        <is>
          <t>PIZARRA ACRÍLICA 4.20 x 1.20 m, INCLUYE ACCESORIOS DE FIJACIÓN</t>
        </is>
      </c>
      <c r="D67" s="10" t="inlineStr">
        <is>
          <t>und</t>
        </is>
      </c>
      <c r="E67" s="11">
        <f>SUMIF('METRADO POR AMBIENTE'!$H$11:$H$262,F67,'METRADO POR AMBIENTE'!$G$11:$G$262)</f>
        <v/>
      </c>
      <c r="F67" s="12" t="inlineStr">
        <is>
          <t>M69</t>
        </is>
      </c>
    </row>
    <row r="68">
      <c r="A68" s="10" t="inlineStr">
        <is>
          <t>03.01.02.40</t>
        </is>
      </c>
      <c r="B68" s="10" t="inlineStr">
        <is>
          <t>M70</t>
        </is>
      </c>
      <c r="C68" s="5" t="inlineStr">
        <is>
          <t>BOTIQUÍN DE MADERA DE PRIMEROS AUXILIOS CON DOS DIVISIONES Y UNA PUERTA 0.30 x 0.15 x 0.40 m, INCLUYE MEDICAMENTOS</t>
        </is>
      </c>
      <c r="D68" s="10" t="inlineStr">
        <is>
          <t>und</t>
        </is>
      </c>
      <c r="E68" s="11">
        <f>SUMIF('METRADO POR AMBIENTE'!$H$11:$H$262,F68,'METRADO POR AMBIENTE'!$G$11:$G$262)</f>
        <v/>
      </c>
      <c r="F68" s="12" t="inlineStr">
        <is>
          <t>M70</t>
        </is>
      </c>
    </row>
    <row r="69">
      <c r="A69" s="10" t="inlineStr">
        <is>
          <t>03.01.02.41</t>
        </is>
      </c>
      <c r="B69" s="10" t="inlineStr">
        <is>
          <t>M71</t>
        </is>
      </c>
      <c r="C69" s="5" t="inlineStr">
        <is>
          <t>COCHE MULTIUSOS MÓVIL DE ACERO INOXIDABLE 0.80 x 0.40 x 0.90 m</t>
        </is>
      </c>
      <c r="D69" s="10" t="inlineStr">
        <is>
          <t>und</t>
        </is>
      </c>
      <c r="E69" s="11">
        <f>SUMIF('METRADO POR AMBIENTE'!$H$11:$H$262,F69,'METRADO POR AMBIENTE'!$G$11:$G$262)</f>
        <v/>
      </c>
      <c r="F69" s="12" t="inlineStr">
        <is>
          <t>M71</t>
        </is>
      </c>
    </row>
    <row r="70">
      <c r="A70" s="10" t="inlineStr">
        <is>
          <t>03.01.02.42</t>
        </is>
      </c>
      <c r="B70" s="10" t="inlineStr">
        <is>
          <t>M73</t>
        </is>
      </c>
      <c r="C70" s="5" t="inlineStr">
        <is>
          <t>ESTACIÓN DE SERVIDO CON TRES BANDEJAS, UNA PUERTA Y UNA CUBIERTA 1.20 x 0.70 x 0.90 m</t>
        </is>
      </c>
      <c r="D70" s="10" t="inlineStr">
        <is>
          <t>und</t>
        </is>
      </c>
      <c r="E70" s="11">
        <f>SUMIF('METRADO POR AMBIENTE'!$H$11:$H$262,F70,'METRADO POR AMBIENTE'!$G$11:$G$262)</f>
        <v/>
      </c>
      <c r="F70" s="12" t="inlineStr">
        <is>
          <t>M73</t>
        </is>
      </c>
    </row>
    <row r="71">
      <c r="A71" s="10" t="inlineStr">
        <is>
          <t>03.01.02.43</t>
        </is>
      </c>
      <c r="B71" s="10" t="inlineStr">
        <is>
          <t>M75</t>
        </is>
      </c>
      <c r="C71" s="5" t="inlineStr">
        <is>
          <t>CONTENEDOR CON TAPA PARA RESIDUOS SÓLIDOS 0.80 x 1.00 x 1.00 m</t>
        </is>
      </c>
      <c r="D71" s="10" t="inlineStr">
        <is>
          <t>und</t>
        </is>
      </c>
      <c r="E71" s="11">
        <f>SUMIF('METRADO POR AMBIENTE'!$H$11:$H$262,F71,'METRADO POR AMBIENTE'!$G$11:$G$262)</f>
        <v/>
      </c>
      <c r="F71" s="12" t="inlineStr">
        <is>
          <t>M75</t>
        </is>
      </c>
    </row>
    <row r="72">
      <c r="A72" s="10" t="inlineStr">
        <is>
          <t>03.01.02.44</t>
        </is>
      </c>
      <c r="B72" s="10" t="inlineStr">
        <is>
          <t>M76</t>
        </is>
      </c>
      <c r="C72" s="5" t="inlineStr">
        <is>
          <t>PORTAPAPEL HIGIÉNICO</t>
        </is>
      </c>
      <c r="D72" s="10" t="inlineStr">
        <is>
          <t>und</t>
        </is>
      </c>
      <c r="E72" s="11">
        <f>SUMIF('METRADO POR AMBIENTE'!$H$11:$H$262,F72,'METRADO POR AMBIENTE'!$G$11:$G$262)</f>
        <v/>
      </c>
      <c r="F72" s="12" t="inlineStr">
        <is>
          <t>M76</t>
        </is>
      </c>
    </row>
    <row r="73">
      <c r="A73" s="10" t="inlineStr">
        <is>
          <t>03.01.02.45</t>
        </is>
      </c>
      <c r="B73" s="10" t="inlineStr">
        <is>
          <t>M77</t>
        </is>
      </c>
      <c r="C73" s="5" t="inlineStr">
        <is>
          <t>DISPENSADOR DE PAPEL TOALLA</t>
        </is>
      </c>
      <c r="D73" s="10" t="inlineStr">
        <is>
          <t>und</t>
        </is>
      </c>
      <c r="E73" s="11">
        <f>SUMIF('METRADO POR AMBIENTE'!$H$11:$H$262,F73,'METRADO POR AMBIENTE'!$G$11:$G$262)</f>
        <v/>
      </c>
      <c r="F73" s="12" t="inlineStr">
        <is>
          <t>M77</t>
        </is>
      </c>
    </row>
    <row r="74">
      <c r="A74" s="10" t="inlineStr">
        <is>
          <t>03.01.02.46</t>
        </is>
      </c>
      <c r="B74" s="10" t="inlineStr">
        <is>
          <t>M78</t>
        </is>
      </c>
      <c r="C74" s="5" t="inlineStr">
        <is>
          <t>CAMA DE DOS PLAZAS, INCLUYE COLCHÓN</t>
        </is>
      </c>
      <c r="D74" s="10" t="inlineStr">
        <is>
          <t>und</t>
        </is>
      </c>
      <c r="E74" s="11">
        <f>SUMIF('METRADO POR AMBIENTE'!$H$11:$H$262,F74,'METRADO POR AMBIENTE'!$G$11:$G$262)</f>
        <v/>
      </c>
      <c r="F74" s="12" t="inlineStr">
        <is>
          <t>M78</t>
        </is>
      </c>
    </row>
    <row r="75">
      <c r="A75" s="10" t="inlineStr">
        <is>
          <t>03.01.02.47</t>
        </is>
      </c>
      <c r="B75" s="10" t="inlineStr">
        <is>
          <t>M79</t>
        </is>
      </c>
      <c r="C75" s="5" t="inlineStr">
        <is>
          <t>CAMA CUNA DE UNA PLAZA, INCLUYE COLCHÓN</t>
        </is>
      </c>
      <c r="D75" s="10" t="inlineStr">
        <is>
          <t>und</t>
        </is>
      </c>
      <c r="E75" s="11">
        <f>SUMIF('METRADO POR AMBIENTE'!$H$11:$H$262,F75,'METRADO POR AMBIENTE'!$G$11:$G$262)</f>
        <v/>
      </c>
      <c r="F75" s="12" t="inlineStr">
        <is>
          <t>M79</t>
        </is>
      </c>
    </row>
    <row r="76">
      <c r="A76" s="9" t="inlineStr">
        <is>
          <t>03.01.03</t>
        </is>
      </c>
      <c r="B76" s="10" t="n"/>
      <c r="C76" s="3" t="inlineStr">
        <is>
          <t>IMPLEMENTOS</t>
        </is>
      </c>
      <c r="D76" s="10" t="n"/>
      <c r="E76" s="10" t="n"/>
    </row>
    <row r="77">
      <c r="A77" s="9" t="inlineStr">
        <is>
          <t>03.01.03.01</t>
        </is>
      </c>
      <c r="B77" s="10" t="n"/>
      <c r="C77" s="3" t="inlineStr">
        <is>
          <t>SALA DE ESPERA Y SALA DE VISITA - E-01</t>
        </is>
      </c>
      <c r="D77" s="10" t="n"/>
      <c r="E77" s="10" t="n"/>
    </row>
    <row r="78">
      <c r="A78" s="10" t="inlineStr">
        <is>
          <t>03.01.03.01.01</t>
        </is>
      </c>
      <c r="B78" s="10" t="inlineStr">
        <is>
          <t>K20</t>
        </is>
      </c>
      <c r="C78" s="5" t="inlineStr">
        <is>
          <t>COJINES</t>
        </is>
      </c>
      <c r="D78" s="10" t="inlineStr">
        <is>
          <t>und</t>
        </is>
      </c>
      <c r="E78" s="11">
        <f>SUMIF('METRADO POR AMBIENTE'!$H$11:$H$262,F78,'METRADO POR AMBIENTE'!$G$11:$G$262)</f>
        <v/>
      </c>
      <c r="F78" s="12" t="inlineStr">
        <is>
          <t>K:E-01:SALA DE ESPERA Y SALA DE VISITA:K20</t>
        </is>
      </c>
    </row>
    <row r="79">
      <c r="A79" s="10" t="inlineStr">
        <is>
          <t>03.01.03.01.02</t>
        </is>
      </c>
      <c r="B79" s="10" t="inlineStr">
        <is>
          <t>K78</t>
        </is>
      </c>
      <c r="C79" s="5" t="inlineStr">
        <is>
          <t>PISO ENCASTRABLE DE GOMA 25 mm</t>
        </is>
      </c>
      <c r="D79" s="10" t="inlineStr">
        <is>
          <t>und</t>
        </is>
      </c>
      <c r="E79" s="11">
        <f>SUMIF('METRADO POR AMBIENTE'!$H$11:$H$262,F79,'METRADO POR AMBIENTE'!$G$11:$G$262)</f>
        <v/>
      </c>
      <c r="F79" s="12" t="inlineStr">
        <is>
          <t>K:E-01:SALA DE ESPERA Y SALA DE VISITA:K78</t>
        </is>
      </c>
    </row>
    <row r="80">
      <c r="A80" s="9" t="inlineStr">
        <is>
          <t>03.01.03.02</t>
        </is>
      </c>
      <c r="B80" s="10" t="n"/>
      <c r="C80" s="3" t="inlineStr">
        <is>
          <t>SECRETARÍA Y ÁREA DE BIENVENIDA - E-01</t>
        </is>
      </c>
      <c r="D80" s="10" t="n"/>
      <c r="E80" s="10" t="n"/>
    </row>
    <row r="81">
      <c r="A81" s="10" t="inlineStr">
        <is>
          <t>03.01.03.02.01</t>
        </is>
      </c>
      <c r="B81" s="10" t="inlineStr">
        <is>
          <t>K20</t>
        </is>
      </c>
      <c r="C81" s="5" t="inlineStr">
        <is>
          <t>COJINES</t>
        </is>
      </c>
      <c r="D81" s="10" t="inlineStr">
        <is>
          <t>und</t>
        </is>
      </c>
      <c r="E81" s="11">
        <f>SUMIF('METRADO POR AMBIENTE'!$H$11:$H$262,F81,'METRADO POR AMBIENTE'!$G$11:$G$262)</f>
        <v/>
      </c>
      <c r="F81" s="12" t="inlineStr">
        <is>
          <t>K:E-01:SECRETARÍA Y ÁREA DE BIENVENIDA:K20</t>
        </is>
      </c>
    </row>
    <row r="82">
      <c r="A82" s="10" t="inlineStr">
        <is>
          <t>03.01.03.02.02</t>
        </is>
      </c>
      <c r="B82" s="10" t="inlineStr">
        <is>
          <t>K78</t>
        </is>
      </c>
      <c r="C82" s="5" t="inlineStr">
        <is>
          <t>PISO ENCASTRABLE DE GOMA 25 mm</t>
        </is>
      </c>
      <c r="D82" s="10" t="inlineStr">
        <is>
          <t>und</t>
        </is>
      </c>
      <c r="E82" s="11">
        <f>SUMIF('METRADO POR AMBIENTE'!$H$11:$H$262,F82,'METRADO POR AMBIENTE'!$G$11:$G$262)</f>
        <v/>
      </c>
      <c r="F82" s="12" t="inlineStr">
        <is>
          <t>K:E-01:SECRETARÍA Y ÁREA DE BIENVENIDA:K78</t>
        </is>
      </c>
    </row>
    <row r="83">
      <c r="A83" s="9" t="inlineStr">
        <is>
          <t>03.01.03.03</t>
        </is>
      </c>
      <c r="B83" s="10" t="n"/>
      <c r="C83" s="3" t="inlineStr">
        <is>
          <t>ALMACÉN DE DONACIONES, TÓPICO Y SS.HH. - E-02</t>
        </is>
      </c>
      <c r="D83" s="10" t="n"/>
      <c r="E83" s="10" t="n"/>
    </row>
    <row r="84">
      <c r="A84" s="10" t="inlineStr">
        <is>
          <t>03.01.03.03.01</t>
        </is>
      </c>
      <c r="B84" s="10" t="inlineStr">
        <is>
          <t>K32</t>
        </is>
      </c>
      <c r="C84" s="5" t="inlineStr">
        <is>
          <t>BIDÓN DE OXÍGENO MEDICINAL</t>
        </is>
      </c>
      <c r="D84" s="10" t="inlineStr">
        <is>
          <t>und</t>
        </is>
      </c>
      <c r="E84" s="11">
        <f>SUMIF('METRADO POR AMBIENTE'!$H$11:$H$262,F84,'METRADO POR AMBIENTE'!$G$11:$G$262)</f>
        <v/>
      </c>
      <c r="F84" s="12" t="inlineStr">
        <is>
          <t>K:E-02:ALMACÉN DE DONACIONES, TÓPICO Y SS.HH.:K32</t>
        </is>
      </c>
    </row>
    <row r="85">
      <c r="A85" s="10" t="inlineStr">
        <is>
          <t>03.01.03.03.02</t>
        </is>
      </c>
      <c r="B85" s="10" t="inlineStr">
        <is>
          <t>K33</t>
        </is>
      </c>
      <c r="C85" s="5" t="inlineStr">
        <is>
          <t>TENSIÓMETRO</t>
        </is>
      </c>
      <c r="D85" s="10" t="inlineStr">
        <is>
          <t>und</t>
        </is>
      </c>
      <c r="E85" s="11">
        <f>SUMIF('METRADO POR AMBIENTE'!$H$11:$H$262,F85,'METRADO POR AMBIENTE'!$G$11:$G$262)</f>
        <v/>
      </c>
      <c r="F85" s="12" t="inlineStr">
        <is>
          <t>K:E-02:ALMACÉN DE DONACIONES, TÓPICO Y SS.HH.:K33</t>
        </is>
      </c>
    </row>
    <row r="86">
      <c r="A86" s="10" t="inlineStr">
        <is>
          <t>03.01.03.03.03</t>
        </is>
      </c>
      <c r="B86" s="10" t="inlineStr">
        <is>
          <t>K34</t>
        </is>
      </c>
      <c r="C86" s="5" t="inlineStr">
        <is>
          <t>TERMÓMETRO DIGITAL</t>
        </is>
      </c>
      <c r="D86" s="10" t="inlineStr">
        <is>
          <t>und</t>
        </is>
      </c>
      <c r="E86" s="11">
        <f>SUMIF('METRADO POR AMBIENTE'!$H$11:$H$262,F86,'METRADO POR AMBIENTE'!$G$11:$G$262)</f>
        <v/>
      </c>
      <c r="F86" s="12" t="inlineStr">
        <is>
          <t>K:E-02:ALMACÉN DE DONACIONES, TÓPICO Y SS.HH.:K34</t>
        </is>
      </c>
    </row>
    <row r="87">
      <c r="A87" s="10" t="inlineStr">
        <is>
          <t>03.01.03.03.04</t>
        </is>
      </c>
      <c r="B87" s="10" t="inlineStr">
        <is>
          <t>K35</t>
        </is>
      </c>
      <c r="C87" s="5" t="inlineStr">
        <is>
          <t>ESTETOSCOPIO</t>
        </is>
      </c>
      <c r="D87" s="10" t="inlineStr">
        <is>
          <t>und</t>
        </is>
      </c>
      <c r="E87" s="11">
        <f>SUMIF('METRADO POR AMBIENTE'!$H$11:$H$262,F87,'METRADO POR AMBIENTE'!$G$11:$G$262)</f>
        <v/>
      </c>
      <c r="F87" s="12" t="inlineStr">
        <is>
          <t>K:E-02:ALMACÉN DE DONACIONES, TÓPICO Y SS.HH.:K35</t>
        </is>
      </c>
    </row>
    <row r="88">
      <c r="A88" s="9" t="inlineStr">
        <is>
          <t>03.01.03.04</t>
        </is>
      </c>
      <c r="B88" s="10" t="n"/>
      <c r="C88" s="3" t="inlineStr">
        <is>
          <t>TERAPIA GRUPAL - E-04</t>
        </is>
      </c>
      <c r="D88" s="10" t="n"/>
      <c r="E88" s="10" t="n"/>
    </row>
    <row r="89">
      <c r="A89" s="10" t="inlineStr">
        <is>
          <t>03.01.03.04.01</t>
        </is>
      </c>
      <c r="B89" s="10" t="inlineStr">
        <is>
          <t>K78</t>
        </is>
      </c>
      <c r="C89" s="5" t="inlineStr">
        <is>
          <t>PISO ENCASTRABLE DE GOMA 25 mm</t>
        </is>
      </c>
      <c r="D89" s="10" t="inlineStr">
        <is>
          <t>und</t>
        </is>
      </c>
      <c r="E89" s="11">
        <f>SUMIF('METRADO POR AMBIENTE'!$H$11:$H$262,F89,'METRADO POR AMBIENTE'!$G$11:$G$262)</f>
        <v/>
      </c>
      <c r="F89" s="12" t="inlineStr">
        <is>
          <t>K:E-04:TERAPIA GRUPAL:K78</t>
        </is>
      </c>
    </row>
    <row r="90">
      <c r="A90" s="9" t="inlineStr">
        <is>
          <t>03.01.03.05</t>
        </is>
      </c>
      <c r="B90" s="10" t="n"/>
      <c r="C90" s="3" t="inlineStr">
        <is>
          <t>MÓDULO INFANTIL - E-05</t>
        </is>
      </c>
      <c r="D90" s="10" t="n"/>
      <c r="E90" s="10" t="n"/>
    </row>
    <row r="91">
      <c r="A91" s="10" t="inlineStr">
        <is>
          <t>03.01.03.05.01</t>
        </is>
      </c>
      <c r="B91" s="10" t="inlineStr">
        <is>
          <t>K20</t>
        </is>
      </c>
      <c r="C91" s="5" t="inlineStr">
        <is>
          <t>COJINES</t>
        </is>
      </c>
      <c r="D91" s="10" t="inlineStr">
        <is>
          <t>und</t>
        </is>
      </c>
      <c r="E91" s="11">
        <f>SUMIF('METRADO POR AMBIENTE'!$H$11:$H$262,F91,'METRADO POR AMBIENTE'!$G$11:$G$262)</f>
        <v/>
      </c>
      <c r="F91" s="12" t="inlineStr">
        <is>
          <t>K:E-05:MÓDULO INFANTIL:K20</t>
        </is>
      </c>
    </row>
    <row r="92">
      <c r="A92" s="10" t="inlineStr">
        <is>
          <t>03.01.03.05.02</t>
        </is>
      </c>
      <c r="B92" s="10" t="inlineStr">
        <is>
          <t>K31</t>
        </is>
      </c>
      <c r="C92" s="5" t="inlineStr">
        <is>
          <t>PISCINA DE PELOTAS 1.50 m x 0.33 m</t>
        </is>
      </c>
      <c r="D92" s="10" t="inlineStr">
        <is>
          <t>und</t>
        </is>
      </c>
      <c r="E92" s="11">
        <f>SUMIF('METRADO POR AMBIENTE'!$H$11:$H$262,F92,'METRADO POR AMBIENTE'!$G$11:$G$262)</f>
        <v/>
      </c>
      <c r="F92" s="12" t="inlineStr">
        <is>
          <t>K:E-05:MÓDULO INFANTIL:K31</t>
        </is>
      </c>
    </row>
    <row r="93">
      <c r="A93" s="10" t="inlineStr">
        <is>
          <t>03.01.03.05.03</t>
        </is>
      </c>
      <c r="B93" s="10" t="inlineStr">
        <is>
          <t>K32</t>
        </is>
      </c>
      <c r="C93" s="5" t="inlineStr">
        <is>
          <t>TOBOGÁN CON ESCALADOR</t>
        </is>
      </c>
      <c r="D93" s="10" t="inlineStr">
        <is>
          <t>und</t>
        </is>
      </c>
      <c r="E93" s="11">
        <f>SUMIF('METRADO POR AMBIENTE'!$H$11:$H$262,F93,'METRADO POR AMBIENTE'!$G$11:$G$262)</f>
        <v/>
      </c>
      <c r="F93" s="12" t="inlineStr">
        <is>
          <t>K:E-05:MÓDULO INFANTIL:K32</t>
        </is>
      </c>
    </row>
    <row r="94">
      <c r="A94" s="10" t="inlineStr">
        <is>
          <t>03.01.03.05.04</t>
        </is>
      </c>
      <c r="B94" s="10" t="inlineStr">
        <is>
          <t>K33</t>
        </is>
      </c>
      <c r="C94" s="5" t="inlineStr">
        <is>
          <t>JUEGO DE TEATRO PARA NIÑOS</t>
        </is>
      </c>
      <c r="D94" s="10" t="inlineStr">
        <is>
          <t>und</t>
        </is>
      </c>
      <c r="E94" s="11">
        <f>SUMIF('METRADO POR AMBIENTE'!$H$11:$H$262,F94,'METRADO POR AMBIENTE'!$G$11:$G$262)</f>
        <v/>
      </c>
      <c r="F94" s="12" t="inlineStr">
        <is>
          <t>K:E-05:MÓDULO INFANTIL:K33</t>
        </is>
      </c>
    </row>
    <row r="95">
      <c r="A95" s="10" t="inlineStr">
        <is>
          <t>03.01.03.05.05</t>
        </is>
      </c>
      <c r="B95" s="10" t="inlineStr">
        <is>
          <t>K78</t>
        </is>
      </c>
      <c r="C95" s="5" t="inlineStr">
        <is>
          <t>PISO ENCASTRABLE DE GOMA 25 mm</t>
        </is>
      </c>
      <c r="D95" s="10" t="inlineStr">
        <is>
          <t>und</t>
        </is>
      </c>
      <c r="E95" s="11">
        <f>SUMIF('METRADO POR AMBIENTE'!$H$11:$H$262,F95,'METRADO POR AMBIENTE'!$G$11:$G$262)</f>
        <v/>
      </c>
      <c r="F95" s="12" t="inlineStr">
        <is>
          <t>K:E-05:MÓDULO INFANTIL:K78</t>
        </is>
      </c>
    </row>
    <row r="96">
      <c r="A96" s="9" t="inlineStr">
        <is>
          <t>03.01.03.06</t>
        </is>
      </c>
      <c r="B96" s="10" t="n"/>
      <c r="C96" s="3" t="inlineStr">
        <is>
          <t>ALMACÉN DE IMPLEMENTOS DEPORTIVOS - E-09</t>
        </is>
      </c>
      <c r="D96" s="10" t="n"/>
      <c r="E96" s="10" t="n"/>
    </row>
    <row r="97">
      <c r="A97" s="10" t="inlineStr">
        <is>
          <t>03.01.03.06.01</t>
        </is>
      </c>
      <c r="B97" s="10" t="inlineStr">
        <is>
          <t>K37</t>
        </is>
      </c>
      <c r="C97" s="5" t="inlineStr">
        <is>
          <t>PELOTAS DE BÁSQUET N.° 6</t>
        </is>
      </c>
      <c r="D97" s="10" t="inlineStr">
        <is>
          <t>und</t>
        </is>
      </c>
      <c r="E97" s="11">
        <f>SUMIF('METRADO POR AMBIENTE'!$H$11:$H$262,F97,'METRADO POR AMBIENTE'!$G$11:$G$262)</f>
        <v/>
      </c>
      <c r="F97" s="12" t="inlineStr">
        <is>
          <t>K:E-09:ALMACÉN DE IMPLEMENTOS DEPORTIVOS:K37</t>
        </is>
      </c>
    </row>
    <row r="98">
      <c r="A98" s="10" t="inlineStr">
        <is>
          <t>03.01.03.06.02</t>
        </is>
      </c>
      <c r="B98" s="10" t="inlineStr">
        <is>
          <t>K38</t>
        </is>
      </c>
      <c r="C98" s="5" t="inlineStr">
        <is>
          <t>PELOTAS DE BÁSQUET N.° 7</t>
        </is>
      </c>
      <c r="D98" s="10" t="inlineStr">
        <is>
          <t>und</t>
        </is>
      </c>
      <c r="E98" s="11">
        <f>SUMIF('METRADO POR AMBIENTE'!$H$11:$H$262,F98,'METRADO POR AMBIENTE'!$G$11:$G$262)</f>
        <v/>
      </c>
      <c r="F98" s="12" t="inlineStr">
        <is>
          <t>K:E-09:ALMACÉN DE IMPLEMENTOS DEPORTIVOS:K38</t>
        </is>
      </c>
    </row>
    <row r="99">
      <c r="A99" s="10" t="inlineStr">
        <is>
          <t>03.01.03.06.03</t>
        </is>
      </c>
      <c r="B99" s="10" t="inlineStr">
        <is>
          <t>K40</t>
        </is>
      </c>
      <c r="C99" s="5" t="inlineStr">
        <is>
          <t>PELOTAS DE FÚTBOL N.° 5</t>
        </is>
      </c>
      <c r="D99" s="10" t="inlineStr">
        <is>
          <t>und</t>
        </is>
      </c>
      <c r="E99" s="11">
        <f>SUMIF('METRADO POR AMBIENTE'!$H$11:$H$262,F99,'METRADO POR AMBIENTE'!$G$11:$G$262)</f>
        <v/>
      </c>
      <c r="F99" s="12" t="inlineStr">
        <is>
          <t>K:E-09:ALMACÉN DE IMPLEMENTOS DEPORTIVOS:K40</t>
        </is>
      </c>
    </row>
    <row r="100">
      <c r="A100" s="10" t="inlineStr">
        <is>
          <t>03.01.03.06.04</t>
        </is>
      </c>
      <c r="B100" s="10" t="inlineStr">
        <is>
          <t>K41</t>
        </is>
      </c>
      <c r="C100" s="5" t="inlineStr">
        <is>
          <t>PELOTAS DE VÓLEY N.° 4</t>
        </is>
      </c>
      <c r="D100" s="10" t="inlineStr">
        <is>
          <t>und</t>
        </is>
      </c>
      <c r="E100" s="11">
        <f>SUMIF('METRADO POR AMBIENTE'!$H$11:$H$262,F100,'METRADO POR AMBIENTE'!$G$11:$G$262)</f>
        <v/>
      </c>
      <c r="F100" s="12" t="inlineStr">
        <is>
          <t>K:E-09:ALMACÉN DE IMPLEMENTOS DEPORTIVOS:K41</t>
        </is>
      </c>
    </row>
    <row r="101">
      <c r="A101" s="10" t="inlineStr">
        <is>
          <t>03.01.03.06.05</t>
        </is>
      </c>
      <c r="B101" s="10" t="inlineStr">
        <is>
          <t>K43</t>
        </is>
      </c>
      <c r="C101" s="5" t="inlineStr">
        <is>
          <t>TABURETE DE MADERA PARA GIMNASIA</t>
        </is>
      </c>
      <c r="D101" s="10" t="inlineStr">
        <is>
          <t>und</t>
        </is>
      </c>
      <c r="E101" s="11">
        <f>SUMIF('METRADO POR AMBIENTE'!$H$11:$H$262,F101,'METRADO POR AMBIENTE'!$G$11:$G$262)</f>
        <v/>
      </c>
      <c r="F101" s="12" t="inlineStr">
        <is>
          <t>K:E-09:ALMACÉN DE IMPLEMENTOS DEPORTIVOS:K43</t>
        </is>
      </c>
    </row>
    <row r="102">
      <c r="A102" s="10" t="inlineStr">
        <is>
          <t>03.01.03.06.06</t>
        </is>
      </c>
      <c r="B102" s="10" t="inlineStr">
        <is>
          <t>K44</t>
        </is>
      </c>
      <c r="C102" s="5" t="inlineStr">
        <is>
          <t>INFLADOR DE PIE PARA PELOTAS</t>
        </is>
      </c>
      <c r="D102" s="10" t="inlineStr">
        <is>
          <t>und</t>
        </is>
      </c>
      <c r="E102" s="11">
        <f>SUMIF('METRADO POR AMBIENTE'!$H$11:$H$262,F102,'METRADO POR AMBIENTE'!$G$11:$G$262)</f>
        <v/>
      </c>
      <c r="F102" s="12" t="inlineStr">
        <is>
          <t>K:E-09:ALMACÉN DE IMPLEMENTOS DEPORTIVOS:K44</t>
        </is>
      </c>
    </row>
    <row r="103">
      <c r="A103" s="10" t="inlineStr">
        <is>
          <t>03.01.03.06.07</t>
        </is>
      </c>
      <c r="B103" s="10" t="inlineStr">
        <is>
          <t>K45</t>
        </is>
      </c>
      <c r="C103" s="5" t="inlineStr">
        <is>
          <t>RIEL DE EQUILIBRIO</t>
        </is>
      </c>
      <c r="D103" s="10" t="inlineStr">
        <is>
          <t>und</t>
        </is>
      </c>
      <c r="E103" s="11">
        <f>SUMIF('METRADO POR AMBIENTE'!$H$11:$H$262,F103,'METRADO POR AMBIENTE'!$G$11:$G$262)</f>
        <v/>
      </c>
      <c r="F103" s="12" t="inlineStr">
        <is>
          <t>K:E-09:ALMACÉN DE IMPLEMENTOS DEPORTIVOS:K45</t>
        </is>
      </c>
    </row>
    <row r="104">
      <c r="A104" s="10" t="inlineStr">
        <is>
          <t>03.01.03.06.08</t>
        </is>
      </c>
      <c r="B104" s="10" t="inlineStr">
        <is>
          <t>K46</t>
        </is>
      </c>
      <c r="C104" s="5" t="inlineStr">
        <is>
          <t>AROS DE ALUMINIO</t>
        </is>
      </c>
      <c r="D104" s="10" t="inlineStr">
        <is>
          <t>und</t>
        </is>
      </c>
      <c r="E104" s="11">
        <f>SUMIF('METRADO POR AMBIENTE'!$H$11:$H$262,F104,'METRADO POR AMBIENTE'!$G$11:$G$262)</f>
        <v/>
      </c>
      <c r="F104" s="12" t="inlineStr">
        <is>
          <t>K:E-09:ALMACÉN DE IMPLEMENTOS DEPORTIVOS:K46</t>
        </is>
      </c>
    </row>
    <row r="105">
      <c r="A105" s="10" t="inlineStr">
        <is>
          <t>03.01.03.06.09</t>
        </is>
      </c>
      <c r="B105" s="10" t="inlineStr">
        <is>
          <t>K47</t>
        </is>
      </c>
      <c r="C105" s="5" t="inlineStr">
        <is>
          <t>DISCO DE GOMA DE 1 kg</t>
        </is>
      </c>
      <c r="D105" s="10" t="inlineStr">
        <is>
          <t>und</t>
        </is>
      </c>
      <c r="E105" s="11">
        <f>SUMIF('METRADO POR AMBIENTE'!$H$11:$H$262,F105,'METRADO POR AMBIENTE'!$G$11:$G$262)</f>
        <v/>
      </c>
      <c r="F105" s="12" t="inlineStr">
        <is>
          <t>K:E-09:ALMACÉN DE IMPLEMENTOS DEPORTIVOS:K47</t>
        </is>
      </c>
    </row>
    <row r="106">
      <c r="A106" s="10" t="inlineStr">
        <is>
          <t>03.01.03.06.10</t>
        </is>
      </c>
      <c r="B106" s="10" t="inlineStr">
        <is>
          <t>K48</t>
        </is>
      </c>
      <c r="C106" s="5" t="inlineStr">
        <is>
          <t>BALA DE 1 kg</t>
        </is>
      </c>
      <c r="D106" s="10" t="inlineStr">
        <is>
          <t>und</t>
        </is>
      </c>
      <c r="E106" s="11">
        <f>SUMIF('METRADO POR AMBIENTE'!$H$11:$H$262,F106,'METRADO POR AMBIENTE'!$G$11:$G$262)</f>
        <v/>
      </c>
      <c r="F106" s="12" t="inlineStr">
        <is>
          <t>K:E-09:ALMACÉN DE IMPLEMENTOS DEPORTIVOS:K48</t>
        </is>
      </c>
    </row>
    <row r="107">
      <c r="A107" s="10" t="inlineStr">
        <is>
          <t>03.01.03.06.11</t>
        </is>
      </c>
      <c r="B107" s="10" t="inlineStr">
        <is>
          <t>K49</t>
        </is>
      </c>
      <c r="C107" s="5" t="inlineStr">
        <is>
          <t>JABALINA DE 600 g</t>
        </is>
      </c>
      <c r="D107" s="10" t="inlineStr">
        <is>
          <t>und</t>
        </is>
      </c>
      <c r="E107" s="11">
        <f>SUMIF('METRADO POR AMBIENTE'!$H$11:$H$262,F107,'METRADO POR AMBIENTE'!$G$11:$G$262)</f>
        <v/>
      </c>
      <c r="F107" s="12" t="inlineStr">
        <is>
          <t>K:E-09:ALMACÉN DE IMPLEMENTOS DEPORTIVOS:K49</t>
        </is>
      </c>
    </row>
    <row r="108">
      <c r="A108" s="10" t="inlineStr">
        <is>
          <t>03.01.03.06.12</t>
        </is>
      </c>
      <c r="B108" s="10" t="inlineStr">
        <is>
          <t>K50</t>
        </is>
      </c>
      <c r="C108" s="5" t="inlineStr">
        <is>
          <t>JABALINA DE 700 g</t>
        </is>
      </c>
      <c r="D108" s="10" t="inlineStr">
        <is>
          <t>und</t>
        </is>
      </c>
      <c r="E108" s="11">
        <f>SUMIF('METRADO POR AMBIENTE'!$H$11:$H$262,F108,'METRADO POR AMBIENTE'!$G$11:$G$262)</f>
        <v/>
      </c>
      <c r="F108" s="12" t="inlineStr">
        <is>
          <t>K:E-09:ALMACÉN DE IMPLEMENTOS DEPORTIVOS:K50</t>
        </is>
      </c>
    </row>
    <row r="109">
      <c r="A109" s="10" t="inlineStr">
        <is>
          <t>03.01.03.06.13</t>
        </is>
      </c>
      <c r="B109" s="10" t="inlineStr">
        <is>
          <t>K51</t>
        </is>
      </c>
      <c r="C109" s="5" t="inlineStr">
        <is>
          <t>VALLAS DE OBSTÁCULO REGULABLE</t>
        </is>
      </c>
      <c r="D109" s="10" t="inlineStr">
        <is>
          <t>und</t>
        </is>
      </c>
      <c r="E109" s="11">
        <f>SUMIF('METRADO POR AMBIENTE'!$H$11:$H$262,F109,'METRADO POR AMBIENTE'!$G$11:$G$262)</f>
        <v/>
      </c>
      <c r="F109" s="12" t="inlineStr">
        <is>
          <t>K:E-09:ALMACÉN DE IMPLEMENTOS DEPORTIVOS:K51</t>
        </is>
      </c>
    </row>
    <row r="110">
      <c r="A110" s="10" t="inlineStr">
        <is>
          <t>03.01.03.06.14</t>
        </is>
      </c>
      <c r="B110" s="10" t="inlineStr">
        <is>
          <t>K52</t>
        </is>
      </c>
      <c r="C110" s="5" t="inlineStr">
        <is>
          <t>TESTIMONIO DE RELEVO DE PVC</t>
        </is>
      </c>
      <c r="D110" s="10" t="inlineStr">
        <is>
          <t>und</t>
        </is>
      </c>
      <c r="E110" s="11">
        <f>SUMIF('METRADO POR AMBIENTE'!$H$11:$H$262,F110,'METRADO POR AMBIENTE'!$G$11:$G$262)</f>
        <v/>
      </c>
      <c r="F110" s="12" t="inlineStr">
        <is>
          <t>K:E-09:ALMACÉN DE IMPLEMENTOS DEPORTIVOS:K52</t>
        </is>
      </c>
    </row>
    <row r="111">
      <c r="A111" s="10" t="inlineStr">
        <is>
          <t>03.01.03.06.15</t>
        </is>
      </c>
      <c r="B111" s="10" t="inlineStr">
        <is>
          <t>K53</t>
        </is>
      </c>
      <c r="C111" s="5" t="inlineStr">
        <is>
          <t>COLCHONETA SIMPLE FORRADA CON CUERO 1.50 x 0.50 m</t>
        </is>
      </c>
      <c r="D111" s="10" t="inlineStr">
        <is>
          <t>und</t>
        </is>
      </c>
      <c r="E111" s="11">
        <f>SUMIF('METRADO POR AMBIENTE'!$H$11:$H$262,F111,'METRADO POR AMBIENTE'!$G$11:$G$262)</f>
        <v/>
      </c>
      <c r="F111" s="12" t="inlineStr">
        <is>
          <t>K:E-09:ALMACÉN DE IMPLEMENTOS DEPORTIVOS:K53</t>
        </is>
      </c>
    </row>
    <row r="112">
      <c r="A112" s="10" t="inlineStr">
        <is>
          <t>03.01.03.06.16</t>
        </is>
      </c>
      <c r="B112" s="10" t="inlineStr">
        <is>
          <t>K73</t>
        </is>
      </c>
      <c r="C112" s="5" t="inlineStr">
        <is>
          <t>KIT DE VÓLEY: RED Y PARANTES TELESCÓPICOS</t>
        </is>
      </c>
      <c r="D112" s="10" t="inlineStr">
        <is>
          <t>und</t>
        </is>
      </c>
      <c r="E112" s="11">
        <f>SUMIF('METRADO POR AMBIENTE'!$H$11:$H$262,F112,'METRADO POR AMBIENTE'!$G$11:$G$262)</f>
        <v/>
      </c>
      <c r="F112" s="12" t="inlineStr">
        <is>
          <t>K:E-09:ALMACÉN DE IMPLEMENTOS DEPORTIVOS:K73</t>
        </is>
      </c>
    </row>
    <row r="113">
      <c r="A113" s="10" t="inlineStr">
        <is>
          <t>03.01.03.06.17</t>
        </is>
      </c>
      <c r="B113" s="10" t="inlineStr">
        <is>
          <t>K74</t>
        </is>
      </c>
      <c r="C113" s="5" t="inlineStr">
        <is>
          <t>GUANTES DE ENTRENAMIENTO</t>
        </is>
      </c>
      <c r="D113" s="10" t="inlineStr">
        <is>
          <t>und</t>
        </is>
      </c>
      <c r="E113" s="11">
        <f>SUMIF('METRADO POR AMBIENTE'!$H$11:$H$262,F113,'METRADO POR AMBIENTE'!$G$11:$G$262)</f>
        <v/>
      </c>
      <c r="F113" s="12" t="inlineStr">
        <is>
          <t>K:E-09:ALMACÉN DE IMPLEMENTOS DEPORTIVOS:K74</t>
        </is>
      </c>
    </row>
    <row r="114">
      <c r="A114" s="10" t="inlineStr">
        <is>
          <t>03.01.03.06.18</t>
        </is>
      </c>
      <c r="B114" s="10" t="inlineStr">
        <is>
          <t>K75</t>
        </is>
      </c>
      <c r="C114" s="5" t="inlineStr">
        <is>
          <t>SACO DE BOXEO, RELLENO DE TELA PRENSADA</t>
        </is>
      </c>
      <c r="D114" s="10" t="inlineStr">
        <is>
          <t>und</t>
        </is>
      </c>
      <c r="E114" s="11">
        <f>SUMIF('METRADO POR AMBIENTE'!$H$11:$H$262,F114,'METRADO POR AMBIENTE'!$G$11:$G$262)</f>
        <v/>
      </c>
      <c r="F114" s="12" t="inlineStr">
        <is>
          <t>K:E-09:ALMACÉN DE IMPLEMENTOS DEPORTIVOS:K75</t>
        </is>
      </c>
    </row>
    <row r="115">
      <c r="A115" s="10" t="inlineStr">
        <is>
          <t>03.01.03.06.19</t>
        </is>
      </c>
      <c r="B115" s="10" t="inlineStr">
        <is>
          <t>K76</t>
        </is>
      </c>
      <c r="C115" s="5" t="inlineStr">
        <is>
          <t>PERA DE BOX</t>
        </is>
      </c>
      <c r="D115" s="10" t="inlineStr">
        <is>
          <t>und</t>
        </is>
      </c>
      <c r="E115" s="11">
        <f>SUMIF('METRADO POR AMBIENTE'!$H$11:$H$262,F115,'METRADO POR AMBIENTE'!$G$11:$G$262)</f>
        <v/>
      </c>
      <c r="F115" s="12" t="inlineStr">
        <is>
          <t>K:E-09:ALMACÉN DE IMPLEMENTOS DEPORTIVOS:K76</t>
        </is>
      </c>
    </row>
    <row r="116">
      <c r="A116" s="10" t="inlineStr">
        <is>
          <t>03.01.03.06.20</t>
        </is>
      </c>
      <c r="B116" s="10" t="inlineStr">
        <is>
          <t>K77</t>
        </is>
      </c>
      <c r="C116" s="5" t="inlineStr">
        <is>
          <t>SOPORTE METÁLICO PARA PERA</t>
        </is>
      </c>
      <c r="D116" s="10" t="inlineStr">
        <is>
          <t>und</t>
        </is>
      </c>
      <c r="E116" s="11">
        <f>SUMIF('METRADO POR AMBIENTE'!$H$11:$H$262,F116,'METRADO POR AMBIENTE'!$G$11:$G$262)</f>
        <v/>
      </c>
      <c r="F116" s="12" t="inlineStr">
        <is>
          <t>K:E-09:ALMACÉN DE IMPLEMENTOS DEPORTIVOS:K77</t>
        </is>
      </c>
    </row>
    <row r="117">
      <c r="A117" s="10" t="inlineStr">
        <is>
          <t>03.01.03.06.21</t>
        </is>
      </c>
      <c r="B117" s="10" t="inlineStr">
        <is>
          <t>K78</t>
        </is>
      </c>
      <c r="C117" s="5" t="inlineStr">
        <is>
          <t>PISO ENCASTRABLE DE GOMA 25 mm</t>
        </is>
      </c>
      <c r="D117" s="10" t="inlineStr">
        <is>
          <t>und</t>
        </is>
      </c>
      <c r="E117" s="11">
        <f>SUMIF('METRADO POR AMBIENTE'!$H$11:$H$262,F117,'METRADO POR AMBIENTE'!$G$11:$G$262)</f>
        <v/>
      </c>
      <c r="F117" s="12" t="inlineStr">
        <is>
          <t>K:E-09:ALMACÉN DE IMPLEMENTOS DEPORTIVOS:K78</t>
        </is>
      </c>
    </row>
    <row r="118">
      <c r="A118" s="10" t="inlineStr">
        <is>
          <t>03.01.03.06.22</t>
        </is>
      </c>
      <c r="B118" s="10" t="inlineStr">
        <is>
          <t>K79</t>
        </is>
      </c>
      <c r="C118" s="5" t="inlineStr">
        <is>
          <t>MICA PROTECTORA DE POLICARBONATO</t>
        </is>
      </c>
      <c r="D118" s="10" t="inlineStr">
        <is>
          <t>und</t>
        </is>
      </c>
      <c r="E118" s="11">
        <f>SUMIF('METRADO POR AMBIENTE'!$H$11:$H$262,F118,'METRADO POR AMBIENTE'!$G$11:$G$262)</f>
        <v/>
      </c>
      <c r="F118" s="12" t="inlineStr">
        <is>
          <t>K:E-09:ALMACÉN DE IMPLEMENTOS DEPORTIVOS:K79</t>
        </is>
      </c>
    </row>
    <row r="119">
      <c r="A119" s="10" t="inlineStr">
        <is>
          <t>03.01.03.06.23</t>
        </is>
      </c>
      <c r="B119" s="10" t="inlineStr">
        <is>
          <t>K81</t>
        </is>
      </c>
      <c r="C119" s="5" t="inlineStr">
        <is>
          <t>CODERA ESPUMA ERGONÓMICA</t>
        </is>
      </c>
      <c r="D119" s="10" t="inlineStr">
        <is>
          <t>und</t>
        </is>
      </c>
      <c r="E119" s="11">
        <f>SUMIF('METRADO POR AMBIENTE'!$H$11:$H$262,F119,'METRADO POR AMBIENTE'!$G$11:$G$262)</f>
        <v/>
      </c>
      <c r="F119" s="12" t="inlineStr">
        <is>
          <t>K:E-09:ALMACÉN DE IMPLEMENTOS DEPORTIVOS:K81</t>
        </is>
      </c>
    </row>
    <row r="120">
      <c r="A120" s="10" t="inlineStr">
        <is>
          <t>03.01.03.06.24</t>
        </is>
      </c>
      <c r="B120" s="10" t="inlineStr">
        <is>
          <t>K82</t>
        </is>
      </c>
      <c r="C120" s="5" t="inlineStr">
        <is>
          <t>GUANTES DE ESPUMA DE ALTO IMPACTO</t>
        </is>
      </c>
      <c r="D120" s="10" t="inlineStr">
        <is>
          <t>und</t>
        </is>
      </c>
      <c r="E120" s="11">
        <f>SUMIF('METRADO POR AMBIENTE'!$H$11:$H$262,F120,'METRADO POR AMBIENTE'!$G$11:$G$262)</f>
        <v/>
      </c>
      <c r="F120" s="12" t="inlineStr">
        <is>
          <t>K:E-09:ALMACÉN DE IMPLEMENTOS DEPORTIVOS:K82</t>
        </is>
      </c>
    </row>
    <row r="122">
      <c r="C122" s="2" t="inlineStr">
        <is>
          <t>CONTROL: TOTAL DE UNIDADES DEL RESUMEN</t>
        </is>
      </c>
      <c r="D122" s="7" t="inlineStr">
        <is>
          <t>und</t>
        </is>
      </c>
      <c r="E122" s="13">
        <f>SUM(E11:E120)</f>
        <v/>
      </c>
    </row>
  </sheetData>
  <mergeCells count="8">
    <mergeCell ref="B8:E8"/>
    <mergeCell ref="B4:E4"/>
    <mergeCell ref="B6:E6"/>
    <mergeCell ref="B7:E7"/>
    <mergeCell ref="A1:E1"/>
    <mergeCell ref="B3:E3"/>
    <mergeCell ref="B5:E5"/>
    <mergeCell ref="B2:E2"/>
  </mergeCells>
  <pageMargins left="0.4" right="0.4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63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7" customWidth="1" min="3" max="3"/>
    <col width="6" customWidth="1" min="4" max="4"/>
    <col width="60" customWidth="1" min="5" max="5"/>
    <col width="5" customWidth="1" min="6" max="6"/>
    <col width="9" customWidth="1" min="7" max="7"/>
    <col width="16" customWidth="1" min="8" max="8"/>
  </cols>
  <sheetData>
    <row r="1" ht="24" customHeight="1">
      <c r="A1" s="1" t="inlineStr">
        <is>
          <t>METRADO DE EQUIPAMIENTO Y MOBILIARIO POR AMBIENTE (LÁMINAS EM-01 A EM-07)</t>
        </is>
      </c>
    </row>
    <row r="2" ht="36" customHeight="1">
      <c r="A2" s="2" t="inlineStr">
        <is>
          <t>PROYECTO</t>
        </is>
      </c>
      <c r="B2" s="3" t="inlineStr">
        <is>
          <t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</t>
        </is>
      </c>
      <c r="C2" s="4" t="n"/>
      <c r="D2" s="4" t="n"/>
      <c r="E2" s="4" t="n"/>
      <c r="F2" s="4" t="n"/>
      <c r="G2" s="4" t="n"/>
      <c r="H2" s="4" t="n"/>
    </row>
    <row r="3">
      <c r="A3" s="2" t="inlineStr">
        <is>
          <t>CUI</t>
        </is>
      </c>
      <c r="B3" s="5" t="inlineStr">
        <is>
          <t>N.° 2675514</t>
        </is>
      </c>
      <c r="C3" s="4" t="n"/>
      <c r="D3" s="4" t="n"/>
      <c r="E3" s="4" t="n"/>
      <c r="F3" s="4" t="n"/>
      <c r="G3" s="4" t="n"/>
      <c r="H3" s="4" t="n"/>
    </row>
    <row r="4">
      <c r="A4" s="2" t="inlineStr">
        <is>
          <t>PROPIETARIO</t>
        </is>
      </c>
      <c r="B4" s="5" t="inlineStr">
        <is>
          <t>Gobierno Regional San Martín - Gerencia Territorial Bajo Mayo</t>
        </is>
      </c>
      <c r="C4" s="4" t="n"/>
      <c r="D4" s="4" t="n"/>
      <c r="E4" s="4" t="n"/>
      <c r="F4" s="4" t="n"/>
      <c r="G4" s="4" t="n"/>
      <c r="H4" s="4" t="n"/>
    </row>
    <row r="5">
      <c r="A5" s="2" t="inlineStr">
        <is>
          <t>UBICACIÓN</t>
        </is>
      </c>
      <c r="B5" s="5" t="inlineStr">
        <is>
          <t>Morales / San Martín / San Martín</t>
        </is>
      </c>
      <c r="C5" s="4" t="n"/>
      <c r="D5" s="4" t="n"/>
      <c r="E5" s="4" t="n"/>
      <c r="F5" s="4" t="n"/>
      <c r="G5" s="4" t="n"/>
      <c r="H5" s="4" t="n"/>
    </row>
    <row r="6">
      <c r="A6" s="2" t="inlineStr">
        <is>
          <t>ESPECIALIDAD</t>
        </is>
      </c>
      <c r="B6" s="5" t="inlineStr">
        <is>
          <t>ARQUITECTURA - EQUIPAMIENTO Y MOBILIARIO</t>
        </is>
      </c>
      <c r="C6" s="4" t="n"/>
      <c r="D6" s="4" t="n"/>
      <c r="E6" s="4" t="n"/>
      <c r="F6" s="4" t="n"/>
      <c r="G6" s="4" t="n"/>
      <c r="H6" s="4" t="n"/>
    </row>
    <row r="7">
      <c r="A7" s="2" t="inlineStr">
        <is>
          <t>LÁMINAS</t>
        </is>
      </c>
      <c r="B7" s="5" t="inlineStr">
        <is>
          <t>EM-01 a EM-07 (equipamiento y mobiliario, escala 1/50)</t>
        </is>
      </c>
      <c r="C7" s="4" t="n"/>
      <c r="D7" s="4" t="n"/>
      <c r="E7" s="4" t="n"/>
      <c r="F7" s="4" t="n"/>
      <c r="G7" s="4" t="n"/>
      <c r="H7" s="4" t="n"/>
    </row>
    <row r="8">
      <c r="A8" s="2" t="inlineStr">
        <is>
          <t>FECHA</t>
        </is>
      </c>
      <c r="B8" s="5" t="inlineStr">
        <is>
          <t>SETIEMBRE 2026</t>
        </is>
      </c>
      <c r="C8" s="4" t="n"/>
      <c r="D8" s="4" t="n"/>
      <c r="E8" s="4" t="n"/>
      <c r="F8" s="4" t="n"/>
      <c r="G8" s="4" t="n"/>
      <c r="H8" s="4" t="n"/>
    </row>
    <row r="10">
      <c r="A10" s="6" t="inlineStr">
        <is>
          <t>EDIF.</t>
        </is>
      </c>
      <c r="B10" s="6" t="inlineStr">
        <is>
          <t>AMBIENTE</t>
        </is>
      </c>
      <c r="C10" s="6" t="inlineStr">
        <is>
          <t>LÁMINA</t>
        </is>
      </c>
      <c r="D10" s="6" t="inlineStr">
        <is>
          <t>CÓD.</t>
        </is>
      </c>
      <c r="E10" s="6" t="inlineStr">
        <is>
          <t>DESCRIPCIÓN</t>
        </is>
      </c>
      <c r="F10" s="6" t="inlineStr">
        <is>
          <t>UND</t>
        </is>
      </c>
      <c r="G10" s="6" t="inlineStr">
        <is>
          <t>CANTIDAD</t>
        </is>
      </c>
      <c r="H10" s="6" t="inlineStr">
        <is>
          <t>CLAVE</t>
        </is>
      </c>
    </row>
    <row r="11">
      <c r="A11" s="2" t="inlineStr">
        <is>
          <t>E-01  Administración - SALA DE ESPERA Y SALA DE VISITA</t>
        </is>
      </c>
      <c r="B11" s="4" t="n"/>
      <c r="C11" s="4" t="n"/>
      <c r="D11" s="4" t="n"/>
      <c r="E11" s="4" t="n"/>
      <c r="F11" s="4" t="n"/>
      <c r="G11" s="4" t="n"/>
    </row>
    <row r="12">
      <c r="A12" s="10" t="inlineStr">
        <is>
          <t>E-01</t>
        </is>
      </c>
      <c r="B12" s="5" t="inlineStr">
        <is>
          <t>SALA DE ESPERA Y SALA DE VISITA</t>
        </is>
      </c>
      <c r="C12" s="10" t="inlineStr">
        <is>
          <t>EM-01</t>
        </is>
      </c>
      <c r="D12" s="10" t="inlineStr">
        <is>
          <t>E4</t>
        </is>
      </c>
      <c r="E12" s="5" t="inlineStr">
        <is>
          <t>RELOJ PARA ADOSAR A PARED</t>
        </is>
      </c>
      <c r="F12" s="10" t="inlineStr">
        <is>
          <t>und</t>
        </is>
      </c>
      <c r="G12" s="14" t="n">
        <v>2</v>
      </c>
      <c r="H12" s="15" t="inlineStr">
        <is>
          <t>E4</t>
        </is>
      </c>
    </row>
    <row r="13">
      <c r="A13" s="10" t="inlineStr">
        <is>
          <t>E-01</t>
        </is>
      </c>
      <c r="B13" s="5" t="inlineStr">
        <is>
          <t>SALA DE ESPERA Y SALA DE VISITA</t>
        </is>
      </c>
      <c r="C13" s="10" t="inlineStr">
        <is>
          <t>EM-01</t>
        </is>
      </c>
      <c r="D13" s="10" t="inlineStr">
        <is>
          <t>M7</t>
        </is>
      </c>
      <c r="E13" s="5" t="inlineStr">
        <is>
          <t>SILLA DEL PROFESOR DE MADERA, MELAMINA Y METAL 0.45 x 0.40 x 0.36 m</t>
        </is>
      </c>
      <c r="F13" s="10" t="inlineStr">
        <is>
          <t>und</t>
        </is>
      </c>
      <c r="G13" s="14" t="n">
        <v>9</v>
      </c>
      <c r="H13" s="15" t="inlineStr">
        <is>
          <t>M7</t>
        </is>
      </c>
    </row>
    <row r="14">
      <c r="A14" s="10" t="inlineStr">
        <is>
          <t>E-01</t>
        </is>
      </c>
      <c r="B14" s="5" t="inlineStr">
        <is>
          <t>SALA DE ESPERA Y SALA DE VISITA</t>
        </is>
      </c>
      <c r="C14" s="10" t="inlineStr">
        <is>
          <t>EM-01</t>
        </is>
      </c>
      <c r="D14" s="10" t="inlineStr">
        <is>
          <t>M15</t>
        </is>
      </c>
      <c r="E14" s="5" t="inlineStr">
        <is>
          <t>ATRIL DE MESA PARA DIBUJO Y PINTURA</t>
        </is>
      </c>
      <c r="F14" s="10" t="inlineStr">
        <is>
          <t>und</t>
        </is>
      </c>
      <c r="G14" s="14" t="n">
        <v>1</v>
      </c>
      <c r="H14" s="15" t="inlineStr">
        <is>
          <t>M15</t>
        </is>
      </c>
    </row>
    <row r="15">
      <c r="A15" s="10" t="inlineStr">
        <is>
          <t>E-01</t>
        </is>
      </c>
      <c r="B15" s="5" t="inlineStr">
        <is>
          <t>SALA DE ESPERA Y SALA DE VISITA</t>
        </is>
      </c>
      <c r="C15" s="10" t="inlineStr">
        <is>
          <t>EM-01</t>
        </is>
      </c>
      <c r="D15" s="10" t="inlineStr">
        <is>
          <t>M32</t>
        </is>
      </c>
      <c r="E15" s="5" t="inlineStr">
        <is>
          <t>SILLÓN PARA ACOPLAR 0.44 x 0.55 x 0.60 m</t>
        </is>
      </c>
      <c r="F15" s="10" t="inlineStr">
        <is>
          <t>und</t>
        </is>
      </c>
      <c r="G15" s="14" t="n">
        <v>3</v>
      </c>
      <c r="H15" s="15" t="inlineStr">
        <is>
          <t>M32</t>
        </is>
      </c>
    </row>
    <row r="16">
      <c r="A16" s="10" t="inlineStr">
        <is>
          <t>E-01</t>
        </is>
      </c>
      <c r="B16" s="5" t="inlineStr">
        <is>
          <t>SALA DE ESPERA Y SALA DE VISITA</t>
        </is>
      </c>
      <c r="C16" s="10" t="inlineStr">
        <is>
          <t>EM-01</t>
        </is>
      </c>
      <c r="D16" s="10" t="inlineStr">
        <is>
          <t>M34</t>
        </is>
      </c>
      <c r="E16" s="5" t="inlineStr">
        <is>
          <t>SOFÁ DE MADERA DE 2 CUERPOS 0.44 x 0.55 x 1.00 m</t>
        </is>
      </c>
      <c r="F16" s="10" t="inlineStr">
        <is>
          <t>und</t>
        </is>
      </c>
      <c r="G16" s="14" t="n">
        <v>2</v>
      </c>
      <c r="H16" s="15" t="inlineStr">
        <is>
          <t>M34</t>
        </is>
      </c>
    </row>
    <row r="17">
      <c r="A17" s="10" t="inlineStr">
        <is>
          <t>E-01</t>
        </is>
      </c>
      <c r="B17" s="5" t="inlineStr">
        <is>
          <t>SALA DE ESPERA Y SALA DE VISITA</t>
        </is>
      </c>
      <c r="C17" s="10" t="inlineStr">
        <is>
          <t>EM-01</t>
        </is>
      </c>
      <c r="D17" s="10" t="inlineStr">
        <is>
          <t>M54</t>
        </is>
      </c>
      <c r="E17" s="5" t="inlineStr">
        <is>
          <t>EXHIBIDOR DE LIBROS DE MELAMINA CON DIVISIONES ESCALONADAS 1.20 x 0.40 x 0.85 m</t>
        </is>
      </c>
      <c r="F17" s="10" t="inlineStr">
        <is>
          <t>und</t>
        </is>
      </c>
      <c r="G17" s="14" t="n">
        <v>1</v>
      </c>
      <c r="H17" s="15" t="inlineStr">
        <is>
          <t>M54</t>
        </is>
      </c>
    </row>
    <row r="18">
      <c r="A18" s="10" t="inlineStr">
        <is>
          <t>E-01</t>
        </is>
      </c>
      <c r="B18" s="5" t="inlineStr">
        <is>
          <t>SALA DE ESPERA Y SALA DE VISITA</t>
        </is>
      </c>
      <c r="C18" s="10" t="inlineStr">
        <is>
          <t>EM-01</t>
        </is>
      </c>
      <c r="D18" s="10" t="inlineStr">
        <is>
          <t>M57</t>
        </is>
      </c>
      <c r="E18" s="5" t="inlineStr">
        <is>
          <t>MUEBLE BAJO DE MELAMINA CON DOS PUERTAS Y DOS DIVISIONES HORIZONTALES 0.60 x 1.20 x 1.00 m</t>
        </is>
      </c>
      <c r="F18" s="10" t="inlineStr">
        <is>
          <t>und</t>
        </is>
      </c>
      <c r="G18" s="14" t="n">
        <v>1</v>
      </c>
      <c r="H18" s="15" t="inlineStr">
        <is>
          <t>M57</t>
        </is>
      </c>
    </row>
    <row r="19">
      <c r="A19" s="10" t="inlineStr">
        <is>
          <t>E-01</t>
        </is>
      </c>
      <c r="B19" s="5" t="inlineStr">
        <is>
          <t>SALA DE ESPERA Y SALA DE VISITA</t>
        </is>
      </c>
      <c r="C19" s="10" t="inlineStr">
        <is>
          <t>EM-01</t>
        </is>
      </c>
      <c r="D19" s="10" t="inlineStr">
        <is>
          <t>M63</t>
        </is>
      </c>
      <c r="E19" s="5" t="inlineStr">
        <is>
          <t>SOFÁ DE 3 CUERPOS 0.55 x 1.50 x 0.44 m</t>
        </is>
      </c>
      <c r="F19" s="10" t="inlineStr">
        <is>
          <t>und</t>
        </is>
      </c>
      <c r="G19" s="14" t="n">
        <v>2</v>
      </c>
      <c r="H19" s="15" t="inlineStr">
        <is>
          <t>M63</t>
        </is>
      </c>
    </row>
    <row r="20">
      <c r="A20" s="10" t="inlineStr">
        <is>
          <t>E-01</t>
        </is>
      </c>
      <c r="B20" s="5" t="inlineStr">
        <is>
          <t>SALA DE ESPERA Y SALA DE VISITA</t>
        </is>
      </c>
      <c r="C20" s="10" t="inlineStr">
        <is>
          <t>EM-01</t>
        </is>
      </c>
      <c r="D20" s="10" t="inlineStr">
        <is>
          <t>M62</t>
        </is>
      </c>
      <c r="E20" s="5" t="inlineStr">
        <is>
          <t>CESTO BOTA PAPELES DE ACERO CON PEDAL</t>
        </is>
      </c>
      <c r="F20" s="10" t="inlineStr">
        <is>
          <t>und</t>
        </is>
      </c>
      <c r="G20" s="14" t="n">
        <v>2</v>
      </c>
      <c r="H20" s="15" t="inlineStr">
        <is>
          <t>M62</t>
        </is>
      </c>
    </row>
    <row r="21">
      <c r="A21" s="10" t="inlineStr">
        <is>
          <t>E-01</t>
        </is>
      </c>
      <c r="B21" s="5" t="inlineStr">
        <is>
          <t>SALA DE ESPERA Y SALA DE VISITA</t>
        </is>
      </c>
      <c r="C21" s="10" t="inlineStr">
        <is>
          <t>EM-01</t>
        </is>
      </c>
      <c r="D21" s="10" t="inlineStr">
        <is>
          <t>K20</t>
        </is>
      </c>
      <c r="E21" s="5" t="inlineStr">
        <is>
          <t>COJINES</t>
        </is>
      </c>
      <c r="F21" s="10" t="inlineStr">
        <is>
          <t>und</t>
        </is>
      </c>
      <c r="G21" s="14" t="n">
        <v>4</v>
      </c>
      <c r="H21" s="15" t="inlineStr">
        <is>
          <t>K:E-01:SALA DE ESPERA Y SALA DE VISITA:K20</t>
        </is>
      </c>
    </row>
    <row r="22">
      <c r="A22" s="10" t="inlineStr">
        <is>
          <t>E-01</t>
        </is>
      </c>
      <c r="B22" s="5" t="inlineStr">
        <is>
          <t>SALA DE ESPERA Y SALA DE VISITA</t>
        </is>
      </c>
      <c r="C22" s="10" t="inlineStr">
        <is>
          <t>EM-01</t>
        </is>
      </c>
      <c r="D22" s="10" t="inlineStr">
        <is>
          <t>K78</t>
        </is>
      </c>
      <c r="E22" s="5" t="inlineStr">
        <is>
          <t>PISO ENCASTRABLE DE GOMA 25 mm</t>
        </is>
      </c>
      <c r="F22" s="10" t="inlineStr">
        <is>
          <t>und</t>
        </is>
      </c>
      <c r="G22" s="14" t="n">
        <v>3</v>
      </c>
      <c r="H22" s="15" t="inlineStr">
        <is>
          <t>K:E-01:SALA DE ESPERA Y SALA DE VISITA:K78</t>
        </is>
      </c>
    </row>
    <row r="23">
      <c r="A23" s="2" t="inlineStr">
        <is>
          <t>E-01  Administración - ASISTENCIA SOCIAL</t>
        </is>
      </c>
      <c r="B23" s="4" t="n"/>
      <c r="C23" s="4" t="n"/>
      <c r="D23" s="4" t="n"/>
      <c r="E23" s="4" t="n"/>
      <c r="F23" s="4" t="n"/>
      <c r="G23" s="4" t="n"/>
    </row>
    <row r="24">
      <c r="A24" s="10" t="inlineStr">
        <is>
          <t>E-01</t>
        </is>
      </c>
      <c r="B24" s="5" t="inlineStr">
        <is>
          <t>ASISTENCIA SOCIAL</t>
        </is>
      </c>
      <c r="C24" s="10" t="inlineStr">
        <is>
          <t>EM-01</t>
        </is>
      </c>
      <c r="D24" s="10" t="inlineStr">
        <is>
          <t>E4</t>
        </is>
      </c>
      <c r="E24" s="5" t="inlineStr">
        <is>
          <t>RELOJ PARA ADOSAR A PARED</t>
        </is>
      </c>
      <c r="F24" s="10" t="inlineStr">
        <is>
          <t>und</t>
        </is>
      </c>
      <c r="G24" s="14" t="n">
        <v>1</v>
      </c>
      <c r="H24" s="15" t="inlineStr">
        <is>
          <t>E4</t>
        </is>
      </c>
    </row>
    <row r="25">
      <c r="A25" s="10" t="inlineStr">
        <is>
          <t>E-01</t>
        </is>
      </c>
      <c r="B25" s="5" t="inlineStr">
        <is>
          <t>ASISTENCIA SOCIAL</t>
        </is>
      </c>
      <c r="C25" s="10" t="inlineStr">
        <is>
          <t>EM-01</t>
        </is>
      </c>
      <c r="D25" s="10" t="inlineStr">
        <is>
          <t>E6</t>
        </is>
      </c>
      <c r="E25" s="5" t="inlineStr">
        <is>
          <t>COMPUTADORA i5 ESTACIONARIA</t>
        </is>
      </c>
      <c r="F25" s="10" t="inlineStr">
        <is>
          <t>und</t>
        </is>
      </c>
      <c r="G25" s="14" t="n">
        <v>3</v>
      </c>
      <c r="H25" s="15" t="inlineStr">
        <is>
          <t>E6</t>
        </is>
      </c>
    </row>
    <row r="26">
      <c r="A26" s="10" t="inlineStr">
        <is>
          <t>E-01</t>
        </is>
      </c>
      <c r="B26" s="5" t="inlineStr">
        <is>
          <t>ASISTENCIA SOCIAL</t>
        </is>
      </c>
      <c r="C26" s="10" t="inlineStr">
        <is>
          <t>EM-01</t>
        </is>
      </c>
      <c r="D26" s="10" t="inlineStr">
        <is>
          <t>E9</t>
        </is>
      </c>
      <c r="E26" s="5" t="inlineStr">
        <is>
          <t>IMPRESORA MULTIFUNCIONAL</t>
        </is>
      </c>
      <c r="F26" s="10" t="inlineStr">
        <is>
          <t>und</t>
        </is>
      </c>
      <c r="G26" s="14" t="n">
        <v>1</v>
      </c>
      <c r="H26" s="15" t="inlineStr">
        <is>
          <t>E9</t>
        </is>
      </c>
    </row>
    <row r="27">
      <c r="A27" s="10" t="inlineStr">
        <is>
          <t>E-01</t>
        </is>
      </c>
      <c r="B27" s="5" t="inlineStr">
        <is>
          <t>ASISTENCIA SOCIAL</t>
        </is>
      </c>
      <c r="C27" s="10" t="inlineStr">
        <is>
          <t>EM-01</t>
        </is>
      </c>
      <c r="D27" s="10" t="inlineStr">
        <is>
          <t>M7</t>
        </is>
      </c>
      <c r="E27" s="5" t="inlineStr">
        <is>
          <t>SILLA DEL PROFESOR DE MADERA, MELAMINA Y METAL 0.45 x 0.40 x 0.36 m</t>
        </is>
      </c>
      <c r="F27" s="10" t="inlineStr">
        <is>
          <t>und</t>
        </is>
      </c>
      <c r="G27" s="14" t="n">
        <v>6</v>
      </c>
      <c r="H27" s="15" t="inlineStr">
        <is>
          <t>M7</t>
        </is>
      </c>
    </row>
    <row r="28">
      <c r="A28" s="10" t="inlineStr">
        <is>
          <t>E-01</t>
        </is>
      </c>
      <c r="B28" s="5" t="inlineStr">
        <is>
          <t>ASISTENCIA SOCIAL</t>
        </is>
      </c>
      <c r="C28" s="10" t="inlineStr">
        <is>
          <t>EM-01</t>
        </is>
      </c>
      <c r="D28" s="10" t="inlineStr">
        <is>
          <t>M31</t>
        </is>
      </c>
      <c r="E28" s="5" t="inlineStr">
        <is>
          <t>ESCRITORIO DE MELAMINA CON CREDENZA MÓVIL 1.50 x 0.80 x 0.75 m</t>
        </is>
      </c>
      <c r="F28" s="10" t="inlineStr">
        <is>
          <t>und</t>
        </is>
      </c>
      <c r="G28" s="14" t="n">
        <v>3</v>
      </c>
      <c r="H28" s="15" t="inlineStr">
        <is>
          <t>M31</t>
        </is>
      </c>
    </row>
    <row r="29">
      <c r="A29" s="10" t="inlineStr">
        <is>
          <t>E-01</t>
        </is>
      </c>
      <c r="B29" s="5" t="inlineStr">
        <is>
          <t>ASISTENCIA SOCIAL</t>
        </is>
      </c>
      <c r="C29" s="10" t="inlineStr">
        <is>
          <t>EM-01</t>
        </is>
      </c>
      <c r="D29" s="10" t="inlineStr">
        <is>
          <t>M36</t>
        </is>
      </c>
      <c r="E29" s="5" t="inlineStr">
        <is>
          <t>ARMARIO DE MELAMINA CON 2 PUERTAS Y 4 NIVELES 0.90 x 0.45 x 1.80 m</t>
        </is>
      </c>
      <c r="F29" s="10" t="inlineStr">
        <is>
          <t>und</t>
        </is>
      </c>
      <c r="G29" s="14" t="n">
        <v>6</v>
      </c>
      <c r="H29" s="15" t="inlineStr">
        <is>
          <t>M36</t>
        </is>
      </c>
    </row>
    <row r="30">
      <c r="A30" s="10" t="inlineStr">
        <is>
          <t>E-01</t>
        </is>
      </c>
      <c r="B30" s="5" t="inlineStr">
        <is>
          <t>ASISTENCIA SOCIAL</t>
        </is>
      </c>
      <c r="C30" s="10" t="inlineStr">
        <is>
          <t>EM-01</t>
        </is>
      </c>
      <c r="D30" s="10" t="inlineStr">
        <is>
          <t>M39</t>
        </is>
      </c>
      <c r="E30" s="5" t="inlineStr">
        <is>
          <t>ARCHIVADOR DE MELAMINA CON TRES GAVETAS 0.60 x 0.46 x 1.20 m</t>
        </is>
      </c>
      <c r="F30" s="10" t="inlineStr">
        <is>
          <t>und</t>
        </is>
      </c>
      <c r="G30" s="14" t="n">
        <v>1</v>
      </c>
      <c r="H30" s="15" t="inlineStr">
        <is>
          <t>M39</t>
        </is>
      </c>
    </row>
    <row r="31">
      <c r="A31" s="10" t="inlineStr">
        <is>
          <t>E-01</t>
        </is>
      </c>
      <c r="B31" s="5" t="inlineStr">
        <is>
          <t>ASISTENCIA SOCIAL</t>
        </is>
      </c>
      <c r="C31" s="10" t="inlineStr">
        <is>
          <t>EM-01</t>
        </is>
      </c>
      <c r="D31" s="10" t="inlineStr">
        <is>
          <t>M63</t>
        </is>
      </c>
      <c r="E31" s="5" t="inlineStr">
        <is>
          <t>SOFÁ DE 3 CUERPOS 0.55 x 1.50 x 0.44 m</t>
        </is>
      </c>
      <c r="F31" s="10" t="inlineStr">
        <is>
          <t>und</t>
        </is>
      </c>
      <c r="G31" s="14" t="n">
        <v>2</v>
      </c>
      <c r="H31" s="15" t="inlineStr">
        <is>
          <t>M63</t>
        </is>
      </c>
    </row>
    <row r="32">
      <c r="A32" s="10" t="inlineStr">
        <is>
          <t>E-01</t>
        </is>
      </c>
      <c r="B32" s="5" t="inlineStr">
        <is>
          <t>ASISTENCIA SOCIAL</t>
        </is>
      </c>
      <c r="C32" s="10" t="inlineStr">
        <is>
          <t>EM-01</t>
        </is>
      </c>
      <c r="D32" s="10" t="inlineStr">
        <is>
          <t>M62</t>
        </is>
      </c>
      <c r="E32" s="5" t="inlineStr">
        <is>
          <t>CESTO BOTA PAPELES DE ACERO CON PEDAL</t>
        </is>
      </c>
      <c r="F32" s="10" t="inlineStr">
        <is>
          <t>und</t>
        </is>
      </c>
      <c r="G32" s="14" t="n">
        <v>1</v>
      </c>
      <c r="H32" s="15" t="inlineStr">
        <is>
          <t>M62</t>
        </is>
      </c>
    </row>
    <row r="33">
      <c r="A33" s="2" t="inlineStr">
        <is>
          <t>E-01  Administración - PSICOLOGÍA, ÁREA LEGAL, OFICINA DE MONITOREO Y ADMINISTRACIÓN</t>
        </is>
      </c>
      <c r="B33" s="4" t="n"/>
      <c r="C33" s="4" t="n"/>
      <c r="D33" s="4" t="n"/>
      <c r="E33" s="4" t="n"/>
      <c r="F33" s="4" t="n"/>
      <c r="G33" s="4" t="n"/>
    </row>
    <row r="34">
      <c r="A34" s="10" t="inlineStr">
        <is>
          <t>E-01</t>
        </is>
      </c>
      <c r="B34" s="5" t="inlineStr">
        <is>
          <t>PSICOLOGÍA, ÁREA LEGAL, OFICINA DE MONITOREO Y ADMINISTRACIÓN</t>
        </is>
      </c>
      <c r="C34" s="10" t="inlineStr">
        <is>
          <t>EM-01</t>
        </is>
      </c>
      <c r="D34" s="10" t="inlineStr">
        <is>
          <t>E4</t>
        </is>
      </c>
      <c r="E34" s="5" t="inlineStr">
        <is>
          <t>RELOJ PARA ADOSAR A PARED</t>
        </is>
      </c>
      <c r="F34" s="10" t="inlineStr">
        <is>
          <t>und</t>
        </is>
      </c>
      <c r="G34" s="14" t="n">
        <v>4</v>
      </c>
      <c r="H34" s="15" t="inlineStr">
        <is>
          <t>E4</t>
        </is>
      </c>
    </row>
    <row r="35">
      <c r="A35" s="10" t="inlineStr">
        <is>
          <t>E-01</t>
        </is>
      </c>
      <c r="B35" s="5" t="inlineStr">
        <is>
          <t>PSICOLOGÍA, ÁREA LEGAL, OFICINA DE MONITOREO Y ADMINISTRACIÓN</t>
        </is>
      </c>
      <c r="C35" s="10" t="inlineStr">
        <is>
          <t>EM-01</t>
        </is>
      </c>
      <c r="D35" s="10" t="inlineStr">
        <is>
          <t>E6</t>
        </is>
      </c>
      <c r="E35" s="5" t="inlineStr">
        <is>
          <t>COMPUTADORA i5 ESTACIONARIA</t>
        </is>
      </c>
      <c r="F35" s="10" t="inlineStr">
        <is>
          <t>und</t>
        </is>
      </c>
      <c r="G35" s="14" t="n">
        <v>5</v>
      </c>
      <c r="H35" s="15" t="inlineStr">
        <is>
          <t>E6</t>
        </is>
      </c>
    </row>
    <row r="36">
      <c r="A36" s="10" t="inlineStr">
        <is>
          <t>E-01</t>
        </is>
      </c>
      <c r="B36" s="5" t="inlineStr">
        <is>
          <t>PSICOLOGÍA, ÁREA LEGAL, OFICINA DE MONITOREO Y ADMINISTRACIÓN</t>
        </is>
      </c>
      <c r="C36" s="10" t="inlineStr">
        <is>
          <t>EM-01</t>
        </is>
      </c>
      <c r="D36" s="10" t="inlineStr">
        <is>
          <t>E9</t>
        </is>
      </c>
      <c r="E36" s="5" t="inlineStr">
        <is>
          <t>IMPRESORA MULTIFUNCIONAL</t>
        </is>
      </c>
      <c r="F36" s="10" t="inlineStr">
        <is>
          <t>und</t>
        </is>
      </c>
      <c r="G36" s="14" t="n">
        <v>3</v>
      </c>
      <c r="H36" s="15" t="inlineStr">
        <is>
          <t>E9</t>
        </is>
      </c>
    </row>
    <row r="37">
      <c r="A37" s="10" t="inlineStr">
        <is>
          <t>E-01</t>
        </is>
      </c>
      <c r="B37" s="5" t="inlineStr">
        <is>
          <t>PSICOLOGÍA, ÁREA LEGAL, OFICINA DE MONITOREO Y ADMINISTRACIÓN</t>
        </is>
      </c>
      <c r="C37" s="10" t="inlineStr">
        <is>
          <t>EM-01</t>
        </is>
      </c>
      <c r="D37" s="10" t="inlineStr">
        <is>
          <t>M7</t>
        </is>
      </c>
      <c r="E37" s="5" t="inlineStr">
        <is>
          <t>SILLA DEL PROFESOR DE MADERA, MELAMINA Y METAL 0.45 x 0.40 x 0.36 m</t>
        </is>
      </c>
      <c r="F37" s="10" t="inlineStr">
        <is>
          <t>und</t>
        </is>
      </c>
      <c r="G37" s="14" t="n">
        <v>15</v>
      </c>
      <c r="H37" s="15" t="inlineStr">
        <is>
          <t>M7</t>
        </is>
      </c>
    </row>
    <row r="38">
      <c r="A38" s="10" t="inlineStr">
        <is>
          <t>E-01</t>
        </is>
      </c>
      <c r="B38" s="5" t="inlineStr">
        <is>
          <t>PSICOLOGÍA, ÁREA LEGAL, OFICINA DE MONITOREO Y ADMINISTRACIÓN</t>
        </is>
      </c>
      <c r="C38" s="10" t="inlineStr">
        <is>
          <t>EM-01</t>
        </is>
      </c>
      <c r="D38" s="10" t="inlineStr">
        <is>
          <t>M31</t>
        </is>
      </c>
      <c r="E38" s="5" t="inlineStr">
        <is>
          <t>ESCRITORIO DE MELAMINA CON CREDENZA MÓVIL 1.50 x 0.80 x 0.75 m</t>
        </is>
      </c>
      <c r="F38" s="10" t="inlineStr">
        <is>
          <t>und</t>
        </is>
      </c>
      <c r="G38" s="14" t="n">
        <v>5</v>
      </c>
      <c r="H38" s="15" t="inlineStr">
        <is>
          <t>M31</t>
        </is>
      </c>
    </row>
    <row r="39">
      <c r="A39" s="10" t="inlineStr">
        <is>
          <t>E-01</t>
        </is>
      </c>
      <c r="B39" s="5" t="inlineStr">
        <is>
          <t>PSICOLOGÍA, ÁREA LEGAL, OFICINA DE MONITOREO Y ADMINISTRACIÓN</t>
        </is>
      </c>
      <c r="C39" s="10" t="inlineStr">
        <is>
          <t>EM-01</t>
        </is>
      </c>
      <c r="D39" s="10" t="inlineStr">
        <is>
          <t>M36</t>
        </is>
      </c>
      <c r="E39" s="5" t="inlineStr">
        <is>
          <t>ARMARIO DE MELAMINA CON 2 PUERTAS Y 4 NIVELES 0.90 x 0.45 x 1.80 m</t>
        </is>
      </c>
      <c r="F39" s="10" t="inlineStr">
        <is>
          <t>und</t>
        </is>
      </c>
      <c r="G39" s="14" t="n">
        <v>10</v>
      </c>
      <c r="H39" s="15" t="inlineStr">
        <is>
          <t>M36</t>
        </is>
      </c>
    </row>
    <row r="40">
      <c r="A40" s="10" t="inlineStr">
        <is>
          <t>E-01</t>
        </is>
      </c>
      <c r="B40" s="5" t="inlineStr">
        <is>
          <t>PSICOLOGÍA, ÁREA LEGAL, OFICINA DE MONITOREO Y ADMINISTRACIÓN</t>
        </is>
      </c>
      <c r="C40" s="10" t="inlineStr">
        <is>
          <t>EM-01</t>
        </is>
      </c>
      <c r="D40" s="10" t="inlineStr">
        <is>
          <t>M63</t>
        </is>
      </c>
      <c r="E40" s="5" t="inlineStr">
        <is>
          <t>SOFÁ DE 3 CUERPOS 0.55 x 1.50 x 0.44 m</t>
        </is>
      </c>
      <c r="F40" s="10" t="inlineStr">
        <is>
          <t>und</t>
        </is>
      </c>
      <c r="G40" s="14" t="n">
        <v>3</v>
      </c>
      <c r="H40" s="15" t="inlineStr">
        <is>
          <t>M63</t>
        </is>
      </c>
    </row>
    <row r="41">
      <c r="A41" s="10" t="inlineStr">
        <is>
          <t>E-01</t>
        </is>
      </c>
      <c r="B41" s="5" t="inlineStr">
        <is>
          <t>PSICOLOGÍA, ÁREA LEGAL, OFICINA DE MONITOREO Y ADMINISTRACIÓN</t>
        </is>
      </c>
      <c r="C41" s="10" t="inlineStr">
        <is>
          <t>EM-01</t>
        </is>
      </c>
      <c r="D41" s="10" t="inlineStr">
        <is>
          <t>M62</t>
        </is>
      </c>
      <c r="E41" s="5" t="inlineStr">
        <is>
          <t>CESTO BOTA PAPELES DE ACERO CON PEDAL</t>
        </is>
      </c>
      <c r="F41" s="10" t="inlineStr">
        <is>
          <t>und</t>
        </is>
      </c>
      <c r="G41" s="14" t="n">
        <v>5</v>
      </c>
      <c r="H41" s="15" t="inlineStr">
        <is>
          <t>M62</t>
        </is>
      </c>
    </row>
    <row r="42">
      <c r="A42" s="10" t="inlineStr">
        <is>
          <t>E-01</t>
        </is>
      </c>
      <c r="B42" s="5" t="inlineStr">
        <is>
          <t>PSICOLOGÍA, ÁREA LEGAL, OFICINA DE MONITOREO Y ADMINISTRACIÓN</t>
        </is>
      </c>
      <c r="C42" s="10" t="inlineStr">
        <is>
          <t>EM-01</t>
        </is>
      </c>
      <c r="D42" s="10" t="inlineStr">
        <is>
          <t>M39</t>
        </is>
      </c>
      <c r="E42" s="5" t="inlineStr">
        <is>
          <t>ARCHIVADOR DE MELAMINA CON TRES GAVETAS 0.60 x 0.46 x 1.20 m</t>
        </is>
      </c>
      <c r="F42" s="10" t="inlineStr">
        <is>
          <t>und</t>
        </is>
      </c>
      <c r="G42" s="14" t="n">
        <v>3</v>
      </c>
      <c r="H42" s="15" t="inlineStr">
        <is>
          <t>M39</t>
        </is>
      </c>
    </row>
    <row r="43">
      <c r="A43" s="10" t="inlineStr">
        <is>
          <t>E-01</t>
        </is>
      </c>
      <c r="B43" s="5" t="inlineStr">
        <is>
          <t>PSICOLOGÍA, ÁREA LEGAL, OFICINA DE MONITOREO Y ADMINISTRACIÓN</t>
        </is>
      </c>
      <c r="C43" s="10" t="inlineStr">
        <is>
          <t>EM-01</t>
        </is>
      </c>
      <c r="D43" s="10" t="inlineStr">
        <is>
          <t>M32</t>
        </is>
      </c>
      <c r="E43" s="5" t="inlineStr">
        <is>
          <t>SILLÓN PARA ACOPLAR 0.44 x 0.55 x 0.60 m</t>
        </is>
      </c>
      <c r="F43" s="10" t="inlineStr">
        <is>
          <t>und</t>
        </is>
      </c>
      <c r="G43" s="14" t="n">
        <v>1</v>
      </c>
      <c r="H43" s="15" t="inlineStr">
        <is>
          <t>M32</t>
        </is>
      </c>
    </row>
    <row r="44">
      <c r="A44" s="2" t="inlineStr">
        <is>
          <t>E-01  Administración - SALA DE REUNIONES</t>
        </is>
      </c>
      <c r="B44" s="4" t="n"/>
      <c r="C44" s="4" t="n"/>
      <c r="D44" s="4" t="n"/>
      <c r="E44" s="4" t="n"/>
      <c r="F44" s="4" t="n"/>
      <c r="G44" s="4" t="n"/>
    </row>
    <row r="45">
      <c r="A45" s="10" t="inlineStr">
        <is>
          <t>E-01</t>
        </is>
      </c>
      <c r="B45" s="5" t="inlineStr">
        <is>
          <t>SALA DE REUNIONES</t>
        </is>
      </c>
      <c r="C45" s="10" t="inlineStr">
        <is>
          <t>EM-01</t>
        </is>
      </c>
      <c r="D45" s="10" t="inlineStr">
        <is>
          <t>E2</t>
        </is>
      </c>
      <c r="E45" s="5" t="inlineStr">
        <is>
          <t>COMPUTADORA PORTÁTIL i5</t>
        </is>
      </c>
      <c r="F45" s="10" t="inlineStr">
        <is>
          <t>und</t>
        </is>
      </c>
      <c r="G45" s="14" t="n">
        <v>1</v>
      </c>
      <c r="H45" s="15" t="inlineStr">
        <is>
          <t>E2</t>
        </is>
      </c>
    </row>
    <row r="46">
      <c r="A46" s="10" t="inlineStr">
        <is>
          <t>E-01</t>
        </is>
      </c>
      <c r="B46" s="5" t="inlineStr">
        <is>
          <t>SALA DE REUNIONES</t>
        </is>
      </c>
      <c r="C46" s="10" t="inlineStr">
        <is>
          <t>EM-01</t>
        </is>
      </c>
      <c r="D46" s="10" t="inlineStr">
        <is>
          <t>E3</t>
        </is>
      </c>
      <c r="E46" s="5" t="inlineStr">
        <is>
          <t>PRESENTADOR INALÁMBRICO CON PUNTERO LÁSER</t>
        </is>
      </c>
      <c r="F46" s="10" t="inlineStr">
        <is>
          <t>und</t>
        </is>
      </c>
      <c r="G46" s="14" t="n">
        <v>1</v>
      </c>
      <c r="H46" s="15" t="inlineStr">
        <is>
          <t>E3</t>
        </is>
      </c>
    </row>
    <row r="47">
      <c r="A47" s="10" t="inlineStr">
        <is>
          <t>E-01</t>
        </is>
      </c>
      <c r="B47" s="5" t="inlineStr">
        <is>
          <t>SALA DE REUNIONES</t>
        </is>
      </c>
      <c r="C47" s="10" t="inlineStr">
        <is>
          <t>EM-01</t>
        </is>
      </c>
      <c r="D47" s="10" t="inlineStr">
        <is>
          <t>E7</t>
        </is>
      </c>
      <c r="E47" s="5" t="inlineStr">
        <is>
          <t>PROYECTOR MULTIMEDIA</t>
        </is>
      </c>
      <c r="F47" s="10" t="inlineStr">
        <is>
          <t>und</t>
        </is>
      </c>
      <c r="G47" s="14" t="n">
        <v>1</v>
      </c>
      <c r="H47" s="15" t="inlineStr">
        <is>
          <t>E7</t>
        </is>
      </c>
    </row>
    <row r="48">
      <c r="A48" s="10" t="inlineStr">
        <is>
          <t>E-01</t>
        </is>
      </c>
      <c r="B48" s="5" t="inlineStr">
        <is>
          <t>SALA DE REUNIONES</t>
        </is>
      </c>
      <c r="C48" s="10" t="inlineStr">
        <is>
          <t>EM-01</t>
        </is>
      </c>
      <c r="D48" s="10" t="inlineStr">
        <is>
          <t>E9</t>
        </is>
      </c>
      <c r="E48" s="5" t="inlineStr">
        <is>
          <t>IMPRESORA MULTIFUNCIONAL</t>
        </is>
      </c>
      <c r="F48" s="10" t="inlineStr">
        <is>
          <t>und</t>
        </is>
      </c>
      <c r="G48" s="14" t="n">
        <v>1</v>
      </c>
      <c r="H48" s="15" t="inlineStr">
        <is>
          <t>E9</t>
        </is>
      </c>
    </row>
    <row r="49">
      <c r="A49" s="10" t="inlineStr">
        <is>
          <t>E-01</t>
        </is>
      </c>
      <c r="B49" s="5" t="inlineStr">
        <is>
          <t>SALA DE REUNIONES</t>
        </is>
      </c>
      <c r="C49" s="10" t="inlineStr">
        <is>
          <t>EM-01</t>
        </is>
      </c>
      <c r="D49" s="10" t="inlineStr">
        <is>
          <t>E16</t>
        </is>
      </c>
      <c r="E49" s="5" t="inlineStr">
        <is>
          <t>HORNO MICROONDAS DE 31 LITROS</t>
        </is>
      </c>
      <c r="F49" s="10" t="inlineStr">
        <is>
          <t>und</t>
        </is>
      </c>
      <c r="G49" s="14" t="n">
        <v>1</v>
      </c>
      <c r="H49" s="15" t="inlineStr">
        <is>
          <t>E16</t>
        </is>
      </c>
    </row>
    <row r="50">
      <c r="A50" s="10" t="inlineStr">
        <is>
          <t>E-01</t>
        </is>
      </c>
      <c r="B50" s="5" t="inlineStr">
        <is>
          <t>SALA DE REUNIONES</t>
        </is>
      </c>
      <c r="C50" s="10" t="inlineStr">
        <is>
          <t>EM-01</t>
        </is>
      </c>
      <c r="D50" s="10" t="inlineStr">
        <is>
          <t>E18</t>
        </is>
      </c>
      <c r="E50" s="5" t="inlineStr">
        <is>
          <t>ECRAN</t>
        </is>
      </c>
      <c r="F50" s="10" t="inlineStr">
        <is>
          <t>und</t>
        </is>
      </c>
      <c r="G50" s="14" t="n">
        <v>1</v>
      </c>
      <c r="H50" s="15" t="inlineStr">
        <is>
          <t>E18</t>
        </is>
      </c>
    </row>
    <row r="51">
      <c r="A51" s="10" t="inlineStr">
        <is>
          <t>E-01</t>
        </is>
      </c>
      <c r="B51" s="5" t="inlineStr">
        <is>
          <t>SALA DE REUNIONES</t>
        </is>
      </c>
      <c r="C51" s="10" t="inlineStr">
        <is>
          <t>EM-01</t>
        </is>
      </c>
      <c r="D51" s="10" t="inlineStr">
        <is>
          <t>E19</t>
        </is>
      </c>
      <c r="E51" s="5" t="inlineStr">
        <is>
          <t>REFRIGERADORA DE 315 LITROS</t>
        </is>
      </c>
      <c r="F51" s="10" t="inlineStr">
        <is>
          <t>und</t>
        </is>
      </c>
      <c r="G51" s="14" t="n">
        <v>1</v>
      </c>
      <c r="H51" s="15" t="inlineStr">
        <is>
          <t>E19</t>
        </is>
      </c>
    </row>
    <row r="52">
      <c r="A52" s="10" t="inlineStr">
        <is>
          <t>E-01</t>
        </is>
      </c>
      <c r="B52" s="5" t="inlineStr">
        <is>
          <t>SALA DE REUNIONES</t>
        </is>
      </c>
      <c r="C52" s="10" t="inlineStr">
        <is>
          <t>EM-01</t>
        </is>
      </c>
      <c r="D52" s="10" t="inlineStr">
        <is>
          <t>M7</t>
        </is>
      </c>
      <c r="E52" s="5" t="inlineStr">
        <is>
          <t>SILLA DEL PROFESOR DE MADERA, MELAMINA Y METAL 0.45 x 0.40 x 0.36 m</t>
        </is>
      </c>
      <c r="F52" s="10" t="inlineStr">
        <is>
          <t>und</t>
        </is>
      </c>
      <c r="G52" s="14" t="n">
        <v>14</v>
      </c>
      <c r="H52" s="15" t="inlineStr">
        <is>
          <t>M7</t>
        </is>
      </c>
    </row>
    <row r="53">
      <c r="A53" s="10" t="inlineStr">
        <is>
          <t>E-01</t>
        </is>
      </c>
      <c r="B53" s="5" t="inlineStr">
        <is>
          <t>SALA DE REUNIONES</t>
        </is>
      </c>
      <c r="C53" s="10" t="inlineStr">
        <is>
          <t>EM-01</t>
        </is>
      </c>
      <c r="D53" s="10" t="inlineStr">
        <is>
          <t>M13</t>
        </is>
      </c>
      <c r="E53" s="5" t="inlineStr">
        <is>
          <t>RACK DE SOPORTE METÁLICO PARA PROYECTOR EN TECHO</t>
        </is>
      </c>
      <c r="F53" s="10" t="inlineStr">
        <is>
          <t>und</t>
        </is>
      </c>
      <c r="G53" s="14" t="n">
        <v>1</v>
      </c>
      <c r="H53" s="15" t="inlineStr">
        <is>
          <t>M13</t>
        </is>
      </c>
    </row>
    <row r="54">
      <c r="A54" s="10" t="inlineStr">
        <is>
          <t>E-01</t>
        </is>
      </c>
      <c r="B54" s="5" t="inlineStr">
        <is>
          <t>SALA DE REUNIONES</t>
        </is>
      </c>
      <c r="C54" s="10" t="inlineStr">
        <is>
          <t>EM-01</t>
        </is>
      </c>
      <c r="D54" s="10" t="inlineStr">
        <is>
          <t>M21</t>
        </is>
      </c>
      <c r="E54" s="5" t="inlineStr">
        <is>
          <t>MESA DE REUNIONES DE MADERA Y MELAMINA 2.40 x 1.00 x 0.75 m</t>
        </is>
      </c>
      <c r="F54" s="10" t="inlineStr">
        <is>
          <t>und</t>
        </is>
      </c>
      <c r="G54" s="14" t="n">
        <v>1</v>
      </c>
      <c r="H54" s="15" t="inlineStr">
        <is>
          <t>M21</t>
        </is>
      </c>
    </row>
    <row r="55">
      <c r="A55" s="10" t="inlineStr">
        <is>
          <t>E-01</t>
        </is>
      </c>
      <c r="B55" s="5" t="inlineStr">
        <is>
          <t>SALA DE REUNIONES</t>
        </is>
      </c>
      <c r="C55" s="10" t="inlineStr">
        <is>
          <t>EM-01</t>
        </is>
      </c>
      <c r="D55" s="10" t="inlineStr">
        <is>
          <t>M36</t>
        </is>
      </c>
      <c r="E55" s="5" t="inlineStr">
        <is>
          <t>ARMARIO DE MELAMINA CON 2 PUERTAS Y 4 NIVELES 0.90 x 0.45 x 1.80 m</t>
        </is>
      </c>
      <c r="F55" s="10" t="inlineStr">
        <is>
          <t>und</t>
        </is>
      </c>
      <c r="G55" s="14" t="n">
        <v>2</v>
      </c>
      <c r="H55" s="15" t="inlineStr">
        <is>
          <t>M36</t>
        </is>
      </c>
    </row>
    <row r="56">
      <c r="A56" s="10" t="inlineStr">
        <is>
          <t>E-01</t>
        </is>
      </c>
      <c r="B56" s="5" t="inlineStr">
        <is>
          <t>SALA DE REUNIONES</t>
        </is>
      </c>
      <c r="C56" s="10" t="inlineStr">
        <is>
          <t>EM-01</t>
        </is>
      </c>
      <c r="D56" s="10" t="inlineStr">
        <is>
          <t>M39</t>
        </is>
      </c>
      <c r="E56" s="5" t="inlineStr">
        <is>
          <t>ARCHIVADOR DE MELAMINA CON TRES GAVETAS 0.60 x 0.46 x 1.20 m</t>
        </is>
      </c>
      <c r="F56" s="10" t="inlineStr">
        <is>
          <t>und</t>
        </is>
      </c>
      <c r="G56" s="14" t="n">
        <v>1</v>
      </c>
      <c r="H56" s="15" t="inlineStr">
        <is>
          <t>M39</t>
        </is>
      </c>
    </row>
    <row r="57">
      <c r="A57" s="10" t="inlineStr">
        <is>
          <t>E-01</t>
        </is>
      </c>
      <c r="B57" s="5" t="inlineStr">
        <is>
          <t>SALA DE REUNIONES</t>
        </is>
      </c>
      <c r="C57" s="10" t="inlineStr">
        <is>
          <t>EM-01</t>
        </is>
      </c>
      <c r="D57" s="10" t="inlineStr">
        <is>
          <t>M62</t>
        </is>
      </c>
      <c r="E57" s="5" t="inlineStr">
        <is>
          <t>CESTO BOTA PAPELES DE ACERO CON PEDAL</t>
        </is>
      </c>
      <c r="F57" s="10" t="inlineStr">
        <is>
          <t>und</t>
        </is>
      </c>
      <c r="G57" s="14" t="n">
        <v>1</v>
      </c>
      <c r="H57" s="15" t="inlineStr">
        <is>
          <t>M62</t>
        </is>
      </c>
    </row>
    <row r="58">
      <c r="A58" s="10" t="inlineStr">
        <is>
          <t>E-01</t>
        </is>
      </c>
      <c r="B58" s="5" t="inlineStr">
        <is>
          <t>SALA DE REUNIONES</t>
        </is>
      </c>
      <c r="C58" s="10" t="inlineStr">
        <is>
          <t>EM-01</t>
        </is>
      </c>
      <c r="D58" s="10" t="inlineStr">
        <is>
          <t>M69</t>
        </is>
      </c>
      <c r="E58" s="5" t="inlineStr">
        <is>
          <t>PIZARRA ACRÍLICA 4.20 x 1.20 m, INCLUYE ACCESORIOS DE FIJACIÓN</t>
        </is>
      </c>
      <c r="F58" s="10" t="inlineStr">
        <is>
          <t>und</t>
        </is>
      </c>
      <c r="G58" s="14" t="n">
        <v>1</v>
      </c>
      <c r="H58" s="15" t="inlineStr">
        <is>
          <t>M69</t>
        </is>
      </c>
    </row>
    <row r="59">
      <c r="A59" s="2" t="inlineStr">
        <is>
          <t>E-01  Administración - SECRETARÍA Y ÁREA DE BIENVENIDA</t>
        </is>
      </c>
      <c r="B59" s="4" t="n"/>
      <c r="C59" s="4" t="n"/>
      <c r="D59" s="4" t="n"/>
      <c r="E59" s="4" t="n"/>
      <c r="F59" s="4" t="n"/>
      <c r="G59" s="4" t="n"/>
    </row>
    <row r="60">
      <c r="A60" s="10" t="inlineStr">
        <is>
          <t>E-01</t>
        </is>
      </c>
      <c r="B60" s="5" t="inlineStr">
        <is>
          <t>SECRETARÍA Y ÁREA DE BIENVENIDA</t>
        </is>
      </c>
      <c r="C60" s="10" t="inlineStr">
        <is>
          <t>EM-01</t>
        </is>
      </c>
      <c r="D60" s="10" t="inlineStr">
        <is>
          <t>E4</t>
        </is>
      </c>
      <c r="E60" s="5" t="inlineStr">
        <is>
          <t>RELOJ PARA ADOSAR A PARED</t>
        </is>
      </c>
      <c r="F60" s="10" t="inlineStr">
        <is>
          <t>und</t>
        </is>
      </c>
      <c r="G60" s="14" t="n">
        <v>1</v>
      </c>
      <c r="H60" s="15" t="inlineStr">
        <is>
          <t>E4</t>
        </is>
      </c>
    </row>
    <row r="61">
      <c r="A61" s="10" t="inlineStr">
        <is>
          <t>E-01</t>
        </is>
      </c>
      <c r="B61" s="5" t="inlineStr">
        <is>
          <t>SECRETARÍA Y ÁREA DE BIENVENIDA</t>
        </is>
      </c>
      <c r="C61" s="10" t="inlineStr">
        <is>
          <t>EM-01</t>
        </is>
      </c>
      <c r="D61" s="10" t="inlineStr">
        <is>
          <t>E6</t>
        </is>
      </c>
      <c r="E61" s="5" t="inlineStr">
        <is>
          <t>COMPUTADORA i5 ESTACIONARIA</t>
        </is>
      </c>
      <c r="F61" s="10" t="inlineStr">
        <is>
          <t>und</t>
        </is>
      </c>
      <c r="G61" s="14" t="n">
        <v>1</v>
      </c>
      <c r="H61" s="15" t="inlineStr">
        <is>
          <t>E6</t>
        </is>
      </c>
    </row>
    <row r="62">
      <c r="A62" s="10" t="inlineStr">
        <is>
          <t>E-01</t>
        </is>
      </c>
      <c r="B62" s="5" t="inlineStr">
        <is>
          <t>SECRETARÍA Y ÁREA DE BIENVENIDA</t>
        </is>
      </c>
      <c r="C62" s="10" t="inlineStr">
        <is>
          <t>EM-01</t>
        </is>
      </c>
      <c r="D62" s="10" t="inlineStr">
        <is>
          <t>E9</t>
        </is>
      </c>
      <c r="E62" s="5" t="inlineStr">
        <is>
          <t>IMPRESORA MULTIFUNCIONAL</t>
        </is>
      </c>
      <c r="F62" s="10" t="inlineStr">
        <is>
          <t>und</t>
        </is>
      </c>
      <c r="G62" s="14" t="n">
        <v>1</v>
      </c>
      <c r="H62" s="15" t="inlineStr">
        <is>
          <t>E9</t>
        </is>
      </c>
    </row>
    <row r="63">
      <c r="A63" s="10" t="inlineStr">
        <is>
          <t>E-01</t>
        </is>
      </c>
      <c r="B63" s="5" t="inlineStr">
        <is>
          <t>SECRETARÍA Y ÁREA DE BIENVENIDA</t>
        </is>
      </c>
      <c r="C63" s="10" t="inlineStr">
        <is>
          <t>EM-01</t>
        </is>
      </c>
      <c r="D63" s="10" t="inlineStr">
        <is>
          <t>M7</t>
        </is>
      </c>
      <c r="E63" s="5" t="inlineStr">
        <is>
          <t>SILLA DEL PROFESOR DE MADERA, MELAMINA Y METAL 0.45 x 0.40 x 0.36 m</t>
        </is>
      </c>
      <c r="F63" s="10" t="inlineStr">
        <is>
          <t>und</t>
        </is>
      </c>
      <c r="G63" s="14" t="n">
        <v>10</v>
      </c>
      <c r="H63" s="15" t="inlineStr">
        <is>
          <t>M7</t>
        </is>
      </c>
    </row>
    <row r="64">
      <c r="A64" s="10" t="inlineStr">
        <is>
          <t>E-01</t>
        </is>
      </c>
      <c r="B64" s="5" t="inlineStr">
        <is>
          <t>SECRETARÍA Y ÁREA DE BIENVENIDA</t>
        </is>
      </c>
      <c r="C64" s="10" t="inlineStr">
        <is>
          <t>EM-01</t>
        </is>
      </c>
      <c r="D64" s="10" t="inlineStr">
        <is>
          <t>M15</t>
        </is>
      </c>
      <c r="E64" s="5" t="inlineStr">
        <is>
          <t>ATRIL DE MESA PARA DIBUJO Y PINTURA</t>
        </is>
      </c>
      <c r="F64" s="10" t="inlineStr">
        <is>
          <t>und</t>
        </is>
      </c>
      <c r="G64" s="14" t="n">
        <v>1</v>
      </c>
      <c r="H64" s="15" t="inlineStr">
        <is>
          <t>M15</t>
        </is>
      </c>
    </row>
    <row r="65">
      <c r="A65" s="10" t="inlineStr">
        <is>
          <t>E-01</t>
        </is>
      </c>
      <c r="B65" s="5" t="inlineStr">
        <is>
          <t>SECRETARÍA Y ÁREA DE BIENVENIDA</t>
        </is>
      </c>
      <c r="C65" s="10" t="inlineStr">
        <is>
          <t>EM-01</t>
        </is>
      </c>
      <c r="D65" s="10" t="inlineStr">
        <is>
          <t>M54</t>
        </is>
      </c>
      <c r="E65" s="5" t="inlineStr">
        <is>
          <t>EXHIBIDOR DE LIBROS DE MELAMINA CON DIVISIONES ESCALONADAS 1.20 x 0.40 x 0.85 m</t>
        </is>
      </c>
      <c r="F65" s="10" t="inlineStr">
        <is>
          <t>und</t>
        </is>
      </c>
      <c r="G65" s="14" t="n">
        <v>1</v>
      </c>
      <c r="H65" s="15" t="inlineStr">
        <is>
          <t>M54</t>
        </is>
      </c>
    </row>
    <row r="66">
      <c r="A66" s="10" t="inlineStr">
        <is>
          <t>E-01</t>
        </is>
      </c>
      <c r="B66" s="5" t="inlineStr">
        <is>
          <t>SECRETARÍA Y ÁREA DE BIENVENIDA</t>
        </is>
      </c>
      <c r="C66" s="10" t="inlineStr">
        <is>
          <t>EM-01</t>
        </is>
      </c>
      <c r="D66" s="10" t="inlineStr">
        <is>
          <t>M57</t>
        </is>
      </c>
      <c r="E66" s="5" t="inlineStr">
        <is>
          <t>MUEBLE BAJO DE MELAMINA CON DOS PUERTAS Y DOS DIVISIONES HORIZONTALES 0.60 x 1.20 x 1.00 m</t>
        </is>
      </c>
      <c r="F66" s="10" t="inlineStr">
        <is>
          <t>und</t>
        </is>
      </c>
      <c r="G66" s="14" t="n">
        <v>1</v>
      </c>
      <c r="H66" s="15" t="inlineStr">
        <is>
          <t>M57</t>
        </is>
      </c>
    </row>
    <row r="67">
      <c r="A67" s="10" t="inlineStr">
        <is>
          <t>E-01</t>
        </is>
      </c>
      <c r="B67" s="5" t="inlineStr">
        <is>
          <t>SECRETARÍA Y ÁREA DE BIENVENIDA</t>
        </is>
      </c>
      <c r="C67" s="10" t="inlineStr">
        <is>
          <t>EM-01</t>
        </is>
      </c>
      <c r="D67" s="10" t="inlineStr">
        <is>
          <t>M31</t>
        </is>
      </c>
      <c r="E67" s="5" t="inlineStr">
        <is>
          <t>ESCRITORIO DE MELAMINA CON CREDENZA MÓVIL 1.50 x 0.80 x 0.75 m</t>
        </is>
      </c>
      <c r="F67" s="10" t="inlineStr">
        <is>
          <t>und</t>
        </is>
      </c>
      <c r="G67" s="14" t="n">
        <v>1</v>
      </c>
      <c r="H67" s="15" t="inlineStr">
        <is>
          <t>M31</t>
        </is>
      </c>
    </row>
    <row r="68">
      <c r="A68" s="10" t="inlineStr">
        <is>
          <t>E-01</t>
        </is>
      </c>
      <c r="B68" s="5" t="inlineStr">
        <is>
          <t>SECRETARÍA Y ÁREA DE BIENVENIDA</t>
        </is>
      </c>
      <c r="C68" s="10" t="inlineStr">
        <is>
          <t>EM-01</t>
        </is>
      </c>
      <c r="D68" s="10" t="inlineStr">
        <is>
          <t>M32</t>
        </is>
      </c>
      <c r="E68" s="5" t="inlineStr">
        <is>
          <t>SILLÓN PARA ACOPLAR 0.44 x 0.55 x 0.60 m</t>
        </is>
      </c>
      <c r="F68" s="10" t="inlineStr">
        <is>
          <t>und</t>
        </is>
      </c>
      <c r="G68" s="14" t="n">
        <v>1</v>
      </c>
      <c r="H68" s="15" t="inlineStr">
        <is>
          <t>M32</t>
        </is>
      </c>
    </row>
    <row r="69">
      <c r="A69" s="10" t="inlineStr">
        <is>
          <t>E-01</t>
        </is>
      </c>
      <c r="B69" s="5" t="inlineStr">
        <is>
          <t>SECRETARÍA Y ÁREA DE BIENVENIDA</t>
        </is>
      </c>
      <c r="C69" s="10" t="inlineStr">
        <is>
          <t>EM-01</t>
        </is>
      </c>
      <c r="D69" s="10" t="inlineStr">
        <is>
          <t>M34</t>
        </is>
      </c>
      <c r="E69" s="5" t="inlineStr">
        <is>
          <t>SOFÁ DE MADERA DE 2 CUERPOS 0.44 x 0.55 x 1.00 m</t>
        </is>
      </c>
      <c r="F69" s="10" t="inlineStr">
        <is>
          <t>und</t>
        </is>
      </c>
      <c r="G69" s="14" t="n">
        <v>1</v>
      </c>
      <c r="H69" s="15" t="inlineStr">
        <is>
          <t>M34</t>
        </is>
      </c>
    </row>
    <row r="70">
      <c r="A70" s="10" t="inlineStr">
        <is>
          <t>E-01</t>
        </is>
      </c>
      <c r="B70" s="5" t="inlineStr">
        <is>
          <t>SECRETARÍA Y ÁREA DE BIENVENIDA</t>
        </is>
      </c>
      <c r="C70" s="10" t="inlineStr">
        <is>
          <t>EM-01</t>
        </is>
      </c>
      <c r="D70" s="10" t="inlineStr">
        <is>
          <t>M36</t>
        </is>
      </c>
      <c r="E70" s="5" t="inlineStr">
        <is>
          <t>ARMARIO DE MELAMINA CON 2 PUERTAS Y 4 NIVELES 0.90 x 0.45 x 1.80 m</t>
        </is>
      </c>
      <c r="F70" s="10" t="inlineStr">
        <is>
          <t>und</t>
        </is>
      </c>
      <c r="G70" s="14" t="n">
        <v>3</v>
      </c>
      <c r="H70" s="15" t="inlineStr">
        <is>
          <t>M36</t>
        </is>
      </c>
    </row>
    <row r="71">
      <c r="A71" s="10" t="inlineStr">
        <is>
          <t>E-01</t>
        </is>
      </c>
      <c r="B71" s="5" t="inlineStr">
        <is>
          <t>SECRETARÍA Y ÁREA DE BIENVENIDA</t>
        </is>
      </c>
      <c r="C71" s="10" t="inlineStr">
        <is>
          <t>EM-01</t>
        </is>
      </c>
      <c r="D71" s="10" t="inlineStr">
        <is>
          <t>M63</t>
        </is>
      </c>
      <c r="E71" s="5" t="inlineStr">
        <is>
          <t>SOFÁ DE 3 CUERPOS 0.55 x 1.50 x 0.44 m</t>
        </is>
      </c>
      <c r="F71" s="10" t="inlineStr">
        <is>
          <t>und</t>
        </is>
      </c>
      <c r="G71" s="14" t="n">
        <v>1</v>
      </c>
      <c r="H71" s="15" t="inlineStr">
        <is>
          <t>M63</t>
        </is>
      </c>
    </row>
    <row r="72">
      <c r="A72" s="10" t="inlineStr">
        <is>
          <t>E-01</t>
        </is>
      </c>
      <c r="B72" s="5" t="inlineStr">
        <is>
          <t>SECRETARÍA Y ÁREA DE BIENVENIDA</t>
        </is>
      </c>
      <c r="C72" s="10" t="inlineStr">
        <is>
          <t>EM-01</t>
        </is>
      </c>
      <c r="D72" s="10" t="inlineStr">
        <is>
          <t>M62</t>
        </is>
      </c>
      <c r="E72" s="5" t="inlineStr">
        <is>
          <t>CESTO BOTA PAPELES DE ACERO CON PEDAL</t>
        </is>
      </c>
      <c r="F72" s="10" t="inlineStr">
        <is>
          <t>und</t>
        </is>
      </c>
      <c r="G72" s="14" t="n">
        <v>2</v>
      </c>
      <c r="H72" s="15" t="inlineStr">
        <is>
          <t>M62</t>
        </is>
      </c>
    </row>
    <row r="73">
      <c r="A73" s="10" t="inlineStr">
        <is>
          <t>E-01</t>
        </is>
      </c>
      <c r="B73" s="5" t="inlineStr">
        <is>
          <t>SECRETARÍA Y ÁREA DE BIENVENIDA</t>
        </is>
      </c>
      <c r="C73" s="10" t="inlineStr">
        <is>
          <t>EM-01</t>
        </is>
      </c>
      <c r="D73" s="10" t="inlineStr">
        <is>
          <t>K20</t>
        </is>
      </c>
      <c r="E73" s="5" t="inlineStr">
        <is>
          <t>COJINES</t>
        </is>
      </c>
      <c r="F73" s="10" t="inlineStr">
        <is>
          <t>und</t>
        </is>
      </c>
      <c r="G73" s="14" t="n">
        <v>4</v>
      </c>
      <c r="H73" s="15" t="inlineStr">
        <is>
          <t>K:E-01:SECRETARÍA Y ÁREA DE BIENVENIDA:K20</t>
        </is>
      </c>
    </row>
    <row r="74">
      <c r="A74" s="10" t="inlineStr">
        <is>
          <t>E-01</t>
        </is>
      </c>
      <c r="B74" s="5" t="inlineStr">
        <is>
          <t>SECRETARÍA Y ÁREA DE BIENVENIDA</t>
        </is>
      </c>
      <c r="C74" s="10" t="inlineStr">
        <is>
          <t>EM-01</t>
        </is>
      </c>
      <c r="D74" s="10" t="inlineStr">
        <is>
          <t>K78</t>
        </is>
      </c>
      <c r="E74" s="5" t="inlineStr">
        <is>
          <t>PISO ENCASTRABLE DE GOMA 25 mm</t>
        </is>
      </c>
      <c r="F74" s="10" t="inlineStr">
        <is>
          <t>und</t>
        </is>
      </c>
      <c r="G74" s="14" t="n">
        <v>3</v>
      </c>
      <c r="H74" s="15" t="inlineStr">
        <is>
          <t>K:E-01:SECRETARÍA Y ÁREA DE BIENVENIDA:K78</t>
        </is>
      </c>
    </row>
    <row r="75">
      <c r="A75" s="10" t="inlineStr">
        <is>
          <t>E-01</t>
        </is>
      </c>
      <c r="B75" s="5" t="inlineStr">
        <is>
          <t>SECRETARÍA Y ÁREA DE BIENVENIDA</t>
        </is>
      </c>
      <c r="C75" s="10" t="inlineStr">
        <is>
          <t>EM-01</t>
        </is>
      </c>
      <c r="D75" s="10" t="inlineStr">
        <is>
          <t>M39</t>
        </is>
      </c>
      <c r="E75" s="5" t="inlineStr">
        <is>
          <t>ARCHIVADOR DE MELAMINA CON TRES GAVETAS 0.60 x 0.46 x 1.20 m</t>
        </is>
      </c>
      <c r="F75" s="10" t="inlineStr">
        <is>
          <t>und</t>
        </is>
      </c>
      <c r="G75" s="14" t="n">
        <v>1</v>
      </c>
      <c r="H75" s="15" t="inlineStr">
        <is>
          <t>M39</t>
        </is>
      </c>
    </row>
    <row r="76">
      <c r="A76" s="2" t="inlineStr">
        <is>
          <t>E-01  Administración - DIRECCIÓN GENERAL Y SS.HH.</t>
        </is>
      </c>
      <c r="B76" s="4" t="n"/>
      <c r="C76" s="4" t="n"/>
      <c r="D76" s="4" t="n"/>
      <c r="E76" s="4" t="n"/>
      <c r="F76" s="4" t="n"/>
      <c r="G76" s="4" t="n"/>
    </row>
    <row r="77">
      <c r="A77" s="10" t="inlineStr">
        <is>
          <t>E-01</t>
        </is>
      </c>
      <c r="B77" s="5" t="inlineStr">
        <is>
          <t>DIRECCIÓN GENERAL Y SS.HH.</t>
        </is>
      </c>
      <c r="C77" s="10" t="inlineStr">
        <is>
          <t>EM-01</t>
        </is>
      </c>
      <c r="D77" s="10" t="inlineStr">
        <is>
          <t>E4</t>
        </is>
      </c>
      <c r="E77" s="5" t="inlineStr">
        <is>
          <t>RELOJ PARA ADOSAR A PARED</t>
        </is>
      </c>
      <c r="F77" s="10" t="inlineStr">
        <is>
          <t>und</t>
        </is>
      </c>
      <c r="G77" s="14" t="n">
        <v>1</v>
      </c>
      <c r="H77" s="15" t="inlineStr">
        <is>
          <t>E4</t>
        </is>
      </c>
    </row>
    <row r="78">
      <c r="A78" s="10" t="inlineStr">
        <is>
          <t>E-01</t>
        </is>
      </c>
      <c r="B78" s="5" t="inlineStr">
        <is>
          <t>DIRECCIÓN GENERAL Y SS.HH.</t>
        </is>
      </c>
      <c r="C78" s="10" t="inlineStr">
        <is>
          <t>EM-01</t>
        </is>
      </c>
      <c r="D78" s="10" t="inlineStr">
        <is>
          <t>E6</t>
        </is>
      </c>
      <c r="E78" s="5" t="inlineStr">
        <is>
          <t>COMPUTADORA i5 ESTACIONARIA</t>
        </is>
      </c>
      <c r="F78" s="10" t="inlineStr">
        <is>
          <t>und</t>
        </is>
      </c>
      <c r="G78" s="14" t="n">
        <v>1</v>
      </c>
      <c r="H78" s="15" t="inlineStr">
        <is>
          <t>E6</t>
        </is>
      </c>
    </row>
    <row r="79">
      <c r="A79" s="10" t="inlineStr">
        <is>
          <t>E-01</t>
        </is>
      </c>
      <c r="B79" s="5" t="inlineStr">
        <is>
          <t>DIRECCIÓN GENERAL Y SS.HH.</t>
        </is>
      </c>
      <c r="C79" s="10" t="inlineStr">
        <is>
          <t>EM-01</t>
        </is>
      </c>
      <c r="D79" s="10" t="inlineStr">
        <is>
          <t>E9</t>
        </is>
      </c>
      <c r="E79" s="5" t="inlineStr">
        <is>
          <t>IMPRESORA MULTIFUNCIONAL</t>
        </is>
      </c>
      <c r="F79" s="10" t="inlineStr">
        <is>
          <t>und</t>
        </is>
      </c>
      <c r="G79" s="14" t="n">
        <v>1</v>
      </c>
      <c r="H79" s="15" t="inlineStr">
        <is>
          <t>E9</t>
        </is>
      </c>
    </row>
    <row r="80">
      <c r="A80" s="10" t="inlineStr">
        <is>
          <t>E-01</t>
        </is>
      </c>
      <c r="B80" s="5" t="inlineStr">
        <is>
          <t>DIRECCIÓN GENERAL Y SS.HH.</t>
        </is>
      </c>
      <c r="C80" s="10" t="inlineStr">
        <is>
          <t>EM-01</t>
        </is>
      </c>
      <c r="D80" s="10" t="inlineStr">
        <is>
          <t>M7</t>
        </is>
      </c>
      <c r="E80" s="5" t="inlineStr">
        <is>
          <t>SILLA DEL PROFESOR DE MADERA, MELAMINA Y METAL 0.45 x 0.40 x 0.36 m</t>
        </is>
      </c>
      <c r="F80" s="10" t="inlineStr">
        <is>
          <t>und</t>
        </is>
      </c>
      <c r="G80" s="14" t="n">
        <v>3</v>
      </c>
      <c r="H80" s="15" t="inlineStr">
        <is>
          <t>M7</t>
        </is>
      </c>
    </row>
    <row r="81">
      <c r="A81" s="10" t="inlineStr">
        <is>
          <t>E-01</t>
        </is>
      </c>
      <c r="B81" s="5" t="inlineStr">
        <is>
          <t>DIRECCIÓN GENERAL Y SS.HH.</t>
        </is>
      </c>
      <c r="C81" s="10" t="inlineStr">
        <is>
          <t>EM-01</t>
        </is>
      </c>
      <c r="D81" s="10" t="inlineStr">
        <is>
          <t>M31</t>
        </is>
      </c>
      <c r="E81" s="5" t="inlineStr">
        <is>
          <t>ESCRITORIO DE MELAMINA CON CREDENZA MÓVIL 1.50 x 0.80 x 0.75 m</t>
        </is>
      </c>
      <c r="F81" s="10" t="inlineStr">
        <is>
          <t>und</t>
        </is>
      </c>
      <c r="G81" s="14" t="n">
        <v>1</v>
      </c>
      <c r="H81" s="15" t="inlineStr">
        <is>
          <t>M31</t>
        </is>
      </c>
    </row>
    <row r="82">
      <c r="A82" s="10" t="inlineStr">
        <is>
          <t>E-01</t>
        </is>
      </c>
      <c r="B82" s="5" t="inlineStr">
        <is>
          <t>DIRECCIÓN GENERAL Y SS.HH.</t>
        </is>
      </c>
      <c r="C82" s="10" t="inlineStr">
        <is>
          <t>EM-01</t>
        </is>
      </c>
      <c r="D82" s="10" t="inlineStr">
        <is>
          <t>M32</t>
        </is>
      </c>
      <c r="E82" s="5" t="inlineStr">
        <is>
          <t>SILLÓN PARA ACOPLAR 0.44 x 0.55 x 0.60 m</t>
        </is>
      </c>
      <c r="F82" s="10" t="inlineStr">
        <is>
          <t>und</t>
        </is>
      </c>
      <c r="G82" s="14" t="n">
        <v>2</v>
      </c>
      <c r="H82" s="15" t="inlineStr">
        <is>
          <t>M32</t>
        </is>
      </c>
    </row>
    <row r="83">
      <c r="A83" s="10" t="inlineStr">
        <is>
          <t>E-01</t>
        </is>
      </c>
      <c r="B83" s="5" t="inlineStr">
        <is>
          <t>DIRECCIÓN GENERAL Y SS.HH.</t>
        </is>
      </c>
      <c r="C83" s="10" t="inlineStr">
        <is>
          <t>EM-01</t>
        </is>
      </c>
      <c r="D83" s="10" t="inlineStr">
        <is>
          <t>M36</t>
        </is>
      </c>
      <c r="E83" s="5" t="inlineStr">
        <is>
          <t>ARMARIO DE MELAMINA CON 2 PUERTAS Y 4 NIVELES 0.90 x 0.45 x 1.80 m</t>
        </is>
      </c>
      <c r="F83" s="10" t="inlineStr">
        <is>
          <t>und</t>
        </is>
      </c>
      <c r="G83" s="14" t="n">
        <v>5</v>
      </c>
      <c r="H83" s="15" t="inlineStr">
        <is>
          <t>M36</t>
        </is>
      </c>
    </row>
    <row r="84">
      <c r="A84" s="10" t="inlineStr">
        <is>
          <t>E-01</t>
        </is>
      </c>
      <c r="B84" s="5" t="inlineStr">
        <is>
          <t>DIRECCIÓN GENERAL Y SS.HH.</t>
        </is>
      </c>
      <c r="C84" s="10" t="inlineStr">
        <is>
          <t>EM-01</t>
        </is>
      </c>
      <c r="D84" s="10" t="inlineStr">
        <is>
          <t>M39</t>
        </is>
      </c>
      <c r="E84" s="5" t="inlineStr">
        <is>
          <t>ARCHIVADOR DE MELAMINA CON TRES GAVETAS 0.60 x 0.46 x 1.20 m</t>
        </is>
      </c>
      <c r="F84" s="10" t="inlineStr">
        <is>
          <t>und</t>
        </is>
      </c>
      <c r="G84" s="14" t="n">
        <v>1</v>
      </c>
      <c r="H84" s="15" t="inlineStr">
        <is>
          <t>M39</t>
        </is>
      </c>
    </row>
    <row r="85">
      <c r="A85" s="10" t="inlineStr">
        <is>
          <t>E-01</t>
        </is>
      </c>
      <c r="B85" s="5" t="inlineStr">
        <is>
          <t>DIRECCIÓN GENERAL Y SS.HH.</t>
        </is>
      </c>
      <c r="C85" s="10" t="inlineStr">
        <is>
          <t>EM-01</t>
        </is>
      </c>
      <c r="D85" s="10" t="inlineStr">
        <is>
          <t>M60</t>
        </is>
      </c>
      <c r="E85" s="5" t="inlineStr">
        <is>
          <t>PAPELERA DE PLÁSTICO CON PEDAL</t>
        </is>
      </c>
      <c r="F85" s="10" t="inlineStr">
        <is>
          <t>und</t>
        </is>
      </c>
      <c r="G85" s="14" t="n">
        <v>1</v>
      </c>
      <c r="H85" s="15" t="inlineStr">
        <is>
          <t>M60</t>
        </is>
      </c>
    </row>
    <row r="86">
      <c r="A86" s="10" t="inlineStr">
        <is>
          <t>E-01</t>
        </is>
      </c>
      <c r="B86" s="5" t="inlineStr">
        <is>
          <t>DIRECCIÓN GENERAL Y SS.HH.</t>
        </is>
      </c>
      <c r="C86" s="10" t="inlineStr">
        <is>
          <t>EM-01</t>
        </is>
      </c>
      <c r="D86" s="10" t="inlineStr">
        <is>
          <t>M62</t>
        </is>
      </c>
      <c r="E86" s="5" t="inlineStr">
        <is>
          <t>CESTO BOTA PAPELES DE ACERO CON PEDAL</t>
        </is>
      </c>
      <c r="F86" s="10" t="inlineStr">
        <is>
          <t>und</t>
        </is>
      </c>
      <c r="G86" s="14" t="n">
        <v>1</v>
      </c>
      <c r="H86" s="15" t="inlineStr">
        <is>
          <t>M62</t>
        </is>
      </c>
    </row>
    <row r="87">
      <c r="A87" s="10" t="inlineStr">
        <is>
          <t>E-01</t>
        </is>
      </c>
      <c r="B87" s="5" t="inlineStr">
        <is>
          <t>DIRECCIÓN GENERAL Y SS.HH.</t>
        </is>
      </c>
      <c r="C87" s="10" t="inlineStr">
        <is>
          <t>EM-01</t>
        </is>
      </c>
      <c r="D87" s="10" t="inlineStr">
        <is>
          <t>M63</t>
        </is>
      </c>
      <c r="E87" s="5" t="inlineStr">
        <is>
          <t>SOFÁ DE 3 CUERPOS 0.55 x 1.50 x 0.44 m</t>
        </is>
      </c>
      <c r="F87" s="10" t="inlineStr">
        <is>
          <t>und</t>
        </is>
      </c>
      <c r="G87" s="14" t="n">
        <v>1</v>
      </c>
      <c r="H87" s="15" t="inlineStr">
        <is>
          <t>M63</t>
        </is>
      </c>
    </row>
    <row r="88">
      <c r="A88" s="10" t="inlineStr">
        <is>
          <t>E-01</t>
        </is>
      </c>
      <c r="B88" s="5" t="inlineStr">
        <is>
          <t>DIRECCIÓN GENERAL Y SS.HH.</t>
        </is>
      </c>
      <c r="C88" s="10" t="inlineStr">
        <is>
          <t>EM-01</t>
        </is>
      </c>
      <c r="D88" s="10" t="inlineStr">
        <is>
          <t>M76</t>
        </is>
      </c>
      <c r="E88" s="5" t="inlineStr">
        <is>
          <t>PORTAPAPEL HIGIÉNICO</t>
        </is>
      </c>
      <c r="F88" s="10" t="inlineStr">
        <is>
          <t>und</t>
        </is>
      </c>
      <c r="G88" s="14" t="n">
        <v>1</v>
      </c>
      <c r="H88" s="15" t="inlineStr">
        <is>
          <t>M76</t>
        </is>
      </c>
    </row>
    <row r="89">
      <c r="A89" s="2" t="inlineStr">
        <is>
          <t>E-01  Administración - SS.HH. DE PERSONAL Y SS.HH. PARA PERSONAS CON DISCAPACIDAD</t>
        </is>
      </c>
      <c r="B89" s="4" t="n"/>
      <c r="C89" s="4" t="n"/>
      <c r="D89" s="4" t="n"/>
      <c r="E89" s="4" t="n"/>
      <c r="F89" s="4" t="n"/>
      <c r="G89" s="4" t="n"/>
    </row>
    <row r="90">
      <c r="A90" s="10" t="inlineStr">
        <is>
          <t>E-01</t>
        </is>
      </c>
      <c r="B90" s="5" t="inlineStr">
        <is>
          <t>SS.HH. DE PERSONAL Y SS.HH. PARA PERSONAS CON DISCAPACIDAD</t>
        </is>
      </c>
      <c r="C90" s="10" t="inlineStr">
        <is>
          <t>EM-01</t>
        </is>
      </c>
      <c r="D90" s="10" t="inlineStr">
        <is>
          <t>M60</t>
        </is>
      </c>
      <c r="E90" s="5" t="inlineStr">
        <is>
          <t>PAPELERA DE PLÁSTICO CON PEDAL</t>
        </is>
      </c>
      <c r="F90" s="10" t="inlineStr">
        <is>
          <t>und</t>
        </is>
      </c>
      <c r="G90" s="14" t="n">
        <v>3</v>
      </c>
      <c r="H90" s="15" t="inlineStr">
        <is>
          <t>M60</t>
        </is>
      </c>
    </row>
    <row r="91">
      <c r="A91" s="10" t="inlineStr">
        <is>
          <t>E-01</t>
        </is>
      </c>
      <c r="B91" s="5" t="inlineStr">
        <is>
          <t>SS.HH. DE PERSONAL Y SS.HH. PARA PERSONAS CON DISCAPACIDAD</t>
        </is>
      </c>
      <c r="C91" s="10" t="inlineStr">
        <is>
          <t>EM-01</t>
        </is>
      </c>
      <c r="D91" s="10" t="inlineStr">
        <is>
          <t>M76</t>
        </is>
      </c>
      <c r="E91" s="5" t="inlineStr">
        <is>
          <t>PORTAPAPEL HIGIÉNICO</t>
        </is>
      </c>
      <c r="F91" s="10" t="inlineStr">
        <is>
          <t>und</t>
        </is>
      </c>
      <c r="G91" s="14" t="n">
        <v>3</v>
      </c>
      <c r="H91" s="15" t="inlineStr">
        <is>
          <t>M76</t>
        </is>
      </c>
    </row>
    <row r="92">
      <c r="A92" s="2" t="inlineStr">
        <is>
          <t>E-01  Administración - PASADIZO</t>
        </is>
      </c>
      <c r="B92" s="4" t="n"/>
      <c r="C92" s="4" t="n"/>
      <c r="D92" s="4" t="n"/>
      <c r="E92" s="4" t="n"/>
      <c r="F92" s="4" t="n"/>
      <c r="G92" s="4" t="n"/>
    </row>
    <row r="93">
      <c r="A93" s="10" t="inlineStr">
        <is>
          <t>E-01</t>
        </is>
      </c>
      <c r="B93" s="5" t="inlineStr">
        <is>
          <t>PASADIZO</t>
        </is>
      </c>
      <c r="C93" s="10" t="inlineStr">
        <is>
          <t>EM-01</t>
        </is>
      </c>
      <c r="D93" s="10" t="inlineStr">
        <is>
          <t>M7</t>
        </is>
      </c>
      <c r="E93" s="5" t="inlineStr">
        <is>
          <t>SILLA DEL PROFESOR DE MADERA, MELAMINA Y METAL 0.45 x 0.40 x 0.36 m</t>
        </is>
      </c>
      <c r="F93" s="10" t="inlineStr">
        <is>
          <t>und</t>
        </is>
      </c>
      <c r="G93" s="14" t="n">
        <v>8</v>
      </c>
      <c r="H93" s="15" t="inlineStr">
        <is>
          <t>M7</t>
        </is>
      </c>
    </row>
    <row r="94">
      <c r="A94" s="2" t="inlineStr">
        <is>
          <t>E-02  Almacén de donaciones y tópico - ALMACÉN DE DONACIONES, TÓPICO Y SS.HH.</t>
        </is>
      </c>
      <c r="B94" s="4" t="n"/>
      <c r="C94" s="4" t="n"/>
      <c r="D94" s="4" t="n"/>
      <c r="E94" s="4" t="n"/>
      <c r="F94" s="4" t="n"/>
      <c r="G94" s="4" t="n"/>
    </row>
    <row r="95">
      <c r="A95" s="10" t="inlineStr">
        <is>
          <t>E-02</t>
        </is>
      </c>
      <c r="B95" s="5" t="inlineStr">
        <is>
          <t>ALMACÉN DE DONACIONES, TÓPICO Y SS.HH.</t>
        </is>
      </c>
      <c r="C95" s="10" t="inlineStr">
        <is>
          <t>EM-02</t>
        </is>
      </c>
      <c r="D95" s="10" t="inlineStr">
        <is>
          <t>E2</t>
        </is>
      </c>
      <c r="E95" s="5" t="inlineStr">
        <is>
          <t>COMPUTADORA PORTÁTIL i5</t>
        </is>
      </c>
      <c r="F95" s="10" t="inlineStr">
        <is>
          <t>und</t>
        </is>
      </c>
      <c r="G95" s="14" t="n">
        <v>1</v>
      </c>
      <c r="H95" s="15" t="inlineStr">
        <is>
          <t>E2</t>
        </is>
      </c>
    </row>
    <row r="96">
      <c r="A96" s="10" t="inlineStr">
        <is>
          <t>E-02</t>
        </is>
      </c>
      <c r="B96" s="5" t="inlineStr">
        <is>
          <t>ALMACÉN DE DONACIONES, TÓPICO Y SS.HH.</t>
        </is>
      </c>
      <c r="C96" s="10" t="inlineStr">
        <is>
          <t>EM-02</t>
        </is>
      </c>
      <c r="D96" s="10" t="inlineStr">
        <is>
          <t>E4</t>
        </is>
      </c>
      <c r="E96" s="5" t="inlineStr">
        <is>
          <t>RELOJ PARA ADOSAR A PARED</t>
        </is>
      </c>
      <c r="F96" s="10" t="inlineStr">
        <is>
          <t>und</t>
        </is>
      </c>
      <c r="G96" s="14" t="n">
        <v>1</v>
      </c>
      <c r="H96" s="15" t="inlineStr">
        <is>
          <t>E4</t>
        </is>
      </c>
    </row>
    <row r="97">
      <c r="A97" s="10" t="inlineStr">
        <is>
          <t>E-02</t>
        </is>
      </c>
      <c r="B97" s="5" t="inlineStr">
        <is>
          <t>ALMACÉN DE DONACIONES, TÓPICO Y SS.HH.</t>
        </is>
      </c>
      <c r="C97" s="10" t="inlineStr">
        <is>
          <t>EM-02</t>
        </is>
      </c>
      <c r="D97" s="10" t="inlineStr">
        <is>
          <t>M7</t>
        </is>
      </c>
      <c r="E97" s="5" t="inlineStr">
        <is>
          <t>SILLA DEL PROFESOR DE MADERA, MELAMINA Y METAL 0.45 x 0.40 x 0.36 m</t>
        </is>
      </c>
      <c r="F97" s="10" t="inlineStr">
        <is>
          <t>und</t>
        </is>
      </c>
      <c r="G97" s="14" t="n">
        <v>3</v>
      </c>
      <c r="H97" s="15" t="inlineStr">
        <is>
          <t>M7</t>
        </is>
      </c>
    </row>
    <row r="98">
      <c r="A98" s="10" t="inlineStr">
        <is>
          <t>E-02</t>
        </is>
      </c>
      <c r="B98" s="5" t="inlineStr">
        <is>
          <t>ALMACÉN DE DONACIONES, TÓPICO Y SS.HH.</t>
        </is>
      </c>
      <c r="C98" s="10" t="inlineStr">
        <is>
          <t>EM-02</t>
        </is>
      </c>
      <c r="D98" s="10" t="inlineStr">
        <is>
          <t>M20</t>
        </is>
      </c>
      <c r="E98" s="5" t="inlineStr">
        <is>
          <t>BIOMBO METÁLICO DE 3 CUERPOS</t>
        </is>
      </c>
      <c r="F98" s="10" t="inlineStr">
        <is>
          <t>und</t>
        </is>
      </c>
      <c r="G98" s="14" t="n">
        <v>1</v>
      </c>
      <c r="H98" s="15" t="inlineStr">
        <is>
          <t>M20</t>
        </is>
      </c>
    </row>
    <row r="99">
      <c r="A99" s="10" t="inlineStr">
        <is>
          <t>E-02</t>
        </is>
      </c>
      <c r="B99" s="5" t="inlineStr">
        <is>
          <t>ALMACÉN DE DONACIONES, TÓPICO Y SS.HH.</t>
        </is>
      </c>
      <c r="C99" s="10" t="inlineStr">
        <is>
          <t>EM-02</t>
        </is>
      </c>
      <c r="D99" s="10" t="inlineStr">
        <is>
          <t>M27</t>
        </is>
      </c>
      <c r="E99" s="5" t="inlineStr">
        <is>
          <t>SILLA DE RUEDAS</t>
        </is>
      </c>
      <c r="F99" s="10" t="inlineStr">
        <is>
          <t>und</t>
        </is>
      </c>
      <c r="G99" s="14" t="n">
        <v>1</v>
      </c>
      <c r="H99" s="15" t="inlineStr">
        <is>
          <t>M27</t>
        </is>
      </c>
    </row>
    <row r="100">
      <c r="A100" s="10" t="inlineStr">
        <is>
          <t>E-02</t>
        </is>
      </c>
      <c r="B100" s="5" t="inlineStr">
        <is>
          <t>ALMACÉN DE DONACIONES, TÓPICO Y SS.HH.</t>
        </is>
      </c>
      <c r="C100" s="10" t="inlineStr">
        <is>
          <t>EM-02</t>
        </is>
      </c>
      <c r="D100" s="10" t="inlineStr">
        <is>
          <t>M28</t>
        </is>
      </c>
      <c r="E100" s="5" t="inlineStr">
        <is>
          <t>ESCRITORIO DE MELAMINA CON DOS CAJONERAS 1.00 x 0.50 x 0.75 m</t>
        </is>
      </c>
      <c r="F100" s="10" t="inlineStr">
        <is>
          <t>und</t>
        </is>
      </c>
      <c r="G100" s="14" t="n">
        <v>1</v>
      </c>
      <c r="H100" s="15" t="inlineStr">
        <is>
          <t>M28</t>
        </is>
      </c>
    </row>
    <row r="101">
      <c r="A101" s="10" t="inlineStr">
        <is>
          <t>E-02</t>
        </is>
      </c>
      <c r="B101" s="5" t="inlineStr">
        <is>
          <t>ALMACÉN DE DONACIONES, TÓPICO Y SS.HH.</t>
        </is>
      </c>
      <c r="C101" s="10" t="inlineStr">
        <is>
          <t>EM-02</t>
        </is>
      </c>
      <c r="D101" s="10" t="inlineStr">
        <is>
          <t>M32</t>
        </is>
      </c>
      <c r="E101" s="5" t="inlineStr">
        <is>
          <t>SILLÓN PARA ACOPLAR 0.44 x 0.55 x 0.60 m</t>
        </is>
      </c>
      <c r="F101" s="10" t="inlineStr">
        <is>
          <t>und</t>
        </is>
      </c>
      <c r="G101" s="14" t="n">
        <v>1</v>
      </c>
      <c r="H101" s="15" t="inlineStr">
        <is>
          <t>M32</t>
        </is>
      </c>
    </row>
    <row r="102">
      <c r="A102" s="10" t="inlineStr">
        <is>
          <t>E-02</t>
        </is>
      </c>
      <c r="B102" s="5" t="inlineStr">
        <is>
          <t>ALMACÉN DE DONACIONES, TÓPICO Y SS.HH.</t>
        </is>
      </c>
      <c r="C102" s="10" t="inlineStr">
        <is>
          <t>EM-02</t>
        </is>
      </c>
      <c r="D102" s="10" t="inlineStr">
        <is>
          <t>M36</t>
        </is>
      </c>
      <c r="E102" s="5" t="inlineStr">
        <is>
          <t>ARMARIO DE MELAMINA CON 2 PUERTAS Y 4 NIVELES 0.90 x 0.45 x 1.80 m</t>
        </is>
      </c>
      <c r="F102" s="10" t="inlineStr">
        <is>
          <t>und</t>
        </is>
      </c>
      <c r="G102" s="14" t="n">
        <v>6</v>
      </c>
      <c r="H102" s="15" t="inlineStr">
        <is>
          <t>M36</t>
        </is>
      </c>
    </row>
    <row r="103">
      <c r="A103" s="10" t="inlineStr">
        <is>
          <t>E-02</t>
        </is>
      </c>
      <c r="B103" s="5" t="inlineStr">
        <is>
          <t>ALMACÉN DE DONACIONES, TÓPICO Y SS.HH.</t>
        </is>
      </c>
      <c r="C103" s="10" t="inlineStr">
        <is>
          <t>EM-02</t>
        </is>
      </c>
      <c r="D103" s="10" t="inlineStr">
        <is>
          <t>M51</t>
        </is>
      </c>
      <c r="E103" s="5" t="inlineStr">
        <is>
          <t>ESTANTE METÁLICO RANURADO CON CUATRO DIVISIONES 0.90 x 0.45 x 1.80 m</t>
        </is>
      </c>
      <c r="F103" s="10" t="inlineStr">
        <is>
          <t>und</t>
        </is>
      </c>
      <c r="G103" s="14" t="n">
        <v>9</v>
      </c>
      <c r="H103" s="15" t="inlineStr">
        <is>
          <t>M51</t>
        </is>
      </c>
    </row>
    <row r="104">
      <c r="A104" s="10" t="inlineStr">
        <is>
          <t>E-02</t>
        </is>
      </c>
      <c r="B104" s="5" t="inlineStr">
        <is>
          <t>ALMACÉN DE DONACIONES, TÓPICO Y SS.HH.</t>
        </is>
      </c>
      <c r="C104" s="10" t="inlineStr">
        <is>
          <t>EM-02</t>
        </is>
      </c>
      <c r="D104" s="10" t="inlineStr">
        <is>
          <t>M60</t>
        </is>
      </c>
      <c r="E104" s="5" t="inlineStr">
        <is>
          <t>PAPELERA DE PLÁSTICO CON PEDAL</t>
        </is>
      </c>
      <c r="F104" s="10" t="inlineStr">
        <is>
          <t>und</t>
        </is>
      </c>
      <c r="G104" s="14" t="n">
        <v>1</v>
      </c>
      <c r="H104" s="15" t="inlineStr">
        <is>
          <t>M60</t>
        </is>
      </c>
    </row>
    <row r="105">
      <c r="A105" s="10" t="inlineStr">
        <is>
          <t>E-02</t>
        </is>
      </c>
      <c r="B105" s="5" t="inlineStr">
        <is>
          <t>ALMACÉN DE DONACIONES, TÓPICO Y SS.HH.</t>
        </is>
      </c>
      <c r="C105" s="10" t="inlineStr">
        <is>
          <t>EM-02</t>
        </is>
      </c>
      <c r="D105" s="10" t="inlineStr">
        <is>
          <t>M62</t>
        </is>
      </c>
      <c r="E105" s="5" t="inlineStr">
        <is>
          <t>CESTO BOTA PAPELES DE ACERO CON PEDAL</t>
        </is>
      </c>
      <c r="F105" s="10" t="inlineStr">
        <is>
          <t>und</t>
        </is>
      </c>
      <c r="G105" s="14" t="n">
        <v>1</v>
      </c>
      <c r="H105" s="15" t="inlineStr">
        <is>
          <t>M62</t>
        </is>
      </c>
    </row>
    <row r="106">
      <c r="A106" s="10" t="inlineStr">
        <is>
          <t>E-02</t>
        </is>
      </c>
      <c r="B106" s="5" t="inlineStr">
        <is>
          <t>ALMACÉN DE DONACIONES, TÓPICO Y SS.HH.</t>
        </is>
      </c>
      <c r="C106" s="10" t="inlineStr">
        <is>
          <t>EM-02</t>
        </is>
      </c>
      <c r="D106" s="10" t="inlineStr">
        <is>
          <t>M63</t>
        </is>
      </c>
      <c r="E106" s="5" t="inlineStr">
        <is>
          <t>SOFÁ DE 3 CUERPOS 0.55 x 1.50 x 0.44 m</t>
        </is>
      </c>
      <c r="F106" s="10" t="inlineStr">
        <is>
          <t>und</t>
        </is>
      </c>
      <c r="G106" s="14" t="n">
        <v>1</v>
      </c>
      <c r="H106" s="15" t="inlineStr">
        <is>
          <t>M63</t>
        </is>
      </c>
    </row>
    <row r="107">
      <c r="A107" s="10" t="inlineStr">
        <is>
          <t>E-02</t>
        </is>
      </c>
      <c r="B107" s="5" t="inlineStr">
        <is>
          <t>ALMACÉN DE DONACIONES, TÓPICO Y SS.HH.</t>
        </is>
      </c>
      <c r="C107" s="10" t="inlineStr">
        <is>
          <t>EM-02</t>
        </is>
      </c>
      <c r="D107" s="10" t="inlineStr">
        <is>
          <t>M65</t>
        </is>
      </c>
      <c r="E107" s="5" t="inlineStr">
        <is>
          <t>CAMILLA METÁLICA RECLINABLE CON RESPALDO Y RUEDAS 1.80 x 0.60 x 0.70 m</t>
        </is>
      </c>
      <c r="F107" s="10" t="inlineStr">
        <is>
          <t>und</t>
        </is>
      </c>
      <c r="G107" s="14" t="n">
        <v>1</v>
      </c>
      <c r="H107" s="15" t="inlineStr">
        <is>
          <t>M65</t>
        </is>
      </c>
    </row>
    <row r="108">
      <c r="A108" s="10" t="inlineStr">
        <is>
          <t>E-02</t>
        </is>
      </c>
      <c r="B108" s="5" t="inlineStr">
        <is>
          <t>ALMACÉN DE DONACIONES, TÓPICO Y SS.HH.</t>
        </is>
      </c>
      <c r="C108" s="10" t="inlineStr">
        <is>
          <t>EM-02</t>
        </is>
      </c>
      <c r="D108" s="10" t="inlineStr">
        <is>
          <t>M67</t>
        </is>
      </c>
      <c r="E108" s="5" t="inlineStr">
        <is>
          <t>ESCALERA METÁLICA DE DOS PELDAÑOS 0.40 x 0.40 x 0.36 m</t>
        </is>
      </c>
      <c r="F108" s="10" t="inlineStr">
        <is>
          <t>und</t>
        </is>
      </c>
      <c r="G108" s="14" t="n">
        <v>1</v>
      </c>
      <c r="H108" s="15" t="inlineStr">
        <is>
          <t>M67</t>
        </is>
      </c>
    </row>
    <row r="109">
      <c r="A109" s="10" t="inlineStr">
        <is>
          <t>E-02</t>
        </is>
      </c>
      <c r="B109" s="5" t="inlineStr">
        <is>
          <t>ALMACÉN DE DONACIONES, TÓPICO Y SS.HH.</t>
        </is>
      </c>
      <c r="C109" s="10" t="inlineStr">
        <is>
          <t>EM-02</t>
        </is>
      </c>
      <c r="D109" s="10" t="inlineStr">
        <is>
          <t>M70</t>
        </is>
      </c>
      <c r="E109" s="5" t="inlineStr">
        <is>
          <t>BOTIQUÍN DE MADERA DE PRIMEROS AUXILIOS CON DOS DIVISIONES Y UNA PUERTA 0.30 x 0.15 x 0.40 m, INCLUYE MEDICAMENTOS</t>
        </is>
      </c>
      <c r="F109" s="10" t="inlineStr">
        <is>
          <t>und</t>
        </is>
      </c>
      <c r="G109" s="14" t="n">
        <v>1</v>
      </c>
      <c r="H109" s="15" t="inlineStr">
        <is>
          <t>M70</t>
        </is>
      </c>
    </row>
    <row r="110">
      <c r="A110" s="10" t="inlineStr">
        <is>
          <t>E-02</t>
        </is>
      </c>
      <c r="B110" s="5" t="inlineStr">
        <is>
          <t>ALMACÉN DE DONACIONES, TÓPICO Y SS.HH.</t>
        </is>
      </c>
      <c r="C110" s="10" t="inlineStr">
        <is>
          <t>EM-02</t>
        </is>
      </c>
      <c r="D110" s="10" t="inlineStr">
        <is>
          <t>M71</t>
        </is>
      </c>
      <c r="E110" s="5" t="inlineStr">
        <is>
          <t>COCHE MULTIUSOS MÓVIL DE ACERO INOXIDABLE 0.80 x 0.40 x 0.90 m</t>
        </is>
      </c>
      <c r="F110" s="10" t="inlineStr">
        <is>
          <t>und</t>
        </is>
      </c>
      <c r="G110" s="14" t="n">
        <v>1</v>
      </c>
      <c r="H110" s="15" t="inlineStr">
        <is>
          <t>M71</t>
        </is>
      </c>
    </row>
    <row r="111">
      <c r="A111" s="10" t="inlineStr">
        <is>
          <t>E-02</t>
        </is>
      </c>
      <c r="B111" s="5" t="inlineStr">
        <is>
          <t>ALMACÉN DE DONACIONES, TÓPICO Y SS.HH.</t>
        </is>
      </c>
      <c r="C111" s="10" t="inlineStr">
        <is>
          <t>EM-02</t>
        </is>
      </c>
      <c r="D111" s="10" t="inlineStr">
        <is>
          <t>K32</t>
        </is>
      </c>
      <c r="E111" s="5" t="inlineStr">
        <is>
          <t>BIDÓN DE OXÍGENO MEDICINAL</t>
        </is>
      </c>
      <c r="F111" s="10" t="inlineStr">
        <is>
          <t>und</t>
        </is>
      </c>
      <c r="G111" s="14" t="n">
        <v>1</v>
      </c>
      <c r="H111" s="15" t="inlineStr">
        <is>
          <t>K:E-02:ALMACÉN DE DONACIONES, TÓPICO Y SS.HH.:K32</t>
        </is>
      </c>
    </row>
    <row r="112">
      <c r="A112" s="10" t="inlineStr">
        <is>
          <t>E-02</t>
        </is>
      </c>
      <c r="B112" s="5" t="inlineStr">
        <is>
          <t>ALMACÉN DE DONACIONES, TÓPICO Y SS.HH.</t>
        </is>
      </c>
      <c r="C112" s="10" t="inlineStr">
        <is>
          <t>EM-02</t>
        </is>
      </c>
      <c r="D112" s="10" t="inlineStr">
        <is>
          <t>K33</t>
        </is>
      </c>
      <c r="E112" s="5" t="inlineStr">
        <is>
          <t>TENSIÓMETRO</t>
        </is>
      </c>
      <c r="F112" s="10" t="inlineStr">
        <is>
          <t>und</t>
        </is>
      </c>
      <c r="G112" s="14" t="n">
        <v>1</v>
      </c>
      <c r="H112" s="15" t="inlineStr">
        <is>
          <t>K:E-02:ALMACÉN DE DONACIONES, TÓPICO Y SS.HH.:K33</t>
        </is>
      </c>
    </row>
    <row r="113">
      <c r="A113" s="10" t="inlineStr">
        <is>
          <t>E-02</t>
        </is>
      </c>
      <c r="B113" s="5" t="inlineStr">
        <is>
          <t>ALMACÉN DE DONACIONES, TÓPICO Y SS.HH.</t>
        </is>
      </c>
      <c r="C113" s="10" t="inlineStr">
        <is>
          <t>EM-02</t>
        </is>
      </c>
      <c r="D113" s="10" t="inlineStr">
        <is>
          <t>K34</t>
        </is>
      </c>
      <c r="E113" s="5" t="inlineStr">
        <is>
          <t>TERMÓMETRO DIGITAL</t>
        </is>
      </c>
      <c r="F113" s="10" t="inlineStr">
        <is>
          <t>und</t>
        </is>
      </c>
      <c r="G113" s="14" t="n">
        <v>1</v>
      </c>
      <c r="H113" s="15" t="inlineStr">
        <is>
          <t>K:E-02:ALMACÉN DE DONACIONES, TÓPICO Y SS.HH.:K34</t>
        </is>
      </c>
    </row>
    <row r="114">
      <c r="A114" s="10" t="inlineStr">
        <is>
          <t>E-02</t>
        </is>
      </c>
      <c r="B114" s="5" t="inlineStr">
        <is>
          <t>ALMACÉN DE DONACIONES, TÓPICO Y SS.HH.</t>
        </is>
      </c>
      <c r="C114" s="10" t="inlineStr">
        <is>
          <t>EM-02</t>
        </is>
      </c>
      <c r="D114" s="10" t="inlineStr">
        <is>
          <t>K35</t>
        </is>
      </c>
      <c r="E114" s="5" t="inlineStr">
        <is>
          <t>ESTETOSCOPIO</t>
        </is>
      </c>
      <c r="F114" s="10" t="inlineStr">
        <is>
          <t>und</t>
        </is>
      </c>
      <c r="G114" s="14" t="n">
        <v>1</v>
      </c>
      <c r="H114" s="15" t="inlineStr">
        <is>
          <t>K:E-02:ALMACÉN DE DONACIONES, TÓPICO Y SS.HH.:K35</t>
        </is>
      </c>
    </row>
    <row r="115">
      <c r="A115" s="10" t="inlineStr">
        <is>
          <t>E-02</t>
        </is>
      </c>
      <c r="B115" s="5" t="inlineStr">
        <is>
          <t>ALMACÉN DE DONACIONES, TÓPICO Y SS.HH.</t>
        </is>
      </c>
      <c r="C115" s="10" t="inlineStr">
        <is>
          <t>EM-02</t>
        </is>
      </c>
      <c r="D115" s="10" t="inlineStr">
        <is>
          <t>M76</t>
        </is>
      </c>
      <c r="E115" s="5" t="inlineStr">
        <is>
          <t>PORTAPAPEL HIGIÉNICO</t>
        </is>
      </c>
      <c r="F115" s="10" t="inlineStr">
        <is>
          <t>und</t>
        </is>
      </c>
      <c r="G115" s="14" t="n">
        <v>1</v>
      </c>
      <c r="H115" s="15" t="inlineStr">
        <is>
          <t>M76</t>
        </is>
      </c>
    </row>
    <row r="116">
      <c r="A116" s="2" t="inlineStr">
        <is>
          <t>E-03  Mantenimiento - ALMACÉN GENERAL Y DE LIMPIEZA, Y ALMACENAMIENTO DE RESIDUOS SÓLIDOS</t>
        </is>
      </c>
      <c r="B116" s="4" t="n"/>
      <c r="C116" s="4" t="n"/>
      <c r="D116" s="4" t="n"/>
      <c r="E116" s="4" t="n"/>
      <c r="F116" s="4" t="n"/>
      <c r="G116" s="4" t="n"/>
    </row>
    <row r="117">
      <c r="A117" s="10" t="inlineStr">
        <is>
          <t>E-03</t>
        </is>
      </c>
      <c r="B117" s="5" t="inlineStr">
        <is>
          <t>ALMACÉN GENERAL Y DE LIMPIEZA, Y ALMACENAMIENTO DE RESIDUOS SÓLIDOS</t>
        </is>
      </c>
      <c r="C117" s="10" t="inlineStr">
        <is>
          <t>EM-02</t>
        </is>
      </c>
      <c r="D117" s="10" t="inlineStr">
        <is>
          <t>M51</t>
        </is>
      </c>
      <c r="E117" s="5" t="inlineStr">
        <is>
          <t>ESTANTE METÁLICO RANURADO CON CUATRO DIVISIONES 0.90 x 0.45 x 1.80 m</t>
        </is>
      </c>
      <c r="F117" s="10" t="inlineStr">
        <is>
          <t>und</t>
        </is>
      </c>
      <c r="G117" s="14" t="n">
        <v>6</v>
      </c>
      <c r="H117" s="15" t="inlineStr">
        <is>
          <t>M51</t>
        </is>
      </c>
    </row>
    <row r="118">
      <c r="A118" s="10" t="inlineStr">
        <is>
          <t>E-03</t>
        </is>
      </c>
      <c r="B118" s="5" t="inlineStr">
        <is>
          <t>ALMACÉN GENERAL Y DE LIMPIEZA, Y ALMACENAMIENTO DE RESIDUOS SÓLIDOS</t>
        </is>
      </c>
      <c r="C118" s="10" t="inlineStr">
        <is>
          <t>EM-02</t>
        </is>
      </c>
      <c r="D118" s="10" t="inlineStr">
        <is>
          <t>M75</t>
        </is>
      </c>
      <c r="E118" s="5" t="inlineStr">
        <is>
          <t>CONTENEDOR CON TAPA PARA RESIDUOS SÓLIDOS 0.80 x 1.00 x 1.00 m</t>
        </is>
      </c>
      <c r="F118" s="10" t="inlineStr">
        <is>
          <t>und</t>
        </is>
      </c>
      <c r="G118" s="14" t="n">
        <v>3</v>
      </c>
      <c r="H118" s="15" t="inlineStr">
        <is>
          <t>M75</t>
        </is>
      </c>
    </row>
    <row r="119">
      <c r="A119" s="2" t="inlineStr">
        <is>
          <t>E-04  Talleres - TALLER DE COSTURA</t>
        </is>
      </c>
      <c r="B119" s="4" t="n"/>
      <c r="C119" s="4" t="n"/>
      <c r="D119" s="4" t="n"/>
      <c r="E119" s="4" t="n"/>
      <c r="F119" s="4" t="n"/>
      <c r="G119" s="4" t="n"/>
    </row>
    <row r="120">
      <c r="A120" s="10" t="inlineStr">
        <is>
          <t>E-04</t>
        </is>
      </c>
      <c r="B120" s="5" t="inlineStr">
        <is>
          <t>TALLER DE COSTURA</t>
        </is>
      </c>
      <c r="C120" s="10" t="inlineStr">
        <is>
          <t>EM-03</t>
        </is>
      </c>
      <c r="D120" s="10" t="inlineStr">
        <is>
          <t>E10</t>
        </is>
      </c>
      <c r="E120" s="5" t="inlineStr">
        <is>
          <t>MÁQUINA DE CORTE TEXTIL</t>
        </is>
      </c>
      <c r="F120" s="10" t="inlineStr">
        <is>
          <t>und</t>
        </is>
      </c>
      <c r="G120" s="14" t="n">
        <v>10</v>
      </c>
      <c r="H120" s="15" t="inlineStr">
        <is>
          <t>E10</t>
        </is>
      </c>
    </row>
    <row r="121">
      <c r="A121" s="10" t="inlineStr">
        <is>
          <t>E-04</t>
        </is>
      </c>
      <c r="B121" s="5" t="inlineStr">
        <is>
          <t>TALLER DE COSTURA</t>
        </is>
      </c>
      <c r="C121" s="10" t="inlineStr">
        <is>
          <t>EM-03</t>
        </is>
      </c>
      <c r="D121" s="10" t="inlineStr">
        <is>
          <t>M7</t>
        </is>
      </c>
      <c r="E121" s="5" t="inlineStr">
        <is>
          <t>SILLA DEL PROFESOR DE MADERA, MELAMINA Y METAL 0.45 x 0.40 x 0.36 m</t>
        </is>
      </c>
      <c r="F121" s="10" t="inlineStr">
        <is>
          <t>und</t>
        </is>
      </c>
      <c r="G121" s="14" t="n">
        <v>10</v>
      </c>
      <c r="H121" s="15" t="inlineStr">
        <is>
          <t>M7</t>
        </is>
      </c>
    </row>
    <row r="122">
      <c r="A122" s="10" t="inlineStr">
        <is>
          <t>E-04</t>
        </is>
      </c>
      <c r="B122" s="5" t="inlineStr">
        <is>
          <t>TALLER DE COSTURA</t>
        </is>
      </c>
      <c r="C122" s="10" t="inlineStr">
        <is>
          <t>EM-03</t>
        </is>
      </c>
      <c r="D122" s="10" t="inlineStr">
        <is>
          <t>M9</t>
        </is>
      </c>
      <c r="E122" s="5" t="inlineStr">
        <is>
          <t>MANIQUÍ DE COSTURA PARA CONFECCIÓN TEXTIL</t>
        </is>
      </c>
      <c r="F122" s="10" t="inlineStr">
        <is>
          <t>und</t>
        </is>
      </c>
      <c r="G122" s="14" t="n">
        <v>5</v>
      </c>
      <c r="H122" s="15" t="inlineStr">
        <is>
          <t>M9</t>
        </is>
      </c>
    </row>
    <row r="123">
      <c r="A123" s="10" t="inlineStr">
        <is>
          <t>E-04</t>
        </is>
      </c>
      <c r="B123" s="5" t="inlineStr">
        <is>
          <t>TALLER DE COSTURA</t>
        </is>
      </c>
      <c r="C123" s="10" t="inlineStr">
        <is>
          <t>EM-03</t>
        </is>
      </c>
      <c r="D123" s="10" t="inlineStr">
        <is>
          <t>M16</t>
        </is>
      </c>
      <c r="E123" s="5" t="inlineStr">
        <is>
          <t>MESA DE CORTE TEXTIL 0.80 x 1.50 x 0.75 m</t>
        </is>
      </c>
      <c r="F123" s="10" t="inlineStr">
        <is>
          <t>und</t>
        </is>
      </c>
      <c r="G123" s="14" t="n">
        <v>10</v>
      </c>
      <c r="H123" s="15" t="inlineStr">
        <is>
          <t>M16-T</t>
        </is>
      </c>
    </row>
    <row r="124">
      <c r="A124" s="10" t="inlineStr">
        <is>
          <t>E-04</t>
        </is>
      </c>
      <c r="B124" s="5" t="inlineStr">
        <is>
          <t>TALLER DE COSTURA</t>
        </is>
      </c>
      <c r="C124" s="10" t="inlineStr">
        <is>
          <t>EM-03</t>
        </is>
      </c>
      <c r="D124" s="10" t="inlineStr">
        <is>
          <t>M36</t>
        </is>
      </c>
      <c r="E124" s="5" t="inlineStr">
        <is>
          <t>ARMARIO DE MELAMINA CON 2 PUERTAS Y 4 NIVELES 0.90 x 0.45 x 1.80 m</t>
        </is>
      </c>
      <c r="F124" s="10" t="inlineStr">
        <is>
          <t>und</t>
        </is>
      </c>
      <c r="G124" s="14" t="n">
        <v>5</v>
      </c>
      <c r="H124" s="15" t="inlineStr">
        <is>
          <t>M36</t>
        </is>
      </c>
    </row>
    <row r="125">
      <c r="A125" s="10" t="inlineStr">
        <is>
          <t>E-04</t>
        </is>
      </c>
      <c r="B125" s="5" t="inlineStr">
        <is>
          <t>TALLER DE COSTURA</t>
        </is>
      </c>
      <c r="C125" s="10" t="inlineStr">
        <is>
          <t>EM-03</t>
        </is>
      </c>
      <c r="D125" s="10" t="inlineStr">
        <is>
          <t>M62</t>
        </is>
      </c>
      <c r="E125" s="5" t="inlineStr">
        <is>
          <t>CESTO BOTA PAPELES DE ACERO CON PEDAL</t>
        </is>
      </c>
      <c r="F125" s="10" t="inlineStr">
        <is>
          <t>und</t>
        </is>
      </c>
      <c r="G125" s="14" t="n">
        <v>1</v>
      </c>
      <c r="H125" s="15" t="inlineStr">
        <is>
          <t>M62</t>
        </is>
      </c>
    </row>
    <row r="126">
      <c r="A126" s="2" t="inlineStr">
        <is>
          <t>E-04  Talleres - TALLER DE BISUTERÍA</t>
        </is>
      </c>
      <c r="B126" s="4" t="n"/>
      <c r="C126" s="4" t="n"/>
      <c r="D126" s="4" t="n"/>
      <c r="E126" s="4" t="n"/>
      <c r="F126" s="4" t="n"/>
      <c r="G126" s="4" t="n"/>
    </row>
    <row r="127">
      <c r="A127" s="10" t="inlineStr">
        <is>
          <t>E-04</t>
        </is>
      </c>
      <c r="B127" s="5" t="inlineStr">
        <is>
          <t>TALLER DE BISUTERÍA</t>
        </is>
      </c>
      <c r="C127" s="10" t="inlineStr">
        <is>
          <t>EM-03</t>
        </is>
      </c>
      <c r="D127" s="10" t="inlineStr">
        <is>
          <t>M7</t>
        </is>
      </c>
      <c r="E127" s="5" t="inlineStr">
        <is>
          <t>SILLA DEL PROFESOR DE MADERA, MELAMINA Y METAL 0.45 x 0.40 x 0.36 m</t>
        </is>
      </c>
      <c r="F127" s="10" t="inlineStr">
        <is>
          <t>und</t>
        </is>
      </c>
      <c r="G127" s="14" t="n">
        <v>24</v>
      </c>
      <c r="H127" s="15" t="inlineStr">
        <is>
          <t>M7</t>
        </is>
      </c>
    </row>
    <row r="128">
      <c r="A128" s="10" t="inlineStr">
        <is>
          <t>E-04</t>
        </is>
      </c>
      <c r="B128" s="5" t="inlineStr">
        <is>
          <t>TALLER DE BISUTERÍA</t>
        </is>
      </c>
      <c r="C128" s="10" t="inlineStr">
        <is>
          <t>EM-03</t>
        </is>
      </c>
      <c r="D128" s="10" t="inlineStr">
        <is>
          <t>M23</t>
        </is>
      </c>
      <c r="E128" s="5" t="inlineStr">
        <is>
          <t>MESA DE MADERA 1.00 x 2.00 x 0.75 m</t>
        </is>
      </c>
      <c r="F128" s="10" t="inlineStr">
        <is>
          <t>und</t>
        </is>
      </c>
      <c r="G128" s="14" t="n">
        <v>8</v>
      </c>
      <c r="H128" s="15" t="inlineStr">
        <is>
          <t>M23</t>
        </is>
      </c>
    </row>
    <row r="129">
      <c r="A129" s="10" t="inlineStr">
        <is>
          <t>E-04</t>
        </is>
      </c>
      <c r="B129" s="5" t="inlineStr">
        <is>
          <t>TALLER DE BISUTERÍA</t>
        </is>
      </c>
      <c r="C129" s="10" t="inlineStr">
        <is>
          <t>EM-03</t>
        </is>
      </c>
      <c r="D129" s="10" t="inlineStr">
        <is>
          <t>M36</t>
        </is>
      </c>
      <c r="E129" s="5" t="inlineStr">
        <is>
          <t>ARMARIO DE MELAMINA CON 2 PUERTAS Y 4 NIVELES 0.90 x 0.45 x 1.80 m</t>
        </is>
      </c>
      <c r="F129" s="10" t="inlineStr">
        <is>
          <t>und</t>
        </is>
      </c>
      <c r="G129" s="14" t="n">
        <v>5</v>
      </c>
      <c r="H129" s="15" t="inlineStr">
        <is>
          <t>M36</t>
        </is>
      </c>
    </row>
    <row r="130">
      <c r="A130" s="10" t="inlineStr">
        <is>
          <t>E-04</t>
        </is>
      </c>
      <c r="B130" s="5" t="inlineStr">
        <is>
          <t>TALLER DE BISUTERÍA</t>
        </is>
      </c>
      <c r="C130" s="10" t="inlineStr">
        <is>
          <t>EM-03</t>
        </is>
      </c>
      <c r="D130" s="10" t="inlineStr">
        <is>
          <t>M37</t>
        </is>
      </c>
      <c r="E130" s="5" t="inlineStr">
        <is>
          <t>ARMARIO PARA ALMACENAR MATERIAL DE MELAMINA CON 2 PUERTAS Y 5 DIVISIONES 0.90 x 0.60 x 1.80 m</t>
        </is>
      </c>
      <c r="F130" s="10" t="inlineStr">
        <is>
          <t>und</t>
        </is>
      </c>
      <c r="G130" s="14" t="n">
        <v>5</v>
      </c>
      <c r="H130" s="15" t="inlineStr">
        <is>
          <t>M37</t>
        </is>
      </c>
    </row>
    <row r="131">
      <c r="A131" s="10" t="inlineStr">
        <is>
          <t>E-04</t>
        </is>
      </c>
      <c r="B131" s="5" t="inlineStr">
        <is>
          <t>TALLER DE BISUTERÍA</t>
        </is>
      </c>
      <c r="C131" s="10" t="inlineStr">
        <is>
          <t>EM-03</t>
        </is>
      </c>
      <c r="D131" s="10" t="inlineStr">
        <is>
          <t>M62</t>
        </is>
      </c>
      <c r="E131" s="5" t="inlineStr">
        <is>
          <t>CESTO BOTA PAPELES DE ACERO CON PEDAL</t>
        </is>
      </c>
      <c r="F131" s="10" t="inlineStr">
        <is>
          <t>und</t>
        </is>
      </c>
      <c r="G131" s="14" t="n">
        <v>1</v>
      </c>
      <c r="H131" s="15" t="inlineStr">
        <is>
          <t>M62</t>
        </is>
      </c>
    </row>
    <row r="132">
      <c r="A132" s="2" t="inlineStr">
        <is>
          <t>E-04  Talleres - SS.HH. VARONES, SS.HH. MUJERES, SS.HH. PARA PERSONAS CON DISCAPACIDAD Y CUARTO DE LIMPIEZA</t>
        </is>
      </c>
      <c r="B132" s="4" t="n"/>
      <c r="C132" s="4" t="n"/>
      <c r="D132" s="4" t="n"/>
      <c r="E132" s="4" t="n"/>
      <c r="F132" s="4" t="n"/>
      <c r="G132" s="4" t="n"/>
    </row>
    <row r="133">
      <c r="A133" s="10" t="inlineStr">
        <is>
          <t>E-04</t>
        </is>
      </c>
      <c r="B133" s="5" t="inlineStr">
        <is>
          <t>SS.HH. VARONES, SS.HH. MUJERES, SS.HH. PARA PERSONAS CON DISCAPACIDAD Y CUARTO DE LIMPIEZA</t>
        </is>
      </c>
      <c r="C133" s="10" t="inlineStr">
        <is>
          <t>EM-03</t>
        </is>
      </c>
      <c r="D133" s="10" t="inlineStr">
        <is>
          <t>M60</t>
        </is>
      </c>
      <c r="E133" s="5" t="inlineStr">
        <is>
          <t>PAPELERA DE PLÁSTICO CON PEDAL</t>
        </is>
      </c>
      <c r="F133" s="10" t="inlineStr">
        <is>
          <t>und</t>
        </is>
      </c>
      <c r="G133" s="14" t="n">
        <v>8</v>
      </c>
      <c r="H133" s="15" t="inlineStr">
        <is>
          <t>M60</t>
        </is>
      </c>
    </row>
    <row r="134">
      <c r="A134" s="10" t="inlineStr">
        <is>
          <t>E-04</t>
        </is>
      </c>
      <c r="B134" s="5" t="inlineStr">
        <is>
          <t>SS.HH. VARONES, SS.HH. MUJERES, SS.HH. PARA PERSONAS CON DISCAPACIDAD Y CUARTO DE LIMPIEZA</t>
        </is>
      </c>
      <c r="C134" s="10" t="inlineStr">
        <is>
          <t>EM-03</t>
        </is>
      </c>
      <c r="D134" s="10" t="inlineStr">
        <is>
          <t>M76</t>
        </is>
      </c>
      <c r="E134" s="5" t="inlineStr">
        <is>
          <t>PORTAPAPEL HIGIÉNICO</t>
        </is>
      </c>
      <c r="F134" s="10" t="inlineStr">
        <is>
          <t>und</t>
        </is>
      </c>
      <c r="G134" s="14" t="n">
        <v>6</v>
      </c>
      <c r="H134" s="15" t="inlineStr">
        <is>
          <t>M76</t>
        </is>
      </c>
    </row>
    <row r="135">
      <c r="A135" s="10" t="inlineStr">
        <is>
          <t>E-04</t>
        </is>
      </c>
      <c r="B135" s="5" t="inlineStr">
        <is>
          <t>SS.HH. VARONES, SS.HH. MUJERES, SS.HH. PARA PERSONAS CON DISCAPACIDAD Y CUARTO DE LIMPIEZA</t>
        </is>
      </c>
      <c r="C135" s="10" t="inlineStr">
        <is>
          <t>EM-03</t>
        </is>
      </c>
      <c r="D135" s="10" t="inlineStr">
        <is>
          <t>M77</t>
        </is>
      </c>
      <c r="E135" s="5" t="inlineStr">
        <is>
          <t>DISPENSADOR DE PAPEL TOALLA</t>
        </is>
      </c>
      <c r="F135" s="10" t="inlineStr">
        <is>
          <t>und</t>
        </is>
      </c>
      <c r="G135" s="14" t="n">
        <v>3</v>
      </c>
      <c r="H135" s="15" t="inlineStr">
        <is>
          <t>M77</t>
        </is>
      </c>
    </row>
    <row r="136">
      <c r="A136" s="2" t="inlineStr">
        <is>
          <t>E-04  Talleres - TALLER DE REPOSTERÍA</t>
        </is>
      </c>
      <c r="B136" s="4" t="n"/>
      <c r="C136" s="4" t="n"/>
      <c r="D136" s="4" t="n"/>
      <c r="E136" s="4" t="n"/>
      <c r="F136" s="4" t="n"/>
      <c r="G136" s="4" t="n"/>
    </row>
    <row r="137">
      <c r="A137" s="10" t="inlineStr">
        <is>
          <t>E-04</t>
        </is>
      </c>
      <c r="B137" s="5" t="inlineStr">
        <is>
          <t>TALLER DE REPOSTERÍA</t>
        </is>
      </c>
      <c r="C137" s="10" t="inlineStr">
        <is>
          <t>EM-03</t>
        </is>
      </c>
      <c r="D137" s="10" t="inlineStr">
        <is>
          <t>E13</t>
        </is>
      </c>
      <c r="E137" s="5" t="inlineStr">
        <is>
          <t>COCINA INDUSTRIAL DE 2 HORNILLAS</t>
        </is>
      </c>
      <c r="F137" s="10" t="inlineStr">
        <is>
          <t>und</t>
        </is>
      </c>
      <c r="G137" s="14" t="n">
        <v>2</v>
      </c>
      <c r="H137" s="15" t="inlineStr">
        <is>
          <t>E13</t>
        </is>
      </c>
    </row>
    <row r="138">
      <c r="A138" s="10" t="inlineStr">
        <is>
          <t>E-04</t>
        </is>
      </c>
      <c r="B138" s="5" t="inlineStr">
        <is>
          <t>TALLER DE REPOSTERÍA</t>
        </is>
      </c>
      <c r="C138" s="10" t="inlineStr">
        <is>
          <t>EM-03</t>
        </is>
      </c>
      <c r="D138" s="10" t="inlineStr">
        <is>
          <t>E16</t>
        </is>
      </c>
      <c r="E138" s="5" t="inlineStr">
        <is>
          <t>HORNO MICROONDAS DE 31 LITROS</t>
        </is>
      </c>
      <c r="F138" s="10" t="inlineStr">
        <is>
          <t>und</t>
        </is>
      </c>
      <c r="G138" s="14" t="n">
        <v>2</v>
      </c>
      <c r="H138" s="15" t="inlineStr">
        <is>
          <t>E16</t>
        </is>
      </c>
    </row>
    <row r="139">
      <c r="A139" s="10" t="inlineStr">
        <is>
          <t>E-04</t>
        </is>
      </c>
      <c r="B139" s="5" t="inlineStr">
        <is>
          <t>TALLER DE REPOSTERÍA</t>
        </is>
      </c>
      <c r="C139" s="10" t="inlineStr">
        <is>
          <t>EM-03</t>
        </is>
      </c>
      <c r="D139" s="10" t="inlineStr">
        <is>
          <t>E17</t>
        </is>
      </c>
      <c r="E139" s="5" t="inlineStr">
        <is>
          <t>LICUADORA DE 1.5 LITROS</t>
        </is>
      </c>
      <c r="F139" s="10" t="inlineStr">
        <is>
          <t>und</t>
        </is>
      </c>
      <c r="G139" s="14" t="n">
        <v>1</v>
      </c>
      <c r="H139" s="15" t="inlineStr">
        <is>
          <t>E17</t>
        </is>
      </c>
    </row>
    <row r="140">
      <c r="A140" s="10" t="inlineStr">
        <is>
          <t>E-04</t>
        </is>
      </c>
      <c r="B140" s="5" t="inlineStr">
        <is>
          <t>TALLER DE REPOSTERÍA</t>
        </is>
      </c>
      <c r="C140" s="10" t="inlineStr">
        <is>
          <t>EM-03</t>
        </is>
      </c>
      <c r="D140" s="10" t="inlineStr">
        <is>
          <t>E19</t>
        </is>
      </c>
      <c r="E140" s="5" t="inlineStr">
        <is>
          <t>REFRIGERADORA DE 315 LITROS</t>
        </is>
      </c>
      <c r="F140" s="10" t="inlineStr">
        <is>
          <t>und</t>
        </is>
      </c>
      <c r="G140" s="14" t="n">
        <v>1</v>
      </c>
      <c r="H140" s="15" t="inlineStr">
        <is>
          <t>E19</t>
        </is>
      </c>
    </row>
    <row r="141">
      <c r="A141" s="10" t="inlineStr">
        <is>
          <t>E-04</t>
        </is>
      </c>
      <c r="B141" s="5" t="inlineStr">
        <is>
          <t>TALLER DE REPOSTERÍA</t>
        </is>
      </c>
      <c r="C141" s="10" t="inlineStr">
        <is>
          <t>EM-03</t>
        </is>
      </c>
      <c r="D141" s="10" t="inlineStr">
        <is>
          <t>M7</t>
        </is>
      </c>
      <c r="E141" s="5" t="inlineStr">
        <is>
          <t>SILLA DEL PROFESOR DE MADERA, MELAMINA Y METAL 0.45 x 0.40 x 0.36 m</t>
        </is>
      </c>
      <c r="F141" s="10" t="inlineStr">
        <is>
          <t>und</t>
        </is>
      </c>
      <c r="G141" s="14" t="n">
        <v>12</v>
      </c>
      <c r="H141" s="15" t="inlineStr">
        <is>
          <t>M7</t>
        </is>
      </c>
    </row>
    <row r="142">
      <c r="A142" s="10" t="inlineStr">
        <is>
          <t>E-04</t>
        </is>
      </c>
      <c r="B142" s="5" t="inlineStr">
        <is>
          <t>TALLER DE REPOSTERÍA</t>
        </is>
      </c>
      <c r="C142" s="10" t="inlineStr">
        <is>
          <t>EM-03</t>
        </is>
      </c>
      <c r="D142" s="10" t="inlineStr">
        <is>
          <t>M22</t>
        </is>
      </c>
      <c r="E142" s="5" t="inlineStr">
        <is>
          <t>MESA DE MADERA 1.00 x 1.80 x 0.75 m</t>
        </is>
      </c>
      <c r="F142" s="10" t="inlineStr">
        <is>
          <t>und</t>
        </is>
      </c>
      <c r="G142" s="14" t="n">
        <v>8</v>
      </c>
      <c r="H142" s="15" t="inlineStr">
        <is>
          <t>M22</t>
        </is>
      </c>
    </row>
    <row r="143">
      <c r="A143" s="10" t="inlineStr">
        <is>
          <t>E-04</t>
        </is>
      </c>
      <c r="B143" s="5" t="inlineStr">
        <is>
          <t>TALLER DE REPOSTERÍA</t>
        </is>
      </c>
      <c r="C143" s="10" t="inlineStr">
        <is>
          <t>EM-03</t>
        </is>
      </c>
      <c r="D143" s="10" t="inlineStr">
        <is>
          <t>M26</t>
        </is>
      </c>
      <c r="E143" s="5" t="inlineStr">
        <is>
          <t>MESA DE ACERO INOXIDABLE 0.90 x 0.60 x 0.90 m</t>
        </is>
      </c>
      <c r="F143" s="10" t="inlineStr">
        <is>
          <t>und</t>
        </is>
      </c>
      <c r="G143" s="14" t="n">
        <v>1</v>
      </c>
      <c r="H143" s="15" t="inlineStr">
        <is>
          <t>M26</t>
        </is>
      </c>
    </row>
    <row r="144">
      <c r="A144" s="10" t="inlineStr">
        <is>
          <t>E-04</t>
        </is>
      </c>
      <c r="B144" s="5" t="inlineStr">
        <is>
          <t>TALLER DE REPOSTERÍA</t>
        </is>
      </c>
      <c r="C144" s="10" t="inlineStr">
        <is>
          <t>EM-03</t>
        </is>
      </c>
      <c r="D144" s="10" t="inlineStr">
        <is>
          <t>M52</t>
        </is>
      </c>
      <c r="E144" s="5" t="inlineStr">
        <is>
          <t>ESTANTE DE ACERO INOXIDABLE CON CUATRO DIVISIONES Y BANDEJA 0.60 x 0.60 x 1.80 m</t>
        </is>
      </c>
      <c r="F144" s="10" t="inlineStr">
        <is>
          <t>und</t>
        </is>
      </c>
      <c r="G144" s="14" t="n">
        <v>1</v>
      </c>
      <c r="H144" s="15" t="inlineStr">
        <is>
          <t>M52</t>
        </is>
      </c>
    </row>
    <row r="145">
      <c r="A145" s="10" t="inlineStr">
        <is>
          <t>E-04</t>
        </is>
      </c>
      <c r="B145" s="5" t="inlineStr">
        <is>
          <t>TALLER DE REPOSTERÍA</t>
        </is>
      </c>
      <c r="C145" s="10" t="inlineStr">
        <is>
          <t>EM-03</t>
        </is>
      </c>
      <c r="D145" s="10" t="inlineStr">
        <is>
          <t>M62</t>
        </is>
      </c>
      <c r="E145" s="5" t="inlineStr">
        <is>
          <t>CESTO BOTA PAPELES DE ACERO CON PEDAL</t>
        </is>
      </c>
      <c r="F145" s="10" t="inlineStr">
        <is>
          <t>und</t>
        </is>
      </c>
      <c r="G145" s="14" t="n">
        <v>1</v>
      </c>
      <c r="H145" s="15" t="inlineStr">
        <is>
          <t>M62</t>
        </is>
      </c>
    </row>
    <row r="146">
      <c r="A146" s="2" t="inlineStr">
        <is>
          <t>E-04  Talleres - TERAPIA GRUPAL</t>
        </is>
      </c>
      <c r="B146" s="4" t="n"/>
      <c r="C146" s="4" t="n"/>
      <c r="D146" s="4" t="n"/>
      <c r="E146" s="4" t="n"/>
      <c r="F146" s="4" t="n"/>
      <c r="G146" s="4" t="n"/>
    </row>
    <row r="147">
      <c r="A147" s="10" t="inlineStr">
        <is>
          <t>E-04</t>
        </is>
      </c>
      <c r="B147" s="5" t="inlineStr">
        <is>
          <t>TERAPIA GRUPAL</t>
        </is>
      </c>
      <c r="C147" s="10" t="inlineStr">
        <is>
          <t>EM-03</t>
        </is>
      </c>
      <c r="D147" s="10" t="inlineStr">
        <is>
          <t>E4</t>
        </is>
      </c>
      <c r="E147" s="5" t="inlineStr">
        <is>
          <t>RELOJ PARA ADOSAR A PARED</t>
        </is>
      </c>
      <c r="F147" s="10" t="inlineStr">
        <is>
          <t>und</t>
        </is>
      </c>
      <c r="G147" s="14" t="n">
        <v>1</v>
      </c>
      <c r="H147" s="15" t="inlineStr">
        <is>
          <t>E4</t>
        </is>
      </c>
    </row>
    <row r="148">
      <c r="A148" s="10" t="inlineStr">
        <is>
          <t>E-04</t>
        </is>
      </c>
      <c r="B148" s="5" t="inlineStr">
        <is>
          <t>TERAPIA GRUPAL</t>
        </is>
      </c>
      <c r="C148" s="10" t="inlineStr">
        <is>
          <t>EM-03</t>
        </is>
      </c>
      <c r="D148" s="10" t="inlineStr">
        <is>
          <t>M7</t>
        </is>
      </c>
      <c r="E148" s="5" t="inlineStr">
        <is>
          <t>SILLA DEL PROFESOR DE MADERA, MELAMINA Y METAL 0.45 x 0.40 x 0.36 m</t>
        </is>
      </c>
      <c r="F148" s="10" t="inlineStr">
        <is>
          <t>und</t>
        </is>
      </c>
      <c r="G148" s="14" t="n">
        <v>12</v>
      </c>
      <c r="H148" s="15" t="inlineStr">
        <is>
          <t>M7</t>
        </is>
      </c>
    </row>
    <row r="149">
      <c r="A149" s="10" t="inlineStr">
        <is>
          <t>E-04</t>
        </is>
      </c>
      <c r="B149" s="5" t="inlineStr">
        <is>
          <t>TERAPIA GRUPAL</t>
        </is>
      </c>
      <c r="C149" s="10" t="inlineStr">
        <is>
          <t>EM-03</t>
        </is>
      </c>
      <c r="D149" s="10" t="inlineStr">
        <is>
          <t>M19</t>
        </is>
      </c>
      <c r="E149" s="5" t="inlineStr">
        <is>
          <t>MESA DE MADERA 1.00 x 1.80 x 0.75 m</t>
        </is>
      </c>
      <c r="F149" s="10" t="inlineStr">
        <is>
          <t>und</t>
        </is>
      </c>
      <c r="G149" s="14" t="n">
        <v>2</v>
      </c>
      <c r="H149" s="15" t="inlineStr">
        <is>
          <t>M19</t>
        </is>
      </c>
    </row>
    <row r="150">
      <c r="A150" s="10" t="inlineStr">
        <is>
          <t>E-04</t>
        </is>
      </c>
      <c r="B150" s="5" t="inlineStr">
        <is>
          <t>TERAPIA GRUPAL</t>
        </is>
      </c>
      <c r="C150" s="10" t="inlineStr">
        <is>
          <t>EM-03</t>
        </is>
      </c>
      <c r="D150" s="10" t="inlineStr">
        <is>
          <t>M35</t>
        </is>
      </c>
      <c r="E150" s="5" t="inlineStr">
        <is>
          <t>SILLA TIPO TABURETE REGULABLE DE MADERA Y METAL 0.15 x 0.30 x 0.60 x 0.75 m</t>
        </is>
      </c>
      <c r="F150" s="10" t="inlineStr">
        <is>
          <t>und</t>
        </is>
      </c>
      <c r="G150" s="14" t="n">
        <v>2</v>
      </c>
      <c r="H150" s="15" t="inlineStr">
        <is>
          <t>M35</t>
        </is>
      </c>
    </row>
    <row r="151">
      <c r="A151" s="10" t="inlineStr">
        <is>
          <t>E-04</t>
        </is>
      </c>
      <c r="B151" s="5" t="inlineStr">
        <is>
          <t>TERAPIA GRUPAL</t>
        </is>
      </c>
      <c r="C151" s="10" t="inlineStr">
        <is>
          <t>EM-03</t>
        </is>
      </c>
      <c r="D151" s="10" t="inlineStr">
        <is>
          <t>M62</t>
        </is>
      </c>
      <c r="E151" s="5" t="inlineStr">
        <is>
          <t>CESTO BOTA PAPELES DE ACERO CON PEDAL</t>
        </is>
      </c>
      <c r="F151" s="10" t="inlineStr">
        <is>
          <t>und</t>
        </is>
      </c>
      <c r="G151" s="14" t="n">
        <v>1</v>
      </c>
      <c r="H151" s="15" t="inlineStr">
        <is>
          <t>M62</t>
        </is>
      </c>
    </row>
    <row r="152">
      <c r="A152" s="10" t="inlineStr">
        <is>
          <t>E-04</t>
        </is>
      </c>
      <c r="B152" s="5" t="inlineStr">
        <is>
          <t>TERAPIA GRUPAL</t>
        </is>
      </c>
      <c r="C152" s="10" t="inlineStr">
        <is>
          <t>EM-03</t>
        </is>
      </c>
      <c r="D152" s="10" t="inlineStr">
        <is>
          <t>K78</t>
        </is>
      </c>
      <c r="E152" s="5" t="inlineStr">
        <is>
          <t>PISO ENCASTRABLE DE GOMA 25 mm</t>
        </is>
      </c>
      <c r="F152" s="10" t="inlineStr">
        <is>
          <t>und</t>
        </is>
      </c>
      <c r="G152" s="14" t="n">
        <v>15</v>
      </c>
      <c r="H152" s="15" t="inlineStr">
        <is>
          <t>K:E-04:TERAPIA GRUPAL:K78</t>
        </is>
      </c>
    </row>
    <row r="153">
      <c r="A153" s="2" t="inlineStr">
        <is>
          <t>E-04  Talleres - CUARTO DE CÁMARAS DE VIDEOVIGILANCIA, ARCHIVO Y DEPÓSITO</t>
        </is>
      </c>
      <c r="B153" s="4" t="n"/>
      <c r="C153" s="4" t="n"/>
      <c r="D153" s="4" t="n"/>
      <c r="E153" s="4" t="n"/>
      <c r="F153" s="4" t="n"/>
      <c r="G153" s="4" t="n"/>
    </row>
    <row r="154">
      <c r="A154" s="10" t="inlineStr">
        <is>
          <t>E-04</t>
        </is>
      </c>
      <c r="B154" s="5" t="inlineStr">
        <is>
          <t>CUARTO DE CÁMARAS DE VIDEOVIGILANCIA, ARCHIVO Y DEPÓSITO</t>
        </is>
      </c>
      <c r="C154" s="10" t="inlineStr">
        <is>
          <t>EM-03</t>
        </is>
      </c>
      <c r="D154" s="10" t="inlineStr">
        <is>
          <t>E4</t>
        </is>
      </c>
      <c r="E154" s="5" t="inlineStr">
        <is>
          <t>RELOJ PARA ADOSAR A PARED</t>
        </is>
      </c>
      <c r="F154" s="10" t="inlineStr">
        <is>
          <t>und</t>
        </is>
      </c>
      <c r="G154" s="14" t="n">
        <v>1</v>
      </c>
      <c r="H154" s="15" t="inlineStr">
        <is>
          <t>E4</t>
        </is>
      </c>
    </row>
    <row r="155">
      <c r="A155" s="10" t="inlineStr">
        <is>
          <t>E-04</t>
        </is>
      </c>
      <c r="B155" s="5" t="inlineStr">
        <is>
          <t>CUARTO DE CÁMARAS DE VIDEOVIGILANCIA, ARCHIVO Y DEPÓSITO</t>
        </is>
      </c>
      <c r="C155" s="10" t="inlineStr">
        <is>
          <t>EM-03</t>
        </is>
      </c>
      <c r="D155" s="10" t="inlineStr">
        <is>
          <t>M7</t>
        </is>
      </c>
      <c r="E155" s="5" t="inlineStr">
        <is>
          <t>SILLA DEL PROFESOR DE MADERA, MELAMINA Y METAL 0.45 x 0.40 x 0.36 m</t>
        </is>
      </c>
      <c r="F155" s="10" t="inlineStr">
        <is>
          <t>und</t>
        </is>
      </c>
      <c r="G155" s="14" t="n">
        <v>6</v>
      </c>
      <c r="H155" s="15" t="inlineStr">
        <is>
          <t>M7</t>
        </is>
      </c>
    </row>
    <row r="156">
      <c r="A156" s="10" t="inlineStr">
        <is>
          <t>E-04</t>
        </is>
      </c>
      <c r="B156" s="5" t="inlineStr">
        <is>
          <t>CUARTO DE CÁMARAS DE VIDEOVIGILANCIA, ARCHIVO Y DEPÓSITO</t>
        </is>
      </c>
      <c r="C156" s="10" t="inlineStr">
        <is>
          <t>EM-03</t>
        </is>
      </c>
      <c r="D156" s="10" t="inlineStr">
        <is>
          <t>M28</t>
        </is>
      </c>
      <c r="E156" s="5" t="inlineStr">
        <is>
          <t>ESCRITORIO DE MELAMINA CON DOS CAJONERAS 1.00 x 0.50 x 0.75 m</t>
        </is>
      </c>
      <c r="F156" s="10" t="inlineStr">
        <is>
          <t>und</t>
        </is>
      </c>
      <c r="G156" s="14" t="n">
        <v>6</v>
      </c>
      <c r="H156" s="15" t="inlineStr">
        <is>
          <t>M28</t>
        </is>
      </c>
    </row>
    <row r="157">
      <c r="A157" s="10" t="inlineStr">
        <is>
          <t>E-04</t>
        </is>
      </c>
      <c r="B157" s="5" t="inlineStr">
        <is>
          <t>CUARTO DE CÁMARAS DE VIDEOVIGILANCIA, ARCHIVO Y DEPÓSITO</t>
        </is>
      </c>
      <c r="C157" s="10" t="inlineStr">
        <is>
          <t>EM-03</t>
        </is>
      </c>
      <c r="D157" s="10" t="inlineStr">
        <is>
          <t>M39</t>
        </is>
      </c>
      <c r="E157" s="5" t="inlineStr">
        <is>
          <t>ARCHIVADOR DE MELAMINA CON TRES GAVETAS 0.60 x 0.46 x 1.20 m</t>
        </is>
      </c>
      <c r="F157" s="10" t="inlineStr">
        <is>
          <t>und</t>
        </is>
      </c>
      <c r="G157" s="14" t="n">
        <v>14</v>
      </c>
      <c r="H157" s="15" t="inlineStr">
        <is>
          <t>M39</t>
        </is>
      </c>
    </row>
    <row r="158">
      <c r="A158" s="10" t="inlineStr">
        <is>
          <t>E-04</t>
        </is>
      </c>
      <c r="B158" s="5" t="inlineStr">
        <is>
          <t>CUARTO DE CÁMARAS DE VIDEOVIGILANCIA, ARCHIVO Y DEPÓSITO</t>
        </is>
      </c>
      <c r="C158" s="10" t="inlineStr">
        <is>
          <t>EM-03</t>
        </is>
      </c>
      <c r="D158" s="10" t="inlineStr">
        <is>
          <t>M51</t>
        </is>
      </c>
      <c r="E158" s="5" t="inlineStr">
        <is>
          <t>ESTANTE METÁLICO RANURADO CON CUATRO DIVISIONES 0.90 x 0.45 x 1.80 m</t>
        </is>
      </c>
      <c r="F158" s="10" t="inlineStr">
        <is>
          <t>und</t>
        </is>
      </c>
      <c r="G158" s="14" t="n">
        <v>12</v>
      </c>
      <c r="H158" s="15" t="inlineStr">
        <is>
          <t>M51</t>
        </is>
      </c>
    </row>
    <row r="159">
      <c r="A159" s="10" t="inlineStr">
        <is>
          <t>E-04</t>
        </is>
      </c>
      <c r="B159" s="5" t="inlineStr">
        <is>
          <t>CUARTO DE CÁMARAS DE VIDEOVIGILANCIA, ARCHIVO Y DEPÓSITO</t>
        </is>
      </c>
      <c r="C159" s="10" t="inlineStr">
        <is>
          <t>EM-03</t>
        </is>
      </c>
      <c r="D159" s="10" t="inlineStr">
        <is>
          <t>M62</t>
        </is>
      </c>
      <c r="E159" s="5" t="inlineStr">
        <is>
          <t>CESTO BOTA PAPELES DE ACERO CON PEDAL</t>
        </is>
      </c>
      <c r="F159" s="10" t="inlineStr">
        <is>
          <t>und</t>
        </is>
      </c>
      <c r="G159" s="14" t="n">
        <v>1</v>
      </c>
      <c r="H159" s="15" t="inlineStr">
        <is>
          <t>M62</t>
        </is>
      </c>
    </row>
    <row r="160">
      <c r="A160" s="2" t="inlineStr">
        <is>
          <t>E-05  SUM-comedor, cocina, lavandería, módulo de enseñanza y módulo infantil - MÓDULO DE ENSEÑANZA</t>
        </is>
      </c>
      <c r="B160" s="4" t="n"/>
      <c r="C160" s="4" t="n"/>
      <c r="D160" s="4" t="n"/>
      <c r="E160" s="4" t="n"/>
      <c r="F160" s="4" t="n"/>
      <c r="G160" s="4" t="n"/>
    </row>
    <row r="161">
      <c r="A161" s="10" t="inlineStr">
        <is>
          <t>E-05</t>
        </is>
      </c>
      <c r="B161" s="5" t="inlineStr">
        <is>
          <t>MÓDULO DE ENSEÑANZA</t>
        </is>
      </c>
      <c r="C161" s="10" t="inlineStr">
        <is>
          <t>EM-04</t>
        </is>
      </c>
      <c r="D161" s="10" t="inlineStr">
        <is>
          <t>E1</t>
        </is>
      </c>
      <c r="E161" s="5" t="inlineStr">
        <is>
          <t>PROYECTOR INTERACTIVO</t>
        </is>
      </c>
      <c r="F161" s="10" t="inlineStr">
        <is>
          <t>und</t>
        </is>
      </c>
      <c r="G161" s="14" t="n">
        <v>1</v>
      </c>
      <c r="H161" s="15" t="inlineStr">
        <is>
          <t>E1</t>
        </is>
      </c>
    </row>
    <row r="162">
      <c r="A162" s="10" t="inlineStr">
        <is>
          <t>E-05</t>
        </is>
      </c>
      <c r="B162" s="5" t="inlineStr">
        <is>
          <t>MÓDULO DE ENSEÑANZA</t>
        </is>
      </c>
      <c r="C162" s="10" t="inlineStr">
        <is>
          <t>EM-04</t>
        </is>
      </c>
      <c r="D162" s="10" t="inlineStr">
        <is>
          <t>E2</t>
        </is>
      </c>
      <c r="E162" s="5" t="inlineStr">
        <is>
          <t>COMPUTADORA PORTÁTIL i5</t>
        </is>
      </c>
      <c r="F162" s="10" t="inlineStr">
        <is>
          <t>und</t>
        </is>
      </c>
      <c r="G162" s="14" t="n">
        <v>1</v>
      </c>
      <c r="H162" s="15" t="inlineStr">
        <is>
          <t>E2</t>
        </is>
      </c>
    </row>
    <row r="163">
      <c r="A163" s="10" t="inlineStr">
        <is>
          <t>E-05</t>
        </is>
      </c>
      <c r="B163" s="5" t="inlineStr">
        <is>
          <t>MÓDULO DE ENSEÑANZA</t>
        </is>
      </c>
      <c r="C163" s="10" t="inlineStr">
        <is>
          <t>EM-04</t>
        </is>
      </c>
      <c r="D163" s="10" t="inlineStr">
        <is>
          <t>E3</t>
        </is>
      </c>
      <c r="E163" s="5" t="inlineStr">
        <is>
          <t>PRESENTADOR INALÁMBRICO CON PUNTERO LÁSER</t>
        </is>
      </c>
      <c r="F163" s="10" t="inlineStr">
        <is>
          <t>und</t>
        </is>
      </c>
      <c r="G163" s="14" t="n">
        <v>1</v>
      </c>
      <c r="H163" s="15" t="inlineStr">
        <is>
          <t>E3</t>
        </is>
      </c>
    </row>
    <row r="164">
      <c r="A164" s="10" t="inlineStr">
        <is>
          <t>E-05</t>
        </is>
      </c>
      <c r="B164" s="5" t="inlineStr">
        <is>
          <t>MÓDULO DE ENSEÑANZA</t>
        </is>
      </c>
      <c r="C164" s="10" t="inlineStr">
        <is>
          <t>EM-04</t>
        </is>
      </c>
      <c r="D164" s="10" t="inlineStr">
        <is>
          <t>M3</t>
        </is>
      </c>
      <c r="E164" s="5" t="inlineStr">
        <is>
          <t>SILLA REGULABLE DE ESTUDIANTE DE MADERA Y METAL 0.30 x 0.27 x 0.32 m</t>
        </is>
      </c>
      <c r="F164" s="10" t="inlineStr">
        <is>
          <t>und</t>
        </is>
      </c>
      <c r="G164" s="14" t="n">
        <v>12</v>
      </c>
      <c r="H164" s="15" t="inlineStr">
        <is>
          <t>M3</t>
        </is>
      </c>
    </row>
    <row r="165">
      <c r="A165" s="10" t="inlineStr">
        <is>
          <t>E-05</t>
        </is>
      </c>
      <c r="B165" s="5" t="inlineStr">
        <is>
          <t>MÓDULO DE ENSEÑANZA</t>
        </is>
      </c>
      <c r="C165" s="10" t="inlineStr">
        <is>
          <t>EM-04</t>
        </is>
      </c>
      <c r="D165" s="10" t="inlineStr">
        <is>
          <t>M4</t>
        </is>
      </c>
      <c r="E165" s="5" t="inlineStr">
        <is>
          <t>MESA REGULABLE DE MADERA Y METAL 0.56 x 0.50 x 0.60 m</t>
        </is>
      </c>
      <c r="F165" s="10" t="inlineStr">
        <is>
          <t>und</t>
        </is>
      </c>
      <c r="G165" s="14" t="n">
        <v>12</v>
      </c>
      <c r="H165" s="15" t="inlineStr">
        <is>
          <t>M4</t>
        </is>
      </c>
    </row>
    <row r="166">
      <c r="A166" s="10" t="inlineStr">
        <is>
          <t>E-05</t>
        </is>
      </c>
      <c r="B166" s="5" t="inlineStr">
        <is>
          <t>MÓDULO DE ENSEÑANZA</t>
        </is>
      </c>
      <c r="C166" s="10" t="inlineStr">
        <is>
          <t>EM-04</t>
        </is>
      </c>
      <c r="D166" s="10" t="inlineStr">
        <is>
          <t>M7</t>
        </is>
      </c>
      <c r="E166" s="5" t="inlineStr">
        <is>
          <t>SILLA DEL PROFESOR DE MADERA, MELAMINA Y METAL 0.45 x 0.40 x 0.36 m</t>
        </is>
      </c>
      <c r="F166" s="10" t="inlineStr">
        <is>
          <t>und</t>
        </is>
      </c>
      <c r="G166" s="14" t="n">
        <v>1</v>
      </c>
      <c r="H166" s="15" t="inlineStr">
        <is>
          <t>M7</t>
        </is>
      </c>
    </row>
    <row r="167">
      <c r="A167" s="10" t="inlineStr">
        <is>
          <t>E-05</t>
        </is>
      </c>
      <c r="B167" s="5" t="inlineStr">
        <is>
          <t>MÓDULO DE ENSEÑANZA</t>
        </is>
      </c>
      <c r="C167" s="10" t="inlineStr">
        <is>
          <t>EM-04</t>
        </is>
      </c>
      <c r="D167" s="10" t="inlineStr">
        <is>
          <t>M8</t>
        </is>
      </c>
      <c r="E167" s="5" t="inlineStr">
        <is>
          <t>MESA PARA EL PROFESOR DE MADERA Y METAL 1.00 x 0.50 x 0.75 m</t>
        </is>
      </c>
      <c r="F167" s="10" t="inlineStr">
        <is>
          <t>und</t>
        </is>
      </c>
      <c r="G167" s="14" t="n">
        <v>1</v>
      </c>
      <c r="H167" s="15" t="inlineStr">
        <is>
          <t>M8</t>
        </is>
      </c>
    </row>
    <row r="168">
      <c r="A168" s="10" t="inlineStr">
        <is>
          <t>E-05</t>
        </is>
      </c>
      <c r="B168" s="5" t="inlineStr">
        <is>
          <t>MÓDULO DE ENSEÑANZA</t>
        </is>
      </c>
      <c r="C168" s="10" t="inlineStr">
        <is>
          <t>EM-04</t>
        </is>
      </c>
      <c r="D168" s="10" t="inlineStr">
        <is>
          <t>M13</t>
        </is>
      </c>
      <c r="E168" s="5" t="inlineStr">
        <is>
          <t>RACK DE SOPORTE METÁLICO PARA PROYECTOR EN TECHO</t>
        </is>
      </c>
      <c r="F168" s="10" t="inlineStr">
        <is>
          <t>und</t>
        </is>
      </c>
      <c r="G168" s="14" t="n">
        <v>1</v>
      </c>
      <c r="H168" s="15" t="inlineStr">
        <is>
          <t>M13</t>
        </is>
      </c>
    </row>
    <row r="169">
      <c r="A169" s="10" t="inlineStr">
        <is>
          <t>E-05</t>
        </is>
      </c>
      <c r="B169" s="5" t="inlineStr">
        <is>
          <t>MÓDULO DE ENSEÑANZA</t>
        </is>
      </c>
      <c r="C169" s="10" t="inlineStr">
        <is>
          <t>EM-04</t>
        </is>
      </c>
      <c r="D169" s="10" t="inlineStr">
        <is>
          <t>M36</t>
        </is>
      </c>
      <c r="E169" s="5" t="inlineStr">
        <is>
          <t>ARMARIO DE MELAMINA CON 2 PUERTAS Y 4 NIVELES 0.90 x 0.45 x 1.80 m</t>
        </is>
      </c>
      <c r="F169" s="10" t="inlineStr">
        <is>
          <t>und</t>
        </is>
      </c>
      <c r="G169" s="14" t="n">
        <v>4</v>
      </c>
      <c r="H169" s="15" t="inlineStr">
        <is>
          <t>M36</t>
        </is>
      </c>
    </row>
    <row r="170">
      <c r="A170" s="10" t="inlineStr">
        <is>
          <t>E-05</t>
        </is>
      </c>
      <c r="B170" s="5" t="inlineStr">
        <is>
          <t>MÓDULO DE ENSEÑANZA</t>
        </is>
      </c>
      <c r="C170" s="10" t="inlineStr">
        <is>
          <t>EM-04</t>
        </is>
      </c>
      <c r="D170" s="10" t="inlineStr">
        <is>
          <t>M56</t>
        </is>
      </c>
      <c r="E170" s="5" t="inlineStr">
        <is>
          <t>MUEBLE BAJO DE MELAMINA PARA GUARDAR MOCHILAS CON DOS DIVISIONES 0.60 x 0.40 x 1.00 m</t>
        </is>
      </c>
      <c r="F170" s="10" t="inlineStr">
        <is>
          <t>und</t>
        </is>
      </c>
      <c r="G170" s="14" t="n">
        <v>5</v>
      </c>
      <c r="H170" s="15" t="inlineStr">
        <is>
          <t>M56</t>
        </is>
      </c>
    </row>
    <row r="171">
      <c r="A171" s="10" t="inlineStr">
        <is>
          <t>E-05</t>
        </is>
      </c>
      <c r="B171" s="5" t="inlineStr">
        <is>
          <t>MÓDULO DE ENSEÑANZA</t>
        </is>
      </c>
      <c r="C171" s="10" t="inlineStr">
        <is>
          <t>EM-04</t>
        </is>
      </c>
      <c r="D171" s="10" t="inlineStr">
        <is>
          <t>M62</t>
        </is>
      </c>
      <c r="E171" s="5" t="inlineStr">
        <is>
          <t>CESTO BOTA PAPELES DE ACERO CON PEDAL</t>
        </is>
      </c>
      <c r="F171" s="10" t="inlineStr">
        <is>
          <t>und</t>
        </is>
      </c>
      <c r="G171" s="14" t="n">
        <v>2</v>
      </c>
      <c r="H171" s="15" t="inlineStr">
        <is>
          <t>M62</t>
        </is>
      </c>
    </row>
    <row r="172">
      <c r="A172" s="10" t="inlineStr">
        <is>
          <t>E-05</t>
        </is>
      </c>
      <c r="B172" s="5" t="inlineStr">
        <is>
          <t>MÓDULO DE ENSEÑANZA</t>
        </is>
      </c>
      <c r="C172" s="10" t="inlineStr">
        <is>
          <t>EM-04</t>
        </is>
      </c>
      <c r="D172" s="10" t="inlineStr">
        <is>
          <t>M69</t>
        </is>
      </c>
      <c r="E172" s="5" t="inlineStr">
        <is>
          <t>PIZARRA ACRÍLICA 4.20 x 1.20 m, INCLUYE ACCESORIOS DE FIJACIÓN</t>
        </is>
      </c>
      <c r="F172" s="10" t="inlineStr">
        <is>
          <t>und</t>
        </is>
      </c>
      <c r="G172" s="14" t="n">
        <v>1</v>
      </c>
      <c r="H172" s="15" t="inlineStr">
        <is>
          <t>M69</t>
        </is>
      </c>
    </row>
    <row r="173">
      <c r="A173" s="2" t="inlineStr">
        <is>
          <t>E-05  SUM-comedor, cocina, lavandería, módulo de enseñanza y módulo infantil - LAVANDERÍA</t>
        </is>
      </c>
      <c r="B173" s="4" t="n"/>
      <c r="C173" s="4" t="n"/>
      <c r="D173" s="4" t="n"/>
      <c r="E173" s="4" t="n"/>
      <c r="F173" s="4" t="n"/>
      <c r="G173" s="4" t="n"/>
    </row>
    <row r="174">
      <c r="A174" s="10" t="inlineStr">
        <is>
          <t>E-05</t>
        </is>
      </c>
      <c r="B174" s="5" t="inlineStr">
        <is>
          <t>LAVANDERÍA</t>
        </is>
      </c>
      <c r="C174" s="10" t="inlineStr">
        <is>
          <t>EM-04</t>
        </is>
      </c>
      <c r="D174" s="10" t="inlineStr">
        <is>
          <t>E5</t>
        </is>
      </c>
      <c r="E174" s="5" t="inlineStr">
        <is>
          <t>LAVADORA DE 20 kg DE CARGA SUPERIOR</t>
        </is>
      </c>
      <c r="F174" s="10" t="inlineStr">
        <is>
          <t>und</t>
        </is>
      </c>
      <c r="G174" s="14" t="n">
        <v>4</v>
      </c>
      <c r="H174" s="15" t="inlineStr">
        <is>
          <t>E5</t>
        </is>
      </c>
    </row>
    <row r="175">
      <c r="A175" s="10" t="inlineStr">
        <is>
          <t>E-05</t>
        </is>
      </c>
      <c r="B175" s="5" t="inlineStr">
        <is>
          <t>LAVANDERÍA</t>
        </is>
      </c>
      <c r="C175" s="10" t="inlineStr">
        <is>
          <t>EM-04</t>
        </is>
      </c>
      <c r="D175" s="10" t="inlineStr">
        <is>
          <t>M62</t>
        </is>
      </c>
      <c r="E175" s="5" t="inlineStr">
        <is>
          <t>CESTO BOTA PAPELES DE ACERO CON PEDAL</t>
        </is>
      </c>
      <c r="F175" s="10" t="inlineStr">
        <is>
          <t>und</t>
        </is>
      </c>
      <c r="G175" s="14" t="n">
        <v>1</v>
      </c>
      <c r="H175" s="15" t="inlineStr">
        <is>
          <t>M62</t>
        </is>
      </c>
    </row>
    <row r="176">
      <c r="A176" s="2" t="inlineStr">
        <is>
          <t>E-05  SUM-comedor, cocina, lavandería, módulo de enseñanza y módulo infantil - SUM-COMEDOR</t>
        </is>
      </c>
      <c r="B176" s="4" t="n"/>
      <c r="C176" s="4" t="n"/>
      <c r="D176" s="4" t="n"/>
      <c r="E176" s="4" t="n"/>
      <c r="F176" s="4" t="n"/>
      <c r="G176" s="4" t="n"/>
    </row>
    <row r="177">
      <c r="A177" s="10" t="inlineStr">
        <is>
          <t>E-05</t>
        </is>
      </c>
      <c r="B177" s="5" t="inlineStr">
        <is>
          <t>SUM-COMEDOR</t>
        </is>
      </c>
      <c r="C177" s="10" t="inlineStr">
        <is>
          <t>EM-04</t>
        </is>
      </c>
      <c r="D177" s="10" t="inlineStr">
        <is>
          <t>M3</t>
        </is>
      </c>
      <c r="E177" s="5" t="inlineStr">
        <is>
          <t>SILLA REGULABLE DE ESTUDIANTE DE MADERA Y METAL 0.30 x 0.27 x 0.32 m</t>
        </is>
      </c>
      <c r="F177" s="10" t="inlineStr">
        <is>
          <t>und</t>
        </is>
      </c>
      <c r="G177" s="14" t="n">
        <v>192</v>
      </c>
      <c r="H177" s="15" t="inlineStr">
        <is>
          <t>M3</t>
        </is>
      </c>
    </row>
    <row r="178">
      <c r="A178" s="10" t="inlineStr">
        <is>
          <t>E-05</t>
        </is>
      </c>
      <c r="B178" s="5" t="inlineStr">
        <is>
          <t>SUM-COMEDOR</t>
        </is>
      </c>
      <c r="C178" s="10" t="inlineStr">
        <is>
          <t>EM-04</t>
        </is>
      </c>
      <c r="D178" s="10" t="inlineStr">
        <is>
          <t>M16</t>
        </is>
      </c>
      <c r="E178" s="5" t="inlineStr">
        <is>
          <t>MESA DE TRABAJO DE MADERA PARA ESTUDIANTES 0.90 x 1.80 x 0.56 m</t>
        </is>
      </c>
      <c r="F178" s="10" t="inlineStr">
        <is>
          <t>und</t>
        </is>
      </c>
      <c r="G178" s="14" t="n">
        <v>24</v>
      </c>
      <c r="H178" s="15" t="inlineStr">
        <is>
          <t>M16</t>
        </is>
      </c>
    </row>
    <row r="179">
      <c r="A179" s="10" t="inlineStr">
        <is>
          <t>E-05</t>
        </is>
      </c>
      <c r="B179" s="5" t="inlineStr">
        <is>
          <t>SUM-COMEDOR</t>
        </is>
      </c>
      <c r="C179" s="10" t="inlineStr">
        <is>
          <t>EM-04</t>
        </is>
      </c>
      <c r="D179" s="10" t="inlineStr">
        <is>
          <t>M62</t>
        </is>
      </c>
      <c r="E179" s="5" t="inlineStr">
        <is>
          <t>CESTO BOTA PAPELES DE ACERO CON PEDAL</t>
        </is>
      </c>
      <c r="F179" s="10" t="inlineStr">
        <is>
          <t>und</t>
        </is>
      </c>
      <c r="G179" s="14" t="n">
        <v>4</v>
      </c>
      <c r="H179" s="15" t="inlineStr">
        <is>
          <t>M62</t>
        </is>
      </c>
    </row>
    <row r="180">
      <c r="A180" s="2" t="inlineStr">
        <is>
          <t>E-05  SUM-comedor, cocina, lavandería, módulo de enseñanza y módulo infantil - COCINA, ALACENA Y DESPENSA</t>
        </is>
      </c>
      <c r="B180" s="4" t="n"/>
      <c r="C180" s="4" t="n"/>
      <c r="D180" s="4" t="n"/>
      <c r="E180" s="4" t="n"/>
      <c r="F180" s="4" t="n"/>
      <c r="G180" s="4" t="n"/>
    </row>
    <row r="181">
      <c r="A181" s="10" t="inlineStr">
        <is>
          <t>E-05</t>
        </is>
      </c>
      <c r="B181" s="5" t="inlineStr">
        <is>
          <t>COCINA, ALACENA Y DESPENSA</t>
        </is>
      </c>
      <c r="C181" s="10" t="inlineStr">
        <is>
          <t>EM-04</t>
        </is>
      </c>
      <c r="D181" s="10" t="inlineStr">
        <is>
          <t>E13</t>
        </is>
      </c>
      <c r="E181" s="5" t="inlineStr">
        <is>
          <t>COCINA INDUSTRIAL DE 2 HORNILLAS</t>
        </is>
      </c>
      <c r="F181" s="10" t="inlineStr">
        <is>
          <t>und</t>
        </is>
      </c>
      <c r="G181" s="14" t="n">
        <v>2</v>
      </c>
      <c r="H181" s="15" t="inlineStr">
        <is>
          <t>E13</t>
        </is>
      </c>
    </row>
    <row r="182">
      <c r="A182" s="10" t="inlineStr">
        <is>
          <t>E-05</t>
        </is>
      </c>
      <c r="B182" s="5" t="inlineStr">
        <is>
          <t>COCINA, ALACENA Y DESPENSA</t>
        </is>
      </c>
      <c r="C182" s="10" t="inlineStr">
        <is>
          <t>EM-04</t>
        </is>
      </c>
      <c r="D182" s="10" t="inlineStr">
        <is>
          <t>E16</t>
        </is>
      </c>
      <c r="E182" s="5" t="inlineStr">
        <is>
          <t>HORNO MICROONDAS DE 31 LITROS</t>
        </is>
      </c>
      <c r="F182" s="10" t="inlineStr">
        <is>
          <t>und</t>
        </is>
      </c>
      <c r="G182" s="14" t="n">
        <v>1</v>
      </c>
      <c r="H182" s="15" t="inlineStr">
        <is>
          <t>E16</t>
        </is>
      </c>
    </row>
    <row r="183">
      <c r="A183" s="10" t="inlineStr">
        <is>
          <t>E-05</t>
        </is>
      </c>
      <c r="B183" s="5" t="inlineStr">
        <is>
          <t>COCINA, ALACENA Y DESPENSA</t>
        </is>
      </c>
      <c r="C183" s="10" t="inlineStr">
        <is>
          <t>EM-04</t>
        </is>
      </c>
      <c r="D183" s="10" t="inlineStr">
        <is>
          <t>E17</t>
        </is>
      </c>
      <c r="E183" s="5" t="inlineStr">
        <is>
          <t>LICUADORA DE 1.5 LITROS</t>
        </is>
      </c>
      <c r="F183" s="10" t="inlineStr">
        <is>
          <t>und</t>
        </is>
      </c>
      <c r="G183" s="14" t="n">
        <v>1</v>
      </c>
      <c r="H183" s="15" t="inlineStr">
        <is>
          <t>E17</t>
        </is>
      </c>
    </row>
    <row r="184">
      <c r="A184" s="10" t="inlineStr">
        <is>
          <t>E-05</t>
        </is>
      </c>
      <c r="B184" s="5" t="inlineStr">
        <is>
          <t>COCINA, ALACENA Y DESPENSA</t>
        </is>
      </c>
      <c r="C184" s="10" t="inlineStr">
        <is>
          <t>EM-04</t>
        </is>
      </c>
      <c r="D184" s="10" t="inlineStr">
        <is>
          <t>E19</t>
        </is>
      </c>
      <c r="E184" s="5" t="inlineStr">
        <is>
          <t>REFRIGERADORA DE 315 LITROS</t>
        </is>
      </c>
      <c r="F184" s="10" t="inlineStr">
        <is>
          <t>und</t>
        </is>
      </c>
      <c r="G184" s="14" t="n">
        <v>1</v>
      </c>
      <c r="H184" s="15" t="inlineStr">
        <is>
          <t>E19</t>
        </is>
      </c>
    </row>
    <row r="185">
      <c r="A185" s="10" t="inlineStr">
        <is>
          <t>E-05</t>
        </is>
      </c>
      <c r="B185" s="5" t="inlineStr">
        <is>
          <t>COCINA, ALACENA Y DESPENSA</t>
        </is>
      </c>
      <c r="C185" s="10" t="inlineStr">
        <is>
          <t>EM-04</t>
        </is>
      </c>
      <c r="D185" s="10" t="inlineStr">
        <is>
          <t>M51</t>
        </is>
      </c>
      <c r="E185" s="5" t="inlineStr">
        <is>
          <t>ESTANTE METÁLICO RANURADO CON CUATRO DIVISIONES 0.90 x 0.45 x 1.80 m</t>
        </is>
      </c>
      <c r="F185" s="10" t="inlineStr">
        <is>
          <t>und</t>
        </is>
      </c>
      <c r="G185" s="14" t="n">
        <v>5</v>
      </c>
      <c r="H185" s="15" t="inlineStr">
        <is>
          <t>M51</t>
        </is>
      </c>
    </row>
    <row r="186">
      <c r="A186" s="10" t="inlineStr">
        <is>
          <t>E-05</t>
        </is>
      </c>
      <c r="B186" s="5" t="inlineStr">
        <is>
          <t>COCINA, ALACENA Y DESPENSA</t>
        </is>
      </c>
      <c r="C186" s="10" t="inlineStr">
        <is>
          <t>EM-04</t>
        </is>
      </c>
      <c r="D186" s="10" t="inlineStr">
        <is>
          <t>M52</t>
        </is>
      </c>
      <c r="E186" s="5" t="inlineStr">
        <is>
          <t>ESTANTE DE ACERO INOXIDABLE CON CUATRO DIVISIONES Y BANDEJA 0.60 x 0.60 x 1.80 m</t>
        </is>
      </c>
      <c r="F186" s="10" t="inlineStr">
        <is>
          <t>und</t>
        </is>
      </c>
      <c r="G186" s="14" t="n">
        <v>2</v>
      </c>
      <c r="H186" s="15" t="inlineStr">
        <is>
          <t>M52</t>
        </is>
      </c>
    </row>
    <row r="187">
      <c r="A187" s="10" t="inlineStr">
        <is>
          <t>E-05</t>
        </is>
      </c>
      <c r="B187" s="5" t="inlineStr">
        <is>
          <t>COCINA, ALACENA Y DESPENSA</t>
        </is>
      </c>
      <c r="C187" s="10" t="inlineStr">
        <is>
          <t>EM-04</t>
        </is>
      </c>
      <c r="D187" s="10" t="inlineStr">
        <is>
          <t>M68</t>
        </is>
      </c>
      <c r="E187" s="5" t="inlineStr">
        <is>
          <t>PARIHUELA DE MADERA 0.90 x 0.50 x 0.20 m</t>
        </is>
      </c>
      <c r="F187" s="10" t="inlineStr">
        <is>
          <t>und</t>
        </is>
      </c>
      <c r="G187" s="14" t="n">
        <v>4</v>
      </c>
      <c r="H187" s="15" t="inlineStr">
        <is>
          <t>M68</t>
        </is>
      </c>
    </row>
    <row r="188">
      <c r="A188" s="10" t="inlineStr">
        <is>
          <t>E-05</t>
        </is>
      </c>
      <c r="B188" s="5" t="inlineStr">
        <is>
          <t>COCINA, ALACENA Y DESPENSA</t>
        </is>
      </c>
      <c r="C188" s="10" t="inlineStr">
        <is>
          <t>EM-04</t>
        </is>
      </c>
      <c r="D188" s="10" t="inlineStr">
        <is>
          <t>M73</t>
        </is>
      </c>
      <c r="E188" s="5" t="inlineStr">
        <is>
          <t>ESTACIÓN DE SERVIDO CON TRES BANDEJAS, UNA PUERTA Y UNA CUBIERTA 1.20 x 0.70 x 0.90 m</t>
        </is>
      </c>
      <c r="F188" s="10" t="inlineStr">
        <is>
          <t>und</t>
        </is>
      </c>
      <c r="G188" s="14" t="n">
        <v>1</v>
      </c>
      <c r="H188" s="15" t="inlineStr">
        <is>
          <t>M73</t>
        </is>
      </c>
    </row>
    <row r="189">
      <c r="A189" s="2" t="inlineStr">
        <is>
          <t>E-05  SUM-comedor, cocina, lavandería, módulo de enseñanza y módulo infantil - MÓDULO INFANTIL</t>
        </is>
      </c>
      <c r="B189" s="4" t="n"/>
      <c r="C189" s="4" t="n"/>
      <c r="D189" s="4" t="n"/>
      <c r="E189" s="4" t="n"/>
      <c r="F189" s="4" t="n"/>
      <c r="G189" s="4" t="n"/>
    </row>
    <row r="190">
      <c r="A190" s="10" t="inlineStr">
        <is>
          <t>E-05</t>
        </is>
      </c>
      <c r="B190" s="5" t="inlineStr">
        <is>
          <t>MÓDULO INFANTIL</t>
        </is>
      </c>
      <c r="C190" s="10" t="inlineStr">
        <is>
          <t>EM-04</t>
        </is>
      </c>
      <c r="D190" s="10" t="inlineStr">
        <is>
          <t>M15</t>
        </is>
      </c>
      <c r="E190" s="5" t="inlineStr">
        <is>
          <t>ATRIL DE MESA PARA DIBUJO Y PINTURA</t>
        </is>
      </c>
      <c r="F190" s="10" t="inlineStr">
        <is>
          <t>und</t>
        </is>
      </c>
      <c r="G190" s="14" t="n">
        <v>1</v>
      </c>
      <c r="H190" s="15" t="inlineStr">
        <is>
          <t>M15</t>
        </is>
      </c>
    </row>
    <row r="191">
      <c r="A191" s="10" t="inlineStr">
        <is>
          <t>E-05</t>
        </is>
      </c>
      <c r="B191" s="5" t="inlineStr">
        <is>
          <t>MÓDULO INFANTIL</t>
        </is>
      </c>
      <c r="C191" s="10" t="inlineStr">
        <is>
          <t>EM-04</t>
        </is>
      </c>
      <c r="D191" s="10" t="inlineStr">
        <is>
          <t>M54</t>
        </is>
      </c>
      <c r="E191" s="5" t="inlineStr">
        <is>
          <t>EXHIBIDOR DE LIBROS DE MELAMINA CON DIVISIONES ESCALONADAS 1.20 x 0.40 x 0.85 m</t>
        </is>
      </c>
      <c r="F191" s="10" t="inlineStr">
        <is>
          <t>und</t>
        </is>
      </c>
      <c r="G191" s="14" t="n">
        <v>1</v>
      </c>
      <c r="H191" s="15" t="inlineStr">
        <is>
          <t>M54</t>
        </is>
      </c>
    </row>
    <row r="192">
      <c r="A192" s="10" t="inlineStr">
        <is>
          <t>E-05</t>
        </is>
      </c>
      <c r="B192" s="5" t="inlineStr">
        <is>
          <t>MÓDULO INFANTIL</t>
        </is>
      </c>
      <c r="C192" s="10" t="inlineStr">
        <is>
          <t>EM-04</t>
        </is>
      </c>
      <c r="D192" s="10" t="inlineStr">
        <is>
          <t>M57</t>
        </is>
      </c>
      <c r="E192" s="5" t="inlineStr">
        <is>
          <t>MUEBLE BAJO DE MELAMINA CON DOS PUERTAS Y DOS DIVISIONES HORIZONTALES 0.60 x 1.20 x 1.00 m</t>
        </is>
      </c>
      <c r="F192" s="10" t="inlineStr">
        <is>
          <t>und</t>
        </is>
      </c>
      <c r="G192" s="14" t="n">
        <v>1</v>
      </c>
      <c r="H192" s="15" t="inlineStr">
        <is>
          <t>M57</t>
        </is>
      </c>
    </row>
    <row r="193">
      <c r="A193" s="10" t="inlineStr">
        <is>
          <t>E-05</t>
        </is>
      </c>
      <c r="B193" s="5" t="inlineStr">
        <is>
          <t>MÓDULO INFANTIL</t>
        </is>
      </c>
      <c r="C193" s="10" t="inlineStr">
        <is>
          <t>EM-04</t>
        </is>
      </c>
      <c r="D193" s="10" t="inlineStr">
        <is>
          <t>K20</t>
        </is>
      </c>
      <c r="E193" s="5" t="inlineStr">
        <is>
          <t>COJINES</t>
        </is>
      </c>
      <c r="F193" s="10" t="inlineStr">
        <is>
          <t>und</t>
        </is>
      </c>
      <c r="G193" s="14" t="n">
        <v>4</v>
      </c>
      <c r="H193" s="15" t="inlineStr">
        <is>
          <t>K:E-05:MÓDULO INFANTIL:K20</t>
        </is>
      </c>
    </row>
    <row r="194">
      <c r="A194" s="10" t="inlineStr">
        <is>
          <t>E-05</t>
        </is>
      </c>
      <c r="B194" s="5" t="inlineStr">
        <is>
          <t>MÓDULO INFANTIL</t>
        </is>
      </c>
      <c r="C194" s="10" t="inlineStr">
        <is>
          <t>EM-04</t>
        </is>
      </c>
      <c r="D194" s="10" t="inlineStr">
        <is>
          <t>K31</t>
        </is>
      </c>
      <c r="E194" s="5" t="inlineStr">
        <is>
          <t>PISCINA DE PELOTAS 1.50 m x 0.33 m</t>
        </is>
      </c>
      <c r="F194" s="10" t="inlineStr">
        <is>
          <t>und</t>
        </is>
      </c>
      <c r="G194" s="14" t="n">
        <v>1</v>
      </c>
      <c r="H194" s="15" t="inlineStr">
        <is>
          <t>K:E-05:MÓDULO INFANTIL:K31</t>
        </is>
      </c>
    </row>
    <row r="195">
      <c r="A195" s="10" t="inlineStr">
        <is>
          <t>E-05</t>
        </is>
      </c>
      <c r="B195" s="5" t="inlineStr">
        <is>
          <t>MÓDULO INFANTIL</t>
        </is>
      </c>
      <c r="C195" s="10" t="inlineStr">
        <is>
          <t>EM-04</t>
        </is>
      </c>
      <c r="D195" s="10" t="inlineStr">
        <is>
          <t>K32</t>
        </is>
      </c>
      <c r="E195" s="5" t="inlineStr">
        <is>
          <t>TOBOGÁN CON ESCALADOR</t>
        </is>
      </c>
      <c r="F195" s="10" t="inlineStr">
        <is>
          <t>und</t>
        </is>
      </c>
      <c r="G195" s="14" t="n">
        <v>1</v>
      </c>
      <c r="H195" s="15" t="inlineStr">
        <is>
          <t>K:E-05:MÓDULO INFANTIL:K32</t>
        </is>
      </c>
    </row>
    <row r="196">
      <c r="A196" s="10" t="inlineStr">
        <is>
          <t>E-05</t>
        </is>
      </c>
      <c r="B196" s="5" t="inlineStr">
        <is>
          <t>MÓDULO INFANTIL</t>
        </is>
      </c>
      <c r="C196" s="10" t="inlineStr">
        <is>
          <t>EM-04</t>
        </is>
      </c>
      <c r="D196" s="10" t="inlineStr">
        <is>
          <t>K33</t>
        </is>
      </c>
      <c r="E196" s="5" t="inlineStr">
        <is>
          <t>JUEGO DE TEATRO PARA NIÑOS</t>
        </is>
      </c>
      <c r="F196" s="10" t="inlineStr">
        <is>
          <t>und</t>
        </is>
      </c>
      <c r="G196" s="14" t="n">
        <v>1</v>
      </c>
      <c r="H196" s="15" t="inlineStr">
        <is>
          <t>K:E-05:MÓDULO INFANTIL:K33</t>
        </is>
      </c>
    </row>
    <row r="197">
      <c r="A197" s="10" t="inlineStr">
        <is>
          <t>E-05</t>
        </is>
      </c>
      <c r="B197" s="5" t="inlineStr">
        <is>
          <t>MÓDULO INFANTIL</t>
        </is>
      </c>
      <c r="C197" s="10" t="inlineStr">
        <is>
          <t>EM-04</t>
        </is>
      </c>
      <c r="D197" s="10" t="inlineStr">
        <is>
          <t>K78</t>
        </is>
      </c>
      <c r="E197" s="5" t="inlineStr">
        <is>
          <t>PISO ENCASTRABLE DE GOMA 25 mm</t>
        </is>
      </c>
      <c r="F197" s="10" t="inlineStr">
        <is>
          <t>und</t>
        </is>
      </c>
      <c r="G197" s="14" t="n">
        <v>8</v>
      </c>
      <c r="H197" s="15" t="inlineStr">
        <is>
          <t>K:E-05:MÓDULO INFANTIL:K78</t>
        </is>
      </c>
    </row>
    <row r="198">
      <c r="A198" s="2" t="inlineStr">
        <is>
          <t>E-06  Habitaciones (1) - HABITACIONES ESPECIAL, DOBLES Y SIMPLES</t>
        </is>
      </c>
      <c r="B198" s="4" t="n"/>
      <c r="C198" s="4" t="n"/>
      <c r="D198" s="4" t="n"/>
      <c r="E198" s="4" t="n"/>
      <c r="F198" s="4" t="n"/>
      <c r="G198" s="4" t="n"/>
    </row>
    <row r="199">
      <c r="A199" s="10" t="inlineStr">
        <is>
          <t>E-06</t>
        </is>
      </c>
      <c r="B199" s="5" t="inlineStr">
        <is>
          <t>HABITACIONES ESPECIAL, DOBLES Y SIMPLES</t>
        </is>
      </c>
      <c r="C199" s="10" t="inlineStr">
        <is>
          <t>EM-05</t>
        </is>
      </c>
      <c r="D199" s="10" t="inlineStr">
        <is>
          <t>M7</t>
        </is>
      </c>
      <c r="E199" s="5" t="inlineStr">
        <is>
          <t>SILLA DEL PROFESOR DE MADERA, MELAMINA Y METAL 0.45 x 0.40 x 0.36 m</t>
        </is>
      </c>
      <c r="F199" s="10" t="inlineStr">
        <is>
          <t>und</t>
        </is>
      </c>
      <c r="G199" s="14" t="n">
        <v>11</v>
      </c>
      <c r="H199" s="15" t="inlineStr">
        <is>
          <t>M7</t>
        </is>
      </c>
    </row>
    <row r="200">
      <c r="A200" s="10" t="inlineStr">
        <is>
          <t>E-06</t>
        </is>
      </c>
      <c r="B200" s="5" t="inlineStr">
        <is>
          <t>HABITACIONES ESPECIAL, DOBLES Y SIMPLES</t>
        </is>
      </c>
      <c r="C200" s="10" t="inlineStr">
        <is>
          <t>EM-05</t>
        </is>
      </c>
      <c r="D200" s="10" t="inlineStr">
        <is>
          <t>M28</t>
        </is>
      </c>
      <c r="E200" s="5" t="inlineStr">
        <is>
          <t>ESCRITORIO DE MELAMINA CON DOS CAJONERAS 1.00 x 0.50 x 0.75 m</t>
        </is>
      </c>
      <c r="F200" s="10" t="inlineStr">
        <is>
          <t>und</t>
        </is>
      </c>
      <c r="G200" s="14" t="n">
        <v>11</v>
      </c>
      <c r="H200" s="15" t="inlineStr">
        <is>
          <t>M28</t>
        </is>
      </c>
    </row>
    <row r="201">
      <c r="A201" s="10" t="inlineStr">
        <is>
          <t>E-06</t>
        </is>
      </c>
      <c r="B201" s="5" t="inlineStr">
        <is>
          <t>HABITACIONES ESPECIAL, DOBLES Y SIMPLES</t>
        </is>
      </c>
      <c r="C201" s="10" t="inlineStr">
        <is>
          <t>EM-05</t>
        </is>
      </c>
      <c r="D201" s="10" t="inlineStr">
        <is>
          <t>M37</t>
        </is>
      </c>
      <c r="E201" s="5" t="inlineStr">
        <is>
          <t>ARMARIO PARA ALMACENAR MATERIAL DE MELAMINA CON 2 PUERTAS Y 5 DIVISIONES 0.90 x 0.60 x 1.80 m</t>
        </is>
      </c>
      <c r="F201" s="10" t="inlineStr">
        <is>
          <t>und</t>
        </is>
      </c>
      <c r="G201" s="14" t="n">
        <v>11</v>
      </c>
      <c r="H201" s="15" t="inlineStr">
        <is>
          <t>M37</t>
        </is>
      </c>
    </row>
    <row r="202">
      <c r="A202" s="10" t="inlineStr">
        <is>
          <t>E-06</t>
        </is>
      </c>
      <c r="B202" s="5" t="inlineStr">
        <is>
          <t>HABITACIONES ESPECIAL, DOBLES Y SIMPLES</t>
        </is>
      </c>
      <c r="C202" s="10" t="inlineStr">
        <is>
          <t>EM-05</t>
        </is>
      </c>
      <c r="D202" s="10" t="inlineStr">
        <is>
          <t>M61</t>
        </is>
      </c>
      <c r="E202" s="5" t="inlineStr">
        <is>
          <t>VELADOR DE MADERA 0.45 x 0.50 m</t>
        </is>
      </c>
      <c r="F202" s="10" t="inlineStr">
        <is>
          <t>und</t>
        </is>
      </c>
      <c r="G202" s="14" t="n">
        <v>10</v>
      </c>
      <c r="H202" s="15" t="inlineStr">
        <is>
          <t>M61</t>
        </is>
      </c>
    </row>
    <row r="203">
      <c r="A203" s="10" t="inlineStr">
        <is>
          <t>E-06</t>
        </is>
      </c>
      <c r="B203" s="5" t="inlineStr">
        <is>
          <t>HABITACIONES ESPECIAL, DOBLES Y SIMPLES</t>
        </is>
      </c>
      <c r="C203" s="10" t="inlineStr">
        <is>
          <t>EM-05</t>
        </is>
      </c>
      <c r="D203" s="10" t="inlineStr">
        <is>
          <t>M64</t>
        </is>
      </c>
      <c r="E203" s="5" t="inlineStr">
        <is>
          <t>CAMAROTE DE UNA PLAZA Y MEDIA, INCLUYE COLCHÓN</t>
        </is>
      </c>
      <c r="F203" s="10" t="inlineStr">
        <is>
          <t>und</t>
        </is>
      </c>
      <c r="G203" s="14" t="n">
        <v>8</v>
      </c>
      <c r="H203" s="15" t="inlineStr">
        <is>
          <t>M64</t>
        </is>
      </c>
    </row>
    <row r="204">
      <c r="A204" s="10" t="inlineStr">
        <is>
          <t>E-06</t>
        </is>
      </c>
      <c r="B204" s="5" t="inlineStr">
        <is>
          <t>HABITACIONES ESPECIAL, DOBLES Y SIMPLES</t>
        </is>
      </c>
      <c r="C204" s="10" t="inlineStr">
        <is>
          <t>EM-05</t>
        </is>
      </c>
      <c r="D204" s="10" t="inlineStr">
        <is>
          <t>M78</t>
        </is>
      </c>
      <c r="E204" s="5" t="inlineStr">
        <is>
          <t>CAMA DE DOS PLAZAS, INCLUYE COLCHÓN</t>
        </is>
      </c>
      <c r="F204" s="10" t="inlineStr">
        <is>
          <t>und</t>
        </is>
      </c>
      <c r="G204" s="14" t="n">
        <v>3</v>
      </c>
      <c r="H204" s="15" t="inlineStr">
        <is>
          <t>M78</t>
        </is>
      </c>
    </row>
    <row r="205">
      <c r="A205" s="2" t="inlineStr">
        <is>
          <t>E-06  Habitaciones (1) - SS.HH. DE LAS HABITACIONES</t>
        </is>
      </c>
      <c r="B205" s="4" t="n"/>
      <c r="C205" s="4" t="n"/>
      <c r="D205" s="4" t="n"/>
      <c r="E205" s="4" t="n"/>
      <c r="F205" s="4" t="n"/>
      <c r="G205" s="4" t="n"/>
    </row>
    <row r="206">
      <c r="A206" s="10" t="inlineStr">
        <is>
          <t>E-06</t>
        </is>
      </c>
      <c r="B206" s="5" t="inlineStr">
        <is>
          <t>SS.HH. DE LAS HABITACIONES</t>
        </is>
      </c>
      <c r="C206" s="10" t="inlineStr">
        <is>
          <t>EM-05</t>
        </is>
      </c>
      <c r="D206" s="10" t="inlineStr">
        <is>
          <t>M60</t>
        </is>
      </c>
      <c r="E206" s="5" t="inlineStr">
        <is>
          <t>PAPELERA DE PLÁSTICO CON PEDAL</t>
        </is>
      </c>
      <c r="F206" s="10" t="inlineStr">
        <is>
          <t>und</t>
        </is>
      </c>
      <c r="G206" s="14" t="n">
        <v>4</v>
      </c>
      <c r="H206" s="15" t="inlineStr">
        <is>
          <t>M60</t>
        </is>
      </c>
    </row>
    <row r="207">
      <c r="A207" s="10" t="inlineStr">
        <is>
          <t>E-06</t>
        </is>
      </c>
      <c r="B207" s="5" t="inlineStr">
        <is>
          <t>SS.HH. DE LAS HABITACIONES</t>
        </is>
      </c>
      <c r="C207" s="10" t="inlineStr">
        <is>
          <t>EM-05</t>
        </is>
      </c>
      <c r="D207" s="10" t="inlineStr">
        <is>
          <t>M76</t>
        </is>
      </c>
      <c r="E207" s="5" t="inlineStr">
        <is>
          <t>PORTAPAPEL HIGIÉNICO</t>
        </is>
      </c>
      <c r="F207" s="10" t="inlineStr">
        <is>
          <t>und</t>
        </is>
      </c>
      <c r="G207" s="14" t="n">
        <v>4</v>
      </c>
      <c r="H207" s="15" t="inlineStr">
        <is>
          <t>M76</t>
        </is>
      </c>
    </row>
    <row r="208">
      <c r="A208" s="10" t="inlineStr">
        <is>
          <t>E-06</t>
        </is>
      </c>
      <c r="B208" s="5" t="inlineStr">
        <is>
          <t>SS.HH. DE LAS HABITACIONES</t>
        </is>
      </c>
      <c r="C208" s="10" t="inlineStr">
        <is>
          <t>EM-05</t>
        </is>
      </c>
      <c r="D208" s="10" t="inlineStr">
        <is>
          <t>M77</t>
        </is>
      </c>
      <c r="E208" s="5" t="inlineStr">
        <is>
          <t>DISPENSADOR DE PAPEL TOALLA</t>
        </is>
      </c>
      <c r="F208" s="10" t="inlineStr">
        <is>
          <t>und</t>
        </is>
      </c>
      <c r="G208" s="14" t="n">
        <v>4</v>
      </c>
      <c r="H208" s="15" t="inlineStr">
        <is>
          <t>M77</t>
        </is>
      </c>
    </row>
    <row r="209">
      <c r="A209" s="2" t="inlineStr">
        <is>
          <t>E-07  Habitaciones (2) - HABITACIONES ESPECIAL, DOBLES Y SIMPLES</t>
        </is>
      </c>
      <c r="B209" s="4" t="n"/>
      <c r="C209" s="4" t="n"/>
      <c r="D209" s="4" t="n"/>
      <c r="E209" s="4" t="n"/>
      <c r="F209" s="4" t="n"/>
      <c r="G209" s="4" t="n"/>
    </row>
    <row r="210">
      <c r="A210" s="10" t="inlineStr">
        <is>
          <t>E-07</t>
        </is>
      </c>
      <c r="B210" s="5" t="inlineStr">
        <is>
          <t>HABITACIONES ESPECIAL, DOBLES Y SIMPLES</t>
        </is>
      </c>
      <c r="C210" s="10" t="inlineStr">
        <is>
          <t>EM-06</t>
        </is>
      </c>
      <c r="D210" s="10" t="inlineStr">
        <is>
          <t>M7</t>
        </is>
      </c>
      <c r="E210" s="5" t="inlineStr">
        <is>
          <t>SILLA DEL PROFESOR DE MADERA, MELAMINA Y METAL 0.45 x 0.40 x 0.36 m</t>
        </is>
      </c>
      <c r="F210" s="10" t="inlineStr">
        <is>
          <t>und</t>
        </is>
      </c>
      <c r="G210" s="14" t="n">
        <v>23</v>
      </c>
      <c r="H210" s="15" t="inlineStr">
        <is>
          <t>M7</t>
        </is>
      </c>
    </row>
    <row r="211">
      <c r="A211" s="10" t="inlineStr">
        <is>
          <t>E-07</t>
        </is>
      </c>
      <c r="B211" s="5" t="inlineStr">
        <is>
          <t>HABITACIONES ESPECIAL, DOBLES Y SIMPLES</t>
        </is>
      </c>
      <c r="C211" s="10" t="inlineStr">
        <is>
          <t>EM-06</t>
        </is>
      </c>
      <c r="D211" s="10" t="inlineStr">
        <is>
          <t>M28</t>
        </is>
      </c>
      <c r="E211" s="5" t="inlineStr">
        <is>
          <t>ESCRITORIO DE MELAMINA CON DOS CAJONERAS 1.00 x 0.50 x 0.75 m</t>
        </is>
      </c>
      <c r="F211" s="10" t="inlineStr">
        <is>
          <t>und</t>
        </is>
      </c>
      <c r="G211" s="14" t="n">
        <v>23</v>
      </c>
      <c r="H211" s="15" t="inlineStr">
        <is>
          <t>M28</t>
        </is>
      </c>
    </row>
    <row r="212">
      <c r="A212" s="10" t="inlineStr">
        <is>
          <t>E-07</t>
        </is>
      </c>
      <c r="B212" s="5" t="inlineStr">
        <is>
          <t>HABITACIONES ESPECIAL, DOBLES Y SIMPLES</t>
        </is>
      </c>
      <c r="C212" s="10" t="inlineStr">
        <is>
          <t>EM-06</t>
        </is>
      </c>
      <c r="D212" s="10" t="inlineStr">
        <is>
          <t>M37</t>
        </is>
      </c>
      <c r="E212" s="5" t="inlineStr">
        <is>
          <t>ARMARIO PARA ALMACENAR MATERIAL DE MELAMINA CON 2 PUERTAS Y 5 DIVISIONES 0.90 x 0.60 x 1.80 m</t>
        </is>
      </c>
      <c r="F212" s="10" t="inlineStr">
        <is>
          <t>und</t>
        </is>
      </c>
      <c r="G212" s="14" t="n">
        <v>28</v>
      </c>
      <c r="H212" s="15" t="inlineStr">
        <is>
          <t>M37</t>
        </is>
      </c>
    </row>
    <row r="213">
      <c r="A213" s="10" t="inlineStr">
        <is>
          <t>E-07</t>
        </is>
      </c>
      <c r="B213" s="5" t="inlineStr">
        <is>
          <t>HABITACIONES ESPECIAL, DOBLES Y SIMPLES</t>
        </is>
      </c>
      <c r="C213" s="10" t="inlineStr">
        <is>
          <t>EM-06</t>
        </is>
      </c>
      <c r="D213" s="10" t="inlineStr">
        <is>
          <t>M61</t>
        </is>
      </c>
      <c r="E213" s="5" t="inlineStr">
        <is>
          <t>VELADOR DE MADERA 0.45 x 0.50 m</t>
        </is>
      </c>
      <c r="F213" s="10" t="inlineStr">
        <is>
          <t>und</t>
        </is>
      </c>
      <c r="G213" s="14" t="n">
        <v>17</v>
      </c>
      <c r="H213" s="15" t="inlineStr">
        <is>
          <t>M61</t>
        </is>
      </c>
    </row>
    <row r="214">
      <c r="A214" s="10" t="inlineStr">
        <is>
          <t>E-07</t>
        </is>
      </c>
      <c r="B214" s="5" t="inlineStr">
        <is>
          <t>HABITACIONES ESPECIAL, DOBLES Y SIMPLES</t>
        </is>
      </c>
      <c r="C214" s="10" t="inlineStr">
        <is>
          <t>EM-06</t>
        </is>
      </c>
      <c r="D214" s="10" t="inlineStr">
        <is>
          <t>M64</t>
        </is>
      </c>
      <c r="E214" s="5" t="inlineStr">
        <is>
          <t>CAMAROTE DE UNA PLAZA Y MEDIA, INCLUYE COLCHÓN</t>
        </is>
      </c>
      <c r="F214" s="10" t="inlineStr">
        <is>
          <t>und</t>
        </is>
      </c>
      <c r="G214" s="14" t="n">
        <v>19</v>
      </c>
      <c r="H214" s="15" t="inlineStr">
        <is>
          <t>M64</t>
        </is>
      </c>
    </row>
    <row r="215">
      <c r="A215" s="10" t="inlineStr">
        <is>
          <t>E-07</t>
        </is>
      </c>
      <c r="B215" s="5" t="inlineStr">
        <is>
          <t>HABITACIONES ESPECIAL, DOBLES Y SIMPLES</t>
        </is>
      </c>
      <c r="C215" s="10" t="inlineStr">
        <is>
          <t>EM-06</t>
        </is>
      </c>
      <c r="D215" s="10" t="inlineStr">
        <is>
          <t>M78</t>
        </is>
      </c>
      <c r="E215" s="5" t="inlineStr">
        <is>
          <t>CAMA DE DOS PLAZAS, INCLUYE COLCHÓN</t>
        </is>
      </c>
      <c r="F215" s="10" t="inlineStr">
        <is>
          <t>und</t>
        </is>
      </c>
      <c r="G215" s="14" t="n">
        <v>5</v>
      </c>
      <c r="H215" s="15" t="inlineStr">
        <is>
          <t>M78</t>
        </is>
      </c>
    </row>
    <row r="216">
      <c r="A216" s="10" t="inlineStr">
        <is>
          <t>E-07</t>
        </is>
      </c>
      <c r="B216" s="5" t="inlineStr">
        <is>
          <t>HABITACIONES ESPECIAL, DOBLES Y SIMPLES</t>
        </is>
      </c>
      <c r="C216" s="10" t="inlineStr">
        <is>
          <t>EM-06</t>
        </is>
      </c>
      <c r="D216" s="10" t="inlineStr">
        <is>
          <t>M79</t>
        </is>
      </c>
      <c r="E216" s="5" t="inlineStr">
        <is>
          <t>CAMA CUNA DE UNA PLAZA, INCLUYE COLCHÓN</t>
        </is>
      </c>
      <c r="F216" s="10" t="inlineStr">
        <is>
          <t>und</t>
        </is>
      </c>
      <c r="G216" s="14" t="n">
        <v>3</v>
      </c>
      <c r="H216" s="15" t="inlineStr">
        <is>
          <t>M79</t>
        </is>
      </c>
    </row>
    <row r="217">
      <c r="A217" s="2" t="inlineStr">
        <is>
          <t>E-07  Habitaciones (2) - SS.HH. DE LAS HABITACIONES</t>
        </is>
      </c>
      <c r="B217" s="4" t="n"/>
      <c r="C217" s="4" t="n"/>
      <c r="D217" s="4" t="n"/>
      <c r="E217" s="4" t="n"/>
      <c r="F217" s="4" t="n"/>
      <c r="G217" s="4" t="n"/>
    </row>
    <row r="218">
      <c r="A218" s="10" t="inlineStr">
        <is>
          <t>E-07</t>
        </is>
      </c>
      <c r="B218" s="5" t="inlineStr">
        <is>
          <t>SS.HH. DE LAS HABITACIONES</t>
        </is>
      </c>
      <c r="C218" s="10" t="inlineStr">
        <is>
          <t>EM-06</t>
        </is>
      </c>
      <c r="D218" s="10" t="inlineStr">
        <is>
          <t>M60</t>
        </is>
      </c>
      <c r="E218" s="5" t="inlineStr">
        <is>
          <t>PAPELERA DE PLÁSTICO CON PEDAL</t>
        </is>
      </c>
      <c r="F218" s="10" t="inlineStr">
        <is>
          <t>und</t>
        </is>
      </c>
      <c r="G218" s="14" t="n">
        <v>11</v>
      </c>
      <c r="H218" s="15" t="inlineStr">
        <is>
          <t>M60</t>
        </is>
      </c>
    </row>
    <row r="219">
      <c r="A219" s="10" t="inlineStr">
        <is>
          <t>E-07</t>
        </is>
      </c>
      <c r="B219" s="5" t="inlineStr">
        <is>
          <t>SS.HH. DE LAS HABITACIONES</t>
        </is>
      </c>
      <c r="C219" s="10" t="inlineStr">
        <is>
          <t>EM-06</t>
        </is>
      </c>
      <c r="D219" s="10" t="inlineStr">
        <is>
          <t>M76</t>
        </is>
      </c>
      <c r="E219" s="5" t="inlineStr">
        <is>
          <t>PORTAPAPEL HIGIÉNICO</t>
        </is>
      </c>
      <c r="F219" s="10" t="inlineStr">
        <is>
          <t>und</t>
        </is>
      </c>
      <c r="G219" s="14" t="n">
        <v>11</v>
      </c>
      <c r="H219" s="15" t="inlineStr">
        <is>
          <t>M76</t>
        </is>
      </c>
    </row>
    <row r="220">
      <c r="A220" s="10" t="inlineStr">
        <is>
          <t>E-07</t>
        </is>
      </c>
      <c r="B220" s="5" t="inlineStr">
        <is>
          <t>SS.HH. DE LAS HABITACIONES</t>
        </is>
      </c>
      <c r="C220" s="10" t="inlineStr">
        <is>
          <t>EM-06</t>
        </is>
      </c>
      <c r="D220" s="10" t="inlineStr">
        <is>
          <t>M77</t>
        </is>
      </c>
      <c r="E220" s="5" t="inlineStr">
        <is>
          <t>DISPENSADOR DE PAPEL TOALLA</t>
        </is>
      </c>
      <c r="F220" s="10" t="inlineStr">
        <is>
          <t>und</t>
        </is>
      </c>
      <c r="G220" s="14" t="n">
        <v>11</v>
      </c>
      <c r="H220" s="15" t="inlineStr">
        <is>
          <t>M77</t>
        </is>
      </c>
    </row>
    <row r="221">
      <c r="A221" s="2" t="inlineStr">
        <is>
          <t>E-08  Habitaciones (3) - HABITACIONES ESPECIAL, DOBLES Y SIMPLES</t>
        </is>
      </c>
      <c r="B221" s="4" t="n"/>
      <c r="C221" s="4" t="n"/>
      <c r="D221" s="4" t="n"/>
      <c r="E221" s="4" t="n"/>
      <c r="F221" s="4" t="n"/>
      <c r="G221" s="4" t="n"/>
    </row>
    <row r="222">
      <c r="A222" s="10" t="inlineStr">
        <is>
          <t>E-08</t>
        </is>
      </c>
      <c r="B222" s="5" t="inlineStr">
        <is>
          <t>HABITACIONES ESPECIAL, DOBLES Y SIMPLES</t>
        </is>
      </c>
      <c r="C222" s="10" t="inlineStr">
        <is>
          <t>EM-07</t>
        </is>
      </c>
      <c r="D222" s="10" t="inlineStr">
        <is>
          <t>M7</t>
        </is>
      </c>
      <c r="E222" s="5" t="inlineStr">
        <is>
          <t>SILLA DEL PROFESOR DE MADERA, MELAMINA Y METAL 0.45 x 0.40 x 0.36 m</t>
        </is>
      </c>
      <c r="F222" s="10" t="inlineStr">
        <is>
          <t>und</t>
        </is>
      </c>
      <c r="G222" s="14" t="n">
        <v>12</v>
      </c>
      <c r="H222" s="15" t="inlineStr">
        <is>
          <t>M7</t>
        </is>
      </c>
    </row>
    <row r="223">
      <c r="A223" s="10" t="inlineStr">
        <is>
          <t>E-08</t>
        </is>
      </c>
      <c r="B223" s="5" t="inlineStr">
        <is>
          <t>HABITACIONES ESPECIAL, DOBLES Y SIMPLES</t>
        </is>
      </c>
      <c r="C223" s="10" t="inlineStr">
        <is>
          <t>EM-07</t>
        </is>
      </c>
      <c r="D223" s="10" t="inlineStr">
        <is>
          <t>M28</t>
        </is>
      </c>
      <c r="E223" s="5" t="inlineStr">
        <is>
          <t>ESCRITORIO DE MELAMINA CON DOS CAJONERAS 1.00 x 0.50 x 0.75 m</t>
        </is>
      </c>
      <c r="F223" s="10" t="inlineStr">
        <is>
          <t>und</t>
        </is>
      </c>
      <c r="G223" s="14" t="n">
        <v>12</v>
      </c>
      <c r="H223" s="15" t="inlineStr">
        <is>
          <t>M28</t>
        </is>
      </c>
    </row>
    <row r="224">
      <c r="A224" s="10" t="inlineStr">
        <is>
          <t>E-08</t>
        </is>
      </c>
      <c r="B224" s="5" t="inlineStr">
        <is>
          <t>HABITACIONES ESPECIAL, DOBLES Y SIMPLES</t>
        </is>
      </c>
      <c r="C224" s="10" t="inlineStr">
        <is>
          <t>EM-07</t>
        </is>
      </c>
      <c r="D224" s="10" t="inlineStr">
        <is>
          <t>M37</t>
        </is>
      </c>
      <c r="E224" s="5" t="inlineStr">
        <is>
          <t>ARMARIO PARA ALMACENAR MATERIAL DE MELAMINA CON 2 PUERTAS Y 5 DIVISIONES 0.90 x 0.60 x 1.80 m</t>
        </is>
      </c>
      <c r="F224" s="10" t="inlineStr">
        <is>
          <t>und</t>
        </is>
      </c>
      <c r="G224" s="14" t="n">
        <v>13</v>
      </c>
      <c r="H224" s="15" t="inlineStr">
        <is>
          <t>M37</t>
        </is>
      </c>
    </row>
    <row r="225">
      <c r="A225" s="10" t="inlineStr">
        <is>
          <t>E-08</t>
        </is>
      </c>
      <c r="B225" s="5" t="inlineStr">
        <is>
          <t>HABITACIONES ESPECIAL, DOBLES Y SIMPLES</t>
        </is>
      </c>
      <c r="C225" s="10" t="inlineStr">
        <is>
          <t>EM-07</t>
        </is>
      </c>
      <c r="D225" s="10" t="inlineStr">
        <is>
          <t>M61</t>
        </is>
      </c>
      <c r="E225" s="5" t="inlineStr">
        <is>
          <t>VELADOR DE MADERA 0.45 x 0.50 m</t>
        </is>
      </c>
      <c r="F225" s="10" t="inlineStr">
        <is>
          <t>und</t>
        </is>
      </c>
      <c r="G225" s="14" t="n">
        <v>10</v>
      </c>
      <c r="H225" s="15" t="inlineStr">
        <is>
          <t>M61</t>
        </is>
      </c>
    </row>
    <row r="226">
      <c r="A226" s="10" t="inlineStr">
        <is>
          <t>E-08</t>
        </is>
      </c>
      <c r="B226" s="5" t="inlineStr">
        <is>
          <t>HABITACIONES ESPECIAL, DOBLES Y SIMPLES</t>
        </is>
      </c>
      <c r="C226" s="10" t="inlineStr">
        <is>
          <t>EM-07</t>
        </is>
      </c>
      <c r="D226" s="10" t="inlineStr">
        <is>
          <t>M64</t>
        </is>
      </c>
      <c r="E226" s="5" t="inlineStr">
        <is>
          <t>CAMAROTE DE UNA PLAZA Y MEDIA, INCLUYE COLCHÓN</t>
        </is>
      </c>
      <c r="F226" s="10" t="inlineStr">
        <is>
          <t>und</t>
        </is>
      </c>
      <c r="G226" s="14" t="n">
        <v>9</v>
      </c>
      <c r="H226" s="15" t="inlineStr">
        <is>
          <t>M64</t>
        </is>
      </c>
    </row>
    <row r="227">
      <c r="A227" s="10" t="inlineStr">
        <is>
          <t>E-08</t>
        </is>
      </c>
      <c r="B227" s="5" t="inlineStr">
        <is>
          <t>HABITACIONES ESPECIAL, DOBLES Y SIMPLES</t>
        </is>
      </c>
      <c r="C227" s="10" t="inlineStr">
        <is>
          <t>EM-07</t>
        </is>
      </c>
      <c r="D227" s="10" t="inlineStr">
        <is>
          <t>M78</t>
        </is>
      </c>
      <c r="E227" s="5" t="inlineStr">
        <is>
          <t>CAMA DE DOS PLAZAS, INCLUYE COLCHÓN</t>
        </is>
      </c>
      <c r="F227" s="10" t="inlineStr">
        <is>
          <t>und</t>
        </is>
      </c>
      <c r="G227" s="14" t="n">
        <v>3</v>
      </c>
      <c r="H227" s="15" t="inlineStr">
        <is>
          <t>M78</t>
        </is>
      </c>
    </row>
    <row r="228">
      <c r="A228" s="2" t="inlineStr">
        <is>
          <t>E-08  Habitaciones (3) - SS.HH. DE LAS HABITACIONES</t>
        </is>
      </c>
      <c r="B228" s="4" t="n"/>
      <c r="C228" s="4" t="n"/>
      <c r="D228" s="4" t="n"/>
      <c r="E228" s="4" t="n"/>
      <c r="F228" s="4" t="n"/>
      <c r="G228" s="4" t="n"/>
    </row>
    <row r="229">
      <c r="A229" s="10" t="inlineStr">
        <is>
          <t>E-08</t>
        </is>
      </c>
      <c r="B229" s="5" t="inlineStr">
        <is>
          <t>SS.HH. DE LAS HABITACIONES</t>
        </is>
      </c>
      <c r="C229" s="10" t="inlineStr">
        <is>
          <t>EM-07</t>
        </is>
      </c>
      <c r="D229" s="10" t="inlineStr">
        <is>
          <t>M60</t>
        </is>
      </c>
      <c r="E229" s="5" t="inlineStr">
        <is>
          <t>PAPELERA DE PLÁSTICO CON PEDAL</t>
        </is>
      </c>
      <c r="F229" s="10" t="inlineStr">
        <is>
          <t>und</t>
        </is>
      </c>
      <c r="G229" s="14" t="n">
        <v>4</v>
      </c>
      <c r="H229" s="15" t="inlineStr">
        <is>
          <t>M60</t>
        </is>
      </c>
    </row>
    <row r="230">
      <c r="A230" s="10" t="inlineStr">
        <is>
          <t>E-08</t>
        </is>
      </c>
      <c r="B230" s="5" t="inlineStr">
        <is>
          <t>SS.HH. DE LAS HABITACIONES</t>
        </is>
      </c>
      <c r="C230" s="10" t="inlineStr">
        <is>
          <t>EM-07</t>
        </is>
      </c>
      <c r="D230" s="10" t="inlineStr">
        <is>
          <t>M76</t>
        </is>
      </c>
      <c r="E230" s="5" t="inlineStr">
        <is>
          <t>PORTAPAPEL HIGIÉNICO</t>
        </is>
      </c>
      <c r="F230" s="10" t="inlineStr">
        <is>
          <t>und</t>
        </is>
      </c>
      <c r="G230" s="14" t="n">
        <v>4</v>
      </c>
      <c r="H230" s="15" t="inlineStr">
        <is>
          <t>M76</t>
        </is>
      </c>
    </row>
    <row r="231">
      <c r="A231" s="10" t="inlineStr">
        <is>
          <t>E-08</t>
        </is>
      </c>
      <c r="B231" s="5" t="inlineStr">
        <is>
          <t>SS.HH. DE LAS HABITACIONES</t>
        </is>
      </c>
      <c r="C231" s="10" t="inlineStr">
        <is>
          <t>EM-07</t>
        </is>
      </c>
      <c r="D231" s="10" t="inlineStr">
        <is>
          <t>M77</t>
        </is>
      </c>
      <c r="E231" s="5" t="inlineStr">
        <is>
          <t>DISPENSADOR DE PAPEL TOALLA</t>
        </is>
      </c>
      <c r="F231" s="10" t="inlineStr">
        <is>
          <t>und</t>
        </is>
      </c>
      <c r="G231" s="14" t="n">
        <v>4</v>
      </c>
      <c r="H231" s="15" t="inlineStr">
        <is>
          <t>M77</t>
        </is>
      </c>
    </row>
    <row r="232">
      <c r="A232" s="2" t="inlineStr">
        <is>
          <t>E-09  Vestidores y almacén de implementos deportivos - VESTIDORES Y SS.HH.</t>
        </is>
      </c>
      <c r="B232" s="4" t="n"/>
      <c r="C232" s="4" t="n"/>
      <c r="D232" s="4" t="n"/>
      <c r="E232" s="4" t="n"/>
      <c r="F232" s="4" t="n"/>
      <c r="G232" s="4" t="n"/>
    </row>
    <row r="233">
      <c r="A233" s="10" t="inlineStr">
        <is>
          <t>E-09</t>
        </is>
      </c>
      <c r="B233" s="5" t="inlineStr">
        <is>
          <t>VESTIDORES Y SS.HH.</t>
        </is>
      </c>
      <c r="C233" s="10" t="inlineStr">
        <is>
          <t>EM-07</t>
        </is>
      </c>
      <c r="D233" s="10" t="inlineStr">
        <is>
          <t>M60</t>
        </is>
      </c>
      <c r="E233" s="5" t="inlineStr">
        <is>
          <t>PAPELERA DE PLÁSTICO CON PEDAL</t>
        </is>
      </c>
      <c r="F233" s="10" t="inlineStr">
        <is>
          <t>und</t>
        </is>
      </c>
      <c r="G233" s="14" t="n">
        <v>2</v>
      </c>
      <c r="H233" s="15" t="inlineStr">
        <is>
          <t>M60</t>
        </is>
      </c>
    </row>
    <row r="234">
      <c r="A234" s="10" t="inlineStr">
        <is>
          <t>E-09</t>
        </is>
      </c>
      <c r="B234" s="5" t="inlineStr">
        <is>
          <t>VESTIDORES Y SS.HH.</t>
        </is>
      </c>
      <c r="C234" s="10" t="inlineStr">
        <is>
          <t>EM-07</t>
        </is>
      </c>
      <c r="D234" s="10" t="inlineStr">
        <is>
          <t>M76</t>
        </is>
      </c>
      <c r="E234" s="5" t="inlineStr">
        <is>
          <t>PORTAPAPEL HIGIÉNICO</t>
        </is>
      </c>
      <c r="F234" s="10" t="inlineStr">
        <is>
          <t>und</t>
        </is>
      </c>
      <c r="G234" s="14" t="n">
        <v>2</v>
      </c>
      <c r="H234" s="15" t="inlineStr">
        <is>
          <t>M76</t>
        </is>
      </c>
    </row>
    <row r="235">
      <c r="A235" s="10" t="inlineStr">
        <is>
          <t>E-09</t>
        </is>
      </c>
      <c r="B235" s="5" t="inlineStr">
        <is>
          <t>VESTIDORES Y SS.HH.</t>
        </is>
      </c>
      <c r="C235" s="10" t="inlineStr">
        <is>
          <t>EM-07</t>
        </is>
      </c>
      <c r="D235" s="10" t="inlineStr">
        <is>
          <t>M77</t>
        </is>
      </c>
      <c r="E235" s="5" t="inlineStr">
        <is>
          <t>DISPENSADOR DE PAPEL TOALLA</t>
        </is>
      </c>
      <c r="F235" s="10" t="inlineStr">
        <is>
          <t>und</t>
        </is>
      </c>
      <c r="G235" s="14" t="n">
        <v>6</v>
      </c>
      <c r="H235" s="15" t="inlineStr">
        <is>
          <t>M77</t>
        </is>
      </c>
    </row>
    <row r="236">
      <c r="A236" s="2" t="inlineStr">
        <is>
          <t>E-09  Vestidores y almacén de implementos deportivos - ALMACÉN DE IMPLEMENTOS DEPORTIVOS</t>
        </is>
      </c>
      <c r="B236" s="4" t="n"/>
      <c r="C236" s="4" t="n"/>
      <c r="D236" s="4" t="n"/>
      <c r="E236" s="4" t="n"/>
      <c r="F236" s="4" t="n"/>
      <c r="G236" s="4" t="n"/>
    </row>
    <row r="237">
      <c r="A237" s="10" t="inlineStr">
        <is>
          <t>E-09</t>
        </is>
      </c>
      <c r="B237" s="5" t="inlineStr">
        <is>
          <t>ALMACÉN DE IMPLEMENTOS DEPORTIVOS</t>
        </is>
      </c>
      <c r="C237" s="10" t="inlineStr">
        <is>
          <t>EM-07</t>
        </is>
      </c>
      <c r="D237" s="10" t="inlineStr">
        <is>
          <t>M51</t>
        </is>
      </c>
      <c r="E237" s="5" t="inlineStr">
        <is>
          <t>ESTANTE METÁLICO RANURADO CON CUATRO DIVISIONES 0.90 x 0.45 x 1.80 m</t>
        </is>
      </c>
      <c r="F237" s="10" t="inlineStr">
        <is>
          <t>und</t>
        </is>
      </c>
      <c r="G237" s="14" t="n">
        <v>3</v>
      </c>
      <c r="H237" s="15" t="inlineStr">
        <is>
          <t>M51</t>
        </is>
      </c>
    </row>
    <row r="238">
      <c r="A238" s="10" t="inlineStr">
        <is>
          <t>E-09</t>
        </is>
      </c>
      <c r="B238" s="5" t="inlineStr">
        <is>
          <t>ALMACÉN DE IMPLEMENTOS DEPORTIVOS</t>
        </is>
      </c>
      <c r="C238" s="10" t="inlineStr">
        <is>
          <t>EM-07</t>
        </is>
      </c>
      <c r="D238" s="10" t="inlineStr">
        <is>
          <t>M64</t>
        </is>
      </c>
      <c r="E238" s="5" t="inlineStr">
        <is>
          <t>CANASTILLA MÓVIL CON RUEDAS PARA PELOTAS 1.00 x 0.80 x 1.00 m</t>
        </is>
      </c>
      <c r="F238" s="10" t="inlineStr">
        <is>
          <t>und</t>
        </is>
      </c>
      <c r="G238" s="14" t="n">
        <v>1</v>
      </c>
      <c r="H238" s="15" t="inlineStr">
        <is>
          <t>M64-C</t>
        </is>
      </c>
    </row>
    <row r="239">
      <c r="A239" s="10" t="inlineStr">
        <is>
          <t>E-09</t>
        </is>
      </c>
      <c r="B239" s="5" t="inlineStr">
        <is>
          <t>ALMACÉN DE IMPLEMENTOS DEPORTIVOS</t>
        </is>
      </c>
      <c r="C239" s="10" t="inlineStr">
        <is>
          <t>EM-07</t>
        </is>
      </c>
      <c r="D239" s="10" t="inlineStr">
        <is>
          <t>K37</t>
        </is>
      </c>
      <c r="E239" s="5" t="inlineStr">
        <is>
          <t>PELOTAS DE BÁSQUET N.° 6</t>
        </is>
      </c>
      <c r="F239" s="10" t="inlineStr">
        <is>
          <t>und</t>
        </is>
      </c>
      <c r="G239" s="14" t="n">
        <v>4</v>
      </c>
      <c r="H239" s="15" t="inlineStr">
        <is>
          <t>K:E-09:ALMACÉN DE IMPLEMENTOS DEPORTIVOS:K37</t>
        </is>
      </c>
    </row>
    <row r="240">
      <c r="A240" s="10" t="inlineStr">
        <is>
          <t>E-09</t>
        </is>
      </c>
      <c r="B240" s="5" t="inlineStr">
        <is>
          <t>ALMACÉN DE IMPLEMENTOS DEPORTIVOS</t>
        </is>
      </c>
      <c r="C240" s="10" t="inlineStr">
        <is>
          <t>EM-07</t>
        </is>
      </c>
      <c r="D240" s="10" t="inlineStr">
        <is>
          <t>K38</t>
        </is>
      </c>
      <c r="E240" s="5" t="inlineStr">
        <is>
          <t>PELOTAS DE BÁSQUET N.° 7</t>
        </is>
      </c>
      <c r="F240" s="10" t="inlineStr">
        <is>
          <t>und</t>
        </is>
      </c>
      <c r="G240" s="14" t="n">
        <v>4</v>
      </c>
      <c r="H240" s="15" t="inlineStr">
        <is>
          <t>K:E-09:ALMACÉN DE IMPLEMENTOS DEPORTIVOS:K38</t>
        </is>
      </c>
    </row>
    <row r="241">
      <c r="A241" s="10" t="inlineStr">
        <is>
          <t>E-09</t>
        </is>
      </c>
      <c r="B241" s="5" t="inlineStr">
        <is>
          <t>ALMACÉN DE IMPLEMENTOS DEPORTIVOS</t>
        </is>
      </c>
      <c r="C241" s="10" t="inlineStr">
        <is>
          <t>EM-07</t>
        </is>
      </c>
      <c r="D241" s="10" t="inlineStr">
        <is>
          <t>K40</t>
        </is>
      </c>
      <c r="E241" s="5" t="inlineStr">
        <is>
          <t>PELOTAS DE FÚTBOL N.° 5</t>
        </is>
      </c>
      <c r="F241" s="10" t="inlineStr">
        <is>
          <t>und</t>
        </is>
      </c>
      <c r="G241" s="14" t="n">
        <v>4</v>
      </c>
      <c r="H241" s="15" t="inlineStr">
        <is>
          <t>K:E-09:ALMACÉN DE IMPLEMENTOS DEPORTIVOS:K40</t>
        </is>
      </c>
    </row>
    <row r="242">
      <c r="A242" s="10" t="inlineStr">
        <is>
          <t>E-09</t>
        </is>
      </c>
      <c r="B242" s="5" t="inlineStr">
        <is>
          <t>ALMACÉN DE IMPLEMENTOS DEPORTIVOS</t>
        </is>
      </c>
      <c r="C242" s="10" t="inlineStr">
        <is>
          <t>EM-07</t>
        </is>
      </c>
      <c r="D242" s="10" t="inlineStr">
        <is>
          <t>K41</t>
        </is>
      </c>
      <c r="E242" s="5" t="inlineStr">
        <is>
          <t>PELOTAS DE VÓLEY N.° 4</t>
        </is>
      </c>
      <c r="F242" s="10" t="inlineStr">
        <is>
          <t>und</t>
        </is>
      </c>
      <c r="G242" s="14" t="n">
        <v>4</v>
      </c>
      <c r="H242" s="15" t="inlineStr">
        <is>
          <t>K:E-09:ALMACÉN DE IMPLEMENTOS DEPORTIVOS:K41</t>
        </is>
      </c>
    </row>
    <row r="243">
      <c r="A243" s="10" t="inlineStr">
        <is>
          <t>E-09</t>
        </is>
      </c>
      <c r="B243" s="5" t="inlineStr">
        <is>
          <t>ALMACÉN DE IMPLEMENTOS DEPORTIVOS</t>
        </is>
      </c>
      <c r="C243" s="10" t="inlineStr">
        <is>
          <t>EM-07</t>
        </is>
      </c>
      <c r="D243" s="10" t="inlineStr">
        <is>
          <t>K43</t>
        </is>
      </c>
      <c r="E243" s="5" t="inlineStr">
        <is>
          <t>TABURETE DE MADERA PARA GIMNASIA</t>
        </is>
      </c>
      <c r="F243" s="10" t="inlineStr">
        <is>
          <t>und</t>
        </is>
      </c>
      <c r="G243" s="14" t="n">
        <v>4</v>
      </c>
      <c r="H243" s="15" t="inlineStr">
        <is>
          <t>K:E-09:ALMACÉN DE IMPLEMENTOS DEPORTIVOS:K43</t>
        </is>
      </c>
    </row>
    <row r="244">
      <c r="A244" s="10" t="inlineStr">
        <is>
          <t>E-09</t>
        </is>
      </c>
      <c r="B244" s="5" t="inlineStr">
        <is>
          <t>ALMACÉN DE IMPLEMENTOS DEPORTIVOS</t>
        </is>
      </c>
      <c r="C244" s="10" t="inlineStr">
        <is>
          <t>EM-07</t>
        </is>
      </c>
      <c r="D244" s="10" t="inlineStr">
        <is>
          <t>K44</t>
        </is>
      </c>
      <c r="E244" s="5" t="inlineStr">
        <is>
          <t>INFLADOR DE PIE PARA PELOTAS</t>
        </is>
      </c>
      <c r="F244" s="10" t="inlineStr">
        <is>
          <t>und</t>
        </is>
      </c>
      <c r="G244" s="14" t="n">
        <v>2</v>
      </c>
      <c r="H244" s="15" t="inlineStr">
        <is>
          <t>K:E-09:ALMACÉN DE IMPLEMENTOS DEPORTIVOS:K44</t>
        </is>
      </c>
    </row>
    <row r="245">
      <c r="A245" s="10" t="inlineStr">
        <is>
          <t>E-09</t>
        </is>
      </c>
      <c r="B245" s="5" t="inlineStr">
        <is>
          <t>ALMACÉN DE IMPLEMENTOS DEPORTIVOS</t>
        </is>
      </c>
      <c r="C245" s="10" t="inlineStr">
        <is>
          <t>EM-07</t>
        </is>
      </c>
      <c r="D245" s="10" t="inlineStr">
        <is>
          <t>K45</t>
        </is>
      </c>
      <c r="E245" s="5" t="inlineStr">
        <is>
          <t>RIEL DE EQUILIBRIO</t>
        </is>
      </c>
      <c r="F245" s="10" t="inlineStr">
        <is>
          <t>und</t>
        </is>
      </c>
      <c r="G245" s="14" t="n">
        <v>2</v>
      </c>
      <c r="H245" s="15" t="inlineStr">
        <is>
          <t>K:E-09:ALMACÉN DE IMPLEMENTOS DEPORTIVOS:K45</t>
        </is>
      </c>
    </row>
    <row r="246">
      <c r="A246" s="10" t="inlineStr">
        <is>
          <t>E-09</t>
        </is>
      </c>
      <c r="B246" s="5" t="inlineStr">
        <is>
          <t>ALMACÉN DE IMPLEMENTOS DEPORTIVOS</t>
        </is>
      </c>
      <c r="C246" s="10" t="inlineStr">
        <is>
          <t>EM-07</t>
        </is>
      </c>
      <c r="D246" s="10" t="inlineStr">
        <is>
          <t>K46</t>
        </is>
      </c>
      <c r="E246" s="5" t="inlineStr">
        <is>
          <t>AROS DE ALUMINIO</t>
        </is>
      </c>
      <c r="F246" s="10" t="inlineStr">
        <is>
          <t>und</t>
        </is>
      </c>
      <c r="G246" s="14" t="n">
        <v>30</v>
      </c>
      <c r="H246" s="15" t="inlineStr">
        <is>
          <t>K:E-09:ALMACÉN DE IMPLEMENTOS DEPORTIVOS:K46</t>
        </is>
      </c>
    </row>
    <row r="247">
      <c r="A247" s="10" t="inlineStr">
        <is>
          <t>E-09</t>
        </is>
      </c>
      <c r="B247" s="5" t="inlineStr">
        <is>
          <t>ALMACÉN DE IMPLEMENTOS DEPORTIVOS</t>
        </is>
      </c>
      <c r="C247" s="10" t="inlineStr">
        <is>
          <t>EM-07</t>
        </is>
      </c>
      <c r="D247" s="10" t="inlineStr">
        <is>
          <t>K47</t>
        </is>
      </c>
      <c r="E247" s="5" t="inlineStr">
        <is>
          <t>DISCO DE GOMA DE 1 kg</t>
        </is>
      </c>
      <c r="F247" s="10" t="inlineStr">
        <is>
          <t>und</t>
        </is>
      </c>
      <c r="G247" s="14" t="n">
        <v>4</v>
      </c>
      <c r="H247" s="15" t="inlineStr">
        <is>
          <t>K:E-09:ALMACÉN DE IMPLEMENTOS DEPORTIVOS:K47</t>
        </is>
      </c>
    </row>
    <row r="248">
      <c r="A248" s="10" t="inlineStr">
        <is>
          <t>E-09</t>
        </is>
      </c>
      <c r="B248" s="5" t="inlineStr">
        <is>
          <t>ALMACÉN DE IMPLEMENTOS DEPORTIVOS</t>
        </is>
      </c>
      <c r="C248" s="10" t="inlineStr">
        <is>
          <t>EM-07</t>
        </is>
      </c>
      <c r="D248" s="10" t="inlineStr">
        <is>
          <t>K48</t>
        </is>
      </c>
      <c r="E248" s="5" t="inlineStr">
        <is>
          <t>BALA DE 1 kg</t>
        </is>
      </c>
      <c r="F248" s="10" t="inlineStr">
        <is>
          <t>und</t>
        </is>
      </c>
      <c r="G248" s="14" t="n">
        <v>4</v>
      </c>
      <c r="H248" s="15" t="inlineStr">
        <is>
          <t>K:E-09:ALMACÉN DE IMPLEMENTOS DEPORTIVOS:K48</t>
        </is>
      </c>
    </row>
    <row r="249">
      <c r="A249" s="10" t="inlineStr">
        <is>
          <t>E-09</t>
        </is>
      </c>
      <c r="B249" s="5" t="inlineStr">
        <is>
          <t>ALMACÉN DE IMPLEMENTOS DEPORTIVOS</t>
        </is>
      </c>
      <c r="C249" s="10" t="inlineStr">
        <is>
          <t>EM-07</t>
        </is>
      </c>
      <c r="D249" s="10" t="inlineStr">
        <is>
          <t>K49</t>
        </is>
      </c>
      <c r="E249" s="5" t="inlineStr">
        <is>
          <t>JABALINA DE 600 g</t>
        </is>
      </c>
      <c r="F249" s="10" t="inlineStr">
        <is>
          <t>und</t>
        </is>
      </c>
      <c r="G249" s="14" t="n">
        <v>4</v>
      </c>
      <c r="H249" s="15" t="inlineStr">
        <is>
          <t>K:E-09:ALMACÉN DE IMPLEMENTOS DEPORTIVOS:K49</t>
        </is>
      </c>
    </row>
    <row r="250">
      <c r="A250" s="10" t="inlineStr">
        <is>
          <t>E-09</t>
        </is>
      </c>
      <c r="B250" s="5" t="inlineStr">
        <is>
          <t>ALMACÉN DE IMPLEMENTOS DEPORTIVOS</t>
        </is>
      </c>
      <c r="C250" s="10" t="inlineStr">
        <is>
          <t>EM-07</t>
        </is>
      </c>
      <c r="D250" s="10" t="inlineStr">
        <is>
          <t>K50</t>
        </is>
      </c>
      <c r="E250" s="5" t="inlineStr">
        <is>
          <t>JABALINA DE 700 g</t>
        </is>
      </c>
      <c r="F250" s="10" t="inlineStr">
        <is>
          <t>und</t>
        </is>
      </c>
      <c r="G250" s="14" t="n">
        <v>4</v>
      </c>
      <c r="H250" s="15" t="inlineStr">
        <is>
          <t>K:E-09:ALMACÉN DE IMPLEMENTOS DEPORTIVOS:K50</t>
        </is>
      </c>
    </row>
    <row r="251">
      <c r="A251" s="10" t="inlineStr">
        <is>
          <t>E-09</t>
        </is>
      </c>
      <c r="B251" s="5" t="inlineStr">
        <is>
          <t>ALMACÉN DE IMPLEMENTOS DEPORTIVOS</t>
        </is>
      </c>
      <c r="C251" s="10" t="inlineStr">
        <is>
          <t>EM-07</t>
        </is>
      </c>
      <c r="D251" s="10" t="inlineStr">
        <is>
          <t>K51</t>
        </is>
      </c>
      <c r="E251" s="5" t="inlineStr">
        <is>
          <t>VALLAS DE OBSTÁCULO REGULABLE</t>
        </is>
      </c>
      <c r="F251" s="10" t="inlineStr">
        <is>
          <t>und</t>
        </is>
      </c>
      <c r="G251" s="14" t="n">
        <v>5</v>
      </c>
      <c r="H251" s="15" t="inlineStr">
        <is>
          <t>K:E-09:ALMACÉN DE IMPLEMENTOS DEPORTIVOS:K51</t>
        </is>
      </c>
    </row>
    <row r="252">
      <c r="A252" s="10" t="inlineStr">
        <is>
          <t>E-09</t>
        </is>
      </c>
      <c r="B252" s="5" t="inlineStr">
        <is>
          <t>ALMACÉN DE IMPLEMENTOS DEPORTIVOS</t>
        </is>
      </c>
      <c r="C252" s="10" t="inlineStr">
        <is>
          <t>EM-07</t>
        </is>
      </c>
      <c r="D252" s="10" t="inlineStr">
        <is>
          <t>K52</t>
        </is>
      </c>
      <c r="E252" s="5" t="inlineStr">
        <is>
          <t>TESTIMONIO DE RELEVO DE PVC</t>
        </is>
      </c>
      <c r="F252" s="10" t="inlineStr">
        <is>
          <t>und</t>
        </is>
      </c>
      <c r="G252" s="14" t="n">
        <v>5</v>
      </c>
      <c r="H252" s="15" t="inlineStr">
        <is>
          <t>K:E-09:ALMACÉN DE IMPLEMENTOS DEPORTIVOS:K52</t>
        </is>
      </c>
    </row>
    <row r="253">
      <c r="A253" s="10" t="inlineStr">
        <is>
          <t>E-09</t>
        </is>
      </c>
      <c r="B253" s="5" t="inlineStr">
        <is>
          <t>ALMACÉN DE IMPLEMENTOS DEPORTIVOS</t>
        </is>
      </c>
      <c r="C253" s="10" t="inlineStr">
        <is>
          <t>EM-07</t>
        </is>
      </c>
      <c r="D253" s="10" t="inlineStr">
        <is>
          <t>K75</t>
        </is>
      </c>
      <c r="E253" s="5" t="inlineStr">
        <is>
          <t>SACO DE BOXEO, RELLENO DE TELA PRENSADA</t>
        </is>
      </c>
      <c r="F253" s="10" t="inlineStr">
        <is>
          <t>und</t>
        </is>
      </c>
      <c r="G253" s="14" t="n">
        <v>1</v>
      </c>
      <c r="H253" s="15" t="inlineStr">
        <is>
          <t>K:E-09:ALMACÉN DE IMPLEMENTOS DEPORTIVOS:K75</t>
        </is>
      </c>
    </row>
    <row r="254">
      <c r="A254" s="10" t="inlineStr">
        <is>
          <t>E-09</t>
        </is>
      </c>
      <c r="B254" s="5" t="inlineStr">
        <is>
          <t>ALMACÉN DE IMPLEMENTOS DEPORTIVOS</t>
        </is>
      </c>
      <c r="C254" s="10" t="inlineStr">
        <is>
          <t>EM-07</t>
        </is>
      </c>
      <c r="D254" s="10" t="inlineStr">
        <is>
          <t>K76</t>
        </is>
      </c>
      <c r="E254" s="5" t="inlineStr">
        <is>
          <t>PERA DE BOX</t>
        </is>
      </c>
      <c r="F254" s="10" t="inlineStr">
        <is>
          <t>und</t>
        </is>
      </c>
      <c r="G254" s="14" t="n">
        <v>1</v>
      </c>
      <c r="H254" s="15" t="inlineStr">
        <is>
          <t>K:E-09:ALMACÉN DE IMPLEMENTOS DEPORTIVOS:K76</t>
        </is>
      </c>
    </row>
    <row r="255">
      <c r="A255" s="10" t="inlineStr">
        <is>
          <t>E-09</t>
        </is>
      </c>
      <c r="B255" s="5" t="inlineStr">
        <is>
          <t>ALMACÉN DE IMPLEMENTOS DEPORTIVOS</t>
        </is>
      </c>
      <c r="C255" s="10" t="inlineStr">
        <is>
          <t>EM-07</t>
        </is>
      </c>
      <c r="D255" s="10" t="inlineStr">
        <is>
          <t>K77</t>
        </is>
      </c>
      <c r="E255" s="5" t="inlineStr">
        <is>
          <t>SOPORTE METÁLICO PARA PERA</t>
        </is>
      </c>
      <c r="F255" s="10" t="inlineStr">
        <is>
          <t>und</t>
        </is>
      </c>
      <c r="G255" s="14" t="n">
        <v>1</v>
      </c>
      <c r="H255" s="15" t="inlineStr">
        <is>
          <t>K:E-09:ALMACÉN DE IMPLEMENTOS DEPORTIVOS:K77</t>
        </is>
      </c>
    </row>
    <row r="256">
      <c r="A256" s="10" t="inlineStr">
        <is>
          <t>E-09</t>
        </is>
      </c>
      <c r="B256" s="5" t="inlineStr">
        <is>
          <t>ALMACÉN DE IMPLEMENTOS DEPORTIVOS</t>
        </is>
      </c>
      <c r="C256" s="10" t="inlineStr">
        <is>
          <t>EM-07</t>
        </is>
      </c>
      <c r="D256" s="10" t="inlineStr">
        <is>
          <t>K78</t>
        </is>
      </c>
      <c r="E256" s="5" t="inlineStr">
        <is>
          <t>PISO ENCASTRABLE DE GOMA 25 mm</t>
        </is>
      </c>
      <c r="F256" s="10" t="inlineStr">
        <is>
          <t>und</t>
        </is>
      </c>
      <c r="G256" s="14" t="n">
        <v>50</v>
      </c>
      <c r="H256" s="15" t="inlineStr">
        <is>
          <t>K:E-09:ALMACÉN DE IMPLEMENTOS DEPORTIVOS:K78</t>
        </is>
      </c>
    </row>
    <row r="257">
      <c r="A257" s="10" t="inlineStr">
        <is>
          <t>E-09</t>
        </is>
      </c>
      <c r="B257" s="5" t="inlineStr">
        <is>
          <t>ALMACÉN DE IMPLEMENTOS DEPORTIVOS</t>
        </is>
      </c>
      <c r="C257" s="10" t="inlineStr">
        <is>
          <t>EM-07</t>
        </is>
      </c>
      <c r="D257" s="10" t="inlineStr">
        <is>
          <t>K81</t>
        </is>
      </c>
      <c r="E257" s="5" t="inlineStr">
        <is>
          <t>CODERA ESPUMA ERGONÓMICA</t>
        </is>
      </c>
      <c r="F257" s="10" t="inlineStr">
        <is>
          <t>und</t>
        </is>
      </c>
      <c r="G257" s="14" t="n">
        <v>30</v>
      </c>
      <c r="H257" s="15" t="inlineStr">
        <is>
          <t>K:E-09:ALMACÉN DE IMPLEMENTOS DEPORTIVOS:K81</t>
        </is>
      </c>
    </row>
    <row r="258">
      <c r="A258" s="10" t="inlineStr">
        <is>
          <t>E-09</t>
        </is>
      </c>
      <c r="B258" s="5" t="inlineStr">
        <is>
          <t>ALMACÉN DE IMPLEMENTOS DEPORTIVOS</t>
        </is>
      </c>
      <c r="C258" s="10" t="inlineStr">
        <is>
          <t>EM-07</t>
        </is>
      </c>
      <c r="D258" s="10" t="inlineStr">
        <is>
          <t>K82</t>
        </is>
      </c>
      <c r="E258" s="5" t="inlineStr">
        <is>
          <t>GUANTES DE ESPUMA DE ALTO IMPACTO</t>
        </is>
      </c>
      <c r="F258" s="10" t="inlineStr">
        <is>
          <t>und</t>
        </is>
      </c>
      <c r="G258" s="14" t="n">
        <v>30</v>
      </c>
      <c r="H258" s="15" t="inlineStr">
        <is>
          <t>K:E-09:ALMACÉN DE IMPLEMENTOS DEPORTIVOS:K82</t>
        </is>
      </c>
    </row>
    <row r="259">
      <c r="A259" s="10" t="inlineStr">
        <is>
          <t>E-09</t>
        </is>
      </c>
      <c r="B259" s="5" t="inlineStr">
        <is>
          <t>ALMACÉN DE IMPLEMENTOS DEPORTIVOS</t>
        </is>
      </c>
      <c r="C259" s="10" t="inlineStr">
        <is>
          <t>EM-07</t>
        </is>
      </c>
      <c r="D259" s="10" t="inlineStr">
        <is>
          <t>K53</t>
        </is>
      </c>
      <c r="E259" s="5" t="inlineStr">
        <is>
          <t>COLCHONETA SIMPLE FORRADA CON CUERO 1.50 x 0.50 m</t>
        </is>
      </c>
      <c r="F259" s="10" t="inlineStr">
        <is>
          <t>und</t>
        </is>
      </c>
      <c r="G259" s="14" t="n">
        <v>1</v>
      </c>
      <c r="H259" s="15" t="inlineStr">
        <is>
          <t>K:E-09:ALMACÉN DE IMPLEMENTOS DEPORTIVOS:K53</t>
        </is>
      </c>
    </row>
    <row r="260">
      <c r="A260" s="10" t="inlineStr">
        <is>
          <t>E-09</t>
        </is>
      </c>
      <c r="B260" s="5" t="inlineStr">
        <is>
          <t>ALMACÉN DE IMPLEMENTOS DEPORTIVOS</t>
        </is>
      </c>
      <c r="C260" s="10" t="inlineStr">
        <is>
          <t>EM-07</t>
        </is>
      </c>
      <c r="D260" s="10" t="inlineStr">
        <is>
          <t>K73</t>
        </is>
      </c>
      <c r="E260" s="5" t="inlineStr">
        <is>
          <t>KIT DE VÓLEY: RED Y PARANTES TELESCÓPICOS</t>
        </is>
      </c>
      <c r="F260" s="10" t="inlineStr">
        <is>
          <t>und</t>
        </is>
      </c>
      <c r="G260" s="14" t="n">
        <v>1</v>
      </c>
      <c r="H260" s="15" t="inlineStr">
        <is>
          <t>K:E-09:ALMACÉN DE IMPLEMENTOS DEPORTIVOS:K73</t>
        </is>
      </c>
    </row>
    <row r="261">
      <c r="A261" s="10" t="inlineStr">
        <is>
          <t>E-09</t>
        </is>
      </c>
      <c r="B261" s="5" t="inlineStr">
        <is>
          <t>ALMACÉN DE IMPLEMENTOS DEPORTIVOS</t>
        </is>
      </c>
      <c r="C261" s="10" t="inlineStr">
        <is>
          <t>EM-07</t>
        </is>
      </c>
      <c r="D261" s="10" t="inlineStr">
        <is>
          <t>K74</t>
        </is>
      </c>
      <c r="E261" s="5" t="inlineStr">
        <is>
          <t>GUANTES DE ENTRENAMIENTO</t>
        </is>
      </c>
      <c r="F261" s="10" t="inlineStr">
        <is>
          <t>und</t>
        </is>
      </c>
      <c r="G261" s="14" t="n">
        <v>1</v>
      </c>
      <c r="H261" s="15" t="inlineStr">
        <is>
          <t>K:E-09:ALMACÉN DE IMPLEMENTOS DEPORTIVOS:K74</t>
        </is>
      </c>
    </row>
    <row r="262">
      <c r="A262" s="10" t="inlineStr">
        <is>
          <t>E-09</t>
        </is>
      </c>
      <c r="B262" s="5" t="inlineStr">
        <is>
          <t>ALMACÉN DE IMPLEMENTOS DEPORTIVOS</t>
        </is>
      </c>
      <c r="C262" s="10" t="inlineStr">
        <is>
          <t>EM-07</t>
        </is>
      </c>
      <c r="D262" s="10" t="inlineStr">
        <is>
          <t>K79</t>
        </is>
      </c>
      <c r="E262" s="5" t="inlineStr">
        <is>
          <t>MICA PROTECTORA DE POLICARBONATO</t>
        </is>
      </c>
      <c r="F262" s="10" t="inlineStr">
        <is>
          <t>und</t>
        </is>
      </c>
      <c r="G262" s="14" t="n">
        <v>1</v>
      </c>
      <c r="H262" s="15" t="inlineStr">
        <is>
          <t>K:E-09:ALMACÉN DE IMPLEMENTOS DEPORTIVOS:K79</t>
        </is>
      </c>
    </row>
    <row r="263">
      <c r="E263" s="2" t="inlineStr">
        <is>
          <t>TOTAL DE UNIDADES</t>
        </is>
      </c>
      <c r="F263" s="7" t="inlineStr">
        <is>
          <t>und</t>
        </is>
      </c>
      <c r="G263" s="13">
        <f>SUM(G11:G262)</f>
        <v/>
      </c>
    </row>
  </sheetData>
  <mergeCells count="37">
    <mergeCell ref="A116:G116"/>
    <mergeCell ref="A126:G126"/>
    <mergeCell ref="B6:H6"/>
    <mergeCell ref="A209:G209"/>
    <mergeCell ref="A180:G180"/>
    <mergeCell ref="A1:H1"/>
    <mergeCell ref="B5:H5"/>
    <mergeCell ref="A44:G44"/>
    <mergeCell ref="A173:G173"/>
    <mergeCell ref="A176:G176"/>
    <mergeCell ref="B4:H4"/>
    <mergeCell ref="A92:G92"/>
    <mergeCell ref="A232:G232"/>
    <mergeCell ref="B7:H7"/>
    <mergeCell ref="A59:G59"/>
    <mergeCell ref="B3:H3"/>
    <mergeCell ref="A11:G11"/>
    <mergeCell ref="A119:G119"/>
    <mergeCell ref="A94:G94"/>
    <mergeCell ref="A132:G132"/>
    <mergeCell ref="A146:G146"/>
    <mergeCell ref="A228:G228"/>
    <mergeCell ref="A153:G153"/>
    <mergeCell ref="B2:H2"/>
    <mergeCell ref="A205:G205"/>
    <mergeCell ref="A221:G221"/>
    <mergeCell ref="B8:H8"/>
    <mergeCell ref="A89:G89"/>
    <mergeCell ref="A198:G198"/>
    <mergeCell ref="A217:G217"/>
    <mergeCell ref="A236:G236"/>
    <mergeCell ref="A189:G189"/>
    <mergeCell ref="A136:G136"/>
    <mergeCell ref="A76:G76"/>
    <mergeCell ref="A33:G33"/>
    <mergeCell ref="A160:G160"/>
    <mergeCell ref="A23:G23"/>
  </mergeCells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72"/>
  <sheetViews>
    <sheetView showGridLines="0"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2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8" customWidth="1" min="12" max="12"/>
    <col width="10" customWidth="1" min="13" max="13"/>
  </cols>
  <sheetData>
    <row r="1" ht="24" customHeight="1">
      <c r="A1" s="1" t="inlineStr">
        <is>
          <t>EQUIPOS Y MOBILIARIO POR EDIFICACIÓN (UNIDADES)</t>
        </is>
      </c>
    </row>
    <row r="2" ht="36" customHeight="1">
      <c r="A2" s="2" t="inlineStr">
        <is>
          <t>PROYECTO</t>
        </is>
      </c>
      <c r="B2" s="3" t="inlineStr">
        <is>
          <t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>
      <c r="A3" s="2" t="inlineStr">
        <is>
          <t>CUI</t>
        </is>
      </c>
      <c r="B3" s="5" t="inlineStr">
        <is>
          <t>N.° 2675514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</row>
    <row r="4">
      <c r="A4" s="2" t="inlineStr">
        <is>
          <t>PROPIETARIO</t>
        </is>
      </c>
      <c r="B4" s="5" t="inlineStr">
        <is>
          <t>Gobierno Regional San Martín - Gerencia Territorial Bajo Mayo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>
      <c r="A5" s="2" t="inlineStr">
        <is>
          <t>UBICACIÓN</t>
        </is>
      </c>
      <c r="B5" s="5" t="inlineStr">
        <is>
          <t>Morales / San Martín / San Martín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2" t="inlineStr">
        <is>
          <t>ESPECIALIDAD</t>
        </is>
      </c>
      <c r="B6" s="5" t="inlineStr">
        <is>
          <t>ARQUITECTURA - EQUIPAMIENTO Y MOBILIARIO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</row>
    <row r="7">
      <c r="A7" s="2" t="inlineStr">
        <is>
          <t>LÁMINAS</t>
        </is>
      </c>
      <c r="B7" s="5" t="inlineStr">
        <is>
          <t>EM-01 a EM-07 (equipamiento y mobiliario, escala 1/50)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  <row r="8">
      <c r="A8" s="2" t="inlineStr">
        <is>
          <t>FECHA</t>
        </is>
      </c>
      <c r="B8" s="5" t="inlineStr">
        <is>
          <t>SETIEMBRE 2026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</row>
    <row r="10">
      <c r="A10" s="6" t="inlineStr">
        <is>
          <t>CÓD.</t>
        </is>
      </c>
      <c r="B10" s="6" t="inlineStr">
        <is>
          <t>DESCRIPCIÓN</t>
        </is>
      </c>
      <c r="C10" s="6" t="inlineStr">
        <is>
          <t>E-01</t>
        </is>
      </c>
      <c r="D10" s="6" t="inlineStr">
        <is>
          <t>E-02</t>
        </is>
      </c>
      <c r="E10" s="6" t="inlineStr">
        <is>
          <t>E-03</t>
        </is>
      </c>
      <c r="F10" s="6" t="inlineStr">
        <is>
          <t>E-04</t>
        </is>
      </c>
      <c r="G10" s="6" t="inlineStr">
        <is>
          <t>E-05</t>
        </is>
      </c>
      <c r="H10" s="6" t="inlineStr">
        <is>
          <t>E-06</t>
        </is>
      </c>
      <c r="I10" s="6" t="inlineStr">
        <is>
          <t>E-07</t>
        </is>
      </c>
      <c r="J10" s="6" t="inlineStr">
        <is>
          <t>E-08</t>
        </is>
      </c>
      <c r="K10" s="6" t="inlineStr">
        <is>
          <t>E-09</t>
        </is>
      </c>
      <c r="L10" s="6" t="inlineStr">
        <is>
          <t>TOTAL</t>
        </is>
      </c>
      <c r="M10" s="6" t="inlineStr">
        <is>
          <t>CLAVE</t>
        </is>
      </c>
    </row>
    <row r="11">
      <c r="A11" s="10" t="inlineStr">
        <is>
          <t>E1</t>
        </is>
      </c>
      <c r="B11" s="16" t="inlineStr">
        <is>
          <t>PROYECTOR INTERACTIVO</t>
        </is>
      </c>
      <c r="C11" s="17">
        <f>SUMIFS('METRADO POR AMBIENTE'!$G$11:$G$262,'METRADO POR AMBIENTE'!$H$11:$H$262,$M11,'METRADO POR AMBIENTE'!$A$11:$A$262,C$10)</f>
        <v/>
      </c>
      <c r="D11" s="17">
        <f>SUMIFS('METRADO POR AMBIENTE'!$G$11:$G$262,'METRADO POR AMBIENTE'!$H$11:$H$262,$M11,'METRADO POR AMBIENTE'!$A$11:$A$262,D$10)</f>
        <v/>
      </c>
      <c r="E11" s="17">
        <f>SUMIFS('METRADO POR AMBIENTE'!$G$11:$G$262,'METRADO POR AMBIENTE'!$H$11:$H$262,$M11,'METRADO POR AMBIENTE'!$A$11:$A$262,E$10)</f>
        <v/>
      </c>
      <c r="F11" s="17">
        <f>SUMIFS('METRADO POR AMBIENTE'!$G$11:$G$262,'METRADO POR AMBIENTE'!$H$11:$H$262,$M11,'METRADO POR AMBIENTE'!$A$11:$A$262,F$10)</f>
        <v/>
      </c>
      <c r="G11" s="17">
        <f>SUMIFS('METRADO POR AMBIENTE'!$G$11:$G$262,'METRADO POR AMBIENTE'!$H$11:$H$262,$M11,'METRADO POR AMBIENTE'!$A$11:$A$262,G$10)</f>
        <v/>
      </c>
      <c r="H11" s="17">
        <f>SUMIFS('METRADO POR AMBIENTE'!$G$11:$G$262,'METRADO POR AMBIENTE'!$H$11:$H$262,$M11,'METRADO POR AMBIENTE'!$A$11:$A$262,H$10)</f>
        <v/>
      </c>
      <c r="I11" s="17">
        <f>SUMIFS('METRADO POR AMBIENTE'!$G$11:$G$262,'METRADO POR AMBIENTE'!$H$11:$H$262,$M11,'METRADO POR AMBIENTE'!$A$11:$A$262,I$10)</f>
        <v/>
      </c>
      <c r="J11" s="17">
        <f>SUMIFS('METRADO POR AMBIENTE'!$G$11:$G$262,'METRADO POR AMBIENTE'!$H$11:$H$262,$M11,'METRADO POR AMBIENTE'!$A$11:$A$262,J$10)</f>
        <v/>
      </c>
      <c r="K11" s="17">
        <f>SUMIFS('METRADO POR AMBIENTE'!$G$11:$G$262,'METRADO POR AMBIENTE'!$H$11:$H$262,$M11,'METRADO POR AMBIENTE'!$A$11:$A$262,K$10)</f>
        <v/>
      </c>
      <c r="L11" s="18">
        <f>SUM(C11:K11)</f>
        <v/>
      </c>
      <c r="M11" s="15" t="inlineStr">
        <is>
          <t>E1</t>
        </is>
      </c>
    </row>
    <row r="12">
      <c r="A12" s="10" t="inlineStr">
        <is>
          <t>E2</t>
        </is>
      </c>
      <c r="B12" s="16" t="inlineStr">
        <is>
          <t>COMPUTADORA PORTÁTIL i5</t>
        </is>
      </c>
      <c r="C12" s="17">
        <f>SUMIFS('METRADO POR AMBIENTE'!$G$11:$G$262,'METRADO POR AMBIENTE'!$H$11:$H$262,$M12,'METRADO POR AMBIENTE'!$A$11:$A$262,C$10)</f>
        <v/>
      </c>
      <c r="D12" s="17">
        <f>SUMIFS('METRADO POR AMBIENTE'!$G$11:$G$262,'METRADO POR AMBIENTE'!$H$11:$H$262,$M12,'METRADO POR AMBIENTE'!$A$11:$A$262,D$10)</f>
        <v/>
      </c>
      <c r="E12" s="17">
        <f>SUMIFS('METRADO POR AMBIENTE'!$G$11:$G$262,'METRADO POR AMBIENTE'!$H$11:$H$262,$M12,'METRADO POR AMBIENTE'!$A$11:$A$262,E$10)</f>
        <v/>
      </c>
      <c r="F12" s="17">
        <f>SUMIFS('METRADO POR AMBIENTE'!$G$11:$G$262,'METRADO POR AMBIENTE'!$H$11:$H$262,$M12,'METRADO POR AMBIENTE'!$A$11:$A$262,F$10)</f>
        <v/>
      </c>
      <c r="G12" s="17">
        <f>SUMIFS('METRADO POR AMBIENTE'!$G$11:$G$262,'METRADO POR AMBIENTE'!$H$11:$H$262,$M12,'METRADO POR AMBIENTE'!$A$11:$A$262,G$10)</f>
        <v/>
      </c>
      <c r="H12" s="17">
        <f>SUMIFS('METRADO POR AMBIENTE'!$G$11:$G$262,'METRADO POR AMBIENTE'!$H$11:$H$262,$M12,'METRADO POR AMBIENTE'!$A$11:$A$262,H$10)</f>
        <v/>
      </c>
      <c r="I12" s="17">
        <f>SUMIFS('METRADO POR AMBIENTE'!$G$11:$G$262,'METRADO POR AMBIENTE'!$H$11:$H$262,$M12,'METRADO POR AMBIENTE'!$A$11:$A$262,I$10)</f>
        <v/>
      </c>
      <c r="J12" s="17">
        <f>SUMIFS('METRADO POR AMBIENTE'!$G$11:$G$262,'METRADO POR AMBIENTE'!$H$11:$H$262,$M12,'METRADO POR AMBIENTE'!$A$11:$A$262,J$10)</f>
        <v/>
      </c>
      <c r="K12" s="17">
        <f>SUMIFS('METRADO POR AMBIENTE'!$G$11:$G$262,'METRADO POR AMBIENTE'!$H$11:$H$262,$M12,'METRADO POR AMBIENTE'!$A$11:$A$262,K$10)</f>
        <v/>
      </c>
      <c r="L12" s="18">
        <f>SUM(C12:K12)</f>
        <v/>
      </c>
      <c r="M12" s="15" t="inlineStr">
        <is>
          <t>E2</t>
        </is>
      </c>
    </row>
    <row r="13">
      <c r="A13" s="10" t="inlineStr">
        <is>
          <t>E3</t>
        </is>
      </c>
      <c r="B13" s="16" t="inlineStr">
        <is>
          <t>PRESENTADOR INALÁMBRICO CON PUNTERO LÁSER</t>
        </is>
      </c>
      <c r="C13" s="17">
        <f>SUMIFS('METRADO POR AMBIENTE'!$G$11:$G$262,'METRADO POR AMBIENTE'!$H$11:$H$262,$M13,'METRADO POR AMBIENTE'!$A$11:$A$262,C$10)</f>
        <v/>
      </c>
      <c r="D13" s="17">
        <f>SUMIFS('METRADO POR AMBIENTE'!$G$11:$G$262,'METRADO POR AMBIENTE'!$H$11:$H$262,$M13,'METRADO POR AMBIENTE'!$A$11:$A$262,D$10)</f>
        <v/>
      </c>
      <c r="E13" s="17">
        <f>SUMIFS('METRADO POR AMBIENTE'!$G$11:$G$262,'METRADO POR AMBIENTE'!$H$11:$H$262,$M13,'METRADO POR AMBIENTE'!$A$11:$A$262,E$10)</f>
        <v/>
      </c>
      <c r="F13" s="17">
        <f>SUMIFS('METRADO POR AMBIENTE'!$G$11:$G$262,'METRADO POR AMBIENTE'!$H$11:$H$262,$M13,'METRADO POR AMBIENTE'!$A$11:$A$262,F$10)</f>
        <v/>
      </c>
      <c r="G13" s="17">
        <f>SUMIFS('METRADO POR AMBIENTE'!$G$11:$G$262,'METRADO POR AMBIENTE'!$H$11:$H$262,$M13,'METRADO POR AMBIENTE'!$A$11:$A$262,G$10)</f>
        <v/>
      </c>
      <c r="H13" s="17">
        <f>SUMIFS('METRADO POR AMBIENTE'!$G$11:$G$262,'METRADO POR AMBIENTE'!$H$11:$H$262,$M13,'METRADO POR AMBIENTE'!$A$11:$A$262,H$10)</f>
        <v/>
      </c>
      <c r="I13" s="17">
        <f>SUMIFS('METRADO POR AMBIENTE'!$G$11:$G$262,'METRADO POR AMBIENTE'!$H$11:$H$262,$M13,'METRADO POR AMBIENTE'!$A$11:$A$262,I$10)</f>
        <v/>
      </c>
      <c r="J13" s="17">
        <f>SUMIFS('METRADO POR AMBIENTE'!$G$11:$G$262,'METRADO POR AMBIENTE'!$H$11:$H$262,$M13,'METRADO POR AMBIENTE'!$A$11:$A$262,J$10)</f>
        <v/>
      </c>
      <c r="K13" s="17">
        <f>SUMIFS('METRADO POR AMBIENTE'!$G$11:$G$262,'METRADO POR AMBIENTE'!$H$11:$H$262,$M13,'METRADO POR AMBIENTE'!$A$11:$A$262,K$10)</f>
        <v/>
      </c>
      <c r="L13" s="18">
        <f>SUM(C13:K13)</f>
        <v/>
      </c>
      <c r="M13" s="15" t="inlineStr">
        <is>
          <t>E3</t>
        </is>
      </c>
    </row>
    <row r="14">
      <c r="A14" s="10" t="inlineStr">
        <is>
          <t>E4</t>
        </is>
      </c>
      <c r="B14" s="16" t="inlineStr">
        <is>
          <t>RELOJ PARA ADOSAR A PARED</t>
        </is>
      </c>
      <c r="C14" s="17">
        <f>SUMIFS('METRADO POR AMBIENTE'!$G$11:$G$262,'METRADO POR AMBIENTE'!$H$11:$H$262,$M14,'METRADO POR AMBIENTE'!$A$11:$A$262,C$10)</f>
        <v/>
      </c>
      <c r="D14" s="17">
        <f>SUMIFS('METRADO POR AMBIENTE'!$G$11:$G$262,'METRADO POR AMBIENTE'!$H$11:$H$262,$M14,'METRADO POR AMBIENTE'!$A$11:$A$262,D$10)</f>
        <v/>
      </c>
      <c r="E14" s="17">
        <f>SUMIFS('METRADO POR AMBIENTE'!$G$11:$G$262,'METRADO POR AMBIENTE'!$H$11:$H$262,$M14,'METRADO POR AMBIENTE'!$A$11:$A$262,E$10)</f>
        <v/>
      </c>
      <c r="F14" s="17">
        <f>SUMIFS('METRADO POR AMBIENTE'!$G$11:$G$262,'METRADO POR AMBIENTE'!$H$11:$H$262,$M14,'METRADO POR AMBIENTE'!$A$11:$A$262,F$10)</f>
        <v/>
      </c>
      <c r="G14" s="17">
        <f>SUMIFS('METRADO POR AMBIENTE'!$G$11:$G$262,'METRADO POR AMBIENTE'!$H$11:$H$262,$M14,'METRADO POR AMBIENTE'!$A$11:$A$262,G$10)</f>
        <v/>
      </c>
      <c r="H14" s="17">
        <f>SUMIFS('METRADO POR AMBIENTE'!$G$11:$G$262,'METRADO POR AMBIENTE'!$H$11:$H$262,$M14,'METRADO POR AMBIENTE'!$A$11:$A$262,H$10)</f>
        <v/>
      </c>
      <c r="I14" s="17">
        <f>SUMIFS('METRADO POR AMBIENTE'!$G$11:$G$262,'METRADO POR AMBIENTE'!$H$11:$H$262,$M14,'METRADO POR AMBIENTE'!$A$11:$A$262,I$10)</f>
        <v/>
      </c>
      <c r="J14" s="17">
        <f>SUMIFS('METRADO POR AMBIENTE'!$G$11:$G$262,'METRADO POR AMBIENTE'!$H$11:$H$262,$M14,'METRADO POR AMBIENTE'!$A$11:$A$262,J$10)</f>
        <v/>
      </c>
      <c r="K14" s="17">
        <f>SUMIFS('METRADO POR AMBIENTE'!$G$11:$G$262,'METRADO POR AMBIENTE'!$H$11:$H$262,$M14,'METRADO POR AMBIENTE'!$A$11:$A$262,K$10)</f>
        <v/>
      </c>
      <c r="L14" s="18">
        <f>SUM(C14:K14)</f>
        <v/>
      </c>
      <c r="M14" s="15" t="inlineStr">
        <is>
          <t>E4</t>
        </is>
      </c>
    </row>
    <row r="15">
      <c r="A15" s="10" t="inlineStr">
        <is>
          <t>E5</t>
        </is>
      </c>
      <c r="B15" s="16" t="inlineStr">
        <is>
          <t>LAVADORA DE 20 kg DE CARGA SUPERIOR</t>
        </is>
      </c>
      <c r="C15" s="17">
        <f>SUMIFS('METRADO POR AMBIENTE'!$G$11:$G$262,'METRADO POR AMBIENTE'!$H$11:$H$262,$M15,'METRADO POR AMBIENTE'!$A$11:$A$262,C$10)</f>
        <v/>
      </c>
      <c r="D15" s="17">
        <f>SUMIFS('METRADO POR AMBIENTE'!$G$11:$G$262,'METRADO POR AMBIENTE'!$H$11:$H$262,$M15,'METRADO POR AMBIENTE'!$A$11:$A$262,D$10)</f>
        <v/>
      </c>
      <c r="E15" s="17">
        <f>SUMIFS('METRADO POR AMBIENTE'!$G$11:$G$262,'METRADO POR AMBIENTE'!$H$11:$H$262,$M15,'METRADO POR AMBIENTE'!$A$11:$A$262,E$10)</f>
        <v/>
      </c>
      <c r="F15" s="17">
        <f>SUMIFS('METRADO POR AMBIENTE'!$G$11:$G$262,'METRADO POR AMBIENTE'!$H$11:$H$262,$M15,'METRADO POR AMBIENTE'!$A$11:$A$262,F$10)</f>
        <v/>
      </c>
      <c r="G15" s="17">
        <f>SUMIFS('METRADO POR AMBIENTE'!$G$11:$G$262,'METRADO POR AMBIENTE'!$H$11:$H$262,$M15,'METRADO POR AMBIENTE'!$A$11:$A$262,G$10)</f>
        <v/>
      </c>
      <c r="H15" s="17">
        <f>SUMIFS('METRADO POR AMBIENTE'!$G$11:$G$262,'METRADO POR AMBIENTE'!$H$11:$H$262,$M15,'METRADO POR AMBIENTE'!$A$11:$A$262,H$10)</f>
        <v/>
      </c>
      <c r="I15" s="17">
        <f>SUMIFS('METRADO POR AMBIENTE'!$G$11:$G$262,'METRADO POR AMBIENTE'!$H$11:$H$262,$M15,'METRADO POR AMBIENTE'!$A$11:$A$262,I$10)</f>
        <v/>
      </c>
      <c r="J15" s="17">
        <f>SUMIFS('METRADO POR AMBIENTE'!$G$11:$G$262,'METRADO POR AMBIENTE'!$H$11:$H$262,$M15,'METRADO POR AMBIENTE'!$A$11:$A$262,J$10)</f>
        <v/>
      </c>
      <c r="K15" s="17">
        <f>SUMIFS('METRADO POR AMBIENTE'!$G$11:$G$262,'METRADO POR AMBIENTE'!$H$11:$H$262,$M15,'METRADO POR AMBIENTE'!$A$11:$A$262,K$10)</f>
        <v/>
      </c>
      <c r="L15" s="18">
        <f>SUM(C15:K15)</f>
        <v/>
      </c>
      <c r="M15" s="15" t="inlineStr">
        <is>
          <t>E5</t>
        </is>
      </c>
    </row>
    <row r="16">
      <c r="A16" s="10" t="inlineStr">
        <is>
          <t>E6</t>
        </is>
      </c>
      <c r="B16" s="16" t="inlineStr">
        <is>
          <t>COMPUTADORA i5 ESTACIONARIA</t>
        </is>
      </c>
      <c r="C16" s="17">
        <f>SUMIFS('METRADO POR AMBIENTE'!$G$11:$G$262,'METRADO POR AMBIENTE'!$H$11:$H$262,$M16,'METRADO POR AMBIENTE'!$A$11:$A$262,C$10)</f>
        <v/>
      </c>
      <c r="D16" s="17">
        <f>SUMIFS('METRADO POR AMBIENTE'!$G$11:$G$262,'METRADO POR AMBIENTE'!$H$11:$H$262,$M16,'METRADO POR AMBIENTE'!$A$11:$A$262,D$10)</f>
        <v/>
      </c>
      <c r="E16" s="17">
        <f>SUMIFS('METRADO POR AMBIENTE'!$G$11:$G$262,'METRADO POR AMBIENTE'!$H$11:$H$262,$M16,'METRADO POR AMBIENTE'!$A$11:$A$262,E$10)</f>
        <v/>
      </c>
      <c r="F16" s="17">
        <f>SUMIFS('METRADO POR AMBIENTE'!$G$11:$G$262,'METRADO POR AMBIENTE'!$H$11:$H$262,$M16,'METRADO POR AMBIENTE'!$A$11:$A$262,F$10)</f>
        <v/>
      </c>
      <c r="G16" s="17">
        <f>SUMIFS('METRADO POR AMBIENTE'!$G$11:$G$262,'METRADO POR AMBIENTE'!$H$11:$H$262,$M16,'METRADO POR AMBIENTE'!$A$11:$A$262,G$10)</f>
        <v/>
      </c>
      <c r="H16" s="17">
        <f>SUMIFS('METRADO POR AMBIENTE'!$G$11:$G$262,'METRADO POR AMBIENTE'!$H$11:$H$262,$M16,'METRADO POR AMBIENTE'!$A$11:$A$262,H$10)</f>
        <v/>
      </c>
      <c r="I16" s="17">
        <f>SUMIFS('METRADO POR AMBIENTE'!$G$11:$G$262,'METRADO POR AMBIENTE'!$H$11:$H$262,$M16,'METRADO POR AMBIENTE'!$A$11:$A$262,I$10)</f>
        <v/>
      </c>
      <c r="J16" s="17">
        <f>SUMIFS('METRADO POR AMBIENTE'!$G$11:$G$262,'METRADO POR AMBIENTE'!$H$11:$H$262,$M16,'METRADO POR AMBIENTE'!$A$11:$A$262,J$10)</f>
        <v/>
      </c>
      <c r="K16" s="17">
        <f>SUMIFS('METRADO POR AMBIENTE'!$G$11:$G$262,'METRADO POR AMBIENTE'!$H$11:$H$262,$M16,'METRADO POR AMBIENTE'!$A$11:$A$262,K$10)</f>
        <v/>
      </c>
      <c r="L16" s="18">
        <f>SUM(C16:K16)</f>
        <v/>
      </c>
      <c r="M16" s="15" t="inlineStr">
        <is>
          <t>E6</t>
        </is>
      </c>
    </row>
    <row r="17">
      <c r="A17" s="10" t="inlineStr">
        <is>
          <t>E7</t>
        </is>
      </c>
      <c r="B17" s="16" t="inlineStr">
        <is>
          <t>PROYECTOR MULTIMEDIA</t>
        </is>
      </c>
      <c r="C17" s="17">
        <f>SUMIFS('METRADO POR AMBIENTE'!$G$11:$G$262,'METRADO POR AMBIENTE'!$H$11:$H$262,$M17,'METRADO POR AMBIENTE'!$A$11:$A$262,C$10)</f>
        <v/>
      </c>
      <c r="D17" s="17">
        <f>SUMIFS('METRADO POR AMBIENTE'!$G$11:$G$262,'METRADO POR AMBIENTE'!$H$11:$H$262,$M17,'METRADO POR AMBIENTE'!$A$11:$A$262,D$10)</f>
        <v/>
      </c>
      <c r="E17" s="17">
        <f>SUMIFS('METRADO POR AMBIENTE'!$G$11:$G$262,'METRADO POR AMBIENTE'!$H$11:$H$262,$M17,'METRADO POR AMBIENTE'!$A$11:$A$262,E$10)</f>
        <v/>
      </c>
      <c r="F17" s="17">
        <f>SUMIFS('METRADO POR AMBIENTE'!$G$11:$G$262,'METRADO POR AMBIENTE'!$H$11:$H$262,$M17,'METRADO POR AMBIENTE'!$A$11:$A$262,F$10)</f>
        <v/>
      </c>
      <c r="G17" s="17">
        <f>SUMIFS('METRADO POR AMBIENTE'!$G$11:$G$262,'METRADO POR AMBIENTE'!$H$11:$H$262,$M17,'METRADO POR AMBIENTE'!$A$11:$A$262,G$10)</f>
        <v/>
      </c>
      <c r="H17" s="17">
        <f>SUMIFS('METRADO POR AMBIENTE'!$G$11:$G$262,'METRADO POR AMBIENTE'!$H$11:$H$262,$M17,'METRADO POR AMBIENTE'!$A$11:$A$262,H$10)</f>
        <v/>
      </c>
      <c r="I17" s="17">
        <f>SUMIFS('METRADO POR AMBIENTE'!$G$11:$G$262,'METRADO POR AMBIENTE'!$H$11:$H$262,$M17,'METRADO POR AMBIENTE'!$A$11:$A$262,I$10)</f>
        <v/>
      </c>
      <c r="J17" s="17">
        <f>SUMIFS('METRADO POR AMBIENTE'!$G$11:$G$262,'METRADO POR AMBIENTE'!$H$11:$H$262,$M17,'METRADO POR AMBIENTE'!$A$11:$A$262,J$10)</f>
        <v/>
      </c>
      <c r="K17" s="17">
        <f>SUMIFS('METRADO POR AMBIENTE'!$G$11:$G$262,'METRADO POR AMBIENTE'!$H$11:$H$262,$M17,'METRADO POR AMBIENTE'!$A$11:$A$262,K$10)</f>
        <v/>
      </c>
      <c r="L17" s="18">
        <f>SUM(C17:K17)</f>
        <v/>
      </c>
      <c r="M17" s="15" t="inlineStr">
        <is>
          <t>E7</t>
        </is>
      </c>
    </row>
    <row r="18">
      <c r="A18" s="10" t="inlineStr">
        <is>
          <t>E9</t>
        </is>
      </c>
      <c r="B18" s="16" t="inlineStr">
        <is>
          <t>IMPRESORA MULTIFUNCIONAL</t>
        </is>
      </c>
      <c r="C18" s="17">
        <f>SUMIFS('METRADO POR AMBIENTE'!$G$11:$G$262,'METRADO POR AMBIENTE'!$H$11:$H$262,$M18,'METRADO POR AMBIENTE'!$A$11:$A$262,C$10)</f>
        <v/>
      </c>
      <c r="D18" s="17">
        <f>SUMIFS('METRADO POR AMBIENTE'!$G$11:$G$262,'METRADO POR AMBIENTE'!$H$11:$H$262,$M18,'METRADO POR AMBIENTE'!$A$11:$A$262,D$10)</f>
        <v/>
      </c>
      <c r="E18" s="17">
        <f>SUMIFS('METRADO POR AMBIENTE'!$G$11:$G$262,'METRADO POR AMBIENTE'!$H$11:$H$262,$M18,'METRADO POR AMBIENTE'!$A$11:$A$262,E$10)</f>
        <v/>
      </c>
      <c r="F18" s="17">
        <f>SUMIFS('METRADO POR AMBIENTE'!$G$11:$G$262,'METRADO POR AMBIENTE'!$H$11:$H$262,$M18,'METRADO POR AMBIENTE'!$A$11:$A$262,F$10)</f>
        <v/>
      </c>
      <c r="G18" s="17">
        <f>SUMIFS('METRADO POR AMBIENTE'!$G$11:$G$262,'METRADO POR AMBIENTE'!$H$11:$H$262,$M18,'METRADO POR AMBIENTE'!$A$11:$A$262,G$10)</f>
        <v/>
      </c>
      <c r="H18" s="17">
        <f>SUMIFS('METRADO POR AMBIENTE'!$G$11:$G$262,'METRADO POR AMBIENTE'!$H$11:$H$262,$M18,'METRADO POR AMBIENTE'!$A$11:$A$262,H$10)</f>
        <v/>
      </c>
      <c r="I18" s="17">
        <f>SUMIFS('METRADO POR AMBIENTE'!$G$11:$G$262,'METRADO POR AMBIENTE'!$H$11:$H$262,$M18,'METRADO POR AMBIENTE'!$A$11:$A$262,I$10)</f>
        <v/>
      </c>
      <c r="J18" s="17">
        <f>SUMIFS('METRADO POR AMBIENTE'!$G$11:$G$262,'METRADO POR AMBIENTE'!$H$11:$H$262,$M18,'METRADO POR AMBIENTE'!$A$11:$A$262,J$10)</f>
        <v/>
      </c>
      <c r="K18" s="17">
        <f>SUMIFS('METRADO POR AMBIENTE'!$G$11:$G$262,'METRADO POR AMBIENTE'!$H$11:$H$262,$M18,'METRADO POR AMBIENTE'!$A$11:$A$262,K$10)</f>
        <v/>
      </c>
      <c r="L18" s="18">
        <f>SUM(C18:K18)</f>
        <v/>
      </c>
      <c r="M18" s="15" t="inlineStr">
        <is>
          <t>E9</t>
        </is>
      </c>
    </row>
    <row r="19">
      <c r="A19" s="10" t="inlineStr">
        <is>
          <t>E10</t>
        </is>
      </c>
      <c r="B19" s="16" t="inlineStr">
        <is>
          <t>MÁQUINA DE CORTE TEXTIL</t>
        </is>
      </c>
      <c r="C19" s="17">
        <f>SUMIFS('METRADO POR AMBIENTE'!$G$11:$G$262,'METRADO POR AMBIENTE'!$H$11:$H$262,$M19,'METRADO POR AMBIENTE'!$A$11:$A$262,C$10)</f>
        <v/>
      </c>
      <c r="D19" s="17">
        <f>SUMIFS('METRADO POR AMBIENTE'!$G$11:$G$262,'METRADO POR AMBIENTE'!$H$11:$H$262,$M19,'METRADO POR AMBIENTE'!$A$11:$A$262,D$10)</f>
        <v/>
      </c>
      <c r="E19" s="17">
        <f>SUMIFS('METRADO POR AMBIENTE'!$G$11:$G$262,'METRADO POR AMBIENTE'!$H$11:$H$262,$M19,'METRADO POR AMBIENTE'!$A$11:$A$262,E$10)</f>
        <v/>
      </c>
      <c r="F19" s="17">
        <f>SUMIFS('METRADO POR AMBIENTE'!$G$11:$G$262,'METRADO POR AMBIENTE'!$H$11:$H$262,$M19,'METRADO POR AMBIENTE'!$A$11:$A$262,F$10)</f>
        <v/>
      </c>
      <c r="G19" s="17">
        <f>SUMIFS('METRADO POR AMBIENTE'!$G$11:$G$262,'METRADO POR AMBIENTE'!$H$11:$H$262,$M19,'METRADO POR AMBIENTE'!$A$11:$A$262,G$10)</f>
        <v/>
      </c>
      <c r="H19" s="17">
        <f>SUMIFS('METRADO POR AMBIENTE'!$G$11:$G$262,'METRADO POR AMBIENTE'!$H$11:$H$262,$M19,'METRADO POR AMBIENTE'!$A$11:$A$262,H$10)</f>
        <v/>
      </c>
      <c r="I19" s="17">
        <f>SUMIFS('METRADO POR AMBIENTE'!$G$11:$G$262,'METRADO POR AMBIENTE'!$H$11:$H$262,$M19,'METRADO POR AMBIENTE'!$A$11:$A$262,I$10)</f>
        <v/>
      </c>
      <c r="J19" s="17">
        <f>SUMIFS('METRADO POR AMBIENTE'!$G$11:$G$262,'METRADO POR AMBIENTE'!$H$11:$H$262,$M19,'METRADO POR AMBIENTE'!$A$11:$A$262,J$10)</f>
        <v/>
      </c>
      <c r="K19" s="17">
        <f>SUMIFS('METRADO POR AMBIENTE'!$G$11:$G$262,'METRADO POR AMBIENTE'!$H$11:$H$262,$M19,'METRADO POR AMBIENTE'!$A$11:$A$262,K$10)</f>
        <v/>
      </c>
      <c r="L19" s="18">
        <f>SUM(C19:K19)</f>
        <v/>
      </c>
      <c r="M19" s="15" t="inlineStr">
        <is>
          <t>E10</t>
        </is>
      </c>
    </row>
    <row r="20">
      <c r="A20" s="10" t="inlineStr">
        <is>
          <t>E13</t>
        </is>
      </c>
      <c r="B20" s="16" t="inlineStr">
        <is>
          <t>COCINA INDUSTRIAL DE 2 HORNILLAS</t>
        </is>
      </c>
      <c r="C20" s="17">
        <f>SUMIFS('METRADO POR AMBIENTE'!$G$11:$G$262,'METRADO POR AMBIENTE'!$H$11:$H$262,$M20,'METRADO POR AMBIENTE'!$A$11:$A$262,C$10)</f>
        <v/>
      </c>
      <c r="D20" s="17">
        <f>SUMIFS('METRADO POR AMBIENTE'!$G$11:$G$262,'METRADO POR AMBIENTE'!$H$11:$H$262,$M20,'METRADO POR AMBIENTE'!$A$11:$A$262,D$10)</f>
        <v/>
      </c>
      <c r="E20" s="17">
        <f>SUMIFS('METRADO POR AMBIENTE'!$G$11:$G$262,'METRADO POR AMBIENTE'!$H$11:$H$262,$M20,'METRADO POR AMBIENTE'!$A$11:$A$262,E$10)</f>
        <v/>
      </c>
      <c r="F20" s="17">
        <f>SUMIFS('METRADO POR AMBIENTE'!$G$11:$G$262,'METRADO POR AMBIENTE'!$H$11:$H$262,$M20,'METRADO POR AMBIENTE'!$A$11:$A$262,F$10)</f>
        <v/>
      </c>
      <c r="G20" s="17">
        <f>SUMIFS('METRADO POR AMBIENTE'!$G$11:$G$262,'METRADO POR AMBIENTE'!$H$11:$H$262,$M20,'METRADO POR AMBIENTE'!$A$11:$A$262,G$10)</f>
        <v/>
      </c>
      <c r="H20" s="17">
        <f>SUMIFS('METRADO POR AMBIENTE'!$G$11:$G$262,'METRADO POR AMBIENTE'!$H$11:$H$262,$M20,'METRADO POR AMBIENTE'!$A$11:$A$262,H$10)</f>
        <v/>
      </c>
      <c r="I20" s="17">
        <f>SUMIFS('METRADO POR AMBIENTE'!$G$11:$G$262,'METRADO POR AMBIENTE'!$H$11:$H$262,$M20,'METRADO POR AMBIENTE'!$A$11:$A$262,I$10)</f>
        <v/>
      </c>
      <c r="J20" s="17">
        <f>SUMIFS('METRADO POR AMBIENTE'!$G$11:$G$262,'METRADO POR AMBIENTE'!$H$11:$H$262,$M20,'METRADO POR AMBIENTE'!$A$11:$A$262,J$10)</f>
        <v/>
      </c>
      <c r="K20" s="17">
        <f>SUMIFS('METRADO POR AMBIENTE'!$G$11:$G$262,'METRADO POR AMBIENTE'!$H$11:$H$262,$M20,'METRADO POR AMBIENTE'!$A$11:$A$262,K$10)</f>
        <v/>
      </c>
      <c r="L20" s="18">
        <f>SUM(C20:K20)</f>
        <v/>
      </c>
      <c r="M20" s="15" t="inlineStr">
        <is>
          <t>E13</t>
        </is>
      </c>
    </row>
    <row r="21">
      <c r="A21" s="10" t="inlineStr">
        <is>
          <t>E16</t>
        </is>
      </c>
      <c r="B21" s="16" t="inlineStr">
        <is>
          <t>HORNO MICROONDAS DE 31 LITROS</t>
        </is>
      </c>
      <c r="C21" s="17">
        <f>SUMIFS('METRADO POR AMBIENTE'!$G$11:$G$262,'METRADO POR AMBIENTE'!$H$11:$H$262,$M21,'METRADO POR AMBIENTE'!$A$11:$A$262,C$10)</f>
        <v/>
      </c>
      <c r="D21" s="17">
        <f>SUMIFS('METRADO POR AMBIENTE'!$G$11:$G$262,'METRADO POR AMBIENTE'!$H$11:$H$262,$M21,'METRADO POR AMBIENTE'!$A$11:$A$262,D$10)</f>
        <v/>
      </c>
      <c r="E21" s="17">
        <f>SUMIFS('METRADO POR AMBIENTE'!$G$11:$G$262,'METRADO POR AMBIENTE'!$H$11:$H$262,$M21,'METRADO POR AMBIENTE'!$A$11:$A$262,E$10)</f>
        <v/>
      </c>
      <c r="F21" s="17">
        <f>SUMIFS('METRADO POR AMBIENTE'!$G$11:$G$262,'METRADO POR AMBIENTE'!$H$11:$H$262,$M21,'METRADO POR AMBIENTE'!$A$11:$A$262,F$10)</f>
        <v/>
      </c>
      <c r="G21" s="17">
        <f>SUMIFS('METRADO POR AMBIENTE'!$G$11:$G$262,'METRADO POR AMBIENTE'!$H$11:$H$262,$M21,'METRADO POR AMBIENTE'!$A$11:$A$262,G$10)</f>
        <v/>
      </c>
      <c r="H21" s="17">
        <f>SUMIFS('METRADO POR AMBIENTE'!$G$11:$G$262,'METRADO POR AMBIENTE'!$H$11:$H$262,$M21,'METRADO POR AMBIENTE'!$A$11:$A$262,H$10)</f>
        <v/>
      </c>
      <c r="I21" s="17">
        <f>SUMIFS('METRADO POR AMBIENTE'!$G$11:$G$262,'METRADO POR AMBIENTE'!$H$11:$H$262,$M21,'METRADO POR AMBIENTE'!$A$11:$A$262,I$10)</f>
        <v/>
      </c>
      <c r="J21" s="17">
        <f>SUMIFS('METRADO POR AMBIENTE'!$G$11:$G$262,'METRADO POR AMBIENTE'!$H$11:$H$262,$M21,'METRADO POR AMBIENTE'!$A$11:$A$262,J$10)</f>
        <v/>
      </c>
      <c r="K21" s="17">
        <f>SUMIFS('METRADO POR AMBIENTE'!$G$11:$G$262,'METRADO POR AMBIENTE'!$H$11:$H$262,$M21,'METRADO POR AMBIENTE'!$A$11:$A$262,K$10)</f>
        <v/>
      </c>
      <c r="L21" s="18">
        <f>SUM(C21:K21)</f>
        <v/>
      </c>
      <c r="M21" s="15" t="inlineStr">
        <is>
          <t>E16</t>
        </is>
      </c>
    </row>
    <row r="22">
      <c r="A22" s="10" t="inlineStr">
        <is>
          <t>E17</t>
        </is>
      </c>
      <c r="B22" s="16" t="inlineStr">
        <is>
          <t>LICUADORA DE 1.5 LITROS</t>
        </is>
      </c>
      <c r="C22" s="17">
        <f>SUMIFS('METRADO POR AMBIENTE'!$G$11:$G$262,'METRADO POR AMBIENTE'!$H$11:$H$262,$M22,'METRADO POR AMBIENTE'!$A$11:$A$262,C$10)</f>
        <v/>
      </c>
      <c r="D22" s="17">
        <f>SUMIFS('METRADO POR AMBIENTE'!$G$11:$G$262,'METRADO POR AMBIENTE'!$H$11:$H$262,$M22,'METRADO POR AMBIENTE'!$A$11:$A$262,D$10)</f>
        <v/>
      </c>
      <c r="E22" s="17">
        <f>SUMIFS('METRADO POR AMBIENTE'!$G$11:$G$262,'METRADO POR AMBIENTE'!$H$11:$H$262,$M22,'METRADO POR AMBIENTE'!$A$11:$A$262,E$10)</f>
        <v/>
      </c>
      <c r="F22" s="17">
        <f>SUMIFS('METRADO POR AMBIENTE'!$G$11:$G$262,'METRADO POR AMBIENTE'!$H$11:$H$262,$M22,'METRADO POR AMBIENTE'!$A$11:$A$262,F$10)</f>
        <v/>
      </c>
      <c r="G22" s="17">
        <f>SUMIFS('METRADO POR AMBIENTE'!$G$11:$G$262,'METRADO POR AMBIENTE'!$H$11:$H$262,$M22,'METRADO POR AMBIENTE'!$A$11:$A$262,G$10)</f>
        <v/>
      </c>
      <c r="H22" s="17">
        <f>SUMIFS('METRADO POR AMBIENTE'!$G$11:$G$262,'METRADO POR AMBIENTE'!$H$11:$H$262,$M22,'METRADO POR AMBIENTE'!$A$11:$A$262,H$10)</f>
        <v/>
      </c>
      <c r="I22" s="17">
        <f>SUMIFS('METRADO POR AMBIENTE'!$G$11:$G$262,'METRADO POR AMBIENTE'!$H$11:$H$262,$M22,'METRADO POR AMBIENTE'!$A$11:$A$262,I$10)</f>
        <v/>
      </c>
      <c r="J22" s="17">
        <f>SUMIFS('METRADO POR AMBIENTE'!$G$11:$G$262,'METRADO POR AMBIENTE'!$H$11:$H$262,$M22,'METRADO POR AMBIENTE'!$A$11:$A$262,J$10)</f>
        <v/>
      </c>
      <c r="K22" s="17">
        <f>SUMIFS('METRADO POR AMBIENTE'!$G$11:$G$262,'METRADO POR AMBIENTE'!$H$11:$H$262,$M22,'METRADO POR AMBIENTE'!$A$11:$A$262,K$10)</f>
        <v/>
      </c>
      <c r="L22" s="18">
        <f>SUM(C22:K22)</f>
        <v/>
      </c>
      <c r="M22" s="15" t="inlineStr">
        <is>
          <t>E17</t>
        </is>
      </c>
    </row>
    <row r="23">
      <c r="A23" s="10" t="inlineStr">
        <is>
          <t>E18</t>
        </is>
      </c>
      <c r="B23" s="16" t="inlineStr">
        <is>
          <t>ECRAN</t>
        </is>
      </c>
      <c r="C23" s="17">
        <f>SUMIFS('METRADO POR AMBIENTE'!$G$11:$G$262,'METRADO POR AMBIENTE'!$H$11:$H$262,$M23,'METRADO POR AMBIENTE'!$A$11:$A$262,C$10)</f>
        <v/>
      </c>
      <c r="D23" s="17">
        <f>SUMIFS('METRADO POR AMBIENTE'!$G$11:$G$262,'METRADO POR AMBIENTE'!$H$11:$H$262,$M23,'METRADO POR AMBIENTE'!$A$11:$A$262,D$10)</f>
        <v/>
      </c>
      <c r="E23" s="17">
        <f>SUMIFS('METRADO POR AMBIENTE'!$G$11:$G$262,'METRADO POR AMBIENTE'!$H$11:$H$262,$M23,'METRADO POR AMBIENTE'!$A$11:$A$262,E$10)</f>
        <v/>
      </c>
      <c r="F23" s="17">
        <f>SUMIFS('METRADO POR AMBIENTE'!$G$11:$G$262,'METRADO POR AMBIENTE'!$H$11:$H$262,$M23,'METRADO POR AMBIENTE'!$A$11:$A$262,F$10)</f>
        <v/>
      </c>
      <c r="G23" s="17">
        <f>SUMIFS('METRADO POR AMBIENTE'!$G$11:$G$262,'METRADO POR AMBIENTE'!$H$11:$H$262,$M23,'METRADO POR AMBIENTE'!$A$11:$A$262,G$10)</f>
        <v/>
      </c>
      <c r="H23" s="17">
        <f>SUMIFS('METRADO POR AMBIENTE'!$G$11:$G$262,'METRADO POR AMBIENTE'!$H$11:$H$262,$M23,'METRADO POR AMBIENTE'!$A$11:$A$262,H$10)</f>
        <v/>
      </c>
      <c r="I23" s="17">
        <f>SUMIFS('METRADO POR AMBIENTE'!$G$11:$G$262,'METRADO POR AMBIENTE'!$H$11:$H$262,$M23,'METRADO POR AMBIENTE'!$A$11:$A$262,I$10)</f>
        <v/>
      </c>
      <c r="J23" s="17">
        <f>SUMIFS('METRADO POR AMBIENTE'!$G$11:$G$262,'METRADO POR AMBIENTE'!$H$11:$H$262,$M23,'METRADO POR AMBIENTE'!$A$11:$A$262,J$10)</f>
        <v/>
      </c>
      <c r="K23" s="17">
        <f>SUMIFS('METRADO POR AMBIENTE'!$G$11:$G$262,'METRADO POR AMBIENTE'!$H$11:$H$262,$M23,'METRADO POR AMBIENTE'!$A$11:$A$262,K$10)</f>
        <v/>
      </c>
      <c r="L23" s="18">
        <f>SUM(C23:K23)</f>
        <v/>
      </c>
      <c r="M23" s="15" t="inlineStr">
        <is>
          <t>E18</t>
        </is>
      </c>
    </row>
    <row r="24">
      <c r="A24" s="10" t="inlineStr">
        <is>
          <t>E19</t>
        </is>
      </c>
      <c r="B24" s="16" t="inlineStr">
        <is>
          <t>REFRIGERADORA DE 315 LITROS</t>
        </is>
      </c>
      <c r="C24" s="17">
        <f>SUMIFS('METRADO POR AMBIENTE'!$G$11:$G$262,'METRADO POR AMBIENTE'!$H$11:$H$262,$M24,'METRADO POR AMBIENTE'!$A$11:$A$262,C$10)</f>
        <v/>
      </c>
      <c r="D24" s="17">
        <f>SUMIFS('METRADO POR AMBIENTE'!$G$11:$G$262,'METRADO POR AMBIENTE'!$H$11:$H$262,$M24,'METRADO POR AMBIENTE'!$A$11:$A$262,D$10)</f>
        <v/>
      </c>
      <c r="E24" s="17">
        <f>SUMIFS('METRADO POR AMBIENTE'!$G$11:$G$262,'METRADO POR AMBIENTE'!$H$11:$H$262,$M24,'METRADO POR AMBIENTE'!$A$11:$A$262,E$10)</f>
        <v/>
      </c>
      <c r="F24" s="17">
        <f>SUMIFS('METRADO POR AMBIENTE'!$G$11:$G$262,'METRADO POR AMBIENTE'!$H$11:$H$262,$M24,'METRADO POR AMBIENTE'!$A$11:$A$262,F$10)</f>
        <v/>
      </c>
      <c r="G24" s="17">
        <f>SUMIFS('METRADO POR AMBIENTE'!$G$11:$G$262,'METRADO POR AMBIENTE'!$H$11:$H$262,$M24,'METRADO POR AMBIENTE'!$A$11:$A$262,G$10)</f>
        <v/>
      </c>
      <c r="H24" s="17">
        <f>SUMIFS('METRADO POR AMBIENTE'!$G$11:$G$262,'METRADO POR AMBIENTE'!$H$11:$H$262,$M24,'METRADO POR AMBIENTE'!$A$11:$A$262,H$10)</f>
        <v/>
      </c>
      <c r="I24" s="17">
        <f>SUMIFS('METRADO POR AMBIENTE'!$G$11:$G$262,'METRADO POR AMBIENTE'!$H$11:$H$262,$M24,'METRADO POR AMBIENTE'!$A$11:$A$262,I$10)</f>
        <v/>
      </c>
      <c r="J24" s="17">
        <f>SUMIFS('METRADO POR AMBIENTE'!$G$11:$G$262,'METRADO POR AMBIENTE'!$H$11:$H$262,$M24,'METRADO POR AMBIENTE'!$A$11:$A$262,J$10)</f>
        <v/>
      </c>
      <c r="K24" s="17">
        <f>SUMIFS('METRADO POR AMBIENTE'!$G$11:$G$262,'METRADO POR AMBIENTE'!$H$11:$H$262,$M24,'METRADO POR AMBIENTE'!$A$11:$A$262,K$10)</f>
        <v/>
      </c>
      <c r="L24" s="18">
        <f>SUM(C24:K24)</f>
        <v/>
      </c>
      <c r="M24" s="15" t="inlineStr">
        <is>
          <t>E19</t>
        </is>
      </c>
    </row>
    <row r="25">
      <c r="A25" s="10" t="inlineStr">
        <is>
          <t>M3</t>
        </is>
      </c>
      <c r="B25" s="16" t="inlineStr">
        <is>
          <t>SILLA REGULABLE DE ESTUDIANTE DE MADERA Y METAL 0.30 x 0.27 x 0.32 m</t>
        </is>
      </c>
      <c r="C25" s="17">
        <f>SUMIFS('METRADO POR AMBIENTE'!$G$11:$G$262,'METRADO POR AMBIENTE'!$H$11:$H$262,$M25,'METRADO POR AMBIENTE'!$A$11:$A$262,C$10)</f>
        <v/>
      </c>
      <c r="D25" s="17">
        <f>SUMIFS('METRADO POR AMBIENTE'!$G$11:$G$262,'METRADO POR AMBIENTE'!$H$11:$H$262,$M25,'METRADO POR AMBIENTE'!$A$11:$A$262,D$10)</f>
        <v/>
      </c>
      <c r="E25" s="17">
        <f>SUMIFS('METRADO POR AMBIENTE'!$G$11:$G$262,'METRADO POR AMBIENTE'!$H$11:$H$262,$M25,'METRADO POR AMBIENTE'!$A$11:$A$262,E$10)</f>
        <v/>
      </c>
      <c r="F25" s="17">
        <f>SUMIFS('METRADO POR AMBIENTE'!$G$11:$G$262,'METRADO POR AMBIENTE'!$H$11:$H$262,$M25,'METRADO POR AMBIENTE'!$A$11:$A$262,F$10)</f>
        <v/>
      </c>
      <c r="G25" s="17">
        <f>SUMIFS('METRADO POR AMBIENTE'!$G$11:$G$262,'METRADO POR AMBIENTE'!$H$11:$H$262,$M25,'METRADO POR AMBIENTE'!$A$11:$A$262,G$10)</f>
        <v/>
      </c>
      <c r="H25" s="17">
        <f>SUMIFS('METRADO POR AMBIENTE'!$G$11:$G$262,'METRADO POR AMBIENTE'!$H$11:$H$262,$M25,'METRADO POR AMBIENTE'!$A$11:$A$262,H$10)</f>
        <v/>
      </c>
      <c r="I25" s="17">
        <f>SUMIFS('METRADO POR AMBIENTE'!$G$11:$G$262,'METRADO POR AMBIENTE'!$H$11:$H$262,$M25,'METRADO POR AMBIENTE'!$A$11:$A$262,I$10)</f>
        <v/>
      </c>
      <c r="J25" s="17">
        <f>SUMIFS('METRADO POR AMBIENTE'!$G$11:$G$262,'METRADO POR AMBIENTE'!$H$11:$H$262,$M25,'METRADO POR AMBIENTE'!$A$11:$A$262,J$10)</f>
        <v/>
      </c>
      <c r="K25" s="17">
        <f>SUMIFS('METRADO POR AMBIENTE'!$G$11:$G$262,'METRADO POR AMBIENTE'!$H$11:$H$262,$M25,'METRADO POR AMBIENTE'!$A$11:$A$262,K$10)</f>
        <v/>
      </c>
      <c r="L25" s="18">
        <f>SUM(C25:K25)</f>
        <v/>
      </c>
      <c r="M25" s="15" t="inlineStr">
        <is>
          <t>M3</t>
        </is>
      </c>
    </row>
    <row r="26">
      <c r="A26" s="10" t="inlineStr">
        <is>
          <t>M4</t>
        </is>
      </c>
      <c r="B26" s="16" t="inlineStr">
        <is>
          <t>MESA REGULABLE DE MADERA Y METAL 0.56 x 0.50 x 0.60 m</t>
        </is>
      </c>
      <c r="C26" s="17">
        <f>SUMIFS('METRADO POR AMBIENTE'!$G$11:$G$262,'METRADO POR AMBIENTE'!$H$11:$H$262,$M26,'METRADO POR AMBIENTE'!$A$11:$A$262,C$10)</f>
        <v/>
      </c>
      <c r="D26" s="17">
        <f>SUMIFS('METRADO POR AMBIENTE'!$G$11:$G$262,'METRADO POR AMBIENTE'!$H$11:$H$262,$M26,'METRADO POR AMBIENTE'!$A$11:$A$262,D$10)</f>
        <v/>
      </c>
      <c r="E26" s="17">
        <f>SUMIFS('METRADO POR AMBIENTE'!$G$11:$G$262,'METRADO POR AMBIENTE'!$H$11:$H$262,$M26,'METRADO POR AMBIENTE'!$A$11:$A$262,E$10)</f>
        <v/>
      </c>
      <c r="F26" s="17">
        <f>SUMIFS('METRADO POR AMBIENTE'!$G$11:$G$262,'METRADO POR AMBIENTE'!$H$11:$H$262,$M26,'METRADO POR AMBIENTE'!$A$11:$A$262,F$10)</f>
        <v/>
      </c>
      <c r="G26" s="17">
        <f>SUMIFS('METRADO POR AMBIENTE'!$G$11:$G$262,'METRADO POR AMBIENTE'!$H$11:$H$262,$M26,'METRADO POR AMBIENTE'!$A$11:$A$262,G$10)</f>
        <v/>
      </c>
      <c r="H26" s="17">
        <f>SUMIFS('METRADO POR AMBIENTE'!$G$11:$G$262,'METRADO POR AMBIENTE'!$H$11:$H$262,$M26,'METRADO POR AMBIENTE'!$A$11:$A$262,H$10)</f>
        <v/>
      </c>
      <c r="I26" s="17">
        <f>SUMIFS('METRADO POR AMBIENTE'!$G$11:$G$262,'METRADO POR AMBIENTE'!$H$11:$H$262,$M26,'METRADO POR AMBIENTE'!$A$11:$A$262,I$10)</f>
        <v/>
      </c>
      <c r="J26" s="17">
        <f>SUMIFS('METRADO POR AMBIENTE'!$G$11:$G$262,'METRADO POR AMBIENTE'!$H$11:$H$262,$M26,'METRADO POR AMBIENTE'!$A$11:$A$262,J$10)</f>
        <v/>
      </c>
      <c r="K26" s="17">
        <f>SUMIFS('METRADO POR AMBIENTE'!$G$11:$G$262,'METRADO POR AMBIENTE'!$H$11:$H$262,$M26,'METRADO POR AMBIENTE'!$A$11:$A$262,K$10)</f>
        <v/>
      </c>
      <c r="L26" s="18">
        <f>SUM(C26:K26)</f>
        <v/>
      </c>
      <c r="M26" s="15" t="inlineStr">
        <is>
          <t>M4</t>
        </is>
      </c>
    </row>
    <row r="27">
      <c r="A27" s="10" t="inlineStr">
        <is>
          <t>M7</t>
        </is>
      </c>
      <c r="B27" s="16" t="inlineStr">
        <is>
          <t>SILLA DEL PROFESOR DE MADERA, MELAMINA Y METAL 0.45 x 0.40 x 0.36 m</t>
        </is>
      </c>
      <c r="C27" s="17">
        <f>SUMIFS('METRADO POR AMBIENTE'!$G$11:$G$262,'METRADO POR AMBIENTE'!$H$11:$H$262,$M27,'METRADO POR AMBIENTE'!$A$11:$A$262,C$10)</f>
        <v/>
      </c>
      <c r="D27" s="17">
        <f>SUMIFS('METRADO POR AMBIENTE'!$G$11:$G$262,'METRADO POR AMBIENTE'!$H$11:$H$262,$M27,'METRADO POR AMBIENTE'!$A$11:$A$262,D$10)</f>
        <v/>
      </c>
      <c r="E27" s="17">
        <f>SUMIFS('METRADO POR AMBIENTE'!$G$11:$G$262,'METRADO POR AMBIENTE'!$H$11:$H$262,$M27,'METRADO POR AMBIENTE'!$A$11:$A$262,E$10)</f>
        <v/>
      </c>
      <c r="F27" s="17">
        <f>SUMIFS('METRADO POR AMBIENTE'!$G$11:$G$262,'METRADO POR AMBIENTE'!$H$11:$H$262,$M27,'METRADO POR AMBIENTE'!$A$11:$A$262,F$10)</f>
        <v/>
      </c>
      <c r="G27" s="17">
        <f>SUMIFS('METRADO POR AMBIENTE'!$G$11:$G$262,'METRADO POR AMBIENTE'!$H$11:$H$262,$M27,'METRADO POR AMBIENTE'!$A$11:$A$262,G$10)</f>
        <v/>
      </c>
      <c r="H27" s="17">
        <f>SUMIFS('METRADO POR AMBIENTE'!$G$11:$G$262,'METRADO POR AMBIENTE'!$H$11:$H$262,$M27,'METRADO POR AMBIENTE'!$A$11:$A$262,H$10)</f>
        <v/>
      </c>
      <c r="I27" s="17">
        <f>SUMIFS('METRADO POR AMBIENTE'!$G$11:$G$262,'METRADO POR AMBIENTE'!$H$11:$H$262,$M27,'METRADO POR AMBIENTE'!$A$11:$A$262,I$10)</f>
        <v/>
      </c>
      <c r="J27" s="17">
        <f>SUMIFS('METRADO POR AMBIENTE'!$G$11:$G$262,'METRADO POR AMBIENTE'!$H$11:$H$262,$M27,'METRADO POR AMBIENTE'!$A$11:$A$262,J$10)</f>
        <v/>
      </c>
      <c r="K27" s="17">
        <f>SUMIFS('METRADO POR AMBIENTE'!$G$11:$G$262,'METRADO POR AMBIENTE'!$H$11:$H$262,$M27,'METRADO POR AMBIENTE'!$A$11:$A$262,K$10)</f>
        <v/>
      </c>
      <c r="L27" s="18">
        <f>SUM(C27:K27)</f>
        <v/>
      </c>
      <c r="M27" s="15" t="inlineStr">
        <is>
          <t>M7</t>
        </is>
      </c>
    </row>
    <row r="28">
      <c r="A28" s="10" t="inlineStr">
        <is>
          <t>M8</t>
        </is>
      </c>
      <c r="B28" s="16" t="inlineStr">
        <is>
          <t>MESA PARA EL PROFESOR DE MADERA Y METAL 1.00 x 0.50 x 0.75 m</t>
        </is>
      </c>
      <c r="C28" s="17">
        <f>SUMIFS('METRADO POR AMBIENTE'!$G$11:$G$262,'METRADO POR AMBIENTE'!$H$11:$H$262,$M28,'METRADO POR AMBIENTE'!$A$11:$A$262,C$10)</f>
        <v/>
      </c>
      <c r="D28" s="17">
        <f>SUMIFS('METRADO POR AMBIENTE'!$G$11:$G$262,'METRADO POR AMBIENTE'!$H$11:$H$262,$M28,'METRADO POR AMBIENTE'!$A$11:$A$262,D$10)</f>
        <v/>
      </c>
      <c r="E28" s="17">
        <f>SUMIFS('METRADO POR AMBIENTE'!$G$11:$G$262,'METRADO POR AMBIENTE'!$H$11:$H$262,$M28,'METRADO POR AMBIENTE'!$A$11:$A$262,E$10)</f>
        <v/>
      </c>
      <c r="F28" s="17">
        <f>SUMIFS('METRADO POR AMBIENTE'!$G$11:$G$262,'METRADO POR AMBIENTE'!$H$11:$H$262,$M28,'METRADO POR AMBIENTE'!$A$11:$A$262,F$10)</f>
        <v/>
      </c>
      <c r="G28" s="17">
        <f>SUMIFS('METRADO POR AMBIENTE'!$G$11:$G$262,'METRADO POR AMBIENTE'!$H$11:$H$262,$M28,'METRADO POR AMBIENTE'!$A$11:$A$262,G$10)</f>
        <v/>
      </c>
      <c r="H28" s="17">
        <f>SUMIFS('METRADO POR AMBIENTE'!$G$11:$G$262,'METRADO POR AMBIENTE'!$H$11:$H$262,$M28,'METRADO POR AMBIENTE'!$A$11:$A$262,H$10)</f>
        <v/>
      </c>
      <c r="I28" s="17">
        <f>SUMIFS('METRADO POR AMBIENTE'!$G$11:$G$262,'METRADO POR AMBIENTE'!$H$11:$H$262,$M28,'METRADO POR AMBIENTE'!$A$11:$A$262,I$10)</f>
        <v/>
      </c>
      <c r="J28" s="17">
        <f>SUMIFS('METRADO POR AMBIENTE'!$G$11:$G$262,'METRADO POR AMBIENTE'!$H$11:$H$262,$M28,'METRADO POR AMBIENTE'!$A$11:$A$262,J$10)</f>
        <v/>
      </c>
      <c r="K28" s="17">
        <f>SUMIFS('METRADO POR AMBIENTE'!$G$11:$G$262,'METRADO POR AMBIENTE'!$H$11:$H$262,$M28,'METRADO POR AMBIENTE'!$A$11:$A$262,K$10)</f>
        <v/>
      </c>
      <c r="L28" s="18">
        <f>SUM(C28:K28)</f>
        <v/>
      </c>
      <c r="M28" s="15" t="inlineStr">
        <is>
          <t>M8</t>
        </is>
      </c>
    </row>
    <row r="29">
      <c r="A29" s="10" t="inlineStr">
        <is>
          <t>M9</t>
        </is>
      </c>
      <c r="B29" s="16" t="inlineStr">
        <is>
          <t>MANIQUÍ DE COSTURA PARA CONFECCIÓN TEXTIL</t>
        </is>
      </c>
      <c r="C29" s="17">
        <f>SUMIFS('METRADO POR AMBIENTE'!$G$11:$G$262,'METRADO POR AMBIENTE'!$H$11:$H$262,$M29,'METRADO POR AMBIENTE'!$A$11:$A$262,C$10)</f>
        <v/>
      </c>
      <c r="D29" s="17">
        <f>SUMIFS('METRADO POR AMBIENTE'!$G$11:$G$262,'METRADO POR AMBIENTE'!$H$11:$H$262,$M29,'METRADO POR AMBIENTE'!$A$11:$A$262,D$10)</f>
        <v/>
      </c>
      <c r="E29" s="17">
        <f>SUMIFS('METRADO POR AMBIENTE'!$G$11:$G$262,'METRADO POR AMBIENTE'!$H$11:$H$262,$M29,'METRADO POR AMBIENTE'!$A$11:$A$262,E$10)</f>
        <v/>
      </c>
      <c r="F29" s="17">
        <f>SUMIFS('METRADO POR AMBIENTE'!$G$11:$G$262,'METRADO POR AMBIENTE'!$H$11:$H$262,$M29,'METRADO POR AMBIENTE'!$A$11:$A$262,F$10)</f>
        <v/>
      </c>
      <c r="G29" s="17">
        <f>SUMIFS('METRADO POR AMBIENTE'!$G$11:$G$262,'METRADO POR AMBIENTE'!$H$11:$H$262,$M29,'METRADO POR AMBIENTE'!$A$11:$A$262,G$10)</f>
        <v/>
      </c>
      <c r="H29" s="17">
        <f>SUMIFS('METRADO POR AMBIENTE'!$G$11:$G$262,'METRADO POR AMBIENTE'!$H$11:$H$262,$M29,'METRADO POR AMBIENTE'!$A$11:$A$262,H$10)</f>
        <v/>
      </c>
      <c r="I29" s="17">
        <f>SUMIFS('METRADO POR AMBIENTE'!$G$11:$G$262,'METRADO POR AMBIENTE'!$H$11:$H$262,$M29,'METRADO POR AMBIENTE'!$A$11:$A$262,I$10)</f>
        <v/>
      </c>
      <c r="J29" s="17">
        <f>SUMIFS('METRADO POR AMBIENTE'!$G$11:$G$262,'METRADO POR AMBIENTE'!$H$11:$H$262,$M29,'METRADO POR AMBIENTE'!$A$11:$A$262,J$10)</f>
        <v/>
      </c>
      <c r="K29" s="17">
        <f>SUMIFS('METRADO POR AMBIENTE'!$G$11:$G$262,'METRADO POR AMBIENTE'!$H$11:$H$262,$M29,'METRADO POR AMBIENTE'!$A$11:$A$262,K$10)</f>
        <v/>
      </c>
      <c r="L29" s="18">
        <f>SUM(C29:K29)</f>
        <v/>
      </c>
      <c r="M29" s="15" t="inlineStr">
        <is>
          <t>M9</t>
        </is>
      </c>
    </row>
    <row r="30">
      <c r="A30" s="10" t="inlineStr">
        <is>
          <t>M13</t>
        </is>
      </c>
      <c r="B30" s="16" t="inlineStr">
        <is>
          <t>RACK DE SOPORTE METÁLICO PARA PROYECTOR EN TECHO</t>
        </is>
      </c>
      <c r="C30" s="17">
        <f>SUMIFS('METRADO POR AMBIENTE'!$G$11:$G$262,'METRADO POR AMBIENTE'!$H$11:$H$262,$M30,'METRADO POR AMBIENTE'!$A$11:$A$262,C$10)</f>
        <v/>
      </c>
      <c r="D30" s="17">
        <f>SUMIFS('METRADO POR AMBIENTE'!$G$11:$G$262,'METRADO POR AMBIENTE'!$H$11:$H$262,$M30,'METRADO POR AMBIENTE'!$A$11:$A$262,D$10)</f>
        <v/>
      </c>
      <c r="E30" s="17">
        <f>SUMIFS('METRADO POR AMBIENTE'!$G$11:$G$262,'METRADO POR AMBIENTE'!$H$11:$H$262,$M30,'METRADO POR AMBIENTE'!$A$11:$A$262,E$10)</f>
        <v/>
      </c>
      <c r="F30" s="17">
        <f>SUMIFS('METRADO POR AMBIENTE'!$G$11:$G$262,'METRADO POR AMBIENTE'!$H$11:$H$262,$M30,'METRADO POR AMBIENTE'!$A$11:$A$262,F$10)</f>
        <v/>
      </c>
      <c r="G30" s="17">
        <f>SUMIFS('METRADO POR AMBIENTE'!$G$11:$G$262,'METRADO POR AMBIENTE'!$H$11:$H$262,$M30,'METRADO POR AMBIENTE'!$A$11:$A$262,G$10)</f>
        <v/>
      </c>
      <c r="H30" s="17">
        <f>SUMIFS('METRADO POR AMBIENTE'!$G$11:$G$262,'METRADO POR AMBIENTE'!$H$11:$H$262,$M30,'METRADO POR AMBIENTE'!$A$11:$A$262,H$10)</f>
        <v/>
      </c>
      <c r="I30" s="17">
        <f>SUMIFS('METRADO POR AMBIENTE'!$G$11:$G$262,'METRADO POR AMBIENTE'!$H$11:$H$262,$M30,'METRADO POR AMBIENTE'!$A$11:$A$262,I$10)</f>
        <v/>
      </c>
      <c r="J30" s="17">
        <f>SUMIFS('METRADO POR AMBIENTE'!$G$11:$G$262,'METRADO POR AMBIENTE'!$H$11:$H$262,$M30,'METRADO POR AMBIENTE'!$A$11:$A$262,J$10)</f>
        <v/>
      </c>
      <c r="K30" s="17">
        <f>SUMIFS('METRADO POR AMBIENTE'!$G$11:$G$262,'METRADO POR AMBIENTE'!$H$11:$H$262,$M30,'METRADO POR AMBIENTE'!$A$11:$A$262,K$10)</f>
        <v/>
      </c>
      <c r="L30" s="18">
        <f>SUM(C30:K30)</f>
        <v/>
      </c>
      <c r="M30" s="15" t="inlineStr">
        <is>
          <t>M13</t>
        </is>
      </c>
    </row>
    <row r="31">
      <c r="A31" s="10" t="inlineStr">
        <is>
          <t>M15</t>
        </is>
      </c>
      <c r="B31" s="16" t="inlineStr">
        <is>
          <t>ATRIL DE MESA PARA DIBUJO Y PINTURA</t>
        </is>
      </c>
      <c r="C31" s="17">
        <f>SUMIFS('METRADO POR AMBIENTE'!$G$11:$G$262,'METRADO POR AMBIENTE'!$H$11:$H$262,$M31,'METRADO POR AMBIENTE'!$A$11:$A$262,C$10)</f>
        <v/>
      </c>
      <c r="D31" s="17">
        <f>SUMIFS('METRADO POR AMBIENTE'!$G$11:$G$262,'METRADO POR AMBIENTE'!$H$11:$H$262,$M31,'METRADO POR AMBIENTE'!$A$11:$A$262,D$10)</f>
        <v/>
      </c>
      <c r="E31" s="17">
        <f>SUMIFS('METRADO POR AMBIENTE'!$G$11:$G$262,'METRADO POR AMBIENTE'!$H$11:$H$262,$M31,'METRADO POR AMBIENTE'!$A$11:$A$262,E$10)</f>
        <v/>
      </c>
      <c r="F31" s="17">
        <f>SUMIFS('METRADO POR AMBIENTE'!$G$11:$G$262,'METRADO POR AMBIENTE'!$H$11:$H$262,$M31,'METRADO POR AMBIENTE'!$A$11:$A$262,F$10)</f>
        <v/>
      </c>
      <c r="G31" s="17">
        <f>SUMIFS('METRADO POR AMBIENTE'!$G$11:$G$262,'METRADO POR AMBIENTE'!$H$11:$H$262,$M31,'METRADO POR AMBIENTE'!$A$11:$A$262,G$10)</f>
        <v/>
      </c>
      <c r="H31" s="17">
        <f>SUMIFS('METRADO POR AMBIENTE'!$G$11:$G$262,'METRADO POR AMBIENTE'!$H$11:$H$262,$M31,'METRADO POR AMBIENTE'!$A$11:$A$262,H$10)</f>
        <v/>
      </c>
      <c r="I31" s="17">
        <f>SUMIFS('METRADO POR AMBIENTE'!$G$11:$G$262,'METRADO POR AMBIENTE'!$H$11:$H$262,$M31,'METRADO POR AMBIENTE'!$A$11:$A$262,I$10)</f>
        <v/>
      </c>
      <c r="J31" s="17">
        <f>SUMIFS('METRADO POR AMBIENTE'!$G$11:$G$262,'METRADO POR AMBIENTE'!$H$11:$H$262,$M31,'METRADO POR AMBIENTE'!$A$11:$A$262,J$10)</f>
        <v/>
      </c>
      <c r="K31" s="17">
        <f>SUMIFS('METRADO POR AMBIENTE'!$G$11:$G$262,'METRADO POR AMBIENTE'!$H$11:$H$262,$M31,'METRADO POR AMBIENTE'!$A$11:$A$262,K$10)</f>
        <v/>
      </c>
      <c r="L31" s="18">
        <f>SUM(C31:K31)</f>
        <v/>
      </c>
      <c r="M31" s="15" t="inlineStr">
        <is>
          <t>M15</t>
        </is>
      </c>
    </row>
    <row r="32">
      <c r="A32" s="10" t="inlineStr">
        <is>
          <t>M16</t>
        </is>
      </c>
      <c r="B32" s="16" t="inlineStr">
        <is>
          <t>MESA DE TRABAJO DE MADERA PARA ESTUDIANTES 0.90 x 1.80 x 0.56 m</t>
        </is>
      </c>
      <c r="C32" s="17">
        <f>SUMIFS('METRADO POR AMBIENTE'!$G$11:$G$262,'METRADO POR AMBIENTE'!$H$11:$H$262,$M32,'METRADO POR AMBIENTE'!$A$11:$A$262,C$10)</f>
        <v/>
      </c>
      <c r="D32" s="17">
        <f>SUMIFS('METRADO POR AMBIENTE'!$G$11:$G$262,'METRADO POR AMBIENTE'!$H$11:$H$262,$M32,'METRADO POR AMBIENTE'!$A$11:$A$262,D$10)</f>
        <v/>
      </c>
      <c r="E32" s="17">
        <f>SUMIFS('METRADO POR AMBIENTE'!$G$11:$G$262,'METRADO POR AMBIENTE'!$H$11:$H$262,$M32,'METRADO POR AMBIENTE'!$A$11:$A$262,E$10)</f>
        <v/>
      </c>
      <c r="F32" s="17">
        <f>SUMIFS('METRADO POR AMBIENTE'!$G$11:$G$262,'METRADO POR AMBIENTE'!$H$11:$H$262,$M32,'METRADO POR AMBIENTE'!$A$11:$A$262,F$10)</f>
        <v/>
      </c>
      <c r="G32" s="17">
        <f>SUMIFS('METRADO POR AMBIENTE'!$G$11:$G$262,'METRADO POR AMBIENTE'!$H$11:$H$262,$M32,'METRADO POR AMBIENTE'!$A$11:$A$262,G$10)</f>
        <v/>
      </c>
      <c r="H32" s="17">
        <f>SUMIFS('METRADO POR AMBIENTE'!$G$11:$G$262,'METRADO POR AMBIENTE'!$H$11:$H$262,$M32,'METRADO POR AMBIENTE'!$A$11:$A$262,H$10)</f>
        <v/>
      </c>
      <c r="I32" s="17">
        <f>SUMIFS('METRADO POR AMBIENTE'!$G$11:$G$262,'METRADO POR AMBIENTE'!$H$11:$H$262,$M32,'METRADO POR AMBIENTE'!$A$11:$A$262,I$10)</f>
        <v/>
      </c>
      <c r="J32" s="17">
        <f>SUMIFS('METRADO POR AMBIENTE'!$G$11:$G$262,'METRADO POR AMBIENTE'!$H$11:$H$262,$M32,'METRADO POR AMBIENTE'!$A$11:$A$262,J$10)</f>
        <v/>
      </c>
      <c r="K32" s="17">
        <f>SUMIFS('METRADO POR AMBIENTE'!$G$11:$G$262,'METRADO POR AMBIENTE'!$H$11:$H$262,$M32,'METRADO POR AMBIENTE'!$A$11:$A$262,K$10)</f>
        <v/>
      </c>
      <c r="L32" s="18">
        <f>SUM(C32:K32)</f>
        <v/>
      </c>
      <c r="M32" s="15" t="inlineStr">
        <is>
          <t>M16</t>
        </is>
      </c>
    </row>
    <row r="33">
      <c r="A33" s="10" t="inlineStr">
        <is>
          <t>M16</t>
        </is>
      </c>
      <c r="B33" s="16" t="inlineStr">
        <is>
          <t>MESA DE CORTE TEXTIL 0.80 x 1.50 x 0.75 m</t>
        </is>
      </c>
      <c r="C33" s="17">
        <f>SUMIFS('METRADO POR AMBIENTE'!$G$11:$G$262,'METRADO POR AMBIENTE'!$H$11:$H$262,$M33,'METRADO POR AMBIENTE'!$A$11:$A$262,C$10)</f>
        <v/>
      </c>
      <c r="D33" s="17">
        <f>SUMIFS('METRADO POR AMBIENTE'!$G$11:$G$262,'METRADO POR AMBIENTE'!$H$11:$H$262,$M33,'METRADO POR AMBIENTE'!$A$11:$A$262,D$10)</f>
        <v/>
      </c>
      <c r="E33" s="17">
        <f>SUMIFS('METRADO POR AMBIENTE'!$G$11:$G$262,'METRADO POR AMBIENTE'!$H$11:$H$262,$M33,'METRADO POR AMBIENTE'!$A$11:$A$262,E$10)</f>
        <v/>
      </c>
      <c r="F33" s="17">
        <f>SUMIFS('METRADO POR AMBIENTE'!$G$11:$G$262,'METRADO POR AMBIENTE'!$H$11:$H$262,$M33,'METRADO POR AMBIENTE'!$A$11:$A$262,F$10)</f>
        <v/>
      </c>
      <c r="G33" s="17">
        <f>SUMIFS('METRADO POR AMBIENTE'!$G$11:$G$262,'METRADO POR AMBIENTE'!$H$11:$H$262,$M33,'METRADO POR AMBIENTE'!$A$11:$A$262,G$10)</f>
        <v/>
      </c>
      <c r="H33" s="17">
        <f>SUMIFS('METRADO POR AMBIENTE'!$G$11:$G$262,'METRADO POR AMBIENTE'!$H$11:$H$262,$M33,'METRADO POR AMBIENTE'!$A$11:$A$262,H$10)</f>
        <v/>
      </c>
      <c r="I33" s="17">
        <f>SUMIFS('METRADO POR AMBIENTE'!$G$11:$G$262,'METRADO POR AMBIENTE'!$H$11:$H$262,$M33,'METRADO POR AMBIENTE'!$A$11:$A$262,I$10)</f>
        <v/>
      </c>
      <c r="J33" s="17">
        <f>SUMIFS('METRADO POR AMBIENTE'!$G$11:$G$262,'METRADO POR AMBIENTE'!$H$11:$H$262,$M33,'METRADO POR AMBIENTE'!$A$11:$A$262,J$10)</f>
        <v/>
      </c>
      <c r="K33" s="17">
        <f>SUMIFS('METRADO POR AMBIENTE'!$G$11:$G$262,'METRADO POR AMBIENTE'!$H$11:$H$262,$M33,'METRADO POR AMBIENTE'!$A$11:$A$262,K$10)</f>
        <v/>
      </c>
      <c r="L33" s="18">
        <f>SUM(C33:K33)</f>
        <v/>
      </c>
      <c r="M33" s="15" t="inlineStr">
        <is>
          <t>M16-T</t>
        </is>
      </c>
    </row>
    <row r="34">
      <c r="A34" s="10" t="inlineStr">
        <is>
          <t>M19</t>
        </is>
      </c>
      <c r="B34" s="16" t="inlineStr">
        <is>
          <t>MESA DE MADERA 1.00 x 1.80 x 0.75 m</t>
        </is>
      </c>
      <c r="C34" s="17">
        <f>SUMIFS('METRADO POR AMBIENTE'!$G$11:$G$262,'METRADO POR AMBIENTE'!$H$11:$H$262,$M34,'METRADO POR AMBIENTE'!$A$11:$A$262,C$10)</f>
        <v/>
      </c>
      <c r="D34" s="17">
        <f>SUMIFS('METRADO POR AMBIENTE'!$G$11:$G$262,'METRADO POR AMBIENTE'!$H$11:$H$262,$M34,'METRADO POR AMBIENTE'!$A$11:$A$262,D$10)</f>
        <v/>
      </c>
      <c r="E34" s="17">
        <f>SUMIFS('METRADO POR AMBIENTE'!$G$11:$G$262,'METRADO POR AMBIENTE'!$H$11:$H$262,$M34,'METRADO POR AMBIENTE'!$A$11:$A$262,E$10)</f>
        <v/>
      </c>
      <c r="F34" s="17">
        <f>SUMIFS('METRADO POR AMBIENTE'!$G$11:$G$262,'METRADO POR AMBIENTE'!$H$11:$H$262,$M34,'METRADO POR AMBIENTE'!$A$11:$A$262,F$10)</f>
        <v/>
      </c>
      <c r="G34" s="17">
        <f>SUMIFS('METRADO POR AMBIENTE'!$G$11:$G$262,'METRADO POR AMBIENTE'!$H$11:$H$262,$M34,'METRADO POR AMBIENTE'!$A$11:$A$262,G$10)</f>
        <v/>
      </c>
      <c r="H34" s="17">
        <f>SUMIFS('METRADO POR AMBIENTE'!$G$11:$G$262,'METRADO POR AMBIENTE'!$H$11:$H$262,$M34,'METRADO POR AMBIENTE'!$A$11:$A$262,H$10)</f>
        <v/>
      </c>
      <c r="I34" s="17">
        <f>SUMIFS('METRADO POR AMBIENTE'!$G$11:$G$262,'METRADO POR AMBIENTE'!$H$11:$H$262,$M34,'METRADO POR AMBIENTE'!$A$11:$A$262,I$10)</f>
        <v/>
      </c>
      <c r="J34" s="17">
        <f>SUMIFS('METRADO POR AMBIENTE'!$G$11:$G$262,'METRADO POR AMBIENTE'!$H$11:$H$262,$M34,'METRADO POR AMBIENTE'!$A$11:$A$262,J$10)</f>
        <v/>
      </c>
      <c r="K34" s="17">
        <f>SUMIFS('METRADO POR AMBIENTE'!$G$11:$G$262,'METRADO POR AMBIENTE'!$H$11:$H$262,$M34,'METRADO POR AMBIENTE'!$A$11:$A$262,K$10)</f>
        <v/>
      </c>
      <c r="L34" s="18">
        <f>SUM(C34:K34)</f>
        <v/>
      </c>
      <c r="M34" s="15" t="inlineStr">
        <is>
          <t>M19</t>
        </is>
      </c>
    </row>
    <row r="35">
      <c r="A35" s="10" t="inlineStr">
        <is>
          <t>M20</t>
        </is>
      </c>
      <c r="B35" s="16" t="inlineStr">
        <is>
          <t>BIOMBO METÁLICO DE 3 CUERPOS</t>
        </is>
      </c>
      <c r="C35" s="17">
        <f>SUMIFS('METRADO POR AMBIENTE'!$G$11:$G$262,'METRADO POR AMBIENTE'!$H$11:$H$262,$M35,'METRADO POR AMBIENTE'!$A$11:$A$262,C$10)</f>
        <v/>
      </c>
      <c r="D35" s="17">
        <f>SUMIFS('METRADO POR AMBIENTE'!$G$11:$G$262,'METRADO POR AMBIENTE'!$H$11:$H$262,$M35,'METRADO POR AMBIENTE'!$A$11:$A$262,D$10)</f>
        <v/>
      </c>
      <c r="E35" s="17">
        <f>SUMIFS('METRADO POR AMBIENTE'!$G$11:$G$262,'METRADO POR AMBIENTE'!$H$11:$H$262,$M35,'METRADO POR AMBIENTE'!$A$11:$A$262,E$10)</f>
        <v/>
      </c>
      <c r="F35" s="17">
        <f>SUMIFS('METRADO POR AMBIENTE'!$G$11:$G$262,'METRADO POR AMBIENTE'!$H$11:$H$262,$M35,'METRADO POR AMBIENTE'!$A$11:$A$262,F$10)</f>
        <v/>
      </c>
      <c r="G35" s="17">
        <f>SUMIFS('METRADO POR AMBIENTE'!$G$11:$G$262,'METRADO POR AMBIENTE'!$H$11:$H$262,$M35,'METRADO POR AMBIENTE'!$A$11:$A$262,G$10)</f>
        <v/>
      </c>
      <c r="H35" s="17">
        <f>SUMIFS('METRADO POR AMBIENTE'!$G$11:$G$262,'METRADO POR AMBIENTE'!$H$11:$H$262,$M35,'METRADO POR AMBIENTE'!$A$11:$A$262,H$10)</f>
        <v/>
      </c>
      <c r="I35" s="17">
        <f>SUMIFS('METRADO POR AMBIENTE'!$G$11:$G$262,'METRADO POR AMBIENTE'!$H$11:$H$262,$M35,'METRADO POR AMBIENTE'!$A$11:$A$262,I$10)</f>
        <v/>
      </c>
      <c r="J35" s="17">
        <f>SUMIFS('METRADO POR AMBIENTE'!$G$11:$G$262,'METRADO POR AMBIENTE'!$H$11:$H$262,$M35,'METRADO POR AMBIENTE'!$A$11:$A$262,J$10)</f>
        <v/>
      </c>
      <c r="K35" s="17">
        <f>SUMIFS('METRADO POR AMBIENTE'!$G$11:$G$262,'METRADO POR AMBIENTE'!$H$11:$H$262,$M35,'METRADO POR AMBIENTE'!$A$11:$A$262,K$10)</f>
        <v/>
      </c>
      <c r="L35" s="18">
        <f>SUM(C35:K35)</f>
        <v/>
      </c>
      <c r="M35" s="15" t="inlineStr">
        <is>
          <t>M20</t>
        </is>
      </c>
    </row>
    <row r="36">
      <c r="A36" s="10" t="inlineStr">
        <is>
          <t>M21</t>
        </is>
      </c>
      <c r="B36" s="16" t="inlineStr">
        <is>
          <t>MESA DE REUNIONES DE MADERA Y MELAMINA 2.40 x 1.00 x 0.75 m</t>
        </is>
      </c>
      <c r="C36" s="17">
        <f>SUMIFS('METRADO POR AMBIENTE'!$G$11:$G$262,'METRADO POR AMBIENTE'!$H$11:$H$262,$M36,'METRADO POR AMBIENTE'!$A$11:$A$262,C$10)</f>
        <v/>
      </c>
      <c r="D36" s="17">
        <f>SUMIFS('METRADO POR AMBIENTE'!$G$11:$G$262,'METRADO POR AMBIENTE'!$H$11:$H$262,$M36,'METRADO POR AMBIENTE'!$A$11:$A$262,D$10)</f>
        <v/>
      </c>
      <c r="E36" s="17">
        <f>SUMIFS('METRADO POR AMBIENTE'!$G$11:$G$262,'METRADO POR AMBIENTE'!$H$11:$H$262,$M36,'METRADO POR AMBIENTE'!$A$11:$A$262,E$10)</f>
        <v/>
      </c>
      <c r="F36" s="17">
        <f>SUMIFS('METRADO POR AMBIENTE'!$G$11:$G$262,'METRADO POR AMBIENTE'!$H$11:$H$262,$M36,'METRADO POR AMBIENTE'!$A$11:$A$262,F$10)</f>
        <v/>
      </c>
      <c r="G36" s="17">
        <f>SUMIFS('METRADO POR AMBIENTE'!$G$11:$G$262,'METRADO POR AMBIENTE'!$H$11:$H$262,$M36,'METRADO POR AMBIENTE'!$A$11:$A$262,G$10)</f>
        <v/>
      </c>
      <c r="H36" s="17">
        <f>SUMIFS('METRADO POR AMBIENTE'!$G$11:$G$262,'METRADO POR AMBIENTE'!$H$11:$H$262,$M36,'METRADO POR AMBIENTE'!$A$11:$A$262,H$10)</f>
        <v/>
      </c>
      <c r="I36" s="17">
        <f>SUMIFS('METRADO POR AMBIENTE'!$G$11:$G$262,'METRADO POR AMBIENTE'!$H$11:$H$262,$M36,'METRADO POR AMBIENTE'!$A$11:$A$262,I$10)</f>
        <v/>
      </c>
      <c r="J36" s="17">
        <f>SUMIFS('METRADO POR AMBIENTE'!$G$11:$G$262,'METRADO POR AMBIENTE'!$H$11:$H$262,$M36,'METRADO POR AMBIENTE'!$A$11:$A$262,J$10)</f>
        <v/>
      </c>
      <c r="K36" s="17">
        <f>SUMIFS('METRADO POR AMBIENTE'!$G$11:$G$262,'METRADO POR AMBIENTE'!$H$11:$H$262,$M36,'METRADO POR AMBIENTE'!$A$11:$A$262,K$10)</f>
        <v/>
      </c>
      <c r="L36" s="18">
        <f>SUM(C36:K36)</f>
        <v/>
      </c>
      <c r="M36" s="15" t="inlineStr">
        <is>
          <t>M21</t>
        </is>
      </c>
    </row>
    <row r="37">
      <c r="A37" s="10" t="inlineStr">
        <is>
          <t>M22</t>
        </is>
      </c>
      <c r="B37" s="16" t="inlineStr">
        <is>
          <t>MESA DE MADERA 1.00 x 1.80 x 0.75 m</t>
        </is>
      </c>
      <c r="C37" s="17">
        <f>SUMIFS('METRADO POR AMBIENTE'!$G$11:$G$262,'METRADO POR AMBIENTE'!$H$11:$H$262,$M37,'METRADO POR AMBIENTE'!$A$11:$A$262,C$10)</f>
        <v/>
      </c>
      <c r="D37" s="17">
        <f>SUMIFS('METRADO POR AMBIENTE'!$G$11:$G$262,'METRADO POR AMBIENTE'!$H$11:$H$262,$M37,'METRADO POR AMBIENTE'!$A$11:$A$262,D$10)</f>
        <v/>
      </c>
      <c r="E37" s="17">
        <f>SUMIFS('METRADO POR AMBIENTE'!$G$11:$G$262,'METRADO POR AMBIENTE'!$H$11:$H$262,$M37,'METRADO POR AMBIENTE'!$A$11:$A$262,E$10)</f>
        <v/>
      </c>
      <c r="F37" s="17">
        <f>SUMIFS('METRADO POR AMBIENTE'!$G$11:$G$262,'METRADO POR AMBIENTE'!$H$11:$H$262,$M37,'METRADO POR AMBIENTE'!$A$11:$A$262,F$10)</f>
        <v/>
      </c>
      <c r="G37" s="17">
        <f>SUMIFS('METRADO POR AMBIENTE'!$G$11:$G$262,'METRADO POR AMBIENTE'!$H$11:$H$262,$M37,'METRADO POR AMBIENTE'!$A$11:$A$262,G$10)</f>
        <v/>
      </c>
      <c r="H37" s="17">
        <f>SUMIFS('METRADO POR AMBIENTE'!$G$11:$G$262,'METRADO POR AMBIENTE'!$H$11:$H$262,$M37,'METRADO POR AMBIENTE'!$A$11:$A$262,H$10)</f>
        <v/>
      </c>
      <c r="I37" s="17">
        <f>SUMIFS('METRADO POR AMBIENTE'!$G$11:$G$262,'METRADO POR AMBIENTE'!$H$11:$H$262,$M37,'METRADO POR AMBIENTE'!$A$11:$A$262,I$10)</f>
        <v/>
      </c>
      <c r="J37" s="17">
        <f>SUMIFS('METRADO POR AMBIENTE'!$G$11:$G$262,'METRADO POR AMBIENTE'!$H$11:$H$262,$M37,'METRADO POR AMBIENTE'!$A$11:$A$262,J$10)</f>
        <v/>
      </c>
      <c r="K37" s="17">
        <f>SUMIFS('METRADO POR AMBIENTE'!$G$11:$G$262,'METRADO POR AMBIENTE'!$H$11:$H$262,$M37,'METRADO POR AMBIENTE'!$A$11:$A$262,K$10)</f>
        <v/>
      </c>
      <c r="L37" s="18">
        <f>SUM(C37:K37)</f>
        <v/>
      </c>
      <c r="M37" s="15" t="inlineStr">
        <is>
          <t>M22</t>
        </is>
      </c>
    </row>
    <row r="38">
      <c r="A38" s="10" t="inlineStr">
        <is>
          <t>M23</t>
        </is>
      </c>
      <c r="B38" s="16" t="inlineStr">
        <is>
          <t>MESA DE MADERA 1.00 x 2.00 x 0.75 m</t>
        </is>
      </c>
      <c r="C38" s="17">
        <f>SUMIFS('METRADO POR AMBIENTE'!$G$11:$G$262,'METRADO POR AMBIENTE'!$H$11:$H$262,$M38,'METRADO POR AMBIENTE'!$A$11:$A$262,C$10)</f>
        <v/>
      </c>
      <c r="D38" s="17">
        <f>SUMIFS('METRADO POR AMBIENTE'!$G$11:$G$262,'METRADO POR AMBIENTE'!$H$11:$H$262,$M38,'METRADO POR AMBIENTE'!$A$11:$A$262,D$10)</f>
        <v/>
      </c>
      <c r="E38" s="17">
        <f>SUMIFS('METRADO POR AMBIENTE'!$G$11:$G$262,'METRADO POR AMBIENTE'!$H$11:$H$262,$M38,'METRADO POR AMBIENTE'!$A$11:$A$262,E$10)</f>
        <v/>
      </c>
      <c r="F38" s="17">
        <f>SUMIFS('METRADO POR AMBIENTE'!$G$11:$G$262,'METRADO POR AMBIENTE'!$H$11:$H$262,$M38,'METRADO POR AMBIENTE'!$A$11:$A$262,F$10)</f>
        <v/>
      </c>
      <c r="G38" s="17">
        <f>SUMIFS('METRADO POR AMBIENTE'!$G$11:$G$262,'METRADO POR AMBIENTE'!$H$11:$H$262,$M38,'METRADO POR AMBIENTE'!$A$11:$A$262,G$10)</f>
        <v/>
      </c>
      <c r="H38" s="17">
        <f>SUMIFS('METRADO POR AMBIENTE'!$G$11:$G$262,'METRADO POR AMBIENTE'!$H$11:$H$262,$M38,'METRADO POR AMBIENTE'!$A$11:$A$262,H$10)</f>
        <v/>
      </c>
      <c r="I38" s="17">
        <f>SUMIFS('METRADO POR AMBIENTE'!$G$11:$G$262,'METRADO POR AMBIENTE'!$H$11:$H$262,$M38,'METRADO POR AMBIENTE'!$A$11:$A$262,I$10)</f>
        <v/>
      </c>
      <c r="J38" s="17">
        <f>SUMIFS('METRADO POR AMBIENTE'!$G$11:$G$262,'METRADO POR AMBIENTE'!$H$11:$H$262,$M38,'METRADO POR AMBIENTE'!$A$11:$A$262,J$10)</f>
        <v/>
      </c>
      <c r="K38" s="17">
        <f>SUMIFS('METRADO POR AMBIENTE'!$G$11:$G$262,'METRADO POR AMBIENTE'!$H$11:$H$262,$M38,'METRADO POR AMBIENTE'!$A$11:$A$262,K$10)</f>
        <v/>
      </c>
      <c r="L38" s="18">
        <f>SUM(C38:K38)</f>
        <v/>
      </c>
      <c r="M38" s="15" t="inlineStr">
        <is>
          <t>M23</t>
        </is>
      </c>
    </row>
    <row r="39">
      <c r="A39" s="10" t="inlineStr">
        <is>
          <t>M26</t>
        </is>
      </c>
      <c r="B39" s="16" t="inlineStr">
        <is>
          <t>MESA DE ACERO INOXIDABLE 0.90 x 0.60 x 0.90 m</t>
        </is>
      </c>
      <c r="C39" s="17">
        <f>SUMIFS('METRADO POR AMBIENTE'!$G$11:$G$262,'METRADO POR AMBIENTE'!$H$11:$H$262,$M39,'METRADO POR AMBIENTE'!$A$11:$A$262,C$10)</f>
        <v/>
      </c>
      <c r="D39" s="17">
        <f>SUMIFS('METRADO POR AMBIENTE'!$G$11:$G$262,'METRADO POR AMBIENTE'!$H$11:$H$262,$M39,'METRADO POR AMBIENTE'!$A$11:$A$262,D$10)</f>
        <v/>
      </c>
      <c r="E39" s="17">
        <f>SUMIFS('METRADO POR AMBIENTE'!$G$11:$G$262,'METRADO POR AMBIENTE'!$H$11:$H$262,$M39,'METRADO POR AMBIENTE'!$A$11:$A$262,E$10)</f>
        <v/>
      </c>
      <c r="F39" s="17">
        <f>SUMIFS('METRADO POR AMBIENTE'!$G$11:$G$262,'METRADO POR AMBIENTE'!$H$11:$H$262,$M39,'METRADO POR AMBIENTE'!$A$11:$A$262,F$10)</f>
        <v/>
      </c>
      <c r="G39" s="17">
        <f>SUMIFS('METRADO POR AMBIENTE'!$G$11:$G$262,'METRADO POR AMBIENTE'!$H$11:$H$262,$M39,'METRADO POR AMBIENTE'!$A$11:$A$262,G$10)</f>
        <v/>
      </c>
      <c r="H39" s="17">
        <f>SUMIFS('METRADO POR AMBIENTE'!$G$11:$G$262,'METRADO POR AMBIENTE'!$H$11:$H$262,$M39,'METRADO POR AMBIENTE'!$A$11:$A$262,H$10)</f>
        <v/>
      </c>
      <c r="I39" s="17">
        <f>SUMIFS('METRADO POR AMBIENTE'!$G$11:$G$262,'METRADO POR AMBIENTE'!$H$11:$H$262,$M39,'METRADO POR AMBIENTE'!$A$11:$A$262,I$10)</f>
        <v/>
      </c>
      <c r="J39" s="17">
        <f>SUMIFS('METRADO POR AMBIENTE'!$G$11:$G$262,'METRADO POR AMBIENTE'!$H$11:$H$262,$M39,'METRADO POR AMBIENTE'!$A$11:$A$262,J$10)</f>
        <v/>
      </c>
      <c r="K39" s="17">
        <f>SUMIFS('METRADO POR AMBIENTE'!$G$11:$G$262,'METRADO POR AMBIENTE'!$H$11:$H$262,$M39,'METRADO POR AMBIENTE'!$A$11:$A$262,K$10)</f>
        <v/>
      </c>
      <c r="L39" s="18">
        <f>SUM(C39:K39)</f>
        <v/>
      </c>
      <c r="M39" s="15" t="inlineStr">
        <is>
          <t>M26</t>
        </is>
      </c>
    </row>
    <row r="40">
      <c r="A40" s="10" t="inlineStr">
        <is>
          <t>M27</t>
        </is>
      </c>
      <c r="B40" s="16" t="inlineStr">
        <is>
          <t>SILLA DE RUEDAS</t>
        </is>
      </c>
      <c r="C40" s="17">
        <f>SUMIFS('METRADO POR AMBIENTE'!$G$11:$G$262,'METRADO POR AMBIENTE'!$H$11:$H$262,$M40,'METRADO POR AMBIENTE'!$A$11:$A$262,C$10)</f>
        <v/>
      </c>
      <c r="D40" s="17">
        <f>SUMIFS('METRADO POR AMBIENTE'!$G$11:$G$262,'METRADO POR AMBIENTE'!$H$11:$H$262,$M40,'METRADO POR AMBIENTE'!$A$11:$A$262,D$10)</f>
        <v/>
      </c>
      <c r="E40" s="17">
        <f>SUMIFS('METRADO POR AMBIENTE'!$G$11:$G$262,'METRADO POR AMBIENTE'!$H$11:$H$262,$M40,'METRADO POR AMBIENTE'!$A$11:$A$262,E$10)</f>
        <v/>
      </c>
      <c r="F40" s="17">
        <f>SUMIFS('METRADO POR AMBIENTE'!$G$11:$G$262,'METRADO POR AMBIENTE'!$H$11:$H$262,$M40,'METRADO POR AMBIENTE'!$A$11:$A$262,F$10)</f>
        <v/>
      </c>
      <c r="G40" s="17">
        <f>SUMIFS('METRADO POR AMBIENTE'!$G$11:$G$262,'METRADO POR AMBIENTE'!$H$11:$H$262,$M40,'METRADO POR AMBIENTE'!$A$11:$A$262,G$10)</f>
        <v/>
      </c>
      <c r="H40" s="17">
        <f>SUMIFS('METRADO POR AMBIENTE'!$G$11:$G$262,'METRADO POR AMBIENTE'!$H$11:$H$262,$M40,'METRADO POR AMBIENTE'!$A$11:$A$262,H$10)</f>
        <v/>
      </c>
      <c r="I40" s="17">
        <f>SUMIFS('METRADO POR AMBIENTE'!$G$11:$G$262,'METRADO POR AMBIENTE'!$H$11:$H$262,$M40,'METRADO POR AMBIENTE'!$A$11:$A$262,I$10)</f>
        <v/>
      </c>
      <c r="J40" s="17">
        <f>SUMIFS('METRADO POR AMBIENTE'!$G$11:$G$262,'METRADO POR AMBIENTE'!$H$11:$H$262,$M40,'METRADO POR AMBIENTE'!$A$11:$A$262,J$10)</f>
        <v/>
      </c>
      <c r="K40" s="17">
        <f>SUMIFS('METRADO POR AMBIENTE'!$G$11:$G$262,'METRADO POR AMBIENTE'!$H$11:$H$262,$M40,'METRADO POR AMBIENTE'!$A$11:$A$262,K$10)</f>
        <v/>
      </c>
      <c r="L40" s="18">
        <f>SUM(C40:K40)</f>
        <v/>
      </c>
      <c r="M40" s="15" t="inlineStr">
        <is>
          <t>M27</t>
        </is>
      </c>
    </row>
    <row r="41">
      <c r="A41" s="10" t="inlineStr">
        <is>
          <t>M28</t>
        </is>
      </c>
      <c r="B41" s="16" t="inlineStr">
        <is>
          <t>ESCRITORIO DE MELAMINA CON DOS CAJONERAS 1.00 x 0.50 x 0.75 m</t>
        </is>
      </c>
      <c r="C41" s="17">
        <f>SUMIFS('METRADO POR AMBIENTE'!$G$11:$G$262,'METRADO POR AMBIENTE'!$H$11:$H$262,$M41,'METRADO POR AMBIENTE'!$A$11:$A$262,C$10)</f>
        <v/>
      </c>
      <c r="D41" s="17">
        <f>SUMIFS('METRADO POR AMBIENTE'!$G$11:$G$262,'METRADO POR AMBIENTE'!$H$11:$H$262,$M41,'METRADO POR AMBIENTE'!$A$11:$A$262,D$10)</f>
        <v/>
      </c>
      <c r="E41" s="17">
        <f>SUMIFS('METRADO POR AMBIENTE'!$G$11:$G$262,'METRADO POR AMBIENTE'!$H$11:$H$262,$M41,'METRADO POR AMBIENTE'!$A$11:$A$262,E$10)</f>
        <v/>
      </c>
      <c r="F41" s="17">
        <f>SUMIFS('METRADO POR AMBIENTE'!$G$11:$G$262,'METRADO POR AMBIENTE'!$H$11:$H$262,$M41,'METRADO POR AMBIENTE'!$A$11:$A$262,F$10)</f>
        <v/>
      </c>
      <c r="G41" s="17">
        <f>SUMIFS('METRADO POR AMBIENTE'!$G$11:$G$262,'METRADO POR AMBIENTE'!$H$11:$H$262,$M41,'METRADO POR AMBIENTE'!$A$11:$A$262,G$10)</f>
        <v/>
      </c>
      <c r="H41" s="17">
        <f>SUMIFS('METRADO POR AMBIENTE'!$G$11:$G$262,'METRADO POR AMBIENTE'!$H$11:$H$262,$M41,'METRADO POR AMBIENTE'!$A$11:$A$262,H$10)</f>
        <v/>
      </c>
      <c r="I41" s="17">
        <f>SUMIFS('METRADO POR AMBIENTE'!$G$11:$G$262,'METRADO POR AMBIENTE'!$H$11:$H$262,$M41,'METRADO POR AMBIENTE'!$A$11:$A$262,I$10)</f>
        <v/>
      </c>
      <c r="J41" s="17">
        <f>SUMIFS('METRADO POR AMBIENTE'!$G$11:$G$262,'METRADO POR AMBIENTE'!$H$11:$H$262,$M41,'METRADO POR AMBIENTE'!$A$11:$A$262,J$10)</f>
        <v/>
      </c>
      <c r="K41" s="17">
        <f>SUMIFS('METRADO POR AMBIENTE'!$G$11:$G$262,'METRADO POR AMBIENTE'!$H$11:$H$262,$M41,'METRADO POR AMBIENTE'!$A$11:$A$262,K$10)</f>
        <v/>
      </c>
      <c r="L41" s="18">
        <f>SUM(C41:K41)</f>
        <v/>
      </c>
      <c r="M41" s="15" t="inlineStr">
        <is>
          <t>M28</t>
        </is>
      </c>
    </row>
    <row r="42">
      <c r="A42" s="10" t="inlineStr">
        <is>
          <t>M31</t>
        </is>
      </c>
      <c r="B42" s="16" t="inlineStr">
        <is>
          <t>ESCRITORIO DE MELAMINA CON CREDENZA MÓVIL 1.50 x 0.80 x 0.75 m</t>
        </is>
      </c>
      <c r="C42" s="17">
        <f>SUMIFS('METRADO POR AMBIENTE'!$G$11:$G$262,'METRADO POR AMBIENTE'!$H$11:$H$262,$M42,'METRADO POR AMBIENTE'!$A$11:$A$262,C$10)</f>
        <v/>
      </c>
      <c r="D42" s="17">
        <f>SUMIFS('METRADO POR AMBIENTE'!$G$11:$G$262,'METRADO POR AMBIENTE'!$H$11:$H$262,$M42,'METRADO POR AMBIENTE'!$A$11:$A$262,D$10)</f>
        <v/>
      </c>
      <c r="E42" s="17">
        <f>SUMIFS('METRADO POR AMBIENTE'!$G$11:$G$262,'METRADO POR AMBIENTE'!$H$11:$H$262,$M42,'METRADO POR AMBIENTE'!$A$11:$A$262,E$10)</f>
        <v/>
      </c>
      <c r="F42" s="17">
        <f>SUMIFS('METRADO POR AMBIENTE'!$G$11:$G$262,'METRADO POR AMBIENTE'!$H$11:$H$262,$M42,'METRADO POR AMBIENTE'!$A$11:$A$262,F$10)</f>
        <v/>
      </c>
      <c r="G42" s="17">
        <f>SUMIFS('METRADO POR AMBIENTE'!$G$11:$G$262,'METRADO POR AMBIENTE'!$H$11:$H$262,$M42,'METRADO POR AMBIENTE'!$A$11:$A$262,G$10)</f>
        <v/>
      </c>
      <c r="H42" s="17">
        <f>SUMIFS('METRADO POR AMBIENTE'!$G$11:$G$262,'METRADO POR AMBIENTE'!$H$11:$H$262,$M42,'METRADO POR AMBIENTE'!$A$11:$A$262,H$10)</f>
        <v/>
      </c>
      <c r="I42" s="17">
        <f>SUMIFS('METRADO POR AMBIENTE'!$G$11:$G$262,'METRADO POR AMBIENTE'!$H$11:$H$262,$M42,'METRADO POR AMBIENTE'!$A$11:$A$262,I$10)</f>
        <v/>
      </c>
      <c r="J42" s="17">
        <f>SUMIFS('METRADO POR AMBIENTE'!$G$11:$G$262,'METRADO POR AMBIENTE'!$H$11:$H$262,$M42,'METRADO POR AMBIENTE'!$A$11:$A$262,J$10)</f>
        <v/>
      </c>
      <c r="K42" s="17">
        <f>SUMIFS('METRADO POR AMBIENTE'!$G$11:$G$262,'METRADO POR AMBIENTE'!$H$11:$H$262,$M42,'METRADO POR AMBIENTE'!$A$11:$A$262,K$10)</f>
        <v/>
      </c>
      <c r="L42" s="18">
        <f>SUM(C42:K42)</f>
        <v/>
      </c>
      <c r="M42" s="15" t="inlineStr">
        <is>
          <t>M31</t>
        </is>
      </c>
    </row>
    <row r="43">
      <c r="A43" s="10" t="inlineStr">
        <is>
          <t>M32</t>
        </is>
      </c>
      <c r="B43" s="16" t="inlineStr">
        <is>
          <t>SILLÓN PARA ACOPLAR 0.44 x 0.55 x 0.60 m</t>
        </is>
      </c>
      <c r="C43" s="17">
        <f>SUMIFS('METRADO POR AMBIENTE'!$G$11:$G$262,'METRADO POR AMBIENTE'!$H$11:$H$262,$M43,'METRADO POR AMBIENTE'!$A$11:$A$262,C$10)</f>
        <v/>
      </c>
      <c r="D43" s="17">
        <f>SUMIFS('METRADO POR AMBIENTE'!$G$11:$G$262,'METRADO POR AMBIENTE'!$H$11:$H$262,$M43,'METRADO POR AMBIENTE'!$A$11:$A$262,D$10)</f>
        <v/>
      </c>
      <c r="E43" s="17">
        <f>SUMIFS('METRADO POR AMBIENTE'!$G$11:$G$262,'METRADO POR AMBIENTE'!$H$11:$H$262,$M43,'METRADO POR AMBIENTE'!$A$11:$A$262,E$10)</f>
        <v/>
      </c>
      <c r="F43" s="17">
        <f>SUMIFS('METRADO POR AMBIENTE'!$G$11:$G$262,'METRADO POR AMBIENTE'!$H$11:$H$262,$M43,'METRADO POR AMBIENTE'!$A$11:$A$262,F$10)</f>
        <v/>
      </c>
      <c r="G43" s="17">
        <f>SUMIFS('METRADO POR AMBIENTE'!$G$11:$G$262,'METRADO POR AMBIENTE'!$H$11:$H$262,$M43,'METRADO POR AMBIENTE'!$A$11:$A$262,G$10)</f>
        <v/>
      </c>
      <c r="H43" s="17">
        <f>SUMIFS('METRADO POR AMBIENTE'!$G$11:$G$262,'METRADO POR AMBIENTE'!$H$11:$H$262,$M43,'METRADO POR AMBIENTE'!$A$11:$A$262,H$10)</f>
        <v/>
      </c>
      <c r="I43" s="17">
        <f>SUMIFS('METRADO POR AMBIENTE'!$G$11:$G$262,'METRADO POR AMBIENTE'!$H$11:$H$262,$M43,'METRADO POR AMBIENTE'!$A$11:$A$262,I$10)</f>
        <v/>
      </c>
      <c r="J43" s="17">
        <f>SUMIFS('METRADO POR AMBIENTE'!$G$11:$G$262,'METRADO POR AMBIENTE'!$H$11:$H$262,$M43,'METRADO POR AMBIENTE'!$A$11:$A$262,J$10)</f>
        <v/>
      </c>
      <c r="K43" s="17">
        <f>SUMIFS('METRADO POR AMBIENTE'!$G$11:$G$262,'METRADO POR AMBIENTE'!$H$11:$H$262,$M43,'METRADO POR AMBIENTE'!$A$11:$A$262,K$10)</f>
        <v/>
      </c>
      <c r="L43" s="18">
        <f>SUM(C43:K43)</f>
        <v/>
      </c>
      <c r="M43" s="15" t="inlineStr">
        <is>
          <t>M32</t>
        </is>
      </c>
    </row>
    <row r="44">
      <c r="A44" s="10" t="inlineStr">
        <is>
          <t>M34</t>
        </is>
      </c>
      <c r="B44" s="16" t="inlineStr">
        <is>
          <t>SOFÁ DE MADERA DE 2 CUERPOS 0.44 x 0.55 x 1.00 m</t>
        </is>
      </c>
      <c r="C44" s="17">
        <f>SUMIFS('METRADO POR AMBIENTE'!$G$11:$G$262,'METRADO POR AMBIENTE'!$H$11:$H$262,$M44,'METRADO POR AMBIENTE'!$A$11:$A$262,C$10)</f>
        <v/>
      </c>
      <c r="D44" s="17">
        <f>SUMIFS('METRADO POR AMBIENTE'!$G$11:$G$262,'METRADO POR AMBIENTE'!$H$11:$H$262,$M44,'METRADO POR AMBIENTE'!$A$11:$A$262,D$10)</f>
        <v/>
      </c>
      <c r="E44" s="17">
        <f>SUMIFS('METRADO POR AMBIENTE'!$G$11:$G$262,'METRADO POR AMBIENTE'!$H$11:$H$262,$M44,'METRADO POR AMBIENTE'!$A$11:$A$262,E$10)</f>
        <v/>
      </c>
      <c r="F44" s="17">
        <f>SUMIFS('METRADO POR AMBIENTE'!$G$11:$G$262,'METRADO POR AMBIENTE'!$H$11:$H$262,$M44,'METRADO POR AMBIENTE'!$A$11:$A$262,F$10)</f>
        <v/>
      </c>
      <c r="G44" s="17">
        <f>SUMIFS('METRADO POR AMBIENTE'!$G$11:$G$262,'METRADO POR AMBIENTE'!$H$11:$H$262,$M44,'METRADO POR AMBIENTE'!$A$11:$A$262,G$10)</f>
        <v/>
      </c>
      <c r="H44" s="17">
        <f>SUMIFS('METRADO POR AMBIENTE'!$G$11:$G$262,'METRADO POR AMBIENTE'!$H$11:$H$262,$M44,'METRADO POR AMBIENTE'!$A$11:$A$262,H$10)</f>
        <v/>
      </c>
      <c r="I44" s="17">
        <f>SUMIFS('METRADO POR AMBIENTE'!$G$11:$G$262,'METRADO POR AMBIENTE'!$H$11:$H$262,$M44,'METRADO POR AMBIENTE'!$A$11:$A$262,I$10)</f>
        <v/>
      </c>
      <c r="J44" s="17">
        <f>SUMIFS('METRADO POR AMBIENTE'!$G$11:$G$262,'METRADO POR AMBIENTE'!$H$11:$H$262,$M44,'METRADO POR AMBIENTE'!$A$11:$A$262,J$10)</f>
        <v/>
      </c>
      <c r="K44" s="17">
        <f>SUMIFS('METRADO POR AMBIENTE'!$G$11:$G$262,'METRADO POR AMBIENTE'!$H$11:$H$262,$M44,'METRADO POR AMBIENTE'!$A$11:$A$262,K$10)</f>
        <v/>
      </c>
      <c r="L44" s="18">
        <f>SUM(C44:K44)</f>
        <v/>
      </c>
      <c r="M44" s="15" t="inlineStr">
        <is>
          <t>M34</t>
        </is>
      </c>
    </row>
    <row r="45">
      <c r="A45" s="10" t="inlineStr">
        <is>
          <t>M35</t>
        </is>
      </c>
      <c r="B45" s="16" t="inlineStr">
        <is>
          <t>SILLA TIPO TABURETE REGULABLE DE MADERA Y METAL 0.15 x 0.30 x 0.60 x 0.75 m</t>
        </is>
      </c>
      <c r="C45" s="17">
        <f>SUMIFS('METRADO POR AMBIENTE'!$G$11:$G$262,'METRADO POR AMBIENTE'!$H$11:$H$262,$M45,'METRADO POR AMBIENTE'!$A$11:$A$262,C$10)</f>
        <v/>
      </c>
      <c r="D45" s="17">
        <f>SUMIFS('METRADO POR AMBIENTE'!$G$11:$G$262,'METRADO POR AMBIENTE'!$H$11:$H$262,$M45,'METRADO POR AMBIENTE'!$A$11:$A$262,D$10)</f>
        <v/>
      </c>
      <c r="E45" s="17">
        <f>SUMIFS('METRADO POR AMBIENTE'!$G$11:$G$262,'METRADO POR AMBIENTE'!$H$11:$H$262,$M45,'METRADO POR AMBIENTE'!$A$11:$A$262,E$10)</f>
        <v/>
      </c>
      <c r="F45" s="17">
        <f>SUMIFS('METRADO POR AMBIENTE'!$G$11:$G$262,'METRADO POR AMBIENTE'!$H$11:$H$262,$M45,'METRADO POR AMBIENTE'!$A$11:$A$262,F$10)</f>
        <v/>
      </c>
      <c r="G45" s="17">
        <f>SUMIFS('METRADO POR AMBIENTE'!$G$11:$G$262,'METRADO POR AMBIENTE'!$H$11:$H$262,$M45,'METRADO POR AMBIENTE'!$A$11:$A$262,G$10)</f>
        <v/>
      </c>
      <c r="H45" s="17">
        <f>SUMIFS('METRADO POR AMBIENTE'!$G$11:$G$262,'METRADO POR AMBIENTE'!$H$11:$H$262,$M45,'METRADO POR AMBIENTE'!$A$11:$A$262,H$10)</f>
        <v/>
      </c>
      <c r="I45" s="17">
        <f>SUMIFS('METRADO POR AMBIENTE'!$G$11:$G$262,'METRADO POR AMBIENTE'!$H$11:$H$262,$M45,'METRADO POR AMBIENTE'!$A$11:$A$262,I$10)</f>
        <v/>
      </c>
      <c r="J45" s="17">
        <f>SUMIFS('METRADO POR AMBIENTE'!$G$11:$G$262,'METRADO POR AMBIENTE'!$H$11:$H$262,$M45,'METRADO POR AMBIENTE'!$A$11:$A$262,J$10)</f>
        <v/>
      </c>
      <c r="K45" s="17">
        <f>SUMIFS('METRADO POR AMBIENTE'!$G$11:$G$262,'METRADO POR AMBIENTE'!$H$11:$H$262,$M45,'METRADO POR AMBIENTE'!$A$11:$A$262,K$10)</f>
        <v/>
      </c>
      <c r="L45" s="18">
        <f>SUM(C45:K45)</f>
        <v/>
      </c>
      <c r="M45" s="15" t="inlineStr">
        <is>
          <t>M35</t>
        </is>
      </c>
    </row>
    <row r="46">
      <c r="A46" s="10" t="inlineStr">
        <is>
          <t>M36</t>
        </is>
      </c>
      <c r="B46" s="16" t="inlineStr">
        <is>
          <t>ARMARIO DE MELAMINA CON 2 PUERTAS Y 4 NIVELES 0.90 x 0.45 x 1.80 m</t>
        </is>
      </c>
      <c r="C46" s="17">
        <f>SUMIFS('METRADO POR AMBIENTE'!$G$11:$G$262,'METRADO POR AMBIENTE'!$H$11:$H$262,$M46,'METRADO POR AMBIENTE'!$A$11:$A$262,C$10)</f>
        <v/>
      </c>
      <c r="D46" s="17">
        <f>SUMIFS('METRADO POR AMBIENTE'!$G$11:$G$262,'METRADO POR AMBIENTE'!$H$11:$H$262,$M46,'METRADO POR AMBIENTE'!$A$11:$A$262,D$10)</f>
        <v/>
      </c>
      <c r="E46" s="17">
        <f>SUMIFS('METRADO POR AMBIENTE'!$G$11:$G$262,'METRADO POR AMBIENTE'!$H$11:$H$262,$M46,'METRADO POR AMBIENTE'!$A$11:$A$262,E$10)</f>
        <v/>
      </c>
      <c r="F46" s="17">
        <f>SUMIFS('METRADO POR AMBIENTE'!$G$11:$G$262,'METRADO POR AMBIENTE'!$H$11:$H$262,$M46,'METRADO POR AMBIENTE'!$A$11:$A$262,F$10)</f>
        <v/>
      </c>
      <c r="G46" s="17">
        <f>SUMIFS('METRADO POR AMBIENTE'!$G$11:$G$262,'METRADO POR AMBIENTE'!$H$11:$H$262,$M46,'METRADO POR AMBIENTE'!$A$11:$A$262,G$10)</f>
        <v/>
      </c>
      <c r="H46" s="17">
        <f>SUMIFS('METRADO POR AMBIENTE'!$G$11:$G$262,'METRADO POR AMBIENTE'!$H$11:$H$262,$M46,'METRADO POR AMBIENTE'!$A$11:$A$262,H$10)</f>
        <v/>
      </c>
      <c r="I46" s="17">
        <f>SUMIFS('METRADO POR AMBIENTE'!$G$11:$G$262,'METRADO POR AMBIENTE'!$H$11:$H$262,$M46,'METRADO POR AMBIENTE'!$A$11:$A$262,I$10)</f>
        <v/>
      </c>
      <c r="J46" s="17">
        <f>SUMIFS('METRADO POR AMBIENTE'!$G$11:$G$262,'METRADO POR AMBIENTE'!$H$11:$H$262,$M46,'METRADO POR AMBIENTE'!$A$11:$A$262,J$10)</f>
        <v/>
      </c>
      <c r="K46" s="17">
        <f>SUMIFS('METRADO POR AMBIENTE'!$G$11:$G$262,'METRADO POR AMBIENTE'!$H$11:$H$262,$M46,'METRADO POR AMBIENTE'!$A$11:$A$262,K$10)</f>
        <v/>
      </c>
      <c r="L46" s="18">
        <f>SUM(C46:K46)</f>
        <v/>
      </c>
      <c r="M46" s="15" t="inlineStr">
        <is>
          <t>M36</t>
        </is>
      </c>
    </row>
    <row r="47">
      <c r="A47" s="10" t="inlineStr">
        <is>
          <t>M37</t>
        </is>
      </c>
      <c r="B47" s="16" t="inlineStr">
        <is>
          <t>ARMARIO PARA ALMACENAR MATERIAL DE MELAMINA CON 2 PUERTAS Y 5 DIVISIONES 0.90 x 0.60 x 1.80 m</t>
        </is>
      </c>
      <c r="C47" s="17">
        <f>SUMIFS('METRADO POR AMBIENTE'!$G$11:$G$262,'METRADO POR AMBIENTE'!$H$11:$H$262,$M47,'METRADO POR AMBIENTE'!$A$11:$A$262,C$10)</f>
        <v/>
      </c>
      <c r="D47" s="17">
        <f>SUMIFS('METRADO POR AMBIENTE'!$G$11:$G$262,'METRADO POR AMBIENTE'!$H$11:$H$262,$M47,'METRADO POR AMBIENTE'!$A$11:$A$262,D$10)</f>
        <v/>
      </c>
      <c r="E47" s="17">
        <f>SUMIFS('METRADO POR AMBIENTE'!$G$11:$G$262,'METRADO POR AMBIENTE'!$H$11:$H$262,$M47,'METRADO POR AMBIENTE'!$A$11:$A$262,E$10)</f>
        <v/>
      </c>
      <c r="F47" s="17">
        <f>SUMIFS('METRADO POR AMBIENTE'!$G$11:$G$262,'METRADO POR AMBIENTE'!$H$11:$H$262,$M47,'METRADO POR AMBIENTE'!$A$11:$A$262,F$10)</f>
        <v/>
      </c>
      <c r="G47" s="17">
        <f>SUMIFS('METRADO POR AMBIENTE'!$G$11:$G$262,'METRADO POR AMBIENTE'!$H$11:$H$262,$M47,'METRADO POR AMBIENTE'!$A$11:$A$262,G$10)</f>
        <v/>
      </c>
      <c r="H47" s="17">
        <f>SUMIFS('METRADO POR AMBIENTE'!$G$11:$G$262,'METRADO POR AMBIENTE'!$H$11:$H$262,$M47,'METRADO POR AMBIENTE'!$A$11:$A$262,H$10)</f>
        <v/>
      </c>
      <c r="I47" s="17">
        <f>SUMIFS('METRADO POR AMBIENTE'!$G$11:$G$262,'METRADO POR AMBIENTE'!$H$11:$H$262,$M47,'METRADO POR AMBIENTE'!$A$11:$A$262,I$10)</f>
        <v/>
      </c>
      <c r="J47" s="17">
        <f>SUMIFS('METRADO POR AMBIENTE'!$G$11:$G$262,'METRADO POR AMBIENTE'!$H$11:$H$262,$M47,'METRADO POR AMBIENTE'!$A$11:$A$262,J$10)</f>
        <v/>
      </c>
      <c r="K47" s="17">
        <f>SUMIFS('METRADO POR AMBIENTE'!$G$11:$G$262,'METRADO POR AMBIENTE'!$H$11:$H$262,$M47,'METRADO POR AMBIENTE'!$A$11:$A$262,K$10)</f>
        <v/>
      </c>
      <c r="L47" s="18">
        <f>SUM(C47:K47)</f>
        <v/>
      </c>
      <c r="M47" s="15" t="inlineStr">
        <is>
          <t>M37</t>
        </is>
      </c>
    </row>
    <row r="48">
      <c r="A48" s="10" t="inlineStr">
        <is>
          <t>M39</t>
        </is>
      </c>
      <c r="B48" s="16" t="inlineStr">
        <is>
          <t>ARCHIVADOR DE MELAMINA CON TRES GAVETAS 0.60 x 0.46 x 1.20 m</t>
        </is>
      </c>
      <c r="C48" s="17">
        <f>SUMIFS('METRADO POR AMBIENTE'!$G$11:$G$262,'METRADO POR AMBIENTE'!$H$11:$H$262,$M48,'METRADO POR AMBIENTE'!$A$11:$A$262,C$10)</f>
        <v/>
      </c>
      <c r="D48" s="17">
        <f>SUMIFS('METRADO POR AMBIENTE'!$G$11:$G$262,'METRADO POR AMBIENTE'!$H$11:$H$262,$M48,'METRADO POR AMBIENTE'!$A$11:$A$262,D$10)</f>
        <v/>
      </c>
      <c r="E48" s="17">
        <f>SUMIFS('METRADO POR AMBIENTE'!$G$11:$G$262,'METRADO POR AMBIENTE'!$H$11:$H$262,$M48,'METRADO POR AMBIENTE'!$A$11:$A$262,E$10)</f>
        <v/>
      </c>
      <c r="F48" s="17">
        <f>SUMIFS('METRADO POR AMBIENTE'!$G$11:$G$262,'METRADO POR AMBIENTE'!$H$11:$H$262,$M48,'METRADO POR AMBIENTE'!$A$11:$A$262,F$10)</f>
        <v/>
      </c>
      <c r="G48" s="17">
        <f>SUMIFS('METRADO POR AMBIENTE'!$G$11:$G$262,'METRADO POR AMBIENTE'!$H$11:$H$262,$M48,'METRADO POR AMBIENTE'!$A$11:$A$262,G$10)</f>
        <v/>
      </c>
      <c r="H48" s="17">
        <f>SUMIFS('METRADO POR AMBIENTE'!$G$11:$G$262,'METRADO POR AMBIENTE'!$H$11:$H$262,$M48,'METRADO POR AMBIENTE'!$A$11:$A$262,H$10)</f>
        <v/>
      </c>
      <c r="I48" s="17">
        <f>SUMIFS('METRADO POR AMBIENTE'!$G$11:$G$262,'METRADO POR AMBIENTE'!$H$11:$H$262,$M48,'METRADO POR AMBIENTE'!$A$11:$A$262,I$10)</f>
        <v/>
      </c>
      <c r="J48" s="17">
        <f>SUMIFS('METRADO POR AMBIENTE'!$G$11:$G$262,'METRADO POR AMBIENTE'!$H$11:$H$262,$M48,'METRADO POR AMBIENTE'!$A$11:$A$262,J$10)</f>
        <v/>
      </c>
      <c r="K48" s="17">
        <f>SUMIFS('METRADO POR AMBIENTE'!$G$11:$G$262,'METRADO POR AMBIENTE'!$H$11:$H$262,$M48,'METRADO POR AMBIENTE'!$A$11:$A$262,K$10)</f>
        <v/>
      </c>
      <c r="L48" s="18">
        <f>SUM(C48:K48)</f>
        <v/>
      </c>
      <c r="M48" s="15" t="inlineStr">
        <is>
          <t>M39</t>
        </is>
      </c>
    </row>
    <row r="49">
      <c r="A49" s="10" t="inlineStr">
        <is>
          <t>M51</t>
        </is>
      </c>
      <c r="B49" s="16" t="inlineStr">
        <is>
          <t>ESTANTE METÁLICO RANURADO CON CUATRO DIVISIONES 0.90 x 0.45 x 1.80 m</t>
        </is>
      </c>
      <c r="C49" s="17">
        <f>SUMIFS('METRADO POR AMBIENTE'!$G$11:$G$262,'METRADO POR AMBIENTE'!$H$11:$H$262,$M49,'METRADO POR AMBIENTE'!$A$11:$A$262,C$10)</f>
        <v/>
      </c>
      <c r="D49" s="17">
        <f>SUMIFS('METRADO POR AMBIENTE'!$G$11:$G$262,'METRADO POR AMBIENTE'!$H$11:$H$262,$M49,'METRADO POR AMBIENTE'!$A$11:$A$262,D$10)</f>
        <v/>
      </c>
      <c r="E49" s="17">
        <f>SUMIFS('METRADO POR AMBIENTE'!$G$11:$G$262,'METRADO POR AMBIENTE'!$H$11:$H$262,$M49,'METRADO POR AMBIENTE'!$A$11:$A$262,E$10)</f>
        <v/>
      </c>
      <c r="F49" s="17">
        <f>SUMIFS('METRADO POR AMBIENTE'!$G$11:$G$262,'METRADO POR AMBIENTE'!$H$11:$H$262,$M49,'METRADO POR AMBIENTE'!$A$11:$A$262,F$10)</f>
        <v/>
      </c>
      <c r="G49" s="17">
        <f>SUMIFS('METRADO POR AMBIENTE'!$G$11:$G$262,'METRADO POR AMBIENTE'!$H$11:$H$262,$M49,'METRADO POR AMBIENTE'!$A$11:$A$262,G$10)</f>
        <v/>
      </c>
      <c r="H49" s="17">
        <f>SUMIFS('METRADO POR AMBIENTE'!$G$11:$G$262,'METRADO POR AMBIENTE'!$H$11:$H$262,$M49,'METRADO POR AMBIENTE'!$A$11:$A$262,H$10)</f>
        <v/>
      </c>
      <c r="I49" s="17">
        <f>SUMIFS('METRADO POR AMBIENTE'!$G$11:$G$262,'METRADO POR AMBIENTE'!$H$11:$H$262,$M49,'METRADO POR AMBIENTE'!$A$11:$A$262,I$10)</f>
        <v/>
      </c>
      <c r="J49" s="17">
        <f>SUMIFS('METRADO POR AMBIENTE'!$G$11:$G$262,'METRADO POR AMBIENTE'!$H$11:$H$262,$M49,'METRADO POR AMBIENTE'!$A$11:$A$262,J$10)</f>
        <v/>
      </c>
      <c r="K49" s="17">
        <f>SUMIFS('METRADO POR AMBIENTE'!$G$11:$G$262,'METRADO POR AMBIENTE'!$H$11:$H$262,$M49,'METRADO POR AMBIENTE'!$A$11:$A$262,K$10)</f>
        <v/>
      </c>
      <c r="L49" s="18">
        <f>SUM(C49:K49)</f>
        <v/>
      </c>
      <c r="M49" s="15" t="inlineStr">
        <is>
          <t>M51</t>
        </is>
      </c>
    </row>
    <row r="50">
      <c r="A50" s="10" t="inlineStr">
        <is>
          <t>M52</t>
        </is>
      </c>
      <c r="B50" s="16" t="inlineStr">
        <is>
          <t>ESTANTE DE ACERO INOXIDABLE CON CUATRO DIVISIONES Y BANDEJA 0.60 x 0.60 x 1.80 m</t>
        </is>
      </c>
      <c r="C50" s="17">
        <f>SUMIFS('METRADO POR AMBIENTE'!$G$11:$G$262,'METRADO POR AMBIENTE'!$H$11:$H$262,$M50,'METRADO POR AMBIENTE'!$A$11:$A$262,C$10)</f>
        <v/>
      </c>
      <c r="D50" s="17">
        <f>SUMIFS('METRADO POR AMBIENTE'!$G$11:$G$262,'METRADO POR AMBIENTE'!$H$11:$H$262,$M50,'METRADO POR AMBIENTE'!$A$11:$A$262,D$10)</f>
        <v/>
      </c>
      <c r="E50" s="17">
        <f>SUMIFS('METRADO POR AMBIENTE'!$G$11:$G$262,'METRADO POR AMBIENTE'!$H$11:$H$262,$M50,'METRADO POR AMBIENTE'!$A$11:$A$262,E$10)</f>
        <v/>
      </c>
      <c r="F50" s="17">
        <f>SUMIFS('METRADO POR AMBIENTE'!$G$11:$G$262,'METRADO POR AMBIENTE'!$H$11:$H$262,$M50,'METRADO POR AMBIENTE'!$A$11:$A$262,F$10)</f>
        <v/>
      </c>
      <c r="G50" s="17">
        <f>SUMIFS('METRADO POR AMBIENTE'!$G$11:$G$262,'METRADO POR AMBIENTE'!$H$11:$H$262,$M50,'METRADO POR AMBIENTE'!$A$11:$A$262,G$10)</f>
        <v/>
      </c>
      <c r="H50" s="17">
        <f>SUMIFS('METRADO POR AMBIENTE'!$G$11:$G$262,'METRADO POR AMBIENTE'!$H$11:$H$262,$M50,'METRADO POR AMBIENTE'!$A$11:$A$262,H$10)</f>
        <v/>
      </c>
      <c r="I50" s="17">
        <f>SUMIFS('METRADO POR AMBIENTE'!$G$11:$G$262,'METRADO POR AMBIENTE'!$H$11:$H$262,$M50,'METRADO POR AMBIENTE'!$A$11:$A$262,I$10)</f>
        <v/>
      </c>
      <c r="J50" s="17">
        <f>SUMIFS('METRADO POR AMBIENTE'!$G$11:$G$262,'METRADO POR AMBIENTE'!$H$11:$H$262,$M50,'METRADO POR AMBIENTE'!$A$11:$A$262,J$10)</f>
        <v/>
      </c>
      <c r="K50" s="17">
        <f>SUMIFS('METRADO POR AMBIENTE'!$G$11:$G$262,'METRADO POR AMBIENTE'!$H$11:$H$262,$M50,'METRADO POR AMBIENTE'!$A$11:$A$262,K$10)</f>
        <v/>
      </c>
      <c r="L50" s="18">
        <f>SUM(C50:K50)</f>
        <v/>
      </c>
      <c r="M50" s="15" t="inlineStr">
        <is>
          <t>M52</t>
        </is>
      </c>
    </row>
    <row r="51">
      <c r="A51" s="10" t="inlineStr">
        <is>
          <t>M54</t>
        </is>
      </c>
      <c r="B51" s="16" t="inlineStr">
        <is>
          <t>EXHIBIDOR DE LIBROS DE MELAMINA CON DIVISIONES ESCALONADAS 1.20 x 0.40 x 0.85 m</t>
        </is>
      </c>
      <c r="C51" s="17">
        <f>SUMIFS('METRADO POR AMBIENTE'!$G$11:$G$262,'METRADO POR AMBIENTE'!$H$11:$H$262,$M51,'METRADO POR AMBIENTE'!$A$11:$A$262,C$10)</f>
        <v/>
      </c>
      <c r="D51" s="17">
        <f>SUMIFS('METRADO POR AMBIENTE'!$G$11:$G$262,'METRADO POR AMBIENTE'!$H$11:$H$262,$M51,'METRADO POR AMBIENTE'!$A$11:$A$262,D$10)</f>
        <v/>
      </c>
      <c r="E51" s="17">
        <f>SUMIFS('METRADO POR AMBIENTE'!$G$11:$G$262,'METRADO POR AMBIENTE'!$H$11:$H$262,$M51,'METRADO POR AMBIENTE'!$A$11:$A$262,E$10)</f>
        <v/>
      </c>
      <c r="F51" s="17">
        <f>SUMIFS('METRADO POR AMBIENTE'!$G$11:$G$262,'METRADO POR AMBIENTE'!$H$11:$H$262,$M51,'METRADO POR AMBIENTE'!$A$11:$A$262,F$10)</f>
        <v/>
      </c>
      <c r="G51" s="17">
        <f>SUMIFS('METRADO POR AMBIENTE'!$G$11:$G$262,'METRADO POR AMBIENTE'!$H$11:$H$262,$M51,'METRADO POR AMBIENTE'!$A$11:$A$262,G$10)</f>
        <v/>
      </c>
      <c r="H51" s="17">
        <f>SUMIFS('METRADO POR AMBIENTE'!$G$11:$G$262,'METRADO POR AMBIENTE'!$H$11:$H$262,$M51,'METRADO POR AMBIENTE'!$A$11:$A$262,H$10)</f>
        <v/>
      </c>
      <c r="I51" s="17">
        <f>SUMIFS('METRADO POR AMBIENTE'!$G$11:$G$262,'METRADO POR AMBIENTE'!$H$11:$H$262,$M51,'METRADO POR AMBIENTE'!$A$11:$A$262,I$10)</f>
        <v/>
      </c>
      <c r="J51" s="17">
        <f>SUMIFS('METRADO POR AMBIENTE'!$G$11:$G$262,'METRADO POR AMBIENTE'!$H$11:$H$262,$M51,'METRADO POR AMBIENTE'!$A$11:$A$262,J$10)</f>
        <v/>
      </c>
      <c r="K51" s="17">
        <f>SUMIFS('METRADO POR AMBIENTE'!$G$11:$G$262,'METRADO POR AMBIENTE'!$H$11:$H$262,$M51,'METRADO POR AMBIENTE'!$A$11:$A$262,K$10)</f>
        <v/>
      </c>
      <c r="L51" s="18">
        <f>SUM(C51:K51)</f>
        <v/>
      </c>
      <c r="M51" s="15" t="inlineStr">
        <is>
          <t>M54</t>
        </is>
      </c>
    </row>
    <row r="52">
      <c r="A52" s="10" t="inlineStr">
        <is>
          <t>M56</t>
        </is>
      </c>
      <c r="B52" s="16" t="inlineStr">
        <is>
          <t>MUEBLE BAJO DE MELAMINA PARA GUARDAR MOCHILAS CON DOS DIVISIONES 0.60 x 0.40 x 1.00 m</t>
        </is>
      </c>
      <c r="C52" s="17">
        <f>SUMIFS('METRADO POR AMBIENTE'!$G$11:$G$262,'METRADO POR AMBIENTE'!$H$11:$H$262,$M52,'METRADO POR AMBIENTE'!$A$11:$A$262,C$10)</f>
        <v/>
      </c>
      <c r="D52" s="17">
        <f>SUMIFS('METRADO POR AMBIENTE'!$G$11:$G$262,'METRADO POR AMBIENTE'!$H$11:$H$262,$M52,'METRADO POR AMBIENTE'!$A$11:$A$262,D$10)</f>
        <v/>
      </c>
      <c r="E52" s="17">
        <f>SUMIFS('METRADO POR AMBIENTE'!$G$11:$G$262,'METRADO POR AMBIENTE'!$H$11:$H$262,$M52,'METRADO POR AMBIENTE'!$A$11:$A$262,E$10)</f>
        <v/>
      </c>
      <c r="F52" s="17">
        <f>SUMIFS('METRADO POR AMBIENTE'!$G$11:$G$262,'METRADO POR AMBIENTE'!$H$11:$H$262,$M52,'METRADO POR AMBIENTE'!$A$11:$A$262,F$10)</f>
        <v/>
      </c>
      <c r="G52" s="17">
        <f>SUMIFS('METRADO POR AMBIENTE'!$G$11:$G$262,'METRADO POR AMBIENTE'!$H$11:$H$262,$M52,'METRADO POR AMBIENTE'!$A$11:$A$262,G$10)</f>
        <v/>
      </c>
      <c r="H52" s="17">
        <f>SUMIFS('METRADO POR AMBIENTE'!$G$11:$G$262,'METRADO POR AMBIENTE'!$H$11:$H$262,$M52,'METRADO POR AMBIENTE'!$A$11:$A$262,H$10)</f>
        <v/>
      </c>
      <c r="I52" s="17">
        <f>SUMIFS('METRADO POR AMBIENTE'!$G$11:$G$262,'METRADO POR AMBIENTE'!$H$11:$H$262,$M52,'METRADO POR AMBIENTE'!$A$11:$A$262,I$10)</f>
        <v/>
      </c>
      <c r="J52" s="17">
        <f>SUMIFS('METRADO POR AMBIENTE'!$G$11:$G$262,'METRADO POR AMBIENTE'!$H$11:$H$262,$M52,'METRADO POR AMBIENTE'!$A$11:$A$262,J$10)</f>
        <v/>
      </c>
      <c r="K52" s="17">
        <f>SUMIFS('METRADO POR AMBIENTE'!$G$11:$G$262,'METRADO POR AMBIENTE'!$H$11:$H$262,$M52,'METRADO POR AMBIENTE'!$A$11:$A$262,K$10)</f>
        <v/>
      </c>
      <c r="L52" s="18">
        <f>SUM(C52:K52)</f>
        <v/>
      </c>
      <c r="M52" s="15" t="inlineStr">
        <is>
          <t>M56</t>
        </is>
      </c>
    </row>
    <row r="53">
      <c r="A53" s="10" t="inlineStr">
        <is>
          <t>M57</t>
        </is>
      </c>
      <c r="B53" s="16" t="inlineStr">
        <is>
          <t>MUEBLE BAJO DE MELAMINA CON DOS PUERTAS Y DOS DIVISIONES HORIZONTALES 0.60 x 1.20 x 1.00 m</t>
        </is>
      </c>
      <c r="C53" s="17">
        <f>SUMIFS('METRADO POR AMBIENTE'!$G$11:$G$262,'METRADO POR AMBIENTE'!$H$11:$H$262,$M53,'METRADO POR AMBIENTE'!$A$11:$A$262,C$10)</f>
        <v/>
      </c>
      <c r="D53" s="17">
        <f>SUMIFS('METRADO POR AMBIENTE'!$G$11:$G$262,'METRADO POR AMBIENTE'!$H$11:$H$262,$M53,'METRADO POR AMBIENTE'!$A$11:$A$262,D$10)</f>
        <v/>
      </c>
      <c r="E53" s="17">
        <f>SUMIFS('METRADO POR AMBIENTE'!$G$11:$G$262,'METRADO POR AMBIENTE'!$H$11:$H$262,$M53,'METRADO POR AMBIENTE'!$A$11:$A$262,E$10)</f>
        <v/>
      </c>
      <c r="F53" s="17">
        <f>SUMIFS('METRADO POR AMBIENTE'!$G$11:$G$262,'METRADO POR AMBIENTE'!$H$11:$H$262,$M53,'METRADO POR AMBIENTE'!$A$11:$A$262,F$10)</f>
        <v/>
      </c>
      <c r="G53" s="17">
        <f>SUMIFS('METRADO POR AMBIENTE'!$G$11:$G$262,'METRADO POR AMBIENTE'!$H$11:$H$262,$M53,'METRADO POR AMBIENTE'!$A$11:$A$262,G$10)</f>
        <v/>
      </c>
      <c r="H53" s="17">
        <f>SUMIFS('METRADO POR AMBIENTE'!$G$11:$G$262,'METRADO POR AMBIENTE'!$H$11:$H$262,$M53,'METRADO POR AMBIENTE'!$A$11:$A$262,H$10)</f>
        <v/>
      </c>
      <c r="I53" s="17">
        <f>SUMIFS('METRADO POR AMBIENTE'!$G$11:$G$262,'METRADO POR AMBIENTE'!$H$11:$H$262,$M53,'METRADO POR AMBIENTE'!$A$11:$A$262,I$10)</f>
        <v/>
      </c>
      <c r="J53" s="17">
        <f>SUMIFS('METRADO POR AMBIENTE'!$G$11:$G$262,'METRADO POR AMBIENTE'!$H$11:$H$262,$M53,'METRADO POR AMBIENTE'!$A$11:$A$262,J$10)</f>
        <v/>
      </c>
      <c r="K53" s="17">
        <f>SUMIFS('METRADO POR AMBIENTE'!$G$11:$G$262,'METRADO POR AMBIENTE'!$H$11:$H$262,$M53,'METRADO POR AMBIENTE'!$A$11:$A$262,K$10)</f>
        <v/>
      </c>
      <c r="L53" s="18">
        <f>SUM(C53:K53)</f>
        <v/>
      </c>
      <c r="M53" s="15" t="inlineStr">
        <is>
          <t>M57</t>
        </is>
      </c>
    </row>
    <row r="54">
      <c r="A54" s="10" t="inlineStr">
        <is>
          <t>M60</t>
        </is>
      </c>
      <c r="B54" s="16" t="inlineStr">
        <is>
          <t>PAPELERA DE PLÁSTICO CON PEDAL</t>
        </is>
      </c>
      <c r="C54" s="17">
        <f>SUMIFS('METRADO POR AMBIENTE'!$G$11:$G$262,'METRADO POR AMBIENTE'!$H$11:$H$262,$M54,'METRADO POR AMBIENTE'!$A$11:$A$262,C$10)</f>
        <v/>
      </c>
      <c r="D54" s="17">
        <f>SUMIFS('METRADO POR AMBIENTE'!$G$11:$G$262,'METRADO POR AMBIENTE'!$H$11:$H$262,$M54,'METRADO POR AMBIENTE'!$A$11:$A$262,D$10)</f>
        <v/>
      </c>
      <c r="E54" s="17">
        <f>SUMIFS('METRADO POR AMBIENTE'!$G$11:$G$262,'METRADO POR AMBIENTE'!$H$11:$H$262,$M54,'METRADO POR AMBIENTE'!$A$11:$A$262,E$10)</f>
        <v/>
      </c>
      <c r="F54" s="17">
        <f>SUMIFS('METRADO POR AMBIENTE'!$G$11:$G$262,'METRADO POR AMBIENTE'!$H$11:$H$262,$M54,'METRADO POR AMBIENTE'!$A$11:$A$262,F$10)</f>
        <v/>
      </c>
      <c r="G54" s="17">
        <f>SUMIFS('METRADO POR AMBIENTE'!$G$11:$G$262,'METRADO POR AMBIENTE'!$H$11:$H$262,$M54,'METRADO POR AMBIENTE'!$A$11:$A$262,G$10)</f>
        <v/>
      </c>
      <c r="H54" s="17">
        <f>SUMIFS('METRADO POR AMBIENTE'!$G$11:$G$262,'METRADO POR AMBIENTE'!$H$11:$H$262,$M54,'METRADO POR AMBIENTE'!$A$11:$A$262,H$10)</f>
        <v/>
      </c>
      <c r="I54" s="17">
        <f>SUMIFS('METRADO POR AMBIENTE'!$G$11:$G$262,'METRADO POR AMBIENTE'!$H$11:$H$262,$M54,'METRADO POR AMBIENTE'!$A$11:$A$262,I$10)</f>
        <v/>
      </c>
      <c r="J54" s="17">
        <f>SUMIFS('METRADO POR AMBIENTE'!$G$11:$G$262,'METRADO POR AMBIENTE'!$H$11:$H$262,$M54,'METRADO POR AMBIENTE'!$A$11:$A$262,J$10)</f>
        <v/>
      </c>
      <c r="K54" s="17">
        <f>SUMIFS('METRADO POR AMBIENTE'!$G$11:$G$262,'METRADO POR AMBIENTE'!$H$11:$H$262,$M54,'METRADO POR AMBIENTE'!$A$11:$A$262,K$10)</f>
        <v/>
      </c>
      <c r="L54" s="18">
        <f>SUM(C54:K54)</f>
        <v/>
      </c>
      <c r="M54" s="15" t="inlineStr">
        <is>
          <t>M60</t>
        </is>
      </c>
    </row>
    <row r="55">
      <c r="A55" s="10" t="inlineStr">
        <is>
          <t>M61</t>
        </is>
      </c>
      <c r="B55" s="16" t="inlineStr">
        <is>
          <t>VELADOR DE MADERA 0.45 x 0.50 m</t>
        </is>
      </c>
      <c r="C55" s="17">
        <f>SUMIFS('METRADO POR AMBIENTE'!$G$11:$G$262,'METRADO POR AMBIENTE'!$H$11:$H$262,$M55,'METRADO POR AMBIENTE'!$A$11:$A$262,C$10)</f>
        <v/>
      </c>
      <c r="D55" s="17">
        <f>SUMIFS('METRADO POR AMBIENTE'!$G$11:$G$262,'METRADO POR AMBIENTE'!$H$11:$H$262,$M55,'METRADO POR AMBIENTE'!$A$11:$A$262,D$10)</f>
        <v/>
      </c>
      <c r="E55" s="17">
        <f>SUMIFS('METRADO POR AMBIENTE'!$G$11:$G$262,'METRADO POR AMBIENTE'!$H$11:$H$262,$M55,'METRADO POR AMBIENTE'!$A$11:$A$262,E$10)</f>
        <v/>
      </c>
      <c r="F55" s="17">
        <f>SUMIFS('METRADO POR AMBIENTE'!$G$11:$G$262,'METRADO POR AMBIENTE'!$H$11:$H$262,$M55,'METRADO POR AMBIENTE'!$A$11:$A$262,F$10)</f>
        <v/>
      </c>
      <c r="G55" s="17">
        <f>SUMIFS('METRADO POR AMBIENTE'!$G$11:$G$262,'METRADO POR AMBIENTE'!$H$11:$H$262,$M55,'METRADO POR AMBIENTE'!$A$11:$A$262,G$10)</f>
        <v/>
      </c>
      <c r="H55" s="17">
        <f>SUMIFS('METRADO POR AMBIENTE'!$G$11:$G$262,'METRADO POR AMBIENTE'!$H$11:$H$262,$M55,'METRADO POR AMBIENTE'!$A$11:$A$262,H$10)</f>
        <v/>
      </c>
      <c r="I55" s="17">
        <f>SUMIFS('METRADO POR AMBIENTE'!$G$11:$G$262,'METRADO POR AMBIENTE'!$H$11:$H$262,$M55,'METRADO POR AMBIENTE'!$A$11:$A$262,I$10)</f>
        <v/>
      </c>
      <c r="J55" s="17">
        <f>SUMIFS('METRADO POR AMBIENTE'!$G$11:$G$262,'METRADO POR AMBIENTE'!$H$11:$H$262,$M55,'METRADO POR AMBIENTE'!$A$11:$A$262,J$10)</f>
        <v/>
      </c>
      <c r="K55" s="17">
        <f>SUMIFS('METRADO POR AMBIENTE'!$G$11:$G$262,'METRADO POR AMBIENTE'!$H$11:$H$262,$M55,'METRADO POR AMBIENTE'!$A$11:$A$262,K$10)</f>
        <v/>
      </c>
      <c r="L55" s="18">
        <f>SUM(C55:K55)</f>
        <v/>
      </c>
      <c r="M55" s="15" t="inlineStr">
        <is>
          <t>M61</t>
        </is>
      </c>
    </row>
    <row r="56">
      <c r="A56" s="10" t="inlineStr">
        <is>
          <t>M62</t>
        </is>
      </c>
      <c r="B56" s="16" t="inlineStr">
        <is>
          <t>CESTO BOTA PAPELES DE ACERO CON PEDAL</t>
        </is>
      </c>
      <c r="C56" s="17">
        <f>SUMIFS('METRADO POR AMBIENTE'!$G$11:$G$262,'METRADO POR AMBIENTE'!$H$11:$H$262,$M56,'METRADO POR AMBIENTE'!$A$11:$A$262,C$10)</f>
        <v/>
      </c>
      <c r="D56" s="17">
        <f>SUMIFS('METRADO POR AMBIENTE'!$G$11:$G$262,'METRADO POR AMBIENTE'!$H$11:$H$262,$M56,'METRADO POR AMBIENTE'!$A$11:$A$262,D$10)</f>
        <v/>
      </c>
      <c r="E56" s="17">
        <f>SUMIFS('METRADO POR AMBIENTE'!$G$11:$G$262,'METRADO POR AMBIENTE'!$H$11:$H$262,$M56,'METRADO POR AMBIENTE'!$A$11:$A$262,E$10)</f>
        <v/>
      </c>
      <c r="F56" s="17">
        <f>SUMIFS('METRADO POR AMBIENTE'!$G$11:$G$262,'METRADO POR AMBIENTE'!$H$11:$H$262,$M56,'METRADO POR AMBIENTE'!$A$11:$A$262,F$10)</f>
        <v/>
      </c>
      <c r="G56" s="17">
        <f>SUMIFS('METRADO POR AMBIENTE'!$G$11:$G$262,'METRADO POR AMBIENTE'!$H$11:$H$262,$M56,'METRADO POR AMBIENTE'!$A$11:$A$262,G$10)</f>
        <v/>
      </c>
      <c r="H56" s="17">
        <f>SUMIFS('METRADO POR AMBIENTE'!$G$11:$G$262,'METRADO POR AMBIENTE'!$H$11:$H$262,$M56,'METRADO POR AMBIENTE'!$A$11:$A$262,H$10)</f>
        <v/>
      </c>
      <c r="I56" s="17">
        <f>SUMIFS('METRADO POR AMBIENTE'!$G$11:$G$262,'METRADO POR AMBIENTE'!$H$11:$H$262,$M56,'METRADO POR AMBIENTE'!$A$11:$A$262,I$10)</f>
        <v/>
      </c>
      <c r="J56" s="17">
        <f>SUMIFS('METRADO POR AMBIENTE'!$G$11:$G$262,'METRADO POR AMBIENTE'!$H$11:$H$262,$M56,'METRADO POR AMBIENTE'!$A$11:$A$262,J$10)</f>
        <v/>
      </c>
      <c r="K56" s="17">
        <f>SUMIFS('METRADO POR AMBIENTE'!$G$11:$G$262,'METRADO POR AMBIENTE'!$H$11:$H$262,$M56,'METRADO POR AMBIENTE'!$A$11:$A$262,K$10)</f>
        <v/>
      </c>
      <c r="L56" s="18">
        <f>SUM(C56:K56)</f>
        <v/>
      </c>
      <c r="M56" s="15" t="inlineStr">
        <is>
          <t>M62</t>
        </is>
      </c>
    </row>
    <row r="57">
      <c r="A57" s="10" t="inlineStr">
        <is>
          <t>M63</t>
        </is>
      </c>
      <c r="B57" s="16" t="inlineStr">
        <is>
          <t>SOFÁ DE 3 CUERPOS 0.55 x 1.50 x 0.44 m</t>
        </is>
      </c>
      <c r="C57" s="17">
        <f>SUMIFS('METRADO POR AMBIENTE'!$G$11:$G$262,'METRADO POR AMBIENTE'!$H$11:$H$262,$M57,'METRADO POR AMBIENTE'!$A$11:$A$262,C$10)</f>
        <v/>
      </c>
      <c r="D57" s="17">
        <f>SUMIFS('METRADO POR AMBIENTE'!$G$11:$G$262,'METRADO POR AMBIENTE'!$H$11:$H$262,$M57,'METRADO POR AMBIENTE'!$A$11:$A$262,D$10)</f>
        <v/>
      </c>
      <c r="E57" s="17">
        <f>SUMIFS('METRADO POR AMBIENTE'!$G$11:$G$262,'METRADO POR AMBIENTE'!$H$11:$H$262,$M57,'METRADO POR AMBIENTE'!$A$11:$A$262,E$10)</f>
        <v/>
      </c>
      <c r="F57" s="17">
        <f>SUMIFS('METRADO POR AMBIENTE'!$G$11:$G$262,'METRADO POR AMBIENTE'!$H$11:$H$262,$M57,'METRADO POR AMBIENTE'!$A$11:$A$262,F$10)</f>
        <v/>
      </c>
      <c r="G57" s="17">
        <f>SUMIFS('METRADO POR AMBIENTE'!$G$11:$G$262,'METRADO POR AMBIENTE'!$H$11:$H$262,$M57,'METRADO POR AMBIENTE'!$A$11:$A$262,G$10)</f>
        <v/>
      </c>
      <c r="H57" s="17">
        <f>SUMIFS('METRADO POR AMBIENTE'!$G$11:$G$262,'METRADO POR AMBIENTE'!$H$11:$H$262,$M57,'METRADO POR AMBIENTE'!$A$11:$A$262,H$10)</f>
        <v/>
      </c>
      <c r="I57" s="17">
        <f>SUMIFS('METRADO POR AMBIENTE'!$G$11:$G$262,'METRADO POR AMBIENTE'!$H$11:$H$262,$M57,'METRADO POR AMBIENTE'!$A$11:$A$262,I$10)</f>
        <v/>
      </c>
      <c r="J57" s="17">
        <f>SUMIFS('METRADO POR AMBIENTE'!$G$11:$G$262,'METRADO POR AMBIENTE'!$H$11:$H$262,$M57,'METRADO POR AMBIENTE'!$A$11:$A$262,J$10)</f>
        <v/>
      </c>
      <c r="K57" s="17">
        <f>SUMIFS('METRADO POR AMBIENTE'!$G$11:$G$262,'METRADO POR AMBIENTE'!$H$11:$H$262,$M57,'METRADO POR AMBIENTE'!$A$11:$A$262,K$10)</f>
        <v/>
      </c>
      <c r="L57" s="18">
        <f>SUM(C57:K57)</f>
        <v/>
      </c>
      <c r="M57" s="15" t="inlineStr">
        <is>
          <t>M63</t>
        </is>
      </c>
    </row>
    <row r="58">
      <c r="A58" s="10" t="inlineStr">
        <is>
          <t>M64</t>
        </is>
      </c>
      <c r="B58" s="16" t="inlineStr">
        <is>
          <t>CAMAROTE DE UNA PLAZA Y MEDIA, INCLUYE COLCHÓN</t>
        </is>
      </c>
      <c r="C58" s="17">
        <f>SUMIFS('METRADO POR AMBIENTE'!$G$11:$G$262,'METRADO POR AMBIENTE'!$H$11:$H$262,$M58,'METRADO POR AMBIENTE'!$A$11:$A$262,C$10)</f>
        <v/>
      </c>
      <c r="D58" s="17">
        <f>SUMIFS('METRADO POR AMBIENTE'!$G$11:$G$262,'METRADO POR AMBIENTE'!$H$11:$H$262,$M58,'METRADO POR AMBIENTE'!$A$11:$A$262,D$10)</f>
        <v/>
      </c>
      <c r="E58" s="17">
        <f>SUMIFS('METRADO POR AMBIENTE'!$G$11:$G$262,'METRADO POR AMBIENTE'!$H$11:$H$262,$M58,'METRADO POR AMBIENTE'!$A$11:$A$262,E$10)</f>
        <v/>
      </c>
      <c r="F58" s="17">
        <f>SUMIFS('METRADO POR AMBIENTE'!$G$11:$G$262,'METRADO POR AMBIENTE'!$H$11:$H$262,$M58,'METRADO POR AMBIENTE'!$A$11:$A$262,F$10)</f>
        <v/>
      </c>
      <c r="G58" s="17">
        <f>SUMIFS('METRADO POR AMBIENTE'!$G$11:$G$262,'METRADO POR AMBIENTE'!$H$11:$H$262,$M58,'METRADO POR AMBIENTE'!$A$11:$A$262,G$10)</f>
        <v/>
      </c>
      <c r="H58" s="17">
        <f>SUMIFS('METRADO POR AMBIENTE'!$G$11:$G$262,'METRADO POR AMBIENTE'!$H$11:$H$262,$M58,'METRADO POR AMBIENTE'!$A$11:$A$262,H$10)</f>
        <v/>
      </c>
      <c r="I58" s="17">
        <f>SUMIFS('METRADO POR AMBIENTE'!$G$11:$G$262,'METRADO POR AMBIENTE'!$H$11:$H$262,$M58,'METRADO POR AMBIENTE'!$A$11:$A$262,I$10)</f>
        <v/>
      </c>
      <c r="J58" s="17">
        <f>SUMIFS('METRADO POR AMBIENTE'!$G$11:$G$262,'METRADO POR AMBIENTE'!$H$11:$H$262,$M58,'METRADO POR AMBIENTE'!$A$11:$A$262,J$10)</f>
        <v/>
      </c>
      <c r="K58" s="17">
        <f>SUMIFS('METRADO POR AMBIENTE'!$G$11:$G$262,'METRADO POR AMBIENTE'!$H$11:$H$262,$M58,'METRADO POR AMBIENTE'!$A$11:$A$262,K$10)</f>
        <v/>
      </c>
      <c r="L58" s="18">
        <f>SUM(C58:K58)</f>
        <v/>
      </c>
      <c r="M58" s="15" t="inlineStr">
        <is>
          <t>M64</t>
        </is>
      </c>
    </row>
    <row r="59">
      <c r="A59" s="10" t="inlineStr">
        <is>
          <t>M64</t>
        </is>
      </c>
      <c r="B59" s="16" t="inlineStr">
        <is>
          <t>CANASTILLA MÓVIL CON RUEDAS PARA PELOTAS 1.00 x 0.80 x 1.00 m</t>
        </is>
      </c>
      <c r="C59" s="17">
        <f>SUMIFS('METRADO POR AMBIENTE'!$G$11:$G$262,'METRADO POR AMBIENTE'!$H$11:$H$262,$M59,'METRADO POR AMBIENTE'!$A$11:$A$262,C$10)</f>
        <v/>
      </c>
      <c r="D59" s="17">
        <f>SUMIFS('METRADO POR AMBIENTE'!$G$11:$G$262,'METRADO POR AMBIENTE'!$H$11:$H$262,$M59,'METRADO POR AMBIENTE'!$A$11:$A$262,D$10)</f>
        <v/>
      </c>
      <c r="E59" s="17">
        <f>SUMIFS('METRADO POR AMBIENTE'!$G$11:$G$262,'METRADO POR AMBIENTE'!$H$11:$H$262,$M59,'METRADO POR AMBIENTE'!$A$11:$A$262,E$10)</f>
        <v/>
      </c>
      <c r="F59" s="17">
        <f>SUMIFS('METRADO POR AMBIENTE'!$G$11:$G$262,'METRADO POR AMBIENTE'!$H$11:$H$262,$M59,'METRADO POR AMBIENTE'!$A$11:$A$262,F$10)</f>
        <v/>
      </c>
      <c r="G59" s="17">
        <f>SUMIFS('METRADO POR AMBIENTE'!$G$11:$G$262,'METRADO POR AMBIENTE'!$H$11:$H$262,$M59,'METRADO POR AMBIENTE'!$A$11:$A$262,G$10)</f>
        <v/>
      </c>
      <c r="H59" s="17">
        <f>SUMIFS('METRADO POR AMBIENTE'!$G$11:$G$262,'METRADO POR AMBIENTE'!$H$11:$H$262,$M59,'METRADO POR AMBIENTE'!$A$11:$A$262,H$10)</f>
        <v/>
      </c>
      <c r="I59" s="17">
        <f>SUMIFS('METRADO POR AMBIENTE'!$G$11:$G$262,'METRADO POR AMBIENTE'!$H$11:$H$262,$M59,'METRADO POR AMBIENTE'!$A$11:$A$262,I$10)</f>
        <v/>
      </c>
      <c r="J59" s="17">
        <f>SUMIFS('METRADO POR AMBIENTE'!$G$11:$G$262,'METRADO POR AMBIENTE'!$H$11:$H$262,$M59,'METRADO POR AMBIENTE'!$A$11:$A$262,J$10)</f>
        <v/>
      </c>
      <c r="K59" s="17">
        <f>SUMIFS('METRADO POR AMBIENTE'!$G$11:$G$262,'METRADO POR AMBIENTE'!$H$11:$H$262,$M59,'METRADO POR AMBIENTE'!$A$11:$A$262,K$10)</f>
        <v/>
      </c>
      <c r="L59" s="18">
        <f>SUM(C59:K59)</f>
        <v/>
      </c>
      <c r="M59" s="15" t="inlineStr">
        <is>
          <t>M64-C</t>
        </is>
      </c>
    </row>
    <row r="60">
      <c r="A60" s="10" t="inlineStr">
        <is>
          <t>M65</t>
        </is>
      </c>
      <c r="B60" s="16" t="inlineStr">
        <is>
          <t>CAMILLA METÁLICA RECLINABLE CON RESPALDO Y RUEDAS 1.80 x 0.60 x 0.70 m</t>
        </is>
      </c>
      <c r="C60" s="17">
        <f>SUMIFS('METRADO POR AMBIENTE'!$G$11:$G$262,'METRADO POR AMBIENTE'!$H$11:$H$262,$M60,'METRADO POR AMBIENTE'!$A$11:$A$262,C$10)</f>
        <v/>
      </c>
      <c r="D60" s="17">
        <f>SUMIFS('METRADO POR AMBIENTE'!$G$11:$G$262,'METRADO POR AMBIENTE'!$H$11:$H$262,$M60,'METRADO POR AMBIENTE'!$A$11:$A$262,D$10)</f>
        <v/>
      </c>
      <c r="E60" s="17">
        <f>SUMIFS('METRADO POR AMBIENTE'!$G$11:$G$262,'METRADO POR AMBIENTE'!$H$11:$H$262,$M60,'METRADO POR AMBIENTE'!$A$11:$A$262,E$10)</f>
        <v/>
      </c>
      <c r="F60" s="17">
        <f>SUMIFS('METRADO POR AMBIENTE'!$G$11:$G$262,'METRADO POR AMBIENTE'!$H$11:$H$262,$M60,'METRADO POR AMBIENTE'!$A$11:$A$262,F$10)</f>
        <v/>
      </c>
      <c r="G60" s="17">
        <f>SUMIFS('METRADO POR AMBIENTE'!$G$11:$G$262,'METRADO POR AMBIENTE'!$H$11:$H$262,$M60,'METRADO POR AMBIENTE'!$A$11:$A$262,G$10)</f>
        <v/>
      </c>
      <c r="H60" s="17">
        <f>SUMIFS('METRADO POR AMBIENTE'!$G$11:$G$262,'METRADO POR AMBIENTE'!$H$11:$H$262,$M60,'METRADO POR AMBIENTE'!$A$11:$A$262,H$10)</f>
        <v/>
      </c>
      <c r="I60" s="17">
        <f>SUMIFS('METRADO POR AMBIENTE'!$G$11:$G$262,'METRADO POR AMBIENTE'!$H$11:$H$262,$M60,'METRADO POR AMBIENTE'!$A$11:$A$262,I$10)</f>
        <v/>
      </c>
      <c r="J60" s="17">
        <f>SUMIFS('METRADO POR AMBIENTE'!$G$11:$G$262,'METRADO POR AMBIENTE'!$H$11:$H$262,$M60,'METRADO POR AMBIENTE'!$A$11:$A$262,J$10)</f>
        <v/>
      </c>
      <c r="K60" s="17">
        <f>SUMIFS('METRADO POR AMBIENTE'!$G$11:$G$262,'METRADO POR AMBIENTE'!$H$11:$H$262,$M60,'METRADO POR AMBIENTE'!$A$11:$A$262,K$10)</f>
        <v/>
      </c>
      <c r="L60" s="18">
        <f>SUM(C60:K60)</f>
        <v/>
      </c>
      <c r="M60" s="15" t="inlineStr">
        <is>
          <t>M65</t>
        </is>
      </c>
    </row>
    <row r="61">
      <c r="A61" s="10" t="inlineStr">
        <is>
          <t>M67</t>
        </is>
      </c>
      <c r="B61" s="16" t="inlineStr">
        <is>
          <t>ESCALERA METÁLICA DE DOS PELDAÑOS 0.40 x 0.40 x 0.36 m</t>
        </is>
      </c>
      <c r="C61" s="17">
        <f>SUMIFS('METRADO POR AMBIENTE'!$G$11:$G$262,'METRADO POR AMBIENTE'!$H$11:$H$262,$M61,'METRADO POR AMBIENTE'!$A$11:$A$262,C$10)</f>
        <v/>
      </c>
      <c r="D61" s="17">
        <f>SUMIFS('METRADO POR AMBIENTE'!$G$11:$G$262,'METRADO POR AMBIENTE'!$H$11:$H$262,$M61,'METRADO POR AMBIENTE'!$A$11:$A$262,D$10)</f>
        <v/>
      </c>
      <c r="E61" s="17">
        <f>SUMIFS('METRADO POR AMBIENTE'!$G$11:$G$262,'METRADO POR AMBIENTE'!$H$11:$H$262,$M61,'METRADO POR AMBIENTE'!$A$11:$A$262,E$10)</f>
        <v/>
      </c>
      <c r="F61" s="17">
        <f>SUMIFS('METRADO POR AMBIENTE'!$G$11:$G$262,'METRADO POR AMBIENTE'!$H$11:$H$262,$M61,'METRADO POR AMBIENTE'!$A$11:$A$262,F$10)</f>
        <v/>
      </c>
      <c r="G61" s="17">
        <f>SUMIFS('METRADO POR AMBIENTE'!$G$11:$G$262,'METRADO POR AMBIENTE'!$H$11:$H$262,$M61,'METRADO POR AMBIENTE'!$A$11:$A$262,G$10)</f>
        <v/>
      </c>
      <c r="H61" s="17">
        <f>SUMIFS('METRADO POR AMBIENTE'!$G$11:$G$262,'METRADO POR AMBIENTE'!$H$11:$H$262,$M61,'METRADO POR AMBIENTE'!$A$11:$A$262,H$10)</f>
        <v/>
      </c>
      <c r="I61" s="17">
        <f>SUMIFS('METRADO POR AMBIENTE'!$G$11:$G$262,'METRADO POR AMBIENTE'!$H$11:$H$262,$M61,'METRADO POR AMBIENTE'!$A$11:$A$262,I$10)</f>
        <v/>
      </c>
      <c r="J61" s="17">
        <f>SUMIFS('METRADO POR AMBIENTE'!$G$11:$G$262,'METRADO POR AMBIENTE'!$H$11:$H$262,$M61,'METRADO POR AMBIENTE'!$A$11:$A$262,J$10)</f>
        <v/>
      </c>
      <c r="K61" s="17">
        <f>SUMIFS('METRADO POR AMBIENTE'!$G$11:$G$262,'METRADO POR AMBIENTE'!$H$11:$H$262,$M61,'METRADO POR AMBIENTE'!$A$11:$A$262,K$10)</f>
        <v/>
      </c>
      <c r="L61" s="18">
        <f>SUM(C61:K61)</f>
        <v/>
      </c>
      <c r="M61" s="15" t="inlineStr">
        <is>
          <t>M67</t>
        </is>
      </c>
    </row>
    <row r="62">
      <c r="A62" s="10" t="inlineStr">
        <is>
          <t>M68</t>
        </is>
      </c>
      <c r="B62" s="16" t="inlineStr">
        <is>
          <t>PARIHUELA DE MADERA 0.90 x 0.50 x 0.20 m</t>
        </is>
      </c>
      <c r="C62" s="17">
        <f>SUMIFS('METRADO POR AMBIENTE'!$G$11:$G$262,'METRADO POR AMBIENTE'!$H$11:$H$262,$M62,'METRADO POR AMBIENTE'!$A$11:$A$262,C$10)</f>
        <v/>
      </c>
      <c r="D62" s="17">
        <f>SUMIFS('METRADO POR AMBIENTE'!$G$11:$G$262,'METRADO POR AMBIENTE'!$H$11:$H$262,$M62,'METRADO POR AMBIENTE'!$A$11:$A$262,D$10)</f>
        <v/>
      </c>
      <c r="E62" s="17">
        <f>SUMIFS('METRADO POR AMBIENTE'!$G$11:$G$262,'METRADO POR AMBIENTE'!$H$11:$H$262,$M62,'METRADO POR AMBIENTE'!$A$11:$A$262,E$10)</f>
        <v/>
      </c>
      <c r="F62" s="17">
        <f>SUMIFS('METRADO POR AMBIENTE'!$G$11:$G$262,'METRADO POR AMBIENTE'!$H$11:$H$262,$M62,'METRADO POR AMBIENTE'!$A$11:$A$262,F$10)</f>
        <v/>
      </c>
      <c r="G62" s="17">
        <f>SUMIFS('METRADO POR AMBIENTE'!$G$11:$G$262,'METRADO POR AMBIENTE'!$H$11:$H$262,$M62,'METRADO POR AMBIENTE'!$A$11:$A$262,G$10)</f>
        <v/>
      </c>
      <c r="H62" s="17">
        <f>SUMIFS('METRADO POR AMBIENTE'!$G$11:$G$262,'METRADO POR AMBIENTE'!$H$11:$H$262,$M62,'METRADO POR AMBIENTE'!$A$11:$A$262,H$10)</f>
        <v/>
      </c>
      <c r="I62" s="17">
        <f>SUMIFS('METRADO POR AMBIENTE'!$G$11:$G$262,'METRADO POR AMBIENTE'!$H$11:$H$262,$M62,'METRADO POR AMBIENTE'!$A$11:$A$262,I$10)</f>
        <v/>
      </c>
      <c r="J62" s="17">
        <f>SUMIFS('METRADO POR AMBIENTE'!$G$11:$G$262,'METRADO POR AMBIENTE'!$H$11:$H$262,$M62,'METRADO POR AMBIENTE'!$A$11:$A$262,J$10)</f>
        <v/>
      </c>
      <c r="K62" s="17">
        <f>SUMIFS('METRADO POR AMBIENTE'!$G$11:$G$262,'METRADO POR AMBIENTE'!$H$11:$H$262,$M62,'METRADO POR AMBIENTE'!$A$11:$A$262,K$10)</f>
        <v/>
      </c>
      <c r="L62" s="18">
        <f>SUM(C62:K62)</f>
        <v/>
      </c>
      <c r="M62" s="15" t="inlineStr">
        <is>
          <t>M68</t>
        </is>
      </c>
    </row>
    <row r="63">
      <c r="A63" s="10" t="inlineStr">
        <is>
          <t>M69</t>
        </is>
      </c>
      <c r="B63" s="16" t="inlineStr">
        <is>
          <t>PIZARRA ACRÍLICA 4.20 x 1.20 m, INCLUYE ACCESORIOS DE FIJACIÓN</t>
        </is>
      </c>
      <c r="C63" s="17">
        <f>SUMIFS('METRADO POR AMBIENTE'!$G$11:$G$262,'METRADO POR AMBIENTE'!$H$11:$H$262,$M63,'METRADO POR AMBIENTE'!$A$11:$A$262,C$10)</f>
        <v/>
      </c>
      <c r="D63" s="17">
        <f>SUMIFS('METRADO POR AMBIENTE'!$G$11:$G$262,'METRADO POR AMBIENTE'!$H$11:$H$262,$M63,'METRADO POR AMBIENTE'!$A$11:$A$262,D$10)</f>
        <v/>
      </c>
      <c r="E63" s="17">
        <f>SUMIFS('METRADO POR AMBIENTE'!$G$11:$G$262,'METRADO POR AMBIENTE'!$H$11:$H$262,$M63,'METRADO POR AMBIENTE'!$A$11:$A$262,E$10)</f>
        <v/>
      </c>
      <c r="F63" s="17">
        <f>SUMIFS('METRADO POR AMBIENTE'!$G$11:$G$262,'METRADO POR AMBIENTE'!$H$11:$H$262,$M63,'METRADO POR AMBIENTE'!$A$11:$A$262,F$10)</f>
        <v/>
      </c>
      <c r="G63" s="17">
        <f>SUMIFS('METRADO POR AMBIENTE'!$G$11:$G$262,'METRADO POR AMBIENTE'!$H$11:$H$262,$M63,'METRADO POR AMBIENTE'!$A$11:$A$262,G$10)</f>
        <v/>
      </c>
      <c r="H63" s="17">
        <f>SUMIFS('METRADO POR AMBIENTE'!$G$11:$G$262,'METRADO POR AMBIENTE'!$H$11:$H$262,$M63,'METRADO POR AMBIENTE'!$A$11:$A$262,H$10)</f>
        <v/>
      </c>
      <c r="I63" s="17">
        <f>SUMIFS('METRADO POR AMBIENTE'!$G$11:$G$262,'METRADO POR AMBIENTE'!$H$11:$H$262,$M63,'METRADO POR AMBIENTE'!$A$11:$A$262,I$10)</f>
        <v/>
      </c>
      <c r="J63" s="17">
        <f>SUMIFS('METRADO POR AMBIENTE'!$G$11:$G$262,'METRADO POR AMBIENTE'!$H$11:$H$262,$M63,'METRADO POR AMBIENTE'!$A$11:$A$262,J$10)</f>
        <v/>
      </c>
      <c r="K63" s="17">
        <f>SUMIFS('METRADO POR AMBIENTE'!$G$11:$G$262,'METRADO POR AMBIENTE'!$H$11:$H$262,$M63,'METRADO POR AMBIENTE'!$A$11:$A$262,K$10)</f>
        <v/>
      </c>
      <c r="L63" s="18">
        <f>SUM(C63:K63)</f>
        <v/>
      </c>
      <c r="M63" s="15" t="inlineStr">
        <is>
          <t>M69</t>
        </is>
      </c>
    </row>
    <row r="64">
      <c r="A64" s="10" t="inlineStr">
        <is>
          <t>M70</t>
        </is>
      </c>
      <c r="B64" s="16" t="inlineStr">
        <is>
          <t>BOTIQUÍN DE MADERA DE PRIMEROS AUXILIOS CON DOS DIVISIONES Y UNA PUERTA 0.30 x 0.15 x 0.40 m, INCLUYE MEDICAMENTOS</t>
        </is>
      </c>
      <c r="C64" s="17">
        <f>SUMIFS('METRADO POR AMBIENTE'!$G$11:$G$262,'METRADO POR AMBIENTE'!$H$11:$H$262,$M64,'METRADO POR AMBIENTE'!$A$11:$A$262,C$10)</f>
        <v/>
      </c>
      <c r="D64" s="17">
        <f>SUMIFS('METRADO POR AMBIENTE'!$G$11:$G$262,'METRADO POR AMBIENTE'!$H$11:$H$262,$M64,'METRADO POR AMBIENTE'!$A$11:$A$262,D$10)</f>
        <v/>
      </c>
      <c r="E64" s="17">
        <f>SUMIFS('METRADO POR AMBIENTE'!$G$11:$G$262,'METRADO POR AMBIENTE'!$H$11:$H$262,$M64,'METRADO POR AMBIENTE'!$A$11:$A$262,E$10)</f>
        <v/>
      </c>
      <c r="F64" s="17">
        <f>SUMIFS('METRADO POR AMBIENTE'!$G$11:$G$262,'METRADO POR AMBIENTE'!$H$11:$H$262,$M64,'METRADO POR AMBIENTE'!$A$11:$A$262,F$10)</f>
        <v/>
      </c>
      <c r="G64" s="17">
        <f>SUMIFS('METRADO POR AMBIENTE'!$G$11:$G$262,'METRADO POR AMBIENTE'!$H$11:$H$262,$M64,'METRADO POR AMBIENTE'!$A$11:$A$262,G$10)</f>
        <v/>
      </c>
      <c r="H64" s="17">
        <f>SUMIFS('METRADO POR AMBIENTE'!$G$11:$G$262,'METRADO POR AMBIENTE'!$H$11:$H$262,$M64,'METRADO POR AMBIENTE'!$A$11:$A$262,H$10)</f>
        <v/>
      </c>
      <c r="I64" s="17">
        <f>SUMIFS('METRADO POR AMBIENTE'!$G$11:$G$262,'METRADO POR AMBIENTE'!$H$11:$H$262,$M64,'METRADO POR AMBIENTE'!$A$11:$A$262,I$10)</f>
        <v/>
      </c>
      <c r="J64" s="17">
        <f>SUMIFS('METRADO POR AMBIENTE'!$G$11:$G$262,'METRADO POR AMBIENTE'!$H$11:$H$262,$M64,'METRADO POR AMBIENTE'!$A$11:$A$262,J$10)</f>
        <v/>
      </c>
      <c r="K64" s="17">
        <f>SUMIFS('METRADO POR AMBIENTE'!$G$11:$G$262,'METRADO POR AMBIENTE'!$H$11:$H$262,$M64,'METRADO POR AMBIENTE'!$A$11:$A$262,K$10)</f>
        <v/>
      </c>
      <c r="L64" s="18">
        <f>SUM(C64:K64)</f>
        <v/>
      </c>
      <c r="M64" s="15" t="inlineStr">
        <is>
          <t>M70</t>
        </is>
      </c>
    </row>
    <row r="65">
      <c r="A65" s="10" t="inlineStr">
        <is>
          <t>M71</t>
        </is>
      </c>
      <c r="B65" s="16" t="inlineStr">
        <is>
          <t>COCHE MULTIUSOS MÓVIL DE ACERO INOXIDABLE 0.80 x 0.40 x 0.90 m</t>
        </is>
      </c>
      <c r="C65" s="17">
        <f>SUMIFS('METRADO POR AMBIENTE'!$G$11:$G$262,'METRADO POR AMBIENTE'!$H$11:$H$262,$M65,'METRADO POR AMBIENTE'!$A$11:$A$262,C$10)</f>
        <v/>
      </c>
      <c r="D65" s="17">
        <f>SUMIFS('METRADO POR AMBIENTE'!$G$11:$G$262,'METRADO POR AMBIENTE'!$H$11:$H$262,$M65,'METRADO POR AMBIENTE'!$A$11:$A$262,D$10)</f>
        <v/>
      </c>
      <c r="E65" s="17">
        <f>SUMIFS('METRADO POR AMBIENTE'!$G$11:$G$262,'METRADO POR AMBIENTE'!$H$11:$H$262,$M65,'METRADO POR AMBIENTE'!$A$11:$A$262,E$10)</f>
        <v/>
      </c>
      <c r="F65" s="17">
        <f>SUMIFS('METRADO POR AMBIENTE'!$G$11:$G$262,'METRADO POR AMBIENTE'!$H$11:$H$262,$M65,'METRADO POR AMBIENTE'!$A$11:$A$262,F$10)</f>
        <v/>
      </c>
      <c r="G65" s="17">
        <f>SUMIFS('METRADO POR AMBIENTE'!$G$11:$G$262,'METRADO POR AMBIENTE'!$H$11:$H$262,$M65,'METRADO POR AMBIENTE'!$A$11:$A$262,G$10)</f>
        <v/>
      </c>
      <c r="H65" s="17">
        <f>SUMIFS('METRADO POR AMBIENTE'!$G$11:$G$262,'METRADO POR AMBIENTE'!$H$11:$H$262,$M65,'METRADO POR AMBIENTE'!$A$11:$A$262,H$10)</f>
        <v/>
      </c>
      <c r="I65" s="17">
        <f>SUMIFS('METRADO POR AMBIENTE'!$G$11:$G$262,'METRADO POR AMBIENTE'!$H$11:$H$262,$M65,'METRADO POR AMBIENTE'!$A$11:$A$262,I$10)</f>
        <v/>
      </c>
      <c r="J65" s="17">
        <f>SUMIFS('METRADO POR AMBIENTE'!$G$11:$G$262,'METRADO POR AMBIENTE'!$H$11:$H$262,$M65,'METRADO POR AMBIENTE'!$A$11:$A$262,J$10)</f>
        <v/>
      </c>
      <c r="K65" s="17">
        <f>SUMIFS('METRADO POR AMBIENTE'!$G$11:$G$262,'METRADO POR AMBIENTE'!$H$11:$H$262,$M65,'METRADO POR AMBIENTE'!$A$11:$A$262,K$10)</f>
        <v/>
      </c>
      <c r="L65" s="18">
        <f>SUM(C65:K65)</f>
        <v/>
      </c>
      <c r="M65" s="15" t="inlineStr">
        <is>
          <t>M71</t>
        </is>
      </c>
    </row>
    <row r="66">
      <c r="A66" s="10" t="inlineStr">
        <is>
          <t>M73</t>
        </is>
      </c>
      <c r="B66" s="16" t="inlineStr">
        <is>
          <t>ESTACIÓN DE SERVIDO CON TRES BANDEJAS, UNA PUERTA Y UNA CUBIERTA 1.20 x 0.70 x 0.90 m</t>
        </is>
      </c>
      <c r="C66" s="17">
        <f>SUMIFS('METRADO POR AMBIENTE'!$G$11:$G$262,'METRADO POR AMBIENTE'!$H$11:$H$262,$M66,'METRADO POR AMBIENTE'!$A$11:$A$262,C$10)</f>
        <v/>
      </c>
      <c r="D66" s="17">
        <f>SUMIFS('METRADO POR AMBIENTE'!$G$11:$G$262,'METRADO POR AMBIENTE'!$H$11:$H$262,$M66,'METRADO POR AMBIENTE'!$A$11:$A$262,D$10)</f>
        <v/>
      </c>
      <c r="E66" s="17">
        <f>SUMIFS('METRADO POR AMBIENTE'!$G$11:$G$262,'METRADO POR AMBIENTE'!$H$11:$H$262,$M66,'METRADO POR AMBIENTE'!$A$11:$A$262,E$10)</f>
        <v/>
      </c>
      <c r="F66" s="17">
        <f>SUMIFS('METRADO POR AMBIENTE'!$G$11:$G$262,'METRADO POR AMBIENTE'!$H$11:$H$262,$M66,'METRADO POR AMBIENTE'!$A$11:$A$262,F$10)</f>
        <v/>
      </c>
      <c r="G66" s="17">
        <f>SUMIFS('METRADO POR AMBIENTE'!$G$11:$G$262,'METRADO POR AMBIENTE'!$H$11:$H$262,$M66,'METRADO POR AMBIENTE'!$A$11:$A$262,G$10)</f>
        <v/>
      </c>
      <c r="H66" s="17">
        <f>SUMIFS('METRADO POR AMBIENTE'!$G$11:$G$262,'METRADO POR AMBIENTE'!$H$11:$H$262,$M66,'METRADO POR AMBIENTE'!$A$11:$A$262,H$10)</f>
        <v/>
      </c>
      <c r="I66" s="17">
        <f>SUMIFS('METRADO POR AMBIENTE'!$G$11:$G$262,'METRADO POR AMBIENTE'!$H$11:$H$262,$M66,'METRADO POR AMBIENTE'!$A$11:$A$262,I$10)</f>
        <v/>
      </c>
      <c r="J66" s="17">
        <f>SUMIFS('METRADO POR AMBIENTE'!$G$11:$G$262,'METRADO POR AMBIENTE'!$H$11:$H$262,$M66,'METRADO POR AMBIENTE'!$A$11:$A$262,J$10)</f>
        <v/>
      </c>
      <c r="K66" s="17">
        <f>SUMIFS('METRADO POR AMBIENTE'!$G$11:$G$262,'METRADO POR AMBIENTE'!$H$11:$H$262,$M66,'METRADO POR AMBIENTE'!$A$11:$A$262,K$10)</f>
        <v/>
      </c>
      <c r="L66" s="18">
        <f>SUM(C66:K66)</f>
        <v/>
      </c>
      <c r="M66" s="15" t="inlineStr">
        <is>
          <t>M73</t>
        </is>
      </c>
    </row>
    <row r="67">
      <c r="A67" s="10" t="inlineStr">
        <is>
          <t>M75</t>
        </is>
      </c>
      <c r="B67" s="16" t="inlineStr">
        <is>
          <t>CONTENEDOR CON TAPA PARA RESIDUOS SÓLIDOS 0.80 x 1.00 x 1.00 m</t>
        </is>
      </c>
      <c r="C67" s="17">
        <f>SUMIFS('METRADO POR AMBIENTE'!$G$11:$G$262,'METRADO POR AMBIENTE'!$H$11:$H$262,$M67,'METRADO POR AMBIENTE'!$A$11:$A$262,C$10)</f>
        <v/>
      </c>
      <c r="D67" s="17">
        <f>SUMIFS('METRADO POR AMBIENTE'!$G$11:$G$262,'METRADO POR AMBIENTE'!$H$11:$H$262,$M67,'METRADO POR AMBIENTE'!$A$11:$A$262,D$10)</f>
        <v/>
      </c>
      <c r="E67" s="17">
        <f>SUMIFS('METRADO POR AMBIENTE'!$G$11:$G$262,'METRADO POR AMBIENTE'!$H$11:$H$262,$M67,'METRADO POR AMBIENTE'!$A$11:$A$262,E$10)</f>
        <v/>
      </c>
      <c r="F67" s="17">
        <f>SUMIFS('METRADO POR AMBIENTE'!$G$11:$G$262,'METRADO POR AMBIENTE'!$H$11:$H$262,$M67,'METRADO POR AMBIENTE'!$A$11:$A$262,F$10)</f>
        <v/>
      </c>
      <c r="G67" s="17">
        <f>SUMIFS('METRADO POR AMBIENTE'!$G$11:$G$262,'METRADO POR AMBIENTE'!$H$11:$H$262,$M67,'METRADO POR AMBIENTE'!$A$11:$A$262,G$10)</f>
        <v/>
      </c>
      <c r="H67" s="17">
        <f>SUMIFS('METRADO POR AMBIENTE'!$G$11:$G$262,'METRADO POR AMBIENTE'!$H$11:$H$262,$M67,'METRADO POR AMBIENTE'!$A$11:$A$262,H$10)</f>
        <v/>
      </c>
      <c r="I67" s="17">
        <f>SUMIFS('METRADO POR AMBIENTE'!$G$11:$G$262,'METRADO POR AMBIENTE'!$H$11:$H$262,$M67,'METRADO POR AMBIENTE'!$A$11:$A$262,I$10)</f>
        <v/>
      </c>
      <c r="J67" s="17">
        <f>SUMIFS('METRADO POR AMBIENTE'!$G$11:$G$262,'METRADO POR AMBIENTE'!$H$11:$H$262,$M67,'METRADO POR AMBIENTE'!$A$11:$A$262,J$10)</f>
        <v/>
      </c>
      <c r="K67" s="17">
        <f>SUMIFS('METRADO POR AMBIENTE'!$G$11:$G$262,'METRADO POR AMBIENTE'!$H$11:$H$262,$M67,'METRADO POR AMBIENTE'!$A$11:$A$262,K$10)</f>
        <v/>
      </c>
      <c r="L67" s="18">
        <f>SUM(C67:K67)</f>
        <v/>
      </c>
      <c r="M67" s="15" t="inlineStr">
        <is>
          <t>M75</t>
        </is>
      </c>
    </row>
    <row r="68">
      <c r="A68" s="10" t="inlineStr">
        <is>
          <t>M76</t>
        </is>
      </c>
      <c r="B68" s="16" t="inlineStr">
        <is>
          <t>PORTAPAPEL HIGIÉNICO</t>
        </is>
      </c>
      <c r="C68" s="17">
        <f>SUMIFS('METRADO POR AMBIENTE'!$G$11:$G$262,'METRADO POR AMBIENTE'!$H$11:$H$262,$M68,'METRADO POR AMBIENTE'!$A$11:$A$262,C$10)</f>
        <v/>
      </c>
      <c r="D68" s="17">
        <f>SUMIFS('METRADO POR AMBIENTE'!$G$11:$G$262,'METRADO POR AMBIENTE'!$H$11:$H$262,$M68,'METRADO POR AMBIENTE'!$A$11:$A$262,D$10)</f>
        <v/>
      </c>
      <c r="E68" s="17">
        <f>SUMIFS('METRADO POR AMBIENTE'!$G$11:$G$262,'METRADO POR AMBIENTE'!$H$11:$H$262,$M68,'METRADO POR AMBIENTE'!$A$11:$A$262,E$10)</f>
        <v/>
      </c>
      <c r="F68" s="17">
        <f>SUMIFS('METRADO POR AMBIENTE'!$G$11:$G$262,'METRADO POR AMBIENTE'!$H$11:$H$262,$M68,'METRADO POR AMBIENTE'!$A$11:$A$262,F$10)</f>
        <v/>
      </c>
      <c r="G68" s="17">
        <f>SUMIFS('METRADO POR AMBIENTE'!$G$11:$G$262,'METRADO POR AMBIENTE'!$H$11:$H$262,$M68,'METRADO POR AMBIENTE'!$A$11:$A$262,G$10)</f>
        <v/>
      </c>
      <c r="H68" s="17">
        <f>SUMIFS('METRADO POR AMBIENTE'!$G$11:$G$262,'METRADO POR AMBIENTE'!$H$11:$H$262,$M68,'METRADO POR AMBIENTE'!$A$11:$A$262,H$10)</f>
        <v/>
      </c>
      <c r="I68" s="17">
        <f>SUMIFS('METRADO POR AMBIENTE'!$G$11:$G$262,'METRADO POR AMBIENTE'!$H$11:$H$262,$M68,'METRADO POR AMBIENTE'!$A$11:$A$262,I$10)</f>
        <v/>
      </c>
      <c r="J68" s="17">
        <f>SUMIFS('METRADO POR AMBIENTE'!$G$11:$G$262,'METRADO POR AMBIENTE'!$H$11:$H$262,$M68,'METRADO POR AMBIENTE'!$A$11:$A$262,J$10)</f>
        <v/>
      </c>
      <c r="K68" s="17">
        <f>SUMIFS('METRADO POR AMBIENTE'!$G$11:$G$262,'METRADO POR AMBIENTE'!$H$11:$H$262,$M68,'METRADO POR AMBIENTE'!$A$11:$A$262,K$10)</f>
        <v/>
      </c>
      <c r="L68" s="18">
        <f>SUM(C68:K68)</f>
        <v/>
      </c>
      <c r="M68" s="15" t="inlineStr">
        <is>
          <t>M76</t>
        </is>
      </c>
    </row>
    <row r="69">
      <c r="A69" s="10" t="inlineStr">
        <is>
          <t>M77</t>
        </is>
      </c>
      <c r="B69" s="16" t="inlineStr">
        <is>
          <t>DISPENSADOR DE PAPEL TOALLA</t>
        </is>
      </c>
      <c r="C69" s="17">
        <f>SUMIFS('METRADO POR AMBIENTE'!$G$11:$G$262,'METRADO POR AMBIENTE'!$H$11:$H$262,$M69,'METRADO POR AMBIENTE'!$A$11:$A$262,C$10)</f>
        <v/>
      </c>
      <c r="D69" s="17">
        <f>SUMIFS('METRADO POR AMBIENTE'!$G$11:$G$262,'METRADO POR AMBIENTE'!$H$11:$H$262,$M69,'METRADO POR AMBIENTE'!$A$11:$A$262,D$10)</f>
        <v/>
      </c>
      <c r="E69" s="17">
        <f>SUMIFS('METRADO POR AMBIENTE'!$G$11:$G$262,'METRADO POR AMBIENTE'!$H$11:$H$262,$M69,'METRADO POR AMBIENTE'!$A$11:$A$262,E$10)</f>
        <v/>
      </c>
      <c r="F69" s="17">
        <f>SUMIFS('METRADO POR AMBIENTE'!$G$11:$G$262,'METRADO POR AMBIENTE'!$H$11:$H$262,$M69,'METRADO POR AMBIENTE'!$A$11:$A$262,F$10)</f>
        <v/>
      </c>
      <c r="G69" s="17">
        <f>SUMIFS('METRADO POR AMBIENTE'!$G$11:$G$262,'METRADO POR AMBIENTE'!$H$11:$H$262,$M69,'METRADO POR AMBIENTE'!$A$11:$A$262,G$10)</f>
        <v/>
      </c>
      <c r="H69" s="17">
        <f>SUMIFS('METRADO POR AMBIENTE'!$G$11:$G$262,'METRADO POR AMBIENTE'!$H$11:$H$262,$M69,'METRADO POR AMBIENTE'!$A$11:$A$262,H$10)</f>
        <v/>
      </c>
      <c r="I69" s="17">
        <f>SUMIFS('METRADO POR AMBIENTE'!$G$11:$G$262,'METRADO POR AMBIENTE'!$H$11:$H$262,$M69,'METRADO POR AMBIENTE'!$A$11:$A$262,I$10)</f>
        <v/>
      </c>
      <c r="J69" s="17">
        <f>SUMIFS('METRADO POR AMBIENTE'!$G$11:$G$262,'METRADO POR AMBIENTE'!$H$11:$H$262,$M69,'METRADO POR AMBIENTE'!$A$11:$A$262,J$10)</f>
        <v/>
      </c>
      <c r="K69" s="17">
        <f>SUMIFS('METRADO POR AMBIENTE'!$G$11:$G$262,'METRADO POR AMBIENTE'!$H$11:$H$262,$M69,'METRADO POR AMBIENTE'!$A$11:$A$262,K$10)</f>
        <v/>
      </c>
      <c r="L69" s="18">
        <f>SUM(C69:K69)</f>
        <v/>
      </c>
      <c r="M69" s="15" t="inlineStr">
        <is>
          <t>M77</t>
        </is>
      </c>
    </row>
    <row r="70">
      <c r="A70" s="10" t="inlineStr">
        <is>
          <t>M78</t>
        </is>
      </c>
      <c r="B70" s="16" t="inlineStr">
        <is>
          <t>CAMA DE DOS PLAZAS, INCLUYE COLCHÓN</t>
        </is>
      </c>
      <c r="C70" s="17">
        <f>SUMIFS('METRADO POR AMBIENTE'!$G$11:$G$262,'METRADO POR AMBIENTE'!$H$11:$H$262,$M70,'METRADO POR AMBIENTE'!$A$11:$A$262,C$10)</f>
        <v/>
      </c>
      <c r="D70" s="17">
        <f>SUMIFS('METRADO POR AMBIENTE'!$G$11:$G$262,'METRADO POR AMBIENTE'!$H$11:$H$262,$M70,'METRADO POR AMBIENTE'!$A$11:$A$262,D$10)</f>
        <v/>
      </c>
      <c r="E70" s="17">
        <f>SUMIFS('METRADO POR AMBIENTE'!$G$11:$G$262,'METRADO POR AMBIENTE'!$H$11:$H$262,$M70,'METRADO POR AMBIENTE'!$A$11:$A$262,E$10)</f>
        <v/>
      </c>
      <c r="F70" s="17">
        <f>SUMIFS('METRADO POR AMBIENTE'!$G$11:$G$262,'METRADO POR AMBIENTE'!$H$11:$H$262,$M70,'METRADO POR AMBIENTE'!$A$11:$A$262,F$10)</f>
        <v/>
      </c>
      <c r="G70" s="17">
        <f>SUMIFS('METRADO POR AMBIENTE'!$G$11:$G$262,'METRADO POR AMBIENTE'!$H$11:$H$262,$M70,'METRADO POR AMBIENTE'!$A$11:$A$262,G$10)</f>
        <v/>
      </c>
      <c r="H70" s="17">
        <f>SUMIFS('METRADO POR AMBIENTE'!$G$11:$G$262,'METRADO POR AMBIENTE'!$H$11:$H$262,$M70,'METRADO POR AMBIENTE'!$A$11:$A$262,H$10)</f>
        <v/>
      </c>
      <c r="I70" s="17">
        <f>SUMIFS('METRADO POR AMBIENTE'!$G$11:$G$262,'METRADO POR AMBIENTE'!$H$11:$H$262,$M70,'METRADO POR AMBIENTE'!$A$11:$A$262,I$10)</f>
        <v/>
      </c>
      <c r="J70" s="17">
        <f>SUMIFS('METRADO POR AMBIENTE'!$G$11:$G$262,'METRADO POR AMBIENTE'!$H$11:$H$262,$M70,'METRADO POR AMBIENTE'!$A$11:$A$262,J$10)</f>
        <v/>
      </c>
      <c r="K70" s="17">
        <f>SUMIFS('METRADO POR AMBIENTE'!$G$11:$G$262,'METRADO POR AMBIENTE'!$H$11:$H$262,$M70,'METRADO POR AMBIENTE'!$A$11:$A$262,K$10)</f>
        <v/>
      </c>
      <c r="L70" s="18">
        <f>SUM(C70:K70)</f>
        <v/>
      </c>
      <c r="M70" s="15" t="inlineStr">
        <is>
          <t>M78</t>
        </is>
      </c>
    </row>
    <row r="71">
      <c r="A71" s="10" t="inlineStr">
        <is>
          <t>M79</t>
        </is>
      </c>
      <c r="B71" s="16" t="inlineStr">
        <is>
          <t>CAMA CUNA DE UNA PLAZA, INCLUYE COLCHÓN</t>
        </is>
      </c>
      <c r="C71" s="17">
        <f>SUMIFS('METRADO POR AMBIENTE'!$G$11:$G$262,'METRADO POR AMBIENTE'!$H$11:$H$262,$M71,'METRADO POR AMBIENTE'!$A$11:$A$262,C$10)</f>
        <v/>
      </c>
      <c r="D71" s="17">
        <f>SUMIFS('METRADO POR AMBIENTE'!$G$11:$G$262,'METRADO POR AMBIENTE'!$H$11:$H$262,$M71,'METRADO POR AMBIENTE'!$A$11:$A$262,D$10)</f>
        <v/>
      </c>
      <c r="E71" s="17">
        <f>SUMIFS('METRADO POR AMBIENTE'!$G$11:$G$262,'METRADO POR AMBIENTE'!$H$11:$H$262,$M71,'METRADO POR AMBIENTE'!$A$11:$A$262,E$10)</f>
        <v/>
      </c>
      <c r="F71" s="17">
        <f>SUMIFS('METRADO POR AMBIENTE'!$G$11:$G$262,'METRADO POR AMBIENTE'!$H$11:$H$262,$M71,'METRADO POR AMBIENTE'!$A$11:$A$262,F$10)</f>
        <v/>
      </c>
      <c r="G71" s="17">
        <f>SUMIFS('METRADO POR AMBIENTE'!$G$11:$G$262,'METRADO POR AMBIENTE'!$H$11:$H$262,$M71,'METRADO POR AMBIENTE'!$A$11:$A$262,G$10)</f>
        <v/>
      </c>
      <c r="H71" s="17">
        <f>SUMIFS('METRADO POR AMBIENTE'!$G$11:$G$262,'METRADO POR AMBIENTE'!$H$11:$H$262,$M71,'METRADO POR AMBIENTE'!$A$11:$A$262,H$10)</f>
        <v/>
      </c>
      <c r="I71" s="17">
        <f>SUMIFS('METRADO POR AMBIENTE'!$G$11:$G$262,'METRADO POR AMBIENTE'!$H$11:$H$262,$M71,'METRADO POR AMBIENTE'!$A$11:$A$262,I$10)</f>
        <v/>
      </c>
      <c r="J71" s="17">
        <f>SUMIFS('METRADO POR AMBIENTE'!$G$11:$G$262,'METRADO POR AMBIENTE'!$H$11:$H$262,$M71,'METRADO POR AMBIENTE'!$A$11:$A$262,J$10)</f>
        <v/>
      </c>
      <c r="K71" s="17">
        <f>SUMIFS('METRADO POR AMBIENTE'!$G$11:$G$262,'METRADO POR AMBIENTE'!$H$11:$H$262,$M71,'METRADO POR AMBIENTE'!$A$11:$A$262,K$10)</f>
        <v/>
      </c>
      <c r="L71" s="18">
        <f>SUM(C71:K71)</f>
        <v/>
      </c>
      <c r="M71" s="15" t="inlineStr">
        <is>
          <t>M79</t>
        </is>
      </c>
    </row>
    <row r="72">
      <c r="B72" s="2" t="inlineStr">
        <is>
          <t>TOTAL</t>
        </is>
      </c>
      <c r="C72" s="13">
        <f>SUM(C11:C71)</f>
        <v/>
      </c>
      <c r="D72" s="13">
        <f>SUM(D11:D71)</f>
        <v/>
      </c>
      <c r="E72" s="13">
        <f>SUM(E11:E71)</f>
        <v/>
      </c>
      <c r="F72" s="13">
        <f>SUM(F11:F71)</f>
        <v/>
      </c>
      <c r="G72" s="13">
        <f>SUM(G11:G71)</f>
        <v/>
      </c>
      <c r="H72" s="13">
        <f>SUM(H11:H71)</f>
        <v/>
      </c>
      <c r="I72" s="13">
        <f>SUM(I11:I71)</f>
        <v/>
      </c>
      <c r="J72" s="13">
        <f>SUM(J11:J71)</f>
        <v/>
      </c>
      <c r="K72" s="13">
        <f>SUM(K11:K71)</f>
        <v/>
      </c>
      <c r="L72" s="13">
        <f>SUM(L11:L71)</f>
        <v/>
      </c>
    </row>
  </sheetData>
  <mergeCells count="8">
    <mergeCell ref="B6:M6"/>
    <mergeCell ref="B2:M2"/>
    <mergeCell ref="B7:M7"/>
    <mergeCell ref="A1:M1"/>
    <mergeCell ref="B3:M3"/>
    <mergeCell ref="B5:M5"/>
    <mergeCell ref="B8:M8"/>
    <mergeCell ref="B4:M4"/>
  </mergeCells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Metrado de equipamiento y mobiliario - Hogar de Refugio Temporal</dc:title>
  <dcterms:created xmlns:dcterms="http://purl.org/dc/terms/" xmlns:xsi="http://www.w3.org/2001/XMLSchema-instance" xsi:type="dcterms:W3CDTF">2026-10-29T20:38:19Z</dcterms:created>
  <dcterms:modified xmlns:dcterms="http://purl.org/dc/terms/" xmlns:xsi="http://www.w3.org/2001/XMLSchema-instance" xsi:type="dcterms:W3CDTF">2026-10-29T20:38:19Z</dcterms:modified>
</cp:coreProperties>
</file>