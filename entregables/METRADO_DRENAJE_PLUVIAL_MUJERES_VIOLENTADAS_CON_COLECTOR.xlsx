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839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TRAMOS" sheetId="14" state="visible" r:id="rId14"/>
    <sheet xmlns:r="http://schemas.openxmlformats.org/officeDocument/2006/relationships" name="COLECTOR ACERO" sheetId="15" state="visible" r:id="rId15"/>
    <sheet xmlns:r="http://schemas.openxmlformats.org/officeDocument/2006/relationships" name="COLECTOR TAPAS" sheetId="16" state="visible" r:id="rId16"/>
    <sheet xmlns:r="http://schemas.openxmlformats.org/officeDocument/2006/relationships" name="COLECTOR INSUMOS" sheetId="17" state="visible" r:id="rId17"/>
  </sheets>
  <externalReferences>
    <externalReference xmlns:r="http://schemas.openxmlformats.org/officeDocument/2006/relationships" r:id="rId18"/>
  </externalReference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sz val="12"/>
    </font>
    <font>
      <name val="Arial Narrow"/>
      <sz val="12"/>
    </font>
    <font>
      <name val="Arial Narrow"/>
      <color rgb="000000FF"/>
      <sz val="12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75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7" fontId="7" fillId="5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2" fontId="15" fillId="37" borderId="1" applyAlignment="1" pivotButton="0" quotePrefix="0" xfId="2">
      <alignment horizontal="center" vertical="center"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2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8" pivotButton="0" quotePrefix="0" xfId="0"/>
    <xf numFmtId="0" fontId="3" fillId="6" borderId="43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0" borderId="0" pivotButton="0" quotePrefix="0" xfId="0"/>
    <xf numFmtId="0" fontId="41" fillId="0" borderId="0" pivotButton="0" quotePrefix="0" xfId="0"/>
    <xf numFmtId="165" fontId="42" fillId="0" borderId="0" pivotButton="0" quotePrefix="0" xfId="0"/>
    <xf numFmtId="0" fontId="40" fillId="39" borderId="50" applyAlignment="1" pivotButton="0" quotePrefix="0" xfId="0">
      <alignment horizontal="center" vertical="center" wrapText="1"/>
    </xf>
    <xf numFmtId="0" fontId="41" fillId="0" borderId="50" pivotButton="0" quotePrefix="0" xfId="0"/>
    <xf numFmtId="2" fontId="42" fillId="0" borderId="50" pivotButton="0" quotePrefix="0" xfId="0"/>
    <xf numFmtId="2" fontId="41" fillId="0" borderId="50" pivotButton="0" quotePrefix="0" xfId="0"/>
    <xf numFmtId="165" fontId="42" fillId="0" borderId="50" pivotButton="0" quotePrefix="0" xfId="0"/>
    <xf numFmtId="2" fontId="40" fillId="0" borderId="50" pivotButton="0" quotePrefix="0" xfId="0"/>
    <xf numFmtId="0" fontId="40" fillId="39" borderId="50" applyAlignment="1" pivotButton="0" quotePrefix="0" xfId="0">
      <alignment horizontal="center" wrapText="1"/>
    </xf>
    <xf numFmtId="2" fontId="40" fillId="0" borderId="0" pivotButton="0" quotePrefix="0" xfId="0"/>
    <xf numFmtId="0" fontId="40" fillId="39" borderId="50" pivotButton="0" quotePrefix="0" xfId="0"/>
    <xf numFmtId="0" fontId="40" fillId="0" borderId="50" pivotButton="0" quotePrefix="0" xfId="0"/>
    <xf numFmtId="0" fontId="0" fillId="0" borderId="50" pivotButton="0" quotePrefix="0" xfId="0"/>
  </cellXfs>
  <cellStyles count="4">
    <cellStyle name="Normal" xfId="0" builtinId="0"/>
    <cellStyle name="Normal 2" xfId="1"/>
    <cellStyle name="Normal 3" xfId="2"/>
    <cellStyle name="Normal 4" xfId="3"/>
  </cellStyles>
  <dxfs count="24"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WILMA/METRADO%20DRENAJE%20PLUVIAL%20-%20CAR%20MUJERES%20(corregido)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"/>
      <sheetName val="PLANILLA GENERAL DE METRADOS"/>
      <sheetName val="CONCRETO EN CUNETAS"/>
      <sheetName val="ENCOFRADO Y DESENCOFRADO"/>
      <sheetName val="METRADO MONTANTES"/>
      <sheetName val="METRADO  EN PISO (SUMIDERO)"/>
      <sheetName val="METRADO ACERO"/>
      <sheetName val="METRADO JUNTA DE DILATACION"/>
      <sheetName val="METRADO DE CURADO"/>
      <sheetName val="METRADO DE REJILLAS"/>
      <sheetName val="PLANILLA TAPAS REGISTRO INTERNO"/>
      <sheetName val="PARAMETROS"/>
      <sheetName val="List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A4" t="str">
            <v>6 mm</v>
          </cell>
          <cell r="B4">
            <v>0.222</v>
          </cell>
        </row>
        <row r="5">
          <cell r="A5" t="str">
            <v>8 mm</v>
          </cell>
          <cell r="B5">
            <v>0.39500000000000002</v>
          </cell>
        </row>
        <row r="6">
          <cell r="A6" t="str">
            <v>3/8"</v>
          </cell>
          <cell r="B6">
            <v>0.56000000000000005</v>
          </cell>
        </row>
        <row r="7">
          <cell r="A7" t="str">
            <v>12 mm</v>
          </cell>
          <cell r="B7">
            <v>0.88800000000000001</v>
          </cell>
        </row>
        <row r="8">
          <cell r="A8" t="str">
            <v>1/2"</v>
          </cell>
          <cell r="B8">
            <v>0.99399999999999999</v>
          </cell>
        </row>
        <row r="9">
          <cell r="A9" t="str">
            <v>5/8"</v>
          </cell>
          <cell r="B9">
            <v>1.552</v>
          </cell>
        </row>
        <row r="10">
          <cell r="A10" t="str">
            <v>3/4"</v>
          </cell>
          <cell r="B10">
            <v>2.2349999999999999</v>
          </cell>
        </row>
        <row r="11">
          <cell r="A11" t="str">
            <v>1"</v>
          </cell>
          <cell r="B11">
            <v>3.9729999999999999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23" dataDxfId="22" totalsRowDxfId="21">
  <tableColumns count="7">
    <tableColumn id="1" name="SECTOR" dataDxfId="20"/>
    <tableColumn id="2" name="TUBERÍA 4&quot; PVC-U_x000a_Desagüe Clase Pesada (m)" dataDxfId="19"/>
    <tableColumn id="3" name="SUMIDERO DE 4&quot;_x000a_(und)" dataDxfId="18"/>
    <tableColumn id="4" name="CODO 90° x 4&quot;_x000a_(und)" dataDxfId="17"/>
    <tableColumn id="5" name="CODO 45° x 4&quot;_x000a_(und)" dataDxfId="16"/>
    <tableColumn id="6" name="TEE° x 4&quot;_x000a_(und)" dataDxfId="15"/>
    <tableColumn id="7" name="OBSERVACIÓN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5"/>
  <sheetViews>
    <sheetView tabSelected="1" view="pageBreakPreview" topLeftCell="A23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11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13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1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13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12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METRADOS'!K197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METRADOS'!K207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METRADOS'!K224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METRADOS'!K228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METRADOS'!K241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METRADOS'!K251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METRADOS'!K261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METRADOS'!K273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METRADOS'!K283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METRADOS'!K284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METRADOS'!K294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METRADOS'!K298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METRADOS'!K299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METRADOS'!K300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METRADOS'!K301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METRADOS'!K302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METRADOS'!K303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METRADOS'!K304</f>
        <v/>
      </c>
    </row>
    <row r="78">
      <c r="A78" s="158" t="inlineStr">
        <is>
          <t>01.04.04.06</t>
        </is>
      </c>
      <c r="B78" s="158" t="inlineStr">
        <is>
          <t>JUNTAS, EMPALMES Y PROLONGACION DE CUNETAS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METRADOS'!K306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METRADOS'!K308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METRADOS'!K311</f>
        <v/>
      </c>
    </row>
    <row r="82">
      <c r="A82" s="159" t="inlineStr">
        <is>
          <t>01.04.04.06.04</t>
        </is>
      </c>
      <c r="B82" s="160" t="inlineStr">
        <is>
          <t>CONCRETO f'c=210 kg/cm2 EN PROLONGACION DE CUNETAS 0.40 x H</t>
        </is>
      </c>
      <c r="C82" s="161" t="inlineStr">
        <is>
          <t>m³</t>
        </is>
      </c>
      <c r="D82" s="162">
        <f>+'PLANILLA GENERAL DE METRADOS'!K313</f>
        <v/>
      </c>
    </row>
    <row r="83">
      <c r="A83" s="159" t="inlineStr">
        <is>
          <t>01.04.04.06.05</t>
        </is>
      </c>
      <c r="B83" s="160" t="inlineStr">
        <is>
          <t>ENCOFRADO Y DESENCOFRADO EN PROLONGACION DE CUNETAS</t>
        </is>
      </c>
      <c r="C83" s="161" t="inlineStr">
        <is>
          <t>m²</t>
        </is>
      </c>
      <c r="D83" s="162">
        <f>+'PLANILLA GENERAL DE METRADOS'!K316</f>
        <v/>
      </c>
    </row>
    <row r="84">
      <c r="A84" s="159" t="inlineStr">
        <is>
          <t>01.04.04.06.06</t>
        </is>
      </c>
      <c r="B84" s="160" t="inlineStr">
        <is>
          <t>ACERO DE REFUERZO fy=4200 kg/cm2 EN PROLONGACION DE CUNETAS</t>
        </is>
      </c>
      <c r="C84" s="161" t="inlineStr">
        <is>
          <t>kg</t>
        </is>
      </c>
      <c r="D84" s="162">
        <f>+'PLANILLA GENERAL DE METRADOS'!K319</f>
        <v/>
      </c>
    </row>
    <row r="85">
      <c r="A85" s="159" t="inlineStr">
        <is>
          <t>01.04.04.06.07</t>
        </is>
      </c>
      <c r="B85" s="160" t="inlineStr">
        <is>
          <t>TAPA DE CONCRETO EN PROLONGACION DE CUNETAS (losa 0.60 x 0.08)</t>
        </is>
      </c>
      <c r="C85" s="161" t="inlineStr">
        <is>
          <t>m²</t>
        </is>
      </c>
      <c r="D85" s="162">
        <f>+'PLANILLA GENERAL DE METRADOS'!K320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2"/>
  <sheetViews>
    <sheetView view="pageBreakPreview" topLeftCell="A143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11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1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1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1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1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17" t="inlineStr">
        <is>
          <t>01.04.03</t>
        </is>
      </c>
      <c r="B9" s="217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17" t="inlineStr">
        <is>
          <t>01.04.03.01</t>
        </is>
      </c>
      <c r="B10" s="217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17" t="inlineStr">
        <is>
          <t>01.04.03.02</t>
        </is>
      </c>
      <c r="B37" s="217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17" t="n"/>
      <c r="L37" s="217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17" t="inlineStr">
        <is>
          <t>01.04.03.03</t>
        </is>
      </c>
      <c r="B83" s="217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17" t="n"/>
      <c r="L83" s="217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17" t="inlineStr">
        <is>
          <t>01.04.03.04</t>
        </is>
      </c>
      <c r="B99" s="217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17" t="n"/>
    </row>
    <row r="100" ht="15.5" customHeight="1">
      <c r="A100" s="214" t="inlineStr">
        <is>
          <t>01.04.03.04.02</t>
        </is>
      </c>
      <c r="B100" s="214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14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14" t="inlineStr">
        <is>
          <t>01.04.03.04.03</t>
        </is>
      </c>
      <c r="B131" s="218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17" t="inlineStr">
        <is>
          <t>01.04.03.05</t>
        </is>
      </c>
      <c r="B136" s="217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14" t="inlineStr">
        <is>
          <t>01.04.03.05.01</t>
        </is>
      </c>
      <c r="B137" s="214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15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16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14" t="inlineStr">
        <is>
          <t>01.04.03.05.02</t>
        </is>
      </c>
      <c r="B149" s="214" t="inlineStr">
        <is>
          <t>RED DE RECOLECCION PISO</t>
        </is>
      </c>
      <c r="C149" s="214" t="n"/>
      <c r="D149" s="214" t="n"/>
      <c r="E149" s="214" t="n"/>
      <c r="F149" s="214" t="n"/>
      <c r="G149" s="214" t="n"/>
      <c r="H149" s="214" t="n"/>
      <c r="I149" s="214" t="n"/>
      <c r="J149" s="37" t="n"/>
      <c r="K149" s="37" t="n"/>
      <c r="L149" s="214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14" t="inlineStr">
        <is>
          <t>01.04.03.05.03</t>
        </is>
      </c>
      <c r="B155" s="214" t="inlineStr">
        <is>
          <t>ACCESORIOS</t>
        </is>
      </c>
      <c r="C155" s="214" t="n"/>
      <c r="D155" s="214" t="n"/>
      <c r="E155" s="214" t="n"/>
      <c r="F155" s="214" t="n"/>
      <c r="G155" s="214" t="n"/>
      <c r="H155" s="214" t="n"/>
      <c r="I155" s="214" t="n"/>
      <c r="J155" s="37" t="n"/>
      <c r="K155" s="37" t="n"/>
      <c r="L155" s="214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17" t="inlineStr">
        <is>
          <t>01.04.04</t>
        </is>
      </c>
      <c r="B162" s="217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17" t="inlineStr">
        <is>
          <t>01.04.04.01</t>
        </is>
      </c>
      <c r="B163" s="217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TRAMOS'!L22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TRAMOS'!L23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TRAMOS'!L24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TRAMOS'!L25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TRAMOS'!L26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TRAMOS'!L27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TRAMOS'!L28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TRAMOS'!G34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TRAMOS'!G35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TRAMOS'!L22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TRAMOS'!L23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TRAMOS'!L24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TRAMOS'!L25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TRAMOS'!L26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TRAMOS'!L27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TRAMOS'!L28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TRAMOS'!G34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TRAMOS'!G35</f>
        <v/>
      </c>
      <c r="K183" s="31" t="n"/>
      <c r="L183" s="30" t="n"/>
    </row>
    <row r="184">
      <c r="A184" s="217" t="inlineStr">
        <is>
          <t>01.04.04.02</t>
        </is>
      </c>
      <c r="B184" s="217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SUM(J186:J196)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TRAMOS'!M22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TRAMOS'!M23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TRAMOS'!M24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TRAMOS'!M25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TRAMOS'!M26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TRAMOS'!M27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TRAMOS'!M28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TRAMOS'!F34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TRAMOS'!F35</f>
        <v/>
      </c>
      <c r="K194" s="31" t="n"/>
      <c r="L194" s="30" t="n"/>
    </row>
    <row r="195">
      <c r="A195" s="30" t="n"/>
      <c r="B195" s="30" t="inlineStr">
        <is>
          <t>Prolongacion cuneta Eje 11</t>
        </is>
      </c>
      <c r="C195" s="31" t="n">
        <v>1</v>
      </c>
      <c r="D195" s="31" t="n"/>
      <c r="E195" s="31" t="n"/>
      <c r="F195" s="31" t="n"/>
      <c r="G195" s="31" t="n"/>
      <c r="H195" s="31" t="n"/>
      <c r="I195" s="31" t="n"/>
      <c r="J195" s="31">
        <f>'COLECTOR TRAMOS'!F36</f>
        <v/>
      </c>
      <c r="K195" s="31" t="n"/>
      <c r="L195" s="30" t="n"/>
    </row>
    <row r="196">
      <c r="A196" s="30" t="n"/>
      <c r="B196" s="30" t="inlineStr">
        <is>
          <t>Prolongacion cuneta Eje 12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TRAMOS'!F37</f>
        <v/>
      </c>
      <c r="K196" s="31" t="n"/>
      <c r="L196" s="30" t="n"/>
    </row>
    <row r="197">
      <c r="A197" s="28" t="inlineStr">
        <is>
          <t>01.04.04.02.02</t>
        </is>
      </c>
      <c r="B197" s="28" t="inlineStr">
        <is>
          <t>REFINE, NIVELACIÓN Y COMPACTACIÓN EN TERRENO NORMAL</t>
        </is>
      </c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>
        <f>SUM(J198:J206)</f>
        <v/>
      </c>
      <c r="L197" s="28" t="inlineStr">
        <is>
          <t>m²</t>
        </is>
      </c>
    </row>
    <row r="198">
      <c r="A198" s="30" t="n"/>
      <c r="B198" s="30" t="inlineStr">
        <is>
          <t>Tramo normal (0+000.00 - 0+026.32)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TRAMOS'!N22</f>
        <v/>
      </c>
      <c r="K198" s="31" t="n"/>
      <c r="L198" s="30" t="n"/>
    </row>
    <row r="199">
      <c r="A199" s="30" t="n"/>
      <c r="B199" s="30" t="inlineStr">
        <is>
          <t>Cruce de camiones (0+026.32 - 0+031.33)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TRAMOS'!N23</f>
        <v/>
      </c>
      <c r="K199" s="31" t="n"/>
      <c r="L199" s="30" t="n"/>
    </row>
    <row r="200">
      <c r="A200" s="30" t="n"/>
      <c r="B200" s="30" t="inlineStr">
        <is>
          <t>Tramo normal (0+031.33 - 0+039.04)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TRAMOS'!N24</f>
        <v/>
      </c>
      <c r="K200" s="31" t="n"/>
      <c r="L200" s="30" t="n"/>
    </row>
    <row r="201">
      <c r="A201" s="30" t="n"/>
      <c r="B201" s="30" t="inlineStr">
        <is>
          <t>Cruce de motos (0+039.04 - 0+041.04)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TRAMOS'!N25</f>
        <v/>
      </c>
      <c r="K201" s="31" t="n"/>
      <c r="L201" s="30" t="n"/>
    </row>
    <row r="202">
      <c r="A202" s="30" t="n"/>
      <c r="B202" s="30" t="inlineStr">
        <is>
          <t>Tramo normal (0+041.04 - 0+058.81)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TRAMOS'!N26</f>
        <v/>
      </c>
      <c r="K202" s="31" t="n"/>
      <c r="L202" s="30" t="n"/>
    </row>
    <row r="203">
      <c r="A203" s="30" t="n"/>
      <c r="B203" s="30" t="inlineStr">
        <is>
          <t>Tramo diagonal (quiebres) (0+058.81 - 0+066.89)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TRAMOS'!N27</f>
        <v/>
      </c>
      <c r="K203" s="31" t="n"/>
      <c r="L203" s="30" t="n"/>
    </row>
    <row r="204">
      <c r="A204" s="30" t="n"/>
      <c r="B204" s="30" t="inlineStr">
        <is>
          <t>Tramo recto final (0+066.89 - 0+069.89)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TRAMOS'!N28</f>
        <v/>
      </c>
      <c r="K204" s="31" t="n"/>
      <c r="L204" s="30" t="n"/>
    </row>
    <row r="205">
      <c r="A205" s="30" t="n"/>
      <c r="B205" s="30" t="inlineStr">
        <is>
          <t>Caja de llegada CL</t>
        </is>
      </c>
      <c r="C205" s="31" t="n">
        <v>1</v>
      </c>
      <c r="D205" s="31" t="n"/>
      <c r="E205" s="31" t="n"/>
      <c r="F205" s="31" t="n"/>
      <c r="G205" s="31" t="n"/>
      <c r="H205" s="31" t="n"/>
      <c r="I205" s="31" t="n"/>
      <c r="J205" s="31">
        <f>'COLECTOR TRAMOS'!G34</f>
        <v/>
      </c>
      <c r="K205" s="31" t="n"/>
      <c r="L205" s="30" t="n"/>
    </row>
    <row r="206">
      <c r="A206" s="30" t="n"/>
      <c r="B206" s="30" t="inlineStr">
        <is>
          <t>Caja de caida CC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TRAMOS'!G35</f>
        <v/>
      </c>
      <c r="K206" s="31" t="n"/>
      <c r="L206" s="30" t="n"/>
    </row>
    <row r="207">
      <c r="A207" s="28" t="inlineStr">
        <is>
          <t>01.04.04.02.03</t>
        </is>
      </c>
      <c r="B207" s="28" t="inlineStr">
        <is>
          <t>RELLENO COMPACTADO CON MATERIAL PROPIO SELECCIONADO (incluye nivelacion del retiro y base de cajas)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>
        <f>SUM(J208:J223)</f>
        <v/>
      </c>
      <c r="L207" s="28" t="inlineStr">
        <is>
          <t>m³</t>
        </is>
      </c>
    </row>
    <row r="208">
      <c r="A208" s="30" t="n"/>
      <c r="B208" s="30" t="inlineStr">
        <is>
          <t>Tramo normal (0+000.00 - 0+026.32)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TRAMOS'!O22</f>
        <v/>
      </c>
      <c r="K208" s="31" t="n"/>
      <c r="L208" s="30" t="n"/>
    </row>
    <row r="209">
      <c r="A209" s="30" t="n"/>
      <c r="B209" s="30" t="inlineStr">
        <is>
          <t>Cruce de camiones (0+026.32 - 0+031.33)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TRAMOS'!O23</f>
        <v/>
      </c>
      <c r="K209" s="31" t="n"/>
      <c r="L209" s="30" t="n"/>
    </row>
    <row r="210">
      <c r="A210" s="30" t="n"/>
      <c r="B210" s="30" t="inlineStr">
        <is>
          <t>Tramo normal (0+031.33 - 0+039.04)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TRAMOS'!O24</f>
        <v/>
      </c>
      <c r="K210" s="31" t="n"/>
      <c r="L210" s="30" t="n"/>
    </row>
    <row r="211">
      <c r="A211" s="30" t="n"/>
      <c r="B211" s="30" t="inlineStr">
        <is>
          <t>Cruce de motos (0+039.04 - 0+041.04)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TRAMOS'!O25</f>
        <v/>
      </c>
      <c r="K211" s="31" t="n"/>
      <c r="L211" s="30" t="n"/>
    </row>
    <row r="212">
      <c r="A212" s="30" t="n"/>
      <c r="B212" s="30" t="inlineStr">
        <is>
          <t>Tramo normal (0+041.04 - 0+058.81)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TRAMOS'!O26</f>
        <v/>
      </c>
      <c r="K212" s="31" t="n"/>
      <c r="L212" s="30" t="n"/>
    </row>
    <row r="213">
      <c r="A213" s="30" t="n"/>
      <c r="B213" s="30" t="inlineStr">
        <is>
          <t>Tramo diagonal (quiebres) (0+058.81 - 0+066.89) - lateral de zanja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TRAMOS'!O27</f>
        <v/>
      </c>
      <c r="K213" s="31" t="n"/>
      <c r="L213" s="30" t="n"/>
    </row>
    <row r="214">
      <c r="A214" s="30" t="n"/>
      <c r="B214" s="30" t="inlineStr">
        <is>
          <t>Tramo recto final (0+066.89 - 0+069.89) - lateral de zanja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TRAMOS'!O28</f>
        <v/>
      </c>
      <c r="K214" s="31" t="n"/>
      <c r="L214" s="30" t="n"/>
    </row>
    <row r="215">
      <c r="A215" s="30" t="n"/>
      <c r="B215" s="30" t="inlineStr">
        <is>
          <t>Tramo normal (0+000.00 - 0+026.32)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TRAMOS'!P22</f>
        <v/>
      </c>
      <c r="K215" s="31" t="n"/>
      <c r="L215" s="30" t="n"/>
    </row>
    <row r="216">
      <c r="A216" s="30" t="n"/>
      <c r="B216" s="30" t="inlineStr">
        <is>
          <t>Cruce de camiones (0+026.32 - 0+031.33)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TRAMOS'!P23</f>
        <v/>
      </c>
      <c r="K216" s="31" t="n"/>
      <c r="L216" s="30" t="n"/>
    </row>
    <row r="217">
      <c r="A217" s="30" t="n"/>
      <c r="B217" s="30" t="inlineStr">
        <is>
          <t>Tramo normal (0+031.33 - 0+039.04)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TRAMOS'!P24</f>
        <v/>
      </c>
      <c r="K217" s="31" t="n"/>
      <c r="L217" s="30" t="n"/>
    </row>
    <row r="218">
      <c r="A218" s="30" t="n"/>
      <c r="B218" s="30" t="inlineStr">
        <is>
          <t>Cruce de motos (0+039.04 - 0+041.04)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TRAMOS'!P25</f>
        <v/>
      </c>
      <c r="K218" s="31" t="n"/>
      <c r="L218" s="30" t="n"/>
    </row>
    <row r="219">
      <c r="A219" s="30" t="n"/>
      <c r="B219" s="30" t="inlineStr">
        <is>
          <t>Tramo normal (0+041.04 - 0+058.81)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TRAMOS'!P26</f>
        <v/>
      </c>
      <c r="K219" s="31" t="n"/>
      <c r="L219" s="30" t="n"/>
    </row>
    <row r="220">
      <c r="A220" s="30" t="n"/>
      <c r="B220" s="30" t="inlineStr">
        <is>
          <t>Tramo diagonal (quiebres) (0+058.81 - 0+066.89) - franja de nivelacion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TRAMOS'!P27</f>
        <v/>
      </c>
      <c r="K220" s="31" t="n"/>
      <c r="L220" s="30" t="n"/>
    </row>
    <row r="221">
      <c r="A221" s="30" t="n"/>
      <c r="B221" s="30" t="inlineStr">
        <is>
          <t>Tramo recto final (0+066.89 - 0+069.89) - franja de nivelacion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TRAMOS'!P28</f>
        <v/>
      </c>
      <c r="K221" s="31" t="n"/>
      <c r="L221" s="30" t="n"/>
    </row>
    <row r="222">
      <c r="A222" s="30" t="n"/>
      <c r="B222" s="30" t="inlineStr">
        <is>
          <t>Caja de llegada CL</t>
        </is>
      </c>
      <c r="C222" s="31" t="n">
        <v>1</v>
      </c>
      <c r="D222" s="31" t="n"/>
      <c r="E222" s="31" t="n"/>
      <c r="F222" s="31" t="n"/>
      <c r="G222" s="31" t="n"/>
      <c r="H222" s="31" t="n"/>
      <c r="I222" s="31" t="n"/>
      <c r="J222" s="31">
        <f>'COLECTOR TRAMOS'!N34</f>
        <v/>
      </c>
      <c r="K222" s="31" t="n"/>
      <c r="L222" s="30" t="n"/>
    </row>
    <row r="223">
      <c r="A223" s="30" t="n"/>
      <c r="B223" s="30" t="inlineStr">
        <is>
          <t>Caja de caida CC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'COLECTOR TRAMOS'!N35</f>
        <v/>
      </c>
      <c r="K223" s="31" t="n"/>
      <c r="L223" s="30" t="n"/>
    </row>
    <row r="224">
      <c r="A224" s="28" t="inlineStr">
        <is>
          <t>01.04.04.02.04</t>
        </is>
      </c>
      <c r="B224" s="28" t="inlineStr">
        <is>
          <t>ELIMINACIÓN DE MATERIAL EXCEDENTE</t>
        </is>
      </c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>
        <f>SUM(J225:J226)*PARAMETROS!$B$16</f>
        <v/>
      </c>
      <c r="L224" s="28" t="inlineStr">
        <is>
          <t>m³</t>
        </is>
      </c>
    </row>
    <row r="225">
      <c r="A225" s="30" t="n"/>
      <c r="B225" s="30" t="inlineStr">
        <is>
          <t>Excavacion de zanjas y cajas</t>
        </is>
      </c>
      <c r="C225" s="31" t="n">
        <v>1</v>
      </c>
      <c r="D225" s="31" t="n"/>
      <c r="E225" s="31" t="n"/>
      <c r="F225" s="31" t="n"/>
      <c r="G225" s="31" t="n"/>
      <c r="H225" s="31" t="n"/>
      <c r="I225" s="31" t="n"/>
      <c r="J225" s="31">
        <f>K185</f>
        <v/>
      </c>
      <c r="K225" s="31" t="n"/>
      <c r="L225" s="30" t="n"/>
    </row>
    <row r="226">
      <c r="A226" s="30" t="n"/>
      <c r="B226" s="30" t="inlineStr">
        <is>
          <t>Relleno compactado (se descuenta)</t>
        </is>
      </c>
      <c r="C226" s="31" t="n">
        <v>-1</v>
      </c>
      <c r="D226" s="31" t="n"/>
      <c r="E226" s="31" t="n"/>
      <c r="F226" s="31" t="n"/>
      <c r="G226" s="31" t="n"/>
      <c r="H226" s="31" t="n"/>
      <c r="I226" s="31" t="n"/>
      <c r="J226" s="31">
        <f>-K207</f>
        <v/>
      </c>
      <c r="K226" s="31" t="n"/>
      <c r="L226" s="30" t="n"/>
    </row>
    <row r="227">
      <c r="A227" s="217" t="inlineStr">
        <is>
          <t>01.04.04.03</t>
        </is>
      </c>
      <c r="B227" s="217" t="inlineStr">
        <is>
          <t>OBRAS DE CONCRETO SIMPLE</t>
        </is>
      </c>
      <c r="C227" s="313" t="n"/>
      <c r="D227" s="313" t="n"/>
      <c r="E227" s="313" t="n"/>
      <c r="F227" s="313" t="n"/>
      <c r="G227" s="313" t="n"/>
      <c r="H227" s="313" t="n"/>
      <c r="I227" s="313" t="n"/>
      <c r="J227" s="313" t="n"/>
      <c r="K227" s="313" t="n"/>
      <c r="L227" s="314" t="n"/>
    </row>
    <row r="228">
      <c r="A228" s="28" t="inlineStr">
        <is>
          <t>01.04.04.03.01</t>
        </is>
      </c>
      <c r="B228" s="28" t="inlineStr">
        <is>
          <t>CONCRETO f'c=100 kg/cm2 PARA SOLADO E=2" (0.05 m)</t>
        </is>
      </c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>
        <f>SUM(J229:J239)</f>
        <v/>
      </c>
      <c r="L228" s="28" t="inlineStr">
        <is>
          <t>m²</t>
        </is>
      </c>
    </row>
    <row r="229">
      <c r="A229" s="30" t="n"/>
      <c r="B229" s="30" t="inlineStr">
        <is>
          <t>Tramo normal (0+000.00 - 0+026.32)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TRAMOS'!Q22</f>
        <v/>
      </c>
      <c r="K229" s="31" t="n"/>
      <c r="L229" s="30" t="n"/>
    </row>
    <row r="230">
      <c r="A230" s="30" t="n"/>
      <c r="B230" s="30" t="inlineStr">
        <is>
          <t>Cruce de camiones (0+026.32 - 0+031.33)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TRAMOS'!Q23</f>
        <v/>
      </c>
      <c r="K230" s="31" t="n"/>
      <c r="L230" s="30" t="n"/>
    </row>
    <row r="231">
      <c r="A231" s="30" t="n"/>
      <c r="B231" s="30" t="inlineStr">
        <is>
          <t>Tramo normal (0+031.33 - 0+039.04)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TRAMOS'!Q24</f>
        <v/>
      </c>
      <c r="K231" s="31" t="n"/>
      <c r="L231" s="30" t="n"/>
    </row>
    <row r="232">
      <c r="A232" s="30" t="n"/>
      <c r="B232" s="30" t="inlineStr">
        <is>
          <t>Cruce de motos (0+039.04 - 0+041.04)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TRAMOS'!Q25</f>
        <v/>
      </c>
      <c r="K232" s="31" t="n"/>
      <c r="L232" s="30" t="n"/>
    </row>
    <row r="233">
      <c r="A233" s="30" t="n"/>
      <c r="B233" s="30" t="inlineStr">
        <is>
          <t>Tramo normal (0+041.04 - 0+058.81)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TRAMOS'!Q26</f>
        <v/>
      </c>
      <c r="K233" s="31" t="n"/>
      <c r="L233" s="30" t="n"/>
    </row>
    <row r="234">
      <c r="A234" s="30" t="n"/>
      <c r="B234" s="30" t="inlineStr">
        <is>
          <t>Tramo diagonal (quiebres) (0+058.81 - 0+066.89)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'COLECTOR TRAMOS'!Q27</f>
        <v/>
      </c>
      <c r="K234" s="31" t="n"/>
      <c r="L234" s="30" t="n"/>
    </row>
    <row r="235">
      <c r="A235" s="30" t="n"/>
      <c r="B235" s="30" t="inlineStr">
        <is>
          <t>Tramo recto final (0+066.89 - 0+069.89)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'COLECTOR TRAMOS'!Q28</f>
        <v/>
      </c>
      <c r="K235" s="31" t="n"/>
      <c r="L235" s="30" t="n"/>
    </row>
    <row r="236">
      <c r="A236" s="30" t="n"/>
      <c r="B236" s="30" t="inlineStr">
        <is>
          <t>Caja de llegada CL</t>
        </is>
      </c>
      <c r="C236" s="31" t="n">
        <v>1</v>
      </c>
      <c r="D236" s="31" t="n"/>
      <c r="E236" s="31" t="n"/>
      <c r="F236" s="31" t="n"/>
      <c r="G236" s="31" t="n"/>
      <c r="H236" s="31" t="n"/>
      <c r="I236" s="31" t="n"/>
      <c r="J236" s="31">
        <f>'COLECTOR TRAMOS'!G34</f>
        <v/>
      </c>
      <c r="K236" s="31" t="n"/>
      <c r="L236" s="30" t="n"/>
    </row>
    <row r="237">
      <c r="A237" s="30" t="n"/>
      <c r="B237" s="30" t="inlineStr">
        <is>
          <t>Caja de caida CC</t>
        </is>
      </c>
      <c r="C237" s="31" t="n">
        <v>1</v>
      </c>
      <c r="D237" s="31" t="n"/>
      <c r="E237" s="31" t="n"/>
      <c r="F237" s="31" t="n"/>
      <c r="G237" s="31" t="n"/>
      <c r="H237" s="31" t="n"/>
      <c r="I237" s="31" t="n"/>
      <c r="J237" s="31">
        <f>'COLECTOR TRAMOS'!G35</f>
        <v/>
      </c>
      <c r="K237" s="31" t="n"/>
      <c r="L237" s="30" t="n"/>
    </row>
    <row r="238">
      <c r="A238" s="30" t="n"/>
      <c r="B238" s="30" t="inlineStr">
        <is>
          <t>Prolongacion cuneta Eje 11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TRAMOS'!G36</f>
        <v/>
      </c>
      <c r="K238" s="31" t="n"/>
      <c r="L238" s="30" t="n"/>
    </row>
    <row r="239">
      <c r="A239" s="30" t="n"/>
      <c r="B239" s="30" t="inlineStr">
        <is>
          <t>Prolongacion cuneta Eje 12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TRAMOS'!G37</f>
        <v/>
      </c>
      <c r="K239" s="31" t="n"/>
      <c r="L239" s="30" t="n"/>
    </row>
    <row r="240">
      <c r="A240" s="217" t="inlineStr">
        <is>
          <t>01.04.04.04</t>
        </is>
      </c>
      <c r="B240" s="217" t="inlineStr">
        <is>
          <t>OBRAS DE CONCRETO ARMADO - COLECTOR Y CAJAS</t>
        </is>
      </c>
      <c r="C240" s="313" t="n"/>
      <c r="D240" s="313" t="n"/>
      <c r="E240" s="313" t="n"/>
      <c r="F240" s="313" t="n"/>
      <c r="G240" s="313" t="n"/>
      <c r="H240" s="313" t="n"/>
      <c r="I240" s="313" t="n"/>
      <c r="J240" s="313" t="n"/>
      <c r="K240" s="313" t="n"/>
      <c r="L240" s="314" t="n"/>
    </row>
    <row r="241">
      <c r="A241" s="28" t="inlineStr">
        <is>
          <t>01.04.04.04.01</t>
        </is>
      </c>
      <c r="B241" s="28" t="inlineStr">
        <is>
          <t>CONCRETO f'c=210 kg/cm2 EN LOSA DE FONDO</t>
        </is>
      </c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>
        <f>SUM(J242:J250)</f>
        <v/>
      </c>
      <c r="L241" s="28" t="inlineStr">
        <is>
          <t>m³</t>
        </is>
      </c>
    </row>
    <row r="242">
      <c r="A242" s="30" t="n"/>
      <c r="B242" s="30" t="inlineStr">
        <is>
          <t>Tramo normal (0+000.00 - 0+026.32)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TRAMOS'!R22</f>
        <v/>
      </c>
      <c r="K242" s="31" t="n"/>
      <c r="L242" s="30" t="n"/>
    </row>
    <row r="243">
      <c r="A243" s="30" t="n"/>
      <c r="B243" s="30" t="inlineStr">
        <is>
          <t>Cruce de camiones (0+026.32 - 0+031.33)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TRAMOS'!R23</f>
        <v/>
      </c>
      <c r="K243" s="31" t="n"/>
      <c r="L243" s="30" t="n"/>
    </row>
    <row r="244">
      <c r="A244" s="30" t="n"/>
      <c r="B244" s="30" t="inlineStr">
        <is>
          <t>Tramo normal (0+031.33 - 0+039.04)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TRAMOS'!R24</f>
        <v/>
      </c>
      <c r="K244" s="31" t="n"/>
      <c r="L244" s="30" t="n"/>
    </row>
    <row r="245">
      <c r="A245" s="30" t="n"/>
      <c r="B245" s="30" t="inlineStr">
        <is>
          <t>Cruce de motos (0+039.04 - 0+041.04)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'COLECTOR TRAMOS'!R25</f>
        <v/>
      </c>
      <c r="K245" s="31" t="n"/>
      <c r="L245" s="30" t="n"/>
    </row>
    <row r="246">
      <c r="A246" s="30" t="n"/>
      <c r="B246" s="30" t="inlineStr">
        <is>
          <t>Tramo normal (0+041.04 - 0+058.81)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'COLECTOR TRAMOS'!R26</f>
        <v/>
      </c>
      <c r="K246" s="31" t="n"/>
      <c r="L246" s="30" t="n"/>
    </row>
    <row r="247">
      <c r="A247" s="30" t="n"/>
      <c r="B247" s="30" t="inlineStr">
        <is>
          <t>Tramo diagonal (quiebres) (0+058.81 - 0+066.89)</t>
        </is>
      </c>
      <c r="C247" s="31" t="n">
        <v>1</v>
      </c>
      <c r="D247" s="31" t="n"/>
      <c r="E247" s="31" t="n"/>
      <c r="F247" s="31" t="n"/>
      <c r="G247" s="31" t="n"/>
      <c r="H247" s="31" t="n"/>
      <c r="I247" s="31" t="n"/>
      <c r="J247" s="31">
        <f>'COLECTOR TRAMOS'!R27</f>
        <v/>
      </c>
      <c r="K247" s="31" t="n"/>
      <c r="L247" s="30" t="n"/>
    </row>
    <row r="248">
      <c r="A248" s="30" t="n"/>
      <c r="B248" s="30" t="inlineStr">
        <is>
          <t>Tramo recto final (0+066.89 - 0+069.89)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TRAMOS'!R28</f>
        <v/>
      </c>
      <c r="K248" s="31" t="n"/>
      <c r="L248" s="30" t="n"/>
    </row>
    <row r="249">
      <c r="A249" s="30" t="n"/>
      <c r="B249" s="30" t="inlineStr">
        <is>
          <t>Caja de llegada CL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TRAMOS'!H34</f>
        <v/>
      </c>
      <c r="K249" s="31" t="n"/>
      <c r="L249" s="30" t="n"/>
    </row>
    <row r="250">
      <c r="A250" s="30" t="n"/>
      <c r="B250" s="30" t="inlineStr">
        <is>
          <t>Caja de caida CC (incluye umbral)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TRAMOS'!H35</f>
        <v/>
      </c>
      <c r="K250" s="31" t="n"/>
      <c r="L250" s="30" t="n"/>
    </row>
    <row r="251">
      <c r="A251" s="28" t="inlineStr">
        <is>
          <t>01.04.04.04.02</t>
        </is>
      </c>
      <c r="B251" s="28" t="inlineStr">
        <is>
          <t>CONCRETO f'c=210 kg/cm2 EN MUROS</t>
        </is>
      </c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>
        <f>SUM(J252:J260)</f>
        <v/>
      </c>
      <c r="L251" s="28" t="inlineStr">
        <is>
          <t>m³</t>
        </is>
      </c>
    </row>
    <row r="252">
      <c r="A252" s="30" t="n"/>
      <c r="B252" s="30" t="inlineStr">
        <is>
          <t>Tramo normal (0+000.00 - 0+026.32)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TRAMOS'!S22</f>
        <v/>
      </c>
      <c r="K252" s="31" t="n"/>
      <c r="L252" s="30" t="n"/>
    </row>
    <row r="253">
      <c r="A253" s="30" t="n"/>
      <c r="B253" s="30" t="inlineStr">
        <is>
          <t>Cruce de camiones (0+026.32 - 0+031.33)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TRAMOS'!S23</f>
        <v/>
      </c>
      <c r="K253" s="31" t="n"/>
      <c r="L253" s="30" t="n"/>
    </row>
    <row r="254">
      <c r="A254" s="30" t="n"/>
      <c r="B254" s="30" t="inlineStr">
        <is>
          <t>Tramo normal (0+031.33 - 0+039.04)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TRAMOS'!S24</f>
        <v/>
      </c>
      <c r="K254" s="31" t="n"/>
      <c r="L254" s="30" t="n"/>
    </row>
    <row r="255">
      <c r="A255" s="30" t="n"/>
      <c r="B255" s="30" t="inlineStr">
        <is>
          <t>Cruce de motos (0+039.04 - 0+041.04)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'COLECTOR TRAMOS'!S25</f>
        <v/>
      </c>
      <c r="K255" s="31" t="n"/>
      <c r="L255" s="30" t="n"/>
    </row>
    <row r="256">
      <c r="A256" s="30" t="n"/>
      <c r="B256" s="30" t="inlineStr">
        <is>
          <t>Tramo normal (0+041.04 - 0+058.81)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'COLECTOR TRAMOS'!S26</f>
        <v/>
      </c>
      <c r="K256" s="31" t="n"/>
      <c r="L256" s="30" t="n"/>
    </row>
    <row r="257">
      <c r="A257" s="30" t="n"/>
      <c r="B257" s="30" t="inlineStr">
        <is>
          <t>Tramo diagonal (quiebres) (0+058.81 - 0+066.89)</t>
        </is>
      </c>
      <c r="C257" s="31" t="n">
        <v>1</v>
      </c>
      <c r="D257" s="31" t="n"/>
      <c r="E257" s="31" t="n"/>
      <c r="F257" s="31" t="n"/>
      <c r="G257" s="31" t="n"/>
      <c r="H257" s="31" t="n"/>
      <c r="I257" s="31" t="n"/>
      <c r="J257" s="31">
        <f>'COLECTOR TRAMOS'!S27</f>
        <v/>
      </c>
      <c r="K257" s="31" t="n"/>
      <c r="L257" s="30" t="n"/>
    </row>
    <row r="258">
      <c r="A258" s="30" t="n"/>
      <c r="B258" s="30" t="inlineStr">
        <is>
          <t>Tramo recto final (0+066.89 - 0+069.89)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TRAMOS'!S28</f>
        <v/>
      </c>
      <c r="K258" s="31" t="n"/>
      <c r="L258" s="30" t="n"/>
    </row>
    <row r="259">
      <c r="A259" s="30" t="n"/>
      <c r="B259" s="30" t="inlineStr">
        <is>
          <t>Caja de llegada CL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TRAMOS'!I34</f>
        <v/>
      </c>
      <c r="K259" s="31" t="n"/>
      <c r="L259" s="30" t="n"/>
    </row>
    <row r="260">
      <c r="A260" s="30" t="n"/>
      <c r="B260" s="30" t="inlineStr">
        <is>
          <t>Caja de caida CC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TRAMOS'!I35</f>
        <v/>
      </c>
      <c r="K260" s="31" t="n"/>
      <c r="L260" s="30" t="n"/>
    </row>
    <row r="261">
      <c r="A261" s="28" t="inlineStr">
        <is>
          <t>01.04.04.04.03</t>
        </is>
      </c>
      <c r="B261" s="28" t="inlineStr">
        <is>
          <t>CONCRETO f'c=210 kg/cm2 EN LOSA SUPERIOR (incluye bordes de registro)</t>
        </is>
      </c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>
        <f>SUM(J262:J272)</f>
        <v/>
      </c>
      <c r="L261" s="28" t="inlineStr">
        <is>
          <t>m³</t>
        </is>
      </c>
    </row>
    <row r="262">
      <c r="A262" s="30" t="n"/>
      <c r="B262" s="30" t="inlineStr">
        <is>
          <t>Tramo normal (0+000.00 - 0+026.32)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TRAMOS'!T22</f>
        <v/>
      </c>
      <c r="K262" s="31" t="n"/>
      <c r="L262" s="30" t="n"/>
    </row>
    <row r="263">
      <c r="A263" s="30" t="n"/>
      <c r="B263" s="30" t="inlineStr">
        <is>
          <t>Cruce de camiones (0+026.32 - 0+031.33)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TRAMOS'!T23</f>
        <v/>
      </c>
      <c r="K263" s="31" t="n"/>
      <c r="L263" s="30" t="n"/>
    </row>
    <row r="264">
      <c r="A264" s="30" t="n"/>
      <c r="B264" s="30" t="inlineStr">
        <is>
          <t>Tramo normal (0+031.33 - 0+039.04)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TRAMOS'!T24</f>
        <v/>
      </c>
      <c r="K264" s="31" t="n"/>
      <c r="L264" s="30" t="n"/>
    </row>
    <row r="265">
      <c r="A265" s="30" t="n"/>
      <c r="B265" s="30" t="inlineStr">
        <is>
          <t>Cruce de motos (0+039.04 - 0+041.04)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'COLECTOR TRAMOS'!T25</f>
        <v/>
      </c>
      <c r="K265" s="31" t="n"/>
      <c r="L265" s="30" t="n"/>
    </row>
    <row r="266">
      <c r="A266" s="30" t="n"/>
      <c r="B266" s="30" t="inlineStr">
        <is>
          <t>Tramo normal (0+041.04 - 0+058.81)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'COLECTOR TRAMOS'!T26</f>
        <v/>
      </c>
      <c r="K266" s="31" t="n"/>
      <c r="L266" s="30" t="n"/>
    </row>
    <row r="267">
      <c r="A267" s="30" t="n"/>
      <c r="B267" s="30" t="inlineStr">
        <is>
          <t>Tramo diagonal (quiebres) (0+058.81 - 0+066.89)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TRAMOS'!T27</f>
        <v/>
      </c>
      <c r="K267" s="31" t="n"/>
      <c r="L267" s="30" t="n"/>
    </row>
    <row r="268">
      <c r="A268" s="30" t="n"/>
      <c r="B268" s="30" t="inlineStr">
        <is>
          <t>Tramo recto final (0+066.89 - 0+069.89)</t>
        </is>
      </c>
      <c r="C268" s="31" t="n">
        <v>1</v>
      </c>
      <c r="D268" s="31" t="n"/>
      <c r="E268" s="31" t="n"/>
      <c r="F268" s="31" t="n"/>
      <c r="G268" s="31" t="n"/>
      <c r="H268" s="31" t="n"/>
      <c r="I268" s="31" t="n"/>
      <c r="J268" s="31">
        <f>'COLECTOR TRAMOS'!T28</f>
        <v/>
      </c>
      <c r="K268" s="31" t="n"/>
      <c r="L268" s="30" t="n"/>
    </row>
    <row r="269">
      <c r="A269" s="30" t="n"/>
      <c r="B269" s="30" t="inlineStr">
        <is>
          <t>Caja de llegada CL</t>
        </is>
      </c>
      <c r="C269" s="31" t="n">
        <v>1</v>
      </c>
      <c r="D269" s="31" t="n"/>
      <c r="E269" s="31" t="n"/>
      <c r="F269" s="31" t="n"/>
      <c r="G269" s="31" t="n"/>
      <c r="H269" s="31" t="n"/>
      <c r="I269" s="31" t="n"/>
      <c r="J269" s="31">
        <f>'COLECTOR TRAMOS'!J34</f>
        <v/>
      </c>
      <c r="K269" s="31" t="n"/>
      <c r="L269" s="30" t="n"/>
    </row>
    <row r="270">
      <c r="A270" s="30" t="n"/>
      <c r="B270" s="30" t="inlineStr">
        <is>
          <t>Caja de caida CC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TRAMOS'!J35</f>
        <v/>
      </c>
      <c r="K270" s="31" t="n"/>
      <c r="L270" s="30" t="n"/>
    </row>
    <row r="271">
      <c r="A271" s="30" t="n"/>
      <c r="B271" s="30" t="inlineStr">
        <is>
          <t>Bordes engrosados de abertura de registros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TAPAS'!G20</f>
        <v/>
      </c>
      <c r="K271" s="31" t="n"/>
      <c r="L271" s="30" t="n"/>
    </row>
    <row r="272">
      <c r="A272" s="30" t="n"/>
      <c r="B272" s="30" t="inlineStr">
        <is>
          <t>Descuento de aberturas de registro 0.70 x 0.70 x 0.10</t>
        </is>
      </c>
      <c r="C272" s="31" t="n">
        <v>-1</v>
      </c>
      <c r="D272" s="31" t="n"/>
      <c r="E272" s="31" t="n"/>
      <c r="F272" s="31" t="n"/>
      <c r="G272" s="31" t="n"/>
      <c r="H272" s="31" t="n"/>
      <c r="I272" s="31" t="n"/>
      <c r="J272" s="31">
        <f>-'COLECTOR TAPAS'!$B$3*0.70*0.70*0.10</f>
        <v/>
      </c>
      <c r="K272" s="31" t="n"/>
      <c r="L272" s="30" t="n"/>
    </row>
    <row r="273">
      <c r="A273" s="28" t="inlineStr">
        <is>
          <t>01.04.04.04.04</t>
        </is>
      </c>
      <c r="B273" s="28" t="inlineStr">
        <is>
          <t>ENCOFRADO Y DESENCOFRADO NORMAL EN COLECTOR Y CAJAS</t>
        </is>
      </c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>
        <f>SUM(J274:J282)</f>
        <v/>
      </c>
      <c r="L273" s="28" t="inlineStr">
        <is>
          <t>m²</t>
        </is>
      </c>
    </row>
    <row r="274">
      <c r="A274" s="30" t="n"/>
      <c r="B274" s="30" t="inlineStr">
        <is>
          <t>Tramo normal (0+000.00 - 0+026.32)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TRAMOS'!U22</f>
        <v/>
      </c>
      <c r="K274" s="31" t="n"/>
      <c r="L274" s="30" t="n"/>
    </row>
    <row r="275">
      <c r="A275" s="30" t="n"/>
      <c r="B275" s="30" t="inlineStr">
        <is>
          <t>Cruce de camiones (0+026.32 - 0+031.33)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TRAMOS'!U23</f>
        <v/>
      </c>
      <c r="K275" s="31" t="n"/>
      <c r="L275" s="30" t="n"/>
    </row>
    <row r="276">
      <c r="A276" s="30" t="n"/>
      <c r="B276" s="30" t="inlineStr">
        <is>
          <t>Tramo normal (0+031.33 - 0+039.04)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TRAMOS'!U24</f>
        <v/>
      </c>
      <c r="K276" s="31" t="n"/>
      <c r="L276" s="30" t="n"/>
    </row>
    <row r="277">
      <c r="A277" s="30" t="n"/>
      <c r="B277" s="30" t="inlineStr">
        <is>
          <t>Cruce de motos (0+039.04 - 0+041.04)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'COLECTOR TRAMOS'!U25</f>
        <v/>
      </c>
      <c r="K277" s="31" t="n"/>
      <c r="L277" s="30" t="n"/>
    </row>
    <row r="278">
      <c r="A278" s="30" t="n"/>
      <c r="B278" s="30" t="inlineStr">
        <is>
          <t>Tramo normal (0+041.04 - 0+058.81)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'COLECTOR TRAMOS'!U26</f>
        <v/>
      </c>
      <c r="K278" s="31" t="n"/>
      <c r="L278" s="30" t="n"/>
    </row>
    <row r="279">
      <c r="A279" s="30" t="n"/>
      <c r="B279" s="30" t="inlineStr">
        <is>
          <t>Tramo diagonal (quiebres) (0+058.81 - 0+066.89)</t>
        </is>
      </c>
      <c r="C279" s="31" t="n">
        <v>1</v>
      </c>
      <c r="D279" s="31" t="n"/>
      <c r="E279" s="31" t="n"/>
      <c r="F279" s="31" t="n"/>
      <c r="G279" s="31" t="n"/>
      <c r="H279" s="31" t="n"/>
      <c r="I279" s="31" t="n"/>
      <c r="J279" s="31">
        <f>'COLECTOR TRAMOS'!U27</f>
        <v/>
      </c>
      <c r="K279" s="31" t="n"/>
      <c r="L279" s="30" t="n"/>
    </row>
    <row r="280">
      <c r="A280" s="30" t="n"/>
      <c r="B280" s="30" t="inlineStr">
        <is>
          <t>Tramo recto final (0+066.89 - 0+069.89)</t>
        </is>
      </c>
      <c r="C280" s="31" t="n">
        <v>1</v>
      </c>
      <c r="D280" s="31" t="n"/>
      <c r="E280" s="31" t="n"/>
      <c r="F280" s="31" t="n"/>
      <c r="G280" s="31" t="n"/>
      <c r="H280" s="31" t="n"/>
      <c r="I280" s="31" t="n"/>
      <c r="J280" s="31">
        <f>'COLECTOR TRAMOS'!U28</f>
        <v/>
      </c>
      <c r="K280" s="31" t="n"/>
      <c r="L280" s="30" t="n"/>
    </row>
    <row r="281">
      <c r="A281" s="30" t="n"/>
      <c r="B281" s="30" t="inlineStr">
        <is>
          <t>Caja de llegada CL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TRAMOS'!K34</f>
        <v/>
      </c>
      <c r="K281" s="31" t="n"/>
      <c r="L281" s="30" t="n"/>
    </row>
    <row r="282">
      <c r="A282" s="30" t="n"/>
      <c r="B282" s="30" t="inlineStr">
        <is>
          <t>Caja de caida CC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TRAMOS'!K35</f>
        <v/>
      </c>
      <c r="K282" s="31" t="n"/>
      <c r="L282" s="30" t="n"/>
    </row>
    <row r="283">
      <c r="A283" s="28" t="inlineStr">
        <is>
          <t>01.04.04.04.05</t>
        </is>
      </c>
      <c r="B283" s="28" t="inlineStr">
        <is>
          <t>ACERO DE REFUERZO fy=4200 kg/cm2 EN COLECTOR Y CAJAS</t>
        </is>
      </c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>
        <f>+'COLECTOR ACERO'!H13</f>
        <v/>
      </c>
      <c r="L283" s="28" t="inlineStr">
        <is>
          <t>kg</t>
        </is>
      </c>
    </row>
    <row r="284">
      <c r="A284" s="28" t="inlineStr">
        <is>
          <t>01.04.04.04.06</t>
        </is>
      </c>
      <c r="B284" s="28" t="inlineStr">
        <is>
          <t>ACABADO FROTACHADO Y BRUÑADO DE LOSA SUPERIOR</t>
        </is>
      </c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>
        <f>SUM(J285:J293)</f>
        <v/>
      </c>
      <c r="L284" s="28" t="inlineStr">
        <is>
          <t>m²</t>
        </is>
      </c>
    </row>
    <row r="285">
      <c r="A285" s="30" t="n"/>
      <c r="B285" s="30" t="inlineStr">
        <is>
          <t>Tramo normal (0+000.00 - 0+026.32)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TRAMOS'!V22</f>
        <v/>
      </c>
      <c r="K285" s="31" t="n"/>
      <c r="L285" s="30" t="n"/>
    </row>
    <row r="286">
      <c r="A286" s="30" t="n"/>
      <c r="B286" s="30" t="inlineStr">
        <is>
          <t>Cruce de camiones (0+026.32 - 0+031.33)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TRAMOS'!V23</f>
        <v/>
      </c>
      <c r="K286" s="31" t="n"/>
      <c r="L286" s="30" t="n"/>
    </row>
    <row r="287">
      <c r="A287" s="30" t="n"/>
      <c r="B287" s="30" t="inlineStr">
        <is>
          <t>Tramo normal (0+031.33 - 0+039.04)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'COLECTOR TRAMOS'!V24</f>
        <v/>
      </c>
      <c r="K287" s="31" t="n"/>
      <c r="L287" s="30" t="n"/>
    </row>
    <row r="288">
      <c r="A288" s="30" t="n"/>
      <c r="B288" s="30" t="inlineStr">
        <is>
          <t>Cruce de motos (0+039.04 - 0+041.04)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'COLECTOR TRAMOS'!V25</f>
        <v/>
      </c>
      <c r="K288" s="31" t="n"/>
      <c r="L288" s="30" t="n"/>
    </row>
    <row r="289">
      <c r="A289" s="30" t="n"/>
      <c r="B289" s="30" t="inlineStr">
        <is>
          <t>Tramo normal (0+041.04 - 0+058.81)</t>
        </is>
      </c>
      <c r="C289" s="31" t="n">
        <v>1</v>
      </c>
      <c r="D289" s="31" t="n"/>
      <c r="E289" s="31" t="n"/>
      <c r="F289" s="31" t="n"/>
      <c r="G289" s="31" t="n"/>
      <c r="H289" s="31" t="n"/>
      <c r="I289" s="31" t="n"/>
      <c r="J289" s="31">
        <f>'COLECTOR TRAMOS'!V26</f>
        <v/>
      </c>
      <c r="K289" s="31" t="n"/>
      <c r="L289" s="30" t="n"/>
    </row>
    <row r="290">
      <c r="A290" s="30" t="n"/>
      <c r="B290" s="30" t="inlineStr">
        <is>
          <t>Tramo diagonal (quiebres) (0+058.81 - 0+066.89)</t>
        </is>
      </c>
      <c r="C290" s="31" t="n">
        <v>1</v>
      </c>
      <c r="D290" s="31" t="n"/>
      <c r="E290" s="31" t="n"/>
      <c r="F290" s="31" t="n"/>
      <c r="G290" s="31" t="n"/>
      <c r="H290" s="31" t="n"/>
      <c r="I290" s="31" t="n"/>
      <c r="J290" s="31">
        <f>'COLECTOR TRAMOS'!V27</f>
        <v/>
      </c>
      <c r="K290" s="31" t="n"/>
      <c r="L290" s="30" t="n"/>
    </row>
    <row r="291">
      <c r="A291" s="30" t="n"/>
      <c r="B291" s="30" t="inlineStr">
        <is>
          <t>Tramo recto final (0+066.89 - 0+069.89)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'COLECTOR TRAMOS'!V28</f>
        <v/>
      </c>
      <c r="K291" s="31" t="n"/>
      <c r="L291" s="30" t="n"/>
    </row>
    <row r="292">
      <c r="A292" s="30" t="n"/>
      <c r="B292" s="30" t="inlineStr">
        <is>
          <t>Caja de llegada CL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'COLECTOR TRAMOS'!M34</f>
        <v/>
      </c>
      <c r="K292" s="31" t="n"/>
      <c r="L292" s="30" t="n"/>
    </row>
    <row r="293">
      <c r="A293" s="30" t="n"/>
      <c r="B293" s="30" t="inlineStr">
        <is>
          <t>Caja de caida CC</t>
        </is>
      </c>
      <c r="C293" s="31" t="n">
        <v>1</v>
      </c>
      <c r="D293" s="31" t="n"/>
      <c r="E293" s="31" t="n"/>
      <c r="F293" s="31" t="n"/>
      <c r="G293" s="31" t="n"/>
      <c r="H293" s="31" t="n"/>
      <c r="I293" s="31" t="n"/>
      <c r="J293" s="31">
        <f>'COLECTOR TRAMOS'!M35</f>
        <v/>
      </c>
      <c r="K293" s="31" t="n"/>
      <c r="L293" s="30" t="n"/>
    </row>
    <row r="294">
      <c r="A294" s="28" t="inlineStr">
        <is>
          <t>01.04.04.04.07</t>
        </is>
      </c>
      <c r="B294" s="28" t="inlineStr">
        <is>
          <t>CURADO DE CONCRETO EN COLECTOR Y CAJAS</t>
        </is>
      </c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>
        <f>SUM(J295:J296)</f>
        <v/>
      </c>
      <c r="L294" s="28" t="inlineStr">
        <is>
          <t>m²</t>
        </is>
      </c>
    </row>
    <row r="295">
      <c r="A295" s="30" t="n"/>
      <c r="B295" s="30" t="inlineStr">
        <is>
          <t>Losa superior (igual al acabado)</t>
        </is>
      </c>
      <c r="C295" s="31" t="n">
        <v>1</v>
      </c>
      <c r="D295" s="31" t="n"/>
      <c r="E295" s="31" t="n"/>
      <c r="F295" s="31" t="n"/>
      <c r="G295" s="31" t="n"/>
      <c r="H295" s="31" t="n"/>
      <c r="I295" s="31" t="n"/>
      <c r="J295" s="31">
        <f>K284</f>
        <v/>
      </c>
      <c r="K295" s="31" t="n"/>
      <c r="L295" s="30" t="n"/>
    </row>
    <row r="296">
      <c r="A296" s="30" t="n"/>
      <c r="B296" s="30" t="inlineStr">
        <is>
          <t>Caras exteriores de muros (2 x altura x longitud)</t>
        </is>
      </c>
      <c r="C296" s="31" t="n">
        <v>1</v>
      </c>
      <c r="D296" s="31" t="n"/>
      <c r="E296" s="31" t="n"/>
      <c r="F296" s="31" t="n"/>
      <c r="G296" s="31" t="n"/>
      <c r="H296" s="31" t="n"/>
      <c r="I296" s="31" t="n"/>
      <c r="J296" s="31">
        <f>0.5*'COLECTOR TRAMOS'!U29</f>
        <v/>
      </c>
      <c r="K296" s="31" t="n"/>
      <c r="L296" s="30" t="n"/>
    </row>
    <row r="297">
      <c r="A297" s="217" t="inlineStr">
        <is>
          <t>01.04.04.05</t>
        </is>
      </c>
      <c r="B297" s="217" t="inlineStr">
        <is>
          <t>REGISTROS DE LIMPIEZA Y TAPAS</t>
        </is>
      </c>
      <c r="C297" s="313" t="n"/>
      <c r="D297" s="313" t="n"/>
      <c r="E297" s="313" t="n"/>
      <c r="F297" s="313" t="n"/>
      <c r="G297" s="313" t="n"/>
      <c r="H297" s="313" t="n"/>
      <c r="I297" s="313" t="n"/>
      <c r="J297" s="313" t="n"/>
      <c r="K297" s="313" t="n"/>
      <c r="L297" s="314" t="n"/>
    </row>
    <row r="298">
      <c r="A298" s="28" t="inlineStr">
        <is>
          <t>01.04.04.05.01</t>
        </is>
      </c>
      <c r="B298" s="28" t="inlineStr">
        <is>
          <t>CONTRAMARCO METALICO L 2"x2"x3/16" CON ANCLAJES</t>
        </is>
      </c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>
        <f>+'COLECTOR TAPAS'!G15</f>
        <v/>
      </c>
      <c r="L298" s="28" t="inlineStr">
        <is>
          <t>und</t>
        </is>
      </c>
    </row>
    <row r="299">
      <c r="A299" s="28" t="inlineStr">
        <is>
          <t>01.04.04.05.02</t>
        </is>
      </c>
      <c r="B299" s="28" t="inlineStr">
        <is>
          <t>MARCO METALICO DE TAPA L 1 1/2"x1 1/2"x1/8"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+'COLECTOR TAPAS'!G16</f>
        <v/>
      </c>
      <c r="L299" s="28" t="inlineStr">
        <is>
          <t>und</t>
        </is>
      </c>
    </row>
    <row r="300">
      <c r="A300" s="28" t="inlineStr">
        <is>
          <t>01.04.04.05.03</t>
        </is>
      </c>
      <c r="B300" s="28" t="inlineStr">
        <is>
          <t>ANGULOS METALICOS P/MARCO Y CONTRAMARCO (incluye soldadura)</t>
        </is>
      </c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>
        <f>+'COLECTOR TAPAS'!G17</f>
        <v/>
      </c>
      <c r="L300" s="28" t="inlineStr">
        <is>
          <t>kg</t>
        </is>
      </c>
    </row>
    <row r="301">
      <c r="A301" s="28" t="inlineStr">
        <is>
          <t>01.04.04.05.04</t>
        </is>
      </c>
      <c r="B301" s="28" t="inlineStr">
        <is>
          <t>TAPA DE CONCRETO ARMADO 0.68 x 0.68 x 0.08 m (incluye acero y asas)</t>
        </is>
      </c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>
        <f>+'COLECTOR TAPAS'!G18</f>
        <v/>
      </c>
      <c r="L301" s="28" t="inlineStr">
        <is>
          <t>und</t>
        </is>
      </c>
    </row>
    <row r="302">
      <c r="A302" s="28" t="inlineStr">
        <is>
          <t>01.04.04.05.05</t>
        </is>
      </c>
      <c r="B302" s="28" t="inlineStr">
        <is>
          <t>CONCRETO f'c=210 kg/cm2 EN TAPAS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>
        <f>+'COLECTOR TAPAS'!G19</f>
        <v/>
      </c>
      <c r="L302" s="28" t="inlineStr">
        <is>
          <t>m³</t>
        </is>
      </c>
    </row>
    <row r="303">
      <c r="A303" s="28" t="inlineStr">
        <is>
          <t>01.04.04.05.06</t>
        </is>
      </c>
      <c r="B303" s="28" t="inlineStr">
        <is>
          <t>ACERO DE REFUERZO fy=4200 kg/cm2 EN TAPAS, BORDES Y ANCLAJES</t>
        </is>
      </c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>
        <f>+'COLECTOR ACERO'!H14</f>
        <v/>
      </c>
      <c r="L303" s="28" t="inlineStr">
        <is>
          <t>kg</t>
        </is>
      </c>
    </row>
    <row r="304">
      <c r="A304" s="28" t="inlineStr">
        <is>
          <t>01.04.04.05.07</t>
        </is>
      </c>
      <c r="B304" s="28" t="inlineStr">
        <is>
          <t>PINTURA ANTICORROSIVA Y ESMALTE EN ANGULOS</t>
        </is>
      </c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>
        <f>+'COLECTOR TAPAS'!G21</f>
        <v/>
      </c>
      <c r="L304" s="28" t="inlineStr">
        <is>
          <t>m²</t>
        </is>
      </c>
    </row>
    <row r="305">
      <c r="A305" s="217" t="inlineStr">
        <is>
          <t>01.04.04.06</t>
        </is>
      </c>
      <c r="B305" s="217" t="inlineStr">
        <is>
          <t>JUNTAS, EMPALMES Y PROLONGACION DE CUNETAS</t>
        </is>
      </c>
      <c r="C305" s="313" t="n"/>
      <c r="D305" s="313" t="n"/>
      <c r="E305" s="313" t="n"/>
      <c r="F305" s="313" t="n"/>
      <c r="G305" s="313" t="n"/>
      <c r="H305" s="313" t="n"/>
      <c r="I305" s="313" t="n"/>
      <c r="J305" s="313" t="n"/>
      <c r="K305" s="313" t="n"/>
      <c r="L305" s="314" t="n"/>
    </row>
    <row r="306">
      <c r="A306" s="28" t="inlineStr">
        <is>
          <t>01.04.04.06.01</t>
        </is>
      </c>
      <c r="B306" s="28" t="inlineStr">
        <is>
          <t>JUNTA DE DILATACION E=1" CON TECNOPOR Y SELLADOR ELASTOMERICO</t>
        </is>
      </c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>
        <f>SUM(J307:J307)</f>
        <v/>
      </c>
      <c r="L306" s="28" t="inlineStr">
        <is>
          <t>m</t>
        </is>
      </c>
    </row>
    <row r="307">
      <c r="A307" s="30" t="n"/>
      <c r="B307" s="30" t="inlineStr">
        <is>
          <t>Juntas cada 4.00 m (perimetro de la seccion)</t>
        </is>
      </c>
      <c r="C307" s="31" t="n">
        <v>17</v>
      </c>
      <c r="D307" s="31" t="n">
        <v>5.9</v>
      </c>
      <c r="E307" s="31" t="n"/>
      <c r="F307" s="31" t="n"/>
      <c r="G307" s="31" t="n"/>
      <c r="H307" s="31" t="n"/>
      <c r="I307" s="31" t="n"/>
      <c r="J307" s="31">
        <f>C307*D307</f>
        <v/>
      </c>
      <c r="K307" s="31" t="n"/>
      <c r="L307" s="30" t="n"/>
    </row>
    <row r="308">
      <c r="A308" s="28" t="inlineStr">
        <is>
          <t>01.04.04.06.02</t>
        </is>
      </c>
      <c r="B308" s="28" t="inlineStr">
        <is>
          <t>JUNTA DE TECNOPOR E=1" ENTRE COLECTOR, CERCO Y PISO ADYACENTE</t>
        </is>
      </c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>
        <f>SUM(J309:J310)</f>
        <v/>
      </c>
      <c r="L308" s="28" t="inlineStr">
        <is>
          <t>m</t>
        </is>
      </c>
    </row>
    <row r="309">
      <c r="A309" s="30" t="n"/>
      <c r="B309" s="30" t="inlineStr">
        <is>
          <t>Contra el cimiento del cerco (tramo pegado al cerco)</t>
        </is>
      </c>
      <c r="C309" s="31" t="n">
        <v>1</v>
      </c>
      <c r="D309" s="31" t="n">
        <v>58.81</v>
      </c>
      <c r="E309" s="31" t="n"/>
      <c r="F309" s="31" t="n"/>
      <c r="G309" s="31" t="n"/>
      <c r="H309" s="31" t="n"/>
      <c r="I309" s="31" t="n"/>
      <c r="J309" s="31">
        <f>C309*D309</f>
        <v/>
      </c>
      <c r="K309" s="31" t="n"/>
      <c r="L309" s="30" t="n"/>
    </row>
    <row r="310">
      <c r="A310" s="30" t="n"/>
      <c r="B310" s="30" t="inlineStr">
        <is>
          <t>Borde de losa con el piso adyacente (ambos lados, colector y cajas)</t>
        </is>
      </c>
      <c r="C310" s="31" t="n">
        <v>1</v>
      </c>
      <c r="D310" s="31" t="n">
        <v>150.97</v>
      </c>
      <c r="E310" s="31" t="n"/>
      <c r="F310" s="31" t="n"/>
      <c r="G310" s="31" t="n"/>
      <c r="H310" s="31" t="n"/>
      <c r="I310" s="31" t="n"/>
      <c r="J310" s="31">
        <f>C310*D310</f>
        <v/>
      </c>
      <c r="K310" s="31" t="n"/>
      <c r="L310" s="30" t="n"/>
    </row>
    <row r="311">
      <c r="A311" s="28" t="inlineStr">
        <is>
          <t>01.04.04.06.03</t>
        </is>
      </c>
      <c r="B311" s="28" t="inlineStr">
        <is>
          <t>EMPALME DE CUNETA AL COLECTOR (ventana en muro y caida)</t>
        </is>
      </c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>
        <f>SUM(J312:J312)</f>
        <v/>
      </c>
      <c r="L311" s="28" t="inlineStr">
        <is>
          <t>und</t>
        </is>
      </c>
    </row>
    <row r="312">
      <c r="A312" s="30" t="n"/>
      <c r="B312" s="30" t="inlineStr">
        <is>
          <t>Cunetas Ejes 01, 02, 06, 07, 11 y 12</t>
        </is>
      </c>
      <c r="C312" s="31" t="n">
        <v>6</v>
      </c>
      <c r="D312" s="31" t="n"/>
      <c r="E312" s="31" t="n"/>
      <c r="F312" s="31" t="n"/>
      <c r="G312" s="31" t="n"/>
      <c r="H312" s="31" t="n"/>
      <c r="I312" s="31" t="n"/>
      <c r="J312" s="31">
        <f>C312</f>
        <v/>
      </c>
      <c r="K312" s="31" t="n"/>
      <c r="L312" s="30" t="n"/>
    </row>
    <row r="313">
      <c r="A313" s="28" t="inlineStr">
        <is>
          <t>01.04.04.06.04</t>
        </is>
      </c>
      <c r="B313" s="28" t="inlineStr">
        <is>
          <t>CONCRETO f'c=210 kg/cm2 EN PROLONGACION DE CUNETAS 0.40 x H</t>
        </is>
      </c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>
        <f>SUM(J314:J315)</f>
        <v/>
      </c>
      <c r="L313" s="28" t="inlineStr">
        <is>
          <t>m³</t>
        </is>
      </c>
    </row>
    <row r="314">
      <c r="A314" s="30" t="n"/>
      <c r="B314" s="30" t="inlineStr">
        <is>
          <t>Prolongacion cuneta Eje 11</t>
        </is>
      </c>
      <c r="C314" s="31" t="n">
        <v>1</v>
      </c>
      <c r="D314" s="31" t="n"/>
      <c r="E314" s="31" t="n"/>
      <c r="F314" s="31" t="n"/>
      <c r="G314" s="31" t="n"/>
      <c r="H314" s="31" t="n"/>
      <c r="I314" s="31" t="n"/>
      <c r="J314" s="31">
        <f>'COLECTOR TRAMOS'!I36</f>
        <v/>
      </c>
      <c r="K314" s="31" t="n"/>
      <c r="L314" s="30" t="n"/>
    </row>
    <row r="315">
      <c r="A315" s="30" t="n"/>
      <c r="B315" s="30" t="inlineStr">
        <is>
          <t>Prolongacion cuneta Eje 12</t>
        </is>
      </c>
      <c r="C315" s="31" t="n">
        <v>1</v>
      </c>
      <c r="D315" s="31" t="n"/>
      <c r="E315" s="31" t="n"/>
      <c r="F315" s="31" t="n"/>
      <c r="G315" s="31" t="n"/>
      <c r="H315" s="31" t="n"/>
      <c r="I315" s="31" t="n"/>
      <c r="J315" s="31">
        <f>'COLECTOR TRAMOS'!I37</f>
        <v/>
      </c>
      <c r="K315" s="31" t="n"/>
      <c r="L315" s="30" t="n"/>
    </row>
    <row r="316">
      <c r="A316" s="28" t="inlineStr">
        <is>
          <t>01.04.04.06.05</t>
        </is>
      </c>
      <c r="B316" s="28" t="inlineStr">
        <is>
          <t>ENCOFRADO Y DESENCOFRADO EN PROLONGACION DE CUNETAS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>
        <f>SUM(J317:J318)</f>
        <v/>
      </c>
      <c r="L316" s="28" t="inlineStr">
        <is>
          <t>m²</t>
        </is>
      </c>
    </row>
    <row r="317">
      <c r="A317" s="30" t="n"/>
      <c r="B317" s="30" t="inlineStr">
        <is>
          <t>Prolongacion cuneta Eje 11</t>
        </is>
      </c>
      <c r="C317" s="31" t="n">
        <v>1</v>
      </c>
      <c r="D317" s="31" t="n"/>
      <c r="E317" s="31" t="n"/>
      <c r="F317" s="31" t="n"/>
      <c r="G317" s="31" t="n"/>
      <c r="H317" s="31" t="n"/>
      <c r="I317" s="31" t="n"/>
      <c r="J317" s="31">
        <f>'COLECTOR TRAMOS'!K36</f>
        <v/>
      </c>
      <c r="K317" s="31" t="n"/>
      <c r="L317" s="30" t="n"/>
    </row>
    <row r="318">
      <c r="A318" s="30" t="n"/>
      <c r="B318" s="30" t="inlineStr">
        <is>
          <t>Prolongacion cuneta Eje 12</t>
        </is>
      </c>
      <c r="C318" s="31" t="n">
        <v>1</v>
      </c>
      <c r="D318" s="31" t="n"/>
      <c r="E318" s="31" t="n"/>
      <c r="F318" s="31" t="n"/>
      <c r="G318" s="31" t="n"/>
      <c r="H318" s="31" t="n"/>
      <c r="I318" s="31" t="n"/>
      <c r="J318" s="31">
        <f>'COLECTOR TRAMOS'!K37</f>
        <v/>
      </c>
      <c r="K318" s="31" t="n"/>
      <c r="L318" s="30" t="n"/>
    </row>
    <row r="319">
      <c r="A319" s="28" t="inlineStr">
        <is>
          <t>01.04.04.06.06</t>
        </is>
      </c>
      <c r="B319" s="28" t="inlineStr">
        <is>
          <t>ACERO DE REFUERZO fy=4200 kg/cm2 EN PROLONGACION DE CUNETAS</t>
        </is>
      </c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>
        <f>+'COLECTOR ACERO'!H15</f>
        <v/>
      </c>
      <c r="L319" s="28" t="inlineStr">
        <is>
          <t>kg</t>
        </is>
      </c>
    </row>
    <row r="320">
      <c r="A320" s="28" t="inlineStr">
        <is>
          <t>01.04.04.06.07</t>
        </is>
      </c>
      <c r="B320" s="28" t="inlineStr">
        <is>
          <t>TAPA DE CONCRETO EN PROLONGACION DE CUNETAS (losa 0.60 x 0.08)</t>
        </is>
      </c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>
        <f>SUM(J321:J322)</f>
        <v/>
      </c>
      <c r="L320" s="28" t="inlineStr">
        <is>
          <t>m²</t>
        </is>
      </c>
    </row>
    <row r="321">
      <c r="A321" s="30" t="n"/>
      <c r="B321" s="30" t="inlineStr">
        <is>
          <t>Prolongacion cuneta Eje 11</t>
        </is>
      </c>
      <c r="C321" s="31" t="n">
        <v>1</v>
      </c>
      <c r="D321" s="31" t="n"/>
      <c r="E321" s="31" t="n"/>
      <c r="F321" s="31" t="n"/>
      <c r="G321" s="31" t="n"/>
      <c r="H321" s="31" t="n"/>
      <c r="I321" s="31" t="n"/>
      <c r="J321" s="31">
        <f>'COLECTOR TRAMOS'!M36</f>
        <v/>
      </c>
      <c r="K321" s="31" t="n"/>
      <c r="L321" s="30" t="n"/>
    </row>
    <row r="322">
      <c r="A322" s="30" t="n"/>
      <c r="B322" s="30" t="inlineStr">
        <is>
          <t>Prolongacion cuneta Eje 12</t>
        </is>
      </c>
      <c r="C322" s="31" t="n">
        <v>1</v>
      </c>
      <c r="D322" s="31" t="n"/>
      <c r="E322" s="31" t="n"/>
      <c r="F322" s="31" t="n"/>
      <c r="G322" s="31" t="n"/>
      <c r="H322" s="31" t="n"/>
      <c r="I322" s="31" t="n"/>
      <c r="J322" s="31">
        <f>'COLECTOR TRAMOS'!M37</f>
        <v/>
      </c>
      <c r="K322" s="31" t="n"/>
      <c r="L322" s="30" t="n"/>
    </row>
  </sheetData>
  <mergeCells count="12">
    <mergeCell ref="B4:L4"/>
    <mergeCell ref="A2:L2"/>
    <mergeCell ref="B6:L6"/>
    <mergeCell ref="B3:L3"/>
    <mergeCell ref="B5:L5"/>
    <mergeCell ref="K143:K144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7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42" t="inlineStr">
        <is>
          <t>OBRAS DE CONCRETO ARMADO</t>
        </is>
      </c>
    </row>
    <row r="8" ht="16" customHeight="1" thickBot="1"/>
    <row r="9" ht="24" customHeight="1" thickBot="1">
      <c r="B9" s="240" t="inlineStr">
        <is>
          <t>LONGITUDES Y AREAS</t>
        </is>
      </c>
      <c r="C9" s="316" t="n"/>
      <c r="D9" s="317" t="n"/>
      <c r="E9" s="241" t="inlineStr">
        <is>
          <t>m3</t>
        </is>
      </c>
      <c r="F9" s="241" t="inlineStr">
        <is>
          <t>Sub.TOTAL</t>
        </is>
      </c>
      <c r="G9" s="84" t="inlineStr">
        <is>
          <t>TOTAL (m3)</t>
        </is>
      </c>
      <c r="I9" s="4" t="n"/>
      <c r="J9" s="225" t="inlineStr">
        <is>
          <t>LONGITUDES Y AREAS</t>
        </is>
      </c>
      <c r="K9" s="313" t="n"/>
      <c r="L9" s="314" t="n"/>
      <c r="M9" s="225" t="inlineStr">
        <is>
          <t>m3</t>
        </is>
      </c>
      <c r="N9" s="225" t="inlineStr">
        <is>
          <t>Sub.TOTAL</t>
        </is>
      </c>
      <c r="O9" s="225" t="inlineStr">
        <is>
          <t>TOTAL (m3)</t>
        </is>
      </c>
    </row>
    <row r="10" ht="15.65" customHeight="1">
      <c r="B10" s="232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27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5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40" t="inlineStr">
        <is>
          <t>LONGITUDES Y AREAS</t>
        </is>
      </c>
      <c r="C21" s="316" t="n"/>
      <c r="D21" s="317" t="n"/>
      <c r="E21" s="241" t="inlineStr">
        <is>
          <t>m3</t>
        </is>
      </c>
      <c r="F21" s="241" t="inlineStr">
        <is>
          <t>Sub.TOTAL</t>
        </is>
      </c>
      <c r="G21" s="84" t="inlineStr">
        <is>
          <t>TOTAL (m3)</t>
        </is>
      </c>
      <c r="I21" s="4" t="n"/>
      <c r="J21" s="225" t="inlineStr">
        <is>
          <t>LONGITUDES Y AREAS</t>
        </is>
      </c>
      <c r="K21" s="313" t="n"/>
      <c r="L21" s="314" t="n"/>
      <c r="M21" s="225" t="inlineStr">
        <is>
          <t>m3</t>
        </is>
      </c>
      <c r="N21" s="225" t="inlineStr">
        <is>
          <t>Sub.TOTAL</t>
        </is>
      </c>
      <c r="O21" s="225" t="inlineStr">
        <is>
          <t>TOTAL (m3)</t>
        </is>
      </c>
    </row>
    <row r="22" ht="16.25" customHeight="1">
      <c r="B22" s="232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27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5" t="inlineStr">
        <is>
          <t>LONGITUDES Y AREAS</t>
        </is>
      </c>
      <c r="C33" s="313" t="n"/>
      <c r="D33" s="314" t="n"/>
      <c r="E33" s="225" t="inlineStr">
        <is>
          <t>m3</t>
        </is>
      </c>
      <c r="F33" s="225" t="inlineStr">
        <is>
          <t>Sub.TOTAL</t>
        </is>
      </c>
      <c r="G33" s="225" t="inlineStr">
        <is>
          <t>TOTAL (m3)</t>
        </is>
      </c>
      <c r="J33" s="225" t="inlineStr">
        <is>
          <t>LONGITUDES Y AREAS</t>
        </is>
      </c>
      <c r="K33" s="313" t="n"/>
      <c r="L33" s="314" t="n"/>
      <c r="M33" s="226" t="inlineStr">
        <is>
          <t>m3</t>
        </is>
      </c>
      <c r="N33" s="226" t="inlineStr">
        <is>
          <t>Sub.TOTAL</t>
        </is>
      </c>
      <c r="O33" s="226" t="inlineStr">
        <is>
          <t>TOTAL (m3)</t>
        </is>
      </c>
    </row>
    <row r="34" ht="15.5" customHeight="1">
      <c r="B34" s="227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4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6" t="inlineStr">
        <is>
          <t>LONGITUDES Y AREAS</t>
        </is>
      </c>
      <c r="C45" s="333" t="n"/>
      <c r="D45" s="334" t="n"/>
      <c r="E45" s="226" t="inlineStr">
        <is>
          <t>m3</t>
        </is>
      </c>
      <c r="F45" s="226" t="inlineStr">
        <is>
          <t>Sub.TOTAL</t>
        </is>
      </c>
      <c r="G45" s="226" t="inlineStr">
        <is>
          <t>TOTAL (m3)</t>
        </is>
      </c>
      <c r="J45" s="225" t="inlineStr">
        <is>
          <t>LONGITUDES Y AREAS</t>
        </is>
      </c>
      <c r="K45" s="313" t="n"/>
      <c r="L45" s="314" t="n"/>
      <c r="M45" s="226" t="inlineStr">
        <is>
          <t>m3</t>
        </is>
      </c>
      <c r="N45" s="226" t="inlineStr">
        <is>
          <t>Sub.TOTAL</t>
        </is>
      </c>
      <c r="O45" s="226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4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8" t="inlineStr">
        <is>
          <t>TAPA</t>
        </is>
      </c>
      <c r="D52" s="77" t="inlineStr">
        <is>
          <t>LONGITUD</t>
        </is>
      </c>
      <c r="E52" s="172" t="n">
        <v>0</v>
      </c>
      <c r="F52" s="224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5" t="inlineStr">
        <is>
          <t>LONGITUDES Y AREAS</t>
        </is>
      </c>
      <c r="C57" s="313" t="n"/>
      <c r="D57" s="314" t="n"/>
      <c r="E57" s="225" t="inlineStr">
        <is>
          <t>m3</t>
        </is>
      </c>
      <c r="F57" s="225" t="inlineStr">
        <is>
          <t>Sub.TOTAL</t>
        </is>
      </c>
      <c r="G57" s="225" t="inlineStr">
        <is>
          <t>TOTAL (m3)</t>
        </is>
      </c>
      <c r="J57" s="225" t="inlineStr">
        <is>
          <t>LONGITUDES Y AREAS</t>
        </is>
      </c>
      <c r="K57" s="313" t="n"/>
      <c r="L57" s="314" t="n"/>
      <c r="M57" s="226" t="inlineStr">
        <is>
          <t>m3</t>
        </is>
      </c>
      <c r="N57" s="226" t="inlineStr">
        <is>
          <t>Sub.TOTAL</t>
        </is>
      </c>
      <c r="O57" s="226" t="inlineStr">
        <is>
          <t>TOTAL (m3)</t>
        </is>
      </c>
    </row>
    <row r="58" ht="15.5" customHeight="1">
      <c r="B58" s="227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4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40" t="inlineStr">
        <is>
          <t>LONGITUDES Y AREAS</t>
        </is>
      </c>
      <c r="C69" s="316" t="n"/>
      <c r="D69" s="317" t="n"/>
      <c r="E69" s="241" t="inlineStr">
        <is>
          <t>m3</t>
        </is>
      </c>
      <c r="F69" s="241" t="inlineStr">
        <is>
          <t>Sub.TOTAL</t>
        </is>
      </c>
      <c r="G69" s="84" t="inlineStr">
        <is>
          <t>TOTAL (m3)</t>
        </is>
      </c>
      <c r="J69" s="225" t="inlineStr">
        <is>
          <t>LONGITUDES Y AREAS</t>
        </is>
      </c>
      <c r="K69" s="313" t="n"/>
      <c r="L69" s="314" t="n"/>
      <c r="M69" s="226" t="inlineStr">
        <is>
          <t>m3</t>
        </is>
      </c>
      <c r="N69" s="226" t="inlineStr">
        <is>
          <t>Sub.TOTAL</t>
        </is>
      </c>
      <c r="O69" s="226" t="inlineStr">
        <is>
          <t>TOTAL (m3)</t>
        </is>
      </c>
    </row>
    <row r="70" ht="19.75" customHeight="1">
      <c r="B70" s="232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29" t="inlineStr">
        <is>
          <t>LOSA</t>
        </is>
      </c>
      <c r="D73" s="77" t="inlineStr">
        <is>
          <t>ESPESOR</t>
        </is>
      </c>
      <c r="E73" s="78" t="n">
        <v>0.1</v>
      </c>
      <c r="F73" s="223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N46:N48"/>
    <mergeCell ref="J58:J66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B7:O7"/>
    <mergeCell ref="G34:G42"/>
    <mergeCell ref="F52:F54"/>
    <mergeCell ref="N10:N12"/>
    <mergeCell ref="F49:F51"/>
    <mergeCell ref="G58:G66"/>
    <mergeCell ref="K37:K39"/>
    <mergeCell ref="K10:K12"/>
    <mergeCell ref="B9:D9"/>
    <mergeCell ref="N76:N78"/>
    <mergeCell ref="O58:O66"/>
    <mergeCell ref="C6:O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K52:K54"/>
    <mergeCell ref="B21:D21"/>
    <mergeCell ref="B58:B66"/>
    <mergeCell ref="N13:N15"/>
    <mergeCell ref="K13:K15"/>
    <mergeCell ref="N40:N42"/>
    <mergeCell ref="F58:F60"/>
    <mergeCell ref="K28:K30"/>
    <mergeCell ref="N49:N51"/>
    <mergeCell ref="J22:J30"/>
    <mergeCell ref="F73:F75"/>
    <mergeCell ref="C34:C36"/>
    <mergeCell ref="C28:C30"/>
    <mergeCell ref="C3:O3"/>
    <mergeCell ref="K25:K27"/>
    <mergeCell ref="C37:C39"/>
    <mergeCell ref="C5:O5"/>
    <mergeCell ref="F34:F36"/>
    <mergeCell ref="F16:F18"/>
    <mergeCell ref="N25:N27"/>
    <mergeCell ref="J46:J54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K73:K75"/>
    <mergeCell ref="F28:F30"/>
    <mergeCell ref="C76:C78"/>
    <mergeCell ref="F37:F39"/>
    <mergeCell ref="F64:F66"/>
    <mergeCell ref="B69:D69"/>
    <mergeCell ref="B34:B42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legacyDrawingHF r:id="rIdHF1"/>
  <rowBreaks count="1" manualBreakCount="1">
    <brk id="143" min="0" max="15" man="1"/>
  </rowBreaks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51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5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9" t="inlineStr">
        <is>
          <t>LONGITUDES Y AREAS</t>
        </is>
      </c>
      <c r="C11" s="313" t="n"/>
      <c r="D11" s="313" t="n"/>
      <c r="E11" s="313" t="n"/>
      <c r="F11" s="314" t="n"/>
      <c r="G11" s="269" t="inlineStr">
        <is>
          <t>Sub.TOTAL</t>
        </is>
      </c>
      <c r="H11" s="269" t="inlineStr">
        <is>
          <t>TOTAL (m2)</t>
        </is>
      </c>
      <c r="I11" s="26" t="n"/>
      <c r="J11" s="269" t="inlineStr">
        <is>
          <t>LONGITUDES Y AREAS</t>
        </is>
      </c>
      <c r="K11" s="313" t="n"/>
      <c r="L11" s="313" t="n"/>
      <c r="M11" s="313" t="n"/>
      <c r="N11" s="314" t="n"/>
      <c r="O11" s="269" t="inlineStr">
        <is>
          <t>Sub.TOTAL</t>
        </is>
      </c>
      <c r="P11" s="269" t="inlineStr">
        <is>
          <t>TOTAL (m2)</t>
        </is>
      </c>
    </row>
    <row r="12" ht="15.5" customHeight="1">
      <c r="B12" s="270" t="inlineStr">
        <is>
          <t>EJE1</t>
        </is>
      </c>
      <c r="C12" s="271" t="inlineStr">
        <is>
          <t>ABIERTA</t>
        </is>
      </c>
      <c r="D12" s="270" t="inlineStr">
        <is>
          <t>MUROS EXTERNO</t>
        </is>
      </c>
      <c r="E12" s="1" t="inlineStr">
        <is>
          <t>AREA</t>
        </is>
      </c>
      <c r="F12" s="255" t="n">
        <v>15.36</v>
      </c>
      <c r="G12" s="255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5" t="n">
        <v>68.67</v>
      </c>
      <c r="O12" s="255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5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5" t="n">
        <v>2</v>
      </c>
      <c r="O13" s="315" t="n"/>
      <c r="P13" s="325" t="n"/>
    </row>
    <row r="14" ht="15.5" customHeight="1">
      <c r="B14" s="325" t="n"/>
      <c r="C14" s="325" t="n"/>
      <c r="D14" s="270" t="inlineStr">
        <is>
          <t>MURO INTERNO</t>
        </is>
      </c>
      <c r="E14" s="1" t="inlineStr">
        <is>
          <t>AREA</t>
        </is>
      </c>
      <c r="F14" s="255" t="n">
        <v>12.16</v>
      </c>
      <c r="G14" s="255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5" t="n">
        <v>58.75</v>
      </c>
      <c r="O14" s="255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5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5" t="n">
        <v>2</v>
      </c>
      <c r="O15" s="315" t="n"/>
      <c r="P15" s="325" t="n"/>
    </row>
    <row r="16" ht="15.5" customHeight="1">
      <c r="B16" s="325" t="n"/>
      <c r="C16" s="272" t="inlineStr">
        <is>
          <t>TAPADO</t>
        </is>
      </c>
      <c r="D16" s="270" t="inlineStr">
        <is>
          <t>MURO EXTERNO</t>
        </is>
      </c>
      <c r="E16" s="1" t="inlineStr">
        <is>
          <t>AREA</t>
        </is>
      </c>
      <c r="F16" s="14" t="n">
        <v>2.94</v>
      </c>
      <c r="G16" s="255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5" t="n">
        <v>25.9</v>
      </c>
      <c r="O16" s="255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5" t="n">
        <v>2</v>
      </c>
      <c r="O17" s="315" t="n"/>
      <c r="P17" s="325" t="n"/>
    </row>
    <row r="18" ht="15.5" customHeight="1">
      <c r="B18" s="325" t="n"/>
      <c r="C18" s="325" t="n"/>
      <c r="D18" s="270" t="inlineStr">
        <is>
          <t>MURO INTERNO</t>
        </is>
      </c>
      <c r="E18" s="1" t="inlineStr">
        <is>
          <t>AREA</t>
        </is>
      </c>
      <c r="F18" s="14" t="n">
        <v>1.91</v>
      </c>
      <c r="G18" s="255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5" t="n">
        <v>19.57</v>
      </c>
      <c r="O18" s="255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5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5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9" t="inlineStr">
        <is>
          <t>LONGITUDES Y AREAS</t>
        </is>
      </c>
      <c r="C22" s="313" t="n"/>
      <c r="D22" s="313" t="n"/>
      <c r="E22" s="313" t="n"/>
      <c r="F22" s="314" t="n"/>
      <c r="G22" s="269" t="inlineStr">
        <is>
          <t>Sub.TOTAL</t>
        </is>
      </c>
      <c r="H22" s="269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9" t="inlineStr">
        <is>
          <t>Sub.TOTAL</t>
        </is>
      </c>
      <c r="P22" s="269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5" t="n">
        <v>2.41</v>
      </c>
      <c r="G23" s="255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5" t="n">
        <v>3.62</v>
      </c>
      <c r="O23" s="255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5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5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5" t="n">
        <v>1.83</v>
      </c>
      <c r="G25" s="255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5" t="n">
        <v>2.76</v>
      </c>
      <c r="O25" s="255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5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5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5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5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5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5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9" t="inlineStr">
        <is>
          <t>Sub.TOTAL</t>
        </is>
      </c>
      <c r="H33" s="269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9" t="inlineStr">
        <is>
          <t>Sub.TOTAL</t>
        </is>
      </c>
      <c r="P33" s="269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5" t="n">
        <v>18.53</v>
      </c>
      <c r="G34" s="255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5" t="n">
        <v>63.19</v>
      </c>
      <c r="O34" s="255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5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5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5" t="n">
        <v>14.78</v>
      </c>
      <c r="G36" s="255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5" t="n">
        <v>53.74</v>
      </c>
      <c r="O36" s="255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5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5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5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5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5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5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9" t="inlineStr">
        <is>
          <t>Sub.TOTAL</t>
        </is>
      </c>
      <c r="H44" s="269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9" t="inlineStr">
        <is>
          <t>Sub.TOTAL</t>
        </is>
      </c>
      <c r="P44" s="269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5" t="n">
        <v>68.59999999999999</v>
      </c>
      <c r="G45" s="255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5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5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5" t="n">
        <v>58.46</v>
      </c>
      <c r="G47" s="255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5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5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5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5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5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5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5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5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5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9" t="inlineStr">
        <is>
          <t>Sub.TOTAL</t>
        </is>
      </c>
      <c r="H56" s="269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9" t="inlineStr">
        <is>
          <t>Sub.TOTAL</t>
        </is>
      </c>
      <c r="P56" s="269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5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5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5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5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5" t="n">
        <v>5.44</v>
      </c>
      <c r="O59" s="255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5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5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5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5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5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9" t="inlineStr">
        <is>
          <t>Sub.TOTAL</t>
        </is>
      </c>
      <c r="H68" s="269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9" t="inlineStr">
        <is>
          <t>Sub.TOTAL</t>
        </is>
      </c>
      <c r="P68" s="269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5" t="n">
        <v>34.95</v>
      </c>
      <c r="G69" s="255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5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5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5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5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5" t="n">
        <v>42.7</v>
      </c>
      <c r="O73" s="255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5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5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5" t="n">
        <v>31.37</v>
      </c>
      <c r="O75" s="255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5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5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L45:L46"/>
    <mergeCell ref="G49:G50"/>
    <mergeCell ref="B44:F44"/>
    <mergeCell ref="L75:L77"/>
    <mergeCell ref="D71:D72"/>
    <mergeCell ref="K49:K53"/>
    <mergeCell ref="J11:N11"/>
    <mergeCell ref="L38:L39"/>
    <mergeCell ref="D73:D74"/>
    <mergeCell ref="O27:O28"/>
    <mergeCell ref="J22:N22"/>
    <mergeCell ref="C57:C60"/>
    <mergeCell ref="C73:C77"/>
    <mergeCell ref="P69:P77"/>
    <mergeCell ref="D38:D39"/>
    <mergeCell ref="B12:B20"/>
    <mergeCell ref="G12:G13"/>
    <mergeCell ref="J69:J77"/>
    <mergeCell ref="K69:K72"/>
    <mergeCell ref="C16:C20"/>
    <mergeCell ref="C34:C37"/>
    <mergeCell ref="L16:L17"/>
    <mergeCell ref="D34:D35"/>
    <mergeCell ref="G36:G37"/>
    <mergeCell ref="L57:L58"/>
    <mergeCell ref="O75:O77"/>
    <mergeCell ref="H34:H42"/>
    <mergeCell ref="D49:D50"/>
    <mergeCell ref="B23:B31"/>
    <mergeCell ref="G23:G24"/>
    <mergeCell ref="D27:D28"/>
    <mergeCell ref="K45:K48"/>
    <mergeCell ref="K61:K65"/>
    <mergeCell ref="C61:C65"/>
    <mergeCell ref="L63:L65"/>
    <mergeCell ref="G29:G31"/>
    <mergeCell ref="H45:H53"/>
    <mergeCell ref="O36:O37"/>
    <mergeCell ref="J45:J53"/>
    <mergeCell ref="O45:O46"/>
    <mergeCell ref="B56:F56"/>
    <mergeCell ref="C12:C15"/>
    <mergeCell ref="O47:O48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J57:J65"/>
    <mergeCell ref="O57:O58"/>
    <mergeCell ref="K57:K60"/>
    <mergeCell ref="B68:F6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O69:O70"/>
    <mergeCell ref="K27:K31"/>
    <mergeCell ref="B69:B77"/>
    <mergeCell ref="C27:C31"/>
    <mergeCell ref="G69:G70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K12:K15"/>
    <mergeCell ref="O12:O13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G51:G53"/>
    <mergeCell ref="C6:P6"/>
    <mergeCell ref="B22:F22"/>
    <mergeCell ref="G63:G65"/>
    <mergeCell ref="O16:O17"/>
    <mergeCell ref="B34:B42"/>
    <mergeCell ref="G34:G35"/>
    <mergeCell ref="H57:H65"/>
    <mergeCell ref="D63:D65"/>
    <mergeCell ref="J68:N68"/>
    <mergeCell ref="L73:L74"/>
    <mergeCell ref="P12:P20"/>
    <mergeCell ref="L23:L24"/>
    <mergeCell ref="O59:O60"/>
    <mergeCell ref="G14:G15"/>
    <mergeCell ref="O18:O20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O29:O31"/>
    <mergeCell ref="C69:C72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legacyDrawingHF r:id="rIdHF1"/>
  <rowBreaks count="1" manualBreakCount="1">
    <brk id="80" min="0" max="15" man="1"/>
  </rowBreaks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75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77" t="n"/>
    </row>
    <row r="9" ht="16.5" customHeight="1">
      <c r="C9" s="225" t="inlineStr">
        <is>
          <t>MONTANTES</t>
        </is>
      </c>
      <c r="D9" s="225" t="inlineStr">
        <is>
          <t>LONG. TUBERIA PVC 4"</t>
        </is>
      </c>
      <c r="E9" s="313" t="n"/>
      <c r="F9" s="314" t="n"/>
      <c r="G9" s="225" t="inlineStr">
        <is>
          <t>CODO PVC 90° 4"</t>
        </is>
      </c>
      <c r="H9" s="313" t="n"/>
      <c r="I9" s="314" t="n"/>
      <c r="J9" s="225" t="inlineStr">
        <is>
          <t>ABRAZADERA 4"</t>
        </is>
      </c>
      <c r="K9" s="313" t="n"/>
      <c r="L9" s="314" t="n"/>
      <c r="M9" s="225" t="inlineStr">
        <is>
          <t>COLGADOR 4"</t>
        </is>
      </c>
      <c r="N9" s="313" t="n"/>
      <c r="O9" s="314" t="n"/>
      <c r="P9" s="225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70" t="n"/>
      <c r="G11" s="1" t="n"/>
      <c r="H11" s="1" t="n"/>
      <c r="I11" s="270" t="n"/>
      <c r="J11" s="1" t="n"/>
      <c r="K11" s="1" t="n"/>
      <c r="L11" s="270" t="n"/>
      <c r="M11" s="1" t="n"/>
      <c r="N11" s="1" t="n"/>
      <c r="O11" s="270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70" t="n"/>
      <c r="G14" s="1" t="n"/>
      <c r="H14" s="1" t="n"/>
      <c r="I14" s="270" t="n"/>
      <c r="J14" s="1" t="n"/>
      <c r="K14" s="1" t="n"/>
      <c r="L14" s="270" t="n"/>
      <c r="M14" s="1" t="n"/>
      <c r="N14" s="1" t="n"/>
      <c r="O14" s="270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70" t="n"/>
      <c r="G17" s="1" t="n"/>
      <c r="H17" s="1" t="n"/>
      <c r="I17" s="270" t="n"/>
      <c r="J17" s="1" t="n"/>
      <c r="K17" s="12" t="n"/>
      <c r="L17" s="270" t="n"/>
      <c r="M17" s="1" t="n"/>
      <c r="N17" s="1" t="n"/>
      <c r="O17" s="270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70" t="n"/>
      <c r="G20" s="1" t="n"/>
      <c r="H20" s="1" t="n"/>
      <c r="I20" s="270" t="n"/>
      <c r="J20" s="1" t="n"/>
      <c r="K20" s="1" t="n"/>
      <c r="L20" s="270" t="n"/>
      <c r="M20" s="1" t="n"/>
      <c r="N20" s="1" t="n"/>
      <c r="O20" s="270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70" t="n"/>
      <c r="G23" s="1" t="n"/>
      <c r="H23" s="1" t="n"/>
      <c r="I23" s="270" t="n"/>
      <c r="J23" s="1" t="n"/>
      <c r="K23" s="1" t="n"/>
      <c r="L23" s="270" t="n"/>
      <c r="M23" s="1" t="n"/>
      <c r="N23" s="1" t="n"/>
      <c r="O23" s="270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70" t="n"/>
      <c r="G26" s="1" t="n"/>
      <c r="H26" s="1" t="n"/>
      <c r="I26" s="270" t="n"/>
      <c r="J26" s="1" t="n"/>
      <c r="K26" s="1" t="n"/>
      <c r="L26" s="270" t="n"/>
      <c r="M26" s="1" t="n"/>
      <c r="N26" s="1" t="n"/>
      <c r="O26" s="270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70" t="n"/>
      <c r="G29" s="1" t="n"/>
      <c r="H29" s="1" t="n"/>
      <c r="I29" s="270" t="n"/>
      <c r="J29" s="1" t="n"/>
      <c r="K29" s="1" t="n"/>
      <c r="L29" s="270" t="n"/>
      <c r="M29" s="1" t="n"/>
      <c r="N29" s="1" t="n"/>
      <c r="O29" s="270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70" t="n"/>
      <c r="G32" s="1" t="n"/>
      <c r="H32" s="1" t="n"/>
      <c r="I32" s="270" t="n"/>
      <c r="J32" s="1" t="n"/>
      <c r="K32" s="1" t="n"/>
      <c r="L32" s="270" t="n"/>
      <c r="M32" s="1" t="n"/>
      <c r="N32" s="1" t="n"/>
      <c r="O32" s="270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70" t="n"/>
      <c r="G35" s="1" t="n"/>
      <c r="H35" s="1" t="n"/>
      <c r="I35" s="270" t="n"/>
      <c r="J35" s="1" t="n"/>
      <c r="K35" s="1" t="n"/>
      <c r="L35" s="270" t="n"/>
      <c r="M35" s="1" t="n"/>
      <c r="N35" s="1" t="n"/>
      <c r="O35" s="270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70" t="n"/>
      <c r="G38" s="1" t="n"/>
      <c r="H38" s="1" t="n"/>
      <c r="I38" s="270" t="n"/>
      <c r="J38" s="1" t="n"/>
      <c r="K38" s="1" t="n"/>
      <c r="L38" s="270" t="n"/>
      <c r="M38" s="1" t="n"/>
      <c r="N38" s="1" t="n"/>
      <c r="O38" s="270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70" t="n"/>
      <c r="G41" s="1" t="n"/>
      <c r="H41" s="1" t="n"/>
      <c r="I41" s="270" t="n"/>
      <c r="J41" s="1" t="n"/>
      <c r="K41" s="1" t="n"/>
      <c r="L41" s="270" t="n"/>
      <c r="M41" s="1" t="n"/>
      <c r="N41" s="1" t="n"/>
      <c r="O41" s="270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70" t="n"/>
      <c r="G44" s="1" t="n"/>
      <c r="H44" s="1" t="n"/>
      <c r="I44" s="270" t="n"/>
      <c r="J44" s="1" t="n"/>
      <c r="K44" s="1" t="n"/>
      <c r="L44" s="270" t="n"/>
      <c r="M44" s="1" t="n"/>
      <c r="N44" s="1" t="n"/>
      <c r="O44" s="270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70" t="n"/>
      <c r="G47" s="1" t="n"/>
      <c r="H47" s="1" t="n"/>
      <c r="I47" s="270" t="n"/>
      <c r="J47" s="1" t="n"/>
      <c r="K47" s="1" t="n"/>
      <c r="L47" s="270" t="n"/>
      <c r="M47" s="1" t="n"/>
      <c r="N47" s="1" t="n"/>
      <c r="O47" s="270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70" t="n"/>
      <c r="G50" s="1" t="n"/>
      <c r="H50" s="1" t="n"/>
      <c r="I50" s="270" t="n"/>
      <c r="J50" s="1" t="n"/>
      <c r="K50" s="1" t="n"/>
      <c r="L50" s="270" t="n"/>
      <c r="M50" s="1" t="n"/>
      <c r="N50" s="1" t="n"/>
      <c r="O50" s="270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8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9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9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9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80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02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0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0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0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06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07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08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09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10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>
        <f>IF(X11="","",IFERROR(VLOOKUP(X11,[1]Listas!$A$4:$B$11,2,FALSE),""))</f>
        <v/>
      </c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>
        <f>IF(X12="","",IFERROR(VLOOKUP(X12,[1]Listas!$A$4:$B$11,2,FALSE),""))</f>
        <v/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>
        <f>IF(X13="","",IFERROR(VLOOKUP(X13,[1]Listas!$A$4:$B$11,2,FALSE),""))</f>
        <v/>
      </c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>
        <f>IF(X14="","",IFERROR(VLOOKUP(X14,[1]Listas!$A$4:$B$11,2,FALSE),""))</f>
        <v/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>
        <f>IF(X15="","",IFERROR(VLOOKUP(X15,[1]Listas!$A$4:$B$11,2,FALSE),""))</f>
        <v/>
      </c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>
        <f>IF(X16="","",IFERROR(VLOOKUP(X16,[1]Listas!$A$4:$B$11,2,FALSE),""))</f>
        <v/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>
        <f>IF(X17="","",IFERROR(VLOOKUP(X17,[1]Listas!$A$4:$B$11,2,FALSE),""))</f>
        <v/>
      </c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>
        <f>IF(X18="","",IFERROR(VLOOKUP(X18,[1]Listas!$A$4:$B$11,2,FALSE),""))</f>
        <v/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>
        <f>IF(X19="","",IFERROR(VLOOKUP(X19,[1]Listas!$A$4:$B$11,2,FALSE),""))</f>
        <v/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>
        <f>IF(X20="","",IFERROR(VLOOKUP(X20,[1]Listas!$A$4:$B$11,2,FALSE),""))</f>
        <v/>
      </c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>
        <f>IF(X21="","",IFERROR(VLOOKUP(X21,[1]Listas!$A$4:$B$11,2,FALSE),""))</f>
        <v/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>
        <f>IF(X22="","",IFERROR(VLOOKUP(X22,[1]Listas!$A$4:$B$11,2,FALSE),""))</f>
        <v/>
      </c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>
        <f>IF(X23="","",IFERROR(VLOOKUP(X23,[1]Listas!$A$4:$B$11,2,FALSE),""))</f>
        <v/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>
        <f>IF(X24="","",IFERROR(VLOOKUP(X24,[1]Listas!$A$4:$B$11,2,FALSE),""))</f>
        <v/>
      </c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>
        <f>IF(X25="","",IFERROR(VLOOKUP(X25,[1]Listas!$A$4:$B$11,2,FALSE),""))</f>
        <v/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>
        <f>IF(X26="","",IFERROR(VLOOKUP(X26,[1]Listas!$A$4:$B$11,2,FALSE),""))</f>
        <v/>
      </c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>
        <f>IF(X27="","",IFERROR(VLOOKUP(X27,[1]Listas!$A$4:$B$11,2,FALSE),""))</f>
        <v/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>
        <f>IF(X28="","",IFERROR(VLOOKUP(X28,[1]Listas!$A$4:$B$11,2,FALSE),""))</f>
        <v/>
      </c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>
        <f>IF(X29="","",IFERROR(VLOOKUP(X29,[1]Listas!$A$4:$B$11,2,FALSE),""))</f>
        <v/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>
        <f>IF(X30="","",IFERROR(VLOOKUP(X30,[1]Listas!$A$4:$B$11,2,FALSE),""))</f>
        <v/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>
        <f>IF(X31="","",IFERROR(VLOOKUP(X31,[1]Listas!$A$4:$B$11,2,FALSE),""))</f>
        <v/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>
        <f>IF(X32="","",IFERROR(VLOOKUP(X32,[1]Listas!$A$4:$B$11,2,FALSE),""))</f>
        <v/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>
        <f>IF(X33="","",IFERROR(VLOOKUP(X33,[1]Listas!$A$4:$B$11,2,FALSE),""))</f>
        <v/>
      </c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>
        <f>IF(X34="","",IFERROR(VLOOKUP(X34,[1]Listas!$A$4:$B$11,2,FALSE),""))</f>
        <v/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>
        <f>IF(X35="","",IFERROR(VLOOKUP(X35,[1]Listas!$A$4:$B$11,2,FALSE),""))</f>
        <v/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>
        <f>IF(X36="","",IFERROR(VLOOKUP(X36,[1]Listas!$A$4:$B$11,2,FALSE),""))</f>
        <v/>
      </c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>
        <f>IF(X37="","",IFERROR(VLOOKUP(X37,[1]Listas!$A$4:$B$11,2,FALSE),""))</f>
        <v/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05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05">
        <f>SUM(G11:G37)</f>
        <v/>
      </c>
      <c r="H38" s="205" t="n"/>
      <c r="I38" s="205" t="n"/>
      <c r="J38" s="205" t="n"/>
      <c r="K38" s="205" t="n"/>
      <c r="L38" s="205" t="n"/>
      <c r="M38" s="205" t="n"/>
      <c r="N38" s="205">
        <f>SUM(N11:N37)</f>
        <v/>
      </c>
      <c r="O38" s="205">
        <f>SUM(O11:O37)</f>
        <v/>
      </c>
      <c r="P38" s="205" t="n"/>
      <c r="Q38" s="205" t="n"/>
      <c r="R38" s="205" t="n"/>
      <c r="S38" s="205" t="n"/>
      <c r="T38" s="205" t="n"/>
      <c r="U38" s="205">
        <f>SUM(U11:U37)</f>
        <v/>
      </c>
      <c r="V38" s="205">
        <f>SUM(V11:V37)</f>
        <v/>
      </c>
      <c r="W38" s="205">
        <f>SUM(W11:W37)</f>
        <v/>
      </c>
      <c r="X38" s="205" t="n"/>
      <c r="Y38" s="205" t="n"/>
      <c r="Z38" s="205" t="n"/>
      <c r="AA38" s="205" t="n"/>
      <c r="AB38" s="205" t="n"/>
      <c r="AC38" s="205" t="n"/>
      <c r="AD38" s="205" t="n"/>
      <c r="AE38" s="205">
        <f>SUM(AE11:AE37)</f>
        <v/>
      </c>
      <c r="AF38" s="205">
        <f>SUM(AF11:AF37)</f>
        <v/>
      </c>
      <c r="AG38" s="205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X9:AF9"/>
    <mergeCell ref="H9:O9"/>
    <mergeCell ref="B6:AG6"/>
    <mergeCell ref="B3:AG3"/>
  </mergeCells>
  <conditionalFormatting sqref="D11:D37">
    <cfRule type="expression" priority="2" dxfId="1">
      <formula>D11="TAPADA"</formula>
    </cfRule>
    <cfRule type="expression" priority="3" dxfId="0">
      <formula>D11="ABIERTA"</formula>
    </cfRule>
  </conditionalFormatting>
  <conditionalFormatting sqref="X11:X37 Z11:AF37">
    <cfRule type="expression" priority="4" dxfId="2">
      <formula>$D11="ABIERTA"</formula>
    </cfRule>
  </conditionalFormatting>
  <conditionalFormatting sqref="Y11:Y37">
    <cfRule type="expression" priority="1" dxfId="2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9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91" t="inlineStr">
        <is>
          <t>ENTIDAD</t>
        </is>
      </c>
      <c r="B2" s="314" t="n"/>
      <c r="C2" s="288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91" t="inlineStr">
        <is>
          <t>PROYECTO</t>
        </is>
      </c>
      <c r="B3" s="314" t="n"/>
      <c r="C3" s="288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91" t="inlineStr">
        <is>
          <t>UBICACIÓN</t>
        </is>
      </c>
      <c r="B4" s="314" t="n"/>
      <c r="C4" s="288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91" t="inlineStr">
        <is>
          <t>FECHA</t>
        </is>
      </c>
      <c r="L4" s="292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31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31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31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31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31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31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31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31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31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31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31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31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31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31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31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31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31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31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31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31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31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31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31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31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31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31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31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31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31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31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90" t="inlineStr">
        <is>
          <t>TOTAL DE CURADO DE CONCRETO EN CUNETAS</t>
        </is>
      </c>
      <c r="M38" s="290">
        <f>SUM(M7:M36)</f>
        <v/>
      </c>
      <c r="N38" s="290" t="n"/>
      <c r="O38" s="290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L7:L36">
    <cfRule type="expression" priority="5" dxfId="2">
      <formula>$D7="ABIERTA"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94" t="inlineStr">
        <is>
          <t>METRADO DE REJILLAS PARA CUNETAS</t>
        </is>
      </c>
    </row>
    <row r="2" ht="22.5" customHeight="1">
      <c r="A2" s="298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8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8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93" t="inlineStr">
        <is>
          <t>TOTAL CALCULADO DE REJILLA EN CUNETAS ABIERTAS</t>
        </is>
      </c>
      <c r="G38" s="293">
        <f>SUM(G7:G36)</f>
        <v/>
      </c>
      <c r="H38" s="293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G7:G36">
    <cfRule type="expression" priority="7" dxfId="2">
      <formula>$D7="TAPADA"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82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284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3" t="inlineStr">
        <is>
          <t>METRADO DE TAPAS DE REGISTRO EN CUNETAS TAPADAS</t>
        </is>
      </c>
    </row>
    <row r="2" ht="25" customHeight="1">
      <c r="A2" s="291" t="inlineStr">
        <is>
          <t>ENTIDAD</t>
        </is>
      </c>
      <c r="B2" s="288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91" t="inlineStr">
        <is>
          <t>PROYECTO</t>
        </is>
      </c>
      <c r="B3" s="288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91" t="inlineStr">
        <is>
          <t>UBICACIÓN</t>
        </is>
      </c>
      <c r="B4" s="288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91" t="inlineStr">
        <is>
          <t>FECHA</t>
        </is>
      </c>
      <c r="B5" s="305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4" t="inlineStr">
        <is>
          <t>ITEM</t>
        </is>
      </c>
      <c r="B7" s="304" t="inlineStr">
        <is>
          <t>DESCRIPCIÓN</t>
        </is>
      </c>
      <c r="C7" s="304" t="inlineStr">
        <is>
          <t>Nº DE VECES</t>
        </is>
      </c>
      <c r="D7" s="304" t="inlineStr">
        <is>
          <t>DIMENSIONES</t>
        </is>
      </c>
      <c r="E7" s="313" t="n"/>
      <c r="F7" s="313" t="n"/>
      <c r="G7" s="313" t="n"/>
      <c r="H7" s="314" t="n"/>
      <c r="I7" s="304" t="inlineStr">
        <is>
          <t>PARCIAL</t>
        </is>
      </c>
      <c r="J7" s="304" t="inlineStr">
        <is>
          <t>TOTAL</t>
        </is>
      </c>
      <c r="K7" s="304" t="inlineStr">
        <is>
          <t>UND</t>
        </is>
      </c>
    </row>
    <row r="8" ht="36.5" customHeight="1">
      <c r="A8" s="315" t="n"/>
      <c r="B8" s="315" t="n"/>
      <c r="C8" s="304" t="n"/>
      <c r="D8" s="304" t="inlineStr">
        <is>
          <t>LARGO</t>
        </is>
      </c>
      <c r="E8" s="304" t="inlineStr">
        <is>
          <t>ANCHO</t>
        </is>
      </c>
      <c r="F8" s="304" t="inlineStr">
        <is>
          <t>ALTURA</t>
        </is>
      </c>
      <c r="G8" s="304" t="inlineStr">
        <is>
          <t>FACT.</t>
        </is>
      </c>
      <c r="H8" s="304" t="inlineStr">
        <is>
          <t>AREA</t>
        </is>
      </c>
      <c r="I8" s="304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8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8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09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0" t="inlineStr">
        <is>
          <t>NOTA</t>
        </is>
      </c>
    </row>
    <row r="14">
      <c r="A14" s="311" t="inlineStr">
        <is>
          <t>Los factores kg/m son editables. Si el proyecto usa otro factor, cámbialo aquí.</t>
        </is>
      </c>
    </row>
    <row r="15">
      <c r="A15" s="311" t="inlineStr">
        <is>
          <t>La opción TEÓRICO mantiene cantidades decimales: Longitud / separación + 1.</t>
        </is>
      </c>
    </row>
    <row r="16">
      <c r="A16" s="311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361" t="inlineStr">
        <is>
          <t>COLECTOR PLUVIAL FRONTAL - TRAMO HOGAR DE REFUGIO (CUI 2675514): CALCULO POR TRAMOS</t>
        </is>
      </c>
    </row>
    <row r="2">
      <c r="A2" s="362" t="inlineStr">
        <is>
          <t>Secciones medias por tramo. Azul = dato (de la memoria de calculo y la superficie topografica); negro = formula.</t>
        </is>
      </c>
    </row>
    <row r="4">
      <c r="A4" s="361" t="inlineStr">
        <is>
          <t>PARAMETROS</t>
        </is>
      </c>
    </row>
    <row r="5">
      <c r="A5" s="362" t="inlineStr">
        <is>
          <t>Ancho interior b</t>
        </is>
      </c>
      <c r="B5" s="363" t="n">
        <v>0.8</v>
      </c>
      <c r="C5" s="362" t="inlineStr">
        <is>
          <t>m</t>
        </is>
      </c>
    </row>
    <row r="6">
      <c r="A6" s="362" t="inlineStr">
        <is>
          <t>Espesor de muros</t>
        </is>
      </c>
      <c r="B6" s="363" t="n">
        <v>0.15</v>
      </c>
      <c r="C6" s="362" t="inlineStr">
        <is>
          <t>m</t>
        </is>
      </c>
    </row>
    <row r="7">
      <c r="A7" s="362" t="inlineStr">
        <is>
          <t>Espesor losa de fondo</t>
        </is>
      </c>
      <c r="B7" s="363" t="n">
        <v>0.15</v>
      </c>
      <c r="C7" s="362" t="inlineStr">
        <is>
          <t>m</t>
        </is>
      </c>
    </row>
    <row r="8">
      <c r="A8" s="362" t="inlineStr">
        <is>
          <t>Espesor losa superior (normal y motos)</t>
        </is>
      </c>
      <c r="B8" s="363" t="n">
        <v>0.1</v>
      </c>
      <c r="C8" s="362" t="inlineStr">
        <is>
          <t>m</t>
        </is>
      </c>
    </row>
    <row r="9">
      <c r="A9" s="362" t="inlineStr">
        <is>
          <t>Espesor losa superior (camiones)</t>
        </is>
      </c>
      <c r="B9" s="363" t="n">
        <v>0.25</v>
      </c>
      <c r="C9" s="362" t="inlineStr">
        <is>
          <t>m</t>
        </is>
      </c>
    </row>
    <row r="10">
      <c r="A10" s="362" t="inlineStr">
        <is>
          <t>Espesor de solado</t>
        </is>
      </c>
      <c r="B10" s="363" t="n">
        <v>0.05</v>
      </c>
      <c r="C10" s="362" t="inlineStr">
        <is>
          <t>m</t>
        </is>
      </c>
    </row>
    <row r="11">
      <c r="A11" s="362" t="inlineStr">
        <is>
          <t>Sobreancho de excavacion por lado</t>
        </is>
      </c>
      <c r="B11" s="363" t="n">
        <v>0.25</v>
      </c>
      <c r="C11" s="362" t="inlineStr">
        <is>
          <t>m</t>
        </is>
      </c>
    </row>
    <row r="12">
      <c r="A12" s="362" t="inlineStr">
        <is>
          <t>Franja de relleno de nivelacion lado via</t>
        </is>
      </c>
      <c r="B12" s="363" t="n">
        <v>1</v>
      </c>
      <c r="C12" s="362" t="inlineStr">
        <is>
          <t>m</t>
        </is>
      </c>
    </row>
    <row r="13">
      <c r="A13" s="362" t="inlineStr">
        <is>
          <t>Recubrimiento</t>
        </is>
      </c>
      <c r="B13" s="363" t="n">
        <v>0.04</v>
      </c>
      <c r="C13" s="362" t="inlineStr">
        <is>
          <t>m</t>
        </is>
      </c>
    </row>
    <row r="14">
      <c r="A14" s="362" t="inlineStr">
        <is>
          <t>Peso acero 3/8"</t>
        </is>
      </c>
      <c r="B14" s="363" t="n">
        <v>0.5600000000000001</v>
      </c>
      <c r="C14" s="362" t="inlineStr">
        <is>
          <t>kg/m</t>
        </is>
      </c>
    </row>
    <row r="15">
      <c r="A15" s="362" t="inlineStr">
        <is>
          <t>Peso acero 1/2"</t>
        </is>
      </c>
      <c r="B15" s="363" t="n">
        <v>0.994</v>
      </c>
      <c r="C15" s="362" t="inlineStr">
        <is>
          <t>kg/m</t>
        </is>
      </c>
    </row>
    <row r="16">
      <c r="A16" s="362" t="inlineStr">
        <is>
          <t>Traslape</t>
        </is>
      </c>
      <c r="B16" s="363" t="n">
        <v>0.4</v>
      </c>
      <c r="C16" s="362" t="inlineStr">
        <is>
          <t>m</t>
        </is>
      </c>
    </row>
    <row r="17">
      <c r="A17" s="362" t="inlineStr">
        <is>
          <t>Longitud de barra</t>
        </is>
      </c>
      <c r="B17" s="363" t="n">
        <v>9</v>
      </c>
      <c r="C17" s="362" t="inlineStr">
        <is>
          <t>m</t>
        </is>
      </c>
    </row>
    <row r="18">
      <c r="A18" s="362" t="inlineStr">
        <is>
          <t>Gancho de marco</t>
        </is>
      </c>
      <c r="B18" s="363" t="n">
        <v>0.3</v>
      </c>
      <c r="C18" s="362" t="inlineStr">
        <is>
          <t>m</t>
        </is>
      </c>
    </row>
    <row r="21" ht="45" customHeight="1">
      <c r="A21" s="364" t="inlineStr">
        <is>
          <t>TRAMO</t>
        </is>
      </c>
      <c r="B21" s="364" t="inlineStr">
        <is>
          <t>PROG. INICIO</t>
        </is>
      </c>
      <c r="C21" s="364" t="inlineStr">
        <is>
          <t>PROG. FIN</t>
        </is>
      </c>
      <c r="D21" s="364" t="inlineStr">
        <is>
          <t>LONGITUD (m)</t>
        </is>
      </c>
      <c r="E21" s="364" t="inlineStr">
        <is>
          <t>ZONA</t>
        </is>
      </c>
      <c r="F21" s="364" t="inlineStr">
        <is>
          <t>e LOSA SUP. (m)</t>
        </is>
      </c>
      <c r="G21" s="364" t="inlineStr">
        <is>
          <t>ALTURA INT. h (m)</t>
        </is>
      </c>
      <c r="H21" s="364" t="inlineStr">
        <is>
          <t>Hz EXCAV. (m)</t>
        </is>
      </c>
      <c r="I21" s="364" t="inlineStr">
        <is>
          <t>NPT - TERRENO (m)</t>
        </is>
      </c>
      <c r="J21" s="364" t="inlineStr">
        <is>
          <t>ANCHO EXT. (m)</t>
        </is>
      </c>
      <c r="K21" s="364" t="inlineStr">
        <is>
          <t>ANCHO ZANJA (m)</t>
        </is>
      </c>
      <c r="L21" s="364" t="inlineStr">
        <is>
          <t>TRAZO (m2)</t>
        </is>
      </c>
      <c r="M21" s="364" t="inlineStr">
        <is>
          <t>EXCAVACION (m3)</t>
        </is>
      </c>
      <c r="N21" s="364" t="inlineStr">
        <is>
          <t>REFINE (m2)</t>
        </is>
      </c>
      <c r="O21" s="364" t="inlineStr">
        <is>
          <t>RELLENO LATERAL (m3)</t>
        </is>
      </c>
      <c r="P21" s="364" t="inlineStr">
        <is>
          <t>RELLENO FRANJA (m3)</t>
        </is>
      </c>
      <c r="Q21" s="364" t="inlineStr">
        <is>
          <t>SOLADO (m2)</t>
        </is>
      </c>
      <c r="R21" s="364" t="inlineStr">
        <is>
          <t>C. LOSA FONDO (m3)</t>
        </is>
      </c>
      <c r="S21" s="364" t="inlineStr">
        <is>
          <t>C. MUROS (m3)</t>
        </is>
      </c>
      <c r="T21" s="364" t="inlineStr">
        <is>
          <t>C. LOSA SUP. (m3)</t>
        </is>
      </c>
      <c r="U21" s="364" t="inlineStr">
        <is>
          <t>ENCOFRADO (m2)</t>
        </is>
      </c>
      <c r="V21" s="364" t="inlineStr">
        <is>
          <t>ACABADO (m2)</t>
        </is>
      </c>
      <c r="W21" s="364" t="inlineStr">
        <is>
          <t>ESPAC. MARCOS (m)</t>
        </is>
      </c>
      <c r="X21" s="364" t="inlineStr">
        <is>
          <t>CAPAS (1 = marco unico en el eje; 2 = ext. + int.)</t>
        </is>
      </c>
      <c r="Y21" s="364" t="inlineStr">
        <is>
          <t>DIAM. MARCOS</t>
        </is>
      </c>
      <c r="Z21" s="364" t="inlineStr">
        <is>
          <t>N JUEGOS DE MARCOS</t>
        </is>
      </c>
      <c r="AA21" s="364" t="inlineStr">
        <is>
          <t>PERIM. MARCO 1 (m)</t>
        </is>
      </c>
      <c r="AB21" s="364" t="inlineStr">
        <is>
          <t>PERIM. MARCO 2 (m)</t>
        </is>
      </c>
      <c r="AC21" s="364" t="inlineStr">
        <is>
          <t>ACERO MARCOS (kg)</t>
        </is>
      </c>
      <c r="AD21" s="364" t="inlineStr">
        <is>
          <t>ESPAC. LONG. (m)</t>
        </is>
      </c>
      <c r="AE21" s="364" t="inlineStr">
        <is>
          <t>N BARRAS LONG.</t>
        </is>
      </c>
      <c r="AF21" s="364" t="inlineStr">
        <is>
          <t>ACERO LONG. (kg)</t>
        </is>
      </c>
    </row>
    <row r="22">
      <c r="A22" s="365" t="inlineStr">
        <is>
          <t>tramo normal</t>
        </is>
      </c>
      <c r="B22" s="366" t="n">
        <v>0</v>
      </c>
      <c r="C22" s="366" t="n">
        <v>26.32</v>
      </c>
      <c r="D22" s="367">
        <f>C22-B22</f>
        <v/>
      </c>
      <c r="E22" s="365" t="inlineStr">
        <is>
          <t>NORMAL</t>
        </is>
      </c>
      <c r="F22" s="366" t="n">
        <v>0.1</v>
      </c>
      <c r="G22" s="368" t="n">
        <v>1.439</v>
      </c>
      <c r="H22" s="368" t="n">
        <v>1.395</v>
      </c>
      <c r="I22" s="368" t="n">
        <v>0.345</v>
      </c>
      <c r="J22" s="367">
        <f>$B$5+2*$B$6</f>
        <v/>
      </c>
      <c r="K22" s="367">
        <f>J22+2*$B$11</f>
        <v/>
      </c>
      <c r="L22" s="367">
        <f>K22*D22</f>
        <v/>
      </c>
      <c r="M22" s="367">
        <f>K22*H22*D22</f>
        <v/>
      </c>
      <c r="N22" s="367">
        <f>(J22+0.10)*D22</f>
        <v/>
      </c>
      <c r="O22" s="367">
        <f>2*$B$11*H22*D22</f>
        <v/>
      </c>
      <c r="P22" s="367">
        <f>$B$12*I22*D22</f>
        <v/>
      </c>
      <c r="Q22" s="367">
        <f>(J22+0.10)*D22</f>
        <v/>
      </c>
      <c r="R22" s="367">
        <f>J22*$B$7*D22</f>
        <v/>
      </c>
      <c r="S22" s="367">
        <f>2*$B$6*G22*D22</f>
        <v/>
      </c>
      <c r="T22" s="367">
        <f>J22*F22*D22</f>
        <v/>
      </c>
      <c r="U22" s="367">
        <f>D22*(2*G22+2*($B$7+G22+F22)+$B$5)</f>
        <v/>
      </c>
      <c r="V22" s="367">
        <f>J22*D22</f>
        <v/>
      </c>
      <c r="W22" s="366" t="n">
        <v>0.2</v>
      </c>
      <c r="X22" s="366" t="n">
        <v>1</v>
      </c>
      <c r="Y22" s="365" t="inlineStr">
        <is>
          <t>3/8"</t>
        </is>
      </c>
      <c r="Z22" s="367">
        <f>ROUNDUP(D22/W22,0)</f>
        <v/>
      </c>
      <c r="AA22" s="367">
        <f>IF(X22=2,2*(J22-2*$B$13)+2*($B$7+G22+F22-2*$B$13)+$B$18,2*(J22-$B$6)+2*($B$7/2+G22+F22/2)+$B$18)</f>
        <v/>
      </c>
      <c r="AB22" s="367">
        <f>IF(X22=2,2*($B$5+2*($B$6-$B$13))+2*(G22+2*($B$6-$B$13))+$B$18,0)</f>
        <v/>
      </c>
      <c r="AC22" s="367">
        <f>Z22*(AA22+AB22)*IF(Y22="1/2""",$B$15,$B$14)</f>
        <v/>
      </c>
      <c r="AD22" s="366" t="n">
        <v>0.25</v>
      </c>
      <c r="AE22" s="367">
        <f>ROUND(AA22/AD22,0)+IF(AB22&gt;0,ROUND(AB22/AD22,0),0)</f>
        <v/>
      </c>
      <c r="AF22" s="367">
        <f>AE22*D22*(1+$B$16/$B$17)*$B$14</f>
        <v/>
      </c>
    </row>
    <row r="23">
      <c r="A23" s="365" t="inlineStr">
        <is>
          <t>cruce de camiones</t>
        </is>
      </c>
      <c r="B23" s="366" t="n">
        <v>26.32</v>
      </c>
      <c r="C23" s="366" t="n">
        <v>31.33</v>
      </c>
      <c r="D23" s="367">
        <f>C23-B23</f>
        <v/>
      </c>
      <c r="E23" s="365" t="inlineStr">
        <is>
          <t>CAMION</t>
        </is>
      </c>
      <c r="F23" s="366" t="n">
        <v>0.25</v>
      </c>
      <c r="G23" s="368" t="n">
        <v>1.336</v>
      </c>
      <c r="H23" s="368" t="n">
        <v>1.274</v>
      </c>
      <c r="I23" s="368" t="n">
        <v>0.513</v>
      </c>
      <c r="J23" s="367">
        <f>$B$5+2*$B$6</f>
        <v/>
      </c>
      <c r="K23" s="367">
        <f>J23+2*$B$11</f>
        <v/>
      </c>
      <c r="L23" s="367">
        <f>K23*D23</f>
        <v/>
      </c>
      <c r="M23" s="367">
        <f>K23*H23*D23</f>
        <v/>
      </c>
      <c r="N23" s="367">
        <f>(J23+0.10)*D23</f>
        <v/>
      </c>
      <c r="O23" s="367">
        <f>2*$B$11*H23*D23</f>
        <v/>
      </c>
      <c r="P23" s="367">
        <f>$B$12*I23*D23</f>
        <v/>
      </c>
      <c r="Q23" s="367">
        <f>(J23+0.10)*D23</f>
        <v/>
      </c>
      <c r="R23" s="367">
        <f>J23*$B$7*D23</f>
        <v/>
      </c>
      <c r="S23" s="367">
        <f>2*$B$6*G23*D23</f>
        <v/>
      </c>
      <c r="T23" s="367">
        <f>J23*F23*D23</f>
        <v/>
      </c>
      <c r="U23" s="367">
        <f>D23*(2*G23+2*($B$7+G23+F23)+$B$5)</f>
        <v/>
      </c>
      <c r="V23" s="367">
        <f>J23*D23</f>
        <v/>
      </c>
      <c r="W23" s="366" t="n">
        <v>0.15</v>
      </c>
      <c r="X23" s="366" t="n">
        <v>2</v>
      </c>
      <c r="Y23" s="365" t="inlineStr">
        <is>
          <t>1/2"</t>
        </is>
      </c>
      <c r="Z23" s="367">
        <f>ROUNDUP(D23/W23,0)</f>
        <v/>
      </c>
      <c r="AA23" s="367">
        <f>IF(X23=2,2*(J23-2*$B$13)+2*($B$7+G23+F23-2*$B$13)+$B$18,2*(J23-$B$6)+2*($B$7/2+G23+F23/2)+$B$18)</f>
        <v/>
      </c>
      <c r="AB23" s="367">
        <f>IF(X23=2,2*($B$5+2*($B$6-$B$13))+2*(G23+2*($B$6-$B$13))+$B$18,0)</f>
        <v/>
      </c>
      <c r="AC23" s="367">
        <f>Z23*(AA23+AB23)*IF(Y23="1/2""",$B$15,$B$14)</f>
        <v/>
      </c>
      <c r="AD23" s="366" t="n">
        <v>0.2</v>
      </c>
      <c r="AE23" s="367">
        <f>ROUND(AA23/AD23,0)+IF(AB23&gt;0,ROUND(AB23/AD23,0),0)</f>
        <v/>
      </c>
      <c r="AF23" s="367">
        <f>AE23*D23*(1+$B$16/$B$17)*$B$14</f>
        <v/>
      </c>
    </row>
    <row r="24">
      <c r="A24" s="365" t="inlineStr">
        <is>
          <t>tramo normal</t>
        </is>
      </c>
      <c r="B24" s="366" t="n">
        <v>31.33</v>
      </c>
      <c r="C24" s="366" t="n">
        <v>39.04</v>
      </c>
      <c r="D24" s="367">
        <f>C24-B24</f>
        <v/>
      </c>
      <c r="E24" s="365" t="inlineStr">
        <is>
          <t>NORMAL</t>
        </is>
      </c>
      <c r="F24" s="366" t="n">
        <v>0.1</v>
      </c>
      <c r="G24" s="368" t="n">
        <v>1.506</v>
      </c>
      <c r="H24" s="368" t="n">
        <v>1.368</v>
      </c>
      <c r="I24" s="368" t="n">
        <v>0.437</v>
      </c>
      <c r="J24" s="367">
        <f>$B$5+2*$B$6</f>
        <v/>
      </c>
      <c r="K24" s="367">
        <f>J24+2*$B$11</f>
        <v/>
      </c>
      <c r="L24" s="367">
        <f>K24*D24</f>
        <v/>
      </c>
      <c r="M24" s="367">
        <f>K24*H24*D24</f>
        <v/>
      </c>
      <c r="N24" s="367">
        <f>(J24+0.10)*D24</f>
        <v/>
      </c>
      <c r="O24" s="367">
        <f>2*$B$11*H24*D24</f>
        <v/>
      </c>
      <c r="P24" s="367">
        <f>$B$12*I24*D24</f>
        <v/>
      </c>
      <c r="Q24" s="367">
        <f>(J24+0.10)*D24</f>
        <v/>
      </c>
      <c r="R24" s="367">
        <f>J24*$B$7*D24</f>
        <v/>
      </c>
      <c r="S24" s="367">
        <f>2*$B$6*G24*D24</f>
        <v/>
      </c>
      <c r="T24" s="367">
        <f>J24*F24*D24</f>
        <v/>
      </c>
      <c r="U24" s="367">
        <f>D24*(2*G24+2*($B$7+G24+F24)+$B$5)</f>
        <v/>
      </c>
      <c r="V24" s="367">
        <f>J24*D24</f>
        <v/>
      </c>
      <c r="W24" s="366" t="n">
        <v>0.2</v>
      </c>
      <c r="X24" s="366" t="n">
        <v>1</v>
      </c>
      <c r="Y24" s="365" t="inlineStr">
        <is>
          <t>3/8"</t>
        </is>
      </c>
      <c r="Z24" s="367">
        <f>ROUNDUP(D24/W24,0)</f>
        <v/>
      </c>
      <c r="AA24" s="367">
        <f>IF(X24=2,2*(J24-2*$B$13)+2*($B$7+G24+F24-2*$B$13)+$B$18,2*(J24-$B$6)+2*($B$7/2+G24+F24/2)+$B$18)</f>
        <v/>
      </c>
      <c r="AB24" s="367">
        <f>IF(X24=2,2*($B$5+2*($B$6-$B$13))+2*(G24+2*($B$6-$B$13))+$B$18,0)</f>
        <v/>
      </c>
      <c r="AC24" s="367">
        <f>Z24*(AA24+AB24)*IF(Y24="1/2""",$B$15,$B$14)</f>
        <v/>
      </c>
      <c r="AD24" s="366" t="n">
        <v>0.25</v>
      </c>
      <c r="AE24" s="367">
        <f>ROUND(AA24/AD24,0)+IF(AB24&gt;0,ROUND(AB24/AD24,0),0)</f>
        <v/>
      </c>
      <c r="AF24" s="367">
        <f>AE24*D24*(1+$B$16/$B$17)*$B$14</f>
        <v/>
      </c>
    </row>
    <row r="25">
      <c r="A25" s="365" t="inlineStr">
        <is>
          <t>cruce de motos</t>
        </is>
      </c>
      <c r="B25" s="366" t="n">
        <v>39.04</v>
      </c>
      <c r="C25" s="366" t="n">
        <v>41.04</v>
      </c>
      <c r="D25" s="367">
        <f>C25-B25</f>
        <v/>
      </c>
      <c r="E25" s="365" t="inlineStr">
        <is>
          <t>MOTOS</t>
        </is>
      </c>
      <c r="F25" s="366" t="n">
        <v>0.1</v>
      </c>
      <c r="G25" s="368" t="n">
        <v>1.52</v>
      </c>
      <c r="H25" s="368" t="n">
        <v>1.605</v>
      </c>
      <c r="I25" s="368" t="n">
        <v>0.215</v>
      </c>
      <c r="J25" s="367">
        <f>$B$5+2*$B$6</f>
        <v/>
      </c>
      <c r="K25" s="367">
        <f>J25+2*$B$11</f>
        <v/>
      </c>
      <c r="L25" s="367">
        <f>K25*D25</f>
        <v/>
      </c>
      <c r="M25" s="367">
        <f>K25*H25*D25</f>
        <v/>
      </c>
      <c r="N25" s="367">
        <f>(J25+0.10)*D25</f>
        <v/>
      </c>
      <c r="O25" s="367">
        <f>2*$B$11*H25*D25</f>
        <v/>
      </c>
      <c r="P25" s="367">
        <f>$B$12*I25*D25</f>
        <v/>
      </c>
      <c r="Q25" s="367">
        <f>(J25+0.10)*D25</f>
        <v/>
      </c>
      <c r="R25" s="367">
        <f>J25*$B$7*D25</f>
        <v/>
      </c>
      <c r="S25" s="367">
        <f>2*$B$6*G25*D25</f>
        <v/>
      </c>
      <c r="T25" s="367">
        <f>J25*F25*D25</f>
        <v/>
      </c>
      <c r="U25" s="367">
        <f>D25*(2*G25+2*($B$7+G25+F25)+$B$5)</f>
        <v/>
      </c>
      <c r="V25" s="367">
        <f>J25*D25</f>
        <v/>
      </c>
      <c r="W25" s="366" t="n">
        <v>0.15</v>
      </c>
      <c r="X25" s="366" t="n">
        <v>1</v>
      </c>
      <c r="Y25" s="365" t="inlineStr">
        <is>
          <t>3/8"</t>
        </is>
      </c>
      <c r="Z25" s="367">
        <f>ROUNDUP(D25/W25,0)</f>
        <v/>
      </c>
      <c r="AA25" s="367">
        <f>IF(X25=2,2*(J25-2*$B$13)+2*($B$7+G25+F25-2*$B$13)+$B$18,2*(J25-$B$6)+2*($B$7/2+G25+F25/2)+$B$18)</f>
        <v/>
      </c>
      <c r="AB25" s="367">
        <f>IF(X25=2,2*($B$5+2*($B$6-$B$13))+2*(G25+2*($B$6-$B$13))+$B$18,0)</f>
        <v/>
      </c>
      <c r="AC25" s="367">
        <f>Z25*(AA25+AB25)*IF(Y25="1/2""",$B$15,$B$14)</f>
        <v/>
      </c>
      <c r="AD25" s="366" t="n">
        <v>0.25</v>
      </c>
      <c r="AE25" s="367">
        <f>ROUND(AA25/AD25,0)+IF(AB25&gt;0,ROUND(AB25/AD25,0),0)</f>
        <v/>
      </c>
      <c r="AF25" s="367">
        <f>AE25*D25*(1+$B$16/$B$17)*$B$14</f>
        <v/>
      </c>
    </row>
    <row r="26">
      <c r="A26" s="365" t="inlineStr">
        <is>
          <t>tramo normal</t>
        </is>
      </c>
      <c r="B26" s="366" t="n">
        <v>41.04</v>
      </c>
      <c r="C26" s="366" t="n">
        <v>58.81</v>
      </c>
      <c r="D26" s="367">
        <f>C26-B26</f>
        <v/>
      </c>
      <c r="E26" s="365" t="inlineStr">
        <is>
          <t>NORMAL</t>
        </is>
      </c>
      <c r="F26" s="366" t="n">
        <v>0.1</v>
      </c>
      <c r="G26" s="368" t="n">
        <v>1.55</v>
      </c>
      <c r="H26" s="368" t="n">
        <v>1.155</v>
      </c>
      <c r="I26" s="368" t="n">
        <v>0.695</v>
      </c>
      <c r="J26" s="367">
        <f>$B$5+2*$B$6</f>
        <v/>
      </c>
      <c r="K26" s="367">
        <f>J26+2*$B$11</f>
        <v/>
      </c>
      <c r="L26" s="367">
        <f>K26*D26</f>
        <v/>
      </c>
      <c r="M26" s="367">
        <f>K26*H26*D26</f>
        <v/>
      </c>
      <c r="N26" s="367">
        <f>(J26+0.10)*D26</f>
        <v/>
      </c>
      <c r="O26" s="367">
        <f>2*$B$11*H26*D26</f>
        <v/>
      </c>
      <c r="P26" s="367">
        <f>$B$12*I26*D26</f>
        <v/>
      </c>
      <c r="Q26" s="367">
        <f>(J26+0.10)*D26</f>
        <v/>
      </c>
      <c r="R26" s="367">
        <f>J26*$B$7*D26</f>
        <v/>
      </c>
      <c r="S26" s="367">
        <f>2*$B$6*G26*D26</f>
        <v/>
      </c>
      <c r="T26" s="367">
        <f>J26*F26*D26</f>
        <v/>
      </c>
      <c r="U26" s="367">
        <f>D26*(2*G26+2*($B$7+G26+F26)+$B$5)</f>
        <v/>
      </c>
      <c r="V26" s="367">
        <f>J26*D26</f>
        <v/>
      </c>
      <c r="W26" s="366" t="n">
        <v>0.2</v>
      </c>
      <c r="X26" s="366" t="n">
        <v>1</v>
      </c>
      <c r="Y26" s="365" t="inlineStr">
        <is>
          <t>3/8"</t>
        </is>
      </c>
      <c r="Z26" s="367">
        <f>ROUNDUP(D26/W26,0)</f>
        <v/>
      </c>
      <c r="AA26" s="367">
        <f>IF(X26=2,2*(J26-2*$B$13)+2*($B$7+G26+F26-2*$B$13)+$B$18,2*(J26-$B$6)+2*($B$7/2+G26+F26/2)+$B$18)</f>
        <v/>
      </c>
      <c r="AB26" s="367">
        <f>IF(X26=2,2*($B$5+2*($B$6-$B$13))+2*(G26+2*($B$6-$B$13))+$B$18,0)</f>
        <v/>
      </c>
      <c r="AC26" s="367">
        <f>Z26*(AA26+AB26)*IF(Y26="1/2""",$B$15,$B$14)</f>
        <v/>
      </c>
      <c r="AD26" s="366" t="n">
        <v>0.25</v>
      </c>
      <c r="AE26" s="367">
        <f>ROUND(AA26/AD26,0)+IF(AB26&gt;0,ROUND(AB26/AD26,0),0)</f>
        <v/>
      </c>
      <c r="AF26" s="367">
        <f>AE26*D26*(1+$B$16/$B$17)*$B$14</f>
        <v/>
      </c>
    </row>
    <row r="27">
      <c r="A27" s="365" t="inlineStr">
        <is>
          <t>tramo diagonal (quiebres)</t>
        </is>
      </c>
      <c r="B27" s="366" t="n">
        <v>58.81</v>
      </c>
      <c r="C27" s="366" t="n">
        <v>66.89</v>
      </c>
      <c r="D27" s="367">
        <f>C27-B27</f>
        <v/>
      </c>
      <c r="E27" s="365" t="inlineStr">
        <is>
          <t>NORMAL</t>
        </is>
      </c>
      <c r="F27" s="366" t="n">
        <v>0.1</v>
      </c>
      <c r="G27" s="368" t="n">
        <v>1.589</v>
      </c>
      <c r="H27" s="368" t="n">
        <v>1.033</v>
      </c>
      <c r="I27" s="368" t="n">
        <v>0.855</v>
      </c>
      <c r="J27" s="367">
        <f>$B$5+2*$B$6</f>
        <v/>
      </c>
      <c r="K27" s="367">
        <f>J27+2*$B$11</f>
        <v/>
      </c>
      <c r="L27" s="367">
        <f>K27*D27</f>
        <v/>
      </c>
      <c r="M27" s="367">
        <f>K27*H27*D27</f>
        <v/>
      </c>
      <c r="N27" s="367">
        <f>(J27+0.10)*D27</f>
        <v/>
      </c>
      <c r="O27" s="367">
        <f>2*$B$11*H27*D27</f>
        <v/>
      </c>
      <c r="P27" s="367">
        <f>$B$12*I27*D27</f>
        <v/>
      </c>
      <c r="Q27" s="367">
        <f>(J27+0.10)*D27</f>
        <v/>
      </c>
      <c r="R27" s="367">
        <f>J27*$B$7*D27</f>
        <v/>
      </c>
      <c r="S27" s="367">
        <f>2*$B$6*G27*D27</f>
        <v/>
      </c>
      <c r="T27" s="367">
        <f>J27*F27*D27</f>
        <v/>
      </c>
      <c r="U27" s="367">
        <f>D27*(2*G27+2*($B$7+G27+F27)+$B$5)</f>
        <v/>
      </c>
      <c r="V27" s="367">
        <f>J27*D27</f>
        <v/>
      </c>
      <c r="W27" s="366" t="n">
        <v>0.2</v>
      </c>
      <c r="X27" s="366" t="n">
        <v>1</v>
      </c>
      <c r="Y27" s="365" t="inlineStr">
        <is>
          <t>3/8"</t>
        </is>
      </c>
      <c r="Z27" s="367">
        <f>ROUNDUP(D27/W27,0)</f>
        <v/>
      </c>
      <c r="AA27" s="367">
        <f>IF(X27=2,2*(J27-2*$B$13)+2*($B$7+G27+F27-2*$B$13)+$B$18,2*(J27-$B$6)+2*($B$7/2+G27+F27/2)+$B$18)</f>
        <v/>
      </c>
      <c r="AB27" s="367">
        <f>IF(X27=2,2*($B$5+2*($B$6-$B$13))+2*(G27+2*($B$6-$B$13))+$B$18,0)</f>
        <v/>
      </c>
      <c r="AC27" s="367">
        <f>Z27*(AA27+AB27)*IF(Y27="1/2""",$B$15,$B$14)</f>
        <v/>
      </c>
      <c r="AD27" s="366" t="n">
        <v>0.25</v>
      </c>
      <c r="AE27" s="367">
        <f>ROUND(AA27/AD27,0)+IF(AB27&gt;0,ROUND(AB27/AD27,0),0)</f>
        <v/>
      </c>
      <c r="AF27" s="367">
        <f>AE27*D27*(1+$B$16/$B$17)*$B$14</f>
        <v/>
      </c>
    </row>
    <row r="28">
      <c r="A28" s="365" t="inlineStr">
        <is>
          <t>tramo recto final</t>
        </is>
      </c>
      <c r="B28" s="366" t="n">
        <v>66.89</v>
      </c>
      <c r="C28" s="366" t="n">
        <v>69.89</v>
      </c>
      <c r="D28" s="367">
        <f>C28-B28</f>
        <v/>
      </c>
      <c r="E28" s="365" t="inlineStr">
        <is>
          <t>NORMAL</t>
        </is>
      </c>
      <c r="F28" s="366" t="n">
        <v>0.1</v>
      </c>
      <c r="G28" s="368" t="n">
        <v>1.605</v>
      </c>
      <c r="H28" s="368" t="n">
        <v>1.062</v>
      </c>
      <c r="I28" s="368" t="n">
        <v>0.843</v>
      </c>
      <c r="J28" s="367">
        <f>$B$5+2*$B$6</f>
        <v/>
      </c>
      <c r="K28" s="367">
        <f>J28+2*$B$11</f>
        <v/>
      </c>
      <c r="L28" s="367">
        <f>K28*D28</f>
        <v/>
      </c>
      <c r="M28" s="367">
        <f>K28*H28*D28</f>
        <v/>
      </c>
      <c r="N28" s="367">
        <f>(J28+0.10)*D28</f>
        <v/>
      </c>
      <c r="O28" s="367">
        <f>2*$B$11*H28*D28</f>
        <v/>
      </c>
      <c r="P28" s="367">
        <f>$B$12*I28*D28</f>
        <v/>
      </c>
      <c r="Q28" s="367">
        <f>(J28+0.10)*D28</f>
        <v/>
      </c>
      <c r="R28" s="367">
        <f>J28*$B$7*D28</f>
        <v/>
      </c>
      <c r="S28" s="367">
        <f>2*$B$6*G28*D28</f>
        <v/>
      </c>
      <c r="T28" s="367">
        <f>J28*F28*D28</f>
        <v/>
      </c>
      <c r="U28" s="367">
        <f>D28*(2*G28+2*($B$7+G28+F28)+$B$5)</f>
        <v/>
      </c>
      <c r="V28" s="367">
        <f>J28*D28</f>
        <v/>
      </c>
      <c r="W28" s="366" t="n">
        <v>0.2</v>
      </c>
      <c r="X28" s="366" t="n">
        <v>1</v>
      </c>
      <c r="Y28" s="365" t="inlineStr">
        <is>
          <t>3/8"</t>
        </is>
      </c>
      <c r="Z28" s="367">
        <f>ROUNDUP(D28/W28,0)</f>
        <v/>
      </c>
      <c r="AA28" s="367">
        <f>IF(X28=2,2*(J28-2*$B$13)+2*($B$7+G28+F28-2*$B$13)+$B$18,2*(J28-$B$6)+2*($B$7/2+G28+F28/2)+$B$18)</f>
        <v/>
      </c>
      <c r="AB28" s="367">
        <f>IF(X28=2,2*($B$5+2*($B$6-$B$13))+2*(G28+2*($B$6-$B$13))+$B$18,0)</f>
        <v/>
      </c>
      <c r="AC28" s="367">
        <f>Z28*(AA28+AB28)*IF(Y28="1/2""",$B$15,$B$14)</f>
        <v/>
      </c>
      <c r="AD28" s="366" t="n">
        <v>0.25</v>
      </c>
      <c r="AE28" s="367">
        <f>ROUND(AA28/AD28,0)+IF(AB28&gt;0,ROUND(AB28/AD28,0),0)</f>
        <v/>
      </c>
      <c r="AF28" s="367">
        <f>AE28*D28*(1+$B$16/$B$17)*$B$14</f>
        <v/>
      </c>
    </row>
    <row r="29">
      <c r="A29" s="361" t="inlineStr">
        <is>
          <t>TOTAL COLECTOR</t>
        </is>
      </c>
      <c r="D29" s="369">
        <f>SUM(D22:D28)</f>
        <v/>
      </c>
      <c r="L29" s="369">
        <f>SUM(L22:L28)</f>
        <v/>
      </c>
      <c r="M29" s="369">
        <f>SUM(M22:M28)</f>
        <v/>
      </c>
      <c r="N29" s="369">
        <f>SUM(N22:N28)</f>
        <v/>
      </c>
      <c r="O29" s="369">
        <f>SUM(O22:O28)</f>
        <v/>
      </c>
      <c r="P29" s="369">
        <f>SUM(P22:P28)</f>
        <v/>
      </c>
      <c r="Q29" s="369">
        <f>SUM(Q22:Q28)</f>
        <v/>
      </c>
      <c r="R29" s="369">
        <f>SUM(R22:R28)</f>
        <v/>
      </c>
      <c r="S29" s="369">
        <f>SUM(S22:S28)</f>
        <v/>
      </c>
      <c r="T29" s="369">
        <f>SUM(T22:T28)</f>
        <v/>
      </c>
      <c r="U29" s="369">
        <f>SUM(U22:U28)</f>
        <v/>
      </c>
      <c r="V29" s="369">
        <f>SUM(V22:V28)</f>
        <v/>
      </c>
      <c r="Z29" s="369">
        <f>SUM(Z22:Z28)</f>
        <v/>
      </c>
      <c r="AC29" s="369">
        <f>SUM(AC22:AC28)</f>
        <v/>
      </c>
      <c r="AE29" s="369">
        <f>SUM(AE22:AE28)</f>
        <v/>
      </c>
      <c r="AF29" s="369">
        <f>SUM(AF22:AF28)</f>
        <v/>
      </c>
    </row>
    <row r="32">
      <c r="A32" s="361" t="inlineStr">
        <is>
          <t>CAJAS Y PROLONGACIONES DE CUNETA (geometria de las laminas DP-06C y DP-07)</t>
        </is>
      </c>
    </row>
    <row r="33" ht="35" customHeight="1">
      <c r="A33" s="364" t="inlineStr">
        <is>
          <t>ELEMENTO</t>
        </is>
      </c>
      <c r="B33" s="364" t="inlineStr">
        <is>
          <t>LARGO INT. (m)</t>
        </is>
      </c>
      <c r="C33" s="364" t="inlineStr">
        <is>
          <t>ANCHO INT. (m)</t>
        </is>
      </c>
      <c r="D33" s="364" t="inlineStr">
        <is>
          <t>ALTURA (m)</t>
        </is>
      </c>
      <c r="E33" s="364" t="inlineStr">
        <is>
          <t>Hz EXCAV. (m)</t>
        </is>
      </c>
      <c r="F33" s="364" t="inlineStr">
        <is>
          <t>EXCAVACION (m3)</t>
        </is>
      </c>
      <c r="G33" s="364" t="inlineStr">
        <is>
          <t>SOLADO (m2)</t>
        </is>
      </c>
      <c r="H33" s="364" t="inlineStr">
        <is>
          <t>C. LOSA FONDO (m3)</t>
        </is>
      </c>
      <c r="I33" s="364" t="inlineStr">
        <is>
          <t>C. MUROS (m3)</t>
        </is>
      </c>
      <c r="J33" s="364" t="inlineStr">
        <is>
          <t>C. LOSA SUP. (m3)</t>
        </is>
      </c>
      <c r="K33" s="364" t="inlineStr">
        <is>
          <t>ENCOFRADO (m2)</t>
        </is>
      </c>
      <c r="L33" s="364" t="inlineStr">
        <is>
          <t>ACERO 3/8 (kg)</t>
        </is>
      </c>
      <c r="M33" s="364" t="inlineStr">
        <is>
          <t>ACABADO (m2)</t>
        </is>
      </c>
      <c r="N33" s="364" t="inlineStr">
        <is>
          <t>RELLENO (m3)</t>
        </is>
      </c>
    </row>
    <row r="34">
      <c r="A34" s="367" t="inlineStr">
        <is>
          <t>Caja de llegada CL</t>
        </is>
      </c>
      <c r="B34" s="366" t="n">
        <v>1.5</v>
      </c>
      <c r="C34" s="366" t="n">
        <v>1</v>
      </c>
      <c r="D34" s="366" t="n">
        <v>1.7</v>
      </c>
      <c r="E34" s="366" t="n">
        <v>1.702</v>
      </c>
      <c r="F34" s="367">
        <f>(B34+2*$B$6+2*$B$11)*(C34+2*$B$6+2*$B$11)*E34</f>
        <v/>
      </c>
      <c r="G34" s="367">
        <f>(B34+2*$B$6+0.1)*(C34+2*$B$6+0.1)</f>
        <v/>
      </c>
      <c r="H34" s="366" t="n">
        <v>0.351</v>
      </c>
      <c r="I34" s="366" t="n">
        <v>1.26</v>
      </c>
      <c r="J34" s="366" t="n">
        <v>0.185</v>
      </c>
      <c r="K34" s="366" t="n">
        <v>18.5</v>
      </c>
      <c r="L34" s="366" t="n">
        <v>82.59999999999999</v>
      </c>
      <c r="M34" s="366" t="n">
        <v>2.34</v>
      </c>
      <c r="N34" s="366" t="n">
        <v>2.6</v>
      </c>
    </row>
    <row r="35">
      <c r="A35" s="367" t="inlineStr">
        <is>
          <t>Caja de caida CC</t>
        </is>
      </c>
      <c r="B35" s="366" t="n">
        <v>3.5</v>
      </c>
      <c r="C35" s="366" t="n">
        <v>1.5</v>
      </c>
      <c r="D35" s="366" t="n">
        <v>2.18</v>
      </c>
      <c r="E35" s="366" t="n">
        <v>1.521</v>
      </c>
      <c r="F35" s="367">
        <f>(B35+2*$B$6+2*$B$11)*(C35+2*$B$6+2*$B$11)*E35</f>
        <v/>
      </c>
      <c r="G35" s="367">
        <f>(B35+2*$B$6+0.1)*(C35+2*$B$6+0.1)</f>
        <v/>
      </c>
      <c r="H35" s="366" t="n">
        <v>1.135</v>
      </c>
      <c r="I35" s="366" t="n">
        <v>2.688</v>
      </c>
      <c r="J35" s="366" t="n">
        <v>0.5590000000000001</v>
      </c>
      <c r="K35" s="366" t="n">
        <v>50.05</v>
      </c>
      <c r="L35" s="366" t="n">
        <v>206.8</v>
      </c>
      <c r="M35" s="366" t="n">
        <v>6.57</v>
      </c>
      <c r="N35" s="366" t="n">
        <v>0</v>
      </c>
    </row>
    <row r="36">
      <c r="A36" s="367" t="inlineStr">
        <is>
          <t>Prolongacion cuneta Eje 11 (0.40 x H, muros 0.10)</t>
        </is>
      </c>
      <c r="B36" s="366" t="n">
        <v>1.88</v>
      </c>
      <c r="C36" s="366" t="n">
        <v>0.4</v>
      </c>
      <c r="D36" s="366" t="n">
        <v>0.7</v>
      </c>
      <c r="E36" s="366" t="n">
        <v>0.85</v>
      </c>
      <c r="F36" s="367">
        <f>0.90*B36*E36</f>
        <v/>
      </c>
      <c r="G36" s="367">
        <f>0.70*B36</f>
        <v/>
      </c>
      <c r="I36" s="367">
        <f>B36*(0.60*0.10+2*0.10*(D36-0.10))</f>
        <v/>
      </c>
      <c r="K36" s="367">
        <f>B36*(2*(D36-0.10)+2*D36)</f>
        <v/>
      </c>
      <c r="L36" s="366" t="n">
        <v>22.8</v>
      </c>
      <c r="M36" s="367">
        <f>0.60*B36</f>
        <v/>
      </c>
    </row>
    <row r="37">
      <c r="A37" s="367" t="inlineStr">
        <is>
          <t>Prolongacion cuneta Eje 12 (0.40 x H, muros 0.10)</t>
        </is>
      </c>
      <c r="B37" s="366" t="n">
        <v>5.39</v>
      </c>
      <c r="C37" s="366" t="n">
        <v>0.4</v>
      </c>
      <c r="D37" s="366" t="n">
        <v>0.9</v>
      </c>
      <c r="E37" s="366" t="n">
        <v>1.05</v>
      </c>
      <c r="F37" s="367">
        <f>0.90*B37*E37</f>
        <v/>
      </c>
      <c r="G37" s="367">
        <f>0.70*B37</f>
        <v/>
      </c>
      <c r="I37" s="367">
        <f>B37*(0.60*0.10+2*0.10*(D37-0.10))</f>
        <v/>
      </c>
      <c r="K37" s="367">
        <f>B37*(2*(D37-0.10)+2*D37)</f>
        <v/>
      </c>
      <c r="L37" s="366" t="n">
        <v>75.40000000000001</v>
      </c>
      <c r="M37" s="367">
        <f>0.60*B37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5" max="5"/>
    <col width="16" customWidth="1" min="6" max="6"/>
    <col width="44" customWidth="1" min="9" max="9"/>
  </cols>
  <sheetData>
    <row r="1">
      <c r="A1" s="361" t="inlineStr">
        <is>
          <t>COLECTOR PLUVIAL FRONTAL: PLANILLA DE ACERO (despiece)</t>
        </is>
      </c>
    </row>
    <row r="3">
      <c r="A3" s="370" t="inlineStr">
        <is>
          <t>ELEMENTO</t>
        </is>
      </c>
      <c r="B3" s="370" t="inlineStr">
        <is>
          <t>DIAM.</t>
        </is>
      </c>
      <c r="C3" s="370" t="inlineStr">
        <is>
          <t>FORMA</t>
        </is>
      </c>
      <c r="D3" s="370" t="inlineStr">
        <is>
          <t>N PIEZAS</t>
        </is>
      </c>
      <c r="E3" s="370" t="inlineStr">
        <is>
          <t>LONG. POR PIEZA (m)</t>
        </is>
      </c>
      <c r="F3" s="370" t="inlineStr">
        <is>
          <t>LONG. TOTAL (m)</t>
        </is>
      </c>
      <c r="G3" s="370" t="inlineStr">
        <is>
          <t>PESO (kg/m)</t>
        </is>
      </c>
      <c r="H3" s="370" t="inlineStr">
        <is>
          <t>PESO (kg)</t>
        </is>
      </c>
      <c r="I3" s="370" t="inlineStr">
        <is>
          <t>OBSERVACION</t>
        </is>
      </c>
    </row>
    <row r="4">
      <c r="A4" s="365" t="inlineStr">
        <is>
          <t>Colector: marcos cerrados (marco unico en tramo normal y motos; doble en camiones)</t>
        </is>
      </c>
      <c r="B4" s="365" t="inlineStr">
        <is>
          <t>3/8" y 1/2"</t>
        </is>
      </c>
      <c r="C4" s="365" t="inlineStr">
        <is>
          <t>cerrado</t>
        </is>
      </c>
      <c r="F4" s="367">
        <f>SUMPRODUCT('COLECTOR TRAMOS'!Z22:Z28,'COLECTOR TRAMOS'!AA22:AA28+'COLECTOR TRAMOS'!AB22:AB28)</f>
        <v/>
      </c>
      <c r="H4" s="367">
        <f>'COLECTOR TRAMOS'!AC29</f>
        <v/>
      </c>
      <c r="I4" s="365" t="inlineStr">
        <is>
          <t>hoja COLECTOR TRAMOS (peso segun diametro por tramo)</t>
        </is>
      </c>
    </row>
    <row r="5">
      <c r="A5" s="365" t="inlineStr">
        <is>
          <t>Colector: barras longitudinales</t>
        </is>
      </c>
      <c r="B5" s="365" t="inlineStr">
        <is>
          <t>3/8"</t>
        </is>
      </c>
      <c r="C5" s="365" t="inlineStr">
        <is>
          <t>recta con traslape</t>
        </is>
      </c>
      <c r="F5" s="367">
        <f>'COLECTOR TRAMOS'!AF29/'COLECTOR TRAMOS'!$B$14</f>
        <v/>
      </c>
      <c r="G5" s="367">
        <f>'COLECTOR TRAMOS'!$B$14</f>
        <v/>
      </c>
      <c r="H5" s="367">
        <f>F5*G5</f>
        <v/>
      </c>
      <c r="I5" s="365" t="inlineStr">
        <is>
          <t>incluye traslape 0.40 cada 9.00 m</t>
        </is>
      </c>
    </row>
    <row r="6">
      <c r="A6" s="365" t="inlineStr">
        <is>
          <t>Cajas CL y CC: malla 3/8" @0.20 ambas caras</t>
        </is>
      </c>
      <c r="B6" s="365" t="inlineStr">
        <is>
          <t>3/8"</t>
        </is>
      </c>
      <c r="C6" s="365" t="inlineStr">
        <is>
          <t>malla</t>
        </is>
      </c>
      <c r="F6" s="367">
        <f>('COLECTOR TRAMOS'!L34+'COLECTOR TRAMOS'!L35)/'COLECTOR TRAMOS'!$B$14</f>
        <v/>
      </c>
      <c r="G6" s="367">
        <f>'COLECTOR TRAMOS'!$B$14</f>
        <v/>
      </c>
      <c r="H6" s="367">
        <f>F6*G6</f>
        <v/>
      </c>
      <c r="I6" s="365" t="inlineStr">
        <is>
          <t>hoja COLECTOR TRAMOS, cuadro de cajas</t>
        </is>
      </c>
    </row>
    <row r="7">
      <c r="A7" s="365" t="inlineStr">
        <is>
          <t>Registros: refuerzo de borde de abertura</t>
        </is>
      </c>
      <c r="B7" s="365" t="inlineStr">
        <is>
          <t>1/2"</t>
        </is>
      </c>
      <c r="C7" s="365" t="inlineStr">
        <is>
          <t>recta</t>
        </is>
      </c>
      <c r="D7" s="365">
        <f>10*8</f>
        <v/>
      </c>
      <c r="E7" s="366" t="n">
        <v>1.4</v>
      </c>
      <c r="F7" s="367">
        <f>D7*E7</f>
        <v/>
      </c>
      <c r="G7" s="367">
        <f>'COLECTOR TRAMOS'!$B$15</f>
        <v/>
      </c>
      <c r="H7" s="367">
        <f>F7*G7</f>
        <v/>
      </c>
      <c r="I7" s="365" t="inlineStr">
        <is>
          <t>2 barras por lado, L=1.40</t>
        </is>
      </c>
    </row>
    <row r="8">
      <c r="A8" s="365" t="inlineStr">
        <is>
          <t>Tapas de registro: parrilla</t>
        </is>
      </c>
      <c r="B8" s="365" t="inlineStr">
        <is>
          <t>3/8"</t>
        </is>
      </c>
      <c r="C8" s="365" t="inlineStr">
        <is>
          <t>recta</t>
        </is>
      </c>
      <c r="D8" s="365">
        <f>10*14</f>
        <v/>
      </c>
      <c r="E8" s="366" t="n">
        <v>0.62</v>
      </c>
      <c r="F8" s="367">
        <f>D8*E8</f>
        <v/>
      </c>
      <c r="G8" s="367">
        <f>'COLECTOR TRAMOS'!$B$14</f>
        <v/>
      </c>
      <c r="H8" s="367">
        <f>F8*G8</f>
        <v/>
      </c>
      <c r="I8" s="365" t="inlineStr">
        <is>
          <t>7 + 7 barras @0.10</t>
        </is>
      </c>
    </row>
    <row r="9">
      <c r="A9" s="365" t="inlineStr">
        <is>
          <t>Tapas de registro: asas</t>
        </is>
      </c>
      <c r="B9" s="365" t="inlineStr">
        <is>
          <t>3/8" liso</t>
        </is>
      </c>
      <c r="C9" s="365" t="inlineStr">
        <is>
          <t>U</t>
        </is>
      </c>
      <c r="D9" s="365">
        <f>10*2</f>
        <v/>
      </c>
      <c r="E9" s="366" t="n">
        <v>0.4</v>
      </c>
      <c r="F9" s="367">
        <f>D9*E9</f>
        <v/>
      </c>
      <c r="G9" s="367">
        <f>'COLECTOR TRAMOS'!$B$14</f>
        <v/>
      </c>
      <c r="H9" s="367">
        <f>F9*G9</f>
        <v/>
      </c>
      <c r="I9" s="365" t="inlineStr"/>
    </row>
    <row r="10">
      <c r="A10" s="365" t="inlineStr">
        <is>
          <t>Anclajes de contramarco</t>
        </is>
      </c>
      <c r="B10" s="365" t="inlineStr">
        <is>
          <t>3/8"</t>
        </is>
      </c>
      <c r="C10" s="365" t="inlineStr">
        <is>
          <t>L</t>
        </is>
      </c>
      <c r="D10" s="365">
        <f>10*8</f>
        <v/>
      </c>
      <c r="E10" s="366" t="n">
        <v>0.2</v>
      </c>
      <c r="F10" s="367">
        <f>D10*E10</f>
        <v/>
      </c>
      <c r="G10" s="367">
        <f>'COLECTOR TRAMOS'!$B$14</f>
        <v/>
      </c>
      <c r="H10" s="367">
        <f>F10*G10</f>
        <v/>
      </c>
      <c r="I10" s="365" t="inlineStr">
        <is>
          <t>soldados al angulo</t>
        </is>
      </c>
    </row>
    <row r="11">
      <c r="A11" s="365" t="inlineStr">
        <is>
          <t>Prolongacion de cunetas Ejes 11 y 12</t>
        </is>
      </c>
      <c r="B11" s="365" t="inlineStr">
        <is>
          <t>3/8"</t>
        </is>
      </c>
      <c r="C11" s="365" t="inlineStr">
        <is>
          <t>U + rectas</t>
        </is>
      </c>
      <c r="F11" s="367">
        <f>('COLECTOR TRAMOS'!L36+'COLECTOR TRAMOS'!L37)/'COLECTOR TRAMOS'!$B$14</f>
        <v/>
      </c>
      <c r="G11" s="367">
        <f>'COLECTOR TRAMOS'!$B$14</f>
        <v/>
      </c>
      <c r="H11" s="367">
        <f>F11*G11</f>
        <v/>
      </c>
      <c r="I11" s="365" t="inlineStr">
        <is>
          <t>@0.20</t>
        </is>
      </c>
    </row>
    <row r="13">
      <c r="A13" s="361" t="inlineStr">
        <is>
          <t>TOTAL ACERO COLECTOR Y CAJAS (partida 01.04.04.04.05)</t>
        </is>
      </c>
      <c r="H13" s="371">
        <f>SUM(H4:H6)</f>
        <v/>
      </c>
    </row>
    <row r="14">
      <c r="A14" s="361" t="inlineStr">
        <is>
          <t>TOTAL ACERO EN REGISTROS Y TAPAS (partida 01.04.04.05.06)</t>
        </is>
      </c>
      <c r="H14" s="371">
        <f>SUM(H7:H10)</f>
        <v/>
      </c>
    </row>
    <row r="15">
      <c r="A15" s="361" t="inlineStr">
        <is>
          <t>TOTAL ACERO EN PROLONGACION DE CUNETAS (partida 01.04.04.06.06)</t>
        </is>
      </c>
      <c r="H15" s="371">
        <f>H11</f>
        <v/>
      </c>
    </row>
    <row r="16">
      <c r="A16" s="361" t="inlineStr">
        <is>
          <t>TOTAL ACERO</t>
        </is>
      </c>
      <c r="H16" s="371">
        <f>SUM(H4:H11)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8" max="8"/>
  </cols>
  <sheetData>
    <row r="1">
      <c r="A1" s="361" t="inlineStr">
        <is>
          <t>COLECTOR PLUVIAL FRONTAL: REGISTROS DE LIMPIEZA Y TAPAS (lamina DP-06B)</t>
        </is>
      </c>
    </row>
    <row r="3">
      <c r="A3" s="362" t="inlineStr">
        <is>
          <t>Numero de registros (RS-01 a RS-07 + CL + 2 en CC)</t>
        </is>
      </c>
      <c r="B3" s="363" t="n">
        <v>10</v>
      </c>
      <c r="C3" s="362" t="inlineStr">
        <is>
          <t>und</t>
        </is>
      </c>
    </row>
    <row r="4">
      <c r="A4" s="362" t="inlineStr">
        <is>
          <t>Lado de tapa</t>
        </is>
      </c>
      <c r="B4" s="363" t="n">
        <v>0.68</v>
      </c>
      <c r="C4" s="362" t="inlineStr">
        <is>
          <t>m</t>
        </is>
      </c>
    </row>
    <row r="5">
      <c r="A5" s="362" t="inlineStr">
        <is>
          <t>Espesor de tapa</t>
        </is>
      </c>
      <c r="B5" s="363" t="n">
        <v>0.08</v>
      </c>
      <c r="C5" s="362" t="inlineStr">
        <is>
          <t>m</t>
        </is>
      </c>
    </row>
    <row r="6">
      <c r="A6" s="362" t="inlineStr">
        <is>
          <t>Perimetro de contramarco (4 x 0.70)</t>
        </is>
      </c>
      <c r="B6" s="363" t="n">
        <v>2.8</v>
      </c>
      <c r="C6" s="362" t="inlineStr">
        <is>
          <t>m</t>
        </is>
      </c>
    </row>
    <row r="7">
      <c r="A7" s="362" t="inlineStr">
        <is>
          <t>Perimetro de marco de tapa (4 x 0.68)</t>
        </is>
      </c>
      <c r="B7" s="363" t="n">
        <v>2.72</v>
      </c>
      <c r="C7" s="362" t="inlineStr">
        <is>
          <t>m</t>
        </is>
      </c>
    </row>
    <row r="8">
      <c r="A8" s="362" t="inlineStr">
        <is>
          <t>Peso angulo L 2"x2"x3/16"</t>
        </is>
      </c>
      <c r="B8" s="363" t="n">
        <v>3.63</v>
      </c>
      <c r="C8" s="362" t="inlineStr">
        <is>
          <t>kg/m</t>
        </is>
      </c>
    </row>
    <row r="9">
      <c r="A9" s="362" t="inlineStr">
        <is>
          <t>Peso angulo L 1 1/2"x1 1/2"x1/8"</t>
        </is>
      </c>
      <c r="B9" s="363" t="n">
        <v>1.83</v>
      </c>
      <c r="C9" s="362" t="inlineStr">
        <is>
          <t>kg/m</t>
        </is>
      </c>
    </row>
    <row r="10">
      <c r="A10" s="362" t="inlineStr">
        <is>
          <t>Desarrollo pintado contramarco</t>
        </is>
      </c>
      <c r="B10" s="363" t="n">
        <v>0.203</v>
      </c>
      <c r="C10" s="362" t="inlineStr">
        <is>
          <t>m2/m</t>
        </is>
      </c>
    </row>
    <row r="11">
      <c r="A11" s="362" t="inlineStr">
        <is>
          <t>Desarrollo pintado marco</t>
        </is>
      </c>
      <c r="B11" s="363" t="n">
        <v>0.152</v>
      </c>
      <c r="C11" s="362" t="inlineStr">
        <is>
          <t>m2/m</t>
        </is>
      </c>
    </row>
    <row r="12">
      <c r="A12" s="362" t="inlineStr">
        <is>
          <t>Borde engrosado: perimetro x seccion</t>
        </is>
      </c>
      <c r="B12" s="363" t="n">
        <v>0.045</v>
      </c>
      <c r="C12" s="362" t="inlineStr">
        <is>
          <t>m3/und</t>
        </is>
      </c>
    </row>
    <row r="14">
      <c r="A14" s="372" t="inlineStr">
        <is>
          <t>PARTIDA</t>
        </is>
      </c>
      <c r="B14" s="372" t="inlineStr">
        <is>
          <t>UND</t>
        </is>
      </c>
      <c r="C14" s="372" t="inlineStr">
        <is>
          <t>N VECES</t>
        </is>
      </c>
      <c r="D14" s="372" t="inlineStr">
        <is>
          <t>LARGO</t>
        </is>
      </c>
      <c r="E14" s="372" t="inlineStr">
        <is>
          <t>ANCHO</t>
        </is>
      </c>
      <c r="F14" s="372" t="inlineStr">
        <is>
          <t>ALTO</t>
        </is>
      </c>
      <c r="G14" s="372" t="inlineStr">
        <is>
          <t>PARCIAL</t>
        </is>
      </c>
      <c r="H14" s="372" t="inlineStr">
        <is>
          <t>OBSERVACION</t>
        </is>
      </c>
    </row>
    <row r="15">
      <c r="A15" s="367" t="inlineStr">
        <is>
          <t>Contramarco metalico L 2"x2"x3/16" con anclajes</t>
        </is>
      </c>
      <c r="B15" s="367" t="inlineStr">
        <is>
          <t>und</t>
        </is>
      </c>
      <c r="C15" s="367">
        <f>$B$3</f>
        <v/>
      </c>
      <c r="G15" s="367">
        <f>C15</f>
        <v/>
      </c>
      <c r="H15" s="367" t="inlineStr"/>
    </row>
    <row r="16">
      <c r="A16" s="367" t="inlineStr">
        <is>
          <t>Marco metalico de tapa L 1 1/2"x1 1/2"x1/8"</t>
        </is>
      </c>
      <c r="B16" s="367" t="inlineStr">
        <is>
          <t>und</t>
        </is>
      </c>
      <c r="C16" s="367">
        <f>$B$3</f>
        <v/>
      </c>
      <c r="G16" s="367">
        <f>C16</f>
        <v/>
      </c>
      <c r="H16" s="367" t="inlineStr"/>
    </row>
    <row r="17">
      <c r="A17" s="367" t="inlineStr">
        <is>
          <t>Angulos metalicos (kg)</t>
        </is>
      </c>
      <c r="B17" s="367" t="inlineStr">
        <is>
          <t>kg</t>
        </is>
      </c>
      <c r="C17" s="367">
        <f>$B$3</f>
        <v/>
      </c>
      <c r="G17" s="367">
        <f>C17*($B$6*$B$8+$B$7*$B$9)</f>
        <v/>
      </c>
      <c r="H17" s="367" t="inlineStr">
        <is>
          <t>contramarco + marco</t>
        </is>
      </c>
    </row>
    <row r="18">
      <c r="A18" s="367" t="inlineStr">
        <is>
          <t>Tapa de concreto armado 0.68 x 0.68 x 0.08</t>
        </is>
      </c>
      <c r="B18" s="367" t="inlineStr">
        <is>
          <t>und</t>
        </is>
      </c>
      <c r="C18" s="367">
        <f>$B$3</f>
        <v/>
      </c>
      <c r="G18" s="367">
        <f>C18</f>
        <v/>
      </c>
      <c r="H18" s="367" t="inlineStr"/>
    </row>
    <row r="19">
      <c r="A19" s="367" t="inlineStr">
        <is>
          <t>Concreto f'c=210 en tapas</t>
        </is>
      </c>
      <c r="B19" s="367" t="inlineStr">
        <is>
          <t>m3</t>
        </is>
      </c>
      <c r="C19" s="367">
        <f>$B$3</f>
        <v/>
      </c>
      <c r="D19" s="367">
        <f>$B$4</f>
        <v/>
      </c>
      <c r="E19" s="367">
        <f>$B$4</f>
        <v/>
      </c>
      <c r="F19" s="367">
        <f>$B$5</f>
        <v/>
      </c>
      <c r="G19" s="367">
        <f>C19*D19*E19*F19</f>
        <v/>
      </c>
      <c r="H19" s="367" t="inlineStr"/>
    </row>
    <row r="20">
      <c r="A20" s="367" t="inlineStr">
        <is>
          <t>Concreto f'c=210 en borde engrosado de abertura</t>
        </is>
      </c>
      <c r="B20" s="367" t="inlineStr">
        <is>
          <t>m3</t>
        </is>
      </c>
      <c r="C20" s="367">
        <f>$B$3</f>
        <v/>
      </c>
      <c r="G20" s="367">
        <f>C20*$B$12</f>
        <v/>
      </c>
      <c r="H20" s="367" t="inlineStr">
        <is>
          <t>incluido en losa superior</t>
        </is>
      </c>
    </row>
    <row r="21">
      <c r="A21" s="367" t="inlineStr">
        <is>
          <t>Pintura anticorrosiva y esmalte en angulos</t>
        </is>
      </c>
      <c r="B21" s="367" t="inlineStr">
        <is>
          <t>m2</t>
        </is>
      </c>
      <c r="C21" s="367">
        <f>$B$3</f>
        <v/>
      </c>
      <c r="G21" s="367">
        <f>C21*($B$6*$B$10+$B$7*$B$11)</f>
        <v/>
      </c>
      <c r="H21" s="36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4" max="4"/>
    <col width="18" customWidth="1" min="6" max="6"/>
    <col width="18" customWidth="1" min="7" max="7"/>
  </cols>
  <sheetData>
    <row r="1">
      <c r="A1" s="361" t="inlineStr">
        <is>
          <t>COLECTOR PLUVIAL FRONTAL: DESGLOSE DE INSUMOS POR PARTIDA (para los analisis de costos unitarios)</t>
        </is>
      </c>
    </row>
    <row r="2">
      <c r="A2" s="362" t="inlineStr">
        <is>
          <t>Rendimientos unitarios en azul (referenciales, editar segun el ACU adoptado). Metrado tomado de la PLANILLA GENERAL DE METRADOS.</t>
        </is>
      </c>
    </row>
    <row r="4">
      <c r="A4" s="372" t="inlineStr">
        <is>
          <t>PARTIDA</t>
        </is>
      </c>
      <c r="B4" s="372" t="inlineStr">
        <is>
          <t>UND</t>
        </is>
      </c>
      <c r="C4" s="372" t="inlineStr">
        <is>
          <t>METRADO</t>
        </is>
      </c>
      <c r="D4" s="372" t="inlineStr">
        <is>
          <t>INSUMO</t>
        </is>
      </c>
      <c r="E4" s="372" t="inlineStr">
        <is>
          <t>UND INSUMO</t>
        </is>
      </c>
      <c r="F4" s="372" t="inlineStr">
        <is>
          <t>CANTIDAD POR UND</t>
        </is>
      </c>
      <c r="G4" s="372" t="inlineStr">
        <is>
          <t>CANTIDAD TOTAL</t>
        </is>
      </c>
    </row>
    <row r="5">
      <c r="A5" s="373" t="inlineStr">
        <is>
          <t>CONCRETO f'c=210 - losa de fondo</t>
        </is>
      </c>
      <c r="B5" s="365" t="inlineStr">
        <is>
          <t>m3</t>
        </is>
      </c>
      <c r="C5" s="367">
        <f>'PLANILLA GENERAL DE METRADOS'!K241</f>
        <v/>
      </c>
      <c r="D5" s="365" t="inlineStr">
        <is>
          <t>Cemento Portland tipo I</t>
        </is>
      </c>
      <c r="E5" s="365" t="inlineStr">
        <is>
          <t>bol</t>
        </is>
      </c>
      <c r="F5" s="368" t="n">
        <v>9.73</v>
      </c>
      <c r="G5" s="367">
        <f>F5*$C$5</f>
        <v/>
      </c>
    </row>
    <row r="6">
      <c r="A6" s="365" t="inlineStr"/>
      <c r="B6" s="365" t="inlineStr"/>
      <c r="C6" s="374" t="n"/>
      <c r="D6" s="365" t="inlineStr">
        <is>
          <t>Arena gruesa</t>
        </is>
      </c>
      <c r="E6" s="365" t="inlineStr">
        <is>
          <t>m3</t>
        </is>
      </c>
      <c r="F6" s="368" t="n">
        <v>0.52</v>
      </c>
      <c r="G6" s="367">
        <f>F6*$C$5</f>
        <v/>
      </c>
    </row>
    <row r="7">
      <c r="A7" s="365" t="inlineStr"/>
      <c r="B7" s="365" t="inlineStr"/>
      <c r="C7" s="374" t="n"/>
      <c r="D7" s="365" t="inlineStr">
        <is>
          <t>Piedra chancada 1/2"</t>
        </is>
      </c>
      <c r="E7" s="365" t="inlineStr">
        <is>
          <t>m3</t>
        </is>
      </c>
      <c r="F7" s="368" t="n">
        <v>0.53</v>
      </c>
      <c r="G7" s="367">
        <f>F7*$C$5</f>
        <v/>
      </c>
    </row>
    <row r="8">
      <c r="A8" s="365" t="inlineStr"/>
      <c r="B8" s="365" t="inlineStr"/>
      <c r="C8" s="374" t="n"/>
      <c r="D8" s="365" t="inlineStr">
        <is>
          <t>Agua</t>
        </is>
      </c>
      <c r="E8" s="365" t="inlineStr">
        <is>
          <t>m3</t>
        </is>
      </c>
      <c r="F8" s="368" t="n">
        <v>0.186</v>
      </c>
      <c r="G8" s="367">
        <f>F8*$C$5</f>
        <v/>
      </c>
    </row>
    <row r="9">
      <c r="A9" s="365" t="inlineStr"/>
      <c r="B9" s="365" t="inlineStr"/>
      <c r="C9" s="374" t="n"/>
      <c r="D9" s="365" t="inlineStr">
        <is>
          <t>Mezcladora 9-11 p3</t>
        </is>
      </c>
      <c r="E9" s="365" t="inlineStr">
        <is>
          <t>hm</t>
        </is>
      </c>
      <c r="F9" s="368" t="n">
        <v>0.8</v>
      </c>
      <c r="G9" s="367">
        <f>F9*$C$5</f>
        <v/>
      </c>
    </row>
    <row r="10">
      <c r="A10" s="365" t="inlineStr"/>
      <c r="B10" s="365" t="inlineStr"/>
      <c r="C10" s="374" t="n"/>
      <c r="D10" s="365" t="inlineStr">
        <is>
          <t>Vibrador de concreto</t>
        </is>
      </c>
      <c r="E10" s="365" t="inlineStr">
        <is>
          <t>hm</t>
        </is>
      </c>
      <c r="F10" s="368" t="n">
        <v>0.8</v>
      </c>
      <c r="G10" s="367">
        <f>F10*$C$5</f>
        <v/>
      </c>
    </row>
    <row r="11">
      <c r="A11" s="365" t="inlineStr"/>
      <c r="B11" s="365" t="inlineStr"/>
      <c r="C11" s="374" t="n"/>
      <c r="D11" s="365" t="inlineStr">
        <is>
          <t>Operario</t>
        </is>
      </c>
      <c r="E11" s="365" t="inlineStr">
        <is>
          <t>hh</t>
        </is>
      </c>
      <c r="F11" s="368" t="n">
        <v>0.8</v>
      </c>
      <c r="G11" s="367">
        <f>F11*$C$5</f>
        <v/>
      </c>
    </row>
    <row r="12">
      <c r="A12" s="365" t="inlineStr"/>
      <c r="B12" s="365" t="inlineStr"/>
      <c r="C12" s="374" t="n"/>
      <c r="D12" s="365" t="inlineStr">
        <is>
          <t>Oficial</t>
        </is>
      </c>
      <c r="E12" s="365" t="inlineStr">
        <is>
          <t>hh</t>
        </is>
      </c>
      <c r="F12" s="368" t="n">
        <v>0.8</v>
      </c>
      <c r="G12" s="367">
        <f>F12*$C$5</f>
        <v/>
      </c>
    </row>
    <row r="13">
      <c r="A13" s="365" t="inlineStr"/>
      <c r="B13" s="365" t="inlineStr"/>
      <c r="C13" s="374" t="n"/>
      <c r="D13" s="365" t="inlineStr">
        <is>
          <t>Peon</t>
        </is>
      </c>
      <c r="E13" s="365" t="inlineStr">
        <is>
          <t>hh</t>
        </is>
      </c>
      <c r="F13" s="368" t="n">
        <v>6.4</v>
      </c>
      <c r="G13" s="367">
        <f>F13*$C$5</f>
        <v/>
      </c>
    </row>
    <row r="15">
      <c r="A15" s="373" t="inlineStr">
        <is>
          <t>CONCRETO f'c=210 - muros</t>
        </is>
      </c>
      <c r="B15" s="365" t="inlineStr">
        <is>
          <t>m3</t>
        </is>
      </c>
      <c r="C15" s="367">
        <f>'PLANILLA GENERAL DE METRADOS'!K251</f>
        <v/>
      </c>
      <c r="D15" s="365" t="inlineStr">
        <is>
          <t>Cemento Portland tipo I</t>
        </is>
      </c>
      <c r="E15" s="365" t="inlineStr">
        <is>
          <t>bol</t>
        </is>
      </c>
      <c r="F15" s="368" t="n">
        <v>9.73</v>
      </c>
      <c r="G15" s="367">
        <f>F15*$C$15</f>
        <v/>
      </c>
    </row>
    <row r="16">
      <c r="A16" s="365" t="inlineStr"/>
      <c r="B16" s="365" t="inlineStr"/>
      <c r="C16" s="374" t="n"/>
      <c r="D16" s="365" t="inlineStr">
        <is>
          <t>Arena gruesa</t>
        </is>
      </c>
      <c r="E16" s="365" t="inlineStr">
        <is>
          <t>m3</t>
        </is>
      </c>
      <c r="F16" s="368" t="n">
        <v>0.52</v>
      </c>
      <c r="G16" s="367">
        <f>F16*$C$15</f>
        <v/>
      </c>
    </row>
    <row r="17">
      <c r="A17" s="365" t="inlineStr"/>
      <c r="B17" s="365" t="inlineStr"/>
      <c r="C17" s="374" t="n"/>
      <c r="D17" s="365" t="inlineStr">
        <is>
          <t>Piedra chancada 1/2"</t>
        </is>
      </c>
      <c r="E17" s="365" t="inlineStr">
        <is>
          <t>m3</t>
        </is>
      </c>
      <c r="F17" s="368" t="n">
        <v>0.53</v>
      </c>
      <c r="G17" s="367">
        <f>F17*$C$15</f>
        <v/>
      </c>
    </row>
    <row r="18">
      <c r="A18" s="365" t="inlineStr"/>
      <c r="B18" s="365" t="inlineStr"/>
      <c r="C18" s="374" t="n"/>
      <c r="D18" s="365" t="inlineStr">
        <is>
          <t>Agua</t>
        </is>
      </c>
      <c r="E18" s="365" t="inlineStr">
        <is>
          <t>m3</t>
        </is>
      </c>
      <c r="F18" s="368" t="n">
        <v>0.186</v>
      </c>
      <c r="G18" s="367">
        <f>F18*$C$15</f>
        <v/>
      </c>
    </row>
    <row r="19">
      <c r="A19" s="365" t="inlineStr"/>
      <c r="B19" s="365" t="inlineStr"/>
      <c r="C19" s="374" t="n"/>
      <c r="D19" s="365" t="inlineStr">
        <is>
          <t>Mezcladora 9-11 p3</t>
        </is>
      </c>
      <c r="E19" s="365" t="inlineStr">
        <is>
          <t>hm</t>
        </is>
      </c>
      <c r="F19" s="368" t="n">
        <v>1</v>
      </c>
      <c r="G19" s="367">
        <f>F19*$C$15</f>
        <v/>
      </c>
    </row>
    <row r="20">
      <c r="A20" s="365" t="inlineStr"/>
      <c r="B20" s="365" t="inlineStr"/>
      <c r="C20" s="374" t="n"/>
      <c r="D20" s="365" t="inlineStr">
        <is>
          <t>Vibrador de concreto</t>
        </is>
      </c>
      <c r="E20" s="365" t="inlineStr">
        <is>
          <t>hm</t>
        </is>
      </c>
      <c r="F20" s="368" t="n">
        <v>1</v>
      </c>
      <c r="G20" s="367">
        <f>F20*$C$15</f>
        <v/>
      </c>
    </row>
    <row r="21">
      <c r="A21" s="365" t="inlineStr"/>
      <c r="B21" s="365" t="inlineStr"/>
      <c r="C21" s="374" t="n"/>
      <c r="D21" s="365" t="inlineStr">
        <is>
          <t>Operario</t>
        </is>
      </c>
      <c r="E21" s="365" t="inlineStr">
        <is>
          <t>hh</t>
        </is>
      </c>
      <c r="F21" s="368" t="n">
        <v>1</v>
      </c>
      <c r="G21" s="367">
        <f>F21*$C$15</f>
        <v/>
      </c>
    </row>
    <row r="22">
      <c r="A22" s="365" t="inlineStr"/>
      <c r="B22" s="365" t="inlineStr"/>
      <c r="C22" s="374" t="n"/>
      <c r="D22" s="365" t="inlineStr">
        <is>
          <t>Oficial</t>
        </is>
      </c>
      <c r="E22" s="365" t="inlineStr">
        <is>
          <t>hh</t>
        </is>
      </c>
      <c r="F22" s="368" t="n">
        <v>1</v>
      </c>
      <c r="G22" s="367">
        <f>F22*$C$15</f>
        <v/>
      </c>
    </row>
    <row r="23">
      <c r="A23" s="365" t="inlineStr"/>
      <c r="B23" s="365" t="inlineStr"/>
      <c r="C23" s="374" t="n"/>
      <c r="D23" s="365" t="inlineStr">
        <is>
          <t>Peon</t>
        </is>
      </c>
      <c r="E23" s="365" t="inlineStr">
        <is>
          <t>hh</t>
        </is>
      </c>
      <c r="F23" s="368" t="n">
        <v>8</v>
      </c>
      <c r="G23" s="367">
        <f>F23*$C$15</f>
        <v/>
      </c>
    </row>
    <row r="25">
      <c r="A25" s="373" t="inlineStr">
        <is>
          <t>CONCRETO f'c=210 - losa superior</t>
        </is>
      </c>
      <c r="B25" s="365" t="inlineStr">
        <is>
          <t>m3</t>
        </is>
      </c>
      <c r="C25" s="367">
        <f>'PLANILLA GENERAL DE METRADOS'!K261</f>
        <v/>
      </c>
      <c r="D25" s="365" t="inlineStr">
        <is>
          <t>Cemento Portland tipo I</t>
        </is>
      </c>
      <c r="E25" s="365" t="inlineStr">
        <is>
          <t>bol</t>
        </is>
      </c>
      <c r="F25" s="368" t="n">
        <v>9.73</v>
      </c>
      <c r="G25" s="367">
        <f>F25*$C$25</f>
        <v/>
      </c>
    </row>
    <row r="26">
      <c r="A26" s="365" t="inlineStr"/>
      <c r="B26" s="365" t="inlineStr"/>
      <c r="C26" s="374" t="n"/>
      <c r="D26" s="365" t="inlineStr">
        <is>
          <t>Arena gruesa</t>
        </is>
      </c>
      <c r="E26" s="365" t="inlineStr">
        <is>
          <t>m3</t>
        </is>
      </c>
      <c r="F26" s="368" t="n">
        <v>0.52</v>
      </c>
      <c r="G26" s="367">
        <f>F26*$C$25</f>
        <v/>
      </c>
    </row>
    <row r="27">
      <c r="A27" s="365" t="inlineStr"/>
      <c r="B27" s="365" t="inlineStr"/>
      <c r="C27" s="374" t="n"/>
      <c r="D27" s="365" t="inlineStr">
        <is>
          <t>Piedra chancada 1/2"</t>
        </is>
      </c>
      <c r="E27" s="365" t="inlineStr">
        <is>
          <t>m3</t>
        </is>
      </c>
      <c r="F27" s="368" t="n">
        <v>0.53</v>
      </c>
      <c r="G27" s="367">
        <f>F27*$C$25</f>
        <v/>
      </c>
    </row>
    <row r="28">
      <c r="A28" s="365" t="inlineStr"/>
      <c r="B28" s="365" t="inlineStr"/>
      <c r="C28" s="374" t="n"/>
      <c r="D28" s="365" t="inlineStr">
        <is>
          <t>Agua</t>
        </is>
      </c>
      <c r="E28" s="365" t="inlineStr">
        <is>
          <t>m3</t>
        </is>
      </c>
      <c r="F28" s="368" t="n">
        <v>0.186</v>
      </c>
      <c r="G28" s="367">
        <f>F28*$C$25</f>
        <v/>
      </c>
    </row>
    <row r="29">
      <c r="A29" s="365" t="inlineStr"/>
      <c r="B29" s="365" t="inlineStr"/>
      <c r="C29" s="374" t="n"/>
      <c r="D29" s="365" t="inlineStr">
        <is>
          <t>Mezcladora 9-11 p3</t>
        </is>
      </c>
      <c r="E29" s="365" t="inlineStr">
        <is>
          <t>hm</t>
        </is>
      </c>
      <c r="F29" s="368" t="n">
        <v>0.8</v>
      </c>
      <c r="G29" s="367">
        <f>F29*$C$25</f>
        <v/>
      </c>
    </row>
    <row r="30">
      <c r="A30" s="365" t="inlineStr"/>
      <c r="B30" s="365" t="inlineStr"/>
      <c r="C30" s="374" t="n"/>
      <c r="D30" s="365" t="inlineStr">
        <is>
          <t>Vibrador de concreto</t>
        </is>
      </c>
      <c r="E30" s="365" t="inlineStr">
        <is>
          <t>hm</t>
        </is>
      </c>
      <c r="F30" s="368" t="n">
        <v>0.8</v>
      </c>
      <c r="G30" s="367">
        <f>F30*$C$25</f>
        <v/>
      </c>
    </row>
    <row r="31">
      <c r="A31" s="365" t="inlineStr"/>
      <c r="B31" s="365" t="inlineStr"/>
      <c r="C31" s="374" t="n"/>
      <c r="D31" s="365" t="inlineStr">
        <is>
          <t>Operario</t>
        </is>
      </c>
      <c r="E31" s="365" t="inlineStr">
        <is>
          <t>hh</t>
        </is>
      </c>
      <c r="F31" s="368" t="n">
        <v>0.8</v>
      </c>
      <c r="G31" s="367">
        <f>F31*$C$25</f>
        <v/>
      </c>
    </row>
    <row r="32">
      <c r="A32" s="365" t="inlineStr"/>
      <c r="B32" s="365" t="inlineStr"/>
      <c r="C32" s="374" t="n"/>
      <c r="D32" s="365" t="inlineStr">
        <is>
          <t>Oficial</t>
        </is>
      </c>
      <c r="E32" s="365" t="inlineStr">
        <is>
          <t>hh</t>
        </is>
      </c>
      <c r="F32" s="368" t="n">
        <v>0.8</v>
      </c>
      <c r="G32" s="367">
        <f>F32*$C$25</f>
        <v/>
      </c>
    </row>
    <row r="33">
      <c r="A33" s="365" t="inlineStr"/>
      <c r="B33" s="365" t="inlineStr"/>
      <c r="C33" s="374" t="n"/>
      <c r="D33" s="365" t="inlineStr">
        <is>
          <t>Peon</t>
        </is>
      </c>
      <c r="E33" s="365" t="inlineStr">
        <is>
          <t>hh</t>
        </is>
      </c>
      <c r="F33" s="368" t="n">
        <v>6.4</v>
      </c>
      <c r="G33" s="367">
        <f>F33*$C$25</f>
        <v/>
      </c>
    </row>
    <row r="35">
      <c r="A35" s="373" t="inlineStr">
        <is>
          <t>ENCOFRADO Y DESENCOFRADO</t>
        </is>
      </c>
      <c r="B35" s="365" t="inlineStr">
        <is>
          <t>m2</t>
        </is>
      </c>
      <c r="C35" s="367">
        <f>'PLANILLA GENERAL DE METRADOS'!K273</f>
        <v/>
      </c>
      <c r="D35" s="365" t="inlineStr">
        <is>
          <t>Madera tornillo</t>
        </is>
      </c>
      <c r="E35" s="365" t="inlineStr">
        <is>
          <t>p2</t>
        </is>
      </c>
      <c r="F35" s="368" t="n">
        <v>4.24</v>
      </c>
      <c r="G35" s="367">
        <f>F35*$C$35</f>
        <v/>
      </c>
    </row>
    <row r="36">
      <c r="A36" s="365" t="inlineStr"/>
      <c r="B36" s="365" t="inlineStr"/>
      <c r="C36" s="374" t="n"/>
      <c r="D36" s="365" t="inlineStr">
        <is>
          <t>Clavos 3"</t>
        </is>
      </c>
      <c r="E36" s="365" t="inlineStr">
        <is>
          <t>kg</t>
        </is>
      </c>
      <c r="F36" s="368" t="n">
        <v>0.2</v>
      </c>
      <c r="G36" s="367">
        <f>F36*$C$35</f>
        <v/>
      </c>
    </row>
    <row r="37">
      <c r="A37" s="365" t="inlineStr"/>
      <c r="B37" s="365" t="inlineStr"/>
      <c r="C37" s="374" t="n"/>
      <c r="D37" s="365" t="inlineStr">
        <is>
          <t>Alambre negro N 8</t>
        </is>
      </c>
      <c r="E37" s="365" t="inlineStr">
        <is>
          <t>kg</t>
        </is>
      </c>
      <c r="F37" s="368" t="n">
        <v>0.2</v>
      </c>
      <c r="G37" s="367">
        <f>F37*$C$35</f>
        <v/>
      </c>
    </row>
    <row r="38">
      <c r="A38" s="365" t="inlineStr"/>
      <c r="B38" s="365" t="inlineStr"/>
      <c r="C38" s="374" t="n"/>
      <c r="D38" s="365" t="inlineStr">
        <is>
          <t>Operario</t>
        </is>
      </c>
      <c r="E38" s="365" t="inlineStr">
        <is>
          <t>hh</t>
        </is>
      </c>
      <c r="F38" s="368" t="n">
        <v>0.8</v>
      </c>
      <c r="G38" s="367">
        <f>F38*$C$35</f>
        <v/>
      </c>
    </row>
    <row r="39">
      <c r="A39" s="365" t="inlineStr"/>
      <c r="B39" s="365" t="inlineStr"/>
      <c r="C39" s="374" t="n"/>
      <c r="D39" s="365" t="inlineStr">
        <is>
          <t>Oficial</t>
        </is>
      </c>
      <c r="E39" s="365" t="inlineStr">
        <is>
          <t>hh</t>
        </is>
      </c>
      <c r="F39" s="368" t="n">
        <v>0.8</v>
      </c>
      <c r="G39" s="367">
        <f>F39*$C$35</f>
        <v/>
      </c>
    </row>
    <row r="41">
      <c r="A41" s="373" t="inlineStr">
        <is>
          <t>ACERO DE REFUERZO fy=4200</t>
        </is>
      </c>
      <c r="B41" s="365" t="inlineStr">
        <is>
          <t>kg</t>
        </is>
      </c>
      <c r="C41" s="367">
        <f>'PLANILLA GENERAL DE METRADOS'!K283</f>
        <v/>
      </c>
      <c r="D41" s="365" t="inlineStr">
        <is>
          <t>Acero corrugado fy=4200 (incluye 5 % desperdicio)</t>
        </is>
      </c>
      <c r="E41" s="365" t="inlineStr">
        <is>
          <t>kg</t>
        </is>
      </c>
      <c r="F41" s="368" t="n">
        <v>1.05</v>
      </c>
      <c r="G41" s="367">
        <f>F41*$C$41</f>
        <v/>
      </c>
    </row>
    <row r="42">
      <c r="A42" s="365" t="inlineStr"/>
      <c r="B42" s="365" t="inlineStr"/>
      <c r="C42" s="374" t="n"/>
      <c r="D42" s="365" t="inlineStr">
        <is>
          <t>Alambre negro N 16</t>
        </is>
      </c>
      <c r="E42" s="365" t="inlineStr">
        <is>
          <t>kg</t>
        </is>
      </c>
      <c r="F42" s="368" t="n">
        <v>0.06</v>
      </c>
      <c r="G42" s="367">
        <f>F42*$C$41</f>
        <v/>
      </c>
    </row>
    <row r="43">
      <c r="A43" s="365" t="inlineStr"/>
      <c r="B43" s="365" t="inlineStr"/>
      <c r="C43" s="374" t="n"/>
      <c r="D43" s="365" t="inlineStr">
        <is>
          <t>Operario</t>
        </is>
      </c>
      <c r="E43" s="365" t="inlineStr">
        <is>
          <t>hh</t>
        </is>
      </c>
      <c r="F43" s="368" t="n">
        <v>0.032</v>
      </c>
      <c r="G43" s="367">
        <f>F43*$C$41</f>
        <v/>
      </c>
    </row>
    <row r="44">
      <c r="A44" s="365" t="inlineStr"/>
      <c r="B44" s="365" t="inlineStr"/>
      <c r="C44" s="374" t="n"/>
      <c r="D44" s="365" t="inlineStr">
        <is>
          <t>Oficial</t>
        </is>
      </c>
      <c r="E44" s="365" t="inlineStr">
        <is>
          <t>hh</t>
        </is>
      </c>
      <c r="F44" s="368" t="n">
        <v>0.032</v>
      </c>
      <c r="G44" s="367">
        <f>F44*$C$41</f>
        <v/>
      </c>
    </row>
    <row r="46">
      <c r="A46" s="373" t="inlineStr">
        <is>
          <t>SOLADO f'c=100 e=0.05</t>
        </is>
      </c>
      <c r="B46" s="365" t="inlineStr">
        <is>
          <t>m2</t>
        </is>
      </c>
      <c r="C46" s="367">
        <f>'PLANILLA GENERAL DE METRADOS'!K228</f>
        <v/>
      </c>
      <c r="D46" s="365" t="inlineStr">
        <is>
          <t>Cemento Portland tipo I</t>
        </is>
      </c>
      <c r="E46" s="365" t="inlineStr">
        <is>
          <t>bol</t>
        </is>
      </c>
      <c r="F46" s="368" t="n">
        <v>0.3</v>
      </c>
      <c r="G46" s="367">
        <f>F46*$C$46</f>
        <v/>
      </c>
    </row>
    <row r="47">
      <c r="A47" s="365" t="inlineStr"/>
      <c r="B47" s="365" t="inlineStr"/>
      <c r="C47" s="374" t="n"/>
      <c r="D47" s="365" t="inlineStr">
        <is>
          <t>Hormigon</t>
        </is>
      </c>
      <c r="E47" s="365" t="inlineStr">
        <is>
          <t>m3</t>
        </is>
      </c>
      <c r="F47" s="368" t="n">
        <v>0.064</v>
      </c>
      <c r="G47" s="367">
        <f>F47*$C$46</f>
        <v/>
      </c>
    </row>
    <row r="48">
      <c r="A48" s="365" t="inlineStr"/>
      <c r="B48" s="365" t="inlineStr"/>
      <c r="C48" s="374" t="n"/>
      <c r="D48" s="365" t="inlineStr">
        <is>
          <t>Agua</t>
        </is>
      </c>
      <c r="E48" s="365" t="inlineStr">
        <is>
          <t>m3</t>
        </is>
      </c>
      <c r="F48" s="368" t="n">
        <v>0.01</v>
      </c>
      <c r="G48" s="367">
        <f>F48*$C$46</f>
        <v/>
      </c>
    </row>
    <row r="49">
      <c r="A49" s="365" t="inlineStr"/>
      <c r="B49" s="365" t="inlineStr"/>
      <c r="C49" s="374" t="n"/>
      <c r="D49" s="365" t="inlineStr">
        <is>
          <t>Operario</t>
        </is>
      </c>
      <c r="E49" s="365" t="inlineStr">
        <is>
          <t>hh</t>
        </is>
      </c>
      <c r="F49" s="368" t="n">
        <v>0.1</v>
      </c>
      <c r="G49" s="367">
        <f>F49*$C$46</f>
        <v/>
      </c>
    </row>
    <row r="50">
      <c r="A50" s="365" t="inlineStr"/>
      <c r="B50" s="365" t="inlineStr"/>
      <c r="C50" s="374" t="n"/>
      <c r="D50" s="365" t="inlineStr">
        <is>
          <t>Peon</t>
        </is>
      </c>
      <c r="E50" s="365" t="inlineStr">
        <is>
          <t>hh</t>
        </is>
      </c>
      <c r="F50" s="368" t="n">
        <v>0.4</v>
      </c>
      <c r="G50" s="367">
        <f>F50*$C$46</f>
        <v/>
      </c>
    </row>
    <row r="52">
      <c r="A52" s="373" t="inlineStr">
        <is>
          <t>EXCAVACION MANUAL DE ZANJAS</t>
        </is>
      </c>
      <c r="B52" s="365" t="inlineStr">
        <is>
          <t>m3</t>
        </is>
      </c>
      <c r="C52" s="367">
        <f>'PLANILLA GENERAL DE METRADOS'!K185</f>
        <v/>
      </c>
      <c r="D52" s="365" t="inlineStr">
        <is>
          <t>Peon</t>
        </is>
      </c>
      <c r="E52" s="365" t="inlineStr">
        <is>
          <t>hh</t>
        </is>
      </c>
      <c r="F52" s="368" t="n">
        <v>2.67</v>
      </c>
      <c r="G52" s="367">
        <f>F52*$C$52</f>
        <v/>
      </c>
    </row>
    <row r="53">
      <c r="A53" s="365" t="inlineStr"/>
      <c r="B53" s="365" t="inlineStr"/>
      <c r="C53" s="374" t="n"/>
      <c r="D53" s="365" t="inlineStr">
        <is>
          <t>Herramientas manuales</t>
        </is>
      </c>
      <c r="E53" s="365" t="inlineStr">
        <is>
          <t>%mo</t>
        </is>
      </c>
      <c r="F53" s="368" t="n">
        <v>0.03</v>
      </c>
      <c r="G53" s="367">
        <f>F53*$C$52</f>
        <v/>
      </c>
    </row>
    <row r="55">
      <c r="A55" s="373" t="inlineStr">
        <is>
          <t>RELLENO COMPACTADO CON MATERIAL PROPIO</t>
        </is>
      </c>
      <c r="B55" s="365" t="inlineStr">
        <is>
          <t>m3</t>
        </is>
      </c>
      <c r="C55" s="367">
        <f>'PLANILLA GENERAL DE METRADOS'!K207</f>
        <v/>
      </c>
      <c r="D55" s="365" t="inlineStr">
        <is>
          <t>Agua</t>
        </is>
      </c>
      <c r="E55" s="365" t="inlineStr">
        <is>
          <t>m3</t>
        </is>
      </c>
      <c r="F55" s="368" t="n">
        <v>0.05</v>
      </c>
      <c r="G55" s="367">
        <f>F55*$C$55</f>
        <v/>
      </c>
    </row>
    <row r="56">
      <c r="A56" s="365" t="inlineStr"/>
      <c r="B56" s="365" t="inlineStr"/>
      <c r="C56" s="374" t="n"/>
      <c r="D56" s="365" t="inlineStr">
        <is>
          <t>Compactador vibratorio tipo plancha</t>
        </is>
      </c>
      <c r="E56" s="365" t="inlineStr">
        <is>
          <t>hm</t>
        </is>
      </c>
      <c r="F56" s="368" t="n">
        <v>0.4</v>
      </c>
      <c r="G56" s="367">
        <f>F56*$C$55</f>
        <v/>
      </c>
    </row>
    <row r="57">
      <c r="A57" s="365" t="inlineStr"/>
      <c r="B57" s="365" t="inlineStr"/>
      <c r="C57" s="374" t="n"/>
      <c r="D57" s="365" t="inlineStr">
        <is>
          <t>Operario</t>
        </is>
      </c>
      <c r="E57" s="365" t="inlineStr">
        <is>
          <t>hh</t>
        </is>
      </c>
      <c r="F57" s="368" t="n">
        <v>0.4</v>
      </c>
      <c r="G57" s="367">
        <f>F57*$C$55</f>
        <v/>
      </c>
    </row>
    <row r="58">
      <c r="A58" s="365" t="inlineStr"/>
      <c r="B58" s="365" t="inlineStr"/>
      <c r="C58" s="374" t="n"/>
      <c r="D58" s="365" t="inlineStr">
        <is>
          <t>Peon</t>
        </is>
      </c>
      <c r="E58" s="365" t="inlineStr">
        <is>
          <t>hh</t>
        </is>
      </c>
      <c r="F58" s="368" t="n">
        <v>1.6</v>
      </c>
      <c r="G58" s="367">
        <f>F58*$C$55</f>
        <v/>
      </c>
    </row>
    <row r="60">
      <c r="A60" s="373" t="inlineStr">
        <is>
          <t>ELIMINACION DE MATERIAL EXCEDENTE</t>
        </is>
      </c>
      <c r="B60" s="365" t="inlineStr">
        <is>
          <t>m3</t>
        </is>
      </c>
      <c r="C60" s="367">
        <f>'PLANILLA GENERAL DE METRADOS'!K224</f>
        <v/>
      </c>
      <c r="D60" s="365" t="inlineStr">
        <is>
          <t>Volquete 6 m3</t>
        </is>
      </c>
      <c r="E60" s="365" t="inlineStr">
        <is>
          <t>hm</t>
        </is>
      </c>
      <c r="F60" s="368" t="n">
        <v>0.133</v>
      </c>
      <c r="G60" s="367">
        <f>F60*$C$60</f>
        <v/>
      </c>
    </row>
    <row r="61">
      <c r="A61" s="365" t="inlineStr"/>
      <c r="B61" s="365" t="inlineStr"/>
      <c r="C61" s="374" t="n"/>
      <c r="D61" s="365" t="inlineStr">
        <is>
          <t>Cargador frontal</t>
        </is>
      </c>
      <c r="E61" s="365" t="inlineStr">
        <is>
          <t>hm</t>
        </is>
      </c>
      <c r="F61" s="368" t="n">
        <v>0.033</v>
      </c>
      <c r="G61" s="367">
        <f>F61*$C$60</f>
        <v/>
      </c>
    </row>
    <row r="62">
      <c r="A62" s="365" t="inlineStr"/>
      <c r="B62" s="365" t="inlineStr"/>
      <c r="C62" s="374" t="n"/>
      <c r="D62" s="365" t="inlineStr">
        <is>
          <t>Peon</t>
        </is>
      </c>
      <c r="E62" s="365" t="inlineStr">
        <is>
          <t>hh</t>
        </is>
      </c>
      <c r="F62" s="368" t="n">
        <v>0.133</v>
      </c>
      <c r="G62" s="367">
        <f>F62*$C$60</f>
        <v/>
      </c>
    </row>
    <row r="64">
      <c r="A64" s="373" t="inlineStr">
        <is>
          <t>ANGULOS METALICOS (marco y contramarco)</t>
        </is>
      </c>
      <c r="B64" s="365" t="inlineStr">
        <is>
          <t>kg</t>
        </is>
      </c>
      <c r="C64" s="367">
        <f>'PLANILLA GENERAL DE METRADOS'!K300</f>
        <v/>
      </c>
      <c r="D64" s="365" t="inlineStr">
        <is>
          <t>Angulo de acero (incluye corte y soldadura)</t>
        </is>
      </c>
      <c r="E64" s="365" t="inlineStr">
        <is>
          <t>kg</t>
        </is>
      </c>
      <c r="F64" s="368" t="n">
        <v>1.05</v>
      </c>
      <c r="G64" s="367">
        <f>F64*$C$64</f>
        <v/>
      </c>
    </row>
    <row r="65">
      <c r="A65" s="365" t="inlineStr"/>
      <c r="B65" s="365" t="inlineStr"/>
      <c r="C65" s="374" t="n"/>
      <c r="D65" s="365" t="inlineStr">
        <is>
          <t>Soldadura cellocord</t>
        </is>
      </c>
      <c r="E65" s="365" t="inlineStr">
        <is>
          <t>kg</t>
        </is>
      </c>
      <c r="F65" s="368" t="n">
        <v>0.03</v>
      </c>
      <c r="G65" s="367">
        <f>F65*$C$64</f>
        <v/>
      </c>
    </row>
    <row r="66">
      <c r="A66" s="365" t="inlineStr"/>
      <c r="B66" s="365" t="inlineStr"/>
      <c r="C66" s="374" t="n"/>
      <c r="D66" s="365" t="inlineStr">
        <is>
          <t>Operario</t>
        </is>
      </c>
      <c r="E66" s="365" t="inlineStr">
        <is>
          <t>hh</t>
        </is>
      </c>
      <c r="F66" s="368" t="n">
        <v>0.1</v>
      </c>
      <c r="G66" s="367">
        <f>F66*$C$64</f>
        <v/>
      </c>
    </row>
    <row r="67">
      <c r="A67" s="365" t="inlineStr"/>
      <c r="B67" s="365" t="inlineStr"/>
      <c r="C67" s="374" t="n"/>
      <c r="D67" s="365" t="inlineStr">
        <is>
          <t>Oficial</t>
        </is>
      </c>
      <c r="E67" s="365" t="inlineStr">
        <is>
          <t>hh</t>
        </is>
      </c>
      <c r="F67" s="368" t="n">
        <v>0.1</v>
      </c>
      <c r="G67" s="367">
        <f>F67*$C$64</f>
        <v/>
      </c>
    </row>
    <row r="69">
      <c r="A69" s="373" t="inlineStr">
        <is>
          <t>PINTURA ANTICORROSIVA Y ESMALTE</t>
        </is>
      </c>
      <c r="B69" s="365" t="inlineStr">
        <is>
          <t>m2</t>
        </is>
      </c>
      <c r="C69" s="367">
        <f>'PLANILLA GENERAL DE METRADOS'!K304</f>
        <v/>
      </c>
      <c r="D69" s="365" t="inlineStr">
        <is>
          <t>Pintura anticorrosiva</t>
        </is>
      </c>
      <c r="E69" s="365" t="inlineStr">
        <is>
          <t>gal</t>
        </is>
      </c>
      <c r="F69" s="368" t="n">
        <v>0.08</v>
      </c>
      <c r="G69" s="367">
        <f>F69*$C$69</f>
        <v/>
      </c>
    </row>
    <row r="70">
      <c r="A70" s="365" t="inlineStr"/>
      <c r="B70" s="365" t="inlineStr"/>
      <c r="C70" s="374" t="n"/>
      <c r="D70" s="365" t="inlineStr">
        <is>
          <t>Esmalte sintetico</t>
        </is>
      </c>
      <c r="E70" s="365" t="inlineStr">
        <is>
          <t>gal</t>
        </is>
      </c>
      <c r="F70" s="368" t="n">
        <v>0.08</v>
      </c>
      <c r="G70" s="367">
        <f>F70*$C$69</f>
        <v/>
      </c>
    </row>
    <row r="71">
      <c r="A71" s="365" t="inlineStr"/>
      <c r="B71" s="365" t="inlineStr"/>
      <c r="C71" s="374" t="n"/>
      <c r="D71" s="365" t="inlineStr">
        <is>
          <t>Lija y thinner</t>
        </is>
      </c>
      <c r="E71" s="365" t="inlineStr">
        <is>
          <t>glb</t>
        </is>
      </c>
      <c r="F71" s="368" t="n">
        <v>0.05</v>
      </c>
      <c r="G71" s="367">
        <f>F71*$C$69</f>
        <v/>
      </c>
    </row>
    <row r="72">
      <c r="A72" s="365" t="inlineStr"/>
      <c r="B72" s="365" t="inlineStr"/>
      <c r="C72" s="374" t="n"/>
      <c r="D72" s="365" t="inlineStr">
        <is>
          <t>Operario</t>
        </is>
      </c>
      <c r="E72" s="365" t="inlineStr">
        <is>
          <t>hh</t>
        </is>
      </c>
      <c r="F72" s="368" t="n">
        <v>0.4</v>
      </c>
      <c r="G72" s="367">
        <f>F72*$C$69</f>
        <v/>
      </c>
    </row>
    <row r="74">
      <c r="A74" s="373" t="inlineStr">
        <is>
          <t>JUNTA DE DILATACION e=1" CON SELLADOR</t>
        </is>
      </c>
      <c r="B74" s="365" t="inlineStr">
        <is>
          <t>m</t>
        </is>
      </c>
      <c r="C74" s="367">
        <f>'PLANILLA GENERAL DE METRADOS'!K306</f>
        <v/>
      </c>
      <c r="D74" s="365" t="inlineStr">
        <is>
          <t>Tecnopor 1"</t>
        </is>
      </c>
      <c r="E74" s="365" t="inlineStr">
        <is>
          <t>m2</t>
        </is>
      </c>
      <c r="F74" s="368" t="n">
        <v>0.25</v>
      </c>
      <c r="G74" s="367">
        <f>F74*$C$74</f>
        <v/>
      </c>
    </row>
    <row r="75">
      <c r="A75" s="365" t="inlineStr"/>
      <c r="B75" s="365" t="inlineStr"/>
      <c r="C75" s="374" t="n"/>
      <c r="D75" s="365" t="inlineStr">
        <is>
          <t>Sello elastomerico de poliuretano</t>
        </is>
      </c>
      <c r="E75" s="365" t="inlineStr">
        <is>
          <t>kg</t>
        </is>
      </c>
      <c r="F75" s="368" t="n">
        <v>0.35</v>
      </c>
      <c r="G75" s="367">
        <f>F75*$C$74</f>
        <v/>
      </c>
    </row>
    <row r="76">
      <c r="A76" s="365" t="inlineStr"/>
      <c r="B76" s="365" t="inlineStr"/>
      <c r="C76" s="374" t="n"/>
      <c r="D76" s="365" t="inlineStr">
        <is>
          <t>Operario</t>
        </is>
      </c>
      <c r="E76" s="365" t="inlineStr">
        <is>
          <t>hh</t>
        </is>
      </c>
      <c r="F76" s="368" t="n">
        <v>0.2</v>
      </c>
      <c r="G76" s="367">
        <f>F76*$C$74</f>
        <v/>
      </c>
    </row>
    <row r="77">
      <c r="A77" s="365" t="inlineStr"/>
      <c r="B77" s="365" t="inlineStr"/>
      <c r="C77" s="374" t="n"/>
      <c r="D77" s="365" t="inlineStr">
        <is>
          <t>Peon</t>
        </is>
      </c>
      <c r="E77" s="365" t="inlineStr">
        <is>
          <t>hh</t>
        </is>
      </c>
      <c r="F77" s="368" t="n">
        <v>0.2</v>
      </c>
      <c r="G77" s="367">
        <f>F77*$C$74</f>
        <v/>
      </c>
    </row>
    <row r="79">
      <c r="A79" s="373" t="inlineStr">
        <is>
          <t>JUNTA DE TECNOPOR e=1"</t>
        </is>
      </c>
      <c r="B79" s="365" t="inlineStr">
        <is>
          <t>m</t>
        </is>
      </c>
      <c r="C79" s="367">
        <f>'PLANILLA GENERAL DE METRADOS'!K308</f>
        <v/>
      </c>
      <c r="D79" s="365" t="inlineStr">
        <is>
          <t>Tecnopor 1"</t>
        </is>
      </c>
      <c r="E79" s="365" t="inlineStr">
        <is>
          <t>m2</t>
        </is>
      </c>
      <c r="F79" s="368" t="n">
        <v>0.15</v>
      </c>
      <c r="G79" s="367">
        <f>F79*$C$79</f>
        <v/>
      </c>
    </row>
    <row r="80">
      <c r="A80" s="365" t="inlineStr"/>
      <c r="B80" s="365" t="inlineStr"/>
      <c r="C80" s="374" t="n"/>
      <c r="D80" s="365" t="inlineStr">
        <is>
          <t>Peon</t>
        </is>
      </c>
      <c r="E80" s="365" t="inlineStr">
        <is>
          <t>hh</t>
        </is>
      </c>
      <c r="F80" s="368" t="n">
        <v>0.1</v>
      </c>
      <c r="G80" s="367">
        <f>F80*$C$79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2026-10-03T13:51:06Z</dcterms:modified>
  <cp:lastModifiedBy>jose pizarro</cp:lastModifiedBy>
  <cp:lastPrinted>2026-03-10T13:03:41Z</cp:lastPrinted>
</cp:coreProperties>
</file>